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DailyData" sheetId="2" state="visible" r:id="rId2"/>
    <sheet name="Admissions" sheetId="3" state="visible" r:id="rId3"/>
    <sheet name="DeathsData" sheetId="4" state="visible" r:id="rId4"/>
    <sheet name="TransfersData" sheetId="5" state="visible" r:id="rId5"/>
    <sheet name="Male Medical" sheetId="6" state="visible" r:id="rId6"/>
    <sheet name="Female Medical" sheetId="7" state="visible" r:id="rId7"/>
    <sheet name="Paediatric" sheetId="8" state="visible" r:id="rId8"/>
    <sheet name="Block F" sheetId="9" state="visible" r:id="rId9"/>
    <sheet name="Block G" sheetId="10" state="visible" r:id="rId10"/>
    <sheet name="Block H" sheetId="11" state="visible" r:id="rId11"/>
    <sheet name="Neonatal" sheetId="12" state="visible" r:id="rId12"/>
    <sheet name="Male Emergency" sheetId="13" state="visible" r:id="rId13"/>
    <sheet name="Female Emergency" sheetId="14" state="visible" r:id="rId14"/>
    <sheet name="Emergency" sheetId="15" state="visible" r:id="rId15"/>
    <sheet name="Monthly Summary" sheetId="16" state="visible" r:id="rId16"/>
    <sheet name="Quarterly Summary" sheetId="17" state="visible" r:id="rId17"/>
    <sheet name="Half-Year Summary" sheetId="18" state="visible" r:id="rId18"/>
    <sheet name="Ages Summary" sheetId="19" state="visible" r:id="rId19"/>
    <sheet name="Deaths Summary" sheetId="20" state="visible" r:id="rId20"/>
    <sheet name="COD Summary" sheetId="21" state="visible" r:id="rId21"/>
    <sheet name="Statement of Inpatient" sheetId="22" state="visible" r:id="rId22"/>
    <sheet name="Non-Insured Repor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b val="1"/>
      <color rgb="00808080"/>
      <sz val="10"/>
    </font>
    <font>
      <name val="Calibri"/>
      <b val="1"/>
      <color rgb="00FFFFFF"/>
      <sz val="10"/>
    </font>
    <font>
      <name val="Calibri"/>
      <b val="1"/>
      <color rgb="001F4E79"/>
      <sz val="14"/>
    </font>
  </fonts>
  <fills count="1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6600"/>
        <bgColor rgb="00FF6600"/>
      </patternFill>
    </fill>
    <fill>
      <patternFill patternType="solid">
        <fgColor rgb="00F0F0F0"/>
        <bgColor rgb="00F0F0F0"/>
      </patternFill>
    </fill>
    <fill>
      <patternFill patternType="solid">
        <fgColor rgb="00E7E6E6"/>
        <bgColor rgb="00E7E6E6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7" borderId="1" pivotButton="0" quotePrefix="0" xfId="0"/>
    <xf numFmtId="0" fontId="4" fillId="8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tblWardConfig" displayName="tblWardConfig" ref="A40:F49" headerRowCount="1">
  <autoFilter ref="A40:F49"/>
  <tableColumns count="6">
    <tableColumn id="1" name="WardCode"/>
    <tableColumn id="2" name="WardName"/>
    <tableColumn id="3" name="BedComplement"/>
    <tableColumn id="4" name="PrevYearRemaining"/>
    <tableColumn id="5" name="IsEmergency"/>
    <tableColumn id="6" name="DisplayOrd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Preferences" displayName="tblPreferences" ref="A52:C55" headerRowCount="1">
  <autoFilter ref="A52:C55"/>
  <tableColumns count="3">
    <tableColumn id="1" name="PreferenceKey"/>
    <tableColumn id="2" name="PreferenceValue"/>
    <tableColumn id="3" name="Descrip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MonthDays" displayName="tblMonthDays" ref="A58:C70" headerRowCount="1">
  <autoFilter ref="A58:C70"/>
  <tableColumns count="3">
    <tableColumn id="1" name="MonthNum"/>
    <tableColumn id="2" name="MonthName"/>
    <tableColumn id="3" name="DaysInMonth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Daily" displayName="tblDaily" ref="A1:L2" headerRowCount="1">
  <autoFilter ref="A1:L2"/>
  <tableColumns count="12">
    <tableColumn id="1" name="EntryDate"/>
    <tableColumn id="2" name="Month"/>
    <tableColumn id="3" name="WardCode"/>
    <tableColumn id="4" name="Admissions"/>
    <tableColumn id="5" name="Discharges"/>
    <tableColumn id="6" name="Deaths"/>
    <tableColumn id="7" name="DeathsUnder24Hrs"/>
    <tableColumn id="8" name="TransfersIn"/>
    <tableColumn id="9" name="TransfersOut"/>
    <tableColumn id="10" name="PrevRemaining"/>
    <tableColumn id="11" name="Remaining"/>
    <tableColumn id="12" name="EntryTimestamp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Admissions" displayName="tblAdmissions" ref="A1:K2" headerRowCount="1">
  <autoFilter ref="A1:K2"/>
  <tableColumns count="11">
    <tableColumn id="1" name="AdmissionID"/>
    <tableColumn id="2" name="AdmissionDate"/>
    <tableColumn id="3" name="Month"/>
    <tableColumn id="4" name="WardCode"/>
    <tableColumn id="5" name="PatientID"/>
    <tableColumn id="6" name="PatientName"/>
    <tableColumn id="7" name="Age"/>
    <tableColumn id="8" name="AgeUnit"/>
    <tableColumn id="9" name="Sex"/>
    <tableColumn id="10" name="NHIS"/>
    <tableColumn id="11" name="EntryTimestam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blDeaths" displayName="tblDeaths" ref="A1:M2" headerRowCount="1">
  <autoFilter ref="A1:M2"/>
  <tableColumns count="13">
    <tableColumn id="1" name="DeathID"/>
    <tableColumn id="2" name="DateOfDeath"/>
    <tableColumn id="3" name="Month"/>
    <tableColumn id="4" name="WardCode"/>
    <tableColumn id="5" name="FolderNumber"/>
    <tableColumn id="6" name="NameOfDeceased"/>
    <tableColumn id="7" name="Age"/>
    <tableColumn id="8" name="AgeUnit"/>
    <tableColumn id="9" name="Sex"/>
    <tableColumn id="10" name="NHIS"/>
    <tableColumn id="11" name="CauseOfDeath"/>
    <tableColumn id="12" name="DeathWithin24Hrs"/>
    <tableColumn id="13" name="EntryTimestamp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blTransfers" displayName="tblTransfers" ref="A1:H2" headerRowCount="1">
  <autoFilter ref="A1:H2"/>
  <tableColumns count="8">
    <tableColumn id="1" name="TransferID"/>
    <tableColumn id="2" name="TransferDate"/>
    <tableColumn id="3" name="Month"/>
    <tableColumn id="4" name="FromWardCode"/>
    <tableColumn id="5" name="ToWardCode"/>
    <tableColumn id="6" name="PatientID"/>
    <tableColumn id="7" name="PatientName"/>
    <tableColumn id="8" name="EntryTimestam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hidden="1" width="13" customWidth="1" min="10" max="10"/>
  </cols>
  <sheetData>
    <row r="1">
      <c r="A1" s="1" t="inlineStr">
        <is>
          <t>GHANA HEALTH SERVICE</t>
        </is>
      </c>
    </row>
    <row r="2">
      <c r="A2" s="2" t="inlineStr">
        <is>
          <t>BED UTILIZATION MANAGEMENT SYSTEM</t>
        </is>
      </c>
    </row>
    <row r="3">
      <c r="A3" s="3" t="inlineStr">
        <is>
          <t>HOHOE MUNICIPAL HOSPITAL</t>
        </is>
      </c>
    </row>
    <row r="5">
      <c r="A5" s="4" t="inlineStr">
        <is>
          <t>Year:</t>
        </is>
      </c>
      <c r="B5" s="4" t="n">
        <v>2026</v>
      </c>
      <c r="D5" s="4" t="inlineStr">
        <is>
          <t>Hospital:</t>
        </is>
      </c>
      <c r="E5" s="5" t="inlineStr">
        <is>
          <t>HOHOE MUNICIPAL HOSPITAL</t>
        </is>
      </c>
      <c r="J5" t="b">
        <v>0</v>
      </c>
    </row>
    <row r="6">
      <c r="J6" t="b">
        <v>1</v>
      </c>
    </row>
    <row r="7">
      <c r="A7" s="6" t="inlineStr">
        <is>
          <t>DATA ENTRY &amp; REPORTS</t>
        </is>
      </c>
    </row>
    <row r="9">
      <c r="A9" s="7" t="inlineStr">
        <is>
          <t>[ DAILY BED ENTRY ]</t>
        </is>
      </c>
      <c r="D9" s="5" t="inlineStr">
        <is>
          <t>Enter daily admissions, discharges, deaths, transfers for each ward</t>
        </is>
      </c>
    </row>
    <row r="11">
      <c r="A11" s="7" t="inlineStr">
        <is>
          <t>[ RECORD ADMISSION ]</t>
        </is>
      </c>
      <c r="D11" s="5" t="inlineStr">
        <is>
          <t>Record individual patient admission details (for age/gender reports)</t>
        </is>
      </c>
    </row>
    <row r="13">
      <c r="A13" s="7" t="inlineStr">
        <is>
          <t>[ RECORD DEATH ]</t>
        </is>
      </c>
      <c r="D13" s="5" t="inlineStr">
        <is>
          <t>Record individual death details (for deaths report)</t>
        </is>
      </c>
    </row>
    <row r="15">
      <c r="A15" s="7" t="inlineStr">
        <is>
          <t>[ RECORD AGES GROUP ]</t>
        </is>
      </c>
      <c r="D15" s="5" t="inlineStr">
        <is>
          <t>Quick entry for age group admissions (bulk mode)</t>
        </is>
      </c>
    </row>
    <row r="17">
      <c r="A17" s="7" t="inlineStr">
        <is>
          <t>[ REFRESH REPORTS ]</t>
        </is>
      </c>
      <c r="D17" s="5" t="inlineStr">
        <is>
          <t>Update Deaths Report and COD Summary sheets</t>
        </is>
      </c>
    </row>
    <row r="19">
      <c r="A19" s="7" t="inlineStr">
        <is>
          <t>[ MANAGE WARDS ]</t>
        </is>
      </c>
      <c r="D19" s="5" t="inlineStr">
        <is>
          <t>Add, edit, or delete ward configurations</t>
        </is>
      </c>
    </row>
    <row r="21">
      <c r="A21" s="7" t="inlineStr">
        <is>
          <t>[ EXPORT WARD CONFIG ]</t>
        </is>
      </c>
      <c r="D21" s="5" t="inlineStr">
        <is>
          <t>Save ward configuration to JSON file for rebuilding</t>
        </is>
      </c>
    </row>
    <row r="23">
      <c r="A23" s="7" t="inlineStr">
        <is>
          <t>[ EXPORT YEAR-END ]</t>
        </is>
      </c>
      <c r="D23" s="5" t="inlineStr">
        <is>
          <t>Export carry-forward data for next year</t>
        </is>
      </c>
    </row>
    <row r="25">
      <c r="A25" s="7" t="inlineStr">
        <is>
          <t>[ HOSPITAL PREFERENCES ]</t>
        </is>
      </c>
      <c r="D25" s="5" t="inlineStr">
        <is>
          <t>Configure hospital preferences with user-friendly form</t>
        </is>
      </c>
    </row>
    <row r="27">
      <c r="A27" s="8" t="inlineStr">
        <is>
          <t>[ REBUILD WORKBOOK ]</t>
        </is>
      </c>
      <c r="D27" s="5" t="inlineStr">
        <is>
          <t>Automatically rebuild workbook with new preferences (creates backup)</t>
        </is>
      </c>
    </row>
    <row r="29">
      <c r="A29" s="9" t="inlineStr">
        <is>
          <t>[ IMPORT OLD WORKBOOK ]</t>
        </is>
      </c>
      <c r="D29" s="5" t="inlineStr">
        <is>
          <t>Import data from previous workbook format</t>
        </is>
      </c>
    </row>
    <row r="31">
      <c r="A31" s="9" t="inlineStr">
        <is>
          <t>[ RECALCULATE ALL DATA ]</t>
        </is>
      </c>
      <c r="D31" s="5" t="inlineStr">
        <is>
          <t>Recalculate all remaining values</t>
        </is>
      </c>
    </row>
    <row r="33">
      <c r="A33" s="9" t="inlineStr">
        <is>
          <t>[ VERIFY CALCULATIONS ]</t>
        </is>
      </c>
      <c r="D33" s="5" t="inlineStr">
        <is>
          <t>Verify calculation accuracy</t>
        </is>
      </c>
    </row>
    <row r="35">
      <c r="A35" s="9" t="inlineStr">
        <is>
          <t>[ FIX DATE FORMATS ]</t>
        </is>
      </c>
      <c r="D35" s="5" t="inlineStr">
        <is>
          <t>Fix date formatting issues in all data tables</t>
        </is>
      </c>
    </row>
    <row r="37">
      <c r="A37" s="9" t="inlineStr">
        <is>
          <t>[ TOGGLE SHEET PROTECTION ]</t>
        </is>
      </c>
      <c r="D37" s="5" t="inlineStr">
        <is>
          <t>Unlock data sheets to use table features directly (insert rows, delete, etc)</t>
        </is>
      </c>
    </row>
    <row r="39">
      <c r="A39" s="10" t="inlineStr">
        <is>
          <t>WARD CONFIGURATION</t>
        </is>
      </c>
    </row>
    <row r="40">
      <c r="A40" s="11" t="inlineStr">
        <is>
          <t>WardCode</t>
        </is>
      </c>
      <c r="B40" s="11" t="inlineStr">
        <is>
          <t>WardName</t>
        </is>
      </c>
      <c r="C40" s="11" t="inlineStr">
        <is>
          <t>BedComplement</t>
        </is>
      </c>
      <c r="D40" s="11" t="inlineStr">
        <is>
          <t>PrevYearRemaining</t>
        </is>
      </c>
      <c r="E40" s="11" t="inlineStr">
        <is>
          <t>IsEmergency</t>
        </is>
      </c>
      <c r="F40" s="11" t="inlineStr">
        <is>
          <t>DisplayOrder</t>
        </is>
      </c>
    </row>
    <row r="41">
      <c r="A41" s="12" t="inlineStr">
        <is>
          <t>MW</t>
        </is>
      </c>
      <c r="B41" s="12" t="inlineStr">
        <is>
          <t>Male Medical</t>
        </is>
      </c>
      <c r="C41" s="12" t="n">
        <v>32</v>
      </c>
      <c r="D41" s="12" t="n">
        <v>0</v>
      </c>
      <c r="E41" s="12" t="b">
        <v>0</v>
      </c>
      <c r="F41" s="12" t="n">
        <v>1</v>
      </c>
    </row>
    <row r="42">
      <c r="A42" s="12" t="inlineStr">
        <is>
          <t>FW</t>
        </is>
      </c>
      <c r="B42" s="12" t="inlineStr">
        <is>
          <t>Female Medical</t>
        </is>
      </c>
      <c r="C42" s="12" t="n">
        <v>28</v>
      </c>
      <c r="D42" s="12" t="n">
        <v>0</v>
      </c>
      <c r="E42" s="12" t="b">
        <v>0</v>
      </c>
      <c r="F42" s="12" t="n">
        <v>2</v>
      </c>
    </row>
    <row r="43">
      <c r="A43" s="12" t="inlineStr">
        <is>
          <t>CW</t>
        </is>
      </c>
      <c r="B43" s="12" t="inlineStr">
        <is>
          <t>Paediatric</t>
        </is>
      </c>
      <c r="C43" s="12" t="n">
        <v>27</v>
      </c>
      <c r="D43" s="12" t="n">
        <v>0</v>
      </c>
      <c r="E43" s="12" t="b">
        <v>0</v>
      </c>
      <c r="F43" s="12" t="n">
        <v>3</v>
      </c>
    </row>
    <row r="44">
      <c r="A44" s="12" t="inlineStr">
        <is>
          <t>BF</t>
        </is>
      </c>
      <c r="B44" s="12" t="inlineStr">
        <is>
          <t>Block F</t>
        </is>
      </c>
      <c r="C44" s="12" t="n">
        <v>20</v>
      </c>
      <c r="D44" s="12" t="n">
        <v>0</v>
      </c>
      <c r="E44" s="12" t="b">
        <v>0</v>
      </c>
      <c r="F44" s="12" t="n">
        <v>4</v>
      </c>
    </row>
    <row r="45">
      <c r="A45" s="12" t="inlineStr">
        <is>
          <t>BG</t>
        </is>
      </c>
      <c r="B45" s="12" t="inlineStr">
        <is>
          <t>Block G</t>
        </is>
      </c>
      <c r="C45" s="12" t="n">
        <v>14</v>
      </c>
      <c r="D45" s="12" t="n">
        <v>0</v>
      </c>
      <c r="E45" s="12" t="b">
        <v>0</v>
      </c>
      <c r="F45" s="12" t="n">
        <v>5</v>
      </c>
    </row>
    <row r="46">
      <c r="A46" s="12" t="inlineStr">
        <is>
          <t>BH</t>
        </is>
      </c>
      <c r="B46" s="12" t="inlineStr">
        <is>
          <t>Block H</t>
        </is>
      </c>
      <c r="C46" s="12" t="n">
        <v>22</v>
      </c>
      <c r="D46" s="12" t="n">
        <v>0</v>
      </c>
      <c r="E46" s="12" t="b">
        <v>0</v>
      </c>
      <c r="F46" s="12" t="n">
        <v>6</v>
      </c>
    </row>
    <row r="47">
      <c r="A47" s="12" t="inlineStr">
        <is>
          <t>NICU</t>
        </is>
      </c>
      <c r="B47" s="12" t="inlineStr">
        <is>
          <t>Neonatal</t>
        </is>
      </c>
      <c r="C47" s="12" t="n">
        <v>15</v>
      </c>
      <c r="D47" s="12" t="n">
        <v>0</v>
      </c>
      <c r="E47" s="12" t="b">
        <v>0</v>
      </c>
      <c r="F47" s="12" t="n">
        <v>7</v>
      </c>
    </row>
    <row r="48">
      <c r="A48" s="12" t="inlineStr">
        <is>
          <t>MAE</t>
        </is>
      </c>
      <c r="B48" s="12" t="inlineStr">
        <is>
          <t>Male Emergency</t>
        </is>
      </c>
      <c r="C48" s="12" t="n">
        <v>10</v>
      </c>
      <c r="D48" s="12" t="n">
        <v>0</v>
      </c>
      <c r="E48" s="12" t="b">
        <v>1</v>
      </c>
      <c r="F48" s="12" t="n">
        <v>8</v>
      </c>
    </row>
    <row r="49">
      <c r="A49" s="12" t="inlineStr">
        <is>
          <t>FAE</t>
        </is>
      </c>
      <c r="B49" s="12" t="inlineStr">
        <is>
          <t>Female Emergency</t>
        </is>
      </c>
      <c r="C49" s="12" t="n">
        <v>10</v>
      </c>
      <c r="D49" s="12" t="n">
        <v>0</v>
      </c>
      <c r="E49" s="12" t="b">
        <v>1</v>
      </c>
      <c r="F49" s="12" t="n">
        <v>9</v>
      </c>
    </row>
    <row r="51">
      <c r="A51" s="10" t="inlineStr">
        <is>
          <t>HOSPITAL PREFERENCES CONFIGURATION</t>
        </is>
      </c>
    </row>
    <row r="52">
      <c r="A52" s="11" t="inlineStr">
        <is>
          <t>PreferenceKey</t>
        </is>
      </c>
      <c r="B52" s="11" t="inlineStr">
        <is>
          <t>PreferenceValue</t>
        </is>
      </c>
      <c r="C52" s="11" t="inlineStr">
        <is>
          <t>Description</t>
        </is>
      </c>
    </row>
    <row r="53">
      <c r="A53" s="12" t="inlineStr">
        <is>
          <t>show_emergency_total_remaining</t>
        </is>
      </c>
      <c r="B53" s="12" t="b">
        <v>0</v>
      </c>
      <c r="C53" s="12" t="inlineStr">
        <is>
          <t>Show 'Emergency Total Remaining' row in Monthly Summary</t>
        </is>
      </c>
    </row>
    <row r="54">
      <c r="A54" s="12" t="inlineStr">
        <is>
          <t>subtract_deaths_under_24hrs_from_admissions</t>
        </is>
      </c>
      <c r="B54" s="12" t="b">
        <v>1</v>
      </c>
      <c r="C54" s="12" t="inlineStr">
        <is>
          <t>Subtract deaths under 24hrs from monthly admission totals</t>
        </is>
      </c>
    </row>
    <row r="55">
      <c r="A55" s="12" t="inlineStr">
        <is>
          <t>combined_emergency_entry</t>
        </is>
      </c>
      <c r="B55" s="12" t="b">
        <v>1</v>
      </c>
      <c r="C55" s="12" t="inlineStr">
        <is>
          <t>Enter Male/Female Emergency as a single combined entry</t>
        </is>
      </c>
    </row>
    <row r="57">
      <c r="A57" s="13" t="inlineStr">
        <is>
          <t>MONTH LOOKUP</t>
        </is>
      </c>
    </row>
    <row r="58">
      <c r="A58" s="11" t="inlineStr">
        <is>
          <t>MonthNum</t>
        </is>
      </c>
      <c r="B58" s="11" t="inlineStr">
        <is>
          <t>MonthName</t>
        </is>
      </c>
      <c r="C58" s="11" t="inlineStr">
        <is>
          <t>DaysInMonth</t>
        </is>
      </c>
    </row>
    <row r="59">
      <c r="A59" s="12" t="n">
        <v>1</v>
      </c>
      <c r="B59" s="12" t="inlineStr">
        <is>
          <t>JANUARY</t>
        </is>
      </c>
      <c r="C59" s="12" t="n">
        <v>31</v>
      </c>
    </row>
    <row r="60">
      <c r="A60" s="12" t="n">
        <v>2</v>
      </c>
      <c r="B60" s="12" t="inlineStr">
        <is>
          <t>FEBRUARY</t>
        </is>
      </c>
      <c r="C60" s="12" t="n">
        <v>28</v>
      </c>
    </row>
    <row r="61">
      <c r="A61" s="12" t="n">
        <v>3</v>
      </c>
      <c r="B61" s="12" t="inlineStr">
        <is>
          <t>MARCH</t>
        </is>
      </c>
      <c r="C61" s="12" t="n">
        <v>31</v>
      </c>
    </row>
    <row r="62">
      <c r="A62" s="12" t="n">
        <v>4</v>
      </c>
      <c r="B62" s="12" t="inlineStr">
        <is>
          <t>APRIL</t>
        </is>
      </c>
      <c r="C62" s="12" t="n">
        <v>30</v>
      </c>
    </row>
    <row r="63">
      <c r="A63" s="12" t="n">
        <v>5</v>
      </c>
      <c r="B63" s="12" t="inlineStr">
        <is>
          <t>MAY</t>
        </is>
      </c>
      <c r="C63" s="12" t="n">
        <v>31</v>
      </c>
    </row>
    <row r="64">
      <c r="A64" s="12" t="n">
        <v>6</v>
      </c>
      <c r="B64" s="12" t="inlineStr">
        <is>
          <t>JUNE</t>
        </is>
      </c>
      <c r="C64" s="12" t="n">
        <v>30</v>
      </c>
    </row>
    <row r="65">
      <c r="A65" s="12" t="n">
        <v>7</v>
      </c>
      <c r="B65" s="12" t="inlineStr">
        <is>
          <t>JULY</t>
        </is>
      </c>
      <c r="C65" s="12" t="n">
        <v>31</v>
      </c>
    </row>
    <row r="66">
      <c r="A66" s="12" t="n">
        <v>8</v>
      </c>
      <c r="B66" s="12" t="inlineStr">
        <is>
          <t>AUGUST</t>
        </is>
      </c>
      <c r="C66" s="12" t="n">
        <v>31</v>
      </c>
    </row>
    <row r="67">
      <c r="A67" s="12" t="n">
        <v>9</v>
      </c>
      <c r="B67" s="12" t="inlineStr">
        <is>
          <t>SEPTEMBER</t>
        </is>
      </c>
      <c r="C67" s="12" t="n">
        <v>30</v>
      </c>
    </row>
    <row r="68">
      <c r="A68" s="12" t="n">
        <v>10</v>
      </c>
      <c r="B68" s="12" t="inlineStr">
        <is>
          <t>OCTOBER</t>
        </is>
      </c>
      <c r="C68" s="12" t="n">
        <v>31</v>
      </c>
    </row>
    <row r="69">
      <c r="A69" s="12" t="n">
        <v>11</v>
      </c>
      <c r="B69" s="12" t="inlineStr">
        <is>
          <t>NOVEMBER</t>
        </is>
      </c>
      <c r="C69" s="12" t="n">
        <v>30</v>
      </c>
    </row>
    <row r="70">
      <c r="A70" s="12" t="n">
        <v>12</v>
      </c>
      <c r="B70" s="12" t="inlineStr">
        <is>
          <t>DECEMBER</t>
        </is>
      </c>
      <c r="C70" s="12" t="n">
        <v>31</v>
      </c>
    </row>
  </sheetData>
  <mergeCells count="22">
    <mergeCell ref="A25:C25"/>
    <mergeCell ref="A37:C37"/>
    <mergeCell ref="A27:C27"/>
    <mergeCell ref="A21:C21"/>
    <mergeCell ref="A1:H1"/>
    <mergeCell ref="A33:C33"/>
    <mergeCell ref="A7:H7"/>
    <mergeCell ref="A23:C23"/>
    <mergeCell ref="A17:C17"/>
    <mergeCell ref="A35:C35"/>
    <mergeCell ref="A29:C29"/>
    <mergeCell ref="E5:H5"/>
    <mergeCell ref="A3:H3"/>
    <mergeCell ref="A13:C13"/>
    <mergeCell ref="A19:C19"/>
    <mergeCell ref="A2:H2"/>
    <mergeCell ref="A31:C31"/>
    <mergeCell ref="A9:C9"/>
    <mergeCell ref="A15:C15"/>
    <mergeCell ref="A39:F39"/>
    <mergeCell ref="A51:F51"/>
    <mergeCell ref="A11:C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1">
      <c r="A1" t="inlineStr">
        <is>
          <t>EntryDate</t>
        </is>
      </c>
      <c r="B1" t="inlineStr">
        <is>
          <t>Month</t>
        </is>
      </c>
      <c r="C1" t="inlineStr">
        <is>
          <t>WardCode</t>
        </is>
      </c>
      <c r="D1" t="inlineStr">
        <is>
          <t>Admissions</t>
        </is>
      </c>
      <c r="E1" t="inlineStr">
        <is>
          <t>Discharges</t>
        </is>
      </c>
      <c r="F1" t="inlineStr">
        <is>
          <t>Deaths</t>
        </is>
      </c>
      <c r="G1" t="inlineStr">
        <is>
          <t>DeathsUnder24Hrs</t>
        </is>
      </c>
      <c r="H1" t="inlineStr">
        <is>
          <t>TransfersIn</t>
        </is>
      </c>
      <c r="I1" t="inlineStr">
        <is>
          <t>TransfersOut</t>
        </is>
      </c>
      <c r="J1" t="inlineStr">
        <is>
          <t>PrevRemaining</t>
        </is>
      </c>
      <c r="K1" t="inlineStr">
        <is>
          <t>Remaining</t>
        </is>
      </c>
      <c r="L1" t="inlineStr">
        <is>
          <t>EntryTimestamp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2" customWidth="1" min="4" max="4"/>
    <col width="14" customWidth="1" min="5" max="5"/>
    <col width="25" customWidth="1" min="6" max="6"/>
    <col width="8" customWidth="1" min="7" max="7"/>
    <col width="10" customWidth="1" min="8" max="8"/>
    <col width="6" customWidth="1" min="9" max="9"/>
    <col width="14" customWidth="1" min="10" max="10"/>
    <col width="18" customWidth="1" min="11" max="11"/>
  </cols>
  <sheetData>
    <row r="1">
      <c r="A1" t="inlineStr">
        <is>
          <t>AdmissionID</t>
        </is>
      </c>
      <c r="B1" t="inlineStr">
        <is>
          <t>AdmissionDate</t>
        </is>
      </c>
      <c r="C1" t="inlineStr">
        <is>
          <t>Month</t>
        </is>
      </c>
      <c r="D1" t="inlineStr">
        <is>
          <t>WardCode</t>
        </is>
      </c>
      <c r="E1" t="inlineStr">
        <is>
          <t>PatientID</t>
        </is>
      </c>
      <c r="F1" t="inlineStr">
        <is>
          <t>PatientName</t>
        </is>
      </c>
      <c r="G1" t="inlineStr">
        <is>
          <t>Age</t>
        </is>
      </c>
      <c r="H1" t="inlineStr">
        <is>
          <t>AgeUnit</t>
        </is>
      </c>
      <c r="I1" t="inlineStr">
        <is>
          <t>Sex</t>
        </is>
      </c>
      <c r="J1" t="inlineStr">
        <is>
          <t>NHIS</t>
        </is>
      </c>
      <c r="K1" t="inlineStr">
        <is>
          <t>EntryTimestamp</t>
        </is>
      </c>
    </row>
    <row r="2">
      <c r="A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2" customWidth="1" min="4" max="4"/>
    <col width="14" customWidth="1" min="5" max="5"/>
    <col width="25" customWidth="1" min="6" max="6"/>
    <col width="8" customWidth="1" min="7" max="7"/>
    <col width="10" customWidth="1" min="8" max="8"/>
    <col width="6" customWidth="1" min="9" max="9"/>
    <col width="14" customWidth="1" min="10" max="10"/>
    <col width="25" customWidth="1" min="11" max="11"/>
    <col width="16" customWidth="1" min="12" max="12"/>
    <col width="18" customWidth="1" min="13" max="13"/>
  </cols>
  <sheetData>
    <row r="1">
      <c r="A1" t="inlineStr">
        <is>
          <t>DeathID</t>
        </is>
      </c>
      <c r="B1" t="inlineStr">
        <is>
          <t>DateOfDeath</t>
        </is>
      </c>
      <c r="C1" t="inlineStr">
        <is>
          <t>Month</t>
        </is>
      </c>
      <c r="D1" t="inlineStr">
        <is>
          <t>WardCode</t>
        </is>
      </c>
      <c r="E1" t="inlineStr">
        <is>
          <t>FolderNumber</t>
        </is>
      </c>
      <c r="F1" t="inlineStr">
        <is>
          <t>NameOfDeceased</t>
        </is>
      </c>
      <c r="G1" t="inlineStr">
        <is>
          <t>Age</t>
        </is>
      </c>
      <c r="H1" t="inlineStr">
        <is>
          <t>AgeUnit</t>
        </is>
      </c>
      <c r="I1" t="inlineStr">
        <is>
          <t>Sex</t>
        </is>
      </c>
      <c r="J1" t="inlineStr">
        <is>
          <t>NHIS</t>
        </is>
      </c>
      <c r="K1" t="inlineStr">
        <is>
          <t>CauseOfDeath</t>
        </is>
      </c>
      <c r="L1" t="inlineStr">
        <is>
          <t>DeathWithin24Hrs</t>
        </is>
      </c>
      <c r="M1" t="inlineStr">
        <is>
          <t>EntryTimestamp</t>
        </is>
      </c>
    </row>
    <row r="2">
      <c r="A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TransferID</t>
        </is>
      </c>
      <c r="B1" t="inlineStr">
        <is>
          <t>TransferDate</t>
        </is>
      </c>
      <c r="C1" t="inlineStr">
        <is>
          <t>Month</t>
        </is>
      </c>
      <c r="D1" t="inlineStr">
        <is>
          <t>FromWardCode</t>
        </is>
      </c>
      <c r="E1" t="inlineStr">
        <is>
          <t>ToWardCode</t>
        </is>
      </c>
      <c r="F1" t="inlineStr">
        <is>
          <t>PatientID</t>
        </is>
      </c>
      <c r="G1" t="inlineStr">
        <is>
          <t>PatientName</t>
        </is>
      </c>
      <c r="H1" t="inlineStr">
        <is>
          <t>EntryTimestamp</t>
        </is>
      </c>
    </row>
    <row r="2">
      <c r="A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MALE MEDICAL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4">
        <f>IFERROR(INDEX(tblWardConfig[PrevYearRemaining],MATCH("MW",tblWardConfig[WardCode],0)),0)</f>
        <v/>
      </c>
    </row>
    <row r="5">
      <c r="A5" s="4" t="inlineStr">
        <is>
          <t>Bed complement</t>
        </is>
      </c>
      <c r="H5" s="15">
        <f>IFERROR(INDEX(tblWardConfig[BedComplement],MATCH("MW",tblWardConfig[WardCode],0)),0)</f>
        <v/>
      </c>
    </row>
    <row r="6">
      <c r="A6" s="16" t="inlineStr">
        <is>
          <t>Day of
the
Month</t>
        </is>
      </c>
      <c r="B6" s="16" t="inlineStr">
        <is>
          <t>Admissions</t>
        </is>
      </c>
      <c r="C6" s="16" t="inlineStr">
        <is>
          <t>Discharges</t>
        </is>
      </c>
      <c r="D6" s="16" t="inlineStr">
        <is>
          <t>Deaths</t>
        </is>
      </c>
      <c r="E6" s="16" t="inlineStr">
        <is>
          <t>Deaths
&lt;24Hrs</t>
        </is>
      </c>
      <c r="F6" s="16" t="inlineStr">
        <is>
          <t>Transfers-
In</t>
        </is>
      </c>
      <c r="G6" s="16" t="inlineStr">
        <is>
          <t>Transfers-
Out</t>
        </is>
      </c>
      <c r="H6" s="16" t="inlineStr">
        <is>
          <t>No. of Patients
Remaining In
Ward</t>
        </is>
      </c>
    </row>
    <row r="7">
      <c r="A7" s="12" t="n">
        <v>1</v>
      </c>
      <c r="B7" s="12">
        <f>IFERROR(IF(SUMIFS(tblDaily[Admissions],tblDaily[EntryDate],DATE(2026,1,1),tblDaily[WardCode],"MW")=0,"",SUMIFS(tblDaily[Admissions],tblDaily[EntryDate],DATE(2026,1,1),tblDaily[WardCode],"MW")),"")</f>
        <v/>
      </c>
      <c r="C7" s="12">
        <f>IFERROR(IF(SUMIFS(tblDaily[Discharges],tblDaily[EntryDate],DATE(2026,1,1),tblDaily[WardCode],"MW")=0,"",SUMIFS(tblDaily[Discharges],tblDaily[EntryDate],DATE(2026,1,1),tblDaily[WardCode],"MW")),"")</f>
        <v/>
      </c>
      <c r="D7" s="12">
        <f>IFERROR(IF(SUMIFS(tblDaily[Deaths],tblDaily[EntryDate],DATE(2026,1,1),tblDaily[WardCode],"MW")=0,"",SUMIFS(tblDaily[Deaths],tblDaily[EntryDate],DATE(2026,1,1),tblDaily[WardCode],"MW")),"")</f>
        <v/>
      </c>
      <c r="E7" s="12">
        <f>IFERROR(IF(SUMIFS(tblDaily[DeathsUnder24Hrs],tblDaily[EntryDate],DATE(2026,1,1),tblDaily[WardCode],"MW")=0,"",SUMIFS(tblDaily[DeathsUnder24Hrs],tblDaily[EntryDate],DATE(2026,1,1),tblDaily[WardCode],"MW")),"")</f>
        <v/>
      </c>
      <c r="F7" s="12">
        <f>IFERROR(IF(SUMIFS(tblDaily[TransfersIn],tblDaily[EntryDate],DATE(2026,1,1),tblDaily[WardCode],"MW")=0,"",SUMIFS(tblDaily[TransfersIn],tblDaily[EntryDate],DATE(2026,1,1),tblDaily[WardCode],"MW")),"")</f>
        <v/>
      </c>
      <c r="G7" s="12">
        <f>IFERROR(IF(SUMIFS(tblDaily[TransfersOut],tblDaily[EntryDate],DATE(2026,1,1),tblDaily[WardCode],"MW")=0,"",SUMIFS(tblDaily[TransfersOut],tblDaily[EntryDate],DATE(2026,1,1),tblDaily[WardCode],"MW")),"")</f>
        <v/>
      </c>
      <c r="H7" s="12">
        <f>IFERROR(IF(SUMIFS(tblDaily[Remaining],tblDaily[EntryDate],DATE(2026,1,1),tblDaily[WardCode],"MW")=0,"",SUMIFS(tblDaily[Remaining],tblDaily[EntryDate],DATE(2026,1,1),tblDaily[WardCode],"MW")),"")</f>
        <v/>
      </c>
    </row>
    <row r="8">
      <c r="A8" s="12" t="n">
        <v>2</v>
      </c>
      <c r="B8" s="12">
        <f>IFERROR(IF(SUMIFS(tblDaily[Admissions],tblDaily[EntryDate],DATE(2026,1,2),tblDaily[WardCode],"MW")=0,"",SUMIFS(tblDaily[Admissions],tblDaily[EntryDate],DATE(2026,1,2),tblDaily[WardCode],"MW")),"")</f>
        <v/>
      </c>
      <c r="C8" s="12">
        <f>IFERROR(IF(SUMIFS(tblDaily[Discharges],tblDaily[EntryDate],DATE(2026,1,2),tblDaily[WardCode],"MW")=0,"",SUMIFS(tblDaily[Discharges],tblDaily[EntryDate],DATE(2026,1,2),tblDaily[WardCode],"MW")),"")</f>
        <v/>
      </c>
      <c r="D8" s="12">
        <f>IFERROR(IF(SUMIFS(tblDaily[Deaths],tblDaily[EntryDate],DATE(2026,1,2),tblDaily[WardCode],"MW")=0,"",SUMIFS(tblDaily[Deaths],tblDaily[EntryDate],DATE(2026,1,2),tblDaily[WardCode],"MW")),"")</f>
        <v/>
      </c>
      <c r="E8" s="12">
        <f>IFERROR(IF(SUMIFS(tblDaily[DeathsUnder24Hrs],tblDaily[EntryDate],DATE(2026,1,2),tblDaily[WardCode],"MW")=0,"",SUMIFS(tblDaily[DeathsUnder24Hrs],tblDaily[EntryDate],DATE(2026,1,2),tblDaily[WardCode],"MW")),"")</f>
        <v/>
      </c>
      <c r="F8" s="12">
        <f>IFERROR(IF(SUMIFS(tblDaily[TransfersIn],tblDaily[EntryDate],DATE(2026,1,2),tblDaily[WardCode],"MW")=0,"",SUMIFS(tblDaily[TransfersIn],tblDaily[EntryDate],DATE(2026,1,2),tblDaily[WardCode],"MW")),"")</f>
        <v/>
      </c>
      <c r="G8" s="12">
        <f>IFERROR(IF(SUMIFS(tblDaily[TransfersOut],tblDaily[EntryDate],DATE(2026,1,2),tblDaily[WardCode],"MW")=0,"",SUMIFS(tblDaily[TransfersOut],tblDaily[EntryDate],DATE(2026,1,2),tblDaily[WardCode],"MW")),"")</f>
        <v/>
      </c>
      <c r="H8" s="12">
        <f>IFERROR(IF(SUMIFS(tblDaily[Remaining],tblDaily[EntryDate],DATE(2026,1,2),tblDaily[WardCode],"MW")=0,"",SUMIFS(tblDaily[Remaining],tblDaily[EntryDate],DATE(2026,1,2),tblDaily[WardCode],"MW")),"")</f>
        <v/>
      </c>
    </row>
    <row r="9">
      <c r="A9" s="12" t="n">
        <v>3</v>
      </c>
      <c r="B9" s="12">
        <f>IFERROR(IF(SUMIFS(tblDaily[Admissions],tblDaily[EntryDate],DATE(2026,1,3),tblDaily[WardCode],"MW")=0,"",SUMIFS(tblDaily[Admissions],tblDaily[EntryDate],DATE(2026,1,3),tblDaily[WardCode],"MW")),"")</f>
        <v/>
      </c>
      <c r="C9" s="12">
        <f>IFERROR(IF(SUMIFS(tblDaily[Discharges],tblDaily[EntryDate],DATE(2026,1,3),tblDaily[WardCode],"MW")=0,"",SUMIFS(tblDaily[Discharges],tblDaily[EntryDate],DATE(2026,1,3),tblDaily[WardCode],"MW")),"")</f>
        <v/>
      </c>
      <c r="D9" s="12">
        <f>IFERROR(IF(SUMIFS(tblDaily[Deaths],tblDaily[EntryDate],DATE(2026,1,3),tblDaily[WardCode],"MW")=0,"",SUMIFS(tblDaily[Deaths],tblDaily[EntryDate],DATE(2026,1,3),tblDaily[WardCode],"MW")),"")</f>
        <v/>
      </c>
      <c r="E9" s="12">
        <f>IFERROR(IF(SUMIFS(tblDaily[DeathsUnder24Hrs],tblDaily[EntryDate],DATE(2026,1,3),tblDaily[WardCode],"MW")=0,"",SUMIFS(tblDaily[DeathsUnder24Hrs],tblDaily[EntryDate],DATE(2026,1,3),tblDaily[WardCode],"MW")),"")</f>
        <v/>
      </c>
      <c r="F9" s="12">
        <f>IFERROR(IF(SUMIFS(tblDaily[TransfersIn],tblDaily[EntryDate],DATE(2026,1,3),tblDaily[WardCode],"MW")=0,"",SUMIFS(tblDaily[TransfersIn],tblDaily[EntryDate],DATE(2026,1,3),tblDaily[WardCode],"MW")),"")</f>
        <v/>
      </c>
      <c r="G9" s="12">
        <f>IFERROR(IF(SUMIFS(tblDaily[TransfersOut],tblDaily[EntryDate],DATE(2026,1,3),tblDaily[WardCode],"MW")=0,"",SUMIFS(tblDaily[TransfersOut],tblDaily[EntryDate],DATE(2026,1,3),tblDaily[WardCode],"MW")),"")</f>
        <v/>
      </c>
      <c r="H9" s="12">
        <f>IFERROR(IF(SUMIFS(tblDaily[Remaining],tblDaily[EntryDate],DATE(2026,1,3),tblDaily[WardCode],"MW")=0,"",SUMIFS(tblDaily[Remaining],tblDaily[EntryDate],DATE(2026,1,3),tblDaily[WardCode],"MW")),"")</f>
        <v/>
      </c>
    </row>
    <row r="10">
      <c r="A10" s="12" t="n">
        <v>4</v>
      </c>
      <c r="B10" s="12">
        <f>IFERROR(IF(SUMIFS(tblDaily[Admissions],tblDaily[EntryDate],DATE(2026,1,4),tblDaily[WardCode],"MW")=0,"",SUMIFS(tblDaily[Admissions],tblDaily[EntryDate],DATE(2026,1,4),tblDaily[WardCode],"MW")),"")</f>
        <v/>
      </c>
      <c r="C10" s="12">
        <f>IFERROR(IF(SUMIFS(tblDaily[Discharges],tblDaily[EntryDate],DATE(2026,1,4),tblDaily[WardCode],"MW")=0,"",SUMIFS(tblDaily[Discharges],tblDaily[EntryDate],DATE(2026,1,4),tblDaily[WardCode],"MW")),"")</f>
        <v/>
      </c>
      <c r="D10" s="12">
        <f>IFERROR(IF(SUMIFS(tblDaily[Deaths],tblDaily[EntryDate],DATE(2026,1,4),tblDaily[WardCode],"MW")=0,"",SUMIFS(tblDaily[Deaths],tblDaily[EntryDate],DATE(2026,1,4),tblDaily[WardCode],"MW")),"")</f>
        <v/>
      </c>
      <c r="E10" s="12">
        <f>IFERROR(IF(SUMIFS(tblDaily[DeathsUnder24Hrs],tblDaily[EntryDate],DATE(2026,1,4),tblDaily[WardCode],"MW")=0,"",SUMIFS(tblDaily[DeathsUnder24Hrs],tblDaily[EntryDate],DATE(2026,1,4),tblDaily[WardCode],"MW")),"")</f>
        <v/>
      </c>
      <c r="F10" s="12">
        <f>IFERROR(IF(SUMIFS(tblDaily[TransfersIn],tblDaily[EntryDate],DATE(2026,1,4),tblDaily[WardCode],"MW")=0,"",SUMIFS(tblDaily[TransfersIn],tblDaily[EntryDate],DATE(2026,1,4),tblDaily[WardCode],"MW")),"")</f>
        <v/>
      </c>
      <c r="G10" s="12">
        <f>IFERROR(IF(SUMIFS(tblDaily[TransfersOut],tblDaily[EntryDate],DATE(2026,1,4),tblDaily[WardCode],"MW")=0,"",SUMIFS(tblDaily[TransfersOut],tblDaily[EntryDate],DATE(2026,1,4),tblDaily[WardCode],"MW")),"")</f>
        <v/>
      </c>
      <c r="H10" s="12">
        <f>IFERROR(IF(SUMIFS(tblDaily[Remaining],tblDaily[EntryDate],DATE(2026,1,4),tblDaily[WardCode],"MW")=0,"",SUMIFS(tblDaily[Remaining],tblDaily[EntryDate],DATE(2026,1,4),tblDaily[WardCode],"MW")),"")</f>
        <v/>
      </c>
    </row>
    <row r="11">
      <c r="A11" s="12" t="n">
        <v>5</v>
      </c>
      <c r="B11" s="12">
        <f>IFERROR(IF(SUMIFS(tblDaily[Admissions],tblDaily[EntryDate],DATE(2026,1,5),tblDaily[WardCode],"MW")=0,"",SUMIFS(tblDaily[Admissions],tblDaily[EntryDate],DATE(2026,1,5),tblDaily[WardCode],"MW")),"")</f>
        <v/>
      </c>
      <c r="C11" s="12">
        <f>IFERROR(IF(SUMIFS(tblDaily[Discharges],tblDaily[EntryDate],DATE(2026,1,5),tblDaily[WardCode],"MW")=0,"",SUMIFS(tblDaily[Discharges],tblDaily[EntryDate],DATE(2026,1,5),tblDaily[WardCode],"MW")),"")</f>
        <v/>
      </c>
      <c r="D11" s="12">
        <f>IFERROR(IF(SUMIFS(tblDaily[Deaths],tblDaily[EntryDate],DATE(2026,1,5),tblDaily[WardCode],"MW")=0,"",SUMIFS(tblDaily[Deaths],tblDaily[EntryDate],DATE(2026,1,5),tblDaily[WardCode],"MW")),"")</f>
        <v/>
      </c>
      <c r="E11" s="12">
        <f>IFERROR(IF(SUMIFS(tblDaily[DeathsUnder24Hrs],tblDaily[EntryDate],DATE(2026,1,5),tblDaily[WardCode],"MW")=0,"",SUMIFS(tblDaily[DeathsUnder24Hrs],tblDaily[EntryDate],DATE(2026,1,5),tblDaily[WardCode],"MW")),"")</f>
        <v/>
      </c>
      <c r="F11" s="12">
        <f>IFERROR(IF(SUMIFS(tblDaily[TransfersIn],tblDaily[EntryDate],DATE(2026,1,5),tblDaily[WardCode],"MW")=0,"",SUMIFS(tblDaily[TransfersIn],tblDaily[EntryDate],DATE(2026,1,5),tblDaily[WardCode],"MW")),"")</f>
        <v/>
      </c>
      <c r="G11" s="12">
        <f>IFERROR(IF(SUMIFS(tblDaily[TransfersOut],tblDaily[EntryDate],DATE(2026,1,5),tblDaily[WardCode],"MW")=0,"",SUMIFS(tblDaily[TransfersOut],tblDaily[EntryDate],DATE(2026,1,5),tblDaily[WardCode],"MW")),"")</f>
        <v/>
      </c>
      <c r="H11" s="12">
        <f>IFERROR(IF(SUMIFS(tblDaily[Remaining],tblDaily[EntryDate],DATE(2026,1,5),tblDaily[WardCode],"MW")=0,"",SUMIFS(tblDaily[Remaining],tblDaily[EntryDate],DATE(2026,1,5),tblDaily[WardCode],"MW")),"")</f>
        <v/>
      </c>
    </row>
    <row r="12">
      <c r="A12" s="12" t="n">
        <v>6</v>
      </c>
      <c r="B12" s="12">
        <f>IFERROR(IF(SUMIFS(tblDaily[Admissions],tblDaily[EntryDate],DATE(2026,1,6),tblDaily[WardCode],"MW")=0,"",SUMIFS(tblDaily[Admissions],tblDaily[EntryDate],DATE(2026,1,6),tblDaily[WardCode],"MW")),"")</f>
        <v/>
      </c>
      <c r="C12" s="12">
        <f>IFERROR(IF(SUMIFS(tblDaily[Discharges],tblDaily[EntryDate],DATE(2026,1,6),tblDaily[WardCode],"MW")=0,"",SUMIFS(tblDaily[Discharges],tblDaily[EntryDate],DATE(2026,1,6),tblDaily[WardCode],"MW")),"")</f>
        <v/>
      </c>
      <c r="D12" s="12">
        <f>IFERROR(IF(SUMIFS(tblDaily[Deaths],tblDaily[EntryDate],DATE(2026,1,6),tblDaily[WardCode],"MW")=0,"",SUMIFS(tblDaily[Deaths],tblDaily[EntryDate],DATE(2026,1,6),tblDaily[WardCode],"MW")),"")</f>
        <v/>
      </c>
      <c r="E12" s="12">
        <f>IFERROR(IF(SUMIFS(tblDaily[DeathsUnder24Hrs],tblDaily[EntryDate],DATE(2026,1,6),tblDaily[WardCode],"MW")=0,"",SUMIFS(tblDaily[DeathsUnder24Hrs],tblDaily[EntryDate],DATE(2026,1,6),tblDaily[WardCode],"MW")),"")</f>
        <v/>
      </c>
      <c r="F12" s="12">
        <f>IFERROR(IF(SUMIFS(tblDaily[TransfersIn],tblDaily[EntryDate],DATE(2026,1,6),tblDaily[WardCode],"MW")=0,"",SUMIFS(tblDaily[TransfersIn],tblDaily[EntryDate],DATE(2026,1,6),tblDaily[WardCode],"MW")),"")</f>
        <v/>
      </c>
      <c r="G12" s="12">
        <f>IFERROR(IF(SUMIFS(tblDaily[TransfersOut],tblDaily[EntryDate],DATE(2026,1,6),tblDaily[WardCode],"MW")=0,"",SUMIFS(tblDaily[TransfersOut],tblDaily[EntryDate],DATE(2026,1,6),tblDaily[WardCode],"MW")),"")</f>
        <v/>
      </c>
      <c r="H12" s="12">
        <f>IFERROR(IF(SUMIFS(tblDaily[Remaining],tblDaily[EntryDate],DATE(2026,1,6),tblDaily[WardCode],"MW")=0,"",SUMIFS(tblDaily[Remaining],tblDaily[EntryDate],DATE(2026,1,6),tblDaily[WardCode],"MW")),"")</f>
        <v/>
      </c>
    </row>
    <row r="13">
      <c r="A13" s="12" t="n">
        <v>7</v>
      </c>
      <c r="B13" s="12">
        <f>IFERROR(IF(SUMIFS(tblDaily[Admissions],tblDaily[EntryDate],DATE(2026,1,7),tblDaily[WardCode],"MW")=0,"",SUMIFS(tblDaily[Admissions],tblDaily[EntryDate],DATE(2026,1,7),tblDaily[WardCode],"MW")),"")</f>
        <v/>
      </c>
      <c r="C13" s="12">
        <f>IFERROR(IF(SUMIFS(tblDaily[Discharges],tblDaily[EntryDate],DATE(2026,1,7),tblDaily[WardCode],"MW")=0,"",SUMIFS(tblDaily[Discharges],tblDaily[EntryDate],DATE(2026,1,7),tblDaily[WardCode],"MW")),"")</f>
        <v/>
      </c>
      <c r="D13" s="12">
        <f>IFERROR(IF(SUMIFS(tblDaily[Deaths],tblDaily[EntryDate],DATE(2026,1,7),tblDaily[WardCode],"MW")=0,"",SUMIFS(tblDaily[Deaths],tblDaily[EntryDate],DATE(2026,1,7),tblDaily[WardCode],"MW")),"")</f>
        <v/>
      </c>
      <c r="E13" s="12">
        <f>IFERROR(IF(SUMIFS(tblDaily[DeathsUnder24Hrs],tblDaily[EntryDate],DATE(2026,1,7),tblDaily[WardCode],"MW")=0,"",SUMIFS(tblDaily[DeathsUnder24Hrs],tblDaily[EntryDate],DATE(2026,1,7),tblDaily[WardCode],"MW")),"")</f>
        <v/>
      </c>
      <c r="F13" s="12">
        <f>IFERROR(IF(SUMIFS(tblDaily[TransfersIn],tblDaily[EntryDate],DATE(2026,1,7),tblDaily[WardCode],"MW")=0,"",SUMIFS(tblDaily[TransfersIn],tblDaily[EntryDate],DATE(2026,1,7),tblDaily[WardCode],"MW")),"")</f>
        <v/>
      </c>
      <c r="G13" s="12">
        <f>IFERROR(IF(SUMIFS(tblDaily[TransfersOut],tblDaily[EntryDate],DATE(2026,1,7),tblDaily[WardCode],"MW")=0,"",SUMIFS(tblDaily[TransfersOut],tblDaily[EntryDate],DATE(2026,1,7),tblDaily[WardCode],"MW")),"")</f>
        <v/>
      </c>
      <c r="H13" s="12">
        <f>IFERROR(IF(SUMIFS(tblDaily[Remaining],tblDaily[EntryDate],DATE(2026,1,7),tblDaily[WardCode],"MW")=0,"",SUMIFS(tblDaily[Remaining],tblDaily[EntryDate],DATE(2026,1,7),tblDaily[WardCode],"MW")),"")</f>
        <v/>
      </c>
    </row>
    <row r="14">
      <c r="A14" s="12" t="n">
        <v>8</v>
      </c>
      <c r="B14" s="12">
        <f>IFERROR(IF(SUMIFS(tblDaily[Admissions],tblDaily[EntryDate],DATE(2026,1,8),tblDaily[WardCode],"MW")=0,"",SUMIFS(tblDaily[Admissions],tblDaily[EntryDate],DATE(2026,1,8),tblDaily[WardCode],"MW")),"")</f>
        <v/>
      </c>
      <c r="C14" s="12">
        <f>IFERROR(IF(SUMIFS(tblDaily[Discharges],tblDaily[EntryDate],DATE(2026,1,8),tblDaily[WardCode],"MW")=0,"",SUMIFS(tblDaily[Discharges],tblDaily[EntryDate],DATE(2026,1,8),tblDaily[WardCode],"MW")),"")</f>
        <v/>
      </c>
      <c r="D14" s="12">
        <f>IFERROR(IF(SUMIFS(tblDaily[Deaths],tblDaily[EntryDate],DATE(2026,1,8),tblDaily[WardCode],"MW")=0,"",SUMIFS(tblDaily[Deaths],tblDaily[EntryDate],DATE(2026,1,8),tblDaily[WardCode],"MW")),"")</f>
        <v/>
      </c>
      <c r="E14" s="12">
        <f>IFERROR(IF(SUMIFS(tblDaily[DeathsUnder24Hrs],tblDaily[EntryDate],DATE(2026,1,8),tblDaily[WardCode],"MW")=0,"",SUMIFS(tblDaily[DeathsUnder24Hrs],tblDaily[EntryDate],DATE(2026,1,8),tblDaily[WardCode],"MW")),"")</f>
        <v/>
      </c>
      <c r="F14" s="12">
        <f>IFERROR(IF(SUMIFS(tblDaily[TransfersIn],tblDaily[EntryDate],DATE(2026,1,8),tblDaily[WardCode],"MW")=0,"",SUMIFS(tblDaily[TransfersIn],tblDaily[EntryDate],DATE(2026,1,8),tblDaily[WardCode],"MW")),"")</f>
        <v/>
      </c>
      <c r="G14" s="12">
        <f>IFERROR(IF(SUMIFS(tblDaily[TransfersOut],tblDaily[EntryDate],DATE(2026,1,8),tblDaily[WardCode],"MW")=0,"",SUMIFS(tblDaily[TransfersOut],tblDaily[EntryDate],DATE(2026,1,8),tblDaily[WardCode],"MW")),"")</f>
        <v/>
      </c>
      <c r="H14" s="12">
        <f>IFERROR(IF(SUMIFS(tblDaily[Remaining],tblDaily[EntryDate],DATE(2026,1,8),tblDaily[WardCode],"MW")=0,"",SUMIFS(tblDaily[Remaining],tblDaily[EntryDate],DATE(2026,1,8),tblDaily[WardCode],"MW")),"")</f>
        <v/>
      </c>
    </row>
    <row r="15">
      <c r="A15" s="12" t="n">
        <v>9</v>
      </c>
      <c r="B15" s="12">
        <f>IFERROR(IF(SUMIFS(tblDaily[Admissions],tblDaily[EntryDate],DATE(2026,1,9),tblDaily[WardCode],"MW")=0,"",SUMIFS(tblDaily[Admissions],tblDaily[EntryDate],DATE(2026,1,9),tblDaily[WardCode],"MW")),"")</f>
        <v/>
      </c>
      <c r="C15" s="12">
        <f>IFERROR(IF(SUMIFS(tblDaily[Discharges],tblDaily[EntryDate],DATE(2026,1,9),tblDaily[WardCode],"MW")=0,"",SUMIFS(tblDaily[Discharges],tblDaily[EntryDate],DATE(2026,1,9),tblDaily[WardCode],"MW")),"")</f>
        <v/>
      </c>
      <c r="D15" s="12">
        <f>IFERROR(IF(SUMIFS(tblDaily[Deaths],tblDaily[EntryDate],DATE(2026,1,9),tblDaily[WardCode],"MW")=0,"",SUMIFS(tblDaily[Deaths],tblDaily[EntryDate],DATE(2026,1,9),tblDaily[WardCode],"MW")),"")</f>
        <v/>
      </c>
      <c r="E15" s="12">
        <f>IFERROR(IF(SUMIFS(tblDaily[DeathsUnder24Hrs],tblDaily[EntryDate],DATE(2026,1,9),tblDaily[WardCode],"MW")=0,"",SUMIFS(tblDaily[DeathsUnder24Hrs],tblDaily[EntryDate],DATE(2026,1,9),tblDaily[WardCode],"MW")),"")</f>
        <v/>
      </c>
      <c r="F15" s="12">
        <f>IFERROR(IF(SUMIFS(tblDaily[TransfersIn],tblDaily[EntryDate],DATE(2026,1,9),tblDaily[WardCode],"MW")=0,"",SUMIFS(tblDaily[TransfersIn],tblDaily[EntryDate],DATE(2026,1,9),tblDaily[WardCode],"MW")),"")</f>
        <v/>
      </c>
      <c r="G15" s="12">
        <f>IFERROR(IF(SUMIFS(tblDaily[TransfersOut],tblDaily[EntryDate],DATE(2026,1,9),tblDaily[WardCode],"MW")=0,"",SUMIFS(tblDaily[TransfersOut],tblDaily[EntryDate],DATE(2026,1,9),tblDaily[WardCode],"MW")),"")</f>
        <v/>
      </c>
      <c r="H15" s="12">
        <f>IFERROR(IF(SUMIFS(tblDaily[Remaining],tblDaily[EntryDate],DATE(2026,1,9),tblDaily[WardCode],"MW")=0,"",SUMIFS(tblDaily[Remaining],tblDaily[EntryDate],DATE(2026,1,9),tblDaily[WardCode],"MW")),"")</f>
        <v/>
      </c>
    </row>
    <row r="16">
      <c r="A16" s="12" t="n">
        <v>10</v>
      </c>
      <c r="B16" s="12">
        <f>IFERROR(IF(SUMIFS(tblDaily[Admissions],tblDaily[EntryDate],DATE(2026,1,10),tblDaily[WardCode],"MW")=0,"",SUMIFS(tblDaily[Admissions],tblDaily[EntryDate],DATE(2026,1,10),tblDaily[WardCode],"MW")),"")</f>
        <v/>
      </c>
      <c r="C16" s="12">
        <f>IFERROR(IF(SUMIFS(tblDaily[Discharges],tblDaily[EntryDate],DATE(2026,1,10),tblDaily[WardCode],"MW")=0,"",SUMIFS(tblDaily[Discharges],tblDaily[EntryDate],DATE(2026,1,10),tblDaily[WardCode],"MW")),"")</f>
        <v/>
      </c>
      <c r="D16" s="12">
        <f>IFERROR(IF(SUMIFS(tblDaily[Deaths],tblDaily[EntryDate],DATE(2026,1,10),tblDaily[WardCode],"MW")=0,"",SUMIFS(tblDaily[Deaths],tblDaily[EntryDate],DATE(2026,1,10),tblDaily[WardCode],"MW")),"")</f>
        <v/>
      </c>
      <c r="E16" s="12">
        <f>IFERROR(IF(SUMIFS(tblDaily[DeathsUnder24Hrs],tblDaily[EntryDate],DATE(2026,1,10),tblDaily[WardCode],"MW")=0,"",SUMIFS(tblDaily[DeathsUnder24Hrs],tblDaily[EntryDate],DATE(2026,1,10),tblDaily[WardCode],"MW")),"")</f>
        <v/>
      </c>
      <c r="F16" s="12">
        <f>IFERROR(IF(SUMIFS(tblDaily[TransfersIn],tblDaily[EntryDate],DATE(2026,1,10),tblDaily[WardCode],"MW")=0,"",SUMIFS(tblDaily[TransfersIn],tblDaily[EntryDate],DATE(2026,1,10),tblDaily[WardCode],"MW")),"")</f>
        <v/>
      </c>
      <c r="G16" s="12">
        <f>IFERROR(IF(SUMIFS(tblDaily[TransfersOut],tblDaily[EntryDate],DATE(2026,1,10),tblDaily[WardCode],"MW")=0,"",SUMIFS(tblDaily[TransfersOut],tblDaily[EntryDate],DATE(2026,1,10),tblDaily[WardCode],"MW")),"")</f>
        <v/>
      </c>
      <c r="H16" s="12">
        <f>IFERROR(IF(SUMIFS(tblDaily[Remaining],tblDaily[EntryDate],DATE(2026,1,10),tblDaily[WardCode],"MW")=0,"",SUMIFS(tblDaily[Remaining],tblDaily[EntryDate],DATE(2026,1,10),tblDaily[WardCode],"MW")),"")</f>
        <v/>
      </c>
    </row>
    <row r="17">
      <c r="A17" s="12" t="n">
        <v>11</v>
      </c>
      <c r="B17" s="12">
        <f>IFERROR(IF(SUMIFS(tblDaily[Admissions],tblDaily[EntryDate],DATE(2026,1,11),tblDaily[WardCode],"MW")=0,"",SUMIFS(tblDaily[Admissions],tblDaily[EntryDate],DATE(2026,1,11),tblDaily[WardCode],"MW")),"")</f>
        <v/>
      </c>
      <c r="C17" s="12">
        <f>IFERROR(IF(SUMIFS(tblDaily[Discharges],tblDaily[EntryDate],DATE(2026,1,11),tblDaily[WardCode],"MW")=0,"",SUMIFS(tblDaily[Discharges],tblDaily[EntryDate],DATE(2026,1,11),tblDaily[WardCode],"MW")),"")</f>
        <v/>
      </c>
      <c r="D17" s="12">
        <f>IFERROR(IF(SUMIFS(tblDaily[Deaths],tblDaily[EntryDate],DATE(2026,1,11),tblDaily[WardCode],"MW")=0,"",SUMIFS(tblDaily[Deaths],tblDaily[EntryDate],DATE(2026,1,11),tblDaily[WardCode],"MW")),"")</f>
        <v/>
      </c>
      <c r="E17" s="12">
        <f>IFERROR(IF(SUMIFS(tblDaily[DeathsUnder24Hrs],tblDaily[EntryDate],DATE(2026,1,11),tblDaily[WardCode],"MW")=0,"",SUMIFS(tblDaily[DeathsUnder24Hrs],tblDaily[EntryDate],DATE(2026,1,11),tblDaily[WardCode],"MW")),"")</f>
        <v/>
      </c>
      <c r="F17" s="12">
        <f>IFERROR(IF(SUMIFS(tblDaily[TransfersIn],tblDaily[EntryDate],DATE(2026,1,11),tblDaily[WardCode],"MW")=0,"",SUMIFS(tblDaily[TransfersIn],tblDaily[EntryDate],DATE(2026,1,11),tblDaily[WardCode],"MW")),"")</f>
        <v/>
      </c>
      <c r="G17" s="12">
        <f>IFERROR(IF(SUMIFS(tblDaily[TransfersOut],tblDaily[EntryDate],DATE(2026,1,11),tblDaily[WardCode],"MW")=0,"",SUMIFS(tblDaily[TransfersOut],tblDaily[EntryDate],DATE(2026,1,11),tblDaily[WardCode],"MW")),"")</f>
        <v/>
      </c>
      <c r="H17" s="12">
        <f>IFERROR(IF(SUMIFS(tblDaily[Remaining],tblDaily[EntryDate],DATE(2026,1,11),tblDaily[WardCode],"MW")=0,"",SUMIFS(tblDaily[Remaining],tblDaily[EntryDate],DATE(2026,1,11),tblDaily[WardCode],"MW")),"")</f>
        <v/>
      </c>
    </row>
    <row r="18">
      <c r="A18" s="12" t="n">
        <v>12</v>
      </c>
      <c r="B18" s="12">
        <f>IFERROR(IF(SUMIFS(tblDaily[Admissions],tblDaily[EntryDate],DATE(2026,1,12),tblDaily[WardCode],"MW")=0,"",SUMIFS(tblDaily[Admissions],tblDaily[EntryDate],DATE(2026,1,12),tblDaily[WardCode],"MW")),"")</f>
        <v/>
      </c>
      <c r="C18" s="12">
        <f>IFERROR(IF(SUMIFS(tblDaily[Discharges],tblDaily[EntryDate],DATE(2026,1,12),tblDaily[WardCode],"MW")=0,"",SUMIFS(tblDaily[Discharges],tblDaily[EntryDate],DATE(2026,1,12),tblDaily[WardCode],"MW")),"")</f>
        <v/>
      </c>
      <c r="D18" s="12">
        <f>IFERROR(IF(SUMIFS(tblDaily[Deaths],tblDaily[EntryDate],DATE(2026,1,12),tblDaily[WardCode],"MW")=0,"",SUMIFS(tblDaily[Deaths],tblDaily[EntryDate],DATE(2026,1,12),tblDaily[WardCode],"MW")),"")</f>
        <v/>
      </c>
      <c r="E18" s="12">
        <f>IFERROR(IF(SUMIFS(tblDaily[DeathsUnder24Hrs],tblDaily[EntryDate],DATE(2026,1,12),tblDaily[WardCode],"MW")=0,"",SUMIFS(tblDaily[DeathsUnder24Hrs],tblDaily[EntryDate],DATE(2026,1,12),tblDaily[WardCode],"MW")),"")</f>
        <v/>
      </c>
      <c r="F18" s="12">
        <f>IFERROR(IF(SUMIFS(tblDaily[TransfersIn],tblDaily[EntryDate],DATE(2026,1,12),tblDaily[WardCode],"MW")=0,"",SUMIFS(tblDaily[TransfersIn],tblDaily[EntryDate],DATE(2026,1,12),tblDaily[WardCode],"MW")),"")</f>
        <v/>
      </c>
      <c r="G18" s="12">
        <f>IFERROR(IF(SUMIFS(tblDaily[TransfersOut],tblDaily[EntryDate],DATE(2026,1,12),tblDaily[WardCode],"MW")=0,"",SUMIFS(tblDaily[TransfersOut],tblDaily[EntryDate],DATE(2026,1,12),tblDaily[WardCode],"MW")),"")</f>
        <v/>
      </c>
      <c r="H18" s="12">
        <f>IFERROR(IF(SUMIFS(tblDaily[Remaining],tblDaily[EntryDate],DATE(2026,1,12),tblDaily[WardCode],"MW")=0,"",SUMIFS(tblDaily[Remaining],tblDaily[EntryDate],DATE(2026,1,12),tblDaily[WardCode],"MW")),"")</f>
        <v/>
      </c>
    </row>
    <row r="19">
      <c r="A19" s="12" t="n">
        <v>13</v>
      </c>
      <c r="B19" s="12">
        <f>IFERROR(IF(SUMIFS(tblDaily[Admissions],tblDaily[EntryDate],DATE(2026,1,13),tblDaily[WardCode],"MW")=0,"",SUMIFS(tblDaily[Admissions],tblDaily[EntryDate],DATE(2026,1,13),tblDaily[WardCode],"MW")),"")</f>
        <v/>
      </c>
      <c r="C19" s="12">
        <f>IFERROR(IF(SUMIFS(tblDaily[Discharges],tblDaily[EntryDate],DATE(2026,1,13),tblDaily[WardCode],"MW")=0,"",SUMIFS(tblDaily[Discharges],tblDaily[EntryDate],DATE(2026,1,13),tblDaily[WardCode],"MW")),"")</f>
        <v/>
      </c>
      <c r="D19" s="12">
        <f>IFERROR(IF(SUMIFS(tblDaily[Deaths],tblDaily[EntryDate],DATE(2026,1,13),tblDaily[WardCode],"MW")=0,"",SUMIFS(tblDaily[Deaths],tblDaily[EntryDate],DATE(2026,1,13),tblDaily[WardCode],"MW")),"")</f>
        <v/>
      </c>
      <c r="E19" s="12">
        <f>IFERROR(IF(SUMIFS(tblDaily[DeathsUnder24Hrs],tblDaily[EntryDate],DATE(2026,1,13),tblDaily[WardCode],"MW")=0,"",SUMIFS(tblDaily[DeathsUnder24Hrs],tblDaily[EntryDate],DATE(2026,1,13),tblDaily[WardCode],"MW")),"")</f>
        <v/>
      </c>
      <c r="F19" s="12">
        <f>IFERROR(IF(SUMIFS(tblDaily[TransfersIn],tblDaily[EntryDate],DATE(2026,1,13),tblDaily[WardCode],"MW")=0,"",SUMIFS(tblDaily[TransfersIn],tblDaily[EntryDate],DATE(2026,1,13),tblDaily[WardCode],"MW")),"")</f>
        <v/>
      </c>
      <c r="G19" s="12">
        <f>IFERROR(IF(SUMIFS(tblDaily[TransfersOut],tblDaily[EntryDate],DATE(2026,1,13),tblDaily[WardCode],"MW")=0,"",SUMIFS(tblDaily[TransfersOut],tblDaily[EntryDate],DATE(2026,1,13),tblDaily[WardCode],"MW")),"")</f>
        <v/>
      </c>
      <c r="H19" s="12">
        <f>IFERROR(IF(SUMIFS(tblDaily[Remaining],tblDaily[EntryDate],DATE(2026,1,13),tblDaily[WardCode],"MW")=0,"",SUMIFS(tblDaily[Remaining],tblDaily[EntryDate],DATE(2026,1,13),tblDaily[WardCode],"MW")),"")</f>
        <v/>
      </c>
    </row>
    <row r="20">
      <c r="A20" s="12" t="n">
        <v>14</v>
      </c>
      <c r="B20" s="12">
        <f>IFERROR(IF(SUMIFS(tblDaily[Admissions],tblDaily[EntryDate],DATE(2026,1,14),tblDaily[WardCode],"MW")=0,"",SUMIFS(tblDaily[Admissions],tblDaily[EntryDate],DATE(2026,1,14),tblDaily[WardCode],"MW")),"")</f>
        <v/>
      </c>
      <c r="C20" s="12">
        <f>IFERROR(IF(SUMIFS(tblDaily[Discharges],tblDaily[EntryDate],DATE(2026,1,14),tblDaily[WardCode],"MW")=0,"",SUMIFS(tblDaily[Discharges],tblDaily[EntryDate],DATE(2026,1,14),tblDaily[WardCode],"MW")),"")</f>
        <v/>
      </c>
      <c r="D20" s="12">
        <f>IFERROR(IF(SUMIFS(tblDaily[Deaths],tblDaily[EntryDate],DATE(2026,1,14),tblDaily[WardCode],"MW")=0,"",SUMIFS(tblDaily[Deaths],tblDaily[EntryDate],DATE(2026,1,14),tblDaily[WardCode],"MW")),"")</f>
        <v/>
      </c>
      <c r="E20" s="12">
        <f>IFERROR(IF(SUMIFS(tblDaily[DeathsUnder24Hrs],tblDaily[EntryDate],DATE(2026,1,14),tblDaily[WardCode],"MW")=0,"",SUMIFS(tblDaily[DeathsUnder24Hrs],tblDaily[EntryDate],DATE(2026,1,14),tblDaily[WardCode],"MW")),"")</f>
        <v/>
      </c>
      <c r="F20" s="12">
        <f>IFERROR(IF(SUMIFS(tblDaily[TransfersIn],tblDaily[EntryDate],DATE(2026,1,14),tblDaily[WardCode],"MW")=0,"",SUMIFS(tblDaily[TransfersIn],tblDaily[EntryDate],DATE(2026,1,14),tblDaily[WardCode],"MW")),"")</f>
        <v/>
      </c>
      <c r="G20" s="12">
        <f>IFERROR(IF(SUMIFS(tblDaily[TransfersOut],tblDaily[EntryDate],DATE(2026,1,14),tblDaily[WardCode],"MW")=0,"",SUMIFS(tblDaily[TransfersOut],tblDaily[EntryDate],DATE(2026,1,14),tblDaily[WardCode],"MW")),"")</f>
        <v/>
      </c>
      <c r="H20" s="12">
        <f>IFERROR(IF(SUMIFS(tblDaily[Remaining],tblDaily[EntryDate],DATE(2026,1,14),tblDaily[WardCode],"MW")=0,"",SUMIFS(tblDaily[Remaining],tblDaily[EntryDate],DATE(2026,1,14),tblDaily[WardCode],"MW")),"")</f>
        <v/>
      </c>
    </row>
    <row r="21">
      <c r="A21" s="12" t="n">
        <v>15</v>
      </c>
      <c r="B21" s="12">
        <f>IFERROR(IF(SUMIFS(tblDaily[Admissions],tblDaily[EntryDate],DATE(2026,1,15),tblDaily[WardCode],"MW")=0,"",SUMIFS(tblDaily[Admissions],tblDaily[EntryDate],DATE(2026,1,15),tblDaily[WardCode],"MW")),"")</f>
        <v/>
      </c>
      <c r="C21" s="12">
        <f>IFERROR(IF(SUMIFS(tblDaily[Discharges],tblDaily[EntryDate],DATE(2026,1,15),tblDaily[WardCode],"MW")=0,"",SUMIFS(tblDaily[Discharges],tblDaily[EntryDate],DATE(2026,1,15),tblDaily[WardCode],"MW")),"")</f>
        <v/>
      </c>
      <c r="D21" s="12">
        <f>IFERROR(IF(SUMIFS(tblDaily[Deaths],tblDaily[EntryDate],DATE(2026,1,15),tblDaily[WardCode],"MW")=0,"",SUMIFS(tblDaily[Deaths],tblDaily[EntryDate],DATE(2026,1,15),tblDaily[WardCode],"MW")),"")</f>
        <v/>
      </c>
      <c r="E21" s="12">
        <f>IFERROR(IF(SUMIFS(tblDaily[DeathsUnder24Hrs],tblDaily[EntryDate],DATE(2026,1,15),tblDaily[WardCode],"MW")=0,"",SUMIFS(tblDaily[DeathsUnder24Hrs],tblDaily[EntryDate],DATE(2026,1,15),tblDaily[WardCode],"MW")),"")</f>
        <v/>
      </c>
      <c r="F21" s="12">
        <f>IFERROR(IF(SUMIFS(tblDaily[TransfersIn],tblDaily[EntryDate],DATE(2026,1,15),tblDaily[WardCode],"MW")=0,"",SUMIFS(tblDaily[TransfersIn],tblDaily[EntryDate],DATE(2026,1,15),tblDaily[WardCode],"MW")),"")</f>
        <v/>
      </c>
      <c r="G21" s="12">
        <f>IFERROR(IF(SUMIFS(tblDaily[TransfersOut],tblDaily[EntryDate],DATE(2026,1,15),tblDaily[WardCode],"MW")=0,"",SUMIFS(tblDaily[TransfersOut],tblDaily[EntryDate],DATE(2026,1,15),tblDaily[WardCode],"MW")),"")</f>
        <v/>
      </c>
      <c r="H21" s="12">
        <f>IFERROR(IF(SUMIFS(tblDaily[Remaining],tblDaily[EntryDate],DATE(2026,1,15),tblDaily[WardCode],"MW")=0,"",SUMIFS(tblDaily[Remaining],tblDaily[EntryDate],DATE(2026,1,15),tblDaily[WardCode],"MW")),"")</f>
        <v/>
      </c>
    </row>
    <row r="22">
      <c r="A22" s="12" t="n">
        <v>16</v>
      </c>
      <c r="B22" s="12">
        <f>IFERROR(IF(SUMIFS(tblDaily[Admissions],tblDaily[EntryDate],DATE(2026,1,16),tblDaily[WardCode],"MW")=0,"",SUMIFS(tblDaily[Admissions],tblDaily[EntryDate],DATE(2026,1,16),tblDaily[WardCode],"MW")),"")</f>
        <v/>
      </c>
      <c r="C22" s="12">
        <f>IFERROR(IF(SUMIFS(tblDaily[Discharges],tblDaily[EntryDate],DATE(2026,1,16),tblDaily[WardCode],"MW")=0,"",SUMIFS(tblDaily[Discharges],tblDaily[EntryDate],DATE(2026,1,16),tblDaily[WardCode],"MW")),"")</f>
        <v/>
      </c>
      <c r="D22" s="12">
        <f>IFERROR(IF(SUMIFS(tblDaily[Deaths],tblDaily[EntryDate],DATE(2026,1,16),tblDaily[WardCode],"MW")=0,"",SUMIFS(tblDaily[Deaths],tblDaily[EntryDate],DATE(2026,1,16),tblDaily[WardCode],"MW")),"")</f>
        <v/>
      </c>
      <c r="E22" s="12">
        <f>IFERROR(IF(SUMIFS(tblDaily[DeathsUnder24Hrs],tblDaily[EntryDate],DATE(2026,1,16),tblDaily[WardCode],"MW")=0,"",SUMIFS(tblDaily[DeathsUnder24Hrs],tblDaily[EntryDate],DATE(2026,1,16),tblDaily[WardCode],"MW")),"")</f>
        <v/>
      </c>
      <c r="F22" s="12">
        <f>IFERROR(IF(SUMIFS(tblDaily[TransfersIn],tblDaily[EntryDate],DATE(2026,1,16),tblDaily[WardCode],"MW")=0,"",SUMIFS(tblDaily[TransfersIn],tblDaily[EntryDate],DATE(2026,1,16),tblDaily[WardCode],"MW")),"")</f>
        <v/>
      </c>
      <c r="G22" s="12">
        <f>IFERROR(IF(SUMIFS(tblDaily[TransfersOut],tblDaily[EntryDate],DATE(2026,1,16),tblDaily[WardCode],"MW")=0,"",SUMIFS(tblDaily[TransfersOut],tblDaily[EntryDate],DATE(2026,1,16),tblDaily[WardCode],"MW")),"")</f>
        <v/>
      </c>
      <c r="H22" s="12">
        <f>IFERROR(IF(SUMIFS(tblDaily[Remaining],tblDaily[EntryDate],DATE(2026,1,16),tblDaily[WardCode],"MW")=0,"",SUMIFS(tblDaily[Remaining],tblDaily[EntryDate],DATE(2026,1,16),tblDaily[WardCode],"MW")),"")</f>
        <v/>
      </c>
    </row>
    <row r="23">
      <c r="A23" s="12" t="n">
        <v>17</v>
      </c>
      <c r="B23" s="12">
        <f>IFERROR(IF(SUMIFS(tblDaily[Admissions],tblDaily[EntryDate],DATE(2026,1,17),tblDaily[WardCode],"MW")=0,"",SUMIFS(tblDaily[Admissions],tblDaily[EntryDate],DATE(2026,1,17),tblDaily[WardCode],"MW")),"")</f>
        <v/>
      </c>
      <c r="C23" s="12">
        <f>IFERROR(IF(SUMIFS(tblDaily[Discharges],tblDaily[EntryDate],DATE(2026,1,17),tblDaily[WardCode],"MW")=0,"",SUMIFS(tblDaily[Discharges],tblDaily[EntryDate],DATE(2026,1,17),tblDaily[WardCode],"MW")),"")</f>
        <v/>
      </c>
      <c r="D23" s="12">
        <f>IFERROR(IF(SUMIFS(tblDaily[Deaths],tblDaily[EntryDate],DATE(2026,1,17),tblDaily[WardCode],"MW")=0,"",SUMIFS(tblDaily[Deaths],tblDaily[EntryDate],DATE(2026,1,17),tblDaily[WardCode],"MW")),"")</f>
        <v/>
      </c>
      <c r="E23" s="12">
        <f>IFERROR(IF(SUMIFS(tblDaily[DeathsUnder24Hrs],tblDaily[EntryDate],DATE(2026,1,17),tblDaily[WardCode],"MW")=0,"",SUMIFS(tblDaily[DeathsUnder24Hrs],tblDaily[EntryDate],DATE(2026,1,17),tblDaily[WardCode],"MW")),"")</f>
        <v/>
      </c>
      <c r="F23" s="12">
        <f>IFERROR(IF(SUMIFS(tblDaily[TransfersIn],tblDaily[EntryDate],DATE(2026,1,17),tblDaily[WardCode],"MW")=0,"",SUMIFS(tblDaily[TransfersIn],tblDaily[EntryDate],DATE(2026,1,17),tblDaily[WardCode],"MW")),"")</f>
        <v/>
      </c>
      <c r="G23" s="12">
        <f>IFERROR(IF(SUMIFS(tblDaily[TransfersOut],tblDaily[EntryDate],DATE(2026,1,17),tblDaily[WardCode],"MW")=0,"",SUMIFS(tblDaily[TransfersOut],tblDaily[EntryDate],DATE(2026,1,17),tblDaily[WardCode],"MW")),"")</f>
        <v/>
      </c>
      <c r="H23" s="12">
        <f>IFERROR(IF(SUMIFS(tblDaily[Remaining],tblDaily[EntryDate],DATE(2026,1,17),tblDaily[WardCode],"MW")=0,"",SUMIFS(tblDaily[Remaining],tblDaily[EntryDate],DATE(2026,1,17),tblDaily[WardCode],"MW")),"")</f>
        <v/>
      </c>
    </row>
    <row r="24">
      <c r="A24" s="12" t="n">
        <v>18</v>
      </c>
      <c r="B24" s="12">
        <f>IFERROR(IF(SUMIFS(tblDaily[Admissions],tblDaily[EntryDate],DATE(2026,1,18),tblDaily[WardCode],"MW")=0,"",SUMIFS(tblDaily[Admissions],tblDaily[EntryDate],DATE(2026,1,18),tblDaily[WardCode],"MW")),"")</f>
        <v/>
      </c>
      <c r="C24" s="12">
        <f>IFERROR(IF(SUMIFS(tblDaily[Discharges],tblDaily[EntryDate],DATE(2026,1,18),tblDaily[WardCode],"MW")=0,"",SUMIFS(tblDaily[Discharges],tblDaily[EntryDate],DATE(2026,1,18),tblDaily[WardCode],"MW")),"")</f>
        <v/>
      </c>
      <c r="D24" s="12">
        <f>IFERROR(IF(SUMIFS(tblDaily[Deaths],tblDaily[EntryDate],DATE(2026,1,18),tblDaily[WardCode],"MW")=0,"",SUMIFS(tblDaily[Deaths],tblDaily[EntryDate],DATE(2026,1,18),tblDaily[WardCode],"MW")),"")</f>
        <v/>
      </c>
      <c r="E24" s="12">
        <f>IFERROR(IF(SUMIFS(tblDaily[DeathsUnder24Hrs],tblDaily[EntryDate],DATE(2026,1,18),tblDaily[WardCode],"MW")=0,"",SUMIFS(tblDaily[DeathsUnder24Hrs],tblDaily[EntryDate],DATE(2026,1,18),tblDaily[WardCode],"MW")),"")</f>
        <v/>
      </c>
      <c r="F24" s="12">
        <f>IFERROR(IF(SUMIFS(tblDaily[TransfersIn],tblDaily[EntryDate],DATE(2026,1,18),tblDaily[WardCode],"MW")=0,"",SUMIFS(tblDaily[TransfersIn],tblDaily[EntryDate],DATE(2026,1,18),tblDaily[WardCode],"MW")),"")</f>
        <v/>
      </c>
      <c r="G24" s="12">
        <f>IFERROR(IF(SUMIFS(tblDaily[TransfersOut],tblDaily[EntryDate],DATE(2026,1,18),tblDaily[WardCode],"MW")=0,"",SUMIFS(tblDaily[TransfersOut],tblDaily[EntryDate],DATE(2026,1,18),tblDaily[WardCode],"MW")),"")</f>
        <v/>
      </c>
      <c r="H24" s="12">
        <f>IFERROR(IF(SUMIFS(tblDaily[Remaining],tblDaily[EntryDate],DATE(2026,1,18),tblDaily[WardCode],"MW")=0,"",SUMIFS(tblDaily[Remaining],tblDaily[EntryDate],DATE(2026,1,18),tblDaily[WardCode],"MW")),"")</f>
        <v/>
      </c>
    </row>
    <row r="25">
      <c r="A25" s="12" t="n">
        <v>19</v>
      </c>
      <c r="B25" s="12">
        <f>IFERROR(IF(SUMIFS(tblDaily[Admissions],tblDaily[EntryDate],DATE(2026,1,19),tblDaily[WardCode],"MW")=0,"",SUMIFS(tblDaily[Admissions],tblDaily[EntryDate],DATE(2026,1,19),tblDaily[WardCode],"MW")),"")</f>
        <v/>
      </c>
      <c r="C25" s="12">
        <f>IFERROR(IF(SUMIFS(tblDaily[Discharges],tblDaily[EntryDate],DATE(2026,1,19),tblDaily[WardCode],"MW")=0,"",SUMIFS(tblDaily[Discharges],tblDaily[EntryDate],DATE(2026,1,19),tblDaily[WardCode],"MW")),"")</f>
        <v/>
      </c>
      <c r="D25" s="12">
        <f>IFERROR(IF(SUMIFS(tblDaily[Deaths],tblDaily[EntryDate],DATE(2026,1,19),tblDaily[WardCode],"MW")=0,"",SUMIFS(tblDaily[Deaths],tblDaily[EntryDate],DATE(2026,1,19),tblDaily[WardCode],"MW")),"")</f>
        <v/>
      </c>
      <c r="E25" s="12">
        <f>IFERROR(IF(SUMIFS(tblDaily[DeathsUnder24Hrs],tblDaily[EntryDate],DATE(2026,1,19),tblDaily[WardCode],"MW")=0,"",SUMIFS(tblDaily[DeathsUnder24Hrs],tblDaily[EntryDate],DATE(2026,1,19),tblDaily[WardCode],"MW")),"")</f>
        <v/>
      </c>
      <c r="F25" s="12">
        <f>IFERROR(IF(SUMIFS(tblDaily[TransfersIn],tblDaily[EntryDate],DATE(2026,1,19),tblDaily[WardCode],"MW")=0,"",SUMIFS(tblDaily[TransfersIn],tblDaily[EntryDate],DATE(2026,1,19),tblDaily[WardCode],"MW")),"")</f>
        <v/>
      </c>
      <c r="G25" s="12">
        <f>IFERROR(IF(SUMIFS(tblDaily[TransfersOut],tblDaily[EntryDate],DATE(2026,1,19),tblDaily[WardCode],"MW")=0,"",SUMIFS(tblDaily[TransfersOut],tblDaily[EntryDate],DATE(2026,1,19),tblDaily[WardCode],"MW")),"")</f>
        <v/>
      </c>
      <c r="H25" s="12">
        <f>IFERROR(IF(SUMIFS(tblDaily[Remaining],tblDaily[EntryDate],DATE(2026,1,19),tblDaily[WardCode],"MW")=0,"",SUMIFS(tblDaily[Remaining],tblDaily[EntryDate],DATE(2026,1,19),tblDaily[WardCode],"MW")),"")</f>
        <v/>
      </c>
    </row>
    <row r="26">
      <c r="A26" s="12" t="n">
        <v>20</v>
      </c>
      <c r="B26" s="12">
        <f>IFERROR(IF(SUMIFS(tblDaily[Admissions],tblDaily[EntryDate],DATE(2026,1,20),tblDaily[WardCode],"MW")=0,"",SUMIFS(tblDaily[Admissions],tblDaily[EntryDate],DATE(2026,1,20),tblDaily[WardCode],"MW")),"")</f>
        <v/>
      </c>
      <c r="C26" s="12">
        <f>IFERROR(IF(SUMIFS(tblDaily[Discharges],tblDaily[EntryDate],DATE(2026,1,20),tblDaily[WardCode],"MW")=0,"",SUMIFS(tblDaily[Discharges],tblDaily[EntryDate],DATE(2026,1,20),tblDaily[WardCode],"MW")),"")</f>
        <v/>
      </c>
      <c r="D26" s="12">
        <f>IFERROR(IF(SUMIFS(tblDaily[Deaths],tblDaily[EntryDate],DATE(2026,1,20),tblDaily[WardCode],"MW")=0,"",SUMIFS(tblDaily[Deaths],tblDaily[EntryDate],DATE(2026,1,20),tblDaily[WardCode],"MW")),"")</f>
        <v/>
      </c>
      <c r="E26" s="12">
        <f>IFERROR(IF(SUMIFS(tblDaily[DeathsUnder24Hrs],tblDaily[EntryDate],DATE(2026,1,20),tblDaily[WardCode],"MW")=0,"",SUMIFS(tblDaily[DeathsUnder24Hrs],tblDaily[EntryDate],DATE(2026,1,20),tblDaily[WardCode],"MW")),"")</f>
        <v/>
      </c>
      <c r="F26" s="12">
        <f>IFERROR(IF(SUMIFS(tblDaily[TransfersIn],tblDaily[EntryDate],DATE(2026,1,20),tblDaily[WardCode],"MW")=0,"",SUMIFS(tblDaily[TransfersIn],tblDaily[EntryDate],DATE(2026,1,20),tblDaily[WardCode],"MW")),"")</f>
        <v/>
      </c>
      <c r="G26" s="12">
        <f>IFERROR(IF(SUMIFS(tblDaily[TransfersOut],tblDaily[EntryDate],DATE(2026,1,20),tblDaily[WardCode],"MW")=0,"",SUMIFS(tblDaily[TransfersOut],tblDaily[EntryDate],DATE(2026,1,20),tblDaily[WardCode],"MW")),"")</f>
        <v/>
      </c>
      <c r="H26" s="12">
        <f>IFERROR(IF(SUMIFS(tblDaily[Remaining],tblDaily[EntryDate],DATE(2026,1,20),tblDaily[WardCode],"MW")=0,"",SUMIFS(tblDaily[Remaining],tblDaily[EntryDate],DATE(2026,1,20),tblDaily[WardCode],"MW")),"")</f>
        <v/>
      </c>
    </row>
    <row r="27">
      <c r="A27" s="12" t="n">
        <v>21</v>
      </c>
      <c r="B27" s="12">
        <f>IFERROR(IF(SUMIFS(tblDaily[Admissions],tblDaily[EntryDate],DATE(2026,1,21),tblDaily[WardCode],"MW")=0,"",SUMIFS(tblDaily[Admissions],tblDaily[EntryDate],DATE(2026,1,21),tblDaily[WardCode],"MW")),"")</f>
        <v/>
      </c>
      <c r="C27" s="12">
        <f>IFERROR(IF(SUMIFS(tblDaily[Discharges],tblDaily[EntryDate],DATE(2026,1,21),tblDaily[WardCode],"MW")=0,"",SUMIFS(tblDaily[Discharges],tblDaily[EntryDate],DATE(2026,1,21),tblDaily[WardCode],"MW")),"")</f>
        <v/>
      </c>
      <c r="D27" s="12">
        <f>IFERROR(IF(SUMIFS(tblDaily[Deaths],tblDaily[EntryDate],DATE(2026,1,21),tblDaily[WardCode],"MW")=0,"",SUMIFS(tblDaily[Deaths],tblDaily[EntryDate],DATE(2026,1,21),tblDaily[WardCode],"MW")),"")</f>
        <v/>
      </c>
      <c r="E27" s="12">
        <f>IFERROR(IF(SUMIFS(tblDaily[DeathsUnder24Hrs],tblDaily[EntryDate],DATE(2026,1,21),tblDaily[WardCode],"MW")=0,"",SUMIFS(tblDaily[DeathsUnder24Hrs],tblDaily[EntryDate],DATE(2026,1,21),tblDaily[WardCode],"MW")),"")</f>
        <v/>
      </c>
      <c r="F27" s="12">
        <f>IFERROR(IF(SUMIFS(tblDaily[TransfersIn],tblDaily[EntryDate],DATE(2026,1,21),tblDaily[WardCode],"MW")=0,"",SUMIFS(tblDaily[TransfersIn],tblDaily[EntryDate],DATE(2026,1,21),tblDaily[WardCode],"MW")),"")</f>
        <v/>
      </c>
      <c r="G27" s="12">
        <f>IFERROR(IF(SUMIFS(tblDaily[TransfersOut],tblDaily[EntryDate],DATE(2026,1,21),tblDaily[WardCode],"MW")=0,"",SUMIFS(tblDaily[TransfersOut],tblDaily[EntryDate],DATE(2026,1,21),tblDaily[WardCode],"MW")),"")</f>
        <v/>
      </c>
      <c r="H27" s="12">
        <f>IFERROR(IF(SUMIFS(tblDaily[Remaining],tblDaily[EntryDate],DATE(2026,1,21),tblDaily[WardCode],"MW")=0,"",SUMIFS(tblDaily[Remaining],tblDaily[EntryDate],DATE(2026,1,21),tblDaily[WardCode],"MW")),"")</f>
        <v/>
      </c>
    </row>
    <row r="28">
      <c r="A28" s="12" t="n">
        <v>22</v>
      </c>
      <c r="B28" s="12">
        <f>IFERROR(IF(SUMIFS(tblDaily[Admissions],tblDaily[EntryDate],DATE(2026,1,22),tblDaily[WardCode],"MW")=0,"",SUMIFS(tblDaily[Admissions],tblDaily[EntryDate],DATE(2026,1,22),tblDaily[WardCode],"MW")),"")</f>
        <v/>
      </c>
      <c r="C28" s="12">
        <f>IFERROR(IF(SUMIFS(tblDaily[Discharges],tblDaily[EntryDate],DATE(2026,1,22),tblDaily[WardCode],"MW")=0,"",SUMIFS(tblDaily[Discharges],tblDaily[EntryDate],DATE(2026,1,22),tblDaily[WardCode],"MW")),"")</f>
        <v/>
      </c>
      <c r="D28" s="12">
        <f>IFERROR(IF(SUMIFS(tblDaily[Deaths],tblDaily[EntryDate],DATE(2026,1,22),tblDaily[WardCode],"MW")=0,"",SUMIFS(tblDaily[Deaths],tblDaily[EntryDate],DATE(2026,1,22),tblDaily[WardCode],"MW")),"")</f>
        <v/>
      </c>
      <c r="E28" s="12">
        <f>IFERROR(IF(SUMIFS(tblDaily[DeathsUnder24Hrs],tblDaily[EntryDate],DATE(2026,1,22),tblDaily[WardCode],"MW")=0,"",SUMIFS(tblDaily[DeathsUnder24Hrs],tblDaily[EntryDate],DATE(2026,1,22),tblDaily[WardCode],"MW")),"")</f>
        <v/>
      </c>
      <c r="F28" s="12">
        <f>IFERROR(IF(SUMIFS(tblDaily[TransfersIn],tblDaily[EntryDate],DATE(2026,1,22),tblDaily[WardCode],"MW")=0,"",SUMIFS(tblDaily[TransfersIn],tblDaily[EntryDate],DATE(2026,1,22),tblDaily[WardCode],"MW")),"")</f>
        <v/>
      </c>
      <c r="G28" s="12">
        <f>IFERROR(IF(SUMIFS(tblDaily[TransfersOut],tblDaily[EntryDate],DATE(2026,1,22),tblDaily[WardCode],"MW")=0,"",SUMIFS(tblDaily[TransfersOut],tblDaily[EntryDate],DATE(2026,1,22),tblDaily[WardCode],"MW")),"")</f>
        <v/>
      </c>
      <c r="H28" s="12">
        <f>IFERROR(IF(SUMIFS(tblDaily[Remaining],tblDaily[EntryDate],DATE(2026,1,22),tblDaily[WardCode],"MW")=0,"",SUMIFS(tblDaily[Remaining],tblDaily[EntryDate],DATE(2026,1,22),tblDaily[WardCode],"MW")),"")</f>
        <v/>
      </c>
    </row>
    <row r="29">
      <c r="A29" s="12" t="n">
        <v>23</v>
      </c>
      <c r="B29" s="12">
        <f>IFERROR(IF(SUMIFS(tblDaily[Admissions],tblDaily[EntryDate],DATE(2026,1,23),tblDaily[WardCode],"MW")=0,"",SUMIFS(tblDaily[Admissions],tblDaily[EntryDate],DATE(2026,1,23),tblDaily[WardCode],"MW")),"")</f>
        <v/>
      </c>
      <c r="C29" s="12">
        <f>IFERROR(IF(SUMIFS(tblDaily[Discharges],tblDaily[EntryDate],DATE(2026,1,23),tblDaily[WardCode],"MW")=0,"",SUMIFS(tblDaily[Discharges],tblDaily[EntryDate],DATE(2026,1,23),tblDaily[WardCode],"MW")),"")</f>
        <v/>
      </c>
      <c r="D29" s="12">
        <f>IFERROR(IF(SUMIFS(tblDaily[Deaths],tblDaily[EntryDate],DATE(2026,1,23),tblDaily[WardCode],"MW")=0,"",SUMIFS(tblDaily[Deaths],tblDaily[EntryDate],DATE(2026,1,23),tblDaily[WardCode],"MW")),"")</f>
        <v/>
      </c>
      <c r="E29" s="12">
        <f>IFERROR(IF(SUMIFS(tblDaily[DeathsUnder24Hrs],tblDaily[EntryDate],DATE(2026,1,23),tblDaily[WardCode],"MW")=0,"",SUMIFS(tblDaily[DeathsUnder24Hrs],tblDaily[EntryDate],DATE(2026,1,23),tblDaily[WardCode],"MW")),"")</f>
        <v/>
      </c>
      <c r="F29" s="12">
        <f>IFERROR(IF(SUMIFS(tblDaily[TransfersIn],tblDaily[EntryDate],DATE(2026,1,23),tblDaily[WardCode],"MW")=0,"",SUMIFS(tblDaily[TransfersIn],tblDaily[EntryDate],DATE(2026,1,23),tblDaily[WardCode],"MW")),"")</f>
        <v/>
      </c>
      <c r="G29" s="12">
        <f>IFERROR(IF(SUMIFS(tblDaily[TransfersOut],tblDaily[EntryDate],DATE(2026,1,23),tblDaily[WardCode],"MW")=0,"",SUMIFS(tblDaily[TransfersOut],tblDaily[EntryDate],DATE(2026,1,23),tblDaily[WardCode],"MW")),"")</f>
        <v/>
      </c>
      <c r="H29" s="12">
        <f>IFERROR(IF(SUMIFS(tblDaily[Remaining],tblDaily[EntryDate],DATE(2026,1,23),tblDaily[WardCode],"MW")=0,"",SUMIFS(tblDaily[Remaining],tblDaily[EntryDate],DATE(2026,1,23),tblDaily[WardCode],"MW")),"")</f>
        <v/>
      </c>
    </row>
    <row r="30">
      <c r="A30" s="12" t="n">
        <v>24</v>
      </c>
      <c r="B30" s="12">
        <f>IFERROR(IF(SUMIFS(tblDaily[Admissions],tblDaily[EntryDate],DATE(2026,1,24),tblDaily[WardCode],"MW")=0,"",SUMIFS(tblDaily[Admissions],tblDaily[EntryDate],DATE(2026,1,24),tblDaily[WardCode],"MW")),"")</f>
        <v/>
      </c>
      <c r="C30" s="12">
        <f>IFERROR(IF(SUMIFS(tblDaily[Discharges],tblDaily[EntryDate],DATE(2026,1,24),tblDaily[WardCode],"MW")=0,"",SUMIFS(tblDaily[Discharges],tblDaily[EntryDate],DATE(2026,1,24),tblDaily[WardCode],"MW")),"")</f>
        <v/>
      </c>
      <c r="D30" s="12">
        <f>IFERROR(IF(SUMIFS(tblDaily[Deaths],tblDaily[EntryDate],DATE(2026,1,24),tblDaily[WardCode],"MW")=0,"",SUMIFS(tblDaily[Deaths],tblDaily[EntryDate],DATE(2026,1,24),tblDaily[WardCode],"MW")),"")</f>
        <v/>
      </c>
      <c r="E30" s="12">
        <f>IFERROR(IF(SUMIFS(tblDaily[DeathsUnder24Hrs],tblDaily[EntryDate],DATE(2026,1,24),tblDaily[WardCode],"MW")=0,"",SUMIFS(tblDaily[DeathsUnder24Hrs],tblDaily[EntryDate],DATE(2026,1,24),tblDaily[WardCode],"MW")),"")</f>
        <v/>
      </c>
      <c r="F30" s="12">
        <f>IFERROR(IF(SUMIFS(tblDaily[TransfersIn],tblDaily[EntryDate],DATE(2026,1,24),tblDaily[WardCode],"MW")=0,"",SUMIFS(tblDaily[TransfersIn],tblDaily[EntryDate],DATE(2026,1,24),tblDaily[WardCode],"MW")),"")</f>
        <v/>
      </c>
      <c r="G30" s="12">
        <f>IFERROR(IF(SUMIFS(tblDaily[TransfersOut],tblDaily[EntryDate],DATE(2026,1,24),tblDaily[WardCode],"MW")=0,"",SUMIFS(tblDaily[TransfersOut],tblDaily[EntryDate],DATE(2026,1,24),tblDaily[WardCode],"MW")),"")</f>
        <v/>
      </c>
      <c r="H30" s="12">
        <f>IFERROR(IF(SUMIFS(tblDaily[Remaining],tblDaily[EntryDate],DATE(2026,1,24),tblDaily[WardCode],"MW")=0,"",SUMIFS(tblDaily[Remaining],tblDaily[EntryDate],DATE(2026,1,24),tblDaily[WardCode],"MW")),"")</f>
        <v/>
      </c>
    </row>
    <row r="31">
      <c r="A31" s="12" t="n">
        <v>25</v>
      </c>
      <c r="B31" s="12">
        <f>IFERROR(IF(SUMIFS(tblDaily[Admissions],tblDaily[EntryDate],DATE(2026,1,25),tblDaily[WardCode],"MW")=0,"",SUMIFS(tblDaily[Admissions],tblDaily[EntryDate],DATE(2026,1,25),tblDaily[WardCode],"MW")),"")</f>
        <v/>
      </c>
      <c r="C31" s="12">
        <f>IFERROR(IF(SUMIFS(tblDaily[Discharges],tblDaily[EntryDate],DATE(2026,1,25),tblDaily[WardCode],"MW")=0,"",SUMIFS(tblDaily[Discharges],tblDaily[EntryDate],DATE(2026,1,25),tblDaily[WardCode],"MW")),"")</f>
        <v/>
      </c>
      <c r="D31" s="12">
        <f>IFERROR(IF(SUMIFS(tblDaily[Deaths],tblDaily[EntryDate],DATE(2026,1,25),tblDaily[WardCode],"MW")=0,"",SUMIFS(tblDaily[Deaths],tblDaily[EntryDate],DATE(2026,1,25),tblDaily[WardCode],"MW")),"")</f>
        <v/>
      </c>
      <c r="E31" s="12">
        <f>IFERROR(IF(SUMIFS(tblDaily[DeathsUnder24Hrs],tblDaily[EntryDate],DATE(2026,1,25),tblDaily[WardCode],"MW")=0,"",SUMIFS(tblDaily[DeathsUnder24Hrs],tblDaily[EntryDate],DATE(2026,1,25),tblDaily[WardCode],"MW")),"")</f>
        <v/>
      </c>
      <c r="F31" s="12">
        <f>IFERROR(IF(SUMIFS(tblDaily[TransfersIn],tblDaily[EntryDate],DATE(2026,1,25),tblDaily[WardCode],"MW")=0,"",SUMIFS(tblDaily[TransfersIn],tblDaily[EntryDate],DATE(2026,1,25),tblDaily[WardCode],"MW")),"")</f>
        <v/>
      </c>
      <c r="G31" s="12">
        <f>IFERROR(IF(SUMIFS(tblDaily[TransfersOut],tblDaily[EntryDate],DATE(2026,1,25),tblDaily[WardCode],"MW")=0,"",SUMIFS(tblDaily[TransfersOut],tblDaily[EntryDate],DATE(2026,1,25),tblDaily[WardCode],"MW")),"")</f>
        <v/>
      </c>
      <c r="H31" s="12">
        <f>IFERROR(IF(SUMIFS(tblDaily[Remaining],tblDaily[EntryDate],DATE(2026,1,25),tblDaily[WardCode],"MW")=0,"",SUMIFS(tblDaily[Remaining],tblDaily[EntryDate],DATE(2026,1,25),tblDaily[WardCode],"MW")),"")</f>
        <v/>
      </c>
    </row>
    <row r="32">
      <c r="A32" s="12" t="n">
        <v>26</v>
      </c>
      <c r="B32" s="12">
        <f>IFERROR(IF(SUMIFS(tblDaily[Admissions],tblDaily[EntryDate],DATE(2026,1,26),tblDaily[WardCode],"MW")=0,"",SUMIFS(tblDaily[Admissions],tblDaily[EntryDate],DATE(2026,1,26),tblDaily[WardCode],"MW")),"")</f>
        <v/>
      </c>
      <c r="C32" s="12">
        <f>IFERROR(IF(SUMIFS(tblDaily[Discharges],tblDaily[EntryDate],DATE(2026,1,26),tblDaily[WardCode],"MW")=0,"",SUMIFS(tblDaily[Discharges],tblDaily[EntryDate],DATE(2026,1,26),tblDaily[WardCode],"MW")),"")</f>
        <v/>
      </c>
      <c r="D32" s="12">
        <f>IFERROR(IF(SUMIFS(tblDaily[Deaths],tblDaily[EntryDate],DATE(2026,1,26),tblDaily[WardCode],"MW")=0,"",SUMIFS(tblDaily[Deaths],tblDaily[EntryDate],DATE(2026,1,26),tblDaily[WardCode],"MW")),"")</f>
        <v/>
      </c>
      <c r="E32" s="12">
        <f>IFERROR(IF(SUMIFS(tblDaily[DeathsUnder24Hrs],tblDaily[EntryDate],DATE(2026,1,26),tblDaily[WardCode],"MW")=0,"",SUMIFS(tblDaily[DeathsUnder24Hrs],tblDaily[EntryDate],DATE(2026,1,26),tblDaily[WardCode],"MW")),"")</f>
        <v/>
      </c>
      <c r="F32" s="12">
        <f>IFERROR(IF(SUMIFS(tblDaily[TransfersIn],tblDaily[EntryDate],DATE(2026,1,26),tblDaily[WardCode],"MW")=0,"",SUMIFS(tblDaily[TransfersIn],tblDaily[EntryDate],DATE(2026,1,26),tblDaily[WardCode],"MW")),"")</f>
        <v/>
      </c>
      <c r="G32" s="12">
        <f>IFERROR(IF(SUMIFS(tblDaily[TransfersOut],tblDaily[EntryDate],DATE(2026,1,26),tblDaily[WardCode],"MW")=0,"",SUMIFS(tblDaily[TransfersOut],tblDaily[EntryDate],DATE(2026,1,26),tblDaily[WardCode],"MW")),"")</f>
        <v/>
      </c>
      <c r="H32" s="12">
        <f>IFERROR(IF(SUMIFS(tblDaily[Remaining],tblDaily[EntryDate],DATE(2026,1,26),tblDaily[WardCode],"MW")=0,"",SUMIFS(tblDaily[Remaining],tblDaily[EntryDate],DATE(2026,1,26),tblDaily[WardCode],"MW")),"")</f>
        <v/>
      </c>
    </row>
    <row r="33">
      <c r="A33" s="12" t="n">
        <v>27</v>
      </c>
      <c r="B33" s="12">
        <f>IFERROR(IF(SUMIFS(tblDaily[Admissions],tblDaily[EntryDate],DATE(2026,1,27),tblDaily[WardCode],"MW")=0,"",SUMIFS(tblDaily[Admissions],tblDaily[EntryDate],DATE(2026,1,27),tblDaily[WardCode],"MW")),"")</f>
        <v/>
      </c>
      <c r="C33" s="12">
        <f>IFERROR(IF(SUMIFS(tblDaily[Discharges],tblDaily[EntryDate],DATE(2026,1,27),tblDaily[WardCode],"MW")=0,"",SUMIFS(tblDaily[Discharges],tblDaily[EntryDate],DATE(2026,1,27),tblDaily[WardCode],"MW")),"")</f>
        <v/>
      </c>
      <c r="D33" s="12">
        <f>IFERROR(IF(SUMIFS(tblDaily[Deaths],tblDaily[EntryDate],DATE(2026,1,27),tblDaily[WardCode],"MW")=0,"",SUMIFS(tblDaily[Deaths],tblDaily[EntryDate],DATE(2026,1,27),tblDaily[WardCode],"MW")),"")</f>
        <v/>
      </c>
      <c r="E33" s="12">
        <f>IFERROR(IF(SUMIFS(tblDaily[DeathsUnder24Hrs],tblDaily[EntryDate],DATE(2026,1,27),tblDaily[WardCode],"MW")=0,"",SUMIFS(tblDaily[DeathsUnder24Hrs],tblDaily[EntryDate],DATE(2026,1,27),tblDaily[WardCode],"MW")),"")</f>
        <v/>
      </c>
      <c r="F33" s="12">
        <f>IFERROR(IF(SUMIFS(tblDaily[TransfersIn],tblDaily[EntryDate],DATE(2026,1,27),tblDaily[WardCode],"MW")=0,"",SUMIFS(tblDaily[TransfersIn],tblDaily[EntryDate],DATE(2026,1,27),tblDaily[WardCode],"MW")),"")</f>
        <v/>
      </c>
      <c r="G33" s="12">
        <f>IFERROR(IF(SUMIFS(tblDaily[TransfersOut],tblDaily[EntryDate],DATE(2026,1,27),tblDaily[WardCode],"MW")=0,"",SUMIFS(tblDaily[TransfersOut],tblDaily[EntryDate],DATE(2026,1,27),tblDaily[WardCode],"MW")),"")</f>
        <v/>
      </c>
      <c r="H33" s="12">
        <f>IFERROR(IF(SUMIFS(tblDaily[Remaining],tblDaily[EntryDate],DATE(2026,1,27),tblDaily[WardCode],"MW")=0,"",SUMIFS(tblDaily[Remaining],tblDaily[EntryDate],DATE(2026,1,27),tblDaily[WardCode],"MW")),"")</f>
        <v/>
      </c>
    </row>
    <row r="34">
      <c r="A34" s="12" t="n">
        <v>28</v>
      </c>
      <c r="B34" s="12">
        <f>IFERROR(IF(SUMIFS(tblDaily[Admissions],tblDaily[EntryDate],DATE(2026,1,28),tblDaily[WardCode],"MW")=0,"",SUMIFS(tblDaily[Admissions],tblDaily[EntryDate],DATE(2026,1,28),tblDaily[WardCode],"MW")),"")</f>
        <v/>
      </c>
      <c r="C34" s="12">
        <f>IFERROR(IF(SUMIFS(tblDaily[Discharges],tblDaily[EntryDate],DATE(2026,1,28),tblDaily[WardCode],"MW")=0,"",SUMIFS(tblDaily[Discharges],tblDaily[EntryDate],DATE(2026,1,28),tblDaily[WardCode],"MW")),"")</f>
        <v/>
      </c>
      <c r="D34" s="12">
        <f>IFERROR(IF(SUMIFS(tblDaily[Deaths],tblDaily[EntryDate],DATE(2026,1,28),tblDaily[WardCode],"MW")=0,"",SUMIFS(tblDaily[Deaths],tblDaily[EntryDate],DATE(2026,1,28),tblDaily[WardCode],"MW")),"")</f>
        <v/>
      </c>
      <c r="E34" s="12">
        <f>IFERROR(IF(SUMIFS(tblDaily[DeathsUnder24Hrs],tblDaily[EntryDate],DATE(2026,1,28),tblDaily[WardCode],"MW")=0,"",SUMIFS(tblDaily[DeathsUnder24Hrs],tblDaily[EntryDate],DATE(2026,1,28),tblDaily[WardCode],"MW")),"")</f>
        <v/>
      </c>
      <c r="F34" s="12">
        <f>IFERROR(IF(SUMIFS(tblDaily[TransfersIn],tblDaily[EntryDate],DATE(2026,1,28),tblDaily[WardCode],"MW")=0,"",SUMIFS(tblDaily[TransfersIn],tblDaily[EntryDate],DATE(2026,1,28),tblDaily[WardCode],"MW")),"")</f>
        <v/>
      </c>
      <c r="G34" s="12">
        <f>IFERROR(IF(SUMIFS(tblDaily[TransfersOut],tblDaily[EntryDate],DATE(2026,1,28),tblDaily[WardCode],"MW")=0,"",SUMIFS(tblDaily[TransfersOut],tblDaily[EntryDate],DATE(2026,1,28),tblDaily[WardCode],"MW")),"")</f>
        <v/>
      </c>
      <c r="H34" s="12">
        <f>IFERROR(IF(SUMIFS(tblDaily[Remaining],tblDaily[EntryDate],DATE(2026,1,28),tblDaily[WardCode],"MW")=0,"",SUMIFS(tblDaily[Remaining],tblDaily[EntryDate],DATE(2026,1,28),tblDaily[WardCode],"MW")),"")</f>
        <v/>
      </c>
    </row>
    <row r="35">
      <c r="A35" s="12" t="n">
        <v>29</v>
      </c>
      <c r="B35" s="12">
        <f>IFERROR(IF(SUMIFS(tblDaily[Admissions],tblDaily[EntryDate],DATE(2026,1,29),tblDaily[WardCode],"MW")=0,"",SUMIFS(tblDaily[Admissions],tblDaily[EntryDate],DATE(2026,1,29),tblDaily[WardCode],"MW")),"")</f>
        <v/>
      </c>
      <c r="C35" s="12">
        <f>IFERROR(IF(SUMIFS(tblDaily[Discharges],tblDaily[EntryDate],DATE(2026,1,29),tblDaily[WardCode],"MW")=0,"",SUMIFS(tblDaily[Discharges],tblDaily[EntryDate],DATE(2026,1,29),tblDaily[WardCode],"MW")),"")</f>
        <v/>
      </c>
      <c r="D35" s="12">
        <f>IFERROR(IF(SUMIFS(tblDaily[Deaths],tblDaily[EntryDate],DATE(2026,1,29),tblDaily[WardCode],"MW")=0,"",SUMIFS(tblDaily[Deaths],tblDaily[EntryDate],DATE(2026,1,29),tblDaily[WardCode],"MW")),"")</f>
        <v/>
      </c>
      <c r="E35" s="12">
        <f>IFERROR(IF(SUMIFS(tblDaily[DeathsUnder24Hrs],tblDaily[EntryDate],DATE(2026,1,29),tblDaily[WardCode],"MW")=0,"",SUMIFS(tblDaily[DeathsUnder24Hrs],tblDaily[EntryDate],DATE(2026,1,29),tblDaily[WardCode],"MW")),"")</f>
        <v/>
      </c>
      <c r="F35" s="12">
        <f>IFERROR(IF(SUMIFS(tblDaily[TransfersIn],tblDaily[EntryDate],DATE(2026,1,29),tblDaily[WardCode],"MW")=0,"",SUMIFS(tblDaily[TransfersIn],tblDaily[EntryDate],DATE(2026,1,29),tblDaily[WardCode],"MW")),"")</f>
        <v/>
      </c>
      <c r="G35" s="12">
        <f>IFERROR(IF(SUMIFS(tblDaily[TransfersOut],tblDaily[EntryDate],DATE(2026,1,29),tblDaily[WardCode],"MW")=0,"",SUMIFS(tblDaily[TransfersOut],tblDaily[EntryDate],DATE(2026,1,29),tblDaily[WardCode],"MW")),"")</f>
        <v/>
      </c>
      <c r="H35" s="12">
        <f>IFERROR(IF(SUMIFS(tblDaily[Remaining],tblDaily[EntryDate],DATE(2026,1,29),tblDaily[WardCode],"MW")=0,"",SUMIFS(tblDaily[Remaining],tblDaily[EntryDate],DATE(2026,1,29),tblDaily[WardCode],"MW")),"")</f>
        <v/>
      </c>
    </row>
    <row r="36">
      <c r="A36" s="12" t="n">
        <v>30</v>
      </c>
      <c r="B36" s="12">
        <f>IFERROR(IF(SUMIFS(tblDaily[Admissions],tblDaily[EntryDate],DATE(2026,1,30),tblDaily[WardCode],"MW")=0,"",SUMIFS(tblDaily[Admissions],tblDaily[EntryDate],DATE(2026,1,30),tblDaily[WardCode],"MW")),"")</f>
        <v/>
      </c>
      <c r="C36" s="12">
        <f>IFERROR(IF(SUMIFS(tblDaily[Discharges],tblDaily[EntryDate],DATE(2026,1,30),tblDaily[WardCode],"MW")=0,"",SUMIFS(tblDaily[Discharges],tblDaily[EntryDate],DATE(2026,1,30),tblDaily[WardCode],"MW")),"")</f>
        <v/>
      </c>
      <c r="D36" s="12">
        <f>IFERROR(IF(SUMIFS(tblDaily[Deaths],tblDaily[EntryDate],DATE(2026,1,30),tblDaily[WardCode],"MW")=0,"",SUMIFS(tblDaily[Deaths],tblDaily[EntryDate],DATE(2026,1,30),tblDaily[WardCode],"MW")),"")</f>
        <v/>
      </c>
      <c r="E36" s="12">
        <f>IFERROR(IF(SUMIFS(tblDaily[DeathsUnder24Hrs],tblDaily[EntryDate],DATE(2026,1,30),tblDaily[WardCode],"MW")=0,"",SUMIFS(tblDaily[DeathsUnder24Hrs],tblDaily[EntryDate],DATE(2026,1,30),tblDaily[WardCode],"MW")),"")</f>
        <v/>
      </c>
      <c r="F36" s="12">
        <f>IFERROR(IF(SUMIFS(tblDaily[TransfersIn],tblDaily[EntryDate],DATE(2026,1,30),tblDaily[WardCode],"MW")=0,"",SUMIFS(tblDaily[TransfersIn],tblDaily[EntryDate],DATE(2026,1,30),tblDaily[WardCode],"MW")),"")</f>
        <v/>
      </c>
      <c r="G36" s="12">
        <f>IFERROR(IF(SUMIFS(tblDaily[TransfersOut],tblDaily[EntryDate],DATE(2026,1,30),tblDaily[WardCode],"MW")=0,"",SUMIFS(tblDaily[TransfersOut],tblDaily[EntryDate],DATE(2026,1,30),tblDaily[WardCode],"MW")),"")</f>
        <v/>
      </c>
      <c r="H36" s="12">
        <f>IFERROR(IF(SUMIFS(tblDaily[Remaining],tblDaily[EntryDate],DATE(2026,1,30),tblDaily[WardCode],"MW")=0,"",SUMIFS(tblDaily[Remaining],tblDaily[EntryDate],DATE(2026,1,30),tblDaily[WardCode],"MW")),"")</f>
        <v/>
      </c>
    </row>
    <row r="37">
      <c r="A37" s="12" t="n">
        <v>31</v>
      </c>
      <c r="B37" s="12">
        <f>IFERROR(IF(SUMIFS(tblDaily[Admissions],tblDaily[EntryDate],DATE(2026,1,31),tblDaily[WardCode],"MW")=0,"",SUMIFS(tblDaily[Admissions],tblDaily[EntryDate],DATE(2026,1,31),tblDaily[WardCode],"MW")),"")</f>
        <v/>
      </c>
      <c r="C37" s="12">
        <f>IFERROR(IF(SUMIFS(tblDaily[Discharges],tblDaily[EntryDate],DATE(2026,1,31),tblDaily[WardCode],"MW")=0,"",SUMIFS(tblDaily[Discharges],tblDaily[EntryDate],DATE(2026,1,31),tblDaily[WardCode],"MW")),"")</f>
        <v/>
      </c>
      <c r="D37" s="12">
        <f>IFERROR(IF(SUMIFS(tblDaily[Deaths],tblDaily[EntryDate],DATE(2026,1,31),tblDaily[WardCode],"MW")=0,"",SUMIFS(tblDaily[Deaths],tblDaily[EntryDate],DATE(2026,1,31),tblDaily[WardCode],"MW")),"")</f>
        <v/>
      </c>
      <c r="E37" s="12">
        <f>IFERROR(IF(SUMIFS(tblDaily[DeathsUnder24Hrs],tblDaily[EntryDate],DATE(2026,1,31),tblDaily[WardCode],"MW")=0,"",SUMIFS(tblDaily[DeathsUnder24Hrs],tblDaily[EntryDate],DATE(2026,1,31),tblDaily[WardCode],"MW")),"")</f>
        <v/>
      </c>
      <c r="F37" s="12">
        <f>IFERROR(IF(SUMIFS(tblDaily[TransfersIn],tblDaily[EntryDate],DATE(2026,1,31),tblDaily[WardCode],"MW")=0,"",SUMIFS(tblDaily[TransfersIn],tblDaily[EntryDate],DATE(2026,1,31),tblDaily[WardCode],"MW")),"")</f>
        <v/>
      </c>
      <c r="G37" s="12">
        <f>IFERROR(IF(SUMIFS(tblDaily[TransfersOut],tblDaily[EntryDate],DATE(2026,1,31),tblDaily[WardCode],"MW")=0,"",SUMIFS(tblDaily[TransfersOut],tblDaily[EntryDate],DATE(2026,1,31),tblDaily[WardCode],"MW")),"")</f>
        <v/>
      </c>
      <c r="H37" s="12">
        <f>IFERROR(IF(SUMIFS(tblDaily[Remaining],tblDaily[EntryDate],DATE(2026,1,31),tblDaily[WardCode],"MW")=0,"",SUMIFS(tblDaily[Remaining],tblDaily[EntryDate],DATE(2026,1,31),tblDaily[WardCode],"MW")),"")</f>
        <v/>
      </c>
    </row>
    <row r="38">
      <c r="A38" s="17" t="inlineStr">
        <is>
          <t>TOTAL</t>
        </is>
      </c>
      <c r="B38" s="17">
        <f>SUMIFS(tblDaily[Admissions],tblDaily[Month],1,tblDaily[WardCode],"MW") - SUMIFS(tblDaily[DeathsUnder24Hrs],tblDaily[Month],1,tblDaily[WardCode],"MW")</f>
        <v/>
      </c>
      <c r="C38" s="17">
        <f>SUMIFS(tblDaily[Discharges],tblDaily[Month],1,tblDaily[WardCode],"MW")</f>
        <v/>
      </c>
      <c r="D38" s="17">
        <f>SUMIFS(tblDaily[Deaths],tblDaily[Month],1,tblDaily[WardCode],"MW")</f>
        <v/>
      </c>
      <c r="E38" s="17">
        <f>SUMIFS(tblDaily[DeathsUnder24Hrs],tblDaily[Month],1,tblDaily[WardCode],"MW")</f>
        <v/>
      </c>
      <c r="F38" s="17">
        <f>SUMIFS(tblDaily[TransfersIn],tblDaily[Month],1,tblDaily[WardCode],"MW")</f>
        <v/>
      </c>
      <c r="G38" s="17">
        <f>SUMIFS(tblDaily[TransfersOut],tblDaily[Month],1,tblDaily[WardCode],"MW")</f>
        <v/>
      </c>
      <c r="H38" s="17">
        <f>SUMIFS(tblDaily[Remaining],tblDaily[Month],1,tblDaily[WardCode],"MW")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MALE MEDICAL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4">
        <f>IFERROR(SUMIFS(tblDaily[Remaining],tblDaily[EntryDate],DATE(2026,1,31),tblDaily[WardCode],"MW"),0)</f>
        <v/>
      </c>
    </row>
    <row r="44">
      <c r="A44" s="4" t="inlineStr">
        <is>
          <t>Bed complement</t>
        </is>
      </c>
      <c r="H44" s="15">
        <f>IFERROR(INDEX(tblWardConfig[BedComplement],MATCH("MW",tblWardConfig[WardCode],0)),0)</f>
        <v/>
      </c>
    </row>
    <row r="45">
      <c r="A45" s="16" t="inlineStr">
        <is>
          <t>Day of
the
Month</t>
        </is>
      </c>
      <c r="B45" s="16" t="inlineStr">
        <is>
          <t>Admissions</t>
        </is>
      </c>
      <c r="C45" s="16" t="inlineStr">
        <is>
          <t>Discharges</t>
        </is>
      </c>
      <c r="D45" s="16" t="inlineStr">
        <is>
          <t>Deaths</t>
        </is>
      </c>
      <c r="E45" s="16" t="inlineStr">
        <is>
          <t>Deaths
&lt;24Hrs</t>
        </is>
      </c>
      <c r="F45" s="16" t="inlineStr">
        <is>
          <t>Transfers-
In</t>
        </is>
      </c>
      <c r="G45" s="16" t="inlineStr">
        <is>
          <t>Transfers-
Out</t>
        </is>
      </c>
      <c r="H45" s="16" t="inlineStr">
        <is>
          <t>No. of Patients
Remaining In
Ward</t>
        </is>
      </c>
    </row>
    <row r="46">
      <c r="A46" s="12" t="n">
        <v>1</v>
      </c>
      <c r="B46" s="12">
        <f>IFERROR(IF(SUMIFS(tblDaily[Admissions],tblDaily[EntryDate],DATE(2026,2,1),tblDaily[WardCode],"MW")=0,"",SUMIFS(tblDaily[Admissions],tblDaily[EntryDate],DATE(2026,2,1),tblDaily[WardCode],"MW")),"")</f>
        <v/>
      </c>
      <c r="C46" s="12">
        <f>IFERROR(IF(SUMIFS(tblDaily[Discharges],tblDaily[EntryDate],DATE(2026,2,1),tblDaily[WardCode],"MW")=0,"",SUMIFS(tblDaily[Discharges],tblDaily[EntryDate],DATE(2026,2,1),tblDaily[WardCode],"MW")),"")</f>
        <v/>
      </c>
      <c r="D46" s="12">
        <f>IFERROR(IF(SUMIFS(tblDaily[Deaths],tblDaily[EntryDate],DATE(2026,2,1),tblDaily[WardCode],"MW")=0,"",SUMIFS(tblDaily[Deaths],tblDaily[EntryDate],DATE(2026,2,1),tblDaily[WardCode],"MW")),"")</f>
        <v/>
      </c>
      <c r="E46" s="12">
        <f>IFERROR(IF(SUMIFS(tblDaily[DeathsUnder24Hrs],tblDaily[EntryDate],DATE(2026,2,1),tblDaily[WardCode],"MW")=0,"",SUMIFS(tblDaily[DeathsUnder24Hrs],tblDaily[EntryDate],DATE(2026,2,1),tblDaily[WardCode],"MW")),"")</f>
        <v/>
      </c>
      <c r="F46" s="12">
        <f>IFERROR(IF(SUMIFS(tblDaily[TransfersIn],tblDaily[EntryDate],DATE(2026,2,1),tblDaily[WardCode],"MW")=0,"",SUMIFS(tblDaily[TransfersIn],tblDaily[EntryDate],DATE(2026,2,1),tblDaily[WardCode],"MW")),"")</f>
        <v/>
      </c>
      <c r="G46" s="12">
        <f>IFERROR(IF(SUMIFS(tblDaily[TransfersOut],tblDaily[EntryDate],DATE(2026,2,1),tblDaily[WardCode],"MW")=0,"",SUMIFS(tblDaily[TransfersOut],tblDaily[EntryDate],DATE(2026,2,1),tblDaily[WardCode],"MW")),"")</f>
        <v/>
      </c>
      <c r="H46" s="12">
        <f>IFERROR(IF(SUMIFS(tblDaily[Remaining],tblDaily[EntryDate],DATE(2026,2,1),tblDaily[WardCode],"MW")=0,"",SUMIFS(tblDaily[Remaining],tblDaily[EntryDate],DATE(2026,2,1),tblDaily[WardCode],"MW")),"")</f>
        <v/>
      </c>
    </row>
    <row r="47">
      <c r="A47" s="12" t="n">
        <v>2</v>
      </c>
      <c r="B47" s="12">
        <f>IFERROR(IF(SUMIFS(tblDaily[Admissions],tblDaily[EntryDate],DATE(2026,2,2),tblDaily[WardCode],"MW")=0,"",SUMIFS(tblDaily[Admissions],tblDaily[EntryDate],DATE(2026,2,2),tblDaily[WardCode],"MW")),"")</f>
        <v/>
      </c>
      <c r="C47" s="12">
        <f>IFERROR(IF(SUMIFS(tblDaily[Discharges],tblDaily[EntryDate],DATE(2026,2,2),tblDaily[WardCode],"MW")=0,"",SUMIFS(tblDaily[Discharges],tblDaily[EntryDate],DATE(2026,2,2),tblDaily[WardCode],"MW")),"")</f>
        <v/>
      </c>
      <c r="D47" s="12">
        <f>IFERROR(IF(SUMIFS(tblDaily[Deaths],tblDaily[EntryDate],DATE(2026,2,2),tblDaily[WardCode],"MW")=0,"",SUMIFS(tblDaily[Deaths],tblDaily[EntryDate],DATE(2026,2,2),tblDaily[WardCode],"MW")),"")</f>
        <v/>
      </c>
      <c r="E47" s="12">
        <f>IFERROR(IF(SUMIFS(tblDaily[DeathsUnder24Hrs],tblDaily[EntryDate],DATE(2026,2,2),tblDaily[WardCode],"MW")=0,"",SUMIFS(tblDaily[DeathsUnder24Hrs],tblDaily[EntryDate],DATE(2026,2,2),tblDaily[WardCode],"MW")),"")</f>
        <v/>
      </c>
      <c r="F47" s="12">
        <f>IFERROR(IF(SUMIFS(tblDaily[TransfersIn],tblDaily[EntryDate],DATE(2026,2,2),tblDaily[WardCode],"MW")=0,"",SUMIFS(tblDaily[TransfersIn],tblDaily[EntryDate],DATE(2026,2,2),tblDaily[WardCode],"MW")),"")</f>
        <v/>
      </c>
      <c r="G47" s="12">
        <f>IFERROR(IF(SUMIFS(tblDaily[TransfersOut],tblDaily[EntryDate],DATE(2026,2,2),tblDaily[WardCode],"MW")=0,"",SUMIFS(tblDaily[TransfersOut],tblDaily[EntryDate],DATE(2026,2,2),tblDaily[WardCode],"MW")),"")</f>
        <v/>
      </c>
      <c r="H47" s="12">
        <f>IFERROR(IF(SUMIFS(tblDaily[Remaining],tblDaily[EntryDate],DATE(2026,2,2),tblDaily[WardCode],"MW")=0,"",SUMIFS(tblDaily[Remaining],tblDaily[EntryDate],DATE(2026,2,2),tblDaily[WardCode],"MW")),"")</f>
        <v/>
      </c>
    </row>
    <row r="48">
      <c r="A48" s="12" t="n">
        <v>3</v>
      </c>
      <c r="B48" s="12">
        <f>IFERROR(IF(SUMIFS(tblDaily[Admissions],tblDaily[EntryDate],DATE(2026,2,3),tblDaily[WardCode],"MW")=0,"",SUMIFS(tblDaily[Admissions],tblDaily[EntryDate],DATE(2026,2,3),tblDaily[WardCode],"MW")),"")</f>
        <v/>
      </c>
      <c r="C48" s="12">
        <f>IFERROR(IF(SUMIFS(tblDaily[Discharges],tblDaily[EntryDate],DATE(2026,2,3),tblDaily[WardCode],"MW")=0,"",SUMIFS(tblDaily[Discharges],tblDaily[EntryDate],DATE(2026,2,3),tblDaily[WardCode],"MW")),"")</f>
        <v/>
      </c>
      <c r="D48" s="12">
        <f>IFERROR(IF(SUMIFS(tblDaily[Deaths],tblDaily[EntryDate],DATE(2026,2,3),tblDaily[WardCode],"MW")=0,"",SUMIFS(tblDaily[Deaths],tblDaily[EntryDate],DATE(2026,2,3),tblDaily[WardCode],"MW")),"")</f>
        <v/>
      </c>
      <c r="E48" s="12">
        <f>IFERROR(IF(SUMIFS(tblDaily[DeathsUnder24Hrs],tblDaily[EntryDate],DATE(2026,2,3),tblDaily[WardCode],"MW")=0,"",SUMIFS(tblDaily[DeathsUnder24Hrs],tblDaily[EntryDate],DATE(2026,2,3),tblDaily[WardCode],"MW")),"")</f>
        <v/>
      </c>
      <c r="F48" s="12">
        <f>IFERROR(IF(SUMIFS(tblDaily[TransfersIn],tblDaily[EntryDate],DATE(2026,2,3),tblDaily[WardCode],"MW")=0,"",SUMIFS(tblDaily[TransfersIn],tblDaily[EntryDate],DATE(2026,2,3),tblDaily[WardCode],"MW")),"")</f>
        <v/>
      </c>
      <c r="G48" s="12">
        <f>IFERROR(IF(SUMIFS(tblDaily[TransfersOut],tblDaily[EntryDate],DATE(2026,2,3),tblDaily[WardCode],"MW")=0,"",SUMIFS(tblDaily[TransfersOut],tblDaily[EntryDate],DATE(2026,2,3),tblDaily[WardCode],"MW")),"")</f>
        <v/>
      </c>
      <c r="H48" s="12">
        <f>IFERROR(IF(SUMIFS(tblDaily[Remaining],tblDaily[EntryDate],DATE(2026,2,3),tblDaily[WardCode],"MW")=0,"",SUMIFS(tblDaily[Remaining],tblDaily[EntryDate],DATE(2026,2,3),tblDaily[WardCode],"MW")),"")</f>
        <v/>
      </c>
    </row>
    <row r="49">
      <c r="A49" s="12" t="n">
        <v>4</v>
      </c>
      <c r="B49" s="12">
        <f>IFERROR(IF(SUMIFS(tblDaily[Admissions],tblDaily[EntryDate],DATE(2026,2,4),tblDaily[WardCode],"MW")=0,"",SUMIFS(tblDaily[Admissions],tblDaily[EntryDate],DATE(2026,2,4),tblDaily[WardCode],"MW")),"")</f>
        <v/>
      </c>
      <c r="C49" s="12">
        <f>IFERROR(IF(SUMIFS(tblDaily[Discharges],tblDaily[EntryDate],DATE(2026,2,4),tblDaily[WardCode],"MW")=0,"",SUMIFS(tblDaily[Discharges],tblDaily[EntryDate],DATE(2026,2,4),tblDaily[WardCode],"MW")),"")</f>
        <v/>
      </c>
      <c r="D49" s="12">
        <f>IFERROR(IF(SUMIFS(tblDaily[Deaths],tblDaily[EntryDate],DATE(2026,2,4),tblDaily[WardCode],"MW")=0,"",SUMIFS(tblDaily[Deaths],tblDaily[EntryDate],DATE(2026,2,4),tblDaily[WardCode],"MW")),"")</f>
        <v/>
      </c>
      <c r="E49" s="12">
        <f>IFERROR(IF(SUMIFS(tblDaily[DeathsUnder24Hrs],tblDaily[EntryDate],DATE(2026,2,4),tblDaily[WardCode],"MW")=0,"",SUMIFS(tblDaily[DeathsUnder24Hrs],tblDaily[EntryDate],DATE(2026,2,4),tblDaily[WardCode],"MW")),"")</f>
        <v/>
      </c>
      <c r="F49" s="12">
        <f>IFERROR(IF(SUMIFS(tblDaily[TransfersIn],tblDaily[EntryDate],DATE(2026,2,4),tblDaily[WardCode],"MW")=0,"",SUMIFS(tblDaily[TransfersIn],tblDaily[EntryDate],DATE(2026,2,4),tblDaily[WardCode],"MW")),"")</f>
        <v/>
      </c>
      <c r="G49" s="12">
        <f>IFERROR(IF(SUMIFS(tblDaily[TransfersOut],tblDaily[EntryDate],DATE(2026,2,4),tblDaily[WardCode],"MW")=0,"",SUMIFS(tblDaily[TransfersOut],tblDaily[EntryDate],DATE(2026,2,4),tblDaily[WardCode],"MW")),"")</f>
        <v/>
      </c>
      <c r="H49" s="12">
        <f>IFERROR(IF(SUMIFS(tblDaily[Remaining],tblDaily[EntryDate],DATE(2026,2,4),tblDaily[WardCode],"MW")=0,"",SUMIFS(tblDaily[Remaining],tblDaily[EntryDate],DATE(2026,2,4),tblDaily[WardCode],"MW")),"")</f>
        <v/>
      </c>
    </row>
    <row r="50">
      <c r="A50" s="12" t="n">
        <v>5</v>
      </c>
      <c r="B50" s="12">
        <f>IFERROR(IF(SUMIFS(tblDaily[Admissions],tblDaily[EntryDate],DATE(2026,2,5),tblDaily[WardCode],"MW")=0,"",SUMIFS(tblDaily[Admissions],tblDaily[EntryDate],DATE(2026,2,5),tblDaily[WardCode],"MW")),"")</f>
        <v/>
      </c>
      <c r="C50" s="12">
        <f>IFERROR(IF(SUMIFS(tblDaily[Discharges],tblDaily[EntryDate],DATE(2026,2,5),tblDaily[WardCode],"MW")=0,"",SUMIFS(tblDaily[Discharges],tblDaily[EntryDate],DATE(2026,2,5),tblDaily[WardCode],"MW")),"")</f>
        <v/>
      </c>
      <c r="D50" s="12">
        <f>IFERROR(IF(SUMIFS(tblDaily[Deaths],tblDaily[EntryDate],DATE(2026,2,5),tblDaily[WardCode],"MW")=0,"",SUMIFS(tblDaily[Deaths],tblDaily[EntryDate],DATE(2026,2,5),tblDaily[WardCode],"MW")),"")</f>
        <v/>
      </c>
      <c r="E50" s="12">
        <f>IFERROR(IF(SUMIFS(tblDaily[DeathsUnder24Hrs],tblDaily[EntryDate],DATE(2026,2,5),tblDaily[WardCode],"MW")=0,"",SUMIFS(tblDaily[DeathsUnder24Hrs],tblDaily[EntryDate],DATE(2026,2,5),tblDaily[WardCode],"MW")),"")</f>
        <v/>
      </c>
      <c r="F50" s="12">
        <f>IFERROR(IF(SUMIFS(tblDaily[TransfersIn],tblDaily[EntryDate],DATE(2026,2,5),tblDaily[WardCode],"MW")=0,"",SUMIFS(tblDaily[TransfersIn],tblDaily[EntryDate],DATE(2026,2,5),tblDaily[WardCode],"MW")),"")</f>
        <v/>
      </c>
      <c r="G50" s="12">
        <f>IFERROR(IF(SUMIFS(tblDaily[TransfersOut],tblDaily[EntryDate],DATE(2026,2,5),tblDaily[WardCode],"MW")=0,"",SUMIFS(tblDaily[TransfersOut],tblDaily[EntryDate],DATE(2026,2,5),tblDaily[WardCode],"MW")),"")</f>
        <v/>
      </c>
      <c r="H50" s="12">
        <f>IFERROR(IF(SUMIFS(tblDaily[Remaining],tblDaily[EntryDate],DATE(2026,2,5),tblDaily[WardCode],"MW")=0,"",SUMIFS(tblDaily[Remaining],tblDaily[EntryDate],DATE(2026,2,5),tblDaily[WardCode],"MW")),"")</f>
        <v/>
      </c>
    </row>
    <row r="51">
      <c r="A51" s="12" t="n">
        <v>6</v>
      </c>
      <c r="B51" s="12">
        <f>IFERROR(IF(SUMIFS(tblDaily[Admissions],tblDaily[EntryDate],DATE(2026,2,6),tblDaily[WardCode],"MW")=0,"",SUMIFS(tblDaily[Admissions],tblDaily[EntryDate],DATE(2026,2,6),tblDaily[WardCode],"MW")),"")</f>
        <v/>
      </c>
      <c r="C51" s="12">
        <f>IFERROR(IF(SUMIFS(tblDaily[Discharges],tblDaily[EntryDate],DATE(2026,2,6),tblDaily[WardCode],"MW")=0,"",SUMIFS(tblDaily[Discharges],tblDaily[EntryDate],DATE(2026,2,6),tblDaily[WardCode],"MW")),"")</f>
        <v/>
      </c>
      <c r="D51" s="12">
        <f>IFERROR(IF(SUMIFS(tblDaily[Deaths],tblDaily[EntryDate],DATE(2026,2,6),tblDaily[WardCode],"MW")=0,"",SUMIFS(tblDaily[Deaths],tblDaily[EntryDate],DATE(2026,2,6),tblDaily[WardCode],"MW")),"")</f>
        <v/>
      </c>
      <c r="E51" s="12">
        <f>IFERROR(IF(SUMIFS(tblDaily[DeathsUnder24Hrs],tblDaily[EntryDate],DATE(2026,2,6),tblDaily[WardCode],"MW")=0,"",SUMIFS(tblDaily[DeathsUnder24Hrs],tblDaily[EntryDate],DATE(2026,2,6),tblDaily[WardCode],"MW")),"")</f>
        <v/>
      </c>
      <c r="F51" s="12">
        <f>IFERROR(IF(SUMIFS(tblDaily[TransfersIn],tblDaily[EntryDate],DATE(2026,2,6),tblDaily[WardCode],"MW")=0,"",SUMIFS(tblDaily[TransfersIn],tblDaily[EntryDate],DATE(2026,2,6),tblDaily[WardCode],"MW")),"")</f>
        <v/>
      </c>
      <c r="G51" s="12">
        <f>IFERROR(IF(SUMIFS(tblDaily[TransfersOut],tblDaily[EntryDate],DATE(2026,2,6),tblDaily[WardCode],"MW")=0,"",SUMIFS(tblDaily[TransfersOut],tblDaily[EntryDate],DATE(2026,2,6),tblDaily[WardCode],"MW")),"")</f>
        <v/>
      </c>
      <c r="H51" s="12">
        <f>IFERROR(IF(SUMIFS(tblDaily[Remaining],tblDaily[EntryDate],DATE(2026,2,6),tblDaily[WardCode],"MW")=0,"",SUMIFS(tblDaily[Remaining],tblDaily[EntryDate],DATE(2026,2,6),tblDaily[WardCode],"MW")),"")</f>
        <v/>
      </c>
    </row>
    <row r="52">
      <c r="A52" s="12" t="n">
        <v>7</v>
      </c>
      <c r="B52" s="12">
        <f>IFERROR(IF(SUMIFS(tblDaily[Admissions],tblDaily[EntryDate],DATE(2026,2,7),tblDaily[WardCode],"MW")=0,"",SUMIFS(tblDaily[Admissions],tblDaily[EntryDate],DATE(2026,2,7),tblDaily[WardCode],"MW")),"")</f>
        <v/>
      </c>
      <c r="C52" s="12">
        <f>IFERROR(IF(SUMIFS(tblDaily[Discharges],tblDaily[EntryDate],DATE(2026,2,7),tblDaily[WardCode],"MW")=0,"",SUMIFS(tblDaily[Discharges],tblDaily[EntryDate],DATE(2026,2,7),tblDaily[WardCode],"MW")),"")</f>
        <v/>
      </c>
      <c r="D52" s="12">
        <f>IFERROR(IF(SUMIFS(tblDaily[Deaths],tblDaily[EntryDate],DATE(2026,2,7),tblDaily[WardCode],"MW")=0,"",SUMIFS(tblDaily[Deaths],tblDaily[EntryDate],DATE(2026,2,7),tblDaily[WardCode],"MW")),"")</f>
        <v/>
      </c>
      <c r="E52" s="12">
        <f>IFERROR(IF(SUMIFS(tblDaily[DeathsUnder24Hrs],tblDaily[EntryDate],DATE(2026,2,7),tblDaily[WardCode],"MW")=0,"",SUMIFS(tblDaily[DeathsUnder24Hrs],tblDaily[EntryDate],DATE(2026,2,7),tblDaily[WardCode],"MW")),"")</f>
        <v/>
      </c>
      <c r="F52" s="12">
        <f>IFERROR(IF(SUMIFS(tblDaily[TransfersIn],tblDaily[EntryDate],DATE(2026,2,7),tblDaily[WardCode],"MW")=0,"",SUMIFS(tblDaily[TransfersIn],tblDaily[EntryDate],DATE(2026,2,7),tblDaily[WardCode],"MW")),"")</f>
        <v/>
      </c>
      <c r="G52" s="12">
        <f>IFERROR(IF(SUMIFS(tblDaily[TransfersOut],tblDaily[EntryDate],DATE(2026,2,7),tblDaily[WardCode],"MW")=0,"",SUMIFS(tblDaily[TransfersOut],tblDaily[EntryDate],DATE(2026,2,7),tblDaily[WardCode],"MW")),"")</f>
        <v/>
      </c>
      <c r="H52" s="12">
        <f>IFERROR(IF(SUMIFS(tblDaily[Remaining],tblDaily[EntryDate],DATE(2026,2,7),tblDaily[WardCode],"MW")=0,"",SUMIFS(tblDaily[Remaining],tblDaily[EntryDate],DATE(2026,2,7),tblDaily[WardCode],"MW")),"")</f>
        <v/>
      </c>
    </row>
    <row r="53">
      <c r="A53" s="12" t="n">
        <v>8</v>
      </c>
      <c r="B53" s="12">
        <f>IFERROR(IF(SUMIFS(tblDaily[Admissions],tblDaily[EntryDate],DATE(2026,2,8),tblDaily[WardCode],"MW")=0,"",SUMIFS(tblDaily[Admissions],tblDaily[EntryDate],DATE(2026,2,8),tblDaily[WardCode],"MW")),"")</f>
        <v/>
      </c>
      <c r="C53" s="12">
        <f>IFERROR(IF(SUMIFS(tblDaily[Discharges],tblDaily[EntryDate],DATE(2026,2,8),tblDaily[WardCode],"MW")=0,"",SUMIFS(tblDaily[Discharges],tblDaily[EntryDate],DATE(2026,2,8),tblDaily[WardCode],"MW")),"")</f>
        <v/>
      </c>
      <c r="D53" s="12">
        <f>IFERROR(IF(SUMIFS(tblDaily[Deaths],tblDaily[EntryDate],DATE(2026,2,8),tblDaily[WardCode],"MW")=0,"",SUMIFS(tblDaily[Deaths],tblDaily[EntryDate],DATE(2026,2,8),tblDaily[WardCode],"MW")),"")</f>
        <v/>
      </c>
      <c r="E53" s="12">
        <f>IFERROR(IF(SUMIFS(tblDaily[DeathsUnder24Hrs],tblDaily[EntryDate],DATE(2026,2,8),tblDaily[WardCode],"MW")=0,"",SUMIFS(tblDaily[DeathsUnder24Hrs],tblDaily[EntryDate],DATE(2026,2,8),tblDaily[WardCode],"MW")),"")</f>
        <v/>
      </c>
      <c r="F53" s="12">
        <f>IFERROR(IF(SUMIFS(tblDaily[TransfersIn],tblDaily[EntryDate],DATE(2026,2,8),tblDaily[WardCode],"MW")=0,"",SUMIFS(tblDaily[TransfersIn],tblDaily[EntryDate],DATE(2026,2,8),tblDaily[WardCode],"MW")),"")</f>
        <v/>
      </c>
      <c r="G53" s="12">
        <f>IFERROR(IF(SUMIFS(tblDaily[TransfersOut],tblDaily[EntryDate],DATE(2026,2,8),tblDaily[WardCode],"MW")=0,"",SUMIFS(tblDaily[TransfersOut],tblDaily[EntryDate],DATE(2026,2,8),tblDaily[WardCode],"MW")),"")</f>
        <v/>
      </c>
      <c r="H53" s="12">
        <f>IFERROR(IF(SUMIFS(tblDaily[Remaining],tblDaily[EntryDate],DATE(2026,2,8),tblDaily[WardCode],"MW")=0,"",SUMIFS(tblDaily[Remaining],tblDaily[EntryDate],DATE(2026,2,8),tblDaily[WardCode],"MW")),"")</f>
        <v/>
      </c>
    </row>
    <row r="54">
      <c r="A54" s="12" t="n">
        <v>9</v>
      </c>
      <c r="B54" s="12">
        <f>IFERROR(IF(SUMIFS(tblDaily[Admissions],tblDaily[EntryDate],DATE(2026,2,9),tblDaily[WardCode],"MW")=0,"",SUMIFS(tblDaily[Admissions],tblDaily[EntryDate],DATE(2026,2,9),tblDaily[WardCode],"MW")),"")</f>
        <v/>
      </c>
      <c r="C54" s="12">
        <f>IFERROR(IF(SUMIFS(tblDaily[Discharges],tblDaily[EntryDate],DATE(2026,2,9),tblDaily[WardCode],"MW")=0,"",SUMIFS(tblDaily[Discharges],tblDaily[EntryDate],DATE(2026,2,9),tblDaily[WardCode],"MW")),"")</f>
        <v/>
      </c>
      <c r="D54" s="12">
        <f>IFERROR(IF(SUMIFS(tblDaily[Deaths],tblDaily[EntryDate],DATE(2026,2,9),tblDaily[WardCode],"MW")=0,"",SUMIFS(tblDaily[Deaths],tblDaily[EntryDate],DATE(2026,2,9),tblDaily[WardCode],"MW")),"")</f>
        <v/>
      </c>
      <c r="E54" s="12">
        <f>IFERROR(IF(SUMIFS(tblDaily[DeathsUnder24Hrs],tblDaily[EntryDate],DATE(2026,2,9),tblDaily[WardCode],"MW")=0,"",SUMIFS(tblDaily[DeathsUnder24Hrs],tblDaily[EntryDate],DATE(2026,2,9),tblDaily[WardCode],"MW")),"")</f>
        <v/>
      </c>
      <c r="F54" s="12">
        <f>IFERROR(IF(SUMIFS(tblDaily[TransfersIn],tblDaily[EntryDate],DATE(2026,2,9),tblDaily[WardCode],"MW")=0,"",SUMIFS(tblDaily[TransfersIn],tblDaily[EntryDate],DATE(2026,2,9),tblDaily[WardCode],"MW")),"")</f>
        <v/>
      </c>
      <c r="G54" s="12">
        <f>IFERROR(IF(SUMIFS(tblDaily[TransfersOut],tblDaily[EntryDate],DATE(2026,2,9),tblDaily[WardCode],"MW")=0,"",SUMIFS(tblDaily[TransfersOut],tblDaily[EntryDate],DATE(2026,2,9),tblDaily[WardCode],"MW")),"")</f>
        <v/>
      </c>
      <c r="H54" s="12">
        <f>IFERROR(IF(SUMIFS(tblDaily[Remaining],tblDaily[EntryDate],DATE(2026,2,9),tblDaily[WardCode],"MW")=0,"",SUMIFS(tblDaily[Remaining],tblDaily[EntryDate],DATE(2026,2,9),tblDaily[WardCode],"MW")),"")</f>
        <v/>
      </c>
    </row>
    <row r="55">
      <c r="A55" s="12" t="n">
        <v>10</v>
      </c>
      <c r="B55" s="12">
        <f>IFERROR(IF(SUMIFS(tblDaily[Admissions],tblDaily[EntryDate],DATE(2026,2,10),tblDaily[WardCode],"MW")=0,"",SUMIFS(tblDaily[Admissions],tblDaily[EntryDate],DATE(2026,2,10),tblDaily[WardCode],"MW")),"")</f>
        <v/>
      </c>
      <c r="C55" s="12">
        <f>IFERROR(IF(SUMIFS(tblDaily[Discharges],tblDaily[EntryDate],DATE(2026,2,10),tblDaily[WardCode],"MW")=0,"",SUMIFS(tblDaily[Discharges],tblDaily[EntryDate],DATE(2026,2,10),tblDaily[WardCode],"MW")),"")</f>
        <v/>
      </c>
      <c r="D55" s="12">
        <f>IFERROR(IF(SUMIFS(tblDaily[Deaths],tblDaily[EntryDate],DATE(2026,2,10),tblDaily[WardCode],"MW")=0,"",SUMIFS(tblDaily[Deaths],tblDaily[EntryDate],DATE(2026,2,10),tblDaily[WardCode],"MW")),"")</f>
        <v/>
      </c>
      <c r="E55" s="12">
        <f>IFERROR(IF(SUMIFS(tblDaily[DeathsUnder24Hrs],tblDaily[EntryDate],DATE(2026,2,10),tblDaily[WardCode],"MW")=0,"",SUMIFS(tblDaily[DeathsUnder24Hrs],tblDaily[EntryDate],DATE(2026,2,10),tblDaily[WardCode],"MW")),"")</f>
        <v/>
      </c>
      <c r="F55" s="12">
        <f>IFERROR(IF(SUMIFS(tblDaily[TransfersIn],tblDaily[EntryDate],DATE(2026,2,10),tblDaily[WardCode],"MW")=0,"",SUMIFS(tblDaily[TransfersIn],tblDaily[EntryDate],DATE(2026,2,10),tblDaily[WardCode],"MW")),"")</f>
        <v/>
      </c>
      <c r="G55" s="12">
        <f>IFERROR(IF(SUMIFS(tblDaily[TransfersOut],tblDaily[EntryDate],DATE(2026,2,10),tblDaily[WardCode],"MW")=0,"",SUMIFS(tblDaily[TransfersOut],tblDaily[EntryDate],DATE(2026,2,10),tblDaily[WardCode],"MW")),"")</f>
        <v/>
      </c>
      <c r="H55" s="12">
        <f>IFERROR(IF(SUMIFS(tblDaily[Remaining],tblDaily[EntryDate],DATE(2026,2,10),tblDaily[WardCode],"MW")=0,"",SUMIFS(tblDaily[Remaining],tblDaily[EntryDate],DATE(2026,2,10),tblDaily[WardCode],"MW")),"")</f>
        <v/>
      </c>
    </row>
    <row r="56">
      <c r="A56" s="12" t="n">
        <v>11</v>
      </c>
      <c r="B56" s="12">
        <f>IFERROR(IF(SUMIFS(tblDaily[Admissions],tblDaily[EntryDate],DATE(2026,2,11),tblDaily[WardCode],"MW")=0,"",SUMIFS(tblDaily[Admissions],tblDaily[EntryDate],DATE(2026,2,11),tblDaily[WardCode],"MW")),"")</f>
        <v/>
      </c>
      <c r="C56" s="12">
        <f>IFERROR(IF(SUMIFS(tblDaily[Discharges],tblDaily[EntryDate],DATE(2026,2,11),tblDaily[WardCode],"MW")=0,"",SUMIFS(tblDaily[Discharges],tblDaily[EntryDate],DATE(2026,2,11),tblDaily[WardCode],"MW")),"")</f>
        <v/>
      </c>
      <c r="D56" s="12">
        <f>IFERROR(IF(SUMIFS(tblDaily[Deaths],tblDaily[EntryDate],DATE(2026,2,11),tblDaily[WardCode],"MW")=0,"",SUMIFS(tblDaily[Deaths],tblDaily[EntryDate],DATE(2026,2,11),tblDaily[WardCode],"MW")),"")</f>
        <v/>
      </c>
      <c r="E56" s="12">
        <f>IFERROR(IF(SUMIFS(tblDaily[DeathsUnder24Hrs],tblDaily[EntryDate],DATE(2026,2,11),tblDaily[WardCode],"MW")=0,"",SUMIFS(tblDaily[DeathsUnder24Hrs],tblDaily[EntryDate],DATE(2026,2,11),tblDaily[WardCode],"MW")),"")</f>
        <v/>
      </c>
      <c r="F56" s="12">
        <f>IFERROR(IF(SUMIFS(tblDaily[TransfersIn],tblDaily[EntryDate],DATE(2026,2,11),tblDaily[WardCode],"MW")=0,"",SUMIFS(tblDaily[TransfersIn],tblDaily[EntryDate],DATE(2026,2,11),tblDaily[WardCode],"MW")),"")</f>
        <v/>
      </c>
      <c r="G56" s="12">
        <f>IFERROR(IF(SUMIFS(tblDaily[TransfersOut],tblDaily[EntryDate],DATE(2026,2,11),tblDaily[WardCode],"MW")=0,"",SUMIFS(tblDaily[TransfersOut],tblDaily[EntryDate],DATE(2026,2,11),tblDaily[WardCode],"MW")),"")</f>
        <v/>
      </c>
      <c r="H56" s="12">
        <f>IFERROR(IF(SUMIFS(tblDaily[Remaining],tblDaily[EntryDate],DATE(2026,2,11),tblDaily[WardCode],"MW")=0,"",SUMIFS(tblDaily[Remaining],tblDaily[EntryDate],DATE(2026,2,11),tblDaily[WardCode],"MW")),"")</f>
        <v/>
      </c>
    </row>
    <row r="57">
      <c r="A57" s="12" t="n">
        <v>12</v>
      </c>
      <c r="B57" s="12">
        <f>IFERROR(IF(SUMIFS(tblDaily[Admissions],tblDaily[EntryDate],DATE(2026,2,12),tblDaily[WardCode],"MW")=0,"",SUMIFS(tblDaily[Admissions],tblDaily[EntryDate],DATE(2026,2,12),tblDaily[WardCode],"MW")),"")</f>
        <v/>
      </c>
      <c r="C57" s="12">
        <f>IFERROR(IF(SUMIFS(tblDaily[Discharges],tblDaily[EntryDate],DATE(2026,2,12),tblDaily[WardCode],"MW")=0,"",SUMIFS(tblDaily[Discharges],tblDaily[EntryDate],DATE(2026,2,12),tblDaily[WardCode],"MW")),"")</f>
        <v/>
      </c>
      <c r="D57" s="12">
        <f>IFERROR(IF(SUMIFS(tblDaily[Deaths],tblDaily[EntryDate],DATE(2026,2,12),tblDaily[WardCode],"MW")=0,"",SUMIFS(tblDaily[Deaths],tblDaily[EntryDate],DATE(2026,2,12),tblDaily[WardCode],"MW")),"")</f>
        <v/>
      </c>
      <c r="E57" s="12">
        <f>IFERROR(IF(SUMIFS(tblDaily[DeathsUnder24Hrs],tblDaily[EntryDate],DATE(2026,2,12),tblDaily[WardCode],"MW")=0,"",SUMIFS(tblDaily[DeathsUnder24Hrs],tblDaily[EntryDate],DATE(2026,2,12),tblDaily[WardCode],"MW")),"")</f>
        <v/>
      </c>
      <c r="F57" s="12">
        <f>IFERROR(IF(SUMIFS(tblDaily[TransfersIn],tblDaily[EntryDate],DATE(2026,2,12),tblDaily[WardCode],"MW")=0,"",SUMIFS(tblDaily[TransfersIn],tblDaily[EntryDate],DATE(2026,2,12),tblDaily[WardCode],"MW")),"")</f>
        <v/>
      </c>
      <c r="G57" s="12">
        <f>IFERROR(IF(SUMIFS(tblDaily[TransfersOut],tblDaily[EntryDate],DATE(2026,2,12),tblDaily[WardCode],"MW")=0,"",SUMIFS(tblDaily[TransfersOut],tblDaily[EntryDate],DATE(2026,2,12),tblDaily[WardCode],"MW")),"")</f>
        <v/>
      </c>
      <c r="H57" s="12">
        <f>IFERROR(IF(SUMIFS(tblDaily[Remaining],tblDaily[EntryDate],DATE(2026,2,12),tblDaily[WardCode],"MW")=0,"",SUMIFS(tblDaily[Remaining],tblDaily[EntryDate],DATE(2026,2,12),tblDaily[WardCode],"MW")),"")</f>
        <v/>
      </c>
    </row>
    <row r="58">
      <c r="A58" s="12" t="n">
        <v>13</v>
      </c>
      <c r="B58" s="12">
        <f>IFERROR(IF(SUMIFS(tblDaily[Admissions],tblDaily[EntryDate],DATE(2026,2,13),tblDaily[WardCode],"MW")=0,"",SUMIFS(tblDaily[Admissions],tblDaily[EntryDate],DATE(2026,2,13),tblDaily[WardCode],"MW")),"")</f>
        <v/>
      </c>
      <c r="C58" s="12">
        <f>IFERROR(IF(SUMIFS(tblDaily[Discharges],tblDaily[EntryDate],DATE(2026,2,13),tblDaily[WardCode],"MW")=0,"",SUMIFS(tblDaily[Discharges],tblDaily[EntryDate],DATE(2026,2,13),tblDaily[WardCode],"MW")),"")</f>
        <v/>
      </c>
      <c r="D58" s="12">
        <f>IFERROR(IF(SUMIFS(tblDaily[Deaths],tblDaily[EntryDate],DATE(2026,2,13),tblDaily[WardCode],"MW")=0,"",SUMIFS(tblDaily[Deaths],tblDaily[EntryDate],DATE(2026,2,13),tblDaily[WardCode],"MW")),"")</f>
        <v/>
      </c>
      <c r="E58" s="12">
        <f>IFERROR(IF(SUMIFS(tblDaily[DeathsUnder24Hrs],tblDaily[EntryDate],DATE(2026,2,13),tblDaily[WardCode],"MW")=0,"",SUMIFS(tblDaily[DeathsUnder24Hrs],tblDaily[EntryDate],DATE(2026,2,13),tblDaily[WardCode],"MW")),"")</f>
        <v/>
      </c>
      <c r="F58" s="12">
        <f>IFERROR(IF(SUMIFS(tblDaily[TransfersIn],tblDaily[EntryDate],DATE(2026,2,13),tblDaily[WardCode],"MW")=0,"",SUMIFS(tblDaily[TransfersIn],tblDaily[EntryDate],DATE(2026,2,13),tblDaily[WardCode],"MW")),"")</f>
        <v/>
      </c>
      <c r="G58" s="12">
        <f>IFERROR(IF(SUMIFS(tblDaily[TransfersOut],tblDaily[EntryDate],DATE(2026,2,13),tblDaily[WardCode],"MW")=0,"",SUMIFS(tblDaily[TransfersOut],tblDaily[EntryDate],DATE(2026,2,13),tblDaily[WardCode],"MW")),"")</f>
        <v/>
      </c>
      <c r="H58" s="12">
        <f>IFERROR(IF(SUMIFS(tblDaily[Remaining],tblDaily[EntryDate],DATE(2026,2,13),tblDaily[WardCode],"MW")=0,"",SUMIFS(tblDaily[Remaining],tblDaily[EntryDate],DATE(2026,2,13),tblDaily[WardCode],"MW")),"")</f>
        <v/>
      </c>
    </row>
    <row r="59">
      <c r="A59" s="12" t="n">
        <v>14</v>
      </c>
      <c r="B59" s="12">
        <f>IFERROR(IF(SUMIFS(tblDaily[Admissions],tblDaily[EntryDate],DATE(2026,2,14),tblDaily[WardCode],"MW")=0,"",SUMIFS(tblDaily[Admissions],tblDaily[EntryDate],DATE(2026,2,14),tblDaily[WardCode],"MW")),"")</f>
        <v/>
      </c>
      <c r="C59" s="12">
        <f>IFERROR(IF(SUMIFS(tblDaily[Discharges],tblDaily[EntryDate],DATE(2026,2,14),tblDaily[WardCode],"MW")=0,"",SUMIFS(tblDaily[Discharges],tblDaily[EntryDate],DATE(2026,2,14),tblDaily[WardCode],"MW")),"")</f>
        <v/>
      </c>
      <c r="D59" s="12">
        <f>IFERROR(IF(SUMIFS(tblDaily[Deaths],tblDaily[EntryDate],DATE(2026,2,14),tblDaily[WardCode],"MW")=0,"",SUMIFS(tblDaily[Deaths],tblDaily[EntryDate],DATE(2026,2,14),tblDaily[WardCode],"MW")),"")</f>
        <v/>
      </c>
      <c r="E59" s="12">
        <f>IFERROR(IF(SUMIFS(tblDaily[DeathsUnder24Hrs],tblDaily[EntryDate],DATE(2026,2,14),tblDaily[WardCode],"MW")=0,"",SUMIFS(tblDaily[DeathsUnder24Hrs],tblDaily[EntryDate],DATE(2026,2,14),tblDaily[WardCode],"MW")),"")</f>
        <v/>
      </c>
      <c r="F59" s="12">
        <f>IFERROR(IF(SUMIFS(tblDaily[TransfersIn],tblDaily[EntryDate],DATE(2026,2,14),tblDaily[WardCode],"MW")=0,"",SUMIFS(tblDaily[TransfersIn],tblDaily[EntryDate],DATE(2026,2,14),tblDaily[WardCode],"MW")),"")</f>
        <v/>
      </c>
      <c r="G59" s="12">
        <f>IFERROR(IF(SUMIFS(tblDaily[TransfersOut],tblDaily[EntryDate],DATE(2026,2,14),tblDaily[WardCode],"MW")=0,"",SUMIFS(tblDaily[TransfersOut],tblDaily[EntryDate],DATE(2026,2,14),tblDaily[WardCode],"MW")),"")</f>
        <v/>
      </c>
      <c r="H59" s="12">
        <f>IFERROR(IF(SUMIFS(tblDaily[Remaining],tblDaily[EntryDate],DATE(2026,2,14),tblDaily[WardCode],"MW")=0,"",SUMIFS(tblDaily[Remaining],tblDaily[EntryDate],DATE(2026,2,14),tblDaily[WardCode],"MW")),"")</f>
        <v/>
      </c>
    </row>
    <row r="60">
      <c r="A60" s="12" t="n">
        <v>15</v>
      </c>
      <c r="B60" s="12">
        <f>IFERROR(IF(SUMIFS(tblDaily[Admissions],tblDaily[EntryDate],DATE(2026,2,15),tblDaily[WardCode],"MW")=0,"",SUMIFS(tblDaily[Admissions],tblDaily[EntryDate],DATE(2026,2,15),tblDaily[WardCode],"MW")),"")</f>
        <v/>
      </c>
      <c r="C60" s="12">
        <f>IFERROR(IF(SUMIFS(tblDaily[Discharges],tblDaily[EntryDate],DATE(2026,2,15),tblDaily[WardCode],"MW")=0,"",SUMIFS(tblDaily[Discharges],tblDaily[EntryDate],DATE(2026,2,15),tblDaily[WardCode],"MW")),"")</f>
        <v/>
      </c>
      <c r="D60" s="12">
        <f>IFERROR(IF(SUMIFS(tblDaily[Deaths],tblDaily[EntryDate],DATE(2026,2,15),tblDaily[WardCode],"MW")=0,"",SUMIFS(tblDaily[Deaths],tblDaily[EntryDate],DATE(2026,2,15),tblDaily[WardCode],"MW")),"")</f>
        <v/>
      </c>
      <c r="E60" s="12">
        <f>IFERROR(IF(SUMIFS(tblDaily[DeathsUnder24Hrs],tblDaily[EntryDate],DATE(2026,2,15),tblDaily[WardCode],"MW")=0,"",SUMIFS(tblDaily[DeathsUnder24Hrs],tblDaily[EntryDate],DATE(2026,2,15),tblDaily[WardCode],"MW")),"")</f>
        <v/>
      </c>
      <c r="F60" s="12">
        <f>IFERROR(IF(SUMIFS(tblDaily[TransfersIn],tblDaily[EntryDate],DATE(2026,2,15),tblDaily[WardCode],"MW")=0,"",SUMIFS(tblDaily[TransfersIn],tblDaily[EntryDate],DATE(2026,2,15),tblDaily[WardCode],"MW")),"")</f>
        <v/>
      </c>
      <c r="G60" s="12">
        <f>IFERROR(IF(SUMIFS(tblDaily[TransfersOut],tblDaily[EntryDate],DATE(2026,2,15),tblDaily[WardCode],"MW")=0,"",SUMIFS(tblDaily[TransfersOut],tblDaily[EntryDate],DATE(2026,2,15),tblDaily[WardCode],"MW")),"")</f>
        <v/>
      </c>
      <c r="H60" s="12">
        <f>IFERROR(IF(SUMIFS(tblDaily[Remaining],tblDaily[EntryDate],DATE(2026,2,15),tblDaily[WardCode],"MW")=0,"",SUMIFS(tblDaily[Remaining],tblDaily[EntryDate],DATE(2026,2,15),tblDaily[WardCode],"MW")),"")</f>
        <v/>
      </c>
    </row>
    <row r="61">
      <c r="A61" s="12" t="n">
        <v>16</v>
      </c>
      <c r="B61" s="12">
        <f>IFERROR(IF(SUMIFS(tblDaily[Admissions],tblDaily[EntryDate],DATE(2026,2,16),tblDaily[WardCode],"MW")=0,"",SUMIFS(tblDaily[Admissions],tblDaily[EntryDate],DATE(2026,2,16),tblDaily[WardCode],"MW")),"")</f>
        <v/>
      </c>
      <c r="C61" s="12">
        <f>IFERROR(IF(SUMIFS(tblDaily[Discharges],tblDaily[EntryDate],DATE(2026,2,16),tblDaily[WardCode],"MW")=0,"",SUMIFS(tblDaily[Discharges],tblDaily[EntryDate],DATE(2026,2,16),tblDaily[WardCode],"MW")),"")</f>
        <v/>
      </c>
      <c r="D61" s="12">
        <f>IFERROR(IF(SUMIFS(tblDaily[Deaths],tblDaily[EntryDate],DATE(2026,2,16),tblDaily[WardCode],"MW")=0,"",SUMIFS(tblDaily[Deaths],tblDaily[EntryDate],DATE(2026,2,16),tblDaily[WardCode],"MW")),"")</f>
        <v/>
      </c>
      <c r="E61" s="12">
        <f>IFERROR(IF(SUMIFS(tblDaily[DeathsUnder24Hrs],tblDaily[EntryDate],DATE(2026,2,16),tblDaily[WardCode],"MW")=0,"",SUMIFS(tblDaily[DeathsUnder24Hrs],tblDaily[EntryDate],DATE(2026,2,16),tblDaily[WardCode],"MW")),"")</f>
        <v/>
      </c>
      <c r="F61" s="12">
        <f>IFERROR(IF(SUMIFS(tblDaily[TransfersIn],tblDaily[EntryDate],DATE(2026,2,16),tblDaily[WardCode],"MW")=0,"",SUMIFS(tblDaily[TransfersIn],tblDaily[EntryDate],DATE(2026,2,16),tblDaily[WardCode],"MW")),"")</f>
        <v/>
      </c>
      <c r="G61" s="12">
        <f>IFERROR(IF(SUMIFS(tblDaily[TransfersOut],tblDaily[EntryDate],DATE(2026,2,16),tblDaily[WardCode],"MW")=0,"",SUMIFS(tblDaily[TransfersOut],tblDaily[EntryDate],DATE(2026,2,16),tblDaily[WardCode],"MW")),"")</f>
        <v/>
      </c>
      <c r="H61" s="12">
        <f>IFERROR(IF(SUMIFS(tblDaily[Remaining],tblDaily[EntryDate],DATE(2026,2,16),tblDaily[WardCode],"MW")=0,"",SUMIFS(tblDaily[Remaining],tblDaily[EntryDate],DATE(2026,2,16),tblDaily[WardCode],"MW")),"")</f>
        <v/>
      </c>
    </row>
    <row r="62">
      <c r="A62" s="12" t="n">
        <v>17</v>
      </c>
      <c r="B62" s="12">
        <f>IFERROR(IF(SUMIFS(tblDaily[Admissions],tblDaily[EntryDate],DATE(2026,2,17),tblDaily[WardCode],"MW")=0,"",SUMIFS(tblDaily[Admissions],tblDaily[EntryDate],DATE(2026,2,17),tblDaily[WardCode],"MW")),"")</f>
        <v/>
      </c>
      <c r="C62" s="12">
        <f>IFERROR(IF(SUMIFS(tblDaily[Discharges],tblDaily[EntryDate],DATE(2026,2,17),tblDaily[WardCode],"MW")=0,"",SUMIFS(tblDaily[Discharges],tblDaily[EntryDate],DATE(2026,2,17),tblDaily[WardCode],"MW")),"")</f>
        <v/>
      </c>
      <c r="D62" s="12">
        <f>IFERROR(IF(SUMIFS(tblDaily[Deaths],tblDaily[EntryDate],DATE(2026,2,17),tblDaily[WardCode],"MW")=0,"",SUMIFS(tblDaily[Deaths],tblDaily[EntryDate],DATE(2026,2,17),tblDaily[WardCode],"MW")),"")</f>
        <v/>
      </c>
      <c r="E62" s="12">
        <f>IFERROR(IF(SUMIFS(tblDaily[DeathsUnder24Hrs],tblDaily[EntryDate],DATE(2026,2,17),tblDaily[WardCode],"MW")=0,"",SUMIFS(tblDaily[DeathsUnder24Hrs],tblDaily[EntryDate],DATE(2026,2,17),tblDaily[WardCode],"MW")),"")</f>
        <v/>
      </c>
      <c r="F62" s="12">
        <f>IFERROR(IF(SUMIFS(tblDaily[TransfersIn],tblDaily[EntryDate],DATE(2026,2,17),tblDaily[WardCode],"MW")=0,"",SUMIFS(tblDaily[TransfersIn],tblDaily[EntryDate],DATE(2026,2,17),tblDaily[WardCode],"MW")),"")</f>
        <v/>
      </c>
      <c r="G62" s="12">
        <f>IFERROR(IF(SUMIFS(tblDaily[TransfersOut],tblDaily[EntryDate],DATE(2026,2,17),tblDaily[WardCode],"MW")=0,"",SUMIFS(tblDaily[TransfersOut],tblDaily[EntryDate],DATE(2026,2,17),tblDaily[WardCode],"MW")),"")</f>
        <v/>
      </c>
      <c r="H62" s="12">
        <f>IFERROR(IF(SUMIFS(tblDaily[Remaining],tblDaily[EntryDate],DATE(2026,2,17),tblDaily[WardCode],"MW")=0,"",SUMIFS(tblDaily[Remaining],tblDaily[EntryDate],DATE(2026,2,17),tblDaily[WardCode],"MW")),"")</f>
        <v/>
      </c>
    </row>
    <row r="63">
      <c r="A63" s="12" t="n">
        <v>18</v>
      </c>
      <c r="B63" s="12">
        <f>IFERROR(IF(SUMIFS(tblDaily[Admissions],tblDaily[EntryDate],DATE(2026,2,18),tblDaily[WardCode],"MW")=0,"",SUMIFS(tblDaily[Admissions],tblDaily[EntryDate],DATE(2026,2,18),tblDaily[WardCode],"MW")),"")</f>
        <v/>
      </c>
      <c r="C63" s="12">
        <f>IFERROR(IF(SUMIFS(tblDaily[Discharges],tblDaily[EntryDate],DATE(2026,2,18),tblDaily[WardCode],"MW")=0,"",SUMIFS(tblDaily[Discharges],tblDaily[EntryDate],DATE(2026,2,18),tblDaily[WardCode],"MW")),"")</f>
        <v/>
      </c>
      <c r="D63" s="12">
        <f>IFERROR(IF(SUMIFS(tblDaily[Deaths],tblDaily[EntryDate],DATE(2026,2,18),tblDaily[WardCode],"MW")=0,"",SUMIFS(tblDaily[Deaths],tblDaily[EntryDate],DATE(2026,2,18),tblDaily[WardCode],"MW")),"")</f>
        <v/>
      </c>
      <c r="E63" s="12">
        <f>IFERROR(IF(SUMIFS(tblDaily[DeathsUnder24Hrs],tblDaily[EntryDate],DATE(2026,2,18),tblDaily[WardCode],"MW")=0,"",SUMIFS(tblDaily[DeathsUnder24Hrs],tblDaily[EntryDate],DATE(2026,2,18),tblDaily[WardCode],"MW")),"")</f>
        <v/>
      </c>
      <c r="F63" s="12">
        <f>IFERROR(IF(SUMIFS(tblDaily[TransfersIn],tblDaily[EntryDate],DATE(2026,2,18),tblDaily[WardCode],"MW")=0,"",SUMIFS(tblDaily[TransfersIn],tblDaily[EntryDate],DATE(2026,2,18),tblDaily[WardCode],"MW")),"")</f>
        <v/>
      </c>
      <c r="G63" s="12">
        <f>IFERROR(IF(SUMIFS(tblDaily[TransfersOut],tblDaily[EntryDate],DATE(2026,2,18),tblDaily[WardCode],"MW")=0,"",SUMIFS(tblDaily[TransfersOut],tblDaily[EntryDate],DATE(2026,2,18),tblDaily[WardCode],"MW")),"")</f>
        <v/>
      </c>
      <c r="H63" s="12">
        <f>IFERROR(IF(SUMIFS(tblDaily[Remaining],tblDaily[EntryDate],DATE(2026,2,18),tblDaily[WardCode],"MW")=0,"",SUMIFS(tblDaily[Remaining],tblDaily[EntryDate],DATE(2026,2,18),tblDaily[WardCode],"MW")),"")</f>
        <v/>
      </c>
    </row>
    <row r="64">
      <c r="A64" s="12" t="n">
        <v>19</v>
      </c>
      <c r="B64" s="12">
        <f>IFERROR(IF(SUMIFS(tblDaily[Admissions],tblDaily[EntryDate],DATE(2026,2,19),tblDaily[WardCode],"MW")=0,"",SUMIFS(tblDaily[Admissions],tblDaily[EntryDate],DATE(2026,2,19),tblDaily[WardCode],"MW")),"")</f>
        <v/>
      </c>
      <c r="C64" s="12">
        <f>IFERROR(IF(SUMIFS(tblDaily[Discharges],tblDaily[EntryDate],DATE(2026,2,19),tblDaily[WardCode],"MW")=0,"",SUMIFS(tblDaily[Discharges],tblDaily[EntryDate],DATE(2026,2,19),tblDaily[WardCode],"MW")),"")</f>
        <v/>
      </c>
      <c r="D64" s="12">
        <f>IFERROR(IF(SUMIFS(tblDaily[Deaths],tblDaily[EntryDate],DATE(2026,2,19),tblDaily[WardCode],"MW")=0,"",SUMIFS(tblDaily[Deaths],tblDaily[EntryDate],DATE(2026,2,19),tblDaily[WardCode],"MW")),"")</f>
        <v/>
      </c>
      <c r="E64" s="12">
        <f>IFERROR(IF(SUMIFS(tblDaily[DeathsUnder24Hrs],tblDaily[EntryDate],DATE(2026,2,19),tblDaily[WardCode],"MW")=0,"",SUMIFS(tblDaily[DeathsUnder24Hrs],tblDaily[EntryDate],DATE(2026,2,19),tblDaily[WardCode],"MW")),"")</f>
        <v/>
      </c>
      <c r="F64" s="12">
        <f>IFERROR(IF(SUMIFS(tblDaily[TransfersIn],tblDaily[EntryDate],DATE(2026,2,19),tblDaily[WardCode],"MW")=0,"",SUMIFS(tblDaily[TransfersIn],tblDaily[EntryDate],DATE(2026,2,19),tblDaily[WardCode],"MW")),"")</f>
        <v/>
      </c>
      <c r="G64" s="12">
        <f>IFERROR(IF(SUMIFS(tblDaily[TransfersOut],tblDaily[EntryDate],DATE(2026,2,19),tblDaily[WardCode],"MW")=0,"",SUMIFS(tblDaily[TransfersOut],tblDaily[EntryDate],DATE(2026,2,19),tblDaily[WardCode],"MW")),"")</f>
        <v/>
      </c>
      <c r="H64" s="12">
        <f>IFERROR(IF(SUMIFS(tblDaily[Remaining],tblDaily[EntryDate],DATE(2026,2,19),tblDaily[WardCode],"MW")=0,"",SUMIFS(tblDaily[Remaining],tblDaily[EntryDate],DATE(2026,2,19),tblDaily[WardCode],"MW")),"")</f>
        <v/>
      </c>
    </row>
    <row r="65">
      <c r="A65" s="12" t="n">
        <v>20</v>
      </c>
      <c r="B65" s="12">
        <f>IFERROR(IF(SUMIFS(tblDaily[Admissions],tblDaily[EntryDate],DATE(2026,2,20),tblDaily[WardCode],"MW")=0,"",SUMIFS(tblDaily[Admissions],tblDaily[EntryDate],DATE(2026,2,20),tblDaily[WardCode],"MW")),"")</f>
        <v/>
      </c>
      <c r="C65" s="12">
        <f>IFERROR(IF(SUMIFS(tblDaily[Discharges],tblDaily[EntryDate],DATE(2026,2,20),tblDaily[WardCode],"MW")=0,"",SUMIFS(tblDaily[Discharges],tblDaily[EntryDate],DATE(2026,2,20),tblDaily[WardCode],"MW")),"")</f>
        <v/>
      </c>
      <c r="D65" s="12">
        <f>IFERROR(IF(SUMIFS(tblDaily[Deaths],tblDaily[EntryDate],DATE(2026,2,20),tblDaily[WardCode],"MW")=0,"",SUMIFS(tblDaily[Deaths],tblDaily[EntryDate],DATE(2026,2,20),tblDaily[WardCode],"MW")),"")</f>
        <v/>
      </c>
      <c r="E65" s="12">
        <f>IFERROR(IF(SUMIFS(tblDaily[DeathsUnder24Hrs],tblDaily[EntryDate],DATE(2026,2,20),tblDaily[WardCode],"MW")=0,"",SUMIFS(tblDaily[DeathsUnder24Hrs],tblDaily[EntryDate],DATE(2026,2,20),tblDaily[WardCode],"MW")),"")</f>
        <v/>
      </c>
      <c r="F65" s="12">
        <f>IFERROR(IF(SUMIFS(tblDaily[TransfersIn],tblDaily[EntryDate],DATE(2026,2,20),tblDaily[WardCode],"MW")=0,"",SUMIFS(tblDaily[TransfersIn],tblDaily[EntryDate],DATE(2026,2,20),tblDaily[WardCode],"MW")),"")</f>
        <v/>
      </c>
      <c r="G65" s="12">
        <f>IFERROR(IF(SUMIFS(tblDaily[TransfersOut],tblDaily[EntryDate],DATE(2026,2,20),tblDaily[WardCode],"MW")=0,"",SUMIFS(tblDaily[TransfersOut],tblDaily[EntryDate],DATE(2026,2,20),tblDaily[WardCode],"MW")),"")</f>
        <v/>
      </c>
      <c r="H65" s="12">
        <f>IFERROR(IF(SUMIFS(tblDaily[Remaining],tblDaily[EntryDate],DATE(2026,2,20),tblDaily[WardCode],"MW")=0,"",SUMIFS(tblDaily[Remaining],tblDaily[EntryDate],DATE(2026,2,20),tblDaily[WardCode],"MW")),"")</f>
        <v/>
      </c>
    </row>
    <row r="66">
      <c r="A66" s="12" t="n">
        <v>21</v>
      </c>
      <c r="B66" s="12">
        <f>IFERROR(IF(SUMIFS(tblDaily[Admissions],tblDaily[EntryDate],DATE(2026,2,21),tblDaily[WardCode],"MW")=0,"",SUMIFS(tblDaily[Admissions],tblDaily[EntryDate],DATE(2026,2,21),tblDaily[WardCode],"MW")),"")</f>
        <v/>
      </c>
      <c r="C66" s="12">
        <f>IFERROR(IF(SUMIFS(tblDaily[Discharges],tblDaily[EntryDate],DATE(2026,2,21),tblDaily[WardCode],"MW")=0,"",SUMIFS(tblDaily[Discharges],tblDaily[EntryDate],DATE(2026,2,21),tblDaily[WardCode],"MW")),"")</f>
        <v/>
      </c>
      <c r="D66" s="12">
        <f>IFERROR(IF(SUMIFS(tblDaily[Deaths],tblDaily[EntryDate],DATE(2026,2,21),tblDaily[WardCode],"MW")=0,"",SUMIFS(tblDaily[Deaths],tblDaily[EntryDate],DATE(2026,2,21),tblDaily[WardCode],"MW")),"")</f>
        <v/>
      </c>
      <c r="E66" s="12">
        <f>IFERROR(IF(SUMIFS(tblDaily[DeathsUnder24Hrs],tblDaily[EntryDate],DATE(2026,2,21),tblDaily[WardCode],"MW")=0,"",SUMIFS(tblDaily[DeathsUnder24Hrs],tblDaily[EntryDate],DATE(2026,2,21),tblDaily[WardCode],"MW")),"")</f>
        <v/>
      </c>
      <c r="F66" s="12">
        <f>IFERROR(IF(SUMIFS(tblDaily[TransfersIn],tblDaily[EntryDate],DATE(2026,2,21),tblDaily[WardCode],"MW")=0,"",SUMIFS(tblDaily[TransfersIn],tblDaily[EntryDate],DATE(2026,2,21),tblDaily[WardCode],"MW")),"")</f>
        <v/>
      </c>
      <c r="G66" s="12">
        <f>IFERROR(IF(SUMIFS(tblDaily[TransfersOut],tblDaily[EntryDate],DATE(2026,2,21),tblDaily[WardCode],"MW")=0,"",SUMIFS(tblDaily[TransfersOut],tblDaily[EntryDate],DATE(2026,2,21),tblDaily[WardCode],"MW")),"")</f>
        <v/>
      </c>
      <c r="H66" s="12">
        <f>IFERROR(IF(SUMIFS(tblDaily[Remaining],tblDaily[EntryDate],DATE(2026,2,21),tblDaily[WardCode],"MW")=0,"",SUMIFS(tblDaily[Remaining],tblDaily[EntryDate],DATE(2026,2,21),tblDaily[WardCode],"MW")),"")</f>
        <v/>
      </c>
    </row>
    <row r="67">
      <c r="A67" s="12" t="n">
        <v>22</v>
      </c>
      <c r="B67" s="12">
        <f>IFERROR(IF(SUMIFS(tblDaily[Admissions],tblDaily[EntryDate],DATE(2026,2,22),tblDaily[WardCode],"MW")=0,"",SUMIFS(tblDaily[Admissions],tblDaily[EntryDate],DATE(2026,2,22),tblDaily[WardCode],"MW")),"")</f>
        <v/>
      </c>
      <c r="C67" s="12">
        <f>IFERROR(IF(SUMIFS(tblDaily[Discharges],tblDaily[EntryDate],DATE(2026,2,22),tblDaily[WardCode],"MW")=0,"",SUMIFS(tblDaily[Discharges],tblDaily[EntryDate],DATE(2026,2,22),tblDaily[WardCode],"MW")),"")</f>
        <v/>
      </c>
      <c r="D67" s="12">
        <f>IFERROR(IF(SUMIFS(tblDaily[Deaths],tblDaily[EntryDate],DATE(2026,2,22),tblDaily[WardCode],"MW")=0,"",SUMIFS(tblDaily[Deaths],tblDaily[EntryDate],DATE(2026,2,22),tblDaily[WardCode],"MW")),"")</f>
        <v/>
      </c>
      <c r="E67" s="12">
        <f>IFERROR(IF(SUMIFS(tblDaily[DeathsUnder24Hrs],tblDaily[EntryDate],DATE(2026,2,22),tblDaily[WardCode],"MW")=0,"",SUMIFS(tblDaily[DeathsUnder24Hrs],tblDaily[EntryDate],DATE(2026,2,22),tblDaily[WardCode],"MW")),"")</f>
        <v/>
      </c>
      <c r="F67" s="12">
        <f>IFERROR(IF(SUMIFS(tblDaily[TransfersIn],tblDaily[EntryDate],DATE(2026,2,22),tblDaily[WardCode],"MW")=0,"",SUMIFS(tblDaily[TransfersIn],tblDaily[EntryDate],DATE(2026,2,22),tblDaily[WardCode],"MW")),"")</f>
        <v/>
      </c>
      <c r="G67" s="12">
        <f>IFERROR(IF(SUMIFS(tblDaily[TransfersOut],tblDaily[EntryDate],DATE(2026,2,22),tblDaily[WardCode],"MW")=0,"",SUMIFS(tblDaily[TransfersOut],tblDaily[EntryDate],DATE(2026,2,22),tblDaily[WardCode],"MW")),"")</f>
        <v/>
      </c>
      <c r="H67" s="12">
        <f>IFERROR(IF(SUMIFS(tblDaily[Remaining],tblDaily[EntryDate],DATE(2026,2,22),tblDaily[WardCode],"MW")=0,"",SUMIFS(tblDaily[Remaining],tblDaily[EntryDate],DATE(2026,2,22),tblDaily[WardCode],"MW")),"")</f>
        <v/>
      </c>
    </row>
    <row r="68">
      <c r="A68" s="12" t="n">
        <v>23</v>
      </c>
      <c r="B68" s="12">
        <f>IFERROR(IF(SUMIFS(tblDaily[Admissions],tblDaily[EntryDate],DATE(2026,2,23),tblDaily[WardCode],"MW")=0,"",SUMIFS(tblDaily[Admissions],tblDaily[EntryDate],DATE(2026,2,23),tblDaily[WardCode],"MW")),"")</f>
        <v/>
      </c>
      <c r="C68" s="12">
        <f>IFERROR(IF(SUMIFS(tblDaily[Discharges],tblDaily[EntryDate],DATE(2026,2,23),tblDaily[WardCode],"MW")=0,"",SUMIFS(tblDaily[Discharges],tblDaily[EntryDate],DATE(2026,2,23),tblDaily[WardCode],"MW")),"")</f>
        <v/>
      </c>
      <c r="D68" s="12">
        <f>IFERROR(IF(SUMIFS(tblDaily[Deaths],tblDaily[EntryDate],DATE(2026,2,23),tblDaily[WardCode],"MW")=0,"",SUMIFS(tblDaily[Deaths],tblDaily[EntryDate],DATE(2026,2,23),tblDaily[WardCode],"MW")),"")</f>
        <v/>
      </c>
      <c r="E68" s="12">
        <f>IFERROR(IF(SUMIFS(tblDaily[DeathsUnder24Hrs],tblDaily[EntryDate],DATE(2026,2,23),tblDaily[WardCode],"MW")=0,"",SUMIFS(tblDaily[DeathsUnder24Hrs],tblDaily[EntryDate],DATE(2026,2,23),tblDaily[WardCode],"MW")),"")</f>
        <v/>
      </c>
      <c r="F68" s="12">
        <f>IFERROR(IF(SUMIFS(tblDaily[TransfersIn],tblDaily[EntryDate],DATE(2026,2,23),tblDaily[WardCode],"MW")=0,"",SUMIFS(tblDaily[TransfersIn],tblDaily[EntryDate],DATE(2026,2,23),tblDaily[WardCode],"MW")),"")</f>
        <v/>
      </c>
      <c r="G68" s="12">
        <f>IFERROR(IF(SUMIFS(tblDaily[TransfersOut],tblDaily[EntryDate],DATE(2026,2,23),tblDaily[WardCode],"MW")=0,"",SUMIFS(tblDaily[TransfersOut],tblDaily[EntryDate],DATE(2026,2,23),tblDaily[WardCode],"MW")),"")</f>
        <v/>
      </c>
      <c r="H68" s="12">
        <f>IFERROR(IF(SUMIFS(tblDaily[Remaining],tblDaily[EntryDate],DATE(2026,2,23),tblDaily[WardCode],"MW")=0,"",SUMIFS(tblDaily[Remaining],tblDaily[EntryDate],DATE(2026,2,23),tblDaily[WardCode],"MW")),"")</f>
        <v/>
      </c>
    </row>
    <row r="69">
      <c r="A69" s="12" t="n">
        <v>24</v>
      </c>
      <c r="B69" s="12">
        <f>IFERROR(IF(SUMIFS(tblDaily[Admissions],tblDaily[EntryDate],DATE(2026,2,24),tblDaily[WardCode],"MW")=0,"",SUMIFS(tblDaily[Admissions],tblDaily[EntryDate],DATE(2026,2,24),tblDaily[WardCode],"MW")),"")</f>
        <v/>
      </c>
      <c r="C69" s="12">
        <f>IFERROR(IF(SUMIFS(tblDaily[Discharges],tblDaily[EntryDate],DATE(2026,2,24),tblDaily[WardCode],"MW")=0,"",SUMIFS(tblDaily[Discharges],tblDaily[EntryDate],DATE(2026,2,24),tblDaily[WardCode],"MW")),"")</f>
        <v/>
      </c>
      <c r="D69" s="12">
        <f>IFERROR(IF(SUMIFS(tblDaily[Deaths],tblDaily[EntryDate],DATE(2026,2,24),tblDaily[WardCode],"MW")=0,"",SUMIFS(tblDaily[Deaths],tblDaily[EntryDate],DATE(2026,2,24),tblDaily[WardCode],"MW")),"")</f>
        <v/>
      </c>
      <c r="E69" s="12">
        <f>IFERROR(IF(SUMIFS(tblDaily[DeathsUnder24Hrs],tblDaily[EntryDate],DATE(2026,2,24),tblDaily[WardCode],"MW")=0,"",SUMIFS(tblDaily[DeathsUnder24Hrs],tblDaily[EntryDate],DATE(2026,2,24),tblDaily[WardCode],"MW")),"")</f>
        <v/>
      </c>
      <c r="F69" s="12">
        <f>IFERROR(IF(SUMIFS(tblDaily[TransfersIn],tblDaily[EntryDate],DATE(2026,2,24),tblDaily[WardCode],"MW")=0,"",SUMIFS(tblDaily[TransfersIn],tblDaily[EntryDate],DATE(2026,2,24),tblDaily[WardCode],"MW")),"")</f>
        <v/>
      </c>
      <c r="G69" s="12">
        <f>IFERROR(IF(SUMIFS(tblDaily[TransfersOut],tblDaily[EntryDate],DATE(2026,2,24),tblDaily[WardCode],"MW")=0,"",SUMIFS(tblDaily[TransfersOut],tblDaily[EntryDate],DATE(2026,2,24),tblDaily[WardCode],"MW")),"")</f>
        <v/>
      </c>
      <c r="H69" s="12">
        <f>IFERROR(IF(SUMIFS(tblDaily[Remaining],tblDaily[EntryDate],DATE(2026,2,24),tblDaily[WardCode],"MW")=0,"",SUMIFS(tblDaily[Remaining],tblDaily[EntryDate],DATE(2026,2,24),tblDaily[WardCode],"MW")),"")</f>
        <v/>
      </c>
    </row>
    <row r="70">
      <c r="A70" s="12" t="n">
        <v>25</v>
      </c>
      <c r="B70" s="12">
        <f>IFERROR(IF(SUMIFS(tblDaily[Admissions],tblDaily[EntryDate],DATE(2026,2,25),tblDaily[WardCode],"MW")=0,"",SUMIFS(tblDaily[Admissions],tblDaily[EntryDate],DATE(2026,2,25),tblDaily[WardCode],"MW")),"")</f>
        <v/>
      </c>
      <c r="C70" s="12">
        <f>IFERROR(IF(SUMIFS(tblDaily[Discharges],tblDaily[EntryDate],DATE(2026,2,25),tblDaily[WardCode],"MW")=0,"",SUMIFS(tblDaily[Discharges],tblDaily[EntryDate],DATE(2026,2,25),tblDaily[WardCode],"MW")),"")</f>
        <v/>
      </c>
      <c r="D70" s="12">
        <f>IFERROR(IF(SUMIFS(tblDaily[Deaths],tblDaily[EntryDate],DATE(2026,2,25),tblDaily[WardCode],"MW")=0,"",SUMIFS(tblDaily[Deaths],tblDaily[EntryDate],DATE(2026,2,25),tblDaily[WardCode],"MW")),"")</f>
        <v/>
      </c>
      <c r="E70" s="12">
        <f>IFERROR(IF(SUMIFS(tblDaily[DeathsUnder24Hrs],tblDaily[EntryDate],DATE(2026,2,25),tblDaily[WardCode],"MW")=0,"",SUMIFS(tblDaily[DeathsUnder24Hrs],tblDaily[EntryDate],DATE(2026,2,25),tblDaily[WardCode],"MW")),"")</f>
        <v/>
      </c>
      <c r="F70" s="12">
        <f>IFERROR(IF(SUMIFS(tblDaily[TransfersIn],tblDaily[EntryDate],DATE(2026,2,25),tblDaily[WardCode],"MW")=0,"",SUMIFS(tblDaily[TransfersIn],tblDaily[EntryDate],DATE(2026,2,25),tblDaily[WardCode],"MW")),"")</f>
        <v/>
      </c>
      <c r="G70" s="12">
        <f>IFERROR(IF(SUMIFS(tblDaily[TransfersOut],tblDaily[EntryDate],DATE(2026,2,25),tblDaily[WardCode],"MW")=0,"",SUMIFS(tblDaily[TransfersOut],tblDaily[EntryDate],DATE(2026,2,25),tblDaily[WardCode],"MW")),"")</f>
        <v/>
      </c>
      <c r="H70" s="12">
        <f>IFERROR(IF(SUMIFS(tblDaily[Remaining],tblDaily[EntryDate],DATE(2026,2,25),tblDaily[WardCode],"MW")=0,"",SUMIFS(tblDaily[Remaining],tblDaily[EntryDate],DATE(2026,2,25),tblDaily[WardCode],"MW")),"")</f>
        <v/>
      </c>
    </row>
    <row r="71">
      <c r="A71" s="12" t="n">
        <v>26</v>
      </c>
      <c r="B71" s="12">
        <f>IFERROR(IF(SUMIFS(tblDaily[Admissions],tblDaily[EntryDate],DATE(2026,2,26),tblDaily[WardCode],"MW")=0,"",SUMIFS(tblDaily[Admissions],tblDaily[EntryDate],DATE(2026,2,26),tblDaily[WardCode],"MW")),"")</f>
        <v/>
      </c>
      <c r="C71" s="12">
        <f>IFERROR(IF(SUMIFS(tblDaily[Discharges],tblDaily[EntryDate],DATE(2026,2,26),tblDaily[WardCode],"MW")=0,"",SUMIFS(tblDaily[Discharges],tblDaily[EntryDate],DATE(2026,2,26),tblDaily[WardCode],"MW")),"")</f>
        <v/>
      </c>
      <c r="D71" s="12">
        <f>IFERROR(IF(SUMIFS(tblDaily[Deaths],tblDaily[EntryDate],DATE(2026,2,26),tblDaily[WardCode],"MW")=0,"",SUMIFS(tblDaily[Deaths],tblDaily[EntryDate],DATE(2026,2,26),tblDaily[WardCode],"MW")),"")</f>
        <v/>
      </c>
      <c r="E71" s="12">
        <f>IFERROR(IF(SUMIFS(tblDaily[DeathsUnder24Hrs],tblDaily[EntryDate],DATE(2026,2,26),tblDaily[WardCode],"MW")=0,"",SUMIFS(tblDaily[DeathsUnder24Hrs],tblDaily[EntryDate],DATE(2026,2,26),tblDaily[WardCode],"MW")),"")</f>
        <v/>
      </c>
      <c r="F71" s="12">
        <f>IFERROR(IF(SUMIFS(tblDaily[TransfersIn],tblDaily[EntryDate],DATE(2026,2,26),tblDaily[WardCode],"MW")=0,"",SUMIFS(tblDaily[TransfersIn],tblDaily[EntryDate],DATE(2026,2,26),tblDaily[WardCode],"MW")),"")</f>
        <v/>
      </c>
      <c r="G71" s="12">
        <f>IFERROR(IF(SUMIFS(tblDaily[TransfersOut],tblDaily[EntryDate],DATE(2026,2,26),tblDaily[WardCode],"MW")=0,"",SUMIFS(tblDaily[TransfersOut],tblDaily[EntryDate],DATE(2026,2,26),tblDaily[WardCode],"MW")),"")</f>
        <v/>
      </c>
      <c r="H71" s="12">
        <f>IFERROR(IF(SUMIFS(tblDaily[Remaining],tblDaily[EntryDate],DATE(2026,2,26),tblDaily[WardCode],"MW")=0,"",SUMIFS(tblDaily[Remaining],tblDaily[EntryDate],DATE(2026,2,26),tblDaily[WardCode],"MW")),"")</f>
        <v/>
      </c>
    </row>
    <row r="72">
      <c r="A72" s="12" t="n">
        <v>27</v>
      </c>
      <c r="B72" s="12">
        <f>IFERROR(IF(SUMIFS(tblDaily[Admissions],tblDaily[EntryDate],DATE(2026,2,27),tblDaily[WardCode],"MW")=0,"",SUMIFS(tblDaily[Admissions],tblDaily[EntryDate],DATE(2026,2,27),tblDaily[WardCode],"MW")),"")</f>
        <v/>
      </c>
      <c r="C72" s="12">
        <f>IFERROR(IF(SUMIFS(tblDaily[Discharges],tblDaily[EntryDate],DATE(2026,2,27),tblDaily[WardCode],"MW")=0,"",SUMIFS(tblDaily[Discharges],tblDaily[EntryDate],DATE(2026,2,27),tblDaily[WardCode],"MW")),"")</f>
        <v/>
      </c>
      <c r="D72" s="12">
        <f>IFERROR(IF(SUMIFS(tblDaily[Deaths],tblDaily[EntryDate],DATE(2026,2,27),tblDaily[WardCode],"MW")=0,"",SUMIFS(tblDaily[Deaths],tblDaily[EntryDate],DATE(2026,2,27),tblDaily[WardCode],"MW")),"")</f>
        <v/>
      </c>
      <c r="E72" s="12">
        <f>IFERROR(IF(SUMIFS(tblDaily[DeathsUnder24Hrs],tblDaily[EntryDate],DATE(2026,2,27),tblDaily[WardCode],"MW")=0,"",SUMIFS(tblDaily[DeathsUnder24Hrs],tblDaily[EntryDate],DATE(2026,2,27),tblDaily[WardCode],"MW")),"")</f>
        <v/>
      </c>
      <c r="F72" s="12">
        <f>IFERROR(IF(SUMIFS(tblDaily[TransfersIn],tblDaily[EntryDate],DATE(2026,2,27),tblDaily[WardCode],"MW")=0,"",SUMIFS(tblDaily[TransfersIn],tblDaily[EntryDate],DATE(2026,2,27),tblDaily[WardCode],"MW")),"")</f>
        <v/>
      </c>
      <c r="G72" s="12">
        <f>IFERROR(IF(SUMIFS(tblDaily[TransfersOut],tblDaily[EntryDate],DATE(2026,2,27),tblDaily[WardCode],"MW")=0,"",SUMIFS(tblDaily[TransfersOut],tblDaily[EntryDate],DATE(2026,2,27),tblDaily[WardCode],"MW")),"")</f>
        <v/>
      </c>
      <c r="H72" s="12">
        <f>IFERROR(IF(SUMIFS(tblDaily[Remaining],tblDaily[EntryDate],DATE(2026,2,27),tblDaily[WardCode],"MW")=0,"",SUMIFS(tblDaily[Remaining],tblDaily[EntryDate],DATE(2026,2,27),tblDaily[WardCode],"MW")),"")</f>
        <v/>
      </c>
    </row>
    <row r="73">
      <c r="A73" s="12" t="n">
        <v>28</v>
      </c>
      <c r="B73" s="12">
        <f>IFERROR(IF(SUMIFS(tblDaily[Admissions],tblDaily[EntryDate],DATE(2026,2,28),tblDaily[WardCode],"MW")=0,"",SUMIFS(tblDaily[Admissions],tblDaily[EntryDate],DATE(2026,2,28),tblDaily[WardCode],"MW")),"")</f>
        <v/>
      </c>
      <c r="C73" s="12">
        <f>IFERROR(IF(SUMIFS(tblDaily[Discharges],tblDaily[EntryDate],DATE(2026,2,28),tblDaily[WardCode],"MW")=0,"",SUMIFS(tblDaily[Discharges],tblDaily[EntryDate],DATE(2026,2,28),tblDaily[WardCode],"MW")),"")</f>
        <v/>
      </c>
      <c r="D73" s="12">
        <f>IFERROR(IF(SUMIFS(tblDaily[Deaths],tblDaily[EntryDate],DATE(2026,2,28),tblDaily[WardCode],"MW")=0,"",SUMIFS(tblDaily[Deaths],tblDaily[EntryDate],DATE(2026,2,28),tblDaily[WardCode],"MW")),"")</f>
        <v/>
      </c>
      <c r="E73" s="12">
        <f>IFERROR(IF(SUMIFS(tblDaily[DeathsUnder24Hrs],tblDaily[EntryDate],DATE(2026,2,28),tblDaily[WardCode],"MW")=0,"",SUMIFS(tblDaily[DeathsUnder24Hrs],tblDaily[EntryDate],DATE(2026,2,28),tblDaily[WardCode],"MW")),"")</f>
        <v/>
      </c>
      <c r="F73" s="12">
        <f>IFERROR(IF(SUMIFS(tblDaily[TransfersIn],tblDaily[EntryDate],DATE(2026,2,28),tblDaily[WardCode],"MW")=0,"",SUMIFS(tblDaily[TransfersIn],tblDaily[EntryDate],DATE(2026,2,28),tblDaily[WardCode],"MW")),"")</f>
        <v/>
      </c>
      <c r="G73" s="12">
        <f>IFERROR(IF(SUMIFS(tblDaily[TransfersOut],tblDaily[EntryDate],DATE(2026,2,28),tblDaily[WardCode],"MW")=0,"",SUMIFS(tblDaily[TransfersOut],tblDaily[EntryDate],DATE(2026,2,28),tblDaily[WardCode],"MW")),"")</f>
        <v/>
      </c>
      <c r="H73" s="12">
        <f>IFERROR(IF(SUMIFS(tblDaily[Remaining],tblDaily[EntryDate],DATE(2026,2,28),tblDaily[WardCode],"MW")=0,"",SUMIFS(tblDaily[Remaining],tblDaily[EntryDate],DATE(2026,2,28),tblDaily[WardCode],"MW")),"")</f>
        <v/>
      </c>
    </row>
    <row r="74">
      <c r="A74" s="12" t="n">
        <v>29</v>
      </c>
      <c r="B74" s="18" t="n"/>
      <c r="C74" s="18" t="n"/>
      <c r="D74" s="18" t="n"/>
      <c r="E74" s="18" t="n"/>
      <c r="F74" s="18" t="n"/>
      <c r="G74" s="18" t="n"/>
      <c r="H74" s="18" t="n"/>
    </row>
    <row r="75">
      <c r="A75" s="12" t="n">
        <v>30</v>
      </c>
      <c r="B75" s="18" t="n"/>
      <c r="C75" s="18" t="n"/>
      <c r="D75" s="18" t="n"/>
      <c r="E75" s="18" t="n"/>
      <c r="F75" s="18" t="n"/>
      <c r="G75" s="18" t="n"/>
      <c r="H75" s="18" t="n"/>
    </row>
    <row r="76">
      <c r="A76" s="12" t="n">
        <v>31</v>
      </c>
      <c r="B76" s="18" t="n"/>
      <c r="C76" s="18" t="n"/>
      <c r="D76" s="18" t="n"/>
      <c r="E76" s="18" t="n"/>
      <c r="F76" s="18" t="n"/>
      <c r="G76" s="18" t="n"/>
      <c r="H76" s="18" t="n"/>
    </row>
    <row r="77">
      <c r="A77" s="17" t="inlineStr">
        <is>
          <t>TOTAL</t>
        </is>
      </c>
      <c r="B77" s="17">
        <f>SUMIFS(tblDaily[Admissions],tblDaily[Month],2,tblDaily[WardCode],"MW") - SUMIFS(tblDaily[DeathsUnder24Hrs],tblDaily[Month],2,tblDaily[WardCode],"MW")</f>
        <v/>
      </c>
      <c r="C77" s="17">
        <f>SUMIFS(tblDaily[Discharges],tblDaily[Month],2,tblDaily[WardCode],"MW")</f>
        <v/>
      </c>
      <c r="D77" s="17">
        <f>SUMIFS(tblDaily[Deaths],tblDaily[Month],2,tblDaily[WardCode],"MW")</f>
        <v/>
      </c>
      <c r="E77" s="17">
        <f>SUMIFS(tblDaily[DeathsUnder24Hrs],tblDaily[Month],2,tblDaily[WardCode],"MW")</f>
        <v/>
      </c>
      <c r="F77" s="17">
        <f>SUMIFS(tblDaily[TransfersIn],tblDaily[Month],2,tblDaily[WardCode],"MW")</f>
        <v/>
      </c>
      <c r="G77" s="17">
        <f>SUMIFS(tblDaily[TransfersOut],tblDaily[Month],2,tblDaily[WardCode],"MW")</f>
        <v/>
      </c>
      <c r="H77" s="17">
        <f>SUMIFS(tblDaily[Remaining],tblDaily[Month],2,tblDaily[WardCode],"MW")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MALE MEDICAL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4">
        <f>IFERROR(SUMIFS(tblDaily[Remaining],tblDaily[EntryDate],DATE(2026,2,28),tblDaily[WardCode],"MW"),0)</f>
        <v/>
      </c>
    </row>
    <row r="83">
      <c r="A83" s="4" t="inlineStr">
        <is>
          <t>Bed complement</t>
        </is>
      </c>
      <c r="H83" s="15">
        <f>IFERROR(INDEX(tblWardConfig[BedComplement],MATCH("MW",tblWardConfig[WardCode],0)),0)</f>
        <v/>
      </c>
    </row>
    <row r="84">
      <c r="A84" s="16" t="inlineStr">
        <is>
          <t>Day of
the
Month</t>
        </is>
      </c>
      <c r="B84" s="16" t="inlineStr">
        <is>
          <t>Admissions</t>
        </is>
      </c>
      <c r="C84" s="16" t="inlineStr">
        <is>
          <t>Discharges</t>
        </is>
      </c>
      <c r="D84" s="16" t="inlineStr">
        <is>
          <t>Deaths</t>
        </is>
      </c>
      <c r="E84" s="16" t="inlineStr">
        <is>
          <t>Deaths
&lt;24Hrs</t>
        </is>
      </c>
      <c r="F84" s="16" t="inlineStr">
        <is>
          <t>Transfers-
In</t>
        </is>
      </c>
      <c r="G84" s="16" t="inlineStr">
        <is>
          <t>Transfers-
Out</t>
        </is>
      </c>
      <c r="H84" s="16" t="inlineStr">
        <is>
          <t>No. of Patients
Remaining In
Ward</t>
        </is>
      </c>
    </row>
    <row r="85">
      <c r="A85" s="12" t="n">
        <v>1</v>
      </c>
      <c r="B85" s="12">
        <f>IFERROR(IF(SUMIFS(tblDaily[Admissions],tblDaily[EntryDate],DATE(2026,3,1),tblDaily[WardCode],"MW")=0,"",SUMIFS(tblDaily[Admissions],tblDaily[EntryDate],DATE(2026,3,1),tblDaily[WardCode],"MW")),"")</f>
        <v/>
      </c>
      <c r="C85" s="12">
        <f>IFERROR(IF(SUMIFS(tblDaily[Discharges],tblDaily[EntryDate],DATE(2026,3,1),tblDaily[WardCode],"MW")=0,"",SUMIFS(tblDaily[Discharges],tblDaily[EntryDate],DATE(2026,3,1),tblDaily[WardCode],"MW")),"")</f>
        <v/>
      </c>
      <c r="D85" s="12">
        <f>IFERROR(IF(SUMIFS(tblDaily[Deaths],tblDaily[EntryDate],DATE(2026,3,1),tblDaily[WardCode],"MW")=0,"",SUMIFS(tblDaily[Deaths],tblDaily[EntryDate],DATE(2026,3,1),tblDaily[WardCode],"MW")),"")</f>
        <v/>
      </c>
      <c r="E85" s="12">
        <f>IFERROR(IF(SUMIFS(tblDaily[DeathsUnder24Hrs],tblDaily[EntryDate],DATE(2026,3,1),tblDaily[WardCode],"MW")=0,"",SUMIFS(tblDaily[DeathsUnder24Hrs],tblDaily[EntryDate],DATE(2026,3,1),tblDaily[WardCode],"MW")),"")</f>
        <v/>
      </c>
      <c r="F85" s="12">
        <f>IFERROR(IF(SUMIFS(tblDaily[TransfersIn],tblDaily[EntryDate],DATE(2026,3,1),tblDaily[WardCode],"MW")=0,"",SUMIFS(tblDaily[TransfersIn],tblDaily[EntryDate],DATE(2026,3,1),tblDaily[WardCode],"MW")),"")</f>
        <v/>
      </c>
      <c r="G85" s="12">
        <f>IFERROR(IF(SUMIFS(tblDaily[TransfersOut],tblDaily[EntryDate],DATE(2026,3,1),tblDaily[WardCode],"MW")=0,"",SUMIFS(tblDaily[TransfersOut],tblDaily[EntryDate],DATE(2026,3,1),tblDaily[WardCode],"MW")),"")</f>
        <v/>
      </c>
      <c r="H85" s="12">
        <f>IFERROR(IF(SUMIFS(tblDaily[Remaining],tblDaily[EntryDate],DATE(2026,3,1),tblDaily[WardCode],"MW")=0,"",SUMIFS(tblDaily[Remaining],tblDaily[EntryDate],DATE(2026,3,1),tblDaily[WardCode],"MW")),"")</f>
        <v/>
      </c>
    </row>
    <row r="86">
      <c r="A86" s="12" t="n">
        <v>2</v>
      </c>
      <c r="B86" s="12">
        <f>IFERROR(IF(SUMIFS(tblDaily[Admissions],tblDaily[EntryDate],DATE(2026,3,2),tblDaily[WardCode],"MW")=0,"",SUMIFS(tblDaily[Admissions],tblDaily[EntryDate],DATE(2026,3,2),tblDaily[WardCode],"MW")),"")</f>
        <v/>
      </c>
      <c r="C86" s="12">
        <f>IFERROR(IF(SUMIFS(tblDaily[Discharges],tblDaily[EntryDate],DATE(2026,3,2),tblDaily[WardCode],"MW")=0,"",SUMIFS(tblDaily[Discharges],tblDaily[EntryDate],DATE(2026,3,2),tblDaily[WardCode],"MW")),"")</f>
        <v/>
      </c>
      <c r="D86" s="12">
        <f>IFERROR(IF(SUMIFS(tblDaily[Deaths],tblDaily[EntryDate],DATE(2026,3,2),tblDaily[WardCode],"MW")=0,"",SUMIFS(tblDaily[Deaths],tblDaily[EntryDate],DATE(2026,3,2),tblDaily[WardCode],"MW")),"")</f>
        <v/>
      </c>
      <c r="E86" s="12">
        <f>IFERROR(IF(SUMIFS(tblDaily[DeathsUnder24Hrs],tblDaily[EntryDate],DATE(2026,3,2),tblDaily[WardCode],"MW")=0,"",SUMIFS(tblDaily[DeathsUnder24Hrs],tblDaily[EntryDate],DATE(2026,3,2),tblDaily[WardCode],"MW")),"")</f>
        <v/>
      </c>
      <c r="F86" s="12">
        <f>IFERROR(IF(SUMIFS(tblDaily[TransfersIn],tblDaily[EntryDate],DATE(2026,3,2),tblDaily[WardCode],"MW")=0,"",SUMIFS(tblDaily[TransfersIn],tblDaily[EntryDate],DATE(2026,3,2),tblDaily[WardCode],"MW")),"")</f>
        <v/>
      </c>
      <c r="G86" s="12">
        <f>IFERROR(IF(SUMIFS(tblDaily[TransfersOut],tblDaily[EntryDate],DATE(2026,3,2),tblDaily[WardCode],"MW")=0,"",SUMIFS(tblDaily[TransfersOut],tblDaily[EntryDate],DATE(2026,3,2),tblDaily[WardCode],"MW")),"")</f>
        <v/>
      </c>
      <c r="H86" s="12">
        <f>IFERROR(IF(SUMIFS(tblDaily[Remaining],tblDaily[EntryDate],DATE(2026,3,2),tblDaily[WardCode],"MW")=0,"",SUMIFS(tblDaily[Remaining],tblDaily[EntryDate],DATE(2026,3,2),tblDaily[WardCode],"MW")),"")</f>
        <v/>
      </c>
    </row>
    <row r="87">
      <c r="A87" s="12" t="n">
        <v>3</v>
      </c>
      <c r="B87" s="12">
        <f>IFERROR(IF(SUMIFS(tblDaily[Admissions],tblDaily[EntryDate],DATE(2026,3,3),tblDaily[WardCode],"MW")=0,"",SUMIFS(tblDaily[Admissions],tblDaily[EntryDate],DATE(2026,3,3),tblDaily[WardCode],"MW")),"")</f>
        <v/>
      </c>
      <c r="C87" s="12">
        <f>IFERROR(IF(SUMIFS(tblDaily[Discharges],tblDaily[EntryDate],DATE(2026,3,3),tblDaily[WardCode],"MW")=0,"",SUMIFS(tblDaily[Discharges],tblDaily[EntryDate],DATE(2026,3,3),tblDaily[WardCode],"MW")),"")</f>
        <v/>
      </c>
      <c r="D87" s="12">
        <f>IFERROR(IF(SUMIFS(tblDaily[Deaths],tblDaily[EntryDate],DATE(2026,3,3),tblDaily[WardCode],"MW")=0,"",SUMIFS(tblDaily[Deaths],tblDaily[EntryDate],DATE(2026,3,3),tblDaily[WardCode],"MW")),"")</f>
        <v/>
      </c>
      <c r="E87" s="12">
        <f>IFERROR(IF(SUMIFS(tblDaily[DeathsUnder24Hrs],tblDaily[EntryDate],DATE(2026,3,3),tblDaily[WardCode],"MW")=0,"",SUMIFS(tblDaily[DeathsUnder24Hrs],tblDaily[EntryDate],DATE(2026,3,3),tblDaily[WardCode],"MW")),"")</f>
        <v/>
      </c>
      <c r="F87" s="12">
        <f>IFERROR(IF(SUMIFS(tblDaily[TransfersIn],tblDaily[EntryDate],DATE(2026,3,3),tblDaily[WardCode],"MW")=0,"",SUMIFS(tblDaily[TransfersIn],tblDaily[EntryDate],DATE(2026,3,3),tblDaily[WardCode],"MW")),"")</f>
        <v/>
      </c>
      <c r="G87" s="12">
        <f>IFERROR(IF(SUMIFS(tblDaily[TransfersOut],tblDaily[EntryDate],DATE(2026,3,3),tblDaily[WardCode],"MW")=0,"",SUMIFS(tblDaily[TransfersOut],tblDaily[EntryDate],DATE(2026,3,3),tblDaily[WardCode],"MW")),"")</f>
        <v/>
      </c>
      <c r="H87" s="12">
        <f>IFERROR(IF(SUMIFS(tblDaily[Remaining],tblDaily[EntryDate],DATE(2026,3,3),tblDaily[WardCode],"MW")=0,"",SUMIFS(tblDaily[Remaining],tblDaily[EntryDate],DATE(2026,3,3),tblDaily[WardCode],"MW")),"")</f>
        <v/>
      </c>
    </row>
    <row r="88">
      <c r="A88" s="12" t="n">
        <v>4</v>
      </c>
      <c r="B88" s="12">
        <f>IFERROR(IF(SUMIFS(tblDaily[Admissions],tblDaily[EntryDate],DATE(2026,3,4),tblDaily[WardCode],"MW")=0,"",SUMIFS(tblDaily[Admissions],tblDaily[EntryDate],DATE(2026,3,4),tblDaily[WardCode],"MW")),"")</f>
        <v/>
      </c>
      <c r="C88" s="12">
        <f>IFERROR(IF(SUMIFS(tblDaily[Discharges],tblDaily[EntryDate],DATE(2026,3,4),tblDaily[WardCode],"MW")=0,"",SUMIFS(tblDaily[Discharges],tblDaily[EntryDate],DATE(2026,3,4),tblDaily[WardCode],"MW")),"")</f>
        <v/>
      </c>
      <c r="D88" s="12">
        <f>IFERROR(IF(SUMIFS(tblDaily[Deaths],tblDaily[EntryDate],DATE(2026,3,4),tblDaily[WardCode],"MW")=0,"",SUMIFS(tblDaily[Deaths],tblDaily[EntryDate],DATE(2026,3,4),tblDaily[WardCode],"MW")),"")</f>
        <v/>
      </c>
      <c r="E88" s="12">
        <f>IFERROR(IF(SUMIFS(tblDaily[DeathsUnder24Hrs],tblDaily[EntryDate],DATE(2026,3,4),tblDaily[WardCode],"MW")=0,"",SUMIFS(tblDaily[DeathsUnder24Hrs],tblDaily[EntryDate],DATE(2026,3,4),tblDaily[WardCode],"MW")),"")</f>
        <v/>
      </c>
      <c r="F88" s="12">
        <f>IFERROR(IF(SUMIFS(tblDaily[TransfersIn],tblDaily[EntryDate],DATE(2026,3,4),tblDaily[WardCode],"MW")=0,"",SUMIFS(tblDaily[TransfersIn],tblDaily[EntryDate],DATE(2026,3,4),tblDaily[WardCode],"MW")),"")</f>
        <v/>
      </c>
      <c r="G88" s="12">
        <f>IFERROR(IF(SUMIFS(tblDaily[TransfersOut],tblDaily[EntryDate],DATE(2026,3,4),tblDaily[WardCode],"MW")=0,"",SUMIFS(tblDaily[TransfersOut],tblDaily[EntryDate],DATE(2026,3,4),tblDaily[WardCode],"MW")),"")</f>
        <v/>
      </c>
      <c r="H88" s="12">
        <f>IFERROR(IF(SUMIFS(tblDaily[Remaining],tblDaily[EntryDate],DATE(2026,3,4),tblDaily[WardCode],"MW")=0,"",SUMIFS(tblDaily[Remaining],tblDaily[EntryDate],DATE(2026,3,4),tblDaily[WardCode],"MW")),"")</f>
        <v/>
      </c>
    </row>
    <row r="89">
      <c r="A89" s="12" t="n">
        <v>5</v>
      </c>
      <c r="B89" s="12">
        <f>IFERROR(IF(SUMIFS(tblDaily[Admissions],tblDaily[EntryDate],DATE(2026,3,5),tblDaily[WardCode],"MW")=0,"",SUMIFS(tblDaily[Admissions],tblDaily[EntryDate],DATE(2026,3,5),tblDaily[WardCode],"MW")),"")</f>
        <v/>
      </c>
      <c r="C89" s="12">
        <f>IFERROR(IF(SUMIFS(tblDaily[Discharges],tblDaily[EntryDate],DATE(2026,3,5),tblDaily[WardCode],"MW")=0,"",SUMIFS(tblDaily[Discharges],tblDaily[EntryDate],DATE(2026,3,5),tblDaily[WardCode],"MW")),"")</f>
        <v/>
      </c>
      <c r="D89" s="12">
        <f>IFERROR(IF(SUMIFS(tblDaily[Deaths],tblDaily[EntryDate],DATE(2026,3,5),tblDaily[WardCode],"MW")=0,"",SUMIFS(tblDaily[Deaths],tblDaily[EntryDate],DATE(2026,3,5),tblDaily[WardCode],"MW")),"")</f>
        <v/>
      </c>
      <c r="E89" s="12">
        <f>IFERROR(IF(SUMIFS(tblDaily[DeathsUnder24Hrs],tblDaily[EntryDate],DATE(2026,3,5),tblDaily[WardCode],"MW")=0,"",SUMIFS(tblDaily[DeathsUnder24Hrs],tblDaily[EntryDate],DATE(2026,3,5),tblDaily[WardCode],"MW")),"")</f>
        <v/>
      </c>
      <c r="F89" s="12">
        <f>IFERROR(IF(SUMIFS(tblDaily[TransfersIn],tblDaily[EntryDate],DATE(2026,3,5),tblDaily[WardCode],"MW")=0,"",SUMIFS(tblDaily[TransfersIn],tblDaily[EntryDate],DATE(2026,3,5),tblDaily[WardCode],"MW")),"")</f>
        <v/>
      </c>
      <c r="G89" s="12">
        <f>IFERROR(IF(SUMIFS(tblDaily[TransfersOut],tblDaily[EntryDate],DATE(2026,3,5),tblDaily[WardCode],"MW")=0,"",SUMIFS(tblDaily[TransfersOut],tblDaily[EntryDate],DATE(2026,3,5),tblDaily[WardCode],"MW")),"")</f>
        <v/>
      </c>
      <c r="H89" s="12">
        <f>IFERROR(IF(SUMIFS(tblDaily[Remaining],tblDaily[EntryDate],DATE(2026,3,5),tblDaily[WardCode],"MW")=0,"",SUMIFS(tblDaily[Remaining],tblDaily[EntryDate],DATE(2026,3,5),tblDaily[WardCode],"MW")),"")</f>
        <v/>
      </c>
    </row>
    <row r="90">
      <c r="A90" s="12" t="n">
        <v>6</v>
      </c>
      <c r="B90" s="12">
        <f>IFERROR(IF(SUMIFS(tblDaily[Admissions],tblDaily[EntryDate],DATE(2026,3,6),tblDaily[WardCode],"MW")=0,"",SUMIFS(tblDaily[Admissions],tblDaily[EntryDate],DATE(2026,3,6),tblDaily[WardCode],"MW")),"")</f>
        <v/>
      </c>
      <c r="C90" s="12">
        <f>IFERROR(IF(SUMIFS(tblDaily[Discharges],tblDaily[EntryDate],DATE(2026,3,6),tblDaily[WardCode],"MW")=0,"",SUMIFS(tblDaily[Discharges],tblDaily[EntryDate],DATE(2026,3,6),tblDaily[WardCode],"MW")),"")</f>
        <v/>
      </c>
      <c r="D90" s="12">
        <f>IFERROR(IF(SUMIFS(tblDaily[Deaths],tblDaily[EntryDate],DATE(2026,3,6),tblDaily[WardCode],"MW")=0,"",SUMIFS(tblDaily[Deaths],tblDaily[EntryDate],DATE(2026,3,6),tblDaily[WardCode],"MW")),"")</f>
        <v/>
      </c>
      <c r="E90" s="12">
        <f>IFERROR(IF(SUMIFS(tblDaily[DeathsUnder24Hrs],tblDaily[EntryDate],DATE(2026,3,6),tblDaily[WardCode],"MW")=0,"",SUMIFS(tblDaily[DeathsUnder24Hrs],tblDaily[EntryDate],DATE(2026,3,6),tblDaily[WardCode],"MW")),"")</f>
        <v/>
      </c>
      <c r="F90" s="12">
        <f>IFERROR(IF(SUMIFS(tblDaily[TransfersIn],tblDaily[EntryDate],DATE(2026,3,6),tblDaily[WardCode],"MW")=0,"",SUMIFS(tblDaily[TransfersIn],tblDaily[EntryDate],DATE(2026,3,6),tblDaily[WardCode],"MW")),"")</f>
        <v/>
      </c>
      <c r="G90" s="12">
        <f>IFERROR(IF(SUMIFS(tblDaily[TransfersOut],tblDaily[EntryDate],DATE(2026,3,6),tblDaily[WardCode],"MW")=0,"",SUMIFS(tblDaily[TransfersOut],tblDaily[EntryDate],DATE(2026,3,6),tblDaily[WardCode],"MW")),"")</f>
        <v/>
      </c>
      <c r="H90" s="12">
        <f>IFERROR(IF(SUMIFS(tblDaily[Remaining],tblDaily[EntryDate],DATE(2026,3,6),tblDaily[WardCode],"MW")=0,"",SUMIFS(tblDaily[Remaining],tblDaily[EntryDate],DATE(2026,3,6),tblDaily[WardCode],"MW")),"")</f>
        <v/>
      </c>
    </row>
    <row r="91">
      <c r="A91" s="12" t="n">
        <v>7</v>
      </c>
      <c r="B91" s="12">
        <f>IFERROR(IF(SUMIFS(tblDaily[Admissions],tblDaily[EntryDate],DATE(2026,3,7),tblDaily[WardCode],"MW")=0,"",SUMIFS(tblDaily[Admissions],tblDaily[EntryDate],DATE(2026,3,7),tblDaily[WardCode],"MW")),"")</f>
        <v/>
      </c>
      <c r="C91" s="12">
        <f>IFERROR(IF(SUMIFS(tblDaily[Discharges],tblDaily[EntryDate],DATE(2026,3,7),tblDaily[WardCode],"MW")=0,"",SUMIFS(tblDaily[Discharges],tblDaily[EntryDate],DATE(2026,3,7),tblDaily[WardCode],"MW")),"")</f>
        <v/>
      </c>
      <c r="D91" s="12">
        <f>IFERROR(IF(SUMIFS(tblDaily[Deaths],tblDaily[EntryDate],DATE(2026,3,7),tblDaily[WardCode],"MW")=0,"",SUMIFS(tblDaily[Deaths],tblDaily[EntryDate],DATE(2026,3,7),tblDaily[WardCode],"MW")),"")</f>
        <v/>
      </c>
      <c r="E91" s="12">
        <f>IFERROR(IF(SUMIFS(tblDaily[DeathsUnder24Hrs],tblDaily[EntryDate],DATE(2026,3,7),tblDaily[WardCode],"MW")=0,"",SUMIFS(tblDaily[DeathsUnder24Hrs],tblDaily[EntryDate],DATE(2026,3,7),tblDaily[WardCode],"MW")),"")</f>
        <v/>
      </c>
      <c r="F91" s="12">
        <f>IFERROR(IF(SUMIFS(tblDaily[TransfersIn],tblDaily[EntryDate],DATE(2026,3,7),tblDaily[WardCode],"MW")=0,"",SUMIFS(tblDaily[TransfersIn],tblDaily[EntryDate],DATE(2026,3,7),tblDaily[WardCode],"MW")),"")</f>
        <v/>
      </c>
      <c r="G91" s="12">
        <f>IFERROR(IF(SUMIFS(tblDaily[TransfersOut],tblDaily[EntryDate],DATE(2026,3,7),tblDaily[WardCode],"MW")=0,"",SUMIFS(tblDaily[TransfersOut],tblDaily[EntryDate],DATE(2026,3,7),tblDaily[WardCode],"MW")),"")</f>
        <v/>
      </c>
      <c r="H91" s="12">
        <f>IFERROR(IF(SUMIFS(tblDaily[Remaining],tblDaily[EntryDate],DATE(2026,3,7),tblDaily[WardCode],"MW")=0,"",SUMIFS(tblDaily[Remaining],tblDaily[EntryDate],DATE(2026,3,7),tblDaily[WardCode],"MW")),"")</f>
        <v/>
      </c>
    </row>
    <row r="92">
      <c r="A92" s="12" t="n">
        <v>8</v>
      </c>
      <c r="B92" s="12">
        <f>IFERROR(IF(SUMIFS(tblDaily[Admissions],tblDaily[EntryDate],DATE(2026,3,8),tblDaily[WardCode],"MW")=0,"",SUMIFS(tblDaily[Admissions],tblDaily[EntryDate],DATE(2026,3,8),tblDaily[WardCode],"MW")),"")</f>
        <v/>
      </c>
      <c r="C92" s="12">
        <f>IFERROR(IF(SUMIFS(tblDaily[Discharges],tblDaily[EntryDate],DATE(2026,3,8),tblDaily[WardCode],"MW")=0,"",SUMIFS(tblDaily[Discharges],tblDaily[EntryDate],DATE(2026,3,8),tblDaily[WardCode],"MW")),"")</f>
        <v/>
      </c>
      <c r="D92" s="12">
        <f>IFERROR(IF(SUMIFS(tblDaily[Deaths],tblDaily[EntryDate],DATE(2026,3,8),tblDaily[WardCode],"MW")=0,"",SUMIFS(tblDaily[Deaths],tblDaily[EntryDate],DATE(2026,3,8),tblDaily[WardCode],"MW")),"")</f>
        <v/>
      </c>
      <c r="E92" s="12">
        <f>IFERROR(IF(SUMIFS(tblDaily[DeathsUnder24Hrs],tblDaily[EntryDate],DATE(2026,3,8),tblDaily[WardCode],"MW")=0,"",SUMIFS(tblDaily[DeathsUnder24Hrs],tblDaily[EntryDate],DATE(2026,3,8),tblDaily[WardCode],"MW")),"")</f>
        <v/>
      </c>
      <c r="F92" s="12">
        <f>IFERROR(IF(SUMIFS(tblDaily[TransfersIn],tblDaily[EntryDate],DATE(2026,3,8),tblDaily[WardCode],"MW")=0,"",SUMIFS(tblDaily[TransfersIn],tblDaily[EntryDate],DATE(2026,3,8),tblDaily[WardCode],"MW")),"")</f>
        <v/>
      </c>
      <c r="G92" s="12">
        <f>IFERROR(IF(SUMIFS(tblDaily[TransfersOut],tblDaily[EntryDate],DATE(2026,3,8),tblDaily[WardCode],"MW")=0,"",SUMIFS(tblDaily[TransfersOut],tblDaily[EntryDate],DATE(2026,3,8),tblDaily[WardCode],"MW")),"")</f>
        <v/>
      </c>
      <c r="H92" s="12">
        <f>IFERROR(IF(SUMIFS(tblDaily[Remaining],tblDaily[EntryDate],DATE(2026,3,8),tblDaily[WardCode],"MW")=0,"",SUMIFS(tblDaily[Remaining],tblDaily[EntryDate],DATE(2026,3,8),tblDaily[WardCode],"MW")),"")</f>
        <v/>
      </c>
    </row>
    <row r="93">
      <c r="A93" s="12" t="n">
        <v>9</v>
      </c>
      <c r="B93" s="12">
        <f>IFERROR(IF(SUMIFS(tblDaily[Admissions],tblDaily[EntryDate],DATE(2026,3,9),tblDaily[WardCode],"MW")=0,"",SUMIFS(tblDaily[Admissions],tblDaily[EntryDate],DATE(2026,3,9),tblDaily[WardCode],"MW")),"")</f>
        <v/>
      </c>
      <c r="C93" s="12">
        <f>IFERROR(IF(SUMIFS(tblDaily[Discharges],tblDaily[EntryDate],DATE(2026,3,9),tblDaily[WardCode],"MW")=0,"",SUMIFS(tblDaily[Discharges],tblDaily[EntryDate],DATE(2026,3,9),tblDaily[WardCode],"MW")),"")</f>
        <v/>
      </c>
      <c r="D93" s="12">
        <f>IFERROR(IF(SUMIFS(tblDaily[Deaths],tblDaily[EntryDate],DATE(2026,3,9),tblDaily[WardCode],"MW")=0,"",SUMIFS(tblDaily[Deaths],tblDaily[EntryDate],DATE(2026,3,9),tblDaily[WardCode],"MW")),"")</f>
        <v/>
      </c>
      <c r="E93" s="12">
        <f>IFERROR(IF(SUMIFS(tblDaily[DeathsUnder24Hrs],tblDaily[EntryDate],DATE(2026,3,9),tblDaily[WardCode],"MW")=0,"",SUMIFS(tblDaily[DeathsUnder24Hrs],tblDaily[EntryDate],DATE(2026,3,9),tblDaily[WardCode],"MW")),"")</f>
        <v/>
      </c>
      <c r="F93" s="12">
        <f>IFERROR(IF(SUMIFS(tblDaily[TransfersIn],tblDaily[EntryDate],DATE(2026,3,9),tblDaily[WardCode],"MW")=0,"",SUMIFS(tblDaily[TransfersIn],tblDaily[EntryDate],DATE(2026,3,9),tblDaily[WardCode],"MW")),"")</f>
        <v/>
      </c>
      <c r="G93" s="12">
        <f>IFERROR(IF(SUMIFS(tblDaily[TransfersOut],tblDaily[EntryDate],DATE(2026,3,9),tblDaily[WardCode],"MW")=0,"",SUMIFS(tblDaily[TransfersOut],tblDaily[EntryDate],DATE(2026,3,9),tblDaily[WardCode],"MW")),"")</f>
        <v/>
      </c>
      <c r="H93" s="12">
        <f>IFERROR(IF(SUMIFS(tblDaily[Remaining],tblDaily[EntryDate],DATE(2026,3,9),tblDaily[WardCode],"MW")=0,"",SUMIFS(tblDaily[Remaining],tblDaily[EntryDate],DATE(2026,3,9),tblDaily[WardCode],"MW")),"")</f>
        <v/>
      </c>
    </row>
    <row r="94">
      <c r="A94" s="12" t="n">
        <v>10</v>
      </c>
      <c r="B94" s="12">
        <f>IFERROR(IF(SUMIFS(tblDaily[Admissions],tblDaily[EntryDate],DATE(2026,3,10),tblDaily[WardCode],"MW")=0,"",SUMIFS(tblDaily[Admissions],tblDaily[EntryDate],DATE(2026,3,10),tblDaily[WardCode],"MW")),"")</f>
        <v/>
      </c>
      <c r="C94" s="12">
        <f>IFERROR(IF(SUMIFS(tblDaily[Discharges],tblDaily[EntryDate],DATE(2026,3,10),tblDaily[WardCode],"MW")=0,"",SUMIFS(tblDaily[Discharges],tblDaily[EntryDate],DATE(2026,3,10),tblDaily[WardCode],"MW")),"")</f>
        <v/>
      </c>
      <c r="D94" s="12">
        <f>IFERROR(IF(SUMIFS(tblDaily[Deaths],tblDaily[EntryDate],DATE(2026,3,10),tblDaily[WardCode],"MW")=0,"",SUMIFS(tblDaily[Deaths],tblDaily[EntryDate],DATE(2026,3,10),tblDaily[WardCode],"MW")),"")</f>
        <v/>
      </c>
      <c r="E94" s="12">
        <f>IFERROR(IF(SUMIFS(tblDaily[DeathsUnder24Hrs],tblDaily[EntryDate],DATE(2026,3,10),tblDaily[WardCode],"MW")=0,"",SUMIFS(tblDaily[DeathsUnder24Hrs],tblDaily[EntryDate],DATE(2026,3,10),tblDaily[WardCode],"MW")),"")</f>
        <v/>
      </c>
      <c r="F94" s="12">
        <f>IFERROR(IF(SUMIFS(tblDaily[TransfersIn],tblDaily[EntryDate],DATE(2026,3,10),tblDaily[WardCode],"MW")=0,"",SUMIFS(tblDaily[TransfersIn],tblDaily[EntryDate],DATE(2026,3,10),tblDaily[WardCode],"MW")),"")</f>
        <v/>
      </c>
      <c r="G94" s="12">
        <f>IFERROR(IF(SUMIFS(tblDaily[TransfersOut],tblDaily[EntryDate],DATE(2026,3,10),tblDaily[WardCode],"MW")=0,"",SUMIFS(tblDaily[TransfersOut],tblDaily[EntryDate],DATE(2026,3,10),tblDaily[WardCode],"MW")),"")</f>
        <v/>
      </c>
      <c r="H94" s="12">
        <f>IFERROR(IF(SUMIFS(tblDaily[Remaining],tblDaily[EntryDate],DATE(2026,3,10),tblDaily[WardCode],"MW")=0,"",SUMIFS(tblDaily[Remaining],tblDaily[EntryDate],DATE(2026,3,10),tblDaily[WardCode],"MW")),"")</f>
        <v/>
      </c>
    </row>
    <row r="95">
      <c r="A95" s="12" t="n">
        <v>11</v>
      </c>
      <c r="B95" s="12">
        <f>IFERROR(IF(SUMIFS(tblDaily[Admissions],tblDaily[EntryDate],DATE(2026,3,11),tblDaily[WardCode],"MW")=0,"",SUMIFS(tblDaily[Admissions],tblDaily[EntryDate],DATE(2026,3,11),tblDaily[WardCode],"MW")),"")</f>
        <v/>
      </c>
      <c r="C95" s="12">
        <f>IFERROR(IF(SUMIFS(tblDaily[Discharges],tblDaily[EntryDate],DATE(2026,3,11),tblDaily[WardCode],"MW")=0,"",SUMIFS(tblDaily[Discharges],tblDaily[EntryDate],DATE(2026,3,11),tblDaily[WardCode],"MW")),"")</f>
        <v/>
      </c>
      <c r="D95" s="12">
        <f>IFERROR(IF(SUMIFS(tblDaily[Deaths],tblDaily[EntryDate],DATE(2026,3,11),tblDaily[WardCode],"MW")=0,"",SUMIFS(tblDaily[Deaths],tblDaily[EntryDate],DATE(2026,3,11),tblDaily[WardCode],"MW")),"")</f>
        <v/>
      </c>
      <c r="E95" s="12">
        <f>IFERROR(IF(SUMIFS(tblDaily[DeathsUnder24Hrs],tblDaily[EntryDate],DATE(2026,3,11),tblDaily[WardCode],"MW")=0,"",SUMIFS(tblDaily[DeathsUnder24Hrs],tblDaily[EntryDate],DATE(2026,3,11),tblDaily[WardCode],"MW")),"")</f>
        <v/>
      </c>
      <c r="F95" s="12">
        <f>IFERROR(IF(SUMIFS(tblDaily[TransfersIn],tblDaily[EntryDate],DATE(2026,3,11),tblDaily[WardCode],"MW")=0,"",SUMIFS(tblDaily[TransfersIn],tblDaily[EntryDate],DATE(2026,3,11),tblDaily[WardCode],"MW")),"")</f>
        <v/>
      </c>
      <c r="G95" s="12">
        <f>IFERROR(IF(SUMIFS(tblDaily[TransfersOut],tblDaily[EntryDate],DATE(2026,3,11),tblDaily[WardCode],"MW")=0,"",SUMIFS(tblDaily[TransfersOut],tblDaily[EntryDate],DATE(2026,3,11),tblDaily[WardCode],"MW")),"")</f>
        <v/>
      </c>
      <c r="H95" s="12">
        <f>IFERROR(IF(SUMIFS(tblDaily[Remaining],tblDaily[EntryDate],DATE(2026,3,11),tblDaily[WardCode],"MW")=0,"",SUMIFS(tblDaily[Remaining],tblDaily[EntryDate],DATE(2026,3,11),tblDaily[WardCode],"MW")),"")</f>
        <v/>
      </c>
    </row>
    <row r="96">
      <c r="A96" s="12" t="n">
        <v>12</v>
      </c>
      <c r="B96" s="12">
        <f>IFERROR(IF(SUMIFS(tblDaily[Admissions],tblDaily[EntryDate],DATE(2026,3,12),tblDaily[WardCode],"MW")=0,"",SUMIFS(tblDaily[Admissions],tblDaily[EntryDate],DATE(2026,3,12),tblDaily[WardCode],"MW")),"")</f>
        <v/>
      </c>
      <c r="C96" s="12">
        <f>IFERROR(IF(SUMIFS(tblDaily[Discharges],tblDaily[EntryDate],DATE(2026,3,12),tblDaily[WardCode],"MW")=0,"",SUMIFS(tblDaily[Discharges],tblDaily[EntryDate],DATE(2026,3,12),tblDaily[WardCode],"MW")),"")</f>
        <v/>
      </c>
      <c r="D96" s="12">
        <f>IFERROR(IF(SUMIFS(tblDaily[Deaths],tblDaily[EntryDate],DATE(2026,3,12),tblDaily[WardCode],"MW")=0,"",SUMIFS(tblDaily[Deaths],tblDaily[EntryDate],DATE(2026,3,12),tblDaily[WardCode],"MW")),"")</f>
        <v/>
      </c>
      <c r="E96" s="12">
        <f>IFERROR(IF(SUMIFS(tblDaily[DeathsUnder24Hrs],tblDaily[EntryDate],DATE(2026,3,12),tblDaily[WardCode],"MW")=0,"",SUMIFS(tblDaily[DeathsUnder24Hrs],tblDaily[EntryDate],DATE(2026,3,12),tblDaily[WardCode],"MW")),"")</f>
        <v/>
      </c>
      <c r="F96" s="12">
        <f>IFERROR(IF(SUMIFS(tblDaily[TransfersIn],tblDaily[EntryDate],DATE(2026,3,12),tblDaily[WardCode],"MW")=0,"",SUMIFS(tblDaily[TransfersIn],tblDaily[EntryDate],DATE(2026,3,12),tblDaily[WardCode],"MW")),"")</f>
        <v/>
      </c>
      <c r="G96" s="12">
        <f>IFERROR(IF(SUMIFS(tblDaily[TransfersOut],tblDaily[EntryDate],DATE(2026,3,12),tblDaily[WardCode],"MW")=0,"",SUMIFS(tblDaily[TransfersOut],tblDaily[EntryDate],DATE(2026,3,12),tblDaily[WardCode],"MW")),"")</f>
        <v/>
      </c>
      <c r="H96" s="12">
        <f>IFERROR(IF(SUMIFS(tblDaily[Remaining],tblDaily[EntryDate],DATE(2026,3,12),tblDaily[WardCode],"MW")=0,"",SUMIFS(tblDaily[Remaining],tblDaily[EntryDate],DATE(2026,3,12),tblDaily[WardCode],"MW")),"")</f>
        <v/>
      </c>
    </row>
    <row r="97">
      <c r="A97" s="12" t="n">
        <v>13</v>
      </c>
      <c r="B97" s="12">
        <f>IFERROR(IF(SUMIFS(tblDaily[Admissions],tblDaily[EntryDate],DATE(2026,3,13),tblDaily[WardCode],"MW")=0,"",SUMIFS(tblDaily[Admissions],tblDaily[EntryDate],DATE(2026,3,13),tblDaily[WardCode],"MW")),"")</f>
        <v/>
      </c>
      <c r="C97" s="12">
        <f>IFERROR(IF(SUMIFS(tblDaily[Discharges],tblDaily[EntryDate],DATE(2026,3,13),tblDaily[WardCode],"MW")=0,"",SUMIFS(tblDaily[Discharges],tblDaily[EntryDate],DATE(2026,3,13),tblDaily[WardCode],"MW")),"")</f>
        <v/>
      </c>
      <c r="D97" s="12">
        <f>IFERROR(IF(SUMIFS(tblDaily[Deaths],tblDaily[EntryDate],DATE(2026,3,13),tblDaily[WardCode],"MW")=0,"",SUMIFS(tblDaily[Deaths],tblDaily[EntryDate],DATE(2026,3,13),tblDaily[WardCode],"MW")),"")</f>
        <v/>
      </c>
      <c r="E97" s="12">
        <f>IFERROR(IF(SUMIFS(tblDaily[DeathsUnder24Hrs],tblDaily[EntryDate],DATE(2026,3,13),tblDaily[WardCode],"MW")=0,"",SUMIFS(tblDaily[DeathsUnder24Hrs],tblDaily[EntryDate],DATE(2026,3,13),tblDaily[WardCode],"MW")),"")</f>
        <v/>
      </c>
      <c r="F97" s="12">
        <f>IFERROR(IF(SUMIFS(tblDaily[TransfersIn],tblDaily[EntryDate],DATE(2026,3,13),tblDaily[WardCode],"MW")=0,"",SUMIFS(tblDaily[TransfersIn],tblDaily[EntryDate],DATE(2026,3,13),tblDaily[WardCode],"MW")),"")</f>
        <v/>
      </c>
      <c r="G97" s="12">
        <f>IFERROR(IF(SUMIFS(tblDaily[TransfersOut],tblDaily[EntryDate],DATE(2026,3,13),tblDaily[WardCode],"MW")=0,"",SUMIFS(tblDaily[TransfersOut],tblDaily[EntryDate],DATE(2026,3,13),tblDaily[WardCode],"MW")),"")</f>
        <v/>
      </c>
      <c r="H97" s="12">
        <f>IFERROR(IF(SUMIFS(tblDaily[Remaining],tblDaily[EntryDate],DATE(2026,3,13),tblDaily[WardCode],"MW")=0,"",SUMIFS(tblDaily[Remaining],tblDaily[EntryDate],DATE(2026,3,13),tblDaily[WardCode],"MW")),"")</f>
        <v/>
      </c>
    </row>
    <row r="98">
      <c r="A98" s="12" t="n">
        <v>14</v>
      </c>
      <c r="B98" s="12">
        <f>IFERROR(IF(SUMIFS(tblDaily[Admissions],tblDaily[EntryDate],DATE(2026,3,14),tblDaily[WardCode],"MW")=0,"",SUMIFS(tblDaily[Admissions],tblDaily[EntryDate],DATE(2026,3,14),tblDaily[WardCode],"MW")),"")</f>
        <v/>
      </c>
      <c r="C98" s="12">
        <f>IFERROR(IF(SUMIFS(tblDaily[Discharges],tblDaily[EntryDate],DATE(2026,3,14),tblDaily[WardCode],"MW")=0,"",SUMIFS(tblDaily[Discharges],tblDaily[EntryDate],DATE(2026,3,14),tblDaily[WardCode],"MW")),"")</f>
        <v/>
      </c>
      <c r="D98" s="12">
        <f>IFERROR(IF(SUMIFS(tblDaily[Deaths],tblDaily[EntryDate],DATE(2026,3,14),tblDaily[WardCode],"MW")=0,"",SUMIFS(tblDaily[Deaths],tblDaily[EntryDate],DATE(2026,3,14),tblDaily[WardCode],"MW")),"")</f>
        <v/>
      </c>
      <c r="E98" s="12">
        <f>IFERROR(IF(SUMIFS(tblDaily[DeathsUnder24Hrs],tblDaily[EntryDate],DATE(2026,3,14),tblDaily[WardCode],"MW")=0,"",SUMIFS(tblDaily[DeathsUnder24Hrs],tblDaily[EntryDate],DATE(2026,3,14),tblDaily[WardCode],"MW")),"")</f>
        <v/>
      </c>
      <c r="F98" s="12">
        <f>IFERROR(IF(SUMIFS(tblDaily[TransfersIn],tblDaily[EntryDate],DATE(2026,3,14),tblDaily[WardCode],"MW")=0,"",SUMIFS(tblDaily[TransfersIn],tblDaily[EntryDate],DATE(2026,3,14),tblDaily[WardCode],"MW")),"")</f>
        <v/>
      </c>
      <c r="G98" s="12">
        <f>IFERROR(IF(SUMIFS(tblDaily[TransfersOut],tblDaily[EntryDate],DATE(2026,3,14),tblDaily[WardCode],"MW")=0,"",SUMIFS(tblDaily[TransfersOut],tblDaily[EntryDate],DATE(2026,3,14),tblDaily[WardCode],"MW")),"")</f>
        <v/>
      </c>
      <c r="H98" s="12">
        <f>IFERROR(IF(SUMIFS(tblDaily[Remaining],tblDaily[EntryDate],DATE(2026,3,14),tblDaily[WardCode],"MW")=0,"",SUMIFS(tblDaily[Remaining],tblDaily[EntryDate],DATE(2026,3,14),tblDaily[WardCode],"MW")),"")</f>
        <v/>
      </c>
    </row>
    <row r="99">
      <c r="A99" s="12" t="n">
        <v>15</v>
      </c>
      <c r="B99" s="12">
        <f>IFERROR(IF(SUMIFS(tblDaily[Admissions],tblDaily[EntryDate],DATE(2026,3,15),tblDaily[WardCode],"MW")=0,"",SUMIFS(tblDaily[Admissions],tblDaily[EntryDate],DATE(2026,3,15),tblDaily[WardCode],"MW")),"")</f>
        <v/>
      </c>
      <c r="C99" s="12">
        <f>IFERROR(IF(SUMIFS(tblDaily[Discharges],tblDaily[EntryDate],DATE(2026,3,15),tblDaily[WardCode],"MW")=0,"",SUMIFS(tblDaily[Discharges],tblDaily[EntryDate],DATE(2026,3,15),tblDaily[WardCode],"MW")),"")</f>
        <v/>
      </c>
      <c r="D99" s="12">
        <f>IFERROR(IF(SUMIFS(tblDaily[Deaths],tblDaily[EntryDate],DATE(2026,3,15),tblDaily[WardCode],"MW")=0,"",SUMIFS(tblDaily[Deaths],tblDaily[EntryDate],DATE(2026,3,15),tblDaily[WardCode],"MW")),"")</f>
        <v/>
      </c>
      <c r="E99" s="12">
        <f>IFERROR(IF(SUMIFS(tblDaily[DeathsUnder24Hrs],tblDaily[EntryDate],DATE(2026,3,15),tblDaily[WardCode],"MW")=0,"",SUMIFS(tblDaily[DeathsUnder24Hrs],tblDaily[EntryDate],DATE(2026,3,15),tblDaily[WardCode],"MW")),"")</f>
        <v/>
      </c>
      <c r="F99" s="12">
        <f>IFERROR(IF(SUMIFS(tblDaily[TransfersIn],tblDaily[EntryDate],DATE(2026,3,15),tblDaily[WardCode],"MW")=0,"",SUMIFS(tblDaily[TransfersIn],tblDaily[EntryDate],DATE(2026,3,15),tblDaily[WardCode],"MW")),"")</f>
        <v/>
      </c>
      <c r="G99" s="12">
        <f>IFERROR(IF(SUMIFS(tblDaily[TransfersOut],tblDaily[EntryDate],DATE(2026,3,15),tblDaily[WardCode],"MW")=0,"",SUMIFS(tblDaily[TransfersOut],tblDaily[EntryDate],DATE(2026,3,15),tblDaily[WardCode],"MW")),"")</f>
        <v/>
      </c>
      <c r="H99" s="12">
        <f>IFERROR(IF(SUMIFS(tblDaily[Remaining],tblDaily[EntryDate],DATE(2026,3,15),tblDaily[WardCode],"MW")=0,"",SUMIFS(tblDaily[Remaining],tblDaily[EntryDate],DATE(2026,3,15),tblDaily[WardCode],"MW")),"")</f>
        <v/>
      </c>
    </row>
    <row r="100">
      <c r="A100" s="12" t="n">
        <v>16</v>
      </c>
      <c r="B100" s="12">
        <f>IFERROR(IF(SUMIFS(tblDaily[Admissions],tblDaily[EntryDate],DATE(2026,3,16),tblDaily[WardCode],"MW")=0,"",SUMIFS(tblDaily[Admissions],tblDaily[EntryDate],DATE(2026,3,16),tblDaily[WardCode],"MW")),"")</f>
        <v/>
      </c>
      <c r="C100" s="12">
        <f>IFERROR(IF(SUMIFS(tblDaily[Discharges],tblDaily[EntryDate],DATE(2026,3,16),tblDaily[WardCode],"MW")=0,"",SUMIFS(tblDaily[Discharges],tblDaily[EntryDate],DATE(2026,3,16),tblDaily[WardCode],"MW")),"")</f>
        <v/>
      </c>
      <c r="D100" s="12">
        <f>IFERROR(IF(SUMIFS(tblDaily[Deaths],tblDaily[EntryDate],DATE(2026,3,16),tblDaily[WardCode],"MW")=0,"",SUMIFS(tblDaily[Deaths],tblDaily[EntryDate],DATE(2026,3,16),tblDaily[WardCode],"MW")),"")</f>
        <v/>
      </c>
      <c r="E100" s="12">
        <f>IFERROR(IF(SUMIFS(tblDaily[DeathsUnder24Hrs],tblDaily[EntryDate],DATE(2026,3,16),tblDaily[WardCode],"MW")=0,"",SUMIFS(tblDaily[DeathsUnder24Hrs],tblDaily[EntryDate],DATE(2026,3,16),tblDaily[WardCode],"MW")),"")</f>
        <v/>
      </c>
      <c r="F100" s="12">
        <f>IFERROR(IF(SUMIFS(tblDaily[TransfersIn],tblDaily[EntryDate],DATE(2026,3,16),tblDaily[WardCode],"MW")=0,"",SUMIFS(tblDaily[TransfersIn],tblDaily[EntryDate],DATE(2026,3,16),tblDaily[WardCode],"MW")),"")</f>
        <v/>
      </c>
      <c r="G100" s="12">
        <f>IFERROR(IF(SUMIFS(tblDaily[TransfersOut],tblDaily[EntryDate],DATE(2026,3,16),tblDaily[WardCode],"MW")=0,"",SUMIFS(tblDaily[TransfersOut],tblDaily[EntryDate],DATE(2026,3,16),tblDaily[WardCode],"MW")),"")</f>
        <v/>
      </c>
      <c r="H100" s="12">
        <f>IFERROR(IF(SUMIFS(tblDaily[Remaining],tblDaily[EntryDate],DATE(2026,3,16),tblDaily[WardCode],"MW")=0,"",SUMIFS(tblDaily[Remaining],tblDaily[EntryDate],DATE(2026,3,16),tblDaily[WardCode],"MW")),"")</f>
        <v/>
      </c>
    </row>
    <row r="101">
      <c r="A101" s="12" t="n">
        <v>17</v>
      </c>
      <c r="B101" s="12">
        <f>IFERROR(IF(SUMIFS(tblDaily[Admissions],tblDaily[EntryDate],DATE(2026,3,17),tblDaily[WardCode],"MW")=0,"",SUMIFS(tblDaily[Admissions],tblDaily[EntryDate],DATE(2026,3,17),tblDaily[WardCode],"MW")),"")</f>
        <v/>
      </c>
      <c r="C101" s="12">
        <f>IFERROR(IF(SUMIFS(tblDaily[Discharges],tblDaily[EntryDate],DATE(2026,3,17),tblDaily[WardCode],"MW")=0,"",SUMIFS(tblDaily[Discharges],tblDaily[EntryDate],DATE(2026,3,17),tblDaily[WardCode],"MW")),"")</f>
        <v/>
      </c>
      <c r="D101" s="12">
        <f>IFERROR(IF(SUMIFS(tblDaily[Deaths],tblDaily[EntryDate],DATE(2026,3,17),tblDaily[WardCode],"MW")=0,"",SUMIFS(tblDaily[Deaths],tblDaily[EntryDate],DATE(2026,3,17),tblDaily[WardCode],"MW")),"")</f>
        <v/>
      </c>
      <c r="E101" s="12">
        <f>IFERROR(IF(SUMIFS(tblDaily[DeathsUnder24Hrs],tblDaily[EntryDate],DATE(2026,3,17),tblDaily[WardCode],"MW")=0,"",SUMIFS(tblDaily[DeathsUnder24Hrs],tblDaily[EntryDate],DATE(2026,3,17),tblDaily[WardCode],"MW")),"")</f>
        <v/>
      </c>
      <c r="F101" s="12">
        <f>IFERROR(IF(SUMIFS(tblDaily[TransfersIn],tblDaily[EntryDate],DATE(2026,3,17),tblDaily[WardCode],"MW")=0,"",SUMIFS(tblDaily[TransfersIn],tblDaily[EntryDate],DATE(2026,3,17),tblDaily[WardCode],"MW")),"")</f>
        <v/>
      </c>
      <c r="G101" s="12">
        <f>IFERROR(IF(SUMIFS(tblDaily[TransfersOut],tblDaily[EntryDate],DATE(2026,3,17),tblDaily[WardCode],"MW")=0,"",SUMIFS(tblDaily[TransfersOut],tblDaily[EntryDate],DATE(2026,3,17),tblDaily[WardCode],"MW")),"")</f>
        <v/>
      </c>
      <c r="H101" s="12">
        <f>IFERROR(IF(SUMIFS(tblDaily[Remaining],tblDaily[EntryDate],DATE(2026,3,17),tblDaily[WardCode],"MW")=0,"",SUMIFS(tblDaily[Remaining],tblDaily[EntryDate],DATE(2026,3,17),tblDaily[WardCode],"MW")),"")</f>
        <v/>
      </c>
    </row>
    <row r="102">
      <c r="A102" s="12" t="n">
        <v>18</v>
      </c>
      <c r="B102" s="12">
        <f>IFERROR(IF(SUMIFS(tblDaily[Admissions],tblDaily[EntryDate],DATE(2026,3,18),tblDaily[WardCode],"MW")=0,"",SUMIFS(tblDaily[Admissions],tblDaily[EntryDate],DATE(2026,3,18),tblDaily[WardCode],"MW")),"")</f>
        <v/>
      </c>
      <c r="C102" s="12">
        <f>IFERROR(IF(SUMIFS(tblDaily[Discharges],tblDaily[EntryDate],DATE(2026,3,18),tblDaily[WardCode],"MW")=0,"",SUMIFS(tblDaily[Discharges],tblDaily[EntryDate],DATE(2026,3,18),tblDaily[WardCode],"MW")),"")</f>
        <v/>
      </c>
      <c r="D102" s="12">
        <f>IFERROR(IF(SUMIFS(tblDaily[Deaths],tblDaily[EntryDate],DATE(2026,3,18),tblDaily[WardCode],"MW")=0,"",SUMIFS(tblDaily[Deaths],tblDaily[EntryDate],DATE(2026,3,18),tblDaily[WardCode],"MW")),"")</f>
        <v/>
      </c>
      <c r="E102" s="12">
        <f>IFERROR(IF(SUMIFS(tblDaily[DeathsUnder24Hrs],tblDaily[EntryDate],DATE(2026,3,18),tblDaily[WardCode],"MW")=0,"",SUMIFS(tblDaily[DeathsUnder24Hrs],tblDaily[EntryDate],DATE(2026,3,18),tblDaily[WardCode],"MW")),"")</f>
        <v/>
      </c>
      <c r="F102" s="12">
        <f>IFERROR(IF(SUMIFS(tblDaily[TransfersIn],tblDaily[EntryDate],DATE(2026,3,18),tblDaily[WardCode],"MW")=0,"",SUMIFS(tblDaily[TransfersIn],tblDaily[EntryDate],DATE(2026,3,18),tblDaily[WardCode],"MW")),"")</f>
        <v/>
      </c>
      <c r="G102" s="12">
        <f>IFERROR(IF(SUMIFS(tblDaily[TransfersOut],tblDaily[EntryDate],DATE(2026,3,18),tblDaily[WardCode],"MW")=0,"",SUMIFS(tblDaily[TransfersOut],tblDaily[EntryDate],DATE(2026,3,18),tblDaily[WardCode],"MW")),"")</f>
        <v/>
      </c>
      <c r="H102" s="12">
        <f>IFERROR(IF(SUMIFS(tblDaily[Remaining],tblDaily[EntryDate],DATE(2026,3,18),tblDaily[WardCode],"MW")=0,"",SUMIFS(tblDaily[Remaining],tblDaily[EntryDate],DATE(2026,3,18),tblDaily[WardCode],"MW")),"")</f>
        <v/>
      </c>
    </row>
    <row r="103">
      <c r="A103" s="12" t="n">
        <v>19</v>
      </c>
      <c r="B103" s="12">
        <f>IFERROR(IF(SUMIFS(tblDaily[Admissions],tblDaily[EntryDate],DATE(2026,3,19),tblDaily[WardCode],"MW")=0,"",SUMIFS(tblDaily[Admissions],tblDaily[EntryDate],DATE(2026,3,19),tblDaily[WardCode],"MW")),"")</f>
        <v/>
      </c>
      <c r="C103" s="12">
        <f>IFERROR(IF(SUMIFS(tblDaily[Discharges],tblDaily[EntryDate],DATE(2026,3,19),tblDaily[WardCode],"MW")=0,"",SUMIFS(tblDaily[Discharges],tblDaily[EntryDate],DATE(2026,3,19),tblDaily[WardCode],"MW")),"")</f>
        <v/>
      </c>
      <c r="D103" s="12">
        <f>IFERROR(IF(SUMIFS(tblDaily[Deaths],tblDaily[EntryDate],DATE(2026,3,19),tblDaily[WardCode],"MW")=0,"",SUMIFS(tblDaily[Deaths],tblDaily[EntryDate],DATE(2026,3,19),tblDaily[WardCode],"MW")),"")</f>
        <v/>
      </c>
      <c r="E103" s="12">
        <f>IFERROR(IF(SUMIFS(tblDaily[DeathsUnder24Hrs],tblDaily[EntryDate],DATE(2026,3,19),tblDaily[WardCode],"MW")=0,"",SUMIFS(tblDaily[DeathsUnder24Hrs],tblDaily[EntryDate],DATE(2026,3,19),tblDaily[WardCode],"MW")),"")</f>
        <v/>
      </c>
      <c r="F103" s="12">
        <f>IFERROR(IF(SUMIFS(tblDaily[TransfersIn],tblDaily[EntryDate],DATE(2026,3,19),tblDaily[WardCode],"MW")=0,"",SUMIFS(tblDaily[TransfersIn],tblDaily[EntryDate],DATE(2026,3,19),tblDaily[WardCode],"MW")),"")</f>
        <v/>
      </c>
      <c r="G103" s="12">
        <f>IFERROR(IF(SUMIFS(tblDaily[TransfersOut],tblDaily[EntryDate],DATE(2026,3,19),tblDaily[WardCode],"MW")=0,"",SUMIFS(tblDaily[TransfersOut],tblDaily[EntryDate],DATE(2026,3,19),tblDaily[WardCode],"MW")),"")</f>
        <v/>
      </c>
      <c r="H103" s="12">
        <f>IFERROR(IF(SUMIFS(tblDaily[Remaining],tblDaily[EntryDate],DATE(2026,3,19),tblDaily[WardCode],"MW")=0,"",SUMIFS(tblDaily[Remaining],tblDaily[EntryDate],DATE(2026,3,19),tblDaily[WardCode],"MW")),"")</f>
        <v/>
      </c>
    </row>
    <row r="104">
      <c r="A104" s="12" t="n">
        <v>20</v>
      </c>
      <c r="B104" s="12">
        <f>IFERROR(IF(SUMIFS(tblDaily[Admissions],tblDaily[EntryDate],DATE(2026,3,20),tblDaily[WardCode],"MW")=0,"",SUMIFS(tblDaily[Admissions],tblDaily[EntryDate],DATE(2026,3,20),tblDaily[WardCode],"MW")),"")</f>
        <v/>
      </c>
      <c r="C104" s="12">
        <f>IFERROR(IF(SUMIFS(tblDaily[Discharges],tblDaily[EntryDate],DATE(2026,3,20),tblDaily[WardCode],"MW")=0,"",SUMIFS(tblDaily[Discharges],tblDaily[EntryDate],DATE(2026,3,20),tblDaily[WardCode],"MW")),"")</f>
        <v/>
      </c>
      <c r="D104" s="12">
        <f>IFERROR(IF(SUMIFS(tblDaily[Deaths],tblDaily[EntryDate],DATE(2026,3,20),tblDaily[WardCode],"MW")=0,"",SUMIFS(tblDaily[Deaths],tblDaily[EntryDate],DATE(2026,3,20),tblDaily[WardCode],"MW")),"")</f>
        <v/>
      </c>
      <c r="E104" s="12">
        <f>IFERROR(IF(SUMIFS(tblDaily[DeathsUnder24Hrs],tblDaily[EntryDate],DATE(2026,3,20),tblDaily[WardCode],"MW")=0,"",SUMIFS(tblDaily[DeathsUnder24Hrs],tblDaily[EntryDate],DATE(2026,3,20),tblDaily[WardCode],"MW")),"")</f>
        <v/>
      </c>
      <c r="F104" s="12">
        <f>IFERROR(IF(SUMIFS(tblDaily[TransfersIn],tblDaily[EntryDate],DATE(2026,3,20),tblDaily[WardCode],"MW")=0,"",SUMIFS(tblDaily[TransfersIn],tblDaily[EntryDate],DATE(2026,3,20),tblDaily[WardCode],"MW")),"")</f>
        <v/>
      </c>
      <c r="G104" s="12">
        <f>IFERROR(IF(SUMIFS(tblDaily[TransfersOut],tblDaily[EntryDate],DATE(2026,3,20),tblDaily[WardCode],"MW")=0,"",SUMIFS(tblDaily[TransfersOut],tblDaily[EntryDate],DATE(2026,3,20),tblDaily[WardCode],"MW")),"")</f>
        <v/>
      </c>
      <c r="H104" s="12">
        <f>IFERROR(IF(SUMIFS(tblDaily[Remaining],tblDaily[EntryDate],DATE(2026,3,20),tblDaily[WardCode],"MW")=0,"",SUMIFS(tblDaily[Remaining],tblDaily[EntryDate],DATE(2026,3,20),tblDaily[WardCode],"MW")),"")</f>
        <v/>
      </c>
    </row>
    <row r="105">
      <c r="A105" s="12" t="n">
        <v>21</v>
      </c>
      <c r="B105" s="12">
        <f>IFERROR(IF(SUMIFS(tblDaily[Admissions],tblDaily[EntryDate],DATE(2026,3,21),tblDaily[WardCode],"MW")=0,"",SUMIFS(tblDaily[Admissions],tblDaily[EntryDate],DATE(2026,3,21),tblDaily[WardCode],"MW")),"")</f>
        <v/>
      </c>
      <c r="C105" s="12">
        <f>IFERROR(IF(SUMIFS(tblDaily[Discharges],tblDaily[EntryDate],DATE(2026,3,21),tblDaily[WardCode],"MW")=0,"",SUMIFS(tblDaily[Discharges],tblDaily[EntryDate],DATE(2026,3,21),tblDaily[WardCode],"MW")),"")</f>
        <v/>
      </c>
      <c r="D105" s="12">
        <f>IFERROR(IF(SUMIFS(tblDaily[Deaths],tblDaily[EntryDate],DATE(2026,3,21),tblDaily[WardCode],"MW")=0,"",SUMIFS(tblDaily[Deaths],tblDaily[EntryDate],DATE(2026,3,21),tblDaily[WardCode],"MW")),"")</f>
        <v/>
      </c>
      <c r="E105" s="12">
        <f>IFERROR(IF(SUMIFS(tblDaily[DeathsUnder24Hrs],tblDaily[EntryDate],DATE(2026,3,21),tblDaily[WardCode],"MW")=0,"",SUMIFS(tblDaily[DeathsUnder24Hrs],tblDaily[EntryDate],DATE(2026,3,21),tblDaily[WardCode],"MW")),"")</f>
        <v/>
      </c>
      <c r="F105" s="12">
        <f>IFERROR(IF(SUMIFS(tblDaily[TransfersIn],tblDaily[EntryDate],DATE(2026,3,21),tblDaily[WardCode],"MW")=0,"",SUMIFS(tblDaily[TransfersIn],tblDaily[EntryDate],DATE(2026,3,21),tblDaily[WardCode],"MW")),"")</f>
        <v/>
      </c>
      <c r="G105" s="12">
        <f>IFERROR(IF(SUMIFS(tblDaily[TransfersOut],tblDaily[EntryDate],DATE(2026,3,21),tblDaily[WardCode],"MW")=0,"",SUMIFS(tblDaily[TransfersOut],tblDaily[EntryDate],DATE(2026,3,21),tblDaily[WardCode],"MW")),"")</f>
        <v/>
      </c>
      <c r="H105" s="12">
        <f>IFERROR(IF(SUMIFS(tblDaily[Remaining],tblDaily[EntryDate],DATE(2026,3,21),tblDaily[WardCode],"MW")=0,"",SUMIFS(tblDaily[Remaining],tblDaily[EntryDate],DATE(2026,3,21),tblDaily[WardCode],"MW")),"")</f>
        <v/>
      </c>
    </row>
    <row r="106">
      <c r="A106" s="12" t="n">
        <v>22</v>
      </c>
      <c r="B106" s="12">
        <f>IFERROR(IF(SUMIFS(tblDaily[Admissions],tblDaily[EntryDate],DATE(2026,3,22),tblDaily[WardCode],"MW")=0,"",SUMIFS(tblDaily[Admissions],tblDaily[EntryDate],DATE(2026,3,22),tblDaily[WardCode],"MW")),"")</f>
        <v/>
      </c>
      <c r="C106" s="12">
        <f>IFERROR(IF(SUMIFS(tblDaily[Discharges],tblDaily[EntryDate],DATE(2026,3,22),tblDaily[WardCode],"MW")=0,"",SUMIFS(tblDaily[Discharges],tblDaily[EntryDate],DATE(2026,3,22),tblDaily[WardCode],"MW")),"")</f>
        <v/>
      </c>
      <c r="D106" s="12">
        <f>IFERROR(IF(SUMIFS(tblDaily[Deaths],tblDaily[EntryDate],DATE(2026,3,22),tblDaily[WardCode],"MW")=0,"",SUMIFS(tblDaily[Deaths],tblDaily[EntryDate],DATE(2026,3,22),tblDaily[WardCode],"MW")),"")</f>
        <v/>
      </c>
      <c r="E106" s="12">
        <f>IFERROR(IF(SUMIFS(tblDaily[DeathsUnder24Hrs],tblDaily[EntryDate],DATE(2026,3,22),tblDaily[WardCode],"MW")=0,"",SUMIFS(tblDaily[DeathsUnder24Hrs],tblDaily[EntryDate],DATE(2026,3,22),tblDaily[WardCode],"MW")),"")</f>
        <v/>
      </c>
      <c r="F106" s="12">
        <f>IFERROR(IF(SUMIFS(tblDaily[TransfersIn],tblDaily[EntryDate],DATE(2026,3,22),tblDaily[WardCode],"MW")=0,"",SUMIFS(tblDaily[TransfersIn],tblDaily[EntryDate],DATE(2026,3,22),tblDaily[WardCode],"MW")),"")</f>
        <v/>
      </c>
      <c r="G106" s="12">
        <f>IFERROR(IF(SUMIFS(tblDaily[TransfersOut],tblDaily[EntryDate],DATE(2026,3,22),tblDaily[WardCode],"MW")=0,"",SUMIFS(tblDaily[TransfersOut],tblDaily[EntryDate],DATE(2026,3,22),tblDaily[WardCode],"MW")),"")</f>
        <v/>
      </c>
      <c r="H106" s="12">
        <f>IFERROR(IF(SUMIFS(tblDaily[Remaining],tblDaily[EntryDate],DATE(2026,3,22),tblDaily[WardCode],"MW")=0,"",SUMIFS(tblDaily[Remaining],tblDaily[EntryDate],DATE(2026,3,22),tblDaily[WardCode],"MW")),"")</f>
        <v/>
      </c>
    </row>
    <row r="107">
      <c r="A107" s="12" t="n">
        <v>23</v>
      </c>
      <c r="B107" s="12">
        <f>IFERROR(IF(SUMIFS(tblDaily[Admissions],tblDaily[EntryDate],DATE(2026,3,23),tblDaily[WardCode],"MW")=0,"",SUMIFS(tblDaily[Admissions],tblDaily[EntryDate],DATE(2026,3,23),tblDaily[WardCode],"MW")),"")</f>
        <v/>
      </c>
      <c r="C107" s="12">
        <f>IFERROR(IF(SUMIFS(tblDaily[Discharges],tblDaily[EntryDate],DATE(2026,3,23),tblDaily[WardCode],"MW")=0,"",SUMIFS(tblDaily[Discharges],tblDaily[EntryDate],DATE(2026,3,23),tblDaily[WardCode],"MW")),"")</f>
        <v/>
      </c>
      <c r="D107" s="12">
        <f>IFERROR(IF(SUMIFS(tblDaily[Deaths],tblDaily[EntryDate],DATE(2026,3,23),tblDaily[WardCode],"MW")=0,"",SUMIFS(tblDaily[Deaths],tblDaily[EntryDate],DATE(2026,3,23),tblDaily[WardCode],"MW")),"")</f>
        <v/>
      </c>
      <c r="E107" s="12">
        <f>IFERROR(IF(SUMIFS(tblDaily[DeathsUnder24Hrs],tblDaily[EntryDate],DATE(2026,3,23),tblDaily[WardCode],"MW")=0,"",SUMIFS(tblDaily[DeathsUnder24Hrs],tblDaily[EntryDate],DATE(2026,3,23),tblDaily[WardCode],"MW")),"")</f>
        <v/>
      </c>
      <c r="F107" s="12">
        <f>IFERROR(IF(SUMIFS(tblDaily[TransfersIn],tblDaily[EntryDate],DATE(2026,3,23),tblDaily[WardCode],"MW")=0,"",SUMIFS(tblDaily[TransfersIn],tblDaily[EntryDate],DATE(2026,3,23),tblDaily[WardCode],"MW")),"")</f>
        <v/>
      </c>
      <c r="G107" s="12">
        <f>IFERROR(IF(SUMIFS(tblDaily[TransfersOut],tblDaily[EntryDate],DATE(2026,3,23),tblDaily[WardCode],"MW")=0,"",SUMIFS(tblDaily[TransfersOut],tblDaily[EntryDate],DATE(2026,3,23),tblDaily[WardCode],"MW")),"")</f>
        <v/>
      </c>
      <c r="H107" s="12">
        <f>IFERROR(IF(SUMIFS(tblDaily[Remaining],tblDaily[EntryDate],DATE(2026,3,23),tblDaily[WardCode],"MW")=0,"",SUMIFS(tblDaily[Remaining],tblDaily[EntryDate],DATE(2026,3,23),tblDaily[WardCode],"MW")),"")</f>
        <v/>
      </c>
    </row>
    <row r="108">
      <c r="A108" s="12" t="n">
        <v>24</v>
      </c>
      <c r="B108" s="12">
        <f>IFERROR(IF(SUMIFS(tblDaily[Admissions],tblDaily[EntryDate],DATE(2026,3,24),tblDaily[WardCode],"MW")=0,"",SUMIFS(tblDaily[Admissions],tblDaily[EntryDate],DATE(2026,3,24),tblDaily[WardCode],"MW")),"")</f>
        <v/>
      </c>
      <c r="C108" s="12">
        <f>IFERROR(IF(SUMIFS(tblDaily[Discharges],tblDaily[EntryDate],DATE(2026,3,24),tblDaily[WardCode],"MW")=0,"",SUMIFS(tblDaily[Discharges],tblDaily[EntryDate],DATE(2026,3,24),tblDaily[WardCode],"MW")),"")</f>
        <v/>
      </c>
      <c r="D108" s="12">
        <f>IFERROR(IF(SUMIFS(tblDaily[Deaths],tblDaily[EntryDate],DATE(2026,3,24),tblDaily[WardCode],"MW")=0,"",SUMIFS(tblDaily[Deaths],tblDaily[EntryDate],DATE(2026,3,24),tblDaily[WardCode],"MW")),"")</f>
        <v/>
      </c>
      <c r="E108" s="12">
        <f>IFERROR(IF(SUMIFS(tblDaily[DeathsUnder24Hrs],tblDaily[EntryDate],DATE(2026,3,24),tblDaily[WardCode],"MW")=0,"",SUMIFS(tblDaily[DeathsUnder24Hrs],tblDaily[EntryDate],DATE(2026,3,24),tblDaily[WardCode],"MW")),"")</f>
        <v/>
      </c>
      <c r="F108" s="12">
        <f>IFERROR(IF(SUMIFS(tblDaily[TransfersIn],tblDaily[EntryDate],DATE(2026,3,24),tblDaily[WardCode],"MW")=0,"",SUMIFS(tblDaily[TransfersIn],tblDaily[EntryDate],DATE(2026,3,24),tblDaily[WardCode],"MW")),"")</f>
        <v/>
      </c>
      <c r="G108" s="12">
        <f>IFERROR(IF(SUMIFS(tblDaily[TransfersOut],tblDaily[EntryDate],DATE(2026,3,24),tblDaily[WardCode],"MW")=0,"",SUMIFS(tblDaily[TransfersOut],tblDaily[EntryDate],DATE(2026,3,24),tblDaily[WardCode],"MW")),"")</f>
        <v/>
      </c>
      <c r="H108" s="12">
        <f>IFERROR(IF(SUMIFS(tblDaily[Remaining],tblDaily[EntryDate],DATE(2026,3,24),tblDaily[WardCode],"MW")=0,"",SUMIFS(tblDaily[Remaining],tblDaily[EntryDate],DATE(2026,3,24),tblDaily[WardCode],"MW")),"")</f>
        <v/>
      </c>
    </row>
    <row r="109">
      <c r="A109" s="12" t="n">
        <v>25</v>
      </c>
      <c r="B109" s="12">
        <f>IFERROR(IF(SUMIFS(tblDaily[Admissions],tblDaily[EntryDate],DATE(2026,3,25),tblDaily[WardCode],"MW")=0,"",SUMIFS(tblDaily[Admissions],tblDaily[EntryDate],DATE(2026,3,25),tblDaily[WardCode],"MW")),"")</f>
        <v/>
      </c>
      <c r="C109" s="12">
        <f>IFERROR(IF(SUMIFS(tblDaily[Discharges],tblDaily[EntryDate],DATE(2026,3,25),tblDaily[WardCode],"MW")=0,"",SUMIFS(tblDaily[Discharges],tblDaily[EntryDate],DATE(2026,3,25),tblDaily[WardCode],"MW")),"")</f>
        <v/>
      </c>
      <c r="D109" s="12">
        <f>IFERROR(IF(SUMIFS(tblDaily[Deaths],tblDaily[EntryDate],DATE(2026,3,25),tblDaily[WardCode],"MW")=0,"",SUMIFS(tblDaily[Deaths],tblDaily[EntryDate],DATE(2026,3,25),tblDaily[WardCode],"MW")),"")</f>
        <v/>
      </c>
      <c r="E109" s="12">
        <f>IFERROR(IF(SUMIFS(tblDaily[DeathsUnder24Hrs],tblDaily[EntryDate],DATE(2026,3,25),tblDaily[WardCode],"MW")=0,"",SUMIFS(tblDaily[DeathsUnder24Hrs],tblDaily[EntryDate],DATE(2026,3,25),tblDaily[WardCode],"MW")),"")</f>
        <v/>
      </c>
      <c r="F109" s="12">
        <f>IFERROR(IF(SUMIFS(tblDaily[TransfersIn],tblDaily[EntryDate],DATE(2026,3,25),tblDaily[WardCode],"MW")=0,"",SUMIFS(tblDaily[TransfersIn],tblDaily[EntryDate],DATE(2026,3,25),tblDaily[WardCode],"MW")),"")</f>
        <v/>
      </c>
      <c r="G109" s="12">
        <f>IFERROR(IF(SUMIFS(tblDaily[TransfersOut],tblDaily[EntryDate],DATE(2026,3,25),tblDaily[WardCode],"MW")=0,"",SUMIFS(tblDaily[TransfersOut],tblDaily[EntryDate],DATE(2026,3,25),tblDaily[WardCode],"MW")),"")</f>
        <v/>
      </c>
      <c r="H109" s="12">
        <f>IFERROR(IF(SUMIFS(tblDaily[Remaining],tblDaily[EntryDate],DATE(2026,3,25),tblDaily[WardCode],"MW")=0,"",SUMIFS(tblDaily[Remaining],tblDaily[EntryDate],DATE(2026,3,25),tblDaily[WardCode],"MW")),"")</f>
        <v/>
      </c>
    </row>
    <row r="110">
      <c r="A110" s="12" t="n">
        <v>26</v>
      </c>
      <c r="B110" s="12">
        <f>IFERROR(IF(SUMIFS(tblDaily[Admissions],tblDaily[EntryDate],DATE(2026,3,26),tblDaily[WardCode],"MW")=0,"",SUMIFS(tblDaily[Admissions],tblDaily[EntryDate],DATE(2026,3,26),tblDaily[WardCode],"MW")),"")</f>
        <v/>
      </c>
      <c r="C110" s="12">
        <f>IFERROR(IF(SUMIFS(tblDaily[Discharges],tblDaily[EntryDate],DATE(2026,3,26),tblDaily[WardCode],"MW")=0,"",SUMIFS(tblDaily[Discharges],tblDaily[EntryDate],DATE(2026,3,26),tblDaily[WardCode],"MW")),"")</f>
        <v/>
      </c>
      <c r="D110" s="12">
        <f>IFERROR(IF(SUMIFS(tblDaily[Deaths],tblDaily[EntryDate],DATE(2026,3,26),tblDaily[WardCode],"MW")=0,"",SUMIFS(tblDaily[Deaths],tblDaily[EntryDate],DATE(2026,3,26),tblDaily[WardCode],"MW")),"")</f>
        <v/>
      </c>
      <c r="E110" s="12">
        <f>IFERROR(IF(SUMIFS(tblDaily[DeathsUnder24Hrs],tblDaily[EntryDate],DATE(2026,3,26),tblDaily[WardCode],"MW")=0,"",SUMIFS(tblDaily[DeathsUnder24Hrs],tblDaily[EntryDate],DATE(2026,3,26),tblDaily[WardCode],"MW")),"")</f>
        <v/>
      </c>
      <c r="F110" s="12">
        <f>IFERROR(IF(SUMIFS(tblDaily[TransfersIn],tblDaily[EntryDate],DATE(2026,3,26),tblDaily[WardCode],"MW")=0,"",SUMIFS(tblDaily[TransfersIn],tblDaily[EntryDate],DATE(2026,3,26),tblDaily[WardCode],"MW")),"")</f>
        <v/>
      </c>
      <c r="G110" s="12">
        <f>IFERROR(IF(SUMIFS(tblDaily[TransfersOut],tblDaily[EntryDate],DATE(2026,3,26),tblDaily[WardCode],"MW")=0,"",SUMIFS(tblDaily[TransfersOut],tblDaily[EntryDate],DATE(2026,3,26),tblDaily[WardCode],"MW")),"")</f>
        <v/>
      </c>
      <c r="H110" s="12">
        <f>IFERROR(IF(SUMIFS(tblDaily[Remaining],tblDaily[EntryDate],DATE(2026,3,26),tblDaily[WardCode],"MW")=0,"",SUMIFS(tblDaily[Remaining],tblDaily[EntryDate],DATE(2026,3,26),tblDaily[WardCode],"MW")),"")</f>
        <v/>
      </c>
    </row>
    <row r="111">
      <c r="A111" s="12" t="n">
        <v>27</v>
      </c>
      <c r="B111" s="12">
        <f>IFERROR(IF(SUMIFS(tblDaily[Admissions],tblDaily[EntryDate],DATE(2026,3,27),tblDaily[WardCode],"MW")=0,"",SUMIFS(tblDaily[Admissions],tblDaily[EntryDate],DATE(2026,3,27),tblDaily[WardCode],"MW")),"")</f>
        <v/>
      </c>
      <c r="C111" s="12">
        <f>IFERROR(IF(SUMIFS(tblDaily[Discharges],tblDaily[EntryDate],DATE(2026,3,27),tblDaily[WardCode],"MW")=0,"",SUMIFS(tblDaily[Discharges],tblDaily[EntryDate],DATE(2026,3,27),tblDaily[WardCode],"MW")),"")</f>
        <v/>
      </c>
      <c r="D111" s="12">
        <f>IFERROR(IF(SUMIFS(tblDaily[Deaths],tblDaily[EntryDate],DATE(2026,3,27),tblDaily[WardCode],"MW")=0,"",SUMIFS(tblDaily[Deaths],tblDaily[EntryDate],DATE(2026,3,27),tblDaily[WardCode],"MW")),"")</f>
        <v/>
      </c>
      <c r="E111" s="12">
        <f>IFERROR(IF(SUMIFS(tblDaily[DeathsUnder24Hrs],tblDaily[EntryDate],DATE(2026,3,27),tblDaily[WardCode],"MW")=0,"",SUMIFS(tblDaily[DeathsUnder24Hrs],tblDaily[EntryDate],DATE(2026,3,27),tblDaily[WardCode],"MW")),"")</f>
        <v/>
      </c>
      <c r="F111" s="12">
        <f>IFERROR(IF(SUMIFS(tblDaily[TransfersIn],tblDaily[EntryDate],DATE(2026,3,27),tblDaily[WardCode],"MW")=0,"",SUMIFS(tblDaily[TransfersIn],tblDaily[EntryDate],DATE(2026,3,27),tblDaily[WardCode],"MW")),"")</f>
        <v/>
      </c>
      <c r="G111" s="12">
        <f>IFERROR(IF(SUMIFS(tblDaily[TransfersOut],tblDaily[EntryDate],DATE(2026,3,27),tblDaily[WardCode],"MW")=0,"",SUMIFS(tblDaily[TransfersOut],tblDaily[EntryDate],DATE(2026,3,27),tblDaily[WardCode],"MW")),"")</f>
        <v/>
      </c>
      <c r="H111" s="12">
        <f>IFERROR(IF(SUMIFS(tblDaily[Remaining],tblDaily[EntryDate],DATE(2026,3,27),tblDaily[WardCode],"MW")=0,"",SUMIFS(tblDaily[Remaining],tblDaily[EntryDate],DATE(2026,3,27),tblDaily[WardCode],"MW")),"")</f>
        <v/>
      </c>
    </row>
    <row r="112">
      <c r="A112" s="12" t="n">
        <v>28</v>
      </c>
      <c r="B112" s="12">
        <f>IFERROR(IF(SUMIFS(tblDaily[Admissions],tblDaily[EntryDate],DATE(2026,3,28),tblDaily[WardCode],"MW")=0,"",SUMIFS(tblDaily[Admissions],tblDaily[EntryDate],DATE(2026,3,28),tblDaily[WardCode],"MW")),"")</f>
        <v/>
      </c>
      <c r="C112" s="12">
        <f>IFERROR(IF(SUMIFS(tblDaily[Discharges],tblDaily[EntryDate],DATE(2026,3,28),tblDaily[WardCode],"MW")=0,"",SUMIFS(tblDaily[Discharges],tblDaily[EntryDate],DATE(2026,3,28),tblDaily[WardCode],"MW")),"")</f>
        <v/>
      </c>
      <c r="D112" s="12">
        <f>IFERROR(IF(SUMIFS(tblDaily[Deaths],tblDaily[EntryDate],DATE(2026,3,28),tblDaily[WardCode],"MW")=0,"",SUMIFS(tblDaily[Deaths],tblDaily[EntryDate],DATE(2026,3,28),tblDaily[WardCode],"MW")),"")</f>
        <v/>
      </c>
      <c r="E112" s="12">
        <f>IFERROR(IF(SUMIFS(tblDaily[DeathsUnder24Hrs],tblDaily[EntryDate],DATE(2026,3,28),tblDaily[WardCode],"MW")=0,"",SUMIFS(tblDaily[DeathsUnder24Hrs],tblDaily[EntryDate],DATE(2026,3,28),tblDaily[WardCode],"MW")),"")</f>
        <v/>
      </c>
      <c r="F112" s="12">
        <f>IFERROR(IF(SUMIFS(tblDaily[TransfersIn],tblDaily[EntryDate],DATE(2026,3,28),tblDaily[WardCode],"MW")=0,"",SUMIFS(tblDaily[TransfersIn],tblDaily[EntryDate],DATE(2026,3,28),tblDaily[WardCode],"MW")),"")</f>
        <v/>
      </c>
      <c r="G112" s="12">
        <f>IFERROR(IF(SUMIFS(tblDaily[TransfersOut],tblDaily[EntryDate],DATE(2026,3,28),tblDaily[WardCode],"MW")=0,"",SUMIFS(tblDaily[TransfersOut],tblDaily[EntryDate],DATE(2026,3,28),tblDaily[WardCode],"MW")),"")</f>
        <v/>
      </c>
      <c r="H112" s="12">
        <f>IFERROR(IF(SUMIFS(tblDaily[Remaining],tblDaily[EntryDate],DATE(2026,3,28),tblDaily[WardCode],"MW")=0,"",SUMIFS(tblDaily[Remaining],tblDaily[EntryDate],DATE(2026,3,28),tblDaily[WardCode],"MW")),"")</f>
        <v/>
      </c>
    </row>
    <row r="113">
      <c r="A113" s="12" t="n">
        <v>29</v>
      </c>
      <c r="B113" s="12">
        <f>IFERROR(IF(SUMIFS(tblDaily[Admissions],tblDaily[EntryDate],DATE(2026,3,29),tblDaily[WardCode],"MW")=0,"",SUMIFS(tblDaily[Admissions],tblDaily[EntryDate],DATE(2026,3,29),tblDaily[WardCode],"MW")),"")</f>
        <v/>
      </c>
      <c r="C113" s="12">
        <f>IFERROR(IF(SUMIFS(tblDaily[Discharges],tblDaily[EntryDate],DATE(2026,3,29),tblDaily[WardCode],"MW")=0,"",SUMIFS(tblDaily[Discharges],tblDaily[EntryDate],DATE(2026,3,29),tblDaily[WardCode],"MW")),"")</f>
        <v/>
      </c>
      <c r="D113" s="12">
        <f>IFERROR(IF(SUMIFS(tblDaily[Deaths],tblDaily[EntryDate],DATE(2026,3,29),tblDaily[WardCode],"MW")=0,"",SUMIFS(tblDaily[Deaths],tblDaily[EntryDate],DATE(2026,3,29),tblDaily[WardCode],"MW")),"")</f>
        <v/>
      </c>
      <c r="E113" s="12">
        <f>IFERROR(IF(SUMIFS(tblDaily[DeathsUnder24Hrs],tblDaily[EntryDate],DATE(2026,3,29),tblDaily[WardCode],"MW")=0,"",SUMIFS(tblDaily[DeathsUnder24Hrs],tblDaily[EntryDate],DATE(2026,3,29),tblDaily[WardCode],"MW")),"")</f>
        <v/>
      </c>
      <c r="F113" s="12">
        <f>IFERROR(IF(SUMIFS(tblDaily[TransfersIn],tblDaily[EntryDate],DATE(2026,3,29),tblDaily[WardCode],"MW")=0,"",SUMIFS(tblDaily[TransfersIn],tblDaily[EntryDate],DATE(2026,3,29),tblDaily[WardCode],"MW")),"")</f>
        <v/>
      </c>
      <c r="G113" s="12">
        <f>IFERROR(IF(SUMIFS(tblDaily[TransfersOut],tblDaily[EntryDate],DATE(2026,3,29),tblDaily[WardCode],"MW")=0,"",SUMIFS(tblDaily[TransfersOut],tblDaily[EntryDate],DATE(2026,3,29),tblDaily[WardCode],"MW")),"")</f>
        <v/>
      </c>
      <c r="H113" s="12">
        <f>IFERROR(IF(SUMIFS(tblDaily[Remaining],tblDaily[EntryDate],DATE(2026,3,29),tblDaily[WardCode],"MW")=0,"",SUMIFS(tblDaily[Remaining],tblDaily[EntryDate],DATE(2026,3,29),tblDaily[WardCode],"MW")),"")</f>
        <v/>
      </c>
    </row>
    <row r="114">
      <c r="A114" s="12" t="n">
        <v>30</v>
      </c>
      <c r="B114" s="12">
        <f>IFERROR(IF(SUMIFS(tblDaily[Admissions],tblDaily[EntryDate],DATE(2026,3,30),tblDaily[WardCode],"MW")=0,"",SUMIFS(tblDaily[Admissions],tblDaily[EntryDate],DATE(2026,3,30),tblDaily[WardCode],"MW")),"")</f>
        <v/>
      </c>
      <c r="C114" s="12">
        <f>IFERROR(IF(SUMIFS(tblDaily[Discharges],tblDaily[EntryDate],DATE(2026,3,30),tblDaily[WardCode],"MW")=0,"",SUMIFS(tblDaily[Discharges],tblDaily[EntryDate],DATE(2026,3,30),tblDaily[WardCode],"MW")),"")</f>
        <v/>
      </c>
      <c r="D114" s="12">
        <f>IFERROR(IF(SUMIFS(tblDaily[Deaths],tblDaily[EntryDate],DATE(2026,3,30),tblDaily[WardCode],"MW")=0,"",SUMIFS(tblDaily[Deaths],tblDaily[EntryDate],DATE(2026,3,30),tblDaily[WardCode],"MW")),"")</f>
        <v/>
      </c>
      <c r="E114" s="12">
        <f>IFERROR(IF(SUMIFS(tblDaily[DeathsUnder24Hrs],tblDaily[EntryDate],DATE(2026,3,30),tblDaily[WardCode],"MW")=0,"",SUMIFS(tblDaily[DeathsUnder24Hrs],tblDaily[EntryDate],DATE(2026,3,30),tblDaily[WardCode],"MW")),"")</f>
        <v/>
      </c>
      <c r="F114" s="12">
        <f>IFERROR(IF(SUMIFS(tblDaily[TransfersIn],tblDaily[EntryDate],DATE(2026,3,30),tblDaily[WardCode],"MW")=0,"",SUMIFS(tblDaily[TransfersIn],tblDaily[EntryDate],DATE(2026,3,30),tblDaily[WardCode],"MW")),"")</f>
        <v/>
      </c>
      <c r="G114" s="12">
        <f>IFERROR(IF(SUMIFS(tblDaily[TransfersOut],tblDaily[EntryDate],DATE(2026,3,30),tblDaily[WardCode],"MW")=0,"",SUMIFS(tblDaily[TransfersOut],tblDaily[EntryDate],DATE(2026,3,30),tblDaily[WardCode],"MW")),"")</f>
        <v/>
      </c>
      <c r="H114" s="12">
        <f>IFERROR(IF(SUMIFS(tblDaily[Remaining],tblDaily[EntryDate],DATE(2026,3,30),tblDaily[WardCode],"MW")=0,"",SUMIFS(tblDaily[Remaining],tblDaily[EntryDate],DATE(2026,3,30),tblDaily[WardCode],"MW")),"")</f>
        <v/>
      </c>
    </row>
    <row r="115">
      <c r="A115" s="12" t="n">
        <v>31</v>
      </c>
      <c r="B115" s="12">
        <f>IFERROR(IF(SUMIFS(tblDaily[Admissions],tblDaily[EntryDate],DATE(2026,3,31),tblDaily[WardCode],"MW")=0,"",SUMIFS(tblDaily[Admissions],tblDaily[EntryDate],DATE(2026,3,31),tblDaily[WardCode],"MW")),"")</f>
        <v/>
      </c>
      <c r="C115" s="12">
        <f>IFERROR(IF(SUMIFS(tblDaily[Discharges],tblDaily[EntryDate],DATE(2026,3,31),tblDaily[WardCode],"MW")=0,"",SUMIFS(tblDaily[Discharges],tblDaily[EntryDate],DATE(2026,3,31),tblDaily[WardCode],"MW")),"")</f>
        <v/>
      </c>
      <c r="D115" s="12">
        <f>IFERROR(IF(SUMIFS(tblDaily[Deaths],tblDaily[EntryDate],DATE(2026,3,31),tblDaily[WardCode],"MW")=0,"",SUMIFS(tblDaily[Deaths],tblDaily[EntryDate],DATE(2026,3,31),tblDaily[WardCode],"MW")),"")</f>
        <v/>
      </c>
      <c r="E115" s="12">
        <f>IFERROR(IF(SUMIFS(tblDaily[DeathsUnder24Hrs],tblDaily[EntryDate],DATE(2026,3,31),tblDaily[WardCode],"MW")=0,"",SUMIFS(tblDaily[DeathsUnder24Hrs],tblDaily[EntryDate],DATE(2026,3,31),tblDaily[WardCode],"MW")),"")</f>
        <v/>
      </c>
      <c r="F115" s="12">
        <f>IFERROR(IF(SUMIFS(tblDaily[TransfersIn],tblDaily[EntryDate],DATE(2026,3,31),tblDaily[WardCode],"MW")=0,"",SUMIFS(tblDaily[TransfersIn],tblDaily[EntryDate],DATE(2026,3,31),tblDaily[WardCode],"MW")),"")</f>
        <v/>
      </c>
      <c r="G115" s="12">
        <f>IFERROR(IF(SUMIFS(tblDaily[TransfersOut],tblDaily[EntryDate],DATE(2026,3,31),tblDaily[WardCode],"MW")=0,"",SUMIFS(tblDaily[TransfersOut],tblDaily[EntryDate],DATE(2026,3,31),tblDaily[WardCode],"MW")),"")</f>
        <v/>
      </c>
      <c r="H115" s="12">
        <f>IFERROR(IF(SUMIFS(tblDaily[Remaining],tblDaily[EntryDate],DATE(2026,3,31),tblDaily[WardCode],"MW")=0,"",SUMIFS(tblDaily[Remaining],tblDaily[EntryDate],DATE(2026,3,31),tblDaily[WardCode],"MW")),"")</f>
        <v/>
      </c>
    </row>
    <row r="116">
      <c r="A116" s="17" t="inlineStr">
        <is>
          <t>TOTAL</t>
        </is>
      </c>
      <c r="B116" s="17">
        <f>SUMIFS(tblDaily[Admissions],tblDaily[Month],3,tblDaily[WardCode],"MW") - SUMIFS(tblDaily[DeathsUnder24Hrs],tblDaily[Month],3,tblDaily[WardCode],"MW")</f>
        <v/>
      </c>
      <c r="C116" s="17">
        <f>SUMIFS(tblDaily[Discharges],tblDaily[Month],3,tblDaily[WardCode],"MW")</f>
        <v/>
      </c>
      <c r="D116" s="17">
        <f>SUMIFS(tblDaily[Deaths],tblDaily[Month],3,tblDaily[WardCode],"MW")</f>
        <v/>
      </c>
      <c r="E116" s="17">
        <f>SUMIFS(tblDaily[DeathsUnder24Hrs],tblDaily[Month],3,tblDaily[WardCode],"MW")</f>
        <v/>
      </c>
      <c r="F116" s="17">
        <f>SUMIFS(tblDaily[TransfersIn],tblDaily[Month],3,tblDaily[WardCode],"MW")</f>
        <v/>
      </c>
      <c r="G116" s="17">
        <f>SUMIFS(tblDaily[TransfersOut],tblDaily[Month],3,tblDaily[WardCode],"MW")</f>
        <v/>
      </c>
      <c r="H116" s="17">
        <f>SUMIFS(tblDaily[Remaining],tblDaily[Month],3,tblDaily[WardCode],"MW")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MALE MEDICAL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4">
        <f>IFERROR(SUMIFS(tblDaily[Remaining],tblDaily[EntryDate],DATE(2026,3,31),tblDaily[WardCode],"MW"),0)</f>
        <v/>
      </c>
    </row>
    <row r="122">
      <c r="A122" s="4" t="inlineStr">
        <is>
          <t>Bed complement</t>
        </is>
      </c>
      <c r="H122" s="15">
        <f>IFERROR(INDEX(tblWardConfig[BedComplement],MATCH("MW",tblWardConfig[WardCode],0)),0)</f>
        <v/>
      </c>
    </row>
    <row r="123">
      <c r="A123" s="16" t="inlineStr">
        <is>
          <t>Day of
the
Month</t>
        </is>
      </c>
      <c r="B123" s="16" t="inlineStr">
        <is>
          <t>Admissions</t>
        </is>
      </c>
      <c r="C123" s="16" t="inlineStr">
        <is>
          <t>Discharges</t>
        </is>
      </c>
      <c r="D123" s="16" t="inlineStr">
        <is>
          <t>Deaths</t>
        </is>
      </c>
      <c r="E123" s="16" t="inlineStr">
        <is>
          <t>Deaths
&lt;24Hrs</t>
        </is>
      </c>
      <c r="F123" s="16" t="inlineStr">
        <is>
          <t>Transfers-
In</t>
        </is>
      </c>
      <c r="G123" s="16" t="inlineStr">
        <is>
          <t>Transfers-
Out</t>
        </is>
      </c>
      <c r="H123" s="16" t="inlineStr">
        <is>
          <t>No. of Patients
Remaining In
Ward</t>
        </is>
      </c>
    </row>
    <row r="124">
      <c r="A124" s="12" t="n">
        <v>1</v>
      </c>
      <c r="B124" s="12">
        <f>IFERROR(IF(SUMIFS(tblDaily[Admissions],tblDaily[EntryDate],DATE(2026,4,1),tblDaily[WardCode],"MW")=0,"",SUMIFS(tblDaily[Admissions],tblDaily[EntryDate],DATE(2026,4,1),tblDaily[WardCode],"MW")),"")</f>
        <v/>
      </c>
      <c r="C124" s="12">
        <f>IFERROR(IF(SUMIFS(tblDaily[Discharges],tblDaily[EntryDate],DATE(2026,4,1),tblDaily[WardCode],"MW")=0,"",SUMIFS(tblDaily[Discharges],tblDaily[EntryDate],DATE(2026,4,1),tblDaily[WardCode],"MW")),"")</f>
        <v/>
      </c>
      <c r="D124" s="12">
        <f>IFERROR(IF(SUMIFS(tblDaily[Deaths],tblDaily[EntryDate],DATE(2026,4,1),tblDaily[WardCode],"MW")=0,"",SUMIFS(tblDaily[Deaths],tblDaily[EntryDate],DATE(2026,4,1),tblDaily[WardCode],"MW")),"")</f>
        <v/>
      </c>
      <c r="E124" s="12">
        <f>IFERROR(IF(SUMIFS(tblDaily[DeathsUnder24Hrs],tblDaily[EntryDate],DATE(2026,4,1),tblDaily[WardCode],"MW")=0,"",SUMIFS(tblDaily[DeathsUnder24Hrs],tblDaily[EntryDate],DATE(2026,4,1),tblDaily[WardCode],"MW")),"")</f>
        <v/>
      </c>
      <c r="F124" s="12">
        <f>IFERROR(IF(SUMIFS(tblDaily[TransfersIn],tblDaily[EntryDate],DATE(2026,4,1),tblDaily[WardCode],"MW")=0,"",SUMIFS(tblDaily[TransfersIn],tblDaily[EntryDate],DATE(2026,4,1),tblDaily[WardCode],"MW")),"")</f>
        <v/>
      </c>
      <c r="G124" s="12">
        <f>IFERROR(IF(SUMIFS(tblDaily[TransfersOut],tblDaily[EntryDate],DATE(2026,4,1),tblDaily[WardCode],"MW")=0,"",SUMIFS(tblDaily[TransfersOut],tblDaily[EntryDate],DATE(2026,4,1),tblDaily[WardCode],"MW")),"")</f>
        <v/>
      </c>
      <c r="H124" s="12">
        <f>IFERROR(IF(SUMIFS(tblDaily[Remaining],tblDaily[EntryDate],DATE(2026,4,1),tblDaily[WardCode],"MW")=0,"",SUMIFS(tblDaily[Remaining],tblDaily[EntryDate],DATE(2026,4,1),tblDaily[WardCode],"MW")),"")</f>
        <v/>
      </c>
    </row>
    <row r="125">
      <c r="A125" s="12" t="n">
        <v>2</v>
      </c>
      <c r="B125" s="12">
        <f>IFERROR(IF(SUMIFS(tblDaily[Admissions],tblDaily[EntryDate],DATE(2026,4,2),tblDaily[WardCode],"MW")=0,"",SUMIFS(tblDaily[Admissions],tblDaily[EntryDate],DATE(2026,4,2),tblDaily[WardCode],"MW")),"")</f>
        <v/>
      </c>
      <c r="C125" s="12">
        <f>IFERROR(IF(SUMIFS(tblDaily[Discharges],tblDaily[EntryDate],DATE(2026,4,2),tblDaily[WardCode],"MW")=0,"",SUMIFS(tblDaily[Discharges],tblDaily[EntryDate],DATE(2026,4,2),tblDaily[WardCode],"MW")),"")</f>
        <v/>
      </c>
      <c r="D125" s="12">
        <f>IFERROR(IF(SUMIFS(tblDaily[Deaths],tblDaily[EntryDate],DATE(2026,4,2),tblDaily[WardCode],"MW")=0,"",SUMIFS(tblDaily[Deaths],tblDaily[EntryDate],DATE(2026,4,2),tblDaily[WardCode],"MW")),"")</f>
        <v/>
      </c>
      <c r="E125" s="12">
        <f>IFERROR(IF(SUMIFS(tblDaily[DeathsUnder24Hrs],tblDaily[EntryDate],DATE(2026,4,2),tblDaily[WardCode],"MW")=0,"",SUMIFS(tblDaily[DeathsUnder24Hrs],tblDaily[EntryDate],DATE(2026,4,2),tblDaily[WardCode],"MW")),"")</f>
        <v/>
      </c>
      <c r="F125" s="12">
        <f>IFERROR(IF(SUMIFS(tblDaily[TransfersIn],tblDaily[EntryDate],DATE(2026,4,2),tblDaily[WardCode],"MW")=0,"",SUMIFS(tblDaily[TransfersIn],tblDaily[EntryDate],DATE(2026,4,2),tblDaily[WardCode],"MW")),"")</f>
        <v/>
      </c>
      <c r="G125" s="12">
        <f>IFERROR(IF(SUMIFS(tblDaily[TransfersOut],tblDaily[EntryDate],DATE(2026,4,2),tblDaily[WardCode],"MW")=0,"",SUMIFS(tblDaily[TransfersOut],tblDaily[EntryDate],DATE(2026,4,2),tblDaily[WardCode],"MW")),"")</f>
        <v/>
      </c>
      <c r="H125" s="12">
        <f>IFERROR(IF(SUMIFS(tblDaily[Remaining],tblDaily[EntryDate],DATE(2026,4,2),tblDaily[WardCode],"MW")=0,"",SUMIFS(tblDaily[Remaining],tblDaily[EntryDate],DATE(2026,4,2),tblDaily[WardCode],"MW")),"")</f>
        <v/>
      </c>
    </row>
    <row r="126">
      <c r="A126" s="12" t="n">
        <v>3</v>
      </c>
      <c r="B126" s="12">
        <f>IFERROR(IF(SUMIFS(tblDaily[Admissions],tblDaily[EntryDate],DATE(2026,4,3),tblDaily[WardCode],"MW")=0,"",SUMIFS(tblDaily[Admissions],tblDaily[EntryDate],DATE(2026,4,3),tblDaily[WardCode],"MW")),"")</f>
        <v/>
      </c>
      <c r="C126" s="12">
        <f>IFERROR(IF(SUMIFS(tblDaily[Discharges],tblDaily[EntryDate],DATE(2026,4,3),tblDaily[WardCode],"MW")=0,"",SUMIFS(tblDaily[Discharges],tblDaily[EntryDate],DATE(2026,4,3),tblDaily[WardCode],"MW")),"")</f>
        <v/>
      </c>
      <c r="D126" s="12">
        <f>IFERROR(IF(SUMIFS(tblDaily[Deaths],tblDaily[EntryDate],DATE(2026,4,3),tblDaily[WardCode],"MW")=0,"",SUMIFS(tblDaily[Deaths],tblDaily[EntryDate],DATE(2026,4,3),tblDaily[WardCode],"MW")),"")</f>
        <v/>
      </c>
      <c r="E126" s="12">
        <f>IFERROR(IF(SUMIFS(tblDaily[DeathsUnder24Hrs],tblDaily[EntryDate],DATE(2026,4,3),tblDaily[WardCode],"MW")=0,"",SUMIFS(tblDaily[DeathsUnder24Hrs],tblDaily[EntryDate],DATE(2026,4,3),tblDaily[WardCode],"MW")),"")</f>
        <v/>
      </c>
      <c r="F126" s="12">
        <f>IFERROR(IF(SUMIFS(tblDaily[TransfersIn],tblDaily[EntryDate],DATE(2026,4,3),tblDaily[WardCode],"MW")=0,"",SUMIFS(tblDaily[TransfersIn],tblDaily[EntryDate],DATE(2026,4,3),tblDaily[WardCode],"MW")),"")</f>
        <v/>
      </c>
      <c r="G126" s="12">
        <f>IFERROR(IF(SUMIFS(tblDaily[TransfersOut],tblDaily[EntryDate],DATE(2026,4,3),tblDaily[WardCode],"MW")=0,"",SUMIFS(tblDaily[TransfersOut],tblDaily[EntryDate],DATE(2026,4,3),tblDaily[WardCode],"MW")),"")</f>
        <v/>
      </c>
      <c r="H126" s="12">
        <f>IFERROR(IF(SUMIFS(tblDaily[Remaining],tblDaily[EntryDate],DATE(2026,4,3),tblDaily[WardCode],"MW")=0,"",SUMIFS(tblDaily[Remaining],tblDaily[EntryDate],DATE(2026,4,3),tblDaily[WardCode],"MW")),"")</f>
        <v/>
      </c>
    </row>
    <row r="127">
      <c r="A127" s="12" t="n">
        <v>4</v>
      </c>
      <c r="B127" s="12">
        <f>IFERROR(IF(SUMIFS(tblDaily[Admissions],tblDaily[EntryDate],DATE(2026,4,4),tblDaily[WardCode],"MW")=0,"",SUMIFS(tblDaily[Admissions],tblDaily[EntryDate],DATE(2026,4,4),tblDaily[WardCode],"MW")),"")</f>
        <v/>
      </c>
      <c r="C127" s="12">
        <f>IFERROR(IF(SUMIFS(tblDaily[Discharges],tblDaily[EntryDate],DATE(2026,4,4),tblDaily[WardCode],"MW")=0,"",SUMIFS(tblDaily[Discharges],tblDaily[EntryDate],DATE(2026,4,4),tblDaily[WardCode],"MW")),"")</f>
        <v/>
      </c>
      <c r="D127" s="12">
        <f>IFERROR(IF(SUMIFS(tblDaily[Deaths],tblDaily[EntryDate],DATE(2026,4,4),tblDaily[WardCode],"MW")=0,"",SUMIFS(tblDaily[Deaths],tblDaily[EntryDate],DATE(2026,4,4),tblDaily[WardCode],"MW")),"")</f>
        <v/>
      </c>
      <c r="E127" s="12">
        <f>IFERROR(IF(SUMIFS(tblDaily[DeathsUnder24Hrs],tblDaily[EntryDate],DATE(2026,4,4),tblDaily[WardCode],"MW")=0,"",SUMIFS(tblDaily[DeathsUnder24Hrs],tblDaily[EntryDate],DATE(2026,4,4),tblDaily[WardCode],"MW")),"")</f>
        <v/>
      </c>
      <c r="F127" s="12">
        <f>IFERROR(IF(SUMIFS(tblDaily[TransfersIn],tblDaily[EntryDate],DATE(2026,4,4),tblDaily[WardCode],"MW")=0,"",SUMIFS(tblDaily[TransfersIn],tblDaily[EntryDate],DATE(2026,4,4),tblDaily[WardCode],"MW")),"")</f>
        <v/>
      </c>
      <c r="G127" s="12">
        <f>IFERROR(IF(SUMIFS(tblDaily[TransfersOut],tblDaily[EntryDate],DATE(2026,4,4),tblDaily[WardCode],"MW")=0,"",SUMIFS(tblDaily[TransfersOut],tblDaily[EntryDate],DATE(2026,4,4),tblDaily[WardCode],"MW")),"")</f>
        <v/>
      </c>
      <c r="H127" s="12">
        <f>IFERROR(IF(SUMIFS(tblDaily[Remaining],tblDaily[EntryDate],DATE(2026,4,4),tblDaily[WardCode],"MW")=0,"",SUMIFS(tblDaily[Remaining],tblDaily[EntryDate],DATE(2026,4,4),tblDaily[WardCode],"MW")),"")</f>
        <v/>
      </c>
    </row>
    <row r="128">
      <c r="A128" s="12" t="n">
        <v>5</v>
      </c>
      <c r="B128" s="12">
        <f>IFERROR(IF(SUMIFS(tblDaily[Admissions],tblDaily[EntryDate],DATE(2026,4,5),tblDaily[WardCode],"MW")=0,"",SUMIFS(tblDaily[Admissions],tblDaily[EntryDate],DATE(2026,4,5),tblDaily[WardCode],"MW")),"")</f>
        <v/>
      </c>
      <c r="C128" s="12">
        <f>IFERROR(IF(SUMIFS(tblDaily[Discharges],tblDaily[EntryDate],DATE(2026,4,5),tblDaily[WardCode],"MW")=0,"",SUMIFS(tblDaily[Discharges],tblDaily[EntryDate],DATE(2026,4,5),tblDaily[WardCode],"MW")),"")</f>
        <v/>
      </c>
      <c r="D128" s="12">
        <f>IFERROR(IF(SUMIFS(tblDaily[Deaths],tblDaily[EntryDate],DATE(2026,4,5),tblDaily[WardCode],"MW")=0,"",SUMIFS(tblDaily[Deaths],tblDaily[EntryDate],DATE(2026,4,5),tblDaily[WardCode],"MW")),"")</f>
        <v/>
      </c>
      <c r="E128" s="12">
        <f>IFERROR(IF(SUMIFS(tblDaily[DeathsUnder24Hrs],tblDaily[EntryDate],DATE(2026,4,5),tblDaily[WardCode],"MW")=0,"",SUMIFS(tblDaily[DeathsUnder24Hrs],tblDaily[EntryDate],DATE(2026,4,5),tblDaily[WardCode],"MW")),"")</f>
        <v/>
      </c>
      <c r="F128" s="12">
        <f>IFERROR(IF(SUMIFS(tblDaily[TransfersIn],tblDaily[EntryDate],DATE(2026,4,5),tblDaily[WardCode],"MW")=0,"",SUMIFS(tblDaily[TransfersIn],tblDaily[EntryDate],DATE(2026,4,5),tblDaily[WardCode],"MW")),"")</f>
        <v/>
      </c>
      <c r="G128" s="12">
        <f>IFERROR(IF(SUMIFS(tblDaily[TransfersOut],tblDaily[EntryDate],DATE(2026,4,5),tblDaily[WardCode],"MW")=0,"",SUMIFS(tblDaily[TransfersOut],tblDaily[EntryDate],DATE(2026,4,5),tblDaily[WardCode],"MW")),"")</f>
        <v/>
      </c>
      <c r="H128" s="12">
        <f>IFERROR(IF(SUMIFS(tblDaily[Remaining],tblDaily[EntryDate],DATE(2026,4,5),tblDaily[WardCode],"MW")=0,"",SUMIFS(tblDaily[Remaining],tblDaily[EntryDate],DATE(2026,4,5),tblDaily[WardCode],"MW")),"")</f>
        <v/>
      </c>
    </row>
    <row r="129">
      <c r="A129" s="12" t="n">
        <v>6</v>
      </c>
      <c r="B129" s="12">
        <f>IFERROR(IF(SUMIFS(tblDaily[Admissions],tblDaily[EntryDate],DATE(2026,4,6),tblDaily[WardCode],"MW")=0,"",SUMIFS(tblDaily[Admissions],tblDaily[EntryDate],DATE(2026,4,6),tblDaily[WardCode],"MW")),"")</f>
        <v/>
      </c>
      <c r="C129" s="12">
        <f>IFERROR(IF(SUMIFS(tblDaily[Discharges],tblDaily[EntryDate],DATE(2026,4,6),tblDaily[WardCode],"MW")=0,"",SUMIFS(tblDaily[Discharges],tblDaily[EntryDate],DATE(2026,4,6),tblDaily[WardCode],"MW")),"")</f>
        <v/>
      </c>
      <c r="D129" s="12">
        <f>IFERROR(IF(SUMIFS(tblDaily[Deaths],tblDaily[EntryDate],DATE(2026,4,6),tblDaily[WardCode],"MW")=0,"",SUMIFS(tblDaily[Deaths],tblDaily[EntryDate],DATE(2026,4,6),tblDaily[WardCode],"MW")),"")</f>
        <v/>
      </c>
      <c r="E129" s="12">
        <f>IFERROR(IF(SUMIFS(tblDaily[DeathsUnder24Hrs],tblDaily[EntryDate],DATE(2026,4,6),tblDaily[WardCode],"MW")=0,"",SUMIFS(tblDaily[DeathsUnder24Hrs],tblDaily[EntryDate],DATE(2026,4,6),tblDaily[WardCode],"MW")),"")</f>
        <v/>
      </c>
      <c r="F129" s="12">
        <f>IFERROR(IF(SUMIFS(tblDaily[TransfersIn],tblDaily[EntryDate],DATE(2026,4,6),tblDaily[WardCode],"MW")=0,"",SUMIFS(tblDaily[TransfersIn],tblDaily[EntryDate],DATE(2026,4,6),tblDaily[WardCode],"MW")),"")</f>
        <v/>
      </c>
      <c r="G129" s="12">
        <f>IFERROR(IF(SUMIFS(tblDaily[TransfersOut],tblDaily[EntryDate],DATE(2026,4,6),tblDaily[WardCode],"MW")=0,"",SUMIFS(tblDaily[TransfersOut],tblDaily[EntryDate],DATE(2026,4,6),tblDaily[WardCode],"MW")),"")</f>
        <v/>
      </c>
      <c r="H129" s="12">
        <f>IFERROR(IF(SUMIFS(tblDaily[Remaining],tblDaily[EntryDate],DATE(2026,4,6),tblDaily[WardCode],"MW")=0,"",SUMIFS(tblDaily[Remaining],tblDaily[EntryDate],DATE(2026,4,6),tblDaily[WardCode],"MW")),"")</f>
        <v/>
      </c>
    </row>
    <row r="130">
      <c r="A130" s="12" t="n">
        <v>7</v>
      </c>
      <c r="B130" s="12">
        <f>IFERROR(IF(SUMIFS(tblDaily[Admissions],tblDaily[EntryDate],DATE(2026,4,7),tblDaily[WardCode],"MW")=0,"",SUMIFS(tblDaily[Admissions],tblDaily[EntryDate],DATE(2026,4,7),tblDaily[WardCode],"MW")),"")</f>
        <v/>
      </c>
      <c r="C130" s="12">
        <f>IFERROR(IF(SUMIFS(tblDaily[Discharges],tblDaily[EntryDate],DATE(2026,4,7),tblDaily[WardCode],"MW")=0,"",SUMIFS(tblDaily[Discharges],tblDaily[EntryDate],DATE(2026,4,7),tblDaily[WardCode],"MW")),"")</f>
        <v/>
      </c>
      <c r="D130" s="12">
        <f>IFERROR(IF(SUMIFS(tblDaily[Deaths],tblDaily[EntryDate],DATE(2026,4,7),tblDaily[WardCode],"MW")=0,"",SUMIFS(tblDaily[Deaths],tblDaily[EntryDate],DATE(2026,4,7),tblDaily[WardCode],"MW")),"")</f>
        <v/>
      </c>
      <c r="E130" s="12">
        <f>IFERROR(IF(SUMIFS(tblDaily[DeathsUnder24Hrs],tblDaily[EntryDate],DATE(2026,4,7),tblDaily[WardCode],"MW")=0,"",SUMIFS(tblDaily[DeathsUnder24Hrs],tblDaily[EntryDate],DATE(2026,4,7),tblDaily[WardCode],"MW")),"")</f>
        <v/>
      </c>
      <c r="F130" s="12">
        <f>IFERROR(IF(SUMIFS(tblDaily[TransfersIn],tblDaily[EntryDate],DATE(2026,4,7),tblDaily[WardCode],"MW")=0,"",SUMIFS(tblDaily[TransfersIn],tblDaily[EntryDate],DATE(2026,4,7),tblDaily[WardCode],"MW")),"")</f>
        <v/>
      </c>
      <c r="G130" s="12">
        <f>IFERROR(IF(SUMIFS(tblDaily[TransfersOut],tblDaily[EntryDate],DATE(2026,4,7),tblDaily[WardCode],"MW")=0,"",SUMIFS(tblDaily[TransfersOut],tblDaily[EntryDate],DATE(2026,4,7),tblDaily[WardCode],"MW")),"")</f>
        <v/>
      </c>
      <c r="H130" s="12">
        <f>IFERROR(IF(SUMIFS(tblDaily[Remaining],tblDaily[EntryDate],DATE(2026,4,7),tblDaily[WardCode],"MW")=0,"",SUMIFS(tblDaily[Remaining],tblDaily[EntryDate],DATE(2026,4,7),tblDaily[WardCode],"MW")),"")</f>
        <v/>
      </c>
    </row>
    <row r="131">
      <c r="A131" s="12" t="n">
        <v>8</v>
      </c>
      <c r="B131" s="12">
        <f>IFERROR(IF(SUMIFS(tblDaily[Admissions],tblDaily[EntryDate],DATE(2026,4,8),tblDaily[WardCode],"MW")=0,"",SUMIFS(tblDaily[Admissions],tblDaily[EntryDate],DATE(2026,4,8),tblDaily[WardCode],"MW")),"")</f>
        <v/>
      </c>
      <c r="C131" s="12">
        <f>IFERROR(IF(SUMIFS(tblDaily[Discharges],tblDaily[EntryDate],DATE(2026,4,8),tblDaily[WardCode],"MW")=0,"",SUMIFS(tblDaily[Discharges],tblDaily[EntryDate],DATE(2026,4,8),tblDaily[WardCode],"MW")),"")</f>
        <v/>
      </c>
      <c r="D131" s="12">
        <f>IFERROR(IF(SUMIFS(tblDaily[Deaths],tblDaily[EntryDate],DATE(2026,4,8),tblDaily[WardCode],"MW")=0,"",SUMIFS(tblDaily[Deaths],tblDaily[EntryDate],DATE(2026,4,8),tblDaily[WardCode],"MW")),"")</f>
        <v/>
      </c>
      <c r="E131" s="12">
        <f>IFERROR(IF(SUMIFS(tblDaily[DeathsUnder24Hrs],tblDaily[EntryDate],DATE(2026,4,8),tblDaily[WardCode],"MW")=0,"",SUMIFS(tblDaily[DeathsUnder24Hrs],tblDaily[EntryDate],DATE(2026,4,8),tblDaily[WardCode],"MW")),"")</f>
        <v/>
      </c>
      <c r="F131" s="12">
        <f>IFERROR(IF(SUMIFS(tblDaily[TransfersIn],tblDaily[EntryDate],DATE(2026,4,8),tblDaily[WardCode],"MW")=0,"",SUMIFS(tblDaily[TransfersIn],tblDaily[EntryDate],DATE(2026,4,8),tblDaily[WardCode],"MW")),"")</f>
        <v/>
      </c>
      <c r="G131" s="12">
        <f>IFERROR(IF(SUMIFS(tblDaily[TransfersOut],tblDaily[EntryDate],DATE(2026,4,8),tblDaily[WardCode],"MW")=0,"",SUMIFS(tblDaily[TransfersOut],tblDaily[EntryDate],DATE(2026,4,8),tblDaily[WardCode],"MW")),"")</f>
        <v/>
      </c>
      <c r="H131" s="12">
        <f>IFERROR(IF(SUMIFS(tblDaily[Remaining],tblDaily[EntryDate],DATE(2026,4,8),tblDaily[WardCode],"MW")=0,"",SUMIFS(tblDaily[Remaining],tblDaily[EntryDate],DATE(2026,4,8),tblDaily[WardCode],"MW")),"")</f>
        <v/>
      </c>
    </row>
    <row r="132">
      <c r="A132" s="12" t="n">
        <v>9</v>
      </c>
      <c r="B132" s="12">
        <f>IFERROR(IF(SUMIFS(tblDaily[Admissions],tblDaily[EntryDate],DATE(2026,4,9),tblDaily[WardCode],"MW")=0,"",SUMIFS(tblDaily[Admissions],tblDaily[EntryDate],DATE(2026,4,9),tblDaily[WardCode],"MW")),"")</f>
        <v/>
      </c>
      <c r="C132" s="12">
        <f>IFERROR(IF(SUMIFS(tblDaily[Discharges],tblDaily[EntryDate],DATE(2026,4,9),tblDaily[WardCode],"MW")=0,"",SUMIFS(tblDaily[Discharges],tblDaily[EntryDate],DATE(2026,4,9),tblDaily[WardCode],"MW")),"")</f>
        <v/>
      </c>
      <c r="D132" s="12">
        <f>IFERROR(IF(SUMIFS(tblDaily[Deaths],tblDaily[EntryDate],DATE(2026,4,9),tblDaily[WardCode],"MW")=0,"",SUMIFS(tblDaily[Deaths],tblDaily[EntryDate],DATE(2026,4,9),tblDaily[WardCode],"MW")),"")</f>
        <v/>
      </c>
      <c r="E132" s="12">
        <f>IFERROR(IF(SUMIFS(tblDaily[DeathsUnder24Hrs],tblDaily[EntryDate],DATE(2026,4,9),tblDaily[WardCode],"MW")=0,"",SUMIFS(tblDaily[DeathsUnder24Hrs],tblDaily[EntryDate],DATE(2026,4,9),tblDaily[WardCode],"MW")),"")</f>
        <v/>
      </c>
      <c r="F132" s="12">
        <f>IFERROR(IF(SUMIFS(tblDaily[TransfersIn],tblDaily[EntryDate],DATE(2026,4,9),tblDaily[WardCode],"MW")=0,"",SUMIFS(tblDaily[TransfersIn],tblDaily[EntryDate],DATE(2026,4,9),tblDaily[WardCode],"MW")),"")</f>
        <v/>
      </c>
      <c r="G132" s="12">
        <f>IFERROR(IF(SUMIFS(tblDaily[TransfersOut],tblDaily[EntryDate],DATE(2026,4,9),tblDaily[WardCode],"MW")=0,"",SUMIFS(tblDaily[TransfersOut],tblDaily[EntryDate],DATE(2026,4,9),tblDaily[WardCode],"MW")),"")</f>
        <v/>
      </c>
      <c r="H132" s="12">
        <f>IFERROR(IF(SUMIFS(tblDaily[Remaining],tblDaily[EntryDate],DATE(2026,4,9),tblDaily[WardCode],"MW")=0,"",SUMIFS(tblDaily[Remaining],tblDaily[EntryDate],DATE(2026,4,9),tblDaily[WardCode],"MW")),"")</f>
        <v/>
      </c>
    </row>
    <row r="133">
      <c r="A133" s="12" t="n">
        <v>10</v>
      </c>
      <c r="B133" s="12">
        <f>IFERROR(IF(SUMIFS(tblDaily[Admissions],tblDaily[EntryDate],DATE(2026,4,10),tblDaily[WardCode],"MW")=0,"",SUMIFS(tblDaily[Admissions],tblDaily[EntryDate],DATE(2026,4,10),tblDaily[WardCode],"MW")),"")</f>
        <v/>
      </c>
      <c r="C133" s="12">
        <f>IFERROR(IF(SUMIFS(tblDaily[Discharges],tblDaily[EntryDate],DATE(2026,4,10),tblDaily[WardCode],"MW")=0,"",SUMIFS(tblDaily[Discharges],tblDaily[EntryDate],DATE(2026,4,10),tblDaily[WardCode],"MW")),"")</f>
        <v/>
      </c>
      <c r="D133" s="12">
        <f>IFERROR(IF(SUMIFS(tblDaily[Deaths],tblDaily[EntryDate],DATE(2026,4,10),tblDaily[WardCode],"MW")=0,"",SUMIFS(tblDaily[Deaths],tblDaily[EntryDate],DATE(2026,4,10),tblDaily[WardCode],"MW")),"")</f>
        <v/>
      </c>
      <c r="E133" s="12">
        <f>IFERROR(IF(SUMIFS(tblDaily[DeathsUnder24Hrs],tblDaily[EntryDate],DATE(2026,4,10),tblDaily[WardCode],"MW")=0,"",SUMIFS(tblDaily[DeathsUnder24Hrs],tblDaily[EntryDate],DATE(2026,4,10),tblDaily[WardCode],"MW")),"")</f>
        <v/>
      </c>
      <c r="F133" s="12">
        <f>IFERROR(IF(SUMIFS(tblDaily[TransfersIn],tblDaily[EntryDate],DATE(2026,4,10),tblDaily[WardCode],"MW")=0,"",SUMIFS(tblDaily[TransfersIn],tblDaily[EntryDate],DATE(2026,4,10),tblDaily[WardCode],"MW")),"")</f>
        <v/>
      </c>
      <c r="G133" s="12">
        <f>IFERROR(IF(SUMIFS(tblDaily[TransfersOut],tblDaily[EntryDate],DATE(2026,4,10),tblDaily[WardCode],"MW")=0,"",SUMIFS(tblDaily[TransfersOut],tblDaily[EntryDate],DATE(2026,4,10),tblDaily[WardCode],"MW")),"")</f>
        <v/>
      </c>
      <c r="H133" s="12">
        <f>IFERROR(IF(SUMIFS(tblDaily[Remaining],tblDaily[EntryDate],DATE(2026,4,10),tblDaily[WardCode],"MW")=0,"",SUMIFS(tblDaily[Remaining],tblDaily[EntryDate],DATE(2026,4,10),tblDaily[WardCode],"MW")),"")</f>
        <v/>
      </c>
    </row>
    <row r="134">
      <c r="A134" s="12" t="n">
        <v>11</v>
      </c>
      <c r="B134" s="12">
        <f>IFERROR(IF(SUMIFS(tblDaily[Admissions],tblDaily[EntryDate],DATE(2026,4,11),tblDaily[WardCode],"MW")=0,"",SUMIFS(tblDaily[Admissions],tblDaily[EntryDate],DATE(2026,4,11),tblDaily[WardCode],"MW")),"")</f>
        <v/>
      </c>
      <c r="C134" s="12">
        <f>IFERROR(IF(SUMIFS(tblDaily[Discharges],tblDaily[EntryDate],DATE(2026,4,11),tblDaily[WardCode],"MW")=0,"",SUMIFS(tblDaily[Discharges],tblDaily[EntryDate],DATE(2026,4,11),tblDaily[WardCode],"MW")),"")</f>
        <v/>
      </c>
      <c r="D134" s="12">
        <f>IFERROR(IF(SUMIFS(tblDaily[Deaths],tblDaily[EntryDate],DATE(2026,4,11),tblDaily[WardCode],"MW")=0,"",SUMIFS(tblDaily[Deaths],tblDaily[EntryDate],DATE(2026,4,11),tblDaily[WardCode],"MW")),"")</f>
        <v/>
      </c>
      <c r="E134" s="12">
        <f>IFERROR(IF(SUMIFS(tblDaily[DeathsUnder24Hrs],tblDaily[EntryDate],DATE(2026,4,11),tblDaily[WardCode],"MW")=0,"",SUMIFS(tblDaily[DeathsUnder24Hrs],tblDaily[EntryDate],DATE(2026,4,11),tblDaily[WardCode],"MW")),"")</f>
        <v/>
      </c>
      <c r="F134" s="12">
        <f>IFERROR(IF(SUMIFS(tblDaily[TransfersIn],tblDaily[EntryDate],DATE(2026,4,11),tblDaily[WardCode],"MW")=0,"",SUMIFS(tblDaily[TransfersIn],tblDaily[EntryDate],DATE(2026,4,11),tblDaily[WardCode],"MW")),"")</f>
        <v/>
      </c>
      <c r="G134" s="12">
        <f>IFERROR(IF(SUMIFS(tblDaily[TransfersOut],tblDaily[EntryDate],DATE(2026,4,11),tblDaily[WardCode],"MW")=0,"",SUMIFS(tblDaily[TransfersOut],tblDaily[EntryDate],DATE(2026,4,11),tblDaily[WardCode],"MW")),"")</f>
        <v/>
      </c>
      <c r="H134" s="12">
        <f>IFERROR(IF(SUMIFS(tblDaily[Remaining],tblDaily[EntryDate],DATE(2026,4,11),tblDaily[WardCode],"MW")=0,"",SUMIFS(tblDaily[Remaining],tblDaily[EntryDate],DATE(2026,4,11),tblDaily[WardCode],"MW")),"")</f>
        <v/>
      </c>
    </row>
    <row r="135">
      <c r="A135" s="12" t="n">
        <v>12</v>
      </c>
      <c r="B135" s="12">
        <f>IFERROR(IF(SUMIFS(tblDaily[Admissions],tblDaily[EntryDate],DATE(2026,4,12),tblDaily[WardCode],"MW")=0,"",SUMIFS(tblDaily[Admissions],tblDaily[EntryDate],DATE(2026,4,12),tblDaily[WardCode],"MW")),"")</f>
        <v/>
      </c>
      <c r="C135" s="12">
        <f>IFERROR(IF(SUMIFS(tblDaily[Discharges],tblDaily[EntryDate],DATE(2026,4,12),tblDaily[WardCode],"MW")=0,"",SUMIFS(tblDaily[Discharges],tblDaily[EntryDate],DATE(2026,4,12),tblDaily[WardCode],"MW")),"")</f>
        <v/>
      </c>
      <c r="D135" s="12">
        <f>IFERROR(IF(SUMIFS(tblDaily[Deaths],tblDaily[EntryDate],DATE(2026,4,12),tblDaily[WardCode],"MW")=0,"",SUMIFS(tblDaily[Deaths],tblDaily[EntryDate],DATE(2026,4,12),tblDaily[WardCode],"MW")),"")</f>
        <v/>
      </c>
      <c r="E135" s="12">
        <f>IFERROR(IF(SUMIFS(tblDaily[DeathsUnder24Hrs],tblDaily[EntryDate],DATE(2026,4,12),tblDaily[WardCode],"MW")=0,"",SUMIFS(tblDaily[DeathsUnder24Hrs],tblDaily[EntryDate],DATE(2026,4,12),tblDaily[WardCode],"MW")),"")</f>
        <v/>
      </c>
      <c r="F135" s="12">
        <f>IFERROR(IF(SUMIFS(tblDaily[TransfersIn],tblDaily[EntryDate],DATE(2026,4,12),tblDaily[WardCode],"MW")=0,"",SUMIFS(tblDaily[TransfersIn],tblDaily[EntryDate],DATE(2026,4,12),tblDaily[WardCode],"MW")),"")</f>
        <v/>
      </c>
      <c r="G135" s="12">
        <f>IFERROR(IF(SUMIFS(tblDaily[TransfersOut],tblDaily[EntryDate],DATE(2026,4,12),tblDaily[WardCode],"MW")=0,"",SUMIFS(tblDaily[TransfersOut],tblDaily[EntryDate],DATE(2026,4,12),tblDaily[WardCode],"MW")),"")</f>
        <v/>
      </c>
      <c r="H135" s="12">
        <f>IFERROR(IF(SUMIFS(tblDaily[Remaining],tblDaily[EntryDate],DATE(2026,4,12),tblDaily[WardCode],"MW")=0,"",SUMIFS(tblDaily[Remaining],tblDaily[EntryDate],DATE(2026,4,12),tblDaily[WardCode],"MW")),"")</f>
        <v/>
      </c>
    </row>
    <row r="136">
      <c r="A136" s="12" t="n">
        <v>13</v>
      </c>
      <c r="B136" s="12">
        <f>IFERROR(IF(SUMIFS(tblDaily[Admissions],tblDaily[EntryDate],DATE(2026,4,13),tblDaily[WardCode],"MW")=0,"",SUMIFS(tblDaily[Admissions],tblDaily[EntryDate],DATE(2026,4,13),tblDaily[WardCode],"MW")),"")</f>
        <v/>
      </c>
      <c r="C136" s="12">
        <f>IFERROR(IF(SUMIFS(tblDaily[Discharges],tblDaily[EntryDate],DATE(2026,4,13),tblDaily[WardCode],"MW")=0,"",SUMIFS(tblDaily[Discharges],tblDaily[EntryDate],DATE(2026,4,13),tblDaily[WardCode],"MW")),"")</f>
        <v/>
      </c>
      <c r="D136" s="12">
        <f>IFERROR(IF(SUMIFS(tblDaily[Deaths],tblDaily[EntryDate],DATE(2026,4,13),tblDaily[WardCode],"MW")=0,"",SUMIFS(tblDaily[Deaths],tblDaily[EntryDate],DATE(2026,4,13),tblDaily[WardCode],"MW")),"")</f>
        <v/>
      </c>
      <c r="E136" s="12">
        <f>IFERROR(IF(SUMIFS(tblDaily[DeathsUnder24Hrs],tblDaily[EntryDate],DATE(2026,4,13),tblDaily[WardCode],"MW")=0,"",SUMIFS(tblDaily[DeathsUnder24Hrs],tblDaily[EntryDate],DATE(2026,4,13),tblDaily[WardCode],"MW")),"")</f>
        <v/>
      </c>
      <c r="F136" s="12">
        <f>IFERROR(IF(SUMIFS(tblDaily[TransfersIn],tblDaily[EntryDate],DATE(2026,4,13),tblDaily[WardCode],"MW")=0,"",SUMIFS(tblDaily[TransfersIn],tblDaily[EntryDate],DATE(2026,4,13),tblDaily[WardCode],"MW")),"")</f>
        <v/>
      </c>
      <c r="G136" s="12">
        <f>IFERROR(IF(SUMIFS(tblDaily[TransfersOut],tblDaily[EntryDate],DATE(2026,4,13),tblDaily[WardCode],"MW")=0,"",SUMIFS(tblDaily[TransfersOut],tblDaily[EntryDate],DATE(2026,4,13),tblDaily[WardCode],"MW")),"")</f>
        <v/>
      </c>
      <c r="H136" s="12">
        <f>IFERROR(IF(SUMIFS(tblDaily[Remaining],tblDaily[EntryDate],DATE(2026,4,13),tblDaily[WardCode],"MW")=0,"",SUMIFS(tblDaily[Remaining],tblDaily[EntryDate],DATE(2026,4,13),tblDaily[WardCode],"MW")),"")</f>
        <v/>
      </c>
    </row>
    <row r="137">
      <c r="A137" s="12" t="n">
        <v>14</v>
      </c>
      <c r="B137" s="12">
        <f>IFERROR(IF(SUMIFS(tblDaily[Admissions],tblDaily[EntryDate],DATE(2026,4,14),tblDaily[WardCode],"MW")=0,"",SUMIFS(tblDaily[Admissions],tblDaily[EntryDate],DATE(2026,4,14),tblDaily[WardCode],"MW")),"")</f>
        <v/>
      </c>
      <c r="C137" s="12">
        <f>IFERROR(IF(SUMIFS(tblDaily[Discharges],tblDaily[EntryDate],DATE(2026,4,14),tblDaily[WardCode],"MW")=0,"",SUMIFS(tblDaily[Discharges],tblDaily[EntryDate],DATE(2026,4,14),tblDaily[WardCode],"MW")),"")</f>
        <v/>
      </c>
      <c r="D137" s="12">
        <f>IFERROR(IF(SUMIFS(tblDaily[Deaths],tblDaily[EntryDate],DATE(2026,4,14),tblDaily[WardCode],"MW")=0,"",SUMIFS(tblDaily[Deaths],tblDaily[EntryDate],DATE(2026,4,14),tblDaily[WardCode],"MW")),"")</f>
        <v/>
      </c>
      <c r="E137" s="12">
        <f>IFERROR(IF(SUMIFS(tblDaily[DeathsUnder24Hrs],tblDaily[EntryDate],DATE(2026,4,14),tblDaily[WardCode],"MW")=0,"",SUMIFS(tblDaily[DeathsUnder24Hrs],tblDaily[EntryDate],DATE(2026,4,14),tblDaily[WardCode],"MW")),"")</f>
        <v/>
      </c>
      <c r="F137" s="12">
        <f>IFERROR(IF(SUMIFS(tblDaily[TransfersIn],tblDaily[EntryDate],DATE(2026,4,14),tblDaily[WardCode],"MW")=0,"",SUMIFS(tblDaily[TransfersIn],tblDaily[EntryDate],DATE(2026,4,14),tblDaily[WardCode],"MW")),"")</f>
        <v/>
      </c>
      <c r="G137" s="12">
        <f>IFERROR(IF(SUMIFS(tblDaily[TransfersOut],tblDaily[EntryDate],DATE(2026,4,14),tblDaily[WardCode],"MW")=0,"",SUMIFS(tblDaily[TransfersOut],tblDaily[EntryDate],DATE(2026,4,14),tblDaily[WardCode],"MW")),"")</f>
        <v/>
      </c>
      <c r="H137" s="12">
        <f>IFERROR(IF(SUMIFS(tblDaily[Remaining],tblDaily[EntryDate],DATE(2026,4,14),tblDaily[WardCode],"MW")=0,"",SUMIFS(tblDaily[Remaining],tblDaily[EntryDate],DATE(2026,4,14),tblDaily[WardCode],"MW")),"")</f>
        <v/>
      </c>
    </row>
    <row r="138">
      <c r="A138" s="12" t="n">
        <v>15</v>
      </c>
      <c r="B138" s="12">
        <f>IFERROR(IF(SUMIFS(tblDaily[Admissions],tblDaily[EntryDate],DATE(2026,4,15),tblDaily[WardCode],"MW")=0,"",SUMIFS(tblDaily[Admissions],tblDaily[EntryDate],DATE(2026,4,15),tblDaily[WardCode],"MW")),"")</f>
        <v/>
      </c>
      <c r="C138" s="12">
        <f>IFERROR(IF(SUMIFS(tblDaily[Discharges],tblDaily[EntryDate],DATE(2026,4,15),tblDaily[WardCode],"MW")=0,"",SUMIFS(tblDaily[Discharges],tblDaily[EntryDate],DATE(2026,4,15),tblDaily[WardCode],"MW")),"")</f>
        <v/>
      </c>
      <c r="D138" s="12">
        <f>IFERROR(IF(SUMIFS(tblDaily[Deaths],tblDaily[EntryDate],DATE(2026,4,15),tblDaily[WardCode],"MW")=0,"",SUMIFS(tblDaily[Deaths],tblDaily[EntryDate],DATE(2026,4,15),tblDaily[WardCode],"MW")),"")</f>
        <v/>
      </c>
      <c r="E138" s="12">
        <f>IFERROR(IF(SUMIFS(tblDaily[DeathsUnder24Hrs],tblDaily[EntryDate],DATE(2026,4,15),tblDaily[WardCode],"MW")=0,"",SUMIFS(tblDaily[DeathsUnder24Hrs],tblDaily[EntryDate],DATE(2026,4,15),tblDaily[WardCode],"MW")),"")</f>
        <v/>
      </c>
      <c r="F138" s="12">
        <f>IFERROR(IF(SUMIFS(tblDaily[TransfersIn],tblDaily[EntryDate],DATE(2026,4,15),tblDaily[WardCode],"MW")=0,"",SUMIFS(tblDaily[TransfersIn],tblDaily[EntryDate],DATE(2026,4,15),tblDaily[WardCode],"MW")),"")</f>
        <v/>
      </c>
      <c r="G138" s="12">
        <f>IFERROR(IF(SUMIFS(tblDaily[TransfersOut],tblDaily[EntryDate],DATE(2026,4,15),tblDaily[WardCode],"MW")=0,"",SUMIFS(tblDaily[TransfersOut],tblDaily[EntryDate],DATE(2026,4,15),tblDaily[WardCode],"MW")),"")</f>
        <v/>
      </c>
      <c r="H138" s="12">
        <f>IFERROR(IF(SUMIFS(tblDaily[Remaining],tblDaily[EntryDate],DATE(2026,4,15),tblDaily[WardCode],"MW")=0,"",SUMIFS(tblDaily[Remaining],tblDaily[EntryDate],DATE(2026,4,15),tblDaily[WardCode],"MW")),"")</f>
        <v/>
      </c>
    </row>
    <row r="139">
      <c r="A139" s="12" t="n">
        <v>16</v>
      </c>
      <c r="B139" s="12">
        <f>IFERROR(IF(SUMIFS(tblDaily[Admissions],tblDaily[EntryDate],DATE(2026,4,16),tblDaily[WardCode],"MW")=0,"",SUMIFS(tblDaily[Admissions],tblDaily[EntryDate],DATE(2026,4,16),tblDaily[WardCode],"MW")),"")</f>
        <v/>
      </c>
      <c r="C139" s="12">
        <f>IFERROR(IF(SUMIFS(tblDaily[Discharges],tblDaily[EntryDate],DATE(2026,4,16),tblDaily[WardCode],"MW")=0,"",SUMIFS(tblDaily[Discharges],tblDaily[EntryDate],DATE(2026,4,16),tblDaily[WardCode],"MW")),"")</f>
        <v/>
      </c>
      <c r="D139" s="12">
        <f>IFERROR(IF(SUMIFS(tblDaily[Deaths],tblDaily[EntryDate],DATE(2026,4,16),tblDaily[WardCode],"MW")=0,"",SUMIFS(tblDaily[Deaths],tblDaily[EntryDate],DATE(2026,4,16),tblDaily[WardCode],"MW")),"")</f>
        <v/>
      </c>
      <c r="E139" s="12">
        <f>IFERROR(IF(SUMIFS(tblDaily[DeathsUnder24Hrs],tblDaily[EntryDate],DATE(2026,4,16),tblDaily[WardCode],"MW")=0,"",SUMIFS(tblDaily[DeathsUnder24Hrs],tblDaily[EntryDate],DATE(2026,4,16),tblDaily[WardCode],"MW")),"")</f>
        <v/>
      </c>
      <c r="F139" s="12">
        <f>IFERROR(IF(SUMIFS(tblDaily[TransfersIn],tblDaily[EntryDate],DATE(2026,4,16),tblDaily[WardCode],"MW")=0,"",SUMIFS(tblDaily[TransfersIn],tblDaily[EntryDate],DATE(2026,4,16),tblDaily[WardCode],"MW")),"")</f>
        <v/>
      </c>
      <c r="G139" s="12">
        <f>IFERROR(IF(SUMIFS(tblDaily[TransfersOut],tblDaily[EntryDate],DATE(2026,4,16),tblDaily[WardCode],"MW")=0,"",SUMIFS(tblDaily[TransfersOut],tblDaily[EntryDate],DATE(2026,4,16),tblDaily[WardCode],"MW")),"")</f>
        <v/>
      </c>
      <c r="H139" s="12">
        <f>IFERROR(IF(SUMIFS(tblDaily[Remaining],tblDaily[EntryDate],DATE(2026,4,16),tblDaily[WardCode],"MW")=0,"",SUMIFS(tblDaily[Remaining],tblDaily[EntryDate],DATE(2026,4,16),tblDaily[WardCode],"MW")),"")</f>
        <v/>
      </c>
    </row>
    <row r="140">
      <c r="A140" s="12" t="n">
        <v>17</v>
      </c>
      <c r="B140" s="12">
        <f>IFERROR(IF(SUMIFS(tblDaily[Admissions],tblDaily[EntryDate],DATE(2026,4,17),tblDaily[WardCode],"MW")=0,"",SUMIFS(tblDaily[Admissions],tblDaily[EntryDate],DATE(2026,4,17),tblDaily[WardCode],"MW")),"")</f>
        <v/>
      </c>
      <c r="C140" s="12">
        <f>IFERROR(IF(SUMIFS(tblDaily[Discharges],tblDaily[EntryDate],DATE(2026,4,17),tblDaily[WardCode],"MW")=0,"",SUMIFS(tblDaily[Discharges],tblDaily[EntryDate],DATE(2026,4,17),tblDaily[WardCode],"MW")),"")</f>
        <v/>
      </c>
      <c r="D140" s="12">
        <f>IFERROR(IF(SUMIFS(tblDaily[Deaths],tblDaily[EntryDate],DATE(2026,4,17),tblDaily[WardCode],"MW")=0,"",SUMIFS(tblDaily[Deaths],tblDaily[EntryDate],DATE(2026,4,17),tblDaily[WardCode],"MW")),"")</f>
        <v/>
      </c>
      <c r="E140" s="12">
        <f>IFERROR(IF(SUMIFS(tblDaily[DeathsUnder24Hrs],tblDaily[EntryDate],DATE(2026,4,17),tblDaily[WardCode],"MW")=0,"",SUMIFS(tblDaily[DeathsUnder24Hrs],tblDaily[EntryDate],DATE(2026,4,17),tblDaily[WardCode],"MW")),"")</f>
        <v/>
      </c>
      <c r="F140" s="12">
        <f>IFERROR(IF(SUMIFS(tblDaily[TransfersIn],tblDaily[EntryDate],DATE(2026,4,17),tblDaily[WardCode],"MW")=0,"",SUMIFS(tblDaily[TransfersIn],tblDaily[EntryDate],DATE(2026,4,17),tblDaily[WardCode],"MW")),"")</f>
        <v/>
      </c>
      <c r="G140" s="12">
        <f>IFERROR(IF(SUMIFS(tblDaily[TransfersOut],tblDaily[EntryDate],DATE(2026,4,17),tblDaily[WardCode],"MW")=0,"",SUMIFS(tblDaily[TransfersOut],tblDaily[EntryDate],DATE(2026,4,17),tblDaily[WardCode],"MW")),"")</f>
        <v/>
      </c>
      <c r="H140" s="12">
        <f>IFERROR(IF(SUMIFS(tblDaily[Remaining],tblDaily[EntryDate],DATE(2026,4,17),tblDaily[WardCode],"MW")=0,"",SUMIFS(tblDaily[Remaining],tblDaily[EntryDate],DATE(2026,4,17),tblDaily[WardCode],"MW")),"")</f>
        <v/>
      </c>
    </row>
    <row r="141">
      <c r="A141" s="12" t="n">
        <v>18</v>
      </c>
      <c r="B141" s="12">
        <f>IFERROR(IF(SUMIFS(tblDaily[Admissions],tblDaily[EntryDate],DATE(2026,4,18),tblDaily[WardCode],"MW")=0,"",SUMIFS(tblDaily[Admissions],tblDaily[EntryDate],DATE(2026,4,18),tblDaily[WardCode],"MW")),"")</f>
        <v/>
      </c>
      <c r="C141" s="12">
        <f>IFERROR(IF(SUMIFS(tblDaily[Discharges],tblDaily[EntryDate],DATE(2026,4,18),tblDaily[WardCode],"MW")=0,"",SUMIFS(tblDaily[Discharges],tblDaily[EntryDate],DATE(2026,4,18),tblDaily[WardCode],"MW")),"")</f>
        <v/>
      </c>
      <c r="D141" s="12">
        <f>IFERROR(IF(SUMIFS(tblDaily[Deaths],tblDaily[EntryDate],DATE(2026,4,18),tblDaily[WardCode],"MW")=0,"",SUMIFS(tblDaily[Deaths],tblDaily[EntryDate],DATE(2026,4,18),tblDaily[WardCode],"MW")),"")</f>
        <v/>
      </c>
      <c r="E141" s="12">
        <f>IFERROR(IF(SUMIFS(tblDaily[DeathsUnder24Hrs],tblDaily[EntryDate],DATE(2026,4,18),tblDaily[WardCode],"MW")=0,"",SUMIFS(tblDaily[DeathsUnder24Hrs],tblDaily[EntryDate],DATE(2026,4,18),tblDaily[WardCode],"MW")),"")</f>
        <v/>
      </c>
      <c r="F141" s="12">
        <f>IFERROR(IF(SUMIFS(tblDaily[TransfersIn],tblDaily[EntryDate],DATE(2026,4,18),tblDaily[WardCode],"MW")=0,"",SUMIFS(tblDaily[TransfersIn],tblDaily[EntryDate],DATE(2026,4,18),tblDaily[WardCode],"MW")),"")</f>
        <v/>
      </c>
      <c r="G141" s="12">
        <f>IFERROR(IF(SUMIFS(tblDaily[TransfersOut],tblDaily[EntryDate],DATE(2026,4,18),tblDaily[WardCode],"MW")=0,"",SUMIFS(tblDaily[TransfersOut],tblDaily[EntryDate],DATE(2026,4,18),tblDaily[WardCode],"MW")),"")</f>
        <v/>
      </c>
      <c r="H141" s="12">
        <f>IFERROR(IF(SUMIFS(tblDaily[Remaining],tblDaily[EntryDate],DATE(2026,4,18),tblDaily[WardCode],"MW")=0,"",SUMIFS(tblDaily[Remaining],tblDaily[EntryDate],DATE(2026,4,18),tblDaily[WardCode],"MW")),"")</f>
        <v/>
      </c>
    </row>
    <row r="142">
      <c r="A142" s="12" t="n">
        <v>19</v>
      </c>
      <c r="B142" s="12">
        <f>IFERROR(IF(SUMIFS(tblDaily[Admissions],tblDaily[EntryDate],DATE(2026,4,19),tblDaily[WardCode],"MW")=0,"",SUMIFS(tblDaily[Admissions],tblDaily[EntryDate],DATE(2026,4,19),tblDaily[WardCode],"MW")),"")</f>
        <v/>
      </c>
      <c r="C142" s="12">
        <f>IFERROR(IF(SUMIFS(tblDaily[Discharges],tblDaily[EntryDate],DATE(2026,4,19),tblDaily[WardCode],"MW")=0,"",SUMIFS(tblDaily[Discharges],tblDaily[EntryDate],DATE(2026,4,19),tblDaily[WardCode],"MW")),"")</f>
        <v/>
      </c>
      <c r="D142" s="12">
        <f>IFERROR(IF(SUMIFS(tblDaily[Deaths],tblDaily[EntryDate],DATE(2026,4,19),tblDaily[WardCode],"MW")=0,"",SUMIFS(tblDaily[Deaths],tblDaily[EntryDate],DATE(2026,4,19),tblDaily[WardCode],"MW")),"")</f>
        <v/>
      </c>
      <c r="E142" s="12">
        <f>IFERROR(IF(SUMIFS(tblDaily[DeathsUnder24Hrs],tblDaily[EntryDate],DATE(2026,4,19),tblDaily[WardCode],"MW")=0,"",SUMIFS(tblDaily[DeathsUnder24Hrs],tblDaily[EntryDate],DATE(2026,4,19),tblDaily[WardCode],"MW")),"")</f>
        <v/>
      </c>
      <c r="F142" s="12">
        <f>IFERROR(IF(SUMIFS(tblDaily[TransfersIn],tblDaily[EntryDate],DATE(2026,4,19),tblDaily[WardCode],"MW")=0,"",SUMIFS(tblDaily[TransfersIn],tblDaily[EntryDate],DATE(2026,4,19),tblDaily[WardCode],"MW")),"")</f>
        <v/>
      </c>
      <c r="G142" s="12">
        <f>IFERROR(IF(SUMIFS(tblDaily[TransfersOut],tblDaily[EntryDate],DATE(2026,4,19),tblDaily[WardCode],"MW")=0,"",SUMIFS(tblDaily[TransfersOut],tblDaily[EntryDate],DATE(2026,4,19),tblDaily[WardCode],"MW")),"")</f>
        <v/>
      </c>
      <c r="H142" s="12">
        <f>IFERROR(IF(SUMIFS(tblDaily[Remaining],tblDaily[EntryDate],DATE(2026,4,19),tblDaily[WardCode],"MW")=0,"",SUMIFS(tblDaily[Remaining],tblDaily[EntryDate],DATE(2026,4,19),tblDaily[WardCode],"MW")),"")</f>
        <v/>
      </c>
    </row>
    <row r="143">
      <c r="A143" s="12" t="n">
        <v>20</v>
      </c>
      <c r="B143" s="12">
        <f>IFERROR(IF(SUMIFS(tblDaily[Admissions],tblDaily[EntryDate],DATE(2026,4,20),tblDaily[WardCode],"MW")=0,"",SUMIFS(tblDaily[Admissions],tblDaily[EntryDate],DATE(2026,4,20),tblDaily[WardCode],"MW")),"")</f>
        <v/>
      </c>
      <c r="C143" s="12">
        <f>IFERROR(IF(SUMIFS(tblDaily[Discharges],tblDaily[EntryDate],DATE(2026,4,20),tblDaily[WardCode],"MW")=0,"",SUMIFS(tblDaily[Discharges],tblDaily[EntryDate],DATE(2026,4,20),tblDaily[WardCode],"MW")),"")</f>
        <v/>
      </c>
      <c r="D143" s="12">
        <f>IFERROR(IF(SUMIFS(tblDaily[Deaths],tblDaily[EntryDate],DATE(2026,4,20),tblDaily[WardCode],"MW")=0,"",SUMIFS(tblDaily[Deaths],tblDaily[EntryDate],DATE(2026,4,20),tblDaily[WardCode],"MW")),"")</f>
        <v/>
      </c>
      <c r="E143" s="12">
        <f>IFERROR(IF(SUMIFS(tblDaily[DeathsUnder24Hrs],tblDaily[EntryDate],DATE(2026,4,20),tblDaily[WardCode],"MW")=0,"",SUMIFS(tblDaily[DeathsUnder24Hrs],tblDaily[EntryDate],DATE(2026,4,20),tblDaily[WardCode],"MW")),"")</f>
        <v/>
      </c>
      <c r="F143" s="12">
        <f>IFERROR(IF(SUMIFS(tblDaily[TransfersIn],tblDaily[EntryDate],DATE(2026,4,20),tblDaily[WardCode],"MW")=0,"",SUMIFS(tblDaily[TransfersIn],tblDaily[EntryDate],DATE(2026,4,20),tblDaily[WardCode],"MW")),"")</f>
        <v/>
      </c>
      <c r="G143" s="12">
        <f>IFERROR(IF(SUMIFS(tblDaily[TransfersOut],tblDaily[EntryDate],DATE(2026,4,20),tblDaily[WardCode],"MW")=0,"",SUMIFS(tblDaily[TransfersOut],tblDaily[EntryDate],DATE(2026,4,20),tblDaily[WardCode],"MW")),"")</f>
        <v/>
      </c>
      <c r="H143" s="12">
        <f>IFERROR(IF(SUMIFS(tblDaily[Remaining],tblDaily[EntryDate],DATE(2026,4,20),tblDaily[WardCode],"MW")=0,"",SUMIFS(tblDaily[Remaining],tblDaily[EntryDate],DATE(2026,4,20),tblDaily[WardCode],"MW")),"")</f>
        <v/>
      </c>
    </row>
    <row r="144">
      <c r="A144" s="12" t="n">
        <v>21</v>
      </c>
      <c r="B144" s="12">
        <f>IFERROR(IF(SUMIFS(tblDaily[Admissions],tblDaily[EntryDate],DATE(2026,4,21),tblDaily[WardCode],"MW")=0,"",SUMIFS(tblDaily[Admissions],tblDaily[EntryDate],DATE(2026,4,21),tblDaily[WardCode],"MW")),"")</f>
        <v/>
      </c>
      <c r="C144" s="12">
        <f>IFERROR(IF(SUMIFS(tblDaily[Discharges],tblDaily[EntryDate],DATE(2026,4,21),tblDaily[WardCode],"MW")=0,"",SUMIFS(tblDaily[Discharges],tblDaily[EntryDate],DATE(2026,4,21),tblDaily[WardCode],"MW")),"")</f>
        <v/>
      </c>
      <c r="D144" s="12">
        <f>IFERROR(IF(SUMIFS(tblDaily[Deaths],tblDaily[EntryDate],DATE(2026,4,21),tblDaily[WardCode],"MW")=0,"",SUMIFS(tblDaily[Deaths],tblDaily[EntryDate],DATE(2026,4,21),tblDaily[WardCode],"MW")),"")</f>
        <v/>
      </c>
      <c r="E144" s="12">
        <f>IFERROR(IF(SUMIFS(tblDaily[DeathsUnder24Hrs],tblDaily[EntryDate],DATE(2026,4,21),tblDaily[WardCode],"MW")=0,"",SUMIFS(tblDaily[DeathsUnder24Hrs],tblDaily[EntryDate],DATE(2026,4,21),tblDaily[WardCode],"MW")),"")</f>
        <v/>
      </c>
      <c r="F144" s="12">
        <f>IFERROR(IF(SUMIFS(tblDaily[TransfersIn],tblDaily[EntryDate],DATE(2026,4,21),tblDaily[WardCode],"MW")=0,"",SUMIFS(tblDaily[TransfersIn],tblDaily[EntryDate],DATE(2026,4,21),tblDaily[WardCode],"MW")),"")</f>
        <v/>
      </c>
      <c r="G144" s="12">
        <f>IFERROR(IF(SUMIFS(tblDaily[TransfersOut],tblDaily[EntryDate],DATE(2026,4,21),tblDaily[WardCode],"MW")=0,"",SUMIFS(tblDaily[TransfersOut],tblDaily[EntryDate],DATE(2026,4,21),tblDaily[WardCode],"MW")),"")</f>
        <v/>
      </c>
      <c r="H144" s="12">
        <f>IFERROR(IF(SUMIFS(tblDaily[Remaining],tblDaily[EntryDate],DATE(2026,4,21),tblDaily[WardCode],"MW")=0,"",SUMIFS(tblDaily[Remaining],tblDaily[EntryDate],DATE(2026,4,21),tblDaily[WardCode],"MW")),"")</f>
        <v/>
      </c>
    </row>
    <row r="145">
      <c r="A145" s="12" t="n">
        <v>22</v>
      </c>
      <c r="B145" s="12">
        <f>IFERROR(IF(SUMIFS(tblDaily[Admissions],tblDaily[EntryDate],DATE(2026,4,22),tblDaily[WardCode],"MW")=0,"",SUMIFS(tblDaily[Admissions],tblDaily[EntryDate],DATE(2026,4,22),tblDaily[WardCode],"MW")),"")</f>
        <v/>
      </c>
      <c r="C145" s="12">
        <f>IFERROR(IF(SUMIFS(tblDaily[Discharges],tblDaily[EntryDate],DATE(2026,4,22),tblDaily[WardCode],"MW")=0,"",SUMIFS(tblDaily[Discharges],tblDaily[EntryDate],DATE(2026,4,22),tblDaily[WardCode],"MW")),"")</f>
        <v/>
      </c>
      <c r="D145" s="12">
        <f>IFERROR(IF(SUMIFS(tblDaily[Deaths],tblDaily[EntryDate],DATE(2026,4,22),tblDaily[WardCode],"MW")=0,"",SUMIFS(tblDaily[Deaths],tblDaily[EntryDate],DATE(2026,4,22),tblDaily[WardCode],"MW")),"")</f>
        <v/>
      </c>
      <c r="E145" s="12">
        <f>IFERROR(IF(SUMIFS(tblDaily[DeathsUnder24Hrs],tblDaily[EntryDate],DATE(2026,4,22),tblDaily[WardCode],"MW")=0,"",SUMIFS(tblDaily[DeathsUnder24Hrs],tblDaily[EntryDate],DATE(2026,4,22),tblDaily[WardCode],"MW")),"")</f>
        <v/>
      </c>
      <c r="F145" s="12">
        <f>IFERROR(IF(SUMIFS(tblDaily[TransfersIn],tblDaily[EntryDate],DATE(2026,4,22),tblDaily[WardCode],"MW")=0,"",SUMIFS(tblDaily[TransfersIn],tblDaily[EntryDate],DATE(2026,4,22),tblDaily[WardCode],"MW")),"")</f>
        <v/>
      </c>
      <c r="G145" s="12">
        <f>IFERROR(IF(SUMIFS(tblDaily[TransfersOut],tblDaily[EntryDate],DATE(2026,4,22),tblDaily[WardCode],"MW")=0,"",SUMIFS(tblDaily[TransfersOut],tblDaily[EntryDate],DATE(2026,4,22),tblDaily[WardCode],"MW")),"")</f>
        <v/>
      </c>
      <c r="H145" s="12">
        <f>IFERROR(IF(SUMIFS(tblDaily[Remaining],tblDaily[EntryDate],DATE(2026,4,22),tblDaily[WardCode],"MW")=0,"",SUMIFS(tblDaily[Remaining],tblDaily[EntryDate],DATE(2026,4,22),tblDaily[WardCode],"MW")),"")</f>
        <v/>
      </c>
    </row>
    <row r="146">
      <c r="A146" s="12" t="n">
        <v>23</v>
      </c>
      <c r="B146" s="12">
        <f>IFERROR(IF(SUMIFS(tblDaily[Admissions],tblDaily[EntryDate],DATE(2026,4,23),tblDaily[WardCode],"MW")=0,"",SUMIFS(tblDaily[Admissions],tblDaily[EntryDate],DATE(2026,4,23),tblDaily[WardCode],"MW")),"")</f>
        <v/>
      </c>
      <c r="C146" s="12">
        <f>IFERROR(IF(SUMIFS(tblDaily[Discharges],tblDaily[EntryDate],DATE(2026,4,23),tblDaily[WardCode],"MW")=0,"",SUMIFS(tblDaily[Discharges],tblDaily[EntryDate],DATE(2026,4,23),tblDaily[WardCode],"MW")),"")</f>
        <v/>
      </c>
      <c r="D146" s="12">
        <f>IFERROR(IF(SUMIFS(tblDaily[Deaths],tblDaily[EntryDate],DATE(2026,4,23),tblDaily[WardCode],"MW")=0,"",SUMIFS(tblDaily[Deaths],tblDaily[EntryDate],DATE(2026,4,23),tblDaily[WardCode],"MW")),"")</f>
        <v/>
      </c>
      <c r="E146" s="12">
        <f>IFERROR(IF(SUMIFS(tblDaily[DeathsUnder24Hrs],tblDaily[EntryDate],DATE(2026,4,23),tblDaily[WardCode],"MW")=0,"",SUMIFS(tblDaily[DeathsUnder24Hrs],tblDaily[EntryDate],DATE(2026,4,23),tblDaily[WardCode],"MW")),"")</f>
        <v/>
      </c>
      <c r="F146" s="12">
        <f>IFERROR(IF(SUMIFS(tblDaily[TransfersIn],tblDaily[EntryDate],DATE(2026,4,23),tblDaily[WardCode],"MW")=0,"",SUMIFS(tblDaily[TransfersIn],tblDaily[EntryDate],DATE(2026,4,23),tblDaily[WardCode],"MW")),"")</f>
        <v/>
      </c>
      <c r="G146" s="12">
        <f>IFERROR(IF(SUMIFS(tblDaily[TransfersOut],tblDaily[EntryDate],DATE(2026,4,23),tblDaily[WardCode],"MW")=0,"",SUMIFS(tblDaily[TransfersOut],tblDaily[EntryDate],DATE(2026,4,23),tblDaily[WardCode],"MW")),"")</f>
        <v/>
      </c>
      <c r="H146" s="12">
        <f>IFERROR(IF(SUMIFS(tblDaily[Remaining],tblDaily[EntryDate],DATE(2026,4,23),tblDaily[WardCode],"MW")=0,"",SUMIFS(tblDaily[Remaining],tblDaily[EntryDate],DATE(2026,4,23),tblDaily[WardCode],"MW")),"")</f>
        <v/>
      </c>
    </row>
    <row r="147">
      <c r="A147" s="12" t="n">
        <v>24</v>
      </c>
      <c r="B147" s="12">
        <f>IFERROR(IF(SUMIFS(tblDaily[Admissions],tblDaily[EntryDate],DATE(2026,4,24),tblDaily[WardCode],"MW")=0,"",SUMIFS(tblDaily[Admissions],tblDaily[EntryDate],DATE(2026,4,24),tblDaily[WardCode],"MW")),"")</f>
        <v/>
      </c>
      <c r="C147" s="12">
        <f>IFERROR(IF(SUMIFS(tblDaily[Discharges],tblDaily[EntryDate],DATE(2026,4,24),tblDaily[WardCode],"MW")=0,"",SUMIFS(tblDaily[Discharges],tblDaily[EntryDate],DATE(2026,4,24),tblDaily[WardCode],"MW")),"")</f>
        <v/>
      </c>
      <c r="D147" s="12">
        <f>IFERROR(IF(SUMIFS(tblDaily[Deaths],tblDaily[EntryDate],DATE(2026,4,24),tblDaily[WardCode],"MW")=0,"",SUMIFS(tblDaily[Deaths],tblDaily[EntryDate],DATE(2026,4,24),tblDaily[WardCode],"MW")),"")</f>
        <v/>
      </c>
      <c r="E147" s="12">
        <f>IFERROR(IF(SUMIFS(tblDaily[DeathsUnder24Hrs],tblDaily[EntryDate],DATE(2026,4,24),tblDaily[WardCode],"MW")=0,"",SUMIFS(tblDaily[DeathsUnder24Hrs],tblDaily[EntryDate],DATE(2026,4,24),tblDaily[WardCode],"MW")),"")</f>
        <v/>
      </c>
      <c r="F147" s="12">
        <f>IFERROR(IF(SUMIFS(tblDaily[TransfersIn],tblDaily[EntryDate],DATE(2026,4,24),tblDaily[WardCode],"MW")=0,"",SUMIFS(tblDaily[TransfersIn],tblDaily[EntryDate],DATE(2026,4,24),tblDaily[WardCode],"MW")),"")</f>
        <v/>
      </c>
      <c r="G147" s="12">
        <f>IFERROR(IF(SUMIFS(tblDaily[TransfersOut],tblDaily[EntryDate],DATE(2026,4,24),tblDaily[WardCode],"MW")=0,"",SUMIFS(tblDaily[TransfersOut],tblDaily[EntryDate],DATE(2026,4,24),tblDaily[WardCode],"MW")),"")</f>
        <v/>
      </c>
      <c r="H147" s="12">
        <f>IFERROR(IF(SUMIFS(tblDaily[Remaining],tblDaily[EntryDate],DATE(2026,4,24),tblDaily[WardCode],"MW")=0,"",SUMIFS(tblDaily[Remaining],tblDaily[EntryDate],DATE(2026,4,24),tblDaily[WardCode],"MW")),"")</f>
        <v/>
      </c>
    </row>
    <row r="148">
      <c r="A148" s="12" t="n">
        <v>25</v>
      </c>
      <c r="B148" s="12">
        <f>IFERROR(IF(SUMIFS(tblDaily[Admissions],tblDaily[EntryDate],DATE(2026,4,25),tblDaily[WardCode],"MW")=0,"",SUMIFS(tblDaily[Admissions],tblDaily[EntryDate],DATE(2026,4,25),tblDaily[WardCode],"MW")),"")</f>
        <v/>
      </c>
      <c r="C148" s="12">
        <f>IFERROR(IF(SUMIFS(tblDaily[Discharges],tblDaily[EntryDate],DATE(2026,4,25),tblDaily[WardCode],"MW")=0,"",SUMIFS(tblDaily[Discharges],tblDaily[EntryDate],DATE(2026,4,25),tblDaily[WardCode],"MW")),"")</f>
        <v/>
      </c>
      <c r="D148" s="12">
        <f>IFERROR(IF(SUMIFS(tblDaily[Deaths],tblDaily[EntryDate],DATE(2026,4,25),tblDaily[WardCode],"MW")=0,"",SUMIFS(tblDaily[Deaths],tblDaily[EntryDate],DATE(2026,4,25),tblDaily[WardCode],"MW")),"")</f>
        <v/>
      </c>
      <c r="E148" s="12">
        <f>IFERROR(IF(SUMIFS(tblDaily[DeathsUnder24Hrs],tblDaily[EntryDate],DATE(2026,4,25),tblDaily[WardCode],"MW")=0,"",SUMIFS(tblDaily[DeathsUnder24Hrs],tblDaily[EntryDate],DATE(2026,4,25),tblDaily[WardCode],"MW")),"")</f>
        <v/>
      </c>
      <c r="F148" s="12">
        <f>IFERROR(IF(SUMIFS(tblDaily[TransfersIn],tblDaily[EntryDate],DATE(2026,4,25),tblDaily[WardCode],"MW")=0,"",SUMIFS(tblDaily[TransfersIn],tblDaily[EntryDate],DATE(2026,4,25),tblDaily[WardCode],"MW")),"")</f>
        <v/>
      </c>
      <c r="G148" s="12">
        <f>IFERROR(IF(SUMIFS(tblDaily[TransfersOut],tblDaily[EntryDate],DATE(2026,4,25),tblDaily[WardCode],"MW")=0,"",SUMIFS(tblDaily[TransfersOut],tblDaily[EntryDate],DATE(2026,4,25),tblDaily[WardCode],"MW")),"")</f>
        <v/>
      </c>
      <c r="H148" s="12">
        <f>IFERROR(IF(SUMIFS(tblDaily[Remaining],tblDaily[EntryDate],DATE(2026,4,25),tblDaily[WardCode],"MW")=0,"",SUMIFS(tblDaily[Remaining],tblDaily[EntryDate],DATE(2026,4,25),tblDaily[WardCode],"MW")),"")</f>
        <v/>
      </c>
    </row>
    <row r="149">
      <c r="A149" s="12" t="n">
        <v>26</v>
      </c>
      <c r="B149" s="12">
        <f>IFERROR(IF(SUMIFS(tblDaily[Admissions],tblDaily[EntryDate],DATE(2026,4,26),tblDaily[WardCode],"MW")=0,"",SUMIFS(tblDaily[Admissions],tblDaily[EntryDate],DATE(2026,4,26),tblDaily[WardCode],"MW")),"")</f>
        <v/>
      </c>
      <c r="C149" s="12">
        <f>IFERROR(IF(SUMIFS(tblDaily[Discharges],tblDaily[EntryDate],DATE(2026,4,26),tblDaily[WardCode],"MW")=0,"",SUMIFS(tblDaily[Discharges],tblDaily[EntryDate],DATE(2026,4,26),tblDaily[WardCode],"MW")),"")</f>
        <v/>
      </c>
      <c r="D149" s="12">
        <f>IFERROR(IF(SUMIFS(tblDaily[Deaths],tblDaily[EntryDate],DATE(2026,4,26),tblDaily[WardCode],"MW")=0,"",SUMIFS(tblDaily[Deaths],tblDaily[EntryDate],DATE(2026,4,26),tblDaily[WardCode],"MW")),"")</f>
        <v/>
      </c>
      <c r="E149" s="12">
        <f>IFERROR(IF(SUMIFS(tblDaily[DeathsUnder24Hrs],tblDaily[EntryDate],DATE(2026,4,26),tblDaily[WardCode],"MW")=0,"",SUMIFS(tblDaily[DeathsUnder24Hrs],tblDaily[EntryDate],DATE(2026,4,26),tblDaily[WardCode],"MW")),"")</f>
        <v/>
      </c>
      <c r="F149" s="12">
        <f>IFERROR(IF(SUMIFS(tblDaily[TransfersIn],tblDaily[EntryDate],DATE(2026,4,26),tblDaily[WardCode],"MW")=0,"",SUMIFS(tblDaily[TransfersIn],tblDaily[EntryDate],DATE(2026,4,26),tblDaily[WardCode],"MW")),"")</f>
        <v/>
      </c>
      <c r="G149" s="12">
        <f>IFERROR(IF(SUMIFS(tblDaily[TransfersOut],tblDaily[EntryDate],DATE(2026,4,26),tblDaily[WardCode],"MW")=0,"",SUMIFS(tblDaily[TransfersOut],tblDaily[EntryDate],DATE(2026,4,26),tblDaily[WardCode],"MW")),"")</f>
        <v/>
      </c>
      <c r="H149" s="12">
        <f>IFERROR(IF(SUMIFS(tblDaily[Remaining],tblDaily[EntryDate],DATE(2026,4,26),tblDaily[WardCode],"MW")=0,"",SUMIFS(tblDaily[Remaining],tblDaily[EntryDate],DATE(2026,4,26),tblDaily[WardCode],"MW")),"")</f>
        <v/>
      </c>
    </row>
    <row r="150">
      <c r="A150" s="12" t="n">
        <v>27</v>
      </c>
      <c r="B150" s="12">
        <f>IFERROR(IF(SUMIFS(tblDaily[Admissions],tblDaily[EntryDate],DATE(2026,4,27),tblDaily[WardCode],"MW")=0,"",SUMIFS(tblDaily[Admissions],tblDaily[EntryDate],DATE(2026,4,27),tblDaily[WardCode],"MW")),"")</f>
        <v/>
      </c>
      <c r="C150" s="12">
        <f>IFERROR(IF(SUMIFS(tblDaily[Discharges],tblDaily[EntryDate],DATE(2026,4,27),tblDaily[WardCode],"MW")=0,"",SUMIFS(tblDaily[Discharges],tblDaily[EntryDate],DATE(2026,4,27),tblDaily[WardCode],"MW")),"")</f>
        <v/>
      </c>
      <c r="D150" s="12">
        <f>IFERROR(IF(SUMIFS(tblDaily[Deaths],tblDaily[EntryDate],DATE(2026,4,27),tblDaily[WardCode],"MW")=0,"",SUMIFS(tblDaily[Deaths],tblDaily[EntryDate],DATE(2026,4,27),tblDaily[WardCode],"MW")),"")</f>
        <v/>
      </c>
      <c r="E150" s="12">
        <f>IFERROR(IF(SUMIFS(tblDaily[DeathsUnder24Hrs],tblDaily[EntryDate],DATE(2026,4,27),tblDaily[WardCode],"MW")=0,"",SUMIFS(tblDaily[DeathsUnder24Hrs],tblDaily[EntryDate],DATE(2026,4,27),tblDaily[WardCode],"MW")),"")</f>
        <v/>
      </c>
      <c r="F150" s="12">
        <f>IFERROR(IF(SUMIFS(tblDaily[TransfersIn],tblDaily[EntryDate],DATE(2026,4,27),tblDaily[WardCode],"MW")=0,"",SUMIFS(tblDaily[TransfersIn],tblDaily[EntryDate],DATE(2026,4,27),tblDaily[WardCode],"MW")),"")</f>
        <v/>
      </c>
      <c r="G150" s="12">
        <f>IFERROR(IF(SUMIFS(tblDaily[TransfersOut],tblDaily[EntryDate],DATE(2026,4,27),tblDaily[WardCode],"MW")=0,"",SUMIFS(tblDaily[TransfersOut],tblDaily[EntryDate],DATE(2026,4,27),tblDaily[WardCode],"MW")),"")</f>
        <v/>
      </c>
      <c r="H150" s="12">
        <f>IFERROR(IF(SUMIFS(tblDaily[Remaining],tblDaily[EntryDate],DATE(2026,4,27),tblDaily[WardCode],"MW")=0,"",SUMIFS(tblDaily[Remaining],tblDaily[EntryDate],DATE(2026,4,27),tblDaily[WardCode],"MW")),"")</f>
        <v/>
      </c>
    </row>
    <row r="151">
      <c r="A151" s="12" t="n">
        <v>28</v>
      </c>
      <c r="B151" s="12">
        <f>IFERROR(IF(SUMIFS(tblDaily[Admissions],tblDaily[EntryDate],DATE(2026,4,28),tblDaily[WardCode],"MW")=0,"",SUMIFS(tblDaily[Admissions],tblDaily[EntryDate],DATE(2026,4,28),tblDaily[WardCode],"MW")),"")</f>
        <v/>
      </c>
      <c r="C151" s="12">
        <f>IFERROR(IF(SUMIFS(tblDaily[Discharges],tblDaily[EntryDate],DATE(2026,4,28),tblDaily[WardCode],"MW")=0,"",SUMIFS(tblDaily[Discharges],tblDaily[EntryDate],DATE(2026,4,28),tblDaily[WardCode],"MW")),"")</f>
        <v/>
      </c>
      <c r="D151" s="12">
        <f>IFERROR(IF(SUMIFS(tblDaily[Deaths],tblDaily[EntryDate],DATE(2026,4,28),tblDaily[WardCode],"MW")=0,"",SUMIFS(tblDaily[Deaths],tblDaily[EntryDate],DATE(2026,4,28),tblDaily[WardCode],"MW")),"")</f>
        <v/>
      </c>
      <c r="E151" s="12">
        <f>IFERROR(IF(SUMIFS(tblDaily[DeathsUnder24Hrs],tblDaily[EntryDate],DATE(2026,4,28),tblDaily[WardCode],"MW")=0,"",SUMIFS(tblDaily[DeathsUnder24Hrs],tblDaily[EntryDate],DATE(2026,4,28),tblDaily[WardCode],"MW")),"")</f>
        <v/>
      </c>
      <c r="F151" s="12">
        <f>IFERROR(IF(SUMIFS(tblDaily[TransfersIn],tblDaily[EntryDate],DATE(2026,4,28),tblDaily[WardCode],"MW")=0,"",SUMIFS(tblDaily[TransfersIn],tblDaily[EntryDate],DATE(2026,4,28),tblDaily[WardCode],"MW")),"")</f>
        <v/>
      </c>
      <c r="G151" s="12">
        <f>IFERROR(IF(SUMIFS(tblDaily[TransfersOut],tblDaily[EntryDate],DATE(2026,4,28),tblDaily[WardCode],"MW")=0,"",SUMIFS(tblDaily[TransfersOut],tblDaily[EntryDate],DATE(2026,4,28),tblDaily[WardCode],"MW")),"")</f>
        <v/>
      </c>
      <c r="H151" s="12">
        <f>IFERROR(IF(SUMIFS(tblDaily[Remaining],tblDaily[EntryDate],DATE(2026,4,28),tblDaily[WardCode],"MW")=0,"",SUMIFS(tblDaily[Remaining],tblDaily[EntryDate],DATE(2026,4,28),tblDaily[WardCode],"MW")),"")</f>
        <v/>
      </c>
    </row>
    <row r="152">
      <c r="A152" s="12" t="n">
        <v>29</v>
      </c>
      <c r="B152" s="12">
        <f>IFERROR(IF(SUMIFS(tblDaily[Admissions],tblDaily[EntryDate],DATE(2026,4,29),tblDaily[WardCode],"MW")=0,"",SUMIFS(tblDaily[Admissions],tblDaily[EntryDate],DATE(2026,4,29),tblDaily[WardCode],"MW")),"")</f>
        <v/>
      </c>
      <c r="C152" s="12">
        <f>IFERROR(IF(SUMIFS(tblDaily[Discharges],tblDaily[EntryDate],DATE(2026,4,29),tblDaily[WardCode],"MW")=0,"",SUMIFS(tblDaily[Discharges],tblDaily[EntryDate],DATE(2026,4,29),tblDaily[WardCode],"MW")),"")</f>
        <v/>
      </c>
      <c r="D152" s="12">
        <f>IFERROR(IF(SUMIFS(tblDaily[Deaths],tblDaily[EntryDate],DATE(2026,4,29),tblDaily[WardCode],"MW")=0,"",SUMIFS(tblDaily[Deaths],tblDaily[EntryDate],DATE(2026,4,29),tblDaily[WardCode],"MW")),"")</f>
        <v/>
      </c>
      <c r="E152" s="12">
        <f>IFERROR(IF(SUMIFS(tblDaily[DeathsUnder24Hrs],tblDaily[EntryDate],DATE(2026,4,29),tblDaily[WardCode],"MW")=0,"",SUMIFS(tblDaily[DeathsUnder24Hrs],tblDaily[EntryDate],DATE(2026,4,29),tblDaily[WardCode],"MW")),"")</f>
        <v/>
      </c>
      <c r="F152" s="12">
        <f>IFERROR(IF(SUMIFS(tblDaily[TransfersIn],tblDaily[EntryDate],DATE(2026,4,29),tblDaily[WardCode],"MW")=0,"",SUMIFS(tblDaily[TransfersIn],tblDaily[EntryDate],DATE(2026,4,29),tblDaily[WardCode],"MW")),"")</f>
        <v/>
      </c>
      <c r="G152" s="12">
        <f>IFERROR(IF(SUMIFS(tblDaily[TransfersOut],tblDaily[EntryDate],DATE(2026,4,29),tblDaily[WardCode],"MW")=0,"",SUMIFS(tblDaily[TransfersOut],tblDaily[EntryDate],DATE(2026,4,29),tblDaily[WardCode],"MW")),"")</f>
        <v/>
      </c>
      <c r="H152" s="12">
        <f>IFERROR(IF(SUMIFS(tblDaily[Remaining],tblDaily[EntryDate],DATE(2026,4,29),tblDaily[WardCode],"MW")=0,"",SUMIFS(tblDaily[Remaining],tblDaily[EntryDate],DATE(2026,4,29),tblDaily[WardCode],"MW")),"")</f>
        <v/>
      </c>
    </row>
    <row r="153">
      <c r="A153" s="12" t="n">
        <v>30</v>
      </c>
      <c r="B153" s="12">
        <f>IFERROR(IF(SUMIFS(tblDaily[Admissions],tblDaily[EntryDate],DATE(2026,4,30),tblDaily[WardCode],"MW")=0,"",SUMIFS(tblDaily[Admissions],tblDaily[EntryDate],DATE(2026,4,30),tblDaily[WardCode],"MW")),"")</f>
        <v/>
      </c>
      <c r="C153" s="12">
        <f>IFERROR(IF(SUMIFS(tblDaily[Discharges],tblDaily[EntryDate],DATE(2026,4,30),tblDaily[WardCode],"MW")=0,"",SUMIFS(tblDaily[Discharges],tblDaily[EntryDate],DATE(2026,4,30),tblDaily[WardCode],"MW")),"")</f>
        <v/>
      </c>
      <c r="D153" s="12">
        <f>IFERROR(IF(SUMIFS(tblDaily[Deaths],tblDaily[EntryDate],DATE(2026,4,30),tblDaily[WardCode],"MW")=0,"",SUMIFS(tblDaily[Deaths],tblDaily[EntryDate],DATE(2026,4,30),tblDaily[WardCode],"MW")),"")</f>
        <v/>
      </c>
      <c r="E153" s="12">
        <f>IFERROR(IF(SUMIFS(tblDaily[DeathsUnder24Hrs],tblDaily[EntryDate],DATE(2026,4,30),tblDaily[WardCode],"MW")=0,"",SUMIFS(tblDaily[DeathsUnder24Hrs],tblDaily[EntryDate],DATE(2026,4,30),tblDaily[WardCode],"MW")),"")</f>
        <v/>
      </c>
      <c r="F153" s="12">
        <f>IFERROR(IF(SUMIFS(tblDaily[TransfersIn],tblDaily[EntryDate],DATE(2026,4,30),tblDaily[WardCode],"MW")=0,"",SUMIFS(tblDaily[TransfersIn],tblDaily[EntryDate],DATE(2026,4,30),tblDaily[WardCode],"MW")),"")</f>
        <v/>
      </c>
      <c r="G153" s="12">
        <f>IFERROR(IF(SUMIFS(tblDaily[TransfersOut],tblDaily[EntryDate],DATE(2026,4,30),tblDaily[WardCode],"MW")=0,"",SUMIFS(tblDaily[TransfersOut],tblDaily[EntryDate],DATE(2026,4,30),tblDaily[WardCode],"MW")),"")</f>
        <v/>
      </c>
      <c r="H153" s="12">
        <f>IFERROR(IF(SUMIFS(tblDaily[Remaining],tblDaily[EntryDate],DATE(2026,4,30),tblDaily[WardCode],"MW")=0,"",SUMIFS(tblDaily[Remaining],tblDaily[EntryDate],DATE(2026,4,30),tblDaily[WardCode],"MW")),"")</f>
        <v/>
      </c>
    </row>
    <row r="154">
      <c r="A154" s="12" t="n">
        <v>31</v>
      </c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7" t="inlineStr">
        <is>
          <t>TOTAL</t>
        </is>
      </c>
      <c r="B155" s="17">
        <f>SUMIFS(tblDaily[Admissions],tblDaily[Month],4,tblDaily[WardCode],"MW") - SUMIFS(tblDaily[DeathsUnder24Hrs],tblDaily[Month],4,tblDaily[WardCode],"MW")</f>
        <v/>
      </c>
      <c r="C155" s="17">
        <f>SUMIFS(tblDaily[Discharges],tblDaily[Month],4,tblDaily[WardCode],"MW")</f>
        <v/>
      </c>
      <c r="D155" s="17">
        <f>SUMIFS(tblDaily[Deaths],tblDaily[Month],4,tblDaily[WardCode],"MW")</f>
        <v/>
      </c>
      <c r="E155" s="17">
        <f>SUMIFS(tblDaily[DeathsUnder24Hrs],tblDaily[Month],4,tblDaily[WardCode],"MW")</f>
        <v/>
      </c>
      <c r="F155" s="17">
        <f>SUMIFS(tblDaily[TransfersIn],tblDaily[Month],4,tblDaily[WardCode],"MW")</f>
        <v/>
      </c>
      <c r="G155" s="17">
        <f>SUMIFS(tblDaily[TransfersOut],tblDaily[Month],4,tblDaily[WardCode],"MW")</f>
        <v/>
      </c>
      <c r="H155" s="17">
        <f>SUMIFS(tblDaily[Remaining],tblDaily[Month],4,tblDaily[WardCode],"MW")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MALE MEDICAL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4">
        <f>IFERROR(SUMIFS(tblDaily[Remaining],tblDaily[EntryDate],DATE(2026,4,30),tblDaily[WardCode],"MW"),0)</f>
        <v/>
      </c>
    </row>
    <row r="161">
      <c r="A161" s="4" t="inlineStr">
        <is>
          <t>Bed complement</t>
        </is>
      </c>
      <c r="H161" s="15">
        <f>IFERROR(INDEX(tblWardConfig[BedComplement],MATCH("MW",tblWardConfig[WardCode],0)),0)</f>
        <v/>
      </c>
    </row>
    <row r="162">
      <c r="A162" s="16" t="inlineStr">
        <is>
          <t>Day of
the
Month</t>
        </is>
      </c>
      <c r="B162" s="16" t="inlineStr">
        <is>
          <t>Admissions</t>
        </is>
      </c>
      <c r="C162" s="16" t="inlineStr">
        <is>
          <t>Discharges</t>
        </is>
      </c>
      <c r="D162" s="16" t="inlineStr">
        <is>
          <t>Deaths</t>
        </is>
      </c>
      <c r="E162" s="16" t="inlineStr">
        <is>
          <t>Deaths
&lt;24Hrs</t>
        </is>
      </c>
      <c r="F162" s="16" t="inlineStr">
        <is>
          <t>Transfers-
In</t>
        </is>
      </c>
      <c r="G162" s="16" t="inlineStr">
        <is>
          <t>Transfers-
Out</t>
        </is>
      </c>
      <c r="H162" s="16" t="inlineStr">
        <is>
          <t>No. of Patients
Remaining In
Ward</t>
        </is>
      </c>
    </row>
    <row r="163">
      <c r="A163" s="12" t="n">
        <v>1</v>
      </c>
      <c r="B163" s="12">
        <f>IFERROR(IF(SUMIFS(tblDaily[Admissions],tblDaily[EntryDate],DATE(2026,5,1),tblDaily[WardCode],"MW")=0,"",SUMIFS(tblDaily[Admissions],tblDaily[EntryDate],DATE(2026,5,1),tblDaily[WardCode],"MW")),"")</f>
        <v/>
      </c>
      <c r="C163" s="12">
        <f>IFERROR(IF(SUMIFS(tblDaily[Discharges],tblDaily[EntryDate],DATE(2026,5,1),tblDaily[WardCode],"MW")=0,"",SUMIFS(tblDaily[Discharges],tblDaily[EntryDate],DATE(2026,5,1),tblDaily[WardCode],"MW")),"")</f>
        <v/>
      </c>
      <c r="D163" s="12">
        <f>IFERROR(IF(SUMIFS(tblDaily[Deaths],tblDaily[EntryDate],DATE(2026,5,1),tblDaily[WardCode],"MW")=0,"",SUMIFS(tblDaily[Deaths],tblDaily[EntryDate],DATE(2026,5,1),tblDaily[WardCode],"MW")),"")</f>
        <v/>
      </c>
      <c r="E163" s="12">
        <f>IFERROR(IF(SUMIFS(tblDaily[DeathsUnder24Hrs],tblDaily[EntryDate],DATE(2026,5,1),tblDaily[WardCode],"MW")=0,"",SUMIFS(tblDaily[DeathsUnder24Hrs],tblDaily[EntryDate],DATE(2026,5,1),tblDaily[WardCode],"MW")),"")</f>
        <v/>
      </c>
      <c r="F163" s="12">
        <f>IFERROR(IF(SUMIFS(tblDaily[TransfersIn],tblDaily[EntryDate],DATE(2026,5,1),tblDaily[WardCode],"MW")=0,"",SUMIFS(tblDaily[TransfersIn],tblDaily[EntryDate],DATE(2026,5,1),tblDaily[WardCode],"MW")),"")</f>
        <v/>
      </c>
      <c r="G163" s="12">
        <f>IFERROR(IF(SUMIFS(tblDaily[TransfersOut],tblDaily[EntryDate],DATE(2026,5,1),tblDaily[WardCode],"MW")=0,"",SUMIFS(tblDaily[TransfersOut],tblDaily[EntryDate],DATE(2026,5,1),tblDaily[WardCode],"MW")),"")</f>
        <v/>
      </c>
      <c r="H163" s="12">
        <f>IFERROR(IF(SUMIFS(tblDaily[Remaining],tblDaily[EntryDate],DATE(2026,5,1),tblDaily[WardCode],"MW")=0,"",SUMIFS(tblDaily[Remaining],tblDaily[EntryDate],DATE(2026,5,1),tblDaily[WardCode],"MW")),"")</f>
        <v/>
      </c>
    </row>
    <row r="164">
      <c r="A164" s="12" t="n">
        <v>2</v>
      </c>
      <c r="B164" s="12">
        <f>IFERROR(IF(SUMIFS(tblDaily[Admissions],tblDaily[EntryDate],DATE(2026,5,2),tblDaily[WardCode],"MW")=0,"",SUMIFS(tblDaily[Admissions],tblDaily[EntryDate],DATE(2026,5,2),tblDaily[WardCode],"MW")),"")</f>
        <v/>
      </c>
      <c r="C164" s="12">
        <f>IFERROR(IF(SUMIFS(tblDaily[Discharges],tblDaily[EntryDate],DATE(2026,5,2),tblDaily[WardCode],"MW")=0,"",SUMIFS(tblDaily[Discharges],tblDaily[EntryDate],DATE(2026,5,2),tblDaily[WardCode],"MW")),"")</f>
        <v/>
      </c>
      <c r="D164" s="12">
        <f>IFERROR(IF(SUMIFS(tblDaily[Deaths],tblDaily[EntryDate],DATE(2026,5,2),tblDaily[WardCode],"MW")=0,"",SUMIFS(tblDaily[Deaths],tblDaily[EntryDate],DATE(2026,5,2),tblDaily[WardCode],"MW")),"")</f>
        <v/>
      </c>
      <c r="E164" s="12">
        <f>IFERROR(IF(SUMIFS(tblDaily[DeathsUnder24Hrs],tblDaily[EntryDate],DATE(2026,5,2),tblDaily[WardCode],"MW")=0,"",SUMIFS(tblDaily[DeathsUnder24Hrs],tblDaily[EntryDate],DATE(2026,5,2),tblDaily[WardCode],"MW")),"")</f>
        <v/>
      </c>
      <c r="F164" s="12">
        <f>IFERROR(IF(SUMIFS(tblDaily[TransfersIn],tblDaily[EntryDate],DATE(2026,5,2),tblDaily[WardCode],"MW")=0,"",SUMIFS(tblDaily[TransfersIn],tblDaily[EntryDate],DATE(2026,5,2),tblDaily[WardCode],"MW")),"")</f>
        <v/>
      </c>
      <c r="G164" s="12">
        <f>IFERROR(IF(SUMIFS(tblDaily[TransfersOut],tblDaily[EntryDate],DATE(2026,5,2),tblDaily[WardCode],"MW")=0,"",SUMIFS(tblDaily[TransfersOut],tblDaily[EntryDate],DATE(2026,5,2),tblDaily[WardCode],"MW")),"")</f>
        <v/>
      </c>
      <c r="H164" s="12">
        <f>IFERROR(IF(SUMIFS(tblDaily[Remaining],tblDaily[EntryDate],DATE(2026,5,2),tblDaily[WardCode],"MW")=0,"",SUMIFS(tblDaily[Remaining],tblDaily[EntryDate],DATE(2026,5,2),tblDaily[WardCode],"MW")),"")</f>
        <v/>
      </c>
    </row>
    <row r="165">
      <c r="A165" s="12" t="n">
        <v>3</v>
      </c>
      <c r="B165" s="12">
        <f>IFERROR(IF(SUMIFS(tblDaily[Admissions],tblDaily[EntryDate],DATE(2026,5,3),tblDaily[WardCode],"MW")=0,"",SUMIFS(tblDaily[Admissions],tblDaily[EntryDate],DATE(2026,5,3),tblDaily[WardCode],"MW")),"")</f>
        <v/>
      </c>
      <c r="C165" s="12">
        <f>IFERROR(IF(SUMIFS(tblDaily[Discharges],tblDaily[EntryDate],DATE(2026,5,3),tblDaily[WardCode],"MW")=0,"",SUMIFS(tblDaily[Discharges],tblDaily[EntryDate],DATE(2026,5,3),tblDaily[WardCode],"MW")),"")</f>
        <v/>
      </c>
      <c r="D165" s="12">
        <f>IFERROR(IF(SUMIFS(tblDaily[Deaths],tblDaily[EntryDate],DATE(2026,5,3),tblDaily[WardCode],"MW")=0,"",SUMIFS(tblDaily[Deaths],tblDaily[EntryDate],DATE(2026,5,3),tblDaily[WardCode],"MW")),"")</f>
        <v/>
      </c>
      <c r="E165" s="12">
        <f>IFERROR(IF(SUMIFS(tblDaily[DeathsUnder24Hrs],tblDaily[EntryDate],DATE(2026,5,3),tblDaily[WardCode],"MW")=0,"",SUMIFS(tblDaily[DeathsUnder24Hrs],tblDaily[EntryDate],DATE(2026,5,3),tblDaily[WardCode],"MW")),"")</f>
        <v/>
      </c>
      <c r="F165" s="12">
        <f>IFERROR(IF(SUMIFS(tblDaily[TransfersIn],tblDaily[EntryDate],DATE(2026,5,3),tblDaily[WardCode],"MW")=0,"",SUMIFS(tblDaily[TransfersIn],tblDaily[EntryDate],DATE(2026,5,3),tblDaily[WardCode],"MW")),"")</f>
        <v/>
      </c>
      <c r="G165" s="12">
        <f>IFERROR(IF(SUMIFS(tblDaily[TransfersOut],tblDaily[EntryDate],DATE(2026,5,3),tblDaily[WardCode],"MW")=0,"",SUMIFS(tblDaily[TransfersOut],tblDaily[EntryDate],DATE(2026,5,3),tblDaily[WardCode],"MW")),"")</f>
        <v/>
      </c>
      <c r="H165" s="12">
        <f>IFERROR(IF(SUMIFS(tblDaily[Remaining],tblDaily[EntryDate],DATE(2026,5,3),tblDaily[WardCode],"MW")=0,"",SUMIFS(tblDaily[Remaining],tblDaily[EntryDate],DATE(2026,5,3),tblDaily[WardCode],"MW")),"")</f>
        <v/>
      </c>
    </row>
    <row r="166">
      <c r="A166" s="12" t="n">
        <v>4</v>
      </c>
      <c r="B166" s="12">
        <f>IFERROR(IF(SUMIFS(tblDaily[Admissions],tblDaily[EntryDate],DATE(2026,5,4),tblDaily[WardCode],"MW")=0,"",SUMIFS(tblDaily[Admissions],tblDaily[EntryDate],DATE(2026,5,4),tblDaily[WardCode],"MW")),"")</f>
        <v/>
      </c>
      <c r="C166" s="12">
        <f>IFERROR(IF(SUMIFS(tblDaily[Discharges],tblDaily[EntryDate],DATE(2026,5,4),tblDaily[WardCode],"MW")=0,"",SUMIFS(tblDaily[Discharges],tblDaily[EntryDate],DATE(2026,5,4),tblDaily[WardCode],"MW")),"")</f>
        <v/>
      </c>
      <c r="D166" s="12">
        <f>IFERROR(IF(SUMIFS(tblDaily[Deaths],tblDaily[EntryDate],DATE(2026,5,4),tblDaily[WardCode],"MW")=0,"",SUMIFS(tblDaily[Deaths],tblDaily[EntryDate],DATE(2026,5,4),tblDaily[WardCode],"MW")),"")</f>
        <v/>
      </c>
      <c r="E166" s="12">
        <f>IFERROR(IF(SUMIFS(tblDaily[DeathsUnder24Hrs],tblDaily[EntryDate],DATE(2026,5,4),tblDaily[WardCode],"MW")=0,"",SUMIFS(tblDaily[DeathsUnder24Hrs],tblDaily[EntryDate],DATE(2026,5,4),tblDaily[WardCode],"MW")),"")</f>
        <v/>
      </c>
      <c r="F166" s="12">
        <f>IFERROR(IF(SUMIFS(tblDaily[TransfersIn],tblDaily[EntryDate],DATE(2026,5,4),tblDaily[WardCode],"MW")=0,"",SUMIFS(tblDaily[TransfersIn],tblDaily[EntryDate],DATE(2026,5,4),tblDaily[WardCode],"MW")),"")</f>
        <v/>
      </c>
      <c r="G166" s="12">
        <f>IFERROR(IF(SUMIFS(tblDaily[TransfersOut],tblDaily[EntryDate],DATE(2026,5,4),tblDaily[WardCode],"MW")=0,"",SUMIFS(tblDaily[TransfersOut],tblDaily[EntryDate],DATE(2026,5,4),tblDaily[WardCode],"MW")),"")</f>
        <v/>
      </c>
      <c r="H166" s="12">
        <f>IFERROR(IF(SUMIFS(tblDaily[Remaining],tblDaily[EntryDate],DATE(2026,5,4),tblDaily[WardCode],"MW")=0,"",SUMIFS(tblDaily[Remaining],tblDaily[EntryDate],DATE(2026,5,4),tblDaily[WardCode],"MW")),"")</f>
        <v/>
      </c>
    </row>
    <row r="167">
      <c r="A167" s="12" t="n">
        <v>5</v>
      </c>
      <c r="B167" s="12">
        <f>IFERROR(IF(SUMIFS(tblDaily[Admissions],tblDaily[EntryDate],DATE(2026,5,5),tblDaily[WardCode],"MW")=0,"",SUMIFS(tblDaily[Admissions],tblDaily[EntryDate],DATE(2026,5,5),tblDaily[WardCode],"MW")),"")</f>
        <v/>
      </c>
      <c r="C167" s="12">
        <f>IFERROR(IF(SUMIFS(tblDaily[Discharges],tblDaily[EntryDate],DATE(2026,5,5),tblDaily[WardCode],"MW")=0,"",SUMIFS(tblDaily[Discharges],tblDaily[EntryDate],DATE(2026,5,5),tblDaily[WardCode],"MW")),"")</f>
        <v/>
      </c>
      <c r="D167" s="12">
        <f>IFERROR(IF(SUMIFS(tblDaily[Deaths],tblDaily[EntryDate],DATE(2026,5,5),tblDaily[WardCode],"MW")=0,"",SUMIFS(tblDaily[Deaths],tblDaily[EntryDate],DATE(2026,5,5),tblDaily[WardCode],"MW")),"")</f>
        <v/>
      </c>
      <c r="E167" s="12">
        <f>IFERROR(IF(SUMIFS(tblDaily[DeathsUnder24Hrs],tblDaily[EntryDate],DATE(2026,5,5),tblDaily[WardCode],"MW")=0,"",SUMIFS(tblDaily[DeathsUnder24Hrs],tblDaily[EntryDate],DATE(2026,5,5),tblDaily[WardCode],"MW")),"")</f>
        <v/>
      </c>
      <c r="F167" s="12">
        <f>IFERROR(IF(SUMIFS(tblDaily[TransfersIn],tblDaily[EntryDate],DATE(2026,5,5),tblDaily[WardCode],"MW")=0,"",SUMIFS(tblDaily[TransfersIn],tblDaily[EntryDate],DATE(2026,5,5),tblDaily[WardCode],"MW")),"")</f>
        <v/>
      </c>
      <c r="G167" s="12">
        <f>IFERROR(IF(SUMIFS(tblDaily[TransfersOut],tblDaily[EntryDate],DATE(2026,5,5),tblDaily[WardCode],"MW")=0,"",SUMIFS(tblDaily[TransfersOut],tblDaily[EntryDate],DATE(2026,5,5),tblDaily[WardCode],"MW")),"")</f>
        <v/>
      </c>
      <c r="H167" s="12">
        <f>IFERROR(IF(SUMIFS(tblDaily[Remaining],tblDaily[EntryDate],DATE(2026,5,5),tblDaily[WardCode],"MW")=0,"",SUMIFS(tblDaily[Remaining],tblDaily[EntryDate],DATE(2026,5,5),tblDaily[WardCode],"MW")),"")</f>
        <v/>
      </c>
    </row>
    <row r="168">
      <c r="A168" s="12" t="n">
        <v>6</v>
      </c>
      <c r="B168" s="12">
        <f>IFERROR(IF(SUMIFS(tblDaily[Admissions],tblDaily[EntryDate],DATE(2026,5,6),tblDaily[WardCode],"MW")=0,"",SUMIFS(tblDaily[Admissions],tblDaily[EntryDate],DATE(2026,5,6),tblDaily[WardCode],"MW")),"")</f>
        <v/>
      </c>
      <c r="C168" s="12">
        <f>IFERROR(IF(SUMIFS(tblDaily[Discharges],tblDaily[EntryDate],DATE(2026,5,6),tblDaily[WardCode],"MW")=0,"",SUMIFS(tblDaily[Discharges],tblDaily[EntryDate],DATE(2026,5,6),tblDaily[WardCode],"MW")),"")</f>
        <v/>
      </c>
      <c r="D168" s="12">
        <f>IFERROR(IF(SUMIFS(tblDaily[Deaths],tblDaily[EntryDate],DATE(2026,5,6),tblDaily[WardCode],"MW")=0,"",SUMIFS(tblDaily[Deaths],tblDaily[EntryDate],DATE(2026,5,6),tblDaily[WardCode],"MW")),"")</f>
        <v/>
      </c>
      <c r="E168" s="12">
        <f>IFERROR(IF(SUMIFS(tblDaily[DeathsUnder24Hrs],tblDaily[EntryDate],DATE(2026,5,6),tblDaily[WardCode],"MW")=0,"",SUMIFS(tblDaily[DeathsUnder24Hrs],tblDaily[EntryDate],DATE(2026,5,6),tblDaily[WardCode],"MW")),"")</f>
        <v/>
      </c>
      <c r="F168" s="12">
        <f>IFERROR(IF(SUMIFS(tblDaily[TransfersIn],tblDaily[EntryDate],DATE(2026,5,6),tblDaily[WardCode],"MW")=0,"",SUMIFS(tblDaily[TransfersIn],tblDaily[EntryDate],DATE(2026,5,6),tblDaily[WardCode],"MW")),"")</f>
        <v/>
      </c>
      <c r="G168" s="12">
        <f>IFERROR(IF(SUMIFS(tblDaily[TransfersOut],tblDaily[EntryDate],DATE(2026,5,6),tblDaily[WardCode],"MW")=0,"",SUMIFS(tblDaily[TransfersOut],tblDaily[EntryDate],DATE(2026,5,6),tblDaily[WardCode],"MW")),"")</f>
        <v/>
      </c>
      <c r="H168" s="12">
        <f>IFERROR(IF(SUMIFS(tblDaily[Remaining],tblDaily[EntryDate],DATE(2026,5,6),tblDaily[WardCode],"MW")=0,"",SUMIFS(tblDaily[Remaining],tblDaily[EntryDate],DATE(2026,5,6),tblDaily[WardCode],"MW")),"")</f>
        <v/>
      </c>
    </row>
    <row r="169">
      <c r="A169" s="12" t="n">
        <v>7</v>
      </c>
      <c r="B169" s="12">
        <f>IFERROR(IF(SUMIFS(tblDaily[Admissions],tblDaily[EntryDate],DATE(2026,5,7),tblDaily[WardCode],"MW")=0,"",SUMIFS(tblDaily[Admissions],tblDaily[EntryDate],DATE(2026,5,7),tblDaily[WardCode],"MW")),"")</f>
        <v/>
      </c>
      <c r="C169" s="12">
        <f>IFERROR(IF(SUMIFS(tblDaily[Discharges],tblDaily[EntryDate],DATE(2026,5,7),tblDaily[WardCode],"MW")=0,"",SUMIFS(tblDaily[Discharges],tblDaily[EntryDate],DATE(2026,5,7),tblDaily[WardCode],"MW")),"")</f>
        <v/>
      </c>
      <c r="D169" s="12">
        <f>IFERROR(IF(SUMIFS(tblDaily[Deaths],tblDaily[EntryDate],DATE(2026,5,7),tblDaily[WardCode],"MW")=0,"",SUMIFS(tblDaily[Deaths],tblDaily[EntryDate],DATE(2026,5,7),tblDaily[WardCode],"MW")),"")</f>
        <v/>
      </c>
      <c r="E169" s="12">
        <f>IFERROR(IF(SUMIFS(tblDaily[DeathsUnder24Hrs],tblDaily[EntryDate],DATE(2026,5,7),tblDaily[WardCode],"MW")=0,"",SUMIFS(tblDaily[DeathsUnder24Hrs],tblDaily[EntryDate],DATE(2026,5,7),tblDaily[WardCode],"MW")),"")</f>
        <v/>
      </c>
      <c r="F169" s="12">
        <f>IFERROR(IF(SUMIFS(tblDaily[TransfersIn],tblDaily[EntryDate],DATE(2026,5,7),tblDaily[WardCode],"MW")=0,"",SUMIFS(tblDaily[TransfersIn],tblDaily[EntryDate],DATE(2026,5,7),tblDaily[WardCode],"MW")),"")</f>
        <v/>
      </c>
      <c r="G169" s="12">
        <f>IFERROR(IF(SUMIFS(tblDaily[TransfersOut],tblDaily[EntryDate],DATE(2026,5,7),tblDaily[WardCode],"MW")=0,"",SUMIFS(tblDaily[TransfersOut],tblDaily[EntryDate],DATE(2026,5,7),tblDaily[WardCode],"MW")),"")</f>
        <v/>
      </c>
      <c r="H169" s="12">
        <f>IFERROR(IF(SUMIFS(tblDaily[Remaining],tblDaily[EntryDate],DATE(2026,5,7),tblDaily[WardCode],"MW")=0,"",SUMIFS(tblDaily[Remaining],tblDaily[EntryDate],DATE(2026,5,7),tblDaily[WardCode],"MW")),"")</f>
        <v/>
      </c>
    </row>
    <row r="170">
      <c r="A170" s="12" t="n">
        <v>8</v>
      </c>
      <c r="B170" s="12">
        <f>IFERROR(IF(SUMIFS(tblDaily[Admissions],tblDaily[EntryDate],DATE(2026,5,8),tblDaily[WardCode],"MW")=0,"",SUMIFS(tblDaily[Admissions],tblDaily[EntryDate],DATE(2026,5,8),tblDaily[WardCode],"MW")),"")</f>
        <v/>
      </c>
      <c r="C170" s="12">
        <f>IFERROR(IF(SUMIFS(tblDaily[Discharges],tblDaily[EntryDate],DATE(2026,5,8),tblDaily[WardCode],"MW")=0,"",SUMIFS(tblDaily[Discharges],tblDaily[EntryDate],DATE(2026,5,8),tblDaily[WardCode],"MW")),"")</f>
        <v/>
      </c>
      <c r="D170" s="12">
        <f>IFERROR(IF(SUMIFS(tblDaily[Deaths],tblDaily[EntryDate],DATE(2026,5,8),tblDaily[WardCode],"MW")=0,"",SUMIFS(tblDaily[Deaths],tblDaily[EntryDate],DATE(2026,5,8),tblDaily[WardCode],"MW")),"")</f>
        <v/>
      </c>
      <c r="E170" s="12">
        <f>IFERROR(IF(SUMIFS(tblDaily[DeathsUnder24Hrs],tblDaily[EntryDate],DATE(2026,5,8),tblDaily[WardCode],"MW")=0,"",SUMIFS(tblDaily[DeathsUnder24Hrs],tblDaily[EntryDate],DATE(2026,5,8),tblDaily[WardCode],"MW")),"")</f>
        <v/>
      </c>
      <c r="F170" s="12">
        <f>IFERROR(IF(SUMIFS(tblDaily[TransfersIn],tblDaily[EntryDate],DATE(2026,5,8),tblDaily[WardCode],"MW")=0,"",SUMIFS(tblDaily[TransfersIn],tblDaily[EntryDate],DATE(2026,5,8),tblDaily[WardCode],"MW")),"")</f>
        <v/>
      </c>
      <c r="G170" s="12">
        <f>IFERROR(IF(SUMIFS(tblDaily[TransfersOut],tblDaily[EntryDate],DATE(2026,5,8),tblDaily[WardCode],"MW")=0,"",SUMIFS(tblDaily[TransfersOut],tblDaily[EntryDate],DATE(2026,5,8),tblDaily[WardCode],"MW")),"")</f>
        <v/>
      </c>
      <c r="H170" s="12">
        <f>IFERROR(IF(SUMIFS(tblDaily[Remaining],tblDaily[EntryDate],DATE(2026,5,8),tblDaily[WardCode],"MW")=0,"",SUMIFS(tblDaily[Remaining],tblDaily[EntryDate],DATE(2026,5,8),tblDaily[WardCode],"MW")),"")</f>
        <v/>
      </c>
    </row>
    <row r="171">
      <c r="A171" s="12" t="n">
        <v>9</v>
      </c>
      <c r="B171" s="12">
        <f>IFERROR(IF(SUMIFS(tblDaily[Admissions],tblDaily[EntryDate],DATE(2026,5,9),tblDaily[WardCode],"MW")=0,"",SUMIFS(tblDaily[Admissions],tblDaily[EntryDate],DATE(2026,5,9),tblDaily[WardCode],"MW")),"")</f>
        <v/>
      </c>
      <c r="C171" s="12">
        <f>IFERROR(IF(SUMIFS(tblDaily[Discharges],tblDaily[EntryDate],DATE(2026,5,9),tblDaily[WardCode],"MW")=0,"",SUMIFS(tblDaily[Discharges],tblDaily[EntryDate],DATE(2026,5,9),tblDaily[WardCode],"MW")),"")</f>
        <v/>
      </c>
      <c r="D171" s="12">
        <f>IFERROR(IF(SUMIFS(tblDaily[Deaths],tblDaily[EntryDate],DATE(2026,5,9),tblDaily[WardCode],"MW")=0,"",SUMIFS(tblDaily[Deaths],tblDaily[EntryDate],DATE(2026,5,9),tblDaily[WardCode],"MW")),"")</f>
        <v/>
      </c>
      <c r="E171" s="12">
        <f>IFERROR(IF(SUMIFS(tblDaily[DeathsUnder24Hrs],tblDaily[EntryDate],DATE(2026,5,9),tblDaily[WardCode],"MW")=0,"",SUMIFS(tblDaily[DeathsUnder24Hrs],tblDaily[EntryDate],DATE(2026,5,9),tblDaily[WardCode],"MW")),"")</f>
        <v/>
      </c>
      <c r="F171" s="12">
        <f>IFERROR(IF(SUMIFS(tblDaily[TransfersIn],tblDaily[EntryDate],DATE(2026,5,9),tblDaily[WardCode],"MW")=0,"",SUMIFS(tblDaily[TransfersIn],tblDaily[EntryDate],DATE(2026,5,9),tblDaily[WardCode],"MW")),"")</f>
        <v/>
      </c>
      <c r="G171" s="12">
        <f>IFERROR(IF(SUMIFS(tblDaily[TransfersOut],tblDaily[EntryDate],DATE(2026,5,9),tblDaily[WardCode],"MW")=0,"",SUMIFS(tblDaily[TransfersOut],tblDaily[EntryDate],DATE(2026,5,9),tblDaily[WardCode],"MW")),"")</f>
        <v/>
      </c>
      <c r="H171" s="12">
        <f>IFERROR(IF(SUMIFS(tblDaily[Remaining],tblDaily[EntryDate],DATE(2026,5,9),tblDaily[WardCode],"MW")=0,"",SUMIFS(tblDaily[Remaining],tblDaily[EntryDate],DATE(2026,5,9),tblDaily[WardCode],"MW")),"")</f>
        <v/>
      </c>
    </row>
    <row r="172">
      <c r="A172" s="12" t="n">
        <v>10</v>
      </c>
      <c r="B172" s="12">
        <f>IFERROR(IF(SUMIFS(tblDaily[Admissions],tblDaily[EntryDate],DATE(2026,5,10),tblDaily[WardCode],"MW")=0,"",SUMIFS(tblDaily[Admissions],tblDaily[EntryDate],DATE(2026,5,10),tblDaily[WardCode],"MW")),"")</f>
        <v/>
      </c>
      <c r="C172" s="12">
        <f>IFERROR(IF(SUMIFS(tblDaily[Discharges],tblDaily[EntryDate],DATE(2026,5,10),tblDaily[WardCode],"MW")=0,"",SUMIFS(tblDaily[Discharges],tblDaily[EntryDate],DATE(2026,5,10),tblDaily[WardCode],"MW")),"")</f>
        <v/>
      </c>
      <c r="D172" s="12">
        <f>IFERROR(IF(SUMIFS(tblDaily[Deaths],tblDaily[EntryDate],DATE(2026,5,10),tblDaily[WardCode],"MW")=0,"",SUMIFS(tblDaily[Deaths],tblDaily[EntryDate],DATE(2026,5,10),tblDaily[WardCode],"MW")),"")</f>
        <v/>
      </c>
      <c r="E172" s="12">
        <f>IFERROR(IF(SUMIFS(tblDaily[DeathsUnder24Hrs],tblDaily[EntryDate],DATE(2026,5,10),tblDaily[WardCode],"MW")=0,"",SUMIFS(tblDaily[DeathsUnder24Hrs],tblDaily[EntryDate],DATE(2026,5,10),tblDaily[WardCode],"MW")),"")</f>
        <v/>
      </c>
      <c r="F172" s="12">
        <f>IFERROR(IF(SUMIFS(tblDaily[TransfersIn],tblDaily[EntryDate],DATE(2026,5,10),tblDaily[WardCode],"MW")=0,"",SUMIFS(tblDaily[TransfersIn],tblDaily[EntryDate],DATE(2026,5,10),tblDaily[WardCode],"MW")),"")</f>
        <v/>
      </c>
      <c r="G172" s="12">
        <f>IFERROR(IF(SUMIFS(tblDaily[TransfersOut],tblDaily[EntryDate],DATE(2026,5,10),tblDaily[WardCode],"MW")=0,"",SUMIFS(tblDaily[TransfersOut],tblDaily[EntryDate],DATE(2026,5,10),tblDaily[WardCode],"MW")),"")</f>
        <v/>
      </c>
      <c r="H172" s="12">
        <f>IFERROR(IF(SUMIFS(tblDaily[Remaining],tblDaily[EntryDate],DATE(2026,5,10),tblDaily[WardCode],"MW")=0,"",SUMIFS(tblDaily[Remaining],tblDaily[EntryDate],DATE(2026,5,10),tblDaily[WardCode],"MW")),"")</f>
        <v/>
      </c>
    </row>
    <row r="173">
      <c r="A173" s="12" t="n">
        <v>11</v>
      </c>
      <c r="B173" s="12">
        <f>IFERROR(IF(SUMIFS(tblDaily[Admissions],tblDaily[EntryDate],DATE(2026,5,11),tblDaily[WardCode],"MW")=0,"",SUMIFS(tblDaily[Admissions],tblDaily[EntryDate],DATE(2026,5,11),tblDaily[WardCode],"MW")),"")</f>
        <v/>
      </c>
      <c r="C173" s="12">
        <f>IFERROR(IF(SUMIFS(tblDaily[Discharges],tblDaily[EntryDate],DATE(2026,5,11),tblDaily[WardCode],"MW")=0,"",SUMIFS(tblDaily[Discharges],tblDaily[EntryDate],DATE(2026,5,11),tblDaily[WardCode],"MW")),"")</f>
        <v/>
      </c>
      <c r="D173" s="12">
        <f>IFERROR(IF(SUMIFS(tblDaily[Deaths],tblDaily[EntryDate],DATE(2026,5,11),tblDaily[WardCode],"MW")=0,"",SUMIFS(tblDaily[Deaths],tblDaily[EntryDate],DATE(2026,5,11),tblDaily[WardCode],"MW")),"")</f>
        <v/>
      </c>
      <c r="E173" s="12">
        <f>IFERROR(IF(SUMIFS(tblDaily[DeathsUnder24Hrs],tblDaily[EntryDate],DATE(2026,5,11),tblDaily[WardCode],"MW")=0,"",SUMIFS(tblDaily[DeathsUnder24Hrs],tblDaily[EntryDate],DATE(2026,5,11),tblDaily[WardCode],"MW")),"")</f>
        <v/>
      </c>
      <c r="F173" s="12">
        <f>IFERROR(IF(SUMIFS(tblDaily[TransfersIn],tblDaily[EntryDate],DATE(2026,5,11),tblDaily[WardCode],"MW")=0,"",SUMIFS(tblDaily[TransfersIn],tblDaily[EntryDate],DATE(2026,5,11),tblDaily[WardCode],"MW")),"")</f>
        <v/>
      </c>
      <c r="G173" s="12">
        <f>IFERROR(IF(SUMIFS(tblDaily[TransfersOut],tblDaily[EntryDate],DATE(2026,5,11),tblDaily[WardCode],"MW")=0,"",SUMIFS(tblDaily[TransfersOut],tblDaily[EntryDate],DATE(2026,5,11),tblDaily[WardCode],"MW")),"")</f>
        <v/>
      </c>
      <c r="H173" s="12">
        <f>IFERROR(IF(SUMIFS(tblDaily[Remaining],tblDaily[EntryDate],DATE(2026,5,11),tblDaily[WardCode],"MW")=0,"",SUMIFS(tblDaily[Remaining],tblDaily[EntryDate],DATE(2026,5,11),tblDaily[WardCode],"MW")),"")</f>
        <v/>
      </c>
    </row>
    <row r="174">
      <c r="A174" s="12" t="n">
        <v>12</v>
      </c>
      <c r="B174" s="12">
        <f>IFERROR(IF(SUMIFS(tblDaily[Admissions],tblDaily[EntryDate],DATE(2026,5,12),tblDaily[WardCode],"MW")=0,"",SUMIFS(tblDaily[Admissions],tblDaily[EntryDate],DATE(2026,5,12),tblDaily[WardCode],"MW")),"")</f>
        <v/>
      </c>
      <c r="C174" s="12">
        <f>IFERROR(IF(SUMIFS(tblDaily[Discharges],tblDaily[EntryDate],DATE(2026,5,12),tblDaily[WardCode],"MW")=0,"",SUMIFS(tblDaily[Discharges],tblDaily[EntryDate],DATE(2026,5,12),tblDaily[WardCode],"MW")),"")</f>
        <v/>
      </c>
      <c r="D174" s="12">
        <f>IFERROR(IF(SUMIFS(tblDaily[Deaths],tblDaily[EntryDate],DATE(2026,5,12),tblDaily[WardCode],"MW")=0,"",SUMIFS(tblDaily[Deaths],tblDaily[EntryDate],DATE(2026,5,12),tblDaily[WardCode],"MW")),"")</f>
        <v/>
      </c>
      <c r="E174" s="12">
        <f>IFERROR(IF(SUMIFS(tblDaily[DeathsUnder24Hrs],tblDaily[EntryDate],DATE(2026,5,12),tblDaily[WardCode],"MW")=0,"",SUMIFS(tblDaily[DeathsUnder24Hrs],tblDaily[EntryDate],DATE(2026,5,12),tblDaily[WardCode],"MW")),"")</f>
        <v/>
      </c>
      <c r="F174" s="12">
        <f>IFERROR(IF(SUMIFS(tblDaily[TransfersIn],tblDaily[EntryDate],DATE(2026,5,12),tblDaily[WardCode],"MW")=0,"",SUMIFS(tblDaily[TransfersIn],tblDaily[EntryDate],DATE(2026,5,12),tblDaily[WardCode],"MW")),"")</f>
        <v/>
      </c>
      <c r="G174" s="12">
        <f>IFERROR(IF(SUMIFS(tblDaily[TransfersOut],tblDaily[EntryDate],DATE(2026,5,12),tblDaily[WardCode],"MW")=0,"",SUMIFS(tblDaily[TransfersOut],tblDaily[EntryDate],DATE(2026,5,12),tblDaily[WardCode],"MW")),"")</f>
        <v/>
      </c>
      <c r="H174" s="12">
        <f>IFERROR(IF(SUMIFS(tblDaily[Remaining],tblDaily[EntryDate],DATE(2026,5,12),tblDaily[WardCode],"MW")=0,"",SUMIFS(tblDaily[Remaining],tblDaily[EntryDate],DATE(2026,5,12),tblDaily[WardCode],"MW")),"")</f>
        <v/>
      </c>
    </row>
    <row r="175">
      <c r="A175" s="12" t="n">
        <v>13</v>
      </c>
      <c r="B175" s="12">
        <f>IFERROR(IF(SUMIFS(tblDaily[Admissions],tblDaily[EntryDate],DATE(2026,5,13),tblDaily[WardCode],"MW")=0,"",SUMIFS(tblDaily[Admissions],tblDaily[EntryDate],DATE(2026,5,13),tblDaily[WardCode],"MW")),"")</f>
        <v/>
      </c>
      <c r="C175" s="12">
        <f>IFERROR(IF(SUMIFS(tblDaily[Discharges],tblDaily[EntryDate],DATE(2026,5,13),tblDaily[WardCode],"MW")=0,"",SUMIFS(tblDaily[Discharges],tblDaily[EntryDate],DATE(2026,5,13),tblDaily[WardCode],"MW")),"")</f>
        <v/>
      </c>
      <c r="D175" s="12">
        <f>IFERROR(IF(SUMIFS(tblDaily[Deaths],tblDaily[EntryDate],DATE(2026,5,13),tblDaily[WardCode],"MW")=0,"",SUMIFS(tblDaily[Deaths],tblDaily[EntryDate],DATE(2026,5,13),tblDaily[WardCode],"MW")),"")</f>
        <v/>
      </c>
      <c r="E175" s="12">
        <f>IFERROR(IF(SUMIFS(tblDaily[DeathsUnder24Hrs],tblDaily[EntryDate],DATE(2026,5,13),tblDaily[WardCode],"MW")=0,"",SUMIFS(tblDaily[DeathsUnder24Hrs],tblDaily[EntryDate],DATE(2026,5,13),tblDaily[WardCode],"MW")),"")</f>
        <v/>
      </c>
      <c r="F175" s="12">
        <f>IFERROR(IF(SUMIFS(tblDaily[TransfersIn],tblDaily[EntryDate],DATE(2026,5,13),tblDaily[WardCode],"MW")=0,"",SUMIFS(tblDaily[TransfersIn],tblDaily[EntryDate],DATE(2026,5,13),tblDaily[WardCode],"MW")),"")</f>
        <v/>
      </c>
      <c r="G175" s="12">
        <f>IFERROR(IF(SUMIFS(tblDaily[TransfersOut],tblDaily[EntryDate],DATE(2026,5,13),tblDaily[WardCode],"MW")=0,"",SUMIFS(tblDaily[TransfersOut],tblDaily[EntryDate],DATE(2026,5,13),tblDaily[WardCode],"MW")),"")</f>
        <v/>
      </c>
      <c r="H175" s="12">
        <f>IFERROR(IF(SUMIFS(tblDaily[Remaining],tblDaily[EntryDate],DATE(2026,5,13),tblDaily[WardCode],"MW")=0,"",SUMIFS(tblDaily[Remaining],tblDaily[EntryDate],DATE(2026,5,13),tblDaily[WardCode],"MW")),"")</f>
        <v/>
      </c>
    </row>
    <row r="176">
      <c r="A176" s="12" t="n">
        <v>14</v>
      </c>
      <c r="B176" s="12">
        <f>IFERROR(IF(SUMIFS(tblDaily[Admissions],tblDaily[EntryDate],DATE(2026,5,14),tblDaily[WardCode],"MW")=0,"",SUMIFS(tblDaily[Admissions],tblDaily[EntryDate],DATE(2026,5,14),tblDaily[WardCode],"MW")),"")</f>
        <v/>
      </c>
      <c r="C176" s="12">
        <f>IFERROR(IF(SUMIFS(tblDaily[Discharges],tblDaily[EntryDate],DATE(2026,5,14),tblDaily[WardCode],"MW")=0,"",SUMIFS(tblDaily[Discharges],tblDaily[EntryDate],DATE(2026,5,14),tblDaily[WardCode],"MW")),"")</f>
        <v/>
      </c>
      <c r="D176" s="12">
        <f>IFERROR(IF(SUMIFS(tblDaily[Deaths],tblDaily[EntryDate],DATE(2026,5,14),tblDaily[WardCode],"MW")=0,"",SUMIFS(tblDaily[Deaths],tblDaily[EntryDate],DATE(2026,5,14),tblDaily[WardCode],"MW")),"")</f>
        <v/>
      </c>
      <c r="E176" s="12">
        <f>IFERROR(IF(SUMIFS(tblDaily[DeathsUnder24Hrs],tblDaily[EntryDate],DATE(2026,5,14),tblDaily[WardCode],"MW")=0,"",SUMIFS(tblDaily[DeathsUnder24Hrs],tblDaily[EntryDate],DATE(2026,5,14),tblDaily[WardCode],"MW")),"")</f>
        <v/>
      </c>
      <c r="F176" s="12">
        <f>IFERROR(IF(SUMIFS(tblDaily[TransfersIn],tblDaily[EntryDate],DATE(2026,5,14),tblDaily[WardCode],"MW")=0,"",SUMIFS(tblDaily[TransfersIn],tblDaily[EntryDate],DATE(2026,5,14),tblDaily[WardCode],"MW")),"")</f>
        <v/>
      </c>
      <c r="G176" s="12">
        <f>IFERROR(IF(SUMIFS(tblDaily[TransfersOut],tblDaily[EntryDate],DATE(2026,5,14),tblDaily[WardCode],"MW")=0,"",SUMIFS(tblDaily[TransfersOut],tblDaily[EntryDate],DATE(2026,5,14),tblDaily[WardCode],"MW")),"")</f>
        <v/>
      </c>
      <c r="H176" s="12">
        <f>IFERROR(IF(SUMIFS(tblDaily[Remaining],tblDaily[EntryDate],DATE(2026,5,14),tblDaily[WardCode],"MW")=0,"",SUMIFS(tblDaily[Remaining],tblDaily[EntryDate],DATE(2026,5,14),tblDaily[WardCode],"MW")),"")</f>
        <v/>
      </c>
    </row>
    <row r="177">
      <c r="A177" s="12" t="n">
        <v>15</v>
      </c>
      <c r="B177" s="12">
        <f>IFERROR(IF(SUMIFS(tblDaily[Admissions],tblDaily[EntryDate],DATE(2026,5,15),tblDaily[WardCode],"MW")=0,"",SUMIFS(tblDaily[Admissions],tblDaily[EntryDate],DATE(2026,5,15),tblDaily[WardCode],"MW")),"")</f>
        <v/>
      </c>
      <c r="C177" s="12">
        <f>IFERROR(IF(SUMIFS(tblDaily[Discharges],tblDaily[EntryDate],DATE(2026,5,15),tblDaily[WardCode],"MW")=0,"",SUMIFS(tblDaily[Discharges],tblDaily[EntryDate],DATE(2026,5,15),tblDaily[WardCode],"MW")),"")</f>
        <v/>
      </c>
      <c r="D177" s="12">
        <f>IFERROR(IF(SUMIFS(tblDaily[Deaths],tblDaily[EntryDate],DATE(2026,5,15),tblDaily[WardCode],"MW")=0,"",SUMIFS(tblDaily[Deaths],tblDaily[EntryDate],DATE(2026,5,15),tblDaily[WardCode],"MW")),"")</f>
        <v/>
      </c>
      <c r="E177" s="12">
        <f>IFERROR(IF(SUMIFS(tblDaily[DeathsUnder24Hrs],tblDaily[EntryDate],DATE(2026,5,15),tblDaily[WardCode],"MW")=0,"",SUMIFS(tblDaily[DeathsUnder24Hrs],tblDaily[EntryDate],DATE(2026,5,15),tblDaily[WardCode],"MW")),"")</f>
        <v/>
      </c>
      <c r="F177" s="12">
        <f>IFERROR(IF(SUMIFS(tblDaily[TransfersIn],tblDaily[EntryDate],DATE(2026,5,15),tblDaily[WardCode],"MW")=0,"",SUMIFS(tblDaily[TransfersIn],tblDaily[EntryDate],DATE(2026,5,15),tblDaily[WardCode],"MW")),"")</f>
        <v/>
      </c>
      <c r="G177" s="12">
        <f>IFERROR(IF(SUMIFS(tblDaily[TransfersOut],tblDaily[EntryDate],DATE(2026,5,15),tblDaily[WardCode],"MW")=0,"",SUMIFS(tblDaily[TransfersOut],tblDaily[EntryDate],DATE(2026,5,15),tblDaily[WardCode],"MW")),"")</f>
        <v/>
      </c>
      <c r="H177" s="12">
        <f>IFERROR(IF(SUMIFS(tblDaily[Remaining],tblDaily[EntryDate],DATE(2026,5,15),tblDaily[WardCode],"MW")=0,"",SUMIFS(tblDaily[Remaining],tblDaily[EntryDate],DATE(2026,5,15),tblDaily[WardCode],"MW")),"")</f>
        <v/>
      </c>
    </row>
    <row r="178">
      <c r="A178" s="12" t="n">
        <v>16</v>
      </c>
      <c r="B178" s="12">
        <f>IFERROR(IF(SUMIFS(tblDaily[Admissions],tblDaily[EntryDate],DATE(2026,5,16),tblDaily[WardCode],"MW")=0,"",SUMIFS(tblDaily[Admissions],tblDaily[EntryDate],DATE(2026,5,16),tblDaily[WardCode],"MW")),"")</f>
        <v/>
      </c>
      <c r="C178" s="12">
        <f>IFERROR(IF(SUMIFS(tblDaily[Discharges],tblDaily[EntryDate],DATE(2026,5,16),tblDaily[WardCode],"MW")=0,"",SUMIFS(tblDaily[Discharges],tblDaily[EntryDate],DATE(2026,5,16),tblDaily[WardCode],"MW")),"")</f>
        <v/>
      </c>
      <c r="D178" s="12">
        <f>IFERROR(IF(SUMIFS(tblDaily[Deaths],tblDaily[EntryDate],DATE(2026,5,16),tblDaily[WardCode],"MW")=0,"",SUMIFS(tblDaily[Deaths],tblDaily[EntryDate],DATE(2026,5,16),tblDaily[WardCode],"MW")),"")</f>
        <v/>
      </c>
      <c r="E178" s="12">
        <f>IFERROR(IF(SUMIFS(tblDaily[DeathsUnder24Hrs],tblDaily[EntryDate],DATE(2026,5,16),tblDaily[WardCode],"MW")=0,"",SUMIFS(tblDaily[DeathsUnder24Hrs],tblDaily[EntryDate],DATE(2026,5,16),tblDaily[WardCode],"MW")),"")</f>
        <v/>
      </c>
      <c r="F178" s="12">
        <f>IFERROR(IF(SUMIFS(tblDaily[TransfersIn],tblDaily[EntryDate],DATE(2026,5,16),tblDaily[WardCode],"MW")=0,"",SUMIFS(tblDaily[TransfersIn],tblDaily[EntryDate],DATE(2026,5,16),tblDaily[WardCode],"MW")),"")</f>
        <v/>
      </c>
      <c r="G178" s="12">
        <f>IFERROR(IF(SUMIFS(tblDaily[TransfersOut],tblDaily[EntryDate],DATE(2026,5,16),tblDaily[WardCode],"MW")=0,"",SUMIFS(tblDaily[TransfersOut],tblDaily[EntryDate],DATE(2026,5,16),tblDaily[WardCode],"MW")),"")</f>
        <v/>
      </c>
      <c r="H178" s="12">
        <f>IFERROR(IF(SUMIFS(tblDaily[Remaining],tblDaily[EntryDate],DATE(2026,5,16),tblDaily[WardCode],"MW")=0,"",SUMIFS(tblDaily[Remaining],tblDaily[EntryDate],DATE(2026,5,16),tblDaily[WardCode],"MW")),"")</f>
        <v/>
      </c>
    </row>
    <row r="179">
      <c r="A179" s="12" t="n">
        <v>17</v>
      </c>
      <c r="B179" s="12">
        <f>IFERROR(IF(SUMIFS(tblDaily[Admissions],tblDaily[EntryDate],DATE(2026,5,17),tblDaily[WardCode],"MW")=0,"",SUMIFS(tblDaily[Admissions],tblDaily[EntryDate],DATE(2026,5,17),tblDaily[WardCode],"MW")),"")</f>
        <v/>
      </c>
      <c r="C179" s="12">
        <f>IFERROR(IF(SUMIFS(tblDaily[Discharges],tblDaily[EntryDate],DATE(2026,5,17),tblDaily[WardCode],"MW")=0,"",SUMIFS(tblDaily[Discharges],tblDaily[EntryDate],DATE(2026,5,17),tblDaily[WardCode],"MW")),"")</f>
        <v/>
      </c>
      <c r="D179" s="12">
        <f>IFERROR(IF(SUMIFS(tblDaily[Deaths],tblDaily[EntryDate],DATE(2026,5,17),tblDaily[WardCode],"MW")=0,"",SUMIFS(tblDaily[Deaths],tblDaily[EntryDate],DATE(2026,5,17),tblDaily[WardCode],"MW")),"")</f>
        <v/>
      </c>
      <c r="E179" s="12">
        <f>IFERROR(IF(SUMIFS(tblDaily[DeathsUnder24Hrs],tblDaily[EntryDate],DATE(2026,5,17),tblDaily[WardCode],"MW")=0,"",SUMIFS(tblDaily[DeathsUnder24Hrs],tblDaily[EntryDate],DATE(2026,5,17),tblDaily[WardCode],"MW")),"")</f>
        <v/>
      </c>
      <c r="F179" s="12">
        <f>IFERROR(IF(SUMIFS(tblDaily[TransfersIn],tblDaily[EntryDate],DATE(2026,5,17),tblDaily[WardCode],"MW")=0,"",SUMIFS(tblDaily[TransfersIn],tblDaily[EntryDate],DATE(2026,5,17),tblDaily[WardCode],"MW")),"")</f>
        <v/>
      </c>
      <c r="G179" s="12">
        <f>IFERROR(IF(SUMIFS(tblDaily[TransfersOut],tblDaily[EntryDate],DATE(2026,5,17),tblDaily[WardCode],"MW")=0,"",SUMIFS(tblDaily[TransfersOut],tblDaily[EntryDate],DATE(2026,5,17),tblDaily[WardCode],"MW")),"")</f>
        <v/>
      </c>
      <c r="H179" s="12">
        <f>IFERROR(IF(SUMIFS(tblDaily[Remaining],tblDaily[EntryDate],DATE(2026,5,17),tblDaily[WardCode],"MW")=0,"",SUMIFS(tblDaily[Remaining],tblDaily[EntryDate],DATE(2026,5,17),tblDaily[WardCode],"MW")),"")</f>
        <v/>
      </c>
    </row>
    <row r="180">
      <c r="A180" s="12" t="n">
        <v>18</v>
      </c>
      <c r="B180" s="12">
        <f>IFERROR(IF(SUMIFS(tblDaily[Admissions],tblDaily[EntryDate],DATE(2026,5,18),tblDaily[WardCode],"MW")=0,"",SUMIFS(tblDaily[Admissions],tblDaily[EntryDate],DATE(2026,5,18),tblDaily[WardCode],"MW")),"")</f>
        <v/>
      </c>
      <c r="C180" s="12">
        <f>IFERROR(IF(SUMIFS(tblDaily[Discharges],tblDaily[EntryDate],DATE(2026,5,18),tblDaily[WardCode],"MW")=0,"",SUMIFS(tblDaily[Discharges],tblDaily[EntryDate],DATE(2026,5,18),tblDaily[WardCode],"MW")),"")</f>
        <v/>
      </c>
      <c r="D180" s="12">
        <f>IFERROR(IF(SUMIFS(tblDaily[Deaths],tblDaily[EntryDate],DATE(2026,5,18),tblDaily[WardCode],"MW")=0,"",SUMIFS(tblDaily[Deaths],tblDaily[EntryDate],DATE(2026,5,18),tblDaily[WardCode],"MW")),"")</f>
        <v/>
      </c>
      <c r="E180" s="12">
        <f>IFERROR(IF(SUMIFS(tblDaily[DeathsUnder24Hrs],tblDaily[EntryDate],DATE(2026,5,18),tblDaily[WardCode],"MW")=0,"",SUMIFS(tblDaily[DeathsUnder24Hrs],tblDaily[EntryDate],DATE(2026,5,18),tblDaily[WardCode],"MW")),"")</f>
        <v/>
      </c>
      <c r="F180" s="12">
        <f>IFERROR(IF(SUMIFS(tblDaily[TransfersIn],tblDaily[EntryDate],DATE(2026,5,18),tblDaily[WardCode],"MW")=0,"",SUMIFS(tblDaily[TransfersIn],tblDaily[EntryDate],DATE(2026,5,18),tblDaily[WardCode],"MW")),"")</f>
        <v/>
      </c>
      <c r="G180" s="12">
        <f>IFERROR(IF(SUMIFS(tblDaily[TransfersOut],tblDaily[EntryDate],DATE(2026,5,18),tblDaily[WardCode],"MW")=0,"",SUMIFS(tblDaily[TransfersOut],tblDaily[EntryDate],DATE(2026,5,18),tblDaily[WardCode],"MW")),"")</f>
        <v/>
      </c>
      <c r="H180" s="12">
        <f>IFERROR(IF(SUMIFS(tblDaily[Remaining],tblDaily[EntryDate],DATE(2026,5,18),tblDaily[WardCode],"MW")=0,"",SUMIFS(tblDaily[Remaining],tblDaily[EntryDate],DATE(2026,5,18),tblDaily[WardCode],"MW")),"")</f>
        <v/>
      </c>
    </row>
    <row r="181">
      <c r="A181" s="12" t="n">
        <v>19</v>
      </c>
      <c r="B181" s="12">
        <f>IFERROR(IF(SUMIFS(tblDaily[Admissions],tblDaily[EntryDate],DATE(2026,5,19),tblDaily[WardCode],"MW")=0,"",SUMIFS(tblDaily[Admissions],tblDaily[EntryDate],DATE(2026,5,19),tblDaily[WardCode],"MW")),"")</f>
        <v/>
      </c>
      <c r="C181" s="12">
        <f>IFERROR(IF(SUMIFS(tblDaily[Discharges],tblDaily[EntryDate],DATE(2026,5,19),tblDaily[WardCode],"MW")=0,"",SUMIFS(tblDaily[Discharges],tblDaily[EntryDate],DATE(2026,5,19),tblDaily[WardCode],"MW")),"")</f>
        <v/>
      </c>
      <c r="D181" s="12">
        <f>IFERROR(IF(SUMIFS(tblDaily[Deaths],tblDaily[EntryDate],DATE(2026,5,19),tblDaily[WardCode],"MW")=0,"",SUMIFS(tblDaily[Deaths],tblDaily[EntryDate],DATE(2026,5,19),tblDaily[WardCode],"MW")),"")</f>
        <v/>
      </c>
      <c r="E181" s="12">
        <f>IFERROR(IF(SUMIFS(tblDaily[DeathsUnder24Hrs],tblDaily[EntryDate],DATE(2026,5,19),tblDaily[WardCode],"MW")=0,"",SUMIFS(tblDaily[DeathsUnder24Hrs],tblDaily[EntryDate],DATE(2026,5,19),tblDaily[WardCode],"MW")),"")</f>
        <v/>
      </c>
      <c r="F181" s="12">
        <f>IFERROR(IF(SUMIFS(tblDaily[TransfersIn],tblDaily[EntryDate],DATE(2026,5,19),tblDaily[WardCode],"MW")=0,"",SUMIFS(tblDaily[TransfersIn],tblDaily[EntryDate],DATE(2026,5,19),tblDaily[WardCode],"MW")),"")</f>
        <v/>
      </c>
      <c r="G181" s="12">
        <f>IFERROR(IF(SUMIFS(tblDaily[TransfersOut],tblDaily[EntryDate],DATE(2026,5,19),tblDaily[WardCode],"MW")=0,"",SUMIFS(tblDaily[TransfersOut],tblDaily[EntryDate],DATE(2026,5,19),tblDaily[WardCode],"MW")),"")</f>
        <v/>
      </c>
      <c r="H181" s="12">
        <f>IFERROR(IF(SUMIFS(tblDaily[Remaining],tblDaily[EntryDate],DATE(2026,5,19),tblDaily[WardCode],"MW")=0,"",SUMIFS(tblDaily[Remaining],tblDaily[EntryDate],DATE(2026,5,19),tblDaily[WardCode],"MW")),"")</f>
        <v/>
      </c>
    </row>
    <row r="182">
      <c r="A182" s="12" t="n">
        <v>20</v>
      </c>
      <c r="B182" s="12">
        <f>IFERROR(IF(SUMIFS(tblDaily[Admissions],tblDaily[EntryDate],DATE(2026,5,20),tblDaily[WardCode],"MW")=0,"",SUMIFS(tblDaily[Admissions],tblDaily[EntryDate],DATE(2026,5,20),tblDaily[WardCode],"MW")),"")</f>
        <v/>
      </c>
      <c r="C182" s="12">
        <f>IFERROR(IF(SUMIFS(tblDaily[Discharges],tblDaily[EntryDate],DATE(2026,5,20),tblDaily[WardCode],"MW")=0,"",SUMIFS(tblDaily[Discharges],tblDaily[EntryDate],DATE(2026,5,20),tblDaily[WardCode],"MW")),"")</f>
        <v/>
      </c>
      <c r="D182" s="12">
        <f>IFERROR(IF(SUMIFS(tblDaily[Deaths],tblDaily[EntryDate],DATE(2026,5,20),tblDaily[WardCode],"MW")=0,"",SUMIFS(tblDaily[Deaths],tblDaily[EntryDate],DATE(2026,5,20),tblDaily[WardCode],"MW")),"")</f>
        <v/>
      </c>
      <c r="E182" s="12">
        <f>IFERROR(IF(SUMIFS(tblDaily[DeathsUnder24Hrs],tblDaily[EntryDate],DATE(2026,5,20),tblDaily[WardCode],"MW")=0,"",SUMIFS(tblDaily[DeathsUnder24Hrs],tblDaily[EntryDate],DATE(2026,5,20),tblDaily[WardCode],"MW")),"")</f>
        <v/>
      </c>
      <c r="F182" s="12">
        <f>IFERROR(IF(SUMIFS(tblDaily[TransfersIn],tblDaily[EntryDate],DATE(2026,5,20),tblDaily[WardCode],"MW")=0,"",SUMIFS(tblDaily[TransfersIn],tblDaily[EntryDate],DATE(2026,5,20),tblDaily[WardCode],"MW")),"")</f>
        <v/>
      </c>
      <c r="G182" s="12">
        <f>IFERROR(IF(SUMIFS(tblDaily[TransfersOut],tblDaily[EntryDate],DATE(2026,5,20),tblDaily[WardCode],"MW")=0,"",SUMIFS(tblDaily[TransfersOut],tblDaily[EntryDate],DATE(2026,5,20),tblDaily[WardCode],"MW")),"")</f>
        <v/>
      </c>
      <c r="H182" s="12">
        <f>IFERROR(IF(SUMIFS(tblDaily[Remaining],tblDaily[EntryDate],DATE(2026,5,20),tblDaily[WardCode],"MW")=0,"",SUMIFS(tblDaily[Remaining],tblDaily[EntryDate],DATE(2026,5,20),tblDaily[WardCode],"MW")),"")</f>
        <v/>
      </c>
    </row>
    <row r="183">
      <c r="A183" s="12" t="n">
        <v>21</v>
      </c>
      <c r="B183" s="12">
        <f>IFERROR(IF(SUMIFS(tblDaily[Admissions],tblDaily[EntryDate],DATE(2026,5,21),tblDaily[WardCode],"MW")=0,"",SUMIFS(tblDaily[Admissions],tblDaily[EntryDate],DATE(2026,5,21),tblDaily[WardCode],"MW")),"")</f>
        <v/>
      </c>
      <c r="C183" s="12">
        <f>IFERROR(IF(SUMIFS(tblDaily[Discharges],tblDaily[EntryDate],DATE(2026,5,21),tblDaily[WardCode],"MW")=0,"",SUMIFS(tblDaily[Discharges],tblDaily[EntryDate],DATE(2026,5,21),tblDaily[WardCode],"MW")),"")</f>
        <v/>
      </c>
      <c r="D183" s="12">
        <f>IFERROR(IF(SUMIFS(tblDaily[Deaths],tblDaily[EntryDate],DATE(2026,5,21),tblDaily[WardCode],"MW")=0,"",SUMIFS(tblDaily[Deaths],tblDaily[EntryDate],DATE(2026,5,21),tblDaily[WardCode],"MW")),"")</f>
        <v/>
      </c>
      <c r="E183" s="12">
        <f>IFERROR(IF(SUMIFS(tblDaily[DeathsUnder24Hrs],tblDaily[EntryDate],DATE(2026,5,21),tblDaily[WardCode],"MW")=0,"",SUMIFS(tblDaily[DeathsUnder24Hrs],tblDaily[EntryDate],DATE(2026,5,21),tblDaily[WardCode],"MW")),"")</f>
        <v/>
      </c>
      <c r="F183" s="12">
        <f>IFERROR(IF(SUMIFS(tblDaily[TransfersIn],tblDaily[EntryDate],DATE(2026,5,21),tblDaily[WardCode],"MW")=0,"",SUMIFS(tblDaily[TransfersIn],tblDaily[EntryDate],DATE(2026,5,21),tblDaily[WardCode],"MW")),"")</f>
        <v/>
      </c>
      <c r="G183" s="12">
        <f>IFERROR(IF(SUMIFS(tblDaily[TransfersOut],tblDaily[EntryDate],DATE(2026,5,21),tblDaily[WardCode],"MW")=0,"",SUMIFS(tblDaily[TransfersOut],tblDaily[EntryDate],DATE(2026,5,21),tblDaily[WardCode],"MW")),"")</f>
        <v/>
      </c>
      <c r="H183" s="12">
        <f>IFERROR(IF(SUMIFS(tblDaily[Remaining],tblDaily[EntryDate],DATE(2026,5,21),tblDaily[WardCode],"MW")=0,"",SUMIFS(tblDaily[Remaining],tblDaily[EntryDate],DATE(2026,5,21),tblDaily[WardCode],"MW")),"")</f>
        <v/>
      </c>
    </row>
    <row r="184">
      <c r="A184" s="12" t="n">
        <v>22</v>
      </c>
      <c r="B184" s="12">
        <f>IFERROR(IF(SUMIFS(tblDaily[Admissions],tblDaily[EntryDate],DATE(2026,5,22),tblDaily[WardCode],"MW")=0,"",SUMIFS(tblDaily[Admissions],tblDaily[EntryDate],DATE(2026,5,22),tblDaily[WardCode],"MW")),"")</f>
        <v/>
      </c>
      <c r="C184" s="12">
        <f>IFERROR(IF(SUMIFS(tblDaily[Discharges],tblDaily[EntryDate],DATE(2026,5,22),tblDaily[WardCode],"MW")=0,"",SUMIFS(tblDaily[Discharges],tblDaily[EntryDate],DATE(2026,5,22),tblDaily[WardCode],"MW")),"")</f>
        <v/>
      </c>
      <c r="D184" s="12">
        <f>IFERROR(IF(SUMIFS(tblDaily[Deaths],tblDaily[EntryDate],DATE(2026,5,22),tblDaily[WardCode],"MW")=0,"",SUMIFS(tblDaily[Deaths],tblDaily[EntryDate],DATE(2026,5,22),tblDaily[WardCode],"MW")),"")</f>
        <v/>
      </c>
      <c r="E184" s="12">
        <f>IFERROR(IF(SUMIFS(tblDaily[DeathsUnder24Hrs],tblDaily[EntryDate],DATE(2026,5,22),tblDaily[WardCode],"MW")=0,"",SUMIFS(tblDaily[DeathsUnder24Hrs],tblDaily[EntryDate],DATE(2026,5,22),tblDaily[WardCode],"MW")),"")</f>
        <v/>
      </c>
      <c r="F184" s="12">
        <f>IFERROR(IF(SUMIFS(tblDaily[TransfersIn],tblDaily[EntryDate],DATE(2026,5,22),tblDaily[WardCode],"MW")=0,"",SUMIFS(tblDaily[TransfersIn],tblDaily[EntryDate],DATE(2026,5,22),tblDaily[WardCode],"MW")),"")</f>
        <v/>
      </c>
      <c r="G184" s="12">
        <f>IFERROR(IF(SUMIFS(tblDaily[TransfersOut],tblDaily[EntryDate],DATE(2026,5,22),tblDaily[WardCode],"MW")=0,"",SUMIFS(tblDaily[TransfersOut],tblDaily[EntryDate],DATE(2026,5,22),tblDaily[WardCode],"MW")),"")</f>
        <v/>
      </c>
      <c r="H184" s="12">
        <f>IFERROR(IF(SUMIFS(tblDaily[Remaining],tblDaily[EntryDate],DATE(2026,5,22),tblDaily[WardCode],"MW")=0,"",SUMIFS(tblDaily[Remaining],tblDaily[EntryDate],DATE(2026,5,22),tblDaily[WardCode],"MW")),"")</f>
        <v/>
      </c>
    </row>
    <row r="185">
      <c r="A185" s="12" t="n">
        <v>23</v>
      </c>
      <c r="B185" s="12">
        <f>IFERROR(IF(SUMIFS(tblDaily[Admissions],tblDaily[EntryDate],DATE(2026,5,23),tblDaily[WardCode],"MW")=0,"",SUMIFS(tblDaily[Admissions],tblDaily[EntryDate],DATE(2026,5,23),tblDaily[WardCode],"MW")),"")</f>
        <v/>
      </c>
      <c r="C185" s="12">
        <f>IFERROR(IF(SUMIFS(tblDaily[Discharges],tblDaily[EntryDate],DATE(2026,5,23),tblDaily[WardCode],"MW")=0,"",SUMIFS(tblDaily[Discharges],tblDaily[EntryDate],DATE(2026,5,23),tblDaily[WardCode],"MW")),"")</f>
        <v/>
      </c>
      <c r="D185" s="12">
        <f>IFERROR(IF(SUMIFS(tblDaily[Deaths],tblDaily[EntryDate],DATE(2026,5,23),tblDaily[WardCode],"MW")=0,"",SUMIFS(tblDaily[Deaths],tblDaily[EntryDate],DATE(2026,5,23),tblDaily[WardCode],"MW")),"")</f>
        <v/>
      </c>
      <c r="E185" s="12">
        <f>IFERROR(IF(SUMIFS(tblDaily[DeathsUnder24Hrs],tblDaily[EntryDate],DATE(2026,5,23),tblDaily[WardCode],"MW")=0,"",SUMIFS(tblDaily[DeathsUnder24Hrs],tblDaily[EntryDate],DATE(2026,5,23),tblDaily[WardCode],"MW")),"")</f>
        <v/>
      </c>
      <c r="F185" s="12">
        <f>IFERROR(IF(SUMIFS(tblDaily[TransfersIn],tblDaily[EntryDate],DATE(2026,5,23),tblDaily[WardCode],"MW")=0,"",SUMIFS(tblDaily[TransfersIn],tblDaily[EntryDate],DATE(2026,5,23),tblDaily[WardCode],"MW")),"")</f>
        <v/>
      </c>
      <c r="G185" s="12">
        <f>IFERROR(IF(SUMIFS(tblDaily[TransfersOut],tblDaily[EntryDate],DATE(2026,5,23),tblDaily[WardCode],"MW")=0,"",SUMIFS(tblDaily[TransfersOut],tblDaily[EntryDate],DATE(2026,5,23),tblDaily[WardCode],"MW")),"")</f>
        <v/>
      </c>
      <c r="H185" s="12">
        <f>IFERROR(IF(SUMIFS(tblDaily[Remaining],tblDaily[EntryDate],DATE(2026,5,23),tblDaily[WardCode],"MW")=0,"",SUMIFS(tblDaily[Remaining],tblDaily[EntryDate],DATE(2026,5,23),tblDaily[WardCode],"MW")),"")</f>
        <v/>
      </c>
    </row>
    <row r="186">
      <c r="A186" s="12" t="n">
        <v>24</v>
      </c>
      <c r="B186" s="12">
        <f>IFERROR(IF(SUMIFS(tblDaily[Admissions],tblDaily[EntryDate],DATE(2026,5,24),tblDaily[WardCode],"MW")=0,"",SUMIFS(tblDaily[Admissions],tblDaily[EntryDate],DATE(2026,5,24),tblDaily[WardCode],"MW")),"")</f>
        <v/>
      </c>
      <c r="C186" s="12">
        <f>IFERROR(IF(SUMIFS(tblDaily[Discharges],tblDaily[EntryDate],DATE(2026,5,24),tblDaily[WardCode],"MW")=0,"",SUMIFS(tblDaily[Discharges],tblDaily[EntryDate],DATE(2026,5,24),tblDaily[WardCode],"MW")),"")</f>
        <v/>
      </c>
      <c r="D186" s="12">
        <f>IFERROR(IF(SUMIFS(tblDaily[Deaths],tblDaily[EntryDate],DATE(2026,5,24),tblDaily[WardCode],"MW")=0,"",SUMIFS(tblDaily[Deaths],tblDaily[EntryDate],DATE(2026,5,24),tblDaily[WardCode],"MW")),"")</f>
        <v/>
      </c>
      <c r="E186" s="12">
        <f>IFERROR(IF(SUMIFS(tblDaily[DeathsUnder24Hrs],tblDaily[EntryDate],DATE(2026,5,24),tblDaily[WardCode],"MW")=0,"",SUMIFS(tblDaily[DeathsUnder24Hrs],tblDaily[EntryDate],DATE(2026,5,24),tblDaily[WardCode],"MW")),"")</f>
        <v/>
      </c>
      <c r="F186" s="12">
        <f>IFERROR(IF(SUMIFS(tblDaily[TransfersIn],tblDaily[EntryDate],DATE(2026,5,24),tblDaily[WardCode],"MW")=0,"",SUMIFS(tblDaily[TransfersIn],tblDaily[EntryDate],DATE(2026,5,24),tblDaily[WardCode],"MW")),"")</f>
        <v/>
      </c>
      <c r="G186" s="12">
        <f>IFERROR(IF(SUMIFS(tblDaily[TransfersOut],tblDaily[EntryDate],DATE(2026,5,24),tblDaily[WardCode],"MW")=0,"",SUMIFS(tblDaily[TransfersOut],tblDaily[EntryDate],DATE(2026,5,24),tblDaily[WardCode],"MW")),"")</f>
        <v/>
      </c>
      <c r="H186" s="12">
        <f>IFERROR(IF(SUMIFS(tblDaily[Remaining],tblDaily[EntryDate],DATE(2026,5,24),tblDaily[WardCode],"MW")=0,"",SUMIFS(tblDaily[Remaining],tblDaily[EntryDate],DATE(2026,5,24),tblDaily[WardCode],"MW")),"")</f>
        <v/>
      </c>
    </row>
    <row r="187">
      <c r="A187" s="12" t="n">
        <v>25</v>
      </c>
      <c r="B187" s="12">
        <f>IFERROR(IF(SUMIFS(tblDaily[Admissions],tblDaily[EntryDate],DATE(2026,5,25),tblDaily[WardCode],"MW")=0,"",SUMIFS(tblDaily[Admissions],tblDaily[EntryDate],DATE(2026,5,25),tblDaily[WardCode],"MW")),"")</f>
        <v/>
      </c>
      <c r="C187" s="12">
        <f>IFERROR(IF(SUMIFS(tblDaily[Discharges],tblDaily[EntryDate],DATE(2026,5,25),tblDaily[WardCode],"MW")=0,"",SUMIFS(tblDaily[Discharges],tblDaily[EntryDate],DATE(2026,5,25),tblDaily[WardCode],"MW")),"")</f>
        <v/>
      </c>
      <c r="D187" s="12">
        <f>IFERROR(IF(SUMIFS(tblDaily[Deaths],tblDaily[EntryDate],DATE(2026,5,25),tblDaily[WardCode],"MW")=0,"",SUMIFS(tblDaily[Deaths],tblDaily[EntryDate],DATE(2026,5,25),tblDaily[WardCode],"MW")),"")</f>
        <v/>
      </c>
      <c r="E187" s="12">
        <f>IFERROR(IF(SUMIFS(tblDaily[DeathsUnder24Hrs],tblDaily[EntryDate],DATE(2026,5,25),tblDaily[WardCode],"MW")=0,"",SUMIFS(tblDaily[DeathsUnder24Hrs],tblDaily[EntryDate],DATE(2026,5,25),tblDaily[WardCode],"MW")),"")</f>
        <v/>
      </c>
      <c r="F187" s="12">
        <f>IFERROR(IF(SUMIFS(tblDaily[TransfersIn],tblDaily[EntryDate],DATE(2026,5,25),tblDaily[WardCode],"MW")=0,"",SUMIFS(tblDaily[TransfersIn],tblDaily[EntryDate],DATE(2026,5,25),tblDaily[WardCode],"MW")),"")</f>
        <v/>
      </c>
      <c r="G187" s="12">
        <f>IFERROR(IF(SUMIFS(tblDaily[TransfersOut],tblDaily[EntryDate],DATE(2026,5,25),tblDaily[WardCode],"MW")=0,"",SUMIFS(tblDaily[TransfersOut],tblDaily[EntryDate],DATE(2026,5,25),tblDaily[WardCode],"MW")),"")</f>
        <v/>
      </c>
      <c r="H187" s="12">
        <f>IFERROR(IF(SUMIFS(tblDaily[Remaining],tblDaily[EntryDate],DATE(2026,5,25),tblDaily[WardCode],"MW")=0,"",SUMIFS(tblDaily[Remaining],tblDaily[EntryDate],DATE(2026,5,25),tblDaily[WardCode],"MW")),"")</f>
        <v/>
      </c>
    </row>
    <row r="188">
      <c r="A188" s="12" t="n">
        <v>26</v>
      </c>
      <c r="B188" s="12">
        <f>IFERROR(IF(SUMIFS(tblDaily[Admissions],tblDaily[EntryDate],DATE(2026,5,26),tblDaily[WardCode],"MW")=0,"",SUMIFS(tblDaily[Admissions],tblDaily[EntryDate],DATE(2026,5,26),tblDaily[WardCode],"MW")),"")</f>
        <v/>
      </c>
      <c r="C188" s="12">
        <f>IFERROR(IF(SUMIFS(tblDaily[Discharges],tblDaily[EntryDate],DATE(2026,5,26),tblDaily[WardCode],"MW")=0,"",SUMIFS(tblDaily[Discharges],tblDaily[EntryDate],DATE(2026,5,26),tblDaily[WardCode],"MW")),"")</f>
        <v/>
      </c>
      <c r="D188" s="12">
        <f>IFERROR(IF(SUMIFS(tblDaily[Deaths],tblDaily[EntryDate],DATE(2026,5,26),tblDaily[WardCode],"MW")=0,"",SUMIFS(tblDaily[Deaths],tblDaily[EntryDate],DATE(2026,5,26),tblDaily[WardCode],"MW")),"")</f>
        <v/>
      </c>
      <c r="E188" s="12">
        <f>IFERROR(IF(SUMIFS(tblDaily[DeathsUnder24Hrs],tblDaily[EntryDate],DATE(2026,5,26),tblDaily[WardCode],"MW")=0,"",SUMIFS(tblDaily[DeathsUnder24Hrs],tblDaily[EntryDate],DATE(2026,5,26),tblDaily[WardCode],"MW")),"")</f>
        <v/>
      </c>
      <c r="F188" s="12">
        <f>IFERROR(IF(SUMIFS(tblDaily[TransfersIn],tblDaily[EntryDate],DATE(2026,5,26),tblDaily[WardCode],"MW")=0,"",SUMIFS(tblDaily[TransfersIn],tblDaily[EntryDate],DATE(2026,5,26),tblDaily[WardCode],"MW")),"")</f>
        <v/>
      </c>
      <c r="G188" s="12">
        <f>IFERROR(IF(SUMIFS(tblDaily[TransfersOut],tblDaily[EntryDate],DATE(2026,5,26),tblDaily[WardCode],"MW")=0,"",SUMIFS(tblDaily[TransfersOut],tblDaily[EntryDate],DATE(2026,5,26),tblDaily[WardCode],"MW")),"")</f>
        <v/>
      </c>
      <c r="H188" s="12">
        <f>IFERROR(IF(SUMIFS(tblDaily[Remaining],tblDaily[EntryDate],DATE(2026,5,26),tblDaily[WardCode],"MW")=0,"",SUMIFS(tblDaily[Remaining],tblDaily[EntryDate],DATE(2026,5,26),tblDaily[WardCode],"MW")),"")</f>
        <v/>
      </c>
    </row>
    <row r="189">
      <c r="A189" s="12" t="n">
        <v>27</v>
      </c>
      <c r="B189" s="12">
        <f>IFERROR(IF(SUMIFS(tblDaily[Admissions],tblDaily[EntryDate],DATE(2026,5,27),tblDaily[WardCode],"MW")=0,"",SUMIFS(tblDaily[Admissions],tblDaily[EntryDate],DATE(2026,5,27),tblDaily[WardCode],"MW")),"")</f>
        <v/>
      </c>
      <c r="C189" s="12">
        <f>IFERROR(IF(SUMIFS(tblDaily[Discharges],tblDaily[EntryDate],DATE(2026,5,27),tblDaily[WardCode],"MW")=0,"",SUMIFS(tblDaily[Discharges],tblDaily[EntryDate],DATE(2026,5,27),tblDaily[WardCode],"MW")),"")</f>
        <v/>
      </c>
      <c r="D189" s="12">
        <f>IFERROR(IF(SUMIFS(tblDaily[Deaths],tblDaily[EntryDate],DATE(2026,5,27),tblDaily[WardCode],"MW")=0,"",SUMIFS(tblDaily[Deaths],tblDaily[EntryDate],DATE(2026,5,27),tblDaily[WardCode],"MW")),"")</f>
        <v/>
      </c>
      <c r="E189" s="12">
        <f>IFERROR(IF(SUMIFS(tblDaily[DeathsUnder24Hrs],tblDaily[EntryDate],DATE(2026,5,27),tblDaily[WardCode],"MW")=0,"",SUMIFS(tblDaily[DeathsUnder24Hrs],tblDaily[EntryDate],DATE(2026,5,27),tblDaily[WardCode],"MW")),"")</f>
        <v/>
      </c>
      <c r="F189" s="12">
        <f>IFERROR(IF(SUMIFS(tblDaily[TransfersIn],tblDaily[EntryDate],DATE(2026,5,27),tblDaily[WardCode],"MW")=0,"",SUMIFS(tblDaily[TransfersIn],tblDaily[EntryDate],DATE(2026,5,27),tblDaily[WardCode],"MW")),"")</f>
        <v/>
      </c>
      <c r="G189" s="12">
        <f>IFERROR(IF(SUMIFS(tblDaily[TransfersOut],tblDaily[EntryDate],DATE(2026,5,27),tblDaily[WardCode],"MW")=0,"",SUMIFS(tblDaily[TransfersOut],tblDaily[EntryDate],DATE(2026,5,27),tblDaily[WardCode],"MW")),"")</f>
        <v/>
      </c>
      <c r="H189" s="12">
        <f>IFERROR(IF(SUMIFS(tblDaily[Remaining],tblDaily[EntryDate],DATE(2026,5,27),tblDaily[WardCode],"MW")=0,"",SUMIFS(tblDaily[Remaining],tblDaily[EntryDate],DATE(2026,5,27),tblDaily[WardCode],"MW")),"")</f>
        <v/>
      </c>
    </row>
    <row r="190">
      <c r="A190" s="12" t="n">
        <v>28</v>
      </c>
      <c r="B190" s="12">
        <f>IFERROR(IF(SUMIFS(tblDaily[Admissions],tblDaily[EntryDate],DATE(2026,5,28),tblDaily[WardCode],"MW")=0,"",SUMIFS(tblDaily[Admissions],tblDaily[EntryDate],DATE(2026,5,28),tblDaily[WardCode],"MW")),"")</f>
        <v/>
      </c>
      <c r="C190" s="12">
        <f>IFERROR(IF(SUMIFS(tblDaily[Discharges],tblDaily[EntryDate],DATE(2026,5,28),tblDaily[WardCode],"MW")=0,"",SUMIFS(tblDaily[Discharges],tblDaily[EntryDate],DATE(2026,5,28),tblDaily[WardCode],"MW")),"")</f>
        <v/>
      </c>
      <c r="D190" s="12">
        <f>IFERROR(IF(SUMIFS(tblDaily[Deaths],tblDaily[EntryDate],DATE(2026,5,28),tblDaily[WardCode],"MW")=0,"",SUMIFS(tblDaily[Deaths],tblDaily[EntryDate],DATE(2026,5,28),tblDaily[WardCode],"MW")),"")</f>
        <v/>
      </c>
      <c r="E190" s="12">
        <f>IFERROR(IF(SUMIFS(tblDaily[DeathsUnder24Hrs],tblDaily[EntryDate],DATE(2026,5,28),tblDaily[WardCode],"MW")=0,"",SUMIFS(tblDaily[DeathsUnder24Hrs],tblDaily[EntryDate],DATE(2026,5,28),tblDaily[WardCode],"MW")),"")</f>
        <v/>
      </c>
      <c r="F190" s="12">
        <f>IFERROR(IF(SUMIFS(tblDaily[TransfersIn],tblDaily[EntryDate],DATE(2026,5,28),tblDaily[WardCode],"MW")=0,"",SUMIFS(tblDaily[TransfersIn],tblDaily[EntryDate],DATE(2026,5,28),tblDaily[WardCode],"MW")),"")</f>
        <v/>
      </c>
      <c r="G190" s="12">
        <f>IFERROR(IF(SUMIFS(tblDaily[TransfersOut],tblDaily[EntryDate],DATE(2026,5,28),tblDaily[WardCode],"MW")=0,"",SUMIFS(tblDaily[TransfersOut],tblDaily[EntryDate],DATE(2026,5,28),tblDaily[WardCode],"MW")),"")</f>
        <v/>
      </c>
      <c r="H190" s="12">
        <f>IFERROR(IF(SUMIFS(tblDaily[Remaining],tblDaily[EntryDate],DATE(2026,5,28),tblDaily[WardCode],"MW")=0,"",SUMIFS(tblDaily[Remaining],tblDaily[EntryDate],DATE(2026,5,28),tblDaily[WardCode],"MW")),"")</f>
        <v/>
      </c>
    </row>
    <row r="191">
      <c r="A191" s="12" t="n">
        <v>29</v>
      </c>
      <c r="B191" s="12">
        <f>IFERROR(IF(SUMIFS(tblDaily[Admissions],tblDaily[EntryDate],DATE(2026,5,29),tblDaily[WardCode],"MW")=0,"",SUMIFS(tblDaily[Admissions],tblDaily[EntryDate],DATE(2026,5,29),tblDaily[WardCode],"MW")),"")</f>
        <v/>
      </c>
      <c r="C191" s="12">
        <f>IFERROR(IF(SUMIFS(tblDaily[Discharges],tblDaily[EntryDate],DATE(2026,5,29),tblDaily[WardCode],"MW")=0,"",SUMIFS(tblDaily[Discharges],tblDaily[EntryDate],DATE(2026,5,29),tblDaily[WardCode],"MW")),"")</f>
        <v/>
      </c>
      <c r="D191" s="12">
        <f>IFERROR(IF(SUMIFS(tblDaily[Deaths],tblDaily[EntryDate],DATE(2026,5,29),tblDaily[WardCode],"MW")=0,"",SUMIFS(tblDaily[Deaths],tblDaily[EntryDate],DATE(2026,5,29),tblDaily[WardCode],"MW")),"")</f>
        <v/>
      </c>
      <c r="E191" s="12">
        <f>IFERROR(IF(SUMIFS(tblDaily[DeathsUnder24Hrs],tblDaily[EntryDate],DATE(2026,5,29),tblDaily[WardCode],"MW")=0,"",SUMIFS(tblDaily[DeathsUnder24Hrs],tblDaily[EntryDate],DATE(2026,5,29),tblDaily[WardCode],"MW")),"")</f>
        <v/>
      </c>
      <c r="F191" s="12">
        <f>IFERROR(IF(SUMIFS(tblDaily[TransfersIn],tblDaily[EntryDate],DATE(2026,5,29),tblDaily[WardCode],"MW")=0,"",SUMIFS(tblDaily[TransfersIn],tblDaily[EntryDate],DATE(2026,5,29),tblDaily[WardCode],"MW")),"")</f>
        <v/>
      </c>
      <c r="G191" s="12">
        <f>IFERROR(IF(SUMIFS(tblDaily[TransfersOut],tblDaily[EntryDate],DATE(2026,5,29),tblDaily[WardCode],"MW")=0,"",SUMIFS(tblDaily[TransfersOut],tblDaily[EntryDate],DATE(2026,5,29),tblDaily[WardCode],"MW")),"")</f>
        <v/>
      </c>
      <c r="H191" s="12">
        <f>IFERROR(IF(SUMIFS(tblDaily[Remaining],tblDaily[EntryDate],DATE(2026,5,29),tblDaily[WardCode],"MW")=0,"",SUMIFS(tblDaily[Remaining],tblDaily[EntryDate],DATE(2026,5,29),tblDaily[WardCode],"MW")),"")</f>
        <v/>
      </c>
    </row>
    <row r="192">
      <c r="A192" s="12" t="n">
        <v>30</v>
      </c>
      <c r="B192" s="12">
        <f>IFERROR(IF(SUMIFS(tblDaily[Admissions],tblDaily[EntryDate],DATE(2026,5,30),tblDaily[WardCode],"MW")=0,"",SUMIFS(tblDaily[Admissions],tblDaily[EntryDate],DATE(2026,5,30),tblDaily[WardCode],"MW")),"")</f>
        <v/>
      </c>
      <c r="C192" s="12">
        <f>IFERROR(IF(SUMIFS(tblDaily[Discharges],tblDaily[EntryDate],DATE(2026,5,30),tblDaily[WardCode],"MW")=0,"",SUMIFS(tblDaily[Discharges],tblDaily[EntryDate],DATE(2026,5,30),tblDaily[WardCode],"MW")),"")</f>
        <v/>
      </c>
      <c r="D192" s="12">
        <f>IFERROR(IF(SUMIFS(tblDaily[Deaths],tblDaily[EntryDate],DATE(2026,5,30),tblDaily[WardCode],"MW")=0,"",SUMIFS(tblDaily[Deaths],tblDaily[EntryDate],DATE(2026,5,30),tblDaily[WardCode],"MW")),"")</f>
        <v/>
      </c>
      <c r="E192" s="12">
        <f>IFERROR(IF(SUMIFS(tblDaily[DeathsUnder24Hrs],tblDaily[EntryDate],DATE(2026,5,30),tblDaily[WardCode],"MW")=0,"",SUMIFS(tblDaily[DeathsUnder24Hrs],tblDaily[EntryDate],DATE(2026,5,30),tblDaily[WardCode],"MW")),"")</f>
        <v/>
      </c>
      <c r="F192" s="12">
        <f>IFERROR(IF(SUMIFS(tblDaily[TransfersIn],tblDaily[EntryDate],DATE(2026,5,30),tblDaily[WardCode],"MW")=0,"",SUMIFS(tblDaily[TransfersIn],tblDaily[EntryDate],DATE(2026,5,30),tblDaily[WardCode],"MW")),"")</f>
        <v/>
      </c>
      <c r="G192" s="12">
        <f>IFERROR(IF(SUMIFS(tblDaily[TransfersOut],tblDaily[EntryDate],DATE(2026,5,30),tblDaily[WardCode],"MW")=0,"",SUMIFS(tblDaily[TransfersOut],tblDaily[EntryDate],DATE(2026,5,30),tblDaily[WardCode],"MW")),"")</f>
        <v/>
      </c>
      <c r="H192" s="12">
        <f>IFERROR(IF(SUMIFS(tblDaily[Remaining],tblDaily[EntryDate],DATE(2026,5,30),tblDaily[WardCode],"MW")=0,"",SUMIFS(tblDaily[Remaining],tblDaily[EntryDate],DATE(2026,5,30),tblDaily[WardCode],"MW")),"")</f>
        <v/>
      </c>
    </row>
    <row r="193">
      <c r="A193" s="12" t="n">
        <v>31</v>
      </c>
      <c r="B193" s="12">
        <f>IFERROR(IF(SUMIFS(tblDaily[Admissions],tblDaily[EntryDate],DATE(2026,5,31),tblDaily[WardCode],"MW")=0,"",SUMIFS(tblDaily[Admissions],tblDaily[EntryDate],DATE(2026,5,31),tblDaily[WardCode],"MW")),"")</f>
        <v/>
      </c>
      <c r="C193" s="12">
        <f>IFERROR(IF(SUMIFS(tblDaily[Discharges],tblDaily[EntryDate],DATE(2026,5,31),tblDaily[WardCode],"MW")=0,"",SUMIFS(tblDaily[Discharges],tblDaily[EntryDate],DATE(2026,5,31),tblDaily[WardCode],"MW")),"")</f>
        <v/>
      </c>
      <c r="D193" s="12">
        <f>IFERROR(IF(SUMIFS(tblDaily[Deaths],tblDaily[EntryDate],DATE(2026,5,31),tblDaily[WardCode],"MW")=0,"",SUMIFS(tblDaily[Deaths],tblDaily[EntryDate],DATE(2026,5,31),tblDaily[WardCode],"MW")),"")</f>
        <v/>
      </c>
      <c r="E193" s="12">
        <f>IFERROR(IF(SUMIFS(tblDaily[DeathsUnder24Hrs],tblDaily[EntryDate],DATE(2026,5,31),tblDaily[WardCode],"MW")=0,"",SUMIFS(tblDaily[DeathsUnder24Hrs],tblDaily[EntryDate],DATE(2026,5,31),tblDaily[WardCode],"MW")),"")</f>
        <v/>
      </c>
      <c r="F193" s="12">
        <f>IFERROR(IF(SUMIFS(tblDaily[TransfersIn],tblDaily[EntryDate],DATE(2026,5,31),tblDaily[WardCode],"MW")=0,"",SUMIFS(tblDaily[TransfersIn],tblDaily[EntryDate],DATE(2026,5,31),tblDaily[WardCode],"MW")),"")</f>
        <v/>
      </c>
      <c r="G193" s="12">
        <f>IFERROR(IF(SUMIFS(tblDaily[TransfersOut],tblDaily[EntryDate],DATE(2026,5,31),tblDaily[WardCode],"MW")=0,"",SUMIFS(tblDaily[TransfersOut],tblDaily[EntryDate],DATE(2026,5,31),tblDaily[WardCode],"MW")),"")</f>
        <v/>
      </c>
      <c r="H193" s="12">
        <f>IFERROR(IF(SUMIFS(tblDaily[Remaining],tblDaily[EntryDate],DATE(2026,5,31),tblDaily[WardCode],"MW")=0,"",SUMIFS(tblDaily[Remaining],tblDaily[EntryDate],DATE(2026,5,31),tblDaily[WardCode],"MW")),"")</f>
        <v/>
      </c>
    </row>
    <row r="194">
      <c r="A194" s="17" t="inlineStr">
        <is>
          <t>TOTAL</t>
        </is>
      </c>
      <c r="B194" s="17">
        <f>SUMIFS(tblDaily[Admissions],tblDaily[Month],5,tblDaily[WardCode],"MW") - SUMIFS(tblDaily[DeathsUnder24Hrs],tblDaily[Month],5,tblDaily[WardCode],"MW")</f>
        <v/>
      </c>
      <c r="C194" s="17">
        <f>SUMIFS(tblDaily[Discharges],tblDaily[Month],5,tblDaily[WardCode],"MW")</f>
        <v/>
      </c>
      <c r="D194" s="17">
        <f>SUMIFS(tblDaily[Deaths],tblDaily[Month],5,tblDaily[WardCode],"MW")</f>
        <v/>
      </c>
      <c r="E194" s="17">
        <f>SUMIFS(tblDaily[DeathsUnder24Hrs],tblDaily[Month],5,tblDaily[WardCode],"MW")</f>
        <v/>
      </c>
      <c r="F194" s="17">
        <f>SUMIFS(tblDaily[TransfersIn],tblDaily[Month],5,tblDaily[WardCode],"MW")</f>
        <v/>
      </c>
      <c r="G194" s="17">
        <f>SUMIFS(tblDaily[TransfersOut],tblDaily[Month],5,tblDaily[WardCode],"MW")</f>
        <v/>
      </c>
      <c r="H194" s="17">
        <f>SUMIFS(tblDaily[Remaining],tblDaily[Month],5,tblDaily[WardCode],"MW")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MALE MEDICAL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4">
        <f>IFERROR(SUMIFS(tblDaily[Remaining],tblDaily[EntryDate],DATE(2026,5,31),tblDaily[WardCode],"MW"),0)</f>
        <v/>
      </c>
    </row>
    <row r="200">
      <c r="A200" s="4" t="inlineStr">
        <is>
          <t>Bed complement</t>
        </is>
      </c>
      <c r="H200" s="15">
        <f>IFERROR(INDEX(tblWardConfig[BedComplement],MATCH("MW",tblWardConfig[WardCode],0)),0)</f>
        <v/>
      </c>
    </row>
    <row r="201">
      <c r="A201" s="16" t="inlineStr">
        <is>
          <t>Day of
the
Month</t>
        </is>
      </c>
      <c r="B201" s="16" t="inlineStr">
        <is>
          <t>Admissions</t>
        </is>
      </c>
      <c r="C201" s="16" t="inlineStr">
        <is>
          <t>Discharges</t>
        </is>
      </c>
      <c r="D201" s="16" t="inlineStr">
        <is>
          <t>Deaths</t>
        </is>
      </c>
      <c r="E201" s="16" t="inlineStr">
        <is>
          <t>Deaths
&lt;24Hrs</t>
        </is>
      </c>
      <c r="F201" s="16" t="inlineStr">
        <is>
          <t>Transfers-
In</t>
        </is>
      </c>
      <c r="G201" s="16" t="inlineStr">
        <is>
          <t>Transfers-
Out</t>
        </is>
      </c>
      <c r="H201" s="16" t="inlineStr">
        <is>
          <t>No. of Patients
Remaining In
Ward</t>
        </is>
      </c>
    </row>
    <row r="202">
      <c r="A202" s="12" t="n">
        <v>1</v>
      </c>
      <c r="B202" s="12">
        <f>IFERROR(IF(SUMIFS(tblDaily[Admissions],tblDaily[EntryDate],DATE(2026,6,1),tblDaily[WardCode],"MW")=0,"",SUMIFS(tblDaily[Admissions],tblDaily[EntryDate],DATE(2026,6,1),tblDaily[WardCode],"MW")),"")</f>
        <v/>
      </c>
      <c r="C202" s="12">
        <f>IFERROR(IF(SUMIFS(tblDaily[Discharges],tblDaily[EntryDate],DATE(2026,6,1),tblDaily[WardCode],"MW")=0,"",SUMIFS(tblDaily[Discharges],tblDaily[EntryDate],DATE(2026,6,1),tblDaily[WardCode],"MW")),"")</f>
        <v/>
      </c>
      <c r="D202" s="12">
        <f>IFERROR(IF(SUMIFS(tblDaily[Deaths],tblDaily[EntryDate],DATE(2026,6,1),tblDaily[WardCode],"MW")=0,"",SUMIFS(tblDaily[Deaths],tblDaily[EntryDate],DATE(2026,6,1),tblDaily[WardCode],"MW")),"")</f>
        <v/>
      </c>
      <c r="E202" s="12">
        <f>IFERROR(IF(SUMIFS(tblDaily[DeathsUnder24Hrs],tblDaily[EntryDate],DATE(2026,6,1),tblDaily[WardCode],"MW")=0,"",SUMIFS(tblDaily[DeathsUnder24Hrs],tblDaily[EntryDate],DATE(2026,6,1),tblDaily[WardCode],"MW")),"")</f>
        <v/>
      </c>
      <c r="F202" s="12">
        <f>IFERROR(IF(SUMIFS(tblDaily[TransfersIn],tblDaily[EntryDate],DATE(2026,6,1),tblDaily[WardCode],"MW")=0,"",SUMIFS(tblDaily[TransfersIn],tblDaily[EntryDate],DATE(2026,6,1),tblDaily[WardCode],"MW")),"")</f>
        <v/>
      </c>
      <c r="G202" s="12">
        <f>IFERROR(IF(SUMIFS(tblDaily[TransfersOut],tblDaily[EntryDate],DATE(2026,6,1),tblDaily[WardCode],"MW")=0,"",SUMIFS(tblDaily[TransfersOut],tblDaily[EntryDate],DATE(2026,6,1),tblDaily[WardCode],"MW")),"")</f>
        <v/>
      </c>
      <c r="H202" s="12">
        <f>IFERROR(IF(SUMIFS(tblDaily[Remaining],tblDaily[EntryDate],DATE(2026,6,1),tblDaily[WardCode],"MW")=0,"",SUMIFS(tblDaily[Remaining],tblDaily[EntryDate],DATE(2026,6,1),tblDaily[WardCode],"MW")),"")</f>
        <v/>
      </c>
    </row>
    <row r="203">
      <c r="A203" s="12" t="n">
        <v>2</v>
      </c>
      <c r="B203" s="12">
        <f>IFERROR(IF(SUMIFS(tblDaily[Admissions],tblDaily[EntryDate],DATE(2026,6,2),tblDaily[WardCode],"MW")=0,"",SUMIFS(tblDaily[Admissions],tblDaily[EntryDate],DATE(2026,6,2),tblDaily[WardCode],"MW")),"")</f>
        <v/>
      </c>
      <c r="C203" s="12">
        <f>IFERROR(IF(SUMIFS(tblDaily[Discharges],tblDaily[EntryDate],DATE(2026,6,2),tblDaily[WardCode],"MW")=0,"",SUMIFS(tblDaily[Discharges],tblDaily[EntryDate],DATE(2026,6,2),tblDaily[WardCode],"MW")),"")</f>
        <v/>
      </c>
      <c r="D203" s="12">
        <f>IFERROR(IF(SUMIFS(tblDaily[Deaths],tblDaily[EntryDate],DATE(2026,6,2),tblDaily[WardCode],"MW")=0,"",SUMIFS(tblDaily[Deaths],tblDaily[EntryDate],DATE(2026,6,2),tblDaily[WardCode],"MW")),"")</f>
        <v/>
      </c>
      <c r="E203" s="12">
        <f>IFERROR(IF(SUMIFS(tblDaily[DeathsUnder24Hrs],tblDaily[EntryDate],DATE(2026,6,2),tblDaily[WardCode],"MW")=0,"",SUMIFS(tblDaily[DeathsUnder24Hrs],tblDaily[EntryDate],DATE(2026,6,2),tblDaily[WardCode],"MW")),"")</f>
        <v/>
      </c>
      <c r="F203" s="12">
        <f>IFERROR(IF(SUMIFS(tblDaily[TransfersIn],tblDaily[EntryDate],DATE(2026,6,2),tblDaily[WardCode],"MW")=0,"",SUMIFS(tblDaily[TransfersIn],tblDaily[EntryDate],DATE(2026,6,2),tblDaily[WardCode],"MW")),"")</f>
        <v/>
      </c>
      <c r="G203" s="12">
        <f>IFERROR(IF(SUMIFS(tblDaily[TransfersOut],tblDaily[EntryDate],DATE(2026,6,2),tblDaily[WardCode],"MW")=0,"",SUMIFS(tblDaily[TransfersOut],tblDaily[EntryDate],DATE(2026,6,2),tblDaily[WardCode],"MW")),"")</f>
        <v/>
      </c>
      <c r="H203" s="12">
        <f>IFERROR(IF(SUMIFS(tblDaily[Remaining],tblDaily[EntryDate],DATE(2026,6,2),tblDaily[WardCode],"MW")=0,"",SUMIFS(tblDaily[Remaining],tblDaily[EntryDate],DATE(2026,6,2),tblDaily[WardCode],"MW")),"")</f>
        <v/>
      </c>
    </row>
    <row r="204">
      <c r="A204" s="12" t="n">
        <v>3</v>
      </c>
      <c r="B204" s="12">
        <f>IFERROR(IF(SUMIFS(tblDaily[Admissions],tblDaily[EntryDate],DATE(2026,6,3),tblDaily[WardCode],"MW")=0,"",SUMIFS(tblDaily[Admissions],tblDaily[EntryDate],DATE(2026,6,3),tblDaily[WardCode],"MW")),"")</f>
        <v/>
      </c>
      <c r="C204" s="12">
        <f>IFERROR(IF(SUMIFS(tblDaily[Discharges],tblDaily[EntryDate],DATE(2026,6,3),tblDaily[WardCode],"MW")=0,"",SUMIFS(tblDaily[Discharges],tblDaily[EntryDate],DATE(2026,6,3),tblDaily[WardCode],"MW")),"")</f>
        <v/>
      </c>
      <c r="D204" s="12">
        <f>IFERROR(IF(SUMIFS(tblDaily[Deaths],tblDaily[EntryDate],DATE(2026,6,3),tblDaily[WardCode],"MW")=0,"",SUMIFS(tblDaily[Deaths],tblDaily[EntryDate],DATE(2026,6,3),tblDaily[WardCode],"MW")),"")</f>
        <v/>
      </c>
      <c r="E204" s="12">
        <f>IFERROR(IF(SUMIFS(tblDaily[DeathsUnder24Hrs],tblDaily[EntryDate],DATE(2026,6,3),tblDaily[WardCode],"MW")=0,"",SUMIFS(tblDaily[DeathsUnder24Hrs],tblDaily[EntryDate],DATE(2026,6,3),tblDaily[WardCode],"MW")),"")</f>
        <v/>
      </c>
      <c r="F204" s="12">
        <f>IFERROR(IF(SUMIFS(tblDaily[TransfersIn],tblDaily[EntryDate],DATE(2026,6,3),tblDaily[WardCode],"MW")=0,"",SUMIFS(tblDaily[TransfersIn],tblDaily[EntryDate],DATE(2026,6,3),tblDaily[WardCode],"MW")),"")</f>
        <v/>
      </c>
      <c r="G204" s="12">
        <f>IFERROR(IF(SUMIFS(tblDaily[TransfersOut],tblDaily[EntryDate],DATE(2026,6,3),tblDaily[WardCode],"MW")=0,"",SUMIFS(tblDaily[TransfersOut],tblDaily[EntryDate],DATE(2026,6,3),tblDaily[WardCode],"MW")),"")</f>
        <v/>
      </c>
      <c r="H204" s="12">
        <f>IFERROR(IF(SUMIFS(tblDaily[Remaining],tblDaily[EntryDate],DATE(2026,6,3),tblDaily[WardCode],"MW")=0,"",SUMIFS(tblDaily[Remaining],tblDaily[EntryDate],DATE(2026,6,3),tblDaily[WardCode],"MW")),"")</f>
        <v/>
      </c>
    </row>
    <row r="205">
      <c r="A205" s="12" t="n">
        <v>4</v>
      </c>
      <c r="B205" s="12">
        <f>IFERROR(IF(SUMIFS(tblDaily[Admissions],tblDaily[EntryDate],DATE(2026,6,4),tblDaily[WardCode],"MW")=0,"",SUMIFS(tblDaily[Admissions],tblDaily[EntryDate],DATE(2026,6,4),tblDaily[WardCode],"MW")),"")</f>
        <v/>
      </c>
      <c r="C205" s="12">
        <f>IFERROR(IF(SUMIFS(tblDaily[Discharges],tblDaily[EntryDate],DATE(2026,6,4),tblDaily[WardCode],"MW")=0,"",SUMIFS(tblDaily[Discharges],tblDaily[EntryDate],DATE(2026,6,4),tblDaily[WardCode],"MW")),"")</f>
        <v/>
      </c>
      <c r="D205" s="12">
        <f>IFERROR(IF(SUMIFS(tblDaily[Deaths],tblDaily[EntryDate],DATE(2026,6,4),tblDaily[WardCode],"MW")=0,"",SUMIFS(tblDaily[Deaths],tblDaily[EntryDate],DATE(2026,6,4),tblDaily[WardCode],"MW")),"")</f>
        <v/>
      </c>
      <c r="E205" s="12">
        <f>IFERROR(IF(SUMIFS(tblDaily[DeathsUnder24Hrs],tblDaily[EntryDate],DATE(2026,6,4),tblDaily[WardCode],"MW")=0,"",SUMIFS(tblDaily[DeathsUnder24Hrs],tblDaily[EntryDate],DATE(2026,6,4),tblDaily[WardCode],"MW")),"")</f>
        <v/>
      </c>
      <c r="F205" s="12">
        <f>IFERROR(IF(SUMIFS(tblDaily[TransfersIn],tblDaily[EntryDate],DATE(2026,6,4),tblDaily[WardCode],"MW")=0,"",SUMIFS(tblDaily[TransfersIn],tblDaily[EntryDate],DATE(2026,6,4),tblDaily[WardCode],"MW")),"")</f>
        <v/>
      </c>
      <c r="G205" s="12">
        <f>IFERROR(IF(SUMIFS(tblDaily[TransfersOut],tblDaily[EntryDate],DATE(2026,6,4),tblDaily[WardCode],"MW")=0,"",SUMIFS(tblDaily[TransfersOut],tblDaily[EntryDate],DATE(2026,6,4),tblDaily[WardCode],"MW")),"")</f>
        <v/>
      </c>
      <c r="H205" s="12">
        <f>IFERROR(IF(SUMIFS(tblDaily[Remaining],tblDaily[EntryDate],DATE(2026,6,4),tblDaily[WardCode],"MW")=0,"",SUMIFS(tblDaily[Remaining],tblDaily[EntryDate],DATE(2026,6,4),tblDaily[WardCode],"MW")),"")</f>
        <v/>
      </c>
    </row>
    <row r="206">
      <c r="A206" s="12" t="n">
        <v>5</v>
      </c>
      <c r="B206" s="12">
        <f>IFERROR(IF(SUMIFS(tblDaily[Admissions],tblDaily[EntryDate],DATE(2026,6,5),tblDaily[WardCode],"MW")=0,"",SUMIFS(tblDaily[Admissions],tblDaily[EntryDate],DATE(2026,6,5),tblDaily[WardCode],"MW")),"")</f>
        <v/>
      </c>
      <c r="C206" s="12">
        <f>IFERROR(IF(SUMIFS(tblDaily[Discharges],tblDaily[EntryDate],DATE(2026,6,5),tblDaily[WardCode],"MW")=0,"",SUMIFS(tblDaily[Discharges],tblDaily[EntryDate],DATE(2026,6,5),tblDaily[WardCode],"MW")),"")</f>
        <v/>
      </c>
      <c r="D206" s="12">
        <f>IFERROR(IF(SUMIFS(tblDaily[Deaths],tblDaily[EntryDate],DATE(2026,6,5),tblDaily[WardCode],"MW")=0,"",SUMIFS(tblDaily[Deaths],tblDaily[EntryDate],DATE(2026,6,5),tblDaily[WardCode],"MW")),"")</f>
        <v/>
      </c>
      <c r="E206" s="12">
        <f>IFERROR(IF(SUMIFS(tblDaily[DeathsUnder24Hrs],tblDaily[EntryDate],DATE(2026,6,5),tblDaily[WardCode],"MW")=0,"",SUMIFS(tblDaily[DeathsUnder24Hrs],tblDaily[EntryDate],DATE(2026,6,5),tblDaily[WardCode],"MW")),"")</f>
        <v/>
      </c>
      <c r="F206" s="12">
        <f>IFERROR(IF(SUMIFS(tblDaily[TransfersIn],tblDaily[EntryDate],DATE(2026,6,5),tblDaily[WardCode],"MW")=0,"",SUMIFS(tblDaily[TransfersIn],tblDaily[EntryDate],DATE(2026,6,5),tblDaily[WardCode],"MW")),"")</f>
        <v/>
      </c>
      <c r="G206" s="12">
        <f>IFERROR(IF(SUMIFS(tblDaily[TransfersOut],tblDaily[EntryDate],DATE(2026,6,5),tblDaily[WardCode],"MW")=0,"",SUMIFS(tblDaily[TransfersOut],tblDaily[EntryDate],DATE(2026,6,5),tblDaily[WardCode],"MW")),"")</f>
        <v/>
      </c>
      <c r="H206" s="12">
        <f>IFERROR(IF(SUMIFS(tblDaily[Remaining],tblDaily[EntryDate],DATE(2026,6,5),tblDaily[WardCode],"MW")=0,"",SUMIFS(tblDaily[Remaining],tblDaily[EntryDate],DATE(2026,6,5),tblDaily[WardCode],"MW")),"")</f>
        <v/>
      </c>
    </row>
    <row r="207">
      <c r="A207" s="12" t="n">
        <v>6</v>
      </c>
      <c r="B207" s="12">
        <f>IFERROR(IF(SUMIFS(tblDaily[Admissions],tblDaily[EntryDate],DATE(2026,6,6),tblDaily[WardCode],"MW")=0,"",SUMIFS(tblDaily[Admissions],tblDaily[EntryDate],DATE(2026,6,6),tblDaily[WardCode],"MW")),"")</f>
        <v/>
      </c>
      <c r="C207" s="12">
        <f>IFERROR(IF(SUMIFS(tblDaily[Discharges],tblDaily[EntryDate],DATE(2026,6,6),tblDaily[WardCode],"MW")=0,"",SUMIFS(tblDaily[Discharges],tblDaily[EntryDate],DATE(2026,6,6),tblDaily[WardCode],"MW")),"")</f>
        <v/>
      </c>
      <c r="D207" s="12">
        <f>IFERROR(IF(SUMIFS(tblDaily[Deaths],tblDaily[EntryDate],DATE(2026,6,6),tblDaily[WardCode],"MW")=0,"",SUMIFS(tblDaily[Deaths],tblDaily[EntryDate],DATE(2026,6,6),tblDaily[WardCode],"MW")),"")</f>
        <v/>
      </c>
      <c r="E207" s="12">
        <f>IFERROR(IF(SUMIFS(tblDaily[DeathsUnder24Hrs],tblDaily[EntryDate],DATE(2026,6,6),tblDaily[WardCode],"MW")=0,"",SUMIFS(tblDaily[DeathsUnder24Hrs],tblDaily[EntryDate],DATE(2026,6,6),tblDaily[WardCode],"MW")),"")</f>
        <v/>
      </c>
      <c r="F207" s="12">
        <f>IFERROR(IF(SUMIFS(tblDaily[TransfersIn],tblDaily[EntryDate],DATE(2026,6,6),tblDaily[WardCode],"MW")=0,"",SUMIFS(tblDaily[TransfersIn],tblDaily[EntryDate],DATE(2026,6,6),tblDaily[WardCode],"MW")),"")</f>
        <v/>
      </c>
      <c r="G207" s="12">
        <f>IFERROR(IF(SUMIFS(tblDaily[TransfersOut],tblDaily[EntryDate],DATE(2026,6,6),tblDaily[WardCode],"MW")=0,"",SUMIFS(tblDaily[TransfersOut],tblDaily[EntryDate],DATE(2026,6,6),tblDaily[WardCode],"MW")),"")</f>
        <v/>
      </c>
      <c r="H207" s="12">
        <f>IFERROR(IF(SUMIFS(tblDaily[Remaining],tblDaily[EntryDate],DATE(2026,6,6),tblDaily[WardCode],"MW")=0,"",SUMIFS(tblDaily[Remaining],tblDaily[EntryDate],DATE(2026,6,6),tblDaily[WardCode],"MW")),"")</f>
        <v/>
      </c>
    </row>
    <row r="208">
      <c r="A208" s="12" t="n">
        <v>7</v>
      </c>
      <c r="B208" s="12">
        <f>IFERROR(IF(SUMIFS(tblDaily[Admissions],tblDaily[EntryDate],DATE(2026,6,7),tblDaily[WardCode],"MW")=0,"",SUMIFS(tblDaily[Admissions],tblDaily[EntryDate],DATE(2026,6,7),tblDaily[WardCode],"MW")),"")</f>
        <v/>
      </c>
      <c r="C208" s="12">
        <f>IFERROR(IF(SUMIFS(tblDaily[Discharges],tblDaily[EntryDate],DATE(2026,6,7),tblDaily[WardCode],"MW")=0,"",SUMIFS(tblDaily[Discharges],tblDaily[EntryDate],DATE(2026,6,7),tblDaily[WardCode],"MW")),"")</f>
        <v/>
      </c>
      <c r="D208" s="12">
        <f>IFERROR(IF(SUMIFS(tblDaily[Deaths],tblDaily[EntryDate],DATE(2026,6,7),tblDaily[WardCode],"MW")=0,"",SUMIFS(tblDaily[Deaths],tblDaily[EntryDate],DATE(2026,6,7),tblDaily[WardCode],"MW")),"")</f>
        <v/>
      </c>
      <c r="E208" s="12">
        <f>IFERROR(IF(SUMIFS(tblDaily[DeathsUnder24Hrs],tblDaily[EntryDate],DATE(2026,6,7),tblDaily[WardCode],"MW")=0,"",SUMIFS(tblDaily[DeathsUnder24Hrs],tblDaily[EntryDate],DATE(2026,6,7),tblDaily[WardCode],"MW")),"")</f>
        <v/>
      </c>
      <c r="F208" s="12">
        <f>IFERROR(IF(SUMIFS(tblDaily[TransfersIn],tblDaily[EntryDate],DATE(2026,6,7),tblDaily[WardCode],"MW")=0,"",SUMIFS(tblDaily[TransfersIn],tblDaily[EntryDate],DATE(2026,6,7),tblDaily[WardCode],"MW")),"")</f>
        <v/>
      </c>
      <c r="G208" s="12">
        <f>IFERROR(IF(SUMIFS(tblDaily[TransfersOut],tblDaily[EntryDate],DATE(2026,6,7),tblDaily[WardCode],"MW")=0,"",SUMIFS(tblDaily[TransfersOut],tblDaily[EntryDate],DATE(2026,6,7),tblDaily[WardCode],"MW")),"")</f>
        <v/>
      </c>
      <c r="H208" s="12">
        <f>IFERROR(IF(SUMIFS(tblDaily[Remaining],tblDaily[EntryDate],DATE(2026,6,7),tblDaily[WardCode],"MW")=0,"",SUMIFS(tblDaily[Remaining],tblDaily[EntryDate],DATE(2026,6,7),tblDaily[WardCode],"MW")),"")</f>
        <v/>
      </c>
    </row>
    <row r="209">
      <c r="A209" s="12" t="n">
        <v>8</v>
      </c>
      <c r="B209" s="12">
        <f>IFERROR(IF(SUMIFS(tblDaily[Admissions],tblDaily[EntryDate],DATE(2026,6,8),tblDaily[WardCode],"MW")=0,"",SUMIFS(tblDaily[Admissions],tblDaily[EntryDate],DATE(2026,6,8),tblDaily[WardCode],"MW")),"")</f>
        <v/>
      </c>
      <c r="C209" s="12">
        <f>IFERROR(IF(SUMIFS(tblDaily[Discharges],tblDaily[EntryDate],DATE(2026,6,8),tblDaily[WardCode],"MW")=0,"",SUMIFS(tblDaily[Discharges],tblDaily[EntryDate],DATE(2026,6,8),tblDaily[WardCode],"MW")),"")</f>
        <v/>
      </c>
      <c r="D209" s="12">
        <f>IFERROR(IF(SUMIFS(tblDaily[Deaths],tblDaily[EntryDate],DATE(2026,6,8),tblDaily[WardCode],"MW")=0,"",SUMIFS(tblDaily[Deaths],tblDaily[EntryDate],DATE(2026,6,8),tblDaily[WardCode],"MW")),"")</f>
        <v/>
      </c>
      <c r="E209" s="12">
        <f>IFERROR(IF(SUMIFS(tblDaily[DeathsUnder24Hrs],tblDaily[EntryDate],DATE(2026,6,8),tblDaily[WardCode],"MW")=0,"",SUMIFS(tblDaily[DeathsUnder24Hrs],tblDaily[EntryDate],DATE(2026,6,8),tblDaily[WardCode],"MW")),"")</f>
        <v/>
      </c>
      <c r="F209" s="12">
        <f>IFERROR(IF(SUMIFS(tblDaily[TransfersIn],tblDaily[EntryDate],DATE(2026,6,8),tblDaily[WardCode],"MW")=0,"",SUMIFS(tblDaily[TransfersIn],tblDaily[EntryDate],DATE(2026,6,8),tblDaily[WardCode],"MW")),"")</f>
        <v/>
      </c>
      <c r="G209" s="12">
        <f>IFERROR(IF(SUMIFS(tblDaily[TransfersOut],tblDaily[EntryDate],DATE(2026,6,8),tblDaily[WardCode],"MW")=0,"",SUMIFS(tblDaily[TransfersOut],tblDaily[EntryDate],DATE(2026,6,8),tblDaily[WardCode],"MW")),"")</f>
        <v/>
      </c>
      <c r="H209" s="12">
        <f>IFERROR(IF(SUMIFS(tblDaily[Remaining],tblDaily[EntryDate],DATE(2026,6,8),tblDaily[WardCode],"MW")=0,"",SUMIFS(tblDaily[Remaining],tblDaily[EntryDate],DATE(2026,6,8),tblDaily[WardCode],"MW")),"")</f>
        <v/>
      </c>
    </row>
    <row r="210">
      <c r="A210" s="12" t="n">
        <v>9</v>
      </c>
      <c r="B210" s="12">
        <f>IFERROR(IF(SUMIFS(tblDaily[Admissions],tblDaily[EntryDate],DATE(2026,6,9),tblDaily[WardCode],"MW")=0,"",SUMIFS(tblDaily[Admissions],tblDaily[EntryDate],DATE(2026,6,9),tblDaily[WardCode],"MW")),"")</f>
        <v/>
      </c>
      <c r="C210" s="12">
        <f>IFERROR(IF(SUMIFS(tblDaily[Discharges],tblDaily[EntryDate],DATE(2026,6,9),tblDaily[WardCode],"MW")=0,"",SUMIFS(tblDaily[Discharges],tblDaily[EntryDate],DATE(2026,6,9),tblDaily[WardCode],"MW")),"")</f>
        <v/>
      </c>
      <c r="D210" s="12">
        <f>IFERROR(IF(SUMIFS(tblDaily[Deaths],tblDaily[EntryDate],DATE(2026,6,9),tblDaily[WardCode],"MW")=0,"",SUMIFS(tblDaily[Deaths],tblDaily[EntryDate],DATE(2026,6,9),tblDaily[WardCode],"MW")),"")</f>
        <v/>
      </c>
      <c r="E210" s="12">
        <f>IFERROR(IF(SUMIFS(tblDaily[DeathsUnder24Hrs],tblDaily[EntryDate],DATE(2026,6,9),tblDaily[WardCode],"MW")=0,"",SUMIFS(tblDaily[DeathsUnder24Hrs],tblDaily[EntryDate],DATE(2026,6,9),tblDaily[WardCode],"MW")),"")</f>
        <v/>
      </c>
      <c r="F210" s="12">
        <f>IFERROR(IF(SUMIFS(tblDaily[TransfersIn],tblDaily[EntryDate],DATE(2026,6,9),tblDaily[WardCode],"MW")=0,"",SUMIFS(tblDaily[TransfersIn],tblDaily[EntryDate],DATE(2026,6,9),tblDaily[WardCode],"MW")),"")</f>
        <v/>
      </c>
      <c r="G210" s="12">
        <f>IFERROR(IF(SUMIFS(tblDaily[TransfersOut],tblDaily[EntryDate],DATE(2026,6,9),tblDaily[WardCode],"MW")=0,"",SUMIFS(tblDaily[TransfersOut],tblDaily[EntryDate],DATE(2026,6,9),tblDaily[WardCode],"MW")),"")</f>
        <v/>
      </c>
      <c r="H210" s="12">
        <f>IFERROR(IF(SUMIFS(tblDaily[Remaining],tblDaily[EntryDate],DATE(2026,6,9),tblDaily[WardCode],"MW")=0,"",SUMIFS(tblDaily[Remaining],tblDaily[EntryDate],DATE(2026,6,9),tblDaily[WardCode],"MW")),"")</f>
        <v/>
      </c>
    </row>
    <row r="211">
      <c r="A211" s="12" t="n">
        <v>10</v>
      </c>
      <c r="B211" s="12">
        <f>IFERROR(IF(SUMIFS(tblDaily[Admissions],tblDaily[EntryDate],DATE(2026,6,10),tblDaily[WardCode],"MW")=0,"",SUMIFS(tblDaily[Admissions],tblDaily[EntryDate],DATE(2026,6,10),tblDaily[WardCode],"MW")),"")</f>
        <v/>
      </c>
      <c r="C211" s="12">
        <f>IFERROR(IF(SUMIFS(tblDaily[Discharges],tblDaily[EntryDate],DATE(2026,6,10),tblDaily[WardCode],"MW")=0,"",SUMIFS(tblDaily[Discharges],tblDaily[EntryDate],DATE(2026,6,10),tblDaily[WardCode],"MW")),"")</f>
        <v/>
      </c>
      <c r="D211" s="12">
        <f>IFERROR(IF(SUMIFS(tblDaily[Deaths],tblDaily[EntryDate],DATE(2026,6,10),tblDaily[WardCode],"MW")=0,"",SUMIFS(tblDaily[Deaths],tblDaily[EntryDate],DATE(2026,6,10),tblDaily[WardCode],"MW")),"")</f>
        <v/>
      </c>
      <c r="E211" s="12">
        <f>IFERROR(IF(SUMIFS(tblDaily[DeathsUnder24Hrs],tblDaily[EntryDate],DATE(2026,6,10),tblDaily[WardCode],"MW")=0,"",SUMIFS(tblDaily[DeathsUnder24Hrs],tblDaily[EntryDate],DATE(2026,6,10),tblDaily[WardCode],"MW")),"")</f>
        <v/>
      </c>
      <c r="F211" s="12">
        <f>IFERROR(IF(SUMIFS(tblDaily[TransfersIn],tblDaily[EntryDate],DATE(2026,6,10),tblDaily[WardCode],"MW")=0,"",SUMIFS(tblDaily[TransfersIn],tblDaily[EntryDate],DATE(2026,6,10),tblDaily[WardCode],"MW")),"")</f>
        <v/>
      </c>
      <c r="G211" s="12">
        <f>IFERROR(IF(SUMIFS(tblDaily[TransfersOut],tblDaily[EntryDate],DATE(2026,6,10),tblDaily[WardCode],"MW")=0,"",SUMIFS(tblDaily[TransfersOut],tblDaily[EntryDate],DATE(2026,6,10),tblDaily[WardCode],"MW")),"")</f>
        <v/>
      </c>
      <c r="H211" s="12">
        <f>IFERROR(IF(SUMIFS(tblDaily[Remaining],tblDaily[EntryDate],DATE(2026,6,10),tblDaily[WardCode],"MW")=0,"",SUMIFS(tblDaily[Remaining],tblDaily[EntryDate],DATE(2026,6,10),tblDaily[WardCode],"MW")),"")</f>
        <v/>
      </c>
    </row>
    <row r="212">
      <c r="A212" s="12" t="n">
        <v>11</v>
      </c>
      <c r="B212" s="12">
        <f>IFERROR(IF(SUMIFS(tblDaily[Admissions],tblDaily[EntryDate],DATE(2026,6,11),tblDaily[WardCode],"MW")=0,"",SUMIFS(tblDaily[Admissions],tblDaily[EntryDate],DATE(2026,6,11),tblDaily[WardCode],"MW")),"")</f>
        <v/>
      </c>
      <c r="C212" s="12">
        <f>IFERROR(IF(SUMIFS(tblDaily[Discharges],tblDaily[EntryDate],DATE(2026,6,11),tblDaily[WardCode],"MW")=0,"",SUMIFS(tblDaily[Discharges],tblDaily[EntryDate],DATE(2026,6,11),tblDaily[WardCode],"MW")),"")</f>
        <v/>
      </c>
      <c r="D212" s="12">
        <f>IFERROR(IF(SUMIFS(tblDaily[Deaths],tblDaily[EntryDate],DATE(2026,6,11),tblDaily[WardCode],"MW")=0,"",SUMIFS(tblDaily[Deaths],tblDaily[EntryDate],DATE(2026,6,11),tblDaily[WardCode],"MW")),"")</f>
        <v/>
      </c>
      <c r="E212" s="12">
        <f>IFERROR(IF(SUMIFS(tblDaily[DeathsUnder24Hrs],tblDaily[EntryDate],DATE(2026,6,11),tblDaily[WardCode],"MW")=0,"",SUMIFS(tblDaily[DeathsUnder24Hrs],tblDaily[EntryDate],DATE(2026,6,11),tblDaily[WardCode],"MW")),"")</f>
        <v/>
      </c>
      <c r="F212" s="12">
        <f>IFERROR(IF(SUMIFS(tblDaily[TransfersIn],tblDaily[EntryDate],DATE(2026,6,11),tblDaily[WardCode],"MW")=0,"",SUMIFS(tblDaily[TransfersIn],tblDaily[EntryDate],DATE(2026,6,11),tblDaily[WardCode],"MW")),"")</f>
        <v/>
      </c>
      <c r="G212" s="12">
        <f>IFERROR(IF(SUMIFS(tblDaily[TransfersOut],tblDaily[EntryDate],DATE(2026,6,11),tblDaily[WardCode],"MW")=0,"",SUMIFS(tblDaily[TransfersOut],tblDaily[EntryDate],DATE(2026,6,11),tblDaily[WardCode],"MW")),"")</f>
        <v/>
      </c>
      <c r="H212" s="12">
        <f>IFERROR(IF(SUMIFS(tblDaily[Remaining],tblDaily[EntryDate],DATE(2026,6,11),tblDaily[WardCode],"MW")=0,"",SUMIFS(tblDaily[Remaining],tblDaily[EntryDate],DATE(2026,6,11),tblDaily[WardCode],"MW")),"")</f>
        <v/>
      </c>
    </row>
    <row r="213">
      <c r="A213" s="12" t="n">
        <v>12</v>
      </c>
      <c r="B213" s="12">
        <f>IFERROR(IF(SUMIFS(tblDaily[Admissions],tblDaily[EntryDate],DATE(2026,6,12),tblDaily[WardCode],"MW")=0,"",SUMIFS(tblDaily[Admissions],tblDaily[EntryDate],DATE(2026,6,12),tblDaily[WardCode],"MW")),"")</f>
        <v/>
      </c>
      <c r="C213" s="12">
        <f>IFERROR(IF(SUMIFS(tblDaily[Discharges],tblDaily[EntryDate],DATE(2026,6,12),tblDaily[WardCode],"MW")=0,"",SUMIFS(tblDaily[Discharges],tblDaily[EntryDate],DATE(2026,6,12),tblDaily[WardCode],"MW")),"")</f>
        <v/>
      </c>
      <c r="D213" s="12">
        <f>IFERROR(IF(SUMIFS(tblDaily[Deaths],tblDaily[EntryDate],DATE(2026,6,12),tblDaily[WardCode],"MW")=0,"",SUMIFS(tblDaily[Deaths],tblDaily[EntryDate],DATE(2026,6,12),tblDaily[WardCode],"MW")),"")</f>
        <v/>
      </c>
      <c r="E213" s="12">
        <f>IFERROR(IF(SUMIFS(tblDaily[DeathsUnder24Hrs],tblDaily[EntryDate],DATE(2026,6,12),tblDaily[WardCode],"MW")=0,"",SUMIFS(tblDaily[DeathsUnder24Hrs],tblDaily[EntryDate],DATE(2026,6,12),tblDaily[WardCode],"MW")),"")</f>
        <v/>
      </c>
      <c r="F213" s="12">
        <f>IFERROR(IF(SUMIFS(tblDaily[TransfersIn],tblDaily[EntryDate],DATE(2026,6,12),tblDaily[WardCode],"MW")=0,"",SUMIFS(tblDaily[TransfersIn],tblDaily[EntryDate],DATE(2026,6,12),tblDaily[WardCode],"MW")),"")</f>
        <v/>
      </c>
      <c r="G213" s="12">
        <f>IFERROR(IF(SUMIFS(tblDaily[TransfersOut],tblDaily[EntryDate],DATE(2026,6,12),tblDaily[WardCode],"MW")=0,"",SUMIFS(tblDaily[TransfersOut],tblDaily[EntryDate],DATE(2026,6,12),tblDaily[WardCode],"MW")),"")</f>
        <v/>
      </c>
      <c r="H213" s="12">
        <f>IFERROR(IF(SUMIFS(tblDaily[Remaining],tblDaily[EntryDate],DATE(2026,6,12),tblDaily[WardCode],"MW")=0,"",SUMIFS(tblDaily[Remaining],tblDaily[EntryDate],DATE(2026,6,12),tblDaily[WardCode],"MW")),"")</f>
        <v/>
      </c>
    </row>
    <row r="214">
      <c r="A214" s="12" t="n">
        <v>13</v>
      </c>
      <c r="B214" s="12">
        <f>IFERROR(IF(SUMIFS(tblDaily[Admissions],tblDaily[EntryDate],DATE(2026,6,13),tblDaily[WardCode],"MW")=0,"",SUMIFS(tblDaily[Admissions],tblDaily[EntryDate],DATE(2026,6,13),tblDaily[WardCode],"MW")),"")</f>
        <v/>
      </c>
      <c r="C214" s="12">
        <f>IFERROR(IF(SUMIFS(tblDaily[Discharges],tblDaily[EntryDate],DATE(2026,6,13),tblDaily[WardCode],"MW")=0,"",SUMIFS(tblDaily[Discharges],tblDaily[EntryDate],DATE(2026,6,13),tblDaily[WardCode],"MW")),"")</f>
        <v/>
      </c>
      <c r="D214" s="12">
        <f>IFERROR(IF(SUMIFS(tblDaily[Deaths],tblDaily[EntryDate],DATE(2026,6,13),tblDaily[WardCode],"MW")=0,"",SUMIFS(tblDaily[Deaths],tblDaily[EntryDate],DATE(2026,6,13),tblDaily[WardCode],"MW")),"")</f>
        <v/>
      </c>
      <c r="E214" s="12">
        <f>IFERROR(IF(SUMIFS(tblDaily[DeathsUnder24Hrs],tblDaily[EntryDate],DATE(2026,6,13),tblDaily[WardCode],"MW")=0,"",SUMIFS(tblDaily[DeathsUnder24Hrs],tblDaily[EntryDate],DATE(2026,6,13),tblDaily[WardCode],"MW")),"")</f>
        <v/>
      </c>
      <c r="F214" s="12">
        <f>IFERROR(IF(SUMIFS(tblDaily[TransfersIn],tblDaily[EntryDate],DATE(2026,6,13),tblDaily[WardCode],"MW")=0,"",SUMIFS(tblDaily[TransfersIn],tblDaily[EntryDate],DATE(2026,6,13),tblDaily[WardCode],"MW")),"")</f>
        <v/>
      </c>
      <c r="G214" s="12">
        <f>IFERROR(IF(SUMIFS(tblDaily[TransfersOut],tblDaily[EntryDate],DATE(2026,6,13),tblDaily[WardCode],"MW")=0,"",SUMIFS(tblDaily[TransfersOut],tblDaily[EntryDate],DATE(2026,6,13),tblDaily[WardCode],"MW")),"")</f>
        <v/>
      </c>
      <c r="H214" s="12">
        <f>IFERROR(IF(SUMIFS(tblDaily[Remaining],tblDaily[EntryDate],DATE(2026,6,13),tblDaily[WardCode],"MW")=0,"",SUMIFS(tblDaily[Remaining],tblDaily[EntryDate],DATE(2026,6,13),tblDaily[WardCode],"MW")),"")</f>
        <v/>
      </c>
    </row>
    <row r="215">
      <c r="A215" s="12" t="n">
        <v>14</v>
      </c>
      <c r="B215" s="12">
        <f>IFERROR(IF(SUMIFS(tblDaily[Admissions],tblDaily[EntryDate],DATE(2026,6,14),tblDaily[WardCode],"MW")=0,"",SUMIFS(tblDaily[Admissions],tblDaily[EntryDate],DATE(2026,6,14),tblDaily[WardCode],"MW")),"")</f>
        <v/>
      </c>
      <c r="C215" s="12">
        <f>IFERROR(IF(SUMIFS(tblDaily[Discharges],tblDaily[EntryDate],DATE(2026,6,14),tblDaily[WardCode],"MW")=0,"",SUMIFS(tblDaily[Discharges],tblDaily[EntryDate],DATE(2026,6,14),tblDaily[WardCode],"MW")),"")</f>
        <v/>
      </c>
      <c r="D215" s="12">
        <f>IFERROR(IF(SUMIFS(tblDaily[Deaths],tblDaily[EntryDate],DATE(2026,6,14),tblDaily[WardCode],"MW")=0,"",SUMIFS(tblDaily[Deaths],tblDaily[EntryDate],DATE(2026,6,14),tblDaily[WardCode],"MW")),"")</f>
        <v/>
      </c>
      <c r="E215" s="12">
        <f>IFERROR(IF(SUMIFS(tblDaily[DeathsUnder24Hrs],tblDaily[EntryDate],DATE(2026,6,14),tblDaily[WardCode],"MW")=0,"",SUMIFS(tblDaily[DeathsUnder24Hrs],tblDaily[EntryDate],DATE(2026,6,14),tblDaily[WardCode],"MW")),"")</f>
        <v/>
      </c>
      <c r="F215" s="12">
        <f>IFERROR(IF(SUMIFS(tblDaily[TransfersIn],tblDaily[EntryDate],DATE(2026,6,14),tblDaily[WardCode],"MW")=0,"",SUMIFS(tblDaily[TransfersIn],tblDaily[EntryDate],DATE(2026,6,14),tblDaily[WardCode],"MW")),"")</f>
        <v/>
      </c>
      <c r="G215" s="12">
        <f>IFERROR(IF(SUMIFS(tblDaily[TransfersOut],tblDaily[EntryDate],DATE(2026,6,14),tblDaily[WardCode],"MW")=0,"",SUMIFS(tblDaily[TransfersOut],tblDaily[EntryDate],DATE(2026,6,14),tblDaily[WardCode],"MW")),"")</f>
        <v/>
      </c>
      <c r="H215" s="12">
        <f>IFERROR(IF(SUMIFS(tblDaily[Remaining],tblDaily[EntryDate],DATE(2026,6,14),tblDaily[WardCode],"MW")=0,"",SUMIFS(tblDaily[Remaining],tblDaily[EntryDate],DATE(2026,6,14),tblDaily[WardCode],"MW")),"")</f>
        <v/>
      </c>
    </row>
    <row r="216">
      <c r="A216" s="12" t="n">
        <v>15</v>
      </c>
      <c r="B216" s="12">
        <f>IFERROR(IF(SUMIFS(tblDaily[Admissions],tblDaily[EntryDate],DATE(2026,6,15),tblDaily[WardCode],"MW")=0,"",SUMIFS(tblDaily[Admissions],tblDaily[EntryDate],DATE(2026,6,15),tblDaily[WardCode],"MW")),"")</f>
        <v/>
      </c>
      <c r="C216" s="12">
        <f>IFERROR(IF(SUMIFS(tblDaily[Discharges],tblDaily[EntryDate],DATE(2026,6,15),tblDaily[WardCode],"MW")=0,"",SUMIFS(tblDaily[Discharges],tblDaily[EntryDate],DATE(2026,6,15),tblDaily[WardCode],"MW")),"")</f>
        <v/>
      </c>
      <c r="D216" s="12">
        <f>IFERROR(IF(SUMIFS(tblDaily[Deaths],tblDaily[EntryDate],DATE(2026,6,15),tblDaily[WardCode],"MW")=0,"",SUMIFS(tblDaily[Deaths],tblDaily[EntryDate],DATE(2026,6,15),tblDaily[WardCode],"MW")),"")</f>
        <v/>
      </c>
      <c r="E216" s="12">
        <f>IFERROR(IF(SUMIFS(tblDaily[DeathsUnder24Hrs],tblDaily[EntryDate],DATE(2026,6,15),tblDaily[WardCode],"MW")=0,"",SUMIFS(tblDaily[DeathsUnder24Hrs],tblDaily[EntryDate],DATE(2026,6,15),tblDaily[WardCode],"MW")),"")</f>
        <v/>
      </c>
      <c r="F216" s="12">
        <f>IFERROR(IF(SUMIFS(tblDaily[TransfersIn],tblDaily[EntryDate],DATE(2026,6,15),tblDaily[WardCode],"MW")=0,"",SUMIFS(tblDaily[TransfersIn],tblDaily[EntryDate],DATE(2026,6,15),tblDaily[WardCode],"MW")),"")</f>
        <v/>
      </c>
      <c r="G216" s="12">
        <f>IFERROR(IF(SUMIFS(tblDaily[TransfersOut],tblDaily[EntryDate],DATE(2026,6,15),tblDaily[WardCode],"MW")=0,"",SUMIFS(tblDaily[TransfersOut],tblDaily[EntryDate],DATE(2026,6,15),tblDaily[WardCode],"MW")),"")</f>
        <v/>
      </c>
      <c r="H216" s="12">
        <f>IFERROR(IF(SUMIFS(tblDaily[Remaining],tblDaily[EntryDate],DATE(2026,6,15),tblDaily[WardCode],"MW")=0,"",SUMIFS(tblDaily[Remaining],tblDaily[EntryDate],DATE(2026,6,15),tblDaily[WardCode],"MW")),"")</f>
        <v/>
      </c>
    </row>
    <row r="217">
      <c r="A217" s="12" t="n">
        <v>16</v>
      </c>
      <c r="B217" s="12">
        <f>IFERROR(IF(SUMIFS(tblDaily[Admissions],tblDaily[EntryDate],DATE(2026,6,16),tblDaily[WardCode],"MW")=0,"",SUMIFS(tblDaily[Admissions],tblDaily[EntryDate],DATE(2026,6,16),tblDaily[WardCode],"MW")),"")</f>
        <v/>
      </c>
      <c r="C217" s="12">
        <f>IFERROR(IF(SUMIFS(tblDaily[Discharges],tblDaily[EntryDate],DATE(2026,6,16),tblDaily[WardCode],"MW")=0,"",SUMIFS(tblDaily[Discharges],tblDaily[EntryDate],DATE(2026,6,16),tblDaily[WardCode],"MW")),"")</f>
        <v/>
      </c>
      <c r="D217" s="12">
        <f>IFERROR(IF(SUMIFS(tblDaily[Deaths],tblDaily[EntryDate],DATE(2026,6,16),tblDaily[WardCode],"MW")=0,"",SUMIFS(tblDaily[Deaths],tblDaily[EntryDate],DATE(2026,6,16),tblDaily[WardCode],"MW")),"")</f>
        <v/>
      </c>
      <c r="E217" s="12">
        <f>IFERROR(IF(SUMIFS(tblDaily[DeathsUnder24Hrs],tblDaily[EntryDate],DATE(2026,6,16),tblDaily[WardCode],"MW")=0,"",SUMIFS(tblDaily[DeathsUnder24Hrs],tblDaily[EntryDate],DATE(2026,6,16),tblDaily[WardCode],"MW")),"")</f>
        <v/>
      </c>
      <c r="F217" s="12">
        <f>IFERROR(IF(SUMIFS(tblDaily[TransfersIn],tblDaily[EntryDate],DATE(2026,6,16),tblDaily[WardCode],"MW")=0,"",SUMIFS(tblDaily[TransfersIn],tblDaily[EntryDate],DATE(2026,6,16),tblDaily[WardCode],"MW")),"")</f>
        <v/>
      </c>
      <c r="G217" s="12">
        <f>IFERROR(IF(SUMIFS(tblDaily[TransfersOut],tblDaily[EntryDate],DATE(2026,6,16),tblDaily[WardCode],"MW")=0,"",SUMIFS(tblDaily[TransfersOut],tblDaily[EntryDate],DATE(2026,6,16),tblDaily[WardCode],"MW")),"")</f>
        <v/>
      </c>
      <c r="H217" s="12">
        <f>IFERROR(IF(SUMIFS(tblDaily[Remaining],tblDaily[EntryDate],DATE(2026,6,16),tblDaily[WardCode],"MW")=0,"",SUMIFS(tblDaily[Remaining],tblDaily[EntryDate],DATE(2026,6,16),tblDaily[WardCode],"MW")),"")</f>
        <v/>
      </c>
    </row>
    <row r="218">
      <c r="A218" s="12" t="n">
        <v>17</v>
      </c>
      <c r="B218" s="12">
        <f>IFERROR(IF(SUMIFS(tblDaily[Admissions],tblDaily[EntryDate],DATE(2026,6,17),tblDaily[WardCode],"MW")=0,"",SUMIFS(tblDaily[Admissions],tblDaily[EntryDate],DATE(2026,6,17),tblDaily[WardCode],"MW")),"")</f>
        <v/>
      </c>
      <c r="C218" s="12">
        <f>IFERROR(IF(SUMIFS(tblDaily[Discharges],tblDaily[EntryDate],DATE(2026,6,17),tblDaily[WardCode],"MW")=0,"",SUMIFS(tblDaily[Discharges],tblDaily[EntryDate],DATE(2026,6,17),tblDaily[WardCode],"MW")),"")</f>
        <v/>
      </c>
      <c r="D218" s="12">
        <f>IFERROR(IF(SUMIFS(tblDaily[Deaths],tblDaily[EntryDate],DATE(2026,6,17),tblDaily[WardCode],"MW")=0,"",SUMIFS(tblDaily[Deaths],tblDaily[EntryDate],DATE(2026,6,17),tblDaily[WardCode],"MW")),"")</f>
        <v/>
      </c>
      <c r="E218" s="12">
        <f>IFERROR(IF(SUMIFS(tblDaily[DeathsUnder24Hrs],tblDaily[EntryDate],DATE(2026,6,17),tblDaily[WardCode],"MW")=0,"",SUMIFS(tblDaily[DeathsUnder24Hrs],tblDaily[EntryDate],DATE(2026,6,17),tblDaily[WardCode],"MW")),"")</f>
        <v/>
      </c>
      <c r="F218" s="12">
        <f>IFERROR(IF(SUMIFS(tblDaily[TransfersIn],tblDaily[EntryDate],DATE(2026,6,17),tblDaily[WardCode],"MW")=0,"",SUMIFS(tblDaily[TransfersIn],tblDaily[EntryDate],DATE(2026,6,17),tblDaily[WardCode],"MW")),"")</f>
        <v/>
      </c>
      <c r="G218" s="12">
        <f>IFERROR(IF(SUMIFS(tblDaily[TransfersOut],tblDaily[EntryDate],DATE(2026,6,17),tblDaily[WardCode],"MW")=0,"",SUMIFS(tblDaily[TransfersOut],tblDaily[EntryDate],DATE(2026,6,17),tblDaily[WardCode],"MW")),"")</f>
        <v/>
      </c>
      <c r="H218" s="12">
        <f>IFERROR(IF(SUMIFS(tblDaily[Remaining],tblDaily[EntryDate],DATE(2026,6,17),tblDaily[WardCode],"MW")=0,"",SUMIFS(tblDaily[Remaining],tblDaily[EntryDate],DATE(2026,6,17),tblDaily[WardCode],"MW")),"")</f>
        <v/>
      </c>
    </row>
    <row r="219">
      <c r="A219" s="12" t="n">
        <v>18</v>
      </c>
      <c r="B219" s="12">
        <f>IFERROR(IF(SUMIFS(tblDaily[Admissions],tblDaily[EntryDate],DATE(2026,6,18),tblDaily[WardCode],"MW")=0,"",SUMIFS(tblDaily[Admissions],tblDaily[EntryDate],DATE(2026,6,18),tblDaily[WardCode],"MW")),"")</f>
        <v/>
      </c>
      <c r="C219" s="12">
        <f>IFERROR(IF(SUMIFS(tblDaily[Discharges],tblDaily[EntryDate],DATE(2026,6,18),tblDaily[WardCode],"MW")=0,"",SUMIFS(tblDaily[Discharges],tblDaily[EntryDate],DATE(2026,6,18),tblDaily[WardCode],"MW")),"")</f>
        <v/>
      </c>
      <c r="D219" s="12">
        <f>IFERROR(IF(SUMIFS(tblDaily[Deaths],tblDaily[EntryDate],DATE(2026,6,18),tblDaily[WardCode],"MW")=0,"",SUMIFS(tblDaily[Deaths],tblDaily[EntryDate],DATE(2026,6,18),tblDaily[WardCode],"MW")),"")</f>
        <v/>
      </c>
      <c r="E219" s="12">
        <f>IFERROR(IF(SUMIFS(tblDaily[DeathsUnder24Hrs],tblDaily[EntryDate],DATE(2026,6,18),tblDaily[WardCode],"MW")=0,"",SUMIFS(tblDaily[DeathsUnder24Hrs],tblDaily[EntryDate],DATE(2026,6,18),tblDaily[WardCode],"MW")),"")</f>
        <v/>
      </c>
      <c r="F219" s="12">
        <f>IFERROR(IF(SUMIFS(tblDaily[TransfersIn],tblDaily[EntryDate],DATE(2026,6,18),tblDaily[WardCode],"MW")=0,"",SUMIFS(tblDaily[TransfersIn],tblDaily[EntryDate],DATE(2026,6,18),tblDaily[WardCode],"MW")),"")</f>
        <v/>
      </c>
      <c r="G219" s="12">
        <f>IFERROR(IF(SUMIFS(tblDaily[TransfersOut],tblDaily[EntryDate],DATE(2026,6,18),tblDaily[WardCode],"MW")=0,"",SUMIFS(tblDaily[TransfersOut],tblDaily[EntryDate],DATE(2026,6,18),tblDaily[WardCode],"MW")),"")</f>
        <v/>
      </c>
      <c r="H219" s="12">
        <f>IFERROR(IF(SUMIFS(tblDaily[Remaining],tblDaily[EntryDate],DATE(2026,6,18),tblDaily[WardCode],"MW")=0,"",SUMIFS(tblDaily[Remaining],tblDaily[EntryDate],DATE(2026,6,18),tblDaily[WardCode],"MW")),"")</f>
        <v/>
      </c>
    </row>
    <row r="220">
      <c r="A220" s="12" t="n">
        <v>19</v>
      </c>
      <c r="B220" s="12">
        <f>IFERROR(IF(SUMIFS(tblDaily[Admissions],tblDaily[EntryDate],DATE(2026,6,19),tblDaily[WardCode],"MW")=0,"",SUMIFS(tblDaily[Admissions],tblDaily[EntryDate],DATE(2026,6,19),tblDaily[WardCode],"MW")),"")</f>
        <v/>
      </c>
      <c r="C220" s="12">
        <f>IFERROR(IF(SUMIFS(tblDaily[Discharges],tblDaily[EntryDate],DATE(2026,6,19),tblDaily[WardCode],"MW")=0,"",SUMIFS(tblDaily[Discharges],tblDaily[EntryDate],DATE(2026,6,19),tblDaily[WardCode],"MW")),"")</f>
        <v/>
      </c>
      <c r="D220" s="12">
        <f>IFERROR(IF(SUMIFS(tblDaily[Deaths],tblDaily[EntryDate],DATE(2026,6,19),tblDaily[WardCode],"MW")=0,"",SUMIFS(tblDaily[Deaths],tblDaily[EntryDate],DATE(2026,6,19),tblDaily[WardCode],"MW")),"")</f>
        <v/>
      </c>
      <c r="E220" s="12">
        <f>IFERROR(IF(SUMIFS(tblDaily[DeathsUnder24Hrs],tblDaily[EntryDate],DATE(2026,6,19),tblDaily[WardCode],"MW")=0,"",SUMIFS(tblDaily[DeathsUnder24Hrs],tblDaily[EntryDate],DATE(2026,6,19),tblDaily[WardCode],"MW")),"")</f>
        <v/>
      </c>
      <c r="F220" s="12">
        <f>IFERROR(IF(SUMIFS(tblDaily[TransfersIn],tblDaily[EntryDate],DATE(2026,6,19),tblDaily[WardCode],"MW")=0,"",SUMIFS(tblDaily[TransfersIn],tblDaily[EntryDate],DATE(2026,6,19),tblDaily[WardCode],"MW")),"")</f>
        <v/>
      </c>
      <c r="G220" s="12">
        <f>IFERROR(IF(SUMIFS(tblDaily[TransfersOut],tblDaily[EntryDate],DATE(2026,6,19),tblDaily[WardCode],"MW")=0,"",SUMIFS(tblDaily[TransfersOut],tblDaily[EntryDate],DATE(2026,6,19),tblDaily[WardCode],"MW")),"")</f>
        <v/>
      </c>
      <c r="H220" s="12">
        <f>IFERROR(IF(SUMIFS(tblDaily[Remaining],tblDaily[EntryDate],DATE(2026,6,19),tblDaily[WardCode],"MW")=0,"",SUMIFS(tblDaily[Remaining],tblDaily[EntryDate],DATE(2026,6,19),tblDaily[WardCode],"MW")),"")</f>
        <v/>
      </c>
    </row>
    <row r="221">
      <c r="A221" s="12" t="n">
        <v>20</v>
      </c>
      <c r="B221" s="12">
        <f>IFERROR(IF(SUMIFS(tblDaily[Admissions],tblDaily[EntryDate],DATE(2026,6,20),tblDaily[WardCode],"MW")=0,"",SUMIFS(tblDaily[Admissions],tblDaily[EntryDate],DATE(2026,6,20),tblDaily[WardCode],"MW")),"")</f>
        <v/>
      </c>
      <c r="C221" s="12">
        <f>IFERROR(IF(SUMIFS(tblDaily[Discharges],tblDaily[EntryDate],DATE(2026,6,20),tblDaily[WardCode],"MW")=0,"",SUMIFS(tblDaily[Discharges],tblDaily[EntryDate],DATE(2026,6,20),tblDaily[WardCode],"MW")),"")</f>
        <v/>
      </c>
      <c r="D221" s="12">
        <f>IFERROR(IF(SUMIFS(tblDaily[Deaths],tblDaily[EntryDate],DATE(2026,6,20),tblDaily[WardCode],"MW")=0,"",SUMIFS(tblDaily[Deaths],tblDaily[EntryDate],DATE(2026,6,20),tblDaily[WardCode],"MW")),"")</f>
        <v/>
      </c>
      <c r="E221" s="12">
        <f>IFERROR(IF(SUMIFS(tblDaily[DeathsUnder24Hrs],tblDaily[EntryDate],DATE(2026,6,20),tblDaily[WardCode],"MW")=0,"",SUMIFS(tblDaily[DeathsUnder24Hrs],tblDaily[EntryDate],DATE(2026,6,20),tblDaily[WardCode],"MW")),"")</f>
        <v/>
      </c>
      <c r="F221" s="12">
        <f>IFERROR(IF(SUMIFS(tblDaily[TransfersIn],tblDaily[EntryDate],DATE(2026,6,20),tblDaily[WardCode],"MW")=0,"",SUMIFS(tblDaily[TransfersIn],tblDaily[EntryDate],DATE(2026,6,20),tblDaily[WardCode],"MW")),"")</f>
        <v/>
      </c>
      <c r="G221" s="12">
        <f>IFERROR(IF(SUMIFS(tblDaily[TransfersOut],tblDaily[EntryDate],DATE(2026,6,20),tblDaily[WardCode],"MW")=0,"",SUMIFS(tblDaily[TransfersOut],tblDaily[EntryDate],DATE(2026,6,20),tblDaily[WardCode],"MW")),"")</f>
        <v/>
      </c>
      <c r="H221" s="12">
        <f>IFERROR(IF(SUMIFS(tblDaily[Remaining],tblDaily[EntryDate],DATE(2026,6,20),tblDaily[WardCode],"MW")=0,"",SUMIFS(tblDaily[Remaining],tblDaily[EntryDate],DATE(2026,6,20),tblDaily[WardCode],"MW")),"")</f>
        <v/>
      </c>
    </row>
    <row r="222">
      <c r="A222" s="12" t="n">
        <v>21</v>
      </c>
      <c r="B222" s="12">
        <f>IFERROR(IF(SUMIFS(tblDaily[Admissions],tblDaily[EntryDate],DATE(2026,6,21),tblDaily[WardCode],"MW")=0,"",SUMIFS(tblDaily[Admissions],tblDaily[EntryDate],DATE(2026,6,21),tblDaily[WardCode],"MW")),"")</f>
        <v/>
      </c>
      <c r="C222" s="12">
        <f>IFERROR(IF(SUMIFS(tblDaily[Discharges],tblDaily[EntryDate],DATE(2026,6,21),tblDaily[WardCode],"MW")=0,"",SUMIFS(tblDaily[Discharges],tblDaily[EntryDate],DATE(2026,6,21),tblDaily[WardCode],"MW")),"")</f>
        <v/>
      </c>
      <c r="D222" s="12">
        <f>IFERROR(IF(SUMIFS(tblDaily[Deaths],tblDaily[EntryDate],DATE(2026,6,21),tblDaily[WardCode],"MW")=0,"",SUMIFS(tblDaily[Deaths],tblDaily[EntryDate],DATE(2026,6,21),tblDaily[WardCode],"MW")),"")</f>
        <v/>
      </c>
      <c r="E222" s="12">
        <f>IFERROR(IF(SUMIFS(tblDaily[DeathsUnder24Hrs],tblDaily[EntryDate],DATE(2026,6,21),tblDaily[WardCode],"MW")=0,"",SUMIFS(tblDaily[DeathsUnder24Hrs],tblDaily[EntryDate],DATE(2026,6,21),tblDaily[WardCode],"MW")),"")</f>
        <v/>
      </c>
      <c r="F222" s="12">
        <f>IFERROR(IF(SUMIFS(tblDaily[TransfersIn],tblDaily[EntryDate],DATE(2026,6,21),tblDaily[WardCode],"MW")=0,"",SUMIFS(tblDaily[TransfersIn],tblDaily[EntryDate],DATE(2026,6,21),tblDaily[WardCode],"MW")),"")</f>
        <v/>
      </c>
      <c r="G222" s="12">
        <f>IFERROR(IF(SUMIFS(tblDaily[TransfersOut],tblDaily[EntryDate],DATE(2026,6,21),tblDaily[WardCode],"MW")=0,"",SUMIFS(tblDaily[TransfersOut],tblDaily[EntryDate],DATE(2026,6,21),tblDaily[WardCode],"MW")),"")</f>
        <v/>
      </c>
      <c r="H222" s="12">
        <f>IFERROR(IF(SUMIFS(tblDaily[Remaining],tblDaily[EntryDate],DATE(2026,6,21),tblDaily[WardCode],"MW")=0,"",SUMIFS(tblDaily[Remaining],tblDaily[EntryDate],DATE(2026,6,21),tblDaily[WardCode],"MW")),"")</f>
        <v/>
      </c>
    </row>
    <row r="223">
      <c r="A223" s="12" t="n">
        <v>22</v>
      </c>
      <c r="B223" s="12">
        <f>IFERROR(IF(SUMIFS(tblDaily[Admissions],tblDaily[EntryDate],DATE(2026,6,22),tblDaily[WardCode],"MW")=0,"",SUMIFS(tblDaily[Admissions],tblDaily[EntryDate],DATE(2026,6,22),tblDaily[WardCode],"MW")),"")</f>
        <v/>
      </c>
      <c r="C223" s="12">
        <f>IFERROR(IF(SUMIFS(tblDaily[Discharges],tblDaily[EntryDate],DATE(2026,6,22),tblDaily[WardCode],"MW")=0,"",SUMIFS(tblDaily[Discharges],tblDaily[EntryDate],DATE(2026,6,22),tblDaily[WardCode],"MW")),"")</f>
        <v/>
      </c>
      <c r="D223" s="12">
        <f>IFERROR(IF(SUMIFS(tblDaily[Deaths],tblDaily[EntryDate],DATE(2026,6,22),tblDaily[WardCode],"MW")=0,"",SUMIFS(tblDaily[Deaths],tblDaily[EntryDate],DATE(2026,6,22),tblDaily[WardCode],"MW")),"")</f>
        <v/>
      </c>
      <c r="E223" s="12">
        <f>IFERROR(IF(SUMIFS(tblDaily[DeathsUnder24Hrs],tblDaily[EntryDate],DATE(2026,6,22),tblDaily[WardCode],"MW")=0,"",SUMIFS(tblDaily[DeathsUnder24Hrs],tblDaily[EntryDate],DATE(2026,6,22),tblDaily[WardCode],"MW")),"")</f>
        <v/>
      </c>
      <c r="F223" s="12">
        <f>IFERROR(IF(SUMIFS(tblDaily[TransfersIn],tblDaily[EntryDate],DATE(2026,6,22),tblDaily[WardCode],"MW")=0,"",SUMIFS(tblDaily[TransfersIn],tblDaily[EntryDate],DATE(2026,6,22),tblDaily[WardCode],"MW")),"")</f>
        <v/>
      </c>
      <c r="G223" s="12">
        <f>IFERROR(IF(SUMIFS(tblDaily[TransfersOut],tblDaily[EntryDate],DATE(2026,6,22),tblDaily[WardCode],"MW")=0,"",SUMIFS(tblDaily[TransfersOut],tblDaily[EntryDate],DATE(2026,6,22),tblDaily[WardCode],"MW")),"")</f>
        <v/>
      </c>
      <c r="H223" s="12">
        <f>IFERROR(IF(SUMIFS(tblDaily[Remaining],tblDaily[EntryDate],DATE(2026,6,22),tblDaily[WardCode],"MW")=0,"",SUMIFS(tblDaily[Remaining],tblDaily[EntryDate],DATE(2026,6,22),tblDaily[WardCode],"MW")),"")</f>
        <v/>
      </c>
    </row>
    <row r="224">
      <c r="A224" s="12" t="n">
        <v>23</v>
      </c>
      <c r="B224" s="12">
        <f>IFERROR(IF(SUMIFS(tblDaily[Admissions],tblDaily[EntryDate],DATE(2026,6,23),tblDaily[WardCode],"MW")=0,"",SUMIFS(tblDaily[Admissions],tblDaily[EntryDate],DATE(2026,6,23),tblDaily[WardCode],"MW")),"")</f>
        <v/>
      </c>
      <c r="C224" s="12">
        <f>IFERROR(IF(SUMIFS(tblDaily[Discharges],tblDaily[EntryDate],DATE(2026,6,23),tblDaily[WardCode],"MW")=0,"",SUMIFS(tblDaily[Discharges],tblDaily[EntryDate],DATE(2026,6,23),tblDaily[WardCode],"MW")),"")</f>
        <v/>
      </c>
      <c r="D224" s="12">
        <f>IFERROR(IF(SUMIFS(tblDaily[Deaths],tblDaily[EntryDate],DATE(2026,6,23),tblDaily[WardCode],"MW")=0,"",SUMIFS(tblDaily[Deaths],tblDaily[EntryDate],DATE(2026,6,23),tblDaily[WardCode],"MW")),"")</f>
        <v/>
      </c>
      <c r="E224" s="12">
        <f>IFERROR(IF(SUMIFS(tblDaily[DeathsUnder24Hrs],tblDaily[EntryDate],DATE(2026,6,23),tblDaily[WardCode],"MW")=0,"",SUMIFS(tblDaily[DeathsUnder24Hrs],tblDaily[EntryDate],DATE(2026,6,23),tblDaily[WardCode],"MW")),"")</f>
        <v/>
      </c>
      <c r="F224" s="12">
        <f>IFERROR(IF(SUMIFS(tblDaily[TransfersIn],tblDaily[EntryDate],DATE(2026,6,23),tblDaily[WardCode],"MW")=0,"",SUMIFS(tblDaily[TransfersIn],tblDaily[EntryDate],DATE(2026,6,23),tblDaily[WardCode],"MW")),"")</f>
        <v/>
      </c>
      <c r="G224" s="12">
        <f>IFERROR(IF(SUMIFS(tblDaily[TransfersOut],tblDaily[EntryDate],DATE(2026,6,23),tblDaily[WardCode],"MW")=0,"",SUMIFS(tblDaily[TransfersOut],tblDaily[EntryDate],DATE(2026,6,23),tblDaily[WardCode],"MW")),"")</f>
        <v/>
      </c>
      <c r="H224" s="12">
        <f>IFERROR(IF(SUMIFS(tblDaily[Remaining],tblDaily[EntryDate],DATE(2026,6,23),tblDaily[WardCode],"MW")=0,"",SUMIFS(tblDaily[Remaining],tblDaily[EntryDate],DATE(2026,6,23),tblDaily[WardCode],"MW")),"")</f>
        <v/>
      </c>
    </row>
    <row r="225">
      <c r="A225" s="12" t="n">
        <v>24</v>
      </c>
      <c r="B225" s="12">
        <f>IFERROR(IF(SUMIFS(tblDaily[Admissions],tblDaily[EntryDate],DATE(2026,6,24),tblDaily[WardCode],"MW")=0,"",SUMIFS(tblDaily[Admissions],tblDaily[EntryDate],DATE(2026,6,24),tblDaily[WardCode],"MW")),"")</f>
        <v/>
      </c>
      <c r="C225" s="12">
        <f>IFERROR(IF(SUMIFS(tblDaily[Discharges],tblDaily[EntryDate],DATE(2026,6,24),tblDaily[WardCode],"MW")=0,"",SUMIFS(tblDaily[Discharges],tblDaily[EntryDate],DATE(2026,6,24),tblDaily[WardCode],"MW")),"")</f>
        <v/>
      </c>
      <c r="D225" s="12">
        <f>IFERROR(IF(SUMIFS(tblDaily[Deaths],tblDaily[EntryDate],DATE(2026,6,24),tblDaily[WardCode],"MW")=0,"",SUMIFS(tblDaily[Deaths],tblDaily[EntryDate],DATE(2026,6,24),tblDaily[WardCode],"MW")),"")</f>
        <v/>
      </c>
      <c r="E225" s="12">
        <f>IFERROR(IF(SUMIFS(tblDaily[DeathsUnder24Hrs],tblDaily[EntryDate],DATE(2026,6,24),tblDaily[WardCode],"MW")=0,"",SUMIFS(tblDaily[DeathsUnder24Hrs],tblDaily[EntryDate],DATE(2026,6,24),tblDaily[WardCode],"MW")),"")</f>
        <v/>
      </c>
      <c r="F225" s="12">
        <f>IFERROR(IF(SUMIFS(tblDaily[TransfersIn],tblDaily[EntryDate],DATE(2026,6,24),tblDaily[WardCode],"MW")=0,"",SUMIFS(tblDaily[TransfersIn],tblDaily[EntryDate],DATE(2026,6,24),tblDaily[WardCode],"MW")),"")</f>
        <v/>
      </c>
      <c r="G225" s="12">
        <f>IFERROR(IF(SUMIFS(tblDaily[TransfersOut],tblDaily[EntryDate],DATE(2026,6,24),tblDaily[WardCode],"MW")=0,"",SUMIFS(tblDaily[TransfersOut],tblDaily[EntryDate],DATE(2026,6,24),tblDaily[WardCode],"MW")),"")</f>
        <v/>
      </c>
      <c r="H225" s="12">
        <f>IFERROR(IF(SUMIFS(tblDaily[Remaining],tblDaily[EntryDate],DATE(2026,6,24),tblDaily[WardCode],"MW")=0,"",SUMIFS(tblDaily[Remaining],tblDaily[EntryDate],DATE(2026,6,24),tblDaily[WardCode],"MW")),"")</f>
        <v/>
      </c>
    </row>
    <row r="226">
      <c r="A226" s="12" t="n">
        <v>25</v>
      </c>
      <c r="B226" s="12">
        <f>IFERROR(IF(SUMIFS(tblDaily[Admissions],tblDaily[EntryDate],DATE(2026,6,25),tblDaily[WardCode],"MW")=0,"",SUMIFS(tblDaily[Admissions],tblDaily[EntryDate],DATE(2026,6,25),tblDaily[WardCode],"MW")),"")</f>
        <v/>
      </c>
      <c r="C226" s="12">
        <f>IFERROR(IF(SUMIFS(tblDaily[Discharges],tblDaily[EntryDate],DATE(2026,6,25),tblDaily[WardCode],"MW")=0,"",SUMIFS(tblDaily[Discharges],tblDaily[EntryDate],DATE(2026,6,25),tblDaily[WardCode],"MW")),"")</f>
        <v/>
      </c>
      <c r="D226" s="12">
        <f>IFERROR(IF(SUMIFS(tblDaily[Deaths],tblDaily[EntryDate],DATE(2026,6,25),tblDaily[WardCode],"MW")=0,"",SUMIFS(tblDaily[Deaths],tblDaily[EntryDate],DATE(2026,6,25),tblDaily[WardCode],"MW")),"")</f>
        <v/>
      </c>
      <c r="E226" s="12">
        <f>IFERROR(IF(SUMIFS(tblDaily[DeathsUnder24Hrs],tblDaily[EntryDate],DATE(2026,6,25),tblDaily[WardCode],"MW")=0,"",SUMIFS(tblDaily[DeathsUnder24Hrs],tblDaily[EntryDate],DATE(2026,6,25),tblDaily[WardCode],"MW")),"")</f>
        <v/>
      </c>
      <c r="F226" s="12">
        <f>IFERROR(IF(SUMIFS(tblDaily[TransfersIn],tblDaily[EntryDate],DATE(2026,6,25),tblDaily[WardCode],"MW")=0,"",SUMIFS(tblDaily[TransfersIn],tblDaily[EntryDate],DATE(2026,6,25),tblDaily[WardCode],"MW")),"")</f>
        <v/>
      </c>
      <c r="G226" s="12">
        <f>IFERROR(IF(SUMIFS(tblDaily[TransfersOut],tblDaily[EntryDate],DATE(2026,6,25),tblDaily[WardCode],"MW")=0,"",SUMIFS(tblDaily[TransfersOut],tblDaily[EntryDate],DATE(2026,6,25),tblDaily[WardCode],"MW")),"")</f>
        <v/>
      </c>
      <c r="H226" s="12">
        <f>IFERROR(IF(SUMIFS(tblDaily[Remaining],tblDaily[EntryDate],DATE(2026,6,25),tblDaily[WardCode],"MW")=0,"",SUMIFS(tblDaily[Remaining],tblDaily[EntryDate],DATE(2026,6,25),tblDaily[WardCode],"MW")),"")</f>
        <v/>
      </c>
    </row>
    <row r="227">
      <c r="A227" s="12" t="n">
        <v>26</v>
      </c>
      <c r="B227" s="12">
        <f>IFERROR(IF(SUMIFS(tblDaily[Admissions],tblDaily[EntryDate],DATE(2026,6,26),tblDaily[WardCode],"MW")=0,"",SUMIFS(tblDaily[Admissions],tblDaily[EntryDate],DATE(2026,6,26),tblDaily[WardCode],"MW")),"")</f>
        <v/>
      </c>
      <c r="C227" s="12">
        <f>IFERROR(IF(SUMIFS(tblDaily[Discharges],tblDaily[EntryDate],DATE(2026,6,26),tblDaily[WardCode],"MW")=0,"",SUMIFS(tblDaily[Discharges],tblDaily[EntryDate],DATE(2026,6,26),tblDaily[WardCode],"MW")),"")</f>
        <v/>
      </c>
      <c r="D227" s="12">
        <f>IFERROR(IF(SUMIFS(tblDaily[Deaths],tblDaily[EntryDate],DATE(2026,6,26),tblDaily[WardCode],"MW")=0,"",SUMIFS(tblDaily[Deaths],tblDaily[EntryDate],DATE(2026,6,26),tblDaily[WardCode],"MW")),"")</f>
        <v/>
      </c>
      <c r="E227" s="12">
        <f>IFERROR(IF(SUMIFS(tblDaily[DeathsUnder24Hrs],tblDaily[EntryDate],DATE(2026,6,26),tblDaily[WardCode],"MW")=0,"",SUMIFS(tblDaily[DeathsUnder24Hrs],tblDaily[EntryDate],DATE(2026,6,26),tblDaily[WardCode],"MW")),"")</f>
        <v/>
      </c>
      <c r="F227" s="12">
        <f>IFERROR(IF(SUMIFS(tblDaily[TransfersIn],tblDaily[EntryDate],DATE(2026,6,26),tblDaily[WardCode],"MW")=0,"",SUMIFS(tblDaily[TransfersIn],tblDaily[EntryDate],DATE(2026,6,26),tblDaily[WardCode],"MW")),"")</f>
        <v/>
      </c>
      <c r="G227" s="12">
        <f>IFERROR(IF(SUMIFS(tblDaily[TransfersOut],tblDaily[EntryDate],DATE(2026,6,26),tblDaily[WardCode],"MW")=0,"",SUMIFS(tblDaily[TransfersOut],tblDaily[EntryDate],DATE(2026,6,26),tblDaily[WardCode],"MW")),"")</f>
        <v/>
      </c>
      <c r="H227" s="12">
        <f>IFERROR(IF(SUMIFS(tblDaily[Remaining],tblDaily[EntryDate],DATE(2026,6,26),tblDaily[WardCode],"MW")=0,"",SUMIFS(tblDaily[Remaining],tblDaily[EntryDate],DATE(2026,6,26),tblDaily[WardCode],"MW")),"")</f>
        <v/>
      </c>
    </row>
    <row r="228">
      <c r="A228" s="12" t="n">
        <v>27</v>
      </c>
      <c r="B228" s="12">
        <f>IFERROR(IF(SUMIFS(tblDaily[Admissions],tblDaily[EntryDate],DATE(2026,6,27),tblDaily[WardCode],"MW")=0,"",SUMIFS(tblDaily[Admissions],tblDaily[EntryDate],DATE(2026,6,27),tblDaily[WardCode],"MW")),"")</f>
        <v/>
      </c>
      <c r="C228" s="12">
        <f>IFERROR(IF(SUMIFS(tblDaily[Discharges],tblDaily[EntryDate],DATE(2026,6,27),tblDaily[WardCode],"MW")=0,"",SUMIFS(tblDaily[Discharges],tblDaily[EntryDate],DATE(2026,6,27),tblDaily[WardCode],"MW")),"")</f>
        <v/>
      </c>
      <c r="D228" s="12">
        <f>IFERROR(IF(SUMIFS(tblDaily[Deaths],tblDaily[EntryDate],DATE(2026,6,27),tblDaily[WardCode],"MW")=0,"",SUMIFS(tblDaily[Deaths],tblDaily[EntryDate],DATE(2026,6,27),tblDaily[WardCode],"MW")),"")</f>
        <v/>
      </c>
      <c r="E228" s="12">
        <f>IFERROR(IF(SUMIFS(tblDaily[DeathsUnder24Hrs],tblDaily[EntryDate],DATE(2026,6,27),tblDaily[WardCode],"MW")=0,"",SUMIFS(tblDaily[DeathsUnder24Hrs],tblDaily[EntryDate],DATE(2026,6,27),tblDaily[WardCode],"MW")),"")</f>
        <v/>
      </c>
      <c r="F228" s="12">
        <f>IFERROR(IF(SUMIFS(tblDaily[TransfersIn],tblDaily[EntryDate],DATE(2026,6,27),tblDaily[WardCode],"MW")=0,"",SUMIFS(tblDaily[TransfersIn],tblDaily[EntryDate],DATE(2026,6,27),tblDaily[WardCode],"MW")),"")</f>
        <v/>
      </c>
      <c r="G228" s="12">
        <f>IFERROR(IF(SUMIFS(tblDaily[TransfersOut],tblDaily[EntryDate],DATE(2026,6,27),tblDaily[WardCode],"MW")=0,"",SUMIFS(tblDaily[TransfersOut],tblDaily[EntryDate],DATE(2026,6,27),tblDaily[WardCode],"MW")),"")</f>
        <v/>
      </c>
      <c r="H228" s="12">
        <f>IFERROR(IF(SUMIFS(tblDaily[Remaining],tblDaily[EntryDate],DATE(2026,6,27),tblDaily[WardCode],"MW")=0,"",SUMIFS(tblDaily[Remaining],tblDaily[EntryDate],DATE(2026,6,27),tblDaily[WardCode],"MW")),"")</f>
        <v/>
      </c>
    </row>
    <row r="229">
      <c r="A229" s="12" t="n">
        <v>28</v>
      </c>
      <c r="B229" s="12">
        <f>IFERROR(IF(SUMIFS(tblDaily[Admissions],tblDaily[EntryDate],DATE(2026,6,28),tblDaily[WardCode],"MW")=0,"",SUMIFS(tblDaily[Admissions],tblDaily[EntryDate],DATE(2026,6,28),tblDaily[WardCode],"MW")),"")</f>
        <v/>
      </c>
      <c r="C229" s="12">
        <f>IFERROR(IF(SUMIFS(tblDaily[Discharges],tblDaily[EntryDate],DATE(2026,6,28),tblDaily[WardCode],"MW")=0,"",SUMIFS(tblDaily[Discharges],tblDaily[EntryDate],DATE(2026,6,28),tblDaily[WardCode],"MW")),"")</f>
        <v/>
      </c>
      <c r="D229" s="12">
        <f>IFERROR(IF(SUMIFS(tblDaily[Deaths],tblDaily[EntryDate],DATE(2026,6,28),tblDaily[WardCode],"MW")=0,"",SUMIFS(tblDaily[Deaths],tblDaily[EntryDate],DATE(2026,6,28),tblDaily[WardCode],"MW")),"")</f>
        <v/>
      </c>
      <c r="E229" s="12">
        <f>IFERROR(IF(SUMIFS(tblDaily[DeathsUnder24Hrs],tblDaily[EntryDate],DATE(2026,6,28),tblDaily[WardCode],"MW")=0,"",SUMIFS(tblDaily[DeathsUnder24Hrs],tblDaily[EntryDate],DATE(2026,6,28),tblDaily[WardCode],"MW")),"")</f>
        <v/>
      </c>
      <c r="F229" s="12">
        <f>IFERROR(IF(SUMIFS(tblDaily[TransfersIn],tblDaily[EntryDate],DATE(2026,6,28),tblDaily[WardCode],"MW")=0,"",SUMIFS(tblDaily[TransfersIn],tblDaily[EntryDate],DATE(2026,6,28),tblDaily[WardCode],"MW")),"")</f>
        <v/>
      </c>
      <c r="G229" s="12">
        <f>IFERROR(IF(SUMIFS(tblDaily[TransfersOut],tblDaily[EntryDate],DATE(2026,6,28),tblDaily[WardCode],"MW")=0,"",SUMIFS(tblDaily[TransfersOut],tblDaily[EntryDate],DATE(2026,6,28),tblDaily[WardCode],"MW")),"")</f>
        <v/>
      </c>
      <c r="H229" s="12">
        <f>IFERROR(IF(SUMIFS(tblDaily[Remaining],tblDaily[EntryDate],DATE(2026,6,28),tblDaily[WardCode],"MW")=0,"",SUMIFS(tblDaily[Remaining],tblDaily[EntryDate],DATE(2026,6,28),tblDaily[WardCode],"MW")),"")</f>
        <v/>
      </c>
    </row>
    <row r="230">
      <c r="A230" s="12" t="n">
        <v>29</v>
      </c>
      <c r="B230" s="12">
        <f>IFERROR(IF(SUMIFS(tblDaily[Admissions],tblDaily[EntryDate],DATE(2026,6,29),tblDaily[WardCode],"MW")=0,"",SUMIFS(tblDaily[Admissions],tblDaily[EntryDate],DATE(2026,6,29),tblDaily[WardCode],"MW")),"")</f>
        <v/>
      </c>
      <c r="C230" s="12">
        <f>IFERROR(IF(SUMIFS(tblDaily[Discharges],tblDaily[EntryDate],DATE(2026,6,29),tblDaily[WardCode],"MW")=0,"",SUMIFS(tblDaily[Discharges],tblDaily[EntryDate],DATE(2026,6,29),tblDaily[WardCode],"MW")),"")</f>
        <v/>
      </c>
      <c r="D230" s="12">
        <f>IFERROR(IF(SUMIFS(tblDaily[Deaths],tblDaily[EntryDate],DATE(2026,6,29),tblDaily[WardCode],"MW")=0,"",SUMIFS(tblDaily[Deaths],tblDaily[EntryDate],DATE(2026,6,29),tblDaily[WardCode],"MW")),"")</f>
        <v/>
      </c>
      <c r="E230" s="12">
        <f>IFERROR(IF(SUMIFS(tblDaily[DeathsUnder24Hrs],tblDaily[EntryDate],DATE(2026,6,29),tblDaily[WardCode],"MW")=0,"",SUMIFS(tblDaily[DeathsUnder24Hrs],tblDaily[EntryDate],DATE(2026,6,29),tblDaily[WardCode],"MW")),"")</f>
        <v/>
      </c>
      <c r="F230" s="12">
        <f>IFERROR(IF(SUMIFS(tblDaily[TransfersIn],tblDaily[EntryDate],DATE(2026,6,29),tblDaily[WardCode],"MW")=0,"",SUMIFS(tblDaily[TransfersIn],tblDaily[EntryDate],DATE(2026,6,29),tblDaily[WardCode],"MW")),"")</f>
        <v/>
      </c>
      <c r="G230" s="12">
        <f>IFERROR(IF(SUMIFS(tblDaily[TransfersOut],tblDaily[EntryDate],DATE(2026,6,29),tblDaily[WardCode],"MW")=0,"",SUMIFS(tblDaily[TransfersOut],tblDaily[EntryDate],DATE(2026,6,29),tblDaily[WardCode],"MW")),"")</f>
        <v/>
      </c>
      <c r="H230" s="12">
        <f>IFERROR(IF(SUMIFS(tblDaily[Remaining],tblDaily[EntryDate],DATE(2026,6,29),tblDaily[WardCode],"MW")=0,"",SUMIFS(tblDaily[Remaining],tblDaily[EntryDate],DATE(2026,6,29),tblDaily[WardCode],"MW")),"")</f>
        <v/>
      </c>
    </row>
    <row r="231">
      <c r="A231" s="12" t="n">
        <v>30</v>
      </c>
      <c r="B231" s="12">
        <f>IFERROR(IF(SUMIFS(tblDaily[Admissions],tblDaily[EntryDate],DATE(2026,6,30),tblDaily[WardCode],"MW")=0,"",SUMIFS(tblDaily[Admissions],tblDaily[EntryDate],DATE(2026,6,30),tblDaily[WardCode],"MW")),"")</f>
        <v/>
      </c>
      <c r="C231" s="12">
        <f>IFERROR(IF(SUMIFS(tblDaily[Discharges],tblDaily[EntryDate],DATE(2026,6,30),tblDaily[WardCode],"MW")=0,"",SUMIFS(tblDaily[Discharges],tblDaily[EntryDate],DATE(2026,6,30),tblDaily[WardCode],"MW")),"")</f>
        <v/>
      </c>
      <c r="D231" s="12">
        <f>IFERROR(IF(SUMIFS(tblDaily[Deaths],tblDaily[EntryDate],DATE(2026,6,30),tblDaily[WardCode],"MW")=0,"",SUMIFS(tblDaily[Deaths],tblDaily[EntryDate],DATE(2026,6,30),tblDaily[WardCode],"MW")),"")</f>
        <v/>
      </c>
      <c r="E231" s="12">
        <f>IFERROR(IF(SUMIFS(tblDaily[DeathsUnder24Hrs],tblDaily[EntryDate],DATE(2026,6,30),tblDaily[WardCode],"MW")=0,"",SUMIFS(tblDaily[DeathsUnder24Hrs],tblDaily[EntryDate],DATE(2026,6,30),tblDaily[WardCode],"MW")),"")</f>
        <v/>
      </c>
      <c r="F231" s="12">
        <f>IFERROR(IF(SUMIFS(tblDaily[TransfersIn],tblDaily[EntryDate],DATE(2026,6,30),tblDaily[WardCode],"MW")=0,"",SUMIFS(tblDaily[TransfersIn],tblDaily[EntryDate],DATE(2026,6,30),tblDaily[WardCode],"MW")),"")</f>
        <v/>
      </c>
      <c r="G231" s="12">
        <f>IFERROR(IF(SUMIFS(tblDaily[TransfersOut],tblDaily[EntryDate],DATE(2026,6,30),tblDaily[WardCode],"MW")=0,"",SUMIFS(tblDaily[TransfersOut],tblDaily[EntryDate],DATE(2026,6,30),tblDaily[WardCode],"MW")),"")</f>
        <v/>
      </c>
      <c r="H231" s="12">
        <f>IFERROR(IF(SUMIFS(tblDaily[Remaining],tblDaily[EntryDate],DATE(2026,6,30),tblDaily[WardCode],"MW")=0,"",SUMIFS(tblDaily[Remaining],tblDaily[EntryDate],DATE(2026,6,30),tblDaily[WardCode],"MW")),"")</f>
        <v/>
      </c>
    </row>
    <row r="232">
      <c r="A232" s="12" t="n">
        <v>31</v>
      </c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7" t="inlineStr">
        <is>
          <t>TOTAL</t>
        </is>
      </c>
      <c r="B233" s="17">
        <f>SUMIFS(tblDaily[Admissions],tblDaily[Month],6,tblDaily[WardCode],"MW") - SUMIFS(tblDaily[DeathsUnder24Hrs],tblDaily[Month],6,tblDaily[WardCode],"MW")</f>
        <v/>
      </c>
      <c r="C233" s="17">
        <f>SUMIFS(tblDaily[Discharges],tblDaily[Month],6,tblDaily[WardCode],"MW")</f>
        <v/>
      </c>
      <c r="D233" s="17">
        <f>SUMIFS(tblDaily[Deaths],tblDaily[Month],6,tblDaily[WardCode],"MW")</f>
        <v/>
      </c>
      <c r="E233" s="17">
        <f>SUMIFS(tblDaily[DeathsUnder24Hrs],tblDaily[Month],6,tblDaily[WardCode],"MW")</f>
        <v/>
      </c>
      <c r="F233" s="17">
        <f>SUMIFS(tblDaily[TransfersIn],tblDaily[Month],6,tblDaily[WardCode],"MW")</f>
        <v/>
      </c>
      <c r="G233" s="17">
        <f>SUMIFS(tblDaily[TransfersOut],tblDaily[Month],6,tblDaily[WardCode],"MW")</f>
        <v/>
      </c>
      <c r="H233" s="17">
        <f>SUMIFS(tblDaily[Remaining],tblDaily[Month],6,tblDaily[WardCode],"MW")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MALE MEDICAL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4">
        <f>IFERROR(SUMIFS(tblDaily[Remaining],tblDaily[EntryDate],DATE(2026,6,30),tblDaily[WardCode],"MW"),0)</f>
        <v/>
      </c>
    </row>
    <row r="239">
      <c r="A239" s="4" t="inlineStr">
        <is>
          <t>Bed complement</t>
        </is>
      </c>
      <c r="H239" s="15">
        <f>IFERROR(INDEX(tblWardConfig[BedComplement],MATCH("MW",tblWardConfig[WardCode],0)),0)</f>
        <v/>
      </c>
    </row>
    <row r="240">
      <c r="A240" s="16" t="inlineStr">
        <is>
          <t>Day of
the
Month</t>
        </is>
      </c>
      <c r="B240" s="16" t="inlineStr">
        <is>
          <t>Admissions</t>
        </is>
      </c>
      <c r="C240" s="16" t="inlineStr">
        <is>
          <t>Discharges</t>
        </is>
      </c>
      <c r="D240" s="16" t="inlineStr">
        <is>
          <t>Deaths</t>
        </is>
      </c>
      <c r="E240" s="16" t="inlineStr">
        <is>
          <t>Deaths
&lt;24Hrs</t>
        </is>
      </c>
      <c r="F240" s="16" t="inlineStr">
        <is>
          <t>Transfers-
In</t>
        </is>
      </c>
      <c r="G240" s="16" t="inlineStr">
        <is>
          <t>Transfers-
Out</t>
        </is>
      </c>
      <c r="H240" s="16" t="inlineStr">
        <is>
          <t>No. of Patients
Remaining In
Ward</t>
        </is>
      </c>
    </row>
    <row r="241">
      <c r="A241" s="12" t="n">
        <v>1</v>
      </c>
      <c r="B241" s="12">
        <f>IFERROR(IF(SUMIFS(tblDaily[Admissions],tblDaily[EntryDate],DATE(2026,7,1),tblDaily[WardCode],"MW")=0,"",SUMIFS(tblDaily[Admissions],tblDaily[EntryDate],DATE(2026,7,1),tblDaily[WardCode],"MW")),"")</f>
        <v/>
      </c>
      <c r="C241" s="12">
        <f>IFERROR(IF(SUMIFS(tblDaily[Discharges],tblDaily[EntryDate],DATE(2026,7,1),tblDaily[WardCode],"MW")=0,"",SUMIFS(tblDaily[Discharges],tblDaily[EntryDate],DATE(2026,7,1),tblDaily[WardCode],"MW")),"")</f>
        <v/>
      </c>
      <c r="D241" s="12">
        <f>IFERROR(IF(SUMIFS(tblDaily[Deaths],tblDaily[EntryDate],DATE(2026,7,1),tblDaily[WardCode],"MW")=0,"",SUMIFS(tblDaily[Deaths],tblDaily[EntryDate],DATE(2026,7,1),tblDaily[WardCode],"MW")),"")</f>
        <v/>
      </c>
      <c r="E241" s="12">
        <f>IFERROR(IF(SUMIFS(tblDaily[DeathsUnder24Hrs],tblDaily[EntryDate],DATE(2026,7,1),tblDaily[WardCode],"MW")=0,"",SUMIFS(tblDaily[DeathsUnder24Hrs],tblDaily[EntryDate],DATE(2026,7,1),tblDaily[WardCode],"MW")),"")</f>
        <v/>
      </c>
      <c r="F241" s="12">
        <f>IFERROR(IF(SUMIFS(tblDaily[TransfersIn],tblDaily[EntryDate],DATE(2026,7,1),tblDaily[WardCode],"MW")=0,"",SUMIFS(tblDaily[TransfersIn],tblDaily[EntryDate],DATE(2026,7,1),tblDaily[WardCode],"MW")),"")</f>
        <v/>
      </c>
      <c r="G241" s="12">
        <f>IFERROR(IF(SUMIFS(tblDaily[TransfersOut],tblDaily[EntryDate],DATE(2026,7,1),tblDaily[WardCode],"MW")=0,"",SUMIFS(tblDaily[TransfersOut],tblDaily[EntryDate],DATE(2026,7,1),tblDaily[WardCode],"MW")),"")</f>
        <v/>
      </c>
      <c r="H241" s="12">
        <f>IFERROR(IF(SUMIFS(tblDaily[Remaining],tblDaily[EntryDate],DATE(2026,7,1),tblDaily[WardCode],"MW")=0,"",SUMIFS(tblDaily[Remaining],tblDaily[EntryDate],DATE(2026,7,1),tblDaily[WardCode],"MW")),"")</f>
        <v/>
      </c>
    </row>
    <row r="242">
      <c r="A242" s="12" t="n">
        <v>2</v>
      </c>
      <c r="B242" s="12">
        <f>IFERROR(IF(SUMIFS(tblDaily[Admissions],tblDaily[EntryDate],DATE(2026,7,2),tblDaily[WardCode],"MW")=0,"",SUMIFS(tblDaily[Admissions],tblDaily[EntryDate],DATE(2026,7,2),tblDaily[WardCode],"MW")),"")</f>
        <v/>
      </c>
      <c r="C242" s="12">
        <f>IFERROR(IF(SUMIFS(tblDaily[Discharges],tblDaily[EntryDate],DATE(2026,7,2),tblDaily[WardCode],"MW")=0,"",SUMIFS(tblDaily[Discharges],tblDaily[EntryDate],DATE(2026,7,2),tblDaily[WardCode],"MW")),"")</f>
        <v/>
      </c>
      <c r="D242" s="12">
        <f>IFERROR(IF(SUMIFS(tblDaily[Deaths],tblDaily[EntryDate],DATE(2026,7,2),tblDaily[WardCode],"MW")=0,"",SUMIFS(tblDaily[Deaths],tblDaily[EntryDate],DATE(2026,7,2),tblDaily[WardCode],"MW")),"")</f>
        <v/>
      </c>
      <c r="E242" s="12">
        <f>IFERROR(IF(SUMIFS(tblDaily[DeathsUnder24Hrs],tblDaily[EntryDate],DATE(2026,7,2),tblDaily[WardCode],"MW")=0,"",SUMIFS(tblDaily[DeathsUnder24Hrs],tblDaily[EntryDate],DATE(2026,7,2),tblDaily[WardCode],"MW")),"")</f>
        <v/>
      </c>
      <c r="F242" s="12">
        <f>IFERROR(IF(SUMIFS(tblDaily[TransfersIn],tblDaily[EntryDate],DATE(2026,7,2),tblDaily[WardCode],"MW")=0,"",SUMIFS(tblDaily[TransfersIn],tblDaily[EntryDate],DATE(2026,7,2),tblDaily[WardCode],"MW")),"")</f>
        <v/>
      </c>
      <c r="G242" s="12">
        <f>IFERROR(IF(SUMIFS(tblDaily[TransfersOut],tblDaily[EntryDate],DATE(2026,7,2),tblDaily[WardCode],"MW")=0,"",SUMIFS(tblDaily[TransfersOut],tblDaily[EntryDate],DATE(2026,7,2),tblDaily[WardCode],"MW")),"")</f>
        <v/>
      </c>
      <c r="H242" s="12">
        <f>IFERROR(IF(SUMIFS(tblDaily[Remaining],tblDaily[EntryDate],DATE(2026,7,2),tblDaily[WardCode],"MW")=0,"",SUMIFS(tblDaily[Remaining],tblDaily[EntryDate],DATE(2026,7,2),tblDaily[WardCode],"MW")),"")</f>
        <v/>
      </c>
    </row>
    <row r="243">
      <c r="A243" s="12" t="n">
        <v>3</v>
      </c>
      <c r="B243" s="12">
        <f>IFERROR(IF(SUMIFS(tblDaily[Admissions],tblDaily[EntryDate],DATE(2026,7,3),tblDaily[WardCode],"MW")=0,"",SUMIFS(tblDaily[Admissions],tblDaily[EntryDate],DATE(2026,7,3),tblDaily[WardCode],"MW")),"")</f>
        <v/>
      </c>
      <c r="C243" s="12">
        <f>IFERROR(IF(SUMIFS(tblDaily[Discharges],tblDaily[EntryDate],DATE(2026,7,3),tblDaily[WardCode],"MW")=0,"",SUMIFS(tblDaily[Discharges],tblDaily[EntryDate],DATE(2026,7,3),tblDaily[WardCode],"MW")),"")</f>
        <v/>
      </c>
      <c r="D243" s="12">
        <f>IFERROR(IF(SUMIFS(tblDaily[Deaths],tblDaily[EntryDate],DATE(2026,7,3),tblDaily[WardCode],"MW")=0,"",SUMIFS(tblDaily[Deaths],tblDaily[EntryDate],DATE(2026,7,3),tblDaily[WardCode],"MW")),"")</f>
        <v/>
      </c>
      <c r="E243" s="12">
        <f>IFERROR(IF(SUMIFS(tblDaily[DeathsUnder24Hrs],tblDaily[EntryDate],DATE(2026,7,3),tblDaily[WardCode],"MW")=0,"",SUMIFS(tblDaily[DeathsUnder24Hrs],tblDaily[EntryDate],DATE(2026,7,3),tblDaily[WardCode],"MW")),"")</f>
        <v/>
      </c>
      <c r="F243" s="12">
        <f>IFERROR(IF(SUMIFS(tblDaily[TransfersIn],tblDaily[EntryDate],DATE(2026,7,3),tblDaily[WardCode],"MW")=0,"",SUMIFS(tblDaily[TransfersIn],tblDaily[EntryDate],DATE(2026,7,3),tblDaily[WardCode],"MW")),"")</f>
        <v/>
      </c>
      <c r="G243" s="12">
        <f>IFERROR(IF(SUMIFS(tblDaily[TransfersOut],tblDaily[EntryDate],DATE(2026,7,3),tblDaily[WardCode],"MW")=0,"",SUMIFS(tblDaily[TransfersOut],tblDaily[EntryDate],DATE(2026,7,3),tblDaily[WardCode],"MW")),"")</f>
        <v/>
      </c>
      <c r="H243" s="12">
        <f>IFERROR(IF(SUMIFS(tblDaily[Remaining],tblDaily[EntryDate],DATE(2026,7,3),tblDaily[WardCode],"MW")=0,"",SUMIFS(tblDaily[Remaining],tblDaily[EntryDate],DATE(2026,7,3),tblDaily[WardCode],"MW")),"")</f>
        <v/>
      </c>
    </row>
    <row r="244">
      <c r="A244" s="12" t="n">
        <v>4</v>
      </c>
      <c r="B244" s="12">
        <f>IFERROR(IF(SUMIFS(tblDaily[Admissions],tblDaily[EntryDate],DATE(2026,7,4),tblDaily[WardCode],"MW")=0,"",SUMIFS(tblDaily[Admissions],tblDaily[EntryDate],DATE(2026,7,4),tblDaily[WardCode],"MW")),"")</f>
        <v/>
      </c>
      <c r="C244" s="12">
        <f>IFERROR(IF(SUMIFS(tblDaily[Discharges],tblDaily[EntryDate],DATE(2026,7,4),tblDaily[WardCode],"MW")=0,"",SUMIFS(tblDaily[Discharges],tblDaily[EntryDate],DATE(2026,7,4),tblDaily[WardCode],"MW")),"")</f>
        <v/>
      </c>
      <c r="D244" s="12">
        <f>IFERROR(IF(SUMIFS(tblDaily[Deaths],tblDaily[EntryDate],DATE(2026,7,4),tblDaily[WardCode],"MW")=0,"",SUMIFS(tblDaily[Deaths],tblDaily[EntryDate],DATE(2026,7,4),tblDaily[WardCode],"MW")),"")</f>
        <v/>
      </c>
      <c r="E244" s="12">
        <f>IFERROR(IF(SUMIFS(tblDaily[DeathsUnder24Hrs],tblDaily[EntryDate],DATE(2026,7,4),tblDaily[WardCode],"MW")=0,"",SUMIFS(tblDaily[DeathsUnder24Hrs],tblDaily[EntryDate],DATE(2026,7,4),tblDaily[WardCode],"MW")),"")</f>
        <v/>
      </c>
      <c r="F244" s="12">
        <f>IFERROR(IF(SUMIFS(tblDaily[TransfersIn],tblDaily[EntryDate],DATE(2026,7,4),tblDaily[WardCode],"MW")=0,"",SUMIFS(tblDaily[TransfersIn],tblDaily[EntryDate],DATE(2026,7,4),tblDaily[WardCode],"MW")),"")</f>
        <v/>
      </c>
      <c r="G244" s="12">
        <f>IFERROR(IF(SUMIFS(tblDaily[TransfersOut],tblDaily[EntryDate],DATE(2026,7,4),tblDaily[WardCode],"MW")=0,"",SUMIFS(tblDaily[TransfersOut],tblDaily[EntryDate],DATE(2026,7,4),tblDaily[WardCode],"MW")),"")</f>
        <v/>
      </c>
      <c r="H244" s="12">
        <f>IFERROR(IF(SUMIFS(tblDaily[Remaining],tblDaily[EntryDate],DATE(2026,7,4),tblDaily[WardCode],"MW")=0,"",SUMIFS(tblDaily[Remaining],tblDaily[EntryDate],DATE(2026,7,4),tblDaily[WardCode],"MW")),"")</f>
        <v/>
      </c>
    </row>
    <row r="245">
      <c r="A245" s="12" t="n">
        <v>5</v>
      </c>
      <c r="B245" s="12">
        <f>IFERROR(IF(SUMIFS(tblDaily[Admissions],tblDaily[EntryDate],DATE(2026,7,5),tblDaily[WardCode],"MW")=0,"",SUMIFS(tblDaily[Admissions],tblDaily[EntryDate],DATE(2026,7,5),tblDaily[WardCode],"MW")),"")</f>
        <v/>
      </c>
      <c r="C245" s="12">
        <f>IFERROR(IF(SUMIFS(tblDaily[Discharges],tblDaily[EntryDate],DATE(2026,7,5),tblDaily[WardCode],"MW")=0,"",SUMIFS(tblDaily[Discharges],tblDaily[EntryDate],DATE(2026,7,5),tblDaily[WardCode],"MW")),"")</f>
        <v/>
      </c>
      <c r="D245" s="12">
        <f>IFERROR(IF(SUMIFS(tblDaily[Deaths],tblDaily[EntryDate],DATE(2026,7,5),tblDaily[WardCode],"MW")=0,"",SUMIFS(tblDaily[Deaths],tblDaily[EntryDate],DATE(2026,7,5),tblDaily[WardCode],"MW")),"")</f>
        <v/>
      </c>
      <c r="E245" s="12">
        <f>IFERROR(IF(SUMIFS(tblDaily[DeathsUnder24Hrs],tblDaily[EntryDate],DATE(2026,7,5),tblDaily[WardCode],"MW")=0,"",SUMIFS(tblDaily[DeathsUnder24Hrs],tblDaily[EntryDate],DATE(2026,7,5),tblDaily[WardCode],"MW")),"")</f>
        <v/>
      </c>
      <c r="F245" s="12">
        <f>IFERROR(IF(SUMIFS(tblDaily[TransfersIn],tblDaily[EntryDate],DATE(2026,7,5),tblDaily[WardCode],"MW")=0,"",SUMIFS(tblDaily[TransfersIn],tblDaily[EntryDate],DATE(2026,7,5),tblDaily[WardCode],"MW")),"")</f>
        <v/>
      </c>
      <c r="G245" s="12">
        <f>IFERROR(IF(SUMIFS(tblDaily[TransfersOut],tblDaily[EntryDate],DATE(2026,7,5),tblDaily[WardCode],"MW")=0,"",SUMIFS(tblDaily[TransfersOut],tblDaily[EntryDate],DATE(2026,7,5),tblDaily[WardCode],"MW")),"")</f>
        <v/>
      </c>
      <c r="H245" s="12">
        <f>IFERROR(IF(SUMIFS(tblDaily[Remaining],tblDaily[EntryDate],DATE(2026,7,5),tblDaily[WardCode],"MW")=0,"",SUMIFS(tblDaily[Remaining],tblDaily[EntryDate],DATE(2026,7,5),tblDaily[WardCode],"MW")),"")</f>
        <v/>
      </c>
    </row>
    <row r="246">
      <c r="A246" s="12" t="n">
        <v>6</v>
      </c>
      <c r="B246" s="12">
        <f>IFERROR(IF(SUMIFS(tblDaily[Admissions],tblDaily[EntryDate],DATE(2026,7,6),tblDaily[WardCode],"MW")=0,"",SUMIFS(tblDaily[Admissions],tblDaily[EntryDate],DATE(2026,7,6),tblDaily[WardCode],"MW")),"")</f>
        <v/>
      </c>
      <c r="C246" s="12">
        <f>IFERROR(IF(SUMIFS(tblDaily[Discharges],tblDaily[EntryDate],DATE(2026,7,6),tblDaily[WardCode],"MW")=0,"",SUMIFS(tblDaily[Discharges],tblDaily[EntryDate],DATE(2026,7,6),tblDaily[WardCode],"MW")),"")</f>
        <v/>
      </c>
      <c r="D246" s="12">
        <f>IFERROR(IF(SUMIFS(tblDaily[Deaths],tblDaily[EntryDate],DATE(2026,7,6),tblDaily[WardCode],"MW")=0,"",SUMIFS(tblDaily[Deaths],tblDaily[EntryDate],DATE(2026,7,6),tblDaily[WardCode],"MW")),"")</f>
        <v/>
      </c>
      <c r="E246" s="12">
        <f>IFERROR(IF(SUMIFS(tblDaily[DeathsUnder24Hrs],tblDaily[EntryDate],DATE(2026,7,6),tblDaily[WardCode],"MW")=0,"",SUMIFS(tblDaily[DeathsUnder24Hrs],tblDaily[EntryDate],DATE(2026,7,6),tblDaily[WardCode],"MW")),"")</f>
        <v/>
      </c>
      <c r="F246" s="12">
        <f>IFERROR(IF(SUMIFS(tblDaily[TransfersIn],tblDaily[EntryDate],DATE(2026,7,6),tblDaily[WardCode],"MW")=0,"",SUMIFS(tblDaily[TransfersIn],tblDaily[EntryDate],DATE(2026,7,6),tblDaily[WardCode],"MW")),"")</f>
        <v/>
      </c>
      <c r="G246" s="12">
        <f>IFERROR(IF(SUMIFS(tblDaily[TransfersOut],tblDaily[EntryDate],DATE(2026,7,6),tblDaily[WardCode],"MW")=0,"",SUMIFS(tblDaily[TransfersOut],tblDaily[EntryDate],DATE(2026,7,6),tblDaily[WardCode],"MW")),"")</f>
        <v/>
      </c>
      <c r="H246" s="12">
        <f>IFERROR(IF(SUMIFS(tblDaily[Remaining],tblDaily[EntryDate],DATE(2026,7,6),tblDaily[WardCode],"MW")=0,"",SUMIFS(tblDaily[Remaining],tblDaily[EntryDate],DATE(2026,7,6),tblDaily[WardCode],"MW")),"")</f>
        <v/>
      </c>
    </row>
    <row r="247">
      <c r="A247" s="12" t="n">
        <v>7</v>
      </c>
      <c r="B247" s="12">
        <f>IFERROR(IF(SUMIFS(tblDaily[Admissions],tblDaily[EntryDate],DATE(2026,7,7),tblDaily[WardCode],"MW")=0,"",SUMIFS(tblDaily[Admissions],tblDaily[EntryDate],DATE(2026,7,7),tblDaily[WardCode],"MW")),"")</f>
        <v/>
      </c>
      <c r="C247" s="12">
        <f>IFERROR(IF(SUMIFS(tblDaily[Discharges],tblDaily[EntryDate],DATE(2026,7,7),tblDaily[WardCode],"MW")=0,"",SUMIFS(tblDaily[Discharges],tblDaily[EntryDate],DATE(2026,7,7),tblDaily[WardCode],"MW")),"")</f>
        <v/>
      </c>
      <c r="D247" s="12">
        <f>IFERROR(IF(SUMIFS(tblDaily[Deaths],tblDaily[EntryDate],DATE(2026,7,7),tblDaily[WardCode],"MW")=0,"",SUMIFS(tblDaily[Deaths],tblDaily[EntryDate],DATE(2026,7,7),tblDaily[WardCode],"MW")),"")</f>
        <v/>
      </c>
      <c r="E247" s="12">
        <f>IFERROR(IF(SUMIFS(tblDaily[DeathsUnder24Hrs],tblDaily[EntryDate],DATE(2026,7,7),tblDaily[WardCode],"MW")=0,"",SUMIFS(tblDaily[DeathsUnder24Hrs],tblDaily[EntryDate],DATE(2026,7,7),tblDaily[WardCode],"MW")),"")</f>
        <v/>
      </c>
      <c r="F247" s="12">
        <f>IFERROR(IF(SUMIFS(tblDaily[TransfersIn],tblDaily[EntryDate],DATE(2026,7,7),tblDaily[WardCode],"MW")=0,"",SUMIFS(tblDaily[TransfersIn],tblDaily[EntryDate],DATE(2026,7,7),tblDaily[WardCode],"MW")),"")</f>
        <v/>
      </c>
      <c r="G247" s="12">
        <f>IFERROR(IF(SUMIFS(tblDaily[TransfersOut],tblDaily[EntryDate],DATE(2026,7,7),tblDaily[WardCode],"MW")=0,"",SUMIFS(tblDaily[TransfersOut],tblDaily[EntryDate],DATE(2026,7,7),tblDaily[WardCode],"MW")),"")</f>
        <v/>
      </c>
      <c r="H247" s="12">
        <f>IFERROR(IF(SUMIFS(tblDaily[Remaining],tblDaily[EntryDate],DATE(2026,7,7),tblDaily[WardCode],"MW")=0,"",SUMIFS(tblDaily[Remaining],tblDaily[EntryDate],DATE(2026,7,7),tblDaily[WardCode],"MW")),"")</f>
        <v/>
      </c>
    </row>
    <row r="248">
      <c r="A248" s="12" t="n">
        <v>8</v>
      </c>
      <c r="B248" s="12">
        <f>IFERROR(IF(SUMIFS(tblDaily[Admissions],tblDaily[EntryDate],DATE(2026,7,8),tblDaily[WardCode],"MW")=0,"",SUMIFS(tblDaily[Admissions],tblDaily[EntryDate],DATE(2026,7,8),tblDaily[WardCode],"MW")),"")</f>
        <v/>
      </c>
      <c r="C248" s="12">
        <f>IFERROR(IF(SUMIFS(tblDaily[Discharges],tblDaily[EntryDate],DATE(2026,7,8),tblDaily[WardCode],"MW")=0,"",SUMIFS(tblDaily[Discharges],tblDaily[EntryDate],DATE(2026,7,8),tblDaily[WardCode],"MW")),"")</f>
        <v/>
      </c>
      <c r="D248" s="12">
        <f>IFERROR(IF(SUMIFS(tblDaily[Deaths],tblDaily[EntryDate],DATE(2026,7,8),tblDaily[WardCode],"MW")=0,"",SUMIFS(tblDaily[Deaths],tblDaily[EntryDate],DATE(2026,7,8),tblDaily[WardCode],"MW")),"")</f>
        <v/>
      </c>
      <c r="E248" s="12">
        <f>IFERROR(IF(SUMIFS(tblDaily[DeathsUnder24Hrs],tblDaily[EntryDate],DATE(2026,7,8),tblDaily[WardCode],"MW")=0,"",SUMIFS(tblDaily[DeathsUnder24Hrs],tblDaily[EntryDate],DATE(2026,7,8),tblDaily[WardCode],"MW")),"")</f>
        <v/>
      </c>
      <c r="F248" s="12">
        <f>IFERROR(IF(SUMIFS(tblDaily[TransfersIn],tblDaily[EntryDate],DATE(2026,7,8),tblDaily[WardCode],"MW")=0,"",SUMIFS(tblDaily[TransfersIn],tblDaily[EntryDate],DATE(2026,7,8),tblDaily[WardCode],"MW")),"")</f>
        <v/>
      </c>
      <c r="G248" s="12">
        <f>IFERROR(IF(SUMIFS(tblDaily[TransfersOut],tblDaily[EntryDate],DATE(2026,7,8),tblDaily[WardCode],"MW")=0,"",SUMIFS(tblDaily[TransfersOut],tblDaily[EntryDate],DATE(2026,7,8),tblDaily[WardCode],"MW")),"")</f>
        <v/>
      </c>
      <c r="H248" s="12">
        <f>IFERROR(IF(SUMIFS(tblDaily[Remaining],tblDaily[EntryDate],DATE(2026,7,8),tblDaily[WardCode],"MW")=0,"",SUMIFS(tblDaily[Remaining],tblDaily[EntryDate],DATE(2026,7,8),tblDaily[WardCode],"MW")),"")</f>
        <v/>
      </c>
    </row>
    <row r="249">
      <c r="A249" s="12" t="n">
        <v>9</v>
      </c>
      <c r="B249" s="12">
        <f>IFERROR(IF(SUMIFS(tblDaily[Admissions],tblDaily[EntryDate],DATE(2026,7,9),tblDaily[WardCode],"MW")=0,"",SUMIFS(tblDaily[Admissions],tblDaily[EntryDate],DATE(2026,7,9),tblDaily[WardCode],"MW")),"")</f>
        <v/>
      </c>
      <c r="C249" s="12">
        <f>IFERROR(IF(SUMIFS(tblDaily[Discharges],tblDaily[EntryDate],DATE(2026,7,9),tblDaily[WardCode],"MW")=0,"",SUMIFS(tblDaily[Discharges],tblDaily[EntryDate],DATE(2026,7,9),tblDaily[WardCode],"MW")),"")</f>
        <v/>
      </c>
      <c r="D249" s="12">
        <f>IFERROR(IF(SUMIFS(tblDaily[Deaths],tblDaily[EntryDate],DATE(2026,7,9),tblDaily[WardCode],"MW")=0,"",SUMIFS(tblDaily[Deaths],tblDaily[EntryDate],DATE(2026,7,9),tblDaily[WardCode],"MW")),"")</f>
        <v/>
      </c>
      <c r="E249" s="12">
        <f>IFERROR(IF(SUMIFS(tblDaily[DeathsUnder24Hrs],tblDaily[EntryDate],DATE(2026,7,9),tblDaily[WardCode],"MW")=0,"",SUMIFS(tblDaily[DeathsUnder24Hrs],tblDaily[EntryDate],DATE(2026,7,9),tblDaily[WardCode],"MW")),"")</f>
        <v/>
      </c>
      <c r="F249" s="12">
        <f>IFERROR(IF(SUMIFS(tblDaily[TransfersIn],tblDaily[EntryDate],DATE(2026,7,9),tblDaily[WardCode],"MW")=0,"",SUMIFS(tblDaily[TransfersIn],tblDaily[EntryDate],DATE(2026,7,9),tblDaily[WardCode],"MW")),"")</f>
        <v/>
      </c>
      <c r="G249" s="12">
        <f>IFERROR(IF(SUMIFS(tblDaily[TransfersOut],tblDaily[EntryDate],DATE(2026,7,9),tblDaily[WardCode],"MW")=0,"",SUMIFS(tblDaily[TransfersOut],tblDaily[EntryDate],DATE(2026,7,9),tblDaily[WardCode],"MW")),"")</f>
        <v/>
      </c>
      <c r="H249" s="12">
        <f>IFERROR(IF(SUMIFS(tblDaily[Remaining],tblDaily[EntryDate],DATE(2026,7,9),tblDaily[WardCode],"MW")=0,"",SUMIFS(tblDaily[Remaining],tblDaily[EntryDate],DATE(2026,7,9),tblDaily[WardCode],"MW")),"")</f>
        <v/>
      </c>
    </row>
    <row r="250">
      <c r="A250" s="12" t="n">
        <v>10</v>
      </c>
      <c r="B250" s="12">
        <f>IFERROR(IF(SUMIFS(tblDaily[Admissions],tblDaily[EntryDate],DATE(2026,7,10),tblDaily[WardCode],"MW")=0,"",SUMIFS(tblDaily[Admissions],tblDaily[EntryDate],DATE(2026,7,10),tblDaily[WardCode],"MW")),"")</f>
        <v/>
      </c>
      <c r="C250" s="12">
        <f>IFERROR(IF(SUMIFS(tblDaily[Discharges],tblDaily[EntryDate],DATE(2026,7,10),tblDaily[WardCode],"MW")=0,"",SUMIFS(tblDaily[Discharges],tblDaily[EntryDate],DATE(2026,7,10),tblDaily[WardCode],"MW")),"")</f>
        <v/>
      </c>
      <c r="D250" s="12">
        <f>IFERROR(IF(SUMIFS(tblDaily[Deaths],tblDaily[EntryDate],DATE(2026,7,10),tblDaily[WardCode],"MW")=0,"",SUMIFS(tblDaily[Deaths],tblDaily[EntryDate],DATE(2026,7,10),tblDaily[WardCode],"MW")),"")</f>
        <v/>
      </c>
      <c r="E250" s="12">
        <f>IFERROR(IF(SUMIFS(tblDaily[DeathsUnder24Hrs],tblDaily[EntryDate],DATE(2026,7,10),tblDaily[WardCode],"MW")=0,"",SUMIFS(tblDaily[DeathsUnder24Hrs],tblDaily[EntryDate],DATE(2026,7,10),tblDaily[WardCode],"MW")),"")</f>
        <v/>
      </c>
      <c r="F250" s="12">
        <f>IFERROR(IF(SUMIFS(tblDaily[TransfersIn],tblDaily[EntryDate],DATE(2026,7,10),tblDaily[WardCode],"MW")=0,"",SUMIFS(tblDaily[TransfersIn],tblDaily[EntryDate],DATE(2026,7,10),tblDaily[WardCode],"MW")),"")</f>
        <v/>
      </c>
      <c r="G250" s="12">
        <f>IFERROR(IF(SUMIFS(tblDaily[TransfersOut],tblDaily[EntryDate],DATE(2026,7,10),tblDaily[WardCode],"MW")=0,"",SUMIFS(tblDaily[TransfersOut],tblDaily[EntryDate],DATE(2026,7,10),tblDaily[WardCode],"MW")),"")</f>
        <v/>
      </c>
      <c r="H250" s="12">
        <f>IFERROR(IF(SUMIFS(tblDaily[Remaining],tblDaily[EntryDate],DATE(2026,7,10),tblDaily[WardCode],"MW")=0,"",SUMIFS(tblDaily[Remaining],tblDaily[EntryDate],DATE(2026,7,10),tblDaily[WardCode],"MW")),"")</f>
        <v/>
      </c>
    </row>
    <row r="251">
      <c r="A251" s="12" t="n">
        <v>11</v>
      </c>
      <c r="B251" s="12">
        <f>IFERROR(IF(SUMIFS(tblDaily[Admissions],tblDaily[EntryDate],DATE(2026,7,11),tblDaily[WardCode],"MW")=0,"",SUMIFS(tblDaily[Admissions],tblDaily[EntryDate],DATE(2026,7,11),tblDaily[WardCode],"MW")),"")</f>
        <v/>
      </c>
      <c r="C251" s="12">
        <f>IFERROR(IF(SUMIFS(tblDaily[Discharges],tblDaily[EntryDate],DATE(2026,7,11),tblDaily[WardCode],"MW")=0,"",SUMIFS(tblDaily[Discharges],tblDaily[EntryDate],DATE(2026,7,11),tblDaily[WardCode],"MW")),"")</f>
        <v/>
      </c>
      <c r="D251" s="12">
        <f>IFERROR(IF(SUMIFS(tblDaily[Deaths],tblDaily[EntryDate],DATE(2026,7,11),tblDaily[WardCode],"MW")=0,"",SUMIFS(tblDaily[Deaths],tblDaily[EntryDate],DATE(2026,7,11),tblDaily[WardCode],"MW")),"")</f>
        <v/>
      </c>
      <c r="E251" s="12">
        <f>IFERROR(IF(SUMIFS(tblDaily[DeathsUnder24Hrs],tblDaily[EntryDate],DATE(2026,7,11),tblDaily[WardCode],"MW")=0,"",SUMIFS(tblDaily[DeathsUnder24Hrs],tblDaily[EntryDate],DATE(2026,7,11),tblDaily[WardCode],"MW")),"")</f>
        <v/>
      </c>
      <c r="F251" s="12">
        <f>IFERROR(IF(SUMIFS(tblDaily[TransfersIn],tblDaily[EntryDate],DATE(2026,7,11),tblDaily[WardCode],"MW")=0,"",SUMIFS(tblDaily[TransfersIn],tblDaily[EntryDate],DATE(2026,7,11),tblDaily[WardCode],"MW")),"")</f>
        <v/>
      </c>
      <c r="G251" s="12">
        <f>IFERROR(IF(SUMIFS(tblDaily[TransfersOut],tblDaily[EntryDate],DATE(2026,7,11),tblDaily[WardCode],"MW")=0,"",SUMIFS(tblDaily[TransfersOut],tblDaily[EntryDate],DATE(2026,7,11),tblDaily[WardCode],"MW")),"")</f>
        <v/>
      </c>
      <c r="H251" s="12">
        <f>IFERROR(IF(SUMIFS(tblDaily[Remaining],tblDaily[EntryDate],DATE(2026,7,11),tblDaily[WardCode],"MW")=0,"",SUMIFS(tblDaily[Remaining],tblDaily[EntryDate],DATE(2026,7,11),tblDaily[WardCode],"MW")),"")</f>
        <v/>
      </c>
    </row>
    <row r="252">
      <c r="A252" s="12" t="n">
        <v>12</v>
      </c>
      <c r="B252" s="12">
        <f>IFERROR(IF(SUMIFS(tblDaily[Admissions],tblDaily[EntryDate],DATE(2026,7,12),tblDaily[WardCode],"MW")=0,"",SUMIFS(tblDaily[Admissions],tblDaily[EntryDate],DATE(2026,7,12),tblDaily[WardCode],"MW")),"")</f>
        <v/>
      </c>
      <c r="C252" s="12">
        <f>IFERROR(IF(SUMIFS(tblDaily[Discharges],tblDaily[EntryDate],DATE(2026,7,12),tblDaily[WardCode],"MW")=0,"",SUMIFS(tblDaily[Discharges],tblDaily[EntryDate],DATE(2026,7,12),tblDaily[WardCode],"MW")),"")</f>
        <v/>
      </c>
      <c r="D252" s="12">
        <f>IFERROR(IF(SUMIFS(tblDaily[Deaths],tblDaily[EntryDate],DATE(2026,7,12),tblDaily[WardCode],"MW")=0,"",SUMIFS(tblDaily[Deaths],tblDaily[EntryDate],DATE(2026,7,12),tblDaily[WardCode],"MW")),"")</f>
        <v/>
      </c>
      <c r="E252" s="12">
        <f>IFERROR(IF(SUMIFS(tblDaily[DeathsUnder24Hrs],tblDaily[EntryDate],DATE(2026,7,12),tblDaily[WardCode],"MW")=0,"",SUMIFS(tblDaily[DeathsUnder24Hrs],tblDaily[EntryDate],DATE(2026,7,12),tblDaily[WardCode],"MW")),"")</f>
        <v/>
      </c>
      <c r="F252" s="12">
        <f>IFERROR(IF(SUMIFS(tblDaily[TransfersIn],tblDaily[EntryDate],DATE(2026,7,12),tblDaily[WardCode],"MW")=0,"",SUMIFS(tblDaily[TransfersIn],tblDaily[EntryDate],DATE(2026,7,12),tblDaily[WardCode],"MW")),"")</f>
        <v/>
      </c>
      <c r="G252" s="12">
        <f>IFERROR(IF(SUMIFS(tblDaily[TransfersOut],tblDaily[EntryDate],DATE(2026,7,12),tblDaily[WardCode],"MW")=0,"",SUMIFS(tblDaily[TransfersOut],tblDaily[EntryDate],DATE(2026,7,12),tblDaily[WardCode],"MW")),"")</f>
        <v/>
      </c>
      <c r="H252" s="12">
        <f>IFERROR(IF(SUMIFS(tblDaily[Remaining],tblDaily[EntryDate],DATE(2026,7,12),tblDaily[WardCode],"MW")=0,"",SUMIFS(tblDaily[Remaining],tblDaily[EntryDate],DATE(2026,7,12),tblDaily[WardCode],"MW")),"")</f>
        <v/>
      </c>
    </row>
    <row r="253">
      <c r="A253" s="12" t="n">
        <v>13</v>
      </c>
      <c r="B253" s="12">
        <f>IFERROR(IF(SUMIFS(tblDaily[Admissions],tblDaily[EntryDate],DATE(2026,7,13),tblDaily[WardCode],"MW")=0,"",SUMIFS(tblDaily[Admissions],tblDaily[EntryDate],DATE(2026,7,13),tblDaily[WardCode],"MW")),"")</f>
        <v/>
      </c>
      <c r="C253" s="12">
        <f>IFERROR(IF(SUMIFS(tblDaily[Discharges],tblDaily[EntryDate],DATE(2026,7,13),tblDaily[WardCode],"MW")=0,"",SUMIFS(tblDaily[Discharges],tblDaily[EntryDate],DATE(2026,7,13),tblDaily[WardCode],"MW")),"")</f>
        <v/>
      </c>
      <c r="D253" s="12">
        <f>IFERROR(IF(SUMIFS(tblDaily[Deaths],tblDaily[EntryDate],DATE(2026,7,13),tblDaily[WardCode],"MW")=0,"",SUMIFS(tblDaily[Deaths],tblDaily[EntryDate],DATE(2026,7,13),tblDaily[WardCode],"MW")),"")</f>
        <v/>
      </c>
      <c r="E253" s="12">
        <f>IFERROR(IF(SUMIFS(tblDaily[DeathsUnder24Hrs],tblDaily[EntryDate],DATE(2026,7,13),tblDaily[WardCode],"MW")=0,"",SUMIFS(tblDaily[DeathsUnder24Hrs],tblDaily[EntryDate],DATE(2026,7,13),tblDaily[WardCode],"MW")),"")</f>
        <v/>
      </c>
      <c r="F253" s="12">
        <f>IFERROR(IF(SUMIFS(tblDaily[TransfersIn],tblDaily[EntryDate],DATE(2026,7,13),tblDaily[WardCode],"MW")=0,"",SUMIFS(tblDaily[TransfersIn],tblDaily[EntryDate],DATE(2026,7,13),tblDaily[WardCode],"MW")),"")</f>
        <v/>
      </c>
      <c r="G253" s="12">
        <f>IFERROR(IF(SUMIFS(tblDaily[TransfersOut],tblDaily[EntryDate],DATE(2026,7,13),tblDaily[WardCode],"MW")=0,"",SUMIFS(tblDaily[TransfersOut],tblDaily[EntryDate],DATE(2026,7,13),tblDaily[WardCode],"MW")),"")</f>
        <v/>
      </c>
      <c r="H253" s="12">
        <f>IFERROR(IF(SUMIFS(tblDaily[Remaining],tblDaily[EntryDate],DATE(2026,7,13),tblDaily[WardCode],"MW")=0,"",SUMIFS(tblDaily[Remaining],tblDaily[EntryDate],DATE(2026,7,13),tblDaily[WardCode],"MW")),"")</f>
        <v/>
      </c>
    </row>
    <row r="254">
      <c r="A254" s="12" t="n">
        <v>14</v>
      </c>
      <c r="B254" s="12">
        <f>IFERROR(IF(SUMIFS(tblDaily[Admissions],tblDaily[EntryDate],DATE(2026,7,14),tblDaily[WardCode],"MW")=0,"",SUMIFS(tblDaily[Admissions],tblDaily[EntryDate],DATE(2026,7,14),tblDaily[WardCode],"MW")),"")</f>
        <v/>
      </c>
      <c r="C254" s="12">
        <f>IFERROR(IF(SUMIFS(tblDaily[Discharges],tblDaily[EntryDate],DATE(2026,7,14),tblDaily[WardCode],"MW")=0,"",SUMIFS(tblDaily[Discharges],tblDaily[EntryDate],DATE(2026,7,14),tblDaily[WardCode],"MW")),"")</f>
        <v/>
      </c>
      <c r="D254" s="12">
        <f>IFERROR(IF(SUMIFS(tblDaily[Deaths],tblDaily[EntryDate],DATE(2026,7,14),tblDaily[WardCode],"MW")=0,"",SUMIFS(tblDaily[Deaths],tblDaily[EntryDate],DATE(2026,7,14),tblDaily[WardCode],"MW")),"")</f>
        <v/>
      </c>
      <c r="E254" s="12">
        <f>IFERROR(IF(SUMIFS(tblDaily[DeathsUnder24Hrs],tblDaily[EntryDate],DATE(2026,7,14),tblDaily[WardCode],"MW")=0,"",SUMIFS(tblDaily[DeathsUnder24Hrs],tblDaily[EntryDate],DATE(2026,7,14),tblDaily[WardCode],"MW")),"")</f>
        <v/>
      </c>
      <c r="F254" s="12">
        <f>IFERROR(IF(SUMIFS(tblDaily[TransfersIn],tblDaily[EntryDate],DATE(2026,7,14),tblDaily[WardCode],"MW")=0,"",SUMIFS(tblDaily[TransfersIn],tblDaily[EntryDate],DATE(2026,7,14),tblDaily[WardCode],"MW")),"")</f>
        <v/>
      </c>
      <c r="G254" s="12">
        <f>IFERROR(IF(SUMIFS(tblDaily[TransfersOut],tblDaily[EntryDate],DATE(2026,7,14),tblDaily[WardCode],"MW")=0,"",SUMIFS(tblDaily[TransfersOut],tblDaily[EntryDate],DATE(2026,7,14),tblDaily[WardCode],"MW")),"")</f>
        <v/>
      </c>
      <c r="H254" s="12">
        <f>IFERROR(IF(SUMIFS(tblDaily[Remaining],tblDaily[EntryDate],DATE(2026,7,14),tblDaily[WardCode],"MW")=0,"",SUMIFS(tblDaily[Remaining],tblDaily[EntryDate],DATE(2026,7,14),tblDaily[WardCode],"MW")),"")</f>
        <v/>
      </c>
    </row>
    <row r="255">
      <c r="A255" s="12" t="n">
        <v>15</v>
      </c>
      <c r="B255" s="12">
        <f>IFERROR(IF(SUMIFS(tblDaily[Admissions],tblDaily[EntryDate],DATE(2026,7,15),tblDaily[WardCode],"MW")=0,"",SUMIFS(tblDaily[Admissions],tblDaily[EntryDate],DATE(2026,7,15),tblDaily[WardCode],"MW")),"")</f>
        <v/>
      </c>
      <c r="C255" s="12">
        <f>IFERROR(IF(SUMIFS(tblDaily[Discharges],tblDaily[EntryDate],DATE(2026,7,15),tblDaily[WardCode],"MW")=0,"",SUMIFS(tblDaily[Discharges],tblDaily[EntryDate],DATE(2026,7,15),tblDaily[WardCode],"MW")),"")</f>
        <v/>
      </c>
      <c r="D255" s="12">
        <f>IFERROR(IF(SUMIFS(tblDaily[Deaths],tblDaily[EntryDate],DATE(2026,7,15),tblDaily[WardCode],"MW")=0,"",SUMIFS(tblDaily[Deaths],tblDaily[EntryDate],DATE(2026,7,15),tblDaily[WardCode],"MW")),"")</f>
        <v/>
      </c>
      <c r="E255" s="12">
        <f>IFERROR(IF(SUMIFS(tblDaily[DeathsUnder24Hrs],tblDaily[EntryDate],DATE(2026,7,15),tblDaily[WardCode],"MW")=0,"",SUMIFS(tblDaily[DeathsUnder24Hrs],tblDaily[EntryDate],DATE(2026,7,15),tblDaily[WardCode],"MW")),"")</f>
        <v/>
      </c>
      <c r="F255" s="12">
        <f>IFERROR(IF(SUMIFS(tblDaily[TransfersIn],tblDaily[EntryDate],DATE(2026,7,15),tblDaily[WardCode],"MW")=0,"",SUMIFS(tblDaily[TransfersIn],tblDaily[EntryDate],DATE(2026,7,15),tblDaily[WardCode],"MW")),"")</f>
        <v/>
      </c>
      <c r="G255" s="12">
        <f>IFERROR(IF(SUMIFS(tblDaily[TransfersOut],tblDaily[EntryDate],DATE(2026,7,15),tblDaily[WardCode],"MW")=0,"",SUMIFS(tblDaily[TransfersOut],tblDaily[EntryDate],DATE(2026,7,15),tblDaily[WardCode],"MW")),"")</f>
        <v/>
      </c>
      <c r="H255" s="12">
        <f>IFERROR(IF(SUMIFS(tblDaily[Remaining],tblDaily[EntryDate],DATE(2026,7,15),tblDaily[WardCode],"MW")=0,"",SUMIFS(tblDaily[Remaining],tblDaily[EntryDate],DATE(2026,7,15),tblDaily[WardCode],"MW")),"")</f>
        <v/>
      </c>
    </row>
    <row r="256">
      <c r="A256" s="12" t="n">
        <v>16</v>
      </c>
      <c r="B256" s="12">
        <f>IFERROR(IF(SUMIFS(tblDaily[Admissions],tblDaily[EntryDate],DATE(2026,7,16),tblDaily[WardCode],"MW")=0,"",SUMIFS(tblDaily[Admissions],tblDaily[EntryDate],DATE(2026,7,16),tblDaily[WardCode],"MW")),"")</f>
        <v/>
      </c>
      <c r="C256" s="12">
        <f>IFERROR(IF(SUMIFS(tblDaily[Discharges],tblDaily[EntryDate],DATE(2026,7,16),tblDaily[WardCode],"MW")=0,"",SUMIFS(tblDaily[Discharges],tblDaily[EntryDate],DATE(2026,7,16),tblDaily[WardCode],"MW")),"")</f>
        <v/>
      </c>
      <c r="D256" s="12">
        <f>IFERROR(IF(SUMIFS(tblDaily[Deaths],tblDaily[EntryDate],DATE(2026,7,16),tblDaily[WardCode],"MW")=0,"",SUMIFS(tblDaily[Deaths],tblDaily[EntryDate],DATE(2026,7,16),tblDaily[WardCode],"MW")),"")</f>
        <v/>
      </c>
      <c r="E256" s="12">
        <f>IFERROR(IF(SUMIFS(tblDaily[DeathsUnder24Hrs],tblDaily[EntryDate],DATE(2026,7,16),tblDaily[WardCode],"MW")=0,"",SUMIFS(tblDaily[DeathsUnder24Hrs],tblDaily[EntryDate],DATE(2026,7,16),tblDaily[WardCode],"MW")),"")</f>
        <v/>
      </c>
      <c r="F256" s="12">
        <f>IFERROR(IF(SUMIFS(tblDaily[TransfersIn],tblDaily[EntryDate],DATE(2026,7,16),tblDaily[WardCode],"MW")=0,"",SUMIFS(tblDaily[TransfersIn],tblDaily[EntryDate],DATE(2026,7,16),tblDaily[WardCode],"MW")),"")</f>
        <v/>
      </c>
      <c r="G256" s="12">
        <f>IFERROR(IF(SUMIFS(tblDaily[TransfersOut],tblDaily[EntryDate],DATE(2026,7,16),tblDaily[WardCode],"MW")=0,"",SUMIFS(tblDaily[TransfersOut],tblDaily[EntryDate],DATE(2026,7,16),tblDaily[WardCode],"MW")),"")</f>
        <v/>
      </c>
      <c r="H256" s="12">
        <f>IFERROR(IF(SUMIFS(tblDaily[Remaining],tblDaily[EntryDate],DATE(2026,7,16),tblDaily[WardCode],"MW")=0,"",SUMIFS(tblDaily[Remaining],tblDaily[EntryDate],DATE(2026,7,16),tblDaily[WardCode],"MW")),"")</f>
        <v/>
      </c>
    </row>
    <row r="257">
      <c r="A257" s="12" t="n">
        <v>17</v>
      </c>
      <c r="B257" s="12">
        <f>IFERROR(IF(SUMIFS(tblDaily[Admissions],tblDaily[EntryDate],DATE(2026,7,17),tblDaily[WardCode],"MW")=0,"",SUMIFS(tblDaily[Admissions],tblDaily[EntryDate],DATE(2026,7,17),tblDaily[WardCode],"MW")),"")</f>
        <v/>
      </c>
      <c r="C257" s="12">
        <f>IFERROR(IF(SUMIFS(tblDaily[Discharges],tblDaily[EntryDate],DATE(2026,7,17),tblDaily[WardCode],"MW")=0,"",SUMIFS(tblDaily[Discharges],tblDaily[EntryDate],DATE(2026,7,17),tblDaily[WardCode],"MW")),"")</f>
        <v/>
      </c>
      <c r="D257" s="12">
        <f>IFERROR(IF(SUMIFS(tblDaily[Deaths],tblDaily[EntryDate],DATE(2026,7,17),tblDaily[WardCode],"MW")=0,"",SUMIFS(tblDaily[Deaths],tblDaily[EntryDate],DATE(2026,7,17),tblDaily[WardCode],"MW")),"")</f>
        <v/>
      </c>
      <c r="E257" s="12">
        <f>IFERROR(IF(SUMIFS(tblDaily[DeathsUnder24Hrs],tblDaily[EntryDate],DATE(2026,7,17),tblDaily[WardCode],"MW")=0,"",SUMIFS(tblDaily[DeathsUnder24Hrs],tblDaily[EntryDate],DATE(2026,7,17),tblDaily[WardCode],"MW")),"")</f>
        <v/>
      </c>
      <c r="F257" s="12">
        <f>IFERROR(IF(SUMIFS(tblDaily[TransfersIn],tblDaily[EntryDate],DATE(2026,7,17),tblDaily[WardCode],"MW")=0,"",SUMIFS(tblDaily[TransfersIn],tblDaily[EntryDate],DATE(2026,7,17),tblDaily[WardCode],"MW")),"")</f>
        <v/>
      </c>
      <c r="G257" s="12">
        <f>IFERROR(IF(SUMIFS(tblDaily[TransfersOut],tblDaily[EntryDate],DATE(2026,7,17),tblDaily[WardCode],"MW")=0,"",SUMIFS(tblDaily[TransfersOut],tblDaily[EntryDate],DATE(2026,7,17),tblDaily[WardCode],"MW")),"")</f>
        <v/>
      </c>
      <c r="H257" s="12">
        <f>IFERROR(IF(SUMIFS(tblDaily[Remaining],tblDaily[EntryDate],DATE(2026,7,17),tblDaily[WardCode],"MW")=0,"",SUMIFS(tblDaily[Remaining],tblDaily[EntryDate],DATE(2026,7,17),tblDaily[WardCode],"MW")),"")</f>
        <v/>
      </c>
    </row>
    <row r="258">
      <c r="A258" s="12" t="n">
        <v>18</v>
      </c>
      <c r="B258" s="12">
        <f>IFERROR(IF(SUMIFS(tblDaily[Admissions],tblDaily[EntryDate],DATE(2026,7,18),tblDaily[WardCode],"MW")=0,"",SUMIFS(tblDaily[Admissions],tblDaily[EntryDate],DATE(2026,7,18),tblDaily[WardCode],"MW")),"")</f>
        <v/>
      </c>
      <c r="C258" s="12">
        <f>IFERROR(IF(SUMIFS(tblDaily[Discharges],tblDaily[EntryDate],DATE(2026,7,18),tblDaily[WardCode],"MW")=0,"",SUMIFS(tblDaily[Discharges],tblDaily[EntryDate],DATE(2026,7,18),tblDaily[WardCode],"MW")),"")</f>
        <v/>
      </c>
      <c r="D258" s="12">
        <f>IFERROR(IF(SUMIFS(tblDaily[Deaths],tblDaily[EntryDate],DATE(2026,7,18),tblDaily[WardCode],"MW")=0,"",SUMIFS(tblDaily[Deaths],tblDaily[EntryDate],DATE(2026,7,18),tblDaily[WardCode],"MW")),"")</f>
        <v/>
      </c>
      <c r="E258" s="12">
        <f>IFERROR(IF(SUMIFS(tblDaily[DeathsUnder24Hrs],tblDaily[EntryDate],DATE(2026,7,18),tblDaily[WardCode],"MW")=0,"",SUMIFS(tblDaily[DeathsUnder24Hrs],tblDaily[EntryDate],DATE(2026,7,18),tblDaily[WardCode],"MW")),"")</f>
        <v/>
      </c>
      <c r="F258" s="12">
        <f>IFERROR(IF(SUMIFS(tblDaily[TransfersIn],tblDaily[EntryDate],DATE(2026,7,18),tblDaily[WardCode],"MW")=0,"",SUMIFS(tblDaily[TransfersIn],tblDaily[EntryDate],DATE(2026,7,18),tblDaily[WardCode],"MW")),"")</f>
        <v/>
      </c>
      <c r="G258" s="12">
        <f>IFERROR(IF(SUMIFS(tblDaily[TransfersOut],tblDaily[EntryDate],DATE(2026,7,18),tblDaily[WardCode],"MW")=0,"",SUMIFS(tblDaily[TransfersOut],tblDaily[EntryDate],DATE(2026,7,18),tblDaily[WardCode],"MW")),"")</f>
        <v/>
      </c>
      <c r="H258" s="12">
        <f>IFERROR(IF(SUMIFS(tblDaily[Remaining],tblDaily[EntryDate],DATE(2026,7,18),tblDaily[WardCode],"MW")=0,"",SUMIFS(tblDaily[Remaining],tblDaily[EntryDate],DATE(2026,7,18),tblDaily[WardCode],"MW")),"")</f>
        <v/>
      </c>
    </row>
    <row r="259">
      <c r="A259" s="12" t="n">
        <v>19</v>
      </c>
      <c r="B259" s="12">
        <f>IFERROR(IF(SUMIFS(tblDaily[Admissions],tblDaily[EntryDate],DATE(2026,7,19),tblDaily[WardCode],"MW")=0,"",SUMIFS(tblDaily[Admissions],tblDaily[EntryDate],DATE(2026,7,19),tblDaily[WardCode],"MW")),"")</f>
        <v/>
      </c>
      <c r="C259" s="12">
        <f>IFERROR(IF(SUMIFS(tblDaily[Discharges],tblDaily[EntryDate],DATE(2026,7,19),tblDaily[WardCode],"MW")=0,"",SUMIFS(tblDaily[Discharges],tblDaily[EntryDate],DATE(2026,7,19),tblDaily[WardCode],"MW")),"")</f>
        <v/>
      </c>
      <c r="D259" s="12">
        <f>IFERROR(IF(SUMIFS(tblDaily[Deaths],tblDaily[EntryDate],DATE(2026,7,19),tblDaily[WardCode],"MW")=0,"",SUMIFS(tblDaily[Deaths],tblDaily[EntryDate],DATE(2026,7,19),tblDaily[WardCode],"MW")),"")</f>
        <v/>
      </c>
      <c r="E259" s="12">
        <f>IFERROR(IF(SUMIFS(tblDaily[DeathsUnder24Hrs],tblDaily[EntryDate],DATE(2026,7,19),tblDaily[WardCode],"MW")=0,"",SUMIFS(tblDaily[DeathsUnder24Hrs],tblDaily[EntryDate],DATE(2026,7,19),tblDaily[WardCode],"MW")),"")</f>
        <v/>
      </c>
      <c r="F259" s="12">
        <f>IFERROR(IF(SUMIFS(tblDaily[TransfersIn],tblDaily[EntryDate],DATE(2026,7,19),tblDaily[WardCode],"MW")=0,"",SUMIFS(tblDaily[TransfersIn],tblDaily[EntryDate],DATE(2026,7,19),tblDaily[WardCode],"MW")),"")</f>
        <v/>
      </c>
      <c r="G259" s="12">
        <f>IFERROR(IF(SUMIFS(tblDaily[TransfersOut],tblDaily[EntryDate],DATE(2026,7,19),tblDaily[WardCode],"MW")=0,"",SUMIFS(tblDaily[TransfersOut],tblDaily[EntryDate],DATE(2026,7,19),tblDaily[WardCode],"MW")),"")</f>
        <v/>
      </c>
      <c r="H259" s="12">
        <f>IFERROR(IF(SUMIFS(tblDaily[Remaining],tblDaily[EntryDate],DATE(2026,7,19),tblDaily[WardCode],"MW")=0,"",SUMIFS(tblDaily[Remaining],tblDaily[EntryDate],DATE(2026,7,19),tblDaily[WardCode],"MW")),"")</f>
        <v/>
      </c>
    </row>
    <row r="260">
      <c r="A260" s="12" t="n">
        <v>20</v>
      </c>
      <c r="B260" s="12">
        <f>IFERROR(IF(SUMIFS(tblDaily[Admissions],tblDaily[EntryDate],DATE(2026,7,20),tblDaily[WardCode],"MW")=0,"",SUMIFS(tblDaily[Admissions],tblDaily[EntryDate],DATE(2026,7,20),tblDaily[WardCode],"MW")),"")</f>
        <v/>
      </c>
      <c r="C260" s="12">
        <f>IFERROR(IF(SUMIFS(tblDaily[Discharges],tblDaily[EntryDate],DATE(2026,7,20),tblDaily[WardCode],"MW")=0,"",SUMIFS(tblDaily[Discharges],tblDaily[EntryDate],DATE(2026,7,20),tblDaily[WardCode],"MW")),"")</f>
        <v/>
      </c>
      <c r="D260" s="12">
        <f>IFERROR(IF(SUMIFS(tblDaily[Deaths],tblDaily[EntryDate],DATE(2026,7,20),tblDaily[WardCode],"MW")=0,"",SUMIFS(tblDaily[Deaths],tblDaily[EntryDate],DATE(2026,7,20),tblDaily[WardCode],"MW")),"")</f>
        <v/>
      </c>
      <c r="E260" s="12">
        <f>IFERROR(IF(SUMIFS(tblDaily[DeathsUnder24Hrs],tblDaily[EntryDate],DATE(2026,7,20),tblDaily[WardCode],"MW")=0,"",SUMIFS(tblDaily[DeathsUnder24Hrs],tblDaily[EntryDate],DATE(2026,7,20),tblDaily[WardCode],"MW")),"")</f>
        <v/>
      </c>
      <c r="F260" s="12">
        <f>IFERROR(IF(SUMIFS(tblDaily[TransfersIn],tblDaily[EntryDate],DATE(2026,7,20),tblDaily[WardCode],"MW")=0,"",SUMIFS(tblDaily[TransfersIn],tblDaily[EntryDate],DATE(2026,7,20),tblDaily[WardCode],"MW")),"")</f>
        <v/>
      </c>
      <c r="G260" s="12">
        <f>IFERROR(IF(SUMIFS(tblDaily[TransfersOut],tblDaily[EntryDate],DATE(2026,7,20),tblDaily[WardCode],"MW")=0,"",SUMIFS(tblDaily[TransfersOut],tblDaily[EntryDate],DATE(2026,7,20),tblDaily[WardCode],"MW")),"")</f>
        <v/>
      </c>
      <c r="H260" s="12">
        <f>IFERROR(IF(SUMIFS(tblDaily[Remaining],tblDaily[EntryDate],DATE(2026,7,20),tblDaily[WardCode],"MW")=0,"",SUMIFS(tblDaily[Remaining],tblDaily[EntryDate],DATE(2026,7,20),tblDaily[WardCode],"MW")),"")</f>
        <v/>
      </c>
    </row>
    <row r="261">
      <c r="A261" s="12" t="n">
        <v>21</v>
      </c>
      <c r="B261" s="12">
        <f>IFERROR(IF(SUMIFS(tblDaily[Admissions],tblDaily[EntryDate],DATE(2026,7,21),tblDaily[WardCode],"MW")=0,"",SUMIFS(tblDaily[Admissions],tblDaily[EntryDate],DATE(2026,7,21),tblDaily[WardCode],"MW")),"")</f>
        <v/>
      </c>
      <c r="C261" s="12">
        <f>IFERROR(IF(SUMIFS(tblDaily[Discharges],tblDaily[EntryDate],DATE(2026,7,21),tblDaily[WardCode],"MW")=0,"",SUMIFS(tblDaily[Discharges],tblDaily[EntryDate],DATE(2026,7,21),tblDaily[WardCode],"MW")),"")</f>
        <v/>
      </c>
      <c r="D261" s="12">
        <f>IFERROR(IF(SUMIFS(tblDaily[Deaths],tblDaily[EntryDate],DATE(2026,7,21),tblDaily[WardCode],"MW")=0,"",SUMIFS(tblDaily[Deaths],tblDaily[EntryDate],DATE(2026,7,21),tblDaily[WardCode],"MW")),"")</f>
        <v/>
      </c>
      <c r="E261" s="12">
        <f>IFERROR(IF(SUMIFS(tblDaily[DeathsUnder24Hrs],tblDaily[EntryDate],DATE(2026,7,21),tblDaily[WardCode],"MW")=0,"",SUMIFS(tblDaily[DeathsUnder24Hrs],tblDaily[EntryDate],DATE(2026,7,21),tblDaily[WardCode],"MW")),"")</f>
        <v/>
      </c>
      <c r="F261" s="12">
        <f>IFERROR(IF(SUMIFS(tblDaily[TransfersIn],tblDaily[EntryDate],DATE(2026,7,21),tblDaily[WardCode],"MW")=0,"",SUMIFS(tblDaily[TransfersIn],tblDaily[EntryDate],DATE(2026,7,21),tblDaily[WardCode],"MW")),"")</f>
        <v/>
      </c>
      <c r="G261" s="12">
        <f>IFERROR(IF(SUMIFS(tblDaily[TransfersOut],tblDaily[EntryDate],DATE(2026,7,21),tblDaily[WardCode],"MW")=0,"",SUMIFS(tblDaily[TransfersOut],tblDaily[EntryDate],DATE(2026,7,21),tblDaily[WardCode],"MW")),"")</f>
        <v/>
      </c>
      <c r="H261" s="12">
        <f>IFERROR(IF(SUMIFS(tblDaily[Remaining],tblDaily[EntryDate],DATE(2026,7,21),tblDaily[WardCode],"MW")=0,"",SUMIFS(tblDaily[Remaining],tblDaily[EntryDate],DATE(2026,7,21),tblDaily[WardCode],"MW")),"")</f>
        <v/>
      </c>
    </row>
    <row r="262">
      <c r="A262" s="12" t="n">
        <v>22</v>
      </c>
      <c r="B262" s="12">
        <f>IFERROR(IF(SUMIFS(tblDaily[Admissions],tblDaily[EntryDate],DATE(2026,7,22),tblDaily[WardCode],"MW")=0,"",SUMIFS(tblDaily[Admissions],tblDaily[EntryDate],DATE(2026,7,22),tblDaily[WardCode],"MW")),"")</f>
        <v/>
      </c>
      <c r="C262" s="12">
        <f>IFERROR(IF(SUMIFS(tblDaily[Discharges],tblDaily[EntryDate],DATE(2026,7,22),tblDaily[WardCode],"MW")=0,"",SUMIFS(tblDaily[Discharges],tblDaily[EntryDate],DATE(2026,7,22),tblDaily[WardCode],"MW")),"")</f>
        <v/>
      </c>
      <c r="D262" s="12">
        <f>IFERROR(IF(SUMIFS(tblDaily[Deaths],tblDaily[EntryDate],DATE(2026,7,22),tblDaily[WardCode],"MW")=0,"",SUMIFS(tblDaily[Deaths],tblDaily[EntryDate],DATE(2026,7,22),tblDaily[WardCode],"MW")),"")</f>
        <v/>
      </c>
      <c r="E262" s="12">
        <f>IFERROR(IF(SUMIFS(tblDaily[DeathsUnder24Hrs],tblDaily[EntryDate],DATE(2026,7,22),tblDaily[WardCode],"MW")=0,"",SUMIFS(tblDaily[DeathsUnder24Hrs],tblDaily[EntryDate],DATE(2026,7,22),tblDaily[WardCode],"MW")),"")</f>
        <v/>
      </c>
      <c r="F262" s="12">
        <f>IFERROR(IF(SUMIFS(tblDaily[TransfersIn],tblDaily[EntryDate],DATE(2026,7,22),tblDaily[WardCode],"MW")=0,"",SUMIFS(tblDaily[TransfersIn],tblDaily[EntryDate],DATE(2026,7,22),tblDaily[WardCode],"MW")),"")</f>
        <v/>
      </c>
      <c r="G262" s="12">
        <f>IFERROR(IF(SUMIFS(tblDaily[TransfersOut],tblDaily[EntryDate],DATE(2026,7,22),tblDaily[WardCode],"MW")=0,"",SUMIFS(tblDaily[TransfersOut],tblDaily[EntryDate],DATE(2026,7,22),tblDaily[WardCode],"MW")),"")</f>
        <v/>
      </c>
      <c r="H262" s="12">
        <f>IFERROR(IF(SUMIFS(tblDaily[Remaining],tblDaily[EntryDate],DATE(2026,7,22),tblDaily[WardCode],"MW")=0,"",SUMIFS(tblDaily[Remaining],tblDaily[EntryDate],DATE(2026,7,22),tblDaily[WardCode],"MW")),"")</f>
        <v/>
      </c>
    </row>
    <row r="263">
      <c r="A263" s="12" t="n">
        <v>23</v>
      </c>
      <c r="B263" s="12">
        <f>IFERROR(IF(SUMIFS(tblDaily[Admissions],tblDaily[EntryDate],DATE(2026,7,23),tblDaily[WardCode],"MW")=0,"",SUMIFS(tblDaily[Admissions],tblDaily[EntryDate],DATE(2026,7,23),tblDaily[WardCode],"MW")),"")</f>
        <v/>
      </c>
      <c r="C263" s="12">
        <f>IFERROR(IF(SUMIFS(tblDaily[Discharges],tblDaily[EntryDate],DATE(2026,7,23),tblDaily[WardCode],"MW")=0,"",SUMIFS(tblDaily[Discharges],tblDaily[EntryDate],DATE(2026,7,23),tblDaily[WardCode],"MW")),"")</f>
        <v/>
      </c>
      <c r="D263" s="12">
        <f>IFERROR(IF(SUMIFS(tblDaily[Deaths],tblDaily[EntryDate],DATE(2026,7,23),tblDaily[WardCode],"MW")=0,"",SUMIFS(tblDaily[Deaths],tblDaily[EntryDate],DATE(2026,7,23),tblDaily[WardCode],"MW")),"")</f>
        <v/>
      </c>
      <c r="E263" s="12">
        <f>IFERROR(IF(SUMIFS(tblDaily[DeathsUnder24Hrs],tblDaily[EntryDate],DATE(2026,7,23),tblDaily[WardCode],"MW")=0,"",SUMIFS(tblDaily[DeathsUnder24Hrs],tblDaily[EntryDate],DATE(2026,7,23),tblDaily[WardCode],"MW")),"")</f>
        <v/>
      </c>
      <c r="F263" s="12">
        <f>IFERROR(IF(SUMIFS(tblDaily[TransfersIn],tblDaily[EntryDate],DATE(2026,7,23),tblDaily[WardCode],"MW")=0,"",SUMIFS(tblDaily[TransfersIn],tblDaily[EntryDate],DATE(2026,7,23),tblDaily[WardCode],"MW")),"")</f>
        <v/>
      </c>
      <c r="G263" s="12">
        <f>IFERROR(IF(SUMIFS(tblDaily[TransfersOut],tblDaily[EntryDate],DATE(2026,7,23),tblDaily[WardCode],"MW")=0,"",SUMIFS(tblDaily[TransfersOut],tblDaily[EntryDate],DATE(2026,7,23),tblDaily[WardCode],"MW")),"")</f>
        <v/>
      </c>
      <c r="H263" s="12">
        <f>IFERROR(IF(SUMIFS(tblDaily[Remaining],tblDaily[EntryDate],DATE(2026,7,23),tblDaily[WardCode],"MW")=0,"",SUMIFS(tblDaily[Remaining],tblDaily[EntryDate],DATE(2026,7,23),tblDaily[WardCode],"MW")),"")</f>
        <v/>
      </c>
    </row>
    <row r="264">
      <c r="A264" s="12" t="n">
        <v>24</v>
      </c>
      <c r="B264" s="12">
        <f>IFERROR(IF(SUMIFS(tblDaily[Admissions],tblDaily[EntryDate],DATE(2026,7,24),tblDaily[WardCode],"MW")=0,"",SUMIFS(tblDaily[Admissions],tblDaily[EntryDate],DATE(2026,7,24),tblDaily[WardCode],"MW")),"")</f>
        <v/>
      </c>
      <c r="C264" s="12">
        <f>IFERROR(IF(SUMIFS(tblDaily[Discharges],tblDaily[EntryDate],DATE(2026,7,24),tblDaily[WardCode],"MW")=0,"",SUMIFS(tblDaily[Discharges],tblDaily[EntryDate],DATE(2026,7,24),tblDaily[WardCode],"MW")),"")</f>
        <v/>
      </c>
      <c r="D264" s="12">
        <f>IFERROR(IF(SUMIFS(tblDaily[Deaths],tblDaily[EntryDate],DATE(2026,7,24),tblDaily[WardCode],"MW")=0,"",SUMIFS(tblDaily[Deaths],tblDaily[EntryDate],DATE(2026,7,24),tblDaily[WardCode],"MW")),"")</f>
        <v/>
      </c>
      <c r="E264" s="12">
        <f>IFERROR(IF(SUMIFS(tblDaily[DeathsUnder24Hrs],tblDaily[EntryDate],DATE(2026,7,24),tblDaily[WardCode],"MW")=0,"",SUMIFS(tblDaily[DeathsUnder24Hrs],tblDaily[EntryDate],DATE(2026,7,24),tblDaily[WardCode],"MW")),"")</f>
        <v/>
      </c>
      <c r="F264" s="12">
        <f>IFERROR(IF(SUMIFS(tblDaily[TransfersIn],tblDaily[EntryDate],DATE(2026,7,24),tblDaily[WardCode],"MW")=0,"",SUMIFS(tblDaily[TransfersIn],tblDaily[EntryDate],DATE(2026,7,24),tblDaily[WardCode],"MW")),"")</f>
        <v/>
      </c>
      <c r="G264" s="12">
        <f>IFERROR(IF(SUMIFS(tblDaily[TransfersOut],tblDaily[EntryDate],DATE(2026,7,24),tblDaily[WardCode],"MW")=0,"",SUMIFS(tblDaily[TransfersOut],tblDaily[EntryDate],DATE(2026,7,24),tblDaily[WardCode],"MW")),"")</f>
        <v/>
      </c>
      <c r="H264" s="12">
        <f>IFERROR(IF(SUMIFS(tblDaily[Remaining],tblDaily[EntryDate],DATE(2026,7,24),tblDaily[WardCode],"MW")=0,"",SUMIFS(tblDaily[Remaining],tblDaily[EntryDate],DATE(2026,7,24),tblDaily[WardCode],"MW")),"")</f>
        <v/>
      </c>
    </row>
    <row r="265">
      <c r="A265" s="12" t="n">
        <v>25</v>
      </c>
      <c r="B265" s="12">
        <f>IFERROR(IF(SUMIFS(tblDaily[Admissions],tblDaily[EntryDate],DATE(2026,7,25),tblDaily[WardCode],"MW")=0,"",SUMIFS(tblDaily[Admissions],tblDaily[EntryDate],DATE(2026,7,25),tblDaily[WardCode],"MW")),"")</f>
        <v/>
      </c>
      <c r="C265" s="12">
        <f>IFERROR(IF(SUMIFS(tblDaily[Discharges],tblDaily[EntryDate],DATE(2026,7,25),tblDaily[WardCode],"MW")=0,"",SUMIFS(tblDaily[Discharges],tblDaily[EntryDate],DATE(2026,7,25),tblDaily[WardCode],"MW")),"")</f>
        <v/>
      </c>
      <c r="D265" s="12">
        <f>IFERROR(IF(SUMIFS(tblDaily[Deaths],tblDaily[EntryDate],DATE(2026,7,25),tblDaily[WardCode],"MW")=0,"",SUMIFS(tblDaily[Deaths],tblDaily[EntryDate],DATE(2026,7,25),tblDaily[WardCode],"MW")),"")</f>
        <v/>
      </c>
      <c r="E265" s="12">
        <f>IFERROR(IF(SUMIFS(tblDaily[DeathsUnder24Hrs],tblDaily[EntryDate],DATE(2026,7,25),tblDaily[WardCode],"MW")=0,"",SUMIFS(tblDaily[DeathsUnder24Hrs],tblDaily[EntryDate],DATE(2026,7,25),tblDaily[WardCode],"MW")),"")</f>
        <v/>
      </c>
      <c r="F265" s="12">
        <f>IFERROR(IF(SUMIFS(tblDaily[TransfersIn],tblDaily[EntryDate],DATE(2026,7,25),tblDaily[WardCode],"MW")=0,"",SUMIFS(tblDaily[TransfersIn],tblDaily[EntryDate],DATE(2026,7,25),tblDaily[WardCode],"MW")),"")</f>
        <v/>
      </c>
      <c r="G265" s="12">
        <f>IFERROR(IF(SUMIFS(tblDaily[TransfersOut],tblDaily[EntryDate],DATE(2026,7,25),tblDaily[WardCode],"MW")=0,"",SUMIFS(tblDaily[TransfersOut],tblDaily[EntryDate],DATE(2026,7,25),tblDaily[WardCode],"MW")),"")</f>
        <v/>
      </c>
      <c r="H265" s="12">
        <f>IFERROR(IF(SUMIFS(tblDaily[Remaining],tblDaily[EntryDate],DATE(2026,7,25),tblDaily[WardCode],"MW")=0,"",SUMIFS(tblDaily[Remaining],tblDaily[EntryDate],DATE(2026,7,25),tblDaily[WardCode],"MW")),"")</f>
        <v/>
      </c>
    </row>
    <row r="266">
      <c r="A266" s="12" t="n">
        <v>26</v>
      </c>
      <c r="B266" s="12">
        <f>IFERROR(IF(SUMIFS(tblDaily[Admissions],tblDaily[EntryDate],DATE(2026,7,26),tblDaily[WardCode],"MW")=0,"",SUMIFS(tblDaily[Admissions],tblDaily[EntryDate],DATE(2026,7,26),tblDaily[WardCode],"MW")),"")</f>
        <v/>
      </c>
      <c r="C266" s="12">
        <f>IFERROR(IF(SUMIFS(tblDaily[Discharges],tblDaily[EntryDate],DATE(2026,7,26),tblDaily[WardCode],"MW")=0,"",SUMIFS(tblDaily[Discharges],tblDaily[EntryDate],DATE(2026,7,26),tblDaily[WardCode],"MW")),"")</f>
        <v/>
      </c>
      <c r="D266" s="12">
        <f>IFERROR(IF(SUMIFS(tblDaily[Deaths],tblDaily[EntryDate],DATE(2026,7,26),tblDaily[WardCode],"MW")=0,"",SUMIFS(tblDaily[Deaths],tblDaily[EntryDate],DATE(2026,7,26),tblDaily[WardCode],"MW")),"")</f>
        <v/>
      </c>
      <c r="E266" s="12">
        <f>IFERROR(IF(SUMIFS(tblDaily[DeathsUnder24Hrs],tblDaily[EntryDate],DATE(2026,7,26),tblDaily[WardCode],"MW")=0,"",SUMIFS(tblDaily[DeathsUnder24Hrs],tblDaily[EntryDate],DATE(2026,7,26),tblDaily[WardCode],"MW")),"")</f>
        <v/>
      </c>
      <c r="F266" s="12">
        <f>IFERROR(IF(SUMIFS(tblDaily[TransfersIn],tblDaily[EntryDate],DATE(2026,7,26),tblDaily[WardCode],"MW")=0,"",SUMIFS(tblDaily[TransfersIn],tblDaily[EntryDate],DATE(2026,7,26),tblDaily[WardCode],"MW")),"")</f>
        <v/>
      </c>
      <c r="G266" s="12">
        <f>IFERROR(IF(SUMIFS(tblDaily[TransfersOut],tblDaily[EntryDate],DATE(2026,7,26),tblDaily[WardCode],"MW")=0,"",SUMIFS(tblDaily[TransfersOut],tblDaily[EntryDate],DATE(2026,7,26),tblDaily[WardCode],"MW")),"")</f>
        <v/>
      </c>
      <c r="H266" s="12">
        <f>IFERROR(IF(SUMIFS(tblDaily[Remaining],tblDaily[EntryDate],DATE(2026,7,26),tblDaily[WardCode],"MW")=0,"",SUMIFS(tblDaily[Remaining],tblDaily[EntryDate],DATE(2026,7,26),tblDaily[WardCode],"MW")),"")</f>
        <v/>
      </c>
    </row>
    <row r="267">
      <c r="A267" s="12" t="n">
        <v>27</v>
      </c>
      <c r="B267" s="12">
        <f>IFERROR(IF(SUMIFS(tblDaily[Admissions],tblDaily[EntryDate],DATE(2026,7,27),tblDaily[WardCode],"MW")=0,"",SUMIFS(tblDaily[Admissions],tblDaily[EntryDate],DATE(2026,7,27),tblDaily[WardCode],"MW")),"")</f>
        <v/>
      </c>
      <c r="C267" s="12">
        <f>IFERROR(IF(SUMIFS(tblDaily[Discharges],tblDaily[EntryDate],DATE(2026,7,27),tblDaily[WardCode],"MW")=0,"",SUMIFS(tblDaily[Discharges],tblDaily[EntryDate],DATE(2026,7,27),tblDaily[WardCode],"MW")),"")</f>
        <v/>
      </c>
      <c r="D267" s="12">
        <f>IFERROR(IF(SUMIFS(tblDaily[Deaths],tblDaily[EntryDate],DATE(2026,7,27),tblDaily[WardCode],"MW")=0,"",SUMIFS(tblDaily[Deaths],tblDaily[EntryDate],DATE(2026,7,27),tblDaily[WardCode],"MW")),"")</f>
        <v/>
      </c>
      <c r="E267" s="12">
        <f>IFERROR(IF(SUMIFS(tblDaily[DeathsUnder24Hrs],tblDaily[EntryDate],DATE(2026,7,27),tblDaily[WardCode],"MW")=0,"",SUMIFS(tblDaily[DeathsUnder24Hrs],tblDaily[EntryDate],DATE(2026,7,27),tblDaily[WardCode],"MW")),"")</f>
        <v/>
      </c>
      <c r="F267" s="12">
        <f>IFERROR(IF(SUMIFS(tblDaily[TransfersIn],tblDaily[EntryDate],DATE(2026,7,27),tblDaily[WardCode],"MW")=0,"",SUMIFS(tblDaily[TransfersIn],tblDaily[EntryDate],DATE(2026,7,27),tblDaily[WardCode],"MW")),"")</f>
        <v/>
      </c>
      <c r="G267" s="12">
        <f>IFERROR(IF(SUMIFS(tblDaily[TransfersOut],tblDaily[EntryDate],DATE(2026,7,27),tblDaily[WardCode],"MW")=0,"",SUMIFS(tblDaily[TransfersOut],tblDaily[EntryDate],DATE(2026,7,27),tblDaily[WardCode],"MW")),"")</f>
        <v/>
      </c>
      <c r="H267" s="12">
        <f>IFERROR(IF(SUMIFS(tblDaily[Remaining],tblDaily[EntryDate],DATE(2026,7,27),tblDaily[WardCode],"MW")=0,"",SUMIFS(tblDaily[Remaining],tblDaily[EntryDate],DATE(2026,7,27),tblDaily[WardCode],"MW")),"")</f>
        <v/>
      </c>
    </row>
    <row r="268">
      <c r="A268" s="12" t="n">
        <v>28</v>
      </c>
      <c r="B268" s="12">
        <f>IFERROR(IF(SUMIFS(tblDaily[Admissions],tblDaily[EntryDate],DATE(2026,7,28),tblDaily[WardCode],"MW")=0,"",SUMIFS(tblDaily[Admissions],tblDaily[EntryDate],DATE(2026,7,28),tblDaily[WardCode],"MW")),"")</f>
        <v/>
      </c>
      <c r="C268" s="12">
        <f>IFERROR(IF(SUMIFS(tblDaily[Discharges],tblDaily[EntryDate],DATE(2026,7,28),tblDaily[WardCode],"MW")=0,"",SUMIFS(tblDaily[Discharges],tblDaily[EntryDate],DATE(2026,7,28),tblDaily[WardCode],"MW")),"")</f>
        <v/>
      </c>
      <c r="D268" s="12">
        <f>IFERROR(IF(SUMIFS(tblDaily[Deaths],tblDaily[EntryDate],DATE(2026,7,28),tblDaily[WardCode],"MW")=0,"",SUMIFS(tblDaily[Deaths],tblDaily[EntryDate],DATE(2026,7,28),tblDaily[WardCode],"MW")),"")</f>
        <v/>
      </c>
      <c r="E268" s="12">
        <f>IFERROR(IF(SUMIFS(tblDaily[DeathsUnder24Hrs],tblDaily[EntryDate],DATE(2026,7,28),tblDaily[WardCode],"MW")=0,"",SUMIFS(tblDaily[DeathsUnder24Hrs],tblDaily[EntryDate],DATE(2026,7,28),tblDaily[WardCode],"MW")),"")</f>
        <v/>
      </c>
      <c r="F268" s="12">
        <f>IFERROR(IF(SUMIFS(tblDaily[TransfersIn],tblDaily[EntryDate],DATE(2026,7,28),tblDaily[WardCode],"MW")=0,"",SUMIFS(tblDaily[TransfersIn],tblDaily[EntryDate],DATE(2026,7,28),tblDaily[WardCode],"MW")),"")</f>
        <v/>
      </c>
      <c r="G268" s="12">
        <f>IFERROR(IF(SUMIFS(tblDaily[TransfersOut],tblDaily[EntryDate],DATE(2026,7,28),tblDaily[WardCode],"MW")=0,"",SUMIFS(tblDaily[TransfersOut],tblDaily[EntryDate],DATE(2026,7,28),tblDaily[WardCode],"MW")),"")</f>
        <v/>
      </c>
      <c r="H268" s="12">
        <f>IFERROR(IF(SUMIFS(tblDaily[Remaining],tblDaily[EntryDate],DATE(2026,7,28),tblDaily[WardCode],"MW")=0,"",SUMIFS(tblDaily[Remaining],tblDaily[EntryDate],DATE(2026,7,28),tblDaily[WardCode],"MW")),"")</f>
        <v/>
      </c>
    </row>
    <row r="269">
      <c r="A269" s="12" t="n">
        <v>29</v>
      </c>
      <c r="B269" s="12">
        <f>IFERROR(IF(SUMIFS(tblDaily[Admissions],tblDaily[EntryDate],DATE(2026,7,29),tblDaily[WardCode],"MW")=0,"",SUMIFS(tblDaily[Admissions],tblDaily[EntryDate],DATE(2026,7,29),tblDaily[WardCode],"MW")),"")</f>
        <v/>
      </c>
      <c r="C269" s="12">
        <f>IFERROR(IF(SUMIFS(tblDaily[Discharges],tblDaily[EntryDate],DATE(2026,7,29),tblDaily[WardCode],"MW")=0,"",SUMIFS(tblDaily[Discharges],tblDaily[EntryDate],DATE(2026,7,29),tblDaily[WardCode],"MW")),"")</f>
        <v/>
      </c>
      <c r="D269" s="12">
        <f>IFERROR(IF(SUMIFS(tblDaily[Deaths],tblDaily[EntryDate],DATE(2026,7,29),tblDaily[WardCode],"MW")=0,"",SUMIFS(tblDaily[Deaths],tblDaily[EntryDate],DATE(2026,7,29),tblDaily[WardCode],"MW")),"")</f>
        <v/>
      </c>
      <c r="E269" s="12">
        <f>IFERROR(IF(SUMIFS(tblDaily[DeathsUnder24Hrs],tblDaily[EntryDate],DATE(2026,7,29),tblDaily[WardCode],"MW")=0,"",SUMIFS(tblDaily[DeathsUnder24Hrs],tblDaily[EntryDate],DATE(2026,7,29),tblDaily[WardCode],"MW")),"")</f>
        <v/>
      </c>
      <c r="F269" s="12">
        <f>IFERROR(IF(SUMIFS(tblDaily[TransfersIn],tblDaily[EntryDate],DATE(2026,7,29),tblDaily[WardCode],"MW")=0,"",SUMIFS(tblDaily[TransfersIn],tblDaily[EntryDate],DATE(2026,7,29),tblDaily[WardCode],"MW")),"")</f>
        <v/>
      </c>
      <c r="G269" s="12">
        <f>IFERROR(IF(SUMIFS(tblDaily[TransfersOut],tblDaily[EntryDate],DATE(2026,7,29),tblDaily[WardCode],"MW")=0,"",SUMIFS(tblDaily[TransfersOut],tblDaily[EntryDate],DATE(2026,7,29),tblDaily[WardCode],"MW")),"")</f>
        <v/>
      </c>
      <c r="H269" s="12">
        <f>IFERROR(IF(SUMIFS(tblDaily[Remaining],tblDaily[EntryDate],DATE(2026,7,29),tblDaily[WardCode],"MW")=0,"",SUMIFS(tblDaily[Remaining],tblDaily[EntryDate],DATE(2026,7,29),tblDaily[WardCode],"MW")),"")</f>
        <v/>
      </c>
    </row>
    <row r="270">
      <c r="A270" s="12" t="n">
        <v>30</v>
      </c>
      <c r="B270" s="12">
        <f>IFERROR(IF(SUMIFS(tblDaily[Admissions],tblDaily[EntryDate],DATE(2026,7,30),tblDaily[WardCode],"MW")=0,"",SUMIFS(tblDaily[Admissions],tblDaily[EntryDate],DATE(2026,7,30),tblDaily[WardCode],"MW")),"")</f>
        <v/>
      </c>
      <c r="C270" s="12">
        <f>IFERROR(IF(SUMIFS(tblDaily[Discharges],tblDaily[EntryDate],DATE(2026,7,30),tblDaily[WardCode],"MW")=0,"",SUMIFS(tblDaily[Discharges],tblDaily[EntryDate],DATE(2026,7,30),tblDaily[WardCode],"MW")),"")</f>
        <v/>
      </c>
      <c r="D270" s="12">
        <f>IFERROR(IF(SUMIFS(tblDaily[Deaths],tblDaily[EntryDate],DATE(2026,7,30),tblDaily[WardCode],"MW")=0,"",SUMIFS(tblDaily[Deaths],tblDaily[EntryDate],DATE(2026,7,30),tblDaily[WardCode],"MW")),"")</f>
        <v/>
      </c>
      <c r="E270" s="12">
        <f>IFERROR(IF(SUMIFS(tblDaily[DeathsUnder24Hrs],tblDaily[EntryDate],DATE(2026,7,30),tblDaily[WardCode],"MW")=0,"",SUMIFS(tblDaily[DeathsUnder24Hrs],tblDaily[EntryDate],DATE(2026,7,30),tblDaily[WardCode],"MW")),"")</f>
        <v/>
      </c>
      <c r="F270" s="12">
        <f>IFERROR(IF(SUMIFS(tblDaily[TransfersIn],tblDaily[EntryDate],DATE(2026,7,30),tblDaily[WardCode],"MW")=0,"",SUMIFS(tblDaily[TransfersIn],tblDaily[EntryDate],DATE(2026,7,30),tblDaily[WardCode],"MW")),"")</f>
        <v/>
      </c>
      <c r="G270" s="12">
        <f>IFERROR(IF(SUMIFS(tblDaily[TransfersOut],tblDaily[EntryDate],DATE(2026,7,30),tblDaily[WardCode],"MW")=0,"",SUMIFS(tblDaily[TransfersOut],tblDaily[EntryDate],DATE(2026,7,30),tblDaily[WardCode],"MW")),"")</f>
        <v/>
      </c>
      <c r="H270" s="12">
        <f>IFERROR(IF(SUMIFS(tblDaily[Remaining],tblDaily[EntryDate],DATE(2026,7,30),tblDaily[WardCode],"MW")=0,"",SUMIFS(tblDaily[Remaining],tblDaily[EntryDate],DATE(2026,7,30),tblDaily[WardCode],"MW")),"")</f>
        <v/>
      </c>
    </row>
    <row r="271">
      <c r="A271" s="12" t="n">
        <v>31</v>
      </c>
      <c r="B271" s="12">
        <f>IFERROR(IF(SUMIFS(tblDaily[Admissions],tblDaily[EntryDate],DATE(2026,7,31),tblDaily[WardCode],"MW")=0,"",SUMIFS(tblDaily[Admissions],tblDaily[EntryDate],DATE(2026,7,31),tblDaily[WardCode],"MW")),"")</f>
        <v/>
      </c>
      <c r="C271" s="12">
        <f>IFERROR(IF(SUMIFS(tblDaily[Discharges],tblDaily[EntryDate],DATE(2026,7,31),tblDaily[WardCode],"MW")=0,"",SUMIFS(tblDaily[Discharges],tblDaily[EntryDate],DATE(2026,7,31),tblDaily[WardCode],"MW")),"")</f>
        <v/>
      </c>
      <c r="D271" s="12">
        <f>IFERROR(IF(SUMIFS(tblDaily[Deaths],tblDaily[EntryDate],DATE(2026,7,31),tblDaily[WardCode],"MW")=0,"",SUMIFS(tblDaily[Deaths],tblDaily[EntryDate],DATE(2026,7,31),tblDaily[WardCode],"MW")),"")</f>
        <v/>
      </c>
      <c r="E271" s="12">
        <f>IFERROR(IF(SUMIFS(tblDaily[DeathsUnder24Hrs],tblDaily[EntryDate],DATE(2026,7,31),tblDaily[WardCode],"MW")=0,"",SUMIFS(tblDaily[DeathsUnder24Hrs],tblDaily[EntryDate],DATE(2026,7,31),tblDaily[WardCode],"MW")),"")</f>
        <v/>
      </c>
      <c r="F271" s="12">
        <f>IFERROR(IF(SUMIFS(tblDaily[TransfersIn],tblDaily[EntryDate],DATE(2026,7,31),tblDaily[WardCode],"MW")=0,"",SUMIFS(tblDaily[TransfersIn],tblDaily[EntryDate],DATE(2026,7,31),tblDaily[WardCode],"MW")),"")</f>
        <v/>
      </c>
      <c r="G271" s="12">
        <f>IFERROR(IF(SUMIFS(tblDaily[TransfersOut],tblDaily[EntryDate],DATE(2026,7,31),tblDaily[WardCode],"MW")=0,"",SUMIFS(tblDaily[TransfersOut],tblDaily[EntryDate],DATE(2026,7,31),tblDaily[WardCode],"MW")),"")</f>
        <v/>
      </c>
      <c r="H271" s="12">
        <f>IFERROR(IF(SUMIFS(tblDaily[Remaining],tblDaily[EntryDate],DATE(2026,7,31),tblDaily[WardCode],"MW")=0,"",SUMIFS(tblDaily[Remaining],tblDaily[EntryDate],DATE(2026,7,31),tblDaily[WardCode],"MW")),"")</f>
        <v/>
      </c>
    </row>
    <row r="272">
      <c r="A272" s="17" t="inlineStr">
        <is>
          <t>TOTAL</t>
        </is>
      </c>
      <c r="B272" s="17">
        <f>SUMIFS(tblDaily[Admissions],tblDaily[Month],7,tblDaily[WardCode],"MW") - SUMIFS(tblDaily[DeathsUnder24Hrs],tblDaily[Month],7,tblDaily[WardCode],"MW")</f>
        <v/>
      </c>
      <c r="C272" s="17">
        <f>SUMIFS(tblDaily[Discharges],tblDaily[Month],7,tblDaily[WardCode],"MW")</f>
        <v/>
      </c>
      <c r="D272" s="17">
        <f>SUMIFS(tblDaily[Deaths],tblDaily[Month],7,tblDaily[WardCode],"MW")</f>
        <v/>
      </c>
      <c r="E272" s="17">
        <f>SUMIFS(tblDaily[DeathsUnder24Hrs],tblDaily[Month],7,tblDaily[WardCode],"MW")</f>
        <v/>
      </c>
      <c r="F272" s="17">
        <f>SUMIFS(tblDaily[TransfersIn],tblDaily[Month],7,tblDaily[WardCode],"MW")</f>
        <v/>
      </c>
      <c r="G272" s="17">
        <f>SUMIFS(tblDaily[TransfersOut],tblDaily[Month],7,tblDaily[WardCode],"MW")</f>
        <v/>
      </c>
      <c r="H272" s="17">
        <f>SUMIFS(tblDaily[Remaining],tblDaily[Month],7,tblDaily[WardCode],"MW")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MALE MEDICAL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4">
        <f>IFERROR(SUMIFS(tblDaily[Remaining],tblDaily[EntryDate],DATE(2026,7,31),tblDaily[WardCode],"MW"),0)</f>
        <v/>
      </c>
    </row>
    <row r="278">
      <c r="A278" s="4" t="inlineStr">
        <is>
          <t>Bed complement</t>
        </is>
      </c>
      <c r="H278" s="15">
        <f>IFERROR(INDEX(tblWardConfig[BedComplement],MATCH("MW",tblWardConfig[WardCode],0)),0)</f>
        <v/>
      </c>
    </row>
    <row r="279">
      <c r="A279" s="16" t="inlineStr">
        <is>
          <t>Day of
the
Month</t>
        </is>
      </c>
      <c r="B279" s="16" t="inlineStr">
        <is>
          <t>Admissions</t>
        </is>
      </c>
      <c r="C279" s="16" t="inlineStr">
        <is>
          <t>Discharges</t>
        </is>
      </c>
      <c r="D279" s="16" t="inlineStr">
        <is>
          <t>Deaths</t>
        </is>
      </c>
      <c r="E279" s="16" t="inlineStr">
        <is>
          <t>Deaths
&lt;24Hrs</t>
        </is>
      </c>
      <c r="F279" s="16" t="inlineStr">
        <is>
          <t>Transfers-
In</t>
        </is>
      </c>
      <c r="G279" s="16" t="inlineStr">
        <is>
          <t>Transfers-
Out</t>
        </is>
      </c>
      <c r="H279" s="16" t="inlineStr">
        <is>
          <t>No. of Patients
Remaining In
Ward</t>
        </is>
      </c>
    </row>
    <row r="280">
      <c r="A280" s="12" t="n">
        <v>1</v>
      </c>
      <c r="B280" s="12">
        <f>IFERROR(IF(SUMIFS(tblDaily[Admissions],tblDaily[EntryDate],DATE(2026,8,1),tblDaily[WardCode],"MW")=0,"",SUMIFS(tblDaily[Admissions],tblDaily[EntryDate],DATE(2026,8,1),tblDaily[WardCode],"MW")),"")</f>
        <v/>
      </c>
      <c r="C280" s="12">
        <f>IFERROR(IF(SUMIFS(tblDaily[Discharges],tblDaily[EntryDate],DATE(2026,8,1),tblDaily[WardCode],"MW")=0,"",SUMIFS(tblDaily[Discharges],tblDaily[EntryDate],DATE(2026,8,1),tblDaily[WardCode],"MW")),"")</f>
        <v/>
      </c>
      <c r="D280" s="12">
        <f>IFERROR(IF(SUMIFS(tblDaily[Deaths],tblDaily[EntryDate],DATE(2026,8,1),tblDaily[WardCode],"MW")=0,"",SUMIFS(tblDaily[Deaths],tblDaily[EntryDate],DATE(2026,8,1),tblDaily[WardCode],"MW")),"")</f>
        <v/>
      </c>
      <c r="E280" s="12">
        <f>IFERROR(IF(SUMIFS(tblDaily[DeathsUnder24Hrs],tblDaily[EntryDate],DATE(2026,8,1),tblDaily[WardCode],"MW")=0,"",SUMIFS(tblDaily[DeathsUnder24Hrs],tblDaily[EntryDate],DATE(2026,8,1),tblDaily[WardCode],"MW")),"")</f>
        <v/>
      </c>
      <c r="F280" s="12">
        <f>IFERROR(IF(SUMIFS(tblDaily[TransfersIn],tblDaily[EntryDate],DATE(2026,8,1),tblDaily[WardCode],"MW")=0,"",SUMIFS(tblDaily[TransfersIn],tblDaily[EntryDate],DATE(2026,8,1),tblDaily[WardCode],"MW")),"")</f>
        <v/>
      </c>
      <c r="G280" s="12">
        <f>IFERROR(IF(SUMIFS(tblDaily[TransfersOut],tblDaily[EntryDate],DATE(2026,8,1),tblDaily[WardCode],"MW")=0,"",SUMIFS(tblDaily[TransfersOut],tblDaily[EntryDate],DATE(2026,8,1),tblDaily[WardCode],"MW")),"")</f>
        <v/>
      </c>
      <c r="H280" s="12">
        <f>IFERROR(IF(SUMIFS(tblDaily[Remaining],tblDaily[EntryDate],DATE(2026,8,1),tblDaily[WardCode],"MW")=0,"",SUMIFS(tblDaily[Remaining],tblDaily[EntryDate],DATE(2026,8,1),tblDaily[WardCode],"MW")),"")</f>
        <v/>
      </c>
    </row>
    <row r="281">
      <c r="A281" s="12" t="n">
        <v>2</v>
      </c>
      <c r="B281" s="12">
        <f>IFERROR(IF(SUMIFS(tblDaily[Admissions],tblDaily[EntryDate],DATE(2026,8,2),tblDaily[WardCode],"MW")=0,"",SUMIFS(tblDaily[Admissions],tblDaily[EntryDate],DATE(2026,8,2),tblDaily[WardCode],"MW")),"")</f>
        <v/>
      </c>
      <c r="C281" s="12">
        <f>IFERROR(IF(SUMIFS(tblDaily[Discharges],tblDaily[EntryDate],DATE(2026,8,2),tblDaily[WardCode],"MW")=0,"",SUMIFS(tblDaily[Discharges],tblDaily[EntryDate],DATE(2026,8,2),tblDaily[WardCode],"MW")),"")</f>
        <v/>
      </c>
      <c r="D281" s="12">
        <f>IFERROR(IF(SUMIFS(tblDaily[Deaths],tblDaily[EntryDate],DATE(2026,8,2),tblDaily[WardCode],"MW")=0,"",SUMIFS(tblDaily[Deaths],tblDaily[EntryDate],DATE(2026,8,2),tblDaily[WardCode],"MW")),"")</f>
        <v/>
      </c>
      <c r="E281" s="12">
        <f>IFERROR(IF(SUMIFS(tblDaily[DeathsUnder24Hrs],tblDaily[EntryDate],DATE(2026,8,2),tblDaily[WardCode],"MW")=0,"",SUMIFS(tblDaily[DeathsUnder24Hrs],tblDaily[EntryDate],DATE(2026,8,2),tblDaily[WardCode],"MW")),"")</f>
        <v/>
      </c>
      <c r="F281" s="12">
        <f>IFERROR(IF(SUMIFS(tblDaily[TransfersIn],tblDaily[EntryDate],DATE(2026,8,2),tblDaily[WardCode],"MW")=0,"",SUMIFS(tblDaily[TransfersIn],tblDaily[EntryDate],DATE(2026,8,2),tblDaily[WardCode],"MW")),"")</f>
        <v/>
      </c>
      <c r="G281" s="12">
        <f>IFERROR(IF(SUMIFS(tblDaily[TransfersOut],tblDaily[EntryDate],DATE(2026,8,2),tblDaily[WardCode],"MW")=0,"",SUMIFS(tblDaily[TransfersOut],tblDaily[EntryDate],DATE(2026,8,2),tblDaily[WardCode],"MW")),"")</f>
        <v/>
      </c>
      <c r="H281" s="12">
        <f>IFERROR(IF(SUMIFS(tblDaily[Remaining],tblDaily[EntryDate],DATE(2026,8,2),tblDaily[WardCode],"MW")=0,"",SUMIFS(tblDaily[Remaining],tblDaily[EntryDate],DATE(2026,8,2),tblDaily[WardCode],"MW")),"")</f>
        <v/>
      </c>
    </row>
    <row r="282">
      <c r="A282" s="12" t="n">
        <v>3</v>
      </c>
      <c r="B282" s="12">
        <f>IFERROR(IF(SUMIFS(tblDaily[Admissions],tblDaily[EntryDate],DATE(2026,8,3),tblDaily[WardCode],"MW")=0,"",SUMIFS(tblDaily[Admissions],tblDaily[EntryDate],DATE(2026,8,3),tblDaily[WardCode],"MW")),"")</f>
        <v/>
      </c>
      <c r="C282" s="12">
        <f>IFERROR(IF(SUMIFS(tblDaily[Discharges],tblDaily[EntryDate],DATE(2026,8,3),tblDaily[WardCode],"MW")=0,"",SUMIFS(tblDaily[Discharges],tblDaily[EntryDate],DATE(2026,8,3),tblDaily[WardCode],"MW")),"")</f>
        <v/>
      </c>
      <c r="D282" s="12">
        <f>IFERROR(IF(SUMIFS(tblDaily[Deaths],tblDaily[EntryDate],DATE(2026,8,3),tblDaily[WardCode],"MW")=0,"",SUMIFS(tblDaily[Deaths],tblDaily[EntryDate],DATE(2026,8,3),tblDaily[WardCode],"MW")),"")</f>
        <v/>
      </c>
      <c r="E282" s="12">
        <f>IFERROR(IF(SUMIFS(tblDaily[DeathsUnder24Hrs],tblDaily[EntryDate],DATE(2026,8,3),tblDaily[WardCode],"MW")=0,"",SUMIFS(tblDaily[DeathsUnder24Hrs],tblDaily[EntryDate],DATE(2026,8,3),tblDaily[WardCode],"MW")),"")</f>
        <v/>
      </c>
      <c r="F282" s="12">
        <f>IFERROR(IF(SUMIFS(tblDaily[TransfersIn],tblDaily[EntryDate],DATE(2026,8,3),tblDaily[WardCode],"MW")=0,"",SUMIFS(tblDaily[TransfersIn],tblDaily[EntryDate],DATE(2026,8,3),tblDaily[WardCode],"MW")),"")</f>
        <v/>
      </c>
      <c r="G282" s="12">
        <f>IFERROR(IF(SUMIFS(tblDaily[TransfersOut],tblDaily[EntryDate],DATE(2026,8,3),tblDaily[WardCode],"MW")=0,"",SUMIFS(tblDaily[TransfersOut],tblDaily[EntryDate],DATE(2026,8,3),tblDaily[WardCode],"MW")),"")</f>
        <v/>
      </c>
      <c r="H282" s="12">
        <f>IFERROR(IF(SUMIFS(tblDaily[Remaining],tblDaily[EntryDate],DATE(2026,8,3),tblDaily[WardCode],"MW")=0,"",SUMIFS(tblDaily[Remaining],tblDaily[EntryDate],DATE(2026,8,3),tblDaily[WardCode],"MW")),"")</f>
        <v/>
      </c>
    </row>
    <row r="283">
      <c r="A283" s="12" t="n">
        <v>4</v>
      </c>
      <c r="B283" s="12">
        <f>IFERROR(IF(SUMIFS(tblDaily[Admissions],tblDaily[EntryDate],DATE(2026,8,4),tblDaily[WardCode],"MW")=0,"",SUMIFS(tblDaily[Admissions],tblDaily[EntryDate],DATE(2026,8,4),tblDaily[WardCode],"MW")),"")</f>
        <v/>
      </c>
      <c r="C283" s="12">
        <f>IFERROR(IF(SUMIFS(tblDaily[Discharges],tblDaily[EntryDate],DATE(2026,8,4),tblDaily[WardCode],"MW")=0,"",SUMIFS(tblDaily[Discharges],tblDaily[EntryDate],DATE(2026,8,4),tblDaily[WardCode],"MW")),"")</f>
        <v/>
      </c>
      <c r="D283" s="12">
        <f>IFERROR(IF(SUMIFS(tblDaily[Deaths],tblDaily[EntryDate],DATE(2026,8,4),tblDaily[WardCode],"MW")=0,"",SUMIFS(tblDaily[Deaths],tblDaily[EntryDate],DATE(2026,8,4),tblDaily[WardCode],"MW")),"")</f>
        <v/>
      </c>
      <c r="E283" s="12">
        <f>IFERROR(IF(SUMIFS(tblDaily[DeathsUnder24Hrs],tblDaily[EntryDate],DATE(2026,8,4),tblDaily[WardCode],"MW")=0,"",SUMIFS(tblDaily[DeathsUnder24Hrs],tblDaily[EntryDate],DATE(2026,8,4),tblDaily[WardCode],"MW")),"")</f>
        <v/>
      </c>
      <c r="F283" s="12">
        <f>IFERROR(IF(SUMIFS(tblDaily[TransfersIn],tblDaily[EntryDate],DATE(2026,8,4),tblDaily[WardCode],"MW")=0,"",SUMIFS(tblDaily[TransfersIn],tblDaily[EntryDate],DATE(2026,8,4),tblDaily[WardCode],"MW")),"")</f>
        <v/>
      </c>
      <c r="G283" s="12">
        <f>IFERROR(IF(SUMIFS(tblDaily[TransfersOut],tblDaily[EntryDate],DATE(2026,8,4),tblDaily[WardCode],"MW")=0,"",SUMIFS(tblDaily[TransfersOut],tblDaily[EntryDate],DATE(2026,8,4),tblDaily[WardCode],"MW")),"")</f>
        <v/>
      </c>
      <c r="H283" s="12">
        <f>IFERROR(IF(SUMIFS(tblDaily[Remaining],tblDaily[EntryDate],DATE(2026,8,4),tblDaily[WardCode],"MW")=0,"",SUMIFS(tblDaily[Remaining],tblDaily[EntryDate],DATE(2026,8,4),tblDaily[WardCode],"MW")),"")</f>
        <v/>
      </c>
    </row>
    <row r="284">
      <c r="A284" s="12" t="n">
        <v>5</v>
      </c>
      <c r="B284" s="12">
        <f>IFERROR(IF(SUMIFS(tblDaily[Admissions],tblDaily[EntryDate],DATE(2026,8,5),tblDaily[WardCode],"MW")=0,"",SUMIFS(tblDaily[Admissions],tblDaily[EntryDate],DATE(2026,8,5),tblDaily[WardCode],"MW")),"")</f>
        <v/>
      </c>
      <c r="C284" s="12">
        <f>IFERROR(IF(SUMIFS(tblDaily[Discharges],tblDaily[EntryDate],DATE(2026,8,5),tblDaily[WardCode],"MW")=0,"",SUMIFS(tblDaily[Discharges],tblDaily[EntryDate],DATE(2026,8,5),tblDaily[WardCode],"MW")),"")</f>
        <v/>
      </c>
      <c r="D284" s="12">
        <f>IFERROR(IF(SUMIFS(tblDaily[Deaths],tblDaily[EntryDate],DATE(2026,8,5),tblDaily[WardCode],"MW")=0,"",SUMIFS(tblDaily[Deaths],tblDaily[EntryDate],DATE(2026,8,5),tblDaily[WardCode],"MW")),"")</f>
        <v/>
      </c>
      <c r="E284" s="12">
        <f>IFERROR(IF(SUMIFS(tblDaily[DeathsUnder24Hrs],tblDaily[EntryDate],DATE(2026,8,5),tblDaily[WardCode],"MW")=0,"",SUMIFS(tblDaily[DeathsUnder24Hrs],tblDaily[EntryDate],DATE(2026,8,5),tblDaily[WardCode],"MW")),"")</f>
        <v/>
      </c>
      <c r="F284" s="12">
        <f>IFERROR(IF(SUMIFS(tblDaily[TransfersIn],tblDaily[EntryDate],DATE(2026,8,5),tblDaily[WardCode],"MW")=0,"",SUMIFS(tblDaily[TransfersIn],tblDaily[EntryDate],DATE(2026,8,5),tblDaily[WardCode],"MW")),"")</f>
        <v/>
      </c>
      <c r="G284" s="12">
        <f>IFERROR(IF(SUMIFS(tblDaily[TransfersOut],tblDaily[EntryDate],DATE(2026,8,5),tblDaily[WardCode],"MW")=0,"",SUMIFS(tblDaily[TransfersOut],tblDaily[EntryDate],DATE(2026,8,5),tblDaily[WardCode],"MW")),"")</f>
        <v/>
      </c>
      <c r="H284" s="12">
        <f>IFERROR(IF(SUMIFS(tblDaily[Remaining],tblDaily[EntryDate],DATE(2026,8,5),tblDaily[WardCode],"MW")=0,"",SUMIFS(tblDaily[Remaining],tblDaily[EntryDate],DATE(2026,8,5),tblDaily[WardCode],"MW")),"")</f>
        <v/>
      </c>
    </row>
    <row r="285">
      <c r="A285" s="12" t="n">
        <v>6</v>
      </c>
      <c r="B285" s="12">
        <f>IFERROR(IF(SUMIFS(tblDaily[Admissions],tblDaily[EntryDate],DATE(2026,8,6),tblDaily[WardCode],"MW")=0,"",SUMIFS(tblDaily[Admissions],tblDaily[EntryDate],DATE(2026,8,6),tblDaily[WardCode],"MW")),"")</f>
        <v/>
      </c>
      <c r="C285" s="12">
        <f>IFERROR(IF(SUMIFS(tblDaily[Discharges],tblDaily[EntryDate],DATE(2026,8,6),tblDaily[WardCode],"MW")=0,"",SUMIFS(tblDaily[Discharges],tblDaily[EntryDate],DATE(2026,8,6),tblDaily[WardCode],"MW")),"")</f>
        <v/>
      </c>
      <c r="D285" s="12">
        <f>IFERROR(IF(SUMIFS(tblDaily[Deaths],tblDaily[EntryDate],DATE(2026,8,6),tblDaily[WardCode],"MW")=0,"",SUMIFS(tblDaily[Deaths],tblDaily[EntryDate],DATE(2026,8,6),tblDaily[WardCode],"MW")),"")</f>
        <v/>
      </c>
      <c r="E285" s="12">
        <f>IFERROR(IF(SUMIFS(tblDaily[DeathsUnder24Hrs],tblDaily[EntryDate],DATE(2026,8,6),tblDaily[WardCode],"MW")=0,"",SUMIFS(tblDaily[DeathsUnder24Hrs],tblDaily[EntryDate],DATE(2026,8,6),tblDaily[WardCode],"MW")),"")</f>
        <v/>
      </c>
      <c r="F285" s="12">
        <f>IFERROR(IF(SUMIFS(tblDaily[TransfersIn],tblDaily[EntryDate],DATE(2026,8,6),tblDaily[WardCode],"MW")=0,"",SUMIFS(tblDaily[TransfersIn],tblDaily[EntryDate],DATE(2026,8,6),tblDaily[WardCode],"MW")),"")</f>
        <v/>
      </c>
      <c r="G285" s="12">
        <f>IFERROR(IF(SUMIFS(tblDaily[TransfersOut],tblDaily[EntryDate],DATE(2026,8,6),tblDaily[WardCode],"MW")=0,"",SUMIFS(tblDaily[TransfersOut],tblDaily[EntryDate],DATE(2026,8,6),tblDaily[WardCode],"MW")),"")</f>
        <v/>
      </c>
      <c r="H285" s="12">
        <f>IFERROR(IF(SUMIFS(tblDaily[Remaining],tblDaily[EntryDate],DATE(2026,8,6),tblDaily[WardCode],"MW")=0,"",SUMIFS(tblDaily[Remaining],tblDaily[EntryDate],DATE(2026,8,6),tblDaily[WardCode],"MW")),"")</f>
        <v/>
      </c>
    </row>
    <row r="286">
      <c r="A286" s="12" t="n">
        <v>7</v>
      </c>
      <c r="B286" s="12">
        <f>IFERROR(IF(SUMIFS(tblDaily[Admissions],tblDaily[EntryDate],DATE(2026,8,7),tblDaily[WardCode],"MW")=0,"",SUMIFS(tblDaily[Admissions],tblDaily[EntryDate],DATE(2026,8,7),tblDaily[WardCode],"MW")),"")</f>
        <v/>
      </c>
      <c r="C286" s="12">
        <f>IFERROR(IF(SUMIFS(tblDaily[Discharges],tblDaily[EntryDate],DATE(2026,8,7),tblDaily[WardCode],"MW")=0,"",SUMIFS(tblDaily[Discharges],tblDaily[EntryDate],DATE(2026,8,7),tblDaily[WardCode],"MW")),"")</f>
        <v/>
      </c>
      <c r="D286" s="12">
        <f>IFERROR(IF(SUMIFS(tblDaily[Deaths],tblDaily[EntryDate],DATE(2026,8,7),tblDaily[WardCode],"MW")=0,"",SUMIFS(tblDaily[Deaths],tblDaily[EntryDate],DATE(2026,8,7),tblDaily[WardCode],"MW")),"")</f>
        <v/>
      </c>
      <c r="E286" s="12">
        <f>IFERROR(IF(SUMIFS(tblDaily[DeathsUnder24Hrs],tblDaily[EntryDate],DATE(2026,8,7),tblDaily[WardCode],"MW")=0,"",SUMIFS(tblDaily[DeathsUnder24Hrs],tblDaily[EntryDate],DATE(2026,8,7),tblDaily[WardCode],"MW")),"")</f>
        <v/>
      </c>
      <c r="F286" s="12">
        <f>IFERROR(IF(SUMIFS(tblDaily[TransfersIn],tblDaily[EntryDate],DATE(2026,8,7),tblDaily[WardCode],"MW")=0,"",SUMIFS(tblDaily[TransfersIn],tblDaily[EntryDate],DATE(2026,8,7),tblDaily[WardCode],"MW")),"")</f>
        <v/>
      </c>
      <c r="G286" s="12">
        <f>IFERROR(IF(SUMIFS(tblDaily[TransfersOut],tblDaily[EntryDate],DATE(2026,8,7),tblDaily[WardCode],"MW")=0,"",SUMIFS(tblDaily[TransfersOut],tblDaily[EntryDate],DATE(2026,8,7),tblDaily[WardCode],"MW")),"")</f>
        <v/>
      </c>
      <c r="H286" s="12">
        <f>IFERROR(IF(SUMIFS(tblDaily[Remaining],tblDaily[EntryDate],DATE(2026,8,7),tblDaily[WardCode],"MW")=0,"",SUMIFS(tblDaily[Remaining],tblDaily[EntryDate],DATE(2026,8,7),tblDaily[WardCode],"MW")),"")</f>
        <v/>
      </c>
    </row>
    <row r="287">
      <c r="A287" s="12" t="n">
        <v>8</v>
      </c>
      <c r="B287" s="12">
        <f>IFERROR(IF(SUMIFS(tblDaily[Admissions],tblDaily[EntryDate],DATE(2026,8,8),tblDaily[WardCode],"MW")=0,"",SUMIFS(tblDaily[Admissions],tblDaily[EntryDate],DATE(2026,8,8),tblDaily[WardCode],"MW")),"")</f>
        <v/>
      </c>
      <c r="C287" s="12">
        <f>IFERROR(IF(SUMIFS(tblDaily[Discharges],tblDaily[EntryDate],DATE(2026,8,8),tblDaily[WardCode],"MW")=0,"",SUMIFS(tblDaily[Discharges],tblDaily[EntryDate],DATE(2026,8,8),tblDaily[WardCode],"MW")),"")</f>
        <v/>
      </c>
      <c r="D287" s="12">
        <f>IFERROR(IF(SUMIFS(tblDaily[Deaths],tblDaily[EntryDate],DATE(2026,8,8),tblDaily[WardCode],"MW")=0,"",SUMIFS(tblDaily[Deaths],tblDaily[EntryDate],DATE(2026,8,8),tblDaily[WardCode],"MW")),"")</f>
        <v/>
      </c>
      <c r="E287" s="12">
        <f>IFERROR(IF(SUMIFS(tblDaily[DeathsUnder24Hrs],tblDaily[EntryDate],DATE(2026,8,8),tblDaily[WardCode],"MW")=0,"",SUMIFS(tblDaily[DeathsUnder24Hrs],tblDaily[EntryDate],DATE(2026,8,8),tblDaily[WardCode],"MW")),"")</f>
        <v/>
      </c>
      <c r="F287" s="12">
        <f>IFERROR(IF(SUMIFS(tblDaily[TransfersIn],tblDaily[EntryDate],DATE(2026,8,8),tblDaily[WardCode],"MW")=0,"",SUMIFS(tblDaily[TransfersIn],tblDaily[EntryDate],DATE(2026,8,8),tblDaily[WardCode],"MW")),"")</f>
        <v/>
      </c>
      <c r="G287" s="12">
        <f>IFERROR(IF(SUMIFS(tblDaily[TransfersOut],tblDaily[EntryDate],DATE(2026,8,8),tblDaily[WardCode],"MW")=0,"",SUMIFS(tblDaily[TransfersOut],tblDaily[EntryDate],DATE(2026,8,8),tblDaily[WardCode],"MW")),"")</f>
        <v/>
      </c>
      <c r="H287" s="12">
        <f>IFERROR(IF(SUMIFS(tblDaily[Remaining],tblDaily[EntryDate],DATE(2026,8,8),tblDaily[WardCode],"MW")=0,"",SUMIFS(tblDaily[Remaining],tblDaily[EntryDate],DATE(2026,8,8),tblDaily[WardCode],"MW")),"")</f>
        <v/>
      </c>
    </row>
    <row r="288">
      <c r="A288" s="12" t="n">
        <v>9</v>
      </c>
      <c r="B288" s="12">
        <f>IFERROR(IF(SUMIFS(tblDaily[Admissions],tblDaily[EntryDate],DATE(2026,8,9),tblDaily[WardCode],"MW")=0,"",SUMIFS(tblDaily[Admissions],tblDaily[EntryDate],DATE(2026,8,9),tblDaily[WardCode],"MW")),"")</f>
        <v/>
      </c>
      <c r="C288" s="12">
        <f>IFERROR(IF(SUMIFS(tblDaily[Discharges],tblDaily[EntryDate],DATE(2026,8,9),tblDaily[WardCode],"MW")=0,"",SUMIFS(tblDaily[Discharges],tblDaily[EntryDate],DATE(2026,8,9),tblDaily[WardCode],"MW")),"")</f>
        <v/>
      </c>
      <c r="D288" s="12">
        <f>IFERROR(IF(SUMIFS(tblDaily[Deaths],tblDaily[EntryDate],DATE(2026,8,9),tblDaily[WardCode],"MW")=0,"",SUMIFS(tblDaily[Deaths],tblDaily[EntryDate],DATE(2026,8,9),tblDaily[WardCode],"MW")),"")</f>
        <v/>
      </c>
      <c r="E288" s="12">
        <f>IFERROR(IF(SUMIFS(tblDaily[DeathsUnder24Hrs],tblDaily[EntryDate],DATE(2026,8,9),tblDaily[WardCode],"MW")=0,"",SUMIFS(tblDaily[DeathsUnder24Hrs],tblDaily[EntryDate],DATE(2026,8,9),tblDaily[WardCode],"MW")),"")</f>
        <v/>
      </c>
      <c r="F288" s="12">
        <f>IFERROR(IF(SUMIFS(tblDaily[TransfersIn],tblDaily[EntryDate],DATE(2026,8,9),tblDaily[WardCode],"MW")=0,"",SUMIFS(tblDaily[TransfersIn],tblDaily[EntryDate],DATE(2026,8,9),tblDaily[WardCode],"MW")),"")</f>
        <v/>
      </c>
      <c r="G288" s="12">
        <f>IFERROR(IF(SUMIFS(tblDaily[TransfersOut],tblDaily[EntryDate],DATE(2026,8,9),tblDaily[WardCode],"MW")=0,"",SUMIFS(tblDaily[TransfersOut],tblDaily[EntryDate],DATE(2026,8,9),tblDaily[WardCode],"MW")),"")</f>
        <v/>
      </c>
      <c r="H288" s="12">
        <f>IFERROR(IF(SUMIFS(tblDaily[Remaining],tblDaily[EntryDate],DATE(2026,8,9),tblDaily[WardCode],"MW")=0,"",SUMIFS(tblDaily[Remaining],tblDaily[EntryDate],DATE(2026,8,9),tblDaily[WardCode],"MW")),"")</f>
        <v/>
      </c>
    </row>
    <row r="289">
      <c r="A289" s="12" t="n">
        <v>10</v>
      </c>
      <c r="B289" s="12">
        <f>IFERROR(IF(SUMIFS(tblDaily[Admissions],tblDaily[EntryDate],DATE(2026,8,10),tblDaily[WardCode],"MW")=0,"",SUMIFS(tblDaily[Admissions],tblDaily[EntryDate],DATE(2026,8,10),tblDaily[WardCode],"MW")),"")</f>
        <v/>
      </c>
      <c r="C289" s="12">
        <f>IFERROR(IF(SUMIFS(tblDaily[Discharges],tblDaily[EntryDate],DATE(2026,8,10),tblDaily[WardCode],"MW")=0,"",SUMIFS(tblDaily[Discharges],tblDaily[EntryDate],DATE(2026,8,10),tblDaily[WardCode],"MW")),"")</f>
        <v/>
      </c>
      <c r="D289" s="12">
        <f>IFERROR(IF(SUMIFS(tblDaily[Deaths],tblDaily[EntryDate],DATE(2026,8,10),tblDaily[WardCode],"MW")=0,"",SUMIFS(tblDaily[Deaths],tblDaily[EntryDate],DATE(2026,8,10),tblDaily[WardCode],"MW")),"")</f>
        <v/>
      </c>
      <c r="E289" s="12">
        <f>IFERROR(IF(SUMIFS(tblDaily[DeathsUnder24Hrs],tblDaily[EntryDate],DATE(2026,8,10),tblDaily[WardCode],"MW")=0,"",SUMIFS(tblDaily[DeathsUnder24Hrs],tblDaily[EntryDate],DATE(2026,8,10),tblDaily[WardCode],"MW")),"")</f>
        <v/>
      </c>
      <c r="F289" s="12">
        <f>IFERROR(IF(SUMIFS(tblDaily[TransfersIn],tblDaily[EntryDate],DATE(2026,8,10),tblDaily[WardCode],"MW")=0,"",SUMIFS(tblDaily[TransfersIn],tblDaily[EntryDate],DATE(2026,8,10),tblDaily[WardCode],"MW")),"")</f>
        <v/>
      </c>
      <c r="G289" s="12">
        <f>IFERROR(IF(SUMIFS(tblDaily[TransfersOut],tblDaily[EntryDate],DATE(2026,8,10),tblDaily[WardCode],"MW")=0,"",SUMIFS(tblDaily[TransfersOut],tblDaily[EntryDate],DATE(2026,8,10),tblDaily[WardCode],"MW")),"")</f>
        <v/>
      </c>
      <c r="H289" s="12">
        <f>IFERROR(IF(SUMIFS(tblDaily[Remaining],tblDaily[EntryDate],DATE(2026,8,10),tblDaily[WardCode],"MW")=0,"",SUMIFS(tblDaily[Remaining],tblDaily[EntryDate],DATE(2026,8,10),tblDaily[WardCode],"MW")),"")</f>
        <v/>
      </c>
    </row>
    <row r="290">
      <c r="A290" s="12" t="n">
        <v>11</v>
      </c>
      <c r="B290" s="12">
        <f>IFERROR(IF(SUMIFS(tblDaily[Admissions],tblDaily[EntryDate],DATE(2026,8,11),tblDaily[WardCode],"MW")=0,"",SUMIFS(tblDaily[Admissions],tblDaily[EntryDate],DATE(2026,8,11),tblDaily[WardCode],"MW")),"")</f>
        <v/>
      </c>
      <c r="C290" s="12">
        <f>IFERROR(IF(SUMIFS(tblDaily[Discharges],tblDaily[EntryDate],DATE(2026,8,11),tblDaily[WardCode],"MW")=0,"",SUMIFS(tblDaily[Discharges],tblDaily[EntryDate],DATE(2026,8,11),tblDaily[WardCode],"MW")),"")</f>
        <v/>
      </c>
      <c r="D290" s="12">
        <f>IFERROR(IF(SUMIFS(tblDaily[Deaths],tblDaily[EntryDate],DATE(2026,8,11),tblDaily[WardCode],"MW")=0,"",SUMIFS(tblDaily[Deaths],tblDaily[EntryDate],DATE(2026,8,11),tblDaily[WardCode],"MW")),"")</f>
        <v/>
      </c>
      <c r="E290" s="12">
        <f>IFERROR(IF(SUMIFS(tblDaily[DeathsUnder24Hrs],tblDaily[EntryDate],DATE(2026,8,11),tblDaily[WardCode],"MW")=0,"",SUMIFS(tblDaily[DeathsUnder24Hrs],tblDaily[EntryDate],DATE(2026,8,11),tblDaily[WardCode],"MW")),"")</f>
        <v/>
      </c>
      <c r="F290" s="12">
        <f>IFERROR(IF(SUMIFS(tblDaily[TransfersIn],tblDaily[EntryDate],DATE(2026,8,11),tblDaily[WardCode],"MW")=0,"",SUMIFS(tblDaily[TransfersIn],tblDaily[EntryDate],DATE(2026,8,11),tblDaily[WardCode],"MW")),"")</f>
        <v/>
      </c>
      <c r="G290" s="12">
        <f>IFERROR(IF(SUMIFS(tblDaily[TransfersOut],tblDaily[EntryDate],DATE(2026,8,11),tblDaily[WardCode],"MW")=0,"",SUMIFS(tblDaily[TransfersOut],tblDaily[EntryDate],DATE(2026,8,11),tblDaily[WardCode],"MW")),"")</f>
        <v/>
      </c>
      <c r="H290" s="12">
        <f>IFERROR(IF(SUMIFS(tblDaily[Remaining],tblDaily[EntryDate],DATE(2026,8,11),tblDaily[WardCode],"MW")=0,"",SUMIFS(tblDaily[Remaining],tblDaily[EntryDate],DATE(2026,8,11),tblDaily[WardCode],"MW")),"")</f>
        <v/>
      </c>
    </row>
    <row r="291">
      <c r="A291" s="12" t="n">
        <v>12</v>
      </c>
      <c r="B291" s="12">
        <f>IFERROR(IF(SUMIFS(tblDaily[Admissions],tblDaily[EntryDate],DATE(2026,8,12),tblDaily[WardCode],"MW")=0,"",SUMIFS(tblDaily[Admissions],tblDaily[EntryDate],DATE(2026,8,12),tblDaily[WardCode],"MW")),"")</f>
        <v/>
      </c>
      <c r="C291" s="12">
        <f>IFERROR(IF(SUMIFS(tblDaily[Discharges],tblDaily[EntryDate],DATE(2026,8,12),tblDaily[WardCode],"MW")=0,"",SUMIFS(tblDaily[Discharges],tblDaily[EntryDate],DATE(2026,8,12),tblDaily[WardCode],"MW")),"")</f>
        <v/>
      </c>
      <c r="D291" s="12">
        <f>IFERROR(IF(SUMIFS(tblDaily[Deaths],tblDaily[EntryDate],DATE(2026,8,12),tblDaily[WardCode],"MW")=0,"",SUMIFS(tblDaily[Deaths],tblDaily[EntryDate],DATE(2026,8,12),tblDaily[WardCode],"MW")),"")</f>
        <v/>
      </c>
      <c r="E291" s="12">
        <f>IFERROR(IF(SUMIFS(tblDaily[DeathsUnder24Hrs],tblDaily[EntryDate],DATE(2026,8,12),tblDaily[WardCode],"MW")=0,"",SUMIFS(tblDaily[DeathsUnder24Hrs],tblDaily[EntryDate],DATE(2026,8,12),tblDaily[WardCode],"MW")),"")</f>
        <v/>
      </c>
      <c r="F291" s="12">
        <f>IFERROR(IF(SUMIFS(tblDaily[TransfersIn],tblDaily[EntryDate],DATE(2026,8,12),tblDaily[WardCode],"MW")=0,"",SUMIFS(tblDaily[TransfersIn],tblDaily[EntryDate],DATE(2026,8,12),tblDaily[WardCode],"MW")),"")</f>
        <v/>
      </c>
      <c r="G291" s="12">
        <f>IFERROR(IF(SUMIFS(tblDaily[TransfersOut],tblDaily[EntryDate],DATE(2026,8,12),tblDaily[WardCode],"MW")=0,"",SUMIFS(tblDaily[TransfersOut],tblDaily[EntryDate],DATE(2026,8,12),tblDaily[WardCode],"MW")),"")</f>
        <v/>
      </c>
      <c r="H291" s="12">
        <f>IFERROR(IF(SUMIFS(tblDaily[Remaining],tblDaily[EntryDate],DATE(2026,8,12),tblDaily[WardCode],"MW")=0,"",SUMIFS(tblDaily[Remaining],tblDaily[EntryDate],DATE(2026,8,12),tblDaily[WardCode],"MW")),"")</f>
        <v/>
      </c>
    </row>
    <row r="292">
      <c r="A292" s="12" t="n">
        <v>13</v>
      </c>
      <c r="B292" s="12">
        <f>IFERROR(IF(SUMIFS(tblDaily[Admissions],tblDaily[EntryDate],DATE(2026,8,13),tblDaily[WardCode],"MW")=0,"",SUMIFS(tblDaily[Admissions],tblDaily[EntryDate],DATE(2026,8,13),tblDaily[WardCode],"MW")),"")</f>
        <v/>
      </c>
      <c r="C292" s="12">
        <f>IFERROR(IF(SUMIFS(tblDaily[Discharges],tblDaily[EntryDate],DATE(2026,8,13),tblDaily[WardCode],"MW")=0,"",SUMIFS(tblDaily[Discharges],tblDaily[EntryDate],DATE(2026,8,13),tblDaily[WardCode],"MW")),"")</f>
        <v/>
      </c>
      <c r="D292" s="12">
        <f>IFERROR(IF(SUMIFS(tblDaily[Deaths],tblDaily[EntryDate],DATE(2026,8,13),tblDaily[WardCode],"MW")=0,"",SUMIFS(tblDaily[Deaths],tblDaily[EntryDate],DATE(2026,8,13),tblDaily[WardCode],"MW")),"")</f>
        <v/>
      </c>
      <c r="E292" s="12">
        <f>IFERROR(IF(SUMIFS(tblDaily[DeathsUnder24Hrs],tblDaily[EntryDate],DATE(2026,8,13),tblDaily[WardCode],"MW")=0,"",SUMIFS(tblDaily[DeathsUnder24Hrs],tblDaily[EntryDate],DATE(2026,8,13),tblDaily[WardCode],"MW")),"")</f>
        <v/>
      </c>
      <c r="F292" s="12">
        <f>IFERROR(IF(SUMIFS(tblDaily[TransfersIn],tblDaily[EntryDate],DATE(2026,8,13),tblDaily[WardCode],"MW")=0,"",SUMIFS(tblDaily[TransfersIn],tblDaily[EntryDate],DATE(2026,8,13),tblDaily[WardCode],"MW")),"")</f>
        <v/>
      </c>
      <c r="G292" s="12">
        <f>IFERROR(IF(SUMIFS(tblDaily[TransfersOut],tblDaily[EntryDate],DATE(2026,8,13),tblDaily[WardCode],"MW")=0,"",SUMIFS(tblDaily[TransfersOut],tblDaily[EntryDate],DATE(2026,8,13),tblDaily[WardCode],"MW")),"")</f>
        <v/>
      </c>
      <c r="H292" s="12">
        <f>IFERROR(IF(SUMIFS(tblDaily[Remaining],tblDaily[EntryDate],DATE(2026,8,13),tblDaily[WardCode],"MW")=0,"",SUMIFS(tblDaily[Remaining],tblDaily[EntryDate],DATE(2026,8,13),tblDaily[WardCode],"MW")),"")</f>
        <v/>
      </c>
    </row>
    <row r="293">
      <c r="A293" s="12" t="n">
        <v>14</v>
      </c>
      <c r="B293" s="12">
        <f>IFERROR(IF(SUMIFS(tblDaily[Admissions],tblDaily[EntryDate],DATE(2026,8,14),tblDaily[WardCode],"MW")=0,"",SUMIFS(tblDaily[Admissions],tblDaily[EntryDate],DATE(2026,8,14),tblDaily[WardCode],"MW")),"")</f>
        <v/>
      </c>
      <c r="C293" s="12">
        <f>IFERROR(IF(SUMIFS(tblDaily[Discharges],tblDaily[EntryDate],DATE(2026,8,14),tblDaily[WardCode],"MW")=0,"",SUMIFS(tblDaily[Discharges],tblDaily[EntryDate],DATE(2026,8,14),tblDaily[WardCode],"MW")),"")</f>
        <v/>
      </c>
      <c r="D293" s="12">
        <f>IFERROR(IF(SUMIFS(tblDaily[Deaths],tblDaily[EntryDate],DATE(2026,8,14),tblDaily[WardCode],"MW")=0,"",SUMIFS(tblDaily[Deaths],tblDaily[EntryDate],DATE(2026,8,14),tblDaily[WardCode],"MW")),"")</f>
        <v/>
      </c>
      <c r="E293" s="12">
        <f>IFERROR(IF(SUMIFS(tblDaily[DeathsUnder24Hrs],tblDaily[EntryDate],DATE(2026,8,14),tblDaily[WardCode],"MW")=0,"",SUMIFS(tblDaily[DeathsUnder24Hrs],tblDaily[EntryDate],DATE(2026,8,14),tblDaily[WardCode],"MW")),"")</f>
        <v/>
      </c>
      <c r="F293" s="12">
        <f>IFERROR(IF(SUMIFS(tblDaily[TransfersIn],tblDaily[EntryDate],DATE(2026,8,14),tblDaily[WardCode],"MW")=0,"",SUMIFS(tblDaily[TransfersIn],tblDaily[EntryDate],DATE(2026,8,14),tblDaily[WardCode],"MW")),"")</f>
        <v/>
      </c>
      <c r="G293" s="12">
        <f>IFERROR(IF(SUMIFS(tblDaily[TransfersOut],tblDaily[EntryDate],DATE(2026,8,14),tblDaily[WardCode],"MW")=0,"",SUMIFS(tblDaily[TransfersOut],tblDaily[EntryDate],DATE(2026,8,14),tblDaily[WardCode],"MW")),"")</f>
        <v/>
      </c>
      <c r="H293" s="12">
        <f>IFERROR(IF(SUMIFS(tblDaily[Remaining],tblDaily[EntryDate],DATE(2026,8,14),tblDaily[WardCode],"MW")=0,"",SUMIFS(tblDaily[Remaining],tblDaily[EntryDate],DATE(2026,8,14),tblDaily[WardCode],"MW")),"")</f>
        <v/>
      </c>
    </row>
    <row r="294">
      <c r="A294" s="12" t="n">
        <v>15</v>
      </c>
      <c r="B294" s="12">
        <f>IFERROR(IF(SUMIFS(tblDaily[Admissions],tblDaily[EntryDate],DATE(2026,8,15),tblDaily[WardCode],"MW")=0,"",SUMIFS(tblDaily[Admissions],tblDaily[EntryDate],DATE(2026,8,15),tblDaily[WardCode],"MW")),"")</f>
        <v/>
      </c>
      <c r="C294" s="12">
        <f>IFERROR(IF(SUMIFS(tblDaily[Discharges],tblDaily[EntryDate],DATE(2026,8,15),tblDaily[WardCode],"MW")=0,"",SUMIFS(tblDaily[Discharges],tblDaily[EntryDate],DATE(2026,8,15),tblDaily[WardCode],"MW")),"")</f>
        <v/>
      </c>
      <c r="D294" s="12">
        <f>IFERROR(IF(SUMIFS(tblDaily[Deaths],tblDaily[EntryDate],DATE(2026,8,15),tblDaily[WardCode],"MW")=0,"",SUMIFS(tblDaily[Deaths],tblDaily[EntryDate],DATE(2026,8,15),tblDaily[WardCode],"MW")),"")</f>
        <v/>
      </c>
      <c r="E294" s="12">
        <f>IFERROR(IF(SUMIFS(tblDaily[DeathsUnder24Hrs],tblDaily[EntryDate],DATE(2026,8,15),tblDaily[WardCode],"MW")=0,"",SUMIFS(tblDaily[DeathsUnder24Hrs],tblDaily[EntryDate],DATE(2026,8,15),tblDaily[WardCode],"MW")),"")</f>
        <v/>
      </c>
      <c r="F294" s="12">
        <f>IFERROR(IF(SUMIFS(tblDaily[TransfersIn],tblDaily[EntryDate],DATE(2026,8,15),tblDaily[WardCode],"MW")=0,"",SUMIFS(tblDaily[TransfersIn],tblDaily[EntryDate],DATE(2026,8,15),tblDaily[WardCode],"MW")),"")</f>
        <v/>
      </c>
      <c r="G294" s="12">
        <f>IFERROR(IF(SUMIFS(tblDaily[TransfersOut],tblDaily[EntryDate],DATE(2026,8,15),tblDaily[WardCode],"MW")=0,"",SUMIFS(tblDaily[TransfersOut],tblDaily[EntryDate],DATE(2026,8,15),tblDaily[WardCode],"MW")),"")</f>
        <v/>
      </c>
      <c r="H294" s="12">
        <f>IFERROR(IF(SUMIFS(tblDaily[Remaining],tblDaily[EntryDate],DATE(2026,8,15),tblDaily[WardCode],"MW")=0,"",SUMIFS(tblDaily[Remaining],tblDaily[EntryDate],DATE(2026,8,15),tblDaily[WardCode],"MW")),"")</f>
        <v/>
      </c>
    </row>
    <row r="295">
      <c r="A295" s="12" t="n">
        <v>16</v>
      </c>
      <c r="B295" s="12">
        <f>IFERROR(IF(SUMIFS(tblDaily[Admissions],tblDaily[EntryDate],DATE(2026,8,16),tblDaily[WardCode],"MW")=0,"",SUMIFS(tblDaily[Admissions],tblDaily[EntryDate],DATE(2026,8,16),tblDaily[WardCode],"MW")),"")</f>
        <v/>
      </c>
      <c r="C295" s="12">
        <f>IFERROR(IF(SUMIFS(tblDaily[Discharges],tblDaily[EntryDate],DATE(2026,8,16),tblDaily[WardCode],"MW")=0,"",SUMIFS(tblDaily[Discharges],tblDaily[EntryDate],DATE(2026,8,16),tblDaily[WardCode],"MW")),"")</f>
        <v/>
      </c>
      <c r="D295" s="12">
        <f>IFERROR(IF(SUMIFS(tblDaily[Deaths],tblDaily[EntryDate],DATE(2026,8,16),tblDaily[WardCode],"MW")=0,"",SUMIFS(tblDaily[Deaths],tblDaily[EntryDate],DATE(2026,8,16),tblDaily[WardCode],"MW")),"")</f>
        <v/>
      </c>
      <c r="E295" s="12">
        <f>IFERROR(IF(SUMIFS(tblDaily[DeathsUnder24Hrs],tblDaily[EntryDate],DATE(2026,8,16),tblDaily[WardCode],"MW")=0,"",SUMIFS(tblDaily[DeathsUnder24Hrs],tblDaily[EntryDate],DATE(2026,8,16),tblDaily[WardCode],"MW")),"")</f>
        <v/>
      </c>
      <c r="F295" s="12">
        <f>IFERROR(IF(SUMIFS(tblDaily[TransfersIn],tblDaily[EntryDate],DATE(2026,8,16),tblDaily[WardCode],"MW")=0,"",SUMIFS(tblDaily[TransfersIn],tblDaily[EntryDate],DATE(2026,8,16),tblDaily[WardCode],"MW")),"")</f>
        <v/>
      </c>
      <c r="G295" s="12">
        <f>IFERROR(IF(SUMIFS(tblDaily[TransfersOut],tblDaily[EntryDate],DATE(2026,8,16),tblDaily[WardCode],"MW")=0,"",SUMIFS(tblDaily[TransfersOut],tblDaily[EntryDate],DATE(2026,8,16),tblDaily[WardCode],"MW")),"")</f>
        <v/>
      </c>
      <c r="H295" s="12">
        <f>IFERROR(IF(SUMIFS(tblDaily[Remaining],tblDaily[EntryDate],DATE(2026,8,16),tblDaily[WardCode],"MW")=0,"",SUMIFS(tblDaily[Remaining],tblDaily[EntryDate],DATE(2026,8,16),tblDaily[WardCode],"MW")),"")</f>
        <v/>
      </c>
    </row>
    <row r="296">
      <c r="A296" s="12" t="n">
        <v>17</v>
      </c>
      <c r="B296" s="12">
        <f>IFERROR(IF(SUMIFS(tblDaily[Admissions],tblDaily[EntryDate],DATE(2026,8,17),tblDaily[WardCode],"MW")=0,"",SUMIFS(tblDaily[Admissions],tblDaily[EntryDate],DATE(2026,8,17),tblDaily[WardCode],"MW")),"")</f>
        <v/>
      </c>
      <c r="C296" s="12">
        <f>IFERROR(IF(SUMIFS(tblDaily[Discharges],tblDaily[EntryDate],DATE(2026,8,17),tblDaily[WardCode],"MW")=0,"",SUMIFS(tblDaily[Discharges],tblDaily[EntryDate],DATE(2026,8,17),tblDaily[WardCode],"MW")),"")</f>
        <v/>
      </c>
      <c r="D296" s="12">
        <f>IFERROR(IF(SUMIFS(tblDaily[Deaths],tblDaily[EntryDate],DATE(2026,8,17),tblDaily[WardCode],"MW")=0,"",SUMIFS(tblDaily[Deaths],tblDaily[EntryDate],DATE(2026,8,17),tblDaily[WardCode],"MW")),"")</f>
        <v/>
      </c>
      <c r="E296" s="12">
        <f>IFERROR(IF(SUMIFS(tblDaily[DeathsUnder24Hrs],tblDaily[EntryDate],DATE(2026,8,17),tblDaily[WardCode],"MW")=0,"",SUMIFS(tblDaily[DeathsUnder24Hrs],tblDaily[EntryDate],DATE(2026,8,17),tblDaily[WardCode],"MW")),"")</f>
        <v/>
      </c>
      <c r="F296" s="12">
        <f>IFERROR(IF(SUMIFS(tblDaily[TransfersIn],tblDaily[EntryDate],DATE(2026,8,17),tblDaily[WardCode],"MW")=0,"",SUMIFS(tblDaily[TransfersIn],tblDaily[EntryDate],DATE(2026,8,17),tblDaily[WardCode],"MW")),"")</f>
        <v/>
      </c>
      <c r="G296" s="12">
        <f>IFERROR(IF(SUMIFS(tblDaily[TransfersOut],tblDaily[EntryDate],DATE(2026,8,17),tblDaily[WardCode],"MW")=0,"",SUMIFS(tblDaily[TransfersOut],tblDaily[EntryDate],DATE(2026,8,17),tblDaily[WardCode],"MW")),"")</f>
        <v/>
      </c>
      <c r="H296" s="12">
        <f>IFERROR(IF(SUMIFS(tblDaily[Remaining],tblDaily[EntryDate],DATE(2026,8,17),tblDaily[WardCode],"MW")=0,"",SUMIFS(tblDaily[Remaining],tblDaily[EntryDate],DATE(2026,8,17),tblDaily[WardCode],"MW")),"")</f>
        <v/>
      </c>
    </row>
    <row r="297">
      <c r="A297" s="12" t="n">
        <v>18</v>
      </c>
      <c r="B297" s="12">
        <f>IFERROR(IF(SUMIFS(tblDaily[Admissions],tblDaily[EntryDate],DATE(2026,8,18),tblDaily[WardCode],"MW")=0,"",SUMIFS(tblDaily[Admissions],tblDaily[EntryDate],DATE(2026,8,18),tblDaily[WardCode],"MW")),"")</f>
        <v/>
      </c>
      <c r="C297" s="12">
        <f>IFERROR(IF(SUMIFS(tblDaily[Discharges],tblDaily[EntryDate],DATE(2026,8,18),tblDaily[WardCode],"MW")=0,"",SUMIFS(tblDaily[Discharges],tblDaily[EntryDate],DATE(2026,8,18),tblDaily[WardCode],"MW")),"")</f>
        <v/>
      </c>
      <c r="D297" s="12">
        <f>IFERROR(IF(SUMIFS(tblDaily[Deaths],tblDaily[EntryDate],DATE(2026,8,18),tblDaily[WardCode],"MW")=0,"",SUMIFS(tblDaily[Deaths],tblDaily[EntryDate],DATE(2026,8,18),tblDaily[WardCode],"MW")),"")</f>
        <v/>
      </c>
      <c r="E297" s="12">
        <f>IFERROR(IF(SUMIFS(tblDaily[DeathsUnder24Hrs],tblDaily[EntryDate],DATE(2026,8,18),tblDaily[WardCode],"MW")=0,"",SUMIFS(tblDaily[DeathsUnder24Hrs],tblDaily[EntryDate],DATE(2026,8,18),tblDaily[WardCode],"MW")),"")</f>
        <v/>
      </c>
      <c r="F297" s="12">
        <f>IFERROR(IF(SUMIFS(tblDaily[TransfersIn],tblDaily[EntryDate],DATE(2026,8,18),tblDaily[WardCode],"MW")=0,"",SUMIFS(tblDaily[TransfersIn],tblDaily[EntryDate],DATE(2026,8,18),tblDaily[WardCode],"MW")),"")</f>
        <v/>
      </c>
      <c r="G297" s="12">
        <f>IFERROR(IF(SUMIFS(tblDaily[TransfersOut],tblDaily[EntryDate],DATE(2026,8,18),tblDaily[WardCode],"MW")=0,"",SUMIFS(tblDaily[TransfersOut],tblDaily[EntryDate],DATE(2026,8,18),tblDaily[WardCode],"MW")),"")</f>
        <v/>
      </c>
      <c r="H297" s="12">
        <f>IFERROR(IF(SUMIFS(tblDaily[Remaining],tblDaily[EntryDate],DATE(2026,8,18),tblDaily[WardCode],"MW")=0,"",SUMIFS(tblDaily[Remaining],tblDaily[EntryDate],DATE(2026,8,18),tblDaily[WardCode],"MW")),"")</f>
        <v/>
      </c>
    </row>
    <row r="298">
      <c r="A298" s="12" t="n">
        <v>19</v>
      </c>
      <c r="B298" s="12">
        <f>IFERROR(IF(SUMIFS(tblDaily[Admissions],tblDaily[EntryDate],DATE(2026,8,19),tblDaily[WardCode],"MW")=0,"",SUMIFS(tblDaily[Admissions],tblDaily[EntryDate],DATE(2026,8,19),tblDaily[WardCode],"MW")),"")</f>
        <v/>
      </c>
      <c r="C298" s="12">
        <f>IFERROR(IF(SUMIFS(tblDaily[Discharges],tblDaily[EntryDate],DATE(2026,8,19),tblDaily[WardCode],"MW")=0,"",SUMIFS(tblDaily[Discharges],tblDaily[EntryDate],DATE(2026,8,19),tblDaily[WardCode],"MW")),"")</f>
        <v/>
      </c>
      <c r="D298" s="12">
        <f>IFERROR(IF(SUMIFS(tblDaily[Deaths],tblDaily[EntryDate],DATE(2026,8,19),tblDaily[WardCode],"MW")=0,"",SUMIFS(tblDaily[Deaths],tblDaily[EntryDate],DATE(2026,8,19),tblDaily[WardCode],"MW")),"")</f>
        <v/>
      </c>
      <c r="E298" s="12">
        <f>IFERROR(IF(SUMIFS(tblDaily[DeathsUnder24Hrs],tblDaily[EntryDate],DATE(2026,8,19),tblDaily[WardCode],"MW")=0,"",SUMIFS(tblDaily[DeathsUnder24Hrs],tblDaily[EntryDate],DATE(2026,8,19),tblDaily[WardCode],"MW")),"")</f>
        <v/>
      </c>
      <c r="F298" s="12">
        <f>IFERROR(IF(SUMIFS(tblDaily[TransfersIn],tblDaily[EntryDate],DATE(2026,8,19),tblDaily[WardCode],"MW")=0,"",SUMIFS(tblDaily[TransfersIn],tblDaily[EntryDate],DATE(2026,8,19),tblDaily[WardCode],"MW")),"")</f>
        <v/>
      </c>
      <c r="G298" s="12">
        <f>IFERROR(IF(SUMIFS(tblDaily[TransfersOut],tblDaily[EntryDate],DATE(2026,8,19),tblDaily[WardCode],"MW")=0,"",SUMIFS(tblDaily[TransfersOut],tblDaily[EntryDate],DATE(2026,8,19),tblDaily[WardCode],"MW")),"")</f>
        <v/>
      </c>
      <c r="H298" s="12">
        <f>IFERROR(IF(SUMIFS(tblDaily[Remaining],tblDaily[EntryDate],DATE(2026,8,19),tblDaily[WardCode],"MW")=0,"",SUMIFS(tblDaily[Remaining],tblDaily[EntryDate],DATE(2026,8,19),tblDaily[WardCode],"MW")),"")</f>
        <v/>
      </c>
    </row>
    <row r="299">
      <c r="A299" s="12" t="n">
        <v>20</v>
      </c>
      <c r="B299" s="12">
        <f>IFERROR(IF(SUMIFS(tblDaily[Admissions],tblDaily[EntryDate],DATE(2026,8,20),tblDaily[WardCode],"MW")=0,"",SUMIFS(tblDaily[Admissions],tblDaily[EntryDate],DATE(2026,8,20),tblDaily[WardCode],"MW")),"")</f>
        <v/>
      </c>
      <c r="C299" s="12">
        <f>IFERROR(IF(SUMIFS(tblDaily[Discharges],tblDaily[EntryDate],DATE(2026,8,20),tblDaily[WardCode],"MW")=0,"",SUMIFS(tblDaily[Discharges],tblDaily[EntryDate],DATE(2026,8,20),tblDaily[WardCode],"MW")),"")</f>
        <v/>
      </c>
      <c r="D299" s="12">
        <f>IFERROR(IF(SUMIFS(tblDaily[Deaths],tblDaily[EntryDate],DATE(2026,8,20),tblDaily[WardCode],"MW")=0,"",SUMIFS(tblDaily[Deaths],tblDaily[EntryDate],DATE(2026,8,20),tblDaily[WardCode],"MW")),"")</f>
        <v/>
      </c>
      <c r="E299" s="12">
        <f>IFERROR(IF(SUMIFS(tblDaily[DeathsUnder24Hrs],tblDaily[EntryDate],DATE(2026,8,20),tblDaily[WardCode],"MW")=0,"",SUMIFS(tblDaily[DeathsUnder24Hrs],tblDaily[EntryDate],DATE(2026,8,20),tblDaily[WardCode],"MW")),"")</f>
        <v/>
      </c>
      <c r="F299" s="12">
        <f>IFERROR(IF(SUMIFS(tblDaily[TransfersIn],tblDaily[EntryDate],DATE(2026,8,20),tblDaily[WardCode],"MW")=0,"",SUMIFS(tblDaily[TransfersIn],tblDaily[EntryDate],DATE(2026,8,20),tblDaily[WardCode],"MW")),"")</f>
        <v/>
      </c>
      <c r="G299" s="12">
        <f>IFERROR(IF(SUMIFS(tblDaily[TransfersOut],tblDaily[EntryDate],DATE(2026,8,20),tblDaily[WardCode],"MW")=0,"",SUMIFS(tblDaily[TransfersOut],tblDaily[EntryDate],DATE(2026,8,20),tblDaily[WardCode],"MW")),"")</f>
        <v/>
      </c>
      <c r="H299" s="12">
        <f>IFERROR(IF(SUMIFS(tblDaily[Remaining],tblDaily[EntryDate],DATE(2026,8,20),tblDaily[WardCode],"MW")=0,"",SUMIFS(tblDaily[Remaining],tblDaily[EntryDate],DATE(2026,8,20),tblDaily[WardCode],"MW")),"")</f>
        <v/>
      </c>
    </row>
    <row r="300">
      <c r="A300" s="12" t="n">
        <v>21</v>
      </c>
      <c r="B300" s="12">
        <f>IFERROR(IF(SUMIFS(tblDaily[Admissions],tblDaily[EntryDate],DATE(2026,8,21),tblDaily[WardCode],"MW")=0,"",SUMIFS(tblDaily[Admissions],tblDaily[EntryDate],DATE(2026,8,21),tblDaily[WardCode],"MW")),"")</f>
        <v/>
      </c>
      <c r="C300" s="12">
        <f>IFERROR(IF(SUMIFS(tblDaily[Discharges],tblDaily[EntryDate],DATE(2026,8,21),tblDaily[WardCode],"MW")=0,"",SUMIFS(tblDaily[Discharges],tblDaily[EntryDate],DATE(2026,8,21),tblDaily[WardCode],"MW")),"")</f>
        <v/>
      </c>
      <c r="D300" s="12">
        <f>IFERROR(IF(SUMIFS(tblDaily[Deaths],tblDaily[EntryDate],DATE(2026,8,21),tblDaily[WardCode],"MW")=0,"",SUMIFS(tblDaily[Deaths],tblDaily[EntryDate],DATE(2026,8,21),tblDaily[WardCode],"MW")),"")</f>
        <v/>
      </c>
      <c r="E300" s="12">
        <f>IFERROR(IF(SUMIFS(tblDaily[DeathsUnder24Hrs],tblDaily[EntryDate],DATE(2026,8,21),tblDaily[WardCode],"MW")=0,"",SUMIFS(tblDaily[DeathsUnder24Hrs],tblDaily[EntryDate],DATE(2026,8,21),tblDaily[WardCode],"MW")),"")</f>
        <v/>
      </c>
      <c r="F300" s="12">
        <f>IFERROR(IF(SUMIFS(tblDaily[TransfersIn],tblDaily[EntryDate],DATE(2026,8,21),tblDaily[WardCode],"MW")=0,"",SUMIFS(tblDaily[TransfersIn],tblDaily[EntryDate],DATE(2026,8,21),tblDaily[WardCode],"MW")),"")</f>
        <v/>
      </c>
      <c r="G300" s="12">
        <f>IFERROR(IF(SUMIFS(tblDaily[TransfersOut],tblDaily[EntryDate],DATE(2026,8,21),tblDaily[WardCode],"MW")=0,"",SUMIFS(tblDaily[TransfersOut],tblDaily[EntryDate],DATE(2026,8,21),tblDaily[WardCode],"MW")),"")</f>
        <v/>
      </c>
      <c r="H300" s="12">
        <f>IFERROR(IF(SUMIFS(tblDaily[Remaining],tblDaily[EntryDate],DATE(2026,8,21),tblDaily[WardCode],"MW")=0,"",SUMIFS(tblDaily[Remaining],tblDaily[EntryDate],DATE(2026,8,21),tblDaily[WardCode],"MW")),"")</f>
        <v/>
      </c>
    </row>
    <row r="301">
      <c r="A301" s="12" t="n">
        <v>22</v>
      </c>
      <c r="B301" s="12">
        <f>IFERROR(IF(SUMIFS(tblDaily[Admissions],tblDaily[EntryDate],DATE(2026,8,22),tblDaily[WardCode],"MW")=0,"",SUMIFS(tblDaily[Admissions],tblDaily[EntryDate],DATE(2026,8,22),tblDaily[WardCode],"MW")),"")</f>
        <v/>
      </c>
      <c r="C301" s="12">
        <f>IFERROR(IF(SUMIFS(tblDaily[Discharges],tblDaily[EntryDate],DATE(2026,8,22),tblDaily[WardCode],"MW")=0,"",SUMIFS(tblDaily[Discharges],tblDaily[EntryDate],DATE(2026,8,22),tblDaily[WardCode],"MW")),"")</f>
        <v/>
      </c>
      <c r="D301" s="12">
        <f>IFERROR(IF(SUMIFS(tblDaily[Deaths],tblDaily[EntryDate],DATE(2026,8,22),tblDaily[WardCode],"MW")=0,"",SUMIFS(tblDaily[Deaths],tblDaily[EntryDate],DATE(2026,8,22),tblDaily[WardCode],"MW")),"")</f>
        <v/>
      </c>
      <c r="E301" s="12">
        <f>IFERROR(IF(SUMIFS(tblDaily[DeathsUnder24Hrs],tblDaily[EntryDate],DATE(2026,8,22),tblDaily[WardCode],"MW")=0,"",SUMIFS(tblDaily[DeathsUnder24Hrs],tblDaily[EntryDate],DATE(2026,8,22),tblDaily[WardCode],"MW")),"")</f>
        <v/>
      </c>
      <c r="F301" s="12">
        <f>IFERROR(IF(SUMIFS(tblDaily[TransfersIn],tblDaily[EntryDate],DATE(2026,8,22),tblDaily[WardCode],"MW")=0,"",SUMIFS(tblDaily[TransfersIn],tblDaily[EntryDate],DATE(2026,8,22),tblDaily[WardCode],"MW")),"")</f>
        <v/>
      </c>
      <c r="G301" s="12">
        <f>IFERROR(IF(SUMIFS(tblDaily[TransfersOut],tblDaily[EntryDate],DATE(2026,8,22),tblDaily[WardCode],"MW")=0,"",SUMIFS(tblDaily[TransfersOut],tblDaily[EntryDate],DATE(2026,8,22),tblDaily[WardCode],"MW")),"")</f>
        <v/>
      </c>
      <c r="H301" s="12">
        <f>IFERROR(IF(SUMIFS(tblDaily[Remaining],tblDaily[EntryDate],DATE(2026,8,22),tblDaily[WardCode],"MW")=0,"",SUMIFS(tblDaily[Remaining],tblDaily[EntryDate],DATE(2026,8,22),tblDaily[WardCode],"MW")),"")</f>
        <v/>
      </c>
    </row>
    <row r="302">
      <c r="A302" s="12" t="n">
        <v>23</v>
      </c>
      <c r="B302" s="12">
        <f>IFERROR(IF(SUMIFS(tblDaily[Admissions],tblDaily[EntryDate],DATE(2026,8,23),tblDaily[WardCode],"MW")=0,"",SUMIFS(tblDaily[Admissions],tblDaily[EntryDate],DATE(2026,8,23),tblDaily[WardCode],"MW")),"")</f>
        <v/>
      </c>
      <c r="C302" s="12">
        <f>IFERROR(IF(SUMIFS(tblDaily[Discharges],tblDaily[EntryDate],DATE(2026,8,23),tblDaily[WardCode],"MW")=0,"",SUMIFS(tblDaily[Discharges],tblDaily[EntryDate],DATE(2026,8,23),tblDaily[WardCode],"MW")),"")</f>
        <v/>
      </c>
      <c r="D302" s="12">
        <f>IFERROR(IF(SUMIFS(tblDaily[Deaths],tblDaily[EntryDate],DATE(2026,8,23),tblDaily[WardCode],"MW")=0,"",SUMIFS(tblDaily[Deaths],tblDaily[EntryDate],DATE(2026,8,23),tblDaily[WardCode],"MW")),"")</f>
        <v/>
      </c>
      <c r="E302" s="12">
        <f>IFERROR(IF(SUMIFS(tblDaily[DeathsUnder24Hrs],tblDaily[EntryDate],DATE(2026,8,23),tblDaily[WardCode],"MW")=0,"",SUMIFS(tblDaily[DeathsUnder24Hrs],tblDaily[EntryDate],DATE(2026,8,23),tblDaily[WardCode],"MW")),"")</f>
        <v/>
      </c>
      <c r="F302" s="12">
        <f>IFERROR(IF(SUMIFS(tblDaily[TransfersIn],tblDaily[EntryDate],DATE(2026,8,23),tblDaily[WardCode],"MW")=0,"",SUMIFS(tblDaily[TransfersIn],tblDaily[EntryDate],DATE(2026,8,23),tblDaily[WardCode],"MW")),"")</f>
        <v/>
      </c>
      <c r="G302" s="12">
        <f>IFERROR(IF(SUMIFS(tblDaily[TransfersOut],tblDaily[EntryDate],DATE(2026,8,23),tblDaily[WardCode],"MW")=0,"",SUMIFS(tblDaily[TransfersOut],tblDaily[EntryDate],DATE(2026,8,23),tblDaily[WardCode],"MW")),"")</f>
        <v/>
      </c>
      <c r="H302" s="12">
        <f>IFERROR(IF(SUMIFS(tblDaily[Remaining],tblDaily[EntryDate],DATE(2026,8,23),tblDaily[WardCode],"MW")=0,"",SUMIFS(tblDaily[Remaining],tblDaily[EntryDate],DATE(2026,8,23),tblDaily[WardCode],"MW")),"")</f>
        <v/>
      </c>
    </row>
    <row r="303">
      <c r="A303" s="12" t="n">
        <v>24</v>
      </c>
      <c r="B303" s="12">
        <f>IFERROR(IF(SUMIFS(tblDaily[Admissions],tblDaily[EntryDate],DATE(2026,8,24),tblDaily[WardCode],"MW")=0,"",SUMIFS(tblDaily[Admissions],tblDaily[EntryDate],DATE(2026,8,24),tblDaily[WardCode],"MW")),"")</f>
        <v/>
      </c>
      <c r="C303" s="12">
        <f>IFERROR(IF(SUMIFS(tblDaily[Discharges],tblDaily[EntryDate],DATE(2026,8,24),tblDaily[WardCode],"MW")=0,"",SUMIFS(tblDaily[Discharges],tblDaily[EntryDate],DATE(2026,8,24),tblDaily[WardCode],"MW")),"")</f>
        <v/>
      </c>
      <c r="D303" s="12">
        <f>IFERROR(IF(SUMIFS(tblDaily[Deaths],tblDaily[EntryDate],DATE(2026,8,24),tblDaily[WardCode],"MW")=0,"",SUMIFS(tblDaily[Deaths],tblDaily[EntryDate],DATE(2026,8,24),tblDaily[WardCode],"MW")),"")</f>
        <v/>
      </c>
      <c r="E303" s="12">
        <f>IFERROR(IF(SUMIFS(tblDaily[DeathsUnder24Hrs],tblDaily[EntryDate],DATE(2026,8,24),tblDaily[WardCode],"MW")=0,"",SUMIFS(tblDaily[DeathsUnder24Hrs],tblDaily[EntryDate],DATE(2026,8,24),tblDaily[WardCode],"MW")),"")</f>
        <v/>
      </c>
      <c r="F303" s="12">
        <f>IFERROR(IF(SUMIFS(tblDaily[TransfersIn],tblDaily[EntryDate],DATE(2026,8,24),tblDaily[WardCode],"MW")=0,"",SUMIFS(tblDaily[TransfersIn],tblDaily[EntryDate],DATE(2026,8,24),tblDaily[WardCode],"MW")),"")</f>
        <v/>
      </c>
      <c r="G303" s="12">
        <f>IFERROR(IF(SUMIFS(tblDaily[TransfersOut],tblDaily[EntryDate],DATE(2026,8,24),tblDaily[WardCode],"MW")=0,"",SUMIFS(tblDaily[TransfersOut],tblDaily[EntryDate],DATE(2026,8,24),tblDaily[WardCode],"MW")),"")</f>
        <v/>
      </c>
      <c r="H303" s="12">
        <f>IFERROR(IF(SUMIFS(tblDaily[Remaining],tblDaily[EntryDate],DATE(2026,8,24),tblDaily[WardCode],"MW")=0,"",SUMIFS(tblDaily[Remaining],tblDaily[EntryDate],DATE(2026,8,24),tblDaily[WardCode],"MW")),"")</f>
        <v/>
      </c>
    </row>
    <row r="304">
      <c r="A304" s="12" t="n">
        <v>25</v>
      </c>
      <c r="B304" s="12">
        <f>IFERROR(IF(SUMIFS(tblDaily[Admissions],tblDaily[EntryDate],DATE(2026,8,25),tblDaily[WardCode],"MW")=0,"",SUMIFS(tblDaily[Admissions],tblDaily[EntryDate],DATE(2026,8,25),tblDaily[WardCode],"MW")),"")</f>
        <v/>
      </c>
      <c r="C304" s="12">
        <f>IFERROR(IF(SUMIFS(tblDaily[Discharges],tblDaily[EntryDate],DATE(2026,8,25),tblDaily[WardCode],"MW")=0,"",SUMIFS(tblDaily[Discharges],tblDaily[EntryDate],DATE(2026,8,25),tblDaily[WardCode],"MW")),"")</f>
        <v/>
      </c>
      <c r="D304" s="12">
        <f>IFERROR(IF(SUMIFS(tblDaily[Deaths],tblDaily[EntryDate],DATE(2026,8,25),tblDaily[WardCode],"MW")=0,"",SUMIFS(tblDaily[Deaths],tblDaily[EntryDate],DATE(2026,8,25),tblDaily[WardCode],"MW")),"")</f>
        <v/>
      </c>
      <c r="E304" s="12">
        <f>IFERROR(IF(SUMIFS(tblDaily[DeathsUnder24Hrs],tblDaily[EntryDate],DATE(2026,8,25),tblDaily[WardCode],"MW")=0,"",SUMIFS(tblDaily[DeathsUnder24Hrs],tblDaily[EntryDate],DATE(2026,8,25),tblDaily[WardCode],"MW")),"")</f>
        <v/>
      </c>
      <c r="F304" s="12">
        <f>IFERROR(IF(SUMIFS(tblDaily[TransfersIn],tblDaily[EntryDate],DATE(2026,8,25),tblDaily[WardCode],"MW")=0,"",SUMIFS(tblDaily[TransfersIn],tblDaily[EntryDate],DATE(2026,8,25),tblDaily[WardCode],"MW")),"")</f>
        <v/>
      </c>
      <c r="G304" s="12">
        <f>IFERROR(IF(SUMIFS(tblDaily[TransfersOut],tblDaily[EntryDate],DATE(2026,8,25),tblDaily[WardCode],"MW")=0,"",SUMIFS(tblDaily[TransfersOut],tblDaily[EntryDate],DATE(2026,8,25),tblDaily[WardCode],"MW")),"")</f>
        <v/>
      </c>
      <c r="H304" s="12">
        <f>IFERROR(IF(SUMIFS(tblDaily[Remaining],tblDaily[EntryDate],DATE(2026,8,25),tblDaily[WardCode],"MW")=0,"",SUMIFS(tblDaily[Remaining],tblDaily[EntryDate],DATE(2026,8,25),tblDaily[WardCode],"MW")),"")</f>
        <v/>
      </c>
    </row>
    <row r="305">
      <c r="A305" s="12" t="n">
        <v>26</v>
      </c>
      <c r="B305" s="12">
        <f>IFERROR(IF(SUMIFS(tblDaily[Admissions],tblDaily[EntryDate],DATE(2026,8,26),tblDaily[WardCode],"MW")=0,"",SUMIFS(tblDaily[Admissions],tblDaily[EntryDate],DATE(2026,8,26),tblDaily[WardCode],"MW")),"")</f>
        <v/>
      </c>
      <c r="C305" s="12">
        <f>IFERROR(IF(SUMIFS(tblDaily[Discharges],tblDaily[EntryDate],DATE(2026,8,26),tblDaily[WardCode],"MW")=0,"",SUMIFS(tblDaily[Discharges],tblDaily[EntryDate],DATE(2026,8,26),tblDaily[WardCode],"MW")),"")</f>
        <v/>
      </c>
      <c r="D305" s="12">
        <f>IFERROR(IF(SUMIFS(tblDaily[Deaths],tblDaily[EntryDate],DATE(2026,8,26),tblDaily[WardCode],"MW")=0,"",SUMIFS(tblDaily[Deaths],tblDaily[EntryDate],DATE(2026,8,26),tblDaily[WardCode],"MW")),"")</f>
        <v/>
      </c>
      <c r="E305" s="12">
        <f>IFERROR(IF(SUMIFS(tblDaily[DeathsUnder24Hrs],tblDaily[EntryDate],DATE(2026,8,26),tblDaily[WardCode],"MW")=0,"",SUMIFS(tblDaily[DeathsUnder24Hrs],tblDaily[EntryDate],DATE(2026,8,26),tblDaily[WardCode],"MW")),"")</f>
        <v/>
      </c>
      <c r="F305" s="12">
        <f>IFERROR(IF(SUMIFS(tblDaily[TransfersIn],tblDaily[EntryDate],DATE(2026,8,26),tblDaily[WardCode],"MW")=0,"",SUMIFS(tblDaily[TransfersIn],tblDaily[EntryDate],DATE(2026,8,26),tblDaily[WardCode],"MW")),"")</f>
        <v/>
      </c>
      <c r="G305" s="12">
        <f>IFERROR(IF(SUMIFS(tblDaily[TransfersOut],tblDaily[EntryDate],DATE(2026,8,26),tblDaily[WardCode],"MW")=0,"",SUMIFS(tblDaily[TransfersOut],tblDaily[EntryDate],DATE(2026,8,26),tblDaily[WardCode],"MW")),"")</f>
        <v/>
      </c>
      <c r="H305" s="12">
        <f>IFERROR(IF(SUMIFS(tblDaily[Remaining],tblDaily[EntryDate],DATE(2026,8,26),tblDaily[WardCode],"MW")=0,"",SUMIFS(tblDaily[Remaining],tblDaily[EntryDate],DATE(2026,8,26),tblDaily[WardCode],"MW")),"")</f>
        <v/>
      </c>
    </row>
    <row r="306">
      <c r="A306" s="12" t="n">
        <v>27</v>
      </c>
      <c r="B306" s="12">
        <f>IFERROR(IF(SUMIFS(tblDaily[Admissions],tblDaily[EntryDate],DATE(2026,8,27),tblDaily[WardCode],"MW")=0,"",SUMIFS(tblDaily[Admissions],tblDaily[EntryDate],DATE(2026,8,27),tblDaily[WardCode],"MW")),"")</f>
        <v/>
      </c>
      <c r="C306" s="12">
        <f>IFERROR(IF(SUMIFS(tblDaily[Discharges],tblDaily[EntryDate],DATE(2026,8,27),tblDaily[WardCode],"MW")=0,"",SUMIFS(tblDaily[Discharges],tblDaily[EntryDate],DATE(2026,8,27),tblDaily[WardCode],"MW")),"")</f>
        <v/>
      </c>
      <c r="D306" s="12">
        <f>IFERROR(IF(SUMIFS(tblDaily[Deaths],tblDaily[EntryDate],DATE(2026,8,27),tblDaily[WardCode],"MW")=0,"",SUMIFS(tblDaily[Deaths],tblDaily[EntryDate],DATE(2026,8,27),tblDaily[WardCode],"MW")),"")</f>
        <v/>
      </c>
      <c r="E306" s="12">
        <f>IFERROR(IF(SUMIFS(tblDaily[DeathsUnder24Hrs],tblDaily[EntryDate],DATE(2026,8,27),tblDaily[WardCode],"MW")=0,"",SUMIFS(tblDaily[DeathsUnder24Hrs],tblDaily[EntryDate],DATE(2026,8,27),tblDaily[WardCode],"MW")),"")</f>
        <v/>
      </c>
      <c r="F306" s="12">
        <f>IFERROR(IF(SUMIFS(tblDaily[TransfersIn],tblDaily[EntryDate],DATE(2026,8,27),tblDaily[WardCode],"MW")=0,"",SUMIFS(tblDaily[TransfersIn],tblDaily[EntryDate],DATE(2026,8,27),tblDaily[WardCode],"MW")),"")</f>
        <v/>
      </c>
      <c r="G306" s="12">
        <f>IFERROR(IF(SUMIFS(tblDaily[TransfersOut],tblDaily[EntryDate],DATE(2026,8,27),tblDaily[WardCode],"MW")=0,"",SUMIFS(tblDaily[TransfersOut],tblDaily[EntryDate],DATE(2026,8,27),tblDaily[WardCode],"MW")),"")</f>
        <v/>
      </c>
      <c r="H306" s="12">
        <f>IFERROR(IF(SUMIFS(tblDaily[Remaining],tblDaily[EntryDate],DATE(2026,8,27),tblDaily[WardCode],"MW")=0,"",SUMIFS(tblDaily[Remaining],tblDaily[EntryDate],DATE(2026,8,27),tblDaily[WardCode],"MW")),"")</f>
        <v/>
      </c>
    </row>
    <row r="307">
      <c r="A307" s="12" t="n">
        <v>28</v>
      </c>
      <c r="B307" s="12">
        <f>IFERROR(IF(SUMIFS(tblDaily[Admissions],tblDaily[EntryDate],DATE(2026,8,28),tblDaily[WardCode],"MW")=0,"",SUMIFS(tblDaily[Admissions],tblDaily[EntryDate],DATE(2026,8,28),tblDaily[WardCode],"MW")),"")</f>
        <v/>
      </c>
      <c r="C307" s="12">
        <f>IFERROR(IF(SUMIFS(tblDaily[Discharges],tblDaily[EntryDate],DATE(2026,8,28),tblDaily[WardCode],"MW")=0,"",SUMIFS(tblDaily[Discharges],tblDaily[EntryDate],DATE(2026,8,28),tblDaily[WardCode],"MW")),"")</f>
        <v/>
      </c>
      <c r="D307" s="12">
        <f>IFERROR(IF(SUMIFS(tblDaily[Deaths],tblDaily[EntryDate],DATE(2026,8,28),tblDaily[WardCode],"MW")=0,"",SUMIFS(tblDaily[Deaths],tblDaily[EntryDate],DATE(2026,8,28),tblDaily[WardCode],"MW")),"")</f>
        <v/>
      </c>
      <c r="E307" s="12">
        <f>IFERROR(IF(SUMIFS(tblDaily[DeathsUnder24Hrs],tblDaily[EntryDate],DATE(2026,8,28),tblDaily[WardCode],"MW")=0,"",SUMIFS(tblDaily[DeathsUnder24Hrs],tblDaily[EntryDate],DATE(2026,8,28),tblDaily[WardCode],"MW")),"")</f>
        <v/>
      </c>
      <c r="F307" s="12">
        <f>IFERROR(IF(SUMIFS(tblDaily[TransfersIn],tblDaily[EntryDate],DATE(2026,8,28),tblDaily[WardCode],"MW")=0,"",SUMIFS(tblDaily[TransfersIn],tblDaily[EntryDate],DATE(2026,8,28),tblDaily[WardCode],"MW")),"")</f>
        <v/>
      </c>
      <c r="G307" s="12">
        <f>IFERROR(IF(SUMIFS(tblDaily[TransfersOut],tblDaily[EntryDate],DATE(2026,8,28),tblDaily[WardCode],"MW")=0,"",SUMIFS(tblDaily[TransfersOut],tblDaily[EntryDate],DATE(2026,8,28),tblDaily[WardCode],"MW")),"")</f>
        <v/>
      </c>
      <c r="H307" s="12">
        <f>IFERROR(IF(SUMIFS(tblDaily[Remaining],tblDaily[EntryDate],DATE(2026,8,28),tblDaily[WardCode],"MW")=0,"",SUMIFS(tblDaily[Remaining],tblDaily[EntryDate],DATE(2026,8,28),tblDaily[WardCode],"MW")),"")</f>
        <v/>
      </c>
    </row>
    <row r="308">
      <c r="A308" s="12" t="n">
        <v>29</v>
      </c>
      <c r="B308" s="12">
        <f>IFERROR(IF(SUMIFS(tblDaily[Admissions],tblDaily[EntryDate],DATE(2026,8,29),tblDaily[WardCode],"MW")=0,"",SUMIFS(tblDaily[Admissions],tblDaily[EntryDate],DATE(2026,8,29),tblDaily[WardCode],"MW")),"")</f>
        <v/>
      </c>
      <c r="C308" s="12">
        <f>IFERROR(IF(SUMIFS(tblDaily[Discharges],tblDaily[EntryDate],DATE(2026,8,29),tblDaily[WardCode],"MW")=0,"",SUMIFS(tblDaily[Discharges],tblDaily[EntryDate],DATE(2026,8,29),tblDaily[WardCode],"MW")),"")</f>
        <v/>
      </c>
      <c r="D308" s="12">
        <f>IFERROR(IF(SUMIFS(tblDaily[Deaths],tblDaily[EntryDate],DATE(2026,8,29),tblDaily[WardCode],"MW")=0,"",SUMIFS(tblDaily[Deaths],tblDaily[EntryDate],DATE(2026,8,29),tblDaily[WardCode],"MW")),"")</f>
        <v/>
      </c>
      <c r="E308" s="12">
        <f>IFERROR(IF(SUMIFS(tblDaily[DeathsUnder24Hrs],tblDaily[EntryDate],DATE(2026,8,29),tblDaily[WardCode],"MW")=0,"",SUMIFS(tblDaily[DeathsUnder24Hrs],tblDaily[EntryDate],DATE(2026,8,29),tblDaily[WardCode],"MW")),"")</f>
        <v/>
      </c>
      <c r="F308" s="12">
        <f>IFERROR(IF(SUMIFS(tblDaily[TransfersIn],tblDaily[EntryDate],DATE(2026,8,29),tblDaily[WardCode],"MW")=0,"",SUMIFS(tblDaily[TransfersIn],tblDaily[EntryDate],DATE(2026,8,29),tblDaily[WardCode],"MW")),"")</f>
        <v/>
      </c>
      <c r="G308" s="12">
        <f>IFERROR(IF(SUMIFS(tblDaily[TransfersOut],tblDaily[EntryDate],DATE(2026,8,29),tblDaily[WardCode],"MW")=0,"",SUMIFS(tblDaily[TransfersOut],tblDaily[EntryDate],DATE(2026,8,29),tblDaily[WardCode],"MW")),"")</f>
        <v/>
      </c>
      <c r="H308" s="12">
        <f>IFERROR(IF(SUMIFS(tblDaily[Remaining],tblDaily[EntryDate],DATE(2026,8,29),tblDaily[WardCode],"MW")=0,"",SUMIFS(tblDaily[Remaining],tblDaily[EntryDate],DATE(2026,8,29),tblDaily[WardCode],"MW")),"")</f>
        <v/>
      </c>
    </row>
    <row r="309">
      <c r="A309" s="12" t="n">
        <v>30</v>
      </c>
      <c r="B309" s="12">
        <f>IFERROR(IF(SUMIFS(tblDaily[Admissions],tblDaily[EntryDate],DATE(2026,8,30),tblDaily[WardCode],"MW")=0,"",SUMIFS(tblDaily[Admissions],tblDaily[EntryDate],DATE(2026,8,30),tblDaily[WardCode],"MW")),"")</f>
        <v/>
      </c>
      <c r="C309" s="12">
        <f>IFERROR(IF(SUMIFS(tblDaily[Discharges],tblDaily[EntryDate],DATE(2026,8,30),tblDaily[WardCode],"MW")=0,"",SUMIFS(tblDaily[Discharges],tblDaily[EntryDate],DATE(2026,8,30),tblDaily[WardCode],"MW")),"")</f>
        <v/>
      </c>
      <c r="D309" s="12">
        <f>IFERROR(IF(SUMIFS(tblDaily[Deaths],tblDaily[EntryDate],DATE(2026,8,30),tblDaily[WardCode],"MW")=0,"",SUMIFS(tblDaily[Deaths],tblDaily[EntryDate],DATE(2026,8,30),tblDaily[WardCode],"MW")),"")</f>
        <v/>
      </c>
      <c r="E309" s="12">
        <f>IFERROR(IF(SUMIFS(tblDaily[DeathsUnder24Hrs],tblDaily[EntryDate],DATE(2026,8,30),tblDaily[WardCode],"MW")=0,"",SUMIFS(tblDaily[DeathsUnder24Hrs],tblDaily[EntryDate],DATE(2026,8,30),tblDaily[WardCode],"MW")),"")</f>
        <v/>
      </c>
      <c r="F309" s="12">
        <f>IFERROR(IF(SUMIFS(tblDaily[TransfersIn],tblDaily[EntryDate],DATE(2026,8,30),tblDaily[WardCode],"MW")=0,"",SUMIFS(tblDaily[TransfersIn],tblDaily[EntryDate],DATE(2026,8,30),tblDaily[WardCode],"MW")),"")</f>
        <v/>
      </c>
      <c r="G309" s="12">
        <f>IFERROR(IF(SUMIFS(tblDaily[TransfersOut],tblDaily[EntryDate],DATE(2026,8,30),tblDaily[WardCode],"MW")=0,"",SUMIFS(tblDaily[TransfersOut],tblDaily[EntryDate],DATE(2026,8,30),tblDaily[WardCode],"MW")),"")</f>
        <v/>
      </c>
      <c r="H309" s="12">
        <f>IFERROR(IF(SUMIFS(tblDaily[Remaining],tblDaily[EntryDate],DATE(2026,8,30),tblDaily[WardCode],"MW")=0,"",SUMIFS(tblDaily[Remaining],tblDaily[EntryDate],DATE(2026,8,30),tblDaily[WardCode],"MW")),"")</f>
        <v/>
      </c>
    </row>
    <row r="310">
      <c r="A310" s="12" t="n">
        <v>31</v>
      </c>
      <c r="B310" s="12">
        <f>IFERROR(IF(SUMIFS(tblDaily[Admissions],tblDaily[EntryDate],DATE(2026,8,31),tblDaily[WardCode],"MW")=0,"",SUMIFS(tblDaily[Admissions],tblDaily[EntryDate],DATE(2026,8,31),tblDaily[WardCode],"MW")),"")</f>
        <v/>
      </c>
      <c r="C310" s="12">
        <f>IFERROR(IF(SUMIFS(tblDaily[Discharges],tblDaily[EntryDate],DATE(2026,8,31),tblDaily[WardCode],"MW")=0,"",SUMIFS(tblDaily[Discharges],tblDaily[EntryDate],DATE(2026,8,31),tblDaily[WardCode],"MW")),"")</f>
        <v/>
      </c>
      <c r="D310" s="12">
        <f>IFERROR(IF(SUMIFS(tblDaily[Deaths],tblDaily[EntryDate],DATE(2026,8,31),tblDaily[WardCode],"MW")=0,"",SUMIFS(tblDaily[Deaths],tblDaily[EntryDate],DATE(2026,8,31),tblDaily[WardCode],"MW")),"")</f>
        <v/>
      </c>
      <c r="E310" s="12">
        <f>IFERROR(IF(SUMIFS(tblDaily[DeathsUnder24Hrs],tblDaily[EntryDate],DATE(2026,8,31),tblDaily[WardCode],"MW")=0,"",SUMIFS(tblDaily[DeathsUnder24Hrs],tblDaily[EntryDate],DATE(2026,8,31),tblDaily[WardCode],"MW")),"")</f>
        <v/>
      </c>
      <c r="F310" s="12">
        <f>IFERROR(IF(SUMIFS(tblDaily[TransfersIn],tblDaily[EntryDate],DATE(2026,8,31),tblDaily[WardCode],"MW")=0,"",SUMIFS(tblDaily[TransfersIn],tblDaily[EntryDate],DATE(2026,8,31),tblDaily[WardCode],"MW")),"")</f>
        <v/>
      </c>
      <c r="G310" s="12">
        <f>IFERROR(IF(SUMIFS(tblDaily[TransfersOut],tblDaily[EntryDate],DATE(2026,8,31),tblDaily[WardCode],"MW")=0,"",SUMIFS(tblDaily[TransfersOut],tblDaily[EntryDate],DATE(2026,8,31),tblDaily[WardCode],"MW")),"")</f>
        <v/>
      </c>
      <c r="H310" s="12">
        <f>IFERROR(IF(SUMIFS(tblDaily[Remaining],tblDaily[EntryDate],DATE(2026,8,31),tblDaily[WardCode],"MW")=0,"",SUMIFS(tblDaily[Remaining],tblDaily[EntryDate],DATE(2026,8,31),tblDaily[WardCode],"MW")),"")</f>
        <v/>
      </c>
    </row>
    <row r="311">
      <c r="A311" s="17" t="inlineStr">
        <is>
          <t>TOTAL</t>
        </is>
      </c>
      <c r="B311" s="17">
        <f>SUMIFS(tblDaily[Admissions],tblDaily[Month],8,tblDaily[WardCode],"MW") - SUMIFS(tblDaily[DeathsUnder24Hrs],tblDaily[Month],8,tblDaily[WardCode],"MW")</f>
        <v/>
      </c>
      <c r="C311" s="17">
        <f>SUMIFS(tblDaily[Discharges],tblDaily[Month],8,tblDaily[WardCode],"MW")</f>
        <v/>
      </c>
      <c r="D311" s="17">
        <f>SUMIFS(tblDaily[Deaths],tblDaily[Month],8,tblDaily[WardCode],"MW")</f>
        <v/>
      </c>
      <c r="E311" s="17">
        <f>SUMIFS(tblDaily[DeathsUnder24Hrs],tblDaily[Month],8,tblDaily[WardCode],"MW")</f>
        <v/>
      </c>
      <c r="F311" s="17">
        <f>SUMIFS(tblDaily[TransfersIn],tblDaily[Month],8,tblDaily[WardCode],"MW")</f>
        <v/>
      </c>
      <c r="G311" s="17">
        <f>SUMIFS(tblDaily[TransfersOut],tblDaily[Month],8,tblDaily[WardCode],"MW")</f>
        <v/>
      </c>
      <c r="H311" s="17">
        <f>SUMIFS(tblDaily[Remaining],tblDaily[Month],8,tblDaily[WardCode],"MW")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MALE MEDICAL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4">
        <f>IFERROR(SUMIFS(tblDaily[Remaining],tblDaily[EntryDate],DATE(2026,8,31),tblDaily[WardCode],"MW"),0)</f>
        <v/>
      </c>
    </row>
    <row r="317">
      <c r="A317" s="4" t="inlineStr">
        <is>
          <t>Bed complement</t>
        </is>
      </c>
      <c r="H317" s="15">
        <f>IFERROR(INDEX(tblWardConfig[BedComplement],MATCH("MW",tblWardConfig[WardCode],0)),0)</f>
        <v/>
      </c>
    </row>
    <row r="318">
      <c r="A318" s="16" t="inlineStr">
        <is>
          <t>Day of
the
Month</t>
        </is>
      </c>
      <c r="B318" s="16" t="inlineStr">
        <is>
          <t>Admissions</t>
        </is>
      </c>
      <c r="C318" s="16" t="inlineStr">
        <is>
          <t>Discharges</t>
        </is>
      </c>
      <c r="D318" s="16" t="inlineStr">
        <is>
          <t>Deaths</t>
        </is>
      </c>
      <c r="E318" s="16" t="inlineStr">
        <is>
          <t>Deaths
&lt;24Hrs</t>
        </is>
      </c>
      <c r="F318" s="16" t="inlineStr">
        <is>
          <t>Transfers-
In</t>
        </is>
      </c>
      <c r="G318" s="16" t="inlineStr">
        <is>
          <t>Transfers-
Out</t>
        </is>
      </c>
      <c r="H318" s="16" t="inlineStr">
        <is>
          <t>No. of Patients
Remaining In
Ward</t>
        </is>
      </c>
    </row>
    <row r="319">
      <c r="A319" s="12" t="n">
        <v>1</v>
      </c>
      <c r="B319" s="12">
        <f>IFERROR(IF(SUMIFS(tblDaily[Admissions],tblDaily[EntryDate],DATE(2026,9,1),tblDaily[WardCode],"MW")=0,"",SUMIFS(tblDaily[Admissions],tblDaily[EntryDate],DATE(2026,9,1),tblDaily[WardCode],"MW")),"")</f>
        <v/>
      </c>
      <c r="C319" s="12">
        <f>IFERROR(IF(SUMIFS(tblDaily[Discharges],tblDaily[EntryDate],DATE(2026,9,1),tblDaily[WardCode],"MW")=0,"",SUMIFS(tblDaily[Discharges],tblDaily[EntryDate],DATE(2026,9,1),tblDaily[WardCode],"MW")),"")</f>
        <v/>
      </c>
      <c r="D319" s="12">
        <f>IFERROR(IF(SUMIFS(tblDaily[Deaths],tblDaily[EntryDate],DATE(2026,9,1),tblDaily[WardCode],"MW")=0,"",SUMIFS(tblDaily[Deaths],tblDaily[EntryDate],DATE(2026,9,1),tblDaily[WardCode],"MW")),"")</f>
        <v/>
      </c>
      <c r="E319" s="12">
        <f>IFERROR(IF(SUMIFS(tblDaily[DeathsUnder24Hrs],tblDaily[EntryDate],DATE(2026,9,1),tblDaily[WardCode],"MW")=0,"",SUMIFS(tblDaily[DeathsUnder24Hrs],tblDaily[EntryDate],DATE(2026,9,1),tblDaily[WardCode],"MW")),"")</f>
        <v/>
      </c>
      <c r="F319" s="12">
        <f>IFERROR(IF(SUMIFS(tblDaily[TransfersIn],tblDaily[EntryDate],DATE(2026,9,1),tblDaily[WardCode],"MW")=0,"",SUMIFS(tblDaily[TransfersIn],tblDaily[EntryDate],DATE(2026,9,1),tblDaily[WardCode],"MW")),"")</f>
        <v/>
      </c>
      <c r="G319" s="12">
        <f>IFERROR(IF(SUMIFS(tblDaily[TransfersOut],tblDaily[EntryDate],DATE(2026,9,1),tblDaily[WardCode],"MW")=0,"",SUMIFS(tblDaily[TransfersOut],tblDaily[EntryDate],DATE(2026,9,1),tblDaily[WardCode],"MW")),"")</f>
        <v/>
      </c>
      <c r="H319" s="12">
        <f>IFERROR(IF(SUMIFS(tblDaily[Remaining],tblDaily[EntryDate],DATE(2026,9,1),tblDaily[WardCode],"MW")=0,"",SUMIFS(tblDaily[Remaining],tblDaily[EntryDate],DATE(2026,9,1),tblDaily[WardCode],"MW")),"")</f>
        <v/>
      </c>
    </row>
    <row r="320">
      <c r="A320" s="12" t="n">
        <v>2</v>
      </c>
      <c r="B320" s="12">
        <f>IFERROR(IF(SUMIFS(tblDaily[Admissions],tblDaily[EntryDate],DATE(2026,9,2),tblDaily[WardCode],"MW")=0,"",SUMIFS(tblDaily[Admissions],tblDaily[EntryDate],DATE(2026,9,2),tblDaily[WardCode],"MW")),"")</f>
        <v/>
      </c>
      <c r="C320" s="12">
        <f>IFERROR(IF(SUMIFS(tblDaily[Discharges],tblDaily[EntryDate],DATE(2026,9,2),tblDaily[WardCode],"MW")=0,"",SUMIFS(tblDaily[Discharges],tblDaily[EntryDate],DATE(2026,9,2),tblDaily[WardCode],"MW")),"")</f>
        <v/>
      </c>
      <c r="D320" s="12">
        <f>IFERROR(IF(SUMIFS(tblDaily[Deaths],tblDaily[EntryDate],DATE(2026,9,2),tblDaily[WardCode],"MW")=0,"",SUMIFS(tblDaily[Deaths],tblDaily[EntryDate],DATE(2026,9,2),tblDaily[WardCode],"MW")),"")</f>
        <v/>
      </c>
      <c r="E320" s="12">
        <f>IFERROR(IF(SUMIFS(tblDaily[DeathsUnder24Hrs],tblDaily[EntryDate],DATE(2026,9,2),tblDaily[WardCode],"MW")=0,"",SUMIFS(tblDaily[DeathsUnder24Hrs],tblDaily[EntryDate],DATE(2026,9,2),tblDaily[WardCode],"MW")),"")</f>
        <v/>
      </c>
      <c r="F320" s="12">
        <f>IFERROR(IF(SUMIFS(tblDaily[TransfersIn],tblDaily[EntryDate],DATE(2026,9,2),tblDaily[WardCode],"MW")=0,"",SUMIFS(tblDaily[TransfersIn],tblDaily[EntryDate],DATE(2026,9,2),tblDaily[WardCode],"MW")),"")</f>
        <v/>
      </c>
      <c r="G320" s="12">
        <f>IFERROR(IF(SUMIFS(tblDaily[TransfersOut],tblDaily[EntryDate],DATE(2026,9,2),tblDaily[WardCode],"MW")=0,"",SUMIFS(tblDaily[TransfersOut],tblDaily[EntryDate],DATE(2026,9,2),tblDaily[WardCode],"MW")),"")</f>
        <v/>
      </c>
      <c r="H320" s="12">
        <f>IFERROR(IF(SUMIFS(tblDaily[Remaining],tblDaily[EntryDate],DATE(2026,9,2),tblDaily[WardCode],"MW")=0,"",SUMIFS(tblDaily[Remaining],tblDaily[EntryDate],DATE(2026,9,2),tblDaily[WardCode],"MW")),"")</f>
        <v/>
      </c>
    </row>
    <row r="321">
      <c r="A321" s="12" t="n">
        <v>3</v>
      </c>
      <c r="B321" s="12">
        <f>IFERROR(IF(SUMIFS(tblDaily[Admissions],tblDaily[EntryDate],DATE(2026,9,3),tblDaily[WardCode],"MW")=0,"",SUMIFS(tblDaily[Admissions],tblDaily[EntryDate],DATE(2026,9,3),tblDaily[WardCode],"MW")),"")</f>
        <v/>
      </c>
      <c r="C321" s="12">
        <f>IFERROR(IF(SUMIFS(tblDaily[Discharges],tblDaily[EntryDate],DATE(2026,9,3),tblDaily[WardCode],"MW")=0,"",SUMIFS(tblDaily[Discharges],tblDaily[EntryDate],DATE(2026,9,3),tblDaily[WardCode],"MW")),"")</f>
        <v/>
      </c>
      <c r="D321" s="12">
        <f>IFERROR(IF(SUMIFS(tblDaily[Deaths],tblDaily[EntryDate],DATE(2026,9,3),tblDaily[WardCode],"MW")=0,"",SUMIFS(tblDaily[Deaths],tblDaily[EntryDate],DATE(2026,9,3),tblDaily[WardCode],"MW")),"")</f>
        <v/>
      </c>
      <c r="E321" s="12">
        <f>IFERROR(IF(SUMIFS(tblDaily[DeathsUnder24Hrs],tblDaily[EntryDate],DATE(2026,9,3),tblDaily[WardCode],"MW")=0,"",SUMIFS(tblDaily[DeathsUnder24Hrs],tblDaily[EntryDate],DATE(2026,9,3),tblDaily[WardCode],"MW")),"")</f>
        <v/>
      </c>
      <c r="F321" s="12">
        <f>IFERROR(IF(SUMIFS(tblDaily[TransfersIn],tblDaily[EntryDate],DATE(2026,9,3),tblDaily[WardCode],"MW")=0,"",SUMIFS(tblDaily[TransfersIn],tblDaily[EntryDate],DATE(2026,9,3),tblDaily[WardCode],"MW")),"")</f>
        <v/>
      </c>
      <c r="G321" s="12">
        <f>IFERROR(IF(SUMIFS(tblDaily[TransfersOut],tblDaily[EntryDate],DATE(2026,9,3),tblDaily[WardCode],"MW")=0,"",SUMIFS(tblDaily[TransfersOut],tblDaily[EntryDate],DATE(2026,9,3),tblDaily[WardCode],"MW")),"")</f>
        <v/>
      </c>
      <c r="H321" s="12">
        <f>IFERROR(IF(SUMIFS(tblDaily[Remaining],tblDaily[EntryDate],DATE(2026,9,3),tblDaily[WardCode],"MW")=0,"",SUMIFS(tblDaily[Remaining],tblDaily[EntryDate],DATE(2026,9,3),tblDaily[WardCode],"MW")),"")</f>
        <v/>
      </c>
    </row>
    <row r="322">
      <c r="A322" s="12" t="n">
        <v>4</v>
      </c>
      <c r="B322" s="12">
        <f>IFERROR(IF(SUMIFS(tblDaily[Admissions],tblDaily[EntryDate],DATE(2026,9,4),tblDaily[WardCode],"MW")=0,"",SUMIFS(tblDaily[Admissions],tblDaily[EntryDate],DATE(2026,9,4),tblDaily[WardCode],"MW")),"")</f>
        <v/>
      </c>
      <c r="C322" s="12">
        <f>IFERROR(IF(SUMIFS(tblDaily[Discharges],tblDaily[EntryDate],DATE(2026,9,4),tblDaily[WardCode],"MW")=0,"",SUMIFS(tblDaily[Discharges],tblDaily[EntryDate],DATE(2026,9,4),tblDaily[WardCode],"MW")),"")</f>
        <v/>
      </c>
      <c r="D322" s="12">
        <f>IFERROR(IF(SUMIFS(tblDaily[Deaths],tblDaily[EntryDate],DATE(2026,9,4),tblDaily[WardCode],"MW")=0,"",SUMIFS(tblDaily[Deaths],tblDaily[EntryDate],DATE(2026,9,4),tblDaily[WardCode],"MW")),"")</f>
        <v/>
      </c>
      <c r="E322" s="12">
        <f>IFERROR(IF(SUMIFS(tblDaily[DeathsUnder24Hrs],tblDaily[EntryDate],DATE(2026,9,4),tblDaily[WardCode],"MW")=0,"",SUMIFS(tblDaily[DeathsUnder24Hrs],tblDaily[EntryDate],DATE(2026,9,4),tblDaily[WardCode],"MW")),"")</f>
        <v/>
      </c>
      <c r="F322" s="12">
        <f>IFERROR(IF(SUMIFS(tblDaily[TransfersIn],tblDaily[EntryDate],DATE(2026,9,4),tblDaily[WardCode],"MW")=0,"",SUMIFS(tblDaily[TransfersIn],tblDaily[EntryDate],DATE(2026,9,4),tblDaily[WardCode],"MW")),"")</f>
        <v/>
      </c>
      <c r="G322" s="12">
        <f>IFERROR(IF(SUMIFS(tblDaily[TransfersOut],tblDaily[EntryDate],DATE(2026,9,4),tblDaily[WardCode],"MW")=0,"",SUMIFS(tblDaily[TransfersOut],tblDaily[EntryDate],DATE(2026,9,4),tblDaily[WardCode],"MW")),"")</f>
        <v/>
      </c>
      <c r="H322" s="12">
        <f>IFERROR(IF(SUMIFS(tblDaily[Remaining],tblDaily[EntryDate],DATE(2026,9,4),tblDaily[WardCode],"MW")=0,"",SUMIFS(tblDaily[Remaining],tblDaily[EntryDate],DATE(2026,9,4),tblDaily[WardCode],"MW")),"")</f>
        <v/>
      </c>
    </row>
    <row r="323">
      <c r="A323" s="12" t="n">
        <v>5</v>
      </c>
      <c r="B323" s="12">
        <f>IFERROR(IF(SUMIFS(tblDaily[Admissions],tblDaily[EntryDate],DATE(2026,9,5),tblDaily[WardCode],"MW")=0,"",SUMIFS(tblDaily[Admissions],tblDaily[EntryDate],DATE(2026,9,5),tblDaily[WardCode],"MW")),"")</f>
        <v/>
      </c>
      <c r="C323" s="12">
        <f>IFERROR(IF(SUMIFS(tblDaily[Discharges],tblDaily[EntryDate],DATE(2026,9,5),tblDaily[WardCode],"MW")=0,"",SUMIFS(tblDaily[Discharges],tblDaily[EntryDate],DATE(2026,9,5),tblDaily[WardCode],"MW")),"")</f>
        <v/>
      </c>
      <c r="D323" s="12">
        <f>IFERROR(IF(SUMIFS(tblDaily[Deaths],tblDaily[EntryDate],DATE(2026,9,5),tblDaily[WardCode],"MW")=0,"",SUMIFS(tblDaily[Deaths],tblDaily[EntryDate],DATE(2026,9,5),tblDaily[WardCode],"MW")),"")</f>
        <v/>
      </c>
      <c r="E323" s="12">
        <f>IFERROR(IF(SUMIFS(tblDaily[DeathsUnder24Hrs],tblDaily[EntryDate],DATE(2026,9,5),tblDaily[WardCode],"MW")=0,"",SUMIFS(tblDaily[DeathsUnder24Hrs],tblDaily[EntryDate],DATE(2026,9,5),tblDaily[WardCode],"MW")),"")</f>
        <v/>
      </c>
      <c r="F323" s="12">
        <f>IFERROR(IF(SUMIFS(tblDaily[TransfersIn],tblDaily[EntryDate],DATE(2026,9,5),tblDaily[WardCode],"MW")=0,"",SUMIFS(tblDaily[TransfersIn],tblDaily[EntryDate],DATE(2026,9,5),tblDaily[WardCode],"MW")),"")</f>
        <v/>
      </c>
      <c r="G323" s="12">
        <f>IFERROR(IF(SUMIFS(tblDaily[TransfersOut],tblDaily[EntryDate],DATE(2026,9,5),tblDaily[WardCode],"MW")=0,"",SUMIFS(tblDaily[TransfersOut],tblDaily[EntryDate],DATE(2026,9,5),tblDaily[WardCode],"MW")),"")</f>
        <v/>
      </c>
      <c r="H323" s="12">
        <f>IFERROR(IF(SUMIFS(tblDaily[Remaining],tblDaily[EntryDate],DATE(2026,9,5),tblDaily[WardCode],"MW")=0,"",SUMIFS(tblDaily[Remaining],tblDaily[EntryDate],DATE(2026,9,5),tblDaily[WardCode],"MW")),"")</f>
        <v/>
      </c>
    </row>
    <row r="324">
      <c r="A324" s="12" t="n">
        <v>6</v>
      </c>
      <c r="B324" s="12">
        <f>IFERROR(IF(SUMIFS(tblDaily[Admissions],tblDaily[EntryDate],DATE(2026,9,6),tblDaily[WardCode],"MW")=0,"",SUMIFS(tblDaily[Admissions],tblDaily[EntryDate],DATE(2026,9,6),tblDaily[WardCode],"MW")),"")</f>
        <v/>
      </c>
      <c r="C324" s="12">
        <f>IFERROR(IF(SUMIFS(tblDaily[Discharges],tblDaily[EntryDate],DATE(2026,9,6),tblDaily[WardCode],"MW")=0,"",SUMIFS(tblDaily[Discharges],tblDaily[EntryDate],DATE(2026,9,6),tblDaily[WardCode],"MW")),"")</f>
        <v/>
      </c>
      <c r="D324" s="12">
        <f>IFERROR(IF(SUMIFS(tblDaily[Deaths],tblDaily[EntryDate],DATE(2026,9,6),tblDaily[WardCode],"MW")=0,"",SUMIFS(tblDaily[Deaths],tblDaily[EntryDate],DATE(2026,9,6),tblDaily[WardCode],"MW")),"")</f>
        <v/>
      </c>
      <c r="E324" s="12">
        <f>IFERROR(IF(SUMIFS(tblDaily[DeathsUnder24Hrs],tblDaily[EntryDate],DATE(2026,9,6),tblDaily[WardCode],"MW")=0,"",SUMIFS(tblDaily[DeathsUnder24Hrs],tblDaily[EntryDate],DATE(2026,9,6),tblDaily[WardCode],"MW")),"")</f>
        <v/>
      </c>
      <c r="F324" s="12">
        <f>IFERROR(IF(SUMIFS(tblDaily[TransfersIn],tblDaily[EntryDate],DATE(2026,9,6),tblDaily[WardCode],"MW")=0,"",SUMIFS(tblDaily[TransfersIn],tblDaily[EntryDate],DATE(2026,9,6),tblDaily[WardCode],"MW")),"")</f>
        <v/>
      </c>
      <c r="G324" s="12">
        <f>IFERROR(IF(SUMIFS(tblDaily[TransfersOut],tblDaily[EntryDate],DATE(2026,9,6),tblDaily[WardCode],"MW")=0,"",SUMIFS(tblDaily[TransfersOut],tblDaily[EntryDate],DATE(2026,9,6),tblDaily[WardCode],"MW")),"")</f>
        <v/>
      </c>
      <c r="H324" s="12">
        <f>IFERROR(IF(SUMIFS(tblDaily[Remaining],tblDaily[EntryDate],DATE(2026,9,6),tblDaily[WardCode],"MW")=0,"",SUMIFS(tblDaily[Remaining],tblDaily[EntryDate],DATE(2026,9,6),tblDaily[WardCode],"MW")),"")</f>
        <v/>
      </c>
    </row>
    <row r="325">
      <c r="A325" s="12" t="n">
        <v>7</v>
      </c>
      <c r="B325" s="12">
        <f>IFERROR(IF(SUMIFS(tblDaily[Admissions],tblDaily[EntryDate],DATE(2026,9,7),tblDaily[WardCode],"MW")=0,"",SUMIFS(tblDaily[Admissions],tblDaily[EntryDate],DATE(2026,9,7),tblDaily[WardCode],"MW")),"")</f>
        <v/>
      </c>
      <c r="C325" s="12">
        <f>IFERROR(IF(SUMIFS(tblDaily[Discharges],tblDaily[EntryDate],DATE(2026,9,7),tblDaily[WardCode],"MW")=0,"",SUMIFS(tblDaily[Discharges],tblDaily[EntryDate],DATE(2026,9,7),tblDaily[WardCode],"MW")),"")</f>
        <v/>
      </c>
      <c r="D325" s="12">
        <f>IFERROR(IF(SUMIFS(tblDaily[Deaths],tblDaily[EntryDate],DATE(2026,9,7),tblDaily[WardCode],"MW")=0,"",SUMIFS(tblDaily[Deaths],tblDaily[EntryDate],DATE(2026,9,7),tblDaily[WardCode],"MW")),"")</f>
        <v/>
      </c>
      <c r="E325" s="12">
        <f>IFERROR(IF(SUMIFS(tblDaily[DeathsUnder24Hrs],tblDaily[EntryDate],DATE(2026,9,7),tblDaily[WardCode],"MW")=0,"",SUMIFS(tblDaily[DeathsUnder24Hrs],tblDaily[EntryDate],DATE(2026,9,7),tblDaily[WardCode],"MW")),"")</f>
        <v/>
      </c>
      <c r="F325" s="12">
        <f>IFERROR(IF(SUMIFS(tblDaily[TransfersIn],tblDaily[EntryDate],DATE(2026,9,7),tblDaily[WardCode],"MW")=0,"",SUMIFS(tblDaily[TransfersIn],tblDaily[EntryDate],DATE(2026,9,7),tblDaily[WardCode],"MW")),"")</f>
        <v/>
      </c>
      <c r="G325" s="12">
        <f>IFERROR(IF(SUMIFS(tblDaily[TransfersOut],tblDaily[EntryDate],DATE(2026,9,7),tblDaily[WardCode],"MW")=0,"",SUMIFS(tblDaily[TransfersOut],tblDaily[EntryDate],DATE(2026,9,7),tblDaily[WardCode],"MW")),"")</f>
        <v/>
      </c>
      <c r="H325" s="12">
        <f>IFERROR(IF(SUMIFS(tblDaily[Remaining],tblDaily[EntryDate],DATE(2026,9,7),tblDaily[WardCode],"MW")=0,"",SUMIFS(tblDaily[Remaining],tblDaily[EntryDate],DATE(2026,9,7),tblDaily[WardCode],"MW")),"")</f>
        <v/>
      </c>
    </row>
    <row r="326">
      <c r="A326" s="12" t="n">
        <v>8</v>
      </c>
      <c r="B326" s="12">
        <f>IFERROR(IF(SUMIFS(tblDaily[Admissions],tblDaily[EntryDate],DATE(2026,9,8),tblDaily[WardCode],"MW")=0,"",SUMIFS(tblDaily[Admissions],tblDaily[EntryDate],DATE(2026,9,8),tblDaily[WardCode],"MW")),"")</f>
        <v/>
      </c>
      <c r="C326" s="12">
        <f>IFERROR(IF(SUMIFS(tblDaily[Discharges],tblDaily[EntryDate],DATE(2026,9,8),tblDaily[WardCode],"MW")=0,"",SUMIFS(tblDaily[Discharges],tblDaily[EntryDate],DATE(2026,9,8),tblDaily[WardCode],"MW")),"")</f>
        <v/>
      </c>
      <c r="D326" s="12">
        <f>IFERROR(IF(SUMIFS(tblDaily[Deaths],tblDaily[EntryDate],DATE(2026,9,8),tblDaily[WardCode],"MW")=0,"",SUMIFS(tblDaily[Deaths],tblDaily[EntryDate],DATE(2026,9,8),tblDaily[WardCode],"MW")),"")</f>
        <v/>
      </c>
      <c r="E326" s="12">
        <f>IFERROR(IF(SUMIFS(tblDaily[DeathsUnder24Hrs],tblDaily[EntryDate],DATE(2026,9,8),tblDaily[WardCode],"MW")=0,"",SUMIFS(tblDaily[DeathsUnder24Hrs],tblDaily[EntryDate],DATE(2026,9,8),tblDaily[WardCode],"MW")),"")</f>
        <v/>
      </c>
      <c r="F326" s="12">
        <f>IFERROR(IF(SUMIFS(tblDaily[TransfersIn],tblDaily[EntryDate],DATE(2026,9,8),tblDaily[WardCode],"MW")=0,"",SUMIFS(tblDaily[TransfersIn],tblDaily[EntryDate],DATE(2026,9,8),tblDaily[WardCode],"MW")),"")</f>
        <v/>
      </c>
      <c r="G326" s="12">
        <f>IFERROR(IF(SUMIFS(tblDaily[TransfersOut],tblDaily[EntryDate],DATE(2026,9,8),tblDaily[WardCode],"MW")=0,"",SUMIFS(tblDaily[TransfersOut],tblDaily[EntryDate],DATE(2026,9,8),tblDaily[WardCode],"MW")),"")</f>
        <v/>
      </c>
      <c r="H326" s="12">
        <f>IFERROR(IF(SUMIFS(tblDaily[Remaining],tblDaily[EntryDate],DATE(2026,9,8),tblDaily[WardCode],"MW")=0,"",SUMIFS(tblDaily[Remaining],tblDaily[EntryDate],DATE(2026,9,8),tblDaily[WardCode],"MW")),"")</f>
        <v/>
      </c>
    </row>
    <row r="327">
      <c r="A327" s="12" t="n">
        <v>9</v>
      </c>
      <c r="B327" s="12">
        <f>IFERROR(IF(SUMIFS(tblDaily[Admissions],tblDaily[EntryDate],DATE(2026,9,9),tblDaily[WardCode],"MW")=0,"",SUMIFS(tblDaily[Admissions],tblDaily[EntryDate],DATE(2026,9,9),tblDaily[WardCode],"MW")),"")</f>
        <v/>
      </c>
      <c r="C327" s="12">
        <f>IFERROR(IF(SUMIFS(tblDaily[Discharges],tblDaily[EntryDate],DATE(2026,9,9),tblDaily[WardCode],"MW")=0,"",SUMIFS(tblDaily[Discharges],tblDaily[EntryDate],DATE(2026,9,9),tblDaily[WardCode],"MW")),"")</f>
        <v/>
      </c>
      <c r="D327" s="12">
        <f>IFERROR(IF(SUMIFS(tblDaily[Deaths],tblDaily[EntryDate],DATE(2026,9,9),tblDaily[WardCode],"MW")=0,"",SUMIFS(tblDaily[Deaths],tblDaily[EntryDate],DATE(2026,9,9),tblDaily[WardCode],"MW")),"")</f>
        <v/>
      </c>
      <c r="E327" s="12">
        <f>IFERROR(IF(SUMIFS(tblDaily[DeathsUnder24Hrs],tblDaily[EntryDate],DATE(2026,9,9),tblDaily[WardCode],"MW")=0,"",SUMIFS(tblDaily[DeathsUnder24Hrs],tblDaily[EntryDate],DATE(2026,9,9),tblDaily[WardCode],"MW")),"")</f>
        <v/>
      </c>
      <c r="F327" s="12">
        <f>IFERROR(IF(SUMIFS(tblDaily[TransfersIn],tblDaily[EntryDate],DATE(2026,9,9),tblDaily[WardCode],"MW")=0,"",SUMIFS(tblDaily[TransfersIn],tblDaily[EntryDate],DATE(2026,9,9),tblDaily[WardCode],"MW")),"")</f>
        <v/>
      </c>
      <c r="G327" s="12">
        <f>IFERROR(IF(SUMIFS(tblDaily[TransfersOut],tblDaily[EntryDate],DATE(2026,9,9),tblDaily[WardCode],"MW")=0,"",SUMIFS(tblDaily[TransfersOut],tblDaily[EntryDate],DATE(2026,9,9),tblDaily[WardCode],"MW")),"")</f>
        <v/>
      </c>
      <c r="H327" s="12">
        <f>IFERROR(IF(SUMIFS(tblDaily[Remaining],tblDaily[EntryDate],DATE(2026,9,9),tblDaily[WardCode],"MW")=0,"",SUMIFS(tblDaily[Remaining],tblDaily[EntryDate],DATE(2026,9,9),tblDaily[WardCode],"MW")),"")</f>
        <v/>
      </c>
    </row>
    <row r="328">
      <c r="A328" s="12" t="n">
        <v>10</v>
      </c>
      <c r="B328" s="12">
        <f>IFERROR(IF(SUMIFS(tblDaily[Admissions],tblDaily[EntryDate],DATE(2026,9,10),tblDaily[WardCode],"MW")=0,"",SUMIFS(tblDaily[Admissions],tblDaily[EntryDate],DATE(2026,9,10),tblDaily[WardCode],"MW")),"")</f>
        <v/>
      </c>
      <c r="C328" s="12">
        <f>IFERROR(IF(SUMIFS(tblDaily[Discharges],tblDaily[EntryDate],DATE(2026,9,10),tblDaily[WardCode],"MW")=0,"",SUMIFS(tblDaily[Discharges],tblDaily[EntryDate],DATE(2026,9,10),tblDaily[WardCode],"MW")),"")</f>
        <v/>
      </c>
      <c r="D328" s="12">
        <f>IFERROR(IF(SUMIFS(tblDaily[Deaths],tblDaily[EntryDate],DATE(2026,9,10),tblDaily[WardCode],"MW")=0,"",SUMIFS(tblDaily[Deaths],tblDaily[EntryDate],DATE(2026,9,10),tblDaily[WardCode],"MW")),"")</f>
        <v/>
      </c>
      <c r="E328" s="12">
        <f>IFERROR(IF(SUMIFS(tblDaily[DeathsUnder24Hrs],tblDaily[EntryDate],DATE(2026,9,10),tblDaily[WardCode],"MW")=0,"",SUMIFS(tblDaily[DeathsUnder24Hrs],tblDaily[EntryDate],DATE(2026,9,10),tblDaily[WardCode],"MW")),"")</f>
        <v/>
      </c>
      <c r="F328" s="12">
        <f>IFERROR(IF(SUMIFS(tblDaily[TransfersIn],tblDaily[EntryDate],DATE(2026,9,10),tblDaily[WardCode],"MW")=0,"",SUMIFS(tblDaily[TransfersIn],tblDaily[EntryDate],DATE(2026,9,10),tblDaily[WardCode],"MW")),"")</f>
        <v/>
      </c>
      <c r="G328" s="12">
        <f>IFERROR(IF(SUMIFS(tblDaily[TransfersOut],tblDaily[EntryDate],DATE(2026,9,10),tblDaily[WardCode],"MW")=0,"",SUMIFS(tblDaily[TransfersOut],tblDaily[EntryDate],DATE(2026,9,10),tblDaily[WardCode],"MW")),"")</f>
        <v/>
      </c>
      <c r="H328" s="12">
        <f>IFERROR(IF(SUMIFS(tblDaily[Remaining],tblDaily[EntryDate],DATE(2026,9,10),tblDaily[WardCode],"MW")=0,"",SUMIFS(tblDaily[Remaining],tblDaily[EntryDate],DATE(2026,9,10),tblDaily[WardCode],"MW")),"")</f>
        <v/>
      </c>
    </row>
    <row r="329">
      <c r="A329" s="12" t="n">
        <v>11</v>
      </c>
      <c r="B329" s="12">
        <f>IFERROR(IF(SUMIFS(tblDaily[Admissions],tblDaily[EntryDate],DATE(2026,9,11),tblDaily[WardCode],"MW")=0,"",SUMIFS(tblDaily[Admissions],tblDaily[EntryDate],DATE(2026,9,11),tblDaily[WardCode],"MW")),"")</f>
        <v/>
      </c>
      <c r="C329" s="12">
        <f>IFERROR(IF(SUMIFS(tblDaily[Discharges],tblDaily[EntryDate],DATE(2026,9,11),tblDaily[WardCode],"MW")=0,"",SUMIFS(tblDaily[Discharges],tblDaily[EntryDate],DATE(2026,9,11),tblDaily[WardCode],"MW")),"")</f>
        <v/>
      </c>
      <c r="D329" s="12">
        <f>IFERROR(IF(SUMIFS(tblDaily[Deaths],tblDaily[EntryDate],DATE(2026,9,11),tblDaily[WardCode],"MW")=0,"",SUMIFS(tblDaily[Deaths],tblDaily[EntryDate],DATE(2026,9,11),tblDaily[WardCode],"MW")),"")</f>
        <v/>
      </c>
      <c r="E329" s="12">
        <f>IFERROR(IF(SUMIFS(tblDaily[DeathsUnder24Hrs],tblDaily[EntryDate],DATE(2026,9,11),tblDaily[WardCode],"MW")=0,"",SUMIFS(tblDaily[DeathsUnder24Hrs],tblDaily[EntryDate],DATE(2026,9,11),tblDaily[WardCode],"MW")),"")</f>
        <v/>
      </c>
      <c r="F329" s="12">
        <f>IFERROR(IF(SUMIFS(tblDaily[TransfersIn],tblDaily[EntryDate],DATE(2026,9,11),tblDaily[WardCode],"MW")=0,"",SUMIFS(tblDaily[TransfersIn],tblDaily[EntryDate],DATE(2026,9,11),tblDaily[WardCode],"MW")),"")</f>
        <v/>
      </c>
      <c r="G329" s="12">
        <f>IFERROR(IF(SUMIFS(tblDaily[TransfersOut],tblDaily[EntryDate],DATE(2026,9,11),tblDaily[WardCode],"MW")=0,"",SUMIFS(tblDaily[TransfersOut],tblDaily[EntryDate],DATE(2026,9,11),tblDaily[WardCode],"MW")),"")</f>
        <v/>
      </c>
      <c r="H329" s="12">
        <f>IFERROR(IF(SUMIFS(tblDaily[Remaining],tblDaily[EntryDate],DATE(2026,9,11),tblDaily[WardCode],"MW")=0,"",SUMIFS(tblDaily[Remaining],tblDaily[EntryDate],DATE(2026,9,11),tblDaily[WardCode],"MW")),"")</f>
        <v/>
      </c>
    </row>
    <row r="330">
      <c r="A330" s="12" t="n">
        <v>12</v>
      </c>
      <c r="B330" s="12">
        <f>IFERROR(IF(SUMIFS(tblDaily[Admissions],tblDaily[EntryDate],DATE(2026,9,12),tblDaily[WardCode],"MW")=0,"",SUMIFS(tblDaily[Admissions],tblDaily[EntryDate],DATE(2026,9,12),tblDaily[WardCode],"MW")),"")</f>
        <v/>
      </c>
      <c r="C330" s="12">
        <f>IFERROR(IF(SUMIFS(tblDaily[Discharges],tblDaily[EntryDate],DATE(2026,9,12),tblDaily[WardCode],"MW")=0,"",SUMIFS(tblDaily[Discharges],tblDaily[EntryDate],DATE(2026,9,12),tblDaily[WardCode],"MW")),"")</f>
        <v/>
      </c>
      <c r="D330" s="12">
        <f>IFERROR(IF(SUMIFS(tblDaily[Deaths],tblDaily[EntryDate],DATE(2026,9,12),tblDaily[WardCode],"MW")=0,"",SUMIFS(tblDaily[Deaths],tblDaily[EntryDate],DATE(2026,9,12),tblDaily[WardCode],"MW")),"")</f>
        <v/>
      </c>
      <c r="E330" s="12">
        <f>IFERROR(IF(SUMIFS(tblDaily[DeathsUnder24Hrs],tblDaily[EntryDate],DATE(2026,9,12),tblDaily[WardCode],"MW")=0,"",SUMIFS(tblDaily[DeathsUnder24Hrs],tblDaily[EntryDate],DATE(2026,9,12),tblDaily[WardCode],"MW")),"")</f>
        <v/>
      </c>
      <c r="F330" s="12">
        <f>IFERROR(IF(SUMIFS(tblDaily[TransfersIn],tblDaily[EntryDate],DATE(2026,9,12),tblDaily[WardCode],"MW")=0,"",SUMIFS(tblDaily[TransfersIn],tblDaily[EntryDate],DATE(2026,9,12),tblDaily[WardCode],"MW")),"")</f>
        <v/>
      </c>
      <c r="G330" s="12">
        <f>IFERROR(IF(SUMIFS(tblDaily[TransfersOut],tblDaily[EntryDate],DATE(2026,9,12),tblDaily[WardCode],"MW")=0,"",SUMIFS(tblDaily[TransfersOut],tblDaily[EntryDate],DATE(2026,9,12),tblDaily[WardCode],"MW")),"")</f>
        <v/>
      </c>
      <c r="H330" s="12">
        <f>IFERROR(IF(SUMIFS(tblDaily[Remaining],tblDaily[EntryDate],DATE(2026,9,12),tblDaily[WardCode],"MW")=0,"",SUMIFS(tblDaily[Remaining],tblDaily[EntryDate],DATE(2026,9,12),tblDaily[WardCode],"MW")),"")</f>
        <v/>
      </c>
    </row>
    <row r="331">
      <c r="A331" s="12" t="n">
        <v>13</v>
      </c>
      <c r="B331" s="12">
        <f>IFERROR(IF(SUMIFS(tblDaily[Admissions],tblDaily[EntryDate],DATE(2026,9,13),tblDaily[WardCode],"MW")=0,"",SUMIFS(tblDaily[Admissions],tblDaily[EntryDate],DATE(2026,9,13),tblDaily[WardCode],"MW")),"")</f>
        <v/>
      </c>
      <c r="C331" s="12">
        <f>IFERROR(IF(SUMIFS(tblDaily[Discharges],tblDaily[EntryDate],DATE(2026,9,13),tblDaily[WardCode],"MW")=0,"",SUMIFS(tblDaily[Discharges],tblDaily[EntryDate],DATE(2026,9,13),tblDaily[WardCode],"MW")),"")</f>
        <v/>
      </c>
      <c r="D331" s="12">
        <f>IFERROR(IF(SUMIFS(tblDaily[Deaths],tblDaily[EntryDate],DATE(2026,9,13),tblDaily[WardCode],"MW")=0,"",SUMIFS(tblDaily[Deaths],tblDaily[EntryDate],DATE(2026,9,13),tblDaily[WardCode],"MW")),"")</f>
        <v/>
      </c>
      <c r="E331" s="12">
        <f>IFERROR(IF(SUMIFS(tblDaily[DeathsUnder24Hrs],tblDaily[EntryDate],DATE(2026,9,13),tblDaily[WardCode],"MW")=0,"",SUMIFS(tblDaily[DeathsUnder24Hrs],tblDaily[EntryDate],DATE(2026,9,13),tblDaily[WardCode],"MW")),"")</f>
        <v/>
      </c>
      <c r="F331" s="12">
        <f>IFERROR(IF(SUMIFS(tblDaily[TransfersIn],tblDaily[EntryDate],DATE(2026,9,13),tblDaily[WardCode],"MW")=0,"",SUMIFS(tblDaily[TransfersIn],tblDaily[EntryDate],DATE(2026,9,13),tblDaily[WardCode],"MW")),"")</f>
        <v/>
      </c>
      <c r="G331" s="12">
        <f>IFERROR(IF(SUMIFS(tblDaily[TransfersOut],tblDaily[EntryDate],DATE(2026,9,13),tblDaily[WardCode],"MW")=0,"",SUMIFS(tblDaily[TransfersOut],tblDaily[EntryDate],DATE(2026,9,13),tblDaily[WardCode],"MW")),"")</f>
        <v/>
      </c>
      <c r="H331" s="12">
        <f>IFERROR(IF(SUMIFS(tblDaily[Remaining],tblDaily[EntryDate],DATE(2026,9,13),tblDaily[WardCode],"MW")=0,"",SUMIFS(tblDaily[Remaining],tblDaily[EntryDate],DATE(2026,9,13),tblDaily[WardCode],"MW")),"")</f>
        <v/>
      </c>
    </row>
    <row r="332">
      <c r="A332" s="12" t="n">
        <v>14</v>
      </c>
      <c r="B332" s="12">
        <f>IFERROR(IF(SUMIFS(tblDaily[Admissions],tblDaily[EntryDate],DATE(2026,9,14),tblDaily[WardCode],"MW")=0,"",SUMIFS(tblDaily[Admissions],tblDaily[EntryDate],DATE(2026,9,14),tblDaily[WardCode],"MW")),"")</f>
        <v/>
      </c>
      <c r="C332" s="12">
        <f>IFERROR(IF(SUMIFS(tblDaily[Discharges],tblDaily[EntryDate],DATE(2026,9,14),tblDaily[WardCode],"MW")=0,"",SUMIFS(tblDaily[Discharges],tblDaily[EntryDate],DATE(2026,9,14),tblDaily[WardCode],"MW")),"")</f>
        <v/>
      </c>
      <c r="D332" s="12">
        <f>IFERROR(IF(SUMIFS(tblDaily[Deaths],tblDaily[EntryDate],DATE(2026,9,14),tblDaily[WardCode],"MW")=0,"",SUMIFS(tblDaily[Deaths],tblDaily[EntryDate],DATE(2026,9,14),tblDaily[WardCode],"MW")),"")</f>
        <v/>
      </c>
      <c r="E332" s="12">
        <f>IFERROR(IF(SUMIFS(tblDaily[DeathsUnder24Hrs],tblDaily[EntryDate],DATE(2026,9,14),tblDaily[WardCode],"MW")=0,"",SUMIFS(tblDaily[DeathsUnder24Hrs],tblDaily[EntryDate],DATE(2026,9,14),tblDaily[WardCode],"MW")),"")</f>
        <v/>
      </c>
      <c r="F332" s="12">
        <f>IFERROR(IF(SUMIFS(tblDaily[TransfersIn],tblDaily[EntryDate],DATE(2026,9,14),tblDaily[WardCode],"MW")=0,"",SUMIFS(tblDaily[TransfersIn],tblDaily[EntryDate],DATE(2026,9,14),tblDaily[WardCode],"MW")),"")</f>
        <v/>
      </c>
      <c r="G332" s="12">
        <f>IFERROR(IF(SUMIFS(tblDaily[TransfersOut],tblDaily[EntryDate],DATE(2026,9,14),tblDaily[WardCode],"MW")=0,"",SUMIFS(tblDaily[TransfersOut],tblDaily[EntryDate],DATE(2026,9,14),tblDaily[WardCode],"MW")),"")</f>
        <v/>
      </c>
      <c r="H332" s="12">
        <f>IFERROR(IF(SUMIFS(tblDaily[Remaining],tblDaily[EntryDate],DATE(2026,9,14),tblDaily[WardCode],"MW")=0,"",SUMIFS(tblDaily[Remaining],tblDaily[EntryDate],DATE(2026,9,14),tblDaily[WardCode],"MW")),"")</f>
        <v/>
      </c>
    </row>
    <row r="333">
      <c r="A333" s="12" t="n">
        <v>15</v>
      </c>
      <c r="B333" s="12">
        <f>IFERROR(IF(SUMIFS(tblDaily[Admissions],tblDaily[EntryDate],DATE(2026,9,15),tblDaily[WardCode],"MW")=0,"",SUMIFS(tblDaily[Admissions],tblDaily[EntryDate],DATE(2026,9,15),tblDaily[WardCode],"MW")),"")</f>
        <v/>
      </c>
      <c r="C333" s="12">
        <f>IFERROR(IF(SUMIFS(tblDaily[Discharges],tblDaily[EntryDate],DATE(2026,9,15),tblDaily[WardCode],"MW")=0,"",SUMIFS(tblDaily[Discharges],tblDaily[EntryDate],DATE(2026,9,15),tblDaily[WardCode],"MW")),"")</f>
        <v/>
      </c>
      <c r="D333" s="12">
        <f>IFERROR(IF(SUMIFS(tblDaily[Deaths],tblDaily[EntryDate],DATE(2026,9,15),tblDaily[WardCode],"MW")=0,"",SUMIFS(tblDaily[Deaths],tblDaily[EntryDate],DATE(2026,9,15),tblDaily[WardCode],"MW")),"")</f>
        <v/>
      </c>
      <c r="E333" s="12">
        <f>IFERROR(IF(SUMIFS(tblDaily[DeathsUnder24Hrs],tblDaily[EntryDate],DATE(2026,9,15),tblDaily[WardCode],"MW")=0,"",SUMIFS(tblDaily[DeathsUnder24Hrs],tblDaily[EntryDate],DATE(2026,9,15),tblDaily[WardCode],"MW")),"")</f>
        <v/>
      </c>
      <c r="F333" s="12">
        <f>IFERROR(IF(SUMIFS(tblDaily[TransfersIn],tblDaily[EntryDate],DATE(2026,9,15),tblDaily[WardCode],"MW")=0,"",SUMIFS(tblDaily[TransfersIn],tblDaily[EntryDate],DATE(2026,9,15),tblDaily[WardCode],"MW")),"")</f>
        <v/>
      </c>
      <c r="G333" s="12">
        <f>IFERROR(IF(SUMIFS(tblDaily[TransfersOut],tblDaily[EntryDate],DATE(2026,9,15),tblDaily[WardCode],"MW")=0,"",SUMIFS(tblDaily[TransfersOut],tblDaily[EntryDate],DATE(2026,9,15),tblDaily[WardCode],"MW")),"")</f>
        <v/>
      </c>
      <c r="H333" s="12">
        <f>IFERROR(IF(SUMIFS(tblDaily[Remaining],tblDaily[EntryDate],DATE(2026,9,15),tblDaily[WardCode],"MW")=0,"",SUMIFS(tblDaily[Remaining],tblDaily[EntryDate],DATE(2026,9,15),tblDaily[WardCode],"MW")),"")</f>
        <v/>
      </c>
    </row>
    <row r="334">
      <c r="A334" s="12" t="n">
        <v>16</v>
      </c>
      <c r="B334" s="12">
        <f>IFERROR(IF(SUMIFS(tblDaily[Admissions],tblDaily[EntryDate],DATE(2026,9,16),tblDaily[WardCode],"MW")=0,"",SUMIFS(tblDaily[Admissions],tblDaily[EntryDate],DATE(2026,9,16),tblDaily[WardCode],"MW")),"")</f>
        <v/>
      </c>
      <c r="C334" s="12">
        <f>IFERROR(IF(SUMIFS(tblDaily[Discharges],tblDaily[EntryDate],DATE(2026,9,16),tblDaily[WardCode],"MW")=0,"",SUMIFS(tblDaily[Discharges],tblDaily[EntryDate],DATE(2026,9,16),tblDaily[WardCode],"MW")),"")</f>
        <v/>
      </c>
      <c r="D334" s="12">
        <f>IFERROR(IF(SUMIFS(tblDaily[Deaths],tblDaily[EntryDate],DATE(2026,9,16),tblDaily[WardCode],"MW")=0,"",SUMIFS(tblDaily[Deaths],tblDaily[EntryDate],DATE(2026,9,16),tblDaily[WardCode],"MW")),"")</f>
        <v/>
      </c>
      <c r="E334" s="12">
        <f>IFERROR(IF(SUMIFS(tblDaily[DeathsUnder24Hrs],tblDaily[EntryDate],DATE(2026,9,16),tblDaily[WardCode],"MW")=0,"",SUMIFS(tblDaily[DeathsUnder24Hrs],tblDaily[EntryDate],DATE(2026,9,16),tblDaily[WardCode],"MW")),"")</f>
        <v/>
      </c>
      <c r="F334" s="12">
        <f>IFERROR(IF(SUMIFS(tblDaily[TransfersIn],tblDaily[EntryDate],DATE(2026,9,16),tblDaily[WardCode],"MW")=0,"",SUMIFS(tblDaily[TransfersIn],tblDaily[EntryDate],DATE(2026,9,16),tblDaily[WardCode],"MW")),"")</f>
        <v/>
      </c>
      <c r="G334" s="12">
        <f>IFERROR(IF(SUMIFS(tblDaily[TransfersOut],tblDaily[EntryDate],DATE(2026,9,16),tblDaily[WardCode],"MW")=0,"",SUMIFS(tblDaily[TransfersOut],tblDaily[EntryDate],DATE(2026,9,16),tblDaily[WardCode],"MW")),"")</f>
        <v/>
      </c>
      <c r="H334" s="12">
        <f>IFERROR(IF(SUMIFS(tblDaily[Remaining],tblDaily[EntryDate],DATE(2026,9,16),tblDaily[WardCode],"MW")=0,"",SUMIFS(tblDaily[Remaining],tblDaily[EntryDate],DATE(2026,9,16),tblDaily[WardCode],"MW")),"")</f>
        <v/>
      </c>
    </row>
    <row r="335">
      <c r="A335" s="12" t="n">
        <v>17</v>
      </c>
      <c r="B335" s="12">
        <f>IFERROR(IF(SUMIFS(tblDaily[Admissions],tblDaily[EntryDate],DATE(2026,9,17),tblDaily[WardCode],"MW")=0,"",SUMIFS(tblDaily[Admissions],tblDaily[EntryDate],DATE(2026,9,17),tblDaily[WardCode],"MW")),"")</f>
        <v/>
      </c>
      <c r="C335" s="12">
        <f>IFERROR(IF(SUMIFS(tblDaily[Discharges],tblDaily[EntryDate],DATE(2026,9,17),tblDaily[WardCode],"MW")=0,"",SUMIFS(tblDaily[Discharges],tblDaily[EntryDate],DATE(2026,9,17),tblDaily[WardCode],"MW")),"")</f>
        <v/>
      </c>
      <c r="D335" s="12">
        <f>IFERROR(IF(SUMIFS(tblDaily[Deaths],tblDaily[EntryDate],DATE(2026,9,17),tblDaily[WardCode],"MW")=0,"",SUMIFS(tblDaily[Deaths],tblDaily[EntryDate],DATE(2026,9,17),tblDaily[WardCode],"MW")),"")</f>
        <v/>
      </c>
      <c r="E335" s="12">
        <f>IFERROR(IF(SUMIFS(tblDaily[DeathsUnder24Hrs],tblDaily[EntryDate],DATE(2026,9,17),tblDaily[WardCode],"MW")=0,"",SUMIFS(tblDaily[DeathsUnder24Hrs],tblDaily[EntryDate],DATE(2026,9,17),tblDaily[WardCode],"MW")),"")</f>
        <v/>
      </c>
      <c r="F335" s="12">
        <f>IFERROR(IF(SUMIFS(tblDaily[TransfersIn],tblDaily[EntryDate],DATE(2026,9,17),tblDaily[WardCode],"MW")=0,"",SUMIFS(tblDaily[TransfersIn],tblDaily[EntryDate],DATE(2026,9,17),tblDaily[WardCode],"MW")),"")</f>
        <v/>
      </c>
      <c r="G335" s="12">
        <f>IFERROR(IF(SUMIFS(tblDaily[TransfersOut],tblDaily[EntryDate],DATE(2026,9,17),tblDaily[WardCode],"MW")=0,"",SUMIFS(tblDaily[TransfersOut],tblDaily[EntryDate],DATE(2026,9,17),tblDaily[WardCode],"MW")),"")</f>
        <v/>
      </c>
      <c r="H335" s="12">
        <f>IFERROR(IF(SUMIFS(tblDaily[Remaining],tblDaily[EntryDate],DATE(2026,9,17),tblDaily[WardCode],"MW")=0,"",SUMIFS(tblDaily[Remaining],tblDaily[EntryDate],DATE(2026,9,17),tblDaily[WardCode],"MW")),"")</f>
        <v/>
      </c>
    </row>
    <row r="336">
      <c r="A336" s="12" t="n">
        <v>18</v>
      </c>
      <c r="B336" s="12">
        <f>IFERROR(IF(SUMIFS(tblDaily[Admissions],tblDaily[EntryDate],DATE(2026,9,18),tblDaily[WardCode],"MW")=0,"",SUMIFS(tblDaily[Admissions],tblDaily[EntryDate],DATE(2026,9,18),tblDaily[WardCode],"MW")),"")</f>
        <v/>
      </c>
      <c r="C336" s="12">
        <f>IFERROR(IF(SUMIFS(tblDaily[Discharges],tblDaily[EntryDate],DATE(2026,9,18),tblDaily[WardCode],"MW")=0,"",SUMIFS(tblDaily[Discharges],tblDaily[EntryDate],DATE(2026,9,18),tblDaily[WardCode],"MW")),"")</f>
        <v/>
      </c>
      <c r="D336" s="12">
        <f>IFERROR(IF(SUMIFS(tblDaily[Deaths],tblDaily[EntryDate],DATE(2026,9,18),tblDaily[WardCode],"MW")=0,"",SUMIFS(tblDaily[Deaths],tblDaily[EntryDate],DATE(2026,9,18),tblDaily[WardCode],"MW")),"")</f>
        <v/>
      </c>
      <c r="E336" s="12">
        <f>IFERROR(IF(SUMIFS(tblDaily[DeathsUnder24Hrs],tblDaily[EntryDate],DATE(2026,9,18),tblDaily[WardCode],"MW")=0,"",SUMIFS(tblDaily[DeathsUnder24Hrs],tblDaily[EntryDate],DATE(2026,9,18),tblDaily[WardCode],"MW")),"")</f>
        <v/>
      </c>
      <c r="F336" s="12">
        <f>IFERROR(IF(SUMIFS(tblDaily[TransfersIn],tblDaily[EntryDate],DATE(2026,9,18),tblDaily[WardCode],"MW")=0,"",SUMIFS(tblDaily[TransfersIn],tblDaily[EntryDate],DATE(2026,9,18),tblDaily[WardCode],"MW")),"")</f>
        <v/>
      </c>
      <c r="G336" s="12">
        <f>IFERROR(IF(SUMIFS(tblDaily[TransfersOut],tblDaily[EntryDate],DATE(2026,9,18),tblDaily[WardCode],"MW")=0,"",SUMIFS(tblDaily[TransfersOut],tblDaily[EntryDate],DATE(2026,9,18),tblDaily[WardCode],"MW")),"")</f>
        <v/>
      </c>
      <c r="H336" s="12">
        <f>IFERROR(IF(SUMIFS(tblDaily[Remaining],tblDaily[EntryDate],DATE(2026,9,18),tblDaily[WardCode],"MW")=0,"",SUMIFS(tblDaily[Remaining],tblDaily[EntryDate],DATE(2026,9,18),tblDaily[WardCode],"MW")),"")</f>
        <v/>
      </c>
    </row>
    <row r="337">
      <c r="A337" s="12" t="n">
        <v>19</v>
      </c>
      <c r="B337" s="12">
        <f>IFERROR(IF(SUMIFS(tblDaily[Admissions],tblDaily[EntryDate],DATE(2026,9,19),tblDaily[WardCode],"MW")=0,"",SUMIFS(tblDaily[Admissions],tblDaily[EntryDate],DATE(2026,9,19),tblDaily[WardCode],"MW")),"")</f>
        <v/>
      </c>
      <c r="C337" s="12">
        <f>IFERROR(IF(SUMIFS(tblDaily[Discharges],tblDaily[EntryDate],DATE(2026,9,19),tblDaily[WardCode],"MW")=0,"",SUMIFS(tblDaily[Discharges],tblDaily[EntryDate],DATE(2026,9,19),tblDaily[WardCode],"MW")),"")</f>
        <v/>
      </c>
      <c r="D337" s="12">
        <f>IFERROR(IF(SUMIFS(tblDaily[Deaths],tblDaily[EntryDate],DATE(2026,9,19),tblDaily[WardCode],"MW")=0,"",SUMIFS(tblDaily[Deaths],tblDaily[EntryDate],DATE(2026,9,19),tblDaily[WardCode],"MW")),"")</f>
        <v/>
      </c>
      <c r="E337" s="12">
        <f>IFERROR(IF(SUMIFS(tblDaily[DeathsUnder24Hrs],tblDaily[EntryDate],DATE(2026,9,19),tblDaily[WardCode],"MW")=0,"",SUMIFS(tblDaily[DeathsUnder24Hrs],tblDaily[EntryDate],DATE(2026,9,19),tblDaily[WardCode],"MW")),"")</f>
        <v/>
      </c>
      <c r="F337" s="12">
        <f>IFERROR(IF(SUMIFS(tblDaily[TransfersIn],tblDaily[EntryDate],DATE(2026,9,19),tblDaily[WardCode],"MW")=0,"",SUMIFS(tblDaily[TransfersIn],tblDaily[EntryDate],DATE(2026,9,19),tblDaily[WardCode],"MW")),"")</f>
        <v/>
      </c>
      <c r="G337" s="12">
        <f>IFERROR(IF(SUMIFS(tblDaily[TransfersOut],tblDaily[EntryDate],DATE(2026,9,19),tblDaily[WardCode],"MW")=0,"",SUMIFS(tblDaily[TransfersOut],tblDaily[EntryDate],DATE(2026,9,19),tblDaily[WardCode],"MW")),"")</f>
        <v/>
      </c>
      <c r="H337" s="12">
        <f>IFERROR(IF(SUMIFS(tblDaily[Remaining],tblDaily[EntryDate],DATE(2026,9,19),tblDaily[WardCode],"MW")=0,"",SUMIFS(tblDaily[Remaining],tblDaily[EntryDate],DATE(2026,9,19),tblDaily[WardCode],"MW")),"")</f>
        <v/>
      </c>
    </row>
    <row r="338">
      <c r="A338" s="12" t="n">
        <v>20</v>
      </c>
      <c r="B338" s="12">
        <f>IFERROR(IF(SUMIFS(tblDaily[Admissions],tblDaily[EntryDate],DATE(2026,9,20),tblDaily[WardCode],"MW")=0,"",SUMIFS(tblDaily[Admissions],tblDaily[EntryDate],DATE(2026,9,20),tblDaily[WardCode],"MW")),"")</f>
        <v/>
      </c>
      <c r="C338" s="12">
        <f>IFERROR(IF(SUMIFS(tblDaily[Discharges],tblDaily[EntryDate],DATE(2026,9,20),tblDaily[WardCode],"MW")=0,"",SUMIFS(tblDaily[Discharges],tblDaily[EntryDate],DATE(2026,9,20),tblDaily[WardCode],"MW")),"")</f>
        <v/>
      </c>
      <c r="D338" s="12">
        <f>IFERROR(IF(SUMIFS(tblDaily[Deaths],tblDaily[EntryDate],DATE(2026,9,20),tblDaily[WardCode],"MW")=0,"",SUMIFS(tblDaily[Deaths],tblDaily[EntryDate],DATE(2026,9,20),tblDaily[WardCode],"MW")),"")</f>
        <v/>
      </c>
      <c r="E338" s="12">
        <f>IFERROR(IF(SUMIFS(tblDaily[DeathsUnder24Hrs],tblDaily[EntryDate],DATE(2026,9,20),tblDaily[WardCode],"MW")=0,"",SUMIFS(tblDaily[DeathsUnder24Hrs],tblDaily[EntryDate],DATE(2026,9,20),tblDaily[WardCode],"MW")),"")</f>
        <v/>
      </c>
      <c r="F338" s="12">
        <f>IFERROR(IF(SUMIFS(tblDaily[TransfersIn],tblDaily[EntryDate],DATE(2026,9,20),tblDaily[WardCode],"MW")=0,"",SUMIFS(tblDaily[TransfersIn],tblDaily[EntryDate],DATE(2026,9,20),tblDaily[WardCode],"MW")),"")</f>
        <v/>
      </c>
      <c r="G338" s="12">
        <f>IFERROR(IF(SUMIFS(tblDaily[TransfersOut],tblDaily[EntryDate],DATE(2026,9,20),tblDaily[WardCode],"MW")=0,"",SUMIFS(tblDaily[TransfersOut],tblDaily[EntryDate],DATE(2026,9,20),tblDaily[WardCode],"MW")),"")</f>
        <v/>
      </c>
      <c r="H338" s="12">
        <f>IFERROR(IF(SUMIFS(tblDaily[Remaining],tblDaily[EntryDate],DATE(2026,9,20),tblDaily[WardCode],"MW")=0,"",SUMIFS(tblDaily[Remaining],tblDaily[EntryDate],DATE(2026,9,20),tblDaily[WardCode],"MW")),"")</f>
        <v/>
      </c>
    </row>
    <row r="339">
      <c r="A339" s="12" t="n">
        <v>21</v>
      </c>
      <c r="B339" s="12">
        <f>IFERROR(IF(SUMIFS(tblDaily[Admissions],tblDaily[EntryDate],DATE(2026,9,21),tblDaily[WardCode],"MW")=0,"",SUMIFS(tblDaily[Admissions],tblDaily[EntryDate],DATE(2026,9,21),tblDaily[WardCode],"MW")),"")</f>
        <v/>
      </c>
      <c r="C339" s="12">
        <f>IFERROR(IF(SUMIFS(tblDaily[Discharges],tblDaily[EntryDate],DATE(2026,9,21),tblDaily[WardCode],"MW")=0,"",SUMIFS(tblDaily[Discharges],tblDaily[EntryDate],DATE(2026,9,21),tblDaily[WardCode],"MW")),"")</f>
        <v/>
      </c>
      <c r="D339" s="12">
        <f>IFERROR(IF(SUMIFS(tblDaily[Deaths],tblDaily[EntryDate],DATE(2026,9,21),tblDaily[WardCode],"MW")=0,"",SUMIFS(tblDaily[Deaths],tblDaily[EntryDate],DATE(2026,9,21),tblDaily[WardCode],"MW")),"")</f>
        <v/>
      </c>
      <c r="E339" s="12">
        <f>IFERROR(IF(SUMIFS(tblDaily[DeathsUnder24Hrs],tblDaily[EntryDate],DATE(2026,9,21),tblDaily[WardCode],"MW")=0,"",SUMIFS(tblDaily[DeathsUnder24Hrs],tblDaily[EntryDate],DATE(2026,9,21),tblDaily[WardCode],"MW")),"")</f>
        <v/>
      </c>
      <c r="F339" s="12">
        <f>IFERROR(IF(SUMIFS(tblDaily[TransfersIn],tblDaily[EntryDate],DATE(2026,9,21),tblDaily[WardCode],"MW")=0,"",SUMIFS(tblDaily[TransfersIn],tblDaily[EntryDate],DATE(2026,9,21),tblDaily[WardCode],"MW")),"")</f>
        <v/>
      </c>
      <c r="G339" s="12">
        <f>IFERROR(IF(SUMIFS(tblDaily[TransfersOut],tblDaily[EntryDate],DATE(2026,9,21),tblDaily[WardCode],"MW")=0,"",SUMIFS(tblDaily[TransfersOut],tblDaily[EntryDate],DATE(2026,9,21),tblDaily[WardCode],"MW")),"")</f>
        <v/>
      </c>
      <c r="H339" s="12">
        <f>IFERROR(IF(SUMIFS(tblDaily[Remaining],tblDaily[EntryDate],DATE(2026,9,21),tblDaily[WardCode],"MW")=0,"",SUMIFS(tblDaily[Remaining],tblDaily[EntryDate],DATE(2026,9,21),tblDaily[WardCode],"MW")),"")</f>
        <v/>
      </c>
    </row>
    <row r="340">
      <c r="A340" s="12" t="n">
        <v>22</v>
      </c>
      <c r="B340" s="12">
        <f>IFERROR(IF(SUMIFS(tblDaily[Admissions],tblDaily[EntryDate],DATE(2026,9,22),tblDaily[WardCode],"MW")=0,"",SUMIFS(tblDaily[Admissions],tblDaily[EntryDate],DATE(2026,9,22),tblDaily[WardCode],"MW")),"")</f>
        <v/>
      </c>
      <c r="C340" s="12">
        <f>IFERROR(IF(SUMIFS(tblDaily[Discharges],tblDaily[EntryDate],DATE(2026,9,22),tblDaily[WardCode],"MW")=0,"",SUMIFS(tblDaily[Discharges],tblDaily[EntryDate],DATE(2026,9,22),tblDaily[WardCode],"MW")),"")</f>
        <v/>
      </c>
      <c r="D340" s="12">
        <f>IFERROR(IF(SUMIFS(tblDaily[Deaths],tblDaily[EntryDate],DATE(2026,9,22),tblDaily[WardCode],"MW")=0,"",SUMIFS(tblDaily[Deaths],tblDaily[EntryDate],DATE(2026,9,22),tblDaily[WardCode],"MW")),"")</f>
        <v/>
      </c>
      <c r="E340" s="12">
        <f>IFERROR(IF(SUMIFS(tblDaily[DeathsUnder24Hrs],tblDaily[EntryDate],DATE(2026,9,22),tblDaily[WardCode],"MW")=0,"",SUMIFS(tblDaily[DeathsUnder24Hrs],tblDaily[EntryDate],DATE(2026,9,22),tblDaily[WardCode],"MW")),"")</f>
        <v/>
      </c>
      <c r="F340" s="12">
        <f>IFERROR(IF(SUMIFS(tblDaily[TransfersIn],tblDaily[EntryDate],DATE(2026,9,22),tblDaily[WardCode],"MW")=0,"",SUMIFS(tblDaily[TransfersIn],tblDaily[EntryDate],DATE(2026,9,22),tblDaily[WardCode],"MW")),"")</f>
        <v/>
      </c>
      <c r="G340" s="12">
        <f>IFERROR(IF(SUMIFS(tblDaily[TransfersOut],tblDaily[EntryDate],DATE(2026,9,22),tblDaily[WardCode],"MW")=0,"",SUMIFS(tblDaily[TransfersOut],tblDaily[EntryDate],DATE(2026,9,22),tblDaily[WardCode],"MW")),"")</f>
        <v/>
      </c>
      <c r="H340" s="12">
        <f>IFERROR(IF(SUMIFS(tblDaily[Remaining],tblDaily[EntryDate],DATE(2026,9,22),tblDaily[WardCode],"MW")=0,"",SUMIFS(tblDaily[Remaining],tblDaily[EntryDate],DATE(2026,9,22),tblDaily[WardCode],"MW")),"")</f>
        <v/>
      </c>
    </row>
    <row r="341">
      <c r="A341" s="12" t="n">
        <v>23</v>
      </c>
      <c r="B341" s="12">
        <f>IFERROR(IF(SUMIFS(tblDaily[Admissions],tblDaily[EntryDate],DATE(2026,9,23),tblDaily[WardCode],"MW")=0,"",SUMIFS(tblDaily[Admissions],tblDaily[EntryDate],DATE(2026,9,23),tblDaily[WardCode],"MW")),"")</f>
        <v/>
      </c>
      <c r="C341" s="12">
        <f>IFERROR(IF(SUMIFS(tblDaily[Discharges],tblDaily[EntryDate],DATE(2026,9,23),tblDaily[WardCode],"MW")=0,"",SUMIFS(tblDaily[Discharges],tblDaily[EntryDate],DATE(2026,9,23),tblDaily[WardCode],"MW")),"")</f>
        <v/>
      </c>
      <c r="D341" s="12">
        <f>IFERROR(IF(SUMIFS(tblDaily[Deaths],tblDaily[EntryDate],DATE(2026,9,23),tblDaily[WardCode],"MW")=0,"",SUMIFS(tblDaily[Deaths],tblDaily[EntryDate],DATE(2026,9,23),tblDaily[WardCode],"MW")),"")</f>
        <v/>
      </c>
      <c r="E341" s="12">
        <f>IFERROR(IF(SUMIFS(tblDaily[DeathsUnder24Hrs],tblDaily[EntryDate],DATE(2026,9,23),tblDaily[WardCode],"MW")=0,"",SUMIFS(tblDaily[DeathsUnder24Hrs],tblDaily[EntryDate],DATE(2026,9,23),tblDaily[WardCode],"MW")),"")</f>
        <v/>
      </c>
      <c r="F341" s="12">
        <f>IFERROR(IF(SUMIFS(tblDaily[TransfersIn],tblDaily[EntryDate],DATE(2026,9,23),tblDaily[WardCode],"MW")=0,"",SUMIFS(tblDaily[TransfersIn],tblDaily[EntryDate],DATE(2026,9,23),tblDaily[WardCode],"MW")),"")</f>
        <v/>
      </c>
      <c r="G341" s="12">
        <f>IFERROR(IF(SUMIFS(tblDaily[TransfersOut],tblDaily[EntryDate],DATE(2026,9,23),tblDaily[WardCode],"MW")=0,"",SUMIFS(tblDaily[TransfersOut],tblDaily[EntryDate],DATE(2026,9,23),tblDaily[WardCode],"MW")),"")</f>
        <v/>
      </c>
      <c r="H341" s="12">
        <f>IFERROR(IF(SUMIFS(tblDaily[Remaining],tblDaily[EntryDate],DATE(2026,9,23),tblDaily[WardCode],"MW")=0,"",SUMIFS(tblDaily[Remaining],tblDaily[EntryDate],DATE(2026,9,23),tblDaily[WardCode],"MW")),"")</f>
        <v/>
      </c>
    </row>
    <row r="342">
      <c r="A342" s="12" t="n">
        <v>24</v>
      </c>
      <c r="B342" s="12">
        <f>IFERROR(IF(SUMIFS(tblDaily[Admissions],tblDaily[EntryDate],DATE(2026,9,24),tblDaily[WardCode],"MW")=0,"",SUMIFS(tblDaily[Admissions],tblDaily[EntryDate],DATE(2026,9,24),tblDaily[WardCode],"MW")),"")</f>
        <v/>
      </c>
      <c r="C342" s="12">
        <f>IFERROR(IF(SUMIFS(tblDaily[Discharges],tblDaily[EntryDate],DATE(2026,9,24),tblDaily[WardCode],"MW")=0,"",SUMIFS(tblDaily[Discharges],tblDaily[EntryDate],DATE(2026,9,24),tblDaily[WardCode],"MW")),"")</f>
        <v/>
      </c>
      <c r="D342" s="12">
        <f>IFERROR(IF(SUMIFS(tblDaily[Deaths],tblDaily[EntryDate],DATE(2026,9,24),tblDaily[WardCode],"MW")=0,"",SUMIFS(tblDaily[Deaths],tblDaily[EntryDate],DATE(2026,9,24),tblDaily[WardCode],"MW")),"")</f>
        <v/>
      </c>
      <c r="E342" s="12">
        <f>IFERROR(IF(SUMIFS(tblDaily[DeathsUnder24Hrs],tblDaily[EntryDate],DATE(2026,9,24),tblDaily[WardCode],"MW")=0,"",SUMIFS(tblDaily[DeathsUnder24Hrs],tblDaily[EntryDate],DATE(2026,9,24),tblDaily[WardCode],"MW")),"")</f>
        <v/>
      </c>
      <c r="F342" s="12">
        <f>IFERROR(IF(SUMIFS(tblDaily[TransfersIn],tblDaily[EntryDate],DATE(2026,9,24),tblDaily[WardCode],"MW")=0,"",SUMIFS(tblDaily[TransfersIn],tblDaily[EntryDate],DATE(2026,9,24),tblDaily[WardCode],"MW")),"")</f>
        <v/>
      </c>
      <c r="G342" s="12">
        <f>IFERROR(IF(SUMIFS(tblDaily[TransfersOut],tblDaily[EntryDate],DATE(2026,9,24),tblDaily[WardCode],"MW")=0,"",SUMIFS(tblDaily[TransfersOut],tblDaily[EntryDate],DATE(2026,9,24),tblDaily[WardCode],"MW")),"")</f>
        <v/>
      </c>
      <c r="H342" s="12">
        <f>IFERROR(IF(SUMIFS(tblDaily[Remaining],tblDaily[EntryDate],DATE(2026,9,24),tblDaily[WardCode],"MW")=0,"",SUMIFS(tblDaily[Remaining],tblDaily[EntryDate],DATE(2026,9,24),tblDaily[WardCode],"MW")),"")</f>
        <v/>
      </c>
    </row>
    <row r="343">
      <c r="A343" s="12" t="n">
        <v>25</v>
      </c>
      <c r="B343" s="12">
        <f>IFERROR(IF(SUMIFS(tblDaily[Admissions],tblDaily[EntryDate],DATE(2026,9,25),tblDaily[WardCode],"MW")=0,"",SUMIFS(tblDaily[Admissions],tblDaily[EntryDate],DATE(2026,9,25),tblDaily[WardCode],"MW")),"")</f>
        <v/>
      </c>
      <c r="C343" s="12">
        <f>IFERROR(IF(SUMIFS(tblDaily[Discharges],tblDaily[EntryDate],DATE(2026,9,25),tblDaily[WardCode],"MW")=0,"",SUMIFS(tblDaily[Discharges],tblDaily[EntryDate],DATE(2026,9,25),tblDaily[WardCode],"MW")),"")</f>
        <v/>
      </c>
      <c r="D343" s="12">
        <f>IFERROR(IF(SUMIFS(tblDaily[Deaths],tblDaily[EntryDate],DATE(2026,9,25),tblDaily[WardCode],"MW")=0,"",SUMIFS(tblDaily[Deaths],tblDaily[EntryDate],DATE(2026,9,25),tblDaily[WardCode],"MW")),"")</f>
        <v/>
      </c>
      <c r="E343" s="12">
        <f>IFERROR(IF(SUMIFS(tblDaily[DeathsUnder24Hrs],tblDaily[EntryDate],DATE(2026,9,25),tblDaily[WardCode],"MW")=0,"",SUMIFS(tblDaily[DeathsUnder24Hrs],tblDaily[EntryDate],DATE(2026,9,25),tblDaily[WardCode],"MW")),"")</f>
        <v/>
      </c>
      <c r="F343" s="12">
        <f>IFERROR(IF(SUMIFS(tblDaily[TransfersIn],tblDaily[EntryDate],DATE(2026,9,25),tblDaily[WardCode],"MW")=0,"",SUMIFS(tblDaily[TransfersIn],tblDaily[EntryDate],DATE(2026,9,25),tblDaily[WardCode],"MW")),"")</f>
        <v/>
      </c>
      <c r="G343" s="12">
        <f>IFERROR(IF(SUMIFS(tblDaily[TransfersOut],tblDaily[EntryDate],DATE(2026,9,25),tblDaily[WardCode],"MW")=0,"",SUMIFS(tblDaily[TransfersOut],tblDaily[EntryDate],DATE(2026,9,25),tblDaily[WardCode],"MW")),"")</f>
        <v/>
      </c>
      <c r="H343" s="12">
        <f>IFERROR(IF(SUMIFS(tblDaily[Remaining],tblDaily[EntryDate],DATE(2026,9,25),tblDaily[WardCode],"MW")=0,"",SUMIFS(tblDaily[Remaining],tblDaily[EntryDate],DATE(2026,9,25),tblDaily[WardCode],"MW")),"")</f>
        <v/>
      </c>
    </row>
    <row r="344">
      <c r="A344" s="12" t="n">
        <v>26</v>
      </c>
      <c r="B344" s="12">
        <f>IFERROR(IF(SUMIFS(tblDaily[Admissions],tblDaily[EntryDate],DATE(2026,9,26),tblDaily[WardCode],"MW")=0,"",SUMIFS(tblDaily[Admissions],tblDaily[EntryDate],DATE(2026,9,26),tblDaily[WardCode],"MW")),"")</f>
        <v/>
      </c>
      <c r="C344" s="12">
        <f>IFERROR(IF(SUMIFS(tblDaily[Discharges],tblDaily[EntryDate],DATE(2026,9,26),tblDaily[WardCode],"MW")=0,"",SUMIFS(tblDaily[Discharges],tblDaily[EntryDate],DATE(2026,9,26),tblDaily[WardCode],"MW")),"")</f>
        <v/>
      </c>
      <c r="D344" s="12">
        <f>IFERROR(IF(SUMIFS(tblDaily[Deaths],tblDaily[EntryDate],DATE(2026,9,26),tblDaily[WardCode],"MW")=0,"",SUMIFS(tblDaily[Deaths],tblDaily[EntryDate],DATE(2026,9,26),tblDaily[WardCode],"MW")),"")</f>
        <v/>
      </c>
      <c r="E344" s="12">
        <f>IFERROR(IF(SUMIFS(tblDaily[DeathsUnder24Hrs],tblDaily[EntryDate],DATE(2026,9,26),tblDaily[WardCode],"MW")=0,"",SUMIFS(tblDaily[DeathsUnder24Hrs],tblDaily[EntryDate],DATE(2026,9,26),tblDaily[WardCode],"MW")),"")</f>
        <v/>
      </c>
      <c r="F344" s="12">
        <f>IFERROR(IF(SUMIFS(tblDaily[TransfersIn],tblDaily[EntryDate],DATE(2026,9,26),tblDaily[WardCode],"MW")=0,"",SUMIFS(tblDaily[TransfersIn],tblDaily[EntryDate],DATE(2026,9,26),tblDaily[WardCode],"MW")),"")</f>
        <v/>
      </c>
      <c r="G344" s="12">
        <f>IFERROR(IF(SUMIFS(tblDaily[TransfersOut],tblDaily[EntryDate],DATE(2026,9,26),tblDaily[WardCode],"MW")=0,"",SUMIFS(tblDaily[TransfersOut],tblDaily[EntryDate],DATE(2026,9,26),tblDaily[WardCode],"MW")),"")</f>
        <v/>
      </c>
      <c r="H344" s="12">
        <f>IFERROR(IF(SUMIFS(tblDaily[Remaining],tblDaily[EntryDate],DATE(2026,9,26),tblDaily[WardCode],"MW")=0,"",SUMIFS(tblDaily[Remaining],tblDaily[EntryDate],DATE(2026,9,26),tblDaily[WardCode],"MW")),"")</f>
        <v/>
      </c>
    </row>
    <row r="345">
      <c r="A345" s="12" t="n">
        <v>27</v>
      </c>
      <c r="B345" s="12">
        <f>IFERROR(IF(SUMIFS(tblDaily[Admissions],tblDaily[EntryDate],DATE(2026,9,27),tblDaily[WardCode],"MW")=0,"",SUMIFS(tblDaily[Admissions],tblDaily[EntryDate],DATE(2026,9,27),tblDaily[WardCode],"MW")),"")</f>
        <v/>
      </c>
      <c r="C345" s="12">
        <f>IFERROR(IF(SUMIFS(tblDaily[Discharges],tblDaily[EntryDate],DATE(2026,9,27),tblDaily[WardCode],"MW")=0,"",SUMIFS(tblDaily[Discharges],tblDaily[EntryDate],DATE(2026,9,27),tblDaily[WardCode],"MW")),"")</f>
        <v/>
      </c>
      <c r="D345" s="12">
        <f>IFERROR(IF(SUMIFS(tblDaily[Deaths],tblDaily[EntryDate],DATE(2026,9,27),tblDaily[WardCode],"MW")=0,"",SUMIFS(tblDaily[Deaths],tblDaily[EntryDate],DATE(2026,9,27),tblDaily[WardCode],"MW")),"")</f>
        <v/>
      </c>
      <c r="E345" s="12">
        <f>IFERROR(IF(SUMIFS(tblDaily[DeathsUnder24Hrs],tblDaily[EntryDate],DATE(2026,9,27),tblDaily[WardCode],"MW")=0,"",SUMIFS(tblDaily[DeathsUnder24Hrs],tblDaily[EntryDate],DATE(2026,9,27),tblDaily[WardCode],"MW")),"")</f>
        <v/>
      </c>
      <c r="F345" s="12">
        <f>IFERROR(IF(SUMIFS(tblDaily[TransfersIn],tblDaily[EntryDate],DATE(2026,9,27),tblDaily[WardCode],"MW")=0,"",SUMIFS(tblDaily[TransfersIn],tblDaily[EntryDate],DATE(2026,9,27),tblDaily[WardCode],"MW")),"")</f>
        <v/>
      </c>
      <c r="G345" s="12">
        <f>IFERROR(IF(SUMIFS(tblDaily[TransfersOut],tblDaily[EntryDate],DATE(2026,9,27),tblDaily[WardCode],"MW")=0,"",SUMIFS(tblDaily[TransfersOut],tblDaily[EntryDate],DATE(2026,9,27),tblDaily[WardCode],"MW")),"")</f>
        <v/>
      </c>
      <c r="H345" s="12">
        <f>IFERROR(IF(SUMIFS(tblDaily[Remaining],tblDaily[EntryDate],DATE(2026,9,27),tblDaily[WardCode],"MW")=0,"",SUMIFS(tblDaily[Remaining],tblDaily[EntryDate],DATE(2026,9,27),tblDaily[WardCode],"MW")),"")</f>
        <v/>
      </c>
    </row>
    <row r="346">
      <c r="A346" s="12" t="n">
        <v>28</v>
      </c>
      <c r="B346" s="12">
        <f>IFERROR(IF(SUMIFS(tblDaily[Admissions],tblDaily[EntryDate],DATE(2026,9,28),tblDaily[WardCode],"MW")=0,"",SUMIFS(tblDaily[Admissions],tblDaily[EntryDate],DATE(2026,9,28),tblDaily[WardCode],"MW")),"")</f>
        <v/>
      </c>
      <c r="C346" s="12">
        <f>IFERROR(IF(SUMIFS(tblDaily[Discharges],tblDaily[EntryDate],DATE(2026,9,28),tblDaily[WardCode],"MW")=0,"",SUMIFS(tblDaily[Discharges],tblDaily[EntryDate],DATE(2026,9,28),tblDaily[WardCode],"MW")),"")</f>
        <v/>
      </c>
      <c r="D346" s="12">
        <f>IFERROR(IF(SUMIFS(tblDaily[Deaths],tblDaily[EntryDate],DATE(2026,9,28),tblDaily[WardCode],"MW")=0,"",SUMIFS(tblDaily[Deaths],tblDaily[EntryDate],DATE(2026,9,28),tblDaily[WardCode],"MW")),"")</f>
        <v/>
      </c>
      <c r="E346" s="12">
        <f>IFERROR(IF(SUMIFS(tblDaily[DeathsUnder24Hrs],tblDaily[EntryDate],DATE(2026,9,28),tblDaily[WardCode],"MW")=0,"",SUMIFS(tblDaily[DeathsUnder24Hrs],tblDaily[EntryDate],DATE(2026,9,28),tblDaily[WardCode],"MW")),"")</f>
        <v/>
      </c>
      <c r="F346" s="12">
        <f>IFERROR(IF(SUMIFS(tblDaily[TransfersIn],tblDaily[EntryDate],DATE(2026,9,28),tblDaily[WardCode],"MW")=0,"",SUMIFS(tblDaily[TransfersIn],tblDaily[EntryDate],DATE(2026,9,28),tblDaily[WardCode],"MW")),"")</f>
        <v/>
      </c>
      <c r="G346" s="12">
        <f>IFERROR(IF(SUMIFS(tblDaily[TransfersOut],tblDaily[EntryDate],DATE(2026,9,28),tblDaily[WardCode],"MW")=0,"",SUMIFS(tblDaily[TransfersOut],tblDaily[EntryDate],DATE(2026,9,28),tblDaily[WardCode],"MW")),"")</f>
        <v/>
      </c>
      <c r="H346" s="12">
        <f>IFERROR(IF(SUMIFS(tblDaily[Remaining],tblDaily[EntryDate],DATE(2026,9,28),tblDaily[WardCode],"MW")=0,"",SUMIFS(tblDaily[Remaining],tblDaily[EntryDate],DATE(2026,9,28),tblDaily[WardCode],"MW")),"")</f>
        <v/>
      </c>
    </row>
    <row r="347">
      <c r="A347" s="12" t="n">
        <v>29</v>
      </c>
      <c r="B347" s="12">
        <f>IFERROR(IF(SUMIFS(tblDaily[Admissions],tblDaily[EntryDate],DATE(2026,9,29),tblDaily[WardCode],"MW")=0,"",SUMIFS(tblDaily[Admissions],tblDaily[EntryDate],DATE(2026,9,29),tblDaily[WardCode],"MW")),"")</f>
        <v/>
      </c>
      <c r="C347" s="12">
        <f>IFERROR(IF(SUMIFS(tblDaily[Discharges],tblDaily[EntryDate],DATE(2026,9,29),tblDaily[WardCode],"MW")=0,"",SUMIFS(tblDaily[Discharges],tblDaily[EntryDate],DATE(2026,9,29),tblDaily[WardCode],"MW")),"")</f>
        <v/>
      </c>
      <c r="D347" s="12">
        <f>IFERROR(IF(SUMIFS(tblDaily[Deaths],tblDaily[EntryDate],DATE(2026,9,29),tblDaily[WardCode],"MW")=0,"",SUMIFS(tblDaily[Deaths],tblDaily[EntryDate],DATE(2026,9,29),tblDaily[WardCode],"MW")),"")</f>
        <v/>
      </c>
      <c r="E347" s="12">
        <f>IFERROR(IF(SUMIFS(tblDaily[DeathsUnder24Hrs],tblDaily[EntryDate],DATE(2026,9,29),tblDaily[WardCode],"MW")=0,"",SUMIFS(tblDaily[DeathsUnder24Hrs],tblDaily[EntryDate],DATE(2026,9,29),tblDaily[WardCode],"MW")),"")</f>
        <v/>
      </c>
      <c r="F347" s="12">
        <f>IFERROR(IF(SUMIFS(tblDaily[TransfersIn],tblDaily[EntryDate],DATE(2026,9,29),tblDaily[WardCode],"MW")=0,"",SUMIFS(tblDaily[TransfersIn],tblDaily[EntryDate],DATE(2026,9,29),tblDaily[WardCode],"MW")),"")</f>
        <v/>
      </c>
      <c r="G347" s="12">
        <f>IFERROR(IF(SUMIFS(tblDaily[TransfersOut],tblDaily[EntryDate],DATE(2026,9,29),tblDaily[WardCode],"MW")=0,"",SUMIFS(tblDaily[TransfersOut],tblDaily[EntryDate],DATE(2026,9,29),tblDaily[WardCode],"MW")),"")</f>
        <v/>
      </c>
      <c r="H347" s="12">
        <f>IFERROR(IF(SUMIFS(tblDaily[Remaining],tblDaily[EntryDate],DATE(2026,9,29),tblDaily[WardCode],"MW")=0,"",SUMIFS(tblDaily[Remaining],tblDaily[EntryDate],DATE(2026,9,29),tblDaily[WardCode],"MW")),"")</f>
        <v/>
      </c>
    </row>
    <row r="348">
      <c r="A348" s="12" t="n">
        <v>30</v>
      </c>
      <c r="B348" s="12">
        <f>IFERROR(IF(SUMIFS(tblDaily[Admissions],tblDaily[EntryDate],DATE(2026,9,30),tblDaily[WardCode],"MW")=0,"",SUMIFS(tblDaily[Admissions],tblDaily[EntryDate],DATE(2026,9,30),tblDaily[WardCode],"MW")),"")</f>
        <v/>
      </c>
      <c r="C348" s="12">
        <f>IFERROR(IF(SUMIFS(tblDaily[Discharges],tblDaily[EntryDate],DATE(2026,9,30),tblDaily[WardCode],"MW")=0,"",SUMIFS(tblDaily[Discharges],tblDaily[EntryDate],DATE(2026,9,30),tblDaily[WardCode],"MW")),"")</f>
        <v/>
      </c>
      <c r="D348" s="12">
        <f>IFERROR(IF(SUMIFS(tblDaily[Deaths],tblDaily[EntryDate],DATE(2026,9,30),tblDaily[WardCode],"MW")=0,"",SUMIFS(tblDaily[Deaths],tblDaily[EntryDate],DATE(2026,9,30),tblDaily[WardCode],"MW")),"")</f>
        <v/>
      </c>
      <c r="E348" s="12">
        <f>IFERROR(IF(SUMIFS(tblDaily[DeathsUnder24Hrs],tblDaily[EntryDate],DATE(2026,9,30),tblDaily[WardCode],"MW")=0,"",SUMIFS(tblDaily[DeathsUnder24Hrs],tblDaily[EntryDate],DATE(2026,9,30),tblDaily[WardCode],"MW")),"")</f>
        <v/>
      </c>
      <c r="F348" s="12">
        <f>IFERROR(IF(SUMIFS(tblDaily[TransfersIn],tblDaily[EntryDate],DATE(2026,9,30),tblDaily[WardCode],"MW")=0,"",SUMIFS(tblDaily[TransfersIn],tblDaily[EntryDate],DATE(2026,9,30),tblDaily[WardCode],"MW")),"")</f>
        <v/>
      </c>
      <c r="G348" s="12">
        <f>IFERROR(IF(SUMIFS(tblDaily[TransfersOut],tblDaily[EntryDate],DATE(2026,9,30),tblDaily[WardCode],"MW")=0,"",SUMIFS(tblDaily[TransfersOut],tblDaily[EntryDate],DATE(2026,9,30),tblDaily[WardCode],"MW")),"")</f>
        <v/>
      </c>
      <c r="H348" s="12">
        <f>IFERROR(IF(SUMIFS(tblDaily[Remaining],tblDaily[EntryDate],DATE(2026,9,30),tblDaily[WardCode],"MW")=0,"",SUMIFS(tblDaily[Remaining],tblDaily[EntryDate],DATE(2026,9,30),tblDaily[WardCode],"MW")),"")</f>
        <v/>
      </c>
    </row>
    <row r="349">
      <c r="A349" s="12" t="n">
        <v>31</v>
      </c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7" t="inlineStr">
        <is>
          <t>TOTAL</t>
        </is>
      </c>
      <c r="B350" s="17">
        <f>SUMIFS(tblDaily[Admissions],tblDaily[Month],9,tblDaily[WardCode],"MW") - SUMIFS(tblDaily[DeathsUnder24Hrs],tblDaily[Month],9,tblDaily[WardCode],"MW")</f>
        <v/>
      </c>
      <c r="C350" s="17">
        <f>SUMIFS(tblDaily[Discharges],tblDaily[Month],9,tblDaily[WardCode],"MW")</f>
        <v/>
      </c>
      <c r="D350" s="17">
        <f>SUMIFS(tblDaily[Deaths],tblDaily[Month],9,tblDaily[WardCode],"MW")</f>
        <v/>
      </c>
      <c r="E350" s="17">
        <f>SUMIFS(tblDaily[DeathsUnder24Hrs],tblDaily[Month],9,tblDaily[WardCode],"MW")</f>
        <v/>
      </c>
      <c r="F350" s="17">
        <f>SUMIFS(tblDaily[TransfersIn],tblDaily[Month],9,tblDaily[WardCode],"MW")</f>
        <v/>
      </c>
      <c r="G350" s="17">
        <f>SUMIFS(tblDaily[TransfersOut],tblDaily[Month],9,tblDaily[WardCode],"MW")</f>
        <v/>
      </c>
      <c r="H350" s="17">
        <f>SUMIFS(tblDaily[Remaining],tblDaily[Month],9,tblDaily[WardCode],"MW")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MALE MEDICAL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4">
        <f>IFERROR(SUMIFS(tblDaily[Remaining],tblDaily[EntryDate],DATE(2026,9,30),tblDaily[WardCode],"MW"),0)</f>
        <v/>
      </c>
    </row>
    <row r="356">
      <c r="A356" s="4" t="inlineStr">
        <is>
          <t>Bed complement</t>
        </is>
      </c>
      <c r="H356" s="15">
        <f>IFERROR(INDEX(tblWardConfig[BedComplement],MATCH("MW",tblWardConfig[WardCode],0)),0)</f>
        <v/>
      </c>
    </row>
    <row r="357">
      <c r="A357" s="16" t="inlineStr">
        <is>
          <t>Day of
the
Month</t>
        </is>
      </c>
      <c r="B357" s="16" t="inlineStr">
        <is>
          <t>Admissions</t>
        </is>
      </c>
      <c r="C357" s="16" t="inlineStr">
        <is>
          <t>Discharges</t>
        </is>
      </c>
      <c r="D357" s="16" t="inlineStr">
        <is>
          <t>Deaths</t>
        </is>
      </c>
      <c r="E357" s="16" t="inlineStr">
        <is>
          <t>Deaths
&lt;24Hrs</t>
        </is>
      </c>
      <c r="F357" s="16" t="inlineStr">
        <is>
          <t>Transfers-
In</t>
        </is>
      </c>
      <c r="G357" s="16" t="inlineStr">
        <is>
          <t>Transfers-
Out</t>
        </is>
      </c>
      <c r="H357" s="16" t="inlineStr">
        <is>
          <t>No. of Patients
Remaining In
Ward</t>
        </is>
      </c>
    </row>
    <row r="358">
      <c r="A358" s="12" t="n">
        <v>1</v>
      </c>
      <c r="B358" s="12">
        <f>IFERROR(IF(SUMIFS(tblDaily[Admissions],tblDaily[EntryDate],DATE(2026,10,1),tblDaily[WardCode],"MW")=0,"",SUMIFS(tblDaily[Admissions],tblDaily[EntryDate],DATE(2026,10,1),tblDaily[WardCode],"MW")),"")</f>
        <v/>
      </c>
      <c r="C358" s="12">
        <f>IFERROR(IF(SUMIFS(tblDaily[Discharges],tblDaily[EntryDate],DATE(2026,10,1),tblDaily[WardCode],"MW")=0,"",SUMIFS(tblDaily[Discharges],tblDaily[EntryDate],DATE(2026,10,1),tblDaily[WardCode],"MW")),"")</f>
        <v/>
      </c>
      <c r="D358" s="12">
        <f>IFERROR(IF(SUMIFS(tblDaily[Deaths],tblDaily[EntryDate],DATE(2026,10,1),tblDaily[WardCode],"MW")=0,"",SUMIFS(tblDaily[Deaths],tblDaily[EntryDate],DATE(2026,10,1),tblDaily[WardCode],"MW")),"")</f>
        <v/>
      </c>
      <c r="E358" s="12">
        <f>IFERROR(IF(SUMIFS(tblDaily[DeathsUnder24Hrs],tblDaily[EntryDate],DATE(2026,10,1),tblDaily[WardCode],"MW")=0,"",SUMIFS(tblDaily[DeathsUnder24Hrs],tblDaily[EntryDate],DATE(2026,10,1),tblDaily[WardCode],"MW")),"")</f>
        <v/>
      </c>
      <c r="F358" s="12">
        <f>IFERROR(IF(SUMIFS(tblDaily[TransfersIn],tblDaily[EntryDate],DATE(2026,10,1),tblDaily[WardCode],"MW")=0,"",SUMIFS(tblDaily[TransfersIn],tblDaily[EntryDate],DATE(2026,10,1),tblDaily[WardCode],"MW")),"")</f>
        <v/>
      </c>
      <c r="G358" s="12">
        <f>IFERROR(IF(SUMIFS(tblDaily[TransfersOut],tblDaily[EntryDate],DATE(2026,10,1),tblDaily[WardCode],"MW")=0,"",SUMIFS(tblDaily[TransfersOut],tblDaily[EntryDate],DATE(2026,10,1),tblDaily[WardCode],"MW")),"")</f>
        <v/>
      </c>
      <c r="H358" s="12">
        <f>IFERROR(IF(SUMIFS(tblDaily[Remaining],tblDaily[EntryDate],DATE(2026,10,1),tblDaily[WardCode],"MW")=0,"",SUMIFS(tblDaily[Remaining],tblDaily[EntryDate],DATE(2026,10,1),tblDaily[WardCode],"MW")),"")</f>
        <v/>
      </c>
    </row>
    <row r="359">
      <c r="A359" s="12" t="n">
        <v>2</v>
      </c>
      <c r="B359" s="12">
        <f>IFERROR(IF(SUMIFS(tblDaily[Admissions],tblDaily[EntryDate],DATE(2026,10,2),tblDaily[WardCode],"MW")=0,"",SUMIFS(tblDaily[Admissions],tblDaily[EntryDate],DATE(2026,10,2),tblDaily[WardCode],"MW")),"")</f>
        <v/>
      </c>
      <c r="C359" s="12">
        <f>IFERROR(IF(SUMIFS(tblDaily[Discharges],tblDaily[EntryDate],DATE(2026,10,2),tblDaily[WardCode],"MW")=0,"",SUMIFS(tblDaily[Discharges],tblDaily[EntryDate],DATE(2026,10,2),tblDaily[WardCode],"MW")),"")</f>
        <v/>
      </c>
      <c r="D359" s="12">
        <f>IFERROR(IF(SUMIFS(tblDaily[Deaths],tblDaily[EntryDate],DATE(2026,10,2),tblDaily[WardCode],"MW")=0,"",SUMIFS(tblDaily[Deaths],tblDaily[EntryDate],DATE(2026,10,2),tblDaily[WardCode],"MW")),"")</f>
        <v/>
      </c>
      <c r="E359" s="12">
        <f>IFERROR(IF(SUMIFS(tblDaily[DeathsUnder24Hrs],tblDaily[EntryDate],DATE(2026,10,2),tblDaily[WardCode],"MW")=0,"",SUMIFS(tblDaily[DeathsUnder24Hrs],tblDaily[EntryDate],DATE(2026,10,2),tblDaily[WardCode],"MW")),"")</f>
        <v/>
      </c>
      <c r="F359" s="12">
        <f>IFERROR(IF(SUMIFS(tblDaily[TransfersIn],tblDaily[EntryDate],DATE(2026,10,2),tblDaily[WardCode],"MW")=0,"",SUMIFS(tblDaily[TransfersIn],tblDaily[EntryDate],DATE(2026,10,2),tblDaily[WardCode],"MW")),"")</f>
        <v/>
      </c>
      <c r="G359" s="12">
        <f>IFERROR(IF(SUMIFS(tblDaily[TransfersOut],tblDaily[EntryDate],DATE(2026,10,2),tblDaily[WardCode],"MW")=0,"",SUMIFS(tblDaily[TransfersOut],tblDaily[EntryDate],DATE(2026,10,2),tblDaily[WardCode],"MW")),"")</f>
        <v/>
      </c>
      <c r="H359" s="12">
        <f>IFERROR(IF(SUMIFS(tblDaily[Remaining],tblDaily[EntryDate],DATE(2026,10,2),tblDaily[WardCode],"MW")=0,"",SUMIFS(tblDaily[Remaining],tblDaily[EntryDate],DATE(2026,10,2),tblDaily[WardCode],"MW")),"")</f>
        <v/>
      </c>
    </row>
    <row r="360">
      <c r="A360" s="12" t="n">
        <v>3</v>
      </c>
      <c r="B360" s="12">
        <f>IFERROR(IF(SUMIFS(tblDaily[Admissions],tblDaily[EntryDate],DATE(2026,10,3),tblDaily[WardCode],"MW")=0,"",SUMIFS(tblDaily[Admissions],tblDaily[EntryDate],DATE(2026,10,3),tblDaily[WardCode],"MW")),"")</f>
        <v/>
      </c>
      <c r="C360" s="12">
        <f>IFERROR(IF(SUMIFS(tblDaily[Discharges],tblDaily[EntryDate],DATE(2026,10,3),tblDaily[WardCode],"MW")=0,"",SUMIFS(tblDaily[Discharges],tblDaily[EntryDate],DATE(2026,10,3),tblDaily[WardCode],"MW")),"")</f>
        <v/>
      </c>
      <c r="D360" s="12">
        <f>IFERROR(IF(SUMIFS(tblDaily[Deaths],tblDaily[EntryDate],DATE(2026,10,3),tblDaily[WardCode],"MW")=0,"",SUMIFS(tblDaily[Deaths],tblDaily[EntryDate],DATE(2026,10,3),tblDaily[WardCode],"MW")),"")</f>
        <v/>
      </c>
      <c r="E360" s="12">
        <f>IFERROR(IF(SUMIFS(tblDaily[DeathsUnder24Hrs],tblDaily[EntryDate],DATE(2026,10,3),tblDaily[WardCode],"MW")=0,"",SUMIFS(tblDaily[DeathsUnder24Hrs],tblDaily[EntryDate],DATE(2026,10,3),tblDaily[WardCode],"MW")),"")</f>
        <v/>
      </c>
      <c r="F360" s="12">
        <f>IFERROR(IF(SUMIFS(tblDaily[TransfersIn],tblDaily[EntryDate],DATE(2026,10,3),tblDaily[WardCode],"MW")=0,"",SUMIFS(tblDaily[TransfersIn],tblDaily[EntryDate],DATE(2026,10,3),tblDaily[WardCode],"MW")),"")</f>
        <v/>
      </c>
      <c r="G360" s="12">
        <f>IFERROR(IF(SUMIFS(tblDaily[TransfersOut],tblDaily[EntryDate],DATE(2026,10,3),tblDaily[WardCode],"MW")=0,"",SUMIFS(tblDaily[TransfersOut],tblDaily[EntryDate],DATE(2026,10,3),tblDaily[WardCode],"MW")),"")</f>
        <v/>
      </c>
      <c r="H360" s="12">
        <f>IFERROR(IF(SUMIFS(tblDaily[Remaining],tblDaily[EntryDate],DATE(2026,10,3),tblDaily[WardCode],"MW")=0,"",SUMIFS(tblDaily[Remaining],tblDaily[EntryDate],DATE(2026,10,3),tblDaily[WardCode],"MW")),"")</f>
        <v/>
      </c>
    </row>
    <row r="361">
      <c r="A361" s="12" t="n">
        <v>4</v>
      </c>
      <c r="B361" s="12">
        <f>IFERROR(IF(SUMIFS(tblDaily[Admissions],tblDaily[EntryDate],DATE(2026,10,4),tblDaily[WardCode],"MW")=0,"",SUMIFS(tblDaily[Admissions],tblDaily[EntryDate],DATE(2026,10,4),tblDaily[WardCode],"MW")),"")</f>
        <v/>
      </c>
      <c r="C361" s="12">
        <f>IFERROR(IF(SUMIFS(tblDaily[Discharges],tblDaily[EntryDate],DATE(2026,10,4),tblDaily[WardCode],"MW")=0,"",SUMIFS(tblDaily[Discharges],tblDaily[EntryDate],DATE(2026,10,4),tblDaily[WardCode],"MW")),"")</f>
        <v/>
      </c>
      <c r="D361" s="12">
        <f>IFERROR(IF(SUMIFS(tblDaily[Deaths],tblDaily[EntryDate],DATE(2026,10,4),tblDaily[WardCode],"MW")=0,"",SUMIFS(tblDaily[Deaths],tblDaily[EntryDate],DATE(2026,10,4),tblDaily[WardCode],"MW")),"")</f>
        <v/>
      </c>
      <c r="E361" s="12">
        <f>IFERROR(IF(SUMIFS(tblDaily[DeathsUnder24Hrs],tblDaily[EntryDate],DATE(2026,10,4),tblDaily[WardCode],"MW")=0,"",SUMIFS(tblDaily[DeathsUnder24Hrs],tblDaily[EntryDate],DATE(2026,10,4),tblDaily[WardCode],"MW")),"")</f>
        <v/>
      </c>
      <c r="F361" s="12">
        <f>IFERROR(IF(SUMIFS(tblDaily[TransfersIn],tblDaily[EntryDate],DATE(2026,10,4),tblDaily[WardCode],"MW")=0,"",SUMIFS(tblDaily[TransfersIn],tblDaily[EntryDate],DATE(2026,10,4),tblDaily[WardCode],"MW")),"")</f>
        <v/>
      </c>
      <c r="G361" s="12">
        <f>IFERROR(IF(SUMIFS(tblDaily[TransfersOut],tblDaily[EntryDate],DATE(2026,10,4),tblDaily[WardCode],"MW")=0,"",SUMIFS(tblDaily[TransfersOut],tblDaily[EntryDate],DATE(2026,10,4),tblDaily[WardCode],"MW")),"")</f>
        <v/>
      </c>
      <c r="H361" s="12">
        <f>IFERROR(IF(SUMIFS(tblDaily[Remaining],tblDaily[EntryDate],DATE(2026,10,4),tblDaily[WardCode],"MW")=0,"",SUMIFS(tblDaily[Remaining],tblDaily[EntryDate],DATE(2026,10,4),tblDaily[WardCode],"MW")),"")</f>
        <v/>
      </c>
    </row>
    <row r="362">
      <c r="A362" s="12" t="n">
        <v>5</v>
      </c>
      <c r="B362" s="12">
        <f>IFERROR(IF(SUMIFS(tblDaily[Admissions],tblDaily[EntryDate],DATE(2026,10,5),tblDaily[WardCode],"MW")=0,"",SUMIFS(tblDaily[Admissions],tblDaily[EntryDate],DATE(2026,10,5),tblDaily[WardCode],"MW")),"")</f>
        <v/>
      </c>
      <c r="C362" s="12">
        <f>IFERROR(IF(SUMIFS(tblDaily[Discharges],tblDaily[EntryDate],DATE(2026,10,5),tblDaily[WardCode],"MW")=0,"",SUMIFS(tblDaily[Discharges],tblDaily[EntryDate],DATE(2026,10,5),tblDaily[WardCode],"MW")),"")</f>
        <v/>
      </c>
      <c r="D362" s="12">
        <f>IFERROR(IF(SUMIFS(tblDaily[Deaths],tblDaily[EntryDate],DATE(2026,10,5),tblDaily[WardCode],"MW")=0,"",SUMIFS(tblDaily[Deaths],tblDaily[EntryDate],DATE(2026,10,5),tblDaily[WardCode],"MW")),"")</f>
        <v/>
      </c>
      <c r="E362" s="12">
        <f>IFERROR(IF(SUMIFS(tblDaily[DeathsUnder24Hrs],tblDaily[EntryDate],DATE(2026,10,5),tblDaily[WardCode],"MW")=0,"",SUMIFS(tblDaily[DeathsUnder24Hrs],tblDaily[EntryDate],DATE(2026,10,5),tblDaily[WardCode],"MW")),"")</f>
        <v/>
      </c>
      <c r="F362" s="12">
        <f>IFERROR(IF(SUMIFS(tblDaily[TransfersIn],tblDaily[EntryDate],DATE(2026,10,5),tblDaily[WardCode],"MW")=0,"",SUMIFS(tblDaily[TransfersIn],tblDaily[EntryDate],DATE(2026,10,5),tblDaily[WardCode],"MW")),"")</f>
        <v/>
      </c>
      <c r="G362" s="12">
        <f>IFERROR(IF(SUMIFS(tblDaily[TransfersOut],tblDaily[EntryDate],DATE(2026,10,5),tblDaily[WardCode],"MW")=0,"",SUMIFS(tblDaily[TransfersOut],tblDaily[EntryDate],DATE(2026,10,5),tblDaily[WardCode],"MW")),"")</f>
        <v/>
      </c>
      <c r="H362" s="12">
        <f>IFERROR(IF(SUMIFS(tblDaily[Remaining],tblDaily[EntryDate],DATE(2026,10,5),tblDaily[WardCode],"MW")=0,"",SUMIFS(tblDaily[Remaining],tblDaily[EntryDate],DATE(2026,10,5),tblDaily[WardCode],"MW")),"")</f>
        <v/>
      </c>
    </row>
    <row r="363">
      <c r="A363" s="12" t="n">
        <v>6</v>
      </c>
      <c r="B363" s="12">
        <f>IFERROR(IF(SUMIFS(tblDaily[Admissions],tblDaily[EntryDate],DATE(2026,10,6),tblDaily[WardCode],"MW")=0,"",SUMIFS(tblDaily[Admissions],tblDaily[EntryDate],DATE(2026,10,6),tblDaily[WardCode],"MW")),"")</f>
        <v/>
      </c>
      <c r="C363" s="12">
        <f>IFERROR(IF(SUMIFS(tblDaily[Discharges],tblDaily[EntryDate],DATE(2026,10,6),tblDaily[WardCode],"MW")=0,"",SUMIFS(tblDaily[Discharges],tblDaily[EntryDate],DATE(2026,10,6),tblDaily[WardCode],"MW")),"")</f>
        <v/>
      </c>
      <c r="D363" s="12">
        <f>IFERROR(IF(SUMIFS(tblDaily[Deaths],tblDaily[EntryDate],DATE(2026,10,6),tblDaily[WardCode],"MW")=0,"",SUMIFS(tblDaily[Deaths],tblDaily[EntryDate],DATE(2026,10,6),tblDaily[WardCode],"MW")),"")</f>
        <v/>
      </c>
      <c r="E363" s="12">
        <f>IFERROR(IF(SUMIFS(tblDaily[DeathsUnder24Hrs],tblDaily[EntryDate],DATE(2026,10,6),tblDaily[WardCode],"MW")=0,"",SUMIFS(tblDaily[DeathsUnder24Hrs],tblDaily[EntryDate],DATE(2026,10,6),tblDaily[WardCode],"MW")),"")</f>
        <v/>
      </c>
      <c r="F363" s="12">
        <f>IFERROR(IF(SUMIFS(tblDaily[TransfersIn],tblDaily[EntryDate],DATE(2026,10,6),tblDaily[WardCode],"MW")=0,"",SUMIFS(tblDaily[TransfersIn],tblDaily[EntryDate],DATE(2026,10,6),tblDaily[WardCode],"MW")),"")</f>
        <v/>
      </c>
      <c r="G363" s="12">
        <f>IFERROR(IF(SUMIFS(tblDaily[TransfersOut],tblDaily[EntryDate],DATE(2026,10,6),tblDaily[WardCode],"MW")=0,"",SUMIFS(tblDaily[TransfersOut],tblDaily[EntryDate],DATE(2026,10,6),tblDaily[WardCode],"MW")),"")</f>
        <v/>
      </c>
      <c r="H363" s="12">
        <f>IFERROR(IF(SUMIFS(tblDaily[Remaining],tblDaily[EntryDate],DATE(2026,10,6),tblDaily[WardCode],"MW")=0,"",SUMIFS(tblDaily[Remaining],tblDaily[EntryDate],DATE(2026,10,6),tblDaily[WardCode],"MW")),"")</f>
        <v/>
      </c>
    </row>
    <row r="364">
      <c r="A364" s="12" t="n">
        <v>7</v>
      </c>
      <c r="B364" s="12">
        <f>IFERROR(IF(SUMIFS(tblDaily[Admissions],tblDaily[EntryDate],DATE(2026,10,7),tblDaily[WardCode],"MW")=0,"",SUMIFS(tblDaily[Admissions],tblDaily[EntryDate],DATE(2026,10,7),tblDaily[WardCode],"MW")),"")</f>
        <v/>
      </c>
      <c r="C364" s="12">
        <f>IFERROR(IF(SUMIFS(tblDaily[Discharges],tblDaily[EntryDate],DATE(2026,10,7),tblDaily[WardCode],"MW")=0,"",SUMIFS(tblDaily[Discharges],tblDaily[EntryDate],DATE(2026,10,7),tblDaily[WardCode],"MW")),"")</f>
        <v/>
      </c>
      <c r="D364" s="12">
        <f>IFERROR(IF(SUMIFS(tblDaily[Deaths],tblDaily[EntryDate],DATE(2026,10,7),tblDaily[WardCode],"MW")=0,"",SUMIFS(tblDaily[Deaths],tblDaily[EntryDate],DATE(2026,10,7),tblDaily[WardCode],"MW")),"")</f>
        <v/>
      </c>
      <c r="E364" s="12">
        <f>IFERROR(IF(SUMIFS(tblDaily[DeathsUnder24Hrs],tblDaily[EntryDate],DATE(2026,10,7),tblDaily[WardCode],"MW")=0,"",SUMIFS(tblDaily[DeathsUnder24Hrs],tblDaily[EntryDate],DATE(2026,10,7),tblDaily[WardCode],"MW")),"")</f>
        <v/>
      </c>
      <c r="F364" s="12">
        <f>IFERROR(IF(SUMIFS(tblDaily[TransfersIn],tblDaily[EntryDate],DATE(2026,10,7),tblDaily[WardCode],"MW")=0,"",SUMIFS(tblDaily[TransfersIn],tblDaily[EntryDate],DATE(2026,10,7),tblDaily[WardCode],"MW")),"")</f>
        <v/>
      </c>
      <c r="G364" s="12">
        <f>IFERROR(IF(SUMIFS(tblDaily[TransfersOut],tblDaily[EntryDate],DATE(2026,10,7),tblDaily[WardCode],"MW")=0,"",SUMIFS(tblDaily[TransfersOut],tblDaily[EntryDate],DATE(2026,10,7),tblDaily[WardCode],"MW")),"")</f>
        <v/>
      </c>
      <c r="H364" s="12">
        <f>IFERROR(IF(SUMIFS(tblDaily[Remaining],tblDaily[EntryDate],DATE(2026,10,7),tblDaily[WardCode],"MW")=0,"",SUMIFS(tblDaily[Remaining],tblDaily[EntryDate],DATE(2026,10,7),tblDaily[WardCode],"MW")),"")</f>
        <v/>
      </c>
    </row>
    <row r="365">
      <c r="A365" s="12" t="n">
        <v>8</v>
      </c>
      <c r="B365" s="12">
        <f>IFERROR(IF(SUMIFS(tblDaily[Admissions],tblDaily[EntryDate],DATE(2026,10,8),tblDaily[WardCode],"MW")=0,"",SUMIFS(tblDaily[Admissions],tblDaily[EntryDate],DATE(2026,10,8),tblDaily[WardCode],"MW")),"")</f>
        <v/>
      </c>
      <c r="C365" s="12">
        <f>IFERROR(IF(SUMIFS(tblDaily[Discharges],tblDaily[EntryDate],DATE(2026,10,8),tblDaily[WardCode],"MW")=0,"",SUMIFS(tblDaily[Discharges],tblDaily[EntryDate],DATE(2026,10,8),tblDaily[WardCode],"MW")),"")</f>
        <v/>
      </c>
      <c r="D365" s="12">
        <f>IFERROR(IF(SUMIFS(tblDaily[Deaths],tblDaily[EntryDate],DATE(2026,10,8),tblDaily[WardCode],"MW")=0,"",SUMIFS(tblDaily[Deaths],tblDaily[EntryDate],DATE(2026,10,8),tblDaily[WardCode],"MW")),"")</f>
        <v/>
      </c>
      <c r="E365" s="12">
        <f>IFERROR(IF(SUMIFS(tblDaily[DeathsUnder24Hrs],tblDaily[EntryDate],DATE(2026,10,8),tblDaily[WardCode],"MW")=0,"",SUMIFS(tblDaily[DeathsUnder24Hrs],tblDaily[EntryDate],DATE(2026,10,8),tblDaily[WardCode],"MW")),"")</f>
        <v/>
      </c>
      <c r="F365" s="12">
        <f>IFERROR(IF(SUMIFS(tblDaily[TransfersIn],tblDaily[EntryDate],DATE(2026,10,8),tblDaily[WardCode],"MW")=0,"",SUMIFS(tblDaily[TransfersIn],tblDaily[EntryDate],DATE(2026,10,8),tblDaily[WardCode],"MW")),"")</f>
        <v/>
      </c>
      <c r="G365" s="12">
        <f>IFERROR(IF(SUMIFS(tblDaily[TransfersOut],tblDaily[EntryDate],DATE(2026,10,8),tblDaily[WardCode],"MW")=0,"",SUMIFS(tblDaily[TransfersOut],tblDaily[EntryDate],DATE(2026,10,8),tblDaily[WardCode],"MW")),"")</f>
        <v/>
      </c>
      <c r="H365" s="12">
        <f>IFERROR(IF(SUMIFS(tblDaily[Remaining],tblDaily[EntryDate],DATE(2026,10,8),tblDaily[WardCode],"MW")=0,"",SUMIFS(tblDaily[Remaining],tblDaily[EntryDate],DATE(2026,10,8),tblDaily[WardCode],"MW")),"")</f>
        <v/>
      </c>
    </row>
    <row r="366">
      <c r="A366" s="12" t="n">
        <v>9</v>
      </c>
      <c r="B366" s="12">
        <f>IFERROR(IF(SUMIFS(tblDaily[Admissions],tblDaily[EntryDate],DATE(2026,10,9),tblDaily[WardCode],"MW")=0,"",SUMIFS(tblDaily[Admissions],tblDaily[EntryDate],DATE(2026,10,9),tblDaily[WardCode],"MW")),"")</f>
        <v/>
      </c>
      <c r="C366" s="12">
        <f>IFERROR(IF(SUMIFS(tblDaily[Discharges],tblDaily[EntryDate],DATE(2026,10,9),tblDaily[WardCode],"MW")=0,"",SUMIFS(tblDaily[Discharges],tblDaily[EntryDate],DATE(2026,10,9),tblDaily[WardCode],"MW")),"")</f>
        <v/>
      </c>
      <c r="D366" s="12">
        <f>IFERROR(IF(SUMIFS(tblDaily[Deaths],tblDaily[EntryDate],DATE(2026,10,9),tblDaily[WardCode],"MW")=0,"",SUMIFS(tblDaily[Deaths],tblDaily[EntryDate],DATE(2026,10,9),tblDaily[WardCode],"MW")),"")</f>
        <v/>
      </c>
      <c r="E366" s="12">
        <f>IFERROR(IF(SUMIFS(tblDaily[DeathsUnder24Hrs],tblDaily[EntryDate],DATE(2026,10,9),tblDaily[WardCode],"MW")=0,"",SUMIFS(tblDaily[DeathsUnder24Hrs],tblDaily[EntryDate],DATE(2026,10,9),tblDaily[WardCode],"MW")),"")</f>
        <v/>
      </c>
      <c r="F366" s="12">
        <f>IFERROR(IF(SUMIFS(tblDaily[TransfersIn],tblDaily[EntryDate],DATE(2026,10,9),tblDaily[WardCode],"MW")=0,"",SUMIFS(tblDaily[TransfersIn],tblDaily[EntryDate],DATE(2026,10,9),tblDaily[WardCode],"MW")),"")</f>
        <v/>
      </c>
      <c r="G366" s="12">
        <f>IFERROR(IF(SUMIFS(tblDaily[TransfersOut],tblDaily[EntryDate],DATE(2026,10,9),tblDaily[WardCode],"MW")=0,"",SUMIFS(tblDaily[TransfersOut],tblDaily[EntryDate],DATE(2026,10,9),tblDaily[WardCode],"MW")),"")</f>
        <v/>
      </c>
      <c r="H366" s="12">
        <f>IFERROR(IF(SUMIFS(tblDaily[Remaining],tblDaily[EntryDate],DATE(2026,10,9),tblDaily[WardCode],"MW")=0,"",SUMIFS(tblDaily[Remaining],tblDaily[EntryDate],DATE(2026,10,9),tblDaily[WardCode],"MW")),"")</f>
        <v/>
      </c>
    </row>
    <row r="367">
      <c r="A367" s="12" t="n">
        <v>10</v>
      </c>
      <c r="B367" s="12">
        <f>IFERROR(IF(SUMIFS(tblDaily[Admissions],tblDaily[EntryDate],DATE(2026,10,10),tblDaily[WardCode],"MW")=0,"",SUMIFS(tblDaily[Admissions],tblDaily[EntryDate],DATE(2026,10,10),tblDaily[WardCode],"MW")),"")</f>
        <v/>
      </c>
      <c r="C367" s="12">
        <f>IFERROR(IF(SUMIFS(tblDaily[Discharges],tblDaily[EntryDate],DATE(2026,10,10),tblDaily[WardCode],"MW")=0,"",SUMIFS(tblDaily[Discharges],tblDaily[EntryDate],DATE(2026,10,10),tblDaily[WardCode],"MW")),"")</f>
        <v/>
      </c>
      <c r="D367" s="12">
        <f>IFERROR(IF(SUMIFS(tblDaily[Deaths],tblDaily[EntryDate],DATE(2026,10,10),tblDaily[WardCode],"MW")=0,"",SUMIFS(tblDaily[Deaths],tblDaily[EntryDate],DATE(2026,10,10),tblDaily[WardCode],"MW")),"")</f>
        <v/>
      </c>
      <c r="E367" s="12">
        <f>IFERROR(IF(SUMIFS(tblDaily[DeathsUnder24Hrs],tblDaily[EntryDate],DATE(2026,10,10),tblDaily[WardCode],"MW")=0,"",SUMIFS(tblDaily[DeathsUnder24Hrs],tblDaily[EntryDate],DATE(2026,10,10),tblDaily[WardCode],"MW")),"")</f>
        <v/>
      </c>
      <c r="F367" s="12">
        <f>IFERROR(IF(SUMIFS(tblDaily[TransfersIn],tblDaily[EntryDate],DATE(2026,10,10),tblDaily[WardCode],"MW")=0,"",SUMIFS(tblDaily[TransfersIn],tblDaily[EntryDate],DATE(2026,10,10),tblDaily[WardCode],"MW")),"")</f>
        <v/>
      </c>
      <c r="G367" s="12">
        <f>IFERROR(IF(SUMIFS(tblDaily[TransfersOut],tblDaily[EntryDate],DATE(2026,10,10),tblDaily[WardCode],"MW")=0,"",SUMIFS(tblDaily[TransfersOut],tblDaily[EntryDate],DATE(2026,10,10),tblDaily[WardCode],"MW")),"")</f>
        <v/>
      </c>
      <c r="H367" s="12">
        <f>IFERROR(IF(SUMIFS(tblDaily[Remaining],tblDaily[EntryDate],DATE(2026,10,10),tblDaily[WardCode],"MW")=0,"",SUMIFS(tblDaily[Remaining],tblDaily[EntryDate],DATE(2026,10,10),tblDaily[WardCode],"MW")),"")</f>
        <v/>
      </c>
    </row>
    <row r="368">
      <c r="A368" s="12" t="n">
        <v>11</v>
      </c>
      <c r="B368" s="12">
        <f>IFERROR(IF(SUMIFS(tblDaily[Admissions],tblDaily[EntryDate],DATE(2026,10,11),tblDaily[WardCode],"MW")=0,"",SUMIFS(tblDaily[Admissions],tblDaily[EntryDate],DATE(2026,10,11),tblDaily[WardCode],"MW")),"")</f>
        <v/>
      </c>
      <c r="C368" s="12">
        <f>IFERROR(IF(SUMIFS(tblDaily[Discharges],tblDaily[EntryDate],DATE(2026,10,11),tblDaily[WardCode],"MW")=0,"",SUMIFS(tblDaily[Discharges],tblDaily[EntryDate],DATE(2026,10,11),tblDaily[WardCode],"MW")),"")</f>
        <v/>
      </c>
      <c r="D368" s="12">
        <f>IFERROR(IF(SUMIFS(tblDaily[Deaths],tblDaily[EntryDate],DATE(2026,10,11),tblDaily[WardCode],"MW")=0,"",SUMIFS(tblDaily[Deaths],tblDaily[EntryDate],DATE(2026,10,11),tblDaily[WardCode],"MW")),"")</f>
        <v/>
      </c>
      <c r="E368" s="12">
        <f>IFERROR(IF(SUMIFS(tblDaily[DeathsUnder24Hrs],tblDaily[EntryDate],DATE(2026,10,11),tblDaily[WardCode],"MW")=0,"",SUMIFS(tblDaily[DeathsUnder24Hrs],tblDaily[EntryDate],DATE(2026,10,11),tblDaily[WardCode],"MW")),"")</f>
        <v/>
      </c>
      <c r="F368" s="12">
        <f>IFERROR(IF(SUMIFS(tblDaily[TransfersIn],tblDaily[EntryDate],DATE(2026,10,11),tblDaily[WardCode],"MW")=0,"",SUMIFS(tblDaily[TransfersIn],tblDaily[EntryDate],DATE(2026,10,11),tblDaily[WardCode],"MW")),"")</f>
        <v/>
      </c>
      <c r="G368" s="12">
        <f>IFERROR(IF(SUMIFS(tblDaily[TransfersOut],tblDaily[EntryDate],DATE(2026,10,11),tblDaily[WardCode],"MW")=0,"",SUMIFS(tblDaily[TransfersOut],tblDaily[EntryDate],DATE(2026,10,11),tblDaily[WardCode],"MW")),"")</f>
        <v/>
      </c>
      <c r="H368" s="12">
        <f>IFERROR(IF(SUMIFS(tblDaily[Remaining],tblDaily[EntryDate],DATE(2026,10,11),tblDaily[WardCode],"MW")=0,"",SUMIFS(tblDaily[Remaining],tblDaily[EntryDate],DATE(2026,10,11),tblDaily[WardCode],"MW")),"")</f>
        <v/>
      </c>
    </row>
    <row r="369">
      <c r="A369" s="12" t="n">
        <v>12</v>
      </c>
      <c r="B369" s="12">
        <f>IFERROR(IF(SUMIFS(tblDaily[Admissions],tblDaily[EntryDate],DATE(2026,10,12),tblDaily[WardCode],"MW")=0,"",SUMIFS(tblDaily[Admissions],tblDaily[EntryDate],DATE(2026,10,12),tblDaily[WardCode],"MW")),"")</f>
        <v/>
      </c>
      <c r="C369" s="12">
        <f>IFERROR(IF(SUMIFS(tblDaily[Discharges],tblDaily[EntryDate],DATE(2026,10,12),tblDaily[WardCode],"MW")=0,"",SUMIFS(tblDaily[Discharges],tblDaily[EntryDate],DATE(2026,10,12),tblDaily[WardCode],"MW")),"")</f>
        <v/>
      </c>
      <c r="D369" s="12">
        <f>IFERROR(IF(SUMIFS(tblDaily[Deaths],tblDaily[EntryDate],DATE(2026,10,12),tblDaily[WardCode],"MW")=0,"",SUMIFS(tblDaily[Deaths],tblDaily[EntryDate],DATE(2026,10,12),tblDaily[WardCode],"MW")),"")</f>
        <v/>
      </c>
      <c r="E369" s="12">
        <f>IFERROR(IF(SUMIFS(tblDaily[DeathsUnder24Hrs],tblDaily[EntryDate],DATE(2026,10,12),tblDaily[WardCode],"MW")=0,"",SUMIFS(tblDaily[DeathsUnder24Hrs],tblDaily[EntryDate],DATE(2026,10,12),tblDaily[WardCode],"MW")),"")</f>
        <v/>
      </c>
      <c r="F369" s="12">
        <f>IFERROR(IF(SUMIFS(tblDaily[TransfersIn],tblDaily[EntryDate],DATE(2026,10,12),tblDaily[WardCode],"MW")=0,"",SUMIFS(tblDaily[TransfersIn],tblDaily[EntryDate],DATE(2026,10,12),tblDaily[WardCode],"MW")),"")</f>
        <v/>
      </c>
      <c r="G369" s="12">
        <f>IFERROR(IF(SUMIFS(tblDaily[TransfersOut],tblDaily[EntryDate],DATE(2026,10,12),tblDaily[WardCode],"MW")=0,"",SUMIFS(tblDaily[TransfersOut],tblDaily[EntryDate],DATE(2026,10,12),tblDaily[WardCode],"MW")),"")</f>
        <v/>
      </c>
      <c r="H369" s="12">
        <f>IFERROR(IF(SUMIFS(tblDaily[Remaining],tblDaily[EntryDate],DATE(2026,10,12),tblDaily[WardCode],"MW")=0,"",SUMIFS(tblDaily[Remaining],tblDaily[EntryDate],DATE(2026,10,12),tblDaily[WardCode],"MW")),"")</f>
        <v/>
      </c>
    </row>
    <row r="370">
      <c r="A370" s="12" t="n">
        <v>13</v>
      </c>
      <c r="B370" s="12">
        <f>IFERROR(IF(SUMIFS(tblDaily[Admissions],tblDaily[EntryDate],DATE(2026,10,13),tblDaily[WardCode],"MW")=0,"",SUMIFS(tblDaily[Admissions],tblDaily[EntryDate],DATE(2026,10,13),tblDaily[WardCode],"MW")),"")</f>
        <v/>
      </c>
      <c r="C370" s="12">
        <f>IFERROR(IF(SUMIFS(tblDaily[Discharges],tblDaily[EntryDate],DATE(2026,10,13),tblDaily[WardCode],"MW")=0,"",SUMIFS(tblDaily[Discharges],tblDaily[EntryDate],DATE(2026,10,13),tblDaily[WardCode],"MW")),"")</f>
        <v/>
      </c>
      <c r="D370" s="12">
        <f>IFERROR(IF(SUMIFS(tblDaily[Deaths],tblDaily[EntryDate],DATE(2026,10,13),tblDaily[WardCode],"MW")=0,"",SUMIFS(tblDaily[Deaths],tblDaily[EntryDate],DATE(2026,10,13),tblDaily[WardCode],"MW")),"")</f>
        <v/>
      </c>
      <c r="E370" s="12">
        <f>IFERROR(IF(SUMIFS(tblDaily[DeathsUnder24Hrs],tblDaily[EntryDate],DATE(2026,10,13),tblDaily[WardCode],"MW")=0,"",SUMIFS(tblDaily[DeathsUnder24Hrs],tblDaily[EntryDate],DATE(2026,10,13),tblDaily[WardCode],"MW")),"")</f>
        <v/>
      </c>
      <c r="F370" s="12">
        <f>IFERROR(IF(SUMIFS(tblDaily[TransfersIn],tblDaily[EntryDate],DATE(2026,10,13),tblDaily[WardCode],"MW")=0,"",SUMIFS(tblDaily[TransfersIn],tblDaily[EntryDate],DATE(2026,10,13),tblDaily[WardCode],"MW")),"")</f>
        <v/>
      </c>
      <c r="G370" s="12">
        <f>IFERROR(IF(SUMIFS(tblDaily[TransfersOut],tblDaily[EntryDate],DATE(2026,10,13),tblDaily[WardCode],"MW")=0,"",SUMIFS(tblDaily[TransfersOut],tblDaily[EntryDate],DATE(2026,10,13),tblDaily[WardCode],"MW")),"")</f>
        <v/>
      </c>
      <c r="H370" s="12">
        <f>IFERROR(IF(SUMIFS(tblDaily[Remaining],tblDaily[EntryDate],DATE(2026,10,13),tblDaily[WardCode],"MW")=0,"",SUMIFS(tblDaily[Remaining],tblDaily[EntryDate],DATE(2026,10,13),tblDaily[WardCode],"MW")),"")</f>
        <v/>
      </c>
    </row>
    <row r="371">
      <c r="A371" s="12" t="n">
        <v>14</v>
      </c>
      <c r="B371" s="12">
        <f>IFERROR(IF(SUMIFS(tblDaily[Admissions],tblDaily[EntryDate],DATE(2026,10,14),tblDaily[WardCode],"MW")=0,"",SUMIFS(tblDaily[Admissions],tblDaily[EntryDate],DATE(2026,10,14),tblDaily[WardCode],"MW")),"")</f>
        <v/>
      </c>
      <c r="C371" s="12">
        <f>IFERROR(IF(SUMIFS(tblDaily[Discharges],tblDaily[EntryDate],DATE(2026,10,14),tblDaily[WardCode],"MW")=0,"",SUMIFS(tblDaily[Discharges],tblDaily[EntryDate],DATE(2026,10,14),tblDaily[WardCode],"MW")),"")</f>
        <v/>
      </c>
      <c r="D371" s="12">
        <f>IFERROR(IF(SUMIFS(tblDaily[Deaths],tblDaily[EntryDate],DATE(2026,10,14),tblDaily[WardCode],"MW")=0,"",SUMIFS(tblDaily[Deaths],tblDaily[EntryDate],DATE(2026,10,14),tblDaily[WardCode],"MW")),"")</f>
        <v/>
      </c>
      <c r="E371" s="12">
        <f>IFERROR(IF(SUMIFS(tblDaily[DeathsUnder24Hrs],tblDaily[EntryDate],DATE(2026,10,14),tblDaily[WardCode],"MW")=0,"",SUMIFS(tblDaily[DeathsUnder24Hrs],tblDaily[EntryDate],DATE(2026,10,14),tblDaily[WardCode],"MW")),"")</f>
        <v/>
      </c>
      <c r="F371" s="12">
        <f>IFERROR(IF(SUMIFS(tblDaily[TransfersIn],tblDaily[EntryDate],DATE(2026,10,14),tblDaily[WardCode],"MW")=0,"",SUMIFS(tblDaily[TransfersIn],tblDaily[EntryDate],DATE(2026,10,14),tblDaily[WardCode],"MW")),"")</f>
        <v/>
      </c>
      <c r="G371" s="12">
        <f>IFERROR(IF(SUMIFS(tblDaily[TransfersOut],tblDaily[EntryDate],DATE(2026,10,14),tblDaily[WardCode],"MW")=0,"",SUMIFS(tblDaily[TransfersOut],tblDaily[EntryDate],DATE(2026,10,14),tblDaily[WardCode],"MW")),"")</f>
        <v/>
      </c>
      <c r="H371" s="12">
        <f>IFERROR(IF(SUMIFS(tblDaily[Remaining],tblDaily[EntryDate],DATE(2026,10,14),tblDaily[WardCode],"MW")=0,"",SUMIFS(tblDaily[Remaining],tblDaily[EntryDate],DATE(2026,10,14),tblDaily[WardCode],"MW")),"")</f>
        <v/>
      </c>
    </row>
    <row r="372">
      <c r="A372" s="12" t="n">
        <v>15</v>
      </c>
      <c r="B372" s="12">
        <f>IFERROR(IF(SUMIFS(tblDaily[Admissions],tblDaily[EntryDate],DATE(2026,10,15),tblDaily[WardCode],"MW")=0,"",SUMIFS(tblDaily[Admissions],tblDaily[EntryDate],DATE(2026,10,15),tblDaily[WardCode],"MW")),"")</f>
        <v/>
      </c>
      <c r="C372" s="12">
        <f>IFERROR(IF(SUMIFS(tblDaily[Discharges],tblDaily[EntryDate],DATE(2026,10,15),tblDaily[WardCode],"MW")=0,"",SUMIFS(tblDaily[Discharges],tblDaily[EntryDate],DATE(2026,10,15),tblDaily[WardCode],"MW")),"")</f>
        <v/>
      </c>
      <c r="D372" s="12">
        <f>IFERROR(IF(SUMIFS(tblDaily[Deaths],tblDaily[EntryDate],DATE(2026,10,15),tblDaily[WardCode],"MW")=0,"",SUMIFS(tblDaily[Deaths],tblDaily[EntryDate],DATE(2026,10,15),tblDaily[WardCode],"MW")),"")</f>
        <v/>
      </c>
      <c r="E372" s="12">
        <f>IFERROR(IF(SUMIFS(tblDaily[DeathsUnder24Hrs],tblDaily[EntryDate],DATE(2026,10,15),tblDaily[WardCode],"MW")=0,"",SUMIFS(tblDaily[DeathsUnder24Hrs],tblDaily[EntryDate],DATE(2026,10,15),tblDaily[WardCode],"MW")),"")</f>
        <v/>
      </c>
      <c r="F372" s="12">
        <f>IFERROR(IF(SUMIFS(tblDaily[TransfersIn],tblDaily[EntryDate],DATE(2026,10,15),tblDaily[WardCode],"MW")=0,"",SUMIFS(tblDaily[TransfersIn],tblDaily[EntryDate],DATE(2026,10,15),tblDaily[WardCode],"MW")),"")</f>
        <v/>
      </c>
      <c r="G372" s="12">
        <f>IFERROR(IF(SUMIFS(tblDaily[TransfersOut],tblDaily[EntryDate],DATE(2026,10,15),tblDaily[WardCode],"MW")=0,"",SUMIFS(tblDaily[TransfersOut],tblDaily[EntryDate],DATE(2026,10,15),tblDaily[WardCode],"MW")),"")</f>
        <v/>
      </c>
      <c r="H372" s="12">
        <f>IFERROR(IF(SUMIFS(tblDaily[Remaining],tblDaily[EntryDate],DATE(2026,10,15),tblDaily[WardCode],"MW")=0,"",SUMIFS(tblDaily[Remaining],tblDaily[EntryDate],DATE(2026,10,15),tblDaily[WardCode],"MW")),"")</f>
        <v/>
      </c>
    </row>
    <row r="373">
      <c r="A373" s="12" t="n">
        <v>16</v>
      </c>
      <c r="B373" s="12">
        <f>IFERROR(IF(SUMIFS(tblDaily[Admissions],tblDaily[EntryDate],DATE(2026,10,16),tblDaily[WardCode],"MW")=0,"",SUMIFS(tblDaily[Admissions],tblDaily[EntryDate],DATE(2026,10,16),tblDaily[WardCode],"MW")),"")</f>
        <v/>
      </c>
      <c r="C373" s="12">
        <f>IFERROR(IF(SUMIFS(tblDaily[Discharges],tblDaily[EntryDate],DATE(2026,10,16),tblDaily[WardCode],"MW")=0,"",SUMIFS(tblDaily[Discharges],tblDaily[EntryDate],DATE(2026,10,16),tblDaily[WardCode],"MW")),"")</f>
        <v/>
      </c>
      <c r="D373" s="12">
        <f>IFERROR(IF(SUMIFS(tblDaily[Deaths],tblDaily[EntryDate],DATE(2026,10,16),tblDaily[WardCode],"MW")=0,"",SUMIFS(tblDaily[Deaths],tblDaily[EntryDate],DATE(2026,10,16),tblDaily[WardCode],"MW")),"")</f>
        <v/>
      </c>
      <c r="E373" s="12">
        <f>IFERROR(IF(SUMIFS(tblDaily[DeathsUnder24Hrs],tblDaily[EntryDate],DATE(2026,10,16),tblDaily[WardCode],"MW")=0,"",SUMIFS(tblDaily[DeathsUnder24Hrs],tblDaily[EntryDate],DATE(2026,10,16),tblDaily[WardCode],"MW")),"")</f>
        <v/>
      </c>
      <c r="F373" s="12">
        <f>IFERROR(IF(SUMIFS(tblDaily[TransfersIn],tblDaily[EntryDate],DATE(2026,10,16),tblDaily[WardCode],"MW")=0,"",SUMIFS(tblDaily[TransfersIn],tblDaily[EntryDate],DATE(2026,10,16),tblDaily[WardCode],"MW")),"")</f>
        <v/>
      </c>
      <c r="G373" s="12">
        <f>IFERROR(IF(SUMIFS(tblDaily[TransfersOut],tblDaily[EntryDate],DATE(2026,10,16),tblDaily[WardCode],"MW")=0,"",SUMIFS(tblDaily[TransfersOut],tblDaily[EntryDate],DATE(2026,10,16),tblDaily[WardCode],"MW")),"")</f>
        <v/>
      </c>
      <c r="H373" s="12">
        <f>IFERROR(IF(SUMIFS(tblDaily[Remaining],tblDaily[EntryDate],DATE(2026,10,16),tblDaily[WardCode],"MW")=0,"",SUMIFS(tblDaily[Remaining],tblDaily[EntryDate],DATE(2026,10,16),tblDaily[WardCode],"MW")),"")</f>
        <v/>
      </c>
    </row>
    <row r="374">
      <c r="A374" s="12" t="n">
        <v>17</v>
      </c>
      <c r="B374" s="12">
        <f>IFERROR(IF(SUMIFS(tblDaily[Admissions],tblDaily[EntryDate],DATE(2026,10,17),tblDaily[WardCode],"MW")=0,"",SUMIFS(tblDaily[Admissions],tblDaily[EntryDate],DATE(2026,10,17),tblDaily[WardCode],"MW")),"")</f>
        <v/>
      </c>
      <c r="C374" s="12">
        <f>IFERROR(IF(SUMIFS(tblDaily[Discharges],tblDaily[EntryDate],DATE(2026,10,17),tblDaily[WardCode],"MW")=0,"",SUMIFS(tblDaily[Discharges],tblDaily[EntryDate],DATE(2026,10,17),tblDaily[WardCode],"MW")),"")</f>
        <v/>
      </c>
      <c r="D374" s="12">
        <f>IFERROR(IF(SUMIFS(tblDaily[Deaths],tblDaily[EntryDate],DATE(2026,10,17),tblDaily[WardCode],"MW")=0,"",SUMIFS(tblDaily[Deaths],tblDaily[EntryDate],DATE(2026,10,17),tblDaily[WardCode],"MW")),"")</f>
        <v/>
      </c>
      <c r="E374" s="12">
        <f>IFERROR(IF(SUMIFS(tblDaily[DeathsUnder24Hrs],tblDaily[EntryDate],DATE(2026,10,17),tblDaily[WardCode],"MW")=0,"",SUMIFS(tblDaily[DeathsUnder24Hrs],tblDaily[EntryDate],DATE(2026,10,17),tblDaily[WardCode],"MW")),"")</f>
        <v/>
      </c>
      <c r="F374" s="12">
        <f>IFERROR(IF(SUMIFS(tblDaily[TransfersIn],tblDaily[EntryDate],DATE(2026,10,17),tblDaily[WardCode],"MW")=0,"",SUMIFS(tblDaily[TransfersIn],tblDaily[EntryDate],DATE(2026,10,17),tblDaily[WardCode],"MW")),"")</f>
        <v/>
      </c>
      <c r="G374" s="12">
        <f>IFERROR(IF(SUMIFS(tblDaily[TransfersOut],tblDaily[EntryDate],DATE(2026,10,17),tblDaily[WardCode],"MW")=0,"",SUMIFS(tblDaily[TransfersOut],tblDaily[EntryDate],DATE(2026,10,17),tblDaily[WardCode],"MW")),"")</f>
        <v/>
      </c>
      <c r="H374" s="12">
        <f>IFERROR(IF(SUMIFS(tblDaily[Remaining],tblDaily[EntryDate],DATE(2026,10,17),tblDaily[WardCode],"MW")=0,"",SUMIFS(tblDaily[Remaining],tblDaily[EntryDate],DATE(2026,10,17),tblDaily[WardCode],"MW")),"")</f>
        <v/>
      </c>
    </row>
    <row r="375">
      <c r="A375" s="12" t="n">
        <v>18</v>
      </c>
      <c r="B375" s="12">
        <f>IFERROR(IF(SUMIFS(tblDaily[Admissions],tblDaily[EntryDate],DATE(2026,10,18),tblDaily[WardCode],"MW")=0,"",SUMIFS(tblDaily[Admissions],tblDaily[EntryDate],DATE(2026,10,18),tblDaily[WardCode],"MW")),"")</f>
        <v/>
      </c>
      <c r="C375" s="12">
        <f>IFERROR(IF(SUMIFS(tblDaily[Discharges],tblDaily[EntryDate],DATE(2026,10,18),tblDaily[WardCode],"MW")=0,"",SUMIFS(tblDaily[Discharges],tblDaily[EntryDate],DATE(2026,10,18),tblDaily[WardCode],"MW")),"")</f>
        <v/>
      </c>
      <c r="D375" s="12">
        <f>IFERROR(IF(SUMIFS(tblDaily[Deaths],tblDaily[EntryDate],DATE(2026,10,18),tblDaily[WardCode],"MW")=0,"",SUMIFS(tblDaily[Deaths],tblDaily[EntryDate],DATE(2026,10,18),tblDaily[WardCode],"MW")),"")</f>
        <v/>
      </c>
      <c r="E375" s="12">
        <f>IFERROR(IF(SUMIFS(tblDaily[DeathsUnder24Hrs],tblDaily[EntryDate],DATE(2026,10,18),tblDaily[WardCode],"MW")=0,"",SUMIFS(tblDaily[DeathsUnder24Hrs],tblDaily[EntryDate],DATE(2026,10,18),tblDaily[WardCode],"MW")),"")</f>
        <v/>
      </c>
      <c r="F375" s="12">
        <f>IFERROR(IF(SUMIFS(tblDaily[TransfersIn],tblDaily[EntryDate],DATE(2026,10,18),tblDaily[WardCode],"MW")=0,"",SUMIFS(tblDaily[TransfersIn],tblDaily[EntryDate],DATE(2026,10,18),tblDaily[WardCode],"MW")),"")</f>
        <v/>
      </c>
      <c r="G375" s="12">
        <f>IFERROR(IF(SUMIFS(tblDaily[TransfersOut],tblDaily[EntryDate],DATE(2026,10,18),tblDaily[WardCode],"MW")=0,"",SUMIFS(tblDaily[TransfersOut],tblDaily[EntryDate],DATE(2026,10,18),tblDaily[WardCode],"MW")),"")</f>
        <v/>
      </c>
      <c r="H375" s="12">
        <f>IFERROR(IF(SUMIFS(tblDaily[Remaining],tblDaily[EntryDate],DATE(2026,10,18),tblDaily[WardCode],"MW")=0,"",SUMIFS(tblDaily[Remaining],tblDaily[EntryDate],DATE(2026,10,18),tblDaily[WardCode],"MW")),"")</f>
        <v/>
      </c>
    </row>
    <row r="376">
      <c r="A376" s="12" t="n">
        <v>19</v>
      </c>
      <c r="B376" s="12">
        <f>IFERROR(IF(SUMIFS(tblDaily[Admissions],tblDaily[EntryDate],DATE(2026,10,19),tblDaily[WardCode],"MW")=0,"",SUMIFS(tblDaily[Admissions],tblDaily[EntryDate],DATE(2026,10,19),tblDaily[WardCode],"MW")),"")</f>
        <v/>
      </c>
      <c r="C376" s="12">
        <f>IFERROR(IF(SUMIFS(tblDaily[Discharges],tblDaily[EntryDate],DATE(2026,10,19),tblDaily[WardCode],"MW")=0,"",SUMIFS(tblDaily[Discharges],tblDaily[EntryDate],DATE(2026,10,19),tblDaily[WardCode],"MW")),"")</f>
        <v/>
      </c>
      <c r="D376" s="12">
        <f>IFERROR(IF(SUMIFS(tblDaily[Deaths],tblDaily[EntryDate],DATE(2026,10,19),tblDaily[WardCode],"MW")=0,"",SUMIFS(tblDaily[Deaths],tblDaily[EntryDate],DATE(2026,10,19),tblDaily[WardCode],"MW")),"")</f>
        <v/>
      </c>
      <c r="E376" s="12">
        <f>IFERROR(IF(SUMIFS(tblDaily[DeathsUnder24Hrs],tblDaily[EntryDate],DATE(2026,10,19),tblDaily[WardCode],"MW")=0,"",SUMIFS(tblDaily[DeathsUnder24Hrs],tblDaily[EntryDate],DATE(2026,10,19),tblDaily[WardCode],"MW")),"")</f>
        <v/>
      </c>
      <c r="F376" s="12">
        <f>IFERROR(IF(SUMIFS(tblDaily[TransfersIn],tblDaily[EntryDate],DATE(2026,10,19),tblDaily[WardCode],"MW")=0,"",SUMIFS(tblDaily[TransfersIn],tblDaily[EntryDate],DATE(2026,10,19),tblDaily[WardCode],"MW")),"")</f>
        <v/>
      </c>
      <c r="G376" s="12">
        <f>IFERROR(IF(SUMIFS(tblDaily[TransfersOut],tblDaily[EntryDate],DATE(2026,10,19),tblDaily[WardCode],"MW")=0,"",SUMIFS(tblDaily[TransfersOut],tblDaily[EntryDate],DATE(2026,10,19),tblDaily[WardCode],"MW")),"")</f>
        <v/>
      </c>
      <c r="H376" s="12">
        <f>IFERROR(IF(SUMIFS(tblDaily[Remaining],tblDaily[EntryDate],DATE(2026,10,19),tblDaily[WardCode],"MW")=0,"",SUMIFS(tblDaily[Remaining],tblDaily[EntryDate],DATE(2026,10,19),tblDaily[WardCode],"MW")),"")</f>
        <v/>
      </c>
    </row>
    <row r="377">
      <c r="A377" s="12" t="n">
        <v>20</v>
      </c>
      <c r="B377" s="12">
        <f>IFERROR(IF(SUMIFS(tblDaily[Admissions],tblDaily[EntryDate],DATE(2026,10,20),tblDaily[WardCode],"MW")=0,"",SUMIFS(tblDaily[Admissions],tblDaily[EntryDate],DATE(2026,10,20),tblDaily[WardCode],"MW")),"")</f>
        <v/>
      </c>
      <c r="C377" s="12">
        <f>IFERROR(IF(SUMIFS(tblDaily[Discharges],tblDaily[EntryDate],DATE(2026,10,20),tblDaily[WardCode],"MW")=0,"",SUMIFS(tblDaily[Discharges],tblDaily[EntryDate],DATE(2026,10,20),tblDaily[WardCode],"MW")),"")</f>
        <v/>
      </c>
      <c r="D377" s="12">
        <f>IFERROR(IF(SUMIFS(tblDaily[Deaths],tblDaily[EntryDate],DATE(2026,10,20),tblDaily[WardCode],"MW")=0,"",SUMIFS(tblDaily[Deaths],tblDaily[EntryDate],DATE(2026,10,20),tblDaily[WardCode],"MW")),"")</f>
        <v/>
      </c>
      <c r="E377" s="12">
        <f>IFERROR(IF(SUMIFS(tblDaily[DeathsUnder24Hrs],tblDaily[EntryDate],DATE(2026,10,20),tblDaily[WardCode],"MW")=0,"",SUMIFS(tblDaily[DeathsUnder24Hrs],tblDaily[EntryDate],DATE(2026,10,20),tblDaily[WardCode],"MW")),"")</f>
        <v/>
      </c>
      <c r="F377" s="12">
        <f>IFERROR(IF(SUMIFS(tblDaily[TransfersIn],tblDaily[EntryDate],DATE(2026,10,20),tblDaily[WardCode],"MW")=0,"",SUMIFS(tblDaily[TransfersIn],tblDaily[EntryDate],DATE(2026,10,20),tblDaily[WardCode],"MW")),"")</f>
        <v/>
      </c>
      <c r="G377" s="12">
        <f>IFERROR(IF(SUMIFS(tblDaily[TransfersOut],tblDaily[EntryDate],DATE(2026,10,20),tblDaily[WardCode],"MW")=0,"",SUMIFS(tblDaily[TransfersOut],tblDaily[EntryDate],DATE(2026,10,20),tblDaily[WardCode],"MW")),"")</f>
        <v/>
      </c>
      <c r="H377" s="12">
        <f>IFERROR(IF(SUMIFS(tblDaily[Remaining],tblDaily[EntryDate],DATE(2026,10,20),tblDaily[WardCode],"MW")=0,"",SUMIFS(tblDaily[Remaining],tblDaily[EntryDate],DATE(2026,10,20),tblDaily[WardCode],"MW")),"")</f>
        <v/>
      </c>
    </row>
    <row r="378">
      <c r="A378" s="12" t="n">
        <v>21</v>
      </c>
      <c r="B378" s="12">
        <f>IFERROR(IF(SUMIFS(tblDaily[Admissions],tblDaily[EntryDate],DATE(2026,10,21),tblDaily[WardCode],"MW")=0,"",SUMIFS(tblDaily[Admissions],tblDaily[EntryDate],DATE(2026,10,21),tblDaily[WardCode],"MW")),"")</f>
        <v/>
      </c>
      <c r="C378" s="12">
        <f>IFERROR(IF(SUMIFS(tblDaily[Discharges],tblDaily[EntryDate],DATE(2026,10,21),tblDaily[WardCode],"MW")=0,"",SUMIFS(tblDaily[Discharges],tblDaily[EntryDate],DATE(2026,10,21),tblDaily[WardCode],"MW")),"")</f>
        <v/>
      </c>
      <c r="D378" s="12">
        <f>IFERROR(IF(SUMIFS(tblDaily[Deaths],tblDaily[EntryDate],DATE(2026,10,21),tblDaily[WardCode],"MW")=0,"",SUMIFS(tblDaily[Deaths],tblDaily[EntryDate],DATE(2026,10,21),tblDaily[WardCode],"MW")),"")</f>
        <v/>
      </c>
      <c r="E378" s="12">
        <f>IFERROR(IF(SUMIFS(tblDaily[DeathsUnder24Hrs],tblDaily[EntryDate],DATE(2026,10,21),tblDaily[WardCode],"MW")=0,"",SUMIFS(tblDaily[DeathsUnder24Hrs],tblDaily[EntryDate],DATE(2026,10,21),tblDaily[WardCode],"MW")),"")</f>
        <v/>
      </c>
      <c r="F378" s="12">
        <f>IFERROR(IF(SUMIFS(tblDaily[TransfersIn],tblDaily[EntryDate],DATE(2026,10,21),tblDaily[WardCode],"MW")=0,"",SUMIFS(tblDaily[TransfersIn],tblDaily[EntryDate],DATE(2026,10,21),tblDaily[WardCode],"MW")),"")</f>
        <v/>
      </c>
      <c r="G378" s="12">
        <f>IFERROR(IF(SUMIFS(tblDaily[TransfersOut],tblDaily[EntryDate],DATE(2026,10,21),tblDaily[WardCode],"MW")=0,"",SUMIFS(tblDaily[TransfersOut],tblDaily[EntryDate],DATE(2026,10,21),tblDaily[WardCode],"MW")),"")</f>
        <v/>
      </c>
      <c r="H378" s="12">
        <f>IFERROR(IF(SUMIFS(tblDaily[Remaining],tblDaily[EntryDate],DATE(2026,10,21),tblDaily[WardCode],"MW")=0,"",SUMIFS(tblDaily[Remaining],tblDaily[EntryDate],DATE(2026,10,21),tblDaily[WardCode],"MW")),"")</f>
        <v/>
      </c>
    </row>
    <row r="379">
      <c r="A379" s="12" t="n">
        <v>22</v>
      </c>
      <c r="B379" s="12">
        <f>IFERROR(IF(SUMIFS(tblDaily[Admissions],tblDaily[EntryDate],DATE(2026,10,22),tblDaily[WardCode],"MW")=0,"",SUMIFS(tblDaily[Admissions],tblDaily[EntryDate],DATE(2026,10,22),tblDaily[WardCode],"MW")),"")</f>
        <v/>
      </c>
      <c r="C379" s="12">
        <f>IFERROR(IF(SUMIFS(tblDaily[Discharges],tblDaily[EntryDate],DATE(2026,10,22),tblDaily[WardCode],"MW")=0,"",SUMIFS(tblDaily[Discharges],tblDaily[EntryDate],DATE(2026,10,22),tblDaily[WardCode],"MW")),"")</f>
        <v/>
      </c>
      <c r="D379" s="12">
        <f>IFERROR(IF(SUMIFS(tblDaily[Deaths],tblDaily[EntryDate],DATE(2026,10,22),tblDaily[WardCode],"MW")=0,"",SUMIFS(tblDaily[Deaths],tblDaily[EntryDate],DATE(2026,10,22),tblDaily[WardCode],"MW")),"")</f>
        <v/>
      </c>
      <c r="E379" s="12">
        <f>IFERROR(IF(SUMIFS(tblDaily[DeathsUnder24Hrs],tblDaily[EntryDate],DATE(2026,10,22),tblDaily[WardCode],"MW")=0,"",SUMIFS(tblDaily[DeathsUnder24Hrs],tblDaily[EntryDate],DATE(2026,10,22),tblDaily[WardCode],"MW")),"")</f>
        <v/>
      </c>
      <c r="F379" s="12">
        <f>IFERROR(IF(SUMIFS(tblDaily[TransfersIn],tblDaily[EntryDate],DATE(2026,10,22),tblDaily[WardCode],"MW")=0,"",SUMIFS(tblDaily[TransfersIn],tblDaily[EntryDate],DATE(2026,10,22),tblDaily[WardCode],"MW")),"")</f>
        <v/>
      </c>
      <c r="G379" s="12">
        <f>IFERROR(IF(SUMIFS(tblDaily[TransfersOut],tblDaily[EntryDate],DATE(2026,10,22),tblDaily[WardCode],"MW")=0,"",SUMIFS(tblDaily[TransfersOut],tblDaily[EntryDate],DATE(2026,10,22),tblDaily[WardCode],"MW")),"")</f>
        <v/>
      </c>
      <c r="H379" s="12">
        <f>IFERROR(IF(SUMIFS(tblDaily[Remaining],tblDaily[EntryDate],DATE(2026,10,22),tblDaily[WardCode],"MW")=0,"",SUMIFS(tblDaily[Remaining],tblDaily[EntryDate],DATE(2026,10,22),tblDaily[WardCode],"MW")),"")</f>
        <v/>
      </c>
    </row>
    <row r="380">
      <c r="A380" s="12" t="n">
        <v>23</v>
      </c>
      <c r="B380" s="12">
        <f>IFERROR(IF(SUMIFS(tblDaily[Admissions],tblDaily[EntryDate],DATE(2026,10,23),tblDaily[WardCode],"MW")=0,"",SUMIFS(tblDaily[Admissions],tblDaily[EntryDate],DATE(2026,10,23),tblDaily[WardCode],"MW")),"")</f>
        <v/>
      </c>
      <c r="C380" s="12">
        <f>IFERROR(IF(SUMIFS(tblDaily[Discharges],tblDaily[EntryDate],DATE(2026,10,23),tblDaily[WardCode],"MW")=0,"",SUMIFS(tblDaily[Discharges],tblDaily[EntryDate],DATE(2026,10,23),tblDaily[WardCode],"MW")),"")</f>
        <v/>
      </c>
      <c r="D380" s="12">
        <f>IFERROR(IF(SUMIFS(tblDaily[Deaths],tblDaily[EntryDate],DATE(2026,10,23),tblDaily[WardCode],"MW")=0,"",SUMIFS(tblDaily[Deaths],tblDaily[EntryDate],DATE(2026,10,23),tblDaily[WardCode],"MW")),"")</f>
        <v/>
      </c>
      <c r="E380" s="12">
        <f>IFERROR(IF(SUMIFS(tblDaily[DeathsUnder24Hrs],tblDaily[EntryDate],DATE(2026,10,23),tblDaily[WardCode],"MW")=0,"",SUMIFS(tblDaily[DeathsUnder24Hrs],tblDaily[EntryDate],DATE(2026,10,23),tblDaily[WardCode],"MW")),"")</f>
        <v/>
      </c>
      <c r="F380" s="12">
        <f>IFERROR(IF(SUMIFS(tblDaily[TransfersIn],tblDaily[EntryDate],DATE(2026,10,23),tblDaily[WardCode],"MW")=0,"",SUMIFS(tblDaily[TransfersIn],tblDaily[EntryDate],DATE(2026,10,23),tblDaily[WardCode],"MW")),"")</f>
        <v/>
      </c>
      <c r="G380" s="12">
        <f>IFERROR(IF(SUMIFS(tblDaily[TransfersOut],tblDaily[EntryDate],DATE(2026,10,23),tblDaily[WardCode],"MW")=0,"",SUMIFS(tblDaily[TransfersOut],tblDaily[EntryDate],DATE(2026,10,23),tblDaily[WardCode],"MW")),"")</f>
        <v/>
      </c>
      <c r="H380" s="12">
        <f>IFERROR(IF(SUMIFS(tblDaily[Remaining],tblDaily[EntryDate],DATE(2026,10,23),tblDaily[WardCode],"MW")=0,"",SUMIFS(tblDaily[Remaining],tblDaily[EntryDate],DATE(2026,10,23),tblDaily[WardCode],"MW")),"")</f>
        <v/>
      </c>
    </row>
    <row r="381">
      <c r="A381" s="12" t="n">
        <v>24</v>
      </c>
      <c r="B381" s="12">
        <f>IFERROR(IF(SUMIFS(tblDaily[Admissions],tblDaily[EntryDate],DATE(2026,10,24),tblDaily[WardCode],"MW")=0,"",SUMIFS(tblDaily[Admissions],tblDaily[EntryDate],DATE(2026,10,24),tblDaily[WardCode],"MW")),"")</f>
        <v/>
      </c>
      <c r="C381" s="12">
        <f>IFERROR(IF(SUMIFS(tblDaily[Discharges],tblDaily[EntryDate],DATE(2026,10,24),tblDaily[WardCode],"MW")=0,"",SUMIFS(tblDaily[Discharges],tblDaily[EntryDate],DATE(2026,10,24),tblDaily[WardCode],"MW")),"")</f>
        <v/>
      </c>
      <c r="D381" s="12">
        <f>IFERROR(IF(SUMIFS(tblDaily[Deaths],tblDaily[EntryDate],DATE(2026,10,24),tblDaily[WardCode],"MW")=0,"",SUMIFS(tblDaily[Deaths],tblDaily[EntryDate],DATE(2026,10,24),tblDaily[WardCode],"MW")),"")</f>
        <v/>
      </c>
      <c r="E381" s="12">
        <f>IFERROR(IF(SUMIFS(tblDaily[DeathsUnder24Hrs],tblDaily[EntryDate],DATE(2026,10,24),tblDaily[WardCode],"MW")=0,"",SUMIFS(tblDaily[DeathsUnder24Hrs],tblDaily[EntryDate],DATE(2026,10,24),tblDaily[WardCode],"MW")),"")</f>
        <v/>
      </c>
      <c r="F381" s="12">
        <f>IFERROR(IF(SUMIFS(tblDaily[TransfersIn],tblDaily[EntryDate],DATE(2026,10,24),tblDaily[WardCode],"MW")=0,"",SUMIFS(tblDaily[TransfersIn],tblDaily[EntryDate],DATE(2026,10,24),tblDaily[WardCode],"MW")),"")</f>
        <v/>
      </c>
      <c r="G381" s="12">
        <f>IFERROR(IF(SUMIFS(tblDaily[TransfersOut],tblDaily[EntryDate],DATE(2026,10,24),tblDaily[WardCode],"MW")=0,"",SUMIFS(tblDaily[TransfersOut],tblDaily[EntryDate],DATE(2026,10,24),tblDaily[WardCode],"MW")),"")</f>
        <v/>
      </c>
      <c r="H381" s="12">
        <f>IFERROR(IF(SUMIFS(tblDaily[Remaining],tblDaily[EntryDate],DATE(2026,10,24),tblDaily[WardCode],"MW")=0,"",SUMIFS(tblDaily[Remaining],tblDaily[EntryDate],DATE(2026,10,24),tblDaily[WardCode],"MW")),"")</f>
        <v/>
      </c>
    </row>
    <row r="382">
      <c r="A382" s="12" t="n">
        <v>25</v>
      </c>
      <c r="B382" s="12">
        <f>IFERROR(IF(SUMIFS(tblDaily[Admissions],tblDaily[EntryDate],DATE(2026,10,25),tblDaily[WardCode],"MW")=0,"",SUMIFS(tblDaily[Admissions],tblDaily[EntryDate],DATE(2026,10,25),tblDaily[WardCode],"MW")),"")</f>
        <v/>
      </c>
      <c r="C382" s="12">
        <f>IFERROR(IF(SUMIFS(tblDaily[Discharges],tblDaily[EntryDate],DATE(2026,10,25),tblDaily[WardCode],"MW")=0,"",SUMIFS(tblDaily[Discharges],tblDaily[EntryDate],DATE(2026,10,25),tblDaily[WardCode],"MW")),"")</f>
        <v/>
      </c>
      <c r="D382" s="12">
        <f>IFERROR(IF(SUMIFS(tblDaily[Deaths],tblDaily[EntryDate],DATE(2026,10,25),tblDaily[WardCode],"MW")=0,"",SUMIFS(tblDaily[Deaths],tblDaily[EntryDate],DATE(2026,10,25),tblDaily[WardCode],"MW")),"")</f>
        <v/>
      </c>
      <c r="E382" s="12">
        <f>IFERROR(IF(SUMIFS(tblDaily[DeathsUnder24Hrs],tblDaily[EntryDate],DATE(2026,10,25),tblDaily[WardCode],"MW")=0,"",SUMIFS(tblDaily[DeathsUnder24Hrs],tblDaily[EntryDate],DATE(2026,10,25),tblDaily[WardCode],"MW")),"")</f>
        <v/>
      </c>
      <c r="F382" s="12">
        <f>IFERROR(IF(SUMIFS(tblDaily[TransfersIn],tblDaily[EntryDate],DATE(2026,10,25),tblDaily[WardCode],"MW")=0,"",SUMIFS(tblDaily[TransfersIn],tblDaily[EntryDate],DATE(2026,10,25),tblDaily[WardCode],"MW")),"")</f>
        <v/>
      </c>
      <c r="G382" s="12">
        <f>IFERROR(IF(SUMIFS(tblDaily[TransfersOut],tblDaily[EntryDate],DATE(2026,10,25),tblDaily[WardCode],"MW")=0,"",SUMIFS(tblDaily[TransfersOut],tblDaily[EntryDate],DATE(2026,10,25),tblDaily[WardCode],"MW")),"")</f>
        <v/>
      </c>
      <c r="H382" s="12">
        <f>IFERROR(IF(SUMIFS(tblDaily[Remaining],tblDaily[EntryDate],DATE(2026,10,25),tblDaily[WardCode],"MW")=0,"",SUMIFS(tblDaily[Remaining],tblDaily[EntryDate],DATE(2026,10,25),tblDaily[WardCode],"MW")),"")</f>
        <v/>
      </c>
    </row>
    <row r="383">
      <c r="A383" s="12" t="n">
        <v>26</v>
      </c>
      <c r="B383" s="12">
        <f>IFERROR(IF(SUMIFS(tblDaily[Admissions],tblDaily[EntryDate],DATE(2026,10,26),tblDaily[WardCode],"MW")=0,"",SUMIFS(tblDaily[Admissions],tblDaily[EntryDate],DATE(2026,10,26),tblDaily[WardCode],"MW")),"")</f>
        <v/>
      </c>
      <c r="C383" s="12">
        <f>IFERROR(IF(SUMIFS(tblDaily[Discharges],tblDaily[EntryDate],DATE(2026,10,26),tblDaily[WardCode],"MW")=0,"",SUMIFS(tblDaily[Discharges],tblDaily[EntryDate],DATE(2026,10,26),tblDaily[WardCode],"MW")),"")</f>
        <v/>
      </c>
      <c r="D383" s="12">
        <f>IFERROR(IF(SUMIFS(tblDaily[Deaths],tblDaily[EntryDate],DATE(2026,10,26),tblDaily[WardCode],"MW")=0,"",SUMIFS(tblDaily[Deaths],tblDaily[EntryDate],DATE(2026,10,26),tblDaily[WardCode],"MW")),"")</f>
        <v/>
      </c>
      <c r="E383" s="12">
        <f>IFERROR(IF(SUMIFS(tblDaily[DeathsUnder24Hrs],tblDaily[EntryDate],DATE(2026,10,26),tblDaily[WardCode],"MW")=0,"",SUMIFS(tblDaily[DeathsUnder24Hrs],tblDaily[EntryDate],DATE(2026,10,26),tblDaily[WardCode],"MW")),"")</f>
        <v/>
      </c>
      <c r="F383" s="12">
        <f>IFERROR(IF(SUMIFS(tblDaily[TransfersIn],tblDaily[EntryDate],DATE(2026,10,26),tblDaily[WardCode],"MW")=0,"",SUMIFS(tblDaily[TransfersIn],tblDaily[EntryDate],DATE(2026,10,26),tblDaily[WardCode],"MW")),"")</f>
        <v/>
      </c>
      <c r="G383" s="12">
        <f>IFERROR(IF(SUMIFS(tblDaily[TransfersOut],tblDaily[EntryDate],DATE(2026,10,26),tblDaily[WardCode],"MW")=0,"",SUMIFS(tblDaily[TransfersOut],tblDaily[EntryDate],DATE(2026,10,26),tblDaily[WardCode],"MW")),"")</f>
        <v/>
      </c>
      <c r="H383" s="12">
        <f>IFERROR(IF(SUMIFS(tblDaily[Remaining],tblDaily[EntryDate],DATE(2026,10,26),tblDaily[WardCode],"MW")=0,"",SUMIFS(tblDaily[Remaining],tblDaily[EntryDate],DATE(2026,10,26),tblDaily[WardCode],"MW")),"")</f>
        <v/>
      </c>
    </row>
    <row r="384">
      <c r="A384" s="12" t="n">
        <v>27</v>
      </c>
      <c r="B384" s="12">
        <f>IFERROR(IF(SUMIFS(tblDaily[Admissions],tblDaily[EntryDate],DATE(2026,10,27),tblDaily[WardCode],"MW")=0,"",SUMIFS(tblDaily[Admissions],tblDaily[EntryDate],DATE(2026,10,27),tblDaily[WardCode],"MW")),"")</f>
        <v/>
      </c>
      <c r="C384" s="12">
        <f>IFERROR(IF(SUMIFS(tblDaily[Discharges],tblDaily[EntryDate],DATE(2026,10,27),tblDaily[WardCode],"MW")=0,"",SUMIFS(tblDaily[Discharges],tblDaily[EntryDate],DATE(2026,10,27),tblDaily[WardCode],"MW")),"")</f>
        <v/>
      </c>
      <c r="D384" s="12">
        <f>IFERROR(IF(SUMIFS(tblDaily[Deaths],tblDaily[EntryDate],DATE(2026,10,27),tblDaily[WardCode],"MW")=0,"",SUMIFS(tblDaily[Deaths],tblDaily[EntryDate],DATE(2026,10,27),tblDaily[WardCode],"MW")),"")</f>
        <v/>
      </c>
      <c r="E384" s="12">
        <f>IFERROR(IF(SUMIFS(tblDaily[DeathsUnder24Hrs],tblDaily[EntryDate],DATE(2026,10,27),tblDaily[WardCode],"MW")=0,"",SUMIFS(tblDaily[DeathsUnder24Hrs],tblDaily[EntryDate],DATE(2026,10,27),tblDaily[WardCode],"MW")),"")</f>
        <v/>
      </c>
      <c r="F384" s="12">
        <f>IFERROR(IF(SUMIFS(tblDaily[TransfersIn],tblDaily[EntryDate],DATE(2026,10,27),tblDaily[WardCode],"MW")=0,"",SUMIFS(tblDaily[TransfersIn],tblDaily[EntryDate],DATE(2026,10,27),tblDaily[WardCode],"MW")),"")</f>
        <v/>
      </c>
      <c r="G384" s="12">
        <f>IFERROR(IF(SUMIFS(tblDaily[TransfersOut],tblDaily[EntryDate],DATE(2026,10,27),tblDaily[WardCode],"MW")=0,"",SUMIFS(tblDaily[TransfersOut],tblDaily[EntryDate],DATE(2026,10,27),tblDaily[WardCode],"MW")),"")</f>
        <v/>
      </c>
      <c r="H384" s="12">
        <f>IFERROR(IF(SUMIFS(tblDaily[Remaining],tblDaily[EntryDate],DATE(2026,10,27),tblDaily[WardCode],"MW")=0,"",SUMIFS(tblDaily[Remaining],tblDaily[EntryDate],DATE(2026,10,27),tblDaily[WardCode],"MW")),"")</f>
        <v/>
      </c>
    </row>
    <row r="385">
      <c r="A385" s="12" t="n">
        <v>28</v>
      </c>
      <c r="B385" s="12">
        <f>IFERROR(IF(SUMIFS(tblDaily[Admissions],tblDaily[EntryDate],DATE(2026,10,28),tblDaily[WardCode],"MW")=0,"",SUMIFS(tblDaily[Admissions],tblDaily[EntryDate],DATE(2026,10,28),tblDaily[WardCode],"MW")),"")</f>
        <v/>
      </c>
      <c r="C385" s="12">
        <f>IFERROR(IF(SUMIFS(tblDaily[Discharges],tblDaily[EntryDate],DATE(2026,10,28),tblDaily[WardCode],"MW")=0,"",SUMIFS(tblDaily[Discharges],tblDaily[EntryDate],DATE(2026,10,28),tblDaily[WardCode],"MW")),"")</f>
        <v/>
      </c>
      <c r="D385" s="12">
        <f>IFERROR(IF(SUMIFS(tblDaily[Deaths],tblDaily[EntryDate],DATE(2026,10,28),tblDaily[WardCode],"MW")=0,"",SUMIFS(tblDaily[Deaths],tblDaily[EntryDate],DATE(2026,10,28),tblDaily[WardCode],"MW")),"")</f>
        <v/>
      </c>
      <c r="E385" s="12">
        <f>IFERROR(IF(SUMIFS(tblDaily[DeathsUnder24Hrs],tblDaily[EntryDate],DATE(2026,10,28),tblDaily[WardCode],"MW")=0,"",SUMIFS(tblDaily[DeathsUnder24Hrs],tblDaily[EntryDate],DATE(2026,10,28),tblDaily[WardCode],"MW")),"")</f>
        <v/>
      </c>
      <c r="F385" s="12">
        <f>IFERROR(IF(SUMIFS(tblDaily[TransfersIn],tblDaily[EntryDate],DATE(2026,10,28),tblDaily[WardCode],"MW")=0,"",SUMIFS(tblDaily[TransfersIn],tblDaily[EntryDate],DATE(2026,10,28),tblDaily[WardCode],"MW")),"")</f>
        <v/>
      </c>
      <c r="G385" s="12">
        <f>IFERROR(IF(SUMIFS(tblDaily[TransfersOut],tblDaily[EntryDate],DATE(2026,10,28),tblDaily[WardCode],"MW")=0,"",SUMIFS(tblDaily[TransfersOut],tblDaily[EntryDate],DATE(2026,10,28),tblDaily[WardCode],"MW")),"")</f>
        <v/>
      </c>
      <c r="H385" s="12">
        <f>IFERROR(IF(SUMIFS(tblDaily[Remaining],tblDaily[EntryDate],DATE(2026,10,28),tblDaily[WardCode],"MW")=0,"",SUMIFS(tblDaily[Remaining],tblDaily[EntryDate],DATE(2026,10,28),tblDaily[WardCode],"MW")),"")</f>
        <v/>
      </c>
    </row>
    <row r="386">
      <c r="A386" s="12" t="n">
        <v>29</v>
      </c>
      <c r="B386" s="12">
        <f>IFERROR(IF(SUMIFS(tblDaily[Admissions],tblDaily[EntryDate],DATE(2026,10,29),tblDaily[WardCode],"MW")=0,"",SUMIFS(tblDaily[Admissions],tblDaily[EntryDate],DATE(2026,10,29),tblDaily[WardCode],"MW")),"")</f>
        <v/>
      </c>
      <c r="C386" s="12">
        <f>IFERROR(IF(SUMIFS(tblDaily[Discharges],tblDaily[EntryDate],DATE(2026,10,29),tblDaily[WardCode],"MW")=0,"",SUMIFS(tblDaily[Discharges],tblDaily[EntryDate],DATE(2026,10,29),tblDaily[WardCode],"MW")),"")</f>
        <v/>
      </c>
      <c r="D386" s="12">
        <f>IFERROR(IF(SUMIFS(tblDaily[Deaths],tblDaily[EntryDate],DATE(2026,10,29),tblDaily[WardCode],"MW")=0,"",SUMIFS(tblDaily[Deaths],tblDaily[EntryDate],DATE(2026,10,29),tblDaily[WardCode],"MW")),"")</f>
        <v/>
      </c>
      <c r="E386" s="12">
        <f>IFERROR(IF(SUMIFS(tblDaily[DeathsUnder24Hrs],tblDaily[EntryDate],DATE(2026,10,29),tblDaily[WardCode],"MW")=0,"",SUMIFS(tblDaily[DeathsUnder24Hrs],tblDaily[EntryDate],DATE(2026,10,29),tblDaily[WardCode],"MW")),"")</f>
        <v/>
      </c>
      <c r="F386" s="12">
        <f>IFERROR(IF(SUMIFS(tblDaily[TransfersIn],tblDaily[EntryDate],DATE(2026,10,29),tblDaily[WardCode],"MW")=0,"",SUMIFS(tblDaily[TransfersIn],tblDaily[EntryDate],DATE(2026,10,29),tblDaily[WardCode],"MW")),"")</f>
        <v/>
      </c>
      <c r="G386" s="12">
        <f>IFERROR(IF(SUMIFS(tblDaily[TransfersOut],tblDaily[EntryDate],DATE(2026,10,29),tblDaily[WardCode],"MW")=0,"",SUMIFS(tblDaily[TransfersOut],tblDaily[EntryDate],DATE(2026,10,29),tblDaily[WardCode],"MW")),"")</f>
        <v/>
      </c>
      <c r="H386" s="12">
        <f>IFERROR(IF(SUMIFS(tblDaily[Remaining],tblDaily[EntryDate],DATE(2026,10,29),tblDaily[WardCode],"MW")=0,"",SUMIFS(tblDaily[Remaining],tblDaily[EntryDate],DATE(2026,10,29),tblDaily[WardCode],"MW")),"")</f>
        <v/>
      </c>
    </row>
    <row r="387">
      <c r="A387" s="12" t="n">
        <v>30</v>
      </c>
      <c r="B387" s="12">
        <f>IFERROR(IF(SUMIFS(tblDaily[Admissions],tblDaily[EntryDate],DATE(2026,10,30),tblDaily[WardCode],"MW")=0,"",SUMIFS(tblDaily[Admissions],tblDaily[EntryDate],DATE(2026,10,30),tblDaily[WardCode],"MW")),"")</f>
        <v/>
      </c>
      <c r="C387" s="12">
        <f>IFERROR(IF(SUMIFS(tblDaily[Discharges],tblDaily[EntryDate],DATE(2026,10,30),tblDaily[WardCode],"MW")=0,"",SUMIFS(tblDaily[Discharges],tblDaily[EntryDate],DATE(2026,10,30),tblDaily[WardCode],"MW")),"")</f>
        <v/>
      </c>
      <c r="D387" s="12">
        <f>IFERROR(IF(SUMIFS(tblDaily[Deaths],tblDaily[EntryDate],DATE(2026,10,30),tblDaily[WardCode],"MW")=0,"",SUMIFS(tblDaily[Deaths],tblDaily[EntryDate],DATE(2026,10,30),tblDaily[WardCode],"MW")),"")</f>
        <v/>
      </c>
      <c r="E387" s="12">
        <f>IFERROR(IF(SUMIFS(tblDaily[DeathsUnder24Hrs],tblDaily[EntryDate],DATE(2026,10,30),tblDaily[WardCode],"MW")=0,"",SUMIFS(tblDaily[DeathsUnder24Hrs],tblDaily[EntryDate],DATE(2026,10,30),tblDaily[WardCode],"MW")),"")</f>
        <v/>
      </c>
      <c r="F387" s="12">
        <f>IFERROR(IF(SUMIFS(tblDaily[TransfersIn],tblDaily[EntryDate],DATE(2026,10,30),tblDaily[WardCode],"MW")=0,"",SUMIFS(tblDaily[TransfersIn],tblDaily[EntryDate],DATE(2026,10,30),tblDaily[WardCode],"MW")),"")</f>
        <v/>
      </c>
      <c r="G387" s="12">
        <f>IFERROR(IF(SUMIFS(tblDaily[TransfersOut],tblDaily[EntryDate],DATE(2026,10,30),tblDaily[WardCode],"MW")=0,"",SUMIFS(tblDaily[TransfersOut],tblDaily[EntryDate],DATE(2026,10,30),tblDaily[WardCode],"MW")),"")</f>
        <v/>
      </c>
      <c r="H387" s="12">
        <f>IFERROR(IF(SUMIFS(tblDaily[Remaining],tblDaily[EntryDate],DATE(2026,10,30),tblDaily[WardCode],"MW")=0,"",SUMIFS(tblDaily[Remaining],tblDaily[EntryDate],DATE(2026,10,30),tblDaily[WardCode],"MW")),"")</f>
        <v/>
      </c>
    </row>
    <row r="388">
      <c r="A388" s="12" t="n">
        <v>31</v>
      </c>
      <c r="B388" s="12">
        <f>IFERROR(IF(SUMIFS(tblDaily[Admissions],tblDaily[EntryDate],DATE(2026,10,31),tblDaily[WardCode],"MW")=0,"",SUMIFS(tblDaily[Admissions],tblDaily[EntryDate],DATE(2026,10,31),tblDaily[WardCode],"MW")),"")</f>
        <v/>
      </c>
      <c r="C388" s="12">
        <f>IFERROR(IF(SUMIFS(tblDaily[Discharges],tblDaily[EntryDate],DATE(2026,10,31),tblDaily[WardCode],"MW")=0,"",SUMIFS(tblDaily[Discharges],tblDaily[EntryDate],DATE(2026,10,31),tblDaily[WardCode],"MW")),"")</f>
        <v/>
      </c>
      <c r="D388" s="12">
        <f>IFERROR(IF(SUMIFS(tblDaily[Deaths],tblDaily[EntryDate],DATE(2026,10,31),tblDaily[WardCode],"MW")=0,"",SUMIFS(tblDaily[Deaths],tblDaily[EntryDate],DATE(2026,10,31),tblDaily[WardCode],"MW")),"")</f>
        <v/>
      </c>
      <c r="E388" s="12">
        <f>IFERROR(IF(SUMIFS(tblDaily[DeathsUnder24Hrs],tblDaily[EntryDate],DATE(2026,10,31),tblDaily[WardCode],"MW")=0,"",SUMIFS(tblDaily[DeathsUnder24Hrs],tblDaily[EntryDate],DATE(2026,10,31),tblDaily[WardCode],"MW")),"")</f>
        <v/>
      </c>
      <c r="F388" s="12">
        <f>IFERROR(IF(SUMIFS(tblDaily[TransfersIn],tblDaily[EntryDate],DATE(2026,10,31),tblDaily[WardCode],"MW")=0,"",SUMIFS(tblDaily[TransfersIn],tblDaily[EntryDate],DATE(2026,10,31),tblDaily[WardCode],"MW")),"")</f>
        <v/>
      </c>
      <c r="G388" s="12">
        <f>IFERROR(IF(SUMIFS(tblDaily[TransfersOut],tblDaily[EntryDate],DATE(2026,10,31),tblDaily[WardCode],"MW")=0,"",SUMIFS(tblDaily[TransfersOut],tblDaily[EntryDate],DATE(2026,10,31),tblDaily[WardCode],"MW")),"")</f>
        <v/>
      </c>
      <c r="H388" s="12">
        <f>IFERROR(IF(SUMIFS(tblDaily[Remaining],tblDaily[EntryDate],DATE(2026,10,31),tblDaily[WardCode],"MW")=0,"",SUMIFS(tblDaily[Remaining],tblDaily[EntryDate],DATE(2026,10,31),tblDaily[WardCode],"MW")),"")</f>
        <v/>
      </c>
    </row>
    <row r="389">
      <c r="A389" s="17" t="inlineStr">
        <is>
          <t>TOTAL</t>
        </is>
      </c>
      <c r="B389" s="17">
        <f>SUMIFS(tblDaily[Admissions],tblDaily[Month],10,tblDaily[WardCode],"MW") - SUMIFS(tblDaily[DeathsUnder24Hrs],tblDaily[Month],10,tblDaily[WardCode],"MW")</f>
        <v/>
      </c>
      <c r="C389" s="17">
        <f>SUMIFS(tblDaily[Discharges],tblDaily[Month],10,tblDaily[WardCode],"MW")</f>
        <v/>
      </c>
      <c r="D389" s="17">
        <f>SUMIFS(tblDaily[Deaths],tblDaily[Month],10,tblDaily[WardCode],"MW")</f>
        <v/>
      </c>
      <c r="E389" s="17">
        <f>SUMIFS(tblDaily[DeathsUnder24Hrs],tblDaily[Month],10,tblDaily[WardCode],"MW")</f>
        <v/>
      </c>
      <c r="F389" s="17">
        <f>SUMIFS(tblDaily[TransfersIn],tblDaily[Month],10,tblDaily[WardCode],"MW")</f>
        <v/>
      </c>
      <c r="G389" s="17">
        <f>SUMIFS(tblDaily[TransfersOut],tblDaily[Month],10,tblDaily[WardCode],"MW")</f>
        <v/>
      </c>
      <c r="H389" s="17">
        <f>SUMIFS(tblDaily[Remaining],tblDaily[Month],10,tblDaily[WardCode],"MW")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MALE MEDICAL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4">
        <f>IFERROR(SUMIFS(tblDaily[Remaining],tblDaily[EntryDate],DATE(2026,10,31),tblDaily[WardCode],"MW"),0)</f>
        <v/>
      </c>
    </row>
    <row r="395">
      <c r="A395" s="4" t="inlineStr">
        <is>
          <t>Bed complement</t>
        </is>
      </c>
      <c r="H395" s="15">
        <f>IFERROR(INDEX(tblWardConfig[BedComplement],MATCH("MW",tblWardConfig[WardCode],0)),0)</f>
        <v/>
      </c>
    </row>
    <row r="396">
      <c r="A396" s="16" t="inlineStr">
        <is>
          <t>Day of
the
Month</t>
        </is>
      </c>
      <c r="B396" s="16" t="inlineStr">
        <is>
          <t>Admissions</t>
        </is>
      </c>
      <c r="C396" s="16" t="inlineStr">
        <is>
          <t>Discharges</t>
        </is>
      </c>
      <c r="D396" s="16" t="inlineStr">
        <is>
          <t>Deaths</t>
        </is>
      </c>
      <c r="E396" s="16" t="inlineStr">
        <is>
          <t>Deaths
&lt;24Hrs</t>
        </is>
      </c>
      <c r="F396" s="16" t="inlineStr">
        <is>
          <t>Transfers-
In</t>
        </is>
      </c>
      <c r="G396" s="16" t="inlineStr">
        <is>
          <t>Transfers-
Out</t>
        </is>
      </c>
      <c r="H396" s="16" t="inlineStr">
        <is>
          <t>No. of Patients
Remaining In
Ward</t>
        </is>
      </c>
    </row>
    <row r="397">
      <c r="A397" s="12" t="n">
        <v>1</v>
      </c>
      <c r="B397" s="12">
        <f>IFERROR(IF(SUMIFS(tblDaily[Admissions],tblDaily[EntryDate],DATE(2026,11,1),tblDaily[WardCode],"MW")=0,"",SUMIFS(tblDaily[Admissions],tblDaily[EntryDate],DATE(2026,11,1),tblDaily[WardCode],"MW")),"")</f>
        <v/>
      </c>
      <c r="C397" s="12">
        <f>IFERROR(IF(SUMIFS(tblDaily[Discharges],tblDaily[EntryDate],DATE(2026,11,1),tblDaily[WardCode],"MW")=0,"",SUMIFS(tblDaily[Discharges],tblDaily[EntryDate],DATE(2026,11,1),tblDaily[WardCode],"MW")),"")</f>
        <v/>
      </c>
      <c r="D397" s="12">
        <f>IFERROR(IF(SUMIFS(tblDaily[Deaths],tblDaily[EntryDate],DATE(2026,11,1),tblDaily[WardCode],"MW")=0,"",SUMIFS(tblDaily[Deaths],tblDaily[EntryDate],DATE(2026,11,1),tblDaily[WardCode],"MW")),"")</f>
        <v/>
      </c>
      <c r="E397" s="12">
        <f>IFERROR(IF(SUMIFS(tblDaily[DeathsUnder24Hrs],tblDaily[EntryDate],DATE(2026,11,1),tblDaily[WardCode],"MW")=0,"",SUMIFS(tblDaily[DeathsUnder24Hrs],tblDaily[EntryDate],DATE(2026,11,1),tblDaily[WardCode],"MW")),"")</f>
        <v/>
      </c>
      <c r="F397" s="12">
        <f>IFERROR(IF(SUMIFS(tblDaily[TransfersIn],tblDaily[EntryDate],DATE(2026,11,1),tblDaily[WardCode],"MW")=0,"",SUMIFS(tblDaily[TransfersIn],tblDaily[EntryDate],DATE(2026,11,1),tblDaily[WardCode],"MW")),"")</f>
        <v/>
      </c>
      <c r="G397" s="12">
        <f>IFERROR(IF(SUMIFS(tblDaily[TransfersOut],tblDaily[EntryDate],DATE(2026,11,1),tblDaily[WardCode],"MW")=0,"",SUMIFS(tblDaily[TransfersOut],tblDaily[EntryDate],DATE(2026,11,1),tblDaily[WardCode],"MW")),"")</f>
        <v/>
      </c>
      <c r="H397" s="12">
        <f>IFERROR(IF(SUMIFS(tblDaily[Remaining],tblDaily[EntryDate],DATE(2026,11,1),tblDaily[WardCode],"MW")=0,"",SUMIFS(tblDaily[Remaining],tblDaily[EntryDate],DATE(2026,11,1),tblDaily[WardCode],"MW")),"")</f>
        <v/>
      </c>
    </row>
    <row r="398">
      <c r="A398" s="12" t="n">
        <v>2</v>
      </c>
      <c r="B398" s="12">
        <f>IFERROR(IF(SUMIFS(tblDaily[Admissions],tblDaily[EntryDate],DATE(2026,11,2),tblDaily[WardCode],"MW")=0,"",SUMIFS(tblDaily[Admissions],tblDaily[EntryDate],DATE(2026,11,2),tblDaily[WardCode],"MW")),"")</f>
        <v/>
      </c>
      <c r="C398" s="12">
        <f>IFERROR(IF(SUMIFS(tblDaily[Discharges],tblDaily[EntryDate],DATE(2026,11,2),tblDaily[WardCode],"MW")=0,"",SUMIFS(tblDaily[Discharges],tblDaily[EntryDate],DATE(2026,11,2),tblDaily[WardCode],"MW")),"")</f>
        <v/>
      </c>
      <c r="D398" s="12">
        <f>IFERROR(IF(SUMIFS(tblDaily[Deaths],tblDaily[EntryDate],DATE(2026,11,2),tblDaily[WardCode],"MW")=0,"",SUMIFS(tblDaily[Deaths],tblDaily[EntryDate],DATE(2026,11,2),tblDaily[WardCode],"MW")),"")</f>
        <v/>
      </c>
      <c r="E398" s="12">
        <f>IFERROR(IF(SUMIFS(tblDaily[DeathsUnder24Hrs],tblDaily[EntryDate],DATE(2026,11,2),tblDaily[WardCode],"MW")=0,"",SUMIFS(tblDaily[DeathsUnder24Hrs],tblDaily[EntryDate],DATE(2026,11,2),tblDaily[WardCode],"MW")),"")</f>
        <v/>
      </c>
      <c r="F398" s="12">
        <f>IFERROR(IF(SUMIFS(tblDaily[TransfersIn],tblDaily[EntryDate],DATE(2026,11,2),tblDaily[WardCode],"MW")=0,"",SUMIFS(tblDaily[TransfersIn],tblDaily[EntryDate],DATE(2026,11,2),tblDaily[WardCode],"MW")),"")</f>
        <v/>
      </c>
      <c r="G398" s="12">
        <f>IFERROR(IF(SUMIFS(tblDaily[TransfersOut],tblDaily[EntryDate],DATE(2026,11,2),tblDaily[WardCode],"MW")=0,"",SUMIFS(tblDaily[TransfersOut],tblDaily[EntryDate],DATE(2026,11,2),tblDaily[WardCode],"MW")),"")</f>
        <v/>
      </c>
      <c r="H398" s="12">
        <f>IFERROR(IF(SUMIFS(tblDaily[Remaining],tblDaily[EntryDate],DATE(2026,11,2),tblDaily[WardCode],"MW")=0,"",SUMIFS(tblDaily[Remaining],tblDaily[EntryDate],DATE(2026,11,2),tblDaily[WardCode],"MW")),"")</f>
        <v/>
      </c>
    </row>
    <row r="399">
      <c r="A399" s="12" t="n">
        <v>3</v>
      </c>
      <c r="B399" s="12">
        <f>IFERROR(IF(SUMIFS(tblDaily[Admissions],tblDaily[EntryDate],DATE(2026,11,3),tblDaily[WardCode],"MW")=0,"",SUMIFS(tblDaily[Admissions],tblDaily[EntryDate],DATE(2026,11,3),tblDaily[WardCode],"MW")),"")</f>
        <v/>
      </c>
      <c r="C399" s="12">
        <f>IFERROR(IF(SUMIFS(tblDaily[Discharges],tblDaily[EntryDate],DATE(2026,11,3),tblDaily[WardCode],"MW")=0,"",SUMIFS(tblDaily[Discharges],tblDaily[EntryDate],DATE(2026,11,3),tblDaily[WardCode],"MW")),"")</f>
        <v/>
      </c>
      <c r="D399" s="12">
        <f>IFERROR(IF(SUMIFS(tblDaily[Deaths],tblDaily[EntryDate],DATE(2026,11,3),tblDaily[WardCode],"MW")=0,"",SUMIFS(tblDaily[Deaths],tblDaily[EntryDate],DATE(2026,11,3),tblDaily[WardCode],"MW")),"")</f>
        <v/>
      </c>
      <c r="E399" s="12">
        <f>IFERROR(IF(SUMIFS(tblDaily[DeathsUnder24Hrs],tblDaily[EntryDate],DATE(2026,11,3),tblDaily[WardCode],"MW")=0,"",SUMIFS(tblDaily[DeathsUnder24Hrs],tblDaily[EntryDate],DATE(2026,11,3),tblDaily[WardCode],"MW")),"")</f>
        <v/>
      </c>
      <c r="F399" s="12">
        <f>IFERROR(IF(SUMIFS(tblDaily[TransfersIn],tblDaily[EntryDate],DATE(2026,11,3),tblDaily[WardCode],"MW")=0,"",SUMIFS(tblDaily[TransfersIn],tblDaily[EntryDate],DATE(2026,11,3),tblDaily[WardCode],"MW")),"")</f>
        <v/>
      </c>
      <c r="G399" s="12">
        <f>IFERROR(IF(SUMIFS(tblDaily[TransfersOut],tblDaily[EntryDate],DATE(2026,11,3),tblDaily[WardCode],"MW")=0,"",SUMIFS(tblDaily[TransfersOut],tblDaily[EntryDate],DATE(2026,11,3),tblDaily[WardCode],"MW")),"")</f>
        <v/>
      </c>
      <c r="H399" s="12">
        <f>IFERROR(IF(SUMIFS(tblDaily[Remaining],tblDaily[EntryDate],DATE(2026,11,3),tblDaily[WardCode],"MW")=0,"",SUMIFS(tblDaily[Remaining],tblDaily[EntryDate],DATE(2026,11,3),tblDaily[WardCode],"MW")),"")</f>
        <v/>
      </c>
    </row>
    <row r="400">
      <c r="A400" s="12" t="n">
        <v>4</v>
      </c>
      <c r="B400" s="12">
        <f>IFERROR(IF(SUMIFS(tblDaily[Admissions],tblDaily[EntryDate],DATE(2026,11,4),tblDaily[WardCode],"MW")=0,"",SUMIFS(tblDaily[Admissions],tblDaily[EntryDate],DATE(2026,11,4),tblDaily[WardCode],"MW")),"")</f>
        <v/>
      </c>
      <c r="C400" s="12">
        <f>IFERROR(IF(SUMIFS(tblDaily[Discharges],tblDaily[EntryDate],DATE(2026,11,4),tblDaily[WardCode],"MW")=0,"",SUMIFS(tblDaily[Discharges],tblDaily[EntryDate],DATE(2026,11,4),tblDaily[WardCode],"MW")),"")</f>
        <v/>
      </c>
      <c r="D400" s="12">
        <f>IFERROR(IF(SUMIFS(tblDaily[Deaths],tblDaily[EntryDate],DATE(2026,11,4),tblDaily[WardCode],"MW")=0,"",SUMIFS(tblDaily[Deaths],tblDaily[EntryDate],DATE(2026,11,4),tblDaily[WardCode],"MW")),"")</f>
        <v/>
      </c>
      <c r="E400" s="12">
        <f>IFERROR(IF(SUMIFS(tblDaily[DeathsUnder24Hrs],tblDaily[EntryDate],DATE(2026,11,4),tblDaily[WardCode],"MW")=0,"",SUMIFS(tblDaily[DeathsUnder24Hrs],tblDaily[EntryDate],DATE(2026,11,4),tblDaily[WardCode],"MW")),"")</f>
        <v/>
      </c>
      <c r="F400" s="12">
        <f>IFERROR(IF(SUMIFS(tblDaily[TransfersIn],tblDaily[EntryDate],DATE(2026,11,4),tblDaily[WardCode],"MW")=0,"",SUMIFS(tblDaily[TransfersIn],tblDaily[EntryDate],DATE(2026,11,4),tblDaily[WardCode],"MW")),"")</f>
        <v/>
      </c>
      <c r="G400" s="12">
        <f>IFERROR(IF(SUMIFS(tblDaily[TransfersOut],tblDaily[EntryDate],DATE(2026,11,4),tblDaily[WardCode],"MW")=0,"",SUMIFS(tblDaily[TransfersOut],tblDaily[EntryDate],DATE(2026,11,4),tblDaily[WardCode],"MW")),"")</f>
        <v/>
      </c>
      <c r="H400" s="12">
        <f>IFERROR(IF(SUMIFS(tblDaily[Remaining],tblDaily[EntryDate],DATE(2026,11,4),tblDaily[WardCode],"MW")=0,"",SUMIFS(tblDaily[Remaining],tblDaily[EntryDate],DATE(2026,11,4),tblDaily[WardCode],"MW")),"")</f>
        <v/>
      </c>
    </row>
    <row r="401">
      <c r="A401" s="12" t="n">
        <v>5</v>
      </c>
      <c r="B401" s="12">
        <f>IFERROR(IF(SUMIFS(tblDaily[Admissions],tblDaily[EntryDate],DATE(2026,11,5),tblDaily[WardCode],"MW")=0,"",SUMIFS(tblDaily[Admissions],tblDaily[EntryDate],DATE(2026,11,5),tblDaily[WardCode],"MW")),"")</f>
        <v/>
      </c>
      <c r="C401" s="12">
        <f>IFERROR(IF(SUMIFS(tblDaily[Discharges],tblDaily[EntryDate],DATE(2026,11,5),tblDaily[WardCode],"MW")=0,"",SUMIFS(tblDaily[Discharges],tblDaily[EntryDate],DATE(2026,11,5),tblDaily[WardCode],"MW")),"")</f>
        <v/>
      </c>
      <c r="D401" s="12">
        <f>IFERROR(IF(SUMIFS(tblDaily[Deaths],tblDaily[EntryDate],DATE(2026,11,5),tblDaily[WardCode],"MW")=0,"",SUMIFS(tblDaily[Deaths],tblDaily[EntryDate],DATE(2026,11,5),tblDaily[WardCode],"MW")),"")</f>
        <v/>
      </c>
      <c r="E401" s="12">
        <f>IFERROR(IF(SUMIFS(tblDaily[DeathsUnder24Hrs],tblDaily[EntryDate],DATE(2026,11,5),tblDaily[WardCode],"MW")=0,"",SUMIFS(tblDaily[DeathsUnder24Hrs],tblDaily[EntryDate],DATE(2026,11,5),tblDaily[WardCode],"MW")),"")</f>
        <v/>
      </c>
      <c r="F401" s="12">
        <f>IFERROR(IF(SUMIFS(tblDaily[TransfersIn],tblDaily[EntryDate],DATE(2026,11,5),tblDaily[WardCode],"MW")=0,"",SUMIFS(tblDaily[TransfersIn],tblDaily[EntryDate],DATE(2026,11,5),tblDaily[WardCode],"MW")),"")</f>
        <v/>
      </c>
      <c r="G401" s="12">
        <f>IFERROR(IF(SUMIFS(tblDaily[TransfersOut],tblDaily[EntryDate],DATE(2026,11,5),tblDaily[WardCode],"MW")=0,"",SUMIFS(tblDaily[TransfersOut],tblDaily[EntryDate],DATE(2026,11,5),tblDaily[WardCode],"MW")),"")</f>
        <v/>
      </c>
      <c r="H401" s="12">
        <f>IFERROR(IF(SUMIFS(tblDaily[Remaining],tblDaily[EntryDate],DATE(2026,11,5),tblDaily[WardCode],"MW")=0,"",SUMIFS(tblDaily[Remaining],tblDaily[EntryDate],DATE(2026,11,5),tblDaily[WardCode],"MW")),"")</f>
        <v/>
      </c>
    </row>
    <row r="402">
      <c r="A402" s="12" t="n">
        <v>6</v>
      </c>
      <c r="B402" s="12">
        <f>IFERROR(IF(SUMIFS(tblDaily[Admissions],tblDaily[EntryDate],DATE(2026,11,6),tblDaily[WardCode],"MW")=0,"",SUMIFS(tblDaily[Admissions],tblDaily[EntryDate],DATE(2026,11,6),tblDaily[WardCode],"MW")),"")</f>
        <v/>
      </c>
      <c r="C402" s="12">
        <f>IFERROR(IF(SUMIFS(tblDaily[Discharges],tblDaily[EntryDate],DATE(2026,11,6),tblDaily[WardCode],"MW")=0,"",SUMIFS(tblDaily[Discharges],tblDaily[EntryDate],DATE(2026,11,6),tblDaily[WardCode],"MW")),"")</f>
        <v/>
      </c>
      <c r="D402" s="12">
        <f>IFERROR(IF(SUMIFS(tblDaily[Deaths],tblDaily[EntryDate],DATE(2026,11,6),tblDaily[WardCode],"MW")=0,"",SUMIFS(tblDaily[Deaths],tblDaily[EntryDate],DATE(2026,11,6),tblDaily[WardCode],"MW")),"")</f>
        <v/>
      </c>
      <c r="E402" s="12">
        <f>IFERROR(IF(SUMIFS(tblDaily[DeathsUnder24Hrs],tblDaily[EntryDate],DATE(2026,11,6),tblDaily[WardCode],"MW")=0,"",SUMIFS(tblDaily[DeathsUnder24Hrs],tblDaily[EntryDate],DATE(2026,11,6),tblDaily[WardCode],"MW")),"")</f>
        <v/>
      </c>
      <c r="F402" s="12">
        <f>IFERROR(IF(SUMIFS(tblDaily[TransfersIn],tblDaily[EntryDate],DATE(2026,11,6),tblDaily[WardCode],"MW")=0,"",SUMIFS(tblDaily[TransfersIn],tblDaily[EntryDate],DATE(2026,11,6),tblDaily[WardCode],"MW")),"")</f>
        <v/>
      </c>
      <c r="G402" s="12">
        <f>IFERROR(IF(SUMIFS(tblDaily[TransfersOut],tblDaily[EntryDate],DATE(2026,11,6),tblDaily[WardCode],"MW")=0,"",SUMIFS(tblDaily[TransfersOut],tblDaily[EntryDate],DATE(2026,11,6),tblDaily[WardCode],"MW")),"")</f>
        <v/>
      </c>
      <c r="H402" s="12">
        <f>IFERROR(IF(SUMIFS(tblDaily[Remaining],tblDaily[EntryDate],DATE(2026,11,6),tblDaily[WardCode],"MW")=0,"",SUMIFS(tblDaily[Remaining],tblDaily[EntryDate],DATE(2026,11,6),tblDaily[WardCode],"MW")),"")</f>
        <v/>
      </c>
    </row>
    <row r="403">
      <c r="A403" s="12" t="n">
        <v>7</v>
      </c>
      <c r="B403" s="12">
        <f>IFERROR(IF(SUMIFS(tblDaily[Admissions],tblDaily[EntryDate],DATE(2026,11,7),tblDaily[WardCode],"MW")=0,"",SUMIFS(tblDaily[Admissions],tblDaily[EntryDate],DATE(2026,11,7),tblDaily[WardCode],"MW")),"")</f>
        <v/>
      </c>
      <c r="C403" s="12">
        <f>IFERROR(IF(SUMIFS(tblDaily[Discharges],tblDaily[EntryDate],DATE(2026,11,7),tblDaily[WardCode],"MW")=0,"",SUMIFS(tblDaily[Discharges],tblDaily[EntryDate],DATE(2026,11,7),tblDaily[WardCode],"MW")),"")</f>
        <v/>
      </c>
      <c r="D403" s="12">
        <f>IFERROR(IF(SUMIFS(tblDaily[Deaths],tblDaily[EntryDate],DATE(2026,11,7),tblDaily[WardCode],"MW")=0,"",SUMIFS(tblDaily[Deaths],tblDaily[EntryDate],DATE(2026,11,7),tblDaily[WardCode],"MW")),"")</f>
        <v/>
      </c>
      <c r="E403" s="12">
        <f>IFERROR(IF(SUMIFS(tblDaily[DeathsUnder24Hrs],tblDaily[EntryDate],DATE(2026,11,7),tblDaily[WardCode],"MW")=0,"",SUMIFS(tblDaily[DeathsUnder24Hrs],tblDaily[EntryDate],DATE(2026,11,7),tblDaily[WardCode],"MW")),"")</f>
        <v/>
      </c>
      <c r="F403" s="12">
        <f>IFERROR(IF(SUMIFS(tblDaily[TransfersIn],tblDaily[EntryDate],DATE(2026,11,7),tblDaily[WardCode],"MW")=0,"",SUMIFS(tblDaily[TransfersIn],tblDaily[EntryDate],DATE(2026,11,7),tblDaily[WardCode],"MW")),"")</f>
        <v/>
      </c>
      <c r="G403" s="12">
        <f>IFERROR(IF(SUMIFS(tblDaily[TransfersOut],tblDaily[EntryDate],DATE(2026,11,7),tblDaily[WardCode],"MW")=0,"",SUMIFS(tblDaily[TransfersOut],tblDaily[EntryDate],DATE(2026,11,7),tblDaily[WardCode],"MW")),"")</f>
        <v/>
      </c>
      <c r="H403" s="12">
        <f>IFERROR(IF(SUMIFS(tblDaily[Remaining],tblDaily[EntryDate],DATE(2026,11,7),tblDaily[WardCode],"MW")=0,"",SUMIFS(tblDaily[Remaining],tblDaily[EntryDate],DATE(2026,11,7),tblDaily[WardCode],"MW")),"")</f>
        <v/>
      </c>
    </row>
    <row r="404">
      <c r="A404" s="12" t="n">
        <v>8</v>
      </c>
      <c r="B404" s="12">
        <f>IFERROR(IF(SUMIFS(tblDaily[Admissions],tblDaily[EntryDate],DATE(2026,11,8),tblDaily[WardCode],"MW")=0,"",SUMIFS(tblDaily[Admissions],tblDaily[EntryDate],DATE(2026,11,8),tblDaily[WardCode],"MW")),"")</f>
        <v/>
      </c>
      <c r="C404" s="12">
        <f>IFERROR(IF(SUMIFS(tblDaily[Discharges],tblDaily[EntryDate],DATE(2026,11,8),tblDaily[WardCode],"MW")=0,"",SUMIFS(tblDaily[Discharges],tblDaily[EntryDate],DATE(2026,11,8),tblDaily[WardCode],"MW")),"")</f>
        <v/>
      </c>
      <c r="D404" s="12">
        <f>IFERROR(IF(SUMIFS(tblDaily[Deaths],tblDaily[EntryDate],DATE(2026,11,8),tblDaily[WardCode],"MW")=0,"",SUMIFS(tblDaily[Deaths],tblDaily[EntryDate],DATE(2026,11,8),tblDaily[WardCode],"MW")),"")</f>
        <v/>
      </c>
      <c r="E404" s="12">
        <f>IFERROR(IF(SUMIFS(tblDaily[DeathsUnder24Hrs],tblDaily[EntryDate],DATE(2026,11,8),tblDaily[WardCode],"MW")=0,"",SUMIFS(tblDaily[DeathsUnder24Hrs],tblDaily[EntryDate],DATE(2026,11,8),tblDaily[WardCode],"MW")),"")</f>
        <v/>
      </c>
      <c r="F404" s="12">
        <f>IFERROR(IF(SUMIFS(tblDaily[TransfersIn],tblDaily[EntryDate],DATE(2026,11,8),tblDaily[WardCode],"MW")=0,"",SUMIFS(tblDaily[TransfersIn],tblDaily[EntryDate],DATE(2026,11,8),tblDaily[WardCode],"MW")),"")</f>
        <v/>
      </c>
      <c r="G404" s="12">
        <f>IFERROR(IF(SUMIFS(tblDaily[TransfersOut],tblDaily[EntryDate],DATE(2026,11,8),tblDaily[WardCode],"MW")=0,"",SUMIFS(tblDaily[TransfersOut],tblDaily[EntryDate],DATE(2026,11,8),tblDaily[WardCode],"MW")),"")</f>
        <v/>
      </c>
      <c r="H404" s="12">
        <f>IFERROR(IF(SUMIFS(tblDaily[Remaining],tblDaily[EntryDate],DATE(2026,11,8),tblDaily[WardCode],"MW")=0,"",SUMIFS(tblDaily[Remaining],tblDaily[EntryDate],DATE(2026,11,8),tblDaily[WardCode],"MW")),"")</f>
        <v/>
      </c>
    </row>
    <row r="405">
      <c r="A405" s="12" t="n">
        <v>9</v>
      </c>
      <c r="B405" s="12">
        <f>IFERROR(IF(SUMIFS(tblDaily[Admissions],tblDaily[EntryDate],DATE(2026,11,9),tblDaily[WardCode],"MW")=0,"",SUMIFS(tblDaily[Admissions],tblDaily[EntryDate],DATE(2026,11,9),tblDaily[WardCode],"MW")),"")</f>
        <v/>
      </c>
      <c r="C405" s="12">
        <f>IFERROR(IF(SUMIFS(tblDaily[Discharges],tblDaily[EntryDate],DATE(2026,11,9),tblDaily[WardCode],"MW")=0,"",SUMIFS(tblDaily[Discharges],tblDaily[EntryDate],DATE(2026,11,9),tblDaily[WardCode],"MW")),"")</f>
        <v/>
      </c>
      <c r="D405" s="12">
        <f>IFERROR(IF(SUMIFS(tblDaily[Deaths],tblDaily[EntryDate],DATE(2026,11,9),tblDaily[WardCode],"MW")=0,"",SUMIFS(tblDaily[Deaths],tblDaily[EntryDate],DATE(2026,11,9),tblDaily[WardCode],"MW")),"")</f>
        <v/>
      </c>
      <c r="E405" s="12">
        <f>IFERROR(IF(SUMIFS(tblDaily[DeathsUnder24Hrs],tblDaily[EntryDate],DATE(2026,11,9),tblDaily[WardCode],"MW")=0,"",SUMIFS(tblDaily[DeathsUnder24Hrs],tblDaily[EntryDate],DATE(2026,11,9),tblDaily[WardCode],"MW")),"")</f>
        <v/>
      </c>
      <c r="F405" s="12">
        <f>IFERROR(IF(SUMIFS(tblDaily[TransfersIn],tblDaily[EntryDate],DATE(2026,11,9),tblDaily[WardCode],"MW")=0,"",SUMIFS(tblDaily[TransfersIn],tblDaily[EntryDate],DATE(2026,11,9),tblDaily[WardCode],"MW")),"")</f>
        <v/>
      </c>
      <c r="G405" s="12">
        <f>IFERROR(IF(SUMIFS(tblDaily[TransfersOut],tblDaily[EntryDate],DATE(2026,11,9),tblDaily[WardCode],"MW")=0,"",SUMIFS(tblDaily[TransfersOut],tblDaily[EntryDate],DATE(2026,11,9),tblDaily[WardCode],"MW")),"")</f>
        <v/>
      </c>
      <c r="H405" s="12">
        <f>IFERROR(IF(SUMIFS(tblDaily[Remaining],tblDaily[EntryDate],DATE(2026,11,9),tblDaily[WardCode],"MW")=0,"",SUMIFS(tblDaily[Remaining],tblDaily[EntryDate],DATE(2026,11,9),tblDaily[WardCode],"MW")),"")</f>
        <v/>
      </c>
    </row>
    <row r="406">
      <c r="A406" s="12" t="n">
        <v>10</v>
      </c>
      <c r="B406" s="12">
        <f>IFERROR(IF(SUMIFS(tblDaily[Admissions],tblDaily[EntryDate],DATE(2026,11,10),tblDaily[WardCode],"MW")=0,"",SUMIFS(tblDaily[Admissions],tblDaily[EntryDate],DATE(2026,11,10),tblDaily[WardCode],"MW")),"")</f>
        <v/>
      </c>
      <c r="C406" s="12">
        <f>IFERROR(IF(SUMIFS(tblDaily[Discharges],tblDaily[EntryDate],DATE(2026,11,10),tblDaily[WardCode],"MW")=0,"",SUMIFS(tblDaily[Discharges],tblDaily[EntryDate],DATE(2026,11,10),tblDaily[WardCode],"MW")),"")</f>
        <v/>
      </c>
      <c r="D406" s="12">
        <f>IFERROR(IF(SUMIFS(tblDaily[Deaths],tblDaily[EntryDate],DATE(2026,11,10),tblDaily[WardCode],"MW")=0,"",SUMIFS(tblDaily[Deaths],tblDaily[EntryDate],DATE(2026,11,10),tblDaily[WardCode],"MW")),"")</f>
        <v/>
      </c>
      <c r="E406" s="12">
        <f>IFERROR(IF(SUMIFS(tblDaily[DeathsUnder24Hrs],tblDaily[EntryDate],DATE(2026,11,10),tblDaily[WardCode],"MW")=0,"",SUMIFS(tblDaily[DeathsUnder24Hrs],tblDaily[EntryDate],DATE(2026,11,10),tblDaily[WardCode],"MW")),"")</f>
        <v/>
      </c>
      <c r="F406" s="12">
        <f>IFERROR(IF(SUMIFS(tblDaily[TransfersIn],tblDaily[EntryDate],DATE(2026,11,10),tblDaily[WardCode],"MW")=0,"",SUMIFS(tblDaily[TransfersIn],tblDaily[EntryDate],DATE(2026,11,10),tblDaily[WardCode],"MW")),"")</f>
        <v/>
      </c>
      <c r="G406" s="12">
        <f>IFERROR(IF(SUMIFS(tblDaily[TransfersOut],tblDaily[EntryDate],DATE(2026,11,10),tblDaily[WardCode],"MW")=0,"",SUMIFS(tblDaily[TransfersOut],tblDaily[EntryDate],DATE(2026,11,10),tblDaily[WardCode],"MW")),"")</f>
        <v/>
      </c>
      <c r="H406" s="12">
        <f>IFERROR(IF(SUMIFS(tblDaily[Remaining],tblDaily[EntryDate],DATE(2026,11,10),tblDaily[WardCode],"MW")=0,"",SUMIFS(tblDaily[Remaining],tblDaily[EntryDate],DATE(2026,11,10),tblDaily[WardCode],"MW")),"")</f>
        <v/>
      </c>
    </row>
    <row r="407">
      <c r="A407" s="12" t="n">
        <v>11</v>
      </c>
      <c r="B407" s="12">
        <f>IFERROR(IF(SUMIFS(tblDaily[Admissions],tblDaily[EntryDate],DATE(2026,11,11),tblDaily[WardCode],"MW")=0,"",SUMIFS(tblDaily[Admissions],tblDaily[EntryDate],DATE(2026,11,11),tblDaily[WardCode],"MW")),"")</f>
        <v/>
      </c>
      <c r="C407" s="12">
        <f>IFERROR(IF(SUMIFS(tblDaily[Discharges],tblDaily[EntryDate],DATE(2026,11,11),tblDaily[WardCode],"MW")=0,"",SUMIFS(tblDaily[Discharges],tblDaily[EntryDate],DATE(2026,11,11),tblDaily[WardCode],"MW")),"")</f>
        <v/>
      </c>
      <c r="D407" s="12">
        <f>IFERROR(IF(SUMIFS(tblDaily[Deaths],tblDaily[EntryDate],DATE(2026,11,11),tblDaily[WardCode],"MW")=0,"",SUMIFS(tblDaily[Deaths],tblDaily[EntryDate],DATE(2026,11,11),tblDaily[WardCode],"MW")),"")</f>
        <v/>
      </c>
      <c r="E407" s="12">
        <f>IFERROR(IF(SUMIFS(tblDaily[DeathsUnder24Hrs],tblDaily[EntryDate],DATE(2026,11,11),tblDaily[WardCode],"MW")=0,"",SUMIFS(tblDaily[DeathsUnder24Hrs],tblDaily[EntryDate],DATE(2026,11,11),tblDaily[WardCode],"MW")),"")</f>
        <v/>
      </c>
      <c r="F407" s="12">
        <f>IFERROR(IF(SUMIFS(tblDaily[TransfersIn],tblDaily[EntryDate],DATE(2026,11,11),tblDaily[WardCode],"MW")=0,"",SUMIFS(tblDaily[TransfersIn],tblDaily[EntryDate],DATE(2026,11,11),tblDaily[WardCode],"MW")),"")</f>
        <v/>
      </c>
      <c r="G407" s="12">
        <f>IFERROR(IF(SUMIFS(tblDaily[TransfersOut],tblDaily[EntryDate],DATE(2026,11,11),tblDaily[WardCode],"MW")=0,"",SUMIFS(tblDaily[TransfersOut],tblDaily[EntryDate],DATE(2026,11,11),tblDaily[WardCode],"MW")),"")</f>
        <v/>
      </c>
      <c r="H407" s="12">
        <f>IFERROR(IF(SUMIFS(tblDaily[Remaining],tblDaily[EntryDate],DATE(2026,11,11),tblDaily[WardCode],"MW")=0,"",SUMIFS(tblDaily[Remaining],tblDaily[EntryDate],DATE(2026,11,11),tblDaily[WardCode],"MW")),"")</f>
        <v/>
      </c>
    </row>
    <row r="408">
      <c r="A408" s="12" t="n">
        <v>12</v>
      </c>
      <c r="B408" s="12">
        <f>IFERROR(IF(SUMIFS(tblDaily[Admissions],tblDaily[EntryDate],DATE(2026,11,12),tblDaily[WardCode],"MW")=0,"",SUMIFS(tblDaily[Admissions],tblDaily[EntryDate],DATE(2026,11,12),tblDaily[WardCode],"MW")),"")</f>
        <v/>
      </c>
      <c r="C408" s="12">
        <f>IFERROR(IF(SUMIFS(tblDaily[Discharges],tblDaily[EntryDate],DATE(2026,11,12),tblDaily[WardCode],"MW")=0,"",SUMIFS(tblDaily[Discharges],tblDaily[EntryDate],DATE(2026,11,12),tblDaily[WardCode],"MW")),"")</f>
        <v/>
      </c>
      <c r="D408" s="12">
        <f>IFERROR(IF(SUMIFS(tblDaily[Deaths],tblDaily[EntryDate],DATE(2026,11,12),tblDaily[WardCode],"MW")=0,"",SUMIFS(tblDaily[Deaths],tblDaily[EntryDate],DATE(2026,11,12),tblDaily[WardCode],"MW")),"")</f>
        <v/>
      </c>
      <c r="E408" s="12">
        <f>IFERROR(IF(SUMIFS(tblDaily[DeathsUnder24Hrs],tblDaily[EntryDate],DATE(2026,11,12),tblDaily[WardCode],"MW")=0,"",SUMIFS(tblDaily[DeathsUnder24Hrs],tblDaily[EntryDate],DATE(2026,11,12),tblDaily[WardCode],"MW")),"")</f>
        <v/>
      </c>
      <c r="F408" s="12">
        <f>IFERROR(IF(SUMIFS(tblDaily[TransfersIn],tblDaily[EntryDate],DATE(2026,11,12),tblDaily[WardCode],"MW")=0,"",SUMIFS(tblDaily[TransfersIn],tblDaily[EntryDate],DATE(2026,11,12),tblDaily[WardCode],"MW")),"")</f>
        <v/>
      </c>
      <c r="G408" s="12">
        <f>IFERROR(IF(SUMIFS(tblDaily[TransfersOut],tblDaily[EntryDate],DATE(2026,11,12),tblDaily[WardCode],"MW")=0,"",SUMIFS(tblDaily[TransfersOut],tblDaily[EntryDate],DATE(2026,11,12),tblDaily[WardCode],"MW")),"")</f>
        <v/>
      </c>
      <c r="H408" s="12">
        <f>IFERROR(IF(SUMIFS(tblDaily[Remaining],tblDaily[EntryDate],DATE(2026,11,12),tblDaily[WardCode],"MW")=0,"",SUMIFS(tblDaily[Remaining],tblDaily[EntryDate],DATE(2026,11,12),tblDaily[WardCode],"MW")),"")</f>
        <v/>
      </c>
    </row>
    <row r="409">
      <c r="A409" s="12" t="n">
        <v>13</v>
      </c>
      <c r="B409" s="12">
        <f>IFERROR(IF(SUMIFS(tblDaily[Admissions],tblDaily[EntryDate],DATE(2026,11,13),tblDaily[WardCode],"MW")=0,"",SUMIFS(tblDaily[Admissions],tblDaily[EntryDate],DATE(2026,11,13),tblDaily[WardCode],"MW")),"")</f>
        <v/>
      </c>
      <c r="C409" s="12">
        <f>IFERROR(IF(SUMIFS(tblDaily[Discharges],tblDaily[EntryDate],DATE(2026,11,13),tblDaily[WardCode],"MW")=0,"",SUMIFS(tblDaily[Discharges],tblDaily[EntryDate],DATE(2026,11,13),tblDaily[WardCode],"MW")),"")</f>
        <v/>
      </c>
      <c r="D409" s="12">
        <f>IFERROR(IF(SUMIFS(tblDaily[Deaths],tblDaily[EntryDate],DATE(2026,11,13),tblDaily[WardCode],"MW")=0,"",SUMIFS(tblDaily[Deaths],tblDaily[EntryDate],DATE(2026,11,13),tblDaily[WardCode],"MW")),"")</f>
        <v/>
      </c>
      <c r="E409" s="12">
        <f>IFERROR(IF(SUMIFS(tblDaily[DeathsUnder24Hrs],tblDaily[EntryDate],DATE(2026,11,13),tblDaily[WardCode],"MW")=0,"",SUMIFS(tblDaily[DeathsUnder24Hrs],tblDaily[EntryDate],DATE(2026,11,13),tblDaily[WardCode],"MW")),"")</f>
        <v/>
      </c>
      <c r="F409" s="12">
        <f>IFERROR(IF(SUMIFS(tblDaily[TransfersIn],tblDaily[EntryDate],DATE(2026,11,13),tblDaily[WardCode],"MW")=0,"",SUMIFS(tblDaily[TransfersIn],tblDaily[EntryDate],DATE(2026,11,13),tblDaily[WardCode],"MW")),"")</f>
        <v/>
      </c>
      <c r="G409" s="12">
        <f>IFERROR(IF(SUMIFS(tblDaily[TransfersOut],tblDaily[EntryDate],DATE(2026,11,13),tblDaily[WardCode],"MW")=0,"",SUMIFS(tblDaily[TransfersOut],tblDaily[EntryDate],DATE(2026,11,13),tblDaily[WardCode],"MW")),"")</f>
        <v/>
      </c>
      <c r="H409" s="12">
        <f>IFERROR(IF(SUMIFS(tblDaily[Remaining],tblDaily[EntryDate],DATE(2026,11,13),tblDaily[WardCode],"MW")=0,"",SUMIFS(tblDaily[Remaining],tblDaily[EntryDate],DATE(2026,11,13),tblDaily[WardCode],"MW")),"")</f>
        <v/>
      </c>
    </row>
    <row r="410">
      <c r="A410" s="12" t="n">
        <v>14</v>
      </c>
      <c r="B410" s="12">
        <f>IFERROR(IF(SUMIFS(tblDaily[Admissions],tblDaily[EntryDate],DATE(2026,11,14),tblDaily[WardCode],"MW")=0,"",SUMIFS(tblDaily[Admissions],tblDaily[EntryDate],DATE(2026,11,14),tblDaily[WardCode],"MW")),"")</f>
        <v/>
      </c>
      <c r="C410" s="12">
        <f>IFERROR(IF(SUMIFS(tblDaily[Discharges],tblDaily[EntryDate],DATE(2026,11,14),tblDaily[WardCode],"MW")=0,"",SUMIFS(tblDaily[Discharges],tblDaily[EntryDate],DATE(2026,11,14),tblDaily[WardCode],"MW")),"")</f>
        <v/>
      </c>
      <c r="D410" s="12">
        <f>IFERROR(IF(SUMIFS(tblDaily[Deaths],tblDaily[EntryDate],DATE(2026,11,14),tblDaily[WardCode],"MW")=0,"",SUMIFS(tblDaily[Deaths],tblDaily[EntryDate],DATE(2026,11,14),tblDaily[WardCode],"MW")),"")</f>
        <v/>
      </c>
      <c r="E410" s="12">
        <f>IFERROR(IF(SUMIFS(tblDaily[DeathsUnder24Hrs],tblDaily[EntryDate],DATE(2026,11,14),tblDaily[WardCode],"MW")=0,"",SUMIFS(tblDaily[DeathsUnder24Hrs],tblDaily[EntryDate],DATE(2026,11,14),tblDaily[WardCode],"MW")),"")</f>
        <v/>
      </c>
      <c r="F410" s="12">
        <f>IFERROR(IF(SUMIFS(tblDaily[TransfersIn],tblDaily[EntryDate],DATE(2026,11,14),tblDaily[WardCode],"MW")=0,"",SUMIFS(tblDaily[TransfersIn],tblDaily[EntryDate],DATE(2026,11,14),tblDaily[WardCode],"MW")),"")</f>
        <v/>
      </c>
      <c r="G410" s="12">
        <f>IFERROR(IF(SUMIFS(tblDaily[TransfersOut],tblDaily[EntryDate],DATE(2026,11,14),tblDaily[WardCode],"MW")=0,"",SUMIFS(tblDaily[TransfersOut],tblDaily[EntryDate],DATE(2026,11,14),tblDaily[WardCode],"MW")),"")</f>
        <v/>
      </c>
      <c r="H410" s="12">
        <f>IFERROR(IF(SUMIFS(tblDaily[Remaining],tblDaily[EntryDate],DATE(2026,11,14),tblDaily[WardCode],"MW")=0,"",SUMIFS(tblDaily[Remaining],tblDaily[EntryDate],DATE(2026,11,14),tblDaily[WardCode],"MW")),"")</f>
        <v/>
      </c>
    </row>
    <row r="411">
      <c r="A411" s="12" t="n">
        <v>15</v>
      </c>
      <c r="B411" s="12">
        <f>IFERROR(IF(SUMIFS(tblDaily[Admissions],tblDaily[EntryDate],DATE(2026,11,15),tblDaily[WardCode],"MW")=0,"",SUMIFS(tblDaily[Admissions],tblDaily[EntryDate],DATE(2026,11,15),tblDaily[WardCode],"MW")),"")</f>
        <v/>
      </c>
      <c r="C411" s="12">
        <f>IFERROR(IF(SUMIFS(tblDaily[Discharges],tblDaily[EntryDate],DATE(2026,11,15),tblDaily[WardCode],"MW")=0,"",SUMIFS(tblDaily[Discharges],tblDaily[EntryDate],DATE(2026,11,15),tblDaily[WardCode],"MW")),"")</f>
        <v/>
      </c>
      <c r="D411" s="12">
        <f>IFERROR(IF(SUMIFS(tblDaily[Deaths],tblDaily[EntryDate],DATE(2026,11,15),tblDaily[WardCode],"MW")=0,"",SUMIFS(tblDaily[Deaths],tblDaily[EntryDate],DATE(2026,11,15),tblDaily[WardCode],"MW")),"")</f>
        <v/>
      </c>
      <c r="E411" s="12">
        <f>IFERROR(IF(SUMIFS(tblDaily[DeathsUnder24Hrs],tblDaily[EntryDate],DATE(2026,11,15),tblDaily[WardCode],"MW")=0,"",SUMIFS(tblDaily[DeathsUnder24Hrs],tblDaily[EntryDate],DATE(2026,11,15),tblDaily[WardCode],"MW")),"")</f>
        <v/>
      </c>
      <c r="F411" s="12">
        <f>IFERROR(IF(SUMIFS(tblDaily[TransfersIn],tblDaily[EntryDate],DATE(2026,11,15),tblDaily[WardCode],"MW")=0,"",SUMIFS(tblDaily[TransfersIn],tblDaily[EntryDate],DATE(2026,11,15),tblDaily[WardCode],"MW")),"")</f>
        <v/>
      </c>
      <c r="G411" s="12">
        <f>IFERROR(IF(SUMIFS(tblDaily[TransfersOut],tblDaily[EntryDate],DATE(2026,11,15),tblDaily[WardCode],"MW")=0,"",SUMIFS(tblDaily[TransfersOut],tblDaily[EntryDate],DATE(2026,11,15),tblDaily[WardCode],"MW")),"")</f>
        <v/>
      </c>
      <c r="H411" s="12">
        <f>IFERROR(IF(SUMIFS(tblDaily[Remaining],tblDaily[EntryDate],DATE(2026,11,15),tblDaily[WardCode],"MW")=0,"",SUMIFS(tblDaily[Remaining],tblDaily[EntryDate],DATE(2026,11,15),tblDaily[WardCode],"MW")),"")</f>
        <v/>
      </c>
    </row>
    <row r="412">
      <c r="A412" s="12" t="n">
        <v>16</v>
      </c>
      <c r="B412" s="12">
        <f>IFERROR(IF(SUMIFS(tblDaily[Admissions],tblDaily[EntryDate],DATE(2026,11,16),tblDaily[WardCode],"MW")=0,"",SUMIFS(tblDaily[Admissions],tblDaily[EntryDate],DATE(2026,11,16),tblDaily[WardCode],"MW")),"")</f>
        <v/>
      </c>
      <c r="C412" s="12">
        <f>IFERROR(IF(SUMIFS(tblDaily[Discharges],tblDaily[EntryDate],DATE(2026,11,16),tblDaily[WardCode],"MW")=0,"",SUMIFS(tblDaily[Discharges],tblDaily[EntryDate],DATE(2026,11,16),tblDaily[WardCode],"MW")),"")</f>
        <v/>
      </c>
      <c r="D412" s="12">
        <f>IFERROR(IF(SUMIFS(tblDaily[Deaths],tblDaily[EntryDate],DATE(2026,11,16),tblDaily[WardCode],"MW")=0,"",SUMIFS(tblDaily[Deaths],tblDaily[EntryDate],DATE(2026,11,16),tblDaily[WardCode],"MW")),"")</f>
        <v/>
      </c>
      <c r="E412" s="12">
        <f>IFERROR(IF(SUMIFS(tblDaily[DeathsUnder24Hrs],tblDaily[EntryDate],DATE(2026,11,16),tblDaily[WardCode],"MW")=0,"",SUMIFS(tblDaily[DeathsUnder24Hrs],tblDaily[EntryDate],DATE(2026,11,16),tblDaily[WardCode],"MW")),"")</f>
        <v/>
      </c>
      <c r="F412" s="12">
        <f>IFERROR(IF(SUMIFS(tblDaily[TransfersIn],tblDaily[EntryDate],DATE(2026,11,16),tblDaily[WardCode],"MW")=0,"",SUMIFS(tblDaily[TransfersIn],tblDaily[EntryDate],DATE(2026,11,16),tblDaily[WardCode],"MW")),"")</f>
        <v/>
      </c>
      <c r="G412" s="12">
        <f>IFERROR(IF(SUMIFS(tblDaily[TransfersOut],tblDaily[EntryDate],DATE(2026,11,16),tblDaily[WardCode],"MW")=0,"",SUMIFS(tblDaily[TransfersOut],tblDaily[EntryDate],DATE(2026,11,16),tblDaily[WardCode],"MW")),"")</f>
        <v/>
      </c>
      <c r="H412" s="12">
        <f>IFERROR(IF(SUMIFS(tblDaily[Remaining],tblDaily[EntryDate],DATE(2026,11,16),tblDaily[WardCode],"MW")=0,"",SUMIFS(tblDaily[Remaining],tblDaily[EntryDate],DATE(2026,11,16),tblDaily[WardCode],"MW")),"")</f>
        <v/>
      </c>
    </row>
    <row r="413">
      <c r="A413" s="12" t="n">
        <v>17</v>
      </c>
      <c r="B413" s="12">
        <f>IFERROR(IF(SUMIFS(tblDaily[Admissions],tblDaily[EntryDate],DATE(2026,11,17),tblDaily[WardCode],"MW")=0,"",SUMIFS(tblDaily[Admissions],tblDaily[EntryDate],DATE(2026,11,17),tblDaily[WardCode],"MW")),"")</f>
        <v/>
      </c>
      <c r="C413" s="12">
        <f>IFERROR(IF(SUMIFS(tblDaily[Discharges],tblDaily[EntryDate],DATE(2026,11,17),tblDaily[WardCode],"MW")=0,"",SUMIFS(tblDaily[Discharges],tblDaily[EntryDate],DATE(2026,11,17),tblDaily[WardCode],"MW")),"")</f>
        <v/>
      </c>
      <c r="D413" s="12">
        <f>IFERROR(IF(SUMIFS(tblDaily[Deaths],tblDaily[EntryDate],DATE(2026,11,17),tblDaily[WardCode],"MW")=0,"",SUMIFS(tblDaily[Deaths],tblDaily[EntryDate],DATE(2026,11,17),tblDaily[WardCode],"MW")),"")</f>
        <v/>
      </c>
      <c r="E413" s="12">
        <f>IFERROR(IF(SUMIFS(tblDaily[DeathsUnder24Hrs],tblDaily[EntryDate],DATE(2026,11,17),tblDaily[WardCode],"MW")=0,"",SUMIFS(tblDaily[DeathsUnder24Hrs],tblDaily[EntryDate],DATE(2026,11,17),tblDaily[WardCode],"MW")),"")</f>
        <v/>
      </c>
      <c r="F413" s="12">
        <f>IFERROR(IF(SUMIFS(tblDaily[TransfersIn],tblDaily[EntryDate],DATE(2026,11,17),tblDaily[WardCode],"MW")=0,"",SUMIFS(tblDaily[TransfersIn],tblDaily[EntryDate],DATE(2026,11,17),tblDaily[WardCode],"MW")),"")</f>
        <v/>
      </c>
      <c r="G413" s="12">
        <f>IFERROR(IF(SUMIFS(tblDaily[TransfersOut],tblDaily[EntryDate],DATE(2026,11,17),tblDaily[WardCode],"MW")=0,"",SUMIFS(tblDaily[TransfersOut],tblDaily[EntryDate],DATE(2026,11,17),tblDaily[WardCode],"MW")),"")</f>
        <v/>
      </c>
      <c r="H413" s="12">
        <f>IFERROR(IF(SUMIFS(tblDaily[Remaining],tblDaily[EntryDate],DATE(2026,11,17),tblDaily[WardCode],"MW")=0,"",SUMIFS(tblDaily[Remaining],tblDaily[EntryDate],DATE(2026,11,17),tblDaily[WardCode],"MW")),"")</f>
        <v/>
      </c>
    </row>
    <row r="414">
      <c r="A414" s="12" t="n">
        <v>18</v>
      </c>
      <c r="B414" s="12">
        <f>IFERROR(IF(SUMIFS(tblDaily[Admissions],tblDaily[EntryDate],DATE(2026,11,18),tblDaily[WardCode],"MW")=0,"",SUMIFS(tblDaily[Admissions],tblDaily[EntryDate],DATE(2026,11,18),tblDaily[WardCode],"MW")),"")</f>
        <v/>
      </c>
      <c r="C414" s="12">
        <f>IFERROR(IF(SUMIFS(tblDaily[Discharges],tblDaily[EntryDate],DATE(2026,11,18),tblDaily[WardCode],"MW")=0,"",SUMIFS(tblDaily[Discharges],tblDaily[EntryDate],DATE(2026,11,18),tblDaily[WardCode],"MW")),"")</f>
        <v/>
      </c>
      <c r="D414" s="12">
        <f>IFERROR(IF(SUMIFS(tblDaily[Deaths],tblDaily[EntryDate],DATE(2026,11,18),tblDaily[WardCode],"MW")=0,"",SUMIFS(tblDaily[Deaths],tblDaily[EntryDate],DATE(2026,11,18),tblDaily[WardCode],"MW")),"")</f>
        <v/>
      </c>
      <c r="E414" s="12">
        <f>IFERROR(IF(SUMIFS(tblDaily[DeathsUnder24Hrs],tblDaily[EntryDate],DATE(2026,11,18),tblDaily[WardCode],"MW")=0,"",SUMIFS(tblDaily[DeathsUnder24Hrs],tblDaily[EntryDate],DATE(2026,11,18),tblDaily[WardCode],"MW")),"")</f>
        <v/>
      </c>
      <c r="F414" s="12">
        <f>IFERROR(IF(SUMIFS(tblDaily[TransfersIn],tblDaily[EntryDate],DATE(2026,11,18),tblDaily[WardCode],"MW")=0,"",SUMIFS(tblDaily[TransfersIn],tblDaily[EntryDate],DATE(2026,11,18),tblDaily[WardCode],"MW")),"")</f>
        <v/>
      </c>
      <c r="G414" s="12">
        <f>IFERROR(IF(SUMIFS(tblDaily[TransfersOut],tblDaily[EntryDate],DATE(2026,11,18),tblDaily[WardCode],"MW")=0,"",SUMIFS(tblDaily[TransfersOut],tblDaily[EntryDate],DATE(2026,11,18),tblDaily[WardCode],"MW")),"")</f>
        <v/>
      </c>
      <c r="H414" s="12">
        <f>IFERROR(IF(SUMIFS(tblDaily[Remaining],tblDaily[EntryDate],DATE(2026,11,18),tblDaily[WardCode],"MW")=0,"",SUMIFS(tblDaily[Remaining],tblDaily[EntryDate],DATE(2026,11,18),tblDaily[WardCode],"MW")),"")</f>
        <v/>
      </c>
    </row>
    <row r="415">
      <c r="A415" s="12" t="n">
        <v>19</v>
      </c>
      <c r="B415" s="12">
        <f>IFERROR(IF(SUMIFS(tblDaily[Admissions],tblDaily[EntryDate],DATE(2026,11,19),tblDaily[WardCode],"MW")=0,"",SUMIFS(tblDaily[Admissions],tblDaily[EntryDate],DATE(2026,11,19),tblDaily[WardCode],"MW")),"")</f>
        <v/>
      </c>
      <c r="C415" s="12">
        <f>IFERROR(IF(SUMIFS(tblDaily[Discharges],tblDaily[EntryDate],DATE(2026,11,19),tblDaily[WardCode],"MW")=0,"",SUMIFS(tblDaily[Discharges],tblDaily[EntryDate],DATE(2026,11,19),tblDaily[WardCode],"MW")),"")</f>
        <v/>
      </c>
      <c r="D415" s="12">
        <f>IFERROR(IF(SUMIFS(tblDaily[Deaths],tblDaily[EntryDate],DATE(2026,11,19),tblDaily[WardCode],"MW")=0,"",SUMIFS(tblDaily[Deaths],tblDaily[EntryDate],DATE(2026,11,19),tblDaily[WardCode],"MW")),"")</f>
        <v/>
      </c>
      <c r="E415" s="12">
        <f>IFERROR(IF(SUMIFS(tblDaily[DeathsUnder24Hrs],tblDaily[EntryDate],DATE(2026,11,19),tblDaily[WardCode],"MW")=0,"",SUMIFS(tblDaily[DeathsUnder24Hrs],tblDaily[EntryDate],DATE(2026,11,19),tblDaily[WardCode],"MW")),"")</f>
        <v/>
      </c>
      <c r="F415" s="12">
        <f>IFERROR(IF(SUMIFS(tblDaily[TransfersIn],tblDaily[EntryDate],DATE(2026,11,19),tblDaily[WardCode],"MW")=0,"",SUMIFS(tblDaily[TransfersIn],tblDaily[EntryDate],DATE(2026,11,19),tblDaily[WardCode],"MW")),"")</f>
        <v/>
      </c>
      <c r="G415" s="12">
        <f>IFERROR(IF(SUMIFS(tblDaily[TransfersOut],tblDaily[EntryDate],DATE(2026,11,19),tblDaily[WardCode],"MW")=0,"",SUMIFS(tblDaily[TransfersOut],tblDaily[EntryDate],DATE(2026,11,19),tblDaily[WardCode],"MW")),"")</f>
        <v/>
      </c>
      <c r="H415" s="12">
        <f>IFERROR(IF(SUMIFS(tblDaily[Remaining],tblDaily[EntryDate],DATE(2026,11,19),tblDaily[WardCode],"MW")=0,"",SUMIFS(tblDaily[Remaining],tblDaily[EntryDate],DATE(2026,11,19),tblDaily[WardCode],"MW")),"")</f>
        <v/>
      </c>
    </row>
    <row r="416">
      <c r="A416" s="12" t="n">
        <v>20</v>
      </c>
      <c r="B416" s="12">
        <f>IFERROR(IF(SUMIFS(tblDaily[Admissions],tblDaily[EntryDate],DATE(2026,11,20),tblDaily[WardCode],"MW")=0,"",SUMIFS(tblDaily[Admissions],tblDaily[EntryDate],DATE(2026,11,20),tblDaily[WardCode],"MW")),"")</f>
        <v/>
      </c>
      <c r="C416" s="12">
        <f>IFERROR(IF(SUMIFS(tblDaily[Discharges],tblDaily[EntryDate],DATE(2026,11,20),tblDaily[WardCode],"MW")=0,"",SUMIFS(tblDaily[Discharges],tblDaily[EntryDate],DATE(2026,11,20),tblDaily[WardCode],"MW")),"")</f>
        <v/>
      </c>
      <c r="D416" s="12">
        <f>IFERROR(IF(SUMIFS(tblDaily[Deaths],tblDaily[EntryDate],DATE(2026,11,20),tblDaily[WardCode],"MW")=0,"",SUMIFS(tblDaily[Deaths],tblDaily[EntryDate],DATE(2026,11,20),tblDaily[WardCode],"MW")),"")</f>
        <v/>
      </c>
      <c r="E416" s="12">
        <f>IFERROR(IF(SUMIFS(tblDaily[DeathsUnder24Hrs],tblDaily[EntryDate],DATE(2026,11,20),tblDaily[WardCode],"MW")=0,"",SUMIFS(tblDaily[DeathsUnder24Hrs],tblDaily[EntryDate],DATE(2026,11,20),tblDaily[WardCode],"MW")),"")</f>
        <v/>
      </c>
      <c r="F416" s="12">
        <f>IFERROR(IF(SUMIFS(tblDaily[TransfersIn],tblDaily[EntryDate],DATE(2026,11,20),tblDaily[WardCode],"MW")=0,"",SUMIFS(tblDaily[TransfersIn],tblDaily[EntryDate],DATE(2026,11,20),tblDaily[WardCode],"MW")),"")</f>
        <v/>
      </c>
      <c r="G416" s="12">
        <f>IFERROR(IF(SUMIFS(tblDaily[TransfersOut],tblDaily[EntryDate],DATE(2026,11,20),tblDaily[WardCode],"MW")=0,"",SUMIFS(tblDaily[TransfersOut],tblDaily[EntryDate],DATE(2026,11,20),tblDaily[WardCode],"MW")),"")</f>
        <v/>
      </c>
      <c r="H416" s="12">
        <f>IFERROR(IF(SUMIFS(tblDaily[Remaining],tblDaily[EntryDate],DATE(2026,11,20),tblDaily[WardCode],"MW")=0,"",SUMIFS(tblDaily[Remaining],tblDaily[EntryDate],DATE(2026,11,20),tblDaily[WardCode],"MW")),"")</f>
        <v/>
      </c>
    </row>
    <row r="417">
      <c r="A417" s="12" t="n">
        <v>21</v>
      </c>
      <c r="B417" s="12">
        <f>IFERROR(IF(SUMIFS(tblDaily[Admissions],tblDaily[EntryDate],DATE(2026,11,21),tblDaily[WardCode],"MW")=0,"",SUMIFS(tblDaily[Admissions],tblDaily[EntryDate],DATE(2026,11,21),tblDaily[WardCode],"MW")),"")</f>
        <v/>
      </c>
      <c r="C417" s="12">
        <f>IFERROR(IF(SUMIFS(tblDaily[Discharges],tblDaily[EntryDate],DATE(2026,11,21),tblDaily[WardCode],"MW")=0,"",SUMIFS(tblDaily[Discharges],tblDaily[EntryDate],DATE(2026,11,21),tblDaily[WardCode],"MW")),"")</f>
        <v/>
      </c>
      <c r="D417" s="12">
        <f>IFERROR(IF(SUMIFS(tblDaily[Deaths],tblDaily[EntryDate],DATE(2026,11,21),tblDaily[WardCode],"MW")=0,"",SUMIFS(tblDaily[Deaths],tblDaily[EntryDate],DATE(2026,11,21),tblDaily[WardCode],"MW")),"")</f>
        <v/>
      </c>
      <c r="E417" s="12">
        <f>IFERROR(IF(SUMIFS(tblDaily[DeathsUnder24Hrs],tblDaily[EntryDate],DATE(2026,11,21),tblDaily[WardCode],"MW")=0,"",SUMIFS(tblDaily[DeathsUnder24Hrs],tblDaily[EntryDate],DATE(2026,11,21),tblDaily[WardCode],"MW")),"")</f>
        <v/>
      </c>
      <c r="F417" s="12">
        <f>IFERROR(IF(SUMIFS(tblDaily[TransfersIn],tblDaily[EntryDate],DATE(2026,11,21),tblDaily[WardCode],"MW")=0,"",SUMIFS(tblDaily[TransfersIn],tblDaily[EntryDate],DATE(2026,11,21),tblDaily[WardCode],"MW")),"")</f>
        <v/>
      </c>
      <c r="G417" s="12">
        <f>IFERROR(IF(SUMIFS(tblDaily[TransfersOut],tblDaily[EntryDate],DATE(2026,11,21),tblDaily[WardCode],"MW")=0,"",SUMIFS(tblDaily[TransfersOut],tblDaily[EntryDate],DATE(2026,11,21),tblDaily[WardCode],"MW")),"")</f>
        <v/>
      </c>
      <c r="H417" s="12">
        <f>IFERROR(IF(SUMIFS(tblDaily[Remaining],tblDaily[EntryDate],DATE(2026,11,21),tblDaily[WardCode],"MW")=0,"",SUMIFS(tblDaily[Remaining],tblDaily[EntryDate],DATE(2026,11,21),tblDaily[WardCode],"MW")),"")</f>
        <v/>
      </c>
    </row>
    <row r="418">
      <c r="A418" s="12" t="n">
        <v>22</v>
      </c>
      <c r="B418" s="12">
        <f>IFERROR(IF(SUMIFS(tblDaily[Admissions],tblDaily[EntryDate],DATE(2026,11,22),tblDaily[WardCode],"MW")=0,"",SUMIFS(tblDaily[Admissions],tblDaily[EntryDate],DATE(2026,11,22),tblDaily[WardCode],"MW")),"")</f>
        <v/>
      </c>
      <c r="C418" s="12">
        <f>IFERROR(IF(SUMIFS(tblDaily[Discharges],tblDaily[EntryDate],DATE(2026,11,22),tblDaily[WardCode],"MW")=0,"",SUMIFS(tblDaily[Discharges],tblDaily[EntryDate],DATE(2026,11,22),tblDaily[WardCode],"MW")),"")</f>
        <v/>
      </c>
      <c r="D418" s="12">
        <f>IFERROR(IF(SUMIFS(tblDaily[Deaths],tblDaily[EntryDate],DATE(2026,11,22),tblDaily[WardCode],"MW")=0,"",SUMIFS(tblDaily[Deaths],tblDaily[EntryDate],DATE(2026,11,22),tblDaily[WardCode],"MW")),"")</f>
        <v/>
      </c>
      <c r="E418" s="12">
        <f>IFERROR(IF(SUMIFS(tblDaily[DeathsUnder24Hrs],tblDaily[EntryDate],DATE(2026,11,22),tblDaily[WardCode],"MW")=0,"",SUMIFS(tblDaily[DeathsUnder24Hrs],tblDaily[EntryDate],DATE(2026,11,22),tblDaily[WardCode],"MW")),"")</f>
        <v/>
      </c>
      <c r="F418" s="12">
        <f>IFERROR(IF(SUMIFS(tblDaily[TransfersIn],tblDaily[EntryDate],DATE(2026,11,22),tblDaily[WardCode],"MW")=0,"",SUMIFS(tblDaily[TransfersIn],tblDaily[EntryDate],DATE(2026,11,22),tblDaily[WardCode],"MW")),"")</f>
        <v/>
      </c>
      <c r="G418" s="12">
        <f>IFERROR(IF(SUMIFS(tblDaily[TransfersOut],tblDaily[EntryDate],DATE(2026,11,22),tblDaily[WardCode],"MW")=0,"",SUMIFS(tblDaily[TransfersOut],tblDaily[EntryDate],DATE(2026,11,22),tblDaily[WardCode],"MW")),"")</f>
        <v/>
      </c>
      <c r="H418" s="12">
        <f>IFERROR(IF(SUMIFS(tblDaily[Remaining],tblDaily[EntryDate],DATE(2026,11,22),tblDaily[WardCode],"MW")=0,"",SUMIFS(tblDaily[Remaining],tblDaily[EntryDate],DATE(2026,11,22),tblDaily[WardCode],"MW")),"")</f>
        <v/>
      </c>
    </row>
    <row r="419">
      <c r="A419" s="12" t="n">
        <v>23</v>
      </c>
      <c r="B419" s="12">
        <f>IFERROR(IF(SUMIFS(tblDaily[Admissions],tblDaily[EntryDate],DATE(2026,11,23),tblDaily[WardCode],"MW")=0,"",SUMIFS(tblDaily[Admissions],tblDaily[EntryDate],DATE(2026,11,23),tblDaily[WardCode],"MW")),"")</f>
        <v/>
      </c>
      <c r="C419" s="12">
        <f>IFERROR(IF(SUMIFS(tblDaily[Discharges],tblDaily[EntryDate],DATE(2026,11,23),tblDaily[WardCode],"MW")=0,"",SUMIFS(tblDaily[Discharges],tblDaily[EntryDate],DATE(2026,11,23),tblDaily[WardCode],"MW")),"")</f>
        <v/>
      </c>
      <c r="D419" s="12">
        <f>IFERROR(IF(SUMIFS(tblDaily[Deaths],tblDaily[EntryDate],DATE(2026,11,23),tblDaily[WardCode],"MW")=0,"",SUMIFS(tblDaily[Deaths],tblDaily[EntryDate],DATE(2026,11,23),tblDaily[WardCode],"MW")),"")</f>
        <v/>
      </c>
      <c r="E419" s="12">
        <f>IFERROR(IF(SUMIFS(tblDaily[DeathsUnder24Hrs],tblDaily[EntryDate],DATE(2026,11,23),tblDaily[WardCode],"MW")=0,"",SUMIFS(tblDaily[DeathsUnder24Hrs],tblDaily[EntryDate],DATE(2026,11,23),tblDaily[WardCode],"MW")),"")</f>
        <v/>
      </c>
      <c r="F419" s="12">
        <f>IFERROR(IF(SUMIFS(tblDaily[TransfersIn],tblDaily[EntryDate],DATE(2026,11,23),tblDaily[WardCode],"MW")=0,"",SUMIFS(tblDaily[TransfersIn],tblDaily[EntryDate],DATE(2026,11,23),tblDaily[WardCode],"MW")),"")</f>
        <v/>
      </c>
      <c r="G419" s="12">
        <f>IFERROR(IF(SUMIFS(tblDaily[TransfersOut],tblDaily[EntryDate],DATE(2026,11,23),tblDaily[WardCode],"MW")=0,"",SUMIFS(tblDaily[TransfersOut],tblDaily[EntryDate],DATE(2026,11,23),tblDaily[WardCode],"MW")),"")</f>
        <v/>
      </c>
      <c r="H419" s="12">
        <f>IFERROR(IF(SUMIFS(tblDaily[Remaining],tblDaily[EntryDate],DATE(2026,11,23),tblDaily[WardCode],"MW")=0,"",SUMIFS(tblDaily[Remaining],tblDaily[EntryDate],DATE(2026,11,23),tblDaily[WardCode],"MW")),"")</f>
        <v/>
      </c>
    </row>
    <row r="420">
      <c r="A420" s="12" t="n">
        <v>24</v>
      </c>
      <c r="B420" s="12">
        <f>IFERROR(IF(SUMIFS(tblDaily[Admissions],tblDaily[EntryDate],DATE(2026,11,24),tblDaily[WardCode],"MW")=0,"",SUMIFS(tblDaily[Admissions],tblDaily[EntryDate],DATE(2026,11,24),tblDaily[WardCode],"MW")),"")</f>
        <v/>
      </c>
      <c r="C420" s="12">
        <f>IFERROR(IF(SUMIFS(tblDaily[Discharges],tblDaily[EntryDate],DATE(2026,11,24),tblDaily[WardCode],"MW")=0,"",SUMIFS(tblDaily[Discharges],tblDaily[EntryDate],DATE(2026,11,24),tblDaily[WardCode],"MW")),"")</f>
        <v/>
      </c>
      <c r="D420" s="12">
        <f>IFERROR(IF(SUMIFS(tblDaily[Deaths],tblDaily[EntryDate],DATE(2026,11,24),tblDaily[WardCode],"MW")=0,"",SUMIFS(tblDaily[Deaths],tblDaily[EntryDate],DATE(2026,11,24),tblDaily[WardCode],"MW")),"")</f>
        <v/>
      </c>
      <c r="E420" s="12">
        <f>IFERROR(IF(SUMIFS(tblDaily[DeathsUnder24Hrs],tblDaily[EntryDate],DATE(2026,11,24),tblDaily[WardCode],"MW")=0,"",SUMIFS(tblDaily[DeathsUnder24Hrs],tblDaily[EntryDate],DATE(2026,11,24),tblDaily[WardCode],"MW")),"")</f>
        <v/>
      </c>
      <c r="F420" s="12">
        <f>IFERROR(IF(SUMIFS(tblDaily[TransfersIn],tblDaily[EntryDate],DATE(2026,11,24),tblDaily[WardCode],"MW")=0,"",SUMIFS(tblDaily[TransfersIn],tblDaily[EntryDate],DATE(2026,11,24),tblDaily[WardCode],"MW")),"")</f>
        <v/>
      </c>
      <c r="G420" s="12">
        <f>IFERROR(IF(SUMIFS(tblDaily[TransfersOut],tblDaily[EntryDate],DATE(2026,11,24),tblDaily[WardCode],"MW")=0,"",SUMIFS(tblDaily[TransfersOut],tblDaily[EntryDate],DATE(2026,11,24),tblDaily[WardCode],"MW")),"")</f>
        <v/>
      </c>
      <c r="H420" s="12">
        <f>IFERROR(IF(SUMIFS(tblDaily[Remaining],tblDaily[EntryDate],DATE(2026,11,24),tblDaily[WardCode],"MW")=0,"",SUMIFS(tblDaily[Remaining],tblDaily[EntryDate],DATE(2026,11,24),tblDaily[WardCode],"MW")),"")</f>
        <v/>
      </c>
    </row>
    <row r="421">
      <c r="A421" s="12" t="n">
        <v>25</v>
      </c>
      <c r="B421" s="12">
        <f>IFERROR(IF(SUMIFS(tblDaily[Admissions],tblDaily[EntryDate],DATE(2026,11,25),tblDaily[WardCode],"MW")=0,"",SUMIFS(tblDaily[Admissions],tblDaily[EntryDate],DATE(2026,11,25),tblDaily[WardCode],"MW")),"")</f>
        <v/>
      </c>
      <c r="C421" s="12">
        <f>IFERROR(IF(SUMIFS(tblDaily[Discharges],tblDaily[EntryDate],DATE(2026,11,25),tblDaily[WardCode],"MW")=0,"",SUMIFS(tblDaily[Discharges],tblDaily[EntryDate],DATE(2026,11,25),tblDaily[WardCode],"MW")),"")</f>
        <v/>
      </c>
      <c r="D421" s="12">
        <f>IFERROR(IF(SUMIFS(tblDaily[Deaths],tblDaily[EntryDate],DATE(2026,11,25),tblDaily[WardCode],"MW")=0,"",SUMIFS(tblDaily[Deaths],tblDaily[EntryDate],DATE(2026,11,25),tblDaily[WardCode],"MW")),"")</f>
        <v/>
      </c>
      <c r="E421" s="12">
        <f>IFERROR(IF(SUMIFS(tblDaily[DeathsUnder24Hrs],tblDaily[EntryDate],DATE(2026,11,25),tblDaily[WardCode],"MW")=0,"",SUMIFS(tblDaily[DeathsUnder24Hrs],tblDaily[EntryDate],DATE(2026,11,25),tblDaily[WardCode],"MW")),"")</f>
        <v/>
      </c>
      <c r="F421" s="12">
        <f>IFERROR(IF(SUMIFS(tblDaily[TransfersIn],tblDaily[EntryDate],DATE(2026,11,25),tblDaily[WardCode],"MW")=0,"",SUMIFS(tblDaily[TransfersIn],tblDaily[EntryDate],DATE(2026,11,25),tblDaily[WardCode],"MW")),"")</f>
        <v/>
      </c>
      <c r="G421" s="12">
        <f>IFERROR(IF(SUMIFS(tblDaily[TransfersOut],tblDaily[EntryDate],DATE(2026,11,25),tblDaily[WardCode],"MW")=0,"",SUMIFS(tblDaily[TransfersOut],tblDaily[EntryDate],DATE(2026,11,25),tblDaily[WardCode],"MW")),"")</f>
        <v/>
      </c>
      <c r="H421" s="12">
        <f>IFERROR(IF(SUMIFS(tblDaily[Remaining],tblDaily[EntryDate],DATE(2026,11,25),tblDaily[WardCode],"MW")=0,"",SUMIFS(tblDaily[Remaining],tblDaily[EntryDate],DATE(2026,11,25),tblDaily[WardCode],"MW")),"")</f>
        <v/>
      </c>
    </row>
    <row r="422">
      <c r="A422" s="12" t="n">
        <v>26</v>
      </c>
      <c r="B422" s="12">
        <f>IFERROR(IF(SUMIFS(tblDaily[Admissions],tblDaily[EntryDate],DATE(2026,11,26),tblDaily[WardCode],"MW")=0,"",SUMIFS(tblDaily[Admissions],tblDaily[EntryDate],DATE(2026,11,26),tblDaily[WardCode],"MW")),"")</f>
        <v/>
      </c>
      <c r="C422" s="12">
        <f>IFERROR(IF(SUMIFS(tblDaily[Discharges],tblDaily[EntryDate],DATE(2026,11,26),tblDaily[WardCode],"MW")=0,"",SUMIFS(tblDaily[Discharges],tblDaily[EntryDate],DATE(2026,11,26),tblDaily[WardCode],"MW")),"")</f>
        <v/>
      </c>
      <c r="D422" s="12">
        <f>IFERROR(IF(SUMIFS(tblDaily[Deaths],tblDaily[EntryDate],DATE(2026,11,26),tblDaily[WardCode],"MW")=0,"",SUMIFS(tblDaily[Deaths],tblDaily[EntryDate],DATE(2026,11,26),tblDaily[WardCode],"MW")),"")</f>
        <v/>
      </c>
      <c r="E422" s="12">
        <f>IFERROR(IF(SUMIFS(tblDaily[DeathsUnder24Hrs],tblDaily[EntryDate],DATE(2026,11,26),tblDaily[WardCode],"MW")=0,"",SUMIFS(tblDaily[DeathsUnder24Hrs],tblDaily[EntryDate],DATE(2026,11,26),tblDaily[WardCode],"MW")),"")</f>
        <v/>
      </c>
      <c r="F422" s="12">
        <f>IFERROR(IF(SUMIFS(tblDaily[TransfersIn],tblDaily[EntryDate],DATE(2026,11,26),tblDaily[WardCode],"MW")=0,"",SUMIFS(tblDaily[TransfersIn],tblDaily[EntryDate],DATE(2026,11,26),tblDaily[WardCode],"MW")),"")</f>
        <v/>
      </c>
      <c r="G422" s="12">
        <f>IFERROR(IF(SUMIFS(tblDaily[TransfersOut],tblDaily[EntryDate],DATE(2026,11,26),tblDaily[WardCode],"MW")=0,"",SUMIFS(tblDaily[TransfersOut],tblDaily[EntryDate],DATE(2026,11,26),tblDaily[WardCode],"MW")),"")</f>
        <v/>
      </c>
      <c r="H422" s="12">
        <f>IFERROR(IF(SUMIFS(tblDaily[Remaining],tblDaily[EntryDate],DATE(2026,11,26),tblDaily[WardCode],"MW")=0,"",SUMIFS(tblDaily[Remaining],tblDaily[EntryDate],DATE(2026,11,26),tblDaily[WardCode],"MW")),"")</f>
        <v/>
      </c>
    </row>
    <row r="423">
      <c r="A423" s="12" t="n">
        <v>27</v>
      </c>
      <c r="B423" s="12">
        <f>IFERROR(IF(SUMIFS(tblDaily[Admissions],tblDaily[EntryDate],DATE(2026,11,27),tblDaily[WardCode],"MW")=0,"",SUMIFS(tblDaily[Admissions],tblDaily[EntryDate],DATE(2026,11,27),tblDaily[WardCode],"MW")),"")</f>
        <v/>
      </c>
      <c r="C423" s="12">
        <f>IFERROR(IF(SUMIFS(tblDaily[Discharges],tblDaily[EntryDate],DATE(2026,11,27),tblDaily[WardCode],"MW")=0,"",SUMIFS(tblDaily[Discharges],tblDaily[EntryDate],DATE(2026,11,27),tblDaily[WardCode],"MW")),"")</f>
        <v/>
      </c>
      <c r="D423" s="12">
        <f>IFERROR(IF(SUMIFS(tblDaily[Deaths],tblDaily[EntryDate],DATE(2026,11,27),tblDaily[WardCode],"MW")=0,"",SUMIFS(tblDaily[Deaths],tblDaily[EntryDate],DATE(2026,11,27),tblDaily[WardCode],"MW")),"")</f>
        <v/>
      </c>
      <c r="E423" s="12">
        <f>IFERROR(IF(SUMIFS(tblDaily[DeathsUnder24Hrs],tblDaily[EntryDate],DATE(2026,11,27),tblDaily[WardCode],"MW")=0,"",SUMIFS(tblDaily[DeathsUnder24Hrs],tblDaily[EntryDate],DATE(2026,11,27),tblDaily[WardCode],"MW")),"")</f>
        <v/>
      </c>
      <c r="F423" s="12">
        <f>IFERROR(IF(SUMIFS(tblDaily[TransfersIn],tblDaily[EntryDate],DATE(2026,11,27),tblDaily[WardCode],"MW")=0,"",SUMIFS(tblDaily[TransfersIn],tblDaily[EntryDate],DATE(2026,11,27),tblDaily[WardCode],"MW")),"")</f>
        <v/>
      </c>
      <c r="G423" s="12">
        <f>IFERROR(IF(SUMIFS(tblDaily[TransfersOut],tblDaily[EntryDate],DATE(2026,11,27),tblDaily[WardCode],"MW")=0,"",SUMIFS(tblDaily[TransfersOut],tblDaily[EntryDate],DATE(2026,11,27),tblDaily[WardCode],"MW")),"")</f>
        <v/>
      </c>
      <c r="H423" s="12">
        <f>IFERROR(IF(SUMIFS(tblDaily[Remaining],tblDaily[EntryDate],DATE(2026,11,27),tblDaily[WardCode],"MW")=0,"",SUMIFS(tblDaily[Remaining],tblDaily[EntryDate],DATE(2026,11,27),tblDaily[WardCode],"MW")),"")</f>
        <v/>
      </c>
    </row>
    <row r="424">
      <c r="A424" s="12" t="n">
        <v>28</v>
      </c>
      <c r="B424" s="12">
        <f>IFERROR(IF(SUMIFS(tblDaily[Admissions],tblDaily[EntryDate],DATE(2026,11,28),tblDaily[WardCode],"MW")=0,"",SUMIFS(tblDaily[Admissions],tblDaily[EntryDate],DATE(2026,11,28),tblDaily[WardCode],"MW")),"")</f>
        <v/>
      </c>
      <c r="C424" s="12">
        <f>IFERROR(IF(SUMIFS(tblDaily[Discharges],tblDaily[EntryDate],DATE(2026,11,28),tblDaily[WardCode],"MW")=0,"",SUMIFS(tblDaily[Discharges],tblDaily[EntryDate],DATE(2026,11,28),tblDaily[WardCode],"MW")),"")</f>
        <v/>
      </c>
      <c r="D424" s="12">
        <f>IFERROR(IF(SUMIFS(tblDaily[Deaths],tblDaily[EntryDate],DATE(2026,11,28),tblDaily[WardCode],"MW")=0,"",SUMIFS(tblDaily[Deaths],tblDaily[EntryDate],DATE(2026,11,28),tblDaily[WardCode],"MW")),"")</f>
        <v/>
      </c>
      <c r="E424" s="12">
        <f>IFERROR(IF(SUMIFS(tblDaily[DeathsUnder24Hrs],tblDaily[EntryDate],DATE(2026,11,28),tblDaily[WardCode],"MW")=0,"",SUMIFS(tblDaily[DeathsUnder24Hrs],tblDaily[EntryDate],DATE(2026,11,28),tblDaily[WardCode],"MW")),"")</f>
        <v/>
      </c>
      <c r="F424" s="12">
        <f>IFERROR(IF(SUMIFS(tblDaily[TransfersIn],tblDaily[EntryDate],DATE(2026,11,28),tblDaily[WardCode],"MW")=0,"",SUMIFS(tblDaily[TransfersIn],tblDaily[EntryDate],DATE(2026,11,28),tblDaily[WardCode],"MW")),"")</f>
        <v/>
      </c>
      <c r="G424" s="12">
        <f>IFERROR(IF(SUMIFS(tblDaily[TransfersOut],tblDaily[EntryDate],DATE(2026,11,28),tblDaily[WardCode],"MW")=0,"",SUMIFS(tblDaily[TransfersOut],tblDaily[EntryDate],DATE(2026,11,28),tblDaily[WardCode],"MW")),"")</f>
        <v/>
      </c>
      <c r="H424" s="12">
        <f>IFERROR(IF(SUMIFS(tblDaily[Remaining],tblDaily[EntryDate],DATE(2026,11,28),tblDaily[WardCode],"MW")=0,"",SUMIFS(tblDaily[Remaining],tblDaily[EntryDate],DATE(2026,11,28),tblDaily[WardCode],"MW")),"")</f>
        <v/>
      </c>
    </row>
    <row r="425">
      <c r="A425" s="12" t="n">
        <v>29</v>
      </c>
      <c r="B425" s="12">
        <f>IFERROR(IF(SUMIFS(tblDaily[Admissions],tblDaily[EntryDate],DATE(2026,11,29),tblDaily[WardCode],"MW")=0,"",SUMIFS(tblDaily[Admissions],tblDaily[EntryDate],DATE(2026,11,29),tblDaily[WardCode],"MW")),"")</f>
        <v/>
      </c>
      <c r="C425" s="12">
        <f>IFERROR(IF(SUMIFS(tblDaily[Discharges],tblDaily[EntryDate],DATE(2026,11,29),tblDaily[WardCode],"MW")=0,"",SUMIFS(tblDaily[Discharges],tblDaily[EntryDate],DATE(2026,11,29),tblDaily[WardCode],"MW")),"")</f>
        <v/>
      </c>
      <c r="D425" s="12">
        <f>IFERROR(IF(SUMIFS(tblDaily[Deaths],tblDaily[EntryDate],DATE(2026,11,29),tblDaily[WardCode],"MW")=0,"",SUMIFS(tblDaily[Deaths],tblDaily[EntryDate],DATE(2026,11,29),tblDaily[WardCode],"MW")),"")</f>
        <v/>
      </c>
      <c r="E425" s="12">
        <f>IFERROR(IF(SUMIFS(tblDaily[DeathsUnder24Hrs],tblDaily[EntryDate],DATE(2026,11,29),tblDaily[WardCode],"MW")=0,"",SUMIFS(tblDaily[DeathsUnder24Hrs],tblDaily[EntryDate],DATE(2026,11,29),tblDaily[WardCode],"MW")),"")</f>
        <v/>
      </c>
      <c r="F425" s="12">
        <f>IFERROR(IF(SUMIFS(tblDaily[TransfersIn],tblDaily[EntryDate],DATE(2026,11,29),tblDaily[WardCode],"MW")=0,"",SUMIFS(tblDaily[TransfersIn],tblDaily[EntryDate],DATE(2026,11,29),tblDaily[WardCode],"MW")),"")</f>
        <v/>
      </c>
      <c r="G425" s="12">
        <f>IFERROR(IF(SUMIFS(tblDaily[TransfersOut],tblDaily[EntryDate],DATE(2026,11,29),tblDaily[WardCode],"MW")=0,"",SUMIFS(tblDaily[TransfersOut],tblDaily[EntryDate],DATE(2026,11,29),tblDaily[WardCode],"MW")),"")</f>
        <v/>
      </c>
      <c r="H425" s="12">
        <f>IFERROR(IF(SUMIFS(tblDaily[Remaining],tblDaily[EntryDate],DATE(2026,11,29),tblDaily[WardCode],"MW")=0,"",SUMIFS(tblDaily[Remaining],tblDaily[EntryDate],DATE(2026,11,29),tblDaily[WardCode],"MW")),"")</f>
        <v/>
      </c>
    </row>
    <row r="426">
      <c r="A426" s="12" t="n">
        <v>30</v>
      </c>
      <c r="B426" s="12">
        <f>IFERROR(IF(SUMIFS(tblDaily[Admissions],tblDaily[EntryDate],DATE(2026,11,30),tblDaily[WardCode],"MW")=0,"",SUMIFS(tblDaily[Admissions],tblDaily[EntryDate],DATE(2026,11,30),tblDaily[WardCode],"MW")),"")</f>
        <v/>
      </c>
      <c r="C426" s="12">
        <f>IFERROR(IF(SUMIFS(tblDaily[Discharges],tblDaily[EntryDate],DATE(2026,11,30),tblDaily[WardCode],"MW")=0,"",SUMIFS(tblDaily[Discharges],tblDaily[EntryDate],DATE(2026,11,30),tblDaily[WardCode],"MW")),"")</f>
        <v/>
      </c>
      <c r="D426" s="12">
        <f>IFERROR(IF(SUMIFS(tblDaily[Deaths],tblDaily[EntryDate],DATE(2026,11,30),tblDaily[WardCode],"MW")=0,"",SUMIFS(tblDaily[Deaths],tblDaily[EntryDate],DATE(2026,11,30),tblDaily[WardCode],"MW")),"")</f>
        <v/>
      </c>
      <c r="E426" s="12">
        <f>IFERROR(IF(SUMIFS(tblDaily[DeathsUnder24Hrs],tblDaily[EntryDate],DATE(2026,11,30),tblDaily[WardCode],"MW")=0,"",SUMIFS(tblDaily[DeathsUnder24Hrs],tblDaily[EntryDate],DATE(2026,11,30),tblDaily[WardCode],"MW")),"")</f>
        <v/>
      </c>
      <c r="F426" s="12">
        <f>IFERROR(IF(SUMIFS(tblDaily[TransfersIn],tblDaily[EntryDate],DATE(2026,11,30),tblDaily[WardCode],"MW")=0,"",SUMIFS(tblDaily[TransfersIn],tblDaily[EntryDate],DATE(2026,11,30),tblDaily[WardCode],"MW")),"")</f>
        <v/>
      </c>
      <c r="G426" s="12">
        <f>IFERROR(IF(SUMIFS(tblDaily[TransfersOut],tblDaily[EntryDate],DATE(2026,11,30),tblDaily[WardCode],"MW")=0,"",SUMIFS(tblDaily[TransfersOut],tblDaily[EntryDate],DATE(2026,11,30),tblDaily[WardCode],"MW")),"")</f>
        <v/>
      </c>
      <c r="H426" s="12">
        <f>IFERROR(IF(SUMIFS(tblDaily[Remaining],tblDaily[EntryDate],DATE(2026,11,30),tblDaily[WardCode],"MW")=0,"",SUMIFS(tblDaily[Remaining],tblDaily[EntryDate],DATE(2026,11,30),tblDaily[WardCode],"MW")),"")</f>
        <v/>
      </c>
    </row>
    <row r="427">
      <c r="A427" s="12" t="n">
        <v>31</v>
      </c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7" t="inlineStr">
        <is>
          <t>TOTAL</t>
        </is>
      </c>
      <c r="B428" s="17">
        <f>SUMIFS(tblDaily[Admissions],tblDaily[Month],11,tblDaily[WardCode],"MW") - SUMIFS(tblDaily[DeathsUnder24Hrs],tblDaily[Month],11,tblDaily[WardCode],"MW")</f>
        <v/>
      </c>
      <c r="C428" s="17">
        <f>SUMIFS(tblDaily[Discharges],tblDaily[Month],11,tblDaily[WardCode],"MW")</f>
        <v/>
      </c>
      <c r="D428" s="17">
        <f>SUMIFS(tblDaily[Deaths],tblDaily[Month],11,tblDaily[WardCode],"MW")</f>
        <v/>
      </c>
      <c r="E428" s="17">
        <f>SUMIFS(tblDaily[DeathsUnder24Hrs],tblDaily[Month],11,tblDaily[WardCode],"MW")</f>
        <v/>
      </c>
      <c r="F428" s="17">
        <f>SUMIFS(tblDaily[TransfersIn],tblDaily[Month],11,tblDaily[WardCode],"MW")</f>
        <v/>
      </c>
      <c r="G428" s="17">
        <f>SUMIFS(tblDaily[TransfersOut],tblDaily[Month],11,tblDaily[WardCode],"MW")</f>
        <v/>
      </c>
      <c r="H428" s="17">
        <f>SUMIFS(tblDaily[Remaining],tblDaily[Month],11,tblDaily[WardCode],"MW")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MALE MEDICAL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4">
        <f>IFERROR(SUMIFS(tblDaily[Remaining],tblDaily[EntryDate],DATE(2026,11,30),tblDaily[WardCode],"MW"),0)</f>
        <v/>
      </c>
    </row>
    <row r="434">
      <c r="A434" s="4" t="inlineStr">
        <is>
          <t>Bed complement</t>
        </is>
      </c>
      <c r="H434" s="15">
        <f>IFERROR(INDEX(tblWardConfig[BedComplement],MATCH("MW",tblWardConfig[WardCode],0)),0)</f>
        <v/>
      </c>
    </row>
    <row r="435">
      <c r="A435" s="16" t="inlineStr">
        <is>
          <t>Day of
the
Month</t>
        </is>
      </c>
      <c r="B435" s="16" t="inlineStr">
        <is>
          <t>Admissions</t>
        </is>
      </c>
      <c r="C435" s="16" t="inlineStr">
        <is>
          <t>Discharges</t>
        </is>
      </c>
      <c r="D435" s="16" t="inlineStr">
        <is>
          <t>Deaths</t>
        </is>
      </c>
      <c r="E435" s="16" t="inlineStr">
        <is>
          <t>Deaths
&lt;24Hrs</t>
        </is>
      </c>
      <c r="F435" s="16" t="inlineStr">
        <is>
          <t>Transfers-
In</t>
        </is>
      </c>
      <c r="G435" s="16" t="inlineStr">
        <is>
          <t>Transfers-
Out</t>
        </is>
      </c>
      <c r="H435" s="16" t="inlineStr">
        <is>
          <t>No. of Patients
Remaining In
Ward</t>
        </is>
      </c>
    </row>
    <row r="436">
      <c r="A436" s="12" t="n">
        <v>1</v>
      </c>
      <c r="B436" s="12">
        <f>IFERROR(IF(SUMIFS(tblDaily[Admissions],tblDaily[EntryDate],DATE(2026,12,1),tblDaily[WardCode],"MW")=0,"",SUMIFS(tblDaily[Admissions],tblDaily[EntryDate],DATE(2026,12,1),tblDaily[WardCode],"MW")),"")</f>
        <v/>
      </c>
      <c r="C436" s="12">
        <f>IFERROR(IF(SUMIFS(tblDaily[Discharges],tblDaily[EntryDate],DATE(2026,12,1),tblDaily[WardCode],"MW")=0,"",SUMIFS(tblDaily[Discharges],tblDaily[EntryDate],DATE(2026,12,1),tblDaily[WardCode],"MW")),"")</f>
        <v/>
      </c>
      <c r="D436" s="12">
        <f>IFERROR(IF(SUMIFS(tblDaily[Deaths],tblDaily[EntryDate],DATE(2026,12,1),tblDaily[WardCode],"MW")=0,"",SUMIFS(tblDaily[Deaths],tblDaily[EntryDate],DATE(2026,12,1),tblDaily[WardCode],"MW")),"")</f>
        <v/>
      </c>
      <c r="E436" s="12">
        <f>IFERROR(IF(SUMIFS(tblDaily[DeathsUnder24Hrs],tblDaily[EntryDate],DATE(2026,12,1),tblDaily[WardCode],"MW")=0,"",SUMIFS(tblDaily[DeathsUnder24Hrs],tblDaily[EntryDate],DATE(2026,12,1),tblDaily[WardCode],"MW")),"")</f>
        <v/>
      </c>
      <c r="F436" s="12">
        <f>IFERROR(IF(SUMIFS(tblDaily[TransfersIn],tblDaily[EntryDate],DATE(2026,12,1),tblDaily[WardCode],"MW")=0,"",SUMIFS(tblDaily[TransfersIn],tblDaily[EntryDate],DATE(2026,12,1),tblDaily[WardCode],"MW")),"")</f>
        <v/>
      </c>
      <c r="G436" s="12">
        <f>IFERROR(IF(SUMIFS(tblDaily[TransfersOut],tblDaily[EntryDate],DATE(2026,12,1),tblDaily[WardCode],"MW")=0,"",SUMIFS(tblDaily[TransfersOut],tblDaily[EntryDate],DATE(2026,12,1),tblDaily[WardCode],"MW")),"")</f>
        <v/>
      </c>
      <c r="H436" s="12">
        <f>IFERROR(IF(SUMIFS(tblDaily[Remaining],tblDaily[EntryDate],DATE(2026,12,1),tblDaily[WardCode],"MW")=0,"",SUMIFS(tblDaily[Remaining],tblDaily[EntryDate],DATE(2026,12,1),tblDaily[WardCode],"MW")),"")</f>
        <v/>
      </c>
    </row>
    <row r="437">
      <c r="A437" s="12" t="n">
        <v>2</v>
      </c>
      <c r="B437" s="12">
        <f>IFERROR(IF(SUMIFS(tblDaily[Admissions],tblDaily[EntryDate],DATE(2026,12,2),tblDaily[WardCode],"MW")=0,"",SUMIFS(tblDaily[Admissions],tblDaily[EntryDate],DATE(2026,12,2),tblDaily[WardCode],"MW")),"")</f>
        <v/>
      </c>
      <c r="C437" s="12">
        <f>IFERROR(IF(SUMIFS(tblDaily[Discharges],tblDaily[EntryDate],DATE(2026,12,2),tblDaily[WardCode],"MW")=0,"",SUMIFS(tblDaily[Discharges],tblDaily[EntryDate],DATE(2026,12,2),tblDaily[WardCode],"MW")),"")</f>
        <v/>
      </c>
      <c r="D437" s="12">
        <f>IFERROR(IF(SUMIFS(tblDaily[Deaths],tblDaily[EntryDate],DATE(2026,12,2),tblDaily[WardCode],"MW")=0,"",SUMIFS(tblDaily[Deaths],tblDaily[EntryDate],DATE(2026,12,2),tblDaily[WardCode],"MW")),"")</f>
        <v/>
      </c>
      <c r="E437" s="12">
        <f>IFERROR(IF(SUMIFS(tblDaily[DeathsUnder24Hrs],tblDaily[EntryDate],DATE(2026,12,2),tblDaily[WardCode],"MW")=0,"",SUMIFS(tblDaily[DeathsUnder24Hrs],tblDaily[EntryDate],DATE(2026,12,2),tblDaily[WardCode],"MW")),"")</f>
        <v/>
      </c>
      <c r="F437" s="12">
        <f>IFERROR(IF(SUMIFS(tblDaily[TransfersIn],tblDaily[EntryDate],DATE(2026,12,2),tblDaily[WardCode],"MW")=0,"",SUMIFS(tblDaily[TransfersIn],tblDaily[EntryDate],DATE(2026,12,2),tblDaily[WardCode],"MW")),"")</f>
        <v/>
      </c>
      <c r="G437" s="12">
        <f>IFERROR(IF(SUMIFS(tblDaily[TransfersOut],tblDaily[EntryDate],DATE(2026,12,2),tblDaily[WardCode],"MW")=0,"",SUMIFS(tblDaily[TransfersOut],tblDaily[EntryDate],DATE(2026,12,2),tblDaily[WardCode],"MW")),"")</f>
        <v/>
      </c>
      <c r="H437" s="12">
        <f>IFERROR(IF(SUMIFS(tblDaily[Remaining],tblDaily[EntryDate],DATE(2026,12,2),tblDaily[WardCode],"MW")=0,"",SUMIFS(tblDaily[Remaining],tblDaily[EntryDate],DATE(2026,12,2),tblDaily[WardCode],"MW")),"")</f>
        <v/>
      </c>
    </row>
    <row r="438">
      <c r="A438" s="12" t="n">
        <v>3</v>
      </c>
      <c r="B438" s="12">
        <f>IFERROR(IF(SUMIFS(tblDaily[Admissions],tblDaily[EntryDate],DATE(2026,12,3),tblDaily[WardCode],"MW")=0,"",SUMIFS(tblDaily[Admissions],tblDaily[EntryDate],DATE(2026,12,3),tblDaily[WardCode],"MW")),"")</f>
        <v/>
      </c>
      <c r="C438" s="12">
        <f>IFERROR(IF(SUMIFS(tblDaily[Discharges],tblDaily[EntryDate],DATE(2026,12,3),tblDaily[WardCode],"MW")=0,"",SUMIFS(tblDaily[Discharges],tblDaily[EntryDate],DATE(2026,12,3),tblDaily[WardCode],"MW")),"")</f>
        <v/>
      </c>
      <c r="D438" s="12">
        <f>IFERROR(IF(SUMIFS(tblDaily[Deaths],tblDaily[EntryDate],DATE(2026,12,3),tblDaily[WardCode],"MW")=0,"",SUMIFS(tblDaily[Deaths],tblDaily[EntryDate],DATE(2026,12,3),tblDaily[WardCode],"MW")),"")</f>
        <v/>
      </c>
      <c r="E438" s="12">
        <f>IFERROR(IF(SUMIFS(tblDaily[DeathsUnder24Hrs],tblDaily[EntryDate],DATE(2026,12,3),tblDaily[WardCode],"MW")=0,"",SUMIFS(tblDaily[DeathsUnder24Hrs],tblDaily[EntryDate],DATE(2026,12,3),tblDaily[WardCode],"MW")),"")</f>
        <v/>
      </c>
      <c r="F438" s="12">
        <f>IFERROR(IF(SUMIFS(tblDaily[TransfersIn],tblDaily[EntryDate],DATE(2026,12,3),tblDaily[WardCode],"MW")=0,"",SUMIFS(tblDaily[TransfersIn],tblDaily[EntryDate],DATE(2026,12,3),tblDaily[WardCode],"MW")),"")</f>
        <v/>
      </c>
      <c r="G438" s="12">
        <f>IFERROR(IF(SUMIFS(tblDaily[TransfersOut],tblDaily[EntryDate],DATE(2026,12,3),tblDaily[WardCode],"MW")=0,"",SUMIFS(tblDaily[TransfersOut],tblDaily[EntryDate],DATE(2026,12,3),tblDaily[WardCode],"MW")),"")</f>
        <v/>
      </c>
      <c r="H438" s="12">
        <f>IFERROR(IF(SUMIFS(tblDaily[Remaining],tblDaily[EntryDate],DATE(2026,12,3),tblDaily[WardCode],"MW")=0,"",SUMIFS(tblDaily[Remaining],tblDaily[EntryDate],DATE(2026,12,3),tblDaily[WardCode],"MW")),"")</f>
        <v/>
      </c>
    </row>
    <row r="439">
      <c r="A439" s="12" t="n">
        <v>4</v>
      </c>
      <c r="B439" s="12">
        <f>IFERROR(IF(SUMIFS(tblDaily[Admissions],tblDaily[EntryDate],DATE(2026,12,4),tblDaily[WardCode],"MW")=0,"",SUMIFS(tblDaily[Admissions],tblDaily[EntryDate],DATE(2026,12,4),tblDaily[WardCode],"MW")),"")</f>
        <v/>
      </c>
      <c r="C439" s="12">
        <f>IFERROR(IF(SUMIFS(tblDaily[Discharges],tblDaily[EntryDate],DATE(2026,12,4),tblDaily[WardCode],"MW")=0,"",SUMIFS(tblDaily[Discharges],tblDaily[EntryDate],DATE(2026,12,4),tblDaily[WardCode],"MW")),"")</f>
        <v/>
      </c>
      <c r="D439" s="12">
        <f>IFERROR(IF(SUMIFS(tblDaily[Deaths],tblDaily[EntryDate],DATE(2026,12,4),tblDaily[WardCode],"MW")=0,"",SUMIFS(tblDaily[Deaths],tblDaily[EntryDate],DATE(2026,12,4),tblDaily[WardCode],"MW")),"")</f>
        <v/>
      </c>
      <c r="E439" s="12">
        <f>IFERROR(IF(SUMIFS(tblDaily[DeathsUnder24Hrs],tblDaily[EntryDate],DATE(2026,12,4),tblDaily[WardCode],"MW")=0,"",SUMIFS(tblDaily[DeathsUnder24Hrs],tblDaily[EntryDate],DATE(2026,12,4),tblDaily[WardCode],"MW")),"")</f>
        <v/>
      </c>
      <c r="F439" s="12">
        <f>IFERROR(IF(SUMIFS(tblDaily[TransfersIn],tblDaily[EntryDate],DATE(2026,12,4),tblDaily[WardCode],"MW")=0,"",SUMIFS(tblDaily[TransfersIn],tblDaily[EntryDate],DATE(2026,12,4),tblDaily[WardCode],"MW")),"")</f>
        <v/>
      </c>
      <c r="G439" s="12">
        <f>IFERROR(IF(SUMIFS(tblDaily[TransfersOut],tblDaily[EntryDate],DATE(2026,12,4),tblDaily[WardCode],"MW")=0,"",SUMIFS(tblDaily[TransfersOut],tblDaily[EntryDate],DATE(2026,12,4),tblDaily[WardCode],"MW")),"")</f>
        <v/>
      </c>
      <c r="H439" s="12">
        <f>IFERROR(IF(SUMIFS(tblDaily[Remaining],tblDaily[EntryDate],DATE(2026,12,4),tblDaily[WardCode],"MW")=0,"",SUMIFS(tblDaily[Remaining],tblDaily[EntryDate],DATE(2026,12,4),tblDaily[WardCode],"MW")),"")</f>
        <v/>
      </c>
    </row>
    <row r="440">
      <c r="A440" s="12" t="n">
        <v>5</v>
      </c>
      <c r="B440" s="12">
        <f>IFERROR(IF(SUMIFS(tblDaily[Admissions],tblDaily[EntryDate],DATE(2026,12,5),tblDaily[WardCode],"MW")=0,"",SUMIFS(tblDaily[Admissions],tblDaily[EntryDate],DATE(2026,12,5),tblDaily[WardCode],"MW")),"")</f>
        <v/>
      </c>
      <c r="C440" s="12">
        <f>IFERROR(IF(SUMIFS(tblDaily[Discharges],tblDaily[EntryDate],DATE(2026,12,5),tblDaily[WardCode],"MW")=0,"",SUMIFS(tblDaily[Discharges],tblDaily[EntryDate],DATE(2026,12,5),tblDaily[WardCode],"MW")),"")</f>
        <v/>
      </c>
      <c r="D440" s="12">
        <f>IFERROR(IF(SUMIFS(tblDaily[Deaths],tblDaily[EntryDate],DATE(2026,12,5),tblDaily[WardCode],"MW")=0,"",SUMIFS(tblDaily[Deaths],tblDaily[EntryDate],DATE(2026,12,5),tblDaily[WardCode],"MW")),"")</f>
        <v/>
      </c>
      <c r="E440" s="12">
        <f>IFERROR(IF(SUMIFS(tblDaily[DeathsUnder24Hrs],tblDaily[EntryDate],DATE(2026,12,5),tblDaily[WardCode],"MW")=0,"",SUMIFS(tblDaily[DeathsUnder24Hrs],tblDaily[EntryDate],DATE(2026,12,5),tblDaily[WardCode],"MW")),"")</f>
        <v/>
      </c>
      <c r="F440" s="12">
        <f>IFERROR(IF(SUMIFS(tblDaily[TransfersIn],tblDaily[EntryDate],DATE(2026,12,5),tblDaily[WardCode],"MW")=0,"",SUMIFS(tblDaily[TransfersIn],tblDaily[EntryDate],DATE(2026,12,5),tblDaily[WardCode],"MW")),"")</f>
        <v/>
      </c>
      <c r="G440" s="12">
        <f>IFERROR(IF(SUMIFS(tblDaily[TransfersOut],tblDaily[EntryDate],DATE(2026,12,5),tblDaily[WardCode],"MW")=0,"",SUMIFS(tblDaily[TransfersOut],tblDaily[EntryDate],DATE(2026,12,5),tblDaily[WardCode],"MW")),"")</f>
        <v/>
      </c>
      <c r="H440" s="12">
        <f>IFERROR(IF(SUMIFS(tblDaily[Remaining],tblDaily[EntryDate],DATE(2026,12,5),tblDaily[WardCode],"MW")=0,"",SUMIFS(tblDaily[Remaining],tblDaily[EntryDate],DATE(2026,12,5),tblDaily[WardCode],"MW")),"")</f>
        <v/>
      </c>
    </row>
    <row r="441">
      <c r="A441" s="12" t="n">
        <v>6</v>
      </c>
      <c r="B441" s="12">
        <f>IFERROR(IF(SUMIFS(tblDaily[Admissions],tblDaily[EntryDate],DATE(2026,12,6),tblDaily[WardCode],"MW")=0,"",SUMIFS(tblDaily[Admissions],tblDaily[EntryDate],DATE(2026,12,6),tblDaily[WardCode],"MW")),"")</f>
        <v/>
      </c>
      <c r="C441" s="12">
        <f>IFERROR(IF(SUMIFS(tblDaily[Discharges],tblDaily[EntryDate],DATE(2026,12,6),tblDaily[WardCode],"MW")=0,"",SUMIFS(tblDaily[Discharges],tblDaily[EntryDate],DATE(2026,12,6),tblDaily[WardCode],"MW")),"")</f>
        <v/>
      </c>
      <c r="D441" s="12">
        <f>IFERROR(IF(SUMIFS(tblDaily[Deaths],tblDaily[EntryDate],DATE(2026,12,6),tblDaily[WardCode],"MW")=0,"",SUMIFS(tblDaily[Deaths],tblDaily[EntryDate],DATE(2026,12,6),tblDaily[WardCode],"MW")),"")</f>
        <v/>
      </c>
      <c r="E441" s="12">
        <f>IFERROR(IF(SUMIFS(tblDaily[DeathsUnder24Hrs],tblDaily[EntryDate],DATE(2026,12,6),tblDaily[WardCode],"MW")=0,"",SUMIFS(tblDaily[DeathsUnder24Hrs],tblDaily[EntryDate],DATE(2026,12,6),tblDaily[WardCode],"MW")),"")</f>
        <v/>
      </c>
      <c r="F441" s="12">
        <f>IFERROR(IF(SUMIFS(tblDaily[TransfersIn],tblDaily[EntryDate],DATE(2026,12,6),tblDaily[WardCode],"MW")=0,"",SUMIFS(tblDaily[TransfersIn],tblDaily[EntryDate],DATE(2026,12,6),tblDaily[WardCode],"MW")),"")</f>
        <v/>
      </c>
      <c r="G441" s="12">
        <f>IFERROR(IF(SUMIFS(tblDaily[TransfersOut],tblDaily[EntryDate],DATE(2026,12,6),tblDaily[WardCode],"MW")=0,"",SUMIFS(tblDaily[TransfersOut],tblDaily[EntryDate],DATE(2026,12,6),tblDaily[WardCode],"MW")),"")</f>
        <v/>
      </c>
      <c r="H441" s="12">
        <f>IFERROR(IF(SUMIFS(tblDaily[Remaining],tblDaily[EntryDate],DATE(2026,12,6),tblDaily[WardCode],"MW")=0,"",SUMIFS(tblDaily[Remaining],tblDaily[EntryDate],DATE(2026,12,6),tblDaily[WardCode],"MW")),"")</f>
        <v/>
      </c>
    </row>
    <row r="442">
      <c r="A442" s="12" t="n">
        <v>7</v>
      </c>
      <c r="B442" s="12">
        <f>IFERROR(IF(SUMIFS(tblDaily[Admissions],tblDaily[EntryDate],DATE(2026,12,7),tblDaily[WardCode],"MW")=0,"",SUMIFS(tblDaily[Admissions],tblDaily[EntryDate],DATE(2026,12,7),tblDaily[WardCode],"MW")),"")</f>
        <v/>
      </c>
      <c r="C442" s="12">
        <f>IFERROR(IF(SUMIFS(tblDaily[Discharges],tblDaily[EntryDate],DATE(2026,12,7),tblDaily[WardCode],"MW")=0,"",SUMIFS(tblDaily[Discharges],tblDaily[EntryDate],DATE(2026,12,7),tblDaily[WardCode],"MW")),"")</f>
        <v/>
      </c>
      <c r="D442" s="12">
        <f>IFERROR(IF(SUMIFS(tblDaily[Deaths],tblDaily[EntryDate],DATE(2026,12,7),tblDaily[WardCode],"MW")=0,"",SUMIFS(tblDaily[Deaths],tblDaily[EntryDate],DATE(2026,12,7),tblDaily[WardCode],"MW")),"")</f>
        <v/>
      </c>
      <c r="E442" s="12">
        <f>IFERROR(IF(SUMIFS(tblDaily[DeathsUnder24Hrs],tblDaily[EntryDate],DATE(2026,12,7),tblDaily[WardCode],"MW")=0,"",SUMIFS(tblDaily[DeathsUnder24Hrs],tblDaily[EntryDate],DATE(2026,12,7),tblDaily[WardCode],"MW")),"")</f>
        <v/>
      </c>
      <c r="F442" s="12">
        <f>IFERROR(IF(SUMIFS(tblDaily[TransfersIn],tblDaily[EntryDate],DATE(2026,12,7),tblDaily[WardCode],"MW")=0,"",SUMIFS(tblDaily[TransfersIn],tblDaily[EntryDate],DATE(2026,12,7),tblDaily[WardCode],"MW")),"")</f>
        <v/>
      </c>
      <c r="G442" s="12">
        <f>IFERROR(IF(SUMIFS(tblDaily[TransfersOut],tblDaily[EntryDate],DATE(2026,12,7),tblDaily[WardCode],"MW")=0,"",SUMIFS(tblDaily[TransfersOut],tblDaily[EntryDate],DATE(2026,12,7),tblDaily[WardCode],"MW")),"")</f>
        <v/>
      </c>
      <c r="H442" s="12">
        <f>IFERROR(IF(SUMIFS(tblDaily[Remaining],tblDaily[EntryDate],DATE(2026,12,7),tblDaily[WardCode],"MW")=0,"",SUMIFS(tblDaily[Remaining],tblDaily[EntryDate],DATE(2026,12,7),tblDaily[WardCode],"MW")),"")</f>
        <v/>
      </c>
    </row>
    <row r="443">
      <c r="A443" s="12" t="n">
        <v>8</v>
      </c>
      <c r="B443" s="12">
        <f>IFERROR(IF(SUMIFS(tblDaily[Admissions],tblDaily[EntryDate],DATE(2026,12,8),tblDaily[WardCode],"MW")=0,"",SUMIFS(tblDaily[Admissions],tblDaily[EntryDate],DATE(2026,12,8),tblDaily[WardCode],"MW")),"")</f>
        <v/>
      </c>
      <c r="C443" s="12">
        <f>IFERROR(IF(SUMIFS(tblDaily[Discharges],tblDaily[EntryDate],DATE(2026,12,8),tblDaily[WardCode],"MW")=0,"",SUMIFS(tblDaily[Discharges],tblDaily[EntryDate],DATE(2026,12,8),tblDaily[WardCode],"MW")),"")</f>
        <v/>
      </c>
      <c r="D443" s="12">
        <f>IFERROR(IF(SUMIFS(tblDaily[Deaths],tblDaily[EntryDate],DATE(2026,12,8),tblDaily[WardCode],"MW")=0,"",SUMIFS(tblDaily[Deaths],tblDaily[EntryDate],DATE(2026,12,8),tblDaily[WardCode],"MW")),"")</f>
        <v/>
      </c>
      <c r="E443" s="12">
        <f>IFERROR(IF(SUMIFS(tblDaily[DeathsUnder24Hrs],tblDaily[EntryDate],DATE(2026,12,8),tblDaily[WardCode],"MW")=0,"",SUMIFS(tblDaily[DeathsUnder24Hrs],tblDaily[EntryDate],DATE(2026,12,8),tblDaily[WardCode],"MW")),"")</f>
        <v/>
      </c>
      <c r="F443" s="12">
        <f>IFERROR(IF(SUMIFS(tblDaily[TransfersIn],tblDaily[EntryDate],DATE(2026,12,8),tblDaily[WardCode],"MW")=0,"",SUMIFS(tblDaily[TransfersIn],tblDaily[EntryDate],DATE(2026,12,8),tblDaily[WardCode],"MW")),"")</f>
        <v/>
      </c>
      <c r="G443" s="12">
        <f>IFERROR(IF(SUMIFS(tblDaily[TransfersOut],tblDaily[EntryDate],DATE(2026,12,8),tblDaily[WardCode],"MW")=0,"",SUMIFS(tblDaily[TransfersOut],tblDaily[EntryDate],DATE(2026,12,8),tblDaily[WardCode],"MW")),"")</f>
        <v/>
      </c>
      <c r="H443" s="12">
        <f>IFERROR(IF(SUMIFS(tblDaily[Remaining],tblDaily[EntryDate],DATE(2026,12,8),tblDaily[WardCode],"MW")=0,"",SUMIFS(tblDaily[Remaining],tblDaily[EntryDate],DATE(2026,12,8),tblDaily[WardCode],"MW")),"")</f>
        <v/>
      </c>
    </row>
    <row r="444">
      <c r="A444" s="12" t="n">
        <v>9</v>
      </c>
      <c r="B444" s="12">
        <f>IFERROR(IF(SUMIFS(tblDaily[Admissions],tblDaily[EntryDate],DATE(2026,12,9),tblDaily[WardCode],"MW")=0,"",SUMIFS(tblDaily[Admissions],tblDaily[EntryDate],DATE(2026,12,9),tblDaily[WardCode],"MW")),"")</f>
        <v/>
      </c>
      <c r="C444" s="12">
        <f>IFERROR(IF(SUMIFS(tblDaily[Discharges],tblDaily[EntryDate],DATE(2026,12,9),tblDaily[WardCode],"MW")=0,"",SUMIFS(tblDaily[Discharges],tblDaily[EntryDate],DATE(2026,12,9),tblDaily[WardCode],"MW")),"")</f>
        <v/>
      </c>
      <c r="D444" s="12">
        <f>IFERROR(IF(SUMIFS(tblDaily[Deaths],tblDaily[EntryDate],DATE(2026,12,9),tblDaily[WardCode],"MW")=0,"",SUMIFS(tblDaily[Deaths],tblDaily[EntryDate],DATE(2026,12,9),tblDaily[WardCode],"MW")),"")</f>
        <v/>
      </c>
      <c r="E444" s="12">
        <f>IFERROR(IF(SUMIFS(tblDaily[DeathsUnder24Hrs],tblDaily[EntryDate],DATE(2026,12,9),tblDaily[WardCode],"MW")=0,"",SUMIFS(tblDaily[DeathsUnder24Hrs],tblDaily[EntryDate],DATE(2026,12,9),tblDaily[WardCode],"MW")),"")</f>
        <v/>
      </c>
      <c r="F444" s="12">
        <f>IFERROR(IF(SUMIFS(tblDaily[TransfersIn],tblDaily[EntryDate],DATE(2026,12,9),tblDaily[WardCode],"MW")=0,"",SUMIFS(tblDaily[TransfersIn],tblDaily[EntryDate],DATE(2026,12,9),tblDaily[WardCode],"MW")),"")</f>
        <v/>
      </c>
      <c r="G444" s="12">
        <f>IFERROR(IF(SUMIFS(tblDaily[TransfersOut],tblDaily[EntryDate],DATE(2026,12,9),tblDaily[WardCode],"MW")=0,"",SUMIFS(tblDaily[TransfersOut],tblDaily[EntryDate],DATE(2026,12,9),tblDaily[WardCode],"MW")),"")</f>
        <v/>
      </c>
      <c r="H444" s="12">
        <f>IFERROR(IF(SUMIFS(tblDaily[Remaining],tblDaily[EntryDate],DATE(2026,12,9),tblDaily[WardCode],"MW")=0,"",SUMIFS(tblDaily[Remaining],tblDaily[EntryDate],DATE(2026,12,9),tblDaily[WardCode],"MW")),"")</f>
        <v/>
      </c>
    </row>
    <row r="445">
      <c r="A445" s="12" t="n">
        <v>10</v>
      </c>
      <c r="B445" s="12">
        <f>IFERROR(IF(SUMIFS(tblDaily[Admissions],tblDaily[EntryDate],DATE(2026,12,10),tblDaily[WardCode],"MW")=0,"",SUMIFS(tblDaily[Admissions],tblDaily[EntryDate],DATE(2026,12,10),tblDaily[WardCode],"MW")),"")</f>
        <v/>
      </c>
      <c r="C445" s="12">
        <f>IFERROR(IF(SUMIFS(tblDaily[Discharges],tblDaily[EntryDate],DATE(2026,12,10),tblDaily[WardCode],"MW")=0,"",SUMIFS(tblDaily[Discharges],tblDaily[EntryDate],DATE(2026,12,10),tblDaily[WardCode],"MW")),"")</f>
        <v/>
      </c>
      <c r="D445" s="12">
        <f>IFERROR(IF(SUMIFS(tblDaily[Deaths],tblDaily[EntryDate],DATE(2026,12,10),tblDaily[WardCode],"MW")=0,"",SUMIFS(tblDaily[Deaths],tblDaily[EntryDate],DATE(2026,12,10),tblDaily[WardCode],"MW")),"")</f>
        <v/>
      </c>
      <c r="E445" s="12">
        <f>IFERROR(IF(SUMIFS(tblDaily[DeathsUnder24Hrs],tblDaily[EntryDate],DATE(2026,12,10),tblDaily[WardCode],"MW")=0,"",SUMIFS(tblDaily[DeathsUnder24Hrs],tblDaily[EntryDate],DATE(2026,12,10),tblDaily[WardCode],"MW")),"")</f>
        <v/>
      </c>
      <c r="F445" s="12">
        <f>IFERROR(IF(SUMIFS(tblDaily[TransfersIn],tblDaily[EntryDate],DATE(2026,12,10),tblDaily[WardCode],"MW")=0,"",SUMIFS(tblDaily[TransfersIn],tblDaily[EntryDate],DATE(2026,12,10),tblDaily[WardCode],"MW")),"")</f>
        <v/>
      </c>
      <c r="G445" s="12">
        <f>IFERROR(IF(SUMIFS(tblDaily[TransfersOut],tblDaily[EntryDate],DATE(2026,12,10),tblDaily[WardCode],"MW")=0,"",SUMIFS(tblDaily[TransfersOut],tblDaily[EntryDate],DATE(2026,12,10),tblDaily[WardCode],"MW")),"")</f>
        <v/>
      </c>
      <c r="H445" s="12">
        <f>IFERROR(IF(SUMIFS(tblDaily[Remaining],tblDaily[EntryDate],DATE(2026,12,10),tblDaily[WardCode],"MW")=0,"",SUMIFS(tblDaily[Remaining],tblDaily[EntryDate],DATE(2026,12,10),tblDaily[WardCode],"MW")),"")</f>
        <v/>
      </c>
    </row>
    <row r="446">
      <c r="A446" s="12" t="n">
        <v>11</v>
      </c>
      <c r="B446" s="12">
        <f>IFERROR(IF(SUMIFS(tblDaily[Admissions],tblDaily[EntryDate],DATE(2026,12,11),tblDaily[WardCode],"MW")=0,"",SUMIFS(tblDaily[Admissions],tblDaily[EntryDate],DATE(2026,12,11),tblDaily[WardCode],"MW")),"")</f>
        <v/>
      </c>
      <c r="C446" s="12">
        <f>IFERROR(IF(SUMIFS(tblDaily[Discharges],tblDaily[EntryDate],DATE(2026,12,11),tblDaily[WardCode],"MW")=0,"",SUMIFS(tblDaily[Discharges],tblDaily[EntryDate],DATE(2026,12,11),tblDaily[WardCode],"MW")),"")</f>
        <v/>
      </c>
      <c r="D446" s="12">
        <f>IFERROR(IF(SUMIFS(tblDaily[Deaths],tblDaily[EntryDate],DATE(2026,12,11),tblDaily[WardCode],"MW")=0,"",SUMIFS(tblDaily[Deaths],tblDaily[EntryDate],DATE(2026,12,11),tblDaily[WardCode],"MW")),"")</f>
        <v/>
      </c>
      <c r="E446" s="12">
        <f>IFERROR(IF(SUMIFS(tblDaily[DeathsUnder24Hrs],tblDaily[EntryDate],DATE(2026,12,11),tblDaily[WardCode],"MW")=0,"",SUMIFS(tblDaily[DeathsUnder24Hrs],tblDaily[EntryDate],DATE(2026,12,11),tblDaily[WardCode],"MW")),"")</f>
        <v/>
      </c>
      <c r="F446" s="12">
        <f>IFERROR(IF(SUMIFS(tblDaily[TransfersIn],tblDaily[EntryDate],DATE(2026,12,11),tblDaily[WardCode],"MW")=0,"",SUMIFS(tblDaily[TransfersIn],tblDaily[EntryDate],DATE(2026,12,11),tblDaily[WardCode],"MW")),"")</f>
        <v/>
      </c>
      <c r="G446" s="12">
        <f>IFERROR(IF(SUMIFS(tblDaily[TransfersOut],tblDaily[EntryDate],DATE(2026,12,11),tblDaily[WardCode],"MW")=0,"",SUMIFS(tblDaily[TransfersOut],tblDaily[EntryDate],DATE(2026,12,11),tblDaily[WardCode],"MW")),"")</f>
        <v/>
      </c>
      <c r="H446" s="12">
        <f>IFERROR(IF(SUMIFS(tblDaily[Remaining],tblDaily[EntryDate],DATE(2026,12,11),tblDaily[WardCode],"MW")=0,"",SUMIFS(tblDaily[Remaining],tblDaily[EntryDate],DATE(2026,12,11),tblDaily[WardCode],"MW")),"")</f>
        <v/>
      </c>
    </row>
    <row r="447">
      <c r="A447" s="12" t="n">
        <v>12</v>
      </c>
      <c r="B447" s="12">
        <f>IFERROR(IF(SUMIFS(tblDaily[Admissions],tblDaily[EntryDate],DATE(2026,12,12),tblDaily[WardCode],"MW")=0,"",SUMIFS(tblDaily[Admissions],tblDaily[EntryDate],DATE(2026,12,12),tblDaily[WardCode],"MW")),"")</f>
        <v/>
      </c>
      <c r="C447" s="12">
        <f>IFERROR(IF(SUMIFS(tblDaily[Discharges],tblDaily[EntryDate],DATE(2026,12,12),tblDaily[WardCode],"MW")=0,"",SUMIFS(tblDaily[Discharges],tblDaily[EntryDate],DATE(2026,12,12),tblDaily[WardCode],"MW")),"")</f>
        <v/>
      </c>
      <c r="D447" s="12">
        <f>IFERROR(IF(SUMIFS(tblDaily[Deaths],tblDaily[EntryDate],DATE(2026,12,12),tblDaily[WardCode],"MW")=0,"",SUMIFS(tblDaily[Deaths],tblDaily[EntryDate],DATE(2026,12,12),tblDaily[WardCode],"MW")),"")</f>
        <v/>
      </c>
      <c r="E447" s="12">
        <f>IFERROR(IF(SUMIFS(tblDaily[DeathsUnder24Hrs],tblDaily[EntryDate],DATE(2026,12,12),tblDaily[WardCode],"MW")=0,"",SUMIFS(tblDaily[DeathsUnder24Hrs],tblDaily[EntryDate],DATE(2026,12,12),tblDaily[WardCode],"MW")),"")</f>
        <v/>
      </c>
      <c r="F447" s="12">
        <f>IFERROR(IF(SUMIFS(tblDaily[TransfersIn],tblDaily[EntryDate],DATE(2026,12,12),tblDaily[WardCode],"MW")=0,"",SUMIFS(tblDaily[TransfersIn],tblDaily[EntryDate],DATE(2026,12,12),tblDaily[WardCode],"MW")),"")</f>
        <v/>
      </c>
      <c r="G447" s="12">
        <f>IFERROR(IF(SUMIFS(tblDaily[TransfersOut],tblDaily[EntryDate],DATE(2026,12,12),tblDaily[WardCode],"MW")=0,"",SUMIFS(tblDaily[TransfersOut],tblDaily[EntryDate],DATE(2026,12,12),tblDaily[WardCode],"MW")),"")</f>
        <v/>
      </c>
      <c r="H447" s="12">
        <f>IFERROR(IF(SUMIFS(tblDaily[Remaining],tblDaily[EntryDate],DATE(2026,12,12),tblDaily[WardCode],"MW")=0,"",SUMIFS(tblDaily[Remaining],tblDaily[EntryDate],DATE(2026,12,12),tblDaily[WardCode],"MW")),"")</f>
        <v/>
      </c>
    </row>
    <row r="448">
      <c r="A448" s="12" t="n">
        <v>13</v>
      </c>
      <c r="B448" s="12">
        <f>IFERROR(IF(SUMIFS(tblDaily[Admissions],tblDaily[EntryDate],DATE(2026,12,13),tblDaily[WardCode],"MW")=0,"",SUMIFS(tblDaily[Admissions],tblDaily[EntryDate],DATE(2026,12,13),tblDaily[WardCode],"MW")),"")</f>
        <v/>
      </c>
      <c r="C448" s="12">
        <f>IFERROR(IF(SUMIFS(tblDaily[Discharges],tblDaily[EntryDate],DATE(2026,12,13),tblDaily[WardCode],"MW")=0,"",SUMIFS(tblDaily[Discharges],tblDaily[EntryDate],DATE(2026,12,13),tblDaily[WardCode],"MW")),"")</f>
        <v/>
      </c>
      <c r="D448" s="12">
        <f>IFERROR(IF(SUMIFS(tblDaily[Deaths],tblDaily[EntryDate],DATE(2026,12,13),tblDaily[WardCode],"MW")=0,"",SUMIFS(tblDaily[Deaths],tblDaily[EntryDate],DATE(2026,12,13),tblDaily[WardCode],"MW")),"")</f>
        <v/>
      </c>
      <c r="E448" s="12">
        <f>IFERROR(IF(SUMIFS(tblDaily[DeathsUnder24Hrs],tblDaily[EntryDate],DATE(2026,12,13),tblDaily[WardCode],"MW")=0,"",SUMIFS(tblDaily[DeathsUnder24Hrs],tblDaily[EntryDate],DATE(2026,12,13),tblDaily[WardCode],"MW")),"")</f>
        <v/>
      </c>
      <c r="F448" s="12">
        <f>IFERROR(IF(SUMIFS(tblDaily[TransfersIn],tblDaily[EntryDate],DATE(2026,12,13),tblDaily[WardCode],"MW")=0,"",SUMIFS(tblDaily[TransfersIn],tblDaily[EntryDate],DATE(2026,12,13),tblDaily[WardCode],"MW")),"")</f>
        <v/>
      </c>
      <c r="G448" s="12">
        <f>IFERROR(IF(SUMIFS(tblDaily[TransfersOut],tblDaily[EntryDate],DATE(2026,12,13),tblDaily[WardCode],"MW")=0,"",SUMIFS(tblDaily[TransfersOut],tblDaily[EntryDate],DATE(2026,12,13),tblDaily[WardCode],"MW")),"")</f>
        <v/>
      </c>
      <c r="H448" s="12">
        <f>IFERROR(IF(SUMIFS(tblDaily[Remaining],tblDaily[EntryDate],DATE(2026,12,13),tblDaily[WardCode],"MW")=0,"",SUMIFS(tblDaily[Remaining],tblDaily[EntryDate],DATE(2026,12,13),tblDaily[WardCode],"MW")),"")</f>
        <v/>
      </c>
    </row>
    <row r="449">
      <c r="A449" s="12" t="n">
        <v>14</v>
      </c>
      <c r="B449" s="12">
        <f>IFERROR(IF(SUMIFS(tblDaily[Admissions],tblDaily[EntryDate],DATE(2026,12,14),tblDaily[WardCode],"MW")=0,"",SUMIFS(tblDaily[Admissions],tblDaily[EntryDate],DATE(2026,12,14),tblDaily[WardCode],"MW")),"")</f>
        <v/>
      </c>
      <c r="C449" s="12">
        <f>IFERROR(IF(SUMIFS(tblDaily[Discharges],tblDaily[EntryDate],DATE(2026,12,14),tblDaily[WardCode],"MW")=0,"",SUMIFS(tblDaily[Discharges],tblDaily[EntryDate],DATE(2026,12,14),tblDaily[WardCode],"MW")),"")</f>
        <v/>
      </c>
      <c r="D449" s="12">
        <f>IFERROR(IF(SUMIFS(tblDaily[Deaths],tblDaily[EntryDate],DATE(2026,12,14),tblDaily[WardCode],"MW")=0,"",SUMIFS(tblDaily[Deaths],tblDaily[EntryDate],DATE(2026,12,14),tblDaily[WardCode],"MW")),"")</f>
        <v/>
      </c>
      <c r="E449" s="12">
        <f>IFERROR(IF(SUMIFS(tblDaily[DeathsUnder24Hrs],tblDaily[EntryDate],DATE(2026,12,14),tblDaily[WardCode],"MW")=0,"",SUMIFS(tblDaily[DeathsUnder24Hrs],tblDaily[EntryDate],DATE(2026,12,14),tblDaily[WardCode],"MW")),"")</f>
        <v/>
      </c>
      <c r="F449" s="12">
        <f>IFERROR(IF(SUMIFS(tblDaily[TransfersIn],tblDaily[EntryDate],DATE(2026,12,14),tblDaily[WardCode],"MW")=0,"",SUMIFS(tblDaily[TransfersIn],tblDaily[EntryDate],DATE(2026,12,14),tblDaily[WardCode],"MW")),"")</f>
        <v/>
      </c>
      <c r="G449" s="12">
        <f>IFERROR(IF(SUMIFS(tblDaily[TransfersOut],tblDaily[EntryDate],DATE(2026,12,14),tblDaily[WardCode],"MW")=0,"",SUMIFS(tblDaily[TransfersOut],tblDaily[EntryDate],DATE(2026,12,14),tblDaily[WardCode],"MW")),"")</f>
        <v/>
      </c>
      <c r="H449" s="12">
        <f>IFERROR(IF(SUMIFS(tblDaily[Remaining],tblDaily[EntryDate],DATE(2026,12,14),tblDaily[WardCode],"MW")=0,"",SUMIFS(tblDaily[Remaining],tblDaily[EntryDate],DATE(2026,12,14),tblDaily[WardCode],"MW")),"")</f>
        <v/>
      </c>
    </row>
    <row r="450">
      <c r="A450" s="12" t="n">
        <v>15</v>
      </c>
      <c r="B450" s="12">
        <f>IFERROR(IF(SUMIFS(tblDaily[Admissions],tblDaily[EntryDate],DATE(2026,12,15),tblDaily[WardCode],"MW")=0,"",SUMIFS(tblDaily[Admissions],tblDaily[EntryDate],DATE(2026,12,15),tblDaily[WardCode],"MW")),"")</f>
        <v/>
      </c>
      <c r="C450" s="12">
        <f>IFERROR(IF(SUMIFS(tblDaily[Discharges],tblDaily[EntryDate],DATE(2026,12,15),tblDaily[WardCode],"MW")=0,"",SUMIFS(tblDaily[Discharges],tblDaily[EntryDate],DATE(2026,12,15),tblDaily[WardCode],"MW")),"")</f>
        <v/>
      </c>
      <c r="D450" s="12">
        <f>IFERROR(IF(SUMIFS(tblDaily[Deaths],tblDaily[EntryDate],DATE(2026,12,15),tblDaily[WardCode],"MW")=0,"",SUMIFS(tblDaily[Deaths],tblDaily[EntryDate],DATE(2026,12,15),tblDaily[WardCode],"MW")),"")</f>
        <v/>
      </c>
      <c r="E450" s="12">
        <f>IFERROR(IF(SUMIFS(tblDaily[DeathsUnder24Hrs],tblDaily[EntryDate],DATE(2026,12,15),tblDaily[WardCode],"MW")=0,"",SUMIFS(tblDaily[DeathsUnder24Hrs],tblDaily[EntryDate],DATE(2026,12,15),tblDaily[WardCode],"MW")),"")</f>
        <v/>
      </c>
      <c r="F450" s="12">
        <f>IFERROR(IF(SUMIFS(tblDaily[TransfersIn],tblDaily[EntryDate],DATE(2026,12,15),tblDaily[WardCode],"MW")=0,"",SUMIFS(tblDaily[TransfersIn],tblDaily[EntryDate],DATE(2026,12,15),tblDaily[WardCode],"MW")),"")</f>
        <v/>
      </c>
      <c r="G450" s="12">
        <f>IFERROR(IF(SUMIFS(tblDaily[TransfersOut],tblDaily[EntryDate],DATE(2026,12,15),tblDaily[WardCode],"MW")=0,"",SUMIFS(tblDaily[TransfersOut],tblDaily[EntryDate],DATE(2026,12,15),tblDaily[WardCode],"MW")),"")</f>
        <v/>
      </c>
      <c r="H450" s="12">
        <f>IFERROR(IF(SUMIFS(tblDaily[Remaining],tblDaily[EntryDate],DATE(2026,12,15),tblDaily[WardCode],"MW")=0,"",SUMIFS(tblDaily[Remaining],tblDaily[EntryDate],DATE(2026,12,15),tblDaily[WardCode],"MW")),"")</f>
        <v/>
      </c>
    </row>
    <row r="451">
      <c r="A451" s="12" t="n">
        <v>16</v>
      </c>
      <c r="B451" s="12">
        <f>IFERROR(IF(SUMIFS(tblDaily[Admissions],tblDaily[EntryDate],DATE(2026,12,16),tblDaily[WardCode],"MW")=0,"",SUMIFS(tblDaily[Admissions],tblDaily[EntryDate],DATE(2026,12,16),tblDaily[WardCode],"MW")),"")</f>
        <v/>
      </c>
      <c r="C451" s="12">
        <f>IFERROR(IF(SUMIFS(tblDaily[Discharges],tblDaily[EntryDate],DATE(2026,12,16),tblDaily[WardCode],"MW")=0,"",SUMIFS(tblDaily[Discharges],tblDaily[EntryDate],DATE(2026,12,16),tblDaily[WardCode],"MW")),"")</f>
        <v/>
      </c>
      <c r="D451" s="12">
        <f>IFERROR(IF(SUMIFS(tblDaily[Deaths],tblDaily[EntryDate],DATE(2026,12,16),tblDaily[WardCode],"MW")=0,"",SUMIFS(tblDaily[Deaths],tblDaily[EntryDate],DATE(2026,12,16),tblDaily[WardCode],"MW")),"")</f>
        <v/>
      </c>
      <c r="E451" s="12">
        <f>IFERROR(IF(SUMIFS(tblDaily[DeathsUnder24Hrs],tblDaily[EntryDate],DATE(2026,12,16),tblDaily[WardCode],"MW")=0,"",SUMIFS(tblDaily[DeathsUnder24Hrs],tblDaily[EntryDate],DATE(2026,12,16),tblDaily[WardCode],"MW")),"")</f>
        <v/>
      </c>
      <c r="F451" s="12">
        <f>IFERROR(IF(SUMIFS(tblDaily[TransfersIn],tblDaily[EntryDate],DATE(2026,12,16),tblDaily[WardCode],"MW")=0,"",SUMIFS(tblDaily[TransfersIn],tblDaily[EntryDate],DATE(2026,12,16),tblDaily[WardCode],"MW")),"")</f>
        <v/>
      </c>
      <c r="G451" s="12">
        <f>IFERROR(IF(SUMIFS(tblDaily[TransfersOut],tblDaily[EntryDate],DATE(2026,12,16),tblDaily[WardCode],"MW")=0,"",SUMIFS(tblDaily[TransfersOut],tblDaily[EntryDate],DATE(2026,12,16),tblDaily[WardCode],"MW")),"")</f>
        <v/>
      </c>
      <c r="H451" s="12">
        <f>IFERROR(IF(SUMIFS(tblDaily[Remaining],tblDaily[EntryDate],DATE(2026,12,16),tblDaily[WardCode],"MW")=0,"",SUMIFS(tblDaily[Remaining],tblDaily[EntryDate],DATE(2026,12,16),tblDaily[WardCode],"MW")),"")</f>
        <v/>
      </c>
    </row>
    <row r="452">
      <c r="A452" s="12" t="n">
        <v>17</v>
      </c>
      <c r="B452" s="12">
        <f>IFERROR(IF(SUMIFS(tblDaily[Admissions],tblDaily[EntryDate],DATE(2026,12,17),tblDaily[WardCode],"MW")=0,"",SUMIFS(tblDaily[Admissions],tblDaily[EntryDate],DATE(2026,12,17),tblDaily[WardCode],"MW")),"")</f>
        <v/>
      </c>
      <c r="C452" s="12">
        <f>IFERROR(IF(SUMIFS(tblDaily[Discharges],tblDaily[EntryDate],DATE(2026,12,17),tblDaily[WardCode],"MW")=0,"",SUMIFS(tblDaily[Discharges],tblDaily[EntryDate],DATE(2026,12,17),tblDaily[WardCode],"MW")),"")</f>
        <v/>
      </c>
      <c r="D452" s="12">
        <f>IFERROR(IF(SUMIFS(tblDaily[Deaths],tblDaily[EntryDate],DATE(2026,12,17),tblDaily[WardCode],"MW")=0,"",SUMIFS(tblDaily[Deaths],tblDaily[EntryDate],DATE(2026,12,17),tblDaily[WardCode],"MW")),"")</f>
        <v/>
      </c>
      <c r="E452" s="12">
        <f>IFERROR(IF(SUMIFS(tblDaily[DeathsUnder24Hrs],tblDaily[EntryDate],DATE(2026,12,17),tblDaily[WardCode],"MW")=0,"",SUMIFS(tblDaily[DeathsUnder24Hrs],tblDaily[EntryDate],DATE(2026,12,17),tblDaily[WardCode],"MW")),"")</f>
        <v/>
      </c>
      <c r="F452" s="12">
        <f>IFERROR(IF(SUMIFS(tblDaily[TransfersIn],tblDaily[EntryDate],DATE(2026,12,17),tblDaily[WardCode],"MW")=0,"",SUMIFS(tblDaily[TransfersIn],tblDaily[EntryDate],DATE(2026,12,17),tblDaily[WardCode],"MW")),"")</f>
        <v/>
      </c>
      <c r="G452" s="12">
        <f>IFERROR(IF(SUMIFS(tblDaily[TransfersOut],tblDaily[EntryDate],DATE(2026,12,17),tblDaily[WardCode],"MW")=0,"",SUMIFS(tblDaily[TransfersOut],tblDaily[EntryDate],DATE(2026,12,17),tblDaily[WardCode],"MW")),"")</f>
        <v/>
      </c>
      <c r="H452" s="12">
        <f>IFERROR(IF(SUMIFS(tblDaily[Remaining],tblDaily[EntryDate],DATE(2026,12,17),tblDaily[WardCode],"MW")=0,"",SUMIFS(tblDaily[Remaining],tblDaily[EntryDate],DATE(2026,12,17),tblDaily[WardCode],"MW")),"")</f>
        <v/>
      </c>
    </row>
    <row r="453">
      <c r="A453" s="12" t="n">
        <v>18</v>
      </c>
      <c r="B453" s="12">
        <f>IFERROR(IF(SUMIFS(tblDaily[Admissions],tblDaily[EntryDate],DATE(2026,12,18),tblDaily[WardCode],"MW")=0,"",SUMIFS(tblDaily[Admissions],tblDaily[EntryDate],DATE(2026,12,18),tblDaily[WardCode],"MW")),"")</f>
        <v/>
      </c>
      <c r="C453" s="12">
        <f>IFERROR(IF(SUMIFS(tblDaily[Discharges],tblDaily[EntryDate],DATE(2026,12,18),tblDaily[WardCode],"MW")=0,"",SUMIFS(tblDaily[Discharges],tblDaily[EntryDate],DATE(2026,12,18),tblDaily[WardCode],"MW")),"")</f>
        <v/>
      </c>
      <c r="D453" s="12">
        <f>IFERROR(IF(SUMIFS(tblDaily[Deaths],tblDaily[EntryDate],DATE(2026,12,18),tblDaily[WardCode],"MW")=0,"",SUMIFS(tblDaily[Deaths],tblDaily[EntryDate],DATE(2026,12,18),tblDaily[WardCode],"MW")),"")</f>
        <v/>
      </c>
      <c r="E453" s="12">
        <f>IFERROR(IF(SUMIFS(tblDaily[DeathsUnder24Hrs],tblDaily[EntryDate],DATE(2026,12,18),tblDaily[WardCode],"MW")=0,"",SUMIFS(tblDaily[DeathsUnder24Hrs],tblDaily[EntryDate],DATE(2026,12,18),tblDaily[WardCode],"MW")),"")</f>
        <v/>
      </c>
      <c r="F453" s="12">
        <f>IFERROR(IF(SUMIFS(tblDaily[TransfersIn],tblDaily[EntryDate],DATE(2026,12,18),tblDaily[WardCode],"MW")=0,"",SUMIFS(tblDaily[TransfersIn],tblDaily[EntryDate],DATE(2026,12,18),tblDaily[WardCode],"MW")),"")</f>
        <v/>
      </c>
      <c r="G453" s="12">
        <f>IFERROR(IF(SUMIFS(tblDaily[TransfersOut],tblDaily[EntryDate],DATE(2026,12,18),tblDaily[WardCode],"MW")=0,"",SUMIFS(tblDaily[TransfersOut],tblDaily[EntryDate],DATE(2026,12,18),tblDaily[WardCode],"MW")),"")</f>
        <v/>
      </c>
      <c r="H453" s="12">
        <f>IFERROR(IF(SUMIFS(tblDaily[Remaining],tblDaily[EntryDate],DATE(2026,12,18),tblDaily[WardCode],"MW")=0,"",SUMIFS(tblDaily[Remaining],tblDaily[EntryDate],DATE(2026,12,18),tblDaily[WardCode],"MW")),"")</f>
        <v/>
      </c>
    </row>
    <row r="454">
      <c r="A454" s="12" t="n">
        <v>19</v>
      </c>
      <c r="B454" s="12">
        <f>IFERROR(IF(SUMIFS(tblDaily[Admissions],tblDaily[EntryDate],DATE(2026,12,19),tblDaily[WardCode],"MW")=0,"",SUMIFS(tblDaily[Admissions],tblDaily[EntryDate],DATE(2026,12,19),tblDaily[WardCode],"MW")),"")</f>
        <v/>
      </c>
      <c r="C454" s="12">
        <f>IFERROR(IF(SUMIFS(tblDaily[Discharges],tblDaily[EntryDate],DATE(2026,12,19),tblDaily[WardCode],"MW")=0,"",SUMIFS(tblDaily[Discharges],tblDaily[EntryDate],DATE(2026,12,19),tblDaily[WardCode],"MW")),"")</f>
        <v/>
      </c>
      <c r="D454" s="12">
        <f>IFERROR(IF(SUMIFS(tblDaily[Deaths],tblDaily[EntryDate],DATE(2026,12,19),tblDaily[WardCode],"MW")=0,"",SUMIFS(tblDaily[Deaths],tblDaily[EntryDate],DATE(2026,12,19),tblDaily[WardCode],"MW")),"")</f>
        <v/>
      </c>
      <c r="E454" s="12">
        <f>IFERROR(IF(SUMIFS(tblDaily[DeathsUnder24Hrs],tblDaily[EntryDate],DATE(2026,12,19),tblDaily[WardCode],"MW")=0,"",SUMIFS(tblDaily[DeathsUnder24Hrs],tblDaily[EntryDate],DATE(2026,12,19),tblDaily[WardCode],"MW")),"")</f>
        <v/>
      </c>
      <c r="F454" s="12">
        <f>IFERROR(IF(SUMIFS(tblDaily[TransfersIn],tblDaily[EntryDate],DATE(2026,12,19),tblDaily[WardCode],"MW")=0,"",SUMIFS(tblDaily[TransfersIn],tblDaily[EntryDate],DATE(2026,12,19),tblDaily[WardCode],"MW")),"")</f>
        <v/>
      </c>
      <c r="G454" s="12">
        <f>IFERROR(IF(SUMIFS(tblDaily[TransfersOut],tblDaily[EntryDate],DATE(2026,12,19),tblDaily[WardCode],"MW")=0,"",SUMIFS(tblDaily[TransfersOut],tblDaily[EntryDate],DATE(2026,12,19),tblDaily[WardCode],"MW")),"")</f>
        <v/>
      </c>
      <c r="H454" s="12">
        <f>IFERROR(IF(SUMIFS(tblDaily[Remaining],tblDaily[EntryDate],DATE(2026,12,19),tblDaily[WardCode],"MW")=0,"",SUMIFS(tblDaily[Remaining],tblDaily[EntryDate],DATE(2026,12,19),tblDaily[WardCode],"MW")),"")</f>
        <v/>
      </c>
    </row>
    <row r="455">
      <c r="A455" s="12" t="n">
        <v>20</v>
      </c>
      <c r="B455" s="12">
        <f>IFERROR(IF(SUMIFS(tblDaily[Admissions],tblDaily[EntryDate],DATE(2026,12,20),tblDaily[WardCode],"MW")=0,"",SUMIFS(tblDaily[Admissions],tblDaily[EntryDate],DATE(2026,12,20),tblDaily[WardCode],"MW")),"")</f>
        <v/>
      </c>
      <c r="C455" s="12">
        <f>IFERROR(IF(SUMIFS(tblDaily[Discharges],tblDaily[EntryDate],DATE(2026,12,20),tblDaily[WardCode],"MW")=0,"",SUMIFS(tblDaily[Discharges],tblDaily[EntryDate],DATE(2026,12,20),tblDaily[WardCode],"MW")),"")</f>
        <v/>
      </c>
      <c r="D455" s="12">
        <f>IFERROR(IF(SUMIFS(tblDaily[Deaths],tblDaily[EntryDate],DATE(2026,12,20),tblDaily[WardCode],"MW")=0,"",SUMIFS(tblDaily[Deaths],tblDaily[EntryDate],DATE(2026,12,20),tblDaily[WardCode],"MW")),"")</f>
        <v/>
      </c>
      <c r="E455" s="12">
        <f>IFERROR(IF(SUMIFS(tblDaily[DeathsUnder24Hrs],tblDaily[EntryDate],DATE(2026,12,20),tblDaily[WardCode],"MW")=0,"",SUMIFS(tblDaily[DeathsUnder24Hrs],tblDaily[EntryDate],DATE(2026,12,20),tblDaily[WardCode],"MW")),"")</f>
        <v/>
      </c>
      <c r="F455" s="12">
        <f>IFERROR(IF(SUMIFS(tblDaily[TransfersIn],tblDaily[EntryDate],DATE(2026,12,20),tblDaily[WardCode],"MW")=0,"",SUMIFS(tblDaily[TransfersIn],tblDaily[EntryDate],DATE(2026,12,20),tblDaily[WardCode],"MW")),"")</f>
        <v/>
      </c>
      <c r="G455" s="12">
        <f>IFERROR(IF(SUMIFS(tblDaily[TransfersOut],tblDaily[EntryDate],DATE(2026,12,20),tblDaily[WardCode],"MW")=0,"",SUMIFS(tblDaily[TransfersOut],tblDaily[EntryDate],DATE(2026,12,20),tblDaily[WardCode],"MW")),"")</f>
        <v/>
      </c>
      <c r="H455" s="12">
        <f>IFERROR(IF(SUMIFS(tblDaily[Remaining],tblDaily[EntryDate],DATE(2026,12,20),tblDaily[WardCode],"MW")=0,"",SUMIFS(tblDaily[Remaining],tblDaily[EntryDate],DATE(2026,12,20),tblDaily[WardCode],"MW")),"")</f>
        <v/>
      </c>
    </row>
    <row r="456">
      <c r="A456" s="12" t="n">
        <v>21</v>
      </c>
      <c r="B456" s="12">
        <f>IFERROR(IF(SUMIFS(tblDaily[Admissions],tblDaily[EntryDate],DATE(2026,12,21),tblDaily[WardCode],"MW")=0,"",SUMIFS(tblDaily[Admissions],tblDaily[EntryDate],DATE(2026,12,21),tblDaily[WardCode],"MW")),"")</f>
        <v/>
      </c>
      <c r="C456" s="12">
        <f>IFERROR(IF(SUMIFS(tblDaily[Discharges],tblDaily[EntryDate],DATE(2026,12,21),tblDaily[WardCode],"MW")=0,"",SUMIFS(tblDaily[Discharges],tblDaily[EntryDate],DATE(2026,12,21),tblDaily[WardCode],"MW")),"")</f>
        <v/>
      </c>
      <c r="D456" s="12">
        <f>IFERROR(IF(SUMIFS(tblDaily[Deaths],tblDaily[EntryDate],DATE(2026,12,21),tblDaily[WardCode],"MW")=0,"",SUMIFS(tblDaily[Deaths],tblDaily[EntryDate],DATE(2026,12,21),tblDaily[WardCode],"MW")),"")</f>
        <v/>
      </c>
      <c r="E456" s="12">
        <f>IFERROR(IF(SUMIFS(tblDaily[DeathsUnder24Hrs],tblDaily[EntryDate],DATE(2026,12,21),tblDaily[WardCode],"MW")=0,"",SUMIFS(tblDaily[DeathsUnder24Hrs],tblDaily[EntryDate],DATE(2026,12,21),tblDaily[WardCode],"MW")),"")</f>
        <v/>
      </c>
      <c r="F456" s="12">
        <f>IFERROR(IF(SUMIFS(tblDaily[TransfersIn],tblDaily[EntryDate],DATE(2026,12,21),tblDaily[WardCode],"MW")=0,"",SUMIFS(tblDaily[TransfersIn],tblDaily[EntryDate],DATE(2026,12,21),tblDaily[WardCode],"MW")),"")</f>
        <v/>
      </c>
      <c r="G456" s="12">
        <f>IFERROR(IF(SUMIFS(tblDaily[TransfersOut],tblDaily[EntryDate],DATE(2026,12,21),tblDaily[WardCode],"MW")=0,"",SUMIFS(tblDaily[TransfersOut],tblDaily[EntryDate],DATE(2026,12,21),tblDaily[WardCode],"MW")),"")</f>
        <v/>
      </c>
      <c r="H456" s="12">
        <f>IFERROR(IF(SUMIFS(tblDaily[Remaining],tblDaily[EntryDate],DATE(2026,12,21),tblDaily[WardCode],"MW")=0,"",SUMIFS(tblDaily[Remaining],tblDaily[EntryDate],DATE(2026,12,21),tblDaily[WardCode],"MW")),"")</f>
        <v/>
      </c>
    </row>
    <row r="457">
      <c r="A457" s="12" t="n">
        <v>22</v>
      </c>
      <c r="B457" s="12">
        <f>IFERROR(IF(SUMIFS(tblDaily[Admissions],tblDaily[EntryDate],DATE(2026,12,22),tblDaily[WardCode],"MW")=0,"",SUMIFS(tblDaily[Admissions],tblDaily[EntryDate],DATE(2026,12,22),tblDaily[WardCode],"MW")),"")</f>
        <v/>
      </c>
      <c r="C457" s="12">
        <f>IFERROR(IF(SUMIFS(tblDaily[Discharges],tblDaily[EntryDate],DATE(2026,12,22),tblDaily[WardCode],"MW")=0,"",SUMIFS(tblDaily[Discharges],tblDaily[EntryDate],DATE(2026,12,22),tblDaily[WardCode],"MW")),"")</f>
        <v/>
      </c>
      <c r="D457" s="12">
        <f>IFERROR(IF(SUMIFS(tblDaily[Deaths],tblDaily[EntryDate],DATE(2026,12,22),tblDaily[WardCode],"MW")=0,"",SUMIFS(tblDaily[Deaths],tblDaily[EntryDate],DATE(2026,12,22),tblDaily[WardCode],"MW")),"")</f>
        <v/>
      </c>
      <c r="E457" s="12">
        <f>IFERROR(IF(SUMIFS(tblDaily[DeathsUnder24Hrs],tblDaily[EntryDate],DATE(2026,12,22),tblDaily[WardCode],"MW")=0,"",SUMIFS(tblDaily[DeathsUnder24Hrs],tblDaily[EntryDate],DATE(2026,12,22),tblDaily[WardCode],"MW")),"")</f>
        <v/>
      </c>
      <c r="F457" s="12">
        <f>IFERROR(IF(SUMIFS(tblDaily[TransfersIn],tblDaily[EntryDate],DATE(2026,12,22),tblDaily[WardCode],"MW")=0,"",SUMIFS(tblDaily[TransfersIn],tblDaily[EntryDate],DATE(2026,12,22),tblDaily[WardCode],"MW")),"")</f>
        <v/>
      </c>
      <c r="G457" s="12">
        <f>IFERROR(IF(SUMIFS(tblDaily[TransfersOut],tblDaily[EntryDate],DATE(2026,12,22),tblDaily[WardCode],"MW")=0,"",SUMIFS(tblDaily[TransfersOut],tblDaily[EntryDate],DATE(2026,12,22),tblDaily[WardCode],"MW")),"")</f>
        <v/>
      </c>
      <c r="H457" s="12">
        <f>IFERROR(IF(SUMIFS(tblDaily[Remaining],tblDaily[EntryDate],DATE(2026,12,22),tblDaily[WardCode],"MW")=0,"",SUMIFS(tblDaily[Remaining],tblDaily[EntryDate],DATE(2026,12,22),tblDaily[WardCode],"MW")),"")</f>
        <v/>
      </c>
    </row>
    <row r="458">
      <c r="A458" s="12" t="n">
        <v>23</v>
      </c>
      <c r="B458" s="12">
        <f>IFERROR(IF(SUMIFS(tblDaily[Admissions],tblDaily[EntryDate],DATE(2026,12,23),tblDaily[WardCode],"MW")=0,"",SUMIFS(tblDaily[Admissions],tblDaily[EntryDate],DATE(2026,12,23),tblDaily[WardCode],"MW")),"")</f>
        <v/>
      </c>
      <c r="C458" s="12">
        <f>IFERROR(IF(SUMIFS(tblDaily[Discharges],tblDaily[EntryDate],DATE(2026,12,23),tblDaily[WardCode],"MW")=0,"",SUMIFS(tblDaily[Discharges],tblDaily[EntryDate],DATE(2026,12,23),tblDaily[WardCode],"MW")),"")</f>
        <v/>
      </c>
      <c r="D458" s="12">
        <f>IFERROR(IF(SUMIFS(tblDaily[Deaths],tblDaily[EntryDate],DATE(2026,12,23),tblDaily[WardCode],"MW")=0,"",SUMIFS(tblDaily[Deaths],tblDaily[EntryDate],DATE(2026,12,23),tblDaily[WardCode],"MW")),"")</f>
        <v/>
      </c>
      <c r="E458" s="12">
        <f>IFERROR(IF(SUMIFS(tblDaily[DeathsUnder24Hrs],tblDaily[EntryDate],DATE(2026,12,23),tblDaily[WardCode],"MW")=0,"",SUMIFS(tblDaily[DeathsUnder24Hrs],tblDaily[EntryDate],DATE(2026,12,23),tblDaily[WardCode],"MW")),"")</f>
        <v/>
      </c>
      <c r="F458" s="12">
        <f>IFERROR(IF(SUMIFS(tblDaily[TransfersIn],tblDaily[EntryDate],DATE(2026,12,23),tblDaily[WardCode],"MW")=0,"",SUMIFS(tblDaily[TransfersIn],tblDaily[EntryDate],DATE(2026,12,23),tblDaily[WardCode],"MW")),"")</f>
        <v/>
      </c>
      <c r="G458" s="12">
        <f>IFERROR(IF(SUMIFS(tblDaily[TransfersOut],tblDaily[EntryDate],DATE(2026,12,23),tblDaily[WardCode],"MW")=0,"",SUMIFS(tblDaily[TransfersOut],tblDaily[EntryDate],DATE(2026,12,23),tblDaily[WardCode],"MW")),"")</f>
        <v/>
      </c>
      <c r="H458" s="12">
        <f>IFERROR(IF(SUMIFS(tblDaily[Remaining],tblDaily[EntryDate],DATE(2026,12,23),tblDaily[WardCode],"MW")=0,"",SUMIFS(tblDaily[Remaining],tblDaily[EntryDate],DATE(2026,12,23),tblDaily[WardCode],"MW")),"")</f>
        <v/>
      </c>
    </row>
    <row r="459">
      <c r="A459" s="12" t="n">
        <v>24</v>
      </c>
      <c r="B459" s="12">
        <f>IFERROR(IF(SUMIFS(tblDaily[Admissions],tblDaily[EntryDate],DATE(2026,12,24),tblDaily[WardCode],"MW")=0,"",SUMIFS(tblDaily[Admissions],tblDaily[EntryDate],DATE(2026,12,24),tblDaily[WardCode],"MW")),"")</f>
        <v/>
      </c>
      <c r="C459" s="12">
        <f>IFERROR(IF(SUMIFS(tblDaily[Discharges],tblDaily[EntryDate],DATE(2026,12,24),tblDaily[WardCode],"MW")=0,"",SUMIFS(tblDaily[Discharges],tblDaily[EntryDate],DATE(2026,12,24),tblDaily[WardCode],"MW")),"")</f>
        <v/>
      </c>
      <c r="D459" s="12">
        <f>IFERROR(IF(SUMIFS(tblDaily[Deaths],tblDaily[EntryDate],DATE(2026,12,24),tblDaily[WardCode],"MW")=0,"",SUMIFS(tblDaily[Deaths],tblDaily[EntryDate],DATE(2026,12,24),tblDaily[WardCode],"MW")),"")</f>
        <v/>
      </c>
      <c r="E459" s="12">
        <f>IFERROR(IF(SUMIFS(tblDaily[DeathsUnder24Hrs],tblDaily[EntryDate],DATE(2026,12,24),tblDaily[WardCode],"MW")=0,"",SUMIFS(tblDaily[DeathsUnder24Hrs],tblDaily[EntryDate],DATE(2026,12,24),tblDaily[WardCode],"MW")),"")</f>
        <v/>
      </c>
      <c r="F459" s="12">
        <f>IFERROR(IF(SUMIFS(tblDaily[TransfersIn],tblDaily[EntryDate],DATE(2026,12,24),tblDaily[WardCode],"MW")=0,"",SUMIFS(tblDaily[TransfersIn],tblDaily[EntryDate],DATE(2026,12,24),tblDaily[WardCode],"MW")),"")</f>
        <v/>
      </c>
      <c r="G459" s="12">
        <f>IFERROR(IF(SUMIFS(tblDaily[TransfersOut],tblDaily[EntryDate],DATE(2026,12,24),tblDaily[WardCode],"MW")=0,"",SUMIFS(tblDaily[TransfersOut],tblDaily[EntryDate],DATE(2026,12,24),tblDaily[WardCode],"MW")),"")</f>
        <v/>
      </c>
      <c r="H459" s="12">
        <f>IFERROR(IF(SUMIFS(tblDaily[Remaining],tblDaily[EntryDate],DATE(2026,12,24),tblDaily[WardCode],"MW")=0,"",SUMIFS(tblDaily[Remaining],tblDaily[EntryDate],DATE(2026,12,24),tblDaily[WardCode],"MW")),"")</f>
        <v/>
      </c>
    </row>
    <row r="460">
      <c r="A460" s="12" t="n">
        <v>25</v>
      </c>
      <c r="B460" s="12">
        <f>IFERROR(IF(SUMIFS(tblDaily[Admissions],tblDaily[EntryDate],DATE(2026,12,25),tblDaily[WardCode],"MW")=0,"",SUMIFS(tblDaily[Admissions],tblDaily[EntryDate],DATE(2026,12,25),tblDaily[WardCode],"MW")),"")</f>
        <v/>
      </c>
      <c r="C460" s="12">
        <f>IFERROR(IF(SUMIFS(tblDaily[Discharges],tblDaily[EntryDate],DATE(2026,12,25),tblDaily[WardCode],"MW")=0,"",SUMIFS(tblDaily[Discharges],tblDaily[EntryDate],DATE(2026,12,25),tblDaily[WardCode],"MW")),"")</f>
        <v/>
      </c>
      <c r="D460" s="12">
        <f>IFERROR(IF(SUMIFS(tblDaily[Deaths],tblDaily[EntryDate],DATE(2026,12,25),tblDaily[WardCode],"MW")=0,"",SUMIFS(tblDaily[Deaths],tblDaily[EntryDate],DATE(2026,12,25),tblDaily[WardCode],"MW")),"")</f>
        <v/>
      </c>
      <c r="E460" s="12">
        <f>IFERROR(IF(SUMIFS(tblDaily[DeathsUnder24Hrs],tblDaily[EntryDate],DATE(2026,12,25),tblDaily[WardCode],"MW")=0,"",SUMIFS(tblDaily[DeathsUnder24Hrs],tblDaily[EntryDate],DATE(2026,12,25),tblDaily[WardCode],"MW")),"")</f>
        <v/>
      </c>
      <c r="F460" s="12">
        <f>IFERROR(IF(SUMIFS(tblDaily[TransfersIn],tblDaily[EntryDate],DATE(2026,12,25),tblDaily[WardCode],"MW")=0,"",SUMIFS(tblDaily[TransfersIn],tblDaily[EntryDate],DATE(2026,12,25),tblDaily[WardCode],"MW")),"")</f>
        <v/>
      </c>
      <c r="G460" s="12">
        <f>IFERROR(IF(SUMIFS(tblDaily[TransfersOut],tblDaily[EntryDate],DATE(2026,12,25),tblDaily[WardCode],"MW")=0,"",SUMIFS(tblDaily[TransfersOut],tblDaily[EntryDate],DATE(2026,12,25),tblDaily[WardCode],"MW")),"")</f>
        <v/>
      </c>
      <c r="H460" s="12">
        <f>IFERROR(IF(SUMIFS(tblDaily[Remaining],tblDaily[EntryDate],DATE(2026,12,25),tblDaily[WardCode],"MW")=0,"",SUMIFS(tblDaily[Remaining],tblDaily[EntryDate],DATE(2026,12,25),tblDaily[WardCode],"MW")),"")</f>
        <v/>
      </c>
    </row>
    <row r="461">
      <c r="A461" s="12" t="n">
        <v>26</v>
      </c>
      <c r="B461" s="12">
        <f>IFERROR(IF(SUMIFS(tblDaily[Admissions],tblDaily[EntryDate],DATE(2026,12,26),tblDaily[WardCode],"MW")=0,"",SUMIFS(tblDaily[Admissions],tblDaily[EntryDate],DATE(2026,12,26),tblDaily[WardCode],"MW")),"")</f>
        <v/>
      </c>
      <c r="C461" s="12">
        <f>IFERROR(IF(SUMIFS(tblDaily[Discharges],tblDaily[EntryDate],DATE(2026,12,26),tblDaily[WardCode],"MW")=0,"",SUMIFS(tblDaily[Discharges],tblDaily[EntryDate],DATE(2026,12,26),tblDaily[WardCode],"MW")),"")</f>
        <v/>
      </c>
      <c r="D461" s="12">
        <f>IFERROR(IF(SUMIFS(tblDaily[Deaths],tblDaily[EntryDate],DATE(2026,12,26),tblDaily[WardCode],"MW")=0,"",SUMIFS(tblDaily[Deaths],tblDaily[EntryDate],DATE(2026,12,26),tblDaily[WardCode],"MW")),"")</f>
        <v/>
      </c>
      <c r="E461" s="12">
        <f>IFERROR(IF(SUMIFS(tblDaily[DeathsUnder24Hrs],tblDaily[EntryDate],DATE(2026,12,26),tblDaily[WardCode],"MW")=0,"",SUMIFS(tblDaily[DeathsUnder24Hrs],tblDaily[EntryDate],DATE(2026,12,26),tblDaily[WardCode],"MW")),"")</f>
        <v/>
      </c>
      <c r="F461" s="12">
        <f>IFERROR(IF(SUMIFS(tblDaily[TransfersIn],tblDaily[EntryDate],DATE(2026,12,26),tblDaily[WardCode],"MW")=0,"",SUMIFS(tblDaily[TransfersIn],tblDaily[EntryDate],DATE(2026,12,26),tblDaily[WardCode],"MW")),"")</f>
        <v/>
      </c>
      <c r="G461" s="12">
        <f>IFERROR(IF(SUMIFS(tblDaily[TransfersOut],tblDaily[EntryDate],DATE(2026,12,26),tblDaily[WardCode],"MW")=0,"",SUMIFS(tblDaily[TransfersOut],tblDaily[EntryDate],DATE(2026,12,26),tblDaily[WardCode],"MW")),"")</f>
        <v/>
      </c>
      <c r="H461" s="12">
        <f>IFERROR(IF(SUMIFS(tblDaily[Remaining],tblDaily[EntryDate],DATE(2026,12,26),tblDaily[WardCode],"MW")=0,"",SUMIFS(tblDaily[Remaining],tblDaily[EntryDate],DATE(2026,12,26),tblDaily[WardCode],"MW")),"")</f>
        <v/>
      </c>
    </row>
    <row r="462">
      <c r="A462" s="12" t="n">
        <v>27</v>
      </c>
      <c r="B462" s="12">
        <f>IFERROR(IF(SUMIFS(tblDaily[Admissions],tblDaily[EntryDate],DATE(2026,12,27),tblDaily[WardCode],"MW")=0,"",SUMIFS(tblDaily[Admissions],tblDaily[EntryDate],DATE(2026,12,27),tblDaily[WardCode],"MW")),"")</f>
        <v/>
      </c>
      <c r="C462" s="12">
        <f>IFERROR(IF(SUMIFS(tblDaily[Discharges],tblDaily[EntryDate],DATE(2026,12,27),tblDaily[WardCode],"MW")=0,"",SUMIFS(tblDaily[Discharges],tblDaily[EntryDate],DATE(2026,12,27),tblDaily[WardCode],"MW")),"")</f>
        <v/>
      </c>
      <c r="D462" s="12">
        <f>IFERROR(IF(SUMIFS(tblDaily[Deaths],tblDaily[EntryDate],DATE(2026,12,27),tblDaily[WardCode],"MW")=0,"",SUMIFS(tblDaily[Deaths],tblDaily[EntryDate],DATE(2026,12,27),tblDaily[WardCode],"MW")),"")</f>
        <v/>
      </c>
      <c r="E462" s="12">
        <f>IFERROR(IF(SUMIFS(tblDaily[DeathsUnder24Hrs],tblDaily[EntryDate],DATE(2026,12,27),tblDaily[WardCode],"MW")=0,"",SUMIFS(tblDaily[DeathsUnder24Hrs],tblDaily[EntryDate],DATE(2026,12,27),tblDaily[WardCode],"MW")),"")</f>
        <v/>
      </c>
      <c r="F462" s="12">
        <f>IFERROR(IF(SUMIFS(tblDaily[TransfersIn],tblDaily[EntryDate],DATE(2026,12,27),tblDaily[WardCode],"MW")=0,"",SUMIFS(tblDaily[TransfersIn],tblDaily[EntryDate],DATE(2026,12,27),tblDaily[WardCode],"MW")),"")</f>
        <v/>
      </c>
      <c r="G462" s="12">
        <f>IFERROR(IF(SUMIFS(tblDaily[TransfersOut],tblDaily[EntryDate],DATE(2026,12,27),tblDaily[WardCode],"MW")=0,"",SUMIFS(tblDaily[TransfersOut],tblDaily[EntryDate],DATE(2026,12,27),tblDaily[WardCode],"MW")),"")</f>
        <v/>
      </c>
      <c r="H462" s="12">
        <f>IFERROR(IF(SUMIFS(tblDaily[Remaining],tblDaily[EntryDate],DATE(2026,12,27),tblDaily[WardCode],"MW")=0,"",SUMIFS(tblDaily[Remaining],tblDaily[EntryDate],DATE(2026,12,27),tblDaily[WardCode],"MW")),"")</f>
        <v/>
      </c>
    </row>
    <row r="463">
      <c r="A463" s="12" t="n">
        <v>28</v>
      </c>
      <c r="B463" s="12">
        <f>IFERROR(IF(SUMIFS(tblDaily[Admissions],tblDaily[EntryDate],DATE(2026,12,28),tblDaily[WardCode],"MW")=0,"",SUMIFS(tblDaily[Admissions],tblDaily[EntryDate],DATE(2026,12,28),tblDaily[WardCode],"MW")),"")</f>
        <v/>
      </c>
      <c r="C463" s="12">
        <f>IFERROR(IF(SUMIFS(tblDaily[Discharges],tblDaily[EntryDate],DATE(2026,12,28),tblDaily[WardCode],"MW")=0,"",SUMIFS(tblDaily[Discharges],tblDaily[EntryDate],DATE(2026,12,28),tblDaily[WardCode],"MW")),"")</f>
        <v/>
      </c>
      <c r="D463" s="12">
        <f>IFERROR(IF(SUMIFS(tblDaily[Deaths],tblDaily[EntryDate],DATE(2026,12,28),tblDaily[WardCode],"MW")=0,"",SUMIFS(tblDaily[Deaths],tblDaily[EntryDate],DATE(2026,12,28),tblDaily[WardCode],"MW")),"")</f>
        <v/>
      </c>
      <c r="E463" s="12">
        <f>IFERROR(IF(SUMIFS(tblDaily[DeathsUnder24Hrs],tblDaily[EntryDate],DATE(2026,12,28),tblDaily[WardCode],"MW")=0,"",SUMIFS(tblDaily[DeathsUnder24Hrs],tblDaily[EntryDate],DATE(2026,12,28),tblDaily[WardCode],"MW")),"")</f>
        <v/>
      </c>
      <c r="F463" s="12">
        <f>IFERROR(IF(SUMIFS(tblDaily[TransfersIn],tblDaily[EntryDate],DATE(2026,12,28),tblDaily[WardCode],"MW")=0,"",SUMIFS(tblDaily[TransfersIn],tblDaily[EntryDate],DATE(2026,12,28),tblDaily[WardCode],"MW")),"")</f>
        <v/>
      </c>
      <c r="G463" s="12">
        <f>IFERROR(IF(SUMIFS(tblDaily[TransfersOut],tblDaily[EntryDate],DATE(2026,12,28),tblDaily[WardCode],"MW")=0,"",SUMIFS(tblDaily[TransfersOut],tblDaily[EntryDate],DATE(2026,12,28),tblDaily[WardCode],"MW")),"")</f>
        <v/>
      </c>
      <c r="H463" s="12">
        <f>IFERROR(IF(SUMIFS(tblDaily[Remaining],tblDaily[EntryDate],DATE(2026,12,28),tblDaily[WardCode],"MW")=0,"",SUMIFS(tblDaily[Remaining],tblDaily[EntryDate],DATE(2026,12,28),tblDaily[WardCode],"MW")),"")</f>
        <v/>
      </c>
    </row>
    <row r="464">
      <c r="A464" s="12" t="n">
        <v>29</v>
      </c>
      <c r="B464" s="12">
        <f>IFERROR(IF(SUMIFS(tblDaily[Admissions],tblDaily[EntryDate],DATE(2026,12,29),tblDaily[WardCode],"MW")=0,"",SUMIFS(tblDaily[Admissions],tblDaily[EntryDate],DATE(2026,12,29),tblDaily[WardCode],"MW")),"")</f>
        <v/>
      </c>
      <c r="C464" s="12">
        <f>IFERROR(IF(SUMIFS(tblDaily[Discharges],tblDaily[EntryDate],DATE(2026,12,29),tblDaily[WardCode],"MW")=0,"",SUMIFS(tblDaily[Discharges],tblDaily[EntryDate],DATE(2026,12,29),tblDaily[WardCode],"MW")),"")</f>
        <v/>
      </c>
      <c r="D464" s="12">
        <f>IFERROR(IF(SUMIFS(tblDaily[Deaths],tblDaily[EntryDate],DATE(2026,12,29),tblDaily[WardCode],"MW")=0,"",SUMIFS(tblDaily[Deaths],tblDaily[EntryDate],DATE(2026,12,29),tblDaily[WardCode],"MW")),"")</f>
        <v/>
      </c>
      <c r="E464" s="12">
        <f>IFERROR(IF(SUMIFS(tblDaily[DeathsUnder24Hrs],tblDaily[EntryDate],DATE(2026,12,29),tblDaily[WardCode],"MW")=0,"",SUMIFS(tblDaily[DeathsUnder24Hrs],tblDaily[EntryDate],DATE(2026,12,29),tblDaily[WardCode],"MW")),"")</f>
        <v/>
      </c>
      <c r="F464" s="12">
        <f>IFERROR(IF(SUMIFS(tblDaily[TransfersIn],tblDaily[EntryDate],DATE(2026,12,29),tblDaily[WardCode],"MW")=0,"",SUMIFS(tblDaily[TransfersIn],tblDaily[EntryDate],DATE(2026,12,29),tblDaily[WardCode],"MW")),"")</f>
        <v/>
      </c>
      <c r="G464" s="12">
        <f>IFERROR(IF(SUMIFS(tblDaily[TransfersOut],tblDaily[EntryDate],DATE(2026,12,29),tblDaily[WardCode],"MW")=0,"",SUMIFS(tblDaily[TransfersOut],tblDaily[EntryDate],DATE(2026,12,29),tblDaily[WardCode],"MW")),"")</f>
        <v/>
      </c>
      <c r="H464" s="12">
        <f>IFERROR(IF(SUMIFS(tblDaily[Remaining],tblDaily[EntryDate],DATE(2026,12,29),tblDaily[WardCode],"MW")=0,"",SUMIFS(tblDaily[Remaining],tblDaily[EntryDate],DATE(2026,12,29),tblDaily[WardCode],"MW")),"")</f>
        <v/>
      </c>
    </row>
    <row r="465">
      <c r="A465" s="12" t="n">
        <v>30</v>
      </c>
      <c r="B465" s="12">
        <f>IFERROR(IF(SUMIFS(tblDaily[Admissions],tblDaily[EntryDate],DATE(2026,12,30),tblDaily[WardCode],"MW")=0,"",SUMIFS(tblDaily[Admissions],tblDaily[EntryDate],DATE(2026,12,30),tblDaily[WardCode],"MW")),"")</f>
        <v/>
      </c>
      <c r="C465" s="12">
        <f>IFERROR(IF(SUMIFS(tblDaily[Discharges],tblDaily[EntryDate],DATE(2026,12,30),tblDaily[WardCode],"MW")=0,"",SUMIFS(tblDaily[Discharges],tblDaily[EntryDate],DATE(2026,12,30),tblDaily[WardCode],"MW")),"")</f>
        <v/>
      </c>
      <c r="D465" s="12">
        <f>IFERROR(IF(SUMIFS(tblDaily[Deaths],tblDaily[EntryDate],DATE(2026,12,30),tblDaily[WardCode],"MW")=0,"",SUMIFS(tblDaily[Deaths],tblDaily[EntryDate],DATE(2026,12,30),tblDaily[WardCode],"MW")),"")</f>
        <v/>
      </c>
      <c r="E465" s="12">
        <f>IFERROR(IF(SUMIFS(tblDaily[DeathsUnder24Hrs],tblDaily[EntryDate],DATE(2026,12,30),tblDaily[WardCode],"MW")=0,"",SUMIFS(tblDaily[DeathsUnder24Hrs],tblDaily[EntryDate],DATE(2026,12,30),tblDaily[WardCode],"MW")),"")</f>
        <v/>
      </c>
      <c r="F465" s="12">
        <f>IFERROR(IF(SUMIFS(tblDaily[TransfersIn],tblDaily[EntryDate],DATE(2026,12,30),tblDaily[WardCode],"MW")=0,"",SUMIFS(tblDaily[TransfersIn],tblDaily[EntryDate],DATE(2026,12,30),tblDaily[WardCode],"MW")),"")</f>
        <v/>
      </c>
      <c r="G465" s="12">
        <f>IFERROR(IF(SUMIFS(tblDaily[TransfersOut],tblDaily[EntryDate],DATE(2026,12,30),tblDaily[WardCode],"MW")=0,"",SUMIFS(tblDaily[TransfersOut],tblDaily[EntryDate],DATE(2026,12,30),tblDaily[WardCode],"MW")),"")</f>
        <v/>
      </c>
      <c r="H465" s="12">
        <f>IFERROR(IF(SUMIFS(tblDaily[Remaining],tblDaily[EntryDate],DATE(2026,12,30),tblDaily[WardCode],"MW")=0,"",SUMIFS(tblDaily[Remaining],tblDaily[EntryDate],DATE(2026,12,30),tblDaily[WardCode],"MW")),"")</f>
        <v/>
      </c>
    </row>
    <row r="466">
      <c r="A466" s="12" t="n">
        <v>31</v>
      </c>
      <c r="B466" s="12">
        <f>IFERROR(IF(SUMIFS(tblDaily[Admissions],tblDaily[EntryDate],DATE(2026,12,31),tblDaily[WardCode],"MW")=0,"",SUMIFS(tblDaily[Admissions],tblDaily[EntryDate],DATE(2026,12,31),tblDaily[WardCode],"MW")),"")</f>
        <v/>
      </c>
      <c r="C466" s="12">
        <f>IFERROR(IF(SUMIFS(tblDaily[Discharges],tblDaily[EntryDate],DATE(2026,12,31),tblDaily[WardCode],"MW")=0,"",SUMIFS(tblDaily[Discharges],tblDaily[EntryDate],DATE(2026,12,31),tblDaily[WardCode],"MW")),"")</f>
        <v/>
      </c>
      <c r="D466" s="12">
        <f>IFERROR(IF(SUMIFS(tblDaily[Deaths],tblDaily[EntryDate],DATE(2026,12,31),tblDaily[WardCode],"MW")=0,"",SUMIFS(tblDaily[Deaths],tblDaily[EntryDate],DATE(2026,12,31),tblDaily[WardCode],"MW")),"")</f>
        <v/>
      </c>
      <c r="E466" s="12">
        <f>IFERROR(IF(SUMIFS(tblDaily[DeathsUnder24Hrs],tblDaily[EntryDate],DATE(2026,12,31),tblDaily[WardCode],"MW")=0,"",SUMIFS(tblDaily[DeathsUnder24Hrs],tblDaily[EntryDate],DATE(2026,12,31),tblDaily[WardCode],"MW")),"")</f>
        <v/>
      </c>
      <c r="F466" s="12">
        <f>IFERROR(IF(SUMIFS(tblDaily[TransfersIn],tblDaily[EntryDate],DATE(2026,12,31),tblDaily[WardCode],"MW")=0,"",SUMIFS(tblDaily[TransfersIn],tblDaily[EntryDate],DATE(2026,12,31),tblDaily[WardCode],"MW")),"")</f>
        <v/>
      </c>
      <c r="G466" s="12">
        <f>IFERROR(IF(SUMIFS(tblDaily[TransfersOut],tblDaily[EntryDate],DATE(2026,12,31),tblDaily[WardCode],"MW")=0,"",SUMIFS(tblDaily[TransfersOut],tblDaily[EntryDate],DATE(2026,12,31),tblDaily[WardCode],"MW")),"")</f>
        <v/>
      </c>
      <c r="H466" s="12">
        <f>IFERROR(IF(SUMIFS(tblDaily[Remaining],tblDaily[EntryDate],DATE(2026,12,31),tblDaily[WardCode],"MW")=0,"",SUMIFS(tblDaily[Remaining],tblDaily[EntryDate],DATE(2026,12,31),tblDaily[WardCode],"MW")),"")</f>
        <v/>
      </c>
    </row>
    <row r="467">
      <c r="A467" s="17" t="inlineStr">
        <is>
          <t>TOTAL</t>
        </is>
      </c>
      <c r="B467" s="17">
        <f>SUMIFS(tblDaily[Admissions],tblDaily[Month],12,tblDaily[WardCode],"MW") - SUMIFS(tblDaily[DeathsUnder24Hrs],tblDaily[Month],12,tblDaily[WardCode],"MW")</f>
        <v/>
      </c>
      <c r="C467" s="17">
        <f>SUMIFS(tblDaily[Discharges],tblDaily[Month],12,tblDaily[WardCode],"MW")</f>
        <v/>
      </c>
      <c r="D467" s="17">
        <f>SUMIFS(tblDaily[Deaths],tblDaily[Month],12,tblDaily[WardCode],"MW")</f>
        <v/>
      </c>
      <c r="E467" s="17">
        <f>SUMIFS(tblDaily[DeathsUnder24Hrs],tblDaily[Month],12,tblDaily[WardCode],"MW")</f>
        <v/>
      </c>
      <c r="F467" s="17">
        <f>SUMIFS(tblDaily[TransfersIn],tblDaily[Month],12,tblDaily[WardCode],"MW")</f>
        <v/>
      </c>
      <c r="G467" s="17">
        <f>SUMIFS(tblDaily[TransfersOut],tblDaily[Month],12,tblDaily[WardCode],"MW")</f>
        <v/>
      </c>
      <c r="H467" s="17">
        <f>SUMIFS(tblDaily[Remaining],tblDaily[Month],12,tblDaily[WardCode],"MW")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FEMALE MEDICAL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4">
        <f>IFERROR(INDEX(tblWardConfig[PrevYearRemaining],MATCH("FW",tblWardConfig[WardCode],0)),0)</f>
        <v/>
      </c>
    </row>
    <row r="5">
      <c r="A5" s="4" t="inlineStr">
        <is>
          <t>Bed complement</t>
        </is>
      </c>
      <c r="H5" s="15">
        <f>IFERROR(INDEX(tblWardConfig[BedComplement],MATCH("FW",tblWardConfig[WardCode],0)),0)</f>
        <v/>
      </c>
    </row>
    <row r="6">
      <c r="A6" s="16" t="inlineStr">
        <is>
          <t>Day of
the
Month</t>
        </is>
      </c>
      <c r="B6" s="16" t="inlineStr">
        <is>
          <t>Admissions</t>
        </is>
      </c>
      <c r="C6" s="16" t="inlineStr">
        <is>
          <t>Discharges</t>
        </is>
      </c>
      <c r="D6" s="16" t="inlineStr">
        <is>
          <t>Deaths</t>
        </is>
      </c>
      <c r="E6" s="16" t="inlineStr">
        <is>
          <t>Deaths
&lt;24Hrs</t>
        </is>
      </c>
      <c r="F6" s="16" t="inlineStr">
        <is>
          <t>Transfers-
In</t>
        </is>
      </c>
      <c r="G6" s="16" t="inlineStr">
        <is>
          <t>Transfers-
Out</t>
        </is>
      </c>
      <c r="H6" s="16" t="inlineStr">
        <is>
          <t>No. of Patients
Remaining In
Ward</t>
        </is>
      </c>
    </row>
    <row r="7">
      <c r="A7" s="12" t="n">
        <v>1</v>
      </c>
      <c r="B7" s="12">
        <f>IFERROR(IF(SUMIFS(tblDaily[Admissions],tblDaily[EntryDate],DATE(2026,1,1),tblDaily[WardCode],"FW")=0,"",SUMIFS(tblDaily[Admissions],tblDaily[EntryDate],DATE(2026,1,1),tblDaily[WardCode],"FW")),"")</f>
        <v/>
      </c>
      <c r="C7" s="12">
        <f>IFERROR(IF(SUMIFS(tblDaily[Discharges],tblDaily[EntryDate],DATE(2026,1,1),tblDaily[WardCode],"FW")=0,"",SUMIFS(tblDaily[Discharges],tblDaily[EntryDate],DATE(2026,1,1),tblDaily[WardCode],"FW")),"")</f>
        <v/>
      </c>
      <c r="D7" s="12">
        <f>IFERROR(IF(SUMIFS(tblDaily[Deaths],tblDaily[EntryDate],DATE(2026,1,1),tblDaily[WardCode],"FW")=0,"",SUMIFS(tblDaily[Deaths],tblDaily[EntryDate],DATE(2026,1,1),tblDaily[WardCode],"FW")),"")</f>
        <v/>
      </c>
      <c r="E7" s="12">
        <f>IFERROR(IF(SUMIFS(tblDaily[DeathsUnder24Hrs],tblDaily[EntryDate],DATE(2026,1,1),tblDaily[WardCode],"FW")=0,"",SUMIFS(tblDaily[DeathsUnder24Hrs],tblDaily[EntryDate],DATE(2026,1,1),tblDaily[WardCode],"FW")),"")</f>
        <v/>
      </c>
      <c r="F7" s="12">
        <f>IFERROR(IF(SUMIFS(tblDaily[TransfersIn],tblDaily[EntryDate],DATE(2026,1,1),tblDaily[WardCode],"FW")=0,"",SUMIFS(tblDaily[TransfersIn],tblDaily[EntryDate],DATE(2026,1,1),tblDaily[WardCode],"FW")),"")</f>
        <v/>
      </c>
      <c r="G7" s="12">
        <f>IFERROR(IF(SUMIFS(tblDaily[TransfersOut],tblDaily[EntryDate],DATE(2026,1,1),tblDaily[WardCode],"FW")=0,"",SUMIFS(tblDaily[TransfersOut],tblDaily[EntryDate],DATE(2026,1,1),tblDaily[WardCode],"FW")),"")</f>
        <v/>
      </c>
      <c r="H7" s="12">
        <f>IFERROR(IF(SUMIFS(tblDaily[Remaining],tblDaily[EntryDate],DATE(2026,1,1),tblDaily[WardCode],"FW")=0,"",SUMIFS(tblDaily[Remaining],tblDaily[EntryDate],DATE(2026,1,1),tblDaily[WardCode],"FW")),"")</f>
        <v/>
      </c>
    </row>
    <row r="8">
      <c r="A8" s="12" t="n">
        <v>2</v>
      </c>
      <c r="B8" s="12">
        <f>IFERROR(IF(SUMIFS(tblDaily[Admissions],tblDaily[EntryDate],DATE(2026,1,2),tblDaily[WardCode],"FW")=0,"",SUMIFS(tblDaily[Admissions],tblDaily[EntryDate],DATE(2026,1,2),tblDaily[WardCode],"FW")),"")</f>
        <v/>
      </c>
      <c r="C8" s="12">
        <f>IFERROR(IF(SUMIFS(tblDaily[Discharges],tblDaily[EntryDate],DATE(2026,1,2),tblDaily[WardCode],"FW")=0,"",SUMIFS(tblDaily[Discharges],tblDaily[EntryDate],DATE(2026,1,2),tblDaily[WardCode],"FW")),"")</f>
        <v/>
      </c>
      <c r="D8" s="12">
        <f>IFERROR(IF(SUMIFS(tblDaily[Deaths],tblDaily[EntryDate],DATE(2026,1,2),tblDaily[WardCode],"FW")=0,"",SUMIFS(tblDaily[Deaths],tblDaily[EntryDate],DATE(2026,1,2),tblDaily[WardCode],"FW")),"")</f>
        <v/>
      </c>
      <c r="E8" s="12">
        <f>IFERROR(IF(SUMIFS(tblDaily[DeathsUnder24Hrs],tblDaily[EntryDate],DATE(2026,1,2),tblDaily[WardCode],"FW")=0,"",SUMIFS(tblDaily[DeathsUnder24Hrs],tblDaily[EntryDate],DATE(2026,1,2),tblDaily[WardCode],"FW")),"")</f>
        <v/>
      </c>
      <c r="F8" s="12">
        <f>IFERROR(IF(SUMIFS(tblDaily[TransfersIn],tblDaily[EntryDate],DATE(2026,1,2),tblDaily[WardCode],"FW")=0,"",SUMIFS(tblDaily[TransfersIn],tblDaily[EntryDate],DATE(2026,1,2),tblDaily[WardCode],"FW")),"")</f>
        <v/>
      </c>
      <c r="G8" s="12">
        <f>IFERROR(IF(SUMIFS(tblDaily[TransfersOut],tblDaily[EntryDate],DATE(2026,1,2),tblDaily[WardCode],"FW")=0,"",SUMIFS(tblDaily[TransfersOut],tblDaily[EntryDate],DATE(2026,1,2),tblDaily[WardCode],"FW")),"")</f>
        <v/>
      </c>
      <c r="H8" s="12">
        <f>IFERROR(IF(SUMIFS(tblDaily[Remaining],tblDaily[EntryDate],DATE(2026,1,2),tblDaily[WardCode],"FW")=0,"",SUMIFS(tblDaily[Remaining],tblDaily[EntryDate],DATE(2026,1,2),tblDaily[WardCode],"FW")),"")</f>
        <v/>
      </c>
    </row>
    <row r="9">
      <c r="A9" s="12" t="n">
        <v>3</v>
      </c>
      <c r="B9" s="12">
        <f>IFERROR(IF(SUMIFS(tblDaily[Admissions],tblDaily[EntryDate],DATE(2026,1,3),tblDaily[WardCode],"FW")=0,"",SUMIFS(tblDaily[Admissions],tblDaily[EntryDate],DATE(2026,1,3),tblDaily[WardCode],"FW")),"")</f>
        <v/>
      </c>
      <c r="C9" s="12">
        <f>IFERROR(IF(SUMIFS(tblDaily[Discharges],tblDaily[EntryDate],DATE(2026,1,3),tblDaily[WardCode],"FW")=0,"",SUMIFS(tblDaily[Discharges],tblDaily[EntryDate],DATE(2026,1,3),tblDaily[WardCode],"FW")),"")</f>
        <v/>
      </c>
      <c r="D9" s="12">
        <f>IFERROR(IF(SUMIFS(tblDaily[Deaths],tblDaily[EntryDate],DATE(2026,1,3),tblDaily[WardCode],"FW")=0,"",SUMIFS(tblDaily[Deaths],tblDaily[EntryDate],DATE(2026,1,3),tblDaily[WardCode],"FW")),"")</f>
        <v/>
      </c>
      <c r="E9" s="12">
        <f>IFERROR(IF(SUMIFS(tblDaily[DeathsUnder24Hrs],tblDaily[EntryDate],DATE(2026,1,3),tblDaily[WardCode],"FW")=0,"",SUMIFS(tblDaily[DeathsUnder24Hrs],tblDaily[EntryDate],DATE(2026,1,3),tblDaily[WardCode],"FW")),"")</f>
        <v/>
      </c>
      <c r="F9" s="12">
        <f>IFERROR(IF(SUMIFS(tblDaily[TransfersIn],tblDaily[EntryDate],DATE(2026,1,3),tblDaily[WardCode],"FW")=0,"",SUMIFS(tblDaily[TransfersIn],tblDaily[EntryDate],DATE(2026,1,3),tblDaily[WardCode],"FW")),"")</f>
        <v/>
      </c>
      <c r="G9" s="12">
        <f>IFERROR(IF(SUMIFS(tblDaily[TransfersOut],tblDaily[EntryDate],DATE(2026,1,3),tblDaily[WardCode],"FW")=0,"",SUMIFS(tblDaily[TransfersOut],tblDaily[EntryDate],DATE(2026,1,3),tblDaily[WardCode],"FW")),"")</f>
        <v/>
      </c>
      <c r="H9" s="12">
        <f>IFERROR(IF(SUMIFS(tblDaily[Remaining],tblDaily[EntryDate],DATE(2026,1,3),tblDaily[WardCode],"FW")=0,"",SUMIFS(tblDaily[Remaining],tblDaily[EntryDate],DATE(2026,1,3),tblDaily[WardCode],"FW")),"")</f>
        <v/>
      </c>
    </row>
    <row r="10">
      <c r="A10" s="12" t="n">
        <v>4</v>
      </c>
      <c r="B10" s="12">
        <f>IFERROR(IF(SUMIFS(tblDaily[Admissions],tblDaily[EntryDate],DATE(2026,1,4),tblDaily[WardCode],"FW")=0,"",SUMIFS(tblDaily[Admissions],tblDaily[EntryDate],DATE(2026,1,4),tblDaily[WardCode],"FW")),"")</f>
        <v/>
      </c>
      <c r="C10" s="12">
        <f>IFERROR(IF(SUMIFS(tblDaily[Discharges],tblDaily[EntryDate],DATE(2026,1,4),tblDaily[WardCode],"FW")=0,"",SUMIFS(tblDaily[Discharges],tblDaily[EntryDate],DATE(2026,1,4),tblDaily[WardCode],"FW")),"")</f>
        <v/>
      </c>
      <c r="D10" s="12">
        <f>IFERROR(IF(SUMIFS(tblDaily[Deaths],tblDaily[EntryDate],DATE(2026,1,4),tblDaily[WardCode],"FW")=0,"",SUMIFS(tblDaily[Deaths],tblDaily[EntryDate],DATE(2026,1,4),tblDaily[WardCode],"FW")),"")</f>
        <v/>
      </c>
      <c r="E10" s="12">
        <f>IFERROR(IF(SUMIFS(tblDaily[DeathsUnder24Hrs],tblDaily[EntryDate],DATE(2026,1,4),tblDaily[WardCode],"FW")=0,"",SUMIFS(tblDaily[DeathsUnder24Hrs],tblDaily[EntryDate],DATE(2026,1,4),tblDaily[WardCode],"FW")),"")</f>
        <v/>
      </c>
      <c r="F10" s="12">
        <f>IFERROR(IF(SUMIFS(tblDaily[TransfersIn],tblDaily[EntryDate],DATE(2026,1,4),tblDaily[WardCode],"FW")=0,"",SUMIFS(tblDaily[TransfersIn],tblDaily[EntryDate],DATE(2026,1,4),tblDaily[WardCode],"FW")),"")</f>
        <v/>
      </c>
      <c r="G10" s="12">
        <f>IFERROR(IF(SUMIFS(tblDaily[TransfersOut],tblDaily[EntryDate],DATE(2026,1,4),tblDaily[WardCode],"FW")=0,"",SUMIFS(tblDaily[TransfersOut],tblDaily[EntryDate],DATE(2026,1,4),tblDaily[WardCode],"FW")),"")</f>
        <v/>
      </c>
      <c r="H10" s="12">
        <f>IFERROR(IF(SUMIFS(tblDaily[Remaining],tblDaily[EntryDate],DATE(2026,1,4),tblDaily[WardCode],"FW")=0,"",SUMIFS(tblDaily[Remaining],tblDaily[EntryDate],DATE(2026,1,4),tblDaily[WardCode],"FW")),"")</f>
        <v/>
      </c>
    </row>
    <row r="11">
      <c r="A11" s="12" t="n">
        <v>5</v>
      </c>
      <c r="B11" s="12">
        <f>IFERROR(IF(SUMIFS(tblDaily[Admissions],tblDaily[EntryDate],DATE(2026,1,5),tblDaily[WardCode],"FW")=0,"",SUMIFS(tblDaily[Admissions],tblDaily[EntryDate],DATE(2026,1,5),tblDaily[WardCode],"FW")),"")</f>
        <v/>
      </c>
      <c r="C11" s="12">
        <f>IFERROR(IF(SUMIFS(tblDaily[Discharges],tblDaily[EntryDate],DATE(2026,1,5),tblDaily[WardCode],"FW")=0,"",SUMIFS(tblDaily[Discharges],tblDaily[EntryDate],DATE(2026,1,5),tblDaily[WardCode],"FW")),"")</f>
        <v/>
      </c>
      <c r="D11" s="12">
        <f>IFERROR(IF(SUMIFS(tblDaily[Deaths],tblDaily[EntryDate],DATE(2026,1,5),tblDaily[WardCode],"FW")=0,"",SUMIFS(tblDaily[Deaths],tblDaily[EntryDate],DATE(2026,1,5),tblDaily[WardCode],"FW")),"")</f>
        <v/>
      </c>
      <c r="E11" s="12">
        <f>IFERROR(IF(SUMIFS(tblDaily[DeathsUnder24Hrs],tblDaily[EntryDate],DATE(2026,1,5),tblDaily[WardCode],"FW")=0,"",SUMIFS(tblDaily[DeathsUnder24Hrs],tblDaily[EntryDate],DATE(2026,1,5),tblDaily[WardCode],"FW")),"")</f>
        <v/>
      </c>
      <c r="F11" s="12">
        <f>IFERROR(IF(SUMIFS(tblDaily[TransfersIn],tblDaily[EntryDate],DATE(2026,1,5),tblDaily[WardCode],"FW")=0,"",SUMIFS(tblDaily[TransfersIn],tblDaily[EntryDate],DATE(2026,1,5),tblDaily[WardCode],"FW")),"")</f>
        <v/>
      </c>
      <c r="G11" s="12">
        <f>IFERROR(IF(SUMIFS(tblDaily[TransfersOut],tblDaily[EntryDate],DATE(2026,1,5),tblDaily[WardCode],"FW")=0,"",SUMIFS(tblDaily[TransfersOut],tblDaily[EntryDate],DATE(2026,1,5),tblDaily[WardCode],"FW")),"")</f>
        <v/>
      </c>
      <c r="H11" s="12">
        <f>IFERROR(IF(SUMIFS(tblDaily[Remaining],tblDaily[EntryDate],DATE(2026,1,5),tblDaily[WardCode],"FW")=0,"",SUMIFS(tblDaily[Remaining],tblDaily[EntryDate],DATE(2026,1,5),tblDaily[WardCode],"FW")),"")</f>
        <v/>
      </c>
    </row>
    <row r="12">
      <c r="A12" s="12" t="n">
        <v>6</v>
      </c>
      <c r="B12" s="12">
        <f>IFERROR(IF(SUMIFS(tblDaily[Admissions],tblDaily[EntryDate],DATE(2026,1,6),tblDaily[WardCode],"FW")=0,"",SUMIFS(tblDaily[Admissions],tblDaily[EntryDate],DATE(2026,1,6),tblDaily[WardCode],"FW")),"")</f>
        <v/>
      </c>
      <c r="C12" s="12">
        <f>IFERROR(IF(SUMIFS(tblDaily[Discharges],tblDaily[EntryDate],DATE(2026,1,6),tblDaily[WardCode],"FW")=0,"",SUMIFS(tblDaily[Discharges],tblDaily[EntryDate],DATE(2026,1,6),tblDaily[WardCode],"FW")),"")</f>
        <v/>
      </c>
      <c r="D12" s="12">
        <f>IFERROR(IF(SUMIFS(tblDaily[Deaths],tblDaily[EntryDate],DATE(2026,1,6),tblDaily[WardCode],"FW")=0,"",SUMIFS(tblDaily[Deaths],tblDaily[EntryDate],DATE(2026,1,6),tblDaily[WardCode],"FW")),"")</f>
        <v/>
      </c>
      <c r="E12" s="12">
        <f>IFERROR(IF(SUMIFS(tblDaily[DeathsUnder24Hrs],tblDaily[EntryDate],DATE(2026,1,6),tblDaily[WardCode],"FW")=0,"",SUMIFS(tblDaily[DeathsUnder24Hrs],tblDaily[EntryDate],DATE(2026,1,6),tblDaily[WardCode],"FW")),"")</f>
        <v/>
      </c>
      <c r="F12" s="12">
        <f>IFERROR(IF(SUMIFS(tblDaily[TransfersIn],tblDaily[EntryDate],DATE(2026,1,6),tblDaily[WardCode],"FW")=0,"",SUMIFS(tblDaily[TransfersIn],tblDaily[EntryDate],DATE(2026,1,6),tblDaily[WardCode],"FW")),"")</f>
        <v/>
      </c>
      <c r="G12" s="12">
        <f>IFERROR(IF(SUMIFS(tblDaily[TransfersOut],tblDaily[EntryDate],DATE(2026,1,6),tblDaily[WardCode],"FW")=0,"",SUMIFS(tblDaily[TransfersOut],tblDaily[EntryDate],DATE(2026,1,6),tblDaily[WardCode],"FW")),"")</f>
        <v/>
      </c>
      <c r="H12" s="12">
        <f>IFERROR(IF(SUMIFS(tblDaily[Remaining],tblDaily[EntryDate],DATE(2026,1,6),tblDaily[WardCode],"FW")=0,"",SUMIFS(tblDaily[Remaining],tblDaily[EntryDate],DATE(2026,1,6),tblDaily[WardCode],"FW")),"")</f>
        <v/>
      </c>
    </row>
    <row r="13">
      <c r="A13" s="12" t="n">
        <v>7</v>
      </c>
      <c r="B13" s="12">
        <f>IFERROR(IF(SUMIFS(tblDaily[Admissions],tblDaily[EntryDate],DATE(2026,1,7),tblDaily[WardCode],"FW")=0,"",SUMIFS(tblDaily[Admissions],tblDaily[EntryDate],DATE(2026,1,7),tblDaily[WardCode],"FW")),"")</f>
        <v/>
      </c>
      <c r="C13" s="12">
        <f>IFERROR(IF(SUMIFS(tblDaily[Discharges],tblDaily[EntryDate],DATE(2026,1,7),tblDaily[WardCode],"FW")=0,"",SUMIFS(tblDaily[Discharges],tblDaily[EntryDate],DATE(2026,1,7),tblDaily[WardCode],"FW")),"")</f>
        <v/>
      </c>
      <c r="D13" s="12">
        <f>IFERROR(IF(SUMIFS(tblDaily[Deaths],tblDaily[EntryDate],DATE(2026,1,7),tblDaily[WardCode],"FW")=0,"",SUMIFS(tblDaily[Deaths],tblDaily[EntryDate],DATE(2026,1,7),tblDaily[WardCode],"FW")),"")</f>
        <v/>
      </c>
      <c r="E13" s="12">
        <f>IFERROR(IF(SUMIFS(tblDaily[DeathsUnder24Hrs],tblDaily[EntryDate],DATE(2026,1,7),tblDaily[WardCode],"FW")=0,"",SUMIFS(tblDaily[DeathsUnder24Hrs],tblDaily[EntryDate],DATE(2026,1,7),tblDaily[WardCode],"FW")),"")</f>
        <v/>
      </c>
      <c r="F13" s="12">
        <f>IFERROR(IF(SUMIFS(tblDaily[TransfersIn],tblDaily[EntryDate],DATE(2026,1,7),tblDaily[WardCode],"FW")=0,"",SUMIFS(tblDaily[TransfersIn],tblDaily[EntryDate],DATE(2026,1,7),tblDaily[WardCode],"FW")),"")</f>
        <v/>
      </c>
      <c r="G13" s="12">
        <f>IFERROR(IF(SUMIFS(tblDaily[TransfersOut],tblDaily[EntryDate],DATE(2026,1,7),tblDaily[WardCode],"FW")=0,"",SUMIFS(tblDaily[TransfersOut],tblDaily[EntryDate],DATE(2026,1,7),tblDaily[WardCode],"FW")),"")</f>
        <v/>
      </c>
      <c r="H13" s="12">
        <f>IFERROR(IF(SUMIFS(tblDaily[Remaining],tblDaily[EntryDate],DATE(2026,1,7),tblDaily[WardCode],"FW")=0,"",SUMIFS(tblDaily[Remaining],tblDaily[EntryDate],DATE(2026,1,7),tblDaily[WardCode],"FW")),"")</f>
        <v/>
      </c>
    </row>
    <row r="14">
      <c r="A14" s="12" t="n">
        <v>8</v>
      </c>
      <c r="B14" s="12">
        <f>IFERROR(IF(SUMIFS(tblDaily[Admissions],tblDaily[EntryDate],DATE(2026,1,8),tblDaily[WardCode],"FW")=0,"",SUMIFS(tblDaily[Admissions],tblDaily[EntryDate],DATE(2026,1,8),tblDaily[WardCode],"FW")),"")</f>
        <v/>
      </c>
      <c r="C14" s="12">
        <f>IFERROR(IF(SUMIFS(tblDaily[Discharges],tblDaily[EntryDate],DATE(2026,1,8),tblDaily[WardCode],"FW")=0,"",SUMIFS(tblDaily[Discharges],tblDaily[EntryDate],DATE(2026,1,8),tblDaily[WardCode],"FW")),"")</f>
        <v/>
      </c>
      <c r="D14" s="12">
        <f>IFERROR(IF(SUMIFS(tblDaily[Deaths],tblDaily[EntryDate],DATE(2026,1,8),tblDaily[WardCode],"FW")=0,"",SUMIFS(tblDaily[Deaths],tblDaily[EntryDate],DATE(2026,1,8),tblDaily[WardCode],"FW")),"")</f>
        <v/>
      </c>
      <c r="E14" s="12">
        <f>IFERROR(IF(SUMIFS(tblDaily[DeathsUnder24Hrs],tblDaily[EntryDate],DATE(2026,1,8),tblDaily[WardCode],"FW")=0,"",SUMIFS(tblDaily[DeathsUnder24Hrs],tblDaily[EntryDate],DATE(2026,1,8),tblDaily[WardCode],"FW")),"")</f>
        <v/>
      </c>
      <c r="F14" s="12">
        <f>IFERROR(IF(SUMIFS(tblDaily[TransfersIn],tblDaily[EntryDate],DATE(2026,1,8),tblDaily[WardCode],"FW")=0,"",SUMIFS(tblDaily[TransfersIn],tblDaily[EntryDate],DATE(2026,1,8),tblDaily[WardCode],"FW")),"")</f>
        <v/>
      </c>
      <c r="G14" s="12">
        <f>IFERROR(IF(SUMIFS(tblDaily[TransfersOut],tblDaily[EntryDate],DATE(2026,1,8),tblDaily[WardCode],"FW")=0,"",SUMIFS(tblDaily[TransfersOut],tblDaily[EntryDate],DATE(2026,1,8),tblDaily[WardCode],"FW")),"")</f>
        <v/>
      </c>
      <c r="H14" s="12">
        <f>IFERROR(IF(SUMIFS(tblDaily[Remaining],tblDaily[EntryDate],DATE(2026,1,8),tblDaily[WardCode],"FW")=0,"",SUMIFS(tblDaily[Remaining],tblDaily[EntryDate],DATE(2026,1,8),tblDaily[WardCode],"FW")),"")</f>
        <v/>
      </c>
    </row>
    <row r="15">
      <c r="A15" s="12" t="n">
        <v>9</v>
      </c>
      <c r="B15" s="12">
        <f>IFERROR(IF(SUMIFS(tblDaily[Admissions],tblDaily[EntryDate],DATE(2026,1,9),tblDaily[WardCode],"FW")=0,"",SUMIFS(tblDaily[Admissions],tblDaily[EntryDate],DATE(2026,1,9),tblDaily[WardCode],"FW")),"")</f>
        <v/>
      </c>
      <c r="C15" s="12">
        <f>IFERROR(IF(SUMIFS(tblDaily[Discharges],tblDaily[EntryDate],DATE(2026,1,9),tblDaily[WardCode],"FW")=0,"",SUMIFS(tblDaily[Discharges],tblDaily[EntryDate],DATE(2026,1,9),tblDaily[WardCode],"FW")),"")</f>
        <v/>
      </c>
      <c r="D15" s="12">
        <f>IFERROR(IF(SUMIFS(tblDaily[Deaths],tblDaily[EntryDate],DATE(2026,1,9),tblDaily[WardCode],"FW")=0,"",SUMIFS(tblDaily[Deaths],tblDaily[EntryDate],DATE(2026,1,9),tblDaily[WardCode],"FW")),"")</f>
        <v/>
      </c>
      <c r="E15" s="12">
        <f>IFERROR(IF(SUMIFS(tblDaily[DeathsUnder24Hrs],tblDaily[EntryDate],DATE(2026,1,9),tblDaily[WardCode],"FW")=0,"",SUMIFS(tblDaily[DeathsUnder24Hrs],tblDaily[EntryDate],DATE(2026,1,9),tblDaily[WardCode],"FW")),"")</f>
        <v/>
      </c>
      <c r="F15" s="12">
        <f>IFERROR(IF(SUMIFS(tblDaily[TransfersIn],tblDaily[EntryDate],DATE(2026,1,9),tblDaily[WardCode],"FW")=0,"",SUMIFS(tblDaily[TransfersIn],tblDaily[EntryDate],DATE(2026,1,9),tblDaily[WardCode],"FW")),"")</f>
        <v/>
      </c>
      <c r="G15" s="12">
        <f>IFERROR(IF(SUMIFS(tblDaily[TransfersOut],tblDaily[EntryDate],DATE(2026,1,9),tblDaily[WardCode],"FW")=0,"",SUMIFS(tblDaily[TransfersOut],tblDaily[EntryDate],DATE(2026,1,9),tblDaily[WardCode],"FW")),"")</f>
        <v/>
      </c>
      <c r="H15" s="12">
        <f>IFERROR(IF(SUMIFS(tblDaily[Remaining],tblDaily[EntryDate],DATE(2026,1,9),tblDaily[WardCode],"FW")=0,"",SUMIFS(tblDaily[Remaining],tblDaily[EntryDate],DATE(2026,1,9),tblDaily[WardCode],"FW")),"")</f>
        <v/>
      </c>
    </row>
    <row r="16">
      <c r="A16" s="12" t="n">
        <v>10</v>
      </c>
      <c r="B16" s="12">
        <f>IFERROR(IF(SUMIFS(tblDaily[Admissions],tblDaily[EntryDate],DATE(2026,1,10),tblDaily[WardCode],"FW")=0,"",SUMIFS(tblDaily[Admissions],tblDaily[EntryDate],DATE(2026,1,10),tblDaily[WardCode],"FW")),"")</f>
        <v/>
      </c>
      <c r="C16" s="12">
        <f>IFERROR(IF(SUMIFS(tblDaily[Discharges],tblDaily[EntryDate],DATE(2026,1,10),tblDaily[WardCode],"FW")=0,"",SUMIFS(tblDaily[Discharges],tblDaily[EntryDate],DATE(2026,1,10),tblDaily[WardCode],"FW")),"")</f>
        <v/>
      </c>
      <c r="D16" s="12">
        <f>IFERROR(IF(SUMIFS(tblDaily[Deaths],tblDaily[EntryDate],DATE(2026,1,10),tblDaily[WardCode],"FW")=0,"",SUMIFS(tblDaily[Deaths],tblDaily[EntryDate],DATE(2026,1,10),tblDaily[WardCode],"FW")),"")</f>
        <v/>
      </c>
      <c r="E16" s="12">
        <f>IFERROR(IF(SUMIFS(tblDaily[DeathsUnder24Hrs],tblDaily[EntryDate],DATE(2026,1,10),tblDaily[WardCode],"FW")=0,"",SUMIFS(tblDaily[DeathsUnder24Hrs],tblDaily[EntryDate],DATE(2026,1,10),tblDaily[WardCode],"FW")),"")</f>
        <v/>
      </c>
      <c r="F16" s="12">
        <f>IFERROR(IF(SUMIFS(tblDaily[TransfersIn],tblDaily[EntryDate],DATE(2026,1,10),tblDaily[WardCode],"FW")=0,"",SUMIFS(tblDaily[TransfersIn],tblDaily[EntryDate],DATE(2026,1,10),tblDaily[WardCode],"FW")),"")</f>
        <v/>
      </c>
      <c r="G16" s="12">
        <f>IFERROR(IF(SUMIFS(tblDaily[TransfersOut],tblDaily[EntryDate],DATE(2026,1,10),tblDaily[WardCode],"FW")=0,"",SUMIFS(tblDaily[TransfersOut],tblDaily[EntryDate],DATE(2026,1,10),tblDaily[WardCode],"FW")),"")</f>
        <v/>
      </c>
      <c r="H16" s="12">
        <f>IFERROR(IF(SUMIFS(tblDaily[Remaining],tblDaily[EntryDate],DATE(2026,1,10),tblDaily[WardCode],"FW")=0,"",SUMIFS(tblDaily[Remaining],tblDaily[EntryDate],DATE(2026,1,10),tblDaily[WardCode],"FW")),"")</f>
        <v/>
      </c>
    </row>
    <row r="17">
      <c r="A17" s="12" t="n">
        <v>11</v>
      </c>
      <c r="B17" s="12">
        <f>IFERROR(IF(SUMIFS(tblDaily[Admissions],tblDaily[EntryDate],DATE(2026,1,11),tblDaily[WardCode],"FW")=0,"",SUMIFS(tblDaily[Admissions],tblDaily[EntryDate],DATE(2026,1,11),tblDaily[WardCode],"FW")),"")</f>
        <v/>
      </c>
      <c r="C17" s="12">
        <f>IFERROR(IF(SUMIFS(tblDaily[Discharges],tblDaily[EntryDate],DATE(2026,1,11),tblDaily[WardCode],"FW")=0,"",SUMIFS(tblDaily[Discharges],tblDaily[EntryDate],DATE(2026,1,11),tblDaily[WardCode],"FW")),"")</f>
        <v/>
      </c>
      <c r="D17" s="12">
        <f>IFERROR(IF(SUMIFS(tblDaily[Deaths],tblDaily[EntryDate],DATE(2026,1,11),tblDaily[WardCode],"FW")=0,"",SUMIFS(tblDaily[Deaths],tblDaily[EntryDate],DATE(2026,1,11),tblDaily[WardCode],"FW")),"")</f>
        <v/>
      </c>
      <c r="E17" s="12">
        <f>IFERROR(IF(SUMIFS(tblDaily[DeathsUnder24Hrs],tblDaily[EntryDate],DATE(2026,1,11),tblDaily[WardCode],"FW")=0,"",SUMIFS(tblDaily[DeathsUnder24Hrs],tblDaily[EntryDate],DATE(2026,1,11),tblDaily[WardCode],"FW")),"")</f>
        <v/>
      </c>
      <c r="F17" s="12">
        <f>IFERROR(IF(SUMIFS(tblDaily[TransfersIn],tblDaily[EntryDate],DATE(2026,1,11),tblDaily[WardCode],"FW")=0,"",SUMIFS(tblDaily[TransfersIn],tblDaily[EntryDate],DATE(2026,1,11),tblDaily[WardCode],"FW")),"")</f>
        <v/>
      </c>
      <c r="G17" s="12">
        <f>IFERROR(IF(SUMIFS(tblDaily[TransfersOut],tblDaily[EntryDate],DATE(2026,1,11),tblDaily[WardCode],"FW")=0,"",SUMIFS(tblDaily[TransfersOut],tblDaily[EntryDate],DATE(2026,1,11),tblDaily[WardCode],"FW")),"")</f>
        <v/>
      </c>
      <c r="H17" s="12">
        <f>IFERROR(IF(SUMIFS(tblDaily[Remaining],tblDaily[EntryDate],DATE(2026,1,11),tblDaily[WardCode],"FW")=0,"",SUMIFS(tblDaily[Remaining],tblDaily[EntryDate],DATE(2026,1,11),tblDaily[WardCode],"FW")),"")</f>
        <v/>
      </c>
    </row>
    <row r="18">
      <c r="A18" s="12" t="n">
        <v>12</v>
      </c>
      <c r="B18" s="12">
        <f>IFERROR(IF(SUMIFS(tblDaily[Admissions],tblDaily[EntryDate],DATE(2026,1,12),tblDaily[WardCode],"FW")=0,"",SUMIFS(tblDaily[Admissions],tblDaily[EntryDate],DATE(2026,1,12),tblDaily[WardCode],"FW")),"")</f>
        <v/>
      </c>
      <c r="C18" s="12">
        <f>IFERROR(IF(SUMIFS(tblDaily[Discharges],tblDaily[EntryDate],DATE(2026,1,12),tblDaily[WardCode],"FW")=0,"",SUMIFS(tblDaily[Discharges],tblDaily[EntryDate],DATE(2026,1,12),tblDaily[WardCode],"FW")),"")</f>
        <v/>
      </c>
      <c r="D18" s="12">
        <f>IFERROR(IF(SUMIFS(tblDaily[Deaths],tblDaily[EntryDate],DATE(2026,1,12),tblDaily[WardCode],"FW")=0,"",SUMIFS(tblDaily[Deaths],tblDaily[EntryDate],DATE(2026,1,12),tblDaily[WardCode],"FW")),"")</f>
        <v/>
      </c>
      <c r="E18" s="12">
        <f>IFERROR(IF(SUMIFS(tblDaily[DeathsUnder24Hrs],tblDaily[EntryDate],DATE(2026,1,12),tblDaily[WardCode],"FW")=0,"",SUMIFS(tblDaily[DeathsUnder24Hrs],tblDaily[EntryDate],DATE(2026,1,12),tblDaily[WardCode],"FW")),"")</f>
        <v/>
      </c>
      <c r="F18" s="12">
        <f>IFERROR(IF(SUMIFS(tblDaily[TransfersIn],tblDaily[EntryDate],DATE(2026,1,12),tblDaily[WardCode],"FW")=0,"",SUMIFS(tblDaily[TransfersIn],tblDaily[EntryDate],DATE(2026,1,12),tblDaily[WardCode],"FW")),"")</f>
        <v/>
      </c>
      <c r="G18" s="12">
        <f>IFERROR(IF(SUMIFS(tblDaily[TransfersOut],tblDaily[EntryDate],DATE(2026,1,12),tblDaily[WardCode],"FW")=0,"",SUMIFS(tblDaily[TransfersOut],tblDaily[EntryDate],DATE(2026,1,12),tblDaily[WardCode],"FW")),"")</f>
        <v/>
      </c>
      <c r="H18" s="12">
        <f>IFERROR(IF(SUMIFS(tblDaily[Remaining],tblDaily[EntryDate],DATE(2026,1,12),tblDaily[WardCode],"FW")=0,"",SUMIFS(tblDaily[Remaining],tblDaily[EntryDate],DATE(2026,1,12),tblDaily[WardCode],"FW")),"")</f>
        <v/>
      </c>
    </row>
    <row r="19">
      <c r="A19" s="12" t="n">
        <v>13</v>
      </c>
      <c r="B19" s="12">
        <f>IFERROR(IF(SUMIFS(tblDaily[Admissions],tblDaily[EntryDate],DATE(2026,1,13),tblDaily[WardCode],"FW")=0,"",SUMIFS(tblDaily[Admissions],tblDaily[EntryDate],DATE(2026,1,13),tblDaily[WardCode],"FW")),"")</f>
        <v/>
      </c>
      <c r="C19" s="12">
        <f>IFERROR(IF(SUMIFS(tblDaily[Discharges],tblDaily[EntryDate],DATE(2026,1,13),tblDaily[WardCode],"FW")=0,"",SUMIFS(tblDaily[Discharges],tblDaily[EntryDate],DATE(2026,1,13),tblDaily[WardCode],"FW")),"")</f>
        <v/>
      </c>
      <c r="D19" s="12">
        <f>IFERROR(IF(SUMIFS(tblDaily[Deaths],tblDaily[EntryDate],DATE(2026,1,13),tblDaily[WardCode],"FW")=0,"",SUMIFS(tblDaily[Deaths],tblDaily[EntryDate],DATE(2026,1,13),tblDaily[WardCode],"FW")),"")</f>
        <v/>
      </c>
      <c r="E19" s="12">
        <f>IFERROR(IF(SUMIFS(tblDaily[DeathsUnder24Hrs],tblDaily[EntryDate],DATE(2026,1,13),tblDaily[WardCode],"FW")=0,"",SUMIFS(tblDaily[DeathsUnder24Hrs],tblDaily[EntryDate],DATE(2026,1,13),tblDaily[WardCode],"FW")),"")</f>
        <v/>
      </c>
      <c r="F19" s="12">
        <f>IFERROR(IF(SUMIFS(tblDaily[TransfersIn],tblDaily[EntryDate],DATE(2026,1,13),tblDaily[WardCode],"FW")=0,"",SUMIFS(tblDaily[TransfersIn],tblDaily[EntryDate],DATE(2026,1,13),tblDaily[WardCode],"FW")),"")</f>
        <v/>
      </c>
      <c r="G19" s="12">
        <f>IFERROR(IF(SUMIFS(tblDaily[TransfersOut],tblDaily[EntryDate],DATE(2026,1,13),tblDaily[WardCode],"FW")=0,"",SUMIFS(tblDaily[TransfersOut],tblDaily[EntryDate],DATE(2026,1,13),tblDaily[WardCode],"FW")),"")</f>
        <v/>
      </c>
      <c r="H19" s="12">
        <f>IFERROR(IF(SUMIFS(tblDaily[Remaining],tblDaily[EntryDate],DATE(2026,1,13),tblDaily[WardCode],"FW")=0,"",SUMIFS(tblDaily[Remaining],tblDaily[EntryDate],DATE(2026,1,13),tblDaily[WardCode],"FW")),"")</f>
        <v/>
      </c>
    </row>
    <row r="20">
      <c r="A20" s="12" t="n">
        <v>14</v>
      </c>
      <c r="B20" s="12">
        <f>IFERROR(IF(SUMIFS(tblDaily[Admissions],tblDaily[EntryDate],DATE(2026,1,14),tblDaily[WardCode],"FW")=0,"",SUMIFS(tblDaily[Admissions],tblDaily[EntryDate],DATE(2026,1,14),tblDaily[WardCode],"FW")),"")</f>
        <v/>
      </c>
      <c r="C20" s="12">
        <f>IFERROR(IF(SUMIFS(tblDaily[Discharges],tblDaily[EntryDate],DATE(2026,1,14),tblDaily[WardCode],"FW")=0,"",SUMIFS(tblDaily[Discharges],tblDaily[EntryDate],DATE(2026,1,14),tblDaily[WardCode],"FW")),"")</f>
        <v/>
      </c>
      <c r="D20" s="12">
        <f>IFERROR(IF(SUMIFS(tblDaily[Deaths],tblDaily[EntryDate],DATE(2026,1,14),tblDaily[WardCode],"FW")=0,"",SUMIFS(tblDaily[Deaths],tblDaily[EntryDate],DATE(2026,1,14),tblDaily[WardCode],"FW")),"")</f>
        <v/>
      </c>
      <c r="E20" s="12">
        <f>IFERROR(IF(SUMIFS(tblDaily[DeathsUnder24Hrs],tblDaily[EntryDate],DATE(2026,1,14),tblDaily[WardCode],"FW")=0,"",SUMIFS(tblDaily[DeathsUnder24Hrs],tblDaily[EntryDate],DATE(2026,1,14),tblDaily[WardCode],"FW")),"")</f>
        <v/>
      </c>
      <c r="F20" s="12">
        <f>IFERROR(IF(SUMIFS(tblDaily[TransfersIn],tblDaily[EntryDate],DATE(2026,1,14),tblDaily[WardCode],"FW")=0,"",SUMIFS(tblDaily[TransfersIn],tblDaily[EntryDate],DATE(2026,1,14),tblDaily[WardCode],"FW")),"")</f>
        <v/>
      </c>
      <c r="G20" s="12">
        <f>IFERROR(IF(SUMIFS(tblDaily[TransfersOut],tblDaily[EntryDate],DATE(2026,1,14),tblDaily[WardCode],"FW")=0,"",SUMIFS(tblDaily[TransfersOut],tblDaily[EntryDate],DATE(2026,1,14),tblDaily[WardCode],"FW")),"")</f>
        <v/>
      </c>
      <c r="H20" s="12">
        <f>IFERROR(IF(SUMIFS(tblDaily[Remaining],tblDaily[EntryDate],DATE(2026,1,14),tblDaily[WardCode],"FW")=0,"",SUMIFS(tblDaily[Remaining],tblDaily[EntryDate],DATE(2026,1,14),tblDaily[WardCode],"FW")),"")</f>
        <v/>
      </c>
    </row>
    <row r="21">
      <c r="A21" s="12" t="n">
        <v>15</v>
      </c>
      <c r="B21" s="12">
        <f>IFERROR(IF(SUMIFS(tblDaily[Admissions],tblDaily[EntryDate],DATE(2026,1,15),tblDaily[WardCode],"FW")=0,"",SUMIFS(tblDaily[Admissions],tblDaily[EntryDate],DATE(2026,1,15),tblDaily[WardCode],"FW")),"")</f>
        <v/>
      </c>
      <c r="C21" s="12">
        <f>IFERROR(IF(SUMIFS(tblDaily[Discharges],tblDaily[EntryDate],DATE(2026,1,15),tblDaily[WardCode],"FW")=0,"",SUMIFS(tblDaily[Discharges],tblDaily[EntryDate],DATE(2026,1,15),tblDaily[WardCode],"FW")),"")</f>
        <v/>
      </c>
      <c r="D21" s="12">
        <f>IFERROR(IF(SUMIFS(tblDaily[Deaths],tblDaily[EntryDate],DATE(2026,1,15),tblDaily[WardCode],"FW")=0,"",SUMIFS(tblDaily[Deaths],tblDaily[EntryDate],DATE(2026,1,15),tblDaily[WardCode],"FW")),"")</f>
        <v/>
      </c>
      <c r="E21" s="12">
        <f>IFERROR(IF(SUMIFS(tblDaily[DeathsUnder24Hrs],tblDaily[EntryDate],DATE(2026,1,15),tblDaily[WardCode],"FW")=0,"",SUMIFS(tblDaily[DeathsUnder24Hrs],tblDaily[EntryDate],DATE(2026,1,15),tblDaily[WardCode],"FW")),"")</f>
        <v/>
      </c>
      <c r="F21" s="12">
        <f>IFERROR(IF(SUMIFS(tblDaily[TransfersIn],tblDaily[EntryDate],DATE(2026,1,15),tblDaily[WardCode],"FW")=0,"",SUMIFS(tblDaily[TransfersIn],tblDaily[EntryDate],DATE(2026,1,15),tblDaily[WardCode],"FW")),"")</f>
        <v/>
      </c>
      <c r="G21" s="12">
        <f>IFERROR(IF(SUMIFS(tblDaily[TransfersOut],tblDaily[EntryDate],DATE(2026,1,15),tblDaily[WardCode],"FW")=0,"",SUMIFS(tblDaily[TransfersOut],tblDaily[EntryDate],DATE(2026,1,15),tblDaily[WardCode],"FW")),"")</f>
        <v/>
      </c>
      <c r="H21" s="12">
        <f>IFERROR(IF(SUMIFS(tblDaily[Remaining],tblDaily[EntryDate],DATE(2026,1,15),tblDaily[WardCode],"FW")=0,"",SUMIFS(tblDaily[Remaining],tblDaily[EntryDate],DATE(2026,1,15),tblDaily[WardCode],"FW")),"")</f>
        <v/>
      </c>
    </row>
    <row r="22">
      <c r="A22" s="12" t="n">
        <v>16</v>
      </c>
      <c r="B22" s="12">
        <f>IFERROR(IF(SUMIFS(tblDaily[Admissions],tblDaily[EntryDate],DATE(2026,1,16),tblDaily[WardCode],"FW")=0,"",SUMIFS(tblDaily[Admissions],tblDaily[EntryDate],DATE(2026,1,16),tblDaily[WardCode],"FW")),"")</f>
        <v/>
      </c>
      <c r="C22" s="12">
        <f>IFERROR(IF(SUMIFS(tblDaily[Discharges],tblDaily[EntryDate],DATE(2026,1,16),tblDaily[WardCode],"FW")=0,"",SUMIFS(tblDaily[Discharges],tblDaily[EntryDate],DATE(2026,1,16),tblDaily[WardCode],"FW")),"")</f>
        <v/>
      </c>
      <c r="D22" s="12">
        <f>IFERROR(IF(SUMIFS(tblDaily[Deaths],tblDaily[EntryDate],DATE(2026,1,16),tblDaily[WardCode],"FW")=0,"",SUMIFS(tblDaily[Deaths],tblDaily[EntryDate],DATE(2026,1,16),tblDaily[WardCode],"FW")),"")</f>
        <v/>
      </c>
      <c r="E22" s="12">
        <f>IFERROR(IF(SUMIFS(tblDaily[DeathsUnder24Hrs],tblDaily[EntryDate],DATE(2026,1,16),tblDaily[WardCode],"FW")=0,"",SUMIFS(tblDaily[DeathsUnder24Hrs],tblDaily[EntryDate],DATE(2026,1,16),tblDaily[WardCode],"FW")),"")</f>
        <v/>
      </c>
      <c r="F22" s="12">
        <f>IFERROR(IF(SUMIFS(tblDaily[TransfersIn],tblDaily[EntryDate],DATE(2026,1,16),tblDaily[WardCode],"FW")=0,"",SUMIFS(tblDaily[TransfersIn],tblDaily[EntryDate],DATE(2026,1,16),tblDaily[WardCode],"FW")),"")</f>
        <v/>
      </c>
      <c r="G22" s="12">
        <f>IFERROR(IF(SUMIFS(tblDaily[TransfersOut],tblDaily[EntryDate],DATE(2026,1,16),tblDaily[WardCode],"FW")=0,"",SUMIFS(tblDaily[TransfersOut],tblDaily[EntryDate],DATE(2026,1,16),tblDaily[WardCode],"FW")),"")</f>
        <v/>
      </c>
      <c r="H22" s="12">
        <f>IFERROR(IF(SUMIFS(tblDaily[Remaining],tblDaily[EntryDate],DATE(2026,1,16),tblDaily[WardCode],"FW")=0,"",SUMIFS(tblDaily[Remaining],tblDaily[EntryDate],DATE(2026,1,16),tblDaily[WardCode],"FW")),"")</f>
        <v/>
      </c>
    </row>
    <row r="23">
      <c r="A23" s="12" t="n">
        <v>17</v>
      </c>
      <c r="B23" s="12">
        <f>IFERROR(IF(SUMIFS(tblDaily[Admissions],tblDaily[EntryDate],DATE(2026,1,17),tblDaily[WardCode],"FW")=0,"",SUMIFS(tblDaily[Admissions],tblDaily[EntryDate],DATE(2026,1,17),tblDaily[WardCode],"FW")),"")</f>
        <v/>
      </c>
      <c r="C23" s="12">
        <f>IFERROR(IF(SUMIFS(tblDaily[Discharges],tblDaily[EntryDate],DATE(2026,1,17),tblDaily[WardCode],"FW")=0,"",SUMIFS(tblDaily[Discharges],tblDaily[EntryDate],DATE(2026,1,17),tblDaily[WardCode],"FW")),"")</f>
        <v/>
      </c>
      <c r="D23" s="12">
        <f>IFERROR(IF(SUMIFS(tblDaily[Deaths],tblDaily[EntryDate],DATE(2026,1,17),tblDaily[WardCode],"FW")=0,"",SUMIFS(tblDaily[Deaths],tblDaily[EntryDate],DATE(2026,1,17),tblDaily[WardCode],"FW")),"")</f>
        <v/>
      </c>
      <c r="E23" s="12">
        <f>IFERROR(IF(SUMIFS(tblDaily[DeathsUnder24Hrs],tblDaily[EntryDate],DATE(2026,1,17),tblDaily[WardCode],"FW")=0,"",SUMIFS(tblDaily[DeathsUnder24Hrs],tblDaily[EntryDate],DATE(2026,1,17),tblDaily[WardCode],"FW")),"")</f>
        <v/>
      </c>
      <c r="F23" s="12">
        <f>IFERROR(IF(SUMIFS(tblDaily[TransfersIn],tblDaily[EntryDate],DATE(2026,1,17),tblDaily[WardCode],"FW")=0,"",SUMIFS(tblDaily[TransfersIn],tblDaily[EntryDate],DATE(2026,1,17),tblDaily[WardCode],"FW")),"")</f>
        <v/>
      </c>
      <c r="G23" s="12">
        <f>IFERROR(IF(SUMIFS(tblDaily[TransfersOut],tblDaily[EntryDate],DATE(2026,1,17),tblDaily[WardCode],"FW")=0,"",SUMIFS(tblDaily[TransfersOut],tblDaily[EntryDate],DATE(2026,1,17),tblDaily[WardCode],"FW")),"")</f>
        <v/>
      </c>
      <c r="H23" s="12">
        <f>IFERROR(IF(SUMIFS(tblDaily[Remaining],tblDaily[EntryDate],DATE(2026,1,17),tblDaily[WardCode],"FW")=0,"",SUMIFS(tblDaily[Remaining],tblDaily[EntryDate],DATE(2026,1,17),tblDaily[WardCode],"FW")),"")</f>
        <v/>
      </c>
    </row>
    <row r="24">
      <c r="A24" s="12" t="n">
        <v>18</v>
      </c>
      <c r="B24" s="12">
        <f>IFERROR(IF(SUMIFS(tblDaily[Admissions],tblDaily[EntryDate],DATE(2026,1,18),tblDaily[WardCode],"FW")=0,"",SUMIFS(tblDaily[Admissions],tblDaily[EntryDate],DATE(2026,1,18),tblDaily[WardCode],"FW")),"")</f>
        <v/>
      </c>
      <c r="C24" s="12">
        <f>IFERROR(IF(SUMIFS(tblDaily[Discharges],tblDaily[EntryDate],DATE(2026,1,18),tblDaily[WardCode],"FW")=0,"",SUMIFS(tblDaily[Discharges],tblDaily[EntryDate],DATE(2026,1,18),tblDaily[WardCode],"FW")),"")</f>
        <v/>
      </c>
      <c r="D24" s="12">
        <f>IFERROR(IF(SUMIFS(tblDaily[Deaths],tblDaily[EntryDate],DATE(2026,1,18),tblDaily[WardCode],"FW")=0,"",SUMIFS(tblDaily[Deaths],tblDaily[EntryDate],DATE(2026,1,18),tblDaily[WardCode],"FW")),"")</f>
        <v/>
      </c>
      <c r="E24" s="12">
        <f>IFERROR(IF(SUMIFS(tblDaily[DeathsUnder24Hrs],tblDaily[EntryDate],DATE(2026,1,18),tblDaily[WardCode],"FW")=0,"",SUMIFS(tblDaily[DeathsUnder24Hrs],tblDaily[EntryDate],DATE(2026,1,18),tblDaily[WardCode],"FW")),"")</f>
        <v/>
      </c>
      <c r="F24" s="12">
        <f>IFERROR(IF(SUMIFS(tblDaily[TransfersIn],tblDaily[EntryDate],DATE(2026,1,18),tblDaily[WardCode],"FW")=0,"",SUMIFS(tblDaily[TransfersIn],tblDaily[EntryDate],DATE(2026,1,18),tblDaily[WardCode],"FW")),"")</f>
        <v/>
      </c>
      <c r="G24" s="12">
        <f>IFERROR(IF(SUMIFS(tblDaily[TransfersOut],tblDaily[EntryDate],DATE(2026,1,18),tblDaily[WardCode],"FW")=0,"",SUMIFS(tblDaily[TransfersOut],tblDaily[EntryDate],DATE(2026,1,18),tblDaily[WardCode],"FW")),"")</f>
        <v/>
      </c>
      <c r="H24" s="12">
        <f>IFERROR(IF(SUMIFS(tblDaily[Remaining],tblDaily[EntryDate],DATE(2026,1,18),tblDaily[WardCode],"FW")=0,"",SUMIFS(tblDaily[Remaining],tblDaily[EntryDate],DATE(2026,1,18),tblDaily[WardCode],"FW")),"")</f>
        <v/>
      </c>
    </row>
    <row r="25">
      <c r="A25" s="12" t="n">
        <v>19</v>
      </c>
      <c r="B25" s="12">
        <f>IFERROR(IF(SUMIFS(tblDaily[Admissions],tblDaily[EntryDate],DATE(2026,1,19),tblDaily[WardCode],"FW")=0,"",SUMIFS(tblDaily[Admissions],tblDaily[EntryDate],DATE(2026,1,19),tblDaily[WardCode],"FW")),"")</f>
        <v/>
      </c>
      <c r="C25" s="12">
        <f>IFERROR(IF(SUMIFS(tblDaily[Discharges],tblDaily[EntryDate],DATE(2026,1,19),tblDaily[WardCode],"FW")=0,"",SUMIFS(tblDaily[Discharges],tblDaily[EntryDate],DATE(2026,1,19),tblDaily[WardCode],"FW")),"")</f>
        <v/>
      </c>
      <c r="D25" s="12">
        <f>IFERROR(IF(SUMIFS(tblDaily[Deaths],tblDaily[EntryDate],DATE(2026,1,19),tblDaily[WardCode],"FW")=0,"",SUMIFS(tblDaily[Deaths],tblDaily[EntryDate],DATE(2026,1,19),tblDaily[WardCode],"FW")),"")</f>
        <v/>
      </c>
      <c r="E25" s="12">
        <f>IFERROR(IF(SUMIFS(tblDaily[DeathsUnder24Hrs],tblDaily[EntryDate],DATE(2026,1,19),tblDaily[WardCode],"FW")=0,"",SUMIFS(tblDaily[DeathsUnder24Hrs],tblDaily[EntryDate],DATE(2026,1,19),tblDaily[WardCode],"FW")),"")</f>
        <v/>
      </c>
      <c r="F25" s="12">
        <f>IFERROR(IF(SUMIFS(tblDaily[TransfersIn],tblDaily[EntryDate],DATE(2026,1,19),tblDaily[WardCode],"FW")=0,"",SUMIFS(tblDaily[TransfersIn],tblDaily[EntryDate],DATE(2026,1,19),tblDaily[WardCode],"FW")),"")</f>
        <v/>
      </c>
      <c r="G25" s="12">
        <f>IFERROR(IF(SUMIFS(tblDaily[TransfersOut],tblDaily[EntryDate],DATE(2026,1,19),tblDaily[WardCode],"FW")=0,"",SUMIFS(tblDaily[TransfersOut],tblDaily[EntryDate],DATE(2026,1,19),tblDaily[WardCode],"FW")),"")</f>
        <v/>
      </c>
      <c r="H25" s="12">
        <f>IFERROR(IF(SUMIFS(tblDaily[Remaining],tblDaily[EntryDate],DATE(2026,1,19),tblDaily[WardCode],"FW")=0,"",SUMIFS(tblDaily[Remaining],tblDaily[EntryDate],DATE(2026,1,19),tblDaily[WardCode],"FW")),"")</f>
        <v/>
      </c>
    </row>
    <row r="26">
      <c r="A26" s="12" t="n">
        <v>20</v>
      </c>
      <c r="B26" s="12">
        <f>IFERROR(IF(SUMIFS(tblDaily[Admissions],tblDaily[EntryDate],DATE(2026,1,20),tblDaily[WardCode],"FW")=0,"",SUMIFS(tblDaily[Admissions],tblDaily[EntryDate],DATE(2026,1,20),tblDaily[WardCode],"FW")),"")</f>
        <v/>
      </c>
      <c r="C26" s="12">
        <f>IFERROR(IF(SUMIFS(tblDaily[Discharges],tblDaily[EntryDate],DATE(2026,1,20),tblDaily[WardCode],"FW")=0,"",SUMIFS(tblDaily[Discharges],tblDaily[EntryDate],DATE(2026,1,20),tblDaily[WardCode],"FW")),"")</f>
        <v/>
      </c>
      <c r="D26" s="12">
        <f>IFERROR(IF(SUMIFS(tblDaily[Deaths],tblDaily[EntryDate],DATE(2026,1,20),tblDaily[WardCode],"FW")=0,"",SUMIFS(tblDaily[Deaths],tblDaily[EntryDate],DATE(2026,1,20),tblDaily[WardCode],"FW")),"")</f>
        <v/>
      </c>
      <c r="E26" s="12">
        <f>IFERROR(IF(SUMIFS(tblDaily[DeathsUnder24Hrs],tblDaily[EntryDate],DATE(2026,1,20),tblDaily[WardCode],"FW")=0,"",SUMIFS(tblDaily[DeathsUnder24Hrs],tblDaily[EntryDate],DATE(2026,1,20),tblDaily[WardCode],"FW")),"")</f>
        <v/>
      </c>
      <c r="F26" s="12">
        <f>IFERROR(IF(SUMIFS(tblDaily[TransfersIn],tblDaily[EntryDate],DATE(2026,1,20),tblDaily[WardCode],"FW")=0,"",SUMIFS(tblDaily[TransfersIn],tblDaily[EntryDate],DATE(2026,1,20),tblDaily[WardCode],"FW")),"")</f>
        <v/>
      </c>
      <c r="G26" s="12">
        <f>IFERROR(IF(SUMIFS(tblDaily[TransfersOut],tblDaily[EntryDate],DATE(2026,1,20),tblDaily[WardCode],"FW")=0,"",SUMIFS(tblDaily[TransfersOut],tblDaily[EntryDate],DATE(2026,1,20),tblDaily[WardCode],"FW")),"")</f>
        <v/>
      </c>
      <c r="H26" s="12">
        <f>IFERROR(IF(SUMIFS(tblDaily[Remaining],tblDaily[EntryDate],DATE(2026,1,20),tblDaily[WardCode],"FW")=0,"",SUMIFS(tblDaily[Remaining],tblDaily[EntryDate],DATE(2026,1,20),tblDaily[WardCode],"FW")),"")</f>
        <v/>
      </c>
    </row>
    <row r="27">
      <c r="A27" s="12" t="n">
        <v>21</v>
      </c>
      <c r="B27" s="12">
        <f>IFERROR(IF(SUMIFS(tblDaily[Admissions],tblDaily[EntryDate],DATE(2026,1,21),tblDaily[WardCode],"FW")=0,"",SUMIFS(tblDaily[Admissions],tblDaily[EntryDate],DATE(2026,1,21),tblDaily[WardCode],"FW")),"")</f>
        <v/>
      </c>
      <c r="C27" s="12">
        <f>IFERROR(IF(SUMIFS(tblDaily[Discharges],tblDaily[EntryDate],DATE(2026,1,21),tblDaily[WardCode],"FW")=0,"",SUMIFS(tblDaily[Discharges],tblDaily[EntryDate],DATE(2026,1,21),tblDaily[WardCode],"FW")),"")</f>
        <v/>
      </c>
      <c r="D27" s="12">
        <f>IFERROR(IF(SUMIFS(tblDaily[Deaths],tblDaily[EntryDate],DATE(2026,1,21),tblDaily[WardCode],"FW")=0,"",SUMIFS(tblDaily[Deaths],tblDaily[EntryDate],DATE(2026,1,21),tblDaily[WardCode],"FW")),"")</f>
        <v/>
      </c>
      <c r="E27" s="12">
        <f>IFERROR(IF(SUMIFS(tblDaily[DeathsUnder24Hrs],tblDaily[EntryDate],DATE(2026,1,21),tblDaily[WardCode],"FW")=0,"",SUMIFS(tblDaily[DeathsUnder24Hrs],tblDaily[EntryDate],DATE(2026,1,21),tblDaily[WardCode],"FW")),"")</f>
        <v/>
      </c>
      <c r="F27" s="12">
        <f>IFERROR(IF(SUMIFS(tblDaily[TransfersIn],tblDaily[EntryDate],DATE(2026,1,21),tblDaily[WardCode],"FW")=0,"",SUMIFS(tblDaily[TransfersIn],tblDaily[EntryDate],DATE(2026,1,21),tblDaily[WardCode],"FW")),"")</f>
        <v/>
      </c>
      <c r="G27" s="12">
        <f>IFERROR(IF(SUMIFS(tblDaily[TransfersOut],tblDaily[EntryDate],DATE(2026,1,21),tblDaily[WardCode],"FW")=0,"",SUMIFS(tblDaily[TransfersOut],tblDaily[EntryDate],DATE(2026,1,21),tblDaily[WardCode],"FW")),"")</f>
        <v/>
      </c>
      <c r="H27" s="12">
        <f>IFERROR(IF(SUMIFS(tblDaily[Remaining],tblDaily[EntryDate],DATE(2026,1,21),tblDaily[WardCode],"FW")=0,"",SUMIFS(tblDaily[Remaining],tblDaily[EntryDate],DATE(2026,1,21),tblDaily[WardCode],"FW")),"")</f>
        <v/>
      </c>
    </row>
    <row r="28">
      <c r="A28" s="12" t="n">
        <v>22</v>
      </c>
      <c r="B28" s="12">
        <f>IFERROR(IF(SUMIFS(tblDaily[Admissions],tblDaily[EntryDate],DATE(2026,1,22),tblDaily[WardCode],"FW")=0,"",SUMIFS(tblDaily[Admissions],tblDaily[EntryDate],DATE(2026,1,22),tblDaily[WardCode],"FW")),"")</f>
        <v/>
      </c>
      <c r="C28" s="12">
        <f>IFERROR(IF(SUMIFS(tblDaily[Discharges],tblDaily[EntryDate],DATE(2026,1,22),tblDaily[WardCode],"FW")=0,"",SUMIFS(tblDaily[Discharges],tblDaily[EntryDate],DATE(2026,1,22),tblDaily[WardCode],"FW")),"")</f>
        <v/>
      </c>
      <c r="D28" s="12">
        <f>IFERROR(IF(SUMIFS(tblDaily[Deaths],tblDaily[EntryDate],DATE(2026,1,22),tblDaily[WardCode],"FW")=0,"",SUMIFS(tblDaily[Deaths],tblDaily[EntryDate],DATE(2026,1,22),tblDaily[WardCode],"FW")),"")</f>
        <v/>
      </c>
      <c r="E28" s="12">
        <f>IFERROR(IF(SUMIFS(tblDaily[DeathsUnder24Hrs],tblDaily[EntryDate],DATE(2026,1,22),tblDaily[WardCode],"FW")=0,"",SUMIFS(tblDaily[DeathsUnder24Hrs],tblDaily[EntryDate],DATE(2026,1,22),tblDaily[WardCode],"FW")),"")</f>
        <v/>
      </c>
      <c r="F28" s="12">
        <f>IFERROR(IF(SUMIFS(tblDaily[TransfersIn],tblDaily[EntryDate],DATE(2026,1,22),tblDaily[WardCode],"FW")=0,"",SUMIFS(tblDaily[TransfersIn],tblDaily[EntryDate],DATE(2026,1,22),tblDaily[WardCode],"FW")),"")</f>
        <v/>
      </c>
      <c r="G28" s="12">
        <f>IFERROR(IF(SUMIFS(tblDaily[TransfersOut],tblDaily[EntryDate],DATE(2026,1,22),tblDaily[WardCode],"FW")=0,"",SUMIFS(tblDaily[TransfersOut],tblDaily[EntryDate],DATE(2026,1,22),tblDaily[WardCode],"FW")),"")</f>
        <v/>
      </c>
      <c r="H28" s="12">
        <f>IFERROR(IF(SUMIFS(tblDaily[Remaining],tblDaily[EntryDate],DATE(2026,1,22),tblDaily[WardCode],"FW")=0,"",SUMIFS(tblDaily[Remaining],tblDaily[EntryDate],DATE(2026,1,22),tblDaily[WardCode],"FW")),"")</f>
        <v/>
      </c>
    </row>
    <row r="29">
      <c r="A29" s="12" t="n">
        <v>23</v>
      </c>
      <c r="B29" s="12">
        <f>IFERROR(IF(SUMIFS(tblDaily[Admissions],tblDaily[EntryDate],DATE(2026,1,23),tblDaily[WardCode],"FW")=0,"",SUMIFS(tblDaily[Admissions],tblDaily[EntryDate],DATE(2026,1,23),tblDaily[WardCode],"FW")),"")</f>
        <v/>
      </c>
      <c r="C29" s="12">
        <f>IFERROR(IF(SUMIFS(tblDaily[Discharges],tblDaily[EntryDate],DATE(2026,1,23),tblDaily[WardCode],"FW")=0,"",SUMIFS(tblDaily[Discharges],tblDaily[EntryDate],DATE(2026,1,23),tblDaily[WardCode],"FW")),"")</f>
        <v/>
      </c>
      <c r="D29" s="12">
        <f>IFERROR(IF(SUMIFS(tblDaily[Deaths],tblDaily[EntryDate],DATE(2026,1,23),tblDaily[WardCode],"FW")=0,"",SUMIFS(tblDaily[Deaths],tblDaily[EntryDate],DATE(2026,1,23),tblDaily[WardCode],"FW")),"")</f>
        <v/>
      </c>
      <c r="E29" s="12">
        <f>IFERROR(IF(SUMIFS(tblDaily[DeathsUnder24Hrs],tblDaily[EntryDate],DATE(2026,1,23),tblDaily[WardCode],"FW")=0,"",SUMIFS(tblDaily[DeathsUnder24Hrs],tblDaily[EntryDate],DATE(2026,1,23),tblDaily[WardCode],"FW")),"")</f>
        <v/>
      </c>
      <c r="F29" s="12">
        <f>IFERROR(IF(SUMIFS(tblDaily[TransfersIn],tblDaily[EntryDate],DATE(2026,1,23),tblDaily[WardCode],"FW")=0,"",SUMIFS(tblDaily[TransfersIn],tblDaily[EntryDate],DATE(2026,1,23),tblDaily[WardCode],"FW")),"")</f>
        <v/>
      </c>
      <c r="G29" s="12">
        <f>IFERROR(IF(SUMIFS(tblDaily[TransfersOut],tblDaily[EntryDate],DATE(2026,1,23),tblDaily[WardCode],"FW")=0,"",SUMIFS(tblDaily[TransfersOut],tblDaily[EntryDate],DATE(2026,1,23),tblDaily[WardCode],"FW")),"")</f>
        <v/>
      </c>
      <c r="H29" s="12">
        <f>IFERROR(IF(SUMIFS(tblDaily[Remaining],tblDaily[EntryDate],DATE(2026,1,23),tblDaily[WardCode],"FW")=0,"",SUMIFS(tblDaily[Remaining],tblDaily[EntryDate],DATE(2026,1,23),tblDaily[WardCode],"FW")),"")</f>
        <v/>
      </c>
    </row>
    <row r="30">
      <c r="A30" s="12" t="n">
        <v>24</v>
      </c>
      <c r="B30" s="12">
        <f>IFERROR(IF(SUMIFS(tblDaily[Admissions],tblDaily[EntryDate],DATE(2026,1,24),tblDaily[WardCode],"FW")=0,"",SUMIFS(tblDaily[Admissions],tblDaily[EntryDate],DATE(2026,1,24),tblDaily[WardCode],"FW")),"")</f>
        <v/>
      </c>
      <c r="C30" s="12">
        <f>IFERROR(IF(SUMIFS(tblDaily[Discharges],tblDaily[EntryDate],DATE(2026,1,24),tblDaily[WardCode],"FW")=0,"",SUMIFS(tblDaily[Discharges],tblDaily[EntryDate],DATE(2026,1,24),tblDaily[WardCode],"FW")),"")</f>
        <v/>
      </c>
      <c r="D30" s="12">
        <f>IFERROR(IF(SUMIFS(tblDaily[Deaths],tblDaily[EntryDate],DATE(2026,1,24),tblDaily[WardCode],"FW")=0,"",SUMIFS(tblDaily[Deaths],tblDaily[EntryDate],DATE(2026,1,24),tblDaily[WardCode],"FW")),"")</f>
        <v/>
      </c>
      <c r="E30" s="12">
        <f>IFERROR(IF(SUMIFS(tblDaily[DeathsUnder24Hrs],tblDaily[EntryDate],DATE(2026,1,24),tblDaily[WardCode],"FW")=0,"",SUMIFS(tblDaily[DeathsUnder24Hrs],tblDaily[EntryDate],DATE(2026,1,24),tblDaily[WardCode],"FW")),"")</f>
        <v/>
      </c>
      <c r="F30" s="12">
        <f>IFERROR(IF(SUMIFS(tblDaily[TransfersIn],tblDaily[EntryDate],DATE(2026,1,24),tblDaily[WardCode],"FW")=0,"",SUMIFS(tblDaily[TransfersIn],tblDaily[EntryDate],DATE(2026,1,24),tblDaily[WardCode],"FW")),"")</f>
        <v/>
      </c>
      <c r="G30" s="12">
        <f>IFERROR(IF(SUMIFS(tblDaily[TransfersOut],tblDaily[EntryDate],DATE(2026,1,24),tblDaily[WardCode],"FW")=0,"",SUMIFS(tblDaily[TransfersOut],tblDaily[EntryDate],DATE(2026,1,24),tblDaily[WardCode],"FW")),"")</f>
        <v/>
      </c>
      <c r="H30" s="12">
        <f>IFERROR(IF(SUMIFS(tblDaily[Remaining],tblDaily[EntryDate],DATE(2026,1,24),tblDaily[WardCode],"FW")=0,"",SUMIFS(tblDaily[Remaining],tblDaily[EntryDate],DATE(2026,1,24),tblDaily[WardCode],"FW")),"")</f>
        <v/>
      </c>
    </row>
    <row r="31">
      <c r="A31" s="12" t="n">
        <v>25</v>
      </c>
      <c r="B31" s="12">
        <f>IFERROR(IF(SUMIFS(tblDaily[Admissions],tblDaily[EntryDate],DATE(2026,1,25),tblDaily[WardCode],"FW")=0,"",SUMIFS(tblDaily[Admissions],tblDaily[EntryDate],DATE(2026,1,25),tblDaily[WardCode],"FW")),"")</f>
        <v/>
      </c>
      <c r="C31" s="12">
        <f>IFERROR(IF(SUMIFS(tblDaily[Discharges],tblDaily[EntryDate],DATE(2026,1,25),tblDaily[WardCode],"FW")=0,"",SUMIFS(tblDaily[Discharges],tblDaily[EntryDate],DATE(2026,1,25),tblDaily[WardCode],"FW")),"")</f>
        <v/>
      </c>
      <c r="D31" s="12">
        <f>IFERROR(IF(SUMIFS(tblDaily[Deaths],tblDaily[EntryDate],DATE(2026,1,25),tblDaily[WardCode],"FW")=0,"",SUMIFS(tblDaily[Deaths],tblDaily[EntryDate],DATE(2026,1,25),tblDaily[WardCode],"FW")),"")</f>
        <v/>
      </c>
      <c r="E31" s="12">
        <f>IFERROR(IF(SUMIFS(tblDaily[DeathsUnder24Hrs],tblDaily[EntryDate],DATE(2026,1,25),tblDaily[WardCode],"FW")=0,"",SUMIFS(tblDaily[DeathsUnder24Hrs],tblDaily[EntryDate],DATE(2026,1,25),tblDaily[WardCode],"FW")),"")</f>
        <v/>
      </c>
      <c r="F31" s="12">
        <f>IFERROR(IF(SUMIFS(tblDaily[TransfersIn],tblDaily[EntryDate],DATE(2026,1,25),tblDaily[WardCode],"FW")=0,"",SUMIFS(tblDaily[TransfersIn],tblDaily[EntryDate],DATE(2026,1,25),tblDaily[WardCode],"FW")),"")</f>
        <v/>
      </c>
      <c r="G31" s="12">
        <f>IFERROR(IF(SUMIFS(tblDaily[TransfersOut],tblDaily[EntryDate],DATE(2026,1,25),tblDaily[WardCode],"FW")=0,"",SUMIFS(tblDaily[TransfersOut],tblDaily[EntryDate],DATE(2026,1,25),tblDaily[WardCode],"FW")),"")</f>
        <v/>
      </c>
      <c r="H31" s="12">
        <f>IFERROR(IF(SUMIFS(tblDaily[Remaining],tblDaily[EntryDate],DATE(2026,1,25),tblDaily[WardCode],"FW")=0,"",SUMIFS(tblDaily[Remaining],tblDaily[EntryDate],DATE(2026,1,25),tblDaily[WardCode],"FW")),"")</f>
        <v/>
      </c>
    </row>
    <row r="32">
      <c r="A32" s="12" t="n">
        <v>26</v>
      </c>
      <c r="B32" s="12">
        <f>IFERROR(IF(SUMIFS(tblDaily[Admissions],tblDaily[EntryDate],DATE(2026,1,26),tblDaily[WardCode],"FW")=0,"",SUMIFS(tblDaily[Admissions],tblDaily[EntryDate],DATE(2026,1,26),tblDaily[WardCode],"FW")),"")</f>
        <v/>
      </c>
      <c r="C32" s="12">
        <f>IFERROR(IF(SUMIFS(tblDaily[Discharges],tblDaily[EntryDate],DATE(2026,1,26),tblDaily[WardCode],"FW")=0,"",SUMIFS(tblDaily[Discharges],tblDaily[EntryDate],DATE(2026,1,26),tblDaily[WardCode],"FW")),"")</f>
        <v/>
      </c>
      <c r="D32" s="12">
        <f>IFERROR(IF(SUMIFS(tblDaily[Deaths],tblDaily[EntryDate],DATE(2026,1,26),tblDaily[WardCode],"FW")=0,"",SUMIFS(tblDaily[Deaths],tblDaily[EntryDate],DATE(2026,1,26),tblDaily[WardCode],"FW")),"")</f>
        <v/>
      </c>
      <c r="E32" s="12">
        <f>IFERROR(IF(SUMIFS(tblDaily[DeathsUnder24Hrs],tblDaily[EntryDate],DATE(2026,1,26),tblDaily[WardCode],"FW")=0,"",SUMIFS(tblDaily[DeathsUnder24Hrs],tblDaily[EntryDate],DATE(2026,1,26),tblDaily[WardCode],"FW")),"")</f>
        <v/>
      </c>
      <c r="F32" s="12">
        <f>IFERROR(IF(SUMIFS(tblDaily[TransfersIn],tblDaily[EntryDate],DATE(2026,1,26),tblDaily[WardCode],"FW")=0,"",SUMIFS(tblDaily[TransfersIn],tblDaily[EntryDate],DATE(2026,1,26),tblDaily[WardCode],"FW")),"")</f>
        <v/>
      </c>
      <c r="G32" s="12">
        <f>IFERROR(IF(SUMIFS(tblDaily[TransfersOut],tblDaily[EntryDate],DATE(2026,1,26),tblDaily[WardCode],"FW")=0,"",SUMIFS(tblDaily[TransfersOut],tblDaily[EntryDate],DATE(2026,1,26),tblDaily[WardCode],"FW")),"")</f>
        <v/>
      </c>
      <c r="H32" s="12">
        <f>IFERROR(IF(SUMIFS(tblDaily[Remaining],tblDaily[EntryDate],DATE(2026,1,26),tblDaily[WardCode],"FW")=0,"",SUMIFS(tblDaily[Remaining],tblDaily[EntryDate],DATE(2026,1,26),tblDaily[WardCode],"FW")),"")</f>
        <v/>
      </c>
    </row>
    <row r="33">
      <c r="A33" s="12" t="n">
        <v>27</v>
      </c>
      <c r="B33" s="12">
        <f>IFERROR(IF(SUMIFS(tblDaily[Admissions],tblDaily[EntryDate],DATE(2026,1,27),tblDaily[WardCode],"FW")=0,"",SUMIFS(tblDaily[Admissions],tblDaily[EntryDate],DATE(2026,1,27),tblDaily[WardCode],"FW")),"")</f>
        <v/>
      </c>
      <c r="C33" s="12">
        <f>IFERROR(IF(SUMIFS(tblDaily[Discharges],tblDaily[EntryDate],DATE(2026,1,27),tblDaily[WardCode],"FW")=0,"",SUMIFS(tblDaily[Discharges],tblDaily[EntryDate],DATE(2026,1,27),tblDaily[WardCode],"FW")),"")</f>
        <v/>
      </c>
      <c r="D33" s="12">
        <f>IFERROR(IF(SUMIFS(tblDaily[Deaths],tblDaily[EntryDate],DATE(2026,1,27),tblDaily[WardCode],"FW")=0,"",SUMIFS(tblDaily[Deaths],tblDaily[EntryDate],DATE(2026,1,27),tblDaily[WardCode],"FW")),"")</f>
        <v/>
      </c>
      <c r="E33" s="12">
        <f>IFERROR(IF(SUMIFS(tblDaily[DeathsUnder24Hrs],tblDaily[EntryDate],DATE(2026,1,27),tblDaily[WardCode],"FW")=0,"",SUMIFS(tblDaily[DeathsUnder24Hrs],tblDaily[EntryDate],DATE(2026,1,27),tblDaily[WardCode],"FW")),"")</f>
        <v/>
      </c>
      <c r="F33" s="12">
        <f>IFERROR(IF(SUMIFS(tblDaily[TransfersIn],tblDaily[EntryDate],DATE(2026,1,27),tblDaily[WardCode],"FW")=0,"",SUMIFS(tblDaily[TransfersIn],tblDaily[EntryDate],DATE(2026,1,27),tblDaily[WardCode],"FW")),"")</f>
        <v/>
      </c>
      <c r="G33" s="12">
        <f>IFERROR(IF(SUMIFS(tblDaily[TransfersOut],tblDaily[EntryDate],DATE(2026,1,27),tblDaily[WardCode],"FW")=0,"",SUMIFS(tblDaily[TransfersOut],tblDaily[EntryDate],DATE(2026,1,27),tblDaily[WardCode],"FW")),"")</f>
        <v/>
      </c>
      <c r="H33" s="12">
        <f>IFERROR(IF(SUMIFS(tblDaily[Remaining],tblDaily[EntryDate],DATE(2026,1,27),tblDaily[WardCode],"FW")=0,"",SUMIFS(tblDaily[Remaining],tblDaily[EntryDate],DATE(2026,1,27),tblDaily[WardCode],"FW")),"")</f>
        <v/>
      </c>
    </row>
    <row r="34">
      <c r="A34" s="12" t="n">
        <v>28</v>
      </c>
      <c r="B34" s="12">
        <f>IFERROR(IF(SUMIFS(tblDaily[Admissions],tblDaily[EntryDate],DATE(2026,1,28),tblDaily[WardCode],"FW")=0,"",SUMIFS(tblDaily[Admissions],tblDaily[EntryDate],DATE(2026,1,28),tblDaily[WardCode],"FW")),"")</f>
        <v/>
      </c>
      <c r="C34" s="12">
        <f>IFERROR(IF(SUMIFS(tblDaily[Discharges],tblDaily[EntryDate],DATE(2026,1,28),tblDaily[WardCode],"FW")=0,"",SUMIFS(tblDaily[Discharges],tblDaily[EntryDate],DATE(2026,1,28),tblDaily[WardCode],"FW")),"")</f>
        <v/>
      </c>
      <c r="D34" s="12">
        <f>IFERROR(IF(SUMIFS(tblDaily[Deaths],tblDaily[EntryDate],DATE(2026,1,28),tblDaily[WardCode],"FW")=0,"",SUMIFS(tblDaily[Deaths],tblDaily[EntryDate],DATE(2026,1,28),tblDaily[WardCode],"FW")),"")</f>
        <v/>
      </c>
      <c r="E34" s="12">
        <f>IFERROR(IF(SUMIFS(tblDaily[DeathsUnder24Hrs],tblDaily[EntryDate],DATE(2026,1,28),tblDaily[WardCode],"FW")=0,"",SUMIFS(tblDaily[DeathsUnder24Hrs],tblDaily[EntryDate],DATE(2026,1,28),tblDaily[WardCode],"FW")),"")</f>
        <v/>
      </c>
      <c r="F34" s="12">
        <f>IFERROR(IF(SUMIFS(tblDaily[TransfersIn],tblDaily[EntryDate],DATE(2026,1,28),tblDaily[WardCode],"FW")=0,"",SUMIFS(tblDaily[TransfersIn],tblDaily[EntryDate],DATE(2026,1,28),tblDaily[WardCode],"FW")),"")</f>
        <v/>
      </c>
      <c r="G34" s="12">
        <f>IFERROR(IF(SUMIFS(tblDaily[TransfersOut],tblDaily[EntryDate],DATE(2026,1,28),tblDaily[WardCode],"FW")=0,"",SUMIFS(tblDaily[TransfersOut],tblDaily[EntryDate],DATE(2026,1,28),tblDaily[WardCode],"FW")),"")</f>
        <v/>
      </c>
      <c r="H34" s="12">
        <f>IFERROR(IF(SUMIFS(tblDaily[Remaining],tblDaily[EntryDate],DATE(2026,1,28),tblDaily[WardCode],"FW")=0,"",SUMIFS(tblDaily[Remaining],tblDaily[EntryDate],DATE(2026,1,28),tblDaily[WardCode],"FW")),"")</f>
        <v/>
      </c>
    </row>
    <row r="35">
      <c r="A35" s="12" t="n">
        <v>29</v>
      </c>
      <c r="B35" s="12">
        <f>IFERROR(IF(SUMIFS(tblDaily[Admissions],tblDaily[EntryDate],DATE(2026,1,29),tblDaily[WardCode],"FW")=0,"",SUMIFS(tblDaily[Admissions],tblDaily[EntryDate],DATE(2026,1,29),tblDaily[WardCode],"FW")),"")</f>
        <v/>
      </c>
      <c r="C35" s="12">
        <f>IFERROR(IF(SUMIFS(tblDaily[Discharges],tblDaily[EntryDate],DATE(2026,1,29),tblDaily[WardCode],"FW")=0,"",SUMIFS(tblDaily[Discharges],tblDaily[EntryDate],DATE(2026,1,29),tblDaily[WardCode],"FW")),"")</f>
        <v/>
      </c>
      <c r="D35" s="12">
        <f>IFERROR(IF(SUMIFS(tblDaily[Deaths],tblDaily[EntryDate],DATE(2026,1,29),tblDaily[WardCode],"FW")=0,"",SUMIFS(tblDaily[Deaths],tblDaily[EntryDate],DATE(2026,1,29),tblDaily[WardCode],"FW")),"")</f>
        <v/>
      </c>
      <c r="E35" s="12">
        <f>IFERROR(IF(SUMIFS(tblDaily[DeathsUnder24Hrs],tblDaily[EntryDate],DATE(2026,1,29),tblDaily[WardCode],"FW")=0,"",SUMIFS(tblDaily[DeathsUnder24Hrs],tblDaily[EntryDate],DATE(2026,1,29),tblDaily[WardCode],"FW")),"")</f>
        <v/>
      </c>
      <c r="F35" s="12">
        <f>IFERROR(IF(SUMIFS(tblDaily[TransfersIn],tblDaily[EntryDate],DATE(2026,1,29),tblDaily[WardCode],"FW")=0,"",SUMIFS(tblDaily[TransfersIn],tblDaily[EntryDate],DATE(2026,1,29),tblDaily[WardCode],"FW")),"")</f>
        <v/>
      </c>
      <c r="G35" s="12">
        <f>IFERROR(IF(SUMIFS(tblDaily[TransfersOut],tblDaily[EntryDate],DATE(2026,1,29),tblDaily[WardCode],"FW")=0,"",SUMIFS(tblDaily[TransfersOut],tblDaily[EntryDate],DATE(2026,1,29),tblDaily[WardCode],"FW")),"")</f>
        <v/>
      </c>
      <c r="H35" s="12">
        <f>IFERROR(IF(SUMIFS(tblDaily[Remaining],tblDaily[EntryDate],DATE(2026,1,29),tblDaily[WardCode],"FW")=0,"",SUMIFS(tblDaily[Remaining],tblDaily[EntryDate],DATE(2026,1,29),tblDaily[WardCode],"FW")),"")</f>
        <v/>
      </c>
    </row>
    <row r="36">
      <c r="A36" s="12" t="n">
        <v>30</v>
      </c>
      <c r="B36" s="12">
        <f>IFERROR(IF(SUMIFS(tblDaily[Admissions],tblDaily[EntryDate],DATE(2026,1,30),tblDaily[WardCode],"FW")=0,"",SUMIFS(tblDaily[Admissions],tblDaily[EntryDate],DATE(2026,1,30),tblDaily[WardCode],"FW")),"")</f>
        <v/>
      </c>
      <c r="C36" s="12">
        <f>IFERROR(IF(SUMIFS(tblDaily[Discharges],tblDaily[EntryDate],DATE(2026,1,30),tblDaily[WardCode],"FW")=0,"",SUMIFS(tblDaily[Discharges],tblDaily[EntryDate],DATE(2026,1,30),tblDaily[WardCode],"FW")),"")</f>
        <v/>
      </c>
      <c r="D36" s="12">
        <f>IFERROR(IF(SUMIFS(tblDaily[Deaths],tblDaily[EntryDate],DATE(2026,1,30),tblDaily[WardCode],"FW")=0,"",SUMIFS(tblDaily[Deaths],tblDaily[EntryDate],DATE(2026,1,30),tblDaily[WardCode],"FW")),"")</f>
        <v/>
      </c>
      <c r="E36" s="12">
        <f>IFERROR(IF(SUMIFS(tblDaily[DeathsUnder24Hrs],tblDaily[EntryDate],DATE(2026,1,30),tblDaily[WardCode],"FW")=0,"",SUMIFS(tblDaily[DeathsUnder24Hrs],tblDaily[EntryDate],DATE(2026,1,30),tblDaily[WardCode],"FW")),"")</f>
        <v/>
      </c>
      <c r="F36" s="12">
        <f>IFERROR(IF(SUMIFS(tblDaily[TransfersIn],tblDaily[EntryDate],DATE(2026,1,30),tblDaily[WardCode],"FW")=0,"",SUMIFS(tblDaily[TransfersIn],tblDaily[EntryDate],DATE(2026,1,30),tblDaily[WardCode],"FW")),"")</f>
        <v/>
      </c>
      <c r="G36" s="12">
        <f>IFERROR(IF(SUMIFS(tblDaily[TransfersOut],tblDaily[EntryDate],DATE(2026,1,30),tblDaily[WardCode],"FW")=0,"",SUMIFS(tblDaily[TransfersOut],tblDaily[EntryDate],DATE(2026,1,30),tblDaily[WardCode],"FW")),"")</f>
        <v/>
      </c>
      <c r="H36" s="12">
        <f>IFERROR(IF(SUMIFS(tblDaily[Remaining],tblDaily[EntryDate],DATE(2026,1,30),tblDaily[WardCode],"FW")=0,"",SUMIFS(tblDaily[Remaining],tblDaily[EntryDate],DATE(2026,1,30),tblDaily[WardCode],"FW")),"")</f>
        <v/>
      </c>
    </row>
    <row r="37">
      <c r="A37" s="12" t="n">
        <v>31</v>
      </c>
      <c r="B37" s="12">
        <f>IFERROR(IF(SUMIFS(tblDaily[Admissions],tblDaily[EntryDate],DATE(2026,1,31),tblDaily[WardCode],"FW")=0,"",SUMIFS(tblDaily[Admissions],tblDaily[EntryDate],DATE(2026,1,31),tblDaily[WardCode],"FW")),"")</f>
        <v/>
      </c>
      <c r="C37" s="12">
        <f>IFERROR(IF(SUMIFS(tblDaily[Discharges],tblDaily[EntryDate],DATE(2026,1,31),tblDaily[WardCode],"FW")=0,"",SUMIFS(tblDaily[Discharges],tblDaily[EntryDate],DATE(2026,1,31),tblDaily[WardCode],"FW")),"")</f>
        <v/>
      </c>
      <c r="D37" s="12">
        <f>IFERROR(IF(SUMIFS(tblDaily[Deaths],tblDaily[EntryDate],DATE(2026,1,31),tblDaily[WardCode],"FW")=0,"",SUMIFS(tblDaily[Deaths],tblDaily[EntryDate],DATE(2026,1,31),tblDaily[WardCode],"FW")),"")</f>
        <v/>
      </c>
      <c r="E37" s="12">
        <f>IFERROR(IF(SUMIFS(tblDaily[DeathsUnder24Hrs],tblDaily[EntryDate],DATE(2026,1,31),tblDaily[WardCode],"FW")=0,"",SUMIFS(tblDaily[DeathsUnder24Hrs],tblDaily[EntryDate],DATE(2026,1,31),tblDaily[WardCode],"FW")),"")</f>
        <v/>
      </c>
      <c r="F37" s="12">
        <f>IFERROR(IF(SUMIFS(tblDaily[TransfersIn],tblDaily[EntryDate],DATE(2026,1,31),tblDaily[WardCode],"FW")=0,"",SUMIFS(tblDaily[TransfersIn],tblDaily[EntryDate],DATE(2026,1,31),tblDaily[WardCode],"FW")),"")</f>
        <v/>
      </c>
      <c r="G37" s="12">
        <f>IFERROR(IF(SUMIFS(tblDaily[TransfersOut],tblDaily[EntryDate],DATE(2026,1,31),tblDaily[WardCode],"FW")=0,"",SUMIFS(tblDaily[TransfersOut],tblDaily[EntryDate],DATE(2026,1,31),tblDaily[WardCode],"FW")),"")</f>
        <v/>
      </c>
      <c r="H37" s="12">
        <f>IFERROR(IF(SUMIFS(tblDaily[Remaining],tblDaily[EntryDate],DATE(2026,1,31),tblDaily[WardCode],"FW")=0,"",SUMIFS(tblDaily[Remaining],tblDaily[EntryDate],DATE(2026,1,31),tblDaily[WardCode],"FW")),"")</f>
        <v/>
      </c>
    </row>
    <row r="38">
      <c r="A38" s="17" t="inlineStr">
        <is>
          <t>TOTAL</t>
        </is>
      </c>
      <c r="B38" s="17">
        <f>SUMIFS(tblDaily[Admissions],tblDaily[Month],1,tblDaily[WardCode],"FW") - SUMIFS(tblDaily[DeathsUnder24Hrs],tblDaily[Month],1,tblDaily[WardCode],"FW")</f>
        <v/>
      </c>
      <c r="C38" s="17">
        <f>SUMIFS(tblDaily[Discharges],tblDaily[Month],1,tblDaily[WardCode],"FW")</f>
        <v/>
      </c>
      <c r="D38" s="17">
        <f>SUMIFS(tblDaily[Deaths],tblDaily[Month],1,tblDaily[WardCode],"FW")</f>
        <v/>
      </c>
      <c r="E38" s="17">
        <f>SUMIFS(tblDaily[DeathsUnder24Hrs],tblDaily[Month],1,tblDaily[WardCode],"FW")</f>
        <v/>
      </c>
      <c r="F38" s="17">
        <f>SUMIFS(tblDaily[TransfersIn],tblDaily[Month],1,tblDaily[WardCode],"FW")</f>
        <v/>
      </c>
      <c r="G38" s="17">
        <f>SUMIFS(tblDaily[TransfersOut],tblDaily[Month],1,tblDaily[WardCode],"FW")</f>
        <v/>
      </c>
      <c r="H38" s="17">
        <f>SUMIFS(tblDaily[Remaining],tblDaily[Month],1,tblDaily[WardCode],"FW")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FEMALE MEDICAL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4">
        <f>IFERROR(SUMIFS(tblDaily[Remaining],tblDaily[EntryDate],DATE(2026,1,31),tblDaily[WardCode],"FW"),0)</f>
        <v/>
      </c>
    </row>
    <row r="44">
      <c r="A44" s="4" t="inlineStr">
        <is>
          <t>Bed complement</t>
        </is>
      </c>
      <c r="H44" s="15">
        <f>IFERROR(INDEX(tblWardConfig[BedComplement],MATCH("FW",tblWardConfig[WardCode],0)),0)</f>
        <v/>
      </c>
    </row>
    <row r="45">
      <c r="A45" s="16" t="inlineStr">
        <is>
          <t>Day of
the
Month</t>
        </is>
      </c>
      <c r="B45" s="16" t="inlineStr">
        <is>
          <t>Admissions</t>
        </is>
      </c>
      <c r="C45" s="16" t="inlineStr">
        <is>
          <t>Discharges</t>
        </is>
      </c>
      <c r="D45" s="16" t="inlineStr">
        <is>
          <t>Deaths</t>
        </is>
      </c>
      <c r="E45" s="16" t="inlineStr">
        <is>
          <t>Deaths
&lt;24Hrs</t>
        </is>
      </c>
      <c r="F45" s="16" t="inlineStr">
        <is>
          <t>Transfers-
In</t>
        </is>
      </c>
      <c r="G45" s="16" t="inlineStr">
        <is>
          <t>Transfers-
Out</t>
        </is>
      </c>
      <c r="H45" s="16" t="inlineStr">
        <is>
          <t>No. of Patients
Remaining In
Ward</t>
        </is>
      </c>
    </row>
    <row r="46">
      <c r="A46" s="12" t="n">
        <v>1</v>
      </c>
      <c r="B46" s="12">
        <f>IFERROR(IF(SUMIFS(tblDaily[Admissions],tblDaily[EntryDate],DATE(2026,2,1),tblDaily[WardCode],"FW")=0,"",SUMIFS(tblDaily[Admissions],tblDaily[EntryDate],DATE(2026,2,1),tblDaily[WardCode],"FW")),"")</f>
        <v/>
      </c>
      <c r="C46" s="12">
        <f>IFERROR(IF(SUMIFS(tblDaily[Discharges],tblDaily[EntryDate],DATE(2026,2,1),tblDaily[WardCode],"FW")=0,"",SUMIFS(tblDaily[Discharges],tblDaily[EntryDate],DATE(2026,2,1),tblDaily[WardCode],"FW")),"")</f>
        <v/>
      </c>
      <c r="D46" s="12">
        <f>IFERROR(IF(SUMIFS(tblDaily[Deaths],tblDaily[EntryDate],DATE(2026,2,1),tblDaily[WardCode],"FW")=0,"",SUMIFS(tblDaily[Deaths],tblDaily[EntryDate],DATE(2026,2,1),tblDaily[WardCode],"FW")),"")</f>
        <v/>
      </c>
      <c r="E46" s="12">
        <f>IFERROR(IF(SUMIFS(tblDaily[DeathsUnder24Hrs],tblDaily[EntryDate],DATE(2026,2,1),tblDaily[WardCode],"FW")=0,"",SUMIFS(tblDaily[DeathsUnder24Hrs],tblDaily[EntryDate],DATE(2026,2,1),tblDaily[WardCode],"FW")),"")</f>
        <v/>
      </c>
      <c r="F46" s="12">
        <f>IFERROR(IF(SUMIFS(tblDaily[TransfersIn],tblDaily[EntryDate],DATE(2026,2,1),tblDaily[WardCode],"FW")=0,"",SUMIFS(tblDaily[TransfersIn],tblDaily[EntryDate],DATE(2026,2,1),tblDaily[WardCode],"FW")),"")</f>
        <v/>
      </c>
      <c r="G46" s="12">
        <f>IFERROR(IF(SUMIFS(tblDaily[TransfersOut],tblDaily[EntryDate],DATE(2026,2,1),tblDaily[WardCode],"FW")=0,"",SUMIFS(tblDaily[TransfersOut],tblDaily[EntryDate],DATE(2026,2,1),tblDaily[WardCode],"FW")),"")</f>
        <v/>
      </c>
      <c r="H46" s="12">
        <f>IFERROR(IF(SUMIFS(tblDaily[Remaining],tblDaily[EntryDate],DATE(2026,2,1),tblDaily[WardCode],"FW")=0,"",SUMIFS(tblDaily[Remaining],tblDaily[EntryDate],DATE(2026,2,1),tblDaily[WardCode],"FW")),"")</f>
        <v/>
      </c>
    </row>
    <row r="47">
      <c r="A47" s="12" t="n">
        <v>2</v>
      </c>
      <c r="B47" s="12">
        <f>IFERROR(IF(SUMIFS(tblDaily[Admissions],tblDaily[EntryDate],DATE(2026,2,2),tblDaily[WardCode],"FW")=0,"",SUMIFS(tblDaily[Admissions],tblDaily[EntryDate],DATE(2026,2,2),tblDaily[WardCode],"FW")),"")</f>
        <v/>
      </c>
      <c r="C47" s="12">
        <f>IFERROR(IF(SUMIFS(tblDaily[Discharges],tblDaily[EntryDate],DATE(2026,2,2),tblDaily[WardCode],"FW")=0,"",SUMIFS(tblDaily[Discharges],tblDaily[EntryDate],DATE(2026,2,2),tblDaily[WardCode],"FW")),"")</f>
        <v/>
      </c>
      <c r="D47" s="12">
        <f>IFERROR(IF(SUMIFS(tblDaily[Deaths],tblDaily[EntryDate],DATE(2026,2,2),tblDaily[WardCode],"FW")=0,"",SUMIFS(tblDaily[Deaths],tblDaily[EntryDate],DATE(2026,2,2),tblDaily[WardCode],"FW")),"")</f>
        <v/>
      </c>
      <c r="E47" s="12">
        <f>IFERROR(IF(SUMIFS(tblDaily[DeathsUnder24Hrs],tblDaily[EntryDate],DATE(2026,2,2),tblDaily[WardCode],"FW")=0,"",SUMIFS(tblDaily[DeathsUnder24Hrs],tblDaily[EntryDate],DATE(2026,2,2),tblDaily[WardCode],"FW")),"")</f>
        <v/>
      </c>
      <c r="F47" s="12">
        <f>IFERROR(IF(SUMIFS(tblDaily[TransfersIn],tblDaily[EntryDate],DATE(2026,2,2),tblDaily[WardCode],"FW")=0,"",SUMIFS(tblDaily[TransfersIn],tblDaily[EntryDate],DATE(2026,2,2),tblDaily[WardCode],"FW")),"")</f>
        <v/>
      </c>
      <c r="G47" s="12">
        <f>IFERROR(IF(SUMIFS(tblDaily[TransfersOut],tblDaily[EntryDate],DATE(2026,2,2),tblDaily[WardCode],"FW")=0,"",SUMIFS(tblDaily[TransfersOut],tblDaily[EntryDate],DATE(2026,2,2),tblDaily[WardCode],"FW")),"")</f>
        <v/>
      </c>
      <c r="H47" s="12">
        <f>IFERROR(IF(SUMIFS(tblDaily[Remaining],tblDaily[EntryDate],DATE(2026,2,2),tblDaily[WardCode],"FW")=0,"",SUMIFS(tblDaily[Remaining],tblDaily[EntryDate],DATE(2026,2,2),tblDaily[WardCode],"FW")),"")</f>
        <v/>
      </c>
    </row>
    <row r="48">
      <c r="A48" s="12" t="n">
        <v>3</v>
      </c>
      <c r="B48" s="12">
        <f>IFERROR(IF(SUMIFS(tblDaily[Admissions],tblDaily[EntryDate],DATE(2026,2,3),tblDaily[WardCode],"FW")=0,"",SUMIFS(tblDaily[Admissions],tblDaily[EntryDate],DATE(2026,2,3),tblDaily[WardCode],"FW")),"")</f>
        <v/>
      </c>
      <c r="C48" s="12">
        <f>IFERROR(IF(SUMIFS(tblDaily[Discharges],tblDaily[EntryDate],DATE(2026,2,3),tblDaily[WardCode],"FW")=0,"",SUMIFS(tblDaily[Discharges],tblDaily[EntryDate],DATE(2026,2,3),tblDaily[WardCode],"FW")),"")</f>
        <v/>
      </c>
      <c r="D48" s="12">
        <f>IFERROR(IF(SUMIFS(tblDaily[Deaths],tblDaily[EntryDate],DATE(2026,2,3),tblDaily[WardCode],"FW")=0,"",SUMIFS(tblDaily[Deaths],tblDaily[EntryDate],DATE(2026,2,3),tblDaily[WardCode],"FW")),"")</f>
        <v/>
      </c>
      <c r="E48" s="12">
        <f>IFERROR(IF(SUMIFS(tblDaily[DeathsUnder24Hrs],tblDaily[EntryDate],DATE(2026,2,3),tblDaily[WardCode],"FW")=0,"",SUMIFS(tblDaily[DeathsUnder24Hrs],tblDaily[EntryDate],DATE(2026,2,3),tblDaily[WardCode],"FW")),"")</f>
        <v/>
      </c>
      <c r="F48" s="12">
        <f>IFERROR(IF(SUMIFS(tblDaily[TransfersIn],tblDaily[EntryDate],DATE(2026,2,3),tblDaily[WardCode],"FW")=0,"",SUMIFS(tblDaily[TransfersIn],tblDaily[EntryDate],DATE(2026,2,3),tblDaily[WardCode],"FW")),"")</f>
        <v/>
      </c>
      <c r="G48" s="12">
        <f>IFERROR(IF(SUMIFS(tblDaily[TransfersOut],tblDaily[EntryDate],DATE(2026,2,3),tblDaily[WardCode],"FW")=0,"",SUMIFS(tblDaily[TransfersOut],tblDaily[EntryDate],DATE(2026,2,3),tblDaily[WardCode],"FW")),"")</f>
        <v/>
      </c>
      <c r="H48" s="12">
        <f>IFERROR(IF(SUMIFS(tblDaily[Remaining],tblDaily[EntryDate],DATE(2026,2,3),tblDaily[WardCode],"FW")=0,"",SUMIFS(tblDaily[Remaining],tblDaily[EntryDate],DATE(2026,2,3),tblDaily[WardCode],"FW")),"")</f>
        <v/>
      </c>
    </row>
    <row r="49">
      <c r="A49" s="12" t="n">
        <v>4</v>
      </c>
      <c r="B49" s="12">
        <f>IFERROR(IF(SUMIFS(tblDaily[Admissions],tblDaily[EntryDate],DATE(2026,2,4),tblDaily[WardCode],"FW")=0,"",SUMIFS(tblDaily[Admissions],tblDaily[EntryDate],DATE(2026,2,4),tblDaily[WardCode],"FW")),"")</f>
        <v/>
      </c>
      <c r="C49" s="12">
        <f>IFERROR(IF(SUMIFS(tblDaily[Discharges],tblDaily[EntryDate],DATE(2026,2,4),tblDaily[WardCode],"FW")=0,"",SUMIFS(tblDaily[Discharges],tblDaily[EntryDate],DATE(2026,2,4),tblDaily[WardCode],"FW")),"")</f>
        <v/>
      </c>
      <c r="D49" s="12">
        <f>IFERROR(IF(SUMIFS(tblDaily[Deaths],tblDaily[EntryDate],DATE(2026,2,4),tblDaily[WardCode],"FW")=0,"",SUMIFS(tblDaily[Deaths],tblDaily[EntryDate],DATE(2026,2,4),tblDaily[WardCode],"FW")),"")</f>
        <v/>
      </c>
      <c r="E49" s="12">
        <f>IFERROR(IF(SUMIFS(tblDaily[DeathsUnder24Hrs],tblDaily[EntryDate],DATE(2026,2,4),tblDaily[WardCode],"FW")=0,"",SUMIFS(tblDaily[DeathsUnder24Hrs],tblDaily[EntryDate],DATE(2026,2,4),tblDaily[WardCode],"FW")),"")</f>
        <v/>
      </c>
      <c r="F49" s="12">
        <f>IFERROR(IF(SUMIFS(tblDaily[TransfersIn],tblDaily[EntryDate],DATE(2026,2,4),tblDaily[WardCode],"FW")=0,"",SUMIFS(tblDaily[TransfersIn],tblDaily[EntryDate],DATE(2026,2,4),tblDaily[WardCode],"FW")),"")</f>
        <v/>
      </c>
      <c r="G49" s="12">
        <f>IFERROR(IF(SUMIFS(tblDaily[TransfersOut],tblDaily[EntryDate],DATE(2026,2,4),tblDaily[WardCode],"FW")=0,"",SUMIFS(tblDaily[TransfersOut],tblDaily[EntryDate],DATE(2026,2,4),tblDaily[WardCode],"FW")),"")</f>
        <v/>
      </c>
      <c r="H49" s="12">
        <f>IFERROR(IF(SUMIFS(tblDaily[Remaining],tblDaily[EntryDate],DATE(2026,2,4),tblDaily[WardCode],"FW")=0,"",SUMIFS(tblDaily[Remaining],tblDaily[EntryDate],DATE(2026,2,4),tblDaily[WardCode],"FW")),"")</f>
        <v/>
      </c>
    </row>
    <row r="50">
      <c r="A50" s="12" t="n">
        <v>5</v>
      </c>
      <c r="B50" s="12">
        <f>IFERROR(IF(SUMIFS(tblDaily[Admissions],tblDaily[EntryDate],DATE(2026,2,5),tblDaily[WardCode],"FW")=0,"",SUMIFS(tblDaily[Admissions],tblDaily[EntryDate],DATE(2026,2,5),tblDaily[WardCode],"FW")),"")</f>
        <v/>
      </c>
      <c r="C50" s="12">
        <f>IFERROR(IF(SUMIFS(tblDaily[Discharges],tblDaily[EntryDate],DATE(2026,2,5),tblDaily[WardCode],"FW")=0,"",SUMIFS(tblDaily[Discharges],tblDaily[EntryDate],DATE(2026,2,5),tblDaily[WardCode],"FW")),"")</f>
        <v/>
      </c>
      <c r="D50" s="12">
        <f>IFERROR(IF(SUMIFS(tblDaily[Deaths],tblDaily[EntryDate],DATE(2026,2,5),tblDaily[WardCode],"FW")=0,"",SUMIFS(tblDaily[Deaths],tblDaily[EntryDate],DATE(2026,2,5),tblDaily[WardCode],"FW")),"")</f>
        <v/>
      </c>
      <c r="E50" s="12">
        <f>IFERROR(IF(SUMIFS(tblDaily[DeathsUnder24Hrs],tblDaily[EntryDate],DATE(2026,2,5),tblDaily[WardCode],"FW")=0,"",SUMIFS(tblDaily[DeathsUnder24Hrs],tblDaily[EntryDate],DATE(2026,2,5),tblDaily[WardCode],"FW")),"")</f>
        <v/>
      </c>
      <c r="F50" s="12">
        <f>IFERROR(IF(SUMIFS(tblDaily[TransfersIn],tblDaily[EntryDate],DATE(2026,2,5),tblDaily[WardCode],"FW")=0,"",SUMIFS(tblDaily[TransfersIn],tblDaily[EntryDate],DATE(2026,2,5),tblDaily[WardCode],"FW")),"")</f>
        <v/>
      </c>
      <c r="G50" s="12">
        <f>IFERROR(IF(SUMIFS(tblDaily[TransfersOut],tblDaily[EntryDate],DATE(2026,2,5),tblDaily[WardCode],"FW")=0,"",SUMIFS(tblDaily[TransfersOut],tblDaily[EntryDate],DATE(2026,2,5),tblDaily[WardCode],"FW")),"")</f>
        <v/>
      </c>
      <c r="H50" s="12">
        <f>IFERROR(IF(SUMIFS(tblDaily[Remaining],tblDaily[EntryDate],DATE(2026,2,5),tblDaily[WardCode],"FW")=0,"",SUMIFS(tblDaily[Remaining],tblDaily[EntryDate],DATE(2026,2,5),tblDaily[WardCode],"FW")),"")</f>
        <v/>
      </c>
    </row>
    <row r="51">
      <c r="A51" s="12" t="n">
        <v>6</v>
      </c>
      <c r="B51" s="12">
        <f>IFERROR(IF(SUMIFS(tblDaily[Admissions],tblDaily[EntryDate],DATE(2026,2,6),tblDaily[WardCode],"FW")=0,"",SUMIFS(tblDaily[Admissions],tblDaily[EntryDate],DATE(2026,2,6),tblDaily[WardCode],"FW")),"")</f>
        <v/>
      </c>
      <c r="C51" s="12">
        <f>IFERROR(IF(SUMIFS(tblDaily[Discharges],tblDaily[EntryDate],DATE(2026,2,6),tblDaily[WardCode],"FW")=0,"",SUMIFS(tblDaily[Discharges],tblDaily[EntryDate],DATE(2026,2,6),tblDaily[WardCode],"FW")),"")</f>
        <v/>
      </c>
      <c r="D51" s="12">
        <f>IFERROR(IF(SUMIFS(tblDaily[Deaths],tblDaily[EntryDate],DATE(2026,2,6),tblDaily[WardCode],"FW")=0,"",SUMIFS(tblDaily[Deaths],tblDaily[EntryDate],DATE(2026,2,6),tblDaily[WardCode],"FW")),"")</f>
        <v/>
      </c>
      <c r="E51" s="12">
        <f>IFERROR(IF(SUMIFS(tblDaily[DeathsUnder24Hrs],tblDaily[EntryDate],DATE(2026,2,6),tblDaily[WardCode],"FW")=0,"",SUMIFS(tblDaily[DeathsUnder24Hrs],tblDaily[EntryDate],DATE(2026,2,6),tblDaily[WardCode],"FW")),"")</f>
        <v/>
      </c>
      <c r="F51" s="12">
        <f>IFERROR(IF(SUMIFS(tblDaily[TransfersIn],tblDaily[EntryDate],DATE(2026,2,6),tblDaily[WardCode],"FW")=0,"",SUMIFS(tblDaily[TransfersIn],tblDaily[EntryDate],DATE(2026,2,6),tblDaily[WardCode],"FW")),"")</f>
        <v/>
      </c>
      <c r="G51" s="12">
        <f>IFERROR(IF(SUMIFS(tblDaily[TransfersOut],tblDaily[EntryDate],DATE(2026,2,6),tblDaily[WardCode],"FW")=0,"",SUMIFS(tblDaily[TransfersOut],tblDaily[EntryDate],DATE(2026,2,6),tblDaily[WardCode],"FW")),"")</f>
        <v/>
      </c>
      <c r="H51" s="12">
        <f>IFERROR(IF(SUMIFS(tblDaily[Remaining],tblDaily[EntryDate],DATE(2026,2,6),tblDaily[WardCode],"FW")=0,"",SUMIFS(tblDaily[Remaining],tblDaily[EntryDate],DATE(2026,2,6),tblDaily[WardCode],"FW")),"")</f>
        <v/>
      </c>
    </row>
    <row r="52">
      <c r="A52" s="12" t="n">
        <v>7</v>
      </c>
      <c r="B52" s="12">
        <f>IFERROR(IF(SUMIFS(tblDaily[Admissions],tblDaily[EntryDate],DATE(2026,2,7),tblDaily[WardCode],"FW")=0,"",SUMIFS(tblDaily[Admissions],tblDaily[EntryDate],DATE(2026,2,7),tblDaily[WardCode],"FW")),"")</f>
        <v/>
      </c>
      <c r="C52" s="12">
        <f>IFERROR(IF(SUMIFS(tblDaily[Discharges],tblDaily[EntryDate],DATE(2026,2,7),tblDaily[WardCode],"FW")=0,"",SUMIFS(tblDaily[Discharges],tblDaily[EntryDate],DATE(2026,2,7),tblDaily[WardCode],"FW")),"")</f>
        <v/>
      </c>
      <c r="D52" s="12">
        <f>IFERROR(IF(SUMIFS(tblDaily[Deaths],tblDaily[EntryDate],DATE(2026,2,7),tblDaily[WardCode],"FW")=0,"",SUMIFS(tblDaily[Deaths],tblDaily[EntryDate],DATE(2026,2,7),tblDaily[WardCode],"FW")),"")</f>
        <v/>
      </c>
      <c r="E52" s="12">
        <f>IFERROR(IF(SUMIFS(tblDaily[DeathsUnder24Hrs],tblDaily[EntryDate],DATE(2026,2,7),tblDaily[WardCode],"FW")=0,"",SUMIFS(tblDaily[DeathsUnder24Hrs],tblDaily[EntryDate],DATE(2026,2,7),tblDaily[WardCode],"FW")),"")</f>
        <v/>
      </c>
      <c r="F52" s="12">
        <f>IFERROR(IF(SUMIFS(tblDaily[TransfersIn],tblDaily[EntryDate],DATE(2026,2,7),tblDaily[WardCode],"FW")=0,"",SUMIFS(tblDaily[TransfersIn],tblDaily[EntryDate],DATE(2026,2,7),tblDaily[WardCode],"FW")),"")</f>
        <v/>
      </c>
      <c r="G52" s="12">
        <f>IFERROR(IF(SUMIFS(tblDaily[TransfersOut],tblDaily[EntryDate],DATE(2026,2,7),tblDaily[WardCode],"FW")=0,"",SUMIFS(tblDaily[TransfersOut],tblDaily[EntryDate],DATE(2026,2,7),tblDaily[WardCode],"FW")),"")</f>
        <v/>
      </c>
      <c r="H52" s="12">
        <f>IFERROR(IF(SUMIFS(tblDaily[Remaining],tblDaily[EntryDate],DATE(2026,2,7),tblDaily[WardCode],"FW")=0,"",SUMIFS(tblDaily[Remaining],tblDaily[EntryDate],DATE(2026,2,7),tblDaily[WardCode],"FW")),"")</f>
        <v/>
      </c>
    </row>
    <row r="53">
      <c r="A53" s="12" t="n">
        <v>8</v>
      </c>
      <c r="B53" s="12">
        <f>IFERROR(IF(SUMIFS(tblDaily[Admissions],tblDaily[EntryDate],DATE(2026,2,8),tblDaily[WardCode],"FW")=0,"",SUMIFS(tblDaily[Admissions],tblDaily[EntryDate],DATE(2026,2,8),tblDaily[WardCode],"FW")),"")</f>
        <v/>
      </c>
      <c r="C53" s="12">
        <f>IFERROR(IF(SUMIFS(tblDaily[Discharges],tblDaily[EntryDate],DATE(2026,2,8),tblDaily[WardCode],"FW")=0,"",SUMIFS(tblDaily[Discharges],tblDaily[EntryDate],DATE(2026,2,8),tblDaily[WardCode],"FW")),"")</f>
        <v/>
      </c>
      <c r="D53" s="12">
        <f>IFERROR(IF(SUMIFS(tblDaily[Deaths],tblDaily[EntryDate],DATE(2026,2,8),tblDaily[WardCode],"FW")=0,"",SUMIFS(tblDaily[Deaths],tblDaily[EntryDate],DATE(2026,2,8),tblDaily[WardCode],"FW")),"")</f>
        <v/>
      </c>
      <c r="E53" s="12">
        <f>IFERROR(IF(SUMIFS(tblDaily[DeathsUnder24Hrs],tblDaily[EntryDate],DATE(2026,2,8),tblDaily[WardCode],"FW")=0,"",SUMIFS(tblDaily[DeathsUnder24Hrs],tblDaily[EntryDate],DATE(2026,2,8),tblDaily[WardCode],"FW")),"")</f>
        <v/>
      </c>
      <c r="F53" s="12">
        <f>IFERROR(IF(SUMIFS(tblDaily[TransfersIn],tblDaily[EntryDate],DATE(2026,2,8),tblDaily[WardCode],"FW")=0,"",SUMIFS(tblDaily[TransfersIn],tblDaily[EntryDate],DATE(2026,2,8),tblDaily[WardCode],"FW")),"")</f>
        <v/>
      </c>
      <c r="G53" s="12">
        <f>IFERROR(IF(SUMIFS(tblDaily[TransfersOut],tblDaily[EntryDate],DATE(2026,2,8),tblDaily[WardCode],"FW")=0,"",SUMIFS(tblDaily[TransfersOut],tblDaily[EntryDate],DATE(2026,2,8),tblDaily[WardCode],"FW")),"")</f>
        <v/>
      </c>
      <c r="H53" s="12">
        <f>IFERROR(IF(SUMIFS(tblDaily[Remaining],tblDaily[EntryDate],DATE(2026,2,8),tblDaily[WardCode],"FW")=0,"",SUMIFS(tblDaily[Remaining],tblDaily[EntryDate],DATE(2026,2,8),tblDaily[WardCode],"FW")),"")</f>
        <v/>
      </c>
    </row>
    <row r="54">
      <c r="A54" s="12" t="n">
        <v>9</v>
      </c>
      <c r="B54" s="12">
        <f>IFERROR(IF(SUMIFS(tblDaily[Admissions],tblDaily[EntryDate],DATE(2026,2,9),tblDaily[WardCode],"FW")=0,"",SUMIFS(tblDaily[Admissions],tblDaily[EntryDate],DATE(2026,2,9),tblDaily[WardCode],"FW")),"")</f>
        <v/>
      </c>
      <c r="C54" s="12">
        <f>IFERROR(IF(SUMIFS(tblDaily[Discharges],tblDaily[EntryDate],DATE(2026,2,9),tblDaily[WardCode],"FW")=0,"",SUMIFS(tblDaily[Discharges],tblDaily[EntryDate],DATE(2026,2,9),tblDaily[WardCode],"FW")),"")</f>
        <v/>
      </c>
      <c r="D54" s="12">
        <f>IFERROR(IF(SUMIFS(tblDaily[Deaths],tblDaily[EntryDate],DATE(2026,2,9),tblDaily[WardCode],"FW")=0,"",SUMIFS(tblDaily[Deaths],tblDaily[EntryDate],DATE(2026,2,9),tblDaily[WardCode],"FW")),"")</f>
        <v/>
      </c>
      <c r="E54" s="12">
        <f>IFERROR(IF(SUMIFS(tblDaily[DeathsUnder24Hrs],tblDaily[EntryDate],DATE(2026,2,9),tblDaily[WardCode],"FW")=0,"",SUMIFS(tblDaily[DeathsUnder24Hrs],tblDaily[EntryDate],DATE(2026,2,9),tblDaily[WardCode],"FW")),"")</f>
        <v/>
      </c>
      <c r="F54" s="12">
        <f>IFERROR(IF(SUMIFS(tblDaily[TransfersIn],tblDaily[EntryDate],DATE(2026,2,9),tblDaily[WardCode],"FW")=0,"",SUMIFS(tblDaily[TransfersIn],tblDaily[EntryDate],DATE(2026,2,9),tblDaily[WardCode],"FW")),"")</f>
        <v/>
      </c>
      <c r="G54" s="12">
        <f>IFERROR(IF(SUMIFS(tblDaily[TransfersOut],tblDaily[EntryDate],DATE(2026,2,9),tblDaily[WardCode],"FW")=0,"",SUMIFS(tblDaily[TransfersOut],tblDaily[EntryDate],DATE(2026,2,9),tblDaily[WardCode],"FW")),"")</f>
        <v/>
      </c>
      <c r="H54" s="12">
        <f>IFERROR(IF(SUMIFS(tblDaily[Remaining],tblDaily[EntryDate],DATE(2026,2,9),tblDaily[WardCode],"FW")=0,"",SUMIFS(tblDaily[Remaining],tblDaily[EntryDate],DATE(2026,2,9),tblDaily[WardCode],"FW")),"")</f>
        <v/>
      </c>
    </row>
    <row r="55">
      <c r="A55" s="12" t="n">
        <v>10</v>
      </c>
      <c r="B55" s="12">
        <f>IFERROR(IF(SUMIFS(tblDaily[Admissions],tblDaily[EntryDate],DATE(2026,2,10),tblDaily[WardCode],"FW")=0,"",SUMIFS(tblDaily[Admissions],tblDaily[EntryDate],DATE(2026,2,10),tblDaily[WardCode],"FW")),"")</f>
        <v/>
      </c>
      <c r="C55" s="12">
        <f>IFERROR(IF(SUMIFS(tblDaily[Discharges],tblDaily[EntryDate],DATE(2026,2,10),tblDaily[WardCode],"FW")=0,"",SUMIFS(tblDaily[Discharges],tblDaily[EntryDate],DATE(2026,2,10),tblDaily[WardCode],"FW")),"")</f>
        <v/>
      </c>
      <c r="D55" s="12">
        <f>IFERROR(IF(SUMIFS(tblDaily[Deaths],tblDaily[EntryDate],DATE(2026,2,10),tblDaily[WardCode],"FW")=0,"",SUMIFS(tblDaily[Deaths],tblDaily[EntryDate],DATE(2026,2,10),tblDaily[WardCode],"FW")),"")</f>
        <v/>
      </c>
      <c r="E55" s="12">
        <f>IFERROR(IF(SUMIFS(tblDaily[DeathsUnder24Hrs],tblDaily[EntryDate],DATE(2026,2,10),tblDaily[WardCode],"FW")=0,"",SUMIFS(tblDaily[DeathsUnder24Hrs],tblDaily[EntryDate],DATE(2026,2,10),tblDaily[WardCode],"FW")),"")</f>
        <v/>
      </c>
      <c r="F55" s="12">
        <f>IFERROR(IF(SUMIFS(tblDaily[TransfersIn],tblDaily[EntryDate],DATE(2026,2,10),tblDaily[WardCode],"FW")=0,"",SUMIFS(tblDaily[TransfersIn],tblDaily[EntryDate],DATE(2026,2,10),tblDaily[WardCode],"FW")),"")</f>
        <v/>
      </c>
      <c r="G55" s="12">
        <f>IFERROR(IF(SUMIFS(tblDaily[TransfersOut],tblDaily[EntryDate],DATE(2026,2,10),tblDaily[WardCode],"FW")=0,"",SUMIFS(tblDaily[TransfersOut],tblDaily[EntryDate],DATE(2026,2,10),tblDaily[WardCode],"FW")),"")</f>
        <v/>
      </c>
      <c r="H55" s="12">
        <f>IFERROR(IF(SUMIFS(tblDaily[Remaining],tblDaily[EntryDate],DATE(2026,2,10),tblDaily[WardCode],"FW")=0,"",SUMIFS(tblDaily[Remaining],tblDaily[EntryDate],DATE(2026,2,10),tblDaily[WardCode],"FW")),"")</f>
        <v/>
      </c>
    </row>
    <row r="56">
      <c r="A56" s="12" t="n">
        <v>11</v>
      </c>
      <c r="B56" s="12">
        <f>IFERROR(IF(SUMIFS(tblDaily[Admissions],tblDaily[EntryDate],DATE(2026,2,11),tblDaily[WardCode],"FW")=0,"",SUMIFS(tblDaily[Admissions],tblDaily[EntryDate],DATE(2026,2,11),tblDaily[WardCode],"FW")),"")</f>
        <v/>
      </c>
      <c r="C56" s="12">
        <f>IFERROR(IF(SUMIFS(tblDaily[Discharges],tblDaily[EntryDate],DATE(2026,2,11),tblDaily[WardCode],"FW")=0,"",SUMIFS(tblDaily[Discharges],tblDaily[EntryDate],DATE(2026,2,11),tblDaily[WardCode],"FW")),"")</f>
        <v/>
      </c>
      <c r="D56" s="12">
        <f>IFERROR(IF(SUMIFS(tblDaily[Deaths],tblDaily[EntryDate],DATE(2026,2,11),tblDaily[WardCode],"FW")=0,"",SUMIFS(tblDaily[Deaths],tblDaily[EntryDate],DATE(2026,2,11),tblDaily[WardCode],"FW")),"")</f>
        <v/>
      </c>
      <c r="E56" s="12">
        <f>IFERROR(IF(SUMIFS(tblDaily[DeathsUnder24Hrs],tblDaily[EntryDate],DATE(2026,2,11),tblDaily[WardCode],"FW")=0,"",SUMIFS(tblDaily[DeathsUnder24Hrs],tblDaily[EntryDate],DATE(2026,2,11),tblDaily[WardCode],"FW")),"")</f>
        <v/>
      </c>
      <c r="F56" s="12">
        <f>IFERROR(IF(SUMIFS(tblDaily[TransfersIn],tblDaily[EntryDate],DATE(2026,2,11),tblDaily[WardCode],"FW")=0,"",SUMIFS(tblDaily[TransfersIn],tblDaily[EntryDate],DATE(2026,2,11),tblDaily[WardCode],"FW")),"")</f>
        <v/>
      </c>
      <c r="G56" s="12">
        <f>IFERROR(IF(SUMIFS(tblDaily[TransfersOut],tblDaily[EntryDate],DATE(2026,2,11),tblDaily[WardCode],"FW")=0,"",SUMIFS(tblDaily[TransfersOut],tblDaily[EntryDate],DATE(2026,2,11),tblDaily[WardCode],"FW")),"")</f>
        <v/>
      </c>
      <c r="H56" s="12">
        <f>IFERROR(IF(SUMIFS(tblDaily[Remaining],tblDaily[EntryDate],DATE(2026,2,11),tblDaily[WardCode],"FW")=0,"",SUMIFS(tblDaily[Remaining],tblDaily[EntryDate],DATE(2026,2,11),tblDaily[WardCode],"FW")),"")</f>
        <v/>
      </c>
    </row>
    <row r="57">
      <c r="A57" s="12" t="n">
        <v>12</v>
      </c>
      <c r="B57" s="12">
        <f>IFERROR(IF(SUMIFS(tblDaily[Admissions],tblDaily[EntryDate],DATE(2026,2,12),tblDaily[WardCode],"FW")=0,"",SUMIFS(tblDaily[Admissions],tblDaily[EntryDate],DATE(2026,2,12),tblDaily[WardCode],"FW")),"")</f>
        <v/>
      </c>
      <c r="C57" s="12">
        <f>IFERROR(IF(SUMIFS(tblDaily[Discharges],tblDaily[EntryDate],DATE(2026,2,12),tblDaily[WardCode],"FW")=0,"",SUMIFS(tblDaily[Discharges],tblDaily[EntryDate],DATE(2026,2,12),tblDaily[WardCode],"FW")),"")</f>
        <v/>
      </c>
      <c r="D57" s="12">
        <f>IFERROR(IF(SUMIFS(tblDaily[Deaths],tblDaily[EntryDate],DATE(2026,2,12),tblDaily[WardCode],"FW")=0,"",SUMIFS(tblDaily[Deaths],tblDaily[EntryDate],DATE(2026,2,12),tblDaily[WardCode],"FW")),"")</f>
        <v/>
      </c>
      <c r="E57" s="12">
        <f>IFERROR(IF(SUMIFS(tblDaily[DeathsUnder24Hrs],tblDaily[EntryDate],DATE(2026,2,12),tblDaily[WardCode],"FW")=0,"",SUMIFS(tblDaily[DeathsUnder24Hrs],tblDaily[EntryDate],DATE(2026,2,12),tblDaily[WardCode],"FW")),"")</f>
        <v/>
      </c>
      <c r="F57" s="12">
        <f>IFERROR(IF(SUMIFS(tblDaily[TransfersIn],tblDaily[EntryDate],DATE(2026,2,12),tblDaily[WardCode],"FW")=0,"",SUMIFS(tblDaily[TransfersIn],tblDaily[EntryDate],DATE(2026,2,12),tblDaily[WardCode],"FW")),"")</f>
        <v/>
      </c>
      <c r="G57" s="12">
        <f>IFERROR(IF(SUMIFS(tblDaily[TransfersOut],tblDaily[EntryDate],DATE(2026,2,12),tblDaily[WardCode],"FW")=0,"",SUMIFS(tblDaily[TransfersOut],tblDaily[EntryDate],DATE(2026,2,12),tblDaily[WardCode],"FW")),"")</f>
        <v/>
      </c>
      <c r="H57" s="12">
        <f>IFERROR(IF(SUMIFS(tblDaily[Remaining],tblDaily[EntryDate],DATE(2026,2,12),tblDaily[WardCode],"FW")=0,"",SUMIFS(tblDaily[Remaining],tblDaily[EntryDate],DATE(2026,2,12),tblDaily[WardCode],"FW")),"")</f>
        <v/>
      </c>
    </row>
    <row r="58">
      <c r="A58" s="12" t="n">
        <v>13</v>
      </c>
      <c r="B58" s="12">
        <f>IFERROR(IF(SUMIFS(tblDaily[Admissions],tblDaily[EntryDate],DATE(2026,2,13),tblDaily[WardCode],"FW")=0,"",SUMIFS(tblDaily[Admissions],tblDaily[EntryDate],DATE(2026,2,13),tblDaily[WardCode],"FW")),"")</f>
        <v/>
      </c>
      <c r="C58" s="12">
        <f>IFERROR(IF(SUMIFS(tblDaily[Discharges],tblDaily[EntryDate],DATE(2026,2,13),tblDaily[WardCode],"FW")=0,"",SUMIFS(tblDaily[Discharges],tblDaily[EntryDate],DATE(2026,2,13),tblDaily[WardCode],"FW")),"")</f>
        <v/>
      </c>
      <c r="D58" s="12">
        <f>IFERROR(IF(SUMIFS(tblDaily[Deaths],tblDaily[EntryDate],DATE(2026,2,13),tblDaily[WardCode],"FW")=0,"",SUMIFS(tblDaily[Deaths],tblDaily[EntryDate],DATE(2026,2,13),tblDaily[WardCode],"FW")),"")</f>
        <v/>
      </c>
      <c r="E58" s="12">
        <f>IFERROR(IF(SUMIFS(tblDaily[DeathsUnder24Hrs],tblDaily[EntryDate],DATE(2026,2,13),tblDaily[WardCode],"FW")=0,"",SUMIFS(tblDaily[DeathsUnder24Hrs],tblDaily[EntryDate],DATE(2026,2,13),tblDaily[WardCode],"FW")),"")</f>
        <v/>
      </c>
      <c r="F58" s="12">
        <f>IFERROR(IF(SUMIFS(tblDaily[TransfersIn],tblDaily[EntryDate],DATE(2026,2,13),tblDaily[WardCode],"FW")=0,"",SUMIFS(tblDaily[TransfersIn],tblDaily[EntryDate],DATE(2026,2,13),tblDaily[WardCode],"FW")),"")</f>
        <v/>
      </c>
      <c r="G58" s="12">
        <f>IFERROR(IF(SUMIFS(tblDaily[TransfersOut],tblDaily[EntryDate],DATE(2026,2,13),tblDaily[WardCode],"FW")=0,"",SUMIFS(tblDaily[TransfersOut],tblDaily[EntryDate],DATE(2026,2,13),tblDaily[WardCode],"FW")),"")</f>
        <v/>
      </c>
      <c r="H58" s="12">
        <f>IFERROR(IF(SUMIFS(tblDaily[Remaining],tblDaily[EntryDate],DATE(2026,2,13),tblDaily[WardCode],"FW")=0,"",SUMIFS(tblDaily[Remaining],tblDaily[EntryDate],DATE(2026,2,13),tblDaily[WardCode],"FW")),"")</f>
        <v/>
      </c>
    </row>
    <row r="59">
      <c r="A59" s="12" t="n">
        <v>14</v>
      </c>
      <c r="B59" s="12">
        <f>IFERROR(IF(SUMIFS(tblDaily[Admissions],tblDaily[EntryDate],DATE(2026,2,14),tblDaily[WardCode],"FW")=0,"",SUMIFS(tblDaily[Admissions],tblDaily[EntryDate],DATE(2026,2,14),tblDaily[WardCode],"FW")),"")</f>
        <v/>
      </c>
      <c r="C59" s="12">
        <f>IFERROR(IF(SUMIFS(tblDaily[Discharges],tblDaily[EntryDate],DATE(2026,2,14),tblDaily[WardCode],"FW")=0,"",SUMIFS(tblDaily[Discharges],tblDaily[EntryDate],DATE(2026,2,14),tblDaily[WardCode],"FW")),"")</f>
        <v/>
      </c>
      <c r="D59" s="12">
        <f>IFERROR(IF(SUMIFS(tblDaily[Deaths],tblDaily[EntryDate],DATE(2026,2,14),tblDaily[WardCode],"FW")=0,"",SUMIFS(tblDaily[Deaths],tblDaily[EntryDate],DATE(2026,2,14),tblDaily[WardCode],"FW")),"")</f>
        <v/>
      </c>
      <c r="E59" s="12">
        <f>IFERROR(IF(SUMIFS(tblDaily[DeathsUnder24Hrs],tblDaily[EntryDate],DATE(2026,2,14),tblDaily[WardCode],"FW")=0,"",SUMIFS(tblDaily[DeathsUnder24Hrs],tblDaily[EntryDate],DATE(2026,2,14),tblDaily[WardCode],"FW")),"")</f>
        <v/>
      </c>
      <c r="F59" s="12">
        <f>IFERROR(IF(SUMIFS(tblDaily[TransfersIn],tblDaily[EntryDate],DATE(2026,2,14),tblDaily[WardCode],"FW")=0,"",SUMIFS(tblDaily[TransfersIn],tblDaily[EntryDate],DATE(2026,2,14),tblDaily[WardCode],"FW")),"")</f>
        <v/>
      </c>
      <c r="G59" s="12">
        <f>IFERROR(IF(SUMIFS(tblDaily[TransfersOut],tblDaily[EntryDate],DATE(2026,2,14),tblDaily[WardCode],"FW")=0,"",SUMIFS(tblDaily[TransfersOut],tblDaily[EntryDate],DATE(2026,2,14),tblDaily[WardCode],"FW")),"")</f>
        <v/>
      </c>
      <c r="H59" s="12">
        <f>IFERROR(IF(SUMIFS(tblDaily[Remaining],tblDaily[EntryDate],DATE(2026,2,14),tblDaily[WardCode],"FW")=0,"",SUMIFS(tblDaily[Remaining],tblDaily[EntryDate],DATE(2026,2,14),tblDaily[WardCode],"FW")),"")</f>
        <v/>
      </c>
    </row>
    <row r="60">
      <c r="A60" s="12" t="n">
        <v>15</v>
      </c>
      <c r="B60" s="12">
        <f>IFERROR(IF(SUMIFS(tblDaily[Admissions],tblDaily[EntryDate],DATE(2026,2,15),tblDaily[WardCode],"FW")=0,"",SUMIFS(tblDaily[Admissions],tblDaily[EntryDate],DATE(2026,2,15),tblDaily[WardCode],"FW")),"")</f>
        <v/>
      </c>
      <c r="C60" s="12">
        <f>IFERROR(IF(SUMIFS(tblDaily[Discharges],tblDaily[EntryDate],DATE(2026,2,15),tblDaily[WardCode],"FW")=0,"",SUMIFS(tblDaily[Discharges],tblDaily[EntryDate],DATE(2026,2,15),tblDaily[WardCode],"FW")),"")</f>
        <v/>
      </c>
      <c r="D60" s="12">
        <f>IFERROR(IF(SUMIFS(tblDaily[Deaths],tblDaily[EntryDate],DATE(2026,2,15),tblDaily[WardCode],"FW")=0,"",SUMIFS(tblDaily[Deaths],tblDaily[EntryDate],DATE(2026,2,15),tblDaily[WardCode],"FW")),"")</f>
        <v/>
      </c>
      <c r="E60" s="12">
        <f>IFERROR(IF(SUMIFS(tblDaily[DeathsUnder24Hrs],tblDaily[EntryDate],DATE(2026,2,15),tblDaily[WardCode],"FW")=0,"",SUMIFS(tblDaily[DeathsUnder24Hrs],tblDaily[EntryDate],DATE(2026,2,15),tblDaily[WardCode],"FW")),"")</f>
        <v/>
      </c>
      <c r="F60" s="12">
        <f>IFERROR(IF(SUMIFS(tblDaily[TransfersIn],tblDaily[EntryDate],DATE(2026,2,15),tblDaily[WardCode],"FW")=0,"",SUMIFS(tblDaily[TransfersIn],tblDaily[EntryDate],DATE(2026,2,15),tblDaily[WardCode],"FW")),"")</f>
        <v/>
      </c>
      <c r="G60" s="12">
        <f>IFERROR(IF(SUMIFS(tblDaily[TransfersOut],tblDaily[EntryDate],DATE(2026,2,15),tblDaily[WardCode],"FW")=0,"",SUMIFS(tblDaily[TransfersOut],tblDaily[EntryDate],DATE(2026,2,15),tblDaily[WardCode],"FW")),"")</f>
        <v/>
      </c>
      <c r="H60" s="12">
        <f>IFERROR(IF(SUMIFS(tblDaily[Remaining],tblDaily[EntryDate],DATE(2026,2,15),tblDaily[WardCode],"FW")=0,"",SUMIFS(tblDaily[Remaining],tblDaily[EntryDate],DATE(2026,2,15),tblDaily[WardCode],"FW")),"")</f>
        <v/>
      </c>
    </row>
    <row r="61">
      <c r="A61" s="12" t="n">
        <v>16</v>
      </c>
      <c r="B61" s="12">
        <f>IFERROR(IF(SUMIFS(tblDaily[Admissions],tblDaily[EntryDate],DATE(2026,2,16),tblDaily[WardCode],"FW")=0,"",SUMIFS(tblDaily[Admissions],tblDaily[EntryDate],DATE(2026,2,16),tblDaily[WardCode],"FW")),"")</f>
        <v/>
      </c>
      <c r="C61" s="12">
        <f>IFERROR(IF(SUMIFS(tblDaily[Discharges],tblDaily[EntryDate],DATE(2026,2,16),tblDaily[WardCode],"FW")=0,"",SUMIFS(tblDaily[Discharges],tblDaily[EntryDate],DATE(2026,2,16),tblDaily[WardCode],"FW")),"")</f>
        <v/>
      </c>
      <c r="D61" s="12">
        <f>IFERROR(IF(SUMIFS(tblDaily[Deaths],tblDaily[EntryDate],DATE(2026,2,16),tblDaily[WardCode],"FW")=0,"",SUMIFS(tblDaily[Deaths],tblDaily[EntryDate],DATE(2026,2,16),tblDaily[WardCode],"FW")),"")</f>
        <v/>
      </c>
      <c r="E61" s="12">
        <f>IFERROR(IF(SUMIFS(tblDaily[DeathsUnder24Hrs],tblDaily[EntryDate],DATE(2026,2,16),tblDaily[WardCode],"FW")=0,"",SUMIFS(tblDaily[DeathsUnder24Hrs],tblDaily[EntryDate],DATE(2026,2,16),tblDaily[WardCode],"FW")),"")</f>
        <v/>
      </c>
      <c r="F61" s="12">
        <f>IFERROR(IF(SUMIFS(tblDaily[TransfersIn],tblDaily[EntryDate],DATE(2026,2,16),tblDaily[WardCode],"FW")=0,"",SUMIFS(tblDaily[TransfersIn],tblDaily[EntryDate],DATE(2026,2,16),tblDaily[WardCode],"FW")),"")</f>
        <v/>
      </c>
      <c r="G61" s="12">
        <f>IFERROR(IF(SUMIFS(tblDaily[TransfersOut],tblDaily[EntryDate],DATE(2026,2,16),tblDaily[WardCode],"FW")=0,"",SUMIFS(tblDaily[TransfersOut],tblDaily[EntryDate],DATE(2026,2,16),tblDaily[WardCode],"FW")),"")</f>
        <v/>
      </c>
      <c r="H61" s="12">
        <f>IFERROR(IF(SUMIFS(tblDaily[Remaining],tblDaily[EntryDate],DATE(2026,2,16),tblDaily[WardCode],"FW")=0,"",SUMIFS(tblDaily[Remaining],tblDaily[EntryDate],DATE(2026,2,16),tblDaily[WardCode],"FW")),"")</f>
        <v/>
      </c>
    </row>
    <row r="62">
      <c r="A62" s="12" t="n">
        <v>17</v>
      </c>
      <c r="B62" s="12">
        <f>IFERROR(IF(SUMIFS(tblDaily[Admissions],tblDaily[EntryDate],DATE(2026,2,17),tblDaily[WardCode],"FW")=0,"",SUMIFS(tblDaily[Admissions],tblDaily[EntryDate],DATE(2026,2,17),tblDaily[WardCode],"FW")),"")</f>
        <v/>
      </c>
      <c r="C62" s="12">
        <f>IFERROR(IF(SUMIFS(tblDaily[Discharges],tblDaily[EntryDate],DATE(2026,2,17),tblDaily[WardCode],"FW")=0,"",SUMIFS(tblDaily[Discharges],tblDaily[EntryDate],DATE(2026,2,17),tblDaily[WardCode],"FW")),"")</f>
        <v/>
      </c>
      <c r="D62" s="12">
        <f>IFERROR(IF(SUMIFS(tblDaily[Deaths],tblDaily[EntryDate],DATE(2026,2,17),tblDaily[WardCode],"FW")=0,"",SUMIFS(tblDaily[Deaths],tblDaily[EntryDate],DATE(2026,2,17),tblDaily[WardCode],"FW")),"")</f>
        <v/>
      </c>
      <c r="E62" s="12">
        <f>IFERROR(IF(SUMIFS(tblDaily[DeathsUnder24Hrs],tblDaily[EntryDate],DATE(2026,2,17),tblDaily[WardCode],"FW")=0,"",SUMIFS(tblDaily[DeathsUnder24Hrs],tblDaily[EntryDate],DATE(2026,2,17),tblDaily[WardCode],"FW")),"")</f>
        <v/>
      </c>
      <c r="F62" s="12">
        <f>IFERROR(IF(SUMIFS(tblDaily[TransfersIn],tblDaily[EntryDate],DATE(2026,2,17),tblDaily[WardCode],"FW")=0,"",SUMIFS(tblDaily[TransfersIn],tblDaily[EntryDate],DATE(2026,2,17),tblDaily[WardCode],"FW")),"")</f>
        <v/>
      </c>
      <c r="G62" s="12">
        <f>IFERROR(IF(SUMIFS(tblDaily[TransfersOut],tblDaily[EntryDate],DATE(2026,2,17),tblDaily[WardCode],"FW")=0,"",SUMIFS(tblDaily[TransfersOut],tblDaily[EntryDate],DATE(2026,2,17),tblDaily[WardCode],"FW")),"")</f>
        <v/>
      </c>
      <c r="H62" s="12">
        <f>IFERROR(IF(SUMIFS(tblDaily[Remaining],tblDaily[EntryDate],DATE(2026,2,17),tblDaily[WardCode],"FW")=0,"",SUMIFS(tblDaily[Remaining],tblDaily[EntryDate],DATE(2026,2,17),tblDaily[WardCode],"FW")),"")</f>
        <v/>
      </c>
    </row>
    <row r="63">
      <c r="A63" s="12" t="n">
        <v>18</v>
      </c>
      <c r="B63" s="12">
        <f>IFERROR(IF(SUMIFS(tblDaily[Admissions],tblDaily[EntryDate],DATE(2026,2,18),tblDaily[WardCode],"FW")=0,"",SUMIFS(tblDaily[Admissions],tblDaily[EntryDate],DATE(2026,2,18),tblDaily[WardCode],"FW")),"")</f>
        <v/>
      </c>
      <c r="C63" s="12">
        <f>IFERROR(IF(SUMIFS(tblDaily[Discharges],tblDaily[EntryDate],DATE(2026,2,18),tblDaily[WardCode],"FW")=0,"",SUMIFS(tblDaily[Discharges],tblDaily[EntryDate],DATE(2026,2,18),tblDaily[WardCode],"FW")),"")</f>
        <v/>
      </c>
      <c r="D63" s="12">
        <f>IFERROR(IF(SUMIFS(tblDaily[Deaths],tblDaily[EntryDate],DATE(2026,2,18),tblDaily[WardCode],"FW")=0,"",SUMIFS(tblDaily[Deaths],tblDaily[EntryDate],DATE(2026,2,18),tblDaily[WardCode],"FW")),"")</f>
        <v/>
      </c>
      <c r="E63" s="12">
        <f>IFERROR(IF(SUMIFS(tblDaily[DeathsUnder24Hrs],tblDaily[EntryDate],DATE(2026,2,18),tblDaily[WardCode],"FW")=0,"",SUMIFS(tblDaily[DeathsUnder24Hrs],tblDaily[EntryDate],DATE(2026,2,18),tblDaily[WardCode],"FW")),"")</f>
        <v/>
      </c>
      <c r="F63" s="12">
        <f>IFERROR(IF(SUMIFS(tblDaily[TransfersIn],tblDaily[EntryDate],DATE(2026,2,18),tblDaily[WardCode],"FW")=0,"",SUMIFS(tblDaily[TransfersIn],tblDaily[EntryDate],DATE(2026,2,18),tblDaily[WardCode],"FW")),"")</f>
        <v/>
      </c>
      <c r="G63" s="12">
        <f>IFERROR(IF(SUMIFS(tblDaily[TransfersOut],tblDaily[EntryDate],DATE(2026,2,18),tblDaily[WardCode],"FW")=0,"",SUMIFS(tblDaily[TransfersOut],tblDaily[EntryDate],DATE(2026,2,18),tblDaily[WardCode],"FW")),"")</f>
        <v/>
      </c>
      <c r="H63" s="12">
        <f>IFERROR(IF(SUMIFS(tblDaily[Remaining],tblDaily[EntryDate],DATE(2026,2,18),tblDaily[WardCode],"FW")=0,"",SUMIFS(tblDaily[Remaining],tblDaily[EntryDate],DATE(2026,2,18),tblDaily[WardCode],"FW")),"")</f>
        <v/>
      </c>
    </row>
    <row r="64">
      <c r="A64" s="12" t="n">
        <v>19</v>
      </c>
      <c r="B64" s="12">
        <f>IFERROR(IF(SUMIFS(tblDaily[Admissions],tblDaily[EntryDate],DATE(2026,2,19),tblDaily[WardCode],"FW")=0,"",SUMIFS(tblDaily[Admissions],tblDaily[EntryDate],DATE(2026,2,19),tblDaily[WardCode],"FW")),"")</f>
        <v/>
      </c>
      <c r="C64" s="12">
        <f>IFERROR(IF(SUMIFS(tblDaily[Discharges],tblDaily[EntryDate],DATE(2026,2,19),tblDaily[WardCode],"FW")=0,"",SUMIFS(tblDaily[Discharges],tblDaily[EntryDate],DATE(2026,2,19),tblDaily[WardCode],"FW")),"")</f>
        <v/>
      </c>
      <c r="D64" s="12">
        <f>IFERROR(IF(SUMIFS(tblDaily[Deaths],tblDaily[EntryDate],DATE(2026,2,19),tblDaily[WardCode],"FW")=0,"",SUMIFS(tblDaily[Deaths],tblDaily[EntryDate],DATE(2026,2,19),tblDaily[WardCode],"FW")),"")</f>
        <v/>
      </c>
      <c r="E64" s="12">
        <f>IFERROR(IF(SUMIFS(tblDaily[DeathsUnder24Hrs],tblDaily[EntryDate],DATE(2026,2,19),tblDaily[WardCode],"FW")=0,"",SUMIFS(tblDaily[DeathsUnder24Hrs],tblDaily[EntryDate],DATE(2026,2,19),tblDaily[WardCode],"FW")),"")</f>
        <v/>
      </c>
      <c r="F64" s="12">
        <f>IFERROR(IF(SUMIFS(tblDaily[TransfersIn],tblDaily[EntryDate],DATE(2026,2,19),tblDaily[WardCode],"FW")=0,"",SUMIFS(tblDaily[TransfersIn],tblDaily[EntryDate],DATE(2026,2,19),tblDaily[WardCode],"FW")),"")</f>
        <v/>
      </c>
      <c r="G64" s="12">
        <f>IFERROR(IF(SUMIFS(tblDaily[TransfersOut],tblDaily[EntryDate],DATE(2026,2,19),tblDaily[WardCode],"FW")=0,"",SUMIFS(tblDaily[TransfersOut],tblDaily[EntryDate],DATE(2026,2,19),tblDaily[WardCode],"FW")),"")</f>
        <v/>
      </c>
      <c r="H64" s="12">
        <f>IFERROR(IF(SUMIFS(tblDaily[Remaining],tblDaily[EntryDate],DATE(2026,2,19),tblDaily[WardCode],"FW")=0,"",SUMIFS(tblDaily[Remaining],tblDaily[EntryDate],DATE(2026,2,19),tblDaily[WardCode],"FW")),"")</f>
        <v/>
      </c>
    </row>
    <row r="65">
      <c r="A65" s="12" t="n">
        <v>20</v>
      </c>
      <c r="B65" s="12">
        <f>IFERROR(IF(SUMIFS(tblDaily[Admissions],tblDaily[EntryDate],DATE(2026,2,20),tblDaily[WardCode],"FW")=0,"",SUMIFS(tblDaily[Admissions],tblDaily[EntryDate],DATE(2026,2,20),tblDaily[WardCode],"FW")),"")</f>
        <v/>
      </c>
      <c r="C65" s="12">
        <f>IFERROR(IF(SUMIFS(tblDaily[Discharges],tblDaily[EntryDate],DATE(2026,2,20),tblDaily[WardCode],"FW")=0,"",SUMIFS(tblDaily[Discharges],tblDaily[EntryDate],DATE(2026,2,20),tblDaily[WardCode],"FW")),"")</f>
        <v/>
      </c>
      <c r="D65" s="12">
        <f>IFERROR(IF(SUMIFS(tblDaily[Deaths],tblDaily[EntryDate],DATE(2026,2,20),tblDaily[WardCode],"FW")=0,"",SUMIFS(tblDaily[Deaths],tblDaily[EntryDate],DATE(2026,2,20),tblDaily[WardCode],"FW")),"")</f>
        <v/>
      </c>
      <c r="E65" s="12">
        <f>IFERROR(IF(SUMIFS(tblDaily[DeathsUnder24Hrs],tblDaily[EntryDate],DATE(2026,2,20),tblDaily[WardCode],"FW")=0,"",SUMIFS(tblDaily[DeathsUnder24Hrs],tblDaily[EntryDate],DATE(2026,2,20),tblDaily[WardCode],"FW")),"")</f>
        <v/>
      </c>
      <c r="F65" s="12">
        <f>IFERROR(IF(SUMIFS(tblDaily[TransfersIn],tblDaily[EntryDate],DATE(2026,2,20),tblDaily[WardCode],"FW")=0,"",SUMIFS(tblDaily[TransfersIn],tblDaily[EntryDate],DATE(2026,2,20),tblDaily[WardCode],"FW")),"")</f>
        <v/>
      </c>
      <c r="G65" s="12">
        <f>IFERROR(IF(SUMIFS(tblDaily[TransfersOut],tblDaily[EntryDate],DATE(2026,2,20),tblDaily[WardCode],"FW")=0,"",SUMIFS(tblDaily[TransfersOut],tblDaily[EntryDate],DATE(2026,2,20),tblDaily[WardCode],"FW")),"")</f>
        <v/>
      </c>
      <c r="H65" s="12">
        <f>IFERROR(IF(SUMIFS(tblDaily[Remaining],tblDaily[EntryDate],DATE(2026,2,20),tblDaily[WardCode],"FW")=0,"",SUMIFS(tblDaily[Remaining],tblDaily[EntryDate],DATE(2026,2,20),tblDaily[WardCode],"FW")),"")</f>
        <v/>
      </c>
    </row>
    <row r="66">
      <c r="A66" s="12" t="n">
        <v>21</v>
      </c>
      <c r="B66" s="12">
        <f>IFERROR(IF(SUMIFS(tblDaily[Admissions],tblDaily[EntryDate],DATE(2026,2,21),tblDaily[WardCode],"FW")=0,"",SUMIFS(tblDaily[Admissions],tblDaily[EntryDate],DATE(2026,2,21),tblDaily[WardCode],"FW")),"")</f>
        <v/>
      </c>
      <c r="C66" s="12">
        <f>IFERROR(IF(SUMIFS(tblDaily[Discharges],tblDaily[EntryDate],DATE(2026,2,21),tblDaily[WardCode],"FW")=0,"",SUMIFS(tblDaily[Discharges],tblDaily[EntryDate],DATE(2026,2,21),tblDaily[WardCode],"FW")),"")</f>
        <v/>
      </c>
      <c r="D66" s="12">
        <f>IFERROR(IF(SUMIFS(tblDaily[Deaths],tblDaily[EntryDate],DATE(2026,2,21),tblDaily[WardCode],"FW")=0,"",SUMIFS(tblDaily[Deaths],tblDaily[EntryDate],DATE(2026,2,21),tblDaily[WardCode],"FW")),"")</f>
        <v/>
      </c>
      <c r="E66" s="12">
        <f>IFERROR(IF(SUMIFS(tblDaily[DeathsUnder24Hrs],tblDaily[EntryDate],DATE(2026,2,21),tblDaily[WardCode],"FW")=0,"",SUMIFS(tblDaily[DeathsUnder24Hrs],tblDaily[EntryDate],DATE(2026,2,21),tblDaily[WardCode],"FW")),"")</f>
        <v/>
      </c>
      <c r="F66" s="12">
        <f>IFERROR(IF(SUMIFS(tblDaily[TransfersIn],tblDaily[EntryDate],DATE(2026,2,21),tblDaily[WardCode],"FW")=0,"",SUMIFS(tblDaily[TransfersIn],tblDaily[EntryDate],DATE(2026,2,21),tblDaily[WardCode],"FW")),"")</f>
        <v/>
      </c>
      <c r="G66" s="12">
        <f>IFERROR(IF(SUMIFS(tblDaily[TransfersOut],tblDaily[EntryDate],DATE(2026,2,21),tblDaily[WardCode],"FW")=0,"",SUMIFS(tblDaily[TransfersOut],tblDaily[EntryDate],DATE(2026,2,21),tblDaily[WardCode],"FW")),"")</f>
        <v/>
      </c>
      <c r="H66" s="12">
        <f>IFERROR(IF(SUMIFS(tblDaily[Remaining],tblDaily[EntryDate],DATE(2026,2,21),tblDaily[WardCode],"FW")=0,"",SUMIFS(tblDaily[Remaining],tblDaily[EntryDate],DATE(2026,2,21),tblDaily[WardCode],"FW")),"")</f>
        <v/>
      </c>
    </row>
    <row r="67">
      <c r="A67" s="12" t="n">
        <v>22</v>
      </c>
      <c r="B67" s="12">
        <f>IFERROR(IF(SUMIFS(tblDaily[Admissions],tblDaily[EntryDate],DATE(2026,2,22),tblDaily[WardCode],"FW")=0,"",SUMIFS(tblDaily[Admissions],tblDaily[EntryDate],DATE(2026,2,22),tblDaily[WardCode],"FW")),"")</f>
        <v/>
      </c>
      <c r="C67" s="12">
        <f>IFERROR(IF(SUMIFS(tblDaily[Discharges],tblDaily[EntryDate],DATE(2026,2,22),tblDaily[WardCode],"FW")=0,"",SUMIFS(tblDaily[Discharges],tblDaily[EntryDate],DATE(2026,2,22),tblDaily[WardCode],"FW")),"")</f>
        <v/>
      </c>
      <c r="D67" s="12">
        <f>IFERROR(IF(SUMIFS(tblDaily[Deaths],tblDaily[EntryDate],DATE(2026,2,22),tblDaily[WardCode],"FW")=0,"",SUMIFS(tblDaily[Deaths],tblDaily[EntryDate],DATE(2026,2,22),tblDaily[WardCode],"FW")),"")</f>
        <v/>
      </c>
      <c r="E67" s="12">
        <f>IFERROR(IF(SUMIFS(tblDaily[DeathsUnder24Hrs],tblDaily[EntryDate],DATE(2026,2,22),tblDaily[WardCode],"FW")=0,"",SUMIFS(tblDaily[DeathsUnder24Hrs],tblDaily[EntryDate],DATE(2026,2,22),tblDaily[WardCode],"FW")),"")</f>
        <v/>
      </c>
      <c r="F67" s="12">
        <f>IFERROR(IF(SUMIFS(tblDaily[TransfersIn],tblDaily[EntryDate],DATE(2026,2,22),tblDaily[WardCode],"FW")=0,"",SUMIFS(tblDaily[TransfersIn],tblDaily[EntryDate],DATE(2026,2,22),tblDaily[WardCode],"FW")),"")</f>
        <v/>
      </c>
      <c r="G67" s="12">
        <f>IFERROR(IF(SUMIFS(tblDaily[TransfersOut],tblDaily[EntryDate],DATE(2026,2,22),tblDaily[WardCode],"FW")=0,"",SUMIFS(tblDaily[TransfersOut],tblDaily[EntryDate],DATE(2026,2,22),tblDaily[WardCode],"FW")),"")</f>
        <v/>
      </c>
      <c r="H67" s="12">
        <f>IFERROR(IF(SUMIFS(tblDaily[Remaining],tblDaily[EntryDate],DATE(2026,2,22),tblDaily[WardCode],"FW")=0,"",SUMIFS(tblDaily[Remaining],tblDaily[EntryDate],DATE(2026,2,22),tblDaily[WardCode],"FW")),"")</f>
        <v/>
      </c>
    </row>
    <row r="68">
      <c r="A68" s="12" t="n">
        <v>23</v>
      </c>
      <c r="B68" s="12">
        <f>IFERROR(IF(SUMIFS(tblDaily[Admissions],tblDaily[EntryDate],DATE(2026,2,23),tblDaily[WardCode],"FW")=0,"",SUMIFS(tblDaily[Admissions],tblDaily[EntryDate],DATE(2026,2,23),tblDaily[WardCode],"FW")),"")</f>
        <v/>
      </c>
      <c r="C68" s="12">
        <f>IFERROR(IF(SUMIFS(tblDaily[Discharges],tblDaily[EntryDate],DATE(2026,2,23),tblDaily[WardCode],"FW")=0,"",SUMIFS(tblDaily[Discharges],tblDaily[EntryDate],DATE(2026,2,23),tblDaily[WardCode],"FW")),"")</f>
        <v/>
      </c>
      <c r="D68" s="12">
        <f>IFERROR(IF(SUMIFS(tblDaily[Deaths],tblDaily[EntryDate],DATE(2026,2,23),tblDaily[WardCode],"FW")=0,"",SUMIFS(tblDaily[Deaths],tblDaily[EntryDate],DATE(2026,2,23),tblDaily[WardCode],"FW")),"")</f>
        <v/>
      </c>
      <c r="E68" s="12">
        <f>IFERROR(IF(SUMIFS(tblDaily[DeathsUnder24Hrs],tblDaily[EntryDate],DATE(2026,2,23),tblDaily[WardCode],"FW")=0,"",SUMIFS(tblDaily[DeathsUnder24Hrs],tblDaily[EntryDate],DATE(2026,2,23),tblDaily[WardCode],"FW")),"")</f>
        <v/>
      </c>
      <c r="F68" s="12">
        <f>IFERROR(IF(SUMIFS(tblDaily[TransfersIn],tblDaily[EntryDate],DATE(2026,2,23),tblDaily[WardCode],"FW")=0,"",SUMIFS(tblDaily[TransfersIn],tblDaily[EntryDate],DATE(2026,2,23),tblDaily[WardCode],"FW")),"")</f>
        <v/>
      </c>
      <c r="G68" s="12">
        <f>IFERROR(IF(SUMIFS(tblDaily[TransfersOut],tblDaily[EntryDate],DATE(2026,2,23),tblDaily[WardCode],"FW")=0,"",SUMIFS(tblDaily[TransfersOut],tblDaily[EntryDate],DATE(2026,2,23),tblDaily[WardCode],"FW")),"")</f>
        <v/>
      </c>
      <c r="H68" s="12">
        <f>IFERROR(IF(SUMIFS(tblDaily[Remaining],tblDaily[EntryDate],DATE(2026,2,23),tblDaily[WardCode],"FW")=0,"",SUMIFS(tblDaily[Remaining],tblDaily[EntryDate],DATE(2026,2,23),tblDaily[WardCode],"FW")),"")</f>
        <v/>
      </c>
    </row>
    <row r="69">
      <c r="A69" s="12" t="n">
        <v>24</v>
      </c>
      <c r="B69" s="12">
        <f>IFERROR(IF(SUMIFS(tblDaily[Admissions],tblDaily[EntryDate],DATE(2026,2,24),tblDaily[WardCode],"FW")=0,"",SUMIFS(tblDaily[Admissions],tblDaily[EntryDate],DATE(2026,2,24),tblDaily[WardCode],"FW")),"")</f>
        <v/>
      </c>
      <c r="C69" s="12">
        <f>IFERROR(IF(SUMIFS(tblDaily[Discharges],tblDaily[EntryDate],DATE(2026,2,24),tblDaily[WardCode],"FW")=0,"",SUMIFS(tblDaily[Discharges],tblDaily[EntryDate],DATE(2026,2,24),tblDaily[WardCode],"FW")),"")</f>
        <v/>
      </c>
      <c r="D69" s="12">
        <f>IFERROR(IF(SUMIFS(tblDaily[Deaths],tblDaily[EntryDate],DATE(2026,2,24),tblDaily[WardCode],"FW")=0,"",SUMIFS(tblDaily[Deaths],tblDaily[EntryDate],DATE(2026,2,24),tblDaily[WardCode],"FW")),"")</f>
        <v/>
      </c>
      <c r="E69" s="12">
        <f>IFERROR(IF(SUMIFS(tblDaily[DeathsUnder24Hrs],tblDaily[EntryDate],DATE(2026,2,24),tblDaily[WardCode],"FW")=0,"",SUMIFS(tblDaily[DeathsUnder24Hrs],tblDaily[EntryDate],DATE(2026,2,24),tblDaily[WardCode],"FW")),"")</f>
        <v/>
      </c>
      <c r="F69" s="12">
        <f>IFERROR(IF(SUMIFS(tblDaily[TransfersIn],tblDaily[EntryDate],DATE(2026,2,24),tblDaily[WardCode],"FW")=0,"",SUMIFS(tblDaily[TransfersIn],tblDaily[EntryDate],DATE(2026,2,24),tblDaily[WardCode],"FW")),"")</f>
        <v/>
      </c>
      <c r="G69" s="12">
        <f>IFERROR(IF(SUMIFS(tblDaily[TransfersOut],tblDaily[EntryDate],DATE(2026,2,24),tblDaily[WardCode],"FW")=0,"",SUMIFS(tblDaily[TransfersOut],tblDaily[EntryDate],DATE(2026,2,24),tblDaily[WardCode],"FW")),"")</f>
        <v/>
      </c>
      <c r="H69" s="12">
        <f>IFERROR(IF(SUMIFS(tblDaily[Remaining],tblDaily[EntryDate],DATE(2026,2,24),tblDaily[WardCode],"FW")=0,"",SUMIFS(tblDaily[Remaining],tblDaily[EntryDate],DATE(2026,2,24),tblDaily[WardCode],"FW")),"")</f>
        <v/>
      </c>
    </row>
    <row r="70">
      <c r="A70" s="12" t="n">
        <v>25</v>
      </c>
      <c r="B70" s="12">
        <f>IFERROR(IF(SUMIFS(tblDaily[Admissions],tblDaily[EntryDate],DATE(2026,2,25),tblDaily[WardCode],"FW")=0,"",SUMIFS(tblDaily[Admissions],tblDaily[EntryDate],DATE(2026,2,25),tblDaily[WardCode],"FW")),"")</f>
        <v/>
      </c>
      <c r="C70" s="12">
        <f>IFERROR(IF(SUMIFS(tblDaily[Discharges],tblDaily[EntryDate],DATE(2026,2,25),tblDaily[WardCode],"FW")=0,"",SUMIFS(tblDaily[Discharges],tblDaily[EntryDate],DATE(2026,2,25),tblDaily[WardCode],"FW")),"")</f>
        <v/>
      </c>
      <c r="D70" s="12">
        <f>IFERROR(IF(SUMIFS(tblDaily[Deaths],tblDaily[EntryDate],DATE(2026,2,25),tblDaily[WardCode],"FW")=0,"",SUMIFS(tblDaily[Deaths],tblDaily[EntryDate],DATE(2026,2,25),tblDaily[WardCode],"FW")),"")</f>
        <v/>
      </c>
      <c r="E70" s="12">
        <f>IFERROR(IF(SUMIFS(tblDaily[DeathsUnder24Hrs],tblDaily[EntryDate],DATE(2026,2,25),tblDaily[WardCode],"FW")=0,"",SUMIFS(tblDaily[DeathsUnder24Hrs],tblDaily[EntryDate],DATE(2026,2,25),tblDaily[WardCode],"FW")),"")</f>
        <v/>
      </c>
      <c r="F70" s="12">
        <f>IFERROR(IF(SUMIFS(tblDaily[TransfersIn],tblDaily[EntryDate],DATE(2026,2,25),tblDaily[WardCode],"FW")=0,"",SUMIFS(tblDaily[TransfersIn],tblDaily[EntryDate],DATE(2026,2,25),tblDaily[WardCode],"FW")),"")</f>
        <v/>
      </c>
      <c r="G70" s="12">
        <f>IFERROR(IF(SUMIFS(tblDaily[TransfersOut],tblDaily[EntryDate],DATE(2026,2,25),tblDaily[WardCode],"FW")=0,"",SUMIFS(tblDaily[TransfersOut],tblDaily[EntryDate],DATE(2026,2,25),tblDaily[WardCode],"FW")),"")</f>
        <v/>
      </c>
      <c r="H70" s="12">
        <f>IFERROR(IF(SUMIFS(tblDaily[Remaining],tblDaily[EntryDate],DATE(2026,2,25),tblDaily[WardCode],"FW")=0,"",SUMIFS(tblDaily[Remaining],tblDaily[EntryDate],DATE(2026,2,25),tblDaily[WardCode],"FW")),"")</f>
        <v/>
      </c>
    </row>
    <row r="71">
      <c r="A71" s="12" t="n">
        <v>26</v>
      </c>
      <c r="B71" s="12">
        <f>IFERROR(IF(SUMIFS(tblDaily[Admissions],tblDaily[EntryDate],DATE(2026,2,26),tblDaily[WardCode],"FW")=0,"",SUMIFS(tblDaily[Admissions],tblDaily[EntryDate],DATE(2026,2,26),tblDaily[WardCode],"FW")),"")</f>
        <v/>
      </c>
      <c r="C71" s="12">
        <f>IFERROR(IF(SUMIFS(tblDaily[Discharges],tblDaily[EntryDate],DATE(2026,2,26),tblDaily[WardCode],"FW")=0,"",SUMIFS(tblDaily[Discharges],tblDaily[EntryDate],DATE(2026,2,26),tblDaily[WardCode],"FW")),"")</f>
        <v/>
      </c>
      <c r="D71" s="12">
        <f>IFERROR(IF(SUMIFS(tblDaily[Deaths],tblDaily[EntryDate],DATE(2026,2,26),tblDaily[WardCode],"FW")=0,"",SUMIFS(tblDaily[Deaths],tblDaily[EntryDate],DATE(2026,2,26),tblDaily[WardCode],"FW")),"")</f>
        <v/>
      </c>
      <c r="E71" s="12">
        <f>IFERROR(IF(SUMIFS(tblDaily[DeathsUnder24Hrs],tblDaily[EntryDate],DATE(2026,2,26),tblDaily[WardCode],"FW")=0,"",SUMIFS(tblDaily[DeathsUnder24Hrs],tblDaily[EntryDate],DATE(2026,2,26),tblDaily[WardCode],"FW")),"")</f>
        <v/>
      </c>
      <c r="F71" s="12">
        <f>IFERROR(IF(SUMIFS(tblDaily[TransfersIn],tblDaily[EntryDate],DATE(2026,2,26),tblDaily[WardCode],"FW")=0,"",SUMIFS(tblDaily[TransfersIn],tblDaily[EntryDate],DATE(2026,2,26),tblDaily[WardCode],"FW")),"")</f>
        <v/>
      </c>
      <c r="G71" s="12">
        <f>IFERROR(IF(SUMIFS(tblDaily[TransfersOut],tblDaily[EntryDate],DATE(2026,2,26),tblDaily[WardCode],"FW")=0,"",SUMIFS(tblDaily[TransfersOut],tblDaily[EntryDate],DATE(2026,2,26),tblDaily[WardCode],"FW")),"")</f>
        <v/>
      </c>
      <c r="H71" s="12">
        <f>IFERROR(IF(SUMIFS(tblDaily[Remaining],tblDaily[EntryDate],DATE(2026,2,26),tblDaily[WardCode],"FW")=0,"",SUMIFS(tblDaily[Remaining],tblDaily[EntryDate],DATE(2026,2,26),tblDaily[WardCode],"FW")),"")</f>
        <v/>
      </c>
    </row>
    <row r="72">
      <c r="A72" s="12" t="n">
        <v>27</v>
      </c>
      <c r="B72" s="12">
        <f>IFERROR(IF(SUMIFS(tblDaily[Admissions],tblDaily[EntryDate],DATE(2026,2,27),tblDaily[WardCode],"FW")=0,"",SUMIFS(tblDaily[Admissions],tblDaily[EntryDate],DATE(2026,2,27),tblDaily[WardCode],"FW")),"")</f>
        <v/>
      </c>
      <c r="C72" s="12">
        <f>IFERROR(IF(SUMIFS(tblDaily[Discharges],tblDaily[EntryDate],DATE(2026,2,27),tblDaily[WardCode],"FW")=0,"",SUMIFS(tblDaily[Discharges],tblDaily[EntryDate],DATE(2026,2,27),tblDaily[WardCode],"FW")),"")</f>
        <v/>
      </c>
      <c r="D72" s="12">
        <f>IFERROR(IF(SUMIFS(tblDaily[Deaths],tblDaily[EntryDate],DATE(2026,2,27),tblDaily[WardCode],"FW")=0,"",SUMIFS(tblDaily[Deaths],tblDaily[EntryDate],DATE(2026,2,27),tblDaily[WardCode],"FW")),"")</f>
        <v/>
      </c>
      <c r="E72" s="12">
        <f>IFERROR(IF(SUMIFS(tblDaily[DeathsUnder24Hrs],tblDaily[EntryDate],DATE(2026,2,27),tblDaily[WardCode],"FW")=0,"",SUMIFS(tblDaily[DeathsUnder24Hrs],tblDaily[EntryDate],DATE(2026,2,27),tblDaily[WardCode],"FW")),"")</f>
        <v/>
      </c>
      <c r="F72" s="12">
        <f>IFERROR(IF(SUMIFS(tblDaily[TransfersIn],tblDaily[EntryDate],DATE(2026,2,27),tblDaily[WardCode],"FW")=0,"",SUMIFS(tblDaily[TransfersIn],tblDaily[EntryDate],DATE(2026,2,27),tblDaily[WardCode],"FW")),"")</f>
        <v/>
      </c>
      <c r="G72" s="12">
        <f>IFERROR(IF(SUMIFS(tblDaily[TransfersOut],tblDaily[EntryDate],DATE(2026,2,27),tblDaily[WardCode],"FW")=0,"",SUMIFS(tblDaily[TransfersOut],tblDaily[EntryDate],DATE(2026,2,27),tblDaily[WardCode],"FW")),"")</f>
        <v/>
      </c>
      <c r="H72" s="12">
        <f>IFERROR(IF(SUMIFS(tblDaily[Remaining],tblDaily[EntryDate],DATE(2026,2,27),tblDaily[WardCode],"FW")=0,"",SUMIFS(tblDaily[Remaining],tblDaily[EntryDate],DATE(2026,2,27),tblDaily[WardCode],"FW")),"")</f>
        <v/>
      </c>
    </row>
    <row r="73">
      <c r="A73" s="12" t="n">
        <v>28</v>
      </c>
      <c r="B73" s="12">
        <f>IFERROR(IF(SUMIFS(tblDaily[Admissions],tblDaily[EntryDate],DATE(2026,2,28),tblDaily[WardCode],"FW")=0,"",SUMIFS(tblDaily[Admissions],tblDaily[EntryDate],DATE(2026,2,28),tblDaily[WardCode],"FW")),"")</f>
        <v/>
      </c>
      <c r="C73" s="12">
        <f>IFERROR(IF(SUMIFS(tblDaily[Discharges],tblDaily[EntryDate],DATE(2026,2,28),tblDaily[WardCode],"FW")=0,"",SUMIFS(tblDaily[Discharges],tblDaily[EntryDate],DATE(2026,2,28),tblDaily[WardCode],"FW")),"")</f>
        <v/>
      </c>
      <c r="D73" s="12">
        <f>IFERROR(IF(SUMIFS(tblDaily[Deaths],tblDaily[EntryDate],DATE(2026,2,28),tblDaily[WardCode],"FW")=0,"",SUMIFS(tblDaily[Deaths],tblDaily[EntryDate],DATE(2026,2,28),tblDaily[WardCode],"FW")),"")</f>
        <v/>
      </c>
      <c r="E73" s="12">
        <f>IFERROR(IF(SUMIFS(tblDaily[DeathsUnder24Hrs],tblDaily[EntryDate],DATE(2026,2,28),tblDaily[WardCode],"FW")=0,"",SUMIFS(tblDaily[DeathsUnder24Hrs],tblDaily[EntryDate],DATE(2026,2,28),tblDaily[WardCode],"FW")),"")</f>
        <v/>
      </c>
      <c r="F73" s="12">
        <f>IFERROR(IF(SUMIFS(tblDaily[TransfersIn],tblDaily[EntryDate],DATE(2026,2,28),tblDaily[WardCode],"FW")=0,"",SUMIFS(tblDaily[TransfersIn],tblDaily[EntryDate],DATE(2026,2,28),tblDaily[WardCode],"FW")),"")</f>
        <v/>
      </c>
      <c r="G73" s="12">
        <f>IFERROR(IF(SUMIFS(tblDaily[TransfersOut],tblDaily[EntryDate],DATE(2026,2,28),tblDaily[WardCode],"FW")=0,"",SUMIFS(tblDaily[TransfersOut],tblDaily[EntryDate],DATE(2026,2,28),tblDaily[WardCode],"FW")),"")</f>
        <v/>
      </c>
      <c r="H73" s="12">
        <f>IFERROR(IF(SUMIFS(tblDaily[Remaining],tblDaily[EntryDate],DATE(2026,2,28),tblDaily[WardCode],"FW")=0,"",SUMIFS(tblDaily[Remaining],tblDaily[EntryDate],DATE(2026,2,28),tblDaily[WardCode],"FW")),"")</f>
        <v/>
      </c>
    </row>
    <row r="74">
      <c r="A74" s="12" t="n">
        <v>29</v>
      </c>
      <c r="B74" s="18" t="n"/>
      <c r="C74" s="18" t="n"/>
      <c r="D74" s="18" t="n"/>
      <c r="E74" s="18" t="n"/>
      <c r="F74" s="18" t="n"/>
      <c r="G74" s="18" t="n"/>
      <c r="H74" s="18" t="n"/>
    </row>
    <row r="75">
      <c r="A75" s="12" t="n">
        <v>30</v>
      </c>
      <c r="B75" s="18" t="n"/>
      <c r="C75" s="18" t="n"/>
      <c r="D75" s="18" t="n"/>
      <c r="E75" s="18" t="n"/>
      <c r="F75" s="18" t="n"/>
      <c r="G75" s="18" t="n"/>
      <c r="H75" s="18" t="n"/>
    </row>
    <row r="76">
      <c r="A76" s="12" t="n">
        <v>31</v>
      </c>
      <c r="B76" s="18" t="n"/>
      <c r="C76" s="18" t="n"/>
      <c r="D76" s="18" t="n"/>
      <c r="E76" s="18" t="n"/>
      <c r="F76" s="18" t="n"/>
      <c r="G76" s="18" t="n"/>
      <c r="H76" s="18" t="n"/>
    </row>
    <row r="77">
      <c r="A77" s="17" t="inlineStr">
        <is>
          <t>TOTAL</t>
        </is>
      </c>
      <c r="B77" s="17">
        <f>SUMIFS(tblDaily[Admissions],tblDaily[Month],2,tblDaily[WardCode],"FW") - SUMIFS(tblDaily[DeathsUnder24Hrs],tblDaily[Month],2,tblDaily[WardCode],"FW")</f>
        <v/>
      </c>
      <c r="C77" s="17">
        <f>SUMIFS(tblDaily[Discharges],tblDaily[Month],2,tblDaily[WardCode],"FW")</f>
        <v/>
      </c>
      <c r="D77" s="17">
        <f>SUMIFS(tblDaily[Deaths],tblDaily[Month],2,tblDaily[WardCode],"FW")</f>
        <v/>
      </c>
      <c r="E77" s="17">
        <f>SUMIFS(tblDaily[DeathsUnder24Hrs],tblDaily[Month],2,tblDaily[WardCode],"FW")</f>
        <v/>
      </c>
      <c r="F77" s="17">
        <f>SUMIFS(tblDaily[TransfersIn],tblDaily[Month],2,tblDaily[WardCode],"FW")</f>
        <v/>
      </c>
      <c r="G77" s="17">
        <f>SUMIFS(tblDaily[TransfersOut],tblDaily[Month],2,tblDaily[WardCode],"FW")</f>
        <v/>
      </c>
      <c r="H77" s="17">
        <f>SUMIFS(tblDaily[Remaining],tblDaily[Month],2,tblDaily[WardCode],"FW")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FEMALE MEDICAL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4">
        <f>IFERROR(SUMIFS(tblDaily[Remaining],tblDaily[EntryDate],DATE(2026,2,28),tblDaily[WardCode],"FW"),0)</f>
        <v/>
      </c>
    </row>
    <row r="83">
      <c r="A83" s="4" t="inlineStr">
        <is>
          <t>Bed complement</t>
        </is>
      </c>
      <c r="H83" s="15">
        <f>IFERROR(INDEX(tblWardConfig[BedComplement],MATCH("FW",tblWardConfig[WardCode],0)),0)</f>
        <v/>
      </c>
    </row>
    <row r="84">
      <c r="A84" s="16" t="inlineStr">
        <is>
          <t>Day of
the
Month</t>
        </is>
      </c>
      <c r="B84" s="16" t="inlineStr">
        <is>
          <t>Admissions</t>
        </is>
      </c>
      <c r="C84" s="16" t="inlineStr">
        <is>
          <t>Discharges</t>
        </is>
      </c>
      <c r="D84" s="16" t="inlineStr">
        <is>
          <t>Deaths</t>
        </is>
      </c>
      <c r="E84" s="16" t="inlineStr">
        <is>
          <t>Deaths
&lt;24Hrs</t>
        </is>
      </c>
      <c r="F84" s="16" t="inlineStr">
        <is>
          <t>Transfers-
In</t>
        </is>
      </c>
      <c r="G84" s="16" t="inlineStr">
        <is>
          <t>Transfers-
Out</t>
        </is>
      </c>
      <c r="H84" s="16" t="inlineStr">
        <is>
          <t>No. of Patients
Remaining In
Ward</t>
        </is>
      </c>
    </row>
    <row r="85">
      <c r="A85" s="12" t="n">
        <v>1</v>
      </c>
      <c r="B85" s="12">
        <f>IFERROR(IF(SUMIFS(tblDaily[Admissions],tblDaily[EntryDate],DATE(2026,3,1),tblDaily[WardCode],"FW")=0,"",SUMIFS(tblDaily[Admissions],tblDaily[EntryDate],DATE(2026,3,1),tblDaily[WardCode],"FW")),"")</f>
        <v/>
      </c>
      <c r="C85" s="12">
        <f>IFERROR(IF(SUMIFS(tblDaily[Discharges],tblDaily[EntryDate],DATE(2026,3,1),tblDaily[WardCode],"FW")=0,"",SUMIFS(tblDaily[Discharges],tblDaily[EntryDate],DATE(2026,3,1),tblDaily[WardCode],"FW")),"")</f>
        <v/>
      </c>
      <c r="D85" s="12">
        <f>IFERROR(IF(SUMIFS(tblDaily[Deaths],tblDaily[EntryDate],DATE(2026,3,1),tblDaily[WardCode],"FW")=0,"",SUMIFS(tblDaily[Deaths],tblDaily[EntryDate],DATE(2026,3,1),tblDaily[WardCode],"FW")),"")</f>
        <v/>
      </c>
      <c r="E85" s="12">
        <f>IFERROR(IF(SUMIFS(tblDaily[DeathsUnder24Hrs],tblDaily[EntryDate],DATE(2026,3,1),tblDaily[WardCode],"FW")=0,"",SUMIFS(tblDaily[DeathsUnder24Hrs],tblDaily[EntryDate],DATE(2026,3,1),tblDaily[WardCode],"FW")),"")</f>
        <v/>
      </c>
      <c r="F85" s="12">
        <f>IFERROR(IF(SUMIFS(tblDaily[TransfersIn],tblDaily[EntryDate],DATE(2026,3,1),tblDaily[WardCode],"FW")=0,"",SUMIFS(tblDaily[TransfersIn],tblDaily[EntryDate],DATE(2026,3,1),tblDaily[WardCode],"FW")),"")</f>
        <v/>
      </c>
      <c r="G85" s="12">
        <f>IFERROR(IF(SUMIFS(tblDaily[TransfersOut],tblDaily[EntryDate],DATE(2026,3,1),tblDaily[WardCode],"FW")=0,"",SUMIFS(tblDaily[TransfersOut],tblDaily[EntryDate],DATE(2026,3,1),tblDaily[WardCode],"FW")),"")</f>
        <v/>
      </c>
      <c r="H85" s="12">
        <f>IFERROR(IF(SUMIFS(tblDaily[Remaining],tblDaily[EntryDate],DATE(2026,3,1),tblDaily[WardCode],"FW")=0,"",SUMIFS(tblDaily[Remaining],tblDaily[EntryDate],DATE(2026,3,1),tblDaily[WardCode],"FW")),"")</f>
        <v/>
      </c>
    </row>
    <row r="86">
      <c r="A86" s="12" t="n">
        <v>2</v>
      </c>
      <c r="B86" s="12">
        <f>IFERROR(IF(SUMIFS(tblDaily[Admissions],tblDaily[EntryDate],DATE(2026,3,2),tblDaily[WardCode],"FW")=0,"",SUMIFS(tblDaily[Admissions],tblDaily[EntryDate],DATE(2026,3,2),tblDaily[WardCode],"FW")),"")</f>
        <v/>
      </c>
      <c r="C86" s="12">
        <f>IFERROR(IF(SUMIFS(tblDaily[Discharges],tblDaily[EntryDate],DATE(2026,3,2),tblDaily[WardCode],"FW")=0,"",SUMIFS(tblDaily[Discharges],tblDaily[EntryDate],DATE(2026,3,2),tblDaily[WardCode],"FW")),"")</f>
        <v/>
      </c>
      <c r="D86" s="12">
        <f>IFERROR(IF(SUMIFS(tblDaily[Deaths],tblDaily[EntryDate],DATE(2026,3,2),tblDaily[WardCode],"FW")=0,"",SUMIFS(tblDaily[Deaths],tblDaily[EntryDate],DATE(2026,3,2),tblDaily[WardCode],"FW")),"")</f>
        <v/>
      </c>
      <c r="E86" s="12">
        <f>IFERROR(IF(SUMIFS(tblDaily[DeathsUnder24Hrs],tblDaily[EntryDate],DATE(2026,3,2),tblDaily[WardCode],"FW")=0,"",SUMIFS(tblDaily[DeathsUnder24Hrs],tblDaily[EntryDate],DATE(2026,3,2),tblDaily[WardCode],"FW")),"")</f>
        <v/>
      </c>
      <c r="F86" s="12">
        <f>IFERROR(IF(SUMIFS(tblDaily[TransfersIn],tblDaily[EntryDate],DATE(2026,3,2),tblDaily[WardCode],"FW")=0,"",SUMIFS(tblDaily[TransfersIn],tblDaily[EntryDate],DATE(2026,3,2),tblDaily[WardCode],"FW")),"")</f>
        <v/>
      </c>
      <c r="G86" s="12">
        <f>IFERROR(IF(SUMIFS(tblDaily[TransfersOut],tblDaily[EntryDate],DATE(2026,3,2),tblDaily[WardCode],"FW")=0,"",SUMIFS(tblDaily[TransfersOut],tblDaily[EntryDate],DATE(2026,3,2),tblDaily[WardCode],"FW")),"")</f>
        <v/>
      </c>
      <c r="H86" s="12">
        <f>IFERROR(IF(SUMIFS(tblDaily[Remaining],tblDaily[EntryDate],DATE(2026,3,2),tblDaily[WardCode],"FW")=0,"",SUMIFS(tblDaily[Remaining],tblDaily[EntryDate],DATE(2026,3,2),tblDaily[WardCode],"FW")),"")</f>
        <v/>
      </c>
    </row>
    <row r="87">
      <c r="A87" s="12" t="n">
        <v>3</v>
      </c>
      <c r="B87" s="12">
        <f>IFERROR(IF(SUMIFS(tblDaily[Admissions],tblDaily[EntryDate],DATE(2026,3,3),tblDaily[WardCode],"FW")=0,"",SUMIFS(tblDaily[Admissions],tblDaily[EntryDate],DATE(2026,3,3),tblDaily[WardCode],"FW")),"")</f>
        <v/>
      </c>
      <c r="C87" s="12">
        <f>IFERROR(IF(SUMIFS(tblDaily[Discharges],tblDaily[EntryDate],DATE(2026,3,3),tblDaily[WardCode],"FW")=0,"",SUMIFS(tblDaily[Discharges],tblDaily[EntryDate],DATE(2026,3,3),tblDaily[WardCode],"FW")),"")</f>
        <v/>
      </c>
      <c r="D87" s="12">
        <f>IFERROR(IF(SUMIFS(tblDaily[Deaths],tblDaily[EntryDate],DATE(2026,3,3),tblDaily[WardCode],"FW")=0,"",SUMIFS(tblDaily[Deaths],tblDaily[EntryDate],DATE(2026,3,3),tblDaily[WardCode],"FW")),"")</f>
        <v/>
      </c>
      <c r="E87" s="12">
        <f>IFERROR(IF(SUMIFS(tblDaily[DeathsUnder24Hrs],tblDaily[EntryDate],DATE(2026,3,3),tblDaily[WardCode],"FW")=0,"",SUMIFS(tblDaily[DeathsUnder24Hrs],tblDaily[EntryDate],DATE(2026,3,3),tblDaily[WardCode],"FW")),"")</f>
        <v/>
      </c>
      <c r="F87" s="12">
        <f>IFERROR(IF(SUMIFS(tblDaily[TransfersIn],tblDaily[EntryDate],DATE(2026,3,3),tblDaily[WardCode],"FW")=0,"",SUMIFS(tblDaily[TransfersIn],tblDaily[EntryDate],DATE(2026,3,3),tblDaily[WardCode],"FW")),"")</f>
        <v/>
      </c>
      <c r="G87" s="12">
        <f>IFERROR(IF(SUMIFS(tblDaily[TransfersOut],tblDaily[EntryDate],DATE(2026,3,3),tblDaily[WardCode],"FW")=0,"",SUMIFS(tblDaily[TransfersOut],tblDaily[EntryDate],DATE(2026,3,3),tblDaily[WardCode],"FW")),"")</f>
        <v/>
      </c>
      <c r="H87" s="12">
        <f>IFERROR(IF(SUMIFS(tblDaily[Remaining],tblDaily[EntryDate],DATE(2026,3,3),tblDaily[WardCode],"FW")=0,"",SUMIFS(tblDaily[Remaining],tblDaily[EntryDate],DATE(2026,3,3),tblDaily[WardCode],"FW")),"")</f>
        <v/>
      </c>
    </row>
    <row r="88">
      <c r="A88" s="12" t="n">
        <v>4</v>
      </c>
      <c r="B88" s="12">
        <f>IFERROR(IF(SUMIFS(tblDaily[Admissions],tblDaily[EntryDate],DATE(2026,3,4),tblDaily[WardCode],"FW")=0,"",SUMIFS(tblDaily[Admissions],tblDaily[EntryDate],DATE(2026,3,4),tblDaily[WardCode],"FW")),"")</f>
        <v/>
      </c>
      <c r="C88" s="12">
        <f>IFERROR(IF(SUMIFS(tblDaily[Discharges],tblDaily[EntryDate],DATE(2026,3,4),tblDaily[WardCode],"FW")=0,"",SUMIFS(tblDaily[Discharges],tblDaily[EntryDate],DATE(2026,3,4),tblDaily[WardCode],"FW")),"")</f>
        <v/>
      </c>
      <c r="D88" s="12">
        <f>IFERROR(IF(SUMIFS(tblDaily[Deaths],tblDaily[EntryDate],DATE(2026,3,4),tblDaily[WardCode],"FW")=0,"",SUMIFS(tblDaily[Deaths],tblDaily[EntryDate],DATE(2026,3,4),tblDaily[WardCode],"FW")),"")</f>
        <v/>
      </c>
      <c r="E88" s="12">
        <f>IFERROR(IF(SUMIFS(tblDaily[DeathsUnder24Hrs],tblDaily[EntryDate],DATE(2026,3,4),tblDaily[WardCode],"FW")=0,"",SUMIFS(tblDaily[DeathsUnder24Hrs],tblDaily[EntryDate],DATE(2026,3,4),tblDaily[WardCode],"FW")),"")</f>
        <v/>
      </c>
      <c r="F88" s="12">
        <f>IFERROR(IF(SUMIFS(tblDaily[TransfersIn],tblDaily[EntryDate],DATE(2026,3,4),tblDaily[WardCode],"FW")=0,"",SUMIFS(tblDaily[TransfersIn],tblDaily[EntryDate],DATE(2026,3,4),tblDaily[WardCode],"FW")),"")</f>
        <v/>
      </c>
      <c r="G88" s="12">
        <f>IFERROR(IF(SUMIFS(tblDaily[TransfersOut],tblDaily[EntryDate],DATE(2026,3,4),tblDaily[WardCode],"FW")=0,"",SUMIFS(tblDaily[TransfersOut],tblDaily[EntryDate],DATE(2026,3,4),tblDaily[WardCode],"FW")),"")</f>
        <v/>
      </c>
      <c r="H88" s="12">
        <f>IFERROR(IF(SUMIFS(tblDaily[Remaining],tblDaily[EntryDate],DATE(2026,3,4),tblDaily[WardCode],"FW")=0,"",SUMIFS(tblDaily[Remaining],tblDaily[EntryDate],DATE(2026,3,4),tblDaily[WardCode],"FW")),"")</f>
        <v/>
      </c>
    </row>
    <row r="89">
      <c r="A89" s="12" t="n">
        <v>5</v>
      </c>
      <c r="B89" s="12">
        <f>IFERROR(IF(SUMIFS(tblDaily[Admissions],tblDaily[EntryDate],DATE(2026,3,5),tblDaily[WardCode],"FW")=0,"",SUMIFS(tblDaily[Admissions],tblDaily[EntryDate],DATE(2026,3,5),tblDaily[WardCode],"FW")),"")</f>
        <v/>
      </c>
      <c r="C89" s="12">
        <f>IFERROR(IF(SUMIFS(tblDaily[Discharges],tblDaily[EntryDate],DATE(2026,3,5),tblDaily[WardCode],"FW")=0,"",SUMIFS(tblDaily[Discharges],tblDaily[EntryDate],DATE(2026,3,5),tblDaily[WardCode],"FW")),"")</f>
        <v/>
      </c>
      <c r="D89" s="12">
        <f>IFERROR(IF(SUMIFS(tblDaily[Deaths],tblDaily[EntryDate],DATE(2026,3,5),tblDaily[WardCode],"FW")=0,"",SUMIFS(tblDaily[Deaths],tblDaily[EntryDate],DATE(2026,3,5),tblDaily[WardCode],"FW")),"")</f>
        <v/>
      </c>
      <c r="E89" s="12">
        <f>IFERROR(IF(SUMIFS(tblDaily[DeathsUnder24Hrs],tblDaily[EntryDate],DATE(2026,3,5),tblDaily[WardCode],"FW")=0,"",SUMIFS(tblDaily[DeathsUnder24Hrs],tblDaily[EntryDate],DATE(2026,3,5),tblDaily[WardCode],"FW")),"")</f>
        <v/>
      </c>
      <c r="F89" s="12">
        <f>IFERROR(IF(SUMIFS(tblDaily[TransfersIn],tblDaily[EntryDate],DATE(2026,3,5),tblDaily[WardCode],"FW")=0,"",SUMIFS(tblDaily[TransfersIn],tblDaily[EntryDate],DATE(2026,3,5),tblDaily[WardCode],"FW")),"")</f>
        <v/>
      </c>
      <c r="G89" s="12">
        <f>IFERROR(IF(SUMIFS(tblDaily[TransfersOut],tblDaily[EntryDate],DATE(2026,3,5),tblDaily[WardCode],"FW")=0,"",SUMIFS(tblDaily[TransfersOut],tblDaily[EntryDate],DATE(2026,3,5),tblDaily[WardCode],"FW")),"")</f>
        <v/>
      </c>
      <c r="H89" s="12">
        <f>IFERROR(IF(SUMIFS(tblDaily[Remaining],tblDaily[EntryDate],DATE(2026,3,5),tblDaily[WardCode],"FW")=0,"",SUMIFS(tblDaily[Remaining],tblDaily[EntryDate],DATE(2026,3,5),tblDaily[WardCode],"FW")),"")</f>
        <v/>
      </c>
    </row>
    <row r="90">
      <c r="A90" s="12" t="n">
        <v>6</v>
      </c>
      <c r="B90" s="12">
        <f>IFERROR(IF(SUMIFS(tblDaily[Admissions],tblDaily[EntryDate],DATE(2026,3,6),tblDaily[WardCode],"FW")=0,"",SUMIFS(tblDaily[Admissions],tblDaily[EntryDate],DATE(2026,3,6),tblDaily[WardCode],"FW")),"")</f>
        <v/>
      </c>
      <c r="C90" s="12">
        <f>IFERROR(IF(SUMIFS(tblDaily[Discharges],tblDaily[EntryDate],DATE(2026,3,6),tblDaily[WardCode],"FW")=0,"",SUMIFS(tblDaily[Discharges],tblDaily[EntryDate],DATE(2026,3,6),tblDaily[WardCode],"FW")),"")</f>
        <v/>
      </c>
      <c r="D90" s="12">
        <f>IFERROR(IF(SUMIFS(tblDaily[Deaths],tblDaily[EntryDate],DATE(2026,3,6),tblDaily[WardCode],"FW")=0,"",SUMIFS(tblDaily[Deaths],tblDaily[EntryDate],DATE(2026,3,6),tblDaily[WardCode],"FW")),"")</f>
        <v/>
      </c>
      <c r="E90" s="12">
        <f>IFERROR(IF(SUMIFS(tblDaily[DeathsUnder24Hrs],tblDaily[EntryDate],DATE(2026,3,6),tblDaily[WardCode],"FW")=0,"",SUMIFS(tblDaily[DeathsUnder24Hrs],tblDaily[EntryDate],DATE(2026,3,6),tblDaily[WardCode],"FW")),"")</f>
        <v/>
      </c>
      <c r="F90" s="12">
        <f>IFERROR(IF(SUMIFS(tblDaily[TransfersIn],tblDaily[EntryDate],DATE(2026,3,6),tblDaily[WardCode],"FW")=0,"",SUMIFS(tblDaily[TransfersIn],tblDaily[EntryDate],DATE(2026,3,6),tblDaily[WardCode],"FW")),"")</f>
        <v/>
      </c>
      <c r="G90" s="12">
        <f>IFERROR(IF(SUMIFS(tblDaily[TransfersOut],tblDaily[EntryDate],DATE(2026,3,6),tblDaily[WardCode],"FW")=0,"",SUMIFS(tblDaily[TransfersOut],tblDaily[EntryDate],DATE(2026,3,6),tblDaily[WardCode],"FW")),"")</f>
        <v/>
      </c>
      <c r="H90" s="12">
        <f>IFERROR(IF(SUMIFS(tblDaily[Remaining],tblDaily[EntryDate],DATE(2026,3,6),tblDaily[WardCode],"FW")=0,"",SUMIFS(tblDaily[Remaining],tblDaily[EntryDate],DATE(2026,3,6),tblDaily[WardCode],"FW")),"")</f>
        <v/>
      </c>
    </row>
    <row r="91">
      <c r="A91" s="12" t="n">
        <v>7</v>
      </c>
      <c r="B91" s="12">
        <f>IFERROR(IF(SUMIFS(tblDaily[Admissions],tblDaily[EntryDate],DATE(2026,3,7),tblDaily[WardCode],"FW")=0,"",SUMIFS(tblDaily[Admissions],tblDaily[EntryDate],DATE(2026,3,7),tblDaily[WardCode],"FW")),"")</f>
        <v/>
      </c>
      <c r="C91" s="12">
        <f>IFERROR(IF(SUMIFS(tblDaily[Discharges],tblDaily[EntryDate],DATE(2026,3,7),tblDaily[WardCode],"FW")=0,"",SUMIFS(tblDaily[Discharges],tblDaily[EntryDate],DATE(2026,3,7),tblDaily[WardCode],"FW")),"")</f>
        <v/>
      </c>
      <c r="D91" s="12">
        <f>IFERROR(IF(SUMIFS(tblDaily[Deaths],tblDaily[EntryDate],DATE(2026,3,7),tblDaily[WardCode],"FW")=0,"",SUMIFS(tblDaily[Deaths],tblDaily[EntryDate],DATE(2026,3,7),tblDaily[WardCode],"FW")),"")</f>
        <v/>
      </c>
      <c r="E91" s="12">
        <f>IFERROR(IF(SUMIFS(tblDaily[DeathsUnder24Hrs],tblDaily[EntryDate],DATE(2026,3,7),tblDaily[WardCode],"FW")=0,"",SUMIFS(tblDaily[DeathsUnder24Hrs],tblDaily[EntryDate],DATE(2026,3,7),tblDaily[WardCode],"FW")),"")</f>
        <v/>
      </c>
      <c r="F91" s="12">
        <f>IFERROR(IF(SUMIFS(tblDaily[TransfersIn],tblDaily[EntryDate],DATE(2026,3,7),tblDaily[WardCode],"FW")=0,"",SUMIFS(tblDaily[TransfersIn],tblDaily[EntryDate],DATE(2026,3,7),tblDaily[WardCode],"FW")),"")</f>
        <v/>
      </c>
      <c r="G91" s="12">
        <f>IFERROR(IF(SUMIFS(tblDaily[TransfersOut],tblDaily[EntryDate],DATE(2026,3,7),tblDaily[WardCode],"FW")=0,"",SUMIFS(tblDaily[TransfersOut],tblDaily[EntryDate],DATE(2026,3,7),tblDaily[WardCode],"FW")),"")</f>
        <v/>
      </c>
      <c r="H91" s="12">
        <f>IFERROR(IF(SUMIFS(tblDaily[Remaining],tblDaily[EntryDate],DATE(2026,3,7),tblDaily[WardCode],"FW")=0,"",SUMIFS(tblDaily[Remaining],tblDaily[EntryDate],DATE(2026,3,7),tblDaily[WardCode],"FW")),"")</f>
        <v/>
      </c>
    </row>
    <row r="92">
      <c r="A92" s="12" t="n">
        <v>8</v>
      </c>
      <c r="B92" s="12">
        <f>IFERROR(IF(SUMIFS(tblDaily[Admissions],tblDaily[EntryDate],DATE(2026,3,8),tblDaily[WardCode],"FW")=0,"",SUMIFS(tblDaily[Admissions],tblDaily[EntryDate],DATE(2026,3,8),tblDaily[WardCode],"FW")),"")</f>
        <v/>
      </c>
      <c r="C92" s="12">
        <f>IFERROR(IF(SUMIFS(tblDaily[Discharges],tblDaily[EntryDate],DATE(2026,3,8),tblDaily[WardCode],"FW")=0,"",SUMIFS(tblDaily[Discharges],tblDaily[EntryDate],DATE(2026,3,8),tblDaily[WardCode],"FW")),"")</f>
        <v/>
      </c>
      <c r="D92" s="12">
        <f>IFERROR(IF(SUMIFS(tblDaily[Deaths],tblDaily[EntryDate],DATE(2026,3,8),tblDaily[WardCode],"FW")=0,"",SUMIFS(tblDaily[Deaths],tblDaily[EntryDate],DATE(2026,3,8),tblDaily[WardCode],"FW")),"")</f>
        <v/>
      </c>
      <c r="E92" s="12">
        <f>IFERROR(IF(SUMIFS(tblDaily[DeathsUnder24Hrs],tblDaily[EntryDate],DATE(2026,3,8),tblDaily[WardCode],"FW")=0,"",SUMIFS(tblDaily[DeathsUnder24Hrs],tblDaily[EntryDate],DATE(2026,3,8),tblDaily[WardCode],"FW")),"")</f>
        <v/>
      </c>
      <c r="F92" s="12">
        <f>IFERROR(IF(SUMIFS(tblDaily[TransfersIn],tblDaily[EntryDate],DATE(2026,3,8),tblDaily[WardCode],"FW")=0,"",SUMIFS(tblDaily[TransfersIn],tblDaily[EntryDate],DATE(2026,3,8),tblDaily[WardCode],"FW")),"")</f>
        <v/>
      </c>
      <c r="G92" s="12">
        <f>IFERROR(IF(SUMIFS(tblDaily[TransfersOut],tblDaily[EntryDate],DATE(2026,3,8),tblDaily[WardCode],"FW")=0,"",SUMIFS(tblDaily[TransfersOut],tblDaily[EntryDate],DATE(2026,3,8),tblDaily[WardCode],"FW")),"")</f>
        <v/>
      </c>
      <c r="H92" s="12">
        <f>IFERROR(IF(SUMIFS(tblDaily[Remaining],tblDaily[EntryDate],DATE(2026,3,8),tblDaily[WardCode],"FW")=0,"",SUMIFS(tblDaily[Remaining],tblDaily[EntryDate],DATE(2026,3,8),tblDaily[WardCode],"FW")),"")</f>
        <v/>
      </c>
    </row>
    <row r="93">
      <c r="A93" s="12" t="n">
        <v>9</v>
      </c>
      <c r="B93" s="12">
        <f>IFERROR(IF(SUMIFS(tblDaily[Admissions],tblDaily[EntryDate],DATE(2026,3,9),tblDaily[WardCode],"FW")=0,"",SUMIFS(tblDaily[Admissions],tblDaily[EntryDate],DATE(2026,3,9),tblDaily[WardCode],"FW")),"")</f>
        <v/>
      </c>
      <c r="C93" s="12">
        <f>IFERROR(IF(SUMIFS(tblDaily[Discharges],tblDaily[EntryDate],DATE(2026,3,9),tblDaily[WardCode],"FW")=0,"",SUMIFS(tblDaily[Discharges],tblDaily[EntryDate],DATE(2026,3,9),tblDaily[WardCode],"FW")),"")</f>
        <v/>
      </c>
      <c r="D93" s="12">
        <f>IFERROR(IF(SUMIFS(tblDaily[Deaths],tblDaily[EntryDate],DATE(2026,3,9),tblDaily[WardCode],"FW")=0,"",SUMIFS(tblDaily[Deaths],tblDaily[EntryDate],DATE(2026,3,9),tblDaily[WardCode],"FW")),"")</f>
        <v/>
      </c>
      <c r="E93" s="12">
        <f>IFERROR(IF(SUMIFS(tblDaily[DeathsUnder24Hrs],tblDaily[EntryDate],DATE(2026,3,9),tblDaily[WardCode],"FW")=0,"",SUMIFS(tblDaily[DeathsUnder24Hrs],tblDaily[EntryDate],DATE(2026,3,9),tblDaily[WardCode],"FW")),"")</f>
        <v/>
      </c>
      <c r="F93" s="12">
        <f>IFERROR(IF(SUMIFS(tblDaily[TransfersIn],tblDaily[EntryDate],DATE(2026,3,9),tblDaily[WardCode],"FW")=0,"",SUMIFS(tblDaily[TransfersIn],tblDaily[EntryDate],DATE(2026,3,9),tblDaily[WardCode],"FW")),"")</f>
        <v/>
      </c>
      <c r="G93" s="12">
        <f>IFERROR(IF(SUMIFS(tblDaily[TransfersOut],tblDaily[EntryDate],DATE(2026,3,9),tblDaily[WardCode],"FW")=0,"",SUMIFS(tblDaily[TransfersOut],tblDaily[EntryDate],DATE(2026,3,9),tblDaily[WardCode],"FW")),"")</f>
        <v/>
      </c>
      <c r="H93" s="12">
        <f>IFERROR(IF(SUMIFS(tblDaily[Remaining],tblDaily[EntryDate],DATE(2026,3,9),tblDaily[WardCode],"FW")=0,"",SUMIFS(tblDaily[Remaining],tblDaily[EntryDate],DATE(2026,3,9),tblDaily[WardCode],"FW")),"")</f>
        <v/>
      </c>
    </row>
    <row r="94">
      <c r="A94" s="12" t="n">
        <v>10</v>
      </c>
      <c r="B94" s="12">
        <f>IFERROR(IF(SUMIFS(tblDaily[Admissions],tblDaily[EntryDate],DATE(2026,3,10),tblDaily[WardCode],"FW")=0,"",SUMIFS(tblDaily[Admissions],tblDaily[EntryDate],DATE(2026,3,10),tblDaily[WardCode],"FW")),"")</f>
        <v/>
      </c>
      <c r="C94" s="12">
        <f>IFERROR(IF(SUMIFS(tblDaily[Discharges],tblDaily[EntryDate],DATE(2026,3,10),tblDaily[WardCode],"FW")=0,"",SUMIFS(tblDaily[Discharges],tblDaily[EntryDate],DATE(2026,3,10),tblDaily[WardCode],"FW")),"")</f>
        <v/>
      </c>
      <c r="D94" s="12">
        <f>IFERROR(IF(SUMIFS(tblDaily[Deaths],tblDaily[EntryDate],DATE(2026,3,10),tblDaily[WardCode],"FW")=0,"",SUMIFS(tblDaily[Deaths],tblDaily[EntryDate],DATE(2026,3,10),tblDaily[WardCode],"FW")),"")</f>
        <v/>
      </c>
      <c r="E94" s="12">
        <f>IFERROR(IF(SUMIFS(tblDaily[DeathsUnder24Hrs],tblDaily[EntryDate],DATE(2026,3,10),tblDaily[WardCode],"FW")=0,"",SUMIFS(tblDaily[DeathsUnder24Hrs],tblDaily[EntryDate],DATE(2026,3,10),tblDaily[WardCode],"FW")),"")</f>
        <v/>
      </c>
      <c r="F94" s="12">
        <f>IFERROR(IF(SUMIFS(tblDaily[TransfersIn],tblDaily[EntryDate],DATE(2026,3,10),tblDaily[WardCode],"FW")=0,"",SUMIFS(tblDaily[TransfersIn],tblDaily[EntryDate],DATE(2026,3,10),tblDaily[WardCode],"FW")),"")</f>
        <v/>
      </c>
      <c r="G94" s="12">
        <f>IFERROR(IF(SUMIFS(tblDaily[TransfersOut],tblDaily[EntryDate],DATE(2026,3,10),tblDaily[WardCode],"FW")=0,"",SUMIFS(tblDaily[TransfersOut],tblDaily[EntryDate],DATE(2026,3,10),tblDaily[WardCode],"FW")),"")</f>
        <v/>
      </c>
      <c r="H94" s="12">
        <f>IFERROR(IF(SUMIFS(tblDaily[Remaining],tblDaily[EntryDate],DATE(2026,3,10),tblDaily[WardCode],"FW")=0,"",SUMIFS(tblDaily[Remaining],tblDaily[EntryDate],DATE(2026,3,10),tblDaily[WardCode],"FW")),"")</f>
        <v/>
      </c>
    </row>
    <row r="95">
      <c r="A95" s="12" t="n">
        <v>11</v>
      </c>
      <c r="B95" s="12">
        <f>IFERROR(IF(SUMIFS(tblDaily[Admissions],tblDaily[EntryDate],DATE(2026,3,11),tblDaily[WardCode],"FW")=0,"",SUMIFS(tblDaily[Admissions],tblDaily[EntryDate],DATE(2026,3,11),tblDaily[WardCode],"FW")),"")</f>
        <v/>
      </c>
      <c r="C95" s="12">
        <f>IFERROR(IF(SUMIFS(tblDaily[Discharges],tblDaily[EntryDate],DATE(2026,3,11),tblDaily[WardCode],"FW")=0,"",SUMIFS(tblDaily[Discharges],tblDaily[EntryDate],DATE(2026,3,11),tblDaily[WardCode],"FW")),"")</f>
        <v/>
      </c>
      <c r="D95" s="12">
        <f>IFERROR(IF(SUMIFS(tblDaily[Deaths],tblDaily[EntryDate],DATE(2026,3,11),tblDaily[WardCode],"FW")=0,"",SUMIFS(tblDaily[Deaths],tblDaily[EntryDate],DATE(2026,3,11),tblDaily[WardCode],"FW")),"")</f>
        <v/>
      </c>
      <c r="E95" s="12">
        <f>IFERROR(IF(SUMIFS(tblDaily[DeathsUnder24Hrs],tblDaily[EntryDate],DATE(2026,3,11),tblDaily[WardCode],"FW")=0,"",SUMIFS(tblDaily[DeathsUnder24Hrs],tblDaily[EntryDate],DATE(2026,3,11),tblDaily[WardCode],"FW")),"")</f>
        <v/>
      </c>
      <c r="F95" s="12">
        <f>IFERROR(IF(SUMIFS(tblDaily[TransfersIn],tblDaily[EntryDate],DATE(2026,3,11),tblDaily[WardCode],"FW")=0,"",SUMIFS(tblDaily[TransfersIn],tblDaily[EntryDate],DATE(2026,3,11),tblDaily[WardCode],"FW")),"")</f>
        <v/>
      </c>
      <c r="G95" s="12">
        <f>IFERROR(IF(SUMIFS(tblDaily[TransfersOut],tblDaily[EntryDate],DATE(2026,3,11),tblDaily[WardCode],"FW")=0,"",SUMIFS(tblDaily[TransfersOut],tblDaily[EntryDate],DATE(2026,3,11),tblDaily[WardCode],"FW")),"")</f>
        <v/>
      </c>
      <c r="H95" s="12">
        <f>IFERROR(IF(SUMIFS(tblDaily[Remaining],tblDaily[EntryDate],DATE(2026,3,11),tblDaily[WardCode],"FW")=0,"",SUMIFS(tblDaily[Remaining],tblDaily[EntryDate],DATE(2026,3,11),tblDaily[WardCode],"FW")),"")</f>
        <v/>
      </c>
    </row>
    <row r="96">
      <c r="A96" s="12" t="n">
        <v>12</v>
      </c>
      <c r="B96" s="12">
        <f>IFERROR(IF(SUMIFS(tblDaily[Admissions],tblDaily[EntryDate],DATE(2026,3,12),tblDaily[WardCode],"FW")=0,"",SUMIFS(tblDaily[Admissions],tblDaily[EntryDate],DATE(2026,3,12),tblDaily[WardCode],"FW")),"")</f>
        <v/>
      </c>
      <c r="C96" s="12">
        <f>IFERROR(IF(SUMIFS(tblDaily[Discharges],tblDaily[EntryDate],DATE(2026,3,12),tblDaily[WardCode],"FW")=0,"",SUMIFS(tblDaily[Discharges],tblDaily[EntryDate],DATE(2026,3,12),tblDaily[WardCode],"FW")),"")</f>
        <v/>
      </c>
      <c r="D96" s="12">
        <f>IFERROR(IF(SUMIFS(tblDaily[Deaths],tblDaily[EntryDate],DATE(2026,3,12),tblDaily[WardCode],"FW")=0,"",SUMIFS(tblDaily[Deaths],tblDaily[EntryDate],DATE(2026,3,12),tblDaily[WardCode],"FW")),"")</f>
        <v/>
      </c>
      <c r="E96" s="12">
        <f>IFERROR(IF(SUMIFS(tblDaily[DeathsUnder24Hrs],tblDaily[EntryDate],DATE(2026,3,12),tblDaily[WardCode],"FW")=0,"",SUMIFS(tblDaily[DeathsUnder24Hrs],tblDaily[EntryDate],DATE(2026,3,12),tblDaily[WardCode],"FW")),"")</f>
        <v/>
      </c>
      <c r="F96" s="12">
        <f>IFERROR(IF(SUMIFS(tblDaily[TransfersIn],tblDaily[EntryDate],DATE(2026,3,12),tblDaily[WardCode],"FW")=0,"",SUMIFS(tblDaily[TransfersIn],tblDaily[EntryDate],DATE(2026,3,12),tblDaily[WardCode],"FW")),"")</f>
        <v/>
      </c>
      <c r="G96" s="12">
        <f>IFERROR(IF(SUMIFS(tblDaily[TransfersOut],tblDaily[EntryDate],DATE(2026,3,12),tblDaily[WardCode],"FW")=0,"",SUMIFS(tblDaily[TransfersOut],tblDaily[EntryDate],DATE(2026,3,12),tblDaily[WardCode],"FW")),"")</f>
        <v/>
      </c>
      <c r="H96" s="12">
        <f>IFERROR(IF(SUMIFS(tblDaily[Remaining],tblDaily[EntryDate],DATE(2026,3,12),tblDaily[WardCode],"FW")=0,"",SUMIFS(tblDaily[Remaining],tblDaily[EntryDate],DATE(2026,3,12),tblDaily[WardCode],"FW")),"")</f>
        <v/>
      </c>
    </row>
    <row r="97">
      <c r="A97" s="12" t="n">
        <v>13</v>
      </c>
      <c r="B97" s="12">
        <f>IFERROR(IF(SUMIFS(tblDaily[Admissions],tblDaily[EntryDate],DATE(2026,3,13),tblDaily[WardCode],"FW")=0,"",SUMIFS(tblDaily[Admissions],tblDaily[EntryDate],DATE(2026,3,13),tblDaily[WardCode],"FW")),"")</f>
        <v/>
      </c>
      <c r="C97" s="12">
        <f>IFERROR(IF(SUMIFS(tblDaily[Discharges],tblDaily[EntryDate],DATE(2026,3,13),tblDaily[WardCode],"FW")=0,"",SUMIFS(tblDaily[Discharges],tblDaily[EntryDate],DATE(2026,3,13),tblDaily[WardCode],"FW")),"")</f>
        <v/>
      </c>
      <c r="D97" s="12">
        <f>IFERROR(IF(SUMIFS(tblDaily[Deaths],tblDaily[EntryDate],DATE(2026,3,13),tblDaily[WardCode],"FW")=0,"",SUMIFS(tblDaily[Deaths],tblDaily[EntryDate],DATE(2026,3,13),tblDaily[WardCode],"FW")),"")</f>
        <v/>
      </c>
      <c r="E97" s="12">
        <f>IFERROR(IF(SUMIFS(tblDaily[DeathsUnder24Hrs],tblDaily[EntryDate],DATE(2026,3,13),tblDaily[WardCode],"FW")=0,"",SUMIFS(tblDaily[DeathsUnder24Hrs],tblDaily[EntryDate],DATE(2026,3,13),tblDaily[WardCode],"FW")),"")</f>
        <v/>
      </c>
      <c r="F97" s="12">
        <f>IFERROR(IF(SUMIFS(tblDaily[TransfersIn],tblDaily[EntryDate],DATE(2026,3,13),tblDaily[WardCode],"FW")=0,"",SUMIFS(tblDaily[TransfersIn],tblDaily[EntryDate],DATE(2026,3,13),tblDaily[WardCode],"FW")),"")</f>
        <v/>
      </c>
      <c r="G97" s="12">
        <f>IFERROR(IF(SUMIFS(tblDaily[TransfersOut],tblDaily[EntryDate],DATE(2026,3,13),tblDaily[WardCode],"FW")=0,"",SUMIFS(tblDaily[TransfersOut],tblDaily[EntryDate],DATE(2026,3,13),tblDaily[WardCode],"FW")),"")</f>
        <v/>
      </c>
      <c r="H97" s="12">
        <f>IFERROR(IF(SUMIFS(tblDaily[Remaining],tblDaily[EntryDate],DATE(2026,3,13),tblDaily[WardCode],"FW")=0,"",SUMIFS(tblDaily[Remaining],tblDaily[EntryDate],DATE(2026,3,13),tblDaily[WardCode],"FW")),"")</f>
        <v/>
      </c>
    </row>
    <row r="98">
      <c r="A98" s="12" t="n">
        <v>14</v>
      </c>
      <c r="B98" s="12">
        <f>IFERROR(IF(SUMIFS(tblDaily[Admissions],tblDaily[EntryDate],DATE(2026,3,14),tblDaily[WardCode],"FW")=0,"",SUMIFS(tblDaily[Admissions],tblDaily[EntryDate],DATE(2026,3,14),tblDaily[WardCode],"FW")),"")</f>
        <v/>
      </c>
      <c r="C98" s="12">
        <f>IFERROR(IF(SUMIFS(tblDaily[Discharges],tblDaily[EntryDate],DATE(2026,3,14),tblDaily[WardCode],"FW")=0,"",SUMIFS(tblDaily[Discharges],tblDaily[EntryDate],DATE(2026,3,14),tblDaily[WardCode],"FW")),"")</f>
        <v/>
      </c>
      <c r="D98" s="12">
        <f>IFERROR(IF(SUMIFS(tblDaily[Deaths],tblDaily[EntryDate],DATE(2026,3,14),tblDaily[WardCode],"FW")=0,"",SUMIFS(tblDaily[Deaths],tblDaily[EntryDate],DATE(2026,3,14),tblDaily[WardCode],"FW")),"")</f>
        <v/>
      </c>
      <c r="E98" s="12">
        <f>IFERROR(IF(SUMIFS(tblDaily[DeathsUnder24Hrs],tblDaily[EntryDate],DATE(2026,3,14),tblDaily[WardCode],"FW")=0,"",SUMIFS(tblDaily[DeathsUnder24Hrs],tblDaily[EntryDate],DATE(2026,3,14),tblDaily[WardCode],"FW")),"")</f>
        <v/>
      </c>
      <c r="F98" s="12">
        <f>IFERROR(IF(SUMIFS(tblDaily[TransfersIn],tblDaily[EntryDate],DATE(2026,3,14),tblDaily[WardCode],"FW")=0,"",SUMIFS(tblDaily[TransfersIn],tblDaily[EntryDate],DATE(2026,3,14),tblDaily[WardCode],"FW")),"")</f>
        <v/>
      </c>
      <c r="G98" s="12">
        <f>IFERROR(IF(SUMIFS(tblDaily[TransfersOut],tblDaily[EntryDate],DATE(2026,3,14),tblDaily[WardCode],"FW")=0,"",SUMIFS(tblDaily[TransfersOut],tblDaily[EntryDate],DATE(2026,3,14),tblDaily[WardCode],"FW")),"")</f>
        <v/>
      </c>
      <c r="H98" s="12">
        <f>IFERROR(IF(SUMIFS(tblDaily[Remaining],tblDaily[EntryDate],DATE(2026,3,14),tblDaily[WardCode],"FW")=0,"",SUMIFS(tblDaily[Remaining],tblDaily[EntryDate],DATE(2026,3,14),tblDaily[WardCode],"FW")),"")</f>
        <v/>
      </c>
    </row>
    <row r="99">
      <c r="A99" s="12" t="n">
        <v>15</v>
      </c>
      <c r="B99" s="12">
        <f>IFERROR(IF(SUMIFS(tblDaily[Admissions],tblDaily[EntryDate],DATE(2026,3,15),tblDaily[WardCode],"FW")=0,"",SUMIFS(tblDaily[Admissions],tblDaily[EntryDate],DATE(2026,3,15),tblDaily[WardCode],"FW")),"")</f>
        <v/>
      </c>
      <c r="C99" s="12">
        <f>IFERROR(IF(SUMIFS(tblDaily[Discharges],tblDaily[EntryDate],DATE(2026,3,15),tblDaily[WardCode],"FW")=0,"",SUMIFS(tblDaily[Discharges],tblDaily[EntryDate],DATE(2026,3,15),tblDaily[WardCode],"FW")),"")</f>
        <v/>
      </c>
      <c r="D99" s="12">
        <f>IFERROR(IF(SUMIFS(tblDaily[Deaths],tblDaily[EntryDate],DATE(2026,3,15),tblDaily[WardCode],"FW")=0,"",SUMIFS(tblDaily[Deaths],tblDaily[EntryDate],DATE(2026,3,15),tblDaily[WardCode],"FW")),"")</f>
        <v/>
      </c>
      <c r="E99" s="12">
        <f>IFERROR(IF(SUMIFS(tblDaily[DeathsUnder24Hrs],tblDaily[EntryDate],DATE(2026,3,15),tblDaily[WardCode],"FW")=0,"",SUMIFS(tblDaily[DeathsUnder24Hrs],tblDaily[EntryDate],DATE(2026,3,15),tblDaily[WardCode],"FW")),"")</f>
        <v/>
      </c>
      <c r="F99" s="12">
        <f>IFERROR(IF(SUMIFS(tblDaily[TransfersIn],tblDaily[EntryDate],DATE(2026,3,15),tblDaily[WardCode],"FW")=0,"",SUMIFS(tblDaily[TransfersIn],tblDaily[EntryDate],DATE(2026,3,15),tblDaily[WardCode],"FW")),"")</f>
        <v/>
      </c>
      <c r="G99" s="12">
        <f>IFERROR(IF(SUMIFS(tblDaily[TransfersOut],tblDaily[EntryDate],DATE(2026,3,15),tblDaily[WardCode],"FW")=0,"",SUMIFS(tblDaily[TransfersOut],tblDaily[EntryDate],DATE(2026,3,15),tblDaily[WardCode],"FW")),"")</f>
        <v/>
      </c>
      <c r="H99" s="12">
        <f>IFERROR(IF(SUMIFS(tblDaily[Remaining],tblDaily[EntryDate],DATE(2026,3,15),tblDaily[WardCode],"FW")=0,"",SUMIFS(tblDaily[Remaining],tblDaily[EntryDate],DATE(2026,3,15),tblDaily[WardCode],"FW")),"")</f>
        <v/>
      </c>
    </row>
    <row r="100">
      <c r="A100" s="12" t="n">
        <v>16</v>
      </c>
      <c r="B100" s="12">
        <f>IFERROR(IF(SUMIFS(tblDaily[Admissions],tblDaily[EntryDate],DATE(2026,3,16),tblDaily[WardCode],"FW")=0,"",SUMIFS(tblDaily[Admissions],tblDaily[EntryDate],DATE(2026,3,16),tblDaily[WardCode],"FW")),"")</f>
        <v/>
      </c>
      <c r="C100" s="12">
        <f>IFERROR(IF(SUMIFS(tblDaily[Discharges],tblDaily[EntryDate],DATE(2026,3,16),tblDaily[WardCode],"FW")=0,"",SUMIFS(tblDaily[Discharges],tblDaily[EntryDate],DATE(2026,3,16),tblDaily[WardCode],"FW")),"")</f>
        <v/>
      </c>
      <c r="D100" s="12">
        <f>IFERROR(IF(SUMIFS(tblDaily[Deaths],tblDaily[EntryDate],DATE(2026,3,16),tblDaily[WardCode],"FW")=0,"",SUMIFS(tblDaily[Deaths],tblDaily[EntryDate],DATE(2026,3,16),tblDaily[WardCode],"FW")),"")</f>
        <v/>
      </c>
      <c r="E100" s="12">
        <f>IFERROR(IF(SUMIFS(tblDaily[DeathsUnder24Hrs],tblDaily[EntryDate],DATE(2026,3,16),tblDaily[WardCode],"FW")=0,"",SUMIFS(tblDaily[DeathsUnder24Hrs],tblDaily[EntryDate],DATE(2026,3,16),tblDaily[WardCode],"FW")),"")</f>
        <v/>
      </c>
      <c r="F100" s="12">
        <f>IFERROR(IF(SUMIFS(tblDaily[TransfersIn],tblDaily[EntryDate],DATE(2026,3,16),tblDaily[WardCode],"FW")=0,"",SUMIFS(tblDaily[TransfersIn],tblDaily[EntryDate],DATE(2026,3,16),tblDaily[WardCode],"FW")),"")</f>
        <v/>
      </c>
      <c r="G100" s="12">
        <f>IFERROR(IF(SUMIFS(tblDaily[TransfersOut],tblDaily[EntryDate],DATE(2026,3,16),tblDaily[WardCode],"FW")=0,"",SUMIFS(tblDaily[TransfersOut],tblDaily[EntryDate],DATE(2026,3,16),tblDaily[WardCode],"FW")),"")</f>
        <v/>
      </c>
      <c r="H100" s="12">
        <f>IFERROR(IF(SUMIFS(tblDaily[Remaining],tblDaily[EntryDate],DATE(2026,3,16),tblDaily[WardCode],"FW")=0,"",SUMIFS(tblDaily[Remaining],tblDaily[EntryDate],DATE(2026,3,16),tblDaily[WardCode],"FW")),"")</f>
        <v/>
      </c>
    </row>
    <row r="101">
      <c r="A101" s="12" t="n">
        <v>17</v>
      </c>
      <c r="B101" s="12">
        <f>IFERROR(IF(SUMIFS(tblDaily[Admissions],tblDaily[EntryDate],DATE(2026,3,17),tblDaily[WardCode],"FW")=0,"",SUMIFS(tblDaily[Admissions],tblDaily[EntryDate],DATE(2026,3,17),tblDaily[WardCode],"FW")),"")</f>
        <v/>
      </c>
      <c r="C101" s="12">
        <f>IFERROR(IF(SUMIFS(tblDaily[Discharges],tblDaily[EntryDate],DATE(2026,3,17),tblDaily[WardCode],"FW")=0,"",SUMIFS(tblDaily[Discharges],tblDaily[EntryDate],DATE(2026,3,17),tblDaily[WardCode],"FW")),"")</f>
        <v/>
      </c>
      <c r="D101" s="12">
        <f>IFERROR(IF(SUMIFS(tblDaily[Deaths],tblDaily[EntryDate],DATE(2026,3,17),tblDaily[WardCode],"FW")=0,"",SUMIFS(tblDaily[Deaths],tblDaily[EntryDate],DATE(2026,3,17),tblDaily[WardCode],"FW")),"")</f>
        <v/>
      </c>
      <c r="E101" s="12">
        <f>IFERROR(IF(SUMIFS(tblDaily[DeathsUnder24Hrs],tblDaily[EntryDate],DATE(2026,3,17),tblDaily[WardCode],"FW")=0,"",SUMIFS(tblDaily[DeathsUnder24Hrs],tblDaily[EntryDate],DATE(2026,3,17),tblDaily[WardCode],"FW")),"")</f>
        <v/>
      </c>
      <c r="F101" s="12">
        <f>IFERROR(IF(SUMIFS(tblDaily[TransfersIn],tblDaily[EntryDate],DATE(2026,3,17),tblDaily[WardCode],"FW")=0,"",SUMIFS(tblDaily[TransfersIn],tblDaily[EntryDate],DATE(2026,3,17),tblDaily[WardCode],"FW")),"")</f>
        <v/>
      </c>
      <c r="G101" s="12">
        <f>IFERROR(IF(SUMIFS(tblDaily[TransfersOut],tblDaily[EntryDate],DATE(2026,3,17),tblDaily[WardCode],"FW")=0,"",SUMIFS(tblDaily[TransfersOut],tblDaily[EntryDate],DATE(2026,3,17),tblDaily[WardCode],"FW")),"")</f>
        <v/>
      </c>
      <c r="H101" s="12">
        <f>IFERROR(IF(SUMIFS(tblDaily[Remaining],tblDaily[EntryDate],DATE(2026,3,17),tblDaily[WardCode],"FW")=0,"",SUMIFS(tblDaily[Remaining],tblDaily[EntryDate],DATE(2026,3,17),tblDaily[WardCode],"FW")),"")</f>
        <v/>
      </c>
    </row>
    <row r="102">
      <c r="A102" s="12" t="n">
        <v>18</v>
      </c>
      <c r="B102" s="12">
        <f>IFERROR(IF(SUMIFS(tblDaily[Admissions],tblDaily[EntryDate],DATE(2026,3,18),tblDaily[WardCode],"FW")=0,"",SUMIFS(tblDaily[Admissions],tblDaily[EntryDate],DATE(2026,3,18),tblDaily[WardCode],"FW")),"")</f>
        <v/>
      </c>
      <c r="C102" s="12">
        <f>IFERROR(IF(SUMIFS(tblDaily[Discharges],tblDaily[EntryDate],DATE(2026,3,18),tblDaily[WardCode],"FW")=0,"",SUMIFS(tblDaily[Discharges],tblDaily[EntryDate],DATE(2026,3,18),tblDaily[WardCode],"FW")),"")</f>
        <v/>
      </c>
      <c r="D102" s="12">
        <f>IFERROR(IF(SUMIFS(tblDaily[Deaths],tblDaily[EntryDate],DATE(2026,3,18),tblDaily[WardCode],"FW")=0,"",SUMIFS(tblDaily[Deaths],tblDaily[EntryDate],DATE(2026,3,18),tblDaily[WardCode],"FW")),"")</f>
        <v/>
      </c>
      <c r="E102" s="12">
        <f>IFERROR(IF(SUMIFS(tblDaily[DeathsUnder24Hrs],tblDaily[EntryDate],DATE(2026,3,18),tblDaily[WardCode],"FW")=0,"",SUMIFS(tblDaily[DeathsUnder24Hrs],tblDaily[EntryDate],DATE(2026,3,18),tblDaily[WardCode],"FW")),"")</f>
        <v/>
      </c>
      <c r="F102" s="12">
        <f>IFERROR(IF(SUMIFS(tblDaily[TransfersIn],tblDaily[EntryDate],DATE(2026,3,18),tblDaily[WardCode],"FW")=0,"",SUMIFS(tblDaily[TransfersIn],tblDaily[EntryDate],DATE(2026,3,18),tblDaily[WardCode],"FW")),"")</f>
        <v/>
      </c>
      <c r="G102" s="12">
        <f>IFERROR(IF(SUMIFS(tblDaily[TransfersOut],tblDaily[EntryDate],DATE(2026,3,18),tblDaily[WardCode],"FW")=0,"",SUMIFS(tblDaily[TransfersOut],tblDaily[EntryDate],DATE(2026,3,18),tblDaily[WardCode],"FW")),"")</f>
        <v/>
      </c>
      <c r="H102" s="12">
        <f>IFERROR(IF(SUMIFS(tblDaily[Remaining],tblDaily[EntryDate],DATE(2026,3,18),tblDaily[WardCode],"FW")=0,"",SUMIFS(tblDaily[Remaining],tblDaily[EntryDate],DATE(2026,3,18),tblDaily[WardCode],"FW")),"")</f>
        <v/>
      </c>
    </row>
    <row r="103">
      <c r="A103" s="12" t="n">
        <v>19</v>
      </c>
      <c r="B103" s="12">
        <f>IFERROR(IF(SUMIFS(tblDaily[Admissions],tblDaily[EntryDate],DATE(2026,3,19),tblDaily[WardCode],"FW")=0,"",SUMIFS(tblDaily[Admissions],tblDaily[EntryDate],DATE(2026,3,19),tblDaily[WardCode],"FW")),"")</f>
        <v/>
      </c>
      <c r="C103" s="12">
        <f>IFERROR(IF(SUMIFS(tblDaily[Discharges],tblDaily[EntryDate],DATE(2026,3,19),tblDaily[WardCode],"FW")=0,"",SUMIFS(tblDaily[Discharges],tblDaily[EntryDate],DATE(2026,3,19),tblDaily[WardCode],"FW")),"")</f>
        <v/>
      </c>
      <c r="D103" s="12">
        <f>IFERROR(IF(SUMIFS(tblDaily[Deaths],tblDaily[EntryDate],DATE(2026,3,19),tblDaily[WardCode],"FW")=0,"",SUMIFS(tblDaily[Deaths],tblDaily[EntryDate],DATE(2026,3,19),tblDaily[WardCode],"FW")),"")</f>
        <v/>
      </c>
      <c r="E103" s="12">
        <f>IFERROR(IF(SUMIFS(tblDaily[DeathsUnder24Hrs],tblDaily[EntryDate],DATE(2026,3,19),tblDaily[WardCode],"FW")=0,"",SUMIFS(tblDaily[DeathsUnder24Hrs],tblDaily[EntryDate],DATE(2026,3,19),tblDaily[WardCode],"FW")),"")</f>
        <v/>
      </c>
      <c r="F103" s="12">
        <f>IFERROR(IF(SUMIFS(tblDaily[TransfersIn],tblDaily[EntryDate],DATE(2026,3,19),tblDaily[WardCode],"FW")=0,"",SUMIFS(tblDaily[TransfersIn],tblDaily[EntryDate],DATE(2026,3,19),tblDaily[WardCode],"FW")),"")</f>
        <v/>
      </c>
      <c r="G103" s="12">
        <f>IFERROR(IF(SUMIFS(tblDaily[TransfersOut],tblDaily[EntryDate],DATE(2026,3,19),tblDaily[WardCode],"FW")=0,"",SUMIFS(tblDaily[TransfersOut],tblDaily[EntryDate],DATE(2026,3,19),tblDaily[WardCode],"FW")),"")</f>
        <v/>
      </c>
      <c r="H103" s="12">
        <f>IFERROR(IF(SUMIFS(tblDaily[Remaining],tblDaily[EntryDate],DATE(2026,3,19),tblDaily[WardCode],"FW")=0,"",SUMIFS(tblDaily[Remaining],tblDaily[EntryDate],DATE(2026,3,19),tblDaily[WardCode],"FW")),"")</f>
        <v/>
      </c>
    </row>
    <row r="104">
      <c r="A104" s="12" t="n">
        <v>20</v>
      </c>
      <c r="B104" s="12">
        <f>IFERROR(IF(SUMIFS(tblDaily[Admissions],tblDaily[EntryDate],DATE(2026,3,20),tblDaily[WardCode],"FW")=0,"",SUMIFS(tblDaily[Admissions],tblDaily[EntryDate],DATE(2026,3,20),tblDaily[WardCode],"FW")),"")</f>
        <v/>
      </c>
      <c r="C104" s="12">
        <f>IFERROR(IF(SUMIFS(tblDaily[Discharges],tblDaily[EntryDate],DATE(2026,3,20),tblDaily[WardCode],"FW")=0,"",SUMIFS(tblDaily[Discharges],tblDaily[EntryDate],DATE(2026,3,20),tblDaily[WardCode],"FW")),"")</f>
        <v/>
      </c>
      <c r="D104" s="12">
        <f>IFERROR(IF(SUMIFS(tblDaily[Deaths],tblDaily[EntryDate],DATE(2026,3,20),tblDaily[WardCode],"FW")=0,"",SUMIFS(tblDaily[Deaths],tblDaily[EntryDate],DATE(2026,3,20),tblDaily[WardCode],"FW")),"")</f>
        <v/>
      </c>
      <c r="E104" s="12">
        <f>IFERROR(IF(SUMIFS(tblDaily[DeathsUnder24Hrs],tblDaily[EntryDate],DATE(2026,3,20),tblDaily[WardCode],"FW")=0,"",SUMIFS(tblDaily[DeathsUnder24Hrs],tblDaily[EntryDate],DATE(2026,3,20),tblDaily[WardCode],"FW")),"")</f>
        <v/>
      </c>
      <c r="F104" s="12">
        <f>IFERROR(IF(SUMIFS(tblDaily[TransfersIn],tblDaily[EntryDate],DATE(2026,3,20),tblDaily[WardCode],"FW")=0,"",SUMIFS(tblDaily[TransfersIn],tblDaily[EntryDate],DATE(2026,3,20),tblDaily[WardCode],"FW")),"")</f>
        <v/>
      </c>
      <c r="G104" s="12">
        <f>IFERROR(IF(SUMIFS(tblDaily[TransfersOut],tblDaily[EntryDate],DATE(2026,3,20),tblDaily[WardCode],"FW")=0,"",SUMIFS(tblDaily[TransfersOut],tblDaily[EntryDate],DATE(2026,3,20),tblDaily[WardCode],"FW")),"")</f>
        <v/>
      </c>
      <c r="H104" s="12">
        <f>IFERROR(IF(SUMIFS(tblDaily[Remaining],tblDaily[EntryDate],DATE(2026,3,20),tblDaily[WardCode],"FW")=0,"",SUMIFS(tblDaily[Remaining],tblDaily[EntryDate],DATE(2026,3,20),tblDaily[WardCode],"FW")),"")</f>
        <v/>
      </c>
    </row>
    <row r="105">
      <c r="A105" s="12" t="n">
        <v>21</v>
      </c>
      <c r="B105" s="12">
        <f>IFERROR(IF(SUMIFS(tblDaily[Admissions],tblDaily[EntryDate],DATE(2026,3,21),tblDaily[WardCode],"FW")=0,"",SUMIFS(tblDaily[Admissions],tblDaily[EntryDate],DATE(2026,3,21),tblDaily[WardCode],"FW")),"")</f>
        <v/>
      </c>
      <c r="C105" s="12">
        <f>IFERROR(IF(SUMIFS(tblDaily[Discharges],tblDaily[EntryDate],DATE(2026,3,21),tblDaily[WardCode],"FW")=0,"",SUMIFS(tblDaily[Discharges],tblDaily[EntryDate],DATE(2026,3,21),tblDaily[WardCode],"FW")),"")</f>
        <v/>
      </c>
      <c r="D105" s="12">
        <f>IFERROR(IF(SUMIFS(tblDaily[Deaths],tblDaily[EntryDate],DATE(2026,3,21),tblDaily[WardCode],"FW")=0,"",SUMIFS(tblDaily[Deaths],tblDaily[EntryDate],DATE(2026,3,21),tblDaily[WardCode],"FW")),"")</f>
        <v/>
      </c>
      <c r="E105" s="12">
        <f>IFERROR(IF(SUMIFS(tblDaily[DeathsUnder24Hrs],tblDaily[EntryDate],DATE(2026,3,21),tblDaily[WardCode],"FW")=0,"",SUMIFS(tblDaily[DeathsUnder24Hrs],tblDaily[EntryDate],DATE(2026,3,21),tblDaily[WardCode],"FW")),"")</f>
        <v/>
      </c>
      <c r="F105" s="12">
        <f>IFERROR(IF(SUMIFS(tblDaily[TransfersIn],tblDaily[EntryDate],DATE(2026,3,21),tblDaily[WardCode],"FW")=0,"",SUMIFS(tblDaily[TransfersIn],tblDaily[EntryDate],DATE(2026,3,21),tblDaily[WardCode],"FW")),"")</f>
        <v/>
      </c>
      <c r="G105" s="12">
        <f>IFERROR(IF(SUMIFS(tblDaily[TransfersOut],tblDaily[EntryDate],DATE(2026,3,21),tblDaily[WardCode],"FW")=0,"",SUMIFS(tblDaily[TransfersOut],tblDaily[EntryDate],DATE(2026,3,21),tblDaily[WardCode],"FW")),"")</f>
        <v/>
      </c>
      <c r="H105" s="12">
        <f>IFERROR(IF(SUMIFS(tblDaily[Remaining],tblDaily[EntryDate],DATE(2026,3,21),tblDaily[WardCode],"FW")=0,"",SUMIFS(tblDaily[Remaining],tblDaily[EntryDate],DATE(2026,3,21),tblDaily[WardCode],"FW")),"")</f>
        <v/>
      </c>
    </row>
    <row r="106">
      <c r="A106" s="12" t="n">
        <v>22</v>
      </c>
      <c r="B106" s="12">
        <f>IFERROR(IF(SUMIFS(tblDaily[Admissions],tblDaily[EntryDate],DATE(2026,3,22),tblDaily[WardCode],"FW")=0,"",SUMIFS(tblDaily[Admissions],tblDaily[EntryDate],DATE(2026,3,22),tblDaily[WardCode],"FW")),"")</f>
        <v/>
      </c>
      <c r="C106" s="12">
        <f>IFERROR(IF(SUMIFS(tblDaily[Discharges],tblDaily[EntryDate],DATE(2026,3,22),tblDaily[WardCode],"FW")=0,"",SUMIFS(tblDaily[Discharges],tblDaily[EntryDate],DATE(2026,3,22),tblDaily[WardCode],"FW")),"")</f>
        <v/>
      </c>
      <c r="D106" s="12">
        <f>IFERROR(IF(SUMIFS(tblDaily[Deaths],tblDaily[EntryDate],DATE(2026,3,22),tblDaily[WardCode],"FW")=0,"",SUMIFS(tblDaily[Deaths],tblDaily[EntryDate],DATE(2026,3,22),tblDaily[WardCode],"FW")),"")</f>
        <v/>
      </c>
      <c r="E106" s="12">
        <f>IFERROR(IF(SUMIFS(tblDaily[DeathsUnder24Hrs],tblDaily[EntryDate],DATE(2026,3,22),tblDaily[WardCode],"FW")=0,"",SUMIFS(tblDaily[DeathsUnder24Hrs],tblDaily[EntryDate],DATE(2026,3,22),tblDaily[WardCode],"FW")),"")</f>
        <v/>
      </c>
      <c r="F106" s="12">
        <f>IFERROR(IF(SUMIFS(tblDaily[TransfersIn],tblDaily[EntryDate],DATE(2026,3,22),tblDaily[WardCode],"FW")=0,"",SUMIFS(tblDaily[TransfersIn],tblDaily[EntryDate],DATE(2026,3,22),tblDaily[WardCode],"FW")),"")</f>
        <v/>
      </c>
      <c r="G106" s="12">
        <f>IFERROR(IF(SUMIFS(tblDaily[TransfersOut],tblDaily[EntryDate],DATE(2026,3,22),tblDaily[WardCode],"FW")=0,"",SUMIFS(tblDaily[TransfersOut],tblDaily[EntryDate],DATE(2026,3,22),tblDaily[WardCode],"FW")),"")</f>
        <v/>
      </c>
      <c r="H106" s="12">
        <f>IFERROR(IF(SUMIFS(tblDaily[Remaining],tblDaily[EntryDate],DATE(2026,3,22),tblDaily[WardCode],"FW")=0,"",SUMIFS(tblDaily[Remaining],tblDaily[EntryDate],DATE(2026,3,22),tblDaily[WardCode],"FW")),"")</f>
        <v/>
      </c>
    </row>
    <row r="107">
      <c r="A107" s="12" t="n">
        <v>23</v>
      </c>
      <c r="B107" s="12">
        <f>IFERROR(IF(SUMIFS(tblDaily[Admissions],tblDaily[EntryDate],DATE(2026,3,23),tblDaily[WardCode],"FW")=0,"",SUMIFS(tblDaily[Admissions],tblDaily[EntryDate],DATE(2026,3,23),tblDaily[WardCode],"FW")),"")</f>
        <v/>
      </c>
      <c r="C107" s="12">
        <f>IFERROR(IF(SUMIFS(tblDaily[Discharges],tblDaily[EntryDate],DATE(2026,3,23),tblDaily[WardCode],"FW")=0,"",SUMIFS(tblDaily[Discharges],tblDaily[EntryDate],DATE(2026,3,23),tblDaily[WardCode],"FW")),"")</f>
        <v/>
      </c>
      <c r="D107" s="12">
        <f>IFERROR(IF(SUMIFS(tblDaily[Deaths],tblDaily[EntryDate],DATE(2026,3,23),tblDaily[WardCode],"FW")=0,"",SUMIFS(tblDaily[Deaths],tblDaily[EntryDate],DATE(2026,3,23),tblDaily[WardCode],"FW")),"")</f>
        <v/>
      </c>
      <c r="E107" s="12">
        <f>IFERROR(IF(SUMIFS(tblDaily[DeathsUnder24Hrs],tblDaily[EntryDate],DATE(2026,3,23),tblDaily[WardCode],"FW")=0,"",SUMIFS(tblDaily[DeathsUnder24Hrs],tblDaily[EntryDate],DATE(2026,3,23),tblDaily[WardCode],"FW")),"")</f>
        <v/>
      </c>
      <c r="F107" s="12">
        <f>IFERROR(IF(SUMIFS(tblDaily[TransfersIn],tblDaily[EntryDate],DATE(2026,3,23),tblDaily[WardCode],"FW")=0,"",SUMIFS(tblDaily[TransfersIn],tblDaily[EntryDate],DATE(2026,3,23),tblDaily[WardCode],"FW")),"")</f>
        <v/>
      </c>
      <c r="G107" s="12">
        <f>IFERROR(IF(SUMIFS(tblDaily[TransfersOut],tblDaily[EntryDate],DATE(2026,3,23),tblDaily[WardCode],"FW")=0,"",SUMIFS(tblDaily[TransfersOut],tblDaily[EntryDate],DATE(2026,3,23),tblDaily[WardCode],"FW")),"")</f>
        <v/>
      </c>
      <c r="H107" s="12">
        <f>IFERROR(IF(SUMIFS(tblDaily[Remaining],tblDaily[EntryDate],DATE(2026,3,23),tblDaily[WardCode],"FW")=0,"",SUMIFS(tblDaily[Remaining],tblDaily[EntryDate],DATE(2026,3,23),tblDaily[WardCode],"FW")),"")</f>
        <v/>
      </c>
    </row>
    <row r="108">
      <c r="A108" s="12" t="n">
        <v>24</v>
      </c>
      <c r="B108" s="12">
        <f>IFERROR(IF(SUMIFS(tblDaily[Admissions],tblDaily[EntryDate],DATE(2026,3,24),tblDaily[WardCode],"FW")=0,"",SUMIFS(tblDaily[Admissions],tblDaily[EntryDate],DATE(2026,3,24),tblDaily[WardCode],"FW")),"")</f>
        <v/>
      </c>
      <c r="C108" s="12">
        <f>IFERROR(IF(SUMIFS(tblDaily[Discharges],tblDaily[EntryDate],DATE(2026,3,24),tblDaily[WardCode],"FW")=0,"",SUMIFS(tblDaily[Discharges],tblDaily[EntryDate],DATE(2026,3,24),tblDaily[WardCode],"FW")),"")</f>
        <v/>
      </c>
      <c r="D108" s="12">
        <f>IFERROR(IF(SUMIFS(tblDaily[Deaths],tblDaily[EntryDate],DATE(2026,3,24),tblDaily[WardCode],"FW")=0,"",SUMIFS(tblDaily[Deaths],tblDaily[EntryDate],DATE(2026,3,24),tblDaily[WardCode],"FW")),"")</f>
        <v/>
      </c>
      <c r="E108" s="12">
        <f>IFERROR(IF(SUMIFS(tblDaily[DeathsUnder24Hrs],tblDaily[EntryDate],DATE(2026,3,24),tblDaily[WardCode],"FW")=0,"",SUMIFS(tblDaily[DeathsUnder24Hrs],tblDaily[EntryDate],DATE(2026,3,24),tblDaily[WardCode],"FW")),"")</f>
        <v/>
      </c>
      <c r="F108" s="12">
        <f>IFERROR(IF(SUMIFS(tblDaily[TransfersIn],tblDaily[EntryDate],DATE(2026,3,24),tblDaily[WardCode],"FW")=0,"",SUMIFS(tblDaily[TransfersIn],tblDaily[EntryDate],DATE(2026,3,24),tblDaily[WardCode],"FW")),"")</f>
        <v/>
      </c>
      <c r="G108" s="12">
        <f>IFERROR(IF(SUMIFS(tblDaily[TransfersOut],tblDaily[EntryDate],DATE(2026,3,24),tblDaily[WardCode],"FW")=0,"",SUMIFS(tblDaily[TransfersOut],tblDaily[EntryDate],DATE(2026,3,24),tblDaily[WardCode],"FW")),"")</f>
        <v/>
      </c>
      <c r="H108" s="12">
        <f>IFERROR(IF(SUMIFS(tblDaily[Remaining],tblDaily[EntryDate],DATE(2026,3,24),tblDaily[WardCode],"FW")=0,"",SUMIFS(tblDaily[Remaining],tblDaily[EntryDate],DATE(2026,3,24),tblDaily[WardCode],"FW")),"")</f>
        <v/>
      </c>
    </row>
    <row r="109">
      <c r="A109" s="12" t="n">
        <v>25</v>
      </c>
      <c r="B109" s="12">
        <f>IFERROR(IF(SUMIFS(tblDaily[Admissions],tblDaily[EntryDate],DATE(2026,3,25),tblDaily[WardCode],"FW")=0,"",SUMIFS(tblDaily[Admissions],tblDaily[EntryDate],DATE(2026,3,25),tblDaily[WardCode],"FW")),"")</f>
        <v/>
      </c>
      <c r="C109" s="12">
        <f>IFERROR(IF(SUMIFS(tblDaily[Discharges],tblDaily[EntryDate],DATE(2026,3,25),tblDaily[WardCode],"FW")=0,"",SUMIFS(tblDaily[Discharges],tblDaily[EntryDate],DATE(2026,3,25),tblDaily[WardCode],"FW")),"")</f>
        <v/>
      </c>
      <c r="D109" s="12">
        <f>IFERROR(IF(SUMIFS(tblDaily[Deaths],tblDaily[EntryDate],DATE(2026,3,25),tblDaily[WardCode],"FW")=0,"",SUMIFS(tblDaily[Deaths],tblDaily[EntryDate],DATE(2026,3,25),tblDaily[WardCode],"FW")),"")</f>
        <v/>
      </c>
      <c r="E109" s="12">
        <f>IFERROR(IF(SUMIFS(tblDaily[DeathsUnder24Hrs],tblDaily[EntryDate],DATE(2026,3,25),tblDaily[WardCode],"FW")=0,"",SUMIFS(tblDaily[DeathsUnder24Hrs],tblDaily[EntryDate],DATE(2026,3,25),tblDaily[WardCode],"FW")),"")</f>
        <v/>
      </c>
      <c r="F109" s="12">
        <f>IFERROR(IF(SUMIFS(tblDaily[TransfersIn],tblDaily[EntryDate],DATE(2026,3,25),tblDaily[WardCode],"FW")=0,"",SUMIFS(tblDaily[TransfersIn],tblDaily[EntryDate],DATE(2026,3,25),tblDaily[WardCode],"FW")),"")</f>
        <v/>
      </c>
      <c r="G109" s="12">
        <f>IFERROR(IF(SUMIFS(tblDaily[TransfersOut],tblDaily[EntryDate],DATE(2026,3,25),tblDaily[WardCode],"FW")=0,"",SUMIFS(tblDaily[TransfersOut],tblDaily[EntryDate],DATE(2026,3,25),tblDaily[WardCode],"FW")),"")</f>
        <v/>
      </c>
      <c r="H109" s="12">
        <f>IFERROR(IF(SUMIFS(tblDaily[Remaining],tblDaily[EntryDate],DATE(2026,3,25),tblDaily[WardCode],"FW")=0,"",SUMIFS(tblDaily[Remaining],tblDaily[EntryDate],DATE(2026,3,25),tblDaily[WardCode],"FW")),"")</f>
        <v/>
      </c>
    </row>
    <row r="110">
      <c r="A110" s="12" t="n">
        <v>26</v>
      </c>
      <c r="B110" s="12">
        <f>IFERROR(IF(SUMIFS(tblDaily[Admissions],tblDaily[EntryDate],DATE(2026,3,26),tblDaily[WardCode],"FW")=0,"",SUMIFS(tblDaily[Admissions],tblDaily[EntryDate],DATE(2026,3,26),tblDaily[WardCode],"FW")),"")</f>
        <v/>
      </c>
      <c r="C110" s="12">
        <f>IFERROR(IF(SUMIFS(tblDaily[Discharges],tblDaily[EntryDate],DATE(2026,3,26),tblDaily[WardCode],"FW")=0,"",SUMIFS(tblDaily[Discharges],tblDaily[EntryDate],DATE(2026,3,26),tblDaily[WardCode],"FW")),"")</f>
        <v/>
      </c>
      <c r="D110" s="12">
        <f>IFERROR(IF(SUMIFS(tblDaily[Deaths],tblDaily[EntryDate],DATE(2026,3,26),tblDaily[WardCode],"FW")=0,"",SUMIFS(tblDaily[Deaths],tblDaily[EntryDate],DATE(2026,3,26),tblDaily[WardCode],"FW")),"")</f>
        <v/>
      </c>
      <c r="E110" s="12">
        <f>IFERROR(IF(SUMIFS(tblDaily[DeathsUnder24Hrs],tblDaily[EntryDate],DATE(2026,3,26),tblDaily[WardCode],"FW")=0,"",SUMIFS(tblDaily[DeathsUnder24Hrs],tblDaily[EntryDate],DATE(2026,3,26),tblDaily[WardCode],"FW")),"")</f>
        <v/>
      </c>
      <c r="F110" s="12">
        <f>IFERROR(IF(SUMIFS(tblDaily[TransfersIn],tblDaily[EntryDate],DATE(2026,3,26),tblDaily[WardCode],"FW")=0,"",SUMIFS(tblDaily[TransfersIn],tblDaily[EntryDate],DATE(2026,3,26),tblDaily[WardCode],"FW")),"")</f>
        <v/>
      </c>
      <c r="G110" s="12">
        <f>IFERROR(IF(SUMIFS(tblDaily[TransfersOut],tblDaily[EntryDate],DATE(2026,3,26),tblDaily[WardCode],"FW")=0,"",SUMIFS(tblDaily[TransfersOut],tblDaily[EntryDate],DATE(2026,3,26),tblDaily[WardCode],"FW")),"")</f>
        <v/>
      </c>
      <c r="H110" s="12">
        <f>IFERROR(IF(SUMIFS(tblDaily[Remaining],tblDaily[EntryDate],DATE(2026,3,26),tblDaily[WardCode],"FW")=0,"",SUMIFS(tblDaily[Remaining],tblDaily[EntryDate],DATE(2026,3,26),tblDaily[WardCode],"FW")),"")</f>
        <v/>
      </c>
    </row>
    <row r="111">
      <c r="A111" s="12" t="n">
        <v>27</v>
      </c>
      <c r="B111" s="12">
        <f>IFERROR(IF(SUMIFS(tblDaily[Admissions],tblDaily[EntryDate],DATE(2026,3,27),tblDaily[WardCode],"FW")=0,"",SUMIFS(tblDaily[Admissions],tblDaily[EntryDate],DATE(2026,3,27),tblDaily[WardCode],"FW")),"")</f>
        <v/>
      </c>
      <c r="C111" s="12">
        <f>IFERROR(IF(SUMIFS(tblDaily[Discharges],tblDaily[EntryDate],DATE(2026,3,27),tblDaily[WardCode],"FW")=0,"",SUMIFS(tblDaily[Discharges],tblDaily[EntryDate],DATE(2026,3,27),tblDaily[WardCode],"FW")),"")</f>
        <v/>
      </c>
      <c r="D111" s="12">
        <f>IFERROR(IF(SUMIFS(tblDaily[Deaths],tblDaily[EntryDate],DATE(2026,3,27),tblDaily[WardCode],"FW")=0,"",SUMIFS(tblDaily[Deaths],tblDaily[EntryDate],DATE(2026,3,27),tblDaily[WardCode],"FW")),"")</f>
        <v/>
      </c>
      <c r="E111" s="12">
        <f>IFERROR(IF(SUMIFS(tblDaily[DeathsUnder24Hrs],tblDaily[EntryDate],DATE(2026,3,27),tblDaily[WardCode],"FW")=0,"",SUMIFS(tblDaily[DeathsUnder24Hrs],tblDaily[EntryDate],DATE(2026,3,27),tblDaily[WardCode],"FW")),"")</f>
        <v/>
      </c>
      <c r="F111" s="12">
        <f>IFERROR(IF(SUMIFS(tblDaily[TransfersIn],tblDaily[EntryDate],DATE(2026,3,27),tblDaily[WardCode],"FW")=0,"",SUMIFS(tblDaily[TransfersIn],tblDaily[EntryDate],DATE(2026,3,27),tblDaily[WardCode],"FW")),"")</f>
        <v/>
      </c>
      <c r="G111" s="12">
        <f>IFERROR(IF(SUMIFS(tblDaily[TransfersOut],tblDaily[EntryDate],DATE(2026,3,27),tblDaily[WardCode],"FW")=0,"",SUMIFS(tblDaily[TransfersOut],tblDaily[EntryDate],DATE(2026,3,27),tblDaily[WardCode],"FW")),"")</f>
        <v/>
      </c>
      <c r="H111" s="12">
        <f>IFERROR(IF(SUMIFS(tblDaily[Remaining],tblDaily[EntryDate],DATE(2026,3,27),tblDaily[WardCode],"FW")=0,"",SUMIFS(tblDaily[Remaining],tblDaily[EntryDate],DATE(2026,3,27),tblDaily[WardCode],"FW")),"")</f>
        <v/>
      </c>
    </row>
    <row r="112">
      <c r="A112" s="12" t="n">
        <v>28</v>
      </c>
      <c r="B112" s="12">
        <f>IFERROR(IF(SUMIFS(tblDaily[Admissions],tblDaily[EntryDate],DATE(2026,3,28),tblDaily[WardCode],"FW")=0,"",SUMIFS(tblDaily[Admissions],tblDaily[EntryDate],DATE(2026,3,28),tblDaily[WardCode],"FW")),"")</f>
        <v/>
      </c>
      <c r="C112" s="12">
        <f>IFERROR(IF(SUMIFS(tblDaily[Discharges],tblDaily[EntryDate],DATE(2026,3,28),tblDaily[WardCode],"FW")=0,"",SUMIFS(tblDaily[Discharges],tblDaily[EntryDate],DATE(2026,3,28),tblDaily[WardCode],"FW")),"")</f>
        <v/>
      </c>
      <c r="D112" s="12">
        <f>IFERROR(IF(SUMIFS(tblDaily[Deaths],tblDaily[EntryDate],DATE(2026,3,28),tblDaily[WardCode],"FW")=0,"",SUMIFS(tblDaily[Deaths],tblDaily[EntryDate],DATE(2026,3,28),tblDaily[WardCode],"FW")),"")</f>
        <v/>
      </c>
      <c r="E112" s="12">
        <f>IFERROR(IF(SUMIFS(tblDaily[DeathsUnder24Hrs],tblDaily[EntryDate],DATE(2026,3,28),tblDaily[WardCode],"FW")=0,"",SUMIFS(tblDaily[DeathsUnder24Hrs],tblDaily[EntryDate],DATE(2026,3,28),tblDaily[WardCode],"FW")),"")</f>
        <v/>
      </c>
      <c r="F112" s="12">
        <f>IFERROR(IF(SUMIFS(tblDaily[TransfersIn],tblDaily[EntryDate],DATE(2026,3,28),tblDaily[WardCode],"FW")=0,"",SUMIFS(tblDaily[TransfersIn],tblDaily[EntryDate],DATE(2026,3,28),tblDaily[WardCode],"FW")),"")</f>
        <v/>
      </c>
      <c r="G112" s="12">
        <f>IFERROR(IF(SUMIFS(tblDaily[TransfersOut],tblDaily[EntryDate],DATE(2026,3,28),tblDaily[WardCode],"FW")=0,"",SUMIFS(tblDaily[TransfersOut],tblDaily[EntryDate],DATE(2026,3,28),tblDaily[WardCode],"FW")),"")</f>
        <v/>
      </c>
      <c r="H112" s="12">
        <f>IFERROR(IF(SUMIFS(tblDaily[Remaining],tblDaily[EntryDate],DATE(2026,3,28),tblDaily[WardCode],"FW")=0,"",SUMIFS(tblDaily[Remaining],tblDaily[EntryDate],DATE(2026,3,28),tblDaily[WardCode],"FW")),"")</f>
        <v/>
      </c>
    </row>
    <row r="113">
      <c r="A113" s="12" t="n">
        <v>29</v>
      </c>
      <c r="B113" s="12">
        <f>IFERROR(IF(SUMIFS(tblDaily[Admissions],tblDaily[EntryDate],DATE(2026,3,29),tblDaily[WardCode],"FW")=0,"",SUMIFS(tblDaily[Admissions],tblDaily[EntryDate],DATE(2026,3,29),tblDaily[WardCode],"FW")),"")</f>
        <v/>
      </c>
      <c r="C113" s="12">
        <f>IFERROR(IF(SUMIFS(tblDaily[Discharges],tblDaily[EntryDate],DATE(2026,3,29),tblDaily[WardCode],"FW")=0,"",SUMIFS(tblDaily[Discharges],tblDaily[EntryDate],DATE(2026,3,29),tblDaily[WardCode],"FW")),"")</f>
        <v/>
      </c>
      <c r="D113" s="12">
        <f>IFERROR(IF(SUMIFS(tblDaily[Deaths],tblDaily[EntryDate],DATE(2026,3,29),tblDaily[WardCode],"FW")=0,"",SUMIFS(tblDaily[Deaths],tblDaily[EntryDate],DATE(2026,3,29),tblDaily[WardCode],"FW")),"")</f>
        <v/>
      </c>
      <c r="E113" s="12">
        <f>IFERROR(IF(SUMIFS(tblDaily[DeathsUnder24Hrs],tblDaily[EntryDate],DATE(2026,3,29),tblDaily[WardCode],"FW")=0,"",SUMIFS(tblDaily[DeathsUnder24Hrs],tblDaily[EntryDate],DATE(2026,3,29),tblDaily[WardCode],"FW")),"")</f>
        <v/>
      </c>
      <c r="F113" s="12">
        <f>IFERROR(IF(SUMIFS(tblDaily[TransfersIn],tblDaily[EntryDate],DATE(2026,3,29),tblDaily[WardCode],"FW")=0,"",SUMIFS(tblDaily[TransfersIn],tblDaily[EntryDate],DATE(2026,3,29),tblDaily[WardCode],"FW")),"")</f>
        <v/>
      </c>
      <c r="G113" s="12">
        <f>IFERROR(IF(SUMIFS(tblDaily[TransfersOut],tblDaily[EntryDate],DATE(2026,3,29),tblDaily[WardCode],"FW")=0,"",SUMIFS(tblDaily[TransfersOut],tblDaily[EntryDate],DATE(2026,3,29),tblDaily[WardCode],"FW")),"")</f>
        <v/>
      </c>
      <c r="H113" s="12">
        <f>IFERROR(IF(SUMIFS(tblDaily[Remaining],tblDaily[EntryDate],DATE(2026,3,29),tblDaily[WardCode],"FW")=0,"",SUMIFS(tblDaily[Remaining],tblDaily[EntryDate],DATE(2026,3,29),tblDaily[WardCode],"FW")),"")</f>
        <v/>
      </c>
    </row>
    <row r="114">
      <c r="A114" s="12" t="n">
        <v>30</v>
      </c>
      <c r="B114" s="12">
        <f>IFERROR(IF(SUMIFS(tblDaily[Admissions],tblDaily[EntryDate],DATE(2026,3,30),tblDaily[WardCode],"FW")=0,"",SUMIFS(tblDaily[Admissions],tblDaily[EntryDate],DATE(2026,3,30),tblDaily[WardCode],"FW")),"")</f>
        <v/>
      </c>
      <c r="C114" s="12">
        <f>IFERROR(IF(SUMIFS(tblDaily[Discharges],tblDaily[EntryDate],DATE(2026,3,30),tblDaily[WardCode],"FW")=0,"",SUMIFS(tblDaily[Discharges],tblDaily[EntryDate],DATE(2026,3,30),tblDaily[WardCode],"FW")),"")</f>
        <v/>
      </c>
      <c r="D114" s="12">
        <f>IFERROR(IF(SUMIFS(tblDaily[Deaths],tblDaily[EntryDate],DATE(2026,3,30),tblDaily[WardCode],"FW")=0,"",SUMIFS(tblDaily[Deaths],tblDaily[EntryDate],DATE(2026,3,30),tblDaily[WardCode],"FW")),"")</f>
        <v/>
      </c>
      <c r="E114" s="12">
        <f>IFERROR(IF(SUMIFS(tblDaily[DeathsUnder24Hrs],tblDaily[EntryDate],DATE(2026,3,30),tblDaily[WardCode],"FW")=0,"",SUMIFS(tblDaily[DeathsUnder24Hrs],tblDaily[EntryDate],DATE(2026,3,30),tblDaily[WardCode],"FW")),"")</f>
        <v/>
      </c>
      <c r="F114" s="12">
        <f>IFERROR(IF(SUMIFS(tblDaily[TransfersIn],tblDaily[EntryDate],DATE(2026,3,30),tblDaily[WardCode],"FW")=0,"",SUMIFS(tblDaily[TransfersIn],tblDaily[EntryDate],DATE(2026,3,30),tblDaily[WardCode],"FW")),"")</f>
        <v/>
      </c>
      <c r="G114" s="12">
        <f>IFERROR(IF(SUMIFS(tblDaily[TransfersOut],tblDaily[EntryDate],DATE(2026,3,30),tblDaily[WardCode],"FW")=0,"",SUMIFS(tblDaily[TransfersOut],tblDaily[EntryDate],DATE(2026,3,30),tblDaily[WardCode],"FW")),"")</f>
        <v/>
      </c>
      <c r="H114" s="12">
        <f>IFERROR(IF(SUMIFS(tblDaily[Remaining],tblDaily[EntryDate],DATE(2026,3,30),tblDaily[WardCode],"FW")=0,"",SUMIFS(tblDaily[Remaining],tblDaily[EntryDate],DATE(2026,3,30),tblDaily[WardCode],"FW")),"")</f>
        <v/>
      </c>
    </row>
    <row r="115">
      <c r="A115" s="12" t="n">
        <v>31</v>
      </c>
      <c r="B115" s="12">
        <f>IFERROR(IF(SUMIFS(tblDaily[Admissions],tblDaily[EntryDate],DATE(2026,3,31),tblDaily[WardCode],"FW")=0,"",SUMIFS(tblDaily[Admissions],tblDaily[EntryDate],DATE(2026,3,31),tblDaily[WardCode],"FW")),"")</f>
        <v/>
      </c>
      <c r="C115" s="12">
        <f>IFERROR(IF(SUMIFS(tblDaily[Discharges],tblDaily[EntryDate],DATE(2026,3,31),tblDaily[WardCode],"FW")=0,"",SUMIFS(tblDaily[Discharges],tblDaily[EntryDate],DATE(2026,3,31),tblDaily[WardCode],"FW")),"")</f>
        <v/>
      </c>
      <c r="D115" s="12">
        <f>IFERROR(IF(SUMIFS(tblDaily[Deaths],tblDaily[EntryDate],DATE(2026,3,31),tblDaily[WardCode],"FW")=0,"",SUMIFS(tblDaily[Deaths],tblDaily[EntryDate],DATE(2026,3,31),tblDaily[WardCode],"FW")),"")</f>
        <v/>
      </c>
      <c r="E115" s="12">
        <f>IFERROR(IF(SUMIFS(tblDaily[DeathsUnder24Hrs],tblDaily[EntryDate],DATE(2026,3,31),tblDaily[WardCode],"FW")=0,"",SUMIFS(tblDaily[DeathsUnder24Hrs],tblDaily[EntryDate],DATE(2026,3,31),tblDaily[WardCode],"FW")),"")</f>
        <v/>
      </c>
      <c r="F115" s="12">
        <f>IFERROR(IF(SUMIFS(tblDaily[TransfersIn],tblDaily[EntryDate],DATE(2026,3,31),tblDaily[WardCode],"FW")=0,"",SUMIFS(tblDaily[TransfersIn],tblDaily[EntryDate],DATE(2026,3,31),tblDaily[WardCode],"FW")),"")</f>
        <v/>
      </c>
      <c r="G115" s="12">
        <f>IFERROR(IF(SUMIFS(tblDaily[TransfersOut],tblDaily[EntryDate],DATE(2026,3,31),tblDaily[WardCode],"FW")=0,"",SUMIFS(tblDaily[TransfersOut],tblDaily[EntryDate],DATE(2026,3,31),tblDaily[WardCode],"FW")),"")</f>
        <v/>
      </c>
      <c r="H115" s="12">
        <f>IFERROR(IF(SUMIFS(tblDaily[Remaining],tblDaily[EntryDate],DATE(2026,3,31),tblDaily[WardCode],"FW")=0,"",SUMIFS(tblDaily[Remaining],tblDaily[EntryDate],DATE(2026,3,31),tblDaily[WardCode],"FW")),"")</f>
        <v/>
      </c>
    </row>
    <row r="116">
      <c r="A116" s="17" t="inlineStr">
        <is>
          <t>TOTAL</t>
        </is>
      </c>
      <c r="B116" s="17">
        <f>SUMIFS(tblDaily[Admissions],tblDaily[Month],3,tblDaily[WardCode],"FW") - SUMIFS(tblDaily[DeathsUnder24Hrs],tblDaily[Month],3,tblDaily[WardCode],"FW")</f>
        <v/>
      </c>
      <c r="C116" s="17">
        <f>SUMIFS(tblDaily[Discharges],tblDaily[Month],3,tblDaily[WardCode],"FW")</f>
        <v/>
      </c>
      <c r="D116" s="17">
        <f>SUMIFS(tblDaily[Deaths],tblDaily[Month],3,tblDaily[WardCode],"FW")</f>
        <v/>
      </c>
      <c r="E116" s="17">
        <f>SUMIFS(tblDaily[DeathsUnder24Hrs],tblDaily[Month],3,tblDaily[WardCode],"FW")</f>
        <v/>
      </c>
      <c r="F116" s="17">
        <f>SUMIFS(tblDaily[TransfersIn],tblDaily[Month],3,tblDaily[WardCode],"FW")</f>
        <v/>
      </c>
      <c r="G116" s="17">
        <f>SUMIFS(tblDaily[TransfersOut],tblDaily[Month],3,tblDaily[WardCode],"FW")</f>
        <v/>
      </c>
      <c r="H116" s="17">
        <f>SUMIFS(tblDaily[Remaining],tblDaily[Month],3,tblDaily[WardCode],"FW")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FEMALE MEDICAL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4">
        <f>IFERROR(SUMIFS(tblDaily[Remaining],tblDaily[EntryDate],DATE(2026,3,31),tblDaily[WardCode],"FW"),0)</f>
        <v/>
      </c>
    </row>
    <row r="122">
      <c r="A122" s="4" t="inlineStr">
        <is>
          <t>Bed complement</t>
        </is>
      </c>
      <c r="H122" s="15">
        <f>IFERROR(INDEX(tblWardConfig[BedComplement],MATCH("FW",tblWardConfig[WardCode],0)),0)</f>
        <v/>
      </c>
    </row>
    <row r="123">
      <c r="A123" s="16" t="inlineStr">
        <is>
          <t>Day of
the
Month</t>
        </is>
      </c>
      <c r="B123" s="16" t="inlineStr">
        <is>
          <t>Admissions</t>
        </is>
      </c>
      <c r="C123" s="16" t="inlineStr">
        <is>
          <t>Discharges</t>
        </is>
      </c>
      <c r="D123" s="16" t="inlineStr">
        <is>
          <t>Deaths</t>
        </is>
      </c>
      <c r="E123" s="16" t="inlineStr">
        <is>
          <t>Deaths
&lt;24Hrs</t>
        </is>
      </c>
      <c r="F123" s="16" t="inlineStr">
        <is>
          <t>Transfers-
In</t>
        </is>
      </c>
      <c r="G123" s="16" t="inlineStr">
        <is>
          <t>Transfers-
Out</t>
        </is>
      </c>
      <c r="H123" s="16" t="inlineStr">
        <is>
          <t>No. of Patients
Remaining In
Ward</t>
        </is>
      </c>
    </row>
    <row r="124">
      <c r="A124" s="12" t="n">
        <v>1</v>
      </c>
      <c r="B124" s="12">
        <f>IFERROR(IF(SUMIFS(tblDaily[Admissions],tblDaily[EntryDate],DATE(2026,4,1),tblDaily[WardCode],"FW")=0,"",SUMIFS(tblDaily[Admissions],tblDaily[EntryDate],DATE(2026,4,1),tblDaily[WardCode],"FW")),"")</f>
        <v/>
      </c>
      <c r="C124" s="12">
        <f>IFERROR(IF(SUMIFS(tblDaily[Discharges],tblDaily[EntryDate],DATE(2026,4,1),tblDaily[WardCode],"FW")=0,"",SUMIFS(tblDaily[Discharges],tblDaily[EntryDate],DATE(2026,4,1),tblDaily[WardCode],"FW")),"")</f>
        <v/>
      </c>
      <c r="D124" s="12">
        <f>IFERROR(IF(SUMIFS(tblDaily[Deaths],tblDaily[EntryDate],DATE(2026,4,1),tblDaily[WardCode],"FW")=0,"",SUMIFS(tblDaily[Deaths],tblDaily[EntryDate],DATE(2026,4,1),tblDaily[WardCode],"FW")),"")</f>
        <v/>
      </c>
      <c r="E124" s="12">
        <f>IFERROR(IF(SUMIFS(tblDaily[DeathsUnder24Hrs],tblDaily[EntryDate],DATE(2026,4,1),tblDaily[WardCode],"FW")=0,"",SUMIFS(tblDaily[DeathsUnder24Hrs],tblDaily[EntryDate],DATE(2026,4,1),tblDaily[WardCode],"FW")),"")</f>
        <v/>
      </c>
      <c r="F124" s="12">
        <f>IFERROR(IF(SUMIFS(tblDaily[TransfersIn],tblDaily[EntryDate],DATE(2026,4,1),tblDaily[WardCode],"FW")=0,"",SUMIFS(tblDaily[TransfersIn],tblDaily[EntryDate],DATE(2026,4,1),tblDaily[WardCode],"FW")),"")</f>
        <v/>
      </c>
      <c r="G124" s="12">
        <f>IFERROR(IF(SUMIFS(tblDaily[TransfersOut],tblDaily[EntryDate],DATE(2026,4,1),tblDaily[WardCode],"FW")=0,"",SUMIFS(tblDaily[TransfersOut],tblDaily[EntryDate],DATE(2026,4,1),tblDaily[WardCode],"FW")),"")</f>
        <v/>
      </c>
      <c r="H124" s="12">
        <f>IFERROR(IF(SUMIFS(tblDaily[Remaining],tblDaily[EntryDate],DATE(2026,4,1),tblDaily[WardCode],"FW")=0,"",SUMIFS(tblDaily[Remaining],tblDaily[EntryDate],DATE(2026,4,1),tblDaily[WardCode],"FW")),"")</f>
        <v/>
      </c>
    </row>
    <row r="125">
      <c r="A125" s="12" t="n">
        <v>2</v>
      </c>
      <c r="B125" s="12">
        <f>IFERROR(IF(SUMIFS(tblDaily[Admissions],tblDaily[EntryDate],DATE(2026,4,2),tblDaily[WardCode],"FW")=0,"",SUMIFS(tblDaily[Admissions],tblDaily[EntryDate],DATE(2026,4,2),tblDaily[WardCode],"FW")),"")</f>
        <v/>
      </c>
      <c r="C125" s="12">
        <f>IFERROR(IF(SUMIFS(tblDaily[Discharges],tblDaily[EntryDate],DATE(2026,4,2),tblDaily[WardCode],"FW")=0,"",SUMIFS(tblDaily[Discharges],tblDaily[EntryDate],DATE(2026,4,2),tblDaily[WardCode],"FW")),"")</f>
        <v/>
      </c>
      <c r="D125" s="12">
        <f>IFERROR(IF(SUMIFS(tblDaily[Deaths],tblDaily[EntryDate],DATE(2026,4,2),tblDaily[WardCode],"FW")=0,"",SUMIFS(tblDaily[Deaths],tblDaily[EntryDate],DATE(2026,4,2),tblDaily[WardCode],"FW")),"")</f>
        <v/>
      </c>
      <c r="E125" s="12">
        <f>IFERROR(IF(SUMIFS(tblDaily[DeathsUnder24Hrs],tblDaily[EntryDate],DATE(2026,4,2),tblDaily[WardCode],"FW")=0,"",SUMIFS(tblDaily[DeathsUnder24Hrs],tblDaily[EntryDate],DATE(2026,4,2),tblDaily[WardCode],"FW")),"")</f>
        <v/>
      </c>
      <c r="F125" s="12">
        <f>IFERROR(IF(SUMIFS(tblDaily[TransfersIn],tblDaily[EntryDate],DATE(2026,4,2),tblDaily[WardCode],"FW")=0,"",SUMIFS(tblDaily[TransfersIn],tblDaily[EntryDate],DATE(2026,4,2),tblDaily[WardCode],"FW")),"")</f>
        <v/>
      </c>
      <c r="G125" s="12">
        <f>IFERROR(IF(SUMIFS(tblDaily[TransfersOut],tblDaily[EntryDate],DATE(2026,4,2),tblDaily[WardCode],"FW")=0,"",SUMIFS(tblDaily[TransfersOut],tblDaily[EntryDate],DATE(2026,4,2),tblDaily[WardCode],"FW")),"")</f>
        <v/>
      </c>
      <c r="H125" s="12">
        <f>IFERROR(IF(SUMIFS(tblDaily[Remaining],tblDaily[EntryDate],DATE(2026,4,2),tblDaily[WardCode],"FW")=0,"",SUMIFS(tblDaily[Remaining],tblDaily[EntryDate],DATE(2026,4,2),tblDaily[WardCode],"FW")),"")</f>
        <v/>
      </c>
    </row>
    <row r="126">
      <c r="A126" s="12" t="n">
        <v>3</v>
      </c>
      <c r="B126" s="12">
        <f>IFERROR(IF(SUMIFS(tblDaily[Admissions],tblDaily[EntryDate],DATE(2026,4,3),tblDaily[WardCode],"FW")=0,"",SUMIFS(tblDaily[Admissions],tblDaily[EntryDate],DATE(2026,4,3),tblDaily[WardCode],"FW")),"")</f>
        <v/>
      </c>
      <c r="C126" s="12">
        <f>IFERROR(IF(SUMIFS(tblDaily[Discharges],tblDaily[EntryDate],DATE(2026,4,3),tblDaily[WardCode],"FW")=0,"",SUMIFS(tblDaily[Discharges],tblDaily[EntryDate],DATE(2026,4,3),tblDaily[WardCode],"FW")),"")</f>
        <v/>
      </c>
      <c r="D126" s="12">
        <f>IFERROR(IF(SUMIFS(tblDaily[Deaths],tblDaily[EntryDate],DATE(2026,4,3),tblDaily[WardCode],"FW")=0,"",SUMIFS(tblDaily[Deaths],tblDaily[EntryDate],DATE(2026,4,3),tblDaily[WardCode],"FW")),"")</f>
        <v/>
      </c>
      <c r="E126" s="12">
        <f>IFERROR(IF(SUMIFS(tblDaily[DeathsUnder24Hrs],tblDaily[EntryDate],DATE(2026,4,3),tblDaily[WardCode],"FW")=0,"",SUMIFS(tblDaily[DeathsUnder24Hrs],tblDaily[EntryDate],DATE(2026,4,3),tblDaily[WardCode],"FW")),"")</f>
        <v/>
      </c>
      <c r="F126" s="12">
        <f>IFERROR(IF(SUMIFS(tblDaily[TransfersIn],tblDaily[EntryDate],DATE(2026,4,3),tblDaily[WardCode],"FW")=0,"",SUMIFS(tblDaily[TransfersIn],tblDaily[EntryDate],DATE(2026,4,3),tblDaily[WardCode],"FW")),"")</f>
        <v/>
      </c>
      <c r="G126" s="12">
        <f>IFERROR(IF(SUMIFS(tblDaily[TransfersOut],tblDaily[EntryDate],DATE(2026,4,3),tblDaily[WardCode],"FW")=0,"",SUMIFS(tblDaily[TransfersOut],tblDaily[EntryDate],DATE(2026,4,3),tblDaily[WardCode],"FW")),"")</f>
        <v/>
      </c>
      <c r="H126" s="12">
        <f>IFERROR(IF(SUMIFS(tblDaily[Remaining],tblDaily[EntryDate],DATE(2026,4,3),tblDaily[WardCode],"FW")=0,"",SUMIFS(tblDaily[Remaining],tblDaily[EntryDate],DATE(2026,4,3),tblDaily[WardCode],"FW")),"")</f>
        <v/>
      </c>
    </row>
    <row r="127">
      <c r="A127" s="12" t="n">
        <v>4</v>
      </c>
      <c r="B127" s="12">
        <f>IFERROR(IF(SUMIFS(tblDaily[Admissions],tblDaily[EntryDate],DATE(2026,4,4),tblDaily[WardCode],"FW")=0,"",SUMIFS(tblDaily[Admissions],tblDaily[EntryDate],DATE(2026,4,4),tblDaily[WardCode],"FW")),"")</f>
        <v/>
      </c>
      <c r="C127" s="12">
        <f>IFERROR(IF(SUMIFS(tblDaily[Discharges],tblDaily[EntryDate],DATE(2026,4,4),tblDaily[WardCode],"FW")=0,"",SUMIFS(tblDaily[Discharges],tblDaily[EntryDate],DATE(2026,4,4),tblDaily[WardCode],"FW")),"")</f>
        <v/>
      </c>
      <c r="D127" s="12">
        <f>IFERROR(IF(SUMIFS(tblDaily[Deaths],tblDaily[EntryDate],DATE(2026,4,4),tblDaily[WardCode],"FW")=0,"",SUMIFS(tblDaily[Deaths],tblDaily[EntryDate],DATE(2026,4,4),tblDaily[WardCode],"FW")),"")</f>
        <v/>
      </c>
      <c r="E127" s="12">
        <f>IFERROR(IF(SUMIFS(tblDaily[DeathsUnder24Hrs],tblDaily[EntryDate],DATE(2026,4,4),tblDaily[WardCode],"FW")=0,"",SUMIFS(tblDaily[DeathsUnder24Hrs],tblDaily[EntryDate],DATE(2026,4,4),tblDaily[WardCode],"FW")),"")</f>
        <v/>
      </c>
      <c r="F127" s="12">
        <f>IFERROR(IF(SUMIFS(tblDaily[TransfersIn],tblDaily[EntryDate],DATE(2026,4,4),tblDaily[WardCode],"FW")=0,"",SUMIFS(tblDaily[TransfersIn],tblDaily[EntryDate],DATE(2026,4,4),tblDaily[WardCode],"FW")),"")</f>
        <v/>
      </c>
      <c r="G127" s="12">
        <f>IFERROR(IF(SUMIFS(tblDaily[TransfersOut],tblDaily[EntryDate],DATE(2026,4,4),tblDaily[WardCode],"FW")=0,"",SUMIFS(tblDaily[TransfersOut],tblDaily[EntryDate],DATE(2026,4,4),tblDaily[WardCode],"FW")),"")</f>
        <v/>
      </c>
      <c r="H127" s="12">
        <f>IFERROR(IF(SUMIFS(tblDaily[Remaining],tblDaily[EntryDate],DATE(2026,4,4),tblDaily[WardCode],"FW")=0,"",SUMIFS(tblDaily[Remaining],tblDaily[EntryDate],DATE(2026,4,4),tblDaily[WardCode],"FW")),"")</f>
        <v/>
      </c>
    </row>
    <row r="128">
      <c r="A128" s="12" t="n">
        <v>5</v>
      </c>
      <c r="B128" s="12">
        <f>IFERROR(IF(SUMIFS(tblDaily[Admissions],tblDaily[EntryDate],DATE(2026,4,5),tblDaily[WardCode],"FW")=0,"",SUMIFS(tblDaily[Admissions],tblDaily[EntryDate],DATE(2026,4,5),tblDaily[WardCode],"FW")),"")</f>
        <v/>
      </c>
      <c r="C128" s="12">
        <f>IFERROR(IF(SUMIFS(tblDaily[Discharges],tblDaily[EntryDate],DATE(2026,4,5),tblDaily[WardCode],"FW")=0,"",SUMIFS(tblDaily[Discharges],tblDaily[EntryDate],DATE(2026,4,5),tblDaily[WardCode],"FW")),"")</f>
        <v/>
      </c>
      <c r="D128" s="12">
        <f>IFERROR(IF(SUMIFS(tblDaily[Deaths],tblDaily[EntryDate],DATE(2026,4,5),tblDaily[WardCode],"FW")=0,"",SUMIFS(tblDaily[Deaths],tblDaily[EntryDate],DATE(2026,4,5),tblDaily[WardCode],"FW")),"")</f>
        <v/>
      </c>
      <c r="E128" s="12">
        <f>IFERROR(IF(SUMIFS(tblDaily[DeathsUnder24Hrs],tblDaily[EntryDate],DATE(2026,4,5),tblDaily[WardCode],"FW")=0,"",SUMIFS(tblDaily[DeathsUnder24Hrs],tblDaily[EntryDate],DATE(2026,4,5),tblDaily[WardCode],"FW")),"")</f>
        <v/>
      </c>
      <c r="F128" s="12">
        <f>IFERROR(IF(SUMIFS(tblDaily[TransfersIn],tblDaily[EntryDate],DATE(2026,4,5),tblDaily[WardCode],"FW")=0,"",SUMIFS(tblDaily[TransfersIn],tblDaily[EntryDate],DATE(2026,4,5),tblDaily[WardCode],"FW")),"")</f>
        <v/>
      </c>
      <c r="G128" s="12">
        <f>IFERROR(IF(SUMIFS(tblDaily[TransfersOut],tblDaily[EntryDate],DATE(2026,4,5),tblDaily[WardCode],"FW")=0,"",SUMIFS(tblDaily[TransfersOut],tblDaily[EntryDate],DATE(2026,4,5),tblDaily[WardCode],"FW")),"")</f>
        <v/>
      </c>
      <c r="H128" s="12">
        <f>IFERROR(IF(SUMIFS(tblDaily[Remaining],tblDaily[EntryDate],DATE(2026,4,5),tblDaily[WardCode],"FW")=0,"",SUMIFS(tblDaily[Remaining],tblDaily[EntryDate],DATE(2026,4,5),tblDaily[WardCode],"FW")),"")</f>
        <v/>
      </c>
    </row>
    <row r="129">
      <c r="A129" s="12" t="n">
        <v>6</v>
      </c>
      <c r="B129" s="12">
        <f>IFERROR(IF(SUMIFS(tblDaily[Admissions],tblDaily[EntryDate],DATE(2026,4,6),tblDaily[WardCode],"FW")=0,"",SUMIFS(tblDaily[Admissions],tblDaily[EntryDate],DATE(2026,4,6),tblDaily[WardCode],"FW")),"")</f>
        <v/>
      </c>
      <c r="C129" s="12">
        <f>IFERROR(IF(SUMIFS(tblDaily[Discharges],tblDaily[EntryDate],DATE(2026,4,6),tblDaily[WardCode],"FW")=0,"",SUMIFS(tblDaily[Discharges],tblDaily[EntryDate],DATE(2026,4,6),tblDaily[WardCode],"FW")),"")</f>
        <v/>
      </c>
      <c r="D129" s="12">
        <f>IFERROR(IF(SUMIFS(tblDaily[Deaths],tblDaily[EntryDate],DATE(2026,4,6),tblDaily[WardCode],"FW")=0,"",SUMIFS(tblDaily[Deaths],tblDaily[EntryDate],DATE(2026,4,6),tblDaily[WardCode],"FW")),"")</f>
        <v/>
      </c>
      <c r="E129" s="12">
        <f>IFERROR(IF(SUMIFS(tblDaily[DeathsUnder24Hrs],tblDaily[EntryDate],DATE(2026,4,6),tblDaily[WardCode],"FW")=0,"",SUMIFS(tblDaily[DeathsUnder24Hrs],tblDaily[EntryDate],DATE(2026,4,6),tblDaily[WardCode],"FW")),"")</f>
        <v/>
      </c>
      <c r="F129" s="12">
        <f>IFERROR(IF(SUMIFS(tblDaily[TransfersIn],tblDaily[EntryDate],DATE(2026,4,6),tblDaily[WardCode],"FW")=0,"",SUMIFS(tblDaily[TransfersIn],tblDaily[EntryDate],DATE(2026,4,6),tblDaily[WardCode],"FW")),"")</f>
        <v/>
      </c>
      <c r="G129" s="12">
        <f>IFERROR(IF(SUMIFS(tblDaily[TransfersOut],tblDaily[EntryDate],DATE(2026,4,6),tblDaily[WardCode],"FW")=0,"",SUMIFS(tblDaily[TransfersOut],tblDaily[EntryDate],DATE(2026,4,6),tblDaily[WardCode],"FW")),"")</f>
        <v/>
      </c>
      <c r="H129" s="12">
        <f>IFERROR(IF(SUMIFS(tblDaily[Remaining],tblDaily[EntryDate],DATE(2026,4,6),tblDaily[WardCode],"FW")=0,"",SUMIFS(tblDaily[Remaining],tblDaily[EntryDate],DATE(2026,4,6),tblDaily[WardCode],"FW")),"")</f>
        <v/>
      </c>
    </row>
    <row r="130">
      <c r="A130" s="12" t="n">
        <v>7</v>
      </c>
      <c r="B130" s="12">
        <f>IFERROR(IF(SUMIFS(tblDaily[Admissions],tblDaily[EntryDate],DATE(2026,4,7),tblDaily[WardCode],"FW")=0,"",SUMIFS(tblDaily[Admissions],tblDaily[EntryDate],DATE(2026,4,7),tblDaily[WardCode],"FW")),"")</f>
        <v/>
      </c>
      <c r="C130" s="12">
        <f>IFERROR(IF(SUMIFS(tblDaily[Discharges],tblDaily[EntryDate],DATE(2026,4,7),tblDaily[WardCode],"FW")=0,"",SUMIFS(tblDaily[Discharges],tblDaily[EntryDate],DATE(2026,4,7),tblDaily[WardCode],"FW")),"")</f>
        <v/>
      </c>
      <c r="D130" s="12">
        <f>IFERROR(IF(SUMIFS(tblDaily[Deaths],tblDaily[EntryDate],DATE(2026,4,7),tblDaily[WardCode],"FW")=0,"",SUMIFS(tblDaily[Deaths],tblDaily[EntryDate],DATE(2026,4,7),tblDaily[WardCode],"FW")),"")</f>
        <v/>
      </c>
      <c r="E130" s="12">
        <f>IFERROR(IF(SUMIFS(tblDaily[DeathsUnder24Hrs],tblDaily[EntryDate],DATE(2026,4,7),tblDaily[WardCode],"FW")=0,"",SUMIFS(tblDaily[DeathsUnder24Hrs],tblDaily[EntryDate],DATE(2026,4,7),tblDaily[WardCode],"FW")),"")</f>
        <v/>
      </c>
      <c r="F130" s="12">
        <f>IFERROR(IF(SUMIFS(tblDaily[TransfersIn],tblDaily[EntryDate],DATE(2026,4,7),tblDaily[WardCode],"FW")=0,"",SUMIFS(tblDaily[TransfersIn],tblDaily[EntryDate],DATE(2026,4,7),tblDaily[WardCode],"FW")),"")</f>
        <v/>
      </c>
      <c r="G130" s="12">
        <f>IFERROR(IF(SUMIFS(tblDaily[TransfersOut],tblDaily[EntryDate],DATE(2026,4,7),tblDaily[WardCode],"FW")=0,"",SUMIFS(tblDaily[TransfersOut],tblDaily[EntryDate],DATE(2026,4,7),tblDaily[WardCode],"FW")),"")</f>
        <v/>
      </c>
      <c r="H130" s="12">
        <f>IFERROR(IF(SUMIFS(tblDaily[Remaining],tblDaily[EntryDate],DATE(2026,4,7),tblDaily[WardCode],"FW")=0,"",SUMIFS(tblDaily[Remaining],tblDaily[EntryDate],DATE(2026,4,7),tblDaily[WardCode],"FW")),"")</f>
        <v/>
      </c>
    </row>
    <row r="131">
      <c r="A131" s="12" t="n">
        <v>8</v>
      </c>
      <c r="B131" s="12">
        <f>IFERROR(IF(SUMIFS(tblDaily[Admissions],tblDaily[EntryDate],DATE(2026,4,8),tblDaily[WardCode],"FW")=0,"",SUMIFS(tblDaily[Admissions],tblDaily[EntryDate],DATE(2026,4,8),tblDaily[WardCode],"FW")),"")</f>
        <v/>
      </c>
      <c r="C131" s="12">
        <f>IFERROR(IF(SUMIFS(tblDaily[Discharges],tblDaily[EntryDate],DATE(2026,4,8),tblDaily[WardCode],"FW")=0,"",SUMIFS(tblDaily[Discharges],tblDaily[EntryDate],DATE(2026,4,8),tblDaily[WardCode],"FW")),"")</f>
        <v/>
      </c>
      <c r="D131" s="12">
        <f>IFERROR(IF(SUMIFS(tblDaily[Deaths],tblDaily[EntryDate],DATE(2026,4,8),tblDaily[WardCode],"FW")=0,"",SUMIFS(tblDaily[Deaths],tblDaily[EntryDate],DATE(2026,4,8),tblDaily[WardCode],"FW")),"")</f>
        <v/>
      </c>
      <c r="E131" s="12">
        <f>IFERROR(IF(SUMIFS(tblDaily[DeathsUnder24Hrs],tblDaily[EntryDate],DATE(2026,4,8),tblDaily[WardCode],"FW")=0,"",SUMIFS(tblDaily[DeathsUnder24Hrs],tblDaily[EntryDate],DATE(2026,4,8),tblDaily[WardCode],"FW")),"")</f>
        <v/>
      </c>
      <c r="F131" s="12">
        <f>IFERROR(IF(SUMIFS(tblDaily[TransfersIn],tblDaily[EntryDate],DATE(2026,4,8),tblDaily[WardCode],"FW")=0,"",SUMIFS(tblDaily[TransfersIn],tblDaily[EntryDate],DATE(2026,4,8),tblDaily[WardCode],"FW")),"")</f>
        <v/>
      </c>
      <c r="G131" s="12">
        <f>IFERROR(IF(SUMIFS(tblDaily[TransfersOut],tblDaily[EntryDate],DATE(2026,4,8),tblDaily[WardCode],"FW")=0,"",SUMIFS(tblDaily[TransfersOut],tblDaily[EntryDate],DATE(2026,4,8),tblDaily[WardCode],"FW")),"")</f>
        <v/>
      </c>
      <c r="H131" s="12">
        <f>IFERROR(IF(SUMIFS(tblDaily[Remaining],tblDaily[EntryDate],DATE(2026,4,8),tblDaily[WardCode],"FW")=0,"",SUMIFS(tblDaily[Remaining],tblDaily[EntryDate],DATE(2026,4,8),tblDaily[WardCode],"FW")),"")</f>
        <v/>
      </c>
    </row>
    <row r="132">
      <c r="A132" s="12" t="n">
        <v>9</v>
      </c>
      <c r="B132" s="12">
        <f>IFERROR(IF(SUMIFS(tblDaily[Admissions],tblDaily[EntryDate],DATE(2026,4,9),tblDaily[WardCode],"FW")=0,"",SUMIFS(tblDaily[Admissions],tblDaily[EntryDate],DATE(2026,4,9),tblDaily[WardCode],"FW")),"")</f>
        <v/>
      </c>
      <c r="C132" s="12">
        <f>IFERROR(IF(SUMIFS(tblDaily[Discharges],tblDaily[EntryDate],DATE(2026,4,9),tblDaily[WardCode],"FW")=0,"",SUMIFS(tblDaily[Discharges],tblDaily[EntryDate],DATE(2026,4,9),tblDaily[WardCode],"FW")),"")</f>
        <v/>
      </c>
      <c r="D132" s="12">
        <f>IFERROR(IF(SUMIFS(tblDaily[Deaths],tblDaily[EntryDate],DATE(2026,4,9),tblDaily[WardCode],"FW")=0,"",SUMIFS(tblDaily[Deaths],tblDaily[EntryDate],DATE(2026,4,9),tblDaily[WardCode],"FW")),"")</f>
        <v/>
      </c>
      <c r="E132" s="12">
        <f>IFERROR(IF(SUMIFS(tblDaily[DeathsUnder24Hrs],tblDaily[EntryDate],DATE(2026,4,9),tblDaily[WardCode],"FW")=0,"",SUMIFS(tblDaily[DeathsUnder24Hrs],tblDaily[EntryDate],DATE(2026,4,9),tblDaily[WardCode],"FW")),"")</f>
        <v/>
      </c>
      <c r="F132" s="12">
        <f>IFERROR(IF(SUMIFS(tblDaily[TransfersIn],tblDaily[EntryDate],DATE(2026,4,9),tblDaily[WardCode],"FW")=0,"",SUMIFS(tblDaily[TransfersIn],tblDaily[EntryDate],DATE(2026,4,9),tblDaily[WardCode],"FW")),"")</f>
        <v/>
      </c>
      <c r="G132" s="12">
        <f>IFERROR(IF(SUMIFS(tblDaily[TransfersOut],tblDaily[EntryDate],DATE(2026,4,9),tblDaily[WardCode],"FW")=0,"",SUMIFS(tblDaily[TransfersOut],tblDaily[EntryDate],DATE(2026,4,9),tblDaily[WardCode],"FW")),"")</f>
        <v/>
      </c>
      <c r="H132" s="12">
        <f>IFERROR(IF(SUMIFS(tblDaily[Remaining],tblDaily[EntryDate],DATE(2026,4,9),tblDaily[WardCode],"FW")=0,"",SUMIFS(tblDaily[Remaining],tblDaily[EntryDate],DATE(2026,4,9),tblDaily[WardCode],"FW")),"")</f>
        <v/>
      </c>
    </row>
    <row r="133">
      <c r="A133" s="12" t="n">
        <v>10</v>
      </c>
      <c r="B133" s="12">
        <f>IFERROR(IF(SUMIFS(tblDaily[Admissions],tblDaily[EntryDate],DATE(2026,4,10),tblDaily[WardCode],"FW")=0,"",SUMIFS(tblDaily[Admissions],tblDaily[EntryDate],DATE(2026,4,10),tblDaily[WardCode],"FW")),"")</f>
        <v/>
      </c>
      <c r="C133" s="12">
        <f>IFERROR(IF(SUMIFS(tblDaily[Discharges],tblDaily[EntryDate],DATE(2026,4,10),tblDaily[WardCode],"FW")=0,"",SUMIFS(tblDaily[Discharges],tblDaily[EntryDate],DATE(2026,4,10),tblDaily[WardCode],"FW")),"")</f>
        <v/>
      </c>
      <c r="D133" s="12">
        <f>IFERROR(IF(SUMIFS(tblDaily[Deaths],tblDaily[EntryDate],DATE(2026,4,10),tblDaily[WardCode],"FW")=0,"",SUMIFS(tblDaily[Deaths],tblDaily[EntryDate],DATE(2026,4,10),tblDaily[WardCode],"FW")),"")</f>
        <v/>
      </c>
      <c r="E133" s="12">
        <f>IFERROR(IF(SUMIFS(tblDaily[DeathsUnder24Hrs],tblDaily[EntryDate],DATE(2026,4,10),tblDaily[WardCode],"FW")=0,"",SUMIFS(tblDaily[DeathsUnder24Hrs],tblDaily[EntryDate],DATE(2026,4,10),tblDaily[WardCode],"FW")),"")</f>
        <v/>
      </c>
      <c r="F133" s="12">
        <f>IFERROR(IF(SUMIFS(tblDaily[TransfersIn],tblDaily[EntryDate],DATE(2026,4,10),tblDaily[WardCode],"FW")=0,"",SUMIFS(tblDaily[TransfersIn],tblDaily[EntryDate],DATE(2026,4,10),tblDaily[WardCode],"FW")),"")</f>
        <v/>
      </c>
      <c r="G133" s="12">
        <f>IFERROR(IF(SUMIFS(tblDaily[TransfersOut],tblDaily[EntryDate],DATE(2026,4,10),tblDaily[WardCode],"FW")=0,"",SUMIFS(tblDaily[TransfersOut],tblDaily[EntryDate],DATE(2026,4,10),tblDaily[WardCode],"FW")),"")</f>
        <v/>
      </c>
      <c r="H133" s="12">
        <f>IFERROR(IF(SUMIFS(tblDaily[Remaining],tblDaily[EntryDate],DATE(2026,4,10),tblDaily[WardCode],"FW")=0,"",SUMIFS(tblDaily[Remaining],tblDaily[EntryDate],DATE(2026,4,10),tblDaily[WardCode],"FW")),"")</f>
        <v/>
      </c>
    </row>
    <row r="134">
      <c r="A134" s="12" t="n">
        <v>11</v>
      </c>
      <c r="B134" s="12">
        <f>IFERROR(IF(SUMIFS(tblDaily[Admissions],tblDaily[EntryDate],DATE(2026,4,11),tblDaily[WardCode],"FW")=0,"",SUMIFS(tblDaily[Admissions],tblDaily[EntryDate],DATE(2026,4,11),tblDaily[WardCode],"FW")),"")</f>
        <v/>
      </c>
      <c r="C134" s="12">
        <f>IFERROR(IF(SUMIFS(tblDaily[Discharges],tblDaily[EntryDate],DATE(2026,4,11),tblDaily[WardCode],"FW")=0,"",SUMIFS(tblDaily[Discharges],tblDaily[EntryDate],DATE(2026,4,11),tblDaily[WardCode],"FW")),"")</f>
        <v/>
      </c>
      <c r="D134" s="12">
        <f>IFERROR(IF(SUMIFS(tblDaily[Deaths],tblDaily[EntryDate],DATE(2026,4,11),tblDaily[WardCode],"FW")=0,"",SUMIFS(tblDaily[Deaths],tblDaily[EntryDate],DATE(2026,4,11),tblDaily[WardCode],"FW")),"")</f>
        <v/>
      </c>
      <c r="E134" s="12">
        <f>IFERROR(IF(SUMIFS(tblDaily[DeathsUnder24Hrs],tblDaily[EntryDate],DATE(2026,4,11),tblDaily[WardCode],"FW")=0,"",SUMIFS(tblDaily[DeathsUnder24Hrs],tblDaily[EntryDate],DATE(2026,4,11),tblDaily[WardCode],"FW")),"")</f>
        <v/>
      </c>
      <c r="F134" s="12">
        <f>IFERROR(IF(SUMIFS(tblDaily[TransfersIn],tblDaily[EntryDate],DATE(2026,4,11),tblDaily[WardCode],"FW")=0,"",SUMIFS(tblDaily[TransfersIn],tblDaily[EntryDate],DATE(2026,4,11),tblDaily[WardCode],"FW")),"")</f>
        <v/>
      </c>
      <c r="G134" s="12">
        <f>IFERROR(IF(SUMIFS(tblDaily[TransfersOut],tblDaily[EntryDate],DATE(2026,4,11),tblDaily[WardCode],"FW")=0,"",SUMIFS(tblDaily[TransfersOut],tblDaily[EntryDate],DATE(2026,4,11),tblDaily[WardCode],"FW")),"")</f>
        <v/>
      </c>
      <c r="H134" s="12">
        <f>IFERROR(IF(SUMIFS(tblDaily[Remaining],tblDaily[EntryDate],DATE(2026,4,11),tblDaily[WardCode],"FW")=0,"",SUMIFS(tblDaily[Remaining],tblDaily[EntryDate],DATE(2026,4,11),tblDaily[WardCode],"FW")),"")</f>
        <v/>
      </c>
    </row>
    <row r="135">
      <c r="A135" s="12" t="n">
        <v>12</v>
      </c>
      <c r="B135" s="12">
        <f>IFERROR(IF(SUMIFS(tblDaily[Admissions],tblDaily[EntryDate],DATE(2026,4,12),tblDaily[WardCode],"FW")=0,"",SUMIFS(tblDaily[Admissions],tblDaily[EntryDate],DATE(2026,4,12),tblDaily[WardCode],"FW")),"")</f>
        <v/>
      </c>
      <c r="C135" s="12">
        <f>IFERROR(IF(SUMIFS(tblDaily[Discharges],tblDaily[EntryDate],DATE(2026,4,12),tblDaily[WardCode],"FW")=0,"",SUMIFS(tblDaily[Discharges],tblDaily[EntryDate],DATE(2026,4,12),tblDaily[WardCode],"FW")),"")</f>
        <v/>
      </c>
      <c r="D135" s="12">
        <f>IFERROR(IF(SUMIFS(tblDaily[Deaths],tblDaily[EntryDate],DATE(2026,4,12),tblDaily[WardCode],"FW")=0,"",SUMIFS(tblDaily[Deaths],tblDaily[EntryDate],DATE(2026,4,12),tblDaily[WardCode],"FW")),"")</f>
        <v/>
      </c>
      <c r="E135" s="12">
        <f>IFERROR(IF(SUMIFS(tblDaily[DeathsUnder24Hrs],tblDaily[EntryDate],DATE(2026,4,12),tblDaily[WardCode],"FW")=0,"",SUMIFS(tblDaily[DeathsUnder24Hrs],tblDaily[EntryDate],DATE(2026,4,12),tblDaily[WardCode],"FW")),"")</f>
        <v/>
      </c>
      <c r="F135" s="12">
        <f>IFERROR(IF(SUMIFS(tblDaily[TransfersIn],tblDaily[EntryDate],DATE(2026,4,12),tblDaily[WardCode],"FW")=0,"",SUMIFS(tblDaily[TransfersIn],tblDaily[EntryDate],DATE(2026,4,12),tblDaily[WardCode],"FW")),"")</f>
        <v/>
      </c>
      <c r="G135" s="12">
        <f>IFERROR(IF(SUMIFS(tblDaily[TransfersOut],tblDaily[EntryDate],DATE(2026,4,12),tblDaily[WardCode],"FW")=0,"",SUMIFS(tblDaily[TransfersOut],tblDaily[EntryDate],DATE(2026,4,12),tblDaily[WardCode],"FW")),"")</f>
        <v/>
      </c>
      <c r="H135" s="12">
        <f>IFERROR(IF(SUMIFS(tblDaily[Remaining],tblDaily[EntryDate],DATE(2026,4,12),tblDaily[WardCode],"FW")=0,"",SUMIFS(tblDaily[Remaining],tblDaily[EntryDate],DATE(2026,4,12),tblDaily[WardCode],"FW")),"")</f>
        <v/>
      </c>
    </row>
    <row r="136">
      <c r="A136" s="12" t="n">
        <v>13</v>
      </c>
      <c r="B136" s="12">
        <f>IFERROR(IF(SUMIFS(tblDaily[Admissions],tblDaily[EntryDate],DATE(2026,4,13),tblDaily[WardCode],"FW")=0,"",SUMIFS(tblDaily[Admissions],tblDaily[EntryDate],DATE(2026,4,13),tblDaily[WardCode],"FW")),"")</f>
        <v/>
      </c>
      <c r="C136" s="12">
        <f>IFERROR(IF(SUMIFS(tblDaily[Discharges],tblDaily[EntryDate],DATE(2026,4,13),tblDaily[WardCode],"FW")=0,"",SUMIFS(tblDaily[Discharges],tblDaily[EntryDate],DATE(2026,4,13),tblDaily[WardCode],"FW")),"")</f>
        <v/>
      </c>
      <c r="D136" s="12">
        <f>IFERROR(IF(SUMIFS(tblDaily[Deaths],tblDaily[EntryDate],DATE(2026,4,13),tblDaily[WardCode],"FW")=0,"",SUMIFS(tblDaily[Deaths],tblDaily[EntryDate],DATE(2026,4,13),tblDaily[WardCode],"FW")),"")</f>
        <v/>
      </c>
      <c r="E136" s="12">
        <f>IFERROR(IF(SUMIFS(tblDaily[DeathsUnder24Hrs],tblDaily[EntryDate],DATE(2026,4,13),tblDaily[WardCode],"FW")=0,"",SUMIFS(tblDaily[DeathsUnder24Hrs],tblDaily[EntryDate],DATE(2026,4,13),tblDaily[WardCode],"FW")),"")</f>
        <v/>
      </c>
      <c r="F136" s="12">
        <f>IFERROR(IF(SUMIFS(tblDaily[TransfersIn],tblDaily[EntryDate],DATE(2026,4,13),tblDaily[WardCode],"FW")=0,"",SUMIFS(tblDaily[TransfersIn],tblDaily[EntryDate],DATE(2026,4,13),tblDaily[WardCode],"FW")),"")</f>
        <v/>
      </c>
      <c r="G136" s="12">
        <f>IFERROR(IF(SUMIFS(tblDaily[TransfersOut],tblDaily[EntryDate],DATE(2026,4,13),tblDaily[WardCode],"FW")=0,"",SUMIFS(tblDaily[TransfersOut],tblDaily[EntryDate],DATE(2026,4,13),tblDaily[WardCode],"FW")),"")</f>
        <v/>
      </c>
      <c r="H136" s="12">
        <f>IFERROR(IF(SUMIFS(tblDaily[Remaining],tblDaily[EntryDate],DATE(2026,4,13),tblDaily[WardCode],"FW")=0,"",SUMIFS(tblDaily[Remaining],tblDaily[EntryDate],DATE(2026,4,13),tblDaily[WardCode],"FW")),"")</f>
        <v/>
      </c>
    </row>
    <row r="137">
      <c r="A137" s="12" t="n">
        <v>14</v>
      </c>
      <c r="B137" s="12">
        <f>IFERROR(IF(SUMIFS(tblDaily[Admissions],tblDaily[EntryDate],DATE(2026,4,14),tblDaily[WardCode],"FW")=0,"",SUMIFS(tblDaily[Admissions],tblDaily[EntryDate],DATE(2026,4,14),tblDaily[WardCode],"FW")),"")</f>
        <v/>
      </c>
      <c r="C137" s="12">
        <f>IFERROR(IF(SUMIFS(tblDaily[Discharges],tblDaily[EntryDate],DATE(2026,4,14),tblDaily[WardCode],"FW")=0,"",SUMIFS(tblDaily[Discharges],tblDaily[EntryDate],DATE(2026,4,14),tblDaily[WardCode],"FW")),"")</f>
        <v/>
      </c>
      <c r="D137" s="12">
        <f>IFERROR(IF(SUMIFS(tblDaily[Deaths],tblDaily[EntryDate],DATE(2026,4,14),tblDaily[WardCode],"FW")=0,"",SUMIFS(tblDaily[Deaths],tblDaily[EntryDate],DATE(2026,4,14),tblDaily[WardCode],"FW")),"")</f>
        <v/>
      </c>
      <c r="E137" s="12">
        <f>IFERROR(IF(SUMIFS(tblDaily[DeathsUnder24Hrs],tblDaily[EntryDate],DATE(2026,4,14),tblDaily[WardCode],"FW")=0,"",SUMIFS(tblDaily[DeathsUnder24Hrs],tblDaily[EntryDate],DATE(2026,4,14),tblDaily[WardCode],"FW")),"")</f>
        <v/>
      </c>
      <c r="F137" s="12">
        <f>IFERROR(IF(SUMIFS(tblDaily[TransfersIn],tblDaily[EntryDate],DATE(2026,4,14),tblDaily[WardCode],"FW")=0,"",SUMIFS(tblDaily[TransfersIn],tblDaily[EntryDate],DATE(2026,4,14),tblDaily[WardCode],"FW")),"")</f>
        <v/>
      </c>
      <c r="G137" s="12">
        <f>IFERROR(IF(SUMIFS(tblDaily[TransfersOut],tblDaily[EntryDate],DATE(2026,4,14),tblDaily[WardCode],"FW")=0,"",SUMIFS(tblDaily[TransfersOut],tblDaily[EntryDate],DATE(2026,4,14),tblDaily[WardCode],"FW")),"")</f>
        <v/>
      </c>
      <c r="H137" s="12">
        <f>IFERROR(IF(SUMIFS(tblDaily[Remaining],tblDaily[EntryDate],DATE(2026,4,14),tblDaily[WardCode],"FW")=0,"",SUMIFS(tblDaily[Remaining],tblDaily[EntryDate],DATE(2026,4,14),tblDaily[WardCode],"FW")),"")</f>
        <v/>
      </c>
    </row>
    <row r="138">
      <c r="A138" s="12" t="n">
        <v>15</v>
      </c>
      <c r="B138" s="12">
        <f>IFERROR(IF(SUMIFS(tblDaily[Admissions],tblDaily[EntryDate],DATE(2026,4,15),tblDaily[WardCode],"FW")=0,"",SUMIFS(tblDaily[Admissions],tblDaily[EntryDate],DATE(2026,4,15),tblDaily[WardCode],"FW")),"")</f>
        <v/>
      </c>
      <c r="C138" s="12">
        <f>IFERROR(IF(SUMIFS(tblDaily[Discharges],tblDaily[EntryDate],DATE(2026,4,15),tblDaily[WardCode],"FW")=0,"",SUMIFS(tblDaily[Discharges],tblDaily[EntryDate],DATE(2026,4,15),tblDaily[WardCode],"FW")),"")</f>
        <v/>
      </c>
      <c r="D138" s="12">
        <f>IFERROR(IF(SUMIFS(tblDaily[Deaths],tblDaily[EntryDate],DATE(2026,4,15),tblDaily[WardCode],"FW")=0,"",SUMIFS(tblDaily[Deaths],tblDaily[EntryDate],DATE(2026,4,15),tblDaily[WardCode],"FW")),"")</f>
        <v/>
      </c>
      <c r="E138" s="12">
        <f>IFERROR(IF(SUMIFS(tblDaily[DeathsUnder24Hrs],tblDaily[EntryDate],DATE(2026,4,15),tblDaily[WardCode],"FW")=0,"",SUMIFS(tblDaily[DeathsUnder24Hrs],tblDaily[EntryDate],DATE(2026,4,15),tblDaily[WardCode],"FW")),"")</f>
        <v/>
      </c>
      <c r="F138" s="12">
        <f>IFERROR(IF(SUMIFS(tblDaily[TransfersIn],tblDaily[EntryDate],DATE(2026,4,15),tblDaily[WardCode],"FW")=0,"",SUMIFS(tblDaily[TransfersIn],tblDaily[EntryDate],DATE(2026,4,15),tblDaily[WardCode],"FW")),"")</f>
        <v/>
      </c>
      <c r="G138" s="12">
        <f>IFERROR(IF(SUMIFS(tblDaily[TransfersOut],tblDaily[EntryDate],DATE(2026,4,15),tblDaily[WardCode],"FW")=0,"",SUMIFS(tblDaily[TransfersOut],tblDaily[EntryDate],DATE(2026,4,15),tblDaily[WardCode],"FW")),"")</f>
        <v/>
      </c>
      <c r="H138" s="12">
        <f>IFERROR(IF(SUMIFS(tblDaily[Remaining],tblDaily[EntryDate],DATE(2026,4,15),tblDaily[WardCode],"FW")=0,"",SUMIFS(tblDaily[Remaining],tblDaily[EntryDate],DATE(2026,4,15),tblDaily[WardCode],"FW")),"")</f>
        <v/>
      </c>
    </row>
    <row r="139">
      <c r="A139" s="12" t="n">
        <v>16</v>
      </c>
      <c r="B139" s="12">
        <f>IFERROR(IF(SUMIFS(tblDaily[Admissions],tblDaily[EntryDate],DATE(2026,4,16),tblDaily[WardCode],"FW")=0,"",SUMIFS(tblDaily[Admissions],tblDaily[EntryDate],DATE(2026,4,16),tblDaily[WardCode],"FW")),"")</f>
        <v/>
      </c>
      <c r="C139" s="12">
        <f>IFERROR(IF(SUMIFS(tblDaily[Discharges],tblDaily[EntryDate],DATE(2026,4,16),tblDaily[WardCode],"FW")=0,"",SUMIFS(tblDaily[Discharges],tblDaily[EntryDate],DATE(2026,4,16),tblDaily[WardCode],"FW")),"")</f>
        <v/>
      </c>
      <c r="D139" s="12">
        <f>IFERROR(IF(SUMIFS(tblDaily[Deaths],tblDaily[EntryDate],DATE(2026,4,16),tblDaily[WardCode],"FW")=0,"",SUMIFS(tblDaily[Deaths],tblDaily[EntryDate],DATE(2026,4,16),tblDaily[WardCode],"FW")),"")</f>
        <v/>
      </c>
      <c r="E139" s="12">
        <f>IFERROR(IF(SUMIFS(tblDaily[DeathsUnder24Hrs],tblDaily[EntryDate],DATE(2026,4,16),tblDaily[WardCode],"FW")=0,"",SUMIFS(tblDaily[DeathsUnder24Hrs],tblDaily[EntryDate],DATE(2026,4,16),tblDaily[WardCode],"FW")),"")</f>
        <v/>
      </c>
      <c r="F139" s="12">
        <f>IFERROR(IF(SUMIFS(tblDaily[TransfersIn],tblDaily[EntryDate],DATE(2026,4,16),tblDaily[WardCode],"FW")=0,"",SUMIFS(tblDaily[TransfersIn],tblDaily[EntryDate],DATE(2026,4,16),tblDaily[WardCode],"FW")),"")</f>
        <v/>
      </c>
      <c r="G139" s="12">
        <f>IFERROR(IF(SUMIFS(tblDaily[TransfersOut],tblDaily[EntryDate],DATE(2026,4,16),tblDaily[WardCode],"FW")=0,"",SUMIFS(tblDaily[TransfersOut],tblDaily[EntryDate],DATE(2026,4,16),tblDaily[WardCode],"FW")),"")</f>
        <v/>
      </c>
      <c r="H139" s="12">
        <f>IFERROR(IF(SUMIFS(tblDaily[Remaining],tblDaily[EntryDate],DATE(2026,4,16),tblDaily[WardCode],"FW")=0,"",SUMIFS(tblDaily[Remaining],tblDaily[EntryDate],DATE(2026,4,16),tblDaily[WardCode],"FW")),"")</f>
        <v/>
      </c>
    </row>
    <row r="140">
      <c r="A140" s="12" t="n">
        <v>17</v>
      </c>
      <c r="B140" s="12">
        <f>IFERROR(IF(SUMIFS(tblDaily[Admissions],tblDaily[EntryDate],DATE(2026,4,17),tblDaily[WardCode],"FW")=0,"",SUMIFS(tblDaily[Admissions],tblDaily[EntryDate],DATE(2026,4,17),tblDaily[WardCode],"FW")),"")</f>
        <v/>
      </c>
      <c r="C140" s="12">
        <f>IFERROR(IF(SUMIFS(tblDaily[Discharges],tblDaily[EntryDate],DATE(2026,4,17),tblDaily[WardCode],"FW")=0,"",SUMIFS(tblDaily[Discharges],tblDaily[EntryDate],DATE(2026,4,17),tblDaily[WardCode],"FW")),"")</f>
        <v/>
      </c>
      <c r="D140" s="12">
        <f>IFERROR(IF(SUMIFS(tblDaily[Deaths],tblDaily[EntryDate],DATE(2026,4,17),tblDaily[WardCode],"FW")=0,"",SUMIFS(tblDaily[Deaths],tblDaily[EntryDate],DATE(2026,4,17),tblDaily[WardCode],"FW")),"")</f>
        <v/>
      </c>
      <c r="E140" s="12">
        <f>IFERROR(IF(SUMIFS(tblDaily[DeathsUnder24Hrs],tblDaily[EntryDate],DATE(2026,4,17),tblDaily[WardCode],"FW")=0,"",SUMIFS(tblDaily[DeathsUnder24Hrs],tblDaily[EntryDate],DATE(2026,4,17),tblDaily[WardCode],"FW")),"")</f>
        <v/>
      </c>
      <c r="F140" s="12">
        <f>IFERROR(IF(SUMIFS(tblDaily[TransfersIn],tblDaily[EntryDate],DATE(2026,4,17),tblDaily[WardCode],"FW")=0,"",SUMIFS(tblDaily[TransfersIn],tblDaily[EntryDate],DATE(2026,4,17),tblDaily[WardCode],"FW")),"")</f>
        <v/>
      </c>
      <c r="G140" s="12">
        <f>IFERROR(IF(SUMIFS(tblDaily[TransfersOut],tblDaily[EntryDate],DATE(2026,4,17),tblDaily[WardCode],"FW")=0,"",SUMIFS(tblDaily[TransfersOut],tblDaily[EntryDate],DATE(2026,4,17),tblDaily[WardCode],"FW")),"")</f>
        <v/>
      </c>
      <c r="H140" s="12">
        <f>IFERROR(IF(SUMIFS(tblDaily[Remaining],tblDaily[EntryDate],DATE(2026,4,17),tblDaily[WardCode],"FW")=0,"",SUMIFS(tblDaily[Remaining],tblDaily[EntryDate],DATE(2026,4,17),tblDaily[WardCode],"FW")),"")</f>
        <v/>
      </c>
    </row>
    <row r="141">
      <c r="A141" s="12" t="n">
        <v>18</v>
      </c>
      <c r="B141" s="12">
        <f>IFERROR(IF(SUMIFS(tblDaily[Admissions],tblDaily[EntryDate],DATE(2026,4,18),tblDaily[WardCode],"FW")=0,"",SUMIFS(tblDaily[Admissions],tblDaily[EntryDate],DATE(2026,4,18),tblDaily[WardCode],"FW")),"")</f>
        <v/>
      </c>
      <c r="C141" s="12">
        <f>IFERROR(IF(SUMIFS(tblDaily[Discharges],tblDaily[EntryDate],DATE(2026,4,18),tblDaily[WardCode],"FW")=0,"",SUMIFS(tblDaily[Discharges],tblDaily[EntryDate],DATE(2026,4,18),tblDaily[WardCode],"FW")),"")</f>
        <v/>
      </c>
      <c r="D141" s="12">
        <f>IFERROR(IF(SUMIFS(tblDaily[Deaths],tblDaily[EntryDate],DATE(2026,4,18),tblDaily[WardCode],"FW")=0,"",SUMIFS(tblDaily[Deaths],tblDaily[EntryDate],DATE(2026,4,18),tblDaily[WardCode],"FW")),"")</f>
        <v/>
      </c>
      <c r="E141" s="12">
        <f>IFERROR(IF(SUMIFS(tblDaily[DeathsUnder24Hrs],tblDaily[EntryDate],DATE(2026,4,18),tblDaily[WardCode],"FW")=0,"",SUMIFS(tblDaily[DeathsUnder24Hrs],tblDaily[EntryDate],DATE(2026,4,18),tblDaily[WardCode],"FW")),"")</f>
        <v/>
      </c>
      <c r="F141" s="12">
        <f>IFERROR(IF(SUMIFS(tblDaily[TransfersIn],tblDaily[EntryDate],DATE(2026,4,18),tblDaily[WardCode],"FW")=0,"",SUMIFS(tblDaily[TransfersIn],tblDaily[EntryDate],DATE(2026,4,18),tblDaily[WardCode],"FW")),"")</f>
        <v/>
      </c>
      <c r="G141" s="12">
        <f>IFERROR(IF(SUMIFS(tblDaily[TransfersOut],tblDaily[EntryDate],DATE(2026,4,18),tblDaily[WardCode],"FW")=0,"",SUMIFS(tblDaily[TransfersOut],tblDaily[EntryDate],DATE(2026,4,18),tblDaily[WardCode],"FW")),"")</f>
        <v/>
      </c>
      <c r="H141" s="12">
        <f>IFERROR(IF(SUMIFS(tblDaily[Remaining],tblDaily[EntryDate],DATE(2026,4,18),tblDaily[WardCode],"FW")=0,"",SUMIFS(tblDaily[Remaining],tblDaily[EntryDate],DATE(2026,4,18),tblDaily[WardCode],"FW")),"")</f>
        <v/>
      </c>
    </row>
    <row r="142">
      <c r="A142" s="12" t="n">
        <v>19</v>
      </c>
      <c r="B142" s="12">
        <f>IFERROR(IF(SUMIFS(tblDaily[Admissions],tblDaily[EntryDate],DATE(2026,4,19),tblDaily[WardCode],"FW")=0,"",SUMIFS(tblDaily[Admissions],tblDaily[EntryDate],DATE(2026,4,19),tblDaily[WardCode],"FW")),"")</f>
        <v/>
      </c>
      <c r="C142" s="12">
        <f>IFERROR(IF(SUMIFS(tblDaily[Discharges],tblDaily[EntryDate],DATE(2026,4,19),tblDaily[WardCode],"FW")=0,"",SUMIFS(tblDaily[Discharges],tblDaily[EntryDate],DATE(2026,4,19),tblDaily[WardCode],"FW")),"")</f>
        <v/>
      </c>
      <c r="D142" s="12">
        <f>IFERROR(IF(SUMIFS(tblDaily[Deaths],tblDaily[EntryDate],DATE(2026,4,19),tblDaily[WardCode],"FW")=0,"",SUMIFS(tblDaily[Deaths],tblDaily[EntryDate],DATE(2026,4,19),tblDaily[WardCode],"FW")),"")</f>
        <v/>
      </c>
      <c r="E142" s="12">
        <f>IFERROR(IF(SUMIFS(tblDaily[DeathsUnder24Hrs],tblDaily[EntryDate],DATE(2026,4,19),tblDaily[WardCode],"FW")=0,"",SUMIFS(tblDaily[DeathsUnder24Hrs],tblDaily[EntryDate],DATE(2026,4,19),tblDaily[WardCode],"FW")),"")</f>
        <v/>
      </c>
      <c r="F142" s="12">
        <f>IFERROR(IF(SUMIFS(tblDaily[TransfersIn],tblDaily[EntryDate],DATE(2026,4,19),tblDaily[WardCode],"FW")=0,"",SUMIFS(tblDaily[TransfersIn],tblDaily[EntryDate],DATE(2026,4,19),tblDaily[WardCode],"FW")),"")</f>
        <v/>
      </c>
      <c r="G142" s="12">
        <f>IFERROR(IF(SUMIFS(tblDaily[TransfersOut],tblDaily[EntryDate],DATE(2026,4,19),tblDaily[WardCode],"FW")=0,"",SUMIFS(tblDaily[TransfersOut],tblDaily[EntryDate],DATE(2026,4,19),tblDaily[WardCode],"FW")),"")</f>
        <v/>
      </c>
      <c r="H142" s="12">
        <f>IFERROR(IF(SUMIFS(tblDaily[Remaining],tblDaily[EntryDate],DATE(2026,4,19),tblDaily[WardCode],"FW")=0,"",SUMIFS(tblDaily[Remaining],tblDaily[EntryDate],DATE(2026,4,19),tblDaily[WardCode],"FW")),"")</f>
        <v/>
      </c>
    </row>
    <row r="143">
      <c r="A143" s="12" t="n">
        <v>20</v>
      </c>
      <c r="B143" s="12">
        <f>IFERROR(IF(SUMIFS(tblDaily[Admissions],tblDaily[EntryDate],DATE(2026,4,20),tblDaily[WardCode],"FW")=0,"",SUMIFS(tblDaily[Admissions],tblDaily[EntryDate],DATE(2026,4,20),tblDaily[WardCode],"FW")),"")</f>
        <v/>
      </c>
      <c r="C143" s="12">
        <f>IFERROR(IF(SUMIFS(tblDaily[Discharges],tblDaily[EntryDate],DATE(2026,4,20),tblDaily[WardCode],"FW")=0,"",SUMIFS(tblDaily[Discharges],tblDaily[EntryDate],DATE(2026,4,20),tblDaily[WardCode],"FW")),"")</f>
        <v/>
      </c>
      <c r="D143" s="12">
        <f>IFERROR(IF(SUMIFS(tblDaily[Deaths],tblDaily[EntryDate],DATE(2026,4,20),tblDaily[WardCode],"FW")=0,"",SUMIFS(tblDaily[Deaths],tblDaily[EntryDate],DATE(2026,4,20),tblDaily[WardCode],"FW")),"")</f>
        <v/>
      </c>
      <c r="E143" s="12">
        <f>IFERROR(IF(SUMIFS(tblDaily[DeathsUnder24Hrs],tblDaily[EntryDate],DATE(2026,4,20),tblDaily[WardCode],"FW")=0,"",SUMIFS(tblDaily[DeathsUnder24Hrs],tblDaily[EntryDate],DATE(2026,4,20),tblDaily[WardCode],"FW")),"")</f>
        <v/>
      </c>
      <c r="F143" s="12">
        <f>IFERROR(IF(SUMIFS(tblDaily[TransfersIn],tblDaily[EntryDate],DATE(2026,4,20),tblDaily[WardCode],"FW")=0,"",SUMIFS(tblDaily[TransfersIn],tblDaily[EntryDate],DATE(2026,4,20),tblDaily[WardCode],"FW")),"")</f>
        <v/>
      </c>
      <c r="G143" s="12">
        <f>IFERROR(IF(SUMIFS(tblDaily[TransfersOut],tblDaily[EntryDate],DATE(2026,4,20),tblDaily[WardCode],"FW")=0,"",SUMIFS(tblDaily[TransfersOut],tblDaily[EntryDate],DATE(2026,4,20),tblDaily[WardCode],"FW")),"")</f>
        <v/>
      </c>
      <c r="H143" s="12">
        <f>IFERROR(IF(SUMIFS(tblDaily[Remaining],tblDaily[EntryDate],DATE(2026,4,20),tblDaily[WardCode],"FW")=0,"",SUMIFS(tblDaily[Remaining],tblDaily[EntryDate],DATE(2026,4,20),tblDaily[WardCode],"FW")),"")</f>
        <v/>
      </c>
    </row>
    <row r="144">
      <c r="A144" s="12" t="n">
        <v>21</v>
      </c>
      <c r="B144" s="12">
        <f>IFERROR(IF(SUMIFS(tblDaily[Admissions],tblDaily[EntryDate],DATE(2026,4,21),tblDaily[WardCode],"FW")=0,"",SUMIFS(tblDaily[Admissions],tblDaily[EntryDate],DATE(2026,4,21),tblDaily[WardCode],"FW")),"")</f>
        <v/>
      </c>
      <c r="C144" s="12">
        <f>IFERROR(IF(SUMIFS(tblDaily[Discharges],tblDaily[EntryDate],DATE(2026,4,21),tblDaily[WardCode],"FW")=0,"",SUMIFS(tblDaily[Discharges],tblDaily[EntryDate],DATE(2026,4,21),tblDaily[WardCode],"FW")),"")</f>
        <v/>
      </c>
      <c r="D144" s="12">
        <f>IFERROR(IF(SUMIFS(tblDaily[Deaths],tblDaily[EntryDate],DATE(2026,4,21),tblDaily[WardCode],"FW")=0,"",SUMIFS(tblDaily[Deaths],tblDaily[EntryDate],DATE(2026,4,21),tblDaily[WardCode],"FW")),"")</f>
        <v/>
      </c>
      <c r="E144" s="12">
        <f>IFERROR(IF(SUMIFS(tblDaily[DeathsUnder24Hrs],tblDaily[EntryDate],DATE(2026,4,21),tblDaily[WardCode],"FW")=0,"",SUMIFS(tblDaily[DeathsUnder24Hrs],tblDaily[EntryDate],DATE(2026,4,21),tblDaily[WardCode],"FW")),"")</f>
        <v/>
      </c>
      <c r="F144" s="12">
        <f>IFERROR(IF(SUMIFS(tblDaily[TransfersIn],tblDaily[EntryDate],DATE(2026,4,21),tblDaily[WardCode],"FW")=0,"",SUMIFS(tblDaily[TransfersIn],tblDaily[EntryDate],DATE(2026,4,21),tblDaily[WardCode],"FW")),"")</f>
        <v/>
      </c>
      <c r="G144" s="12">
        <f>IFERROR(IF(SUMIFS(tblDaily[TransfersOut],tblDaily[EntryDate],DATE(2026,4,21),tblDaily[WardCode],"FW")=0,"",SUMIFS(tblDaily[TransfersOut],tblDaily[EntryDate],DATE(2026,4,21),tblDaily[WardCode],"FW")),"")</f>
        <v/>
      </c>
      <c r="H144" s="12">
        <f>IFERROR(IF(SUMIFS(tblDaily[Remaining],tblDaily[EntryDate],DATE(2026,4,21),tblDaily[WardCode],"FW")=0,"",SUMIFS(tblDaily[Remaining],tblDaily[EntryDate],DATE(2026,4,21),tblDaily[WardCode],"FW")),"")</f>
        <v/>
      </c>
    </row>
    <row r="145">
      <c r="A145" s="12" t="n">
        <v>22</v>
      </c>
      <c r="B145" s="12">
        <f>IFERROR(IF(SUMIFS(tblDaily[Admissions],tblDaily[EntryDate],DATE(2026,4,22),tblDaily[WardCode],"FW")=0,"",SUMIFS(tblDaily[Admissions],tblDaily[EntryDate],DATE(2026,4,22),tblDaily[WardCode],"FW")),"")</f>
        <v/>
      </c>
      <c r="C145" s="12">
        <f>IFERROR(IF(SUMIFS(tblDaily[Discharges],tblDaily[EntryDate],DATE(2026,4,22),tblDaily[WardCode],"FW")=0,"",SUMIFS(tblDaily[Discharges],tblDaily[EntryDate],DATE(2026,4,22),tblDaily[WardCode],"FW")),"")</f>
        <v/>
      </c>
      <c r="D145" s="12">
        <f>IFERROR(IF(SUMIFS(tblDaily[Deaths],tblDaily[EntryDate],DATE(2026,4,22),tblDaily[WardCode],"FW")=0,"",SUMIFS(tblDaily[Deaths],tblDaily[EntryDate],DATE(2026,4,22),tblDaily[WardCode],"FW")),"")</f>
        <v/>
      </c>
      <c r="E145" s="12">
        <f>IFERROR(IF(SUMIFS(tblDaily[DeathsUnder24Hrs],tblDaily[EntryDate],DATE(2026,4,22),tblDaily[WardCode],"FW")=0,"",SUMIFS(tblDaily[DeathsUnder24Hrs],tblDaily[EntryDate],DATE(2026,4,22),tblDaily[WardCode],"FW")),"")</f>
        <v/>
      </c>
      <c r="F145" s="12">
        <f>IFERROR(IF(SUMIFS(tblDaily[TransfersIn],tblDaily[EntryDate],DATE(2026,4,22),tblDaily[WardCode],"FW")=0,"",SUMIFS(tblDaily[TransfersIn],tblDaily[EntryDate],DATE(2026,4,22),tblDaily[WardCode],"FW")),"")</f>
        <v/>
      </c>
      <c r="G145" s="12">
        <f>IFERROR(IF(SUMIFS(tblDaily[TransfersOut],tblDaily[EntryDate],DATE(2026,4,22),tblDaily[WardCode],"FW")=0,"",SUMIFS(tblDaily[TransfersOut],tblDaily[EntryDate],DATE(2026,4,22),tblDaily[WardCode],"FW")),"")</f>
        <v/>
      </c>
      <c r="H145" s="12">
        <f>IFERROR(IF(SUMIFS(tblDaily[Remaining],tblDaily[EntryDate],DATE(2026,4,22),tblDaily[WardCode],"FW")=0,"",SUMIFS(tblDaily[Remaining],tblDaily[EntryDate],DATE(2026,4,22),tblDaily[WardCode],"FW")),"")</f>
        <v/>
      </c>
    </row>
    <row r="146">
      <c r="A146" s="12" t="n">
        <v>23</v>
      </c>
      <c r="B146" s="12">
        <f>IFERROR(IF(SUMIFS(tblDaily[Admissions],tblDaily[EntryDate],DATE(2026,4,23),tblDaily[WardCode],"FW")=0,"",SUMIFS(tblDaily[Admissions],tblDaily[EntryDate],DATE(2026,4,23),tblDaily[WardCode],"FW")),"")</f>
        <v/>
      </c>
      <c r="C146" s="12">
        <f>IFERROR(IF(SUMIFS(tblDaily[Discharges],tblDaily[EntryDate],DATE(2026,4,23),tblDaily[WardCode],"FW")=0,"",SUMIFS(tblDaily[Discharges],tblDaily[EntryDate],DATE(2026,4,23),tblDaily[WardCode],"FW")),"")</f>
        <v/>
      </c>
      <c r="D146" s="12">
        <f>IFERROR(IF(SUMIFS(tblDaily[Deaths],tblDaily[EntryDate],DATE(2026,4,23),tblDaily[WardCode],"FW")=0,"",SUMIFS(tblDaily[Deaths],tblDaily[EntryDate],DATE(2026,4,23),tblDaily[WardCode],"FW")),"")</f>
        <v/>
      </c>
      <c r="E146" s="12">
        <f>IFERROR(IF(SUMIFS(tblDaily[DeathsUnder24Hrs],tblDaily[EntryDate],DATE(2026,4,23),tblDaily[WardCode],"FW")=0,"",SUMIFS(tblDaily[DeathsUnder24Hrs],tblDaily[EntryDate],DATE(2026,4,23),tblDaily[WardCode],"FW")),"")</f>
        <v/>
      </c>
      <c r="F146" s="12">
        <f>IFERROR(IF(SUMIFS(tblDaily[TransfersIn],tblDaily[EntryDate],DATE(2026,4,23),tblDaily[WardCode],"FW")=0,"",SUMIFS(tblDaily[TransfersIn],tblDaily[EntryDate],DATE(2026,4,23),tblDaily[WardCode],"FW")),"")</f>
        <v/>
      </c>
      <c r="G146" s="12">
        <f>IFERROR(IF(SUMIFS(tblDaily[TransfersOut],tblDaily[EntryDate],DATE(2026,4,23),tblDaily[WardCode],"FW")=0,"",SUMIFS(tblDaily[TransfersOut],tblDaily[EntryDate],DATE(2026,4,23),tblDaily[WardCode],"FW")),"")</f>
        <v/>
      </c>
      <c r="H146" s="12">
        <f>IFERROR(IF(SUMIFS(tblDaily[Remaining],tblDaily[EntryDate],DATE(2026,4,23),tblDaily[WardCode],"FW")=0,"",SUMIFS(tblDaily[Remaining],tblDaily[EntryDate],DATE(2026,4,23),tblDaily[WardCode],"FW")),"")</f>
        <v/>
      </c>
    </row>
    <row r="147">
      <c r="A147" s="12" t="n">
        <v>24</v>
      </c>
      <c r="B147" s="12">
        <f>IFERROR(IF(SUMIFS(tblDaily[Admissions],tblDaily[EntryDate],DATE(2026,4,24),tblDaily[WardCode],"FW")=0,"",SUMIFS(tblDaily[Admissions],tblDaily[EntryDate],DATE(2026,4,24),tblDaily[WardCode],"FW")),"")</f>
        <v/>
      </c>
      <c r="C147" s="12">
        <f>IFERROR(IF(SUMIFS(tblDaily[Discharges],tblDaily[EntryDate],DATE(2026,4,24),tblDaily[WardCode],"FW")=0,"",SUMIFS(tblDaily[Discharges],tblDaily[EntryDate],DATE(2026,4,24),tblDaily[WardCode],"FW")),"")</f>
        <v/>
      </c>
      <c r="D147" s="12">
        <f>IFERROR(IF(SUMIFS(tblDaily[Deaths],tblDaily[EntryDate],DATE(2026,4,24),tblDaily[WardCode],"FW")=0,"",SUMIFS(tblDaily[Deaths],tblDaily[EntryDate],DATE(2026,4,24),tblDaily[WardCode],"FW")),"")</f>
        <v/>
      </c>
      <c r="E147" s="12">
        <f>IFERROR(IF(SUMIFS(tblDaily[DeathsUnder24Hrs],tblDaily[EntryDate],DATE(2026,4,24),tblDaily[WardCode],"FW")=0,"",SUMIFS(tblDaily[DeathsUnder24Hrs],tblDaily[EntryDate],DATE(2026,4,24),tblDaily[WardCode],"FW")),"")</f>
        <v/>
      </c>
      <c r="F147" s="12">
        <f>IFERROR(IF(SUMIFS(tblDaily[TransfersIn],tblDaily[EntryDate],DATE(2026,4,24),tblDaily[WardCode],"FW")=0,"",SUMIFS(tblDaily[TransfersIn],tblDaily[EntryDate],DATE(2026,4,24),tblDaily[WardCode],"FW")),"")</f>
        <v/>
      </c>
      <c r="G147" s="12">
        <f>IFERROR(IF(SUMIFS(tblDaily[TransfersOut],tblDaily[EntryDate],DATE(2026,4,24),tblDaily[WardCode],"FW")=0,"",SUMIFS(tblDaily[TransfersOut],tblDaily[EntryDate],DATE(2026,4,24),tblDaily[WardCode],"FW")),"")</f>
        <v/>
      </c>
      <c r="H147" s="12">
        <f>IFERROR(IF(SUMIFS(tblDaily[Remaining],tblDaily[EntryDate],DATE(2026,4,24),tblDaily[WardCode],"FW")=0,"",SUMIFS(tblDaily[Remaining],tblDaily[EntryDate],DATE(2026,4,24),tblDaily[WardCode],"FW")),"")</f>
        <v/>
      </c>
    </row>
    <row r="148">
      <c r="A148" s="12" t="n">
        <v>25</v>
      </c>
      <c r="B148" s="12">
        <f>IFERROR(IF(SUMIFS(tblDaily[Admissions],tblDaily[EntryDate],DATE(2026,4,25),tblDaily[WardCode],"FW")=0,"",SUMIFS(tblDaily[Admissions],tblDaily[EntryDate],DATE(2026,4,25),tblDaily[WardCode],"FW")),"")</f>
        <v/>
      </c>
      <c r="C148" s="12">
        <f>IFERROR(IF(SUMIFS(tblDaily[Discharges],tblDaily[EntryDate],DATE(2026,4,25),tblDaily[WardCode],"FW")=0,"",SUMIFS(tblDaily[Discharges],tblDaily[EntryDate],DATE(2026,4,25),tblDaily[WardCode],"FW")),"")</f>
        <v/>
      </c>
      <c r="D148" s="12">
        <f>IFERROR(IF(SUMIFS(tblDaily[Deaths],tblDaily[EntryDate],DATE(2026,4,25),tblDaily[WardCode],"FW")=0,"",SUMIFS(tblDaily[Deaths],tblDaily[EntryDate],DATE(2026,4,25),tblDaily[WardCode],"FW")),"")</f>
        <v/>
      </c>
      <c r="E148" s="12">
        <f>IFERROR(IF(SUMIFS(tblDaily[DeathsUnder24Hrs],tblDaily[EntryDate],DATE(2026,4,25),tblDaily[WardCode],"FW")=0,"",SUMIFS(tblDaily[DeathsUnder24Hrs],tblDaily[EntryDate],DATE(2026,4,25),tblDaily[WardCode],"FW")),"")</f>
        <v/>
      </c>
      <c r="F148" s="12">
        <f>IFERROR(IF(SUMIFS(tblDaily[TransfersIn],tblDaily[EntryDate],DATE(2026,4,25),tblDaily[WardCode],"FW")=0,"",SUMIFS(tblDaily[TransfersIn],tblDaily[EntryDate],DATE(2026,4,25),tblDaily[WardCode],"FW")),"")</f>
        <v/>
      </c>
      <c r="G148" s="12">
        <f>IFERROR(IF(SUMIFS(tblDaily[TransfersOut],tblDaily[EntryDate],DATE(2026,4,25),tblDaily[WardCode],"FW")=0,"",SUMIFS(tblDaily[TransfersOut],tblDaily[EntryDate],DATE(2026,4,25),tblDaily[WardCode],"FW")),"")</f>
        <v/>
      </c>
      <c r="H148" s="12">
        <f>IFERROR(IF(SUMIFS(tblDaily[Remaining],tblDaily[EntryDate],DATE(2026,4,25),tblDaily[WardCode],"FW")=0,"",SUMIFS(tblDaily[Remaining],tblDaily[EntryDate],DATE(2026,4,25),tblDaily[WardCode],"FW")),"")</f>
        <v/>
      </c>
    </row>
    <row r="149">
      <c r="A149" s="12" t="n">
        <v>26</v>
      </c>
      <c r="B149" s="12">
        <f>IFERROR(IF(SUMIFS(tblDaily[Admissions],tblDaily[EntryDate],DATE(2026,4,26),tblDaily[WardCode],"FW")=0,"",SUMIFS(tblDaily[Admissions],tblDaily[EntryDate],DATE(2026,4,26),tblDaily[WardCode],"FW")),"")</f>
        <v/>
      </c>
      <c r="C149" s="12">
        <f>IFERROR(IF(SUMIFS(tblDaily[Discharges],tblDaily[EntryDate],DATE(2026,4,26),tblDaily[WardCode],"FW")=0,"",SUMIFS(tblDaily[Discharges],tblDaily[EntryDate],DATE(2026,4,26),tblDaily[WardCode],"FW")),"")</f>
        <v/>
      </c>
      <c r="D149" s="12">
        <f>IFERROR(IF(SUMIFS(tblDaily[Deaths],tblDaily[EntryDate],DATE(2026,4,26),tblDaily[WardCode],"FW")=0,"",SUMIFS(tblDaily[Deaths],tblDaily[EntryDate],DATE(2026,4,26),tblDaily[WardCode],"FW")),"")</f>
        <v/>
      </c>
      <c r="E149" s="12">
        <f>IFERROR(IF(SUMIFS(tblDaily[DeathsUnder24Hrs],tblDaily[EntryDate],DATE(2026,4,26),tblDaily[WardCode],"FW")=0,"",SUMIFS(tblDaily[DeathsUnder24Hrs],tblDaily[EntryDate],DATE(2026,4,26),tblDaily[WardCode],"FW")),"")</f>
        <v/>
      </c>
      <c r="F149" s="12">
        <f>IFERROR(IF(SUMIFS(tblDaily[TransfersIn],tblDaily[EntryDate],DATE(2026,4,26),tblDaily[WardCode],"FW")=0,"",SUMIFS(tblDaily[TransfersIn],tblDaily[EntryDate],DATE(2026,4,26),tblDaily[WardCode],"FW")),"")</f>
        <v/>
      </c>
      <c r="G149" s="12">
        <f>IFERROR(IF(SUMIFS(tblDaily[TransfersOut],tblDaily[EntryDate],DATE(2026,4,26),tblDaily[WardCode],"FW")=0,"",SUMIFS(tblDaily[TransfersOut],tblDaily[EntryDate],DATE(2026,4,26),tblDaily[WardCode],"FW")),"")</f>
        <v/>
      </c>
      <c r="H149" s="12">
        <f>IFERROR(IF(SUMIFS(tblDaily[Remaining],tblDaily[EntryDate],DATE(2026,4,26),tblDaily[WardCode],"FW")=0,"",SUMIFS(tblDaily[Remaining],tblDaily[EntryDate],DATE(2026,4,26),tblDaily[WardCode],"FW")),"")</f>
        <v/>
      </c>
    </row>
    <row r="150">
      <c r="A150" s="12" t="n">
        <v>27</v>
      </c>
      <c r="B150" s="12">
        <f>IFERROR(IF(SUMIFS(tblDaily[Admissions],tblDaily[EntryDate],DATE(2026,4,27),tblDaily[WardCode],"FW")=0,"",SUMIFS(tblDaily[Admissions],tblDaily[EntryDate],DATE(2026,4,27),tblDaily[WardCode],"FW")),"")</f>
        <v/>
      </c>
      <c r="C150" s="12">
        <f>IFERROR(IF(SUMIFS(tblDaily[Discharges],tblDaily[EntryDate],DATE(2026,4,27),tblDaily[WardCode],"FW")=0,"",SUMIFS(tblDaily[Discharges],tblDaily[EntryDate],DATE(2026,4,27),tblDaily[WardCode],"FW")),"")</f>
        <v/>
      </c>
      <c r="D150" s="12">
        <f>IFERROR(IF(SUMIFS(tblDaily[Deaths],tblDaily[EntryDate],DATE(2026,4,27),tblDaily[WardCode],"FW")=0,"",SUMIFS(tblDaily[Deaths],tblDaily[EntryDate],DATE(2026,4,27),tblDaily[WardCode],"FW")),"")</f>
        <v/>
      </c>
      <c r="E150" s="12">
        <f>IFERROR(IF(SUMIFS(tblDaily[DeathsUnder24Hrs],tblDaily[EntryDate],DATE(2026,4,27),tblDaily[WardCode],"FW")=0,"",SUMIFS(tblDaily[DeathsUnder24Hrs],tblDaily[EntryDate],DATE(2026,4,27),tblDaily[WardCode],"FW")),"")</f>
        <v/>
      </c>
      <c r="F150" s="12">
        <f>IFERROR(IF(SUMIFS(tblDaily[TransfersIn],tblDaily[EntryDate],DATE(2026,4,27),tblDaily[WardCode],"FW")=0,"",SUMIFS(tblDaily[TransfersIn],tblDaily[EntryDate],DATE(2026,4,27),tblDaily[WardCode],"FW")),"")</f>
        <v/>
      </c>
      <c r="G150" s="12">
        <f>IFERROR(IF(SUMIFS(tblDaily[TransfersOut],tblDaily[EntryDate],DATE(2026,4,27),tblDaily[WardCode],"FW")=0,"",SUMIFS(tblDaily[TransfersOut],tblDaily[EntryDate],DATE(2026,4,27),tblDaily[WardCode],"FW")),"")</f>
        <v/>
      </c>
      <c r="H150" s="12">
        <f>IFERROR(IF(SUMIFS(tblDaily[Remaining],tblDaily[EntryDate],DATE(2026,4,27),tblDaily[WardCode],"FW")=0,"",SUMIFS(tblDaily[Remaining],tblDaily[EntryDate],DATE(2026,4,27),tblDaily[WardCode],"FW")),"")</f>
        <v/>
      </c>
    </row>
    <row r="151">
      <c r="A151" s="12" t="n">
        <v>28</v>
      </c>
      <c r="B151" s="12">
        <f>IFERROR(IF(SUMIFS(tblDaily[Admissions],tblDaily[EntryDate],DATE(2026,4,28),tblDaily[WardCode],"FW")=0,"",SUMIFS(tblDaily[Admissions],tblDaily[EntryDate],DATE(2026,4,28),tblDaily[WardCode],"FW")),"")</f>
        <v/>
      </c>
      <c r="C151" s="12">
        <f>IFERROR(IF(SUMIFS(tblDaily[Discharges],tblDaily[EntryDate],DATE(2026,4,28),tblDaily[WardCode],"FW")=0,"",SUMIFS(tblDaily[Discharges],tblDaily[EntryDate],DATE(2026,4,28),tblDaily[WardCode],"FW")),"")</f>
        <v/>
      </c>
      <c r="D151" s="12">
        <f>IFERROR(IF(SUMIFS(tblDaily[Deaths],tblDaily[EntryDate],DATE(2026,4,28),tblDaily[WardCode],"FW")=0,"",SUMIFS(tblDaily[Deaths],tblDaily[EntryDate],DATE(2026,4,28),tblDaily[WardCode],"FW")),"")</f>
        <v/>
      </c>
      <c r="E151" s="12">
        <f>IFERROR(IF(SUMIFS(tblDaily[DeathsUnder24Hrs],tblDaily[EntryDate],DATE(2026,4,28),tblDaily[WardCode],"FW")=0,"",SUMIFS(tblDaily[DeathsUnder24Hrs],tblDaily[EntryDate],DATE(2026,4,28),tblDaily[WardCode],"FW")),"")</f>
        <v/>
      </c>
      <c r="F151" s="12">
        <f>IFERROR(IF(SUMIFS(tblDaily[TransfersIn],tblDaily[EntryDate],DATE(2026,4,28),tblDaily[WardCode],"FW")=0,"",SUMIFS(tblDaily[TransfersIn],tblDaily[EntryDate],DATE(2026,4,28),tblDaily[WardCode],"FW")),"")</f>
        <v/>
      </c>
      <c r="G151" s="12">
        <f>IFERROR(IF(SUMIFS(tblDaily[TransfersOut],tblDaily[EntryDate],DATE(2026,4,28),tblDaily[WardCode],"FW")=0,"",SUMIFS(tblDaily[TransfersOut],tblDaily[EntryDate],DATE(2026,4,28),tblDaily[WardCode],"FW")),"")</f>
        <v/>
      </c>
      <c r="H151" s="12">
        <f>IFERROR(IF(SUMIFS(tblDaily[Remaining],tblDaily[EntryDate],DATE(2026,4,28),tblDaily[WardCode],"FW")=0,"",SUMIFS(tblDaily[Remaining],tblDaily[EntryDate],DATE(2026,4,28),tblDaily[WardCode],"FW")),"")</f>
        <v/>
      </c>
    </row>
    <row r="152">
      <c r="A152" s="12" t="n">
        <v>29</v>
      </c>
      <c r="B152" s="12">
        <f>IFERROR(IF(SUMIFS(tblDaily[Admissions],tblDaily[EntryDate],DATE(2026,4,29),tblDaily[WardCode],"FW")=0,"",SUMIFS(tblDaily[Admissions],tblDaily[EntryDate],DATE(2026,4,29),tblDaily[WardCode],"FW")),"")</f>
        <v/>
      </c>
      <c r="C152" s="12">
        <f>IFERROR(IF(SUMIFS(tblDaily[Discharges],tblDaily[EntryDate],DATE(2026,4,29),tblDaily[WardCode],"FW")=0,"",SUMIFS(tblDaily[Discharges],tblDaily[EntryDate],DATE(2026,4,29),tblDaily[WardCode],"FW")),"")</f>
        <v/>
      </c>
      <c r="D152" s="12">
        <f>IFERROR(IF(SUMIFS(tblDaily[Deaths],tblDaily[EntryDate],DATE(2026,4,29),tblDaily[WardCode],"FW")=0,"",SUMIFS(tblDaily[Deaths],tblDaily[EntryDate],DATE(2026,4,29),tblDaily[WardCode],"FW")),"")</f>
        <v/>
      </c>
      <c r="E152" s="12">
        <f>IFERROR(IF(SUMIFS(tblDaily[DeathsUnder24Hrs],tblDaily[EntryDate],DATE(2026,4,29),tblDaily[WardCode],"FW")=0,"",SUMIFS(tblDaily[DeathsUnder24Hrs],tblDaily[EntryDate],DATE(2026,4,29),tblDaily[WardCode],"FW")),"")</f>
        <v/>
      </c>
      <c r="F152" s="12">
        <f>IFERROR(IF(SUMIFS(tblDaily[TransfersIn],tblDaily[EntryDate],DATE(2026,4,29),tblDaily[WardCode],"FW")=0,"",SUMIFS(tblDaily[TransfersIn],tblDaily[EntryDate],DATE(2026,4,29),tblDaily[WardCode],"FW")),"")</f>
        <v/>
      </c>
      <c r="G152" s="12">
        <f>IFERROR(IF(SUMIFS(tblDaily[TransfersOut],tblDaily[EntryDate],DATE(2026,4,29),tblDaily[WardCode],"FW")=0,"",SUMIFS(tblDaily[TransfersOut],tblDaily[EntryDate],DATE(2026,4,29),tblDaily[WardCode],"FW")),"")</f>
        <v/>
      </c>
      <c r="H152" s="12">
        <f>IFERROR(IF(SUMIFS(tblDaily[Remaining],tblDaily[EntryDate],DATE(2026,4,29),tblDaily[WardCode],"FW")=0,"",SUMIFS(tblDaily[Remaining],tblDaily[EntryDate],DATE(2026,4,29),tblDaily[WardCode],"FW")),"")</f>
        <v/>
      </c>
    </row>
    <row r="153">
      <c r="A153" s="12" t="n">
        <v>30</v>
      </c>
      <c r="B153" s="12">
        <f>IFERROR(IF(SUMIFS(tblDaily[Admissions],tblDaily[EntryDate],DATE(2026,4,30),tblDaily[WardCode],"FW")=0,"",SUMIFS(tblDaily[Admissions],tblDaily[EntryDate],DATE(2026,4,30),tblDaily[WardCode],"FW")),"")</f>
        <v/>
      </c>
      <c r="C153" s="12">
        <f>IFERROR(IF(SUMIFS(tblDaily[Discharges],tblDaily[EntryDate],DATE(2026,4,30),tblDaily[WardCode],"FW")=0,"",SUMIFS(tblDaily[Discharges],tblDaily[EntryDate],DATE(2026,4,30),tblDaily[WardCode],"FW")),"")</f>
        <v/>
      </c>
      <c r="D153" s="12">
        <f>IFERROR(IF(SUMIFS(tblDaily[Deaths],tblDaily[EntryDate],DATE(2026,4,30),tblDaily[WardCode],"FW")=0,"",SUMIFS(tblDaily[Deaths],tblDaily[EntryDate],DATE(2026,4,30),tblDaily[WardCode],"FW")),"")</f>
        <v/>
      </c>
      <c r="E153" s="12">
        <f>IFERROR(IF(SUMIFS(tblDaily[DeathsUnder24Hrs],tblDaily[EntryDate],DATE(2026,4,30),tblDaily[WardCode],"FW")=0,"",SUMIFS(tblDaily[DeathsUnder24Hrs],tblDaily[EntryDate],DATE(2026,4,30),tblDaily[WardCode],"FW")),"")</f>
        <v/>
      </c>
      <c r="F153" s="12">
        <f>IFERROR(IF(SUMIFS(tblDaily[TransfersIn],tblDaily[EntryDate],DATE(2026,4,30),tblDaily[WardCode],"FW")=0,"",SUMIFS(tblDaily[TransfersIn],tblDaily[EntryDate],DATE(2026,4,30),tblDaily[WardCode],"FW")),"")</f>
        <v/>
      </c>
      <c r="G153" s="12">
        <f>IFERROR(IF(SUMIFS(tblDaily[TransfersOut],tblDaily[EntryDate],DATE(2026,4,30),tblDaily[WardCode],"FW")=0,"",SUMIFS(tblDaily[TransfersOut],tblDaily[EntryDate],DATE(2026,4,30),tblDaily[WardCode],"FW")),"")</f>
        <v/>
      </c>
      <c r="H153" s="12">
        <f>IFERROR(IF(SUMIFS(tblDaily[Remaining],tblDaily[EntryDate],DATE(2026,4,30),tblDaily[WardCode],"FW")=0,"",SUMIFS(tblDaily[Remaining],tblDaily[EntryDate],DATE(2026,4,30),tblDaily[WardCode],"FW")),"")</f>
        <v/>
      </c>
    </row>
    <row r="154">
      <c r="A154" s="12" t="n">
        <v>31</v>
      </c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7" t="inlineStr">
        <is>
          <t>TOTAL</t>
        </is>
      </c>
      <c r="B155" s="17">
        <f>SUMIFS(tblDaily[Admissions],tblDaily[Month],4,tblDaily[WardCode],"FW") - SUMIFS(tblDaily[DeathsUnder24Hrs],tblDaily[Month],4,tblDaily[WardCode],"FW")</f>
        <v/>
      </c>
      <c r="C155" s="17">
        <f>SUMIFS(tblDaily[Discharges],tblDaily[Month],4,tblDaily[WardCode],"FW")</f>
        <v/>
      </c>
      <c r="D155" s="17">
        <f>SUMIFS(tblDaily[Deaths],tblDaily[Month],4,tblDaily[WardCode],"FW")</f>
        <v/>
      </c>
      <c r="E155" s="17">
        <f>SUMIFS(tblDaily[DeathsUnder24Hrs],tblDaily[Month],4,tblDaily[WardCode],"FW")</f>
        <v/>
      </c>
      <c r="F155" s="17">
        <f>SUMIFS(tblDaily[TransfersIn],tblDaily[Month],4,tblDaily[WardCode],"FW")</f>
        <v/>
      </c>
      <c r="G155" s="17">
        <f>SUMIFS(tblDaily[TransfersOut],tblDaily[Month],4,tblDaily[WardCode],"FW")</f>
        <v/>
      </c>
      <c r="H155" s="17">
        <f>SUMIFS(tblDaily[Remaining],tblDaily[Month],4,tblDaily[WardCode],"FW")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FEMALE MEDICAL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4">
        <f>IFERROR(SUMIFS(tblDaily[Remaining],tblDaily[EntryDate],DATE(2026,4,30),tblDaily[WardCode],"FW"),0)</f>
        <v/>
      </c>
    </row>
    <row r="161">
      <c r="A161" s="4" t="inlineStr">
        <is>
          <t>Bed complement</t>
        </is>
      </c>
      <c r="H161" s="15">
        <f>IFERROR(INDEX(tblWardConfig[BedComplement],MATCH("FW",tblWardConfig[WardCode],0)),0)</f>
        <v/>
      </c>
    </row>
    <row r="162">
      <c r="A162" s="16" t="inlineStr">
        <is>
          <t>Day of
the
Month</t>
        </is>
      </c>
      <c r="B162" s="16" t="inlineStr">
        <is>
          <t>Admissions</t>
        </is>
      </c>
      <c r="C162" s="16" t="inlineStr">
        <is>
          <t>Discharges</t>
        </is>
      </c>
      <c r="D162" s="16" t="inlineStr">
        <is>
          <t>Deaths</t>
        </is>
      </c>
      <c r="E162" s="16" t="inlineStr">
        <is>
          <t>Deaths
&lt;24Hrs</t>
        </is>
      </c>
      <c r="F162" s="16" t="inlineStr">
        <is>
          <t>Transfers-
In</t>
        </is>
      </c>
      <c r="G162" s="16" t="inlineStr">
        <is>
          <t>Transfers-
Out</t>
        </is>
      </c>
      <c r="H162" s="16" t="inlineStr">
        <is>
          <t>No. of Patients
Remaining In
Ward</t>
        </is>
      </c>
    </row>
    <row r="163">
      <c r="A163" s="12" t="n">
        <v>1</v>
      </c>
      <c r="B163" s="12">
        <f>IFERROR(IF(SUMIFS(tblDaily[Admissions],tblDaily[EntryDate],DATE(2026,5,1),tblDaily[WardCode],"FW")=0,"",SUMIFS(tblDaily[Admissions],tblDaily[EntryDate],DATE(2026,5,1),tblDaily[WardCode],"FW")),"")</f>
        <v/>
      </c>
      <c r="C163" s="12">
        <f>IFERROR(IF(SUMIFS(tblDaily[Discharges],tblDaily[EntryDate],DATE(2026,5,1),tblDaily[WardCode],"FW")=0,"",SUMIFS(tblDaily[Discharges],tblDaily[EntryDate],DATE(2026,5,1),tblDaily[WardCode],"FW")),"")</f>
        <v/>
      </c>
      <c r="D163" s="12">
        <f>IFERROR(IF(SUMIFS(tblDaily[Deaths],tblDaily[EntryDate],DATE(2026,5,1),tblDaily[WardCode],"FW")=0,"",SUMIFS(tblDaily[Deaths],tblDaily[EntryDate],DATE(2026,5,1),tblDaily[WardCode],"FW")),"")</f>
        <v/>
      </c>
      <c r="E163" s="12">
        <f>IFERROR(IF(SUMIFS(tblDaily[DeathsUnder24Hrs],tblDaily[EntryDate],DATE(2026,5,1),tblDaily[WardCode],"FW")=0,"",SUMIFS(tblDaily[DeathsUnder24Hrs],tblDaily[EntryDate],DATE(2026,5,1),tblDaily[WardCode],"FW")),"")</f>
        <v/>
      </c>
      <c r="F163" s="12">
        <f>IFERROR(IF(SUMIFS(tblDaily[TransfersIn],tblDaily[EntryDate],DATE(2026,5,1),tblDaily[WardCode],"FW")=0,"",SUMIFS(tblDaily[TransfersIn],tblDaily[EntryDate],DATE(2026,5,1),tblDaily[WardCode],"FW")),"")</f>
        <v/>
      </c>
      <c r="G163" s="12">
        <f>IFERROR(IF(SUMIFS(tblDaily[TransfersOut],tblDaily[EntryDate],DATE(2026,5,1),tblDaily[WardCode],"FW")=0,"",SUMIFS(tblDaily[TransfersOut],tblDaily[EntryDate],DATE(2026,5,1),tblDaily[WardCode],"FW")),"")</f>
        <v/>
      </c>
      <c r="H163" s="12">
        <f>IFERROR(IF(SUMIFS(tblDaily[Remaining],tblDaily[EntryDate],DATE(2026,5,1),tblDaily[WardCode],"FW")=0,"",SUMIFS(tblDaily[Remaining],tblDaily[EntryDate],DATE(2026,5,1),tblDaily[WardCode],"FW")),"")</f>
        <v/>
      </c>
    </row>
    <row r="164">
      <c r="A164" s="12" t="n">
        <v>2</v>
      </c>
      <c r="B164" s="12">
        <f>IFERROR(IF(SUMIFS(tblDaily[Admissions],tblDaily[EntryDate],DATE(2026,5,2),tblDaily[WardCode],"FW")=0,"",SUMIFS(tblDaily[Admissions],tblDaily[EntryDate],DATE(2026,5,2),tblDaily[WardCode],"FW")),"")</f>
        <v/>
      </c>
      <c r="C164" s="12">
        <f>IFERROR(IF(SUMIFS(tblDaily[Discharges],tblDaily[EntryDate],DATE(2026,5,2),tblDaily[WardCode],"FW")=0,"",SUMIFS(tblDaily[Discharges],tblDaily[EntryDate],DATE(2026,5,2),tblDaily[WardCode],"FW")),"")</f>
        <v/>
      </c>
      <c r="D164" s="12">
        <f>IFERROR(IF(SUMIFS(tblDaily[Deaths],tblDaily[EntryDate],DATE(2026,5,2),tblDaily[WardCode],"FW")=0,"",SUMIFS(tblDaily[Deaths],tblDaily[EntryDate],DATE(2026,5,2),tblDaily[WardCode],"FW")),"")</f>
        <v/>
      </c>
      <c r="E164" s="12">
        <f>IFERROR(IF(SUMIFS(tblDaily[DeathsUnder24Hrs],tblDaily[EntryDate],DATE(2026,5,2),tblDaily[WardCode],"FW")=0,"",SUMIFS(tblDaily[DeathsUnder24Hrs],tblDaily[EntryDate],DATE(2026,5,2),tblDaily[WardCode],"FW")),"")</f>
        <v/>
      </c>
      <c r="F164" s="12">
        <f>IFERROR(IF(SUMIFS(tblDaily[TransfersIn],tblDaily[EntryDate],DATE(2026,5,2),tblDaily[WardCode],"FW")=0,"",SUMIFS(tblDaily[TransfersIn],tblDaily[EntryDate],DATE(2026,5,2),tblDaily[WardCode],"FW")),"")</f>
        <v/>
      </c>
      <c r="G164" s="12">
        <f>IFERROR(IF(SUMIFS(tblDaily[TransfersOut],tblDaily[EntryDate],DATE(2026,5,2),tblDaily[WardCode],"FW")=0,"",SUMIFS(tblDaily[TransfersOut],tblDaily[EntryDate],DATE(2026,5,2),tblDaily[WardCode],"FW")),"")</f>
        <v/>
      </c>
      <c r="H164" s="12">
        <f>IFERROR(IF(SUMIFS(tblDaily[Remaining],tblDaily[EntryDate],DATE(2026,5,2),tblDaily[WardCode],"FW")=0,"",SUMIFS(tblDaily[Remaining],tblDaily[EntryDate],DATE(2026,5,2),tblDaily[WardCode],"FW")),"")</f>
        <v/>
      </c>
    </row>
    <row r="165">
      <c r="A165" s="12" t="n">
        <v>3</v>
      </c>
      <c r="B165" s="12">
        <f>IFERROR(IF(SUMIFS(tblDaily[Admissions],tblDaily[EntryDate],DATE(2026,5,3),tblDaily[WardCode],"FW")=0,"",SUMIFS(tblDaily[Admissions],tblDaily[EntryDate],DATE(2026,5,3),tblDaily[WardCode],"FW")),"")</f>
        <v/>
      </c>
      <c r="C165" s="12">
        <f>IFERROR(IF(SUMIFS(tblDaily[Discharges],tblDaily[EntryDate],DATE(2026,5,3),tblDaily[WardCode],"FW")=0,"",SUMIFS(tblDaily[Discharges],tblDaily[EntryDate],DATE(2026,5,3),tblDaily[WardCode],"FW")),"")</f>
        <v/>
      </c>
      <c r="D165" s="12">
        <f>IFERROR(IF(SUMIFS(tblDaily[Deaths],tblDaily[EntryDate],DATE(2026,5,3),tblDaily[WardCode],"FW")=0,"",SUMIFS(tblDaily[Deaths],tblDaily[EntryDate],DATE(2026,5,3),tblDaily[WardCode],"FW")),"")</f>
        <v/>
      </c>
      <c r="E165" s="12">
        <f>IFERROR(IF(SUMIFS(tblDaily[DeathsUnder24Hrs],tblDaily[EntryDate],DATE(2026,5,3),tblDaily[WardCode],"FW")=0,"",SUMIFS(tblDaily[DeathsUnder24Hrs],tblDaily[EntryDate],DATE(2026,5,3),tblDaily[WardCode],"FW")),"")</f>
        <v/>
      </c>
      <c r="F165" s="12">
        <f>IFERROR(IF(SUMIFS(tblDaily[TransfersIn],tblDaily[EntryDate],DATE(2026,5,3),tblDaily[WardCode],"FW")=0,"",SUMIFS(tblDaily[TransfersIn],tblDaily[EntryDate],DATE(2026,5,3),tblDaily[WardCode],"FW")),"")</f>
        <v/>
      </c>
      <c r="G165" s="12">
        <f>IFERROR(IF(SUMIFS(tblDaily[TransfersOut],tblDaily[EntryDate],DATE(2026,5,3),tblDaily[WardCode],"FW")=0,"",SUMIFS(tblDaily[TransfersOut],tblDaily[EntryDate],DATE(2026,5,3),tblDaily[WardCode],"FW")),"")</f>
        <v/>
      </c>
      <c r="H165" s="12">
        <f>IFERROR(IF(SUMIFS(tblDaily[Remaining],tblDaily[EntryDate],DATE(2026,5,3),tblDaily[WardCode],"FW")=0,"",SUMIFS(tblDaily[Remaining],tblDaily[EntryDate],DATE(2026,5,3),tblDaily[WardCode],"FW")),"")</f>
        <v/>
      </c>
    </row>
    <row r="166">
      <c r="A166" s="12" t="n">
        <v>4</v>
      </c>
      <c r="B166" s="12">
        <f>IFERROR(IF(SUMIFS(tblDaily[Admissions],tblDaily[EntryDate],DATE(2026,5,4),tblDaily[WardCode],"FW")=0,"",SUMIFS(tblDaily[Admissions],tblDaily[EntryDate],DATE(2026,5,4),tblDaily[WardCode],"FW")),"")</f>
        <v/>
      </c>
      <c r="C166" s="12">
        <f>IFERROR(IF(SUMIFS(tblDaily[Discharges],tblDaily[EntryDate],DATE(2026,5,4),tblDaily[WardCode],"FW")=0,"",SUMIFS(tblDaily[Discharges],tblDaily[EntryDate],DATE(2026,5,4),tblDaily[WardCode],"FW")),"")</f>
        <v/>
      </c>
      <c r="D166" s="12">
        <f>IFERROR(IF(SUMIFS(tblDaily[Deaths],tblDaily[EntryDate],DATE(2026,5,4),tblDaily[WardCode],"FW")=0,"",SUMIFS(tblDaily[Deaths],tblDaily[EntryDate],DATE(2026,5,4),tblDaily[WardCode],"FW")),"")</f>
        <v/>
      </c>
      <c r="E166" s="12">
        <f>IFERROR(IF(SUMIFS(tblDaily[DeathsUnder24Hrs],tblDaily[EntryDate],DATE(2026,5,4),tblDaily[WardCode],"FW")=0,"",SUMIFS(tblDaily[DeathsUnder24Hrs],tblDaily[EntryDate],DATE(2026,5,4),tblDaily[WardCode],"FW")),"")</f>
        <v/>
      </c>
      <c r="F166" s="12">
        <f>IFERROR(IF(SUMIFS(tblDaily[TransfersIn],tblDaily[EntryDate],DATE(2026,5,4),tblDaily[WardCode],"FW")=0,"",SUMIFS(tblDaily[TransfersIn],tblDaily[EntryDate],DATE(2026,5,4),tblDaily[WardCode],"FW")),"")</f>
        <v/>
      </c>
      <c r="G166" s="12">
        <f>IFERROR(IF(SUMIFS(tblDaily[TransfersOut],tblDaily[EntryDate],DATE(2026,5,4),tblDaily[WardCode],"FW")=0,"",SUMIFS(tblDaily[TransfersOut],tblDaily[EntryDate],DATE(2026,5,4),tblDaily[WardCode],"FW")),"")</f>
        <v/>
      </c>
      <c r="H166" s="12">
        <f>IFERROR(IF(SUMIFS(tblDaily[Remaining],tblDaily[EntryDate],DATE(2026,5,4),tblDaily[WardCode],"FW")=0,"",SUMIFS(tblDaily[Remaining],tblDaily[EntryDate],DATE(2026,5,4),tblDaily[WardCode],"FW")),"")</f>
        <v/>
      </c>
    </row>
    <row r="167">
      <c r="A167" s="12" t="n">
        <v>5</v>
      </c>
      <c r="B167" s="12">
        <f>IFERROR(IF(SUMIFS(tblDaily[Admissions],tblDaily[EntryDate],DATE(2026,5,5),tblDaily[WardCode],"FW")=0,"",SUMIFS(tblDaily[Admissions],tblDaily[EntryDate],DATE(2026,5,5),tblDaily[WardCode],"FW")),"")</f>
        <v/>
      </c>
      <c r="C167" s="12">
        <f>IFERROR(IF(SUMIFS(tblDaily[Discharges],tblDaily[EntryDate],DATE(2026,5,5),tblDaily[WardCode],"FW")=0,"",SUMIFS(tblDaily[Discharges],tblDaily[EntryDate],DATE(2026,5,5),tblDaily[WardCode],"FW")),"")</f>
        <v/>
      </c>
      <c r="D167" s="12">
        <f>IFERROR(IF(SUMIFS(tblDaily[Deaths],tblDaily[EntryDate],DATE(2026,5,5),tblDaily[WardCode],"FW")=0,"",SUMIFS(tblDaily[Deaths],tblDaily[EntryDate],DATE(2026,5,5),tblDaily[WardCode],"FW")),"")</f>
        <v/>
      </c>
      <c r="E167" s="12">
        <f>IFERROR(IF(SUMIFS(tblDaily[DeathsUnder24Hrs],tblDaily[EntryDate],DATE(2026,5,5),tblDaily[WardCode],"FW")=0,"",SUMIFS(tblDaily[DeathsUnder24Hrs],tblDaily[EntryDate],DATE(2026,5,5),tblDaily[WardCode],"FW")),"")</f>
        <v/>
      </c>
      <c r="F167" s="12">
        <f>IFERROR(IF(SUMIFS(tblDaily[TransfersIn],tblDaily[EntryDate],DATE(2026,5,5),tblDaily[WardCode],"FW")=0,"",SUMIFS(tblDaily[TransfersIn],tblDaily[EntryDate],DATE(2026,5,5),tblDaily[WardCode],"FW")),"")</f>
        <v/>
      </c>
      <c r="G167" s="12">
        <f>IFERROR(IF(SUMIFS(tblDaily[TransfersOut],tblDaily[EntryDate],DATE(2026,5,5),tblDaily[WardCode],"FW")=0,"",SUMIFS(tblDaily[TransfersOut],tblDaily[EntryDate],DATE(2026,5,5),tblDaily[WardCode],"FW")),"")</f>
        <v/>
      </c>
      <c r="H167" s="12">
        <f>IFERROR(IF(SUMIFS(tblDaily[Remaining],tblDaily[EntryDate],DATE(2026,5,5),tblDaily[WardCode],"FW")=0,"",SUMIFS(tblDaily[Remaining],tblDaily[EntryDate],DATE(2026,5,5),tblDaily[WardCode],"FW")),"")</f>
        <v/>
      </c>
    </row>
    <row r="168">
      <c r="A168" s="12" t="n">
        <v>6</v>
      </c>
      <c r="B168" s="12">
        <f>IFERROR(IF(SUMIFS(tblDaily[Admissions],tblDaily[EntryDate],DATE(2026,5,6),tblDaily[WardCode],"FW")=0,"",SUMIFS(tblDaily[Admissions],tblDaily[EntryDate],DATE(2026,5,6),tblDaily[WardCode],"FW")),"")</f>
        <v/>
      </c>
      <c r="C168" s="12">
        <f>IFERROR(IF(SUMIFS(tblDaily[Discharges],tblDaily[EntryDate],DATE(2026,5,6),tblDaily[WardCode],"FW")=0,"",SUMIFS(tblDaily[Discharges],tblDaily[EntryDate],DATE(2026,5,6),tblDaily[WardCode],"FW")),"")</f>
        <v/>
      </c>
      <c r="D168" s="12">
        <f>IFERROR(IF(SUMIFS(tblDaily[Deaths],tblDaily[EntryDate],DATE(2026,5,6),tblDaily[WardCode],"FW")=0,"",SUMIFS(tblDaily[Deaths],tblDaily[EntryDate],DATE(2026,5,6),tblDaily[WardCode],"FW")),"")</f>
        <v/>
      </c>
      <c r="E168" s="12">
        <f>IFERROR(IF(SUMIFS(tblDaily[DeathsUnder24Hrs],tblDaily[EntryDate],DATE(2026,5,6),tblDaily[WardCode],"FW")=0,"",SUMIFS(tblDaily[DeathsUnder24Hrs],tblDaily[EntryDate],DATE(2026,5,6),tblDaily[WardCode],"FW")),"")</f>
        <v/>
      </c>
      <c r="F168" s="12">
        <f>IFERROR(IF(SUMIFS(tblDaily[TransfersIn],tblDaily[EntryDate],DATE(2026,5,6),tblDaily[WardCode],"FW")=0,"",SUMIFS(tblDaily[TransfersIn],tblDaily[EntryDate],DATE(2026,5,6),tblDaily[WardCode],"FW")),"")</f>
        <v/>
      </c>
      <c r="G168" s="12">
        <f>IFERROR(IF(SUMIFS(tblDaily[TransfersOut],tblDaily[EntryDate],DATE(2026,5,6),tblDaily[WardCode],"FW")=0,"",SUMIFS(tblDaily[TransfersOut],tblDaily[EntryDate],DATE(2026,5,6),tblDaily[WardCode],"FW")),"")</f>
        <v/>
      </c>
      <c r="H168" s="12">
        <f>IFERROR(IF(SUMIFS(tblDaily[Remaining],tblDaily[EntryDate],DATE(2026,5,6),tblDaily[WardCode],"FW")=0,"",SUMIFS(tblDaily[Remaining],tblDaily[EntryDate],DATE(2026,5,6),tblDaily[WardCode],"FW")),"")</f>
        <v/>
      </c>
    </row>
    <row r="169">
      <c r="A169" s="12" t="n">
        <v>7</v>
      </c>
      <c r="B169" s="12">
        <f>IFERROR(IF(SUMIFS(tblDaily[Admissions],tblDaily[EntryDate],DATE(2026,5,7),tblDaily[WardCode],"FW")=0,"",SUMIFS(tblDaily[Admissions],tblDaily[EntryDate],DATE(2026,5,7),tblDaily[WardCode],"FW")),"")</f>
        <v/>
      </c>
      <c r="C169" s="12">
        <f>IFERROR(IF(SUMIFS(tblDaily[Discharges],tblDaily[EntryDate],DATE(2026,5,7),tblDaily[WardCode],"FW")=0,"",SUMIFS(tblDaily[Discharges],tblDaily[EntryDate],DATE(2026,5,7),tblDaily[WardCode],"FW")),"")</f>
        <v/>
      </c>
      <c r="D169" s="12">
        <f>IFERROR(IF(SUMIFS(tblDaily[Deaths],tblDaily[EntryDate],DATE(2026,5,7),tblDaily[WardCode],"FW")=0,"",SUMIFS(tblDaily[Deaths],tblDaily[EntryDate],DATE(2026,5,7),tblDaily[WardCode],"FW")),"")</f>
        <v/>
      </c>
      <c r="E169" s="12">
        <f>IFERROR(IF(SUMIFS(tblDaily[DeathsUnder24Hrs],tblDaily[EntryDate],DATE(2026,5,7),tblDaily[WardCode],"FW")=0,"",SUMIFS(tblDaily[DeathsUnder24Hrs],tblDaily[EntryDate],DATE(2026,5,7),tblDaily[WardCode],"FW")),"")</f>
        <v/>
      </c>
      <c r="F169" s="12">
        <f>IFERROR(IF(SUMIFS(tblDaily[TransfersIn],tblDaily[EntryDate],DATE(2026,5,7),tblDaily[WardCode],"FW")=0,"",SUMIFS(tblDaily[TransfersIn],tblDaily[EntryDate],DATE(2026,5,7),tblDaily[WardCode],"FW")),"")</f>
        <v/>
      </c>
      <c r="G169" s="12">
        <f>IFERROR(IF(SUMIFS(tblDaily[TransfersOut],tblDaily[EntryDate],DATE(2026,5,7),tblDaily[WardCode],"FW")=0,"",SUMIFS(tblDaily[TransfersOut],tblDaily[EntryDate],DATE(2026,5,7),tblDaily[WardCode],"FW")),"")</f>
        <v/>
      </c>
      <c r="H169" s="12">
        <f>IFERROR(IF(SUMIFS(tblDaily[Remaining],tblDaily[EntryDate],DATE(2026,5,7),tblDaily[WardCode],"FW")=0,"",SUMIFS(tblDaily[Remaining],tblDaily[EntryDate],DATE(2026,5,7),tblDaily[WardCode],"FW")),"")</f>
        <v/>
      </c>
    </row>
    <row r="170">
      <c r="A170" s="12" t="n">
        <v>8</v>
      </c>
      <c r="B170" s="12">
        <f>IFERROR(IF(SUMIFS(tblDaily[Admissions],tblDaily[EntryDate],DATE(2026,5,8),tblDaily[WardCode],"FW")=0,"",SUMIFS(tblDaily[Admissions],tblDaily[EntryDate],DATE(2026,5,8),tblDaily[WardCode],"FW")),"")</f>
        <v/>
      </c>
      <c r="C170" s="12">
        <f>IFERROR(IF(SUMIFS(tblDaily[Discharges],tblDaily[EntryDate],DATE(2026,5,8),tblDaily[WardCode],"FW")=0,"",SUMIFS(tblDaily[Discharges],tblDaily[EntryDate],DATE(2026,5,8),tblDaily[WardCode],"FW")),"")</f>
        <v/>
      </c>
      <c r="D170" s="12">
        <f>IFERROR(IF(SUMIFS(tblDaily[Deaths],tblDaily[EntryDate],DATE(2026,5,8),tblDaily[WardCode],"FW")=0,"",SUMIFS(tblDaily[Deaths],tblDaily[EntryDate],DATE(2026,5,8),tblDaily[WardCode],"FW")),"")</f>
        <v/>
      </c>
      <c r="E170" s="12">
        <f>IFERROR(IF(SUMIFS(tblDaily[DeathsUnder24Hrs],tblDaily[EntryDate],DATE(2026,5,8),tblDaily[WardCode],"FW")=0,"",SUMIFS(tblDaily[DeathsUnder24Hrs],tblDaily[EntryDate],DATE(2026,5,8),tblDaily[WardCode],"FW")),"")</f>
        <v/>
      </c>
      <c r="F170" s="12">
        <f>IFERROR(IF(SUMIFS(tblDaily[TransfersIn],tblDaily[EntryDate],DATE(2026,5,8),tblDaily[WardCode],"FW")=0,"",SUMIFS(tblDaily[TransfersIn],tblDaily[EntryDate],DATE(2026,5,8),tblDaily[WardCode],"FW")),"")</f>
        <v/>
      </c>
      <c r="G170" s="12">
        <f>IFERROR(IF(SUMIFS(tblDaily[TransfersOut],tblDaily[EntryDate],DATE(2026,5,8),tblDaily[WardCode],"FW")=0,"",SUMIFS(tblDaily[TransfersOut],tblDaily[EntryDate],DATE(2026,5,8),tblDaily[WardCode],"FW")),"")</f>
        <v/>
      </c>
      <c r="H170" s="12">
        <f>IFERROR(IF(SUMIFS(tblDaily[Remaining],tblDaily[EntryDate],DATE(2026,5,8),tblDaily[WardCode],"FW")=0,"",SUMIFS(tblDaily[Remaining],tblDaily[EntryDate],DATE(2026,5,8),tblDaily[WardCode],"FW")),"")</f>
        <v/>
      </c>
    </row>
    <row r="171">
      <c r="A171" s="12" t="n">
        <v>9</v>
      </c>
      <c r="B171" s="12">
        <f>IFERROR(IF(SUMIFS(tblDaily[Admissions],tblDaily[EntryDate],DATE(2026,5,9),tblDaily[WardCode],"FW")=0,"",SUMIFS(tblDaily[Admissions],tblDaily[EntryDate],DATE(2026,5,9),tblDaily[WardCode],"FW")),"")</f>
        <v/>
      </c>
      <c r="C171" s="12">
        <f>IFERROR(IF(SUMIFS(tblDaily[Discharges],tblDaily[EntryDate],DATE(2026,5,9),tblDaily[WardCode],"FW")=0,"",SUMIFS(tblDaily[Discharges],tblDaily[EntryDate],DATE(2026,5,9),tblDaily[WardCode],"FW")),"")</f>
        <v/>
      </c>
      <c r="D171" s="12">
        <f>IFERROR(IF(SUMIFS(tblDaily[Deaths],tblDaily[EntryDate],DATE(2026,5,9),tblDaily[WardCode],"FW")=0,"",SUMIFS(tblDaily[Deaths],tblDaily[EntryDate],DATE(2026,5,9),tblDaily[WardCode],"FW")),"")</f>
        <v/>
      </c>
      <c r="E171" s="12">
        <f>IFERROR(IF(SUMIFS(tblDaily[DeathsUnder24Hrs],tblDaily[EntryDate],DATE(2026,5,9),tblDaily[WardCode],"FW")=0,"",SUMIFS(tblDaily[DeathsUnder24Hrs],tblDaily[EntryDate],DATE(2026,5,9),tblDaily[WardCode],"FW")),"")</f>
        <v/>
      </c>
      <c r="F171" s="12">
        <f>IFERROR(IF(SUMIFS(tblDaily[TransfersIn],tblDaily[EntryDate],DATE(2026,5,9),tblDaily[WardCode],"FW")=0,"",SUMIFS(tblDaily[TransfersIn],tblDaily[EntryDate],DATE(2026,5,9),tblDaily[WardCode],"FW")),"")</f>
        <v/>
      </c>
      <c r="G171" s="12">
        <f>IFERROR(IF(SUMIFS(tblDaily[TransfersOut],tblDaily[EntryDate],DATE(2026,5,9),tblDaily[WardCode],"FW")=0,"",SUMIFS(tblDaily[TransfersOut],tblDaily[EntryDate],DATE(2026,5,9),tblDaily[WardCode],"FW")),"")</f>
        <v/>
      </c>
      <c r="H171" s="12">
        <f>IFERROR(IF(SUMIFS(tblDaily[Remaining],tblDaily[EntryDate],DATE(2026,5,9),tblDaily[WardCode],"FW")=0,"",SUMIFS(tblDaily[Remaining],tblDaily[EntryDate],DATE(2026,5,9),tblDaily[WardCode],"FW")),"")</f>
        <v/>
      </c>
    </row>
    <row r="172">
      <c r="A172" s="12" t="n">
        <v>10</v>
      </c>
      <c r="B172" s="12">
        <f>IFERROR(IF(SUMIFS(tblDaily[Admissions],tblDaily[EntryDate],DATE(2026,5,10),tblDaily[WardCode],"FW")=0,"",SUMIFS(tblDaily[Admissions],tblDaily[EntryDate],DATE(2026,5,10),tblDaily[WardCode],"FW")),"")</f>
        <v/>
      </c>
      <c r="C172" s="12">
        <f>IFERROR(IF(SUMIFS(tblDaily[Discharges],tblDaily[EntryDate],DATE(2026,5,10),tblDaily[WardCode],"FW")=0,"",SUMIFS(tblDaily[Discharges],tblDaily[EntryDate],DATE(2026,5,10),tblDaily[WardCode],"FW")),"")</f>
        <v/>
      </c>
      <c r="D172" s="12">
        <f>IFERROR(IF(SUMIFS(tblDaily[Deaths],tblDaily[EntryDate],DATE(2026,5,10),tblDaily[WardCode],"FW")=0,"",SUMIFS(tblDaily[Deaths],tblDaily[EntryDate],DATE(2026,5,10),tblDaily[WardCode],"FW")),"")</f>
        <v/>
      </c>
      <c r="E172" s="12">
        <f>IFERROR(IF(SUMIFS(tblDaily[DeathsUnder24Hrs],tblDaily[EntryDate],DATE(2026,5,10),tblDaily[WardCode],"FW")=0,"",SUMIFS(tblDaily[DeathsUnder24Hrs],tblDaily[EntryDate],DATE(2026,5,10),tblDaily[WardCode],"FW")),"")</f>
        <v/>
      </c>
      <c r="F172" s="12">
        <f>IFERROR(IF(SUMIFS(tblDaily[TransfersIn],tblDaily[EntryDate],DATE(2026,5,10),tblDaily[WardCode],"FW")=0,"",SUMIFS(tblDaily[TransfersIn],tblDaily[EntryDate],DATE(2026,5,10),tblDaily[WardCode],"FW")),"")</f>
        <v/>
      </c>
      <c r="G172" s="12">
        <f>IFERROR(IF(SUMIFS(tblDaily[TransfersOut],tblDaily[EntryDate],DATE(2026,5,10),tblDaily[WardCode],"FW")=0,"",SUMIFS(tblDaily[TransfersOut],tblDaily[EntryDate],DATE(2026,5,10),tblDaily[WardCode],"FW")),"")</f>
        <v/>
      </c>
      <c r="H172" s="12">
        <f>IFERROR(IF(SUMIFS(tblDaily[Remaining],tblDaily[EntryDate],DATE(2026,5,10),tblDaily[WardCode],"FW")=0,"",SUMIFS(tblDaily[Remaining],tblDaily[EntryDate],DATE(2026,5,10),tblDaily[WardCode],"FW")),"")</f>
        <v/>
      </c>
    </row>
    <row r="173">
      <c r="A173" s="12" t="n">
        <v>11</v>
      </c>
      <c r="B173" s="12">
        <f>IFERROR(IF(SUMIFS(tblDaily[Admissions],tblDaily[EntryDate],DATE(2026,5,11),tblDaily[WardCode],"FW")=0,"",SUMIFS(tblDaily[Admissions],tblDaily[EntryDate],DATE(2026,5,11),tblDaily[WardCode],"FW")),"")</f>
        <v/>
      </c>
      <c r="C173" s="12">
        <f>IFERROR(IF(SUMIFS(tblDaily[Discharges],tblDaily[EntryDate],DATE(2026,5,11),tblDaily[WardCode],"FW")=0,"",SUMIFS(tblDaily[Discharges],tblDaily[EntryDate],DATE(2026,5,11),tblDaily[WardCode],"FW")),"")</f>
        <v/>
      </c>
      <c r="D173" s="12">
        <f>IFERROR(IF(SUMIFS(tblDaily[Deaths],tblDaily[EntryDate],DATE(2026,5,11),tblDaily[WardCode],"FW")=0,"",SUMIFS(tblDaily[Deaths],tblDaily[EntryDate],DATE(2026,5,11),tblDaily[WardCode],"FW")),"")</f>
        <v/>
      </c>
      <c r="E173" s="12">
        <f>IFERROR(IF(SUMIFS(tblDaily[DeathsUnder24Hrs],tblDaily[EntryDate],DATE(2026,5,11),tblDaily[WardCode],"FW")=0,"",SUMIFS(tblDaily[DeathsUnder24Hrs],tblDaily[EntryDate],DATE(2026,5,11),tblDaily[WardCode],"FW")),"")</f>
        <v/>
      </c>
      <c r="F173" s="12">
        <f>IFERROR(IF(SUMIFS(tblDaily[TransfersIn],tblDaily[EntryDate],DATE(2026,5,11),tblDaily[WardCode],"FW")=0,"",SUMIFS(tblDaily[TransfersIn],tblDaily[EntryDate],DATE(2026,5,11),tblDaily[WardCode],"FW")),"")</f>
        <v/>
      </c>
      <c r="G173" s="12">
        <f>IFERROR(IF(SUMIFS(tblDaily[TransfersOut],tblDaily[EntryDate],DATE(2026,5,11),tblDaily[WardCode],"FW")=0,"",SUMIFS(tblDaily[TransfersOut],tblDaily[EntryDate],DATE(2026,5,11),tblDaily[WardCode],"FW")),"")</f>
        <v/>
      </c>
      <c r="H173" s="12">
        <f>IFERROR(IF(SUMIFS(tblDaily[Remaining],tblDaily[EntryDate],DATE(2026,5,11),tblDaily[WardCode],"FW")=0,"",SUMIFS(tblDaily[Remaining],tblDaily[EntryDate],DATE(2026,5,11),tblDaily[WardCode],"FW")),"")</f>
        <v/>
      </c>
    </row>
    <row r="174">
      <c r="A174" s="12" t="n">
        <v>12</v>
      </c>
      <c r="B174" s="12">
        <f>IFERROR(IF(SUMIFS(tblDaily[Admissions],tblDaily[EntryDate],DATE(2026,5,12),tblDaily[WardCode],"FW")=0,"",SUMIFS(tblDaily[Admissions],tblDaily[EntryDate],DATE(2026,5,12),tblDaily[WardCode],"FW")),"")</f>
        <v/>
      </c>
      <c r="C174" s="12">
        <f>IFERROR(IF(SUMIFS(tblDaily[Discharges],tblDaily[EntryDate],DATE(2026,5,12),tblDaily[WardCode],"FW")=0,"",SUMIFS(tblDaily[Discharges],tblDaily[EntryDate],DATE(2026,5,12),tblDaily[WardCode],"FW")),"")</f>
        <v/>
      </c>
      <c r="D174" s="12">
        <f>IFERROR(IF(SUMIFS(tblDaily[Deaths],tblDaily[EntryDate],DATE(2026,5,12),tblDaily[WardCode],"FW")=0,"",SUMIFS(tblDaily[Deaths],tblDaily[EntryDate],DATE(2026,5,12),tblDaily[WardCode],"FW")),"")</f>
        <v/>
      </c>
      <c r="E174" s="12">
        <f>IFERROR(IF(SUMIFS(tblDaily[DeathsUnder24Hrs],tblDaily[EntryDate],DATE(2026,5,12),tblDaily[WardCode],"FW")=0,"",SUMIFS(tblDaily[DeathsUnder24Hrs],tblDaily[EntryDate],DATE(2026,5,12),tblDaily[WardCode],"FW")),"")</f>
        <v/>
      </c>
      <c r="F174" s="12">
        <f>IFERROR(IF(SUMIFS(tblDaily[TransfersIn],tblDaily[EntryDate],DATE(2026,5,12),tblDaily[WardCode],"FW")=0,"",SUMIFS(tblDaily[TransfersIn],tblDaily[EntryDate],DATE(2026,5,12),tblDaily[WardCode],"FW")),"")</f>
        <v/>
      </c>
      <c r="G174" s="12">
        <f>IFERROR(IF(SUMIFS(tblDaily[TransfersOut],tblDaily[EntryDate],DATE(2026,5,12),tblDaily[WardCode],"FW")=0,"",SUMIFS(tblDaily[TransfersOut],tblDaily[EntryDate],DATE(2026,5,12),tblDaily[WardCode],"FW")),"")</f>
        <v/>
      </c>
      <c r="H174" s="12">
        <f>IFERROR(IF(SUMIFS(tblDaily[Remaining],tblDaily[EntryDate],DATE(2026,5,12),tblDaily[WardCode],"FW")=0,"",SUMIFS(tblDaily[Remaining],tblDaily[EntryDate],DATE(2026,5,12),tblDaily[WardCode],"FW")),"")</f>
        <v/>
      </c>
    </row>
    <row r="175">
      <c r="A175" s="12" t="n">
        <v>13</v>
      </c>
      <c r="B175" s="12">
        <f>IFERROR(IF(SUMIFS(tblDaily[Admissions],tblDaily[EntryDate],DATE(2026,5,13),tblDaily[WardCode],"FW")=0,"",SUMIFS(tblDaily[Admissions],tblDaily[EntryDate],DATE(2026,5,13),tblDaily[WardCode],"FW")),"")</f>
        <v/>
      </c>
      <c r="C175" s="12">
        <f>IFERROR(IF(SUMIFS(tblDaily[Discharges],tblDaily[EntryDate],DATE(2026,5,13),tblDaily[WardCode],"FW")=0,"",SUMIFS(tblDaily[Discharges],tblDaily[EntryDate],DATE(2026,5,13),tblDaily[WardCode],"FW")),"")</f>
        <v/>
      </c>
      <c r="D175" s="12">
        <f>IFERROR(IF(SUMIFS(tblDaily[Deaths],tblDaily[EntryDate],DATE(2026,5,13),tblDaily[WardCode],"FW")=0,"",SUMIFS(tblDaily[Deaths],tblDaily[EntryDate],DATE(2026,5,13),tblDaily[WardCode],"FW")),"")</f>
        <v/>
      </c>
      <c r="E175" s="12">
        <f>IFERROR(IF(SUMIFS(tblDaily[DeathsUnder24Hrs],tblDaily[EntryDate],DATE(2026,5,13),tblDaily[WardCode],"FW")=0,"",SUMIFS(tblDaily[DeathsUnder24Hrs],tblDaily[EntryDate],DATE(2026,5,13),tblDaily[WardCode],"FW")),"")</f>
        <v/>
      </c>
      <c r="F175" s="12">
        <f>IFERROR(IF(SUMIFS(tblDaily[TransfersIn],tblDaily[EntryDate],DATE(2026,5,13),tblDaily[WardCode],"FW")=0,"",SUMIFS(tblDaily[TransfersIn],tblDaily[EntryDate],DATE(2026,5,13),tblDaily[WardCode],"FW")),"")</f>
        <v/>
      </c>
      <c r="G175" s="12">
        <f>IFERROR(IF(SUMIFS(tblDaily[TransfersOut],tblDaily[EntryDate],DATE(2026,5,13),tblDaily[WardCode],"FW")=0,"",SUMIFS(tblDaily[TransfersOut],tblDaily[EntryDate],DATE(2026,5,13),tblDaily[WardCode],"FW")),"")</f>
        <v/>
      </c>
      <c r="H175" s="12">
        <f>IFERROR(IF(SUMIFS(tblDaily[Remaining],tblDaily[EntryDate],DATE(2026,5,13),tblDaily[WardCode],"FW")=0,"",SUMIFS(tblDaily[Remaining],tblDaily[EntryDate],DATE(2026,5,13),tblDaily[WardCode],"FW")),"")</f>
        <v/>
      </c>
    </row>
    <row r="176">
      <c r="A176" s="12" t="n">
        <v>14</v>
      </c>
      <c r="B176" s="12">
        <f>IFERROR(IF(SUMIFS(tblDaily[Admissions],tblDaily[EntryDate],DATE(2026,5,14),tblDaily[WardCode],"FW")=0,"",SUMIFS(tblDaily[Admissions],tblDaily[EntryDate],DATE(2026,5,14),tblDaily[WardCode],"FW")),"")</f>
        <v/>
      </c>
      <c r="C176" s="12">
        <f>IFERROR(IF(SUMIFS(tblDaily[Discharges],tblDaily[EntryDate],DATE(2026,5,14),tblDaily[WardCode],"FW")=0,"",SUMIFS(tblDaily[Discharges],tblDaily[EntryDate],DATE(2026,5,14),tblDaily[WardCode],"FW")),"")</f>
        <v/>
      </c>
      <c r="D176" s="12">
        <f>IFERROR(IF(SUMIFS(tblDaily[Deaths],tblDaily[EntryDate],DATE(2026,5,14),tblDaily[WardCode],"FW")=0,"",SUMIFS(tblDaily[Deaths],tblDaily[EntryDate],DATE(2026,5,14),tblDaily[WardCode],"FW")),"")</f>
        <v/>
      </c>
      <c r="E176" s="12">
        <f>IFERROR(IF(SUMIFS(tblDaily[DeathsUnder24Hrs],tblDaily[EntryDate],DATE(2026,5,14),tblDaily[WardCode],"FW")=0,"",SUMIFS(tblDaily[DeathsUnder24Hrs],tblDaily[EntryDate],DATE(2026,5,14),tblDaily[WardCode],"FW")),"")</f>
        <v/>
      </c>
      <c r="F176" s="12">
        <f>IFERROR(IF(SUMIFS(tblDaily[TransfersIn],tblDaily[EntryDate],DATE(2026,5,14),tblDaily[WardCode],"FW")=0,"",SUMIFS(tblDaily[TransfersIn],tblDaily[EntryDate],DATE(2026,5,14),tblDaily[WardCode],"FW")),"")</f>
        <v/>
      </c>
      <c r="G176" s="12">
        <f>IFERROR(IF(SUMIFS(tblDaily[TransfersOut],tblDaily[EntryDate],DATE(2026,5,14),tblDaily[WardCode],"FW")=0,"",SUMIFS(tblDaily[TransfersOut],tblDaily[EntryDate],DATE(2026,5,14),tblDaily[WardCode],"FW")),"")</f>
        <v/>
      </c>
      <c r="H176" s="12">
        <f>IFERROR(IF(SUMIFS(tblDaily[Remaining],tblDaily[EntryDate],DATE(2026,5,14),tblDaily[WardCode],"FW")=0,"",SUMIFS(tblDaily[Remaining],tblDaily[EntryDate],DATE(2026,5,14),tblDaily[WardCode],"FW")),"")</f>
        <v/>
      </c>
    </row>
    <row r="177">
      <c r="A177" s="12" t="n">
        <v>15</v>
      </c>
      <c r="B177" s="12">
        <f>IFERROR(IF(SUMIFS(tblDaily[Admissions],tblDaily[EntryDate],DATE(2026,5,15),tblDaily[WardCode],"FW")=0,"",SUMIFS(tblDaily[Admissions],tblDaily[EntryDate],DATE(2026,5,15),tblDaily[WardCode],"FW")),"")</f>
        <v/>
      </c>
      <c r="C177" s="12">
        <f>IFERROR(IF(SUMIFS(tblDaily[Discharges],tblDaily[EntryDate],DATE(2026,5,15),tblDaily[WardCode],"FW")=0,"",SUMIFS(tblDaily[Discharges],tblDaily[EntryDate],DATE(2026,5,15),tblDaily[WardCode],"FW")),"")</f>
        <v/>
      </c>
      <c r="D177" s="12">
        <f>IFERROR(IF(SUMIFS(tblDaily[Deaths],tblDaily[EntryDate],DATE(2026,5,15),tblDaily[WardCode],"FW")=0,"",SUMIFS(tblDaily[Deaths],tblDaily[EntryDate],DATE(2026,5,15),tblDaily[WardCode],"FW")),"")</f>
        <v/>
      </c>
      <c r="E177" s="12">
        <f>IFERROR(IF(SUMIFS(tblDaily[DeathsUnder24Hrs],tblDaily[EntryDate],DATE(2026,5,15),tblDaily[WardCode],"FW")=0,"",SUMIFS(tblDaily[DeathsUnder24Hrs],tblDaily[EntryDate],DATE(2026,5,15),tblDaily[WardCode],"FW")),"")</f>
        <v/>
      </c>
      <c r="F177" s="12">
        <f>IFERROR(IF(SUMIFS(tblDaily[TransfersIn],tblDaily[EntryDate],DATE(2026,5,15),tblDaily[WardCode],"FW")=0,"",SUMIFS(tblDaily[TransfersIn],tblDaily[EntryDate],DATE(2026,5,15),tblDaily[WardCode],"FW")),"")</f>
        <v/>
      </c>
      <c r="G177" s="12">
        <f>IFERROR(IF(SUMIFS(tblDaily[TransfersOut],tblDaily[EntryDate],DATE(2026,5,15),tblDaily[WardCode],"FW")=0,"",SUMIFS(tblDaily[TransfersOut],tblDaily[EntryDate],DATE(2026,5,15),tblDaily[WardCode],"FW")),"")</f>
        <v/>
      </c>
      <c r="H177" s="12">
        <f>IFERROR(IF(SUMIFS(tblDaily[Remaining],tblDaily[EntryDate],DATE(2026,5,15),tblDaily[WardCode],"FW")=0,"",SUMIFS(tblDaily[Remaining],tblDaily[EntryDate],DATE(2026,5,15),tblDaily[WardCode],"FW")),"")</f>
        <v/>
      </c>
    </row>
    <row r="178">
      <c r="A178" s="12" t="n">
        <v>16</v>
      </c>
      <c r="B178" s="12">
        <f>IFERROR(IF(SUMIFS(tblDaily[Admissions],tblDaily[EntryDate],DATE(2026,5,16),tblDaily[WardCode],"FW")=0,"",SUMIFS(tblDaily[Admissions],tblDaily[EntryDate],DATE(2026,5,16),tblDaily[WardCode],"FW")),"")</f>
        <v/>
      </c>
      <c r="C178" s="12">
        <f>IFERROR(IF(SUMIFS(tblDaily[Discharges],tblDaily[EntryDate],DATE(2026,5,16),tblDaily[WardCode],"FW")=0,"",SUMIFS(tblDaily[Discharges],tblDaily[EntryDate],DATE(2026,5,16),tblDaily[WardCode],"FW")),"")</f>
        <v/>
      </c>
      <c r="D178" s="12">
        <f>IFERROR(IF(SUMIFS(tblDaily[Deaths],tblDaily[EntryDate],DATE(2026,5,16),tblDaily[WardCode],"FW")=0,"",SUMIFS(tblDaily[Deaths],tblDaily[EntryDate],DATE(2026,5,16),tblDaily[WardCode],"FW")),"")</f>
        <v/>
      </c>
      <c r="E178" s="12">
        <f>IFERROR(IF(SUMIFS(tblDaily[DeathsUnder24Hrs],tblDaily[EntryDate],DATE(2026,5,16),tblDaily[WardCode],"FW")=0,"",SUMIFS(tblDaily[DeathsUnder24Hrs],tblDaily[EntryDate],DATE(2026,5,16),tblDaily[WardCode],"FW")),"")</f>
        <v/>
      </c>
      <c r="F178" s="12">
        <f>IFERROR(IF(SUMIFS(tblDaily[TransfersIn],tblDaily[EntryDate],DATE(2026,5,16),tblDaily[WardCode],"FW")=0,"",SUMIFS(tblDaily[TransfersIn],tblDaily[EntryDate],DATE(2026,5,16),tblDaily[WardCode],"FW")),"")</f>
        <v/>
      </c>
      <c r="G178" s="12">
        <f>IFERROR(IF(SUMIFS(tblDaily[TransfersOut],tblDaily[EntryDate],DATE(2026,5,16),tblDaily[WardCode],"FW")=0,"",SUMIFS(tblDaily[TransfersOut],tblDaily[EntryDate],DATE(2026,5,16),tblDaily[WardCode],"FW")),"")</f>
        <v/>
      </c>
      <c r="H178" s="12">
        <f>IFERROR(IF(SUMIFS(tblDaily[Remaining],tblDaily[EntryDate],DATE(2026,5,16),tblDaily[WardCode],"FW")=0,"",SUMIFS(tblDaily[Remaining],tblDaily[EntryDate],DATE(2026,5,16),tblDaily[WardCode],"FW")),"")</f>
        <v/>
      </c>
    </row>
    <row r="179">
      <c r="A179" s="12" t="n">
        <v>17</v>
      </c>
      <c r="B179" s="12">
        <f>IFERROR(IF(SUMIFS(tblDaily[Admissions],tblDaily[EntryDate],DATE(2026,5,17),tblDaily[WardCode],"FW")=0,"",SUMIFS(tblDaily[Admissions],tblDaily[EntryDate],DATE(2026,5,17),tblDaily[WardCode],"FW")),"")</f>
        <v/>
      </c>
      <c r="C179" s="12">
        <f>IFERROR(IF(SUMIFS(tblDaily[Discharges],tblDaily[EntryDate],DATE(2026,5,17),tblDaily[WardCode],"FW")=0,"",SUMIFS(tblDaily[Discharges],tblDaily[EntryDate],DATE(2026,5,17),tblDaily[WardCode],"FW")),"")</f>
        <v/>
      </c>
      <c r="D179" s="12">
        <f>IFERROR(IF(SUMIFS(tblDaily[Deaths],tblDaily[EntryDate],DATE(2026,5,17),tblDaily[WardCode],"FW")=0,"",SUMIFS(tblDaily[Deaths],tblDaily[EntryDate],DATE(2026,5,17),tblDaily[WardCode],"FW")),"")</f>
        <v/>
      </c>
      <c r="E179" s="12">
        <f>IFERROR(IF(SUMIFS(tblDaily[DeathsUnder24Hrs],tblDaily[EntryDate],DATE(2026,5,17),tblDaily[WardCode],"FW")=0,"",SUMIFS(tblDaily[DeathsUnder24Hrs],tblDaily[EntryDate],DATE(2026,5,17),tblDaily[WardCode],"FW")),"")</f>
        <v/>
      </c>
      <c r="F179" s="12">
        <f>IFERROR(IF(SUMIFS(tblDaily[TransfersIn],tblDaily[EntryDate],DATE(2026,5,17),tblDaily[WardCode],"FW")=0,"",SUMIFS(tblDaily[TransfersIn],tblDaily[EntryDate],DATE(2026,5,17),tblDaily[WardCode],"FW")),"")</f>
        <v/>
      </c>
      <c r="G179" s="12">
        <f>IFERROR(IF(SUMIFS(tblDaily[TransfersOut],tblDaily[EntryDate],DATE(2026,5,17),tblDaily[WardCode],"FW")=0,"",SUMIFS(tblDaily[TransfersOut],tblDaily[EntryDate],DATE(2026,5,17),tblDaily[WardCode],"FW")),"")</f>
        <v/>
      </c>
      <c r="H179" s="12">
        <f>IFERROR(IF(SUMIFS(tblDaily[Remaining],tblDaily[EntryDate],DATE(2026,5,17),tblDaily[WardCode],"FW")=0,"",SUMIFS(tblDaily[Remaining],tblDaily[EntryDate],DATE(2026,5,17),tblDaily[WardCode],"FW")),"")</f>
        <v/>
      </c>
    </row>
    <row r="180">
      <c r="A180" s="12" t="n">
        <v>18</v>
      </c>
      <c r="B180" s="12">
        <f>IFERROR(IF(SUMIFS(tblDaily[Admissions],tblDaily[EntryDate],DATE(2026,5,18),tblDaily[WardCode],"FW")=0,"",SUMIFS(tblDaily[Admissions],tblDaily[EntryDate],DATE(2026,5,18),tblDaily[WardCode],"FW")),"")</f>
        <v/>
      </c>
      <c r="C180" s="12">
        <f>IFERROR(IF(SUMIFS(tblDaily[Discharges],tblDaily[EntryDate],DATE(2026,5,18),tblDaily[WardCode],"FW")=0,"",SUMIFS(tblDaily[Discharges],tblDaily[EntryDate],DATE(2026,5,18),tblDaily[WardCode],"FW")),"")</f>
        <v/>
      </c>
      <c r="D180" s="12">
        <f>IFERROR(IF(SUMIFS(tblDaily[Deaths],tblDaily[EntryDate],DATE(2026,5,18),tblDaily[WardCode],"FW")=0,"",SUMIFS(tblDaily[Deaths],tblDaily[EntryDate],DATE(2026,5,18),tblDaily[WardCode],"FW")),"")</f>
        <v/>
      </c>
      <c r="E180" s="12">
        <f>IFERROR(IF(SUMIFS(tblDaily[DeathsUnder24Hrs],tblDaily[EntryDate],DATE(2026,5,18),tblDaily[WardCode],"FW")=0,"",SUMIFS(tblDaily[DeathsUnder24Hrs],tblDaily[EntryDate],DATE(2026,5,18),tblDaily[WardCode],"FW")),"")</f>
        <v/>
      </c>
      <c r="F180" s="12">
        <f>IFERROR(IF(SUMIFS(tblDaily[TransfersIn],tblDaily[EntryDate],DATE(2026,5,18),tblDaily[WardCode],"FW")=0,"",SUMIFS(tblDaily[TransfersIn],tblDaily[EntryDate],DATE(2026,5,18),tblDaily[WardCode],"FW")),"")</f>
        <v/>
      </c>
      <c r="G180" s="12">
        <f>IFERROR(IF(SUMIFS(tblDaily[TransfersOut],tblDaily[EntryDate],DATE(2026,5,18),tblDaily[WardCode],"FW")=0,"",SUMIFS(tblDaily[TransfersOut],tblDaily[EntryDate],DATE(2026,5,18),tblDaily[WardCode],"FW")),"")</f>
        <v/>
      </c>
      <c r="H180" s="12">
        <f>IFERROR(IF(SUMIFS(tblDaily[Remaining],tblDaily[EntryDate],DATE(2026,5,18),tblDaily[WardCode],"FW")=0,"",SUMIFS(tblDaily[Remaining],tblDaily[EntryDate],DATE(2026,5,18),tblDaily[WardCode],"FW")),"")</f>
        <v/>
      </c>
    </row>
    <row r="181">
      <c r="A181" s="12" t="n">
        <v>19</v>
      </c>
      <c r="B181" s="12">
        <f>IFERROR(IF(SUMIFS(tblDaily[Admissions],tblDaily[EntryDate],DATE(2026,5,19),tblDaily[WardCode],"FW")=0,"",SUMIFS(tblDaily[Admissions],tblDaily[EntryDate],DATE(2026,5,19),tblDaily[WardCode],"FW")),"")</f>
        <v/>
      </c>
      <c r="C181" s="12">
        <f>IFERROR(IF(SUMIFS(tblDaily[Discharges],tblDaily[EntryDate],DATE(2026,5,19),tblDaily[WardCode],"FW")=0,"",SUMIFS(tblDaily[Discharges],tblDaily[EntryDate],DATE(2026,5,19),tblDaily[WardCode],"FW")),"")</f>
        <v/>
      </c>
      <c r="D181" s="12">
        <f>IFERROR(IF(SUMIFS(tblDaily[Deaths],tblDaily[EntryDate],DATE(2026,5,19),tblDaily[WardCode],"FW")=0,"",SUMIFS(tblDaily[Deaths],tblDaily[EntryDate],DATE(2026,5,19),tblDaily[WardCode],"FW")),"")</f>
        <v/>
      </c>
      <c r="E181" s="12">
        <f>IFERROR(IF(SUMIFS(tblDaily[DeathsUnder24Hrs],tblDaily[EntryDate],DATE(2026,5,19),tblDaily[WardCode],"FW")=0,"",SUMIFS(tblDaily[DeathsUnder24Hrs],tblDaily[EntryDate],DATE(2026,5,19),tblDaily[WardCode],"FW")),"")</f>
        <v/>
      </c>
      <c r="F181" s="12">
        <f>IFERROR(IF(SUMIFS(tblDaily[TransfersIn],tblDaily[EntryDate],DATE(2026,5,19),tblDaily[WardCode],"FW")=0,"",SUMIFS(tblDaily[TransfersIn],tblDaily[EntryDate],DATE(2026,5,19),tblDaily[WardCode],"FW")),"")</f>
        <v/>
      </c>
      <c r="G181" s="12">
        <f>IFERROR(IF(SUMIFS(tblDaily[TransfersOut],tblDaily[EntryDate],DATE(2026,5,19),tblDaily[WardCode],"FW")=0,"",SUMIFS(tblDaily[TransfersOut],tblDaily[EntryDate],DATE(2026,5,19),tblDaily[WardCode],"FW")),"")</f>
        <v/>
      </c>
      <c r="H181" s="12">
        <f>IFERROR(IF(SUMIFS(tblDaily[Remaining],tblDaily[EntryDate],DATE(2026,5,19),tblDaily[WardCode],"FW")=0,"",SUMIFS(tblDaily[Remaining],tblDaily[EntryDate],DATE(2026,5,19),tblDaily[WardCode],"FW")),"")</f>
        <v/>
      </c>
    </row>
    <row r="182">
      <c r="A182" s="12" t="n">
        <v>20</v>
      </c>
      <c r="B182" s="12">
        <f>IFERROR(IF(SUMIFS(tblDaily[Admissions],tblDaily[EntryDate],DATE(2026,5,20),tblDaily[WardCode],"FW")=0,"",SUMIFS(tblDaily[Admissions],tblDaily[EntryDate],DATE(2026,5,20),tblDaily[WardCode],"FW")),"")</f>
        <v/>
      </c>
      <c r="C182" s="12">
        <f>IFERROR(IF(SUMIFS(tblDaily[Discharges],tblDaily[EntryDate],DATE(2026,5,20),tblDaily[WardCode],"FW")=0,"",SUMIFS(tblDaily[Discharges],tblDaily[EntryDate],DATE(2026,5,20),tblDaily[WardCode],"FW")),"")</f>
        <v/>
      </c>
      <c r="D182" s="12">
        <f>IFERROR(IF(SUMIFS(tblDaily[Deaths],tblDaily[EntryDate],DATE(2026,5,20),tblDaily[WardCode],"FW")=0,"",SUMIFS(tblDaily[Deaths],tblDaily[EntryDate],DATE(2026,5,20),tblDaily[WardCode],"FW")),"")</f>
        <v/>
      </c>
      <c r="E182" s="12">
        <f>IFERROR(IF(SUMIFS(tblDaily[DeathsUnder24Hrs],tblDaily[EntryDate],DATE(2026,5,20),tblDaily[WardCode],"FW")=0,"",SUMIFS(tblDaily[DeathsUnder24Hrs],tblDaily[EntryDate],DATE(2026,5,20),tblDaily[WardCode],"FW")),"")</f>
        <v/>
      </c>
      <c r="F182" s="12">
        <f>IFERROR(IF(SUMIFS(tblDaily[TransfersIn],tblDaily[EntryDate],DATE(2026,5,20),tblDaily[WardCode],"FW")=0,"",SUMIFS(tblDaily[TransfersIn],tblDaily[EntryDate],DATE(2026,5,20),tblDaily[WardCode],"FW")),"")</f>
        <v/>
      </c>
      <c r="G182" s="12">
        <f>IFERROR(IF(SUMIFS(tblDaily[TransfersOut],tblDaily[EntryDate],DATE(2026,5,20),tblDaily[WardCode],"FW")=0,"",SUMIFS(tblDaily[TransfersOut],tblDaily[EntryDate],DATE(2026,5,20),tblDaily[WardCode],"FW")),"")</f>
        <v/>
      </c>
      <c r="H182" s="12">
        <f>IFERROR(IF(SUMIFS(tblDaily[Remaining],tblDaily[EntryDate],DATE(2026,5,20),tblDaily[WardCode],"FW")=0,"",SUMIFS(tblDaily[Remaining],tblDaily[EntryDate],DATE(2026,5,20),tblDaily[WardCode],"FW")),"")</f>
        <v/>
      </c>
    </row>
    <row r="183">
      <c r="A183" s="12" t="n">
        <v>21</v>
      </c>
      <c r="B183" s="12">
        <f>IFERROR(IF(SUMIFS(tblDaily[Admissions],tblDaily[EntryDate],DATE(2026,5,21),tblDaily[WardCode],"FW")=0,"",SUMIFS(tblDaily[Admissions],tblDaily[EntryDate],DATE(2026,5,21),tblDaily[WardCode],"FW")),"")</f>
        <v/>
      </c>
      <c r="C183" s="12">
        <f>IFERROR(IF(SUMIFS(tblDaily[Discharges],tblDaily[EntryDate],DATE(2026,5,21),tblDaily[WardCode],"FW")=0,"",SUMIFS(tblDaily[Discharges],tblDaily[EntryDate],DATE(2026,5,21),tblDaily[WardCode],"FW")),"")</f>
        <v/>
      </c>
      <c r="D183" s="12">
        <f>IFERROR(IF(SUMIFS(tblDaily[Deaths],tblDaily[EntryDate],DATE(2026,5,21),tblDaily[WardCode],"FW")=0,"",SUMIFS(tblDaily[Deaths],tblDaily[EntryDate],DATE(2026,5,21),tblDaily[WardCode],"FW")),"")</f>
        <v/>
      </c>
      <c r="E183" s="12">
        <f>IFERROR(IF(SUMIFS(tblDaily[DeathsUnder24Hrs],tblDaily[EntryDate],DATE(2026,5,21),tblDaily[WardCode],"FW")=0,"",SUMIFS(tblDaily[DeathsUnder24Hrs],tblDaily[EntryDate],DATE(2026,5,21),tblDaily[WardCode],"FW")),"")</f>
        <v/>
      </c>
      <c r="F183" s="12">
        <f>IFERROR(IF(SUMIFS(tblDaily[TransfersIn],tblDaily[EntryDate],DATE(2026,5,21),tblDaily[WardCode],"FW")=0,"",SUMIFS(tblDaily[TransfersIn],tblDaily[EntryDate],DATE(2026,5,21),tblDaily[WardCode],"FW")),"")</f>
        <v/>
      </c>
      <c r="G183" s="12">
        <f>IFERROR(IF(SUMIFS(tblDaily[TransfersOut],tblDaily[EntryDate],DATE(2026,5,21),tblDaily[WardCode],"FW")=0,"",SUMIFS(tblDaily[TransfersOut],tblDaily[EntryDate],DATE(2026,5,21),tblDaily[WardCode],"FW")),"")</f>
        <v/>
      </c>
      <c r="H183" s="12">
        <f>IFERROR(IF(SUMIFS(tblDaily[Remaining],tblDaily[EntryDate],DATE(2026,5,21),tblDaily[WardCode],"FW")=0,"",SUMIFS(tblDaily[Remaining],tblDaily[EntryDate],DATE(2026,5,21),tblDaily[WardCode],"FW")),"")</f>
        <v/>
      </c>
    </row>
    <row r="184">
      <c r="A184" s="12" t="n">
        <v>22</v>
      </c>
      <c r="B184" s="12">
        <f>IFERROR(IF(SUMIFS(tblDaily[Admissions],tblDaily[EntryDate],DATE(2026,5,22),tblDaily[WardCode],"FW")=0,"",SUMIFS(tblDaily[Admissions],tblDaily[EntryDate],DATE(2026,5,22),tblDaily[WardCode],"FW")),"")</f>
        <v/>
      </c>
      <c r="C184" s="12">
        <f>IFERROR(IF(SUMIFS(tblDaily[Discharges],tblDaily[EntryDate],DATE(2026,5,22),tblDaily[WardCode],"FW")=0,"",SUMIFS(tblDaily[Discharges],tblDaily[EntryDate],DATE(2026,5,22),tblDaily[WardCode],"FW")),"")</f>
        <v/>
      </c>
      <c r="D184" s="12">
        <f>IFERROR(IF(SUMIFS(tblDaily[Deaths],tblDaily[EntryDate],DATE(2026,5,22),tblDaily[WardCode],"FW")=0,"",SUMIFS(tblDaily[Deaths],tblDaily[EntryDate],DATE(2026,5,22),tblDaily[WardCode],"FW")),"")</f>
        <v/>
      </c>
      <c r="E184" s="12">
        <f>IFERROR(IF(SUMIFS(tblDaily[DeathsUnder24Hrs],tblDaily[EntryDate],DATE(2026,5,22),tblDaily[WardCode],"FW")=0,"",SUMIFS(tblDaily[DeathsUnder24Hrs],tblDaily[EntryDate],DATE(2026,5,22),tblDaily[WardCode],"FW")),"")</f>
        <v/>
      </c>
      <c r="F184" s="12">
        <f>IFERROR(IF(SUMIFS(tblDaily[TransfersIn],tblDaily[EntryDate],DATE(2026,5,22),tblDaily[WardCode],"FW")=0,"",SUMIFS(tblDaily[TransfersIn],tblDaily[EntryDate],DATE(2026,5,22),tblDaily[WardCode],"FW")),"")</f>
        <v/>
      </c>
      <c r="G184" s="12">
        <f>IFERROR(IF(SUMIFS(tblDaily[TransfersOut],tblDaily[EntryDate],DATE(2026,5,22),tblDaily[WardCode],"FW")=0,"",SUMIFS(tblDaily[TransfersOut],tblDaily[EntryDate],DATE(2026,5,22),tblDaily[WardCode],"FW")),"")</f>
        <v/>
      </c>
      <c r="H184" s="12">
        <f>IFERROR(IF(SUMIFS(tblDaily[Remaining],tblDaily[EntryDate],DATE(2026,5,22),tblDaily[WardCode],"FW")=0,"",SUMIFS(tblDaily[Remaining],tblDaily[EntryDate],DATE(2026,5,22),tblDaily[WardCode],"FW")),"")</f>
        <v/>
      </c>
    </row>
    <row r="185">
      <c r="A185" s="12" t="n">
        <v>23</v>
      </c>
      <c r="B185" s="12">
        <f>IFERROR(IF(SUMIFS(tblDaily[Admissions],tblDaily[EntryDate],DATE(2026,5,23),tblDaily[WardCode],"FW")=0,"",SUMIFS(tblDaily[Admissions],tblDaily[EntryDate],DATE(2026,5,23),tblDaily[WardCode],"FW")),"")</f>
        <v/>
      </c>
      <c r="C185" s="12">
        <f>IFERROR(IF(SUMIFS(tblDaily[Discharges],tblDaily[EntryDate],DATE(2026,5,23),tblDaily[WardCode],"FW")=0,"",SUMIFS(tblDaily[Discharges],tblDaily[EntryDate],DATE(2026,5,23),tblDaily[WardCode],"FW")),"")</f>
        <v/>
      </c>
      <c r="D185" s="12">
        <f>IFERROR(IF(SUMIFS(tblDaily[Deaths],tblDaily[EntryDate],DATE(2026,5,23),tblDaily[WardCode],"FW")=0,"",SUMIFS(tblDaily[Deaths],tblDaily[EntryDate],DATE(2026,5,23),tblDaily[WardCode],"FW")),"")</f>
        <v/>
      </c>
      <c r="E185" s="12">
        <f>IFERROR(IF(SUMIFS(tblDaily[DeathsUnder24Hrs],tblDaily[EntryDate],DATE(2026,5,23),tblDaily[WardCode],"FW")=0,"",SUMIFS(tblDaily[DeathsUnder24Hrs],tblDaily[EntryDate],DATE(2026,5,23),tblDaily[WardCode],"FW")),"")</f>
        <v/>
      </c>
      <c r="F185" s="12">
        <f>IFERROR(IF(SUMIFS(tblDaily[TransfersIn],tblDaily[EntryDate],DATE(2026,5,23),tblDaily[WardCode],"FW")=0,"",SUMIFS(tblDaily[TransfersIn],tblDaily[EntryDate],DATE(2026,5,23),tblDaily[WardCode],"FW")),"")</f>
        <v/>
      </c>
      <c r="G185" s="12">
        <f>IFERROR(IF(SUMIFS(tblDaily[TransfersOut],tblDaily[EntryDate],DATE(2026,5,23),tblDaily[WardCode],"FW")=0,"",SUMIFS(tblDaily[TransfersOut],tblDaily[EntryDate],DATE(2026,5,23),tblDaily[WardCode],"FW")),"")</f>
        <v/>
      </c>
      <c r="H185" s="12">
        <f>IFERROR(IF(SUMIFS(tblDaily[Remaining],tblDaily[EntryDate],DATE(2026,5,23),tblDaily[WardCode],"FW")=0,"",SUMIFS(tblDaily[Remaining],tblDaily[EntryDate],DATE(2026,5,23),tblDaily[WardCode],"FW")),"")</f>
        <v/>
      </c>
    </row>
    <row r="186">
      <c r="A186" s="12" t="n">
        <v>24</v>
      </c>
      <c r="B186" s="12">
        <f>IFERROR(IF(SUMIFS(tblDaily[Admissions],tblDaily[EntryDate],DATE(2026,5,24),tblDaily[WardCode],"FW")=0,"",SUMIFS(tblDaily[Admissions],tblDaily[EntryDate],DATE(2026,5,24),tblDaily[WardCode],"FW")),"")</f>
        <v/>
      </c>
      <c r="C186" s="12">
        <f>IFERROR(IF(SUMIFS(tblDaily[Discharges],tblDaily[EntryDate],DATE(2026,5,24),tblDaily[WardCode],"FW")=0,"",SUMIFS(tblDaily[Discharges],tblDaily[EntryDate],DATE(2026,5,24),tblDaily[WardCode],"FW")),"")</f>
        <v/>
      </c>
      <c r="D186" s="12">
        <f>IFERROR(IF(SUMIFS(tblDaily[Deaths],tblDaily[EntryDate],DATE(2026,5,24),tblDaily[WardCode],"FW")=0,"",SUMIFS(tblDaily[Deaths],tblDaily[EntryDate],DATE(2026,5,24),tblDaily[WardCode],"FW")),"")</f>
        <v/>
      </c>
      <c r="E186" s="12">
        <f>IFERROR(IF(SUMIFS(tblDaily[DeathsUnder24Hrs],tblDaily[EntryDate],DATE(2026,5,24),tblDaily[WardCode],"FW")=0,"",SUMIFS(tblDaily[DeathsUnder24Hrs],tblDaily[EntryDate],DATE(2026,5,24),tblDaily[WardCode],"FW")),"")</f>
        <v/>
      </c>
      <c r="F186" s="12">
        <f>IFERROR(IF(SUMIFS(tblDaily[TransfersIn],tblDaily[EntryDate],DATE(2026,5,24),tblDaily[WardCode],"FW")=0,"",SUMIFS(tblDaily[TransfersIn],tblDaily[EntryDate],DATE(2026,5,24),tblDaily[WardCode],"FW")),"")</f>
        <v/>
      </c>
      <c r="G186" s="12">
        <f>IFERROR(IF(SUMIFS(tblDaily[TransfersOut],tblDaily[EntryDate],DATE(2026,5,24),tblDaily[WardCode],"FW")=0,"",SUMIFS(tblDaily[TransfersOut],tblDaily[EntryDate],DATE(2026,5,24),tblDaily[WardCode],"FW")),"")</f>
        <v/>
      </c>
      <c r="H186" s="12">
        <f>IFERROR(IF(SUMIFS(tblDaily[Remaining],tblDaily[EntryDate],DATE(2026,5,24),tblDaily[WardCode],"FW")=0,"",SUMIFS(tblDaily[Remaining],tblDaily[EntryDate],DATE(2026,5,24),tblDaily[WardCode],"FW")),"")</f>
        <v/>
      </c>
    </row>
    <row r="187">
      <c r="A187" s="12" t="n">
        <v>25</v>
      </c>
      <c r="B187" s="12">
        <f>IFERROR(IF(SUMIFS(tblDaily[Admissions],tblDaily[EntryDate],DATE(2026,5,25),tblDaily[WardCode],"FW")=0,"",SUMIFS(tblDaily[Admissions],tblDaily[EntryDate],DATE(2026,5,25),tblDaily[WardCode],"FW")),"")</f>
        <v/>
      </c>
      <c r="C187" s="12">
        <f>IFERROR(IF(SUMIFS(tblDaily[Discharges],tblDaily[EntryDate],DATE(2026,5,25),tblDaily[WardCode],"FW")=0,"",SUMIFS(tblDaily[Discharges],tblDaily[EntryDate],DATE(2026,5,25),tblDaily[WardCode],"FW")),"")</f>
        <v/>
      </c>
      <c r="D187" s="12">
        <f>IFERROR(IF(SUMIFS(tblDaily[Deaths],tblDaily[EntryDate],DATE(2026,5,25),tblDaily[WardCode],"FW")=0,"",SUMIFS(tblDaily[Deaths],tblDaily[EntryDate],DATE(2026,5,25),tblDaily[WardCode],"FW")),"")</f>
        <v/>
      </c>
      <c r="E187" s="12">
        <f>IFERROR(IF(SUMIFS(tblDaily[DeathsUnder24Hrs],tblDaily[EntryDate],DATE(2026,5,25),tblDaily[WardCode],"FW")=0,"",SUMIFS(tblDaily[DeathsUnder24Hrs],tblDaily[EntryDate],DATE(2026,5,25),tblDaily[WardCode],"FW")),"")</f>
        <v/>
      </c>
      <c r="F187" s="12">
        <f>IFERROR(IF(SUMIFS(tblDaily[TransfersIn],tblDaily[EntryDate],DATE(2026,5,25),tblDaily[WardCode],"FW")=0,"",SUMIFS(tblDaily[TransfersIn],tblDaily[EntryDate],DATE(2026,5,25),tblDaily[WardCode],"FW")),"")</f>
        <v/>
      </c>
      <c r="G187" s="12">
        <f>IFERROR(IF(SUMIFS(tblDaily[TransfersOut],tblDaily[EntryDate],DATE(2026,5,25),tblDaily[WardCode],"FW")=0,"",SUMIFS(tblDaily[TransfersOut],tblDaily[EntryDate],DATE(2026,5,25),tblDaily[WardCode],"FW")),"")</f>
        <v/>
      </c>
      <c r="H187" s="12">
        <f>IFERROR(IF(SUMIFS(tblDaily[Remaining],tblDaily[EntryDate],DATE(2026,5,25),tblDaily[WardCode],"FW")=0,"",SUMIFS(tblDaily[Remaining],tblDaily[EntryDate],DATE(2026,5,25),tblDaily[WardCode],"FW")),"")</f>
        <v/>
      </c>
    </row>
    <row r="188">
      <c r="A188" s="12" t="n">
        <v>26</v>
      </c>
      <c r="B188" s="12">
        <f>IFERROR(IF(SUMIFS(tblDaily[Admissions],tblDaily[EntryDate],DATE(2026,5,26),tblDaily[WardCode],"FW")=0,"",SUMIFS(tblDaily[Admissions],tblDaily[EntryDate],DATE(2026,5,26),tblDaily[WardCode],"FW")),"")</f>
        <v/>
      </c>
      <c r="C188" s="12">
        <f>IFERROR(IF(SUMIFS(tblDaily[Discharges],tblDaily[EntryDate],DATE(2026,5,26),tblDaily[WardCode],"FW")=0,"",SUMIFS(tblDaily[Discharges],tblDaily[EntryDate],DATE(2026,5,26),tblDaily[WardCode],"FW")),"")</f>
        <v/>
      </c>
      <c r="D188" s="12">
        <f>IFERROR(IF(SUMIFS(tblDaily[Deaths],tblDaily[EntryDate],DATE(2026,5,26),tblDaily[WardCode],"FW")=0,"",SUMIFS(tblDaily[Deaths],tblDaily[EntryDate],DATE(2026,5,26),tblDaily[WardCode],"FW")),"")</f>
        <v/>
      </c>
      <c r="E188" s="12">
        <f>IFERROR(IF(SUMIFS(tblDaily[DeathsUnder24Hrs],tblDaily[EntryDate],DATE(2026,5,26),tblDaily[WardCode],"FW")=0,"",SUMIFS(tblDaily[DeathsUnder24Hrs],tblDaily[EntryDate],DATE(2026,5,26),tblDaily[WardCode],"FW")),"")</f>
        <v/>
      </c>
      <c r="F188" s="12">
        <f>IFERROR(IF(SUMIFS(tblDaily[TransfersIn],tblDaily[EntryDate],DATE(2026,5,26),tblDaily[WardCode],"FW")=0,"",SUMIFS(tblDaily[TransfersIn],tblDaily[EntryDate],DATE(2026,5,26),tblDaily[WardCode],"FW")),"")</f>
        <v/>
      </c>
      <c r="G188" s="12">
        <f>IFERROR(IF(SUMIFS(tblDaily[TransfersOut],tblDaily[EntryDate],DATE(2026,5,26),tblDaily[WardCode],"FW")=0,"",SUMIFS(tblDaily[TransfersOut],tblDaily[EntryDate],DATE(2026,5,26),tblDaily[WardCode],"FW")),"")</f>
        <v/>
      </c>
      <c r="H188" s="12">
        <f>IFERROR(IF(SUMIFS(tblDaily[Remaining],tblDaily[EntryDate],DATE(2026,5,26),tblDaily[WardCode],"FW")=0,"",SUMIFS(tblDaily[Remaining],tblDaily[EntryDate],DATE(2026,5,26),tblDaily[WardCode],"FW")),"")</f>
        <v/>
      </c>
    </row>
    <row r="189">
      <c r="A189" s="12" t="n">
        <v>27</v>
      </c>
      <c r="B189" s="12">
        <f>IFERROR(IF(SUMIFS(tblDaily[Admissions],tblDaily[EntryDate],DATE(2026,5,27),tblDaily[WardCode],"FW")=0,"",SUMIFS(tblDaily[Admissions],tblDaily[EntryDate],DATE(2026,5,27),tblDaily[WardCode],"FW")),"")</f>
        <v/>
      </c>
      <c r="C189" s="12">
        <f>IFERROR(IF(SUMIFS(tblDaily[Discharges],tblDaily[EntryDate],DATE(2026,5,27),tblDaily[WardCode],"FW")=0,"",SUMIFS(tblDaily[Discharges],tblDaily[EntryDate],DATE(2026,5,27),tblDaily[WardCode],"FW")),"")</f>
        <v/>
      </c>
      <c r="D189" s="12">
        <f>IFERROR(IF(SUMIFS(tblDaily[Deaths],tblDaily[EntryDate],DATE(2026,5,27),tblDaily[WardCode],"FW")=0,"",SUMIFS(tblDaily[Deaths],tblDaily[EntryDate],DATE(2026,5,27),tblDaily[WardCode],"FW")),"")</f>
        <v/>
      </c>
      <c r="E189" s="12">
        <f>IFERROR(IF(SUMIFS(tblDaily[DeathsUnder24Hrs],tblDaily[EntryDate],DATE(2026,5,27),tblDaily[WardCode],"FW")=0,"",SUMIFS(tblDaily[DeathsUnder24Hrs],tblDaily[EntryDate],DATE(2026,5,27),tblDaily[WardCode],"FW")),"")</f>
        <v/>
      </c>
      <c r="F189" s="12">
        <f>IFERROR(IF(SUMIFS(tblDaily[TransfersIn],tblDaily[EntryDate],DATE(2026,5,27),tblDaily[WardCode],"FW")=0,"",SUMIFS(tblDaily[TransfersIn],tblDaily[EntryDate],DATE(2026,5,27),tblDaily[WardCode],"FW")),"")</f>
        <v/>
      </c>
      <c r="G189" s="12">
        <f>IFERROR(IF(SUMIFS(tblDaily[TransfersOut],tblDaily[EntryDate],DATE(2026,5,27),tblDaily[WardCode],"FW")=0,"",SUMIFS(tblDaily[TransfersOut],tblDaily[EntryDate],DATE(2026,5,27),tblDaily[WardCode],"FW")),"")</f>
        <v/>
      </c>
      <c r="H189" s="12">
        <f>IFERROR(IF(SUMIFS(tblDaily[Remaining],tblDaily[EntryDate],DATE(2026,5,27),tblDaily[WardCode],"FW")=0,"",SUMIFS(tblDaily[Remaining],tblDaily[EntryDate],DATE(2026,5,27),tblDaily[WardCode],"FW")),"")</f>
        <v/>
      </c>
    </row>
    <row r="190">
      <c r="A190" s="12" t="n">
        <v>28</v>
      </c>
      <c r="B190" s="12">
        <f>IFERROR(IF(SUMIFS(tblDaily[Admissions],tblDaily[EntryDate],DATE(2026,5,28),tblDaily[WardCode],"FW")=0,"",SUMIFS(tblDaily[Admissions],tblDaily[EntryDate],DATE(2026,5,28),tblDaily[WardCode],"FW")),"")</f>
        <v/>
      </c>
      <c r="C190" s="12">
        <f>IFERROR(IF(SUMIFS(tblDaily[Discharges],tblDaily[EntryDate],DATE(2026,5,28),tblDaily[WardCode],"FW")=0,"",SUMIFS(tblDaily[Discharges],tblDaily[EntryDate],DATE(2026,5,28),tblDaily[WardCode],"FW")),"")</f>
        <v/>
      </c>
      <c r="D190" s="12">
        <f>IFERROR(IF(SUMIFS(tblDaily[Deaths],tblDaily[EntryDate],DATE(2026,5,28),tblDaily[WardCode],"FW")=0,"",SUMIFS(tblDaily[Deaths],tblDaily[EntryDate],DATE(2026,5,28),tblDaily[WardCode],"FW")),"")</f>
        <v/>
      </c>
      <c r="E190" s="12">
        <f>IFERROR(IF(SUMIFS(tblDaily[DeathsUnder24Hrs],tblDaily[EntryDate],DATE(2026,5,28),tblDaily[WardCode],"FW")=0,"",SUMIFS(tblDaily[DeathsUnder24Hrs],tblDaily[EntryDate],DATE(2026,5,28),tblDaily[WardCode],"FW")),"")</f>
        <v/>
      </c>
      <c r="F190" s="12">
        <f>IFERROR(IF(SUMIFS(tblDaily[TransfersIn],tblDaily[EntryDate],DATE(2026,5,28),tblDaily[WardCode],"FW")=0,"",SUMIFS(tblDaily[TransfersIn],tblDaily[EntryDate],DATE(2026,5,28),tblDaily[WardCode],"FW")),"")</f>
        <v/>
      </c>
      <c r="G190" s="12">
        <f>IFERROR(IF(SUMIFS(tblDaily[TransfersOut],tblDaily[EntryDate],DATE(2026,5,28),tblDaily[WardCode],"FW")=0,"",SUMIFS(tblDaily[TransfersOut],tblDaily[EntryDate],DATE(2026,5,28),tblDaily[WardCode],"FW")),"")</f>
        <v/>
      </c>
      <c r="H190" s="12">
        <f>IFERROR(IF(SUMIFS(tblDaily[Remaining],tblDaily[EntryDate],DATE(2026,5,28),tblDaily[WardCode],"FW")=0,"",SUMIFS(tblDaily[Remaining],tblDaily[EntryDate],DATE(2026,5,28),tblDaily[WardCode],"FW")),"")</f>
        <v/>
      </c>
    </row>
    <row r="191">
      <c r="A191" s="12" t="n">
        <v>29</v>
      </c>
      <c r="B191" s="12">
        <f>IFERROR(IF(SUMIFS(tblDaily[Admissions],tblDaily[EntryDate],DATE(2026,5,29),tblDaily[WardCode],"FW")=0,"",SUMIFS(tblDaily[Admissions],tblDaily[EntryDate],DATE(2026,5,29),tblDaily[WardCode],"FW")),"")</f>
        <v/>
      </c>
      <c r="C191" s="12">
        <f>IFERROR(IF(SUMIFS(tblDaily[Discharges],tblDaily[EntryDate],DATE(2026,5,29),tblDaily[WardCode],"FW")=0,"",SUMIFS(tblDaily[Discharges],tblDaily[EntryDate],DATE(2026,5,29),tblDaily[WardCode],"FW")),"")</f>
        <v/>
      </c>
      <c r="D191" s="12">
        <f>IFERROR(IF(SUMIFS(tblDaily[Deaths],tblDaily[EntryDate],DATE(2026,5,29),tblDaily[WardCode],"FW")=0,"",SUMIFS(tblDaily[Deaths],tblDaily[EntryDate],DATE(2026,5,29),tblDaily[WardCode],"FW")),"")</f>
        <v/>
      </c>
      <c r="E191" s="12">
        <f>IFERROR(IF(SUMIFS(tblDaily[DeathsUnder24Hrs],tblDaily[EntryDate],DATE(2026,5,29),tblDaily[WardCode],"FW")=0,"",SUMIFS(tblDaily[DeathsUnder24Hrs],tblDaily[EntryDate],DATE(2026,5,29),tblDaily[WardCode],"FW")),"")</f>
        <v/>
      </c>
      <c r="F191" s="12">
        <f>IFERROR(IF(SUMIFS(tblDaily[TransfersIn],tblDaily[EntryDate],DATE(2026,5,29),tblDaily[WardCode],"FW")=0,"",SUMIFS(tblDaily[TransfersIn],tblDaily[EntryDate],DATE(2026,5,29),tblDaily[WardCode],"FW")),"")</f>
        <v/>
      </c>
      <c r="G191" s="12">
        <f>IFERROR(IF(SUMIFS(tblDaily[TransfersOut],tblDaily[EntryDate],DATE(2026,5,29),tblDaily[WardCode],"FW")=0,"",SUMIFS(tblDaily[TransfersOut],tblDaily[EntryDate],DATE(2026,5,29),tblDaily[WardCode],"FW")),"")</f>
        <v/>
      </c>
      <c r="H191" s="12">
        <f>IFERROR(IF(SUMIFS(tblDaily[Remaining],tblDaily[EntryDate],DATE(2026,5,29),tblDaily[WardCode],"FW")=0,"",SUMIFS(tblDaily[Remaining],tblDaily[EntryDate],DATE(2026,5,29),tblDaily[WardCode],"FW")),"")</f>
        <v/>
      </c>
    </row>
    <row r="192">
      <c r="A192" s="12" t="n">
        <v>30</v>
      </c>
      <c r="B192" s="12">
        <f>IFERROR(IF(SUMIFS(tblDaily[Admissions],tblDaily[EntryDate],DATE(2026,5,30),tblDaily[WardCode],"FW")=0,"",SUMIFS(tblDaily[Admissions],tblDaily[EntryDate],DATE(2026,5,30),tblDaily[WardCode],"FW")),"")</f>
        <v/>
      </c>
      <c r="C192" s="12">
        <f>IFERROR(IF(SUMIFS(tblDaily[Discharges],tblDaily[EntryDate],DATE(2026,5,30),tblDaily[WardCode],"FW")=0,"",SUMIFS(tblDaily[Discharges],tblDaily[EntryDate],DATE(2026,5,30),tblDaily[WardCode],"FW")),"")</f>
        <v/>
      </c>
      <c r="D192" s="12">
        <f>IFERROR(IF(SUMIFS(tblDaily[Deaths],tblDaily[EntryDate],DATE(2026,5,30),tblDaily[WardCode],"FW")=0,"",SUMIFS(tblDaily[Deaths],tblDaily[EntryDate],DATE(2026,5,30),tblDaily[WardCode],"FW")),"")</f>
        <v/>
      </c>
      <c r="E192" s="12">
        <f>IFERROR(IF(SUMIFS(tblDaily[DeathsUnder24Hrs],tblDaily[EntryDate],DATE(2026,5,30),tblDaily[WardCode],"FW")=0,"",SUMIFS(tblDaily[DeathsUnder24Hrs],tblDaily[EntryDate],DATE(2026,5,30),tblDaily[WardCode],"FW")),"")</f>
        <v/>
      </c>
      <c r="F192" s="12">
        <f>IFERROR(IF(SUMIFS(tblDaily[TransfersIn],tblDaily[EntryDate],DATE(2026,5,30),tblDaily[WardCode],"FW")=0,"",SUMIFS(tblDaily[TransfersIn],tblDaily[EntryDate],DATE(2026,5,30),tblDaily[WardCode],"FW")),"")</f>
        <v/>
      </c>
      <c r="G192" s="12">
        <f>IFERROR(IF(SUMIFS(tblDaily[TransfersOut],tblDaily[EntryDate],DATE(2026,5,30),tblDaily[WardCode],"FW")=0,"",SUMIFS(tblDaily[TransfersOut],tblDaily[EntryDate],DATE(2026,5,30),tblDaily[WardCode],"FW")),"")</f>
        <v/>
      </c>
      <c r="H192" s="12">
        <f>IFERROR(IF(SUMIFS(tblDaily[Remaining],tblDaily[EntryDate],DATE(2026,5,30),tblDaily[WardCode],"FW")=0,"",SUMIFS(tblDaily[Remaining],tblDaily[EntryDate],DATE(2026,5,30),tblDaily[WardCode],"FW")),"")</f>
        <v/>
      </c>
    </row>
    <row r="193">
      <c r="A193" s="12" t="n">
        <v>31</v>
      </c>
      <c r="B193" s="12">
        <f>IFERROR(IF(SUMIFS(tblDaily[Admissions],tblDaily[EntryDate],DATE(2026,5,31),tblDaily[WardCode],"FW")=0,"",SUMIFS(tblDaily[Admissions],tblDaily[EntryDate],DATE(2026,5,31),tblDaily[WardCode],"FW")),"")</f>
        <v/>
      </c>
      <c r="C193" s="12">
        <f>IFERROR(IF(SUMIFS(tblDaily[Discharges],tblDaily[EntryDate],DATE(2026,5,31),tblDaily[WardCode],"FW")=0,"",SUMIFS(tblDaily[Discharges],tblDaily[EntryDate],DATE(2026,5,31),tblDaily[WardCode],"FW")),"")</f>
        <v/>
      </c>
      <c r="D193" s="12">
        <f>IFERROR(IF(SUMIFS(tblDaily[Deaths],tblDaily[EntryDate],DATE(2026,5,31),tblDaily[WardCode],"FW")=0,"",SUMIFS(tblDaily[Deaths],tblDaily[EntryDate],DATE(2026,5,31),tblDaily[WardCode],"FW")),"")</f>
        <v/>
      </c>
      <c r="E193" s="12">
        <f>IFERROR(IF(SUMIFS(tblDaily[DeathsUnder24Hrs],tblDaily[EntryDate],DATE(2026,5,31),tblDaily[WardCode],"FW")=0,"",SUMIFS(tblDaily[DeathsUnder24Hrs],tblDaily[EntryDate],DATE(2026,5,31),tblDaily[WardCode],"FW")),"")</f>
        <v/>
      </c>
      <c r="F193" s="12">
        <f>IFERROR(IF(SUMIFS(tblDaily[TransfersIn],tblDaily[EntryDate],DATE(2026,5,31),tblDaily[WardCode],"FW")=0,"",SUMIFS(tblDaily[TransfersIn],tblDaily[EntryDate],DATE(2026,5,31),tblDaily[WardCode],"FW")),"")</f>
        <v/>
      </c>
      <c r="G193" s="12">
        <f>IFERROR(IF(SUMIFS(tblDaily[TransfersOut],tblDaily[EntryDate],DATE(2026,5,31),tblDaily[WardCode],"FW")=0,"",SUMIFS(tblDaily[TransfersOut],tblDaily[EntryDate],DATE(2026,5,31),tblDaily[WardCode],"FW")),"")</f>
        <v/>
      </c>
      <c r="H193" s="12">
        <f>IFERROR(IF(SUMIFS(tblDaily[Remaining],tblDaily[EntryDate],DATE(2026,5,31),tblDaily[WardCode],"FW")=0,"",SUMIFS(tblDaily[Remaining],tblDaily[EntryDate],DATE(2026,5,31),tblDaily[WardCode],"FW")),"")</f>
        <v/>
      </c>
    </row>
    <row r="194">
      <c r="A194" s="17" t="inlineStr">
        <is>
          <t>TOTAL</t>
        </is>
      </c>
      <c r="B194" s="17">
        <f>SUMIFS(tblDaily[Admissions],tblDaily[Month],5,tblDaily[WardCode],"FW") - SUMIFS(tblDaily[DeathsUnder24Hrs],tblDaily[Month],5,tblDaily[WardCode],"FW")</f>
        <v/>
      </c>
      <c r="C194" s="17">
        <f>SUMIFS(tblDaily[Discharges],tblDaily[Month],5,tblDaily[WardCode],"FW")</f>
        <v/>
      </c>
      <c r="D194" s="17">
        <f>SUMIFS(tblDaily[Deaths],tblDaily[Month],5,tblDaily[WardCode],"FW")</f>
        <v/>
      </c>
      <c r="E194" s="17">
        <f>SUMIFS(tblDaily[DeathsUnder24Hrs],tblDaily[Month],5,tblDaily[WardCode],"FW")</f>
        <v/>
      </c>
      <c r="F194" s="17">
        <f>SUMIFS(tblDaily[TransfersIn],tblDaily[Month],5,tblDaily[WardCode],"FW")</f>
        <v/>
      </c>
      <c r="G194" s="17">
        <f>SUMIFS(tblDaily[TransfersOut],tblDaily[Month],5,tblDaily[WardCode],"FW")</f>
        <v/>
      </c>
      <c r="H194" s="17">
        <f>SUMIFS(tblDaily[Remaining],tblDaily[Month],5,tblDaily[WardCode],"FW")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FEMALE MEDICAL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4">
        <f>IFERROR(SUMIFS(tblDaily[Remaining],tblDaily[EntryDate],DATE(2026,5,31),tblDaily[WardCode],"FW"),0)</f>
        <v/>
      </c>
    </row>
    <row r="200">
      <c r="A200" s="4" t="inlineStr">
        <is>
          <t>Bed complement</t>
        </is>
      </c>
      <c r="H200" s="15">
        <f>IFERROR(INDEX(tblWardConfig[BedComplement],MATCH("FW",tblWardConfig[WardCode],0)),0)</f>
        <v/>
      </c>
    </row>
    <row r="201">
      <c r="A201" s="16" t="inlineStr">
        <is>
          <t>Day of
the
Month</t>
        </is>
      </c>
      <c r="B201" s="16" t="inlineStr">
        <is>
          <t>Admissions</t>
        </is>
      </c>
      <c r="C201" s="16" t="inlineStr">
        <is>
          <t>Discharges</t>
        </is>
      </c>
      <c r="D201" s="16" t="inlineStr">
        <is>
          <t>Deaths</t>
        </is>
      </c>
      <c r="E201" s="16" t="inlineStr">
        <is>
          <t>Deaths
&lt;24Hrs</t>
        </is>
      </c>
      <c r="F201" s="16" t="inlineStr">
        <is>
          <t>Transfers-
In</t>
        </is>
      </c>
      <c r="G201" s="16" t="inlineStr">
        <is>
          <t>Transfers-
Out</t>
        </is>
      </c>
      <c r="H201" s="16" t="inlineStr">
        <is>
          <t>No. of Patients
Remaining In
Ward</t>
        </is>
      </c>
    </row>
    <row r="202">
      <c r="A202" s="12" t="n">
        <v>1</v>
      </c>
      <c r="B202" s="12">
        <f>IFERROR(IF(SUMIFS(tblDaily[Admissions],tblDaily[EntryDate],DATE(2026,6,1),tblDaily[WardCode],"FW")=0,"",SUMIFS(tblDaily[Admissions],tblDaily[EntryDate],DATE(2026,6,1),tblDaily[WardCode],"FW")),"")</f>
        <v/>
      </c>
      <c r="C202" s="12">
        <f>IFERROR(IF(SUMIFS(tblDaily[Discharges],tblDaily[EntryDate],DATE(2026,6,1),tblDaily[WardCode],"FW")=0,"",SUMIFS(tblDaily[Discharges],tblDaily[EntryDate],DATE(2026,6,1),tblDaily[WardCode],"FW")),"")</f>
        <v/>
      </c>
      <c r="D202" s="12">
        <f>IFERROR(IF(SUMIFS(tblDaily[Deaths],tblDaily[EntryDate],DATE(2026,6,1),tblDaily[WardCode],"FW")=0,"",SUMIFS(tblDaily[Deaths],tblDaily[EntryDate],DATE(2026,6,1),tblDaily[WardCode],"FW")),"")</f>
        <v/>
      </c>
      <c r="E202" s="12">
        <f>IFERROR(IF(SUMIFS(tblDaily[DeathsUnder24Hrs],tblDaily[EntryDate],DATE(2026,6,1),tblDaily[WardCode],"FW")=0,"",SUMIFS(tblDaily[DeathsUnder24Hrs],tblDaily[EntryDate],DATE(2026,6,1),tblDaily[WardCode],"FW")),"")</f>
        <v/>
      </c>
      <c r="F202" s="12">
        <f>IFERROR(IF(SUMIFS(tblDaily[TransfersIn],tblDaily[EntryDate],DATE(2026,6,1),tblDaily[WardCode],"FW")=0,"",SUMIFS(tblDaily[TransfersIn],tblDaily[EntryDate],DATE(2026,6,1),tblDaily[WardCode],"FW")),"")</f>
        <v/>
      </c>
      <c r="G202" s="12">
        <f>IFERROR(IF(SUMIFS(tblDaily[TransfersOut],tblDaily[EntryDate],DATE(2026,6,1),tblDaily[WardCode],"FW")=0,"",SUMIFS(tblDaily[TransfersOut],tblDaily[EntryDate],DATE(2026,6,1),tblDaily[WardCode],"FW")),"")</f>
        <v/>
      </c>
      <c r="H202" s="12">
        <f>IFERROR(IF(SUMIFS(tblDaily[Remaining],tblDaily[EntryDate],DATE(2026,6,1),tblDaily[WardCode],"FW")=0,"",SUMIFS(tblDaily[Remaining],tblDaily[EntryDate],DATE(2026,6,1),tblDaily[WardCode],"FW")),"")</f>
        <v/>
      </c>
    </row>
    <row r="203">
      <c r="A203" s="12" t="n">
        <v>2</v>
      </c>
      <c r="B203" s="12">
        <f>IFERROR(IF(SUMIFS(tblDaily[Admissions],tblDaily[EntryDate],DATE(2026,6,2),tblDaily[WardCode],"FW")=0,"",SUMIFS(tblDaily[Admissions],tblDaily[EntryDate],DATE(2026,6,2),tblDaily[WardCode],"FW")),"")</f>
        <v/>
      </c>
      <c r="C203" s="12">
        <f>IFERROR(IF(SUMIFS(tblDaily[Discharges],tblDaily[EntryDate],DATE(2026,6,2),tblDaily[WardCode],"FW")=0,"",SUMIFS(tblDaily[Discharges],tblDaily[EntryDate],DATE(2026,6,2),tblDaily[WardCode],"FW")),"")</f>
        <v/>
      </c>
      <c r="D203" s="12">
        <f>IFERROR(IF(SUMIFS(tblDaily[Deaths],tblDaily[EntryDate],DATE(2026,6,2),tblDaily[WardCode],"FW")=0,"",SUMIFS(tblDaily[Deaths],tblDaily[EntryDate],DATE(2026,6,2),tblDaily[WardCode],"FW")),"")</f>
        <v/>
      </c>
      <c r="E203" s="12">
        <f>IFERROR(IF(SUMIFS(tblDaily[DeathsUnder24Hrs],tblDaily[EntryDate],DATE(2026,6,2),tblDaily[WardCode],"FW")=0,"",SUMIFS(tblDaily[DeathsUnder24Hrs],tblDaily[EntryDate],DATE(2026,6,2),tblDaily[WardCode],"FW")),"")</f>
        <v/>
      </c>
      <c r="F203" s="12">
        <f>IFERROR(IF(SUMIFS(tblDaily[TransfersIn],tblDaily[EntryDate],DATE(2026,6,2),tblDaily[WardCode],"FW")=0,"",SUMIFS(tblDaily[TransfersIn],tblDaily[EntryDate],DATE(2026,6,2),tblDaily[WardCode],"FW")),"")</f>
        <v/>
      </c>
      <c r="G203" s="12">
        <f>IFERROR(IF(SUMIFS(tblDaily[TransfersOut],tblDaily[EntryDate],DATE(2026,6,2),tblDaily[WardCode],"FW")=0,"",SUMIFS(tblDaily[TransfersOut],tblDaily[EntryDate],DATE(2026,6,2),tblDaily[WardCode],"FW")),"")</f>
        <v/>
      </c>
      <c r="H203" s="12">
        <f>IFERROR(IF(SUMIFS(tblDaily[Remaining],tblDaily[EntryDate],DATE(2026,6,2),tblDaily[WardCode],"FW")=0,"",SUMIFS(tblDaily[Remaining],tblDaily[EntryDate],DATE(2026,6,2),tblDaily[WardCode],"FW")),"")</f>
        <v/>
      </c>
    </row>
    <row r="204">
      <c r="A204" s="12" t="n">
        <v>3</v>
      </c>
      <c r="B204" s="12">
        <f>IFERROR(IF(SUMIFS(tblDaily[Admissions],tblDaily[EntryDate],DATE(2026,6,3),tblDaily[WardCode],"FW")=0,"",SUMIFS(tblDaily[Admissions],tblDaily[EntryDate],DATE(2026,6,3),tblDaily[WardCode],"FW")),"")</f>
        <v/>
      </c>
      <c r="C204" s="12">
        <f>IFERROR(IF(SUMIFS(tblDaily[Discharges],tblDaily[EntryDate],DATE(2026,6,3),tblDaily[WardCode],"FW")=0,"",SUMIFS(tblDaily[Discharges],tblDaily[EntryDate],DATE(2026,6,3),tblDaily[WardCode],"FW")),"")</f>
        <v/>
      </c>
      <c r="D204" s="12">
        <f>IFERROR(IF(SUMIFS(tblDaily[Deaths],tblDaily[EntryDate],DATE(2026,6,3),tblDaily[WardCode],"FW")=0,"",SUMIFS(tblDaily[Deaths],tblDaily[EntryDate],DATE(2026,6,3),tblDaily[WardCode],"FW")),"")</f>
        <v/>
      </c>
      <c r="E204" s="12">
        <f>IFERROR(IF(SUMIFS(tblDaily[DeathsUnder24Hrs],tblDaily[EntryDate],DATE(2026,6,3),tblDaily[WardCode],"FW")=0,"",SUMIFS(tblDaily[DeathsUnder24Hrs],tblDaily[EntryDate],DATE(2026,6,3),tblDaily[WardCode],"FW")),"")</f>
        <v/>
      </c>
      <c r="F204" s="12">
        <f>IFERROR(IF(SUMIFS(tblDaily[TransfersIn],tblDaily[EntryDate],DATE(2026,6,3),tblDaily[WardCode],"FW")=0,"",SUMIFS(tblDaily[TransfersIn],tblDaily[EntryDate],DATE(2026,6,3),tblDaily[WardCode],"FW")),"")</f>
        <v/>
      </c>
      <c r="G204" s="12">
        <f>IFERROR(IF(SUMIFS(tblDaily[TransfersOut],tblDaily[EntryDate],DATE(2026,6,3),tblDaily[WardCode],"FW")=0,"",SUMIFS(tblDaily[TransfersOut],tblDaily[EntryDate],DATE(2026,6,3),tblDaily[WardCode],"FW")),"")</f>
        <v/>
      </c>
      <c r="H204" s="12">
        <f>IFERROR(IF(SUMIFS(tblDaily[Remaining],tblDaily[EntryDate],DATE(2026,6,3),tblDaily[WardCode],"FW")=0,"",SUMIFS(tblDaily[Remaining],tblDaily[EntryDate],DATE(2026,6,3),tblDaily[WardCode],"FW")),"")</f>
        <v/>
      </c>
    </row>
    <row r="205">
      <c r="A205" s="12" t="n">
        <v>4</v>
      </c>
      <c r="B205" s="12">
        <f>IFERROR(IF(SUMIFS(tblDaily[Admissions],tblDaily[EntryDate],DATE(2026,6,4),tblDaily[WardCode],"FW")=0,"",SUMIFS(tblDaily[Admissions],tblDaily[EntryDate],DATE(2026,6,4),tblDaily[WardCode],"FW")),"")</f>
        <v/>
      </c>
      <c r="C205" s="12">
        <f>IFERROR(IF(SUMIFS(tblDaily[Discharges],tblDaily[EntryDate],DATE(2026,6,4),tblDaily[WardCode],"FW")=0,"",SUMIFS(tblDaily[Discharges],tblDaily[EntryDate],DATE(2026,6,4),tblDaily[WardCode],"FW")),"")</f>
        <v/>
      </c>
      <c r="D205" s="12">
        <f>IFERROR(IF(SUMIFS(tblDaily[Deaths],tblDaily[EntryDate],DATE(2026,6,4),tblDaily[WardCode],"FW")=0,"",SUMIFS(tblDaily[Deaths],tblDaily[EntryDate],DATE(2026,6,4),tblDaily[WardCode],"FW")),"")</f>
        <v/>
      </c>
      <c r="E205" s="12">
        <f>IFERROR(IF(SUMIFS(tblDaily[DeathsUnder24Hrs],tblDaily[EntryDate],DATE(2026,6,4),tblDaily[WardCode],"FW")=0,"",SUMIFS(tblDaily[DeathsUnder24Hrs],tblDaily[EntryDate],DATE(2026,6,4),tblDaily[WardCode],"FW")),"")</f>
        <v/>
      </c>
      <c r="F205" s="12">
        <f>IFERROR(IF(SUMIFS(tblDaily[TransfersIn],tblDaily[EntryDate],DATE(2026,6,4),tblDaily[WardCode],"FW")=0,"",SUMIFS(tblDaily[TransfersIn],tblDaily[EntryDate],DATE(2026,6,4),tblDaily[WardCode],"FW")),"")</f>
        <v/>
      </c>
      <c r="G205" s="12">
        <f>IFERROR(IF(SUMIFS(tblDaily[TransfersOut],tblDaily[EntryDate],DATE(2026,6,4),tblDaily[WardCode],"FW")=0,"",SUMIFS(tblDaily[TransfersOut],tblDaily[EntryDate],DATE(2026,6,4),tblDaily[WardCode],"FW")),"")</f>
        <v/>
      </c>
      <c r="H205" s="12">
        <f>IFERROR(IF(SUMIFS(tblDaily[Remaining],tblDaily[EntryDate],DATE(2026,6,4),tblDaily[WardCode],"FW")=0,"",SUMIFS(tblDaily[Remaining],tblDaily[EntryDate],DATE(2026,6,4),tblDaily[WardCode],"FW")),"")</f>
        <v/>
      </c>
    </row>
    <row r="206">
      <c r="A206" s="12" t="n">
        <v>5</v>
      </c>
      <c r="B206" s="12">
        <f>IFERROR(IF(SUMIFS(tblDaily[Admissions],tblDaily[EntryDate],DATE(2026,6,5),tblDaily[WardCode],"FW")=0,"",SUMIFS(tblDaily[Admissions],tblDaily[EntryDate],DATE(2026,6,5),tblDaily[WardCode],"FW")),"")</f>
        <v/>
      </c>
      <c r="C206" s="12">
        <f>IFERROR(IF(SUMIFS(tblDaily[Discharges],tblDaily[EntryDate],DATE(2026,6,5),tblDaily[WardCode],"FW")=0,"",SUMIFS(tblDaily[Discharges],tblDaily[EntryDate],DATE(2026,6,5),tblDaily[WardCode],"FW")),"")</f>
        <v/>
      </c>
      <c r="D206" s="12">
        <f>IFERROR(IF(SUMIFS(tblDaily[Deaths],tblDaily[EntryDate],DATE(2026,6,5),tblDaily[WardCode],"FW")=0,"",SUMIFS(tblDaily[Deaths],tblDaily[EntryDate],DATE(2026,6,5),tblDaily[WardCode],"FW")),"")</f>
        <v/>
      </c>
      <c r="E206" s="12">
        <f>IFERROR(IF(SUMIFS(tblDaily[DeathsUnder24Hrs],tblDaily[EntryDate],DATE(2026,6,5),tblDaily[WardCode],"FW")=0,"",SUMIFS(tblDaily[DeathsUnder24Hrs],tblDaily[EntryDate],DATE(2026,6,5),tblDaily[WardCode],"FW")),"")</f>
        <v/>
      </c>
      <c r="F206" s="12">
        <f>IFERROR(IF(SUMIFS(tblDaily[TransfersIn],tblDaily[EntryDate],DATE(2026,6,5),tblDaily[WardCode],"FW")=0,"",SUMIFS(tblDaily[TransfersIn],tblDaily[EntryDate],DATE(2026,6,5),tblDaily[WardCode],"FW")),"")</f>
        <v/>
      </c>
      <c r="G206" s="12">
        <f>IFERROR(IF(SUMIFS(tblDaily[TransfersOut],tblDaily[EntryDate],DATE(2026,6,5),tblDaily[WardCode],"FW")=0,"",SUMIFS(tblDaily[TransfersOut],tblDaily[EntryDate],DATE(2026,6,5),tblDaily[WardCode],"FW")),"")</f>
        <v/>
      </c>
      <c r="H206" s="12">
        <f>IFERROR(IF(SUMIFS(tblDaily[Remaining],tblDaily[EntryDate],DATE(2026,6,5),tblDaily[WardCode],"FW")=0,"",SUMIFS(tblDaily[Remaining],tblDaily[EntryDate],DATE(2026,6,5),tblDaily[WardCode],"FW")),"")</f>
        <v/>
      </c>
    </row>
    <row r="207">
      <c r="A207" s="12" t="n">
        <v>6</v>
      </c>
      <c r="B207" s="12">
        <f>IFERROR(IF(SUMIFS(tblDaily[Admissions],tblDaily[EntryDate],DATE(2026,6,6),tblDaily[WardCode],"FW")=0,"",SUMIFS(tblDaily[Admissions],tblDaily[EntryDate],DATE(2026,6,6),tblDaily[WardCode],"FW")),"")</f>
        <v/>
      </c>
      <c r="C207" s="12">
        <f>IFERROR(IF(SUMIFS(tblDaily[Discharges],tblDaily[EntryDate],DATE(2026,6,6),tblDaily[WardCode],"FW")=0,"",SUMIFS(tblDaily[Discharges],tblDaily[EntryDate],DATE(2026,6,6),tblDaily[WardCode],"FW")),"")</f>
        <v/>
      </c>
      <c r="D207" s="12">
        <f>IFERROR(IF(SUMIFS(tblDaily[Deaths],tblDaily[EntryDate],DATE(2026,6,6),tblDaily[WardCode],"FW")=0,"",SUMIFS(tblDaily[Deaths],tblDaily[EntryDate],DATE(2026,6,6),tblDaily[WardCode],"FW")),"")</f>
        <v/>
      </c>
      <c r="E207" s="12">
        <f>IFERROR(IF(SUMIFS(tblDaily[DeathsUnder24Hrs],tblDaily[EntryDate],DATE(2026,6,6),tblDaily[WardCode],"FW")=0,"",SUMIFS(tblDaily[DeathsUnder24Hrs],tblDaily[EntryDate],DATE(2026,6,6),tblDaily[WardCode],"FW")),"")</f>
        <v/>
      </c>
      <c r="F207" s="12">
        <f>IFERROR(IF(SUMIFS(tblDaily[TransfersIn],tblDaily[EntryDate],DATE(2026,6,6),tblDaily[WardCode],"FW")=0,"",SUMIFS(tblDaily[TransfersIn],tblDaily[EntryDate],DATE(2026,6,6),tblDaily[WardCode],"FW")),"")</f>
        <v/>
      </c>
      <c r="G207" s="12">
        <f>IFERROR(IF(SUMIFS(tblDaily[TransfersOut],tblDaily[EntryDate],DATE(2026,6,6),tblDaily[WardCode],"FW")=0,"",SUMIFS(tblDaily[TransfersOut],tblDaily[EntryDate],DATE(2026,6,6),tblDaily[WardCode],"FW")),"")</f>
        <v/>
      </c>
      <c r="H207" s="12">
        <f>IFERROR(IF(SUMIFS(tblDaily[Remaining],tblDaily[EntryDate],DATE(2026,6,6),tblDaily[WardCode],"FW")=0,"",SUMIFS(tblDaily[Remaining],tblDaily[EntryDate],DATE(2026,6,6),tblDaily[WardCode],"FW")),"")</f>
        <v/>
      </c>
    </row>
    <row r="208">
      <c r="A208" s="12" t="n">
        <v>7</v>
      </c>
      <c r="B208" s="12">
        <f>IFERROR(IF(SUMIFS(tblDaily[Admissions],tblDaily[EntryDate],DATE(2026,6,7),tblDaily[WardCode],"FW")=0,"",SUMIFS(tblDaily[Admissions],tblDaily[EntryDate],DATE(2026,6,7),tblDaily[WardCode],"FW")),"")</f>
        <v/>
      </c>
      <c r="C208" s="12">
        <f>IFERROR(IF(SUMIFS(tblDaily[Discharges],tblDaily[EntryDate],DATE(2026,6,7),tblDaily[WardCode],"FW")=0,"",SUMIFS(tblDaily[Discharges],tblDaily[EntryDate],DATE(2026,6,7),tblDaily[WardCode],"FW")),"")</f>
        <v/>
      </c>
      <c r="D208" s="12">
        <f>IFERROR(IF(SUMIFS(tblDaily[Deaths],tblDaily[EntryDate],DATE(2026,6,7),tblDaily[WardCode],"FW")=0,"",SUMIFS(tblDaily[Deaths],tblDaily[EntryDate],DATE(2026,6,7),tblDaily[WardCode],"FW")),"")</f>
        <v/>
      </c>
      <c r="E208" s="12">
        <f>IFERROR(IF(SUMIFS(tblDaily[DeathsUnder24Hrs],tblDaily[EntryDate],DATE(2026,6,7),tblDaily[WardCode],"FW")=0,"",SUMIFS(tblDaily[DeathsUnder24Hrs],tblDaily[EntryDate],DATE(2026,6,7),tblDaily[WardCode],"FW")),"")</f>
        <v/>
      </c>
      <c r="F208" s="12">
        <f>IFERROR(IF(SUMIFS(tblDaily[TransfersIn],tblDaily[EntryDate],DATE(2026,6,7),tblDaily[WardCode],"FW")=0,"",SUMIFS(tblDaily[TransfersIn],tblDaily[EntryDate],DATE(2026,6,7),tblDaily[WardCode],"FW")),"")</f>
        <v/>
      </c>
      <c r="G208" s="12">
        <f>IFERROR(IF(SUMIFS(tblDaily[TransfersOut],tblDaily[EntryDate],DATE(2026,6,7),tblDaily[WardCode],"FW")=0,"",SUMIFS(tblDaily[TransfersOut],tblDaily[EntryDate],DATE(2026,6,7),tblDaily[WardCode],"FW")),"")</f>
        <v/>
      </c>
      <c r="H208" s="12">
        <f>IFERROR(IF(SUMIFS(tblDaily[Remaining],tblDaily[EntryDate],DATE(2026,6,7),tblDaily[WardCode],"FW")=0,"",SUMIFS(tblDaily[Remaining],tblDaily[EntryDate],DATE(2026,6,7),tblDaily[WardCode],"FW")),"")</f>
        <v/>
      </c>
    </row>
    <row r="209">
      <c r="A209" s="12" t="n">
        <v>8</v>
      </c>
      <c r="B209" s="12">
        <f>IFERROR(IF(SUMIFS(tblDaily[Admissions],tblDaily[EntryDate],DATE(2026,6,8),tblDaily[WardCode],"FW")=0,"",SUMIFS(tblDaily[Admissions],tblDaily[EntryDate],DATE(2026,6,8),tblDaily[WardCode],"FW")),"")</f>
        <v/>
      </c>
      <c r="C209" s="12">
        <f>IFERROR(IF(SUMIFS(tblDaily[Discharges],tblDaily[EntryDate],DATE(2026,6,8),tblDaily[WardCode],"FW")=0,"",SUMIFS(tblDaily[Discharges],tblDaily[EntryDate],DATE(2026,6,8),tblDaily[WardCode],"FW")),"")</f>
        <v/>
      </c>
      <c r="D209" s="12">
        <f>IFERROR(IF(SUMIFS(tblDaily[Deaths],tblDaily[EntryDate],DATE(2026,6,8),tblDaily[WardCode],"FW")=0,"",SUMIFS(tblDaily[Deaths],tblDaily[EntryDate],DATE(2026,6,8),tblDaily[WardCode],"FW")),"")</f>
        <v/>
      </c>
      <c r="E209" s="12">
        <f>IFERROR(IF(SUMIFS(tblDaily[DeathsUnder24Hrs],tblDaily[EntryDate],DATE(2026,6,8),tblDaily[WardCode],"FW")=0,"",SUMIFS(tblDaily[DeathsUnder24Hrs],tblDaily[EntryDate],DATE(2026,6,8),tblDaily[WardCode],"FW")),"")</f>
        <v/>
      </c>
      <c r="F209" s="12">
        <f>IFERROR(IF(SUMIFS(tblDaily[TransfersIn],tblDaily[EntryDate],DATE(2026,6,8),tblDaily[WardCode],"FW")=0,"",SUMIFS(tblDaily[TransfersIn],tblDaily[EntryDate],DATE(2026,6,8),tblDaily[WardCode],"FW")),"")</f>
        <v/>
      </c>
      <c r="G209" s="12">
        <f>IFERROR(IF(SUMIFS(tblDaily[TransfersOut],tblDaily[EntryDate],DATE(2026,6,8),tblDaily[WardCode],"FW")=0,"",SUMIFS(tblDaily[TransfersOut],tblDaily[EntryDate],DATE(2026,6,8),tblDaily[WardCode],"FW")),"")</f>
        <v/>
      </c>
      <c r="H209" s="12">
        <f>IFERROR(IF(SUMIFS(tblDaily[Remaining],tblDaily[EntryDate],DATE(2026,6,8),tblDaily[WardCode],"FW")=0,"",SUMIFS(tblDaily[Remaining],tblDaily[EntryDate],DATE(2026,6,8),tblDaily[WardCode],"FW")),"")</f>
        <v/>
      </c>
    </row>
    <row r="210">
      <c r="A210" s="12" t="n">
        <v>9</v>
      </c>
      <c r="B210" s="12">
        <f>IFERROR(IF(SUMIFS(tblDaily[Admissions],tblDaily[EntryDate],DATE(2026,6,9),tblDaily[WardCode],"FW")=0,"",SUMIFS(tblDaily[Admissions],tblDaily[EntryDate],DATE(2026,6,9),tblDaily[WardCode],"FW")),"")</f>
        <v/>
      </c>
      <c r="C210" s="12">
        <f>IFERROR(IF(SUMIFS(tblDaily[Discharges],tblDaily[EntryDate],DATE(2026,6,9),tblDaily[WardCode],"FW")=0,"",SUMIFS(tblDaily[Discharges],tblDaily[EntryDate],DATE(2026,6,9),tblDaily[WardCode],"FW")),"")</f>
        <v/>
      </c>
      <c r="D210" s="12">
        <f>IFERROR(IF(SUMIFS(tblDaily[Deaths],tblDaily[EntryDate],DATE(2026,6,9),tblDaily[WardCode],"FW")=0,"",SUMIFS(tblDaily[Deaths],tblDaily[EntryDate],DATE(2026,6,9),tblDaily[WardCode],"FW")),"")</f>
        <v/>
      </c>
      <c r="E210" s="12">
        <f>IFERROR(IF(SUMIFS(tblDaily[DeathsUnder24Hrs],tblDaily[EntryDate],DATE(2026,6,9),tblDaily[WardCode],"FW")=0,"",SUMIFS(tblDaily[DeathsUnder24Hrs],tblDaily[EntryDate],DATE(2026,6,9),tblDaily[WardCode],"FW")),"")</f>
        <v/>
      </c>
      <c r="F210" s="12">
        <f>IFERROR(IF(SUMIFS(tblDaily[TransfersIn],tblDaily[EntryDate],DATE(2026,6,9),tblDaily[WardCode],"FW")=0,"",SUMIFS(tblDaily[TransfersIn],tblDaily[EntryDate],DATE(2026,6,9),tblDaily[WardCode],"FW")),"")</f>
        <v/>
      </c>
      <c r="G210" s="12">
        <f>IFERROR(IF(SUMIFS(tblDaily[TransfersOut],tblDaily[EntryDate],DATE(2026,6,9),tblDaily[WardCode],"FW")=0,"",SUMIFS(tblDaily[TransfersOut],tblDaily[EntryDate],DATE(2026,6,9),tblDaily[WardCode],"FW")),"")</f>
        <v/>
      </c>
      <c r="H210" s="12">
        <f>IFERROR(IF(SUMIFS(tblDaily[Remaining],tblDaily[EntryDate],DATE(2026,6,9),tblDaily[WardCode],"FW")=0,"",SUMIFS(tblDaily[Remaining],tblDaily[EntryDate],DATE(2026,6,9),tblDaily[WardCode],"FW")),"")</f>
        <v/>
      </c>
    </row>
    <row r="211">
      <c r="A211" s="12" t="n">
        <v>10</v>
      </c>
      <c r="B211" s="12">
        <f>IFERROR(IF(SUMIFS(tblDaily[Admissions],tblDaily[EntryDate],DATE(2026,6,10),tblDaily[WardCode],"FW")=0,"",SUMIFS(tblDaily[Admissions],tblDaily[EntryDate],DATE(2026,6,10),tblDaily[WardCode],"FW")),"")</f>
        <v/>
      </c>
      <c r="C211" s="12">
        <f>IFERROR(IF(SUMIFS(tblDaily[Discharges],tblDaily[EntryDate],DATE(2026,6,10),tblDaily[WardCode],"FW")=0,"",SUMIFS(tblDaily[Discharges],tblDaily[EntryDate],DATE(2026,6,10),tblDaily[WardCode],"FW")),"")</f>
        <v/>
      </c>
      <c r="D211" s="12">
        <f>IFERROR(IF(SUMIFS(tblDaily[Deaths],tblDaily[EntryDate],DATE(2026,6,10),tblDaily[WardCode],"FW")=0,"",SUMIFS(tblDaily[Deaths],tblDaily[EntryDate],DATE(2026,6,10),tblDaily[WardCode],"FW")),"")</f>
        <v/>
      </c>
      <c r="E211" s="12">
        <f>IFERROR(IF(SUMIFS(tblDaily[DeathsUnder24Hrs],tblDaily[EntryDate],DATE(2026,6,10),tblDaily[WardCode],"FW")=0,"",SUMIFS(tblDaily[DeathsUnder24Hrs],tblDaily[EntryDate],DATE(2026,6,10),tblDaily[WardCode],"FW")),"")</f>
        <v/>
      </c>
      <c r="F211" s="12">
        <f>IFERROR(IF(SUMIFS(tblDaily[TransfersIn],tblDaily[EntryDate],DATE(2026,6,10),tblDaily[WardCode],"FW")=0,"",SUMIFS(tblDaily[TransfersIn],tblDaily[EntryDate],DATE(2026,6,10),tblDaily[WardCode],"FW")),"")</f>
        <v/>
      </c>
      <c r="G211" s="12">
        <f>IFERROR(IF(SUMIFS(tblDaily[TransfersOut],tblDaily[EntryDate],DATE(2026,6,10),tblDaily[WardCode],"FW")=0,"",SUMIFS(tblDaily[TransfersOut],tblDaily[EntryDate],DATE(2026,6,10),tblDaily[WardCode],"FW")),"")</f>
        <v/>
      </c>
      <c r="H211" s="12">
        <f>IFERROR(IF(SUMIFS(tblDaily[Remaining],tblDaily[EntryDate],DATE(2026,6,10),tblDaily[WardCode],"FW")=0,"",SUMIFS(tblDaily[Remaining],tblDaily[EntryDate],DATE(2026,6,10),tblDaily[WardCode],"FW")),"")</f>
        <v/>
      </c>
    </row>
    <row r="212">
      <c r="A212" s="12" t="n">
        <v>11</v>
      </c>
      <c r="B212" s="12">
        <f>IFERROR(IF(SUMIFS(tblDaily[Admissions],tblDaily[EntryDate],DATE(2026,6,11),tblDaily[WardCode],"FW")=0,"",SUMIFS(tblDaily[Admissions],tblDaily[EntryDate],DATE(2026,6,11),tblDaily[WardCode],"FW")),"")</f>
        <v/>
      </c>
      <c r="C212" s="12">
        <f>IFERROR(IF(SUMIFS(tblDaily[Discharges],tblDaily[EntryDate],DATE(2026,6,11),tblDaily[WardCode],"FW")=0,"",SUMIFS(tblDaily[Discharges],tblDaily[EntryDate],DATE(2026,6,11),tblDaily[WardCode],"FW")),"")</f>
        <v/>
      </c>
      <c r="D212" s="12">
        <f>IFERROR(IF(SUMIFS(tblDaily[Deaths],tblDaily[EntryDate],DATE(2026,6,11),tblDaily[WardCode],"FW")=0,"",SUMIFS(tblDaily[Deaths],tblDaily[EntryDate],DATE(2026,6,11),tblDaily[WardCode],"FW")),"")</f>
        <v/>
      </c>
      <c r="E212" s="12">
        <f>IFERROR(IF(SUMIFS(tblDaily[DeathsUnder24Hrs],tblDaily[EntryDate],DATE(2026,6,11),tblDaily[WardCode],"FW")=0,"",SUMIFS(tblDaily[DeathsUnder24Hrs],tblDaily[EntryDate],DATE(2026,6,11),tblDaily[WardCode],"FW")),"")</f>
        <v/>
      </c>
      <c r="F212" s="12">
        <f>IFERROR(IF(SUMIFS(tblDaily[TransfersIn],tblDaily[EntryDate],DATE(2026,6,11),tblDaily[WardCode],"FW")=0,"",SUMIFS(tblDaily[TransfersIn],tblDaily[EntryDate],DATE(2026,6,11),tblDaily[WardCode],"FW")),"")</f>
        <v/>
      </c>
      <c r="G212" s="12">
        <f>IFERROR(IF(SUMIFS(tblDaily[TransfersOut],tblDaily[EntryDate],DATE(2026,6,11),tblDaily[WardCode],"FW")=0,"",SUMIFS(tblDaily[TransfersOut],tblDaily[EntryDate],DATE(2026,6,11),tblDaily[WardCode],"FW")),"")</f>
        <v/>
      </c>
      <c r="H212" s="12">
        <f>IFERROR(IF(SUMIFS(tblDaily[Remaining],tblDaily[EntryDate],DATE(2026,6,11),tblDaily[WardCode],"FW")=0,"",SUMIFS(tblDaily[Remaining],tblDaily[EntryDate],DATE(2026,6,11),tblDaily[WardCode],"FW")),"")</f>
        <v/>
      </c>
    </row>
    <row r="213">
      <c r="A213" s="12" t="n">
        <v>12</v>
      </c>
      <c r="B213" s="12">
        <f>IFERROR(IF(SUMIFS(tblDaily[Admissions],tblDaily[EntryDate],DATE(2026,6,12),tblDaily[WardCode],"FW")=0,"",SUMIFS(tblDaily[Admissions],tblDaily[EntryDate],DATE(2026,6,12),tblDaily[WardCode],"FW")),"")</f>
        <v/>
      </c>
      <c r="C213" s="12">
        <f>IFERROR(IF(SUMIFS(tblDaily[Discharges],tblDaily[EntryDate],DATE(2026,6,12),tblDaily[WardCode],"FW")=0,"",SUMIFS(tblDaily[Discharges],tblDaily[EntryDate],DATE(2026,6,12),tblDaily[WardCode],"FW")),"")</f>
        <v/>
      </c>
      <c r="D213" s="12">
        <f>IFERROR(IF(SUMIFS(tblDaily[Deaths],tblDaily[EntryDate],DATE(2026,6,12),tblDaily[WardCode],"FW")=0,"",SUMIFS(tblDaily[Deaths],tblDaily[EntryDate],DATE(2026,6,12),tblDaily[WardCode],"FW")),"")</f>
        <v/>
      </c>
      <c r="E213" s="12">
        <f>IFERROR(IF(SUMIFS(tblDaily[DeathsUnder24Hrs],tblDaily[EntryDate],DATE(2026,6,12),tblDaily[WardCode],"FW")=0,"",SUMIFS(tblDaily[DeathsUnder24Hrs],tblDaily[EntryDate],DATE(2026,6,12),tblDaily[WardCode],"FW")),"")</f>
        <v/>
      </c>
      <c r="F213" s="12">
        <f>IFERROR(IF(SUMIFS(tblDaily[TransfersIn],tblDaily[EntryDate],DATE(2026,6,12),tblDaily[WardCode],"FW")=0,"",SUMIFS(tblDaily[TransfersIn],tblDaily[EntryDate],DATE(2026,6,12),tblDaily[WardCode],"FW")),"")</f>
        <v/>
      </c>
      <c r="G213" s="12">
        <f>IFERROR(IF(SUMIFS(tblDaily[TransfersOut],tblDaily[EntryDate],DATE(2026,6,12),tblDaily[WardCode],"FW")=0,"",SUMIFS(tblDaily[TransfersOut],tblDaily[EntryDate],DATE(2026,6,12),tblDaily[WardCode],"FW")),"")</f>
        <v/>
      </c>
      <c r="H213" s="12">
        <f>IFERROR(IF(SUMIFS(tblDaily[Remaining],tblDaily[EntryDate],DATE(2026,6,12),tblDaily[WardCode],"FW")=0,"",SUMIFS(tblDaily[Remaining],tblDaily[EntryDate],DATE(2026,6,12),tblDaily[WardCode],"FW")),"")</f>
        <v/>
      </c>
    </row>
    <row r="214">
      <c r="A214" s="12" t="n">
        <v>13</v>
      </c>
      <c r="B214" s="12">
        <f>IFERROR(IF(SUMIFS(tblDaily[Admissions],tblDaily[EntryDate],DATE(2026,6,13),tblDaily[WardCode],"FW")=0,"",SUMIFS(tblDaily[Admissions],tblDaily[EntryDate],DATE(2026,6,13),tblDaily[WardCode],"FW")),"")</f>
        <v/>
      </c>
      <c r="C214" s="12">
        <f>IFERROR(IF(SUMIFS(tblDaily[Discharges],tblDaily[EntryDate],DATE(2026,6,13),tblDaily[WardCode],"FW")=0,"",SUMIFS(tblDaily[Discharges],tblDaily[EntryDate],DATE(2026,6,13),tblDaily[WardCode],"FW")),"")</f>
        <v/>
      </c>
      <c r="D214" s="12">
        <f>IFERROR(IF(SUMIFS(tblDaily[Deaths],tblDaily[EntryDate],DATE(2026,6,13),tblDaily[WardCode],"FW")=0,"",SUMIFS(tblDaily[Deaths],tblDaily[EntryDate],DATE(2026,6,13),tblDaily[WardCode],"FW")),"")</f>
        <v/>
      </c>
      <c r="E214" s="12">
        <f>IFERROR(IF(SUMIFS(tblDaily[DeathsUnder24Hrs],tblDaily[EntryDate],DATE(2026,6,13),tblDaily[WardCode],"FW")=0,"",SUMIFS(tblDaily[DeathsUnder24Hrs],tblDaily[EntryDate],DATE(2026,6,13),tblDaily[WardCode],"FW")),"")</f>
        <v/>
      </c>
      <c r="F214" s="12">
        <f>IFERROR(IF(SUMIFS(tblDaily[TransfersIn],tblDaily[EntryDate],DATE(2026,6,13),tblDaily[WardCode],"FW")=0,"",SUMIFS(tblDaily[TransfersIn],tblDaily[EntryDate],DATE(2026,6,13),tblDaily[WardCode],"FW")),"")</f>
        <v/>
      </c>
      <c r="G214" s="12">
        <f>IFERROR(IF(SUMIFS(tblDaily[TransfersOut],tblDaily[EntryDate],DATE(2026,6,13),tblDaily[WardCode],"FW")=0,"",SUMIFS(tblDaily[TransfersOut],tblDaily[EntryDate],DATE(2026,6,13),tblDaily[WardCode],"FW")),"")</f>
        <v/>
      </c>
      <c r="H214" s="12">
        <f>IFERROR(IF(SUMIFS(tblDaily[Remaining],tblDaily[EntryDate],DATE(2026,6,13),tblDaily[WardCode],"FW")=0,"",SUMIFS(tblDaily[Remaining],tblDaily[EntryDate],DATE(2026,6,13),tblDaily[WardCode],"FW")),"")</f>
        <v/>
      </c>
    </row>
    <row r="215">
      <c r="A215" s="12" t="n">
        <v>14</v>
      </c>
      <c r="B215" s="12">
        <f>IFERROR(IF(SUMIFS(tblDaily[Admissions],tblDaily[EntryDate],DATE(2026,6,14),tblDaily[WardCode],"FW")=0,"",SUMIFS(tblDaily[Admissions],tblDaily[EntryDate],DATE(2026,6,14),tblDaily[WardCode],"FW")),"")</f>
        <v/>
      </c>
      <c r="C215" s="12">
        <f>IFERROR(IF(SUMIFS(tblDaily[Discharges],tblDaily[EntryDate],DATE(2026,6,14),tblDaily[WardCode],"FW")=0,"",SUMIFS(tblDaily[Discharges],tblDaily[EntryDate],DATE(2026,6,14),tblDaily[WardCode],"FW")),"")</f>
        <v/>
      </c>
      <c r="D215" s="12">
        <f>IFERROR(IF(SUMIFS(tblDaily[Deaths],tblDaily[EntryDate],DATE(2026,6,14),tblDaily[WardCode],"FW")=0,"",SUMIFS(tblDaily[Deaths],tblDaily[EntryDate],DATE(2026,6,14),tblDaily[WardCode],"FW")),"")</f>
        <v/>
      </c>
      <c r="E215" s="12">
        <f>IFERROR(IF(SUMIFS(tblDaily[DeathsUnder24Hrs],tblDaily[EntryDate],DATE(2026,6,14),tblDaily[WardCode],"FW")=0,"",SUMIFS(tblDaily[DeathsUnder24Hrs],tblDaily[EntryDate],DATE(2026,6,14),tblDaily[WardCode],"FW")),"")</f>
        <v/>
      </c>
      <c r="F215" s="12">
        <f>IFERROR(IF(SUMIFS(tblDaily[TransfersIn],tblDaily[EntryDate],DATE(2026,6,14),tblDaily[WardCode],"FW")=0,"",SUMIFS(tblDaily[TransfersIn],tblDaily[EntryDate],DATE(2026,6,14),tblDaily[WardCode],"FW")),"")</f>
        <v/>
      </c>
      <c r="G215" s="12">
        <f>IFERROR(IF(SUMIFS(tblDaily[TransfersOut],tblDaily[EntryDate],DATE(2026,6,14),tblDaily[WardCode],"FW")=0,"",SUMIFS(tblDaily[TransfersOut],tblDaily[EntryDate],DATE(2026,6,14),tblDaily[WardCode],"FW")),"")</f>
        <v/>
      </c>
      <c r="H215" s="12">
        <f>IFERROR(IF(SUMIFS(tblDaily[Remaining],tblDaily[EntryDate],DATE(2026,6,14),tblDaily[WardCode],"FW")=0,"",SUMIFS(tblDaily[Remaining],tblDaily[EntryDate],DATE(2026,6,14),tblDaily[WardCode],"FW")),"")</f>
        <v/>
      </c>
    </row>
    <row r="216">
      <c r="A216" s="12" t="n">
        <v>15</v>
      </c>
      <c r="B216" s="12">
        <f>IFERROR(IF(SUMIFS(tblDaily[Admissions],tblDaily[EntryDate],DATE(2026,6,15),tblDaily[WardCode],"FW")=0,"",SUMIFS(tblDaily[Admissions],tblDaily[EntryDate],DATE(2026,6,15),tblDaily[WardCode],"FW")),"")</f>
        <v/>
      </c>
      <c r="C216" s="12">
        <f>IFERROR(IF(SUMIFS(tblDaily[Discharges],tblDaily[EntryDate],DATE(2026,6,15),tblDaily[WardCode],"FW")=0,"",SUMIFS(tblDaily[Discharges],tblDaily[EntryDate],DATE(2026,6,15),tblDaily[WardCode],"FW")),"")</f>
        <v/>
      </c>
      <c r="D216" s="12">
        <f>IFERROR(IF(SUMIFS(tblDaily[Deaths],tblDaily[EntryDate],DATE(2026,6,15),tblDaily[WardCode],"FW")=0,"",SUMIFS(tblDaily[Deaths],tblDaily[EntryDate],DATE(2026,6,15),tblDaily[WardCode],"FW")),"")</f>
        <v/>
      </c>
      <c r="E216" s="12">
        <f>IFERROR(IF(SUMIFS(tblDaily[DeathsUnder24Hrs],tblDaily[EntryDate],DATE(2026,6,15),tblDaily[WardCode],"FW")=0,"",SUMIFS(tblDaily[DeathsUnder24Hrs],tblDaily[EntryDate],DATE(2026,6,15),tblDaily[WardCode],"FW")),"")</f>
        <v/>
      </c>
      <c r="F216" s="12">
        <f>IFERROR(IF(SUMIFS(tblDaily[TransfersIn],tblDaily[EntryDate],DATE(2026,6,15),tblDaily[WardCode],"FW")=0,"",SUMIFS(tblDaily[TransfersIn],tblDaily[EntryDate],DATE(2026,6,15),tblDaily[WardCode],"FW")),"")</f>
        <v/>
      </c>
      <c r="G216" s="12">
        <f>IFERROR(IF(SUMIFS(tblDaily[TransfersOut],tblDaily[EntryDate],DATE(2026,6,15),tblDaily[WardCode],"FW")=0,"",SUMIFS(tblDaily[TransfersOut],tblDaily[EntryDate],DATE(2026,6,15),tblDaily[WardCode],"FW")),"")</f>
        <v/>
      </c>
      <c r="H216" s="12">
        <f>IFERROR(IF(SUMIFS(tblDaily[Remaining],tblDaily[EntryDate],DATE(2026,6,15),tblDaily[WardCode],"FW")=0,"",SUMIFS(tblDaily[Remaining],tblDaily[EntryDate],DATE(2026,6,15),tblDaily[WardCode],"FW")),"")</f>
        <v/>
      </c>
    </row>
    <row r="217">
      <c r="A217" s="12" t="n">
        <v>16</v>
      </c>
      <c r="B217" s="12">
        <f>IFERROR(IF(SUMIFS(tblDaily[Admissions],tblDaily[EntryDate],DATE(2026,6,16),tblDaily[WardCode],"FW")=0,"",SUMIFS(tblDaily[Admissions],tblDaily[EntryDate],DATE(2026,6,16),tblDaily[WardCode],"FW")),"")</f>
        <v/>
      </c>
      <c r="C217" s="12">
        <f>IFERROR(IF(SUMIFS(tblDaily[Discharges],tblDaily[EntryDate],DATE(2026,6,16),tblDaily[WardCode],"FW")=0,"",SUMIFS(tblDaily[Discharges],tblDaily[EntryDate],DATE(2026,6,16),tblDaily[WardCode],"FW")),"")</f>
        <v/>
      </c>
      <c r="D217" s="12">
        <f>IFERROR(IF(SUMIFS(tblDaily[Deaths],tblDaily[EntryDate],DATE(2026,6,16),tblDaily[WardCode],"FW")=0,"",SUMIFS(tblDaily[Deaths],tblDaily[EntryDate],DATE(2026,6,16),tblDaily[WardCode],"FW")),"")</f>
        <v/>
      </c>
      <c r="E217" s="12">
        <f>IFERROR(IF(SUMIFS(tblDaily[DeathsUnder24Hrs],tblDaily[EntryDate],DATE(2026,6,16),tblDaily[WardCode],"FW")=0,"",SUMIFS(tblDaily[DeathsUnder24Hrs],tblDaily[EntryDate],DATE(2026,6,16),tblDaily[WardCode],"FW")),"")</f>
        <v/>
      </c>
      <c r="F217" s="12">
        <f>IFERROR(IF(SUMIFS(tblDaily[TransfersIn],tblDaily[EntryDate],DATE(2026,6,16),tblDaily[WardCode],"FW")=0,"",SUMIFS(tblDaily[TransfersIn],tblDaily[EntryDate],DATE(2026,6,16),tblDaily[WardCode],"FW")),"")</f>
        <v/>
      </c>
      <c r="G217" s="12">
        <f>IFERROR(IF(SUMIFS(tblDaily[TransfersOut],tblDaily[EntryDate],DATE(2026,6,16),tblDaily[WardCode],"FW")=0,"",SUMIFS(tblDaily[TransfersOut],tblDaily[EntryDate],DATE(2026,6,16),tblDaily[WardCode],"FW")),"")</f>
        <v/>
      </c>
      <c r="H217" s="12">
        <f>IFERROR(IF(SUMIFS(tblDaily[Remaining],tblDaily[EntryDate],DATE(2026,6,16),tblDaily[WardCode],"FW")=0,"",SUMIFS(tblDaily[Remaining],tblDaily[EntryDate],DATE(2026,6,16),tblDaily[WardCode],"FW")),"")</f>
        <v/>
      </c>
    </row>
    <row r="218">
      <c r="A218" s="12" t="n">
        <v>17</v>
      </c>
      <c r="B218" s="12">
        <f>IFERROR(IF(SUMIFS(tblDaily[Admissions],tblDaily[EntryDate],DATE(2026,6,17),tblDaily[WardCode],"FW")=0,"",SUMIFS(tblDaily[Admissions],tblDaily[EntryDate],DATE(2026,6,17),tblDaily[WardCode],"FW")),"")</f>
        <v/>
      </c>
      <c r="C218" s="12">
        <f>IFERROR(IF(SUMIFS(tblDaily[Discharges],tblDaily[EntryDate],DATE(2026,6,17),tblDaily[WardCode],"FW")=0,"",SUMIFS(tblDaily[Discharges],tblDaily[EntryDate],DATE(2026,6,17),tblDaily[WardCode],"FW")),"")</f>
        <v/>
      </c>
      <c r="D218" s="12">
        <f>IFERROR(IF(SUMIFS(tblDaily[Deaths],tblDaily[EntryDate],DATE(2026,6,17),tblDaily[WardCode],"FW")=0,"",SUMIFS(tblDaily[Deaths],tblDaily[EntryDate],DATE(2026,6,17),tblDaily[WardCode],"FW")),"")</f>
        <v/>
      </c>
      <c r="E218" s="12">
        <f>IFERROR(IF(SUMIFS(tblDaily[DeathsUnder24Hrs],tblDaily[EntryDate],DATE(2026,6,17),tblDaily[WardCode],"FW")=0,"",SUMIFS(tblDaily[DeathsUnder24Hrs],tblDaily[EntryDate],DATE(2026,6,17),tblDaily[WardCode],"FW")),"")</f>
        <v/>
      </c>
      <c r="F218" s="12">
        <f>IFERROR(IF(SUMIFS(tblDaily[TransfersIn],tblDaily[EntryDate],DATE(2026,6,17),tblDaily[WardCode],"FW")=0,"",SUMIFS(tblDaily[TransfersIn],tblDaily[EntryDate],DATE(2026,6,17),tblDaily[WardCode],"FW")),"")</f>
        <v/>
      </c>
      <c r="G218" s="12">
        <f>IFERROR(IF(SUMIFS(tblDaily[TransfersOut],tblDaily[EntryDate],DATE(2026,6,17),tblDaily[WardCode],"FW")=0,"",SUMIFS(tblDaily[TransfersOut],tblDaily[EntryDate],DATE(2026,6,17),tblDaily[WardCode],"FW")),"")</f>
        <v/>
      </c>
      <c r="H218" s="12">
        <f>IFERROR(IF(SUMIFS(tblDaily[Remaining],tblDaily[EntryDate],DATE(2026,6,17),tblDaily[WardCode],"FW")=0,"",SUMIFS(tblDaily[Remaining],tblDaily[EntryDate],DATE(2026,6,17),tblDaily[WardCode],"FW")),"")</f>
        <v/>
      </c>
    </row>
    <row r="219">
      <c r="A219" s="12" t="n">
        <v>18</v>
      </c>
      <c r="B219" s="12">
        <f>IFERROR(IF(SUMIFS(tblDaily[Admissions],tblDaily[EntryDate],DATE(2026,6,18),tblDaily[WardCode],"FW")=0,"",SUMIFS(tblDaily[Admissions],tblDaily[EntryDate],DATE(2026,6,18),tblDaily[WardCode],"FW")),"")</f>
        <v/>
      </c>
      <c r="C219" s="12">
        <f>IFERROR(IF(SUMIFS(tblDaily[Discharges],tblDaily[EntryDate],DATE(2026,6,18),tblDaily[WardCode],"FW")=0,"",SUMIFS(tblDaily[Discharges],tblDaily[EntryDate],DATE(2026,6,18),tblDaily[WardCode],"FW")),"")</f>
        <v/>
      </c>
      <c r="D219" s="12">
        <f>IFERROR(IF(SUMIFS(tblDaily[Deaths],tblDaily[EntryDate],DATE(2026,6,18),tblDaily[WardCode],"FW")=0,"",SUMIFS(tblDaily[Deaths],tblDaily[EntryDate],DATE(2026,6,18),tblDaily[WardCode],"FW")),"")</f>
        <v/>
      </c>
      <c r="E219" s="12">
        <f>IFERROR(IF(SUMIFS(tblDaily[DeathsUnder24Hrs],tblDaily[EntryDate],DATE(2026,6,18),tblDaily[WardCode],"FW")=0,"",SUMIFS(tblDaily[DeathsUnder24Hrs],tblDaily[EntryDate],DATE(2026,6,18),tblDaily[WardCode],"FW")),"")</f>
        <v/>
      </c>
      <c r="F219" s="12">
        <f>IFERROR(IF(SUMIFS(tblDaily[TransfersIn],tblDaily[EntryDate],DATE(2026,6,18),tblDaily[WardCode],"FW")=0,"",SUMIFS(tblDaily[TransfersIn],tblDaily[EntryDate],DATE(2026,6,18),tblDaily[WardCode],"FW")),"")</f>
        <v/>
      </c>
      <c r="G219" s="12">
        <f>IFERROR(IF(SUMIFS(tblDaily[TransfersOut],tblDaily[EntryDate],DATE(2026,6,18),tblDaily[WardCode],"FW")=0,"",SUMIFS(tblDaily[TransfersOut],tblDaily[EntryDate],DATE(2026,6,18),tblDaily[WardCode],"FW")),"")</f>
        <v/>
      </c>
      <c r="H219" s="12">
        <f>IFERROR(IF(SUMIFS(tblDaily[Remaining],tblDaily[EntryDate],DATE(2026,6,18),tblDaily[WardCode],"FW")=0,"",SUMIFS(tblDaily[Remaining],tblDaily[EntryDate],DATE(2026,6,18),tblDaily[WardCode],"FW")),"")</f>
        <v/>
      </c>
    </row>
    <row r="220">
      <c r="A220" s="12" t="n">
        <v>19</v>
      </c>
      <c r="B220" s="12">
        <f>IFERROR(IF(SUMIFS(tblDaily[Admissions],tblDaily[EntryDate],DATE(2026,6,19),tblDaily[WardCode],"FW")=0,"",SUMIFS(tblDaily[Admissions],tblDaily[EntryDate],DATE(2026,6,19),tblDaily[WardCode],"FW")),"")</f>
        <v/>
      </c>
      <c r="C220" s="12">
        <f>IFERROR(IF(SUMIFS(tblDaily[Discharges],tblDaily[EntryDate],DATE(2026,6,19),tblDaily[WardCode],"FW")=0,"",SUMIFS(tblDaily[Discharges],tblDaily[EntryDate],DATE(2026,6,19),tblDaily[WardCode],"FW")),"")</f>
        <v/>
      </c>
      <c r="D220" s="12">
        <f>IFERROR(IF(SUMIFS(tblDaily[Deaths],tblDaily[EntryDate],DATE(2026,6,19),tblDaily[WardCode],"FW")=0,"",SUMIFS(tblDaily[Deaths],tblDaily[EntryDate],DATE(2026,6,19),tblDaily[WardCode],"FW")),"")</f>
        <v/>
      </c>
      <c r="E220" s="12">
        <f>IFERROR(IF(SUMIFS(tblDaily[DeathsUnder24Hrs],tblDaily[EntryDate],DATE(2026,6,19),tblDaily[WardCode],"FW")=0,"",SUMIFS(tblDaily[DeathsUnder24Hrs],tblDaily[EntryDate],DATE(2026,6,19),tblDaily[WardCode],"FW")),"")</f>
        <v/>
      </c>
      <c r="F220" s="12">
        <f>IFERROR(IF(SUMIFS(tblDaily[TransfersIn],tblDaily[EntryDate],DATE(2026,6,19),tblDaily[WardCode],"FW")=0,"",SUMIFS(tblDaily[TransfersIn],tblDaily[EntryDate],DATE(2026,6,19),tblDaily[WardCode],"FW")),"")</f>
        <v/>
      </c>
      <c r="G220" s="12">
        <f>IFERROR(IF(SUMIFS(tblDaily[TransfersOut],tblDaily[EntryDate],DATE(2026,6,19),tblDaily[WardCode],"FW")=0,"",SUMIFS(tblDaily[TransfersOut],tblDaily[EntryDate],DATE(2026,6,19),tblDaily[WardCode],"FW")),"")</f>
        <v/>
      </c>
      <c r="H220" s="12">
        <f>IFERROR(IF(SUMIFS(tblDaily[Remaining],tblDaily[EntryDate],DATE(2026,6,19),tblDaily[WardCode],"FW")=0,"",SUMIFS(tblDaily[Remaining],tblDaily[EntryDate],DATE(2026,6,19),tblDaily[WardCode],"FW")),"")</f>
        <v/>
      </c>
    </row>
    <row r="221">
      <c r="A221" s="12" t="n">
        <v>20</v>
      </c>
      <c r="B221" s="12">
        <f>IFERROR(IF(SUMIFS(tblDaily[Admissions],tblDaily[EntryDate],DATE(2026,6,20),tblDaily[WardCode],"FW")=0,"",SUMIFS(tblDaily[Admissions],tblDaily[EntryDate],DATE(2026,6,20),tblDaily[WardCode],"FW")),"")</f>
        <v/>
      </c>
      <c r="C221" s="12">
        <f>IFERROR(IF(SUMIFS(tblDaily[Discharges],tblDaily[EntryDate],DATE(2026,6,20),tblDaily[WardCode],"FW")=0,"",SUMIFS(tblDaily[Discharges],tblDaily[EntryDate],DATE(2026,6,20),tblDaily[WardCode],"FW")),"")</f>
        <v/>
      </c>
      <c r="D221" s="12">
        <f>IFERROR(IF(SUMIFS(tblDaily[Deaths],tblDaily[EntryDate],DATE(2026,6,20),tblDaily[WardCode],"FW")=0,"",SUMIFS(tblDaily[Deaths],tblDaily[EntryDate],DATE(2026,6,20),tblDaily[WardCode],"FW")),"")</f>
        <v/>
      </c>
      <c r="E221" s="12">
        <f>IFERROR(IF(SUMIFS(tblDaily[DeathsUnder24Hrs],tblDaily[EntryDate],DATE(2026,6,20),tblDaily[WardCode],"FW")=0,"",SUMIFS(tblDaily[DeathsUnder24Hrs],tblDaily[EntryDate],DATE(2026,6,20),tblDaily[WardCode],"FW")),"")</f>
        <v/>
      </c>
      <c r="F221" s="12">
        <f>IFERROR(IF(SUMIFS(tblDaily[TransfersIn],tblDaily[EntryDate],DATE(2026,6,20),tblDaily[WardCode],"FW")=0,"",SUMIFS(tblDaily[TransfersIn],tblDaily[EntryDate],DATE(2026,6,20),tblDaily[WardCode],"FW")),"")</f>
        <v/>
      </c>
      <c r="G221" s="12">
        <f>IFERROR(IF(SUMIFS(tblDaily[TransfersOut],tblDaily[EntryDate],DATE(2026,6,20),tblDaily[WardCode],"FW")=0,"",SUMIFS(tblDaily[TransfersOut],tblDaily[EntryDate],DATE(2026,6,20),tblDaily[WardCode],"FW")),"")</f>
        <v/>
      </c>
      <c r="H221" s="12">
        <f>IFERROR(IF(SUMIFS(tblDaily[Remaining],tblDaily[EntryDate],DATE(2026,6,20),tblDaily[WardCode],"FW")=0,"",SUMIFS(tblDaily[Remaining],tblDaily[EntryDate],DATE(2026,6,20),tblDaily[WardCode],"FW")),"")</f>
        <v/>
      </c>
    </row>
    <row r="222">
      <c r="A222" s="12" t="n">
        <v>21</v>
      </c>
      <c r="B222" s="12">
        <f>IFERROR(IF(SUMIFS(tblDaily[Admissions],tblDaily[EntryDate],DATE(2026,6,21),tblDaily[WardCode],"FW")=0,"",SUMIFS(tblDaily[Admissions],tblDaily[EntryDate],DATE(2026,6,21),tblDaily[WardCode],"FW")),"")</f>
        <v/>
      </c>
      <c r="C222" s="12">
        <f>IFERROR(IF(SUMIFS(tblDaily[Discharges],tblDaily[EntryDate],DATE(2026,6,21),tblDaily[WardCode],"FW")=0,"",SUMIFS(tblDaily[Discharges],tblDaily[EntryDate],DATE(2026,6,21),tblDaily[WardCode],"FW")),"")</f>
        <v/>
      </c>
      <c r="D222" s="12">
        <f>IFERROR(IF(SUMIFS(tblDaily[Deaths],tblDaily[EntryDate],DATE(2026,6,21),tblDaily[WardCode],"FW")=0,"",SUMIFS(tblDaily[Deaths],tblDaily[EntryDate],DATE(2026,6,21),tblDaily[WardCode],"FW")),"")</f>
        <v/>
      </c>
      <c r="E222" s="12">
        <f>IFERROR(IF(SUMIFS(tblDaily[DeathsUnder24Hrs],tblDaily[EntryDate],DATE(2026,6,21),tblDaily[WardCode],"FW")=0,"",SUMIFS(tblDaily[DeathsUnder24Hrs],tblDaily[EntryDate],DATE(2026,6,21),tblDaily[WardCode],"FW")),"")</f>
        <v/>
      </c>
      <c r="F222" s="12">
        <f>IFERROR(IF(SUMIFS(tblDaily[TransfersIn],tblDaily[EntryDate],DATE(2026,6,21),tblDaily[WardCode],"FW")=0,"",SUMIFS(tblDaily[TransfersIn],tblDaily[EntryDate],DATE(2026,6,21),tblDaily[WardCode],"FW")),"")</f>
        <v/>
      </c>
      <c r="G222" s="12">
        <f>IFERROR(IF(SUMIFS(tblDaily[TransfersOut],tblDaily[EntryDate],DATE(2026,6,21),tblDaily[WardCode],"FW")=0,"",SUMIFS(tblDaily[TransfersOut],tblDaily[EntryDate],DATE(2026,6,21),tblDaily[WardCode],"FW")),"")</f>
        <v/>
      </c>
      <c r="H222" s="12">
        <f>IFERROR(IF(SUMIFS(tblDaily[Remaining],tblDaily[EntryDate],DATE(2026,6,21),tblDaily[WardCode],"FW")=0,"",SUMIFS(tblDaily[Remaining],tblDaily[EntryDate],DATE(2026,6,21),tblDaily[WardCode],"FW")),"")</f>
        <v/>
      </c>
    </row>
    <row r="223">
      <c r="A223" s="12" t="n">
        <v>22</v>
      </c>
      <c r="B223" s="12">
        <f>IFERROR(IF(SUMIFS(tblDaily[Admissions],tblDaily[EntryDate],DATE(2026,6,22),tblDaily[WardCode],"FW")=0,"",SUMIFS(tblDaily[Admissions],tblDaily[EntryDate],DATE(2026,6,22),tblDaily[WardCode],"FW")),"")</f>
        <v/>
      </c>
      <c r="C223" s="12">
        <f>IFERROR(IF(SUMIFS(tblDaily[Discharges],tblDaily[EntryDate],DATE(2026,6,22),tblDaily[WardCode],"FW")=0,"",SUMIFS(tblDaily[Discharges],tblDaily[EntryDate],DATE(2026,6,22),tblDaily[WardCode],"FW")),"")</f>
        <v/>
      </c>
      <c r="D223" s="12">
        <f>IFERROR(IF(SUMIFS(tblDaily[Deaths],tblDaily[EntryDate],DATE(2026,6,22),tblDaily[WardCode],"FW")=0,"",SUMIFS(tblDaily[Deaths],tblDaily[EntryDate],DATE(2026,6,22),tblDaily[WardCode],"FW")),"")</f>
        <v/>
      </c>
      <c r="E223" s="12">
        <f>IFERROR(IF(SUMIFS(tblDaily[DeathsUnder24Hrs],tblDaily[EntryDate],DATE(2026,6,22),tblDaily[WardCode],"FW")=0,"",SUMIFS(tblDaily[DeathsUnder24Hrs],tblDaily[EntryDate],DATE(2026,6,22),tblDaily[WardCode],"FW")),"")</f>
        <v/>
      </c>
      <c r="F223" s="12">
        <f>IFERROR(IF(SUMIFS(tblDaily[TransfersIn],tblDaily[EntryDate],DATE(2026,6,22),tblDaily[WardCode],"FW")=0,"",SUMIFS(tblDaily[TransfersIn],tblDaily[EntryDate],DATE(2026,6,22),tblDaily[WardCode],"FW")),"")</f>
        <v/>
      </c>
      <c r="G223" s="12">
        <f>IFERROR(IF(SUMIFS(tblDaily[TransfersOut],tblDaily[EntryDate],DATE(2026,6,22),tblDaily[WardCode],"FW")=0,"",SUMIFS(tblDaily[TransfersOut],tblDaily[EntryDate],DATE(2026,6,22),tblDaily[WardCode],"FW")),"")</f>
        <v/>
      </c>
      <c r="H223" s="12">
        <f>IFERROR(IF(SUMIFS(tblDaily[Remaining],tblDaily[EntryDate],DATE(2026,6,22),tblDaily[WardCode],"FW")=0,"",SUMIFS(tblDaily[Remaining],tblDaily[EntryDate],DATE(2026,6,22),tblDaily[WardCode],"FW")),"")</f>
        <v/>
      </c>
    </row>
    <row r="224">
      <c r="A224" s="12" t="n">
        <v>23</v>
      </c>
      <c r="B224" s="12">
        <f>IFERROR(IF(SUMIFS(tblDaily[Admissions],tblDaily[EntryDate],DATE(2026,6,23),tblDaily[WardCode],"FW")=0,"",SUMIFS(tblDaily[Admissions],tblDaily[EntryDate],DATE(2026,6,23),tblDaily[WardCode],"FW")),"")</f>
        <v/>
      </c>
      <c r="C224" s="12">
        <f>IFERROR(IF(SUMIFS(tblDaily[Discharges],tblDaily[EntryDate],DATE(2026,6,23),tblDaily[WardCode],"FW")=0,"",SUMIFS(tblDaily[Discharges],tblDaily[EntryDate],DATE(2026,6,23),tblDaily[WardCode],"FW")),"")</f>
        <v/>
      </c>
      <c r="D224" s="12">
        <f>IFERROR(IF(SUMIFS(tblDaily[Deaths],tblDaily[EntryDate],DATE(2026,6,23),tblDaily[WardCode],"FW")=0,"",SUMIFS(tblDaily[Deaths],tblDaily[EntryDate],DATE(2026,6,23),tblDaily[WardCode],"FW")),"")</f>
        <v/>
      </c>
      <c r="E224" s="12">
        <f>IFERROR(IF(SUMIFS(tblDaily[DeathsUnder24Hrs],tblDaily[EntryDate],DATE(2026,6,23),tblDaily[WardCode],"FW")=0,"",SUMIFS(tblDaily[DeathsUnder24Hrs],tblDaily[EntryDate],DATE(2026,6,23),tblDaily[WardCode],"FW")),"")</f>
        <v/>
      </c>
      <c r="F224" s="12">
        <f>IFERROR(IF(SUMIFS(tblDaily[TransfersIn],tblDaily[EntryDate],DATE(2026,6,23),tblDaily[WardCode],"FW")=0,"",SUMIFS(tblDaily[TransfersIn],tblDaily[EntryDate],DATE(2026,6,23),tblDaily[WardCode],"FW")),"")</f>
        <v/>
      </c>
      <c r="G224" s="12">
        <f>IFERROR(IF(SUMIFS(tblDaily[TransfersOut],tblDaily[EntryDate],DATE(2026,6,23),tblDaily[WardCode],"FW")=0,"",SUMIFS(tblDaily[TransfersOut],tblDaily[EntryDate],DATE(2026,6,23),tblDaily[WardCode],"FW")),"")</f>
        <v/>
      </c>
      <c r="H224" s="12">
        <f>IFERROR(IF(SUMIFS(tblDaily[Remaining],tblDaily[EntryDate],DATE(2026,6,23),tblDaily[WardCode],"FW")=0,"",SUMIFS(tblDaily[Remaining],tblDaily[EntryDate],DATE(2026,6,23),tblDaily[WardCode],"FW")),"")</f>
        <v/>
      </c>
    </row>
    <row r="225">
      <c r="A225" s="12" t="n">
        <v>24</v>
      </c>
      <c r="B225" s="12">
        <f>IFERROR(IF(SUMIFS(tblDaily[Admissions],tblDaily[EntryDate],DATE(2026,6,24),tblDaily[WardCode],"FW")=0,"",SUMIFS(tblDaily[Admissions],tblDaily[EntryDate],DATE(2026,6,24),tblDaily[WardCode],"FW")),"")</f>
        <v/>
      </c>
      <c r="C225" s="12">
        <f>IFERROR(IF(SUMIFS(tblDaily[Discharges],tblDaily[EntryDate],DATE(2026,6,24),tblDaily[WardCode],"FW")=0,"",SUMIFS(tblDaily[Discharges],tblDaily[EntryDate],DATE(2026,6,24),tblDaily[WardCode],"FW")),"")</f>
        <v/>
      </c>
      <c r="D225" s="12">
        <f>IFERROR(IF(SUMIFS(tblDaily[Deaths],tblDaily[EntryDate],DATE(2026,6,24),tblDaily[WardCode],"FW")=0,"",SUMIFS(tblDaily[Deaths],tblDaily[EntryDate],DATE(2026,6,24),tblDaily[WardCode],"FW")),"")</f>
        <v/>
      </c>
      <c r="E225" s="12">
        <f>IFERROR(IF(SUMIFS(tblDaily[DeathsUnder24Hrs],tblDaily[EntryDate],DATE(2026,6,24),tblDaily[WardCode],"FW")=0,"",SUMIFS(tblDaily[DeathsUnder24Hrs],tblDaily[EntryDate],DATE(2026,6,24),tblDaily[WardCode],"FW")),"")</f>
        <v/>
      </c>
      <c r="F225" s="12">
        <f>IFERROR(IF(SUMIFS(tblDaily[TransfersIn],tblDaily[EntryDate],DATE(2026,6,24),tblDaily[WardCode],"FW")=0,"",SUMIFS(tblDaily[TransfersIn],tblDaily[EntryDate],DATE(2026,6,24),tblDaily[WardCode],"FW")),"")</f>
        <v/>
      </c>
      <c r="G225" s="12">
        <f>IFERROR(IF(SUMIFS(tblDaily[TransfersOut],tblDaily[EntryDate],DATE(2026,6,24),tblDaily[WardCode],"FW")=0,"",SUMIFS(tblDaily[TransfersOut],tblDaily[EntryDate],DATE(2026,6,24),tblDaily[WardCode],"FW")),"")</f>
        <v/>
      </c>
      <c r="H225" s="12">
        <f>IFERROR(IF(SUMIFS(tblDaily[Remaining],tblDaily[EntryDate],DATE(2026,6,24),tblDaily[WardCode],"FW")=0,"",SUMIFS(tblDaily[Remaining],tblDaily[EntryDate],DATE(2026,6,24),tblDaily[WardCode],"FW")),"")</f>
        <v/>
      </c>
    </row>
    <row r="226">
      <c r="A226" s="12" t="n">
        <v>25</v>
      </c>
      <c r="B226" s="12">
        <f>IFERROR(IF(SUMIFS(tblDaily[Admissions],tblDaily[EntryDate],DATE(2026,6,25),tblDaily[WardCode],"FW")=0,"",SUMIFS(tblDaily[Admissions],tblDaily[EntryDate],DATE(2026,6,25),tblDaily[WardCode],"FW")),"")</f>
        <v/>
      </c>
      <c r="C226" s="12">
        <f>IFERROR(IF(SUMIFS(tblDaily[Discharges],tblDaily[EntryDate],DATE(2026,6,25),tblDaily[WardCode],"FW")=0,"",SUMIFS(tblDaily[Discharges],tblDaily[EntryDate],DATE(2026,6,25),tblDaily[WardCode],"FW")),"")</f>
        <v/>
      </c>
      <c r="D226" s="12">
        <f>IFERROR(IF(SUMIFS(tblDaily[Deaths],tblDaily[EntryDate],DATE(2026,6,25),tblDaily[WardCode],"FW")=0,"",SUMIFS(tblDaily[Deaths],tblDaily[EntryDate],DATE(2026,6,25),tblDaily[WardCode],"FW")),"")</f>
        <v/>
      </c>
      <c r="E226" s="12">
        <f>IFERROR(IF(SUMIFS(tblDaily[DeathsUnder24Hrs],tblDaily[EntryDate],DATE(2026,6,25),tblDaily[WardCode],"FW")=0,"",SUMIFS(tblDaily[DeathsUnder24Hrs],tblDaily[EntryDate],DATE(2026,6,25),tblDaily[WardCode],"FW")),"")</f>
        <v/>
      </c>
      <c r="F226" s="12">
        <f>IFERROR(IF(SUMIFS(tblDaily[TransfersIn],tblDaily[EntryDate],DATE(2026,6,25),tblDaily[WardCode],"FW")=0,"",SUMIFS(tblDaily[TransfersIn],tblDaily[EntryDate],DATE(2026,6,25),tblDaily[WardCode],"FW")),"")</f>
        <v/>
      </c>
      <c r="G226" s="12">
        <f>IFERROR(IF(SUMIFS(tblDaily[TransfersOut],tblDaily[EntryDate],DATE(2026,6,25),tblDaily[WardCode],"FW")=0,"",SUMIFS(tblDaily[TransfersOut],tblDaily[EntryDate],DATE(2026,6,25),tblDaily[WardCode],"FW")),"")</f>
        <v/>
      </c>
      <c r="H226" s="12">
        <f>IFERROR(IF(SUMIFS(tblDaily[Remaining],tblDaily[EntryDate],DATE(2026,6,25),tblDaily[WardCode],"FW")=0,"",SUMIFS(tblDaily[Remaining],tblDaily[EntryDate],DATE(2026,6,25),tblDaily[WardCode],"FW")),"")</f>
        <v/>
      </c>
    </row>
    <row r="227">
      <c r="A227" s="12" t="n">
        <v>26</v>
      </c>
      <c r="B227" s="12">
        <f>IFERROR(IF(SUMIFS(tblDaily[Admissions],tblDaily[EntryDate],DATE(2026,6,26),tblDaily[WardCode],"FW")=0,"",SUMIFS(tblDaily[Admissions],tblDaily[EntryDate],DATE(2026,6,26),tblDaily[WardCode],"FW")),"")</f>
        <v/>
      </c>
      <c r="C227" s="12">
        <f>IFERROR(IF(SUMIFS(tblDaily[Discharges],tblDaily[EntryDate],DATE(2026,6,26),tblDaily[WardCode],"FW")=0,"",SUMIFS(tblDaily[Discharges],tblDaily[EntryDate],DATE(2026,6,26),tblDaily[WardCode],"FW")),"")</f>
        <v/>
      </c>
      <c r="D227" s="12">
        <f>IFERROR(IF(SUMIFS(tblDaily[Deaths],tblDaily[EntryDate],DATE(2026,6,26),tblDaily[WardCode],"FW")=0,"",SUMIFS(tblDaily[Deaths],tblDaily[EntryDate],DATE(2026,6,26),tblDaily[WardCode],"FW")),"")</f>
        <v/>
      </c>
      <c r="E227" s="12">
        <f>IFERROR(IF(SUMIFS(tblDaily[DeathsUnder24Hrs],tblDaily[EntryDate],DATE(2026,6,26),tblDaily[WardCode],"FW")=0,"",SUMIFS(tblDaily[DeathsUnder24Hrs],tblDaily[EntryDate],DATE(2026,6,26),tblDaily[WardCode],"FW")),"")</f>
        <v/>
      </c>
      <c r="F227" s="12">
        <f>IFERROR(IF(SUMIFS(tblDaily[TransfersIn],tblDaily[EntryDate],DATE(2026,6,26),tblDaily[WardCode],"FW")=0,"",SUMIFS(tblDaily[TransfersIn],tblDaily[EntryDate],DATE(2026,6,26),tblDaily[WardCode],"FW")),"")</f>
        <v/>
      </c>
      <c r="G227" s="12">
        <f>IFERROR(IF(SUMIFS(tblDaily[TransfersOut],tblDaily[EntryDate],DATE(2026,6,26),tblDaily[WardCode],"FW")=0,"",SUMIFS(tblDaily[TransfersOut],tblDaily[EntryDate],DATE(2026,6,26),tblDaily[WardCode],"FW")),"")</f>
        <v/>
      </c>
      <c r="H227" s="12">
        <f>IFERROR(IF(SUMIFS(tblDaily[Remaining],tblDaily[EntryDate],DATE(2026,6,26),tblDaily[WardCode],"FW")=0,"",SUMIFS(tblDaily[Remaining],tblDaily[EntryDate],DATE(2026,6,26),tblDaily[WardCode],"FW")),"")</f>
        <v/>
      </c>
    </row>
    <row r="228">
      <c r="A228" s="12" t="n">
        <v>27</v>
      </c>
      <c r="B228" s="12">
        <f>IFERROR(IF(SUMIFS(tblDaily[Admissions],tblDaily[EntryDate],DATE(2026,6,27),tblDaily[WardCode],"FW")=0,"",SUMIFS(tblDaily[Admissions],tblDaily[EntryDate],DATE(2026,6,27),tblDaily[WardCode],"FW")),"")</f>
        <v/>
      </c>
      <c r="C228" s="12">
        <f>IFERROR(IF(SUMIFS(tblDaily[Discharges],tblDaily[EntryDate],DATE(2026,6,27),tblDaily[WardCode],"FW")=0,"",SUMIFS(tblDaily[Discharges],tblDaily[EntryDate],DATE(2026,6,27),tblDaily[WardCode],"FW")),"")</f>
        <v/>
      </c>
      <c r="D228" s="12">
        <f>IFERROR(IF(SUMIFS(tblDaily[Deaths],tblDaily[EntryDate],DATE(2026,6,27),tblDaily[WardCode],"FW")=0,"",SUMIFS(tblDaily[Deaths],tblDaily[EntryDate],DATE(2026,6,27),tblDaily[WardCode],"FW")),"")</f>
        <v/>
      </c>
      <c r="E228" s="12">
        <f>IFERROR(IF(SUMIFS(tblDaily[DeathsUnder24Hrs],tblDaily[EntryDate],DATE(2026,6,27),tblDaily[WardCode],"FW")=0,"",SUMIFS(tblDaily[DeathsUnder24Hrs],tblDaily[EntryDate],DATE(2026,6,27),tblDaily[WardCode],"FW")),"")</f>
        <v/>
      </c>
      <c r="F228" s="12">
        <f>IFERROR(IF(SUMIFS(tblDaily[TransfersIn],tblDaily[EntryDate],DATE(2026,6,27),tblDaily[WardCode],"FW")=0,"",SUMIFS(tblDaily[TransfersIn],tblDaily[EntryDate],DATE(2026,6,27),tblDaily[WardCode],"FW")),"")</f>
        <v/>
      </c>
      <c r="G228" s="12">
        <f>IFERROR(IF(SUMIFS(tblDaily[TransfersOut],tblDaily[EntryDate],DATE(2026,6,27),tblDaily[WardCode],"FW")=0,"",SUMIFS(tblDaily[TransfersOut],tblDaily[EntryDate],DATE(2026,6,27),tblDaily[WardCode],"FW")),"")</f>
        <v/>
      </c>
      <c r="H228" s="12">
        <f>IFERROR(IF(SUMIFS(tblDaily[Remaining],tblDaily[EntryDate],DATE(2026,6,27),tblDaily[WardCode],"FW")=0,"",SUMIFS(tblDaily[Remaining],tblDaily[EntryDate],DATE(2026,6,27),tblDaily[WardCode],"FW")),"")</f>
        <v/>
      </c>
    </row>
    <row r="229">
      <c r="A229" s="12" t="n">
        <v>28</v>
      </c>
      <c r="B229" s="12">
        <f>IFERROR(IF(SUMIFS(tblDaily[Admissions],tblDaily[EntryDate],DATE(2026,6,28),tblDaily[WardCode],"FW")=0,"",SUMIFS(tblDaily[Admissions],tblDaily[EntryDate],DATE(2026,6,28),tblDaily[WardCode],"FW")),"")</f>
        <v/>
      </c>
      <c r="C229" s="12">
        <f>IFERROR(IF(SUMIFS(tblDaily[Discharges],tblDaily[EntryDate],DATE(2026,6,28),tblDaily[WardCode],"FW")=0,"",SUMIFS(tblDaily[Discharges],tblDaily[EntryDate],DATE(2026,6,28),tblDaily[WardCode],"FW")),"")</f>
        <v/>
      </c>
      <c r="D229" s="12">
        <f>IFERROR(IF(SUMIFS(tblDaily[Deaths],tblDaily[EntryDate],DATE(2026,6,28),tblDaily[WardCode],"FW")=0,"",SUMIFS(tblDaily[Deaths],tblDaily[EntryDate],DATE(2026,6,28),tblDaily[WardCode],"FW")),"")</f>
        <v/>
      </c>
      <c r="E229" s="12">
        <f>IFERROR(IF(SUMIFS(tblDaily[DeathsUnder24Hrs],tblDaily[EntryDate],DATE(2026,6,28),tblDaily[WardCode],"FW")=0,"",SUMIFS(tblDaily[DeathsUnder24Hrs],tblDaily[EntryDate],DATE(2026,6,28),tblDaily[WardCode],"FW")),"")</f>
        <v/>
      </c>
      <c r="F229" s="12">
        <f>IFERROR(IF(SUMIFS(tblDaily[TransfersIn],tblDaily[EntryDate],DATE(2026,6,28),tblDaily[WardCode],"FW")=0,"",SUMIFS(tblDaily[TransfersIn],tblDaily[EntryDate],DATE(2026,6,28),tblDaily[WardCode],"FW")),"")</f>
        <v/>
      </c>
      <c r="G229" s="12">
        <f>IFERROR(IF(SUMIFS(tblDaily[TransfersOut],tblDaily[EntryDate],DATE(2026,6,28),tblDaily[WardCode],"FW")=0,"",SUMIFS(tblDaily[TransfersOut],tblDaily[EntryDate],DATE(2026,6,28),tblDaily[WardCode],"FW")),"")</f>
        <v/>
      </c>
      <c r="H229" s="12">
        <f>IFERROR(IF(SUMIFS(tblDaily[Remaining],tblDaily[EntryDate],DATE(2026,6,28),tblDaily[WardCode],"FW")=0,"",SUMIFS(tblDaily[Remaining],tblDaily[EntryDate],DATE(2026,6,28),tblDaily[WardCode],"FW")),"")</f>
        <v/>
      </c>
    </row>
    <row r="230">
      <c r="A230" s="12" t="n">
        <v>29</v>
      </c>
      <c r="B230" s="12">
        <f>IFERROR(IF(SUMIFS(tblDaily[Admissions],tblDaily[EntryDate],DATE(2026,6,29),tblDaily[WardCode],"FW")=0,"",SUMIFS(tblDaily[Admissions],tblDaily[EntryDate],DATE(2026,6,29),tblDaily[WardCode],"FW")),"")</f>
        <v/>
      </c>
      <c r="C230" s="12">
        <f>IFERROR(IF(SUMIFS(tblDaily[Discharges],tblDaily[EntryDate],DATE(2026,6,29),tblDaily[WardCode],"FW")=0,"",SUMIFS(tblDaily[Discharges],tblDaily[EntryDate],DATE(2026,6,29),tblDaily[WardCode],"FW")),"")</f>
        <v/>
      </c>
      <c r="D230" s="12">
        <f>IFERROR(IF(SUMIFS(tblDaily[Deaths],tblDaily[EntryDate],DATE(2026,6,29),tblDaily[WardCode],"FW")=0,"",SUMIFS(tblDaily[Deaths],tblDaily[EntryDate],DATE(2026,6,29),tblDaily[WardCode],"FW")),"")</f>
        <v/>
      </c>
      <c r="E230" s="12">
        <f>IFERROR(IF(SUMIFS(tblDaily[DeathsUnder24Hrs],tblDaily[EntryDate],DATE(2026,6,29),tblDaily[WardCode],"FW")=0,"",SUMIFS(tblDaily[DeathsUnder24Hrs],tblDaily[EntryDate],DATE(2026,6,29),tblDaily[WardCode],"FW")),"")</f>
        <v/>
      </c>
      <c r="F230" s="12">
        <f>IFERROR(IF(SUMIFS(tblDaily[TransfersIn],tblDaily[EntryDate],DATE(2026,6,29),tblDaily[WardCode],"FW")=0,"",SUMIFS(tblDaily[TransfersIn],tblDaily[EntryDate],DATE(2026,6,29),tblDaily[WardCode],"FW")),"")</f>
        <v/>
      </c>
      <c r="G230" s="12">
        <f>IFERROR(IF(SUMIFS(tblDaily[TransfersOut],tblDaily[EntryDate],DATE(2026,6,29),tblDaily[WardCode],"FW")=0,"",SUMIFS(tblDaily[TransfersOut],tblDaily[EntryDate],DATE(2026,6,29),tblDaily[WardCode],"FW")),"")</f>
        <v/>
      </c>
      <c r="H230" s="12">
        <f>IFERROR(IF(SUMIFS(tblDaily[Remaining],tblDaily[EntryDate],DATE(2026,6,29),tblDaily[WardCode],"FW")=0,"",SUMIFS(tblDaily[Remaining],tblDaily[EntryDate],DATE(2026,6,29),tblDaily[WardCode],"FW")),"")</f>
        <v/>
      </c>
    </row>
    <row r="231">
      <c r="A231" s="12" t="n">
        <v>30</v>
      </c>
      <c r="B231" s="12">
        <f>IFERROR(IF(SUMIFS(tblDaily[Admissions],tblDaily[EntryDate],DATE(2026,6,30),tblDaily[WardCode],"FW")=0,"",SUMIFS(tblDaily[Admissions],tblDaily[EntryDate],DATE(2026,6,30),tblDaily[WardCode],"FW")),"")</f>
        <v/>
      </c>
      <c r="C231" s="12">
        <f>IFERROR(IF(SUMIFS(tblDaily[Discharges],tblDaily[EntryDate],DATE(2026,6,30),tblDaily[WardCode],"FW")=0,"",SUMIFS(tblDaily[Discharges],tblDaily[EntryDate],DATE(2026,6,30),tblDaily[WardCode],"FW")),"")</f>
        <v/>
      </c>
      <c r="D231" s="12">
        <f>IFERROR(IF(SUMIFS(tblDaily[Deaths],tblDaily[EntryDate],DATE(2026,6,30),tblDaily[WardCode],"FW")=0,"",SUMIFS(tblDaily[Deaths],tblDaily[EntryDate],DATE(2026,6,30),tblDaily[WardCode],"FW")),"")</f>
        <v/>
      </c>
      <c r="E231" s="12">
        <f>IFERROR(IF(SUMIFS(tblDaily[DeathsUnder24Hrs],tblDaily[EntryDate],DATE(2026,6,30),tblDaily[WardCode],"FW")=0,"",SUMIFS(tblDaily[DeathsUnder24Hrs],tblDaily[EntryDate],DATE(2026,6,30),tblDaily[WardCode],"FW")),"")</f>
        <v/>
      </c>
      <c r="F231" s="12">
        <f>IFERROR(IF(SUMIFS(tblDaily[TransfersIn],tblDaily[EntryDate],DATE(2026,6,30),tblDaily[WardCode],"FW")=0,"",SUMIFS(tblDaily[TransfersIn],tblDaily[EntryDate],DATE(2026,6,30),tblDaily[WardCode],"FW")),"")</f>
        <v/>
      </c>
      <c r="G231" s="12">
        <f>IFERROR(IF(SUMIFS(tblDaily[TransfersOut],tblDaily[EntryDate],DATE(2026,6,30),tblDaily[WardCode],"FW")=0,"",SUMIFS(tblDaily[TransfersOut],tblDaily[EntryDate],DATE(2026,6,30),tblDaily[WardCode],"FW")),"")</f>
        <v/>
      </c>
      <c r="H231" s="12">
        <f>IFERROR(IF(SUMIFS(tblDaily[Remaining],tblDaily[EntryDate],DATE(2026,6,30),tblDaily[WardCode],"FW")=0,"",SUMIFS(tblDaily[Remaining],tblDaily[EntryDate],DATE(2026,6,30),tblDaily[WardCode],"FW")),"")</f>
        <v/>
      </c>
    </row>
    <row r="232">
      <c r="A232" s="12" t="n">
        <v>31</v>
      </c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7" t="inlineStr">
        <is>
          <t>TOTAL</t>
        </is>
      </c>
      <c r="B233" s="17">
        <f>SUMIFS(tblDaily[Admissions],tblDaily[Month],6,tblDaily[WardCode],"FW") - SUMIFS(tblDaily[DeathsUnder24Hrs],tblDaily[Month],6,tblDaily[WardCode],"FW")</f>
        <v/>
      </c>
      <c r="C233" s="17">
        <f>SUMIFS(tblDaily[Discharges],tblDaily[Month],6,tblDaily[WardCode],"FW")</f>
        <v/>
      </c>
      <c r="D233" s="17">
        <f>SUMIFS(tblDaily[Deaths],tblDaily[Month],6,tblDaily[WardCode],"FW")</f>
        <v/>
      </c>
      <c r="E233" s="17">
        <f>SUMIFS(tblDaily[DeathsUnder24Hrs],tblDaily[Month],6,tblDaily[WardCode],"FW")</f>
        <v/>
      </c>
      <c r="F233" s="17">
        <f>SUMIFS(tblDaily[TransfersIn],tblDaily[Month],6,tblDaily[WardCode],"FW")</f>
        <v/>
      </c>
      <c r="G233" s="17">
        <f>SUMIFS(tblDaily[TransfersOut],tblDaily[Month],6,tblDaily[WardCode],"FW")</f>
        <v/>
      </c>
      <c r="H233" s="17">
        <f>SUMIFS(tblDaily[Remaining],tblDaily[Month],6,tblDaily[WardCode],"FW")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FEMALE MEDICAL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4">
        <f>IFERROR(SUMIFS(tblDaily[Remaining],tblDaily[EntryDate],DATE(2026,6,30),tblDaily[WardCode],"FW"),0)</f>
        <v/>
      </c>
    </row>
    <row r="239">
      <c r="A239" s="4" t="inlineStr">
        <is>
          <t>Bed complement</t>
        </is>
      </c>
      <c r="H239" s="15">
        <f>IFERROR(INDEX(tblWardConfig[BedComplement],MATCH("FW",tblWardConfig[WardCode],0)),0)</f>
        <v/>
      </c>
    </row>
    <row r="240">
      <c r="A240" s="16" t="inlineStr">
        <is>
          <t>Day of
the
Month</t>
        </is>
      </c>
      <c r="B240" s="16" t="inlineStr">
        <is>
          <t>Admissions</t>
        </is>
      </c>
      <c r="C240" s="16" t="inlineStr">
        <is>
          <t>Discharges</t>
        </is>
      </c>
      <c r="D240" s="16" t="inlineStr">
        <is>
          <t>Deaths</t>
        </is>
      </c>
      <c r="E240" s="16" t="inlineStr">
        <is>
          <t>Deaths
&lt;24Hrs</t>
        </is>
      </c>
      <c r="F240" s="16" t="inlineStr">
        <is>
          <t>Transfers-
In</t>
        </is>
      </c>
      <c r="G240" s="16" t="inlineStr">
        <is>
          <t>Transfers-
Out</t>
        </is>
      </c>
      <c r="H240" s="16" t="inlineStr">
        <is>
          <t>No. of Patients
Remaining In
Ward</t>
        </is>
      </c>
    </row>
    <row r="241">
      <c r="A241" s="12" t="n">
        <v>1</v>
      </c>
      <c r="B241" s="12">
        <f>IFERROR(IF(SUMIFS(tblDaily[Admissions],tblDaily[EntryDate],DATE(2026,7,1),tblDaily[WardCode],"FW")=0,"",SUMIFS(tblDaily[Admissions],tblDaily[EntryDate],DATE(2026,7,1),tblDaily[WardCode],"FW")),"")</f>
        <v/>
      </c>
      <c r="C241" s="12">
        <f>IFERROR(IF(SUMIFS(tblDaily[Discharges],tblDaily[EntryDate],DATE(2026,7,1),tblDaily[WardCode],"FW")=0,"",SUMIFS(tblDaily[Discharges],tblDaily[EntryDate],DATE(2026,7,1),tblDaily[WardCode],"FW")),"")</f>
        <v/>
      </c>
      <c r="D241" s="12">
        <f>IFERROR(IF(SUMIFS(tblDaily[Deaths],tblDaily[EntryDate],DATE(2026,7,1),tblDaily[WardCode],"FW")=0,"",SUMIFS(tblDaily[Deaths],tblDaily[EntryDate],DATE(2026,7,1),tblDaily[WardCode],"FW")),"")</f>
        <v/>
      </c>
      <c r="E241" s="12">
        <f>IFERROR(IF(SUMIFS(tblDaily[DeathsUnder24Hrs],tblDaily[EntryDate],DATE(2026,7,1),tblDaily[WardCode],"FW")=0,"",SUMIFS(tblDaily[DeathsUnder24Hrs],tblDaily[EntryDate],DATE(2026,7,1),tblDaily[WardCode],"FW")),"")</f>
        <v/>
      </c>
      <c r="F241" s="12">
        <f>IFERROR(IF(SUMIFS(tblDaily[TransfersIn],tblDaily[EntryDate],DATE(2026,7,1),tblDaily[WardCode],"FW")=0,"",SUMIFS(tblDaily[TransfersIn],tblDaily[EntryDate],DATE(2026,7,1),tblDaily[WardCode],"FW")),"")</f>
        <v/>
      </c>
      <c r="G241" s="12">
        <f>IFERROR(IF(SUMIFS(tblDaily[TransfersOut],tblDaily[EntryDate],DATE(2026,7,1),tblDaily[WardCode],"FW")=0,"",SUMIFS(tblDaily[TransfersOut],tblDaily[EntryDate],DATE(2026,7,1),tblDaily[WardCode],"FW")),"")</f>
        <v/>
      </c>
      <c r="H241" s="12">
        <f>IFERROR(IF(SUMIFS(tblDaily[Remaining],tblDaily[EntryDate],DATE(2026,7,1),tblDaily[WardCode],"FW")=0,"",SUMIFS(tblDaily[Remaining],tblDaily[EntryDate],DATE(2026,7,1),tblDaily[WardCode],"FW")),"")</f>
        <v/>
      </c>
    </row>
    <row r="242">
      <c r="A242" s="12" t="n">
        <v>2</v>
      </c>
      <c r="B242" s="12">
        <f>IFERROR(IF(SUMIFS(tblDaily[Admissions],tblDaily[EntryDate],DATE(2026,7,2),tblDaily[WardCode],"FW")=0,"",SUMIFS(tblDaily[Admissions],tblDaily[EntryDate],DATE(2026,7,2),tblDaily[WardCode],"FW")),"")</f>
        <v/>
      </c>
      <c r="C242" s="12">
        <f>IFERROR(IF(SUMIFS(tblDaily[Discharges],tblDaily[EntryDate],DATE(2026,7,2),tblDaily[WardCode],"FW")=0,"",SUMIFS(tblDaily[Discharges],tblDaily[EntryDate],DATE(2026,7,2),tblDaily[WardCode],"FW")),"")</f>
        <v/>
      </c>
      <c r="D242" s="12">
        <f>IFERROR(IF(SUMIFS(tblDaily[Deaths],tblDaily[EntryDate],DATE(2026,7,2),tblDaily[WardCode],"FW")=0,"",SUMIFS(tblDaily[Deaths],tblDaily[EntryDate],DATE(2026,7,2),tblDaily[WardCode],"FW")),"")</f>
        <v/>
      </c>
      <c r="E242" s="12">
        <f>IFERROR(IF(SUMIFS(tblDaily[DeathsUnder24Hrs],tblDaily[EntryDate],DATE(2026,7,2),tblDaily[WardCode],"FW")=0,"",SUMIFS(tblDaily[DeathsUnder24Hrs],tblDaily[EntryDate],DATE(2026,7,2),tblDaily[WardCode],"FW")),"")</f>
        <v/>
      </c>
      <c r="F242" s="12">
        <f>IFERROR(IF(SUMIFS(tblDaily[TransfersIn],tblDaily[EntryDate],DATE(2026,7,2),tblDaily[WardCode],"FW")=0,"",SUMIFS(tblDaily[TransfersIn],tblDaily[EntryDate],DATE(2026,7,2),tblDaily[WardCode],"FW")),"")</f>
        <v/>
      </c>
      <c r="G242" s="12">
        <f>IFERROR(IF(SUMIFS(tblDaily[TransfersOut],tblDaily[EntryDate],DATE(2026,7,2),tblDaily[WardCode],"FW")=0,"",SUMIFS(tblDaily[TransfersOut],tblDaily[EntryDate],DATE(2026,7,2),tblDaily[WardCode],"FW")),"")</f>
        <v/>
      </c>
      <c r="H242" s="12">
        <f>IFERROR(IF(SUMIFS(tblDaily[Remaining],tblDaily[EntryDate],DATE(2026,7,2),tblDaily[WardCode],"FW")=0,"",SUMIFS(tblDaily[Remaining],tblDaily[EntryDate],DATE(2026,7,2),tblDaily[WardCode],"FW")),"")</f>
        <v/>
      </c>
    </row>
    <row r="243">
      <c r="A243" s="12" t="n">
        <v>3</v>
      </c>
      <c r="B243" s="12">
        <f>IFERROR(IF(SUMIFS(tblDaily[Admissions],tblDaily[EntryDate],DATE(2026,7,3),tblDaily[WardCode],"FW")=0,"",SUMIFS(tblDaily[Admissions],tblDaily[EntryDate],DATE(2026,7,3),tblDaily[WardCode],"FW")),"")</f>
        <v/>
      </c>
      <c r="C243" s="12">
        <f>IFERROR(IF(SUMIFS(tblDaily[Discharges],tblDaily[EntryDate],DATE(2026,7,3),tblDaily[WardCode],"FW")=0,"",SUMIFS(tblDaily[Discharges],tblDaily[EntryDate],DATE(2026,7,3),tblDaily[WardCode],"FW")),"")</f>
        <v/>
      </c>
      <c r="D243" s="12">
        <f>IFERROR(IF(SUMIFS(tblDaily[Deaths],tblDaily[EntryDate],DATE(2026,7,3),tblDaily[WardCode],"FW")=0,"",SUMIFS(tblDaily[Deaths],tblDaily[EntryDate],DATE(2026,7,3),tblDaily[WardCode],"FW")),"")</f>
        <v/>
      </c>
      <c r="E243" s="12">
        <f>IFERROR(IF(SUMIFS(tblDaily[DeathsUnder24Hrs],tblDaily[EntryDate],DATE(2026,7,3),tblDaily[WardCode],"FW")=0,"",SUMIFS(tblDaily[DeathsUnder24Hrs],tblDaily[EntryDate],DATE(2026,7,3),tblDaily[WardCode],"FW")),"")</f>
        <v/>
      </c>
      <c r="F243" s="12">
        <f>IFERROR(IF(SUMIFS(tblDaily[TransfersIn],tblDaily[EntryDate],DATE(2026,7,3),tblDaily[WardCode],"FW")=0,"",SUMIFS(tblDaily[TransfersIn],tblDaily[EntryDate],DATE(2026,7,3),tblDaily[WardCode],"FW")),"")</f>
        <v/>
      </c>
      <c r="G243" s="12">
        <f>IFERROR(IF(SUMIFS(tblDaily[TransfersOut],tblDaily[EntryDate],DATE(2026,7,3),tblDaily[WardCode],"FW")=0,"",SUMIFS(tblDaily[TransfersOut],tblDaily[EntryDate],DATE(2026,7,3),tblDaily[WardCode],"FW")),"")</f>
        <v/>
      </c>
      <c r="H243" s="12">
        <f>IFERROR(IF(SUMIFS(tblDaily[Remaining],tblDaily[EntryDate],DATE(2026,7,3),tblDaily[WardCode],"FW")=0,"",SUMIFS(tblDaily[Remaining],tblDaily[EntryDate],DATE(2026,7,3),tblDaily[WardCode],"FW")),"")</f>
        <v/>
      </c>
    </row>
    <row r="244">
      <c r="A244" s="12" t="n">
        <v>4</v>
      </c>
      <c r="B244" s="12">
        <f>IFERROR(IF(SUMIFS(tblDaily[Admissions],tblDaily[EntryDate],DATE(2026,7,4),tblDaily[WardCode],"FW")=0,"",SUMIFS(tblDaily[Admissions],tblDaily[EntryDate],DATE(2026,7,4),tblDaily[WardCode],"FW")),"")</f>
        <v/>
      </c>
      <c r="C244" s="12">
        <f>IFERROR(IF(SUMIFS(tblDaily[Discharges],tblDaily[EntryDate],DATE(2026,7,4),tblDaily[WardCode],"FW")=0,"",SUMIFS(tblDaily[Discharges],tblDaily[EntryDate],DATE(2026,7,4),tblDaily[WardCode],"FW")),"")</f>
        <v/>
      </c>
      <c r="D244" s="12">
        <f>IFERROR(IF(SUMIFS(tblDaily[Deaths],tblDaily[EntryDate],DATE(2026,7,4),tblDaily[WardCode],"FW")=0,"",SUMIFS(tblDaily[Deaths],tblDaily[EntryDate],DATE(2026,7,4),tblDaily[WardCode],"FW")),"")</f>
        <v/>
      </c>
      <c r="E244" s="12">
        <f>IFERROR(IF(SUMIFS(tblDaily[DeathsUnder24Hrs],tblDaily[EntryDate],DATE(2026,7,4),tblDaily[WardCode],"FW")=0,"",SUMIFS(tblDaily[DeathsUnder24Hrs],tblDaily[EntryDate],DATE(2026,7,4),tblDaily[WardCode],"FW")),"")</f>
        <v/>
      </c>
      <c r="F244" s="12">
        <f>IFERROR(IF(SUMIFS(tblDaily[TransfersIn],tblDaily[EntryDate],DATE(2026,7,4),tblDaily[WardCode],"FW")=0,"",SUMIFS(tblDaily[TransfersIn],tblDaily[EntryDate],DATE(2026,7,4),tblDaily[WardCode],"FW")),"")</f>
        <v/>
      </c>
      <c r="G244" s="12">
        <f>IFERROR(IF(SUMIFS(tblDaily[TransfersOut],tblDaily[EntryDate],DATE(2026,7,4),tblDaily[WardCode],"FW")=0,"",SUMIFS(tblDaily[TransfersOut],tblDaily[EntryDate],DATE(2026,7,4),tblDaily[WardCode],"FW")),"")</f>
        <v/>
      </c>
      <c r="H244" s="12">
        <f>IFERROR(IF(SUMIFS(tblDaily[Remaining],tblDaily[EntryDate],DATE(2026,7,4),tblDaily[WardCode],"FW")=0,"",SUMIFS(tblDaily[Remaining],tblDaily[EntryDate],DATE(2026,7,4),tblDaily[WardCode],"FW")),"")</f>
        <v/>
      </c>
    </row>
    <row r="245">
      <c r="A245" s="12" t="n">
        <v>5</v>
      </c>
      <c r="B245" s="12">
        <f>IFERROR(IF(SUMIFS(tblDaily[Admissions],tblDaily[EntryDate],DATE(2026,7,5),tblDaily[WardCode],"FW")=0,"",SUMIFS(tblDaily[Admissions],tblDaily[EntryDate],DATE(2026,7,5),tblDaily[WardCode],"FW")),"")</f>
        <v/>
      </c>
      <c r="C245" s="12">
        <f>IFERROR(IF(SUMIFS(tblDaily[Discharges],tblDaily[EntryDate],DATE(2026,7,5),tblDaily[WardCode],"FW")=0,"",SUMIFS(tblDaily[Discharges],tblDaily[EntryDate],DATE(2026,7,5),tblDaily[WardCode],"FW")),"")</f>
        <v/>
      </c>
      <c r="D245" s="12">
        <f>IFERROR(IF(SUMIFS(tblDaily[Deaths],tblDaily[EntryDate],DATE(2026,7,5),tblDaily[WardCode],"FW")=0,"",SUMIFS(tblDaily[Deaths],tblDaily[EntryDate],DATE(2026,7,5),tblDaily[WardCode],"FW")),"")</f>
        <v/>
      </c>
      <c r="E245" s="12">
        <f>IFERROR(IF(SUMIFS(tblDaily[DeathsUnder24Hrs],tblDaily[EntryDate],DATE(2026,7,5),tblDaily[WardCode],"FW")=0,"",SUMIFS(tblDaily[DeathsUnder24Hrs],tblDaily[EntryDate],DATE(2026,7,5),tblDaily[WardCode],"FW")),"")</f>
        <v/>
      </c>
      <c r="F245" s="12">
        <f>IFERROR(IF(SUMIFS(tblDaily[TransfersIn],tblDaily[EntryDate],DATE(2026,7,5),tblDaily[WardCode],"FW")=0,"",SUMIFS(tblDaily[TransfersIn],tblDaily[EntryDate],DATE(2026,7,5),tblDaily[WardCode],"FW")),"")</f>
        <v/>
      </c>
      <c r="G245" s="12">
        <f>IFERROR(IF(SUMIFS(tblDaily[TransfersOut],tblDaily[EntryDate],DATE(2026,7,5),tblDaily[WardCode],"FW")=0,"",SUMIFS(tblDaily[TransfersOut],tblDaily[EntryDate],DATE(2026,7,5),tblDaily[WardCode],"FW")),"")</f>
        <v/>
      </c>
      <c r="H245" s="12">
        <f>IFERROR(IF(SUMIFS(tblDaily[Remaining],tblDaily[EntryDate],DATE(2026,7,5),tblDaily[WardCode],"FW")=0,"",SUMIFS(tblDaily[Remaining],tblDaily[EntryDate],DATE(2026,7,5),tblDaily[WardCode],"FW")),"")</f>
        <v/>
      </c>
    </row>
    <row r="246">
      <c r="A246" s="12" t="n">
        <v>6</v>
      </c>
      <c r="B246" s="12">
        <f>IFERROR(IF(SUMIFS(tblDaily[Admissions],tblDaily[EntryDate],DATE(2026,7,6),tblDaily[WardCode],"FW")=0,"",SUMIFS(tblDaily[Admissions],tblDaily[EntryDate],DATE(2026,7,6),tblDaily[WardCode],"FW")),"")</f>
        <v/>
      </c>
      <c r="C246" s="12">
        <f>IFERROR(IF(SUMIFS(tblDaily[Discharges],tblDaily[EntryDate],DATE(2026,7,6),tblDaily[WardCode],"FW")=0,"",SUMIFS(tblDaily[Discharges],tblDaily[EntryDate],DATE(2026,7,6),tblDaily[WardCode],"FW")),"")</f>
        <v/>
      </c>
      <c r="D246" s="12">
        <f>IFERROR(IF(SUMIFS(tblDaily[Deaths],tblDaily[EntryDate],DATE(2026,7,6),tblDaily[WardCode],"FW")=0,"",SUMIFS(tblDaily[Deaths],tblDaily[EntryDate],DATE(2026,7,6),tblDaily[WardCode],"FW")),"")</f>
        <v/>
      </c>
      <c r="E246" s="12">
        <f>IFERROR(IF(SUMIFS(tblDaily[DeathsUnder24Hrs],tblDaily[EntryDate],DATE(2026,7,6),tblDaily[WardCode],"FW")=0,"",SUMIFS(tblDaily[DeathsUnder24Hrs],tblDaily[EntryDate],DATE(2026,7,6),tblDaily[WardCode],"FW")),"")</f>
        <v/>
      </c>
      <c r="F246" s="12">
        <f>IFERROR(IF(SUMIFS(tblDaily[TransfersIn],tblDaily[EntryDate],DATE(2026,7,6),tblDaily[WardCode],"FW")=0,"",SUMIFS(tblDaily[TransfersIn],tblDaily[EntryDate],DATE(2026,7,6),tblDaily[WardCode],"FW")),"")</f>
        <v/>
      </c>
      <c r="G246" s="12">
        <f>IFERROR(IF(SUMIFS(tblDaily[TransfersOut],tblDaily[EntryDate],DATE(2026,7,6),tblDaily[WardCode],"FW")=0,"",SUMIFS(tblDaily[TransfersOut],tblDaily[EntryDate],DATE(2026,7,6),tblDaily[WardCode],"FW")),"")</f>
        <v/>
      </c>
      <c r="H246" s="12">
        <f>IFERROR(IF(SUMIFS(tblDaily[Remaining],tblDaily[EntryDate],DATE(2026,7,6),tblDaily[WardCode],"FW")=0,"",SUMIFS(tblDaily[Remaining],tblDaily[EntryDate],DATE(2026,7,6),tblDaily[WardCode],"FW")),"")</f>
        <v/>
      </c>
    </row>
    <row r="247">
      <c r="A247" s="12" t="n">
        <v>7</v>
      </c>
      <c r="B247" s="12">
        <f>IFERROR(IF(SUMIFS(tblDaily[Admissions],tblDaily[EntryDate],DATE(2026,7,7),tblDaily[WardCode],"FW")=0,"",SUMIFS(tblDaily[Admissions],tblDaily[EntryDate],DATE(2026,7,7),tblDaily[WardCode],"FW")),"")</f>
        <v/>
      </c>
      <c r="C247" s="12">
        <f>IFERROR(IF(SUMIFS(tblDaily[Discharges],tblDaily[EntryDate],DATE(2026,7,7),tblDaily[WardCode],"FW")=0,"",SUMIFS(tblDaily[Discharges],tblDaily[EntryDate],DATE(2026,7,7),tblDaily[WardCode],"FW")),"")</f>
        <v/>
      </c>
      <c r="D247" s="12">
        <f>IFERROR(IF(SUMIFS(tblDaily[Deaths],tblDaily[EntryDate],DATE(2026,7,7),tblDaily[WardCode],"FW")=0,"",SUMIFS(tblDaily[Deaths],tblDaily[EntryDate],DATE(2026,7,7),tblDaily[WardCode],"FW")),"")</f>
        <v/>
      </c>
      <c r="E247" s="12">
        <f>IFERROR(IF(SUMIFS(tblDaily[DeathsUnder24Hrs],tblDaily[EntryDate],DATE(2026,7,7),tblDaily[WardCode],"FW")=0,"",SUMIFS(tblDaily[DeathsUnder24Hrs],tblDaily[EntryDate],DATE(2026,7,7),tblDaily[WardCode],"FW")),"")</f>
        <v/>
      </c>
      <c r="F247" s="12">
        <f>IFERROR(IF(SUMIFS(tblDaily[TransfersIn],tblDaily[EntryDate],DATE(2026,7,7),tblDaily[WardCode],"FW")=0,"",SUMIFS(tblDaily[TransfersIn],tblDaily[EntryDate],DATE(2026,7,7),tblDaily[WardCode],"FW")),"")</f>
        <v/>
      </c>
      <c r="G247" s="12">
        <f>IFERROR(IF(SUMIFS(tblDaily[TransfersOut],tblDaily[EntryDate],DATE(2026,7,7),tblDaily[WardCode],"FW")=0,"",SUMIFS(tblDaily[TransfersOut],tblDaily[EntryDate],DATE(2026,7,7),tblDaily[WardCode],"FW")),"")</f>
        <v/>
      </c>
      <c r="H247" s="12">
        <f>IFERROR(IF(SUMIFS(tblDaily[Remaining],tblDaily[EntryDate],DATE(2026,7,7),tblDaily[WardCode],"FW")=0,"",SUMIFS(tblDaily[Remaining],tblDaily[EntryDate],DATE(2026,7,7),tblDaily[WardCode],"FW")),"")</f>
        <v/>
      </c>
    </row>
    <row r="248">
      <c r="A248" s="12" t="n">
        <v>8</v>
      </c>
      <c r="B248" s="12">
        <f>IFERROR(IF(SUMIFS(tblDaily[Admissions],tblDaily[EntryDate],DATE(2026,7,8),tblDaily[WardCode],"FW")=0,"",SUMIFS(tblDaily[Admissions],tblDaily[EntryDate],DATE(2026,7,8),tblDaily[WardCode],"FW")),"")</f>
        <v/>
      </c>
      <c r="C248" s="12">
        <f>IFERROR(IF(SUMIFS(tblDaily[Discharges],tblDaily[EntryDate],DATE(2026,7,8),tblDaily[WardCode],"FW")=0,"",SUMIFS(tblDaily[Discharges],tblDaily[EntryDate],DATE(2026,7,8),tblDaily[WardCode],"FW")),"")</f>
        <v/>
      </c>
      <c r="D248" s="12">
        <f>IFERROR(IF(SUMIFS(tblDaily[Deaths],tblDaily[EntryDate],DATE(2026,7,8),tblDaily[WardCode],"FW")=0,"",SUMIFS(tblDaily[Deaths],tblDaily[EntryDate],DATE(2026,7,8),tblDaily[WardCode],"FW")),"")</f>
        <v/>
      </c>
      <c r="E248" s="12">
        <f>IFERROR(IF(SUMIFS(tblDaily[DeathsUnder24Hrs],tblDaily[EntryDate],DATE(2026,7,8),tblDaily[WardCode],"FW")=0,"",SUMIFS(tblDaily[DeathsUnder24Hrs],tblDaily[EntryDate],DATE(2026,7,8),tblDaily[WardCode],"FW")),"")</f>
        <v/>
      </c>
      <c r="F248" s="12">
        <f>IFERROR(IF(SUMIFS(tblDaily[TransfersIn],tblDaily[EntryDate],DATE(2026,7,8),tblDaily[WardCode],"FW")=0,"",SUMIFS(tblDaily[TransfersIn],tblDaily[EntryDate],DATE(2026,7,8),tblDaily[WardCode],"FW")),"")</f>
        <v/>
      </c>
      <c r="G248" s="12">
        <f>IFERROR(IF(SUMIFS(tblDaily[TransfersOut],tblDaily[EntryDate],DATE(2026,7,8),tblDaily[WardCode],"FW")=0,"",SUMIFS(tblDaily[TransfersOut],tblDaily[EntryDate],DATE(2026,7,8),tblDaily[WardCode],"FW")),"")</f>
        <v/>
      </c>
      <c r="H248" s="12">
        <f>IFERROR(IF(SUMIFS(tblDaily[Remaining],tblDaily[EntryDate],DATE(2026,7,8),tblDaily[WardCode],"FW")=0,"",SUMIFS(tblDaily[Remaining],tblDaily[EntryDate],DATE(2026,7,8),tblDaily[WardCode],"FW")),"")</f>
        <v/>
      </c>
    </row>
    <row r="249">
      <c r="A249" s="12" t="n">
        <v>9</v>
      </c>
      <c r="B249" s="12">
        <f>IFERROR(IF(SUMIFS(tblDaily[Admissions],tblDaily[EntryDate],DATE(2026,7,9),tblDaily[WardCode],"FW")=0,"",SUMIFS(tblDaily[Admissions],tblDaily[EntryDate],DATE(2026,7,9),tblDaily[WardCode],"FW")),"")</f>
        <v/>
      </c>
      <c r="C249" s="12">
        <f>IFERROR(IF(SUMIFS(tblDaily[Discharges],tblDaily[EntryDate],DATE(2026,7,9),tblDaily[WardCode],"FW")=0,"",SUMIFS(tblDaily[Discharges],tblDaily[EntryDate],DATE(2026,7,9),tblDaily[WardCode],"FW")),"")</f>
        <v/>
      </c>
      <c r="D249" s="12">
        <f>IFERROR(IF(SUMIFS(tblDaily[Deaths],tblDaily[EntryDate],DATE(2026,7,9),tblDaily[WardCode],"FW")=0,"",SUMIFS(tblDaily[Deaths],tblDaily[EntryDate],DATE(2026,7,9),tblDaily[WardCode],"FW")),"")</f>
        <v/>
      </c>
      <c r="E249" s="12">
        <f>IFERROR(IF(SUMIFS(tblDaily[DeathsUnder24Hrs],tblDaily[EntryDate],DATE(2026,7,9),tblDaily[WardCode],"FW")=0,"",SUMIFS(tblDaily[DeathsUnder24Hrs],tblDaily[EntryDate],DATE(2026,7,9),tblDaily[WardCode],"FW")),"")</f>
        <v/>
      </c>
      <c r="F249" s="12">
        <f>IFERROR(IF(SUMIFS(tblDaily[TransfersIn],tblDaily[EntryDate],DATE(2026,7,9),tblDaily[WardCode],"FW")=0,"",SUMIFS(tblDaily[TransfersIn],tblDaily[EntryDate],DATE(2026,7,9),tblDaily[WardCode],"FW")),"")</f>
        <v/>
      </c>
      <c r="G249" s="12">
        <f>IFERROR(IF(SUMIFS(tblDaily[TransfersOut],tblDaily[EntryDate],DATE(2026,7,9),tblDaily[WardCode],"FW")=0,"",SUMIFS(tblDaily[TransfersOut],tblDaily[EntryDate],DATE(2026,7,9),tblDaily[WardCode],"FW")),"")</f>
        <v/>
      </c>
      <c r="H249" s="12">
        <f>IFERROR(IF(SUMIFS(tblDaily[Remaining],tblDaily[EntryDate],DATE(2026,7,9),tblDaily[WardCode],"FW")=0,"",SUMIFS(tblDaily[Remaining],tblDaily[EntryDate],DATE(2026,7,9),tblDaily[WardCode],"FW")),"")</f>
        <v/>
      </c>
    </row>
    <row r="250">
      <c r="A250" s="12" t="n">
        <v>10</v>
      </c>
      <c r="B250" s="12">
        <f>IFERROR(IF(SUMIFS(tblDaily[Admissions],tblDaily[EntryDate],DATE(2026,7,10),tblDaily[WardCode],"FW")=0,"",SUMIFS(tblDaily[Admissions],tblDaily[EntryDate],DATE(2026,7,10),tblDaily[WardCode],"FW")),"")</f>
        <v/>
      </c>
      <c r="C250" s="12">
        <f>IFERROR(IF(SUMIFS(tblDaily[Discharges],tblDaily[EntryDate],DATE(2026,7,10),tblDaily[WardCode],"FW")=0,"",SUMIFS(tblDaily[Discharges],tblDaily[EntryDate],DATE(2026,7,10),tblDaily[WardCode],"FW")),"")</f>
        <v/>
      </c>
      <c r="D250" s="12">
        <f>IFERROR(IF(SUMIFS(tblDaily[Deaths],tblDaily[EntryDate],DATE(2026,7,10),tblDaily[WardCode],"FW")=0,"",SUMIFS(tblDaily[Deaths],tblDaily[EntryDate],DATE(2026,7,10),tblDaily[WardCode],"FW")),"")</f>
        <v/>
      </c>
      <c r="E250" s="12">
        <f>IFERROR(IF(SUMIFS(tblDaily[DeathsUnder24Hrs],tblDaily[EntryDate],DATE(2026,7,10),tblDaily[WardCode],"FW")=0,"",SUMIFS(tblDaily[DeathsUnder24Hrs],tblDaily[EntryDate],DATE(2026,7,10),tblDaily[WardCode],"FW")),"")</f>
        <v/>
      </c>
      <c r="F250" s="12">
        <f>IFERROR(IF(SUMIFS(tblDaily[TransfersIn],tblDaily[EntryDate],DATE(2026,7,10),tblDaily[WardCode],"FW")=0,"",SUMIFS(tblDaily[TransfersIn],tblDaily[EntryDate],DATE(2026,7,10),tblDaily[WardCode],"FW")),"")</f>
        <v/>
      </c>
      <c r="G250" s="12">
        <f>IFERROR(IF(SUMIFS(tblDaily[TransfersOut],tblDaily[EntryDate],DATE(2026,7,10),tblDaily[WardCode],"FW")=0,"",SUMIFS(tblDaily[TransfersOut],tblDaily[EntryDate],DATE(2026,7,10),tblDaily[WardCode],"FW")),"")</f>
        <v/>
      </c>
      <c r="H250" s="12">
        <f>IFERROR(IF(SUMIFS(tblDaily[Remaining],tblDaily[EntryDate],DATE(2026,7,10),tblDaily[WardCode],"FW")=0,"",SUMIFS(tblDaily[Remaining],tblDaily[EntryDate],DATE(2026,7,10),tblDaily[WardCode],"FW")),"")</f>
        <v/>
      </c>
    </row>
    <row r="251">
      <c r="A251" s="12" t="n">
        <v>11</v>
      </c>
      <c r="B251" s="12">
        <f>IFERROR(IF(SUMIFS(tblDaily[Admissions],tblDaily[EntryDate],DATE(2026,7,11),tblDaily[WardCode],"FW")=0,"",SUMIFS(tblDaily[Admissions],tblDaily[EntryDate],DATE(2026,7,11),tblDaily[WardCode],"FW")),"")</f>
        <v/>
      </c>
      <c r="C251" s="12">
        <f>IFERROR(IF(SUMIFS(tblDaily[Discharges],tblDaily[EntryDate],DATE(2026,7,11),tblDaily[WardCode],"FW")=0,"",SUMIFS(tblDaily[Discharges],tblDaily[EntryDate],DATE(2026,7,11),tblDaily[WardCode],"FW")),"")</f>
        <v/>
      </c>
      <c r="D251" s="12">
        <f>IFERROR(IF(SUMIFS(tblDaily[Deaths],tblDaily[EntryDate],DATE(2026,7,11),tblDaily[WardCode],"FW")=0,"",SUMIFS(tblDaily[Deaths],tblDaily[EntryDate],DATE(2026,7,11),tblDaily[WardCode],"FW")),"")</f>
        <v/>
      </c>
      <c r="E251" s="12">
        <f>IFERROR(IF(SUMIFS(tblDaily[DeathsUnder24Hrs],tblDaily[EntryDate],DATE(2026,7,11),tblDaily[WardCode],"FW")=0,"",SUMIFS(tblDaily[DeathsUnder24Hrs],tblDaily[EntryDate],DATE(2026,7,11),tblDaily[WardCode],"FW")),"")</f>
        <v/>
      </c>
      <c r="F251" s="12">
        <f>IFERROR(IF(SUMIFS(tblDaily[TransfersIn],tblDaily[EntryDate],DATE(2026,7,11),tblDaily[WardCode],"FW")=0,"",SUMIFS(tblDaily[TransfersIn],tblDaily[EntryDate],DATE(2026,7,11),tblDaily[WardCode],"FW")),"")</f>
        <v/>
      </c>
      <c r="G251" s="12">
        <f>IFERROR(IF(SUMIFS(tblDaily[TransfersOut],tblDaily[EntryDate],DATE(2026,7,11),tblDaily[WardCode],"FW")=0,"",SUMIFS(tblDaily[TransfersOut],tblDaily[EntryDate],DATE(2026,7,11),tblDaily[WardCode],"FW")),"")</f>
        <v/>
      </c>
      <c r="H251" s="12">
        <f>IFERROR(IF(SUMIFS(tblDaily[Remaining],tblDaily[EntryDate],DATE(2026,7,11),tblDaily[WardCode],"FW")=0,"",SUMIFS(tblDaily[Remaining],tblDaily[EntryDate],DATE(2026,7,11),tblDaily[WardCode],"FW")),"")</f>
        <v/>
      </c>
    </row>
    <row r="252">
      <c r="A252" s="12" t="n">
        <v>12</v>
      </c>
      <c r="B252" s="12">
        <f>IFERROR(IF(SUMIFS(tblDaily[Admissions],tblDaily[EntryDate],DATE(2026,7,12),tblDaily[WardCode],"FW")=0,"",SUMIFS(tblDaily[Admissions],tblDaily[EntryDate],DATE(2026,7,12),tblDaily[WardCode],"FW")),"")</f>
        <v/>
      </c>
      <c r="C252" s="12">
        <f>IFERROR(IF(SUMIFS(tblDaily[Discharges],tblDaily[EntryDate],DATE(2026,7,12),tblDaily[WardCode],"FW")=0,"",SUMIFS(tblDaily[Discharges],tblDaily[EntryDate],DATE(2026,7,12),tblDaily[WardCode],"FW")),"")</f>
        <v/>
      </c>
      <c r="D252" s="12">
        <f>IFERROR(IF(SUMIFS(tblDaily[Deaths],tblDaily[EntryDate],DATE(2026,7,12),tblDaily[WardCode],"FW")=0,"",SUMIFS(tblDaily[Deaths],tblDaily[EntryDate],DATE(2026,7,12),tblDaily[WardCode],"FW")),"")</f>
        <v/>
      </c>
      <c r="E252" s="12">
        <f>IFERROR(IF(SUMIFS(tblDaily[DeathsUnder24Hrs],tblDaily[EntryDate],DATE(2026,7,12),tblDaily[WardCode],"FW")=0,"",SUMIFS(tblDaily[DeathsUnder24Hrs],tblDaily[EntryDate],DATE(2026,7,12),tblDaily[WardCode],"FW")),"")</f>
        <v/>
      </c>
      <c r="F252" s="12">
        <f>IFERROR(IF(SUMIFS(tblDaily[TransfersIn],tblDaily[EntryDate],DATE(2026,7,12),tblDaily[WardCode],"FW")=0,"",SUMIFS(tblDaily[TransfersIn],tblDaily[EntryDate],DATE(2026,7,12),tblDaily[WardCode],"FW")),"")</f>
        <v/>
      </c>
      <c r="G252" s="12">
        <f>IFERROR(IF(SUMIFS(tblDaily[TransfersOut],tblDaily[EntryDate],DATE(2026,7,12),tblDaily[WardCode],"FW")=0,"",SUMIFS(tblDaily[TransfersOut],tblDaily[EntryDate],DATE(2026,7,12),tblDaily[WardCode],"FW")),"")</f>
        <v/>
      </c>
      <c r="H252" s="12">
        <f>IFERROR(IF(SUMIFS(tblDaily[Remaining],tblDaily[EntryDate],DATE(2026,7,12),tblDaily[WardCode],"FW")=0,"",SUMIFS(tblDaily[Remaining],tblDaily[EntryDate],DATE(2026,7,12),tblDaily[WardCode],"FW")),"")</f>
        <v/>
      </c>
    </row>
    <row r="253">
      <c r="A253" s="12" t="n">
        <v>13</v>
      </c>
      <c r="B253" s="12">
        <f>IFERROR(IF(SUMIFS(tblDaily[Admissions],tblDaily[EntryDate],DATE(2026,7,13),tblDaily[WardCode],"FW")=0,"",SUMIFS(tblDaily[Admissions],tblDaily[EntryDate],DATE(2026,7,13),tblDaily[WardCode],"FW")),"")</f>
        <v/>
      </c>
      <c r="C253" s="12">
        <f>IFERROR(IF(SUMIFS(tblDaily[Discharges],tblDaily[EntryDate],DATE(2026,7,13),tblDaily[WardCode],"FW")=0,"",SUMIFS(tblDaily[Discharges],tblDaily[EntryDate],DATE(2026,7,13),tblDaily[WardCode],"FW")),"")</f>
        <v/>
      </c>
      <c r="D253" s="12">
        <f>IFERROR(IF(SUMIFS(tblDaily[Deaths],tblDaily[EntryDate],DATE(2026,7,13),tblDaily[WardCode],"FW")=0,"",SUMIFS(tblDaily[Deaths],tblDaily[EntryDate],DATE(2026,7,13),tblDaily[WardCode],"FW")),"")</f>
        <v/>
      </c>
      <c r="E253" s="12">
        <f>IFERROR(IF(SUMIFS(tblDaily[DeathsUnder24Hrs],tblDaily[EntryDate],DATE(2026,7,13),tblDaily[WardCode],"FW")=0,"",SUMIFS(tblDaily[DeathsUnder24Hrs],tblDaily[EntryDate],DATE(2026,7,13),tblDaily[WardCode],"FW")),"")</f>
        <v/>
      </c>
      <c r="F253" s="12">
        <f>IFERROR(IF(SUMIFS(tblDaily[TransfersIn],tblDaily[EntryDate],DATE(2026,7,13),tblDaily[WardCode],"FW")=0,"",SUMIFS(tblDaily[TransfersIn],tblDaily[EntryDate],DATE(2026,7,13),tblDaily[WardCode],"FW")),"")</f>
        <v/>
      </c>
      <c r="G253" s="12">
        <f>IFERROR(IF(SUMIFS(tblDaily[TransfersOut],tblDaily[EntryDate],DATE(2026,7,13),tblDaily[WardCode],"FW")=0,"",SUMIFS(tblDaily[TransfersOut],tblDaily[EntryDate],DATE(2026,7,13),tblDaily[WardCode],"FW")),"")</f>
        <v/>
      </c>
      <c r="H253" s="12">
        <f>IFERROR(IF(SUMIFS(tblDaily[Remaining],tblDaily[EntryDate],DATE(2026,7,13),tblDaily[WardCode],"FW")=0,"",SUMIFS(tblDaily[Remaining],tblDaily[EntryDate],DATE(2026,7,13),tblDaily[WardCode],"FW")),"")</f>
        <v/>
      </c>
    </row>
    <row r="254">
      <c r="A254" s="12" t="n">
        <v>14</v>
      </c>
      <c r="B254" s="12">
        <f>IFERROR(IF(SUMIFS(tblDaily[Admissions],tblDaily[EntryDate],DATE(2026,7,14),tblDaily[WardCode],"FW")=0,"",SUMIFS(tblDaily[Admissions],tblDaily[EntryDate],DATE(2026,7,14),tblDaily[WardCode],"FW")),"")</f>
        <v/>
      </c>
      <c r="C254" s="12">
        <f>IFERROR(IF(SUMIFS(tblDaily[Discharges],tblDaily[EntryDate],DATE(2026,7,14),tblDaily[WardCode],"FW")=0,"",SUMIFS(tblDaily[Discharges],tblDaily[EntryDate],DATE(2026,7,14),tblDaily[WardCode],"FW")),"")</f>
        <v/>
      </c>
      <c r="D254" s="12">
        <f>IFERROR(IF(SUMIFS(tblDaily[Deaths],tblDaily[EntryDate],DATE(2026,7,14),tblDaily[WardCode],"FW")=0,"",SUMIFS(tblDaily[Deaths],tblDaily[EntryDate],DATE(2026,7,14),tblDaily[WardCode],"FW")),"")</f>
        <v/>
      </c>
      <c r="E254" s="12">
        <f>IFERROR(IF(SUMIFS(tblDaily[DeathsUnder24Hrs],tblDaily[EntryDate],DATE(2026,7,14),tblDaily[WardCode],"FW")=0,"",SUMIFS(tblDaily[DeathsUnder24Hrs],tblDaily[EntryDate],DATE(2026,7,14),tblDaily[WardCode],"FW")),"")</f>
        <v/>
      </c>
      <c r="F254" s="12">
        <f>IFERROR(IF(SUMIFS(tblDaily[TransfersIn],tblDaily[EntryDate],DATE(2026,7,14),tblDaily[WardCode],"FW")=0,"",SUMIFS(tblDaily[TransfersIn],tblDaily[EntryDate],DATE(2026,7,14),tblDaily[WardCode],"FW")),"")</f>
        <v/>
      </c>
      <c r="G254" s="12">
        <f>IFERROR(IF(SUMIFS(tblDaily[TransfersOut],tblDaily[EntryDate],DATE(2026,7,14),tblDaily[WardCode],"FW")=0,"",SUMIFS(tblDaily[TransfersOut],tblDaily[EntryDate],DATE(2026,7,14),tblDaily[WardCode],"FW")),"")</f>
        <v/>
      </c>
      <c r="H254" s="12">
        <f>IFERROR(IF(SUMIFS(tblDaily[Remaining],tblDaily[EntryDate],DATE(2026,7,14),tblDaily[WardCode],"FW")=0,"",SUMIFS(tblDaily[Remaining],tblDaily[EntryDate],DATE(2026,7,14),tblDaily[WardCode],"FW")),"")</f>
        <v/>
      </c>
    </row>
    <row r="255">
      <c r="A255" s="12" t="n">
        <v>15</v>
      </c>
      <c r="B255" s="12">
        <f>IFERROR(IF(SUMIFS(tblDaily[Admissions],tblDaily[EntryDate],DATE(2026,7,15),tblDaily[WardCode],"FW")=0,"",SUMIFS(tblDaily[Admissions],tblDaily[EntryDate],DATE(2026,7,15),tblDaily[WardCode],"FW")),"")</f>
        <v/>
      </c>
      <c r="C255" s="12">
        <f>IFERROR(IF(SUMIFS(tblDaily[Discharges],tblDaily[EntryDate],DATE(2026,7,15),tblDaily[WardCode],"FW")=0,"",SUMIFS(tblDaily[Discharges],tblDaily[EntryDate],DATE(2026,7,15),tblDaily[WardCode],"FW")),"")</f>
        <v/>
      </c>
      <c r="D255" s="12">
        <f>IFERROR(IF(SUMIFS(tblDaily[Deaths],tblDaily[EntryDate],DATE(2026,7,15),tblDaily[WardCode],"FW")=0,"",SUMIFS(tblDaily[Deaths],tblDaily[EntryDate],DATE(2026,7,15),tblDaily[WardCode],"FW")),"")</f>
        <v/>
      </c>
      <c r="E255" s="12">
        <f>IFERROR(IF(SUMIFS(tblDaily[DeathsUnder24Hrs],tblDaily[EntryDate],DATE(2026,7,15),tblDaily[WardCode],"FW")=0,"",SUMIFS(tblDaily[DeathsUnder24Hrs],tblDaily[EntryDate],DATE(2026,7,15),tblDaily[WardCode],"FW")),"")</f>
        <v/>
      </c>
      <c r="F255" s="12">
        <f>IFERROR(IF(SUMIFS(tblDaily[TransfersIn],tblDaily[EntryDate],DATE(2026,7,15),tblDaily[WardCode],"FW")=0,"",SUMIFS(tblDaily[TransfersIn],tblDaily[EntryDate],DATE(2026,7,15),tblDaily[WardCode],"FW")),"")</f>
        <v/>
      </c>
      <c r="G255" s="12">
        <f>IFERROR(IF(SUMIFS(tblDaily[TransfersOut],tblDaily[EntryDate],DATE(2026,7,15),tblDaily[WardCode],"FW")=0,"",SUMIFS(tblDaily[TransfersOut],tblDaily[EntryDate],DATE(2026,7,15),tblDaily[WardCode],"FW")),"")</f>
        <v/>
      </c>
      <c r="H255" s="12">
        <f>IFERROR(IF(SUMIFS(tblDaily[Remaining],tblDaily[EntryDate],DATE(2026,7,15),tblDaily[WardCode],"FW")=0,"",SUMIFS(tblDaily[Remaining],tblDaily[EntryDate],DATE(2026,7,15),tblDaily[WardCode],"FW")),"")</f>
        <v/>
      </c>
    </row>
    <row r="256">
      <c r="A256" s="12" t="n">
        <v>16</v>
      </c>
      <c r="B256" s="12">
        <f>IFERROR(IF(SUMIFS(tblDaily[Admissions],tblDaily[EntryDate],DATE(2026,7,16),tblDaily[WardCode],"FW")=0,"",SUMIFS(tblDaily[Admissions],tblDaily[EntryDate],DATE(2026,7,16),tblDaily[WardCode],"FW")),"")</f>
        <v/>
      </c>
      <c r="C256" s="12">
        <f>IFERROR(IF(SUMIFS(tblDaily[Discharges],tblDaily[EntryDate],DATE(2026,7,16),tblDaily[WardCode],"FW")=0,"",SUMIFS(tblDaily[Discharges],tblDaily[EntryDate],DATE(2026,7,16),tblDaily[WardCode],"FW")),"")</f>
        <v/>
      </c>
      <c r="D256" s="12">
        <f>IFERROR(IF(SUMIFS(tblDaily[Deaths],tblDaily[EntryDate],DATE(2026,7,16),tblDaily[WardCode],"FW")=0,"",SUMIFS(tblDaily[Deaths],tblDaily[EntryDate],DATE(2026,7,16),tblDaily[WardCode],"FW")),"")</f>
        <v/>
      </c>
      <c r="E256" s="12">
        <f>IFERROR(IF(SUMIFS(tblDaily[DeathsUnder24Hrs],tblDaily[EntryDate],DATE(2026,7,16),tblDaily[WardCode],"FW")=0,"",SUMIFS(tblDaily[DeathsUnder24Hrs],tblDaily[EntryDate],DATE(2026,7,16),tblDaily[WardCode],"FW")),"")</f>
        <v/>
      </c>
      <c r="F256" s="12">
        <f>IFERROR(IF(SUMIFS(tblDaily[TransfersIn],tblDaily[EntryDate],DATE(2026,7,16),tblDaily[WardCode],"FW")=0,"",SUMIFS(tblDaily[TransfersIn],tblDaily[EntryDate],DATE(2026,7,16),tblDaily[WardCode],"FW")),"")</f>
        <v/>
      </c>
      <c r="G256" s="12">
        <f>IFERROR(IF(SUMIFS(tblDaily[TransfersOut],tblDaily[EntryDate],DATE(2026,7,16),tblDaily[WardCode],"FW")=0,"",SUMIFS(tblDaily[TransfersOut],tblDaily[EntryDate],DATE(2026,7,16),tblDaily[WardCode],"FW")),"")</f>
        <v/>
      </c>
      <c r="H256" s="12">
        <f>IFERROR(IF(SUMIFS(tblDaily[Remaining],tblDaily[EntryDate],DATE(2026,7,16),tblDaily[WardCode],"FW")=0,"",SUMIFS(tblDaily[Remaining],tblDaily[EntryDate],DATE(2026,7,16),tblDaily[WardCode],"FW")),"")</f>
        <v/>
      </c>
    </row>
    <row r="257">
      <c r="A257" s="12" t="n">
        <v>17</v>
      </c>
      <c r="B257" s="12">
        <f>IFERROR(IF(SUMIFS(tblDaily[Admissions],tblDaily[EntryDate],DATE(2026,7,17),tblDaily[WardCode],"FW")=0,"",SUMIFS(tblDaily[Admissions],tblDaily[EntryDate],DATE(2026,7,17),tblDaily[WardCode],"FW")),"")</f>
        <v/>
      </c>
      <c r="C257" s="12">
        <f>IFERROR(IF(SUMIFS(tblDaily[Discharges],tblDaily[EntryDate],DATE(2026,7,17),tblDaily[WardCode],"FW")=0,"",SUMIFS(tblDaily[Discharges],tblDaily[EntryDate],DATE(2026,7,17),tblDaily[WardCode],"FW")),"")</f>
        <v/>
      </c>
      <c r="D257" s="12">
        <f>IFERROR(IF(SUMIFS(tblDaily[Deaths],tblDaily[EntryDate],DATE(2026,7,17),tblDaily[WardCode],"FW")=0,"",SUMIFS(tblDaily[Deaths],tblDaily[EntryDate],DATE(2026,7,17),tblDaily[WardCode],"FW")),"")</f>
        <v/>
      </c>
      <c r="E257" s="12">
        <f>IFERROR(IF(SUMIFS(tblDaily[DeathsUnder24Hrs],tblDaily[EntryDate],DATE(2026,7,17),tblDaily[WardCode],"FW")=0,"",SUMIFS(tblDaily[DeathsUnder24Hrs],tblDaily[EntryDate],DATE(2026,7,17),tblDaily[WardCode],"FW")),"")</f>
        <v/>
      </c>
      <c r="F257" s="12">
        <f>IFERROR(IF(SUMIFS(tblDaily[TransfersIn],tblDaily[EntryDate],DATE(2026,7,17),tblDaily[WardCode],"FW")=0,"",SUMIFS(tblDaily[TransfersIn],tblDaily[EntryDate],DATE(2026,7,17),tblDaily[WardCode],"FW")),"")</f>
        <v/>
      </c>
      <c r="G257" s="12">
        <f>IFERROR(IF(SUMIFS(tblDaily[TransfersOut],tblDaily[EntryDate],DATE(2026,7,17),tblDaily[WardCode],"FW")=0,"",SUMIFS(tblDaily[TransfersOut],tblDaily[EntryDate],DATE(2026,7,17),tblDaily[WardCode],"FW")),"")</f>
        <v/>
      </c>
      <c r="H257" s="12">
        <f>IFERROR(IF(SUMIFS(tblDaily[Remaining],tblDaily[EntryDate],DATE(2026,7,17),tblDaily[WardCode],"FW")=0,"",SUMIFS(tblDaily[Remaining],tblDaily[EntryDate],DATE(2026,7,17),tblDaily[WardCode],"FW")),"")</f>
        <v/>
      </c>
    </row>
    <row r="258">
      <c r="A258" s="12" t="n">
        <v>18</v>
      </c>
      <c r="B258" s="12">
        <f>IFERROR(IF(SUMIFS(tblDaily[Admissions],tblDaily[EntryDate],DATE(2026,7,18),tblDaily[WardCode],"FW")=0,"",SUMIFS(tblDaily[Admissions],tblDaily[EntryDate],DATE(2026,7,18),tblDaily[WardCode],"FW")),"")</f>
        <v/>
      </c>
      <c r="C258" s="12">
        <f>IFERROR(IF(SUMIFS(tblDaily[Discharges],tblDaily[EntryDate],DATE(2026,7,18),tblDaily[WardCode],"FW")=0,"",SUMIFS(tblDaily[Discharges],tblDaily[EntryDate],DATE(2026,7,18),tblDaily[WardCode],"FW")),"")</f>
        <v/>
      </c>
      <c r="D258" s="12">
        <f>IFERROR(IF(SUMIFS(tblDaily[Deaths],tblDaily[EntryDate],DATE(2026,7,18),tblDaily[WardCode],"FW")=0,"",SUMIFS(tblDaily[Deaths],tblDaily[EntryDate],DATE(2026,7,18),tblDaily[WardCode],"FW")),"")</f>
        <v/>
      </c>
      <c r="E258" s="12">
        <f>IFERROR(IF(SUMIFS(tblDaily[DeathsUnder24Hrs],tblDaily[EntryDate],DATE(2026,7,18),tblDaily[WardCode],"FW")=0,"",SUMIFS(tblDaily[DeathsUnder24Hrs],tblDaily[EntryDate],DATE(2026,7,18),tblDaily[WardCode],"FW")),"")</f>
        <v/>
      </c>
      <c r="F258" s="12">
        <f>IFERROR(IF(SUMIFS(tblDaily[TransfersIn],tblDaily[EntryDate],DATE(2026,7,18),tblDaily[WardCode],"FW")=0,"",SUMIFS(tblDaily[TransfersIn],tblDaily[EntryDate],DATE(2026,7,18),tblDaily[WardCode],"FW")),"")</f>
        <v/>
      </c>
      <c r="G258" s="12">
        <f>IFERROR(IF(SUMIFS(tblDaily[TransfersOut],tblDaily[EntryDate],DATE(2026,7,18),tblDaily[WardCode],"FW")=0,"",SUMIFS(tblDaily[TransfersOut],tblDaily[EntryDate],DATE(2026,7,18),tblDaily[WardCode],"FW")),"")</f>
        <v/>
      </c>
      <c r="H258" s="12">
        <f>IFERROR(IF(SUMIFS(tblDaily[Remaining],tblDaily[EntryDate],DATE(2026,7,18),tblDaily[WardCode],"FW")=0,"",SUMIFS(tblDaily[Remaining],tblDaily[EntryDate],DATE(2026,7,18),tblDaily[WardCode],"FW")),"")</f>
        <v/>
      </c>
    </row>
    <row r="259">
      <c r="A259" s="12" t="n">
        <v>19</v>
      </c>
      <c r="B259" s="12">
        <f>IFERROR(IF(SUMIFS(tblDaily[Admissions],tblDaily[EntryDate],DATE(2026,7,19),tblDaily[WardCode],"FW")=0,"",SUMIFS(tblDaily[Admissions],tblDaily[EntryDate],DATE(2026,7,19),tblDaily[WardCode],"FW")),"")</f>
        <v/>
      </c>
      <c r="C259" s="12">
        <f>IFERROR(IF(SUMIFS(tblDaily[Discharges],tblDaily[EntryDate],DATE(2026,7,19),tblDaily[WardCode],"FW")=0,"",SUMIFS(tblDaily[Discharges],tblDaily[EntryDate],DATE(2026,7,19),tblDaily[WardCode],"FW")),"")</f>
        <v/>
      </c>
      <c r="D259" s="12">
        <f>IFERROR(IF(SUMIFS(tblDaily[Deaths],tblDaily[EntryDate],DATE(2026,7,19),tblDaily[WardCode],"FW")=0,"",SUMIFS(tblDaily[Deaths],tblDaily[EntryDate],DATE(2026,7,19),tblDaily[WardCode],"FW")),"")</f>
        <v/>
      </c>
      <c r="E259" s="12">
        <f>IFERROR(IF(SUMIFS(tblDaily[DeathsUnder24Hrs],tblDaily[EntryDate],DATE(2026,7,19),tblDaily[WardCode],"FW")=0,"",SUMIFS(tblDaily[DeathsUnder24Hrs],tblDaily[EntryDate],DATE(2026,7,19),tblDaily[WardCode],"FW")),"")</f>
        <v/>
      </c>
      <c r="F259" s="12">
        <f>IFERROR(IF(SUMIFS(tblDaily[TransfersIn],tblDaily[EntryDate],DATE(2026,7,19),tblDaily[WardCode],"FW")=0,"",SUMIFS(tblDaily[TransfersIn],tblDaily[EntryDate],DATE(2026,7,19),tblDaily[WardCode],"FW")),"")</f>
        <v/>
      </c>
      <c r="G259" s="12">
        <f>IFERROR(IF(SUMIFS(tblDaily[TransfersOut],tblDaily[EntryDate],DATE(2026,7,19),tblDaily[WardCode],"FW")=0,"",SUMIFS(tblDaily[TransfersOut],tblDaily[EntryDate],DATE(2026,7,19),tblDaily[WardCode],"FW")),"")</f>
        <v/>
      </c>
      <c r="H259" s="12">
        <f>IFERROR(IF(SUMIFS(tblDaily[Remaining],tblDaily[EntryDate],DATE(2026,7,19),tblDaily[WardCode],"FW")=0,"",SUMIFS(tblDaily[Remaining],tblDaily[EntryDate],DATE(2026,7,19),tblDaily[WardCode],"FW")),"")</f>
        <v/>
      </c>
    </row>
    <row r="260">
      <c r="A260" s="12" t="n">
        <v>20</v>
      </c>
      <c r="B260" s="12">
        <f>IFERROR(IF(SUMIFS(tblDaily[Admissions],tblDaily[EntryDate],DATE(2026,7,20),tblDaily[WardCode],"FW")=0,"",SUMIFS(tblDaily[Admissions],tblDaily[EntryDate],DATE(2026,7,20),tblDaily[WardCode],"FW")),"")</f>
        <v/>
      </c>
      <c r="C260" s="12">
        <f>IFERROR(IF(SUMIFS(tblDaily[Discharges],tblDaily[EntryDate],DATE(2026,7,20),tblDaily[WardCode],"FW")=0,"",SUMIFS(tblDaily[Discharges],tblDaily[EntryDate],DATE(2026,7,20),tblDaily[WardCode],"FW")),"")</f>
        <v/>
      </c>
      <c r="D260" s="12">
        <f>IFERROR(IF(SUMIFS(tblDaily[Deaths],tblDaily[EntryDate],DATE(2026,7,20),tblDaily[WardCode],"FW")=0,"",SUMIFS(tblDaily[Deaths],tblDaily[EntryDate],DATE(2026,7,20),tblDaily[WardCode],"FW")),"")</f>
        <v/>
      </c>
      <c r="E260" s="12">
        <f>IFERROR(IF(SUMIFS(tblDaily[DeathsUnder24Hrs],tblDaily[EntryDate],DATE(2026,7,20),tblDaily[WardCode],"FW")=0,"",SUMIFS(tblDaily[DeathsUnder24Hrs],tblDaily[EntryDate],DATE(2026,7,20),tblDaily[WardCode],"FW")),"")</f>
        <v/>
      </c>
      <c r="F260" s="12">
        <f>IFERROR(IF(SUMIFS(tblDaily[TransfersIn],tblDaily[EntryDate],DATE(2026,7,20),tblDaily[WardCode],"FW")=0,"",SUMIFS(tblDaily[TransfersIn],tblDaily[EntryDate],DATE(2026,7,20),tblDaily[WardCode],"FW")),"")</f>
        <v/>
      </c>
      <c r="G260" s="12">
        <f>IFERROR(IF(SUMIFS(tblDaily[TransfersOut],tblDaily[EntryDate],DATE(2026,7,20),tblDaily[WardCode],"FW")=0,"",SUMIFS(tblDaily[TransfersOut],tblDaily[EntryDate],DATE(2026,7,20),tblDaily[WardCode],"FW")),"")</f>
        <v/>
      </c>
      <c r="H260" s="12">
        <f>IFERROR(IF(SUMIFS(tblDaily[Remaining],tblDaily[EntryDate],DATE(2026,7,20),tblDaily[WardCode],"FW")=0,"",SUMIFS(tblDaily[Remaining],tblDaily[EntryDate],DATE(2026,7,20),tblDaily[WardCode],"FW")),"")</f>
        <v/>
      </c>
    </row>
    <row r="261">
      <c r="A261" s="12" t="n">
        <v>21</v>
      </c>
      <c r="B261" s="12">
        <f>IFERROR(IF(SUMIFS(tblDaily[Admissions],tblDaily[EntryDate],DATE(2026,7,21),tblDaily[WardCode],"FW")=0,"",SUMIFS(tblDaily[Admissions],tblDaily[EntryDate],DATE(2026,7,21),tblDaily[WardCode],"FW")),"")</f>
        <v/>
      </c>
      <c r="C261" s="12">
        <f>IFERROR(IF(SUMIFS(tblDaily[Discharges],tblDaily[EntryDate],DATE(2026,7,21),tblDaily[WardCode],"FW")=0,"",SUMIFS(tblDaily[Discharges],tblDaily[EntryDate],DATE(2026,7,21),tblDaily[WardCode],"FW")),"")</f>
        <v/>
      </c>
      <c r="D261" s="12">
        <f>IFERROR(IF(SUMIFS(tblDaily[Deaths],tblDaily[EntryDate],DATE(2026,7,21),tblDaily[WardCode],"FW")=0,"",SUMIFS(tblDaily[Deaths],tblDaily[EntryDate],DATE(2026,7,21),tblDaily[WardCode],"FW")),"")</f>
        <v/>
      </c>
      <c r="E261" s="12">
        <f>IFERROR(IF(SUMIFS(tblDaily[DeathsUnder24Hrs],tblDaily[EntryDate],DATE(2026,7,21),tblDaily[WardCode],"FW")=0,"",SUMIFS(tblDaily[DeathsUnder24Hrs],tblDaily[EntryDate],DATE(2026,7,21),tblDaily[WardCode],"FW")),"")</f>
        <v/>
      </c>
      <c r="F261" s="12">
        <f>IFERROR(IF(SUMIFS(tblDaily[TransfersIn],tblDaily[EntryDate],DATE(2026,7,21),tblDaily[WardCode],"FW")=0,"",SUMIFS(tblDaily[TransfersIn],tblDaily[EntryDate],DATE(2026,7,21),tblDaily[WardCode],"FW")),"")</f>
        <v/>
      </c>
      <c r="G261" s="12">
        <f>IFERROR(IF(SUMIFS(tblDaily[TransfersOut],tblDaily[EntryDate],DATE(2026,7,21),tblDaily[WardCode],"FW")=0,"",SUMIFS(tblDaily[TransfersOut],tblDaily[EntryDate],DATE(2026,7,21),tblDaily[WardCode],"FW")),"")</f>
        <v/>
      </c>
      <c r="H261" s="12">
        <f>IFERROR(IF(SUMIFS(tblDaily[Remaining],tblDaily[EntryDate],DATE(2026,7,21),tblDaily[WardCode],"FW")=0,"",SUMIFS(tblDaily[Remaining],tblDaily[EntryDate],DATE(2026,7,21),tblDaily[WardCode],"FW")),"")</f>
        <v/>
      </c>
    </row>
    <row r="262">
      <c r="A262" s="12" t="n">
        <v>22</v>
      </c>
      <c r="B262" s="12">
        <f>IFERROR(IF(SUMIFS(tblDaily[Admissions],tblDaily[EntryDate],DATE(2026,7,22),tblDaily[WardCode],"FW")=0,"",SUMIFS(tblDaily[Admissions],tblDaily[EntryDate],DATE(2026,7,22),tblDaily[WardCode],"FW")),"")</f>
        <v/>
      </c>
      <c r="C262" s="12">
        <f>IFERROR(IF(SUMIFS(tblDaily[Discharges],tblDaily[EntryDate],DATE(2026,7,22),tblDaily[WardCode],"FW")=0,"",SUMIFS(tblDaily[Discharges],tblDaily[EntryDate],DATE(2026,7,22),tblDaily[WardCode],"FW")),"")</f>
        <v/>
      </c>
      <c r="D262" s="12">
        <f>IFERROR(IF(SUMIFS(tblDaily[Deaths],tblDaily[EntryDate],DATE(2026,7,22),tblDaily[WardCode],"FW")=0,"",SUMIFS(tblDaily[Deaths],tblDaily[EntryDate],DATE(2026,7,22),tblDaily[WardCode],"FW")),"")</f>
        <v/>
      </c>
      <c r="E262" s="12">
        <f>IFERROR(IF(SUMIFS(tblDaily[DeathsUnder24Hrs],tblDaily[EntryDate],DATE(2026,7,22),tblDaily[WardCode],"FW")=0,"",SUMIFS(tblDaily[DeathsUnder24Hrs],tblDaily[EntryDate],DATE(2026,7,22),tblDaily[WardCode],"FW")),"")</f>
        <v/>
      </c>
      <c r="F262" s="12">
        <f>IFERROR(IF(SUMIFS(tblDaily[TransfersIn],tblDaily[EntryDate],DATE(2026,7,22),tblDaily[WardCode],"FW")=0,"",SUMIFS(tblDaily[TransfersIn],tblDaily[EntryDate],DATE(2026,7,22),tblDaily[WardCode],"FW")),"")</f>
        <v/>
      </c>
      <c r="G262" s="12">
        <f>IFERROR(IF(SUMIFS(tblDaily[TransfersOut],tblDaily[EntryDate],DATE(2026,7,22),tblDaily[WardCode],"FW")=0,"",SUMIFS(tblDaily[TransfersOut],tblDaily[EntryDate],DATE(2026,7,22),tblDaily[WardCode],"FW")),"")</f>
        <v/>
      </c>
      <c r="H262" s="12">
        <f>IFERROR(IF(SUMIFS(tblDaily[Remaining],tblDaily[EntryDate],DATE(2026,7,22),tblDaily[WardCode],"FW")=0,"",SUMIFS(tblDaily[Remaining],tblDaily[EntryDate],DATE(2026,7,22),tblDaily[WardCode],"FW")),"")</f>
        <v/>
      </c>
    </row>
    <row r="263">
      <c r="A263" s="12" t="n">
        <v>23</v>
      </c>
      <c r="B263" s="12">
        <f>IFERROR(IF(SUMIFS(tblDaily[Admissions],tblDaily[EntryDate],DATE(2026,7,23),tblDaily[WardCode],"FW")=0,"",SUMIFS(tblDaily[Admissions],tblDaily[EntryDate],DATE(2026,7,23),tblDaily[WardCode],"FW")),"")</f>
        <v/>
      </c>
      <c r="C263" s="12">
        <f>IFERROR(IF(SUMIFS(tblDaily[Discharges],tblDaily[EntryDate],DATE(2026,7,23),tblDaily[WardCode],"FW")=0,"",SUMIFS(tblDaily[Discharges],tblDaily[EntryDate],DATE(2026,7,23),tblDaily[WardCode],"FW")),"")</f>
        <v/>
      </c>
      <c r="D263" s="12">
        <f>IFERROR(IF(SUMIFS(tblDaily[Deaths],tblDaily[EntryDate],DATE(2026,7,23),tblDaily[WardCode],"FW")=0,"",SUMIFS(tblDaily[Deaths],tblDaily[EntryDate],DATE(2026,7,23),tblDaily[WardCode],"FW")),"")</f>
        <v/>
      </c>
      <c r="E263" s="12">
        <f>IFERROR(IF(SUMIFS(tblDaily[DeathsUnder24Hrs],tblDaily[EntryDate],DATE(2026,7,23),tblDaily[WardCode],"FW")=0,"",SUMIFS(tblDaily[DeathsUnder24Hrs],tblDaily[EntryDate],DATE(2026,7,23),tblDaily[WardCode],"FW")),"")</f>
        <v/>
      </c>
      <c r="F263" s="12">
        <f>IFERROR(IF(SUMIFS(tblDaily[TransfersIn],tblDaily[EntryDate],DATE(2026,7,23),tblDaily[WardCode],"FW")=0,"",SUMIFS(tblDaily[TransfersIn],tblDaily[EntryDate],DATE(2026,7,23),tblDaily[WardCode],"FW")),"")</f>
        <v/>
      </c>
      <c r="G263" s="12">
        <f>IFERROR(IF(SUMIFS(tblDaily[TransfersOut],tblDaily[EntryDate],DATE(2026,7,23),tblDaily[WardCode],"FW")=0,"",SUMIFS(tblDaily[TransfersOut],tblDaily[EntryDate],DATE(2026,7,23),tblDaily[WardCode],"FW")),"")</f>
        <v/>
      </c>
      <c r="H263" s="12">
        <f>IFERROR(IF(SUMIFS(tblDaily[Remaining],tblDaily[EntryDate],DATE(2026,7,23),tblDaily[WardCode],"FW")=0,"",SUMIFS(tblDaily[Remaining],tblDaily[EntryDate],DATE(2026,7,23),tblDaily[WardCode],"FW")),"")</f>
        <v/>
      </c>
    </row>
    <row r="264">
      <c r="A264" s="12" t="n">
        <v>24</v>
      </c>
      <c r="B264" s="12">
        <f>IFERROR(IF(SUMIFS(tblDaily[Admissions],tblDaily[EntryDate],DATE(2026,7,24),tblDaily[WardCode],"FW")=0,"",SUMIFS(tblDaily[Admissions],tblDaily[EntryDate],DATE(2026,7,24),tblDaily[WardCode],"FW")),"")</f>
        <v/>
      </c>
      <c r="C264" s="12">
        <f>IFERROR(IF(SUMIFS(tblDaily[Discharges],tblDaily[EntryDate],DATE(2026,7,24),tblDaily[WardCode],"FW")=0,"",SUMIFS(tblDaily[Discharges],tblDaily[EntryDate],DATE(2026,7,24),tblDaily[WardCode],"FW")),"")</f>
        <v/>
      </c>
      <c r="D264" s="12">
        <f>IFERROR(IF(SUMIFS(tblDaily[Deaths],tblDaily[EntryDate],DATE(2026,7,24),tblDaily[WardCode],"FW")=0,"",SUMIFS(tblDaily[Deaths],tblDaily[EntryDate],DATE(2026,7,24),tblDaily[WardCode],"FW")),"")</f>
        <v/>
      </c>
      <c r="E264" s="12">
        <f>IFERROR(IF(SUMIFS(tblDaily[DeathsUnder24Hrs],tblDaily[EntryDate],DATE(2026,7,24),tblDaily[WardCode],"FW")=0,"",SUMIFS(tblDaily[DeathsUnder24Hrs],tblDaily[EntryDate],DATE(2026,7,24),tblDaily[WardCode],"FW")),"")</f>
        <v/>
      </c>
      <c r="F264" s="12">
        <f>IFERROR(IF(SUMIFS(tblDaily[TransfersIn],tblDaily[EntryDate],DATE(2026,7,24),tblDaily[WardCode],"FW")=0,"",SUMIFS(tblDaily[TransfersIn],tblDaily[EntryDate],DATE(2026,7,24),tblDaily[WardCode],"FW")),"")</f>
        <v/>
      </c>
      <c r="G264" s="12">
        <f>IFERROR(IF(SUMIFS(tblDaily[TransfersOut],tblDaily[EntryDate],DATE(2026,7,24),tblDaily[WardCode],"FW")=0,"",SUMIFS(tblDaily[TransfersOut],tblDaily[EntryDate],DATE(2026,7,24),tblDaily[WardCode],"FW")),"")</f>
        <v/>
      </c>
      <c r="H264" s="12">
        <f>IFERROR(IF(SUMIFS(tblDaily[Remaining],tblDaily[EntryDate],DATE(2026,7,24),tblDaily[WardCode],"FW")=0,"",SUMIFS(tblDaily[Remaining],tblDaily[EntryDate],DATE(2026,7,24),tblDaily[WardCode],"FW")),"")</f>
        <v/>
      </c>
    </row>
    <row r="265">
      <c r="A265" s="12" t="n">
        <v>25</v>
      </c>
      <c r="B265" s="12">
        <f>IFERROR(IF(SUMIFS(tblDaily[Admissions],tblDaily[EntryDate],DATE(2026,7,25),tblDaily[WardCode],"FW")=0,"",SUMIFS(tblDaily[Admissions],tblDaily[EntryDate],DATE(2026,7,25),tblDaily[WardCode],"FW")),"")</f>
        <v/>
      </c>
      <c r="C265" s="12">
        <f>IFERROR(IF(SUMIFS(tblDaily[Discharges],tblDaily[EntryDate],DATE(2026,7,25),tblDaily[WardCode],"FW")=0,"",SUMIFS(tblDaily[Discharges],tblDaily[EntryDate],DATE(2026,7,25),tblDaily[WardCode],"FW")),"")</f>
        <v/>
      </c>
      <c r="D265" s="12">
        <f>IFERROR(IF(SUMIFS(tblDaily[Deaths],tblDaily[EntryDate],DATE(2026,7,25),tblDaily[WardCode],"FW")=0,"",SUMIFS(tblDaily[Deaths],tblDaily[EntryDate],DATE(2026,7,25),tblDaily[WardCode],"FW")),"")</f>
        <v/>
      </c>
      <c r="E265" s="12">
        <f>IFERROR(IF(SUMIFS(tblDaily[DeathsUnder24Hrs],tblDaily[EntryDate],DATE(2026,7,25),tblDaily[WardCode],"FW")=0,"",SUMIFS(tblDaily[DeathsUnder24Hrs],tblDaily[EntryDate],DATE(2026,7,25),tblDaily[WardCode],"FW")),"")</f>
        <v/>
      </c>
      <c r="F265" s="12">
        <f>IFERROR(IF(SUMIFS(tblDaily[TransfersIn],tblDaily[EntryDate],DATE(2026,7,25),tblDaily[WardCode],"FW")=0,"",SUMIFS(tblDaily[TransfersIn],tblDaily[EntryDate],DATE(2026,7,25),tblDaily[WardCode],"FW")),"")</f>
        <v/>
      </c>
      <c r="G265" s="12">
        <f>IFERROR(IF(SUMIFS(tblDaily[TransfersOut],tblDaily[EntryDate],DATE(2026,7,25),tblDaily[WardCode],"FW")=0,"",SUMIFS(tblDaily[TransfersOut],tblDaily[EntryDate],DATE(2026,7,25),tblDaily[WardCode],"FW")),"")</f>
        <v/>
      </c>
      <c r="H265" s="12">
        <f>IFERROR(IF(SUMIFS(tblDaily[Remaining],tblDaily[EntryDate],DATE(2026,7,25),tblDaily[WardCode],"FW")=0,"",SUMIFS(tblDaily[Remaining],tblDaily[EntryDate],DATE(2026,7,25),tblDaily[WardCode],"FW")),"")</f>
        <v/>
      </c>
    </row>
    <row r="266">
      <c r="A266" s="12" t="n">
        <v>26</v>
      </c>
      <c r="B266" s="12">
        <f>IFERROR(IF(SUMIFS(tblDaily[Admissions],tblDaily[EntryDate],DATE(2026,7,26),tblDaily[WardCode],"FW")=0,"",SUMIFS(tblDaily[Admissions],tblDaily[EntryDate],DATE(2026,7,26),tblDaily[WardCode],"FW")),"")</f>
        <v/>
      </c>
      <c r="C266" s="12">
        <f>IFERROR(IF(SUMIFS(tblDaily[Discharges],tblDaily[EntryDate],DATE(2026,7,26),tblDaily[WardCode],"FW")=0,"",SUMIFS(tblDaily[Discharges],tblDaily[EntryDate],DATE(2026,7,26),tblDaily[WardCode],"FW")),"")</f>
        <v/>
      </c>
      <c r="D266" s="12">
        <f>IFERROR(IF(SUMIFS(tblDaily[Deaths],tblDaily[EntryDate],DATE(2026,7,26),tblDaily[WardCode],"FW")=0,"",SUMIFS(tblDaily[Deaths],tblDaily[EntryDate],DATE(2026,7,26),tblDaily[WardCode],"FW")),"")</f>
        <v/>
      </c>
      <c r="E266" s="12">
        <f>IFERROR(IF(SUMIFS(tblDaily[DeathsUnder24Hrs],tblDaily[EntryDate],DATE(2026,7,26),tblDaily[WardCode],"FW")=0,"",SUMIFS(tblDaily[DeathsUnder24Hrs],tblDaily[EntryDate],DATE(2026,7,26),tblDaily[WardCode],"FW")),"")</f>
        <v/>
      </c>
      <c r="F266" s="12">
        <f>IFERROR(IF(SUMIFS(tblDaily[TransfersIn],tblDaily[EntryDate],DATE(2026,7,26),tblDaily[WardCode],"FW")=0,"",SUMIFS(tblDaily[TransfersIn],tblDaily[EntryDate],DATE(2026,7,26),tblDaily[WardCode],"FW")),"")</f>
        <v/>
      </c>
      <c r="G266" s="12">
        <f>IFERROR(IF(SUMIFS(tblDaily[TransfersOut],tblDaily[EntryDate],DATE(2026,7,26),tblDaily[WardCode],"FW")=0,"",SUMIFS(tblDaily[TransfersOut],tblDaily[EntryDate],DATE(2026,7,26),tblDaily[WardCode],"FW")),"")</f>
        <v/>
      </c>
      <c r="H266" s="12">
        <f>IFERROR(IF(SUMIFS(tblDaily[Remaining],tblDaily[EntryDate],DATE(2026,7,26),tblDaily[WardCode],"FW")=0,"",SUMIFS(tblDaily[Remaining],tblDaily[EntryDate],DATE(2026,7,26),tblDaily[WardCode],"FW")),"")</f>
        <v/>
      </c>
    </row>
    <row r="267">
      <c r="A267" s="12" t="n">
        <v>27</v>
      </c>
      <c r="B267" s="12">
        <f>IFERROR(IF(SUMIFS(tblDaily[Admissions],tblDaily[EntryDate],DATE(2026,7,27),tblDaily[WardCode],"FW")=0,"",SUMIFS(tblDaily[Admissions],tblDaily[EntryDate],DATE(2026,7,27),tblDaily[WardCode],"FW")),"")</f>
        <v/>
      </c>
      <c r="C267" s="12">
        <f>IFERROR(IF(SUMIFS(tblDaily[Discharges],tblDaily[EntryDate],DATE(2026,7,27),tblDaily[WardCode],"FW")=0,"",SUMIFS(tblDaily[Discharges],tblDaily[EntryDate],DATE(2026,7,27),tblDaily[WardCode],"FW")),"")</f>
        <v/>
      </c>
      <c r="D267" s="12">
        <f>IFERROR(IF(SUMIFS(tblDaily[Deaths],tblDaily[EntryDate],DATE(2026,7,27),tblDaily[WardCode],"FW")=0,"",SUMIFS(tblDaily[Deaths],tblDaily[EntryDate],DATE(2026,7,27),tblDaily[WardCode],"FW")),"")</f>
        <v/>
      </c>
      <c r="E267" s="12">
        <f>IFERROR(IF(SUMIFS(tblDaily[DeathsUnder24Hrs],tblDaily[EntryDate],DATE(2026,7,27),tblDaily[WardCode],"FW")=0,"",SUMIFS(tblDaily[DeathsUnder24Hrs],tblDaily[EntryDate],DATE(2026,7,27),tblDaily[WardCode],"FW")),"")</f>
        <v/>
      </c>
      <c r="F267" s="12">
        <f>IFERROR(IF(SUMIFS(tblDaily[TransfersIn],tblDaily[EntryDate],DATE(2026,7,27),tblDaily[WardCode],"FW")=0,"",SUMIFS(tblDaily[TransfersIn],tblDaily[EntryDate],DATE(2026,7,27),tblDaily[WardCode],"FW")),"")</f>
        <v/>
      </c>
      <c r="G267" s="12">
        <f>IFERROR(IF(SUMIFS(tblDaily[TransfersOut],tblDaily[EntryDate],DATE(2026,7,27),tblDaily[WardCode],"FW")=0,"",SUMIFS(tblDaily[TransfersOut],tblDaily[EntryDate],DATE(2026,7,27),tblDaily[WardCode],"FW")),"")</f>
        <v/>
      </c>
      <c r="H267" s="12">
        <f>IFERROR(IF(SUMIFS(tblDaily[Remaining],tblDaily[EntryDate],DATE(2026,7,27),tblDaily[WardCode],"FW")=0,"",SUMIFS(tblDaily[Remaining],tblDaily[EntryDate],DATE(2026,7,27),tblDaily[WardCode],"FW")),"")</f>
        <v/>
      </c>
    </row>
    <row r="268">
      <c r="A268" s="12" t="n">
        <v>28</v>
      </c>
      <c r="B268" s="12">
        <f>IFERROR(IF(SUMIFS(tblDaily[Admissions],tblDaily[EntryDate],DATE(2026,7,28),tblDaily[WardCode],"FW")=0,"",SUMIFS(tblDaily[Admissions],tblDaily[EntryDate],DATE(2026,7,28),tblDaily[WardCode],"FW")),"")</f>
        <v/>
      </c>
      <c r="C268" s="12">
        <f>IFERROR(IF(SUMIFS(tblDaily[Discharges],tblDaily[EntryDate],DATE(2026,7,28),tblDaily[WardCode],"FW")=0,"",SUMIFS(tblDaily[Discharges],tblDaily[EntryDate],DATE(2026,7,28),tblDaily[WardCode],"FW")),"")</f>
        <v/>
      </c>
      <c r="D268" s="12">
        <f>IFERROR(IF(SUMIFS(tblDaily[Deaths],tblDaily[EntryDate],DATE(2026,7,28),tblDaily[WardCode],"FW")=0,"",SUMIFS(tblDaily[Deaths],tblDaily[EntryDate],DATE(2026,7,28),tblDaily[WardCode],"FW")),"")</f>
        <v/>
      </c>
      <c r="E268" s="12">
        <f>IFERROR(IF(SUMIFS(tblDaily[DeathsUnder24Hrs],tblDaily[EntryDate],DATE(2026,7,28),tblDaily[WardCode],"FW")=0,"",SUMIFS(tblDaily[DeathsUnder24Hrs],tblDaily[EntryDate],DATE(2026,7,28),tblDaily[WardCode],"FW")),"")</f>
        <v/>
      </c>
      <c r="F268" s="12">
        <f>IFERROR(IF(SUMIFS(tblDaily[TransfersIn],tblDaily[EntryDate],DATE(2026,7,28),tblDaily[WardCode],"FW")=0,"",SUMIFS(tblDaily[TransfersIn],tblDaily[EntryDate],DATE(2026,7,28),tblDaily[WardCode],"FW")),"")</f>
        <v/>
      </c>
      <c r="G268" s="12">
        <f>IFERROR(IF(SUMIFS(tblDaily[TransfersOut],tblDaily[EntryDate],DATE(2026,7,28),tblDaily[WardCode],"FW")=0,"",SUMIFS(tblDaily[TransfersOut],tblDaily[EntryDate],DATE(2026,7,28),tblDaily[WardCode],"FW")),"")</f>
        <v/>
      </c>
      <c r="H268" s="12">
        <f>IFERROR(IF(SUMIFS(tblDaily[Remaining],tblDaily[EntryDate],DATE(2026,7,28),tblDaily[WardCode],"FW")=0,"",SUMIFS(tblDaily[Remaining],tblDaily[EntryDate],DATE(2026,7,28),tblDaily[WardCode],"FW")),"")</f>
        <v/>
      </c>
    </row>
    <row r="269">
      <c r="A269" s="12" t="n">
        <v>29</v>
      </c>
      <c r="B269" s="12">
        <f>IFERROR(IF(SUMIFS(tblDaily[Admissions],tblDaily[EntryDate],DATE(2026,7,29),tblDaily[WardCode],"FW")=0,"",SUMIFS(tblDaily[Admissions],tblDaily[EntryDate],DATE(2026,7,29),tblDaily[WardCode],"FW")),"")</f>
        <v/>
      </c>
      <c r="C269" s="12">
        <f>IFERROR(IF(SUMIFS(tblDaily[Discharges],tblDaily[EntryDate],DATE(2026,7,29),tblDaily[WardCode],"FW")=0,"",SUMIFS(tblDaily[Discharges],tblDaily[EntryDate],DATE(2026,7,29),tblDaily[WardCode],"FW")),"")</f>
        <v/>
      </c>
      <c r="D269" s="12">
        <f>IFERROR(IF(SUMIFS(tblDaily[Deaths],tblDaily[EntryDate],DATE(2026,7,29),tblDaily[WardCode],"FW")=0,"",SUMIFS(tblDaily[Deaths],tblDaily[EntryDate],DATE(2026,7,29),tblDaily[WardCode],"FW")),"")</f>
        <v/>
      </c>
      <c r="E269" s="12">
        <f>IFERROR(IF(SUMIFS(tblDaily[DeathsUnder24Hrs],tblDaily[EntryDate],DATE(2026,7,29),tblDaily[WardCode],"FW")=0,"",SUMIFS(tblDaily[DeathsUnder24Hrs],tblDaily[EntryDate],DATE(2026,7,29),tblDaily[WardCode],"FW")),"")</f>
        <v/>
      </c>
      <c r="F269" s="12">
        <f>IFERROR(IF(SUMIFS(tblDaily[TransfersIn],tblDaily[EntryDate],DATE(2026,7,29),tblDaily[WardCode],"FW")=0,"",SUMIFS(tblDaily[TransfersIn],tblDaily[EntryDate],DATE(2026,7,29),tblDaily[WardCode],"FW")),"")</f>
        <v/>
      </c>
      <c r="G269" s="12">
        <f>IFERROR(IF(SUMIFS(tblDaily[TransfersOut],tblDaily[EntryDate],DATE(2026,7,29),tblDaily[WardCode],"FW")=0,"",SUMIFS(tblDaily[TransfersOut],tblDaily[EntryDate],DATE(2026,7,29),tblDaily[WardCode],"FW")),"")</f>
        <v/>
      </c>
      <c r="H269" s="12">
        <f>IFERROR(IF(SUMIFS(tblDaily[Remaining],tblDaily[EntryDate],DATE(2026,7,29),tblDaily[WardCode],"FW")=0,"",SUMIFS(tblDaily[Remaining],tblDaily[EntryDate],DATE(2026,7,29),tblDaily[WardCode],"FW")),"")</f>
        <v/>
      </c>
    </row>
    <row r="270">
      <c r="A270" s="12" t="n">
        <v>30</v>
      </c>
      <c r="B270" s="12">
        <f>IFERROR(IF(SUMIFS(tblDaily[Admissions],tblDaily[EntryDate],DATE(2026,7,30),tblDaily[WardCode],"FW")=0,"",SUMIFS(tblDaily[Admissions],tblDaily[EntryDate],DATE(2026,7,30),tblDaily[WardCode],"FW")),"")</f>
        <v/>
      </c>
      <c r="C270" s="12">
        <f>IFERROR(IF(SUMIFS(tblDaily[Discharges],tblDaily[EntryDate],DATE(2026,7,30),tblDaily[WardCode],"FW")=0,"",SUMIFS(tblDaily[Discharges],tblDaily[EntryDate],DATE(2026,7,30),tblDaily[WardCode],"FW")),"")</f>
        <v/>
      </c>
      <c r="D270" s="12">
        <f>IFERROR(IF(SUMIFS(tblDaily[Deaths],tblDaily[EntryDate],DATE(2026,7,30),tblDaily[WardCode],"FW")=0,"",SUMIFS(tblDaily[Deaths],tblDaily[EntryDate],DATE(2026,7,30),tblDaily[WardCode],"FW")),"")</f>
        <v/>
      </c>
      <c r="E270" s="12">
        <f>IFERROR(IF(SUMIFS(tblDaily[DeathsUnder24Hrs],tblDaily[EntryDate],DATE(2026,7,30),tblDaily[WardCode],"FW")=0,"",SUMIFS(tblDaily[DeathsUnder24Hrs],tblDaily[EntryDate],DATE(2026,7,30),tblDaily[WardCode],"FW")),"")</f>
        <v/>
      </c>
      <c r="F270" s="12">
        <f>IFERROR(IF(SUMIFS(tblDaily[TransfersIn],tblDaily[EntryDate],DATE(2026,7,30),tblDaily[WardCode],"FW")=0,"",SUMIFS(tblDaily[TransfersIn],tblDaily[EntryDate],DATE(2026,7,30),tblDaily[WardCode],"FW")),"")</f>
        <v/>
      </c>
      <c r="G270" s="12">
        <f>IFERROR(IF(SUMIFS(tblDaily[TransfersOut],tblDaily[EntryDate],DATE(2026,7,30),tblDaily[WardCode],"FW")=0,"",SUMIFS(tblDaily[TransfersOut],tblDaily[EntryDate],DATE(2026,7,30),tblDaily[WardCode],"FW")),"")</f>
        <v/>
      </c>
      <c r="H270" s="12">
        <f>IFERROR(IF(SUMIFS(tblDaily[Remaining],tblDaily[EntryDate],DATE(2026,7,30),tblDaily[WardCode],"FW")=0,"",SUMIFS(tblDaily[Remaining],tblDaily[EntryDate],DATE(2026,7,30),tblDaily[WardCode],"FW")),"")</f>
        <v/>
      </c>
    </row>
    <row r="271">
      <c r="A271" s="12" t="n">
        <v>31</v>
      </c>
      <c r="B271" s="12">
        <f>IFERROR(IF(SUMIFS(tblDaily[Admissions],tblDaily[EntryDate],DATE(2026,7,31),tblDaily[WardCode],"FW")=0,"",SUMIFS(tblDaily[Admissions],tblDaily[EntryDate],DATE(2026,7,31),tblDaily[WardCode],"FW")),"")</f>
        <v/>
      </c>
      <c r="C271" s="12">
        <f>IFERROR(IF(SUMIFS(tblDaily[Discharges],tblDaily[EntryDate],DATE(2026,7,31),tblDaily[WardCode],"FW")=0,"",SUMIFS(tblDaily[Discharges],tblDaily[EntryDate],DATE(2026,7,31),tblDaily[WardCode],"FW")),"")</f>
        <v/>
      </c>
      <c r="D271" s="12">
        <f>IFERROR(IF(SUMIFS(tblDaily[Deaths],tblDaily[EntryDate],DATE(2026,7,31),tblDaily[WardCode],"FW")=0,"",SUMIFS(tblDaily[Deaths],tblDaily[EntryDate],DATE(2026,7,31),tblDaily[WardCode],"FW")),"")</f>
        <v/>
      </c>
      <c r="E271" s="12">
        <f>IFERROR(IF(SUMIFS(tblDaily[DeathsUnder24Hrs],tblDaily[EntryDate],DATE(2026,7,31),tblDaily[WardCode],"FW")=0,"",SUMIFS(tblDaily[DeathsUnder24Hrs],tblDaily[EntryDate],DATE(2026,7,31),tblDaily[WardCode],"FW")),"")</f>
        <v/>
      </c>
      <c r="F271" s="12">
        <f>IFERROR(IF(SUMIFS(tblDaily[TransfersIn],tblDaily[EntryDate],DATE(2026,7,31),tblDaily[WardCode],"FW")=0,"",SUMIFS(tblDaily[TransfersIn],tblDaily[EntryDate],DATE(2026,7,31),tblDaily[WardCode],"FW")),"")</f>
        <v/>
      </c>
      <c r="G271" s="12">
        <f>IFERROR(IF(SUMIFS(tblDaily[TransfersOut],tblDaily[EntryDate],DATE(2026,7,31),tblDaily[WardCode],"FW")=0,"",SUMIFS(tblDaily[TransfersOut],tblDaily[EntryDate],DATE(2026,7,31),tblDaily[WardCode],"FW")),"")</f>
        <v/>
      </c>
      <c r="H271" s="12">
        <f>IFERROR(IF(SUMIFS(tblDaily[Remaining],tblDaily[EntryDate],DATE(2026,7,31),tblDaily[WardCode],"FW")=0,"",SUMIFS(tblDaily[Remaining],tblDaily[EntryDate],DATE(2026,7,31),tblDaily[WardCode],"FW")),"")</f>
        <v/>
      </c>
    </row>
    <row r="272">
      <c r="A272" s="17" t="inlineStr">
        <is>
          <t>TOTAL</t>
        </is>
      </c>
      <c r="B272" s="17">
        <f>SUMIFS(tblDaily[Admissions],tblDaily[Month],7,tblDaily[WardCode],"FW") - SUMIFS(tblDaily[DeathsUnder24Hrs],tblDaily[Month],7,tblDaily[WardCode],"FW")</f>
        <v/>
      </c>
      <c r="C272" s="17">
        <f>SUMIFS(tblDaily[Discharges],tblDaily[Month],7,tblDaily[WardCode],"FW")</f>
        <v/>
      </c>
      <c r="D272" s="17">
        <f>SUMIFS(tblDaily[Deaths],tblDaily[Month],7,tblDaily[WardCode],"FW")</f>
        <v/>
      </c>
      <c r="E272" s="17">
        <f>SUMIFS(tblDaily[DeathsUnder24Hrs],tblDaily[Month],7,tblDaily[WardCode],"FW")</f>
        <v/>
      </c>
      <c r="F272" s="17">
        <f>SUMIFS(tblDaily[TransfersIn],tblDaily[Month],7,tblDaily[WardCode],"FW")</f>
        <v/>
      </c>
      <c r="G272" s="17">
        <f>SUMIFS(tblDaily[TransfersOut],tblDaily[Month],7,tblDaily[WardCode],"FW")</f>
        <v/>
      </c>
      <c r="H272" s="17">
        <f>SUMIFS(tblDaily[Remaining],tblDaily[Month],7,tblDaily[WardCode],"FW")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FEMALE MEDICAL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4">
        <f>IFERROR(SUMIFS(tblDaily[Remaining],tblDaily[EntryDate],DATE(2026,7,31),tblDaily[WardCode],"FW"),0)</f>
        <v/>
      </c>
    </row>
    <row r="278">
      <c r="A278" s="4" t="inlineStr">
        <is>
          <t>Bed complement</t>
        </is>
      </c>
      <c r="H278" s="15">
        <f>IFERROR(INDEX(tblWardConfig[BedComplement],MATCH("FW",tblWardConfig[WardCode],0)),0)</f>
        <v/>
      </c>
    </row>
    <row r="279">
      <c r="A279" s="16" t="inlineStr">
        <is>
          <t>Day of
the
Month</t>
        </is>
      </c>
      <c r="B279" s="16" t="inlineStr">
        <is>
          <t>Admissions</t>
        </is>
      </c>
      <c r="C279" s="16" t="inlineStr">
        <is>
          <t>Discharges</t>
        </is>
      </c>
      <c r="D279" s="16" t="inlineStr">
        <is>
          <t>Deaths</t>
        </is>
      </c>
      <c r="E279" s="16" t="inlineStr">
        <is>
          <t>Deaths
&lt;24Hrs</t>
        </is>
      </c>
      <c r="F279" s="16" t="inlineStr">
        <is>
          <t>Transfers-
In</t>
        </is>
      </c>
      <c r="G279" s="16" t="inlineStr">
        <is>
          <t>Transfers-
Out</t>
        </is>
      </c>
      <c r="H279" s="16" t="inlineStr">
        <is>
          <t>No. of Patients
Remaining In
Ward</t>
        </is>
      </c>
    </row>
    <row r="280">
      <c r="A280" s="12" t="n">
        <v>1</v>
      </c>
      <c r="B280" s="12">
        <f>IFERROR(IF(SUMIFS(tblDaily[Admissions],tblDaily[EntryDate],DATE(2026,8,1),tblDaily[WardCode],"FW")=0,"",SUMIFS(tblDaily[Admissions],tblDaily[EntryDate],DATE(2026,8,1),tblDaily[WardCode],"FW")),"")</f>
        <v/>
      </c>
      <c r="C280" s="12">
        <f>IFERROR(IF(SUMIFS(tblDaily[Discharges],tblDaily[EntryDate],DATE(2026,8,1),tblDaily[WardCode],"FW")=0,"",SUMIFS(tblDaily[Discharges],tblDaily[EntryDate],DATE(2026,8,1),tblDaily[WardCode],"FW")),"")</f>
        <v/>
      </c>
      <c r="D280" s="12">
        <f>IFERROR(IF(SUMIFS(tblDaily[Deaths],tblDaily[EntryDate],DATE(2026,8,1),tblDaily[WardCode],"FW")=0,"",SUMIFS(tblDaily[Deaths],tblDaily[EntryDate],DATE(2026,8,1),tblDaily[WardCode],"FW")),"")</f>
        <v/>
      </c>
      <c r="E280" s="12">
        <f>IFERROR(IF(SUMIFS(tblDaily[DeathsUnder24Hrs],tblDaily[EntryDate],DATE(2026,8,1),tblDaily[WardCode],"FW")=0,"",SUMIFS(tblDaily[DeathsUnder24Hrs],tblDaily[EntryDate],DATE(2026,8,1),tblDaily[WardCode],"FW")),"")</f>
        <v/>
      </c>
      <c r="F280" s="12">
        <f>IFERROR(IF(SUMIFS(tblDaily[TransfersIn],tblDaily[EntryDate],DATE(2026,8,1),tblDaily[WardCode],"FW")=0,"",SUMIFS(tblDaily[TransfersIn],tblDaily[EntryDate],DATE(2026,8,1),tblDaily[WardCode],"FW")),"")</f>
        <v/>
      </c>
      <c r="G280" s="12">
        <f>IFERROR(IF(SUMIFS(tblDaily[TransfersOut],tblDaily[EntryDate],DATE(2026,8,1),tblDaily[WardCode],"FW")=0,"",SUMIFS(tblDaily[TransfersOut],tblDaily[EntryDate],DATE(2026,8,1),tblDaily[WardCode],"FW")),"")</f>
        <v/>
      </c>
      <c r="H280" s="12">
        <f>IFERROR(IF(SUMIFS(tblDaily[Remaining],tblDaily[EntryDate],DATE(2026,8,1),tblDaily[WardCode],"FW")=0,"",SUMIFS(tblDaily[Remaining],tblDaily[EntryDate],DATE(2026,8,1),tblDaily[WardCode],"FW")),"")</f>
        <v/>
      </c>
    </row>
    <row r="281">
      <c r="A281" s="12" t="n">
        <v>2</v>
      </c>
      <c r="B281" s="12">
        <f>IFERROR(IF(SUMIFS(tblDaily[Admissions],tblDaily[EntryDate],DATE(2026,8,2),tblDaily[WardCode],"FW")=0,"",SUMIFS(tblDaily[Admissions],tblDaily[EntryDate],DATE(2026,8,2),tblDaily[WardCode],"FW")),"")</f>
        <v/>
      </c>
      <c r="C281" s="12">
        <f>IFERROR(IF(SUMIFS(tblDaily[Discharges],tblDaily[EntryDate],DATE(2026,8,2),tblDaily[WardCode],"FW")=0,"",SUMIFS(tblDaily[Discharges],tblDaily[EntryDate],DATE(2026,8,2),tblDaily[WardCode],"FW")),"")</f>
        <v/>
      </c>
      <c r="D281" s="12">
        <f>IFERROR(IF(SUMIFS(tblDaily[Deaths],tblDaily[EntryDate],DATE(2026,8,2),tblDaily[WardCode],"FW")=0,"",SUMIFS(tblDaily[Deaths],tblDaily[EntryDate],DATE(2026,8,2),tblDaily[WardCode],"FW")),"")</f>
        <v/>
      </c>
      <c r="E281" s="12">
        <f>IFERROR(IF(SUMIFS(tblDaily[DeathsUnder24Hrs],tblDaily[EntryDate],DATE(2026,8,2),tblDaily[WardCode],"FW")=0,"",SUMIFS(tblDaily[DeathsUnder24Hrs],tblDaily[EntryDate],DATE(2026,8,2),tblDaily[WardCode],"FW")),"")</f>
        <v/>
      </c>
      <c r="F281" s="12">
        <f>IFERROR(IF(SUMIFS(tblDaily[TransfersIn],tblDaily[EntryDate],DATE(2026,8,2),tblDaily[WardCode],"FW")=0,"",SUMIFS(tblDaily[TransfersIn],tblDaily[EntryDate],DATE(2026,8,2),tblDaily[WardCode],"FW")),"")</f>
        <v/>
      </c>
      <c r="G281" s="12">
        <f>IFERROR(IF(SUMIFS(tblDaily[TransfersOut],tblDaily[EntryDate],DATE(2026,8,2),tblDaily[WardCode],"FW")=0,"",SUMIFS(tblDaily[TransfersOut],tblDaily[EntryDate],DATE(2026,8,2),tblDaily[WardCode],"FW")),"")</f>
        <v/>
      </c>
      <c r="H281" s="12">
        <f>IFERROR(IF(SUMIFS(tblDaily[Remaining],tblDaily[EntryDate],DATE(2026,8,2),tblDaily[WardCode],"FW")=0,"",SUMIFS(tblDaily[Remaining],tblDaily[EntryDate],DATE(2026,8,2),tblDaily[WardCode],"FW")),"")</f>
        <v/>
      </c>
    </row>
    <row r="282">
      <c r="A282" s="12" t="n">
        <v>3</v>
      </c>
      <c r="B282" s="12">
        <f>IFERROR(IF(SUMIFS(tblDaily[Admissions],tblDaily[EntryDate],DATE(2026,8,3),tblDaily[WardCode],"FW")=0,"",SUMIFS(tblDaily[Admissions],tblDaily[EntryDate],DATE(2026,8,3),tblDaily[WardCode],"FW")),"")</f>
        <v/>
      </c>
      <c r="C282" s="12">
        <f>IFERROR(IF(SUMIFS(tblDaily[Discharges],tblDaily[EntryDate],DATE(2026,8,3),tblDaily[WardCode],"FW")=0,"",SUMIFS(tblDaily[Discharges],tblDaily[EntryDate],DATE(2026,8,3),tblDaily[WardCode],"FW")),"")</f>
        <v/>
      </c>
      <c r="D282" s="12">
        <f>IFERROR(IF(SUMIFS(tblDaily[Deaths],tblDaily[EntryDate],DATE(2026,8,3),tblDaily[WardCode],"FW")=0,"",SUMIFS(tblDaily[Deaths],tblDaily[EntryDate],DATE(2026,8,3),tblDaily[WardCode],"FW")),"")</f>
        <v/>
      </c>
      <c r="E282" s="12">
        <f>IFERROR(IF(SUMIFS(tblDaily[DeathsUnder24Hrs],tblDaily[EntryDate],DATE(2026,8,3),tblDaily[WardCode],"FW")=0,"",SUMIFS(tblDaily[DeathsUnder24Hrs],tblDaily[EntryDate],DATE(2026,8,3),tblDaily[WardCode],"FW")),"")</f>
        <v/>
      </c>
      <c r="F282" s="12">
        <f>IFERROR(IF(SUMIFS(tblDaily[TransfersIn],tblDaily[EntryDate],DATE(2026,8,3),tblDaily[WardCode],"FW")=0,"",SUMIFS(tblDaily[TransfersIn],tblDaily[EntryDate],DATE(2026,8,3),tblDaily[WardCode],"FW")),"")</f>
        <v/>
      </c>
      <c r="G282" s="12">
        <f>IFERROR(IF(SUMIFS(tblDaily[TransfersOut],tblDaily[EntryDate],DATE(2026,8,3),tblDaily[WardCode],"FW")=0,"",SUMIFS(tblDaily[TransfersOut],tblDaily[EntryDate],DATE(2026,8,3),tblDaily[WardCode],"FW")),"")</f>
        <v/>
      </c>
      <c r="H282" s="12">
        <f>IFERROR(IF(SUMIFS(tblDaily[Remaining],tblDaily[EntryDate],DATE(2026,8,3),tblDaily[WardCode],"FW")=0,"",SUMIFS(tblDaily[Remaining],tblDaily[EntryDate],DATE(2026,8,3),tblDaily[WardCode],"FW")),"")</f>
        <v/>
      </c>
    </row>
    <row r="283">
      <c r="A283" s="12" t="n">
        <v>4</v>
      </c>
      <c r="B283" s="12">
        <f>IFERROR(IF(SUMIFS(tblDaily[Admissions],tblDaily[EntryDate],DATE(2026,8,4),tblDaily[WardCode],"FW")=0,"",SUMIFS(tblDaily[Admissions],tblDaily[EntryDate],DATE(2026,8,4),tblDaily[WardCode],"FW")),"")</f>
        <v/>
      </c>
      <c r="C283" s="12">
        <f>IFERROR(IF(SUMIFS(tblDaily[Discharges],tblDaily[EntryDate],DATE(2026,8,4),tblDaily[WardCode],"FW")=0,"",SUMIFS(tblDaily[Discharges],tblDaily[EntryDate],DATE(2026,8,4),tblDaily[WardCode],"FW")),"")</f>
        <v/>
      </c>
      <c r="D283" s="12">
        <f>IFERROR(IF(SUMIFS(tblDaily[Deaths],tblDaily[EntryDate],DATE(2026,8,4),tblDaily[WardCode],"FW")=0,"",SUMIFS(tblDaily[Deaths],tblDaily[EntryDate],DATE(2026,8,4),tblDaily[WardCode],"FW")),"")</f>
        <v/>
      </c>
      <c r="E283" s="12">
        <f>IFERROR(IF(SUMIFS(tblDaily[DeathsUnder24Hrs],tblDaily[EntryDate],DATE(2026,8,4),tblDaily[WardCode],"FW")=0,"",SUMIFS(tblDaily[DeathsUnder24Hrs],tblDaily[EntryDate],DATE(2026,8,4),tblDaily[WardCode],"FW")),"")</f>
        <v/>
      </c>
      <c r="F283" s="12">
        <f>IFERROR(IF(SUMIFS(tblDaily[TransfersIn],tblDaily[EntryDate],DATE(2026,8,4),tblDaily[WardCode],"FW")=0,"",SUMIFS(tblDaily[TransfersIn],tblDaily[EntryDate],DATE(2026,8,4),tblDaily[WardCode],"FW")),"")</f>
        <v/>
      </c>
      <c r="G283" s="12">
        <f>IFERROR(IF(SUMIFS(tblDaily[TransfersOut],tblDaily[EntryDate],DATE(2026,8,4),tblDaily[WardCode],"FW")=0,"",SUMIFS(tblDaily[TransfersOut],tblDaily[EntryDate],DATE(2026,8,4),tblDaily[WardCode],"FW")),"")</f>
        <v/>
      </c>
      <c r="H283" s="12">
        <f>IFERROR(IF(SUMIFS(tblDaily[Remaining],tblDaily[EntryDate],DATE(2026,8,4),tblDaily[WardCode],"FW")=0,"",SUMIFS(tblDaily[Remaining],tblDaily[EntryDate],DATE(2026,8,4),tblDaily[WardCode],"FW")),"")</f>
        <v/>
      </c>
    </row>
    <row r="284">
      <c r="A284" s="12" t="n">
        <v>5</v>
      </c>
      <c r="B284" s="12">
        <f>IFERROR(IF(SUMIFS(tblDaily[Admissions],tblDaily[EntryDate],DATE(2026,8,5),tblDaily[WardCode],"FW")=0,"",SUMIFS(tblDaily[Admissions],tblDaily[EntryDate],DATE(2026,8,5),tblDaily[WardCode],"FW")),"")</f>
        <v/>
      </c>
      <c r="C284" s="12">
        <f>IFERROR(IF(SUMIFS(tblDaily[Discharges],tblDaily[EntryDate],DATE(2026,8,5),tblDaily[WardCode],"FW")=0,"",SUMIFS(tblDaily[Discharges],tblDaily[EntryDate],DATE(2026,8,5),tblDaily[WardCode],"FW")),"")</f>
        <v/>
      </c>
      <c r="D284" s="12">
        <f>IFERROR(IF(SUMIFS(tblDaily[Deaths],tblDaily[EntryDate],DATE(2026,8,5),tblDaily[WardCode],"FW")=0,"",SUMIFS(tblDaily[Deaths],tblDaily[EntryDate],DATE(2026,8,5),tblDaily[WardCode],"FW")),"")</f>
        <v/>
      </c>
      <c r="E284" s="12">
        <f>IFERROR(IF(SUMIFS(tblDaily[DeathsUnder24Hrs],tblDaily[EntryDate],DATE(2026,8,5),tblDaily[WardCode],"FW")=0,"",SUMIFS(tblDaily[DeathsUnder24Hrs],tblDaily[EntryDate],DATE(2026,8,5),tblDaily[WardCode],"FW")),"")</f>
        <v/>
      </c>
      <c r="F284" s="12">
        <f>IFERROR(IF(SUMIFS(tblDaily[TransfersIn],tblDaily[EntryDate],DATE(2026,8,5),tblDaily[WardCode],"FW")=0,"",SUMIFS(tblDaily[TransfersIn],tblDaily[EntryDate],DATE(2026,8,5),tblDaily[WardCode],"FW")),"")</f>
        <v/>
      </c>
      <c r="G284" s="12">
        <f>IFERROR(IF(SUMIFS(tblDaily[TransfersOut],tblDaily[EntryDate],DATE(2026,8,5),tblDaily[WardCode],"FW")=0,"",SUMIFS(tblDaily[TransfersOut],tblDaily[EntryDate],DATE(2026,8,5),tblDaily[WardCode],"FW")),"")</f>
        <v/>
      </c>
      <c r="H284" s="12">
        <f>IFERROR(IF(SUMIFS(tblDaily[Remaining],tblDaily[EntryDate],DATE(2026,8,5),tblDaily[WardCode],"FW")=0,"",SUMIFS(tblDaily[Remaining],tblDaily[EntryDate],DATE(2026,8,5),tblDaily[WardCode],"FW")),"")</f>
        <v/>
      </c>
    </row>
    <row r="285">
      <c r="A285" s="12" t="n">
        <v>6</v>
      </c>
      <c r="B285" s="12">
        <f>IFERROR(IF(SUMIFS(tblDaily[Admissions],tblDaily[EntryDate],DATE(2026,8,6),tblDaily[WardCode],"FW")=0,"",SUMIFS(tblDaily[Admissions],tblDaily[EntryDate],DATE(2026,8,6),tblDaily[WardCode],"FW")),"")</f>
        <v/>
      </c>
      <c r="C285" s="12">
        <f>IFERROR(IF(SUMIFS(tblDaily[Discharges],tblDaily[EntryDate],DATE(2026,8,6),tblDaily[WardCode],"FW")=0,"",SUMIFS(tblDaily[Discharges],tblDaily[EntryDate],DATE(2026,8,6),tblDaily[WardCode],"FW")),"")</f>
        <v/>
      </c>
      <c r="D285" s="12">
        <f>IFERROR(IF(SUMIFS(tblDaily[Deaths],tblDaily[EntryDate],DATE(2026,8,6),tblDaily[WardCode],"FW")=0,"",SUMIFS(tblDaily[Deaths],tblDaily[EntryDate],DATE(2026,8,6),tblDaily[WardCode],"FW")),"")</f>
        <v/>
      </c>
      <c r="E285" s="12">
        <f>IFERROR(IF(SUMIFS(tblDaily[DeathsUnder24Hrs],tblDaily[EntryDate],DATE(2026,8,6),tblDaily[WardCode],"FW")=0,"",SUMIFS(tblDaily[DeathsUnder24Hrs],tblDaily[EntryDate],DATE(2026,8,6),tblDaily[WardCode],"FW")),"")</f>
        <v/>
      </c>
      <c r="F285" s="12">
        <f>IFERROR(IF(SUMIFS(tblDaily[TransfersIn],tblDaily[EntryDate],DATE(2026,8,6),tblDaily[WardCode],"FW")=0,"",SUMIFS(tblDaily[TransfersIn],tblDaily[EntryDate],DATE(2026,8,6),tblDaily[WardCode],"FW")),"")</f>
        <v/>
      </c>
      <c r="G285" s="12">
        <f>IFERROR(IF(SUMIFS(tblDaily[TransfersOut],tblDaily[EntryDate],DATE(2026,8,6),tblDaily[WardCode],"FW")=0,"",SUMIFS(tblDaily[TransfersOut],tblDaily[EntryDate],DATE(2026,8,6),tblDaily[WardCode],"FW")),"")</f>
        <v/>
      </c>
      <c r="H285" s="12">
        <f>IFERROR(IF(SUMIFS(tblDaily[Remaining],tblDaily[EntryDate],DATE(2026,8,6),tblDaily[WardCode],"FW")=0,"",SUMIFS(tblDaily[Remaining],tblDaily[EntryDate],DATE(2026,8,6),tblDaily[WardCode],"FW")),"")</f>
        <v/>
      </c>
    </row>
    <row r="286">
      <c r="A286" s="12" t="n">
        <v>7</v>
      </c>
      <c r="B286" s="12">
        <f>IFERROR(IF(SUMIFS(tblDaily[Admissions],tblDaily[EntryDate],DATE(2026,8,7),tblDaily[WardCode],"FW")=0,"",SUMIFS(tblDaily[Admissions],tblDaily[EntryDate],DATE(2026,8,7),tblDaily[WardCode],"FW")),"")</f>
        <v/>
      </c>
      <c r="C286" s="12">
        <f>IFERROR(IF(SUMIFS(tblDaily[Discharges],tblDaily[EntryDate],DATE(2026,8,7),tblDaily[WardCode],"FW")=0,"",SUMIFS(tblDaily[Discharges],tblDaily[EntryDate],DATE(2026,8,7),tblDaily[WardCode],"FW")),"")</f>
        <v/>
      </c>
      <c r="D286" s="12">
        <f>IFERROR(IF(SUMIFS(tblDaily[Deaths],tblDaily[EntryDate],DATE(2026,8,7),tblDaily[WardCode],"FW")=0,"",SUMIFS(tblDaily[Deaths],tblDaily[EntryDate],DATE(2026,8,7),tblDaily[WardCode],"FW")),"")</f>
        <v/>
      </c>
      <c r="E286" s="12">
        <f>IFERROR(IF(SUMIFS(tblDaily[DeathsUnder24Hrs],tblDaily[EntryDate],DATE(2026,8,7),tblDaily[WardCode],"FW")=0,"",SUMIFS(tblDaily[DeathsUnder24Hrs],tblDaily[EntryDate],DATE(2026,8,7),tblDaily[WardCode],"FW")),"")</f>
        <v/>
      </c>
      <c r="F286" s="12">
        <f>IFERROR(IF(SUMIFS(tblDaily[TransfersIn],tblDaily[EntryDate],DATE(2026,8,7),tblDaily[WardCode],"FW")=0,"",SUMIFS(tblDaily[TransfersIn],tblDaily[EntryDate],DATE(2026,8,7),tblDaily[WardCode],"FW")),"")</f>
        <v/>
      </c>
      <c r="G286" s="12">
        <f>IFERROR(IF(SUMIFS(tblDaily[TransfersOut],tblDaily[EntryDate],DATE(2026,8,7),tblDaily[WardCode],"FW")=0,"",SUMIFS(tblDaily[TransfersOut],tblDaily[EntryDate],DATE(2026,8,7),tblDaily[WardCode],"FW")),"")</f>
        <v/>
      </c>
      <c r="H286" s="12">
        <f>IFERROR(IF(SUMIFS(tblDaily[Remaining],tblDaily[EntryDate],DATE(2026,8,7),tblDaily[WardCode],"FW")=0,"",SUMIFS(tblDaily[Remaining],tblDaily[EntryDate],DATE(2026,8,7),tblDaily[WardCode],"FW")),"")</f>
        <v/>
      </c>
    </row>
    <row r="287">
      <c r="A287" s="12" t="n">
        <v>8</v>
      </c>
      <c r="B287" s="12">
        <f>IFERROR(IF(SUMIFS(tblDaily[Admissions],tblDaily[EntryDate],DATE(2026,8,8),tblDaily[WardCode],"FW")=0,"",SUMIFS(tblDaily[Admissions],tblDaily[EntryDate],DATE(2026,8,8),tblDaily[WardCode],"FW")),"")</f>
        <v/>
      </c>
      <c r="C287" s="12">
        <f>IFERROR(IF(SUMIFS(tblDaily[Discharges],tblDaily[EntryDate],DATE(2026,8,8),tblDaily[WardCode],"FW")=0,"",SUMIFS(tblDaily[Discharges],tblDaily[EntryDate],DATE(2026,8,8),tblDaily[WardCode],"FW")),"")</f>
        <v/>
      </c>
      <c r="D287" s="12">
        <f>IFERROR(IF(SUMIFS(tblDaily[Deaths],tblDaily[EntryDate],DATE(2026,8,8),tblDaily[WardCode],"FW")=0,"",SUMIFS(tblDaily[Deaths],tblDaily[EntryDate],DATE(2026,8,8),tblDaily[WardCode],"FW")),"")</f>
        <v/>
      </c>
      <c r="E287" s="12">
        <f>IFERROR(IF(SUMIFS(tblDaily[DeathsUnder24Hrs],tblDaily[EntryDate],DATE(2026,8,8),tblDaily[WardCode],"FW")=0,"",SUMIFS(tblDaily[DeathsUnder24Hrs],tblDaily[EntryDate],DATE(2026,8,8),tblDaily[WardCode],"FW")),"")</f>
        <v/>
      </c>
      <c r="F287" s="12">
        <f>IFERROR(IF(SUMIFS(tblDaily[TransfersIn],tblDaily[EntryDate],DATE(2026,8,8),tblDaily[WardCode],"FW")=0,"",SUMIFS(tblDaily[TransfersIn],tblDaily[EntryDate],DATE(2026,8,8),tblDaily[WardCode],"FW")),"")</f>
        <v/>
      </c>
      <c r="G287" s="12">
        <f>IFERROR(IF(SUMIFS(tblDaily[TransfersOut],tblDaily[EntryDate],DATE(2026,8,8),tblDaily[WardCode],"FW")=0,"",SUMIFS(tblDaily[TransfersOut],tblDaily[EntryDate],DATE(2026,8,8),tblDaily[WardCode],"FW")),"")</f>
        <v/>
      </c>
      <c r="H287" s="12">
        <f>IFERROR(IF(SUMIFS(tblDaily[Remaining],tblDaily[EntryDate],DATE(2026,8,8),tblDaily[WardCode],"FW")=0,"",SUMIFS(tblDaily[Remaining],tblDaily[EntryDate],DATE(2026,8,8),tblDaily[WardCode],"FW")),"")</f>
        <v/>
      </c>
    </row>
    <row r="288">
      <c r="A288" s="12" t="n">
        <v>9</v>
      </c>
      <c r="B288" s="12">
        <f>IFERROR(IF(SUMIFS(tblDaily[Admissions],tblDaily[EntryDate],DATE(2026,8,9),tblDaily[WardCode],"FW")=0,"",SUMIFS(tblDaily[Admissions],tblDaily[EntryDate],DATE(2026,8,9),tblDaily[WardCode],"FW")),"")</f>
        <v/>
      </c>
      <c r="C288" s="12">
        <f>IFERROR(IF(SUMIFS(tblDaily[Discharges],tblDaily[EntryDate],DATE(2026,8,9),tblDaily[WardCode],"FW")=0,"",SUMIFS(tblDaily[Discharges],tblDaily[EntryDate],DATE(2026,8,9),tblDaily[WardCode],"FW")),"")</f>
        <v/>
      </c>
      <c r="D288" s="12">
        <f>IFERROR(IF(SUMIFS(tblDaily[Deaths],tblDaily[EntryDate],DATE(2026,8,9),tblDaily[WardCode],"FW")=0,"",SUMIFS(tblDaily[Deaths],tblDaily[EntryDate],DATE(2026,8,9),tblDaily[WardCode],"FW")),"")</f>
        <v/>
      </c>
      <c r="E288" s="12">
        <f>IFERROR(IF(SUMIFS(tblDaily[DeathsUnder24Hrs],tblDaily[EntryDate],DATE(2026,8,9),tblDaily[WardCode],"FW")=0,"",SUMIFS(tblDaily[DeathsUnder24Hrs],tblDaily[EntryDate],DATE(2026,8,9),tblDaily[WardCode],"FW")),"")</f>
        <v/>
      </c>
      <c r="F288" s="12">
        <f>IFERROR(IF(SUMIFS(tblDaily[TransfersIn],tblDaily[EntryDate],DATE(2026,8,9),tblDaily[WardCode],"FW")=0,"",SUMIFS(tblDaily[TransfersIn],tblDaily[EntryDate],DATE(2026,8,9),tblDaily[WardCode],"FW")),"")</f>
        <v/>
      </c>
      <c r="G288" s="12">
        <f>IFERROR(IF(SUMIFS(tblDaily[TransfersOut],tblDaily[EntryDate],DATE(2026,8,9),tblDaily[WardCode],"FW")=0,"",SUMIFS(tblDaily[TransfersOut],tblDaily[EntryDate],DATE(2026,8,9),tblDaily[WardCode],"FW")),"")</f>
        <v/>
      </c>
      <c r="H288" s="12">
        <f>IFERROR(IF(SUMIFS(tblDaily[Remaining],tblDaily[EntryDate],DATE(2026,8,9),tblDaily[WardCode],"FW")=0,"",SUMIFS(tblDaily[Remaining],tblDaily[EntryDate],DATE(2026,8,9),tblDaily[WardCode],"FW")),"")</f>
        <v/>
      </c>
    </row>
    <row r="289">
      <c r="A289" s="12" t="n">
        <v>10</v>
      </c>
      <c r="B289" s="12">
        <f>IFERROR(IF(SUMIFS(tblDaily[Admissions],tblDaily[EntryDate],DATE(2026,8,10),tblDaily[WardCode],"FW")=0,"",SUMIFS(tblDaily[Admissions],tblDaily[EntryDate],DATE(2026,8,10),tblDaily[WardCode],"FW")),"")</f>
        <v/>
      </c>
      <c r="C289" s="12">
        <f>IFERROR(IF(SUMIFS(tblDaily[Discharges],tblDaily[EntryDate],DATE(2026,8,10),tblDaily[WardCode],"FW")=0,"",SUMIFS(tblDaily[Discharges],tblDaily[EntryDate],DATE(2026,8,10),tblDaily[WardCode],"FW")),"")</f>
        <v/>
      </c>
      <c r="D289" s="12">
        <f>IFERROR(IF(SUMIFS(tblDaily[Deaths],tblDaily[EntryDate],DATE(2026,8,10),tblDaily[WardCode],"FW")=0,"",SUMIFS(tblDaily[Deaths],tblDaily[EntryDate],DATE(2026,8,10),tblDaily[WardCode],"FW")),"")</f>
        <v/>
      </c>
      <c r="E289" s="12">
        <f>IFERROR(IF(SUMIFS(tblDaily[DeathsUnder24Hrs],tblDaily[EntryDate],DATE(2026,8,10),tblDaily[WardCode],"FW")=0,"",SUMIFS(tblDaily[DeathsUnder24Hrs],tblDaily[EntryDate],DATE(2026,8,10),tblDaily[WardCode],"FW")),"")</f>
        <v/>
      </c>
      <c r="F289" s="12">
        <f>IFERROR(IF(SUMIFS(tblDaily[TransfersIn],tblDaily[EntryDate],DATE(2026,8,10),tblDaily[WardCode],"FW")=0,"",SUMIFS(tblDaily[TransfersIn],tblDaily[EntryDate],DATE(2026,8,10),tblDaily[WardCode],"FW")),"")</f>
        <v/>
      </c>
      <c r="G289" s="12">
        <f>IFERROR(IF(SUMIFS(tblDaily[TransfersOut],tblDaily[EntryDate],DATE(2026,8,10),tblDaily[WardCode],"FW")=0,"",SUMIFS(tblDaily[TransfersOut],tblDaily[EntryDate],DATE(2026,8,10),tblDaily[WardCode],"FW")),"")</f>
        <v/>
      </c>
      <c r="H289" s="12">
        <f>IFERROR(IF(SUMIFS(tblDaily[Remaining],tblDaily[EntryDate],DATE(2026,8,10),tblDaily[WardCode],"FW")=0,"",SUMIFS(tblDaily[Remaining],tblDaily[EntryDate],DATE(2026,8,10),tblDaily[WardCode],"FW")),"")</f>
        <v/>
      </c>
    </row>
    <row r="290">
      <c r="A290" s="12" t="n">
        <v>11</v>
      </c>
      <c r="B290" s="12">
        <f>IFERROR(IF(SUMIFS(tblDaily[Admissions],tblDaily[EntryDate],DATE(2026,8,11),tblDaily[WardCode],"FW")=0,"",SUMIFS(tblDaily[Admissions],tblDaily[EntryDate],DATE(2026,8,11),tblDaily[WardCode],"FW")),"")</f>
        <v/>
      </c>
      <c r="C290" s="12">
        <f>IFERROR(IF(SUMIFS(tblDaily[Discharges],tblDaily[EntryDate],DATE(2026,8,11),tblDaily[WardCode],"FW")=0,"",SUMIFS(tblDaily[Discharges],tblDaily[EntryDate],DATE(2026,8,11),tblDaily[WardCode],"FW")),"")</f>
        <v/>
      </c>
      <c r="D290" s="12">
        <f>IFERROR(IF(SUMIFS(tblDaily[Deaths],tblDaily[EntryDate],DATE(2026,8,11),tblDaily[WardCode],"FW")=0,"",SUMIFS(tblDaily[Deaths],tblDaily[EntryDate],DATE(2026,8,11),tblDaily[WardCode],"FW")),"")</f>
        <v/>
      </c>
      <c r="E290" s="12">
        <f>IFERROR(IF(SUMIFS(tblDaily[DeathsUnder24Hrs],tblDaily[EntryDate],DATE(2026,8,11),tblDaily[WardCode],"FW")=0,"",SUMIFS(tblDaily[DeathsUnder24Hrs],tblDaily[EntryDate],DATE(2026,8,11),tblDaily[WardCode],"FW")),"")</f>
        <v/>
      </c>
      <c r="F290" s="12">
        <f>IFERROR(IF(SUMIFS(tblDaily[TransfersIn],tblDaily[EntryDate],DATE(2026,8,11),tblDaily[WardCode],"FW")=0,"",SUMIFS(tblDaily[TransfersIn],tblDaily[EntryDate],DATE(2026,8,11),tblDaily[WardCode],"FW")),"")</f>
        <v/>
      </c>
      <c r="G290" s="12">
        <f>IFERROR(IF(SUMIFS(tblDaily[TransfersOut],tblDaily[EntryDate],DATE(2026,8,11),tblDaily[WardCode],"FW")=0,"",SUMIFS(tblDaily[TransfersOut],tblDaily[EntryDate],DATE(2026,8,11),tblDaily[WardCode],"FW")),"")</f>
        <v/>
      </c>
      <c r="H290" s="12">
        <f>IFERROR(IF(SUMIFS(tblDaily[Remaining],tblDaily[EntryDate],DATE(2026,8,11),tblDaily[WardCode],"FW")=0,"",SUMIFS(tblDaily[Remaining],tblDaily[EntryDate],DATE(2026,8,11),tblDaily[WardCode],"FW")),"")</f>
        <v/>
      </c>
    </row>
    <row r="291">
      <c r="A291" s="12" t="n">
        <v>12</v>
      </c>
      <c r="B291" s="12">
        <f>IFERROR(IF(SUMIFS(tblDaily[Admissions],tblDaily[EntryDate],DATE(2026,8,12),tblDaily[WardCode],"FW")=0,"",SUMIFS(tblDaily[Admissions],tblDaily[EntryDate],DATE(2026,8,12),tblDaily[WardCode],"FW")),"")</f>
        <v/>
      </c>
      <c r="C291" s="12">
        <f>IFERROR(IF(SUMIFS(tblDaily[Discharges],tblDaily[EntryDate],DATE(2026,8,12),tblDaily[WardCode],"FW")=0,"",SUMIFS(tblDaily[Discharges],tblDaily[EntryDate],DATE(2026,8,12),tblDaily[WardCode],"FW")),"")</f>
        <v/>
      </c>
      <c r="D291" s="12">
        <f>IFERROR(IF(SUMIFS(tblDaily[Deaths],tblDaily[EntryDate],DATE(2026,8,12),tblDaily[WardCode],"FW")=0,"",SUMIFS(tblDaily[Deaths],tblDaily[EntryDate],DATE(2026,8,12),tblDaily[WardCode],"FW")),"")</f>
        <v/>
      </c>
      <c r="E291" s="12">
        <f>IFERROR(IF(SUMIFS(tblDaily[DeathsUnder24Hrs],tblDaily[EntryDate],DATE(2026,8,12),tblDaily[WardCode],"FW")=0,"",SUMIFS(tblDaily[DeathsUnder24Hrs],tblDaily[EntryDate],DATE(2026,8,12),tblDaily[WardCode],"FW")),"")</f>
        <v/>
      </c>
      <c r="F291" s="12">
        <f>IFERROR(IF(SUMIFS(tblDaily[TransfersIn],tblDaily[EntryDate],DATE(2026,8,12),tblDaily[WardCode],"FW")=0,"",SUMIFS(tblDaily[TransfersIn],tblDaily[EntryDate],DATE(2026,8,12),tblDaily[WardCode],"FW")),"")</f>
        <v/>
      </c>
      <c r="G291" s="12">
        <f>IFERROR(IF(SUMIFS(tblDaily[TransfersOut],tblDaily[EntryDate],DATE(2026,8,12),tblDaily[WardCode],"FW")=0,"",SUMIFS(tblDaily[TransfersOut],tblDaily[EntryDate],DATE(2026,8,12),tblDaily[WardCode],"FW")),"")</f>
        <v/>
      </c>
      <c r="H291" s="12">
        <f>IFERROR(IF(SUMIFS(tblDaily[Remaining],tblDaily[EntryDate],DATE(2026,8,12),tblDaily[WardCode],"FW")=0,"",SUMIFS(tblDaily[Remaining],tblDaily[EntryDate],DATE(2026,8,12),tblDaily[WardCode],"FW")),"")</f>
        <v/>
      </c>
    </row>
    <row r="292">
      <c r="A292" s="12" t="n">
        <v>13</v>
      </c>
      <c r="B292" s="12">
        <f>IFERROR(IF(SUMIFS(tblDaily[Admissions],tblDaily[EntryDate],DATE(2026,8,13),tblDaily[WardCode],"FW")=0,"",SUMIFS(tblDaily[Admissions],tblDaily[EntryDate],DATE(2026,8,13),tblDaily[WardCode],"FW")),"")</f>
        <v/>
      </c>
      <c r="C292" s="12">
        <f>IFERROR(IF(SUMIFS(tblDaily[Discharges],tblDaily[EntryDate],DATE(2026,8,13),tblDaily[WardCode],"FW")=0,"",SUMIFS(tblDaily[Discharges],tblDaily[EntryDate],DATE(2026,8,13),tblDaily[WardCode],"FW")),"")</f>
        <v/>
      </c>
      <c r="D292" s="12">
        <f>IFERROR(IF(SUMIFS(tblDaily[Deaths],tblDaily[EntryDate],DATE(2026,8,13),tblDaily[WardCode],"FW")=0,"",SUMIFS(tblDaily[Deaths],tblDaily[EntryDate],DATE(2026,8,13),tblDaily[WardCode],"FW")),"")</f>
        <v/>
      </c>
      <c r="E292" s="12">
        <f>IFERROR(IF(SUMIFS(tblDaily[DeathsUnder24Hrs],tblDaily[EntryDate],DATE(2026,8,13),tblDaily[WardCode],"FW")=0,"",SUMIFS(tblDaily[DeathsUnder24Hrs],tblDaily[EntryDate],DATE(2026,8,13),tblDaily[WardCode],"FW")),"")</f>
        <v/>
      </c>
      <c r="F292" s="12">
        <f>IFERROR(IF(SUMIFS(tblDaily[TransfersIn],tblDaily[EntryDate],DATE(2026,8,13),tblDaily[WardCode],"FW")=0,"",SUMIFS(tblDaily[TransfersIn],tblDaily[EntryDate],DATE(2026,8,13),tblDaily[WardCode],"FW")),"")</f>
        <v/>
      </c>
      <c r="G292" s="12">
        <f>IFERROR(IF(SUMIFS(tblDaily[TransfersOut],tblDaily[EntryDate],DATE(2026,8,13),tblDaily[WardCode],"FW")=0,"",SUMIFS(tblDaily[TransfersOut],tblDaily[EntryDate],DATE(2026,8,13),tblDaily[WardCode],"FW")),"")</f>
        <v/>
      </c>
      <c r="H292" s="12">
        <f>IFERROR(IF(SUMIFS(tblDaily[Remaining],tblDaily[EntryDate],DATE(2026,8,13),tblDaily[WardCode],"FW")=0,"",SUMIFS(tblDaily[Remaining],tblDaily[EntryDate],DATE(2026,8,13),tblDaily[WardCode],"FW")),"")</f>
        <v/>
      </c>
    </row>
    <row r="293">
      <c r="A293" s="12" t="n">
        <v>14</v>
      </c>
      <c r="B293" s="12">
        <f>IFERROR(IF(SUMIFS(tblDaily[Admissions],tblDaily[EntryDate],DATE(2026,8,14),tblDaily[WardCode],"FW")=0,"",SUMIFS(tblDaily[Admissions],tblDaily[EntryDate],DATE(2026,8,14),tblDaily[WardCode],"FW")),"")</f>
        <v/>
      </c>
      <c r="C293" s="12">
        <f>IFERROR(IF(SUMIFS(tblDaily[Discharges],tblDaily[EntryDate],DATE(2026,8,14),tblDaily[WardCode],"FW")=0,"",SUMIFS(tblDaily[Discharges],tblDaily[EntryDate],DATE(2026,8,14),tblDaily[WardCode],"FW")),"")</f>
        <v/>
      </c>
      <c r="D293" s="12">
        <f>IFERROR(IF(SUMIFS(tblDaily[Deaths],tblDaily[EntryDate],DATE(2026,8,14),tblDaily[WardCode],"FW")=0,"",SUMIFS(tblDaily[Deaths],tblDaily[EntryDate],DATE(2026,8,14),tblDaily[WardCode],"FW")),"")</f>
        <v/>
      </c>
      <c r="E293" s="12">
        <f>IFERROR(IF(SUMIFS(tblDaily[DeathsUnder24Hrs],tblDaily[EntryDate],DATE(2026,8,14),tblDaily[WardCode],"FW")=0,"",SUMIFS(tblDaily[DeathsUnder24Hrs],tblDaily[EntryDate],DATE(2026,8,14),tblDaily[WardCode],"FW")),"")</f>
        <v/>
      </c>
      <c r="F293" s="12">
        <f>IFERROR(IF(SUMIFS(tblDaily[TransfersIn],tblDaily[EntryDate],DATE(2026,8,14),tblDaily[WardCode],"FW")=0,"",SUMIFS(tblDaily[TransfersIn],tblDaily[EntryDate],DATE(2026,8,14),tblDaily[WardCode],"FW")),"")</f>
        <v/>
      </c>
      <c r="G293" s="12">
        <f>IFERROR(IF(SUMIFS(tblDaily[TransfersOut],tblDaily[EntryDate],DATE(2026,8,14),tblDaily[WardCode],"FW")=0,"",SUMIFS(tblDaily[TransfersOut],tblDaily[EntryDate],DATE(2026,8,14),tblDaily[WardCode],"FW")),"")</f>
        <v/>
      </c>
      <c r="H293" s="12">
        <f>IFERROR(IF(SUMIFS(tblDaily[Remaining],tblDaily[EntryDate],DATE(2026,8,14),tblDaily[WardCode],"FW")=0,"",SUMIFS(tblDaily[Remaining],tblDaily[EntryDate],DATE(2026,8,14),tblDaily[WardCode],"FW")),"")</f>
        <v/>
      </c>
    </row>
    <row r="294">
      <c r="A294" s="12" t="n">
        <v>15</v>
      </c>
      <c r="B294" s="12">
        <f>IFERROR(IF(SUMIFS(tblDaily[Admissions],tblDaily[EntryDate],DATE(2026,8,15),tblDaily[WardCode],"FW")=0,"",SUMIFS(tblDaily[Admissions],tblDaily[EntryDate],DATE(2026,8,15),tblDaily[WardCode],"FW")),"")</f>
        <v/>
      </c>
      <c r="C294" s="12">
        <f>IFERROR(IF(SUMIFS(tblDaily[Discharges],tblDaily[EntryDate],DATE(2026,8,15),tblDaily[WardCode],"FW")=0,"",SUMIFS(tblDaily[Discharges],tblDaily[EntryDate],DATE(2026,8,15),tblDaily[WardCode],"FW")),"")</f>
        <v/>
      </c>
      <c r="D294" s="12">
        <f>IFERROR(IF(SUMIFS(tblDaily[Deaths],tblDaily[EntryDate],DATE(2026,8,15),tblDaily[WardCode],"FW")=0,"",SUMIFS(tblDaily[Deaths],tblDaily[EntryDate],DATE(2026,8,15),tblDaily[WardCode],"FW")),"")</f>
        <v/>
      </c>
      <c r="E294" s="12">
        <f>IFERROR(IF(SUMIFS(tblDaily[DeathsUnder24Hrs],tblDaily[EntryDate],DATE(2026,8,15),tblDaily[WardCode],"FW")=0,"",SUMIFS(tblDaily[DeathsUnder24Hrs],tblDaily[EntryDate],DATE(2026,8,15),tblDaily[WardCode],"FW")),"")</f>
        <v/>
      </c>
      <c r="F294" s="12">
        <f>IFERROR(IF(SUMIFS(tblDaily[TransfersIn],tblDaily[EntryDate],DATE(2026,8,15),tblDaily[WardCode],"FW")=0,"",SUMIFS(tblDaily[TransfersIn],tblDaily[EntryDate],DATE(2026,8,15),tblDaily[WardCode],"FW")),"")</f>
        <v/>
      </c>
      <c r="G294" s="12">
        <f>IFERROR(IF(SUMIFS(tblDaily[TransfersOut],tblDaily[EntryDate],DATE(2026,8,15),tblDaily[WardCode],"FW")=0,"",SUMIFS(tblDaily[TransfersOut],tblDaily[EntryDate],DATE(2026,8,15),tblDaily[WardCode],"FW")),"")</f>
        <v/>
      </c>
      <c r="H294" s="12">
        <f>IFERROR(IF(SUMIFS(tblDaily[Remaining],tblDaily[EntryDate],DATE(2026,8,15),tblDaily[WardCode],"FW")=0,"",SUMIFS(tblDaily[Remaining],tblDaily[EntryDate],DATE(2026,8,15),tblDaily[WardCode],"FW")),"")</f>
        <v/>
      </c>
    </row>
    <row r="295">
      <c r="A295" s="12" t="n">
        <v>16</v>
      </c>
      <c r="B295" s="12">
        <f>IFERROR(IF(SUMIFS(tblDaily[Admissions],tblDaily[EntryDate],DATE(2026,8,16),tblDaily[WardCode],"FW")=0,"",SUMIFS(tblDaily[Admissions],tblDaily[EntryDate],DATE(2026,8,16),tblDaily[WardCode],"FW")),"")</f>
        <v/>
      </c>
      <c r="C295" s="12">
        <f>IFERROR(IF(SUMIFS(tblDaily[Discharges],tblDaily[EntryDate],DATE(2026,8,16),tblDaily[WardCode],"FW")=0,"",SUMIFS(tblDaily[Discharges],tblDaily[EntryDate],DATE(2026,8,16),tblDaily[WardCode],"FW")),"")</f>
        <v/>
      </c>
      <c r="D295" s="12">
        <f>IFERROR(IF(SUMIFS(tblDaily[Deaths],tblDaily[EntryDate],DATE(2026,8,16),tblDaily[WardCode],"FW")=0,"",SUMIFS(tblDaily[Deaths],tblDaily[EntryDate],DATE(2026,8,16),tblDaily[WardCode],"FW")),"")</f>
        <v/>
      </c>
      <c r="E295" s="12">
        <f>IFERROR(IF(SUMIFS(tblDaily[DeathsUnder24Hrs],tblDaily[EntryDate],DATE(2026,8,16),tblDaily[WardCode],"FW")=0,"",SUMIFS(tblDaily[DeathsUnder24Hrs],tblDaily[EntryDate],DATE(2026,8,16),tblDaily[WardCode],"FW")),"")</f>
        <v/>
      </c>
      <c r="F295" s="12">
        <f>IFERROR(IF(SUMIFS(tblDaily[TransfersIn],tblDaily[EntryDate],DATE(2026,8,16),tblDaily[WardCode],"FW")=0,"",SUMIFS(tblDaily[TransfersIn],tblDaily[EntryDate],DATE(2026,8,16),tblDaily[WardCode],"FW")),"")</f>
        <v/>
      </c>
      <c r="G295" s="12">
        <f>IFERROR(IF(SUMIFS(tblDaily[TransfersOut],tblDaily[EntryDate],DATE(2026,8,16),tblDaily[WardCode],"FW")=0,"",SUMIFS(tblDaily[TransfersOut],tblDaily[EntryDate],DATE(2026,8,16),tblDaily[WardCode],"FW")),"")</f>
        <v/>
      </c>
      <c r="H295" s="12">
        <f>IFERROR(IF(SUMIFS(tblDaily[Remaining],tblDaily[EntryDate],DATE(2026,8,16),tblDaily[WardCode],"FW")=0,"",SUMIFS(tblDaily[Remaining],tblDaily[EntryDate],DATE(2026,8,16),tblDaily[WardCode],"FW")),"")</f>
        <v/>
      </c>
    </row>
    <row r="296">
      <c r="A296" s="12" t="n">
        <v>17</v>
      </c>
      <c r="B296" s="12">
        <f>IFERROR(IF(SUMIFS(tblDaily[Admissions],tblDaily[EntryDate],DATE(2026,8,17),tblDaily[WardCode],"FW")=0,"",SUMIFS(tblDaily[Admissions],tblDaily[EntryDate],DATE(2026,8,17),tblDaily[WardCode],"FW")),"")</f>
        <v/>
      </c>
      <c r="C296" s="12">
        <f>IFERROR(IF(SUMIFS(tblDaily[Discharges],tblDaily[EntryDate],DATE(2026,8,17),tblDaily[WardCode],"FW")=0,"",SUMIFS(tblDaily[Discharges],tblDaily[EntryDate],DATE(2026,8,17),tblDaily[WardCode],"FW")),"")</f>
        <v/>
      </c>
      <c r="D296" s="12">
        <f>IFERROR(IF(SUMIFS(tblDaily[Deaths],tblDaily[EntryDate],DATE(2026,8,17),tblDaily[WardCode],"FW")=0,"",SUMIFS(tblDaily[Deaths],tblDaily[EntryDate],DATE(2026,8,17),tblDaily[WardCode],"FW")),"")</f>
        <v/>
      </c>
      <c r="E296" s="12">
        <f>IFERROR(IF(SUMIFS(tblDaily[DeathsUnder24Hrs],tblDaily[EntryDate],DATE(2026,8,17),tblDaily[WardCode],"FW")=0,"",SUMIFS(tblDaily[DeathsUnder24Hrs],tblDaily[EntryDate],DATE(2026,8,17),tblDaily[WardCode],"FW")),"")</f>
        <v/>
      </c>
      <c r="F296" s="12">
        <f>IFERROR(IF(SUMIFS(tblDaily[TransfersIn],tblDaily[EntryDate],DATE(2026,8,17),tblDaily[WardCode],"FW")=0,"",SUMIFS(tblDaily[TransfersIn],tblDaily[EntryDate],DATE(2026,8,17),tblDaily[WardCode],"FW")),"")</f>
        <v/>
      </c>
      <c r="G296" s="12">
        <f>IFERROR(IF(SUMIFS(tblDaily[TransfersOut],tblDaily[EntryDate],DATE(2026,8,17),tblDaily[WardCode],"FW")=0,"",SUMIFS(tblDaily[TransfersOut],tblDaily[EntryDate],DATE(2026,8,17),tblDaily[WardCode],"FW")),"")</f>
        <v/>
      </c>
      <c r="H296" s="12">
        <f>IFERROR(IF(SUMIFS(tblDaily[Remaining],tblDaily[EntryDate],DATE(2026,8,17),tblDaily[WardCode],"FW")=0,"",SUMIFS(tblDaily[Remaining],tblDaily[EntryDate],DATE(2026,8,17),tblDaily[WardCode],"FW")),"")</f>
        <v/>
      </c>
    </row>
    <row r="297">
      <c r="A297" s="12" t="n">
        <v>18</v>
      </c>
      <c r="B297" s="12">
        <f>IFERROR(IF(SUMIFS(tblDaily[Admissions],tblDaily[EntryDate],DATE(2026,8,18),tblDaily[WardCode],"FW")=0,"",SUMIFS(tblDaily[Admissions],tblDaily[EntryDate],DATE(2026,8,18),tblDaily[WardCode],"FW")),"")</f>
        <v/>
      </c>
      <c r="C297" s="12">
        <f>IFERROR(IF(SUMIFS(tblDaily[Discharges],tblDaily[EntryDate],DATE(2026,8,18),tblDaily[WardCode],"FW")=0,"",SUMIFS(tblDaily[Discharges],tblDaily[EntryDate],DATE(2026,8,18),tblDaily[WardCode],"FW")),"")</f>
        <v/>
      </c>
      <c r="D297" s="12">
        <f>IFERROR(IF(SUMIFS(tblDaily[Deaths],tblDaily[EntryDate],DATE(2026,8,18),tblDaily[WardCode],"FW")=0,"",SUMIFS(tblDaily[Deaths],tblDaily[EntryDate],DATE(2026,8,18),tblDaily[WardCode],"FW")),"")</f>
        <v/>
      </c>
      <c r="E297" s="12">
        <f>IFERROR(IF(SUMIFS(tblDaily[DeathsUnder24Hrs],tblDaily[EntryDate],DATE(2026,8,18),tblDaily[WardCode],"FW")=0,"",SUMIFS(tblDaily[DeathsUnder24Hrs],tblDaily[EntryDate],DATE(2026,8,18),tblDaily[WardCode],"FW")),"")</f>
        <v/>
      </c>
      <c r="F297" s="12">
        <f>IFERROR(IF(SUMIFS(tblDaily[TransfersIn],tblDaily[EntryDate],DATE(2026,8,18),tblDaily[WardCode],"FW")=0,"",SUMIFS(tblDaily[TransfersIn],tblDaily[EntryDate],DATE(2026,8,18),tblDaily[WardCode],"FW")),"")</f>
        <v/>
      </c>
      <c r="G297" s="12">
        <f>IFERROR(IF(SUMIFS(tblDaily[TransfersOut],tblDaily[EntryDate],DATE(2026,8,18),tblDaily[WardCode],"FW")=0,"",SUMIFS(tblDaily[TransfersOut],tblDaily[EntryDate],DATE(2026,8,18),tblDaily[WardCode],"FW")),"")</f>
        <v/>
      </c>
      <c r="H297" s="12">
        <f>IFERROR(IF(SUMIFS(tblDaily[Remaining],tblDaily[EntryDate],DATE(2026,8,18),tblDaily[WardCode],"FW")=0,"",SUMIFS(tblDaily[Remaining],tblDaily[EntryDate],DATE(2026,8,18),tblDaily[WardCode],"FW")),"")</f>
        <v/>
      </c>
    </row>
    <row r="298">
      <c r="A298" s="12" t="n">
        <v>19</v>
      </c>
      <c r="B298" s="12">
        <f>IFERROR(IF(SUMIFS(tblDaily[Admissions],tblDaily[EntryDate],DATE(2026,8,19),tblDaily[WardCode],"FW")=0,"",SUMIFS(tblDaily[Admissions],tblDaily[EntryDate],DATE(2026,8,19),tblDaily[WardCode],"FW")),"")</f>
        <v/>
      </c>
      <c r="C298" s="12">
        <f>IFERROR(IF(SUMIFS(tblDaily[Discharges],tblDaily[EntryDate],DATE(2026,8,19),tblDaily[WardCode],"FW")=0,"",SUMIFS(tblDaily[Discharges],tblDaily[EntryDate],DATE(2026,8,19),tblDaily[WardCode],"FW")),"")</f>
        <v/>
      </c>
      <c r="D298" s="12">
        <f>IFERROR(IF(SUMIFS(tblDaily[Deaths],tblDaily[EntryDate],DATE(2026,8,19),tblDaily[WardCode],"FW")=0,"",SUMIFS(tblDaily[Deaths],tblDaily[EntryDate],DATE(2026,8,19),tblDaily[WardCode],"FW")),"")</f>
        <v/>
      </c>
      <c r="E298" s="12">
        <f>IFERROR(IF(SUMIFS(tblDaily[DeathsUnder24Hrs],tblDaily[EntryDate],DATE(2026,8,19),tblDaily[WardCode],"FW")=0,"",SUMIFS(tblDaily[DeathsUnder24Hrs],tblDaily[EntryDate],DATE(2026,8,19),tblDaily[WardCode],"FW")),"")</f>
        <v/>
      </c>
      <c r="F298" s="12">
        <f>IFERROR(IF(SUMIFS(tblDaily[TransfersIn],tblDaily[EntryDate],DATE(2026,8,19),tblDaily[WardCode],"FW")=0,"",SUMIFS(tblDaily[TransfersIn],tblDaily[EntryDate],DATE(2026,8,19),tblDaily[WardCode],"FW")),"")</f>
        <v/>
      </c>
      <c r="G298" s="12">
        <f>IFERROR(IF(SUMIFS(tblDaily[TransfersOut],tblDaily[EntryDate],DATE(2026,8,19),tblDaily[WardCode],"FW")=0,"",SUMIFS(tblDaily[TransfersOut],tblDaily[EntryDate],DATE(2026,8,19),tblDaily[WardCode],"FW")),"")</f>
        <v/>
      </c>
      <c r="H298" s="12">
        <f>IFERROR(IF(SUMIFS(tblDaily[Remaining],tblDaily[EntryDate],DATE(2026,8,19),tblDaily[WardCode],"FW")=0,"",SUMIFS(tblDaily[Remaining],tblDaily[EntryDate],DATE(2026,8,19),tblDaily[WardCode],"FW")),"")</f>
        <v/>
      </c>
    </row>
    <row r="299">
      <c r="A299" s="12" t="n">
        <v>20</v>
      </c>
      <c r="B299" s="12">
        <f>IFERROR(IF(SUMIFS(tblDaily[Admissions],tblDaily[EntryDate],DATE(2026,8,20),tblDaily[WardCode],"FW")=0,"",SUMIFS(tblDaily[Admissions],tblDaily[EntryDate],DATE(2026,8,20),tblDaily[WardCode],"FW")),"")</f>
        <v/>
      </c>
      <c r="C299" s="12">
        <f>IFERROR(IF(SUMIFS(tblDaily[Discharges],tblDaily[EntryDate],DATE(2026,8,20),tblDaily[WardCode],"FW")=0,"",SUMIFS(tblDaily[Discharges],tblDaily[EntryDate],DATE(2026,8,20),tblDaily[WardCode],"FW")),"")</f>
        <v/>
      </c>
      <c r="D299" s="12">
        <f>IFERROR(IF(SUMIFS(tblDaily[Deaths],tblDaily[EntryDate],DATE(2026,8,20),tblDaily[WardCode],"FW")=0,"",SUMIFS(tblDaily[Deaths],tblDaily[EntryDate],DATE(2026,8,20),tblDaily[WardCode],"FW")),"")</f>
        <v/>
      </c>
      <c r="E299" s="12">
        <f>IFERROR(IF(SUMIFS(tblDaily[DeathsUnder24Hrs],tblDaily[EntryDate],DATE(2026,8,20),tblDaily[WardCode],"FW")=0,"",SUMIFS(tblDaily[DeathsUnder24Hrs],tblDaily[EntryDate],DATE(2026,8,20),tblDaily[WardCode],"FW")),"")</f>
        <v/>
      </c>
      <c r="F299" s="12">
        <f>IFERROR(IF(SUMIFS(tblDaily[TransfersIn],tblDaily[EntryDate],DATE(2026,8,20),tblDaily[WardCode],"FW")=0,"",SUMIFS(tblDaily[TransfersIn],tblDaily[EntryDate],DATE(2026,8,20),tblDaily[WardCode],"FW")),"")</f>
        <v/>
      </c>
      <c r="G299" s="12">
        <f>IFERROR(IF(SUMIFS(tblDaily[TransfersOut],tblDaily[EntryDate],DATE(2026,8,20),tblDaily[WardCode],"FW")=0,"",SUMIFS(tblDaily[TransfersOut],tblDaily[EntryDate],DATE(2026,8,20),tblDaily[WardCode],"FW")),"")</f>
        <v/>
      </c>
      <c r="H299" s="12">
        <f>IFERROR(IF(SUMIFS(tblDaily[Remaining],tblDaily[EntryDate],DATE(2026,8,20),tblDaily[WardCode],"FW")=0,"",SUMIFS(tblDaily[Remaining],tblDaily[EntryDate],DATE(2026,8,20),tblDaily[WardCode],"FW")),"")</f>
        <v/>
      </c>
    </row>
    <row r="300">
      <c r="A300" s="12" t="n">
        <v>21</v>
      </c>
      <c r="B300" s="12">
        <f>IFERROR(IF(SUMIFS(tblDaily[Admissions],tblDaily[EntryDate],DATE(2026,8,21),tblDaily[WardCode],"FW")=0,"",SUMIFS(tblDaily[Admissions],tblDaily[EntryDate],DATE(2026,8,21),tblDaily[WardCode],"FW")),"")</f>
        <v/>
      </c>
      <c r="C300" s="12">
        <f>IFERROR(IF(SUMIFS(tblDaily[Discharges],tblDaily[EntryDate],DATE(2026,8,21),tblDaily[WardCode],"FW")=0,"",SUMIFS(tblDaily[Discharges],tblDaily[EntryDate],DATE(2026,8,21),tblDaily[WardCode],"FW")),"")</f>
        <v/>
      </c>
      <c r="D300" s="12">
        <f>IFERROR(IF(SUMIFS(tblDaily[Deaths],tblDaily[EntryDate],DATE(2026,8,21),tblDaily[WardCode],"FW")=0,"",SUMIFS(tblDaily[Deaths],tblDaily[EntryDate],DATE(2026,8,21),tblDaily[WardCode],"FW")),"")</f>
        <v/>
      </c>
      <c r="E300" s="12">
        <f>IFERROR(IF(SUMIFS(tblDaily[DeathsUnder24Hrs],tblDaily[EntryDate],DATE(2026,8,21),tblDaily[WardCode],"FW")=0,"",SUMIFS(tblDaily[DeathsUnder24Hrs],tblDaily[EntryDate],DATE(2026,8,21),tblDaily[WardCode],"FW")),"")</f>
        <v/>
      </c>
      <c r="F300" s="12">
        <f>IFERROR(IF(SUMIFS(tblDaily[TransfersIn],tblDaily[EntryDate],DATE(2026,8,21),tblDaily[WardCode],"FW")=0,"",SUMIFS(tblDaily[TransfersIn],tblDaily[EntryDate],DATE(2026,8,21),tblDaily[WardCode],"FW")),"")</f>
        <v/>
      </c>
      <c r="G300" s="12">
        <f>IFERROR(IF(SUMIFS(tblDaily[TransfersOut],tblDaily[EntryDate],DATE(2026,8,21),tblDaily[WardCode],"FW")=0,"",SUMIFS(tblDaily[TransfersOut],tblDaily[EntryDate],DATE(2026,8,21),tblDaily[WardCode],"FW")),"")</f>
        <v/>
      </c>
      <c r="H300" s="12">
        <f>IFERROR(IF(SUMIFS(tblDaily[Remaining],tblDaily[EntryDate],DATE(2026,8,21),tblDaily[WardCode],"FW")=0,"",SUMIFS(tblDaily[Remaining],tblDaily[EntryDate],DATE(2026,8,21),tblDaily[WardCode],"FW")),"")</f>
        <v/>
      </c>
    </row>
    <row r="301">
      <c r="A301" s="12" t="n">
        <v>22</v>
      </c>
      <c r="B301" s="12">
        <f>IFERROR(IF(SUMIFS(tblDaily[Admissions],tblDaily[EntryDate],DATE(2026,8,22),tblDaily[WardCode],"FW")=0,"",SUMIFS(tblDaily[Admissions],tblDaily[EntryDate],DATE(2026,8,22),tblDaily[WardCode],"FW")),"")</f>
        <v/>
      </c>
      <c r="C301" s="12">
        <f>IFERROR(IF(SUMIFS(tblDaily[Discharges],tblDaily[EntryDate],DATE(2026,8,22),tblDaily[WardCode],"FW")=0,"",SUMIFS(tblDaily[Discharges],tblDaily[EntryDate],DATE(2026,8,22),tblDaily[WardCode],"FW")),"")</f>
        <v/>
      </c>
      <c r="D301" s="12">
        <f>IFERROR(IF(SUMIFS(tblDaily[Deaths],tblDaily[EntryDate],DATE(2026,8,22),tblDaily[WardCode],"FW")=0,"",SUMIFS(tblDaily[Deaths],tblDaily[EntryDate],DATE(2026,8,22),tblDaily[WardCode],"FW")),"")</f>
        <v/>
      </c>
      <c r="E301" s="12">
        <f>IFERROR(IF(SUMIFS(tblDaily[DeathsUnder24Hrs],tblDaily[EntryDate],DATE(2026,8,22),tblDaily[WardCode],"FW")=0,"",SUMIFS(tblDaily[DeathsUnder24Hrs],tblDaily[EntryDate],DATE(2026,8,22),tblDaily[WardCode],"FW")),"")</f>
        <v/>
      </c>
      <c r="F301" s="12">
        <f>IFERROR(IF(SUMIFS(tblDaily[TransfersIn],tblDaily[EntryDate],DATE(2026,8,22),tblDaily[WardCode],"FW")=0,"",SUMIFS(tblDaily[TransfersIn],tblDaily[EntryDate],DATE(2026,8,22),tblDaily[WardCode],"FW")),"")</f>
        <v/>
      </c>
      <c r="G301" s="12">
        <f>IFERROR(IF(SUMIFS(tblDaily[TransfersOut],tblDaily[EntryDate],DATE(2026,8,22),tblDaily[WardCode],"FW")=0,"",SUMIFS(tblDaily[TransfersOut],tblDaily[EntryDate],DATE(2026,8,22),tblDaily[WardCode],"FW")),"")</f>
        <v/>
      </c>
      <c r="H301" s="12">
        <f>IFERROR(IF(SUMIFS(tblDaily[Remaining],tblDaily[EntryDate],DATE(2026,8,22),tblDaily[WardCode],"FW")=0,"",SUMIFS(tblDaily[Remaining],tblDaily[EntryDate],DATE(2026,8,22),tblDaily[WardCode],"FW")),"")</f>
        <v/>
      </c>
    </row>
    <row r="302">
      <c r="A302" s="12" t="n">
        <v>23</v>
      </c>
      <c r="B302" s="12">
        <f>IFERROR(IF(SUMIFS(tblDaily[Admissions],tblDaily[EntryDate],DATE(2026,8,23),tblDaily[WardCode],"FW")=0,"",SUMIFS(tblDaily[Admissions],tblDaily[EntryDate],DATE(2026,8,23),tblDaily[WardCode],"FW")),"")</f>
        <v/>
      </c>
      <c r="C302" s="12">
        <f>IFERROR(IF(SUMIFS(tblDaily[Discharges],tblDaily[EntryDate],DATE(2026,8,23),tblDaily[WardCode],"FW")=0,"",SUMIFS(tblDaily[Discharges],tblDaily[EntryDate],DATE(2026,8,23),tblDaily[WardCode],"FW")),"")</f>
        <v/>
      </c>
      <c r="D302" s="12">
        <f>IFERROR(IF(SUMIFS(tblDaily[Deaths],tblDaily[EntryDate],DATE(2026,8,23),tblDaily[WardCode],"FW")=0,"",SUMIFS(tblDaily[Deaths],tblDaily[EntryDate],DATE(2026,8,23),tblDaily[WardCode],"FW")),"")</f>
        <v/>
      </c>
      <c r="E302" s="12">
        <f>IFERROR(IF(SUMIFS(tblDaily[DeathsUnder24Hrs],tblDaily[EntryDate],DATE(2026,8,23),tblDaily[WardCode],"FW")=0,"",SUMIFS(tblDaily[DeathsUnder24Hrs],tblDaily[EntryDate],DATE(2026,8,23),tblDaily[WardCode],"FW")),"")</f>
        <v/>
      </c>
      <c r="F302" s="12">
        <f>IFERROR(IF(SUMIFS(tblDaily[TransfersIn],tblDaily[EntryDate],DATE(2026,8,23),tblDaily[WardCode],"FW")=0,"",SUMIFS(tblDaily[TransfersIn],tblDaily[EntryDate],DATE(2026,8,23),tblDaily[WardCode],"FW")),"")</f>
        <v/>
      </c>
      <c r="G302" s="12">
        <f>IFERROR(IF(SUMIFS(tblDaily[TransfersOut],tblDaily[EntryDate],DATE(2026,8,23),tblDaily[WardCode],"FW")=0,"",SUMIFS(tblDaily[TransfersOut],tblDaily[EntryDate],DATE(2026,8,23),tblDaily[WardCode],"FW")),"")</f>
        <v/>
      </c>
      <c r="H302" s="12">
        <f>IFERROR(IF(SUMIFS(tblDaily[Remaining],tblDaily[EntryDate],DATE(2026,8,23),tblDaily[WardCode],"FW")=0,"",SUMIFS(tblDaily[Remaining],tblDaily[EntryDate],DATE(2026,8,23),tblDaily[WardCode],"FW")),"")</f>
        <v/>
      </c>
    </row>
    <row r="303">
      <c r="A303" s="12" t="n">
        <v>24</v>
      </c>
      <c r="B303" s="12">
        <f>IFERROR(IF(SUMIFS(tblDaily[Admissions],tblDaily[EntryDate],DATE(2026,8,24),tblDaily[WardCode],"FW")=0,"",SUMIFS(tblDaily[Admissions],tblDaily[EntryDate],DATE(2026,8,24),tblDaily[WardCode],"FW")),"")</f>
        <v/>
      </c>
      <c r="C303" s="12">
        <f>IFERROR(IF(SUMIFS(tblDaily[Discharges],tblDaily[EntryDate],DATE(2026,8,24),tblDaily[WardCode],"FW")=0,"",SUMIFS(tblDaily[Discharges],tblDaily[EntryDate],DATE(2026,8,24),tblDaily[WardCode],"FW")),"")</f>
        <v/>
      </c>
      <c r="D303" s="12">
        <f>IFERROR(IF(SUMIFS(tblDaily[Deaths],tblDaily[EntryDate],DATE(2026,8,24),tblDaily[WardCode],"FW")=0,"",SUMIFS(tblDaily[Deaths],tblDaily[EntryDate],DATE(2026,8,24),tblDaily[WardCode],"FW")),"")</f>
        <v/>
      </c>
      <c r="E303" s="12">
        <f>IFERROR(IF(SUMIFS(tblDaily[DeathsUnder24Hrs],tblDaily[EntryDate],DATE(2026,8,24),tblDaily[WardCode],"FW")=0,"",SUMIFS(tblDaily[DeathsUnder24Hrs],tblDaily[EntryDate],DATE(2026,8,24),tblDaily[WardCode],"FW")),"")</f>
        <v/>
      </c>
      <c r="F303" s="12">
        <f>IFERROR(IF(SUMIFS(tblDaily[TransfersIn],tblDaily[EntryDate],DATE(2026,8,24),tblDaily[WardCode],"FW")=0,"",SUMIFS(tblDaily[TransfersIn],tblDaily[EntryDate],DATE(2026,8,24),tblDaily[WardCode],"FW")),"")</f>
        <v/>
      </c>
      <c r="G303" s="12">
        <f>IFERROR(IF(SUMIFS(tblDaily[TransfersOut],tblDaily[EntryDate],DATE(2026,8,24),tblDaily[WardCode],"FW")=0,"",SUMIFS(tblDaily[TransfersOut],tblDaily[EntryDate],DATE(2026,8,24),tblDaily[WardCode],"FW")),"")</f>
        <v/>
      </c>
      <c r="H303" s="12">
        <f>IFERROR(IF(SUMIFS(tblDaily[Remaining],tblDaily[EntryDate],DATE(2026,8,24),tblDaily[WardCode],"FW")=0,"",SUMIFS(tblDaily[Remaining],tblDaily[EntryDate],DATE(2026,8,24),tblDaily[WardCode],"FW")),"")</f>
        <v/>
      </c>
    </row>
    <row r="304">
      <c r="A304" s="12" t="n">
        <v>25</v>
      </c>
      <c r="B304" s="12">
        <f>IFERROR(IF(SUMIFS(tblDaily[Admissions],tblDaily[EntryDate],DATE(2026,8,25),tblDaily[WardCode],"FW")=0,"",SUMIFS(tblDaily[Admissions],tblDaily[EntryDate],DATE(2026,8,25),tblDaily[WardCode],"FW")),"")</f>
        <v/>
      </c>
      <c r="C304" s="12">
        <f>IFERROR(IF(SUMIFS(tblDaily[Discharges],tblDaily[EntryDate],DATE(2026,8,25),tblDaily[WardCode],"FW")=0,"",SUMIFS(tblDaily[Discharges],tblDaily[EntryDate],DATE(2026,8,25),tblDaily[WardCode],"FW")),"")</f>
        <v/>
      </c>
      <c r="D304" s="12">
        <f>IFERROR(IF(SUMIFS(tblDaily[Deaths],tblDaily[EntryDate],DATE(2026,8,25),tblDaily[WardCode],"FW")=0,"",SUMIFS(tblDaily[Deaths],tblDaily[EntryDate],DATE(2026,8,25),tblDaily[WardCode],"FW")),"")</f>
        <v/>
      </c>
      <c r="E304" s="12">
        <f>IFERROR(IF(SUMIFS(tblDaily[DeathsUnder24Hrs],tblDaily[EntryDate],DATE(2026,8,25),tblDaily[WardCode],"FW")=0,"",SUMIFS(tblDaily[DeathsUnder24Hrs],tblDaily[EntryDate],DATE(2026,8,25),tblDaily[WardCode],"FW")),"")</f>
        <v/>
      </c>
      <c r="F304" s="12">
        <f>IFERROR(IF(SUMIFS(tblDaily[TransfersIn],tblDaily[EntryDate],DATE(2026,8,25),tblDaily[WardCode],"FW")=0,"",SUMIFS(tblDaily[TransfersIn],tblDaily[EntryDate],DATE(2026,8,25),tblDaily[WardCode],"FW")),"")</f>
        <v/>
      </c>
      <c r="G304" s="12">
        <f>IFERROR(IF(SUMIFS(tblDaily[TransfersOut],tblDaily[EntryDate],DATE(2026,8,25),tblDaily[WardCode],"FW")=0,"",SUMIFS(tblDaily[TransfersOut],tblDaily[EntryDate],DATE(2026,8,25),tblDaily[WardCode],"FW")),"")</f>
        <v/>
      </c>
      <c r="H304" s="12">
        <f>IFERROR(IF(SUMIFS(tblDaily[Remaining],tblDaily[EntryDate],DATE(2026,8,25),tblDaily[WardCode],"FW")=0,"",SUMIFS(tblDaily[Remaining],tblDaily[EntryDate],DATE(2026,8,25),tblDaily[WardCode],"FW")),"")</f>
        <v/>
      </c>
    </row>
    <row r="305">
      <c r="A305" s="12" t="n">
        <v>26</v>
      </c>
      <c r="B305" s="12">
        <f>IFERROR(IF(SUMIFS(tblDaily[Admissions],tblDaily[EntryDate],DATE(2026,8,26),tblDaily[WardCode],"FW")=0,"",SUMIFS(tblDaily[Admissions],tblDaily[EntryDate],DATE(2026,8,26),tblDaily[WardCode],"FW")),"")</f>
        <v/>
      </c>
      <c r="C305" s="12">
        <f>IFERROR(IF(SUMIFS(tblDaily[Discharges],tblDaily[EntryDate],DATE(2026,8,26),tblDaily[WardCode],"FW")=0,"",SUMIFS(tblDaily[Discharges],tblDaily[EntryDate],DATE(2026,8,26),tblDaily[WardCode],"FW")),"")</f>
        <v/>
      </c>
      <c r="D305" s="12">
        <f>IFERROR(IF(SUMIFS(tblDaily[Deaths],tblDaily[EntryDate],DATE(2026,8,26),tblDaily[WardCode],"FW")=0,"",SUMIFS(tblDaily[Deaths],tblDaily[EntryDate],DATE(2026,8,26),tblDaily[WardCode],"FW")),"")</f>
        <v/>
      </c>
      <c r="E305" s="12">
        <f>IFERROR(IF(SUMIFS(tblDaily[DeathsUnder24Hrs],tblDaily[EntryDate],DATE(2026,8,26),tblDaily[WardCode],"FW")=0,"",SUMIFS(tblDaily[DeathsUnder24Hrs],tblDaily[EntryDate],DATE(2026,8,26),tblDaily[WardCode],"FW")),"")</f>
        <v/>
      </c>
      <c r="F305" s="12">
        <f>IFERROR(IF(SUMIFS(tblDaily[TransfersIn],tblDaily[EntryDate],DATE(2026,8,26),tblDaily[WardCode],"FW")=0,"",SUMIFS(tblDaily[TransfersIn],tblDaily[EntryDate],DATE(2026,8,26),tblDaily[WardCode],"FW")),"")</f>
        <v/>
      </c>
      <c r="G305" s="12">
        <f>IFERROR(IF(SUMIFS(tblDaily[TransfersOut],tblDaily[EntryDate],DATE(2026,8,26),tblDaily[WardCode],"FW")=0,"",SUMIFS(tblDaily[TransfersOut],tblDaily[EntryDate],DATE(2026,8,26),tblDaily[WardCode],"FW")),"")</f>
        <v/>
      </c>
      <c r="H305" s="12">
        <f>IFERROR(IF(SUMIFS(tblDaily[Remaining],tblDaily[EntryDate],DATE(2026,8,26),tblDaily[WardCode],"FW")=0,"",SUMIFS(tblDaily[Remaining],tblDaily[EntryDate],DATE(2026,8,26),tblDaily[WardCode],"FW")),"")</f>
        <v/>
      </c>
    </row>
    <row r="306">
      <c r="A306" s="12" t="n">
        <v>27</v>
      </c>
      <c r="B306" s="12">
        <f>IFERROR(IF(SUMIFS(tblDaily[Admissions],tblDaily[EntryDate],DATE(2026,8,27),tblDaily[WardCode],"FW")=0,"",SUMIFS(tblDaily[Admissions],tblDaily[EntryDate],DATE(2026,8,27),tblDaily[WardCode],"FW")),"")</f>
        <v/>
      </c>
      <c r="C306" s="12">
        <f>IFERROR(IF(SUMIFS(tblDaily[Discharges],tblDaily[EntryDate],DATE(2026,8,27),tblDaily[WardCode],"FW")=0,"",SUMIFS(tblDaily[Discharges],tblDaily[EntryDate],DATE(2026,8,27),tblDaily[WardCode],"FW")),"")</f>
        <v/>
      </c>
      <c r="D306" s="12">
        <f>IFERROR(IF(SUMIFS(tblDaily[Deaths],tblDaily[EntryDate],DATE(2026,8,27),tblDaily[WardCode],"FW")=0,"",SUMIFS(tblDaily[Deaths],tblDaily[EntryDate],DATE(2026,8,27),tblDaily[WardCode],"FW")),"")</f>
        <v/>
      </c>
      <c r="E306" s="12">
        <f>IFERROR(IF(SUMIFS(tblDaily[DeathsUnder24Hrs],tblDaily[EntryDate],DATE(2026,8,27),tblDaily[WardCode],"FW")=0,"",SUMIFS(tblDaily[DeathsUnder24Hrs],tblDaily[EntryDate],DATE(2026,8,27),tblDaily[WardCode],"FW")),"")</f>
        <v/>
      </c>
      <c r="F306" s="12">
        <f>IFERROR(IF(SUMIFS(tblDaily[TransfersIn],tblDaily[EntryDate],DATE(2026,8,27),tblDaily[WardCode],"FW")=0,"",SUMIFS(tblDaily[TransfersIn],tblDaily[EntryDate],DATE(2026,8,27),tblDaily[WardCode],"FW")),"")</f>
        <v/>
      </c>
      <c r="G306" s="12">
        <f>IFERROR(IF(SUMIFS(tblDaily[TransfersOut],tblDaily[EntryDate],DATE(2026,8,27),tblDaily[WardCode],"FW")=0,"",SUMIFS(tblDaily[TransfersOut],tblDaily[EntryDate],DATE(2026,8,27),tblDaily[WardCode],"FW")),"")</f>
        <v/>
      </c>
      <c r="H306" s="12">
        <f>IFERROR(IF(SUMIFS(tblDaily[Remaining],tblDaily[EntryDate],DATE(2026,8,27),tblDaily[WardCode],"FW")=0,"",SUMIFS(tblDaily[Remaining],tblDaily[EntryDate],DATE(2026,8,27),tblDaily[WardCode],"FW")),"")</f>
        <v/>
      </c>
    </row>
    <row r="307">
      <c r="A307" s="12" t="n">
        <v>28</v>
      </c>
      <c r="B307" s="12">
        <f>IFERROR(IF(SUMIFS(tblDaily[Admissions],tblDaily[EntryDate],DATE(2026,8,28),tblDaily[WardCode],"FW")=0,"",SUMIFS(tblDaily[Admissions],tblDaily[EntryDate],DATE(2026,8,28),tblDaily[WardCode],"FW")),"")</f>
        <v/>
      </c>
      <c r="C307" s="12">
        <f>IFERROR(IF(SUMIFS(tblDaily[Discharges],tblDaily[EntryDate],DATE(2026,8,28),tblDaily[WardCode],"FW")=0,"",SUMIFS(tblDaily[Discharges],tblDaily[EntryDate],DATE(2026,8,28),tblDaily[WardCode],"FW")),"")</f>
        <v/>
      </c>
      <c r="D307" s="12">
        <f>IFERROR(IF(SUMIFS(tblDaily[Deaths],tblDaily[EntryDate],DATE(2026,8,28),tblDaily[WardCode],"FW")=0,"",SUMIFS(tblDaily[Deaths],tblDaily[EntryDate],DATE(2026,8,28),tblDaily[WardCode],"FW")),"")</f>
        <v/>
      </c>
      <c r="E307" s="12">
        <f>IFERROR(IF(SUMIFS(tblDaily[DeathsUnder24Hrs],tblDaily[EntryDate],DATE(2026,8,28),tblDaily[WardCode],"FW")=0,"",SUMIFS(tblDaily[DeathsUnder24Hrs],tblDaily[EntryDate],DATE(2026,8,28),tblDaily[WardCode],"FW")),"")</f>
        <v/>
      </c>
      <c r="F307" s="12">
        <f>IFERROR(IF(SUMIFS(tblDaily[TransfersIn],tblDaily[EntryDate],DATE(2026,8,28),tblDaily[WardCode],"FW")=0,"",SUMIFS(tblDaily[TransfersIn],tblDaily[EntryDate],DATE(2026,8,28),tblDaily[WardCode],"FW")),"")</f>
        <v/>
      </c>
      <c r="G307" s="12">
        <f>IFERROR(IF(SUMIFS(tblDaily[TransfersOut],tblDaily[EntryDate],DATE(2026,8,28),tblDaily[WardCode],"FW")=0,"",SUMIFS(tblDaily[TransfersOut],tblDaily[EntryDate],DATE(2026,8,28),tblDaily[WardCode],"FW")),"")</f>
        <v/>
      </c>
      <c r="H307" s="12">
        <f>IFERROR(IF(SUMIFS(tblDaily[Remaining],tblDaily[EntryDate],DATE(2026,8,28),tblDaily[WardCode],"FW")=0,"",SUMIFS(tblDaily[Remaining],tblDaily[EntryDate],DATE(2026,8,28),tblDaily[WardCode],"FW")),"")</f>
        <v/>
      </c>
    </row>
    <row r="308">
      <c r="A308" s="12" t="n">
        <v>29</v>
      </c>
      <c r="B308" s="12">
        <f>IFERROR(IF(SUMIFS(tblDaily[Admissions],tblDaily[EntryDate],DATE(2026,8,29),tblDaily[WardCode],"FW")=0,"",SUMIFS(tblDaily[Admissions],tblDaily[EntryDate],DATE(2026,8,29),tblDaily[WardCode],"FW")),"")</f>
        <v/>
      </c>
      <c r="C308" s="12">
        <f>IFERROR(IF(SUMIFS(tblDaily[Discharges],tblDaily[EntryDate],DATE(2026,8,29),tblDaily[WardCode],"FW")=0,"",SUMIFS(tblDaily[Discharges],tblDaily[EntryDate],DATE(2026,8,29),tblDaily[WardCode],"FW")),"")</f>
        <v/>
      </c>
      <c r="D308" s="12">
        <f>IFERROR(IF(SUMIFS(tblDaily[Deaths],tblDaily[EntryDate],DATE(2026,8,29),tblDaily[WardCode],"FW")=0,"",SUMIFS(tblDaily[Deaths],tblDaily[EntryDate],DATE(2026,8,29),tblDaily[WardCode],"FW")),"")</f>
        <v/>
      </c>
      <c r="E308" s="12">
        <f>IFERROR(IF(SUMIFS(tblDaily[DeathsUnder24Hrs],tblDaily[EntryDate],DATE(2026,8,29),tblDaily[WardCode],"FW")=0,"",SUMIFS(tblDaily[DeathsUnder24Hrs],tblDaily[EntryDate],DATE(2026,8,29),tblDaily[WardCode],"FW")),"")</f>
        <v/>
      </c>
      <c r="F308" s="12">
        <f>IFERROR(IF(SUMIFS(tblDaily[TransfersIn],tblDaily[EntryDate],DATE(2026,8,29),tblDaily[WardCode],"FW")=0,"",SUMIFS(tblDaily[TransfersIn],tblDaily[EntryDate],DATE(2026,8,29),tblDaily[WardCode],"FW")),"")</f>
        <v/>
      </c>
      <c r="G308" s="12">
        <f>IFERROR(IF(SUMIFS(tblDaily[TransfersOut],tblDaily[EntryDate],DATE(2026,8,29),tblDaily[WardCode],"FW")=0,"",SUMIFS(tblDaily[TransfersOut],tblDaily[EntryDate],DATE(2026,8,29),tblDaily[WardCode],"FW")),"")</f>
        <v/>
      </c>
      <c r="H308" s="12">
        <f>IFERROR(IF(SUMIFS(tblDaily[Remaining],tblDaily[EntryDate],DATE(2026,8,29),tblDaily[WardCode],"FW")=0,"",SUMIFS(tblDaily[Remaining],tblDaily[EntryDate],DATE(2026,8,29),tblDaily[WardCode],"FW")),"")</f>
        <v/>
      </c>
    </row>
    <row r="309">
      <c r="A309" s="12" t="n">
        <v>30</v>
      </c>
      <c r="B309" s="12">
        <f>IFERROR(IF(SUMIFS(tblDaily[Admissions],tblDaily[EntryDate],DATE(2026,8,30),tblDaily[WardCode],"FW")=0,"",SUMIFS(tblDaily[Admissions],tblDaily[EntryDate],DATE(2026,8,30),tblDaily[WardCode],"FW")),"")</f>
        <v/>
      </c>
      <c r="C309" s="12">
        <f>IFERROR(IF(SUMIFS(tblDaily[Discharges],tblDaily[EntryDate],DATE(2026,8,30),tblDaily[WardCode],"FW")=0,"",SUMIFS(tblDaily[Discharges],tblDaily[EntryDate],DATE(2026,8,30),tblDaily[WardCode],"FW")),"")</f>
        <v/>
      </c>
      <c r="D309" s="12">
        <f>IFERROR(IF(SUMIFS(tblDaily[Deaths],tblDaily[EntryDate],DATE(2026,8,30),tblDaily[WardCode],"FW")=0,"",SUMIFS(tblDaily[Deaths],tblDaily[EntryDate],DATE(2026,8,30),tblDaily[WardCode],"FW")),"")</f>
        <v/>
      </c>
      <c r="E309" s="12">
        <f>IFERROR(IF(SUMIFS(tblDaily[DeathsUnder24Hrs],tblDaily[EntryDate],DATE(2026,8,30),tblDaily[WardCode],"FW")=0,"",SUMIFS(tblDaily[DeathsUnder24Hrs],tblDaily[EntryDate],DATE(2026,8,30),tblDaily[WardCode],"FW")),"")</f>
        <v/>
      </c>
      <c r="F309" s="12">
        <f>IFERROR(IF(SUMIFS(tblDaily[TransfersIn],tblDaily[EntryDate],DATE(2026,8,30),tblDaily[WardCode],"FW")=0,"",SUMIFS(tblDaily[TransfersIn],tblDaily[EntryDate],DATE(2026,8,30),tblDaily[WardCode],"FW")),"")</f>
        <v/>
      </c>
      <c r="G309" s="12">
        <f>IFERROR(IF(SUMIFS(tblDaily[TransfersOut],tblDaily[EntryDate],DATE(2026,8,30),tblDaily[WardCode],"FW")=0,"",SUMIFS(tblDaily[TransfersOut],tblDaily[EntryDate],DATE(2026,8,30),tblDaily[WardCode],"FW")),"")</f>
        <v/>
      </c>
      <c r="H309" s="12">
        <f>IFERROR(IF(SUMIFS(tblDaily[Remaining],tblDaily[EntryDate],DATE(2026,8,30),tblDaily[WardCode],"FW")=0,"",SUMIFS(tblDaily[Remaining],tblDaily[EntryDate],DATE(2026,8,30),tblDaily[WardCode],"FW")),"")</f>
        <v/>
      </c>
    </row>
    <row r="310">
      <c r="A310" s="12" t="n">
        <v>31</v>
      </c>
      <c r="B310" s="12">
        <f>IFERROR(IF(SUMIFS(tblDaily[Admissions],tblDaily[EntryDate],DATE(2026,8,31),tblDaily[WardCode],"FW")=0,"",SUMIFS(tblDaily[Admissions],tblDaily[EntryDate],DATE(2026,8,31),tblDaily[WardCode],"FW")),"")</f>
        <v/>
      </c>
      <c r="C310" s="12">
        <f>IFERROR(IF(SUMIFS(tblDaily[Discharges],tblDaily[EntryDate],DATE(2026,8,31),tblDaily[WardCode],"FW")=0,"",SUMIFS(tblDaily[Discharges],tblDaily[EntryDate],DATE(2026,8,31),tblDaily[WardCode],"FW")),"")</f>
        <v/>
      </c>
      <c r="D310" s="12">
        <f>IFERROR(IF(SUMIFS(tblDaily[Deaths],tblDaily[EntryDate],DATE(2026,8,31),tblDaily[WardCode],"FW")=0,"",SUMIFS(tblDaily[Deaths],tblDaily[EntryDate],DATE(2026,8,31),tblDaily[WardCode],"FW")),"")</f>
        <v/>
      </c>
      <c r="E310" s="12">
        <f>IFERROR(IF(SUMIFS(tblDaily[DeathsUnder24Hrs],tblDaily[EntryDate],DATE(2026,8,31),tblDaily[WardCode],"FW")=0,"",SUMIFS(tblDaily[DeathsUnder24Hrs],tblDaily[EntryDate],DATE(2026,8,31),tblDaily[WardCode],"FW")),"")</f>
        <v/>
      </c>
      <c r="F310" s="12">
        <f>IFERROR(IF(SUMIFS(tblDaily[TransfersIn],tblDaily[EntryDate],DATE(2026,8,31),tblDaily[WardCode],"FW")=0,"",SUMIFS(tblDaily[TransfersIn],tblDaily[EntryDate],DATE(2026,8,31),tblDaily[WardCode],"FW")),"")</f>
        <v/>
      </c>
      <c r="G310" s="12">
        <f>IFERROR(IF(SUMIFS(tblDaily[TransfersOut],tblDaily[EntryDate],DATE(2026,8,31),tblDaily[WardCode],"FW")=0,"",SUMIFS(tblDaily[TransfersOut],tblDaily[EntryDate],DATE(2026,8,31),tblDaily[WardCode],"FW")),"")</f>
        <v/>
      </c>
      <c r="H310" s="12">
        <f>IFERROR(IF(SUMIFS(tblDaily[Remaining],tblDaily[EntryDate],DATE(2026,8,31),tblDaily[WardCode],"FW")=0,"",SUMIFS(tblDaily[Remaining],tblDaily[EntryDate],DATE(2026,8,31),tblDaily[WardCode],"FW")),"")</f>
        <v/>
      </c>
    </row>
    <row r="311">
      <c r="A311" s="17" t="inlineStr">
        <is>
          <t>TOTAL</t>
        </is>
      </c>
      <c r="B311" s="17">
        <f>SUMIFS(tblDaily[Admissions],tblDaily[Month],8,tblDaily[WardCode],"FW") - SUMIFS(tblDaily[DeathsUnder24Hrs],tblDaily[Month],8,tblDaily[WardCode],"FW")</f>
        <v/>
      </c>
      <c r="C311" s="17">
        <f>SUMIFS(tblDaily[Discharges],tblDaily[Month],8,tblDaily[WardCode],"FW")</f>
        <v/>
      </c>
      <c r="D311" s="17">
        <f>SUMIFS(tblDaily[Deaths],tblDaily[Month],8,tblDaily[WardCode],"FW")</f>
        <v/>
      </c>
      <c r="E311" s="17">
        <f>SUMIFS(tblDaily[DeathsUnder24Hrs],tblDaily[Month],8,tblDaily[WardCode],"FW")</f>
        <v/>
      </c>
      <c r="F311" s="17">
        <f>SUMIFS(tblDaily[TransfersIn],tblDaily[Month],8,tblDaily[WardCode],"FW")</f>
        <v/>
      </c>
      <c r="G311" s="17">
        <f>SUMIFS(tblDaily[TransfersOut],tblDaily[Month],8,tblDaily[WardCode],"FW")</f>
        <v/>
      </c>
      <c r="H311" s="17">
        <f>SUMIFS(tblDaily[Remaining],tblDaily[Month],8,tblDaily[WardCode],"FW")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FEMALE MEDICAL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4">
        <f>IFERROR(SUMIFS(tblDaily[Remaining],tblDaily[EntryDate],DATE(2026,8,31),tblDaily[WardCode],"FW"),0)</f>
        <v/>
      </c>
    </row>
    <row r="317">
      <c r="A317" s="4" t="inlineStr">
        <is>
          <t>Bed complement</t>
        </is>
      </c>
      <c r="H317" s="15">
        <f>IFERROR(INDEX(tblWardConfig[BedComplement],MATCH("FW",tblWardConfig[WardCode],0)),0)</f>
        <v/>
      </c>
    </row>
    <row r="318">
      <c r="A318" s="16" t="inlineStr">
        <is>
          <t>Day of
the
Month</t>
        </is>
      </c>
      <c r="B318" s="16" t="inlineStr">
        <is>
          <t>Admissions</t>
        </is>
      </c>
      <c r="C318" s="16" t="inlineStr">
        <is>
          <t>Discharges</t>
        </is>
      </c>
      <c r="D318" s="16" t="inlineStr">
        <is>
          <t>Deaths</t>
        </is>
      </c>
      <c r="E318" s="16" t="inlineStr">
        <is>
          <t>Deaths
&lt;24Hrs</t>
        </is>
      </c>
      <c r="F318" s="16" t="inlineStr">
        <is>
          <t>Transfers-
In</t>
        </is>
      </c>
      <c r="G318" s="16" t="inlineStr">
        <is>
          <t>Transfers-
Out</t>
        </is>
      </c>
      <c r="H318" s="16" t="inlineStr">
        <is>
          <t>No. of Patients
Remaining In
Ward</t>
        </is>
      </c>
    </row>
    <row r="319">
      <c r="A319" s="12" t="n">
        <v>1</v>
      </c>
      <c r="B319" s="12">
        <f>IFERROR(IF(SUMIFS(tblDaily[Admissions],tblDaily[EntryDate],DATE(2026,9,1),tblDaily[WardCode],"FW")=0,"",SUMIFS(tblDaily[Admissions],tblDaily[EntryDate],DATE(2026,9,1),tblDaily[WardCode],"FW")),"")</f>
        <v/>
      </c>
      <c r="C319" s="12">
        <f>IFERROR(IF(SUMIFS(tblDaily[Discharges],tblDaily[EntryDate],DATE(2026,9,1),tblDaily[WardCode],"FW")=0,"",SUMIFS(tblDaily[Discharges],tblDaily[EntryDate],DATE(2026,9,1),tblDaily[WardCode],"FW")),"")</f>
        <v/>
      </c>
      <c r="D319" s="12">
        <f>IFERROR(IF(SUMIFS(tblDaily[Deaths],tblDaily[EntryDate],DATE(2026,9,1),tblDaily[WardCode],"FW")=0,"",SUMIFS(tblDaily[Deaths],tblDaily[EntryDate],DATE(2026,9,1),tblDaily[WardCode],"FW")),"")</f>
        <v/>
      </c>
      <c r="E319" s="12">
        <f>IFERROR(IF(SUMIFS(tblDaily[DeathsUnder24Hrs],tblDaily[EntryDate],DATE(2026,9,1),tblDaily[WardCode],"FW")=0,"",SUMIFS(tblDaily[DeathsUnder24Hrs],tblDaily[EntryDate],DATE(2026,9,1),tblDaily[WardCode],"FW")),"")</f>
        <v/>
      </c>
      <c r="F319" s="12">
        <f>IFERROR(IF(SUMIFS(tblDaily[TransfersIn],tblDaily[EntryDate],DATE(2026,9,1),tblDaily[WardCode],"FW")=0,"",SUMIFS(tblDaily[TransfersIn],tblDaily[EntryDate],DATE(2026,9,1),tblDaily[WardCode],"FW")),"")</f>
        <v/>
      </c>
      <c r="G319" s="12">
        <f>IFERROR(IF(SUMIFS(tblDaily[TransfersOut],tblDaily[EntryDate],DATE(2026,9,1),tblDaily[WardCode],"FW")=0,"",SUMIFS(tblDaily[TransfersOut],tblDaily[EntryDate],DATE(2026,9,1),tblDaily[WardCode],"FW")),"")</f>
        <v/>
      </c>
      <c r="H319" s="12">
        <f>IFERROR(IF(SUMIFS(tblDaily[Remaining],tblDaily[EntryDate],DATE(2026,9,1),tblDaily[WardCode],"FW")=0,"",SUMIFS(tblDaily[Remaining],tblDaily[EntryDate],DATE(2026,9,1),tblDaily[WardCode],"FW")),"")</f>
        <v/>
      </c>
    </row>
    <row r="320">
      <c r="A320" s="12" t="n">
        <v>2</v>
      </c>
      <c r="B320" s="12">
        <f>IFERROR(IF(SUMIFS(tblDaily[Admissions],tblDaily[EntryDate],DATE(2026,9,2),tblDaily[WardCode],"FW")=0,"",SUMIFS(tblDaily[Admissions],tblDaily[EntryDate],DATE(2026,9,2),tblDaily[WardCode],"FW")),"")</f>
        <v/>
      </c>
      <c r="C320" s="12">
        <f>IFERROR(IF(SUMIFS(tblDaily[Discharges],tblDaily[EntryDate],DATE(2026,9,2),tblDaily[WardCode],"FW")=0,"",SUMIFS(tblDaily[Discharges],tblDaily[EntryDate],DATE(2026,9,2),tblDaily[WardCode],"FW")),"")</f>
        <v/>
      </c>
      <c r="D320" s="12">
        <f>IFERROR(IF(SUMIFS(tblDaily[Deaths],tblDaily[EntryDate],DATE(2026,9,2),tblDaily[WardCode],"FW")=0,"",SUMIFS(tblDaily[Deaths],tblDaily[EntryDate],DATE(2026,9,2),tblDaily[WardCode],"FW")),"")</f>
        <v/>
      </c>
      <c r="E320" s="12">
        <f>IFERROR(IF(SUMIFS(tblDaily[DeathsUnder24Hrs],tblDaily[EntryDate],DATE(2026,9,2),tblDaily[WardCode],"FW")=0,"",SUMIFS(tblDaily[DeathsUnder24Hrs],tblDaily[EntryDate],DATE(2026,9,2),tblDaily[WardCode],"FW")),"")</f>
        <v/>
      </c>
      <c r="F320" s="12">
        <f>IFERROR(IF(SUMIFS(tblDaily[TransfersIn],tblDaily[EntryDate],DATE(2026,9,2),tblDaily[WardCode],"FW")=0,"",SUMIFS(tblDaily[TransfersIn],tblDaily[EntryDate],DATE(2026,9,2),tblDaily[WardCode],"FW")),"")</f>
        <v/>
      </c>
      <c r="G320" s="12">
        <f>IFERROR(IF(SUMIFS(tblDaily[TransfersOut],tblDaily[EntryDate],DATE(2026,9,2),tblDaily[WardCode],"FW")=0,"",SUMIFS(tblDaily[TransfersOut],tblDaily[EntryDate],DATE(2026,9,2),tblDaily[WardCode],"FW")),"")</f>
        <v/>
      </c>
      <c r="H320" s="12">
        <f>IFERROR(IF(SUMIFS(tblDaily[Remaining],tblDaily[EntryDate],DATE(2026,9,2),tblDaily[WardCode],"FW")=0,"",SUMIFS(tblDaily[Remaining],tblDaily[EntryDate],DATE(2026,9,2),tblDaily[WardCode],"FW")),"")</f>
        <v/>
      </c>
    </row>
    <row r="321">
      <c r="A321" s="12" t="n">
        <v>3</v>
      </c>
      <c r="B321" s="12">
        <f>IFERROR(IF(SUMIFS(tblDaily[Admissions],tblDaily[EntryDate],DATE(2026,9,3),tblDaily[WardCode],"FW")=0,"",SUMIFS(tblDaily[Admissions],tblDaily[EntryDate],DATE(2026,9,3),tblDaily[WardCode],"FW")),"")</f>
        <v/>
      </c>
      <c r="C321" s="12">
        <f>IFERROR(IF(SUMIFS(tblDaily[Discharges],tblDaily[EntryDate],DATE(2026,9,3),tblDaily[WardCode],"FW")=0,"",SUMIFS(tblDaily[Discharges],tblDaily[EntryDate],DATE(2026,9,3),tblDaily[WardCode],"FW")),"")</f>
        <v/>
      </c>
      <c r="D321" s="12">
        <f>IFERROR(IF(SUMIFS(tblDaily[Deaths],tblDaily[EntryDate],DATE(2026,9,3),tblDaily[WardCode],"FW")=0,"",SUMIFS(tblDaily[Deaths],tblDaily[EntryDate],DATE(2026,9,3),tblDaily[WardCode],"FW")),"")</f>
        <v/>
      </c>
      <c r="E321" s="12">
        <f>IFERROR(IF(SUMIFS(tblDaily[DeathsUnder24Hrs],tblDaily[EntryDate],DATE(2026,9,3),tblDaily[WardCode],"FW")=0,"",SUMIFS(tblDaily[DeathsUnder24Hrs],tblDaily[EntryDate],DATE(2026,9,3),tblDaily[WardCode],"FW")),"")</f>
        <v/>
      </c>
      <c r="F321" s="12">
        <f>IFERROR(IF(SUMIFS(tblDaily[TransfersIn],tblDaily[EntryDate],DATE(2026,9,3),tblDaily[WardCode],"FW")=0,"",SUMIFS(tblDaily[TransfersIn],tblDaily[EntryDate],DATE(2026,9,3),tblDaily[WardCode],"FW")),"")</f>
        <v/>
      </c>
      <c r="G321" s="12">
        <f>IFERROR(IF(SUMIFS(tblDaily[TransfersOut],tblDaily[EntryDate],DATE(2026,9,3),tblDaily[WardCode],"FW")=0,"",SUMIFS(tblDaily[TransfersOut],tblDaily[EntryDate],DATE(2026,9,3),tblDaily[WardCode],"FW")),"")</f>
        <v/>
      </c>
      <c r="H321" s="12">
        <f>IFERROR(IF(SUMIFS(tblDaily[Remaining],tblDaily[EntryDate],DATE(2026,9,3),tblDaily[WardCode],"FW")=0,"",SUMIFS(tblDaily[Remaining],tblDaily[EntryDate],DATE(2026,9,3),tblDaily[WardCode],"FW")),"")</f>
        <v/>
      </c>
    </row>
    <row r="322">
      <c r="A322" s="12" t="n">
        <v>4</v>
      </c>
      <c r="B322" s="12">
        <f>IFERROR(IF(SUMIFS(tblDaily[Admissions],tblDaily[EntryDate],DATE(2026,9,4),tblDaily[WardCode],"FW")=0,"",SUMIFS(tblDaily[Admissions],tblDaily[EntryDate],DATE(2026,9,4),tblDaily[WardCode],"FW")),"")</f>
        <v/>
      </c>
      <c r="C322" s="12">
        <f>IFERROR(IF(SUMIFS(tblDaily[Discharges],tblDaily[EntryDate],DATE(2026,9,4),tblDaily[WardCode],"FW")=0,"",SUMIFS(tblDaily[Discharges],tblDaily[EntryDate],DATE(2026,9,4),tblDaily[WardCode],"FW")),"")</f>
        <v/>
      </c>
      <c r="D322" s="12">
        <f>IFERROR(IF(SUMIFS(tblDaily[Deaths],tblDaily[EntryDate],DATE(2026,9,4),tblDaily[WardCode],"FW")=0,"",SUMIFS(tblDaily[Deaths],tblDaily[EntryDate],DATE(2026,9,4),tblDaily[WardCode],"FW")),"")</f>
        <v/>
      </c>
      <c r="E322" s="12">
        <f>IFERROR(IF(SUMIFS(tblDaily[DeathsUnder24Hrs],tblDaily[EntryDate],DATE(2026,9,4),tblDaily[WardCode],"FW")=0,"",SUMIFS(tblDaily[DeathsUnder24Hrs],tblDaily[EntryDate],DATE(2026,9,4),tblDaily[WardCode],"FW")),"")</f>
        <v/>
      </c>
      <c r="F322" s="12">
        <f>IFERROR(IF(SUMIFS(tblDaily[TransfersIn],tblDaily[EntryDate],DATE(2026,9,4),tblDaily[WardCode],"FW")=0,"",SUMIFS(tblDaily[TransfersIn],tblDaily[EntryDate],DATE(2026,9,4),tblDaily[WardCode],"FW")),"")</f>
        <v/>
      </c>
      <c r="G322" s="12">
        <f>IFERROR(IF(SUMIFS(tblDaily[TransfersOut],tblDaily[EntryDate],DATE(2026,9,4),tblDaily[WardCode],"FW")=0,"",SUMIFS(tblDaily[TransfersOut],tblDaily[EntryDate],DATE(2026,9,4),tblDaily[WardCode],"FW")),"")</f>
        <v/>
      </c>
      <c r="H322" s="12">
        <f>IFERROR(IF(SUMIFS(tblDaily[Remaining],tblDaily[EntryDate],DATE(2026,9,4),tblDaily[WardCode],"FW")=0,"",SUMIFS(tblDaily[Remaining],tblDaily[EntryDate],DATE(2026,9,4),tblDaily[WardCode],"FW")),"")</f>
        <v/>
      </c>
    </row>
    <row r="323">
      <c r="A323" s="12" t="n">
        <v>5</v>
      </c>
      <c r="B323" s="12">
        <f>IFERROR(IF(SUMIFS(tblDaily[Admissions],tblDaily[EntryDate],DATE(2026,9,5),tblDaily[WardCode],"FW")=0,"",SUMIFS(tblDaily[Admissions],tblDaily[EntryDate],DATE(2026,9,5),tblDaily[WardCode],"FW")),"")</f>
        <v/>
      </c>
      <c r="C323" s="12">
        <f>IFERROR(IF(SUMIFS(tblDaily[Discharges],tblDaily[EntryDate],DATE(2026,9,5),tblDaily[WardCode],"FW")=0,"",SUMIFS(tblDaily[Discharges],tblDaily[EntryDate],DATE(2026,9,5),tblDaily[WardCode],"FW")),"")</f>
        <v/>
      </c>
      <c r="D323" s="12">
        <f>IFERROR(IF(SUMIFS(tblDaily[Deaths],tblDaily[EntryDate],DATE(2026,9,5),tblDaily[WardCode],"FW")=0,"",SUMIFS(tblDaily[Deaths],tblDaily[EntryDate],DATE(2026,9,5),tblDaily[WardCode],"FW")),"")</f>
        <v/>
      </c>
      <c r="E323" s="12">
        <f>IFERROR(IF(SUMIFS(tblDaily[DeathsUnder24Hrs],tblDaily[EntryDate],DATE(2026,9,5),tblDaily[WardCode],"FW")=0,"",SUMIFS(tblDaily[DeathsUnder24Hrs],tblDaily[EntryDate],DATE(2026,9,5),tblDaily[WardCode],"FW")),"")</f>
        <v/>
      </c>
      <c r="F323" s="12">
        <f>IFERROR(IF(SUMIFS(tblDaily[TransfersIn],tblDaily[EntryDate],DATE(2026,9,5),tblDaily[WardCode],"FW")=0,"",SUMIFS(tblDaily[TransfersIn],tblDaily[EntryDate],DATE(2026,9,5),tblDaily[WardCode],"FW")),"")</f>
        <v/>
      </c>
      <c r="G323" s="12">
        <f>IFERROR(IF(SUMIFS(tblDaily[TransfersOut],tblDaily[EntryDate],DATE(2026,9,5),tblDaily[WardCode],"FW")=0,"",SUMIFS(tblDaily[TransfersOut],tblDaily[EntryDate],DATE(2026,9,5),tblDaily[WardCode],"FW")),"")</f>
        <v/>
      </c>
      <c r="H323" s="12">
        <f>IFERROR(IF(SUMIFS(tblDaily[Remaining],tblDaily[EntryDate],DATE(2026,9,5),tblDaily[WardCode],"FW")=0,"",SUMIFS(tblDaily[Remaining],tblDaily[EntryDate],DATE(2026,9,5),tblDaily[WardCode],"FW")),"")</f>
        <v/>
      </c>
    </row>
    <row r="324">
      <c r="A324" s="12" t="n">
        <v>6</v>
      </c>
      <c r="B324" s="12">
        <f>IFERROR(IF(SUMIFS(tblDaily[Admissions],tblDaily[EntryDate],DATE(2026,9,6),tblDaily[WardCode],"FW")=0,"",SUMIFS(tblDaily[Admissions],tblDaily[EntryDate],DATE(2026,9,6),tblDaily[WardCode],"FW")),"")</f>
        <v/>
      </c>
      <c r="C324" s="12">
        <f>IFERROR(IF(SUMIFS(tblDaily[Discharges],tblDaily[EntryDate],DATE(2026,9,6),tblDaily[WardCode],"FW")=0,"",SUMIFS(tblDaily[Discharges],tblDaily[EntryDate],DATE(2026,9,6),tblDaily[WardCode],"FW")),"")</f>
        <v/>
      </c>
      <c r="D324" s="12">
        <f>IFERROR(IF(SUMIFS(tblDaily[Deaths],tblDaily[EntryDate],DATE(2026,9,6),tblDaily[WardCode],"FW")=0,"",SUMIFS(tblDaily[Deaths],tblDaily[EntryDate],DATE(2026,9,6),tblDaily[WardCode],"FW")),"")</f>
        <v/>
      </c>
      <c r="E324" s="12">
        <f>IFERROR(IF(SUMIFS(tblDaily[DeathsUnder24Hrs],tblDaily[EntryDate],DATE(2026,9,6),tblDaily[WardCode],"FW")=0,"",SUMIFS(tblDaily[DeathsUnder24Hrs],tblDaily[EntryDate],DATE(2026,9,6),tblDaily[WardCode],"FW")),"")</f>
        <v/>
      </c>
      <c r="F324" s="12">
        <f>IFERROR(IF(SUMIFS(tblDaily[TransfersIn],tblDaily[EntryDate],DATE(2026,9,6),tblDaily[WardCode],"FW")=0,"",SUMIFS(tblDaily[TransfersIn],tblDaily[EntryDate],DATE(2026,9,6),tblDaily[WardCode],"FW")),"")</f>
        <v/>
      </c>
      <c r="G324" s="12">
        <f>IFERROR(IF(SUMIFS(tblDaily[TransfersOut],tblDaily[EntryDate],DATE(2026,9,6),tblDaily[WardCode],"FW")=0,"",SUMIFS(tblDaily[TransfersOut],tblDaily[EntryDate],DATE(2026,9,6),tblDaily[WardCode],"FW")),"")</f>
        <v/>
      </c>
      <c r="H324" s="12">
        <f>IFERROR(IF(SUMIFS(tblDaily[Remaining],tblDaily[EntryDate],DATE(2026,9,6),tblDaily[WardCode],"FW")=0,"",SUMIFS(tblDaily[Remaining],tblDaily[EntryDate],DATE(2026,9,6),tblDaily[WardCode],"FW")),"")</f>
        <v/>
      </c>
    </row>
    <row r="325">
      <c r="A325" s="12" t="n">
        <v>7</v>
      </c>
      <c r="B325" s="12">
        <f>IFERROR(IF(SUMIFS(tblDaily[Admissions],tblDaily[EntryDate],DATE(2026,9,7),tblDaily[WardCode],"FW")=0,"",SUMIFS(tblDaily[Admissions],tblDaily[EntryDate],DATE(2026,9,7),tblDaily[WardCode],"FW")),"")</f>
        <v/>
      </c>
      <c r="C325" s="12">
        <f>IFERROR(IF(SUMIFS(tblDaily[Discharges],tblDaily[EntryDate],DATE(2026,9,7),tblDaily[WardCode],"FW")=0,"",SUMIFS(tblDaily[Discharges],tblDaily[EntryDate],DATE(2026,9,7),tblDaily[WardCode],"FW")),"")</f>
        <v/>
      </c>
      <c r="D325" s="12">
        <f>IFERROR(IF(SUMIFS(tblDaily[Deaths],tblDaily[EntryDate],DATE(2026,9,7),tblDaily[WardCode],"FW")=0,"",SUMIFS(tblDaily[Deaths],tblDaily[EntryDate],DATE(2026,9,7),tblDaily[WardCode],"FW")),"")</f>
        <v/>
      </c>
      <c r="E325" s="12">
        <f>IFERROR(IF(SUMIFS(tblDaily[DeathsUnder24Hrs],tblDaily[EntryDate],DATE(2026,9,7),tblDaily[WardCode],"FW")=0,"",SUMIFS(tblDaily[DeathsUnder24Hrs],tblDaily[EntryDate],DATE(2026,9,7),tblDaily[WardCode],"FW")),"")</f>
        <v/>
      </c>
      <c r="F325" s="12">
        <f>IFERROR(IF(SUMIFS(tblDaily[TransfersIn],tblDaily[EntryDate],DATE(2026,9,7),tblDaily[WardCode],"FW")=0,"",SUMIFS(tblDaily[TransfersIn],tblDaily[EntryDate],DATE(2026,9,7),tblDaily[WardCode],"FW")),"")</f>
        <v/>
      </c>
      <c r="G325" s="12">
        <f>IFERROR(IF(SUMIFS(tblDaily[TransfersOut],tblDaily[EntryDate],DATE(2026,9,7),tblDaily[WardCode],"FW")=0,"",SUMIFS(tblDaily[TransfersOut],tblDaily[EntryDate],DATE(2026,9,7),tblDaily[WardCode],"FW")),"")</f>
        <v/>
      </c>
      <c r="H325" s="12">
        <f>IFERROR(IF(SUMIFS(tblDaily[Remaining],tblDaily[EntryDate],DATE(2026,9,7),tblDaily[WardCode],"FW")=0,"",SUMIFS(tblDaily[Remaining],tblDaily[EntryDate],DATE(2026,9,7),tblDaily[WardCode],"FW")),"")</f>
        <v/>
      </c>
    </row>
    <row r="326">
      <c r="A326" s="12" t="n">
        <v>8</v>
      </c>
      <c r="B326" s="12">
        <f>IFERROR(IF(SUMIFS(tblDaily[Admissions],tblDaily[EntryDate],DATE(2026,9,8),tblDaily[WardCode],"FW")=0,"",SUMIFS(tblDaily[Admissions],tblDaily[EntryDate],DATE(2026,9,8),tblDaily[WardCode],"FW")),"")</f>
        <v/>
      </c>
      <c r="C326" s="12">
        <f>IFERROR(IF(SUMIFS(tblDaily[Discharges],tblDaily[EntryDate],DATE(2026,9,8),tblDaily[WardCode],"FW")=0,"",SUMIFS(tblDaily[Discharges],tblDaily[EntryDate],DATE(2026,9,8),tblDaily[WardCode],"FW")),"")</f>
        <v/>
      </c>
      <c r="D326" s="12">
        <f>IFERROR(IF(SUMIFS(tblDaily[Deaths],tblDaily[EntryDate],DATE(2026,9,8),tblDaily[WardCode],"FW")=0,"",SUMIFS(tblDaily[Deaths],tblDaily[EntryDate],DATE(2026,9,8),tblDaily[WardCode],"FW")),"")</f>
        <v/>
      </c>
      <c r="E326" s="12">
        <f>IFERROR(IF(SUMIFS(tblDaily[DeathsUnder24Hrs],tblDaily[EntryDate],DATE(2026,9,8),tblDaily[WardCode],"FW")=0,"",SUMIFS(tblDaily[DeathsUnder24Hrs],tblDaily[EntryDate],DATE(2026,9,8),tblDaily[WardCode],"FW")),"")</f>
        <v/>
      </c>
      <c r="F326" s="12">
        <f>IFERROR(IF(SUMIFS(tblDaily[TransfersIn],tblDaily[EntryDate],DATE(2026,9,8),tblDaily[WardCode],"FW")=0,"",SUMIFS(tblDaily[TransfersIn],tblDaily[EntryDate],DATE(2026,9,8),tblDaily[WardCode],"FW")),"")</f>
        <v/>
      </c>
      <c r="G326" s="12">
        <f>IFERROR(IF(SUMIFS(tblDaily[TransfersOut],tblDaily[EntryDate],DATE(2026,9,8),tblDaily[WardCode],"FW")=0,"",SUMIFS(tblDaily[TransfersOut],tblDaily[EntryDate],DATE(2026,9,8),tblDaily[WardCode],"FW")),"")</f>
        <v/>
      </c>
      <c r="H326" s="12">
        <f>IFERROR(IF(SUMIFS(tblDaily[Remaining],tblDaily[EntryDate],DATE(2026,9,8),tblDaily[WardCode],"FW")=0,"",SUMIFS(tblDaily[Remaining],tblDaily[EntryDate],DATE(2026,9,8),tblDaily[WardCode],"FW")),"")</f>
        <v/>
      </c>
    </row>
    <row r="327">
      <c r="A327" s="12" t="n">
        <v>9</v>
      </c>
      <c r="B327" s="12">
        <f>IFERROR(IF(SUMIFS(tblDaily[Admissions],tblDaily[EntryDate],DATE(2026,9,9),tblDaily[WardCode],"FW")=0,"",SUMIFS(tblDaily[Admissions],tblDaily[EntryDate],DATE(2026,9,9),tblDaily[WardCode],"FW")),"")</f>
        <v/>
      </c>
      <c r="C327" s="12">
        <f>IFERROR(IF(SUMIFS(tblDaily[Discharges],tblDaily[EntryDate],DATE(2026,9,9),tblDaily[WardCode],"FW")=0,"",SUMIFS(tblDaily[Discharges],tblDaily[EntryDate],DATE(2026,9,9),tblDaily[WardCode],"FW")),"")</f>
        <v/>
      </c>
      <c r="D327" s="12">
        <f>IFERROR(IF(SUMIFS(tblDaily[Deaths],tblDaily[EntryDate],DATE(2026,9,9),tblDaily[WardCode],"FW")=0,"",SUMIFS(tblDaily[Deaths],tblDaily[EntryDate],DATE(2026,9,9),tblDaily[WardCode],"FW")),"")</f>
        <v/>
      </c>
      <c r="E327" s="12">
        <f>IFERROR(IF(SUMIFS(tblDaily[DeathsUnder24Hrs],tblDaily[EntryDate],DATE(2026,9,9),tblDaily[WardCode],"FW")=0,"",SUMIFS(tblDaily[DeathsUnder24Hrs],tblDaily[EntryDate],DATE(2026,9,9),tblDaily[WardCode],"FW")),"")</f>
        <v/>
      </c>
      <c r="F327" s="12">
        <f>IFERROR(IF(SUMIFS(tblDaily[TransfersIn],tblDaily[EntryDate],DATE(2026,9,9),tblDaily[WardCode],"FW")=0,"",SUMIFS(tblDaily[TransfersIn],tblDaily[EntryDate],DATE(2026,9,9),tblDaily[WardCode],"FW")),"")</f>
        <v/>
      </c>
      <c r="G327" s="12">
        <f>IFERROR(IF(SUMIFS(tblDaily[TransfersOut],tblDaily[EntryDate],DATE(2026,9,9),tblDaily[WardCode],"FW")=0,"",SUMIFS(tblDaily[TransfersOut],tblDaily[EntryDate],DATE(2026,9,9),tblDaily[WardCode],"FW")),"")</f>
        <v/>
      </c>
      <c r="H327" s="12">
        <f>IFERROR(IF(SUMIFS(tblDaily[Remaining],tblDaily[EntryDate],DATE(2026,9,9),tblDaily[WardCode],"FW")=0,"",SUMIFS(tblDaily[Remaining],tblDaily[EntryDate],DATE(2026,9,9),tblDaily[WardCode],"FW")),"")</f>
        <v/>
      </c>
    </row>
    <row r="328">
      <c r="A328" s="12" t="n">
        <v>10</v>
      </c>
      <c r="B328" s="12">
        <f>IFERROR(IF(SUMIFS(tblDaily[Admissions],tblDaily[EntryDate],DATE(2026,9,10),tblDaily[WardCode],"FW")=0,"",SUMIFS(tblDaily[Admissions],tblDaily[EntryDate],DATE(2026,9,10),tblDaily[WardCode],"FW")),"")</f>
        <v/>
      </c>
      <c r="C328" s="12">
        <f>IFERROR(IF(SUMIFS(tblDaily[Discharges],tblDaily[EntryDate],DATE(2026,9,10),tblDaily[WardCode],"FW")=0,"",SUMIFS(tblDaily[Discharges],tblDaily[EntryDate],DATE(2026,9,10),tblDaily[WardCode],"FW")),"")</f>
        <v/>
      </c>
      <c r="D328" s="12">
        <f>IFERROR(IF(SUMIFS(tblDaily[Deaths],tblDaily[EntryDate],DATE(2026,9,10),tblDaily[WardCode],"FW")=0,"",SUMIFS(tblDaily[Deaths],tblDaily[EntryDate],DATE(2026,9,10),tblDaily[WardCode],"FW")),"")</f>
        <v/>
      </c>
      <c r="E328" s="12">
        <f>IFERROR(IF(SUMIFS(tblDaily[DeathsUnder24Hrs],tblDaily[EntryDate],DATE(2026,9,10),tblDaily[WardCode],"FW")=0,"",SUMIFS(tblDaily[DeathsUnder24Hrs],tblDaily[EntryDate],DATE(2026,9,10),tblDaily[WardCode],"FW")),"")</f>
        <v/>
      </c>
      <c r="F328" s="12">
        <f>IFERROR(IF(SUMIFS(tblDaily[TransfersIn],tblDaily[EntryDate],DATE(2026,9,10),tblDaily[WardCode],"FW")=0,"",SUMIFS(tblDaily[TransfersIn],tblDaily[EntryDate],DATE(2026,9,10),tblDaily[WardCode],"FW")),"")</f>
        <v/>
      </c>
      <c r="G328" s="12">
        <f>IFERROR(IF(SUMIFS(tblDaily[TransfersOut],tblDaily[EntryDate],DATE(2026,9,10),tblDaily[WardCode],"FW")=0,"",SUMIFS(tblDaily[TransfersOut],tblDaily[EntryDate],DATE(2026,9,10),tblDaily[WardCode],"FW")),"")</f>
        <v/>
      </c>
      <c r="H328" s="12">
        <f>IFERROR(IF(SUMIFS(tblDaily[Remaining],tblDaily[EntryDate],DATE(2026,9,10),tblDaily[WardCode],"FW")=0,"",SUMIFS(tblDaily[Remaining],tblDaily[EntryDate],DATE(2026,9,10),tblDaily[WardCode],"FW")),"")</f>
        <v/>
      </c>
    </row>
    <row r="329">
      <c r="A329" s="12" t="n">
        <v>11</v>
      </c>
      <c r="B329" s="12">
        <f>IFERROR(IF(SUMIFS(tblDaily[Admissions],tblDaily[EntryDate],DATE(2026,9,11),tblDaily[WardCode],"FW")=0,"",SUMIFS(tblDaily[Admissions],tblDaily[EntryDate],DATE(2026,9,11),tblDaily[WardCode],"FW")),"")</f>
        <v/>
      </c>
      <c r="C329" s="12">
        <f>IFERROR(IF(SUMIFS(tblDaily[Discharges],tblDaily[EntryDate],DATE(2026,9,11),tblDaily[WardCode],"FW")=0,"",SUMIFS(tblDaily[Discharges],tblDaily[EntryDate],DATE(2026,9,11),tblDaily[WardCode],"FW")),"")</f>
        <v/>
      </c>
      <c r="D329" s="12">
        <f>IFERROR(IF(SUMIFS(tblDaily[Deaths],tblDaily[EntryDate],DATE(2026,9,11),tblDaily[WardCode],"FW")=0,"",SUMIFS(tblDaily[Deaths],tblDaily[EntryDate],DATE(2026,9,11),tblDaily[WardCode],"FW")),"")</f>
        <v/>
      </c>
      <c r="E329" s="12">
        <f>IFERROR(IF(SUMIFS(tblDaily[DeathsUnder24Hrs],tblDaily[EntryDate],DATE(2026,9,11),tblDaily[WardCode],"FW")=0,"",SUMIFS(tblDaily[DeathsUnder24Hrs],tblDaily[EntryDate],DATE(2026,9,11),tblDaily[WardCode],"FW")),"")</f>
        <v/>
      </c>
      <c r="F329" s="12">
        <f>IFERROR(IF(SUMIFS(tblDaily[TransfersIn],tblDaily[EntryDate],DATE(2026,9,11),tblDaily[WardCode],"FW")=0,"",SUMIFS(tblDaily[TransfersIn],tblDaily[EntryDate],DATE(2026,9,11),tblDaily[WardCode],"FW")),"")</f>
        <v/>
      </c>
      <c r="G329" s="12">
        <f>IFERROR(IF(SUMIFS(tblDaily[TransfersOut],tblDaily[EntryDate],DATE(2026,9,11),tblDaily[WardCode],"FW")=0,"",SUMIFS(tblDaily[TransfersOut],tblDaily[EntryDate],DATE(2026,9,11),tblDaily[WardCode],"FW")),"")</f>
        <v/>
      </c>
      <c r="H329" s="12">
        <f>IFERROR(IF(SUMIFS(tblDaily[Remaining],tblDaily[EntryDate],DATE(2026,9,11),tblDaily[WardCode],"FW")=0,"",SUMIFS(tblDaily[Remaining],tblDaily[EntryDate],DATE(2026,9,11),tblDaily[WardCode],"FW")),"")</f>
        <v/>
      </c>
    </row>
    <row r="330">
      <c r="A330" s="12" t="n">
        <v>12</v>
      </c>
      <c r="B330" s="12">
        <f>IFERROR(IF(SUMIFS(tblDaily[Admissions],tblDaily[EntryDate],DATE(2026,9,12),tblDaily[WardCode],"FW")=0,"",SUMIFS(tblDaily[Admissions],tblDaily[EntryDate],DATE(2026,9,12),tblDaily[WardCode],"FW")),"")</f>
        <v/>
      </c>
      <c r="C330" s="12">
        <f>IFERROR(IF(SUMIFS(tblDaily[Discharges],tblDaily[EntryDate],DATE(2026,9,12),tblDaily[WardCode],"FW")=0,"",SUMIFS(tblDaily[Discharges],tblDaily[EntryDate],DATE(2026,9,12),tblDaily[WardCode],"FW")),"")</f>
        <v/>
      </c>
      <c r="D330" s="12">
        <f>IFERROR(IF(SUMIFS(tblDaily[Deaths],tblDaily[EntryDate],DATE(2026,9,12),tblDaily[WardCode],"FW")=0,"",SUMIFS(tblDaily[Deaths],tblDaily[EntryDate],DATE(2026,9,12),tblDaily[WardCode],"FW")),"")</f>
        <v/>
      </c>
      <c r="E330" s="12">
        <f>IFERROR(IF(SUMIFS(tblDaily[DeathsUnder24Hrs],tblDaily[EntryDate],DATE(2026,9,12),tblDaily[WardCode],"FW")=0,"",SUMIFS(tblDaily[DeathsUnder24Hrs],tblDaily[EntryDate],DATE(2026,9,12),tblDaily[WardCode],"FW")),"")</f>
        <v/>
      </c>
      <c r="F330" s="12">
        <f>IFERROR(IF(SUMIFS(tblDaily[TransfersIn],tblDaily[EntryDate],DATE(2026,9,12),tblDaily[WardCode],"FW")=0,"",SUMIFS(tblDaily[TransfersIn],tblDaily[EntryDate],DATE(2026,9,12),tblDaily[WardCode],"FW")),"")</f>
        <v/>
      </c>
      <c r="G330" s="12">
        <f>IFERROR(IF(SUMIFS(tblDaily[TransfersOut],tblDaily[EntryDate],DATE(2026,9,12),tblDaily[WardCode],"FW")=0,"",SUMIFS(tblDaily[TransfersOut],tblDaily[EntryDate],DATE(2026,9,12),tblDaily[WardCode],"FW")),"")</f>
        <v/>
      </c>
      <c r="H330" s="12">
        <f>IFERROR(IF(SUMIFS(tblDaily[Remaining],tblDaily[EntryDate],DATE(2026,9,12),tblDaily[WardCode],"FW")=0,"",SUMIFS(tblDaily[Remaining],tblDaily[EntryDate],DATE(2026,9,12),tblDaily[WardCode],"FW")),"")</f>
        <v/>
      </c>
    </row>
    <row r="331">
      <c r="A331" s="12" t="n">
        <v>13</v>
      </c>
      <c r="B331" s="12">
        <f>IFERROR(IF(SUMIFS(tblDaily[Admissions],tblDaily[EntryDate],DATE(2026,9,13),tblDaily[WardCode],"FW")=0,"",SUMIFS(tblDaily[Admissions],tblDaily[EntryDate],DATE(2026,9,13),tblDaily[WardCode],"FW")),"")</f>
        <v/>
      </c>
      <c r="C331" s="12">
        <f>IFERROR(IF(SUMIFS(tblDaily[Discharges],tblDaily[EntryDate],DATE(2026,9,13),tblDaily[WardCode],"FW")=0,"",SUMIFS(tblDaily[Discharges],tblDaily[EntryDate],DATE(2026,9,13),tblDaily[WardCode],"FW")),"")</f>
        <v/>
      </c>
      <c r="D331" s="12">
        <f>IFERROR(IF(SUMIFS(tblDaily[Deaths],tblDaily[EntryDate],DATE(2026,9,13),tblDaily[WardCode],"FW")=0,"",SUMIFS(tblDaily[Deaths],tblDaily[EntryDate],DATE(2026,9,13),tblDaily[WardCode],"FW")),"")</f>
        <v/>
      </c>
      <c r="E331" s="12">
        <f>IFERROR(IF(SUMIFS(tblDaily[DeathsUnder24Hrs],tblDaily[EntryDate],DATE(2026,9,13),tblDaily[WardCode],"FW")=0,"",SUMIFS(tblDaily[DeathsUnder24Hrs],tblDaily[EntryDate],DATE(2026,9,13),tblDaily[WardCode],"FW")),"")</f>
        <v/>
      </c>
      <c r="F331" s="12">
        <f>IFERROR(IF(SUMIFS(tblDaily[TransfersIn],tblDaily[EntryDate],DATE(2026,9,13),tblDaily[WardCode],"FW")=0,"",SUMIFS(tblDaily[TransfersIn],tblDaily[EntryDate],DATE(2026,9,13),tblDaily[WardCode],"FW")),"")</f>
        <v/>
      </c>
      <c r="G331" s="12">
        <f>IFERROR(IF(SUMIFS(tblDaily[TransfersOut],tblDaily[EntryDate],DATE(2026,9,13),tblDaily[WardCode],"FW")=0,"",SUMIFS(tblDaily[TransfersOut],tblDaily[EntryDate],DATE(2026,9,13),tblDaily[WardCode],"FW")),"")</f>
        <v/>
      </c>
      <c r="H331" s="12">
        <f>IFERROR(IF(SUMIFS(tblDaily[Remaining],tblDaily[EntryDate],DATE(2026,9,13),tblDaily[WardCode],"FW")=0,"",SUMIFS(tblDaily[Remaining],tblDaily[EntryDate],DATE(2026,9,13),tblDaily[WardCode],"FW")),"")</f>
        <v/>
      </c>
    </row>
    <row r="332">
      <c r="A332" s="12" t="n">
        <v>14</v>
      </c>
      <c r="B332" s="12">
        <f>IFERROR(IF(SUMIFS(tblDaily[Admissions],tblDaily[EntryDate],DATE(2026,9,14),tblDaily[WardCode],"FW")=0,"",SUMIFS(tblDaily[Admissions],tblDaily[EntryDate],DATE(2026,9,14),tblDaily[WardCode],"FW")),"")</f>
        <v/>
      </c>
      <c r="C332" s="12">
        <f>IFERROR(IF(SUMIFS(tblDaily[Discharges],tblDaily[EntryDate],DATE(2026,9,14),tblDaily[WardCode],"FW")=0,"",SUMIFS(tblDaily[Discharges],tblDaily[EntryDate],DATE(2026,9,14),tblDaily[WardCode],"FW")),"")</f>
        <v/>
      </c>
      <c r="D332" s="12">
        <f>IFERROR(IF(SUMIFS(tblDaily[Deaths],tblDaily[EntryDate],DATE(2026,9,14),tblDaily[WardCode],"FW")=0,"",SUMIFS(tblDaily[Deaths],tblDaily[EntryDate],DATE(2026,9,14),tblDaily[WardCode],"FW")),"")</f>
        <v/>
      </c>
      <c r="E332" s="12">
        <f>IFERROR(IF(SUMIFS(tblDaily[DeathsUnder24Hrs],tblDaily[EntryDate],DATE(2026,9,14),tblDaily[WardCode],"FW")=0,"",SUMIFS(tblDaily[DeathsUnder24Hrs],tblDaily[EntryDate],DATE(2026,9,14),tblDaily[WardCode],"FW")),"")</f>
        <v/>
      </c>
      <c r="F332" s="12">
        <f>IFERROR(IF(SUMIFS(tblDaily[TransfersIn],tblDaily[EntryDate],DATE(2026,9,14),tblDaily[WardCode],"FW")=0,"",SUMIFS(tblDaily[TransfersIn],tblDaily[EntryDate],DATE(2026,9,14),tblDaily[WardCode],"FW")),"")</f>
        <v/>
      </c>
      <c r="G332" s="12">
        <f>IFERROR(IF(SUMIFS(tblDaily[TransfersOut],tblDaily[EntryDate],DATE(2026,9,14),tblDaily[WardCode],"FW")=0,"",SUMIFS(tblDaily[TransfersOut],tblDaily[EntryDate],DATE(2026,9,14),tblDaily[WardCode],"FW")),"")</f>
        <v/>
      </c>
      <c r="H332" s="12">
        <f>IFERROR(IF(SUMIFS(tblDaily[Remaining],tblDaily[EntryDate],DATE(2026,9,14),tblDaily[WardCode],"FW")=0,"",SUMIFS(tblDaily[Remaining],tblDaily[EntryDate],DATE(2026,9,14),tblDaily[WardCode],"FW")),"")</f>
        <v/>
      </c>
    </row>
    <row r="333">
      <c r="A333" s="12" t="n">
        <v>15</v>
      </c>
      <c r="B333" s="12">
        <f>IFERROR(IF(SUMIFS(tblDaily[Admissions],tblDaily[EntryDate],DATE(2026,9,15),tblDaily[WardCode],"FW")=0,"",SUMIFS(tblDaily[Admissions],tblDaily[EntryDate],DATE(2026,9,15),tblDaily[WardCode],"FW")),"")</f>
        <v/>
      </c>
      <c r="C333" s="12">
        <f>IFERROR(IF(SUMIFS(tblDaily[Discharges],tblDaily[EntryDate],DATE(2026,9,15),tblDaily[WardCode],"FW")=0,"",SUMIFS(tblDaily[Discharges],tblDaily[EntryDate],DATE(2026,9,15),tblDaily[WardCode],"FW")),"")</f>
        <v/>
      </c>
      <c r="D333" s="12">
        <f>IFERROR(IF(SUMIFS(tblDaily[Deaths],tblDaily[EntryDate],DATE(2026,9,15),tblDaily[WardCode],"FW")=0,"",SUMIFS(tblDaily[Deaths],tblDaily[EntryDate],DATE(2026,9,15),tblDaily[WardCode],"FW")),"")</f>
        <v/>
      </c>
      <c r="E333" s="12">
        <f>IFERROR(IF(SUMIFS(tblDaily[DeathsUnder24Hrs],tblDaily[EntryDate],DATE(2026,9,15),tblDaily[WardCode],"FW")=0,"",SUMIFS(tblDaily[DeathsUnder24Hrs],tblDaily[EntryDate],DATE(2026,9,15),tblDaily[WardCode],"FW")),"")</f>
        <v/>
      </c>
      <c r="F333" s="12">
        <f>IFERROR(IF(SUMIFS(tblDaily[TransfersIn],tblDaily[EntryDate],DATE(2026,9,15),tblDaily[WardCode],"FW")=0,"",SUMIFS(tblDaily[TransfersIn],tblDaily[EntryDate],DATE(2026,9,15),tblDaily[WardCode],"FW")),"")</f>
        <v/>
      </c>
      <c r="G333" s="12">
        <f>IFERROR(IF(SUMIFS(tblDaily[TransfersOut],tblDaily[EntryDate],DATE(2026,9,15),tblDaily[WardCode],"FW")=0,"",SUMIFS(tblDaily[TransfersOut],tblDaily[EntryDate],DATE(2026,9,15),tblDaily[WardCode],"FW")),"")</f>
        <v/>
      </c>
      <c r="H333" s="12">
        <f>IFERROR(IF(SUMIFS(tblDaily[Remaining],tblDaily[EntryDate],DATE(2026,9,15),tblDaily[WardCode],"FW")=0,"",SUMIFS(tblDaily[Remaining],tblDaily[EntryDate],DATE(2026,9,15),tblDaily[WardCode],"FW")),"")</f>
        <v/>
      </c>
    </row>
    <row r="334">
      <c r="A334" s="12" t="n">
        <v>16</v>
      </c>
      <c r="B334" s="12">
        <f>IFERROR(IF(SUMIFS(tblDaily[Admissions],tblDaily[EntryDate],DATE(2026,9,16),tblDaily[WardCode],"FW")=0,"",SUMIFS(tblDaily[Admissions],tblDaily[EntryDate],DATE(2026,9,16),tblDaily[WardCode],"FW")),"")</f>
        <v/>
      </c>
      <c r="C334" s="12">
        <f>IFERROR(IF(SUMIFS(tblDaily[Discharges],tblDaily[EntryDate],DATE(2026,9,16),tblDaily[WardCode],"FW")=0,"",SUMIFS(tblDaily[Discharges],tblDaily[EntryDate],DATE(2026,9,16),tblDaily[WardCode],"FW")),"")</f>
        <v/>
      </c>
      <c r="D334" s="12">
        <f>IFERROR(IF(SUMIFS(tblDaily[Deaths],tblDaily[EntryDate],DATE(2026,9,16),tblDaily[WardCode],"FW")=0,"",SUMIFS(tblDaily[Deaths],tblDaily[EntryDate],DATE(2026,9,16),tblDaily[WardCode],"FW")),"")</f>
        <v/>
      </c>
      <c r="E334" s="12">
        <f>IFERROR(IF(SUMIFS(tblDaily[DeathsUnder24Hrs],tblDaily[EntryDate],DATE(2026,9,16),tblDaily[WardCode],"FW")=0,"",SUMIFS(tblDaily[DeathsUnder24Hrs],tblDaily[EntryDate],DATE(2026,9,16),tblDaily[WardCode],"FW")),"")</f>
        <v/>
      </c>
      <c r="F334" s="12">
        <f>IFERROR(IF(SUMIFS(tblDaily[TransfersIn],tblDaily[EntryDate],DATE(2026,9,16),tblDaily[WardCode],"FW")=0,"",SUMIFS(tblDaily[TransfersIn],tblDaily[EntryDate],DATE(2026,9,16),tblDaily[WardCode],"FW")),"")</f>
        <v/>
      </c>
      <c r="G334" s="12">
        <f>IFERROR(IF(SUMIFS(tblDaily[TransfersOut],tblDaily[EntryDate],DATE(2026,9,16),tblDaily[WardCode],"FW")=0,"",SUMIFS(tblDaily[TransfersOut],tblDaily[EntryDate],DATE(2026,9,16),tblDaily[WardCode],"FW")),"")</f>
        <v/>
      </c>
      <c r="H334" s="12">
        <f>IFERROR(IF(SUMIFS(tblDaily[Remaining],tblDaily[EntryDate],DATE(2026,9,16),tblDaily[WardCode],"FW")=0,"",SUMIFS(tblDaily[Remaining],tblDaily[EntryDate],DATE(2026,9,16),tblDaily[WardCode],"FW")),"")</f>
        <v/>
      </c>
    </row>
    <row r="335">
      <c r="A335" s="12" t="n">
        <v>17</v>
      </c>
      <c r="B335" s="12">
        <f>IFERROR(IF(SUMIFS(tblDaily[Admissions],tblDaily[EntryDate],DATE(2026,9,17),tblDaily[WardCode],"FW")=0,"",SUMIFS(tblDaily[Admissions],tblDaily[EntryDate],DATE(2026,9,17),tblDaily[WardCode],"FW")),"")</f>
        <v/>
      </c>
      <c r="C335" s="12">
        <f>IFERROR(IF(SUMIFS(tblDaily[Discharges],tblDaily[EntryDate],DATE(2026,9,17),tblDaily[WardCode],"FW")=0,"",SUMIFS(tblDaily[Discharges],tblDaily[EntryDate],DATE(2026,9,17),tblDaily[WardCode],"FW")),"")</f>
        <v/>
      </c>
      <c r="D335" s="12">
        <f>IFERROR(IF(SUMIFS(tblDaily[Deaths],tblDaily[EntryDate],DATE(2026,9,17),tblDaily[WardCode],"FW")=0,"",SUMIFS(tblDaily[Deaths],tblDaily[EntryDate],DATE(2026,9,17),tblDaily[WardCode],"FW")),"")</f>
        <v/>
      </c>
      <c r="E335" s="12">
        <f>IFERROR(IF(SUMIFS(tblDaily[DeathsUnder24Hrs],tblDaily[EntryDate],DATE(2026,9,17),tblDaily[WardCode],"FW")=0,"",SUMIFS(tblDaily[DeathsUnder24Hrs],tblDaily[EntryDate],DATE(2026,9,17),tblDaily[WardCode],"FW")),"")</f>
        <v/>
      </c>
      <c r="F335" s="12">
        <f>IFERROR(IF(SUMIFS(tblDaily[TransfersIn],tblDaily[EntryDate],DATE(2026,9,17),tblDaily[WardCode],"FW")=0,"",SUMIFS(tblDaily[TransfersIn],tblDaily[EntryDate],DATE(2026,9,17),tblDaily[WardCode],"FW")),"")</f>
        <v/>
      </c>
      <c r="G335" s="12">
        <f>IFERROR(IF(SUMIFS(tblDaily[TransfersOut],tblDaily[EntryDate],DATE(2026,9,17),tblDaily[WardCode],"FW")=0,"",SUMIFS(tblDaily[TransfersOut],tblDaily[EntryDate],DATE(2026,9,17),tblDaily[WardCode],"FW")),"")</f>
        <v/>
      </c>
      <c r="H335" s="12">
        <f>IFERROR(IF(SUMIFS(tblDaily[Remaining],tblDaily[EntryDate],DATE(2026,9,17),tblDaily[WardCode],"FW")=0,"",SUMIFS(tblDaily[Remaining],tblDaily[EntryDate],DATE(2026,9,17),tblDaily[WardCode],"FW")),"")</f>
        <v/>
      </c>
    </row>
    <row r="336">
      <c r="A336" s="12" t="n">
        <v>18</v>
      </c>
      <c r="B336" s="12">
        <f>IFERROR(IF(SUMIFS(tblDaily[Admissions],tblDaily[EntryDate],DATE(2026,9,18),tblDaily[WardCode],"FW")=0,"",SUMIFS(tblDaily[Admissions],tblDaily[EntryDate],DATE(2026,9,18),tblDaily[WardCode],"FW")),"")</f>
        <v/>
      </c>
      <c r="C336" s="12">
        <f>IFERROR(IF(SUMIFS(tblDaily[Discharges],tblDaily[EntryDate],DATE(2026,9,18),tblDaily[WardCode],"FW")=0,"",SUMIFS(tblDaily[Discharges],tblDaily[EntryDate],DATE(2026,9,18),tblDaily[WardCode],"FW")),"")</f>
        <v/>
      </c>
      <c r="D336" s="12">
        <f>IFERROR(IF(SUMIFS(tblDaily[Deaths],tblDaily[EntryDate],DATE(2026,9,18),tblDaily[WardCode],"FW")=0,"",SUMIFS(tblDaily[Deaths],tblDaily[EntryDate],DATE(2026,9,18),tblDaily[WardCode],"FW")),"")</f>
        <v/>
      </c>
      <c r="E336" s="12">
        <f>IFERROR(IF(SUMIFS(tblDaily[DeathsUnder24Hrs],tblDaily[EntryDate],DATE(2026,9,18),tblDaily[WardCode],"FW")=0,"",SUMIFS(tblDaily[DeathsUnder24Hrs],tblDaily[EntryDate],DATE(2026,9,18),tblDaily[WardCode],"FW")),"")</f>
        <v/>
      </c>
      <c r="F336" s="12">
        <f>IFERROR(IF(SUMIFS(tblDaily[TransfersIn],tblDaily[EntryDate],DATE(2026,9,18),tblDaily[WardCode],"FW")=0,"",SUMIFS(tblDaily[TransfersIn],tblDaily[EntryDate],DATE(2026,9,18),tblDaily[WardCode],"FW")),"")</f>
        <v/>
      </c>
      <c r="G336" s="12">
        <f>IFERROR(IF(SUMIFS(tblDaily[TransfersOut],tblDaily[EntryDate],DATE(2026,9,18),tblDaily[WardCode],"FW")=0,"",SUMIFS(tblDaily[TransfersOut],tblDaily[EntryDate],DATE(2026,9,18),tblDaily[WardCode],"FW")),"")</f>
        <v/>
      </c>
      <c r="H336" s="12">
        <f>IFERROR(IF(SUMIFS(tblDaily[Remaining],tblDaily[EntryDate],DATE(2026,9,18),tblDaily[WardCode],"FW")=0,"",SUMIFS(tblDaily[Remaining],tblDaily[EntryDate],DATE(2026,9,18),tblDaily[WardCode],"FW")),"")</f>
        <v/>
      </c>
    </row>
    <row r="337">
      <c r="A337" s="12" t="n">
        <v>19</v>
      </c>
      <c r="B337" s="12">
        <f>IFERROR(IF(SUMIFS(tblDaily[Admissions],tblDaily[EntryDate],DATE(2026,9,19),tblDaily[WardCode],"FW")=0,"",SUMIFS(tblDaily[Admissions],tblDaily[EntryDate],DATE(2026,9,19),tblDaily[WardCode],"FW")),"")</f>
        <v/>
      </c>
      <c r="C337" s="12">
        <f>IFERROR(IF(SUMIFS(tblDaily[Discharges],tblDaily[EntryDate],DATE(2026,9,19),tblDaily[WardCode],"FW")=0,"",SUMIFS(tblDaily[Discharges],tblDaily[EntryDate],DATE(2026,9,19),tblDaily[WardCode],"FW")),"")</f>
        <v/>
      </c>
      <c r="D337" s="12">
        <f>IFERROR(IF(SUMIFS(tblDaily[Deaths],tblDaily[EntryDate],DATE(2026,9,19),tblDaily[WardCode],"FW")=0,"",SUMIFS(tblDaily[Deaths],tblDaily[EntryDate],DATE(2026,9,19),tblDaily[WardCode],"FW")),"")</f>
        <v/>
      </c>
      <c r="E337" s="12">
        <f>IFERROR(IF(SUMIFS(tblDaily[DeathsUnder24Hrs],tblDaily[EntryDate],DATE(2026,9,19),tblDaily[WardCode],"FW")=0,"",SUMIFS(tblDaily[DeathsUnder24Hrs],tblDaily[EntryDate],DATE(2026,9,19),tblDaily[WardCode],"FW")),"")</f>
        <v/>
      </c>
      <c r="F337" s="12">
        <f>IFERROR(IF(SUMIFS(tblDaily[TransfersIn],tblDaily[EntryDate],DATE(2026,9,19),tblDaily[WardCode],"FW")=0,"",SUMIFS(tblDaily[TransfersIn],tblDaily[EntryDate],DATE(2026,9,19),tblDaily[WardCode],"FW")),"")</f>
        <v/>
      </c>
      <c r="G337" s="12">
        <f>IFERROR(IF(SUMIFS(tblDaily[TransfersOut],tblDaily[EntryDate],DATE(2026,9,19),tblDaily[WardCode],"FW")=0,"",SUMIFS(tblDaily[TransfersOut],tblDaily[EntryDate],DATE(2026,9,19),tblDaily[WardCode],"FW")),"")</f>
        <v/>
      </c>
      <c r="H337" s="12">
        <f>IFERROR(IF(SUMIFS(tblDaily[Remaining],tblDaily[EntryDate],DATE(2026,9,19),tblDaily[WardCode],"FW")=0,"",SUMIFS(tblDaily[Remaining],tblDaily[EntryDate],DATE(2026,9,19),tblDaily[WardCode],"FW")),"")</f>
        <v/>
      </c>
    </row>
    <row r="338">
      <c r="A338" s="12" t="n">
        <v>20</v>
      </c>
      <c r="B338" s="12">
        <f>IFERROR(IF(SUMIFS(tblDaily[Admissions],tblDaily[EntryDate],DATE(2026,9,20),tblDaily[WardCode],"FW")=0,"",SUMIFS(tblDaily[Admissions],tblDaily[EntryDate],DATE(2026,9,20),tblDaily[WardCode],"FW")),"")</f>
        <v/>
      </c>
      <c r="C338" s="12">
        <f>IFERROR(IF(SUMIFS(tblDaily[Discharges],tblDaily[EntryDate],DATE(2026,9,20),tblDaily[WardCode],"FW")=0,"",SUMIFS(tblDaily[Discharges],tblDaily[EntryDate],DATE(2026,9,20),tblDaily[WardCode],"FW")),"")</f>
        <v/>
      </c>
      <c r="D338" s="12">
        <f>IFERROR(IF(SUMIFS(tblDaily[Deaths],tblDaily[EntryDate],DATE(2026,9,20),tblDaily[WardCode],"FW")=0,"",SUMIFS(tblDaily[Deaths],tblDaily[EntryDate],DATE(2026,9,20),tblDaily[WardCode],"FW")),"")</f>
        <v/>
      </c>
      <c r="E338" s="12">
        <f>IFERROR(IF(SUMIFS(tblDaily[DeathsUnder24Hrs],tblDaily[EntryDate],DATE(2026,9,20),tblDaily[WardCode],"FW")=0,"",SUMIFS(tblDaily[DeathsUnder24Hrs],tblDaily[EntryDate],DATE(2026,9,20),tblDaily[WardCode],"FW")),"")</f>
        <v/>
      </c>
      <c r="F338" s="12">
        <f>IFERROR(IF(SUMIFS(tblDaily[TransfersIn],tblDaily[EntryDate],DATE(2026,9,20),tblDaily[WardCode],"FW")=0,"",SUMIFS(tblDaily[TransfersIn],tblDaily[EntryDate],DATE(2026,9,20),tblDaily[WardCode],"FW")),"")</f>
        <v/>
      </c>
      <c r="G338" s="12">
        <f>IFERROR(IF(SUMIFS(tblDaily[TransfersOut],tblDaily[EntryDate],DATE(2026,9,20),tblDaily[WardCode],"FW")=0,"",SUMIFS(tblDaily[TransfersOut],tblDaily[EntryDate],DATE(2026,9,20),tblDaily[WardCode],"FW")),"")</f>
        <v/>
      </c>
      <c r="H338" s="12">
        <f>IFERROR(IF(SUMIFS(tblDaily[Remaining],tblDaily[EntryDate],DATE(2026,9,20),tblDaily[WardCode],"FW")=0,"",SUMIFS(tblDaily[Remaining],tblDaily[EntryDate],DATE(2026,9,20),tblDaily[WardCode],"FW")),"")</f>
        <v/>
      </c>
    </row>
    <row r="339">
      <c r="A339" s="12" t="n">
        <v>21</v>
      </c>
      <c r="B339" s="12">
        <f>IFERROR(IF(SUMIFS(tblDaily[Admissions],tblDaily[EntryDate],DATE(2026,9,21),tblDaily[WardCode],"FW")=0,"",SUMIFS(tblDaily[Admissions],tblDaily[EntryDate],DATE(2026,9,21),tblDaily[WardCode],"FW")),"")</f>
        <v/>
      </c>
      <c r="C339" s="12">
        <f>IFERROR(IF(SUMIFS(tblDaily[Discharges],tblDaily[EntryDate],DATE(2026,9,21),tblDaily[WardCode],"FW")=0,"",SUMIFS(tblDaily[Discharges],tblDaily[EntryDate],DATE(2026,9,21),tblDaily[WardCode],"FW")),"")</f>
        <v/>
      </c>
      <c r="D339" s="12">
        <f>IFERROR(IF(SUMIFS(tblDaily[Deaths],tblDaily[EntryDate],DATE(2026,9,21),tblDaily[WardCode],"FW")=0,"",SUMIFS(tblDaily[Deaths],tblDaily[EntryDate],DATE(2026,9,21),tblDaily[WardCode],"FW")),"")</f>
        <v/>
      </c>
      <c r="E339" s="12">
        <f>IFERROR(IF(SUMIFS(tblDaily[DeathsUnder24Hrs],tblDaily[EntryDate],DATE(2026,9,21),tblDaily[WardCode],"FW")=0,"",SUMIFS(tblDaily[DeathsUnder24Hrs],tblDaily[EntryDate],DATE(2026,9,21),tblDaily[WardCode],"FW")),"")</f>
        <v/>
      </c>
      <c r="F339" s="12">
        <f>IFERROR(IF(SUMIFS(tblDaily[TransfersIn],tblDaily[EntryDate],DATE(2026,9,21),tblDaily[WardCode],"FW")=0,"",SUMIFS(tblDaily[TransfersIn],tblDaily[EntryDate],DATE(2026,9,21),tblDaily[WardCode],"FW")),"")</f>
        <v/>
      </c>
      <c r="G339" s="12">
        <f>IFERROR(IF(SUMIFS(tblDaily[TransfersOut],tblDaily[EntryDate],DATE(2026,9,21),tblDaily[WardCode],"FW")=0,"",SUMIFS(tblDaily[TransfersOut],tblDaily[EntryDate],DATE(2026,9,21),tblDaily[WardCode],"FW")),"")</f>
        <v/>
      </c>
      <c r="H339" s="12">
        <f>IFERROR(IF(SUMIFS(tblDaily[Remaining],tblDaily[EntryDate],DATE(2026,9,21),tblDaily[WardCode],"FW")=0,"",SUMIFS(tblDaily[Remaining],tblDaily[EntryDate],DATE(2026,9,21),tblDaily[WardCode],"FW")),"")</f>
        <v/>
      </c>
    </row>
    <row r="340">
      <c r="A340" s="12" t="n">
        <v>22</v>
      </c>
      <c r="B340" s="12">
        <f>IFERROR(IF(SUMIFS(tblDaily[Admissions],tblDaily[EntryDate],DATE(2026,9,22),tblDaily[WardCode],"FW")=0,"",SUMIFS(tblDaily[Admissions],tblDaily[EntryDate],DATE(2026,9,22),tblDaily[WardCode],"FW")),"")</f>
        <v/>
      </c>
      <c r="C340" s="12">
        <f>IFERROR(IF(SUMIFS(tblDaily[Discharges],tblDaily[EntryDate],DATE(2026,9,22),tblDaily[WardCode],"FW")=0,"",SUMIFS(tblDaily[Discharges],tblDaily[EntryDate],DATE(2026,9,22),tblDaily[WardCode],"FW")),"")</f>
        <v/>
      </c>
      <c r="D340" s="12">
        <f>IFERROR(IF(SUMIFS(tblDaily[Deaths],tblDaily[EntryDate],DATE(2026,9,22),tblDaily[WardCode],"FW")=0,"",SUMIFS(tblDaily[Deaths],tblDaily[EntryDate],DATE(2026,9,22),tblDaily[WardCode],"FW")),"")</f>
        <v/>
      </c>
      <c r="E340" s="12">
        <f>IFERROR(IF(SUMIFS(tblDaily[DeathsUnder24Hrs],tblDaily[EntryDate],DATE(2026,9,22),tblDaily[WardCode],"FW")=0,"",SUMIFS(tblDaily[DeathsUnder24Hrs],tblDaily[EntryDate],DATE(2026,9,22),tblDaily[WardCode],"FW")),"")</f>
        <v/>
      </c>
      <c r="F340" s="12">
        <f>IFERROR(IF(SUMIFS(tblDaily[TransfersIn],tblDaily[EntryDate],DATE(2026,9,22),tblDaily[WardCode],"FW")=0,"",SUMIFS(tblDaily[TransfersIn],tblDaily[EntryDate],DATE(2026,9,22),tblDaily[WardCode],"FW")),"")</f>
        <v/>
      </c>
      <c r="G340" s="12">
        <f>IFERROR(IF(SUMIFS(tblDaily[TransfersOut],tblDaily[EntryDate],DATE(2026,9,22),tblDaily[WardCode],"FW")=0,"",SUMIFS(tblDaily[TransfersOut],tblDaily[EntryDate],DATE(2026,9,22),tblDaily[WardCode],"FW")),"")</f>
        <v/>
      </c>
      <c r="H340" s="12">
        <f>IFERROR(IF(SUMIFS(tblDaily[Remaining],tblDaily[EntryDate],DATE(2026,9,22),tblDaily[WardCode],"FW")=0,"",SUMIFS(tblDaily[Remaining],tblDaily[EntryDate],DATE(2026,9,22),tblDaily[WardCode],"FW")),"")</f>
        <v/>
      </c>
    </row>
    <row r="341">
      <c r="A341" s="12" t="n">
        <v>23</v>
      </c>
      <c r="B341" s="12">
        <f>IFERROR(IF(SUMIFS(tblDaily[Admissions],tblDaily[EntryDate],DATE(2026,9,23),tblDaily[WardCode],"FW")=0,"",SUMIFS(tblDaily[Admissions],tblDaily[EntryDate],DATE(2026,9,23),tblDaily[WardCode],"FW")),"")</f>
        <v/>
      </c>
      <c r="C341" s="12">
        <f>IFERROR(IF(SUMIFS(tblDaily[Discharges],tblDaily[EntryDate],DATE(2026,9,23),tblDaily[WardCode],"FW")=0,"",SUMIFS(tblDaily[Discharges],tblDaily[EntryDate],DATE(2026,9,23),tblDaily[WardCode],"FW")),"")</f>
        <v/>
      </c>
      <c r="D341" s="12">
        <f>IFERROR(IF(SUMIFS(tblDaily[Deaths],tblDaily[EntryDate],DATE(2026,9,23),tblDaily[WardCode],"FW")=0,"",SUMIFS(tblDaily[Deaths],tblDaily[EntryDate],DATE(2026,9,23),tblDaily[WardCode],"FW")),"")</f>
        <v/>
      </c>
      <c r="E341" s="12">
        <f>IFERROR(IF(SUMIFS(tblDaily[DeathsUnder24Hrs],tblDaily[EntryDate],DATE(2026,9,23),tblDaily[WardCode],"FW")=0,"",SUMIFS(tblDaily[DeathsUnder24Hrs],tblDaily[EntryDate],DATE(2026,9,23),tblDaily[WardCode],"FW")),"")</f>
        <v/>
      </c>
      <c r="F341" s="12">
        <f>IFERROR(IF(SUMIFS(tblDaily[TransfersIn],tblDaily[EntryDate],DATE(2026,9,23),tblDaily[WardCode],"FW")=0,"",SUMIFS(tblDaily[TransfersIn],tblDaily[EntryDate],DATE(2026,9,23),tblDaily[WardCode],"FW")),"")</f>
        <v/>
      </c>
      <c r="G341" s="12">
        <f>IFERROR(IF(SUMIFS(tblDaily[TransfersOut],tblDaily[EntryDate],DATE(2026,9,23),tblDaily[WardCode],"FW")=0,"",SUMIFS(tblDaily[TransfersOut],tblDaily[EntryDate],DATE(2026,9,23),tblDaily[WardCode],"FW")),"")</f>
        <v/>
      </c>
      <c r="H341" s="12">
        <f>IFERROR(IF(SUMIFS(tblDaily[Remaining],tblDaily[EntryDate],DATE(2026,9,23),tblDaily[WardCode],"FW")=0,"",SUMIFS(tblDaily[Remaining],tblDaily[EntryDate],DATE(2026,9,23),tblDaily[WardCode],"FW")),"")</f>
        <v/>
      </c>
    </row>
    <row r="342">
      <c r="A342" s="12" t="n">
        <v>24</v>
      </c>
      <c r="B342" s="12">
        <f>IFERROR(IF(SUMIFS(tblDaily[Admissions],tblDaily[EntryDate],DATE(2026,9,24),tblDaily[WardCode],"FW")=0,"",SUMIFS(tblDaily[Admissions],tblDaily[EntryDate],DATE(2026,9,24),tblDaily[WardCode],"FW")),"")</f>
        <v/>
      </c>
      <c r="C342" s="12">
        <f>IFERROR(IF(SUMIFS(tblDaily[Discharges],tblDaily[EntryDate],DATE(2026,9,24),tblDaily[WardCode],"FW")=0,"",SUMIFS(tblDaily[Discharges],tblDaily[EntryDate],DATE(2026,9,24),tblDaily[WardCode],"FW")),"")</f>
        <v/>
      </c>
      <c r="D342" s="12">
        <f>IFERROR(IF(SUMIFS(tblDaily[Deaths],tblDaily[EntryDate],DATE(2026,9,24),tblDaily[WardCode],"FW")=0,"",SUMIFS(tblDaily[Deaths],tblDaily[EntryDate],DATE(2026,9,24),tblDaily[WardCode],"FW")),"")</f>
        <v/>
      </c>
      <c r="E342" s="12">
        <f>IFERROR(IF(SUMIFS(tblDaily[DeathsUnder24Hrs],tblDaily[EntryDate],DATE(2026,9,24),tblDaily[WardCode],"FW")=0,"",SUMIFS(tblDaily[DeathsUnder24Hrs],tblDaily[EntryDate],DATE(2026,9,24),tblDaily[WardCode],"FW")),"")</f>
        <v/>
      </c>
      <c r="F342" s="12">
        <f>IFERROR(IF(SUMIFS(tblDaily[TransfersIn],tblDaily[EntryDate],DATE(2026,9,24),tblDaily[WardCode],"FW")=0,"",SUMIFS(tblDaily[TransfersIn],tblDaily[EntryDate],DATE(2026,9,24),tblDaily[WardCode],"FW")),"")</f>
        <v/>
      </c>
      <c r="G342" s="12">
        <f>IFERROR(IF(SUMIFS(tblDaily[TransfersOut],tblDaily[EntryDate],DATE(2026,9,24),tblDaily[WardCode],"FW")=0,"",SUMIFS(tblDaily[TransfersOut],tblDaily[EntryDate],DATE(2026,9,24),tblDaily[WardCode],"FW")),"")</f>
        <v/>
      </c>
      <c r="H342" s="12">
        <f>IFERROR(IF(SUMIFS(tblDaily[Remaining],tblDaily[EntryDate],DATE(2026,9,24),tblDaily[WardCode],"FW")=0,"",SUMIFS(tblDaily[Remaining],tblDaily[EntryDate],DATE(2026,9,24),tblDaily[WardCode],"FW")),"")</f>
        <v/>
      </c>
    </row>
    <row r="343">
      <c r="A343" s="12" t="n">
        <v>25</v>
      </c>
      <c r="B343" s="12">
        <f>IFERROR(IF(SUMIFS(tblDaily[Admissions],tblDaily[EntryDate],DATE(2026,9,25),tblDaily[WardCode],"FW")=0,"",SUMIFS(tblDaily[Admissions],tblDaily[EntryDate],DATE(2026,9,25),tblDaily[WardCode],"FW")),"")</f>
        <v/>
      </c>
      <c r="C343" s="12">
        <f>IFERROR(IF(SUMIFS(tblDaily[Discharges],tblDaily[EntryDate],DATE(2026,9,25),tblDaily[WardCode],"FW")=0,"",SUMIFS(tblDaily[Discharges],tblDaily[EntryDate],DATE(2026,9,25),tblDaily[WardCode],"FW")),"")</f>
        <v/>
      </c>
      <c r="D343" s="12">
        <f>IFERROR(IF(SUMIFS(tblDaily[Deaths],tblDaily[EntryDate],DATE(2026,9,25),tblDaily[WardCode],"FW")=0,"",SUMIFS(tblDaily[Deaths],tblDaily[EntryDate],DATE(2026,9,25),tblDaily[WardCode],"FW")),"")</f>
        <v/>
      </c>
      <c r="E343" s="12">
        <f>IFERROR(IF(SUMIFS(tblDaily[DeathsUnder24Hrs],tblDaily[EntryDate],DATE(2026,9,25),tblDaily[WardCode],"FW")=0,"",SUMIFS(tblDaily[DeathsUnder24Hrs],tblDaily[EntryDate],DATE(2026,9,25),tblDaily[WardCode],"FW")),"")</f>
        <v/>
      </c>
      <c r="F343" s="12">
        <f>IFERROR(IF(SUMIFS(tblDaily[TransfersIn],tblDaily[EntryDate],DATE(2026,9,25),tblDaily[WardCode],"FW")=0,"",SUMIFS(tblDaily[TransfersIn],tblDaily[EntryDate],DATE(2026,9,25),tblDaily[WardCode],"FW")),"")</f>
        <v/>
      </c>
      <c r="G343" s="12">
        <f>IFERROR(IF(SUMIFS(tblDaily[TransfersOut],tblDaily[EntryDate],DATE(2026,9,25),tblDaily[WardCode],"FW")=0,"",SUMIFS(tblDaily[TransfersOut],tblDaily[EntryDate],DATE(2026,9,25),tblDaily[WardCode],"FW")),"")</f>
        <v/>
      </c>
      <c r="H343" s="12">
        <f>IFERROR(IF(SUMIFS(tblDaily[Remaining],tblDaily[EntryDate],DATE(2026,9,25),tblDaily[WardCode],"FW")=0,"",SUMIFS(tblDaily[Remaining],tblDaily[EntryDate],DATE(2026,9,25),tblDaily[WardCode],"FW")),"")</f>
        <v/>
      </c>
    </row>
    <row r="344">
      <c r="A344" s="12" t="n">
        <v>26</v>
      </c>
      <c r="B344" s="12">
        <f>IFERROR(IF(SUMIFS(tblDaily[Admissions],tblDaily[EntryDate],DATE(2026,9,26),tblDaily[WardCode],"FW")=0,"",SUMIFS(tblDaily[Admissions],tblDaily[EntryDate],DATE(2026,9,26),tblDaily[WardCode],"FW")),"")</f>
        <v/>
      </c>
      <c r="C344" s="12">
        <f>IFERROR(IF(SUMIFS(tblDaily[Discharges],tblDaily[EntryDate],DATE(2026,9,26),tblDaily[WardCode],"FW")=0,"",SUMIFS(tblDaily[Discharges],tblDaily[EntryDate],DATE(2026,9,26),tblDaily[WardCode],"FW")),"")</f>
        <v/>
      </c>
      <c r="D344" s="12">
        <f>IFERROR(IF(SUMIFS(tblDaily[Deaths],tblDaily[EntryDate],DATE(2026,9,26),tblDaily[WardCode],"FW")=0,"",SUMIFS(tblDaily[Deaths],tblDaily[EntryDate],DATE(2026,9,26),tblDaily[WardCode],"FW")),"")</f>
        <v/>
      </c>
      <c r="E344" s="12">
        <f>IFERROR(IF(SUMIFS(tblDaily[DeathsUnder24Hrs],tblDaily[EntryDate],DATE(2026,9,26),tblDaily[WardCode],"FW")=0,"",SUMIFS(tblDaily[DeathsUnder24Hrs],tblDaily[EntryDate],DATE(2026,9,26),tblDaily[WardCode],"FW")),"")</f>
        <v/>
      </c>
      <c r="F344" s="12">
        <f>IFERROR(IF(SUMIFS(tblDaily[TransfersIn],tblDaily[EntryDate],DATE(2026,9,26),tblDaily[WardCode],"FW")=0,"",SUMIFS(tblDaily[TransfersIn],tblDaily[EntryDate],DATE(2026,9,26),tblDaily[WardCode],"FW")),"")</f>
        <v/>
      </c>
      <c r="G344" s="12">
        <f>IFERROR(IF(SUMIFS(tblDaily[TransfersOut],tblDaily[EntryDate],DATE(2026,9,26),tblDaily[WardCode],"FW")=0,"",SUMIFS(tblDaily[TransfersOut],tblDaily[EntryDate],DATE(2026,9,26),tblDaily[WardCode],"FW")),"")</f>
        <v/>
      </c>
      <c r="H344" s="12">
        <f>IFERROR(IF(SUMIFS(tblDaily[Remaining],tblDaily[EntryDate],DATE(2026,9,26),tblDaily[WardCode],"FW")=0,"",SUMIFS(tblDaily[Remaining],tblDaily[EntryDate],DATE(2026,9,26),tblDaily[WardCode],"FW")),"")</f>
        <v/>
      </c>
    </row>
    <row r="345">
      <c r="A345" s="12" t="n">
        <v>27</v>
      </c>
      <c r="B345" s="12">
        <f>IFERROR(IF(SUMIFS(tblDaily[Admissions],tblDaily[EntryDate],DATE(2026,9,27),tblDaily[WardCode],"FW")=0,"",SUMIFS(tblDaily[Admissions],tblDaily[EntryDate],DATE(2026,9,27),tblDaily[WardCode],"FW")),"")</f>
        <v/>
      </c>
      <c r="C345" s="12">
        <f>IFERROR(IF(SUMIFS(tblDaily[Discharges],tblDaily[EntryDate],DATE(2026,9,27),tblDaily[WardCode],"FW")=0,"",SUMIFS(tblDaily[Discharges],tblDaily[EntryDate],DATE(2026,9,27),tblDaily[WardCode],"FW")),"")</f>
        <v/>
      </c>
      <c r="D345" s="12">
        <f>IFERROR(IF(SUMIFS(tblDaily[Deaths],tblDaily[EntryDate],DATE(2026,9,27),tblDaily[WardCode],"FW")=0,"",SUMIFS(tblDaily[Deaths],tblDaily[EntryDate],DATE(2026,9,27),tblDaily[WardCode],"FW")),"")</f>
        <v/>
      </c>
      <c r="E345" s="12">
        <f>IFERROR(IF(SUMIFS(tblDaily[DeathsUnder24Hrs],tblDaily[EntryDate],DATE(2026,9,27),tblDaily[WardCode],"FW")=0,"",SUMIFS(tblDaily[DeathsUnder24Hrs],tblDaily[EntryDate],DATE(2026,9,27),tblDaily[WardCode],"FW")),"")</f>
        <v/>
      </c>
      <c r="F345" s="12">
        <f>IFERROR(IF(SUMIFS(tblDaily[TransfersIn],tblDaily[EntryDate],DATE(2026,9,27),tblDaily[WardCode],"FW")=0,"",SUMIFS(tblDaily[TransfersIn],tblDaily[EntryDate],DATE(2026,9,27),tblDaily[WardCode],"FW")),"")</f>
        <v/>
      </c>
      <c r="G345" s="12">
        <f>IFERROR(IF(SUMIFS(tblDaily[TransfersOut],tblDaily[EntryDate],DATE(2026,9,27),tblDaily[WardCode],"FW")=0,"",SUMIFS(tblDaily[TransfersOut],tblDaily[EntryDate],DATE(2026,9,27),tblDaily[WardCode],"FW")),"")</f>
        <v/>
      </c>
      <c r="H345" s="12">
        <f>IFERROR(IF(SUMIFS(tblDaily[Remaining],tblDaily[EntryDate],DATE(2026,9,27),tblDaily[WardCode],"FW")=0,"",SUMIFS(tblDaily[Remaining],tblDaily[EntryDate],DATE(2026,9,27),tblDaily[WardCode],"FW")),"")</f>
        <v/>
      </c>
    </row>
    <row r="346">
      <c r="A346" s="12" t="n">
        <v>28</v>
      </c>
      <c r="B346" s="12">
        <f>IFERROR(IF(SUMIFS(tblDaily[Admissions],tblDaily[EntryDate],DATE(2026,9,28),tblDaily[WardCode],"FW")=0,"",SUMIFS(tblDaily[Admissions],tblDaily[EntryDate],DATE(2026,9,28),tblDaily[WardCode],"FW")),"")</f>
        <v/>
      </c>
      <c r="C346" s="12">
        <f>IFERROR(IF(SUMIFS(tblDaily[Discharges],tblDaily[EntryDate],DATE(2026,9,28),tblDaily[WardCode],"FW")=0,"",SUMIFS(tblDaily[Discharges],tblDaily[EntryDate],DATE(2026,9,28),tblDaily[WardCode],"FW")),"")</f>
        <v/>
      </c>
      <c r="D346" s="12">
        <f>IFERROR(IF(SUMIFS(tblDaily[Deaths],tblDaily[EntryDate],DATE(2026,9,28),tblDaily[WardCode],"FW")=0,"",SUMIFS(tblDaily[Deaths],tblDaily[EntryDate],DATE(2026,9,28),tblDaily[WardCode],"FW")),"")</f>
        <v/>
      </c>
      <c r="E346" s="12">
        <f>IFERROR(IF(SUMIFS(tblDaily[DeathsUnder24Hrs],tblDaily[EntryDate],DATE(2026,9,28),tblDaily[WardCode],"FW")=0,"",SUMIFS(tblDaily[DeathsUnder24Hrs],tblDaily[EntryDate],DATE(2026,9,28),tblDaily[WardCode],"FW")),"")</f>
        <v/>
      </c>
      <c r="F346" s="12">
        <f>IFERROR(IF(SUMIFS(tblDaily[TransfersIn],tblDaily[EntryDate],DATE(2026,9,28),tblDaily[WardCode],"FW")=0,"",SUMIFS(tblDaily[TransfersIn],tblDaily[EntryDate],DATE(2026,9,28),tblDaily[WardCode],"FW")),"")</f>
        <v/>
      </c>
      <c r="G346" s="12">
        <f>IFERROR(IF(SUMIFS(tblDaily[TransfersOut],tblDaily[EntryDate],DATE(2026,9,28),tblDaily[WardCode],"FW")=0,"",SUMIFS(tblDaily[TransfersOut],tblDaily[EntryDate],DATE(2026,9,28),tblDaily[WardCode],"FW")),"")</f>
        <v/>
      </c>
      <c r="H346" s="12">
        <f>IFERROR(IF(SUMIFS(tblDaily[Remaining],tblDaily[EntryDate],DATE(2026,9,28),tblDaily[WardCode],"FW")=0,"",SUMIFS(tblDaily[Remaining],tblDaily[EntryDate],DATE(2026,9,28),tblDaily[WardCode],"FW")),"")</f>
        <v/>
      </c>
    </row>
    <row r="347">
      <c r="A347" s="12" t="n">
        <v>29</v>
      </c>
      <c r="B347" s="12">
        <f>IFERROR(IF(SUMIFS(tblDaily[Admissions],tblDaily[EntryDate],DATE(2026,9,29),tblDaily[WardCode],"FW")=0,"",SUMIFS(tblDaily[Admissions],tblDaily[EntryDate],DATE(2026,9,29),tblDaily[WardCode],"FW")),"")</f>
        <v/>
      </c>
      <c r="C347" s="12">
        <f>IFERROR(IF(SUMIFS(tblDaily[Discharges],tblDaily[EntryDate],DATE(2026,9,29),tblDaily[WardCode],"FW")=0,"",SUMIFS(tblDaily[Discharges],tblDaily[EntryDate],DATE(2026,9,29),tblDaily[WardCode],"FW")),"")</f>
        <v/>
      </c>
      <c r="D347" s="12">
        <f>IFERROR(IF(SUMIFS(tblDaily[Deaths],tblDaily[EntryDate],DATE(2026,9,29),tblDaily[WardCode],"FW")=0,"",SUMIFS(tblDaily[Deaths],tblDaily[EntryDate],DATE(2026,9,29),tblDaily[WardCode],"FW")),"")</f>
        <v/>
      </c>
      <c r="E347" s="12">
        <f>IFERROR(IF(SUMIFS(tblDaily[DeathsUnder24Hrs],tblDaily[EntryDate],DATE(2026,9,29),tblDaily[WardCode],"FW")=0,"",SUMIFS(tblDaily[DeathsUnder24Hrs],tblDaily[EntryDate],DATE(2026,9,29),tblDaily[WardCode],"FW")),"")</f>
        <v/>
      </c>
      <c r="F347" s="12">
        <f>IFERROR(IF(SUMIFS(tblDaily[TransfersIn],tblDaily[EntryDate],DATE(2026,9,29),tblDaily[WardCode],"FW")=0,"",SUMIFS(tblDaily[TransfersIn],tblDaily[EntryDate],DATE(2026,9,29),tblDaily[WardCode],"FW")),"")</f>
        <v/>
      </c>
      <c r="G347" s="12">
        <f>IFERROR(IF(SUMIFS(tblDaily[TransfersOut],tblDaily[EntryDate],DATE(2026,9,29),tblDaily[WardCode],"FW")=0,"",SUMIFS(tblDaily[TransfersOut],tblDaily[EntryDate],DATE(2026,9,29),tblDaily[WardCode],"FW")),"")</f>
        <v/>
      </c>
      <c r="H347" s="12">
        <f>IFERROR(IF(SUMIFS(tblDaily[Remaining],tblDaily[EntryDate],DATE(2026,9,29),tblDaily[WardCode],"FW")=0,"",SUMIFS(tblDaily[Remaining],tblDaily[EntryDate],DATE(2026,9,29),tblDaily[WardCode],"FW")),"")</f>
        <v/>
      </c>
    </row>
    <row r="348">
      <c r="A348" s="12" t="n">
        <v>30</v>
      </c>
      <c r="B348" s="12">
        <f>IFERROR(IF(SUMIFS(tblDaily[Admissions],tblDaily[EntryDate],DATE(2026,9,30),tblDaily[WardCode],"FW")=0,"",SUMIFS(tblDaily[Admissions],tblDaily[EntryDate],DATE(2026,9,30),tblDaily[WardCode],"FW")),"")</f>
        <v/>
      </c>
      <c r="C348" s="12">
        <f>IFERROR(IF(SUMIFS(tblDaily[Discharges],tblDaily[EntryDate],DATE(2026,9,30),tblDaily[WardCode],"FW")=0,"",SUMIFS(tblDaily[Discharges],tblDaily[EntryDate],DATE(2026,9,30),tblDaily[WardCode],"FW")),"")</f>
        <v/>
      </c>
      <c r="D348" s="12">
        <f>IFERROR(IF(SUMIFS(tblDaily[Deaths],tblDaily[EntryDate],DATE(2026,9,30),tblDaily[WardCode],"FW")=0,"",SUMIFS(tblDaily[Deaths],tblDaily[EntryDate],DATE(2026,9,30),tblDaily[WardCode],"FW")),"")</f>
        <v/>
      </c>
      <c r="E348" s="12">
        <f>IFERROR(IF(SUMIFS(tblDaily[DeathsUnder24Hrs],tblDaily[EntryDate],DATE(2026,9,30),tblDaily[WardCode],"FW")=0,"",SUMIFS(tblDaily[DeathsUnder24Hrs],tblDaily[EntryDate],DATE(2026,9,30),tblDaily[WardCode],"FW")),"")</f>
        <v/>
      </c>
      <c r="F348" s="12">
        <f>IFERROR(IF(SUMIFS(tblDaily[TransfersIn],tblDaily[EntryDate],DATE(2026,9,30),tblDaily[WardCode],"FW")=0,"",SUMIFS(tblDaily[TransfersIn],tblDaily[EntryDate],DATE(2026,9,30),tblDaily[WardCode],"FW")),"")</f>
        <v/>
      </c>
      <c r="G348" s="12">
        <f>IFERROR(IF(SUMIFS(tblDaily[TransfersOut],tblDaily[EntryDate],DATE(2026,9,30),tblDaily[WardCode],"FW")=0,"",SUMIFS(tblDaily[TransfersOut],tblDaily[EntryDate],DATE(2026,9,30),tblDaily[WardCode],"FW")),"")</f>
        <v/>
      </c>
      <c r="H348" s="12">
        <f>IFERROR(IF(SUMIFS(tblDaily[Remaining],tblDaily[EntryDate],DATE(2026,9,30),tblDaily[WardCode],"FW")=0,"",SUMIFS(tblDaily[Remaining],tblDaily[EntryDate],DATE(2026,9,30),tblDaily[WardCode],"FW")),"")</f>
        <v/>
      </c>
    </row>
    <row r="349">
      <c r="A349" s="12" t="n">
        <v>31</v>
      </c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7" t="inlineStr">
        <is>
          <t>TOTAL</t>
        </is>
      </c>
      <c r="B350" s="17">
        <f>SUMIFS(tblDaily[Admissions],tblDaily[Month],9,tblDaily[WardCode],"FW") - SUMIFS(tblDaily[DeathsUnder24Hrs],tblDaily[Month],9,tblDaily[WardCode],"FW")</f>
        <v/>
      </c>
      <c r="C350" s="17">
        <f>SUMIFS(tblDaily[Discharges],tblDaily[Month],9,tblDaily[WardCode],"FW")</f>
        <v/>
      </c>
      <c r="D350" s="17">
        <f>SUMIFS(tblDaily[Deaths],tblDaily[Month],9,tblDaily[WardCode],"FW")</f>
        <v/>
      </c>
      <c r="E350" s="17">
        <f>SUMIFS(tblDaily[DeathsUnder24Hrs],tblDaily[Month],9,tblDaily[WardCode],"FW")</f>
        <v/>
      </c>
      <c r="F350" s="17">
        <f>SUMIFS(tblDaily[TransfersIn],tblDaily[Month],9,tblDaily[WardCode],"FW")</f>
        <v/>
      </c>
      <c r="G350" s="17">
        <f>SUMIFS(tblDaily[TransfersOut],tblDaily[Month],9,tblDaily[WardCode],"FW")</f>
        <v/>
      </c>
      <c r="H350" s="17">
        <f>SUMIFS(tblDaily[Remaining],tblDaily[Month],9,tblDaily[WardCode],"FW")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FEMALE MEDICAL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4">
        <f>IFERROR(SUMIFS(tblDaily[Remaining],tblDaily[EntryDate],DATE(2026,9,30),tblDaily[WardCode],"FW"),0)</f>
        <v/>
      </c>
    </row>
    <row r="356">
      <c r="A356" s="4" t="inlineStr">
        <is>
          <t>Bed complement</t>
        </is>
      </c>
      <c r="H356" s="15">
        <f>IFERROR(INDEX(tblWardConfig[BedComplement],MATCH("FW",tblWardConfig[WardCode],0)),0)</f>
        <v/>
      </c>
    </row>
    <row r="357">
      <c r="A357" s="16" t="inlineStr">
        <is>
          <t>Day of
the
Month</t>
        </is>
      </c>
      <c r="B357" s="16" t="inlineStr">
        <is>
          <t>Admissions</t>
        </is>
      </c>
      <c r="C357" s="16" t="inlineStr">
        <is>
          <t>Discharges</t>
        </is>
      </c>
      <c r="D357" s="16" t="inlineStr">
        <is>
          <t>Deaths</t>
        </is>
      </c>
      <c r="E357" s="16" t="inlineStr">
        <is>
          <t>Deaths
&lt;24Hrs</t>
        </is>
      </c>
      <c r="F357" s="16" t="inlineStr">
        <is>
          <t>Transfers-
In</t>
        </is>
      </c>
      <c r="G357" s="16" t="inlineStr">
        <is>
          <t>Transfers-
Out</t>
        </is>
      </c>
      <c r="H357" s="16" t="inlineStr">
        <is>
          <t>No. of Patients
Remaining In
Ward</t>
        </is>
      </c>
    </row>
    <row r="358">
      <c r="A358" s="12" t="n">
        <v>1</v>
      </c>
      <c r="B358" s="12">
        <f>IFERROR(IF(SUMIFS(tblDaily[Admissions],tblDaily[EntryDate],DATE(2026,10,1),tblDaily[WardCode],"FW")=0,"",SUMIFS(tblDaily[Admissions],tblDaily[EntryDate],DATE(2026,10,1),tblDaily[WardCode],"FW")),"")</f>
        <v/>
      </c>
      <c r="C358" s="12">
        <f>IFERROR(IF(SUMIFS(tblDaily[Discharges],tblDaily[EntryDate],DATE(2026,10,1),tblDaily[WardCode],"FW")=0,"",SUMIFS(tblDaily[Discharges],tblDaily[EntryDate],DATE(2026,10,1),tblDaily[WardCode],"FW")),"")</f>
        <v/>
      </c>
      <c r="D358" s="12">
        <f>IFERROR(IF(SUMIFS(tblDaily[Deaths],tblDaily[EntryDate],DATE(2026,10,1),tblDaily[WardCode],"FW")=0,"",SUMIFS(tblDaily[Deaths],tblDaily[EntryDate],DATE(2026,10,1),tblDaily[WardCode],"FW")),"")</f>
        <v/>
      </c>
      <c r="E358" s="12">
        <f>IFERROR(IF(SUMIFS(tblDaily[DeathsUnder24Hrs],tblDaily[EntryDate],DATE(2026,10,1),tblDaily[WardCode],"FW")=0,"",SUMIFS(tblDaily[DeathsUnder24Hrs],tblDaily[EntryDate],DATE(2026,10,1),tblDaily[WardCode],"FW")),"")</f>
        <v/>
      </c>
      <c r="F358" s="12">
        <f>IFERROR(IF(SUMIFS(tblDaily[TransfersIn],tblDaily[EntryDate],DATE(2026,10,1),tblDaily[WardCode],"FW")=0,"",SUMIFS(tblDaily[TransfersIn],tblDaily[EntryDate],DATE(2026,10,1),tblDaily[WardCode],"FW")),"")</f>
        <v/>
      </c>
      <c r="G358" s="12">
        <f>IFERROR(IF(SUMIFS(tblDaily[TransfersOut],tblDaily[EntryDate],DATE(2026,10,1),tblDaily[WardCode],"FW")=0,"",SUMIFS(tblDaily[TransfersOut],tblDaily[EntryDate],DATE(2026,10,1),tblDaily[WardCode],"FW")),"")</f>
        <v/>
      </c>
      <c r="H358" s="12">
        <f>IFERROR(IF(SUMIFS(tblDaily[Remaining],tblDaily[EntryDate],DATE(2026,10,1),tblDaily[WardCode],"FW")=0,"",SUMIFS(tblDaily[Remaining],tblDaily[EntryDate],DATE(2026,10,1),tblDaily[WardCode],"FW")),"")</f>
        <v/>
      </c>
    </row>
    <row r="359">
      <c r="A359" s="12" t="n">
        <v>2</v>
      </c>
      <c r="B359" s="12">
        <f>IFERROR(IF(SUMIFS(tblDaily[Admissions],tblDaily[EntryDate],DATE(2026,10,2),tblDaily[WardCode],"FW")=0,"",SUMIFS(tblDaily[Admissions],tblDaily[EntryDate],DATE(2026,10,2),tblDaily[WardCode],"FW")),"")</f>
        <v/>
      </c>
      <c r="C359" s="12">
        <f>IFERROR(IF(SUMIFS(tblDaily[Discharges],tblDaily[EntryDate],DATE(2026,10,2),tblDaily[WardCode],"FW")=0,"",SUMIFS(tblDaily[Discharges],tblDaily[EntryDate],DATE(2026,10,2),tblDaily[WardCode],"FW")),"")</f>
        <v/>
      </c>
      <c r="D359" s="12">
        <f>IFERROR(IF(SUMIFS(tblDaily[Deaths],tblDaily[EntryDate],DATE(2026,10,2),tblDaily[WardCode],"FW")=0,"",SUMIFS(tblDaily[Deaths],tblDaily[EntryDate],DATE(2026,10,2),tblDaily[WardCode],"FW")),"")</f>
        <v/>
      </c>
      <c r="E359" s="12">
        <f>IFERROR(IF(SUMIFS(tblDaily[DeathsUnder24Hrs],tblDaily[EntryDate],DATE(2026,10,2),tblDaily[WardCode],"FW")=0,"",SUMIFS(tblDaily[DeathsUnder24Hrs],tblDaily[EntryDate],DATE(2026,10,2),tblDaily[WardCode],"FW")),"")</f>
        <v/>
      </c>
      <c r="F359" s="12">
        <f>IFERROR(IF(SUMIFS(tblDaily[TransfersIn],tblDaily[EntryDate],DATE(2026,10,2),tblDaily[WardCode],"FW")=0,"",SUMIFS(tblDaily[TransfersIn],tblDaily[EntryDate],DATE(2026,10,2),tblDaily[WardCode],"FW")),"")</f>
        <v/>
      </c>
      <c r="G359" s="12">
        <f>IFERROR(IF(SUMIFS(tblDaily[TransfersOut],tblDaily[EntryDate],DATE(2026,10,2),tblDaily[WardCode],"FW")=0,"",SUMIFS(tblDaily[TransfersOut],tblDaily[EntryDate],DATE(2026,10,2),tblDaily[WardCode],"FW")),"")</f>
        <v/>
      </c>
      <c r="H359" s="12">
        <f>IFERROR(IF(SUMIFS(tblDaily[Remaining],tblDaily[EntryDate],DATE(2026,10,2),tblDaily[WardCode],"FW")=0,"",SUMIFS(tblDaily[Remaining],tblDaily[EntryDate],DATE(2026,10,2),tblDaily[WardCode],"FW")),"")</f>
        <v/>
      </c>
    </row>
    <row r="360">
      <c r="A360" s="12" t="n">
        <v>3</v>
      </c>
      <c r="B360" s="12">
        <f>IFERROR(IF(SUMIFS(tblDaily[Admissions],tblDaily[EntryDate],DATE(2026,10,3),tblDaily[WardCode],"FW")=0,"",SUMIFS(tblDaily[Admissions],tblDaily[EntryDate],DATE(2026,10,3),tblDaily[WardCode],"FW")),"")</f>
        <v/>
      </c>
      <c r="C360" s="12">
        <f>IFERROR(IF(SUMIFS(tblDaily[Discharges],tblDaily[EntryDate],DATE(2026,10,3),tblDaily[WardCode],"FW")=0,"",SUMIFS(tblDaily[Discharges],tblDaily[EntryDate],DATE(2026,10,3),tblDaily[WardCode],"FW")),"")</f>
        <v/>
      </c>
      <c r="D360" s="12">
        <f>IFERROR(IF(SUMIFS(tblDaily[Deaths],tblDaily[EntryDate],DATE(2026,10,3),tblDaily[WardCode],"FW")=0,"",SUMIFS(tblDaily[Deaths],tblDaily[EntryDate],DATE(2026,10,3),tblDaily[WardCode],"FW")),"")</f>
        <v/>
      </c>
      <c r="E360" s="12">
        <f>IFERROR(IF(SUMIFS(tblDaily[DeathsUnder24Hrs],tblDaily[EntryDate],DATE(2026,10,3),tblDaily[WardCode],"FW")=0,"",SUMIFS(tblDaily[DeathsUnder24Hrs],tblDaily[EntryDate],DATE(2026,10,3),tblDaily[WardCode],"FW")),"")</f>
        <v/>
      </c>
      <c r="F360" s="12">
        <f>IFERROR(IF(SUMIFS(tblDaily[TransfersIn],tblDaily[EntryDate],DATE(2026,10,3),tblDaily[WardCode],"FW")=0,"",SUMIFS(tblDaily[TransfersIn],tblDaily[EntryDate],DATE(2026,10,3),tblDaily[WardCode],"FW")),"")</f>
        <v/>
      </c>
      <c r="G360" s="12">
        <f>IFERROR(IF(SUMIFS(tblDaily[TransfersOut],tblDaily[EntryDate],DATE(2026,10,3),tblDaily[WardCode],"FW")=0,"",SUMIFS(tblDaily[TransfersOut],tblDaily[EntryDate],DATE(2026,10,3),tblDaily[WardCode],"FW")),"")</f>
        <v/>
      </c>
      <c r="H360" s="12">
        <f>IFERROR(IF(SUMIFS(tblDaily[Remaining],tblDaily[EntryDate],DATE(2026,10,3),tblDaily[WardCode],"FW")=0,"",SUMIFS(tblDaily[Remaining],tblDaily[EntryDate],DATE(2026,10,3),tblDaily[WardCode],"FW")),"")</f>
        <v/>
      </c>
    </row>
    <row r="361">
      <c r="A361" s="12" t="n">
        <v>4</v>
      </c>
      <c r="B361" s="12">
        <f>IFERROR(IF(SUMIFS(tblDaily[Admissions],tblDaily[EntryDate],DATE(2026,10,4),tblDaily[WardCode],"FW")=0,"",SUMIFS(tblDaily[Admissions],tblDaily[EntryDate],DATE(2026,10,4),tblDaily[WardCode],"FW")),"")</f>
        <v/>
      </c>
      <c r="C361" s="12">
        <f>IFERROR(IF(SUMIFS(tblDaily[Discharges],tblDaily[EntryDate],DATE(2026,10,4),tblDaily[WardCode],"FW")=0,"",SUMIFS(tblDaily[Discharges],tblDaily[EntryDate],DATE(2026,10,4),tblDaily[WardCode],"FW")),"")</f>
        <v/>
      </c>
      <c r="D361" s="12">
        <f>IFERROR(IF(SUMIFS(tblDaily[Deaths],tblDaily[EntryDate],DATE(2026,10,4),tblDaily[WardCode],"FW")=0,"",SUMIFS(tblDaily[Deaths],tblDaily[EntryDate],DATE(2026,10,4),tblDaily[WardCode],"FW")),"")</f>
        <v/>
      </c>
      <c r="E361" s="12">
        <f>IFERROR(IF(SUMIFS(tblDaily[DeathsUnder24Hrs],tblDaily[EntryDate],DATE(2026,10,4),tblDaily[WardCode],"FW")=0,"",SUMIFS(tblDaily[DeathsUnder24Hrs],tblDaily[EntryDate],DATE(2026,10,4),tblDaily[WardCode],"FW")),"")</f>
        <v/>
      </c>
      <c r="F361" s="12">
        <f>IFERROR(IF(SUMIFS(tblDaily[TransfersIn],tblDaily[EntryDate],DATE(2026,10,4),tblDaily[WardCode],"FW")=0,"",SUMIFS(tblDaily[TransfersIn],tblDaily[EntryDate],DATE(2026,10,4),tblDaily[WardCode],"FW")),"")</f>
        <v/>
      </c>
      <c r="G361" s="12">
        <f>IFERROR(IF(SUMIFS(tblDaily[TransfersOut],tblDaily[EntryDate],DATE(2026,10,4),tblDaily[WardCode],"FW")=0,"",SUMIFS(tblDaily[TransfersOut],tblDaily[EntryDate],DATE(2026,10,4),tblDaily[WardCode],"FW")),"")</f>
        <v/>
      </c>
      <c r="H361" s="12">
        <f>IFERROR(IF(SUMIFS(tblDaily[Remaining],tblDaily[EntryDate],DATE(2026,10,4),tblDaily[WardCode],"FW")=0,"",SUMIFS(tblDaily[Remaining],tblDaily[EntryDate],DATE(2026,10,4),tblDaily[WardCode],"FW")),"")</f>
        <v/>
      </c>
    </row>
    <row r="362">
      <c r="A362" s="12" t="n">
        <v>5</v>
      </c>
      <c r="B362" s="12">
        <f>IFERROR(IF(SUMIFS(tblDaily[Admissions],tblDaily[EntryDate],DATE(2026,10,5),tblDaily[WardCode],"FW")=0,"",SUMIFS(tblDaily[Admissions],tblDaily[EntryDate],DATE(2026,10,5),tblDaily[WardCode],"FW")),"")</f>
        <v/>
      </c>
      <c r="C362" s="12">
        <f>IFERROR(IF(SUMIFS(tblDaily[Discharges],tblDaily[EntryDate],DATE(2026,10,5),tblDaily[WardCode],"FW")=0,"",SUMIFS(tblDaily[Discharges],tblDaily[EntryDate],DATE(2026,10,5),tblDaily[WardCode],"FW")),"")</f>
        <v/>
      </c>
      <c r="D362" s="12">
        <f>IFERROR(IF(SUMIFS(tblDaily[Deaths],tblDaily[EntryDate],DATE(2026,10,5),tblDaily[WardCode],"FW")=0,"",SUMIFS(tblDaily[Deaths],tblDaily[EntryDate],DATE(2026,10,5),tblDaily[WardCode],"FW")),"")</f>
        <v/>
      </c>
      <c r="E362" s="12">
        <f>IFERROR(IF(SUMIFS(tblDaily[DeathsUnder24Hrs],tblDaily[EntryDate],DATE(2026,10,5),tblDaily[WardCode],"FW")=0,"",SUMIFS(tblDaily[DeathsUnder24Hrs],tblDaily[EntryDate],DATE(2026,10,5),tblDaily[WardCode],"FW")),"")</f>
        <v/>
      </c>
      <c r="F362" s="12">
        <f>IFERROR(IF(SUMIFS(tblDaily[TransfersIn],tblDaily[EntryDate],DATE(2026,10,5),tblDaily[WardCode],"FW")=0,"",SUMIFS(tblDaily[TransfersIn],tblDaily[EntryDate],DATE(2026,10,5),tblDaily[WardCode],"FW")),"")</f>
        <v/>
      </c>
      <c r="G362" s="12">
        <f>IFERROR(IF(SUMIFS(tblDaily[TransfersOut],tblDaily[EntryDate],DATE(2026,10,5),tblDaily[WardCode],"FW")=0,"",SUMIFS(tblDaily[TransfersOut],tblDaily[EntryDate],DATE(2026,10,5),tblDaily[WardCode],"FW")),"")</f>
        <v/>
      </c>
      <c r="H362" s="12">
        <f>IFERROR(IF(SUMIFS(tblDaily[Remaining],tblDaily[EntryDate],DATE(2026,10,5),tblDaily[WardCode],"FW")=0,"",SUMIFS(tblDaily[Remaining],tblDaily[EntryDate],DATE(2026,10,5),tblDaily[WardCode],"FW")),"")</f>
        <v/>
      </c>
    </row>
    <row r="363">
      <c r="A363" s="12" t="n">
        <v>6</v>
      </c>
      <c r="B363" s="12">
        <f>IFERROR(IF(SUMIFS(tblDaily[Admissions],tblDaily[EntryDate],DATE(2026,10,6),tblDaily[WardCode],"FW")=0,"",SUMIFS(tblDaily[Admissions],tblDaily[EntryDate],DATE(2026,10,6),tblDaily[WardCode],"FW")),"")</f>
        <v/>
      </c>
      <c r="C363" s="12">
        <f>IFERROR(IF(SUMIFS(tblDaily[Discharges],tblDaily[EntryDate],DATE(2026,10,6),tblDaily[WardCode],"FW")=0,"",SUMIFS(tblDaily[Discharges],tblDaily[EntryDate],DATE(2026,10,6),tblDaily[WardCode],"FW")),"")</f>
        <v/>
      </c>
      <c r="D363" s="12">
        <f>IFERROR(IF(SUMIFS(tblDaily[Deaths],tblDaily[EntryDate],DATE(2026,10,6),tblDaily[WardCode],"FW")=0,"",SUMIFS(tblDaily[Deaths],tblDaily[EntryDate],DATE(2026,10,6),tblDaily[WardCode],"FW")),"")</f>
        <v/>
      </c>
      <c r="E363" s="12">
        <f>IFERROR(IF(SUMIFS(tblDaily[DeathsUnder24Hrs],tblDaily[EntryDate],DATE(2026,10,6),tblDaily[WardCode],"FW")=0,"",SUMIFS(tblDaily[DeathsUnder24Hrs],tblDaily[EntryDate],DATE(2026,10,6),tblDaily[WardCode],"FW")),"")</f>
        <v/>
      </c>
      <c r="F363" s="12">
        <f>IFERROR(IF(SUMIFS(tblDaily[TransfersIn],tblDaily[EntryDate],DATE(2026,10,6),tblDaily[WardCode],"FW")=0,"",SUMIFS(tblDaily[TransfersIn],tblDaily[EntryDate],DATE(2026,10,6),tblDaily[WardCode],"FW")),"")</f>
        <v/>
      </c>
      <c r="G363" s="12">
        <f>IFERROR(IF(SUMIFS(tblDaily[TransfersOut],tblDaily[EntryDate],DATE(2026,10,6),tblDaily[WardCode],"FW")=0,"",SUMIFS(tblDaily[TransfersOut],tblDaily[EntryDate],DATE(2026,10,6),tblDaily[WardCode],"FW")),"")</f>
        <v/>
      </c>
      <c r="H363" s="12">
        <f>IFERROR(IF(SUMIFS(tblDaily[Remaining],tblDaily[EntryDate],DATE(2026,10,6),tblDaily[WardCode],"FW")=0,"",SUMIFS(tblDaily[Remaining],tblDaily[EntryDate],DATE(2026,10,6),tblDaily[WardCode],"FW")),"")</f>
        <v/>
      </c>
    </row>
    <row r="364">
      <c r="A364" s="12" t="n">
        <v>7</v>
      </c>
      <c r="B364" s="12">
        <f>IFERROR(IF(SUMIFS(tblDaily[Admissions],tblDaily[EntryDate],DATE(2026,10,7),tblDaily[WardCode],"FW")=0,"",SUMIFS(tblDaily[Admissions],tblDaily[EntryDate],DATE(2026,10,7),tblDaily[WardCode],"FW")),"")</f>
        <v/>
      </c>
      <c r="C364" s="12">
        <f>IFERROR(IF(SUMIFS(tblDaily[Discharges],tblDaily[EntryDate],DATE(2026,10,7),tblDaily[WardCode],"FW")=0,"",SUMIFS(tblDaily[Discharges],tblDaily[EntryDate],DATE(2026,10,7),tblDaily[WardCode],"FW")),"")</f>
        <v/>
      </c>
      <c r="D364" s="12">
        <f>IFERROR(IF(SUMIFS(tblDaily[Deaths],tblDaily[EntryDate],DATE(2026,10,7),tblDaily[WardCode],"FW")=0,"",SUMIFS(tblDaily[Deaths],tblDaily[EntryDate],DATE(2026,10,7),tblDaily[WardCode],"FW")),"")</f>
        <v/>
      </c>
      <c r="E364" s="12">
        <f>IFERROR(IF(SUMIFS(tblDaily[DeathsUnder24Hrs],tblDaily[EntryDate],DATE(2026,10,7),tblDaily[WardCode],"FW")=0,"",SUMIFS(tblDaily[DeathsUnder24Hrs],tblDaily[EntryDate],DATE(2026,10,7),tblDaily[WardCode],"FW")),"")</f>
        <v/>
      </c>
      <c r="F364" s="12">
        <f>IFERROR(IF(SUMIFS(tblDaily[TransfersIn],tblDaily[EntryDate],DATE(2026,10,7),tblDaily[WardCode],"FW")=0,"",SUMIFS(tblDaily[TransfersIn],tblDaily[EntryDate],DATE(2026,10,7),tblDaily[WardCode],"FW")),"")</f>
        <v/>
      </c>
      <c r="G364" s="12">
        <f>IFERROR(IF(SUMIFS(tblDaily[TransfersOut],tblDaily[EntryDate],DATE(2026,10,7),tblDaily[WardCode],"FW")=0,"",SUMIFS(tblDaily[TransfersOut],tblDaily[EntryDate],DATE(2026,10,7),tblDaily[WardCode],"FW")),"")</f>
        <v/>
      </c>
      <c r="H364" s="12">
        <f>IFERROR(IF(SUMIFS(tblDaily[Remaining],tblDaily[EntryDate],DATE(2026,10,7),tblDaily[WardCode],"FW")=0,"",SUMIFS(tblDaily[Remaining],tblDaily[EntryDate],DATE(2026,10,7),tblDaily[WardCode],"FW")),"")</f>
        <v/>
      </c>
    </row>
    <row r="365">
      <c r="A365" s="12" t="n">
        <v>8</v>
      </c>
      <c r="B365" s="12">
        <f>IFERROR(IF(SUMIFS(tblDaily[Admissions],tblDaily[EntryDate],DATE(2026,10,8),tblDaily[WardCode],"FW")=0,"",SUMIFS(tblDaily[Admissions],tblDaily[EntryDate],DATE(2026,10,8),tblDaily[WardCode],"FW")),"")</f>
        <v/>
      </c>
      <c r="C365" s="12">
        <f>IFERROR(IF(SUMIFS(tblDaily[Discharges],tblDaily[EntryDate],DATE(2026,10,8),tblDaily[WardCode],"FW")=0,"",SUMIFS(tblDaily[Discharges],tblDaily[EntryDate],DATE(2026,10,8),tblDaily[WardCode],"FW")),"")</f>
        <v/>
      </c>
      <c r="D365" s="12">
        <f>IFERROR(IF(SUMIFS(tblDaily[Deaths],tblDaily[EntryDate],DATE(2026,10,8),tblDaily[WardCode],"FW")=0,"",SUMIFS(tblDaily[Deaths],tblDaily[EntryDate],DATE(2026,10,8),tblDaily[WardCode],"FW")),"")</f>
        <v/>
      </c>
      <c r="E365" s="12">
        <f>IFERROR(IF(SUMIFS(tblDaily[DeathsUnder24Hrs],tblDaily[EntryDate],DATE(2026,10,8),tblDaily[WardCode],"FW")=0,"",SUMIFS(tblDaily[DeathsUnder24Hrs],tblDaily[EntryDate],DATE(2026,10,8),tblDaily[WardCode],"FW")),"")</f>
        <v/>
      </c>
      <c r="F365" s="12">
        <f>IFERROR(IF(SUMIFS(tblDaily[TransfersIn],tblDaily[EntryDate],DATE(2026,10,8),tblDaily[WardCode],"FW")=0,"",SUMIFS(tblDaily[TransfersIn],tblDaily[EntryDate],DATE(2026,10,8),tblDaily[WardCode],"FW")),"")</f>
        <v/>
      </c>
      <c r="G365" s="12">
        <f>IFERROR(IF(SUMIFS(tblDaily[TransfersOut],tblDaily[EntryDate],DATE(2026,10,8),tblDaily[WardCode],"FW")=0,"",SUMIFS(tblDaily[TransfersOut],tblDaily[EntryDate],DATE(2026,10,8),tblDaily[WardCode],"FW")),"")</f>
        <v/>
      </c>
      <c r="H365" s="12">
        <f>IFERROR(IF(SUMIFS(tblDaily[Remaining],tblDaily[EntryDate],DATE(2026,10,8),tblDaily[WardCode],"FW")=0,"",SUMIFS(tblDaily[Remaining],tblDaily[EntryDate],DATE(2026,10,8),tblDaily[WardCode],"FW")),"")</f>
        <v/>
      </c>
    </row>
    <row r="366">
      <c r="A366" s="12" t="n">
        <v>9</v>
      </c>
      <c r="B366" s="12">
        <f>IFERROR(IF(SUMIFS(tblDaily[Admissions],tblDaily[EntryDate],DATE(2026,10,9),tblDaily[WardCode],"FW")=0,"",SUMIFS(tblDaily[Admissions],tblDaily[EntryDate],DATE(2026,10,9),tblDaily[WardCode],"FW")),"")</f>
        <v/>
      </c>
      <c r="C366" s="12">
        <f>IFERROR(IF(SUMIFS(tblDaily[Discharges],tblDaily[EntryDate],DATE(2026,10,9),tblDaily[WardCode],"FW")=0,"",SUMIFS(tblDaily[Discharges],tblDaily[EntryDate],DATE(2026,10,9),tblDaily[WardCode],"FW")),"")</f>
        <v/>
      </c>
      <c r="D366" s="12">
        <f>IFERROR(IF(SUMIFS(tblDaily[Deaths],tblDaily[EntryDate],DATE(2026,10,9),tblDaily[WardCode],"FW")=0,"",SUMIFS(tblDaily[Deaths],tblDaily[EntryDate],DATE(2026,10,9),tblDaily[WardCode],"FW")),"")</f>
        <v/>
      </c>
      <c r="E366" s="12">
        <f>IFERROR(IF(SUMIFS(tblDaily[DeathsUnder24Hrs],tblDaily[EntryDate],DATE(2026,10,9),tblDaily[WardCode],"FW")=0,"",SUMIFS(tblDaily[DeathsUnder24Hrs],tblDaily[EntryDate],DATE(2026,10,9),tblDaily[WardCode],"FW")),"")</f>
        <v/>
      </c>
      <c r="F366" s="12">
        <f>IFERROR(IF(SUMIFS(tblDaily[TransfersIn],tblDaily[EntryDate],DATE(2026,10,9),tblDaily[WardCode],"FW")=0,"",SUMIFS(tblDaily[TransfersIn],tblDaily[EntryDate],DATE(2026,10,9),tblDaily[WardCode],"FW")),"")</f>
        <v/>
      </c>
      <c r="G366" s="12">
        <f>IFERROR(IF(SUMIFS(tblDaily[TransfersOut],tblDaily[EntryDate],DATE(2026,10,9),tblDaily[WardCode],"FW")=0,"",SUMIFS(tblDaily[TransfersOut],tblDaily[EntryDate],DATE(2026,10,9),tblDaily[WardCode],"FW")),"")</f>
        <v/>
      </c>
      <c r="H366" s="12">
        <f>IFERROR(IF(SUMIFS(tblDaily[Remaining],tblDaily[EntryDate],DATE(2026,10,9),tblDaily[WardCode],"FW")=0,"",SUMIFS(tblDaily[Remaining],tblDaily[EntryDate],DATE(2026,10,9),tblDaily[WardCode],"FW")),"")</f>
        <v/>
      </c>
    </row>
    <row r="367">
      <c r="A367" s="12" t="n">
        <v>10</v>
      </c>
      <c r="B367" s="12">
        <f>IFERROR(IF(SUMIFS(tblDaily[Admissions],tblDaily[EntryDate],DATE(2026,10,10),tblDaily[WardCode],"FW")=0,"",SUMIFS(tblDaily[Admissions],tblDaily[EntryDate],DATE(2026,10,10),tblDaily[WardCode],"FW")),"")</f>
        <v/>
      </c>
      <c r="C367" s="12">
        <f>IFERROR(IF(SUMIFS(tblDaily[Discharges],tblDaily[EntryDate],DATE(2026,10,10),tblDaily[WardCode],"FW")=0,"",SUMIFS(tblDaily[Discharges],tblDaily[EntryDate],DATE(2026,10,10),tblDaily[WardCode],"FW")),"")</f>
        <v/>
      </c>
      <c r="D367" s="12">
        <f>IFERROR(IF(SUMIFS(tblDaily[Deaths],tblDaily[EntryDate],DATE(2026,10,10),tblDaily[WardCode],"FW")=0,"",SUMIFS(tblDaily[Deaths],tblDaily[EntryDate],DATE(2026,10,10),tblDaily[WardCode],"FW")),"")</f>
        <v/>
      </c>
      <c r="E367" s="12">
        <f>IFERROR(IF(SUMIFS(tblDaily[DeathsUnder24Hrs],tblDaily[EntryDate],DATE(2026,10,10),tblDaily[WardCode],"FW")=0,"",SUMIFS(tblDaily[DeathsUnder24Hrs],tblDaily[EntryDate],DATE(2026,10,10),tblDaily[WardCode],"FW")),"")</f>
        <v/>
      </c>
      <c r="F367" s="12">
        <f>IFERROR(IF(SUMIFS(tblDaily[TransfersIn],tblDaily[EntryDate],DATE(2026,10,10),tblDaily[WardCode],"FW")=0,"",SUMIFS(tblDaily[TransfersIn],tblDaily[EntryDate],DATE(2026,10,10),tblDaily[WardCode],"FW")),"")</f>
        <v/>
      </c>
      <c r="G367" s="12">
        <f>IFERROR(IF(SUMIFS(tblDaily[TransfersOut],tblDaily[EntryDate],DATE(2026,10,10),tblDaily[WardCode],"FW")=0,"",SUMIFS(tblDaily[TransfersOut],tblDaily[EntryDate],DATE(2026,10,10),tblDaily[WardCode],"FW")),"")</f>
        <v/>
      </c>
      <c r="H367" s="12">
        <f>IFERROR(IF(SUMIFS(tblDaily[Remaining],tblDaily[EntryDate],DATE(2026,10,10),tblDaily[WardCode],"FW")=0,"",SUMIFS(tblDaily[Remaining],tblDaily[EntryDate],DATE(2026,10,10),tblDaily[WardCode],"FW")),"")</f>
        <v/>
      </c>
    </row>
    <row r="368">
      <c r="A368" s="12" t="n">
        <v>11</v>
      </c>
      <c r="B368" s="12">
        <f>IFERROR(IF(SUMIFS(tblDaily[Admissions],tblDaily[EntryDate],DATE(2026,10,11),tblDaily[WardCode],"FW")=0,"",SUMIFS(tblDaily[Admissions],tblDaily[EntryDate],DATE(2026,10,11),tblDaily[WardCode],"FW")),"")</f>
        <v/>
      </c>
      <c r="C368" s="12">
        <f>IFERROR(IF(SUMIFS(tblDaily[Discharges],tblDaily[EntryDate],DATE(2026,10,11),tblDaily[WardCode],"FW")=0,"",SUMIFS(tblDaily[Discharges],tblDaily[EntryDate],DATE(2026,10,11),tblDaily[WardCode],"FW")),"")</f>
        <v/>
      </c>
      <c r="D368" s="12">
        <f>IFERROR(IF(SUMIFS(tblDaily[Deaths],tblDaily[EntryDate],DATE(2026,10,11),tblDaily[WardCode],"FW")=0,"",SUMIFS(tblDaily[Deaths],tblDaily[EntryDate],DATE(2026,10,11),tblDaily[WardCode],"FW")),"")</f>
        <v/>
      </c>
      <c r="E368" s="12">
        <f>IFERROR(IF(SUMIFS(tblDaily[DeathsUnder24Hrs],tblDaily[EntryDate],DATE(2026,10,11),tblDaily[WardCode],"FW")=0,"",SUMIFS(tblDaily[DeathsUnder24Hrs],tblDaily[EntryDate],DATE(2026,10,11),tblDaily[WardCode],"FW")),"")</f>
        <v/>
      </c>
      <c r="F368" s="12">
        <f>IFERROR(IF(SUMIFS(tblDaily[TransfersIn],tblDaily[EntryDate],DATE(2026,10,11),tblDaily[WardCode],"FW")=0,"",SUMIFS(tblDaily[TransfersIn],tblDaily[EntryDate],DATE(2026,10,11),tblDaily[WardCode],"FW")),"")</f>
        <v/>
      </c>
      <c r="G368" s="12">
        <f>IFERROR(IF(SUMIFS(tblDaily[TransfersOut],tblDaily[EntryDate],DATE(2026,10,11),tblDaily[WardCode],"FW")=0,"",SUMIFS(tblDaily[TransfersOut],tblDaily[EntryDate],DATE(2026,10,11),tblDaily[WardCode],"FW")),"")</f>
        <v/>
      </c>
      <c r="H368" s="12">
        <f>IFERROR(IF(SUMIFS(tblDaily[Remaining],tblDaily[EntryDate],DATE(2026,10,11),tblDaily[WardCode],"FW")=0,"",SUMIFS(tblDaily[Remaining],tblDaily[EntryDate],DATE(2026,10,11),tblDaily[WardCode],"FW")),"")</f>
        <v/>
      </c>
    </row>
    <row r="369">
      <c r="A369" s="12" t="n">
        <v>12</v>
      </c>
      <c r="B369" s="12">
        <f>IFERROR(IF(SUMIFS(tblDaily[Admissions],tblDaily[EntryDate],DATE(2026,10,12),tblDaily[WardCode],"FW")=0,"",SUMIFS(tblDaily[Admissions],tblDaily[EntryDate],DATE(2026,10,12),tblDaily[WardCode],"FW")),"")</f>
        <v/>
      </c>
      <c r="C369" s="12">
        <f>IFERROR(IF(SUMIFS(tblDaily[Discharges],tblDaily[EntryDate],DATE(2026,10,12),tblDaily[WardCode],"FW")=0,"",SUMIFS(tblDaily[Discharges],tblDaily[EntryDate],DATE(2026,10,12),tblDaily[WardCode],"FW")),"")</f>
        <v/>
      </c>
      <c r="D369" s="12">
        <f>IFERROR(IF(SUMIFS(tblDaily[Deaths],tblDaily[EntryDate],DATE(2026,10,12),tblDaily[WardCode],"FW")=0,"",SUMIFS(tblDaily[Deaths],tblDaily[EntryDate],DATE(2026,10,12),tblDaily[WardCode],"FW")),"")</f>
        <v/>
      </c>
      <c r="E369" s="12">
        <f>IFERROR(IF(SUMIFS(tblDaily[DeathsUnder24Hrs],tblDaily[EntryDate],DATE(2026,10,12),tblDaily[WardCode],"FW")=0,"",SUMIFS(tblDaily[DeathsUnder24Hrs],tblDaily[EntryDate],DATE(2026,10,12),tblDaily[WardCode],"FW")),"")</f>
        <v/>
      </c>
      <c r="F369" s="12">
        <f>IFERROR(IF(SUMIFS(tblDaily[TransfersIn],tblDaily[EntryDate],DATE(2026,10,12),tblDaily[WardCode],"FW")=0,"",SUMIFS(tblDaily[TransfersIn],tblDaily[EntryDate],DATE(2026,10,12),tblDaily[WardCode],"FW")),"")</f>
        <v/>
      </c>
      <c r="G369" s="12">
        <f>IFERROR(IF(SUMIFS(tblDaily[TransfersOut],tblDaily[EntryDate],DATE(2026,10,12),tblDaily[WardCode],"FW")=0,"",SUMIFS(tblDaily[TransfersOut],tblDaily[EntryDate],DATE(2026,10,12),tblDaily[WardCode],"FW")),"")</f>
        <v/>
      </c>
      <c r="H369" s="12">
        <f>IFERROR(IF(SUMIFS(tblDaily[Remaining],tblDaily[EntryDate],DATE(2026,10,12),tblDaily[WardCode],"FW")=0,"",SUMIFS(tblDaily[Remaining],tblDaily[EntryDate],DATE(2026,10,12),tblDaily[WardCode],"FW")),"")</f>
        <v/>
      </c>
    </row>
    <row r="370">
      <c r="A370" s="12" t="n">
        <v>13</v>
      </c>
      <c r="B370" s="12">
        <f>IFERROR(IF(SUMIFS(tblDaily[Admissions],tblDaily[EntryDate],DATE(2026,10,13),tblDaily[WardCode],"FW")=0,"",SUMIFS(tblDaily[Admissions],tblDaily[EntryDate],DATE(2026,10,13),tblDaily[WardCode],"FW")),"")</f>
        <v/>
      </c>
      <c r="C370" s="12">
        <f>IFERROR(IF(SUMIFS(tblDaily[Discharges],tblDaily[EntryDate],DATE(2026,10,13),tblDaily[WardCode],"FW")=0,"",SUMIFS(tblDaily[Discharges],tblDaily[EntryDate],DATE(2026,10,13),tblDaily[WardCode],"FW")),"")</f>
        <v/>
      </c>
      <c r="D370" s="12">
        <f>IFERROR(IF(SUMIFS(tblDaily[Deaths],tblDaily[EntryDate],DATE(2026,10,13),tblDaily[WardCode],"FW")=0,"",SUMIFS(tblDaily[Deaths],tblDaily[EntryDate],DATE(2026,10,13),tblDaily[WardCode],"FW")),"")</f>
        <v/>
      </c>
      <c r="E370" s="12">
        <f>IFERROR(IF(SUMIFS(tblDaily[DeathsUnder24Hrs],tblDaily[EntryDate],DATE(2026,10,13),tblDaily[WardCode],"FW")=0,"",SUMIFS(tblDaily[DeathsUnder24Hrs],tblDaily[EntryDate],DATE(2026,10,13),tblDaily[WardCode],"FW")),"")</f>
        <v/>
      </c>
      <c r="F370" s="12">
        <f>IFERROR(IF(SUMIFS(tblDaily[TransfersIn],tblDaily[EntryDate],DATE(2026,10,13),tblDaily[WardCode],"FW")=0,"",SUMIFS(tblDaily[TransfersIn],tblDaily[EntryDate],DATE(2026,10,13),tblDaily[WardCode],"FW")),"")</f>
        <v/>
      </c>
      <c r="G370" s="12">
        <f>IFERROR(IF(SUMIFS(tblDaily[TransfersOut],tblDaily[EntryDate],DATE(2026,10,13),tblDaily[WardCode],"FW")=0,"",SUMIFS(tblDaily[TransfersOut],tblDaily[EntryDate],DATE(2026,10,13),tblDaily[WardCode],"FW")),"")</f>
        <v/>
      </c>
      <c r="H370" s="12">
        <f>IFERROR(IF(SUMIFS(tblDaily[Remaining],tblDaily[EntryDate],DATE(2026,10,13),tblDaily[WardCode],"FW")=0,"",SUMIFS(tblDaily[Remaining],tblDaily[EntryDate],DATE(2026,10,13),tblDaily[WardCode],"FW")),"")</f>
        <v/>
      </c>
    </row>
    <row r="371">
      <c r="A371" s="12" t="n">
        <v>14</v>
      </c>
      <c r="B371" s="12">
        <f>IFERROR(IF(SUMIFS(tblDaily[Admissions],tblDaily[EntryDate],DATE(2026,10,14),tblDaily[WardCode],"FW")=0,"",SUMIFS(tblDaily[Admissions],tblDaily[EntryDate],DATE(2026,10,14),tblDaily[WardCode],"FW")),"")</f>
        <v/>
      </c>
      <c r="C371" s="12">
        <f>IFERROR(IF(SUMIFS(tblDaily[Discharges],tblDaily[EntryDate],DATE(2026,10,14),tblDaily[WardCode],"FW")=0,"",SUMIFS(tblDaily[Discharges],tblDaily[EntryDate],DATE(2026,10,14),tblDaily[WardCode],"FW")),"")</f>
        <v/>
      </c>
      <c r="D371" s="12">
        <f>IFERROR(IF(SUMIFS(tblDaily[Deaths],tblDaily[EntryDate],DATE(2026,10,14),tblDaily[WardCode],"FW")=0,"",SUMIFS(tblDaily[Deaths],tblDaily[EntryDate],DATE(2026,10,14),tblDaily[WardCode],"FW")),"")</f>
        <v/>
      </c>
      <c r="E371" s="12">
        <f>IFERROR(IF(SUMIFS(tblDaily[DeathsUnder24Hrs],tblDaily[EntryDate],DATE(2026,10,14),tblDaily[WardCode],"FW")=0,"",SUMIFS(tblDaily[DeathsUnder24Hrs],tblDaily[EntryDate],DATE(2026,10,14),tblDaily[WardCode],"FW")),"")</f>
        <v/>
      </c>
      <c r="F371" s="12">
        <f>IFERROR(IF(SUMIFS(tblDaily[TransfersIn],tblDaily[EntryDate],DATE(2026,10,14),tblDaily[WardCode],"FW")=0,"",SUMIFS(tblDaily[TransfersIn],tblDaily[EntryDate],DATE(2026,10,14),tblDaily[WardCode],"FW")),"")</f>
        <v/>
      </c>
      <c r="G371" s="12">
        <f>IFERROR(IF(SUMIFS(tblDaily[TransfersOut],tblDaily[EntryDate],DATE(2026,10,14),tblDaily[WardCode],"FW")=0,"",SUMIFS(tblDaily[TransfersOut],tblDaily[EntryDate],DATE(2026,10,14),tblDaily[WardCode],"FW")),"")</f>
        <v/>
      </c>
      <c r="H371" s="12">
        <f>IFERROR(IF(SUMIFS(tblDaily[Remaining],tblDaily[EntryDate],DATE(2026,10,14),tblDaily[WardCode],"FW")=0,"",SUMIFS(tblDaily[Remaining],tblDaily[EntryDate],DATE(2026,10,14),tblDaily[WardCode],"FW")),"")</f>
        <v/>
      </c>
    </row>
    <row r="372">
      <c r="A372" s="12" t="n">
        <v>15</v>
      </c>
      <c r="B372" s="12">
        <f>IFERROR(IF(SUMIFS(tblDaily[Admissions],tblDaily[EntryDate],DATE(2026,10,15),tblDaily[WardCode],"FW")=0,"",SUMIFS(tblDaily[Admissions],tblDaily[EntryDate],DATE(2026,10,15),tblDaily[WardCode],"FW")),"")</f>
        <v/>
      </c>
      <c r="C372" s="12">
        <f>IFERROR(IF(SUMIFS(tblDaily[Discharges],tblDaily[EntryDate],DATE(2026,10,15),tblDaily[WardCode],"FW")=0,"",SUMIFS(tblDaily[Discharges],tblDaily[EntryDate],DATE(2026,10,15),tblDaily[WardCode],"FW")),"")</f>
        <v/>
      </c>
      <c r="D372" s="12">
        <f>IFERROR(IF(SUMIFS(tblDaily[Deaths],tblDaily[EntryDate],DATE(2026,10,15),tblDaily[WardCode],"FW")=0,"",SUMIFS(tblDaily[Deaths],tblDaily[EntryDate],DATE(2026,10,15),tblDaily[WardCode],"FW")),"")</f>
        <v/>
      </c>
      <c r="E372" s="12">
        <f>IFERROR(IF(SUMIFS(tblDaily[DeathsUnder24Hrs],tblDaily[EntryDate],DATE(2026,10,15),tblDaily[WardCode],"FW")=0,"",SUMIFS(tblDaily[DeathsUnder24Hrs],tblDaily[EntryDate],DATE(2026,10,15),tblDaily[WardCode],"FW")),"")</f>
        <v/>
      </c>
      <c r="F372" s="12">
        <f>IFERROR(IF(SUMIFS(tblDaily[TransfersIn],tblDaily[EntryDate],DATE(2026,10,15),tblDaily[WardCode],"FW")=0,"",SUMIFS(tblDaily[TransfersIn],tblDaily[EntryDate],DATE(2026,10,15),tblDaily[WardCode],"FW")),"")</f>
        <v/>
      </c>
      <c r="G372" s="12">
        <f>IFERROR(IF(SUMIFS(tblDaily[TransfersOut],tblDaily[EntryDate],DATE(2026,10,15),tblDaily[WardCode],"FW")=0,"",SUMIFS(tblDaily[TransfersOut],tblDaily[EntryDate],DATE(2026,10,15),tblDaily[WardCode],"FW")),"")</f>
        <v/>
      </c>
      <c r="H372" s="12">
        <f>IFERROR(IF(SUMIFS(tblDaily[Remaining],tblDaily[EntryDate],DATE(2026,10,15),tblDaily[WardCode],"FW")=0,"",SUMIFS(tblDaily[Remaining],tblDaily[EntryDate],DATE(2026,10,15),tblDaily[WardCode],"FW")),"")</f>
        <v/>
      </c>
    </row>
    <row r="373">
      <c r="A373" s="12" t="n">
        <v>16</v>
      </c>
      <c r="B373" s="12">
        <f>IFERROR(IF(SUMIFS(tblDaily[Admissions],tblDaily[EntryDate],DATE(2026,10,16),tblDaily[WardCode],"FW")=0,"",SUMIFS(tblDaily[Admissions],tblDaily[EntryDate],DATE(2026,10,16),tblDaily[WardCode],"FW")),"")</f>
        <v/>
      </c>
      <c r="C373" s="12">
        <f>IFERROR(IF(SUMIFS(tblDaily[Discharges],tblDaily[EntryDate],DATE(2026,10,16),tblDaily[WardCode],"FW")=0,"",SUMIFS(tblDaily[Discharges],tblDaily[EntryDate],DATE(2026,10,16),tblDaily[WardCode],"FW")),"")</f>
        <v/>
      </c>
      <c r="D373" s="12">
        <f>IFERROR(IF(SUMIFS(tblDaily[Deaths],tblDaily[EntryDate],DATE(2026,10,16),tblDaily[WardCode],"FW")=0,"",SUMIFS(tblDaily[Deaths],tblDaily[EntryDate],DATE(2026,10,16),tblDaily[WardCode],"FW")),"")</f>
        <v/>
      </c>
      <c r="E373" s="12">
        <f>IFERROR(IF(SUMIFS(tblDaily[DeathsUnder24Hrs],tblDaily[EntryDate],DATE(2026,10,16),tblDaily[WardCode],"FW")=0,"",SUMIFS(tblDaily[DeathsUnder24Hrs],tblDaily[EntryDate],DATE(2026,10,16),tblDaily[WardCode],"FW")),"")</f>
        <v/>
      </c>
      <c r="F373" s="12">
        <f>IFERROR(IF(SUMIFS(tblDaily[TransfersIn],tblDaily[EntryDate],DATE(2026,10,16),tblDaily[WardCode],"FW")=0,"",SUMIFS(tblDaily[TransfersIn],tblDaily[EntryDate],DATE(2026,10,16),tblDaily[WardCode],"FW")),"")</f>
        <v/>
      </c>
      <c r="G373" s="12">
        <f>IFERROR(IF(SUMIFS(tblDaily[TransfersOut],tblDaily[EntryDate],DATE(2026,10,16),tblDaily[WardCode],"FW")=0,"",SUMIFS(tblDaily[TransfersOut],tblDaily[EntryDate],DATE(2026,10,16),tblDaily[WardCode],"FW")),"")</f>
        <v/>
      </c>
      <c r="H373" s="12">
        <f>IFERROR(IF(SUMIFS(tblDaily[Remaining],tblDaily[EntryDate],DATE(2026,10,16),tblDaily[WardCode],"FW")=0,"",SUMIFS(tblDaily[Remaining],tblDaily[EntryDate],DATE(2026,10,16),tblDaily[WardCode],"FW")),"")</f>
        <v/>
      </c>
    </row>
    <row r="374">
      <c r="A374" s="12" t="n">
        <v>17</v>
      </c>
      <c r="B374" s="12">
        <f>IFERROR(IF(SUMIFS(tblDaily[Admissions],tblDaily[EntryDate],DATE(2026,10,17),tblDaily[WardCode],"FW")=0,"",SUMIFS(tblDaily[Admissions],tblDaily[EntryDate],DATE(2026,10,17),tblDaily[WardCode],"FW")),"")</f>
        <v/>
      </c>
      <c r="C374" s="12">
        <f>IFERROR(IF(SUMIFS(tblDaily[Discharges],tblDaily[EntryDate],DATE(2026,10,17),tblDaily[WardCode],"FW")=0,"",SUMIFS(tblDaily[Discharges],tblDaily[EntryDate],DATE(2026,10,17),tblDaily[WardCode],"FW")),"")</f>
        <v/>
      </c>
      <c r="D374" s="12">
        <f>IFERROR(IF(SUMIFS(tblDaily[Deaths],tblDaily[EntryDate],DATE(2026,10,17),tblDaily[WardCode],"FW")=0,"",SUMIFS(tblDaily[Deaths],tblDaily[EntryDate],DATE(2026,10,17),tblDaily[WardCode],"FW")),"")</f>
        <v/>
      </c>
      <c r="E374" s="12">
        <f>IFERROR(IF(SUMIFS(tblDaily[DeathsUnder24Hrs],tblDaily[EntryDate],DATE(2026,10,17),tblDaily[WardCode],"FW")=0,"",SUMIFS(tblDaily[DeathsUnder24Hrs],tblDaily[EntryDate],DATE(2026,10,17),tblDaily[WardCode],"FW")),"")</f>
        <v/>
      </c>
      <c r="F374" s="12">
        <f>IFERROR(IF(SUMIFS(tblDaily[TransfersIn],tblDaily[EntryDate],DATE(2026,10,17),tblDaily[WardCode],"FW")=0,"",SUMIFS(tblDaily[TransfersIn],tblDaily[EntryDate],DATE(2026,10,17),tblDaily[WardCode],"FW")),"")</f>
        <v/>
      </c>
      <c r="G374" s="12">
        <f>IFERROR(IF(SUMIFS(tblDaily[TransfersOut],tblDaily[EntryDate],DATE(2026,10,17),tblDaily[WardCode],"FW")=0,"",SUMIFS(tblDaily[TransfersOut],tblDaily[EntryDate],DATE(2026,10,17),tblDaily[WardCode],"FW")),"")</f>
        <v/>
      </c>
      <c r="H374" s="12">
        <f>IFERROR(IF(SUMIFS(tblDaily[Remaining],tblDaily[EntryDate],DATE(2026,10,17),tblDaily[WardCode],"FW")=0,"",SUMIFS(tblDaily[Remaining],tblDaily[EntryDate],DATE(2026,10,17),tblDaily[WardCode],"FW")),"")</f>
        <v/>
      </c>
    </row>
    <row r="375">
      <c r="A375" s="12" t="n">
        <v>18</v>
      </c>
      <c r="B375" s="12">
        <f>IFERROR(IF(SUMIFS(tblDaily[Admissions],tblDaily[EntryDate],DATE(2026,10,18),tblDaily[WardCode],"FW")=0,"",SUMIFS(tblDaily[Admissions],tblDaily[EntryDate],DATE(2026,10,18),tblDaily[WardCode],"FW")),"")</f>
        <v/>
      </c>
      <c r="C375" s="12">
        <f>IFERROR(IF(SUMIFS(tblDaily[Discharges],tblDaily[EntryDate],DATE(2026,10,18),tblDaily[WardCode],"FW")=0,"",SUMIFS(tblDaily[Discharges],tblDaily[EntryDate],DATE(2026,10,18),tblDaily[WardCode],"FW")),"")</f>
        <v/>
      </c>
      <c r="D375" s="12">
        <f>IFERROR(IF(SUMIFS(tblDaily[Deaths],tblDaily[EntryDate],DATE(2026,10,18),tblDaily[WardCode],"FW")=0,"",SUMIFS(tblDaily[Deaths],tblDaily[EntryDate],DATE(2026,10,18),tblDaily[WardCode],"FW")),"")</f>
        <v/>
      </c>
      <c r="E375" s="12">
        <f>IFERROR(IF(SUMIFS(tblDaily[DeathsUnder24Hrs],tblDaily[EntryDate],DATE(2026,10,18),tblDaily[WardCode],"FW")=0,"",SUMIFS(tblDaily[DeathsUnder24Hrs],tblDaily[EntryDate],DATE(2026,10,18),tblDaily[WardCode],"FW")),"")</f>
        <v/>
      </c>
      <c r="F375" s="12">
        <f>IFERROR(IF(SUMIFS(tblDaily[TransfersIn],tblDaily[EntryDate],DATE(2026,10,18),tblDaily[WardCode],"FW")=0,"",SUMIFS(tblDaily[TransfersIn],tblDaily[EntryDate],DATE(2026,10,18),tblDaily[WardCode],"FW")),"")</f>
        <v/>
      </c>
      <c r="G375" s="12">
        <f>IFERROR(IF(SUMIFS(tblDaily[TransfersOut],tblDaily[EntryDate],DATE(2026,10,18),tblDaily[WardCode],"FW")=0,"",SUMIFS(tblDaily[TransfersOut],tblDaily[EntryDate],DATE(2026,10,18),tblDaily[WardCode],"FW")),"")</f>
        <v/>
      </c>
      <c r="H375" s="12">
        <f>IFERROR(IF(SUMIFS(tblDaily[Remaining],tblDaily[EntryDate],DATE(2026,10,18),tblDaily[WardCode],"FW")=0,"",SUMIFS(tblDaily[Remaining],tblDaily[EntryDate],DATE(2026,10,18),tblDaily[WardCode],"FW")),"")</f>
        <v/>
      </c>
    </row>
    <row r="376">
      <c r="A376" s="12" t="n">
        <v>19</v>
      </c>
      <c r="B376" s="12">
        <f>IFERROR(IF(SUMIFS(tblDaily[Admissions],tblDaily[EntryDate],DATE(2026,10,19),tblDaily[WardCode],"FW")=0,"",SUMIFS(tblDaily[Admissions],tblDaily[EntryDate],DATE(2026,10,19),tblDaily[WardCode],"FW")),"")</f>
        <v/>
      </c>
      <c r="C376" s="12">
        <f>IFERROR(IF(SUMIFS(tblDaily[Discharges],tblDaily[EntryDate],DATE(2026,10,19),tblDaily[WardCode],"FW")=0,"",SUMIFS(tblDaily[Discharges],tblDaily[EntryDate],DATE(2026,10,19),tblDaily[WardCode],"FW")),"")</f>
        <v/>
      </c>
      <c r="D376" s="12">
        <f>IFERROR(IF(SUMIFS(tblDaily[Deaths],tblDaily[EntryDate],DATE(2026,10,19),tblDaily[WardCode],"FW")=0,"",SUMIFS(tblDaily[Deaths],tblDaily[EntryDate],DATE(2026,10,19),tblDaily[WardCode],"FW")),"")</f>
        <v/>
      </c>
      <c r="E376" s="12">
        <f>IFERROR(IF(SUMIFS(tblDaily[DeathsUnder24Hrs],tblDaily[EntryDate],DATE(2026,10,19),tblDaily[WardCode],"FW")=0,"",SUMIFS(tblDaily[DeathsUnder24Hrs],tblDaily[EntryDate],DATE(2026,10,19),tblDaily[WardCode],"FW")),"")</f>
        <v/>
      </c>
      <c r="F376" s="12">
        <f>IFERROR(IF(SUMIFS(tblDaily[TransfersIn],tblDaily[EntryDate],DATE(2026,10,19),tblDaily[WardCode],"FW")=0,"",SUMIFS(tblDaily[TransfersIn],tblDaily[EntryDate],DATE(2026,10,19),tblDaily[WardCode],"FW")),"")</f>
        <v/>
      </c>
      <c r="G376" s="12">
        <f>IFERROR(IF(SUMIFS(tblDaily[TransfersOut],tblDaily[EntryDate],DATE(2026,10,19),tblDaily[WardCode],"FW")=0,"",SUMIFS(tblDaily[TransfersOut],tblDaily[EntryDate],DATE(2026,10,19),tblDaily[WardCode],"FW")),"")</f>
        <v/>
      </c>
      <c r="H376" s="12">
        <f>IFERROR(IF(SUMIFS(tblDaily[Remaining],tblDaily[EntryDate],DATE(2026,10,19),tblDaily[WardCode],"FW")=0,"",SUMIFS(tblDaily[Remaining],tblDaily[EntryDate],DATE(2026,10,19),tblDaily[WardCode],"FW")),"")</f>
        <v/>
      </c>
    </row>
    <row r="377">
      <c r="A377" s="12" t="n">
        <v>20</v>
      </c>
      <c r="B377" s="12">
        <f>IFERROR(IF(SUMIFS(tblDaily[Admissions],tblDaily[EntryDate],DATE(2026,10,20),tblDaily[WardCode],"FW")=0,"",SUMIFS(tblDaily[Admissions],tblDaily[EntryDate],DATE(2026,10,20),tblDaily[WardCode],"FW")),"")</f>
        <v/>
      </c>
      <c r="C377" s="12">
        <f>IFERROR(IF(SUMIFS(tblDaily[Discharges],tblDaily[EntryDate],DATE(2026,10,20),tblDaily[WardCode],"FW")=0,"",SUMIFS(tblDaily[Discharges],tblDaily[EntryDate],DATE(2026,10,20),tblDaily[WardCode],"FW")),"")</f>
        <v/>
      </c>
      <c r="D377" s="12">
        <f>IFERROR(IF(SUMIFS(tblDaily[Deaths],tblDaily[EntryDate],DATE(2026,10,20),tblDaily[WardCode],"FW")=0,"",SUMIFS(tblDaily[Deaths],tblDaily[EntryDate],DATE(2026,10,20),tblDaily[WardCode],"FW")),"")</f>
        <v/>
      </c>
      <c r="E377" s="12">
        <f>IFERROR(IF(SUMIFS(tblDaily[DeathsUnder24Hrs],tblDaily[EntryDate],DATE(2026,10,20),tblDaily[WardCode],"FW")=0,"",SUMIFS(tblDaily[DeathsUnder24Hrs],tblDaily[EntryDate],DATE(2026,10,20),tblDaily[WardCode],"FW")),"")</f>
        <v/>
      </c>
      <c r="F377" s="12">
        <f>IFERROR(IF(SUMIFS(tblDaily[TransfersIn],tblDaily[EntryDate],DATE(2026,10,20),tblDaily[WardCode],"FW")=0,"",SUMIFS(tblDaily[TransfersIn],tblDaily[EntryDate],DATE(2026,10,20),tblDaily[WardCode],"FW")),"")</f>
        <v/>
      </c>
      <c r="G377" s="12">
        <f>IFERROR(IF(SUMIFS(tblDaily[TransfersOut],tblDaily[EntryDate],DATE(2026,10,20),tblDaily[WardCode],"FW")=0,"",SUMIFS(tblDaily[TransfersOut],tblDaily[EntryDate],DATE(2026,10,20),tblDaily[WardCode],"FW")),"")</f>
        <v/>
      </c>
      <c r="H377" s="12">
        <f>IFERROR(IF(SUMIFS(tblDaily[Remaining],tblDaily[EntryDate],DATE(2026,10,20),tblDaily[WardCode],"FW")=0,"",SUMIFS(tblDaily[Remaining],tblDaily[EntryDate],DATE(2026,10,20),tblDaily[WardCode],"FW")),"")</f>
        <v/>
      </c>
    </row>
    <row r="378">
      <c r="A378" s="12" t="n">
        <v>21</v>
      </c>
      <c r="B378" s="12">
        <f>IFERROR(IF(SUMIFS(tblDaily[Admissions],tblDaily[EntryDate],DATE(2026,10,21),tblDaily[WardCode],"FW")=0,"",SUMIFS(tblDaily[Admissions],tblDaily[EntryDate],DATE(2026,10,21),tblDaily[WardCode],"FW")),"")</f>
        <v/>
      </c>
      <c r="C378" s="12">
        <f>IFERROR(IF(SUMIFS(tblDaily[Discharges],tblDaily[EntryDate],DATE(2026,10,21),tblDaily[WardCode],"FW")=0,"",SUMIFS(tblDaily[Discharges],tblDaily[EntryDate],DATE(2026,10,21),tblDaily[WardCode],"FW")),"")</f>
        <v/>
      </c>
      <c r="D378" s="12">
        <f>IFERROR(IF(SUMIFS(tblDaily[Deaths],tblDaily[EntryDate],DATE(2026,10,21),tblDaily[WardCode],"FW")=0,"",SUMIFS(tblDaily[Deaths],tblDaily[EntryDate],DATE(2026,10,21),tblDaily[WardCode],"FW")),"")</f>
        <v/>
      </c>
      <c r="E378" s="12">
        <f>IFERROR(IF(SUMIFS(tblDaily[DeathsUnder24Hrs],tblDaily[EntryDate],DATE(2026,10,21),tblDaily[WardCode],"FW")=0,"",SUMIFS(tblDaily[DeathsUnder24Hrs],tblDaily[EntryDate],DATE(2026,10,21),tblDaily[WardCode],"FW")),"")</f>
        <v/>
      </c>
      <c r="F378" s="12">
        <f>IFERROR(IF(SUMIFS(tblDaily[TransfersIn],tblDaily[EntryDate],DATE(2026,10,21),tblDaily[WardCode],"FW")=0,"",SUMIFS(tblDaily[TransfersIn],tblDaily[EntryDate],DATE(2026,10,21),tblDaily[WardCode],"FW")),"")</f>
        <v/>
      </c>
      <c r="G378" s="12">
        <f>IFERROR(IF(SUMIFS(tblDaily[TransfersOut],tblDaily[EntryDate],DATE(2026,10,21),tblDaily[WardCode],"FW")=0,"",SUMIFS(tblDaily[TransfersOut],tblDaily[EntryDate],DATE(2026,10,21),tblDaily[WardCode],"FW")),"")</f>
        <v/>
      </c>
      <c r="H378" s="12">
        <f>IFERROR(IF(SUMIFS(tblDaily[Remaining],tblDaily[EntryDate],DATE(2026,10,21),tblDaily[WardCode],"FW")=0,"",SUMIFS(tblDaily[Remaining],tblDaily[EntryDate],DATE(2026,10,21),tblDaily[WardCode],"FW")),"")</f>
        <v/>
      </c>
    </row>
    <row r="379">
      <c r="A379" s="12" t="n">
        <v>22</v>
      </c>
      <c r="B379" s="12">
        <f>IFERROR(IF(SUMIFS(tblDaily[Admissions],tblDaily[EntryDate],DATE(2026,10,22),tblDaily[WardCode],"FW")=0,"",SUMIFS(tblDaily[Admissions],tblDaily[EntryDate],DATE(2026,10,22),tblDaily[WardCode],"FW")),"")</f>
        <v/>
      </c>
      <c r="C379" s="12">
        <f>IFERROR(IF(SUMIFS(tblDaily[Discharges],tblDaily[EntryDate],DATE(2026,10,22),tblDaily[WardCode],"FW")=0,"",SUMIFS(tblDaily[Discharges],tblDaily[EntryDate],DATE(2026,10,22),tblDaily[WardCode],"FW")),"")</f>
        <v/>
      </c>
      <c r="D379" s="12">
        <f>IFERROR(IF(SUMIFS(tblDaily[Deaths],tblDaily[EntryDate],DATE(2026,10,22),tblDaily[WardCode],"FW")=0,"",SUMIFS(tblDaily[Deaths],tblDaily[EntryDate],DATE(2026,10,22),tblDaily[WardCode],"FW")),"")</f>
        <v/>
      </c>
      <c r="E379" s="12">
        <f>IFERROR(IF(SUMIFS(tblDaily[DeathsUnder24Hrs],tblDaily[EntryDate],DATE(2026,10,22),tblDaily[WardCode],"FW")=0,"",SUMIFS(tblDaily[DeathsUnder24Hrs],tblDaily[EntryDate],DATE(2026,10,22),tblDaily[WardCode],"FW")),"")</f>
        <v/>
      </c>
      <c r="F379" s="12">
        <f>IFERROR(IF(SUMIFS(tblDaily[TransfersIn],tblDaily[EntryDate],DATE(2026,10,22),tblDaily[WardCode],"FW")=0,"",SUMIFS(tblDaily[TransfersIn],tblDaily[EntryDate],DATE(2026,10,22),tblDaily[WardCode],"FW")),"")</f>
        <v/>
      </c>
      <c r="G379" s="12">
        <f>IFERROR(IF(SUMIFS(tblDaily[TransfersOut],tblDaily[EntryDate],DATE(2026,10,22),tblDaily[WardCode],"FW")=0,"",SUMIFS(tblDaily[TransfersOut],tblDaily[EntryDate],DATE(2026,10,22),tblDaily[WardCode],"FW")),"")</f>
        <v/>
      </c>
      <c r="H379" s="12">
        <f>IFERROR(IF(SUMIFS(tblDaily[Remaining],tblDaily[EntryDate],DATE(2026,10,22),tblDaily[WardCode],"FW")=0,"",SUMIFS(tblDaily[Remaining],tblDaily[EntryDate],DATE(2026,10,22),tblDaily[WardCode],"FW")),"")</f>
        <v/>
      </c>
    </row>
    <row r="380">
      <c r="A380" s="12" t="n">
        <v>23</v>
      </c>
      <c r="B380" s="12">
        <f>IFERROR(IF(SUMIFS(tblDaily[Admissions],tblDaily[EntryDate],DATE(2026,10,23),tblDaily[WardCode],"FW")=0,"",SUMIFS(tblDaily[Admissions],tblDaily[EntryDate],DATE(2026,10,23),tblDaily[WardCode],"FW")),"")</f>
        <v/>
      </c>
      <c r="C380" s="12">
        <f>IFERROR(IF(SUMIFS(tblDaily[Discharges],tblDaily[EntryDate],DATE(2026,10,23),tblDaily[WardCode],"FW")=0,"",SUMIFS(tblDaily[Discharges],tblDaily[EntryDate],DATE(2026,10,23),tblDaily[WardCode],"FW")),"")</f>
        <v/>
      </c>
      <c r="D380" s="12">
        <f>IFERROR(IF(SUMIFS(tblDaily[Deaths],tblDaily[EntryDate],DATE(2026,10,23),tblDaily[WardCode],"FW")=0,"",SUMIFS(tblDaily[Deaths],tblDaily[EntryDate],DATE(2026,10,23),tblDaily[WardCode],"FW")),"")</f>
        <v/>
      </c>
      <c r="E380" s="12">
        <f>IFERROR(IF(SUMIFS(tblDaily[DeathsUnder24Hrs],tblDaily[EntryDate],DATE(2026,10,23),tblDaily[WardCode],"FW")=0,"",SUMIFS(tblDaily[DeathsUnder24Hrs],tblDaily[EntryDate],DATE(2026,10,23),tblDaily[WardCode],"FW")),"")</f>
        <v/>
      </c>
      <c r="F380" s="12">
        <f>IFERROR(IF(SUMIFS(tblDaily[TransfersIn],tblDaily[EntryDate],DATE(2026,10,23),tblDaily[WardCode],"FW")=0,"",SUMIFS(tblDaily[TransfersIn],tblDaily[EntryDate],DATE(2026,10,23),tblDaily[WardCode],"FW")),"")</f>
        <v/>
      </c>
      <c r="G380" s="12">
        <f>IFERROR(IF(SUMIFS(tblDaily[TransfersOut],tblDaily[EntryDate],DATE(2026,10,23),tblDaily[WardCode],"FW")=0,"",SUMIFS(tblDaily[TransfersOut],tblDaily[EntryDate],DATE(2026,10,23),tblDaily[WardCode],"FW")),"")</f>
        <v/>
      </c>
      <c r="H380" s="12">
        <f>IFERROR(IF(SUMIFS(tblDaily[Remaining],tblDaily[EntryDate],DATE(2026,10,23),tblDaily[WardCode],"FW")=0,"",SUMIFS(tblDaily[Remaining],tblDaily[EntryDate],DATE(2026,10,23),tblDaily[WardCode],"FW")),"")</f>
        <v/>
      </c>
    </row>
    <row r="381">
      <c r="A381" s="12" t="n">
        <v>24</v>
      </c>
      <c r="B381" s="12">
        <f>IFERROR(IF(SUMIFS(tblDaily[Admissions],tblDaily[EntryDate],DATE(2026,10,24),tblDaily[WardCode],"FW")=0,"",SUMIFS(tblDaily[Admissions],tblDaily[EntryDate],DATE(2026,10,24),tblDaily[WardCode],"FW")),"")</f>
        <v/>
      </c>
      <c r="C381" s="12">
        <f>IFERROR(IF(SUMIFS(tblDaily[Discharges],tblDaily[EntryDate],DATE(2026,10,24),tblDaily[WardCode],"FW")=0,"",SUMIFS(tblDaily[Discharges],tblDaily[EntryDate],DATE(2026,10,24),tblDaily[WardCode],"FW")),"")</f>
        <v/>
      </c>
      <c r="D381" s="12">
        <f>IFERROR(IF(SUMIFS(tblDaily[Deaths],tblDaily[EntryDate],DATE(2026,10,24),tblDaily[WardCode],"FW")=0,"",SUMIFS(tblDaily[Deaths],tblDaily[EntryDate],DATE(2026,10,24),tblDaily[WardCode],"FW")),"")</f>
        <v/>
      </c>
      <c r="E381" s="12">
        <f>IFERROR(IF(SUMIFS(tblDaily[DeathsUnder24Hrs],tblDaily[EntryDate],DATE(2026,10,24),tblDaily[WardCode],"FW")=0,"",SUMIFS(tblDaily[DeathsUnder24Hrs],tblDaily[EntryDate],DATE(2026,10,24),tblDaily[WardCode],"FW")),"")</f>
        <v/>
      </c>
      <c r="F381" s="12">
        <f>IFERROR(IF(SUMIFS(tblDaily[TransfersIn],tblDaily[EntryDate],DATE(2026,10,24),tblDaily[WardCode],"FW")=0,"",SUMIFS(tblDaily[TransfersIn],tblDaily[EntryDate],DATE(2026,10,24),tblDaily[WardCode],"FW")),"")</f>
        <v/>
      </c>
      <c r="G381" s="12">
        <f>IFERROR(IF(SUMIFS(tblDaily[TransfersOut],tblDaily[EntryDate],DATE(2026,10,24),tblDaily[WardCode],"FW")=0,"",SUMIFS(tblDaily[TransfersOut],tblDaily[EntryDate],DATE(2026,10,24),tblDaily[WardCode],"FW")),"")</f>
        <v/>
      </c>
      <c r="H381" s="12">
        <f>IFERROR(IF(SUMIFS(tblDaily[Remaining],tblDaily[EntryDate],DATE(2026,10,24),tblDaily[WardCode],"FW")=0,"",SUMIFS(tblDaily[Remaining],tblDaily[EntryDate],DATE(2026,10,24),tblDaily[WardCode],"FW")),"")</f>
        <v/>
      </c>
    </row>
    <row r="382">
      <c r="A382" s="12" t="n">
        <v>25</v>
      </c>
      <c r="B382" s="12">
        <f>IFERROR(IF(SUMIFS(tblDaily[Admissions],tblDaily[EntryDate],DATE(2026,10,25),tblDaily[WardCode],"FW")=0,"",SUMIFS(tblDaily[Admissions],tblDaily[EntryDate],DATE(2026,10,25),tblDaily[WardCode],"FW")),"")</f>
        <v/>
      </c>
      <c r="C382" s="12">
        <f>IFERROR(IF(SUMIFS(tblDaily[Discharges],tblDaily[EntryDate],DATE(2026,10,25),tblDaily[WardCode],"FW")=0,"",SUMIFS(tblDaily[Discharges],tblDaily[EntryDate],DATE(2026,10,25),tblDaily[WardCode],"FW")),"")</f>
        <v/>
      </c>
      <c r="D382" s="12">
        <f>IFERROR(IF(SUMIFS(tblDaily[Deaths],tblDaily[EntryDate],DATE(2026,10,25),tblDaily[WardCode],"FW")=0,"",SUMIFS(tblDaily[Deaths],tblDaily[EntryDate],DATE(2026,10,25),tblDaily[WardCode],"FW")),"")</f>
        <v/>
      </c>
      <c r="E382" s="12">
        <f>IFERROR(IF(SUMIFS(tblDaily[DeathsUnder24Hrs],tblDaily[EntryDate],DATE(2026,10,25),tblDaily[WardCode],"FW")=0,"",SUMIFS(tblDaily[DeathsUnder24Hrs],tblDaily[EntryDate],DATE(2026,10,25),tblDaily[WardCode],"FW")),"")</f>
        <v/>
      </c>
      <c r="F382" s="12">
        <f>IFERROR(IF(SUMIFS(tblDaily[TransfersIn],tblDaily[EntryDate],DATE(2026,10,25),tblDaily[WardCode],"FW")=0,"",SUMIFS(tblDaily[TransfersIn],tblDaily[EntryDate],DATE(2026,10,25),tblDaily[WardCode],"FW")),"")</f>
        <v/>
      </c>
      <c r="G382" s="12">
        <f>IFERROR(IF(SUMIFS(tblDaily[TransfersOut],tblDaily[EntryDate],DATE(2026,10,25),tblDaily[WardCode],"FW")=0,"",SUMIFS(tblDaily[TransfersOut],tblDaily[EntryDate],DATE(2026,10,25),tblDaily[WardCode],"FW")),"")</f>
        <v/>
      </c>
      <c r="H382" s="12">
        <f>IFERROR(IF(SUMIFS(tblDaily[Remaining],tblDaily[EntryDate],DATE(2026,10,25),tblDaily[WardCode],"FW")=0,"",SUMIFS(tblDaily[Remaining],tblDaily[EntryDate],DATE(2026,10,25),tblDaily[WardCode],"FW")),"")</f>
        <v/>
      </c>
    </row>
    <row r="383">
      <c r="A383" s="12" t="n">
        <v>26</v>
      </c>
      <c r="B383" s="12">
        <f>IFERROR(IF(SUMIFS(tblDaily[Admissions],tblDaily[EntryDate],DATE(2026,10,26),tblDaily[WardCode],"FW")=0,"",SUMIFS(tblDaily[Admissions],tblDaily[EntryDate],DATE(2026,10,26),tblDaily[WardCode],"FW")),"")</f>
        <v/>
      </c>
      <c r="C383" s="12">
        <f>IFERROR(IF(SUMIFS(tblDaily[Discharges],tblDaily[EntryDate],DATE(2026,10,26),tblDaily[WardCode],"FW")=0,"",SUMIFS(tblDaily[Discharges],tblDaily[EntryDate],DATE(2026,10,26),tblDaily[WardCode],"FW")),"")</f>
        <v/>
      </c>
      <c r="D383" s="12">
        <f>IFERROR(IF(SUMIFS(tblDaily[Deaths],tblDaily[EntryDate],DATE(2026,10,26),tblDaily[WardCode],"FW")=0,"",SUMIFS(tblDaily[Deaths],tblDaily[EntryDate],DATE(2026,10,26),tblDaily[WardCode],"FW")),"")</f>
        <v/>
      </c>
      <c r="E383" s="12">
        <f>IFERROR(IF(SUMIFS(tblDaily[DeathsUnder24Hrs],tblDaily[EntryDate],DATE(2026,10,26),tblDaily[WardCode],"FW")=0,"",SUMIFS(tblDaily[DeathsUnder24Hrs],tblDaily[EntryDate],DATE(2026,10,26),tblDaily[WardCode],"FW")),"")</f>
        <v/>
      </c>
      <c r="F383" s="12">
        <f>IFERROR(IF(SUMIFS(tblDaily[TransfersIn],tblDaily[EntryDate],DATE(2026,10,26),tblDaily[WardCode],"FW")=0,"",SUMIFS(tblDaily[TransfersIn],tblDaily[EntryDate],DATE(2026,10,26),tblDaily[WardCode],"FW")),"")</f>
        <v/>
      </c>
      <c r="G383" s="12">
        <f>IFERROR(IF(SUMIFS(tblDaily[TransfersOut],tblDaily[EntryDate],DATE(2026,10,26),tblDaily[WardCode],"FW")=0,"",SUMIFS(tblDaily[TransfersOut],tblDaily[EntryDate],DATE(2026,10,26),tblDaily[WardCode],"FW")),"")</f>
        <v/>
      </c>
      <c r="H383" s="12">
        <f>IFERROR(IF(SUMIFS(tblDaily[Remaining],tblDaily[EntryDate],DATE(2026,10,26),tblDaily[WardCode],"FW")=0,"",SUMIFS(tblDaily[Remaining],tblDaily[EntryDate],DATE(2026,10,26),tblDaily[WardCode],"FW")),"")</f>
        <v/>
      </c>
    </row>
    <row r="384">
      <c r="A384" s="12" t="n">
        <v>27</v>
      </c>
      <c r="B384" s="12">
        <f>IFERROR(IF(SUMIFS(tblDaily[Admissions],tblDaily[EntryDate],DATE(2026,10,27),tblDaily[WardCode],"FW")=0,"",SUMIFS(tblDaily[Admissions],tblDaily[EntryDate],DATE(2026,10,27),tblDaily[WardCode],"FW")),"")</f>
        <v/>
      </c>
      <c r="C384" s="12">
        <f>IFERROR(IF(SUMIFS(tblDaily[Discharges],tblDaily[EntryDate],DATE(2026,10,27),tblDaily[WardCode],"FW")=0,"",SUMIFS(tblDaily[Discharges],tblDaily[EntryDate],DATE(2026,10,27),tblDaily[WardCode],"FW")),"")</f>
        <v/>
      </c>
      <c r="D384" s="12">
        <f>IFERROR(IF(SUMIFS(tblDaily[Deaths],tblDaily[EntryDate],DATE(2026,10,27),tblDaily[WardCode],"FW")=0,"",SUMIFS(tblDaily[Deaths],tblDaily[EntryDate],DATE(2026,10,27),tblDaily[WardCode],"FW")),"")</f>
        <v/>
      </c>
      <c r="E384" s="12">
        <f>IFERROR(IF(SUMIFS(tblDaily[DeathsUnder24Hrs],tblDaily[EntryDate],DATE(2026,10,27),tblDaily[WardCode],"FW")=0,"",SUMIFS(tblDaily[DeathsUnder24Hrs],tblDaily[EntryDate],DATE(2026,10,27),tblDaily[WardCode],"FW")),"")</f>
        <v/>
      </c>
      <c r="F384" s="12">
        <f>IFERROR(IF(SUMIFS(tblDaily[TransfersIn],tblDaily[EntryDate],DATE(2026,10,27),tblDaily[WardCode],"FW")=0,"",SUMIFS(tblDaily[TransfersIn],tblDaily[EntryDate],DATE(2026,10,27),tblDaily[WardCode],"FW")),"")</f>
        <v/>
      </c>
      <c r="G384" s="12">
        <f>IFERROR(IF(SUMIFS(tblDaily[TransfersOut],tblDaily[EntryDate],DATE(2026,10,27),tblDaily[WardCode],"FW")=0,"",SUMIFS(tblDaily[TransfersOut],tblDaily[EntryDate],DATE(2026,10,27),tblDaily[WardCode],"FW")),"")</f>
        <v/>
      </c>
      <c r="H384" s="12">
        <f>IFERROR(IF(SUMIFS(tblDaily[Remaining],tblDaily[EntryDate],DATE(2026,10,27),tblDaily[WardCode],"FW")=0,"",SUMIFS(tblDaily[Remaining],tblDaily[EntryDate],DATE(2026,10,27),tblDaily[WardCode],"FW")),"")</f>
        <v/>
      </c>
    </row>
    <row r="385">
      <c r="A385" s="12" t="n">
        <v>28</v>
      </c>
      <c r="B385" s="12">
        <f>IFERROR(IF(SUMIFS(tblDaily[Admissions],tblDaily[EntryDate],DATE(2026,10,28),tblDaily[WardCode],"FW")=0,"",SUMIFS(tblDaily[Admissions],tblDaily[EntryDate],DATE(2026,10,28),tblDaily[WardCode],"FW")),"")</f>
        <v/>
      </c>
      <c r="C385" s="12">
        <f>IFERROR(IF(SUMIFS(tblDaily[Discharges],tblDaily[EntryDate],DATE(2026,10,28),tblDaily[WardCode],"FW")=0,"",SUMIFS(tblDaily[Discharges],tblDaily[EntryDate],DATE(2026,10,28),tblDaily[WardCode],"FW")),"")</f>
        <v/>
      </c>
      <c r="D385" s="12">
        <f>IFERROR(IF(SUMIFS(tblDaily[Deaths],tblDaily[EntryDate],DATE(2026,10,28),tblDaily[WardCode],"FW")=0,"",SUMIFS(tblDaily[Deaths],tblDaily[EntryDate],DATE(2026,10,28),tblDaily[WardCode],"FW")),"")</f>
        <v/>
      </c>
      <c r="E385" s="12">
        <f>IFERROR(IF(SUMIFS(tblDaily[DeathsUnder24Hrs],tblDaily[EntryDate],DATE(2026,10,28),tblDaily[WardCode],"FW")=0,"",SUMIFS(tblDaily[DeathsUnder24Hrs],tblDaily[EntryDate],DATE(2026,10,28),tblDaily[WardCode],"FW")),"")</f>
        <v/>
      </c>
      <c r="F385" s="12">
        <f>IFERROR(IF(SUMIFS(tblDaily[TransfersIn],tblDaily[EntryDate],DATE(2026,10,28),tblDaily[WardCode],"FW")=0,"",SUMIFS(tblDaily[TransfersIn],tblDaily[EntryDate],DATE(2026,10,28),tblDaily[WardCode],"FW")),"")</f>
        <v/>
      </c>
      <c r="G385" s="12">
        <f>IFERROR(IF(SUMIFS(tblDaily[TransfersOut],tblDaily[EntryDate],DATE(2026,10,28),tblDaily[WardCode],"FW")=0,"",SUMIFS(tblDaily[TransfersOut],tblDaily[EntryDate],DATE(2026,10,28),tblDaily[WardCode],"FW")),"")</f>
        <v/>
      </c>
      <c r="H385" s="12">
        <f>IFERROR(IF(SUMIFS(tblDaily[Remaining],tblDaily[EntryDate],DATE(2026,10,28),tblDaily[WardCode],"FW")=0,"",SUMIFS(tblDaily[Remaining],tblDaily[EntryDate],DATE(2026,10,28),tblDaily[WardCode],"FW")),"")</f>
        <v/>
      </c>
    </row>
    <row r="386">
      <c r="A386" s="12" t="n">
        <v>29</v>
      </c>
      <c r="B386" s="12">
        <f>IFERROR(IF(SUMIFS(tblDaily[Admissions],tblDaily[EntryDate],DATE(2026,10,29),tblDaily[WardCode],"FW")=0,"",SUMIFS(tblDaily[Admissions],tblDaily[EntryDate],DATE(2026,10,29),tblDaily[WardCode],"FW")),"")</f>
        <v/>
      </c>
      <c r="C386" s="12">
        <f>IFERROR(IF(SUMIFS(tblDaily[Discharges],tblDaily[EntryDate],DATE(2026,10,29),tblDaily[WardCode],"FW")=0,"",SUMIFS(tblDaily[Discharges],tblDaily[EntryDate],DATE(2026,10,29),tblDaily[WardCode],"FW")),"")</f>
        <v/>
      </c>
      <c r="D386" s="12">
        <f>IFERROR(IF(SUMIFS(tblDaily[Deaths],tblDaily[EntryDate],DATE(2026,10,29),tblDaily[WardCode],"FW")=0,"",SUMIFS(tblDaily[Deaths],tblDaily[EntryDate],DATE(2026,10,29),tblDaily[WardCode],"FW")),"")</f>
        <v/>
      </c>
      <c r="E386" s="12">
        <f>IFERROR(IF(SUMIFS(tblDaily[DeathsUnder24Hrs],tblDaily[EntryDate],DATE(2026,10,29),tblDaily[WardCode],"FW")=0,"",SUMIFS(tblDaily[DeathsUnder24Hrs],tblDaily[EntryDate],DATE(2026,10,29),tblDaily[WardCode],"FW")),"")</f>
        <v/>
      </c>
      <c r="F386" s="12">
        <f>IFERROR(IF(SUMIFS(tblDaily[TransfersIn],tblDaily[EntryDate],DATE(2026,10,29),tblDaily[WardCode],"FW")=0,"",SUMIFS(tblDaily[TransfersIn],tblDaily[EntryDate],DATE(2026,10,29),tblDaily[WardCode],"FW")),"")</f>
        <v/>
      </c>
      <c r="G386" s="12">
        <f>IFERROR(IF(SUMIFS(tblDaily[TransfersOut],tblDaily[EntryDate],DATE(2026,10,29),tblDaily[WardCode],"FW")=0,"",SUMIFS(tblDaily[TransfersOut],tblDaily[EntryDate],DATE(2026,10,29),tblDaily[WardCode],"FW")),"")</f>
        <v/>
      </c>
      <c r="H386" s="12">
        <f>IFERROR(IF(SUMIFS(tblDaily[Remaining],tblDaily[EntryDate],DATE(2026,10,29),tblDaily[WardCode],"FW")=0,"",SUMIFS(tblDaily[Remaining],tblDaily[EntryDate],DATE(2026,10,29),tblDaily[WardCode],"FW")),"")</f>
        <v/>
      </c>
    </row>
    <row r="387">
      <c r="A387" s="12" t="n">
        <v>30</v>
      </c>
      <c r="B387" s="12">
        <f>IFERROR(IF(SUMIFS(tblDaily[Admissions],tblDaily[EntryDate],DATE(2026,10,30),tblDaily[WardCode],"FW")=0,"",SUMIFS(tblDaily[Admissions],tblDaily[EntryDate],DATE(2026,10,30),tblDaily[WardCode],"FW")),"")</f>
        <v/>
      </c>
      <c r="C387" s="12">
        <f>IFERROR(IF(SUMIFS(tblDaily[Discharges],tblDaily[EntryDate],DATE(2026,10,30),tblDaily[WardCode],"FW")=0,"",SUMIFS(tblDaily[Discharges],tblDaily[EntryDate],DATE(2026,10,30),tblDaily[WardCode],"FW")),"")</f>
        <v/>
      </c>
      <c r="D387" s="12">
        <f>IFERROR(IF(SUMIFS(tblDaily[Deaths],tblDaily[EntryDate],DATE(2026,10,30),tblDaily[WardCode],"FW")=0,"",SUMIFS(tblDaily[Deaths],tblDaily[EntryDate],DATE(2026,10,30),tblDaily[WardCode],"FW")),"")</f>
        <v/>
      </c>
      <c r="E387" s="12">
        <f>IFERROR(IF(SUMIFS(tblDaily[DeathsUnder24Hrs],tblDaily[EntryDate],DATE(2026,10,30),tblDaily[WardCode],"FW")=0,"",SUMIFS(tblDaily[DeathsUnder24Hrs],tblDaily[EntryDate],DATE(2026,10,30),tblDaily[WardCode],"FW")),"")</f>
        <v/>
      </c>
      <c r="F387" s="12">
        <f>IFERROR(IF(SUMIFS(tblDaily[TransfersIn],tblDaily[EntryDate],DATE(2026,10,30),tblDaily[WardCode],"FW")=0,"",SUMIFS(tblDaily[TransfersIn],tblDaily[EntryDate],DATE(2026,10,30),tblDaily[WardCode],"FW")),"")</f>
        <v/>
      </c>
      <c r="G387" s="12">
        <f>IFERROR(IF(SUMIFS(tblDaily[TransfersOut],tblDaily[EntryDate],DATE(2026,10,30),tblDaily[WardCode],"FW")=0,"",SUMIFS(tblDaily[TransfersOut],tblDaily[EntryDate],DATE(2026,10,30),tblDaily[WardCode],"FW")),"")</f>
        <v/>
      </c>
      <c r="H387" s="12">
        <f>IFERROR(IF(SUMIFS(tblDaily[Remaining],tblDaily[EntryDate],DATE(2026,10,30),tblDaily[WardCode],"FW")=0,"",SUMIFS(tblDaily[Remaining],tblDaily[EntryDate],DATE(2026,10,30),tblDaily[WardCode],"FW")),"")</f>
        <v/>
      </c>
    </row>
    <row r="388">
      <c r="A388" s="12" t="n">
        <v>31</v>
      </c>
      <c r="B388" s="12">
        <f>IFERROR(IF(SUMIFS(tblDaily[Admissions],tblDaily[EntryDate],DATE(2026,10,31),tblDaily[WardCode],"FW")=0,"",SUMIFS(tblDaily[Admissions],tblDaily[EntryDate],DATE(2026,10,31),tblDaily[WardCode],"FW")),"")</f>
        <v/>
      </c>
      <c r="C388" s="12">
        <f>IFERROR(IF(SUMIFS(tblDaily[Discharges],tblDaily[EntryDate],DATE(2026,10,31),tblDaily[WardCode],"FW")=0,"",SUMIFS(tblDaily[Discharges],tblDaily[EntryDate],DATE(2026,10,31),tblDaily[WardCode],"FW")),"")</f>
        <v/>
      </c>
      <c r="D388" s="12">
        <f>IFERROR(IF(SUMIFS(tblDaily[Deaths],tblDaily[EntryDate],DATE(2026,10,31),tblDaily[WardCode],"FW")=0,"",SUMIFS(tblDaily[Deaths],tblDaily[EntryDate],DATE(2026,10,31),tblDaily[WardCode],"FW")),"")</f>
        <v/>
      </c>
      <c r="E388" s="12">
        <f>IFERROR(IF(SUMIFS(tblDaily[DeathsUnder24Hrs],tblDaily[EntryDate],DATE(2026,10,31),tblDaily[WardCode],"FW")=0,"",SUMIFS(tblDaily[DeathsUnder24Hrs],tblDaily[EntryDate],DATE(2026,10,31),tblDaily[WardCode],"FW")),"")</f>
        <v/>
      </c>
      <c r="F388" s="12">
        <f>IFERROR(IF(SUMIFS(tblDaily[TransfersIn],tblDaily[EntryDate],DATE(2026,10,31),tblDaily[WardCode],"FW")=0,"",SUMIFS(tblDaily[TransfersIn],tblDaily[EntryDate],DATE(2026,10,31),tblDaily[WardCode],"FW")),"")</f>
        <v/>
      </c>
      <c r="G388" s="12">
        <f>IFERROR(IF(SUMIFS(tblDaily[TransfersOut],tblDaily[EntryDate],DATE(2026,10,31),tblDaily[WardCode],"FW")=0,"",SUMIFS(tblDaily[TransfersOut],tblDaily[EntryDate],DATE(2026,10,31),tblDaily[WardCode],"FW")),"")</f>
        <v/>
      </c>
      <c r="H388" s="12">
        <f>IFERROR(IF(SUMIFS(tblDaily[Remaining],tblDaily[EntryDate],DATE(2026,10,31),tblDaily[WardCode],"FW")=0,"",SUMIFS(tblDaily[Remaining],tblDaily[EntryDate],DATE(2026,10,31),tblDaily[WardCode],"FW")),"")</f>
        <v/>
      </c>
    </row>
    <row r="389">
      <c r="A389" s="17" t="inlineStr">
        <is>
          <t>TOTAL</t>
        </is>
      </c>
      <c r="B389" s="17">
        <f>SUMIFS(tblDaily[Admissions],tblDaily[Month],10,tblDaily[WardCode],"FW") - SUMIFS(tblDaily[DeathsUnder24Hrs],tblDaily[Month],10,tblDaily[WardCode],"FW")</f>
        <v/>
      </c>
      <c r="C389" s="17">
        <f>SUMIFS(tblDaily[Discharges],tblDaily[Month],10,tblDaily[WardCode],"FW")</f>
        <v/>
      </c>
      <c r="D389" s="17">
        <f>SUMIFS(tblDaily[Deaths],tblDaily[Month],10,tblDaily[WardCode],"FW")</f>
        <v/>
      </c>
      <c r="E389" s="17">
        <f>SUMIFS(tblDaily[DeathsUnder24Hrs],tblDaily[Month],10,tblDaily[WardCode],"FW")</f>
        <v/>
      </c>
      <c r="F389" s="17">
        <f>SUMIFS(tblDaily[TransfersIn],tblDaily[Month],10,tblDaily[WardCode],"FW")</f>
        <v/>
      </c>
      <c r="G389" s="17">
        <f>SUMIFS(tblDaily[TransfersOut],tblDaily[Month],10,tblDaily[WardCode],"FW")</f>
        <v/>
      </c>
      <c r="H389" s="17">
        <f>SUMIFS(tblDaily[Remaining],tblDaily[Month],10,tblDaily[WardCode],"FW")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FEMALE MEDICAL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4">
        <f>IFERROR(SUMIFS(tblDaily[Remaining],tblDaily[EntryDate],DATE(2026,10,31),tblDaily[WardCode],"FW"),0)</f>
        <v/>
      </c>
    </row>
    <row r="395">
      <c r="A395" s="4" t="inlineStr">
        <is>
          <t>Bed complement</t>
        </is>
      </c>
      <c r="H395" s="15">
        <f>IFERROR(INDEX(tblWardConfig[BedComplement],MATCH("FW",tblWardConfig[WardCode],0)),0)</f>
        <v/>
      </c>
    </row>
    <row r="396">
      <c r="A396" s="16" t="inlineStr">
        <is>
          <t>Day of
the
Month</t>
        </is>
      </c>
      <c r="B396" s="16" t="inlineStr">
        <is>
          <t>Admissions</t>
        </is>
      </c>
      <c r="C396" s="16" t="inlineStr">
        <is>
          <t>Discharges</t>
        </is>
      </c>
      <c r="D396" s="16" t="inlineStr">
        <is>
          <t>Deaths</t>
        </is>
      </c>
      <c r="E396" s="16" t="inlineStr">
        <is>
          <t>Deaths
&lt;24Hrs</t>
        </is>
      </c>
      <c r="F396" s="16" t="inlineStr">
        <is>
          <t>Transfers-
In</t>
        </is>
      </c>
      <c r="G396" s="16" t="inlineStr">
        <is>
          <t>Transfers-
Out</t>
        </is>
      </c>
      <c r="H396" s="16" t="inlineStr">
        <is>
          <t>No. of Patients
Remaining In
Ward</t>
        </is>
      </c>
    </row>
    <row r="397">
      <c r="A397" s="12" t="n">
        <v>1</v>
      </c>
      <c r="B397" s="12">
        <f>IFERROR(IF(SUMIFS(tblDaily[Admissions],tblDaily[EntryDate],DATE(2026,11,1),tblDaily[WardCode],"FW")=0,"",SUMIFS(tblDaily[Admissions],tblDaily[EntryDate],DATE(2026,11,1),tblDaily[WardCode],"FW")),"")</f>
        <v/>
      </c>
      <c r="C397" s="12">
        <f>IFERROR(IF(SUMIFS(tblDaily[Discharges],tblDaily[EntryDate],DATE(2026,11,1),tblDaily[WardCode],"FW")=0,"",SUMIFS(tblDaily[Discharges],tblDaily[EntryDate],DATE(2026,11,1),tblDaily[WardCode],"FW")),"")</f>
        <v/>
      </c>
      <c r="D397" s="12">
        <f>IFERROR(IF(SUMIFS(tblDaily[Deaths],tblDaily[EntryDate],DATE(2026,11,1),tblDaily[WardCode],"FW")=0,"",SUMIFS(tblDaily[Deaths],tblDaily[EntryDate],DATE(2026,11,1),tblDaily[WardCode],"FW")),"")</f>
        <v/>
      </c>
      <c r="E397" s="12">
        <f>IFERROR(IF(SUMIFS(tblDaily[DeathsUnder24Hrs],tblDaily[EntryDate],DATE(2026,11,1),tblDaily[WardCode],"FW")=0,"",SUMIFS(tblDaily[DeathsUnder24Hrs],tblDaily[EntryDate],DATE(2026,11,1),tblDaily[WardCode],"FW")),"")</f>
        <v/>
      </c>
      <c r="F397" s="12">
        <f>IFERROR(IF(SUMIFS(tblDaily[TransfersIn],tblDaily[EntryDate],DATE(2026,11,1),tblDaily[WardCode],"FW")=0,"",SUMIFS(tblDaily[TransfersIn],tblDaily[EntryDate],DATE(2026,11,1),tblDaily[WardCode],"FW")),"")</f>
        <v/>
      </c>
      <c r="G397" s="12">
        <f>IFERROR(IF(SUMIFS(tblDaily[TransfersOut],tblDaily[EntryDate],DATE(2026,11,1),tblDaily[WardCode],"FW")=0,"",SUMIFS(tblDaily[TransfersOut],tblDaily[EntryDate],DATE(2026,11,1),tblDaily[WardCode],"FW")),"")</f>
        <v/>
      </c>
      <c r="H397" s="12">
        <f>IFERROR(IF(SUMIFS(tblDaily[Remaining],tblDaily[EntryDate],DATE(2026,11,1),tblDaily[WardCode],"FW")=0,"",SUMIFS(tblDaily[Remaining],tblDaily[EntryDate],DATE(2026,11,1),tblDaily[WardCode],"FW")),"")</f>
        <v/>
      </c>
    </row>
    <row r="398">
      <c r="A398" s="12" t="n">
        <v>2</v>
      </c>
      <c r="B398" s="12">
        <f>IFERROR(IF(SUMIFS(tblDaily[Admissions],tblDaily[EntryDate],DATE(2026,11,2),tblDaily[WardCode],"FW")=0,"",SUMIFS(tblDaily[Admissions],tblDaily[EntryDate],DATE(2026,11,2),tblDaily[WardCode],"FW")),"")</f>
        <v/>
      </c>
      <c r="C398" s="12">
        <f>IFERROR(IF(SUMIFS(tblDaily[Discharges],tblDaily[EntryDate],DATE(2026,11,2),tblDaily[WardCode],"FW")=0,"",SUMIFS(tblDaily[Discharges],tblDaily[EntryDate],DATE(2026,11,2),tblDaily[WardCode],"FW")),"")</f>
        <v/>
      </c>
      <c r="D398" s="12">
        <f>IFERROR(IF(SUMIFS(tblDaily[Deaths],tblDaily[EntryDate],DATE(2026,11,2),tblDaily[WardCode],"FW")=0,"",SUMIFS(tblDaily[Deaths],tblDaily[EntryDate],DATE(2026,11,2),tblDaily[WardCode],"FW")),"")</f>
        <v/>
      </c>
      <c r="E398" s="12">
        <f>IFERROR(IF(SUMIFS(tblDaily[DeathsUnder24Hrs],tblDaily[EntryDate],DATE(2026,11,2),tblDaily[WardCode],"FW")=0,"",SUMIFS(tblDaily[DeathsUnder24Hrs],tblDaily[EntryDate],DATE(2026,11,2),tblDaily[WardCode],"FW")),"")</f>
        <v/>
      </c>
      <c r="F398" s="12">
        <f>IFERROR(IF(SUMIFS(tblDaily[TransfersIn],tblDaily[EntryDate],DATE(2026,11,2),tblDaily[WardCode],"FW")=0,"",SUMIFS(tblDaily[TransfersIn],tblDaily[EntryDate],DATE(2026,11,2),tblDaily[WardCode],"FW")),"")</f>
        <v/>
      </c>
      <c r="G398" s="12">
        <f>IFERROR(IF(SUMIFS(tblDaily[TransfersOut],tblDaily[EntryDate],DATE(2026,11,2),tblDaily[WardCode],"FW")=0,"",SUMIFS(tblDaily[TransfersOut],tblDaily[EntryDate],DATE(2026,11,2),tblDaily[WardCode],"FW")),"")</f>
        <v/>
      </c>
      <c r="H398" s="12">
        <f>IFERROR(IF(SUMIFS(tblDaily[Remaining],tblDaily[EntryDate],DATE(2026,11,2),tblDaily[WardCode],"FW")=0,"",SUMIFS(tblDaily[Remaining],tblDaily[EntryDate],DATE(2026,11,2),tblDaily[WardCode],"FW")),"")</f>
        <v/>
      </c>
    </row>
    <row r="399">
      <c r="A399" s="12" t="n">
        <v>3</v>
      </c>
      <c r="B399" s="12">
        <f>IFERROR(IF(SUMIFS(tblDaily[Admissions],tblDaily[EntryDate],DATE(2026,11,3),tblDaily[WardCode],"FW")=0,"",SUMIFS(tblDaily[Admissions],tblDaily[EntryDate],DATE(2026,11,3),tblDaily[WardCode],"FW")),"")</f>
        <v/>
      </c>
      <c r="C399" s="12">
        <f>IFERROR(IF(SUMIFS(tblDaily[Discharges],tblDaily[EntryDate],DATE(2026,11,3),tblDaily[WardCode],"FW")=0,"",SUMIFS(tblDaily[Discharges],tblDaily[EntryDate],DATE(2026,11,3),tblDaily[WardCode],"FW")),"")</f>
        <v/>
      </c>
      <c r="D399" s="12">
        <f>IFERROR(IF(SUMIFS(tblDaily[Deaths],tblDaily[EntryDate],DATE(2026,11,3),tblDaily[WardCode],"FW")=0,"",SUMIFS(tblDaily[Deaths],tblDaily[EntryDate],DATE(2026,11,3),tblDaily[WardCode],"FW")),"")</f>
        <v/>
      </c>
      <c r="E399" s="12">
        <f>IFERROR(IF(SUMIFS(tblDaily[DeathsUnder24Hrs],tblDaily[EntryDate],DATE(2026,11,3),tblDaily[WardCode],"FW")=0,"",SUMIFS(tblDaily[DeathsUnder24Hrs],tblDaily[EntryDate],DATE(2026,11,3),tblDaily[WardCode],"FW")),"")</f>
        <v/>
      </c>
      <c r="F399" s="12">
        <f>IFERROR(IF(SUMIFS(tblDaily[TransfersIn],tblDaily[EntryDate],DATE(2026,11,3),tblDaily[WardCode],"FW")=0,"",SUMIFS(tblDaily[TransfersIn],tblDaily[EntryDate],DATE(2026,11,3),tblDaily[WardCode],"FW")),"")</f>
        <v/>
      </c>
      <c r="G399" s="12">
        <f>IFERROR(IF(SUMIFS(tblDaily[TransfersOut],tblDaily[EntryDate],DATE(2026,11,3),tblDaily[WardCode],"FW")=0,"",SUMIFS(tblDaily[TransfersOut],tblDaily[EntryDate],DATE(2026,11,3),tblDaily[WardCode],"FW")),"")</f>
        <v/>
      </c>
      <c r="H399" s="12">
        <f>IFERROR(IF(SUMIFS(tblDaily[Remaining],tblDaily[EntryDate],DATE(2026,11,3),tblDaily[WardCode],"FW")=0,"",SUMIFS(tblDaily[Remaining],tblDaily[EntryDate],DATE(2026,11,3),tblDaily[WardCode],"FW")),"")</f>
        <v/>
      </c>
    </row>
    <row r="400">
      <c r="A400" s="12" t="n">
        <v>4</v>
      </c>
      <c r="B400" s="12">
        <f>IFERROR(IF(SUMIFS(tblDaily[Admissions],tblDaily[EntryDate],DATE(2026,11,4),tblDaily[WardCode],"FW")=0,"",SUMIFS(tblDaily[Admissions],tblDaily[EntryDate],DATE(2026,11,4),tblDaily[WardCode],"FW")),"")</f>
        <v/>
      </c>
      <c r="C400" s="12">
        <f>IFERROR(IF(SUMIFS(tblDaily[Discharges],tblDaily[EntryDate],DATE(2026,11,4),tblDaily[WardCode],"FW")=0,"",SUMIFS(tblDaily[Discharges],tblDaily[EntryDate],DATE(2026,11,4),tblDaily[WardCode],"FW")),"")</f>
        <v/>
      </c>
      <c r="D400" s="12">
        <f>IFERROR(IF(SUMIFS(tblDaily[Deaths],tblDaily[EntryDate],DATE(2026,11,4),tblDaily[WardCode],"FW")=0,"",SUMIFS(tblDaily[Deaths],tblDaily[EntryDate],DATE(2026,11,4),tblDaily[WardCode],"FW")),"")</f>
        <v/>
      </c>
      <c r="E400" s="12">
        <f>IFERROR(IF(SUMIFS(tblDaily[DeathsUnder24Hrs],tblDaily[EntryDate],DATE(2026,11,4),tblDaily[WardCode],"FW")=0,"",SUMIFS(tblDaily[DeathsUnder24Hrs],tblDaily[EntryDate],DATE(2026,11,4),tblDaily[WardCode],"FW")),"")</f>
        <v/>
      </c>
      <c r="F400" s="12">
        <f>IFERROR(IF(SUMIFS(tblDaily[TransfersIn],tblDaily[EntryDate],DATE(2026,11,4),tblDaily[WardCode],"FW")=0,"",SUMIFS(tblDaily[TransfersIn],tblDaily[EntryDate],DATE(2026,11,4),tblDaily[WardCode],"FW")),"")</f>
        <v/>
      </c>
      <c r="G400" s="12">
        <f>IFERROR(IF(SUMIFS(tblDaily[TransfersOut],tblDaily[EntryDate],DATE(2026,11,4),tblDaily[WardCode],"FW")=0,"",SUMIFS(tblDaily[TransfersOut],tblDaily[EntryDate],DATE(2026,11,4),tblDaily[WardCode],"FW")),"")</f>
        <v/>
      </c>
      <c r="H400" s="12">
        <f>IFERROR(IF(SUMIFS(tblDaily[Remaining],tblDaily[EntryDate],DATE(2026,11,4),tblDaily[WardCode],"FW")=0,"",SUMIFS(tblDaily[Remaining],tblDaily[EntryDate],DATE(2026,11,4),tblDaily[WardCode],"FW")),"")</f>
        <v/>
      </c>
    </row>
    <row r="401">
      <c r="A401" s="12" t="n">
        <v>5</v>
      </c>
      <c r="B401" s="12">
        <f>IFERROR(IF(SUMIFS(tblDaily[Admissions],tblDaily[EntryDate],DATE(2026,11,5),tblDaily[WardCode],"FW")=0,"",SUMIFS(tblDaily[Admissions],tblDaily[EntryDate],DATE(2026,11,5),tblDaily[WardCode],"FW")),"")</f>
        <v/>
      </c>
      <c r="C401" s="12">
        <f>IFERROR(IF(SUMIFS(tblDaily[Discharges],tblDaily[EntryDate],DATE(2026,11,5),tblDaily[WardCode],"FW")=0,"",SUMIFS(tblDaily[Discharges],tblDaily[EntryDate],DATE(2026,11,5),tblDaily[WardCode],"FW")),"")</f>
        <v/>
      </c>
      <c r="D401" s="12">
        <f>IFERROR(IF(SUMIFS(tblDaily[Deaths],tblDaily[EntryDate],DATE(2026,11,5),tblDaily[WardCode],"FW")=0,"",SUMIFS(tblDaily[Deaths],tblDaily[EntryDate],DATE(2026,11,5),tblDaily[WardCode],"FW")),"")</f>
        <v/>
      </c>
      <c r="E401" s="12">
        <f>IFERROR(IF(SUMIFS(tblDaily[DeathsUnder24Hrs],tblDaily[EntryDate],DATE(2026,11,5),tblDaily[WardCode],"FW")=0,"",SUMIFS(tblDaily[DeathsUnder24Hrs],tblDaily[EntryDate],DATE(2026,11,5),tblDaily[WardCode],"FW")),"")</f>
        <v/>
      </c>
      <c r="F401" s="12">
        <f>IFERROR(IF(SUMIFS(tblDaily[TransfersIn],tblDaily[EntryDate],DATE(2026,11,5),tblDaily[WardCode],"FW")=0,"",SUMIFS(tblDaily[TransfersIn],tblDaily[EntryDate],DATE(2026,11,5),tblDaily[WardCode],"FW")),"")</f>
        <v/>
      </c>
      <c r="G401" s="12">
        <f>IFERROR(IF(SUMIFS(tblDaily[TransfersOut],tblDaily[EntryDate],DATE(2026,11,5),tblDaily[WardCode],"FW")=0,"",SUMIFS(tblDaily[TransfersOut],tblDaily[EntryDate],DATE(2026,11,5),tblDaily[WardCode],"FW")),"")</f>
        <v/>
      </c>
      <c r="H401" s="12">
        <f>IFERROR(IF(SUMIFS(tblDaily[Remaining],tblDaily[EntryDate],DATE(2026,11,5),tblDaily[WardCode],"FW")=0,"",SUMIFS(tblDaily[Remaining],tblDaily[EntryDate],DATE(2026,11,5),tblDaily[WardCode],"FW")),"")</f>
        <v/>
      </c>
    </row>
    <row r="402">
      <c r="A402" s="12" t="n">
        <v>6</v>
      </c>
      <c r="B402" s="12">
        <f>IFERROR(IF(SUMIFS(tblDaily[Admissions],tblDaily[EntryDate],DATE(2026,11,6),tblDaily[WardCode],"FW")=0,"",SUMIFS(tblDaily[Admissions],tblDaily[EntryDate],DATE(2026,11,6),tblDaily[WardCode],"FW")),"")</f>
        <v/>
      </c>
      <c r="C402" s="12">
        <f>IFERROR(IF(SUMIFS(tblDaily[Discharges],tblDaily[EntryDate],DATE(2026,11,6),tblDaily[WardCode],"FW")=0,"",SUMIFS(tblDaily[Discharges],tblDaily[EntryDate],DATE(2026,11,6),tblDaily[WardCode],"FW")),"")</f>
        <v/>
      </c>
      <c r="D402" s="12">
        <f>IFERROR(IF(SUMIFS(tblDaily[Deaths],tblDaily[EntryDate],DATE(2026,11,6),tblDaily[WardCode],"FW")=0,"",SUMIFS(tblDaily[Deaths],tblDaily[EntryDate],DATE(2026,11,6),tblDaily[WardCode],"FW")),"")</f>
        <v/>
      </c>
      <c r="E402" s="12">
        <f>IFERROR(IF(SUMIFS(tblDaily[DeathsUnder24Hrs],tblDaily[EntryDate],DATE(2026,11,6),tblDaily[WardCode],"FW")=0,"",SUMIFS(tblDaily[DeathsUnder24Hrs],tblDaily[EntryDate],DATE(2026,11,6),tblDaily[WardCode],"FW")),"")</f>
        <v/>
      </c>
      <c r="F402" s="12">
        <f>IFERROR(IF(SUMIFS(tblDaily[TransfersIn],tblDaily[EntryDate],DATE(2026,11,6),tblDaily[WardCode],"FW")=0,"",SUMIFS(tblDaily[TransfersIn],tblDaily[EntryDate],DATE(2026,11,6),tblDaily[WardCode],"FW")),"")</f>
        <v/>
      </c>
      <c r="G402" s="12">
        <f>IFERROR(IF(SUMIFS(tblDaily[TransfersOut],tblDaily[EntryDate],DATE(2026,11,6),tblDaily[WardCode],"FW")=0,"",SUMIFS(tblDaily[TransfersOut],tblDaily[EntryDate],DATE(2026,11,6),tblDaily[WardCode],"FW")),"")</f>
        <v/>
      </c>
      <c r="H402" s="12">
        <f>IFERROR(IF(SUMIFS(tblDaily[Remaining],tblDaily[EntryDate],DATE(2026,11,6),tblDaily[WardCode],"FW")=0,"",SUMIFS(tblDaily[Remaining],tblDaily[EntryDate],DATE(2026,11,6),tblDaily[WardCode],"FW")),"")</f>
        <v/>
      </c>
    </row>
    <row r="403">
      <c r="A403" s="12" t="n">
        <v>7</v>
      </c>
      <c r="B403" s="12">
        <f>IFERROR(IF(SUMIFS(tblDaily[Admissions],tblDaily[EntryDate],DATE(2026,11,7),tblDaily[WardCode],"FW")=0,"",SUMIFS(tblDaily[Admissions],tblDaily[EntryDate],DATE(2026,11,7),tblDaily[WardCode],"FW")),"")</f>
        <v/>
      </c>
      <c r="C403" s="12">
        <f>IFERROR(IF(SUMIFS(tblDaily[Discharges],tblDaily[EntryDate],DATE(2026,11,7),tblDaily[WardCode],"FW")=0,"",SUMIFS(tblDaily[Discharges],tblDaily[EntryDate],DATE(2026,11,7),tblDaily[WardCode],"FW")),"")</f>
        <v/>
      </c>
      <c r="D403" s="12">
        <f>IFERROR(IF(SUMIFS(tblDaily[Deaths],tblDaily[EntryDate],DATE(2026,11,7),tblDaily[WardCode],"FW")=0,"",SUMIFS(tblDaily[Deaths],tblDaily[EntryDate],DATE(2026,11,7),tblDaily[WardCode],"FW")),"")</f>
        <v/>
      </c>
      <c r="E403" s="12">
        <f>IFERROR(IF(SUMIFS(tblDaily[DeathsUnder24Hrs],tblDaily[EntryDate],DATE(2026,11,7),tblDaily[WardCode],"FW")=0,"",SUMIFS(tblDaily[DeathsUnder24Hrs],tblDaily[EntryDate],DATE(2026,11,7),tblDaily[WardCode],"FW")),"")</f>
        <v/>
      </c>
      <c r="F403" s="12">
        <f>IFERROR(IF(SUMIFS(tblDaily[TransfersIn],tblDaily[EntryDate],DATE(2026,11,7),tblDaily[WardCode],"FW")=0,"",SUMIFS(tblDaily[TransfersIn],tblDaily[EntryDate],DATE(2026,11,7),tblDaily[WardCode],"FW")),"")</f>
        <v/>
      </c>
      <c r="G403" s="12">
        <f>IFERROR(IF(SUMIFS(tblDaily[TransfersOut],tblDaily[EntryDate],DATE(2026,11,7),tblDaily[WardCode],"FW")=0,"",SUMIFS(tblDaily[TransfersOut],tblDaily[EntryDate],DATE(2026,11,7),tblDaily[WardCode],"FW")),"")</f>
        <v/>
      </c>
      <c r="H403" s="12">
        <f>IFERROR(IF(SUMIFS(tblDaily[Remaining],tblDaily[EntryDate],DATE(2026,11,7),tblDaily[WardCode],"FW")=0,"",SUMIFS(tblDaily[Remaining],tblDaily[EntryDate],DATE(2026,11,7),tblDaily[WardCode],"FW")),"")</f>
        <v/>
      </c>
    </row>
    <row r="404">
      <c r="A404" s="12" t="n">
        <v>8</v>
      </c>
      <c r="B404" s="12">
        <f>IFERROR(IF(SUMIFS(tblDaily[Admissions],tblDaily[EntryDate],DATE(2026,11,8),tblDaily[WardCode],"FW")=0,"",SUMIFS(tblDaily[Admissions],tblDaily[EntryDate],DATE(2026,11,8),tblDaily[WardCode],"FW")),"")</f>
        <v/>
      </c>
      <c r="C404" s="12">
        <f>IFERROR(IF(SUMIFS(tblDaily[Discharges],tblDaily[EntryDate],DATE(2026,11,8),tblDaily[WardCode],"FW")=0,"",SUMIFS(tblDaily[Discharges],tblDaily[EntryDate],DATE(2026,11,8),tblDaily[WardCode],"FW")),"")</f>
        <v/>
      </c>
      <c r="D404" s="12">
        <f>IFERROR(IF(SUMIFS(tblDaily[Deaths],tblDaily[EntryDate],DATE(2026,11,8),tblDaily[WardCode],"FW")=0,"",SUMIFS(tblDaily[Deaths],tblDaily[EntryDate],DATE(2026,11,8),tblDaily[WardCode],"FW")),"")</f>
        <v/>
      </c>
      <c r="E404" s="12">
        <f>IFERROR(IF(SUMIFS(tblDaily[DeathsUnder24Hrs],tblDaily[EntryDate],DATE(2026,11,8),tblDaily[WardCode],"FW")=0,"",SUMIFS(tblDaily[DeathsUnder24Hrs],tblDaily[EntryDate],DATE(2026,11,8),tblDaily[WardCode],"FW")),"")</f>
        <v/>
      </c>
      <c r="F404" s="12">
        <f>IFERROR(IF(SUMIFS(tblDaily[TransfersIn],tblDaily[EntryDate],DATE(2026,11,8),tblDaily[WardCode],"FW")=0,"",SUMIFS(tblDaily[TransfersIn],tblDaily[EntryDate],DATE(2026,11,8),tblDaily[WardCode],"FW")),"")</f>
        <v/>
      </c>
      <c r="G404" s="12">
        <f>IFERROR(IF(SUMIFS(tblDaily[TransfersOut],tblDaily[EntryDate],DATE(2026,11,8),tblDaily[WardCode],"FW")=0,"",SUMIFS(tblDaily[TransfersOut],tblDaily[EntryDate],DATE(2026,11,8),tblDaily[WardCode],"FW")),"")</f>
        <v/>
      </c>
      <c r="H404" s="12">
        <f>IFERROR(IF(SUMIFS(tblDaily[Remaining],tblDaily[EntryDate],DATE(2026,11,8),tblDaily[WardCode],"FW")=0,"",SUMIFS(tblDaily[Remaining],tblDaily[EntryDate],DATE(2026,11,8),tblDaily[WardCode],"FW")),"")</f>
        <v/>
      </c>
    </row>
    <row r="405">
      <c r="A405" s="12" t="n">
        <v>9</v>
      </c>
      <c r="B405" s="12">
        <f>IFERROR(IF(SUMIFS(tblDaily[Admissions],tblDaily[EntryDate],DATE(2026,11,9),tblDaily[WardCode],"FW")=0,"",SUMIFS(tblDaily[Admissions],tblDaily[EntryDate],DATE(2026,11,9),tblDaily[WardCode],"FW")),"")</f>
        <v/>
      </c>
      <c r="C405" s="12">
        <f>IFERROR(IF(SUMIFS(tblDaily[Discharges],tblDaily[EntryDate],DATE(2026,11,9),tblDaily[WardCode],"FW")=0,"",SUMIFS(tblDaily[Discharges],tblDaily[EntryDate],DATE(2026,11,9),tblDaily[WardCode],"FW")),"")</f>
        <v/>
      </c>
      <c r="D405" s="12">
        <f>IFERROR(IF(SUMIFS(tblDaily[Deaths],tblDaily[EntryDate],DATE(2026,11,9),tblDaily[WardCode],"FW")=0,"",SUMIFS(tblDaily[Deaths],tblDaily[EntryDate],DATE(2026,11,9),tblDaily[WardCode],"FW")),"")</f>
        <v/>
      </c>
      <c r="E405" s="12">
        <f>IFERROR(IF(SUMIFS(tblDaily[DeathsUnder24Hrs],tblDaily[EntryDate],DATE(2026,11,9),tblDaily[WardCode],"FW")=0,"",SUMIFS(tblDaily[DeathsUnder24Hrs],tblDaily[EntryDate],DATE(2026,11,9),tblDaily[WardCode],"FW")),"")</f>
        <v/>
      </c>
      <c r="F405" s="12">
        <f>IFERROR(IF(SUMIFS(tblDaily[TransfersIn],tblDaily[EntryDate],DATE(2026,11,9),tblDaily[WardCode],"FW")=0,"",SUMIFS(tblDaily[TransfersIn],tblDaily[EntryDate],DATE(2026,11,9),tblDaily[WardCode],"FW")),"")</f>
        <v/>
      </c>
      <c r="G405" s="12">
        <f>IFERROR(IF(SUMIFS(tblDaily[TransfersOut],tblDaily[EntryDate],DATE(2026,11,9),tblDaily[WardCode],"FW")=0,"",SUMIFS(tblDaily[TransfersOut],tblDaily[EntryDate],DATE(2026,11,9),tblDaily[WardCode],"FW")),"")</f>
        <v/>
      </c>
      <c r="H405" s="12">
        <f>IFERROR(IF(SUMIFS(tblDaily[Remaining],tblDaily[EntryDate],DATE(2026,11,9),tblDaily[WardCode],"FW")=0,"",SUMIFS(tblDaily[Remaining],tblDaily[EntryDate],DATE(2026,11,9),tblDaily[WardCode],"FW")),"")</f>
        <v/>
      </c>
    </row>
    <row r="406">
      <c r="A406" s="12" t="n">
        <v>10</v>
      </c>
      <c r="B406" s="12">
        <f>IFERROR(IF(SUMIFS(tblDaily[Admissions],tblDaily[EntryDate],DATE(2026,11,10),tblDaily[WardCode],"FW")=0,"",SUMIFS(tblDaily[Admissions],tblDaily[EntryDate],DATE(2026,11,10),tblDaily[WardCode],"FW")),"")</f>
        <v/>
      </c>
      <c r="C406" s="12">
        <f>IFERROR(IF(SUMIFS(tblDaily[Discharges],tblDaily[EntryDate],DATE(2026,11,10),tblDaily[WardCode],"FW")=0,"",SUMIFS(tblDaily[Discharges],tblDaily[EntryDate],DATE(2026,11,10),tblDaily[WardCode],"FW")),"")</f>
        <v/>
      </c>
      <c r="D406" s="12">
        <f>IFERROR(IF(SUMIFS(tblDaily[Deaths],tblDaily[EntryDate],DATE(2026,11,10),tblDaily[WardCode],"FW")=0,"",SUMIFS(tblDaily[Deaths],tblDaily[EntryDate],DATE(2026,11,10),tblDaily[WardCode],"FW")),"")</f>
        <v/>
      </c>
      <c r="E406" s="12">
        <f>IFERROR(IF(SUMIFS(tblDaily[DeathsUnder24Hrs],tblDaily[EntryDate],DATE(2026,11,10),tblDaily[WardCode],"FW")=0,"",SUMIFS(tblDaily[DeathsUnder24Hrs],tblDaily[EntryDate],DATE(2026,11,10),tblDaily[WardCode],"FW")),"")</f>
        <v/>
      </c>
      <c r="F406" s="12">
        <f>IFERROR(IF(SUMIFS(tblDaily[TransfersIn],tblDaily[EntryDate],DATE(2026,11,10),tblDaily[WardCode],"FW")=0,"",SUMIFS(tblDaily[TransfersIn],tblDaily[EntryDate],DATE(2026,11,10),tblDaily[WardCode],"FW")),"")</f>
        <v/>
      </c>
      <c r="G406" s="12">
        <f>IFERROR(IF(SUMIFS(tblDaily[TransfersOut],tblDaily[EntryDate],DATE(2026,11,10),tblDaily[WardCode],"FW")=0,"",SUMIFS(tblDaily[TransfersOut],tblDaily[EntryDate],DATE(2026,11,10),tblDaily[WardCode],"FW")),"")</f>
        <v/>
      </c>
      <c r="H406" s="12">
        <f>IFERROR(IF(SUMIFS(tblDaily[Remaining],tblDaily[EntryDate],DATE(2026,11,10),tblDaily[WardCode],"FW")=0,"",SUMIFS(tblDaily[Remaining],tblDaily[EntryDate],DATE(2026,11,10),tblDaily[WardCode],"FW")),"")</f>
        <v/>
      </c>
    </row>
    <row r="407">
      <c r="A407" s="12" t="n">
        <v>11</v>
      </c>
      <c r="B407" s="12">
        <f>IFERROR(IF(SUMIFS(tblDaily[Admissions],tblDaily[EntryDate],DATE(2026,11,11),tblDaily[WardCode],"FW")=0,"",SUMIFS(tblDaily[Admissions],tblDaily[EntryDate],DATE(2026,11,11),tblDaily[WardCode],"FW")),"")</f>
        <v/>
      </c>
      <c r="C407" s="12">
        <f>IFERROR(IF(SUMIFS(tblDaily[Discharges],tblDaily[EntryDate],DATE(2026,11,11),tblDaily[WardCode],"FW")=0,"",SUMIFS(tblDaily[Discharges],tblDaily[EntryDate],DATE(2026,11,11),tblDaily[WardCode],"FW")),"")</f>
        <v/>
      </c>
      <c r="D407" s="12">
        <f>IFERROR(IF(SUMIFS(tblDaily[Deaths],tblDaily[EntryDate],DATE(2026,11,11),tblDaily[WardCode],"FW")=0,"",SUMIFS(tblDaily[Deaths],tblDaily[EntryDate],DATE(2026,11,11),tblDaily[WardCode],"FW")),"")</f>
        <v/>
      </c>
      <c r="E407" s="12">
        <f>IFERROR(IF(SUMIFS(tblDaily[DeathsUnder24Hrs],tblDaily[EntryDate],DATE(2026,11,11),tblDaily[WardCode],"FW")=0,"",SUMIFS(tblDaily[DeathsUnder24Hrs],tblDaily[EntryDate],DATE(2026,11,11),tblDaily[WardCode],"FW")),"")</f>
        <v/>
      </c>
      <c r="F407" s="12">
        <f>IFERROR(IF(SUMIFS(tblDaily[TransfersIn],tblDaily[EntryDate],DATE(2026,11,11),tblDaily[WardCode],"FW")=0,"",SUMIFS(tblDaily[TransfersIn],tblDaily[EntryDate],DATE(2026,11,11),tblDaily[WardCode],"FW")),"")</f>
        <v/>
      </c>
      <c r="G407" s="12">
        <f>IFERROR(IF(SUMIFS(tblDaily[TransfersOut],tblDaily[EntryDate],DATE(2026,11,11),tblDaily[WardCode],"FW")=0,"",SUMIFS(tblDaily[TransfersOut],tblDaily[EntryDate],DATE(2026,11,11),tblDaily[WardCode],"FW")),"")</f>
        <v/>
      </c>
      <c r="H407" s="12">
        <f>IFERROR(IF(SUMIFS(tblDaily[Remaining],tblDaily[EntryDate],DATE(2026,11,11),tblDaily[WardCode],"FW")=0,"",SUMIFS(tblDaily[Remaining],tblDaily[EntryDate],DATE(2026,11,11),tblDaily[WardCode],"FW")),"")</f>
        <v/>
      </c>
    </row>
    <row r="408">
      <c r="A408" s="12" t="n">
        <v>12</v>
      </c>
      <c r="B408" s="12">
        <f>IFERROR(IF(SUMIFS(tblDaily[Admissions],tblDaily[EntryDate],DATE(2026,11,12),tblDaily[WardCode],"FW")=0,"",SUMIFS(tblDaily[Admissions],tblDaily[EntryDate],DATE(2026,11,12),tblDaily[WardCode],"FW")),"")</f>
        <v/>
      </c>
      <c r="C408" s="12">
        <f>IFERROR(IF(SUMIFS(tblDaily[Discharges],tblDaily[EntryDate],DATE(2026,11,12),tblDaily[WardCode],"FW")=0,"",SUMIFS(tblDaily[Discharges],tblDaily[EntryDate],DATE(2026,11,12),tblDaily[WardCode],"FW")),"")</f>
        <v/>
      </c>
      <c r="D408" s="12">
        <f>IFERROR(IF(SUMIFS(tblDaily[Deaths],tblDaily[EntryDate],DATE(2026,11,12),tblDaily[WardCode],"FW")=0,"",SUMIFS(tblDaily[Deaths],tblDaily[EntryDate],DATE(2026,11,12),tblDaily[WardCode],"FW")),"")</f>
        <v/>
      </c>
      <c r="E408" s="12">
        <f>IFERROR(IF(SUMIFS(tblDaily[DeathsUnder24Hrs],tblDaily[EntryDate],DATE(2026,11,12),tblDaily[WardCode],"FW")=0,"",SUMIFS(tblDaily[DeathsUnder24Hrs],tblDaily[EntryDate],DATE(2026,11,12),tblDaily[WardCode],"FW")),"")</f>
        <v/>
      </c>
      <c r="F408" s="12">
        <f>IFERROR(IF(SUMIFS(tblDaily[TransfersIn],tblDaily[EntryDate],DATE(2026,11,12),tblDaily[WardCode],"FW")=0,"",SUMIFS(tblDaily[TransfersIn],tblDaily[EntryDate],DATE(2026,11,12),tblDaily[WardCode],"FW")),"")</f>
        <v/>
      </c>
      <c r="G408" s="12">
        <f>IFERROR(IF(SUMIFS(tblDaily[TransfersOut],tblDaily[EntryDate],DATE(2026,11,12),tblDaily[WardCode],"FW")=0,"",SUMIFS(tblDaily[TransfersOut],tblDaily[EntryDate],DATE(2026,11,12),tblDaily[WardCode],"FW")),"")</f>
        <v/>
      </c>
      <c r="H408" s="12">
        <f>IFERROR(IF(SUMIFS(tblDaily[Remaining],tblDaily[EntryDate],DATE(2026,11,12),tblDaily[WardCode],"FW")=0,"",SUMIFS(tblDaily[Remaining],tblDaily[EntryDate],DATE(2026,11,12),tblDaily[WardCode],"FW")),"")</f>
        <v/>
      </c>
    </row>
    <row r="409">
      <c r="A409" s="12" t="n">
        <v>13</v>
      </c>
      <c r="B409" s="12">
        <f>IFERROR(IF(SUMIFS(tblDaily[Admissions],tblDaily[EntryDate],DATE(2026,11,13),tblDaily[WardCode],"FW")=0,"",SUMIFS(tblDaily[Admissions],tblDaily[EntryDate],DATE(2026,11,13),tblDaily[WardCode],"FW")),"")</f>
        <v/>
      </c>
      <c r="C409" s="12">
        <f>IFERROR(IF(SUMIFS(tblDaily[Discharges],tblDaily[EntryDate],DATE(2026,11,13),tblDaily[WardCode],"FW")=0,"",SUMIFS(tblDaily[Discharges],tblDaily[EntryDate],DATE(2026,11,13),tblDaily[WardCode],"FW")),"")</f>
        <v/>
      </c>
      <c r="D409" s="12">
        <f>IFERROR(IF(SUMIFS(tblDaily[Deaths],tblDaily[EntryDate],DATE(2026,11,13),tblDaily[WardCode],"FW")=0,"",SUMIFS(tblDaily[Deaths],tblDaily[EntryDate],DATE(2026,11,13),tblDaily[WardCode],"FW")),"")</f>
        <v/>
      </c>
      <c r="E409" s="12">
        <f>IFERROR(IF(SUMIFS(tblDaily[DeathsUnder24Hrs],tblDaily[EntryDate],DATE(2026,11,13),tblDaily[WardCode],"FW")=0,"",SUMIFS(tblDaily[DeathsUnder24Hrs],tblDaily[EntryDate],DATE(2026,11,13),tblDaily[WardCode],"FW")),"")</f>
        <v/>
      </c>
      <c r="F409" s="12">
        <f>IFERROR(IF(SUMIFS(tblDaily[TransfersIn],tblDaily[EntryDate],DATE(2026,11,13),tblDaily[WardCode],"FW")=0,"",SUMIFS(tblDaily[TransfersIn],tblDaily[EntryDate],DATE(2026,11,13),tblDaily[WardCode],"FW")),"")</f>
        <v/>
      </c>
      <c r="G409" s="12">
        <f>IFERROR(IF(SUMIFS(tblDaily[TransfersOut],tblDaily[EntryDate],DATE(2026,11,13),tblDaily[WardCode],"FW")=0,"",SUMIFS(tblDaily[TransfersOut],tblDaily[EntryDate],DATE(2026,11,13),tblDaily[WardCode],"FW")),"")</f>
        <v/>
      </c>
      <c r="H409" s="12">
        <f>IFERROR(IF(SUMIFS(tblDaily[Remaining],tblDaily[EntryDate],DATE(2026,11,13),tblDaily[WardCode],"FW")=0,"",SUMIFS(tblDaily[Remaining],tblDaily[EntryDate],DATE(2026,11,13),tblDaily[WardCode],"FW")),"")</f>
        <v/>
      </c>
    </row>
    <row r="410">
      <c r="A410" s="12" t="n">
        <v>14</v>
      </c>
      <c r="B410" s="12">
        <f>IFERROR(IF(SUMIFS(tblDaily[Admissions],tblDaily[EntryDate],DATE(2026,11,14),tblDaily[WardCode],"FW")=0,"",SUMIFS(tblDaily[Admissions],tblDaily[EntryDate],DATE(2026,11,14),tblDaily[WardCode],"FW")),"")</f>
        <v/>
      </c>
      <c r="C410" s="12">
        <f>IFERROR(IF(SUMIFS(tblDaily[Discharges],tblDaily[EntryDate],DATE(2026,11,14),tblDaily[WardCode],"FW")=0,"",SUMIFS(tblDaily[Discharges],tblDaily[EntryDate],DATE(2026,11,14),tblDaily[WardCode],"FW")),"")</f>
        <v/>
      </c>
      <c r="D410" s="12">
        <f>IFERROR(IF(SUMIFS(tblDaily[Deaths],tblDaily[EntryDate],DATE(2026,11,14),tblDaily[WardCode],"FW")=0,"",SUMIFS(tblDaily[Deaths],tblDaily[EntryDate],DATE(2026,11,14),tblDaily[WardCode],"FW")),"")</f>
        <v/>
      </c>
      <c r="E410" s="12">
        <f>IFERROR(IF(SUMIFS(tblDaily[DeathsUnder24Hrs],tblDaily[EntryDate],DATE(2026,11,14),tblDaily[WardCode],"FW")=0,"",SUMIFS(tblDaily[DeathsUnder24Hrs],tblDaily[EntryDate],DATE(2026,11,14),tblDaily[WardCode],"FW")),"")</f>
        <v/>
      </c>
      <c r="F410" s="12">
        <f>IFERROR(IF(SUMIFS(tblDaily[TransfersIn],tblDaily[EntryDate],DATE(2026,11,14),tblDaily[WardCode],"FW")=0,"",SUMIFS(tblDaily[TransfersIn],tblDaily[EntryDate],DATE(2026,11,14),tblDaily[WardCode],"FW")),"")</f>
        <v/>
      </c>
      <c r="G410" s="12">
        <f>IFERROR(IF(SUMIFS(tblDaily[TransfersOut],tblDaily[EntryDate],DATE(2026,11,14),tblDaily[WardCode],"FW")=0,"",SUMIFS(tblDaily[TransfersOut],tblDaily[EntryDate],DATE(2026,11,14),tblDaily[WardCode],"FW")),"")</f>
        <v/>
      </c>
      <c r="H410" s="12">
        <f>IFERROR(IF(SUMIFS(tblDaily[Remaining],tblDaily[EntryDate],DATE(2026,11,14),tblDaily[WardCode],"FW")=0,"",SUMIFS(tblDaily[Remaining],tblDaily[EntryDate],DATE(2026,11,14),tblDaily[WardCode],"FW")),"")</f>
        <v/>
      </c>
    </row>
    <row r="411">
      <c r="A411" s="12" t="n">
        <v>15</v>
      </c>
      <c r="B411" s="12">
        <f>IFERROR(IF(SUMIFS(tblDaily[Admissions],tblDaily[EntryDate],DATE(2026,11,15),tblDaily[WardCode],"FW")=0,"",SUMIFS(tblDaily[Admissions],tblDaily[EntryDate],DATE(2026,11,15),tblDaily[WardCode],"FW")),"")</f>
        <v/>
      </c>
      <c r="C411" s="12">
        <f>IFERROR(IF(SUMIFS(tblDaily[Discharges],tblDaily[EntryDate],DATE(2026,11,15),tblDaily[WardCode],"FW")=0,"",SUMIFS(tblDaily[Discharges],tblDaily[EntryDate],DATE(2026,11,15),tblDaily[WardCode],"FW")),"")</f>
        <v/>
      </c>
      <c r="D411" s="12">
        <f>IFERROR(IF(SUMIFS(tblDaily[Deaths],tblDaily[EntryDate],DATE(2026,11,15),tblDaily[WardCode],"FW")=0,"",SUMIFS(tblDaily[Deaths],tblDaily[EntryDate],DATE(2026,11,15),tblDaily[WardCode],"FW")),"")</f>
        <v/>
      </c>
      <c r="E411" s="12">
        <f>IFERROR(IF(SUMIFS(tblDaily[DeathsUnder24Hrs],tblDaily[EntryDate],DATE(2026,11,15),tblDaily[WardCode],"FW")=0,"",SUMIFS(tblDaily[DeathsUnder24Hrs],tblDaily[EntryDate],DATE(2026,11,15),tblDaily[WardCode],"FW")),"")</f>
        <v/>
      </c>
      <c r="F411" s="12">
        <f>IFERROR(IF(SUMIFS(tblDaily[TransfersIn],tblDaily[EntryDate],DATE(2026,11,15),tblDaily[WardCode],"FW")=0,"",SUMIFS(tblDaily[TransfersIn],tblDaily[EntryDate],DATE(2026,11,15),tblDaily[WardCode],"FW")),"")</f>
        <v/>
      </c>
      <c r="G411" s="12">
        <f>IFERROR(IF(SUMIFS(tblDaily[TransfersOut],tblDaily[EntryDate],DATE(2026,11,15),tblDaily[WardCode],"FW")=0,"",SUMIFS(tblDaily[TransfersOut],tblDaily[EntryDate],DATE(2026,11,15),tblDaily[WardCode],"FW")),"")</f>
        <v/>
      </c>
      <c r="H411" s="12">
        <f>IFERROR(IF(SUMIFS(tblDaily[Remaining],tblDaily[EntryDate],DATE(2026,11,15),tblDaily[WardCode],"FW")=0,"",SUMIFS(tblDaily[Remaining],tblDaily[EntryDate],DATE(2026,11,15),tblDaily[WardCode],"FW")),"")</f>
        <v/>
      </c>
    </row>
    <row r="412">
      <c r="A412" s="12" t="n">
        <v>16</v>
      </c>
      <c r="B412" s="12">
        <f>IFERROR(IF(SUMIFS(tblDaily[Admissions],tblDaily[EntryDate],DATE(2026,11,16),tblDaily[WardCode],"FW")=0,"",SUMIFS(tblDaily[Admissions],tblDaily[EntryDate],DATE(2026,11,16),tblDaily[WardCode],"FW")),"")</f>
        <v/>
      </c>
      <c r="C412" s="12">
        <f>IFERROR(IF(SUMIFS(tblDaily[Discharges],tblDaily[EntryDate],DATE(2026,11,16),tblDaily[WardCode],"FW")=0,"",SUMIFS(tblDaily[Discharges],tblDaily[EntryDate],DATE(2026,11,16),tblDaily[WardCode],"FW")),"")</f>
        <v/>
      </c>
      <c r="D412" s="12">
        <f>IFERROR(IF(SUMIFS(tblDaily[Deaths],tblDaily[EntryDate],DATE(2026,11,16),tblDaily[WardCode],"FW")=0,"",SUMIFS(tblDaily[Deaths],tblDaily[EntryDate],DATE(2026,11,16),tblDaily[WardCode],"FW")),"")</f>
        <v/>
      </c>
      <c r="E412" s="12">
        <f>IFERROR(IF(SUMIFS(tblDaily[DeathsUnder24Hrs],tblDaily[EntryDate],DATE(2026,11,16),tblDaily[WardCode],"FW")=0,"",SUMIFS(tblDaily[DeathsUnder24Hrs],tblDaily[EntryDate],DATE(2026,11,16),tblDaily[WardCode],"FW")),"")</f>
        <v/>
      </c>
      <c r="F412" s="12">
        <f>IFERROR(IF(SUMIFS(tblDaily[TransfersIn],tblDaily[EntryDate],DATE(2026,11,16),tblDaily[WardCode],"FW")=0,"",SUMIFS(tblDaily[TransfersIn],tblDaily[EntryDate],DATE(2026,11,16),tblDaily[WardCode],"FW")),"")</f>
        <v/>
      </c>
      <c r="G412" s="12">
        <f>IFERROR(IF(SUMIFS(tblDaily[TransfersOut],tblDaily[EntryDate],DATE(2026,11,16),tblDaily[WardCode],"FW")=0,"",SUMIFS(tblDaily[TransfersOut],tblDaily[EntryDate],DATE(2026,11,16),tblDaily[WardCode],"FW")),"")</f>
        <v/>
      </c>
      <c r="H412" s="12">
        <f>IFERROR(IF(SUMIFS(tblDaily[Remaining],tblDaily[EntryDate],DATE(2026,11,16),tblDaily[WardCode],"FW")=0,"",SUMIFS(tblDaily[Remaining],tblDaily[EntryDate],DATE(2026,11,16),tblDaily[WardCode],"FW")),"")</f>
        <v/>
      </c>
    </row>
    <row r="413">
      <c r="A413" s="12" t="n">
        <v>17</v>
      </c>
      <c r="B413" s="12">
        <f>IFERROR(IF(SUMIFS(tblDaily[Admissions],tblDaily[EntryDate],DATE(2026,11,17),tblDaily[WardCode],"FW")=0,"",SUMIFS(tblDaily[Admissions],tblDaily[EntryDate],DATE(2026,11,17),tblDaily[WardCode],"FW")),"")</f>
        <v/>
      </c>
      <c r="C413" s="12">
        <f>IFERROR(IF(SUMIFS(tblDaily[Discharges],tblDaily[EntryDate],DATE(2026,11,17),tblDaily[WardCode],"FW")=0,"",SUMIFS(tblDaily[Discharges],tblDaily[EntryDate],DATE(2026,11,17),tblDaily[WardCode],"FW")),"")</f>
        <v/>
      </c>
      <c r="D413" s="12">
        <f>IFERROR(IF(SUMIFS(tblDaily[Deaths],tblDaily[EntryDate],DATE(2026,11,17),tblDaily[WardCode],"FW")=0,"",SUMIFS(tblDaily[Deaths],tblDaily[EntryDate],DATE(2026,11,17),tblDaily[WardCode],"FW")),"")</f>
        <v/>
      </c>
      <c r="E413" s="12">
        <f>IFERROR(IF(SUMIFS(tblDaily[DeathsUnder24Hrs],tblDaily[EntryDate],DATE(2026,11,17),tblDaily[WardCode],"FW")=0,"",SUMIFS(tblDaily[DeathsUnder24Hrs],tblDaily[EntryDate],DATE(2026,11,17),tblDaily[WardCode],"FW")),"")</f>
        <v/>
      </c>
      <c r="F413" s="12">
        <f>IFERROR(IF(SUMIFS(tblDaily[TransfersIn],tblDaily[EntryDate],DATE(2026,11,17),tblDaily[WardCode],"FW")=0,"",SUMIFS(tblDaily[TransfersIn],tblDaily[EntryDate],DATE(2026,11,17),tblDaily[WardCode],"FW")),"")</f>
        <v/>
      </c>
      <c r="G413" s="12">
        <f>IFERROR(IF(SUMIFS(tblDaily[TransfersOut],tblDaily[EntryDate],DATE(2026,11,17),tblDaily[WardCode],"FW")=0,"",SUMIFS(tblDaily[TransfersOut],tblDaily[EntryDate],DATE(2026,11,17),tblDaily[WardCode],"FW")),"")</f>
        <v/>
      </c>
      <c r="H413" s="12">
        <f>IFERROR(IF(SUMIFS(tblDaily[Remaining],tblDaily[EntryDate],DATE(2026,11,17),tblDaily[WardCode],"FW")=0,"",SUMIFS(tblDaily[Remaining],tblDaily[EntryDate],DATE(2026,11,17),tblDaily[WardCode],"FW")),"")</f>
        <v/>
      </c>
    </row>
    <row r="414">
      <c r="A414" s="12" t="n">
        <v>18</v>
      </c>
      <c r="B414" s="12">
        <f>IFERROR(IF(SUMIFS(tblDaily[Admissions],tblDaily[EntryDate],DATE(2026,11,18),tblDaily[WardCode],"FW")=0,"",SUMIFS(tblDaily[Admissions],tblDaily[EntryDate],DATE(2026,11,18),tblDaily[WardCode],"FW")),"")</f>
        <v/>
      </c>
      <c r="C414" s="12">
        <f>IFERROR(IF(SUMIFS(tblDaily[Discharges],tblDaily[EntryDate],DATE(2026,11,18),tblDaily[WardCode],"FW")=0,"",SUMIFS(tblDaily[Discharges],tblDaily[EntryDate],DATE(2026,11,18),tblDaily[WardCode],"FW")),"")</f>
        <v/>
      </c>
      <c r="D414" s="12">
        <f>IFERROR(IF(SUMIFS(tblDaily[Deaths],tblDaily[EntryDate],DATE(2026,11,18),tblDaily[WardCode],"FW")=0,"",SUMIFS(tblDaily[Deaths],tblDaily[EntryDate],DATE(2026,11,18),tblDaily[WardCode],"FW")),"")</f>
        <v/>
      </c>
      <c r="E414" s="12">
        <f>IFERROR(IF(SUMIFS(tblDaily[DeathsUnder24Hrs],tblDaily[EntryDate],DATE(2026,11,18),tblDaily[WardCode],"FW")=0,"",SUMIFS(tblDaily[DeathsUnder24Hrs],tblDaily[EntryDate],DATE(2026,11,18),tblDaily[WardCode],"FW")),"")</f>
        <v/>
      </c>
      <c r="F414" s="12">
        <f>IFERROR(IF(SUMIFS(tblDaily[TransfersIn],tblDaily[EntryDate],DATE(2026,11,18),tblDaily[WardCode],"FW")=0,"",SUMIFS(tblDaily[TransfersIn],tblDaily[EntryDate],DATE(2026,11,18),tblDaily[WardCode],"FW")),"")</f>
        <v/>
      </c>
      <c r="G414" s="12">
        <f>IFERROR(IF(SUMIFS(tblDaily[TransfersOut],tblDaily[EntryDate],DATE(2026,11,18),tblDaily[WardCode],"FW")=0,"",SUMIFS(tblDaily[TransfersOut],tblDaily[EntryDate],DATE(2026,11,18),tblDaily[WardCode],"FW")),"")</f>
        <v/>
      </c>
      <c r="H414" s="12">
        <f>IFERROR(IF(SUMIFS(tblDaily[Remaining],tblDaily[EntryDate],DATE(2026,11,18),tblDaily[WardCode],"FW")=0,"",SUMIFS(tblDaily[Remaining],tblDaily[EntryDate],DATE(2026,11,18),tblDaily[WardCode],"FW")),"")</f>
        <v/>
      </c>
    </row>
    <row r="415">
      <c r="A415" s="12" t="n">
        <v>19</v>
      </c>
      <c r="B415" s="12">
        <f>IFERROR(IF(SUMIFS(tblDaily[Admissions],tblDaily[EntryDate],DATE(2026,11,19),tblDaily[WardCode],"FW")=0,"",SUMIFS(tblDaily[Admissions],tblDaily[EntryDate],DATE(2026,11,19),tblDaily[WardCode],"FW")),"")</f>
        <v/>
      </c>
      <c r="C415" s="12">
        <f>IFERROR(IF(SUMIFS(tblDaily[Discharges],tblDaily[EntryDate],DATE(2026,11,19),tblDaily[WardCode],"FW")=0,"",SUMIFS(tblDaily[Discharges],tblDaily[EntryDate],DATE(2026,11,19),tblDaily[WardCode],"FW")),"")</f>
        <v/>
      </c>
      <c r="D415" s="12">
        <f>IFERROR(IF(SUMIFS(tblDaily[Deaths],tblDaily[EntryDate],DATE(2026,11,19),tblDaily[WardCode],"FW")=0,"",SUMIFS(tblDaily[Deaths],tblDaily[EntryDate],DATE(2026,11,19),tblDaily[WardCode],"FW")),"")</f>
        <v/>
      </c>
      <c r="E415" s="12">
        <f>IFERROR(IF(SUMIFS(tblDaily[DeathsUnder24Hrs],tblDaily[EntryDate],DATE(2026,11,19),tblDaily[WardCode],"FW")=0,"",SUMIFS(tblDaily[DeathsUnder24Hrs],tblDaily[EntryDate],DATE(2026,11,19),tblDaily[WardCode],"FW")),"")</f>
        <v/>
      </c>
      <c r="F415" s="12">
        <f>IFERROR(IF(SUMIFS(tblDaily[TransfersIn],tblDaily[EntryDate],DATE(2026,11,19),tblDaily[WardCode],"FW")=0,"",SUMIFS(tblDaily[TransfersIn],tblDaily[EntryDate],DATE(2026,11,19),tblDaily[WardCode],"FW")),"")</f>
        <v/>
      </c>
      <c r="G415" s="12">
        <f>IFERROR(IF(SUMIFS(tblDaily[TransfersOut],tblDaily[EntryDate],DATE(2026,11,19),tblDaily[WardCode],"FW")=0,"",SUMIFS(tblDaily[TransfersOut],tblDaily[EntryDate],DATE(2026,11,19),tblDaily[WardCode],"FW")),"")</f>
        <v/>
      </c>
      <c r="H415" s="12">
        <f>IFERROR(IF(SUMIFS(tblDaily[Remaining],tblDaily[EntryDate],DATE(2026,11,19),tblDaily[WardCode],"FW")=0,"",SUMIFS(tblDaily[Remaining],tblDaily[EntryDate],DATE(2026,11,19),tblDaily[WardCode],"FW")),"")</f>
        <v/>
      </c>
    </row>
    <row r="416">
      <c r="A416" s="12" t="n">
        <v>20</v>
      </c>
      <c r="B416" s="12">
        <f>IFERROR(IF(SUMIFS(tblDaily[Admissions],tblDaily[EntryDate],DATE(2026,11,20),tblDaily[WardCode],"FW")=0,"",SUMIFS(tblDaily[Admissions],tblDaily[EntryDate],DATE(2026,11,20),tblDaily[WardCode],"FW")),"")</f>
        <v/>
      </c>
      <c r="C416" s="12">
        <f>IFERROR(IF(SUMIFS(tblDaily[Discharges],tblDaily[EntryDate],DATE(2026,11,20),tblDaily[WardCode],"FW")=0,"",SUMIFS(tblDaily[Discharges],tblDaily[EntryDate],DATE(2026,11,20),tblDaily[WardCode],"FW")),"")</f>
        <v/>
      </c>
      <c r="D416" s="12">
        <f>IFERROR(IF(SUMIFS(tblDaily[Deaths],tblDaily[EntryDate],DATE(2026,11,20),tblDaily[WardCode],"FW")=0,"",SUMIFS(tblDaily[Deaths],tblDaily[EntryDate],DATE(2026,11,20),tblDaily[WardCode],"FW")),"")</f>
        <v/>
      </c>
      <c r="E416" s="12">
        <f>IFERROR(IF(SUMIFS(tblDaily[DeathsUnder24Hrs],tblDaily[EntryDate],DATE(2026,11,20),tblDaily[WardCode],"FW")=0,"",SUMIFS(tblDaily[DeathsUnder24Hrs],tblDaily[EntryDate],DATE(2026,11,20),tblDaily[WardCode],"FW")),"")</f>
        <v/>
      </c>
      <c r="F416" s="12">
        <f>IFERROR(IF(SUMIFS(tblDaily[TransfersIn],tblDaily[EntryDate],DATE(2026,11,20),tblDaily[WardCode],"FW")=0,"",SUMIFS(tblDaily[TransfersIn],tblDaily[EntryDate],DATE(2026,11,20),tblDaily[WardCode],"FW")),"")</f>
        <v/>
      </c>
      <c r="G416" s="12">
        <f>IFERROR(IF(SUMIFS(tblDaily[TransfersOut],tblDaily[EntryDate],DATE(2026,11,20),tblDaily[WardCode],"FW")=0,"",SUMIFS(tblDaily[TransfersOut],tblDaily[EntryDate],DATE(2026,11,20),tblDaily[WardCode],"FW")),"")</f>
        <v/>
      </c>
      <c r="H416" s="12">
        <f>IFERROR(IF(SUMIFS(tblDaily[Remaining],tblDaily[EntryDate],DATE(2026,11,20),tblDaily[WardCode],"FW")=0,"",SUMIFS(tblDaily[Remaining],tblDaily[EntryDate],DATE(2026,11,20),tblDaily[WardCode],"FW")),"")</f>
        <v/>
      </c>
    </row>
    <row r="417">
      <c r="A417" s="12" t="n">
        <v>21</v>
      </c>
      <c r="B417" s="12">
        <f>IFERROR(IF(SUMIFS(tblDaily[Admissions],tblDaily[EntryDate],DATE(2026,11,21),tblDaily[WardCode],"FW")=0,"",SUMIFS(tblDaily[Admissions],tblDaily[EntryDate],DATE(2026,11,21),tblDaily[WardCode],"FW")),"")</f>
        <v/>
      </c>
      <c r="C417" s="12">
        <f>IFERROR(IF(SUMIFS(tblDaily[Discharges],tblDaily[EntryDate],DATE(2026,11,21),tblDaily[WardCode],"FW")=0,"",SUMIFS(tblDaily[Discharges],tblDaily[EntryDate],DATE(2026,11,21),tblDaily[WardCode],"FW")),"")</f>
        <v/>
      </c>
      <c r="D417" s="12">
        <f>IFERROR(IF(SUMIFS(tblDaily[Deaths],tblDaily[EntryDate],DATE(2026,11,21),tblDaily[WardCode],"FW")=0,"",SUMIFS(tblDaily[Deaths],tblDaily[EntryDate],DATE(2026,11,21),tblDaily[WardCode],"FW")),"")</f>
        <v/>
      </c>
      <c r="E417" s="12">
        <f>IFERROR(IF(SUMIFS(tblDaily[DeathsUnder24Hrs],tblDaily[EntryDate],DATE(2026,11,21),tblDaily[WardCode],"FW")=0,"",SUMIFS(tblDaily[DeathsUnder24Hrs],tblDaily[EntryDate],DATE(2026,11,21),tblDaily[WardCode],"FW")),"")</f>
        <v/>
      </c>
      <c r="F417" s="12">
        <f>IFERROR(IF(SUMIFS(tblDaily[TransfersIn],tblDaily[EntryDate],DATE(2026,11,21),tblDaily[WardCode],"FW")=0,"",SUMIFS(tblDaily[TransfersIn],tblDaily[EntryDate],DATE(2026,11,21),tblDaily[WardCode],"FW")),"")</f>
        <v/>
      </c>
      <c r="G417" s="12">
        <f>IFERROR(IF(SUMIFS(tblDaily[TransfersOut],tblDaily[EntryDate],DATE(2026,11,21),tblDaily[WardCode],"FW")=0,"",SUMIFS(tblDaily[TransfersOut],tblDaily[EntryDate],DATE(2026,11,21),tblDaily[WardCode],"FW")),"")</f>
        <v/>
      </c>
      <c r="H417" s="12">
        <f>IFERROR(IF(SUMIFS(tblDaily[Remaining],tblDaily[EntryDate],DATE(2026,11,21),tblDaily[WardCode],"FW")=0,"",SUMIFS(tblDaily[Remaining],tblDaily[EntryDate],DATE(2026,11,21),tblDaily[WardCode],"FW")),"")</f>
        <v/>
      </c>
    </row>
    <row r="418">
      <c r="A418" s="12" t="n">
        <v>22</v>
      </c>
      <c r="B418" s="12">
        <f>IFERROR(IF(SUMIFS(tblDaily[Admissions],tblDaily[EntryDate],DATE(2026,11,22),tblDaily[WardCode],"FW")=0,"",SUMIFS(tblDaily[Admissions],tblDaily[EntryDate],DATE(2026,11,22),tblDaily[WardCode],"FW")),"")</f>
        <v/>
      </c>
      <c r="C418" s="12">
        <f>IFERROR(IF(SUMIFS(tblDaily[Discharges],tblDaily[EntryDate],DATE(2026,11,22),tblDaily[WardCode],"FW")=0,"",SUMIFS(tblDaily[Discharges],tblDaily[EntryDate],DATE(2026,11,22),tblDaily[WardCode],"FW")),"")</f>
        <v/>
      </c>
      <c r="D418" s="12">
        <f>IFERROR(IF(SUMIFS(tblDaily[Deaths],tblDaily[EntryDate],DATE(2026,11,22),tblDaily[WardCode],"FW")=0,"",SUMIFS(tblDaily[Deaths],tblDaily[EntryDate],DATE(2026,11,22),tblDaily[WardCode],"FW")),"")</f>
        <v/>
      </c>
      <c r="E418" s="12">
        <f>IFERROR(IF(SUMIFS(tblDaily[DeathsUnder24Hrs],tblDaily[EntryDate],DATE(2026,11,22),tblDaily[WardCode],"FW")=0,"",SUMIFS(tblDaily[DeathsUnder24Hrs],tblDaily[EntryDate],DATE(2026,11,22),tblDaily[WardCode],"FW")),"")</f>
        <v/>
      </c>
      <c r="F418" s="12">
        <f>IFERROR(IF(SUMIFS(tblDaily[TransfersIn],tblDaily[EntryDate],DATE(2026,11,22),tblDaily[WardCode],"FW")=0,"",SUMIFS(tblDaily[TransfersIn],tblDaily[EntryDate],DATE(2026,11,22),tblDaily[WardCode],"FW")),"")</f>
        <v/>
      </c>
      <c r="G418" s="12">
        <f>IFERROR(IF(SUMIFS(tblDaily[TransfersOut],tblDaily[EntryDate],DATE(2026,11,22),tblDaily[WardCode],"FW")=0,"",SUMIFS(tblDaily[TransfersOut],tblDaily[EntryDate],DATE(2026,11,22),tblDaily[WardCode],"FW")),"")</f>
        <v/>
      </c>
      <c r="H418" s="12">
        <f>IFERROR(IF(SUMIFS(tblDaily[Remaining],tblDaily[EntryDate],DATE(2026,11,22),tblDaily[WardCode],"FW")=0,"",SUMIFS(tblDaily[Remaining],tblDaily[EntryDate],DATE(2026,11,22),tblDaily[WardCode],"FW")),"")</f>
        <v/>
      </c>
    </row>
    <row r="419">
      <c r="A419" s="12" t="n">
        <v>23</v>
      </c>
      <c r="B419" s="12">
        <f>IFERROR(IF(SUMIFS(tblDaily[Admissions],tblDaily[EntryDate],DATE(2026,11,23),tblDaily[WardCode],"FW")=0,"",SUMIFS(tblDaily[Admissions],tblDaily[EntryDate],DATE(2026,11,23),tblDaily[WardCode],"FW")),"")</f>
        <v/>
      </c>
      <c r="C419" s="12">
        <f>IFERROR(IF(SUMIFS(tblDaily[Discharges],tblDaily[EntryDate],DATE(2026,11,23),tblDaily[WardCode],"FW")=0,"",SUMIFS(tblDaily[Discharges],tblDaily[EntryDate],DATE(2026,11,23),tblDaily[WardCode],"FW")),"")</f>
        <v/>
      </c>
      <c r="D419" s="12">
        <f>IFERROR(IF(SUMIFS(tblDaily[Deaths],tblDaily[EntryDate],DATE(2026,11,23),tblDaily[WardCode],"FW")=0,"",SUMIFS(tblDaily[Deaths],tblDaily[EntryDate],DATE(2026,11,23),tblDaily[WardCode],"FW")),"")</f>
        <v/>
      </c>
      <c r="E419" s="12">
        <f>IFERROR(IF(SUMIFS(tblDaily[DeathsUnder24Hrs],tblDaily[EntryDate],DATE(2026,11,23),tblDaily[WardCode],"FW")=0,"",SUMIFS(tblDaily[DeathsUnder24Hrs],tblDaily[EntryDate],DATE(2026,11,23),tblDaily[WardCode],"FW")),"")</f>
        <v/>
      </c>
      <c r="F419" s="12">
        <f>IFERROR(IF(SUMIFS(tblDaily[TransfersIn],tblDaily[EntryDate],DATE(2026,11,23),tblDaily[WardCode],"FW")=0,"",SUMIFS(tblDaily[TransfersIn],tblDaily[EntryDate],DATE(2026,11,23),tblDaily[WardCode],"FW")),"")</f>
        <v/>
      </c>
      <c r="G419" s="12">
        <f>IFERROR(IF(SUMIFS(tblDaily[TransfersOut],tblDaily[EntryDate],DATE(2026,11,23),tblDaily[WardCode],"FW")=0,"",SUMIFS(tblDaily[TransfersOut],tblDaily[EntryDate],DATE(2026,11,23),tblDaily[WardCode],"FW")),"")</f>
        <v/>
      </c>
      <c r="H419" s="12">
        <f>IFERROR(IF(SUMIFS(tblDaily[Remaining],tblDaily[EntryDate],DATE(2026,11,23),tblDaily[WardCode],"FW")=0,"",SUMIFS(tblDaily[Remaining],tblDaily[EntryDate],DATE(2026,11,23),tblDaily[WardCode],"FW")),"")</f>
        <v/>
      </c>
    </row>
    <row r="420">
      <c r="A420" s="12" t="n">
        <v>24</v>
      </c>
      <c r="B420" s="12">
        <f>IFERROR(IF(SUMIFS(tblDaily[Admissions],tblDaily[EntryDate],DATE(2026,11,24),tblDaily[WardCode],"FW")=0,"",SUMIFS(tblDaily[Admissions],tblDaily[EntryDate],DATE(2026,11,24),tblDaily[WardCode],"FW")),"")</f>
        <v/>
      </c>
      <c r="C420" s="12">
        <f>IFERROR(IF(SUMIFS(tblDaily[Discharges],tblDaily[EntryDate],DATE(2026,11,24),tblDaily[WardCode],"FW")=0,"",SUMIFS(tblDaily[Discharges],tblDaily[EntryDate],DATE(2026,11,24),tblDaily[WardCode],"FW")),"")</f>
        <v/>
      </c>
      <c r="D420" s="12">
        <f>IFERROR(IF(SUMIFS(tblDaily[Deaths],tblDaily[EntryDate],DATE(2026,11,24),tblDaily[WardCode],"FW")=0,"",SUMIFS(tblDaily[Deaths],tblDaily[EntryDate],DATE(2026,11,24),tblDaily[WardCode],"FW")),"")</f>
        <v/>
      </c>
      <c r="E420" s="12">
        <f>IFERROR(IF(SUMIFS(tblDaily[DeathsUnder24Hrs],tblDaily[EntryDate],DATE(2026,11,24),tblDaily[WardCode],"FW")=0,"",SUMIFS(tblDaily[DeathsUnder24Hrs],tblDaily[EntryDate],DATE(2026,11,24),tblDaily[WardCode],"FW")),"")</f>
        <v/>
      </c>
      <c r="F420" s="12">
        <f>IFERROR(IF(SUMIFS(tblDaily[TransfersIn],tblDaily[EntryDate],DATE(2026,11,24),tblDaily[WardCode],"FW")=0,"",SUMIFS(tblDaily[TransfersIn],tblDaily[EntryDate],DATE(2026,11,24),tblDaily[WardCode],"FW")),"")</f>
        <v/>
      </c>
      <c r="G420" s="12">
        <f>IFERROR(IF(SUMIFS(tblDaily[TransfersOut],tblDaily[EntryDate],DATE(2026,11,24),tblDaily[WardCode],"FW")=0,"",SUMIFS(tblDaily[TransfersOut],tblDaily[EntryDate],DATE(2026,11,24),tblDaily[WardCode],"FW")),"")</f>
        <v/>
      </c>
      <c r="H420" s="12">
        <f>IFERROR(IF(SUMIFS(tblDaily[Remaining],tblDaily[EntryDate],DATE(2026,11,24),tblDaily[WardCode],"FW")=0,"",SUMIFS(tblDaily[Remaining],tblDaily[EntryDate],DATE(2026,11,24),tblDaily[WardCode],"FW")),"")</f>
        <v/>
      </c>
    </row>
    <row r="421">
      <c r="A421" s="12" t="n">
        <v>25</v>
      </c>
      <c r="B421" s="12">
        <f>IFERROR(IF(SUMIFS(tblDaily[Admissions],tblDaily[EntryDate],DATE(2026,11,25),tblDaily[WardCode],"FW")=0,"",SUMIFS(tblDaily[Admissions],tblDaily[EntryDate],DATE(2026,11,25),tblDaily[WardCode],"FW")),"")</f>
        <v/>
      </c>
      <c r="C421" s="12">
        <f>IFERROR(IF(SUMIFS(tblDaily[Discharges],tblDaily[EntryDate],DATE(2026,11,25),tblDaily[WardCode],"FW")=0,"",SUMIFS(tblDaily[Discharges],tblDaily[EntryDate],DATE(2026,11,25),tblDaily[WardCode],"FW")),"")</f>
        <v/>
      </c>
      <c r="D421" s="12">
        <f>IFERROR(IF(SUMIFS(tblDaily[Deaths],tblDaily[EntryDate],DATE(2026,11,25),tblDaily[WardCode],"FW")=0,"",SUMIFS(tblDaily[Deaths],tblDaily[EntryDate],DATE(2026,11,25),tblDaily[WardCode],"FW")),"")</f>
        <v/>
      </c>
      <c r="E421" s="12">
        <f>IFERROR(IF(SUMIFS(tblDaily[DeathsUnder24Hrs],tblDaily[EntryDate],DATE(2026,11,25),tblDaily[WardCode],"FW")=0,"",SUMIFS(tblDaily[DeathsUnder24Hrs],tblDaily[EntryDate],DATE(2026,11,25),tblDaily[WardCode],"FW")),"")</f>
        <v/>
      </c>
      <c r="F421" s="12">
        <f>IFERROR(IF(SUMIFS(tblDaily[TransfersIn],tblDaily[EntryDate],DATE(2026,11,25),tblDaily[WardCode],"FW")=0,"",SUMIFS(tblDaily[TransfersIn],tblDaily[EntryDate],DATE(2026,11,25),tblDaily[WardCode],"FW")),"")</f>
        <v/>
      </c>
      <c r="G421" s="12">
        <f>IFERROR(IF(SUMIFS(tblDaily[TransfersOut],tblDaily[EntryDate],DATE(2026,11,25),tblDaily[WardCode],"FW")=0,"",SUMIFS(tblDaily[TransfersOut],tblDaily[EntryDate],DATE(2026,11,25),tblDaily[WardCode],"FW")),"")</f>
        <v/>
      </c>
      <c r="H421" s="12">
        <f>IFERROR(IF(SUMIFS(tblDaily[Remaining],tblDaily[EntryDate],DATE(2026,11,25),tblDaily[WardCode],"FW")=0,"",SUMIFS(tblDaily[Remaining],tblDaily[EntryDate],DATE(2026,11,25),tblDaily[WardCode],"FW")),"")</f>
        <v/>
      </c>
    </row>
    <row r="422">
      <c r="A422" s="12" t="n">
        <v>26</v>
      </c>
      <c r="B422" s="12">
        <f>IFERROR(IF(SUMIFS(tblDaily[Admissions],tblDaily[EntryDate],DATE(2026,11,26),tblDaily[WardCode],"FW")=0,"",SUMIFS(tblDaily[Admissions],tblDaily[EntryDate],DATE(2026,11,26),tblDaily[WardCode],"FW")),"")</f>
        <v/>
      </c>
      <c r="C422" s="12">
        <f>IFERROR(IF(SUMIFS(tblDaily[Discharges],tblDaily[EntryDate],DATE(2026,11,26),tblDaily[WardCode],"FW")=0,"",SUMIFS(tblDaily[Discharges],tblDaily[EntryDate],DATE(2026,11,26),tblDaily[WardCode],"FW")),"")</f>
        <v/>
      </c>
      <c r="D422" s="12">
        <f>IFERROR(IF(SUMIFS(tblDaily[Deaths],tblDaily[EntryDate],DATE(2026,11,26),tblDaily[WardCode],"FW")=0,"",SUMIFS(tblDaily[Deaths],tblDaily[EntryDate],DATE(2026,11,26),tblDaily[WardCode],"FW")),"")</f>
        <v/>
      </c>
      <c r="E422" s="12">
        <f>IFERROR(IF(SUMIFS(tblDaily[DeathsUnder24Hrs],tblDaily[EntryDate],DATE(2026,11,26),tblDaily[WardCode],"FW")=0,"",SUMIFS(tblDaily[DeathsUnder24Hrs],tblDaily[EntryDate],DATE(2026,11,26),tblDaily[WardCode],"FW")),"")</f>
        <v/>
      </c>
      <c r="F422" s="12">
        <f>IFERROR(IF(SUMIFS(tblDaily[TransfersIn],tblDaily[EntryDate],DATE(2026,11,26),tblDaily[WardCode],"FW")=0,"",SUMIFS(tblDaily[TransfersIn],tblDaily[EntryDate],DATE(2026,11,26),tblDaily[WardCode],"FW")),"")</f>
        <v/>
      </c>
      <c r="G422" s="12">
        <f>IFERROR(IF(SUMIFS(tblDaily[TransfersOut],tblDaily[EntryDate],DATE(2026,11,26),tblDaily[WardCode],"FW")=0,"",SUMIFS(tblDaily[TransfersOut],tblDaily[EntryDate],DATE(2026,11,26),tblDaily[WardCode],"FW")),"")</f>
        <v/>
      </c>
      <c r="H422" s="12">
        <f>IFERROR(IF(SUMIFS(tblDaily[Remaining],tblDaily[EntryDate],DATE(2026,11,26),tblDaily[WardCode],"FW")=0,"",SUMIFS(tblDaily[Remaining],tblDaily[EntryDate],DATE(2026,11,26),tblDaily[WardCode],"FW")),"")</f>
        <v/>
      </c>
    </row>
    <row r="423">
      <c r="A423" s="12" t="n">
        <v>27</v>
      </c>
      <c r="B423" s="12">
        <f>IFERROR(IF(SUMIFS(tblDaily[Admissions],tblDaily[EntryDate],DATE(2026,11,27),tblDaily[WardCode],"FW")=0,"",SUMIFS(tblDaily[Admissions],tblDaily[EntryDate],DATE(2026,11,27),tblDaily[WardCode],"FW")),"")</f>
        <v/>
      </c>
      <c r="C423" s="12">
        <f>IFERROR(IF(SUMIFS(tblDaily[Discharges],tblDaily[EntryDate],DATE(2026,11,27),tblDaily[WardCode],"FW")=0,"",SUMIFS(tblDaily[Discharges],tblDaily[EntryDate],DATE(2026,11,27),tblDaily[WardCode],"FW")),"")</f>
        <v/>
      </c>
      <c r="D423" s="12">
        <f>IFERROR(IF(SUMIFS(tblDaily[Deaths],tblDaily[EntryDate],DATE(2026,11,27),tblDaily[WardCode],"FW")=0,"",SUMIFS(tblDaily[Deaths],tblDaily[EntryDate],DATE(2026,11,27),tblDaily[WardCode],"FW")),"")</f>
        <v/>
      </c>
      <c r="E423" s="12">
        <f>IFERROR(IF(SUMIFS(tblDaily[DeathsUnder24Hrs],tblDaily[EntryDate],DATE(2026,11,27),tblDaily[WardCode],"FW")=0,"",SUMIFS(tblDaily[DeathsUnder24Hrs],tblDaily[EntryDate],DATE(2026,11,27),tblDaily[WardCode],"FW")),"")</f>
        <v/>
      </c>
      <c r="F423" s="12">
        <f>IFERROR(IF(SUMIFS(tblDaily[TransfersIn],tblDaily[EntryDate],DATE(2026,11,27),tblDaily[WardCode],"FW")=0,"",SUMIFS(tblDaily[TransfersIn],tblDaily[EntryDate],DATE(2026,11,27),tblDaily[WardCode],"FW")),"")</f>
        <v/>
      </c>
      <c r="G423" s="12">
        <f>IFERROR(IF(SUMIFS(tblDaily[TransfersOut],tblDaily[EntryDate],DATE(2026,11,27),tblDaily[WardCode],"FW")=0,"",SUMIFS(tblDaily[TransfersOut],tblDaily[EntryDate],DATE(2026,11,27),tblDaily[WardCode],"FW")),"")</f>
        <v/>
      </c>
      <c r="H423" s="12">
        <f>IFERROR(IF(SUMIFS(tblDaily[Remaining],tblDaily[EntryDate],DATE(2026,11,27),tblDaily[WardCode],"FW")=0,"",SUMIFS(tblDaily[Remaining],tblDaily[EntryDate],DATE(2026,11,27),tblDaily[WardCode],"FW")),"")</f>
        <v/>
      </c>
    </row>
    <row r="424">
      <c r="A424" s="12" t="n">
        <v>28</v>
      </c>
      <c r="B424" s="12">
        <f>IFERROR(IF(SUMIFS(tblDaily[Admissions],tblDaily[EntryDate],DATE(2026,11,28),tblDaily[WardCode],"FW")=0,"",SUMIFS(tblDaily[Admissions],tblDaily[EntryDate],DATE(2026,11,28),tblDaily[WardCode],"FW")),"")</f>
        <v/>
      </c>
      <c r="C424" s="12">
        <f>IFERROR(IF(SUMIFS(tblDaily[Discharges],tblDaily[EntryDate],DATE(2026,11,28),tblDaily[WardCode],"FW")=0,"",SUMIFS(tblDaily[Discharges],tblDaily[EntryDate],DATE(2026,11,28),tblDaily[WardCode],"FW")),"")</f>
        <v/>
      </c>
      <c r="D424" s="12">
        <f>IFERROR(IF(SUMIFS(tblDaily[Deaths],tblDaily[EntryDate],DATE(2026,11,28),tblDaily[WardCode],"FW")=0,"",SUMIFS(tblDaily[Deaths],tblDaily[EntryDate],DATE(2026,11,28),tblDaily[WardCode],"FW")),"")</f>
        <v/>
      </c>
      <c r="E424" s="12">
        <f>IFERROR(IF(SUMIFS(tblDaily[DeathsUnder24Hrs],tblDaily[EntryDate],DATE(2026,11,28),tblDaily[WardCode],"FW")=0,"",SUMIFS(tblDaily[DeathsUnder24Hrs],tblDaily[EntryDate],DATE(2026,11,28),tblDaily[WardCode],"FW")),"")</f>
        <v/>
      </c>
      <c r="F424" s="12">
        <f>IFERROR(IF(SUMIFS(tblDaily[TransfersIn],tblDaily[EntryDate],DATE(2026,11,28),tblDaily[WardCode],"FW")=0,"",SUMIFS(tblDaily[TransfersIn],tblDaily[EntryDate],DATE(2026,11,28),tblDaily[WardCode],"FW")),"")</f>
        <v/>
      </c>
      <c r="G424" s="12">
        <f>IFERROR(IF(SUMIFS(tblDaily[TransfersOut],tblDaily[EntryDate],DATE(2026,11,28),tblDaily[WardCode],"FW")=0,"",SUMIFS(tblDaily[TransfersOut],tblDaily[EntryDate],DATE(2026,11,28),tblDaily[WardCode],"FW")),"")</f>
        <v/>
      </c>
      <c r="H424" s="12">
        <f>IFERROR(IF(SUMIFS(tblDaily[Remaining],tblDaily[EntryDate],DATE(2026,11,28),tblDaily[WardCode],"FW")=0,"",SUMIFS(tblDaily[Remaining],tblDaily[EntryDate],DATE(2026,11,28),tblDaily[WardCode],"FW")),"")</f>
        <v/>
      </c>
    </row>
    <row r="425">
      <c r="A425" s="12" t="n">
        <v>29</v>
      </c>
      <c r="B425" s="12">
        <f>IFERROR(IF(SUMIFS(tblDaily[Admissions],tblDaily[EntryDate],DATE(2026,11,29),tblDaily[WardCode],"FW")=0,"",SUMIFS(tblDaily[Admissions],tblDaily[EntryDate],DATE(2026,11,29),tblDaily[WardCode],"FW")),"")</f>
        <v/>
      </c>
      <c r="C425" s="12">
        <f>IFERROR(IF(SUMIFS(tblDaily[Discharges],tblDaily[EntryDate],DATE(2026,11,29),tblDaily[WardCode],"FW")=0,"",SUMIFS(tblDaily[Discharges],tblDaily[EntryDate],DATE(2026,11,29),tblDaily[WardCode],"FW")),"")</f>
        <v/>
      </c>
      <c r="D425" s="12">
        <f>IFERROR(IF(SUMIFS(tblDaily[Deaths],tblDaily[EntryDate],DATE(2026,11,29),tblDaily[WardCode],"FW")=0,"",SUMIFS(tblDaily[Deaths],tblDaily[EntryDate],DATE(2026,11,29),tblDaily[WardCode],"FW")),"")</f>
        <v/>
      </c>
      <c r="E425" s="12">
        <f>IFERROR(IF(SUMIFS(tblDaily[DeathsUnder24Hrs],tblDaily[EntryDate],DATE(2026,11,29),tblDaily[WardCode],"FW")=0,"",SUMIFS(tblDaily[DeathsUnder24Hrs],tblDaily[EntryDate],DATE(2026,11,29),tblDaily[WardCode],"FW")),"")</f>
        <v/>
      </c>
      <c r="F425" s="12">
        <f>IFERROR(IF(SUMIFS(tblDaily[TransfersIn],tblDaily[EntryDate],DATE(2026,11,29),tblDaily[WardCode],"FW")=0,"",SUMIFS(tblDaily[TransfersIn],tblDaily[EntryDate],DATE(2026,11,29),tblDaily[WardCode],"FW")),"")</f>
        <v/>
      </c>
      <c r="G425" s="12">
        <f>IFERROR(IF(SUMIFS(tblDaily[TransfersOut],tblDaily[EntryDate],DATE(2026,11,29),tblDaily[WardCode],"FW")=0,"",SUMIFS(tblDaily[TransfersOut],tblDaily[EntryDate],DATE(2026,11,29),tblDaily[WardCode],"FW")),"")</f>
        <v/>
      </c>
      <c r="H425" s="12">
        <f>IFERROR(IF(SUMIFS(tblDaily[Remaining],tblDaily[EntryDate],DATE(2026,11,29),tblDaily[WardCode],"FW")=0,"",SUMIFS(tblDaily[Remaining],tblDaily[EntryDate],DATE(2026,11,29),tblDaily[WardCode],"FW")),"")</f>
        <v/>
      </c>
    </row>
    <row r="426">
      <c r="A426" s="12" t="n">
        <v>30</v>
      </c>
      <c r="B426" s="12">
        <f>IFERROR(IF(SUMIFS(tblDaily[Admissions],tblDaily[EntryDate],DATE(2026,11,30),tblDaily[WardCode],"FW")=0,"",SUMIFS(tblDaily[Admissions],tblDaily[EntryDate],DATE(2026,11,30),tblDaily[WardCode],"FW")),"")</f>
        <v/>
      </c>
      <c r="C426" s="12">
        <f>IFERROR(IF(SUMIFS(tblDaily[Discharges],tblDaily[EntryDate],DATE(2026,11,30),tblDaily[WardCode],"FW")=0,"",SUMIFS(tblDaily[Discharges],tblDaily[EntryDate],DATE(2026,11,30),tblDaily[WardCode],"FW")),"")</f>
        <v/>
      </c>
      <c r="D426" s="12">
        <f>IFERROR(IF(SUMIFS(tblDaily[Deaths],tblDaily[EntryDate],DATE(2026,11,30),tblDaily[WardCode],"FW")=0,"",SUMIFS(tblDaily[Deaths],tblDaily[EntryDate],DATE(2026,11,30),tblDaily[WardCode],"FW")),"")</f>
        <v/>
      </c>
      <c r="E426" s="12">
        <f>IFERROR(IF(SUMIFS(tblDaily[DeathsUnder24Hrs],tblDaily[EntryDate],DATE(2026,11,30),tblDaily[WardCode],"FW")=0,"",SUMIFS(tblDaily[DeathsUnder24Hrs],tblDaily[EntryDate],DATE(2026,11,30),tblDaily[WardCode],"FW")),"")</f>
        <v/>
      </c>
      <c r="F426" s="12">
        <f>IFERROR(IF(SUMIFS(tblDaily[TransfersIn],tblDaily[EntryDate],DATE(2026,11,30),tblDaily[WardCode],"FW")=0,"",SUMIFS(tblDaily[TransfersIn],tblDaily[EntryDate],DATE(2026,11,30),tblDaily[WardCode],"FW")),"")</f>
        <v/>
      </c>
      <c r="G426" s="12">
        <f>IFERROR(IF(SUMIFS(tblDaily[TransfersOut],tblDaily[EntryDate],DATE(2026,11,30),tblDaily[WardCode],"FW")=0,"",SUMIFS(tblDaily[TransfersOut],tblDaily[EntryDate],DATE(2026,11,30),tblDaily[WardCode],"FW")),"")</f>
        <v/>
      </c>
      <c r="H426" s="12">
        <f>IFERROR(IF(SUMIFS(tblDaily[Remaining],tblDaily[EntryDate],DATE(2026,11,30),tblDaily[WardCode],"FW")=0,"",SUMIFS(tblDaily[Remaining],tblDaily[EntryDate],DATE(2026,11,30),tblDaily[WardCode],"FW")),"")</f>
        <v/>
      </c>
    </row>
    <row r="427">
      <c r="A427" s="12" t="n">
        <v>31</v>
      </c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7" t="inlineStr">
        <is>
          <t>TOTAL</t>
        </is>
      </c>
      <c r="B428" s="17">
        <f>SUMIFS(tblDaily[Admissions],tblDaily[Month],11,tblDaily[WardCode],"FW") - SUMIFS(tblDaily[DeathsUnder24Hrs],tblDaily[Month],11,tblDaily[WardCode],"FW")</f>
        <v/>
      </c>
      <c r="C428" s="17">
        <f>SUMIFS(tblDaily[Discharges],tblDaily[Month],11,tblDaily[WardCode],"FW")</f>
        <v/>
      </c>
      <c r="D428" s="17">
        <f>SUMIFS(tblDaily[Deaths],tblDaily[Month],11,tblDaily[WardCode],"FW")</f>
        <v/>
      </c>
      <c r="E428" s="17">
        <f>SUMIFS(tblDaily[DeathsUnder24Hrs],tblDaily[Month],11,tblDaily[WardCode],"FW")</f>
        <v/>
      </c>
      <c r="F428" s="17">
        <f>SUMIFS(tblDaily[TransfersIn],tblDaily[Month],11,tblDaily[WardCode],"FW")</f>
        <v/>
      </c>
      <c r="G428" s="17">
        <f>SUMIFS(tblDaily[TransfersOut],tblDaily[Month],11,tblDaily[WardCode],"FW")</f>
        <v/>
      </c>
      <c r="H428" s="17">
        <f>SUMIFS(tblDaily[Remaining],tblDaily[Month],11,tblDaily[WardCode],"FW")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FEMALE MEDICAL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4">
        <f>IFERROR(SUMIFS(tblDaily[Remaining],tblDaily[EntryDate],DATE(2026,11,30),tblDaily[WardCode],"FW"),0)</f>
        <v/>
      </c>
    </row>
    <row r="434">
      <c r="A434" s="4" t="inlineStr">
        <is>
          <t>Bed complement</t>
        </is>
      </c>
      <c r="H434" s="15">
        <f>IFERROR(INDEX(tblWardConfig[BedComplement],MATCH("FW",tblWardConfig[WardCode],0)),0)</f>
        <v/>
      </c>
    </row>
    <row r="435">
      <c r="A435" s="16" t="inlineStr">
        <is>
          <t>Day of
the
Month</t>
        </is>
      </c>
      <c r="B435" s="16" t="inlineStr">
        <is>
          <t>Admissions</t>
        </is>
      </c>
      <c r="C435" s="16" t="inlineStr">
        <is>
          <t>Discharges</t>
        </is>
      </c>
      <c r="D435" s="16" t="inlineStr">
        <is>
          <t>Deaths</t>
        </is>
      </c>
      <c r="E435" s="16" t="inlineStr">
        <is>
          <t>Deaths
&lt;24Hrs</t>
        </is>
      </c>
      <c r="F435" s="16" t="inlineStr">
        <is>
          <t>Transfers-
In</t>
        </is>
      </c>
      <c r="G435" s="16" t="inlineStr">
        <is>
          <t>Transfers-
Out</t>
        </is>
      </c>
      <c r="H435" s="16" t="inlineStr">
        <is>
          <t>No. of Patients
Remaining In
Ward</t>
        </is>
      </c>
    </row>
    <row r="436">
      <c r="A436" s="12" t="n">
        <v>1</v>
      </c>
      <c r="B436" s="12">
        <f>IFERROR(IF(SUMIFS(tblDaily[Admissions],tblDaily[EntryDate],DATE(2026,12,1),tblDaily[WardCode],"FW")=0,"",SUMIFS(tblDaily[Admissions],tblDaily[EntryDate],DATE(2026,12,1),tblDaily[WardCode],"FW")),"")</f>
        <v/>
      </c>
      <c r="C436" s="12">
        <f>IFERROR(IF(SUMIFS(tblDaily[Discharges],tblDaily[EntryDate],DATE(2026,12,1),tblDaily[WardCode],"FW")=0,"",SUMIFS(tblDaily[Discharges],tblDaily[EntryDate],DATE(2026,12,1),tblDaily[WardCode],"FW")),"")</f>
        <v/>
      </c>
      <c r="D436" s="12">
        <f>IFERROR(IF(SUMIFS(tblDaily[Deaths],tblDaily[EntryDate],DATE(2026,12,1),tblDaily[WardCode],"FW")=0,"",SUMIFS(tblDaily[Deaths],tblDaily[EntryDate],DATE(2026,12,1),tblDaily[WardCode],"FW")),"")</f>
        <v/>
      </c>
      <c r="E436" s="12">
        <f>IFERROR(IF(SUMIFS(tblDaily[DeathsUnder24Hrs],tblDaily[EntryDate],DATE(2026,12,1),tblDaily[WardCode],"FW")=0,"",SUMIFS(tblDaily[DeathsUnder24Hrs],tblDaily[EntryDate],DATE(2026,12,1),tblDaily[WardCode],"FW")),"")</f>
        <v/>
      </c>
      <c r="F436" s="12">
        <f>IFERROR(IF(SUMIFS(tblDaily[TransfersIn],tblDaily[EntryDate],DATE(2026,12,1),tblDaily[WardCode],"FW")=0,"",SUMIFS(tblDaily[TransfersIn],tblDaily[EntryDate],DATE(2026,12,1),tblDaily[WardCode],"FW")),"")</f>
        <v/>
      </c>
      <c r="G436" s="12">
        <f>IFERROR(IF(SUMIFS(tblDaily[TransfersOut],tblDaily[EntryDate],DATE(2026,12,1),tblDaily[WardCode],"FW")=0,"",SUMIFS(tblDaily[TransfersOut],tblDaily[EntryDate],DATE(2026,12,1),tblDaily[WardCode],"FW")),"")</f>
        <v/>
      </c>
      <c r="H436" s="12">
        <f>IFERROR(IF(SUMIFS(tblDaily[Remaining],tblDaily[EntryDate],DATE(2026,12,1),tblDaily[WardCode],"FW")=0,"",SUMIFS(tblDaily[Remaining],tblDaily[EntryDate],DATE(2026,12,1),tblDaily[WardCode],"FW")),"")</f>
        <v/>
      </c>
    </row>
    <row r="437">
      <c r="A437" s="12" t="n">
        <v>2</v>
      </c>
      <c r="B437" s="12">
        <f>IFERROR(IF(SUMIFS(tblDaily[Admissions],tblDaily[EntryDate],DATE(2026,12,2),tblDaily[WardCode],"FW")=0,"",SUMIFS(tblDaily[Admissions],tblDaily[EntryDate],DATE(2026,12,2),tblDaily[WardCode],"FW")),"")</f>
        <v/>
      </c>
      <c r="C437" s="12">
        <f>IFERROR(IF(SUMIFS(tblDaily[Discharges],tblDaily[EntryDate],DATE(2026,12,2),tblDaily[WardCode],"FW")=0,"",SUMIFS(tblDaily[Discharges],tblDaily[EntryDate],DATE(2026,12,2),tblDaily[WardCode],"FW")),"")</f>
        <v/>
      </c>
      <c r="D437" s="12">
        <f>IFERROR(IF(SUMIFS(tblDaily[Deaths],tblDaily[EntryDate],DATE(2026,12,2),tblDaily[WardCode],"FW")=0,"",SUMIFS(tblDaily[Deaths],tblDaily[EntryDate],DATE(2026,12,2),tblDaily[WardCode],"FW")),"")</f>
        <v/>
      </c>
      <c r="E437" s="12">
        <f>IFERROR(IF(SUMIFS(tblDaily[DeathsUnder24Hrs],tblDaily[EntryDate],DATE(2026,12,2),tblDaily[WardCode],"FW")=0,"",SUMIFS(tblDaily[DeathsUnder24Hrs],tblDaily[EntryDate],DATE(2026,12,2),tblDaily[WardCode],"FW")),"")</f>
        <v/>
      </c>
      <c r="F437" s="12">
        <f>IFERROR(IF(SUMIFS(tblDaily[TransfersIn],tblDaily[EntryDate],DATE(2026,12,2),tblDaily[WardCode],"FW")=0,"",SUMIFS(tblDaily[TransfersIn],tblDaily[EntryDate],DATE(2026,12,2),tblDaily[WardCode],"FW")),"")</f>
        <v/>
      </c>
      <c r="G437" s="12">
        <f>IFERROR(IF(SUMIFS(tblDaily[TransfersOut],tblDaily[EntryDate],DATE(2026,12,2),tblDaily[WardCode],"FW")=0,"",SUMIFS(tblDaily[TransfersOut],tblDaily[EntryDate],DATE(2026,12,2),tblDaily[WardCode],"FW")),"")</f>
        <v/>
      </c>
      <c r="H437" s="12">
        <f>IFERROR(IF(SUMIFS(tblDaily[Remaining],tblDaily[EntryDate],DATE(2026,12,2),tblDaily[WardCode],"FW")=0,"",SUMIFS(tblDaily[Remaining],tblDaily[EntryDate],DATE(2026,12,2),tblDaily[WardCode],"FW")),"")</f>
        <v/>
      </c>
    </row>
    <row r="438">
      <c r="A438" s="12" t="n">
        <v>3</v>
      </c>
      <c r="B438" s="12">
        <f>IFERROR(IF(SUMIFS(tblDaily[Admissions],tblDaily[EntryDate],DATE(2026,12,3),tblDaily[WardCode],"FW")=0,"",SUMIFS(tblDaily[Admissions],tblDaily[EntryDate],DATE(2026,12,3),tblDaily[WardCode],"FW")),"")</f>
        <v/>
      </c>
      <c r="C438" s="12">
        <f>IFERROR(IF(SUMIFS(tblDaily[Discharges],tblDaily[EntryDate],DATE(2026,12,3),tblDaily[WardCode],"FW")=0,"",SUMIFS(tblDaily[Discharges],tblDaily[EntryDate],DATE(2026,12,3),tblDaily[WardCode],"FW")),"")</f>
        <v/>
      </c>
      <c r="D438" s="12">
        <f>IFERROR(IF(SUMIFS(tblDaily[Deaths],tblDaily[EntryDate],DATE(2026,12,3),tblDaily[WardCode],"FW")=0,"",SUMIFS(tblDaily[Deaths],tblDaily[EntryDate],DATE(2026,12,3),tblDaily[WardCode],"FW")),"")</f>
        <v/>
      </c>
      <c r="E438" s="12">
        <f>IFERROR(IF(SUMIFS(tblDaily[DeathsUnder24Hrs],tblDaily[EntryDate],DATE(2026,12,3),tblDaily[WardCode],"FW")=0,"",SUMIFS(tblDaily[DeathsUnder24Hrs],tblDaily[EntryDate],DATE(2026,12,3),tblDaily[WardCode],"FW")),"")</f>
        <v/>
      </c>
      <c r="F438" s="12">
        <f>IFERROR(IF(SUMIFS(tblDaily[TransfersIn],tblDaily[EntryDate],DATE(2026,12,3),tblDaily[WardCode],"FW")=0,"",SUMIFS(tblDaily[TransfersIn],tblDaily[EntryDate],DATE(2026,12,3),tblDaily[WardCode],"FW")),"")</f>
        <v/>
      </c>
      <c r="G438" s="12">
        <f>IFERROR(IF(SUMIFS(tblDaily[TransfersOut],tblDaily[EntryDate],DATE(2026,12,3),tblDaily[WardCode],"FW")=0,"",SUMIFS(tblDaily[TransfersOut],tblDaily[EntryDate],DATE(2026,12,3),tblDaily[WardCode],"FW")),"")</f>
        <v/>
      </c>
      <c r="H438" s="12">
        <f>IFERROR(IF(SUMIFS(tblDaily[Remaining],tblDaily[EntryDate],DATE(2026,12,3),tblDaily[WardCode],"FW")=0,"",SUMIFS(tblDaily[Remaining],tblDaily[EntryDate],DATE(2026,12,3),tblDaily[WardCode],"FW")),"")</f>
        <v/>
      </c>
    </row>
    <row r="439">
      <c r="A439" s="12" t="n">
        <v>4</v>
      </c>
      <c r="B439" s="12">
        <f>IFERROR(IF(SUMIFS(tblDaily[Admissions],tblDaily[EntryDate],DATE(2026,12,4),tblDaily[WardCode],"FW")=0,"",SUMIFS(tblDaily[Admissions],tblDaily[EntryDate],DATE(2026,12,4),tblDaily[WardCode],"FW")),"")</f>
        <v/>
      </c>
      <c r="C439" s="12">
        <f>IFERROR(IF(SUMIFS(tblDaily[Discharges],tblDaily[EntryDate],DATE(2026,12,4),tblDaily[WardCode],"FW")=0,"",SUMIFS(tblDaily[Discharges],tblDaily[EntryDate],DATE(2026,12,4),tblDaily[WardCode],"FW")),"")</f>
        <v/>
      </c>
      <c r="D439" s="12">
        <f>IFERROR(IF(SUMIFS(tblDaily[Deaths],tblDaily[EntryDate],DATE(2026,12,4),tblDaily[WardCode],"FW")=0,"",SUMIFS(tblDaily[Deaths],tblDaily[EntryDate],DATE(2026,12,4),tblDaily[WardCode],"FW")),"")</f>
        <v/>
      </c>
      <c r="E439" s="12">
        <f>IFERROR(IF(SUMIFS(tblDaily[DeathsUnder24Hrs],tblDaily[EntryDate],DATE(2026,12,4),tblDaily[WardCode],"FW")=0,"",SUMIFS(tblDaily[DeathsUnder24Hrs],tblDaily[EntryDate],DATE(2026,12,4),tblDaily[WardCode],"FW")),"")</f>
        <v/>
      </c>
      <c r="F439" s="12">
        <f>IFERROR(IF(SUMIFS(tblDaily[TransfersIn],tblDaily[EntryDate],DATE(2026,12,4),tblDaily[WardCode],"FW")=0,"",SUMIFS(tblDaily[TransfersIn],tblDaily[EntryDate],DATE(2026,12,4),tblDaily[WardCode],"FW")),"")</f>
        <v/>
      </c>
      <c r="G439" s="12">
        <f>IFERROR(IF(SUMIFS(tblDaily[TransfersOut],tblDaily[EntryDate],DATE(2026,12,4),tblDaily[WardCode],"FW")=0,"",SUMIFS(tblDaily[TransfersOut],tblDaily[EntryDate],DATE(2026,12,4),tblDaily[WardCode],"FW")),"")</f>
        <v/>
      </c>
      <c r="H439" s="12">
        <f>IFERROR(IF(SUMIFS(tblDaily[Remaining],tblDaily[EntryDate],DATE(2026,12,4),tblDaily[WardCode],"FW")=0,"",SUMIFS(tblDaily[Remaining],tblDaily[EntryDate],DATE(2026,12,4),tblDaily[WardCode],"FW")),"")</f>
        <v/>
      </c>
    </row>
    <row r="440">
      <c r="A440" s="12" t="n">
        <v>5</v>
      </c>
      <c r="B440" s="12">
        <f>IFERROR(IF(SUMIFS(tblDaily[Admissions],tblDaily[EntryDate],DATE(2026,12,5),tblDaily[WardCode],"FW")=0,"",SUMIFS(tblDaily[Admissions],tblDaily[EntryDate],DATE(2026,12,5),tblDaily[WardCode],"FW")),"")</f>
        <v/>
      </c>
      <c r="C440" s="12">
        <f>IFERROR(IF(SUMIFS(tblDaily[Discharges],tblDaily[EntryDate],DATE(2026,12,5),tblDaily[WardCode],"FW")=0,"",SUMIFS(tblDaily[Discharges],tblDaily[EntryDate],DATE(2026,12,5),tblDaily[WardCode],"FW")),"")</f>
        <v/>
      </c>
      <c r="D440" s="12">
        <f>IFERROR(IF(SUMIFS(tblDaily[Deaths],tblDaily[EntryDate],DATE(2026,12,5),tblDaily[WardCode],"FW")=0,"",SUMIFS(tblDaily[Deaths],tblDaily[EntryDate],DATE(2026,12,5),tblDaily[WardCode],"FW")),"")</f>
        <v/>
      </c>
      <c r="E440" s="12">
        <f>IFERROR(IF(SUMIFS(tblDaily[DeathsUnder24Hrs],tblDaily[EntryDate],DATE(2026,12,5),tblDaily[WardCode],"FW")=0,"",SUMIFS(tblDaily[DeathsUnder24Hrs],tblDaily[EntryDate],DATE(2026,12,5),tblDaily[WardCode],"FW")),"")</f>
        <v/>
      </c>
      <c r="F440" s="12">
        <f>IFERROR(IF(SUMIFS(tblDaily[TransfersIn],tblDaily[EntryDate],DATE(2026,12,5),tblDaily[WardCode],"FW")=0,"",SUMIFS(tblDaily[TransfersIn],tblDaily[EntryDate],DATE(2026,12,5),tblDaily[WardCode],"FW")),"")</f>
        <v/>
      </c>
      <c r="G440" s="12">
        <f>IFERROR(IF(SUMIFS(tblDaily[TransfersOut],tblDaily[EntryDate],DATE(2026,12,5),tblDaily[WardCode],"FW")=0,"",SUMIFS(tblDaily[TransfersOut],tblDaily[EntryDate],DATE(2026,12,5),tblDaily[WardCode],"FW")),"")</f>
        <v/>
      </c>
      <c r="H440" s="12">
        <f>IFERROR(IF(SUMIFS(tblDaily[Remaining],tblDaily[EntryDate],DATE(2026,12,5),tblDaily[WardCode],"FW")=0,"",SUMIFS(tblDaily[Remaining],tblDaily[EntryDate],DATE(2026,12,5),tblDaily[WardCode],"FW")),"")</f>
        <v/>
      </c>
    </row>
    <row r="441">
      <c r="A441" s="12" t="n">
        <v>6</v>
      </c>
      <c r="B441" s="12">
        <f>IFERROR(IF(SUMIFS(tblDaily[Admissions],tblDaily[EntryDate],DATE(2026,12,6),tblDaily[WardCode],"FW")=0,"",SUMIFS(tblDaily[Admissions],tblDaily[EntryDate],DATE(2026,12,6),tblDaily[WardCode],"FW")),"")</f>
        <v/>
      </c>
      <c r="C441" s="12">
        <f>IFERROR(IF(SUMIFS(tblDaily[Discharges],tblDaily[EntryDate],DATE(2026,12,6),tblDaily[WardCode],"FW")=0,"",SUMIFS(tblDaily[Discharges],tblDaily[EntryDate],DATE(2026,12,6),tblDaily[WardCode],"FW")),"")</f>
        <v/>
      </c>
      <c r="D441" s="12">
        <f>IFERROR(IF(SUMIFS(tblDaily[Deaths],tblDaily[EntryDate],DATE(2026,12,6),tblDaily[WardCode],"FW")=0,"",SUMIFS(tblDaily[Deaths],tblDaily[EntryDate],DATE(2026,12,6),tblDaily[WardCode],"FW")),"")</f>
        <v/>
      </c>
      <c r="E441" s="12">
        <f>IFERROR(IF(SUMIFS(tblDaily[DeathsUnder24Hrs],tblDaily[EntryDate],DATE(2026,12,6),tblDaily[WardCode],"FW")=0,"",SUMIFS(tblDaily[DeathsUnder24Hrs],tblDaily[EntryDate],DATE(2026,12,6),tblDaily[WardCode],"FW")),"")</f>
        <v/>
      </c>
      <c r="F441" s="12">
        <f>IFERROR(IF(SUMIFS(tblDaily[TransfersIn],tblDaily[EntryDate],DATE(2026,12,6),tblDaily[WardCode],"FW")=0,"",SUMIFS(tblDaily[TransfersIn],tblDaily[EntryDate],DATE(2026,12,6),tblDaily[WardCode],"FW")),"")</f>
        <v/>
      </c>
      <c r="G441" s="12">
        <f>IFERROR(IF(SUMIFS(tblDaily[TransfersOut],tblDaily[EntryDate],DATE(2026,12,6),tblDaily[WardCode],"FW")=0,"",SUMIFS(tblDaily[TransfersOut],tblDaily[EntryDate],DATE(2026,12,6),tblDaily[WardCode],"FW")),"")</f>
        <v/>
      </c>
      <c r="H441" s="12">
        <f>IFERROR(IF(SUMIFS(tblDaily[Remaining],tblDaily[EntryDate],DATE(2026,12,6),tblDaily[WardCode],"FW")=0,"",SUMIFS(tblDaily[Remaining],tblDaily[EntryDate],DATE(2026,12,6),tblDaily[WardCode],"FW")),"")</f>
        <v/>
      </c>
    </row>
    <row r="442">
      <c r="A442" s="12" t="n">
        <v>7</v>
      </c>
      <c r="B442" s="12">
        <f>IFERROR(IF(SUMIFS(tblDaily[Admissions],tblDaily[EntryDate],DATE(2026,12,7),tblDaily[WardCode],"FW")=0,"",SUMIFS(tblDaily[Admissions],tblDaily[EntryDate],DATE(2026,12,7),tblDaily[WardCode],"FW")),"")</f>
        <v/>
      </c>
      <c r="C442" s="12">
        <f>IFERROR(IF(SUMIFS(tblDaily[Discharges],tblDaily[EntryDate],DATE(2026,12,7),tblDaily[WardCode],"FW")=0,"",SUMIFS(tblDaily[Discharges],tblDaily[EntryDate],DATE(2026,12,7),tblDaily[WardCode],"FW")),"")</f>
        <v/>
      </c>
      <c r="D442" s="12">
        <f>IFERROR(IF(SUMIFS(tblDaily[Deaths],tblDaily[EntryDate],DATE(2026,12,7),tblDaily[WardCode],"FW")=0,"",SUMIFS(tblDaily[Deaths],tblDaily[EntryDate],DATE(2026,12,7),tblDaily[WardCode],"FW")),"")</f>
        <v/>
      </c>
      <c r="E442" s="12">
        <f>IFERROR(IF(SUMIFS(tblDaily[DeathsUnder24Hrs],tblDaily[EntryDate],DATE(2026,12,7),tblDaily[WardCode],"FW")=0,"",SUMIFS(tblDaily[DeathsUnder24Hrs],tblDaily[EntryDate],DATE(2026,12,7),tblDaily[WardCode],"FW")),"")</f>
        <v/>
      </c>
      <c r="F442" s="12">
        <f>IFERROR(IF(SUMIFS(tblDaily[TransfersIn],tblDaily[EntryDate],DATE(2026,12,7),tblDaily[WardCode],"FW")=0,"",SUMIFS(tblDaily[TransfersIn],tblDaily[EntryDate],DATE(2026,12,7),tblDaily[WardCode],"FW")),"")</f>
        <v/>
      </c>
      <c r="G442" s="12">
        <f>IFERROR(IF(SUMIFS(tblDaily[TransfersOut],tblDaily[EntryDate],DATE(2026,12,7),tblDaily[WardCode],"FW")=0,"",SUMIFS(tblDaily[TransfersOut],tblDaily[EntryDate],DATE(2026,12,7),tblDaily[WardCode],"FW")),"")</f>
        <v/>
      </c>
      <c r="H442" s="12">
        <f>IFERROR(IF(SUMIFS(tblDaily[Remaining],tblDaily[EntryDate],DATE(2026,12,7),tblDaily[WardCode],"FW")=0,"",SUMIFS(tblDaily[Remaining],tblDaily[EntryDate],DATE(2026,12,7),tblDaily[WardCode],"FW")),"")</f>
        <v/>
      </c>
    </row>
    <row r="443">
      <c r="A443" s="12" t="n">
        <v>8</v>
      </c>
      <c r="B443" s="12">
        <f>IFERROR(IF(SUMIFS(tblDaily[Admissions],tblDaily[EntryDate],DATE(2026,12,8),tblDaily[WardCode],"FW")=0,"",SUMIFS(tblDaily[Admissions],tblDaily[EntryDate],DATE(2026,12,8),tblDaily[WardCode],"FW")),"")</f>
        <v/>
      </c>
      <c r="C443" s="12">
        <f>IFERROR(IF(SUMIFS(tblDaily[Discharges],tblDaily[EntryDate],DATE(2026,12,8),tblDaily[WardCode],"FW")=0,"",SUMIFS(tblDaily[Discharges],tblDaily[EntryDate],DATE(2026,12,8),tblDaily[WardCode],"FW")),"")</f>
        <v/>
      </c>
      <c r="D443" s="12">
        <f>IFERROR(IF(SUMIFS(tblDaily[Deaths],tblDaily[EntryDate],DATE(2026,12,8),tblDaily[WardCode],"FW")=0,"",SUMIFS(tblDaily[Deaths],tblDaily[EntryDate],DATE(2026,12,8),tblDaily[WardCode],"FW")),"")</f>
        <v/>
      </c>
      <c r="E443" s="12">
        <f>IFERROR(IF(SUMIFS(tblDaily[DeathsUnder24Hrs],tblDaily[EntryDate],DATE(2026,12,8),tblDaily[WardCode],"FW")=0,"",SUMIFS(tblDaily[DeathsUnder24Hrs],tblDaily[EntryDate],DATE(2026,12,8),tblDaily[WardCode],"FW")),"")</f>
        <v/>
      </c>
      <c r="F443" s="12">
        <f>IFERROR(IF(SUMIFS(tblDaily[TransfersIn],tblDaily[EntryDate],DATE(2026,12,8),tblDaily[WardCode],"FW")=0,"",SUMIFS(tblDaily[TransfersIn],tblDaily[EntryDate],DATE(2026,12,8),tblDaily[WardCode],"FW")),"")</f>
        <v/>
      </c>
      <c r="G443" s="12">
        <f>IFERROR(IF(SUMIFS(tblDaily[TransfersOut],tblDaily[EntryDate],DATE(2026,12,8),tblDaily[WardCode],"FW")=0,"",SUMIFS(tblDaily[TransfersOut],tblDaily[EntryDate],DATE(2026,12,8),tblDaily[WardCode],"FW")),"")</f>
        <v/>
      </c>
      <c r="H443" s="12">
        <f>IFERROR(IF(SUMIFS(tblDaily[Remaining],tblDaily[EntryDate],DATE(2026,12,8),tblDaily[WardCode],"FW")=0,"",SUMIFS(tblDaily[Remaining],tblDaily[EntryDate],DATE(2026,12,8),tblDaily[WardCode],"FW")),"")</f>
        <v/>
      </c>
    </row>
    <row r="444">
      <c r="A444" s="12" t="n">
        <v>9</v>
      </c>
      <c r="B444" s="12">
        <f>IFERROR(IF(SUMIFS(tblDaily[Admissions],tblDaily[EntryDate],DATE(2026,12,9),tblDaily[WardCode],"FW")=0,"",SUMIFS(tblDaily[Admissions],tblDaily[EntryDate],DATE(2026,12,9),tblDaily[WardCode],"FW")),"")</f>
        <v/>
      </c>
      <c r="C444" s="12">
        <f>IFERROR(IF(SUMIFS(tblDaily[Discharges],tblDaily[EntryDate],DATE(2026,12,9),tblDaily[WardCode],"FW")=0,"",SUMIFS(tblDaily[Discharges],tblDaily[EntryDate],DATE(2026,12,9),tblDaily[WardCode],"FW")),"")</f>
        <v/>
      </c>
      <c r="D444" s="12">
        <f>IFERROR(IF(SUMIFS(tblDaily[Deaths],tblDaily[EntryDate],DATE(2026,12,9),tblDaily[WardCode],"FW")=0,"",SUMIFS(tblDaily[Deaths],tblDaily[EntryDate],DATE(2026,12,9),tblDaily[WardCode],"FW")),"")</f>
        <v/>
      </c>
      <c r="E444" s="12">
        <f>IFERROR(IF(SUMIFS(tblDaily[DeathsUnder24Hrs],tblDaily[EntryDate],DATE(2026,12,9),tblDaily[WardCode],"FW")=0,"",SUMIFS(tblDaily[DeathsUnder24Hrs],tblDaily[EntryDate],DATE(2026,12,9),tblDaily[WardCode],"FW")),"")</f>
        <v/>
      </c>
      <c r="F444" s="12">
        <f>IFERROR(IF(SUMIFS(tblDaily[TransfersIn],tblDaily[EntryDate],DATE(2026,12,9),tblDaily[WardCode],"FW")=0,"",SUMIFS(tblDaily[TransfersIn],tblDaily[EntryDate],DATE(2026,12,9),tblDaily[WardCode],"FW")),"")</f>
        <v/>
      </c>
      <c r="G444" s="12">
        <f>IFERROR(IF(SUMIFS(tblDaily[TransfersOut],tblDaily[EntryDate],DATE(2026,12,9),tblDaily[WardCode],"FW")=0,"",SUMIFS(tblDaily[TransfersOut],tblDaily[EntryDate],DATE(2026,12,9),tblDaily[WardCode],"FW")),"")</f>
        <v/>
      </c>
      <c r="H444" s="12">
        <f>IFERROR(IF(SUMIFS(tblDaily[Remaining],tblDaily[EntryDate],DATE(2026,12,9),tblDaily[WardCode],"FW")=0,"",SUMIFS(tblDaily[Remaining],tblDaily[EntryDate],DATE(2026,12,9),tblDaily[WardCode],"FW")),"")</f>
        <v/>
      </c>
    </row>
    <row r="445">
      <c r="A445" s="12" t="n">
        <v>10</v>
      </c>
      <c r="B445" s="12">
        <f>IFERROR(IF(SUMIFS(tblDaily[Admissions],tblDaily[EntryDate],DATE(2026,12,10),tblDaily[WardCode],"FW")=0,"",SUMIFS(tblDaily[Admissions],tblDaily[EntryDate],DATE(2026,12,10),tblDaily[WardCode],"FW")),"")</f>
        <v/>
      </c>
      <c r="C445" s="12">
        <f>IFERROR(IF(SUMIFS(tblDaily[Discharges],tblDaily[EntryDate],DATE(2026,12,10),tblDaily[WardCode],"FW")=0,"",SUMIFS(tblDaily[Discharges],tblDaily[EntryDate],DATE(2026,12,10),tblDaily[WardCode],"FW")),"")</f>
        <v/>
      </c>
      <c r="D445" s="12">
        <f>IFERROR(IF(SUMIFS(tblDaily[Deaths],tblDaily[EntryDate],DATE(2026,12,10),tblDaily[WardCode],"FW")=0,"",SUMIFS(tblDaily[Deaths],tblDaily[EntryDate],DATE(2026,12,10),tblDaily[WardCode],"FW")),"")</f>
        <v/>
      </c>
      <c r="E445" s="12">
        <f>IFERROR(IF(SUMIFS(tblDaily[DeathsUnder24Hrs],tblDaily[EntryDate],DATE(2026,12,10),tblDaily[WardCode],"FW")=0,"",SUMIFS(tblDaily[DeathsUnder24Hrs],tblDaily[EntryDate],DATE(2026,12,10),tblDaily[WardCode],"FW")),"")</f>
        <v/>
      </c>
      <c r="F445" s="12">
        <f>IFERROR(IF(SUMIFS(tblDaily[TransfersIn],tblDaily[EntryDate],DATE(2026,12,10),tblDaily[WardCode],"FW")=0,"",SUMIFS(tblDaily[TransfersIn],tblDaily[EntryDate],DATE(2026,12,10),tblDaily[WardCode],"FW")),"")</f>
        <v/>
      </c>
      <c r="G445" s="12">
        <f>IFERROR(IF(SUMIFS(tblDaily[TransfersOut],tblDaily[EntryDate],DATE(2026,12,10),tblDaily[WardCode],"FW")=0,"",SUMIFS(tblDaily[TransfersOut],tblDaily[EntryDate],DATE(2026,12,10),tblDaily[WardCode],"FW")),"")</f>
        <v/>
      </c>
      <c r="H445" s="12">
        <f>IFERROR(IF(SUMIFS(tblDaily[Remaining],tblDaily[EntryDate],DATE(2026,12,10),tblDaily[WardCode],"FW")=0,"",SUMIFS(tblDaily[Remaining],tblDaily[EntryDate],DATE(2026,12,10),tblDaily[WardCode],"FW")),"")</f>
        <v/>
      </c>
    </row>
    <row r="446">
      <c r="A446" s="12" t="n">
        <v>11</v>
      </c>
      <c r="B446" s="12">
        <f>IFERROR(IF(SUMIFS(tblDaily[Admissions],tblDaily[EntryDate],DATE(2026,12,11),tblDaily[WardCode],"FW")=0,"",SUMIFS(tblDaily[Admissions],tblDaily[EntryDate],DATE(2026,12,11),tblDaily[WardCode],"FW")),"")</f>
        <v/>
      </c>
      <c r="C446" s="12">
        <f>IFERROR(IF(SUMIFS(tblDaily[Discharges],tblDaily[EntryDate],DATE(2026,12,11),tblDaily[WardCode],"FW")=0,"",SUMIFS(tblDaily[Discharges],tblDaily[EntryDate],DATE(2026,12,11),tblDaily[WardCode],"FW")),"")</f>
        <v/>
      </c>
      <c r="D446" s="12">
        <f>IFERROR(IF(SUMIFS(tblDaily[Deaths],tblDaily[EntryDate],DATE(2026,12,11),tblDaily[WardCode],"FW")=0,"",SUMIFS(tblDaily[Deaths],tblDaily[EntryDate],DATE(2026,12,11),tblDaily[WardCode],"FW")),"")</f>
        <v/>
      </c>
      <c r="E446" s="12">
        <f>IFERROR(IF(SUMIFS(tblDaily[DeathsUnder24Hrs],tblDaily[EntryDate],DATE(2026,12,11),tblDaily[WardCode],"FW")=0,"",SUMIFS(tblDaily[DeathsUnder24Hrs],tblDaily[EntryDate],DATE(2026,12,11),tblDaily[WardCode],"FW")),"")</f>
        <v/>
      </c>
      <c r="F446" s="12">
        <f>IFERROR(IF(SUMIFS(tblDaily[TransfersIn],tblDaily[EntryDate],DATE(2026,12,11),tblDaily[WardCode],"FW")=0,"",SUMIFS(tblDaily[TransfersIn],tblDaily[EntryDate],DATE(2026,12,11),tblDaily[WardCode],"FW")),"")</f>
        <v/>
      </c>
      <c r="G446" s="12">
        <f>IFERROR(IF(SUMIFS(tblDaily[TransfersOut],tblDaily[EntryDate],DATE(2026,12,11),tblDaily[WardCode],"FW")=0,"",SUMIFS(tblDaily[TransfersOut],tblDaily[EntryDate],DATE(2026,12,11),tblDaily[WardCode],"FW")),"")</f>
        <v/>
      </c>
      <c r="H446" s="12">
        <f>IFERROR(IF(SUMIFS(tblDaily[Remaining],tblDaily[EntryDate],DATE(2026,12,11),tblDaily[WardCode],"FW")=0,"",SUMIFS(tblDaily[Remaining],tblDaily[EntryDate],DATE(2026,12,11),tblDaily[WardCode],"FW")),"")</f>
        <v/>
      </c>
    </row>
    <row r="447">
      <c r="A447" s="12" t="n">
        <v>12</v>
      </c>
      <c r="B447" s="12">
        <f>IFERROR(IF(SUMIFS(tblDaily[Admissions],tblDaily[EntryDate],DATE(2026,12,12),tblDaily[WardCode],"FW")=0,"",SUMIFS(tblDaily[Admissions],tblDaily[EntryDate],DATE(2026,12,12),tblDaily[WardCode],"FW")),"")</f>
        <v/>
      </c>
      <c r="C447" s="12">
        <f>IFERROR(IF(SUMIFS(tblDaily[Discharges],tblDaily[EntryDate],DATE(2026,12,12),tblDaily[WardCode],"FW")=0,"",SUMIFS(tblDaily[Discharges],tblDaily[EntryDate],DATE(2026,12,12),tblDaily[WardCode],"FW")),"")</f>
        <v/>
      </c>
      <c r="D447" s="12">
        <f>IFERROR(IF(SUMIFS(tblDaily[Deaths],tblDaily[EntryDate],DATE(2026,12,12),tblDaily[WardCode],"FW")=0,"",SUMIFS(tblDaily[Deaths],tblDaily[EntryDate],DATE(2026,12,12),tblDaily[WardCode],"FW")),"")</f>
        <v/>
      </c>
      <c r="E447" s="12">
        <f>IFERROR(IF(SUMIFS(tblDaily[DeathsUnder24Hrs],tblDaily[EntryDate],DATE(2026,12,12),tblDaily[WardCode],"FW")=0,"",SUMIFS(tblDaily[DeathsUnder24Hrs],tblDaily[EntryDate],DATE(2026,12,12),tblDaily[WardCode],"FW")),"")</f>
        <v/>
      </c>
      <c r="F447" s="12">
        <f>IFERROR(IF(SUMIFS(tblDaily[TransfersIn],tblDaily[EntryDate],DATE(2026,12,12),tblDaily[WardCode],"FW")=0,"",SUMIFS(tblDaily[TransfersIn],tblDaily[EntryDate],DATE(2026,12,12),tblDaily[WardCode],"FW")),"")</f>
        <v/>
      </c>
      <c r="G447" s="12">
        <f>IFERROR(IF(SUMIFS(tblDaily[TransfersOut],tblDaily[EntryDate],DATE(2026,12,12),tblDaily[WardCode],"FW")=0,"",SUMIFS(tblDaily[TransfersOut],tblDaily[EntryDate],DATE(2026,12,12),tblDaily[WardCode],"FW")),"")</f>
        <v/>
      </c>
      <c r="H447" s="12">
        <f>IFERROR(IF(SUMIFS(tblDaily[Remaining],tblDaily[EntryDate],DATE(2026,12,12),tblDaily[WardCode],"FW")=0,"",SUMIFS(tblDaily[Remaining],tblDaily[EntryDate],DATE(2026,12,12),tblDaily[WardCode],"FW")),"")</f>
        <v/>
      </c>
    </row>
    <row r="448">
      <c r="A448" s="12" t="n">
        <v>13</v>
      </c>
      <c r="B448" s="12">
        <f>IFERROR(IF(SUMIFS(tblDaily[Admissions],tblDaily[EntryDate],DATE(2026,12,13),tblDaily[WardCode],"FW")=0,"",SUMIFS(tblDaily[Admissions],tblDaily[EntryDate],DATE(2026,12,13),tblDaily[WardCode],"FW")),"")</f>
        <v/>
      </c>
      <c r="C448" s="12">
        <f>IFERROR(IF(SUMIFS(tblDaily[Discharges],tblDaily[EntryDate],DATE(2026,12,13),tblDaily[WardCode],"FW")=0,"",SUMIFS(tblDaily[Discharges],tblDaily[EntryDate],DATE(2026,12,13),tblDaily[WardCode],"FW")),"")</f>
        <v/>
      </c>
      <c r="D448" s="12">
        <f>IFERROR(IF(SUMIFS(tblDaily[Deaths],tblDaily[EntryDate],DATE(2026,12,13),tblDaily[WardCode],"FW")=0,"",SUMIFS(tblDaily[Deaths],tblDaily[EntryDate],DATE(2026,12,13),tblDaily[WardCode],"FW")),"")</f>
        <v/>
      </c>
      <c r="E448" s="12">
        <f>IFERROR(IF(SUMIFS(tblDaily[DeathsUnder24Hrs],tblDaily[EntryDate],DATE(2026,12,13),tblDaily[WardCode],"FW")=0,"",SUMIFS(tblDaily[DeathsUnder24Hrs],tblDaily[EntryDate],DATE(2026,12,13),tblDaily[WardCode],"FW")),"")</f>
        <v/>
      </c>
      <c r="F448" s="12">
        <f>IFERROR(IF(SUMIFS(tblDaily[TransfersIn],tblDaily[EntryDate],DATE(2026,12,13),tblDaily[WardCode],"FW")=0,"",SUMIFS(tblDaily[TransfersIn],tblDaily[EntryDate],DATE(2026,12,13),tblDaily[WardCode],"FW")),"")</f>
        <v/>
      </c>
      <c r="G448" s="12">
        <f>IFERROR(IF(SUMIFS(tblDaily[TransfersOut],tblDaily[EntryDate],DATE(2026,12,13),tblDaily[WardCode],"FW")=0,"",SUMIFS(tblDaily[TransfersOut],tblDaily[EntryDate],DATE(2026,12,13),tblDaily[WardCode],"FW")),"")</f>
        <v/>
      </c>
      <c r="H448" s="12">
        <f>IFERROR(IF(SUMIFS(tblDaily[Remaining],tblDaily[EntryDate],DATE(2026,12,13),tblDaily[WardCode],"FW")=0,"",SUMIFS(tblDaily[Remaining],tblDaily[EntryDate],DATE(2026,12,13),tblDaily[WardCode],"FW")),"")</f>
        <v/>
      </c>
    </row>
    <row r="449">
      <c r="A449" s="12" t="n">
        <v>14</v>
      </c>
      <c r="B449" s="12">
        <f>IFERROR(IF(SUMIFS(tblDaily[Admissions],tblDaily[EntryDate],DATE(2026,12,14),tblDaily[WardCode],"FW")=0,"",SUMIFS(tblDaily[Admissions],tblDaily[EntryDate],DATE(2026,12,14),tblDaily[WardCode],"FW")),"")</f>
        <v/>
      </c>
      <c r="C449" s="12">
        <f>IFERROR(IF(SUMIFS(tblDaily[Discharges],tblDaily[EntryDate],DATE(2026,12,14),tblDaily[WardCode],"FW")=0,"",SUMIFS(tblDaily[Discharges],tblDaily[EntryDate],DATE(2026,12,14),tblDaily[WardCode],"FW")),"")</f>
        <v/>
      </c>
      <c r="D449" s="12">
        <f>IFERROR(IF(SUMIFS(tblDaily[Deaths],tblDaily[EntryDate],DATE(2026,12,14),tblDaily[WardCode],"FW")=0,"",SUMIFS(tblDaily[Deaths],tblDaily[EntryDate],DATE(2026,12,14),tblDaily[WardCode],"FW")),"")</f>
        <v/>
      </c>
      <c r="E449" s="12">
        <f>IFERROR(IF(SUMIFS(tblDaily[DeathsUnder24Hrs],tblDaily[EntryDate],DATE(2026,12,14),tblDaily[WardCode],"FW")=0,"",SUMIFS(tblDaily[DeathsUnder24Hrs],tblDaily[EntryDate],DATE(2026,12,14),tblDaily[WardCode],"FW")),"")</f>
        <v/>
      </c>
      <c r="F449" s="12">
        <f>IFERROR(IF(SUMIFS(tblDaily[TransfersIn],tblDaily[EntryDate],DATE(2026,12,14),tblDaily[WardCode],"FW")=0,"",SUMIFS(tblDaily[TransfersIn],tblDaily[EntryDate],DATE(2026,12,14),tblDaily[WardCode],"FW")),"")</f>
        <v/>
      </c>
      <c r="G449" s="12">
        <f>IFERROR(IF(SUMIFS(tblDaily[TransfersOut],tblDaily[EntryDate],DATE(2026,12,14),tblDaily[WardCode],"FW")=0,"",SUMIFS(tblDaily[TransfersOut],tblDaily[EntryDate],DATE(2026,12,14),tblDaily[WardCode],"FW")),"")</f>
        <v/>
      </c>
      <c r="H449" s="12">
        <f>IFERROR(IF(SUMIFS(tblDaily[Remaining],tblDaily[EntryDate],DATE(2026,12,14),tblDaily[WardCode],"FW")=0,"",SUMIFS(tblDaily[Remaining],tblDaily[EntryDate],DATE(2026,12,14),tblDaily[WardCode],"FW")),"")</f>
        <v/>
      </c>
    </row>
    <row r="450">
      <c r="A450" s="12" t="n">
        <v>15</v>
      </c>
      <c r="B450" s="12">
        <f>IFERROR(IF(SUMIFS(tblDaily[Admissions],tblDaily[EntryDate],DATE(2026,12,15),tblDaily[WardCode],"FW")=0,"",SUMIFS(tblDaily[Admissions],tblDaily[EntryDate],DATE(2026,12,15),tblDaily[WardCode],"FW")),"")</f>
        <v/>
      </c>
      <c r="C450" s="12">
        <f>IFERROR(IF(SUMIFS(tblDaily[Discharges],tblDaily[EntryDate],DATE(2026,12,15),tblDaily[WardCode],"FW")=0,"",SUMIFS(tblDaily[Discharges],tblDaily[EntryDate],DATE(2026,12,15),tblDaily[WardCode],"FW")),"")</f>
        <v/>
      </c>
      <c r="D450" s="12">
        <f>IFERROR(IF(SUMIFS(tblDaily[Deaths],tblDaily[EntryDate],DATE(2026,12,15),tblDaily[WardCode],"FW")=0,"",SUMIFS(tblDaily[Deaths],tblDaily[EntryDate],DATE(2026,12,15),tblDaily[WardCode],"FW")),"")</f>
        <v/>
      </c>
      <c r="E450" s="12">
        <f>IFERROR(IF(SUMIFS(tblDaily[DeathsUnder24Hrs],tblDaily[EntryDate],DATE(2026,12,15),tblDaily[WardCode],"FW")=0,"",SUMIFS(tblDaily[DeathsUnder24Hrs],tblDaily[EntryDate],DATE(2026,12,15),tblDaily[WardCode],"FW")),"")</f>
        <v/>
      </c>
      <c r="F450" s="12">
        <f>IFERROR(IF(SUMIFS(tblDaily[TransfersIn],tblDaily[EntryDate],DATE(2026,12,15),tblDaily[WardCode],"FW")=0,"",SUMIFS(tblDaily[TransfersIn],tblDaily[EntryDate],DATE(2026,12,15),tblDaily[WardCode],"FW")),"")</f>
        <v/>
      </c>
      <c r="G450" s="12">
        <f>IFERROR(IF(SUMIFS(tblDaily[TransfersOut],tblDaily[EntryDate],DATE(2026,12,15),tblDaily[WardCode],"FW")=0,"",SUMIFS(tblDaily[TransfersOut],tblDaily[EntryDate],DATE(2026,12,15),tblDaily[WardCode],"FW")),"")</f>
        <v/>
      </c>
      <c r="H450" s="12">
        <f>IFERROR(IF(SUMIFS(tblDaily[Remaining],tblDaily[EntryDate],DATE(2026,12,15),tblDaily[WardCode],"FW")=0,"",SUMIFS(tblDaily[Remaining],tblDaily[EntryDate],DATE(2026,12,15),tblDaily[WardCode],"FW")),"")</f>
        <v/>
      </c>
    </row>
    <row r="451">
      <c r="A451" s="12" t="n">
        <v>16</v>
      </c>
      <c r="B451" s="12">
        <f>IFERROR(IF(SUMIFS(tblDaily[Admissions],tblDaily[EntryDate],DATE(2026,12,16),tblDaily[WardCode],"FW")=0,"",SUMIFS(tblDaily[Admissions],tblDaily[EntryDate],DATE(2026,12,16),tblDaily[WardCode],"FW")),"")</f>
        <v/>
      </c>
      <c r="C451" s="12">
        <f>IFERROR(IF(SUMIFS(tblDaily[Discharges],tblDaily[EntryDate],DATE(2026,12,16),tblDaily[WardCode],"FW")=0,"",SUMIFS(tblDaily[Discharges],tblDaily[EntryDate],DATE(2026,12,16),tblDaily[WardCode],"FW")),"")</f>
        <v/>
      </c>
      <c r="D451" s="12">
        <f>IFERROR(IF(SUMIFS(tblDaily[Deaths],tblDaily[EntryDate],DATE(2026,12,16),tblDaily[WardCode],"FW")=0,"",SUMIFS(tblDaily[Deaths],tblDaily[EntryDate],DATE(2026,12,16),tblDaily[WardCode],"FW")),"")</f>
        <v/>
      </c>
      <c r="E451" s="12">
        <f>IFERROR(IF(SUMIFS(tblDaily[DeathsUnder24Hrs],tblDaily[EntryDate],DATE(2026,12,16),tblDaily[WardCode],"FW")=0,"",SUMIFS(tblDaily[DeathsUnder24Hrs],tblDaily[EntryDate],DATE(2026,12,16),tblDaily[WardCode],"FW")),"")</f>
        <v/>
      </c>
      <c r="F451" s="12">
        <f>IFERROR(IF(SUMIFS(tblDaily[TransfersIn],tblDaily[EntryDate],DATE(2026,12,16),tblDaily[WardCode],"FW")=0,"",SUMIFS(tblDaily[TransfersIn],tblDaily[EntryDate],DATE(2026,12,16),tblDaily[WardCode],"FW")),"")</f>
        <v/>
      </c>
      <c r="G451" s="12">
        <f>IFERROR(IF(SUMIFS(tblDaily[TransfersOut],tblDaily[EntryDate],DATE(2026,12,16),tblDaily[WardCode],"FW")=0,"",SUMIFS(tblDaily[TransfersOut],tblDaily[EntryDate],DATE(2026,12,16),tblDaily[WardCode],"FW")),"")</f>
        <v/>
      </c>
      <c r="H451" s="12">
        <f>IFERROR(IF(SUMIFS(tblDaily[Remaining],tblDaily[EntryDate],DATE(2026,12,16),tblDaily[WardCode],"FW")=0,"",SUMIFS(tblDaily[Remaining],tblDaily[EntryDate],DATE(2026,12,16),tblDaily[WardCode],"FW")),"")</f>
        <v/>
      </c>
    </row>
    <row r="452">
      <c r="A452" s="12" t="n">
        <v>17</v>
      </c>
      <c r="B452" s="12">
        <f>IFERROR(IF(SUMIFS(tblDaily[Admissions],tblDaily[EntryDate],DATE(2026,12,17),tblDaily[WardCode],"FW")=0,"",SUMIFS(tblDaily[Admissions],tblDaily[EntryDate],DATE(2026,12,17),tblDaily[WardCode],"FW")),"")</f>
        <v/>
      </c>
      <c r="C452" s="12">
        <f>IFERROR(IF(SUMIFS(tblDaily[Discharges],tblDaily[EntryDate],DATE(2026,12,17),tblDaily[WardCode],"FW")=0,"",SUMIFS(tblDaily[Discharges],tblDaily[EntryDate],DATE(2026,12,17),tblDaily[WardCode],"FW")),"")</f>
        <v/>
      </c>
      <c r="D452" s="12">
        <f>IFERROR(IF(SUMIFS(tblDaily[Deaths],tblDaily[EntryDate],DATE(2026,12,17),tblDaily[WardCode],"FW")=0,"",SUMIFS(tblDaily[Deaths],tblDaily[EntryDate],DATE(2026,12,17),tblDaily[WardCode],"FW")),"")</f>
        <v/>
      </c>
      <c r="E452" s="12">
        <f>IFERROR(IF(SUMIFS(tblDaily[DeathsUnder24Hrs],tblDaily[EntryDate],DATE(2026,12,17),tblDaily[WardCode],"FW")=0,"",SUMIFS(tblDaily[DeathsUnder24Hrs],tblDaily[EntryDate],DATE(2026,12,17),tblDaily[WardCode],"FW")),"")</f>
        <v/>
      </c>
      <c r="F452" s="12">
        <f>IFERROR(IF(SUMIFS(tblDaily[TransfersIn],tblDaily[EntryDate],DATE(2026,12,17),tblDaily[WardCode],"FW")=0,"",SUMIFS(tblDaily[TransfersIn],tblDaily[EntryDate],DATE(2026,12,17),tblDaily[WardCode],"FW")),"")</f>
        <v/>
      </c>
      <c r="G452" s="12">
        <f>IFERROR(IF(SUMIFS(tblDaily[TransfersOut],tblDaily[EntryDate],DATE(2026,12,17),tblDaily[WardCode],"FW")=0,"",SUMIFS(tblDaily[TransfersOut],tblDaily[EntryDate],DATE(2026,12,17),tblDaily[WardCode],"FW")),"")</f>
        <v/>
      </c>
      <c r="H452" s="12">
        <f>IFERROR(IF(SUMIFS(tblDaily[Remaining],tblDaily[EntryDate],DATE(2026,12,17),tblDaily[WardCode],"FW")=0,"",SUMIFS(tblDaily[Remaining],tblDaily[EntryDate],DATE(2026,12,17),tblDaily[WardCode],"FW")),"")</f>
        <v/>
      </c>
    </row>
    <row r="453">
      <c r="A453" s="12" t="n">
        <v>18</v>
      </c>
      <c r="B453" s="12">
        <f>IFERROR(IF(SUMIFS(tblDaily[Admissions],tblDaily[EntryDate],DATE(2026,12,18),tblDaily[WardCode],"FW")=0,"",SUMIFS(tblDaily[Admissions],tblDaily[EntryDate],DATE(2026,12,18),tblDaily[WardCode],"FW")),"")</f>
        <v/>
      </c>
      <c r="C453" s="12">
        <f>IFERROR(IF(SUMIFS(tblDaily[Discharges],tblDaily[EntryDate],DATE(2026,12,18),tblDaily[WardCode],"FW")=0,"",SUMIFS(tblDaily[Discharges],tblDaily[EntryDate],DATE(2026,12,18),tblDaily[WardCode],"FW")),"")</f>
        <v/>
      </c>
      <c r="D453" s="12">
        <f>IFERROR(IF(SUMIFS(tblDaily[Deaths],tblDaily[EntryDate],DATE(2026,12,18),tblDaily[WardCode],"FW")=0,"",SUMIFS(tblDaily[Deaths],tblDaily[EntryDate],DATE(2026,12,18),tblDaily[WardCode],"FW")),"")</f>
        <v/>
      </c>
      <c r="E453" s="12">
        <f>IFERROR(IF(SUMIFS(tblDaily[DeathsUnder24Hrs],tblDaily[EntryDate],DATE(2026,12,18),tblDaily[WardCode],"FW")=0,"",SUMIFS(tblDaily[DeathsUnder24Hrs],tblDaily[EntryDate],DATE(2026,12,18),tblDaily[WardCode],"FW")),"")</f>
        <v/>
      </c>
      <c r="F453" s="12">
        <f>IFERROR(IF(SUMIFS(tblDaily[TransfersIn],tblDaily[EntryDate],DATE(2026,12,18),tblDaily[WardCode],"FW")=0,"",SUMIFS(tblDaily[TransfersIn],tblDaily[EntryDate],DATE(2026,12,18),tblDaily[WardCode],"FW")),"")</f>
        <v/>
      </c>
      <c r="G453" s="12">
        <f>IFERROR(IF(SUMIFS(tblDaily[TransfersOut],tblDaily[EntryDate],DATE(2026,12,18),tblDaily[WardCode],"FW")=0,"",SUMIFS(tblDaily[TransfersOut],tblDaily[EntryDate],DATE(2026,12,18),tblDaily[WardCode],"FW")),"")</f>
        <v/>
      </c>
      <c r="H453" s="12">
        <f>IFERROR(IF(SUMIFS(tblDaily[Remaining],tblDaily[EntryDate],DATE(2026,12,18),tblDaily[WardCode],"FW")=0,"",SUMIFS(tblDaily[Remaining],tblDaily[EntryDate],DATE(2026,12,18),tblDaily[WardCode],"FW")),"")</f>
        <v/>
      </c>
    </row>
    <row r="454">
      <c r="A454" s="12" t="n">
        <v>19</v>
      </c>
      <c r="B454" s="12">
        <f>IFERROR(IF(SUMIFS(tblDaily[Admissions],tblDaily[EntryDate],DATE(2026,12,19),tblDaily[WardCode],"FW")=0,"",SUMIFS(tblDaily[Admissions],tblDaily[EntryDate],DATE(2026,12,19),tblDaily[WardCode],"FW")),"")</f>
        <v/>
      </c>
      <c r="C454" s="12">
        <f>IFERROR(IF(SUMIFS(tblDaily[Discharges],tblDaily[EntryDate],DATE(2026,12,19),tblDaily[WardCode],"FW")=0,"",SUMIFS(tblDaily[Discharges],tblDaily[EntryDate],DATE(2026,12,19),tblDaily[WardCode],"FW")),"")</f>
        <v/>
      </c>
      <c r="D454" s="12">
        <f>IFERROR(IF(SUMIFS(tblDaily[Deaths],tblDaily[EntryDate],DATE(2026,12,19),tblDaily[WardCode],"FW")=0,"",SUMIFS(tblDaily[Deaths],tblDaily[EntryDate],DATE(2026,12,19),tblDaily[WardCode],"FW")),"")</f>
        <v/>
      </c>
      <c r="E454" s="12">
        <f>IFERROR(IF(SUMIFS(tblDaily[DeathsUnder24Hrs],tblDaily[EntryDate],DATE(2026,12,19),tblDaily[WardCode],"FW")=0,"",SUMIFS(tblDaily[DeathsUnder24Hrs],tblDaily[EntryDate],DATE(2026,12,19),tblDaily[WardCode],"FW")),"")</f>
        <v/>
      </c>
      <c r="F454" s="12">
        <f>IFERROR(IF(SUMIFS(tblDaily[TransfersIn],tblDaily[EntryDate],DATE(2026,12,19),tblDaily[WardCode],"FW")=0,"",SUMIFS(tblDaily[TransfersIn],tblDaily[EntryDate],DATE(2026,12,19),tblDaily[WardCode],"FW")),"")</f>
        <v/>
      </c>
      <c r="G454" s="12">
        <f>IFERROR(IF(SUMIFS(tblDaily[TransfersOut],tblDaily[EntryDate],DATE(2026,12,19),tblDaily[WardCode],"FW")=0,"",SUMIFS(tblDaily[TransfersOut],tblDaily[EntryDate],DATE(2026,12,19),tblDaily[WardCode],"FW")),"")</f>
        <v/>
      </c>
      <c r="H454" s="12">
        <f>IFERROR(IF(SUMIFS(tblDaily[Remaining],tblDaily[EntryDate],DATE(2026,12,19),tblDaily[WardCode],"FW")=0,"",SUMIFS(tblDaily[Remaining],tblDaily[EntryDate],DATE(2026,12,19),tblDaily[WardCode],"FW")),"")</f>
        <v/>
      </c>
    </row>
    <row r="455">
      <c r="A455" s="12" t="n">
        <v>20</v>
      </c>
      <c r="B455" s="12">
        <f>IFERROR(IF(SUMIFS(tblDaily[Admissions],tblDaily[EntryDate],DATE(2026,12,20),tblDaily[WardCode],"FW")=0,"",SUMIFS(tblDaily[Admissions],tblDaily[EntryDate],DATE(2026,12,20),tblDaily[WardCode],"FW")),"")</f>
        <v/>
      </c>
      <c r="C455" s="12">
        <f>IFERROR(IF(SUMIFS(tblDaily[Discharges],tblDaily[EntryDate],DATE(2026,12,20),tblDaily[WardCode],"FW")=0,"",SUMIFS(tblDaily[Discharges],tblDaily[EntryDate],DATE(2026,12,20),tblDaily[WardCode],"FW")),"")</f>
        <v/>
      </c>
      <c r="D455" s="12">
        <f>IFERROR(IF(SUMIFS(tblDaily[Deaths],tblDaily[EntryDate],DATE(2026,12,20),tblDaily[WardCode],"FW")=0,"",SUMIFS(tblDaily[Deaths],tblDaily[EntryDate],DATE(2026,12,20),tblDaily[WardCode],"FW")),"")</f>
        <v/>
      </c>
      <c r="E455" s="12">
        <f>IFERROR(IF(SUMIFS(tblDaily[DeathsUnder24Hrs],tblDaily[EntryDate],DATE(2026,12,20),tblDaily[WardCode],"FW")=0,"",SUMIFS(tblDaily[DeathsUnder24Hrs],tblDaily[EntryDate],DATE(2026,12,20),tblDaily[WardCode],"FW")),"")</f>
        <v/>
      </c>
      <c r="F455" s="12">
        <f>IFERROR(IF(SUMIFS(tblDaily[TransfersIn],tblDaily[EntryDate],DATE(2026,12,20),tblDaily[WardCode],"FW")=0,"",SUMIFS(tblDaily[TransfersIn],tblDaily[EntryDate],DATE(2026,12,20),tblDaily[WardCode],"FW")),"")</f>
        <v/>
      </c>
      <c r="G455" s="12">
        <f>IFERROR(IF(SUMIFS(tblDaily[TransfersOut],tblDaily[EntryDate],DATE(2026,12,20),tblDaily[WardCode],"FW")=0,"",SUMIFS(tblDaily[TransfersOut],tblDaily[EntryDate],DATE(2026,12,20),tblDaily[WardCode],"FW")),"")</f>
        <v/>
      </c>
      <c r="H455" s="12">
        <f>IFERROR(IF(SUMIFS(tblDaily[Remaining],tblDaily[EntryDate],DATE(2026,12,20),tblDaily[WardCode],"FW")=0,"",SUMIFS(tblDaily[Remaining],tblDaily[EntryDate],DATE(2026,12,20),tblDaily[WardCode],"FW")),"")</f>
        <v/>
      </c>
    </row>
    <row r="456">
      <c r="A456" s="12" t="n">
        <v>21</v>
      </c>
      <c r="B456" s="12">
        <f>IFERROR(IF(SUMIFS(tblDaily[Admissions],tblDaily[EntryDate],DATE(2026,12,21),tblDaily[WardCode],"FW")=0,"",SUMIFS(tblDaily[Admissions],tblDaily[EntryDate],DATE(2026,12,21),tblDaily[WardCode],"FW")),"")</f>
        <v/>
      </c>
      <c r="C456" s="12">
        <f>IFERROR(IF(SUMIFS(tblDaily[Discharges],tblDaily[EntryDate],DATE(2026,12,21),tblDaily[WardCode],"FW")=0,"",SUMIFS(tblDaily[Discharges],tblDaily[EntryDate],DATE(2026,12,21),tblDaily[WardCode],"FW")),"")</f>
        <v/>
      </c>
      <c r="D456" s="12">
        <f>IFERROR(IF(SUMIFS(tblDaily[Deaths],tblDaily[EntryDate],DATE(2026,12,21),tblDaily[WardCode],"FW")=0,"",SUMIFS(tblDaily[Deaths],tblDaily[EntryDate],DATE(2026,12,21),tblDaily[WardCode],"FW")),"")</f>
        <v/>
      </c>
      <c r="E456" s="12">
        <f>IFERROR(IF(SUMIFS(tblDaily[DeathsUnder24Hrs],tblDaily[EntryDate],DATE(2026,12,21),tblDaily[WardCode],"FW")=0,"",SUMIFS(tblDaily[DeathsUnder24Hrs],tblDaily[EntryDate],DATE(2026,12,21),tblDaily[WardCode],"FW")),"")</f>
        <v/>
      </c>
      <c r="F456" s="12">
        <f>IFERROR(IF(SUMIFS(tblDaily[TransfersIn],tblDaily[EntryDate],DATE(2026,12,21),tblDaily[WardCode],"FW")=0,"",SUMIFS(tblDaily[TransfersIn],tblDaily[EntryDate],DATE(2026,12,21),tblDaily[WardCode],"FW")),"")</f>
        <v/>
      </c>
      <c r="G456" s="12">
        <f>IFERROR(IF(SUMIFS(tblDaily[TransfersOut],tblDaily[EntryDate],DATE(2026,12,21),tblDaily[WardCode],"FW")=0,"",SUMIFS(tblDaily[TransfersOut],tblDaily[EntryDate],DATE(2026,12,21),tblDaily[WardCode],"FW")),"")</f>
        <v/>
      </c>
      <c r="H456" s="12">
        <f>IFERROR(IF(SUMIFS(tblDaily[Remaining],tblDaily[EntryDate],DATE(2026,12,21),tblDaily[WardCode],"FW")=0,"",SUMIFS(tblDaily[Remaining],tblDaily[EntryDate],DATE(2026,12,21),tblDaily[WardCode],"FW")),"")</f>
        <v/>
      </c>
    </row>
    <row r="457">
      <c r="A457" s="12" t="n">
        <v>22</v>
      </c>
      <c r="B457" s="12">
        <f>IFERROR(IF(SUMIFS(tblDaily[Admissions],tblDaily[EntryDate],DATE(2026,12,22),tblDaily[WardCode],"FW")=0,"",SUMIFS(tblDaily[Admissions],tblDaily[EntryDate],DATE(2026,12,22),tblDaily[WardCode],"FW")),"")</f>
        <v/>
      </c>
      <c r="C457" s="12">
        <f>IFERROR(IF(SUMIFS(tblDaily[Discharges],tblDaily[EntryDate],DATE(2026,12,22),tblDaily[WardCode],"FW")=0,"",SUMIFS(tblDaily[Discharges],tblDaily[EntryDate],DATE(2026,12,22),tblDaily[WardCode],"FW")),"")</f>
        <v/>
      </c>
      <c r="D457" s="12">
        <f>IFERROR(IF(SUMIFS(tblDaily[Deaths],tblDaily[EntryDate],DATE(2026,12,22),tblDaily[WardCode],"FW")=0,"",SUMIFS(tblDaily[Deaths],tblDaily[EntryDate],DATE(2026,12,22),tblDaily[WardCode],"FW")),"")</f>
        <v/>
      </c>
      <c r="E457" s="12">
        <f>IFERROR(IF(SUMIFS(tblDaily[DeathsUnder24Hrs],tblDaily[EntryDate],DATE(2026,12,22),tblDaily[WardCode],"FW")=0,"",SUMIFS(tblDaily[DeathsUnder24Hrs],tblDaily[EntryDate],DATE(2026,12,22),tblDaily[WardCode],"FW")),"")</f>
        <v/>
      </c>
      <c r="F457" s="12">
        <f>IFERROR(IF(SUMIFS(tblDaily[TransfersIn],tblDaily[EntryDate],DATE(2026,12,22),tblDaily[WardCode],"FW")=0,"",SUMIFS(tblDaily[TransfersIn],tblDaily[EntryDate],DATE(2026,12,22),tblDaily[WardCode],"FW")),"")</f>
        <v/>
      </c>
      <c r="G457" s="12">
        <f>IFERROR(IF(SUMIFS(tblDaily[TransfersOut],tblDaily[EntryDate],DATE(2026,12,22),tblDaily[WardCode],"FW")=0,"",SUMIFS(tblDaily[TransfersOut],tblDaily[EntryDate],DATE(2026,12,22),tblDaily[WardCode],"FW")),"")</f>
        <v/>
      </c>
      <c r="H457" s="12">
        <f>IFERROR(IF(SUMIFS(tblDaily[Remaining],tblDaily[EntryDate],DATE(2026,12,22),tblDaily[WardCode],"FW")=0,"",SUMIFS(tblDaily[Remaining],tblDaily[EntryDate],DATE(2026,12,22),tblDaily[WardCode],"FW")),"")</f>
        <v/>
      </c>
    </row>
    <row r="458">
      <c r="A458" s="12" t="n">
        <v>23</v>
      </c>
      <c r="B458" s="12">
        <f>IFERROR(IF(SUMIFS(tblDaily[Admissions],tblDaily[EntryDate],DATE(2026,12,23),tblDaily[WardCode],"FW")=0,"",SUMIFS(tblDaily[Admissions],tblDaily[EntryDate],DATE(2026,12,23),tblDaily[WardCode],"FW")),"")</f>
        <v/>
      </c>
      <c r="C458" s="12">
        <f>IFERROR(IF(SUMIFS(tblDaily[Discharges],tblDaily[EntryDate],DATE(2026,12,23),tblDaily[WardCode],"FW")=0,"",SUMIFS(tblDaily[Discharges],tblDaily[EntryDate],DATE(2026,12,23),tblDaily[WardCode],"FW")),"")</f>
        <v/>
      </c>
      <c r="D458" s="12">
        <f>IFERROR(IF(SUMIFS(tblDaily[Deaths],tblDaily[EntryDate],DATE(2026,12,23),tblDaily[WardCode],"FW")=0,"",SUMIFS(tblDaily[Deaths],tblDaily[EntryDate],DATE(2026,12,23),tblDaily[WardCode],"FW")),"")</f>
        <v/>
      </c>
      <c r="E458" s="12">
        <f>IFERROR(IF(SUMIFS(tblDaily[DeathsUnder24Hrs],tblDaily[EntryDate],DATE(2026,12,23),tblDaily[WardCode],"FW")=0,"",SUMIFS(tblDaily[DeathsUnder24Hrs],tblDaily[EntryDate],DATE(2026,12,23),tblDaily[WardCode],"FW")),"")</f>
        <v/>
      </c>
      <c r="F458" s="12">
        <f>IFERROR(IF(SUMIFS(tblDaily[TransfersIn],tblDaily[EntryDate],DATE(2026,12,23),tblDaily[WardCode],"FW")=0,"",SUMIFS(tblDaily[TransfersIn],tblDaily[EntryDate],DATE(2026,12,23),tblDaily[WardCode],"FW")),"")</f>
        <v/>
      </c>
      <c r="G458" s="12">
        <f>IFERROR(IF(SUMIFS(tblDaily[TransfersOut],tblDaily[EntryDate],DATE(2026,12,23),tblDaily[WardCode],"FW")=0,"",SUMIFS(tblDaily[TransfersOut],tblDaily[EntryDate],DATE(2026,12,23),tblDaily[WardCode],"FW")),"")</f>
        <v/>
      </c>
      <c r="H458" s="12">
        <f>IFERROR(IF(SUMIFS(tblDaily[Remaining],tblDaily[EntryDate],DATE(2026,12,23),tblDaily[WardCode],"FW")=0,"",SUMIFS(tblDaily[Remaining],tblDaily[EntryDate],DATE(2026,12,23),tblDaily[WardCode],"FW")),"")</f>
        <v/>
      </c>
    </row>
    <row r="459">
      <c r="A459" s="12" t="n">
        <v>24</v>
      </c>
      <c r="B459" s="12">
        <f>IFERROR(IF(SUMIFS(tblDaily[Admissions],tblDaily[EntryDate],DATE(2026,12,24),tblDaily[WardCode],"FW")=0,"",SUMIFS(tblDaily[Admissions],tblDaily[EntryDate],DATE(2026,12,24),tblDaily[WardCode],"FW")),"")</f>
        <v/>
      </c>
      <c r="C459" s="12">
        <f>IFERROR(IF(SUMIFS(tblDaily[Discharges],tblDaily[EntryDate],DATE(2026,12,24),tblDaily[WardCode],"FW")=0,"",SUMIFS(tblDaily[Discharges],tblDaily[EntryDate],DATE(2026,12,24),tblDaily[WardCode],"FW")),"")</f>
        <v/>
      </c>
      <c r="D459" s="12">
        <f>IFERROR(IF(SUMIFS(tblDaily[Deaths],tblDaily[EntryDate],DATE(2026,12,24),tblDaily[WardCode],"FW")=0,"",SUMIFS(tblDaily[Deaths],tblDaily[EntryDate],DATE(2026,12,24),tblDaily[WardCode],"FW")),"")</f>
        <v/>
      </c>
      <c r="E459" s="12">
        <f>IFERROR(IF(SUMIFS(tblDaily[DeathsUnder24Hrs],tblDaily[EntryDate],DATE(2026,12,24),tblDaily[WardCode],"FW")=0,"",SUMIFS(tblDaily[DeathsUnder24Hrs],tblDaily[EntryDate],DATE(2026,12,24),tblDaily[WardCode],"FW")),"")</f>
        <v/>
      </c>
      <c r="F459" s="12">
        <f>IFERROR(IF(SUMIFS(tblDaily[TransfersIn],tblDaily[EntryDate],DATE(2026,12,24),tblDaily[WardCode],"FW")=0,"",SUMIFS(tblDaily[TransfersIn],tblDaily[EntryDate],DATE(2026,12,24),tblDaily[WardCode],"FW")),"")</f>
        <v/>
      </c>
      <c r="G459" s="12">
        <f>IFERROR(IF(SUMIFS(tblDaily[TransfersOut],tblDaily[EntryDate],DATE(2026,12,24),tblDaily[WardCode],"FW")=0,"",SUMIFS(tblDaily[TransfersOut],tblDaily[EntryDate],DATE(2026,12,24),tblDaily[WardCode],"FW")),"")</f>
        <v/>
      </c>
      <c r="H459" s="12">
        <f>IFERROR(IF(SUMIFS(tblDaily[Remaining],tblDaily[EntryDate],DATE(2026,12,24),tblDaily[WardCode],"FW")=0,"",SUMIFS(tblDaily[Remaining],tblDaily[EntryDate],DATE(2026,12,24),tblDaily[WardCode],"FW")),"")</f>
        <v/>
      </c>
    </row>
    <row r="460">
      <c r="A460" s="12" t="n">
        <v>25</v>
      </c>
      <c r="B460" s="12">
        <f>IFERROR(IF(SUMIFS(tblDaily[Admissions],tblDaily[EntryDate],DATE(2026,12,25),tblDaily[WardCode],"FW")=0,"",SUMIFS(tblDaily[Admissions],tblDaily[EntryDate],DATE(2026,12,25),tblDaily[WardCode],"FW")),"")</f>
        <v/>
      </c>
      <c r="C460" s="12">
        <f>IFERROR(IF(SUMIFS(tblDaily[Discharges],tblDaily[EntryDate],DATE(2026,12,25),tblDaily[WardCode],"FW")=0,"",SUMIFS(tblDaily[Discharges],tblDaily[EntryDate],DATE(2026,12,25),tblDaily[WardCode],"FW")),"")</f>
        <v/>
      </c>
      <c r="D460" s="12">
        <f>IFERROR(IF(SUMIFS(tblDaily[Deaths],tblDaily[EntryDate],DATE(2026,12,25),tblDaily[WardCode],"FW")=0,"",SUMIFS(tblDaily[Deaths],tblDaily[EntryDate],DATE(2026,12,25),tblDaily[WardCode],"FW")),"")</f>
        <v/>
      </c>
      <c r="E460" s="12">
        <f>IFERROR(IF(SUMIFS(tblDaily[DeathsUnder24Hrs],tblDaily[EntryDate],DATE(2026,12,25),tblDaily[WardCode],"FW")=0,"",SUMIFS(tblDaily[DeathsUnder24Hrs],tblDaily[EntryDate],DATE(2026,12,25),tblDaily[WardCode],"FW")),"")</f>
        <v/>
      </c>
      <c r="F460" s="12">
        <f>IFERROR(IF(SUMIFS(tblDaily[TransfersIn],tblDaily[EntryDate],DATE(2026,12,25),tblDaily[WardCode],"FW")=0,"",SUMIFS(tblDaily[TransfersIn],tblDaily[EntryDate],DATE(2026,12,25),tblDaily[WardCode],"FW")),"")</f>
        <v/>
      </c>
      <c r="G460" s="12">
        <f>IFERROR(IF(SUMIFS(tblDaily[TransfersOut],tblDaily[EntryDate],DATE(2026,12,25),tblDaily[WardCode],"FW")=0,"",SUMIFS(tblDaily[TransfersOut],tblDaily[EntryDate],DATE(2026,12,25),tblDaily[WardCode],"FW")),"")</f>
        <v/>
      </c>
      <c r="H460" s="12">
        <f>IFERROR(IF(SUMIFS(tblDaily[Remaining],tblDaily[EntryDate],DATE(2026,12,25),tblDaily[WardCode],"FW")=0,"",SUMIFS(tblDaily[Remaining],tblDaily[EntryDate],DATE(2026,12,25),tblDaily[WardCode],"FW")),"")</f>
        <v/>
      </c>
    </row>
    <row r="461">
      <c r="A461" s="12" t="n">
        <v>26</v>
      </c>
      <c r="B461" s="12">
        <f>IFERROR(IF(SUMIFS(tblDaily[Admissions],tblDaily[EntryDate],DATE(2026,12,26),tblDaily[WardCode],"FW")=0,"",SUMIFS(tblDaily[Admissions],tblDaily[EntryDate],DATE(2026,12,26),tblDaily[WardCode],"FW")),"")</f>
        <v/>
      </c>
      <c r="C461" s="12">
        <f>IFERROR(IF(SUMIFS(tblDaily[Discharges],tblDaily[EntryDate],DATE(2026,12,26),tblDaily[WardCode],"FW")=0,"",SUMIFS(tblDaily[Discharges],tblDaily[EntryDate],DATE(2026,12,26),tblDaily[WardCode],"FW")),"")</f>
        <v/>
      </c>
      <c r="D461" s="12">
        <f>IFERROR(IF(SUMIFS(tblDaily[Deaths],tblDaily[EntryDate],DATE(2026,12,26),tblDaily[WardCode],"FW")=0,"",SUMIFS(tblDaily[Deaths],tblDaily[EntryDate],DATE(2026,12,26),tblDaily[WardCode],"FW")),"")</f>
        <v/>
      </c>
      <c r="E461" s="12">
        <f>IFERROR(IF(SUMIFS(tblDaily[DeathsUnder24Hrs],tblDaily[EntryDate],DATE(2026,12,26),tblDaily[WardCode],"FW")=0,"",SUMIFS(tblDaily[DeathsUnder24Hrs],tblDaily[EntryDate],DATE(2026,12,26),tblDaily[WardCode],"FW")),"")</f>
        <v/>
      </c>
      <c r="F461" s="12">
        <f>IFERROR(IF(SUMIFS(tblDaily[TransfersIn],tblDaily[EntryDate],DATE(2026,12,26),tblDaily[WardCode],"FW")=0,"",SUMIFS(tblDaily[TransfersIn],tblDaily[EntryDate],DATE(2026,12,26),tblDaily[WardCode],"FW")),"")</f>
        <v/>
      </c>
      <c r="G461" s="12">
        <f>IFERROR(IF(SUMIFS(tblDaily[TransfersOut],tblDaily[EntryDate],DATE(2026,12,26),tblDaily[WardCode],"FW")=0,"",SUMIFS(tblDaily[TransfersOut],tblDaily[EntryDate],DATE(2026,12,26),tblDaily[WardCode],"FW")),"")</f>
        <v/>
      </c>
      <c r="H461" s="12">
        <f>IFERROR(IF(SUMIFS(tblDaily[Remaining],tblDaily[EntryDate],DATE(2026,12,26),tblDaily[WardCode],"FW")=0,"",SUMIFS(tblDaily[Remaining],tblDaily[EntryDate],DATE(2026,12,26),tblDaily[WardCode],"FW")),"")</f>
        <v/>
      </c>
    </row>
    <row r="462">
      <c r="A462" s="12" t="n">
        <v>27</v>
      </c>
      <c r="B462" s="12">
        <f>IFERROR(IF(SUMIFS(tblDaily[Admissions],tblDaily[EntryDate],DATE(2026,12,27),tblDaily[WardCode],"FW")=0,"",SUMIFS(tblDaily[Admissions],tblDaily[EntryDate],DATE(2026,12,27),tblDaily[WardCode],"FW")),"")</f>
        <v/>
      </c>
      <c r="C462" s="12">
        <f>IFERROR(IF(SUMIFS(tblDaily[Discharges],tblDaily[EntryDate],DATE(2026,12,27),tblDaily[WardCode],"FW")=0,"",SUMIFS(tblDaily[Discharges],tblDaily[EntryDate],DATE(2026,12,27),tblDaily[WardCode],"FW")),"")</f>
        <v/>
      </c>
      <c r="D462" s="12">
        <f>IFERROR(IF(SUMIFS(tblDaily[Deaths],tblDaily[EntryDate],DATE(2026,12,27),tblDaily[WardCode],"FW")=0,"",SUMIFS(tblDaily[Deaths],tblDaily[EntryDate],DATE(2026,12,27),tblDaily[WardCode],"FW")),"")</f>
        <v/>
      </c>
      <c r="E462" s="12">
        <f>IFERROR(IF(SUMIFS(tblDaily[DeathsUnder24Hrs],tblDaily[EntryDate],DATE(2026,12,27),tblDaily[WardCode],"FW")=0,"",SUMIFS(tblDaily[DeathsUnder24Hrs],tblDaily[EntryDate],DATE(2026,12,27),tblDaily[WardCode],"FW")),"")</f>
        <v/>
      </c>
      <c r="F462" s="12">
        <f>IFERROR(IF(SUMIFS(tblDaily[TransfersIn],tblDaily[EntryDate],DATE(2026,12,27),tblDaily[WardCode],"FW")=0,"",SUMIFS(tblDaily[TransfersIn],tblDaily[EntryDate],DATE(2026,12,27),tblDaily[WardCode],"FW")),"")</f>
        <v/>
      </c>
      <c r="G462" s="12">
        <f>IFERROR(IF(SUMIFS(tblDaily[TransfersOut],tblDaily[EntryDate],DATE(2026,12,27),tblDaily[WardCode],"FW")=0,"",SUMIFS(tblDaily[TransfersOut],tblDaily[EntryDate],DATE(2026,12,27),tblDaily[WardCode],"FW")),"")</f>
        <v/>
      </c>
      <c r="H462" s="12">
        <f>IFERROR(IF(SUMIFS(tblDaily[Remaining],tblDaily[EntryDate],DATE(2026,12,27),tblDaily[WardCode],"FW")=0,"",SUMIFS(tblDaily[Remaining],tblDaily[EntryDate],DATE(2026,12,27),tblDaily[WardCode],"FW")),"")</f>
        <v/>
      </c>
    </row>
    <row r="463">
      <c r="A463" s="12" t="n">
        <v>28</v>
      </c>
      <c r="B463" s="12">
        <f>IFERROR(IF(SUMIFS(tblDaily[Admissions],tblDaily[EntryDate],DATE(2026,12,28),tblDaily[WardCode],"FW")=0,"",SUMIFS(tblDaily[Admissions],tblDaily[EntryDate],DATE(2026,12,28),tblDaily[WardCode],"FW")),"")</f>
        <v/>
      </c>
      <c r="C463" s="12">
        <f>IFERROR(IF(SUMIFS(tblDaily[Discharges],tblDaily[EntryDate],DATE(2026,12,28),tblDaily[WardCode],"FW")=0,"",SUMIFS(tblDaily[Discharges],tblDaily[EntryDate],DATE(2026,12,28),tblDaily[WardCode],"FW")),"")</f>
        <v/>
      </c>
      <c r="D463" s="12">
        <f>IFERROR(IF(SUMIFS(tblDaily[Deaths],tblDaily[EntryDate],DATE(2026,12,28),tblDaily[WardCode],"FW")=0,"",SUMIFS(tblDaily[Deaths],tblDaily[EntryDate],DATE(2026,12,28),tblDaily[WardCode],"FW")),"")</f>
        <v/>
      </c>
      <c r="E463" s="12">
        <f>IFERROR(IF(SUMIFS(tblDaily[DeathsUnder24Hrs],tblDaily[EntryDate],DATE(2026,12,28),tblDaily[WardCode],"FW")=0,"",SUMIFS(tblDaily[DeathsUnder24Hrs],tblDaily[EntryDate],DATE(2026,12,28),tblDaily[WardCode],"FW")),"")</f>
        <v/>
      </c>
      <c r="F463" s="12">
        <f>IFERROR(IF(SUMIFS(tblDaily[TransfersIn],tblDaily[EntryDate],DATE(2026,12,28),tblDaily[WardCode],"FW")=0,"",SUMIFS(tblDaily[TransfersIn],tblDaily[EntryDate],DATE(2026,12,28),tblDaily[WardCode],"FW")),"")</f>
        <v/>
      </c>
      <c r="G463" s="12">
        <f>IFERROR(IF(SUMIFS(tblDaily[TransfersOut],tblDaily[EntryDate],DATE(2026,12,28),tblDaily[WardCode],"FW")=0,"",SUMIFS(tblDaily[TransfersOut],tblDaily[EntryDate],DATE(2026,12,28),tblDaily[WardCode],"FW")),"")</f>
        <v/>
      </c>
      <c r="H463" s="12">
        <f>IFERROR(IF(SUMIFS(tblDaily[Remaining],tblDaily[EntryDate],DATE(2026,12,28),tblDaily[WardCode],"FW")=0,"",SUMIFS(tblDaily[Remaining],tblDaily[EntryDate],DATE(2026,12,28),tblDaily[WardCode],"FW")),"")</f>
        <v/>
      </c>
    </row>
    <row r="464">
      <c r="A464" s="12" t="n">
        <v>29</v>
      </c>
      <c r="B464" s="12">
        <f>IFERROR(IF(SUMIFS(tblDaily[Admissions],tblDaily[EntryDate],DATE(2026,12,29),tblDaily[WardCode],"FW")=0,"",SUMIFS(tblDaily[Admissions],tblDaily[EntryDate],DATE(2026,12,29),tblDaily[WardCode],"FW")),"")</f>
        <v/>
      </c>
      <c r="C464" s="12">
        <f>IFERROR(IF(SUMIFS(tblDaily[Discharges],tblDaily[EntryDate],DATE(2026,12,29),tblDaily[WardCode],"FW")=0,"",SUMIFS(tblDaily[Discharges],tblDaily[EntryDate],DATE(2026,12,29),tblDaily[WardCode],"FW")),"")</f>
        <v/>
      </c>
      <c r="D464" s="12">
        <f>IFERROR(IF(SUMIFS(tblDaily[Deaths],tblDaily[EntryDate],DATE(2026,12,29),tblDaily[WardCode],"FW")=0,"",SUMIFS(tblDaily[Deaths],tblDaily[EntryDate],DATE(2026,12,29),tblDaily[WardCode],"FW")),"")</f>
        <v/>
      </c>
      <c r="E464" s="12">
        <f>IFERROR(IF(SUMIFS(tblDaily[DeathsUnder24Hrs],tblDaily[EntryDate],DATE(2026,12,29),tblDaily[WardCode],"FW")=0,"",SUMIFS(tblDaily[DeathsUnder24Hrs],tblDaily[EntryDate],DATE(2026,12,29),tblDaily[WardCode],"FW")),"")</f>
        <v/>
      </c>
      <c r="F464" s="12">
        <f>IFERROR(IF(SUMIFS(tblDaily[TransfersIn],tblDaily[EntryDate],DATE(2026,12,29),tblDaily[WardCode],"FW")=0,"",SUMIFS(tblDaily[TransfersIn],tblDaily[EntryDate],DATE(2026,12,29),tblDaily[WardCode],"FW")),"")</f>
        <v/>
      </c>
      <c r="G464" s="12">
        <f>IFERROR(IF(SUMIFS(tblDaily[TransfersOut],tblDaily[EntryDate],DATE(2026,12,29),tblDaily[WardCode],"FW")=0,"",SUMIFS(tblDaily[TransfersOut],tblDaily[EntryDate],DATE(2026,12,29),tblDaily[WardCode],"FW")),"")</f>
        <v/>
      </c>
      <c r="H464" s="12">
        <f>IFERROR(IF(SUMIFS(tblDaily[Remaining],tblDaily[EntryDate],DATE(2026,12,29),tblDaily[WardCode],"FW")=0,"",SUMIFS(tblDaily[Remaining],tblDaily[EntryDate],DATE(2026,12,29),tblDaily[WardCode],"FW")),"")</f>
        <v/>
      </c>
    </row>
    <row r="465">
      <c r="A465" s="12" t="n">
        <v>30</v>
      </c>
      <c r="B465" s="12">
        <f>IFERROR(IF(SUMIFS(tblDaily[Admissions],tblDaily[EntryDate],DATE(2026,12,30),tblDaily[WardCode],"FW")=0,"",SUMIFS(tblDaily[Admissions],tblDaily[EntryDate],DATE(2026,12,30),tblDaily[WardCode],"FW")),"")</f>
        <v/>
      </c>
      <c r="C465" s="12">
        <f>IFERROR(IF(SUMIFS(tblDaily[Discharges],tblDaily[EntryDate],DATE(2026,12,30),tblDaily[WardCode],"FW")=0,"",SUMIFS(tblDaily[Discharges],tblDaily[EntryDate],DATE(2026,12,30),tblDaily[WardCode],"FW")),"")</f>
        <v/>
      </c>
      <c r="D465" s="12">
        <f>IFERROR(IF(SUMIFS(tblDaily[Deaths],tblDaily[EntryDate],DATE(2026,12,30),tblDaily[WardCode],"FW")=0,"",SUMIFS(tblDaily[Deaths],tblDaily[EntryDate],DATE(2026,12,30),tblDaily[WardCode],"FW")),"")</f>
        <v/>
      </c>
      <c r="E465" s="12">
        <f>IFERROR(IF(SUMIFS(tblDaily[DeathsUnder24Hrs],tblDaily[EntryDate],DATE(2026,12,30),tblDaily[WardCode],"FW")=0,"",SUMIFS(tblDaily[DeathsUnder24Hrs],tblDaily[EntryDate],DATE(2026,12,30),tblDaily[WardCode],"FW")),"")</f>
        <v/>
      </c>
      <c r="F465" s="12">
        <f>IFERROR(IF(SUMIFS(tblDaily[TransfersIn],tblDaily[EntryDate],DATE(2026,12,30),tblDaily[WardCode],"FW")=0,"",SUMIFS(tblDaily[TransfersIn],tblDaily[EntryDate],DATE(2026,12,30),tblDaily[WardCode],"FW")),"")</f>
        <v/>
      </c>
      <c r="G465" s="12">
        <f>IFERROR(IF(SUMIFS(tblDaily[TransfersOut],tblDaily[EntryDate],DATE(2026,12,30),tblDaily[WardCode],"FW")=0,"",SUMIFS(tblDaily[TransfersOut],tblDaily[EntryDate],DATE(2026,12,30),tblDaily[WardCode],"FW")),"")</f>
        <v/>
      </c>
      <c r="H465" s="12">
        <f>IFERROR(IF(SUMIFS(tblDaily[Remaining],tblDaily[EntryDate],DATE(2026,12,30),tblDaily[WardCode],"FW")=0,"",SUMIFS(tblDaily[Remaining],tblDaily[EntryDate],DATE(2026,12,30),tblDaily[WardCode],"FW")),"")</f>
        <v/>
      </c>
    </row>
    <row r="466">
      <c r="A466" s="12" t="n">
        <v>31</v>
      </c>
      <c r="B466" s="12">
        <f>IFERROR(IF(SUMIFS(tblDaily[Admissions],tblDaily[EntryDate],DATE(2026,12,31),tblDaily[WardCode],"FW")=0,"",SUMIFS(tblDaily[Admissions],tblDaily[EntryDate],DATE(2026,12,31),tblDaily[WardCode],"FW")),"")</f>
        <v/>
      </c>
      <c r="C466" s="12">
        <f>IFERROR(IF(SUMIFS(tblDaily[Discharges],tblDaily[EntryDate],DATE(2026,12,31),tblDaily[WardCode],"FW")=0,"",SUMIFS(tblDaily[Discharges],tblDaily[EntryDate],DATE(2026,12,31),tblDaily[WardCode],"FW")),"")</f>
        <v/>
      </c>
      <c r="D466" s="12">
        <f>IFERROR(IF(SUMIFS(tblDaily[Deaths],tblDaily[EntryDate],DATE(2026,12,31),tblDaily[WardCode],"FW")=0,"",SUMIFS(tblDaily[Deaths],tblDaily[EntryDate],DATE(2026,12,31),tblDaily[WardCode],"FW")),"")</f>
        <v/>
      </c>
      <c r="E466" s="12">
        <f>IFERROR(IF(SUMIFS(tblDaily[DeathsUnder24Hrs],tblDaily[EntryDate],DATE(2026,12,31),tblDaily[WardCode],"FW")=0,"",SUMIFS(tblDaily[DeathsUnder24Hrs],tblDaily[EntryDate],DATE(2026,12,31),tblDaily[WardCode],"FW")),"")</f>
        <v/>
      </c>
      <c r="F466" s="12">
        <f>IFERROR(IF(SUMIFS(tblDaily[TransfersIn],tblDaily[EntryDate],DATE(2026,12,31),tblDaily[WardCode],"FW")=0,"",SUMIFS(tblDaily[TransfersIn],tblDaily[EntryDate],DATE(2026,12,31),tblDaily[WardCode],"FW")),"")</f>
        <v/>
      </c>
      <c r="G466" s="12">
        <f>IFERROR(IF(SUMIFS(tblDaily[TransfersOut],tblDaily[EntryDate],DATE(2026,12,31),tblDaily[WardCode],"FW")=0,"",SUMIFS(tblDaily[TransfersOut],tblDaily[EntryDate],DATE(2026,12,31),tblDaily[WardCode],"FW")),"")</f>
        <v/>
      </c>
      <c r="H466" s="12">
        <f>IFERROR(IF(SUMIFS(tblDaily[Remaining],tblDaily[EntryDate],DATE(2026,12,31),tblDaily[WardCode],"FW")=0,"",SUMIFS(tblDaily[Remaining],tblDaily[EntryDate],DATE(2026,12,31),tblDaily[WardCode],"FW")),"")</f>
        <v/>
      </c>
    </row>
    <row r="467">
      <c r="A467" s="17" t="inlineStr">
        <is>
          <t>TOTAL</t>
        </is>
      </c>
      <c r="B467" s="17">
        <f>SUMIFS(tblDaily[Admissions],tblDaily[Month],12,tblDaily[WardCode],"FW") - SUMIFS(tblDaily[DeathsUnder24Hrs],tblDaily[Month],12,tblDaily[WardCode],"FW")</f>
        <v/>
      </c>
      <c r="C467" s="17">
        <f>SUMIFS(tblDaily[Discharges],tblDaily[Month],12,tblDaily[WardCode],"FW")</f>
        <v/>
      </c>
      <c r="D467" s="17">
        <f>SUMIFS(tblDaily[Deaths],tblDaily[Month],12,tblDaily[WardCode],"FW")</f>
        <v/>
      </c>
      <c r="E467" s="17">
        <f>SUMIFS(tblDaily[DeathsUnder24Hrs],tblDaily[Month],12,tblDaily[WardCode],"FW")</f>
        <v/>
      </c>
      <c r="F467" s="17">
        <f>SUMIFS(tblDaily[TransfersIn],tblDaily[Month],12,tblDaily[WardCode],"FW")</f>
        <v/>
      </c>
      <c r="G467" s="17">
        <f>SUMIFS(tblDaily[TransfersOut],tblDaily[Month],12,tblDaily[WardCode],"FW")</f>
        <v/>
      </c>
      <c r="H467" s="17">
        <f>SUMIFS(tblDaily[Remaining],tblDaily[Month],12,tblDaily[WardCode],"FW")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PAEDIATRIC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4">
        <f>IFERROR(INDEX(tblWardConfig[PrevYearRemaining],MATCH("CW",tblWardConfig[WardCode],0)),0)</f>
        <v/>
      </c>
    </row>
    <row r="5">
      <c r="A5" s="4" t="inlineStr">
        <is>
          <t>Bed complement</t>
        </is>
      </c>
      <c r="H5" s="15">
        <f>IFERROR(INDEX(tblWardConfig[BedComplement],MATCH("CW",tblWardConfig[WardCode],0)),0)</f>
        <v/>
      </c>
    </row>
    <row r="6">
      <c r="A6" s="16" t="inlineStr">
        <is>
          <t>Day of
the
Month</t>
        </is>
      </c>
      <c r="B6" s="16" t="inlineStr">
        <is>
          <t>Admissions</t>
        </is>
      </c>
      <c r="C6" s="16" t="inlineStr">
        <is>
          <t>Discharges</t>
        </is>
      </c>
      <c r="D6" s="16" t="inlineStr">
        <is>
          <t>Deaths</t>
        </is>
      </c>
      <c r="E6" s="16" t="inlineStr">
        <is>
          <t>Deaths
&lt;24Hrs</t>
        </is>
      </c>
      <c r="F6" s="16" t="inlineStr">
        <is>
          <t>Transfers-
In</t>
        </is>
      </c>
      <c r="G6" s="16" t="inlineStr">
        <is>
          <t>Transfers-
Out</t>
        </is>
      </c>
      <c r="H6" s="16" t="inlineStr">
        <is>
          <t>No. of Patients
Remaining In
Ward</t>
        </is>
      </c>
    </row>
    <row r="7">
      <c r="A7" s="12" t="n">
        <v>1</v>
      </c>
      <c r="B7" s="12">
        <f>IFERROR(IF(SUMIFS(tblDaily[Admissions],tblDaily[EntryDate],DATE(2026,1,1),tblDaily[WardCode],"CW")=0,"",SUMIFS(tblDaily[Admissions],tblDaily[EntryDate],DATE(2026,1,1),tblDaily[WardCode],"CW")),"")</f>
        <v/>
      </c>
      <c r="C7" s="12">
        <f>IFERROR(IF(SUMIFS(tblDaily[Discharges],tblDaily[EntryDate],DATE(2026,1,1),tblDaily[WardCode],"CW")=0,"",SUMIFS(tblDaily[Discharges],tblDaily[EntryDate],DATE(2026,1,1),tblDaily[WardCode],"CW")),"")</f>
        <v/>
      </c>
      <c r="D7" s="12">
        <f>IFERROR(IF(SUMIFS(tblDaily[Deaths],tblDaily[EntryDate],DATE(2026,1,1),tblDaily[WardCode],"CW")=0,"",SUMIFS(tblDaily[Deaths],tblDaily[EntryDate],DATE(2026,1,1),tblDaily[WardCode],"CW")),"")</f>
        <v/>
      </c>
      <c r="E7" s="12">
        <f>IFERROR(IF(SUMIFS(tblDaily[DeathsUnder24Hrs],tblDaily[EntryDate],DATE(2026,1,1),tblDaily[WardCode],"CW")=0,"",SUMIFS(tblDaily[DeathsUnder24Hrs],tblDaily[EntryDate],DATE(2026,1,1),tblDaily[WardCode],"CW")),"")</f>
        <v/>
      </c>
      <c r="F7" s="12">
        <f>IFERROR(IF(SUMIFS(tblDaily[TransfersIn],tblDaily[EntryDate],DATE(2026,1,1),tblDaily[WardCode],"CW")=0,"",SUMIFS(tblDaily[TransfersIn],tblDaily[EntryDate],DATE(2026,1,1),tblDaily[WardCode],"CW")),"")</f>
        <v/>
      </c>
      <c r="G7" s="12">
        <f>IFERROR(IF(SUMIFS(tblDaily[TransfersOut],tblDaily[EntryDate],DATE(2026,1,1),tblDaily[WardCode],"CW")=0,"",SUMIFS(tblDaily[TransfersOut],tblDaily[EntryDate],DATE(2026,1,1),tblDaily[WardCode],"CW")),"")</f>
        <v/>
      </c>
      <c r="H7" s="12">
        <f>IFERROR(IF(SUMIFS(tblDaily[Remaining],tblDaily[EntryDate],DATE(2026,1,1),tblDaily[WardCode],"CW")=0,"",SUMIFS(tblDaily[Remaining],tblDaily[EntryDate],DATE(2026,1,1),tblDaily[WardCode],"CW")),"")</f>
        <v/>
      </c>
    </row>
    <row r="8">
      <c r="A8" s="12" t="n">
        <v>2</v>
      </c>
      <c r="B8" s="12">
        <f>IFERROR(IF(SUMIFS(tblDaily[Admissions],tblDaily[EntryDate],DATE(2026,1,2),tblDaily[WardCode],"CW")=0,"",SUMIFS(tblDaily[Admissions],tblDaily[EntryDate],DATE(2026,1,2),tblDaily[WardCode],"CW")),"")</f>
        <v/>
      </c>
      <c r="C8" s="12">
        <f>IFERROR(IF(SUMIFS(tblDaily[Discharges],tblDaily[EntryDate],DATE(2026,1,2),tblDaily[WardCode],"CW")=0,"",SUMIFS(tblDaily[Discharges],tblDaily[EntryDate],DATE(2026,1,2),tblDaily[WardCode],"CW")),"")</f>
        <v/>
      </c>
      <c r="D8" s="12">
        <f>IFERROR(IF(SUMIFS(tblDaily[Deaths],tblDaily[EntryDate],DATE(2026,1,2),tblDaily[WardCode],"CW")=0,"",SUMIFS(tblDaily[Deaths],tblDaily[EntryDate],DATE(2026,1,2),tblDaily[WardCode],"CW")),"")</f>
        <v/>
      </c>
      <c r="E8" s="12">
        <f>IFERROR(IF(SUMIFS(tblDaily[DeathsUnder24Hrs],tblDaily[EntryDate],DATE(2026,1,2),tblDaily[WardCode],"CW")=0,"",SUMIFS(tblDaily[DeathsUnder24Hrs],tblDaily[EntryDate],DATE(2026,1,2),tblDaily[WardCode],"CW")),"")</f>
        <v/>
      </c>
      <c r="F8" s="12">
        <f>IFERROR(IF(SUMIFS(tblDaily[TransfersIn],tblDaily[EntryDate],DATE(2026,1,2),tblDaily[WardCode],"CW")=0,"",SUMIFS(tblDaily[TransfersIn],tblDaily[EntryDate],DATE(2026,1,2),tblDaily[WardCode],"CW")),"")</f>
        <v/>
      </c>
      <c r="G8" s="12">
        <f>IFERROR(IF(SUMIFS(tblDaily[TransfersOut],tblDaily[EntryDate],DATE(2026,1,2),tblDaily[WardCode],"CW")=0,"",SUMIFS(tblDaily[TransfersOut],tblDaily[EntryDate],DATE(2026,1,2),tblDaily[WardCode],"CW")),"")</f>
        <v/>
      </c>
      <c r="H8" s="12">
        <f>IFERROR(IF(SUMIFS(tblDaily[Remaining],tblDaily[EntryDate],DATE(2026,1,2),tblDaily[WardCode],"CW")=0,"",SUMIFS(tblDaily[Remaining],tblDaily[EntryDate],DATE(2026,1,2),tblDaily[WardCode],"CW")),"")</f>
        <v/>
      </c>
    </row>
    <row r="9">
      <c r="A9" s="12" t="n">
        <v>3</v>
      </c>
      <c r="B9" s="12">
        <f>IFERROR(IF(SUMIFS(tblDaily[Admissions],tblDaily[EntryDate],DATE(2026,1,3),tblDaily[WardCode],"CW")=0,"",SUMIFS(tblDaily[Admissions],tblDaily[EntryDate],DATE(2026,1,3),tblDaily[WardCode],"CW")),"")</f>
        <v/>
      </c>
      <c r="C9" s="12">
        <f>IFERROR(IF(SUMIFS(tblDaily[Discharges],tblDaily[EntryDate],DATE(2026,1,3),tblDaily[WardCode],"CW")=0,"",SUMIFS(tblDaily[Discharges],tblDaily[EntryDate],DATE(2026,1,3),tblDaily[WardCode],"CW")),"")</f>
        <v/>
      </c>
      <c r="D9" s="12">
        <f>IFERROR(IF(SUMIFS(tblDaily[Deaths],tblDaily[EntryDate],DATE(2026,1,3),tblDaily[WardCode],"CW")=0,"",SUMIFS(tblDaily[Deaths],tblDaily[EntryDate],DATE(2026,1,3),tblDaily[WardCode],"CW")),"")</f>
        <v/>
      </c>
      <c r="E9" s="12">
        <f>IFERROR(IF(SUMIFS(tblDaily[DeathsUnder24Hrs],tblDaily[EntryDate],DATE(2026,1,3),tblDaily[WardCode],"CW")=0,"",SUMIFS(tblDaily[DeathsUnder24Hrs],tblDaily[EntryDate],DATE(2026,1,3),tblDaily[WardCode],"CW")),"")</f>
        <v/>
      </c>
      <c r="F9" s="12">
        <f>IFERROR(IF(SUMIFS(tblDaily[TransfersIn],tblDaily[EntryDate],DATE(2026,1,3),tblDaily[WardCode],"CW")=0,"",SUMIFS(tblDaily[TransfersIn],tblDaily[EntryDate],DATE(2026,1,3),tblDaily[WardCode],"CW")),"")</f>
        <v/>
      </c>
      <c r="G9" s="12">
        <f>IFERROR(IF(SUMIFS(tblDaily[TransfersOut],tblDaily[EntryDate],DATE(2026,1,3),tblDaily[WardCode],"CW")=0,"",SUMIFS(tblDaily[TransfersOut],tblDaily[EntryDate],DATE(2026,1,3),tblDaily[WardCode],"CW")),"")</f>
        <v/>
      </c>
      <c r="H9" s="12">
        <f>IFERROR(IF(SUMIFS(tblDaily[Remaining],tblDaily[EntryDate],DATE(2026,1,3),tblDaily[WardCode],"CW")=0,"",SUMIFS(tblDaily[Remaining],tblDaily[EntryDate],DATE(2026,1,3),tblDaily[WardCode],"CW")),"")</f>
        <v/>
      </c>
    </row>
    <row r="10">
      <c r="A10" s="12" t="n">
        <v>4</v>
      </c>
      <c r="B10" s="12">
        <f>IFERROR(IF(SUMIFS(tblDaily[Admissions],tblDaily[EntryDate],DATE(2026,1,4),tblDaily[WardCode],"CW")=0,"",SUMIFS(tblDaily[Admissions],tblDaily[EntryDate],DATE(2026,1,4),tblDaily[WardCode],"CW")),"")</f>
        <v/>
      </c>
      <c r="C10" s="12">
        <f>IFERROR(IF(SUMIFS(tblDaily[Discharges],tblDaily[EntryDate],DATE(2026,1,4),tblDaily[WardCode],"CW")=0,"",SUMIFS(tblDaily[Discharges],tblDaily[EntryDate],DATE(2026,1,4),tblDaily[WardCode],"CW")),"")</f>
        <v/>
      </c>
      <c r="D10" s="12">
        <f>IFERROR(IF(SUMIFS(tblDaily[Deaths],tblDaily[EntryDate],DATE(2026,1,4),tblDaily[WardCode],"CW")=0,"",SUMIFS(tblDaily[Deaths],tblDaily[EntryDate],DATE(2026,1,4),tblDaily[WardCode],"CW")),"")</f>
        <v/>
      </c>
      <c r="E10" s="12">
        <f>IFERROR(IF(SUMIFS(tblDaily[DeathsUnder24Hrs],tblDaily[EntryDate],DATE(2026,1,4),tblDaily[WardCode],"CW")=0,"",SUMIFS(tblDaily[DeathsUnder24Hrs],tblDaily[EntryDate],DATE(2026,1,4),tblDaily[WardCode],"CW")),"")</f>
        <v/>
      </c>
      <c r="F10" s="12">
        <f>IFERROR(IF(SUMIFS(tblDaily[TransfersIn],tblDaily[EntryDate],DATE(2026,1,4),tblDaily[WardCode],"CW")=0,"",SUMIFS(tblDaily[TransfersIn],tblDaily[EntryDate],DATE(2026,1,4),tblDaily[WardCode],"CW")),"")</f>
        <v/>
      </c>
      <c r="G10" s="12">
        <f>IFERROR(IF(SUMIFS(tblDaily[TransfersOut],tblDaily[EntryDate],DATE(2026,1,4),tblDaily[WardCode],"CW")=0,"",SUMIFS(tblDaily[TransfersOut],tblDaily[EntryDate],DATE(2026,1,4),tblDaily[WardCode],"CW")),"")</f>
        <v/>
      </c>
      <c r="H10" s="12">
        <f>IFERROR(IF(SUMIFS(tblDaily[Remaining],tblDaily[EntryDate],DATE(2026,1,4),tblDaily[WardCode],"CW")=0,"",SUMIFS(tblDaily[Remaining],tblDaily[EntryDate],DATE(2026,1,4),tblDaily[WardCode],"CW")),"")</f>
        <v/>
      </c>
    </row>
    <row r="11">
      <c r="A11" s="12" t="n">
        <v>5</v>
      </c>
      <c r="B11" s="12">
        <f>IFERROR(IF(SUMIFS(tblDaily[Admissions],tblDaily[EntryDate],DATE(2026,1,5),tblDaily[WardCode],"CW")=0,"",SUMIFS(tblDaily[Admissions],tblDaily[EntryDate],DATE(2026,1,5),tblDaily[WardCode],"CW")),"")</f>
        <v/>
      </c>
      <c r="C11" s="12">
        <f>IFERROR(IF(SUMIFS(tblDaily[Discharges],tblDaily[EntryDate],DATE(2026,1,5),tblDaily[WardCode],"CW")=0,"",SUMIFS(tblDaily[Discharges],tblDaily[EntryDate],DATE(2026,1,5),tblDaily[WardCode],"CW")),"")</f>
        <v/>
      </c>
      <c r="D11" s="12">
        <f>IFERROR(IF(SUMIFS(tblDaily[Deaths],tblDaily[EntryDate],DATE(2026,1,5),tblDaily[WardCode],"CW")=0,"",SUMIFS(tblDaily[Deaths],tblDaily[EntryDate],DATE(2026,1,5),tblDaily[WardCode],"CW")),"")</f>
        <v/>
      </c>
      <c r="E11" s="12">
        <f>IFERROR(IF(SUMIFS(tblDaily[DeathsUnder24Hrs],tblDaily[EntryDate],DATE(2026,1,5),tblDaily[WardCode],"CW")=0,"",SUMIFS(tblDaily[DeathsUnder24Hrs],tblDaily[EntryDate],DATE(2026,1,5),tblDaily[WardCode],"CW")),"")</f>
        <v/>
      </c>
      <c r="F11" s="12">
        <f>IFERROR(IF(SUMIFS(tblDaily[TransfersIn],tblDaily[EntryDate],DATE(2026,1,5),tblDaily[WardCode],"CW")=0,"",SUMIFS(tblDaily[TransfersIn],tblDaily[EntryDate],DATE(2026,1,5),tblDaily[WardCode],"CW")),"")</f>
        <v/>
      </c>
      <c r="G11" s="12">
        <f>IFERROR(IF(SUMIFS(tblDaily[TransfersOut],tblDaily[EntryDate],DATE(2026,1,5),tblDaily[WardCode],"CW")=0,"",SUMIFS(tblDaily[TransfersOut],tblDaily[EntryDate],DATE(2026,1,5),tblDaily[WardCode],"CW")),"")</f>
        <v/>
      </c>
      <c r="H11" s="12">
        <f>IFERROR(IF(SUMIFS(tblDaily[Remaining],tblDaily[EntryDate],DATE(2026,1,5),tblDaily[WardCode],"CW")=0,"",SUMIFS(tblDaily[Remaining],tblDaily[EntryDate],DATE(2026,1,5),tblDaily[WardCode],"CW")),"")</f>
        <v/>
      </c>
    </row>
    <row r="12">
      <c r="A12" s="12" t="n">
        <v>6</v>
      </c>
      <c r="B12" s="12">
        <f>IFERROR(IF(SUMIFS(tblDaily[Admissions],tblDaily[EntryDate],DATE(2026,1,6),tblDaily[WardCode],"CW")=0,"",SUMIFS(tblDaily[Admissions],tblDaily[EntryDate],DATE(2026,1,6),tblDaily[WardCode],"CW")),"")</f>
        <v/>
      </c>
      <c r="C12" s="12">
        <f>IFERROR(IF(SUMIFS(tblDaily[Discharges],tblDaily[EntryDate],DATE(2026,1,6),tblDaily[WardCode],"CW")=0,"",SUMIFS(tblDaily[Discharges],tblDaily[EntryDate],DATE(2026,1,6),tblDaily[WardCode],"CW")),"")</f>
        <v/>
      </c>
      <c r="D12" s="12">
        <f>IFERROR(IF(SUMIFS(tblDaily[Deaths],tblDaily[EntryDate],DATE(2026,1,6),tblDaily[WardCode],"CW")=0,"",SUMIFS(tblDaily[Deaths],tblDaily[EntryDate],DATE(2026,1,6),tblDaily[WardCode],"CW")),"")</f>
        <v/>
      </c>
      <c r="E12" s="12">
        <f>IFERROR(IF(SUMIFS(tblDaily[DeathsUnder24Hrs],tblDaily[EntryDate],DATE(2026,1,6),tblDaily[WardCode],"CW")=0,"",SUMIFS(tblDaily[DeathsUnder24Hrs],tblDaily[EntryDate],DATE(2026,1,6),tblDaily[WardCode],"CW")),"")</f>
        <v/>
      </c>
      <c r="F12" s="12">
        <f>IFERROR(IF(SUMIFS(tblDaily[TransfersIn],tblDaily[EntryDate],DATE(2026,1,6),tblDaily[WardCode],"CW")=0,"",SUMIFS(tblDaily[TransfersIn],tblDaily[EntryDate],DATE(2026,1,6),tblDaily[WardCode],"CW")),"")</f>
        <v/>
      </c>
      <c r="G12" s="12">
        <f>IFERROR(IF(SUMIFS(tblDaily[TransfersOut],tblDaily[EntryDate],DATE(2026,1,6),tblDaily[WardCode],"CW")=0,"",SUMIFS(tblDaily[TransfersOut],tblDaily[EntryDate],DATE(2026,1,6),tblDaily[WardCode],"CW")),"")</f>
        <v/>
      </c>
      <c r="H12" s="12">
        <f>IFERROR(IF(SUMIFS(tblDaily[Remaining],tblDaily[EntryDate],DATE(2026,1,6),tblDaily[WardCode],"CW")=0,"",SUMIFS(tblDaily[Remaining],tblDaily[EntryDate],DATE(2026,1,6),tblDaily[WardCode],"CW")),"")</f>
        <v/>
      </c>
    </row>
    <row r="13">
      <c r="A13" s="12" t="n">
        <v>7</v>
      </c>
      <c r="B13" s="12">
        <f>IFERROR(IF(SUMIFS(tblDaily[Admissions],tblDaily[EntryDate],DATE(2026,1,7),tblDaily[WardCode],"CW")=0,"",SUMIFS(tblDaily[Admissions],tblDaily[EntryDate],DATE(2026,1,7),tblDaily[WardCode],"CW")),"")</f>
        <v/>
      </c>
      <c r="C13" s="12">
        <f>IFERROR(IF(SUMIFS(tblDaily[Discharges],tblDaily[EntryDate],DATE(2026,1,7),tblDaily[WardCode],"CW")=0,"",SUMIFS(tblDaily[Discharges],tblDaily[EntryDate],DATE(2026,1,7),tblDaily[WardCode],"CW")),"")</f>
        <v/>
      </c>
      <c r="D13" s="12">
        <f>IFERROR(IF(SUMIFS(tblDaily[Deaths],tblDaily[EntryDate],DATE(2026,1,7),tblDaily[WardCode],"CW")=0,"",SUMIFS(tblDaily[Deaths],tblDaily[EntryDate],DATE(2026,1,7),tblDaily[WardCode],"CW")),"")</f>
        <v/>
      </c>
      <c r="E13" s="12">
        <f>IFERROR(IF(SUMIFS(tblDaily[DeathsUnder24Hrs],tblDaily[EntryDate],DATE(2026,1,7),tblDaily[WardCode],"CW")=0,"",SUMIFS(tblDaily[DeathsUnder24Hrs],tblDaily[EntryDate],DATE(2026,1,7),tblDaily[WardCode],"CW")),"")</f>
        <v/>
      </c>
      <c r="F13" s="12">
        <f>IFERROR(IF(SUMIFS(tblDaily[TransfersIn],tblDaily[EntryDate],DATE(2026,1,7),tblDaily[WardCode],"CW")=0,"",SUMIFS(tblDaily[TransfersIn],tblDaily[EntryDate],DATE(2026,1,7),tblDaily[WardCode],"CW")),"")</f>
        <v/>
      </c>
      <c r="G13" s="12">
        <f>IFERROR(IF(SUMIFS(tblDaily[TransfersOut],tblDaily[EntryDate],DATE(2026,1,7),tblDaily[WardCode],"CW")=0,"",SUMIFS(tblDaily[TransfersOut],tblDaily[EntryDate],DATE(2026,1,7),tblDaily[WardCode],"CW")),"")</f>
        <v/>
      </c>
      <c r="H13" s="12">
        <f>IFERROR(IF(SUMIFS(tblDaily[Remaining],tblDaily[EntryDate],DATE(2026,1,7),tblDaily[WardCode],"CW")=0,"",SUMIFS(tblDaily[Remaining],tblDaily[EntryDate],DATE(2026,1,7),tblDaily[WardCode],"CW")),"")</f>
        <v/>
      </c>
    </row>
    <row r="14">
      <c r="A14" s="12" t="n">
        <v>8</v>
      </c>
      <c r="B14" s="12">
        <f>IFERROR(IF(SUMIFS(tblDaily[Admissions],tblDaily[EntryDate],DATE(2026,1,8),tblDaily[WardCode],"CW")=0,"",SUMIFS(tblDaily[Admissions],tblDaily[EntryDate],DATE(2026,1,8),tblDaily[WardCode],"CW")),"")</f>
        <v/>
      </c>
      <c r="C14" s="12">
        <f>IFERROR(IF(SUMIFS(tblDaily[Discharges],tblDaily[EntryDate],DATE(2026,1,8),tblDaily[WardCode],"CW")=0,"",SUMIFS(tblDaily[Discharges],tblDaily[EntryDate],DATE(2026,1,8),tblDaily[WardCode],"CW")),"")</f>
        <v/>
      </c>
      <c r="D14" s="12">
        <f>IFERROR(IF(SUMIFS(tblDaily[Deaths],tblDaily[EntryDate],DATE(2026,1,8),tblDaily[WardCode],"CW")=0,"",SUMIFS(tblDaily[Deaths],tblDaily[EntryDate],DATE(2026,1,8),tblDaily[WardCode],"CW")),"")</f>
        <v/>
      </c>
      <c r="E14" s="12">
        <f>IFERROR(IF(SUMIFS(tblDaily[DeathsUnder24Hrs],tblDaily[EntryDate],DATE(2026,1,8),tblDaily[WardCode],"CW")=0,"",SUMIFS(tblDaily[DeathsUnder24Hrs],tblDaily[EntryDate],DATE(2026,1,8),tblDaily[WardCode],"CW")),"")</f>
        <v/>
      </c>
      <c r="F14" s="12">
        <f>IFERROR(IF(SUMIFS(tblDaily[TransfersIn],tblDaily[EntryDate],DATE(2026,1,8),tblDaily[WardCode],"CW")=0,"",SUMIFS(tblDaily[TransfersIn],tblDaily[EntryDate],DATE(2026,1,8),tblDaily[WardCode],"CW")),"")</f>
        <v/>
      </c>
      <c r="G14" s="12">
        <f>IFERROR(IF(SUMIFS(tblDaily[TransfersOut],tblDaily[EntryDate],DATE(2026,1,8),tblDaily[WardCode],"CW")=0,"",SUMIFS(tblDaily[TransfersOut],tblDaily[EntryDate],DATE(2026,1,8),tblDaily[WardCode],"CW")),"")</f>
        <v/>
      </c>
      <c r="H14" s="12">
        <f>IFERROR(IF(SUMIFS(tblDaily[Remaining],tblDaily[EntryDate],DATE(2026,1,8),tblDaily[WardCode],"CW")=0,"",SUMIFS(tblDaily[Remaining],tblDaily[EntryDate],DATE(2026,1,8),tblDaily[WardCode],"CW")),"")</f>
        <v/>
      </c>
    </row>
    <row r="15">
      <c r="A15" s="12" t="n">
        <v>9</v>
      </c>
      <c r="B15" s="12">
        <f>IFERROR(IF(SUMIFS(tblDaily[Admissions],tblDaily[EntryDate],DATE(2026,1,9),tblDaily[WardCode],"CW")=0,"",SUMIFS(tblDaily[Admissions],tblDaily[EntryDate],DATE(2026,1,9),tblDaily[WardCode],"CW")),"")</f>
        <v/>
      </c>
      <c r="C15" s="12">
        <f>IFERROR(IF(SUMIFS(tblDaily[Discharges],tblDaily[EntryDate],DATE(2026,1,9),tblDaily[WardCode],"CW")=0,"",SUMIFS(tblDaily[Discharges],tblDaily[EntryDate],DATE(2026,1,9),tblDaily[WardCode],"CW")),"")</f>
        <v/>
      </c>
      <c r="D15" s="12">
        <f>IFERROR(IF(SUMIFS(tblDaily[Deaths],tblDaily[EntryDate],DATE(2026,1,9),tblDaily[WardCode],"CW")=0,"",SUMIFS(tblDaily[Deaths],tblDaily[EntryDate],DATE(2026,1,9),tblDaily[WardCode],"CW")),"")</f>
        <v/>
      </c>
      <c r="E15" s="12">
        <f>IFERROR(IF(SUMIFS(tblDaily[DeathsUnder24Hrs],tblDaily[EntryDate],DATE(2026,1,9),tblDaily[WardCode],"CW")=0,"",SUMIFS(tblDaily[DeathsUnder24Hrs],tblDaily[EntryDate],DATE(2026,1,9),tblDaily[WardCode],"CW")),"")</f>
        <v/>
      </c>
      <c r="F15" s="12">
        <f>IFERROR(IF(SUMIFS(tblDaily[TransfersIn],tblDaily[EntryDate],DATE(2026,1,9),tblDaily[WardCode],"CW")=0,"",SUMIFS(tblDaily[TransfersIn],tblDaily[EntryDate],DATE(2026,1,9),tblDaily[WardCode],"CW")),"")</f>
        <v/>
      </c>
      <c r="G15" s="12">
        <f>IFERROR(IF(SUMIFS(tblDaily[TransfersOut],tblDaily[EntryDate],DATE(2026,1,9),tblDaily[WardCode],"CW")=0,"",SUMIFS(tblDaily[TransfersOut],tblDaily[EntryDate],DATE(2026,1,9),tblDaily[WardCode],"CW")),"")</f>
        <v/>
      </c>
      <c r="H15" s="12">
        <f>IFERROR(IF(SUMIFS(tblDaily[Remaining],tblDaily[EntryDate],DATE(2026,1,9),tblDaily[WardCode],"CW")=0,"",SUMIFS(tblDaily[Remaining],tblDaily[EntryDate],DATE(2026,1,9),tblDaily[WardCode],"CW")),"")</f>
        <v/>
      </c>
    </row>
    <row r="16">
      <c r="A16" s="12" t="n">
        <v>10</v>
      </c>
      <c r="B16" s="12">
        <f>IFERROR(IF(SUMIFS(tblDaily[Admissions],tblDaily[EntryDate],DATE(2026,1,10),tblDaily[WardCode],"CW")=0,"",SUMIFS(tblDaily[Admissions],tblDaily[EntryDate],DATE(2026,1,10),tblDaily[WardCode],"CW")),"")</f>
        <v/>
      </c>
      <c r="C16" s="12">
        <f>IFERROR(IF(SUMIFS(tblDaily[Discharges],tblDaily[EntryDate],DATE(2026,1,10),tblDaily[WardCode],"CW")=0,"",SUMIFS(tblDaily[Discharges],tblDaily[EntryDate],DATE(2026,1,10),tblDaily[WardCode],"CW")),"")</f>
        <v/>
      </c>
      <c r="D16" s="12">
        <f>IFERROR(IF(SUMIFS(tblDaily[Deaths],tblDaily[EntryDate],DATE(2026,1,10),tblDaily[WardCode],"CW")=0,"",SUMIFS(tblDaily[Deaths],tblDaily[EntryDate],DATE(2026,1,10),tblDaily[WardCode],"CW")),"")</f>
        <v/>
      </c>
      <c r="E16" s="12">
        <f>IFERROR(IF(SUMIFS(tblDaily[DeathsUnder24Hrs],tblDaily[EntryDate],DATE(2026,1,10),tblDaily[WardCode],"CW")=0,"",SUMIFS(tblDaily[DeathsUnder24Hrs],tblDaily[EntryDate],DATE(2026,1,10),tblDaily[WardCode],"CW")),"")</f>
        <v/>
      </c>
      <c r="F16" s="12">
        <f>IFERROR(IF(SUMIFS(tblDaily[TransfersIn],tblDaily[EntryDate],DATE(2026,1,10),tblDaily[WardCode],"CW")=0,"",SUMIFS(tblDaily[TransfersIn],tblDaily[EntryDate],DATE(2026,1,10),tblDaily[WardCode],"CW")),"")</f>
        <v/>
      </c>
      <c r="G16" s="12">
        <f>IFERROR(IF(SUMIFS(tblDaily[TransfersOut],tblDaily[EntryDate],DATE(2026,1,10),tblDaily[WardCode],"CW")=0,"",SUMIFS(tblDaily[TransfersOut],tblDaily[EntryDate],DATE(2026,1,10),tblDaily[WardCode],"CW")),"")</f>
        <v/>
      </c>
      <c r="H16" s="12">
        <f>IFERROR(IF(SUMIFS(tblDaily[Remaining],tblDaily[EntryDate],DATE(2026,1,10),tblDaily[WardCode],"CW")=0,"",SUMIFS(tblDaily[Remaining],tblDaily[EntryDate],DATE(2026,1,10),tblDaily[WardCode],"CW")),"")</f>
        <v/>
      </c>
    </row>
    <row r="17">
      <c r="A17" s="12" t="n">
        <v>11</v>
      </c>
      <c r="B17" s="12">
        <f>IFERROR(IF(SUMIFS(tblDaily[Admissions],tblDaily[EntryDate],DATE(2026,1,11),tblDaily[WardCode],"CW")=0,"",SUMIFS(tblDaily[Admissions],tblDaily[EntryDate],DATE(2026,1,11),tblDaily[WardCode],"CW")),"")</f>
        <v/>
      </c>
      <c r="C17" s="12">
        <f>IFERROR(IF(SUMIFS(tblDaily[Discharges],tblDaily[EntryDate],DATE(2026,1,11),tblDaily[WardCode],"CW")=0,"",SUMIFS(tblDaily[Discharges],tblDaily[EntryDate],DATE(2026,1,11),tblDaily[WardCode],"CW")),"")</f>
        <v/>
      </c>
      <c r="D17" s="12">
        <f>IFERROR(IF(SUMIFS(tblDaily[Deaths],tblDaily[EntryDate],DATE(2026,1,11),tblDaily[WardCode],"CW")=0,"",SUMIFS(tblDaily[Deaths],tblDaily[EntryDate],DATE(2026,1,11),tblDaily[WardCode],"CW")),"")</f>
        <v/>
      </c>
      <c r="E17" s="12">
        <f>IFERROR(IF(SUMIFS(tblDaily[DeathsUnder24Hrs],tblDaily[EntryDate],DATE(2026,1,11),tblDaily[WardCode],"CW")=0,"",SUMIFS(tblDaily[DeathsUnder24Hrs],tblDaily[EntryDate],DATE(2026,1,11),tblDaily[WardCode],"CW")),"")</f>
        <v/>
      </c>
      <c r="F17" s="12">
        <f>IFERROR(IF(SUMIFS(tblDaily[TransfersIn],tblDaily[EntryDate],DATE(2026,1,11),tblDaily[WardCode],"CW")=0,"",SUMIFS(tblDaily[TransfersIn],tblDaily[EntryDate],DATE(2026,1,11),tblDaily[WardCode],"CW")),"")</f>
        <v/>
      </c>
      <c r="G17" s="12">
        <f>IFERROR(IF(SUMIFS(tblDaily[TransfersOut],tblDaily[EntryDate],DATE(2026,1,11),tblDaily[WardCode],"CW")=0,"",SUMIFS(tblDaily[TransfersOut],tblDaily[EntryDate],DATE(2026,1,11),tblDaily[WardCode],"CW")),"")</f>
        <v/>
      </c>
      <c r="H17" s="12">
        <f>IFERROR(IF(SUMIFS(tblDaily[Remaining],tblDaily[EntryDate],DATE(2026,1,11),tblDaily[WardCode],"CW")=0,"",SUMIFS(tblDaily[Remaining],tblDaily[EntryDate],DATE(2026,1,11),tblDaily[WardCode],"CW")),"")</f>
        <v/>
      </c>
    </row>
    <row r="18">
      <c r="A18" s="12" t="n">
        <v>12</v>
      </c>
      <c r="B18" s="12">
        <f>IFERROR(IF(SUMIFS(tblDaily[Admissions],tblDaily[EntryDate],DATE(2026,1,12),tblDaily[WardCode],"CW")=0,"",SUMIFS(tblDaily[Admissions],tblDaily[EntryDate],DATE(2026,1,12),tblDaily[WardCode],"CW")),"")</f>
        <v/>
      </c>
      <c r="C18" s="12">
        <f>IFERROR(IF(SUMIFS(tblDaily[Discharges],tblDaily[EntryDate],DATE(2026,1,12),tblDaily[WardCode],"CW")=0,"",SUMIFS(tblDaily[Discharges],tblDaily[EntryDate],DATE(2026,1,12),tblDaily[WardCode],"CW")),"")</f>
        <v/>
      </c>
      <c r="D18" s="12">
        <f>IFERROR(IF(SUMIFS(tblDaily[Deaths],tblDaily[EntryDate],DATE(2026,1,12),tblDaily[WardCode],"CW")=0,"",SUMIFS(tblDaily[Deaths],tblDaily[EntryDate],DATE(2026,1,12),tblDaily[WardCode],"CW")),"")</f>
        <v/>
      </c>
      <c r="E18" s="12">
        <f>IFERROR(IF(SUMIFS(tblDaily[DeathsUnder24Hrs],tblDaily[EntryDate],DATE(2026,1,12),tblDaily[WardCode],"CW")=0,"",SUMIFS(tblDaily[DeathsUnder24Hrs],tblDaily[EntryDate],DATE(2026,1,12),tblDaily[WardCode],"CW")),"")</f>
        <v/>
      </c>
      <c r="F18" s="12">
        <f>IFERROR(IF(SUMIFS(tblDaily[TransfersIn],tblDaily[EntryDate],DATE(2026,1,12),tblDaily[WardCode],"CW")=0,"",SUMIFS(tblDaily[TransfersIn],tblDaily[EntryDate],DATE(2026,1,12),tblDaily[WardCode],"CW")),"")</f>
        <v/>
      </c>
      <c r="G18" s="12">
        <f>IFERROR(IF(SUMIFS(tblDaily[TransfersOut],tblDaily[EntryDate],DATE(2026,1,12),tblDaily[WardCode],"CW")=0,"",SUMIFS(tblDaily[TransfersOut],tblDaily[EntryDate],DATE(2026,1,12),tblDaily[WardCode],"CW")),"")</f>
        <v/>
      </c>
      <c r="H18" s="12">
        <f>IFERROR(IF(SUMIFS(tblDaily[Remaining],tblDaily[EntryDate],DATE(2026,1,12),tblDaily[WardCode],"CW")=0,"",SUMIFS(tblDaily[Remaining],tblDaily[EntryDate],DATE(2026,1,12),tblDaily[WardCode],"CW")),"")</f>
        <v/>
      </c>
    </row>
    <row r="19">
      <c r="A19" s="12" t="n">
        <v>13</v>
      </c>
      <c r="B19" s="12">
        <f>IFERROR(IF(SUMIFS(tblDaily[Admissions],tblDaily[EntryDate],DATE(2026,1,13),tblDaily[WardCode],"CW")=0,"",SUMIFS(tblDaily[Admissions],tblDaily[EntryDate],DATE(2026,1,13),tblDaily[WardCode],"CW")),"")</f>
        <v/>
      </c>
      <c r="C19" s="12">
        <f>IFERROR(IF(SUMIFS(tblDaily[Discharges],tblDaily[EntryDate],DATE(2026,1,13),tblDaily[WardCode],"CW")=0,"",SUMIFS(tblDaily[Discharges],tblDaily[EntryDate],DATE(2026,1,13),tblDaily[WardCode],"CW")),"")</f>
        <v/>
      </c>
      <c r="D19" s="12">
        <f>IFERROR(IF(SUMIFS(tblDaily[Deaths],tblDaily[EntryDate],DATE(2026,1,13),tblDaily[WardCode],"CW")=0,"",SUMIFS(tblDaily[Deaths],tblDaily[EntryDate],DATE(2026,1,13),tblDaily[WardCode],"CW")),"")</f>
        <v/>
      </c>
      <c r="E19" s="12">
        <f>IFERROR(IF(SUMIFS(tblDaily[DeathsUnder24Hrs],tblDaily[EntryDate],DATE(2026,1,13),tblDaily[WardCode],"CW")=0,"",SUMIFS(tblDaily[DeathsUnder24Hrs],tblDaily[EntryDate],DATE(2026,1,13),tblDaily[WardCode],"CW")),"")</f>
        <v/>
      </c>
      <c r="F19" s="12">
        <f>IFERROR(IF(SUMIFS(tblDaily[TransfersIn],tblDaily[EntryDate],DATE(2026,1,13),tblDaily[WardCode],"CW")=0,"",SUMIFS(tblDaily[TransfersIn],tblDaily[EntryDate],DATE(2026,1,13),tblDaily[WardCode],"CW")),"")</f>
        <v/>
      </c>
      <c r="G19" s="12">
        <f>IFERROR(IF(SUMIFS(tblDaily[TransfersOut],tblDaily[EntryDate],DATE(2026,1,13),tblDaily[WardCode],"CW")=0,"",SUMIFS(tblDaily[TransfersOut],tblDaily[EntryDate],DATE(2026,1,13),tblDaily[WardCode],"CW")),"")</f>
        <v/>
      </c>
      <c r="H19" s="12">
        <f>IFERROR(IF(SUMIFS(tblDaily[Remaining],tblDaily[EntryDate],DATE(2026,1,13),tblDaily[WardCode],"CW")=0,"",SUMIFS(tblDaily[Remaining],tblDaily[EntryDate],DATE(2026,1,13),tblDaily[WardCode],"CW")),"")</f>
        <v/>
      </c>
    </row>
    <row r="20">
      <c r="A20" s="12" t="n">
        <v>14</v>
      </c>
      <c r="B20" s="12">
        <f>IFERROR(IF(SUMIFS(tblDaily[Admissions],tblDaily[EntryDate],DATE(2026,1,14),tblDaily[WardCode],"CW")=0,"",SUMIFS(tblDaily[Admissions],tblDaily[EntryDate],DATE(2026,1,14),tblDaily[WardCode],"CW")),"")</f>
        <v/>
      </c>
      <c r="C20" s="12">
        <f>IFERROR(IF(SUMIFS(tblDaily[Discharges],tblDaily[EntryDate],DATE(2026,1,14),tblDaily[WardCode],"CW")=0,"",SUMIFS(tblDaily[Discharges],tblDaily[EntryDate],DATE(2026,1,14),tblDaily[WardCode],"CW")),"")</f>
        <v/>
      </c>
      <c r="D20" s="12">
        <f>IFERROR(IF(SUMIFS(tblDaily[Deaths],tblDaily[EntryDate],DATE(2026,1,14),tblDaily[WardCode],"CW")=0,"",SUMIFS(tblDaily[Deaths],tblDaily[EntryDate],DATE(2026,1,14),tblDaily[WardCode],"CW")),"")</f>
        <v/>
      </c>
      <c r="E20" s="12">
        <f>IFERROR(IF(SUMIFS(tblDaily[DeathsUnder24Hrs],tblDaily[EntryDate],DATE(2026,1,14),tblDaily[WardCode],"CW")=0,"",SUMIFS(tblDaily[DeathsUnder24Hrs],tblDaily[EntryDate],DATE(2026,1,14),tblDaily[WardCode],"CW")),"")</f>
        <v/>
      </c>
      <c r="F20" s="12">
        <f>IFERROR(IF(SUMIFS(tblDaily[TransfersIn],tblDaily[EntryDate],DATE(2026,1,14),tblDaily[WardCode],"CW")=0,"",SUMIFS(tblDaily[TransfersIn],tblDaily[EntryDate],DATE(2026,1,14),tblDaily[WardCode],"CW")),"")</f>
        <v/>
      </c>
      <c r="G20" s="12">
        <f>IFERROR(IF(SUMIFS(tblDaily[TransfersOut],tblDaily[EntryDate],DATE(2026,1,14),tblDaily[WardCode],"CW")=0,"",SUMIFS(tblDaily[TransfersOut],tblDaily[EntryDate],DATE(2026,1,14),tblDaily[WardCode],"CW")),"")</f>
        <v/>
      </c>
      <c r="H20" s="12">
        <f>IFERROR(IF(SUMIFS(tblDaily[Remaining],tblDaily[EntryDate],DATE(2026,1,14),tblDaily[WardCode],"CW")=0,"",SUMIFS(tblDaily[Remaining],tblDaily[EntryDate],DATE(2026,1,14),tblDaily[WardCode],"CW")),"")</f>
        <v/>
      </c>
    </row>
    <row r="21">
      <c r="A21" s="12" t="n">
        <v>15</v>
      </c>
      <c r="B21" s="12">
        <f>IFERROR(IF(SUMIFS(tblDaily[Admissions],tblDaily[EntryDate],DATE(2026,1,15),tblDaily[WardCode],"CW")=0,"",SUMIFS(tblDaily[Admissions],tblDaily[EntryDate],DATE(2026,1,15),tblDaily[WardCode],"CW")),"")</f>
        <v/>
      </c>
      <c r="C21" s="12">
        <f>IFERROR(IF(SUMIFS(tblDaily[Discharges],tblDaily[EntryDate],DATE(2026,1,15),tblDaily[WardCode],"CW")=0,"",SUMIFS(tblDaily[Discharges],tblDaily[EntryDate],DATE(2026,1,15),tblDaily[WardCode],"CW")),"")</f>
        <v/>
      </c>
      <c r="D21" s="12">
        <f>IFERROR(IF(SUMIFS(tblDaily[Deaths],tblDaily[EntryDate],DATE(2026,1,15),tblDaily[WardCode],"CW")=0,"",SUMIFS(tblDaily[Deaths],tblDaily[EntryDate],DATE(2026,1,15),tblDaily[WardCode],"CW")),"")</f>
        <v/>
      </c>
      <c r="E21" s="12">
        <f>IFERROR(IF(SUMIFS(tblDaily[DeathsUnder24Hrs],tblDaily[EntryDate],DATE(2026,1,15),tblDaily[WardCode],"CW")=0,"",SUMIFS(tblDaily[DeathsUnder24Hrs],tblDaily[EntryDate],DATE(2026,1,15),tblDaily[WardCode],"CW")),"")</f>
        <v/>
      </c>
      <c r="F21" s="12">
        <f>IFERROR(IF(SUMIFS(tblDaily[TransfersIn],tblDaily[EntryDate],DATE(2026,1,15),tblDaily[WardCode],"CW")=0,"",SUMIFS(tblDaily[TransfersIn],tblDaily[EntryDate],DATE(2026,1,15),tblDaily[WardCode],"CW")),"")</f>
        <v/>
      </c>
      <c r="G21" s="12">
        <f>IFERROR(IF(SUMIFS(tblDaily[TransfersOut],tblDaily[EntryDate],DATE(2026,1,15),tblDaily[WardCode],"CW")=0,"",SUMIFS(tblDaily[TransfersOut],tblDaily[EntryDate],DATE(2026,1,15),tblDaily[WardCode],"CW")),"")</f>
        <v/>
      </c>
      <c r="H21" s="12">
        <f>IFERROR(IF(SUMIFS(tblDaily[Remaining],tblDaily[EntryDate],DATE(2026,1,15),tblDaily[WardCode],"CW")=0,"",SUMIFS(tblDaily[Remaining],tblDaily[EntryDate],DATE(2026,1,15),tblDaily[WardCode],"CW")),"")</f>
        <v/>
      </c>
    </row>
    <row r="22">
      <c r="A22" s="12" t="n">
        <v>16</v>
      </c>
      <c r="B22" s="12">
        <f>IFERROR(IF(SUMIFS(tblDaily[Admissions],tblDaily[EntryDate],DATE(2026,1,16),tblDaily[WardCode],"CW")=0,"",SUMIFS(tblDaily[Admissions],tblDaily[EntryDate],DATE(2026,1,16),tblDaily[WardCode],"CW")),"")</f>
        <v/>
      </c>
      <c r="C22" s="12">
        <f>IFERROR(IF(SUMIFS(tblDaily[Discharges],tblDaily[EntryDate],DATE(2026,1,16),tblDaily[WardCode],"CW")=0,"",SUMIFS(tblDaily[Discharges],tblDaily[EntryDate],DATE(2026,1,16),tblDaily[WardCode],"CW")),"")</f>
        <v/>
      </c>
      <c r="D22" s="12">
        <f>IFERROR(IF(SUMIFS(tblDaily[Deaths],tblDaily[EntryDate],DATE(2026,1,16),tblDaily[WardCode],"CW")=0,"",SUMIFS(tblDaily[Deaths],tblDaily[EntryDate],DATE(2026,1,16),tblDaily[WardCode],"CW")),"")</f>
        <v/>
      </c>
      <c r="E22" s="12">
        <f>IFERROR(IF(SUMIFS(tblDaily[DeathsUnder24Hrs],tblDaily[EntryDate],DATE(2026,1,16),tblDaily[WardCode],"CW")=0,"",SUMIFS(tblDaily[DeathsUnder24Hrs],tblDaily[EntryDate],DATE(2026,1,16),tblDaily[WardCode],"CW")),"")</f>
        <v/>
      </c>
      <c r="F22" s="12">
        <f>IFERROR(IF(SUMIFS(tblDaily[TransfersIn],tblDaily[EntryDate],DATE(2026,1,16),tblDaily[WardCode],"CW")=0,"",SUMIFS(tblDaily[TransfersIn],tblDaily[EntryDate],DATE(2026,1,16),tblDaily[WardCode],"CW")),"")</f>
        <v/>
      </c>
      <c r="G22" s="12">
        <f>IFERROR(IF(SUMIFS(tblDaily[TransfersOut],tblDaily[EntryDate],DATE(2026,1,16),tblDaily[WardCode],"CW")=0,"",SUMIFS(tblDaily[TransfersOut],tblDaily[EntryDate],DATE(2026,1,16),tblDaily[WardCode],"CW")),"")</f>
        <v/>
      </c>
      <c r="H22" s="12">
        <f>IFERROR(IF(SUMIFS(tblDaily[Remaining],tblDaily[EntryDate],DATE(2026,1,16),tblDaily[WardCode],"CW")=0,"",SUMIFS(tblDaily[Remaining],tblDaily[EntryDate],DATE(2026,1,16),tblDaily[WardCode],"CW")),"")</f>
        <v/>
      </c>
    </row>
    <row r="23">
      <c r="A23" s="12" t="n">
        <v>17</v>
      </c>
      <c r="B23" s="12">
        <f>IFERROR(IF(SUMIFS(tblDaily[Admissions],tblDaily[EntryDate],DATE(2026,1,17),tblDaily[WardCode],"CW")=0,"",SUMIFS(tblDaily[Admissions],tblDaily[EntryDate],DATE(2026,1,17),tblDaily[WardCode],"CW")),"")</f>
        <v/>
      </c>
      <c r="C23" s="12">
        <f>IFERROR(IF(SUMIFS(tblDaily[Discharges],tblDaily[EntryDate],DATE(2026,1,17),tblDaily[WardCode],"CW")=0,"",SUMIFS(tblDaily[Discharges],tblDaily[EntryDate],DATE(2026,1,17),tblDaily[WardCode],"CW")),"")</f>
        <v/>
      </c>
      <c r="D23" s="12">
        <f>IFERROR(IF(SUMIFS(tblDaily[Deaths],tblDaily[EntryDate],DATE(2026,1,17),tblDaily[WardCode],"CW")=0,"",SUMIFS(tblDaily[Deaths],tblDaily[EntryDate],DATE(2026,1,17),tblDaily[WardCode],"CW")),"")</f>
        <v/>
      </c>
      <c r="E23" s="12">
        <f>IFERROR(IF(SUMIFS(tblDaily[DeathsUnder24Hrs],tblDaily[EntryDate],DATE(2026,1,17),tblDaily[WardCode],"CW")=0,"",SUMIFS(tblDaily[DeathsUnder24Hrs],tblDaily[EntryDate],DATE(2026,1,17),tblDaily[WardCode],"CW")),"")</f>
        <v/>
      </c>
      <c r="F23" s="12">
        <f>IFERROR(IF(SUMIFS(tblDaily[TransfersIn],tblDaily[EntryDate],DATE(2026,1,17),tblDaily[WardCode],"CW")=0,"",SUMIFS(tblDaily[TransfersIn],tblDaily[EntryDate],DATE(2026,1,17),tblDaily[WardCode],"CW")),"")</f>
        <v/>
      </c>
      <c r="G23" s="12">
        <f>IFERROR(IF(SUMIFS(tblDaily[TransfersOut],tblDaily[EntryDate],DATE(2026,1,17),tblDaily[WardCode],"CW")=0,"",SUMIFS(tblDaily[TransfersOut],tblDaily[EntryDate],DATE(2026,1,17),tblDaily[WardCode],"CW")),"")</f>
        <v/>
      </c>
      <c r="H23" s="12">
        <f>IFERROR(IF(SUMIFS(tblDaily[Remaining],tblDaily[EntryDate],DATE(2026,1,17),tblDaily[WardCode],"CW")=0,"",SUMIFS(tblDaily[Remaining],tblDaily[EntryDate],DATE(2026,1,17),tblDaily[WardCode],"CW")),"")</f>
        <v/>
      </c>
    </row>
    <row r="24">
      <c r="A24" s="12" t="n">
        <v>18</v>
      </c>
      <c r="B24" s="12">
        <f>IFERROR(IF(SUMIFS(tblDaily[Admissions],tblDaily[EntryDate],DATE(2026,1,18),tblDaily[WardCode],"CW")=0,"",SUMIFS(tblDaily[Admissions],tblDaily[EntryDate],DATE(2026,1,18),tblDaily[WardCode],"CW")),"")</f>
        <v/>
      </c>
      <c r="C24" s="12">
        <f>IFERROR(IF(SUMIFS(tblDaily[Discharges],tblDaily[EntryDate],DATE(2026,1,18),tblDaily[WardCode],"CW")=0,"",SUMIFS(tblDaily[Discharges],tblDaily[EntryDate],DATE(2026,1,18),tblDaily[WardCode],"CW")),"")</f>
        <v/>
      </c>
      <c r="D24" s="12">
        <f>IFERROR(IF(SUMIFS(tblDaily[Deaths],tblDaily[EntryDate],DATE(2026,1,18),tblDaily[WardCode],"CW")=0,"",SUMIFS(tblDaily[Deaths],tblDaily[EntryDate],DATE(2026,1,18),tblDaily[WardCode],"CW")),"")</f>
        <v/>
      </c>
      <c r="E24" s="12">
        <f>IFERROR(IF(SUMIFS(tblDaily[DeathsUnder24Hrs],tblDaily[EntryDate],DATE(2026,1,18),tblDaily[WardCode],"CW")=0,"",SUMIFS(tblDaily[DeathsUnder24Hrs],tblDaily[EntryDate],DATE(2026,1,18),tblDaily[WardCode],"CW")),"")</f>
        <v/>
      </c>
      <c r="F24" s="12">
        <f>IFERROR(IF(SUMIFS(tblDaily[TransfersIn],tblDaily[EntryDate],DATE(2026,1,18),tblDaily[WardCode],"CW")=0,"",SUMIFS(tblDaily[TransfersIn],tblDaily[EntryDate],DATE(2026,1,18),tblDaily[WardCode],"CW")),"")</f>
        <v/>
      </c>
      <c r="G24" s="12">
        <f>IFERROR(IF(SUMIFS(tblDaily[TransfersOut],tblDaily[EntryDate],DATE(2026,1,18),tblDaily[WardCode],"CW")=0,"",SUMIFS(tblDaily[TransfersOut],tblDaily[EntryDate],DATE(2026,1,18),tblDaily[WardCode],"CW")),"")</f>
        <v/>
      </c>
      <c r="H24" s="12">
        <f>IFERROR(IF(SUMIFS(tblDaily[Remaining],tblDaily[EntryDate],DATE(2026,1,18),tblDaily[WardCode],"CW")=0,"",SUMIFS(tblDaily[Remaining],tblDaily[EntryDate],DATE(2026,1,18),tblDaily[WardCode],"CW")),"")</f>
        <v/>
      </c>
    </row>
    <row r="25">
      <c r="A25" s="12" t="n">
        <v>19</v>
      </c>
      <c r="B25" s="12">
        <f>IFERROR(IF(SUMIFS(tblDaily[Admissions],tblDaily[EntryDate],DATE(2026,1,19),tblDaily[WardCode],"CW")=0,"",SUMIFS(tblDaily[Admissions],tblDaily[EntryDate],DATE(2026,1,19),tblDaily[WardCode],"CW")),"")</f>
        <v/>
      </c>
      <c r="C25" s="12">
        <f>IFERROR(IF(SUMIFS(tblDaily[Discharges],tblDaily[EntryDate],DATE(2026,1,19),tblDaily[WardCode],"CW")=0,"",SUMIFS(tblDaily[Discharges],tblDaily[EntryDate],DATE(2026,1,19),tblDaily[WardCode],"CW")),"")</f>
        <v/>
      </c>
      <c r="D25" s="12">
        <f>IFERROR(IF(SUMIFS(tblDaily[Deaths],tblDaily[EntryDate],DATE(2026,1,19),tblDaily[WardCode],"CW")=0,"",SUMIFS(tblDaily[Deaths],tblDaily[EntryDate],DATE(2026,1,19),tblDaily[WardCode],"CW")),"")</f>
        <v/>
      </c>
      <c r="E25" s="12">
        <f>IFERROR(IF(SUMIFS(tblDaily[DeathsUnder24Hrs],tblDaily[EntryDate],DATE(2026,1,19),tblDaily[WardCode],"CW")=0,"",SUMIFS(tblDaily[DeathsUnder24Hrs],tblDaily[EntryDate],DATE(2026,1,19),tblDaily[WardCode],"CW")),"")</f>
        <v/>
      </c>
      <c r="F25" s="12">
        <f>IFERROR(IF(SUMIFS(tblDaily[TransfersIn],tblDaily[EntryDate],DATE(2026,1,19),tblDaily[WardCode],"CW")=0,"",SUMIFS(tblDaily[TransfersIn],tblDaily[EntryDate],DATE(2026,1,19),tblDaily[WardCode],"CW")),"")</f>
        <v/>
      </c>
      <c r="G25" s="12">
        <f>IFERROR(IF(SUMIFS(tblDaily[TransfersOut],tblDaily[EntryDate],DATE(2026,1,19),tblDaily[WardCode],"CW")=0,"",SUMIFS(tblDaily[TransfersOut],tblDaily[EntryDate],DATE(2026,1,19),tblDaily[WardCode],"CW")),"")</f>
        <v/>
      </c>
      <c r="H25" s="12">
        <f>IFERROR(IF(SUMIFS(tblDaily[Remaining],tblDaily[EntryDate],DATE(2026,1,19),tblDaily[WardCode],"CW")=0,"",SUMIFS(tblDaily[Remaining],tblDaily[EntryDate],DATE(2026,1,19),tblDaily[WardCode],"CW")),"")</f>
        <v/>
      </c>
    </row>
    <row r="26">
      <c r="A26" s="12" t="n">
        <v>20</v>
      </c>
      <c r="B26" s="12">
        <f>IFERROR(IF(SUMIFS(tblDaily[Admissions],tblDaily[EntryDate],DATE(2026,1,20),tblDaily[WardCode],"CW")=0,"",SUMIFS(tblDaily[Admissions],tblDaily[EntryDate],DATE(2026,1,20),tblDaily[WardCode],"CW")),"")</f>
        <v/>
      </c>
      <c r="C26" s="12">
        <f>IFERROR(IF(SUMIFS(tblDaily[Discharges],tblDaily[EntryDate],DATE(2026,1,20),tblDaily[WardCode],"CW")=0,"",SUMIFS(tblDaily[Discharges],tblDaily[EntryDate],DATE(2026,1,20),tblDaily[WardCode],"CW")),"")</f>
        <v/>
      </c>
      <c r="D26" s="12">
        <f>IFERROR(IF(SUMIFS(tblDaily[Deaths],tblDaily[EntryDate],DATE(2026,1,20),tblDaily[WardCode],"CW")=0,"",SUMIFS(tblDaily[Deaths],tblDaily[EntryDate],DATE(2026,1,20),tblDaily[WardCode],"CW")),"")</f>
        <v/>
      </c>
      <c r="E26" s="12">
        <f>IFERROR(IF(SUMIFS(tblDaily[DeathsUnder24Hrs],tblDaily[EntryDate],DATE(2026,1,20),tblDaily[WardCode],"CW")=0,"",SUMIFS(tblDaily[DeathsUnder24Hrs],tblDaily[EntryDate],DATE(2026,1,20),tblDaily[WardCode],"CW")),"")</f>
        <v/>
      </c>
      <c r="F26" s="12">
        <f>IFERROR(IF(SUMIFS(tblDaily[TransfersIn],tblDaily[EntryDate],DATE(2026,1,20),tblDaily[WardCode],"CW")=0,"",SUMIFS(tblDaily[TransfersIn],tblDaily[EntryDate],DATE(2026,1,20),tblDaily[WardCode],"CW")),"")</f>
        <v/>
      </c>
      <c r="G26" s="12">
        <f>IFERROR(IF(SUMIFS(tblDaily[TransfersOut],tblDaily[EntryDate],DATE(2026,1,20),tblDaily[WardCode],"CW")=0,"",SUMIFS(tblDaily[TransfersOut],tblDaily[EntryDate],DATE(2026,1,20),tblDaily[WardCode],"CW")),"")</f>
        <v/>
      </c>
      <c r="H26" s="12">
        <f>IFERROR(IF(SUMIFS(tblDaily[Remaining],tblDaily[EntryDate],DATE(2026,1,20),tblDaily[WardCode],"CW")=0,"",SUMIFS(tblDaily[Remaining],tblDaily[EntryDate],DATE(2026,1,20),tblDaily[WardCode],"CW")),"")</f>
        <v/>
      </c>
    </row>
    <row r="27">
      <c r="A27" s="12" t="n">
        <v>21</v>
      </c>
      <c r="B27" s="12">
        <f>IFERROR(IF(SUMIFS(tblDaily[Admissions],tblDaily[EntryDate],DATE(2026,1,21),tblDaily[WardCode],"CW")=0,"",SUMIFS(tblDaily[Admissions],tblDaily[EntryDate],DATE(2026,1,21),tblDaily[WardCode],"CW")),"")</f>
        <v/>
      </c>
      <c r="C27" s="12">
        <f>IFERROR(IF(SUMIFS(tblDaily[Discharges],tblDaily[EntryDate],DATE(2026,1,21),tblDaily[WardCode],"CW")=0,"",SUMIFS(tblDaily[Discharges],tblDaily[EntryDate],DATE(2026,1,21),tblDaily[WardCode],"CW")),"")</f>
        <v/>
      </c>
      <c r="D27" s="12">
        <f>IFERROR(IF(SUMIFS(tblDaily[Deaths],tblDaily[EntryDate],DATE(2026,1,21),tblDaily[WardCode],"CW")=0,"",SUMIFS(tblDaily[Deaths],tblDaily[EntryDate],DATE(2026,1,21),tblDaily[WardCode],"CW")),"")</f>
        <v/>
      </c>
      <c r="E27" s="12">
        <f>IFERROR(IF(SUMIFS(tblDaily[DeathsUnder24Hrs],tblDaily[EntryDate],DATE(2026,1,21),tblDaily[WardCode],"CW")=0,"",SUMIFS(tblDaily[DeathsUnder24Hrs],tblDaily[EntryDate],DATE(2026,1,21),tblDaily[WardCode],"CW")),"")</f>
        <v/>
      </c>
      <c r="F27" s="12">
        <f>IFERROR(IF(SUMIFS(tblDaily[TransfersIn],tblDaily[EntryDate],DATE(2026,1,21),tblDaily[WardCode],"CW")=0,"",SUMIFS(tblDaily[TransfersIn],tblDaily[EntryDate],DATE(2026,1,21),tblDaily[WardCode],"CW")),"")</f>
        <v/>
      </c>
      <c r="G27" s="12">
        <f>IFERROR(IF(SUMIFS(tblDaily[TransfersOut],tblDaily[EntryDate],DATE(2026,1,21),tblDaily[WardCode],"CW")=0,"",SUMIFS(tblDaily[TransfersOut],tblDaily[EntryDate],DATE(2026,1,21),tblDaily[WardCode],"CW")),"")</f>
        <v/>
      </c>
      <c r="H27" s="12">
        <f>IFERROR(IF(SUMIFS(tblDaily[Remaining],tblDaily[EntryDate],DATE(2026,1,21),tblDaily[WardCode],"CW")=0,"",SUMIFS(tblDaily[Remaining],tblDaily[EntryDate],DATE(2026,1,21),tblDaily[WardCode],"CW")),"")</f>
        <v/>
      </c>
    </row>
    <row r="28">
      <c r="A28" s="12" t="n">
        <v>22</v>
      </c>
      <c r="B28" s="12">
        <f>IFERROR(IF(SUMIFS(tblDaily[Admissions],tblDaily[EntryDate],DATE(2026,1,22),tblDaily[WardCode],"CW")=0,"",SUMIFS(tblDaily[Admissions],tblDaily[EntryDate],DATE(2026,1,22),tblDaily[WardCode],"CW")),"")</f>
        <v/>
      </c>
      <c r="C28" s="12">
        <f>IFERROR(IF(SUMIFS(tblDaily[Discharges],tblDaily[EntryDate],DATE(2026,1,22),tblDaily[WardCode],"CW")=0,"",SUMIFS(tblDaily[Discharges],tblDaily[EntryDate],DATE(2026,1,22),tblDaily[WardCode],"CW")),"")</f>
        <v/>
      </c>
      <c r="D28" s="12">
        <f>IFERROR(IF(SUMIFS(tblDaily[Deaths],tblDaily[EntryDate],DATE(2026,1,22),tblDaily[WardCode],"CW")=0,"",SUMIFS(tblDaily[Deaths],tblDaily[EntryDate],DATE(2026,1,22),tblDaily[WardCode],"CW")),"")</f>
        <v/>
      </c>
      <c r="E28" s="12">
        <f>IFERROR(IF(SUMIFS(tblDaily[DeathsUnder24Hrs],tblDaily[EntryDate],DATE(2026,1,22),tblDaily[WardCode],"CW")=0,"",SUMIFS(tblDaily[DeathsUnder24Hrs],tblDaily[EntryDate],DATE(2026,1,22),tblDaily[WardCode],"CW")),"")</f>
        <v/>
      </c>
      <c r="F28" s="12">
        <f>IFERROR(IF(SUMIFS(tblDaily[TransfersIn],tblDaily[EntryDate],DATE(2026,1,22),tblDaily[WardCode],"CW")=0,"",SUMIFS(tblDaily[TransfersIn],tblDaily[EntryDate],DATE(2026,1,22),tblDaily[WardCode],"CW")),"")</f>
        <v/>
      </c>
      <c r="G28" s="12">
        <f>IFERROR(IF(SUMIFS(tblDaily[TransfersOut],tblDaily[EntryDate],DATE(2026,1,22),tblDaily[WardCode],"CW")=0,"",SUMIFS(tblDaily[TransfersOut],tblDaily[EntryDate],DATE(2026,1,22),tblDaily[WardCode],"CW")),"")</f>
        <v/>
      </c>
      <c r="H28" s="12">
        <f>IFERROR(IF(SUMIFS(tblDaily[Remaining],tblDaily[EntryDate],DATE(2026,1,22),tblDaily[WardCode],"CW")=0,"",SUMIFS(tblDaily[Remaining],tblDaily[EntryDate],DATE(2026,1,22),tblDaily[WardCode],"CW")),"")</f>
        <v/>
      </c>
    </row>
    <row r="29">
      <c r="A29" s="12" t="n">
        <v>23</v>
      </c>
      <c r="B29" s="12">
        <f>IFERROR(IF(SUMIFS(tblDaily[Admissions],tblDaily[EntryDate],DATE(2026,1,23),tblDaily[WardCode],"CW")=0,"",SUMIFS(tblDaily[Admissions],tblDaily[EntryDate],DATE(2026,1,23),tblDaily[WardCode],"CW")),"")</f>
        <v/>
      </c>
      <c r="C29" s="12">
        <f>IFERROR(IF(SUMIFS(tblDaily[Discharges],tblDaily[EntryDate],DATE(2026,1,23),tblDaily[WardCode],"CW")=0,"",SUMIFS(tblDaily[Discharges],tblDaily[EntryDate],DATE(2026,1,23),tblDaily[WardCode],"CW")),"")</f>
        <v/>
      </c>
      <c r="D29" s="12">
        <f>IFERROR(IF(SUMIFS(tblDaily[Deaths],tblDaily[EntryDate],DATE(2026,1,23),tblDaily[WardCode],"CW")=0,"",SUMIFS(tblDaily[Deaths],tblDaily[EntryDate],DATE(2026,1,23),tblDaily[WardCode],"CW")),"")</f>
        <v/>
      </c>
      <c r="E29" s="12">
        <f>IFERROR(IF(SUMIFS(tblDaily[DeathsUnder24Hrs],tblDaily[EntryDate],DATE(2026,1,23),tblDaily[WardCode],"CW")=0,"",SUMIFS(tblDaily[DeathsUnder24Hrs],tblDaily[EntryDate],DATE(2026,1,23),tblDaily[WardCode],"CW")),"")</f>
        <v/>
      </c>
      <c r="F29" s="12">
        <f>IFERROR(IF(SUMIFS(tblDaily[TransfersIn],tblDaily[EntryDate],DATE(2026,1,23),tblDaily[WardCode],"CW")=0,"",SUMIFS(tblDaily[TransfersIn],tblDaily[EntryDate],DATE(2026,1,23),tblDaily[WardCode],"CW")),"")</f>
        <v/>
      </c>
      <c r="G29" s="12">
        <f>IFERROR(IF(SUMIFS(tblDaily[TransfersOut],tblDaily[EntryDate],DATE(2026,1,23),tblDaily[WardCode],"CW")=0,"",SUMIFS(tblDaily[TransfersOut],tblDaily[EntryDate],DATE(2026,1,23),tblDaily[WardCode],"CW")),"")</f>
        <v/>
      </c>
      <c r="H29" s="12">
        <f>IFERROR(IF(SUMIFS(tblDaily[Remaining],tblDaily[EntryDate],DATE(2026,1,23),tblDaily[WardCode],"CW")=0,"",SUMIFS(tblDaily[Remaining],tblDaily[EntryDate],DATE(2026,1,23),tblDaily[WardCode],"CW")),"")</f>
        <v/>
      </c>
    </row>
    <row r="30">
      <c r="A30" s="12" t="n">
        <v>24</v>
      </c>
      <c r="B30" s="12">
        <f>IFERROR(IF(SUMIFS(tblDaily[Admissions],tblDaily[EntryDate],DATE(2026,1,24),tblDaily[WardCode],"CW")=0,"",SUMIFS(tblDaily[Admissions],tblDaily[EntryDate],DATE(2026,1,24),tblDaily[WardCode],"CW")),"")</f>
        <v/>
      </c>
      <c r="C30" s="12">
        <f>IFERROR(IF(SUMIFS(tblDaily[Discharges],tblDaily[EntryDate],DATE(2026,1,24),tblDaily[WardCode],"CW")=0,"",SUMIFS(tblDaily[Discharges],tblDaily[EntryDate],DATE(2026,1,24),tblDaily[WardCode],"CW")),"")</f>
        <v/>
      </c>
      <c r="D30" s="12">
        <f>IFERROR(IF(SUMIFS(tblDaily[Deaths],tblDaily[EntryDate],DATE(2026,1,24),tblDaily[WardCode],"CW")=0,"",SUMIFS(tblDaily[Deaths],tblDaily[EntryDate],DATE(2026,1,24),tblDaily[WardCode],"CW")),"")</f>
        <v/>
      </c>
      <c r="E30" s="12">
        <f>IFERROR(IF(SUMIFS(tblDaily[DeathsUnder24Hrs],tblDaily[EntryDate],DATE(2026,1,24),tblDaily[WardCode],"CW")=0,"",SUMIFS(tblDaily[DeathsUnder24Hrs],tblDaily[EntryDate],DATE(2026,1,24),tblDaily[WardCode],"CW")),"")</f>
        <v/>
      </c>
      <c r="F30" s="12">
        <f>IFERROR(IF(SUMIFS(tblDaily[TransfersIn],tblDaily[EntryDate],DATE(2026,1,24),tblDaily[WardCode],"CW")=0,"",SUMIFS(tblDaily[TransfersIn],tblDaily[EntryDate],DATE(2026,1,24),tblDaily[WardCode],"CW")),"")</f>
        <v/>
      </c>
      <c r="G30" s="12">
        <f>IFERROR(IF(SUMIFS(tblDaily[TransfersOut],tblDaily[EntryDate],DATE(2026,1,24),tblDaily[WardCode],"CW")=0,"",SUMIFS(tblDaily[TransfersOut],tblDaily[EntryDate],DATE(2026,1,24),tblDaily[WardCode],"CW")),"")</f>
        <v/>
      </c>
      <c r="H30" s="12">
        <f>IFERROR(IF(SUMIFS(tblDaily[Remaining],tblDaily[EntryDate],DATE(2026,1,24),tblDaily[WardCode],"CW")=0,"",SUMIFS(tblDaily[Remaining],tblDaily[EntryDate],DATE(2026,1,24),tblDaily[WardCode],"CW")),"")</f>
        <v/>
      </c>
    </row>
    <row r="31">
      <c r="A31" s="12" t="n">
        <v>25</v>
      </c>
      <c r="B31" s="12">
        <f>IFERROR(IF(SUMIFS(tblDaily[Admissions],tblDaily[EntryDate],DATE(2026,1,25),tblDaily[WardCode],"CW")=0,"",SUMIFS(tblDaily[Admissions],tblDaily[EntryDate],DATE(2026,1,25),tblDaily[WardCode],"CW")),"")</f>
        <v/>
      </c>
      <c r="C31" s="12">
        <f>IFERROR(IF(SUMIFS(tblDaily[Discharges],tblDaily[EntryDate],DATE(2026,1,25),tblDaily[WardCode],"CW")=0,"",SUMIFS(tblDaily[Discharges],tblDaily[EntryDate],DATE(2026,1,25),tblDaily[WardCode],"CW")),"")</f>
        <v/>
      </c>
      <c r="D31" s="12">
        <f>IFERROR(IF(SUMIFS(tblDaily[Deaths],tblDaily[EntryDate],DATE(2026,1,25),tblDaily[WardCode],"CW")=0,"",SUMIFS(tblDaily[Deaths],tblDaily[EntryDate],DATE(2026,1,25),tblDaily[WardCode],"CW")),"")</f>
        <v/>
      </c>
      <c r="E31" s="12">
        <f>IFERROR(IF(SUMIFS(tblDaily[DeathsUnder24Hrs],tblDaily[EntryDate],DATE(2026,1,25),tblDaily[WardCode],"CW")=0,"",SUMIFS(tblDaily[DeathsUnder24Hrs],tblDaily[EntryDate],DATE(2026,1,25),tblDaily[WardCode],"CW")),"")</f>
        <v/>
      </c>
      <c r="F31" s="12">
        <f>IFERROR(IF(SUMIFS(tblDaily[TransfersIn],tblDaily[EntryDate],DATE(2026,1,25),tblDaily[WardCode],"CW")=0,"",SUMIFS(tblDaily[TransfersIn],tblDaily[EntryDate],DATE(2026,1,25),tblDaily[WardCode],"CW")),"")</f>
        <v/>
      </c>
      <c r="G31" s="12">
        <f>IFERROR(IF(SUMIFS(tblDaily[TransfersOut],tblDaily[EntryDate],DATE(2026,1,25),tblDaily[WardCode],"CW")=0,"",SUMIFS(tblDaily[TransfersOut],tblDaily[EntryDate],DATE(2026,1,25),tblDaily[WardCode],"CW")),"")</f>
        <v/>
      </c>
      <c r="H31" s="12">
        <f>IFERROR(IF(SUMIFS(tblDaily[Remaining],tblDaily[EntryDate],DATE(2026,1,25),tblDaily[WardCode],"CW")=0,"",SUMIFS(tblDaily[Remaining],tblDaily[EntryDate],DATE(2026,1,25),tblDaily[WardCode],"CW")),"")</f>
        <v/>
      </c>
    </row>
    <row r="32">
      <c r="A32" s="12" t="n">
        <v>26</v>
      </c>
      <c r="B32" s="12">
        <f>IFERROR(IF(SUMIFS(tblDaily[Admissions],tblDaily[EntryDate],DATE(2026,1,26),tblDaily[WardCode],"CW")=0,"",SUMIFS(tblDaily[Admissions],tblDaily[EntryDate],DATE(2026,1,26),tblDaily[WardCode],"CW")),"")</f>
        <v/>
      </c>
      <c r="C32" s="12">
        <f>IFERROR(IF(SUMIFS(tblDaily[Discharges],tblDaily[EntryDate],DATE(2026,1,26),tblDaily[WardCode],"CW")=0,"",SUMIFS(tblDaily[Discharges],tblDaily[EntryDate],DATE(2026,1,26),tblDaily[WardCode],"CW")),"")</f>
        <v/>
      </c>
      <c r="D32" s="12">
        <f>IFERROR(IF(SUMIFS(tblDaily[Deaths],tblDaily[EntryDate],DATE(2026,1,26),tblDaily[WardCode],"CW")=0,"",SUMIFS(tblDaily[Deaths],tblDaily[EntryDate],DATE(2026,1,26),tblDaily[WardCode],"CW")),"")</f>
        <v/>
      </c>
      <c r="E32" s="12">
        <f>IFERROR(IF(SUMIFS(tblDaily[DeathsUnder24Hrs],tblDaily[EntryDate],DATE(2026,1,26),tblDaily[WardCode],"CW")=0,"",SUMIFS(tblDaily[DeathsUnder24Hrs],tblDaily[EntryDate],DATE(2026,1,26),tblDaily[WardCode],"CW")),"")</f>
        <v/>
      </c>
      <c r="F32" s="12">
        <f>IFERROR(IF(SUMIFS(tblDaily[TransfersIn],tblDaily[EntryDate],DATE(2026,1,26),tblDaily[WardCode],"CW")=0,"",SUMIFS(tblDaily[TransfersIn],tblDaily[EntryDate],DATE(2026,1,26),tblDaily[WardCode],"CW")),"")</f>
        <v/>
      </c>
      <c r="G32" s="12">
        <f>IFERROR(IF(SUMIFS(tblDaily[TransfersOut],tblDaily[EntryDate],DATE(2026,1,26),tblDaily[WardCode],"CW")=0,"",SUMIFS(tblDaily[TransfersOut],tblDaily[EntryDate],DATE(2026,1,26),tblDaily[WardCode],"CW")),"")</f>
        <v/>
      </c>
      <c r="H32" s="12">
        <f>IFERROR(IF(SUMIFS(tblDaily[Remaining],tblDaily[EntryDate],DATE(2026,1,26),tblDaily[WardCode],"CW")=0,"",SUMIFS(tblDaily[Remaining],tblDaily[EntryDate],DATE(2026,1,26),tblDaily[WardCode],"CW")),"")</f>
        <v/>
      </c>
    </row>
    <row r="33">
      <c r="A33" s="12" t="n">
        <v>27</v>
      </c>
      <c r="B33" s="12">
        <f>IFERROR(IF(SUMIFS(tblDaily[Admissions],tblDaily[EntryDate],DATE(2026,1,27),tblDaily[WardCode],"CW")=0,"",SUMIFS(tblDaily[Admissions],tblDaily[EntryDate],DATE(2026,1,27),tblDaily[WardCode],"CW")),"")</f>
        <v/>
      </c>
      <c r="C33" s="12">
        <f>IFERROR(IF(SUMIFS(tblDaily[Discharges],tblDaily[EntryDate],DATE(2026,1,27),tblDaily[WardCode],"CW")=0,"",SUMIFS(tblDaily[Discharges],tblDaily[EntryDate],DATE(2026,1,27),tblDaily[WardCode],"CW")),"")</f>
        <v/>
      </c>
      <c r="D33" s="12">
        <f>IFERROR(IF(SUMIFS(tblDaily[Deaths],tblDaily[EntryDate],DATE(2026,1,27),tblDaily[WardCode],"CW")=0,"",SUMIFS(tblDaily[Deaths],tblDaily[EntryDate],DATE(2026,1,27),tblDaily[WardCode],"CW")),"")</f>
        <v/>
      </c>
      <c r="E33" s="12">
        <f>IFERROR(IF(SUMIFS(tblDaily[DeathsUnder24Hrs],tblDaily[EntryDate],DATE(2026,1,27),tblDaily[WardCode],"CW")=0,"",SUMIFS(tblDaily[DeathsUnder24Hrs],tblDaily[EntryDate],DATE(2026,1,27),tblDaily[WardCode],"CW")),"")</f>
        <v/>
      </c>
      <c r="F33" s="12">
        <f>IFERROR(IF(SUMIFS(tblDaily[TransfersIn],tblDaily[EntryDate],DATE(2026,1,27),tblDaily[WardCode],"CW")=0,"",SUMIFS(tblDaily[TransfersIn],tblDaily[EntryDate],DATE(2026,1,27),tblDaily[WardCode],"CW")),"")</f>
        <v/>
      </c>
      <c r="G33" s="12">
        <f>IFERROR(IF(SUMIFS(tblDaily[TransfersOut],tblDaily[EntryDate],DATE(2026,1,27),tblDaily[WardCode],"CW")=0,"",SUMIFS(tblDaily[TransfersOut],tblDaily[EntryDate],DATE(2026,1,27),tblDaily[WardCode],"CW")),"")</f>
        <v/>
      </c>
      <c r="H33" s="12">
        <f>IFERROR(IF(SUMIFS(tblDaily[Remaining],tblDaily[EntryDate],DATE(2026,1,27),tblDaily[WardCode],"CW")=0,"",SUMIFS(tblDaily[Remaining],tblDaily[EntryDate],DATE(2026,1,27),tblDaily[WardCode],"CW")),"")</f>
        <v/>
      </c>
    </row>
    <row r="34">
      <c r="A34" s="12" t="n">
        <v>28</v>
      </c>
      <c r="B34" s="12">
        <f>IFERROR(IF(SUMIFS(tblDaily[Admissions],tblDaily[EntryDate],DATE(2026,1,28),tblDaily[WardCode],"CW")=0,"",SUMIFS(tblDaily[Admissions],tblDaily[EntryDate],DATE(2026,1,28),tblDaily[WardCode],"CW")),"")</f>
        <v/>
      </c>
      <c r="C34" s="12">
        <f>IFERROR(IF(SUMIFS(tblDaily[Discharges],tblDaily[EntryDate],DATE(2026,1,28),tblDaily[WardCode],"CW")=0,"",SUMIFS(tblDaily[Discharges],tblDaily[EntryDate],DATE(2026,1,28),tblDaily[WardCode],"CW")),"")</f>
        <v/>
      </c>
      <c r="D34" s="12">
        <f>IFERROR(IF(SUMIFS(tblDaily[Deaths],tblDaily[EntryDate],DATE(2026,1,28),tblDaily[WardCode],"CW")=0,"",SUMIFS(tblDaily[Deaths],tblDaily[EntryDate],DATE(2026,1,28),tblDaily[WardCode],"CW")),"")</f>
        <v/>
      </c>
      <c r="E34" s="12">
        <f>IFERROR(IF(SUMIFS(tblDaily[DeathsUnder24Hrs],tblDaily[EntryDate],DATE(2026,1,28),tblDaily[WardCode],"CW")=0,"",SUMIFS(tblDaily[DeathsUnder24Hrs],tblDaily[EntryDate],DATE(2026,1,28),tblDaily[WardCode],"CW")),"")</f>
        <v/>
      </c>
      <c r="F34" s="12">
        <f>IFERROR(IF(SUMIFS(tblDaily[TransfersIn],tblDaily[EntryDate],DATE(2026,1,28),tblDaily[WardCode],"CW")=0,"",SUMIFS(tblDaily[TransfersIn],tblDaily[EntryDate],DATE(2026,1,28),tblDaily[WardCode],"CW")),"")</f>
        <v/>
      </c>
      <c r="G34" s="12">
        <f>IFERROR(IF(SUMIFS(tblDaily[TransfersOut],tblDaily[EntryDate],DATE(2026,1,28),tblDaily[WardCode],"CW")=0,"",SUMIFS(tblDaily[TransfersOut],tblDaily[EntryDate],DATE(2026,1,28),tblDaily[WardCode],"CW")),"")</f>
        <v/>
      </c>
      <c r="H34" s="12">
        <f>IFERROR(IF(SUMIFS(tblDaily[Remaining],tblDaily[EntryDate],DATE(2026,1,28),tblDaily[WardCode],"CW")=0,"",SUMIFS(tblDaily[Remaining],tblDaily[EntryDate],DATE(2026,1,28),tblDaily[WardCode],"CW")),"")</f>
        <v/>
      </c>
    </row>
    <row r="35">
      <c r="A35" s="12" t="n">
        <v>29</v>
      </c>
      <c r="B35" s="12">
        <f>IFERROR(IF(SUMIFS(tblDaily[Admissions],tblDaily[EntryDate],DATE(2026,1,29),tblDaily[WardCode],"CW")=0,"",SUMIFS(tblDaily[Admissions],tblDaily[EntryDate],DATE(2026,1,29),tblDaily[WardCode],"CW")),"")</f>
        <v/>
      </c>
      <c r="C35" s="12">
        <f>IFERROR(IF(SUMIFS(tblDaily[Discharges],tblDaily[EntryDate],DATE(2026,1,29),tblDaily[WardCode],"CW")=0,"",SUMIFS(tblDaily[Discharges],tblDaily[EntryDate],DATE(2026,1,29),tblDaily[WardCode],"CW")),"")</f>
        <v/>
      </c>
      <c r="D35" s="12">
        <f>IFERROR(IF(SUMIFS(tblDaily[Deaths],tblDaily[EntryDate],DATE(2026,1,29),tblDaily[WardCode],"CW")=0,"",SUMIFS(tblDaily[Deaths],tblDaily[EntryDate],DATE(2026,1,29),tblDaily[WardCode],"CW")),"")</f>
        <v/>
      </c>
      <c r="E35" s="12">
        <f>IFERROR(IF(SUMIFS(tblDaily[DeathsUnder24Hrs],tblDaily[EntryDate],DATE(2026,1,29),tblDaily[WardCode],"CW")=0,"",SUMIFS(tblDaily[DeathsUnder24Hrs],tblDaily[EntryDate],DATE(2026,1,29),tblDaily[WardCode],"CW")),"")</f>
        <v/>
      </c>
      <c r="F35" s="12">
        <f>IFERROR(IF(SUMIFS(tblDaily[TransfersIn],tblDaily[EntryDate],DATE(2026,1,29),tblDaily[WardCode],"CW")=0,"",SUMIFS(tblDaily[TransfersIn],tblDaily[EntryDate],DATE(2026,1,29),tblDaily[WardCode],"CW")),"")</f>
        <v/>
      </c>
      <c r="G35" s="12">
        <f>IFERROR(IF(SUMIFS(tblDaily[TransfersOut],tblDaily[EntryDate],DATE(2026,1,29),tblDaily[WardCode],"CW")=0,"",SUMIFS(tblDaily[TransfersOut],tblDaily[EntryDate],DATE(2026,1,29),tblDaily[WardCode],"CW")),"")</f>
        <v/>
      </c>
      <c r="H35" s="12">
        <f>IFERROR(IF(SUMIFS(tblDaily[Remaining],tblDaily[EntryDate],DATE(2026,1,29),tblDaily[WardCode],"CW")=0,"",SUMIFS(tblDaily[Remaining],tblDaily[EntryDate],DATE(2026,1,29),tblDaily[WardCode],"CW")),"")</f>
        <v/>
      </c>
    </row>
    <row r="36">
      <c r="A36" s="12" t="n">
        <v>30</v>
      </c>
      <c r="B36" s="12">
        <f>IFERROR(IF(SUMIFS(tblDaily[Admissions],tblDaily[EntryDate],DATE(2026,1,30),tblDaily[WardCode],"CW")=0,"",SUMIFS(tblDaily[Admissions],tblDaily[EntryDate],DATE(2026,1,30),tblDaily[WardCode],"CW")),"")</f>
        <v/>
      </c>
      <c r="C36" s="12">
        <f>IFERROR(IF(SUMIFS(tblDaily[Discharges],tblDaily[EntryDate],DATE(2026,1,30),tblDaily[WardCode],"CW")=0,"",SUMIFS(tblDaily[Discharges],tblDaily[EntryDate],DATE(2026,1,30),tblDaily[WardCode],"CW")),"")</f>
        <v/>
      </c>
      <c r="D36" s="12">
        <f>IFERROR(IF(SUMIFS(tblDaily[Deaths],tblDaily[EntryDate],DATE(2026,1,30),tblDaily[WardCode],"CW")=0,"",SUMIFS(tblDaily[Deaths],tblDaily[EntryDate],DATE(2026,1,30),tblDaily[WardCode],"CW")),"")</f>
        <v/>
      </c>
      <c r="E36" s="12">
        <f>IFERROR(IF(SUMIFS(tblDaily[DeathsUnder24Hrs],tblDaily[EntryDate],DATE(2026,1,30),tblDaily[WardCode],"CW")=0,"",SUMIFS(tblDaily[DeathsUnder24Hrs],tblDaily[EntryDate],DATE(2026,1,30),tblDaily[WardCode],"CW")),"")</f>
        <v/>
      </c>
      <c r="F36" s="12">
        <f>IFERROR(IF(SUMIFS(tblDaily[TransfersIn],tblDaily[EntryDate],DATE(2026,1,30),tblDaily[WardCode],"CW")=0,"",SUMIFS(tblDaily[TransfersIn],tblDaily[EntryDate],DATE(2026,1,30),tblDaily[WardCode],"CW")),"")</f>
        <v/>
      </c>
      <c r="G36" s="12">
        <f>IFERROR(IF(SUMIFS(tblDaily[TransfersOut],tblDaily[EntryDate],DATE(2026,1,30),tblDaily[WardCode],"CW")=0,"",SUMIFS(tblDaily[TransfersOut],tblDaily[EntryDate],DATE(2026,1,30),tblDaily[WardCode],"CW")),"")</f>
        <v/>
      </c>
      <c r="H36" s="12">
        <f>IFERROR(IF(SUMIFS(tblDaily[Remaining],tblDaily[EntryDate],DATE(2026,1,30),tblDaily[WardCode],"CW")=0,"",SUMIFS(tblDaily[Remaining],tblDaily[EntryDate],DATE(2026,1,30),tblDaily[WardCode],"CW")),"")</f>
        <v/>
      </c>
    </row>
    <row r="37">
      <c r="A37" s="12" t="n">
        <v>31</v>
      </c>
      <c r="B37" s="12">
        <f>IFERROR(IF(SUMIFS(tblDaily[Admissions],tblDaily[EntryDate],DATE(2026,1,31),tblDaily[WardCode],"CW")=0,"",SUMIFS(tblDaily[Admissions],tblDaily[EntryDate],DATE(2026,1,31),tblDaily[WardCode],"CW")),"")</f>
        <v/>
      </c>
      <c r="C37" s="12">
        <f>IFERROR(IF(SUMIFS(tblDaily[Discharges],tblDaily[EntryDate],DATE(2026,1,31),tblDaily[WardCode],"CW")=0,"",SUMIFS(tblDaily[Discharges],tblDaily[EntryDate],DATE(2026,1,31),tblDaily[WardCode],"CW")),"")</f>
        <v/>
      </c>
      <c r="D37" s="12">
        <f>IFERROR(IF(SUMIFS(tblDaily[Deaths],tblDaily[EntryDate],DATE(2026,1,31),tblDaily[WardCode],"CW")=0,"",SUMIFS(tblDaily[Deaths],tblDaily[EntryDate],DATE(2026,1,31),tblDaily[WardCode],"CW")),"")</f>
        <v/>
      </c>
      <c r="E37" s="12">
        <f>IFERROR(IF(SUMIFS(tblDaily[DeathsUnder24Hrs],tblDaily[EntryDate],DATE(2026,1,31),tblDaily[WardCode],"CW")=0,"",SUMIFS(tblDaily[DeathsUnder24Hrs],tblDaily[EntryDate],DATE(2026,1,31),tblDaily[WardCode],"CW")),"")</f>
        <v/>
      </c>
      <c r="F37" s="12">
        <f>IFERROR(IF(SUMIFS(tblDaily[TransfersIn],tblDaily[EntryDate],DATE(2026,1,31),tblDaily[WardCode],"CW")=0,"",SUMIFS(tblDaily[TransfersIn],tblDaily[EntryDate],DATE(2026,1,31),tblDaily[WardCode],"CW")),"")</f>
        <v/>
      </c>
      <c r="G37" s="12">
        <f>IFERROR(IF(SUMIFS(tblDaily[TransfersOut],tblDaily[EntryDate],DATE(2026,1,31),tblDaily[WardCode],"CW")=0,"",SUMIFS(tblDaily[TransfersOut],tblDaily[EntryDate],DATE(2026,1,31),tblDaily[WardCode],"CW")),"")</f>
        <v/>
      </c>
      <c r="H37" s="12">
        <f>IFERROR(IF(SUMIFS(tblDaily[Remaining],tblDaily[EntryDate],DATE(2026,1,31),tblDaily[WardCode],"CW")=0,"",SUMIFS(tblDaily[Remaining],tblDaily[EntryDate],DATE(2026,1,31),tblDaily[WardCode],"CW")),"")</f>
        <v/>
      </c>
    </row>
    <row r="38">
      <c r="A38" s="17" t="inlineStr">
        <is>
          <t>TOTAL</t>
        </is>
      </c>
      <c r="B38" s="17">
        <f>SUMIFS(tblDaily[Admissions],tblDaily[Month],1,tblDaily[WardCode],"CW") - SUMIFS(tblDaily[DeathsUnder24Hrs],tblDaily[Month],1,tblDaily[WardCode],"CW")</f>
        <v/>
      </c>
      <c r="C38" s="17">
        <f>SUMIFS(tblDaily[Discharges],tblDaily[Month],1,tblDaily[WardCode],"CW")</f>
        <v/>
      </c>
      <c r="D38" s="17">
        <f>SUMIFS(tblDaily[Deaths],tblDaily[Month],1,tblDaily[WardCode],"CW")</f>
        <v/>
      </c>
      <c r="E38" s="17">
        <f>SUMIFS(tblDaily[DeathsUnder24Hrs],tblDaily[Month],1,tblDaily[WardCode],"CW")</f>
        <v/>
      </c>
      <c r="F38" s="17">
        <f>SUMIFS(tblDaily[TransfersIn],tblDaily[Month],1,tblDaily[WardCode],"CW")</f>
        <v/>
      </c>
      <c r="G38" s="17">
        <f>SUMIFS(tblDaily[TransfersOut],tblDaily[Month],1,tblDaily[WardCode],"CW")</f>
        <v/>
      </c>
      <c r="H38" s="17">
        <f>SUMIFS(tblDaily[Remaining],tblDaily[Month],1,tblDaily[WardCode],"CW")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PAEDIATRIC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4">
        <f>IFERROR(SUMIFS(tblDaily[Remaining],tblDaily[EntryDate],DATE(2026,1,31),tblDaily[WardCode],"CW"),0)</f>
        <v/>
      </c>
    </row>
    <row r="44">
      <c r="A44" s="4" t="inlineStr">
        <is>
          <t>Bed complement</t>
        </is>
      </c>
      <c r="H44" s="15">
        <f>IFERROR(INDEX(tblWardConfig[BedComplement],MATCH("CW",tblWardConfig[WardCode],0)),0)</f>
        <v/>
      </c>
    </row>
    <row r="45">
      <c r="A45" s="16" t="inlineStr">
        <is>
          <t>Day of
the
Month</t>
        </is>
      </c>
      <c r="B45" s="16" t="inlineStr">
        <is>
          <t>Admissions</t>
        </is>
      </c>
      <c r="C45" s="16" t="inlineStr">
        <is>
          <t>Discharges</t>
        </is>
      </c>
      <c r="D45" s="16" t="inlineStr">
        <is>
          <t>Deaths</t>
        </is>
      </c>
      <c r="E45" s="16" t="inlineStr">
        <is>
          <t>Deaths
&lt;24Hrs</t>
        </is>
      </c>
      <c r="F45" s="16" t="inlineStr">
        <is>
          <t>Transfers-
In</t>
        </is>
      </c>
      <c r="G45" s="16" t="inlineStr">
        <is>
          <t>Transfers-
Out</t>
        </is>
      </c>
      <c r="H45" s="16" t="inlineStr">
        <is>
          <t>No. of Patients
Remaining In
Ward</t>
        </is>
      </c>
    </row>
    <row r="46">
      <c r="A46" s="12" t="n">
        <v>1</v>
      </c>
      <c r="B46" s="12">
        <f>IFERROR(IF(SUMIFS(tblDaily[Admissions],tblDaily[EntryDate],DATE(2026,2,1),tblDaily[WardCode],"CW")=0,"",SUMIFS(tblDaily[Admissions],tblDaily[EntryDate],DATE(2026,2,1),tblDaily[WardCode],"CW")),"")</f>
        <v/>
      </c>
      <c r="C46" s="12">
        <f>IFERROR(IF(SUMIFS(tblDaily[Discharges],tblDaily[EntryDate],DATE(2026,2,1),tblDaily[WardCode],"CW")=0,"",SUMIFS(tblDaily[Discharges],tblDaily[EntryDate],DATE(2026,2,1),tblDaily[WardCode],"CW")),"")</f>
        <v/>
      </c>
      <c r="D46" s="12">
        <f>IFERROR(IF(SUMIFS(tblDaily[Deaths],tblDaily[EntryDate],DATE(2026,2,1),tblDaily[WardCode],"CW")=0,"",SUMIFS(tblDaily[Deaths],tblDaily[EntryDate],DATE(2026,2,1),tblDaily[WardCode],"CW")),"")</f>
        <v/>
      </c>
      <c r="E46" s="12">
        <f>IFERROR(IF(SUMIFS(tblDaily[DeathsUnder24Hrs],tblDaily[EntryDate],DATE(2026,2,1),tblDaily[WardCode],"CW")=0,"",SUMIFS(tblDaily[DeathsUnder24Hrs],tblDaily[EntryDate],DATE(2026,2,1),tblDaily[WardCode],"CW")),"")</f>
        <v/>
      </c>
      <c r="F46" s="12">
        <f>IFERROR(IF(SUMIFS(tblDaily[TransfersIn],tblDaily[EntryDate],DATE(2026,2,1),tblDaily[WardCode],"CW")=0,"",SUMIFS(tblDaily[TransfersIn],tblDaily[EntryDate],DATE(2026,2,1),tblDaily[WardCode],"CW")),"")</f>
        <v/>
      </c>
      <c r="G46" s="12">
        <f>IFERROR(IF(SUMIFS(tblDaily[TransfersOut],tblDaily[EntryDate],DATE(2026,2,1),tblDaily[WardCode],"CW")=0,"",SUMIFS(tblDaily[TransfersOut],tblDaily[EntryDate],DATE(2026,2,1),tblDaily[WardCode],"CW")),"")</f>
        <v/>
      </c>
      <c r="H46" s="12">
        <f>IFERROR(IF(SUMIFS(tblDaily[Remaining],tblDaily[EntryDate],DATE(2026,2,1),tblDaily[WardCode],"CW")=0,"",SUMIFS(tblDaily[Remaining],tblDaily[EntryDate],DATE(2026,2,1),tblDaily[WardCode],"CW")),"")</f>
        <v/>
      </c>
    </row>
    <row r="47">
      <c r="A47" s="12" t="n">
        <v>2</v>
      </c>
      <c r="B47" s="12">
        <f>IFERROR(IF(SUMIFS(tblDaily[Admissions],tblDaily[EntryDate],DATE(2026,2,2),tblDaily[WardCode],"CW")=0,"",SUMIFS(tblDaily[Admissions],tblDaily[EntryDate],DATE(2026,2,2),tblDaily[WardCode],"CW")),"")</f>
        <v/>
      </c>
      <c r="C47" s="12">
        <f>IFERROR(IF(SUMIFS(tblDaily[Discharges],tblDaily[EntryDate],DATE(2026,2,2),tblDaily[WardCode],"CW")=0,"",SUMIFS(tblDaily[Discharges],tblDaily[EntryDate],DATE(2026,2,2),tblDaily[WardCode],"CW")),"")</f>
        <v/>
      </c>
      <c r="D47" s="12">
        <f>IFERROR(IF(SUMIFS(tblDaily[Deaths],tblDaily[EntryDate],DATE(2026,2,2),tblDaily[WardCode],"CW")=0,"",SUMIFS(tblDaily[Deaths],tblDaily[EntryDate],DATE(2026,2,2),tblDaily[WardCode],"CW")),"")</f>
        <v/>
      </c>
      <c r="E47" s="12">
        <f>IFERROR(IF(SUMIFS(tblDaily[DeathsUnder24Hrs],tblDaily[EntryDate],DATE(2026,2,2),tblDaily[WardCode],"CW")=0,"",SUMIFS(tblDaily[DeathsUnder24Hrs],tblDaily[EntryDate],DATE(2026,2,2),tblDaily[WardCode],"CW")),"")</f>
        <v/>
      </c>
      <c r="F47" s="12">
        <f>IFERROR(IF(SUMIFS(tblDaily[TransfersIn],tblDaily[EntryDate],DATE(2026,2,2),tblDaily[WardCode],"CW")=0,"",SUMIFS(tblDaily[TransfersIn],tblDaily[EntryDate],DATE(2026,2,2),tblDaily[WardCode],"CW")),"")</f>
        <v/>
      </c>
      <c r="G47" s="12">
        <f>IFERROR(IF(SUMIFS(tblDaily[TransfersOut],tblDaily[EntryDate],DATE(2026,2,2),tblDaily[WardCode],"CW")=0,"",SUMIFS(tblDaily[TransfersOut],tblDaily[EntryDate],DATE(2026,2,2),tblDaily[WardCode],"CW")),"")</f>
        <v/>
      </c>
      <c r="H47" s="12">
        <f>IFERROR(IF(SUMIFS(tblDaily[Remaining],tblDaily[EntryDate],DATE(2026,2,2),tblDaily[WardCode],"CW")=0,"",SUMIFS(tblDaily[Remaining],tblDaily[EntryDate],DATE(2026,2,2),tblDaily[WardCode],"CW")),"")</f>
        <v/>
      </c>
    </row>
    <row r="48">
      <c r="A48" s="12" t="n">
        <v>3</v>
      </c>
      <c r="B48" s="12">
        <f>IFERROR(IF(SUMIFS(tblDaily[Admissions],tblDaily[EntryDate],DATE(2026,2,3),tblDaily[WardCode],"CW")=0,"",SUMIFS(tblDaily[Admissions],tblDaily[EntryDate],DATE(2026,2,3),tblDaily[WardCode],"CW")),"")</f>
        <v/>
      </c>
      <c r="C48" s="12">
        <f>IFERROR(IF(SUMIFS(tblDaily[Discharges],tblDaily[EntryDate],DATE(2026,2,3),tblDaily[WardCode],"CW")=0,"",SUMIFS(tblDaily[Discharges],tblDaily[EntryDate],DATE(2026,2,3),tblDaily[WardCode],"CW")),"")</f>
        <v/>
      </c>
      <c r="D48" s="12">
        <f>IFERROR(IF(SUMIFS(tblDaily[Deaths],tblDaily[EntryDate],DATE(2026,2,3),tblDaily[WardCode],"CW")=0,"",SUMIFS(tblDaily[Deaths],tblDaily[EntryDate],DATE(2026,2,3),tblDaily[WardCode],"CW")),"")</f>
        <v/>
      </c>
      <c r="E48" s="12">
        <f>IFERROR(IF(SUMIFS(tblDaily[DeathsUnder24Hrs],tblDaily[EntryDate],DATE(2026,2,3),tblDaily[WardCode],"CW")=0,"",SUMIFS(tblDaily[DeathsUnder24Hrs],tblDaily[EntryDate],DATE(2026,2,3),tblDaily[WardCode],"CW")),"")</f>
        <v/>
      </c>
      <c r="F48" s="12">
        <f>IFERROR(IF(SUMIFS(tblDaily[TransfersIn],tblDaily[EntryDate],DATE(2026,2,3),tblDaily[WardCode],"CW")=0,"",SUMIFS(tblDaily[TransfersIn],tblDaily[EntryDate],DATE(2026,2,3),tblDaily[WardCode],"CW")),"")</f>
        <v/>
      </c>
      <c r="G48" s="12">
        <f>IFERROR(IF(SUMIFS(tblDaily[TransfersOut],tblDaily[EntryDate],DATE(2026,2,3),tblDaily[WardCode],"CW")=0,"",SUMIFS(tblDaily[TransfersOut],tblDaily[EntryDate],DATE(2026,2,3),tblDaily[WardCode],"CW")),"")</f>
        <v/>
      </c>
      <c r="H48" s="12">
        <f>IFERROR(IF(SUMIFS(tblDaily[Remaining],tblDaily[EntryDate],DATE(2026,2,3),tblDaily[WardCode],"CW")=0,"",SUMIFS(tblDaily[Remaining],tblDaily[EntryDate],DATE(2026,2,3),tblDaily[WardCode],"CW")),"")</f>
        <v/>
      </c>
    </row>
    <row r="49">
      <c r="A49" s="12" t="n">
        <v>4</v>
      </c>
      <c r="B49" s="12">
        <f>IFERROR(IF(SUMIFS(tblDaily[Admissions],tblDaily[EntryDate],DATE(2026,2,4),tblDaily[WardCode],"CW")=0,"",SUMIFS(tblDaily[Admissions],tblDaily[EntryDate],DATE(2026,2,4),tblDaily[WardCode],"CW")),"")</f>
        <v/>
      </c>
      <c r="C49" s="12">
        <f>IFERROR(IF(SUMIFS(tblDaily[Discharges],tblDaily[EntryDate],DATE(2026,2,4),tblDaily[WardCode],"CW")=0,"",SUMIFS(tblDaily[Discharges],tblDaily[EntryDate],DATE(2026,2,4),tblDaily[WardCode],"CW")),"")</f>
        <v/>
      </c>
      <c r="D49" s="12">
        <f>IFERROR(IF(SUMIFS(tblDaily[Deaths],tblDaily[EntryDate],DATE(2026,2,4),tblDaily[WardCode],"CW")=0,"",SUMIFS(tblDaily[Deaths],tblDaily[EntryDate],DATE(2026,2,4),tblDaily[WardCode],"CW")),"")</f>
        <v/>
      </c>
      <c r="E49" s="12">
        <f>IFERROR(IF(SUMIFS(tblDaily[DeathsUnder24Hrs],tblDaily[EntryDate],DATE(2026,2,4),tblDaily[WardCode],"CW")=0,"",SUMIFS(tblDaily[DeathsUnder24Hrs],tblDaily[EntryDate],DATE(2026,2,4),tblDaily[WardCode],"CW")),"")</f>
        <v/>
      </c>
      <c r="F49" s="12">
        <f>IFERROR(IF(SUMIFS(tblDaily[TransfersIn],tblDaily[EntryDate],DATE(2026,2,4),tblDaily[WardCode],"CW")=0,"",SUMIFS(tblDaily[TransfersIn],tblDaily[EntryDate],DATE(2026,2,4),tblDaily[WardCode],"CW")),"")</f>
        <v/>
      </c>
      <c r="G49" s="12">
        <f>IFERROR(IF(SUMIFS(tblDaily[TransfersOut],tblDaily[EntryDate],DATE(2026,2,4),tblDaily[WardCode],"CW")=0,"",SUMIFS(tblDaily[TransfersOut],tblDaily[EntryDate],DATE(2026,2,4),tblDaily[WardCode],"CW")),"")</f>
        <v/>
      </c>
      <c r="H49" s="12">
        <f>IFERROR(IF(SUMIFS(tblDaily[Remaining],tblDaily[EntryDate],DATE(2026,2,4),tblDaily[WardCode],"CW")=0,"",SUMIFS(tblDaily[Remaining],tblDaily[EntryDate],DATE(2026,2,4),tblDaily[WardCode],"CW")),"")</f>
        <v/>
      </c>
    </row>
    <row r="50">
      <c r="A50" s="12" t="n">
        <v>5</v>
      </c>
      <c r="B50" s="12">
        <f>IFERROR(IF(SUMIFS(tblDaily[Admissions],tblDaily[EntryDate],DATE(2026,2,5),tblDaily[WardCode],"CW")=0,"",SUMIFS(tblDaily[Admissions],tblDaily[EntryDate],DATE(2026,2,5),tblDaily[WardCode],"CW")),"")</f>
        <v/>
      </c>
      <c r="C50" s="12">
        <f>IFERROR(IF(SUMIFS(tblDaily[Discharges],tblDaily[EntryDate],DATE(2026,2,5),tblDaily[WardCode],"CW")=0,"",SUMIFS(tblDaily[Discharges],tblDaily[EntryDate],DATE(2026,2,5),tblDaily[WardCode],"CW")),"")</f>
        <v/>
      </c>
      <c r="D50" s="12">
        <f>IFERROR(IF(SUMIFS(tblDaily[Deaths],tblDaily[EntryDate],DATE(2026,2,5),tblDaily[WardCode],"CW")=0,"",SUMIFS(tblDaily[Deaths],tblDaily[EntryDate],DATE(2026,2,5),tblDaily[WardCode],"CW")),"")</f>
        <v/>
      </c>
      <c r="E50" s="12">
        <f>IFERROR(IF(SUMIFS(tblDaily[DeathsUnder24Hrs],tblDaily[EntryDate],DATE(2026,2,5),tblDaily[WardCode],"CW")=0,"",SUMIFS(tblDaily[DeathsUnder24Hrs],tblDaily[EntryDate],DATE(2026,2,5),tblDaily[WardCode],"CW")),"")</f>
        <v/>
      </c>
      <c r="F50" s="12">
        <f>IFERROR(IF(SUMIFS(tblDaily[TransfersIn],tblDaily[EntryDate],DATE(2026,2,5),tblDaily[WardCode],"CW")=0,"",SUMIFS(tblDaily[TransfersIn],tblDaily[EntryDate],DATE(2026,2,5),tblDaily[WardCode],"CW")),"")</f>
        <v/>
      </c>
      <c r="G50" s="12">
        <f>IFERROR(IF(SUMIFS(tblDaily[TransfersOut],tblDaily[EntryDate],DATE(2026,2,5),tblDaily[WardCode],"CW")=0,"",SUMIFS(tblDaily[TransfersOut],tblDaily[EntryDate],DATE(2026,2,5),tblDaily[WardCode],"CW")),"")</f>
        <v/>
      </c>
      <c r="H50" s="12">
        <f>IFERROR(IF(SUMIFS(tblDaily[Remaining],tblDaily[EntryDate],DATE(2026,2,5),tblDaily[WardCode],"CW")=0,"",SUMIFS(tblDaily[Remaining],tblDaily[EntryDate],DATE(2026,2,5),tblDaily[WardCode],"CW")),"")</f>
        <v/>
      </c>
    </row>
    <row r="51">
      <c r="A51" s="12" t="n">
        <v>6</v>
      </c>
      <c r="B51" s="12">
        <f>IFERROR(IF(SUMIFS(tblDaily[Admissions],tblDaily[EntryDate],DATE(2026,2,6),tblDaily[WardCode],"CW")=0,"",SUMIFS(tblDaily[Admissions],tblDaily[EntryDate],DATE(2026,2,6),tblDaily[WardCode],"CW")),"")</f>
        <v/>
      </c>
      <c r="C51" s="12">
        <f>IFERROR(IF(SUMIFS(tblDaily[Discharges],tblDaily[EntryDate],DATE(2026,2,6),tblDaily[WardCode],"CW")=0,"",SUMIFS(tblDaily[Discharges],tblDaily[EntryDate],DATE(2026,2,6),tblDaily[WardCode],"CW")),"")</f>
        <v/>
      </c>
      <c r="D51" s="12">
        <f>IFERROR(IF(SUMIFS(tblDaily[Deaths],tblDaily[EntryDate],DATE(2026,2,6),tblDaily[WardCode],"CW")=0,"",SUMIFS(tblDaily[Deaths],tblDaily[EntryDate],DATE(2026,2,6),tblDaily[WardCode],"CW")),"")</f>
        <v/>
      </c>
      <c r="E51" s="12">
        <f>IFERROR(IF(SUMIFS(tblDaily[DeathsUnder24Hrs],tblDaily[EntryDate],DATE(2026,2,6),tblDaily[WardCode],"CW")=0,"",SUMIFS(tblDaily[DeathsUnder24Hrs],tblDaily[EntryDate],DATE(2026,2,6),tblDaily[WardCode],"CW")),"")</f>
        <v/>
      </c>
      <c r="F51" s="12">
        <f>IFERROR(IF(SUMIFS(tblDaily[TransfersIn],tblDaily[EntryDate],DATE(2026,2,6),tblDaily[WardCode],"CW")=0,"",SUMIFS(tblDaily[TransfersIn],tblDaily[EntryDate],DATE(2026,2,6),tblDaily[WardCode],"CW")),"")</f>
        <v/>
      </c>
      <c r="G51" s="12">
        <f>IFERROR(IF(SUMIFS(tblDaily[TransfersOut],tblDaily[EntryDate],DATE(2026,2,6),tblDaily[WardCode],"CW")=0,"",SUMIFS(tblDaily[TransfersOut],tblDaily[EntryDate],DATE(2026,2,6),tblDaily[WardCode],"CW")),"")</f>
        <v/>
      </c>
      <c r="H51" s="12">
        <f>IFERROR(IF(SUMIFS(tblDaily[Remaining],tblDaily[EntryDate],DATE(2026,2,6),tblDaily[WardCode],"CW")=0,"",SUMIFS(tblDaily[Remaining],tblDaily[EntryDate],DATE(2026,2,6),tblDaily[WardCode],"CW")),"")</f>
        <v/>
      </c>
    </row>
    <row r="52">
      <c r="A52" s="12" t="n">
        <v>7</v>
      </c>
      <c r="B52" s="12">
        <f>IFERROR(IF(SUMIFS(tblDaily[Admissions],tblDaily[EntryDate],DATE(2026,2,7),tblDaily[WardCode],"CW")=0,"",SUMIFS(tblDaily[Admissions],tblDaily[EntryDate],DATE(2026,2,7),tblDaily[WardCode],"CW")),"")</f>
        <v/>
      </c>
      <c r="C52" s="12">
        <f>IFERROR(IF(SUMIFS(tblDaily[Discharges],tblDaily[EntryDate],DATE(2026,2,7),tblDaily[WardCode],"CW")=0,"",SUMIFS(tblDaily[Discharges],tblDaily[EntryDate],DATE(2026,2,7),tblDaily[WardCode],"CW")),"")</f>
        <v/>
      </c>
      <c r="D52" s="12">
        <f>IFERROR(IF(SUMIFS(tblDaily[Deaths],tblDaily[EntryDate],DATE(2026,2,7),tblDaily[WardCode],"CW")=0,"",SUMIFS(tblDaily[Deaths],tblDaily[EntryDate],DATE(2026,2,7),tblDaily[WardCode],"CW")),"")</f>
        <v/>
      </c>
      <c r="E52" s="12">
        <f>IFERROR(IF(SUMIFS(tblDaily[DeathsUnder24Hrs],tblDaily[EntryDate],DATE(2026,2,7),tblDaily[WardCode],"CW")=0,"",SUMIFS(tblDaily[DeathsUnder24Hrs],tblDaily[EntryDate],DATE(2026,2,7),tblDaily[WardCode],"CW")),"")</f>
        <v/>
      </c>
      <c r="F52" s="12">
        <f>IFERROR(IF(SUMIFS(tblDaily[TransfersIn],tblDaily[EntryDate],DATE(2026,2,7),tblDaily[WardCode],"CW")=0,"",SUMIFS(tblDaily[TransfersIn],tblDaily[EntryDate],DATE(2026,2,7),tblDaily[WardCode],"CW")),"")</f>
        <v/>
      </c>
      <c r="G52" s="12">
        <f>IFERROR(IF(SUMIFS(tblDaily[TransfersOut],tblDaily[EntryDate],DATE(2026,2,7),tblDaily[WardCode],"CW")=0,"",SUMIFS(tblDaily[TransfersOut],tblDaily[EntryDate],DATE(2026,2,7),tblDaily[WardCode],"CW")),"")</f>
        <v/>
      </c>
      <c r="H52" s="12">
        <f>IFERROR(IF(SUMIFS(tblDaily[Remaining],tblDaily[EntryDate],DATE(2026,2,7),tblDaily[WardCode],"CW")=0,"",SUMIFS(tblDaily[Remaining],tblDaily[EntryDate],DATE(2026,2,7),tblDaily[WardCode],"CW")),"")</f>
        <v/>
      </c>
    </row>
    <row r="53">
      <c r="A53" s="12" t="n">
        <v>8</v>
      </c>
      <c r="B53" s="12">
        <f>IFERROR(IF(SUMIFS(tblDaily[Admissions],tblDaily[EntryDate],DATE(2026,2,8),tblDaily[WardCode],"CW")=0,"",SUMIFS(tblDaily[Admissions],tblDaily[EntryDate],DATE(2026,2,8),tblDaily[WardCode],"CW")),"")</f>
        <v/>
      </c>
      <c r="C53" s="12">
        <f>IFERROR(IF(SUMIFS(tblDaily[Discharges],tblDaily[EntryDate],DATE(2026,2,8),tblDaily[WardCode],"CW")=0,"",SUMIFS(tblDaily[Discharges],tblDaily[EntryDate],DATE(2026,2,8),tblDaily[WardCode],"CW")),"")</f>
        <v/>
      </c>
      <c r="D53" s="12">
        <f>IFERROR(IF(SUMIFS(tblDaily[Deaths],tblDaily[EntryDate],DATE(2026,2,8),tblDaily[WardCode],"CW")=0,"",SUMIFS(tblDaily[Deaths],tblDaily[EntryDate],DATE(2026,2,8),tblDaily[WardCode],"CW")),"")</f>
        <v/>
      </c>
      <c r="E53" s="12">
        <f>IFERROR(IF(SUMIFS(tblDaily[DeathsUnder24Hrs],tblDaily[EntryDate],DATE(2026,2,8),tblDaily[WardCode],"CW")=0,"",SUMIFS(tblDaily[DeathsUnder24Hrs],tblDaily[EntryDate],DATE(2026,2,8),tblDaily[WardCode],"CW")),"")</f>
        <v/>
      </c>
      <c r="F53" s="12">
        <f>IFERROR(IF(SUMIFS(tblDaily[TransfersIn],tblDaily[EntryDate],DATE(2026,2,8),tblDaily[WardCode],"CW")=0,"",SUMIFS(tblDaily[TransfersIn],tblDaily[EntryDate],DATE(2026,2,8),tblDaily[WardCode],"CW")),"")</f>
        <v/>
      </c>
      <c r="G53" s="12">
        <f>IFERROR(IF(SUMIFS(tblDaily[TransfersOut],tblDaily[EntryDate],DATE(2026,2,8),tblDaily[WardCode],"CW")=0,"",SUMIFS(tblDaily[TransfersOut],tblDaily[EntryDate],DATE(2026,2,8),tblDaily[WardCode],"CW")),"")</f>
        <v/>
      </c>
      <c r="H53" s="12">
        <f>IFERROR(IF(SUMIFS(tblDaily[Remaining],tblDaily[EntryDate],DATE(2026,2,8),tblDaily[WardCode],"CW")=0,"",SUMIFS(tblDaily[Remaining],tblDaily[EntryDate],DATE(2026,2,8),tblDaily[WardCode],"CW")),"")</f>
        <v/>
      </c>
    </row>
    <row r="54">
      <c r="A54" s="12" t="n">
        <v>9</v>
      </c>
      <c r="B54" s="12">
        <f>IFERROR(IF(SUMIFS(tblDaily[Admissions],tblDaily[EntryDate],DATE(2026,2,9),tblDaily[WardCode],"CW")=0,"",SUMIFS(tblDaily[Admissions],tblDaily[EntryDate],DATE(2026,2,9),tblDaily[WardCode],"CW")),"")</f>
        <v/>
      </c>
      <c r="C54" s="12">
        <f>IFERROR(IF(SUMIFS(tblDaily[Discharges],tblDaily[EntryDate],DATE(2026,2,9),tblDaily[WardCode],"CW")=0,"",SUMIFS(tblDaily[Discharges],tblDaily[EntryDate],DATE(2026,2,9),tblDaily[WardCode],"CW")),"")</f>
        <v/>
      </c>
      <c r="D54" s="12">
        <f>IFERROR(IF(SUMIFS(tblDaily[Deaths],tblDaily[EntryDate],DATE(2026,2,9),tblDaily[WardCode],"CW")=0,"",SUMIFS(tblDaily[Deaths],tblDaily[EntryDate],DATE(2026,2,9),tblDaily[WardCode],"CW")),"")</f>
        <v/>
      </c>
      <c r="E54" s="12">
        <f>IFERROR(IF(SUMIFS(tblDaily[DeathsUnder24Hrs],tblDaily[EntryDate],DATE(2026,2,9),tblDaily[WardCode],"CW")=0,"",SUMIFS(tblDaily[DeathsUnder24Hrs],tblDaily[EntryDate],DATE(2026,2,9),tblDaily[WardCode],"CW")),"")</f>
        <v/>
      </c>
      <c r="F54" s="12">
        <f>IFERROR(IF(SUMIFS(tblDaily[TransfersIn],tblDaily[EntryDate],DATE(2026,2,9),tblDaily[WardCode],"CW")=0,"",SUMIFS(tblDaily[TransfersIn],tblDaily[EntryDate],DATE(2026,2,9),tblDaily[WardCode],"CW")),"")</f>
        <v/>
      </c>
      <c r="G54" s="12">
        <f>IFERROR(IF(SUMIFS(tblDaily[TransfersOut],tblDaily[EntryDate],DATE(2026,2,9),tblDaily[WardCode],"CW")=0,"",SUMIFS(tblDaily[TransfersOut],tblDaily[EntryDate],DATE(2026,2,9),tblDaily[WardCode],"CW")),"")</f>
        <v/>
      </c>
      <c r="H54" s="12">
        <f>IFERROR(IF(SUMIFS(tblDaily[Remaining],tblDaily[EntryDate],DATE(2026,2,9),tblDaily[WardCode],"CW")=0,"",SUMIFS(tblDaily[Remaining],tblDaily[EntryDate],DATE(2026,2,9),tblDaily[WardCode],"CW")),"")</f>
        <v/>
      </c>
    </row>
    <row r="55">
      <c r="A55" s="12" t="n">
        <v>10</v>
      </c>
      <c r="B55" s="12">
        <f>IFERROR(IF(SUMIFS(tblDaily[Admissions],tblDaily[EntryDate],DATE(2026,2,10),tblDaily[WardCode],"CW")=0,"",SUMIFS(tblDaily[Admissions],tblDaily[EntryDate],DATE(2026,2,10),tblDaily[WardCode],"CW")),"")</f>
        <v/>
      </c>
      <c r="C55" s="12">
        <f>IFERROR(IF(SUMIFS(tblDaily[Discharges],tblDaily[EntryDate],DATE(2026,2,10),tblDaily[WardCode],"CW")=0,"",SUMIFS(tblDaily[Discharges],tblDaily[EntryDate],DATE(2026,2,10),tblDaily[WardCode],"CW")),"")</f>
        <v/>
      </c>
      <c r="D55" s="12">
        <f>IFERROR(IF(SUMIFS(tblDaily[Deaths],tblDaily[EntryDate],DATE(2026,2,10),tblDaily[WardCode],"CW")=0,"",SUMIFS(tblDaily[Deaths],tblDaily[EntryDate],DATE(2026,2,10),tblDaily[WardCode],"CW")),"")</f>
        <v/>
      </c>
      <c r="E55" s="12">
        <f>IFERROR(IF(SUMIFS(tblDaily[DeathsUnder24Hrs],tblDaily[EntryDate],DATE(2026,2,10),tblDaily[WardCode],"CW")=0,"",SUMIFS(tblDaily[DeathsUnder24Hrs],tblDaily[EntryDate],DATE(2026,2,10),tblDaily[WardCode],"CW")),"")</f>
        <v/>
      </c>
      <c r="F55" s="12">
        <f>IFERROR(IF(SUMIFS(tblDaily[TransfersIn],tblDaily[EntryDate],DATE(2026,2,10),tblDaily[WardCode],"CW")=0,"",SUMIFS(tblDaily[TransfersIn],tblDaily[EntryDate],DATE(2026,2,10),tblDaily[WardCode],"CW")),"")</f>
        <v/>
      </c>
      <c r="G55" s="12">
        <f>IFERROR(IF(SUMIFS(tblDaily[TransfersOut],tblDaily[EntryDate],DATE(2026,2,10),tblDaily[WardCode],"CW")=0,"",SUMIFS(tblDaily[TransfersOut],tblDaily[EntryDate],DATE(2026,2,10),tblDaily[WardCode],"CW")),"")</f>
        <v/>
      </c>
      <c r="H55" s="12">
        <f>IFERROR(IF(SUMIFS(tblDaily[Remaining],tblDaily[EntryDate],DATE(2026,2,10),tblDaily[WardCode],"CW")=0,"",SUMIFS(tblDaily[Remaining],tblDaily[EntryDate],DATE(2026,2,10),tblDaily[WardCode],"CW")),"")</f>
        <v/>
      </c>
    </row>
    <row r="56">
      <c r="A56" s="12" t="n">
        <v>11</v>
      </c>
      <c r="B56" s="12">
        <f>IFERROR(IF(SUMIFS(tblDaily[Admissions],tblDaily[EntryDate],DATE(2026,2,11),tblDaily[WardCode],"CW")=0,"",SUMIFS(tblDaily[Admissions],tblDaily[EntryDate],DATE(2026,2,11),tblDaily[WardCode],"CW")),"")</f>
        <v/>
      </c>
      <c r="C56" s="12">
        <f>IFERROR(IF(SUMIFS(tblDaily[Discharges],tblDaily[EntryDate],DATE(2026,2,11),tblDaily[WardCode],"CW")=0,"",SUMIFS(tblDaily[Discharges],tblDaily[EntryDate],DATE(2026,2,11),tblDaily[WardCode],"CW")),"")</f>
        <v/>
      </c>
      <c r="D56" s="12">
        <f>IFERROR(IF(SUMIFS(tblDaily[Deaths],tblDaily[EntryDate],DATE(2026,2,11),tblDaily[WardCode],"CW")=0,"",SUMIFS(tblDaily[Deaths],tblDaily[EntryDate],DATE(2026,2,11),tblDaily[WardCode],"CW")),"")</f>
        <v/>
      </c>
      <c r="E56" s="12">
        <f>IFERROR(IF(SUMIFS(tblDaily[DeathsUnder24Hrs],tblDaily[EntryDate],DATE(2026,2,11),tblDaily[WardCode],"CW")=0,"",SUMIFS(tblDaily[DeathsUnder24Hrs],tblDaily[EntryDate],DATE(2026,2,11),tblDaily[WardCode],"CW")),"")</f>
        <v/>
      </c>
      <c r="F56" s="12">
        <f>IFERROR(IF(SUMIFS(tblDaily[TransfersIn],tblDaily[EntryDate],DATE(2026,2,11),tblDaily[WardCode],"CW")=0,"",SUMIFS(tblDaily[TransfersIn],tblDaily[EntryDate],DATE(2026,2,11),tblDaily[WardCode],"CW")),"")</f>
        <v/>
      </c>
      <c r="G56" s="12">
        <f>IFERROR(IF(SUMIFS(tblDaily[TransfersOut],tblDaily[EntryDate],DATE(2026,2,11),tblDaily[WardCode],"CW")=0,"",SUMIFS(tblDaily[TransfersOut],tblDaily[EntryDate],DATE(2026,2,11),tblDaily[WardCode],"CW")),"")</f>
        <v/>
      </c>
      <c r="H56" s="12">
        <f>IFERROR(IF(SUMIFS(tblDaily[Remaining],tblDaily[EntryDate],DATE(2026,2,11),tblDaily[WardCode],"CW")=0,"",SUMIFS(tblDaily[Remaining],tblDaily[EntryDate],DATE(2026,2,11),tblDaily[WardCode],"CW")),"")</f>
        <v/>
      </c>
    </row>
    <row r="57">
      <c r="A57" s="12" t="n">
        <v>12</v>
      </c>
      <c r="B57" s="12">
        <f>IFERROR(IF(SUMIFS(tblDaily[Admissions],tblDaily[EntryDate],DATE(2026,2,12),tblDaily[WardCode],"CW")=0,"",SUMIFS(tblDaily[Admissions],tblDaily[EntryDate],DATE(2026,2,12),tblDaily[WardCode],"CW")),"")</f>
        <v/>
      </c>
      <c r="C57" s="12">
        <f>IFERROR(IF(SUMIFS(tblDaily[Discharges],tblDaily[EntryDate],DATE(2026,2,12),tblDaily[WardCode],"CW")=0,"",SUMIFS(tblDaily[Discharges],tblDaily[EntryDate],DATE(2026,2,12),tblDaily[WardCode],"CW")),"")</f>
        <v/>
      </c>
      <c r="D57" s="12">
        <f>IFERROR(IF(SUMIFS(tblDaily[Deaths],tblDaily[EntryDate],DATE(2026,2,12),tblDaily[WardCode],"CW")=0,"",SUMIFS(tblDaily[Deaths],tblDaily[EntryDate],DATE(2026,2,12),tblDaily[WardCode],"CW")),"")</f>
        <v/>
      </c>
      <c r="E57" s="12">
        <f>IFERROR(IF(SUMIFS(tblDaily[DeathsUnder24Hrs],tblDaily[EntryDate],DATE(2026,2,12),tblDaily[WardCode],"CW")=0,"",SUMIFS(tblDaily[DeathsUnder24Hrs],tblDaily[EntryDate],DATE(2026,2,12),tblDaily[WardCode],"CW")),"")</f>
        <v/>
      </c>
      <c r="F57" s="12">
        <f>IFERROR(IF(SUMIFS(tblDaily[TransfersIn],tblDaily[EntryDate],DATE(2026,2,12),tblDaily[WardCode],"CW")=0,"",SUMIFS(tblDaily[TransfersIn],tblDaily[EntryDate],DATE(2026,2,12),tblDaily[WardCode],"CW")),"")</f>
        <v/>
      </c>
      <c r="G57" s="12">
        <f>IFERROR(IF(SUMIFS(tblDaily[TransfersOut],tblDaily[EntryDate],DATE(2026,2,12),tblDaily[WardCode],"CW")=0,"",SUMIFS(tblDaily[TransfersOut],tblDaily[EntryDate],DATE(2026,2,12),tblDaily[WardCode],"CW")),"")</f>
        <v/>
      </c>
      <c r="H57" s="12">
        <f>IFERROR(IF(SUMIFS(tblDaily[Remaining],tblDaily[EntryDate],DATE(2026,2,12),tblDaily[WardCode],"CW")=0,"",SUMIFS(tblDaily[Remaining],tblDaily[EntryDate],DATE(2026,2,12),tblDaily[WardCode],"CW")),"")</f>
        <v/>
      </c>
    </row>
    <row r="58">
      <c r="A58" s="12" t="n">
        <v>13</v>
      </c>
      <c r="B58" s="12">
        <f>IFERROR(IF(SUMIFS(tblDaily[Admissions],tblDaily[EntryDate],DATE(2026,2,13),tblDaily[WardCode],"CW")=0,"",SUMIFS(tblDaily[Admissions],tblDaily[EntryDate],DATE(2026,2,13),tblDaily[WardCode],"CW")),"")</f>
        <v/>
      </c>
      <c r="C58" s="12">
        <f>IFERROR(IF(SUMIFS(tblDaily[Discharges],tblDaily[EntryDate],DATE(2026,2,13),tblDaily[WardCode],"CW")=0,"",SUMIFS(tblDaily[Discharges],tblDaily[EntryDate],DATE(2026,2,13),tblDaily[WardCode],"CW")),"")</f>
        <v/>
      </c>
      <c r="D58" s="12">
        <f>IFERROR(IF(SUMIFS(tblDaily[Deaths],tblDaily[EntryDate],DATE(2026,2,13),tblDaily[WardCode],"CW")=0,"",SUMIFS(tblDaily[Deaths],tblDaily[EntryDate],DATE(2026,2,13),tblDaily[WardCode],"CW")),"")</f>
        <v/>
      </c>
      <c r="E58" s="12">
        <f>IFERROR(IF(SUMIFS(tblDaily[DeathsUnder24Hrs],tblDaily[EntryDate],DATE(2026,2,13),tblDaily[WardCode],"CW")=0,"",SUMIFS(tblDaily[DeathsUnder24Hrs],tblDaily[EntryDate],DATE(2026,2,13),tblDaily[WardCode],"CW")),"")</f>
        <v/>
      </c>
      <c r="F58" s="12">
        <f>IFERROR(IF(SUMIFS(tblDaily[TransfersIn],tblDaily[EntryDate],DATE(2026,2,13),tblDaily[WardCode],"CW")=0,"",SUMIFS(tblDaily[TransfersIn],tblDaily[EntryDate],DATE(2026,2,13),tblDaily[WardCode],"CW")),"")</f>
        <v/>
      </c>
      <c r="G58" s="12">
        <f>IFERROR(IF(SUMIFS(tblDaily[TransfersOut],tblDaily[EntryDate],DATE(2026,2,13),tblDaily[WardCode],"CW")=0,"",SUMIFS(tblDaily[TransfersOut],tblDaily[EntryDate],DATE(2026,2,13),tblDaily[WardCode],"CW")),"")</f>
        <v/>
      </c>
      <c r="H58" s="12">
        <f>IFERROR(IF(SUMIFS(tblDaily[Remaining],tblDaily[EntryDate],DATE(2026,2,13),tblDaily[WardCode],"CW")=0,"",SUMIFS(tblDaily[Remaining],tblDaily[EntryDate],DATE(2026,2,13),tblDaily[WardCode],"CW")),"")</f>
        <v/>
      </c>
    </row>
    <row r="59">
      <c r="A59" s="12" t="n">
        <v>14</v>
      </c>
      <c r="B59" s="12">
        <f>IFERROR(IF(SUMIFS(tblDaily[Admissions],tblDaily[EntryDate],DATE(2026,2,14),tblDaily[WardCode],"CW")=0,"",SUMIFS(tblDaily[Admissions],tblDaily[EntryDate],DATE(2026,2,14),tblDaily[WardCode],"CW")),"")</f>
        <v/>
      </c>
      <c r="C59" s="12">
        <f>IFERROR(IF(SUMIFS(tblDaily[Discharges],tblDaily[EntryDate],DATE(2026,2,14),tblDaily[WardCode],"CW")=0,"",SUMIFS(tblDaily[Discharges],tblDaily[EntryDate],DATE(2026,2,14),tblDaily[WardCode],"CW")),"")</f>
        <v/>
      </c>
      <c r="D59" s="12">
        <f>IFERROR(IF(SUMIFS(tblDaily[Deaths],tblDaily[EntryDate],DATE(2026,2,14),tblDaily[WardCode],"CW")=0,"",SUMIFS(tblDaily[Deaths],tblDaily[EntryDate],DATE(2026,2,14),tblDaily[WardCode],"CW")),"")</f>
        <v/>
      </c>
      <c r="E59" s="12">
        <f>IFERROR(IF(SUMIFS(tblDaily[DeathsUnder24Hrs],tblDaily[EntryDate],DATE(2026,2,14),tblDaily[WardCode],"CW")=0,"",SUMIFS(tblDaily[DeathsUnder24Hrs],tblDaily[EntryDate],DATE(2026,2,14),tblDaily[WardCode],"CW")),"")</f>
        <v/>
      </c>
      <c r="F59" s="12">
        <f>IFERROR(IF(SUMIFS(tblDaily[TransfersIn],tblDaily[EntryDate],DATE(2026,2,14),tblDaily[WardCode],"CW")=0,"",SUMIFS(tblDaily[TransfersIn],tblDaily[EntryDate],DATE(2026,2,14),tblDaily[WardCode],"CW")),"")</f>
        <v/>
      </c>
      <c r="G59" s="12">
        <f>IFERROR(IF(SUMIFS(tblDaily[TransfersOut],tblDaily[EntryDate],DATE(2026,2,14),tblDaily[WardCode],"CW")=0,"",SUMIFS(tblDaily[TransfersOut],tblDaily[EntryDate],DATE(2026,2,14),tblDaily[WardCode],"CW")),"")</f>
        <v/>
      </c>
      <c r="H59" s="12">
        <f>IFERROR(IF(SUMIFS(tblDaily[Remaining],tblDaily[EntryDate],DATE(2026,2,14),tblDaily[WardCode],"CW")=0,"",SUMIFS(tblDaily[Remaining],tblDaily[EntryDate],DATE(2026,2,14),tblDaily[WardCode],"CW")),"")</f>
        <v/>
      </c>
    </row>
    <row r="60">
      <c r="A60" s="12" t="n">
        <v>15</v>
      </c>
      <c r="B60" s="12">
        <f>IFERROR(IF(SUMIFS(tblDaily[Admissions],tblDaily[EntryDate],DATE(2026,2,15),tblDaily[WardCode],"CW")=0,"",SUMIFS(tblDaily[Admissions],tblDaily[EntryDate],DATE(2026,2,15),tblDaily[WardCode],"CW")),"")</f>
        <v/>
      </c>
      <c r="C60" s="12">
        <f>IFERROR(IF(SUMIFS(tblDaily[Discharges],tblDaily[EntryDate],DATE(2026,2,15),tblDaily[WardCode],"CW")=0,"",SUMIFS(tblDaily[Discharges],tblDaily[EntryDate],DATE(2026,2,15),tblDaily[WardCode],"CW")),"")</f>
        <v/>
      </c>
      <c r="D60" s="12">
        <f>IFERROR(IF(SUMIFS(tblDaily[Deaths],tblDaily[EntryDate],DATE(2026,2,15),tblDaily[WardCode],"CW")=0,"",SUMIFS(tblDaily[Deaths],tblDaily[EntryDate],DATE(2026,2,15),tblDaily[WardCode],"CW")),"")</f>
        <v/>
      </c>
      <c r="E60" s="12">
        <f>IFERROR(IF(SUMIFS(tblDaily[DeathsUnder24Hrs],tblDaily[EntryDate],DATE(2026,2,15),tblDaily[WardCode],"CW")=0,"",SUMIFS(tblDaily[DeathsUnder24Hrs],tblDaily[EntryDate],DATE(2026,2,15),tblDaily[WardCode],"CW")),"")</f>
        <v/>
      </c>
      <c r="F60" s="12">
        <f>IFERROR(IF(SUMIFS(tblDaily[TransfersIn],tblDaily[EntryDate],DATE(2026,2,15),tblDaily[WardCode],"CW")=0,"",SUMIFS(tblDaily[TransfersIn],tblDaily[EntryDate],DATE(2026,2,15),tblDaily[WardCode],"CW")),"")</f>
        <v/>
      </c>
      <c r="G60" s="12">
        <f>IFERROR(IF(SUMIFS(tblDaily[TransfersOut],tblDaily[EntryDate],DATE(2026,2,15),tblDaily[WardCode],"CW")=0,"",SUMIFS(tblDaily[TransfersOut],tblDaily[EntryDate],DATE(2026,2,15),tblDaily[WardCode],"CW")),"")</f>
        <v/>
      </c>
      <c r="H60" s="12">
        <f>IFERROR(IF(SUMIFS(tblDaily[Remaining],tblDaily[EntryDate],DATE(2026,2,15),tblDaily[WardCode],"CW")=0,"",SUMIFS(tblDaily[Remaining],tblDaily[EntryDate],DATE(2026,2,15),tblDaily[WardCode],"CW")),"")</f>
        <v/>
      </c>
    </row>
    <row r="61">
      <c r="A61" s="12" t="n">
        <v>16</v>
      </c>
      <c r="B61" s="12">
        <f>IFERROR(IF(SUMIFS(tblDaily[Admissions],tblDaily[EntryDate],DATE(2026,2,16),tblDaily[WardCode],"CW")=0,"",SUMIFS(tblDaily[Admissions],tblDaily[EntryDate],DATE(2026,2,16),tblDaily[WardCode],"CW")),"")</f>
        <v/>
      </c>
      <c r="C61" s="12">
        <f>IFERROR(IF(SUMIFS(tblDaily[Discharges],tblDaily[EntryDate],DATE(2026,2,16),tblDaily[WardCode],"CW")=0,"",SUMIFS(tblDaily[Discharges],tblDaily[EntryDate],DATE(2026,2,16),tblDaily[WardCode],"CW")),"")</f>
        <v/>
      </c>
      <c r="D61" s="12">
        <f>IFERROR(IF(SUMIFS(tblDaily[Deaths],tblDaily[EntryDate],DATE(2026,2,16),tblDaily[WardCode],"CW")=0,"",SUMIFS(tblDaily[Deaths],tblDaily[EntryDate],DATE(2026,2,16),tblDaily[WardCode],"CW")),"")</f>
        <v/>
      </c>
      <c r="E61" s="12">
        <f>IFERROR(IF(SUMIFS(tblDaily[DeathsUnder24Hrs],tblDaily[EntryDate],DATE(2026,2,16),tblDaily[WardCode],"CW")=0,"",SUMIFS(tblDaily[DeathsUnder24Hrs],tblDaily[EntryDate],DATE(2026,2,16),tblDaily[WardCode],"CW")),"")</f>
        <v/>
      </c>
      <c r="F61" s="12">
        <f>IFERROR(IF(SUMIFS(tblDaily[TransfersIn],tblDaily[EntryDate],DATE(2026,2,16),tblDaily[WardCode],"CW")=0,"",SUMIFS(tblDaily[TransfersIn],tblDaily[EntryDate],DATE(2026,2,16),tblDaily[WardCode],"CW")),"")</f>
        <v/>
      </c>
      <c r="G61" s="12">
        <f>IFERROR(IF(SUMIFS(tblDaily[TransfersOut],tblDaily[EntryDate],DATE(2026,2,16),tblDaily[WardCode],"CW")=0,"",SUMIFS(tblDaily[TransfersOut],tblDaily[EntryDate],DATE(2026,2,16),tblDaily[WardCode],"CW")),"")</f>
        <v/>
      </c>
      <c r="H61" s="12">
        <f>IFERROR(IF(SUMIFS(tblDaily[Remaining],tblDaily[EntryDate],DATE(2026,2,16),tblDaily[WardCode],"CW")=0,"",SUMIFS(tblDaily[Remaining],tblDaily[EntryDate],DATE(2026,2,16),tblDaily[WardCode],"CW")),"")</f>
        <v/>
      </c>
    </row>
    <row r="62">
      <c r="A62" s="12" t="n">
        <v>17</v>
      </c>
      <c r="B62" s="12">
        <f>IFERROR(IF(SUMIFS(tblDaily[Admissions],tblDaily[EntryDate],DATE(2026,2,17),tblDaily[WardCode],"CW")=0,"",SUMIFS(tblDaily[Admissions],tblDaily[EntryDate],DATE(2026,2,17),tblDaily[WardCode],"CW")),"")</f>
        <v/>
      </c>
      <c r="C62" s="12">
        <f>IFERROR(IF(SUMIFS(tblDaily[Discharges],tblDaily[EntryDate],DATE(2026,2,17),tblDaily[WardCode],"CW")=0,"",SUMIFS(tblDaily[Discharges],tblDaily[EntryDate],DATE(2026,2,17),tblDaily[WardCode],"CW")),"")</f>
        <v/>
      </c>
      <c r="D62" s="12">
        <f>IFERROR(IF(SUMIFS(tblDaily[Deaths],tblDaily[EntryDate],DATE(2026,2,17),tblDaily[WardCode],"CW")=0,"",SUMIFS(tblDaily[Deaths],tblDaily[EntryDate],DATE(2026,2,17),tblDaily[WardCode],"CW")),"")</f>
        <v/>
      </c>
      <c r="E62" s="12">
        <f>IFERROR(IF(SUMIFS(tblDaily[DeathsUnder24Hrs],tblDaily[EntryDate],DATE(2026,2,17),tblDaily[WardCode],"CW")=0,"",SUMIFS(tblDaily[DeathsUnder24Hrs],tblDaily[EntryDate],DATE(2026,2,17),tblDaily[WardCode],"CW")),"")</f>
        <v/>
      </c>
      <c r="F62" s="12">
        <f>IFERROR(IF(SUMIFS(tblDaily[TransfersIn],tblDaily[EntryDate],DATE(2026,2,17),tblDaily[WardCode],"CW")=0,"",SUMIFS(tblDaily[TransfersIn],tblDaily[EntryDate],DATE(2026,2,17),tblDaily[WardCode],"CW")),"")</f>
        <v/>
      </c>
      <c r="G62" s="12">
        <f>IFERROR(IF(SUMIFS(tblDaily[TransfersOut],tblDaily[EntryDate],DATE(2026,2,17),tblDaily[WardCode],"CW")=0,"",SUMIFS(tblDaily[TransfersOut],tblDaily[EntryDate],DATE(2026,2,17),tblDaily[WardCode],"CW")),"")</f>
        <v/>
      </c>
      <c r="H62" s="12">
        <f>IFERROR(IF(SUMIFS(tblDaily[Remaining],tblDaily[EntryDate],DATE(2026,2,17),tblDaily[WardCode],"CW")=0,"",SUMIFS(tblDaily[Remaining],tblDaily[EntryDate],DATE(2026,2,17),tblDaily[WardCode],"CW")),"")</f>
        <v/>
      </c>
    </row>
    <row r="63">
      <c r="A63" s="12" t="n">
        <v>18</v>
      </c>
      <c r="B63" s="12">
        <f>IFERROR(IF(SUMIFS(tblDaily[Admissions],tblDaily[EntryDate],DATE(2026,2,18),tblDaily[WardCode],"CW")=0,"",SUMIFS(tblDaily[Admissions],tblDaily[EntryDate],DATE(2026,2,18),tblDaily[WardCode],"CW")),"")</f>
        <v/>
      </c>
      <c r="C63" s="12">
        <f>IFERROR(IF(SUMIFS(tblDaily[Discharges],tblDaily[EntryDate],DATE(2026,2,18),tblDaily[WardCode],"CW")=0,"",SUMIFS(tblDaily[Discharges],tblDaily[EntryDate],DATE(2026,2,18),tblDaily[WardCode],"CW")),"")</f>
        <v/>
      </c>
      <c r="D63" s="12">
        <f>IFERROR(IF(SUMIFS(tblDaily[Deaths],tblDaily[EntryDate],DATE(2026,2,18),tblDaily[WardCode],"CW")=0,"",SUMIFS(tblDaily[Deaths],tblDaily[EntryDate],DATE(2026,2,18),tblDaily[WardCode],"CW")),"")</f>
        <v/>
      </c>
      <c r="E63" s="12">
        <f>IFERROR(IF(SUMIFS(tblDaily[DeathsUnder24Hrs],tblDaily[EntryDate],DATE(2026,2,18),tblDaily[WardCode],"CW")=0,"",SUMIFS(tblDaily[DeathsUnder24Hrs],tblDaily[EntryDate],DATE(2026,2,18),tblDaily[WardCode],"CW")),"")</f>
        <v/>
      </c>
      <c r="F63" s="12">
        <f>IFERROR(IF(SUMIFS(tblDaily[TransfersIn],tblDaily[EntryDate],DATE(2026,2,18),tblDaily[WardCode],"CW")=0,"",SUMIFS(tblDaily[TransfersIn],tblDaily[EntryDate],DATE(2026,2,18),tblDaily[WardCode],"CW")),"")</f>
        <v/>
      </c>
      <c r="G63" s="12">
        <f>IFERROR(IF(SUMIFS(tblDaily[TransfersOut],tblDaily[EntryDate],DATE(2026,2,18),tblDaily[WardCode],"CW")=0,"",SUMIFS(tblDaily[TransfersOut],tblDaily[EntryDate],DATE(2026,2,18),tblDaily[WardCode],"CW")),"")</f>
        <v/>
      </c>
      <c r="H63" s="12">
        <f>IFERROR(IF(SUMIFS(tblDaily[Remaining],tblDaily[EntryDate],DATE(2026,2,18),tblDaily[WardCode],"CW")=0,"",SUMIFS(tblDaily[Remaining],tblDaily[EntryDate],DATE(2026,2,18),tblDaily[WardCode],"CW")),"")</f>
        <v/>
      </c>
    </row>
    <row r="64">
      <c r="A64" s="12" t="n">
        <v>19</v>
      </c>
      <c r="B64" s="12">
        <f>IFERROR(IF(SUMIFS(tblDaily[Admissions],tblDaily[EntryDate],DATE(2026,2,19),tblDaily[WardCode],"CW")=0,"",SUMIFS(tblDaily[Admissions],tblDaily[EntryDate],DATE(2026,2,19),tblDaily[WardCode],"CW")),"")</f>
        <v/>
      </c>
      <c r="C64" s="12">
        <f>IFERROR(IF(SUMIFS(tblDaily[Discharges],tblDaily[EntryDate],DATE(2026,2,19),tblDaily[WardCode],"CW")=0,"",SUMIFS(tblDaily[Discharges],tblDaily[EntryDate],DATE(2026,2,19),tblDaily[WardCode],"CW")),"")</f>
        <v/>
      </c>
      <c r="D64" s="12">
        <f>IFERROR(IF(SUMIFS(tblDaily[Deaths],tblDaily[EntryDate],DATE(2026,2,19),tblDaily[WardCode],"CW")=0,"",SUMIFS(tblDaily[Deaths],tblDaily[EntryDate],DATE(2026,2,19),tblDaily[WardCode],"CW")),"")</f>
        <v/>
      </c>
      <c r="E64" s="12">
        <f>IFERROR(IF(SUMIFS(tblDaily[DeathsUnder24Hrs],tblDaily[EntryDate],DATE(2026,2,19),tblDaily[WardCode],"CW")=0,"",SUMIFS(tblDaily[DeathsUnder24Hrs],tblDaily[EntryDate],DATE(2026,2,19),tblDaily[WardCode],"CW")),"")</f>
        <v/>
      </c>
      <c r="F64" s="12">
        <f>IFERROR(IF(SUMIFS(tblDaily[TransfersIn],tblDaily[EntryDate],DATE(2026,2,19),tblDaily[WardCode],"CW")=0,"",SUMIFS(tblDaily[TransfersIn],tblDaily[EntryDate],DATE(2026,2,19),tblDaily[WardCode],"CW")),"")</f>
        <v/>
      </c>
      <c r="G64" s="12">
        <f>IFERROR(IF(SUMIFS(tblDaily[TransfersOut],tblDaily[EntryDate],DATE(2026,2,19),tblDaily[WardCode],"CW")=0,"",SUMIFS(tblDaily[TransfersOut],tblDaily[EntryDate],DATE(2026,2,19),tblDaily[WardCode],"CW")),"")</f>
        <v/>
      </c>
      <c r="H64" s="12">
        <f>IFERROR(IF(SUMIFS(tblDaily[Remaining],tblDaily[EntryDate],DATE(2026,2,19),tblDaily[WardCode],"CW")=0,"",SUMIFS(tblDaily[Remaining],tblDaily[EntryDate],DATE(2026,2,19),tblDaily[WardCode],"CW")),"")</f>
        <v/>
      </c>
    </row>
    <row r="65">
      <c r="A65" s="12" t="n">
        <v>20</v>
      </c>
      <c r="B65" s="12">
        <f>IFERROR(IF(SUMIFS(tblDaily[Admissions],tblDaily[EntryDate],DATE(2026,2,20),tblDaily[WardCode],"CW")=0,"",SUMIFS(tblDaily[Admissions],tblDaily[EntryDate],DATE(2026,2,20),tblDaily[WardCode],"CW")),"")</f>
        <v/>
      </c>
      <c r="C65" s="12">
        <f>IFERROR(IF(SUMIFS(tblDaily[Discharges],tblDaily[EntryDate],DATE(2026,2,20),tblDaily[WardCode],"CW")=0,"",SUMIFS(tblDaily[Discharges],tblDaily[EntryDate],DATE(2026,2,20),tblDaily[WardCode],"CW")),"")</f>
        <v/>
      </c>
      <c r="D65" s="12">
        <f>IFERROR(IF(SUMIFS(tblDaily[Deaths],tblDaily[EntryDate],DATE(2026,2,20),tblDaily[WardCode],"CW")=0,"",SUMIFS(tblDaily[Deaths],tblDaily[EntryDate],DATE(2026,2,20),tblDaily[WardCode],"CW")),"")</f>
        <v/>
      </c>
      <c r="E65" s="12">
        <f>IFERROR(IF(SUMIFS(tblDaily[DeathsUnder24Hrs],tblDaily[EntryDate],DATE(2026,2,20),tblDaily[WardCode],"CW")=0,"",SUMIFS(tblDaily[DeathsUnder24Hrs],tblDaily[EntryDate],DATE(2026,2,20),tblDaily[WardCode],"CW")),"")</f>
        <v/>
      </c>
      <c r="F65" s="12">
        <f>IFERROR(IF(SUMIFS(tblDaily[TransfersIn],tblDaily[EntryDate],DATE(2026,2,20),tblDaily[WardCode],"CW")=0,"",SUMIFS(tblDaily[TransfersIn],tblDaily[EntryDate],DATE(2026,2,20),tblDaily[WardCode],"CW")),"")</f>
        <v/>
      </c>
      <c r="G65" s="12">
        <f>IFERROR(IF(SUMIFS(tblDaily[TransfersOut],tblDaily[EntryDate],DATE(2026,2,20),tblDaily[WardCode],"CW")=0,"",SUMIFS(tblDaily[TransfersOut],tblDaily[EntryDate],DATE(2026,2,20),tblDaily[WardCode],"CW")),"")</f>
        <v/>
      </c>
      <c r="H65" s="12">
        <f>IFERROR(IF(SUMIFS(tblDaily[Remaining],tblDaily[EntryDate],DATE(2026,2,20),tblDaily[WardCode],"CW")=0,"",SUMIFS(tblDaily[Remaining],tblDaily[EntryDate],DATE(2026,2,20),tblDaily[WardCode],"CW")),"")</f>
        <v/>
      </c>
    </row>
    <row r="66">
      <c r="A66" s="12" t="n">
        <v>21</v>
      </c>
      <c r="B66" s="12">
        <f>IFERROR(IF(SUMIFS(tblDaily[Admissions],tblDaily[EntryDate],DATE(2026,2,21),tblDaily[WardCode],"CW")=0,"",SUMIFS(tblDaily[Admissions],tblDaily[EntryDate],DATE(2026,2,21),tblDaily[WardCode],"CW")),"")</f>
        <v/>
      </c>
      <c r="C66" s="12">
        <f>IFERROR(IF(SUMIFS(tblDaily[Discharges],tblDaily[EntryDate],DATE(2026,2,21),tblDaily[WardCode],"CW")=0,"",SUMIFS(tblDaily[Discharges],tblDaily[EntryDate],DATE(2026,2,21),tblDaily[WardCode],"CW")),"")</f>
        <v/>
      </c>
      <c r="D66" s="12">
        <f>IFERROR(IF(SUMIFS(tblDaily[Deaths],tblDaily[EntryDate],DATE(2026,2,21),tblDaily[WardCode],"CW")=0,"",SUMIFS(tblDaily[Deaths],tblDaily[EntryDate],DATE(2026,2,21),tblDaily[WardCode],"CW")),"")</f>
        <v/>
      </c>
      <c r="E66" s="12">
        <f>IFERROR(IF(SUMIFS(tblDaily[DeathsUnder24Hrs],tblDaily[EntryDate],DATE(2026,2,21),tblDaily[WardCode],"CW")=0,"",SUMIFS(tblDaily[DeathsUnder24Hrs],tblDaily[EntryDate],DATE(2026,2,21),tblDaily[WardCode],"CW")),"")</f>
        <v/>
      </c>
      <c r="F66" s="12">
        <f>IFERROR(IF(SUMIFS(tblDaily[TransfersIn],tblDaily[EntryDate],DATE(2026,2,21),tblDaily[WardCode],"CW")=0,"",SUMIFS(tblDaily[TransfersIn],tblDaily[EntryDate],DATE(2026,2,21),tblDaily[WardCode],"CW")),"")</f>
        <v/>
      </c>
      <c r="G66" s="12">
        <f>IFERROR(IF(SUMIFS(tblDaily[TransfersOut],tblDaily[EntryDate],DATE(2026,2,21),tblDaily[WardCode],"CW")=0,"",SUMIFS(tblDaily[TransfersOut],tblDaily[EntryDate],DATE(2026,2,21),tblDaily[WardCode],"CW")),"")</f>
        <v/>
      </c>
      <c r="H66" s="12">
        <f>IFERROR(IF(SUMIFS(tblDaily[Remaining],tblDaily[EntryDate],DATE(2026,2,21),tblDaily[WardCode],"CW")=0,"",SUMIFS(tblDaily[Remaining],tblDaily[EntryDate],DATE(2026,2,21),tblDaily[WardCode],"CW")),"")</f>
        <v/>
      </c>
    </row>
    <row r="67">
      <c r="A67" s="12" t="n">
        <v>22</v>
      </c>
      <c r="B67" s="12">
        <f>IFERROR(IF(SUMIFS(tblDaily[Admissions],tblDaily[EntryDate],DATE(2026,2,22),tblDaily[WardCode],"CW")=0,"",SUMIFS(tblDaily[Admissions],tblDaily[EntryDate],DATE(2026,2,22),tblDaily[WardCode],"CW")),"")</f>
        <v/>
      </c>
      <c r="C67" s="12">
        <f>IFERROR(IF(SUMIFS(tblDaily[Discharges],tblDaily[EntryDate],DATE(2026,2,22),tblDaily[WardCode],"CW")=0,"",SUMIFS(tblDaily[Discharges],tblDaily[EntryDate],DATE(2026,2,22),tblDaily[WardCode],"CW")),"")</f>
        <v/>
      </c>
      <c r="D67" s="12">
        <f>IFERROR(IF(SUMIFS(tblDaily[Deaths],tblDaily[EntryDate],DATE(2026,2,22),tblDaily[WardCode],"CW")=0,"",SUMIFS(tblDaily[Deaths],tblDaily[EntryDate],DATE(2026,2,22),tblDaily[WardCode],"CW")),"")</f>
        <v/>
      </c>
      <c r="E67" s="12">
        <f>IFERROR(IF(SUMIFS(tblDaily[DeathsUnder24Hrs],tblDaily[EntryDate],DATE(2026,2,22),tblDaily[WardCode],"CW")=0,"",SUMIFS(tblDaily[DeathsUnder24Hrs],tblDaily[EntryDate],DATE(2026,2,22),tblDaily[WardCode],"CW")),"")</f>
        <v/>
      </c>
      <c r="F67" s="12">
        <f>IFERROR(IF(SUMIFS(tblDaily[TransfersIn],tblDaily[EntryDate],DATE(2026,2,22),tblDaily[WardCode],"CW")=0,"",SUMIFS(tblDaily[TransfersIn],tblDaily[EntryDate],DATE(2026,2,22),tblDaily[WardCode],"CW")),"")</f>
        <v/>
      </c>
      <c r="G67" s="12">
        <f>IFERROR(IF(SUMIFS(tblDaily[TransfersOut],tblDaily[EntryDate],DATE(2026,2,22),tblDaily[WardCode],"CW")=0,"",SUMIFS(tblDaily[TransfersOut],tblDaily[EntryDate],DATE(2026,2,22),tblDaily[WardCode],"CW")),"")</f>
        <v/>
      </c>
      <c r="H67" s="12">
        <f>IFERROR(IF(SUMIFS(tblDaily[Remaining],tblDaily[EntryDate],DATE(2026,2,22),tblDaily[WardCode],"CW")=0,"",SUMIFS(tblDaily[Remaining],tblDaily[EntryDate],DATE(2026,2,22),tblDaily[WardCode],"CW")),"")</f>
        <v/>
      </c>
    </row>
    <row r="68">
      <c r="A68" s="12" t="n">
        <v>23</v>
      </c>
      <c r="B68" s="12">
        <f>IFERROR(IF(SUMIFS(tblDaily[Admissions],tblDaily[EntryDate],DATE(2026,2,23),tblDaily[WardCode],"CW")=0,"",SUMIFS(tblDaily[Admissions],tblDaily[EntryDate],DATE(2026,2,23),tblDaily[WardCode],"CW")),"")</f>
        <v/>
      </c>
      <c r="C68" s="12">
        <f>IFERROR(IF(SUMIFS(tblDaily[Discharges],tblDaily[EntryDate],DATE(2026,2,23),tblDaily[WardCode],"CW")=0,"",SUMIFS(tblDaily[Discharges],tblDaily[EntryDate],DATE(2026,2,23),tblDaily[WardCode],"CW")),"")</f>
        <v/>
      </c>
      <c r="D68" s="12">
        <f>IFERROR(IF(SUMIFS(tblDaily[Deaths],tblDaily[EntryDate],DATE(2026,2,23),tblDaily[WardCode],"CW")=0,"",SUMIFS(tblDaily[Deaths],tblDaily[EntryDate],DATE(2026,2,23),tblDaily[WardCode],"CW")),"")</f>
        <v/>
      </c>
      <c r="E68" s="12">
        <f>IFERROR(IF(SUMIFS(tblDaily[DeathsUnder24Hrs],tblDaily[EntryDate],DATE(2026,2,23),tblDaily[WardCode],"CW")=0,"",SUMIFS(tblDaily[DeathsUnder24Hrs],tblDaily[EntryDate],DATE(2026,2,23),tblDaily[WardCode],"CW")),"")</f>
        <v/>
      </c>
      <c r="F68" s="12">
        <f>IFERROR(IF(SUMIFS(tblDaily[TransfersIn],tblDaily[EntryDate],DATE(2026,2,23),tblDaily[WardCode],"CW")=0,"",SUMIFS(tblDaily[TransfersIn],tblDaily[EntryDate],DATE(2026,2,23),tblDaily[WardCode],"CW")),"")</f>
        <v/>
      </c>
      <c r="G68" s="12">
        <f>IFERROR(IF(SUMIFS(tblDaily[TransfersOut],tblDaily[EntryDate],DATE(2026,2,23),tblDaily[WardCode],"CW")=0,"",SUMIFS(tblDaily[TransfersOut],tblDaily[EntryDate],DATE(2026,2,23),tblDaily[WardCode],"CW")),"")</f>
        <v/>
      </c>
      <c r="H68" s="12">
        <f>IFERROR(IF(SUMIFS(tblDaily[Remaining],tblDaily[EntryDate],DATE(2026,2,23),tblDaily[WardCode],"CW")=0,"",SUMIFS(tblDaily[Remaining],tblDaily[EntryDate],DATE(2026,2,23),tblDaily[WardCode],"CW")),"")</f>
        <v/>
      </c>
    </row>
    <row r="69">
      <c r="A69" s="12" t="n">
        <v>24</v>
      </c>
      <c r="B69" s="12">
        <f>IFERROR(IF(SUMIFS(tblDaily[Admissions],tblDaily[EntryDate],DATE(2026,2,24),tblDaily[WardCode],"CW")=0,"",SUMIFS(tblDaily[Admissions],tblDaily[EntryDate],DATE(2026,2,24),tblDaily[WardCode],"CW")),"")</f>
        <v/>
      </c>
      <c r="C69" s="12">
        <f>IFERROR(IF(SUMIFS(tblDaily[Discharges],tblDaily[EntryDate],DATE(2026,2,24),tblDaily[WardCode],"CW")=0,"",SUMIFS(tblDaily[Discharges],tblDaily[EntryDate],DATE(2026,2,24),tblDaily[WardCode],"CW")),"")</f>
        <v/>
      </c>
      <c r="D69" s="12">
        <f>IFERROR(IF(SUMIFS(tblDaily[Deaths],tblDaily[EntryDate],DATE(2026,2,24),tblDaily[WardCode],"CW")=0,"",SUMIFS(tblDaily[Deaths],tblDaily[EntryDate],DATE(2026,2,24),tblDaily[WardCode],"CW")),"")</f>
        <v/>
      </c>
      <c r="E69" s="12">
        <f>IFERROR(IF(SUMIFS(tblDaily[DeathsUnder24Hrs],tblDaily[EntryDate],DATE(2026,2,24),tblDaily[WardCode],"CW")=0,"",SUMIFS(tblDaily[DeathsUnder24Hrs],tblDaily[EntryDate],DATE(2026,2,24),tblDaily[WardCode],"CW")),"")</f>
        <v/>
      </c>
      <c r="F69" s="12">
        <f>IFERROR(IF(SUMIFS(tblDaily[TransfersIn],tblDaily[EntryDate],DATE(2026,2,24),tblDaily[WardCode],"CW")=0,"",SUMIFS(tblDaily[TransfersIn],tblDaily[EntryDate],DATE(2026,2,24),tblDaily[WardCode],"CW")),"")</f>
        <v/>
      </c>
      <c r="G69" s="12">
        <f>IFERROR(IF(SUMIFS(tblDaily[TransfersOut],tblDaily[EntryDate],DATE(2026,2,24),tblDaily[WardCode],"CW")=0,"",SUMIFS(tblDaily[TransfersOut],tblDaily[EntryDate],DATE(2026,2,24),tblDaily[WardCode],"CW")),"")</f>
        <v/>
      </c>
      <c r="H69" s="12">
        <f>IFERROR(IF(SUMIFS(tblDaily[Remaining],tblDaily[EntryDate],DATE(2026,2,24),tblDaily[WardCode],"CW")=0,"",SUMIFS(tblDaily[Remaining],tblDaily[EntryDate],DATE(2026,2,24),tblDaily[WardCode],"CW")),"")</f>
        <v/>
      </c>
    </row>
    <row r="70">
      <c r="A70" s="12" t="n">
        <v>25</v>
      </c>
      <c r="B70" s="12">
        <f>IFERROR(IF(SUMIFS(tblDaily[Admissions],tblDaily[EntryDate],DATE(2026,2,25),tblDaily[WardCode],"CW")=0,"",SUMIFS(tblDaily[Admissions],tblDaily[EntryDate],DATE(2026,2,25),tblDaily[WardCode],"CW")),"")</f>
        <v/>
      </c>
      <c r="C70" s="12">
        <f>IFERROR(IF(SUMIFS(tblDaily[Discharges],tblDaily[EntryDate],DATE(2026,2,25),tblDaily[WardCode],"CW")=0,"",SUMIFS(tblDaily[Discharges],tblDaily[EntryDate],DATE(2026,2,25),tblDaily[WardCode],"CW")),"")</f>
        <v/>
      </c>
      <c r="D70" s="12">
        <f>IFERROR(IF(SUMIFS(tblDaily[Deaths],tblDaily[EntryDate],DATE(2026,2,25),tblDaily[WardCode],"CW")=0,"",SUMIFS(tblDaily[Deaths],tblDaily[EntryDate],DATE(2026,2,25),tblDaily[WardCode],"CW")),"")</f>
        <v/>
      </c>
      <c r="E70" s="12">
        <f>IFERROR(IF(SUMIFS(tblDaily[DeathsUnder24Hrs],tblDaily[EntryDate],DATE(2026,2,25),tblDaily[WardCode],"CW")=0,"",SUMIFS(tblDaily[DeathsUnder24Hrs],tblDaily[EntryDate],DATE(2026,2,25),tblDaily[WardCode],"CW")),"")</f>
        <v/>
      </c>
      <c r="F70" s="12">
        <f>IFERROR(IF(SUMIFS(tblDaily[TransfersIn],tblDaily[EntryDate],DATE(2026,2,25),tblDaily[WardCode],"CW")=0,"",SUMIFS(tblDaily[TransfersIn],tblDaily[EntryDate],DATE(2026,2,25),tblDaily[WardCode],"CW")),"")</f>
        <v/>
      </c>
      <c r="G70" s="12">
        <f>IFERROR(IF(SUMIFS(tblDaily[TransfersOut],tblDaily[EntryDate],DATE(2026,2,25),tblDaily[WardCode],"CW")=0,"",SUMIFS(tblDaily[TransfersOut],tblDaily[EntryDate],DATE(2026,2,25),tblDaily[WardCode],"CW")),"")</f>
        <v/>
      </c>
      <c r="H70" s="12">
        <f>IFERROR(IF(SUMIFS(tblDaily[Remaining],tblDaily[EntryDate],DATE(2026,2,25),tblDaily[WardCode],"CW")=0,"",SUMIFS(tblDaily[Remaining],tblDaily[EntryDate],DATE(2026,2,25),tblDaily[WardCode],"CW")),"")</f>
        <v/>
      </c>
    </row>
    <row r="71">
      <c r="A71" s="12" t="n">
        <v>26</v>
      </c>
      <c r="B71" s="12">
        <f>IFERROR(IF(SUMIFS(tblDaily[Admissions],tblDaily[EntryDate],DATE(2026,2,26),tblDaily[WardCode],"CW")=0,"",SUMIFS(tblDaily[Admissions],tblDaily[EntryDate],DATE(2026,2,26),tblDaily[WardCode],"CW")),"")</f>
        <v/>
      </c>
      <c r="C71" s="12">
        <f>IFERROR(IF(SUMIFS(tblDaily[Discharges],tblDaily[EntryDate],DATE(2026,2,26),tblDaily[WardCode],"CW")=0,"",SUMIFS(tblDaily[Discharges],tblDaily[EntryDate],DATE(2026,2,26),tblDaily[WardCode],"CW")),"")</f>
        <v/>
      </c>
      <c r="D71" s="12">
        <f>IFERROR(IF(SUMIFS(tblDaily[Deaths],tblDaily[EntryDate],DATE(2026,2,26),tblDaily[WardCode],"CW")=0,"",SUMIFS(tblDaily[Deaths],tblDaily[EntryDate],DATE(2026,2,26),tblDaily[WardCode],"CW")),"")</f>
        <v/>
      </c>
      <c r="E71" s="12">
        <f>IFERROR(IF(SUMIFS(tblDaily[DeathsUnder24Hrs],tblDaily[EntryDate],DATE(2026,2,26),tblDaily[WardCode],"CW")=0,"",SUMIFS(tblDaily[DeathsUnder24Hrs],tblDaily[EntryDate],DATE(2026,2,26),tblDaily[WardCode],"CW")),"")</f>
        <v/>
      </c>
      <c r="F71" s="12">
        <f>IFERROR(IF(SUMIFS(tblDaily[TransfersIn],tblDaily[EntryDate],DATE(2026,2,26),tblDaily[WardCode],"CW")=0,"",SUMIFS(tblDaily[TransfersIn],tblDaily[EntryDate],DATE(2026,2,26),tblDaily[WardCode],"CW")),"")</f>
        <v/>
      </c>
      <c r="G71" s="12">
        <f>IFERROR(IF(SUMIFS(tblDaily[TransfersOut],tblDaily[EntryDate],DATE(2026,2,26),tblDaily[WardCode],"CW")=0,"",SUMIFS(tblDaily[TransfersOut],tblDaily[EntryDate],DATE(2026,2,26),tblDaily[WardCode],"CW")),"")</f>
        <v/>
      </c>
      <c r="H71" s="12">
        <f>IFERROR(IF(SUMIFS(tblDaily[Remaining],tblDaily[EntryDate],DATE(2026,2,26),tblDaily[WardCode],"CW")=0,"",SUMIFS(tblDaily[Remaining],tblDaily[EntryDate],DATE(2026,2,26),tblDaily[WardCode],"CW")),"")</f>
        <v/>
      </c>
    </row>
    <row r="72">
      <c r="A72" s="12" t="n">
        <v>27</v>
      </c>
      <c r="B72" s="12">
        <f>IFERROR(IF(SUMIFS(tblDaily[Admissions],tblDaily[EntryDate],DATE(2026,2,27),tblDaily[WardCode],"CW")=0,"",SUMIFS(tblDaily[Admissions],tblDaily[EntryDate],DATE(2026,2,27),tblDaily[WardCode],"CW")),"")</f>
        <v/>
      </c>
      <c r="C72" s="12">
        <f>IFERROR(IF(SUMIFS(tblDaily[Discharges],tblDaily[EntryDate],DATE(2026,2,27),tblDaily[WardCode],"CW")=0,"",SUMIFS(tblDaily[Discharges],tblDaily[EntryDate],DATE(2026,2,27),tblDaily[WardCode],"CW")),"")</f>
        <v/>
      </c>
      <c r="D72" s="12">
        <f>IFERROR(IF(SUMIFS(tblDaily[Deaths],tblDaily[EntryDate],DATE(2026,2,27),tblDaily[WardCode],"CW")=0,"",SUMIFS(tblDaily[Deaths],tblDaily[EntryDate],DATE(2026,2,27),tblDaily[WardCode],"CW")),"")</f>
        <v/>
      </c>
      <c r="E72" s="12">
        <f>IFERROR(IF(SUMIFS(tblDaily[DeathsUnder24Hrs],tblDaily[EntryDate],DATE(2026,2,27),tblDaily[WardCode],"CW")=0,"",SUMIFS(tblDaily[DeathsUnder24Hrs],tblDaily[EntryDate],DATE(2026,2,27),tblDaily[WardCode],"CW")),"")</f>
        <v/>
      </c>
      <c r="F72" s="12">
        <f>IFERROR(IF(SUMIFS(tblDaily[TransfersIn],tblDaily[EntryDate],DATE(2026,2,27),tblDaily[WardCode],"CW")=0,"",SUMIFS(tblDaily[TransfersIn],tblDaily[EntryDate],DATE(2026,2,27),tblDaily[WardCode],"CW")),"")</f>
        <v/>
      </c>
      <c r="G72" s="12">
        <f>IFERROR(IF(SUMIFS(tblDaily[TransfersOut],tblDaily[EntryDate],DATE(2026,2,27),tblDaily[WardCode],"CW")=0,"",SUMIFS(tblDaily[TransfersOut],tblDaily[EntryDate],DATE(2026,2,27),tblDaily[WardCode],"CW")),"")</f>
        <v/>
      </c>
      <c r="H72" s="12">
        <f>IFERROR(IF(SUMIFS(tblDaily[Remaining],tblDaily[EntryDate],DATE(2026,2,27),tblDaily[WardCode],"CW")=0,"",SUMIFS(tblDaily[Remaining],tblDaily[EntryDate],DATE(2026,2,27),tblDaily[WardCode],"CW")),"")</f>
        <v/>
      </c>
    </row>
    <row r="73">
      <c r="A73" s="12" t="n">
        <v>28</v>
      </c>
      <c r="B73" s="12">
        <f>IFERROR(IF(SUMIFS(tblDaily[Admissions],tblDaily[EntryDate],DATE(2026,2,28),tblDaily[WardCode],"CW")=0,"",SUMIFS(tblDaily[Admissions],tblDaily[EntryDate],DATE(2026,2,28),tblDaily[WardCode],"CW")),"")</f>
        <v/>
      </c>
      <c r="C73" s="12">
        <f>IFERROR(IF(SUMIFS(tblDaily[Discharges],tblDaily[EntryDate],DATE(2026,2,28),tblDaily[WardCode],"CW")=0,"",SUMIFS(tblDaily[Discharges],tblDaily[EntryDate],DATE(2026,2,28),tblDaily[WardCode],"CW")),"")</f>
        <v/>
      </c>
      <c r="D73" s="12">
        <f>IFERROR(IF(SUMIFS(tblDaily[Deaths],tblDaily[EntryDate],DATE(2026,2,28),tblDaily[WardCode],"CW")=0,"",SUMIFS(tblDaily[Deaths],tblDaily[EntryDate],DATE(2026,2,28),tblDaily[WardCode],"CW")),"")</f>
        <v/>
      </c>
      <c r="E73" s="12">
        <f>IFERROR(IF(SUMIFS(tblDaily[DeathsUnder24Hrs],tblDaily[EntryDate],DATE(2026,2,28),tblDaily[WardCode],"CW")=0,"",SUMIFS(tblDaily[DeathsUnder24Hrs],tblDaily[EntryDate],DATE(2026,2,28),tblDaily[WardCode],"CW")),"")</f>
        <v/>
      </c>
      <c r="F73" s="12">
        <f>IFERROR(IF(SUMIFS(tblDaily[TransfersIn],tblDaily[EntryDate],DATE(2026,2,28),tblDaily[WardCode],"CW")=0,"",SUMIFS(tblDaily[TransfersIn],tblDaily[EntryDate],DATE(2026,2,28),tblDaily[WardCode],"CW")),"")</f>
        <v/>
      </c>
      <c r="G73" s="12">
        <f>IFERROR(IF(SUMIFS(tblDaily[TransfersOut],tblDaily[EntryDate],DATE(2026,2,28),tblDaily[WardCode],"CW")=0,"",SUMIFS(tblDaily[TransfersOut],tblDaily[EntryDate],DATE(2026,2,28),tblDaily[WardCode],"CW")),"")</f>
        <v/>
      </c>
      <c r="H73" s="12">
        <f>IFERROR(IF(SUMIFS(tblDaily[Remaining],tblDaily[EntryDate],DATE(2026,2,28),tblDaily[WardCode],"CW")=0,"",SUMIFS(tblDaily[Remaining],tblDaily[EntryDate],DATE(2026,2,28),tblDaily[WardCode],"CW")),"")</f>
        <v/>
      </c>
    </row>
    <row r="74">
      <c r="A74" s="12" t="n">
        <v>29</v>
      </c>
      <c r="B74" s="18" t="n"/>
      <c r="C74" s="18" t="n"/>
      <c r="D74" s="18" t="n"/>
      <c r="E74" s="18" t="n"/>
      <c r="F74" s="18" t="n"/>
      <c r="G74" s="18" t="n"/>
      <c r="H74" s="18" t="n"/>
    </row>
    <row r="75">
      <c r="A75" s="12" t="n">
        <v>30</v>
      </c>
      <c r="B75" s="18" t="n"/>
      <c r="C75" s="18" t="n"/>
      <c r="D75" s="18" t="n"/>
      <c r="E75" s="18" t="n"/>
      <c r="F75" s="18" t="n"/>
      <c r="G75" s="18" t="n"/>
      <c r="H75" s="18" t="n"/>
    </row>
    <row r="76">
      <c r="A76" s="12" t="n">
        <v>31</v>
      </c>
      <c r="B76" s="18" t="n"/>
      <c r="C76" s="18" t="n"/>
      <c r="D76" s="18" t="n"/>
      <c r="E76" s="18" t="n"/>
      <c r="F76" s="18" t="n"/>
      <c r="G76" s="18" t="n"/>
      <c r="H76" s="18" t="n"/>
    </row>
    <row r="77">
      <c r="A77" s="17" t="inlineStr">
        <is>
          <t>TOTAL</t>
        </is>
      </c>
      <c r="B77" s="17">
        <f>SUMIFS(tblDaily[Admissions],tblDaily[Month],2,tblDaily[WardCode],"CW") - SUMIFS(tblDaily[DeathsUnder24Hrs],tblDaily[Month],2,tblDaily[WardCode],"CW")</f>
        <v/>
      </c>
      <c r="C77" s="17">
        <f>SUMIFS(tblDaily[Discharges],tblDaily[Month],2,tblDaily[WardCode],"CW")</f>
        <v/>
      </c>
      <c r="D77" s="17">
        <f>SUMIFS(tblDaily[Deaths],tblDaily[Month],2,tblDaily[WardCode],"CW")</f>
        <v/>
      </c>
      <c r="E77" s="17">
        <f>SUMIFS(tblDaily[DeathsUnder24Hrs],tblDaily[Month],2,tblDaily[WardCode],"CW")</f>
        <v/>
      </c>
      <c r="F77" s="17">
        <f>SUMIFS(tblDaily[TransfersIn],tblDaily[Month],2,tblDaily[WardCode],"CW")</f>
        <v/>
      </c>
      <c r="G77" s="17">
        <f>SUMIFS(tblDaily[TransfersOut],tblDaily[Month],2,tblDaily[WardCode],"CW")</f>
        <v/>
      </c>
      <c r="H77" s="17">
        <f>SUMIFS(tblDaily[Remaining],tblDaily[Month],2,tblDaily[WardCode],"CW")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PAEDIATRIC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4">
        <f>IFERROR(SUMIFS(tblDaily[Remaining],tblDaily[EntryDate],DATE(2026,2,28),tblDaily[WardCode],"CW"),0)</f>
        <v/>
      </c>
    </row>
    <row r="83">
      <c r="A83" s="4" t="inlineStr">
        <is>
          <t>Bed complement</t>
        </is>
      </c>
      <c r="H83" s="15">
        <f>IFERROR(INDEX(tblWardConfig[BedComplement],MATCH("CW",tblWardConfig[WardCode],0)),0)</f>
        <v/>
      </c>
    </row>
    <row r="84">
      <c r="A84" s="16" t="inlineStr">
        <is>
          <t>Day of
the
Month</t>
        </is>
      </c>
      <c r="B84" s="16" t="inlineStr">
        <is>
          <t>Admissions</t>
        </is>
      </c>
      <c r="C84" s="16" t="inlineStr">
        <is>
          <t>Discharges</t>
        </is>
      </c>
      <c r="D84" s="16" t="inlineStr">
        <is>
          <t>Deaths</t>
        </is>
      </c>
      <c r="E84" s="16" t="inlineStr">
        <is>
          <t>Deaths
&lt;24Hrs</t>
        </is>
      </c>
      <c r="F84" s="16" t="inlineStr">
        <is>
          <t>Transfers-
In</t>
        </is>
      </c>
      <c r="G84" s="16" t="inlineStr">
        <is>
          <t>Transfers-
Out</t>
        </is>
      </c>
      <c r="H84" s="16" t="inlineStr">
        <is>
          <t>No. of Patients
Remaining In
Ward</t>
        </is>
      </c>
    </row>
    <row r="85">
      <c r="A85" s="12" t="n">
        <v>1</v>
      </c>
      <c r="B85" s="12">
        <f>IFERROR(IF(SUMIFS(tblDaily[Admissions],tblDaily[EntryDate],DATE(2026,3,1),tblDaily[WardCode],"CW")=0,"",SUMIFS(tblDaily[Admissions],tblDaily[EntryDate],DATE(2026,3,1),tblDaily[WardCode],"CW")),"")</f>
        <v/>
      </c>
      <c r="C85" s="12">
        <f>IFERROR(IF(SUMIFS(tblDaily[Discharges],tblDaily[EntryDate],DATE(2026,3,1),tblDaily[WardCode],"CW")=0,"",SUMIFS(tblDaily[Discharges],tblDaily[EntryDate],DATE(2026,3,1),tblDaily[WardCode],"CW")),"")</f>
        <v/>
      </c>
      <c r="D85" s="12">
        <f>IFERROR(IF(SUMIFS(tblDaily[Deaths],tblDaily[EntryDate],DATE(2026,3,1),tblDaily[WardCode],"CW")=0,"",SUMIFS(tblDaily[Deaths],tblDaily[EntryDate],DATE(2026,3,1),tblDaily[WardCode],"CW")),"")</f>
        <v/>
      </c>
      <c r="E85" s="12">
        <f>IFERROR(IF(SUMIFS(tblDaily[DeathsUnder24Hrs],tblDaily[EntryDate],DATE(2026,3,1),tblDaily[WardCode],"CW")=0,"",SUMIFS(tblDaily[DeathsUnder24Hrs],tblDaily[EntryDate],DATE(2026,3,1),tblDaily[WardCode],"CW")),"")</f>
        <v/>
      </c>
      <c r="F85" s="12">
        <f>IFERROR(IF(SUMIFS(tblDaily[TransfersIn],tblDaily[EntryDate],DATE(2026,3,1),tblDaily[WardCode],"CW")=0,"",SUMIFS(tblDaily[TransfersIn],tblDaily[EntryDate],DATE(2026,3,1),tblDaily[WardCode],"CW")),"")</f>
        <v/>
      </c>
      <c r="G85" s="12">
        <f>IFERROR(IF(SUMIFS(tblDaily[TransfersOut],tblDaily[EntryDate],DATE(2026,3,1),tblDaily[WardCode],"CW")=0,"",SUMIFS(tblDaily[TransfersOut],tblDaily[EntryDate],DATE(2026,3,1),tblDaily[WardCode],"CW")),"")</f>
        <v/>
      </c>
      <c r="H85" s="12">
        <f>IFERROR(IF(SUMIFS(tblDaily[Remaining],tblDaily[EntryDate],DATE(2026,3,1),tblDaily[WardCode],"CW")=0,"",SUMIFS(tblDaily[Remaining],tblDaily[EntryDate],DATE(2026,3,1),tblDaily[WardCode],"CW")),"")</f>
        <v/>
      </c>
    </row>
    <row r="86">
      <c r="A86" s="12" t="n">
        <v>2</v>
      </c>
      <c r="B86" s="12">
        <f>IFERROR(IF(SUMIFS(tblDaily[Admissions],tblDaily[EntryDate],DATE(2026,3,2),tblDaily[WardCode],"CW")=0,"",SUMIFS(tblDaily[Admissions],tblDaily[EntryDate],DATE(2026,3,2),tblDaily[WardCode],"CW")),"")</f>
        <v/>
      </c>
      <c r="C86" s="12">
        <f>IFERROR(IF(SUMIFS(tblDaily[Discharges],tblDaily[EntryDate],DATE(2026,3,2),tblDaily[WardCode],"CW")=0,"",SUMIFS(tblDaily[Discharges],tblDaily[EntryDate],DATE(2026,3,2),tblDaily[WardCode],"CW")),"")</f>
        <v/>
      </c>
      <c r="D86" s="12">
        <f>IFERROR(IF(SUMIFS(tblDaily[Deaths],tblDaily[EntryDate],DATE(2026,3,2),tblDaily[WardCode],"CW")=0,"",SUMIFS(tblDaily[Deaths],tblDaily[EntryDate],DATE(2026,3,2),tblDaily[WardCode],"CW")),"")</f>
        <v/>
      </c>
      <c r="E86" s="12">
        <f>IFERROR(IF(SUMIFS(tblDaily[DeathsUnder24Hrs],tblDaily[EntryDate],DATE(2026,3,2),tblDaily[WardCode],"CW")=0,"",SUMIFS(tblDaily[DeathsUnder24Hrs],tblDaily[EntryDate],DATE(2026,3,2),tblDaily[WardCode],"CW")),"")</f>
        <v/>
      </c>
      <c r="F86" s="12">
        <f>IFERROR(IF(SUMIFS(tblDaily[TransfersIn],tblDaily[EntryDate],DATE(2026,3,2),tblDaily[WardCode],"CW")=0,"",SUMIFS(tblDaily[TransfersIn],tblDaily[EntryDate],DATE(2026,3,2),tblDaily[WardCode],"CW")),"")</f>
        <v/>
      </c>
      <c r="G86" s="12">
        <f>IFERROR(IF(SUMIFS(tblDaily[TransfersOut],tblDaily[EntryDate],DATE(2026,3,2),tblDaily[WardCode],"CW")=0,"",SUMIFS(tblDaily[TransfersOut],tblDaily[EntryDate],DATE(2026,3,2),tblDaily[WardCode],"CW")),"")</f>
        <v/>
      </c>
      <c r="H86" s="12">
        <f>IFERROR(IF(SUMIFS(tblDaily[Remaining],tblDaily[EntryDate],DATE(2026,3,2),tblDaily[WardCode],"CW")=0,"",SUMIFS(tblDaily[Remaining],tblDaily[EntryDate],DATE(2026,3,2),tblDaily[WardCode],"CW")),"")</f>
        <v/>
      </c>
    </row>
    <row r="87">
      <c r="A87" s="12" t="n">
        <v>3</v>
      </c>
      <c r="B87" s="12">
        <f>IFERROR(IF(SUMIFS(tblDaily[Admissions],tblDaily[EntryDate],DATE(2026,3,3),tblDaily[WardCode],"CW")=0,"",SUMIFS(tblDaily[Admissions],tblDaily[EntryDate],DATE(2026,3,3),tblDaily[WardCode],"CW")),"")</f>
        <v/>
      </c>
      <c r="C87" s="12">
        <f>IFERROR(IF(SUMIFS(tblDaily[Discharges],tblDaily[EntryDate],DATE(2026,3,3),tblDaily[WardCode],"CW")=0,"",SUMIFS(tblDaily[Discharges],tblDaily[EntryDate],DATE(2026,3,3),tblDaily[WardCode],"CW")),"")</f>
        <v/>
      </c>
      <c r="D87" s="12">
        <f>IFERROR(IF(SUMIFS(tblDaily[Deaths],tblDaily[EntryDate],DATE(2026,3,3),tblDaily[WardCode],"CW")=0,"",SUMIFS(tblDaily[Deaths],tblDaily[EntryDate],DATE(2026,3,3),tblDaily[WardCode],"CW")),"")</f>
        <v/>
      </c>
      <c r="E87" s="12">
        <f>IFERROR(IF(SUMIFS(tblDaily[DeathsUnder24Hrs],tblDaily[EntryDate],DATE(2026,3,3),tblDaily[WardCode],"CW")=0,"",SUMIFS(tblDaily[DeathsUnder24Hrs],tblDaily[EntryDate],DATE(2026,3,3),tblDaily[WardCode],"CW")),"")</f>
        <v/>
      </c>
      <c r="F87" s="12">
        <f>IFERROR(IF(SUMIFS(tblDaily[TransfersIn],tblDaily[EntryDate],DATE(2026,3,3),tblDaily[WardCode],"CW")=0,"",SUMIFS(tblDaily[TransfersIn],tblDaily[EntryDate],DATE(2026,3,3),tblDaily[WardCode],"CW")),"")</f>
        <v/>
      </c>
      <c r="G87" s="12">
        <f>IFERROR(IF(SUMIFS(tblDaily[TransfersOut],tblDaily[EntryDate],DATE(2026,3,3),tblDaily[WardCode],"CW")=0,"",SUMIFS(tblDaily[TransfersOut],tblDaily[EntryDate],DATE(2026,3,3),tblDaily[WardCode],"CW")),"")</f>
        <v/>
      </c>
      <c r="H87" s="12">
        <f>IFERROR(IF(SUMIFS(tblDaily[Remaining],tblDaily[EntryDate],DATE(2026,3,3),tblDaily[WardCode],"CW")=0,"",SUMIFS(tblDaily[Remaining],tblDaily[EntryDate],DATE(2026,3,3),tblDaily[WardCode],"CW")),"")</f>
        <v/>
      </c>
    </row>
    <row r="88">
      <c r="A88" s="12" t="n">
        <v>4</v>
      </c>
      <c r="B88" s="12">
        <f>IFERROR(IF(SUMIFS(tblDaily[Admissions],tblDaily[EntryDate],DATE(2026,3,4),tblDaily[WardCode],"CW")=0,"",SUMIFS(tblDaily[Admissions],tblDaily[EntryDate],DATE(2026,3,4),tblDaily[WardCode],"CW")),"")</f>
        <v/>
      </c>
      <c r="C88" s="12">
        <f>IFERROR(IF(SUMIFS(tblDaily[Discharges],tblDaily[EntryDate],DATE(2026,3,4),tblDaily[WardCode],"CW")=0,"",SUMIFS(tblDaily[Discharges],tblDaily[EntryDate],DATE(2026,3,4),tblDaily[WardCode],"CW")),"")</f>
        <v/>
      </c>
      <c r="D88" s="12">
        <f>IFERROR(IF(SUMIFS(tblDaily[Deaths],tblDaily[EntryDate],DATE(2026,3,4),tblDaily[WardCode],"CW")=0,"",SUMIFS(tblDaily[Deaths],tblDaily[EntryDate],DATE(2026,3,4),tblDaily[WardCode],"CW")),"")</f>
        <v/>
      </c>
      <c r="E88" s="12">
        <f>IFERROR(IF(SUMIFS(tblDaily[DeathsUnder24Hrs],tblDaily[EntryDate],DATE(2026,3,4),tblDaily[WardCode],"CW")=0,"",SUMIFS(tblDaily[DeathsUnder24Hrs],tblDaily[EntryDate],DATE(2026,3,4),tblDaily[WardCode],"CW")),"")</f>
        <v/>
      </c>
      <c r="F88" s="12">
        <f>IFERROR(IF(SUMIFS(tblDaily[TransfersIn],tblDaily[EntryDate],DATE(2026,3,4),tblDaily[WardCode],"CW")=0,"",SUMIFS(tblDaily[TransfersIn],tblDaily[EntryDate],DATE(2026,3,4),tblDaily[WardCode],"CW")),"")</f>
        <v/>
      </c>
      <c r="G88" s="12">
        <f>IFERROR(IF(SUMIFS(tblDaily[TransfersOut],tblDaily[EntryDate],DATE(2026,3,4),tblDaily[WardCode],"CW")=0,"",SUMIFS(tblDaily[TransfersOut],tblDaily[EntryDate],DATE(2026,3,4),tblDaily[WardCode],"CW")),"")</f>
        <v/>
      </c>
      <c r="H88" s="12">
        <f>IFERROR(IF(SUMIFS(tblDaily[Remaining],tblDaily[EntryDate],DATE(2026,3,4),tblDaily[WardCode],"CW")=0,"",SUMIFS(tblDaily[Remaining],tblDaily[EntryDate],DATE(2026,3,4),tblDaily[WardCode],"CW")),"")</f>
        <v/>
      </c>
    </row>
    <row r="89">
      <c r="A89" s="12" t="n">
        <v>5</v>
      </c>
      <c r="B89" s="12">
        <f>IFERROR(IF(SUMIFS(tblDaily[Admissions],tblDaily[EntryDate],DATE(2026,3,5),tblDaily[WardCode],"CW")=0,"",SUMIFS(tblDaily[Admissions],tblDaily[EntryDate],DATE(2026,3,5),tblDaily[WardCode],"CW")),"")</f>
        <v/>
      </c>
      <c r="C89" s="12">
        <f>IFERROR(IF(SUMIFS(tblDaily[Discharges],tblDaily[EntryDate],DATE(2026,3,5),tblDaily[WardCode],"CW")=0,"",SUMIFS(tblDaily[Discharges],tblDaily[EntryDate],DATE(2026,3,5),tblDaily[WardCode],"CW")),"")</f>
        <v/>
      </c>
      <c r="D89" s="12">
        <f>IFERROR(IF(SUMIFS(tblDaily[Deaths],tblDaily[EntryDate],DATE(2026,3,5),tblDaily[WardCode],"CW")=0,"",SUMIFS(tblDaily[Deaths],tblDaily[EntryDate],DATE(2026,3,5),tblDaily[WardCode],"CW")),"")</f>
        <v/>
      </c>
      <c r="E89" s="12">
        <f>IFERROR(IF(SUMIFS(tblDaily[DeathsUnder24Hrs],tblDaily[EntryDate],DATE(2026,3,5),tblDaily[WardCode],"CW")=0,"",SUMIFS(tblDaily[DeathsUnder24Hrs],tblDaily[EntryDate],DATE(2026,3,5),tblDaily[WardCode],"CW")),"")</f>
        <v/>
      </c>
      <c r="F89" s="12">
        <f>IFERROR(IF(SUMIFS(tblDaily[TransfersIn],tblDaily[EntryDate],DATE(2026,3,5),tblDaily[WardCode],"CW")=0,"",SUMIFS(tblDaily[TransfersIn],tblDaily[EntryDate],DATE(2026,3,5),tblDaily[WardCode],"CW")),"")</f>
        <v/>
      </c>
      <c r="G89" s="12">
        <f>IFERROR(IF(SUMIFS(tblDaily[TransfersOut],tblDaily[EntryDate],DATE(2026,3,5),tblDaily[WardCode],"CW")=0,"",SUMIFS(tblDaily[TransfersOut],tblDaily[EntryDate],DATE(2026,3,5),tblDaily[WardCode],"CW")),"")</f>
        <v/>
      </c>
      <c r="H89" s="12">
        <f>IFERROR(IF(SUMIFS(tblDaily[Remaining],tblDaily[EntryDate],DATE(2026,3,5),tblDaily[WardCode],"CW")=0,"",SUMIFS(tblDaily[Remaining],tblDaily[EntryDate],DATE(2026,3,5),tblDaily[WardCode],"CW")),"")</f>
        <v/>
      </c>
    </row>
    <row r="90">
      <c r="A90" s="12" t="n">
        <v>6</v>
      </c>
      <c r="B90" s="12">
        <f>IFERROR(IF(SUMIFS(tblDaily[Admissions],tblDaily[EntryDate],DATE(2026,3,6),tblDaily[WardCode],"CW")=0,"",SUMIFS(tblDaily[Admissions],tblDaily[EntryDate],DATE(2026,3,6),tblDaily[WardCode],"CW")),"")</f>
        <v/>
      </c>
      <c r="C90" s="12">
        <f>IFERROR(IF(SUMIFS(tblDaily[Discharges],tblDaily[EntryDate],DATE(2026,3,6),tblDaily[WardCode],"CW")=0,"",SUMIFS(tblDaily[Discharges],tblDaily[EntryDate],DATE(2026,3,6),tblDaily[WardCode],"CW")),"")</f>
        <v/>
      </c>
      <c r="D90" s="12">
        <f>IFERROR(IF(SUMIFS(tblDaily[Deaths],tblDaily[EntryDate],DATE(2026,3,6),tblDaily[WardCode],"CW")=0,"",SUMIFS(tblDaily[Deaths],tblDaily[EntryDate],DATE(2026,3,6),tblDaily[WardCode],"CW")),"")</f>
        <v/>
      </c>
      <c r="E90" s="12">
        <f>IFERROR(IF(SUMIFS(tblDaily[DeathsUnder24Hrs],tblDaily[EntryDate],DATE(2026,3,6),tblDaily[WardCode],"CW")=0,"",SUMIFS(tblDaily[DeathsUnder24Hrs],tblDaily[EntryDate],DATE(2026,3,6),tblDaily[WardCode],"CW")),"")</f>
        <v/>
      </c>
      <c r="F90" s="12">
        <f>IFERROR(IF(SUMIFS(tblDaily[TransfersIn],tblDaily[EntryDate],DATE(2026,3,6),tblDaily[WardCode],"CW")=0,"",SUMIFS(tblDaily[TransfersIn],tblDaily[EntryDate],DATE(2026,3,6),tblDaily[WardCode],"CW")),"")</f>
        <v/>
      </c>
      <c r="G90" s="12">
        <f>IFERROR(IF(SUMIFS(tblDaily[TransfersOut],tblDaily[EntryDate],DATE(2026,3,6),tblDaily[WardCode],"CW")=0,"",SUMIFS(tblDaily[TransfersOut],tblDaily[EntryDate],DATE(2026,3,6),tblDaily[WardCode],"CW")),"")</f>
        <v/>
      </c>
      <c r="H90" s="12">
        <f>IFERROR(IF(SUMIFS(tblDaily[Remaining],tblDaily[EntryDate],DATE(2026,3,6),tblDaily[WardCode],"CW")=0,"",SUMIFS(tblDaily[Remaining],tblDaily[EntryDate],DATE(2026,3,6),tblDaily[WardCode],"CW")),"")</f>
        <v/>
      </c>
    </row>
    <row r="91">
      <c r="A91" s="12" t="n">
        <v>7</v>
      </c>
      <c r="B91" s="12">
        <f>IFERROR(IF(SUMIFS(tblDaily[Admissions],tblDaily[EntryDate],DATE(2026,3,7),tblDaily[WardCode],"CW")=0,"",SUMIFS(tblDaily[Admissions],tblDaily[EntryDate],DATE(2026,3,7),tblDaily[WardCode],"CW")),"")</f>
        <v/>
      </c>
      <c r="C91" s="12">
        <f>IFERROR(IF(SUMIFS(tblDaily[Discharges],tblDaily[EntryDate],DATE(2026,3,7),tblDaily[WardCode],"CW")=0,"",SUMIFS(tblDaily[Discharges],tblDaily[EntryDate],DATE(2026,3,7),tblDaily[WardCode],"CW")),"")</f>
        <v/>
      </c>
      <c r="D91" s="12">
        <f>IFERROR(IF(SUMIFS(tblDaily[Deaths],tblDaily[EntryDate],DATE(2026,3,7),tblDaily[WardCode],"CW")=0,"",SUMIFS(tblDaily[Deaths],tblDaily[EntryDate],DATE(2026,3,7),tblDaily[WardCode],"CW")),"")</f>
        <v/>
      </c>
      <c r="E91" s="12">
        <f>IFERROR(IF(SUMIFS(tblDaily[DeathsUnder24Hrs],tblDaily[EntryDate],DATE(2026,3,7),tblDaily[WardCode],"CW")=0,"",SUMIFS(tblDaily[DeathsUnder24Hrs],tblDaily[EntryDate],DATE(2026,3,7),tblDaily[WardCode],"CW")),"")</f>
        <v/>
      </c>
      <c r="F91" s="12">
        <f>IFERROR(IF(SUMIFS(tblDaily[TransfersIn],tblDaily[EntryDate],DATE(2026,3,7),tblDaily[WardCode],"CW")=0,"",SUMIFS(tblDaily[TransfersIn],tblDaily[EntryDate],DATE(2026,3,7),tblDaily[WardCode],"CW")),"")</f>
        <v/>
      </c>
      <c r="G91" s="12">
        <f>IFERROR(IF(SUMIFS(tblDaily[TransfersOut],tblDaily[EntryDate],DATE(2026,3,7),tblDaily[WardCode],"CW")=0,"",SUMIFS(tblDaily[TransfersOut],tblDaily[EntryDate],DATE(2026,3,7),tblDaily[WardCode],"CW")),"")</f>
        <v/>
      </c>
      <c r="H91" s="12">
        <f>IFERROR(IF(SUMIFS(tblDaily[Remaining],tblDaily[EntryDate],DATE(2026,3,7),tblDaily[WardCode],"CW")=0,"",SUMIFS(tblDaily[Remaining],tblDaily[EntryDate],DATE(2026,3,7),tblDaily[WardCode],"CW")),"")</f>
        <v/>
      </c>
    </row>
    <row r="92">
      <c r="A92" s="12" t="n">
        <v>8</v>
      </c>
      <c r="B92" s="12">
        <f>IFERROR(IF(SUMIFS(tblDaily[Admissions],tblDaily[EntryDate],DATE(2026,3,8),tblDaily[WardCode],"CW")=0,"",SUMIFS(tblDaily[Admissions],tblDaily[EntryDate],DATE(2026,3,8),tblDaily[WardCode],"CW")),"")</f>
        <v/>
      </c>
      <c r="C92" s="12">
        <f>IFERROR(IF(SUMIFS(tblDaily[Discharges],tblDaily[EntryDate],DATE(2026,3,8),tblDaily[WardCode],"CW")=0,"",SUMIFS(tblDaily[Discharges],tblDaily[EntryDate],DATE(2026,3,8),tblDaily[WardCode],"CW")),"")</f>
        <v/>
      </c>
      <c r="D92" s="12">
        <f>IFERROR(IF(SUMIFS(tblDaily[Deaths],tblDaily[EntryDate],DATE(2026,3,8),tblDaily[WardCode],"CW")=0,"",SUMIFS(tblDaily[Deaths],tblDaily[EntryDate],DATE(2026,3,8),tblDaily[WardCode],"CW")),"")</f>
        <v/>
      </c>
      <c r="E92" s="12">
        <f>IFERROR(IF(SUMIFS(tblDaily[DeathsUnder24Hrs],tblDaily[EntryDate],DATE(2026,3,8),tblDaily[WardCode],"CW")=0,"",SUMIFS(tblDaily[DeathsUnder24Hrs],tblDaily[EntryDate],DATE(2026,3,8),tblDaily[WardCode],"CW")),"")</f>
        <v/>
      </c>
      <c r="F92" s="12">
        <f>IFERROR(IF(SUMIFS(tblDaily[TransfersIn],tblDaily[EntryDate],DATE(2026,3,8),tblDaily[WardCode],"CW")=0,"",SUMIFS(tblDaily[TransfersIn],tblDaily[EntryDate],DATE(2026,3,8),tblDaily[WardCode],"CW")),"")</f>
        <v/>
      </c>
      <c r="G92" s="12">
        <f>IFERROR(IF(SUMIFS(tblDaily[TransfersOut],tblDaily[EntryDate],DATE(2026,3,8),tblDaily[WardCode],"CW")=0,"",SUMIFS(tblDaily[TransfersOut],tblDaily[EntryDate],DATE(2026,3,8),tblDaily[WardCode],"CW")),"")</f>
        <v/>
      </c>
      <c r="H92" s="12">
        <f>IFERROR(IF(SUMIFS(tblDaily[Remaining],tblDaily[EntryDate],DATE(2026,3,8),tblDaily[WardCode],"CW")=0,"",SUMIFS(tblDaily[Remaining],tblDaily[EntryDate],DATE(2026,3,8),tblDaily[WardCode],"CW")),"")</f>
        <v/>
      </c>
    </row>
    <row r="93">
      <c r="A93" s="12" t="n">
        <v>9</v>
      </c>
      <c r="B93" s="12">
        <f>IFERROR(IF(SUMIFS(tblDaily[Admissions],tblDaily[EntryDate],DATE(2026,3,9),tblDaily[WardCode],"CW")=0,"",SUMIFS(tblDaily[Admissions],tblDaily[EntryDate],DATE(2026,3,9),tblDaily[WardCode],"CW")),"")</f>
        <v/>
      </c>
      <c r="C93" s="12">
        <f>IFERROR(IF(SUMIFS(tblDaily[Discharges],tblDaily[EntryDate],DATE(2026,3,9),tblDaily[WardCode],"CW")=0,"",SUMIFS(tblDaily[Discharges],tblDaily[EntryDate],DATE(2026,3,9),tblDaily[WardCode],"CW")),"")</f>
        <v/>
      </c>
      <c r="D93" s="12">
        <f>IFERROR(IF(SUMIFS(tblDaily[Deaths],tblDaily[EntryDate],DATE(2026,3,9),tblDaily[WardCode],"CW")=0,"",SUMIFS(tblDaily[Deaths],tblDaily[EntryDate],DATE(2026,3,9),tblDaily[WardCode],"CW")),"")</f>
        <v/>
      </c>
      <c r="E93" s="12">
        <f>IFERROR(IF(SUMIFS(tblDaily[DeathsUnder24Hrs],tblDaily[EntryDate],DATE(2026,3,9),tblDaily[WardCode],"CW")=0,"",SUMIFS(tblDaily[DeathsUnder24Hrs],tblDaily[EntryDate],DATE(2026,3,9),tblDaily[WardCode],"CW")),"")</f>
        <v/>
      </c>
      <c r="F93" s="12">
        <f>IFERROR(IF(SUMIFS(tblDaily[TransfersIn],tblDaily[EntryDate],DATE(2026,3,9),tblDaily[WardCode],"CW")=0,"",SUMIFS(tblDaily[TransfersIn],tblDaily[EntryDate],DATE(2026,3,9),tblDaily[WardCode],"CW")),"")</f>
        <v/>
      </c>
      <c r="G93" s="12">
        <f>IFERROR(IF(SUMIFS(tblDaily[TransfersOut],tblDaily[EntryDate],DATE(2026,3,9),tblDaily[WardCode],"CW")=0,"",SUMIFS(tblDaily[TransfersOut],tblDaily[EntryDate],DATE(2026,3,9),tblDaily[WardCode],"CW")),"")</f>
        <v/>
      </c>
      <c r="H93" s="12">
        <f>IFERROR(IF(SUMIFS(tblDaily[Remaining],tblDaily[EntryDate],DATE(2026,3,9),tblDaily[WardCode],"CW")=0,"",SUMIFS(tblDaily[Remaining],tblDaily[EntryDate],DATE(2026,3,9),tblDaily[WardCode],"CW")),"")</f>
        <v/>
      </c>
    </row>
    <row r="94">
      <c r="A94" s="12" t="n">
        <v>10</v>
      </c>
      <c r="B94" s="12">
        <f>IFERROR(IF(SUMIFS(tblDaily[Admissions],tblDaily[EntryDate],DATE(2026,3,10),tblDaily[WardCode],"CW")=0,"",SUMIFS(tblDaily[Admissions],tblDaily[EntryDate],DATE(2026,3,10),tblDaily[WardCode],"CW")),"")</f>
        <v/>
      </c>
      <c r="C94" s="12">
        <f>IFERROR(IF(SUMIFS(tblDaily[Discharges],tblDaily[EntryDate],DATE(2026,3,10),tblDaily[WardCode],"CW")=0,"",SUMIFS(tblDaily[Discharges],tblDaily[EntryDate],DATE(2026,3,10),tblDaily[WardCode],"CW")),"")</f>
        <v/>
      </c>
      <c r="D94" s="12">
        <f>IFERROR(IF(SUMIFS(tblDaily[Deaths],tblDaily[EntryDate],DATE(2026,3,10),tblDaily[WardCode],"CW")=0,"",SUMIFS(tblDaily[Deaths],tblDaily[EntryDate],DATE(2026,3,10),tblDaily[WardCode],"CW")),"")</f>
        <v/>
      </c>
      <c r="E94" s="12">
        <f>IFERROR(IF(SUMIFS(tblDaily[DeathsUnder24Hrs],tblDaily[EntryDate],DATE(2026,3,10),tblDaily[WardCode],"CW")=0,"",SUMIFS(tblDaily[DeathsUnder24Hrs],tblDaily[EntryDate],DATE(2026,3,10),tblDaily[WardCode],"CW")),"")</f>
        <v/>
      </c>
      <c r="F94" s="12">
        <f>IFERROR(IF(SUMIFS(tblDaily[TransfersIn],tblDaily[EntryDate],DATE(2026,3,10),tblDaily[WardCode],"CW")=0,"",SUMIFS(tblDaily[TransfersIn],tblDaily[EntryDate],DATE(2026,3,10),tblDaily[WardCode],"CW")),"")</f>
        <v/>
      </c>
      <c r="G94" s="12">
        <f>IFERROR(IF(SUMIFS(tblDaily[TransfersOut],tblDaily[EntryDate],DATE(2026,3,10),tblDaily[WardCode],"CW")=0,"",SUMIFS(tblDaily[TransfersOut],tblDaily[EntryDate],DATE(2026,3,10),tblDaily[WardCode],"CW")),"")</f>
        <v/>
      </c>
      <c r="H94" s="12">
        <f>IFERROR(IF(SUMIFS(tblDaily[Remaining],tblDaily[EntryDate],DATE(2026,3,10),tblDaily[WardCode],"CW")=0,"",SUMIFS(tblDaily[Remaining],tblDaily[EntryDate],DATE(2026,3,10),tblDaily[WardCode],"CW")),"")</f>
        <v/>
      </c>
    </row>
    <row r="95">
      <c r="A95" s="12" t="n">
        <v>11</v>
      </c>
      <c r="B95" s="12">
        <f>IFERROR(IF(SUMIFS(tblDaily[Admissions],tblDaily[EntryDate],DATE(2026,3,11),tblDaily[WardCode],"CW")=0,"",SUMIFS(tblDaily[Admissions],tblDaily[EntryDate],DATE(2026,3,11),tblDaily[WardCode],"CW")),"")</f>
        <v/>
      </c>
      <c r="C95" s="12">
        <f>IFERROR(IF(SUMIFS(tblDaily[Discharges],tblDaily[EntryDate],DATE(2026,3,11),tblDaily[WardCode],"CW")=0,"",SUMIFS(tblDaily[Discharges],tblDaily[EntryDate],DATE(2026,3,11),tblDaily[WardCode],"CW")),"")</f>
        <v/>
      </c>
      <c r="D95" s="12">
        <f>IFERROR(IF(SUMIFS(tblDaily[Deaths],tblDaily[EntryDate],DATE(2026,3,11),tblDaily[WardCode],"CW")=0,"",SUMIFS(tblDaily[Deaths],tblDaily[EntryDate],DATE(2026,3,11),tblDaily[WardCode],"CW")),"")</f>
        <v/>
      </c>
      <c r="E95" s="12">
        <f>IFERROR(IF(SUMIFS(tblDaily[DeathsUnder24Hrs],tblDaily[EntryDate],DATE(2026,3,11),tblDaily[WardCode],"CW")=0,"",SUMIFS(tblDaily[DeathsUnder24Hrs],tblDaily[EntryDate],DATE(2026,3,11),tblDaily[WardCode],"CW")),"")</f>
        <v/>
      </c>
      <c r="F95" s="12">
        <f>IFERROR(IF(SUMIFS(tblDaily[TransfersIn],tblDaily[EntryDate],DATE(2026,3,11),tblDaily[WardCode],"CW")=0,"",SUMIFS(tblDaily[TransfersIn],tblDaily[EntryDate],DATE(2026,3,11),tblDaily[WardCode],"CW")),"")</f>
        <v/>
      </c>
      <c r="G95" s="12">
        <f>IFERROR(IF(SUMIFS(tblDaily[TransfersOut],tblDaily[EntryDate],DATE(2026,3,11),tblDaily[WardCode],"CW")=0,"",SUMIFS(tblDaily[TransfersOut],tblDaily[EntryDate],DATE(2026,3,11),tblDaily[WardCode],"CW")),"")</f>
        <v/>
      </c>
      <c r="H95" s="12">
        <f>IFERROR(IF(SUMIFS(tblDaily[Remaining],tblDaily[EntryDate],DATE(2026,3,11),tblDaily[WardCode],"CW")=0,"",SUMIFS(tblDaily[Remaining],tblDaily[EntryDate],DATE(2026,3,11),tblDaily[WardCode],"CW")),"")</f>
        <v/>
      </c>
    </row>
    <row r="96">
      <c r="A96" s="12" t="n">
        <v>12</v>
      </c>
      <c r="B96" s="12">
        <f>IFERROR(IF(SUMIFS(tblDaily[Admissions],tblDaily[EntryDate],DATE(2026,3,12),tblDaily[WardCode],"CW")=0,"",SUMIFS(tblDaily[Admissions],tblDaily[EntryDate],DATE(2026,3,12),tblDaily[WardCode],"CW")),"")</f>
        <v/>
      </c>
      <c r="C96" s="12">
        <f>IFERROR(IF(SUMIFS(tblDaily[Discharges],tblDaily[EntryDate],DATE(2026,3,12),tblDaily[WardCode],"CW")=0,"",SUMIFS(tblDaily[Discharges],tblDaily[EntryDate],DATE(2026,3,12),tblDaily[WardCode],"CW")),"")</f>
        <v/>
      </c>
      <c r="D96" s="12">
        <f>IFERROR(IF(SUMIFS(tblDaily[Deaths],tblDaily[EntryDate],DATE(2026,3,12),tblDaily[WardCode],"CW")=0,"",SUMIFS(tblDaily[Deaths],tblDaily[EntryDate],DATE(2026,3,12),tblDaily[WardCode],"CW")),"")</f>
        <v/>
      </c>
      <c r="E96" s="12">
        <f>IFERROR(IF(SUMIFS(tblDaily[DeathsUnder24Hrs],tblDaily[EntryDate],DATE(2026,3,12),tblDaily[WardCode],"CW")=0,"",SUMIFS(tblDaily[DeathsUnder24Hrs],tblDaily[EntryDate],DATE(2026,3,12),tblDaily[WardCode],"CW")),"")</f>
        <v/>
      </c>
      <c r="F96" s="12">
        <f>IFERROR(IF(SUMIFS(tblDaily[TransfersIn],tblDaily[EntryDate],DATE(2026,3,12),tblDaily[WardCode],"CW")=0,"",SUMIFS(tblDaily[TransfersIn],tblDaily[EntryDate],DATE(2026,3,12),tblDaily[WardCode],"CW")),"")</f>
        <v/>
      </c>
      <c r="G96" s="12">
        <f>IFERROR(IF(SUMIFS(tblDaily[TransfersOut],tblDaily[EntryDate],DATE(2026,3,12),tblDaily[WardCode],"CW")=0,"",SUMIFS(tblDaily[TransfersOut],tblDaily[EntryDate],DATE(2026,3,12),tblDaily[WardCode],"CW")),"")</f>
        <v/>
      </c>
      <c r="H96" s="12">
        <f>IFERROR(IF(SUMIFS(tblDaily[Remaining],tblDaily[EntryDate],DATE(2026,3,12),tblDaily[WardCode],"CW")=0,"",SUMIFS(tblDaily[Remaining],tblDaily[EntryDate],DATE(2026,3,12),tblDaily[WardCode],"CW")),"")</f>
        <v/>
      </c>
    </row>
    <row r="97">
      <c r="A97" s="12" t="n">
        <v>13</v>
      </c>
      <c r="B97" s="12">
        <f>IFERROR(IF(SUMIFS(tblDaily[Admissions],tblDaily[EntryDate],DATE(2026,3,13),tblDaily[WardCode],"CW")=0,"",SUMIFS(tblDaily[Admissions],tblDaily[EntryDate],DATE(2026,3,13),tblDaily[WardCode],"CW")),"")</f>
        <v/>
      </c>
      <c r="C97" s="12">
        <f>IFERROR(IF(SUMIFS(tblDaily[Discharges],tblDaily[EntryDate],DATE(2026,3,13),tblDaily[WardCode],"CW")=0,"",SUMIFS(tblDaily[Discharges],tblDaily[EntryDate],DATE(2026,3,13),tblDaily[WardCode],"CW")),"")</f>
        <v/>
      </c>
      <c r="D97" s="12">
        <f>IFERROR(IF(SUMIFS(tblDaily[Deaths],tblDaily[EntryDate],DATE(2026,3,13),tblDaily[WardCode],"CW")=0,"",SUMIFS(tblDaily[Deaths],tblDaily[EntryDate],DATE(2026,3,13),tblDaily[WardCode],"CW")),"")</f>
        <v/>
      </c>
      <c r="E97" s="12">
        <f>IFERROR(IF(SUMIFS(tblDaily[DeathsUnder24Hrs],tblDaily[EntryDate],DATE(2026,3,13),tblDaily[WardCode],"CW")=0,"",SUMIFS(tblDaily[DeathsUnder24Hrs],tblDaily[EntryDate],DATE(2026,3,13),tblDaily[WardCode],"CW")),"")</f>
        <v/>
      </c>
      <c r="F97" s="12">
        <f>IFERROR(IF(SUMIFS(tblDaily[TransfersIn],tblDaily[EntryDate],DATE(2026,3,13),tblDaily[WardCode],"CW")=0,"",SUMIFS(tblDaily[TransfersIn],tblDaily[EntryDate],DATE(2026,3,13),tblDaily[WardCode],"CW")),"")</f>
        <v/>
      </c>
      <c r="G97" s="12">
        <f>IFERROR(IF(SUMIFS(tblDaily[TransfersOut],tblDaily[EntryDate],DATE(2026,3,13),tblDaily[WardCode],"CW")=0,"",SUMIFS(tblDaily[TransfersOut],tblDaily[EntryDate],DATE(2026,3,13),tblDaily[WardCode],"CW")),"")</f>
        <v/>
      </c>
      <c r="H97" s="12">
        <f>IFERROR(IF(SUMIFS(tblDaily[Remaining],tblDaily[EntryDate],DATE(2026,3,13),tblDaily[WardCode],"CW")=0,"",SUMIFS(tblDaily[Remaining],tblDaily[EntryDate],DATE(2026,3,13),tblDaily[WardCode],"CW")),"")</f>
        <v/>
      </c>
    </row>
    <row r="98">
      <c r="A98" s="12" t="n">
        <v>14</v>
      </c>
      <c r="B98" s="12">
        <f>IFERROR(IF(SUMIFS(tblDaily[Admissions],tblDaily[EntryDate],DATE(2026,3,14),tblDaily[WardCode],"CW")=0,"",SUMIFS(tblDaily[Admissions],tblDaily[EntryDate],DATE(2026,3,14),tblDaily[WardCode],"CW")),"")</f>
        <v/>
      </c>
      <c r="C98" s="12">
        <f>IFERROR(IF(SUMIFS(tblDaily[Discharges],tblDaily[EntryDate],DATE(2026,3,14),tblDaily[WardCode],"CW")=0,"",SUMIFS(tblDaily[Discharges],tblDaily[EntryDate],DATE(2026,3,14),tblDaily[WardCode],"CW")),"")</f>
        <v/>
      </c>
      <c r="D98" s="12">
        <f>IFERROR(IF(SUMIFS(tblDaily[Deaths],tblDaily[EntryDate],DATE(2026,3,14),tblDaily[WardCode],"CW")=0,"",SUMIFS(tblDaily[Deaths],tblDaily[EntryDate],DATE(2026,3,14),tblDaily[WardCode],"CW")),"")</f>
        <v/>
      </c>
      <c r="E98" s="12">
        <f>IFERROR(IF(SUMIFS(tblDaily[DeathsUnder24Hrs],tblDaily[EntryDate],DATE(2026,3,14),tblDaily[WardCode],"CW")=0,"",SUMIFS(tblDaily[DeathsUnder24Hrs],tblDaily[EntryDate],DATE(2026,3,14),tblDaily[WardCode],"CW")),"")</f>
        <v/>
      </c>
      <c r="F98" s="12">
        <f>IFERROR(IF(SUMIFS(tblDaily[TransfersIn],tblDaily[EntryDate],DATE(2026,3,14),tblDaily[WardCode],"CW")=0,"",SUMIFS(tblDaily[TransfersIn],tblDaily[EntryDate],DATE(2026,3,14),tblDaily[WardCode],"CW")),"")</f>
        <v/>
      </c>
      <c r="G98" s="12">
        <f>IFERROR(IF(SUMIFS(tblDaily[TransfersOut],tblDaily[EntryDate],DATE(2026,3,14),tblDaily[WardCode],"CW")=0,"",SUMIFS(tblDaily[TransfersOut],tblDaily[EntryDate],DATE(2026,3,14),tblDaily[WardCode],"CW")),"")</f>
        <v/>
      </c>
      <c r="H98" s="12">
        <f>IFERROR(IF(SUMIFS(tblDaily[Remaining],tblDaily[EntryDate],DATE(2026,3,14),tblDaily[WardCode],"CW")=0,"",SUMIFS(tblDaily[Remaining],tblDaily[EntryDate],DATE(2026,3,14),tblDaily[WardCode],"CW")),"")</f>
        <v/>
      </c>
    </row>
    <row r="99">
      <c r="A99" s="12" t="n">
        <v>15</v>
      </c>
      <c r="B99" s="12">
        <f>IFERROR(IF(SUMIFS(tblDaily[Admissions],tblDaily[EntryDate],DATE(2026,3,15),tblDaily[WardCode],"CW")=0,"",SUMIFS(tblDaily[Admissions],tblDaily[EntryDate],DATE(2026,3,15),tblDaily[WardCode],"CW")),"")</f>
        <v/>
      </c>
      <c r="C99" s="12">
        <f>IFERROR(IF(SUMIFS(tblDaily[Discharges],tblDaily[EntryDate],DATE(2026,3,15),tblDaily[WardCode],"CW")=0,"",SUMIFS(tblDaily[Discharges],tblDaily[EntryDate],DATE(2026,3,15),tblDaily[WardCode],"CW")),"")</f>
        <v/>
      </c>
      <c r="D99" s="12">
        <f>IFERROR(IF(SUMIFS(tblDaily[Deaths],tblDaily[EntryDate],DATE(2026,3,15),tblDaily[WardCode],"CW")=0,"",SUMIFS(tblDaily[Deaths],tblDaily[EntryDate],DATE(2026,3,15),tblDaily[WardCode],"CW")),"")</f>
        <v/>
      </c>
      <c r="E99" s="12">
        <f>IFERROR(IF(SUMIFS(tblDaily[DeathsUnder24Hrs],tblDaily[EntryDate],DATE(2026,3,15),tblDaily[WardCode],"CW")=0,"",SUMIFS(tblDaily[DeathsUnder24Hrs],tblDaily[EntryDate],DATE(2026,3,15),tblDaily[WardCode],"CW")),"")</f>
        <v/>
      </c>
      <c r="F99" s="12">
        <f>IFERROR(IF(SUMIFS(tblDaily[TransfersIn],tblDaily[EntryDate],DATE(2026,3,15),tblDaily[WardCode],"CW")=0,"",SUMIFS(tblDaily[TransfersIn],tblDaily[EntryDate],DATE(2026,3,15),tblDaily[WardCode],"CW")),"")</f>
        <v/>
      </c>
      <c r="G99" s="12">
        <f>IFERROR(IF(SUMIFS(tblDaily[TransfersOut],tblDaily[EntryDate],DATE(2026,3,15),tblDaily[WardCode],"CW")=0,"",SUMIFS(tblDaily[TransfersOut],tblDaily[EntryDate],DATE(2026,3,15),tblDaily[WardCode],"CW")),"")</f>
        <v/>
      </c>
      <c r="H99" s="12">
        <f>IFERROR(IF(SUMIFS(tblDaily[Remaining],tblDaily[EntryDate],DATE(2026,3,15),tblDaily[WardCode],"CW")=0,"",SUMIFS(tblDaily[Remaining],tblDaily[EntryDate],DATE(2026,3,15),tblDaily[WardCode],"CW")),"")</f>
        <v/>
      </c>
    </row>
    <row r="100">
      <c r="A100" s="12" t="n">
        <v>16</v>
      </c>
      <c r="B100" s="12">
        <f>IFERROR(IF(SUMIFS(tblDaily[Admissions],tblDaily[EntryDate],DATE(2026,3,16),tblDaily[WardCode],"CW")=0,"",SUMIFS(tblDaily[Admissions],tblDaily[EntryDate],DATE(2026,3,16),tblDaily[WardCode],"CW")),"")</f>
        <v/>
      </c>
      <c r="C100" s="12">
        <f>IFERROR(IF(SUMIFS(tblDaily[Discharges],tblDaily[EntryDate],DATE(2026,3,16),tblDaily[WardCode],"CW")=0,"",SUMIFS(tblDaily[Discharges],tblDaily[EntryDate],DATE(2026,3,16),tblDaily[WardCode],"CW")),"")</f>
        <v/>
      </c>
      <c r="D100" s="12">
        <f>IFERROR(IF(SUMIFS(tblDaily[Deaths],tblDaily[EntryDate],DATE(2026,3,16),tblDaily[WardCode],"CW")=0,"",SUMIFS(tblDaily[Deaths],tblDaily[EntryDate],DATE(2026,3,16),tblDaily[WardCode],"CW")),"")</f>
        <v/>
      </c>
      <c r="E100" s="12">
        <f>IFERROR(IF(SUMIFS(tblDaily[DeathsUnder24Hrs],tblDaily[EntryDate],DATE(2026,3,16),tblDaily[WardCode],"CW")=0,"",SUMIFS(tblDaily[DeathsUnder24Hrs],tblDaily[EntryDate],DATE(2026,3,16),tblDaily[WardCode],"CW")),"")</f>
        <v/>
      </c>
      <c r="F100" s="12">
        <f>IFERROR(IF(SUMIFS(tblDaily[TransfersIn],tblDaily[EntryDate],DATE(2026,3,16),tblDaily[WardCode],"CW")=0,"",SUMIFS(tblDaily[TransfersIn],tblDaily[EntryDate],DATE(2026,3,16),tblDaily[WardCode],"CW")),"")</f>
        <v/>
      </c>
      <c r="G100" s="12">
        <f>IFERROR(IF(SUMIFS(tblDaily[TransfersOut],tblDaily[EntryDate],DATE(2026,3,16),tblDaily[WardCode],"CW")=0,"",SUMIFS(tblDaily[TransfersOut],tblDaily[EntryDate],DATE(2026,3,16),tblDaily[WardCode],"CW")),"")</f>
        <v/>
      </c>
      <c r="H100" s="12">
        <f>IFERROR(IF(SUMIFS(tblDaily[Remaining],tblDaily[EntryDate],DATE(2026,3,16),tblDaily[WardCode],"CW")=0,"",SUMIFS(tblDaily[Remaining],tblDaily[EntryDate],DATE(2026,3,16),tblDaily[WardCode],"CW")),"")</f>
        <v/>
      </c>
    </row>
    <row r="101">
      <c r="A101" s="12" t="n">
        <v>17</v>
      </c>
      <c r="B101" s="12">
        <f>IFERROR(IF(SUMIFS(tblDaily[Admissions],tblDaily[EntryDate],DATE(2026,3,17),tblDaily[WardCode],"CW")=0,"",SUMIFS(tblDaily[Admissions],tblDaily[EntryDate],DATE(2026,3,17),tblDaily[WardCode],"CW")),"")</f>
        <v/>
      </c>
      <c r="C101" s="12">
        <f>IFERROR(IF(SUMIFS(tblDaily[Discharges],tblDaily[EntryDate],DATE(2026,3,17),tblDaily[WardCode],"CW")=0,"",SUMIFS(tblDaily[Discharges],tblDaily[EntryDate],DATE(2026,3,17),tblDaily[WardCode],"CW")),"")</f>
        <v/>
      </c>
      <c r="D101" s="12">
        <f>IFERROR(IF(SUMIFS(tblDaily[Deaths],tblDaily[EntryDate],DATE(2026,3,17),tblDaily[WardCode],"CW")=0,"",SUMIFS(tblDaily[Deaths],tblDaily[EntryDate],DATE(2026,3,17),tblDaily[WardCode],"CW")),"")</f>
        <v/>
      </c>
      <c r="E101" s="12">
        <f>IFERROR(IF(SUMIFS(tblDaily[DeathsUnder24Hrs],tblDaily[EntryDate],DATE(2026,3,17),tblDaily[WardCode],"CW")=0,"",SUMIFS(tblDaily[DeathsUnder24Hrs],tblDaily[EntryDate],DATE(2026,3,17),tblDaily[WardCode],"CW")),"")</f>
        <v/>
      </c>
      <c r="F101" s="12">
        <f>IFERROR(IF(SUMIFS(tblDaily[TransfersIn],tblDaily[EntryDate],DATE(2026,3,17),tblDaily[WardCode],"CW")=0,"",SUMIFS(tblDaily[TransfersIn],tblDaily[EntryDate],DATE(2026,3,17),tblDaily[WardCode],"CW")),"")</f>
        <v/>
      </c>
      <c r="G101" s="12">
        <f>IFERROR(IF(SUMIFS(tblDaily[TransfersOut],tblDaily[EntryDate],DATE(2026,3,17),tblDaily[WardCode],"CW")=0,"",SUMIFS(tblDaily[TransfersOut],tblDaily[EntryDate],DATE(2026,3,17),tblDaily[WardCode],"CW")),"")</f>
        <v/>
      </c>
      <c r="H101" s="12">
        <f>IFERROR(IF(SUMIFS(tblDaily[Remaining],tblDaily[EntryDate],DATE(2026,3,17),tblDaily[WardCode],"CW")=0,"",SUMIFS(tblDaily[Remaining],tblDaily[EntryDate],DATE(2026,3,17),tblDaily[WardCode],"CW")),"")</f>
        <v/>
      </c>
    </row>
    <row r="102">
      <c r="A102" s="12" t="n">
        <v>18</v>
      </c>
      <c r="B102" s="12">
        <f>IFERROR(IF(SUMIFS(tblDaily[Admissions],tblDaily[EntryDate],DATE(2026,3,18),tblDaily[WardCode],"CW")=0,"",SUMIFS(tblDaily[Admissions],tblDaily[EntryDate],DATE(2026,3,18),tblDaily[WardCode],"CW")),"")</f>
        <v/>
      </c>
      <c r="C102" s="12">
        <f>IFERROR(IF(SUMIFS(tblDaily[Discharges],tblDaily[EntryDate],DATE(2026,3,18),tblDaily[WardCode],"CW")=0,"",SUMIFS(tblDaily[Discharges],tblDaily[EntryDate],DATE(2026,3,18),tblDaily[WardCode],"CW")),"")</f>
        <v/>
      </c>
      <c r="D102" s="12">
        <f>IFERROR(IF(SUMIFS(tblDaily[Deaths],tblDaily[EntryDate],DATE(2026,3,18),tblDaily[WardCode],"CW")=0,"",SUMIFS(tblDaily[Deaths],tblDaily[EntryDate],DATE(2026,3,18),tblDaily[WardCode],"CW")),"")</f>
        <v/>
      </c>
      <c r="E102" s="12">
        <f>IFERROR(IF(SUMIFS(tblDaily[DeathsUnder24Hrs],tblDaily[EntryDate],DATE(2026,3,18),tblDaily[WardCode],"CW")=0,"",SUMIFS(tblDaily[DeathsUnder24Hrs],tblDaily[EntryDate],DATE(2026,3,18),tblDaily[WardCode],"CW")),"")</f>
        <v/>
      </c>
      <c r="F102" s="12">
        <f>IFERROR(IF(SUMIFS(tblDaily[TransfersIn],tblDaily[EntryDate],DATE(2026,3,18),tblDaily[WardCode],"CW")=0,"",SUMIFS(tblDaily[TransfersIn],tblDaily[EntryDate],DATE(2026,3,18),tblDaily[WardCode],"CW")),"")</f>
        <v/>
      </c>
      <c r="G102" s="12">
        <f>IFERROR(IF(SUMIFS(tblDaily[TransfersOut],tblDaily[EntryDate],DATE(2026,3,18),tblDaily[WardCode],"CW")=0,"",SUMIFS(tblDaily[TransfersOut],tblDaily[EntryDate],DATE(2026,3,18),tblDaily[WardCode],"CW")),"")</f>
        <v/>
      </c>
      <c r="H102" s="12">
        <f>IFERROR(IF(SUMIFS(tblDaily[Remaining],tblDaily[EntryDate],DATE(2026,3,18),tblDaily[WardCode],"CW")=0,"",SUMIFS(tblDaily[Remaining],tblDaily[EntryDate],DATE(2026,3,18),tblDaily[WardCode],"CW")),"")</f>
        <v/>
      </c>
    </row>
    <row r="103">
      <c r="A103" s="12" t="n">
        <v>19</v>
      </c>
      <c r="B103" s="12">
        <f>IFERROR(IF(SUMIFS(tblDaily[Admissions],tblDaily[EntryDate],DATE(2026,3,19),tblDaily[WardCode],"CW")=0,"",SUMIFS(tblDaily[Admissions],tblDaily[EntryDate],DATE(2026,3,19),tblDaily[WardCode],"CW")),"")</f>
        <v/>
      </c>
      <c r="C103" s="12">
        <f>IFERROR(IF(SUMIFS(tblDaily[Discharges],tblDaily[EntryDate],DATE(2026,3,19),tblDaily[WardCode],"CW")=0,"",SUMIFS(tblDaily[Discharges],tblDaily[EntryDate],DATE(2026,3,19),tblDaily[WardCode],"CW")),"")</f>
        <v/>
      </c>
      <c r="D103" s="12">
        <f>IFERROR(IF(SUMIFS(tblDaily[Deaths],tblDaily[EntryDate],DATE(2026,3,19),tblDaily[WardCode],"CW")=0,"",SUMIFS(tblDaily[Deaths],tblDaily[EntryDate],DATE(2026,3,19),tblDaily[WardCode],"CW")),"")</f>
        <v/>
      </c>
      <c r="E103" s="12">
        <f>IFERROR(IF(SUMIFS(tblDaily[DeathsUnder24Hrs],tblDaily[EntryDate],DATE(2026,3,19),tblDaily[WardCode],"CW")=0,"",SUMIFS(tblDaily[DeathsUnder24Hrs],tblDaily[EntryDate],DATE(2026,3,19),tblDaily[WardCode],"CW")),"")</f>
        <v/>
      </c>
      <c r="F103" s="12">
        <f>IFERROR(IF(SUMIFS(tblDaily[TransfersIn],tblDaily[EntryDate],DATE(2026,3,19),tblDaily[WardCode],"CW")=0,"",SUMIFS(tblDaily[TransfersIn],tblDaily[EntryDate],DATE(2026,3,19),tblDaily[WardCode],"CW")),"")</f>
        <v/>
      </c>
      <c r="G103" s="12">
        <f>IFERROR(IF(SUMIFS(tblDaily[TransfersOut],tblDaily[EntryDate],DATE(2026,3,19),tblDaily[WardCode],"CW")=0,"",SUMIFS(tblDaily[TransfersOut],tblDaily[EntryDate],DATE(2026,3,19),tblDaily[WardCode],"CW")),"")</f>
        <v/>
      </c>
      <c r="H103" s="12">
        <f>IFERROR(IF(SUMIFS(tblDaily[Remaining],tblDaily[EntryDate],DATE(2026,3,19),tblDaily[WardCode],"CW")=0,"",SUMIFS(tblDaily[Remaining],tblDaily[EntryDate],DATE(2026,3,19),tblDaily[WardCode],"CW")),"")</f>
        <v/>
      </c>
    </row>
    <row r="104">
      <c r="A104" s="12" t="n">
        <v>20</v>
      </c>
      <c r="B104" s="12">
        <f>IFERROR(IF(SUMIFS(tblDaily[Admissions],tblDaily[EntryDate],DATE(2026,3,20),tblDaily[WardCode],"CW")=0,"",SUMIFS(tblDaily[Admissions],tblDaily[EntryDate],DATE(2026,3,20),tblDaily[WardCode],"CW")),"")</f>
        <v/>
      </c>
      <c r="C104" s="12">
        <f>IFERROR(IF(SUMIFS(tblDaily[Discharges],tblDaily[EntryDate],DATE(2026,3,20),tblDaily[WardCode],"CW")=0,"",SUMIFS(tblDaily[Discharges],tblDaily[EntryDate],DATE(2026,3,20),tblDaily[WardCode],"CW")),"")</f>
        <v/>
      </c>
      <c r="D104" s="12">
        <f>IFERROR(IF(SUMIFS(tblDaily[Deaths],tblDaily[EntryDate],DATE(2026,3,20),tblDaily[WardCode],"CW")=0,"",SUMIFS(tblDaily[Deaths],tblDaily[EntryDate],DATE(2026,3,20),tblDaily[WardCode],"CW")),"")</f>
        <v/>
      </c>
      <c r="E104" s="12">
        <f>IFERROR(IF(SUMIFS(tblDaily[DeathsUnder24Hrs],tblDaily[EntryDate],DATE(2026,3,20),tblDaily[WardCode],"CW")=0,"",SUMIFS(tblDaily[DeathsUnder24Hrs],tblDaily[EntryDate],DATE(2026,3,20),tblDaily[WardCode],"CW")),"")</f>
        <v/>
      </c>
      <c r="F104" s="12">
        <f>IFERROR(IF(SUMIFS(tblDaily[TransfersIn],tblDaily[EntryDate],DATE(2026,3,20),tblDaily[WardCode],"CW")=0,"",SUMIFS(tblDaily[TransfersIn],tblDaily[EntryDate],DATE(2026,3,20),tblDaily[WardCode],"CW")),"")</f>
        <v/>
      </c>
      <c r="G104" s="12">
        <f>IFERROR(IF(SUMIFS(tblDaily[TransfersOut],tblDaily[EntryDate],DATE(2026,3,20),tblDaily[WardCode],"CW")=0,"",SUMIFS(tblDaily[TransfersOut],tblDaily[EntryDate],DATE(2026,3,20),tblDaily[WardCode],"CW")),"")</f>
        <v/>
      </c>
      <c r="H104" s="12">
        <f>IFERROR(IF(SUMIFS(tblDaily[Remaining],tblDaily[EntryDate],DATE(2026,3,20),tblDaily[WardCode],"CW")=0,"",SUMIFS(tblDaily[Remaining],tblDaily[EntryDate],DATE(2026,3,20),tblDaily[WardCode],"CW")),"")</f>
        <v/>
      </c>
    </row>
    <row r="105">
      <c r="A105" s="12" t="n">
        <v>21</v>
      </c>
      <c r="B105" s="12">
        <f>IFERROR(IF(SUMIFS(tblDaily[Admissions],tblDaily[EntryDate],DATE(2026,3,21),tblDaily[WardCode],"CW")=0,"",SUMIFS(tblDaily[Admissions],tblDaily[EntryDate],DATE(2026,3,21),tblDaily[WardCode],"CW")),"")</f>
        <v/>
      </c>
      <c r="C105" s="12">
        <f>IFERROR(IF(SUMIFS(tblDaily[Discharges],tblDaily[EntryDate],DATE(2026,3,21),tblDaily[WardCode],"CW")=0,"",SUMIFS(tblDaily[Discharges],tblDaily[EntryDate],DATE(2026,3,21),tblDaily[WardCode],"CW")),"")</f>
        <v/>
      </c>
      <c r="D105" s="12">
        <f>IFERROR(IF(SUMIFS(tblDaily[Deaths],tblDaily[EntryDate],DATE(2026,3,21),tblDaily[WardCode],"CW")=0,"",SUMIFS(tblDaily[Deaths],tblDaily[EntryDate],DATE(2026,3,21),tblDaily[WardCode],"CW")),"")</f>
        <v/>
      </c>
      <c r="E105" s="12">
        <f>IFERROR(IF(SUMIFS(tblDaily[DeathsUnder24Hrs],tblDaily[EntryDate],DATE(2026,3,21),tblDaily[WardCode],"CW")=0,"",SUMIFS(tblDaily[DeathsUnder24Hrs],tblDaily[EntryDate],DATE(2026,3,21),tblDaily[WardCode],"CW")),"")</f>
        <v/>
      </c>
      <c r="F105" s="12">
        <f>IFERROR(IF(SUMIFS(tblDaily[TransfersIn],tblDaily[EntryDate],DATE(2026,3,21),tblDaily[WardCode],"CW")=0,"",SUMIFS(tblDaily[TransfersIn],tblDaily[EntryDate],DATE(2026,3,21),tblDaily[WardCode],"CW")),"")</f>
        <v/>
      </c>
      <c r="G105" s="12">
        <f>IFERROR(IF(SUMIFS(tblDaily[TransfersOut],tblDaily[EntryDate],DATE(2026,3,21),tblDaily[WardCode],"CW")=0,"",SUMIFS(tblDaily[TransfersOut],tblDaily[EntryDate],DATE(2026,3,21),tblDaily[WardCode],"CW")),"")</f>
        <v/>
      </c>
      <c r="H105" s="12">
        <f>IFERROR(IF(SUMIFS(tblDaily[Remaining],tblDaily[EntryDate],DATE(2026,3,21),tblDaily[WardCode],"CW")=0,"",SUMIFS(tblDaily[Remaining],tblDaily[EntryDate],DATE(2026,3,21),tblDaily[WardCode],"CW")),"")</f>
        <v/>
      </c>
    </row>
    <row r="106">
      <c r="A106" s="12" t="n">
        <v>22</v>
      </c>
      <c r="B106" s="12">
        <f>IFERROR(IF(SUMIFS(tblDaily[Admissions],tblDaily[EntryDate],DATE(2026,3,22),tblDaily[WardCode],"CW")=0,"",SUMIFS(tblDaily[Admissions],tblDaily[EntryDate],DATE(2026,3,22),tblDaily[WardCode],"CW")),"")</f>
        <v/>
      </c>
      <c r="C106" s="12">
        <f>IFERROR(IF(SUMIFS(tblDaily[Discharges],tblDaily[EntryDate],DATE(2026,3,22),tblDaily[WardCode],"CW")=0,"",SUMIFS(tblDaily[Discharges],tblDaily[EntryDate],DATE(2026,3,22),tblDaily[WardCode],"CW")),"")</f>
        <v/>
      </c>
      <c r="D106" s="12">
        <f>IFERROR(IF(SUMIFS(tblDaily[Deaths],tblDaily[EntryDate],DATE(2026,3,22),tblDaily[WardCode],"CW")=0,"",SUMIFS(tblDaily[Deaths],tblDaily[EntryDate],DATE(2026,3,22),tblDaily[WardCode],"CW")),"")</f>
        <v/>
      </c>
      <c r="E106" s="12">
        <f>IFERROR(IF(SUMIFS(tblDaily[DeathsUnder24Hrs],tblDaily[EntryDate],DATE(2026,3,22),tblDaily[WardCode],"CW")=0,"",SUMIFS(tblDaily[DeathsUnder24Hrs],tblDaily[EntryDate],DATE(2026,3,22),tblDaily[WardCode],"CW")),"")</f>
        <v/>
      </c>
      <c r="F106" s="12">
        <f>IFERROR(IF(SUMIFS(tblDaily[TransfersIn],tblDaily[EntryDate],DATE(2026,3,22),tblDaily[WardCode],"CW")=0,"",SUMIFS(tblDaily[TransfersIn],tblDaily[EntryDate],DATE(2026,3,22),tblDaily[WardCode],"CW")),"")</f>
        <v/>
      </c>
      <c r="G106" s="12">
        <f>IFERROR(IF(SUMIFS(tblDaily[TransfersOut],tblDaily[EntryDate],DATE(2026,3,22),tblDaily[WardCode],"CW")=0,"",SUMIFS(tblDaily[TransfersOut],tblDaily[EntryDate],DATE(2026,3,22),tblDaily[WardCode],"CW")),"")</f>
        <v/>
      </c>
      <c r="H106" s="12">
        <f>IFERROR(IF(SUMIFS(tblDaily[Remaining],tblDaily[EntryDate],DATE(2026,3,22),tblDaily[WardCode],"CW")=0,"",SUMIFS(tblDaily[Remaining],tblDaily[EntryDate],DATE(2026,3,22),tblDaily[WardCode],"CW")),"")</f>
        <v/>
      </c>
    </row>
    <row r="107">
      <c r="A107" s="12" t="n">
        <v>23</v>
      </c>
      <c r="B107" s="12">
        <f>IFERROR(IF(SUMIFS(tblDaily[Admissions],tblDaily[EntryDate],DATE(2026,3,23),tblDaily[WardCode],"CW")=0,"",SUMIFS(tblDaily[Admissions],tblDaily[EntryDate],DATE(2026,3,23),tblDaily[WardCode],"CW")),"")</f>
        <v/>
      </c>
      <c r="C107" s="12">
        <f>IFERROR(IF(SUMIFS(tblDaily[Discharges],tblDaily[EntryDate],DATE(2026,3,23),tblDaily[WardCode],"CW")=0,"",SUMIFS(tblDaily[Discharges],tblDaily[EntryDate],DATE(2026,3,23),tblDaily[WardCode],"CW")),"")</f>
        <v/>
      </c>
      <c r="D107" s="12">
        <f>IFERROR(IF(SUMIFS(tblDaily[Deaths],tblDaily[EntryDate],DATE(2026,3,23),tblDaily[WardCode],"CW")=0,"",SUMIFS(tblDaily[Deaths],tblDaily[EntryDate],DATE(2026,3,23),tblDaily[WardCode],"CW")),"")</f>
        <v/>
      </c>
      <c r="E107" s="12">
        <f>IFERROR(IF(SUMIFS(tblDaily[DeathsUnder24Hrs],tblDaily[EntryDate],DATE(2026,3,23),tblDaily[WardCode],"CW")=0,"",SUMIFS(tblDaily[DeathsUnder24Hrs],tblDaily[EntryDate],DATE(2026,3,23),tblDaily[WardCode],"CW")),"")</f>
        <v/>
      </c>
      <c r="F107" s="12">
        <f>IFERROR(IF(SUMIFS(tblDaily[TransfersIn],tblDaily[EntryDate],DATE(2026,3,23),tblDaily[WardCode],"CW")=0,"",SUMIFS(tblDaily[TransfersIn],tblDaily[EntryDate],DATE(2026,3,23),tblDaily[WardCode],"CW")),"")</f>
        <v/>
      </c>
      <c r="G107" s="12">
        <f>IFERROR(IF(SUMIFS(tblDaily[TransfersOut],tblDaily[EntryDate],DATE(2026,3,23),tblDaily[WardCode],"CW")=0,"",SUMIFS(tblDaily[TransfersOut],tblDaily[EntryDate],DATE(2026,3,23),tblDaily[WardCode],"CW")),"")</f>
        <v/>
      </c>
      <c r="H107" s="12">
        <f>IFERROR(IF(SUMIFS(tblDaily[Remaining],tblDaily[EntryDate],DATE(2026,3,23),tblDaily[WardCode],"CW")=0,"",SUMIFS(tblDaily[Remaining],tblDaily[EntryDate],DATE(2026,3,23),tblDaily[WardCode],"CW")),"")</f>
        <v/>
      </c>
    </row>
    <row r="108">
      <c r="A108" s="12" t="n">
        <v>24</v>
      </c>
      <c r="B108" s="12">
        <f>IFERROR(IF(SUMIFS(tblDaily[Admissions],tblDaily[EntryDate],DATE(2026,3,24),tblDaily[WardCode],"CW")=0,"",SUMIFS(tblDaily[Admissions],tblDaily[EntryDate],DATE(2026,3,24),tblDaily[WardCode],"CW")),"")</f>
        <v/>
      </c>
      <c r="C108" s="12">
        <f>IFERROR(IF(SUMIFS(tblDaily[Discharges],tblDaily[EntryDate],DATE(2026,3,24),tblDaily[WardCode],"CW")=0,"",SUMIFS(tblDaily[Discharges],tblDaily[EntryDate],DATE(2026,3,24),tblDaily[WardCode],"CW")),"")</f>
        <v/>
      </c>
      <c r="D108" s="12">
        <f>IFERROR(IF(SUMIFS(tblDaily[Deaths],tblDaily[EntryDate],DATE(2026,3,24),tblDaily[WardCode],"CW")=0,"",SUMIFS(tblDaily[Deaths],tblDaily[EntryDate],DATE(2026,3,24),tblDaily[WardCode],"CW")),"")</f>
        <v/>
      </c>
      <c r="E108" s="12">
        <f>IFERROR(IF(SUMIFS(tblDaily[DeathsUnder24Hrs],tblDaily[EntryDate],DATE(2026,3,24),tblDaily[WardCode],"CW")=0,"",SUMIFS(tblDaily[DeathsUnder24Hrs],tblDaily[EntryDate],DATE(2026,3,24),tblDaily[WardCode],"CW")),"")</f>
        <v/>
      </c>
      <c r="F108" s="12">
        <f>IFERROR(IF(SUMIFS(tblDaily[TransfersIn],tblDaily[EntryDate],DATE(2026,3,24),tblDaily[WardCode],"CW")=0,"",SUMIFS(tblDaily[TransfersIn],tblDaily[EntryDate],DATE(2026,3,24),tblDaily[WardCode],"CW")),"")</f>
        <v/>
      </c>
      <c r="G108" s="12">
        <f>IFERROR(IF(SUMIFS(tblDaily[TransfersOut],tblDaily[EntryDate],DATE(2026,3,24),tblDaily[WardCode],"CW")=0,"",SUMIFS(tblDaily[TransfersOut],tblDaily[EntryDate],DATE(2026,3,24),tblDaily[WardCode],"CW")),"")</f>
        <v/>
      </c>
      <c r="H108" s="12">
        <f>IFERROR(IF(SUMIFS(tblDaily[Remaining],tblDaily[EntryDate],DATE(2026,3,24),tblDaily[WardCode],"CW")=0,"",SUMIFS(tblDaily[Remaining],tblDaily[EntryDate],DATE(2026,3,24),tblDaily[WardCode],"CW")),"")</f>
        <v/>
      </c>
    </row>
    <row r="109">
      <c r="A109" s="12" t="n">
        <v>25</v>
      </c>
      <c r="B109" s="12">
        <f>IFERROR(IF(SUMIFS(tblDaily[Admissions],tblDaily[EntryDate],DATE(2026,3,25),tblDaily[WardCode],"CW")=0,"",SUMIFS(tblDaily[Admissions],tblDaily[EntryDate],DATE(2026,3,25),tblDaily[WardCode],"CW")),"")</f>
        <v/>
      </c>
      <c r="C109" s="12">
        <f>IFERROR(IF(SUMIFS(tblDaily[Discharges],tblDaily[EntryDate],DATE(2026,3,25),tblDaily[WardCode],"CW")=0,"",SUMIFS(tblDaily[Discharges],tblDaily[EntryDate],DATE(2026,3,25),tblDaily[WardCode],"CW")),"")</f>
        <v/>
      </c>
      <c r="D109" s="12">
        <f>IFERROR(IF(SUMIFS(tblDaily[Deaths],tblDaily[EntryDate],DATE(2026,3,25),tblDaily[WardCode],"CW")=0,"",SUMIFS(tblDaily[Deaths],tblDaily[EntryDate],DATE(2026,3,25),tblDaily[WardCode],"CW")),"")</f>
        <v/>
      </c>
      <c r="E109" s="12">
        <f>IFERROR(IF(SUMIFS(tblDaily[DeathsUnder24Hrs],tblDaily[EntryDate],DATE(2026,3,25),tblDaily[WardCode],"CW")=0,"",SUMIFS(tblDaily[DeathsUnder24Hrs],tblDaily[EntryDate],DATE(2026,3,25),tblDaily[WardCode],"CW")),"")</f>
        <v/>
      </c>
      <c r="F109" s="12">
        <f>IFERROR(IF(SUMIFS(tblDaily[TransfersIn],tblDaily[EntryDate],DATE(2026,3,25),tblDaily[WardCode],"CW")=0,"",SUMIFS(tblDaily[TransfersIn],tblDaily[EntryDate],DATE(2026,3,25),tblDaily[WardCode],"CW")),"")</f>
        <v/>
      </c>
      <c r="G109" s="12">
        <f>IFERROR(IF(SUMIFS(tblDaily[TransfersOut],tblDaily[EntryDate],DATE(2026,3,25),tblDaily[WardCode],"CW")=0,"",SUMIFS(tblDaily[TransfersOut],tblDaily[EntryDate],DATE(2026,3,25),tblDaily[WardCode],"CW")),"")</f>
        <v/>
      </c>
      <c r="H109" s="12">
        <f>IFERROR(IF(SUMIFS(tblDaily[Remaining],tblDaily[EntryDate],DATE(2026,3,25),tblDaily[WardCode],"CW")=0,"",SUMIFS(tblDaily[Remaining],tblDaily[EntryDate],DATE(2026,3,25),tblDaily[WardCode],"CW")),"")</f>
        <v/>
      </c>
    </row>
    <row r="110">
      <c r="A110" s="12" t="n">
        <v>26</v>
      </c>
      <c r="B110" s="12">
        <f>IFERROR(IF(SUMIFS(tblDaily[Admissions],tblDaily[EntryDate],DATE(2026,3,26),tblDaily[WardCode],"CW")=0,"",SUMIFS(tblDaily[Admissions],tblDaily[EntryDate],DATE(2026,3,26),tblDaily[WardCode],"CW")),"")</f>
        <v/>
      </c>
      <c r="C110" s="12">
        <f>IFERROR(IF(SUMIFS(tblDaily[Discharges],tblDaily[EntryDate],DATE(2026,3,26),tblDaily[WardCode],"CW")=0,"",SUMIFS(tblDaily[Discharges],tblDaily[EntryDate],DATE(2026,3,26),tblDaily[WardCode],"CW")),"")</f>
        <v/>
      </c>
      <c r="D110" s="12">
        <f>IFERROR(IF(SUMIFS(tblDaily[Deaths],tblDaily[EntryDate],DATE(2026,3,26),tblDaily[WardCode],"CW")=0,"",SUMIFS(tblDaily[Deaths],tblDaily[EntryDate],DATE(2026,3,26),tblDaily[WardCode],"CW")),"")</f>
        <v/>
      </c>
      <c r="E110" s="12">
        <f>IFERROR(IF(SUMIFS(tblDaily[DeathsUnder24Hrs],tblDaily[EntryDate],DATE(2026,3,26),tblDaily[WardCode],"CW")=0,"",SUMIFS(tblDaily[DeathsUnder24Hrs],tblDaily[EntryDate],DATE(2026,3,26),tblDaily[WardCode],"CW")),"")</f>
        <v/>
      </c>
      <c r="F110" s="12">
        <f>IFERROR(IF(SUMIFS(tblDaily[TransfersIn],tblDaily[EntryDate],DATE(2026,3,26),tblDaily[WardCode],"CW")=0,"",SUMIFS(tblDaily[TransfersIn],tblDaily[EntryDate],DATE(2026,3,26),tblDaily[WardCode],"CW")),"")</f>
        <v/>
      </c>
      <c r="G110" s="12">
        <f>IFERROR(IF(SUMIFS(tblDaily[TransfersOut],tblDaily[EntryDate],DATE(2026,3,26),tblDaily[WardCode],"CW")=0,"",SUMIFS(tblDaily[TransfersOut],tblDaily[EntryDate],DATE(2026,3,26),tblDaily[WardCode],"CW")),"")</f>
        <v/>
      </c>
      <c r="H110" s="12">
        <f>IFERROR(IF(SUMIFS(tblDaily[Remaining],tblDaily[EntryDate],DATE(2026,3,26),tblDaily[WardCode],"CW")=0,"",SUMIFS(tblDaily[Remaining],tblDaily[EntryDate],DATE(2026,3,26),tblDaily[WardCode],"CW")),"")</f>
        <v/>
      </c>
    </row>
    <row r="111">
      <c r="A111" s="12" t="n">
        <v>27</v>
      </c>
      <c r="B111" s="12">
        <f>IFERROR(IF(SUMIFS(tblDaily[Admissions],tblDaily[EntryDate],DATE(2026,3,27),tblDaily[WardCode],"CW")=0,"",SUMIFS(tblDaily[Admissions],tblDaily[EntryDate],DATE(2026,3,27),tblDaily[WardCode],"CW")),"")</f>
        <v/>
      </c>
      <c r="C111" s="12">
        <f>IFERROR(IF(SUMIFS(tblDaily[Discharges],tblDaily[EntryDate],DATE(2026,3,27),tblDaily[WardCode],"CW")=0,"",SUMIFS(tblDaily[Discharges],tblDaily[EntryDate],DATE(2026,3,27),tblDaily[WardCode],"CW")),"")</f>
        <v/>
      </c>
      <c r="D111" s="12">
        <f>IFERROR(IF(SUMIFS(tblDaily[Deaths],tblDaily[EntryDate],DATE(2026,3,27),tblDaily[WardCode],"CW")=0,"",SUMIFS(tblDaily[Deaths],tblDaily[EntryDate],DATE(2026,3,27),tblDaily[WardCode],"CW")),"")</f>
        <v/>
      </c>
      <c r="E111" s="12">
        <f>IFERROR(IF(SUMIFS(tblDaily[DeathsUnder24Hrs],tblDaily[EntryDate],DATE(2026,3,27),tblDaily[WardCode],"CW")=0,"",SUMIFS(tblDaily[DeathsUnder24Hrs],tblDaily[EntryDate],DATE(2026,3,27),tblDaily[WardCode],"CW")),"")</f>
        <v/>
      </c>
      <c r="F111" s="12">
        <f>IFERROR(IF(SUMIFS(tblDaily[TransfersIn],tblDaily[EntryDate],DATE(2026,3,27),tblDaily[WardCode],"CW")=0,"",SUMIFS(tblDaily[TransfersIn],tblDaily[EntryDate],DATE(2026,3,27),tblDaily[WardCode],"CW")),"")</f>
        <v/>
      </c>
      <c r="G111" s="12">
        <f>IFERROR(IF(SUMIFS(tblDaily[TransfersOut],tblDaily[EntryDate],DATE(2026,3,27),tblDaily[WardCode],"CW")=0,"",SUMIFS(tblDaily[TransfersOut],tblDaily[EntryDate],DATE(2026,3,27),tblDaily[WardCode],"CW")),"")</f>
        <v/>
      </c>
      <c r="H111" s="12">
        <f>IFERROR(IF(SUMIFS(tblDaily[Remaining],tblDaily[EntryDate],DATE(2026,3,27),tblDaily[WardCode],"CW")=0,"",SUMIFS(tblDaily[Remaining],tblDaily[EntryDate],DATE(2026,3,27),tblDaily[WardCode],"CW")),"")</f>
        <v/>
      </c>
    </row>
    <row r="112">
      <c r="A112" s="12" t="n">
        <v>28</v>
      </c>
      <c r="B112" s="12">
        <f>IFERROR(IF(SUMIFS(tblDaily[Admissions],tblDaily[EntryDate],DATE(2026,3,28),tblDaily[WardCode],"CW")=0,"",SUMIFS(tblDaily[Admissions],tblDaily[EntryDate],DATE(2026,3,28),tblDaily[WardCode],"CW")),"")</f>
        <v/>
      </c>
      <c r="C112" s="12">
        <f>IFERROR(IF(SUMIFS(tblDaily[Discharges],tblDaily[EntryDate],DATE(2026,3,28),tblDaily[WardCode],"CW")=0,"",SUMIFS(tblDaily[Discharges],tblDaily[EntryDate],DATE(2026,3,28),tblDaily[WardCode],"CW")),"")</f>
        <v/>
      </c>
      <c r="D112" s="12">
        <f>IFERROR(IF(SUMIFS(tblDaily[Deaths],tblDaily[EntryDate],DATE(2026,3,28),tblDaily[WardCode],"CW")=0,"",SUMIFS(tblDaily[Deaths],tblDaily[EntryDate],DATE(2026,3,28),tblDaily[WardCode],"CW")),"")</f>
        <v/>
      </c>
      <c r="E112" s="12">
        <f>IFERROR(IF(SUMIFS(tblDaily[DeathsUnder24Hrs],tblDaily[EntryDate],DATE(2026,3,28),tblDaily[WardCode],"CW")=0,"",SUMIFS(tblDaily[DeathsUnder24Hrs],tblDaily[EntryDate],DATE(2026,3,28),tblDaily[WardCode],"CW")),"")</f>
        <v/>
      </c>
      <c r="F112" s="12">
        <f>IFERROR(IF(SUMIFS(tblDaily[TransfersIn],tblDaily[EntryDate],DATE(2026,3,28),tblDaily[WardCode],"CW")=0,"",SUMIFS(tblDaily[TransfersIn],tblDaily[EntryDate],DATE(2026,3,28),tblDaily[WardCode],"CW")),"")</f>
        <v/>
      </c>
      <c r="G112" s="12">
        <f>IFERROR(IF(SUMIFS(tblDaily[TransfersOut],tblDaily[EntryDate],DATE(2026,3,28),tblDaily[WardCode],"CW")=0,"",SUMIFS(tblDaily[TransfersOut],tblDaily[EntryDate],DATE(2026,3,28),tblDaily[WardCode],"CW")),"")</f>
        <v/>
      </c>
      <c r="H112" s="12">
        <f>IFERROR(IF(SUMIFS(tblDaily[Remaining],tblDaily[EntryDate],DATE(2026,3,28),tblDaily[WardCode],"CW")=0,"",SUMIFS(tblDaily[Remaining],tblDaily[EntryDate],DATE(2026,3,28),tblDaily[WardCode],"CW")),"")</f>
        <v/>
      </c>
    </row>
    <row r="113">
      <c r="A113" s="12" t="n">
        <v>29</v>
      </c>
      <c r="B113" s="12">
        <f>IFERROR(IF(SUMIFS(tblDaily[Admissions],tblDaily[EntryDate],DATE(2026,3,29),tblDaily[WardCode],"CW")=0,"",SUMIFS(tblDaily[Admissions],tblDaily[EntryDate],DATE(2026,3,29),tblDaily[WardCode],"CW")),"")</f>
        <v/>
      </c>
      <c r="C113" s="12">
        <f>IFERROR(IF(SUMIFS(tblDaily[Discharges],tblDaily[EntryDate],DATE(2026,3,29),tblDaily[WardCode],"CW")=0,"",SUMIFS(tblDaily[Discharges],tblDaily[EntryDate],DATE(2026,3,29),tblDaily[WardCode],"CW")),"")</f>
        <v/>
      </c>
      <c r="D113" s="12">
        <f>IFERROR(IF(SUMIFS(tblDaily[Deaths],tblDaily[EntryDate],DATE(2026,3,29),tblDaily[WardCode],"CW")=0,"",SUMIFS(tblDaily[Deaths],tblDaily[EntryDate],DATE(2026,3,29),tblDaily[WardCode],"CW")),"")</f>
        <v/>
      </c>
      <c r="E113" s="12">
        <f>IFERROR(IF(SUMIFS(tblDaily[DeathsUnder24Hrs],tblDaily[EntryDate],DATE(2026,3,29),tblDaily[WardCode],"CW")=0,"",SUMIFS(tblDaily[DeathsUnder24Hrs],tblDaily[EntryDate],DATE(2026,3,29),tblDaily[WardCode],"CW")),"")</f>
        <v/>
      </c>
      <c r="F113" s="12">
        <f>IFERROR(IF(SUMIFS(tblDaily[TransfersIn],tblDaily[EntryDate],DATE(2026,3,29),tblDaily[WardCode],"CW")=0,"",SUMIFS(tblDaily[TransfersIn],tblDaily[EntryDate],DATE(2026,3,29),tblDaily[WardCode],"CW")),"")</f>
        <v/>
      </c>
      <c r="G113" s="12">
        <f>IFERROR(IF(SUMIFS(tblDaily[TransfersOut],tblDaily[EntryDate],DATE(2026,3,29),tblDaily[WardCode],"CW")=0,"",SUMIFS(tblDaily[TransfersOut],tblDaily[EntryDate],DATE(2026,3,29),tblDaily[WardCode],"CW")),"")</f>
        <v/>
      </c>
      <c r="H113" s="12">
        <f>IFERROR(IF(SUMIFS(tblDaily[Remaining],tblDaily[EntryDate],DATE(2026,3,29),tblDaily[WardCode],"CW")=0,"",SUMIFS(tblDaily[Remaining],tblDaily[EntryDate],DATE(2026,3,29),tblDaily[WardCode],"CW")),"")</f>
        <v/>
      </c>
    </row>
    <row r="114">
      <c r="A114" s="12" t="n">
        <v>30</v>
      </c>
      <c r="B114" s="12">
        <f>IFERROR(IF(SUMIFS(tblDaily[Admissions],tblDaily[EntryDate],DATE(2026,3,30),tblDaily[WardCode],"CW")=0,"",SUMIFS(tblDaily[Admissions],tblDaily[EntryDate],DATE(2026,3,30),tblDaily[WardCode],"CW")),"")</f>
        <v/>
      </c>
      <c r="C114" s="12">
        <f>IFERROR(IF(SUMIFS(tblDaily[Discharges],tblDaily[EntryDate],DATE(2026,3,30),tblDaily[WardCode],"CW")=0,"",SUMIFS(tblDaily[Discharges],tblDaily[EntryDate],DATE(2026,3,30),tblDaily[WardCode],"CW")),"")</f>
        <v/>
      </c>
      <c r="D114" s="12">
        <f>IFERROR(IF(SUMIFS(tblDaily[Deaths],tblDaily[EntryDate],DATE(2026,3,30),tblDaily[WardCode],"CW")=0,"",SUMIFS(tblDaily[Deaths],tblDaily[EntryDate],DATE(2026,3,30),tblDaily[WardCode],"CW")),"")</f>
        <v/>
      </c>
      <c r="E114" s="12">
        <f>IFERROR(IF(SUMIFS(tblDaily[DeathsUnder24Hrs],tblDaily[EntryDate],DATE(2026,3,30),tblDaily[WardCode],"CW")=0,"",SUMIFS(tblDaily[DeathsUnder24Hrs],tblDaily[EntryDate],DATE(2026,3,30),tblDaily[WardCode],"CW")),"")</f>
        <v/>
      </c>
      <c r="F114" s="12">
        <f>IFERROR(IF(SUMIFS(tblDaily[TransfersIn],tblDaily[EntryDate],DATE(2026,3,30),tblDaily[WardCode],"CW")=0,"",SUMIFS(tblDaily[TransfersIn],tblDaily[EntryDate],DATE(2026,3,30),tblDaily[WardCode],"CW")),"")</f>
        <v/>
      </c>
      <c r="G114" s="12">
        <f>IFERROR(IF(SUMIFS(tblDaily[TransfersOut],tblDaily[EntryDate],DATE(2026,3,30),tblDaily[WardCode],"CW")=0,"",SUMIFS(tblDaily[TransfersOut],tblDaily[EntryDate],DATE(2026,3,30),tblDaily[WardCode],"CW")),"")</f>
        <v/>
      </c>
      <c r="H114" s="12">
        <f>IFERROR(IF(SUMIFS(tblDaily[Remaining],tblDaily[EntryDate],DATE(2026,3,30),tblDaily[WardCode],"CW")=0,"",SUMIFS(tblDaily[Remaining],tblDaily[EntryDate],DATE(2026,3,30),tblDaily[WardCode],"CW")),"")</f>
        <v/>
      </c>
    </row>
    <row r="115">
      <c r="A115" s="12" t="n">
        <v>31</v>
      </c>
      <c r="B115" s="12">
        <f>IFERROR(IF(SUMIFS(tblDaily[Admissions],tblDaily[EntryDate],DATE(2026,3,31),tblDaily[WardCode],"CW")=0,"",SUMIFS(tblDaily[Admissions],tblDaily[EntryDate],DATE(2026,3,31),tblDaily[WardCode],"CW")),"")</f>
        <v/>
      </c>
      <c r="C115" s="12">
        <f>IFERROR(IF(SUMIFS(tblDaily[Discharges],tblDaily[EntryDate],DATE(2026,3,31),tblDaily[WardCode],"CW")=0,"",SUMIFS(tblDaily[Discharges],tblDaily[EntryDate],DATE(2026,3,31),tblDaily[WardCode],"CW")),"")</f>
        <v/>
      </c>
      <c r="D115" s="12">
        <f>IFERROR(IF(SUMIFS(tblDaily[Deaths],tblDaily[EntryDate],DATE(2026,3,31),tblDaily[WardCode],"CW")=0,"",SUMIFS(tblDaily[Deaths],tblDaily[EntryDate],DATE(2026,3,31),tblDaily[WardCode],"CW")),"")</f>
        <v/>
      </c>
      <c r="E115" s="12">
        <f>IFERROR(IF(SUMIFS(tblDaily[DeathsUnder24Hrs],tblDaily[EntryDate],DATE(2026,3,31),tblDaily[WardCode],"CW")=0,"",SUMIFS(tblDaily[DeathsUnder24Hrs],tblDaily[EntryDate],DATE(2026,3,31),tblDaily[WardCode],"CW")),"")</f>
        <v/>
      </c>
      <c r="F115" s="12">
        <f>IFERROR(IF(SUMIFS(tblDaily[TransfersIn],tblDaily[EntryDate],DATE(2026,3,31),tblDaily[WardCode],"CW")=0,"",SUMIFS(tblDaily[TransfersIn],tblDaily[EntryDate],DATE(2026,3,31),tblDaily[WardCode],"CW")),"")</f>
        <v/>
      </c>
      <c r="G115" s="12">
        <f>IFERROR(IF(SUMIFS(tblDaily[TransfersOut],tblDaily[EntryDate],DATE(2026,3,31),tblDaily[WardCode],"CW")=0,"",SUMIFS(tblDaily[TransfersOut],tblDaily[EntryDate],DATE(2026,3,31),tblDaily[WardCode],"CW")),"")</f>
        <v/>
      </c>
      <c r="H115" s="12">
        <f>IFERROR(IF(SUMIFS(tblDaily[Remaining],tblDaily[EntryDate],DATE(2026,3,31),tblDaily[WardCode],"CW")=0,"",SUMIFS(tblDaily[Remaining],tblDaily[EntryDate],DATE(2026,3,31),tblDaily[WardCode],"CW")),"")</f>
        <v/>
      </c>
    </row>
    <row r="116">
      <c r="A116" s="17" t="inlineStr">
        <is>
          <t>TOTAL</t>
        </is>
      </c>
      <c r="B116" s="17">
        <f>SUMIFS(tblDaily[Admissions],tblDaily[Month],3,tblDaily[WardCode],"CW") - SUMIFS(tblDaily[DeathsUnder24Hrs],tblDaily[Month],3,tblDaily[WardCode],"CW")</f>
        <v/>
      </c>
      <c r="C116" s="17">
        <f>SUMIFS(tblDaily[Discharges],tblDaily[Month],3,tblDaily[WardCode],"CW")</f>
        <v/>
      </c>
      <c r="D116" s="17">
        <f>SUMIFS(tblDaily[Deaths],tblDaily[Month],3,tblDaily[WardCode],"CW")</f>
        <v/>
      </c>
      <c r="E116" s="17">
        <f>SUMIFS(tblDaily[DeathsUnder24Hrs],tblDaily[Month],3,tblDaily[WardCode],"CW")</f>
        <v/>
      </c>
      <c r="F116" s="17">
        <f>SUMIFS(tblDaily[TransfersIn],tblDaily[Month],3,tblDaily[WardCode],"CW")</f>
        <v/>
      </c>
      <c r="G116" s="17">
        <f>SUMIFS(tblDaily[TransfersOut],tblDaily[Month],3,tblDaily[WardCode],"CW")</f>
        <v/>
      </c>
      <c r="H116" s="17">
        <f>SUMIFS(tblDaily[Remaining],tblDaily[Month],3,tblDaily[WardCode],"CW")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PAEDIATRIC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4">
        <f>IFERROR(SUMIFS(tblDaily[Remaining],tblDaily[EntryDate],DATE(2026,3,31),tblDaily[WardCode],"CW"),0)</f>
        <v/>
      </c>
    </row>
    <row r="122">
      <c r="A122" s="4" t="inlineStr">
        <is>
          <t>Bed complement</t>
        </is>
      </c>
      <c r="H122" s="15">
        <f>IFERROR(INDEX(tblWardConfig[BedComplement],MATCH("CW",tblWardConfig[WardCode],0)),0)</f>
        <v/>
      </c>
    </row>
    <row r="123">
      <c r="A123" s="16" t="inlineStr">
        <is>
          <t>Day of
the
Month</t>
        </is>
      </c>
      <c r="B123" s="16" t="inlineStr">
        <is>
          <t>Admissions</t>
        </is>
      </c>
      <c r="C123" s="16" t="inlineStr">
        <is>
          <t>Discharges</t>
        </is>
      </c>
      <c r="D123" s="16" t="inlineStr">
        <is>
          <t>Deaths</t>
        </is>
      </c>
      <c r="E123" s="16" t="inlineStr">
        <is>
          <t>Deaths
&lt;24Hrs</t>
        </is>
      </c>
      <c r="F123" s="16" t="inlineStr">
        <is>
          <t>Transfers-
In</t>
        </is>
      </c>
      <c r="G123" s="16" t="inlineStr">
        <is>
          <t>Transfers-
Out</t>
        </is>
      </c>
      <c r="H123" s="16" t="inlineStr">
        <is>
          <t>No. of Patients
Remaining In
Ward</t>
        </is>
      </c>
    </row>
    <row r="124">
      <c r="A124" s="12" t="n">
        <v>1</v>
      </c>
      <c r="B124" s="12">
        <f>IFERROR(IF(SUMIFS(tblDaily[Admissions],tblDaily[EntryDate],DATE(2026,4,1),tblDaily[WardCode],"CW")=0,"",SUMIFS(tblDaily[Admissions],tblDaily[EntryDate],DATE(2026,4,1),tblDaily[WardCode],"CW")),"")</f>
        <v/>
      </c>
      <c r="C124" s="12">
        <f>IFERROR(IF(SUMIFS(tblDaily[Discharges],tblDaily[EntryDate],DATE(2026,4,1),tblDaily[WardCode],"CW")=0,"",SUMIFS(tblDaily[Discharges],tblDaily[EntryDate],DATE(2026,4,1),tblDaily[WardCode],"CW")),"")</f>
        <v/>
      </c>
      <c r="D124" s="12">
        <f>IFERROR(IF(SUMIFS(tblDaily[Deaths],tblDaily[EntryDate],DATE(2026,4,1),tblDaily[WardCode],"CW")=0,"",SUMIFS(tblDaily[Deaths],tblDaily[EntryDate],DATE(2026,4,1),tblDaily[WardCode],"CW")),"")</f>
        <v/>
      </c>
      <c r="E124" s="12">
        <f>IFERROR(IF(SUMIFS(tblDaily[DeathsUnder24Hrs],tblDaily[EntryDate],DATE(2026,4,1),tblDaily[WardCode],"CW")=0,"",SUMIFS(tblDaily[DeathsUnder24Hrs],tblDaily[EntryDate],DATE(2026,4,1),tblDaily[WardCode],"CW")),"")</f>
        <v/>
      </c>
      <c r="F124" s="12">
        <f>IFERROR(IF(SUMIFS(tblDaily[TransfersIn],tblDaily[EntryDate],DATE(2026,4,1),tblDaily[WardCode],"CW")=0,"",SUMIFS(tblDaily[TransfersIn],tblDaily[EntryDate],DATE(2026,4,1),tblDaily[WardCode],"CW")),"")</f>
        <v/>
      </c>
      <c r="G124" s="12">
        <f>IFERROR(IF(SUMIFS(tblDaily[TransfersOut],tblDaily[EntryDate],DATE(2026,4,1),tblDaily[WardCode],"CW")=0,"",SUMIFS(tblDaily[TransfersOut],tblDaily[EntryDate],DATE(2026,4,1),tblDaily[WardCode],"CW")),"")</f>
        <v/>
      </c>
      <c r="H124" s="12">
        <f>IFERROR(IF(SUMIFS(tblDaily[Remaining],tblDaily[EntryDate],DATE(2026,4,1),tblDaily[WardCode],"CW")=0,"",SUMIFS(tblDaily[Remaining],tblDaily[EntryDate],DATE(2026,4,1),tblDaily[WardCode],"CW")),"")</f>
        <v/>
      </c>
    </row>
    <row r="125">
      <c r="A125" s="12" t="n">
        <v>2</v>
      </c>
      <c r="B125" s="12">
        <f>IFERROR(IF(SUMIFS(tblDaily[Admissions],tblDaily[EntryDate],DATE(2026,4,2),tblDaily[WardCode],"CW")=0,"",SUMIFS(tblDaily[Admissions],tblDaily[EntryDate],DATE(2026,4,2),tblDaily[WardCode],"CW")),"")</f>
        <v/>
      </c>
      <c r="C125" s="12">
        <f>IFERROR(IF(SUMIFS(tblDaily[Discharges],tblDaily[EntryDate],DATE(2026,4,2),tblDaily[WardCode],"CW")=0,"",SUMIFS(tblDaily[Discharges],tblDaily[EntryDate],DATE(2026,4,2),tblDaily[WardCode],"CW")),"")</f>
        <v/>
      </c>
      <c r="D125" s="12">
        <f>IFERROR(IF(SUMIFS(tblDaily[Deaths],tblDaily[EntryDate],DATE(2026,4,2),tblDaily[WardCode],"CW")=0,"",SUMIFS(tblDaily[Deaths],tblDaily[EntryDate],DATE(2026,4,2),tblDaily[WardCode],"CW")),"")</f>
        <v/>
      </c>
      <c r="E125" s="12">
        <f>IFERROR(IF(SUMIFS(tblDaily[DeathsUnder24Hrs],tblDaily[EntryDate],DATE(2026,4,2),tblDaily[WardCode],"CW")=0,"",SUMIFS(tblDaily[DeathsUnder24Hrs],tblDaily[EntryDate],DATE(2026,4,2),tblDaily[WardCode],"CW")),"")</f>
        <v/>
      </c>
      <c r="F125" s="12">
        <f>IFERROR(IF(SUMIFS(tblDaily[TransfersIn],tblDaily[EntryDate],DATE(2026,4,2),tblDaily[WardCode],"CW")=0,"",SUMIFS(tblDaily[TransfersIn],tblDaily[EntryDate],DATE(2026,4,2),tblDaily[WardCode],"CW")),"")</f>
        <v/>
      </c>
      <c r="G125" s="12">
        <f>IFERROR(IF(SUMIFS(tblDaily[TransfersOut],tblDaily[EntryDate],DATE(2026,4,2),tblDaily[WardCode],"CW")=0,"",SUMIFS(tblDaily[TransfersOut],tblDaily[EntryDate],DATE(2026,4,2),tblDaily[WardCode],"CW")),"")</f>
        <v/>
      </c>
      <c r="H125" s="12">
        <f>IFERROR(IF(SUMIFS(tblDaily[Remaining],tblDaily[EntryDate],DATE(2026,4,2),tblDaily[WardCode],"CW")=0,"",SUMIFS(tblDaily[Remaining],tblDaily[EntryDate],DATE(2026,4,2),tblDaily[WardCode],"CW")),"")</f>
        <v/>
      </c>
    </row>
    <row r="126">
      <c r="A126" s="12" t="n">
        <v>3</v>
      </c>
      <c r="B126" s="12">
        <f>IFERROR(IF(SUMIFS(tblDaily[Admissions],tblDaily[EntryDate],DATE(2026,4,3),tblDaily[WardCode],"CW")=0,"",SUMIFS(tblDaily[Admissions],tblDaily[EntryDate],DATE(2026,4,3),tblDaily[WardCode],"CW")),"")</f>
        <v/>
      </c>
      <c r="C126" s="12">
        <f>IFERROR(IF(SUMIFS(tblDaily[Discharges],tblDaily[EntryDate],DATE(2026,4,3),tblDaily[WardCode],"CW")=0,"",SUMIFS(tblDaily[Discharges],tblDaily[EntryDate],DATE(2026,4,3),tblDaily[WardCode],"CW")),"")</f>
        <v/>
      </c>
      <c r="D126" s="12">
        <f>IFERROR(IF(SUMIFS(tblDaily[Deaths],tblDaily[EntryDate],DATE(2026,4,3),tblDaily[WardCode],"CW")=0,"",SUMIFS(tblDaily[Deaths],tblDaily[EntryDate],DATE(2026,4,3),tblDaily[WardCode],"CW")),"")</f>
        <v/>
      </c>
      <c r="E126" s="12">
        <f>IFERROR(IF(SUMIFS(tblDaily[DeathsUnder24Hrs],tblDaily[EntryDate],DATE(2026,4,3),tblDaily[WardCode],"CW")=0,"",SUMIFS(tblDaily[DeathsUnder24Hrs],tblDaily[EntryDate],DATE(2026,4,3),tblDaily[WardCode],"CW")),"")</f>
        <v/>
      </c>
      <c r="F126" s="12">
        <f>IFERROR(IF(SUMIFS(tblDaily[TransfersIn],tblDaily[EntryDate],DATE(2026,4,3),tblDaily[WardCode],"CW")=0,"",SUMIFS(tblDaily[TransfersIn],tblDaily[EntryDate],DATE(2026,4,3),tblDaily[WardCode],"CW")),"")</f>
        <v/>
      </c>
      <c r="G126" s="12">
        <f>IFERROR(IF(SUMIFS(tblDaily[TransfersOut],tblDaily[EntryDate],DATE(2026,4,3),tblDaily[WardCode],"CW")=0,"",SUMIFS(tblDaily[TransfersOut],tblDaily[EntryDate],DATE(2026,4,3),tblDaily[WardCode],"CW")),"")</f>
        <v/>
      </c>
      <c r="H126" s="12">
        <f>IFERROR(IF(SUMIFS(tblDaily[Remaining],tblDaily[EntryDate],DATE(2026,4,3),tblDaily[WardCode],"CW")=0,"",SUMIFS(tblDaily[Remaining],tblDaily[EntryDate],DATE(2026,4,3),tblDaily[WardCode],"CW")),"")</f>
        <v/>
      </c>
    </row>
    <row r="127">
      <c r="A127" s="12" t="n">
        <v>4</v>
      </c>
      <c r="B127" s="12">
        <f>IFERROR(IF(SUMIFS(tblDaily[Admissions],tblDaily[EntryDate],DATE(2026,4,4),tblDaily[WardCode],"CW")=0,"",SUMIFS(tblDaily[Admissions],tblDaily[EntryDate],DATE(2026,4,4),tblDaily[WardCode],"CW")),"")</f>
        <v/>
      </c>
      <c r="C127" s="12">
        <f>IFERROR(IF(SUMIFS(tblDaily[Discharges],tblDaily[EntryDate],DATE(2026,4,4),tblDaily[WardCode],"CW")=0,"",SUMIFS(tblDaily[Discharges],tblDaily[EntryDate],DATE(2026,4,4),tblDaily[WardCode],"CW")),"")</f>
        <v/>
      </c>
      <c r="D127" s="12">
        <f>IFERROR(IF(SUMIFS(tblDaily[Deaths],tblDaily[EntryDate],DATE(2026,4,4),tblDaily[WardCode],"CW")=0,"",SUMIFS(tblDaily[Deaths],tblDaily[EntryDate],DATE(2026,4,4),tblDaily[WardCode],"CW")),"")</f>
        <v/>
      </c>
      <c r="E127" s="12">
        <f>IFERROR(IF(SUMIFS(tblDaily[DeathsUnder24Hrs],tblDaily[EntryDate],DATE(2026,4,4),tblDaily[WardCode],"CW")=0,"",SUMIFS(tblDaily[DeathsUnder24Hrs],tblDaily[EntryDate],DATE(2026,4,4),tblDaily[WardCode],"CW")),"")</f>
        <v/>
      </c>
      <c r="F127" s="12">
        <f>IFERROR(IF(SUMIFS(tblDaily[TransfersIn],tblDaily[EntryDate],DATE(2026,4,4),tblDaily[WardCode],"CW")=0,"",SUMIFS(tblDaily[TransfersIn],tblDaily[EntryDate],DATE(2026,4,4),tblDaily[WardCode],"CW")),"")</f>
        <v/>
      </c>
      <c r="G127" s="12">
        <f>IFERROR(IF(SUMIFS(tblDaily[TransfersOut],tblDaily[EntryDate],DATE(2026,4,4),tblDaily[WardCode],"CW")=0,"",SUMIFS(tblDaily[TransfersOut],tblDaily[EntryDate],DATE(2026,4,4),tblDaily[WardCode],"CW")),"")</f>
        <v/>
      </c>
      <c r="H127" s="12">
        <f>IFERROR(IF(SUMIFS(tblDaily[Remaining],tblDaily[EntryDate],DATE(2026,4,4),tblDaily[WardCode],"CW")=0,"",SUMIFS(tblDaily[Remaining],tblDaily[EntryDate],DATE(2026,4,4),tblDaily[WardCode],"CW")),"")</f>
        <v/>
      </c>
    </row>
    <row r="128">
      <c r="A128" s="12" t="n">
        <v>5</v>
      </c>
      <c r="B128" s="12">
        <f>IFERROR(IF(SUMIFS(tblDaily[Admissions],tblDaily[EntryDate],DATE(2026,4,5),tblDaily[WardCode],"CW")=0,"",SUMIFS(tblDaily[Admissions],tblDaily[EntryDate],DATE(2026,4,5),tblDaily[WardCode],"CW")),"")</f>
        <v/>
      </c>
      <c r="C128" s="12">
        <f>IFERROR(IF(SUMIFS(tblDaily[Discharges],tblDaily[EntryDate],DATE(2026,4,5),tblDaily[WardCode],"CW")=0,"",SUMIFS(tblDaily[Discharges],tblDaily[EntryDate],DATE(2026,4,5),tblDaily[WardCode],"CW")),"")</f>
        <v/>
      </c>
      <c r="D128" s="12">
        <f>IFERROR(IF(SUMIFS(tblDaily[Deaths],tblDaily[EntryDate],DATE(2026,4,5),tblDaily[WardCode],"CW")=0,"",SUMIFS(tblDaily[Deaths],tblDaily[EntryDate],DATE(2026,4,5),tblDaily[WardCode],"CW")),"")</f>
        <v/>
      </c>
      <c r="E128" s="12">
        <f>IFERROR(IF(SUMIFS(tblDaily[DeathsUnder24Hrs],tblDaily[EntryDate],DATE(2026,4,5),tblDaily[WardCode],"CW")=0,"",SUMIFS(tblDaily[DeathsUnder24Hrs],tblDaily[EntryDate],DATE(2026,4,5),tblDaily[WardCode],"CW")),"")</f>
        <v/>
      </c>
      <c r="F128" s="12">
        <f>IFERROR(IF(SUMIFS(tblDaily[TransfersIn],tblDaily[EntryDate],DATE(2026,4,5),tblDaily[WardCode],"CW")=0,"",SUMIFS(tblDaily[TransfersIn],tblDaily[EntryDate],DATE(2026,4,5),tblDaily[WardCode],"CW")),"")</f>
        <v/>
      </c>
      <c r="G128" s="12">
        <f>IFERROR(IF(SUMIFS(tblDaily[TransfersOut],tblDaily[EntryDate],DATE(2026,4,5),tblDaily[WardCode],"CW")=0,"",SUMIFS(tblDaily[TransfersOut],tblDaily[EntryDate],DATE(2026,4,5),tblDaily[WardCode],"CW")),"")</f>
        <v/>
      </c>
      <c r="H128" s="12">
        <f>IFERROR(IF(SUMIFS(tblDaily[Remaining],tblDaily[EntryDate],DATE(2026,4,5),tblDaily[WardCode],"CW")=0,"",SUMIFS(tblDaily[Remaining],tblDaily[EntryDate],DATE(2026,4,5),tblDaily[WardCode],"CW")),"")</f>
        <v/>
      </c>
    </row>
    <row r="129">
      <c r="A129" s="12" t="n">
        <v>6</v>
      </c>
      <c r="B129" s="12">
        <f>IFERROR(IF(SUMIFS(tblDaily[Admissions],tblDaily[EntryDate],DATE(2026,4,6),tblDaily[WardCode],"CW")=0,"",SUMIFS(tblDaily[Admissions],tblDaily[EntryDate],DATE(2026,4,6),tblDaily[WardCode],"CW")),"")</f>
        <v/>
      </c>
      <c r="C129" s="12">
        <f>IFERROR(IF(SUMIFS(tblDaily[Discharges],tblDaily[EntryDate],DATE(2026,4,6),tblDaily[WardCode],"CW")=0,"",SUMIFS(tblDaily[Discharges],tblDaily[EntryDate],DATE(2026,4,6),tblDaily[WardCode],"CW")),"")</f>
        <v/>
      </c>
      <c r="D129" s="12">
        <f>IFERROR(IF(SUMIFS(tblDaily[Deaths],tblDaily[EntryDate],DATE(2026,4,6),tblDaily[WardCode],"CW")=0,"",SUMIFS(tblDaily[Deaths],tblDaily[EntryDate],DATE(2026,4,6),tblDaily[WardCode],"CW")),"")</f>
        <v/>
      </c>
      <c r="E129" s="12">
        <f>IFERROR(IF(SUMIFS(tblDaily[DeathsUnder24Hrs],tblDaily[EntryDate],DATE(2026,4,6),tblDaily[WardCode],"CW")=0,"",SUMIFS(tblDaily[DeathsUnder24Hrs],tblDaily[EntryDate],DATE(2026,4,6),tblDaily[WardCode],"CW")),"")</f>
        <v/>
      </c>
      <c r="F129" s="12">
        <f>IFERROR(IF(SUMIFS(tblDaily[TransfersIn],tblDaily[EntryDate],DATE(2026,4,6),tblDaily[WardCode],"CW")=0,"",SUMIFS(tblDaily[TransfersIn],tblDaily[EntryDate],DATE(2026,4,6),tblDaily[WardCode],"CW")),"")</f>
        <v/>
      </c>
      <c r="G129" s="12">
        <f>IFERROR(IF(SUMIFS(tblDaily[TransfersOut],tblDaily[EntryDate],DATE(2026,4,6),tblDaily[WardCode],"CW")=0,"",SUMIFS(tblDaily[TransfersOut],tblDaily[EntryDate],DATE(2026,4,6),tblDaily[WardCode],"CW")),"")</f>
        <v/>
      </c>
      <c r="H129" s="12">
        <f>IFERROR(IF(SUMIFS(tblDaily[Remaining],tblDaily[EntryDate],DATE(2026,4,6),tblDaily[WardCode],"CW")=0,"",SUMIFS(tblDaily[Remaining],tblDaily[EntryDate],DATE(2026,4,6),tblDaily[WardCode],"CW")),"")</f>
        <v/>
      </c>
    </row>
    <row r="130">
      <c r="A130" s="12" t="n">
        <v>7</v>
      </c>
      <c r="B130" s="12">
        <f>IFERROR(IF(SUMIFS(tblDaily[Admissions],tblDaily[EntryDate],DATE(2026,4,7),tblDaily[WardCode],"CW")=0,"",SUMIFS(tblDaily[Admissions],tblDaily[EntryDate],DATE(2026,4,7),tblDaily[WardCode],"CW")),"")</f>
        <v/>
      </c>
      <c r="C130" s="12">
        <f>IFERROR(IF(SUMIFS(tblDaily[Discharges],tblDaily[EntryDate],DATE(2026,4,7),tblDaily[WardCode],"CW")=0,"",SUMIFS(tblDaily[Discharges],tblDaily[EntryDate],DATE(2026,4,7),tblDaily[WardCode],"CW")),"")</f>
        <v/>
      </c>
      <c r="D130" s="12">
        <f>IFERROR(IF(SUMIFS(tblDaily[Deaths],tblDaily[EntryDate],DATE(2026,4,7),tblDaily[WardCode],"CW")=0,"",SUMIFS(tblDaily[Deaths],tblDaily[EntryDate],DATE(2026,4,7),tblDaily[WardCode],"CW")),"")</f>
        <v/>
      </c>
      <c r="E130" s="12">
        <f>IFERROR(IF(SUMIFS(tblDaily[DeathsUnder24Hrs],tblDaily[EntryDate],DATE(2026,4,7),tblDaily[WardCode],"CW")=0,"",SUMIFS(tblDaily[DeathsUnder24Hrs],tblDaily[EntryDate],DATE(2026,4,7),tblDaily[WardCode],"CW")),"")</f>
        <v/>
      </c>
      <c r="F130" s="12">
        <f>IFERROR(IF(SUMIFS(tblDaily[TransfersIn],tblDaily[EntryDate],DATE(2026,4,7),tblDaily[WardCode],"CW")=0,"",SUMIFS(tblDaily[TransfersIn],tblDaily[EntryDate],DATE(2026,4,7),tblDaily[WardCode],"CW")),"")</f>
        <v/>
      </c>
      <c r="G130" s="12">
        <f>IFERROR(IF(SUMIFS(tblDaily[TransfersOut],tblDaily[EntryDate],DATE(2026,4,7),tblDaily[WardCode],"CW")=0,"",SUMIFS(tblDaily[TransfersOut],tblDaily[EntryDate],DATE(2026,4,7),tblDaily[WardCode],"CW")),"")</f>
        <v/>
      </c>
      <c r="H130" s="12">
        <f>IFERROR(IF(SUMIFS(tblDaily[Remaining],tblDaily[EntryDate],DATE(2026,4,7),tblDaily[WardCode],"CW")=0,"",SUMIFS(tblDaily[Remaining],tblDaily[EntryDate],DATE(2026,4,7),tblDaily[WardCode],"CW")),"")</f>
        <v/>
      </c>
    </row>
    <row r="131">
      <c r="A131" s="12" t="n">
        <v>8</v>
      </c>
      <c r="B131" s="12">
        <f>IFERROR(IF(SUMIFS(tblDaily[Admissions],tblDaily[EntryDate],DATE(2026,4,8),tblDaily[WardCode],"CW")=0,"",SUMIFS(tblDaily[Admissions],tblDaily[EntryDate],DATE(2026,4,8),tblDaily[WardCode],"CW")),"")</f>
        <v/>
      </c>
      <c r="C131" s="12">
        <f>IFERROR(IF(SUMIFS(tblDaily[Discharges],tblDaily[EntryDate],DATE(2026,4,8),tblDaily[WardCode],"CW")=0,"",SUMIFS(tblDaily[Discharges],tblDaily[EntryDate],DATE(2026,4,8),tblDaily[WardCode],"CW")),"")</f>
        <v/>
      </c>
      <c r="D131" s="12">
        <f>IFERROR(IF(SUMIFS(tblDaily[Deaths],tblDaily[EntryDate],DATE(2026,4,8),tblDaily[WardCode],"CW")=0,"",SUMIFS(tblDaily[Deaths],tblDaily[EntryDate],DATE(2026,4,8),tblDaily[WardCode],"CW")),"")</f>
        <v/>
      </c>
      <c r="E131" s="12">
        <f>IFERROR(IF(SUMIFS(tblDaily[DeathsUnder24Hrs],tblDaily[EntryDate],DATE(2026,4,8),tblDaily[WardCode],"CW")=0,"",SUMIFS(tblDaily[DeathsUnder24Hrs],tblDaily[EntryDate],DATE(2026,4,8),tblDaily[WardCode],"CW")),"")</f>
        <v/>
      </c>
      <c r="F131" s="12">
        <f>IFERROR(IF(SUMIFS(tblDaily[TransfersIn],tblDaily[EntryDate],DATE(2026,4,8),tblDaily[WardCode],"CW")=0,"",SUMIFS(tblDaily[TransfersIn],tblDaily[EntryDate],DATE(2026,4,8),tblDaily[WardCode],"CW")),"")</f>
        <v/>
      </c>
      <c r="G131" s="12">
        <f>IFERROR(IF(SUMIFS(tblDaily[TransfersOut],tblDaily[EntryDate],DATE(2026,4,8),tblDaily[WardCode],"CW")=0,"",SUMIFS(tblDaily[TransfersOut],tblDaily[EntryDate],DATE(2026,4,8),tblDaily[WardCode],"CW")),"")</f>
        <v/>
      </c>
      <c r="H131" s="12">
        <f>IFERROR(IF(SUMIFS(tblDaily[Remaining],tblDaily[EntryDate],DATE(2026,4,8),tblDaily[WardCode],"CW")=0,"",SUMIFS(tblDaily[Remaining],tblDaily[EntryDate],DATE(2026,4,8),tblDaily[WardCode],"CW")),"")</f>
        <v/>
      </c>
    </row>
    <row r="132">
      <c r="A132" s="12" t="n">
        <v>9</v>
      </c>
      <c r="B132" s="12">
        <f>IFERROR(IF(SUMIFS(tblDaily[Admissions],tblDaily[EntryDate],DATE(2026,4,9),tblDaily[WardCode],"CW")=0,"",SUMIFS(tblDaily[Admissions],tblDaily[EntryDate],DATE(2026,4,9),tblDaily[WardCode],"CW")),"")</f>
        <v/>
      </c>
      <c r="C132" s="12">
        <f>IFERROR(IF(SUMIFS(tblDaily[Discharges],tblDaily[EntryDate],DATE(2026,4,9),tblDaily[WardCode],"CW")=0,"",SUMIFS(tblDaily[Discharges],tblDaily[EntryDate],DATE(2026,4,9),tblDaily[WardCode],"CW")),"")</f>
        <v/>
      </c>
      <c r="D132" s="12">
        <f>IFERROR(IF(SUMIFS(tblDaily[Deaths],tblDaily[EntryDate],DATE(2026,4,9),tblDaily[WardCode],"CW")=0,"",SUMIFS(tblDaily[Deaths],tblDaily[EntryDate],DATE(2026,4,9),tblDaily[WardCode],"CW")),"")</f>
        <v/>
      </c>
      <c r="E132" s="12">
        <f>IFERROR(IF(SUMIFS(tblDaily[DeathsUnder24Hrs],tblDaily[EntryDate],DATE(2026,4,9),tblDaily[WardCode],"CW")=0,"",SUMIFS(tblDaily[DeathsUnder24Hrs],tblDaily[EntryDate],DATE(2026,4,9),tblDaily[WardCode],"CW")),"")</f>
        <v/>
      </c>
      <c r="F132" s="12">
        <f>IFERROR(IF(SUMIFS(tblDaily[TransfersIn],tblDaily[EntryDate],DATE(2026,4,9),tblDaily[WardCode],"CW")=0,"",SUMIFS(tblDaily[TransfersIn],tblDaily[EntryDate],DATE(2026,4,9),tblDaily[WardCode],"CW")),"")</f>
        <v/>
      </c>
      <c r="G132" s="12">
        <f>IFERROR(IF(SUMIFS(tblDaily[TransfersOut],tblDaily[EntryDate],DATE(2026,4,9),tblDaily[WardCode],"CW")=0,"",SUMIFS(tblDaily[TransfersOut],tblDaily[EntryDate],DATE(2026,4,9),tblDaily[WardCode],"CW")),"")</f>
        <v/>
      </c>
      <c r="H132" s="12">
        <f>IFERROR(IF(SUMIFS(tblDaily[Remaining],tblDaily[EntryDate],DATE(2026,4,9),tblDaily[WardCode],"CW")=0,"",SUMIFS(tblDaily[Remaining],tblDaily[EntryDate],DATE(2026,4,9),tblDaily[WardCode],"CW")),"")</f>
        <v/>
      </c>
    </row>
    <row r="133">
      <c r="A133" s="12" t="n">
        <v>10</v>
      </c>
      <c r="B133" s="12">
        <f>IFERROR(IF(SUMIFS(tblDaily[Admissions],tblDaily[EntryDate],DATE(2026,4,10),tblDaily[WardCode],"CW")=0,"",SUMIFS(tblDaily[Admissions],tblDaily[EntryDate],DATE(2026,4,10),tblDaily[WardCode],"CW")),"")</f>
        <v/>
      </c>
      <c r="C133" s="12">
        <f>IFERROR(IF(SUMIFS(tblDaily[Discharges],tblDaily[EntryDate],DATE(2026,4,10),tblDaily[WardCode],"CW")=0,"",SUMIFS(tblDaily[Discharges],tblDaily[EntryDate],DATE(2026,4,10),tblDaily[WardCode],"CW")),"")</f>
        <v/>
      </c>
      <c r="D133" s="12">
        <f>IFERROR(IF(SUMIFS(tblDaily[Deaths],tblDaily[EntryDate],DATE(2026,4,10),tblDaily[WardCode],"CW")=0,"",SUMIFS(tblDaily[Deaths],tblDaily[EntryDate],DATE(2026,4,10),tblDaily[WardCode],"CW")),"")</f>
        <v/>
      </c>
      <c r="E133" s="12">
        <f>IFERROR(IF(SUMIFS(tblDaily[DeathsUnder24Hrs],tblDaily[EntryDate],DATE(2026,4,10),tblDaily[WardCode],"CW")=0,"",SUMIFS(tblDaily[DeathsUnder24Hrs],tblDaily[EntryDate],DATE(2026,4,10),tblDaily[WardCode],"CW")),"")</f>
        <v/>
      </c>
      <c r="F133" s="12">
        <f>IFERROR(IF(SUMIFS(tblDaily[TransfersIn],tblDaily[EntryDate],DATE(2026,4,10),tblDaily[WardCode],"CW")=0,"",SUMIFS(tblDaily[TransfersIn],tblDaily[EntryDate],DATE(2026,4,10),tblDaily[WardCode],"CW")),"")</f>
        <v/>
      </c>
      <c r="G133" s="12">
        <f>IFERROR(IF(SUMIFS(tblDaily[TransfersOut],tblDaily[EntryDate],DATE(2026,4,10),tblDaily[WardCode],"CW")=0,"",SUMIFS(tblDaily[TransfersOut],tblDaily[EntryDate],DATE(2026,4,10),tblDaily[WardCode],"CW")),"")</f>
        <v/>
      </c>
      <c r="H133" s="12">
        <f>IFERROR(IF(SUMIFS(tblDaily[Remaining],tblDaily[EntryDate],DATE(2026,4,10),tblDaily[WardCode],"CW")=0,"",SUMIFS(tblDaily[Remaining],tblDaily[EntryDate],DATE(2026,4,10),tblDaily[WardCode],"CW")),"")</f>
        <v/>
      </c>
    </row>
    <row r="134">
      <c r="A134" s="12" t="n">
        <v>11</v>
      </c>
      <c r="B134" s="12">
        <f>IFERROR(IF(SUMIFS(tblDaily[Admissions],tblDaily[EntryDate],DATE(2026,4,11),tblDaily[WardCode],"CW")=0,"",SUMIFS(tblDaily[Admissions],tblDaily[EntryDate],DATE(2026,4,11),tblDaily[WardCode],"CW")),"")</f>
        <v/>
      </c>
      <c r="C134" s="12">
        <f>IFERROR(IF(SUMIFS(tblDaily[Discharges],tblDaily[EntryDate],DATE(2026,4,11),tblDaily[WardCode],"CW")=0,"",SUMIFS(tblDaily[Discharges],tblDaily[EntryDate],DATE(2026,4,11),tblDaily[WardCode],"CW")),"")</f>
        <v/>
      </c>
      <c r="D134" s="12">
        <f>IFERROR(IF(SUMIFS(tblDaily[Deaths],tblDaily[EntryDate],DATE(2026,4,11),tblDaily[WardCode],"CW")=0,"",SUMIFS(tblDaily[Deaths],tblDaily[EntryDate],DATE(2026,4,11),tblDaily[WardCode],"CW")),"")</f>
        <v/>
      </c>
      <c r="E134" s="12">
        <f>IFERROR(IF(SUMIFS(tblDaily[DeathsUnder24Hrs],tblDaily[EntryDate],DATE(2026,4,11),tblDaily[WardCode],"CW")=0,"",SUMIFS(tblDaily[DeathsUnder24Hrs],tblDaily[EntryDate],DATE(2026,4,11),tblDaily[WardCode],"CW")),"")</f>
        <v/>
      </c>
      <c r="F134" s="12">
        <f>IFERROR(IF(SUMIFS(tblDaily[TransfersIn],tblDaily[EntryDate],DATE(2026,4,11),tblDaily[WardCode],"CW")=0,"",SUMIFS(tblDaily[TransfersIn],tblDaily[EntryDate],DATE(2026,4,11),tblDaily[WardCode],"CW")),"")</f>
        <v/>
      </c>
      <c r="G134" s="12">
        <f>IFERROR(IF(SUMIFS(tblDaily[TransfersOut],tblDaily[EntryDate],DATE(2026,4,11),tblDaily[WardCode],"CW")=0,"",SUMIFS(tblDaily[TransfersOut],tblDaily[EntryDate],DATE(2026,4,11),tblDaily[WardCode],"CW")),"")</f>
        <v/>
      </c>
      <c r="H134" s="12">
        <f>IFERROR(IF(SUMIFS(tblDaily[Remaining],tblDaily[EntryDate],DATE(2026,4,11),tblDaily[WardCode],"CW")=0,"",SUMIFS(tblDaily[Remaining],tblDaily[EntryDate],DATE(2026,4,11),tblDaily[WardCode],"CW")),"")</f>
        <v/>
      </c>
    </row>
    <row r="135">
      <c r="A135" s="12" t="n">
        <v>12</v>
      </c>
      <c r="B135" s="12">
        <f>IFERROR(IF(SUMIFS(tblDaily[Admissions],tblDaily[EntryDate],DATE(2026,4,12),tblDaily[WardCode],"CW")=0,"",SUMIFS(tblDaily[Admissions],tblDaily[EntryDate],DATE(2026,4,12),tblDaily[WardCode],"CW")),"")</f>
        <v/>
      </c>
      <c r="C135" s="12">
        <f>IFERROR(IF(SUMIFS(tblDaily[Discharges],tblDaily[EntryDate],DATE(2026,4,12),tblDaily[WardCode],"CW")=0,"",SUMIFS(tblDaily[Discharges],tblDaily[EntryDate],DATE(2026,4,12),tblDaily[WardCode],"CW")),"")</f>
        <v/>
      </c>
      <c r="D135" s="12">
        <f>IFERROR(IF(SUMIFS(tblDaily[Deaths],tblDaily[EntryDate],DATE(2026,4,12),tblDaily[WardCode],"CW")=0,"",SUMIFS(tblDaily[Deaths],tblDaily[EntryDate],DATE(2026,4,12),tblDaily[WardCode],"CW")),"")</f>
        <v/>
      </c>
      <c r="E135" s="12">
        <f>IFERROR(IF(SUMIFS(tblDaily[DeathsUnder24Hrs],tblDaily[EntryDate],DATE(2026,4,12),tblDaily[WardCode],"CW")=0,"",SUMIFS(tblDaily[DeathsUnder24Hrs],tblDaily[EntryDate],DATE(2026,4,12),tblDaily[WardCode],"CW")),"")</f>
        <v/>
      </c>
      <c r="F135" s="12">
        <f>IFERROR(IF(SUMIFS(tblDaily[TransfersIn],tblDaily[EntryDate],DATE(2026,4,12),tblDaily[WardCode],"CW")=0,"",SUMIFS(tblDaily[TransfersIn],tblDaily[EntryDate],DATE(2026,4,12),tblDaily[WardCode],"CW")),"")</f>
        <v/>
      </c>
      <c r="G135" s="12">
        <f>IFERROR(IF(SUMIFS(tblDaily[TransfersOut],tblDaily[EntryDate],DATE(2026,4,12),tblDaily[WardCode],"CW")=0,"",SUMIFS(tblDaily[TransfersOut],tblDaily[EntryDate],DATE(2026,4,12),tblDaily[WardCode],"CW")),"")</f>
        <v/>
      </c>
      <c r="H135" s="12">
        <f>IFERROR(IF(SUMIFS(tblDaily[Remaining],tblDaily[EntryDate],DATE(2026,4,12),tblDaily[WardCode],"CW")=0,"",SUMIFS(tblDaily[Remaining],tblDaily[EntryDate],DATE(2026,4,12),tblDaily[WardCode],"CW")),"")</f>
        <v/>
      </c>
    </row>
    <row r="136">
      <c r="A136" s="12" t="n">
        <v>13</v>
      </c>
      <c r="B136" s="12">
        <f>IFERROR(IF(SUMIFS(tblDaily[Admissions],tblDaily[EntryDate],DATE(2026,4,13),tblDaily[WardCode],"CW")=0,"",SUMIFS(tblDaily[Admissions],tblDaily[EntryDate],DATE(2026,4,13),tblDaily[WardCode],"CW")),"")</f>
        <v/>
      </c>
      <c r="C136" s="12">
        <f>IFERROR(IF(SUMIFS(tblDaily[Discharges],tblDaily[EntryDate],DATE(2026,4,13),tblDaily[WardCode],"CW")=0,"",SUMIFS(tblDaily[Discharges],tblDaily[EntryDate],DATE(2026,4,13),tblDaily[WardCode],"CW")),"")</f>
        <v/>
      </c>
      <c r="D136" s="12">
        <f>IFERROR(IF(SUMIFS(tblDaily[Deaths],tblDaily[EntryDate],DATE(2026,4,13),tblDaily[WardCode],"CW")=0,"",SUMIFS(tblDaily[Deaths],tblDaily[EntryDate],DATE(2026,4,13),tblDaily[WardCode],"CW")),"")</f>
        <v/>
      </c>
      <c r="E136" s="12">
        <f>IFERROR(IF(SUMIFS(tblDaily[DeathsUnder24Hrs],tblDaily[EntryDate],DATE(2026,4,13),tblDaily[WardCode],"CW")=0,"",SUMIFS(tblDaily[DeathsUnder24Hrs],tblDaily[EntryDate],DATE(2026,4,13),tblDaily[WardCode],"CW")),"")</f>
        <v/>
      </c>
      <c r="F136" s="12">
        <f>IFERROR(IF(SUMIFS(tblDaily[TransfersIn],tblDaily[EntryDate],DATE(2026,4,13),tblDaily[WardCode],"CW")=0,"",SUMIFS(tblDaily[TransfersIn],tblDaily[EntryDate],DATE(2026,4,13),tblDaily[WardCode],"CW")),"")</f>
        <v/>
      </c>
      <c r="G136" s="12">
        <f>IFERROR(IF(SUMIFS(tblDaily[TransfersOut],tblDaily[EntryDate],DATE(2026,4,13),tblDaily[WardCode],"CW")=0,"",SUMIFS(tblDaily[TransfersOut],tblDaily[EntryDate],DATE(2026,4,13),tblDaily[WardCode],"CW")),"")</f>
        <v/>
      </c>
      <c r="H136" s="12">
        <f>IFERROR(IF(SUMIFS(tblDaily[Remaining],tblDaily[EntryDate],DATE(2026,4,13),tblDaily[WardCode],"CW")=0,"",SUMIFS(tblDaily[Remaining],tblDaily[EntryDate],DATE(2026,4,13),tblDaily[WardCode],"CW")),"")</f>
        <v/>
      </c>
    </row>
    <row r="137">
      <c r="A137" s="12" t="n">
        <v>14</v>
      </c>
      <c r="B137" s="12">
        <f>IFERROR(IF(SUMIFS(tblDaily[Admissions],tblDaily[EntryDate],DATE(2026,4,14),tblDaily[WardCode],"CW")=0,"",SUMIFS(tblDaily[Admissions],tblDaily[EntryDate],DATE(2026,4,14),tblDaily[WardCode],"CW")),"")</f>
        <v/>
      </c>
      <c r="C137" s="12">
        <f>IFERROR(IF(SUMIFS(tblDaily[Discharges],tblDaily[EntryDate],DATE(2026,4,14),tblDaily[WardCode],"CW")=0,"",SUMIFS(tblDaily[Discharges],tblDaily[EntryDate],DATE(2026,4,14),tblDaily[WardCode],"CW")),"")</f>
        <v/>
      </c>
      <c r="D137" s="12">
        <f>IFERROR(IF(SUMIFS(tblDaily[Deaths],tblDaily[EntryDate],DATE(2026,4,14),tblDaily[WardCode],"CW")=0,"",SUMIFS(tblDaily[Deaths],tblDaily[EntryDate],DATE(2026,4,14),tblDaily[WardCode],"CW")),"")</f>
        <v/>
      </c>
      <c r="E137" s="12">
        <f>IFERROR(IF(SUMIFS(tblDaily[DeathsUnder24Hrs],tblDaily[EntryDate],DATE(2026,4,14),tblDaily[WardCode],"CW")=0,"",SUMIFS(tblDaily[DeathsUnder24Hrs],tblDaily[EntryDate],DATE(2026,4,14),tblDaily[WardCode],"CW")),"")</f>
        <v/>
      </c>
      <c r="F137" s="12">
        <f>IFERROR(IF(SUMIFS(tblDaily[TransfersIn],tblDaily[EntryDate],DATE(2026,4,14),tblDaily[WardCode],"CW")=0,"",SUMIFS(tblDaily[TransfersIn],tblDaily[EntryDate],DATE(2026,4,14),tblDaily[WardCode],"CW")),"")</f>
        <v/>
      </c>
      <c r="G137" s="12">
        <f>IFERROR(IF(SUMIFS(tblDaily[TransfersOut],tblDaily[EntryDate],DATE(2026,4,14),tblDaily[WardCode],"CW")=0,"",SUMIFS(tblDaily[TransfersOut],tblDaily[EntryDate],DATE(2026,4,14),tblDaily[WardCode],"CW")),"")</f>
        <v/>
      </c>
      <c r="H137" s="12">
        <f>IFERROR(IF(SUMIFS(tblDaily[Remaining],tblDaily[EntryDate],DATE(2026,4,14),tblDaily[WardCode],"CW")=0,"",SUMIFS(tblDaily[Remaining],tblDaily[EntryDate],DATE(2026,4,14),tblDaily[WardCode],"CW")),"")</f>
        <v/>
      </c>
    </row>
    <row r="138">
      <c r="A138" s="12" t="n">
        <v>15</v>
      </c>
      <c r="B138" s="12">
        <f>IFERROR(IF(SUMIFS(tblDaily[Admissions],tblDaily[EntryDate],DATE(2026,4,15),tblDaily[WardCode],"CW")=0,"",SUMIFS(tblDaily[Admissions],tblDaily[EntryDate],DATE(2026,4,15),tblDaily[WardCode],"CW")),"")</f>
        <v/>
      </c>
      <c r="C138" s="12">
        <f>IFERROR(IF(SUMIFS(tblDaily[Discharges],tblDaily[EntryDate],DATE(2026,4,15),tblDaily[WardCode],"CW")=0,"",SUMIFS(tblDaily[Discharges],tblDaily[EntryDate],DATE(2026,4,15),tblDaily[WardCode],"CW")),"")</f>
        <v/>
      </c>
      <c r="D138" s="12">
        <f>IFERROR(IF(SUMIFS(tblDaily[Deaths],tblDaily[EntryDate],DATE(2026,4,15),tblDaily[WardCode],"CW")=0,"",SUMIFS(tblDaily[Deaths],tblDaily[EntryDate],DATE(2026,4,15),tblDaily[WardCode],"CW")),"")</f>
        <v/>
      </c>
      <c r="E138" s="12">
        <f>IFERROR(IF(SUMIFS(tblDaily[DeathsUnder24Hrs],tblDaily[EntryDate],DATE(2026,4,15),tblDaily[WardCode],"CW")=0,"",SUMIFS(tblDaily[DeathsUnder24Hrs],tblDaily[EntryDate],DATE(2026,4,15),tblDaily[WardCode],"CW")),"")</f>
        <v/>
      </c>
      <c r="F138" s="12">
        <f>IFERROR(IF(SUMIFS(tblDaily[TransfersIn],tblDaily[EntryDate],DATE(2026,4,15),tblDaily[WardCode],"CW")=0,"",SUMIFS(tblDaily[TransfersIn],tblDaily[EntryDate],DATE(2026,4,15),tblDaily[WardCode],"CW")),"")</f>
        <v/>
      </c>
      <c r="G138" s="12">
        <f>IFERROR(IF(SUMIFS(tblDaily[TransfersOut],tblDaily[EntryDate],DATE(2026,4,15),tblDaily[WardCode],"CW")=0,"",SUMIFS(tblDaily[TransfersOut],tblDaily[EntryDate],DATE(2026,4,15),tblDaily[WardCode],"CW")),"")</f>
        <v/>
      </c>
      <c r="H138" s="12">
        <f>IFERROR(IF(SUMIFS(tblDaily[Remaining],tblDaily[EntryDate],DATE(2026,4,15),tblDaily[WardCode],"CW")=0,"",SUMIFS(tblDaily[Remaining],tblDaily[EntryDate],DATE(2026,4,15),tblDaily[WardCode],"CW")),"")</f>
        <v/>
      </c>
    </row>
    <row r="139">
      <c r="A139" s="12" t="n">
        <v>16</v>
      </c>
      <c r="B139" s="12">
        <f>IFERROR(IF(SUMIFS(tblDaily[Admissions],tblDaily[EntryDate],DATE(2026,4,16),tblDaily[WardCode],"CW")=0,"",SUMIFS(tblDaily[Admissions],tblDaily[EntryDate],DATE(2026,4,16),tblDaily[WardCode],"CW")),"")</f>
        <v/>
      </c>
      <c r="C139" s="12">
        <f>IFERROR(IF(SUMIFS(tblDaily[Discharges],tblDaily[EntryDate],DATE(2026,4,16),tblDaily[WardCode],"CW")=0,"",SUMIFS(tblDaily[Discharges],tblDaily[EntryDate],DATE(2026,4,16),tblDaily[WardCode],"CW")),"")</f>
        <v/>
      </c>
      <c r="D139" s="12">
        <f>IFERROR(IF(SUMIFS(tblDaily[Deaths],tblDaily[EntryDate],DATE(2026,4,16),tblDaily[WardCode],"CW")=0,"",SUMIFS(tblDaily[Deaths],tblDaily[EntryDate],DATE(2026,4,16),tblDaily[WardCode],"CW")),"")</f>
        <v/>
      </c>
      <c r="E139" s="12">
        <f>IFERROR(IF(SUMIFS(tblDaily[DeathsUnder24Hrs],tblDaily[EntryDate],DATE(2026,4,16),tblDaily[WardCode],"CW")=0,"",SUMIFS(tblDaily[DeathsUnder24Hrs],tblDaily[EntryDate],DATE(2026,4,16),tblDaily[WardCode],"CW")),"")</f>
        <v/>
      </c>
      <c r="F139" s="12">
        <f>IFERROR(IF(SUMIFS(tblDaily[TransfersIn],tblDaily[EntryDate],DATE(2026,4,16),tblDaily[WardCode],"CW")=0,"",SUMIFS(tblDaily[TransfersIn],tblDaily[EntryDate],DATE(2026,4,16),tblDaily[WardCode],"CW")),"")</f>
        <v/>
      </c>
      <c r="G139" s="12">
        <f>IFERROR(IF(SUMIFS(tblDaily[TransfersOut],tblDaily[EntryDate],DATE(2026,4,16),tblDaily[WardCode],"CW")=0,"",SUMIFS(tblDaily[TransfersOut],tblDaily[EntryDate],DATE(2026,4,16),tblDaily[WardCode],"CW")),"")</f>
        <v/>
      </c>
      <c r="H139" s="12">
        <f>IFERROR(IF(SUMIFS(tblDaily[Remaining],tblDaily[EntryDate],DATE(2026,4,16),tblDaily[WardCode],"CW")=0,"",SUMIFS(tblDaily[Remaining],tblDaily[EntryDate],DATE(2026,4,16),tblDaily[WardCode],"CW")),"")</f>
        <v/>
      </c>
    </row>
    <row r="140">
      <c r="A140" s="12" t="n">
        <v>17</v>
      </c>
      <c r="B140" s="12">
        <f>IFERROR(IF(SUMIFS(tblDaily[Admissions],tblDaily[EntryDate],DATE(2026,4,17),tblDaily[WardCode],"CW")=0,"",SUMIFS(tblDaily[Admissions],tblDaily[EntryDate],DATE(2026,4,17),tblDaily[WardCode],"CW")),"")</f>
        <v/>
      </c>
      <c r="C140" s="12">
        <f>IFERROR(IF(SUMIFS(tblDaily[Discharges],tblDaily[EntryDate],DATE(2026,4,17),tblDaily[WardCode],"CW")=0,"",SUMIFS(tblDaily[Discharges],tblDaily[EntryDate],DATE(2026,4,17),tblDaily[WardCode],"CW")),"")</f>
        <v/>
      </c>
      <c r="D140" s="12">
        <f>IFERROR(IF(SUMIFS(tblDaily[Deaths],tblDaily[EntryDate],DATE(2026,4,17),tblDaily[WardCode],"CW")=0,"",SUMIFS(tblDaily[Deaths],tblDaily[EntryDate],DATE(2026,4,17),tblDaily[WardCode],"CW")),"")</f>
        <v/>
      </c>
      <c r="E140" s="12">
        <f>IFERROR(IF(SUMIFS(tblDaily[DeathsUnder24Hrs],tblDaily[EntryDate],DATE(2026,4,17),tblDaily[WardCode],"CW")=0,"",SUMIFS(tblDaily[DeathsUnder24Hrs],tblDaily[EntryDate],DATE(2026,4,17),tblDaily[WardCode],"CW")),"")</f>
        <v/>
      </c>
      <c r="F140" s="12">
        <f>IFERROR(IF(SUMIFS(tblDaily[TransfersIn],tblDaily[EntryDate],DATE(2026,4,17),tblDaily[WardCode],"CW")=0,"",SUMIFS(tblDaily[TransfersIn],tblDaily[EntryDate],DATE(2026,4,17),tblDaily[WardCode],"CW")),"")</f>
        <v/>
      </c>
      <c r="G140" s="12">
        <f>IFERROR(IF(SUMIFS(tblDaily[TransfersOut],tblDaily[EntryDate],DATE(2026,4,17),tblDaily[WardCode],"CW")=0,"",SUMIFS(tblDaily[TransfersOut],tblDaily[EntryDate],DATE(2026,4,17),tblDaily[WardCode],"CW")),"")</f>
        <v/>
      </c>
      <c r="H140" s="12">
        <f>IFERROR(IF(SUMIFS(tblDaily[Remaining],tblDaily[EntryDate],DATE(2026,4,17),tblDaily[WardCode],"CW")=0,"",SUMIFS(tblDaily[Remaining],tblDaily[EntryDate],DATE(2026,4,17),tblDaily[WardCode],"CW")),"")</f>
        <v/>
      </c>
    </row>
    <row r="141">
      <c r="A141" s="12" t="n">
        <v>18</v>
      </c>
      <c r="B141" s="12">
        <f>IFERROR(IF(SUMIFS(tblDaily[Admissions],tblDaily[EntryDate],DATE(2026,4,18),tblDaily[WardCode],"CW")=0,"",SUMIFS(tblDaily[Admissions],tblDaily[EntryDate],DATE(2026,4,18),tblDaily[WardCode],"CW")),"")</f>
        <v/>
      </c>
      <c r="C141" s="12">
        <f>IFERROR(IF(SUMIFS(tblDaily[Discharges],tblDaily[EntryDate],DATE(2026,4,18),tblDaily[WardCode],"CW")=0,"",SUMIFS(tblDaily[Discharges],tblDaily[EntryDate],DATE(2026,4,18),tblDaily[WardCode],"CW")),"")</f>
        <v/>
      </c>
      <c r="D141" s="12">
        <f>IFERROR(IF(SUMIFS(tblDaily[Deaths],tblDaily[EntryDate],DATE(2026,4,18),tblDaily[WardCode],"CW")=0,"",SUMIFS(tblDaily[Deaths],tblDaily[EntryDate],DATE(2026,4,18),tblDaily[WardCode],"CW")),"")</f>
        <v/>
      </c>
      <c r="E141" s="12">
        <f>IFERROR(IF(SUMIFS(tblDaily[DeathsUnder24Hrs],tblDaily[EntryDate],DATE(2026,4,18),tblDaily[WardCode],"CW")=0,"",SUMIFS(tblDaily[DeathsUnder24Hrs],tblDaily[EntryDate],DATE(2026,4,18),tblDaily[WardCode],"CW")),"")</f>
        <v/>
      </c>
      <c r="F141" s="12">
        <f>IFERROR(IF(SUMIFS(tblDaily[TransfersIn],tblDaily[EntryDate],DATE(2026,4,18),tblDaily[WardCode],"CW")=0,"",SUMIFS(tblDaily[TransfersIn],tblDaily[EntryDate],DATE(2026,4,18),tblDaily[WardCode],"CW")),"")</f>
        <v/>
      </c>
      <c r="G141" s="12">
        <f>IFERROR(IF(SUMIFS(tblDaily[TransfersOut],tblDaily[EntryDate],DATE(2026,4,18),tblDaily[WardCode],"CW")=0,"",SUMIFS(tblDaily[TransfersOut],tblDaily[EntryDate],DATE(2026,4,18),tblDaily[WardCode],"CW")),"")</f>
        <v/>
      </c>
      <c r="H141" s="12">
        <f>IFERROR(IF(SUMIFS(tblDaily[Remaining],tblDaily[EntryDate],DATE(2026,4,18),tblDaily[WardCode],"CW")=0,"",SUMIFS(tblDaily[Remaining],tblDaily[EntryDate],DATE(2026,4,18),tblDaily[WardCode],"CW")),"")</f>
        <v/>
      </c>
    </row>
    <row r="142">
      <c r="A142" s="12" t="n">
        <v>19</v>
      </c>
      <c r="B142" s="12">
        <f>IFERROR(IF(SUMIFS(tblDaily[Admissions],tblDaily[EntryDate],DATE(2026,4,19),tblDaily[WardCode],"CW")=0,"",SUMIFS(tblDaily[Admissions],tblDaily[EntryDate],DATE(2026,4,19),tblDaily[WardCode],"CW")),"")</f>
        <v/>
      </c>
      <c r="C142" s="12">
        <f>IFERROR(IF(SUMIFS(tblDaily[Discharges],tblDaily[EntryDate],DATE(2026,4,19),tblDaily[WardCode],"CW")=0,"",SUMIFS(tblDaily[Discharges],tblDaily[EntryDate],DATE(2026,4,19),tblDaily[WardCode],"CW")),"")</f>
        <v/>
      </c>
      <c r="D142" s="12">
        <f>IFERROR(IF(SUMIFS(tblDaily[Deaths],tblDaily[EntryDate],DATE(2026,4,19),tblDaily[WardCode],"CW")=0,"",SUMIFS(tblDaily[Deaths],tblDaily[EntryDate],DATE(2026,4,19),tblDaily[WardCode],"CW")),"")</f>
        <v/>
      </c>
      <c r="E142" s="12">
        <f>IFERROR(IF(SUMIFS(tblDaily[DeathsUnder24Hrs],tblDaily[EntryDate],DATE(2026,4,19),tblDaily[WardCode],"CW")=0,"",SUMIFS(tblDaily[DeathsUnder24Hrs],tblDaily[EntryDate],DATE(2026,4,19),tblDaily[WardCode],"CW")),"")</f>
        <v/>
      </c>
      <c r="F142" s="12">
        <f>IFERROR(IF(SUMIFS(tblDaily[TransfersIn],tblDaily[EntryDate],DATE(2026,4,19),tblDaily[WardCode],"CW")=0,"",SUMIFS(tblDaily[TransfersIn],tblDaily[EntryDate],DATE(2026,4,19),tblDaily[WardCode],"CW")),"")</f>
        <v/>
      </c>
      <c r="G142" s="12">
        <f>IFERROR(IF(SUMIFS(tblDaily[TransfersOut],tblDaily[EntryDate],DATE(2026,4,19),tblDaily[WardCode],"CW")=0,"",SUMIFS(tblDaily[TransfersOut],tblDaily[EntryDate],DATE(2026,4,19),tblDaily[WardCode],"CW")),"")</f>
        <v/>
      </c>
      <c r="H142" s="12">
        <f>IFERROR(IF(SUMIFS(tblDaily[Remaining],tblDaily[EntryDate],DATE(2026,4,19),tblDaily[WardCode],"CW")=0,"",SUMIFS(tblDaily[Remaining],tblDaily[EntryDate],DATE(2026,4,19),tblDaily[WardCode],"CW")),"")</f>
        <v/>
      </c>
    </row>
    <row r="143">
      <c r="A143" s="12" t="n">
        <v>20</v>
      </c>
      <c r="B143" s="12">
        <f>IFERROR(IF(SUMIFS(tblDaily[Admissions],tblDaily[EntryDate],DATE(2026,4,20),tblDaily[WardCode],"CW")=0,"",SUMIFS(tblDaily[Admissions],tblDaily[EntryDate],DATE(2026,4,20),tblDaily[WardCode],"CW")),"")</f>
        <v/>
      </c>
      <c r="C143" s="12">
        <f>IFERROR(IF(SUMIFS(tblDaily[Discharges],tblDaily[EntryDate],DATE(2026,4,20),tblDaily[WardCode],"CW")=0,"",SUMIFS(tblDaily[Discharges],tblDaily[EntryDate],DATE(2026,4,20),tblDaily[WardCode],"CW")),"")</f>
        <v/>
      </c>
      <c r="D143" s="12">
        <f>IFERROR(IF(SUMIFS(tblDaily[Deaths],tblDaily[EntryDate],DATE(2026,4,20),tblDaily[WardCode],"CW")=0,"",SUMIFS(tblDaily[Deaths],tblDaily[EntryDate],DATE(2026,4,20),tblDaily[WardCode],"CW")),"")</f>
        <v/>
      </c>
      <c r="E143" s="12">
        <f>IFERROR(IF(SUMIFS(tblDaily[DeathsUnder24Hrs],tblDaily[EntryDate],DATE(2026,4,20),tblDaily[WardCode],"CW")=0,"",SUMIFS(tblDaily[DeathsUnder24Hrs],tblDaily[EntryDate],DATE(2026,4,20),tblDaily[WardCode],"CW")),"")</f>
        <v/>
      </c>
      <c r="F143" s="12">
        <f>IFERROR(IF(SUMIFS(tblDaily[TransfersIn],tblDaily[EntryDate],DATE(2026,4,20),tblDaily[WardCode],"CW")=0,"",SUMIFS(tblDaily[TransfersIn],tblDaily[EntryDate],DATE(2026,4,20),tblDaily[WardCode],"CW")),"")</f>
        <v/>
      </c>
      <c r="G143" s="12">
        <f>IFERROR(IF(SUMIFS(tblDaily[TransfersOut],tblDaily[EntryDate],DATE(2026,4,20),tblDaily[WardCode],"CW")=0,"",SUMIFS(tblDaily[TransfersOut],tblDaily[EntryDate],DATE(2026,4,20),tblDaily[WardCode],"CW")),"")</f>
        <v/>
      </c>
      <c r="H143" s="12">
        <f>IFERROR(IF(SUMIFS(tblDaily[Remaining],tblDaily[EntryDate],DATE(2026,4,20),tblDaily[WardCode],"CW")=0,"",SUMIFS(tblDaily[Remaining],tblDaily[EntryDate],DATE(2026,4,20),tblDaily[WardCode],"CW")),"")</f>
        <v/>
      </c>
    </row>
    <row r="144">
      <c r="A144" s="12" t="n">
        <v>21</v>
      </c>
      <c r="B144" s="12">
        <f>IFERROR(IF(SUMIFS(tblDaily[Admissions],tblDaily[EntryDate],DATE(2026,4,21),tblDaily[WardCode],"CW")=0,"",SUMIFS(tblDaily[Admissions],tblDaily[EntryDate],DATE(2026,4,21),tblDaily[WardCode],"CW")),"")</f>
        <v/>
      </c>
      <c r="C144" s="12">
        <f>IFERROR(IF(SUMIFS(tblDaily[Discharges],tblDaily[EntryDate],DATE(2026,4,21),tblDaily[WardCode],"CW")=0,"",SUMIFS(tblDaily[Discharges],tblDaily[EntryDate],DATE(2026,4,21),tblDaily[WardCode],"CW")),"")</f>
        <v/>
      </c>
      <c r="D144" s="12">
        <f>IFERROR(IF(SUMIFS(tblDaily[Deaths],tblDaily[EntryDate],DATE(2026,4,21),tblDaily[WardCode],"CW")=0,"",SUMIFS(tblDaily[Deaths],tblDaily[EntryDate],DATE(2026,4,21),tblDaily[WardCode],"CW")),"")</f>
        <v/>
      </c>
      <c r="E144" s="12">
        <f>IFERROR(IF(SUMIFS(tblDaily[DeathsUnder24Hrs],tblDaily[EntryDate],DATE(2026,4,21),tblDaily[WardCode],"CW")=0,"",SUMIFS(tblDaily[DeathsUnder24Hrs],tblDaily[EntryDate],DATE(2026,4,21),tblDaily[WardCode],"CW")),"")</f>
        <v/>
      </c>
      <c r="F144" s="12">
        <f>IFERROR(IF(SUMIFS(tblDaily[TransfersIn],tblDaily[EntryDate],DATE(2026,4,21),tblDaily[WardCode],"CW")=0,"",SUMIFS(tblDaily[TransfersIn],tblDaily[EntryDate],DATE(2026,4,21),tblDaily[WardCode],"CW")),"")</f>
        <v/>
      </c>
      <c r="G144" s="12">
        <f>IFERROR(IF(SUMIFS(tblDaily[TransfersOut],tblDaily[EntryDate],DATE(2026,4,21),tblDaily[WardCode],"CW")=0,"",SUMIFS(tblDaily[TransfersOut],tblDaily[EntryDate],DATE(2026,4,21),tblDaily[WardCode],"CW")),"")</f>
        <v/>
      </c>
      <c r="H144" s="12">
        <f>IFERROR(IF(SUMIFS(tblDaily[Remaining],tblDaily[EntryDate],DATE(2026,4,21),tblDaily[WardCode],"CW")=0,"",SUMIFS(tblDaily[Remaining],tblDaily[EntryDate],DATE(2026,4,21),tblDaily[WardCode],"CW")),"")</f>
        <v/>
      </c>
    </row>
    <row r="145">
      <c r="A145" s="12" t="n">
        <v>22</v>
      </c>
      <c r="B145" s="12">
        <f>IFERROR(IF(SUMIFS(tblDaily[Admissions],tblDaily[EntryDate],DATE(2026,4,22),tblDaily[WardCode],"CW")=0,"",SUMIFS(tblDaily[Admissions],tblDaily[EntryDate],DATE(2026,4,22),tblDaily[WardCode],"CW")),"")</f>
        <v/>
      </c>
      <c r="C145" s="12">
        <f>IFERROR(IF(SUMIFS(tblDaily[Discharges],tblDaily[EntryDate],DATE(2026,4,22),tblDaily[WardCode],"CW")=0,"",SUMIFS(tblDaily[Discharges],tblDaily[EntryDate],DATE(2026,4,22),tblDaily[WardCode],"CW")),"")</f>
        <v/>
      </c>
      <c r="D145" s="12">
        <f>IFERROR(IF(SUMIFS(tblDaily[Deaths],tblDaily[EntryDate],DATE(2026,4,22),tblDaily[WardCode],"CW")=0,"",SUMIFS(tblDaily[Deaths],tblDaily[EntryDate],DATE(2026,4,22),tblDaily[WardCode],"CW")),"")</f>
        <v/>
      </c>
      <c r="E145" s="12">
        <f>IFERROR(IF(SUMIFS(tblDaily[DeathsUnder24Hrs],tblDaily[EntryDate],DATE(2026,4,22),tblDaily[WardCode],"CW")=0,"",SUMIFS(tblDaily[DeathsUnder24Hrs],tblDaily[EntryDate],DATE(2026,4,22),tblDaily[WardCode],"CW")),"")</f>
        <v/>
      </c>
      <c r="F145" s="12">
        <f>IFERROR(IF(SUMIFS(tblDaily[TransfersIn],tblDaily[EntryDate],DATE(2026,4,22),tblDaily[WardCode],"CW")=0,"",SUMIFS(tblDaily[TransfersIn],tblDaily[EntryDate],DATE(2026,4,22),tblDaily[WardCode],"CW")),"")</f>
        <v/>
      </c>
      <c r="G145" s="12">
        <f>IFERROR(IF(SUMIFS(tblDaily[TransfersOut],tblDaily[EntryDate],DATE(2026,4,22),tblDaily[WardCode],"CW")=0,"",SUMIFS(tblDaily[TransfersOut],tblDaily[EntryDate],DATE(2026,4,22),tblDaily[WardCode],"CW")),"")</f>
        <v/>
      </c>
      <c r="H145" s="12">
        <f>IFERROR(IF(SUMIFS(tblDaily[Remaining],tblDaily[EntryDate],DATE(2026,4,22),tblDaily[WardCode],"CW")=0,"",SUMIFS(tblDaily[Remaining],tblDaily[EntryDate],DATE(2026,4,22),tblDaily[WardCode],"CW")),"")</f>
        <v/>
      </c>
    </row>
    <row r="146">
      <c r="A146" s="12" t="n">
        <v>23</v>
      </c>
      <c r="B146" s="12">
        <f>IFERROR(IF(SUMIFS(tblDaily[Admissions],tblDaily[EntryDate],DATE(2026,4,23),tblDaily[WardCode],"CW")=0,"",SUMIFS(tblDaily[Admissions],tblDaily[EntryDate],DATE(2026,4,23),tblDaily[WardCode],"CW")),"")</f>
        <v/>
      </c>
      <c r="C146" s="12">
        <f>IFERROR(IF(SUMIFS(tblDaily[Discharges],tblDaily[EntryDate],DATE(2026,4,23),tblDaily[WardCode],"CW")=0,"",SUMIFS(tblDaily[Discharges],tblDaily[EntryDate],DATE(2026,4,23),tblDaily[WardCode],"CW")),"")</f>
        <v/>
      </c>
      <c r="D146" s="12">
        <f>IFERROR(IF(SUMIFS(tblDaily[Deaths],tblDaily[EntryDate],DATE(2026,4,23),tblDaily[WardCode],"CW")=0,"",SUMIFS(tblDaily[Deaths],tblDaily[EntryDate],DATE(2026,4,23),tblDaily[WardCode],"CW")),"")</f>
        <v/>
      </c>
      <c r="E146" s="12">
        <f>IFERROR(IF(SUMIFS(tblDaily[DeathsUnder24Hrs],tblDaily[EntryDate],DATE(2026,4,23),tblDaily[WardCode],"CW")=0,"",SUMIFS(tblDaily[DeathsUnder24Hrs],tblDaily[EntryDate],DATE(2026,4,23),tblDaily[WardCode],"CW")),"")</f>
        <v/>
      </c>
      <c r="F146" s="12">
        <f>IFERROR(IF(SUMIFS(tblDaily[TransfersIn],tblDaily[EntryDate],DATE(2026,4,23),tblDaily[WardCode],"CW")=0,"",SUMIFS(tblDaily[TransfersIn],tblDaily[EntryDate],DATE(2026,4,23),tblDaily[WardCode],"CW")),"")</f>
        <v/>
      </c>
      <c r="G146" s="12">
        <f>IFERROR(IF(SUMIFS(tblDaily[TransfersOut],tblDaily[EntryDate],DATE(2026,4,23),tblDaily[WardCode],"CW")=0,"",SUMIFS(tblDaily[TransfersOut],tblDaily[EntryDate],DATE(2026,4,23),tblDaily[WardCode],"CW")),"")</f>
        <v/>
      </c>
      <c r="H146" s="12">
        <f>IFERROR(IF(SUMIFS(tblDaily[Remaining],tblDaily[EntryDate],DATE(2026,4,23),tblDaily[WardCode],"CW")=0,"",SUMIFS(tblDaily[Remaining],tblDaily[EntryDate],DATE(2026,4,23),tblDaily[WardCode],"CW")),"")</f>
        <v/>
      </c>
    </row>
    <row r="147">
      <c r="A147" s="12" t="n">
        <v>24</v>
      </c>
      <c r="B147" s="12">
        <f>IFERROR(IF(SUMIFS(tblDaily[Admissions],tblDaily[EntryDate],DATE(2026,4,24),tblDaily[WardCode],"CW")=0,"",SUMIFS(tblDaily[Admissions],tblDaily[EntryDate],DATE(2026,4,24),tblDaily[WardCode],"CW")),"")</f>
        <v/>
      </c>
      <c r="C147" s="12">
        <f>IFERROR(IF(SUMIFS(tblDaily[Discharges],tblDaily[EntryDate],DATE(2026,4,24),tblDaily[WardCode],"CW")=0,"",SUMIFS(tblDaily[Discharges],tblDaily[EntryDate],DATE(2026,4,24),tblDaily[WardCode],"CW")),"")</f>
        <v/>
      </c>
      <c r="D147" s="12">
        <f>IFERROR(IF(SUMIFS(tblDaily[Deaths],tblDaily[EntryDate],DATE(2026,4,24),tblDaily[WardCode],"CW")=0,"",SUMIFS(tblDaily[Deaths],tblDaily[EntryDate],DATE(2026,4,24),tblDaily[WardCode],"CW")),"")</f>
        <v/>
      </c>
      <c r="E147" s="12">
        <f>IFERROR(IF(SUMIFS(tblDaily[DeathsUnder24Hrs],tblDaily[EntryDate],DATE(2026,4,24),tblDaily[WardCode],"CW")=0,"",SUMIFS(tblDaily[DeathsUnder24Hrs],tblDaily[EntryDate],DATE(2026,4,24),tblDaily[WardCode],"CW")),"")</f>
        <v/>
      </c>
      <c r="F147" s="12">
        <f>IFERROR(IF(SUMIFS(tblDaily[TransfersIn],tblDaily[EntryDate],DATE(2026,4,24),tblDaily[WardCode],"CW")=0,"",SUMIFS(tblDaily[TransfersIn],tblDaily[EntryDate],DATE(2026,4,24),tblDaily[WardCode],"CW")),"")</f>
        <v/>
      </c>
      <c r="G147" s="12">
        <f>IFERROR(IF(SUMIFS(tblDaily[TransfersOut],tblDaily[EntryDate],DATE(2026,4,24),tblDaily[WardCode],"CW")=0,"",SUMIFS(tblDaily[TransfersOut],tblDaily[EntryDate],DATE(2026,4,24),tblDaily[WardCode],"CW")),"")</f>
        <v/>
      </c>
      <c r="H147" s="12">
        <f>IFERROR(IF(SUMIFS(tblDaily[Remaining],tblDaily[EntryDate],DATE(2026,4,24),tblDaily[WardCode],"CW")=0,"",SUMIFS(tblDaily[Remaining],tblDaily[EntryDate],DATE(2026,4,24),tblDaily[WardCode],"CW")),"")</f>
        <v/>
      </c>
    </row>
    <row r="148">
      <c r="A148" s="12" t="n">
        <v>25</v>
      </c>
      <c r="B148" s="12">
        <f>IFERROR(IF(SUMIFS(tblDaily[Admissions],tblDaily[EntryDate],DATE(2026,4,25),tblDaily[WardCode],"CW")=0,"",SUMIFS(tblDaily[Admissions],tblDaily[EntryDate],DATE(2026,4,25),tblDaily[WardCode],"CW")),"")</f>
        <v/>
      </c>
      <c r="C148" s="12">
        <f>IFERROR(IF(SUMIFS(tblDaily[Discharges],tblDaily[EntryDate],DATE(2026,4,25),tblDaily[WardCode],"CW")=0,"",SUMIFS(tblDaily[Discharges],tblDaily[EntryDate],DATE(2026,4,25),tblDaily[WardCode],"CW")),"")</f>
        <v/>
      </c>
      <c r="D148" s="12">
        <f>IFERROR(IF(SUMIFS(tblDaily[Deaths],tblDaily[EntryDate],DATE(2026,4,25),tblDaily[WardCode],"CW")=0,"",SUMIFS(tblDaily[Deaths],tblDaily[EntryDate],DATE(2026,4,25),tblDaily[WardCode],"CW")),"")</f>
        <v/>
      </c>
      <c r="E148" s="12">
        <f>IFERROR(IF(SUMIFS(tblDaily[DeathsUnder24Hrs],tblDaily[EntryDate],DATE(2026,4,25),tblDaily[WardCode],"CW")=0,"",SUMIFS(tblDaily[DeathsUnder24Hrs],tblDaily[EntryDate],DATE(2026,4,25),tblDaily[WardCode],"CW")),"")</f>
        <v/>
      </c>
      <c r="F148" s="12">
        <f>IFERROR(IF(SUMIFS(tblDaily[TransfersIn],tblDaily[EntryDate],DATE(2026,4,25),tblDaily[WardCode],"CW")=0,"",SUMIFS(tblDaily[TransfersIn],tblDaily[EntryDate],DATE(2026,4,25),tblDaily[WardCode],"CW")),"")</f>
        <v/>
      </c>
      <c r="G148" s="12">
        <f>IFERROR(IF(SUMIFS(tblDaily[TransfersOut],tblDaily[EntryDate],DATE(2026,4,25),tblDaily[WardCode],"CW")=0,"",SUMIFS(tblDaily[TransfersOut],tblDaily[EntryDate],DATE(2026,4,25),tblDaily[WardCode],"CW")),"")</f>
        <v/>
      </c>
      <c r="H148" s="12">
        <f>IFERROR(IF(SUMIFS(tblDaily[Remaining],tblDaily[EntryDate],DATE(2026,4,25),tblDaily[WardCode],"CW")=0,"",SUMIFS(tblDaily[Remaining],tblDaily[EntryDate],DATE(2026,4,25),tblDaily[WardCode],"CW")),"")</f>
        <v/>
      </c>
    </row>
    <row r="149">
      <c r="A149" s="12" t="n">
        <v>26</v>
      </c>
      <c r="B149" s="12">
        <f>IFERROR(IF(SUMIFS(tblDaily[Admissions],tblDaily[EntryDate],DATE(2026,4,26),tblDaily[WardCode],"CW")=0,"",SUMIFS(tblDaily[Admissions],tblDaily[EntryDate],DATE(2026,4,26),tblDaily[WardCode],"CW")),"")</f>
        <v/>
      </c>
      <c r="C149" s="12">
        <f>IFERROR(IF(SUMIFS(tblDaily[Discharges],tblDaily[EntryDate],DATE(2026,4,26),tblDaily[WardCode],"CW")=0,"",SUMIFS(tblDaily[Discharges],tblDaily[EntryDate],DATE(2026,4,26),tblDaily[WardCode],"CW")),"")</f>
        <v/>
      </c>
      <c r="D149" s="12">
        <f>IFERROR(IF(SUMIFS(tblDaily[Deaths],tblDaily[EntryDate],DATE(2026,4,26),tblDaily[WardCode],"CW")=0,"",SUMIFS(tblDaily[Deaths],tblDaily[EntryDate],DATE(2026,4,26),tblDaily[WardCode],"CW")),"")</f>
        <v/>
      </c>
      <c r="E149" s="12">
        <f>IFERROR(IF(SUMIFS(tblDaily[DeathsUnder24Hrs],tblDaily[EntryDate],DATE(2026,4,26),tblDaily[WardCode],"CW")=0,"",SUMIFS(tblDaily[DeathsUnder24Hrs],tblDaily[EntryDate],DATE(2026,4,26),tblDaily[WardCode],"CW")),"")</f>
        <v/>
      </c>
      <c r="F149" s="12">
        <f>IFERROR(IF(SUMIFS(tblDaily[TransfersIn],tblDaily[EntryDate],DATE(2026,4,26),tblDaily[WardCode],"CW")=0,"",SUMIFS(tblDaily[TransfersIn],tblDaily[EntryDate],DATE(2026,4,26),tblDaily[WardCode],"CW")),"")</f>
        <v/>
      </c>
      <c r="G149" s="12">
        <f>IFERROR(IF(SUMIFS(tblDaily[TransfersOut],tblDaily[EntryDate],DATE(2026,4,26),tblDaily[WardCode],"CW")=0,"",SUMIFS(tblDaily[TransfersOut],tblDaily[EntryDate],DATE(2026,4,26),tblDaily[WardCode],"CW")),"")</f>
        <v/>
      </c>
      <c r="H149" s="12">
        <f>IFERROR(IF(SUMIFS(tblDaily[Remaining],tblDaily[EntryDate],DATE(2026,4,26),tblDaily[WardCode],"CW")=0,"",SUMIFS(tblDaily[Remaining],tblDaily[EntryDate],DATE(2026,4,26),tblDaily[WardCode],"CW")),"")</f>
        <v/>
      </c>
    </row>
    <row r="150">
      <c r="A150" s="12" t="n">
        <v>27</v>
      </c>
      <c r="B150" s="12">
        <f>IFERROR(IF(SUMIFS(tblDaily[Admissions],tblDaily[EntryDate],DATE(2026,4,27),tblDaily[WardCode],"CW")=0,"",SUMIFS(tblDaily[Admissions],tblDaily[EntryDate],DATE(2026,4,27),tblDaily[WardCode],"CW")),"")</f>
        <v/>
      </c>
      <c r="C150" s="12">
        <f>IFERROR(IF(SUMIFS(tblDaily[Discharges],tblDaily[EntryDate],DATE(2026,4,27),tblDaily[WardCode],"CW")=0,"",SUMIFS(tblDaily[Discharges],tblDaily[EntryDate],DATE(2026,4,27),tblDaily[WardCode],"CW")),"")</f>
        <v/>
      </c>
      <c r="D150" s="12">
        <f>IFERROR(IF(SUMIFS(tblDaily[Deaths],tblDaily[EntryDate],DATE(2026,4,27),tblDaily[WardCode],"CW")=0,"",SUMIFS(tblDaily[Deaths],tblDaily[EntryDate],DATE(2026,4,27),tblDaily[WardCode],"CW")),"")</f>
        <v/>
      </c>
      <c r="E150" s="12">
        <f>IFERROR(IF(SUMIFS(tblDaily[DeathsUnder24Hrs],tblDaily[EntryDate],DATE(2026,4,27),tblDaily[WardCode],"CW")=0,"",SUMIFS(tblDaily[DeathsUnder24Hrs],tblDaily[EntryDate],DATE(2026,4,27),tblDaily[WardCode],"CW")),"")</f>
        <v/>
      </c>
      <c r="F150" s="12">
        <f>IFERROR(IF(SUMIFS(tblDaily[TransfersIn],tblDaily[EntryDate],DATE(2026,4,27),tblDaily[WardCode],"CW")=0,"",SUMIFS(tblDaily[TransfersIn],tblDaily[EntryDate],DATE(2026,4,27),tblDaily[WardCode],"CW")),"")</f>
        <v/>
      </c>
      <c r="G150" s="12">
        <f>IFERROR(IF(SUMIFS(tblDaily[TransfersOut],tblDaily[EntryDate],DATE(2026,4,27),tblDaily[WardCode],"CW")=0,"",SUMIFS(tblDaily[TransfersOut],tblDaily[EntryDate],DATE(2026,4,27),tblDaily[WardCode],"CW")),"")</f>
        <v/>
      </c>
      <c r="H150" s="12">
        <f>IFERROR(IF(SUMIFS(tblDaily[Remaining],tblDaily[EntryDate],DATE(2026,4,27),tblDaily[WardCode],"CW")=0,"",SUMIFS(tblDaily[Remaining],tblDaily[EntryDate],DATE(2026,4,27),tblDaily[WardCode],"CW")),"")</f>
        <v/>
      </c>
    </row>
    <row r="151">
      <c r="A151" s="12" t="n">
        <v>28</v>
      </c>
      <c r="B151" s="12">
        <f>IFERROR(IF(SUMIFS(tblDaily[Admissions],tblDaily[EntryDate],DATE(2026,4,28),tblDaily[WardCode],"CW")=0,"",SUMIFS(tblDaily[Admissions],tblDaily[EntryDate],DATE(2026,4,28),tblDaily[WardCode],"CW")),"")</f>
        <v/>
      </c>
      <c r="C151" s="12">
        <f>IFERROR(IF(SUMIFS(tblDaily[Discharges],tblDaily[EntryDate],DATE(2026,4,28),tblDaily[WardCode],"CW")=0,"",SUMIFS(tblDaily[Discharges],tblDaily[EntryDate],DATE(2026,4,28),tblDaily[WardCode],"CW")),"")</f>
        <v/>
      </c>
      <c r="D151" s="12">
        <f>IFERROR(IF(SUMIFS(tblDaily[Deaths],tblDaily[EntryDate],DATE(2026,4,28),tblDaily[WardCode],"CW")=0,"",SUMIFS(tblDaily[Deaths],tblDaily[EntryDate],DATE(2026,4,28),tblDaily[WardCode],"CW")),"")</f>
        <v/>
      </c>
      <c r="E151" s="12">
        <f>IFERROR(IF(SUMIFS(tblDaily[DeathsUnder24Hrs],tblDaily[EntryDate],DATE(2026,4,28),tblDaily[WardCode],"CW")=0,"",SUMIFS(tblDaily[DeathsUnder24Hrs],tblDaily[EntryDate],DATE(2026,4,28),tblDaily[WardCode],"CW")),"")</f>
        <v/>
      </c>
      <c r="F151" s="12">
        <f>IFERROR(IF(SUMIFS(tblDaily[TransfersIn],tblDaily[EntryDate],DATE(2026,4,28),tblDaily[WardCode],"CW")=0,"",SUMIFS(tblDaily[TransfersIn],tblDaily[EntryDate],DATE(2026,4,28),tblDaily[WardCode],"CW")),"")</f>
        <v/>
      </c>
      <c r="G151" s="12">
        <f>IFERROR(IF(SUMIFS(tblDaily[TransfersOut],tblDaily[EntryDate],DATE(2026,4,28),tblDaily[WardCode],"CW")=0,"",SUMIFS(tblDaily[TransfersOut],tblDaily[EntryDate],DATE(2026,4,28),tblDaily[WardCode],"CW")),"")</f>
        <v/>
      </c>
      <c r="H151" s="12">
        <f>IFERROR(IF(SUMIFS(tblDaily[Remaining],tblDaily[EntryDate],DATE(2026,4,28),tblDaily[WardCode],"CW")=0,"",SUMIFS(tblDaily[Remaining],tblDaily[EntryDate],DATE(2026,4,28),tblDaily[WardCode],"CW")),"")</f>
        <v/>
      </c>
    </row>
    <row r="152">
      <c r="A152" s="12" t="n">
        <v>29</v>
      </c>
      <c r="B152" s="12">
        <f>IFERROR(IF(SUMIFS(tblDaily[Admissions],tblDaily[EntryDate],DATE(2026,4,29),tblDaily[WardCode],"CW")=0,"",SUMIFS(tblDaily[Admissions],tblDaily[EntryDate],DATE(2026,4,29),tblDaily[WardCode],"CW")),"")</f>
        <v/>
      </c>
      <c r="C152" s="12">
        <f>IFERROR(IF(SUMIFS(tblDaily[Discharges],tblDaily[EntryDate],DATE(2026,4,29),tblDaily[WardCode],"CW")=0,"",SUMIFS(tblDaily[Discharges],tblDaily[EntryDate],DATE(2026,4,29),tblDaily[WardCode],"CW")),"")</f>
        <v/>
      </c>
      <c r="D152" s="12">
        <f>IFERROR(IF(SUMIFS(tblDaily[Deaths],tblDaily[EntryDate],DATE(2026,4,29),tblDaily[WardCode],"CW")=0,"",SUMIFS(tblDaily[Deaths],tblDaily[EntryDate],DATE(2026,4,29),tblDaily[WardCode],"CW")),"")</f>
        <v/>
      </c>
      <c r="E152" s="12">
        <f>IFERROR(IF(SUMIFS(tblDaily[DeathsUnder24Hrs],tblDaily[EntryDate],DATE(2026,4,29),tblDaily[WardCode],"CW")=0,"",SUMIFS(tblDaily[DeathsUnder24Hrs],tblDaily[EntryDate],DATE(2026,4,29),tblDaily[WardCode],"CW")),"")</f>
        <v/>
      </c>
      <c r="F152" s="12">
        <f>IFERROR(IF(SUMIFS(tblDaily[TransfersIn],tblDaily[EntryDate],DATE(2026,4,29),tblDaily[WardCode],"CW")=0,"",SUMIFS(tblDaily[TransfersIn],tblDaily[EntryDate],DATE(2026,4,29),tblDaily[WardCode],"CW")),"")</f>
        <v/>
      </c>
      <c r="G152" s="12">
        <f>IFERROR(IF(SUMIFS(tblDaily[TransfersOut],tblDaily[EntryDate],DATE(2026,4,29),tblDaily[WardCode],"CW")=0,"",SUMIFS(tblDaily[TransfersOut],tblDaily[EntryDate],DATE(2026,4,29),tblDaily[WardCode],"CW")),"")</f>
        <v/>
      </c>
      <c r="H152" s="12">
        <f>IFERROR(IF(SUMIFS(tblDaily[Remaining],tblDaily[EntryDate],DATE(2026,4,29),tblDaily[WardCode],"CW")=0,"",SUMIFS(tblDaily[Remaining],tblDaily[EntryDate],DATE(2026,4,29),tblDaily[WardCode],"CW")),"")</f>
        <v/>
      </c>
    </row>
    <row r="153">
      <c r="A153" s="12" t="n">
        <v>30</v>
      </c>
      <c r="B153" s="12">
        <f>IFERROR(IF(SUMIFS(tblDaily[Admissions],tblDaily[EntryDate],DATE(2026,4,30),tblDaily[WardCode],"CW")=0,"",SUMIFS(tblDaily[Admissions],tblDaily[EntryDate],DATE(2026,4,30),tblDaily[WardCode],"CW")),"")</f>
        <v/>
      </c>
      <c r="C153" s="12">
        <f>IFERROR(IF(SUMIFS(tblDaily[Discharges],tblDaily[EntryDate],DATE(2026,4,30),tblDaily[WardCode],"CW")=0,"",SUMIFS(tblDaily[Discharges],tblDaily[EntryDate],DATE(2026,4,30),tblDaily[WardCode],"CW")),"")</f>
        <v/>
      </c>
      <c r="D153" s="12">
        <f>IFERROR(IF(SUMIFS(tblDaily[Deaths],tblDaily[EntryDate],DATE(2026,4,30),tblDaily[WardCode],"CW")=0,"",SUMIFS(tblDaily[Deaths],tblDaily[EntryDate],DATE(2026,4,30),tblDaily[WardCode],"CW")),"")</f>
        <v/>
      </c>
      <c r="E153" s="12">
        <f>IFERROR(IF(SUMIFS(tblDaily[DeathsUnder24Hrs],tblDaily[EntryDate],DATE(2026,4,30),tblDaily[WardCode],"CW")=0,"",SUMIFS(tblDaily[DeathsUnder24Hrs],tblDaily[EntryDate],DATE(2026,4,30),tblDaily[WardCode],"CW")),"")</f>
        <v/>
      </c>
      <c r="F153" s="12">
        <f>IFERROR(IF(SUMIFS(tblDaily[TransfersIn],tblDaily[EntryDate],DATE(2026,4,30),tblDaily[WardCode],"CW")=0,"",SUMIFS(tblDaily[TransfersIn],tblDaily[EntryDate],DATE(2026,4,30),tblDaily[WardCode],"CW")),"")</f>
        <v/>
      </c>
      <c r="G153" s="12">
        <f>IFERROR(IF(SUMIFS(tblDaily[TransfersOut],tblDaily[EntryDate],DATE(2026,4,30),tblDaily[WardCode],"CW")=0,"",SUMIFS(tblDaily[TransfersOut],tblDaily[EntryDate],DATE(2026,4,30),tblDaily[WardCode],"CW")),"")</f>
        <v/>
      </c>
      <c r="H153" s="12">
        <f>IFERROR(IF(SUMIFS(tblDaily[Remaining],tblDaily[EntryDate],DATE(2026,4,30),tblDaily[WardCode],"CW")=0,"",SUMIFS(tblDaily[Remaining],tblDaily[EntryDate],DATE(2026,4,30),tblDaily[WardCode],"CW")),"")</f>
        <v/>
      </c>
    </row>
    <row r="154">
      <c r="A154" s="12" t="n">
        <v>31</v>
      </c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7" t="inlineStr">
        <is>
          <t>TOTAL</t>
        </is>
      </c>
      <c r="B155" s="17">
        <f>SUMIFS(tblDaily[Admissions],tblDaily[Month],4,tblDaily[WardCode],"CW") - SUMIFS(tblDaily[DeathsUnder24Hrs],tblDaily[Month],4,tblDaily[WardCode],"CW")</f>
        <v/>
      </c>
      <c r="C155" s="17">
        <f>SUMIFS(tblDaily[Discharges],tblDaily[Month],4,tblDaily[WardCode],"CW")</f>
        <v/>
      </c>
      <c r="D155" s="17">
        <f>SUMIFS(tblDaily[Deaths],tblDaily[Month],4,tblDaily[WardCode],"CW")</f>
        <v/>
      </c>
      <c r="E155" s="17">
        <f>SUMIFS(tblDaily[DeathsUnder24Hrs],tblDaily[Month],4,tblDaily[WardCode],"CW")</f>
        <v/>
      </c>
      <c r="F155" s="17">
        <f>SUMIFS(tblDaily[TransfersIn],tblDaily[Month],4,tblDaily[WardCode],"CW")</f>
        <v/>
      </c>
      <c r="G155" s="17">
        <f>SUMIFS(tblDaily[TransfersOut],tblDaily[Month],4,tblDaily[WardCode],"CW")</f>
        <v/>
      </c>
      <c r="H155" s="17">
        <f>SUMIFS(tblDaily[Remaining],tblDaily[Month],4,tblDaily[WardCode],"CW")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PAEDIATRIC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4">
        <f>IFERROR(SUMIFS(tblDaily[Remaining],tblDaily[EntryDate],DATE(2026,4,30),tblDaily[WardCode],"CW"),0)</f>
        <v/>
      </c>
    </row>
    <row r="161">
      <c r="A161" s="4" t="inlineStr">
        <is>
          <t>Bed complement</t>
        </is>
      </c>
      <c r="H161" s="15">
        <f>IFERROR(INDEX(tblWardConfig[BedComplement],MATCH("CW",tblWardConfig[WardCode],0)),0)</f>
        <v/>
      </c>
    </row>
    <row r="162">
      <c r="A162" s="16" t="inlineStr">
        <is>
          <t>Day of
the
Month</t>
        </is>
      </c>
      <c r="B162" s="16" t="inlineStr">
        <is>
          <t>Admissions</t>
        </is>
      </c>
      <c r="C162" s="16" t="inlineStr">
        <is>
          <t>Discharges</t>
        </is>
      </c>
      <c r="D162" s="16" t="inlineStr">
        <is>
          <t>Deaths</t>
        </is>
      </c>
      <c r="E162" s="16" t="inlineStr">
        <is>
          <t>Deaths
&lt;24Hrs</t>
        </is>
      </c>
      <c r="F162" s="16" t="inlineStr">
        <is>
          <t>Transfers-
In</t>
        </is>
      </c>
      <c r="G162" s="16" t="inlineStr">
        <is>
          <t>Transfers-
Out</t>
        </is>
      </c>
      <c r="H162" s="16" t="inlineStr">
        <is>
          <t>No. of Patients
Remaining In
Ward</t>
        </is>
      </c>
    </row>
    <row r="163">
      <c r="A163" s="12" t="n">
        <v>1</v>
      </c>
      <c r="B163" s="12">
        <f>IFERROR(IF(SUMIFS(tblDaily[Admissions],tblDaily[EntryDate],DATE(2026,5,1),tblDaily[WardCode],"CW")=0,"",SUMIFS(tblDaily[Admissions],tblDaily[EntryDate],DATE(2026,5,1),tblDaily[WardCode],"CW")),"")</f>
        <v/>
      </c>
      <c r="C163" s="12">
        <f>IFERROR(IF(SUMIFS(tblDaily[Discharges],tblDaily[EntryDate],DATE(2026,5,1),tblDaily[WardCode],"CW")=0,"",SUMIFS(tblDaily[Discharges],tblDaily[EntryDate],DATE(2026,5,1),tblDaily[WardCode],"CW")),"")</f>
        <v/>
      </c>
      <c r="D163" s="12">
        <f>IFERROR(IF(SUMIFS(tblDaily[Deaths],tblDaily[EntryDate],DATE(2026,5,1),tblDaily[WardCode],"CW")=0,"",SUMIFS(tblDaily[Deaths],tblDaily[EntryDate],DATE(2026,5,1),tblDaily[WardCode],"CW")),"")</f>
        <v/>
      </c>
      <c r="E163" s="12">
        <f>IFERROR(IF(SUMIFS(tblDaily[DeathsUnder24Hrs],tblDaily[EntryDate],DATE(2026,5,1),tblDaily[WardCode],"CW")=0,"",SUMIFS(tblDaily[DeathsUnder24Hrs],tblDaily[EntryDate],DATE(2026,5,1),tblDaily[WardCode],"CW")),"")</f>
        <v/>
      </c>
      <c r="F163" s="12">
        <f>IFERROR(IF(SUMIFS(tblDaily[TransfersIn],tblDaily[EntryDate],DATE(2026,5,1),tblDaily[WardCode],"CW")=0,"",SUMIFS(tblDaily[TransfersIn],tblDaily[EntryDate],DATE(2026,5,1),tblDaily[WardCode],"CW")),"")</f>
        <v/>
      </c>
      <c r="G163" s="12">
        <f>IFERROR(IF(SUMIFS(tblDaily[TransfersOut],tblDaily[EntryDate],DATE(2026,5,1),tblDaily[WardCode],"CW")=0,"",SUMIFS(tblDaily[TransfersOut],tblDaily[EntryDate],DATE(2026,5,1),tblDaily[WardCode],"CW")),"")</f>
        <v/>
      </c>
      <c r="H163" s="12">
        <f>IFERROR(IF(SUMIFS(tblDaily[Remaining],tblDaily[EntryDate],DATE(2026,5,1),tblDaily[WardCode],"CW")=0,"",SUMIFS(tblDaily[Remaining],tblDaily[EntryDate],DATE(2026,5,1),tblDaily[WardCode],"CW")),"")</f>
        <v/>
      </c>
    </row>
    <row r="164">
      <c r="A164" s="12" t="n">
        <v>2</v>
      </c>
      <c r="B164" s="12">
        <f>IFERROR(IF(SUMIFS(tblDaily[Admissions],tblDaily[EntryDate],DATE(2026,5,2),tblDaily[WardCode],"CW")=0,"",SUMIFS(tblDaily[Admissions],tblDaily[EntryDate],DATE(2026,5,2),tblDaily[WardCode],"CW")),"")</f>
        <v/>
      </c>
      <c r="C164" s="12">
        <f>IFERROR(IF(SUMIFS(tblDaily[Discharges],tblDaily[EntryDate],DATE(2026,5,2),tblDaily[WardCode],"CW")=0,"",SUMIFS(tblDaily[Discharges],tblDaily[EntryDate],DATE(2026,5,2),tblDaily[WardCode],"CW")),"")</f>
        <v/>
      </c>
      <c r="D164" s="12">
        <f>IFERROR(IF(SUMIFS(tblDaily[Deaths],tblDaily[EntryDate],DATE(2026,5,2),tblDaily[WardCode],"CW")=0,"",SUMIFS(tblDaily[Deaths],tblDaily[EntryDate],DATE(2026,5,2),tblDaily[WardCode],"CW")),"")</f>
        <v/>
      </c>
      <c r="E164" s="12">
        <f>IFERROR(IF(SUMIFS(tblDaily[DeathsUnder24Hrs],tblDaily[EntryDate],DATE(2026,5,2),tblDaily[WardCode],"CW")=0,"",SUMIFS(tblDaily[DeathsUnder24Hrs],tblDaily[EntryDate],DATE(2026,5,2),tblDaily[WardCode],"CW")),"")</f>
        <v/>
      </c>
      <c r="F164" s="12">
        <f>IFERROR(IF(SUMIFS(tblDaily[TransfersIn],tblDaily[EntryDate],DATE(2026,5,2),tblDaily[WardCode],"CW")=0,"",SUMIFS(tblDaily[TransfersIn],tblDaily[EntryDate],DATE(2026,5,2),tblDaily[WardCode],"CW")),"")</f>
        <v/>
      </c>
      <c r="G164" s="12">
        <f>IFERROR(IF(SUMIFS(tblDaily[TransfersOut],tblDaily[EntryDate],DATE(2026,5,2),tblDaily[WardCode],"CW")=0,"",SUMIFS(tblDaily[TransfersOut],tblDaily[EntryDate],DATE(2026,5,2),tblDaily[WardCode],"CW")),"")</f>
        <v/>
      </c>
      <c r="H164" s="12">
        <f>IFERROR(IF(SUMIFS(tblDaily[Remaining],tblDaily[EntryDate],DATE(2026,5,2),tblDaily[WardCode],"CW")=0,"",SUMIFS(tblDaily[Remaining],tblDaily[EntryDate],DATE(2026,5,2),tblDaily[WardCode],"CW")),"")</f>
        <v/>
      </c>
    </row>
    <row r="165">
      <c r="A165" s="12" t="n">
        <v>3</v>
      </c>
      <c r="B165" s="12">
        <f>IFERROR(IF(SUMIFS(tblDaily[Admissions],tblDaily[EntryDate],DATE(2026,5,3),tblDaily[WardCode],"CW")=0,"",SUMIFS(tblDaily[Admissions],tblDaily[EntryDate],DATE(2026,5,3),tblDaily[WardCode],"CW")),"")</f>
        <v/>
      </c>
      <c r="C165" s="12">
        <f>IFERROR(IF(SUMIFS(tblDaily[Discharges],tblDaily[EntryDate],DATE(2026,5,3),tblDaily[WardCode],"CW")=0,"",SUMIFS(tblDaily[Discharges],tblDaily[EntryDate],DATE(2026,5,3),tblDaily[WardCode],"CW")),"")</f>
        <v/>
      </c>
      <c r="D165" s="12">
        <f>IFERROR(IF(SUMIFS(tblDaily[Deaths],tblDaily[EntryDate],DATE(2026,5,3),tblDaily[WardCode],"CW")=0,"",SUMIFS(tblDaily[Deaths],tblDaily[EntryDate],DATE(2026,5,3),tblDaily[WardCode],"CW")),"")</f>
        <v/>
      </c>
      <c r="E165" s="12">
        <f>IFERROR(IF(SUMIFS(tblDaily[DeathsUnder24Hrs],tblDaily[EntryDate],DATE(2026,5,3),tblDaily[WardCode],"CW")=0,"",SUMIFS(tblDaily[DeathsUnder24Hrs],tblDaily[EntryDate],DATE(2026,5,3),tblDaily[WardCode],"CW")),"")</f>
        <v/>
      </c>
      <c r="F165" s="12">
        <f>IFERROR(IF(SUMIFS(tblDaily[TransfersIn],tblDaily[EntryDate],DATE(2026,5,3),tblDaily[WardCode],"CW")=0,"",SUMIFS(tblDaily[TransfersIn],tblDaily[EntryDate],DATE(2026,5,3),tblDaily[WardCode],"CW")),"")</f>
        <v/>
      </c>
      <c r="G165" s="12">
        <f>IFERROR(IF(SUMIFS(tblDaily[TransfersOut],tblDaily[EntryDate],DATE(2026,5,3),tblDaily[WardCode],"CW")=0,"",SUMIFS(tblDaily[TransfersOut],tblDaily[EntryDate],DATE(2026,5,3),tblDaily[WardCode],"CW")),"")</f>
        <v/>
      </c>
      <c r="H165" s="12">
        <f>IFERROR(IF(SUMIFS(tblDaily[Remaining],tblDaily[EntryDate],DATE(2026,5,3),tblDaily[WardCode],"CW")=0,"",SUMIFS(tblDaily[Remaining],tblDaily[EntryDate],DATE(2026,5,3),tblDaily[WardCode],"CW")),"")</f>
        <v/>
      </c>
    </row>
    <row r="166">
      <c r="A166" s="12" t="n">
        <v>4</v>
      </c>
      <c r="B166" s="12">
        <f>IFERROR(IF(SUMIFS(tblDaily[Admissions],tblDaily[EntryDate],DATE(2026,5,4),tblDaily[WardCode],"CW")=0,"",SUMIFS(tblDaily[Admissions],tblDaily[EntryDate],DATE(2026,5,4),tblDaily[WardCode],"CW")),"")</f>
        <v/>
      </c>
      <c r="C166" s="12">
        <f>IFERROR(IF(SUMIFS(tblDaily[Discharges],tblDaily[EntryDate],DATE(2026,5,4),tblDaily[WardCode],"CW")=0,"",SUMIFS(tblDaily[Discharges],tblDaily[EntryDate],DATE(2026,5,4),tblDaily[WardCode],"CW")),"")</f>
        <v/>
      </c>
      <c r="D166" s="12">
        <f>IFERROR(IF(SUMIFS(tblDaily[Deaths],tblDaily[EntryDate],DATE(2026,5,4),tblDaily[WardCode],"CW")=0,"",SUMIFS(tblDaily[Deaths],tblDaily[EntryDate],DATE(2026,5,4),tblDaily[WardCode],"CW")),"")</f>
        <v/>
      </c>
      <c r="E166" s="12">
        <f>IFERROR(IF(SUMIFS(tblDaily[DeathsUnder24Hrs],tblDaily[EntryDate],DATE(2026,5,4),tblDaily[WardCode],"CW")=0,"",SUMIFS(tblDaily[DeathsUnder24Hrs],tblDaily[EntryDate],DATE(2026,5,4),tblDaily[WardCode],"CW")),"")</f>
        <v/>
      </c>
      <c r="F166" s="12">
        <f>IFERROR(IF(SUMIFS(tblDaily[TransfersIn],tblDaily[EntryDate],DATE(2026,5,4),tblDaily[WardCode],"CW")=0,"",SUMIFS(tblDaily[TransfersIn],tblDaily[EntryDate],DATE(2026,5,4),tblDaily[WardCode],"CW")),"")</f>
        <v/>
      </c>
      <c r="G166" s="12">
        <f>IFERROR(IF(SUMIFS(tblDaily[TransfersOut],tblDaily[EntryDate],DATE(2026,5,4),tblDaily[WardCode],"CW")=0,"",SUMIFS(tblDaily[TransfersOut],tblDaily[EntryDate],DATE(2026,5,4),tblDaily[WardCode],"CW")),"")</f>
        <v/>
      </c>
      <c r="H166" s="12">
        <f>IFERROR(IF(SUMIFS(tblDaily[Remaining],tblDaily[EntryDate],DATE(2026,5,4),tblDaily[WardCode],"CW")=0,"",SUMIFS(tblDaily[Remaining],tblDaily[EntryDate],DATE(2026,5,4),tblDaily[WardCode],"CW")),"")</f>
        <v/>
      </c>
    </row>
    <row r="167">
      <c r="A167" s="12" t="n">
        <v>5</v>
      </c>
      <c r="B167" s="12">
        <f>IFERROR(IF(SUMIFS(tblDaily[Admissions],tblDaily[EntryDate],DATE(2026,5,5),tblDaily[WardCode],"CW")=0,"",SUMIFS(tblDaily[Admissions],tblDaily[EntryDate],DATE(2026,5,5),tblDaily[WardCode],"CW")),"")</f>
        <v/>
      </c>
      <c r="C167" s="12">
        <f>IFERROR(IF(SUMIFS(tblDaily[Discharges],tblDaily[EntryDate],DATE(2026,5,5),tblDaily[WardCode],"CW")=0,"",SUMIFS(tblDaily[Discharges],tblDaily[EntryDate],DATE(2026,5,5),tblDaily[WardCode],"CW")),"")</f>
        <v/>
      </c>
      <c r="D167" s="12">
        <f>IFERROR(IF(SUMIFS(tblDaily[Deaths],tblDaily[EntryDate],DATE(2026,5,5),tblDaily[WardCode],"CW")=0,"",SUMIFS(tblDaily[Deaths],tblDaily[EntryDate],DATE(2026,5,5),tblDaily[WardCode],"CW")),"")</f>
        <v/>
      </c>
      <c r="E167" s="12">
        <f>IFERROR(IF(SUMIFS(tblDaily[DeathsUnder24Hrs],tblDaily[EntryDate],DATE(2026,5,5),tblDaily[WardCode],"CW")=0,"",SUMIFS(tblDaily[DeathsUnder24Hrs],tblDaily[EntryDate],DATE(2026,5,5),tblDaily[WardCode],"CW")),"")</f>
        <v/>
      </c>
      <c r="F167" s="12">
        <f>IFERROR(IF(SUMIFS(tblDaily[TransfersIn],tblDaily[EntryDate],DATE(2026,5,5),tblDaily[WardCode],"CW")=0,"",SUMIFS(tblDaily[TransfersIn],tblDaily[EntryDate],DATE(2026,5,5),tblDaily[WardCode],"CW")),"")</f>
        <v/>
      </c>
      <c r="G167" s="12">
        <f>IFERROR(IF(SUMIFS(tblDaily[TransfersOut],tblDaily[EntryDate],DATE(2026,5,5),tblDaily[WardCode],"CW")=0,"",SUMIFS(tblDaily[TransfersOut],tblDaily[EntryDate],DATE(2026,5,5),tblDaily[WardCode],"CW")),"")</f>
        <v/>
      </c>
      <c r="H167" s="12">
        <f>IFERROR(IF(SUMIFS(tblDaily[Remaining],tblDaily[EntryDate],DATE(2026,5,5),tblDaily[WardCode],"CW")=0,"",SUMIFS(tblDaily[Remaining],tblDaily[EntryDate],DATE(2026,5,5),tblDaily[WardCode],"CW")),"")</f>
        <v/>
      </c>
    </row>
    <row r="168">
      <c r="A168" s="12" t="n">
        <v>6</v>
      </c>
      <c r="B168" s="12">
        <f>IFERROR(IF(SUMIFS(tblDaily[Admissions],tblDaily[EntryDate],DATE(2026,5,6),tblDaily[WardCode],"CW")=0,"",SUMIFS(tblDaily[Admissions],tblDaily[EntryDate],DATE(2026,5,6),tblDaily[WardCode],"CW")),"")</f>
        <v/>
      </c>
      <c r="C168" s="12">
        <f>IFERROR(IF(SUMIFS(tblDaily[Discharges],tblDaily[EntryDate],DATE(2026,5,6),tblDaily[WardCode],"CW")=0,"",SUMIFS(tblDaily[Discharges],tblDaily[EntryDate],DATE(2026,5,6),tblDaily[WardCode],"CW")),"")</f>
        <v/>
      </c>
      <c r="D168" s="12">
        <f>IFERROR(IF(SUMIFS(tblDaily[Deaths],tblDaily[EntryDate],DATE(2026,5,6),tblDaily[WardCode],"CW")=0,"",SUMIFS(tblDaily[Deaths],tblDaily[EntryDate],DATE(2026,5,6),tblDaily[WardCode],"CW")),"")</f>
        <v/>
      </c>
      <c r="E168" s="12">
        <f>IFERROR(IF(SUMIFS(tblDaily[DeathsUnder24Hrs],tblDaily[EntryDate],DATE(2026,5,6),tblDaily[WardCode],"CW")=0,"",SUMIFS(tblDaily[DeathsUnder24Hrs],tblDaily[EntryDate],DATE(2026,5,6),tblDaily[WardCode],"CW")),"")</f>
        <v/>
      </c>
      <c r="F168" s="12">
        <f>IFERROR(IF(SUMIFS(tblDaily[TransfersIn],tblDaily[EntryDate],DATE(2026,5,6),tblDaily[WardCode],"CW")=0,"",SUMIFS(tblDaily[TransfersIn],tblDaily[EntryDate],DATE(2026,5,6),tblDaily[WardCode],"CW")),"")</f>
        <v/>
      </c>
      <c r="G168" s="12">
        <f>IFERROR(IF(SUMIFS(tblDaily[TransfersOut],tblDaily[EntryDate],DATE(2026,5,6),tblDaily[WardCode],"CW")=0,"",SUMIFS(tblDaily[TransfersOut],tblDaily[EntryDate],DATE(2026,5,6),tblDaily[WardCode],"CW")),"")</f>
        <v/>
      </c>
      <c r="H168" s="12">
        <f>IFERROR(IF(SUMIFS(tblDaily[Remaining],tblDaily[EntryDate],DATE(2026,5,6),tblDaily[WardCode],"CW")=0,"",SUMIFS(tblDaily[Remaining],tblDaily[EntryDate],DATE(2026,5,6),tblDaily[WardCode],"CW")),"")</f>
        <v/>
      </c>
    </row>
    <row r="169">
      <c r="A169" s="12" t="n">
        <v>7</v>
      </c>
      <c r="B169" s="12">
        <f>IFERROR(IF(SUMIFS(tblDaily[Admissions],tblDaily[EntryDate],DATE(2026,5,7),tblDaily[WardCode],"CW")=0,"",SUMIFS(tblDaily[Admissions],tblDaily[EntryDate],DATE(2026,5,7),tblDaily[WardCode],"CW")),"")</f>
        <v/>
      </c>
      <c r="C169" s="12">
        <f>IFERROR(IF(SUMIFS(tblDaily[Discharges],tblDaily[EntryDate],DATE(2026,5,7),tblDaily[WardCode],"CW")=0,"",SUMIFS(tblDaily[Discharges],tblDaily[EntryDate],DATE(2026,5,7),tblDaily[WardCode],"CW")),"")</f>
        <v/>
      </c>
      <c r="D169" s="12">
        <f>IFERROR(IF(SUMIFS(tblDaily[Deaths],tblDaily[EntryDate],DATE(2026,5,7),tblDaily[WardCode],"CW")=0,"",SUMIFS(tblDaily[Deaths],tblDaily[EntryDate],DATE(2026,5,7),tblDaily[WardCode],"CW")),"")</f>
        <v/>
      </c>
      <c r="E169" s="12">
        <f>IFERROR(IF(SUMIFS(tblDaily[DeathsUnder24Hrs],tblDaily[EntryDate],DATE(2026,5,7),tblDaily[WardCode],"CW")=0,"",SUMIFS(tblDaily[DeathsUnder24Hrs],tblDaily[EntryDate],DATE(2026,5,7),tblDaily[WardCode],"CW")),"")</f>
        <v/>
      </c>
      <c r="F169" s="12">
        <f>IFERROR(IF(SUMIFS(tblDaily[TransfersIn],tblDaily[EntryDate],DATE(2026,5,7),tblDaily[WardCode],"CW")=0,"",SUMIFS(tblDaily[TransfersIn],tblDaily[EntryDate],DATE(2026,5,7),tblDaily[WardCode],"CW")),"")</f>
        <v/>
      </c>
      <c r="G169" s="12">
        <f>IFERROR(IF(SUMIFS(tblDaily[TransfersOut],tblDaily[EntryDate],DATE(2026,5,7),tblDaily[WardCode],"CW")=0,"",SUMIFS(tblDaily[TransfersOut],tblDaily[EntryDate],DATE(2026,5,7),tblDaily[WardCode],"CW")),"")</f>
        <v/>
      </c>
      <c r="H169" s="12">
        <f>IFERROR(IF(SUMIFS(tblDaily[Remaining],tblDaily[EntryDate],DATE(2026,5,7),tblDaily[WardCode],"CW")=0,"",SUMIFS(tblDaily[Remaining],tblDaily[EntryDate],DATE(2026,5,7),tblDaily[WardCode],"CW")),"")</f>
        <v/>
      </c>
    </row>
    <row r="170">
      <c r="A170" s="12" t="n">
        <v>8</v>
      </c>
      <c r="B170" s="12">
        <f>IFERROR(IF(SUMIFS(tblDaily[Admissions],tblDaily[EntryDate],DATE(2026,5,8),tblDaily[WardCode],"CW")=0,"",SUMIFS(tblDaily[Admissions],tblDaily[EntryDate],DATE(2026,5,8),tblDaily[WardCode],"CW")),"")</f>
        <v/>
      </c>
      <c r="C170" s="12">
        <f>IFERROR(IF(SUMIFS(tblDaily[Discharges],tblDaily[EntryDate],DATE(2026,5,8),tblDaily[WardCode],"CW")=0,"",SUMIFS(tblDaily[Discharges],tblDaily[EntryDate],DATE(2026,5,8),tblDaily[WardCode],"CW")),"")</f>
        <v/>
      </c>
      <c r="D170" s="12">
        <f>IFERROR(IF(SUMIFS(tblDaily[Deaths],tblDaily[EntryDate],DATE(2026,5,8),tblDaily[WardCode],"CW")=0,"",SUMIFS(tblDaily[Deaths],tblDaily[EntryDate],DATE(2026,5,8),tblDaily[WardCode],"CW")),"")</f>
        <v/>
      </c>
      <c r="E170" s="12">
        <f>IFERROR(IF(SUMIFS(tblDaily[DeathsUnder24Hrs],tblDaily[EntryDate],DATE(2026,5,8),tblDaily[WardCode],"CW")=0,"",SUMIFS(tblDaily[DeathsUnder24Hrs],tblDaily[EntryDate],DATE(2026,5,8),tblDaily[WardCode],"CW")),"")</f>
        <v/>
      </c>
      <c r="F170" s="12">
        <f>IFERROR(IF(SUMIFS(tblDaily[TransfersIn],tblDaily[EntryDate],DATE(2026,5,8),tblDaily[WardCode],"CW")=0,"",SUMIFS(tblDaily[TransfersIn],tblDaily[EntryDate],DATE(2026,5,8),tblDaily[WardCode],"CW")),"")</f>
        <v/>
      </c>
      <c r="G170" s="12">
        <f>IFERROR(IF(SUMIFS(tblDaily[TransfersOut],tblDaily[EntryDate],DATE(2026,5,8),tblDaily[WardCode],"CW")=0,"",SUMIFS(tblDaily[TransfersOut],tblDaily[EntryDate],DATE(2026,5,8),tblDaily[WardCode],"CW")),"")</f>
        <v/>
      </c>
      <c r="H170" s="12">
        <f>IFERROR(IF(SUMIFS(tblDaily[Remaining],tblDaily[EntryDate],DATE(2026,5,8),tblDaily[WardCode],"CW")=0,"",SUMIFS(tblDaily[Remaining],tblDaily[EntryDate],DATE(2026,5,8),tblDaily[WardCode],"CW")),"")</f>
        <v/>
      </c>
    </row>
    <row r="171">
      <c r="A171" s="12" t="n">
        <v>9</v>
      </c>
      <c r="B171" s="12">
        <f>IFERROR(IF(SUMIFS(tblDaily[Admissions],tblDaily[EntryDate],DATE(2026,5,9),tblDaily[WardCode],"CW")=0,"",SUMIFS(tblDaily[Admissions],tblDaily[EntryDate],DATE(2026,5,9),tblDaily[WardCode],"CW")),"")</f>
        <v/>
      </c>
      <c r="C171" s="12">
        <f>IFERROR(IF(SUMIFS(tblDaily[Discharges],tblDaily[EntryDate],DATE(2026,5,9),tblDaily[WardCode],"CW")=0,"",SUMIFS(tblDaily[Discharges],tblDaily[EntryDate],DATE(2026,5,9),tblDaily[WardCode],"CW")),"")</f>
        <v/>
      </c>
      <c r="D171" s="12">
        <f>IFERROR(IF(SUMIFS(tblDaily[Deaths],tblDaily[EntryDate],DATE(2026,5,9),tblDaily[WardCode],"CW")=0,"",SUMIFS(tblDaily[Deaths],tblDaily[EntryDate],DATE(2026,5,9),tblDaily[WardCode],"CW")),"")</f>
        <v/>
      </c>
      <c r="E171" s="12">
        <f>IFERROR(IF(SUMIFS(tblDaily[DeathsUnder24Hrs],tblDaily[EntryDate],DATE(2026,5,9),tblDaily[WardCode],"CW")=0,"",SUMIFS(tblDaily[DeathsUnder24Hrs],tblDaily[EntryDate],DATE(2026,5,9),tblDaily[WardCode],"CW")),"")</f>
        <v/>
      </c>
      <c r="F171" s="12">
        <f>IFERROR(IF(SUMIFS(tblDaily[TransfersIn],tblDaily[EntryDate],DATE(2026,5,9),tblDaily[WardCode],"CW")=0,"",SUMIFS(tblDaily[TransfersIn],tblDaily[EntryDate],DATE(2026,5,9),tblDaily[WardCode],"CW")),"")</f>
        <v/>
      </c>
      <c r="G171" s="12">
        <f>IFERROR(IF(SUMIFS(tblDaily[TransfersOut],tblDaily[EntryDate],DATE(2026,5,9),tblDaily[WardCode],"CW")=0,"",SUMIFS(tblDaily[TransfersOut],tblDaily[EntryDate],DATE(2026,5,9),tblDaily[WardCode],"CW")),"")</f>
        <v/>
      </c>
      <c r="H171" s="12">
        <f>IFERROR(IF(SUMIFS(tblDaily[Remaining],tblDaily[EntryDate],DATE(2026,5,9),tblDaily[WardCode],"CW")=0,"",SUMIFS(tblDaily[Remaining],tblDaily[EntryDate],DATE(2026,5,9),tblDaily[WardCode],"CW")),"")</f>
        <v/>
      </c>
    </row>
    <row r="172">
      <c r="A172" s="12" t="n">
        <v>10</v>
      </c>
      <c r="B172" s="12">
        <f>IFERROR(IF(SUMIFS(tblDaily[Admissions],tblDaily[EntryDate],DATE(2026,5,10),tblDaily[WardCode],"CW")=0,"",SUMIFS(tblDaily[Admissions],tblDaily[EntryDate],DATE(2026,5,10),tblDaily[WardCode],"CW")),"")</f>
        <v/>
      </c>
      <c r="C172" s="12">
        <f>IFERROR(IF(SUMIFS(tblDaily[Discharges],tblDaily[EntryDate],DATE(2026,5,10),tblDaily[WardCode],"CW")=0,"",SUMIFS(tblDaily[Discharges],tblDaily[EntryDate],DATE(2026,5,10),tblDaily[WardCode],"CW")),"")</f>
        <v/>
      </c>
      <c r="D172" s="12">
        <f>IFERROR(IF(SUMIFS(tblDaily[Deaths],tblDaily[EntryDate],DATE(2026,5,10),tblDaily[WardCode],"CW")=0,"",SUMIFS(tblDaily[Deaths],tblDaily[EntryDate],DATE(2026,5,10),tblDaily[WardCode],"CW")),"")</f>
        <v/>
      </c>
      <c r="E172" s="12">
        <f>IFERROR(IF(SUMIFS(tblDaily[DeathsUnder24Hrs],tblDaily[EntryDate],DATE(2026,5,10),tblDaily[WardCode],"CW")=0,"",SUMIFS(tblDaily[DeathsUnder24Hrs],tblDaily[EntryDate],DATE(2026,5,10),tblDaily[WardCode],"CW")),"")</f>
        <v/>
      </c>
      <c r="F172" s="12">
        <f>IFERROR(IF(SUMIFS(tblDaily[TransfersIn],tblDaily[EntryDate],DATE(2026,5,10),tblDaily[WardCode],"CW")=0,"",SUMIFS(tblDaily[TransfersIn],tblDaily[EntryDate],DATE(2026,5,10),tblDaily[WardCode],"CW")),"")</f>
        <v/>
      </c>
      <c r="G172" s="12">
        <f>IFERROR(IF(SUMIFS(tblDaily[TransfersOut],tblDaily[EntryDate],DATE(2026,5,10),tblDaily[WardCode],"CW")=0,"",SUMIFS(tblDaily[TransfersOut],tblDaily[EntryDate],DATE(2026,5,10),tblDaily[WardCode],"CW")),"")</f>
        <v/>
      </c>
      <c r="H172" s="12">
        <f>IFERROR(IF(SUMIFS(tblDaily[Remaining],tblDaily[EntryDate],DATE(2026,5,10),tblDaily[WardCode],"CW")=0,"",SUMIFS(tblDaily[Remaining],tblDaily[EntryDate],DATE(2026,5,10),tblDaily[WardCode],"CW")),"")</f>
        <v/>
      </c>
    </row>
    <row r="173">
      <c r="A173" s="12" t="n">
        <v>11</v>
      </c>
      <c r="B173" s="12">
        <f>IFERROR(IF(SUMIFS(tblDaily[Admissions],tblDaily[EntryDate],DATE(2026,5,11),tblDaily[WardCode],"CW")=0,"",SUMIFS(tblDaily[Admissions],tblDaily[EntryDate],DATE(2026,5,11),tblDaily[WardCode],"CW")),"")</f>
        <v/>
      </c>
      <c r="C173" s="12">
        <f>IFERROR(IF(SUMIFS(tblDaily[Discharges],tblDaily[EntryDate],DATE(2026,5,11),tblDaily[WardCode],"CW")=0,"",SUMIFS(tblDaily[Discharges],tblDaily[EntryDate],DATE(2026,5,11),tblDaily[WardCode],"CW")),"")</f>
        <v/>
      </c>
      <c r="D173" s="12">
        <f>IFERROR(IF(SUMIFS(tblDaily[Deaths],tblDaily[EntryDate],DATE(2026,5,11),tblDaily[WardCode],"CW")=0,"",SUMIFS(tblDaily[Deaths],tblDaily[EntryDate],DATE(2026,5,11),tblDaily[WardCode],"CW")),"")</f>
        <v/>
      </c>
      <c r="E173" s="12">
        <f>IFERROR(IF(SUMIFS(tblDaily[DeathsUnder24Hrs],tblDaily[EntryDate],DATE(2026,5,11),tblDaily[WardCode],"CW")=0,"",SUMIFS(tblDaily[DeathsUnder24Hrs],tblDaily[EntryDate],DATE(2026,5,11),tblDaily[WardCode],"CW")),"")</f>
        <v/>
      </c>
      <c r="F173" s="12">
        <f>IFERROR(IF(SUMIFS(tblDaily[TransfersIn],tblDaily[EntryDate],DATE(2026,5,11),tblDaily[WardCode],"CW")=0,"",SUMIFS(tblDaily[TransfersIn],tblDaily[EntryDate],DATE(2026,5,11),tblDaily[WardCode],"CW")),"")</f>
        <v/>
      </c>
      <c r="G173" s="12">
        <f>IFERROR(IF(SUMIFS(tblDaily[TransfersOut],tblDaily[EntryDate],DATE(2026,5,11),tblDaily[WardCode],"CW")=0,"",SUMIFS(tblDaily[TransfersOut],tblDaily[EntryDate],DATE(2026,5,11),tblDaily[WardCode],"CW")),"")</f>
        <v/>
      </c>
      <c r="H173" s="12">
        <f>IFERROR(IF(SUMIFS(tblDaily[Remaining],tblDaily[EntryDate],DATE(2026,5,11),tblDaily[WardCode],"CW")=0,"",SUMIFS(tblDaily[Remaining],tblDaily[EntryDate],DATE(2026,5,11),tblDaily[WardCode],"CW")),"")</f>
        <v/>
      </c>
    </row>
    <row r="174">
      <c r="A174" s="12" t="n">
        <v>12</v>
      </c>
      <c r="B174" s="12">
        <f>IFERROR(IF(SUMIFS(tblDaily[Admissions],tblDaily[EntryDate],DATE(2026,5,12),tblDaily[WardCode],"CW")=0,"",SUMIFS(tblDaily[Admissions],tblDaily[EntryDate],DATE(2026,5,12),tblDaily[WardCode],"CW")),"")</f>
        <v/>
      </c>
      <c r="C174" s="12">
        <f>IFERROR(IF(SUMIFS(tblDaily[Discharges],tblDaily[EntryDate],DATE(2026,5,12),tblDaily[WardCode],"CW")=0,"",SUMIFS(tblDaily[Discharges],tblDaily[EntryDate],DATE(2026,5,12),tblDaily[WardCode],"CW")),"")</f>
        <v/>
      </c>
      <c r="D174" s="12">
        <f>IFERROR(IF(SUMIFS(tblDaily[Deaths],tblDaily[EntryDate],DATE(2026,5,12),tblDaily[WardCode],"CW")=0,"",SUMIFS(tblDaily[Deaths],tblDaily[EntryDate],DATE(2026,5,12),tblDaily[WardCode],"CW")),"")</f>
        <v/>
      </c>
      <c r="E174" s="12">
        <f>IFERROR(IF(SUMIFS(tblDaily[DeathsUnder24Hrs],tblDaily[EntryDate],DATE(2026,5,12),tblDaily[WardCode],"CW")=0,"",SUMIFS(tblDaily[DeathsUnder24Hrs],tblDaily[EntryDate],DATE(2026,5,12),tblDaily[WardCode],"CW")),"")</f>
        <v/>
      </c>
      <c r="F174" s="12">
        <f>IFERROR(IF(SUMIFS(tblDaily[TransfersIn],tblDaily[EntryDate],DATE(2026,5,12),tblDaily[WardCode],"CW")=0,"",SUMIFS(tblDaily[TransfersIn],tblDaily[EntryDate],DATE(2026,5,12),tblDaily[WardCode],"CW")),"")</f>
        <v/>
      </c>
      <c r="G174" s="12">
        <f>IFERROR(IF(SUMIFS(tblDaily[TransfersOut],tblDaily[EntryDate],DATE(2026,5,12),tblDaily[WardCode],"CW")=0,"",SUMIFS(tblDaily[TransfersOut],tblDaily[EntryDate],DATE(2026,5,12),tblDaily[WardCode],"CW")),"")</f>
        <v/>
      </c>
      <c r="H174" s="12">
        <f>IFERROR(IF(SUMIFS(tblDaily[Remaining],tblDaily[EntryDate],DATE(2026,5,12),tblDaily[WardCode],"CW")=0,"",SUMIFS(tblDaily[Remaining],tblDaily[EntryDate],DATE(2026,5,12),tblDaily[WardCode],"CW")),"")</f>
        <v/>
      </c>
    </row>
    <row r="175">
      <c r="A175" s="12" t="n">
        <v>13</v>
      </c>
      <c r="B175" s="12">
        <f>IFERROR(IF(SUMIFS(tblDaily[Admissions],tblDaily[EntryDate],DATE(2026,5,13),tblDaily[WardCode],"CW")=0,"",SUMIFS(tblDaily[Admissions],tblDaily[EntryDate],DATE(2026,5,13),tblDaily[WardCode],"CW")),"")</f>
        <v/>
      </c>
      <c r="C175" s="12">
        <f>IFERROR(IF(SUMIFS(tblDaily[Discharges],tblDaily[EntryDate],DATE(2026,5,13),tblDaily[WardCode],"CW")=0,"",SUMIFS(tblDaily[Discharges],tblDaily[EntryDate],DATE(2026,5,13),tblDaily[WardCode],"CW")),"")</f>
        <v/>
      </c>
      <c r="D175" s="12">
        <f>IFERROR(IF(SUMIFS(tblDaily[Deaths],tblDaily[EntryDate],DATE(2026,5,13),tblDaily[WardCode],"CW")=0,"",SUMIFS(tblDaily[Deaths],tblDaily[EntryDate],DATE(2026,5,13),tblDaily[WardCode],"CW")),"")</f>
        <v/>
      </c>
      <c r="E175" s="12">
        <f>IFERROR(IF(SUMIFS(tblDaily[DeathsUnder24Hrs],tblDaily[EntryDate],DATE(2026,5,13),tblDaily[WardCode],"CW")=0,"",SUMIFS(tblDaily[DeathsUnder24Hrs],tblDaily[EntryDate],DATE(2026,5,13),tblDaily[WardCode],"CW")),"")</f>
        <v/>
      </c>
      <c r="F175" s="12">
        <f>IFERROR(IF(SUMIFS(tblDaily[TransfersIn],tblDaily[EntryDate],DATE(2026,5,13),tblDaily[WardCode],"CW")=0,"",SUMIFS(tblDaily[TransfersIn],tblDaily[EntryDate],DATE(2026,5,13),tblDaily[WardCode],"CW")),"")</f>
        <v/>
      </c>
      <c r="G175" s="12">
        <f>IFERROR(IF(SUMIFS(tblDaily[TransfersOut],tblDaily[EntryDate],DATE(2026,5,13),tblDaily[WardCode],"CW")=0,"",SUMIFS(tblDaily[TransfersOut],tblDaily[EntryDate],DATE(2026,5,13),tblDaily[WardCode],"CW")),"")</f>
        <v/>
      </c>
      <c r="H175" s="12">
        <f>IFERROR(IF(SUMIFS(tblDaily[Remaining],tblDaily[EntryDate],DATE(2026,5,13),tblDaily[WardCode],"CW")=0,"",SUMIFS(tblDaily[Remaining],tblDaily[EntryDate],DATE(2026,5,13),tblDaily[WardCode],"CW")),"")</f>
        <v/>
      </c>
    </row>
    <row r="176">
      <c r="A176" s="12" t="n">
        <v>14</v>
      </c>
      <c r="B176" s="12">
        <f>IFERROR(IF(SUMIFS(tblDaily[Admissions],tblDaily[EntryDate],DATE(2026,5,14),tblDaily[WardCode],"CW")=0,"",SUMIFS(tblDaily[Admissions],tblDaily[EntryDate],DATE(2026,5,14),tblDaily[WardCode],"CW")),"")</f>
        <v/>
      </c>
      <c r="C176" s="12">
        <f>IFERROR(IF(SUMIFS(tblDaily[Discharges],tblDaily[EntryDate],DATE(2026,5,14),tblDaily[WardCode],"CW")=0,"",SUMIFS(tblDaily[Discharges],tblDaily[EntryDate],DATE(2026,5,14),tblDaily[WardCode],"CW")),"")</f>
        <v/>
      </c>
      <c r="D176" s="12">
        <f>IFERROR(IF(SUMIFS(tblDaily[Deaths],tblDaily[EntryDate],DATE(2026,5,14),tblDaily[WardCode],"CW")=0,"",SUMIFS(tblDaily[Deaths],tblDaily[EntryDate],DATE(2026,5,14),tblDaily[WardCode],"CW")),"")</f>
        <v/>
      </c>
      <c r="E176" s="12">
        <f>IFERROR(IF(SUMIFS(tblDaily[DeathsUnder24Hrs],tblDaily[EntryDate],DATE(2026,5,14),tblDaily[WardCode],"CW")=0,"",SUMIFS(tblDaily[DeathsUnder24Hrs],tblDaily[EntryDate],DATE(2026,5,14),tblDaily[WardCode],"CW")),"")</f>
        <v/>
      </c>
      <c r="F176" s="12">
        <f>IFERROR(IF(SUMIFS(tblDaily[TransfersIn],tblDaily[EntryDate],DATE(2026,5,14),tblDaily[WardCode],"CW")=0,"",SUMIFS(tblDaily[TransfersIn],tblDaily[EntryDate],DATE(2026,5,14),tblDaily[WardCode],"CW")),"")</f>
        <v/>
      </c>
      <c r="G176" s="12">
        <f>IFERROR(IF(SUMIFS(tblDaily[TransfersOut],tblDaily[EntryDate],DATE(2026,5,14),tblDaily[WardCode],"CW")=0,"",SUMIFS(tblDaily[TransfersOut],tblDaily[EntryDate],DATE(2026,5,14),tblDaily[WardCode],"CW")),"")</f>
        <v/>
      </c>
      <c r="H176" s="12">
        <f>IFERROR(IF(SUMIFS(tblDaily[Remaining],tblDaily[EntryDate],DATE(2026,5,14),tblDaily[WardCode],"CW")=0,"",SUMIFS(tblDaily[Remaining],tblDaily[EntryDate],DATE(2026,5,14),tblDaily[WardCode],"CW")),"")</f>
        <v/>
      </c>
    </row>
    <row r="177">
      <c r="A177" s="12" t="n">
        <v>15</v>
      </c>
      <c r="B177" s="12">
        <f>IFERROR(IF(SUMIFS(tblDaily[Admissions],tblDaily[EntryDate],DATE(2026,5,15),tblDaily[WardCode],"CW")=0,"",SUMIFS(tblDaily[Admissions],tblDaily[EntryDate],DATE(2026,5,15),tblDaily[WardCode],"CW")),"")</f>
        <v/>
      </c>
      <c r="C177" s="12">
        <f>IFERROR(IF(SUMIFS(tblDaily[Discharges],tblDaily[EntryDate],DATE(2026,5,15),tblDaily[WardCode],"CW")=0,"",SUMIFS(tblDaily[Discharges],tblDaily[EntryDate],DATE(2026,5,15),tblDaily[WardCode],"CW")),"")</f>
        <v/>
      </c>
      <c r="D177" s="12">
        <f>IFERROR(IF(SUMIFS(tblDaily[Deaths],tblDaily[EntryDate],DATE(2026,5,15),tblDaily[WardCode],"CW")=0,"",SUMIFS(tblDaily[Deaths],tblDaily[EntryDate],DATE(2026,5,15),tblDaily[WardCode],"CW")),"")</f>
        <v/>
      </c>
      <c r="E177" s="12">
        <f>IFERROR(IF(SUMIFS(tblDaily[DeathsUnder24Hrs],tblDaily[EntryDate],DATE(2026,5,15),tblDaily[WardCode],"CW")=0,"",SUMIFS(tblDaily[DeathsUnder24Hrs],tblDaily[EntryDate],DATE(2026,5,15),tblDaily[WardCode],"CW")),"")</f>
        <v/>
      </c>
      <c r="F177" s="12">
        <f>IFERROR(IF(SUMIFS(tblDaily[TransfersIn],tblDaily[EntryDate],DATE(2026,5,15),tblDaily[WardCode],"CW")=0,"",SUMIFS(tblDaily[TransfersIn],tblDaily[EntryDate],DATE(2026,5,15),tblDaily[WardCode],"CW")),"")</f>
        <v/>
      </c>
      <c r="G177" s="12">
        <f>IFERROR(IF(SUMIFS(tblDaily[TransfersOut],tblDaily[EntryDate],DATE(2026,5,15),tblDaily[WardCode],"CW")=0,"",SUMIFS(tblDaily[TransfersOut],tblDaily[EntryDate],DATE(2026,5,15),tblDaily[WardCode],"CW")),"")</f>
        <v/>
      </c>
      <c r="H177" s="12">
        <f>IFERROR(IF(SUMIFS(tblDaily[Remaining],tblDaily[EntryDate],DATE(2026,5,15),tblDaily[WardCode],"CW")=0,"",SUMIFS(tblDaily[Remaining],tblDaily[EntryDate],DATE(2026,5,15),tblDaily[WardCode],"CW")),"")</f>
        <v/>
      </c>
    </row>
    <row r="178">
      <c r="A178" s="12" t="n">
        <v>16</v>
      </c>
      <c r="B178" s="12">
        <f>IFERROR(IF(SUMIFS(tblDaily[Admissions],tblDaily[EntryDate],DATE(2026,5,16),tblDaily[WardCode],"CW")=0,"",SUMIFS(tblDaily[Admissions],tblDaily[EntryDate],DATE(2026,5,16),tblDaily[WardCode],"CW")),"")</f>
        <v/>
      </c>
      <c r="C178" s="12">
        <f>IFERROR(IF(SUMIFS(tblDaily[Discharges],tblDaily[EntryDate],DATE(2026,5,16),tblDaily[WardCode],"CW")=0,"",SUMIFS(tblDaily[Discharges],tblDaily[EntryDate],DATE(2026,5,16),tblDaily[WardCode],"CW")),"")</f>
        <v/>
      </c>
      <c r="D178" s="12">
        <f>IFERROR(IF(SUMIFS(tblDaily[Deaths],tblDaily[EntryDate],DATE(2026,5,16),tblDaily[WardCode],"CW")=0,"",SUMIFS(tblDaily[Deaths],tblDaily[EntryDate],DATE(2026,5,16),tblDaily[WardCode],"CW")),"")</f>
        <v/>
      </c>
      <c r="E178" s="12">
        <f>IFERROR(IF(SUMIFS(tblDaily[DeathsUnder24Hrs],tblDaily[EntryDate],DATE(2026,5,16),tblDaily[WardCode],"CW")=0,"",SUMIFS(tblDaily[DeathsUnder24Hrs],tblDaily[EntryDate],DATE(2026,5,16),tblDaily[WardCode],"CW")),"")</f>
        <v/>
      </c>
      <c r="F178" s="12">
        <f>IFERROR(IF(SUMIFS(tblDaily[TransfersIn],tblDaily[EntryDate],DATE(2026,5,16),tblDaily[WardCode],"CW")=0,"",SUMIFS(tblDaily[TransfersIn],tblDaily[EntryDate],DATE(2026,5,16),tblDaily[WardCode],"CW")),"")</f>
        <v/>
      </c>
      <c r="G178" s="12">
        <f>IFERROR(IF(SUMIFS(tblDaily[TransfersOut],tblDaily[EntryDate],DATE(2026,5,16),tblDaily[WardCode],"CW")=0,"",SUMIFS(tblDaily[TransfersOut],tblDaily[EntryDate],DATE(2026,5,16),tblDaily[WardCode],"CW")),"")</f>
        <v/>
      </c>
      <c r="H178" s="12">
        <f>IFERROR(IF(SUMIFS(tblDaily[Remaining],tblDaily[EntryDate],DATE(2026,5,16),tblDaily[WardCode],"CW")=0,"",SUMIFS(tblDaily[Remaining],tblDaily[EntryDate],DATE(2026,5,16),tblDaily[WardCode],"CW")),"")</f>
        <v/>
      </c>
    </row>
    <row r="179">
      <c r="A179" s="12" t="n">
        <v>17</v>
      </c>
      <c r="B179" s="12">
        <f>IFERROR(IF(SUMIFS(tblDaily[Admissions],tblDaily[EntryDate],DATE(2026,5,17),tblDaily[WardCode],"CW")=0,"",SUMIFS(tblDaily[Admissions],tblDaily[EntryDate],DATE(2026,5,17),tblDaily[WardCode],"CW")),"")</f>
        <v/>
      </c>
      <c r="C179" s="12">
        <f>IFERROR(IF(SUMIFS(tblDaily[Discharges],tblDaily[EntryDate],DATE(2026,5,17),tblDaily[WardCode],"CW")=0,"",SUMIFS(tblDaily[Discharges],tblDaily[EntryDate],DATE(2026,5,17),tblDaily[WardCode],"CW")),"")</f>
        <v/>
      </c>
      <c r="D179" s="12">
        <f>IFERROR(IF(SUMIFS(tblDaily[Deaths],tblDaily[EntryDate],DATE(2026,5,17),tblDaily[WardCode],"CW")=0,"",SUMIFS(tblDaily[Deaths],tblDaily[EntryDate],DATE(2026,5,17),tblDaily[WardCode],"CW")),"")</f>
        <v/>
      </c>
      <c r="E179" s="12">
        <f>IFERROR(IF(SUMIFS(tblDaily[DeathsUnder24Hrs],tblDaily[EntryDate],DATE(2026,5,17),tblDaily[WardCode],"CW")=0,"",SUMIFS(tblDaily[DeathsUnder24Hrs],tblDaily[EntryDate],DATE(2026,5,17),tblDaily[WardCode],"CW")),"")</f>
        <v/>
      </c>
      <c r="F179" s="12">
        <f>IFERROR(IF(SUMIFS(tblDaily[TransfersIn],tblDaily[EntryDate],DATE(2026,5,17),tblDaily[WardCode],"CW")=0,"",SUMIFS(tblDaily[TransfersIn],tblDaily[EntryDate],DATE(2026,5,17),tblDaily[WardCode],"CW")),"")</f>
        <v/>
      </c>
      <c r="G179" s="12">
        <f>IFERROR(IF(SUMIFS(tblDaily[TransfersOut],tblDaily[EntryDate],DATE(2026,5,17),tblDaily[WardCode],"CW")=0,"",SUMIFS(tblDaily[TransfersOut],tblDaily[EntryDate],DATE(2026,5,17),tblDaily[WardCode],"CW")),"")</f>
        <v/>
      </c>
      <c r="H179" s="12">
        <f>IFERROR(IF(SUMIFS(tblDaily[Remaining],tblDaily[EntryDate],DATE(2026,5,17),tblDaily[WardCode],"CW")=0,"",SUMIFS(tblDaily[Remaining],tblDaily[EntryDate],DATE(2026,5,17),tblDaily[WardCode],"CW")),"")</f>
        <v/>
      </c>
    </row>
    <row r="180">
      <c r="A180" s="12" t="n">
        <v>18</v>
      </c>
      <c r="B180" s="12">
        <f>IFERROR(IF(SUMIFS(tblDaily[Admissions],tblDaily[EntryDate],DATE(2026,5,18),tblDaily[WardCode],"CW")=0,"",SUMIFS(tblDaily[Admissions],tblDaily[EntryDate],DATE(2026,5,18),tblDaily[WardCode],"CW")),"")</f>
        <v/>
      </c>
      <c r="C180" s="12">
        <f>IFERROR(IF(SUMIFS(tblDaily[Discharges],tblDaily[EntryDate],DATE(2026,5,18),tblDaily[WardCode],"CW")=0,"",SUMIFS(tblDaily[Discharges],tblDaily[EntryDate],DATE(2026,5,18),tblDaily[WardCode],"CW")),"")</f>
        <v/>
      </c>
      <c r="D180" s="12">
        <f>IFERROR(IF(SUMIFS(tblDaily[Deaths],tblDaily[EntryDate],DATE(2026,5,18),tblDaily[WardCode],"CW")=0,"",SUMIFS(tblDaily[Deaths],tblDaily[EntryDate],DATE(2026,5,18),tblDaily[WardCode],"CW")),"")</f>
        <v/>
      </c>
      <c r="E180" s="12">
        <f>IFERROR(IF(SUMIFS(tblDaily[DeathsUnder24Hrs],tblDaily[EntryDate],DATE(2026,5,18),tblDaily[WardCode],"CW")=0,"",SUMIFS(tblDaily[DeathsUnder24Hrs],tblDaily[EntryDate],DATE(2026,5,18),tblDaily[WardCode],"CW")),"")</f>
        <v/>
      </c>
      <c r="F180" s="12">
        <f>IFERROR(IF(SUMIFS(tblDaily[TransfersIn],tblDaily[EntryDate],DATE(2026,5,18),tblDaily[WardCode],"CW")=0,"",SUMIFS(tblDaily[TransfersIn],tblDaily[EntryDate],DATE(2026,5,18),tblDaily[WardCode],"CW")),"")</f>
        <v/>
      </c>
      <c r="G180" s="12">
        <f>IFERROR(IF(SUMIFS(tblDaily[TransfersOut],tblDaily[EntryDate],DATE(2026,5,18),tblDaily[WardCode],"CW")=0,"",SUMIFS(tblDaily[TransfersOut],tblDaily[EntryDate],DATE(2026,5,18),tblDaily[WardCode],"CW")),"")</f>
        <v/>
      </c>
      <c r="H180" s="12">
        <f>IFERROR(IF(SUMIFS(tblDaily[Remaining],tblDaily[EntryDate],DATE(2026,5,18),tblDaily[WardCode],"CW")=0,"",SUMIFS(tblDaily[Remaining],tblDaily[EntryDate],DATE(2026,5,18),tblDaily[WardCode],"CW")),"")</f>
        <v/>
      </c>
    </row>
    <row r="181">
      <c r="A181" s="12" t="n">
        <v>19</v>
      </c>
      <c r="B181" s="12">
        <f>IFERROR(IF(SUMIFS(tblDaily[Admissions],tblDaily[EntryDate],DATE(2026,5,19),tblDaily[WardCode],"CW")=0,"",SUMIFS(tblDaily[Admissions],tblDaily[EntryDate],DATE(2026,5,19),tblDaily[WardCode],"CW")),"")</f>
        <v/>
      </c>
      <c r="C181" s="12">
        <f>IFERROR(IF(SUMIFS(tblDaily[Discharges],tblDaily[EntryDate],DATE(2026,5,19),tblDaily[WardCode],"CW")=0,"",SUMIFS(tblDaily[Discharges],tblDaily[EntryDate],DATE(2026,5,19),tblDaily[WardCode],"CW")),"")</f>
        <v/>
      </c>
      <c r="D181" s="12">
        <f>IFERROR(IF(SUMIFS(tblDaily[Deaths],tblDaily[EntryDate],DATE(2026,5,19),tblDaily[WardCode],"CW")=0,"",SUMIFS(tblDaily[Deaths],tblDaily[EntryDate],DATE(2026,5,19),tblDaily[WardCode],"CW")),"")</f>
        <v/>
      </c>
      <c r="E181" s="12">
        <f>IFERROR(IF(SUMIFS(tblDaily[DeathsUnder24Hrs],tblDaily[EntryDate],DATE(2026,5,19),tblDaily[WardCode],"CW")=0,"",SUMIFS(tblDaily[DeathsUnder24Hrs],tblDaily[EntryDate],DATE(2026,5,19),tblDaily[WardCode],"CW")),"")</f>
        <v/>
      </c>
      <c r="F181" s="12">
        <f>IFERROR(IF(SUMIFS(tblDaily[TransfersIn],tblDaily[EntryDate],DATE(2026,5,19),tblDaily[WardCode],"CW")=0,"",SUMIFS(tblDaily[TransfersIn],tblDaily[EntryDate],DATE(2026,5,19),tblDaily[WardCode],"CW")),"")</f>
        <v/>
      </c>
      <c r="G181" s="12">
        <f>IFERROR(IF(SUMIFS(tblDaily[TransfersOut],tblDaily[EntryDate],DATE(2026,5,19),tblDaily[WardCode],"CW")=0,"",SUMIFS(tblDaily[TransfersOut],tblDaily[EntryDate],DATE(2026,5,19),tblDaily[WardCode],"CW")),"")</f>
        <v/>
      </c>
      <c r="H181" s="12">
        <f>IFERROR(IF(SUMIFS(tblDaily[Remaining],tblDaily[EntryDate],DATE(2026,5,19),tblDaily[WardCode],"CW")=0,"",SUMIFS(tblDaily[Remaining],tblDaily[EntryDate],DATE(2026,5,19),tblDaily[WardCode],"CW")),"")</f>
        <v/>
      </c>
    </row>
    <row r="182">
      <c r="A182" s="12" t="n">
        <v>20</v>
      </c>
      <c r="B182" s="12">
        <f>IFERROR(IF(SUMIFS(tblDaily[Admissions],tblDaily[EntryDate],DATE(2026,5,20),tblDaily[WardCode],"CW")=0,"",SUMIFS(tblDaily[Admissions],tblDaily[EntryDate],DATE(2026,5,20),tblDaily[WardCode],"CW")),"")</f>
        <v/>
      </c>
      <c r="C182" s="12">
        <f>IFERROR(IF(SUMIFS(tblDaily[Discharges],tblDaily[EntryDate],DATE(2026,5,20),tblDaily[WardCode],"CW")=0,"",SUMIFS(tblDaily[Discharges],tblDaily[EntryDate],DATE(2026,5,20),tblDaily[WardCode],"CW")),"")</f>
        <v/>
      </c>
      <c r="D182" s="12">
        <f>IFERROR(IF(SUMIFS(tblDaily[Deaths],tblDaily[EntryDate],DATE(2026,5,20),tblDaily[WardCode],"CW")=0,"",SUMIFS(tblDaily[Deaths],tblDaily[EntryDate],DATE(2026,5,20),tblDaily[WardCode],"CW")),"")</f>
        <v/>
      </c>
      <c r="E182" s="12">
        <f>IFERROR(IF(SUMIFS(tblDaily[DeathsUnder24Hrs],tblDaily[EntryDate],DATE(2026,5,20),tblDaily[WardCode],"CW")=0,"",SUMIFS(tblDaily[DeathsUnder24Hrs],tblDaily[EntryDate],DATE(2026,5,20),tblDaily[WardCode],"CW")),"")</f>
        <v/>
      </c>
      <c r="F182" s="12">
        <f>IFERROR(IF(SUMIFS(tblDaily[TransfersIn],tblDaily[EntryDate],DATE(2026,5,20),tblDaily[WardCode],"CW")=0,"",SUMIFS(tblDaily[TransfersIn],tblDaily[EntryDate],DATE(2026,5,20),tblDaily[WardCode],"CW")),"")</f>
        <v/>
      </c>
      <c r="G182" s="12">
        <f>IFERROR(IF(SUMIFS(tblDaily[TransfersOut],tblDaily[EntryDate],DATE(2026,5,20),tblDaily[WardCode],"CW")=0,"",SUMIFS(tblDaily[TransfersOut],tblDaily[EntryDate],DATE(2026,5,20),tblDaily[WardCode],"CW")),"")</f>
        <v/>
      </c>
      <c r="H182" s="12">
        <f>IFERROR(IF(SUMIFS(tblDaily[Remaining],tblDaily[EntryDate],DATE(2026,5,20),tblDaily[WardCode],"CW")=0,"",SUMIFS(tblDaily[Remaining],tblDaily[EntryDate],DATE(2026,5,20),tblDaily[WardCode],"CW")),"")</f>
        <v/>
      </c>
    </row>
    <row r="183">
      <c r="A183" s="12" t="n">
        <v>21</v>
      </c>
      <c r="B183" s="12">
        <f>IFERROR(IF(SUMIFS(tblDaily[Admissions],tblDaily[EntryDate],DATE(2026,5,21),tblDaily[WardCode],"CW")=0,"",SUMIFS(tblDaily[Admissions],tblDaily[EntryDate],DATE(2026,5,21),tblDaily[WardCode],"CW")),"")</f>
        <v/>
      </c>
      <c r="C183" s="12">
        <f>IFERROR(IF(SUMIFS(tblDaily[Discharges],tblDaily[EntryDate],DATE(2026,5,21),tblDaily[WardCode],"CW")=0,"",SUMIFS(tblDaily[Discharges],tblDaily[EntryDate],DATE(2026,5,21),tblDaily[WardCode],"CW")),"")</f>
        <v/>
      </c>
      <c r="D183" s="12">
        <f>IFERROR(IF(SUMIFS(tblDaily[Deaths],tblDaily[EntryDate],DATE(2026,5,21),tblDaily[WardCode],"CW")=0,"",SUMIFS(tblDaily[Deaths],tblDaily[EntryDate],DATE(2026,5,21),tblDaily[WardCode],"CW")),"")</f>
        <v/>
      </c>
      <c r="E183" s="12">
        <f>IFERROR(IF(SUMIFS(tblDaily[DeathsUnder24Hrs],tblDaily[EntryDate],DATE(2026,5,21),tblDaily[WardCode],"CW")=0,"",SUMIFS(tblDaily[DeathsUnder24Hrs],tblDaily[EntryDate],DATE(2026,5,21),tblDaily[WardCode],"CW")),"")</f>
        <v/>
      </c>
      <c r="F183" s="12">
        <f>IFERROR(IF(SUMIFS(tblDaily[TransfersIn],tblDaily[EntryDate],DATE(2026,5,21),tblDaily[WardCode],"CW")=0,"",SUMIFS(tblDaily[TransfersIn],tblDaily[EntryDate],DATE(2026,5,21),tblDaily[WardCode],"CW")),"")</f>
        <v/>
      </c>
      <c r="G183" s="12">
        <f>IFERROR(IF(SUMIFS(tblDaily[TransfersOut],tblDaily[EntryDate],DATE(2026,5,21),tblDaily[WardCode],"CW")=0,"",SUMIFS(tblDaily[TransfersOut],tblDaily[EntryDate],DATE(2026,5,21),tblDaily[WardCode],"CW")),"")</f>
        <v/>
      </c>
      <c r="H183" s="12">
        <f>IFERROR(IF(SUMIFS(tblDaily[Remaining],tblDaily[EntryDate],DATE(2026,5,21),tblDaily[WardCode],"CW")=0,"",SUMIFS(tblDaily[Remaining],tblDaily[EntryDate],DATE(2026,5,21),tblDaily[WardCode],"CW")),"")</f>
        <v/>
      </c>
    </row>
    <row r="184">
      <c r="A184" s="12" t="n">
        <v>22</v>
      </c>
      <c r="B184" s="12">
        <f>IFERROR(IF(SUMIFS(tblDaily[Admissions],tblDaily[EntryDate],DATE(2026,5,22),tblDaily[WardCode],"CW")=0,"",SUMIFS(tblDaily[Admissions],tblDaily[EntryDate],DATE(2026,5,22),tblDaily[WardCode],"CW")),"")</f>
        <v/>
      </c>
      <c r="C184" s="12">
        <f>IFERROR(IF(SUMIFS(tblDaily[Discharges],tblDaily[EntryDate],DATE(2026,5,22),tblDaily[WardCode],"CW")=0,"",SUMIFS(tblDaily[Discharges],tblDaily[EntryDate],DATE(2026,5,22),tblDaily[WardCode],"CW")),"")</f>
        <v/>
      </c>
      <c r="D184" s="12">
        <f>IFERROR(IF(SUMIFS(tblDaily[Deaths],tblDaily[EntryDate],DATE(2026,5,22),tblDaily[WardCode],"CW")=0,"",SUMIFS(tblDaily[Deaths],tblDaily[EntryDate],DATE(2026,5,22),tblDaily[WardCode],"CW")),"")</f>
        <v/>
      </c>
      <c r="E184" s="12">
        <f>IFERROR(IF(SUMIFS(tblDaily[DeathsUnder24Hrs],tblDaily[EntryDate],DATE(2026,5,22),tblDaily[WardCode],"CW")=0,"",SUMIFS(tblDaily[DeathsUnder24Hrs],tblDaily[EntryDate],DATE(2026,5,22),tblDaily[WardCode],"CW")),"")</f>
        <v/>
      </c>
      <c r="F184" s="12">
        <f>IFERROR(IF(SUMIFS(tblDaily[TransfersIn],tblDaily[EntryDate],DATE(2026,5,22),tblDaily[WardCode],"CW")=0,"",SUMIFS(tblDaily[TransfersIn],tblDaily[EntryDate],DATE(2026,5,22),tblDaily[WardCode],"CW")),"")</f>
        <v/>
      </c>
      <c r="G184" s="12">
        <f>IFERROR(IF(SUMIFS(tblDaily[TransfersOut],tblDaily[EntryDate],DATE(2026,5,22),tblDaily[WardCode],"CW")=0,"",SUMIFS(tblDaily[TransfersOut],tblDaily[EntryDate],DATE(2026,5,22),tblDaily[WardCode],"CW")),"")</f>
        <v/>
      </c>
      <c r="H184" s="12">
        <f>IFERROR(IF(SUMIFS(tblDaily[Remaining],tblDaily[EntryDate],DATE(2026,5,22),tblDaily[WardCode],"CW")=0,"",SUMIFS(tblDaily[Remaining],tblDaily[EntryDate],DATE(2026,5,22),tblDaily[WardCode],"CW")),"")</f>
        <v/>
      </c>
    </row>
    <row r="185">
      <c r="A185" s="12" t="n">
        <v>23</v>
      </c>
      <c r="B185" s="12">
        <f>IFERROR(IF(SUMIFS(tblDaily[Admissions],tblDaily[EntryDate],DATE(2026,5,23),tblDaily[WardCode],"CW")=0,"",SUMIFS(tblDaily[Admissions],tblDaily[EntryDate],DATE(2026,5,23),tblDaily[WardCode],"CW")),"")</f>
        <v/>
      </c>
      <c r="C185" s="12">
        <f>IFERROR(IF(SUMIFS(tblDaily[Discharges],tblDaily[EntryDate],DATE(2026,5,23),tblDaily[WardCode],"CW")=0,"",SUMIFS(tblDaily[Discharges],tblDaily[EntryDate],DATE(2026,5,23),tblDaily[WardCode],"CW")),"")</f>
        <v/>
      </c>
      <c r="D185" s="12">
        <f>IFERROR(IF(SUMIFS(tblDaily[Deaths],tblDaily[EntryDate],DATE(2026,5,23),tblDaily[WardCode],"CW")=0,"",SUMIFS(tblDaily[Deaths],tblDaily[EntryDate],DATE(2026,5,23),tblDaily[WardCode],"CW")),"")</f>
        <v/>
      </c>
      <c r="E185" s="12">
        <f>IFERROR(IF(SUMIFS(tblDaily[DeathsUnder24Hrs],tblDaily[EntryDate],DATE(2026,5,23),tblDaily[WardCode],"CW")=0,"",SUMIFS(tblDaily[DeathsUnder24Hrs],tblDaily[EntryDate],DATE(2026,5,23),tblDaily[WardCode],"CW")),"")</f>
        <v/>
      </c>
      <c r="F185" s="12">
        <f>IFERROR(IF(SUMIFS(tblDaily[TransfersIn],tblDaily[EntryDate],DATE(2026,5,23),tblDaily[WardCode],"CW")=0,"",SUMIFS(tblDaily[TransfersIn],tblDaily[EntryDate],DATE(2026,5,23),tblDaily[WardCode],"CW")),"")</f>
        <v/>
      </c>
      <c r="G185" s="12">
        <f>IFERROR(IF(SUMIFS(tblDaily[TransfersOut],tblDaily[EntryDate],DATE(2026,5,23),tblDaily[WardCode],"CW")=0,"",SUMIFS(tblDaily[TransfersOut],tblDaily[EntryDate],DATE(2026,5,23),tblDaily[WardCode],"CW")),"")</f>
        <v/>
      </c>
      <c r="H185" s="12">
        <f>IFERROR(IF(SUMIFS(tblDaily[Remaining],tblDaily[EntryDate],DATE(2026,5,23),tblDaily[WardCode],"CW")=0,"",SUMIFS(tblDaily[Remaining],tblDaily[EntryDate],DATE(2026,5,23),tblDaily[WardCode],"CW")),"")</f>
        <v/>
      </c>
    </row>
    <row r="186">
      <c r="A186" s="12" t="n">
        <v>24</v>
      </c>
      <c r="B186" s="12">
        <f>IFERROR(IF(SUMIFS(tblDaily[Admissions],tblDaily[EntryDate],DATE(2026,5,24),tblDaily[WardCode],"CW")=0,"",SUMIFS(tblDaily[Admissions],tblDaily[EntryDate],DATE(2026,5,24),tblDaily[WardCode],"CW")),"")</f>
        <v/>
      </c>
      <c r="C186" s="12">
        <f>IFERROR(IF(SUMIFS(tblDaily[Discharges],tblDaily[EntryDate],DATE(2026,5,24),tblDaily[WardCode],"CW")=0,"",SUMIFS(tblDaily[Discharges],tblDaily[EntryDate],DATE(2026,5,24),tblDaily[WardCode],"CW")),"")</f>
        <v/>
      </c>
      <c r="D186" s="12">
        <f>IFERROR(IF(SUMIFS(tblDaily[Deaths],tblDaily[EntryDate],DATE(2026,5,24),tblDaily[WardCode],"CW")=0,"",SUMIFS(tblDaily[Deaths],tblDaily[EntryDate],DATE(2026,5,24),tblDaily[WardCode],"CW")),"")</f>
        <v/>
      </c>
      <c r="E186" s="12">
        <f>IFERROR(IF(SUMIFS(tblDaily[DeathsUnder24Hrs],tblDaily[EntryDate],DATE(2026,5,24),tblDaily[WardCode],"CW")=0,"",SUMIFS(tblDaily[DeathsUnder24Hrs],tblDaily[EntryDate],DATE(2026,5,24),tblDaily[WardCode],"CW")),"")</f>
        <v/>
      </c>
      <c r="F186" s="12">
        <f>IFERROR(IF(SUMIFS(tblDaily[TransfersIn],tblDaily[EntryDate],DATE(2026,5,24),tblDaily[WardCode],"CW")=0,"",SUMIFS(tblDaily[TransfersIn],tblDaily[EntryDate],DATE(2026,5,24),tblDaily[WardCode],"CW")),"")</f>
        <v/>
      </c>
      <c r="G186" s="12">
        <f>IFERROR(IF(SUMIFS(tblDaily[TransfersOut],tblDaily[EntryDate],DATE(2026,5,24),tblDaily[WardCode],"CW")=0,"",SUMIFS(tblDaily[TransfersOut],tblDaily[EntryDate],DATE(2026,5,24),tblDaily[WardCode],"CW")),"")</f>
        <v/>
      </c>
      <c r="H186" s="12">
        <f>IFERROR(IF(SUMIFS(tblDaily[Remaining],tblDaily[EntryDate],DATE(2026,5,24),tblDaily[WardCode],"CW")=0,"",SUMIFS(tblDaily[Remaining],tblDaily[EntryDate],DATE(2026,5,24),tblDaily[WardCode],"CW")),"")</f>
        <v/>
      </c>
    </row>
    <row r="187">
      <c r="A187" s="12" t="n">
        <v>25</v>
      </c>
      <c r="B187" s="12">
        <f>IFERROR(IF(SUMIFS(tblDaily[Admissions],tblDaily[EntryDate],DATE(2026,5,25),tblDaily[WardCode],"CW")=0,"",SUMIFS(tblDaily[Admissions],tblDaily[EntryDate],DATE(2026,5,25),tblDaily[WardCode],"CW")),"")</f>
        <v/>
      </c>
      <c r="C187" s="12">
        <f>IFERROR(IF(SUMIFS(tblDaily[Discharges],tblDaily[EntryDate],DATE(2026,5,25),tblDaily[WardCode],"CW")=0,"",SUMIFS(tblDaily[Discharges],tblDaily[EntryDate],DATE(2026,5,25),tblDaily[WardCode],"CW")),"")</f>
        <v/>
      </c>
      <c r="D187" s="12">
        <f>IFERROR(IF(SUMIFS(tblDaily[Deaths],tblDaily[EntryDate],DATE(2026,5,25),tblDaily[WardCode],"CW")=0,"",SUMIFS(tblDaily[Deaths],tblDaily[EntryDate],DATE(2026,5,25),tblDaily[WardCode],"CW")),"")</f>
        <v/>
      </c>
      <c r="E187" s="12">
        <f>IFERROR(IF(SUMIFS(tblDaily[DeathsUnder24Hrs],tblDaily[EntryDate],DATE(2026,5,25),tblDaily[WardCode],"CW")=0,"",SUMIFS(tblDaily[DeathsUnder24Hrs],tblDaily[EntryDate],DATE(2026,5,25),tblDaily[WardCode],"CW")),"")</f>
        <v/>
      </c>
      <c r="F187" s="12">
        <f>IFERROR(IF(SUMIFS(tblDaily[TransfersIn],tblDaily[EntryDate],DATE(2026,5,25),tblDaily[WardCode],"CW")=0,"",SUMIFS(tblDaily[TransfersIn],tblDaily[EntryDate],DATE(2026,5,25),tblDaily[WardCode],"CW")),"")</f>
        <v/>
      </c>
      <c r="G187" s="12">
        <f>IFERROR(IF(SUMIFS(tblDaily[TransfersOut],tblDaily[EntryDate],DATE(2026,5,25),tblDaily[WardCode],"CW")=0,"",SUMIFS(tblDaily[TransfersOut],tblDaily[EntryDate],DATE(2026,5,25),tblDaily[WardCode],"CW")),"")</f>
        <v/>
      </c>
      <c r="H187" s="12">
        <f>IFERROR(IF(SUMIFS(tblDaily[Remaining],tblDaily[EntryDate],DATE(2026,5,25),tblDaily[WardCode],"CW")=0,"",SUMIFS(tblDaily[Remaining],tblDaily[EntryDate],DATE(2026,5,25),tblDaily[WardCode],"CW")),"")</f>
        <v/>
      </c>
    </row>
    <row r="188">
      <c r="A188" s="12" t="n">
        <v>26</v>
      </c>
      <c r="B188" s="12">
        <f>IFERROR(IF(SUMIFS(tblDaily[Admissions],tblDaily[EntryDate],DATE(2026,5,26),tblDaily[WardCode],"CW")=0,"",SUMIFS(tblDaily[Admissions],tblDaily[EntryDate],DATE(2026,5,26),tblDaily[WardCode],"CW")),"")</f>
        <v/>
      </c>
      <c r="C188" s="12">
        <f>IFERROR(IF(SUMIFS(tblDaily[Discharges],tblDaily[EntryDate],DATE(2026,5,26),tblDaily[WardCode],"CW")=0,"",SUMIFS(tblDaily[Discharges],tblDaily[EntryDate],DATE(2026,5,26),tblDaily[WardCode],"CW")),"")</f>
        <v/>
      </c>
      <c r="D188" s="12">
        <f>IFERROR(IF(SUMIFS(tblDaily[Deaths],tblDaily[EntryDate],DATE(2026,5,26),tblDaily[WardCode],"CW")=0,"",SUMIFS(tblDaily[Deaths],tblDaily[EntryDate],DATE(2026,5,26),tblDaily[WardCode],"CW")),"")</f>
        <v/>
      </c>
      <c r="E188" s="12">
        <f>IFERROR(IF(SUMIFS(tblDaily[DeathsUnder24Hrs],tblDaily[EntryDate],DATE(2026,5,26),tblDaily[WardCode],"CW")=0,"",SUMIFS(tblDaily[DeathsUnder24Hrs],tblDaily[EntryDate],DATE(2026,5,26),tblDaily[WardCode],"CW")),"")</f>
        <v/>
      </c>
      <c r="F188" s="12">
        <f>IFERROR(IF(SUMIFS(tblDaily[TransfersIn],tblDaily[EntryDate],DATE(2026,5,26),tblDaily[WardCode],"CW")=0,"",SUMIFS(tblDaily[TransfersIn],tblDaily[EntryDate],DATE(2026,5,26),tblDaily[WardCode],"CW")),"")</f>
        <v/>
      </c>
      <c r="G188" s="12">
        <f>IFERROR(IF(SUMIFS(tblDaily[TransfersOut],tblDaily[EntryDate],DATE(2026,5,26),tblDaily[WardCode],"CW")=0,"",SUMIFS(tblDaily[TransfersOut],tblDaily[EntryDate],DATE(2026,5,26),tblDaily[WardCode],"CW")),"")</f>
        <v/>
      </c>
      <c r="H188" s="12">
        <f>IFERROR(IF(SUMIFS(tblDaily[Remaining],tblDaily[EntryDate],DATE(2026,5,26),tblDaily[WardCode],"CW")=0,"",SUMIFS(tblDaily[Remaining],tblDaily[EntryDate],DATE(2026,5,26),tblDaily[WardCode],"CW")),"")</f>
        <v/>
      </c>
    </row>
    <row r="189">
      <c r="A189" s="12" t="n">
        <v>27</v>
      </c>
      <c r="B189" s="12">
        <f>IFERROR(IF(SUMIFS(tblDaily[Admissions],tblDaily[EntryDate],DATE(2026,5,27),tblDaily[WardCode],"CW")=0,"",SUMIFS(tblDaily[Admissions],tblDaily[EntryDate],DATE(2026,5,27),tblDaily[WardCode],"CW")),"")</f>
        <v/>
      </c>
      <c r="C189" s="12">
        <f>IFERROR(IF(SUMIFS(tblDaily[Discharges],tblDaily[EntryDate],DATE(2026,5,27),tblDaily[WardCode],"CW")=0,"",SUMIFS(tblDaily[Discharges],tblDaily[EntryDate],DATE(2026,5,27),tblDaily[WardCode],"CW")),"")</f>
        <v/>
      </c>
      <c r="D189" s="12">
        <f>IFERROR(IF(SUMIFS(tblDaily[Deaths],tblDaily[EntryDate],DATE(2026,5,27),tblDaily[WardCode],"CW")=0,"",SUMIFS(tblDaily[Deaths],tblDaily[EntryDate],DATE(2026,5,27),tblDaily[WardCode],"CW")),"")</f>
        <v/>
      </c>
      <c r="E189" s="12">
        <f>IFERROR(IF(SUMIFS(tblDaily[DeathsUnder24Hrs],tblDaily[EntryDate],DATE(2026,5,27),tblDaily[WardCode],"CW")=0,"",SUMIFS(tblDaily[DeathsUnder24Hrs],tblDaily[EntryDate],DATE(2026,5,27),tblDaily[WardCode],"CW")),"")</f>
        <v/>
      </c>
      <c r="F189" s="12">
        <f>IFERROR(IF(SUMIFS(tblDaily[TransfersIn],tblDaily[EntryDate],DATE(2026,5,27),tblDaily[WardCode],"CW")=0,"",SUMIFS(tblDaily[TransfersIn],tblDaily[EntryDate],DATE(2026,5,27),tblDaily[WardCode],"CW")),"")</f>
        <v/>
      </c>
      <c r="G189" s="12">
        <f>IFERROR(IF(SUMIFS(tblDaily[TransfersOut],tblDaily[EntryDate],DATE(2026,5,27),tblDaily[WardCode],"CW")=0,"",SUMIFS(tblDaily[TransfersOut],tblDaily[EntryDate],DATE(2026,5,27),tblDaily[WardCode],"CW")),"")</f>
        <v/>
      </c>
      <c r="H189" s="12">
        <f>IFERROR(IF(SUMIFS(tblDaily[Remaining],tblDaily[EntryDate],DATE(2026,5,27),tblDaily[WardCode],"CW")=0,"",SUMIFS(tblDaily[Remaining],tblDaily[EntryDate],DATE(2026,5,27),tblDaily[WardCode],"CW")),"")</f>
        <v/>
      </c>
    </row>
    <row r="190">
      <c r="A190" s="12" t="n">
        <v>28</v>
      </c>
      <c r="B190" s="12">
        <f>IFERROR(IF(SUMIFS(tblDaily[Admissions],tblDaily[EntryDate],DATE(2026,5,28),tblDaily[WardCode],"CW")=0,"",SUMIFS(tblDaily[Admissions],tblDaily[EntryDate],DATE(2026,5,28),tblDaily[WardCode],"CW")),"")</f>
        <v/>
      </c>
      <c r="C190" s="12">
        <f>IFERROR(IF(SUMIFS(tblDaily[Discharges],tblDaily[EntryDate],DATE(2026,5,28),tblDaily[WardCode],"CW")=0,"",SUMIFS(tblDaily[Discharges],tblDaily[EntryDate],DATE(2026,5,28),tblDaily[WardCode],"CW")),"")</f>
        <v/>
      </c>
      <c r="D190" s="12">
        <f>IFERROR(IF(SUMIFS(tblDaily[Deaths],tblDaily[EntryDate],DATE(2026,5,28),tblDaily[WardCode],"CW")=0,"",SUMIFS(tblDaily[Deaths],tblDaily[EntryDate],DATE(2026,5,28),tblDaily[WardCode],"CW")),"")</f>
        <v/>
      </c>
      <c r="E190" s="12">
        <f>IFERROR(IF(SUMIFS(tblDaily[DeathsUnder24Hrs],tblDaily[EntryDate],DATE(2026,5,28),tblDaily[WardCode],"CW")=0,"",SUMIFS(tblDaily[DeathsUnder24Hrs],tblDaily[EntryDate],DATE(2026,5,28),tblDaily[WardCode],"CW")),"")</f>
        <v/>
      </c>
      <c r="F190" s="12">
        <f>IFERROR(IF(SUMIFS(tblDaily[TransfersIn],tblDaily[EntryDate],DATE(2026,5,28),tblDaily[WardCode],"CW")=0,"",SUMIFS(tblDaily[TransfersIn],tblDaily[EntryDate],DATE(2026,5,28),tblDaily[WardCode],"CW")),"")</f>
        <v/>
      </c>
      <c r="G190" s="12">
        <f>IFERROR(IF(SUMIFS(tblDaily[TransfersOut],tblDaily[EntryDate],DATE(2026,5,28),tblDaily[WardCode],"CW")=0,"",SUMIFS(tblDaily[TransfersOut],tblDaily[EntryDate],DATE(2026,5,28),tblDaily[WardCode],"CW")),"")</f>
        <v/>
      </c>
      <c r="H190" s="12">
        <f>IFERROR(IF(SUMIFS(tblDaily[Remaining],tblDaily[EntryDate],DATE(2026,5,28),tblDaily[WardCode],"CW")=0,"",SUMIFS(tblDaily[Remaining],tblDaily[EntryDate],DATE(2026,5,28),tblDaily[WardCode],"CW")),"")</f>
        <v/>
      </c>
    </row>
    <row r="191">
      <c r="A191" s="12" t="n">
        <v>29</v>
      </c>
      <c r="B191" s="12">
        <f>IFERROR(IF(SUMIFS(tblDaily[Admissions],tblDaily[EntryDate],DATE(2026,5,29),tblDaily[WardCode],"CW")=0,"",SUMIFS(tblDaily[Admissions],tblDaily[EntryDate],DATE(2026,5,29),tblDaily[WardCode],"CW")),"")</f>
        <v/>
      </c>
      <c r="C191" s="12">
        <f>IFERROR(IF(SUMIFS(tblDaily[Discharges],tblDaily[EntryDate],DATE(2026,5,29),tblDaily[WardCode],"CW")=0,"",SUMIFS(tblDaily[Discharges],tblDaily[EntryDate],DATE(2026,5,29),tblDaily[WardCode],"CW")),"")</f>
        <v/>
      </c>
      <c r="D191" s="12">
        <f>IFERROR(IF(SUMIFS(tblDaily[Deaths],tblDaily[EntryDate],DATE(2026,5,29),tblDaily[WardCode],"CW")=0,"",SUMIFS(tblDaily[Deaths],tblDaily[EntryDate],DATE(2026,5,29),tblDaily[WardCode],"CW")),"")</f>
        <v/>
      </c>
      <c r="E191" s="12">
        <f>IFERROR(IF(SUMIFS(tblDaily[DeathsUnder24Hrs],tblDaily[EntryDate],DATE(2026,5,29),tblDaily[WardCode],"CW")=0,"",SUMIFS(tblDaily[DeathsUnder24Hrs],tblDaily[EntryDate],DATE(2026,5,29),tblDaily[WardCode],"CW")),"")</f>
        <v/>
      </c>
      <c r="F191" s="12">
        <f>IFERROR(IF(SUMIFS(tblDaily[TransfersIn],tblDaily[EntryDate],DATE(2026,5,29),tblDaily[WardCode],"CW")=0,"",SUMIFS(tblDaily[TransfersIn],tblDaily[EntryDate],DATE(2026,5,29),tblDaily[WardCode],"CW")),"")</f>
        <v/>
      </c>
      <c r="G191" s="12">
        <f>IFERROR(IF(SUMIFS(tblDaily[TransfersOut],tblDaily[EntryDate],DATE(2026,5,29),tblDaily[WardCode],"CW")=0,"",SUMIFS(tblDaily[TransfersOut],tblDaily[EntryDate],DATE(2026,5,29),tblDaily[WardCode],"CW")),"")</f>
        <v/>
      </c>
      <c r="H191" s="12">
        <f>IFERROR(IF(SUMIFS(tblDaily[Remaining],tblDaily[EntryDate],DATE(2026,5,29),tblDaily[WardCode],"CW")=0,"",SUMIFS(tblDaily[Remaining],tblDaily[EntryDate],DATE(2026,5,29),tblDaily[WardCode],"CW")),"")</f>
        <v/>
      </c>
    </row>
    <row r="192">
      <c r="A192" s="12" t="n">
        <v>30</v>
      </c>
      <c r="B192" s="12">
        <f>IFERROR(IF(SUMIFS(tblDaily[Admissions],tblDaily[EntryDate],DATE(2026,5,30),tblDaily[WardCode],"CW")=0,"",SUMIFS(tblDaily[Admissions],tblDaily[EntryDate],DATE(2026,5,30),tblDaily[WardCode],"CW")),"")</f>
        <v/>
      </c>
      <c r="C192" s="12">
        <f>IFERROR(IF(SUMIFS(tblDaily[Discharges],tblDaily[EntryDate],DATE(2026,5,30),tblDaily[WardCode],"CW")=0,"",SUMIFS(tblDaily[Discharges],tblDaily[EntryDate],DATE(2026,5,30),tblDaily[WardCode],"CW")),"")</f>
        <v/>
      </c>
      <c r="D192" s="12">
        <f>IFERROR(IF(SUMIFS(tblDaily[Deaths],tblDaily[EntryDate],DATE(2026,5,30),tblDaily[WardCode],"CW")=0,"",SUMIFS(tblDaily[Deaths],tblDaily[EntryDate],DATE(2026,5,30),tblDaily[WardCode],"CW")),"")</f>
        <v/>
      </c>
      <c r="E192" s="12">
        <f>IFERROR(IF(SUMIFS(tblDaily[DeathsUnder24Hrs],tblDaily[EntryDate],DATE(2026,5,30),tblDaily[WardCode],"CW")=0,"",SUMIFS(tblDaily[DeathsUnder24Hrs],tblDaily[EntryDate],DATE(2026,5,30),tblDaily[WardCode],"CW")),"")</f>
        <v/>
      </c>
      <c r="F192" s="12">
        <f>IFERROR(IF(SUMIFS(tblDaily[TransfersIn],tblDaily[EntryDate],DATE(2026,5,30),tblDaily[WardCode],"CW")=0,"",SUMIFS(tblDaily[TransfersIn],tblDaily[EntryDate],DATE(2026,5,30),tblDaily[WardCode],"CW")),"")</f>
        <v/>
      </c>
      <c r="G192" s="12">
        <f>IFERROR(IF(SUMIFS(tblDaily[TransfersOut],tblDaily[EntryDate],DATE(2026,5,30),tblDaily[WardCode],"CW")=0,"",SUMIFS(tblDaily[TransfersOut],tblDaily[EntryDate],DATE(2026,5,30),tblDaily[WardCode],"CW")),"")</f>
        <v/>
      </c>
      <c r="H192" s="12">
        <f>IFERROR(IF(SUMIFS(tblDaily[Remaining],tblDaily[EntryDate],DATE(2026,5,30),tblDaily[WardCode],"CW")=0,"",SUMIFS(tblDaily[Remaining],tblDaily[EntryDate],DATE(2026,5,30),tblDaily[WardCode],"CW")),"")</f>
        <v/>
      </c>
    </row>
    <row r="193">
      <c r="A193" s="12" t="n">
        <v>31</v>
      </c>
      <c r="B193" s="12">
        <f>IFERROR(IF(SUMIFS(tblDaily[Admissions],tblDaily[EntryDate],DATE(2026,5,31),tblDaily[WardCode],"CW")=0,"",SUMIFS(tblDaily[Admissions],tblDaily[EntryDate],DATE(2026,5,31),tblDaily[WardCode],"CW")),"")</f>
        <v/>
      </c>
      <c r="C193" s="12">
        <f>IFERROR(IF(SUMIFS(tblDaily[Discharges],tblDaily[EntryDate],DATE(2026,5,31),tblDaily[WardCode],"CW")=0,"",SUMIFS(tblDaily[Discharges],tblDaily[EntryDate],DATE(2026,5,31),tblDaily[WardCode],"CW")),"")</f>
        <v/>
      </c>
      <c r="D193" s="12">
        <f>IFERROR(IF(SUMIFS(tblDaily[Deaths],tblDaily[EntryDate],DATE(2026,5,31),tblDaily[WardCode],"CW")=0,"",SUMIFS(tblDaily[Deaths],tblDaily[EntryDate],DATE(2026,5,31),tblDaily[WardCode],"CW")),"")</f>
        <v/>
      </c>
      <c r="E193" s="12">
        <f>IFERROR(IF(SUMIFS(tblDaily[DeathsUnder24Hrs],tblDaily[EntryDate],DATE(2026,5,31),tblDaily[WardCode],"CW")=0,"",SUMIFS(tblDaily[DeathsUnder24Hrs],tblDaily[EntryDate],DATE(2026,5,31),tblDaily[WardCode],"CW")),"")</f>
        <v/>
      </c>
      <c r="F193" s="12">
        <f>IFERROR(IF(SUMIFS(tblDaily[TransfersIn],tblDaily[EntryDate],DATE(2026,5,31),tblDaily[WardCode],"CW")=0,"",SUMIFS(tblDaily[TransfersIn],tblDaily[EntryDate],DATE(2026,5,31),tblDaily[WardCode],"CW")),"")</f>
        <v/>
      </c>
      <c r="G193" s="12">
        <f>IFERROR(IF(SUMIFS(tblDaily[TransfersOut],tblDaily[EntryDate],DATE(2026,5,31),tblDaily[WardCode],"CW")=0,"",SUMIFS(tblDaily[TransfersOut],tblDaily[EntryDate],DATE(2026,5,31),tblDaily[WardCode],"CW")),"")</f>
        <v/>
      </c>
      <c r="H193" s="12">
        <f>IFERROR(IF(SUMIFS(tblDaily[Remaining],tblDaily[EntryDate],DATE(2026,5,31),tblDaily[WardCode],"CW")=0,"",SUMIFS(tblDaily[Remaining],tblDaily[EntryDate],DATE(2026,5,31),tblDaily[WardCode],"CW")),"")</f>
        <v/>
      </c>
    </row>
    <row r="194">
      <c r="A194" s="17" t="inlineStr">
        <is>
          <t>TOTAL</t>
        </is>
      </c>
      <c r="B194" s="17">
        <f>SUMIFS(tblDaily[Admissions],tblDaily[Month],5,tblDaily[WardCode],"CW") - SUMIFS(tblDaily[DeathsUnder24Hrs],tblDaily[Month],5,tblDaily[WardCode],"CW")</f>
        <v/>
      </c>
      <c r="C194" s="17">
        <f>SUMIFS(tblDaily[Discharges],tblDaily[Month],5,tblDaily[WardCode],"CW")</f>
        <v/>
      </c>
      <c r="D194" s="17">
        <f>SUMIFS(tblDaily[Deaths],tblDaily[Month],5,tblDaily[WardCode],"CW")</f>
        <v/>
      </c>
      <c r="E194" s="17">
        <f>SUMIFS(tblDaily[DeathsUnder24Hrs],tblDaily[Month],5,tblDaily[WardCode],"CW")</f>
        <v/>
      </c>
      <c r="F194" s="17">
        <f>SUMIFS(tblDaily[TransfersIn],tblDaily[Month],5,tblDaily[WardCode],"CW")</f>
        <v/>
      </c>
      <c r="G194" s="17">
        <f>SUMIFS(tblDaily[TransfersOut],tblDaily[Month],5,tblDaily[WardCode],"CW")</f>
        <v/>
      </c>
      <c r="H194" s="17">
        <f>SUMIFS(tblDaily[Remaining],tblDaily[Month],5,tblDaily[WardCode],"CW")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PAEDIATRIC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4">
        <f>IFERROR(SUMIFS(tblDaily[Remaining],tblDaily[EntryDate],DATE(2026,5,31),tblDaily[WardCode],"CW"),0)</f>
        <v/>
      </c>
    </row>
    <row r="200">
      <c r="A200" s="4" t="inlineStr">
        <is>
          <t>Bed complement</t>
        </is>
      </c>
      <c r="H200" s="15">
        <f>IFERROR(INDEX(tblWardConfig[BedComplement],MATCH("CW",tblWardConfig[WardCode],0)),0)</f>
        <v/>
      </c>
    </row>
    <row r="201">
      <c r="A201" s="16" t="inlineStr">
        <is>
          <t>Day of
the
Month</t>
        </is>
      </c>
      <c r="B201" s="16" t="inlineStr">
        <is>
          <t>Admissions</t>
        </is>
      </c>
      <c r="C201" s="16" t="inlineStr">
        <is>
          <t>Discharges</t>
        </is>
      </c>
      <c r="D201" s="16" t="inlineStr">
        <is>
          <t>Deaths</t>
        </is>
      </c>
      <c r="E201" s="16" t="inlineStr">
        <is>
          <t>Deaths
&lt;24Hrs</t>
        </is>
      </c>
      <c r="F201" s="16" t="inlineStr">
        <is>
          <t>Transfers-
In</t>
        </is>
      </c>
      <c r="G201" s="16" t="inlineStr">
        <is>
          <t>Transfers-
Out</t>
        </is>
      </c>
      <c r="H201" s="16" t="inlineStr">
        <is>
          <t>No. of Patients
Remaining In
Ward</t>
        </is>
      </c>
    </row>
    <row r="202">
      <c r="A202" s="12" t="n">
        <v>1</v>
      </c>
      <c r="B202" s="12">
        <f>IFERROR(IF(SUMIFS(tblDaily[Admissions],tblDaily[EntryDate],DATE(2026,6,1),tblDaily[WardCode],"CW")=0,"",SUMIFS(tblDaily[Admissions],tblDaily[EntryDate],DATE(2026,6,1),tblDaily[WardCode],"CW")),"")</f>
        <v/>
      </c>
      <c r="C202" s="12">
        <f>IFERROR(IF(SUMIFS(tblDaily[Discharges],tblDaily[EntryDate],DATE(2026,6,1),tblDaily[WardCode],"CW")=0,"",SUMIFS(tblDaily[Discharges],tblDaily[EntryDate],DATE(2026,6,1),tblDaily[WardCode],"CW")),"")</f>
        <v/>
      </c>
      <c r="D202" s="12">
        <f>IFERROR(IF(SUMIFS(tblDaily[Deaths],tblDaily[EntryDate],DATE(2026,6,1),tblDaily[WardCode],"CW")=0,"",SUMIFS(tblDaily[Deaths],tblDaily[EntryDate],DATE(2026,6,1),tblDaily[WardCode],"CW")),"")</f>
        <v/>
      </c>
      <c r="E202" s="12">
        <f>IFERROR(IF(SUMIFS(tblDaily[DeathsUnder24Hrs],tblDaily[EntryDate],DATE(2026,6,1),tblDaily[WardCode],"CW")=0,"",SUMIFS(tblDaily[DeathsUnder24Hrs],tblDaily[EntryDate],DATE(2026,6,1),tblDaily[WardCode],"CW")),"")</f>
        <v/>
      </c>
      <c r="F202" s="12">
        <f>IFERROR(IF(SUMIFS(tblDaily[TransfersIn],tblDaily[EntryDate],DATE(2026,6,1),tblDaily[WardCode],"CW")=0,"",SUMIFS(tblDaily[TransfersIn],tblDaily[EntryDate],DATE(2026,6,1),tblDaily[WardCode],"CW")),"")</f>
        <v/>
      </c>
      <c r="G202" s="12">
        <f>IFERROR(IF(SUMIFS(tblDaily[TransfersOut],tblDaily[EntryDate],DATE(2026,6,1),tblDaily[WardCode],"CW")=0,"",SUMIFS(tblDaily[TransfersOut],tblDaily[EntryDate],DATE(2026,6,1),tblDaily[WardCode],"CW")),"")</f>
        <v/>
      </c>
      <c r="H202" s="12">
        <f>IFERROR(IF(SUMIFS(tblDaily[Remaining],tblDaily[EntryDate],DATE(2026,6,1),tblDaily[WardCode],"CW")=0,"",SUMIFS(tblDaily[Remaining],tblDaily[EntryDate],DATE(2026,6,1),tblDaily[WardCode],"CW")),"")</f>
        <v/>
      </c>
    </row>
    <row r="203">
      <c r="A203" s="12" t="n">
        <v>2</v>
      </c>
      <c r="B203" s="12">
        <f>IFERROR(IF(SUMIFS(tblDaily[Admissions],tblDaily[EntryDate],DATE(2026,6,2),tblDaily[WardCode],"CW")=0,"",SUMIFS(tblDaily[Admissions],tblDaily[EntryDate],DATE(2026,6,2),tblDaily[WardCode],"CW")),"")</f>
        <v/>
      </c>
      <c r="C203" s="12">
        <f>IFERROR(IF(SUMIFS(tblDaily[Discharges],tblDaily[EntryDate],DATE(2026,6,2),tblDaily[WardCode],"CW")=0,"",SUMIFS(tblDaily[Discharges],tblDaily[EntryDate],DATE(2026,6,2),tblDaily[WardCode],"CW")),"")</f>
        <v/>
      </c>
      <c r="D203" s="12">
        <f>IFERROR(IF(SUMIFS(tblDaily[Deaths],tblDaily[EntryDate],DATE(2026,6,2),tblDaily[WardCode],"CW")=0,"",SUMIFS(tblDaily[Deaths],tblDaily[EntryDate],DATE(2026,6,2),tblDaily[WardCode],"CW")),"")</f>
        <v/>
      </c>
      <c r="E203" s="12">
        <f>IFERROR(IF(SUMIFS(tblDaily[DeathsUnder24Hrs],tblDaily[EntryDate],DATE(2026,6,2),tblDaily[WardCode],"CW")=0,"",SUMIFS(tblDaily[DeathsUnder24Hrs],tblDaily[EntryDate],DATE(2026,6,2),tblDaily[WardCode],"CW")),"")</f>
        <v/>
      </c>
      <c r="F203" s="12">
        <f>IFERROR(IF(SUMIFS(tblDaily[TransfersIn],tblDaily[EntryDate],DATE(2026,6,2),tblDaily[WardCode],"CW")=0,"",SUMIFS(tblDaily[TransfersIn],tblDaily[EntryDate],DATE(2026,6,2),tblDaily[WardCode],"CW")),"")</f>
        <v/>
      </c>
      <c r="G203" s="12">
        <f>IFERROR(IF(SUMIFS(tblDaily[TransfersOut],tblDaily[EntryDate],DATE(2026,6,2),tblDaily[WardCode],"CW")=0,"",SUMIFS(tblDaily[TransfersOut],tblDaily[EntryDate],DATE(2026,6,2),tblDaily[WardCode],"CW")),"")</f>
        <v/>
      </c>
      <c r="H203" s="12">
        <f>IFERROR(IF(SUMIFS(tblDaily[Remaining],tblDaily[EntryDate],DATE(2026,6,2),tblDaily[WardCode],"CW")=0,"",SUMIFS(tblDaily[Remaining],tblDaily[EntryDate],DATE(2026,6,2),tblDaily[WardCode],"CW")),"")</f>
        <v/>
      </c>
    </row>
    <row r="204">
      <c r="A204" s="12" t="n">
        <v>3</v>
      </c>
      <c r="B204" s="12">
        <f>IFERROR(IF(SUMIFS(tblDaily[Admissions],tblDaily[EntryDate],DATE(2026,6,3),tblDaily[WardCode],"CW")=0,"",SUMIFS(tblDaily[Admissions],tblDaily[EntryDate],DATE(2026,6,3),tblDaily[WardCode],"CW")),"")</f>
        <v/>
      </c>
      <c r="C204" s="12">
        <f>IFERROR(IF(SUMIFS(tblDaily[Discharges],tblDaily[EntryDate],DATE(2026,6,3),tblDaily[WardCode],"CW")=0,"",SUMIFS(tblDaily[Discharges],tblDaily[EntryDate],DATE(2026,6,3),tblDaily[WardCode],"CW")),"")</f>
        <v/>
      </c>
      <c r="D204" s="12">
        <f>IFERROR(IF(SUMIFS(tblDaily[Deaths],tblDaily[EntryDate],DATE(2026,6,3),tblDaily[WardCode],"CW")=0,"",SUMIFS(tblDaily[Deaths],tblDaily[EntryDate],DATE(2026,6,3),tblDaily[WardCode],"CW")),"")</f>
        <v/>
      </c>
      <c r="E204" s="12">
        <f>IFERROR(IF(SUMIFS(tblDaily[DeathsUnder24Hrs],tblDaily[EntryDate],DATE(2026,6,3),tblDaily[WardCode],"CW")=0,"",SUMIFS(tblDaily[DeathsUnder24Hrs],tblDaily[EntryDate],DATE(2026,6,3),tblDaily[WardCode],"CW")),"")</f>
        <v/>
      </c>
      <c r="F204" s="12">
        <f>IFERROR(IF(SUMIFS(tblDaily[TransfersIn],tblDaily[EntryDate],DATE(2026,6,3),tblDaily[WardCode],"CW")=0,"",SUMIFS(tblDaily[TransfersIn],tblDaily[EntryDate],DATE(2026,6,3),tblDaily[WardCode],"CW")),"")</f>
        <v/>
      </c>
      <c r="G204" s="12">
        <f>IFERROR(IF(SUMIFS(tblDaily[TransfersOut],tblDaily[EntryDate],DATE(2026,6,3),tblDaily[WardCode],"CW")=0,"",SUMIFS(tblDaily[TransfersOut],tblDaily[EntryDate],DATE(2026,6,3),tblDaily[WardCode],"CW")),"")</f>
        <v/>
      </c>
      <c r="H204" s="12">
        <f>IFERROR(IF(SUMIFS(tblDaily[Remaining],tblDaily[EntryDate],DATE(2026,6,3),tblDaily[WardCode],"CW")=0,"",SUMIFS(tblDaily[Remaining],tblDaily[EntryDate],DATE(2026,6,3),tblDaily[WardCode],"CW")),"")</f>
        <v/>
      </c>
    </row>
    <row r="205">
      <c r="A205" s="12" t="n">
        <v>4</v>
      </c>
      <c r="B205" s="12">
        <f>IFERROR(IF(SUMIFS(tblDaily[Admissions],tblDaily[EntryDate],DATE(2026,6,4),tblDaily[WardCode],"CW")=0,"",SUMIFS(tblDaily[Admissions],tblDaily[EntryDate],DATE(2026,6,4),tblDaily[WardCode],"CW")),"")</f>
        <v/>
      </c>
      <c r="C205" s="12">
        <f>IFERROR(IF(SUMIFS(tblDaily[Discharges],tblDaily[EntryDate],DATE(2026,6,4),tblDaily[WardCode],"CW")=0,"",SUMIFS(tblDaily[Discharges],tblDaily[EntryDate],DATE(2026,6,4),tblDaily[WardCode],"CW")),"")</f>
        <v/>
      </c>
      <c r="D205" s="12">
        <f>IFERROR(IF(SUMIFS(tblDaily[Deaths],tblDaily[EntryDate],DATE(2026,6,4),tblDaily[WardCode],"CW")=0,"",SUMIFS(tblDaily[Deaths],tblDaily[EntryDate],DATE(2026,6,4),tblDaily[WardCode],"CW")),"")</f>
        <v/>
      </c>
      <c r="E205" s="12">
        <f>IFERROR(IF(SUMIFS(tblDaily[DeathsUnder24Hrs],tblDaily[EntryDate],DATE(2026,6,4),tblDaily[WardCode],"CW")=0,"",SUMIFS(tblDaily[DeathsUnder24Hrs],tblDaily[EntryDate],DATE(2026,6,4),tblDaily[WardCode],"CW")),"")</f>
        <v/>
      </c>
      <c r="F205" s="12">
        <f>IFERROR(IF(SUMIFS(tblDaily[TransfersIn],tblDaily[EntryDate],DATE(2026,6,4),tblDaily[WardCode],"CW")=0,"",SUMIFS(tblDaily[TransfersIn],tblDaily[EntryDate],DATE(2026,6,4),tblDaily[WardCode],"CW")),"")</f>
        <v/>
      </c>
      <c r="G205" s="12">
        <f>IFERROR(IF(SUMIFS(tblDaily[TransfersOut],tblDaily[EntryDate],DATE(2026,6,4),tblDaily[WardCode],"CW")=0,"",SUMIFS(tblDaily[TransfersOut],tblDaily[EntryDate],DATE(2026,6,4),tblDaily[WardCode],"CW")),"")</f>
        <v/>
      </c>
      <c r="H205" s="12">
        <f>IFERROR(IF(SUMIFS(tblDaily[Remaining],tblDaily[EntryDate],DATE(2026,6,4),tblDaily[WardCode],"CW")=0,"",SUMIFS(tblDaily[Remaining],tblDaily[EntryDate],DATE(2026,6,4),tblDaily[WardCode],"CW")),"")</f>
        <v/>
      </c>
    </row>
    <row r="206">
      <c r="A206" s="12" t="n">
        <v>5</v>
      </c>
      <c r="B206" s="12">
        <f>IFERROR(IF(SUMIFS(tblDaily[Admissions],tblDaily[EntryDate],DATE(2026,6,5),tblDaily[WardCode],"CW")=0,"",SUMIFS(tblDaily[Admissions],tblDaily[EntryDate],DATE(2026,6,5),tblDaily[WardCode],"CW")),"")</f>
        <v/>
      </c>
      <c r="C206" s="12">
        <f>IFERROR(IF(SUMIFS(tblDaily[Discharges],tblDaily[EntryDate],DATE(2026,6,5),tblDaily[WardCode],"CW")=0,"",SUMIFS(tblDaily[Discharges],tblDaily[EntryDate],DATE(2026,6,5),tblDaily[WardCode],"CW")),"")</f>
        <v/>
      </c>
      <c r="D206" s="12">
        <f>IFERROR(IF(SUMIFS(tblDaily[Deaths],tblDaily[EntryDate],DATE(2026,6,5),tblDaily[WardCode],"CW")=0,"",SUMIFS(tblDaily[Deaths],tblDaily[EntryDate],DATE(2026,6,5),tblDaily[WardCode],"CW")),"")</f>
        <v/>
      </c>
      <c r="E206" s="12">
        <f>IFERROR(IF(SUMIFS(tblDaily[DeathsUnder24Hrs],tblDaily[EntryDate],DATE(2026,6,5),tblDaily[WardCode],"CW")=0,"",SUMIFS(tblDaily[DeathsUnder24Hrs],tblDaily[EntryDate],DATE(2026,6,5),tblDaily[WardCode],"CW")),"")</f>
        <v/>
      </c>
      <c r="F206" s="12">
        <f>IFERROR(IF(SUMIFS(tblDaily[TransfersIn],tblDaily[EntryDate],DATE(2026,6,5),tblDaily[WardCode],"CW")=0,"",SUMIFS(tblDaily[TransfersIn],tblDaily[EntryDate],DATE(2026,6,5),tblDaily[WardCode],"CW")),"")</f>
        <v/>
      </c>
      <c r="G206" s="12">
        <f>IFERROR(IF(SUMIFS(tblDaily[TransfersOut],tblDaily[EntryDate],DATE(2026,6,5),tblDaily[WardCode],"CW")=0,"",SUMIFS(tblDaily[TransfersOut],tblDaily[EntryDate],DATE(2026,6,5),tblDaily[WardCode],"CW")),"")</f>
        <v/>
      </c>
      <c r="H206" s="12">
        <f>IFERROR(IF(SUMIFS(tblDaily[Remaining],tblDaily[EntryDate],DATE(2026,6,5),tblDaily[WardCode],"CW")=0,"",SUMIFS(tblDaily[Remaining],tblDaily[EntryDate],DATE(2026,6,5),tblDaily[WardCode],"CW")),"")</f>
        <v/>
      </c>
    </row>
    <row r="207">
      <c r="A207" s="12" t="n">
        <v>6</v>
      </c>
      <c r="B207" s="12">
        <f>IFERROR(IF(SUMIFS(tblDaily[Admissions],tblDaily[EntryDate],DATE(2026,6,6),tblDaily[WardCode],"CW")=0,"",SUMIFS(tblDaily[Admissions],tblDaily[EntryDate],DATE(2026,6,6),tblDaily[WardCode],"CW")),"")</f>
        <v/>
      </c>
      <c r="C207" s="12">
        <f>IFERROR(IF(SUMIFS(tblDaily[Discharges],tblDaily[EntryDate],DATE(2026,6,6),tblDaily[WardCode],"CW")=0,"",SUMIFS(tblDaily[Discharges],tblDaily[EntryDate],DATE(2026,6,6),tblDaily[WardCode],"CW")),"")</f>
        <v/>
      </c>
      <c r="D207" s="12">
        <f>IFERROR(IF(SUMIFS(tblDaily[Deaths],tblDaily[EntryDate],DATE(2026,6,6),tblDaily[WardCode],"CW")=0,"",SUMIFS(tblDaily[Deaths],tblDaily[EntryDate],DATE(2026,6,6),tblDaily[WardCode],"CW")),"")</f>
        <v/>
      </c>
      <c r="E207" s="12">
        <f>IFERROR(IF(SUMIFS(tblDaily[DeathsUnder24Hrs],tblDaily[EntryDate],DATE(2026,6,6),tblDaily[WardCode],"CW")=0,"",SUMIFS(tblDaily[DeathsUnder24Hrs],tblDaily[EntryDate],DATE(2026,6,6),tblDaily[WardCode],"CW")),"")</f>
        <v/>
      </c>
      <c r="F207" s="12">
        <f>IFERROR(IF(SUMIFS(tblDaily[TransfersIn],tblDaily[EntryDate],DATE(2026,6,6),tblDaily[WardCode],"CW")=0,"",SUMIFS(tblDaily[TransfersIn],tblDaily[EntryDate],DATE(2026,6,6),tblDaily[WardCode],"CW")),"")</f>
        <v/>
      </c>
      <c r="G207" s="12">
        <f>IFERROR(IF(SUMIFS(tblDaily[TransfersOut],tblDaily[EntryDate],DATE(2026,6,6),tblDaily[WardCode],"CW")=0,"",SUMIFS(tblDaily[TransfersOut],tblDaily[EntryDate],DATE(2026,6,6),tblDaily[WardCode],"CW")),"")</f>
        <v/>
      </c>
      <c r="H207" s="12">
        <f>IFERROR(IF(SUMIFS(tblDaily[Remaining],tblDaily[EntryDate],DATE(2026,6,6),tblDaily[WardCode],"CW")=0,"",SUMIFS(tblDaily[Remaining],tblDaily[EntryDate],DATE(2026,6,6),tblDaily[WardCode],"CW")),"")</f>
        <v/>
      </c>
    </row>
    <row r="208">
      <c r="A208" s="12" t="n">
        <v>7</v>
      </c>
      <c r="B208" s="12">
        <f>IFERROR(IF(SUMIFS(tblDaily[Admissions],tblDaily[EntryDate],DATE(2026,6,7),tblDaily[WardCode],"CW")=0,"",SUMIFS(tblDaily[Admissions],tblDaily[EntryDate],DATE(2026,6,7),tblDaily[WardCode],"CW")),"")</f>
        <v/>
      </c>
      <c r="C208" s="12">
        <f>IFERROR(IF(SUMIFS(tblDaily[Discharges],tblDaily[EntryDate],DATE(2026,6,7),tblDaily[WardCode],"CW")=0,"",SUMIFS(tblDaily[Discharges],tblDaily[EntryDate],DATE(2026,6,7),tblDaily[WardCode],"CW")),"")</f>
        <v/>
      </c>
      <c r="D208" s="12">
        <f>IFERROR(IF(SUMIFS(tblDaily[Deaths],tblDaily[EntryDate],DATE(2026,6,7),tblDaily[WardCode],"CW")=0,"",SUMIFS(tblDaily[Deaths],tblDaily[EntryDate],DATE(2026,6,7),tblDaily[WardCode],"CW")),"")</f>
        <v/>
      </c>
      <c r="E208" s="12">
        <f>IFERROR(IF(SUMIFS(tblDaily[DeathsUnder24Hrs],tblDaily[EntryDate],DATE(2026,6,7),tblDaily[WardCode],"CW")=0,"",SUMIFS(tblDaily[DeathsUnder24Hrs],tblDaily[EntryDate],DATE(2026,6,7),tblDaily[WardCode],"CW")),"")</f>
        <v/>
      </c>
      <c r="F208" s="12">
        <f>IFERROR(IF(SUMIFS(tblDaily[TransfersIn],tblDaily[EntryDate],DATE(2026,6,7),tblDaily[WardCode],"CW")=0,"",SUMIFS(tblDaily[TransfersIn],tblDaily[EntryDate],DATE(2026,6,7),tblDaily[WardCode],"CW")),"")</f>
        <v/>
      </c>
      <c r="G208" s="12">
        <f>IFERROR(IF(SUMIFS(tblDaily[TransfersOut],tblDaily[EntryDate],DATE(2026,6,7),tblDaily[WardCode],"CW")=0,"",SUMIFS(tblDaily[TransfersOut],tblDaily[EntryDate],DATE(2026,6,7),tblDaily[WardCode],"CW")),"")</f>
        <v/>
      </c>
      <c r="H208" s="12">
        <f>IFERROR(IF(SUMIFS(tblDaily[Remaining],tblDaily[EntryDate],DATE(2026,6,7),tblDaily[WardCode],"CW")=0,"",SUMIFS(tblDaily[Remaining],tblDaily[EntryDate],DATE(2026,6,7),tblDaily[WardCode],"CW")),"")</f>
        <v/>
      </c>
    </row>
    <row r="209">
      <c r="A209" s="12" t="n">
        <v>8</v>
      </c>
      <c r="B209" s="12">
        <f>IFERROR(IF(SUMIFS(tblDaily[Admissions],tblDaily[EntryDate],DATE(2026,6,8),tblDaily[WardCode],"CW")=0,"",SUMIFS(tblDaily[Admissions],tblDaily[EntryDate],DATE(2026,6,8),tblDaily[WardCode],"CW")),"")</f>
        <v/>
      </c>
      <c r="C209" s="12">
        <f>IFERROR(IF(SUMIFS(tblDaily[Discharges],tblDaily[EntryDate],DATE(2026,6,8),tblDaily[WardCode],"CW")=0,"",SUMIFS(tblDaily[Discharges],tblDaily[EntryDate],DATE(2026,6,8),tblDaily[WardCode],"CW")),"")</f>
        <v/>
      </c>
      <c r="D209" s="12">
        <f>IFERROR(IF(SUMIFS(tblDaily[Deaths],tblDaily[EntryDate],DATE(2026,6,8),tblDaily[WardCode],"CW")=0,"",SUMIFS(tblDaily[Deaths],tblDaily[EntryDate],DATE(2026,6,8),tblDaily[WardCode],"CW")),"")</f>
        <v/>
      </c>
      <c r="E209" s="12">
        <f>IFERROR(IF(SUMIFS(tblDaily[DeathsUnder24Hrs],tblDaily[EntryDate],DATE(2026,6,8),tblDaily[WardCode],"CW")=0,"",SUMIFS(tblDaily[DeathsUnder24Hrs],tblDaily[EntryDate],DATE(2026,6,8),tblDaily[WardCode],"CW")),"")</f>
        <v/>
      </c>
      <c r="F209" s="12">
        <f>IFERROR(IF(SUMIFS(tblDaily[TransfersIn],tblDaily[EntryDate],DATE(2026,6,8),tblDaily[WardCode],"CW")=0,"",SUMIFS(tblDaily[TransfersIn],tblDaily[EntryDate],DATE(2026,6,8),tblDaily[WardCode],"CW")),"")</f>
        <v/>
      </c>
      <c r="G209" s="12">
        <f>IFERROR(IF(SUMIFS(tblDaily[TransfersOut],tblDaily[EntryDate],DATE(2026,6,8),tblDaily[WardCode],"CW")=0,"",SUMIFS(tblDaily[TransfersOut],tblDaily[EntryDate],DATE(2026,6,8),tblDaily[WardCode],"CW")),"")</f>
        <v/>
      </c>
      <c r="H209" s="12">
        <f>IFERROR(IF(SUMIFS(tblDaily[Remaining],tblDaily[EntryDate],DATE(2026,6,8),tblDaily[WardCode],"CW")=0,"",SUMIFS(tblDaily[Remaining],tblDaily[EntryDate],DATE(2026,6,8),tblDaily[WardCode],"CW")),"")</f>
        <v/>
      </c>
    </row>
    <row r="210">
      <c r="A210" s="12" t="n">
        <v>9</v>
      </c>
      <c r="B210" s="12">
        <f>IFERROR(IF(SUMIFS(tblDaily[Admissions],tblDaily[EntryDate],DATE(2026,6,9),tblDaily[WardCode],"CW")=0,"",SUMIFS(tblDaily[Admissions],tblDaily[EntryDate],DATE(2026,6,9),tblDaily[WardCode],"CW")),"")</f>
        <v/>
      </c>
      <c r="C210" s="12">
        <f>IFERROR(IF(SUMIFS(tblDaily[Discharges],tblDaily[EntryDate],DATE(2026,6,9),tblDaily[WardCode],"CW")=0,"",SUMIFS(tblDaily[Discharges],tblDaily[EntryDate],DATE(2026,6,9),tblDaily[WardCode],"CW")),"")</f>
        <v/>
      </c>
      <c r="D210" s="12">
        <f>IFERROR(IF(SUMIFS(tblDaily[Deaths],tblDaily[EntryDate],DATE(2026,6,9),tblDaily[WardCode],"CW")=0,"",SUMIFS(tblDaily[Deaths],tblDaily[EntryDate],DATE(2026,6,9),tblDaily[WardCode],"CW")),"")</f>
        <v/>
      </c>
      <c r="E210" s="12">
        <f>IFERROR(IF(SUMIFS(tblDaily[DeathsUnder24Hrs],tblDaily[EntryDate],DATE(2026,6,9),tblDaily[WardCode],"CW")=0,"",SUMIFS(tblDaily[DeathsUnder24Hrs],tblDaily[EntryDate],DATE(2026,6,9),tblDaily[WardCode],"CW")),"")</f>
        <v/>
      </c>
      <c r="F210" s="12">
        <f>IFERROR(IF(SUMIFS(tblDaily[TransfersIn],tblDaily[EntryDate],DATE(2026,6,9),tblDaily[WardCode],"CW")=0,"",SUMIFS(tblDaily[TransfersIn],tblDaily[EntryDate],DATE(2026,6,9),tblDaily[WardCode],"CW")),"")</f>
        <v/>
      </c>
      <c r="G210" s="12">
        <f>IFERROR(IF(SUMIFS(tblDaily[TransfersOut],tblDaily[EntryDate],DATE(2026,6,9),tblDaily[WardCode],"CW")=0,"",SUMIFS(tblDaily[TransfersOut],tblDaily[EntryDate],DATE(2026,6,9),tblDaily[WardCode],"CW")),"")</f>
        <v/>
      </c>
      <c r="H210" s="12">
        <f>IFERROR(IF(SUMIFS(tblDaily[Remaining],tblDaily[EntryDate],DATE(2026,6,9),tblDaily[WardCode],"CW")=0,"",SUMIFS(tblDaily[Remaining],tblDaily[EntryDate],DATE(2026,6,9),tblDaily[WardCode],"CW")),"")</f>
        <v/>
      </c>
    </row>
    <row r="211">
      <c r="A211" s="12" t="n">
        <v>10</v>
      </c>
      <c r="B211" s="12">
        <f>IFERROR(IF(SUMIFS(tblDaily[Admissions],tblDaily[EntryDate],DATE(2026,6,10),tblDaily[WardCode],"CW")=0,"",SUMIFS(tblDaily[Admissions],tblDaily[EntryDate],DATE(2026,6,10),tblDaily[WardCode],"CW")),"")</f>
        <v/>
      </c>
      <c r="C211" s="12">
        <f>IFERROR(IF(SUMIFS(tblDaily[Discharges],tblDaily[EntryDate],DATE(2026,6,10),tblDaily[WardCode],"CW")=0,"",SUMIFS(tblDaily[Discharges],tblDaily[EntryDate],DATE(2026,6,10),tblDaily[WardCode],"CW")),"")</f>
        <v/>
      </c>
      <c r="D211" s="12">
        <f>IFERROR(IF(SUMIFS(tblDaily[Deaths],tblDaily[EntryDate],DATE(2026,6,10),tblDaily[WardCode],"CW")=0,"",SUMIFS(tblDaily[Deaths],tblDaily[EntryDate],DATE(2026,6,10),tblDaily[WardCode],"CW")),"")</f>
        <v/>
      </c>
      <c r="E211" s="12">
        <f>IFERROR(IF(SUMIFS(tblDaily[DeathsUnder24Hrs],tblDaily[EntryDate],DATE(2026,6,10),tblDaily[WardCode],"CW")=0,"",SUMIFS(tblDaily[DeathsUnder24Hrs],tblDaily[EntryDate],DATE(2026,6,10),tblDaily[WardCode],"CW")),"")</f>
        <v/>
      </c>
      <c r="F211" s="12">
        <f>IFERROR(IF(SUMIFS(tblDaily[TransfersIn],tblDaily[EntryDate],DATE(2026,6,10),tblDaily[WardCode],"CW")=0,"",SUMIFS(tblDaily[TransfersIn],tblDaily[EntryDate],DATE(2026,6,10),tblDaily[WardCode],"CW")),"")</f>
        <v/>
      </c>
      <c r="G211" s="12">
        <f>IFERROR(IF(SUMIFS(tblDaily[TransfersOut],tblDaily[EntryDate],DATE(2026,6,10),tblDaily[WardCode],"CW")=0,"",SUMIFS(tblDaily[TransfersOut],tblDaily[EntryDate],DATE(2026,6,10),tblDaily[WardCode],"CW")),"")</f>
        <v/>
      </c>
      <c r="H211" s="12">
        <f>IFERROR(IF(SUMIFS(tblDaily[Remaining],tblDaily[EntryDate],DATE(2026,6,10),tblDaily[WardCode],"CW")=0,"",SUMIFS(tblDaily[Remaining],tblDaily[EntryDate],DATE(2026,6,10),tblDaily[WardCode],"CW")),"")</f>
        <v/>
      </c>
    </row>
    <row r="212">
      <c r="A212" s="12" t="n">
        <v>11</v>
      </c>
      <c r="B212" s="12">
        <f>IFERROR(IF(SUMIFS(tblDaily[Admissions],tblDaily[EntryDate],DATE(2026,6,11),tblDaily[WardCode],"CW")=0,"",SUMIFS(tblDaily[Admissions],tblDaily[EntryDate],DATE(2026,6,11),tblDaily[WardCode],"CW")),"")</f>
        <v/>
      </c>
      <c r="C212" s="12">
        <f>IFERROR(IF(SUMIFS(tblDaily[Discharges],tblDaily[EntryDate],DATE(2026,6,11),tblDaily[WardCode],"CW")=0,"",SUMIFS(tblDaily[Discharges],tblDaily[EntryDate],DATE(2026,6,11),tblDaily[WardCode],"CW")),"")</f>
        <v/>
      </c>
      <c r="D212" s="12">
        <f>IFERROR(IF(SUMIFS(tblDaily[Deaths],tblDaily[EntryDate],DATE(2026,6,11),tblDaily[WardCode],"CW")=0,"",SUMIFS(tblDaily[Deaths],tblDaily[EntryDate],DATE(2026,6,11),tblDaily[WardCode],"CW")),"")</f>
        <v/>
      </c>
      <c r="E212" s="12">
        <f>IFERROR(IF(SUMIFS(tblDaily[DeathsUnder24Hrs],tblDaily[EntryDate],DATE(2026,6,11),tblDaily[WardCode],"CW")=0,"",SUMIFS(tblDaily[DeathsUnder24Hrs],tblDaily[EntryDate],DATE(2026,6,11),tblDaily[WardCode],"CW")),"")</f>
        <v/>
      </c>
      <c r="F212" s="12">
        <f>IFERROR(IF(SUMIFS(tblDaily[TransfersIn],tblDaily[EntryDate],DATE(2026,6,11),tblDaily[WardCode],"CW")=0,"",SUMIFS(tblDaily[TransfersIn],tblDaily[EntryDate],DATE(2026,6,11),tblDaily[WardCode],"CW")),"")</f>
        <v/>
      </c>
      <c r="G212" s="12">
        <f>IFERROR(IF(SUMIFS(tblDaily[TransfersOut],tblDaily[EntryDate],DATE(2026,6,11),tblDaily[WardCode],"CW")=0,"",SUMIFS(tblDaily[TransfersOut],tblDaily[EntryDate],DATE(2026,6,11),tblDaily[WardCode],"CW")),"")</f>
        <v/>
      </c>
      <c r="H212" s="12">
        <f>IFERROR(IF(SUMIFS(tblDaily[Remaining],tblDaily[EntryDate],DATE(2026,6,11),tblDaily[WardCode],"CW")=0,"",SUMIFS(tblDaily[Remaining],tblDaily[EntryDate],DATE(2026,6,11),tblDaily[WardCode],"CW")),"")</f>
        <v/>
      </c>
    </row>
    <row r="213">
      <c r="A213" s="12" t="n">
        <v>12</v>
      </c>
      <c r="B213" s="12">
        <f>IFERROR(IF(SUMIFS(tblDaily[Admissions],tblDaily[EntryDate],DATE(2026,6,12),tblDaily[WardCode],"CW")=0,"",SUMIFS(tblDaily[Admissions],tblDaily[EntryDate],DATE(2026,6,12),tblDaily[WardCode],"CW")),"")</f>
        <v/>
      </c>
      <c r="C213" s="12">
        <f>IFERROR(IF(SUMIFS(tblDaily[Discharges],tblDaily[EntryDate],DATE(2026,6,12),tblDaily[WardCode],"CW")=0,"",SUMIFS(tblDaily[Discharges],tblDaily[EntryDate],DATE(2026,6,12),tblDaily[WardCode],"CW")),"")</f>
        <v/>
      </c>
      <c r="D213" s="12">
        <f>IFERROR(IF(SUMIFS(tblDaily[Deaths],tblDaily[EntryDate],DATE(2026,6,12),tblDaily[WardCode],"CW")=0,"",SUMIFS(tblDaily[Deaths],tblDaily[EntryDate],DATE(2026,6,12),tblDaily[WardCode],"CW")),"")</f>
        <v/>
      </c>
      <c r="E213" s="12">
        <f>IFERROR(IF(SUMIFS(tblDaily[DeathsUnder24Hrs],tblDaily[EntryDate],DATE(2026,6,12),tblDaily[WardCode],"CW")=0,"",SUMIFS(tblDaily[DeathsUnder24Hrs],tblDaily[EntryDate],DATE(2026,6,12),tblDaily[WardCode],"CW")),"")</f>
        <v/>
      </c>
      <c r="F213" s="12">
        <f>IFERROR(IF(SUMIFS(tblDaily[TransfersIn],tblDaily[EntryDate],DATE(2026,6,12),tblDaily[WardCode],"CW")=0,"",SUMIFS(tblDaily[TransfersIn],tblDaily[EntryDate],DATE(2026,6,12),tblDaily[WardCode],"CW")),"")</f>
        <v/>
      </c>
      <c r="G213" s="12">
        <f>IFERROR(IF(SUMIFS(tblDaily[TransfersOut],tblDaily[EntryDate],DATE(2026,6,12),tblDaily[WardCode],"CW")=0,"",SUMIFS(tblDaily[TransfersOut],tblDaily[EntryDate],DATE(2026,6,12),tblDaily[WardCode],"CW")),"")</f>
        <v/>
      </c>
      <c r="H213" s="12">
        <f>IFERROR(IF(SUMIFS(tblDaily[Remaining],tblDaily[EntryDate],DATE(2026,6,12),tblDaily[WardCode],"CW")=0,"",SUMIFS(tblDaily[Remaining],tblDaily[EntryDate],DATE(2026,6,12),tblDaily[WardCode],"CW")),"")</f>
        <v/>
      </c>
    </row>
    <row r="214">
      <c r="A214" s="12" t="n">
        <v>13</v>
      </c>
      <c r="B214" s="12">
        <f>IFERROR(IF(SUMIFS(tblDaily[Admissions],tblDaily[EntryDate],DATE(2026,6,13),tblDaily[WardCode],"CW")=0,"",SUMIFS(tblDaily[Admissions],tblDaily[EntryDate],DATE(2026,6,13),tblDaily[WardCode],"CW")),"")</f>
        <v/>
      </c>
      <c r="C214" s="12">
        <f>IFERROR(IF(SUMIFS(tblDaily[Discharges],tblDaily[EntryDate],DATE(2026,6,13),tblDaily[WardCode],"CW")=0,"",SUMIFS(tblDaily[Discharges],tblDaily[EntryDate],DATE(2026,6,13),tblDaily[WardCode],"CW")),"")</f>
        <v/>
      </c>
      <c r="D214" s="12">
        <f>IFERROR(IF(SUMIFS(tblDaily[Deaths],tblDaily[EntryDate],DATE(2026,6,13),tblDaily[WardCode],"CW")=0,"",SUMIFS(tblDaily[Deaths],tblDaily[EntryDate],DATE(2026,6,13),tblDaily[WardCode],"CW")),"")</f>
        <v/>
      </c>
      <c r="E214" s="12">
        <f>IFERROR(IF(SUMIFS(tblDaily[DeathsUnder24Hrs],tblDaily[EntryDate],DATE(2026,6,13),tblDaily[WardCode],"CW")=0,"",SUMIFS(tblDaily[DeathsUnder24Hrs],tblDaily[EntryDate],DATE(2026,6,13),tblDaily[WardCode],"CW")),"")</f>
        <v/>
      </c>
      <c r="F214" s="12">
        <f>IFERROR(IF(SUMIFS(tblDaily[TransfersIn],tblDaily[EntryDate],DATE(2026,6,13),tblDaily[WardCode],"CW")=0,"",SUMIFS(tblDaily[TransfersIn],tblDaily[EntryDate],DATE(2026,6,13),tblDaily[WardCode],"CW")),"")</f>
        <v/>
      </c>
      <c r="G214" s="12">
        <f>IFERROR(IF(SUMIFS(tblDaily[TransfersOut],tblDaily[EntryDate],DATE(2026,6,13),tblDaily[WardCode],"CW")=0,"",SUMIFS(tblDaily[TransfersOut],tblDaily[EntryDate],DATE(2026,6,13),tblDaily[WardCode],"CW")),"")</f>
        <v/>
      </c>
      <c r="H214" s="12">
        <f>IFERROR(IF(SUMIFS(tblDaily[Remaining],tblDaily[EntryDate],DATE(2026,6,13),tblDaily[WardCode],"CW")=0,"",SUMIFS(tblDaily[Remaining],tblDaily[EntryDate],DATE(2026,6,13),tblDaily[WardCode],"CW")),"")</f>
        <v/>
      </c>
    </row>
    <row r="215">
      <c r="A215" s="12" t="n">
        <v>14</v>
      </c>
      <c r="B215" s="12">
        <f>IFERROR(IF(SUMIFS(tblDaily[Admissions],tblDaily[EntryDate],DATE(2026,6,14),tblDaily[WardCode],"CW")=0,"",SUMIFS(tblDaily[Admissions],tblDaily[EntryDate],DATE(2026,6,14),tblDaily[WardCode],"CW")),"")</f>
        <v/>
      </c>
      <c r="C215" s="12">
        <f>IFERROR(IF(SUMIFS(tblDaily[Discharges],tblDaily[EntryDate],DATE(2026,6,14),tblDaily[WardCode],"CW")=0,"",SUMIFS(tblDaily[Discharges],tblDaily[EntryDate],DATE(2026,6,14),tblDaily[WardCode],"CW")),"")</f>
        <v/>
      </c>
      <c r="D215" s="12">
        <f>IFERROR(IF(SUMIFS(tblDaily[Deaths],tblDaily[EntryDate],DATE(2026,6,14),tblDaily[WardCode],"CW")=0,"",SUMIFS(tblDaily[Deaths],tblDaily[EntryDate],DATE(2026,6,14),tblDaily[WardCode],"CW")),"")</f>
        <v/>
      </c>
      <c r="E215" s="12">
        <f>IFERROR(IF(SUMIFS(tblDaily[DeathsUnder24Hrs],tblDaily[EntryDate],DATE(2026,6,14),tblDaily[WardCode],"CW")=0,"",SUMIFS(tblDaily[DeathsUnder24Hrs],tblDaily[EntryDate],DATE(2026,6,14),tblDaily[WardCode],"CW")),"")</f>
        <v/>
      </c>
      <c r="F215" s="12">
        <f>IFERROR(IF(SUMIFS(tblDaily[TransfersIn],tblDaily[EntryDate],DATE(2026,6,14),tblDaily[WardCode],"CW")=0,"",SUMIFS(tblDaily[TransfersIn],tblDaily[EntryDate],DATE(2026,6,14),tblDaily[WardCode],"CW")),"")</f>
        <v/>
      </c>
      <c r="G215" s="12">
        <f>IFERROR(IF(SUMIFS(tblDaily[TransfersOut],tblDaily[EntryDate],DATE(2026,6,14),tblDaily[WardCode],"CW")=0,"",SUMIFS(tblDaily[TransfersOut],tblDaily[EntryDate],DATE(2026,6,14),tblDaily[WardCode],"CW")),"")</f>
        <v/>
      </c>
      <c r="H215" s="12">
        <f>IFERROR(IF(SUMIFS(tblDaily[Remaining],tblDaily[EntryDate],DATE(2026,6,14),tblDaily[WardCode],"CW")=0,"",SUMIFS(tblDaily[Remaining],tblDaily[EntryDate],DATE(2026,6,14),tblDaily[WardCode],"CW")),"")</f>
        <v/>
      </c>
    </row>
    <row r="216">
      <c r="A216" s="12" t="n">
        <v>15</v>
      </c>
      <c r="B216" s="12">
        <f>IFERROR(IF(SUMIFS(tblDaily[Admissions],tblDaily[EntryDate],DATE(2026,6,15),tblDaily[WardCode],"CW")=0,"",SUMIFS(tblDaily[Admissions],tblDaily[EntryDate],DATE(2026,6,15),tblDaily[WardCode],"CW")),"")</f>
        <v/>
      </c>
      <c r="C216" s="12">
        <f>IFERROR(IF(SUMIFS(tblDaily[Discharges],tblDaily[EntryDate],DATE(2026,6,15),tblDaily[WardCode],"CW")=0,"",SUMIFS(tblDaily[Discharges],tblDaily[EntryDate],DATE(2026,6,15),tblDaily[WardCode],"CW")),"")</f>
        <v/>
      </c>
      <c r="D216" s="12">
        <f>IFERROR(IF(SUMIFS(tblDaily[Deaths],tblDaily[EntryDate],DATE(2026,6,15),tblDaily[WardCode],"CW")=0,"",SUMIFS(tblDaily[Deaths],tblDaily[EntryDate],DATE(2026,6,15),tblDaily[WardCode],"CW")),"")</f>
        <v/>
      </c>
      <c r="E216" s="12">
        <f>IFERROR(IF(SUMIFS(tblDaily[DeathsUnder24Hrs],tblDaily[EntryDate],DATE(2026,6,15),tblDaily[WardCode],"CW")=0,"",SUMIFS(tblDaily[DeathsUnder24Hrs],tblDaily[EntryDate],DATE(2026,6,15),tblDaily[WardCode],"CW")),"")</f>
        <v/>
      </c>
      <c r="F216" s="12">
        <f>IFERROR(IF(SUMIFS(tblDaily[TransfersIn],tblDaily[EntryDate],DATE(2026,6,15),tblDaily[WardCode],"CW")=0,"",SUMIFS(tblDaily[TransfersIn],tblDaily[EntryDate],DATE(2026,6,15),tblDaily[WardCode],"CW")),"")</f>
        <v/>
      </c>
      <c r="G216" s="12">
        <f>IFERROR(IF(SUMIFS(tblDaily[TransfersOut],tblDaily[EntryDate],DATE(2026,6,15),tblDaily[WardCode],"CW")=0,"",SUMIFS(tblDaily[TransfersOut],tblDaily[EntryDate],DATE(2026,6,15),tblDaily[WardCode],"CW")),"")</f>
        <v/>
      </c>
      <c r="H216" s="12">
        <f>IFERROR(IF(SUMIFS(tblDaily[Remaining],tblDaily[EntryDate],DATE(2026,6,15),tblDaily[WardCode],"CW")=0,"",SUMIFS(tblDaily[Remaining],tblDaily[EntryDate],DATE(2026,6,15),tblDaily[WardCode],"CW")),"")</f>
        <v/>
      </c>
    </row>
    <row r="217">
      <c r="A217" s="12" t="n">
        <v>16</v>
      </c>
      <c r="B217" s="12">
        <f>IFERROR(IF(SUMIFS(tblDaily[Admissions],tblDaily[EntryDate],DATE(2026,6,16),tblDaily[WardCode],"CW")=0,"",SUMIFS(tblDaily[Admissions],tblDaily[EntryDate],DATE(2026,6,16),tblDaily[WardCode],"CW")),"")</f>
        <v/>
      </c>
      <c r="C217" s="12">
        <f>IFERROR(IF(SUMIFS(tblDaily[Discharges],tblDaily[EntryDate],DATE(2026,6,16),tblDaily[WardCode],"CW")=0,"",SUMIFS(tblDaily[Discharges],tblDaily[EntryDate],DATE(2026,6,16),tblDaily[WardCode],"CW")),"")</f>
        <v/>
      </c>
      <c r="D217" s="12">
        <f>IFERROR(IF(SUMIFS(tblDaily[Deaths],tblDaily[EntryDate],DATE(2026,6,16),tblDaily[WardCode],"CW")=0,"",SUMIFS(tblDaily[Deaths],tblDaily[EntryDate],DATE(2026,6,16),tblDaily[WardCode],"CW")),"")</f>
        <v/>
      </c>
      <c r="E217" s="12">
        <f>IFERROR(IF(SUMIFS(tblDaily[DeathsUnder24Hrs],tblDaily[EntryDate],DATE(2026,6,16),tblDaily[WardCode],"CW")=0,"",SUMIFS(tblDaily[DeathsUnder24Hrs],tblDaily[EntryDate],DATE(2026,6,16),tblDaily[WardCode],"CW")),"")</f>
        <v/>
      </c>
      <c r="F217" s="12">
        <f>IFERROR(IF(SUMIFS(tblDaily[TransfersIn],tblDaily[EntryDate],DATE(2026,6,16),tblDaily[WardCode],"CW")=0,"",SUMIFS(tblDaily[TransfersIn],tblDaily[EntryDate],DATE(2026,6,16),tblDaily[WardCode],"CW")),"")</f>
        <v/>
      </c>
      <c r="G217" s="12">
        <f>IFERROR(IF(SUMIFS(tblDaily[TransfersOut],tblDaily[EntryDate],DATE(2026,6,16),tblDaily[WardCode],"CW")=0,"",SUMIFS(tblDaily[TransfersOut],tblDaily[EntryDate],DATE(2026,6,16),tblDaily[WardCode],"CW")),"")</f>
        <v/>
      </c>
      <c r="H217" s="12">
        <f>IFERROR(IF(SUMIFS(tblDaily[Remaining],tblDaily[EntryDate],DATE(2026,6,16),tblDaily[WardCode],"CW")=0,"",SUMIFS(tblDaily[Remaining],tblDaily[EntryDate],DATE(2026,6,16),tblDaily[WardCode],"CW")),"")</f>
        <v/>
      </c>
    </row>
    <row r="218">
      <c r="A218" s="12" t="n">
        <v>17</v>
      </c>
      <c r="B218" s="12">
        <f>IFERROR(IF(SUMIFS(tblDaily[Admissions],tblDaily[EntryDate],DATE(2026,6,17),tblDaily[WardCode],"CW")=0,"",SUMIFS(tblDaily[Admissions],tblDaily[EntryDate],DATE(2026,6,17),tblDaily[WardCode],"CW")),"")</f>
        <v/>
      </c>
      <c r="C218" s="12">
        <f>IFERROR(IF(SUMIFS(tblDaily[Discharges],tblDaily[EntryDate],DATE(2026,6,17),tblDaily[WardCode],"CW")=0,"",SUMIFS(tblDaily[Discharges],tblDaily[EntryDate],DATE(2026,6,17),tblDaily[WardCode],"CW")),"")</f>
        <v/>
      </c>
      <c r="D218" s="12">
        <f>IFERROR(IF(SUMIFS(tblDaily[Deaths],tblDaily[EntryDate],DATE(2026,6,17),tblDaily[WardCode],"CW")=0,"",SUMIFS(tblDaily[Deaths],tblDaily[EntryDate],DATE(2026,6,17),tblDaily[WardCode],"CW")),"")</f>
        <v/>
      </c>
      <c r="E218" s="12">
        <f>IFERROR(IF(SUMIFS(tblDaily[DeathsUnder24Hrs],tblDaily[EntryDate],DATE(2026,6,17),tblDaily[WardCode],"CW")=0,"",SUMIFS(tblDaily[DeathsUnder24Hrs],tblDaily[EntryDate],DATE(2026,6,17),tblDaily[WardCode],"CW")),"")</f>
        <v/>
      </c>
      <c r="F218" s="12">
        <f>IFERROR(IF(SUMIFS(tblDaily[TransfersIn],tblDaily[EntryDate],DATE(2026,6,17),tblDaily[WardCode],"CW")=0,"",SUMIFS(tblDaily[TransfersIn],tblDaily[EntryDate],DATE(2026,6,17),tblDaily[WardCode],"CW")),"")</f>
        <v/>
      </c>
      <c r="G218" s="12">
        <f>IFERROR(IF(SUMIFS(tblDaily[TransfersOut],tblDaily[EntryDate],DATE(2026,6,17),tblDaily[WardCode],"CW")=0,"",SUMIFS(tblDaily[TransfersOut],tblDaily[EntryDate],DATE(2026,6,17),tblDaily[WardCode],"CW")),"")</f>
        <v/>
      </c>
      <c r="H218" s="12">
        <f>IFERROR(IF(SUMIFS(tblDaily[Remaining],tblDaily[EntryDate],DATE(2026,6,17),tblDaily[WardCode],"CW")=0,"",SUMIFS(tblDaily[Remaining],tblDaily[EntryDate],DATE(2026,6,17),tblDaily[WardCode],"CW")),"")</f>
        <v/>
      </c>
    </row>
    <row r="219">
      <c r="A219" s="12" t="n">
        <v>18</v>
      </c>
      <c r="B219" s="12">
        <f>IFERROR(IF(SUMIFS(tblDaily[Admissions],tblDaily[EntryDate],DATE(2026,6,18),tblDaily[WardCode],"CW")=0,"",SUMIFS(tblDaily[Admissions],tblDaily[EntryDate],DATE(2026,6,18),tblDaily[WardCode],"CW")),"")</f>
        <v/>
      </c>
      <c r="C219" s="12">
        <f>IFERROR(IF(SUMIFS(tblDaily[Discharges],tblDaily[EntryDate],DATE(2026,6,18),tblDaily[WardCode],"CW")=0,"",SUMIFS(tblDaily[Discharges],tblDaily[EntryDate],DATE(2026,6,18),tblDaily[WardCode],"CW")),"")</f>
        <v/>
      </c>
      <c r="D219" s="12">
        <f>IFERROR(IF(SUMIFS(tblDaily[Deaths],tblDaily[EntryDate],DATE(2026,6,18),tblDaily[WardCode],"CW")=0,"",SUMIFS(tblDaily[Deaths],tblDaily[EntryDate],DATE(2026,6,18),tblDaily[WardCode],"CW")),"")</f>
        <v/>
      </c>
      <c r="E219" s="12">
        <f>IFERROR(IF(SUMIFS(tblDaily[DeathsUnder24Hrs],tblDaily[EntryDate],DATE(2026,6,18),tblDaily[WardCode],"CW")=0,"",SUMIFS(tblDaily[DeathsUnder24Hrs],tblDaily[EntryDate],DATE(2026,6,18),tblDaily[WardCode],"CW")),"")</f>
        <v/>
      </c>
      <c r="F219" s="12">
        <f>IFERROR(IF(SUMIFS(tblDaily[TransfersIn],tblDaily[EntryDate],DATE(2026,6,18),tblDaily[WardCode],"CW")=0,"",SUMIFS(tblDaily[TransfersIn],tblDaily[EntryDate],DATE(2026,6,18),tblDaily[WardCode],"CW")),"")</f>
        <v/>
      </c>
      <c r="G219" s="12">
        <f>IFERROR(IF(SUMIFS(tblDaily[TransfersOut],tblDaily[EntryDate],DATE(2026,6,18),tblDaily[WardCode],"CW")=0,"",SUMIFS(tblDaily[TransfersOut],tblDaily[EntryDate],DATE(2026,6,18),tblDaily[WardCode],"CW")),"")</f>
        <v/>
      </c>
      <c r="H219" s="12">
        <f>IFERROR(IF(SUMIFS(tblDaily[Remaining],tblDaily[EntryDate],DATE(2026,6,18),tblDaily[WardCode],"CW")=0,"",SUMIFS(tblDaily[Remaining],tblDaily[EntryDate],DATE(2026,6,18),tblDaily[WardCode],"CW")),"")</f>
        <v/>
      </c>
    </row>
    <row r="220">
      <c r="A220" s="12" t="n">
        <v>19</v>
      </c>
      <c r="B220" s="12">
        <f>IFERROR(IF(SUMIFS(tblDaily[Admissions],tblDaily[EntryDate],DATE(2026,6,19),tblDaily[WardCode],"CW")=0,"",SUMIFS(tblDaily[Admissions],tblDaily[EntryDate],DATE(2026,6,19),tblDaily[WardCode],"CW")),"")</f>
        <v/>
      </c>
      <c r="C220" s="12">
        <f>IFERROR(IF(SUMIFS(tblDaily[Discharges],tblDaily[EntryDate],DATE(2026,6,19),tblDaily[WardCode],"CW")=0,"",SUMIFS(tblDaily[Discharges],tblDaily[EntryDate],DATE(2026,6,19),tblDaily[WardCode],"CW")),"")</f>
        <v/>
      </c>
      <c r="D220" s="12">
        <f>IFERROR(IF(SUMIFS(tblDaily[Deaths],tblDaily[EntryDate],DATE(2026,6,19),tblDaily[WardCode],"CW")=0,"",SUMIFS(tblDaily[Deaths],tblDaily[EntryDate],DATE(2026,6,19),tblDaily[WardCode],"CW")),"")</f>
        <v/>
      </c>
      <c r="E220" s="12">
        <f>IFERROR(IF(SUMIFS(tblDaily[DeathsUnder24Hrs],tblDaily[EntryDate],DATE(2026,6,19),tblDaily[WardCode],"CW")=0,"",SUMIFS(tblDaily[DeathsUnder24Hrs],tblDaily[EntryDate],DATE(2026,6,19),tblDaily[WardCode],"CW")),"")</f>
        <v/>
      </c>
      <c r="F220" s="12">
        <f>IFERROR(IF(SUMIFS(tblDaily[TransfersIn],tblDaily[EntryDate],DATE(2026,6,19),tblDaily[WardCode],"CW")=0,"",SUMIFS(tblDaily[TransfersIn],tblDaily[EntryDate],DATE(2026,6,19),tblDaily[WardCode],"CW")),"")</f>
        <v/>
      </c>
      <c r="G220" s="12">
        <f>IFERROR(IF(SUMIFS(tblDaily[TransfersOut],tblDaily[EntryDate],DATE(2026,6,19),tblDaily[WardCode],"CW")=0,"",SUMIFS(tblDaily[TransfersOut],tblDaily[EntryDate],DATE(2026,6,19),tblDaily[WardCode],"CW")),"")</f>
        <v/>
      </c>
      <c r="H220" s="12">
        <f>IFERROR(IF(SUMIFS(tblDaily[Remaining],tblDaily[EntryDate],DATE(2026,6,19),tblDaily[WardCode],"CW")=0,"",SUMIFS(tblDaily[Remaining],tblDaily[EntryDate],DATE(2026,6,19),tblDaily[WardCode],"CW")),"")</f>
        <v/>
      </c>
    </row>
    <row r="221">
      <c r="A221" s="12" t="n">
        <v>20</v>
      </c>
      <c r="B221" s="12">
        <f>IFERROR(IF(SUMIFS(tblDaily[Admissions],tblDaily[EntryDate],DATE(2026,6,20),tblDaily[WardCode],"CW")=0,"",SUMIFS(tblDaily[Admissions],tblDaily[EntryDate],DATE(2026,6,20),tblDaily[WardCode],"CW")),"")</f>
        <v/>
      </c>
      <c r="C221" s="12">
        <f>IFERROR(IF(SUMIFS(tblDaily[Discharges],tblDaily[EntryDate],DATE(2026,6,20),tblDaily[WardCode],"CW")=0,"",SUMIFS(tblDaily[Discharges],tblDaily[EntryDate],DATE(2026,6,20),tblDaily[WardCode],"CW")),"")</f>
        <v/>
      </c>
      <c r="D221" s="12">
        <f>IFERROR(IF(SUMIFS(tblDaily[Deaths],tblDaily[EntryDate],DATE(2026,6,20),tblDaily[WardCode],"CW")=0,"",SUMIFS(tblDaily[Deaths],tblDaily[EntryDate],DATE(2026,6,20),tblDaily[WardCode],"CW")),"")</f>
        <v/>
      </c>
      <c r="E221" s="12">
        <f>IFERROR(IF(SUMIFS(tblDaily[DeathsUnder24Hrs],tblDaily[EntryDate],DATE(2026,6,20),tblDaily[WardCode],"CW")=0,"",SUMIFS(tblDaily[DeathsUnder24Hrs],tblDaily[EntryDate],DATE(2026,6,20),tblDaily[WardCode],"CW")),"")</f>
        <v/>
      </c>
      <c r="F221" s="12">
        <f>IFERROR(IF(SUMIFS(tblDaily[TransfersIn],tblDaily[EntryDate],DATE(2026,6,20),tblDaily[WardCode],"CW")=0,"",SUMIFS(tblDaily[TransfersIn],tblDaily[EntryDate],DATE(2026,6,20),tblDaily[WardCode],"CW")),"")</f>
        <v/>
      </c>
      <c r="G221" s="12">
        <f>IFERROR(IF(SUMIFS(tblDaily[TransfersOut],tblDaily[EntryDate],DATE(2026,6,20),tblDaily[WardCode],"CW")=0,"",SUMIFS(tblDaily[TransfersOut],tblDaily[EntryDate],DATE(2026,6,20),tblDaily[WardCode],"CW")),"")</f>
        <v/>
      </c>
      <c r="H221" s="12">
        <f>IFERROR(IF(SUMIFS(tblDaily[Remaining],tblDaily[EntryDate],DATE(2026,6,20),tblDaily[WardCode],"CW")=0,"",SUMIFS(tblDaily[Remaining],tblDaily[EntryDate],DATE(2026,6,20),tblDaily[WardCode],"CW")),"")</f>
        <v/>
      </c>
    </row>
    <row r="222">
      <c r="A222" s="12" t="n">
        <v>21</v>
      </c>
      <c r="B222" s="12">
        <f>IFERROR(IF(SUMIFS(tblDaily[Admissions],tblDaily[EntryDate],DATE(2026,6,21),tblDaily[WardCode],"CW")=0,"",SUMIFS(tblDaily[Admissions],tblDaily[EntryDate],DATE(2026,6,21),tblDaily[WardCode],"CW")),"")</f>
        <v/>
      </c>
      <c r="C222" s="12">
        <f>IFERROR(IF(SUMIFS(tblDaily[Discharges],tblDaily[EntryDate],DATE(2026,6,21),tblDaily[WardCode],"CW")=0,"",SUMIFS(tblDaily[Discharges],tblDaily[EntryDate],DATE(2026,6,21),tblDaily[WardCode],"CW")),"")</f>
        <v/>
      </c>
      <c r="D222" s="12">
        <f>IFERROR(IF(SUMIFS(tblDaily[Deaths],tblDaily[EntryDate],DATE(2026,6,21),tblDaily[WardCode],"CW")=0,"",SUMIFS(tblDaily[Deaths],tblDaily[EntryDate],DATE(2026,6,21),tblDaily[WardCode],"CW")),"")</f>
        <v/>
      </c>
      <c r="E222" s="12">
        <f>IFERROR(IF(SUMIFS(tblDaily[DeathsUnder24Hrs],tblDaily[EntryDate],DATE(2026,6,21),tblDaily[WardCode],"CW")=0,"",SUMIFS(tblDaily[DeathsUnder24Hrs],tblDaily[EntryDate],DATE(2026,6,21),tblDaily[WardCode],"CW")),"")</f>
        <v/>
      </c>
      <c r="F222" s="12">
        <f>IFERROR(IF(SUMIFS(tblDaily[TransfersIn],tblDaily[EntryDate],DATE(2026,6,21),tblDaily[WardCode],"CW")=0,"",SUMIFS(tblDaily[TransfersIn],tblDaily[EntryDate],DATE(2026,6,21),tblDaily[WardCode],"CW")),"")</f>
        <v/>
      </c>
      <c r="G222" s="12">
        <f>IFERROR(IF(SUMIFS(tblDaily[TransfersOut],tblDaily[EntryDate],DATE(2026,6,21),tblDaily[WardCode],"CW")=0,"",SUMIFS(tblDaily[TransfersOut],tblDaily[EntryDate],DATE(2026,6,21),tblDaily[WardCode],"CW")),"")</f>
        <v/>
      </c>
      <c r="H222" s="12">
        <f>IFERROR(IF(SUMIFS(tblDaily[Remaining],tblDaily[EntryDate],DATE(2026,6,21),tblDaily[WardCode],"CW")=0,"",SUMIFS(tblDaily[Remaining],tblDaily[EntryDate],DATE(2026,6,21),tblDaily[WardCode],"CW")),"")</f>
        <v/>
      </c>
    </row>
    <row r="223">
      <c r="A223" s="12" t="n">
        <v>22</v>
      </c>
      <c r="B223" s="12">
        <f>IFERROR(IF(SUMIFS(tblDaily[Admissions],tblDaily[EntryDate],DATE(2026,6,22),tblDaily[WardCode],"CW")=0,"",SUMIFS(tblDaily[Admissions],tblDaily[EntryDate],DATE(2026,6,22),tblDaily[WardCode],"CW")),"")</f>
        <v/>
      </c>
      <c r="C223" s="12">
        <f>IFERROR(IF(SUMIFS(tblDaily[Discharges],tblDaily[EntryDate],DATE(2026,6,22),tblDaily[WardCode],"CW")=0,"",SUMIFS(tblDaily[Discharges],tblDaily[EntryDate],DATE(2026,6,22),tblDaily[WardCode],"CW")),"")</f>
        <v/>
      </c>
      <c r="D223" s="12">
        <f>IFERROR(IF(SUMIFS(tblDaily[Deaths],tblDaily[EntryDate],DATE(2026,6,22),tblDaily[WardCode],"CW")=0,"",SUMIFS(tblDaily[Deaths],tblDaily[EntryDate],DATE(2026,6,22),tblDaily[WardCode],"CW")),"")</f>
        <v/>
      </c>
      <c r="E223" s="12">
        <f>IFERROR(IF(SUMIFS(tblDaily[DeathsUnder24Hrs],tblDaily[EntryDate],DATE(2026,6,22),tblDaily[WardCode],"CW")=0,"",SUMIFS(tblDaily[DeathsUnder24Hrs],tblDaily[EntryDate],DATE(2026,6,22),tblDaily[WardCode],"CW")),"")</f>
        <v/>
      </c>
      <c r="F223" s="12">
        <f>IFERROR(IF(SUMIFS(tblDaily[TransfersIn],tblDaily[EntryDate],DATE(2026,6,22),tblDaily[WardCode],"CW")=0,"",SUMIFS(tblDaily[TransfersIn],tblDaily[EntryDate],DATE(2026,6,22),tblDaily[WardCode],"CW")),"")</f>
        <v/>
      </c>
      <c r="G223" s="12">
        <f>IFERROR(IF(SUMIFS(tblDaily[TransfersOut],tblDaily[EntryDate],DATE(2026,6,22),tblDaily[WardCode],"CW")=0,"",SUMIFS(tblDaily[TransfersOut],tblDaily[EntryDate],DATE(2026,6,22),tblDaily[WardCode],"CW")),"")</f>
        <v/>
      </c>
      <c r="H223" s="12">
        <f>IFERROR(IF(SUMIFS(tblDaily[Remaining],tblDaily[EntryDate],DATE(2026,6,22),tblDaily[WardCode],"CW")=0,"",SUMIFS(tblDaily[Remaining],tblDaily[EntryDate],DATE(2026,6,22),tblDaily[WardCode],"CW")),"")</f>
        <v/>
      </c>
    </row>
    <row r="224">
      <c r="A224" s="12" t="n">
        <v>23</v>
      </c>
      <c r="B224" s="12">
        <f>IFERROR(IF(SUMIFS(tblDaily[Admissions],tblDaily[EntryDate],DATE(2026,6,23),tblDaily[WardCode],"CW")=0,"",SUMIFS(tblDaily[Admissions],tblDaily[EntryDate],DATE(2026,6,23),tblDaily[WardCode],"CW")),"")</f>
        <v/>
      </c>
      <c r="C224" s="12">
        <f>IFERROR(IF(SUMIFS(tblDaily[Discharges],tblDaily[EntryDate],DATE(2026,6,23),tblDaily[WardCode],"CW")=0,"",SUMIFS(tblDaily[Discharges],tblDaily[EntryDate],DATE(2026,6,23),tblDaily[WardCode],"CW")),"")</f>
        <v/>
      </c>
      <c r="D224" s="12">
        <f>IFERROR(IF(SUMIFS(tblDaily[Deaths],tblDaily[EntryDate],DATE(2026,6,23),tblDaily[WardCode],"CW")=0,"",SUMIFS(tblDaily[Deaths],tblDaily[EntryDate],DATE(2026,6,23),tblDaily[WardCode],"CW")),"")</f>
        <v/>
      </c>
      <c r="E224" s="12">
        <f>IFERROR(IF(SUMIFS(tblDaily[DeathsUnder24Hrs],tblDaily[EntryDate],DATE(2026,6,23),tblDaily[WardCode],"CW")=0,"",SUMIFS(tblDaily[DeathsUnder24Hrs],tblDaily[EntryDate],DATE(2026,6,23),tblDaily[WardCode],"CW")),"")</f>
        <v/>
      </c>
      <c r="F224" s="12">
        <f>IFERROR(IF(SUMIFS(tblDaily[TransfersIn],tblDaily[EntryDate],DATE(2026,6,23),tblDaily[WardCode],"CW")=0,"",SUMIFS(tblDaily[TransfersIn],tblDaily[EntryDate],DATE(2026,6,23),tblDaily[WardCode],"CW")),"")</f>
        <v/>
      </c>
      <c r="G224" s="12">
        <f>IFERROR(IF(SUMIFS(tblDaily[TransfersOut],tblDaily[EntryDate],DATE(2026,6,23),tblDaily[WardCode],"CW")=0,"",SUMIFS(tblDaily[TransfersOut],tblDaily[EntryDate],DATE(2026,6,23),tblDaily[WardCode],"CW")),"")</f>
        <v/>
      </c>
      <c r="H224" s="12">
        <f>IFERROR(IF(SUMIFS(tblDaily[Remaining],tblDaily[EntryDate],DATE(2026,6,23),tblDaily[WardCode],"CW")=0,"",SUMIFS(tblDaily[Remaining],tblDaily[EntryDate],DATE(2026,6,23),tblDaily[WardCode],"CW")),"")</f>
        <v/>
      </c>
    </row>
    <row r="225">
      <c r="A225" s="12" t="n">
        <v>24</v>
      </c>
      <c r="B225" s="12">
        <f>IFERROR(IF(SUMIFS(tblDaily[Admissions],tblDaily[EntryDate],DATE(2026,6,24),tblDaily[WardCode],"CW")=0,"",SUMIFS(tblDaily[Admissions],tblDaily[EntryDate],DATE(2026,6,24),tblDaily[WardCode],"CW")),"")</f>
        <v/>
      </c>
      <c r="C225" s="12">
        <f>IFERROR(IF(SUMIFS(tblDaily[Discharges],tblDaily[EntryDate],DATE(2026,6,24),tblDaily[WardCode],"CW")=0,"",SUMIFS(tblDaily[Discharges],tblDaily[EntryDate],DATE(2026,6,24),tblDaily[WardCode],"CW")),"")</f>
        <v/>
      </c>
      <c r="D225" s="12">
        <f>IFERROR(IF(SUMIFS(tblDaily[Deaths],tblDaily[EntryDate],DATE(2026,6,24),tblDaily[WardCode],"CW")=0,"",SUMIFS(tblDaily[Deaths],tblDaily[EntryDate],DATE(2026,6,24),tblDaily[WardCode],"CW")),"")</f>
        <v/>
      </c>
      <c r="E225" s="12">
        <f>IFERROR(IF(SUMIFS(tblDaily[DeathsUnder24Hrs],tblDaily[EntryDate],DATE(2026,6,24),tblDaily[WardCode],"CW")=0,"",SUMIFS(tblDaily[DeathsUnder24Hrs],tblDaily[EntryDate],DATE(2026,6,24),tblDaily[WardCode],"CW")),"")</f>
        <v/>
      </c>
      <c r="F225" s="12">
        <f>IFERROR(IF(SUMIFS(tblDaily[TransfersIn],tblDaily[EntryDate],DATE(2026,6,24),tblDaily[WardCode],"CW")=0,"",SUMIFS(tblDaily[TransfersIn],tblDaily[EntryDate],DATE(2026,6,24),tblDaily[WardCode],"CW")),"")</f>
        <v/>
      </c>
      <c r="G225" s="12">
        <f>IFERROR(IF(SUMIFS(tblDaily[TransfersOut],tblDaily[EntryDate],DATE(2026,6,24),tblDaily[WardCode],"CW")=0,"",SUMIFS(tblDaily[TransfersOut],tblDaily[EntryDate],DATE(2026,6,24),tblDaily[WardCode],"CW")),"")</f>
        <v/>
      </c>
      <c r="H225" s="12">
        <f>IFERROR(IF(SUMIFS(tblDaily[Remaining],tblDaily[EntryDate],DATE(2026,6,24),tblDaily[WardCode],"CW")=0,"",SUMIFS(tblDaily[Remaining],tblDaily[EntryDate],DATE(2026,6,24),tblDaily[WardCode],"CW")),"")</f>
        <v/>
      </c>
    </row>
    <row r="226">
      <c r="A226" s="12" t="n">
        <v>25</v>
      </c>
      <c r="B226" s="12">
        <f>IFERROR(IF(SUMIFS(tblDaily[Admissions],tblDaily[EntryDate],DATE(2026,6,25),tblDaily[WardCode],"CW")=0,"",SUMIFS(tblDaily[Admissions],tblDaily[EntryDate],DATE(2026,6,25),tblDaily[WardCode],"CW")),"")</f>
        <v/>
      </c>
      <c r="C226" s="12">
        <f>IFERROR(IF(SUMIFS(tblDaily[Discharges],tblDaily[EntryDate],DATE(2026,6,25),tblDaily[WardCode],"CW")=0,"",SUMIFS(tblDaily[Discharges],tblDaily[EntryDate],DATE(2026,6,25),tblDaily[WardCode],"CW")),"")</f>
        <v/>
      </c>
      <c r="D226" s="12">
        <f>IFERROR(IF(SUMIFS(tblDaily[Deaths],tblDaily[EntryDate],DATE(2026,6,25),tblDaily[WardCode],"CW")=0,"",SUMIFS(tblDaily[Deaths],tblDaily[EntryDate],DATE(2026,6,25),tblDaily[WardCode],"CW")),"")</f>
        <v/>
      </c>
      <c r="E226" s="12">
        <f>IFERROR(IF(SUMIFS(tblDaily[DeathsUnder24Hrs],tblDaily[EntryDate],DATE(2026,6,25),tblDaily[WardCode],"CW")=0,"",SUMIFS(tblDaily[DeathsUnder24Hrs],tblDaily[EntryDate],DATE(2026,6,25),tblDaily[WardCode],"CW")),"")</f>
        <v/>
      </c>
      <c r="F226" s="12">
        <f>IFERROR(IF(SUMIFS(tblDaily[TransfersIn],tblDaily[EntryDate],DATE(2026,6,25),tblDaily[WardCode],"CW")=0,"",SUMIFS(tblDaily[TransfersIn],tblDaily[EntryDate],DATE(2026,6,25),tblDaily[WardCode],"CW")),"")</f>
        <v/>
      </c>
      <c r="G226" s="12">
        <f>IFERROR(IF(SUMIFS(tblDaily[TransfersOut],tblDaily[EntryDate],DATE(2026,6,25),tblDaily[WardCode],"CW")=0,"",SUMIFS(tblDaily[TransfersOut],tblDaily[EntryDate],DATE(2026,6,25),tblDaily[WardCode],"CW")),"")</f>
        <v/>
      </c>
      <c r="H226" s="12">
        <f>IFERROR(IF(SUMIFS(tblDaily[Remaining],tblDaily[EntryDate],DATE(2026,6,25),tblDaily[WardCode],"CW")=0,"",SUMIFS(tblDaily[Remaining],tblDaily[EntryDate],DATE(2026,6,25),tblDaily[WardCode],"CW")),"")</f>
        <v/>
      </c>
    </row>
    <row r="227">
      <c r="A227" s="12" t="n">
        <v>26</v>
      </c>
      <c r="B227" s="12">
        <f>IFERROR(IF(SUMIFS(tblDaily[Admissions],tblDaily[EntryDate],DATE(2026,6,26),tblDaily[WardCode],"CW")=0,"",SUMIFS(tblDaily[Admissions],tblDaily[EntryDate],DATE(2026,6,26),tblDaily[WardCode],"CW")),"")</f>
        <v/>
      </c>
      <c r="C227" s="12">
        <f>IFERROR(IF(SUMIFS(tblDaily[Discharges],tblDaily[EntryDate],DATE(2026,6,26),tblDaily[WardCode],"CW")=0,"",SUMIFS(tblDaily[Discharges],tblDaily[EntryDate],DATE(2026,6,26),tblDaily[WardCode],"CW")),"")</f>
        <v/>
      </c>
      <c r="D227" s="12">
        <f>IFERROR(IF(SUMIFS(tblDaily[Deaths],tblDaily[EntryDate],DATE(2026,6,26),tblDaily[WardCode],"CW")=0,"",SUMIFS(tblDaily[Deaths],tblDaily[EntryDate],DATE(2026,6,26),tblDaily[WardCode],"CW")),"")</f>
        <v/>
      </c>
      <c r="E227" s="12">
        <f>IFERROR(IF(SUMIFS(tblDaily[DeathsUnder24Hrs],tblDaily[EntryDate],DATE(2026,6,26),tblDaily[WardCode],"CW")=0,"",SUMIFS(tblDaily[DeathsUnder24Hrs],tblDaily[EntryDate],DATE(2026,6,26),tblDaily[WardCode],"CW")),"")</f>
        <v/>
      </c>
      <c r="F227" s="12">
        <f>IFERROR(IF(SUMIFS(tblDaily[TransfersIn],tblDaily[EntryDate],DATE(2026,6,26),tblDaily[WardCode],"CW")=0,"",SUMIFS(tblDaily[TransfersIn],tblDaily[EntryDate],DATE(2026,6,26),tblDaily[WardCode],"CW")),"")</f>
        <v/>
      </c>
      <c r="G227" s="12">
        <f>IFERROR(IF(SUMIFS(tblDaily[TransfersOut],tblDaily[EntryDate],DATE(2026,6,26),tblDaily[WardCode],"CW")=0,"",SUMIFS(tblDaily[TransfersOut],tblDaily[EntryDate],DATE(2026,6,26),tblDaily[WardCode],"CW")),"")</f>
        <v/>
      </c>
      <c r="H227" s="12">
        <f>IFERROR(IF(SUMIFS(tblDaily[Remaining],tblDaily[EntryDate],DATE(2026,6,26),tblDaily[WardCode],"CW")=0,"",SUMIFS(tblDaily[Remaining],tblDaily[EntryDate],DATE(2026,6,26),tblDaily[WardCode],"CW")),"")</f>
        <v/>
      </c>
    </row>
    <row r="228">
      <c r="A228" s="12" t="n">
        <v>27</v>
      </c>
      <c r="B228" s="12">
        <f>IFERROR(IF(SUMIFS(tblDaily[Admissions],tblDaily[EntryDate],DATE(2026,6,27),tblDaily[WardCode],"CW")=0,"",SUMIFS(tblDaily[Admissions],tblDaily[EntryDate],DATE(2026,6,27),tblDaily[WardCode],"CW")),"")</f>
        <v/>
      </c>
      <c r="C228" s="12">
        <f>IFERROR(IF(SUMIFS(tblDaily[Discharges],tblDaily[EntryDate],DATE(2026,6,27),tblDaily[WardCode],"CW")=0,"",SUMIFS(tblDaily[Discharges],tblDaily[EntryDate],DATE(2026,6,27),tblDaily[WardCode],"CW")),"")</f>
        <v/>
      </c>
      <c r="D228" s="12">
        <f>IFERROR(IF(SUMIFS(tblDaily[Deaths],tblDaily[EntryDate],DATE(2026,6,27),tblDaily[WardCode],"CW")=0,"",SUMIFS(tblDaily[Deaths],tblDaily[EntryDate],DATE(2026,6,27),tblDaily[WardCode],"CW")),"")</f>
        <v/>
      </c>
      <c r="E228" s="12">
        <f>IFERROR(IF(SUMIFS(tblDaily[DeathsUnder24Hrs],tblDaily[EntryDate],DATE(2026,6,27),tblDaily[WardCode],"CW")=0,"",SUMIFS(tblDaily[DeathsUnder24Hrs],tblDaily[EntryDate],DATE(2026,6,27),tblDaily[WardCode],"CW")),"")</f>
        <v/>
      </c>
      <c r="F228" s="12">
        <f>IFERROR(IF(SUMIFS(tblDaily[TransfersIn],tblDaily[EntryDate],DATE(2026,6,27),tblDaily[WardCode],"CW")=0,"",SUMIFS(tblDaily[TransfersIn],tblDaily[EntryDate],DATE(2026,6,27),tblDaily[WardCode],"CW")),"")</f>
        <v/>
      </c>
      <c r="G228" s="12">
        <f>IFERROR(IF(SUMIFS(tblDaily[TransfersOut],tblDaily[EntryDate],DATE(2026,6,27),tblDaily[WardCode],"CW")=0,"",SUMIFS(tblDaily[TransfersOut],tblDaily[EntryDate],DATE(2026,6,27),tblDaily[WardCode],"CW")),"")</f>
        <v/>
      </c>
      <c r="H228" s="12">
        <f>IFERROR(IF(SUMIFS(tblDaily[Remaining],tblDaily[EntryDate],DATE(2026,6,27),tblDaily[WardCode],"CW")=0,"",SUMIFS(tblDaily[Remaining],tblDaily[EntryDate],DATE(2026,6,27),tblDaily[WardCode],"CW")),"")</f>
        <v/>
      </c>
    </row>
    <row r="229">
      <c r="A229" s="12" t="n">
        <v>28</v>
      </c>
      <c r="B229" s="12">
        <f>IFERROR(IF(SUMIFS(tblDaily[Admissions],tblDaily[EntryDate],DATE(2026,6,28),tblDaily[WardCode],"CW")=0,"",SUMIFS(tblDaily[Admissions],tblDaily[EntryDate],DATE(2026,6,28),tblDaily[WardCode],"CW")),"")</f>
        <v/>
      </c>
      <c r="C229" s="12">
        <f>IFERROR(IF(SUMIFS(tblDaily[Discharges],tblDaily[EntryDate],DATE(2026,6,28),tblDaily[WardCode],"CW")=0,"",SUMIFS(tblDaily[Discharges],tblDaily[EntryDate],DATE(2026,6,28),tblDaily[WardCode],"CW")),"")</f>
        <v/>
      </c>
      <c r="D229" s="12">
        <f>IFERROR(IF(SUMIFS(tblDaily[Deaths],tblDaily[EntryDate],DATE(2026,6,28),tblDaily[WardCode],"CW")=0,"",SUMIFS(tblDaily[Deaths],tblDaily[EntryDate],DATE(2026,6,28),tblDaily[WardCode],"CW")),"")</f>
        <v/>
      </c>
      <c r="E229" s="12">
        <f>IFERROR(IF(SUMIFS(tblDaily[DeathsUnder24Hrs],tblDaily[EntryDate],DATE(2026,6,28),tblDaily[WardCode],"CW")=0,"",SUMIFS(tblDaily[DeathsUnder24Hrs],tblDaily[EntryDate],DATE(2026,6,28),tblDaily[WardCode],"CW")),"")</f>
        <v/>
      </c>
      <c r="F229" s="12">
        <f>IFERROR(IF(SUMIFS(tblDaily[TransfersIn],tblDaily[EntryDate],DATE(2026,6,28),tblDaily[WardCode],"CW")=0,"",SUMIFS(tblDaily[TransfersIn],tblDaily[EntryDate],DATE(2026,6,28),tblDaily[WardCode],"CW")),"")</f>
        <v/>
      </c>
      <c r="G229" s="12">
        <f>IFERROR(IF(SUMIFS(tblDaily[TransfersOut],tblDaily[EntryDate],DATE(2026,6,28),tblDaily[WardCode],"CW")=0,"",SUMIFS(tblDaily[TransfersOut],tblDaily[EntryDate],DATE(2026,6,28),tblDaily[WardCode],"CW")),"")</f>
        <v/>
      </c>
      <c r="H229" s="12">
        <f>IFERROR(IF(SUMIFS(tblDaily[Remaining],tblDaily[EntryDate],DATE(2026,6,28),tblDaily[WardCode],"CW")=0,"",SUMIFS(tblDaily[Remaining],tblDaily[EntryDate],DATE(2026,6,28),tblDaily[WardCode],"CW")),"")</f>
        <v/>
      </c>
    </row>
    <row r="230">
      <c r="A230" s="12" t="n">
        <v>29</v>
      </c>
      <c r="B230" s="12">
        <f>IFERROR(IF(SUMIFS(tblDaily[Admissions],tblDaily[EntryDate],DATE(2026,6,29),tblDaily[WardCode],"CW")=0,"",SUMIFS(tblDaily[Admissions],tblDaily[EntryDate],DATE(2026,6,29),tblDaily[WardCode],"CW")),"")</f>
        <v/>
      </c>
      <c r="C230" s="12">
        <f>IFERROR(IF(SUMIFS(tblDaily[Discharges],tblDaily[EntryDate],DATE(2026,6,29),tblDaily[WardCode],"CW")=0,"",SUMIFS(tblDaily[Discharges],tblDaily[EntryDate],DATE(2026,6,29),tblDaily[WardCode],"CW")),"")</f>
        <v/>
      </c>
      <c r="D230" s="12">
        <f>IFERROR(IF(SUMIFS(tblDaily[Deaths],tblDaily[EntryDate],DATE(2026,6,29),tblDaily[WardCode],"CW")=0,"",SUMIFS(tblDaily[Deaths],tblDaily[EntryDate],DATE(2026,6,29),tblDaily[WardCode],"CW")),"")</f>
        <v/>
      </c>
      <c r="E230" s="12">
        <f>IFERROR(IF(SUMIFS(tblDaily[DeathsUnder24Hrs],tblDaily[EntryDate],DATE(2026,6,29),tblDaily[WardCode],"CW")=0,"",SUMIFS(tblDaily[DeathsUnder24Hrs],tblDaily[EntryDate],DATE(2026,6,29),tblDaily[WardCode],"CW")),"")</f>
        <v/>
      </c>
      <c r="F230" s="12">
        <f>IFERROR(IF(SUMIFS(tblDaily[TransfersIn],tblDaily[EntryDate],DATE(2026,6,29),tblDaily[WardCode],"CW")=0,"",SUMIFS(tblDaily[TransfersIn],tblDaily[EntryDate],DATE(2026,6,29),tblDaily[WardCode],"CW")),"")</f>
        <v/>
      </c>
      <c r="G230" s="12">
        <f>IFERROR(IF(SUMIFS(tblDaily[TransfersOut],tblDaily[EntryDate],DATE(2026,6,29),tblDaily[WardCode],"CW")=0,"",SUMIFS(tblDaily[TransfersOut],tblDaily[EntryDate],DATE(2026,6,29),tblDaily[WardCode],"CW")),"")</f>
        <v/>
      </c>
      <c r="H230" s="12">
        <f>IFERROR(IF(SUMIFS(tblDaily[Remaining],tblDaily[EntryDate],DATE(2026,6,29),tblDaily[WardCode],"CW")=0,"",SUMIFS(tblDaily[Remaining],tblDaily[EntryDate],DATE(2026,6,29),tblDaily[WardCode],"CW")),"")</f>
        <v/>
      </c>
    </row>
    <row r="231">
      <c r="A231" s="12" t="n">
        <v>30</v>
      </c>
      <c r="B231" s="12">
        <f>IFERROR(IF(SUMIFS(tblDaily[Admissions],tblDaily[EntryDate],DATE(2026,6,30),tblDaily[WardCode],"CW")=0,"",SUMIFS(tblDaily[Admissions],tblDaily[EntryDate],DATE(2026,6,30),tblDaily[WardCode],"CW")),"")</f>
        <v/>
      </c>
      <c r="C231" s="12">
        <f>IFERROR(IF(SUMIFS(tblDaily[Discharges],tblDaily[EntryDate],DATE(2026,6,30),tblDaily[WardCode],"CW")=0,"",SUMIFS(tblDaily[Discharges],tblDaily[EntryDate],DATE(2026,6,30),tblDaily[WardCode],"CW")),"")</f>
        <v/>
      </c>
      <c r="D231" s="12">
        <f>IFERROR(IF(SUMIFS(tblDaily[Deaths],tblDaily[EntryDate],DATE(2026,6,30),tblDaily[WardCode],"CW")=0,"",SUMIFS(tblDaily[Deaths],tblDaily[EntryDate],DATE(2026,6,30),tblDaily[WardCode],"CW")),"")</f>
        <v/>
      </c>
      <c r="E231" s="12">
        <f>IFERROR(IF(SUMIFS(tblDaily[DeathsUnder24Hrs],tblDaily[EntryDate],DATE(2026,6,30),tblDaily[WardCode],"CW")=0,"",SUMIFS(tblDaily[DeathsUnder24Hrs],tblDaily[EntryDate],DATE(2026,6,30),tblDaily[WardCode],"CW")),"")</f>
        <v/>
      </c>
      <c r="F231" s="12">
        <f>IFERROR(IF(SUMIFS(tblDaily[TransfersIn],tblDaily[EntryDate],DATE(2026,6,30),tblDaily[WardCode],"CW")=0,"",SUMIFS(tblDaily[TransfersIn],tblDaily[EntryDate],DATE(2026,6,30),tblDaily[WardCode],"CW")),"")</f>
        <v/>
      </c>
      <c r="G231" s="12">
        <f>IFERROR(IF(SUMIFS(tblDaily[TransfersOut],tblDaily[EntryDate],DATE(2026,6,30),tblDaily[WardCode],"CW")=0,"",SUMIFS(tblDaily[TransfersOut],tblDaily[EntryDate],DATE(2026,6,30),tblDaily[WardCode],"CW")),"")</f>
        <v/>
      </c>
      <c r="H231" s="12">
        <f>IFERROR(IF(SUMIFS(tblDaily[Remaining],tblDaily[EntryDate],DATE(2026,6,30),tblDaily[WardCode],"CW")=0,"",SUMIFS(tblDaily[Remaining],tblDaily[EntryDate],DATE(2026,6,30),tblDaily[WardCode],"CW")),"")</f>
        <v/>
      </c>
    </row>
    <row r="232">
      <c r="A232" s="12" t="n">
        <v>31</v>
      </c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7" t="inlineStr">
        <is>
          <t>TOTAL</t>
        </is>
      </c>
      <c r="B233" s="17">
        <f>SUMIFS(tblDaily[Admissions],tblDaily[Month],6,tblDaily[WardCode],"CW") - SUMIFS(tblDaily[DeathsUnder24Hrs],tblDaily[Month],6,tblDaily[WardCode],"CW")</f>
        <v/>
      </c>
      <c r="C233" s="17">
        <f>SUMIFS(tblDaily[Discharges],tblDaily[Month],6,tblDaily[WardCode],"CW")</f>
        <v/>
      </c>
      <c r="D233" s="17">
        <f>SUMIFS(tblDaily[Deaths],tblDaily[Month],6,tblDaily[WardCode],"CW")</f>
        <v/>
      </c>
      <c r="E233" s="17">
        <f>SUMIFS(tblDaily[DeathsUnder24Hrs],tblDaily[Month],6,tblDaily[WardCode],"CW")</f>
        <v/>
      </c>
      <c r="F233" s="17">
        <f>SUMIFS(tblDaily[TransfersIn],tblDaily[Month],6,tblDaily[WardCode],"CW")</f>
        <v/>
      </c>
      <c r="G233" s="17">
        <f>SUMIFS(tblDaily[TransfersOut],tblDaily[Month],6,tblDaily[WardCode],"CW")</f>
        <v/>
      </c>
      <c r="H233" s="17">
        <f>SUMIFS(tblDaily[Remaining],tblDaily[Month],6,tblDaily[WardCode],"CW")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PAEDIATRIC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4">
        <f>IFERROR(SUMIFS(tblDaily[Remaining],tblDaily[EntryDate],DATE(2026,6,30),tblDaily[WardCode],"CW"),0)</f>
        <v/>
      </c>
    </row>
    <row r="239">
      <c r="A239" s="4" t="inlineStr">
        <is>
          <t>Bed complement</t>
        </is>
      </c>
      <c r="H239" s="15">
        <f>IFERROR(INDEX(tblWardConfig[BedComplement],MATCH("CW",tblWardConfig[WardCode],0)),0)</f>
        <v/>
      </c>
    </row>
    <row r="240">
      <c r="A240" s="16" t="inlineStr">
        <is>
          <t>Day of
the
Month</t>
        </is>
      </c>
      <c r="B240" s="16" t="inlineStr">
        <is>
          <t>Admissions</t>
        </is>
      </c>
      <c r="C240" s="16" t="inlineStr">
        <is>
          <t>Discharges</t>
        </is>
      </c>
      <c r="D240" s="16" t="inlineStr">
        <is>
          <t>Deaths</t>
        </is>
      </c>
      <c r="E240" s="16" t="inlineStr">
        <is>
          <t>Deaths
&lt;24Hrs</t>
        </is>
      </c>
      <c r="F240" s="16" t="inlineStr">
        <is>
          <t>Transfers-
In</t>
        </is>
      </c>
      <c r="G240" s="16" t="inlineStr">
        <is>
          <t>Transfers-
Out</t>
        </is>
      </c>
      <c r="H240" s="16" t="inlineStr">
        <is>
          <t>No. of Patients
Remaining In
Ward</t>
        </is>
      </c>
    </row>
    <row r="241">
      <c r="A241" s="12" t="n">
        <v>1</v>
      </c>
      <c r="B241" s="12">
        <f>IFERROR(IF(SUMIFS(tblDaily[Admissions],tblDaily[EntryDate],DATE(2026,7,1),tblDaily[WardCode],"CW")=0,"",SUMIFS(tblDaily[Admissions],tblDaily[EntryDate],DATE(2026,7,1),tblDaily[WardCode],"CW")),"")</f>
        <v/>
      </c>
      <c r="C241" s="12">
        <f>IFERROR(IF(SUMIFS(tblDaily[Discharges],tblDaily[EntryDate],DATE(2026,7,1),tblDaily[WardCode],"CW")=0,"",SUMIFS(tblDaily[Discharges],tblDaily[EntryDate],DATE(2026,7,1),tblDaily[WardCode],"CW")),"")</f>
        <v/>
      </c>
      <c r="D241" s="12">
        <f>IFERROR(IF(SUMIFS(tblDaily[Deaths],tblDaily[EntryDate],DATE(2026,7,1),tblDaily[WardCode],"CW")=0,"",SUMIFS(tblDaily[Deaths],tblDaily[EntryDate],DATE(2026,7,1),tblDaily[WardCode],"CW")),"")</f>
        <v/>
      </c>
      <c r="E241" s="12">
        <f>IFERROR(IF(SUMIFS(tblDaily[DeathsUnder24Hrs],tblDaily[EntryDate],DATE(2026,7,1),tblDaily[WardCode],"CW")=0,"",SUMIFS(tblDaily[DeathsUnder24Hrs],tblDaily[EntryDate],DATE(2026,7,1),tblDaily[WardCode],"CW")),"")</f>
        <v/>
      </c>
      <c r="F241" s="12">
        <f>IFERROR(IF(SUMIFS(tblDaily[TransfersIn],tblDaily[EntryDate],DATE(2026,7,1),tblDaily[WardCode],"CW")=0,"",SUMIFS(tblDaily[TransfersIn],tblDaily[EntryDate],DATE(2026,7,1),tblDaily[WardCode],"CW")),"")</f>
        <v/>
      </c>
      <c r="G241" s="12">
        <f>IFERROR(IF(SUMIFS(tblDaily[TransfersOut],tblDaily[EntryDate],DATE(2026,7,1),tblDaily[WardCode],"CW")=0,"",SUMIFS(tblDaily[TransfersOut],tblDaily[EntryDate],DATE(2026,7,1),tblDaily[WardCode],"CW")),"")</f>
        <v/>
      </c>
      <c r="H241" s="12">
        <f>IFERROR(IF(SUMIFS(tblDaily[Remaining],tblDaily[EntryDate],DATE(2026,7,1),tblDaily[WardCode],"CW")=0,"",SUMIFS(tblDaily[Remaining],tblDaily[EntryDate],DATE(2026,7,1),tblDaily[WardCode],"CW")),"")</f>
        <v/>
      </c>
    </row>
    <row r="242">
      <c r="A242" s="12" t="n">
        <v>2</v>
      </c>
      <c r="B242" s="12">
        <f>IFERROR(IF(SUMIFS(tblDaily[Admissions],tblDaily[EntryDate],DATE(2026,7,2),tblDaily[WardCode],"CW")=0,"",SUMIFS(tblDaily[Admissions],tblDaily[EntryDate],DATE(2026,7,2),tblDaily[WardCode],"CW")),"")</f>
        <v/>
      </c>
      <c r="C242" s="12">
        <f>IFERROR(IF(SUMIFS(tblDaily[Discharges],tblDaily[EntryDate],DATE(2026,7,2),tblDaily[WardCode],"CW")=0,"",SUMIFS(tblDaily[Discharges],tblDaily[EntryDate],DATE(2026,7,2),tblDaily[WardCode],"CW")),"")</f>
        <v/>
      </c>
      <c r="D242" s="12">
        <f>IFERROR(IF(SUMIFS(tblDaily[Deaths],tblDaily[EntryDate],DATE(2026,7,2),tblDaily[WardCode],"CW")=0,"",SUMIFS(tblDaily[Deaths],tblDaily[EntryDate],DATE(2026,7,2),tblDaily[WardCode],"CW")),"")</f>
        <v/>
      </c>
      <c r="E242" s="12">
        <f>IFERROR(IF(SUMIFS(tblDaily[DeathsUnder24Hrs],tblDaily[EntryDate],DATE(2026,7,2),tblDaily[WardCode],"CW")=0,"",SUMIFS(tblDaily[DeathsUnder24Hrs],tblDaily[EntryDate],DATE(2026,7,2),tblDaily[WardCode],"CW")),"")</f>
        <v/>
      </c>
      <c r="F242" s="12">
        <f>IFERROR(IF(SUMIFS(tblDaily[TransfersIn],tblDaily[EntryDate],DATE(2026,7,2),tblDaily[WardCode],"CW")=0,"",SUMIFS(tblDaily[TransfersIn],tblDaily[EntryDate],DATE(2026,7,2),tblDaily[WardCode],"CW")),"")</f>
        <v/>
      </c>
      <c r="G242" s="12">
        <f>IFERROR(IF(SUMIFS(tblDaily[TransfersOut],tblDaily[EntryDate],DATE(2026,7,2),tblDaily[WardCode],"CW")=0,"",SUMIFS(tblDaily[TransfersOut],tblDaily[EntryDate],DATE(2026,7,2),tblDaily[WardCode],"CW")),"")</f>
        <v/>
      </c>
      <c r="H242" s="12">
        <f>IFERROR(IF(SUMIFS(tblDaily[Remaining],tblDaily[EntryDate],DATE(2026,7,2),tblDaily[WardCode],"CW")=0,"",SUMIFS(tblDaily[Remaining],tblDaily[EntryDate],DATE(2026,7,2),tblDaily[WardCode],"CW")),"")</f>
        <v/>
      </c>
    </row>
    <row r="243">
      <c r="A243" s="12" t="n">
        <v>3</v>
      </c>
      <c r="B243" s="12">
        <f>IFERROR(IF(SUMIFS(tblDaily[Admissions],tblDaily[EntryDate],DATE(2026,7,3),tblDaily[WardCode],"CW")=0,"",SUMIFS(tblDaily[Admissions],tblDaily[EntryDate],DATE(2026,7,3),tblDaily[WardCode],"CW")),"")</f>
        <v/>
      </c>
      <c r="C243" s="12">
        <f>IFERROR(IF(SUMIFS(tblDaily[Discharges],tblDaily[EntryDate],DATE(2026,7,3),tblDaily[WardCode],"CW")=0,"",SUMIFS(tblDaily[Discharges],tblDaily[EntryDate],DATE(2026,7,3),tblDaily[WardCode],"CW")),"")</f>
        <v/>
      </c>
      <c r="D243" s="12">
        <f>IFERROR(IF(SUMIFS(tblDaily[Deaths],tblDaily[EntryDate],DATE(2026,7,3),tblDaily[WardCode],"CW")=0,"",SUMIFS(tblDaily[Deaths],tblDaily[EntryDate],DATE(2026,7,3),tblDaily[WardCode],"CW")),"")</f>
        <v/>
      </c>
      <c r="E243" s="12">
        <f>IFERROR(IF(SUMIFS(tblDaily[DeathsUnder24Hrs],tblDaily[EntryDate],DATE(2026,7,3),tblDaily[WardCode],"CW")=0,"",SUMIFS(tblDaily[DeathsUnder24Hrs],tblDaily[EntryDate],DATE(2026,7,3),tblDaily[WardCode],"CW")),"")</f>
        <v/>
      </c>
      <c r="F243" s="12">
        <f>IFERROR(IF(SUMIFS(tblDaily[TransfersIn],tblDaily[EntryDate],DATE(2026,7,3),tblDaily[WardCode],"CW")=0,"",SUMIFS(tblDaily[TransfersIn],tblDaily[EntryDate],DATE(2026,7,3),tblDaily[WardCode],"CW")),"")</f>
        <v/>
      </c>
      <c r="G243" s="12">
        <f>IFERROR(IF(SUMIFS(tblDaily[TransfersOut],tblDaily[EntryDate],DATE(2026,7,3),tblDaily[WardCode],"CW")=0,"",SUMIFS(tblDaily[TransfersOut],tblDaily[EntryDate],DATE(2026,7,3),tblDaily[WardCode],"CW")),"")</f>
        <v/>
      </c>
      <c r="H243" s="12">
        <f>IFERROR(IF(SUMIFS(tblDaily[Remaining],tblDaily[EntryDate],DATE(2026,7,3),tblDaily[WardCode],"CW")=0,"",SUMIFS(tblDaily[Remaining],tblDaily[EntryDate],DATE(2026,7,3),tblDaily[WardCode],"CW")),"")</f>
        <v/>
      </c>
    </row>
    <row r="244">
      <c r="A244" s="12" t="n">
        <v>4</v>
      </c>
      <c r="B244" s="12">
        <f>IFERROR(IF(SUMIFS(tblDaily[Admissions],tblDaily[EntryDate],DATE(2026,7,4),tblDaily[WardCode],"CW")=0,"",SUMIFS(tblDaily[Admissions],tblDaily[EntryDate],DATE(2026,7,4),tblDaily[WardCode],"CW")),"")</f>
        <v/>
      </c>
      <c r="C244" s="12">
        <f>IFERROR(IF(SUMIFS(tblDaily[Discharges],tblDaily[EntryDate],DATE(2026,7,4),tblDaily[WardCode],"CW")=0,"",SUMIFS(tblDaily[Discharges],tblDaily[EntryDate],DATE(2026,7,4),tblDaily[WardCode],"CW")),"")</f>
        <v/>
      </c>
      <c r="D244" s="12">
        <f>IFERROR(IF(SUMIFS(tblDaily[Deaths],tblDaily[EntryDate],DATE(2026,7,4),tblDaily[WardCode],"CW")=0,"",SUMIFS(tblDaily[Deaths],tblDaily[EntryDate],DATE(2026,7,4),tblDaily[WardCode],"CW")),"")</f>
        <v/>
      </c>
      <c r="E244" s="12">
        <f>IFERROR(IF(SUMIFS(tblDaily[DeathsUnder24Hrs],tblDaily[EntryDate],DATE(2026,7,4),tblDaily[WardCode],"CW")=0,"",SUMIFS(tblDaily[DeathsUnder24Hrs],tblDaily[EntryDate],DATE(2026,7,4),tblDaily[WardCode],"CW")),"")</f>
        <v/>
      </c>
      <c r="F244" s="12">
        <f>IFERROR(IF(SUMIFS(tblDaily[TransfersIn],tblDaily[EntryDate],DATE(2026,7,4),tblDaily[WardCode],"CW")=0,"",SUMIFS(tblDaily[TransfersIn],tblDaily[EntryDate],DATE(2026,7,4),tblDaily[WardCode],"CW")),"")</f>
        <v/>
      </c>
      <c r="G244" s="12">
        <f>IFERROR(IF(SUMIFS(tblDaily[TransfersOut],tblDaily[EntryDate],DATE(2026,7,4),tblDaily[WardCode],"CW")=0,"",SUMIFS(tblDaily[TransfersOut],tblDaily[EntryDate],DATE(2026,7,4),tblDaily[WardCode],"CW")),"")</f>
        <v/>
      </c>
      <c r="H244" s="12">
        <f>IFERROR(IF(SUMIFS(tblDaily[Remaining],tblDaily[EntryDate],DATE(2026,7,4),tblDaily[WardCode],"CW")=0,"",SUMIFS(tblDaily[Remaining],tblDaily[EntryDate],DATE(2026,7,4),tblDaily[WardCode],"CW")),"")</f>
        <v/>
      </c>
    </row>
    <row r="245">
      <c r="A245" s="12" t="n">
        <v>5</v>
      </c>
      <c r="B245" s="12">
        <f>IFERROR(IF(SUMIFS(tblDaily[Admissions],tblDaily[EntryDate],DATE(2026,7,5),tblDaily[WardCode],"CW")=0,"",SUMIFS(tblDaily[Admissions],tblDaily[EntryDate],DATE(2026,7,5),tblDaily[WardCode],"CW")),"")</f>
        <v/>
      </c>
      <c r="C245" s="12">
        <f>IFERROR(IF(SUMIFS(tblDaily[Discharges],tblDaily[EntryDate],DATE(2026,7,5),tblDaily[WardCode],"CW")=0,"",SUMIFS(tblDaily[Discharges],tblDaily[EntryDate],DATE(2026,7,5),tblDaily[WardCode],"CW")),"")</f>
        <v/>
      </c>
      <c r="D245" s="12">
        <f>IFERROR(IF(SUMIFS(tblDaily[Deaths],tblDaily[EntryDate],DATE(2026,7,5),tblDaily[WardCode],"CW")=0,"",SUMIFS(tblDaily[Deaths],tblDaily[EntryDate],DATE(2026,7,5),tblDaily[WardCode],"CW")),"")</f>
        <v/>
      </c>
      <c r="E245" s="12">
        <f>IFERROR(IF(SUMIFS(tblDaily[DeathsUnder24Hrs],tblDaily[EntryDate],DATE(2026,7,5),tblDaily[WardCode],"CW")=0,"",SUMIFS(tblDaily[DeathsUnder24Hrs],tblDaily[EntryDate],DATE(2026,7,5),tblDaily[WardCode],"CW")),"")</f>
        <v/>
      </c>
      <c r="F245" s="12">
        <f>IFERROR(IF(SUMIFS(tblDaily[TransfersIn],tblDaily[EntryDate],DATE(2026,7,5),tblDaily[WardCode],"CW")=0,"",SUMIFS(tblDaily[TransfersIn],tblDaily[EntryDate],DATE(2026,7,5),tblDaily[WardCode],"CW")),"")</f>
        <v/>
      </c>
      <c r="G245" s="12">
        <f>IFERROR(IF(SUMIFS(tblDaily[TransfersOut],tblDaily[EntryDate],DATE(2026,7,5),tblDaily[WardCode],"CW")=0,"",SUMIFS(tblDaily[TransfersOut],tblDaily[EntryDate],DATE(2026,7,5),tblDaily[WardCode],"CW")),"")</f>
        <v/>
      </c>
      <c r="H245" s="12">
        <f>IFERROR(IF(SUMIFS(tblDaily[Remaining],tblDaily[EntryDate],DATE(2026,7,5),tblDaily[WardCode],"CW")=0,"",SUMIFS(tblDaily[Remaining],tblDaily[EntryDate],DATE(2026,7,5),tblDaily[WardCode],"CW")),"")</f>
        <v/>
      </c>
    </row>
    <row r="246">
      <c r="A246" s="12" t="n">
        <v>6</v>
      </c>
      <c r="B246" s="12">
        <f>IFERROR(IF(SUMIFS(tblDaily[Admissions],tblDaily[EntryDate],DATE(2026,7,6),tblDaily[WardCode],"CW")=0,"",SUMIFS(tblDaily[Admissions],tblDaily[EntryDate],DATE(2026,7,6),tblDaily[WardCode],"CW")),"")</f>
        <v/>
      </c>
      <c r="C246" s="12">
        <f>IFERROR(IF(SUMIFS(tblDaily[Discharges],tblDaily[EntryDate],DATE(2026,7,6),tblDaily[WardCode],"CW")=0,"",SUMIFS(tblDaily[Discharges],tblDaily[EntryDate],DATE(2026,7,6),tblDaily[WardCode],"CW")),"")</f>
        <v/>
      </c>
      <c r="D246" s="12">
        <f>IFERROR(IF(SUMIFS(tblDaily[Deaths],tblDaily[EntryDate],DATE(2026,7,6),tblDaily[WardCode],"CW")=0,"",SUMIFS(tblDaily[Deaths],tblDaily[EntryDate],DATE(2026,7,6),tblDaily[WardCode],"CW")),"")</f>
        <v/>
      </c>
      <c r="E246" s="12">
        <f>IFERROR(IF(SUMIFS(tblDaily[DeathsUnder24Hrs],tblDaily[EntryDate],DATE(2026,7,6),tblDaily[WardCode],"CW")=0,"",SUMIFS(tblDaily[DeathsUnder24Hrs],tblDaily[EntryDate],DATE(2026,7,6),tblDaily[WardCode],"CW")),"")</f>
        <v/>
      </c>
      <c r="F246" s="12">
        <f>IFERROR(IF(SUMIFS(tblDaily[TransfersIn],tblDaily[EntryDate],DATE(2026,7,6),tblDaily[WardCode],"CW")=0,"",SUMIFS(tblDaily[TransfersIn],tblDaily[EntryDate],DATE(2026,7,6),tblDaily[WardCode],"CW")),"")</f>
        <v/>
      </c>
      <c r="G246" s="12">
        <f>IFERROR(IF(SUMIFS(tblDaily[TransfersOut],tblDaily[EntryDate],DATE(2026,7,6),tblDaily[WardCode],"CW")=0,"",SUMIFS(tblDaily[TransfersOut],tblDaily[EntryDate],DATE(2026,7,6),tblDaily[WardCode],"CW")),"")</f>
        <v/>
      </c>
      <c r="H246" s="12">
        <f>IFERROR(IF(SUMIFS(tblDaily[Remaining],tblDaily[EntryDate],DATE(2026,7,6),tblDaily[WardCode],"CW")=0,"",SUMIFS(tblDaily[Remaining],tblDaily[EntryDate],DATE(2026,7,6),tblDaily[WardCode],"CW")),"")</f>
        <v/>
      </c>
    </row>
    <row r="247">
      <c r="A247" s="12" t="n">
        <v>7</v>
      </c>
      <c r="B247" s="12">
        <f>IFERROR(IF(SUMIFS(tblDaily[Admissions],tblDaily[EntryDate],DATE(2026,7,7),tblDaily[WardCode],"CW")=0,"",SUMIFS(tblDaily[Admissions],tblDaily[EntryDate],DATE(2026,7,7),tblDaily[WardCode],"CW")),"")</f>
        <v/>
      </c>
      <c r="C247" s="12">
        <f>IFERROR(IF(SUMIFS(tblDaily[Discharges],tblDaily[EntryDate],DATE(2026,7,7),tblDaily[WardCode],"CW")=0,"",SUMIFS(tblDaily[Discharges],tblDaily[EntryDate],DATE(2026,7,7),tblDaily[WardCode],"CW")),"")</f>
        <v/>
      </c>
      <c r="D247" s="12">
        <f>IFERROR(IF(SUMIFS(tblDaily[Deaths],tblDaily[EntryDate],DATE(2026,7,7),tblDaily[WardCode],"CW")=0,"",SUMIFS(tblDaily[Deaths],tblDaily[EntryDate],DATE(2026,7,7),tblDaily[WardCode],"CW")),"")</f>
        <v/>
      </c>
      <c r="E247" s="12">
        <f>IFERROR(IF(SUMIFS(tblDaily[DeathsUnder24Hrs],tblDaily[EntryDate],DATE(2026,7,7),tblDaily[WardCode],"CW")=0,"",SUMIFS(tblDaily[DeathsUnder24Hrs],tblDaily[EntryDate],DATE(2026,7,7),tblDaily[WardCode],"CW")),"")</f>
        <v/>
      </c>
      <c r="F247" s="12">
        <f>IFERROR(IF(SUMIFS(tblDaily[TransfersIn],tblDaily[EntryDate],DATE(2026,7,7),tblDaily[WardCode],"CW")=0,"",SUMIFS(tblDaily[TransfersIn],tblDaily[EntryDate],DATE(2026,7,7),tblDaily[WardCode],"CW")),"")</f>
        <v/>
      </c>
      <c r="G247" s="12">
        <f>IFERROR(IF(SUMIFS(tblDaily[TransfersOut],tblDaily[EntryDate],DATE(2026,7,7),tblDaily[WardCode],"CW")=0,"",SUMIFS(tblDaily[TransfersOut],tblDaily[EntryDate],DATE(2026,7,7),tblDaily[WardCode],"CW")),"")</f>
        <v/>
      </c>
      <c r="H247" s="12">
        <f>IFERROR(IF(SUMIFS(tblDaily[Remaining],tblDaily[EntryDate],DATE(2026,7,7),tblDaily[WardCode],"CW")=0,"",SUMIFS(tblDaily[Remaining],tblDaily[EntryDate],DATE(2026,7,7),tblDaily[WardCode],"CW")),"")</f>
        <v/>
      </c>
    </row>
    <row r="248">
      <c r="A248" s="12" t="n">
        <v>8</v>
      </c>
      <c r="B248" s="12">
        <f>IFERROR(IF(SUMIFS(tblDaily[Admissions],tblDaily[EntryDate],DATE(2026,7,8),tblDaily[WardCode],"CW")=0,"",SUMIFS(tblDaily[Admissions],tblDaily[EntryDate],DATE(2026,7,8),tblDaily[WardCode],"CW")),"")</f>
        <v/>
      </c>
      <c r="C248" s="12">
        <f>IFERROR(IF(SUMIFS(tblDaily[Discharges],tblDaily[EntryDate],DATE(2026,7,8),tblDaily[WardCode],"CW")=0,"",SUMIFS(tblDaily[Discharges],tblDaily[EntryDate],DATE(2026,7,8),tblDaily[WardCode],"CW")),"")</f>
        <v/>
      </c>
      <c r="D248" s="12">
        <f>IFERROR(IF(SUMIFS(tblDaily[Deaths],tblDaily[EntryDate],DATE(2026,7,8),tblDaily[WardCode],"CW")=0,"",SUMIFS(tblDaily[Deaths],tblDaily[EntryDate],DATE(2026,7,8),tblDaily[WardCode],"CW")),"")</f>
        <v/>
      </c>
      <c r="E248" s="12">
        <f>IFERROR(IF(SUMIFS(tblDaily[DeathsUnder24Hrs],tblDaily[EntryDate],DATE(2026,7,8),tblDaily[WardCode],"CW")=0,"",SUMIFS(tblDaily[DeathsUnder24Hrs],tblDaily[EntryDate],DATE(2026,7,8),tblDaily[WardCode],"CW")),"")</f>
        <v/>
      </c>
      <c r="F248" s="12">
        <f>IFERROR(IF(SUMIFS(tblDaily[TransfersIn],tblDaily[EntryDate],DATE(2026,7,8),tblDaily[WardCode],"CW")=0,"",SUMIFS(tblDaily[TransfersIn],tblDaily[EntryDate],DATE(2026,7,8),tblDaily[WardCode],"CW")),"")</f>
        <v/>
      </c>
      <c r="G248" s="12">
        <f>IFERROR(IF(SUMIFS(tblDaily[TransfersOut],tblDaily[EntryDate],DATE(2026,7,8),tblDaily[WardCode],"CW")=0,"",SUMIFS(tblDaily[TransfersOut],tblDaily[EntryDate],DATE(2026,7,8),tblDaily[WardCode],"CW")),"")</f>
        <v/>
      </c>
      <c r="H248" s="12">
        <f>IFERROR(IF(SUMIFS(tblDaily[Remaining],tblDaily[EntryDate],DATE(2026,7,8),tblDaily[WardCode],"CW")=0,"",SUMIFS(tblDaily[Remaining],tblDaily[EntryDate],DATE(2026,7,8),tblDaily[WardCode],"CW")),"")</f>
        <v/>
      </c>
    </row>
    <row r="249">
      <c r="A249" s="12" t="n">
        <v>9</v>
      </c>
      <c r="B249" s="12">
        <f>IFERROR(IF(SUMIFS(tblDaily[Admissions],tblDaily[EntryDate],DATE(2026,7,9),tblDaily[WardCode],"CW")=0,"",SUMIFS(tblDaily[Admissions],tblDaily[EntryDate],DATE(2026,7,9),tblDaily[WardCode],"CW")),"")</f>
        <v/>
      </c>
      <c r="C249" s="12">
        <f>IFERROR(IF(SUMIFS(tblDaily[Discharges],tblDaily[EntryDate],DATE(2026,7,9),tblDaily[WardCode],"CW")=0,"",SUMIFS(tblDaily[Discharges],tblDaily[EntryDate],DATE(2026,7,9),tblDaily[WardCode],"CW")),"")</f>
        <v/>
      </c>
      <c r="D249" s="12">
        <f>IFERROR(IF(SUMIFS(tblDaily[Deaths],tblDaily[EntryDate],DATE(2026,7,9),tblDaily[WardCode],"CW")=0,"",SUMIFS(tblDaily[Deaths],tblDaily[EntryDate],DATE(2026,7,9),tblDaily[WardCode],"CW")),"")</f>
        <v/>
      </c>
      <c r="E249" s="12">
        <f>IFERROR(IF(SUMIFS(tblDaily[DeathsUnder24Hrs],tblDaily[EntryDate],DATE(2026,7,9),tblDaily[WardCode],"CW")=0,"",SUMIFS(tblDaily[DeathsUnder24Hrs],tblDaily[EntryDate],DATE(2026,7,9),tblDaily[WardCode],"CW")),"")</f>
        <v/>
      </c>
      <c r="F249" s="12">
        <f>IFERROR(IF(SUMIFS(tblDaily[TransfersIn],tblDaily[EntryDate],DATE(2026,7,9),tblDaily[WardCode],"CW")=0,"",SUMIFS(tblDaily[TransfersIn],tblDaily[EntryDate],DATE(2026,7,9),tblDaily[WardCode],"CW")),"")</f>
        <v/>
      </c>
      <c r="G249" s="12">
        <f>IFERROR(IF(SUMIFS(tblDaily[TransfersOut],tblDaily[EntryDate],DATE(2026,7,9),tblDaily[WardCode],"CW")=0,"",SUMIFS(tblDaily[TransfersOut],tblDaily[EntryDate],DATE(2026,7,9),tblDaily[WardCode],"CW")),"")</f>
        <v/>
      </c>
      <c r="H249" s="12">
        <f>IFERROR(IF(SUMIFS(tblDaily[Remaining],tblDaily[EntryDate],DATE(2026,7,9),tblDaily[WardCode],"CW")=0,"",SUMIFS(tblDaily[Remaining],tblDaily[EntryDate],DATE(2026,7,9),tblDaily[WardCode],"CW")),"")</f>
        <v/>
      </c>
    </row>
    <row r="250">
      <c r="A250" s="12" t="n">
        <v>10</v>
      </c>
      <c r="B250" s="12">
        <f>IFERROR(IF(SUMIFS(tblDaily[Admissions],tblDaily[EntryDate],DATE(2026,7,10),tblDaily[WardCode],"CW")=0,"",SUMIFS(tblDaily[Admissions],tblDaily[EntryDate],DATE(2026,7,10),tblDaily[WardCode],"CW")),"")</f>
        <v/>
      </c>
      <c r="C250" s="12">
        <f>IFERROR(IF(SUMIFS(tblDaily[Discharges],tblDaily[EntryDate],DATE(2026,7,10),tblDaily[WardCode],"CW")=0,"",SUMIFS(tblDaily[Discharges],tblDaily[EntryDate],DATE(2026,7,10),tblDaily[WardCode],"CW")),"")</f>
        <v/>
      </c>
      <c r="D250" s="12">
        <f>IFERROR(IF(SUMIFS(tblDaily[Deaths],tblDaily[EntryDate],DATE(2026,7,10),tblDaily[WardCode],"CW")=0,"",SUMIFS(tblDaily[Deaths],tblDaily[EntryDate],DATE(2026,7,10),tblDaily[WardCode],"CW")),"")</f>
        <v/>
      </c>
      <c r="E250" s="12">
        <f>IFERROR(IF(SUMIFS(tblDaily[DeathsUnder24Hrs],tblDaily[EntryDate],DATE(2026,7,10),tblDaily[WardCode],"CW")=0,"",SUMIFS(tblDaily[DeathsUnder24Hrs],tblDaily[EntryDate],DATE(2026,7,10),tblDaily[WardCode],"CW")),"")</f>
        <v/>
      </c>
      <c r="F250" s="12">
        <f>IFERROR(IF(SUMIFS(tblDaily[TransfersIn],tblDaily[EntryDate],DATE(2026,7,10),tblDaily[WardCode],"CW")=0,"",SUMIFS(tblDaily[TransfersIn],tblDaily[EntryDate],DATE(2026,7,10),tblDaily[WardCode],"CW")),"")</f>
        <v/>
      </c>
      <c r="G250" s="12">
        <f>IFERROR(IF(SUMIFS(tblDaily[TransfersOut],tblDaily[EntryDate],DATE(2026,7,10),tblDaily[WardCode],"CW")=0,"",SUMIFS(tblDaily[TransfersOut],tblDaily[EntryDate],DATE(2026,7,10),tblDaily[WardCode],"CW")),"")</f>
        <v/>
      </c>
      <c r="H250" s="12">
        <f>IFERROR(IF(SUMIFS(tblDaily[Remaining],tblDaily[EntryDate],DATE(2026,7,10),tblDaily[WardCode],"CW")=0,"",SUMIFS(tblDaily[Remaining],tblDaily[EntryDate],DATE(2026,7,10),tblDaily[WardCode],"CW")),"")</f>
        <v/>
      </c>
    </row>
    <row r="251">
      <c r="A251" s="12" t="n">
        <v>11</v>
      </c>
      <c r="B251" s="12">
        <f>IFERROR(IF(SUMIFS(tblDaily[Admissions],tblDaily[EntryDate],DATE(2026,7,11),tblDaily[WardCode],"CW")=0,"",SUMIFS(tblDaily[Admissions],tblDaily[EntryDate],DATE(2026,7,11),tblDaily[WardCode],"CW")),"")</f>
        <v/>
      </c>
      <c r="C251" s="12">
        <f>IFERROR(IF(SUMIFS(tblDaily[Discharges],tblDaily[EntryDate],DATE(2026,7,11),tblDaily[WardCode],"CW")=0,"",SUMIFS(tblDaily[Discharges],tblDaily[EntryDate],DATE(2026,7,11),tblDaily[WardCode],"CW")),"")</f>
        <v/>
      </c>
      <c r="D251" s="12">
        <f>IFERROR(IF(SUMIFS(tblDaily[Deaths],tblDaily[EntryDate],DATE(2026,7,11),tblDaily[WardCode],"CW")=0,"",SUMIFS(tblDaily[Deaths],tblDaily[EntryDate],DATE(2026,7,11),tblDaily[WardCode],"CW")),"")</f>
        <v/>
      </c>
      <c r="E251" s="12">
        <f>IFERROR(IF(SUMIFS(tblDaily[DeathsUnder24Hrs],tblDaily[EntryDate],DATE(2026,7,11),tblDaily[WardCode],"CW")=0,"",SUMIFS(tblDaily[DeathsUnder24Hrs],tblDaily[EntryDate],DATE(2026,7,11),tblDaily[WardCode],"CW")),"")</f>
        <v/>
      </c>
      <c r="F251" s="12">
        <f>IFERROR(IF(SUMIFS(tblDaily[TransfersIn],tblDaily[EntryDate],DATE(2026,7,11),tblDaily[WardCode],"CW")=0,"",SUMIFS(tblDaily[TransfersIn],tblDaily[EntryDate],DATE(2026,7,11),tblDaily[WardCode],"CW")),"")</f>
        <v/>
      </c>
      <c r="G251" s="12">
        <f>IFERROR(IF(SUMIFS(tblDaily[TransfersOut],tblDaily[EntryDate],DATE(2026,7,11),tblDaily[WardCode],"CW")=0,"",SUMIFS(tblDaily[TransfersOut],tblDaily[EntryDate],DATE(2026,7,11),tblDaily[WardCode],"CW")),"")</f>
        <v/>
      </c>
      <c r="H251" s="12">
        <f>IFERROR(IF(SUMIFS(tblDaily[Remaining],tblDaily[EntryDate],DATE(2026,7,11),tblDaily[WardCode],"CW")=0,"",SUMIFS(tblDaily[Remaining],tblDaily[EntryDate],DATE(2026,7,11),tblDaily[WardCode],"CW")),"")</f>
        <v/>
      </c>
    </row>
    <row r="252">
      <c r="A252" s="12" t="n">
        <v>12</v>
      </c>
      <c r="B252" s="12">
        <f>IFERROR(IF(SUMIFS(tblDaily[Admissions],tblDaily[EntryDate],DATE(2026,7,12),tblDaily[WardCode],"CW")=0,"",SUMIFS(tblDaily[Admissions],tblDaily[EntryDate],DATE(2026,7,12),tblDaily[WardCode],"CW")),"")</f>
        <v/>
      </c>
      <c r="C252" s="12">
        <f>IFERROR(IF(SUMIFS(tblDaily[Discharges],tblDaily[EntryDate],DATE(2026,7,12),tblDaily[WardCode],"CW")=0,"",SUMIFS(tblDaily[Discharges],tblDaily[EntryDate],DATE(2026,7,12),tblDaily[WardCode],"CW")),"")</f>
        <v/>
      </c>
      <c r="D252" s="12">
        <f>IFERROR(IF(SUMIFS(tblDaily[Deaths],tblDaily[EntryDate],DATE(2026,7,12),tblDaily[WardCode],"CW")=0,"",SUMIFS(tblDaily[Deaths],tblDaily[EntryDate],DATE(2026,7,12),tblDaily[WardCode],"CW")),"")</f>
        <v/>
      </c>
      <c r="E252" s="12">
        <f>IFERROR(IF(SUMIFS(tblDaily[DeathsUnder24Hrs],tblDaily[EntryDate],DATE(2026,7,12),tblDaily[WardCode],"CW")=0,"",SUMIFS(tblDaily[DeathsUnder24Hrs],tblDaily[EntryDate],DATE(2026,7,12),tblDaily[WardCode],"CW")),"")</f>
        <v/>
      </c>
      <c r="F252" s="12">
        <f>IFERROR(IF(SUMIFS(tblDaily[TransfersIn],tblDaily[EntryDate],DATE(2026,7,12),tblDaily[WardCode],"CW")=0,"",SUMIFS(tblDaily[TransfersIn],tblDaily[EntryDate],DATE(2026,7,12),tblDaily[WardCode],"CW")),"")</f>
        <v/>
      </c>
      <c r="G252" s="12">
        <f>IFERROR(IF(SUMIFS(tblDaily[TransfersOut],tblDaily[EntryDate],DATE(2026,7,12),tblDaily[WardCode],"CW")=0,"",SUMIFS(tblDaily[TransfersOut],tblDaily[EntryDate],DATE(2026,7,12),tblDaily[WardCode],"CW")),"")</f>
        <v/>
      </c>
      <c r="H252" s="12">
        <f>IFERROR(IF(SUMIFS(tblDaily[Remaining],tblDaily[EntryDate],DATE(2026,7,12),tblDaily[WardCode],"CW")=0,"",SUMIFS(tblDaily[Remaining],tblDaily[EntryDate],DATE(2026,7,12),tblDaily[WardCode],"CW")),"")</f>
        <v/>
      </c>
    </row>
    <row r="253">
      <c r="A253" s="12" t="n">
        <v>13</v>
      </c>
      <c r="B253" s="12">
        <f>IFERROR(IF(SUMIFS(tblDaily[Admissions],tblDaily[EntryDate],DATE(2026,7,13),tblDaily[WardCode],"CW")=0,"",SUMIFS(tblDaily[Admissions],tblDaily[EntryDate],DATE(2026,7,13),tblDaily[WardCode],"CW")),"")</f>
        <v/>
      </c>
      <c r="C253" s="12">
        <f>IFERROR(IF(SUMIFS(tblDaily[Discharges],tblDaily[EntryDate],DATE(2026,7,13),tblDaily[WardCode],"CW")=0,"",SUMIFS(tblDaily[Discharges],tblDaily[EntryDate],DATE(2026,7,13),tblDaily[WardCode],"CW")),"")</f>
        <v/>
      </c>
      <c r="D253" s="12">
        <f>IFERROR(IF(SUMIFS(tblDaily[Deaths],tblDaily[EntryDate],DATE(2026,7,13),tblDaily[WardCode],"CW")=0,"",SUMIFS(tblDaily[Deaths],tblDaily[EntryDate],DATE(2026,7,13),tblDaily[WardCode],"CW")),"")</f>
        <v/>
      </c>
      <c r="E253" s="12">
        <f>IFERROR(IF(SUMIFS(tblDaily[DeathsUnder24Hrs],tblDaily[EntryDate],DATE(2026,7,13),tblDaily[WardCode],"CW")=0,"",SUMIFS(tblDaily[DeathsUnder24Hrs],tblDaily[EntryDate],DATE(2026,7,13),tblDaily[WardCode],"CW")),"")</f>
        <v/>
      </c>
      <c r="F253" s="12">
        <f>IFERROR(IF(SUMIFS(tblDaily[TransfersIn],tblDaily[EntryDate],DATE(2026,7,13),tblDaily[WardCode],"CW")=0,"",SUMIFS(tblDaily[TransfersIn],tblDaily[EntryDate],DATE(2026,7,13),tblDaily[WardCode],"CW")),"")</f>
        <v/>
      </c>
      <c r="G253" s="12">
        <f>IFERROR(IF(SUMIFS(tblDaily[TransfersOut],tblDaily[EntryDate],DATE(2026,7,13),tblDaily[WardCode],"CW")=0,"",SUMIFS(tblDaily[TransfersOut],tblDaily[EntryDate],DATE(2026,7,13),tblDaily[WardCode],"CW")),"")</f>
        <v/>
      </c>
      <c r="H253" s="12">
        <f>IFERROR(IF(SUMIFS(tblDaily[Remaining],tblDaily[EntryDate],DATE(2026,7,13),tblDaily[WardCode],"CW")=0,"",SUMIFS(tblDaily[Remaining],tblDaily[EntryDate],DATE(2026,7,13),tblDaily[WardCode],"CW")),"")</f>
        <v/>
      </c>
    </row>
    <row r="254">
      <c r="A254" s="12" t="n">
        <v>14</v>
      </c>
      <c r="B254" s="12">
        <f>IFERROR(IF(SUMIFS(tblDaily[Admissions],tblDaily[EntryDate],DATE(2026,7,14),tblDaily[WardCode],"CW")=0,"",SUMIFS(tblDaily[Admissions],tblDaily[EntryDate],DATE(2026,7,14),tblDaily[WardCode],"CW")),"")</f>
        <v/>
      </c>
      <c r="C254" s="12">
        <f>IFERROR(IF(SUMIFS(tblDaily[Discharges],tblDaily[EntryDate],DATE(2026,7,14),tblDaily[WardCode],"CW")=0,"",SUMIFS(tblDaily[Discharges],tblDaily[EntryDate],DATE(2026,7,14),tblDaily[WardCode],"CW")),"")</f>
        <v/>
      </c>
      <c r="D254" s="12">
        <f>IFERROR(IF(SUMIFS(tblDaily[Deaths],tblDaily[EntryDate],DATE(2026,7,14),tblDaily[WardCode],"CW")=0,"",SUMIFS(tblDaily[Deaths],tblDaily[EntryDate],DATE(2026,7,14),tblDaily[WardCode],"CW")),"")</f>
        <v/>
      </c>
      <c r="E254" s="12">
        <f>IFERROR(IF(SUMIFS(tblDaily[DeathsUnder24Hrs],tblDaily[EntryDate],DATE(2026,7,14),tblDaily[WardCode],"CW")=0,"",SUMIFS(tblDaily[DeathsUnder24Hrs],tblDaily[EntryDate],DATE(2026,7,14),tblDaily[WardCode],"CW")),"")</f>
        <v/>
      </c>
      <c r="F254" s="12">
        <f>IFERROR(IF(SUMIFS(tblDaily[TransfersIn],tblDaily[EntryDate],DATE(2026,7,14),tblDaily[WardCode],"CW")=0,"",SUMIFS(tblDaily[TransfersIn],tblDaily[EntryDate],DATE(2026,7,14),tblDaily[WardCode],"CW")),"")</f>
        <v/>
      </c>
      <c r="G254" s="12">
        <f>IFERROR(IF(SUMIFS(tblDaily[TransfersOut],tblDaily[EntryDate],DATE(2026,7,14),tblDaily[WardCode],"CW")=0,"",SUMIFS(tblDaily[TransfersOut],tblDaily[EntryDate],DATE(2026,7,14),tblDaily[WardCode],"CW")),"")</f>
        <v/>
      </c>
      <c r="H254" s="12">
        <f>IFERROR(IF(SUMIFS(tblDaily[Remaining],tblDaily[EntryDate],DATE(2026,7,14),tblDaily[WardCode],"CW")=0,"",SUMIFS(tblDaily[Remaining],tblDaily[EntryDate],DATE(2026,7,14),tblDaily[WardCode],"CW")),"")</f>
        <v/>
      </c>
    </row>
    <row r="255">
      <c r="A255" s="12" t="n">
        <v>15</v>
      </c>
      <c r="B255" s="12">
        <f>IFERROR(IF(SUMIFS(tblDaily[Admissions],tblDaily[EntryDate],DATE(2026,7,15),tblDaily[WardCode],"CW")=0,"",SUMIFS(tblDaily[Admissions],tblDaily[EntryDate],DATE(2026,7,15),tblDaily[WardCode],"CW")),"")</f>
        <v/>
      </c>
      <c r="C255" s="12">
        <f>IFERROR(IF(SUMIFS(tblDaily[Discharges],tblDaily[EntryDate],DATE(2026,7,15),tblDaily[WardCode],"CW")=0,"",SUMIFS(tblDaily[Discharges],tblDaily[EntryDate],DATE(2026,7,15),tblDaily[WardCode],"CW")),"")</f>
        <v/>
      </c>
      <c r="D255" s="12">
        <f>IFERROR(IF(SUMIFS(tblDaily[Deaths],tblDaily[EntryDate],DATE(2026,7,15),tblDaily[WardCode],"CW")=0,"",SUMIFS(tblDaily[Deaths],tblDaily[EntryDate],DATE(2026,7,15),tblDaily[WardCode],"CW")),"")</f>
        <v/>
      </c>
      <c r="E255" s="12">
        <f>IFERROR(IF(SUMIFS(tblDaily[DeathsUnder24Hrs],tblDaily[EntryDate],DATE(2026,7,15),tblDaily[WardCode],"CW")=0,"",SUMIFS(tblDaily[DeathsUnder24Hrs],tblDaily[EntryDate],DATE(2026,7,15),tblDaily[WardCode],"CW")),"")</f>
        <v/>
      </c>
      <c r="F255" s="12">
        <f>IFERROR(IF(SUMIFS(tblDaily[TransfersIn],tblDaily[EntryDate],DATE(2026,7,15),tblDaily[WardCode],"CW")=0,"",SUMIFS(tblDaily[TransfersIn],tblDaily[EntryDate],DATE(2026,7,15),tblDaily[WardCode],"CW")),"")</f>
        <v/>
      </c>
      <c r="G255" s="12">
        <f>IFERROR(IF(SUMIFS(tblDaily[TransfersOut],tblDaily[EntryDate],DATE(2026,7,15),tblDaily[WardCode],"CW")=0,"",SUMIFS(tblDaily[TransfersOut],tblDaily[EntryDate],DATE(2026,7,15),tblDaily[WardCode],"CW")),"")</f>
        <v/>
      </c>
      <c r="H255" s="12">
        <f>IFERROR(IF(SUMIFS(tblDaily[Remaining],tblDaily[EntryDate],DATE(2026,7,15),tblDaily[WardCode],"CW")=0,"",SUMIFS(tblDaily[Remaining],tblDaily[EntryDate],DATE(2026,7,15),tblDaily[WardCode],"CW")),"")</f>
        <v/>
      </c>
    </row>
    <row r="256">
      <c r="A256" s="12" t="n">
        <v>16</v>
      </c>
      <c r="B256" s="12">
        <f>IFERROR(IF(SUMIFS(tblDaily[Admissions],tblDaily[EntryDate],DATE(2026,7,16),tblDaily[WardCode],"CW")=0,"",SUMIFS(tblDaily[Admissions],tblDaily[EntryDate],DATE(2026,7,16),tblDaily[WardCode],"CW")),"")</f>
        <v/>
      </c>
      <c r="C256" s="12">
        <f>IFERROR(IF(SUMIFS(tblDaily[Discharges],tblDaily[EntryDate],DATE(2026,7,16),tblDaily[WardCode],"CW")=0,"",SUMIFS(tblDaily[Discharges],tblDaily[EntryDate],DATE(2026,7,16),tblDaily[WardCode],"CW")),"")</f>
        <v/>
      </c>
      <c r="D256" s="12">
        <f>IFERROR(IF(SUMIFS(tblDaily[Deaths],tblDaily[EntryDate],DATE(2026,7,16),tblDaily[WardCode],"CW")=0,"",SUMIFS(tblDaily[Deaths],tblDaily[EntryDate],DATE(2026,7,16),tblDaily[WardCode],"CW")),"")</f>
        <v/>
      </c>
      <c r="E256" s="12">
        <f>IFERROR(IF(SUMIFS(tblDaily[DeathsUnder24Hrs],tblDaily[EntryDate],DATE(2026,7,16),tblDaily[WardCode],"CW")=0,"",SUMIFS(tblDaily[DeathsUnder24Hrs],tblDaily[EntryDate],DATE(2026,7,16),tblDaily[WardCode],"CW")),"")</f>
        <v/>
      </c>
      <c r="F256" s="12">
        <f>IFERROR(IF(SUMIFS(tblDaily[TransfersIn],tblDaily[EntryDate],DATE(2026,7,16),tblDaily[WardCode],"CW")=0,"",SUMIFS(tblDaily[TransfersIn],tblDaily[EntryDate],DATE(2026,7,16),tblDaily[WardCode],"CW")),"")</f>
        <v/>
      </c>
      <c r="G256" s="12">
        <f>IFERROR(IF(SUMIFS(tblDaily[TransfersOut],tblDaily[EntryDate],DATE(2026,7,16),tblDaily[WardCode],"CW")=0,"",SUMIFS(tblDaily[TransfersOut],tblDaily[EntryDate],DATE(2026,7,16),tblDaily[WardCode],"CW")),"")</f>
        <v/>
      </c>
      <c r="H256" s="12">
        <f>IFERROR(IF(SUMIFS(tblDaily[Remaining],tblDaily[EntryDate],DATE(2026,7,16),tblDaily[WardCode],"CW")=0,"",SUMIFS(tblDaily[Remaining],tblDaily[EntryDate],DATE(2026,7,16),tblDaily[WardCode],"CW")),"")</f>
        <v/>
      </c>
    </row>
    <row r="257">
      <c r="A257" s="12" t="n">
        <v>17</v>
      </c>
      <c r="B257" s="12">
        <f>IFERROR(IF(SUMIFS(tblDaily[Admissions],tblDaily[EntryDate],DATE(2026,7,17),tblDaily[WardCode],"CW")=0,"",SUMIFS(tblDaily[Admissions],tblDaily[EntryDate],DATE(2026,7,17),tblDaily[WardCode],"CW")),"")</f>
        <v/>
      </c>
      <c r="C257" s="12">
        <f>IFERROR(IF(SUMIFS(tblDaily[Discharges],tblDaily[EntryDate],DATE(2026,7,17),tblDaily[WardCode],"CW")=0,"",SUMIFS(tblDaily[Discharges],tblDaily[EntryDate],DATE(2026,7,17),tblDaily[WardCode],"CW")),"")</f>
        <v/>
      </c>
      <c r="D257" s="12">
        <f>IFERROR(IF(SUMIFS(tblDaily[Deaths],tblDaily[EntryDate],DATE(2026,7,17),tblDaily[WardCode],"CW")=0,"",SUMIFS(tblDaily[Deaths],tblDaily[EntryDate],DATE(2026,7,17),tblDaily[WardCode],"CW")),"")</f>
        <v/>
      </c>
      <c r="E257" s="12">
        <f>IFERROR(IF(SUMIFS(tblDaily[DeathsUnder24Hrs],tblDaily[EntryDate],DATE(2026,7,17),tblDaily[WardCode],"CW")=0,"",SUMIFS(tblDaily[DeathsUnder24Hrs],tblDaily[EntryDate],DATE(2026,7,17),tblDaily[WardCode],"CW")),"")</f>
        <v/>
      </c>
      <c r="F257" s="12">
        <f>IFERROR(IF(SUMIFS(tblDaily[TransfersIn],tblDaily[EntryDate],DATE(2026,7,17),tblDaily[WardCode],"CW")=0,"",SUMIFS(tblDaily[TransfersIn],tblDaily[EntryDate],DATE(2026,7,17),tblDaily[WardCode],"CW")),"")</f>
        <v/>
      </c>
      <c r="G257" s="12">
        <f>IFERROR(IF(SUMIFS(tblDaily[TransfersOut],tblDaily[EntryDate],DATE(2026,7,17),tblDaily[WardCode],"CW")=0,"",SUMIFS(tblDaily[TransfersOut],tblDaily[EntryDate],DATE(2026,7,17),tblDaily[WardCode],"CW")),"")</f>
        <v/>
      </c>
      <c r="H257" s="12">
        <f>IFERROR(IF(SUMIFS(tblDaily[Remaining],tblDaily[EntryDate],DATE(2026,7,17),tblDaily[WardCode],"CW")=0,"",SUMIFS(tblDaily[Remaining],tblDaily[EntryDate],DATE(2026,7,17),tblDaily[WardCode],"CW")),"")</f>
        <v/>
      </c>
    </row>
    <row r="258">
      <c r="A258" s="12" t="n">
        <v>18</v>
      </c>
      <c r="B258" s="12">
        <f>IFERROR(IF(SUMIFS(tblDaily[Admissions],tblDaily[EntryDate],DATE(2026,7,18),tblDaily[WardCode],"CW")=0,"",SUMIFS(tblDaily[Admissions],tblDaily[EntryDate],DATE(2026,7,18),tblDaily[WardCode],"CW")),"")</f>
        <v/>
      </c>
      <c r="C258" s="12">
        <f>IFERROR(IF(SUMIFS(tblDaily[Discharges],tblDaily[EntryDate],DATE(2026,7,18),tblDaily[WardCode],"CW")=0,"",SUMIFS(tblDaily[Discharges],tblDaily[EntryDate],DATE(2026,7,18),tblDaily[WardCode],"CW")),"")</f>
        <v/>
      </c>
      <c r="D258" s="12">
        <f>IFERROR(IF(SUMIFS(tblDaily[Deaths],tblDaily[EntryDate],DATE(2026,7,18),tblDaily[WardCode],"CW")=0,"",SUMIFS(tblDaily[Deaths],tblDaily[EntryDate],DATE(2026,7,18),tblDaily[WardCode],"CW")),"")</f>
        <v/>
      </c>
      <c r="E258" s="12">
        <f>IFERROR(IF(SUMIFS(tblDaily[DeathsUnder24Hrs],tblDaily[EntryDate],DATE(2026,7,18),tblDaily[WardCode],"CW")=0,"",SUMIFS(tblDaily[DeathsUnder24Hrs],tblDaily[EntryDate],DATE(2026,7,18),tblDaily[WardCode],"CW")),"")</f>
        <v/>
      </c>
      <c r="F258" s="12">
        <f>IFERROR(IF(SUMIFS(tblDaily[TransfersIn],tblDaily[EntryDate],DATE(2026,7,18),tblDaily[WardCode],"CW")=0,"",SUMIFS(tblDaily[TransfersIn],tblDaily[EntryDate],DATE(2026,7,18),tblDaily[WardCode],"CW")),"")</f>
        <v/>
      </c>
      <c r="G258" s="12">
        <f>IFERROR(IF(SUMIFS(tblDaily[TransfersOut],tblDaily[EntryDate],DATE(2026,7,18),tblDaily[WardCode],"CW")=0,"",SUMIFS(tblDaily[TransfersOut],tblDaily[EntryDate],DATE(2026,7,18),tblDaily[WardCode],"CW")),"")</f>
        <v/>
      </c>
      <c r="H258" s="12">
        <f>IFERROR(IF(SUMIFS(tblDaily[Remaining],tblDaily[EntryDate],DATE(2026,7,18),tblDaily[WardCode],"CW")=0,"",SUMIFS(tblDaily[Remaining],tblDaily[EntryDate],DATE(2026,7,18),tblDaily[WardCode],"CW")),"")</f>
        <v/>
      </c>
    </row>
    <row r="259">
      <c r="A259" s="12" t="n">
        <v>19</v>
      </c>
      <c r="B259" s="12">
        <f>IFERROR(IF(SUMIFS(tblDaily[Admissions],tblDaily[EntryDate],DATE(2026,7,19),tblDaily[WardCode],"CW")=0,"",SUMIFS(tblDaily[Admissions],tblDaily[EntryDate],DATE(2026,7,19),tblDaily[WardCode],"CW")),"")</f>
        <v/>
      </c>
      <c r="C259" s="12">
        <f>IFERROR(IF(SUMIFS(tblDaily[Discharges],tblDaily[EntryDate],DATE(2026,7,19),tblDaily[WardCode],"CW")=0,"",SUMIFS(tblDaily[Discharges],tblDaily[EntryDate],DATE(2026,7,19),tblDaily[WardCode],"CW")),"")</f>
        <v/>
      </c>
      <c r="D259" s="12">
        <f>IFERROR(IF(SUMIFS(tblDaily[Deaths],tblDaily[EntryDate],DATE(2026,7,19),tblDaily[WardCode],"CW")=0,"",SUMIFS(tblDaily[Deaths],tblDaily[EntryDate],DATE(2026,7,19),tblDaily[WardCode],"CW")),"")</f>
        <v/>
      </c>
      <c r="E259" s="12">
        <f>IFERROR(IF(SUMIFS(tblDaily[DeathsUnder24Hrs],tblDaily[EntryDate],DATE(2026,7,19),tblDaily[WardCode],"CW")=0,"",SUMIFS(tblDaily[DeathsUnder24Hrs],tblDaily[EntryDate],DATE(2026,7,19),tblDaily[WardCode],"CW")),"")</f>
        <v/>
      </c>
      <c r="F259" s="12">
        <f>IFERROR(IF(SUMIFS(tblDaily[TransfersIn],tblDaily[EntryDate],DATE(2026,7,19),tblDaily[WardCode],"CW")=0,"",SUMIFS(tblDaily[TransfersIn],tblDaily[EntryDate],DATE(2026,7,19),tblDaily[WardCode],"CW")),"")</f>
        <v/>
      </c>
      <c r="G259" s="12">
        <f>IFERROR(IF(SUMIFS(tblDaily[TransfersOut],tblDaily[EntryDate],DATE(2026,7,19),tblDaily[WardCode],"CW")=0,"",SUMIFS(tblDaily[TransfersOut],tblDaily[EntryDate],DATE(2026,7,19),tblDaily[WardCode],"CW")),"")</f>
        <v/>
      </c>
      <c r="H259" s="12">
        <f>IFERROR(IF(SUMIFS(tblDaily[Remaining],tblDaily[EntryDate],DATE(2026,7,19),tblDaily[WardCode],"CW")=0,"",SUMIFS(tblDaily[Remaining],tblDaily[EntryDate],DATE(2026,7,19),tblDaily[WardCode],"CW")),"")</f>
        <v/>
      </c>
    </row>
    <row r="260">
      <c r="A260" s="12" t="n">
        <v>20</v>
      </c>
      <c r="B260" s="12">
        <f>IFERROR(IF(SUMIFS(tblDaily[Admissions],tblDaily[EntryDate],DATE(2026,7,20),tblDaily[WardCode],"CW")=0,"",SUMIFS(tblDaily[Admissions],tblDaily[EntryDate],DATE(2026,7,20),tblDaily[WardCode],"CW")),"")</f>
        <v/>
      </c>
      <c r="C260" s="12">
        <f>IFERROR(IF(SUMIFS(tblDaily[Discharges],tblDaily[EntryDate],DATE(2026,7,20),tblDaily[WardCode],"CW")=0,"",SUMIFS(tblDaily[Discharges],tblDaily[EntryDate],DATE(2026,7,20),tblDaily[WardCode],"CW")),"")</f>
        <v/>
      </c>
      <c r="D260" s="12">
        <f>IFERROR(IF(SUMIFS(tblDaily[Deaths],tblDaily[EntryDate],DATE(2026,7,20),tblDaily[WardCode],"CW")=0,"",SUMIFS(tblDaily[Deaths],tblDaily[EntryDate],DATE(2026,7,20),tblDaily[WardCode],"CW")),"")</f>
        <v/>
      </c>
      <c r="E260" s="12">
        <f>IFERROR(IF(SUMIFS(tblDaily[DeathsUnder24Hrs],tblDaily[EntryDate],DATE(2026,7,20),tblDaily[WardCode],"CW")=0,"",SUMIFS(tblDaily[DeathsUnder24Hrs],tblDaily[EntryDate],DATE(2026,7,20),tblDaily[WardCode],"CW")),"")</f>
        <v/>
      </c>
      <c r="F260" s="12">
        <f>IFERROR(IF(SUMIFS(tblDaily[TransfersIn],tblDaily[EntryDate],DATE(2026,7,20),tblDaily[WardCode],"CW")=0,"",SUMIFS(tblDaily[TransfersIn],tblDaily[EntryDate],DATE(2026,7,20),tblDaily[WardCode],"CW")),"")</f>
        <v/>
      </c>
      <c r="G260" s="12">
        <f>IFERROR(IF(SUMIFS(tblDaily[TransfersOut],tblDaily[EntryDate],DATE(2026,7,20),tblDaily[WardCode],"CW")=0,"",SUMIFS(tblDaily[TransfersOut],tblDaily[EntryDate],DATE(2026,7,20),tblDaily[WardCode],"CW")),"")</f>
        <v/>
      </c>
      <c r="H260" s="12">
        <f>IFERROR(IF(SUMIFS(tblDaily[Remaining],tblDaily[EntryDate],DATE(2026,7,20),tblDaily[WardCode],"CW")=0,"",SUMIFS(tblDaily[Remaining],tblDaily[EntryDate],DATE(2026,7,20),tblDaily[WardCode],"CW")),"")</f>
        <v/>
      </c>
    </row>
    <row r="261">
      <c r="A261" s="12" t="n">
        <v>21</v>
      </c>
      <c r="B261" s="12">
        <f>IFERROR(IF(SUMIFS(tblDaily[Admissions],tblDaily[EntryDate],DATE(2026,7,21),tblDaily[WardCode],"CW")=0,"",SUMIFS(tblDaily[Admissions],tblDaily[EntryDate],DATE(2026,7,21),tblDaily[WardCode],"CW")),"")</f>
        <v/>
      </c>
      <c r="C261" s="12">
        <f>IFERROR(IF(SUMIFS(tblDaily[Discharges],tblDaily[EntryDate],DATE(2026,7,21),tblDaily[WardCode],"CW")=0,"",SUMIFS(tblDaily[Discharges],tblDaily[EntryDate],DATE(2026,7,21),tblDaily[WardCode],"CW")),"")</f>
        <v/>
      </c>
      <c r="D261" s="12">
        <f>IFERROR(IF(SUMIFS(tblDaily[Deaths],tblDaily[EntryDate],DATE(2026,7,21),tblDaily[WardCode],"CW")=0,"",SUMIFS(tblDaily[Deaths],tblDaily[EntryDate],DATE(2026,7,21),tblDaily[WardCode],"CW")),"")</f>
        <v/>
      </c>
      <c r="E261" s="12">
        <f>IFERROR(IF(SUMIFS(tblDaily[DeathsUnder24Hrs],tblDaily[EntryDate],DATE(2026,7,21),tblDaily[WardCode],"CW")=0,"",SUMIFS(tblDaily[DeathsUnder24Hrs],tblDaily[EntryDate],DATE(2026,7,21),tblDaily[WardCode],"CW")),"")</f>
        <v/>
      </c>
      <c r="F261" s="12">
        <f>IFERROR(IF(SUMIFS(tblDaily[TransfersIn],tblDaily[EntryDate],DATE(2026,7,21),tblDaily[WardCode],"CW")=0,"",SUMIFS(tblDaily[TransfersIn],tblDaily[EntryDate],DATE(2026,7,21),tblDaily[WardCode],"CW")),"")</f>
        <v/>
      </c>
      <c r="G261" s="12">
        <f>IFERROR(IF(SUMIFS(tblDaily[TransfersOut],tblDaily[EntryDate],DATE(2026,7,21),tblDaily[WardCode],"CW")=0,"",SUMIFS(tblDaily[TransfersOut],tblDaily[EntryDate],DATE(2026,7,21),tblDaily[WardCode],"CW")),"")</f>
        <v/>
      </c>
      <c r="H261" s="12">
        <f>IFERROR(IF(SUMIFS(tblDaily[Remaining],tblDaily[EntryDate],DATE(2026,7,21),tblDaily[WardCode],"CW")=0,"",SUMIFS(tblDaily[Remaining],tblDaily[EntryDate],DATE(2026,7,21),tblDaily[WardCode],"CW")),"")</f>
        <v/>
      </c>
    </row>
    <row r="262">
      <c r="A262" s="12" t="n">
        <v>22</v>
      </c>
      <c r="B262" s="12">
        <f>IFERROR(IF(SUMIFS(tblDaily[Admissions],tblDaily[EntryDate],DATE(2026,7,22),tblDaily[WardCode],"CW")=0,"",SUMIFS(tblDaily[Admissions],tblDaily[EntryDate],DATE(2026,7,22),tblDaily[WardCode],"CW")),"")</f>
        <v/>
      </c>
      <c r="C262" s="12">
        <f>IFERROR(IF(SUMIFS(tblDaily[Discharges],tblDaily[EntryDate],DATE(2026,7,22),tblDaily[WardCode],"CW")=0,"",SUMIFS(tblDaily[Discharges],tblDaily[EntryDate],DATE(2026,7,22),tblDaily[WardCode],"CW")),"")</f>
        <v/>
      </c>
      <c r="D262" s="12">
        <f>IFERROR(IF(SUMIFS(tblDaily[Deaths],tblDaily[EntryDate],DATE(2026,7,22),tblDaily[WardCode],"CW")=0,"",SUMIFS(tblDaily[Deaths],tblDaily[EntryDate],DATE(2026,7,22),tblDaily[WardCode],"CW")),"")</f>
        <v/>
      </c>
      <c r="E262" s="12">
        <f>IFERROR(IF(SUMIFS(tblDaily[DeathsUnder24Hrs],tblDaily[EntryDate],DATE(2026,7,22),tblDaily[WardCode],"CW")=0,"",SUMIFS(tblDaily[DeathsUnder24Hrs],tblDaily[EntryDate],DATE(2026,7,22),tblDaily[WardCode],"CW")),"")</f>
        <v/>
      </c>
      <c r="F262" s="12">
        <f>IFERROR(IF(SUMIFS(tblDaily[TransfersIn],tblDaily[EntryDate],DATE(2026,7,22),tblDaily[WardCode],"CW")=0,"",SUMIFS(tblDaily[TransfersIn],tblDaily[EntryDate],DATE(2026,7,22),tblDaily[WardCode],"CW")),"")</f>
        <v/>
      </c>
      <c r="G262" s="12">
        <f>IFERROR(IF(SUMIFS(tblDaily[TransfersOut],tblDaily[EntryDate],DATE(2026,7,22),tblDaily[WardCode],"CW")=0,"",SUMIFS(tblDaily[TransfersOut],tblDaily[EntryDate],DATE(2026,7,22),tblDaily[WardCode],"CW")),"")</f>
        <v/>
      </c>
      <c r="H262" s="12">
        <f>IFERROR(IF(SUMIFS(tblDaily[Remaining],tblDaily[EntryDate],DATE(2026,7,22),tblDaily[WardCode],"CW")=0,"",SUMIFS(tblDaily[Remaining],tblDaily[EntryDate],DATE(2026,7,22),tblDaily[WardCode],"CW")),"")</f>
        <v/>
      </c>
    </row>
    <row r="263">
      <c r="A263" s="12" t="n">
        <v>23</v>
      </c>
      <c r="B263" s="12">
        <f>IFERROR(IF(SUMIFS(tblDaily[Admissions],tblDaily[EntryDate],DATE(2026,7,23),tblDaily[WardCode],"CW")=0,"",SUMIFS(tblDaily[Admissions],tblDaily[EntryDate],DATE(2026,7,23),tblDaily[WardCode],"CW")),"")</f>
        <v/>
      </c>
      <c r="C263" s="12">
        <f>IFERROR(IF(SUMIFS(tblDaily[Discharges],tblDaily[EntryDate],DATE(2026,7,23),tblDaily[WardCode],"CW")=0,"",SUMIFS(tblDaily[Discharges],tblDaily[EntryDate],DATE(2026,7,23),tblDaily[WardCode],"CW")),"")</f>
        <v/>
      </c>
      <c r="D263" s="12">
        <f>IFERROR(IF(SUMIFS(tblDaily[Deaths],tblDaily[EntryDate],DATE(2026,7,23),tblDaily[WardCode],"CW")=0,"",SUMIFS(tblDaily[Deaths],tblDaily[EntryDate],DATE(2026,7,23),tblDaily[WardCode],"CW")),"")</f>
        <v/>
      </c>
      <c r="E263" s="12">
        <f>IFERROR(IF(SUMIFS(tblDaily[DeathsUnder24Hrs],tblDaily[EntryDate],DATE(2026,7,23),tblDaily[WardCode],"CW")=0,"",SUMIFS(tblDaily[DeathsUnder24Hrs],tblDaily[EntryDate],DATE(2026,7,23),tblDaily[WardCode],"CW")),"")</f>
        <v/>
      </c>
      <c r="F263" s="12">
        <f>IFERROR(IF(SUMIFS(tblDaily[TransfersIn],tblDaily[EntryDate],DATE(2026,7,23),tblDaily[WardCode],"CW")=0,"",SUMIFS(tblDaily[TransfersIn],tblDaily[EntryDate],DATE(2026,7,23),tblDaily[WardCode],"CW")),"")</f>
        <v/>
      </c>
      <c r="G263" s="12">
        <f>IFERROR(IF(SUMIFS(tblDaily[TransfersOut],tblDaily[EntryDate],DATE(2026,7,23),tblDaily[WardCode],"CW")=0,"",SUMIFS(tblDaily[TransfersOut],tblDaily[EntryDate],DATE(2026,7,23),tblDaily[WardCode],"CW")),"")</f>
        <v/>
      </c>
      <c r="H263" s="12">
        <f>IFERROR(IF(SUMIFS(tblDaily[Remaining],tblDaily[EntryDate],DATE(2026,7,23),tblDaily[WardCode],"CW")=0,"",SUMIFS(tblDaily[Remaining],tblDaily[EntryDate],DATE(2026,7,23),tblDaily[WardCode],"CW")),"")</f>
        <v/>
      </c>
    </row>
    <row r="264">
      <c r="A264" s="12" t="n">
        <v>24</v>
      </c>
      <c r="B264" s="12">
        <f>IFERROR(IF(SUMIFS(tblDaily[Admissions],tblDaily[EntryDate],DATE(2026,7,24),tblDaily[WardCode],"CW")=0,"",SUMIFS(tblDaily[Admissions],tblDaily[EntryDate],DATE(2026,7,24),tblDaily[WardCode],"CW")),"")</f>
        <v/>
      </c>
      <c r="C264" s="12">
        <f>IFERROR(IF(SUMIFS(tblDaily[Discharges],tblDaily[EntryDate],DATE(2026,7,24),tblDaily[WardCode],"CW")=0,"",SUMIFS(tblDaily[Discharges],tblDaily[EntryDate],DATE(2026,7,24),tblDaily[WardCode],"CW")),"")</f>
        <v/>
      </c>
      <c r="D264" s="12">
        <f>IFERROR(IF(SUMIFS(tblDaily[Deaths],tblDaily[EntryDate],DATE(2026,7,24),tblDaily[WardCode],"CW")=0,"",SUMIFS(tblDaily[Deaths],tblDaily[EntryDate],DATE(2026,7,24),tblDaily[WardCode],"CW")),"")</f>
        <v/>
      </c>
      <c r="E264" s="12">
        <f>IFERROR(IF(SUMIFS(tblDaily[DeathsUnder24Hrs],tblDaily[EntryDate],DATE(2026,7,24),tblDaily[WardCode],"CW")=0,"",SUMIFS(tblDaily[DeathsUnder24Hrs],tblDaily[EntryDate],DATE(2026,7,24),tblDaily[WardCode],"CW")),"")</f>
        <v/>
      </c>
      <c r="F264" s="12">
        <f>IFERROR(IF(SUMIFS(tblDaily[TransfersIn],tblDaily[EntryDate],DATE(2026,7,24),tblDaily[WardCode],"CW")=0,"",SUMIFS(tblDaily[TransfersIn],tblDaily[EntryDate],DATE(2026,7,24),tblDaily[WardCode],"CW")),"")</f>
        <v/>
      </c>
      <c r="G264" s="12">
        <f>IFERROR(IF(SUMIFS(tblDaily[TransfersOut],tblDaily[EntryDate],DATE(2026,7,24),tblDaily[WardCode],"CW")=0,"",SUMIFS(tblDaily[TransfersOut],tblDaily[EntryDate],DATE(2026,7,24),tblDaily[WardCode],"CW")),"")</f>
        <v/>
      </c>
      <c r="H264" s="12">
        <f>IFERROR(IF(SUMIFS(tblDaily[Remaining],tblDaily[EntryDate],DATE(2026,7,24),tblDaily[WardCode],"CW")=0,"",SUMIFS(tblDaily[Remaining],tblDaily[EntryDate],DATE(2026,7,24),tblDaily[WardCode],"CW")),"")</f>
        <v/>
      </c>
    </row>
    <row r="265">
      <c r="A265" s="12" t="n">
        <v>25</v>
      </c>
      <c r="B265" s="12">
        <f>IFERROR(IF(SUMIFS(tblDaily[Admissions],tblDaily[EntryDate],DATE(2026,7,25),tblDaily[WardCode],"CW")=0,"",SUMIFS(tblDaily[Admissions],tblDaily[EntryDate],DATE(2026,7,25),tblDaily[WardCode],"CW")),"")</f>
        <v/>
      </c>
      <c r="C265" s="12">
        <f>IFERROR(IF(SUMIFS(tblDaily[Discharges],tblDaily[EntryDate],DATE(2026,7,25),tblDaily[WardCode],"CW")=0,"",SUMIFS(tblDaily[Discharges],tblDaily[EntryDate],DATE(2026,7,25),tblDaily[WardCode],"CW")),"")</f>
        <v/>
      </c>
      <c r="D265" s="12">
        <f>IFERROR(IF(SUMIFS(tblDaily[Deaths],tblDaily[EntryDate],DATE(2026,7,25),tblDaily[WardCode],"CW")=0,"",SUMIFS(tblDaily[Deaths],tblDaily[EntryDate],DATE(2026,7,25),tblDaily[WardCode],"CW")),"")</f>
        <v/>
      </c>
      <c r="E265" s="12">
        <f>IFERROR(IF(SUMIFS(tblDaily[DeathsUnder24Hrs],tblDaily[EntryDate],DATE(2026,7,25),tblDaily[WardCode],"CW")=0,"",SUMIFS(tblDaily[DeathsUnder24Hrs],tblDaily[EntryDate],DATE(2026,7,25),tblDaily[WardCode],"CW")),"")</f>
        <v/>
      </c>
      <c r="F265" s="12">
        <f>IFERROR(IF(SUMIFS(tblDaily[TransfersIn],tblDaily[EntryDate],DATE(2026,7,25),tblDaily[WardCode],"CW")=0,"",SUMIFS(tblDaily[TransfersIn],tblDaily[EntryDate],DATE(2026,7,25),tblDaily[WardCode],"CW")),"")</f>
        <v/>
      </c>
      <c r="G265" s="12">
        <f>IFERROR(IF(SUMIFS(tblDaily[TransfersOut],tblDaily[EntryDate],DATE(2026,7,25),tblDaily[WardCode],"CW")=0,"",SUMIFS(tblDaily[TransfersOut],tblDaily[EntryDate],DATE(2026,7,25),tblDaily[WardCode],"CW")),"")</f>
        <v/>
      </c>
      <c r="H265" s="12">
        <f>IFERROR(IF(SUMIFS(tblDaily[Remaining],tblDaily[EntryDate],DATE(2026,7,25),tblDaily[WardCode],"CW")=0,"",SUMIFS(tblDaily[Remaining],tblDaily[EntryDate],DATE(2026,7,25),tblDaily[WardCode],"CW")),"")</f>
        <v/>
      </c>
    </row>
    <row r="266">
      <c r="A266" s="12" t="n">
        <v>26</v>
      </c>
      <c r="B266" s="12">
        <f>IFERROR(IF(SUMIFS(tblDaily[Admissions],tblDaily[EntryDate],DATE(2026,7,26),tblDaily[WardCode],"CW")=0,"",SUMIFS(tblDaily[Admissions],tblDaily[EntryDate],DATE(2026,7,26),tblDaily[WardCode],"CW")),"")</f>
        <v/>
      </c>
      <c r="C266" s="12">
        <f>IFERROR(IF(SUMIFS(tblDaily[Discharges],tblDaily[EntryDate],DATE(2026,7,26),tblDaily[WardCode],"CW")=0,"",SUMIFS(tblDaily[Discharges],tblDaily[EntryDate],DATE(2026,7,26),tblDaily[WardCode],"CW")),"")</f>
        <v/>
      </c>
      <c r="D266" s="12">
        <f>IFERROR(IF(SUMIFS(tblDaily[Deaths],tblDaily[EntryDate],DATE(2026,7,26),tblDaily[WardCode],"CW")=0,"",SUMIFS(tblDaily[Deaths],tblDaily[EntryDate],DATE(2026,7,26),tblDaily[WardCode],"CW")),"")</f>
        <v/>
      </c>
      <c r="E266" s="12">
        <f>IFERROR(IF(SUMIFS(tblDaily[DeathsUnder24Hrs],tblDaily[EntryDate],DATE(2026,7,26),tblDaily[WardCode],"CW")=0,"",SUMIFS(tblDaily[DeathsUnder24Hrs],tblDaily[EntryDate],DATE(2026,7,26),tblDaily[WardCode],"CW")),"")</f>
        <v/>
      </c>
      <c r="F266" s="12">
        <f>IFERROR(IF(SUMIFS(tblDaily[TransfersIn],tblDaily[EntryDate],DATE(2026,7,26),tblDaily[WardCode],"CW")=0,"",SUMIFS(tblDaily[TransfersIn],tblDaily[EntryDate],DATE(2026,7,26),tblDaily[WardCode],"CW")),"")</f>
        <v/>
      </c>
      <c r="G266" s="12">
        <f>IFERROR(IF(SUMIFS(tblDaily[TransfersOut],tblDaily[EntryDate],DATE(2026,7,26),tblDaily[WardCode],"CW")=0,"",SUMIFS(tblDaily[TransfersOut],tblDaily[EntryDate],DATE(2026,7,26),tblDaily[WardCode],"CW")),"")</f>
        <v/>
      </c>
      <c r="H266" s="12">
        <f>IFERROR(IF(SUMIFS(tblDaily[Remaining],tblDaily[EntryDate],DATE(2026,7,26),tblDaily[WardCode],"CW")=0,"",SUMIFS(tblDaily[Remaining],tblDaily[EntryDate],DATE(2026,7,26),tblDaily[WardCode],"CW")),"")</f>
        <v/>
      </c>
    </row>
    <row r="267">
      <c r="A267" s="12" t="n">
        <v>27</v>
      </c>
      <c r="B267" s="12">
        <f>IFERROR(IF(SUMIFS(tblDaily[Admissions],tblDaily[EntryDate],DATE(2026,7,27),tblDaily[WardCode],"CW")=0,"",SUMIFS(tblDaily[Admissions],tblDaily[EntryDate],DATE(2026,7,27),tblDaily[WardCode],"CW")),"")</f>
        <v/>
      </c>
      <c r="C267" s="12">
        <f>IFERROR(IF(SUMIFS(tblDaily[Discharges],tblDaily[EntryDate],DATE(2026,7,27),tblDaily[WardCode],"CW")=0,"",SUMIFS(tblDaily[Discharges],tblDaily[EntryDate],DATE(2026,7,27),tblDaily[WardCode],"CW")),"")</f>
        <v/>
      </c>
      <c r="D267" s="12">
        <f>IFERROR(IF(SUMIFS(tblDaily[Deaths],tblDaily[EntryDate],DATE(2026,7,27),tblDaily[WardCode],"CW")=0,"",SUMIFS(tblDaily[Deaths],tblDaily[EntryDate],DATE(2026,7,27),tblDaily[WardCode],"CW")),"")</f>
        <v/>
      </c>
      <c r="E267" s="12">
        <f>IFERROR(IF(SUMIFS(tblDaily[DeathsUnder24Hrs],tblDaily[EntryDate],DATE(2026,7,27),tblDaily[WardCode],"CW")=0,"",SUMIFS(tblDaily[DeathsUnder24Hrs],tblDaily[EntryDate],DATE(2026,7,27),tblDaily[WardCode],"CW")),"")</f>
        <v/>
      </c>
      <c r="F267" s="12">
        <f>IFERROR(IF(SUMIFS(tblDaily[TransfersIn],tblDaily[EntryDate],DATE(2026,7,27),tblDaily[WardCode],"CW")=0,"",SUMIFS(tblDaily[TransfersIn],tblDaily[EntryDate],DATE(2026,7,27),tblDaily[WardCode],"CW")),"")</f>
        <v/>
      </c>
      <c r="G267" s="12">
        <f>IFERROR(IF(SUMIFS(tblDaily[TransfersOut],tblDaily[EntryDate],DATE(2026,7,27),tblDaily[WardCode],"CW")=0,"",SUMIFS(tblDaily[TransfersOut],tblDaily[EntryDate],DATE(2026,7,27),tblDaily[WardCode],"CW")),"")</f>
        <v/>
      </c>
      <c r="H267" s="12">
        <f>IFERROR(IF(SUMIFS(tblDaily[Remaining],tblDaily[EntryDate],DATE(2026,7,27),tblDaily[WardCode],"CW")=0,"",SUMIFS(tblDaily[Remaining],tblDaily[EntryDate],DATE(2026,7,27),tblDaily[WardCode],"CW")),"")</f>
        <v/>
      </c>
    </row>
    <row r="268">
      <c r="A268" s="12" t="n">
        <v>28</v>
      </c>
      <c r="B268" s="12">
        <f>IFERROR(IF(SUMIFS(tblDaily[Admissions],tblDaily[EntryDate],DATE(2026,7,28),tblDaily[WardCode],"CW")=0,"",SUMIFS(tblDaily[Admissions],tblDaily[EntryDate],DATE(2026,7,28),tblDaily[WardCode],"CW")),"")</f>
        <v/>
      </c>
      <c r="C268" s="12">
        <f>IFERROR(IF(SUMIFS(tblDaily[Discharges],tblDaily[EntryDate],DATE(2026,7,28),tblDaily[WardCode],"CW")=0,"",SUMIFS(tblDaily[Discharges],tblDaily[EntryDate],DATE(2026,7,28),tblDaily[WardCode],"CW")),"")</f>
        <v/>
      </c>
      <c r="D268" s="12">
        <f>IFERROR(IF(SUMIFS(tblDaily[Deaths],tblDaily[EntryDate],DATE(2026,7,28),tblDaily[WardCode],"CW")=0,"",SUMIFS(tblDaily[Deaths],tblDaily[EntryDate],DATE(2026,7,28),tblDaily[WardCode],"CW")),"")</f>
        <v/>
      </c>
      <c r="E268" s="12">
        <f>IFERROR(IF(SUMIFS(tblDaily[DeathsUnder24Hrs],tblDaily[EntryDate],DATE(2026,7,28),tblDaily[WardCode],"CW")=0,"",SUMIFS(tblDaily[DeathsUnder24Hrs],tblDaily[EntryDate],DATE(2026,7,28),tblDaily[WardCode],"CW")),"")</f>
        <v/>
      </c>
      <c r="F268" s="12">
        <f>IFERROR(IF(SUMIFS(tblDaily[TransfersIn],tblDaily[EntryDate],DATE(2026,7,28),tblDaily[WardCode],"CW")=0,"",SUMIFS(tblDaily[TransfersIn],tblDaily[EntryDate],DATE(2026,7,28),tblDaily[WardCode],"CW")),"")</f>
        <v/>
      </c>
      <c r="G268" s="12">
        <f>IFERROR(IF(SUMIFS(tblDaily[TransfersOut],tblDaily[EntryDate],DATE(2026,7,28),tblDaily[WardCode],"CW")=0,"",SUMIFS(tblDaily[TransfersOut],tblDaily[EntryDate],DATE(2026,7,28),tblDaily[WardCode],"CW")),"")</f>
        <v/>
      </c>
      <c r="H268" s="12">
        <f>IFERROR(IF(SUMIFS(tblDaily[Remaining],tblDaily[EntryDate],DATE(2026,7,28),tblDaily[WardCode],"CW")=0,"",SUMIFS(tblDaily[Remaining],tblDaily[EntryDate],DATE(2026,7,28),tblDaily[WardCode],"CW")),"")</f>
        <v/>
      </c>
    </row>
    <row r="269">
      <c r="A269" s="12" t="n">
        <v>29</v>
      </c>
      <c r="B269" s="12">
        <f>IFERROR(IF(SUMIFS(tblDaily[Admissions],tblDaily[EntryDate],DATE(2026,7,29),tblDaily[WardCode],"CW")=0,"",SUMIFS(tblDaily[Admissions],tblDaily[EntryDate],DATE(2026,7,29),tblDaily[WardCode],"CW")),"")</f>
        <v/>
      </c>
      <c r="C269" s="12">
        <f>IFERROR(IF(SUMIFS(tblDaily[Discharges],tblDaily[EntryDate],DATE(2026,7,29),tblDaily[WardCode],"CW")=0,"",SUMIFS(tblDaily[Discharges],tblDaily[EntryDate],DATE(2026,7,29),tblDaily[WardCode],"CW")),"")</f>
        <v/>
      </c>
      <c r="D269" s="12">
        <f>IFERROR(IF(SUMIFS(tblDaily[Deaths],tblDaily[EntryDate],DATE(2026,7,29),tblDaily[WardCode],"CW")=0,"",SUMIFS(tblDaily[Deaths],tblDaily[EntryDate],DATE(2026,7,29),tblDaily[WardCode],"CW")),"")</f>
        <v/>
      </c>
      <c r="E269" s="12">
        <f>IFERROR(IF(SUMIFS(tblDaily[DeathsUnder24Hrs],tblDaily[EntryDate],DATE(2026,7,29),tblDaily[WardCode],"CW")=0,"",SUMIFS(tblDaily[DeathsUnder24Hrs],tblDaily[EntryDate],DATE(2026,7,29),tblDaily[WardCode],"CW")),"")</f>
        <v/>
      </c>
      <c r="F269" s="12">
        <f>IFERROR(IF(SUMIFS(tblDaily[TransfersIn],tblDaily[EntryDate],DATE(2026,7,29),tblDaily[WardCode],"CW")=0,"",SUMIFS(tblDaily[TransfersIn],tblDaily[EntryDate],DATE(2026,7,29),tblDaily[WardCode],"CW")),"")</f>
        <v/>
      </c>
      <c r="G269" s="12">
        <f>IFERROR(IF(SUMIFS(tblDaily[TransfersOut],tblDaily[EntryDate],DATE(2026,7,29),tblDaily[WardCode],"CW")=0,"",SUMIFS(tblDaily[TransfersOut],tblDaily[EntryDate],DATE(2026,7,29),tblDaily[WardCode],"CW")),"")</f>
        <v/>
      </c>
      <c r="H269" s="12">
        <f>IFERROR(IF(SUMIFS(tblDaily[Remaining],tblDaily[EntryDate],DATE(2026,7,29),tblDaily[WardCode],"CW")=0,"",SUMIFS(tblDaily[Remaining],tblDaily[EntryDate],DATE(2026,7,29),tblDaily[WardCode],"CW")),"")</f>
        <v/>
      </c>
    </row>
    <row r="270">
      <c r="A270" s="12" t="n">
        <v>30</v>
      </c>
      <c r="B270" s="12">
        <f>IFERROR(IF(SUMIFS(tblDaily[Admissions],tblDaily[EntryDate],DATE(2026,7,30),tblDaily[WardCode],"CW")=0,"",SUMIFS(tblDaily[Admissions],tblDaily[EntryDate],DATE(2026,7,30),tblDaily[WardCode],"CW")),"")</f>
        <v/>
      </c>
      <c r="C270" s="12">
        <f>IFERROR(IF(SUMIFS(tblDaily[Discharges],tblDaily[EntryDate],DATE(2026,7,30),tblDaily[WardCode],"CW")=0,"",SUMIFS(tblDaily[Discharges],tblDaily[EntryDate],DATE(2026,7,30),tblDaily[WardCode],"CW")),"")</f>
        <v/>
      </c>
      <c r="D270" s="12">
        <f>IFERROR(IF(SUMIFS(tblDaily[Deaths],tblDaily[EntryDate],DATE(2026,7,30),tblDaily[WardCode],"CW")=0,"",SUMIFS(tblDaily[Deaths],tblDaily[EntryDate],DATE(2026,7,30),tblDaily[WardCode],"CW")),"")</f>
        <v/>
      </c>
      <c r="E270" s="12">
        <f>IFERROR(IF(SUMIFS(tblDaily[DeathsUnder24Hrs],tblDaily[EntryDate],DATE(2026,7,30),tblDaily[WardCode],"CW")=0,"",SUMIFS(tblDaily[DeathsUnder24Hrs],tblDaily[EntryDate],DATE(2026,7,30),tblDaily[WardCode],"CW")),"")</f>
        <v/>
      </c>
      <c r="F270" s="12">
        <f>IFERROR(IF(SUMIFS(tblDaily[TransfersIn],tblDaily[EntryDate],DATE(2026,7,30),tblDaily[WardCode],"CW")=0,"",SUMIFS(tblDaily[TransfersIn],tblDaily[EntryDate],DATE(2026,7,30),tblDaily[WardCode],"CW")),"")</f>
        <v/>
      </c>
      <c r="G270" s="12">
        <f>IFERROR(IF(SUMIFS(tblDaily[TransfersOut],tblDaily[EntryDate],DATE(2026,7,30),tblDaily[WardCode],"CW")=0,"",SUMIFS(tblDaily[TransfersOut],tblDaily[EntryDate],DATE(2026,7,30),tblDaily[WardCode],"CW")),"")</f>
        <v/>
      </c>
      <c r="H270" s="12">
        <f>IFERROR(IF(SUMIFS(tblDaily[Remaining],tblDaily[EntryDate],DATE(2026,7,30),tblDaily[WardCode],"CW")=0,"",SUMIFS(tblDaily[Remaining],tblDaily[EntryDate],DATE(2026,7,30),tblDaily[WardCode],"CW")),"")</f>
        <v/>
      </c>
    </row>
    <row r="271">
      <c r="A271" s="12" t="n">
        <v>31</v>
      </c>
      <c r="B271" s="12">
        <f>IFERROR(IF(SUMIFS(tblDaily[Admissions],tblDaily[EntryDate],DATE(2026,7,31),tblDaily[WardCode],"CW")=0,"",SUMIFS(tblDaily[Admissions],tblDaily[EntryDate],DATE(2026,7,31),tblDaily[WardCode],"CW")),"")</f>
        <v/>
      </c>
      <c r="C271" s="12">
        <f>IFERROR(IF(SUMIFS(tblDaily[Discharges],tblDaily[EntryDate],DATE(2026,7,31),tblDaily[WardCode],"CW")=0,"",SUMIFS(tblDaily[Discharges],tblDaily[EntryDate],DATE(2026,7,31),tblDaily[WardCode],"CW")),"")</f>
        <v/>
      </c>
      <c r="D271" s="12">
        <f>IFERROR(IF(SUMIFS(tblDaily[Deaths],tblDaily[EntryDate],DATE(2026,7,31),tblDaily[WardCode],"CW")=0,"",SUMIFS(tblDaily[Deaths],tblDaily[EntryDate],DATE(2026,7,31),tblDaily[WardCode],"CW")),"")</f>
        <v/>
      </c>
      <c r="E271" s="12">
        <f>IFERROR(IF(SUMIFS(tblDaily[DeathsUnder24Hrs],tblDaily[EntryDate],DATE(2026,7,31),tblDaily[WardCode],"CW")=0,"",SUMIFS(tblDaily[DeathsUnder24Hrs],tblDaily[EntryDate],DATE(2026,7,31),tblDaily[WardCode],"CW")),"")</f>
        <v/>
      </c>
      <c r="F271" s="12">
        <f>IFERROR(IF(SUMIFS(tblDaily[TransfersIn],tblDaily[EntryDate],DATE(2026,7,31),tblDaily[WardCode],"CW")=0,"",SUMIFS(tblDaily[TransfersIn],tblDaily[EntryDate],DATE(2026,7,31),tblDaily[WardCode],"CW")),"")</f>
        <v/>
      </c>
      <c r="G271" s="12">
        <f>IFERROR(IF(SUMIFS(tblDaily[TransfersOut],tblDaily[EntryDate],DATE(2026,7,31),tblDaily[WardCode],"CW")=0,"",SUMIFS(tblDaily[TransfersOut],tblDaily[EntryDate],DATE(2026,7,31),tblDaily[WardCode],"CW")),"")</f>
        <v/>
      </c>
      <c r="H271" s="12">
        <f>IFERROR(IF(SUMIFS(tblDaily[Remaining],tblDaily[EntryDate],DATE(2026,7,31),tblDaily[WardCode],"CW")=0,"",SUMIFS(tblDaily[Remaining],tblDaily[EntryDate],DATE(2026,7,31),tblDaily[WardCode],"CW")),"")</f>
        <v/>
      </c>
    </row>
    <row r="272">
      <c r="A272" s="17" t="inlineStr">
        <is>
          <t>TOTAL</t>
        </is>
      </c>
      <c r="B272" s="17">
        <f>SUMIFS(tblDaily[Admissions],tblDaily[Month],7,tblDaily[WardCode],"CW") - SUMIFS(tblDaily[DeathsUnder24Hrs],tblDaily[Month],7,tblDaily[WardCode],"CW")</f>
        <v/>
      </c>
      <c r="C272" s="17">
        <f>SUMIFS(tblDaily[Discharges],tblDaily[Month],7,tblDaily[WardCode],"CW")</f>
        <v/>
      </c>
      <c r="D272" s="17">
        <f>SUMIFS(tblDaily[Deaths],tblDaily[Month],7,tblDaily[WardCode],"CW")</f>
        <v/>
      </c>
      <c r="E272" s="17">
        <f>SUMIFS(tblDaily[DeathsUnder24Hrs],tblDaily[Month],7,tblDaily[WardCode],"CW")</f>
        <v/>
      </c>
      <c r="F272" s="17">
        <f>SUMIFS(tblDaily[TransfersIn],tblDaily[Month],7,tblDaily[WardCode],"CW")</f>
        <v/>
      </c>
      <c r="G272" s="17">
        <f>SUMIFS(tblDaily[TransfersOut],tblDaily[Month],7,tblDaily[WardCode],"CW")</f>
        <v/>
      </c>
      <c r="H272" s="17">
        <f>SUMIFS(tblDaily[Remaining],tblDaily[Month],7,tblDaily[WardCode],"CW")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PAEDIATRIC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4">
        <f>IFERROR(SUMIFS(tblDaily[Remaining],tblDaily[EntryDate],DATE(2026,7,31),tblDaily[WardCode],"CW"),0)</f>
        <v/>
      </c>
    </row>
    <row r="278">
      <c r="A278" s="4" t="inlineStr">
        <is>
          <t>Bed complement</t>
        </is>
      </c>
      <c r="H278" s="15">
        <f>IFERROR(INDEX(tblWardConfig[BedComplement],MATCH("CW",tblWardConfig[WardCode],0)),0)</f>
        <v/>
      </c>
    </row>
    <row r="279">
      <c r="A279" s="16" t="inlineStr">
        <is>
          <t>Day of
the
Month</t>
        </is>
      </c>
      <c r="B279" s="16" t="inlineStr">
        <is>
          <t>Admissions</t>
        </is>
      </c>
      <c r="C279" s="16" t="inlineStr">
        <is>
          <t>Discharges</t>
        </is>
      </c>
      <c r="D279" s="16" t="inlineStr">
        <is>
          <t>Deaths</t>
        </is>
      </c>
      <c r="E279" s="16" t="inlineStr">
        <is>
          <t>Deaths
&lt;24Hrs</t>
        </is>
      </c>
      <c r="F279" s="16" t="inlineStr">
        <is>
          <t>Transfers-
In</t>
        </is>
      </c>
      <c r="G279" s="16" t="inlineStr">
        <is>
          <t>Transfers-
Out</t>
        </is>
      </c>
      <c r="H279" s="16" t="inlineStr">
        <is>
          <t>No. of Patients
Remaining In
Ward</t>
        </is>
      </c>
    </row>
    <row r="280">
      <c r="A280" s="12" t="n">
        <v>1</v>
      </c>
      <c r="B280" s="12">
        <f>IFERROR(IF(SUMIFS(tblDaily[Admissions],tblDaily[EntryDate],DATE(2026,8,1),tblDaily[WardCode],"CW")=0,"",SUMIFS(tblDaily[Admissions],tblDaily[EntryDate],DATE(2026,8,1),tblDaily[WardCode],"CW")),"")</f>
        <v/>
      </c>
      <c r="C280" s="12">
        <f>IFERROR(IF(SUMIFS(tblDaily[Discharges],tblDaily[EntryDate],DATE(2026,8,1),tblDaily[WardCode],"CW")=0,"",SUMIFS(tblDaily[Discharges],tblDaily[EntryDate],DATE(2026,8,1),tblDaily[WardCode],"CW")),"")</f>
        <v/>
      </c>
      <c r="D280" s="12">
        <f>IFERROR(IF(SUMIFS(tblDaily[Deaths],tblDaily[EntryDate],DATE(2026,8,1),tblDaily[WardCode],"CW")=0,"",SUMIFS(tblDaily[Deaths],tblDaily[EntryDate],DATE(2026,8,1),tblDaily[WardCode],"CW")),"")</f>
        <v/>
      </c>
      <c r="E280" s="12">
        <f>IFERROR(IF(SUMIFS(tblDaily[DeathsUnder24Hrs],tblDaily[EntryDate],DATE(2026,8,1),tblDaily[WardCode],"CW")=0,"",SUMIFS(tblDaily[DeathsUnder24Hrs],tblDaily[EntryDate],DATE(2026,8,1),tblDaily[WardCode],"CW")),"")</f>
        <v/>
      </c>
      <c r="F280" s="12">
        <f>IFERROR(IF(SUMIFS(tblDaily[TransfersIn],tblDaily[EntryDate],DATE(2026,8,1),tblDaily[WardCode],"CW")=0,"",SUMIFS(tblDaily[TransfersIn],tblDaily[EntryDate],DATE(2026,8,1),tblDaily[WardCode],"CW")),"")</f>
        <v/>
      </c>
      <c r="G280" s="12">
        <f>IFERROR(IF(SUMIFS(tblDaily[TransfersOut],tblDaily[EntryDate],DATE(2026,8,1),tblDaily[WardCode],"CW")=0,"",SUMIFS(tblDaily[TransfersOut],tblDaily[EntryDate],DATE(2026,8,1),tblDaily[WardCode],"CW")),"")</f>
        <v/>
      </c>
      <c r="H280" s="12">
        <f>IFERROR(IF(SUMIFS(tblDaily[Remaining],tblDaily[EntryDate],DATE(2026,8,1),tblDaily[WardCode],"CW")=0,"",SUMIFS(tblDaily[Remaining],tblDaily[EntryDate],DATE(2026,8,1),tblDaily[WardCode],"CW")),"")</f>
        <v/>
      </c>
    </row>
    <row r="281">
      <c r="A281" s="12" t="n">
        <v>2</v>
      </c>
      <c r="B281" s="12">
        <f>IFERROR(IF(SUMIFS(tblDaily[Admissions],tblDaily[EntryDate],DATE(2026,8,2),tblDaily[WardCode],"CW")=0,"",SUMIFS(tblDaily[Admissions],tblDaily[EntryDate],DATE(2026,8,2),tblDaily[WardCode],"CW")),"")</f>
        <v/>
      </c>
      <c r="C281" s="12">
        <f>IFERROR(IF(SUMIFS(tblDaily[Discharges],tblDaily[EntryDate],DATE(2026,8,2),tblDaily[WardCode],"CW")=0,"",SUMIFS(tblDaily[Discharges],tblDaily[EntryDate],DATE(2026,8,2),tblDaily[WardCode],"CW")),"")</f>
        <v/>
      </c>
      <c r="D281" s="12">
        <f>IFERROR(IF(SUMIFS(tblDaily[Deaths],tblDaily[EntryDate],DATE(2026,8,2),tblDaily[WardCode],"CW")=0,"",SUMIFS(tblDaily[Deaths],tblDaily[EntryDate],DATE(2026,8,2),tblDaily[WardCode],"CW")),"")</f>
        <v/>
      </c>
      <c r="E281" s="12">
        <f>IFERROR(IF(SUMIFS(tblDaily[DeathsUnder24Hrs],tblDaily[EntryDate],DATE(2026,8,2),tblDaily[WardCode],"CW")=0,"",SUMIFS(tblDaily[DeathsUnder24Hrs],tblDaily[EntryDate],DATE(2026,8,2),tblDaily[WardCode],"CW")),"")</f>
        <v/>
      </c>
      <c r="F281" s="12">
        <f>IFERROR(IF(SUMIFS(tblDaily[TransfersIn],tblDaily[EntryDate],DATE(2026,8,2),tblDaily[WardCode],"CW")=0,"",SUMIFS(tblDaily[TransfersIn],tblDaily[EntryDate],DATE(2026,8,2),tblDaily[WardCode],"CW")),"")</f>
        <v/>
      </c>
      <c r="G281" s="12">
        <f>IFERROR(IF(SUMIFS(tblDaily[TransfersOut],tblDaily[EntryDate],DATE(2026,8,2),tblDaily[WardCode],"CW")=0,"",SUMIFS(tblDaily[TransfersOut],tblDaily[EntryDate],DATE(2026,8,2),tblDaily[WardCode],"CW")),"")</f>
        <v/>
      </c>
      <c r="H281" s="12">
        <f>IFERROR(IF(SUMIFS(tblDaily[Remaining],tblDaily[EntryDate],DATE(2026,8,2),tblDaily[WardCode],"CW")=0,"",SUMIFS(tblDaily[Remaining],tblDaily[EntryDate],DATE(2026,8,2),tblDaily[WardCode],"CW")),"")</f>
        <v/>
      </c>
    </row>
    <row r="282">
      <c r="A282" s="12" t="n">
        <v>3</v>
      </c>
      <c r="B282" s="12">
        <f>IFERROR(IF(SUMIFS(tblDaily[Admissions],tblDaily[EntryDate],DATE(2026,8,3),tblDaily[WardCode],"CW")=0,"",SUMIFS(tblDaily[Admissions],tblDaily[EntryDate],DATE(2026,8,3),tblDaily[WardCode],"CW")),"")</f>
        <v/>
      </c>
      <c r="C282" s="12">
        <f>IFERROR(IF(SUMIFS(tblDaily[Discharges],tblDaily[EntryDate],DATE(2026,8,3),tblDaily[WardCode],"CW")=0,"",SUMIFS(tblDaily[Discharges],tblDaily[EntryDate],DATE(2026,8,3),tblDaily[WardCode],"CW")),"")</f>
        <v/>
      </c>
      <c r="D282" s="12">
        <f>IFERROR(IF(SUMIFS(tblDaily[Deaths],tblDaily[EntryDate],DATE(2026,8,3),tblDaily[WardCode],"CW")=0,"",SUMIFS(tblDaily[Deaths],tblDaily[EntryDate],DATE(2026,8,3),tblDaily[WardCode],"CW")),"")</f>
        <v/>
      </c>
      <c r="E282" s="12">
        <f>IFERROR(IF(SUMIFS(tblDaily[DeathsUnder24Hrs],tblDaily[EntryDate],DATE(2026,8,3),tblDaily[WardCode],"CW")=0,"",SUMIFS(tblDaily[DeathsUnder24Hrs],tblDaily[EntryDate],DATE(2026,8,3),tblDaily[WardCode],"CW")),"")</f>
        <v/>
      </c>
      <c r="F282" s="12">
        <f>IFERROR(IF(SUMIFS(tblDaily[TransfersIn],tblDaily[EntryDate],DATE(2026,8,3),tblDaily[WardCode],"CW")=0,"",SUMIFS(tblDaily[TransfersIn],tblDaily[EntryDate],DATE(2026,8,3),tblDaily[WardCode],"CW")),"")</f>
        <v/>
      </c>
      <c r="G282" s="12">
        <f>IFERROR(IF(SUMIFS(tblDaily[TransfersOut],tblDaily[EntryDate],DATE(2026,8,3),tblDaily[WardCode],"CW")=0,"",SUMIFS(tblDaily[TransfersOut],tblDaily[EntryDate],DATE(2026,8,3),tblDaily[WardCode],"CW")),"")</f>
        <v/>
      </c>
      <c r="H282" s="12">
        <f>IFERROR(IF(SUMIFS(tblDaily[Remaining],tblDaily[EntryDate],DATE(2026,8,3),tblDaily[WardCode],"CW")=0,"",SUMIFS(tblDaily[Remaining],tblDaily[EntryDate],DATE(2026,8,3),tblDaily[WardCode],"CW")),"")</f>
        <v/>
      </c>
    </row>
    <row r="283">
      <c r="A283" s="12" t="n">
        <v>4</v>
      </c>
      <c r="B283" s="12">
        <f>IFERROR(IF(SUMIFS(tblDaily[Admissions],tblDaily[EntryDate],DATE(2026,8,4),tblDaily[WardCode],"CW")=0,"",SUMIFS(tblDaily[Admissions],tblDaily[EntryDate],DATE(2026,8,4),tblDaily[WardCode],"CW")),"")</f>
        <v/>
      </c>
      <c r="C283" s="12">
        <f>IFERROR(IF(SUMIFS(tblDaily[Discharges],tblDaily[EntryDate],DATE(2026,8,4),tblDaily[WardCode],"CW")=0,"",SUMIFS(tblDaily[Discharges],tblDaily[EntryDate],DATE(2026,8,4),tblDaily[WardCode],"CW")),"")</f>
        <v/>
      </c>
      <c r="D283" s="12">
        <f>IFERROR(IF(SUMIFS(tblDaily[Deaths],tblDaily[EntryDate],DATE(2026,8,4),tblDaily[WardCode],"CW")=0,"",SUMIFS(tblDaily[Deaths],tblDaily[EntryDate],DATE(2026,8,4),tblDaily[WardCode],"CW")),"")</f>
        <v/>
      </c>
      <c r="E283" s="12">
        <f>IFERROR(IF(SUMIFS(tblDaily[DeathsUnder24Hrs],tblDaily[EntryDate],DATE(2026,8,4),tblDaily[WardCode],"CW")=0,"",SUMIFS(tblDaily[DeathsUnder24Hrs],tblDaily[EntryDate],DATE(2026,8,4),tblDaily[WardCode],"CW")),"")</f>
        <v/>
      </c>
      <c r="F283" s="12">
        <f>IFERROR(IF(SUMIFS(tblDaily[TransfersIn],tblDaily[EntryDate],DATE(2026,8,4),tblDaily[WardCode],"CW")=0,"",SUMIFS(tblDaily[TransfersIn],tblDaily[EntryDate],DATE(2026,8,4),tblDaily[WardCode],"CW")),"")</f>
        <v/>
      </c>
      <c r="G283" s="12">
        <f>IFERROR(IF(SUMIFS(tblDaily[TransfersOut],tblDaily[EntryDate],DATE(2026,8,4),tblDaily[WardCode],"CW")=0,"",SUMIFS(tblDaily[TransfersOut],tblDaily[EntryDate],DATE(2026,8,4),tblDaily[WardCode],"CW")),"")</f>
        <v/>
      </c>
      <c r="H283" s="12">
        <f>IFERROR(IF(SUMIFS(tblDaily[Remaining],tblDaily[EntryDate],DATE(2026,8,4),tblDaily[WardCode],"CW")=0,"",SUMIFS(tblDaily[Remaining],tblDaily[EntryDate],DATE(2026,8,4),tblDaily[WardCode],"CW")),"")</f>
        <v/>
      </c>
    </row>
    <row r="284">
      <c r="A284" s="12" t="n">
        <v>5</v>
      </c>
      <c r="B284" s="12">
        <f>IFERROR(IF(SUMIFS(tblDaily[Admissions],tblDaily[EntryDate],DATE(2026,8,5),tblDaily[WardCode],"CW")=0,"",SUMIFS(tblDaily[Admissions],tblDaily[EntryDate],DATE(2026,8,5),tblDaily[WardCode],"CW")),"")</f>
        <v/>
      </c>
      <c r="C284" s="12">
        <f>IFERROR(IF(SUMIFS(tblDaily[Discharges],tblDaily[EntryDate],DATE(2026,8,5),tblDaily[WardCode],"CW")=0,"",SUMIFS(tblDaily[Discharges],tblDaily[EntryDate],DATE(2026,8,5),tblDaily[WardCode],"CW")),"")</f>
        <v/>
      </c>
      <c r="D284" s="12">
        <f>IFERROR(IF(SUMIFS(tblDaily[Deaths],tblDaily[EntryDate],DATE(2026,8,5),tblDaily[WardCode],"CW")=0,"",SUMIFS(tblDaily[Deaths],tblDaily[EntryDate],DATE(2026,8,5),tblDaily[WardCode],"CW")),"")</f>
        <v/>
      </c>
      <c r="E284" s="12">
        <f>IFERROR(IF(SUMIFS(tblDaily[DeathsUnder24Hrs],tblDaily[EntryDate],DATE(2026,8,5),tblDaily[WardCode],"CW")=0,"",SUMIFS(tblDaily[DeathsUnder24Hrs],tblDaily[EntryDate],DATE(2026,8,5),tblDaily[WardCode],"CW")),"")</f>
        <v/>
      </c>
      <c r="F284" s="12">
        <f>IFERROR(IF(SUMIFS(tblDaily[TransfersIn],tblDaily[EntryDate],DATE(2026,8,5),tblDaily[WardCode],"CW")=0,"",SUMIFS(tblDaily[TransfersIn],tblDaily[EntryDate],DATE(2026,8,5),tblDaily[WardCode],"CW")),"")</f>
        <v/>
      </c>
      <c r="G284" s="12">
        <f>IFERROR(IF(SUMIFS(tblDaily[TransfersOut],tblDaily[EntryDate],DATE(2026,8,5),tblDaily[WardCode],"CW")=0,"",SUMIFS(tblDaily[TransfersOut],tblDaily[EntryDate],DATE(2026,8,5),tblDaily[WardCode],"CW")),"")</f>
        <v/>
      </c>
      <c r="H284" s="12">
        <f>IFERROR(IF(SUMIFS(tblDaily[Remaining],tblDaily[EntryDate],DATE(2026,8,5),tblDaily[WardCode],"CW")=0,"",SUMIFS(tblDaily[Remaining],tblDaily[EntryDate],DATE(2026,8,5),tblDaily[WardCode],"CW")),"")</f>
        <v/>
      </c>
    </row>
    <row r="285">
      <c r="A285" s="12" t="n">
        <v>6</v>
      </c>
      <c r="B285" s="12">
        <f>IFERROR(IF(SUMIFS(tblDaily[Admissions],tblDaily[EntryDate],DATE(2026,8,6),tblDaily[WardCode],"CW")=0,"",SUMIFS(tblDaily[Admissions],tblDaily[EntryDate],DATE(2026,8,6),tblDaily[WardCode],"CW")),"")</f>
        <v/>
      </c>
      <c r="C285" s="12">
        <f>IFERROR(IF(SUMIFS(tblDaily[Discharges],tblDaily[EntryDate],DATE(2026,8,6),tblDaily[WardCode],"CW")=0,"",SUMIFS(tblDaily[Discharges],tblDaily[EntryDate],DATE(2026,8,6),tblDaily[WardCode],"CW")),"")</f>
        <v/>
      </c>
      <c r="D285" s="12">
        <f>IFERROR(IF(SUMIFS(tblDaily[Deaths],tblDaily[EntryDate],DATE(2026,8,6),tblDaily[WardCode],"CW")=0,"",SUMIFS(tblDaily[Deaths],tblDaily[EntryDate],DATE(2026,8,6),tblDaily[WardCode],"CW")),"")</f>
        <v/>
      </c>
      <c r="E285" s="12">
        <f>IFERROR(IF(SUMIFS(tblDaily[DeathsUnder24Hrs],tblDaily[EntryDate],DATE(2026,8,6),tblDaily[WardCode],"CW")=0,"",SUMIFS(tblDaily[DeathsUnder24Hrs],tblDaily[EntryDate],DATE(2026,8,6),tblDaily[WardCode],"CW")),"")</f>
        <v/>
      </c>
      <c r="F285" s="12">
        <f>IFERROR(IF(SUMIFS(tblDaily[TransfersIn],tblDaily[EntryDate],DATE(2026,8,6),tblDaily[WardCode],"CW")=0,"",SUMIFS(tblDaily[TransfersIn],tblDaily[EntryDate],DATE(2026,8,6),tblDaily[WardCode],"CW")),"")</f>
        <v/>
      </c>
      <c r="G285" s="12">
        <f>IFERROR(IF(SUMIFS(tblDaily[TransfersOut],tblDaily[EntryDate],DATE(2026,8,6),tblDaily[WardCode],"CW")=0,"",SUMIFS(tblDaily[TransfersOut],tblDaily[EntryDate],DATE(2026,8,6),tblDaily[WardCode],"CW")),"")</f>
        <v/>
      </c>
      <c r="H285" s="12">
        <f>IFERROR(IF(SUMIFS(tblDaily[Remaining],tblDaily[EntryDate],DATE(2026,8,6),tblDaily[WardCode],"CW")=0,"",SUMIFS(tblDaily[Remaining],tblDaily[EntryDate],DATE(2026,8,6),tblDaily[WardCode],"CW")),"")</f>
        <v/>
      </c>
    </row>
    <row r="286">
      <c r="A286" s="12" t="n">
        <v>7</v>
      </c>
      <c r="B286" s="12">
        <f>IFERROR(IF(SUMIFS(tblDaily[Admissions],tblDaily[EntryDate],DATE(2026,8,7),tblDaily[WardCode],"CW")=0,"",SUMIFS(tblDaily[Admissions],tblDaily[EntryDate],DATE(2026,8,7),tblDaily[WardCode],"CW")),"")</f>
        <v/>
      </c>
      <c r="C286" s="12">
        <f>IFERROR(IF(SUMIFS(tblDaily[Discharges],tblDaily[EntryDate],DATE(2026,8,7),tblDaily[WardCode],"CW")=0,"",SUMIFS(tblDaily[Discharges],tblDaily[EntryDate],DATE(2026,8,7),tblDaily[WardCode],"CW")),"")</f>
        <v/>
      </c>
      <c r="D286" s="12">
        <f>IFERROR(IF(SUMIFS(tblDaily[Deaths],tblDaily[EntryDate],DATE(2026,8,7),tblDaily[WardCode],"CW")=0,"",SUMIFS(tblDaily[Deaths],tblDaily[EntryDate],DATE(2026,8,7),tblDaily[WardCode],"CW")),"")</f>
        <v/>
      </c>
      <c r="E286" s="12">
        <f>IFERROR(IF(SUMIFS(tblDaily[DeathsUnder24Hrs],tblDaily[EntryDate],DATE(2026,8,7),tblDaily[WardCode],"CW")=0,"",SUMIFS(tblDaily[DeathsUnder24Hrs],tblDaily[EntryDate],DATE(2026,8,7),tblDaily[WardCode],"CW")),"")</f>
        <v/>
      </c>
      <c r="F286" s="12">
        <f>IFERROR(IF(SUMIFS(tblDaily[TransfersIn],tblDaily[EntryDate],DATE(2026,8,7),tblDaily[WardCode],"CW")=0,"",SUMIFS(tblDaily[TransfersIn],tblDaily[EntryDate],DATE(2026,8,7),tblDaily[WardCode],"CW")),"")</f>
        <v/>
      </c>
      <c r="G286" s="12">
        <f>IFERROR(IF(SUMIFS(tblDaily[TransfersOut],tblDaily[EntryDate],DATE(2026,8,7),tblDaily[WardCode],"CW")=0,"",SUMIFS(tblDaily[TransfersOut],tblDaily[EntryDate],DATE(2026,8,7),tblDaily[WardCode],"CW")),"")</f>
        <v/>
      </c>
      <c r="H286" s="12">
        <f>IFERROR(IF(SUMIFS(tblDaily[Remaining],tblDaily[EntryDate],DATE(2026,8,7),tblDaily[WardCode],"CW")=0,"",SUMIFS(tblDaily[Remaining],tblDaily[EntryDate],DATE(2026,8,7),tblDaily[WardCode],"CW")),"")</f>
        <v/>
      </c>
    </row>
    <row r="287">
      <c r="A287" s="12" t="n">
        <v>8</v>
      </c>
      <c r="B287" s="12">
        <f>IFERROR(IF(SUMIFS(tblDaily[Admissions],tblDaily[EntryDate],DATE(2026,8,8),tblDaily[WardCode],"CW")=0,"",SUMIFS(tblDaily[Admissions],tblDaily[EntryDate],DATE(2026,8,8),tblDaily[WardCode],"CW")),"")</f>
        <v/>
      </c>
      <c r="C287" s="12">
        <f>IFERROR(IF(SUMIFS(tblDaily[Discharges],tblDaily[EntryDate],DATE(2026,8,8),tblDaily[WardCode],"CW")=0,"",SUMIFS(tblDaily[Discharges],tblDaily[EntryDate],DATE(2026,8,8),tblDaily[WardCode],"CW")),"")</f>
        <v/>
      </c>
      <c r="D287" s="12">
        <f>IFERROR(IF(SUMIFS(tblDaily[Deaths],tblDaily[EntryDate],DATE(2026,8,8),tblDaily[WardCode],"CW")=0,"",SUMIFS(tblDaily[Deaths],tblDaily[EntryDate],DATE(2026,8,8),tblDaily[WardCode],"CW")),"")</f>
        <v/>
      </c>
      <c r="E287" s="12">
        <f>IFERROR(IF(SUMIFS(tblDaily[DeathsUnder24Hrs],tblDaily[EntryDate],DATE(2026,8,8),tblDaily[WardCode],"CW")=0,"",SUMIFS(tblDaily[DeathsUnder24Hrs],tblDaily[EntryDate],DATE(2026,8,8),tblDaily[WardCode],"CW")),"")</f>
        <v/>
      </c>
      <c r="F287" s="12">
        <f>IFERROR(IF(SUMIFS(tblDaily[TransfersIn],tblDaily[EntryDate],DATE(2026,8,8),tblDaily[WardCode],"CW")=0,"",SUMIFS(tblDaily[TransfersIn],tblDaily[EntryDate],DATE(2026,8,8),tblDaily[WardCode],"CW")),"")</f>
        <v/>
      </c>
      <c r="G287" s="12">
        <f>IFERROR(IF(SUMIFS(tblDaily[TransfersOut],tblDaily[EntryDate],DATE(2026,8,8),tblDaily[WardCode],"CW")=0,"",SUMIFS(tblDaily[TransfersOut],tblDaily[EntryDate],DATE(2026,8,8),tblDaily[WardCode],"CW")),"")</f>
        <v/>
      </c>
      <c r="H287" s="12">
        <f>IFERROR(IF(SUMIFS(tblDaily[Remaining],tblDaily[EntryDate],DATE(2026,8,8),tblDaily[WardCode],"CW")=0,"",SUMIFS(tblDaily[Remaining],tblDaily[EntryDate],DATE(2026,8,8),tblDaily[WardCode],"CW")),"")</f>
        <v/>
      </c>
    </row>
    <row r="288">
      <c r="A288" s="12" t="n">
        <v>9</v>
      </c>
      <c r="B288" s="12">
        <f>IFERROR(IF(SUMIFS(tblDaily[Admissions],tblDaily[EntryDate],DATE(2026,8,9),tblDaily[WardCode],"CW")=0,"",SUMIFS(tblDaily[Admissions],tblDaily[EntryDate],DATE(2026,8,9),tblDaily[WardCode],"CW")),"")</f>
        <v/>
      </c>
      <c r="C288" s="12">
        <f>IFERROR(IF(SUMIFS(tblDaily[Discharges],tblDaily[EntryDate],DATE(2026,8,9),tblDaily[WardCode],"CW")=0,"",SUMIFS(tblDaily[Discharges],tblDaily[EntryDate],DATE(2026,8,9),tblDaily[WardCode],"CW")),"")</f>
        <v/>
      </c>
      <c r="D288" s="12">
        <f>IFERROR(IF(SUMIFS(tblDaily[Deaths],tblDaily[EntryDate],DATE(2026,8,9),tblDaily[WardCode],"CW")=0,"",SUMIFS(tblDaily[Deaths],tblDaily[EntryDate],DATE(2026,8,9),tblDaily[WardCode],"CW")),"")</f>
        <v/>
      </c>
      <c r="E288" s="12">
        <f>IFERROR(IF(SUMIFS(tblDaily[DeathsUnder24Hrs],tblDaily[EntryDate],DATE(2026,8,9),tblDaily[WardCode],"CW")=0,"",SUMIFS(tblDaily[DeathsUnder24Hrs],tblDaily[EntryDate],DATE(2026,8,9),tblDaily[WardCode],"CW")),"")</f>
        <v/>
      </c>
      <c r="F288" s="12">
        <f>IFERROR(IF(SUMIFS(tblDaily[TransfersIn],tblDaily[EntryDate],DATE(2026,8,9),tblDaily[WardCode],"CW")=0,"",SUMIFS(tblDaily[TransfersIn],tblDaily[EntryDate],DATE(2026,8,9),tblDaily[WardCode],"CW")),"")</f>
        <v/>
      </c>
      <c r="G288" s="12">
        <f>IFERROR(IF(SUMIFS(tblDaily[TransfersOut],tblDaily[EntryDate],DATE(2026,8,9),tblDaily[WardCode],"CW")=0,"",SUMIFS(tblDaily[TransfersOut],tblDaily[EntryDate],DATE(2026,8,9),tblDaily[WardCode],"CW")),"")</f>
        <v/>
      </c>
      <c r="H288" s="12">
        <f>IFERROR(IF(SUMIFS(tblDaily[Remaining],tblDaily[EntryDate],DATE(2026,8,9),tblDaily[WardCode],"CW")=0,"",SUMIFS(tblDaily[Remaining],tblDaily[EntryDate],DATE(2026,8,9),tblDaily[WardCode],"CW")),"")</f>
        <v/>
      </c>
    </row>
    <row r="289">
      <c r="A289" s="12" t="n">
        <v>10</v>
      </c>
      <c r="B289" s="12">
        <f>IFERROR(IF(SUMIFS(tblDaily[Admissions],tblDaily[EntryDate],DATE(2026,8,10),tblDaily[WardCode],"CW")=0,"",SUMIFS(tblDaily[Admissions],tblDaily[EntryDate],DATE(2026,8,10),tblDaily[WardCode],"CW")),"")</f>
        <v/>
      </c>
      <c r="C289" s="12">
        <f>IFERROR(IF(SUMIFS(tblDaily[Discharges],tblDaily[EntryDate],DATE(2026,8,10),tblDaily[WardCode],"CW")=0,"",SUMIFS(tblDaily[Discharges],tblDaily[EntryDate],DATE(2026,8,10),tblDaily[WardCode],"CW")),"")</f>
        <v/>
      </c>
      <c r="D289" s="12">
        <f>IFERROR(IF(SUMIFS(tblDaily[Deaths],tblDaily[EntryDate],DATE(2026,8,10),tblDaily[WardCode],"CW")=0,"",SUMIFS(tblDaily[Deaths],tblDaily[EntryDate],DATE(2026,8,10),tblDaily[WardCode],"CW")),"")</f>
        <v/>
      </c>
      <c r="E289" s="12">
        <f>IFERROR(IF(SUMIFS(tblDaily[DeathsUnder24Hrs],tblDaily[EntryDate],DATE(2026,8,10),tblDaily[WardCode],"CW")=0,"",SUMIFS(tblDaily[DeathsUnder24Hrs],tblDaily[EntryDate],DATE(2026,8,10),tblDaily[WardCode],"CW")),"")</f>
        <v/>
      </c>
      <c r="F289" s="12">
        <f>IFERROR(IF(SUMIFS(tblDaily[TransfersIn],tblDaily[EntryDate],DATE(2026,8,10),tblDaily[WardCode],"CW")=0,"",SUMIFS(tblDaily[TransfersIn],tblDaily[EntryDate],DATE(2026,8,10),tblDaily[WardCode],"CW")),"")</f>
        <v/>
      </c>
      <c r="G289" s="12">
        <f>IFERROR(IF(SUMIFS(tblDaily[TransfersOut],tblDaily[EntryDate],DATE(2026,8,10),tblDaily[WardCode],"CW")=0,"",SUMIFS(tblDaily[TransfersOut],tblDaily[EntryDate],DATE(2026,8,10),tblDaily[WardCode],"CW")),"")</f>
        <v/>
      </c>
      <c r="H289" s="12">
        <f>IFERROR(IF(SUMIFS(tblDaily[Remaining],tblDaily[EntryDate],DATE(2026,8,10),tblDaily[WardCode],"CW")=0,"",SUMIFS(tblDaily[Remaining],tblDaily[EntryDate],DATE(2026,8,10),tblDaily[WardCode],"CW")),"")</f>
        <v/>
      </c>
    </row>
    <row r="290">
      <c r="A290" s="12" t="n">
        <v>11</v>
      </c>
      <c r="B290" s="12">
        <f>IFERROR(IF(SUMIFS(tblDaily[Admissions],tblDaily[EntryDate],DATE(2026,8,11),tblDaily[WardCode],"CW")=0,"",SUMIFS(tblDaily[Admissions],tblDaily[EntryDate],DATE(2026,8,11),tblDaily[WardCode],"CW")),"")</f>
        <v/>
      </c>
      <c r="C290" s="12">
        <f>IFERROR(IF(SUMIFS(tblDaily[Discharges],tblDaily[EntryDate],DATE(2026,8,11),tblDaily[WardCode],"CW")=0,"",SUMIFS(tblDaily[Discharges],tblDaily[EntryDate],DATE(2026,8,11),tblDaily[WardCode],"CW")),"")</f>
        <v/>
      </c>
      <c r="D290" s="12">
        <f>IFERROR(IF(SUMIFS(tblDaily[Deaths],tblDaily[EntryDate],DATE(2026,8,11),tblDaily[WardCode],"CW")=0,"",SUMIFS(tblDaily[Deaths],tblDaily[EntryDate],DATE(2026,8,11),tblDaily[WardCode],"CW")),"")</f>
        <v/>
      </c>
      <c r="E290" s="12">
        <f>IFERROR(IF(SUMIFS(tblDaily[DeathsUnder24Hrs],tblDaily[EntryDate],DATE(2026,8,11),tblDaily[WardCode],"CW")=0,"",SUMIFS(tblDaily[DeathsUnder24Hrs],tblDaily[EntryDate],DATE(2026,8,11),tblDaily[WardCode],"CW")),"")</f>
        <v/>
      </c>
      <c r="F290" s="12">
        <f>IFERROR(IF(SUMIFS(tblDaily[TransfersIn],tblDaily[EntryDate],DATE(2026,8,11),tblDaily[WardCode],"CW")=0,"",SUMIFS(tblDaily[TransfersIn],tblDaily[EntryDate],DATE(2026,8,11),tblDaily[WardCode],"CW")),"")</f>
        <v/>
      </c>
      <c r="G290" s="12">
        <f>IFERROR(IF(SUMIFS(tblDaily[TransfersOut],tblDaily[EntryDate],DATE(2026,8,11),tblDaily[WardCode],"CW")=0,"",SUMIFS(tblDaily[TransfersOut],tblDaily[EntryDate],DATE(2026,8,11),tblDaily[WardCode],"CW")),"")</f>
        <v/>
      </c>
      <c r="H290" s="12">
        <f>IFERROR(IF(SUMIFS(tblDaily[Remaining],tblDaily[EntryDate],DATE(2026,8,11),tblDaily[WardCode],"CW")=0,"",SUMIFS(tblDaily[Remaining],tblDaily[EntryDate],DATE(2026,8,11),tblDaily[WardCode],"CW")),"")</f>
        <v/>
      </c>
    </row>
    <row r="291">
      <c r="A291" s="12" t="n">
        <v>12</v>
      </c>
      <c r="B291" s="12">
        <f>IFERROR(IF(SUMIFS(tblDaily[Admissions],tblDaily[EntryDate],DATE(2026,8,12),tblDaily[WardCode],"CW")=0,"",SUMIFS(tblDaily[Admissions],tblDaily[EntryDate],DATE(2026,8,12),tblDaily[WardCode],"CW")),"")</f>
        <v/>
      </c>
      <c r="C291" s="12">
        <f>IFERROR(IF(SUMIFS(tblDaily[Discharges],tblDaily[EntryDate],DATE(2026,8,12),tblDaily[WardCode],"CW")=0,"",SUMIFS(tblDaily[Discharges],tblDaily[EntryDate],DATE(2026,8,12),tblDaily[WardCode],"CW")),"")</f>
        <v/>
      </c>
      <c r="D291" s="12">
        <f>IFERROR(IF(SUMIFS(tblDaily[Deaths],tblDaily[EntryDate],DATE(2026,8,12),tblDaily[WardCode],"CW")=0,"",SUMIFS(tblDaily[Deaths],tblDaily[EntryDate],DATE(2026,8,12),tblDaily[WardCode],"CW")),"")</f>
        <v/>
      </c>
      <c r="E291" s="12">
        <f>IFERROR(IF(SUMIFS(tblDaily[DeathsUnder24Hrs],tblDaily[EntryDate],DATE(2026,8,12),tblDaily[WardCode],"CW")=0,"",SUMIFS(tblDaily[DeathsUnder24Hrs],tblDaily[EntryDate],DATE(2026,8,12),tblDaily[WardCode],"CW")),"")</f>
        <v/>
      </c>
      <c r="F291" s="12">
        <f>IFERROR(IF(SUMIFS(tblDaily[TransfersIn],tblDaily[EntryDate],DATE(2026,8,12),tblDaily[WardCode],"CW")=0,"",SUMIFS(tblDaily[TransfersIn],tblDaily[EntryDate],DATE(2026,8,12),tblDaily[WardCode],"CW")),"")</f>
        <v/>
      </c>
      <c r="G291" s="12">
        <f>IFERROR(IF(SUMIFS(tblDaily[TransfersOut],tblDaily[EntryDate],DATE(2026,8,12),tblDaily[WardCode],"CW")=0,"",SUMIFS(tblDaily[TransfersOut],tblDaily[EntryDate],DATE(2026,8,12),tblDaily[WardCode],"CW")),"")</f>
        <v/>
      </c>
      <c r="H291" s="12">
        <f>IFERROR(IF(SUMIFS(tblDaily[Remaining],tblDaily[EntryDate],DATE(2026,8,12),tblDaily[WardCode],"CW")=0,"",SUMIFS(tblDaily[Remaining],tblDaily[EntryDate],DATE(2026,8,12),tblDaily[WardCode],"CW")),"")</f>
        <v/>
      </c>
    </row>
    <row r="292">
      <c r="A292" s="12" t="n">
        <v>13</v>
      </c>
      <c r="B292" s="12">
        <f>IFERROR(IF(SUMIFS(tblDaily[Admissions],tblDaily[EntryDate],DATE(2026,8,13),tblDaily[WardCode],"CW")=0,"",SUMIFS(tblDaily[Admissions],tblDaily[EntryDate],DATE(2026,8,13),tblDaily[WardCode],"CW")),"")</f>
        <v/>
      </c>
      <c r="C292" s="12">
        <f>IFERROR(IF(SUMIFS(tblDaily[Discharges],tblDaily[EntryDate],DATE(2026,8,13),tblDaily[WardCode],"CW")=0,"",SUMIFS(tblDaily[Discharges],tblDaily[EntryDate],DATE(2026,8,13),tblDaily[WardCode],"CW")),"")</f>
        <v/>
      </c>
      <c r="D292" s="12">
        <f>IFERROR(IF(SUMIFS(tblDaily[Deaths],tblDaily[EntryDate],DATE(2026,8,13),tblDaily[WardCode],"CW")=0,"",SUMIFS(tblDaily[Deaths],tblDaily[EntryDate],DATE(2026,8,13),tblDaily[WardCode],"CW")),"")</f>
        <v/>
      </c>
      <c r="E292" s="12">
        <f>IFERROR(IF(SUMIFS(tblDaily[DeathsUnder24Hrs],tblDaily[EntryDate],DATE(2026,8,13),tblDaily[WardCode],"CW")=0,"",SUMIFS(tblDaily[DeathsUnder24Hrs],tblDaily[EntryDate],DATE(2026,8,13),tblDaily[WardCode],"CW")),"")</f>
        <v/>
      </c>
      <c r="F292" s="12">
        <f>IFERROR(IF(SUMIFS(tblDaily[TransfersIn],tblDaily[EntryDate],DATE(2026,8,13),tblDaily[WardCode],"CW")=0,"",SUMIFS(tblDaily[TransfersIn],tblDaily[EntryDate],DATE(2026,8,13),tblDaily[WardCode],"CW")),"")</f>
        <v/>
      </c>
      <c r="G292" s="12">
        <f>IFERROR(IF(SUMIFS(tblDaily[TransfersOut],tblDaily[EntryDate],DATE(2026,8,13),tblDaily[WardCode],"CW")=0,"",SUMIFS(tblDaily[TransfersOut],tblDaily[EntryDate],DATE(2026,8,13),tblDaily[WardCode],"CW")),"")</f>
        <v/>
      </c>
      <c r="H292" s="12">
        <f>IFERROR(IF(SUMIFS(tblDaily[Remaining],tblDaily[EntryDate],DATE(2026,8,13),tblDaily[WardCode],"CW")=0,"",SUMIFS(tblDaily[Remaining],tblDaily[EntryDate],DATE(2026,8,13),tblDaily[WardCode],"CW")),"")</f>
        <v/>
      </c>
    </row>
    <row r="293">
      <c r="A293" s="12" t="n">
        <v>14</v>
      </c>
      <c r="B293" s="12">
        <f>IFERROR(IF(SUMIFS(tblDaily[Admissions],tblDaily[EntryDate],DATE(2026,8,14),tblDaily[WardCode],"CW")=0,"",SUMIFS(tblDaily[Admissions],tblDaily[EntryDate],DATE(2026,8,14),tblDaily[WardCode],"CW")),"")</f>
        <v/>
      </c>
      <c r="C293" s="12">
        <f>IFERROR(IF(SUMIFS(tblDaily[Discharges],tblDaily[EntryDate],DATE(2026,8,14),tblDaily[WardCode],"CW")=0,"",SUMIFS(tblDaily[Discharges],tblDaily[EntryDate],DATE(2026,8,14),tblDaily[WardCode],"CW")),"")</f>
        <v/>
      </c>
      <c r="D293" s="12">
        <f>IFERROR(IF(SUMIFS(tblDaily[Deaths],tblDaily[EntryDate],DATE(2026,8,14),tblDaily[WardCode],"CW")=0,"",SUMIFS(tblDaily[Deaths],tblDaily[EntryDate],DATE(2026,8,14),tblDaily[WardCode],"CW")),"")</f>
        <v/>
      </c>
      <c r="E293" s="12">
        <f>IFERROR(IF(SUMIFS(tblDaily[DeathsUnder24Hrs],tblDaily[EntryDate],DATE(2026,8,14),tblDaily[WardCode],"CW")=0,"",SUMIFS(tblDaily[DeathsUnder24Hrs],tblDaily[EntryDate],DATE(2026,8,14),tblDaily[WardCode],"CW")),"")</f>
        <v/>
      </c>
      <c r="F293" s="12">
        <f>IFERROR(IF(SUMIFS(tblDaily[TransfersIn],tblDaily[EntryDate],DATE(2026,8,14),tblDaily[WardCode],"CW")=0,"",SUMIFS(tblDaily[TransfersIn],tblDaily[EntryDate],DATE(2026,8,14),tblDaily[WardCode],"CW")),"")</f>
        <v/>
      </c>
      <c r="G293" s="12">
        <f>IFERROR(IF(SUMIFS(tblDaily[TransfersOut],tblDaily[EntryDate],DATE(2026,8,14),tblDaily[WardCode],"CW")=0,"",SUMIFS(tblDaily[TransfersOut],tblDaily[EntryDate],DATE(2026,8,14),tblDaily[WardCode],"CW")),"")</f>
        <v/>
      </c>
      <c r="H293" s="12">
        <f>IFERROR(IF(SUMIFS(tblDaily[Remaining],tblDaily[EntryDate],DATE(2026,8,14),tblDaily[WardCode],"CW")=0,"",SUMIFS(tblDaily[Remaining],tblDaily[EntryDate],DATE(2026,8,14),tblDaily[WardCode],"CW")),"")</f>
        <v/>
      </c>
    </row>
    <row r="294">
      <c r="A294" s="12" t="n">
        <v>15</v>
      </c>
      <c r="B294" s="12">
        <f>IFERROR(IF(SUMIFS(tblDaily[Admissions],tblDaily[EntryDate],DATE(2026,8,15),tblDaily[WardCode],"CW")=0,"",SUMIFS(tblDaily[Admissions],tblDaily[EntryDate],DATE(2026,8,15),tblDaily[WardCode],"CW")),"")</f>
        <v/>
      </c>
      <c r="C294" s="12">
        <f>IFERROR(IF(SUMIFS(tblDaily[Discharges],tblDaily[EntryDate],DATE(2026,8,15),tblDaily[WardCode],"CW")=0,"",SUMIFS(tblDaily[Discharges],tblDaily[EntryDate],DATE(2026,8,15),tblDaily[WardCode],"CW")),"")</f>
        <v/>
      </c>
      <c r="D294" s="12">
        <f>IFERROR(IF(SUMIFS(tblDaily[Deaths],tblDaily[EntryDate],DATE(2026,8,15),tblDaily[WardCode],"CW")=0,"",SUMIFS(tblDaily[Deaths],tblDaily[EntryDate],DATE(2026,8,15),tblDaily[WardCode],"CW")),"")</f>
        <v/>
      </c>
      <c r="E294" s="12">
        <f>IFERROR(IF(SUMIFS(tblDaily[DeathsUnder24Hrs],tblDaily[EntryDate],DATE(2026,8,15),tblDaily[WardCode],"CW")=0,"",SUMIFS(tblDaily[DeathsUnder24Hrs],tblDaily[EntryDate],DATE(2026,8,15),tblDaily[WardCode],"CW")),"")</f>
        <v/>
      </c>
      <c r="F294" s="12">
        <f>IFERROR(IF(SUMIFS(tblDaily[TransfersIn],tblDaily[EntryDate],DATE(2026,8,15),tblDaily[WardCode],"CW")=0,"",SUMIFS(tblDaily[TransfersIn],tblDaily[EntryDate],DATE(2026,8,15),tblDaily[WardCode],"CW")),"")</f>
        <v/>
      </c>
      <c r="G294" s="12">
        <f>IFERROR(IF(SUMIFS(tblDaily[TransfersOut],tblDaily[EntryDate],DATE(2026,8,15),tblDaily[WardCode],"CW")=0,"",SUMIFS(tblDaily[TransfersOut],tblDaily[EntryDate],DATE(2026,8,15),tblDaily[WardCode],"CW")),"")</f>
        <v/>
      </c>
      <c r="H294" s="12">
        <f>IFERROR(IF(SUMIFS(tblDaily[Remaining],tblDaily[EntryDate],DATE(2026,8,15),tblDaily[WardCode],"CW")=0,"",SUMIFS(tblDaily[Remaining],tblDaily[EntryDate],DATE(2026,8,15),tblDaily[WardCode],"CW")),"")</f>
        <v/>
      </c>
    </row>
    <row r="295">
      <c r="A295" s="12" t="n">
        <v>16</v>
      </c>
      <c r="B295" s="12">
        <f>IFERROR(IF(SUMIFS(tblDaily[Admissions],tblDaily[EntryDate],DATE(2026,8,16),tblDaily[WardCode],"CW")=0,"",SUMIFS(tblDaily[Admissions],tblDaily[EntryDate],DATE(2026,8,16),tblDaily[WardCode],"CW")),"")</f>
        <v/>
      </c>
      <c r="C295" s="12">
        <f>IFERROR(IF(SUMIFS(tblDaily[Discharges],tblDaily[EntryDate],DATE(2026,8,16),tblDaily[WardCode],"CW")=0,"",SUMIFS(tblDaily[Discharges],tblDaily[EntryDate],DATE(2026,8,16),tblDaily[WardCode],"CW")),"")</f>
        <v/>
      </c>
      <c r="D295" s="12">
        <f>IFERROR(IF(SUMIFS(tblDaily[Deaths],tblDaily[EntryDate],DATE(2026,8,16),tblDaily[WardCode],"CW")=0,"",SUMIFS(tblDaily[Deaths],tblDaily[EntryDate],DATE(2026,8,16),tblDaily[WardCode],"CW")),"")</f>
        <v/>
      </c>
      <c r="E295" s="12">
        <f>IFERROR(IF(SUMIFS(tblDaily[DeathsUnder24Hrs],tblDaily[EntryDate],DATE(2026,8,16),tblDaily[WardCode],"CW")=0,"",SUMIFS(tblDaily[DeathsUnder24Hrs],tblDaily[EntryDate],DATE(2026,8,16),tblDaily[WardCode],"CW")),"")</f>
        <v/>
      </c>
      <c r="F295" s="12">
        <f>IFERROR(IF(SUMIFS(tblDaily[TransfersIn],tblDaily[EntryDate],DATE(2026,8,16),tblDaily[WardCode],"CW")=0,"",SUMIFS(tblDaily[TransfersIn],tblDaily[EntryDate],DATE(2026,8,16),tblDaily[WardCode],"CW")),"")</f>
        <v/>
      </c>
      <c r="G295" s="12">
        <f>IFERROR(IF(SUMIFS(tblDaily[TransfersOut],tblDaily[EntryDate],DATE(2026,8,16),tblDaily[WardCode],"CW")=0,"",SUMIFS(tblDaily[TransfersOut],tblDaily[EntryDate],DATE(2026,8,16),tblDaily[WardCode],"CW")),"")</f>
        <v/>
      </c>
      <c r="H295" s="12">
        <f>IFERROR(IF(SUMIFS(tblDaily[Remaining],tblDaily[EntryDate],DATE(2026,8,16),tblDaily[WardCode],"CW")=0,"",SUMIFS(tblDaily[Remaining],tblDaily[EntryDate],DATE(2026,8,16),tblDaily[WardCode],"CW")),"")</f>
        <v/>
      </c>
    </row>
    <row r="296">
      <c r="A296" s="12" t="n">
        <v>17</v>
      </c>
      <c r="B296" s="12">
        <f>IFERROR(IF(SUMIFS(tblDaily[Admissions],tblDaily[EntryDate],DATE(2026,8,17),tblDaily[WardCode],"CW")=0,"",SUMIFS(tblDaily[Admissions],tblDaily[EntryDate],DATE(2026,8,17),tblDaily[WardCode],"CW")),"")</f>
        <v/>
      </c>
      <c r="C296" s="12">
        <f>IFERROR(IF(SUMIFS(tblDaily[Discharges],tblDaily[EntryDate],DATE(2026,8,17),tblDaily[WardCode],"CW")=0,"",SUMIFS(tblDaily[Discharges],tblDaily[EntryDate],DATE(2026,8,17),tblDaily[WardCode],"CW")),"")</f>
        <v/>
      </c>
      <c r="D296" s="12">
        <f>IFERROR(IF(SUMIFS(tblDaily[Deaths],tblDaily[EntryDate],DATE(2026,8,17),tblDaily[WardCode],"CW")=0,"",SUMIFS(tblDaily[Deaths],tblDaily[EntryDate],DATE(2026,8,17),tblDaily[WardCode],"CW")),"")</f>
        <v/>
      </c>
      <c r="E296" s="12">
        <f>IFERROR(IF(SUMIFS(tblDaily[DeathsUnder24Hrs],tblDaily[EntryDate],DATE(2026,8,17),tblDaily[WardCode],"CW")=0,"",SUMIFS(tblDaily[DeathsUnder24Hrs],tblDaily[EntryDate],DATE(2026,8,17),tblDaily[WardCode],"CW")),"")</f>
        <v/>
      </c>
      <c r="F296" s="12">
        <f>IFERROR(IF(SUMIFS(tblDaily[TransfersIn],tblDaily[EntryDate],DATE(2026,8,17),tblDaily[WardCode],"CW")=0,"",SUMIFS(tblDaily[TransfersIn],tblDaily[EntryDate],DATE(2026,8,17),tblDaily[WardCode],"CW")),"")</f>
        <v/>
      </c>
      <c r="G296" s="12">
        <f>IFERROR(IF(SUMIFS(tblDaily[TransfersOut],tblDaily[EntryDate],DATE(2026,8,17),tblDaily[WardCode],"CW")=0,"",SUMIFS(tblDaily[TransfersOut],tblDaily[EntryDate],DATE(2026,8,17),tblDaily[WardCode],"CW")),"")</f>
        <v/>
      </c>
      <c r="H296" s="12">
        <f>IFERROR(IF(SUMIFS(tblDaily[Remaining],tblDaily[EntryDate],DATE(2026,8,17),tblDaily[WardCode],"CW")=0,"",SUMIFS(tblDaily[Remaining],tblDaily[EntryDate],DATE(2026,8,17),tblDaily[WardCode],"CW")),"")</f>
        <v/>
      </c>
    </row>
    <row r="297">
      <c r="A297" s="12" t="n">
        <v>18</v>
      </c>
      <c r="B297" s="12">
        <f>IFERROR(IF(SUMIFS(tblDaily[Admissions],tblDaily[EntryDate],DATE(2026,8,18),tblDaily[WardCode],"CW")=0,"",SUMIFS(tblDaily[Admissions],tblDaily[EntryDate],DATE(2026,8,18),tblDaily[WardCode],"CW")),"")</f>
        <v/>
      </c>
      <c r="C297" s="12">
        <f>IFERROR(IF(SUMIFS(tblDaily[Discharges],tblDaily[EntryDate],DATE(2026,8,18),tblDaily[WardCode],"CW")=0,"",SUMIFS(tblDaily[Discharges],tblDaily[EntryDate],DATE(2026,8,18),tblDaily[WardCode],"CW")),"")</f>
        <v/>
      </c>
      <c r="D297" s="12">
        <f>IFERROR(IF(SUMIFS(tblDaily[Deaths],tblDaily[EntryDate],DATE(2026,8,18),tblDaily[WardCode],"CW")=0,"",SUMIFS(tblDaily[Deaths],tblDaily[EntryDate],DATE(2026,8,18),tblDaily[WardCode],"CW")),"")</f>
        <v/>
      </c>
      <c r="E297" s="12">
        <f>IFERROR(IF(SUMIFS(tblDaily[DeathsUnder24Hrs],tblDaily[EntryDate],DATE(2026,8,18),tblDaily[WardCode],"CW")=0,"",SUMIFS(tblDaily[DeathsUnder24Hrs],tblDaily[EntryDate],DATE(2026,8,18),tblDaily[WardCode],"CW")),"")</f>
        <v/>
      </c>
      <c r="F297" s="12">
        <f>IFERROR(IF(SUMIFS(tblDaily[TransfersIn],tblDaily[EntryDate],DATE(2026,8,18),tblDaily[WardCode],"CW")=0,"",SUMIFS(tblDaily[TransfersIn],tblDaily[EntryDate],DATE(2026,8,18),tblDaily[WardCode],"CW")),"")</f>
        <v/>
      </c>
      <c r="G297" s="12">
        <f>IFERROR(IF(SUMIFS(tblDaily[TransfersOut],tblDaily[EntryDate],DATE(2026,8,18),tblDaily[WardCode],"CW")=0,"",SUMIFS(tblDaily[TransfersOut],tblDaily[EntryDate],DATE(2026,8,18),tblDaily[WardCode],"CW")),"")</f>
        <v/>
      </c>
      <c r="H297" s="12">
        <f>IFERROR(IF(SUMIFS(tblDaily[Remaining],tblDaily[EntryDate],DATE(2026,8,18),tblDaily[WardCode],"CW")=0,"",SUMIFS(tblDaily[Remaining],tblDaily[EntryDate],DATE(2026,8,18),tblDaily[WardCode],"CW")),"")</f>
        <v/>
      </c>
    </row>
    <row r="298">
      <c r="A298" s="12" t="n">
        <v>19</v>
      </c>
      <c r="B298" s="12">
        <f>IFERROR(IF(SUMIFS(tblDaily[Admissions],tblDaily[EntryDate],DATE(2026,8,19),tblDaily[WardCode],"CW")=0,"",SUMIFS(tblDaily[Admissions],tblDaily[EntryDate],DATE(2026,8,19),tblDaily[WardCode],"CW")),"")</f>
        <v/>
      </c>
      <c r="C298" s="12">
        <f>IFERROR(IF(SUMIFS(tblDaily[Discharges],tblDaily[EntryDate],DATE(2026,8,19),tblDaily[WardCode],"CW")=0,"",SUMIFS(tblDaily[Discharges],tblDaily[EntryDate],DATE(2026,8,19),tblDaily[WardCode],"CW")),"")</f>
        <v/>
      </c>
      <c r="D298" s="12">
        <f>IFERROR(IF(SUMIFS(tblDaily[Deaths],tblDaily[EntryDate],DATE(2026,8,19),tblDaily[WardCode],"CW")=0,"",SUMIFS(tblDaily[Deaths],tblDaily[EntryDate],DATE(2026,8,19),tblDaily[WardCode],"CW")),"")</f>
        <v/>
      </c>
      <c r="E298" s="12">
        <f>IFERROR(IF(SUMIFS(tblDaily[DeathsUnder24Hrs],tblDaily[EntryDate],DATE(2026,8,19),tblDaily[WardCode],"CW")=0,"",SUMIFS(tblDaily[DeathsUnder24Hrs],tblDaily[EntryDate],DATE(2026,8,19),tblDaily[WardCode],"CW")),"")</f>
        <v/>
      </c>
      <c r="F298" s="12">
        <f>IFERROR(IF(SUMIFS(tblDaily[TransfersIn],tblDaily[EntryDate],DATE(2026,8,19),tblDaily[WardCode],"CW")=0,"",SUMIFS(tblDaily[TransfersIn],tblDaily[EntryDate],DATE(2026,8,19),tblDaily[WardCode],"CW")),"")</f>
        <v/>
      </c>
      <c r="G298" s="12">
        <f>IFERROR(IF(SUMIFS(tblDaily[TransfersOut],tblDaily[EntryDate],DATE(2026,8,19),tblDaily[WardCode],"CW")=0,"",SUMIFS(tblDaily[TransfersOut],tblDaily[EntryDate],DATE(2026,8,19),tblDaily[WardCode],"CW")),"")</f>
        <v/>
      </c>
      <c r="H298" s="12">
        <f>IFERROR(IF(SUMIFS(tblDaily[Remaining],tblDaily[EntryDate],DATE(2026,8,19),tblDaily[WardCode],"CW")=0,"",SUMIFS(tblDaily[Remaining],tblDaily[EntryDate],DATE(2026,8,19),tblDaily[WardCode],"CW")),"")</f>
        <v/>
      </c>
    </row>
    <row r="299">
      <c r="A299" s="12" t="n">
        <v>20</v>
      </c>
      <c r="B299" s="12">
        <f>IFERROR(IF(SUMIFS(tblDaily[Admissions],tblDaily[EntryDate],DATE(2026,8,20),tblDaily[WardCode],"CW")=0,"",SUMIFS(tblDaily[Admissions],tblDaily[EntryDate],DATE(2026,8,20),tblDaily[WardCode],"CW")),"")</f>
        <v/>
      </c>
      <c r="C299" s="12">
        <f>IFERROR(IF(SUMIFS(tblDaily[Discharges],tblDaily[EntryDate],DATE(2026,8,20),tblDaily[WardCode],"CW")=0,"",SUMIFS(tblDaily[Discharges],tblDaily[EntryDate],DATE(2026,8,20),tblDaily[WardCode],"CW")),"")</f>
        <v/>
      </c>
      <c r="D299" s="12">
        <f>IFERROR(IF(SUMIFS(tblDaily[Deaths],tblDaily[EntryDate],DATE(2026,8,20),tblDaily[WardCode],"CW")=0,"",SUMIFS(tblDaily[Deaths],tblDaily[EntryDate],DATE(2026,8,20),tblDaily[WardCode],"CW")),"")</f>
        <v/>
      </c>
      <c r="E299" s="12">
        <f>IFERROR(IF(SUMIFS(tblDaily[DeathsUnder24Hrs],tblDaily[EntryDate],DATE(2026,8,20),tblDaily[WardCode],"CW")=0,"",SUMIFS(tblDaily[DeathsUnder24Hrs],tblDaily[EntryDate],DATE(2026,8,20),tblDaily[WardCode],"CW")),"")</f>
        <v/>
      </c>
      <c r="F299" s="12">
        <f>IFERROR(IF(SUMIFS(tblDaily[TransfersIn],tblDaily[EntryDate],DATE(2026,8,20),tblDaily[WardCode],"CW")=0,"",SUMIFS(tblDaily[TransfersIn],tblDaily[EntryDate],DATE(2026,8,20),tblDaily[WardCode],"CW")),"")</f>
        <v/>
      </c>
      <c r="G299" s="12">
        <f>IFERROR(IF(SUMIFS(tblDaily[TransfersOut],tblDaily[EntryDate],DATE(2026,8,20),tblDaily[WardCode],"CW")=0,"",SUMIFS(tblDaily[TransfersOut],tblDaily[EntryDate],DATE(2026,8,20),tblDaily[WardCode],"CW")),"")</f>
        <v/>
      </c>
      <c r="H299" s="12">
        <f>IFERROR(IF(SUMIFS(tblDaily[Remaining],tblDaily[EntryDate],DATE(2026,8,20),tblDaily[WardCode],"CW")=0,"",SUMIFS(tblDaily[Remaining],tblDaily[EntryDate],DATE(2026,8,20),tblDaily[WardCode],"CW")),"")</f>
        <v/>
      </c>
    </row>
    <row r="300">
      <c r="A300" s="12" t="n">
        <v>21</v>
      </c>
      <c r="B300" s="12">
        <f>IFERROR(IF(SUMIFS(tblDaily[Admissions],tblDaily[EntryDate],DATE(2026,8,21),tblDaily[WardCode],"CW")=0,"",SUMIFS(tblDaily[Admissions],tblDaily[EntryDate],DATE(2026,8,21),tblDaily[WardCode],"CW")),"")</f>
        <v/>
      </c>
      <c r="C300" s="12">
        <f>IFERROR(IF(SUMIFS(tblDaily[Discharges],tblDaily[EntryDate],DATE(2026,8,21),tblDaily[WardCode],"CW")=0,"",SUMIFS(tblDaily[Discharges],tblDaily[EntryDate],DATE(2026,8,21),tblDaily[WardCode],"CW")),"")</f>
        <v/>
      </c>
      <c r="D300" s="12">
        <f>IFERROR(IF(SUMIFS(tblDaily[Deaths],tblDaily[EntryDate],DATE(2026,8,21),tblDaily[WardCode],"CW")=0,"",SUMIFS(tblDaily[Deaths],tblDaily[EntryDate],DATE(2026,8,21),tblDaily[WardCode],"CW")),"")</f>
        <v/>
      </c>
      <c r="E300" s="12">
        <f>IFERROR(IF(SUMIFS(tblDaily[DeathsUnder24Hrs],tblDaily[EntryDate],DATE(2026,8,21),tblDaily[WardCode],"CW")=0,"",SUMIFS(tblDaily[DeathsUnder24Hrs],tblDaily[EntryDate],DATE(2026,8,21),tblDaily[WardCode],"CW")),"")</f>
        <v/>
      </c>
      <c r="F300" s="12">
        <f>IFERROR(IF(SUMIFS(tblDaily[TransfersIn],tblDaily[EntryDate],DATE(2026,8,21),tblDaily[WardCode],"CW")=0,"",SUMIFS(tblDaily[TransfersIn],tblDaily[EntryDate],DATE(2026,8,21),tblDaily[WardCode],"CW")),"")</f>
        <v/>
      </c>
      <c r="G300" s="12">
        <f>IFERROR(IF(SUMIFS(tblDaily[TransfersOut],tblDaily[EntryDate],DATE(2026,8,21),tblDaily[WardCode],"CW")=0,"",SUMIFS(tblDaily[TransfersOut],tblDaily[EntryDate],DATE(2026,8,21),tblDaily[WardCode],"CW")),"")</f>
        <v/>
      </c>
      <c r="H300" s="12">
        <f>IFERROR(IF(SUMIFS(tblDaily[Remaining],tblDaily[EntryDate],DATE(2026,8,21),tblDaily[WardCode],"CW")=0,"",SUMIFS(tblDaily[Remaining],tblDaily[EntryDate],DATE(2026,8,21),tblDaily[WardCode],"CW")),"")</f>
        <v/>
      </c>
    </row>
    <row r="301">
      <c r="A301" s="12" t="n">
        <v>22</v>
      </c>
      <c r="B301" s="12">
        <f>IFERROR(IF(SUMIFS(tblDaily[Admissions],tblDaily[EntryDate],DATE(2026,8,22),tblDaily[WardCode],"CW")=0,"",SUMIFS(tblDaily[Admissions],tblDaily[EntryDate],DATE(2026,8,22),tblDaily[WardCode],"CW")),"")</f>
        <v/>
      </c>
      <c r="C301" s="12">
        <f>IFERROR(IF(SUMIFS(tblDaily[Discharges],tblDaily[EntryDate],DATE(2026,8,22),tblDaily[WardCode],"CW")=0,"",SUMIFS(tblDaily[Discharges],tblDaily[EntryDate],DATE(2026,8,22),tblDaily[WardCode],"CW")),"")</f>
        <v/>
      </c>
      <c r="D301" s="12">
        <f>IFERROR(IF(SUMIFS(tblDaily[Deaths],tblDaily[EntryDate],DATE(2026,8,22),tblDaily[WardCode],"CW")=0,"",SUMIFS(tblDaily[Deaths],tblDaily[EntryDate],DATE(2026,8,22),tblDaily[WardCode],"CW")),"")</f>
        <v/>
      </c>
      <c r="E301" s="12">
        <f>IFERROR(IF(SUMIFS(tblDaily[DeathsUnder24Hrs],tblDaily[EntryDate],DATE(2026,8,22),tblDaily[WardCode],"CW")=0,"",SUMIFS(tblDaily[DeathsUnder24Hrs],tblDaily[EntryDate],DATE(2026,8,22),tblDaily[WardCode],"CW")),"")</f>
        <v/>
      </c>
      <c r="F301" s="12">
        <f>IFERROR(IF(SUMIFS(tblDaily[TransfersIn],tblDaily[EntryDate],DATE(2026,8,22),tblDaily[WardCode],"CW")=0,"",SUMIFS(tblDaily[TransfersIn],tblDaily[EntryDate],DATE(2026,8,22),tblDaily[WardCode],"CW")),"")</f>
        <v/>
      </c>
      <c r="G301" s="12">
        <f>IFERROR(IF(SUMIFS(tblDaily[TransfersOut],tblDaily[EntryDate],DATE(2026,8,22),tblDaily[WardCode],"CW")=0,"",SUMIFS(tblDaily[TransfersOut],tblDaily[EntryDate],DATE(2026,8,22),tblDaily[WardCode],"CW")),"")</f>
        <v/>
      </c>
      <c r="H301" s="12">
        <f>IFERROR(IF(SUMIFS(tblDaily[Remaining],tblDaily[EntryDate],DATE(2026,8,22),tblDaily[WardCode],"CW")=0,"",SUMIFS(tblDaily[Remaining],tblDaily[EntryDate],DATE(2026,8,22),tblDaily[WardCode],"CW")),"")</f>
        <v/>
      </c>
    </row>
    <row r="302">
      <c r="A302" s="12" t="n">
        <v>23</v>
      </c>
      <c r="B302" s="12">
        <f>IFERROR(IF(SUMIFS(tblDaily[Admissions],tblDaily[EntryDate],DATE(2026,8,23),tblDaily[WardCode],"CW")=0,"",SUMIFS(tblDaily[Admissions],tblDaily[EntryDate],DATE(2026,8,23),tblDaily[WardCode],"CW")),"")</f>
        <v/>
      </c>
      <c r="C302" s="12">
        <f>IFERROR(IF(SUMIFS(tblDaily[Discharges],tblDaily[EntryDate],DATE(2026,8,23),tblDaily[WardCode],"CW")=0,"",SUMIFS(tblDaily[Discharges],tblDaily[EntryDate],DATE(2026,8,23),tblDaily[WardCode],"CW")),"")</f>
        <v/>
      </c>
      <c r="D302" s="12">
        <f>IFERROR(IF(SUMIFS(tblDaily[Deaths],tblDaily[EntryDate],DATE(2026,8,23),tblDaily[WardCode],"CW")=0,"",SUMIFS(tblDaily[Deaths],tblDaily[EntryDate],DATE(2026,8,23),tblDaily[WardCode],"CW")),"")</f>
        <v/>
      </c>
      <c r="E302" s="12">
        <f>IFERROR(IF(SUMIFS(tblDaily[DeathsUnder24Hrs],tblDaily[EntryDate],DATE(2026,8,23),tblDaily[WardCode],"CW")=0,"",SUMIFS(tblDaily[DeathsUnder24Hrs],tblDaily[EntryDate],DATE(2026,8,23),tblDaily[WardCode],"CW")),"")</f>
        <v/>
      </c>
      <c r="F302" s="12">
        <f>IFERROR(IF(SUMIFS(tblDaily[TransfersIn],tblDaily[EntryDate],DATE(2026,8,23),tblDaily[WardCode],"CW")=0,"",SUMIFS(tblDaily[TransfersIn],tblDaily[EntryDate],DATE(2026,8,23),tblDaily[WardCode],"CW")),"")</f>
        <v/>
      </c>
      <c r="G302" s="12">
        <f>IFERROR(IF(SUMIFS(tblDaily[TransfersOut],tblDaily[EntryDate],DATE(2026,8,23),tblDaily[WardCode],"CW")=0,"",SUMIFS(tblDaily[TransfersOut],tblDaily[EntryDate],DATE(2026,8,23),tblDaily[WardCode],"CW")),"")</f>
        <v/>
      </c>
      <c r="H302" s="12">
        <f>IFERROR(IF(SUMIFS(tblDaily[Remaining],tblDaily[EntryDate],DATE(2026,8,23),tblDaily[WardCode],"CW")=0,"",SUMIFS(tblDaily[Remaining],tblDaily[EntryDate],DATE(2026,8,23),tblDaily[WardCode],"CW")),"")</f>
        <v/>
      </c>
    </row>
    <row r="303">
      <c r="A303" s="12" t="n">
        <v>24</v>
      </c>
      <c r="B303" s="12">
        <f>IFERROR(IF(SUMIFS(tblDaily[Admissions],tblDaily[EntryDate],DATE(2026,8,24),tblDaily[WardCode],"CW")=0,"",SUMIFS(tblDaily[Admissions],tblDaily[EntryDate],DATE(2026,8,24),tblDaily[WardCode],"CW")),"")</f>
        <v/>
      </c>
      <c r="C303" s="12">
        <f>IFERROR(IF(SUMIFS(tblDaily[Discharges],tblDaily[EntryDate],DATE(2026,8,24),tblDaily[WardCode],"CW")=0,"",SUMIFS(tblDaily[Discharges],tblDaily[EntryDate],DATE(2026,8,24),tblDaily[WardCode],"CW")),"")</f>
        <v/>
      </c>
      <c r="D303" s="12">
        <f>IFERROR(IF(SUMIFS(tblDaily[Deaths],tblDaily[EntryDate],DATE(2026,8,24),tblDaily[WardCode],"CW")=0,"",SUMIFS(tblDaily[Deaths],tblDaily[EntryDate],DATE(2026,8,24),tblDaily[WardCode],"CW")),"")</f>
        <v/>
      </c>
      <c r="E303" s="12">
        <f>IFERROR(IF(SUMIFS(tblDaily[DeathsUnder24Hrs],tblDaily[EntryDate],DATE(2026,8,24),tblDaily[WardCode],"CW")=0,"",SUMIFS(tblDaily[DeathsUnder24Hrs],tblDaily[EntryDate],DATE(2026,8,24),tblDaily[WardCode],"CW")),"")</f>
        <v/>
      </c>
      <c r="F303" s="12">
        <f>IFERROR(IF(SUMIFS(tblDaily[TransfersIn],tblDaily[EntryDate],DATE(2026,8,24),tblDaily[WardCode],"CW")=0,"",SUMIFS(tblDaily[TransfersIn],tblDaily[EntryDate],DATE(2026,8,24),tblDaily[WardCode],"CW")),"")</f>
        <v/>
      </c>
      <c r="G303" s="12">
        <f>IFERROR(IF(SUMIFS(tblDaily[TransfersOut],tblDaily[EntryDate],DATE(2026,8,24),tblDaily[WardCode],"CW")=0,"",SUMIFS(tblDaily[TransfersOut],tblDaily[EntryDate],DATE(2026,8,24),tblDaily[WardCode],"CW")),"")</f>
        <v/>
      </c>
      <c r="H303" s="12">
        <f>IFERROR(IF(SUMIFS(tblDaily[Remaining],tblDaily[EntryDate],DATE(2026,8,24),tblDaily[WardCode],"CW")=0,"",SUMIFS(tblDaily[Remaining],tblDaily[EntryDate],DATE(2026,8,24),tblDaily[WardCode],"CW")),"")</f>
        <v/>
      </c>
    </row>
    <row r="304">
      <c r="A304" s="12" t="n">
        <v>25</v>
      </c>
      <c r="B304" s="12">
        <f>IFERROR(IF(SUMIFS(tblDaily[Admissions],tblDaily[EntryDate],DATE(2026,8,25),tblDaily[WardCode],"CW")=0,"",SUMIFS(tblDaily[Admissions],tblDaily[EntryDate],DATE(2026,8,25),tblDaily[WardCode],"CW")),"")</f>
        <v/>
      </c>
      <c r="C304" s="12">
        <f>IFERROR(IF(SUMIFS(tblDaily[Discharges],tblDaily[EntryDate],DATE(2026,8,25),tblDaily[WardCode],"CW")=0,"",SUMIFS(tblDaily[Discharges],tblDaily[EntryDate],DATE(2026,8,25),tblDaily[WardCode],"CW")),"")</f>
        <v/>
      </c>
      <c r="D304" s="12">
        <f>IFERROR(IF(SUMIFS(tblDaily[Deaths],tblDaily[EntryDate],DATE(2026,8,25),tblDaily[WardCode],"CW")=0,"",SUMIFS(tblDaily[Deaths],tblDaily[EntryDate],DATE(2026,8,25),tblDaily[WardCode],"CW")),"")</f>
        <v/>
      </c>
      <c r="E304" s="12">
        <f>IFERROR(IF(SUMIFS(tblDaily[DeathsUnder24Hrs],tblDaily[EntryDate],DATE(2026,8,25),tblDaily[WardCode],"CW")=0,"",SUMIFS(tblDaily[DeathsUnder24Hrs],tblDaily[EntryDate],DATE(2026,8,25),tblDaily[WardCode],"CW")),"")</f>
        <v/>
      </c>
      <c r="F304" s="12">
        <f>IFERROR(IF(SUMIFS(tblDaily[TransfersIn],tblDaily[EntryDate],DATE(2026,8,25),tblDaily[WardCode],"CW")=0,"",SUMIFS(tblDaily[TransfersIn],tblDaily[EntryDate],DATE(2026,8,25),tblDaily[WardCode],"CW")),"")</f>
        <v/>
      </c>
      <c r="G304" s="12">
        <f>IFERROR(IF(SUMIFS(tblDaily[TransfersOut],tblDaily[EntryDate],DATE(2026,8,25),tblDaily[WardCode],"CW")=0,"",SUMIFS(tblDaily[TransfersOut],tblDaily[EntryDate],DATE(2026,8,25),tblDaily[WardCode],"CW")),"")</f>
        <v/>
      </c>
      <c r="H304" s="12">
        <f>IFERROR(IF(SUMIFS(tblDaily[Remaining],tblDaily[EntryDate],DATE(2026,8,25),tblDaily[WardCode],"CW")=0,"",SUMIFS(tblDaily[Remaining],tblDaily[EntryDate],DATE(2026,8,25),tblDaily[WardCode],"CW")),"")</f>
        <v/>
      </c>
    </row>
    <row r="305">
      <c r="A305" s="12" t="n">
        <v>26</v>
      </c>
      <c r="B305" s="12">
        <f>IFERROR(IF(SUMIFS(tblDaily[Admissions],tblDaily[EntryDate],DATE(2026,8,26),tblDaily[WardCode],"CW")=0,"",SUMIFS(tblDaily[Admissions],tblDaily[EntryDate],DATE(2026,8,26),tblDaily[WardCode],"CW")),"")</f>
        <v/>
      </c>
      <c r="C305" s="12">
        <f>IFERROR(IF(SUMIFS(tblDaily[Discharges],tblDaily[EntryDate],DATE(2026,8,26),tblDaily[WardCode],"CW")=0,"",SUMIFS(tblDaily[Discharges],tblDaily[EntryDate],DATE(2026,8,26),tblDaily[WardCode],"CW")),"")</f>
        <v/>
      </c>
      <c r="D305" s="12">
        <f>IFERROR(IF(SUMIFS(tblDaily[Deaths],tblDaily[EntryDate],DATE(2026,8,26),tblDaily[WardCode],"CW")=0,"",SUMIFS(tblDaily[Deaths],tblDaily[EntryDate],DATE(2026,8,26),tblDaily[WardCode],"CW")),"")</f>
        <v/>
      </c>
      <c r="E305" s="12">
        <f>IFERROR(IF(SUMIFS(tblDaily[DeathsUnder24Hrs],tblDaily[EntryDate],DATE(2026,8,26),tblDaily[WardCode],"CW")=0,"",SUMIFS(tblDaily[DeathsUnder24Hrs],tblDaily[EntryDate],DATE(2026,8,26),tblDaily[WardCode],"CW")),"")</f>
        <v/>
      </c>
      <c r="F305" s="12">
        <f>IFERROR(IF(SUMIFS(tblDaily[TransfersIn],tblDaily[EntryDate],DATE(2026,8,26),tblDaily[WardCode],"CW")=0,"",SUMIFS(tblDaily[TransfersIn],tblDaily[EntryDate],DATE(2026,8,26),tblDaily[WardCode],"CW")),"")</f>
        <v/>
      </c>
      <c r="G305" s="12">
        <f>IFERROR(IF(SUMIFS(tblDaily[TransfersOut],tblDaily[EntryDate],DATE(2026,8,26),tblDaily[WardCode],"CW")=0,"",SUMIFS(tblDaily[TransfersOut],tblDaily[EntryDate],DATE(2026,8,26),tblDaily[WardCode],"CW")),"")</f>
        <v/>
      </c>
      <c r="H305" s="12">
        <f>IFERROR(IF(SUMIFS(tblDaily[Remaining],tblDaily[EntryDate],DATE(2026,8,26),tblDaily[WardCode],"CW")=0,"",SUMIFS(tblDaily[Remaining],tblDaily[EntryDate],DATE(2026,8,26),tblDaily[WardCode],"CW")),"")</f>
        <v/>
      </c>
    </row>
    <row r="306">
      <c r="A306" s="12" t="n">
        <v>27</v>
      </c>
      <c r="B306" s="12">
        <f>IFERROR(IF(SUMIFS(tblDaily[Admissions],tblDaily[EntryDate],DATE(2026,8,27),tblDaily[WardCode],"CW")=0,"",SUMIFS(tblDaily[Admissions],tblDaily[EntryDate],DATE(2026,8,27),tblDaily[WardCode],"CW")),"")</f>
        <v/>
      </c>
      <c r="C306" s="12">
        <f>IFERROR(IF(SUMIFS(tblDaily[Discharges],tblDaily[EntryDate],DATE(2026,8,27),tblDaily[WardCode],"CW")=0,"",SUMIFS(tblDaily[Discharges],tblDaily[EntryDate],DATE(2026,8,27),tblDaily[WardCode],"CW")),"")</f>
        <v/>
      </c>
      <c r="D306" s="12">
        <f>IFERROR(IF(SUMIFS(tblDaily[Deaths],tblDaily[EntryDate],DATE(2026,8,27),tblDaily[WardCode],"CW")=0,"",SUMIFS(tblDaily[Deaths],tblDaily[EntryDate],DATE(2026,8,27),tblDaily[WardCode],"CW")),"")</f>
        <v/>
      </c>
      <c r="E306" s="12">
        <f>IFERROR(IF(SUMIFS(tblDaily[DeathsUnder24Hrs],tblDaily[EntryDate],DATE(2026,8,27),tblDaily[WardCode],"CW")=0,"",SUMIFS(tblDaily[DeathsUnder24Hrs],tblDaily[EntryDate],DATE(2026,8,27),tblDaily[WardCode],"CW")),"")</f>
        <v/>
      </c>
      <c r="F306" s="12">
        <f>IFERROR(IF(SUMIFS(tblDaily[TransfersIn],tblDaily[EntryDate],DATE(2026,8,27),tblDaily[WardCode],"CW")=0,"",SUMIFS(tblDaily[TransfersIn],tblDaily[EntryDate],DATE(2026,8,27),tblDaily[WardCode],"CW")),"")</f>
        <v/>
      </c>
      <c r="G306" s="12">
        <f>IFERROR(IF(SUMIFS(tblDaily[TransfersOut],tblDaily[EntryDate],DATE(2026,8,27),tblDaily[WardCode],"CW")=0,"",SUMIFS(tblDaily[TransfersOut],tblDaily[EntryDate],DATE(2026,8,27),tblDaily[WardCode],"CW")),"")</f>
        <v/>
      </c>
      <c r="H306" s="12">
        <f>IFERROR(IF(SUMIFS(tblDaily[Remaining],tblDaily[EntryDate],DATE(2026,8,27),tblDaily[WardCode],"CW")=0,"",SUMIFS(tblDaily[Remaining],tblDaily[EntryDate],DATE(2026,8,27),tblDaily[WardCode],"CW")),"")</f>
        <v/>
      </c>
    </row>
    <row r="307">
      <c r="A307" s="12" t="n">
        <v>28</v>
      </c>
      <c r="B307" s="12">
        <f>IFERROR(IF(SUMIFS(tblDaily[Admissions],tblDaily[EntryDate],DATE(2026,8,28),tblDaily[WardCode],"CW")=0,"",SUMIFS(tblDaily[Admissions],tblDaily[EntryDate],DATE(2026,8,28),tblDaily[WardCode],"CW")),"")</f>
        <v/>
      </c>
      <c r="C307" s="12">
        <f>IFERROR(IF(SUMIFS(tblDaily[Discharges],tblDaily[EntryDate],DATE(2026,8,28),tblDaily[WardCode],"CW")=0,"",SUMIFS(tblDaily[Discharges],tblDaily[EntryDate],DATE(2026,8,28),tblDaily[WardCode],"CW")),"")</f>
        <v/>
      </c>
      <c r="D307" s="12">
        <f>IFERROR(IF(SUMIFS(tblDaily[Deaths],tblDaily[EntryDate],DATE(2026,8,28),tblDaily[WardCode],"CW")=0,"",SUMIFS(tblDaily[Deaths],tblDaily[EntryDate],DATE(2026,8,28),tblDaily[WardCode],"CW")),"")</f>
        <v/>
      </c>
      <c r="E307" s="12">
        <f>IFERROR(IF(SUMIFS(tblDaily[DeathsUnder24Hrs],tblDaily[EntryDate],DATE(2026,8,28),tblDaily[WardCode],"CW")=0,"",SUMIFS(tblDaily[DeathsUnder24Hrs],tblDaily[EntryDate],DATE(2026,8,28),tblDaily[WardCode],"CW")),"")</f>
        <v/>
      </c>
      <c r="F307" s="12">
        <f>IFERROR(IF(SUMIFS(tblDaily[TransfersIn],tblDaily[EntryDate],DATE(2026,8,28),tblDaily[WardCode],"CW")=0,"",SUMIFS(tblDaily[TransfersIn],tblDaily[EntryDate],DATE(2026,8,28),tblDaily[WardCode],"CW")),"")</f>
        <v/>
      </c>
      <c r="G307" s="12">
        <f>IFERROR(IF(SUMIFS(tblDaily[TransfersOut],tblDaily[EntryDate],DATE(2026,8,28),tblDaily[WardCode],"CW")=0,"",SUMIFS(tblDaily[TransfersOut],tblDaily[EntryDate],DATE(2026,8,28),tblDaily[WardCode],"CW")),"")</f>
        <v/>
      </c>
      <c r="H307" s="12">
        <f>IFERROR(IF(SUMIFS(tblDaily[Remaining],tblDaily[EntryDate],DATE(2026,8,28),tblDaily[WardCode],"CW")=0,"",SUMIFS(tblDaily[Remaining],tblDaily[EntryDate],DATE(2026,8,28),tblDaily[WardCode],"CW")),"")</f>
        <v/>
      </c>
    </row>
    <row r="308">
      <c r="A308" s="12" t="n">
        <v>29</v>
      </c>
      <c r="B308" s="12">
        <f>IFERROR(IF(SUMIFS(tblDaily[Admissions],tblDaily[EntryDate],DATE(2026,8,29),tblDaily[WardCode],"CW")=0,"",SUMIFS(tblDaily[Admissions],tblDaily[EntryDate],DATE(2026,8,29),tblDaily[WardCode],"CW")),"")</f>
        <v/>
      </c>
      <c r="C308" s="12">
        <f>IFERROR(IF(SUMIFS(tblDaily[Discharges],tblDaily[EntryDate],DATE(2026,8,29),tblDaily[WardCode],"CW")=0,"",SUMIFS(tblDaily[Discharges],tblDaily[EntryDate],DATE(2026,8,29),tblDaily[WardCode],"CW")),"")</f>
        <v/>
      </c>
      <c r="D308" s="12">
        <f>IFERROR(IF(SUMIFS(tblDaily[Deaths],tblDaily[EntryDate],DATE(2026,8,29),tblDaily[WardCode],"CW")=0,"",SUMIFS(tblDaily[Deaths],tblDaily[EntryDate],DATE(2026,8,29),tblDaily[WardCode],"CW")),"")</f>
        <v/>
      </c>
      <c r="E308" s="12">
        <f>IFERROR(IF(SUMIFS(tblDaily[DeathsUnder24Hrs],tblDaily[EntryDate],DATE(2026,8,29),tblDaily[WardCode],"CW")=0,"",SUMIFS(tblDaily[DeathsUnder24Hrs],tblDaily[EntryDate],DATE(2026,8,29),tblDaily[WardCode],"CW")),"")</f>
        <v/>
      </c>
      <c r="F308" s="12">
        <f>IFERROR(IF(SUMIFS(tblDaily[TransfersIn],tblDaily[EntryDate],DATE(2026,8,29),tblDaily[WardCode],"CW")=0,"",SUMIFS(tblDaily[TransfersIn],tblDaily[EntryDate],DATE(2026,8,29),tblDaily[WardCode],"CW")),"")</f>
        <v/>
      </c>
      <c r="G308" s="12">
        <f>IFERROR(IF(SUMIFS(tblDaily[TransfersOut],tblDaily[EntryDate],DATE(2026,8,29),tblDaily[WardCode],"CW")=0,"",SUMIFS(tblDaily[TransfersOut],tblDaily[EntryDate],DATE(2026,8,29),tblDaily[WardCode],"CW")),"")</f>
        <v/>
      </c>
      <c r="H308" s="12">
        <f>IFERROR(IF(SUMIFS(tblDaily[Remaining],tblDaily[EntryDate],DATE(2026,8,29),tblDaily[WardCode],"CW")=0,"",SUMIFS(tblDaily[Remaining],tblDaily[EntryDate],DATE(2026,8,29),tblDaily[WardCode],"CW")),"")</f>
        <v/>
      </c>
    </row>
    <row r="309">
      <c r="A309" s="12" t="n">
        <v>30</v>
      </c>
      <c r="B309" s="12">
        <f>IFERROR(IF(SUMIFS(tblDaily[Admissions],tblDaily[EntryDate],DATE(2026,8,30),tblDaily[WardCode],"CW")=0,"",SUMIFS(tblDaily[Admissions],tblDaily[EntryDate],DATE(2026,8,30),tblDaily[WardCode],"CW")),"")</f>
        <v/>
      </c>
      <c r="C309" s="12">
        <f>IFERROR(IF(SUMIFS(tblDaily[Discharges],tblDaily[EntryDate],DATE(2026,8,30),tblDaily[WardCode],"CW")=0,"",SUMIFS(tblDaily[Discharges],tblDaily[EntryDate],DATE(2026,8,30),tblDaily[WardCode],"CW")),"")</f>
        <v/>
      </c>
      <c r="D309" s="12">
        <f>IFERROR(IF(SUMIFS(tblDaily[Deaths],tblDaily[EntryDate],DATE(2026,8,30),tblDaily[WardCode],"CW")=0,"",SUMIFS(tblDaily[Deaths],tblDaily[EntryDate],DATE(2026,8,30),tblDaily[WardCode],"CW")),"")</f>
        <v/>
      </c>
      <c r="E309" s="12">
        <f>IFERROR(IF(SUMIFS(tblDaily[DeathsUnder24Hrs],tblDaily[EntryDate],DATE(2026,8,30),tblDaily[WardCode],"CW")=0,"",SUMIFS(tblDaily[DeathsUnder24Hrs],tblDaily[EntryDate],DATE(2026,8,30),tblDaily[WardCode],"CW")),"")</f>
        <v/>
      </c>
      <c r="F309" s="12">
        <f>IFERROR(IF(SUMIFS(tblDaily[TransfersIn],tblDaily[EntryDate],DATE(2026,8,30),tblDaily[WardCode],"CW")=0,"",SUMIFS(tblDaily[TransfersIn],tblDaily[EntryDate],DATE(2026,8,30),tblDaily[WardCode],"CW")),"")</f>
        <v/>
      </c>
      <c r="G309" s="12">
        <f>IFERROR(IF(SUMIFS(tblDaily[TransfersOut],tblDaily[EntryDate],DATE(2026,8,30),tblDaily[WardCode],"CW")=0,"",SUMIFS(tblDaily[TransfersOut],tblDaily[EntryDate],DATE(2026,8,30),tblDaily[WardCode],"CW")),"")</f>
        <v/>
      </c>
      <c r="H309" s="12">
        <f>IFERROR(IF(SUMIFS(tblDaily[Remaining],tblDaily[EntryDate],DATE(2026,8,30),tblDaily[WardCode],"CW")=0,"",SUMIFS(tblDaily[Remaining],tblDaily[EntryDate],DATE(2026,8,30),tblDaily[WardCode],"CW")),"")</f>
        <v/>
      </c>
    </row>
    <row r="310">
      <c r="A310" s="12" t="n">
        <v>31</v>
      </c>
      <c r="B310" s="12">
        <f>IFERROR(IF(SUMIFS(tblDaily[Admissions],tblDaily[EntryDate],DATE(2026,8,31),tblDaily[WardCode],"CW")=0,"",SUMIFS(tblDaily[Admissions],tblDaily[EntryDate],DATE(2026,8,31),tblDaily[WardCode],"CW")),"")</f>
        <v/>
      </c>
      <c r="C310" s="12">
        <f>IFERROR(IF(SUMIFS(tblDaily[Discharges],tblDaily[EntryDate],DATE(2026,8,31),tblDaily[WardCode],"CW")=0,"",SUMIFS(tblDaily[Discharges],tblDaily[EntryDate],DATE(2026,8,31),tblDaily[WardCode],"CW")),"")</f>
        <v/>
      </c>
      <c r="D310" s="12">
        <f>IFERROR(IF(SUMIFS(tblDaily[Deaths],tblDaily[EntryDate],DATE(2026,8,31),tblDaily[WardCode],"CW")=0,"",SUMIFS(tblDaily[Deaths],tblDaily[EntryDate],DATE(2026,8,31),tblDaily[WardCode],"CW")),"")</f>
        <v/>
      </c>
      <c r="E310" s="12">
        <f>IFERROR(IF(SUMIFS(tblDaily[DeathsUnder24Hrs],tblDaily[EntryDate],DATE(2026,8,31),tblDaily[WardCode],"CW")=0,"",SUMIFS(tblDaily[DeathsUnder24Hrs],tblDaily[EntryDate],DATE(2026,8,31),tblDaily[WardCode],"CW")),"")</f>
        <v/>
      </c>
      <c r="F310" s="12">
        <f>IFERROR(IF(SUMIFS(tblDaily[TransfersIn],tblDaily[EntryDate],DATE(2026,8,31),tblDaily[WardCode],"CW")=0,"",SUMIFS(tblDaily[TransfersIn],tblDaily[EntryDate],DATE(2026,8,31),tblDaily[WardCode],"CW")),"")</f>
        <v/>
      </c>
      <c r="G310" s="12">
        <f>IFERROR(IF(SUMIFS(tblDaily[TransfersOut],tblDaily[EntryDate],DATE(2026,8,31),tblDaily[WardCode],"CW")=0,"",SUMIFS(tblDaily[TransfersOut],tblDaily[EntryDate],DATE(2026,8,31),tblDaily[WardCode],"CW")),"")</f>
        <v/>
      </c>
      <c r="H310" s="12">
        <f>IFERROR(IF(SUMIFS(tblDaily[Remaining],tblDaily[EntryDate],DATE(2026,8,31),tblDaily[WardCode],"CW")=0,"",SUMIFS(tblDaily[Remaining],tblDaily[EntryDate],DATE(2026,8,31),tblDaily[WardCode],"CW")),"")</f>
        <v/>
      </c>
    </row>
    <row r="311">
      <c r="A311" s="17" t="inlineStr">
        <is>
          <t>TOTAL</t>
        </is>
      </c>
      <c r="B311" s="17">
        <f>SUMIFS(tblDaily[Admissions],tblDaily[Month],8,tblDaily[WardCode],"CW") - SUMIFS(tblDaily[DeathsUnder24Hrs],tblDaily[Month],8,tblDaily[WardCode],"CW")</f>
        <v/>
      </c>
      <c r="C311" s="17">
        <f>SUMIFS(tblDaily[Discharges],tblDaily[Month],8,tblDaily[WardCode],"CW")</f>
        <v/>
      </c>
      <c r="D311" s="17">
        <f>SUMIFS(tblDaily[Deaths],tblDaily[Month],8,tblDaily[WardCode],"CW")</f>
        <v/>
      </c>
      <c r="E311" s="17">
        <f>SUMIFS(tblDaily[DeathsUnder24Hrs],tblDaily[Month],8,tblDaily[WardCode],"CW")</f>
        <v/>
      </c>
      <c r="F311" s="17">
        <f>SUMIFS(tblDaily[TransfersIn],tblDaily[Month],8,tblDaily[WardCode],"CW")</f>
        <v/>
      </c>
      <c r="G311" s="17">
        <f>SUMIFS(tblDaily[TransfersOut],tblDaily[Month],8,tblDaily[WardCode],"CW")</f>
        <v/>
      </c>
      <c r="H311" s="17">
        <f>SUMIFS(tblDaily[Remaining],tblDaily[Month],8,tblDaily[WardCode],"CW")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PAEDIATRIC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4">
        <f>IFERROR(SUMIFS(tblDaily[Remaining],tblDaily[EntryDate],DATE(2026,8,31),tblDaily[WardCode],"CW"),0)</f>
        <v/>
      </c>
    </row>
    <row r="317">
      <c r="A317" s="4" t="inlineStr">
        <is>
          <t>Bed complement</t>
        </is>
      </c>
      <c r="H317" s="15">
        <f>IFERROR(INDEX(tblWardConfig[BedComplement],MATCH("CW",tblWardConfig[WardCode],0)),0)</f>
        <v/>
      </c>
    </row>
    <row r="318">
      <c r="A318" s="16" t="inlineStr">
        <is>
          <t>Day of
the
Month</t>
        </is>
      </c>
      <c r="B318" s="16" t="inlineStr">
        <is>
          <t>Admissions</t>
        </is>
      </c>
      <c r="C318" s="16" t="inlineStr">
        <is>
          <t>Discharges</t>
        </is>
      </c>
      <c r="D318" s="16" t="inlineStr">
        <is>
          <t>Deaths</t>
        </is>
      </c>
      <c r="E318" s="16" t="inlineStr">
        <is>
          <t>Deaths
&lt;24Hrs</t>
        </is>
      </c>
      <c r="F318" s="16" t="inlineStr">
        <is>
          <t>Transfers-
In</t>
        </is>
      </c>
      <c r="G318" s="16" t="inlineStr">
        <is>
          <t>Transfers-
Out</t>
        </is>
      </c>
      <c r="H318" s="16" t="inlineStr">
        <is>
          <t>No. of Patients
Remaining In
Ward</t>
        </is>
      </c>
    </row>
    <row r="319">
      <c r="A319" s="12" t="n">
        <v>1</v>
      </c>
      <c r="B319" s="12">
        <f>IFERROR(IF(SUMIFS(tblDaily[Admissions],tblDaily[EntryDate],DATE(2026,9,1),tblDaily[WardCode],"CW")=0,"",SUMIFS(tblDaily[Admissions],tblDaily[EntryDate],DATE(2026,9,1),tblDaily[WardCode],"CW")),"")</f>
        <v/>
      </c>
      <c r="C319" s="12">
        <f>IFERROR(IF(SUMIFS(tblDaily[Discharges],tblDaily[EntryDate],DATE(2026,9,1),tblDaily[WardCode],"CW")=0,"",SUMIFS(tblDaily[Discharges],tblDaily[EntryDate],DATE(2026,9,1),tblDaily[WardCode],"CW")),"")</f>
        <v/>
      </c>
      <c r="D319" s="12">
        <f>IFERROR(IF(SUMIFS(tblDaily[Deaths],tblDaily[EntryDate],DATE(2026,9,1),tblDaily[WardCode],"CW")=0,"",SUMIFS(tblDaily[Deaths],tblDaily[EntryDate],DATE(2026,9,1),tblDaily[WardCode],"CW")),"")</f>
        <v/>
      </c>
      <c r="E319" s="12">
        <f>IFERROR(IF(SUMIFS(tblDaily[DeathsUnder24Hrs],tblDaily[EntryDate],DATE(2026,9,1),tblDaily[WardCode],"CW")=0,"",SUMIFS(tblDaily[DeathsUnder24Hrs],tblDaily[EntryDate],DATE(2026,9,1),tblDaily[WardCode],"CW")),"")</f>
        <v/>
      </c>
      <c r="F319" s="12">
        <f>IFERROR(IF(SUMIFS(tblDaily[TransfersIn],tblDaily[EntryDate],DATE(2026,9,1),tblDaily[WardCode],"CW")=0,"",SUMIFS(tblDaily[TransfersIn],tblDaily[EntryDate],DATE(2026,9,1),tblDaily[WardCode],"CW")),"")</f>
        <v/>
      </c>
      <c r="G319" s="12">
        <f>IFERROR(IF(SUMIFS(tblDaily[TransfersOut],tblDaily[EntryDate],DATE(2026,9,1),tblDaily[WardCode],"CW")=0,"",SUMIFS(tblDaily[TransfersOut],tblDaily[EntryDate],DATE(2026,9,1),tblDaily[WardCode],"CW")),"")</f>
        <v/>
      </c>
      <c r="H319" s="12">
        <f>IFERROR(IF(SUMIFS(tblDaily[Remaining],tblDaily[EntryDate],DATE(2026,9,1),tblDaily[WardCode],"CW")=0,"",SUMIFS(tblDaily[Remaining],tblDaily[EntryDate],DATE(2026,9,1),tblDaily[WardCode],"CW")),"")</f>
        <v/>
      </c>
    </row>
    <row r="320">
      <c r="A320" s="12" t="n">
        <v>2</v>
      </c>
      <c r="B320" s="12">
        <f>IFERROR(IF(SUMIFS(tblDaily[Admissions],tblDaily[EntryDate],DATE(2026,9,2),tblDaily[WardCode],"CW")=0,"",SUMIFS(tblDaily[Admissions],tblDaily[EntryDate],DATE(2026,9,2),tblDaily[WardCode],"CW")),"")</f>
        <v/>
      </c>
      <c r="C320" s="12">
        <f>IFERROR(IF(SUMIFS(tblDaily[Discharges],tblDaily[EntryDate],DATE(2026,9,2),tblDaily[WardCode],"CW")=0,"",SUMIFS(tblDaily[Discharges],tblDaily[EntryDate],DATE(2026,9,2),tblDaily[WardCode],"CW")),"")</f>
        <v/>
      </c>
      <c r="D320" s="12">
        <f>IFERROR(IF(SUMIFS(tblDaily[Deaths],tblDaily[EntryDate],DATE(2026,9,2),tblDaily[WardCode],"CW")=0,"",SUMIFS(tblDaily[Deaths],tblDaily[EntryDate],DATE(2026,9,2),tblDaily[WardCode],"CW")),"")</f>
        <v/>
      </c>
      <c r="E320" s="12">
        <f>IFERROR(IF(SUMIFS(tblDaily[DeathsUnder24Hrs],tblDaily[EntryDate],DATE(2026,9,2),tblDaily[WardCode],"CW")=0,"",SUMIFS(tblDaily[DeathsUnder24Hrs],tblDaily[EntryDate],DATE(2026,9,2),tblDaily[WardCode],"CW")),"")</f>
        <v/>
      </c>
      <c r="F320" s="12">
        <f>IFERROR(IF(SUMIFS(tblDaily[TransfersIn],tblDaily[EntryDate],DATE(2026,9,2),tblDaily[WardCode],"CW")=0,"",SUMIFS(tblDaily[TransfersIn],tblDaily[EntryDate],DATE(2026,9,2),tblDaily[WardCode],"CW")),"")</f>
        <v/>
      </c>
      <c r="G320" s="12">
        <f>IFERROR(IF(SUMIFS(tblDaily[TransfersOut],tblDaily[EntryDate],DATE(2026,9,2),tblDaily[WardCode],"CW")=0,"",SUMIFS(tblDaily[TransfersOut],tblDaily[EntryDate],DATE(2026,9,2),tblDaily[WardCode],"CW")),"")</f>
        <v/>
      </c>
      <c r="H320" s="12">
        <f>IFERROR(IF(SUMIFS(tblDaily[Remaining],tblDaily[EntryDate],DATE(2026,9,2),tblDaily[WardCode],"CW")=0,"",SUMIFS(tblDaily[Remaining],tblDaily[EntryDate],DATE(2026,9,2),tblDaily[WardCode],"CW")),"")</f>
        <v/>
      </c>
    </row>
    <row r="321">
      <c r="A321" s="12" t="n">
        <v>3</v>
      </c>
      <c r="B321" s="12">
        <f>IFERROR(IF(SUMIFS(tblDaily[Admissions],tblDaily[EntryDate],DATE(2026,9,3),tblDaily[WardCode],"CW")=0,"",SUMIFS(tblDaily[Admissions],tblDaily[EntryDate],DATE(2026,9,3),tblDaily[WardCode],"CW")),"")</f>
        <v/>
      </c>
      <c r="C321" s="12">
        <f>IFERROR(IF(SUMIFS(tblDaily[Discharges],tblDaily[EntryDate],DATE(2026,9,3),tblDaily[WardCode],"CW")=0,"",SUMIFS(tblDaily[Discharges],tblDaily[EntryDate],DATE(2026,9,3),tblDaily[WardCode],"CW")),"")</f>
        <v/>
      </c>
      <c r="D321" s="12">
        <f>IFERROR(IF(SUMIFS(tblDaily[Deaths],tblDaily[EntryDate],DATE(2026,9,3),tblDaily[WardCode],"CW")=0,"",SUMIFS(tblDaily[Deaths],tblDaily[EntryDate],DATE(2026,9,3),tblDaily[WardCode],"CW")),"")</f>
        <v/>
      </c>
      <c r="E321" s="12">
        <f>IFERROR(IF(SUMIFS(tblDaily[DeathsUnder24Hrs],tblDaily[EntryDate],DATE(2026,9,3),tblDaily[WardCode],"CW")=0,"",SUMIFS(tblDaily[DeathsUnder24Hrs],tblDaily[EntryDate],DATE(2026,9,3),tblDaily[WardCode],"CW")),"")</f>
        <v/>
      </c>
      <c r="F321" s="12">
        <f>IFERROR(IF(SUMIFS(tblDaily[TransfersIn],tblDaily[EntryDate],DATE(2026,9,3),tblDaily[WardCode],"CW")=0,"",SUMIFS(tblDaily[TransfersIn],tblDaily[EntryDate],DATE(2026,9,3),tblDaily[WardCode],"CW")),"")</f>
        <v/>
      </c>
      <c r="G321" s="12">
        <f>IFERROR(IF(SUMIFS(tblDaily[TransfersOut],tblDaily[EntryDate],DATE(2026,9,3),tblDaily[WardCode],"CW")=0,"",SUMIFS(tblDaily[TransfersOut],tblDaily[EntryDate],DATE(2026,9,3),tblDaily[WardCode],"CW")),"")</f>
        <v/>
      </c>
      <c r="H321" s="12">
        <f>IFERROR(IF(SUMIFS(tblDaily[Remaining],tblDaily[EntryDate],DATE(2026,9,3),tblDaily[WardCode],"CW")=0,"",SUMIFS(tblDaily[Remaining],tblDaily[EntryDate],DATE(2026,9,3),tblDaily[WardCode],"CW")),"")</f>
        <v/>
      </c>
    </row>
    <row r="322">
      <c r="A322" s="12" t="n">
        <v>4</v>
      </c>
      <c r="B322" s="12">
        <f>IFERROR(IF(SUMIFS(tblDaily[Admissions],tblDaily[EntryDate],DATE(2026,9,4),tblDaily[WardCode],"CW")=0,"",SUMIFS(tblDaily[Admissions],tblDaily[EntryDate],DATE(2026,9,4),tblDaily[WardCode],"CW")),"")</f>
        <v/>
      </c>
      <c r="C322" s="12">
        <f>IFERROR(IF(SUMIFS(tblDaily[Discharges],tblDaily[EntryDate],DATE(2026,9,4),tblDaily[WardCode],"CW")=0,"",SUMIFS(tblDaily[Discharges],tblDaily[EntryDate],DATE(2026,9,4),tblDaily[WardCode],"CW")),"")</f>
        <v/>
      </c>
      <c r="D322" s="12">
        <f>IFERROR(IF(SUMIFS(tblDaily[Deaths],tblDaily[EntryDate],DATE(2026,9,4),tblDaily[WardCode],"CW")=0,"",SUMIFS(tblDaily[Deaths],tblDaily[EntryDate],DATE(2026,9,4),tblDaily[WardCode],"CW")),"")</f>
        <v/>
      </c>
      <c r="E322" s="12">
        <f>IFERROR(IF(SUMIFS(tblDaily[DeathsUnder24Hrs],tblDaily[EntryDate],DATE(2026,9,4),tblDaily[WardCode],"CW")=0,"",SUMIFS(tblDaily[DeathsUnder24Hrs],tblDaily[EntryDate],DATE(2026,9,4),tblDaily[WardCode],"CW")),"")</f>
        <v/>
      </c>
      <c r="F322" s="12">
        <f>IFERROR(IF(SUMIFS(tblDaily[TransfersIn],tblDaily[EntryDate],DATE(2026,9,4),tblDaily[WardCode],"CW")=0,"",SUMIFS(tblDaily[TransfersIn],tblDaily[EntryDate],DATE(2026,9,4),tblDaily[WardCode],"CW")),"")</f>
        <v/>
      </c>
      <c r="G322" s="12">
        <f>IFERROR(IF(SUMIFS(tblDaily[TransfersOut],tblDaily[EntryDate],DATE(2026,9,4),tblDaily[WardCode],"CW")=0,"",SUMIFS(tblDaily[TransfersOut],tblDaily[EntryDate],DATE(2026,9,4),tblDaily[WardCode],"CW")),"")</f>
        <v/>
      </c>
      <c r="H322" s="12">
        <f>IFERROR(IF(SUMIFS(tblDaily[Remaining],tblDaily[EntryDate],DATE(2026,9,4),tblDaily[WardCode],"CW")=0,"",SUMIFS(tblDaily[Remaining],tblDaily[EntryDate],DATE(2026,9,4),tblDaily[WardCode],"CW")),"")</f>
        <v/>
      </c>
    </row>
    <row r="323">
      <c r="A323" s="12" t="n">
        <v>5</v>
      </c>
      <c r="B323" s="12">
        <f>IFERROR(IF(SUMIFS(tblDaily[Admissions],tblDaily[EntryDate],DATE(2026,9,5),tblDaily[WardCode],"CW")=0,"",SUMIFS(tblDaily[Admissions],tblDaily[EntryDate],DATE(2026,9,5),tblDaily[WardCode],"CW")),"")</f>
        <v/>
      </c>
      <c r="C323" s="12">
        <f>IFERROR(IF(SUMIFS(tblDaily[Discharges],tblDaily[EntryDate],DATE(2026,9,5),tblDaily[WardCode],"CW")=0,"",SUMIFS(tblDaily[Discharges],tblDaily[EntryDate],DATE(2026,9,5),tblDaily[WardCode],"CW")),"")</f>
        <v/>
      </c>
      <c r="D323" s="12">
        <f>IFERROR(IF(SUMIFS(tblDaily[Deaths],tblDaily[EntryDate],DATE(2026,9,5),tblDaily[WardCode],"CW")=0,"",SUMIFS(tblDaily[Deaths],tblDaily[EntryDate],DATE(2026,9,5),tblDaily[WardCode],"CW")),"")</f>
        <v/>
      </c>
      <c r="E323" s="12">
        <f>IFERROR(IF(SUMIFS(tblDaily[DeathsUnder24Hrs],tblDaily[EntryDate],DATE(2026,9,5),tblDaily[WardCode],"CW")=0,"",SUMIFS(tblDaily[DeathsUnder24Hrs],tblDaily[EntryDate],DATE(2026,9,5),tblDaily[WardCode],"CW")),"")</f>
        <v/>
      </c>
      <c r="F323" s="12">
        <f>IFERROR(IF(SUMIFS(tblDaily[TransfersIn],tblDaily[EntryDate],DATE(2026,9,5),tblDaily[WardCode],"CW")=0,"",SUMIFS(tblDaily[TransfersIn],tblDaily[EntryDate],DATE(2026,9,5),tblDaily[WardCode],"CW")),"")</f>
        <v/>
      </c>
      <c r="G323" s="12">
        <f>IFERROR(IF(SUMIFS(tblDaily[TransfersOut],tblDaily[EntryDate],DATE(2026,9,5),tblDaily[WardCode],"CW")=0,"",SUMIFS(tblDaily[TransfersOut],tblDaily[EntryDate],DATE(2026,9,5),tblDaily[WardCode],"CW")),"")</f>
        <v/>
      </c>
      <c r="H323" s="12">
        <f>IFERROR(IF(SUMIFS(tblDaily[Remaining],tblDaily[EntryDate],DATE(2026,9,5),tblDaily[WardCode],"CW")=0,"",SUMIFS(tblDaily[Remaining],tblDaily[EntryDate],DATE(2026,9,5),tblDaily[WardCode],"CW")),"")</f>
        <v/>
      </c>
    </row>
    <row r="324">
      <c r="A324" s="12" t="n">
        <v>6</v>
      </c>
      <c r="B324" s="12">
        <f>IFERROR(IF(SUMIFS(tblDaily[Admissions],tblDaily[EntryDate],DATE(2026,9,6),tblDaily[WardCode],"CW")=0,"",SUMIFS(tblDaily[Admissions],tblDaily[EntryDate],DATE(2026,9,6),tblDaily[WardCode],"CW")),"")</f>
        <v/>
      </c>
      <c r="C324" s="12">
        <f>IFERROR(IF(SUMIFS(tblDaily[Discharges],tblDaily[EntryDate],DATE(2026,9,6),tblDaily[WardCode],"CW")=0,"",SUMIFS(tblDaily[Discharges],tblDaily[EntryDate],DATE(2026,9,6),tblDaily[WardCode],"CW")),"")</f>
        <v/>
      </c>
      <c r="D324" s="12">
        <f>IFERROR(IF(SUMIFS(tblDaily[Deaths],tblDaily[EntryDate],DATE(2026,9,6),tblDaily[WardCode],"CW")=0,"",SUMIFS(tblDaily[Deaths],tblDaily[EntryDate],DATE(2026,9,6),tblDaily[WardCode],"CW")),"")</f>
        <v/>
      </c>
      <c r="E324" s="12">
        <f>IFERROR(IF(SUMIFS(tblDaily[DeathsUnder24Hrs],tblDaily[EntryDate],DATE(2026,9,6),tblDaily[WardCode],"CW")=0,"",SUMIFS(tblDaily[DeathsUnder24Hrs],tblDaily[EntryDate],DATE(2026,9,6),tblDaily[WardCode],"CW")),"")</f>
        <v/>
      </c>
      <c r="F324" s="12">
        <f>IFERROR(IF(SUMIFS(tblDaily[TransfersIn],tblDaily[EntryDate],DATE(2026,9,6),tblDaily[WardCode],"CW")=0,"",SUMIFS(tblDaily[TransfersIn],tblDaily[EntryDate],DATE(2026,9,6),tblDaily[WardCode],"CW")),"")</f>
        <v/>
      </c>
      <c r="G324" s="12">
        <f>IFERROR(IF(SUMIFS(tblDaily[TransfersOut],tblDaily[EntryDate],DATE(2026,9,6),tblDaily[WardCode],"CW")=0,"",SUMIFS(tblDaily[TransfersOut],tblDaily[EntryDate],DATE(2026,9,6),tblDaily[WardCode],"CW")),"")</f>
        <v/>
      </c>
      <c r="H324" s="12">
        <f>IFERROR(IF(SUMIFS(tblDaily[Remaining],tblDaily[EntryDate],DATE(2026,9,6),tblDaily[WardCode],"CW")=0,"",SUMIFS(tblDaily[Remaining],tblDaily[EntryDate],DATE(2026,9,6),tblDaily[WardCode],"CW")),"")</f>
        <v/>
      </c>
    </row>
    <row r="325">
      <c r="A325" s="12" t="n">
        <v>7</v>
      </c>
      <c r="B325" s="12">
        <f>IFERROR(IF(SUMIFS(tblDaily[Admissions],tblDaily[EntryDate],DATE(2026,9,7),tblDaily[WardCode],"CW")=0,"",SUMIFS(tblDaily[Admissions],tblDaily[EntryDate],DATE(2026,9,7),tblDaily[WardCode],"CW")),"")</f>
        <v/>
      </c>
      <c r="C325" s="12">
        <f>IFERROR(IF(SUMIFS(tblDaily[Discharges],tblDaily[EntryDate],DATE(2026,9,7),tblDaily[WardCode],"CW")=0,"",SUMIFS(tblDaily[Discharges],tblDaily[EntryDate],DATE(2026,9,7),tblDaily[WardCode],"CW")),"")</f>
        <v/>
      </c>
      <c r="D325" s="12">
        <f>IFERROR(IF(SUMIFS(tblDaily[Deaths],tblDaily[EntryDate],DATE(2026,9,7),tblDaily[WardCode],"CW")=0,"",SUMIFS(tblDaily[Deaths],tblDaily[EntryDate],DATE(2026,9,7),tblDaily[WardCode],"CW")),"")</f>
        <v/>
      </c>
      <c r="E325" s="12">
        <f>IFERROR(IF(SUMIFS(tblDaily[DeathsUnder24Hrs],tblDaily[EntryDate],DATE(2026,9,7),tblDaily[WardCode],"CW")=0,"",SUMIFS(tblDaily[DeathsUnder24Hrs],tblDaily[EntryDate],DATE(2026,9,7),tblDaily[WardCode],"CW")),"")</f>
        <v/>
      </c>
      <c r="F325" s="12">
        <f>IFERROR(IF(SUMIFS(tblDaily[TransfersIn],tblDaily[EntryDate],DATE(2026,9,7),tblDaily[WardCode],"CW")=0,"",SUMIFS(tblDaily[TransfersIn],tblDaily[EntryDate],DATE(2026,9,7),tblDaily[WardCode],"CW")),"")</f>
        <v/>
      </c>
      <c r="G325" s="12">
        <f>IFERROR(IF(SUMIFS(tblDaily[TransfersOut],tblDaily[EntryDate],DATE(2026,9,7),tblDaily[WardCode],"CW")=0,"",SUMIFS(tblDaily[TransfersOut],tblDaily[EntryDate],DATE(2026,9,7),tblDaily[WardCode],"CW")),"")</f>
        <v/>
      </c>
      <c r="H325" s="12">
        <f>IFERROR(IF(SUMIFS(tblDaily[Remaining],tblDaily[EntryDate],DATE(2026,9,7),tblDaily[WardCode],"CW")=0,"",SUMIFS(tblDaily[Remaining],tblDaily[EntryDate],DATE(2026,9,7),tblDaily[WardCode],"CW")),"")</f>
        <v/>
      </c>
    </row>
    <row r="326">
      <c r="A326" s="12" t="n">
        <v>8</v>
      </c>
      <c r="B326" s="12">
        <f>IFERROR(IF(SUMIFS(tblDaily[Admissions],tblDaily[EntryDate],DATE(2026,9,8),tblDaily[WardCode],"CW")=0,"",SUMIFS(tblDaily[Admissions],tblDaily[EntryDate],DATE(2026,9,8),tblDaily[WardCode],"CW")),"")</f>
        <v/>
      </c>
      <c r="C326" s="12">
        <f>IFERROR(IF(SUMIFS(tblDaily[Discharges],tblDaily[EntryDate],DATE(2026,9,8),tblDaily[WardCode],"CW")=0,"",SUMIFS(tblDaily[Discharges],tblDaily[EntryDate],DATE(2026,9,8),tblDaily[WardCode],"CW")),"")</f>
        <v/>
      </c>
      <c r="D326" s="12">
        <f>IFERROR(IF(SUMIFS(tblDaily[Deaths],tblDaily[EntryDate],DATE(2026,9,8),tblDaily[WardCode],"CW")=0,"",SUMIFS(tblDaily[Deaths],tblDaily[EntryDate],DATE(2026,9,8),tblDaily[WardCode],"CW")),"")</f>
        <v/>
      </c>
      <c r="E326" s="12">
        <f>IFERROR(IF(SUMIFS(tblDaily[DeathsUnder24Hrs],tblDaily[EntryDate],DATE(2026,9,8),tblDaily[WardCode],"CW")=0,"",SUMIFS(tblDaily[DeathsUnder24Hrs],tblDaily[EntryDate],DATE(2026,9,8),tblDaily[WardCode],"CW")),"")</f>
        <v/>
      </c>
      <c r="F326" s="12">
        <f>IFERROR(IF(SUMIFS(tblDaily[TransfersIn],tblDaily[EntryDate],DATE(2026,9,8),tblDaily[WardCode],"CW")=0,"",SUMIFS(tblDaily[TransfersIn],tblDaily[EntryDate],DATE(2026,9,8),tblDaily[WardCode],"CW")),"")</f>
        <v/>
      </c>
      <c r="G326" s="12">
        <f>IFERROR(IF(SUMIFS(tblDaily[TransfersOut],tblDaily[EntryDate],DATE(2026,9,8),tblDaily[WardCode],"CW")=0,"",SUMIFS(tblDaily[TransfersOut],tblDaily[EntryDate],DATE(2026,9,8),tblDaily[WardCode],"CW")),"")</f>
        <v/>
      </c>
      <c r="H326" s="12">
        <f>IFERROR(IF(SUMIFS(tblDaily[Remaining],tblDaily[EntryDate],DATE(2026,9,8),tblDaily[WardCode],"CW")=0,"",SUMIFS(tblDaily[Remaining],tblDaily[EntryDate],DATE(2026,9,8),tblDaily[WardCode],"CW")),"")</f>
        <v/>
      </c>
    </row>
    <row r="327">
      <c r="A327" s="12" t="n">
        <v>9</v>
      </c>
      <c r="B327" s="12">
        <f>IFERROR(IF(SUMIFS(tblDaily[Admissions],tblDaily[EntryDate],DATE(2026,9,9),tblDaily[WardCode],"CW")=0,"",SUMIFS(tblDaily[Admissions],tblDaily[EntryDate],DATE(2026,9,9),tblDaily[WardCode],"CW")),"")</f>
        <v/>
      </c>
      <c r="C327" s="12">
        <f>IFERROR(IF(SUMIFS(tblDaily[Discharges],tblDaily[EntryDate],DATE(2026,9,9),tblDaily[WardCode],"CW")=0,"",SUMIFS(tblDaily[Discharges],tblDaily[EntryDate],DATE(2026,9,9),tblDaily[WardCode],"CW")),"")</f>
        <v/>
      </c>
      <c r="D327" s="12">
        <f>IFERROR(IF(SUMIFS(tblDaily[Deaths],tblDaily[EntryDate],DATE(2026,9,9),tblDaily[WardCode],"CW")=0,"",SUMIFS(tblDaily[Deaths],tblDaily[EntryDate],DATE(2026,9,9),tblDaily[WardCode],"CW")),"")</f>
        <v/>
      </c>
      <c r="E327" s="12">
        <f>IFERROR(IF(SUMIFS(tblDaily[DeathsUnder24Hrs],tblDaily[EntryDate],DATE(2026,9,9),tblDaily[WardCode],"CW")=0,"",SUMIFS(tblDaily[DeathsUnder24Hrs],tblDaily[EntryDate],DATE(2026,9,9),tblDaily[WardCode],"CW")),"")</f>
        <v/>
      </c>
      <c r="F327" s="12">
        <f>IFERROR(IF(SUMIFS(tblDaily[TransfersIn],tblDaily[EntryDate],DATE(2026,9,9),tblDaily[WardCode],"CW")=0,"",SUMIFS(tblDaily[TransfersIn],tblDaily[EntryDate],DATE(2026,9,9),tblDaily[WardCode],"CW")),"")</f>
        <v/>
      </c>
      <c r="G327" s="12">
        <f>IFERROR(IF(SUMIFS(tblDaily[TransfersOut],tblDaily[EntryDate],DATE(2026,9,9),tblDaily[WardCode],"CW")=0,"",SUMIFS(tblDaily[TransfersOut],tblDaily[EntryDate],DATE(2026,9,9),tblDaily[WardCode],"CW")),"")</f>
        <v/>
      </c>
      <c r="H327" s="12">
        <f>IFERROR(IF(SUMIFS(tblDaily[Remaining],tblDaily[EntryDate],DATE(2026,9,9),tblDaily[WardCode],"CW")=0,"",SUMIFS(tblDaily[Remaining],tblDaily[EntryDate],DATE(2026,9,9),tblDaily[WardCode],"CW")),"")</f>
        <v/>
      </c>
    </row>
    <row r="328">
      <c r="A328" s="12" t="n">
        <v>10</v>
      </c>
      <c r="B328" s="12">
        <f>IFERROR(IF(SUMIFS(tblDaily[Admissions],tblDaily[EntryDate],DATE(2026,9,10),tblDaily[WardCode],"CW")=0,"",SUMIFS(tblDaily[Admissions],tblDaily[EntryDate],DATE(2026,9,10),tblDaily[WardCode],"CW")),"")</f>
        <v/>
      </c>
      <c r="C328" s="12">
        <f>IFERROR(IF(SUMIFS(tblDaily[Discharges],tblDaily[EntryDate],DATE(2026,9,10),tblDaily[WardCode],"CW")=0,"",SUMIFS(tblDaily[Discharges],tblDaily[EntryDate],DATE(2026,9,10),tblDaily[WardCode],"CW")),"")</f>
        <v/>
      </c>
      <c r="D328" s="12">
        <f>IFERROR(IF(SUMIFS(tblDaily[Deaths],tblDaily[EntryDate],DATE(2026,9,10),tblDaily[WardCode],"CW")=0,"",SUMIFS(tblDaily[Deaths],tblDaily[EntryDate],DATE(2026,9,10),tblDaily[WardCode],"CW")),"")</f>
        <v/>
      </c>
      <c r="E328" s="12">
        <f>IFERROR(IF(SUMIFS(tblDaily[DeathsUnder24Hrs],tblDaily[EntryDate],DATE(2026,9,10),tblDaily[WardCode],"CW")=0,"",SUMIFS(tblDaily[DeathsUnder24Hrs],tblDaily[EntryDate],DATE(2026,9,10),tblDaily[WardCode],"CW")),"")</f>
        <v/>
      </c>
      <c r="F328" s="12">
        <f>IFERROR(IF(SUMIFS(tblDaily[TransfersIn],tblDaily[EntryDate],DATE(2026,9,10),tblDaily[WardCode],"CW")=0,"",SUMIFS(tblDaily[TransfersIn],tblDaily[EntryDate],DATE(2026,9,10),tblDaily[WardCode],"CW")),"")</f>
        <v/>
      </c>
      <c r="G328" s="12">
        <f>IFERROR(IF(SUMIFS(tblDaily[TransfersOut],tblDaily[EntryDate],DATE(2026,9,10),tblDaily[WardCode],"CW")=0,"",SUMIFS(tblDaily[TransfersOut],tblDaily[EntryDate],DATE(2026,9,10),tblDaily[WardCode],"CW")),"")</f>
        <v/>
      </c>
      <c r="H328" s="12">
        <f>IFERROR(IF(SUMIFS(tblDaily[Remaining],tblDaily[EntryDate],DATE(2026,9,10),tblDaily[WardCode],"CW")=0,"",SUMIFS(tblDaily[Remaining],tblDaily[EntryDate],DATE(2026,9,10),tblDaily[WardCode],"CW")),"")</f>
        <v/>
      </c>
    </row>
    <row r="329">
      <c r="A329" s="12" t="n">
        <v>11</v>
      </c>
      <c r="B329" s="12">
        <f>IFERROR(IF(SUMIFS(tblDaily[Admissions],tblDaily[EntryDate],DATE(2026,9,11),tblDaily[WardCode],"CW")=0,"",SUMIFS(tblDaily[Admissions],tblDaily[EntryDate],DATE(2026,9,11),tblDaily[WardCode],"CW")),"")</f>
        <v/>
      </c>
      <c r="C329" s="12">
        <f>IFERROR(IF(SUMIFS(tblDaily[Discharges],tblDaily[EntryDate],DATE(2026,9,11),tblDaily[WardCode],"CW")=0,"",SUMIFS(tblDaily[Discharges],tblDaily[EntryDate],DATE(2026,9,11),tblDaily[WardCode],"CW")),"")</f>
        <v/>
      </c>
      <c r="D329" s="12">
        <f>IFERROR(IF(SUMIFS(tblDaily[Deaths],tblDaily[EntryDate],DATE(2026,9,11),tblDaily[WardCode],"CW")=0,"",SUMIFS(tblDaily[Deaths],tblDaily[EntryDate],DATE(2026,9,11),tblDaily[WardCode],"CW")),"")</f>
        <v/>
      </c>
      <c r="E329" s="12">
        <f>IFERROR(IF(SUMIFS(tblDaily[DeathsUnder24Hrs],tblDaily[EntryDate],DATE(2026,9,11),tblDaily[WardCode],"CW")=0,"",SUMIFS(tblDaily[DeathsUnder24Hrs],tblDaily[EntryDate],DATE(2026,9,11),tblDaily[WardCode],"CW")),"")</f>
        <v/>
      </c>
      <c r="F329" s="12">
        <f>IFERROR(IF(SUMIFS(tblDaily[TransfersIn],tblDaily[EntryDate],DATE(2026,9,11),tblDaily[WardCode],"CW")=0,"",SUMIFS(tblDaily[TransfersIn],tblDaily[EntryDate],DATE(2026,9,11),tblDaily[WardCode],"CW")),"")</f>
        <v/>
      </c>
      <c r="G329" s="12">
        <f>IFERROR(IF(SUMIFS(tblDaily[TransfersOut],tblDaily[EntryDate],DATE(2026,9,11),tblDaily[WardCode],"CW")=0,"",SUMIFS(tblDaily[TransfersOut],tblDaily[EntryDate],DATE(2026,9,11),tblDaily[WardCode],"CW")),"")</f>
        <v/>
      </c>
      <c r="H329" s="12">
        <f>IFERROR(IF(SUMIFS(tblDaily[Remaining],tblDaily[EntryDate],DATE(2026,9,11),tblDaily[WardCode],"CW")=0,"",SUMIFS(tblDaily[Remaining],tblDaily[EntryDate],DATE(2026,9,11),tblDaily[WardCode],"CW")),"")</f>
        <v/>
      </c>
    </row>
    <row r="330">
      <c r="A330" s="12" t="n">
        <v>12</v>
      </c>
      <c r="B330" s="12">
        <f>IFERROR(IF(SUMIFS(tblDaily[Admissions],tblDaily[EntryDate],DATE(2026,9,12),tblDaily[WardCode],"CW")=0,"",SUMIFS(tblDaily[Admissions],tblDaily[EntryDate],DATE(2026,9,12),tblDaily[WardCode],"CW")),"")</f>
        <v/>
      </c>
      <c r="C330" s="12">
        <f>IFERROR(IF(SUMIFS(tblDaily[Discharges],tblDaily[EntryDate],DATE(2026,9,12),tblDaily[WardCode],"CW")=0,"",SUMIFS(tblDaily[Discharges],tblDaily[EntryDate],DATE(2026,9,12),tblDaily[WardCode],"CW")),"")</f>
        <v/>
      </c>
      <c r="D330" s="12">
        <f>IFERROR(IF(SUMIFS(tblDaily[Deaths],tblDaily[EntryDate],DATE(2026,9,12),tblDaily[WardCode],"CW")=0,"",SUMIFS(tblDaily[Deaths],tblDaily[EntryDate],DATE(2026,9,12),tblDaily[WardCode],"CW")),"")</f>
        <v/>
      </c>
      <c r="E330" s="12">
        <f>IFERROR(IF(SUMIFS(tblDaily[DeathsUnder24Hrs],tblDaily[EntryDate],DATE(2026,9,12),tblDaily[WardCode],"CW")=0,"",SUMIFS(tblDaily[DeathsUnder24Hrs],tblDaily[EntryDate],DATE(2026,9,12),tblDaily[WardCode],"CW")),"")</f>
        <v/>
      </c>
      <c r="F330" s="12">
        <f>IFERROR(IF(SUMIFS(tblDaily[TransfersIn],tblDaily[EntryDate],DATE(2026,9,12),tblDaily[WardCode],"CW")=0,"",SUMIFS(tblDaily[TransfersIn],tblDaily[EntryDate],DATE(2026,9,12),tblDaily[WardCode],"CW")),"")</f>
        <v/>
      </c>
      <c r="G330" s="12">
        <f>IFERROR(IF(SUMIFS(tblDaily[TransfersOut],tblDaily[EntryDate],DATE(2026,9,12),tblDaily[WardCode],"CW")=0,"",SUMIFS(tblDaily[TransfersOut],tblDaily[EntryDate],DATE(2026,9,12),tblDaily[WardCode],"CW")),"")</f>
        <v/>
      </c>
      <c r="H330" s="12">
        <f>IFERROR(IF(SUMIFS(tblDaily[Remaining],tblDaily[EntryDate],DATE(2026,9,12),tblDaily[WardCode],"CW")=0,"",SUMIFS(tblDaily[Remaining],tblDaily[EntryDate],DATE(2026,9,12),tblDaily[WardCode],"CW")),"")</f>
        <v/>
      </c>
    </row>
    <row r="331">
      <c r="A331" s="12" t="n">
        <v>13</v>
      </c>
      <c r="B331" s="12">
        <f>IFERROR(IF(SUMIFS(tblDaily[Admissions],tblDaily[EntryDate],DATE(2026,9,13),tblDaily[WardCode],"CW")=0,"",SUMIFS(tblDaily[Admissions],tblDaily[EntryDate],DATE(2026,9,13),tblDaily[WardCode],"CW")),"")</f>
        <v/>
      </c>
      <c r="C331" s="12">
        <f>IFERROR(IF(SUMIFS(tblDaily[Discharges],tblDaily[EntryDate],DATE(2026,9,13),tblDaily[WardCode],"CW")=0,"",SUMIFS(tblDaily[Discharges],tblDaily[EntryDate],DATE(2026,9,13),tblDaily[WardCode],"CW")),"")</f>
        <v/>
      </c>
      <c r="D331" s="12">
        <f>IFERROR(IF(SUMIFS(tblDaily[Deaths],tblDaily[EntryDate],DATE(2026,9,13),tblDaily[WardCode],"CW")=0,"",SUMIFS(tblDaily[Deaths],tblDaily[EntryDate],DATE(2026,9,13),tblDaily[WardCode],"CW")),"")</f>
        <v/>
      </c>
      <c r="E331" s="12">
        <f>IFERROR(IF(SUMIFS(tblDaily[DeathsUnder24Hrs],tblDaily[EntryDate],DATE(2026,9,13),tblDaily[WardCode],"CW")=0,"",SUMIFS(tblDaily[DeathsUnder24Hrs],tblDaily[EntryDate],DATE(2026,9,13),tblDaily[WardCode],"CW")),"")</f>
        <v/>
      </c>
      <c r="F331" s="12">
        <f>IFERROR(IF(SUMIFS(tblDaily[TransfersIn],tblDaily[EntryDate],DATE(2026,9,13),tblDaily[WardCode],"CW")=0,"",SUMIFS(tblDaily[TransfersIn],tblDaily[EntryDate],DATE(2026,9,13),tblDaily[WardCode],"CW")),"")</f>
        <v/>
      </c>
      <c r="G331" s="12">
        <f>IFERROR(IF(SUMIFS(tblDaily[TransfersOut],tblDaily[EntryDate],DATE(2026,9,13),tblDaily[WardCode],"CW")=0,"",SUMIFS(tblDaily[TransfersOut],tblDaily[EntryDate],DATE(2026,9,13),tblDaily[WardCode],"CW")),"")</f>
        <v/>
      </c>
      <c r="H331" s="12">
        <f>IFERROR(IF(SUMIFS(tblDaily[Remaining],tblDaily[EntryDate],DATE(2026,9,13),tblDaily[WardCode],"CW")=0,"",SUMIFS(tblDaily[Remaining],tblDaily[EntryDate],DATE(2026,9,13),tblDaily[WardCode],"CW")),"")</f>
        <v/>
      </c>
    </row>
    <row r="332">
      <c r="A332" s="12" t="n">
        <v>14</v>
      </c>
      <c r="B332" s="12">
        <f>IFERROR(IF(SUMIFS(tblDaily[Admissions],tblDaily[EntryDate],DATE(2026,9,14),tblDaily[WardCode],"CW")=0,"",SUMIFS(tblDaily[Admissions],tblDaily[EntryDate],DATE(2026,9,14),tblDaily[WardCode],"CW")),"")</f>
        <v/>
      </c>
      <c r="C332" s="12">
        <f>IFERROR(IF(SUMIFS(tblDaily[Discharges],tblDaily[EntryDate],DATE(2026,9,14),tblDaily[WardCode],"CW")=0,"",SUMIFS(tblDaily[Discharges],tblDaily[EntryDate],DATE(2026,9,14),tblDaily[WardCode],"CW")),"")</f>
        <v/>
      </c>
      <c r="D332" s="12">
        <f>IFERROR(IF(SUMIFS(tblDaily[Deaths],tblDaily[EntryDate],DATE(2026,9,14),tblDaily[WardCode],"CW")=0,"",SUMIFS(tblDaily[Deaths],tblDaily[EntryDate],DATE(2026,9,14),tblDaily[WardCode],"CW")),"")</f>
        <v/>
      </c>
      <c r="E332" s="12">
        <f>IFERROR(IF(SUMIFS(tblDaily[DeathsUnder24Hrs],tblDaily[EntryDate],DATE(2026,9,14),tblDaily[WardCode],"CW")=0,"",SUMIFS(tblDaily[DeathsUnder24Hrs],tblDaily[EntryDate],DATE(2026,9,14),tblDaily[WardCode],"CW")),"")</f>
        <v/>
      </c>
      <c r="F332" s="12">
        <f>IFERROR(IF(SUMIFS(tblDaily[TransfersIn],tblDaily[EntryDate],DATE(2026,9,14),tblDaily[WardCode],"CW")=0,"",SUMIFS(tblDaily[TransfersIn],tblDaily[EntryDate],DATE(2026,9,14),tblDaily[WardCode],"CW")),"")</f>
        <v/>
      </c>
      <c r="G332" s="12">
        <f>IFERROR(IF(SUMIFS(tblDaily[TransfersOut],tblDaily[EntryDate],DATE(2026,9,14),tblDaily[WardCode],"CW")=0,"",SUMIFS(tblDaily[TransfersOut],tblDaily[EntryDate],DATE(2026,9,14),tblDaily[WardCode],"CW")),"")</f>
        <v/>
      </c>
      <c r="H332" s="12">
        <f>IFERROR(IF(SUMIFS(tblDaily[Remaining],tblDaily[EntryDate],DATE(2026,9,14),tblDaily[WardCode],"CW")=0,"",SUMIFS(tblDaily[Remaining],tblDaily[EntryDate],DATE(2026,9,14),tblDaily[WardCode],"CW")),"")</f>
        <v/>
      </c>
    </row>
    <row r="333">
      <c r="A333" s="12" t="n">
        <v>15</v>
      </c>
      <c r="B333" s="12">
        <f>IFERROR(IF(SUMIFS(tblDaily[Admissions],tblDaily[EntryDate],DATE(2026,9,15),tblDaily[WardCode],"CW")=0,"",SUMIFS(tblDaily[Admissions],tblDaily[EntryDate],DATE(2026,9,15),tblDaily[WardCode],"CW")),"")</f>
        <v/>
      </c>
      <c r="C333" s="12">
        <f>IFERROR(IF(SUMIFS(tblDaily[Discharges],tblDaily[EntryDate],DATE(2026,9,15),tblDaily[WardCode],"CW")=0,"",SUMIFS(tblDaily[Discharges],tblDaily[EntryDate],DATE(2026,9,15),tblDaily[WardCode],"CW")),"")</f>
        <v/>
      </c>
      <c r="D333" s="12">
        <f>IFERROR(IF(SUMIFS(tblDaily[Deaths],tblDaily[EntryDate],DATE(2026,9,15),tblDaily[WardCode],"CW")=0,"",SUMIFS(tblDaily[Deaths],tblDaily[EntryDate],DATE(2026,9,15),tblDaily[WardCode],"CW")),"")</f>
        <v/>
      </c>
      <c r="E333" s="12">
        <f>IFERROR(IF(SUMIFS(tblDaily[DeathsUnder24Hrs],tblDaily[EntryDate],DATE(2026,9,15),tblDaily[WardCode],"CW")=0,"",SUMIFS(tblDaily[DeathsUnder24Hrs],tblDaily[EntryDate],DATE(2026,9,15),tblDaily[WardCode],"CW")),"")</f>
        <v/>
      </c>
      <c r="F333" s="12">
        <f>IFERROR(IF(SUMIFS(tblDaily[TransfersIn],tblDaily[EntryDate],DATE(2026,9,15),tblDaily[WardCode],"CW")=0,"",SUMIFS(tblDaily[TransfersIn],tblDaily[EntryDate],DATE(2026,9,15),tblDaily[WardCode],"CW")),"")</f>
        <v/>
      </c>
      <c r="G333" s="12">
        <f>IFERROR(IF(SUMIFS(tblDaily[TransfersOut],tblDaily[EntryDate],DATE(2026,9,15),tblDaily[WardCode],"CW")=0,"",SUMIFS(tblDaily[TransfersOut],tblDaily[EntryDate],DATE(2026,9,15),tblDaily[WardCode],"CW")),"")</f>
        <v/>
      </c>
      <c r="H333" s="12">
        <f>IFERROR(IF(SUMIFS(tblDaily[Remaining],tblDaily[EntryDate],DATE(2026,9,15),tblDaily[WardCode],"CW")=0,"",SUMIFS(tblDaily[Remaining],tblDaily[EntryDate],DATE(2026,9,15),tblDaily[WardCode],"CW")),"")</f>
        <v/>
      </c>
    </row>
    <row r="334">
      <c r="A334" s="12" t="n">
        <v>16</v>
      </c>
      <c r="B334" s="12">
        <f>IFERROR(IF(SUMIFS(tblDaily[Admissions],tblDaily[EntryDate],DATE(2026,9,16),tblDaily[WardCode],"CW")=0,"",SUMIFS(tblDaily[Admissions],tblDaily[EntryDate],DATE(2026,9,16),tblDaily[WardCode],"CW")),"")</f>
        <v/>
      </c>
      <c r="C334" s="12">
        <f>IFERROR(IF(SUMIFS(tblDaily[Discharges],tblDaily[EntryDate],DATE(2026,9,16),tblDaily[WardCode],"CW")=0,"",SUMIFS(tblDaily[Discharges],tblDaily[EntryDate],DATE(2026,9,16),tblDaily[WardCode],"CW")),"")</f>
        <v/>
      </c>
      <c r="D334" s="12">
        <f>IFERROR(IF(SUMIFS(tblDaily[Deaths],tblDaily[EntryDate],DATE(2026,9,16),tblDaily[WardCode],"CW")=0,"",SUMIFS(tblDaily[Deaths],tblDaily[EntryDate],DATE(2026,9,16),tblDaily[WardCode],"CW")),"")</f>
        <v/>
      </c>
      <c r="E334" s="12">
        <f>IFERROR(IF(SUMIFS(tblDaily[DeathsUnder24Hrs],tblDaily[EntryDate],DATE(2026,9,16),tblDaily[WardCode],"CW")=0,"",SUMIFS(tblDaily[DeathsUnder24Hrs],tblDaily[EntryDate],DATE(2026,9,16),tblDaily[WardCode],"CW")),"")</f>
        <v/>
      </c>
      <c r="F334" s="12">
        <f>IFERROR(IF(SUMIFS(tblDaily[TransfersIn],tblDaily[EntryDate],DATE(2026,9,16),tblDaily[WardCode],"CW")=0,"",SUMIFS(tblDaily[TransfersIn],tblDaily[EntryDate],DATE(2026,9,16),tblDaily[WardCode],"CW")),"")</f>
        <v/>
      </c>
      <c r="G334" s="12">
        <f>IFERROR(IF(SUMIFS(tblDaily[TransfersOut],tblDaily[EntryDate],DATE(2026,9,16),tblDaily[WardCode],"CW")=0,"",SUMIFS(tblDaily[TransfersOut],tblDaily[EntryDate],DATE(2026,9,16),tblDaily[WardCode],"CW")),"")</f>
        <v/>
      </c>
      <c r="H334" s="12">
        <f>IFERROR(IF(SUMIFS(tblDaily[Remaining],tblDaily[EntryDate],DATE(2026,9,16),tblDaily[WardCode],"CW")=0,"",SUMIFS(tblDaily[Remaining],tblDaily[EntryDate],DATE(2026,9,16),tblDaily[WardCode],"CW")),"")</f>
        <v/>
      </c>
    </row>
    <row r="335">
      <c r="A335" s="12" t="n">
        <v>17</v>
      </c>
      <c r="B335" s="12">
        <f>IFERROR(IF(SUMIFS(tblDaily[Admissions],tblDaily[EntryDate],DATE(2026,9,17),tblDaily[WardCode],"CW")=0,"",SUMIFS(tblDaily[Admissions],tblDaily[EntryDate],DATE(2026,9,17),tblDaily[WardCode],"CW")),"")</f>
        <v/>
      </c>
      <c r="C335" s="12">
        <f>IFERROR(IF(SUMIFS(tblDaily[Discharges],tblDaily[EntryDate],DATE(2026,9,17),tblDaily[WardCode],"CW")=0,"",SUMIFS(tblDaily[Discharges],tblDaily[EntryDate],DATE(2026,9,17),tblDaily[WardCode],"CW")),"")</f>
        <v/>
      </c>
      <c r="D335" s="12">
        <f>IFERROR(IF(SUMIFS(tblDaily[Deaths],tblDaily[EntryDate],DATE(2026,9,17),tblDaily[WardCode],"CW")=0,"",SUMIFS(tblDaily[Deaths],tblDaily[EntryDate],DATE(2026,9,17),tblDaily[WardCode],"CW")),"")</f>
        <v/>
      </c>
      <c r="E335" s="12">
        <f>IFERROR(IF(SUMIFS(tblDaily[DeathsUnder24Hrs],tblDaily[EntryDate],DATE(2026,9,17),tblDaily[WardCode],"CW")=0,"",SUMIFS(tblDaily[DeathsUnder24Hrs],tblDaily[EntryDate],DATE(2026,9,17),tblDaily[WardCode],"CW")),"")</f>
        <v/>
      </c>
      <c r="F335" s="12">
        <f>IFERROR(IF(SUMIFS(tblDaily[TransfersIn],tblDaily[EntryDate],DATE(2026,9,17),tblDaily[WardCode],"CW")=0,"",SUMIFS(tblDaily[TransfersIn],tblDaily[EntryDate],DATE(2026,9,17),tblDaily[WardCode],"CW")),"")</f>
        <v/>
      </c>
      <c r="G335" s="12">
        <f>IFERROR(IF(SUMIFS(tblDaily[TransfersOut],tblDaily[EntryDate],DATE(2026,9,17),tblDaily[WardCode],"CW")=0,"",SUMIFS(tblDaily[TransfersOut],tblDaily[EntryDate],DATE(2026,9,17),tblDaily[WardCode],"CW")),"")</f>
        <v/>
      </c>
      <c r="H335" s="12">
        <f>IFERROR(IF(SUMIFS(tblDaily[Remaining],tblDaily[EntryDate],DATE(2026,9,17),tblDaily[WardCode],"CW")=0,"",SUMIFS(tblDaily[Remaining],tblDaily[EntryDate],DATE(2026,9,17),tblDaily[WardCode],"CW")),"")</f>
        <v/>
      </c>
    </row>
    <row r="336">
      <c r="A336" s="12" t="n">
        <v>18</v>
      </c>
      <c r="B336" s="12">
        <f>IFERROR(IF(SUMIFS(tblDaily[Admissions],tblDaily[EntryDate],DATE(2026,9,18),tblDaily[WardCode],"CW")=0,"",SUMIFS(tblDaily[Admissions],tblDaily[EntryDate],DATE(2026,9,18),tblDaily[WardCode],"CW")),"")</f>
        <v/>
      </c>
      <c r="C336" s="12">
        <f>IFERROR(IF(SUMIFS(tblDaily[Discharges],tblDaily[EntryDate],DATE(2026,9,18),tblDaily[WardCode],"CW")=0,"",SUMIFS(tblDaily[Discharges],tblDaily[EntryDate],DATE(2026,9,18),tblDaily[WardCode],"CW")),"")</f>
        <v/>
      </c>
      <c r="D336" s="12">
        <f>IFERROR(IF(SUMIFS(tblDaily[Deaths],tblDaily[EntryDate],DATE(2026,9,18),tblDaily[WardCode],"CW")=0,"",SUMIFS(tblDaily[Deaths],tblDaily[EntryDate],DATE(2026,9,18),tblDaily[WardCode],"CW")),"")</f>
        <v/>
      </c>
      <c r="E336" s="12">
        <f>IFERROR(IF(SUMIFS(tblDaily[DeathsUnder24Hrs],tblDaily[EntryDate],DATE(2026,9,18),tblDaily[WardCode],"CW")=0,"",SUMIFS(tblDaily[DeathsUnder24Hrs],tblDaily[EntryDate],DATE(2026,9,18),tblDaily[WardCode],"CW")),"")</f>
        <v/>
      </c>
      <c r="F336" s="12">
        <f>IFERROR(IF(SUMIFS(tblDaily[TransfersIn],tblDaily[EntryDate],DATE(2026,9,18),tblDaily[WardCode],"CW")=0,"",SUMIFS(tblDaily[TransfersIn],tblDaily[EntryDate],DATE(2026,9,18),tblDaily[WardCode],"CW")),"")</f>
        <v/>
      </c>
      <c r="G336" s="12">
        <f>IFERROR(IF(SUMIFS(tblDaily[TransfersOut],tblDaily[EntryDate],DATE(2026,9,18),tblDaily[WardCode],"CW")=0,"",SUMIFS(tblDaily[TransfersOut],tblDaily[EntryDate],DATE(2026,9,18),tblDaily[WardCode],"CW")),"")</f>
        <v/>
      </c>
      <c r="H336" s="12">
        <f>IFERROR(IF(SUMIFS(tblDaily[Remaining],tblDaily[EntryDate],DATE(2026,9,18),tblDaily[WardCode],"CW")=0,"",SUMIFS(tblDaily[Remaining],tblDaily[EntryDate],DATE(2026,9,18),tblDaily[WardCode],"CW")),"")</f>
        <v/>
      </c>
    </row>
    <row r="337">
      <c r="A337" s="12" t="n">
        <v>19</v>
      </c>
      <c r="B337" s="12">
        <f>IFERROR(IF(SUMIFS(tblDaily[Admissions],tblDaily[EntryDate],DATE(2026,9,19),tblDaily[WardCode],"CW")=0,"",SUMIFS(tblDaily[Admissions],tblDaily[EntryDate],DATE(2026,9,19),tblDaily[WardCode],"CW")),"")</f>
        <v/>
      </c>
      <c r="C337" s="12">
        <f>IFERROR(IF(SUMIFS(tblDaily[Discharges],tblDaily[EntryDate],DATE(2026,9,19),tblDaily[WardCode],"CW")=0,"",SUMIFS(tblDaily[Discharges],tblDaily[EntryDate],DATE(2026,9,19),tblDaily[WardCode],"CW")),"")</f>
        <v/>
      </c>
      <c r="D337" s="12">
        <f>IFERROR(IF(SUMIFS(tblDaily[Deaths],tblDaily[EntryDate],DATE(2026,9,19),tblDaily[WardCode],"CW")=0,"",SUMIFS(tblDaily[Deaths],tblDaily[EntryDate],DATE(2026,9,19),tblDaily[WardCode],"CW")),"")</f>
        <v/>
      </c>
      <c r="E337" s="12">
        <f>IFERROR(IF(SUMIFS(tblDaily[DeathsUnder24Hrs],tblDaily[EntryDate],DATE(2026,9,19),tblDaily[WardCode],"CW")=0,"",SUMIFS(tblDaily[DeathsUnder24Hrs],tblDaily[EntryDate],DATE(2026,9,19),tblDaily[WardCode],"CW")),"")</f>
        <v/>
      </c>
      <c r="F337" s="12">
        <f>IFERROR(IF(SUMIFS(tblDaily[TransfersIn],tblDaily[EntryDate],DATE(2026,9,19),tblDaily[WardCode],"CW")=0,"",SUMIFS(tblDaily[TransfersIn],tblDaily[EntryDate],DATE(2026,9,19),tblDaily[WardCode],"CW")),"")</f>
        <v/>
      </c>
      <c r="G337" s="12">
        <f>IFERROR(IF(SUMIFS(tblDaily[TransfersOut],tblDaily[EntryDate],DATE(2026,9,19),tblDaily[WardCode],"CW")=0,"",SUMIFS(tblDaily[TransfersOut],tblDaily[EntryDate],DATE(2026,9,19),tblDaily[WardCode],"CW")),"")</f>
        <v/>
      </c>
      <c r="H337" s="12">
        <f>IFERROR(IF(SUMIFS(tblDaily[Remaining],tblDaily[EntryDate],DATE(2026,9,19),tblDaily[WardCode],"CW")=0,"",SUMIFS(tblDaily[Remaining],tblDaily[EntryDate],DATE(2026,9,19),tblDaily[WardCode],"CW")),"")</f>
        <v/>
      </c>
    </row>
    <row r="338">
      <c r="A338" s="12" t="n">
        <v>20</v>
      </c>
      <c r="B338" s="12">
        <f>IFERROR(IF(SUMIFS(tblDaily[Admissions],tblDaily[EntryDate],DATE(2026,9,20),tblDaily[WardCode],"CW")=0,"",SUMIFS(tblDaily[Admissions],tblDaily[EntryDate],DATE(2026,9,20),tblDaily[WardCode],"CW")),"")</f>
        <v/>
      </c>
      <c r="C338" s="12">
        <f>IFERROR(IF(SUMIFS(tblDaily[Discharges],tblDaily[EntryDate],DATE(2026,9,20),tblDaily[WardCode],"CW")=0,"",SUMIFS(tblDaily[Discharges],tblDaily[EntryDate],DATE(2026,9,20),tblDaily[WardCode],"CW")),"")</f>
        <v/>
      </c>
      <c r="D338" s="12">
        <f>IFERROR(IF(SUMIFS(tblDaily[Deaths],tblDaily[EntryDate],DATE(2026,9,20),tblDaily[WardCode],"CW")=0,"",SUMIFS(tblDaily[Deaths],tblDaily[EntryDate],DATE(2026,9,20),tblDaily[WardCode],"CW")),"")</f>
        <v/>
      </c>
      <c r="E338" s="12">
        <f>IFERROR(IF(SUMIFS(tblDaily[DeathsUnder24Hrs],tblDaily[EntryDate],DATE(2026,9,20),tblDaily[WardCode],"CW")=0,"",SUMIFS(tblDaily[DeathsUnder24Hrs],tblDaily[EntryDate],DATE(2026,9,20),tblDaily[WardCode],"CW")),"")</f>
        <v/>
      </c>
      <c r="F338" s="12">
        <f>IFERROR(IF(SUMIFS(tblDaily[TransfersIn],tblDaily[EntryDate],DATE(2026,9,20),tblDaily[WardCode],"CW")=0,"",SUMIFS(tblDaily[TransfersIn],tblDaily[EntryDate],DATE(2026,9,20),tblDaily[WardCode],"CW")),"")</f>
        <v/>
      </c>
      <c r="G338" s="12">
        <f>IFERROR(IF(SUMIFS(tblDaily[TransfersOut],tblDaily[EntryDate],DATE(2026,9,20),tblDaily[WardCode],"CW")=0,"",SUMIFS(tblDaily[TransfersOut],tblDaily[EntryDate],DATE(2026,9,20),tblDaily[WardCode],"CW")),"")</f>
        <v/>
      </c>
      <c r="H338" s="12">
        <f>IFERROR(IF(SUMIFS(tblDaily[Remaining],tblDaily[EntryDate],DATE(2026,9,20),tblDaily[WardCode],"CW")=0,"",SUMIFS(tblDaily[Remaining],tblDaily[EntryDate],DATE(2026,9,20),tblDaily[WardCode],"CW")),"")</f>
        <v/>
      </c>
    </row>
    <row r="339">
      <c r="A339" s="12" t="n">
        <v>21</v>
      </c>
      <c r="B339" s="12">
        <f>IFERROR(IF(SUMIFS(tblDaily[Admissions],tblDaily[EntryDate],DATE(2026,9,21),tblDaily[WardCode],"CW")=0,"",SUMIFS(tblDaily[Admissions],tblDaily[EntryDate],DATE(2026,9,21),tblDaily[WardCode],"CW")),"")</f>
        <v/>
      </c>
      <c r="C339" s="12">
        <f>IFERROR(IF(SUMIFS(tblDaily[Discharges],tblDaily[EntryDate],DATE(2026,9,21),tblDaily[WardCode],"CW")=0,"",SUMIFS(tblDaily[Discharges],tblDaily[EntryDate],DATE(2026,9,21),tblDaily[WardCode],"CW")),"")</f>
        <v/>
      </c>
      <c r="D339" s="12">
        <f>IFERROR(IF(SUMIFS(tblDaily[Deaths],tblDaily[EntryDate],DATE(2026,9,21),tblDaily[WardCode],"CW")=0,"",SUMIFS(tblDaily[Deaths],tblDaily[EntryDate],DATE(2026,9,21),tblDaily[WardCode],"CW")),"")</f>
        <v/>
      </c>
      <c r="E339" s="12">
        <f>IFERROR(IF(SUMIFS(tblDaily[DeathsUnder24Hrs],tblDaily[EntryDate],DATE(2026,9,21),tblDaily[WardCode],"CW")=0,"",SUMIFS(tblDaily[DeathsUnder24Hrs],tblDaily[EntryDate],DATE(2026,9,21),tblDaily[WardCode],"CW")),"")</f>
        <v/>
      </c>
      <c r="F339" s="12">
        <f>IFERROR(IF(SUMIFS(tblDaily[TransfersIn],tblDaily[EntryDate],DATE(2026,9,21),tblDaily[WardCode],"CW")=0,"",SUMIFS(tblDaily[TransfersIn],tblDaily[EntryDate],DATE(2026,9,21),tblDaily[WardCode],"CW")),"")</f>
        <v/>
      </c>
      <c r="G339" s="12">
        <f>IFERROR(IF(SUMIFS(tblDaily[TransfersOut],tblDaily[EntryDate],DATE(2026,9,21),tblDaily[WardCode],"CW")=0,"",SUMIFS(tblDaily[TransfersOut],tblDaily[EntryDate],DATE(2026,9,21),tblDaily[WardCode],"CW")),"")</f>
        <v/>
      </c>
      <c r="H339" s="12">
        <f>IFERROR(IF(SUMIFS(tblDaily[Remaining],tblDaily[EntryDate],DATE(2026,9,21),tblDaily[WardCode],"CW")=0,"",SUMIFS(tblDaily[Remaining],tblDaily[EntryDate],DATE(2026,9,21),tblDaily[WardCode],"CW")),"")</f>
        <v/>
      </c>
    </row>
    <row r="340">
      <c r="A340" s="12" t="n">
        <v>22</v>
      </c>
      <c r="B340" s="12">
        <f>IFERROR(IF(SUMIFS(tblDaily[Admissions],tblDaily[EntryDate],DATE(2026,9,22),tblDaily[WardCode],"CW")=0,"",SUMIFS(tblDaily[Admissions],tblDaily[EntryDate],DATE(2026,9,22),tblDaily[WardCode],"CW")),"")</f>
        <v/>
      </c>
      <c r="C340" s="12">
        <f>IFERROR(IF(SUMIFS(tblDaily[Discharges],tblDaily[EntryDate],DATE(2026,9,22),tblDaily[WardCode],"CW")=0,"",SUMIFS(tblDaily[Discharges],tblDaily[EntryDate],DATE(2026,9,22),tblDaily[WardCode],"CW")),"")</f>
        <v/>
      </c>
      <c r="D340" s="12">
        <f>IFERROR(IF(SUMIFS(tblDaily[Deaths],tblDaily[EntryDate],DATE(2026,9,22),tblDaily[WardCode],"CW")=0,"",SUMIFS(tblDaily[Deaths],tblDaily[EntryDate],DATE(2026,9,22),tblDaily[WardCode],"CW")),"")</f>
        <v/>
      </c>
      <c r="E340" s="12">
        <f>IFERROR(IF(SUMIFS(tblDaily[DeathsUnder24Hrs],tblDaily[EntryDate],DATE(2026,9,22),tblDaily[WardCode],"CW")=0,"",SUMIFS(tblDaily[DeathsUnder24Hrs],tblDaily[EntryDate],DATE(2026,9,22),tblDaily[WardCode],"CW")),"")</f>
        <v/>
      </c>
      <c r="F340" s="12">
        <f>IFERROR(IF(SUMIFS(tblDaily[TransfersIn],tblDaily[EntryDate],DATE(2026,9,22),tblDaily[WardCode],"CW")=0,"",SUMIFS(tblDaily[TransfersIn],tblDaily[EntryDate],DATE(2026,9,22),tblDaily[WardCode],"CW")),"")</f>
        <v/>
      </c>
      <c r="G340" s="12">
        <f>IFERROR(IF(SUMIFS(tblDaily[TransfersOut],tblDaily[EntryDate],DATE(2026,9,22),tblDaily[WardCode],"CW")=0,"",SUMIFS(tblDaily[TransfersOut],tblDaily[EntryDate],DATE(2026,9,22),tblDaily[WardCode],"CW")),"")</f>
        <v/>
      </c>
      <c r="H340" s="12">
        <f>IFERROR(IF(SUMIFS(tblDaily[Remaining],tblDaily[EntryDate],DATE(2026,9,22),tblDaily[WardCode],"CW")=0,"",SUMIFS(tblDaily[Remaining],tblDaily[EntryDate],DATE(2026,9,22),tblDaily[WardCode],"CW")),"")</f>
        <v/>
      </c>
    </row>
    <row r="341">
      <c r="A341" s="12" t="n">
        <v>23</v>
      </c>
      <c r="B341" s="12">
        <f>IFERROR(IF(SUMIFS(tblDaily[Admissions],tblDaily[EntryDate],DATE(2026,9,23),tblDaily[WardCode],"CW")=0,"",SUMIFS(tblDaily[Admissions],tblDaily[EntryDate],DATE(2026,9,23),tblDaily[WardCode],"CW")),"")</f>
        <v/>
      </c>
      <c r="C341" s="12">
        <f>IFERROR(IF(SUMIFS(tblDaily[Discharges],tblDaily[EntryDate],DATE(2026,9,23),tblDaily[WardCode],"CW")=0,"",SUMIFS(tblDaily[Discharges],tblDaily[EntryDate],DATE(2026,9,23),tblDaily[WardCode],"CW")),"")</f>
        <v/>
      </c>
      <c r="D341" s="12">
        <f>IFERROR(IF(SUMIFS(tblDaily[Deaths],tblDaily[EntryDate],DATE(2026,9,23),tblDaily[WardCode],"CW")=0,"",SUMIFS(tblDaily[Deaths],tblDaily[EntryDate],DATE(2026,9,23),tblDaily[WardCode],"CW")),"")</f>
        <v/>
      </c>
      <c r="E341" s="12">
        <f>IFERROR(IF(SUMIFS(tblDaily[DeathsUnder24Hrs],tblDaily[EntryDate],DATE(2026,9,23),tblDaily[WardCode],"CW")=0,"",SUMIFS(tblDaily[DeathsUnder24Hrs],tblDaily[EntryDate],DATE(2026,9,23),tblDaily[WardCode],"CW")),"")</f>
        <v/>
      </c>
      <c r="F341" s="12">
        <f>IFERROR(IF(SUMIFS(tblDaily[TransfersIn],tblDaily[EntryDate],DATE(2026,9,23),tblDaily[WardCode],"CW")=0,"",SUMIFS(tblDaily[TransfersIn],tblDaily[EntryDate],DATE(2026,9,23),tblDaily[WardCode],"CW")),"")</f>
        <v/>
      </c>
      <c r="G341" s="12">
        <f>IFERROR(IF(SUMIFS(tblDaily[TransfersOut],tblDaily[EntryDate],DATE(2026,9,23),tblDaily[WardCode],"CW")=0,"",SUMIFS(tblDaily[TransfersOut],tblDaily[EntryDate],DATE(2026,9,23),tblDaily[WardCode],"CW")),"")</f>
        <v/>
      </c>
      <c r="H341" s="12">
        <f>IFERROR(IF(SUMIFS(tblDaily[Remaining],tblDaily[EntryDate],DATE(2026,9,23),tblDaily[WardCode],"CW")=0,"",SUMIFS(tblDaily[Remaining],tblDaily[EntryDate],DATE(2026,9,23),tblDaily[WardCode],"CW")),"")</f>
        <v/>
      </c>
    </row>
    <row r="342">
      <c r="A342" s="12" t="n">
        <v>24</v>
      </c>
      <c r="B342" s="12">
        <f>IFERROR(IF(SUMIFS(tblDaily[Admissions],tblDaily[EntryDate],DATE(2026,9,24),tblDaily[WardCode],"CW")=0,"",SUMIFS(tblDaily[Admissions],tblDaily[EntryDate],DATE(2026,9,24),tblDaily[WardCode],"CW")),"")</f>
        <v/>
      </c>
      <c r="C342" s="12">
        <f>IFERROR(IF(SUMIFS(tblDaily[Discharges],tblDaily[EntryDate],DATE(2026,9,24),tblDaily[WardCode],"CW")=0,"",SUMIFS(tblDaily[Discharges],tblDaily[EntryDate],DATE(2026,9,24),tblDaily[WardCode],"CW")),"")</f>
        <v/>
      </c>
      <c r="D342" s="12">
        <f>IFERROR(IF(SUMIFS(tblDaily[Deaths],tblDaily[EntryDate],DATE(2026,9,24),tblDaily[WardCode],"CW")=0,"",SUMIFS(tblDaily[Deaths],tblDaily[EntryDate],DATE(2026,9,24),tblDaily[WardCode],"CW")),"")</f>
        <v/>
      </c>
      <c r="E342" s="12">
        <f>IFERROR(IF(SUMIFS(tblDaily[DeathsUnder24Hrs],tblDaily[EntryDate],DATE(2026,9,24),tblDaily[WardCode],"CW")=0,"",SUMIFS(tblDaily[DeathsUnder24Hrs],tblDaily[EntryDate],DATE(2026,9,24),tblDaily[WardCode],"CW")),"")</f>
        <v/>
      </c>
      <c r="F342" s="12">
        <f>IFERROR(IF(SUMIFS(tblDaily[TransfersIn],tblDaily[EntryDate],DATE(2026,9,24),tblDaily[WardCode],"CW")=0,"",SUMIFS(tblDaily[TransfersIn],tblDaily[EntryDate],DATE(2026,9,24),tblDaily[WardCode],"CW")),"")</f>
        <v/>
      </c>
      <c r="G342" s="12">
        <f>IFERROR(IF(SUMIFS(tblDaily[TransfersOut],tblDaily[EntryDate],DATE(2026,9,24),tblDaily[WardCode],"CW")=0,"",SUMIFS(tblDaily[TransfersOut],tblDaily[EntryDate],DATE(2026,9,24),tblDaily[WardCode],"CW")),"")</f>
        <v/>
      </c>
      <c r="H342" s="12">
        <f>IFERROR(IF(SUMIFS(tblDaily[Remaining],tblDaily[EntryDate],DATE(2026,9,24),tblDaily[WardCode],"CW")=0,"",SUMIFS(tblDaily[Remaining],tblDaily[EntryDate],DATE(2026,9,24),tblDaily[WardCode],"CW")),"")</f>
        <v/>
      </c>
    </row>
    <row r="343">
      <c r="A343" s="12" t="n">
        <v>25</v>
      </c>
      <c r="B343" s="12">
        <f>IFERROR(IF(SUMIFS(tblDaily[Admissions],tblDaily[EntryDate],DATE(2026,9,25),tblDaily[WardCode],"CW")=0,"",SUMIFS(tblDaily[Admissions],tblDaily[EntryDate],DATE(2026,9,25),tblDaily[WardCode],"CW")),"")</f>
        <v/>
      </c>
      <c r="C343" s="12">
        <f>IFERROR(IF(SUMIFS(tblDaily[Discharges],tblDaily[EntryDate],DATE(2026,9,25),tblDaily[WardCode],"CW")=0,"",SUMIFS(tblDaily[Discharges],tblDaily[EntryDate],DATE(2026,9,25),tblDaily[WardCode],"CW")),"")</f>
        <v/>
      </c>
      <c r="D343" s="12">
        <f>IFERROR(IF(SUMIFS(tblDaily[Deaths],tblDaily[EntryDate],DATE(2026,9,25),tblDaily[WardCode],"CW")=0,"",SUMIFS(tblDaily[Deaths],tblDaily[EntryDate],DATE(2026,9,25),tblDaily[WardCode],"CW")),"")</f>
        <v/>
      </c>
      <c r="E343" s="12">
        <f>IFERROR(IF(SUMIFS(tblDaily[DeathsUnder24Hrs],tblDaily[EntryDate],DATE(2026,9,25),tblDaily[WardCode],"CW")=0,"",SUMIFS(tblDaily[DeathsUnder24Hrs],tblDaily[EntryDate],DATE(2026,9,25),tblDaily[WardCode],"CW")),"")</f>
        <v/>
      </c>
      <c r="F343" s="12">
        <f>IFERROR(IF(SUMIFS(tblDaily[TransfersIn],tblDaily[EntryDate],DATE(2026,9,25),tblDaily[WardCode],"CW")=0,"",SUMIFS(tblDaily[TransfersIn],tblDaily[EntryDate],DATE(2026,9,25),tblDaily[WardCode],"CW")),"")</f>
        <v/>
      </c>
      <c r="G343" s="12">
        <f>IFERROR(IF(SUMIFS(tblDaily[TransfersOut],tblDaily[EntryDate],DATE(2026,9,25),tblDaily[WardCode],"CW")=0,"",SUMIFS(tblDaily[TransfersOut],tblDaily[EntryDate],DATE(2026,9,25),tblDaily[WardCode],"CW")),"")</f>
        <v/>
      </c>
      <c r="H343" s="12">
        <f>IFERROR(IF(SUMIFS(tblDaily[Remaining],tblDaily[EntryDate],DATE(2026,9,25),tblDaily[WardCode],"CW")=0,"",SUMIFS(tblDaily[Remaining],tblDaily[EntryDate],DATE(2026,9,25),tblDaily[WardCode],"CW")),"")</f>
        <v/>
      </c>
    </row>
    <row r="344">
      <c r="A344" s="12" t="n">
        <v>26</v>
      </c>
      <c r="B344" s="12">
        <f>IFERROR(IF(SUMIFS(tblDaily[Admissions],tblDaily[EntryDate],DATE(2026,9,26),tblDaily[WardCode],"CW")=0,"",SUMIFS(tblDaily[Admissions],tblDaily[EntryDate],DATE(2026,9,26),tblDaily[WardCode],"CW")),"")</f>
        <v/>
      </c>
      <c r="C344" s="12">
        <f>IFERROR(IF(SUMIFS(tblDaily[Discharges],tblDaily[EntryDate],DATE(2026,9,26),tblDaily[WardCode],"CW")=0,"",SUMIFS(tblDaily[Discharges],tblDaily[EntryDate],DATE(2026,9,26),tblDaily[WardCode],"CW")),"")</f>
        <v/>
      </c>
      <c r="D344" s="12">
        <f>IFERROR(IF(SUMIFS(tblDaily[Deaths],tblDaily[EntryDate],DATE(2026,9,26),tblDaily[WardCode],"CW")=0,"",SUMIFS(tblDaily[Deaths],tblDaily[EntryDate],DATE(2026,9,26),tblDaily[WardCode],"CW")),"")</f>
        <v/>
      </c>
      <c r="E344" s="12">
        <f>IFERROR(IF(SUMIFS(tblDaily[DeathsUnder24Hrs],tblDaily[EntryDate],DATE(2026,9,26),tblDaily[WardCode],"CW")=0,"",SUMIFS(tblDaily[DeathsUnder24Hrs],tblDaily[EntryDate],DATE(2026,9,26),tblDaily[WardCode],"CW")),"")</f>
        <v/>
      </c>
      <c r="F344" s="12">
        <f>IFERROR(IF(SUMIFS(tblDaily[TransfersIn],tblDaily[EntryDate],DATE(2026,9,26),tblDaily[WardCode],"CW")=0,"",SUMIFS(tblDaily[TransfersIn],tblDaily[EntryDate],DATE(2026,9,26),tblDaily[WardCode],"CW")),"")</f>
        <v/>
      </c>
      <c r="G344" s="12">
        <f>IFERROR(IF(SUMIFS(tblDaily[TransfersOut],tblDaily[EntryDate],DATE(2026,9,26),tblDaily[WardCode],"CW")=0,"",SUMIFS(tblDaily[TransfersOut],tblDaily[EntryDate],DATE(2026,9,26),tblDaily[WardCode],"CW")),"")</f>
        <v/>
      </c>
      <c r="H344" s="12">
        <f>IFERROR(IF(SUMIFS(tblDaily[Remaining],tblDaily[EntryDate],DATE(2026,9,26),tblDaily[WardCode],"CW")=0,"",SUMIFS(tblDaily[Remaining],tblDaily[EntryDate],DATE(2026,9,26),tblDaily[WardCode],"CW")),"")</f>
        <v/>
      </c>
    </row>
    <row r="345">
      <c r="A345" s="12" t="n">
        <v>27</v>
      </c>
      <c r="B345" s="12">
        <f>IFERROR(IF(SUMIFS(tblDaily[Admissions],tblDaily[EntryDate],DATE(2026,9,27),tblDaily[WardCode],"CW")=0,"",SUMIFS(tblDaily[Admissions],tblDaily[EntryDate],DATE(2026,9,27),tblDaily[WardCode],"CW")),"")</f>
        <v/>
      </c>
      <c r="C345" s="12">
        <f>IFERROR(IF(SUMIFS(tblDaily[Discharges],tblDaily[EntryDate],DATE(2026,9,27),tblDaily[WardCode],"CW")=0,"",SUMIFS(tblDaily[Discharges],tblDaily[EntryDate],DATE(2026,9,27),tblDaily[WardCode],"CW")),"")</f>
        <v/>
      </c>
      <c r="D345" s="12">
        <f>IFERROR(IF(SUMIFS(tblDaily[Deaths],tblDaily[EntryDate],DATE(2026,9,27),tblDaily[WardCode],"CW")=0,"",SUMIFS(tblDaily[Deaths],tblDaily[EntryDate],DATE(2026,9,27),tblDaily[WardCode],"CW")),"")</f>
        <v/>
      </c>
      <c r="E345" s="12">
        <f>IFERROR(IF(SUMIFS(tblDaily[DeathsUnder24Hrs],tblDaily[EntryDate],DATE(2026,9,27),tblDaily[WardCode],"CW")=0,"",SUMIFS(tblDaily[DeathsUnder24Hrs],tblDaily[EntryDate],DATE(2026,9,27),tblDaily[WardCode],"CW")),"")</f>
        <v/>
      </c>
      <c r="F345" s="12">
        <f>IFERROR(IF(SUMIFS(tblDaily[TransfersIn],tblDaily[EntryDate],DATE(2026,9,27),tblDaily[WardCode],"CW")=0,"",SUMIFS(tblDaily[TransfersIn],tblDaily[EntryDate],DATE(2026,9,27),tblDaily[WardCode],"CW")),"")</f>
        <v/>
      </c>
      <c r="G345" s="12">
        <f>IFERROR(IF(SUMIFS(tblDaily[TransfersOut],tblDaily[EntryDate],DATE(2026,9,27),tblDaily[WardCode],"CW")=0,"",SUMIFS(tblDaily[TransfersOut],tblDaily[EntryDate],DATE(2026,9,27),tblDaily[WardCode],"CW")),"")</f>
        <v/>
      </c>
      <c r="H345" s="12">
        <f>IFERROR(IF(SUMIFS(tblDaily[Remaining],tblDaily[EntryDate],DATE(2026,9,27),tblDaily[WardCode],"CW")=0,"",SUMIFS(tblDaily[Remaining],tblDaily[EntryDate],DATE(2026,9,27),tblDaily[WardCode],"CW")),"")</f>
        <v/>
      </c>
    </row>
    <row r="346">
      <c r="A346" s="12" t="n">
        <v>28</v>
      </c>
      <c r="B346" s="12">
        <f>IFERROR(IF(SUMIFS(tblDaily[Admissions],tblDaily[EntryDate],DATE(2026,9,28),tblDaily[WardCode],"CW")=0,"",SUMIFS(tblDaily[Admissions],tblDaily[EntryDate],DATE(2026,9,28),tblDaily[WardCode],"CW")),"")</f>
        <v/>
      </c>
      <c r="C346" s="12">
        <f>IFERROR(IF(SUMIFS(tblDaily[Discharges],tblDaily[EntryDate],DATE(2026,9,28),tblDaily[WardCode],"CW")=0,"",SUMIFS(tblDaily[Discharges],tblDaily[EntryDate],DATE(2026,9,28),tblDaily[WardCode],"CW")),"")</f>
        <v/>
      </c>
      <c r="D346" s="12">
        <f>IFERROR(IF(SUMIFS(tblDaily[Deaths],tblDaily[EntryDate],DATE(2026,9,28),tblDaily[WardCode],"CW")=0,"",SUMIFS(tblDaily[Deaths],tblDaily[EntryDate],DATE(2026,9,28),tblDaily[WardCode],"CW")),"")</f>
        <v/>
      </c>
      <c r="E346" s="12">
        <f>IFERROR(IF(SUMIFS(tblDaily[DeathsUnder24Hrs],tblDaily[EntryDate],DATE(2026,9,28),tblDaily[WardCode],"CW")=0,"",SUMIFS(tblDaily[DeathsUnder24Hrs],tblDaily[EntryDate],DATE(2026,9,28),tblDaily[WardCode],"CW")),"")</f>
        <v/>
      </c>
      <c r="F346" s="12">
        <f>IFERROR(IF(SUMIFS(tblDaily[TransfersIn],tblDaily[EntryDate],DATE(2026,9,28),tblDaily[WardCode],"CW")=0,"",SUMIFS(tblDaily[TransfersIn],tblDaily[EntryDate],DATE(2026,9,28),tblDaily[WardCode],"CW")),"")</f>
        <v/>
      </c>
      <c r="G346" s="12">
        <f>IFERROR(IF(SUMIFS(tblDaily[TransfersOut],tblDaily[EntryDate],DATE(2026,9,28),tblDaily[WardCode],"CW")=0,"",SUMIFS(tblDaily[TransfersOut],tblDaily[EntryDate],DATE(2026,9,28),tblDaily[WardCode],"CW")),"")</f>
        <v/>
      </c>
      <c r="H346" s="12">
        <f>IFERROR(IF(SUMIFS(tblDaily[Remaining],tblDaily[EntryDate],DATE(2026,9,28),tblDaily[WardCode],"CW")=0,"",SUMIFS(tblDaily[Remaining],tblDaily[EntryDate],DATE(2026,9,28),tblDaily[WardCode],"CW")),"")</f>
        <v/>
      </c>
    </row>
    <row r="347">
      <c r="A347" s="12" t="n">
        <v>29</v>
      </c>
      <c r="B347" s="12">
        <f>IFERROR(IF(SUMIFS(tblDaily[Admissions],tblDaily[EntryDate],DATE(2026,9,29),tblDaily[WardCode],"CW")=0,"",SUMIFS(tblDaily[Admissions],tblDaily[EntryDate],DATE(2026,9,29),tblDaily[WardCode],"CW")),"")</f>
        <v/>
      </c>
      <c r="C347" s="12">
        <f>IFERROR(IF(SUMIFS(tblDaily[Discharges],tblDaily[EntryDate],DATE(2026,9,29),tblDaily[WardCode],"CW")=0,"",SUMIFS(tblDaily[Discharges],tblDaily[EntryDate],DATE(2026,9,29),tblDaily[WardCode],"CW")),"")</f>
        <v/>
      </c>
      <c r="D347" s="12">
        <f>IFERROR(IF(SUMIFS(tblDaily[Deaths],tblDaily[EntryDate],DATE(2026,9,29),tblDaily[WardCode],"CW")=0,"",SUMIFS(tblDaily[Deaths],tblDaily[EntryDate],DATE(2026,9,29),tblDaily[WardCode],"CW")),"")</f>
        <v/>
      </c>
      <c r="E347" s="12">
        <f>IFERROR(IF(SUMIFS(tblDaily[DeathsUnder24Hrs],tblDaily[EntryDate],DATE(2026,9,29),tblDaily[WardCode],"CW")=0,"",SUMIFS(tblDaily[DeathsUnder24Hrs],tblDaily[EntryDate],DATE(2026,9,29),tblDaily[WardCode],"CW")),"")</f>
        <v/>
      </c>
      <c r="F347" s="12">
        <f>IFERROR(IF(SUMIFS(tblDaily[TransfersIn],tblDaily[EntryDate],DATE(2026,9,29),tblDaily[WardCode],"CW")=0,"",SUMIFS(tblDaily[TransfersIn],tblDaily[EntryDate],DATE(2026,9,29),tblDaily[WardCode],"CW")),"")</f>
        <v/>
      </c>
      <c r="G347" s="12">
        <f>IFERROR(IF(SUMIFS(tblDaily[TransfersOut],tblDaily[EntryDate],DATE(2026,9,29),tblDaily[WardCode],"CW")=0,"",SUMIFS(tblDaily[TransfersOut],tblDaily[EntryDate],DATE(2026,9,29),tblDaily[WardCode],"CW")),"")</f>
        <v/>
      </c>
      <c r="H347" s="12">
        <f>IFERROR(IF(SUMIFS(tblDaily[Remaining],tblDaily[EntryDate],DATE(2026,9,29),tblDaily[WardCode],"CW")=0,"",SUMIFS(tblDaily[Remaining],tblDaily[EntryDate],DATE(2026,9,29),tblDaily[WardCode],"CW")),"")</f>
        <v/>
      </c>
    </row>
    <row r="348">
      <c r="A348" s="12" t="n">
        <v>30</v>
      </c>
      <c r="B348" s="12">
        <f>IFERROR(IF(SUMIFS(tblDaily[Admissions],tblDaily[EntryDate],DATE(2026,9,30),tblDaily[WardCode],"CW")=0,"",SUMIFS(tblDaily[Admissions],tblDaily[EntryDate],DATE(2026,9,30),tblDaily[WardCode],"CW")),"")</f>
        <v/>
      </c>
      <c r="C348" s="12">
        <f>IFERROR(IF(SUMIFS(tblDaily[Discharges],tblDaily[EntryDate],DATE(2026,9,30),tblDaily[WardCode],"CW")=0,"",SUMIFS(tblDaily[Discharges],tblDaily[EntryDate],DATE(2026,9,30),tblDaily[WardCode],"CW")),"")</f>
        <v/>
      </c>
      <c r="D348" s="12">
        <f>IFERROR(IF(SUMIFS(tblDaily[Deaths],tblDaily[EntryDate],DATE(2026,9,30),tblDaily[WardCode],"CW")=0,"",SUMIFS(tblDaily[Deaths],tblDaily[EntryDate],DATE(2026,9,30),tblDaily[WardCode],"CW")),"")</f>
        <v/>
      </c>
      <c r="E348" s="12">
        <f>IFERROR(IF(SUMIFS(tblDaily[DeathsUnder24Hrs],tblDaily[EntryDate],DATE(2026,9,30),tblDaily[WardCode],"CW")=0,"",SUMIFS(tblDaily[DeathsUnder24Hrs],tblDaily[EntryDate],DATE(2026,9,30),tblDaily[WardCode],"CW")),"")</f>
        <v/>
      </c>
      <c r="F348" s="12">
        <f>IFERROR(IF(SUMIFS(tblDaily[TransfersIn],tblDaily[EntryDate],DATE(2026,9,30),tblDaily[WardCode],"CW")=0,"",SUMIFS(tblDaily[TransfersIn],tblDaily[EntryDate],DATE(2026,9,30),tblDaily[WardCode],"CW")),"")</f>
        <v/>
      </c>
      <c r="G348" s="12">
        <f>IFERROR(IF(SUMIFS(tblDaily[TransfersOut],tblDaily[EntryDate],DATE(2026,9,30),tblDaily[WardCode],"CW")=0,"",SUMIFS(tblDaily[TransfersOut],tblDaily[EntryDate],DATE(2026,9,30),tblDaily[WardCode],"CW")),"")</f>
        <v/>
      </c>
      <c r="H348" s="12">
        <f>IFERROR(IF(SUMIFS(tblDaily[Remaining],tblDaily[EntryDate],DATE(2026,9,30),tblDaily[WardCode],"CW")=0,"",SUMIFS(tblDaily[Remaining],tblDaily[EntryDate],DATE(2026,9,30),tblDaily[WardCode],"CW")),"")</f>
        <v/>
      </c>
    </row>
    <row r="349">
      <c r="A349" s="12" t="n">
        <v>31</v>
      </c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7" t="inlineStr">
        <is>
          <t>TOTAL</t>
        </is>
      </c>
      <c r="B350" s="17">
        <f>SUMIFS(tblDaily[Admissions],tblDaily[Month],9,tblDaily[WardCode],"CW") - SUMIFS(tblDaily[DeathsUnder24Hrs],tblDaily[Month],9,tblDaily[WardCode],"CW")</f>
        <v/>
      </c>
      <c r="C350" s="17">
        <f>SUMIFS(tblDaily[Discharges],tblDaily[Month],9,tblDaily[WardCode],"CW")</f>
        <v/>
      </c>
      <c r="D350" s="17">
        <f>SUMIFS(tblDaily[Deaths],tblDaily[Month],9,tblDaily[WardCode],"CW")</f>
        <v/>
      </c>
      <c r="E350" s="17">
        <f>SUMIFS(tblDaily[DeathsUnder24Hrs],tblDaily[Month],9,tblDaily[WardCode],"CW")</f>
        <v/>
      </c>
      <c r="F350" s="17">
        <f>SUMIFS(tblDaily[TransfersIn],tblDaily[Month],9,tblDaily[WardCode],"CW")</f>
        <v/>
      </c>
      <c r="G350" s="17">
        <f>SUMIFS(tblDaily[TransfersOut],tblDaily[Month],9,tblDaily[WardCode],"CW")</f>
        <v/>
      </c>
      <c r="H350" s="17">
        <f>SUMIFS(tblDaily[Remaining],tblDaily[Month],9,tblDaily[WardCode],"CW")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PAEDIATRIC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4">
        <f>IFERROR(SUMIFS(tblDaily[Remaining],tblDaily[EntryDate],DATE(2026,9,30),tblDaily[WardCode],"CW"),0)</f>
        <v/>
      </c>
    </row>
    <row r="356">
      <c r="A356" s="4" t="inlineStr">
        <is>
          <t>Bed complement</t>
        </is>
      </c>
      <c r="H356" s="15">
        <f>IFERROR(INDEX(tblWardConfig[BedComplement],MATCH("CW",tblWardConfig[WardCode],0)),0)</f>
        <v/>
      </c>
    </row>
    <row r="357">
      <c r="A357" s="16" t="inlineStr">
        <is>
          <t>Day of
the
Month</t>
        </is>
      </c>
      <c r="B357" s="16" t="inlineStr">
        <is>
          <t>Admissions</t>
        </is>
      </c>
      <c r="C357" s="16" t="inlineStr">
        <is>
          <t>Discharges</t>
        </is>
      </c>
      <c r="D357" s="16" t="inlineStr">
        <is>
          <t>Deaths</t>
        </is>
      </c>
      <c r="E357" s="16" t="inlineStr">
        <is>
          <t>Deaths
&lt;24Hrs</t>
        </is>
      </c>
      <c r="F357" s="16" t="inlineStr">
        <is>
          <t>Transfers-
In</t>
        </is>
      </c>
      <c r="G357" s="16" t="inlineStr">
        <is>
          <t>Transfers-
Out</t>
        </is>
      </c>
      <c r="H357" s="16" t="inlineStr">
        <is>
          <t>No. of Patients
Remaining In
Ward</t>
        </is>
      </c>
    </row>
    <row r="358">
      <c r="A358" s="12" t="n">
        <v>1</v>
      </c>
      <c r="B358" s="12">
        <f>IFERROR(IF(SUMIFS(tblDaily[Admissions],tblDaily[EntryDate],DATE(2026,10,1),tblDaily[WardCode],"CW")=0,"",SUMIFS(tblDaily[Admissions],tblDaily[EntryDate],DATE(2026,10,1),tblDaily[WardCode],"CW")),"")</f>
        <v/>
      </c>
      <c r="C358" s="12">
        <f>IFERROR(IF(SUMIFS(tblDaily[Discharges],tblDaily[EntryDate],DATE(2026,10,1),tblDaily[WardCode],"CW")=0,"",SUMIFS(tblDaily[Discharges],tblDaily[EntryDate],DATE(2026,10,1),tblDaily[WardCode],"CW")),"")</f>
        <v/>
      </c>
      <c r="D358" s="12">
        <f>IFERROR(IF(SUMIFS(tblDaily[Deaths],tblDaily[EntryDate],DATE(2026,10,1),tblDaily[WardCode],"CW")=0,"",SUMIFS(tblDaily[Deaths],tblDaily[EntryDate],DATE(2026,10,1),tblDaily[WardCode],"CW")),"")</f>
        <v/>
      </c>
      <c r="E358" s="12">
        <f>IFERROR(IF(SUMIFS(tblDaily[DeathsUnder24Hrs],tblDaily[EntryDate],DATE(2026,10,1),tblDaily[WardCode],"CW")=0,"",SUMIFS(tblDaily[DeathsUnder24Hrs],tblDaily[EntryDate],DATE(2026,10,1),tblDaily[WardCode],"CW")),"")</f>
        <v/>
      </c>
      <c r="F358" s="12">
        <f>IFERROR(IF(SUMIFS(tblDaily[TransfersIn],tblDaily[EntryDate],DATE(2026,10,1),tblDaily[WardCode],"CW")=0,"",SUMIFS(tblDaily[TransfersIn],tblDaily[EntryDate],DATE(2026,10,1),tblDaily[WardCode],"CW")),"")</f>
        <v/>
      </c>
      <c r="G358" s="12">
        <f>IFERROR(IF(SUMIFS(tblDaily[TransfersOut],tblDaily[EntryDate],DATE(2026,10,1),tblDaily[WardCode],"CW")=0,"",SUMIFS(tblDaily[TransfersOut],tblDaily[EntryDate],DATE(2026,10,1),tblDaily[WardCode],"CW")),"")</f>
        <v/>
      </c>
      <c r="H358" s="12">
        <f>IFERROR(IF(SUMIFS(tblDaily[Remaining],tblDaily[EntryDate],DATE(2026,10,1),tblDaily[WardCode],"CW")=0,"",SUMIFS(tblDaily[Remaining],tblDaily[EntryDate],DATE(2026,10,1),tblDaily[WardCode],"CW")),"")</f>
        <v/>
      </c>
    </row>
    <row r="359">
      <c r="A359" s="12" t="n">
        <v>2</v>
      </c>
      <c r="B359" s="12">
        <f>IFERROR(IF(SUMIFS(tblDaily[Admissions],tblDaily[EntryDate],DATE(2026,10,2),tblDaily[WardCode],"CW")=0,"",SUMIFS(tblDaily[Admissions],tblDaily[EntryDate],DATE(2026,10,2),tblDaily[WardCode],"CW")),"")</f>
        <v/>
      </c>
      <c r="C359" s="12">
        <f>IFERROR(IF(SUMIFS(tblDaily[Discharges],tblDaily[EntryDate],DATE(2026,10,2),tblDaily[WardCode],"CW")=0,"",SUMIFS(tblDaily[Discharges],tblDaily[EntryDate],DATE(2026,10,2),tblDaily[WardCode],"CW")),"")</f>
        <v/>
      </c>
      <c r="D359" s="12">
        <f>IFERROR(IF(SUMIFS(tblDaily[Deaths],tblDaily[EntryDate],DATE(2026,10,2),tblDaily[WardCode],"CW")=0,"",SUMIFS(tblDaily[Deaths],tblDaily[EntryDate],DATE(2026,10,2),tblDaily[WardCode],"CW")),"")</f>
        <v/>
      </c>
      <c r="E359" s="12">
        <f>IFERROR(IF(SUMIFS(tblDaily[DeathsUnder24Hrs],tblDaily[EntryDate],DATE(2026,10,2),tblDaily[WardCode],"CW")=0,"",SUMIFS(tblDaily[DeathsUnder24Hrs],tblDaily[EntryDate],DATE(2026,10,2),tblDaily[WardCode],"CW")),"")</f>
        <v/>
      </c>
      <c r="F359" s="12">
        <f>IFERROR(IF(SUMIFS(tblDaily[TransfersIn],tblDaily[EntryDate],DATE(2026,10,2),tblDaily[WardCode],"CW")=0,"",SUMIFS(tblDaily[TransfersIn],tblDaily[EntryDate],DATE(2026,10,2),tblDaily[WardCode],"CW")),"")</f>
        <v/>
      </c>
      <c r="G359" s="12">
        <f>IFERROR(IF(SUMIFS(tblDaily[TransfersOut],tblDaily[EntryDate],DATE(2026,10,2),tblDaily[WardCode],"CW")=0,"",SUMIFS(tblDaily[TransfersOut],tblDaily[EntryDate],DATE(2026,10,2),tblDaily[WardCode],"CW")),"")</f>
        <v/>
      </c>
      <c r="H359" s="12">
        <f>IFERROR(IF(SUMIFS(tblDaily[Remaining],tblDaily[EntryDate],DATE(2026,10,2),tblDaily[WardCode],"CW")=0,"",SUMIFS(tblDaily[Remaining],tblDaily[EntryDate],DATE(2026,10,2),tblDaily[WardCode],"CW")),"")</f>
        <v/>
      </c>
    </row>
    <row r="360">
      <c r="A360" s="12" t="n">
        <v>3</v>
      </c>
      <c r="B360" s="12">
        <f>IFERROR(IF(SUMIFS(tblDaily[Admissions],tblDaily[EntryDate],DATE(2026,10,3),tblDaily[WardCode],"CW")=0,"",SUMIFS(tblDaily[Admissions],tblDaily[EntryDate],DATE(2026,10,3),tblDaily[WardCode],"CW")),"")</f>
        <v/>
      </c>
      <c r="C360" s="12">
        <f>IFERROR(IF(SUMIFS(tblDaily[Discharges],tblDaily[EntryDate],DATE(2026,10,3),tblDaily[WardCode],"CW")=0,"",SUMIFS(tblDaily[Discharges],tblDaily[EntryDate],DATE(2026,10,3),tblDaily[WardCode],"CW")),"")</f>
        <v/>
      </c>
      <c r="D360" s="12">
        <f>IFERROR(IF(SUMIFS(tblDaily[Deaths],tblDaily[EntryDate],DATE(2026,10,3),tblDaily[WardCode],"CW")=0,"",SUMIFS(tblDaily[Deaths],tblDaily[EntryDate],DATE(2026,10,3),tblDaily[WardCode],"CW")),"")</f>
        <v/>
      </c>
      <c r="E360" s="12">
        <f>IFERROR(IF(SUMIFS(tblDaily[DeathsUnder24Hrs],tblDaily[EntryDate],DATE(2026,10,3),tblDaily[WardCode],"CW")=0,"",SUMIFS(tblDaily[DeathsUnder24Hrs],tblDaily[EntryDate],DATE(2026,10,3),tblDaily[WardCode],"CW")),"")</f>
        <v/>
      </c>
      <c r="F360" s="12">
        <f>IFERROR(IF(SUMIFS(tblDaily[TransfersIn],tblDaily[EntryDate],DATE(2026,10,3),tblDaily[WardCode],"CW")=0,"",SUMIFS(tblDaily[TransfersIn],tblDaily[EntryDate],DATE(2026,10,3),tblDaily[WardCode],"CW")),"")</f>
        <v/>
      </c>
      <c r="G360" s="12">
        <f>IFERROR(IF(SUMIFS(tblDaily[TransfersOut],tblDaily[EntryDate],DATE(2026,10,3),tblDaily[WardCode],"CW")=0,"",SUMIFS(tblDaily[TransfersOut],tblDaily[EntryDate],DATE(2026,10,3),tblDaily[WardCode],"CW")),"")</f>
        <v/>
      </c>
      <c r="H360" s="12">
        <f>IFERROR(IF(SUMIFS(tblDaily[Remaining],tblDaily[EntryDate],DATE(2026,10,3),tblDaily[WardCode],"CW")=0,"",SUMIFS(tblDaily[Remaining],tblDaily[EntryDate],DATE(2026,10,3),tblDaily[WardCode],"CW")),"")</f>
        <v/>
      </c>
    </row>
    <row r="361">
      <c r="A361" s="12" t="n">
        <v>4</v>
      </c>
      <c r="B361" s="12">
        <f>IFERROR(IF(SUMIFS(tblDaily[Admissions],tblDaily[EntryDate],DATE(2026,10,4),tblDaily[WardCode],"CW")=0,"",SUMIFS(tblDaily[Admissions],tblDaily[EntryDate],DATE(2026,10,4),tblDaily[WardCode],"CW")),"")</f>
        <v/>
      </c>
      <c r="C361" s="12">
        <f>IFERROR(IF(SUMIFS(tblDaily[Discharges],tblDaily[EntryDate],DATE(2026,10,4),tblDaily[WardCode],"CW")=0,"",SUMIFS(tblDaily[Discharges],tblDaily[EntryDate],DATE(2026,10,4),tblDaily[WardCode],"CW")),"")</f>
        <v/>
      </c>
      <c r="D361" s="12">
        <f>IFERROR(IF(SUMIFS(tblDaily[Deaths],tblDaily[EntryDate],DATE(2026,10,4),tblDaily[WardCode],"CW")=0,"",SUMIFS(tblDaily[Deaths],tblDaily[EntryDate],DATE(2026,10,4),tblDaily[WardCode],"CW")),"")</f>
        <v/>
      </c>
      <c r="E361" s="12">
        <f>IFERROR(IF(SUMIFS(tblDaily[DeathsUnder24Hrs],tblDaily[EntryDate],DATE(2026,10,4),tblDaily[WardCode],"CW")=0,"",SUMIFS(tblDaily[DeathsUnder24Hrs],tblDaily[EntryDate],DATE(2026,10,4),tblDaily[WardCode],"CW")),"")</f>
        <v/>
      </c>
      <c r="F361" s="12">
        <f>IFERROR(IF(SUMIFS(tblDaily[TransfersIn],tblDaily[EntryDate],DATE(2026,10,4),tblDaily[WardCode],"CW")=0,"",SUMIFS(tblDaily[TransfersIn],tblDaily[EntryDate],DATE(2026,10,4),tblDaily[WardCode],"CW")),"")</f>
        <v/>
      </c>
      <c r="G361" s="12">
        <f>IFERROR(IF(SUMIFS(tblDaily[TransfersOut],tblDaily[EntryDate],DATE(2026,10,4),tblDaily[WardCode],"CW")=0,"",SUMIFS(tblDaily[TransfersOut],tblDaily[EntryDate],DATE(2026,10,4),tblDaily[WardCode],"CW")),"")</f>
        <v/>
      </c>
      <c r="H361" s="12">
        <f>IFERROR(IF(SUMIFS(tblDaily[Remaining],tblDaily[EntryDate],DATE(2026,10,4),tblDaily[WardCode],"CW")=0,"",SUMIFS(tblDaily[Remaining],tblDaily[EntryDate],DATE(2026,10,4),tblDaily[WardCode],"CW")),"")</f>
        <v/>
      </c>
    </row>
    <row r="362">
      <c r="A362" s="12" t="n">
        <v>5</v>
      </c>
      <c r="B362" s="12">
        <f>IFERROR(IF(SUMIFS(tblDaily[Admissions],tblDaily[EntryDate],DATE(2026,10,5),tblDaily[WardCode],"CW")=0,"",SUMIFS(tblDaily[Admissions],tblDaily[EntryDate],DATE(2026,10,5),tblDaily[WardCode],"CW")),"")</f>
        <v/>
      </c>
      <c r="C362" s="12">
        <f>IFERROR(IF(SUMIFS(tblDaily[Discharges],tblDaily[EntryDate],DATE(2026,10,5),tblDaily[WardCode],"CW")=0,"",SUMIFS(tblDaily[Discharges],tblDaily[EntryDate],DATE(2026,10,5),tblDaily[WardCode],"CW")),"")</f>
        <v/>
      </c>
      <c r="D362" s="12">
        <f>IFERROR(IF(SUMIFS(tblDaily[Deaths],tblDaily[EntryDate],DATE(2026,10,5),tblDaily[WardCode],"CW")=0,"",SUMIFS(tblDaily[Deaths],tblDaily[EntryDate],DATE(2026,10,5),tblDaily[WardCode],"CW")),"")</f>
        <v/>
      </c>
      <c r="E362" s="12">
        <f>IFERROR(IF(SUMIFS(tblDaily[DeathsUnder24Hrs],tblDaily[EntryDate],DATE(2026,10,5),tblDaily[WardCode],"CW")=0,"",SUMIFS(tblDaily[DeathsUnder24Hrs],tblDaily[EntryDate],DATE(2026,10,5),tblDaily[WardCode],"CW")),"")</f>
        <v/>
      </c>
      <c r="F362" s="12">
        <f>IFERROR(IF(SUMIFS(tblDaily[TransfersIn],tblDaily[EntryDate],DATE(2026,10,5),tblDaily[WardCode],"CW")=0,"",SUMIFS(tblDaily[TransfersIn],tblDaily[EntryDate],DATE(2026,10,5),tblDaily[WardCode],"CW")),"")</f>
        <v/>
      </c>
      <c r="G362" s="12">
        <f>IFERROR(IF(SUMIFS(tblDaily[TransfersOut],tblDaily[EntryDate],DATE(2026,10,5),tblDaily[WardCode],"CW")=0,"",SUMIFS(tblDaily[TransfersOut],tblDaily[EntryDate],DATE(2026,10,5),tblDaily[WardCode],"CW")),"")</f>
        <v/>
      </c>
      <c r="H362" s="12">
        <f>IFERROR(IF(SUMIFS(tblDaily[Remaining],tblDaily[EntryDate],DATE(2026,10,5),tblDaily[WardCode],"CW")=0,"",SUMIFS(tblDaily[Remaining],tblDaily[EntryDate],DATE(2026,10,5),tblDaily[WardCode],"CW")),"")</f>
        <v/>
      </c>
    </row>
    <row r="363">
      <c r="A363" s="12" t="n">
        <v>6</v>
      </c>
      <c r="B363" s="12">
        <f>IFERROR(IF(SUMIFS(tblDaily[Admissions],tblDaily[EntryDate],DATE(2026,10,6),tblDaily[WardCode],"CW")=0,"",SUMIFS(tblDaily[Admissions],tblDaily[EntryDate],DATE(2026,10,6),tblDaily[WardCode],"CW")),"")</f>
        <v/>
      </c>
      <c r="C363" s="12">
        <f>IFERROR(IF(SUMIFS(tblDaily[Discharges],tblDaily[EntryDate],DATE(2026,10,6),tblDaily[WardCode],"CW")=0,"",SUMIFS(tblDaily[Discharges],tblDaily[EntryDate],DATE(2026,10,6),tblDaily[WardCode],"CW")),"")</f>
        <v/>
      </c>
      <c r="D363" s="12">
        <f>IFERROR(IF(SUMIFS(tblDaily[Deaths],tblDaily[EntryDate],DATE(2026,10,6),tblDaily[WardCode],"CW")=0,"",SUMIFS(tblDaily[Deaths],tblDaily[EntryDate],DATE(2026,10,6),tblDaily[WardCode],"CW")),"")</f>
        <v/>
      </c>
      <c r="E363" s="12">
        <f>IFERROR(IF(SUMIFS(tblDaily[DeathsUnder24Hrs],tblDaily[EntryDate],DATE(2026,10,6),tblDaily[WardCode],"CW")=0,"",SUMIFS(tblDaily[DeathsUnder24Hrs],tblDaily[EntryDate],DATE(2026,10,6),tblDaily[WardCode],"CW")),"")</f>
        <v/>
      </c>
      <c r="F363" s="12">
        <f>IFERROR(IF(SUMIFS(tblDaily[TransfersIn],tblDaily[EntryDate],DATE(2026,10,6),tblDaily[WardCode],"CW")=0,"",SUMIFS(tblDaily[TransfersIn],tblDaily[EntryDate],DATE(2026,10,6),tblDaily[WardCode],"CW")),"")</f>
        <v/>
      </c>
      <c r="G363" s="12">
        <f>IFERROR(IF(SUMIFS(tblDaily[TransfersOut],tblDaily[EntryDate],DATE(2026,10,6),tblDaily[WardCode],"CW")=0,"",SUMIFS(tblDaily[TransfersOut],tblDaily[EntryDate],DATE(2026,10,6),tblDaily[WardCode],"CW")),"")</f>
        <v/>
      </c>
      <c r="H363" s="12">
        <f>IFERROR(IF(SUMIFS(tblDaily[Remaining],tblDaily[EntryDate],DATE(2026,10,6),tblDaily[WardCode],"CW")=0,"",SUMIFS(tblDaily[Remaining],tblDaily[EntryDate],DATE(2026,10,6),tblDaily[WardCode],"CW")),"")</f>
        <v/>
      </c>
    </row>
    <row r="364">
      <c r="A364" s="12" t="n">
        <v>7</v>
      </c>
      <c r="B364" s="12">
        <f>IFERROR(IF(SUMIFS(tblDaily[Admissions],tblDaily[EntryDate],DATE(2026,10,7),tblDaily[WardCode],"CW")=0,"",SUMIFS(tblDaily[Admissions],tblDaily[EntryDate],DATE(2026,10,7),tblDaily[WardCode],"CW")),"")</f>
        <v/>
      </c>
      <c r="C364" s="12">
        <f>IFERROR(IF(SUMIFS(tblDaily[Discharges],tblDaily[EntryDate],DATE(2026,10,7),tblDaily[WardCode],"CW")=0,"",SUMIFS(tblDaily[Discharges],tblDaily[EntryDate],DATE(2026,10,7),tblDaily[WardCode],"CW")),"")</f>
        <v/>
      </c>
      <c r="D364" s="12">
        <f>IFERROR(IF(SUMIFS(tblDaily[Deaths],tblDaily[EntryDate],DATE(2026,10,7),tblDaily[WardCode],"CW")=0,"",SUMIFS(tblDaily[Deaths],tblDaily[EntryDate],DATE(2026,10,7),tblDaily[WardCode],"CW")),"")</f>
        <v/>
      </c>
      <c r="E364" s="12">
        <f>IFERROR(IF(SUMIFS(tblDaily[DeathsUnder24Hrs],tblDaily[EntryDate],DATE(2026,10,7),tblDaily[WardCode],"CW")=0,"",SUMIFS(tblDaily[DeathsUnder24Hrs],tblDaily[EntryDate],DATE(2026,10,7),tblDaily[WardCode],"CW")),"")</f>
        <v/>
      </c>
      <c r="F364" s="12">
        <f>IFERROR(IF(SUMIFS(tblDaily[TransfersIn],tblDaily[EntryDate],DATE(2026,10,7),tblDaily[WardCode],"CW")=0,"",SUMIFS(tblDaily[TransfersIn],tblDaily[EntryDate],DATE(2026,10,7),tblDaily[WardCode],"CW")),"")</f>
        <v/>
      </c>
      <c r="G364" s="12">
        <f>IFERROR(IF(SUMIFS(tblDaily[TransfersOut],tblDaily[EntryDate],DATE(2026,10,7),tblDaily[WardCode],"CW")=0,"",SUMIFS(tblDaily[TransfersOut],tblDaily[EntryDate],DATE(2026,10,7),tblDaily[WardCode],"CW")),"")</f>
        <v/>
      </c>
      <c r="H364" s="12">
        <f>IFERROR(IF(SUMIFS(tblDaily[Remaining],tblDaily[EntryDate],DATE(2026,10,7),tblDaily[WardCode],"CW")=0,"",SUMIFS(tblDaily[Remaining],tblDaily[EntryDate],DATE(2026,10,7),tblDaily[WardCode],"CW")),"")</f>
        <v/>
      </c>
    </row>
    <row r="365">
      <c r="A365" s="12" t="n">
        <v>8</v>
      </c>
      <c r="B365" s="12">
        <f>IFERROR(IF(SUMIFS(tblDaily[Admissions],tblDaily[EntryDate],DATE(2026,10,8),tblDaily[WardCode],"CW")=0,"",SUMIFS(tblDaily[Admissions],tblDaily[EntryDate],DATE(2026,10,8),tblDaily[WardCode],"CW")),"")</f>
        <v/>
      </c>
      <c r="C365" s="12">
        <f>IFERROR(IF(SUMIFS(tblDaily[Discharges],tblDaily[EntryDate],DATE(2026,10,8),tblDaily[WardCode],"CW")=0,"",SUMIFS(tblDaily[Discharges],tblDaily[EntryDate],DATE(2026,10,8),tblDaily[WardCode],"CW")),"")</f>
        <v/>
      </c>
      <c r="D365" s="12">
        <f>IFERROR(IF(SUMIFS(tblDaily[Deaths],tblDaily[EntryDate],DATE(2026,10,8),tblDaily[WardCode],"CW")=0,"",SUMIFS(tblDaily[Deaths],tblDaily[EntryDate],DATE(2026,10,8),tblDaily[WardCode],"CW")),"")</f>
        <v/>
      </c>
      <c r="E365" s="12">
        <f>IFERROR(IF(SUMIFS(tblDaily[DeathsUnder24Hrs],tblDaily[EntryDate],DATE(2026,10,8),tblDaily[WardCode],"CW")=0,"",SUMIFS(tblDaily[DeathsUnder24Hrs],tblDaily[EntryDate],DATE(2026,10,8),tblDaily[WardCode],"CW")),"")</f>
        <v/>
      </c>
      <c r="F365" s="12">
        <f>IFERROR(IF(SUMIFS(tblDaily[TransfersIn],tblDaily[EntryDate],DATE(2026,10,8),tblDaily[WardCode],"CW")=0,"",SUMIFS(tblDaily[TransfersIn],tblDaily[EntryDate],DATE(2026,10,8),tblDaily[WardCode],"CW")),"")</f>
        <v/>
      </c>
      <c r="G365" s="12">
        <f>IFERROR(IF(SUMIFS(tblDaily[TransfersOut],tblDaily[EntryDate],DATE(2026,10,8),tblDaily[WardCode],"CW")=0,"",SUMIFS(tblDaily[TransfersOut],tblDaily[EntryDate],DATE(2026,10,8),tblDaily[WardCode],"CW")),"")</f>
        <v/>
      </c>
      <c r="H365" s="12">
        <f>IFERROR(IF(SUMIFS(tblDaily[Remaining],tblDaily[EntryDate],DATE(2026,10,8),tblDaily[WardCode],"CW")=0,"",SUMIFS(tblDaily[Remaining],tblDaily[EntryDate],DATE(2026,10,8),tblDaily[WardCode],"CW")),"")</f>
        <v/>
      </c>
    </row>
    <row r="366">
      <c r="A366" s="12" t="n">
        <v>9</v>
      </c>
      <c r="B366" s="12">
        <f>IFERROR(IF(SUMIFS(tblDaily[Admissions],tblDaily[EntryDate],DATE(2026,10,9),tblDaily[WardCode],"CW")=0,"",SUMIFS(tblDaily[Admissions],tblDaily[EntryDate],DATE(2026,10,9),tblDaily[WardCode],"CW")),"")</f>
        <v/>
      </c>
      <c r="C366" s="12">
        <f>IFERROR(IF(SUMIFS(tblDaily[Discharges],tblDaily[EntryDate],DATE(2026,10,9),tblDaily[WardCode],"CW")=0,"",SUMIFS(tblDaily[Discharges],tblDaily[EntryDate],DATE(2026,10,9),tblDaily[WardCode],"CW")),"")</f>
        <v/>
      </c>
      <c r="D366" s="12">
        <f>IFERROR(IF(SUMIFS(tblDaily[Deaths],tblDaily[EntryDate],DATE(2026,10,9),tblDaily[WardCode],"CW")=0,"",SUMIFS(tblDaily[Deaths],tblDaily[EntryDate],DATE(2026,10,9),tblDaily[WardCode],"CW")),"")</f>
        <v/>
      </c>
      <c r="E366" s="12">
        <f>IFERROR(IF(SUMIFS(tblDaily[DeathsUnder24Hrs],tblDaily[EntryDate],DATE(2026,10,9),tblDaily[WardCode],"CW")=0,"",SUMIFS(tblDaily[DeathsUnder24Hrs],tblDaily[EntryDate],DATE(2026,10,9),tblDaily[WardCode],"CW")),"")</f>
        <v/>
      </c>
      <c r="F366" s="12">
        <f>IFERROR(IF(SUMIFS(tblDaily[TransfersIn],tblDaily[EntryDate],DATE(2026,10,9),tblDaily[WardCode],"CW")=0,"",SUMIFS(tblDaily[TransfersIn],tblDaily[EntryDate],DATE(2026,10,9),tblDaily[WardCode],"CW")),"")</f>
        <v/>
      </c>
      <c r="G366" s="12">
        <f>IFERROR(IF(SUMIFS(tblDaily[TransfersOut],tblDaily[EntryDate],DATE(2026,10,9),tblDaily[WardCode],"CW")=0,"",SUMIFS(tblDaily[TransfersOut],tblDaily[EntryDate],DATE(2026,10,9),tblDaily[WardCode],"CW")),"")</f>
        <v/>
      </c>
      <c r="H366" s="12">
        <f>IFERROR(IF(SUMIFS(tblDaily[Remaining],tblDaily[EntryDate],DATE(2026,10,9),tblDaily[WardCode],"CW")=0,"",SUMIFS(tblDaily[Remaining],tblDaily[EntryDate],DATE(2026,10,9),tblDaily[WardCode],"CW")),"")</f>
        <v/>
      </c>
    </row>
    <row r="367">
      <c r="A367" s="12" t="n">
        <v>10</v>
      </c>
      <c r="B367" s="12">
        <f>IFERROR(IF(SUMIFS(tblDaily[Admissions],tblDaily[EntryDate],DATE(2026,10,10),tblDaily[WardCode],"CW")=0,"",SUMIFS(tblDaily[Admissions],tblDaily[EntryDate],DATE(2026,10,10),tblDaily[WardCode],"CW")),"")</f>
        <v/>
      </c>
      <c r="C367" s="12">
        <f>IFERROR(IF(SUMIFS(tblDaily[Discharges],tblDaily[EntryDate],DATE(2026,10,10),tblDaily[WardCode],"CW")=0,"",SUMIFS(tblDaily[Discharges],tblDaily[EntryDate],DATE(2026,10,10),tblDaily[WardCode],"CW")),"")</f>
        <v/>
      </c>
      <c r="D367" s="12">
        <f>IFERROR(IF(SUMIFS(tblDaily[Deaths],tblDaily[EntryDate],DATE(2026,10,10),tblDaily[WardCode],"CW")=0,"",SUMIFS(tblDaily[Deaths],tblDaily[EntryDate],DATE(2026,10,10),tblDaily[WardCode],"CW")),"")</f>
        <v/>
      </c>
      <c r="E367" s="12">
        <f>IFERROR(IF(SUMIFS(tblDaily[DeathsUnder24Hrs],tblDaily[EntryDate],DATE(2026,10,10),tblDaily[WardCode],"CW")=0,"",SUMIFS(tblDaily[DeathsUnder24Hrs],tblDaily[EntryDate],DATE(2026,10,10),tblDaily[WardCode],"CW")),"")</f>
        <v/>
      </c>
      <c r="F367" s="12">
        <f>IFERROR(IF(SUMIFS(tblDaily[TransfersIn],tblDaily[EntryDate],DATE(2026,10,10),tblDaily[WardCode],"CW")=0,"",SUMIFS(tblDaily[TransfersIn],tblDaily[EntryDate],DATE(2026,10,10),tblDaily[WardCode],"CW")),"")</f>
        <v/>
      </c>
      <c r="G367" s="12">
        <f>IFERROR(IF(SUMIFS(tblDaily[TransfersOut],tblDaily[EntryDate],DATE(2026,10,10),tblDaily[WardCode],"CW")=0,"",SUMIFS(tblDaily[TransfersOut],tblDaily[EntryDate],DATE(2026,10,10),tblDaily[WardCode],"CW")),"")</f>
        <v/>
      </c>
      <c r="H367" s="12">
        <f>IFERROR(IF(SUMIFS(tblDaily[Remaining],tblDaily[EntryDate],DATE(2026,10,10),tblDaily[WardCode],"CW")=0,"",SUMIFS(tblDaily[Remaining],tblDaily[EntryDate],DATE(2026,10,10),tblDaily[WardCode],"CW")),"")</f>
        <v/>
      </c>
    </row>
    <row r="368">
      <c r="A368" s="12" t="n">
        <v>11</v>
      </c>
      <c r="B368" s="12">
        <f>IFERROR(IF(SUMIFS(tblDaily[Admissions],tblDaily[EntryDate],DATE(2026,10,11),tblDaily[WardCode],"CW")=0,"",SUMIFS(tblDaily[Admissions],tblDaily[EntryDate],DATE(2026,10,11),tblDaily[WardCode],"CW")),"")</f>
        <v/>
      </c>
      <c r="C368" s="12">
        <f>IFERROR(IF(SUMIFS(tblDaily[Discharges],tblDaily[EntryDate],DATE(2026,10,11),tblDaily[WardCode],"CW")=0,"",SUMIFS(tblDaily[Discharges],tblDaily[EntryDate],DATE(2026,10,11),tblDaily[WardCode],"CW")),"")</f>
        <v/>
      </c>
      <c r="D368" s="12">
        <f>IFERROR(IF(SUMIFS(tblDaily[Deaths],tblDaily[EntryDate],DATE(2026,10,11),tblDaily[WardCode],"CW")=0,"",SUMIFS(tblDaily[Deaths],tblDaily[EntryDate],DATE(2026,10,11),tblDaily[WardCode],"CW")),"")</f>
        <v/>
      </c>
      <c r="E368" s="12">
        <f>IFERROR(IF(SUMIFS(tblDaily[DeathsUnder24Hrs],tblDaily[EntryDate],DATE(2026,10,11),tblDaily[WardCode],"CW")=0,"",SUMIFS(tblDaily[DeathsUnder24Hrs],tblDaily[EntryDate],DATE(2026,10,11),tblDaily[WardCode],"CW")),"")</f>
        <v/>
      </c>
      <c r="F368" s="12">
        <f>IFERROR(IF(SUMIFS(tblDaily[TransfersIn],tblDaily[EntryDate],DATE(2026,10,11),tblDaily[WardCode],"CW")=0,"",SUMIFS(tblDaily[TransfersIn],tblDaily[EntryDate],DATE(2026,10,11),tblDaily[WardCode],"CW")),"")</f>
        <v/>
      </c>
      <c r="G368" s="12">
        <f>IFERROR(IF(SUMIFS(tblDaily[TransfersOut],tblDaily[EntryDate],DATE(2026,10,11),tblDaily[WardCode],"CW")=0,"",SUMIFS(tblDaily[TransfersOut],tblDaily[EntryDate],DATE(2026,10,11),tblDaily[WardCode],"CW")),"")</f>
        <v/>
      </c>
      <c r="H368" s="12">
        <f>IFERROR(IF(SUMIFS(tblDaily[Remaining],tblDaily[EntryDate],DATE(2026,10,11),tblDaily[WardCode],"CW")=0,"",SUMIFS(tblDaily[Remaining],tblDaily[EntryDate],DATE(2026,10,11),tblDaily[WardCode],"CW")),"")</f>
        <v/>
      </c>
    </row>
    <row r="369">
      <c r="A369" s="12" t="n">
        <v>12</v>
      </c>
      <c r="B369" s="12">
        <f>IFERROR(IF(SUMIFS(tblDaily[Admissions],tblDaily[EntryDate],DATE(2026,10,12),tblDaily[WardCode],"CW")=0,"",SUMIFS(tblDaily[Admissions],tblDaily[EntryDate],DATE(2026,10,12),tblDaily[WardCode],"CW")),"")</f>
        <v/>
      </c>
      <c r="C369" s="12">
        <f>IFERROR(IF(SUMIFS(tblDaily[Discharges],tblDaily[EntryDate],DATE(2026,10,12),tblDaily[WardCode],"CW")=0,"",SUMIFS(tblDaily[Discharges],tblDaily[EntryDate],DATE(2026,10,12),tblDaily[WardCode],"CW")),"")</f>
        <v/>
      </c>
      <c r="D369" s="12">
        <f>IFERROR(IF(SUMIFS(tblDaily[Deaths],tblDaily[EntryDate],DATE(2026,10,12),tblDaily[WardCode],"CW")=0,"",SUMIFS(tblDaily[Deaths],tblDaily[EntryDate],DATE(2026,10,12),tblDaily[WardCode],"CW")),"")</f>
        <v/>
      </c>
      <c r="E369" s="12">
        <f>IFERROR(IF(SUMIFS(tblDaily[DeathsUnder24Hrs],tblDaily[EntryDate],DATE(2026,10,12),tblDaily[WardCode],"CW")=0,"",SUMIFS(tblDaily[DeathsUnder24Hrs],tblDaily[EntryDate],DATE(2026,10,12),tblDaily[WardCode],"CW")),"")</f>
        <v/>
      </c>
      <c r="F369" s="12">
        <f>IFERROR(IF(SUMIFS(tblDaily[TransfersIn],tblDaily[EntryDate],DATE(2026,10,12),tblDaily[WardCode],"CW")=0,"",SUMIFS(tblDaily[TransfersIn],tblDaily[EntryDate],DATE(2026,10,12),tblDaily[WardCode],"CW")),"")</f>
        <v/>
      </c>
      <c r="G369" s="12">
        <f>IFERROR(IF(SUMIFS(tblDaily[TransfersOut],tblDaily[EntryDate],DATE(2026,10,12),tblDaily[WardCode],"CW")=0,"",SUMIFS(tblDaily[TransfersOut],tblDaily[EntryDate],DATE(2026,10,12),tblDaily[WardCode],"CW")),"")</f>
        <v/>
      </c>
      <c r="H369" s="12">
        <f>IFERROR(IF(SUMIFS(tblDaily[Remaining],tblDaily[EntryDate],DATE(2026,10,12),tblDaily[WardCode],"CW")=0,"",SUMIFS(tblDaily[Remaining],tblDaily[EntryDate],DATE(2026,10,12),tblDaily[WardCode],"CW")),"")</f>
        <v/>
      </c>
    </row>
    <row r="370">
      <c r="A370" s="12" t="n">
        <v>13</v>
      </c>
      <c r="B370" s="12">
        <f>IFERROR(IF(SUMIFS(tblDaily[Admissions],tblDaily[EntryDate],DATE(2026,10,13),tblDaily[WardCode],"CW")=0,"",SUMIFS(tblDaily[Admissions],tblDaily[EntryDate],DATE(2026,10,13),tblDaily[WardCode],"CW")),"")</f>
        <v/>
      </c>
      <c r="C370" s="12">
        <f>IFERROR(IF(SUMIFS(tblDaily[Discharges],tblDaily[EntryDate],DATE(2026,10,13),tblDaily[WardCode],"CW")=0,"",SUMIFS(tblDaily[Discharges],tblDaily[EntryDate],DATE(2026,10,13),tblDaily[WardCode],"CW")),"")</f>
        <v/>
      </c>
      <c r="D370" s="12">
        <f>IFERROR(IF(SUMIFS(tblDaily[Deaths],tblDaily[EntryDate],DATE(2026,10,13),tblDaily[WardCode],"CW")=0,"",SUMIFS(tblDaily[Deaths],tblDaily[EntryDate],DATE(2026,10,13),tblDaily[WardCode],"CW")),"")</f>
        <v/>
      </c>
      <c r="E370" s="12">
        <f>IFERROR(IF(SUMIFS(tblDaily[DeathsUnder24Hrs],tblDaily[EntryDate],DATE(2026,10,13),tblDaily[WardCode],"CW")=0,"",SUMIFS(tblDaily[DeathsUnder24Hrs],tblDaily[EntryDate],DATE(2026,10,13),tblDaily[WardCode],"CW")),"")</f>
        <v/>
      </c>
      <c r="F370" s="12">
        <f>IFERROR(IF(SUMIFS(tblDaily[TransfersIn],tblDaily[EntryDate],DATE(2026,10,13),tblDaily[WardCode],"CW")=0,"",SUMIFS(tblDaily[TransfersIn],tblDaily[EntryDate],DATE(2026,10,13),tblDaily[WardCode],"CW")),"")</f>
        <v/>
      </c>
      <c r="G370" s="12">
        <f>IFERROR(IF(SUMIFS(tblDaily[TransfersOut],tblDaily[EntryDate],DATE(2026,10,13),tblDaily[WardCode],"CW")=0,"",SUMIFS(tblDaily[TransfersOut],tblDaily[EntryDate],DATE(2026,10,13),tblDaily[WardCode],"CW")),"")</f>
        <v/>
      </c>
      <c r="H370" s="12">
        <f>IFERROR(IF(SUMIFS(tblDaily[Remaining],tblDaily[EntryDate],DATE(2026,10,13),tblDaily[WardCode],"CW")=0,"",SUMIFS(tblDaily[Remaining],tblDaily[EntryDate],DATE(2026,10,13),tblDaily[WardCode],"CW")),"")</f>
        <v/>
      </c>
    </row>
    <row r="371">
      <c r="A371" s="12" t="n">
        <v>14</v>
      </c>
      <c r="B371" s="12">
        <f>IFERROR(IF(SUMIFS(tblDaily[Admissions],tblDaily[EntryDate],DATE(2026,10,14),tblDaily[WardCode],"CW")=0,"",SUMIFS(tblDaily[Admissions],tblDaily[EntryDate],DATE(2026,10,14),tblDaily[WardCode],"CW")),"")</f>
        <v/>
      </c>
      <c r="C371" s="12">
        <f>IFERROR(IF(SUMIFS(tblDaily[Discharges],tblDaily[EntryDate],DATE(2026,10,14),tblDaily[WardCode],"CW")=0,"",SUMIFS(tblDaily[Discharges],tblDaily[EntryDate],DATE(2026,10,14),tblDaily[WardCode],"CW")),"")</f>
        <v/>
      </c>
      <c r="D371" s="12">
        <f>IFERROR(IF(SUMIFS(tblDaily[Deaths],tblDaily[EntryDate],DATE(2026,10,14),tblDaily[WardCode],"CW")=0,"",SUMIFS(tblDaily[Deaths],tblDaily[EntryDate],DATE(2026,10,14),tblDaily[WardCode],"CW")),"")</f>
        <v/>
      </c>
      <c r="E371" s="12">
        <f>IFERROR(IF(SUMIFS(tblDaily[DeathsUnder24Hrs],tblDaily[EntryDate],DATE(2026,10,14),tblDaily[WardCode],"CW")=0,"",SUMIFS(tblDaily[DeathsUnder24Hrs],tblDaily[EntryDate],DATE(2026,10,14),tblDaily[WardCode],"CW")),"")</f>
        <v/>
      </c>
      <c r="F371" s="12">
        <f>IFERROR(IF(SUMIFS(tblDaily[TransfersIn],tblDaily[EntryDate],DATE(2026,10,14),tblDaily[WardCode],"CW")=0,"",SUMIFS(tblDaily[TransfersIn],tblDaily[EntryDate],DATE(2026,10,14),tblDaily[WardCode],"CW")),"")</f>
        <v/>
      </c>
      <c r="G371" s="12">
        <f>IFERROR(IF(SUMIFS(tblDaily[TransfersOut],tblDaily[EntryDate],DATE(2026,10,14),tblDaily[WardCode],"CW")=0,"",SUMIFS(tblDaily[TransfersOut],tblDaily[EntryDate],DATE(2026,10,14),tblDaily[WardCode],"CW")),"")</f>
        <v/>
      </c>
      <c r="H371" s="12">
        <f>IFERROR(IF(SUMIFS(tblDaily[Remaining],tblDaily[EntryDate],DATE(2026,10,14),tblDaily[WardCode],"CW")=0,"",SUMIFS(tblDaily[Remaining],tblDaily[EntryDate],DATE(2026,10,14),tblDaily[WardCode],"CW")),"")</f>
        <v/>
      </c>
    </row>
    <row r="372">
      <c r="A372" s="12" t="n">
        <v>15</v>
      </c>
      <c r="B372" s="12">
        <f>IFERROR(IF(SUMIFS(tblDaily[Admissions],tblDaily[EntryDate],DATE(2026,10,15),tblDaily[WardCode],"CW")=0,"",SUMIFS(tblDaily[Admissions],tblDaily[EntryDate],DATE(2026,10,15),tblDaily[WardCode],"CW")),"")</f>
        <v/>
      </c>
      <c r="C372" s="12">
        <f>IFERROR(IF(SUMIFS(tblDaily[Discharges],tblDaily[EntryDate],DATE(2026,10,15),tblDaily[WardCode],"CW")=0,"",SUMIFS(tblDaily[Discharges],tblDaily[EntryDate],DATE(2026,10,15),tblDaily[WardCode],"CW")),"")</f>
        <v/>
      </c>
      <c r="D372" s="12">
        <f>IFERROR(IF(SUMIFS(tblDaily[Deaths],tblDaily[EntryDate],DATE(2026,10,15),tblDaily[WardCode],"CW")=0,"",SUMIFS(tblDaily[Deaths],tblDaily[EntryDate],DATE(2026,10,15),tblDaily[WardCode],"CW")),"")</f>
        <v/>
      </c>
      <c r="E372" s="12">
        <f>IFERROR(IF(SUMIFS(tblDaily[DeathsUnder24Hrs],tblDaily[EntryDate],DATE(2026,10,15),tblDaily[WardCode],"CW")=0,"",SUMIFS(tblDaily[DeathsUnder24Hrs],tblDaily[EntryDate],DATE(2026,10,15),tblDaily[WardCode],"CW")),"")</f>
        <v/>
      </c>
      <c r="F372" s="12">
        <f>IFERROR(IF(SUMIFS(tblDaily[TransfersIn],tblDaily[EntryDate],DATE(2026,10,15),tblDaily[WardCode],"CW")=0,"",SUMIFS(tblDaily[TransfersIn],tblDaily[EntryDate],DATE(2026,10,15),tblDaily[WardCode],"CW")),"")</f>
        <v/>
      </c>
      <c r="G372" s="12">
        <f>IFERROR(IF(SUMIFS(tblDaily[TransfersOut],tblDaily[EntryDate],DATE(2026,10,15),tblDaily[WardCode],"CW")=0,"",SUMIFS(tblDaily[TransfersOut],tblDaily[EntryDate],DATE(2026,10,15),tblDaily[WardCode],"CW")),"")</f>
        <v/>
      </c>
      <c r="H372" s="12">
        <f>IFERROR(IF(SUMIFS(tblDaily[Remaining],tblDaily[EntryDate],DATE(2026,10,15),tblDaily[WardCode],"CW")=0,"",SUMIFS(tblDaily[Remaining],tblDaily[EntryDate],DATE(2026,10,15),tblDaily[WardCode],"CW")),"")</f>
        <v/>
      </c>
    </row>
    <row r="373">
      <c r="A373" s="12" t="n">
        <v>16</v>
      </c>
      <c r="B373" s="12">
        <f>IFERROR(IF(SUMIFS(tblDaily[Admissions],tblDaily[EntryDate],DATE(2026,10,16),tblDaily[WardCode],"CW")=0,"",SUMIFS(tblDaily[Admissions],tblDaily[EntryDate],DATE(2026,10,16),tblDaily[WardCode],"CW")),"")</f>
        <v/>
      </c>
      <c r="C373" s="12">
        <f>IFERROR(IF(SUMIFS(tblDaily[Discharges],tblDaily[EntryDate],DATE(2026,10,16),tblDaily[WardCode],"CW")=0,"",SUMIFS(tblDaily[Discharges],tblDaily[EntryDate],DATE(2026,10,16),tblDaily[WardCode],"CW")),"")</f>
        <v/>
      </c>
      <c r="D373" s="12">
        <f>IFERROR(IF(SUMIFS(tblDaily[Deaths],tblDaily[EntryDate],DATE(2026,10,16),tblDaily[WardCode],"CW")=0,"",SUMIFS(tblDaily[Deaths],tblDaily[EntryDate],DATE(2026,10,16),tblDaily[WardCode],"CW")),"")</f>
        <v/>
      </c>
      <c r="E373" s="12">
        <f>IFERROR(IF(SUMIFS(tblDaily[DeathsUnder24Hrs],tblDaily[EntryDate],DATE(2026,10,16),tblDaily[WardCode],"CW")=0,"",SUMIFS(tblDaily[DeathsUnder24Hrs],tblDaily[EntryDate],DATE(2026,10,16),tblDaily[WardCode],"CW")),"")</f>
        <v/>
      </c>
      <c r="F373" s="12">
        <f>IFERROR(IF(SUMIFS(tblDaily[TransfersIn],tblDaily[EntryDate],DATE(2026,10,16),tblDaily[WardCode],"CW")=0,"",SUMIFS(tblDaily[TransfersIn],tblDaily[EntryDate],DATE(2026,10,16),tblDaily[WardCode],"CW")),"")</f>
        <v/>
      </c>
      <c r="G373" s="12">
        <f>IFERROR(IF(SUMIFS(tblDaily[TransfersOut],tblDaily[EntryDate],DATE(2026,10,16),tblDaily[WardCode],"CW")=0,"",SUMIFS(tblDaily[TransfersOut],tblDaily[EntryDate],DATE(2026,10,16),tblDaily[WardCode],"CW")),"")</f>
        <v/>
      </c>
      <c r="H373" s="12">
        <f>IFERROR(IF(SUMIFS(tblDaily[Remaining],tblDaily[EntryDate],DATE(2026,10,16),tblDaily[WardCode],"CW")=0,"",SUMIFS(tblDaily[Remaining],tblDaily[EntryDate],DATE(2026,10,16),tblDaily[WardCode],"CW")),"")</f>
        <v/>
      </c>
    </row>
    <row r="374">
      <c r="A374" s="12" t="n">
        <v>17</v>
      </c>
      <c r="B374" s="12">
        <f>IFERROR(IF(SUMIFS(tblDaily[Admissions],tblDaily[EntryDate],DATE(2026,10,17),tblDaily[WardCode],"CW")=0,"",SUMIFS(tblDaily[Admissions],tblDaily[EntryDate],DATE(2026,10,17),tblDaily[WardCode],"CW")),"")</f>
        <v/>
      </c>
      <c r="C374" s="12">
        <f>IFERROR(IF(SUMIFS(tblDaily[Discharges],tblDaily[EntryDate],DATE(2026,10,17),tblDaily[WardCode],"CW")=0,"",SUMIFS(tblDaily[Discharges],tblDaily[EntryDate],DATE(2026,10,17),tblDaily[WardCode],"CW")),"")</f>
        <v/>
      </c>
      <c r="D374" s="12">
        <f>IFERROR(IF(SUMIFS(tblDaily[Deaths],tblDaily[EntryDate],DATE(2026,10,17),tblDaily[WardCode],"CW")=0,"",SUMIFS(tblDaily[Deaths],tblDaily[EntryDate],DATE(2026,10,17),tblDaily[WardCode],"CW")),"")</f>
        <v/>
      </c>
      <c r="E374" s="12">
        <f>IFERROR(IF(SUMIFS(tblDaily[DeathsUnder24Hrs],tblDaily[EntryDate],DATE(2026,10,17),tblDaily[WardCode],"CW")=0,"",SUMIFS(tblDaily[DeathsUnder24Hrs],tblDaily[EntryDate],DATE(2026,10,17),tblDaily[WardCode],"CW")),"")</f>
        <v/>
      </c>
      <c r="F374" s="12">
        <f>IFERROR(IF(SUMIFS(tblDaily[TransfersIn],tblDaily[EntryDate],DATE(2026,10,17),tblDaily[WardCode],"CW")=0,"",SUMIFS(tblDaily[TransfersIn],tblDaily[EntryDate],DATE(2026,10,17),tblDaily[WardCode],"CW")),"")</f>
        <v/>
      </c>
      <c r="G374" s="12">
        <f>IFERROR(IF(SUMIFS(tblDaily[TransfersOut],tblDaily[EntryDate],DATE(2026,10,17),tblDaily[WardCode],"CW")=0,"",SUMIFS(tblDaily[TransfersOut],tblDaily[EntryDate],DATE(2026,10,17),tblDaily[WardCode],"CW")),"")</f>
        <v/>
      </c>
      <c r="H374" s="12">
        <f>IFERROR(IF(SUMIFS(tblDaily[Remaining],tblDaily[EntryDate],DATE(2026,10,17),tblDaily[WardCode],"CW")=0,"",SUMIFS(tblDaily[Remaining],tblDaily[EntryDate],DATE(2026,10,17),tblDaily[WardCode],"CW")),"")</f>
        <v/>
      </c>
    </row>
    <row r="375">
      <c r="A375" s="12" t="n">
        <v>18</v>
      </c>
      <c r="B375" s="12">
        <f>IFERROR(IF(SUMIFS(tblDaily[Admissions],tblDaily[EntryDate],DATE(2026,10,18),tblDaily[WardCode],"CW")=0,"",SUMIFS(tblDaily[Admissions],tblDaily[EntryDate],DATE(2026,10,18),tblDaily[WardCode],"CW")),"")</f>
        <v/>
      </c>
      <c r="C375" s="12">
        <f>IFERROR(IF(SUMIFS(tblDaily[Discharges],tblDaily[EntryDate],DATE(2026,10,18),tblDaily[WardCode],"CW")=0,"",SUMIFS(tblDaily[Discharges],tblDaily[EntryDate],DATE(2026,10,18),tblDaily[WardCode],"CW")),"")</f>
        <v/>
      </c>
      <c r="D375" s="12">
        <f>IFERROR(IF(SUMIFS(tblDaily[Deaths],tblDaily[EntryDate],DATE(2026,10,18),tblDaily[WardCode],"CW")=0,"",SUMIFS(tblDaily[Deaths],tblDaily[EntryDate],DATE(2026,10,18),tblDaily[WardCode],"CW")),"")</f>
        <v/>
      </c>
      <c r="E375" s="12">
        <f>IFERROR(IF(SUMIFS(tblDaily[DeathsUnder24Hrs],tblDaily[EntryDate],DATE(2026,10,18),tblDaily[WardCode],"CW")=0,"",SUMIFS(tblDaily[DeathsUnder24Hrs],tblDaily[EntryDate],DATE(2026,10,18),tblDaily[WardCode],"CW")),"")</f>
        <v/>
      </c>
      <c r="F375" s="12">
        <f>IFERROR(IF(SUMIFS(tblDaily[TransfersIn],tblDaily[EntryDate],DATE(2026,10,18),tblDaily[WardCode],"CW")=0,"",SUMIFS(tblDaily[TransfersIn],tblDaily[EntryDate],DATE(2026,10,18),tblDaily[WardCode],"CW")),"")</f>
        <v/>
      </c>
      <c r="G375" s="12">
        <f>IFERROR(IF(SUMIFS(tblDaily[TransfersOut],tblDaily[EntryDate],DATE(2026,10,18),tblDaily[WardCode],"CW")=0,"",SUMIFS(tblDaily[TransfersOut],tblDaily[EntryDate],DATE(2026,10,18),tblDaily[WardCode],"CW")),"")</f>
        <v/>
      </c>
      <c r="H375" s="12">
        <f>IFERROR(IF(SUMIFS(tblDaily[Remaining],tblDaily[EntryDate],DATE(2026,10,18),tblDaily[WardCode],"CW")=0,"",SUMIFS(tblDaily[Remaining],tblDaily[EntryDate],DATE(2026,10,18),tblDaily[WardCode],"CW")),"")</f>
        <v/>
      </c>
    </row>
    <row r="376">
      <c r="A376" s="12" t="n">
        <v>19</v>
      </c>
      <c r="B376" s="12">
        <f>IFERROR(IF(SUMIFS(tblDaily[Admissions],tblDaily[EntryDate],DATE(2026,10,19),tblDaily[WardCode],"CW")=0,"",SUMIFS(tblDaily[Admissions],tblDaily[EntryDate],DATE(2026,10,19),tblDaily[WardCode],"CW")),"")</f>
        <v/>
      </c>
      <c r="C376" s="12">
        <f>IFERROR(IF(SUMIFS(tblDaily[Discharges],tblDaily[EntryDate],DATE(2026,10,19),tblDaily[WardCode],"CW")=0,"",SUMIFS(tblDaily[Discharges],tblDaily[EntryDate],DATE(2026,10,19),tblDaily[WardCode],"CW")),"")</f>
        <v/>
      </c>
      <c r="D376" s="12">
        <f>IFERROR(IF(SUMIFS(tblDaily[Deaths],tblDaily[EntryDate],DATE(2026,10,19),tblDaily[WardCode],"CW")=0,"",SUMIFS(tblDaily[Deaths],tblDaily[EntryDate],DATE(2026,10,19),tblDaily[WardCode],"CW")),"")</f>
        <v/>
      </c>
      <c r="E376" s="12">
        <f>IFERROR(IF(SUMIFS(tblDaily[DeathsUnder24Hrs],tblDaily[EntryDate],DATE(2026,10,19),tblDaily[WardCode],"CW")=0,"",SUMIFS(tblDaily[DeathsUnder24Hrs],tblDaily[EntryDate],DATE(2026,10,19),tblDaily[WardCode],"CW")),"")</f>
        <v/>
      </c>
      <c r="F376" s="12">
        <f>IFERROR(IF(SUMIFS(tblDaily[TransfersIn],tblDaily[EntryDate],DATE(2026,10,19),tblDaily[WardCode],"CW")=0,"",SUMIFS(tblDaily[TransfersIn],tblDaily[EntryDate],DATE(2026,10,19),tblDaily[WardCode],"CW")),"")</f>
        <v/>
      </c>
      <c r="G376" s="12">
        <f>IFERROR(IF(SUMIFS(tblDaily[TransfersOut],tblDaily[EntryDate],DATE(2026,10,19),tblDaily[WardCode],"CW")=0,"",SUMIFS(tblDaily[TransfersOut],tblDaily[EntryDate],DATE(2026,10,19),tblDaily[WardCode],"CW")),"")</f>
        <v/>
      </c>
      <c r="H376" s="12">
        <f>IFERROR(IF(SUMIFS(tblDaily[Remaining],tblDaily[EntryDate],DATE(2026,10,19),tblDaily[WardCode],"CW")=0,"",SUMIFS(tblDaily[Remaining],tblDaily[EntryDate],DATE(2026,10,19),tblDaily[WardCode],"CW")),"")</f>
        <v/>
      </c>
    </row>
    <row r="377">
      <c r="A377" s="12" t="n">
        <v>20</v>
      </c>
      <c r="B377" s="12">
        <f>IFERROR(IF(SUMIFS(tblDaily[Admissions],tblDaily[EntryDate],DATE(2026,10,20),tblDaily[WardCode],"CW")=0,"",SUMIFS(tblDaily[Admissions],tblDaily[EntryDate],DATE(2026,10,20),tblDaily[WardCode],"CW")),"")</f>
        <v/>
      </c>
      <c r="C377" s="12">
        <f>IFERROR(IF(SUMIFS(tblDaily[Discharges],tblDaily[EntryDate],DATE(2026,10,20),tblDaily[WardCode],"CW")=0,"",SUMIFS(tblDaily[Discharges],tblDaily[EntryDate],DATE(2026,10,20),tblDaily[WardCode],"CW")),"")</f>
        <v/>
      </c>
      <c r="D377" s="12">
        <f>IFERROR(IF(SUMIFS(tblDaily[Deaths],tblDaily[EntryDate],DATE(2026,10,20),tblDaily[WardCode],"CW")=0,"",SUMIFS(tblDaily[Deaths],tblDaily[EntryDate],DATE(2026,10,20),tblDaily[WardCode],"CW")),"")</f>
        <v/>
      </c>
      <c r="E377" s="12">
        <f>IFERROR(IF(SUMIFS(tblDaily[DeathsUnder24Hrs],tblDaily[EntryDate],DATE(2026,10,20),tblDaily[WardCode],"CW")=0,"",SUMIFS(tblDaily[DeathsUnder24Hrs],tblDaily[EntryDate],DATE(2026,10,20),tblDaily[WardCode],"CW")),"")</f>
        <v/>
      </c>
      <c r="F377" s="12">
        <f>IFERROR(IF(SUMIFS(tblDaily[TransfersIn],tblDaily[EntryDate],DATE(2026,10,20),tblDaily[WardCode],"CW")=0,"",SUMIFS(tblDaily[TransfersIn],tblDaily[EntryDate],DATE(2026,10,20),tblDaily[WardCode],"CW")),"")</f>
        <v/>
      </c>
      <c r="G377" s="12">
        <f>IFERROR(IF(SUMIFS(tblDaily[TransfersOut],tblDaily[EntryDate],DATE(2026,10,20),tblDaily[WardCode],"CW")=0,"",SUMIFS(tblDaily[TransfersOut],tblDaily[EntryDate],DATE(2026,10,20),tblDaily[WardCode],"CW")),"")</f>
        <v/>
      </c>
      <c r="H377" s="12">
        <f>IFERROR(IF(SUMIFS(tblDaily[Remaining],tblDaily[EntryDate],DATE(2026,10,20),tblDaily[WardCode],"CW")=0,"",SUMIFS(tblDaily[Remaining],tblDaily[EntryDate],DATE(2026,10,20),tblDaily[WardCode],"CW")),"")</f>
        <v/>
      </c>
    </row>
    <row r="378">
      <c r="A378" s="12" t="n">
        <v>21</v>
      </c>
      <c r="B378" s="12">
        <f>IFERROR(IF(SUMIFS(tblDaily[Admissions],tblDaily[EntryDate],DATE(2026,10,21),tblDaily[WardCode],"CW")=0,"",SUMIFS(tblDaily[Admissions],tblDaily[EntryDate],DATE(2026,10,21),tblDaily[WardCode],"CW")),"")</f>
        <v/>
      </c>
      <c r="C378" s="12">
        <f>IFERROR(IF(SUMIFS(tblDaily[Discharges],tblDaily[EntryDate],DATE(2026,10,21),tblDaily[WardCode],"CW")=0,"",SUMIFS(tblDaily[Discharges],tblDaily[EntryDate],DATE(2026,10,21),tblDaily[WardCode],"CW")),"")</f>
        <v/>
      </c>
      <c r="D378" s="12">
        <f>IFERROR(IF(SUMIFS(tblDaily[Deaths],tblDaily[EntryDate],DATE(2026,10,21),tblDaily[WardCode],"CW")=0,"",SUMIFS(tblDaily[Deaths],tblDaily[EntryDate],DATE(2026,10,21),tblDaily[WardCode],"CW")),"")</f>
        <v/>
      </c>
      <c r="E378" s="12">
        <f>IFERROR(IF(SUMIFS(tblDaily[DeathsUnder24Hrs],tblDaily[EntryDate],DATE(2026,10,21),tblDaily[WardCode],"CW")=0,"",SUMIFS(tblDaily[DeathsUnder24Hrs],tblDaily[EntryDate],DATE(2026,10,21),tblDaily[WardCode],"CW")),"")</f>
        <v/>
      </c>
      <c r="F378" s="12">
        <f>IFERROR(IF(SUMIFS(tblDaily[TransfersIn],tblDaily[EntryDate],DATE(2026,10,21),tblDaily[WardCode],"CW")=0,"",SUMIFS(tblDaily[TransfersIn],tblDaily[EntryDate],DATE(2026,10,21),tblDaily[WardCode],"CW")),"")</f>
        <v/>
      </c>
      <c r="G378" s="12">
        <f>IFERROR(IF(SUMIFS(tblDaily[TransfersOut],tblDaily[EntryDate],DATE(2026,10,21),tblDaily[WardCode],"CW")=0,"",SUMIFS(tblDaily[TransfersOut],tblDaily[EntryDate],DATE(2026,10,21),tblDaily[WardCode],"CW")),"")</f>
        <v/>
      </c>
      <c r="H378" s="12">
        <f>IFERROR(IF(SUMIFS(tblDaily[Remaining],tblDaily[EntryDate],DATE(2026,10,21),tblDaily[WardCode],"CW")=0,"",SUMIFS(tblDaily[Remaining],tblDaily[EntryDate],DATE(2026,10,21),tblDaily[WardCode],"CW")),"")</f>
        <v/>
      </c>
    </row>
    <row r="379">
      <c r="A379" s="12" t="n">
        <v>22</v>
      </c>
      <c r="B379" s="12">
        <f>IFERROR(IF(SUMIFS(tblDaily[Admissions],tblDaily[EntryDate],DATE(2026,10,22),tblDaily[WardCode],"CW")=0,"",SUMIFS(tblDaily[Admissions],tblDaily[EntryDate],DATE(2026,10,22),tblDaily[WardCode],"CW")),"")</f>
        <v/>
      </c>
      <c r="C379" s="12">
        <f>IFERROR(IF(SUMIFS(tblDaily[Discharges],tblDaily[EntryDate],DATE(2026,10,22),tblDaily[WardCode],"CW")=0,"",SUMIFS(tblDaily[Discharges],tblDaily[EntryDate],DATE(2026,10,22),tblDaily[WardCode],"CW")),"")</f>
        <v/>
      </c>
      <c r="D379" s="12">
        <f>IFERROR(IF(SUMIFS(tblDaily[Deaths],tblDaily[EntryDate],DATE(2026,10,22),tblDaily[WardCode],"CW")=0,"",SUMIFS(tblDaily[Deaths],tblDaily[EntryDate],DATE(2026,10,22),tblDaily[WardCode],"CW")),"")</f>
        <v/>
      </c>
      <c r="E379" s="12">
        <f>IFERROR(IF(SUMIFS(tblDaily[DeathsUnder24Hrs],tblDaily[EntryDate],DATE(2026,10,22),tblDaily[WardCode],"CW")=0,"",SUMIFS(tblDaily[DeathsUnder24Hrs],tblDaily[EntryDate],DATE(2026,10,22),tblDaily[WardCode],"CW")),"")</f>
        <v/>
      </c>
      <c r="F379" s="12">
        <f>IFERROR(IF(SUMIFS(tblDaily[TransfersIn],tblDaily[EntryDate],DATE(2026,10,22),tblDaily[WardCode],"CW")=0,"",SUMIFS(tblDaily[TransfersIn],tblDaily[EntryDate],DATE(2026,10,22),tblDaily[WardCode],"CW")),"")</f>
        <v/>
      </c>
      <c r="G379" s="12">
        <f>IFERROR(IF(SUMIFS(tblDaily[TransfersOut],tblDaily[EntryDate],DATE(2026,10,22),tblDaily[WardCode],"CW")=0,"",SUMIFS(tblDaily[TransfersOut],tblDaily[EntryDate],DATE(2026,10,22),tblDaily[WardCode],"CW")),"")</f>
        <v/>
      </c>
      <c r="H379" s="12">
        <f>IFERROR(IF(SUMIFS(tblDaily[Remaining],tblDaily[EntryDate],DATE(2026,10,22),tblDaily[WardCode],"CW")=0,"",SUMIFS(tblDaily[Remaining],tblDaily[EntryDate],DATE(2026,10,22),tblDaily[WardCode],"CW")),"")</f>
        <v/>
      </c>
    </row>
    <row r="380">
      <c r="A380" s="12" t="n">
        <v>23</v>
      </c>
      <c r="B380" s="12">
        <f>IFERROR(IF(SUMIFS(tblDaily[Admissions],tblDaily[EntryDate],DATE(2026,10,23),tblDaily[WardCode],"CW")=0,"",SUMIFS(tblDaily[Admissions],tblDaily[EntryDate],DATE(2026,10,23),tblDaily[WardCode],"CW")),"")</f>
        <v/>
      </c>
      <c r="C380" s="12">
        <f>IFERROR(IF(SUMIFS(tblDaily[Discharges],tblDaily[EntryDate],DATE(2026,10,23),tblDaily[WardCode],"CW")=0,"",SUMIFS(tblDaily[Discharges],tblDaily[EntryDate],DATE(2026,10,23),tblDaily[WardCode],"CW")),"")</f>
        <v/>
      </c>
      <c r="D380" s="12">
        <f>IFERROR(IF(SUMIFS(tblDaily[Deaths],tblDaily[EntryDate],DATE(2026,10,23),tblDaily[WardCode],"CW")=0,"",SUMIFS(tblDaily[Deaths],tblDaily[EntryDate],DATE(2026,10,23),tblDaily[WardCode],"CW")),"")</f>
        <v/>
      </c>
      <c r="E380" s="12">
        <f>IFERROR(IF(SUMIFS(tblDaily[DeathsUnder24Hrs],tblDaily[EntryDate],DATE(2026,10,23),tblDaily[WardCode],"CW")=0,"",SUMIFS(tblDaily[DeathsUnder24Hrs],tblDaily[EntryDate],DATE(2026,10,23),tblDaily[WardCode],"CW")),"")</f>
        <v/>
      </c>
      <c r="F380" s="12">
        <f>IFERROR(IF(SUMIFS(tblDaily[TransfersIn],tblDaily[EntryDate],DATE(2026,10,23),tblDaily[WardCode],"CW")=0,"",SUMIFS(tblDaily[TransfersIn],tblDaily[EntryDate],DATE(2026,10,23),tblDaily[WardCode],"CW")),"")</f>
        <v/>
      </c>
      <c r="G380" s="12">
        <f>IFERROR(IF(SUMIFS(tblDaily[TransfersOut],tblDaily[EntryDate],DATE(2026,10,23),tblDaily[WardCode],"CW")=0,"",SUMIFS(tblDaily[TransfersOut],tblDaily[EntryDate],DATE(2026,10,23),tblDaily[WardCode],"CW")),"")</f>
        <v/>
      </c>
      <c r="H380" s="12">
        <f>IFERROR(IF(SUMIFS(tblDaily[Remaining],tblDaily[EntryDate],DATE(2026,10,23),tblDaily[WardCode],"CW")=0,"",SUMIFS(tblDaily[Remaining],tblDaily[EntryDate],DATE(2026,10,23),tblDaily[WardCode],"CW")),"")</f>
        <v/>
      </c>
    </row>
    <row r="381">
      <c r="A381" s="12" t="n">
        <v>24</v>
      </c>
      <c r="B381" s="12">
        <f>IFERROR(IF(SUMIFS(tblDaily[Admissions],tblDaily[EntryDate],DATE(2026,10,24),tblDaily[WardCode],"CW")=0,"",SUMIFS(tblDaily[Admissions],tblDaily[EntryDate],DATE(2026,10,24),tblDaily[WardCode],"CW")),"")</f>
        <v/>
      </c>
      <c r="C381" s="12">
        <f>IFERROR(IF(SUMIFS(tblDaily[Discharges],tblDaily[EntryDate],DATE(2026,10,24),tblDaily[WardCode],"CW")=0,"",SUMIFS(tblDaily[Discharges],tblDaily[EntryDate],DATE(2026,10,24),tblDaily[WardCode],"CW")),"")</f>
        <v/>
      </c>
      <c r="D381" s="12">
        <f>IFERROR(IF(SUMIFS(tblDaily[Deaths],tblDaily[EntryDate],DATE(2026,10,24),tblDaily[WardCode],"CW")=0,"",SUMIFS(tblDaily[Deaths],tblDaily[EntryDate],DATE(2026,10,24),tblDaily[WardCode],"CW")),"")</f>
        <v/>
      </c>
      <c r="E381" s="12">
        <f>IFERROR(IF(SUMIFS(tblDaily[DeathsUnder24Hrs],tblDaily[EntryDate],DATE(2026,10,24),tblDaily[WardCode],"CW")=0,"",SUMIFS(tblDaily[DeathsUnder24Hrs],tblDaily[EntryDate],DATE(2026,10,24),tblDaily[WardCode],"CW")),"")</f>
        <v/>
      </c>
      <c r="F381" s="12">
        <f>IFERROR(IF(SUMIFS(tblDaily[TransfersIn],tblDaily[EntryDate],DATE(2026,10,24),tblDaily[WardCode],"CW")=0,"",SUMIFS(tblDaily[TransfersIn],tblDaily[EntryDate],DATE(2026,10,24),tblDaily[WardCode],"CW")),"")</f>
        <v/>
      </c>
      <c r="G381" s="12">
        <f>IFERROR(IF(SUMIFS(tblDaily[TransfersOut],tblDaily[EntryDate],DATE(2026,10,24),tblDaily[WardCode],"CW")=0,"",SUMIFS(tblDaily[TransfersOut],tblDaily[EntryDate],DATE(2026,10,24),tblDaily[WardCode],"CW")),"")</f>
        <v/>
      </c>
      <c r="H381" s="12">
        <f>IFERROR(IF(SUMIFS(tblDaily[Remaining],tblDaily[EntryDate],DATE(2026,10,24),tblDaily[WardCode],"CW")=0,"",SUMIFS(tblDaily[Remaining],tblDaily[EntryDate],DATE(2026,10,24),tblDaily[WardCode],"CW")),"")</f>
        <v/>
      </c>
    </row>
    <row r="382">
      <c r="A382" s="12" t="n">
        <v>25</v>
      </c>
      <c r="B382" s="12">
        <f>IFERROR(IF(SUMIFS(tblDaily[Admissions],tblDaily[EntryDate],DATE(2026,10,25),tblDaily[WardCode],"CW")=0,"",SUMIFS(tblDaily[Admissions],tblDaily[EntryDate],DATE(2026,10,25),tblDaily[WardCode],"CW")),"")</f>
        <v/>
      </c>
      <c r="C382" s="12">
        <f>IFERROR(IF(SUMIFS(tblDaily[Discharges],tblDaily[EntryDate],DATE(2026,10,25),tblDaily[WardCode],"CW")=0,"",SUMIFS(tblDaily[Discharges],tblDaily[EntryDate],DATE(2026,10,25),tblDaily[WardCode],"CW")),"")</f>
        <v/>
      </c>
      <c r="D382" s="12">
        <f>IFERROR(IF(SUMIFS(tblDaily[Deaths],tblDaily[EntryDate],DATE(2026,10,25),tblDaily[WardCode],"CW")=0,"",SUMIFS(tblDaily[Deaths],tblDaily[EntryDate],DATE(2026,10,25),tblDaily[WardCode],"CW")),"")</f>
        <v/>
      </c>
      <c r="E382" s="12">
        <f>IFERROR(IF(SUMIFS(tblDaily[DeathsUnder24Hrs],tblDaily[EntryDate],DATE(2026,10,25),tblDaily[WardCode],"CW")=0,"",SUMIFS(tblDaily[DeathsUnder24Hrs],tblDaily[EntryDate],DATE(2026,10,25),tblDaily[WardCode],"CW")),"")</f>
        <v/>
      </c>
      <c r="F382" s="12">
        <f>IFERROR(IF(SUMIFS(tblDaily[TransfersIn],tblDaily[EntryDate],DATE(2026,10,25),tblDaily[WardCode],"CW")=0,"",SUMIFS(tblDaily[TransfersIn],tblDaily[EntryDate],DATE(2026,10,25),tblDaily[WardCode],"CW")),"")</f>
        <v/>
      </c>
      <c r="G382" s="12">
        <f>IFERROR(IF(SUMIFS(tblDaily[TransfersOut],tblDaily[EntryDate],DATE(2026,10,25),tblDaily[WardCode],"CW")=0,"",SUMIFS(tblDaily[TransfersOut],tblDaily[EntryDate],DATE(2026,10,25),tblDaily[WardCode],"CW")),"")</f>
        <v/>
      </c>
      <c r="H382" s="12">
        <f>IFERROR(IF(SUMIFS(tblDaily[Remaining],tblDaily[EntryDate],DATE(2026,10,25),tblDaily[WardCode],"CW")=0,"",SUMIFS(tblDaily[Remaining],tblDaily[EntryDate],DATE(2026,10,25),tblDaily[WardCode],"CW")),"")</f>
        <v/>
      </c>
    </row>
    <row r="383">
      <c r="A383" s="12" t="n">
        <v>26</v>
      </c>
      <c r="B383" s="12">
        <f>IFERROR(IF(SUMIFS(tblDaily[Admissions],tblDaily[EntryDate],DATE(2026,10,26),tblDaily[WardCode],"CW")=0,"",SUMIFS(tblDaily[Admissions],tblDaily[EntryDate],DATE(2026,10,26),tblDaily[WardCode],"CW")),"")</f>
        <v/>
      </c>
      <c r="C383" s="12">
        <f>IFERROR(IF(SUMIFS(tblDaily[Discharges],tblDaily[EntryDate],DATE(2026,10,26),tblDaily[WardCode],"CW")=0,"",SUMIFS(tblDaily[Discharges],tblDaily[EntryDate],DATE(2026,10,26),tblDaily[WardCode],"CW")),"")</f>
        <v/>
      </c>
      <c r="D383" s="12">
        <f>IFERROR(IF(SUMIFS(tblDaily[Deaths],tblDaily[EntryDate],DATE(2026,10,26),tblDaily[WardCode],"CW")=0,"",SUMIFS(tblDaily[Deaths],tblDaily[EntryDate],DATE(2026,10,26),tblDaily[WardCode],"CW")),"")</f>
        <v/>
      </c>
      <c r="E383" s="12">
        <f>IFERROR(IF(SUMIFS(tblDaily[DeathsUnder24Hrs],tblDaily[EntryDate],DATE(2026,10,26),tblDaily[WardCode],"CW")=0,"",SUMIFS(tblDaily[DeathsUnder24Hrs],tblDaily[EntryDate],DATE(2026,10,26),tblDaily[WardCode],"CW")),"")</f>
        <v/>
      </c>
      <c r="F383" s="12">
        <f>IFERROR(IF(SUMIFS(tblDaily[TransfersIn],tblDaily[EntryDate],DATE(2026,10,26),tblDaily[WardCode],"CW")=0,"",SUMIFS(tblDaily[TransfersIn],tblDaily[EntryDate],DATE(2026,10,26),tblDaily[WardCode],"CW")),"")</f>
        <v/>
      </c>
      <c r="G383" s="12">
        <f>IFERROR(IF(SUMIFS(tblDaily[TransfersOut],tblDaily[EntryDate],DATE(2026,10,26),tblDaily[WardCode],"CW")=0,"",SUMIFS(tblDaily[TransfersOut],tblDaily[EntryDate],DATE(2026,10,26),tblDaily[WardCode],"CW")),"")</f>
        <v/>
      </c>
      <c r="H383" s="12">
        <f>IFERROR(IF(SUMIFS(tblDaily[Remaining],tblDaily[EntryDate],DATE(2026,10,26),tblDaily[WardCode],"CW")=0,"",SUMIFS(tblDaily[Remaining],tblDaily[EntryDate],DATE(2026,10,26),tblDaily[WardCode],"CW")),"")</f>
        <v/>
      </c>
    </row>
    <row r="384">
      <c r="A384" s="12" t="n">
        <v>27</v>
      </c>
      <c r="B384" s="12">
        <f>IFERROR(IF(SUMIFS(tblDaily[Admissions],tblDaily[EntryDate],DATE(2026,10,27),tblDaily[WardCode],"CW")=0,"",SUMIFS(tblDaily[Admissions],tblDaily[EntryDate],DATE(2026,10,27),tblDaily[WardCode],"CW")),"")</f>
        <v/>
      </c>
      <c r="C384" s="12">
        <f>IFERROR(IF(SUMIFS(tblDaily[Discharges],tblDaily[EntryDate],DATE(2026,10,27),tblDaily[WardCode],"CW")=0,"",SUMIFS(tblDaily[Discharges],tblDaily[EntryDate],DATE(2026,10,27),tblDaily[WardCode],"CW")),"")</f>
        <v/>
      </c>
      <c r="D384" s="12">
        <f>IFERROR(IF(SUMIFS(tblDaily[Deaths],tblDaily[EntryDate],DATE(2026,10,27),tblDaily[WardCode],"CW")=0,"",SUMIFS(tblDaily[Deaths],tblDaily[EntryDate],DATE(2026,10,27),tblDaily[WardCode],"CW")),"")</f>
        <v/>
      </c>
      <c r="E384" s="12">
        <f>IFERROR(IF(SUMIFS(tblDaily[DeathsUnder24Hrs],tblDaily[EntryDate],DATE(2026,10,27),tblDaily[WardCode],"CW")=0,"",SUMIFS(tblDaily[DeathsUnder24Hrs],tblDaily[EntryDate],DATE(2026,10,27),tblDaily[WardCode],"CW")),"")</f>
        <v/>
      </c>
      <c r="F384" s="12">
        <f>IFERROR(IF(SUMIFS(tblDaily[TransfersIn],tblDaily[EntryDate],DATE(2026,10,27),tblDaily[WardCode],"CW")=0,"",SUMIFS(tblDaily[TransfersIn],tblDaily[EntryDate],DATE(2026,10,27),tblDaily[WardCode],"CW")),"")</f>
        <v/>
      </c>
      <c r="G384" s="12">
        <f>IFERROR(IF(SUMIFS(tblDaily[TransfersOut],tblDaily[EntryDate],DATE(2026,10,27),tblDaily[WardCode],"CW")=0,"",SUMIFS(tblDaily[TransfersOut],tblDaily[EntryDate],DATE(2026,10,27),tblDaily[WardCode],"CW")),"")</f>
        <v/>
      </c>
      <c r="H384" s="12">
        <f>IFERROR(IF(SUMIFS(tblDaily[Remaining],tblDaily[EntryDate],DATE(2026,10,27),tblDaily[WardCode],"CW")=0,"",SUMIFS(tblDaily[Remaining],tblDaily[EntryDate],DATE(2026,10,27),tblDaily[WardCode],"CW")),"")</f>
        <v/>
      </c>
    </row>
    <row r="385">
      <c r="A385" s="12" t="n">
        <v>28</v>
      </c>
      <c r="B385" s="12">
        <f>IFERROR(IF(SUMIFS(tblDaily[Admissions],tblDaily[EntryDate],DATE(2026,10,28),tblDaily[WardCode],"CW")=0,"",SUMIFS(tblDaily[Admissions],tblDaily[EntryDate],DATE(2026,10,28),tblDaily[WardCode],"CW")),"")</f>
        <v/>
      </c>
      <c r="C385" s="12">
        <f>IFERROR(IF(SUMIFS(tblDaily[Discharges],tblDaily[EntryDate],DATE(2026,10,28),tblDaily[WardCode],"CW")=0,"",SUMIFS(tblDaily[Discharges],tblDaily[EntryDate],DATE(2026,10,28),tblDaily[WardCode],"CW")),"")</f>
        <v/>
      </c>
      <c r="D385" s="12">
        <f>IFERROR(IF(SUMIFS(tblDaily[Deaths],tblDaily[EntryDate],DATE(2026,10,28),tblDaily[WardCode],"CW")=0,"",SUMIFS(tblDaily[Deaths],tblDaily[EntryDate],DATE(2026,10,28),tblDaily[WardCode],"CW")),"")</f>
        <v/>
      </c>
      <c r="E385" s="12">
        <f>IFERROR(IF(SUMIFS(tblDaily[DeathsUnder24Hrs],tblDaily[EntryDate],DATE(2026,10,28),tblDaily[WardCode],"CW")=0,"",SUMIFS(tblDaily[DeathsUnder24Hrs],tblDaily[EntryDate],DATE(2026,10,28),tblDaily[WardCode],"CW")),"")</f>
        <v/>
      </c>
      <c r="F385" s="12">
        <f>IFERROR(IF(SUMIFS(tblDaily[TransfersIn],tblDaily[EntryDate],DATE(2026,10,28),tblDaily[WardCode],"CW")=0,"",SUMIFS(tblDaily[TransfersIn],tblDaily[EntryDate],DATE(2026,10,28),tblDaily[WardCode],"CW")),"")</f>
        <v/>
      </c>
      <c r="G385" s="12">
        <f>IFERROR(IF(SUMIFS(tblDaily[TransfersOut],tblDaily[EntryDate],DATE(2026,10,28),tblDaily[WardCode],"CW")=0,"",SUMIFS(tblDaily[TransfersOut],tblDaily[EntryDate],DATE(2026,10,28),tblDaily[WardCode],"CW")),"")</f>
        <v/>
      </c>
      <c r="H385" s="12">
        <f>IFERROR(IF(SUMIFS(tblDaily[Remaining],tblDaily[EntryDate],DATE(2026,10,28),tblDaily[WardCode],"CW")=0,"",SUMIFS(tblDaily[Remaining],tblDaily[EntryDate],DATE(2026,10,28),tblDaily[WardCode],"CW")),"")</f>
        <v/>
      </c>
    </row>
    <row r="386">
      <c r="A386" s="12" t="n">
        <v>29</v>
      </c>
      <c r="B386" s="12">
        <f>IFERROR(IF(SUMIFS(tblDaily[Admissions],tblDaily[EntryDate],DATE(2026,10,29),tblDaily[WardCode],"CW")=0,"",SUMIFS(tblDaily[Admissions],tblDaily[EntryDate],DATE(2026,10,29),tblDaily[WardCode],"CW")),"")</f>
        <v/>
      </c>
      <c r="C386" s="12">
        <f>IFERROR(IF(SUMIFS(tblDaily[Discharges],tblDaily[EntryDate],DATE(2026,10,29),tblDaily[WardCode],"CW")=0,"",SUMIFS(tblDaily[Discharges],tblDaily[EntryDate],DATE(2026,10,29),tblDaily[WardCode],"CW")),"")</f>
        <v/>
      </c>
      <c r="D386" s="12">
        <f>IFERROR(IF(SUMIFS(tblDaily[Deaths],tblDaily[EntryDate],DATE(2026,10,29),tblDaily[WardCode],"CW")=0,"",SUMIFS(tblDaily[Deaths],tblDaily[EntryDate],DATE(2026,10,29),tblDaily[WardCode],"CW")),"")</f>
        <v/>
      </c>
      <c r="E386" s="12">
        <f>IFERROR(IF(SUMIFS(tblDaily[DeathsUnder24Hrs],tblDaily[EntryDate],DATE(2026,10,29),tblDaily[WardCode],"CW")=0,"",SUMIFS(tblDaily[DeathsUnder24Hrs],tblDaily[EntryDate],DATE(2026,10,29),tblDaily[WardCode],"CW")),"")</f>
        <v/>
      </c>
      <c r="F386" s="12">
        <f>IFERROR(IF(SUMIFS(tblDaily[TransfersIn],tblDaily[EntryDate],DATE(2026,10,29),tblDaily[WardCode],"CW")=0,"",SUMIFS(tblDaily[TransfersIn],tblDaily[EntryDate],DATE(2026,10,29),tblDaily[WardCode],"CW")),"")</f>
        <v/>
      </c>
      <c r="G386" s="12">
        <f>IFERROR(IF(SUMIFS(tblDaily[TransfersOut],tblDaily[EntryDate],DATE(2026,10,29),tblDaily[WardCode],"CW")=0,"",SUMIFS(tblDaily[TransfersOut],tblDaily[EntryDate],DATE(2026,10,29),tblDaily[WardCode],"CW")),"")</f>
        <v/>
      </c>
      <c r="H386" s="12">
        <f>IFERROR(IF(SUMIFS(tblDaily[Remaining],tblDaily[EntryDate],DATE(2026,10,29),tblDaily[WardCode],"CW")=0,"",SUMIFS(tblDaily[Remaining],tblDaily[EntryDate],DATE(2026,10,29),tblDaily[WardCode],"CW")),"")</f>
        <v/>
      </c>
    </row>
    <row r="387">
      <c r="A387" s="12" t="n">
        <v>30</v>
      </c>
      <c r="B387" s="12">
        <f>IFERROR(IF(SUMIFS(tblDaily[Admissions],tblDaily[EntryDate],DATE(2026,10,30),tblDaily[WardCode],"CW")=0,"",SUMIFS(tblDaily[Admissions],tblDaily[EntryDate],DATE(2026,10,30),tblDaily[WardCode],"CW")),"")</f>
        <v/>
      </c>
      <c r="C387" s="12">
        <f>IFERROR(IF(SUMIFS(tblDaily[Discharges],tblDaily[EntryDate],DATE(2026,10,30),tblDaily[WardCode],"CW")=0,"",SUMIFS(tblDaily[Discharges],tblDaily[EntryDate],DATE(2026,10,30),tblDaily[WardCode],"CW")),"")</f>
        <v/>
      </c>
      <c r="D387" s="12">
        <f>IFERROR(IF(SUMIFS(tblDaily[Deaths],tblDaily[EntryDate],DATE(2026,10,30),tblDaily[WardCode],"CW")=0,"",SUMIFS(tblDaily[Deaths],tblDaily[EntryDate],DATE(2026,10,30),tblDaily[WardCode],"CW")),"")</f>
        <v/>
      </c>
      <c r="E387" s="12">
        <f>IFERROR(IF(SUMIFS(tblDaily[DeathsUnder24Hrs],tblDaily[EntryDate],DATE(2026,10,30),tblDaily[WardCode],"CW")=0,"",SUMIFS(tblDaily[DeathsUnder24Hrs],tblDaily[EntryDate],DATE(2026,10,30),tblDaily[WardCode],"CW")),"")</f>
        <v/>
      </c>
      <c r="F387" s="12">
        <f>IFERROR(IF(SUMIFS(tblDaily[TransfersIn],tblDaily[EntryDate],DATE(2026,10,30),tblDaily[WardCode],"CW")=0,"",SUMIFS(tblDaily[TransfersIn],tblDaily[EntryDate],DATE(2026,10,30),tblDaily[WardCode],"CW")),"")</f>
        <v/>
      </c>
      <c r="G387" s="12">
        <f>IFERROR(IF(SUMIFS(tblDaily[TransfersOut],tblDaily[EntryDate],DATE(2026,10,30),tblDaily[WardCode],"CW")=0,"",SUMIFS(tblDaily[TransfersOut],tblDaily[EntryDate],DATE(2026,10,30),tblDaily[WardCode],"CW")),"")</f>
        <v/>
      </c>
      <c r="H387" s="12">
        <f>IFERROR(IF(SUMIFS(tblDaily[Remaining],tblDaily[EntryDate],DATE(2026,10,30),tblDaily[WardCode],"CW")=0,"",SUMIFS(tblDaily[Remaining],tblDaily[EntryDate],DATE(2026,10,30),tblDaily[WardCode],"CW")),"")</f>
        <v/>
      </c>
    </row>
    <row r="388">
      <c r="A388" s="12" t="n">
        <v>31</v>
      </c>
      <c r="B388" s="12">
        <f>IFERROR(IF(SUMIFS(tblDaily[Admissions],tblDaily[EntryDate],DATE(2026,10,31),tblDaily[WardCode],"CW")=0,"",SUMIFS(tblDaily[Admissions],tblDaily[EntryDate],DATE(2026,10,31),tblDaily[WardCode],"CW")),"")</f>
        <v/>
      </c>
      <c r="C388" s="12">
        <f>IFERROR(IF(SUMIFS(tblDaily[Discharges],tblDaily[EntryDate],DATE(2026,10,31),tblDaily[WardCode],"CW")=0,"",SUMIFS(tblDaily[Discharges],tblDaily[EntryDate],DATE(2026,10,31),tblDaily[WardCode],"CW")),"")</f>
        <v/>
      </c>
      <c r="D388" s="12">
        <f>IFERROR(IF(SUMIFS(tblDaily[Deaths],tblDaily[EntryDate],DATE(2026,10,31),tblDaily[WardCode],"CW")=0,"",SUMIFS(tblDaily[Deaths],tblDaily[EntryDate],DATE(2026,10,31),tblDaily[WardCode],"CW")),"")</f>
        <v/>
      </c>
      <c r="E388" s="12">
        <f>IFERROR(IF(SUMIFS(tblDaily[DeathsUnder24Hrs],tblDaily[EntryDate],DATE(2026,10,31),tblDaily[WardCode],"CW")=0,"",SUMIFS(tblDaily[DeathsUnder24Hrs],tblDaily[EntryDate],DATE(2026,10,31),tblDaily[WardCode],"CW")),"")</f>
        <v/>
      </c>
      <c r="F388" s="12">
        <f>IFERROR(IF(SUMIFS(tblDaily[TransfersIn],tblDaily[EntryDate],DATE(2026,10,31),tblDaily[WardCode],"CW")=0,"",SUMIFS(tblDaily[TransfersIn],tblDaily[EntryDate],DATE(2026,10,31),tblDaily[WardCode],"CW")),"")</f>
        <v/>
      </c>
      <c r="G388" s="12">
        <f>IFERROR(IF(SUMIFS(tblDaily[TransfersOut],tblDaily[EntryDate],DATE(2026,10,31),tblDaily[WardCode],"CW")=0,"",SUMIFS(tblDaily[TransfersOut],tblDaily[EntryDate],DATE(2026,10,31),tblDaily[WardCode],"CW")),"")</f>
        <v/>
      </c>
      <c r="H388" s="12">
        <f>IFERROR(IF(SUMIFS(tblDaily[Remaining],tblDaily[EntryDate],DATE(2026,10,31),tblDaily[WardCode],"CW")=0,"",SUMIFS(tblDaily[Remaining],tblDaily[EntryDate],DATE(2026,10,31),tblDaily[WardCode],"CW")),"")</f>
        <v/>
      </c>
    </row>
    <row r="389">
      <c r="A389" s="17" t="inlineStr">
        <is>
          <t>TOTAL</t>
        </is>
      </c>
      <c r="B389" s="17">
        <f>SUMIFS(tblDaily[Admissions],tblDaily[Month],10,tblDaily[WardCode],"CW") - SUMIFS(tblDaily[DeathsUnder24Hrs],tblDaily[Month],10,tblDaily[WardCode],"CW")</f>
        <v/>
      </c>
      <c r="C389" s="17">
        <f>SUMIFS(tblDaily[Discharges],tblDaily[Month],10,tblDaily[WardCode],"CW")</f>
        <v/>
      </c>
      <c r="D389" s="17">
        <f>SUMIFS(tblDaily[Deaths],tblDaily[Month],10,tblDaily[WardCode],"CW")</f>
        <v/>
      </c>
      <c r="E389" s="17">
        <f>SUMIFS(tblDaily[DeathsUnder24Hrs],tblDaily[Month],10,tblDaily[WardCode],"CW")</f>
        <v/>
      </c>
      <c r="F389" s="17">
        <f>SUMIFS(tblDaily[TransfersIn],tblDaily[Month],10,tblDaily[WardCode],"CW")</f>
        <v/>
      </c>
      <c r="G389" s="17">
        <f>SUMIFS(tblDaily[TransfersOut],tblDaily[Month],10,tblDaily[WardCode],"CW")</f>
        <v/>
      </c>
      <c r="H389" s="17">
        <f>SUMIFS(tblDaily[Remaining],tblDaily[Month],10,tblDaily[WardCode],"CW")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PAEDIATRIC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4">
        <f>IFERROR(SUMIFS(tblDaily[Remaining],tblDaily[EntryDate],DATE(2026,10,31),tblDaily[WardCode],"CW"),0)</f>
        <v/>
      </c>
    </row>
    <row r="395">
      <c r="A395" s="4" t="inlineStr">
        <is>
          <t>Bed complement</t>
        </is>
      </c>
      <c r="H395" s="15">
        <f>IFERROR(INDEX(tblWardConfig[BedComplement],MATCH("CW",tblWardConfig[WardCode],0)),0)</f>
        <v/>
      </c>
    </row>
    <row r="396">
      <c r="A396" s="16" t="inlineStr">
        <is>
          <t>Day of
the
Month</t>
        </is>
      </c>
      <c r="B396" s="16" t="inlineStr">
        <is>
          <t>Admissions</t>
        </is>
      </c>
      <c r="C396" s="16" t="inlineStr">
        <is>
          <t>Discharges</t>
        </is>
      </c>
      <c r="D396" s="16" t="inlineStr">
        <is>
          <t>Deaths</t>
        </is>
      </c>
      <c r="E396" s="16" t="inlineStr">
        <is>
          <t>Deaths
&lt;24Hrs</t>
        </is>
      </c>
      <c r="F396" s="16" t="inlineStr">
        <is>
          <t>Transfers-
In</t>
        </is>
      </c>
      <c r="G396" s="16" t="inlineStr">
        <is>
          <t>Transfers-
Out</t>
        </is>
      </c>
      <c r="H396" s="16" t="inlineStr">
        <is>
          <t>No. of Patients
Remaining In
Ward</t>
        </is>
      </c>
    </row>
    <row r="397">
      <c r="A397" s="12" t="n">
        <v>1</v>
      </c>
      <c r="B397" s="12">
        <f>IFERROR(IF(SUMIFS(tblDaily[Admissions],tblDaily[EntryDate],DATE(2026,11,1),tblDaily[WardCode],"CW")=0,"",SUMIFS(tblDaily[Admissions],tblDaily[EntryDate],DATE(2026,11,1),tblDaily[WardCode],"CW")),"")</f>
        <v/>
      </c>
      <c r="C397" s="12">
        <f>IFERROR(IF(SUMIFS(tblDaily[Discharges],tblDaily[EntryDate],DATE(2026,11,1),tblDaily[WardCode],"CW")=0,"",SUMIFS(tblDaily[Discharges],tblDaily[EntryDate],DATE(2026,11,1),tblDaily[WardCode],"CW")),"")</f>
        <v/>
      </c>
      <c r="D397" s="12">
        <f>IFERROR(IF(SUMIFS(tblDaily[Deaths],tblDaily[EntryDate],DATE(2026,11,1),tblDaily[WardCode],"CW")=0,"",SUMIFS(tblDaily[Deaths],tblDaily[EntryDate],DATE(2026,11,1),tblDaily[WardCode],"CW")),"")</f>
        <v/>
      </c>
      <c r="E397" s="12">
        <f>IFERROR(IF(SUMIFS(tblDaily[DeathsUnder24Hrs],tblDaily[EntryDate],DATE(2026,11,1),tblDaily[WardCode],"CW")=0,"",SUMIFS(tblDaily[DeathsUnder24Hrs],tblDaily[EntryDate],DATE(2026,11,1),tblDaily[WardCode],"CW")),"")</f>
        <v/>
      </c>
      <c r="F397" s="12">
        <f>IFERROR(IF(SUMIFS(tblDaily[TransfersIn],tblDaily[EntryDate],DATE(2026,11,1),tblDaily[WardCode],"CW")=0,"",SUMIFS(tblDaily[TransfersIn],tblDaily[EntryDate],DATE(2026,11,1),tblDaily[WardCode],"CW")),"")</f>
        <v/>
      </c>
      <c r="G397" s="12">
        <f>IFERROR(IF(SUMIFS(tblDaily[TransfersOut],tblDaily[EntryDate],DATE(2026,11,1),tblDaily[WardCode],"CW")=0,"",SUMIFS(tblDaily[TransfersOut],tblDaily[EntryDate],DATE(2026,11,1),tblDaily[WardCode],"CW")),"")</f>
        <v/>
      </c>
      <c r="H397" s="12">
        <f>IFERROR(IF(SUMIFS(tblDaily[Remaining],tblDaily[EntryDate],DATE(2026,11,1),tblDaily[WardCode],"CW")=0,"",SUMIFS(tblDaily[Remaining],tblDaily[EntryDate],DATE(2026,11,1),tblDaily[WardCode],"CW")),"")</f>
        <v/>
      </c>
    </row>
    <row r="398">
      <c r="A398" s="12" t="n">
        <v>2</v>
      </c>
      <c r="B398" s="12">
        <f>IFERROR(IF(SUMIFS(tblDaily[Admissions],tblDaily[EntryDate],DATE(2026,11,2),tblDaily[WardCode],"CW")=0,"",SUMIFS(tblDaily[Admissions],tblDaily[EntryDate],DATE(2026,11,2),tblDaily[WardCode],"CW")),"")</f>
        <v/>
      </c>
      <c r="C398" s="12">
        <f>IFERROR(IF(SUMIFS(tblDaily[Discharges],tblDaily[EntryDate],DATE(2026,11,2),tblDaily[WardCode],"CW")=0,"",SUMIFS(tblDaily[Discharges],tblDaily[EntryDate],DATE(2026,11,2),tblDaily[WardCode],"CW")),"")</f>
        <v/>
      </c>
      <c r="D398" s="12">
        <f>IFERROR(IF(SUMIFS(tblDaily[Deaths],tblDaily[EntryDate],DATE(2026,11,2),tblDaily[WardCode],"CW")=0,"",SUMIFS(tblDaily[Deaths],tblDaily[EntryDate],DATE(2026,11,2),tblDaily[WardCode],"CW")),"")</f>
        <v/>
      </c>
      <c r="E398" s="12">
        <f>IFERROR(IF(SUMIFS(tblDaily[DeathsUnder24Hrs],tblDaily[EntryDate],DATE(2026,11,2),tblDaily[WardCode],"CW")=0,"",SUMIFS(tblDaily[DeathsUnder24Hrs],tblDaily[EntryDate],DATE(2026,11,2),tblDaily[WardCode],"CW")),"")</f>
        <v/>
      </c>
      <c r="F398" s="12">
        <f>IFERROR(IF(SUMIFS(tblDaily[TransfersIn],tblDaily[EntryDate],DATE(2026,11,2),tblDaily[WardCode],"CW")=0,"",SUMIFS(tblDaily[TransfersIn],tblDaily[EntryDate],DATE(2026,11,2),tblDaily[WardCode],"CW")),"")</f>
        <v/>
      </c>
      <c r="G398" s="12">
        <f>IFERROR(IF(SUMIFS(tblDaily[TransfersOut],tblDaily[EntryDate],DATE(2026,11,2),tblDaily[WardCode],"CW")=0,"",SUMIFS(tblDaily[TransfersOut],tblDaily[EntryDate],DATE(2026,11,2),tblDaily[WardCode],"CW")),"")</f>
        <v/>
      </c>
      <c r="H398" s="12">
        <f>IFERROR(IF(SUMIFS(tblDaily[Remaining],tblDaily[EntryDate],DATE(2026,11,2),tblDaily[WardCode],"CW")=0,"",SUMIFS(tblDaily[Remaining],tblDaily[EntryDate],DATE(2026,11,2),tblDaily[WardCode],"CW")),"")</f>
        <v/>
      </c>
    </row>
    <row r="399">
      <c r="A399" s="12" t="n">
        <v>3</v>
      </c>
      <c r="B399" s="12">
        <f>IFERROR(IF(SUMIFS(tblDaily[Admissions],tblDaily[EntryDate],DATE(2026,11,3),tblDaily[WardCode],"CW")=0,"",SUMIFS(tblDaily[Admissions],tblDaily[EntryDate],DATE(2026,11,3),tblDaily[WardCode],"CW")),"")</f>
        <v/>
      </c>
      <c r="C399" s="12">
        <f>IFERROR(IF(SUMIFS(tblDaily[Discharges],tblDaily[EntryDate],DATE(2026,11,3),tblDaily[WardCode],"CW")=0,"",SUMIFS(tblDaily[Discharges],tblDaily[EntryDate],DATE(2026,11,3),tblDaily[WardCode],"CW")),"")</f>
        <v/>
      </c>
      <c r="D399" s="12">
        <f>IFERROR(IF(SUMIFS(tblDaily[Deaths],tblDaily[EntryDate],DATE(2026,11,3),tblDaily[WardCode],"CW")=0,"",SUMIFS(tblDaily[Deaths],tblDaily[EntryDate],DATE(2026,11,3),tblDaily[WardCode],"CW")),"")</f>
        <v/>
      </c>
      <c r="E399" s="12">
        <f>IFERROR(IF(SUMIFS(tblDaily[DeathsUnder24Hrs],tblDaily[EntryDate],DATE(2026,11,3),tblDaily[WardCode],"CW")=0,"",SUMIFS(tblDaily[DeathsUnder24Hrs],tblDaily[EntryDate],DATE(2026,11,3),tblDaily[WardCode],"CW")),"")</f>
        <v/>
      </c>
      <c r="F399" s="12">
        <f>IFERROR(IF(SUMIFS(tblDaily[TransfersIn],tblDaily[EntryDate],DATE(2026,11,3),tblDaily[WardCode],"CW")=0,"",SUMIFS(tblDaily[TransfersIn],tblDaily[EntryDate],DATE(2026,11,3),tblDaily[WardCode],"CW")),"")</f>
        <v/>
      </c>
      <c r="G399" s="12">
        <f>IFERROR(IF(SUMIFS(tblDaily[TransfersOut],tblDaily[EntryDate],DATE(2026,11,3),tblDaily[WardCode],"CW")=0,"",SUMIFS(tblDaily[TransfersOut],tblDaily[EntryDate],DATE(2026,11,3),tblDaily[WardCode],"CW")),"")</f>
        <v/>
      </c>
      <c r="H399" s="12">
        <f>IFERROR(IF(SUMIFS(tblDaily[Remaining],tblDaily[EntryDate],DATE(2026,11,3),tblDaily[WardCode],"CW")=0,"",SUMIFS(tblDaily[Remaining],tblDaily[EntryDate],DATE(2026,11,3),tblDaily[WardCode],"CW")),"")</f>
        <v/>
      </c>
    </row>
    <row r="400">
      <c r="A400" s="12" t="n">
        <v>4</v>
      </c>
      <c r="B400" s="12">
        <f>IFERROR(IF(SUMIFS(tblDaily[Admissions],tblDaily[EntryDate],DATE(2026,11,4),tblDaily[WardCode],"CW")=0,"",SUMIFS(tblDaily[Admissions],tblDaily[EntryDate],DATE(2026,11,4),tblDaily[WardCode],"CW")),"")</f>
        <v/>
      </c>
      <c r="C400" s="12">
        <f>IFERROR(IF(SUMIFS(tblDaily[Discharges],tblDaily[EntryDate],DATE(2026,11,4),tblDaily[WardCode],"CW")=0,"",SUMIFS(tblDaily[Discharges],tblDaily[EntryDate],DATE(2026,11,4),tblDaily[WardCode],"CW")),"")</f>
        <v/>
      </c>
      <c r="D400" s="12">
        <f>IFERROR(IF(SUMIFS(tblDaily[Deaths],tblDaily[EntryDate],DATE(2026,11,4),tblDaily[WardCode],"CW")=0,"",SUMIFS(tblDaily[Deaths],tblDaily[EntryDate],DATE(2026,11,4),tblDaily[WardCode],"CW")),"")</f>
        <v/>
      </c>
      <c r="E400" s="12">
        <f>IFERROR(IF(SUMIFS(tblDaily[DeathsUnder24Hrs],tblDaily[EntryDate],DATE(2026,11,4),tblDaily[WardCode],"CW")=0,"",SUMIFS(tblDaily[DeathsUnder24Hrs],tblDaily[EntryDate],DATE(2026,11,4),tblDaily[WardCode],"CW")),"")</f>
        <v/>
      </c>
      <c r="F400" s="12">
        <f>IFERROR(IF(SUMIFS(tblDaily[TransfersIn],tblDaily[EntryDate],DATE(2026,11,4),tblDaily[WardCode],"CW")=0,"",SUMIFS(tblDaily[TransfersIn],tblDaily[EntryDate],DATE(2026,11,4),tblDaily[WardCode],"CW")),"")</f>
        <v/>
      </c>
      <c r="G400" s="12">
        <f>IFERROR(IF(SUMIFS(tblDaily[TransfersOut],tblDaily[EntryDate],DATE(2026,11,4),tblDaily[WardCode],"CW")=0,"",SUMIFS(tblDaily[TransfersOut],tblDaily[EntryDate],DATE(2026,11,4),tblDaily[WardCode],"CW")),"")</f>
        <v/>
      </c>
      <c r="H400" s="12">
        <f>IFERROR(IF(SUMIFS(tblDaily[Remaining],tblDaily[EntryDate],DATE(2026,11,4),tblDaily[WardCode],"CW")=0,"",SUMIFS(tblDaily[Remaining],tblDaily[EntryDate],DATE(2026,11,4),tblDaily[WardCode],"CW")),"")</f>
        <v/>
      </c>
    </row>
    <row r="401">
      <c r="A401" s="12" t="n">
        <v>5</v>
      </c>
      <c r="B401" s="12">
        <f>IFERROR(IF(SUMIFS(tblDaily[Admissions],tblDaily[EntryDate],DATE(2026,11,5),tblDaily[WardCode],"CW")=0,"",SUMIFS(tblDaily[Admissions],tblDaily[EntryDate],DATE(2026,11,5),tblDaily[WardCode],"CW")),"")</f>
        <v/>
      </c>
      <c r="C401" s="12">
        <f>IFERROR(IF(SUMIFS(tblDaily[Discharges],tblDaily[EntryDate],DATE(2026,11,5),tblDaily[WardCode],"CW")=0,"",SUMIFS(tblDaily[Discharges],tblDaily[EntryDate],DATE(2026,11,5),tblDaily[WardCode],"CW")),"")</f>
        <v/>
      </c>
      <c r="D401" s="12">
        <f>IFERROR(IF(SUMIFS(tblDaily[Deaths],tblDaily[EntryDate],DATE(2026,11,5),tblDaily[WardCode],"CW")=0,"",SUMIFS(tblDaily[Deaths],tblDaily[EntryDate],DATE(2026,11,5),tblDaily[WardCode],"CW")),"")</f>
        <v/>
      </c>
      <c r="E401" s="12">
        <f>IFERROR(IF(SUMIFS(tblDaily[DeathsUnder24Hrs],tblDaily[EntryDate],DATE(2026,11,5),tblDaily[WardCode],"CW")=0,"",SUMIFS(tblDaily[DeathsUnder24Hrs],tblDaily[EntryDate],DATE(2026,11,5),tblDaily[WardCode],"CW")),"")</f>
        <v/>
      </c>
      <c r="F401" s="12">
        <f>IFERROR(IF(SUMIFS(tblDaily[TransfersIn],tblDaily[EntryDate],DATE(2026,11,5),tblDaily[WardCode],"CW")=0,"",SUMIFS(tblDaily[TransfersIn],tblDaily[EntryDate],DATE(2026,11,5),tblDaily[WardCode],"CW")),"")</f>
        <v/>
      </c>
      <c r="G401" s="12">
        <f>IFERROR(IF(SUMIFS(tblDaily[TransfersOut],tblDaily[EntryDate],DATE(2026,11,5),tblDaily[WardCode],"CW")=0,"",SUMIFS(tblDaily[TransfersOut],tblDaily[EntryDate],DATE(2026,11,5),tblDaily[WardCode],"CW")),"")</f>
        <v/>
      </c>
      <c r="H401" s="12">
        <f>IFERROR(IF(SUMIFS(tblDaily[Remaining],tblDaily[EntryDate],DATE(2026,11,5),tblDaily[WardCode],"CW")=0,"",SUMIFS(tblDaily[Remaining],tblDaily[EntryDate],DATE(2026,11,5),tblDaily[WardCode],"CW")),"")</f>
        <v/>
      </c>
    </row>
    <row r="402">
      <c r="A402" s="12" t="n">
        <v>6</v>
      </c>
      <c r="B402" s="12">
        <f>IFERROR(IF(SUMIFS(tblDaily[Admissions],tblDaily[EntryDate],DATE(2026,11,6),tblDaily[WardCode],"CW")=0,"",SUMIFS(tblDaily[Admissions],tblDaily[EntryDate],DATE(2026,11,6),tblDaily[WardCode],"CW")),"")</f>
        <v/>
      </c>
      <c r="C402" s="12">
        <f>IFERROR(IF(SUMIFS(tblDaily[Discharges],tblDaily[EntryDate],DATE(2026,11,6),tblDaily[WardCode],"CW")=0,"",SUMIFS(tblDaily[Discharges],tblDaily[EntryDate],DATE(2026,11,6),tblDaily[WardCode],"CW")),"")</f>
        <v/>
      </c>
      <c r="D402" s="12">
        <f>IFERROR(IF(SUMIFS(tblDaily[Deaths],tblDaily[EntryDate],DATE(2026,11,6),tblDaily[WardCode],"CW")=0,"",SUMIFS(tblDaily[Deaths],tblDaily[EntryDate],DATE(2026,11,6),tblDaily[WardCode],"CW")),"")</f>
        <v/>
      </c>
      <c r="E402" s="12">
        <f>IFERROR(IF(SUMIFS(tblDaily[DeathsUnder24Hrs],tblDaily[EntryDate],DATE(2026,11,6),tblDaily[WardCode],"CW")=0,"",SUMIFS(tblDaily[DeathsUnder24Hrs],tblDaily[EntryDate],DATE(2026,11,6),tblDaily[WardCode],"CW")),"")</f>
        <v/>
      </c>
      <c r="F402" s="12">
        <f>IFERROR(IF(SUMIFS(tblDaily[TransfersIn],tblDaily[EntryDate],DATE(2026,11,6),tblDaily[WardCode],"CW")=0,"",SUMIFS(tblDaily[TransfersIn],tblDaily[EntryDate],DATE(2026,11,6),tblDaily[WardCode],"CW")),"")</f>
        <v/>
      </c>
      <c r="G402" s="12">
        <f>IFERROR(IF(SUMIFS(tblDaily[TransfersOut],tblDaily[EntryDate],DATE(2026,11,6),tblDaily[WardCode],"CW")=0,"",SUMIFS(tblDaily[TransfersOut],tblDaily[EntryDate],DATE(2026,11,6),tblDaily[WardCode],"CW")),"")</f>
        <v/>
      </c>
      <c r="H402" s="12">
        <f>IFERROR(IF(SUMIFS(tblDaily[Remaining],tblDaily[EntryDate],DATE(2026,11,6),tblDaily[WardCode],"CW")=0,"",SUMIFS(tblDaily[Remaining],tblDaily[EntryDate],DATE(2026,11,6),tblDaily[WardCode],"CW")),"")</f>
        <v/>
      </c>
    </row>
    <row r="403">
      <c r="A403" s="12" t="n">
        <v>7</v>
      </c>
      <c r="B403" s="12">
        <f>IFERROR(IF(SUMIFS(tblDaily[Admissions],tblDaily[EntryDate],DATE(2026,11,7),tblDaily[WardCode],"CW")=0,"",SUMIFS(tblDaily[Admissions],tblDaily[EntryDate],DATE(2026,11,7),tblDaily[WardCode],"CW")),"")</f>
        <v/>
      </c>
      <c r="C403" s="12">
        <f>IFERROR(IF(SUMIFS(tblDaily[Discharges],tblDaily[EntryDate],DATE(2026,11,7),tblDaily[WardCode],"CW")=0,"",SUMIFS(tblDaily[Discharges],tblDaily[EntryDate],DATE(2026,11,7),tblDaily[WardCode],"CW")),"")</f>
        <v/>
      </c>
      <c r="D403" s="12">
        <f>IFERROR(IF(SUMIFS(tblDaily[Deaths],tblDaily[EntryDate],DATE(2026,11,7),tblDaily[WardCode],"CW")=0,"",SUMIFS(tblDaily[Deaths],tblDaily[EntryDate],DATE(2026,11,7),tblDaily[WardCode],"CW")),"")</f>
        <v/>
      </c>
      <c r="E403" s="12">
        <f>IFERROR(IF(SUMIFS(tblDaily[DeathsUnder24Hrs],tblDaily[EntryDate],DATE(2026,11,7),tblDaily[WardCode],"CW")=0,"",SUMIFS(tblDaily[DeathsUnder24Hrs],tblDaily[EntryDate],DATE(2026,11,7),tblDaily[WardCode],"CW")),"")</f>
        <v/>
      </c>
      <c r="F403" s="12">
        <f>IFERROR(IF(SUMIFS(tblDaily[TransfersIn],tblDaily[EntryDate],DATE(2026,11,7),tblDaily[WardCode],"CW")=0,"",SUMIFS(tblDaily[TransfersIn],tblDaily[EntryDate],DATE(2026,11,7),tblDaily[WardCode],"CW")),"")</f>
        <v/>
      </c>
      <c r="G403" s="12">
        <f>IFERROR(IF(SUMIFS(tblDaily[TransfersOut],tblDaily[EntryDate],DATE(2026,11,7),tblDaily[WardCode],"CW")=0,"",SUMIFS(tblDaily[TransfersOut],tblDaily[EntryDate],DATE(2026,11,7),tblDaily[WardCode],"CW")),"")</f>
        <v/>
      </c>
      <c r="H403" s="12">
        <f>IFERROR(IF(SUMIFS(tblDaily[Remaining],tblDaily[EntryDate],DATE(2026,11,7),tblDaily[WardCode],"CW")=0,"",SUMIFS(tblDaily[Remaining],tblDaily[EntryDate],DATE(2026,11,7),tblDaily[WardCode],"CW")),"")</f>
        <v/>
      </c>
    </row>
    <row r="404">
      <c r="A404" s="12" t="n">
        <v>8</v>
      </c>
      <c r="B404" s="12">
        <f>IFERROR(IF(SUMIFS(tblDaily[Admissions],tblDaily[EntryDate],DATE(2026,11,8),tblDaily[WardCode],"CW")=0,"",SUMIFS(tblDaily[Admissions],tblDaily[EntryDate],DATE(2026,11,8),tblDaily[WardCode],"CW")),"")</f>
        <v/>
      </c>
      <c r="C404" s="12">
        <f>IFERROR(IF(SUMIFS(tblDaily[Discharges],tblDaily[EntryDate],DATE(2026,11,8),tblDaily[WardCode],"CW")=0,"",SUMIFS(tblDaily[Discharges],tblDaily[EntryDate],DATE(2026,11,8),tblDaily[WardCode],"CW")),"")</f>
        <v/>
      </c>
      <c r="D404" s="12">
        <f>IFERROR(IF(SUMIFS(tblDaily[Deaths],tblDaily[EntryDate],DATE(2026,11,8),tblDaily[WardCode],"CW")=0,"",SUMIFS(tblDaily[Deaths],tblDaily[EntryDate],DATE(2026,11,8),tblDaily[WardCode],"CW")),"")</f>
        <v/>
      </c>
      <c r="E404" s="12">
        <f>IFERROR(IF(SUMIFS(tblDaily[DeathsUnder24Hrs],tblDaily[EntryDate],DATE(2026,11,8),tblDaily[WardCode],"CW")=0,"",SUMIFS(tblDaily[DeathsUnder24Hrs],tblDaily[EntryDate],DATE(2026,11,8),tblDaily[WardCode],"CW")),"")</f>
        <v/>
      </c>
      <c r="F404" s="12">
        <f>IFERROR(IF(SUMIFS(tblDaily[TransfersIn],tblDaily[EntryDate],DATE(2026,11,8),tblDaily[WardCode],"CW")=0,"",SUMIFS(tblDaily[TransfersIn],tblDaily[EntryDate],DATE(2026,11,8),tblDaily[WardCode],"CW")),"")</f>
        <v/>
      </c>
      <c r="G404" s="12">
        <f>IFERROR(IF(SUMIFS(tblDaily[TransfersOut],tblDaily[EntryDate],DATE(2026,11,8),tblDaily[WardCode],"CW")=0,"",SUMIFS(tblDaily[TransfersOut],tblDaily[EntryDate],DATE(2026,11,8),tblDaily[WardCode],"CW")),"")</f>
        <v/>
      </c>
      <c r="H404" s="12">
        <f>IFERROR(IF(SUMIFS(tblDaily[Remaining],tblDaily[EntryDate],DATE(2026,11,8),tblDaily[WardCode],"CW")=0,"",SUMIFS(tblDaily[Remaining],tblDaily[EntryDate],DATE(2026,11,8),tblDaily[WardCode],"CW")),"")</f>
        <v/>
      </c>
    </row>
    <row r="405">
      <c r="A405" s="12" t="n">
        <v>9</v>
      </c>
      <c r="B405" s="12">
        <f>IFERROR(IF(SUMIFS(tblDaily[Admissions],tblDaily[EntryDate],DATE(2026,11,9),tblDaily[WardCode],"CW")=0,"",SUMIFS(tblDaily[Admissions],tblDaily[EntryDate],DATE(2026,11,9),tblDaily[WardCode],"CW")),"")</f>
        <v/>
      </c>
      <c r="C405" s="12">
        <f>IFERROR(IF(SUMIFS(tblDaily[Discharges],tblDaily[EntryDate],DATE(2026,11,9),tblDaily[WardCode],"CW")=0,"",SUMIFS(tblDaily[Discharges],tblDaily[EntryDate],DATE(2026,11,9),tblDaily[WardCode],"CW")),"")</f>
        <v/>
      </c>
      <c r="D405" s="12">
        <f>IFERROR(IF(SUMIFS(tblDaily[Deaths],tblDaily[EntryDate],DATE(2026,11,9),tblDaily[WardCode],"CW")=0,"",SUMIFS(tblDaily[Deaths],tblDaily[EntryDate],DATE(2026,11,9),tblDaily[WardCode],"CW")),"")</f>
        <v/>
      </c>
      <c r="E405" s="12">
        <f>IFERROR(IF(SUMIFS(tblDaily[DeathsUnder24Hrs],tblDaily[EntryDate],DATE(2026,11,9),tblDaily[WardCode],"CW")=0,"",SUMIFS(tblDaily[DeathsUnder24Hrs],tblDaily[EntryDate],DATE(2026,11,9),tblDaily[WardCode],"CW")),"")</f>
        <v/>
      </c>
      <c r="F405" s="12">
        <f>IFERROR(IF(SUMIFS(tblDaily[TransfersIn],tblDaily[EntryDate],DATE(2026,11,9),tblDaily[WardCode],"CW")=0,"",SUMIFS(tblDaily[TransfersIn],tblDaily[EntryDate],DATE(2026,11,9),tblDaily[WardCode],"CW")),"")</f>
        <v/>
      </c>
      <c r="G405" s="12">
        <f>IFERROR(IF(SUMIFS(tblDaily[TransfersOut],tblDaily[EntryDate],DATE(2026,11,9),tblDaily[WardCode],"CW")=0,"",SUMIFS(tblDaily[TransfersOut],tblDaily[EntryDate],DATE(2026,11,9),tblDaily[WardCode],"CW")),"")</f>
        <v/>
      </c>
      <c r="H405" s="12">
        <f>IFERROR(IF(SUMIFS(tblDaily[Remaining],tblDaily[EntryDate],DATE(2026,11,9),tblDaily[WardCode],"CW")=0,"",SUMIFS(tblDaily[Remaining],tblDaily[EntryDate],DATE(2026,11,9),tblDaily[WardCode],"CW")),"")</f>
        <v/>
      </c>
    </row>
    <row r="406">
      <c r="A406" s="12" t="n">
        <v>10</v>
      </c>
      <c r="B406" s="12">
        <f>IFERROR(IF(SUMIFS(tblDaily[Admissions],tblDaily[EntryDate],DATE(2026,11,10),tblDaily[WardCode],"CW")=0,"",SUMIFS(tblDaily[Admissions],tblDaily[EntryDate],DATE(2026,11,10),tblDaily[WardCode],"CW")),"")</f>
        <v/>
      </c>
      <c r="C406" s="12">
        <f>IFERROR(IF(SUMIFS(tblDaily[Discharges],tblDaily[EntryDate],DATE(2026,11,10),tblDaily[WardCode],"CW")=0,"",SUMIFS(tblDaily[Discharges],tblDaily[EntryDate],DATE(2026,11,10),tblDaily[WardCode],"CW")),"")</f>
        <v/>
      </c>
      <c r="D406" s="12">
        <f>IFERROR(IF(SUMIFS(tblDaily[Deaths],tblDaily[EntryDate],DATE(2026,11,10),tblDaily[WardCode],"CW")=0,"",SUMIFS(tblDaily[Deaths],tblDaily[EntryDate],DATE(2026,11,10),tblDaily[WardCode],"CW")),"")</f>
        <v/>
      </c>
      <c r="E406" s="12">
        <f>IFERROR(IF(SUMIFS(tblDaily[DeathsUnder24Hrs],tblDaily[EntryDate],DATE(2026,11,10),tblDaily[WardCode],"CW")=0,"",SUMIFS(tblDaily[DeathsUnder24Hrs],tblDaily[EntryDate],DATE(2026,11,10),tblDaily[WardCode],"CW")),"")</f>
        <v/>
      </c>
      <c r="F406" s="12">
        <f>IFERROR(IF(SUMIFS(tblDaily[TransfersIn],tblDaily[EntryDate],DATE(2026,11,10),tblDaily[WardCode],"CW")=0,"",SUMIFS(tblDaily[TransfersIn],tblDaily[EntryDate],DATE(2026,11,10),tblDaily[WardCode],"CW")),"")</f>
        <v/>
      </c>
      <c r="G406" s="12">
        <f>IFERROR(IF(SUMIFS(tblDaily[TransfersOut],tblDaily[EntryDate],DATE(2026,11,10),tblDaily[WardCode],"CW")=0,"",SUMIFS(tblDaily[TransfersOut],tblDaily[EntryDate],DATE(2026,11,10),tblDaily[WardCode],"CW")),"")</f>
        <v/>
      </c>
      <c r="H406" s="12">
        <f>IFERROR(IF(SUMIFS(tblDaily[Remaining],tblDaily[EntryDate],DATE(2026,11,10),tblDaily[WardCode],"CW")=0,"",SUMIFS(tblDaily[Remaining],tblDaily[EntryDate],DATE(2026,11,10),tblDaily[WardCode],"CW")),"")</f>
        <v/>
      </c>
    </row>
    <row r="407">
      <c r="A407" s="12" t="n">
        <v>11</v>
      </c>
      <c r="B407" s="12">
        <f>IFERROR(IF(SUMIFS(tblDaily[Admissions],tblDaily[EntryDate],DATE(2026,11,11),tblDaily[WardCode],"CW")=0,"",SUMIFS(tblDaily[Admissions],tblDaily[EntryDate],DATE(2026,11,11),tblDaily[WardCode],"CW")),"")</f>
        <v/>
      </c>
      <c r="C407" s="12">
        <f>IFERROR(IF(SUMIFS(tblDaily[Discharges],tblDaily[EntryDate],DATE(2026,11,11),tblDaily[WardCode],"CW")=0,"",SUMIFS(tblDaily[Discharges],tblDaily[EntryDate],DATE(2026,11,11),tblDaily[WardCode],"CW")),"")</f>
        <v/>
      </c>
      <c r="D407" s="12">
        <f>IFERROR(IF(SUMIFS(tblDaily[Deaths],tblDaily[EntryDate],DATE(2026,11,11),tblDaily[WardCode],"CW")=0,"",SUMIFS(tblDaily[Deaths],tblDaily[EntryDate],DATE(2026,11,11),tblDaily[WardCode],"CW")),"")</f>
        <v/>
      </c>
      <c r="E407" s="12">
        <f>IFERROR(IF(SUMIFS(tblDaily[DeathsUnder24Hrs],tblDaily[EntryDate],DATE(2026,11,11),tblDaily[WardCode],"CW")=0,"",SUMIFS(tblDaily[DeathsUnder24Hrs],tblDaily[EntryDate],DATE(2026,11,11),tblDaily[WardCode],"CW")),"")</f>
        <v/>
      </c>
      <c r="F407" s="12">
        <f>IFERROR(IF(SUMIFS(tblDaily[TransfersIn],tblDaily[EntryDate],DATE(2026,11,11),tblDaily[WardCode],"CW")=0,"",SUMIFS(tblDaily[TransfersIn],tblDaily[EntryDate],DATE(2026,11,11),tblDaily[WardCode],"CW")),"")</f>
        <v/>
      </c>
      <c r="G407" s="12">
        <f>IFERROR(IF(SUMIFS(tblDaily[TransfersOut],tblDaily[EntryDate],DATE(2026,11,11),tblDaily[WardCode],"CW")=0,"",SUMIFS(tblDaily[TransfersOut],tblDaily[EntryDate],DATE(2026,11,11),tblDaily[WardCode],"CW")),"")</f>
        <v/>
      </c>
      <c r="H407" s="12">
        <f>IFERROR(IF(SUMIFS(tblDaily[Remaining],tblDaily[EntryDate],DATE(2026,11,11),tblDaily[WardCode],"CW")=0,"",SUMIFS(tblDaily[Remaining],tblDaily[EntryDate],DATE(2026,11,11),tblDaily[WardCode],"CW")),"")</f>
        <v/>
      </c>
    </row>
    <row r="408">
      <c r="A408" s="12" t="n">
        <v>12</v>
      </c>
      <c r="B408" s="12">
        <f>IFERROR(IF(SUMIFS(tblDaily[Admissions],tblDaily[EntryDate],DATE(2026,11,12),tblDaily[WardCode],"CW")=0,"",SUMIFS(tblDaily[Admissions],tblDaily[EntryDate],DATE(2026,11,12),tblDaily[WardCode],"CW")),"")</f>
        <v/>
      </c>
      <c r="C408" s="12">
        <f>IFERROR(IF(SUMIFS(tblDaily[Discharges],tblDaily[EntryDate],DATE(2026,11,12),tblDaily[WardCode],"CW")=0,"",SUMIFS(tblDaily[Discharges],tblDaily[EntryDate],DATE(2026,11,12),tblDaily[WardCode],"CW")),"")</f>
        <v/>
      </c>
      <c r="D408" s="12">
        <f>IFERROR(IF(SUMIFS(tblDaily[Deaths],tblDaily[EntryDate],DATE(2026,11,12),tblDaily[WardCode],"CW")=0,"",SUMIFS(tblDaily[Deaths],tblDaily[EntryDate],DATE(2026,11,12),tblDaily[WardCode],"CW")),"")</f>
        <v/>
      </c>
      <c r="E408" s="12">
        <f>IFERROR(IF(SUMIFS(tblDaily[DeathsUnder24Hrs],tblDaily[EntryDate],DATE(2026,11,12),tblDaily[WardCode],"CW")=0,"",SUMIFS(tblDaily[DeathsUnder24Hrs],tblDaily[EntryDate],DATE(2026,11,12),tblDaily[WardCode],"CW")),"")</f>
        <v/>
      </c>
      <c r="F408" s="12">
        <f>IFERROR(IF(SUMIFS(tblDaily[TransfersIn],tblDaily[EntryDate],DATE(2026,11,12),tblDaily[WardCode],"CW")=0,"",SUMIFS(tblDaily[TransfersIn],tblDaily[EntryDate],DATE(2026,11,12),tblDaily[WardCode],"CW")),"")</f>
        <v/>
      </c>
      <c r="G408" s="12">
        <f>IFERROR(IF(SUMIFS(tblDaily[TransfersOut],tblDaily[EntryDate],DATE(2026,11,12),tblDaily[WardCode],"CW")=0,"",SUMIFS(tblDaily[TransfersOut],tblDaily[EntryDate],DATE(2026,11,12),tblDaily[WardCode],"CW")),"")</f>
        <v/>
      </c>
      <c r="H408" s="12">
        <f>IFERROR(IF(SUMIFS(tblDaily[Remaining],tblDaily[EntryDate],DATE(2026,11,12),tblDaily[WardCode],"CW")=0,"",SUMIFS(tblDaily[Remaining],tblDaily[EntryDate],DATE(2026,11,12),tblDaily[WardCode],"CW")),"")</f>
        <v/>
      </c>
    </row>
    <row r="409">
      <c r="A409" s="12" t="n">
        <v>13</v>
      </c>
      <c r="B409" s="12">
        <f>IFERROR(IF(SUMIFS(tblDaily[Admissions],tblDaily[EntryDate],DATE(2026,11,13),tblDaily[WardCode],"CW")=0,"",SUMIFS(tblDaily[Admissions],tblDaily[EntryDate],DATE(2026,11,13),tblDaily[WardCode],"CW")),"")</f>
        <v/>
      </c>
      <c r="C409" s="12">
        <f>IFERROR(IF(SUMIFS(tblDaily[Discharges],tblDaily[EntryDate],DATE(2026,11,13),tblDaily[WardCode],"CW")=0,"",SUMIFS(tblDaily[Discharges],tblDaily[EntryDate],DATE(2026,11,13),tblDaily[WardCode],"CW")),"")</f>
        <v/>
      </c>
      <c r="D409" s="12">
        <f>IFERROR(IF(SUMIFS(tblDaily[Deaths],tblDaily[EntryDate],DATE(2026,11,13),tblDaily[WardCode],"CW")=0,"",SUMIFS(tblDaily[Deaths],tblDaily[EntryDate],DATE(2026,11,13),tblDaily[WardCode],"CW")),"")</f>
        <v/>
      </c>
      <c r="E409" s="12">
        <f>IFERROR(IF(SUMIFS(tblDaily[DeathsUnder24Hrs],tblDaily[EntryDate],DATE(2026,11,13),tblDaily[WardCode],"CW")=0,"",SUMIFS(tblDaily[DeathsUnder24Hrs],tblDaily[EntryDate],DATE(2026,11,13),tblDaily[WardCode],"CW")),"")</f>
        <v/>
      </c>
      <c r="F409" s="12">
        <f>IFERROR(IF(SUMIFS(tblDaily[TransfersIn],tblDaily[EntryDate],DATE(2026,11,13),tblDaily[WardCode],"CW")=0,"",SUMIFS(tblDaily[TransfersIn],tblDaily[EntryDate],DATE(2026,11,13),tblDaily[WardCode],"CW")),"")</f>
        <v/>
      </c>
      <c r="G409" s="12">
        <f>IFERROR(IF(SUMIFS(tblDaily[TransfersOut],tblDaily[EntryDate],DATE(2026,11,13),tblDaily[WardCode],"CW")=0,"",SUMIFS(tblDaily[TransfersOut],tblDaily[EntryDate],DATE(2026,11,13),tblDaily[WardCode],"CW")),"")</f>
        <v/>
      </c>
      <c r="H409" s="12">
        <f>IFERROR(IF(SUMIFS(tblDaily[Remaining],tblDaily[EntryDate],DATE(2026,11,13),tblDaily[WardCode],"CW")=0,"",SUMIFS(tblDaily[Remaining],tblDaily[EntryDate],DATE(2026,11,13),tblDaily[WardCode],"CW")),"")</f>
        <v/>
      </c>
    </row>
    <row r="410">
      <c r="A410" s="12" t="n">
        <v>14</v>
      </c>
      <c r="B410" s="12">
        <f>IFERROR(IF(SUMIFS(tblDaily[Admissions],tblDaily[EntryDate],DATE(2026,11,14),tblDaily[WardCode],"CW")=0,"",SUMIFS(tblDaily[Admissions],tblDaily[EntryDate],DATE(2026,11,14),tblDaily[WardCode],"CW")),"")</f>
        <v/>
      </c>
      <c r="C410" s="12">
        <f>IFERROR(IF(SUMIFS(tblDaily[Discharges],tblDaily[EntryDate],DATE(2026,11,14),tblDaily[WardCode],"CW")=0,"",SUMIFS(tblDaily[Discharges],tblDaily[EntryDate],DATE(2026,11,14),tblDaily[WardCode],"CW")),"")</f>
        <v/>
      </c>
      <c r="D410" s="12">
        <f>IFERROR(IF(SUMIFS(tblDaily[Deaths],tblDaily[EntryDate],DATE(2026,11,14),tblDaily[WardCode],"CW")=0,"",SUMIFS(tblDaily[Deaths],tblDaily[EntryDate],DATE(2026,11,14),tblDaily[WardCode],"CW")),"")</f>
        <v/>
      </c>
      <c r="E410" s="12">
        <f>IFERROR(IF(SUMIFS(tblDaily[DeathsUnder24Hrs],tblDaily[EntryDate],DATE(2026,11,14),tblDaily[WardCode],"CW")=0,"",SUMIFS(tblDaily[DeathsUnder24Hrs],tblDaily[EntryDate],DATE(2026,11,14),tblDaily[WardCode],"CW")),"")</f>
        <v/>
      </c>
      <c r="F410" s="12">
        <f>IFERROR(IF(SUMIFS(tblDaily[TransfersIn],tblDaily[EntryDate],DATE(2026,11,14),tblDaily[WardCode],"CW")=0,"",SUMIFS(tblDaily[TransfersIn],tblDaily[EntryDate],DATE(2026,11,14),tblDaily[WardCode],"CW")),"")</f>
        <v/>
      </c>
      <c r="G410" s="12">
        <f>IFERROR(IF(SUMIFS(tblDaily[TransfersOut],tblDaily[EntryDate],DATE(2026,11,14),tblDaily[WardCode],"CW")=0,"",SUMIFS(tblDaily[TransfersOut],tblDaily[EntryDate],DATE(2026,11,14),tblDaily[WardCode],"CW")),"")</f>
        <v/>
      </c>
      <c r="H410" s="12">
        <f>IFERROR(IF(SUMIFS(tblDaily[Remaining],tblDaily[EntryDate],DATE(2026,11,14),tblDaily[WardCode],"CW")=0,"",SUMIFS(tblDaily[Remaining],tblDaily[EntryDate],DATE(2026,11,14),tblDaily[WardCode],"CW")),"")</f>
        <v/>
      </c>
    </row>
    <row r="411">
      <c r="A411" s="12" t="n">
        <v>15</v>
      </c>
      <c r="B411" s="12">
        <f>IFERROR(IF(SUMIFS(tblDaily[Admissions],tblDaily[EntryDate],DATE(2026,11,15),tblDaily[WardCode],"CW")=0,"",SUMIFS(tblDaily[Admissions],tblDaily[EntryDate],DATE(2026,11,15),tblDaily[WardCode],"CW")),"")</f>
        <v/>
      </c>
      <c r="C411" s="12">
        <f>IFERROR(IF(SUMIFS(tblDaily[Discharges],tblDaily[EntryDate],DATE(2026,11,15),tblDaily[WardCode],"CW")=0,"",SUMIFS(tblDaily[Discharges],tblDaily[EntryDate],DATE(2026,11,15),tblDaily[WardCode],"CW")),"")</f>
        <v/>
      </c>
      <c r="D411" s="12">
        <f>IFERROR(IF(SUMIFS(tblDaily[Deaths],tblDaily[EntryDate],DATE(2026,11,15),tblDaily[WardCode],"CW")=0,"",SUMIFS(tblDaily[Deaths],tblDaily[EntryDate],DATE(2026,11,15),tblDaily[WardCode],"CW")),"")</f>
        <v/>
      </c>
      <c r="E411" s="12">
        <f>IFERROR(IF(SUMIFS(tblDaily[DeathsUnder24Hrs],tblDaily[EntryDate],DATE(2026,11,15),tblDaily[WardCode],"CW")=0,"",SUMIFS(tblDaily[DeathsUnder24Hrs],tblDaily[EntryDate],DATE(2026,11,15),tblDaily[WardCode],"CW")),"")</f>
        <v/>
      </c>
      <c r="F411" s="12">
        <f>IFERROR(IF(SUMIFS(tblDaily[TransfersIn],tblDaily[EntryDate],DATE(2026,11,15),tblDaily[WardCode],"CW")=0,"",SUMIFS(tblDaily[TransfersIn],tblDaily[EntryDate],DATE(2026,11,15),tblDaily[WardCode],"CW")),"")</f>
        <v/>
      </c>
      <c r="G411" s="12">
        <f>IFERROR(IF(SUMIFS(tblDaily[TransfersOut],tblDaily[EntryDate],DATE(2026,11,15),tblDaily[WardCode],"CW")=0,"",SUMIFS(tblDaily[TransfersOut],tblDaily[EntryDate],DATE(2026,11,15),tblDaily[WardCode],"CW")),"")</f>
        <v/>
      </c>
      <c r="H411" s="12">
        <f>IFERROR(IF(SUMIFS(tblDaily[Remaining],tblDaily[EntryDate],DATE(2026,11,15),tblDaily[WardCode],"CW")=0,"",SUMIFS(tblDaily[Remaining],tblDaily[EntryDate],DATE(2026,11,15),tblDaily[WardCode],"CW")),"")</f>
        <v/>
      </c>
    </row>
    <row r="412">
      <c r="A412" s="12" t="n">
        <v>16</v>
      </c>
      <c r="B412" s="12">
        <f>IFERROR(IF(SUMIFS(tblDaily[Admissions],tblDaily[EntryDate],DATE(2026,11,16),tblDaily[WardCode],"CW")=0,"",SUMIFS(tblDaily[Admissions],tblDaily[EntryDate],DATE(2026,11,16),tblDaily[WardCode],"CW")),"")</f>
        <v/>
      </c>
      <c r="C412" s="12">
        <f>IFERROR(IF(SUMIFS(tblDaily[Discharges],tblDaily[EntryDate],DATE(2026,11,16),tblDaily[WardCode],"CW")=0,"",SUMIFS(tblDaily[Discharges],tblDaily[EntryDate],DATE(2026,11,16),tblDaily[WardCode],"CW")),"")</f>
        <v/>
      </c>
      <c r="D412" s="12">
        <f>IFERROR(IF(SUMIFS(tblDaily[Deaths],tblDaily[EntryDate],DATE(2026,11,16),tblDaily[WardCode],"CW")=0,"",SUMIFS(tblDaily[Deaths],tblDaily[EntryDate],DATE(2026,11,16),tblDaily[WardCode],"CW")),"")</f>
        <v/>
      </c>
      <c r="E412" s="12">
        <f>IFERROR(IF(SUMIFS(tblDaily[DeathsUnder24Hrs],tblDaily[EntryDate],DATE(2026,11,16),tblDaily[WardCode],"CW")=0,"",SUMIFS(tblDaily[DeathsUnder24Hrs],tblDaily[EntryDate],DATE(2026,11,16),tblDaily[WardCode],"CW")),"")</f>
        <v/>
      </c>
      <c r="F412" s="12">
        <f>IFERROR(IF(SUMIFS(tblDaily[TransfersIn],tblDaily[EntryDate],DATE(2026,11,16),tblDaily[WardCode],"CW")=0,"",SUMIFS(tblDaily[TransfersIn],tblDaily[EntryDate],DATE(2026,11,16),tblDaily[WardCode],"CW")),"")</f>
        <v/>
      </c>
      <c r="G412" s="12">
        <f>IFERROR(IF(SUMIFS(tblDaily[TransfersOut],tblDaily[EntryDate],DATE(2026,11,16),tblDaily[WardCode],"CW")=0,"",SUMIFS(tblDaily[TransfersOut],tblDaily[EntryDate],DATE(2026,11,16),tblDaily[WardCode],"CW")),"")</f>
        <v/>
      </c>
      <c r="H412" s="12">
        <f>IFERROR(IF(SUMIFS(tblDaily[Remaining],tblDaily[EntryDate],DATE(2026,11,16),tblDaily[WardCode],"CW")=0,"",SUMIFS(tblDaily[Remaining],tblDaily[EntryDate],DATE(2026,11,16),tblDaily[WardCode],"CW")),"")</f>
        <v/>
      </c>
    </row>
    <row r="413">
      <c r="A413" s="12" t="n">
        <v>17</v>
      </c>
      <c r="B413" s="12">
        <f>IFERROR(IF(SUMIFS(tblDaily[Admissions],tblDaily[EntryDate],DATE(2026,11,17),tblDaily[WardCode],"CW")=0,"",SUMIFS(tblDaily[Admissions],tblDaily[EntryDate],DATE(2026,11,17),tblDaily[WardCode],"CW")),"")</f>
        <v/>
      </c>
      <c r="C413" s="12">
        <f>IFERROR(IF(SUMIFS(tblDaily[Discharges],tblDaily[EntryDate],DATE(2026,11,17),tblDaily[WardCode],"CW")=0,"",SUMIFS(tblDaily[Discharges],tblDaily[EntryDate],DATE(2026,11,17),tblDaily[WardCode],"CW")),"")</f>
        <v/>
      </c>
      <c r="D413" s="12">
        <f>IFERROR(IF(SUMIFS(tblDaily[Deaths],tblDaily[EntryDate],DATE(2026,11,17),tblDaily[WardCode],"CW")=0,"",SUMIFS(tblDaily[Deaths],tblDaily[EntryDate],DATE(2026,11,17),tblDaily[WardCode],"CW")),"")</f>
        <v/>
      </c>
      <c r="E413" s="12">
        <f>IFERROR(IF(SUMIFS(tblDaily[DeathsUnder24Hrs],tblDaily[EntryDate],DATE(2026,11,17),tblDaily[WardCode],"CW")=0,"",SUMIFS(tblDaily[DeathsUnder24Hrs],tblDaily[EntryDate],DATE(2026,11,17),tblDaily[WardCode],"CW")),"")</f>
        <v/>
      </c>
      <c r="F413" s="12">
        <f>IFERROR(IF(SUMIFS(tblDaily[TransfersIn],tblDaily[EntryDate],DATE(2026,11,17),tblDaily[WardCode],"CW")=0,"",SUMIFS(tblDaily[TransfersIn],tblDaily[EntryDate],DATE(2026,11,17),tblDaily[WardCode],"CW")),"")</f>
        <v/>
      </c>
      <c r="G413" s="12">
        <f>IFERROR(IF(SUMIFS(tblDaily[TransfersOut],tblDaily[EntryDate],DATE(2026,11,17),tblDaily[WardCode],"CW")=0,"",SUMIFS(tblDaily[TransfersOut],tblDaily[EntryDate],DATE(2026,11,17),tblDaily[WardCode],"CW")),"")</f>
        <v/>
      </c>
      <c r="H413" s="12">
        <f>IFERROR(IF(SUMIFS(tblDaily[Remaining],tblDaily[EntryDate],DATE(2026,11,17),tblDaily[WardCode],"CW")=0,"",SUMIFS(tblDaily[Remaining],tblDaily[EntryDate],DATE(2026,11,17),tblDaily[WardCode],"CW")),"")</f>
        <v/>
      </c>
    </row>
    <row r="414">
      <c r="A414" s="12" t="n">
        <v>18</v>
      </c>
      <c r="B414" s="12">
        <f>IFERROR(IF(SUMIFS(tblDaily[Admissions],tblDaily[EntryDate],DATE(2026,11,18),tblDaily[WardCode],"CW")=0,"",SUMIFS(tblDaily[Admissions],tblDaily[EntryDate],DATE(2026,11,18),tblDaily[WardCode],"CW")),"")</f>
        <v/>
      </c>
      <c r="C414" s="12">
        <f>IFERROR(IF(SUMIFS(tblDaily[Discharges],tblDaily[EntryDate],DATE(2026,11,18),tblDaily[WardCode],"CW")=0,"",SUMIFS(tblDaily[Discharges],tblDaily[EntryDate],DATE(2026,11,18),tblDaily[WardCode],"CW")),"")</f>
        <v/>
      </c>
      <c r="D414" s="12">
        <f>IFERROR(IF(SUMIFS(tblDaily[Deaths],tblDaily[EntryDate],DATE(2026,11,18),tblDaily[WardCode],"CW")=0,"",SUMIFS(tblDaily[Deaths],tblDaily[EntryDate],DATE(2026,11,18),tblDaily[WardCode],"CW")),"")</f>
        <v/>
      </c>
      <c r="E414" s="12">
        <f>IFERROR(IF(SUMIFS(tblDaily[DeathsUnder24Hrs],tblDaily[EntryDate],DATE(2026,11,18),tblDaily[WardCode],"CW")=0,"",SUMIFS(tblDaily[DeathsUnder24Hrs],tblDaily[EntryDate],DATE(2026,11,18),tblDaily[WardCode],"CW")),"")</f>
        <v/>
      </c>
      <c r="F414" s="12">
        <f>IFERROR(IF(SUMIFS(tblDaily[TransfersIn],tblDaily[EntryDate],DATE(2026,11,18),tblDaily[WardCode],"CW")=0,"",SUMIFS(tblDaily[TransfersIn],tblDaily[EntryDate],DATE(2026,11,18),tblDaily[WardCode],"CW")),"")</f>
        <v/>
      </c>
      <c r="G414" s="12">
        <f>IFERROR(IF(SUMIFS(tblDaily[TransfersOut],tblDaily[EntryDate],DATE(2026,11,18),tblDaily[WardCode],"CW")=0,"",SUMIFS(tblDaily[TransfersOut],tblDaily[EntryDate],DATE(2026,11,18),tblDaily[WardCode],"CW")),"")</f>
        <v/>
      </c>
      <c r="H414" s="12">
        <f>IFERROR(IF(SUMIFS(tblDaily[Remaining],tblDaily[EntryDate],DATE(2026,11,18),tblDaily[WardCode],"CW")=0,"",SUMIFS(tblDaily[Remaining],tblDaily[EntryDate],DATE(2026,11,18),tblDaily[WardCode],"CW")),"")</f>
        <v/>
      </c>
    </row>
    <row r="415">
      <c r="A415" s="12" t="n">
        <v>19</v>
      </c>
      <c r="B415" s="12">
        <f>IFERROR(IF(SUMIFS(tblDaily[Admissions],tblDaily[EntryDate],DATE(2026,11,19),tblDaily[WardCode],"CW")=0,"",SUMIFS(tblDaily[Admissions],tblDaily[EntryDate],DATE(2026,11,19),tblDaily[WardCode],"CW")),"")</f>
        <v/>
      </c>
      <c r="C415" s="12">
        <f>IFERROR(IF(SUMIFS(tblDaily[Discharges],tblDaily[EntryDate],DATE(2026,11,19),tblDaily[WardCode],"CW")=0,"",SUMIFS(tblDaily[Discharges],tblDaily[EntryDate],DATE(2026,11,19),tblDaily[WardCode],"CW")),"")</f>
        <v/>
      </c>
      <c r="D415" s="12">
        <f>IFERROR(IF(SUMIFS(tblDaily[Deaths],tblDaily[EntryDate],DATE(2026,11,19),tblDaily[WardCode],"CW")=0,"",SUMIFS(tblDaily[Deaths],tblDaily[EntryDate],DATE(2026,11,19),tblDaily[WardCode],"CW")),"")</f>
        <v/>
      </c>
      <c r="E415" s="12">
        <f>IFERROR(IF(SUMIFS(tblDaily[DeathsUnder24Hrs],tblDaily[EntryDate],DATE(2026,11,19),tblDaily[WardCode],"CW")=0,"",SUMIFS(tblDaily[DeathsUnder24Hrs],tblDaily[EntryDate],DATE(2026,11,19),tblDaily[WardCode],"CW")),"")</f>
        <v/>
      </c>
      <c r="F415" s="12">
        <f>IFERROR(IF(SUMIFS(tblDaily[TransfersIn],tblDaily[EntryDate],DATE(2026,11,19),tblDaily[WardCode],"CW")=0,"",SUMIFS(tblDaily[TransfersIn],tblDaily[EntryDate],DATE(2026,11,19),tblDaily[WardCode],"CW")),"")</f>
        <v/>
      </c>
      <c r="G415" s="12">
        <f>IFERROR(IF(SUMIFS(tblDaily[TransfersOut],tblDaily[EntryDate],DATE(2026,11,19),tblDaily[WardCode],"CW")=0,"",SUMIFS(tblDaily[TransfersOut],tblDaily[EntryDate],DATE(2026,11,19),tblDaily[WardCode],"CW")),"")</f>
        <v/>
      </c>
      <c r="H415" s="12">
        <f>IFERROR(IF(SUMIFS(tblDaily[Remaining],tblDaily[EntryDate],DATE(2026,11,19),tblDaily[WardCode],"CW")=0,"",SUMIFS(tblDaily[Remaining],tblDaily[EntryDate],DATE(2026,11,19),tblDaily[WardCode],"CW")),"")</f>
        <v/>
      </c>
    </row>
    <row r="416">
      <c r="A416" s="12" t="n">
        <v>20</v>
      </c>
      <c r="B416" s="12">
        <f>IFERROR(IF(SUMIFS(tblDaily[Admissions],tblDaily[EntryDate],DATE(2026,11,20),tblDaily[WardCode],"CW")=0,"",SUMIFS(tblDaily[Admissions],tblDaily[EntryDate],DATE(2026,11,20),tblDaily[WardCode],"CW")),"")</f>
        <v/>
      </c>
      <c r="C416" s="12">
        <f>IFERROR(IF(SUMIFS(tblDaily[Discharges],tblDaily[EntryDate],DATE(2026,11,20),tblDaily[WardCode],"CW")=0,"",SUMIFS(tblDaily[Discharges],tblDaily[EntryDate],DATE(2026,11,20),tblDaily[WardCode],"CW")),"")</f>
        <v/>
      </c>
      <c r="D416" s="12">
        <f>IFERROR(IF(SUMIFS(tblDaily[Deaths],tblDaily[EntryDate],DATE(2026,11,20),tblDaily[WardCode],"CW")=0,"",SUMIFS(tblDaily[Deaths],tblDaily[EntryDate],DATE(2026,11,20),tblDaily[WardCode],"CW")),"")</f>
        <v/>
      </c>
      <c r="E416" s="12">
        <f>IFERROR(IF(SUMIFS(tblDaily[DeathsUnder24Hrs],tblDaily[EntryDate],DATE(2026,11,20),tblDaily[WardCode],"CW")=0,"",SUMIFS(tblDaily[DeathsUnder24Hrs],tblDaily[EntryDate],DATE(2026,11,20),tblDaily[WardCode],"CW")),"")</f>
        <v/>
      </c>
      <c r="F416" s="12">
        <f>IFERROR(IF(SUMIFS(tblDaily[TransfersIn],tblDaily[EntryDate],DATE(2026,11,20),tblDaily[WardCode],"CW")=0,"",SUMIFS(tblDaily[TransfersIn],tblDaily[EntryDate],DATE(2026,11,20),tblDaily[WardCode],"CW")),"")</f>
        <v/>
      </c>
      <c r="G416" s="12">
        <f>IFERROR(IF(SUMIFS(tblDaily[TransfersOut],tblDaily[EntryDate],DATE(2026,11,20),tblDaily[WardCode],"CW")=0,"",SUMIFS(tblDaily[TransfersOut],tblDaily[EntryDate],DATE(2026,11,20),tblDaily[WardCode],"CW")),"")</f>
        <v/>
      </c>
      <c r="H416" s="12">
        <f>IFERROR(IF(SUMIFS(tblDaily[Remaining],tblDaily[EntryDate],DATE(2026,11,20),tblDaily[WardCode],"CW")=0,"",SUMIFS(tblDaily[Remaining],tblDaily[EntryDate],DATE(2026,11,20),tblDaily[WardCode],"CW")),"")</f>
        <v/>
      </c>
    </row>
    <row r="417">
      <c r="A417" s="12" t="n">
        <v>21</v>
      </c>
      <c r="B417" s="12">
        <f>IFERROR(IF(SUMIFS(tblDaily[Admissions],tblDaily[EntryDate],DATE(2026,11,21),tblDaily[WardCode],"CW")=0,"",SUMIFS(tblDaily[Admissions],tblDaily[EntryDate],DATE(2026,11,21),tblDaily[WardCode],"CW")),"")</f>
        <v/>
      </c>
      <c r="C417" s="12">
        <f>IFERROR(IF(SUMIFS(tblDaily[Discharges],tblDaily[EntryDate],DATE(2026,11,21),tblDaily[WardCode],"CW")=0,"",SUMIFS(tblDaily[Discharges],tblDaily[EntryDate],DATE(2026,11,21),tblDaily[WardCode],"CW")),"")</f>
        <v/>
      </c>
      <c r="D417" s="12">
        <f>IFERROR(IF(SUMIFS(tblDaily[Deaths],tblDaily[EntryDate],DATE(2026,11,21),tblDaily[WardCode],"CW")=0,"",SUMIFS(tblDaily[Deaths],tblDaily[EntryDate],DATE(2026,11,21),tblDaily[WardCode],"CW")),"")</f>
        <v/>
      </c>
      <c r="E417" s="12">
        <f>IFERROR(IF(SUMIFS(tblDaily[DeathsUnder24Hrs],tblDaily[EntryDate],DATE(2026,11,21),tblDaily[WardCode],"CW")=0,"",SUMIFS(tblDaily[DeathsUnder24Hrs],tblDaily[EntryDate],DATE(2026,11,21),tblDaily[WardCode],"CW")),"")</f>
        <v/>
      </c>
      <c r="F417" s="12">
        <f>IFERROR(IF(SUMIFS(tblDaily[TransfersIn],tblDaily[EntryDate],DATE(2026,11,21),tblDaily[WardCode],"CW")=0,"",SUMIFS(tblDaily[TransfersIn],tblDaily[EntryDate],DATE(2026,11,21),tblDaily[WardCode],"CW")),"")</f>
        <v/>
      </c>
      <c r="G417" s="12">
        <f>IFERROR(IF(SUMIFS(tblDaily[TransfersOut],tblDaily[EntryDate],DATE(2026,11,21),tblDaily[WardCode],"CW")=0,"",SUMIFS(tblDaily[TransfersOut],tblDaily[EntryDate],DATE(2026,11,21),tblDaily[WardCode],"CW")),"")</f>
        <v/>
      </c>
      <c r="H417" s="12">
        <f>IFERROR(IF(SUMIFS(tblDaily[Remaining],tblDaily[EntryDate],DATE(2026,11,21),tblDaily[WardCode],"CW")=0,"",SUMIFS(tblDaily[Remaining],tblDaily[EntryDate],DATE(2026,11,21),tblDaily[WardCode],"CW")),"")</f>
        <v/>
      </c>
    </row>
    <row r="418">
      <c r="A418" s="12" t="n">
        <v>22</v>
      </c>
      <c r="B418" s="12">
        <f>IFERROR(IF(SUMIFS(tblDaily[Admissions],tblDaily[EntryDate],DATE(2026,11,22),tblDaily[WardCode],"CW")=0,"",SUMIFS(tblDaily[Admissions],tblDaily[EntryDate],DATE(2026,11,22),tblDaily[WardCode],"CW")),"")</f>
        <v/>
      </c>
      <c r="C418" s="12">
        <f>IFERROR(IF(SUMIFS(tblDaily[Discharges],tblDaily[EntryDate],DATE(2026,11,22),tblDaily[WardCode],"CW")=0,"",SUMIFS(tblDaily[Discharges],tblDaily[EntryDate],DATE(2026,11,22),tblDaily[WardCode],"CW")),"")</f>
        <v/>
      </c>
      <c r="D418" s="12">
        <f>IFERROR(IF(SUMIFS(tblDaily[Deaths],tblDaily[EntryDate],DATE(2026,11,22),tblDaily[WardCode],"CW")=0,"",SUMIFS(tblDaily[Deaths],tblDaily[EntryDate],DATE(2026,11,22),tblDaily[WardCode],"CW")),"")</f>
        <v/>
      </c>
      <c r="E418" s="12">
        <f>IFERROR(IF(SUMIFS(tblDaily[DeathsUnder24Hrs],tblDaily[EntryDate],DATE(2026,11,22),tblDaily[WardCode],"CW")=0,"",SUMIFS(tblDaily[DeathsUnder24Hrs],tblDaily[EntryDate],DATE(2026,11,22),tblDaily[WardCode],"CW")),"")</f>
        <v/>
      </c>
      <c r="F418" s="12">
        <f>IFERROR(IF(SUMIFS(tblDaily[TransfersIn],tblDaily[EntryDate],DATE(2026,11,22),tblDaily[WardCode],"CW")=0,"",SUMIFS(tblDaily[TransfersIn],tblDaily[EntryDate],DATE(2026,11,22),tblDaily[WardCode],"CW")),"")</f>
        <v/>
      </c>
      <c r="G418" s="12">
        <f>IFERROR(IF(SUMIFS(tblDaily[TransfersOut],tblDaily[EntryDate],DATE(2026,11,22),tblDaily[WardCode],"CW")=0,"",SUMIFS(tblDaily[TransfersOut],tblDaily[EntryDate],DATE(2026,11,22),tblDaily[WardCode],"CW")),"")</f>
        <v/>
      </c>
      <c r="H418" s="12">
        <f>IFERROR(IF(SUMIFS(tblDaily[Remaining],tblDaily[EntryDate],DATE(2026,11,22),tblDaily[WardCode],"CW")=0,"",SUMIFS(tblDaily[Remaining],tblDaily[EntryDate],DATE(2026,11,22),tblDaily[WardCode],"CW")),"")</f>
        <v/>
      </c>
    </row>
    <row r="419">
      <c r="A419" s="12" t="n">
        <v>23</v>
      </c>
      <c r="B419" s="12">
        <f>IFERROR(IF(SUMIFS(tblDaily[Admissions],tblDaily[EntryDate],DATE(2026,11,23),tblDaily[WardCode],"CW")=0,"",SUMIFS(tblDaily[Admissions],tblDaily[EntryDate],DATE(2026,11,23),tblDaily[WardCode],"CW")),"")</f>
        <v/>
      </c>
      <c r="C419" s="12">
        <f>IFERROR(IF(SUMIFS(tblDaily[Discharges],tblDaily[EntryDate],DATE(2026,11,23),tblDaily[WardCode],"CW")=0,"",SUMIFS(tblDaily[Discharges],tblDaily[EntryDate],DATE(2026,11,23),tblDaily[WardCode],"CW")),"")</f>
        <v/>
      </c>
      <c r="D419" s="12">
        <f>IFERROR(IF(SUMIFS(tblDaily[Deaths],tblDaily[EntryDate],DATE(2026,11,23),tblDaily[WardCode],"CW")=0,"",SUMIFS(tblDaily[Deaths],tblDaily[EntryDate],DATE(2026,11,23),tblDaily[WardCode],"CW")),"")</f>
        <v/>
      </c>
      <c r="E419" s="12">
        <f>IFERROR(IF(SUMIFS(tblDaily[DeathsUnder24Hrs],tblDaily[EntryDate],DATE(2026,11,23),tblDaily[WardCode],"CW")=0,"",SUMIFS(tblDaily[DeathsUnder24Hrs],tblDaily[EntryDate],DATE(2026,11,23),tblDaily[WardCode],"CW")),"")</f>
        <v/>
      </c>
      <c r="F419" s="12">
        <f>IFERROR(IF(SUMIFS(tblDaily[TransfersIn],tblDaily[EntryDate],DATE(2026,11,23),tblDaily[WardCode],"CW")=0,"",SUMIFS(tblDaily[TransfersIn],tblDaily[EntryDate],DATE(2026,11,23),tblDaily[WardCode],"CW")),"")</f>
        <v/>
      </c>
      <c r="G419" s="12">
        <f>IFERROR(IF(SUMIFS(tblDaily[TransfersOut],tblDaily[EntryDate],DATE(2026,11,23),tblDaily[WardCode],"CW")=0,"",SUMIFS(tblDaily[TransfersOut],tblDaily[EntryDate],DATE(2026,11,23),tblDaily[WardCode],"CW")),"")</f>
        <v/>
      </c>
      <c r="H419" s="12">
        <f>IFERROR(IF(SUMIFS(tblDaily[Remaining],tblDaily[EntryDate],DATE(2026,11,23),tblDaily[WardCode],"CW")=0,"",SUMIFS(tblDaily[Remaining],tblDaily[EntryDate],DATE(2026,11,23),tblDaily[WardCode],"CW")),"")</f>
        <v/>
      </c>
    </row>
    <row r="420">
      <c r="A420" s="12" t="n">
        <v>24</v>
      </c>
      <c r="B420" s="12">
        <f>IFERROR(IF(SUMIFS(tblDaily[Admissions],tblDaily[EntryDate],DATE(2026,11,24),tblDaily[WardCode],"CW")=0,"",SUMIFS(tblDaily[Admissions],tblDaily[EntryDate],DATE(2026,11,24),tblDaily[WardCode],"CW")),"")</f>
        <v/>
      </c>
      <c r="C420" s="12">
        <f>IFERROR(IF(SUMIFS(tblDaily[Discharges],tblDaily[EntryDate],DATE(2026,11,24),tblDaily[WardCode],"CW")=0,"",SUMIFS(tblDaily[Discharges],tblDaily[EntryDate],DATE(2026,11,24),tblDaily[WardCode],"CW")),"")</f>
        <v/>
      </c>
      <c r="D420" s="12">
        <f>IFERROR(IF(SUMIFS(tblDaily[Deaths],tblDaily[EntryDate],DATE(2026,11,24),tblDaily[WardCode],"CW")=0,"",SUMIFS(tblDaily[Deaths],tblDaily[EntryDate],DATE(2026,11,24),tblDaily[WardCode],"CW")),"")</f>
        <v/>
      </c>
      <c r="E420" s="12">
        <f>IFERROR(IF(SUMIFS(tblDaily[DeathsUnder24Hrs],tblDaily[EntryDate],DATE(2026,11,24),tblDaily[WardCode],"CW")=0,"",SUMIFS(tblDaily[DeathsUnder24Hrs],tblDaily[EntryDate],DATE(2026,11,24),tblDaily[WardCode],"CW")),"")</f>
        <v/>
      </c>
      <c r="F420" s="12">
        <f>IFERROR(IF(SUMIFS(tblDaily[TransfersIn],tblDaily[EntryDate],DATE(2026,11,24),tblDaily[WardCode],"CW")=0,"",SUMIFS(tblDaily[TransfersIn],tblDaily[EntryDate],DATE(2026,11,24),tblDaily[WardCode],"CW")),"")</f>
        <v/>
      </c>
      <c r="G420" s="12">
        <f>IFERROR(IF(SUMIFS(tblDaily[TransfersOut],tblDaily[EntryDate],DATE(2026,11,24),tblDaily[WardCode],"CW")=0,"",SUMIFS(tblDaily[TransfersOut],tblDaily[EntryDate],DATE(2026,11,24),tblDaily[WardCode],"CW")),"")</f>
        <v/>
      </c>
      <c r="H420" s="12">
        <f>IFERROR(IF(SUMIFS(tblDaily[Remaining],tblDaily[EntryDate],DATE(2026,11,24),tblDaily[WardCode],"CW")=0,"",SUMIFS(tblDaily[Remaining],tblDaily[EntryDate],DATE(2026,11,24),tblDaily[WardCode],"CW")),"")</f>
        <v/>
      </c>
    </row>
    <row r="421">
      <c r="A421" s="12" t="n">
        <v>25</v>
      </c>
      <c r="B421" s="12">
        <f>IFERROR(IF(SUMIFS(tblDaily[Admissions],tblDaily[EntryDate],DATE(2026,11,25),tblDaily[WardCode],"CW")=0,"",SUMIFS(tblDaily[Admissions],tblDaily[EntryDate],DATE(2026,11,25),tblDaily[WardCode],"CW")),"")</f>
        <v/>
      </c>
      <c r="C421" s="12">
        <f>IFERROR(IF(SUMIFS(tblDaily[Discharges],tblDaily[EntryDate],DATE(2026,11,25),tblDaily[WardCode],"CW")=0,"",SUMIFS(tblDaily[Discharges],tblDaily[EntryDate],DATE(2026,11,25),tblDaily[WardCode],"CW")),"")</f>
        <v/>
      </c>
      <c r="D421" s="12">
        <f>IFERROR(IF(SUMIFS(tblDaily[Deaths],tblDaily[EntryDate],DATE(2026,11,25),tblDaily[WardCode],"CW")=0,"",SUMIFS(tblDaily[Deaths],tblDaily[EntryDate],DATE(2026,11,25),tblDaily[WardCode],"CW")),"")</f>
        <v/>
      </c>
      <c r="E421" s="12">
        <f>IFERROR(IF(SUMIFS(tblDaily[DeathsUnder24Hrs],tblDaily[EntryDate],DATE(2026,11,25),tblDaily[WardCode],"CW")=0,"",SUMIFS(tblDaily[DeathsUnder24Hrs],tblDaily[EntryDate],DATE(2026,11,25),tblDaily[WardCode],"CW")),"")</f>
        <v/>
      </c>
      <c r="F421" s="12">
        <f>IFERROR(IF(SUMIFS(tblDaily[TransfersIn],tblDaily[EntryDate],DATE(2026,11,25),tblDaily[WardCode],"CW")=0,"",SUMIFS(tblDaily[TransfersIn],tblDaily[EntryDate],DATE(2026,11,25),tblDaily[WardCode],"CW")),"")</f>
        <v/>
      </c>
      <c r="G421" s="12">
        <f>IFERROR(IF(SUMIFS(tblDaily[TransfersOut],tblDaily[EntryDate],DATE(2026,11,25),tblDaily[WardCode],"CW")=0,"",SUMIFS(tblDaily[TransfersOut],tblDaily[EntryDate],DATE(2026,11,25),tblDaily[WardCode],"CW")),"")</f>
        <v/>
      </c>
      <c r="H421" s="12">
        <f>IFERROR(IF(SUMIFS(tblDaily[Remaining],tblDaily[EntryDate],DATE(2026,11,25),tblDaily[WardCode],"CW")=0,"",SUMIFS(tblDaily[Remaining],tblDaily[EntryDate],DATE(2026,11,25),tblDaily[WardCode],"CW")),"")</f>
        <v/>
      </c>
    </row>
    <row r="422">
      <c r="A422" s="12" t="n">
        <v>26</v>
      </c>
      <c r="B422" s="12">
        <f>IFERROR(IF(SUMIFS(tblDaily[Admissions],tblDaily[EntryDate],DATE(2026,11,26),tblDaily[WardCode],"CW")=0,"",SUMIFS(tblDaily[Admissions],tblDaily[EntryDate],DATE(2026,11,26),tblDaily[WardCode],"CW")),"")</f>
        <v/>
      </c>
      <c r="C422" s="12">
        <f>IFERROR(IF(SUMIFS(tblDaily[Discharges],tblDaily[EntryDate],DATE(2026,11,26),tblDaily[WardCode],"CW")=0,"",SUMIFS(tblDaily[Discharges],tblDaily[EntryDate],DATE(2026,11,26),tblDaily[WardCode],"CW")),"")</f>
        <v/>
      </c>
      <c r="D422" s="12">
        <f>IFERROR(IF(SUMIFS(tblDaily[Deaths],tblDaily[EntryDate],DATE(2026,11,26),tblDaily[WardCode],"CW")=0,"",SUMIFS(tblDaily[Deaths],tblDaily[EntryDate],DATE(2026,11,26),tblDaily[WardCode],"CW")),"")</f>
        <v/>
      </c>
      <c r="E422" s="12">
        <f>IFERROR(IF(SUMIFS(tblDaily[DeathsUnder24Hrs],tblDaily[EntryDate],DATE(2026,11,26),tblDaily[WardCode],"CW")=0,"",SUMIFS(tblDaily[DeathsUnder24Hrs],tblDaily[EntryDate],DATE(2026,11,26),tblDaily[WardCode],"CW")),"")</f>
        <v/>
      </c>
      <c r="F422" s="12">
        <f>IFERROR(IF(SUMIFS(tblDaily[TransfersIn],tblDaily[EntryDate],DATE(2026,11,26),tblDaily[WardCode],"CW")=0,"",SUMIFS(tblDaily[TransfersIn],tblDaily[EntryDate],DATE(2026,11,26),tblDaily[WardCode],"CW")),"")</f>
        <v/>
      </c>
      <c r="G422" s="12">
        <f>IFERROR(IF(SUMIFS(tblDaily[TransfersOut],tblDaily[EntryDate],DATE(2026,11,26),tblDaily[WardCode],"CW")=0,"",SUMIFS(tblDaily[TransfersOut],tblDaily[EntryDate],DATE(2026,11,26),tblDaily[WardCode],"CW")),"")</f>
        <v/>
      </c>
      <c r="H422" s="12">
        <f>IFERROR(IF(SUMIFS(tblDaily[Remaining],tblDaily[EntryDate],DATE(2026,11,26),tblDaily[WardCode],"CW")=0,"",SUMIFS(tblDaily[Remaining],tblDaily[EntryDate],DATE(2026,11,26),tblDaily[WardCode],"CW")),"")</f>
        <v/>
      </c>
    </row>
    <row r="423">
      <c r="A423" s="12" t="n">
        <v>27</v>
      </c>
      <c r="B423" s="12">
        <f>IFERROR(IF(SUMIFS(tblDaily[Admissions],tblDaily[EntryDate],DATE(2026,11,27),tblDaily[WardCode],"CW")=0,"",SUMIFS(tblDaily[Admissions],tblDaily[EntryDate],DATE(2026,11,27),tblDaily[WardCode],"CW")),"")</f>
        <v/>
      </c>
      <c r="C423" s="12">
        <f>IFERROR(IF(SUMIFS(tblDaily[Discharges],tblDaily[EntryDate],DATE(2026,11,27),tblDaily[WardCode],"CW")=0,"",SUMIFS(tblDaily[Discharges],tblDaily[EntryDate],DATE(2026,11,27),tblDaily[WardCode],"CW")),"")</f>
        <v/>
      </c>
      <c r="D423" s="12">
        <f>IFERROR(IF(SUMIFS(tblDaily[Deaths],tblDaily[EntryDate],DATE(2026,11,27),tblDaily[WardCode],"CW")=0,"",SUMIFS(tblDaily[Deaths],tblDaily[EntryDate],DATE(2026,11,27),tblDaily[WardCode],"CW")),"")</f>
        <v/>
      </c>
      <c r="E423" s="12">
        <f>IFERROR(IF(SUMIFS(tblDaily[DeathsUnder24Hrs],tblDaily[EntryDate],DATE(2026,11,27),tblDaily[WardCode],"CW")=0,"",SUMIFS(tblDaily[DeathsUnder24Hrs],tblDaily[EntryDate],DATE(2026,11,27),tblDaily[WardCode],"CW")),"")</f>
        <v/>
      </c>
      <c r="F423" s="12">
        <f>IFERROR(IF(SUMIFS(tblDaily[TransfersIn],tblDaily[EntryDate],DATE(2026,11,27),tblDaily[WardCode],"CW")=0,"",SUMIFS(tblDaily[TransfersIn],tblDaily[EntryDate],DATE(2026,11,27),tblDaily[WardCode],"CW")),"")</f>
        <v/>
      </c>
      <c r="G423" s="12">
        <f>IFERROR(IF(SUMIFS(tblDaily[TransfersOut],tblDaily[EntryDate],DATE(2026,11,27),tblDaily[WardCode],"CW")=0,"",SUMIFS(tblDaily[TransfersOut],tblDaily[EntryDate],DATE(2026,11,27),tblDaily[WardCode],"CW")),"")</f>
        <v/>
      </c>
      <c r="H423" s="12">
        <f>IFERROR(IF(SUMIFS(tblDaily[Remaining],tblDaily[EntryDate],DATE(2026,11,27),tblDaily[WardCode],"CW")=0,"",SUMIFS(tblDaily[Remaining],tblDaily[EntryDate],DATE(2026,11,27),tblDaily[WardCode],"CW")),"")</f>
        <v/>
      </c>
    </row>
    <row r="424">
      <c r="A424" s="12" t="n">
        <v>28</v>
      </c>
      <c r="B424" s="12">
        <f>IFERROR(IF(SUMIFS(tblDaily[Admissions],tblDaily[EntryDate],DATE(2026,11,28),tblDaily[WardCode],"CW")=0,"",SUMIFS(tblDaily[Admissions],tblDaily[EntryDate],DATE(2026,11,28),tblDaily[WardCode],"CW")),"")</f>
        <v/>
      </c>
      <c r="C424" s="12">
        <f>IFERROR(IF(SUMIFS(tblDaily[Discharges],tblDaily[EntryDate],DATE(2026,11,28),tblDaily[WardCode],"CW")=0,"",SUMIFS(tblDaily[Discharges],tblDaily[EntryDate],DATE(2026,11,28),tblDaily[WardCode],"CW")),"")</f>
        <v/>
      </c>
      <c r="D424" s="12">
        <f>IFERROR(IF(SUMIFS(tblDaily[Deaths],tblDaily[EntryDate],DATE(2026,11,28),tblDaily[WardCode],"CW")=0,"",SUMIFS(tblDaily[Deaths],tblDaily[EntryDate],DATE(2026,11,28),tblDaily[WardCode],"CW")),"")</f>
        <v/>
      </c>
      <c r="E424" s="12">
        <f>IFERROR(IF(SUMIFS(tblDaily[DeathsUnder24Hrs],tblDaily[EntryDate],DATE(2026,11,28),tblDaily[WardCode],"CW")=0,"",SUMIFS(tblDaily[DeathsUnder24Hrs],tblDaily[EntryDate],DATE(2026,11,28),tblDaily[WardCode],"CW")),"")</f>
        <v/>
      </c>
      <c r="F424" s="12">
        <f>IFERROR(IF(SUMIFS(tblDaily[TransfersIn],tblDaily[EntryDate],DATE(2026,11,28),tblDaily[WardCode],"CW")=0,"",SUMIFS(tblDaily[TransfersIn],tblDaily[EntryDate],DATE(2026,11,28),tblDaily[WardCode],"CW")),"")</f>
        <v/>
      </c>
      <c r="G424" s="12">
        <f>IFERROR(IF(SUMIFS(tblDaily[TransfersOut],tblDaily[EntryDate],DATE(2026,11,28),tblDaily[WardCode],"CW")=0,"",SUMIFS(tblDaily[TransfersOut],tblDaily[EntryDate],DATE(2026,11,28),tblDaily[WardCode],"CW")),"")</f>
        <v/>
      </c>
      <c r="H424" s="12">
        <f>IFERROR(IF(SUMIFS(tblDaily[Remaining],tblDaily[EntryDate],DATE(2026,11,28),tblDaily[WardCode],"CW")=0,"",SUMIFS(tblDaily[Remaining],tblDaily[EntryDate],DATE(2026,11,28),tblDaily[WardCode],"CW")),"")</f>
        <v/>
      </c>
    </row>
    <row r="425">
      <c r="A425" s="12" t="n">
        <v>29</v>
      </c>
      <c r="B425" s="12">
        <f>IFERROR(IF(SUMIFS(tblDaily[Admissions],tblDaily[EntryDate],DATE(2026,11,29),tblDaily[WardCode],"CW")=0,"",SUMIFS(tblDaily[Admissions],tblDaily[EntryDate],DATE(2026,11,29),tblDaily[WardCode],"CW")),"")</f>
        <v/>
      </c>
      <c r="C425" s="12">
        <f>IFERROR(IF(SUMIFS(tblDaily[Discharges],tblDaily[EntryDate],DATE(2026,11,29),tblDaily[WardCode],"CW")=0,"",SUMIFS(tblDaily[Discharges],tblDaily[EntryDate],DATE(2026,11,29),tblDaily[WardCode],"CW")),"")</f>
        <v/>
      </c>
      <c r="D425" s="12">
        <f>IFERROR(IF(SUMIFS(tblDaily[Deaths],tblDaily[EntryDate],DATE(2026,11,29),tblDaily[WardCode],"CW")=0,"",SUMIFS(tblDaily[Deaths],tblDaily[EntryDate],DATE(2026,11,29),tblDaily[WardCode],"CW")),"")</f>
        <v/>
      </c>
      <c r="E425" s="12">
        <f>IFERROR(IF(SUMIFS(tblDaily[DeathsUnder24Hrs],tblDaily[EntryDate],DATE(2026,11,29),tblDaily[WardCode],"CW")=0,"",SUMIFS(tblDaily[DeathsUnder24Hrs],tblDaily[EntryDate],DATE(2026,11,29),tblDaily[WardCode],"CW")),"")</f>
        <v/>
      </c>
      <c r="F425" s="12">
        <f>IFERROR(IF(SUMIFS(tblDaily[TransfersIn],tblDaily[EntryDate],DATE(2026,11,29),tblDaily[WardCode],"CW")=0,"",SUMIFS(tblDaily[TransfersIn],tblDaily[EntryDate],DATE(2026,11,29),tblDaily[WardCode],"CW")),"")</f>
        <v/>
      </c>
      <c r="G425" s="12">
        <f>IFERROR(IF(SUMIFS(tblDaily[TransfersOut],tblDaily[EntryDate],DATE(2026,11,29),tblDaily[WardCode],"CW")=0,"",SUMIFS(tblDaily[TransfersOut],tblDaily[EntryDate],DATE(2026,11,29),tblDaily[WardCode],"CW")),"")</f>
        <v/>
      </c>
      <c r="H425" s="12">
        <f>IFERROR(IF(SUMIFS(tblDaily[Remaining],tblDaily[EntryDate],DATE(2026,11,29),tblDaily[WardCode],"CW")=0,"",SUMIFS(tblDaily[Remaining],tblDaily[EntryDate],DATE(2026,11,29),tblDaily[WardCode],"CW")),"")</f>
        <v/>
      </c>
    </row>
    <row r="426">
      <c r="A426" s="12" t="n">
        <v>30</v>
      </c>
      <c r="B426" s="12">
        <f>IFERROR(IF(SUMIFS(tblDaily[Admissions],tblDaily[EntryDate],DATE(2026,11,30),tblDaily[WardCode],"CW")=0,"",SUMIFS(tblDaily[Admissions],tblDaily[EntryDate],DATE(2026,11,30),tblDaily[WardCode],"CW")),"")</f>
        <v/>
      </c>
      <c r="C426" s="12">
        <f>IFERROR(IF(SUMIFS(tblDaily[Discharges],tblDaily[EntryDate],DATE(2026,11,30),tblDaily[WardCode],"CW")=0,"",SUMIFS(tblDaily[Discharges],tblDaily[EntryDate],DATE(2026,11,30),tblDaily[WardCode],"CW")),"")</f>
        <v/>
      </c>
      <c r="D426" s="12">
        <f>IFERROR(IF(SUMIFS(tblDaily[Deaths],tblDaily[EntryDate],DATE(2026,11,30),tblDaily[WardCode],"CW")=0,"",SUMIFS(tblDaily[Deaths],tblDaily[EntryDate],DATE(2026,11,30),tblDaily[WardCode],"CW")),"")</f>
        <v/>
      </c>
      <c r="E426" s="12">
        <f>IFERROR(IF(SUMIFS(tblDaily[DeathsUnder24Hrs],tblDaily[EntryDate],DATE(2026,11,30),tblDaily[WardCode],"CW")=0,"",SUMIFS(tblDaily[DeathsUnder24Hrs],tblDaily[EntryDate],DATE(2026,11,30),tblDaily[WardCode],"CW")),"")</f>
        <v/>
      </c>
      <c r="F426" s="12">
        <f>IFERROR(IF(SUMIFS(tblDaily[TransfersIn],tblDaily[EntryDate],DATE(2026,11,30),tblDaily[WardCode],"CW")=0,"",SUMIFS(tblDaily[TransfersIn],tblDaily[EntryDate],DATE(2026,11,30),tblDaily[WardCode],"CW")),"")</f>
        <v/>
      </c>
      <c r="G426" s="12">
        <f>IFERROR(IF(SUMIFS(tblDaily[TransfersOut],tblDaily[EntryDate],DATE(2026,11,30),tblDaily[WardCode],"CW")=0,"",SUMIFS(tblDaily[TransfersOut],tblDaily[EntryDate],DATE(2026,11,30),tblDaily[WardCode],"CW")),"")</f>
        <v/>
      </c>
      <c r="H426" s="12">
        <f>IFERROR(IF(SUMIFS(tblDaily[Remaining],tblDaily[EntryDate],DATE(2026,11,30),tblDaily[WardCode],"CW")=0,"",SUMIFS(tblDaily[Remaining],tblDaily[EntryDate],DATE(2026,11,30),tblDaily[WardCode],"CW")),"")</f>
        <v/>
      </c>
    </row>
    <row r="427">
      <c r="A427" s="12" t="n">
        <v>31</v>
      </c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7" t="inlineStr">
        <is>
          <t>TOTAL</t>
        </is>
      </c>
      <c r="B428" s="17">
        <f>SUMIFS(tblDaily[Admissions],tblDaily[Month],11,tblDaily[WardCode],"CW") - SUMIFS(tblDaily[DeathsUnder24Hrs],tblDaily[Month],11,tblDaily[WardCode],"CW")</f>
        <v/>
      </c>
      <c r="C428" s="17">
        <f>SUMIFS(tblDaily[Discharges],tblDaily[Month],11,tblDaily[WardCode],"CW")</f>
        <v/>
      </c>
      <c r="D428" s="17">
        <f>SUMIFS(tblDaily[Deaths],tblDaily[Month],11,tblDaily[WardCode],"CW")</f>
        <v/>
      </c>
      <c r="E428" s="17">
        <f>SUMIFS(tblDaily[DeathsUnder24Hrs],tblDaily[Month],11,tblDaily[WardCode],"CW")</f>
        <v/>
      </c>
      <c r="F428" s="17">
        <f>SUMIFS(tblDaily[TransfersIn],tblDaily[Month],11,tblDaily[WardCode],"CW")</f>
        <v/>
      </c>
      <c r="G428" s="17">
        <f>SUMIFS(tblDaily[TransfersOut],tblDaily[Month],11,tblDaily[WardCode],"CW")</f>
        <v/>
      </c>
      <c r="H428" s="17">
        <f>SUMIFS(tblDaily[Remaining],tblDaily[Month],11,tblDaily[WardCode],"CW")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PAEDIATRIC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4">
        <f>IFERROR(SUMIFS(tblDaily[Remaining],tblDaily[EntryDate],DATE(2026,11,30),tblDaily[WardCode],"CW"),0)</f>
        <v/>
      </c>
    </row>
    <row r="434">
      <c r="A434" s="4" t="inlineStr">
        <is>
          <t>Bed complement</t>
        </is>
      </c>
      <c r="H434" s="15">
        <f>IFERROR(INDEX(tblWardConfig[BedComplement],MATCH("CW",tblWardConfig[WardCode],0)),0)</f>
        <v/>
      </c>
    </row>
    <row r="435">
      <c r="A435" s="16" t="inlineStr">
        <is>
          <t>Day of
the
Month</t>
        </is>
      </c>
      <c r="B435" s="16" t="inlineStr">
        <is>
          <t>Admissions</t>
        </is>
      </c>
      <c r="C435" s="16" t="inlineStr">
        <is>
          <t>Discharges</t>
        </is>
      </c>
      <c r="D435" s="16" t="inlineStr">
        <is>
          <t>Deaths</t>
        </is>
      </c>
      <c r="E435" s="16" t="inlineStr">
        <is>
          <t>Deaths
&lt;24Hrs</t>
        </is>
      </c>
      <c r="F435" s="16" t="inlineStr">
        <is>
          <t>Transfers-
In</t>
        </is>
      </c>
      <c r="G435" s="16" t="inlineStr">
        <is>
          <t>Transfers-
Out</t>
        </is>
      </c>
      <c r="H435" s="16" t="inlineStr">
        <is>
          <t>No. of Patients
Remaining In
Ward</t>
        </is>
      </c>
    </row>
    <row r="436">
      <c r="A436" s="12" t="n">
        <v>1</v>
      </c>
      <c r="B436" s="12">
        <f>IFERROR(IF(SUMIFS(tblDaily[Admissions],tblDaily[EntryDate],DATE(2026,12,1),tblDaily[WardCode],"CW")=0,"",SUMIFS(tblDaily[Admissions],tblDaily[EntryDate],DATE(2026,12,1),tblDaily[WardCode],"CW")),"")</f>
        <v/>
      </c>
      <c r="C436" s="12">
        <f>IFERROR(IF(SUMIFS(tblDaily[Discharges],tblDaily[EntryDate],DATE(2026,12,1),tblDaily[WardCode],"CW")=0,"",SUMIFS(tblDaily[Discharges],tblDaily[EntryDate],DATE(2026,12,1),tblDaily[WardCode],"CW")),"")</f>
        <v/>
      </c>
      <c r="D436" s="12">
        <f>IFERROR(IF(SUMIFS(tblDaily[Deaths],tblDaily[EntryDate],DATE(2026,12,1),tblDaily[WardCode],"CW")=0,"",SUMIFS(tblDaily[Deaths],tblDaily[EntryDate],DATE(2026,12,1),tblDaily[WardCode],"CW")),"")</f>
        <v/>
      </c>
      <c r="E436" s="12">
        <f>IFERROR(IF(SUMIFS(tblDaily[DeathsUnder24Hrs],tblDaily[EntryDate],DATE(2026,12,1),tblDaily[WardCode],"CW")=0,"",SUMIFS(tblDaily[DeathsUnder24Hrs],tblDaily[EntryDate],DATE(2026,12,1),tblDaily[WardCode],"CW")),"")</f>
        <v/>
      </c>
      <c r="F436" s="12">
        <f>IFERROR(IF(SUMIFS(tblDaily[TransfersIn],tblDaily[EntryDate],DATE(2026,12,1),tblDaily[WardCode],"CW")=0,"",SUMIFS(tblDaily[TransfersIn],tblDaily[EntryDate],DATE(2026,12,1),tblDaily[WardCode],"CW")),"")</f>
        <v/>
      </c>
      <c r="G436" s="12">
        <f>IFERROR(IF(SUMIFS(tblDaily[TransfersOut],tblDaily[EntryDate],DATE(2026,12,1),tblDaily[WardCode],"CW")=0,"",SUMIFS(tblDaily[TransfersOut],tblDaily[EntryDate],DATE(2026,12,1),tblDaily[WardCode],"CW")),"")</f>
        <v/>
      </c>
      <c r="H436" s="12">
        <f>IFERROR(IF(SUMIFS(tblDaily[Remaining],tblDaily[EntryDate],DATE(2026,12,1),tblDaily[WardCode],"CW")=0,"",SUMIFS(tblDaily[Remaining],tblDaily[EntryDate],DATE(2026,12,1),tblDaily[WardCode],"CW")),"")</f>
        <v/>
      </c>
    </row>
    <row r="437">
      <c r="A437" s="12" t="n">
        <v>2</v>
      </c>
      <c r="B437" s="12">
        <f>IFERROR(IF(SUMIFS(tblDaily[Admissions],tblDaily[EntryDate],DATE(2026,12,2),tblDaily[WardCode],"CW")=0,"",SUMIFS(tblDaily[Admissions],tblDaily[EntryDate],DATE(2026,12,2),tblDaily[WardCode],"CW")),"")</f>
        <v/>
      </c>
      <c r="C437" s="12">
        <f>IFERROR(IF(SUMIFS(tblDaily[Discharges],tblDaily[EntryDate],DATE(2026,12,2),tblDaily[WardCode],"CW")=0,"",SUMIFS(tblDaily[Discharges],tblDaily[EntryDate],DATE(2026,12,2),tblDaily[WardCode],"CW")),"")</f>
        <v/>
      </c>
      <c r="D437" s="12">
        <f>IFERROR(IF(SUMIFS(tblDaily[Deaths],tblDaily[EntryDate],DATE(2026,12,2),tblDaily[WardCode],"CW")=0,"",SUMIFS(tblDaily[Deaths],tblDaily[EntryDate],DATE(2026,12,2),tblDaily[WardCode],"CW")),"")</f>
        <v/>
      </c>
      <c r="E437" s="12">
        <f>IFERROR(IF(SUMIFS(tblDaily[DeathsUnder24Hrs],tblDaily[EntryDate],DATE(2026,12,2),tblDaily[WardCode],"CW")=0,"",SUMIFS(tblDaily[DeathsUnder24Hrs],tblDaily[EntryDate],DATE(2026,12,2),tblDaily[WardCode],"CW")),"")</f>
        <v/>
      </c>
      <c r="F437" s="12">
        <f>IFERROR(IF(SUMIFS(tblDaily[TransfersIn],tblDaily[EntryDate],DATE(2026,12,2),tblDaily[WardCode],"CW")=0,"",SUMIFS(tblDaily[TransfersIn],tblDaily[EntryDate],DATE(2026,12,2),tblDaily[WardCode],"CW")),"")</f>
        <v/>
      </c>
      <c r="G437" s="12">
        <f>IFERROR(IF(SUMIFS(tblDaily[TransfersOut],tblDaily[EntryDate],DATE(2026,12,2),tblDaily[WardCode],"CW")=0,"",SUMIFS(tblDaily[TransfersOut],tblDaily[EntryDate],DATE(2026,12,2),tblDaily[WardCode],"CW")),"")</f>
        <v/>
      </c>
      <c r="H437" s="12">
        <f>IFERROR(IF(SUMIFS(tblDaily[Remaining],tblDaily[EntryDate],DATE(2026,12,2),tblDaily[WardCode],"CW")=0,"",SUMIFS(tblDaily[Remaining],tblDaily[EntryDate],DATE(2026,12,2),tblDaily[WardCode],"CW")),"")</f>
        <v/>
      </c>
    </row>
    <row r="438">
      <c r="A438" s="12" t="n">
        <v>3</v>
      </c>
      <c r="B438" s="12">
        <f>IFERROR(IF(SUMIFS(tblDaily[Admissions],tblDaily[EntryDate],DATE(2026,12,3),tblDaily[WardCode],"CW")=0,"",SUMIFS(tblDaily[Admissions],tblDaily[EntryDate],DATE(2026,12,3),tblDaily[WardCode],"CW")),"")</f>
        <v/>
      </c>
      <c r="C438" s="12">
        <f>IFERROR(IF(SUMIFS(tblDaily[Discharges],tblDaily[EntryDate],DATE(2026,12,3),tblDaily[WardCode],"CW")=0,"",SUMIFS(tblDaily[Discharges],tblDaily[EntryDate],DATE(2026,12,3),tblDaily[WardCode],"CW")),"")</f>
        <v/>
      </c>
      <c r="D438" s="12">
        <f>IFERROR(IF(SUMIFS(tblDaily[Deaths],tblDaily[EntryDate],DATE(2026,12,3),tblDaily[WardCode],"CW")=0,"",SUMIFS(tblDaily[Deaths],tblDaily[EntryDate],DATE(2026,12,3),tblDaily[WardCode],"CW")),"")</f>
        <v/>
      </c>
      <c r="E438" s="12">
        <f>IFERROR(IF(SUMIFS(tblDaily[DeathsUnder24Hrs],tblDaily[EntryDate],DATE(2026,12,3),tblDaily[WardCode],"CW")=0,"",SUMIFS(tblDaily[DeathsUnder24Hrs],tblDaily[EntryDate],DATE(2026,12,3),tblDaily[WardCode],"CW")),"")</f>
        <v/>
      </c>
      <c r="F438" s="12">
        <f>IFERROR(IF(SUMIFS(tblDaily[TransfersIn],tblDaily[EntryDate],DATE(2026,12,3),tblDaily[WardCode],"CW")=0,"",SUMIFS(tblDaily[TransfersIn],tblDaily[EntryDate],DATE(2026,12,3),tblDaily[WardCode],"CW")),"")</f>
        <v/>
      </c>
      <c r="G438" s="12">
        <f>IFERROR(IF(SUMIFS(tblDaily[TransfersOut],tblDaily[EntryDate],DATE(2026,12,3),tblDaily[WardCode],"CW")=0,"",SUMIFS(tblDaily[TransfersOut],tblDaily[EntryDate],DATE(2026,12,3),tblDaily[WardCode],"CW")),"")</f>
        <v/>
      </c>
      <c r="H438" s="12">
        <f>IFERROR(IF(SUMIFS(tblDaily[Remaining],tblDaily[EntryDate],DATE(2026,12,3),tblDaily[WardCode],"CW")=0,"",SUMIFS(tblDaily[Remaining],tblDaily[EntryDate],DATE(2026,12,3),tblDaily[WardCode],"CW")),"")</f>
        <v/>
      </c>
    </row>
    <row r="439">
      <c r="A439" s="12" t="n">
        <v>4</v>
      </c>
      <c r="B439" s="12">
        <f>IFERROR(IF(SUMIFS(tblDaily[Admissions],tblDaily[EntryDate],DATE(2026,12,4),tblDaily[WardCode],"CW")=0,"",SUMIFS(tblDaily[Admissions],tblDaily[EntryDate],DATE(2026,12,4),tblDaily[WardCode],"CW")),"")</f>
        <v/>
      </c>
      <c r="C439" s="12">
        <f>IFERROR(IF(SUMIFS(tblDaily[Discharges],tblDaily[EntryDate],DATE(2026,12,4),tblDaily[WardCode],"CW")=0,"",SUMIFS(tblDaily[Discharges],tblDaily[EntryDate],DATE(2026,12,4),tblDaily[WardCode],"CW")),"")</f>
        <v/>
      </c>
      <c r="D439" s="12">
        <f>IFERROR(IF(SUMIFS(tblDaily[Deaths],tblDaily[EntryDate],DATE(2026,12,4),tblDaily[WardCode],"CW")=0,"",SUMIFS(tblDaily[Deaths],tblDaily[EntryDate],DATE(2026,12,4),tblDaily[WardCode],"CW")),"")</f>
        <v/>
      </c>
      <c r="E439" s="12">
        <f>IFERROR(IF(SUMIFS(tblDaily[DeathsUnder24Hrs],tblDaily[EntryDate],DATE(2026,12,4),tblDaily[WardCode],"CW")=0,"",SUMIFS(tblDaily[DeathsUnder24Hrs],tblDaily[EntryDate],DATE(2026,12,4),tblDaily[WardCode],"CW")),"")</f>
        <v/>
      </c>
      <c r="F439" s="12">
        <f>IFERROR(IF(SUMIFS(tblDaily[TransfersIn],tblDaily[EntryDate],DATE(2026,12,4),tblDaily[WardCode],"CW")=0,"",SUMIFS(tblDaily[TransfersIn],tblDaily[EntryDate],DATE(2026,12,4),tblDaily[WardCode],"CW")),"")</f>
        <v/>
      </c>
      <c r="G439" s="12">
        <f>IFERROR(IF(SUMIFS(tblDaily[TransfersOut],tblDaily[EntryDate],DATE(2026,12,4),tblDaily[WardCode],"CW")=0,"",SUMIFS(tblDaily[TransfersOut],tblDaily[EntryDate],DATE(2026,12,4),tblDaily[WardCode],"CW")),"")</f>
        <v/>
      </c>
      <c r="H439" s="12">
        <f>IFERROR(IF(SUMIFS(tblDaily[Remaining],tblDaily[EntryDate],DATE(2026,12,4),tblDaily[WardCode],"CW")=0,"",SUMIFS(tblDaily[Remaining],tblDaily[EntryDate],DATE(2026,12,4),tblDaily[WardCode],"CW")),"")</f>
        <v/>
      </c>
    </row>
    <row r="440">
      <c r="A440" s="12" t="n">
        <v>5</v>
      </c>
      <c r="B440" s="12">
        <f>IFERROR(IF(SUMIFS(tblDaily[Admissions],tblDaily[EntryDate],DATE(2026,12,5),tblDaily[WardCode],"CW")=0,"",SUMIFS(tblDaily[Admissions],tblDaily[EntryDate],DATE(2026,12,5),tblDaily[WardCode],"CW")),"")</f>
        <v/>
      </c>
      <c r="C440" s="12">
        <f>IFERROR(IF(SUMIFS(tblDaily[Discharges],tblDaily[EntryDate],DATE(2026,12,5),tblDaily[WardCode],"CW")=0,"",SUMIFS(tblDaily[Discharges],tblDaily[EntryDate],DATE(2026,12,5),tblDaily[WardCode],"CW")),"")</f>
        <v/>
      </c>
      <c r="D440" s="12">
        <f>IFERROR(IF(SUMIFS(tblDaily[Deaths],tblDaily[EntryDate],DATE(2026,12,5),tblDaily[WardCode],"CW")=0,"",SUMIFS(tblDaily[Deaths],tblDaily[EntryDate],DATE(2026,12,5),tblDaily[WardCode],"CW")),"")</f>
        <v/>
      </c>
      <c r="E440" s="12">
        <f>IFERROR(IF(SUMIFS(tblDaily[DeathsUnder24Hrs],tblDaily[EntryDate],DATE(2026,12,5),tblDaily[WardCode],"CW")=0,"",SUMIFS(tblDaily[DeathsUnder24Hrs],tblDaily[EntryDate],DATE(2026,12,5),tblDaily[WardCode],"CW")),"")</f>
        <v/>
      </c>
      <c r="F440" s="12">
        <f>IFERROR(IF(SUMIFS(tblDaily[TransfersIn],tblDaily[EntryDate],DATE(2026,12,5),tblDaily[WardCode],"CW")=0,"",SUMIFS(tblDaily[TransfersIn],tblDaily[EntryDate],DATE(2026,12,5),tblDaily[WardCode],"CW")),"")</f>
        <v/>
      </c>
      <c r="G440" s="12">
        <f>IFERROR(IF(SUMIFS(tblDaily[TransfersOut],tblDaily[EntryDate],DATE(2026,12,5),tblDaily[WardCode],"CW")=0,"",SUMIFS(tblDaily[TransfersOut],tblDaily[EntryDate],DATE(2026,12,5),tblDaily[WardCode],"CW")),"")</f>
        <v/>
      </c>
      <c r="H440" s="12">
        <f>IFERROR(IF(SUMIFS(tblDaily[Remaining],tblDaily[EntryDate],DATE(2026,12,5),tblDaily[WardCode],"CW")=0,"",SUMIFS(tblDaily[Remaining],tblDaily[EntryDate],DATE(2026,12,5),tblDaily[WardCode],"CW")),"")</f>
        <v/>
      </c>
    </row>
    <row r="441">
      <c r="A441" s="12" t="n">
        <v>6</v>
      </c>
      <c r="B441" s="12">
        <f>IFERROR(IF(SUMIFS(tblDaily[Admissions],tblDaily[EntryDate],DATE(2026,12,6),tblDaily[WardCode],"CW")=0,"",SUMIFS(tblDaily[Admissions],tblDaily[EntryDate],DATE(2026,12,6),tblDaily[WardCode],"CW")),"")</f>
        <v/>
      </c>
      <c r="C441" s="12">
        <f>IFERROR(IF(SUMIFS(tblDaily[Discharges],tblDaily[EntryDate],DATE(2026,12,6),tblDaily[WardCode],"CW")=0,"",SUMIFS(tblDaily[Discharges],tblDaily[EntryDate],DATE(2026,12,6),tblDaily[WardCode],"CW")),"")</f>
        <v/>
      </c>
      <c r="D441" s="12">
        <f>IFERROR(IF(SUMIFS(tblDaily[Deaths],tblDaily[EntryDate],DATE(2026,12,6),tblDaily[WardCode],"CW")=0,"",SUMIFS(tblDaily[Deaths],tblDaily[EntryDate],DATE(2026,12,6),tblDaily[WardCode],"CW")),"")</f>
        <v/>
      </c>
      <c r="E441" s="12">
        <f>IFERROR(IF(SUMIFS(tblDaily[DeathsUnder24Hrs],tblDaily[EntryDate],DATE(2026,12,6),tblDaily[WardCode],"CW")=0,"",SUMIFS(tblDaily[DeathsUnder24Hrs],tblDaily[EntryDate],DATE(2026,12,6),tblDaily[WardCode],"CW")),"")</f>
        <v/>
      </c>
      <c r="F441" s="12">
        <f>IFERROR(IF(SUMIFS(tblDaily[TransfersIn],tblDaily[EntryDate],DATE(2026,12,6),tblDaily[WardCode],"CW")=0,"",SUMIFS(tblDaily[TransfersIn],tblDaily[EntryDate],DATE(2026,12,6),tblDaily[WardCode],"CW")),"")</f>
        <v/>
      </c>
      <c r="G441" s="12">
        <f>IFERROR(IF(SUMIFS(tblDaily[TransfersOut],tblDaily[EntryDate],DATE(2026,12,6),tblDaily[WardCode],"CW")=0,"",SUMIFS(tblDaily[TransfersOut],tblDaily[EntryDate],DATE(2026,12,6),tblDaily[WardCode],"CW")),"")</f>
        <v/>
      </c>
      <c r="H441" s="12">
        <f>IFERROR(IF(SUMIFS(tblDaily[Remaining],tblDaily[EntryDate],DATE(2026,12,6),tblDaily[WardCode],"CW")=0,"",SUMIFS(tblDaily[Remaining],tblDaily[EntryDate],DATE(2026,12,6),tblDaily[WardCode],"CW")),"")</f>
        <v/>
      </c>
    </row>
    <row r="442">
      <c r="A442" s="12" t="n">
        <v>7</v>
      </c>
      <c r="B442" s="12">
        <f>IFERROR(IF(SUMIFS(tblDaily[Admissions],tblDaily[EntryDate],DATE(2026,12,7),tblDaily[WardCode],"CW")=0,"",SUMIFS(tblDaily[Admissions],tblDaily[EntryDate],DATE(2026,12,7),tblDaily[WardCode],"CW")),"")</f>
        <v/>
      </c>
      <c r="C442" s="12">
        <f>IFERROR(IF(SUMIFS(tblDaily[Discharges],tblDaily[EntryDate],DATE(2026,12,7),tblDaily[WardCode],"CW")=0,"",SUMIFS(tblDaily[Discharges],tblDaily[EntryDate],DATE(2026,12,7),tblDaily[WardCode],"CW")),"")</f>
        <v/>
      </c>
      <c r="D442" s="12">
        <f>IFERROR(IF(SUMIFS(tblDaily[Deaths],tblDaily[EntryDate],DATE(2026,12,7),tblDaily[WardCode],"CW")=0,"",SUMIFS(tblDaily[Deaths],tblDaily[EntryDate],DATE(2026,12,7),tblDaily[WardCode],"CW")),"")</f>
        <v/>
      </c>
      <c r="E442" s="12">
        <f>IFERROR(IF(SUMIFS(tblDaily[DeathsUnder24Hrs],tblDaily[EntryDate],DATE(2026,12,7),tblDaily[WardCode],"CW")=0,"",SUMIFS(tblDaily[DeathsUnder24Hrs],tblDaily[EntryDate],DATE(2026,12,7),tblDaily[WardCode],"CW")),"")</f>
        <v/>
      </c>
      <c r="F442" s="12">
        <f>IFERROR(IF(SUMIFS(tblDaily[TransfersIn],tblDaily[EntryDate],DATE(2026,12,7),tblDaily[WardCode],"CW")=0,"",SUMIFS(tblDaily[TransfersIn],tblDaily[EntryDate],DATE(2026,12,7),tblDaily[WardCode],"CW")),"")</f>
        <v/>
      </c>
      <c r="G442" s="12">
        <f>IFERROR(IF(SUMIFS(tblDaily[TransfersOut],tblDaily[EntryDate],DATE(2026,12,7),tblDaily[WardCode],"CW")=0,"",SUMIFS(tblDaily[TransfersOut],tblDaily[EntryDate],DATE(2026,12,7),tblDaily[WardCode],"CW")),"")</f>
        <v/>
      </c>
      <c r="H442" s="12">
        <f>IFERROR(IF(SUMIFS(tblDaily[Remaining],tblDaily[EntryDate],DATE(2026,12,7),tblDaily[WardCode],"CW")=0,"",SUMIFS(tblDaily[Remaining],tblDaily[EntryDate],DATE(2026,12,7),tblDaily[WardCode],"CW")),"")</f>
        <v/>
      </c>
    </row>
    <row r="443">
      <c r="A443" s="12" t="n">
        <v>8</v>
      </c>
      <c r="B443" s="12">
        <f>IFERROR(IF(SUMIFS(tblDaily[Admissions],tblDaily[EntryDate],DATE(2026,12,8),tblDaily[WardCode],"CW")=0,"",SUMIFS(tblDaily[Admissions],tblDaily[EntryDate],DATE(2026,12,8),tblDaily[WardCode],"CW")),"")</f>
        <v/>
      </c>
      <c r="C443" s="12">
        <f>IFERROR(IF(SUMIFS(tblDaily[Discharges],tblDaily[EntryDate],DATE(2026,12,8),tblDaily[WardCode],"CW")=0,"",SUMIFS(tblDaily[Discharges],tblDaily[EntryDate],DATE(2026,12,8),tblDaily[WardCode],"CW")),"")</f>
        <v/>
      </c>
      <c r="D443" s="12">
        <f>IFERROR(IF(SUMIFS(tblDaily[Deaths],tblDaily[EntryDate],DATE(2026,12,8),tblDaily[WardCode],"CW")=0,"",SUMIFS(tblDaily[Deaths],tblDaily[EntryDate],DATE(2026,12,8),tblDaily[WardCode],"CW")),"")</f>
        <v/>
      </c>
      <c r="E443" s="12">
        <f>IFERROR(IF(SUMIFS(tblDaily[DeathsUnder24Hrs],tblDaily[EntryDate],DATE(2026,12,8),tblDaily[WardCode],"CW")=0,"",SUMIFS(tblDaily[DeathsUnder24Hrs],tblDaily[EntryDate],DATE(2026,12,8),tblDaily[WardCode],"CW")),"")</f>
        <v/>
      </c>
      <c r="F443" s="12">
        <f>IFERROR(IF(SUMIFS(tblDaily[TransfersIn],tblDaily[EntryDate],DATE(2026,12,8),tblDaily[WardCode],"CW")=0,"",SUMIFS(tblDaily[TransfersIn],tblDaily[EntryDate],DATE(2026,12,8),tblDaily[WardCode],"CW")),"")</f>
        <v/>
      </c>
      <c r="G443" s="12">
        <f>IFERROR(IF(SUMIFS(tblDaily[TransfersOut],tblDaily[EntryDate],DATE(2026,12,8),tblDaily[WardCode],"CW")=0,"",SUMIFS(tblDaily[TransfersOut],tblDaily[EntryDate],DATE(2026,12,8),tblDaily[WardCode],"CW")),"")</f>
        <v/>
      </c>
      <c r="H443" s="12">
        <f>IFERROR(IF(SUMIFS(tblDaily[Remaining],tblDaily[EntryDate],DATE(2026,12,8),tblDaily[WardCode],"CW")=0,"",SUMIFS(tblDaily[Remaining],tblDaily[EntryDate],DATE(2026,12,8),tblDaily[WardCode],"CW")),"")</f>
        <v/>
      </c>
    </row>
    <row r="444">
      <c r="A444" s="12" t="n">
        <v>9</v>
      </c>
      <c r="B444" s="12">
        <f>IFERROR(IF(SUMIFS(tblDaily[Admissions],tblDaily[EntryDate],DATE(2026,12,9),tblDaily[WardCode],"CW")=0,"",SUMIFS(tblDaily[Admissions],tblDaily[EntryDate],DATE(2026,12,9),tblDaily[WardCode],"CW")),"")</f>
        <v/>
      </c>
      <c r="C444" s="12">
        <f>IFERROR(IF(SUMIFS(tblDaily[Discharges],tblDaily[EntryDate],DATE(2026,12,9),tblDaily[WardCode],"CW")=0,"",SUMIFS(tblDaily[Discharges],tblDaily[EntryDate],DATE(2026,12,9),tblDaily[WardCode],"CW")),"")</f>
        <v/>
      </c>
      <c r="D444" s="12">
        <f>IFERROR(IF(SUMIFS(tblDaily[Deaths],tblDaily[EntryDate],DATE(2026,12,9),tblDaily[WardCode],"CW")=0,"",SUMIFS(tblDaily[Deaths],tblDaily[EntryDate],DATE(2026,12,9),tblDaily[WardCode],"CW")),"")</f>
        <v/>
      </c>
      <c r="E444" s="12">
        <f>IFERROR(IF(SUMIFS(tblDaily[DeathsUnder24Hrs],tblDaily[EntryDate],DATE(2026,12,9),tblDaily[WardCode],"CW")=0,"",SUMIFS(tblDaily[DeathsUnder24Hrs],tblDaily[EntryDate],DATE(2026,12,9),tblDaily[WardCode],"CW")),"")</f>
        <v/>
      </c>
      <c r="F444" s="12">
        <f>IFERROR(IF(SUMIFS(tblDaily[TransfersIn],tblDaily[EntryDate],DATE(2026,12,9),tblDaily[WardCode],"CW")=0,"",SUMIFS(tblDaily[TransfersIn],tblDaily[EntryDate],DATE(2026,12,9),tblDaily[WardCode],"CW")),"")</f>
        <v/>
      </c>
      <c r="G444" s="12">
        <f>IFERROR(IF(SUMIFS(tblDaily[TransfersOut],tblDaily[EntryDate],DATE(2026,12,9),tblDaily[WardCode],"CW")=0,"",SUMIFS(tblDaily[TransfersOut],tblDaily[EntryDate],DATE(2026,12,9),tblDaily[WardCode],"CW")),"")</f>
        <v/>
      </c>
      <c r="H444" s="12">
        <f>IFERROR(IF(SUMIFS(tblDaily[Remaining],tblDaily[EntryDate],DATE(2026,12,9),tblDaily[WardCode],"CW")=0,"",SUMIFS(tblDaily[Remaining],tblDaily[EntryDate],DATE(2026,12,9),tblDaily[WardCode],"CW")),"")</f>
        <v/>
      </c>
    </row>
    <row r="445">
      <c r="A445" s="12" t="n">
        <v>10</v>
      </c>
      <c r="B445" s="12">
        <f>IFERROR(IF(SUMIFS(tblDaily[Admissions],tblDaily[EntryDate],DATE(2026,12,10),tblDaily[WardCode],"CW")=0,"",SUMIFS(tblDaily[Admissions],tblDaily[EntryDate],DATE(2026,12,10),tblDaily[WardCode],"CW")),"")</f>
        <v/>
      </c>
      <c r="C445" s="12">
        <f>IFERROR(IF(SUMIFS(tblDaily[Discharges],tblDaily[EntryDate],DATE(2026,12,10),tblDaily[WardCode],"CW")=0,"",SUMIFS(tblDaily[Discharges],tblDaily[EntryDate],DATE(2026,12,10),tblDaily[WardCode],"CW")),"")</f>
        <v/>
      </c>
      <c r="D445" s="12">
        <f>IFERROR(IF(SUMIFS(tblDaily[Deaths],tblDaily[EntryDate],DATE(2026,12,10),tblDaily[WardCode],"CW")=0,"",SUMIFS(tblDaily[Deaths],tblDaily[EntryDate],DATE(2026,12,10),tblDaily[WardCode],"CW")),"")</f>
        <v/>
      </c>
      <c r="E445" s="12">
        <f>IFERROR(IF(SUMIFS(tblDaily[DeathsUnder24Hrs],tblDaily[EntryDate],DATE(2026,12,10),tblDaily[WardCode],"CW")=0,"",SUMIFS(tblDaily[DeathsUnder24Hrs],tblDaily[EntryDate],DATE(2026,12,10),tblDaily[WardCode],"CW")),"")</f>
        <v/>
      </c>
      <c r="F445" s="12">
        <f>IFERROR(IF(SUMIFS(tblDaily[TransfersIn],tblDaily[EntryDate],DATE(2026,12,10),tblDaily[WardCode],"CW")=0,"",SUMIFS(tblDaily[TransfersIn],tblDaily[EntryDate],DATE(2026,12,10),tblDaily[WardCode],"CW")),"")</f>
        <v/>
      </c>
      <c r="G445" s="12">
        <f>IFERROR(IF(SUMIFS(tblDaily[TransfersOut],tblDaily[EntryDate],DATE(2026,12,10),tblDaily[WardCode],"CW")=0,"",SUMIFS(tblDaily[TransfersOut],tblDaily[EntryDate],DATE(2026,12,10),tblDaily[WardCode],"CW")),"")</f>
        <v/>
      </c>
      <c r="H445" s="12">
        <f>IFERROR(IF(SUMIFS(tblDaily[Remaining],tblDaily[EntryDate],DATE(2026,12,10),tblDaily[WardCode],"CW")=0,"",SUMIFS(tblDaily[Remaining],tblDaily[EntryDate],DATE(2026,12,10),tblDaily[WardCode],"CW")),"")</f>
        <v/>
      </c>
    </row>
    <row r="446">
      <c r="A446" s="12" t="n">
        <v>11</v>
      </c>
      <c r="B446" s="12">
        <f>IFERROR(IF(SUMIFS(tblDaily[Admissions],tblDaily[EntryDate],DATE(2026,12,11),tblDaily[WardCode],"CW")=0,"",SUMIFS(tblDaily[Admissions],tblDaily[EntryDate],DATE(2026,12,11),tblDaily[WardCode],"CW")),"")</f>
        <v/>
      </c>
      <c r="C446" s="12">
        <f>IFERROR(IF(SUMIFS(tblDaily[Discharges],tblDaily[EntryDate],DATE(2026,12,11),tblDaily[WardCode],"CW")=0,"",SUMIFS(tblDaily[Discharges],tblDaily[EntryDate],DATE(2026,12,11),tblDaily[WardCode],"CW")),"")</f>
        <v/>
      </c>
      <c r="D446" s="12">
        <f>IFERROR(IF(SUMIFS(tblDaily[Deaths],tblDaily[EntryDate],DATE(2026,12,11),tblDaily[WardCode],"CW")=0,"",SUMIFS(tblDaily[Deaths],tblDaily[EntryDate],DATE(2026,12,11),tblDaily[WardCode],"CW")),"")</f>
        <v/>
      </c>
      <c r="E446" s="12">
        <f>IFERROR(IF(SUMIFS(tblDaily[DeathsUnder24Hrs],tblDaily[EntryDate],DATE(2026,12,11),tblDaily[WardCode],"CW")=0,"",SUMIFS(tblDaily[DeathsUnder24Hrs],tblDaily[EntryDate],DATE(2026,12,11),tblDaily[WardCode],"CW")),"")</f>
        <v/>
      </c>
      <c r="F446" s="12">
        <f>IFERROR(IF(SUMIFS(tblDaily[TransfersIn],tblDaily[EntryDate],DATE(2026,12,11),tblDaily[WardCode],"CW")=0,"",SUMIFS(tblDaily[TransfersIn],tblDaily[EntryDate],DATE(2026,12,11),tblDaily[WardCode],"CW")),"")</f>
        <v/>
      </c>
      <c r="G446" s="12">
        <f>IFERROR(IF(SUMIFS(tblDaily[TransfersOut],tblDaily[EntryDate],DATE(2026,12,11),tblDaily[WardCode],"CW")=0,"",SUMIFS(tblDaily[TransfersOut],tblDaily[EntryDate],DATE(2026,12,11),tblDaily[WardCode],"CW")),"")</f>
        <v/>
      </c>
      <c r="H446" s="12">
        <f>IFERROR(IF(SUMIFS(tblDaily[Remaining],tblDaily[EntryDate],DATE(2026,12,11),tblDaily[WardCode],"CW")=0,"",SUMIFS(tblDaily[Remaining],tblDaily[EntryDate],DATE(2026,12,11),tblDaily[WardCode],"CW")),"")</f>
        <v/>
      </c>
    </row>
    <row r="447">
      <c r="A447" s="12" t="n">
        <v>12</v>
      </c>
      <c r="B447" s="12">
        <f>IFERROR(IF(SUMIFS(tblDaily[Admissions],tblDaily[EntryDate],DATE(2026,12,12),tblDaily[WardCode],"CW")=0,"",SUMIFS(tblDaily[Admissions],tblDaily[EntryDate],DATE(2026,12,12),tblDaily[WardCode],"CW")),"")</f>
        <v/>
      </c>
      <c r="C447" s="12">
        <f>IFERROR(IF(SUMIFS(tblDaily[Discharges],tblDaily[EntryDate],DATE(2026,12,12),tblDaily[WardCode],"CW")=0,"",SUMIFS(tblDaily[Discharges],tblDaily[EntryDate],DATE(2026,12,12),tblDaily[WardCode],"CW")),"")</f>
        <v/>
      </c>
      <c r="D447" s="12">
        <f>IFERROR(IF(SUMIFS(tblDaily[Deaths],tblDaily[EntryDate],DATE(2026,12,12),tblDaily[WardCode],"CW")=0,"",SUMIFS(tblDaily[Deaths],tblDaily[EntryDate],DATE(2026,12,12),tblDaily[WardCode],"CW")),"")</f>
        <v/>
      </c>
      <c r="E447" s="12">
        <f>IFERROR(IF(SUMIFS(tblDaily[DeathsUnder24Hrs],tblDaily[EntryDate],DATE(2026,12,12),tblDaily[WardCode],"CW")=0,"",SUMIFS(tblDaily[DeathsUnder24Hrs],tblDaily[EntryDate],DATE(2026,12,12),tblDaily[WardCode],"CW")),"")</f>
        <v/>
      </c>
      <c r="F447" s="12">
        <f>IFERROR(IF(SUMIFS(tblDaily[TransfersIn],tblDaily[EntryDate],DATE(2026,12,12),tblDaily[WardCode],"CW")=0,"",SUMIFS(tblDaily[TransfersIn],tblDaily[EntryDate],DATE(2026,12,12),tblDaily[WardCode],"CW")),"")</f>
        <v/>
      </c>
      <c r="G447" s="12">
        <f>IFERROR(IF(SUMIFS(tblDaily[TransfersOut],tblDaily[EntryDate],DATE(2026,12,12),tblDaily[WardCode],"CW")=0,"",SUMIFS(tblDaily[TransfersOut],tblDaily[EntryDate],DATE(2026,12,12),tblDaily[WardCode],"CW")),"")</f>
        <v/>
      </c>
      <c r="H447" s="12">
        <f>IFERROR(IF(SUMIFS(tblDaily[Remaining],tblDaily[EntryDate],DATE(2026,12,12),tblDaily[WardCode],"CW")=0,"",SUMIFS(tblDaily[Remaining],tblDaily[EntryDate],DATE(2026,12,12),tblDaily[WardCode],"CW")),"")</f>
        <v/>
      </c>
    </row>
    <row r="448">
      <c r="A448" s="12" t="n">
        <v>13</v>
      </c>
      <c r="B448" s="12">
        <f>IFERROR(IF(SUMIFS(tblDaily[Admissions],tblDaily[EntryDate],DATE(2026,12,13),tblDaily[WardCode],"CW")=0,"",SUMIFS(tblDaily[Admissions],tblDaily[EntryDate],DATE(2026,12,13),tblDaily[WardCode],"CW")),"")</f>
        <v/>
      </c>
      <c r="C448" s="12">
        <f>IFERROR(IF(SUMIFS(tblDaily[Discharges],tblDaily[EntryDate],DATE(2026,12,13),tblDaily[WardCode],"CW")=0,"",SUMIFS(tblDaily[Discharges],tblDaily[EntryDate],DATE(2026,12,13),tblDaily[WardCode],"CW")),"")</f>
        <v/>
      </c>
      <c r="D448" s="12">
        <f>IFERROR(IF(SUMIFS(tblDaily[Deaths],tblDaily[EntryDate],DATE(2026,12,13),tblDaily[WardCode],"CW")=0,"",SUMIFS(tblDaily[Deaths],tblDaily[EntryDate],DATE(2026,12,13),tblDaily[WardCode],"CW")),"")</f>
        <v/>
      </c>
      <c r="E448" s="12">
        <f>IFERROR(IF(SUMIFS(tblDaily[DeathsUnder24Hrs],tblDaily[EntryDate],DATE(2026,12,13),tblDaily[WardCode],"CW")=0,"",SUMIFS(tblDaily[DeathsUnder24Hrs],tblDaily[EntryDate],DATE(2026,12,13),tblDaily[WardCode],"CW")),"")</f>
        <v/>
      </c>
      <c r="F448" s="12">
        <f>IFERROR(IF(SUMIFS(tblDaily[TransfersIn],tblDaily[EntryDate],DATE(2026,12,13),tblDaily[WardCode],"CW")=0,"",SUMIFS(tblDaily[TransfersIn],tblDaily[EntryDate],DATE(2026,12,13),tblDaily[WardCode],"CW")),"")</f>
        <v/>
      </c>
      <c r="G448" s="12">
        <f>IFERROR(IF(SUMIFS(tblDaily[TransfersOut],tblDaily[EntryDate],DATE(2026,12,13),tblDaily[WardCode],"CW")=0,"",SUMIFS(tblDaily[TransfersOut],tblDaily[EntryDate],DATE(2026,12,13),tblDaily[WardCode],"CW")),"")</f>
        <v/>
      </c>
      <c r="H448" s="12">
        <f>IFERROR(IF(SUMIFS(tblDaily[Remaining],tblDaily[EntryDate],DATE(2026,12,13),tblDaily[WardCode],"CW")=0,"",SUMIFS(tblDaily[Remaining],tblDaily[EntryDate],DATE(2026,12,13),tblDaily[WardCode],"CW")),"")</f>
        <v/>
      </c>
    </row>
    <row r="449">
      <c r="A449" s="12" t="n">
        <v>14</v>
      </c>
      <c r="B449" s="12">
        <f>IFERROR(IF(SUMIFS(tblDaily[Admissions],tblDaily[EntryDate],DATE(2026,12,14),tblDaily[WardCode],"CW")=0,"",SUMIFS(tblDaily[Admissions],tblDaily[EntryDate],DATE(2026,12,14),tblDaily[WardCode],"CW")),"")</f>
        <v/>
      </c>
      <c r="C449" s="12">
        <f>IFERROR(IF(SUMIFS(tblDaily[Discharges],tblDaily[EntryDate],DATE(2026,12,14),tblDaily[WardCode],"CW")=0,"",SUMIFS(tblDaily[Discharges],tblDaily[EntryDate],DATE(2026,12,14),tblDaily[WardCode],"CW")),"")</f>
        <v/>
      </c>
      <c r="D449" s="12">
        <f>IFERROR(IF(SUMIFS(tblDaily[Deaths],tblDaily[EntryDate],DATE(2026,12,14),tblDaily[WardCode],"CW")=0,"",SUMIFS(tblDaily[Deaths],tblDaily[EntryDate],DATE(2026,12,14),tblDaily[WardCode],"CW")),"")</f>
        <v/>
      </c>
      <c r="E449" s="12">
        <f>IFERROR(IF(SUMIFS(tblDaily[DeathsUnder24Hrs],tblDaily[EntryDate],DATE(2026,12,14),tblDaily[WardCode],"CW")=0,"",SUMIFS(tblDaily[DeathsUnder24Hrs],tblDaily[EntryDate],DATE(2026,12,14),tblDaily[WardCode],"CW")),"")</f>
        <v/>
      </c>
      <c r="F449" s="12">
        <f>IFERROR(IF(SUMIFS(tblDaily[TransfersIn],tblDaily[EntryDate],DATE(2026,12,14),tblDaily[WardCode],"CW")=0,"",SUMIFS(tblDaily[TransfersIn],tblDaily[EntryDate],DATE(2026,12,14),tblDaily[WardCode],"CW")),"")</f>
        <v/>
      </c>
      <c r="G449" s="12">
        <f>IFERROR(IF(SUMIFS(tblDaily[TransfersOut],tblDaily[EntryDate],DATE(2026,12,14),tblDaily[WardCode],"CW")=0,"",SUMIFS(tblDaily[TransfersOut],tblDaily[EntryDate],DATE(2026,12,14),tblDaily[WardCode],"CW")),"")</f>
        <v/>
      </c>
      <c r="H449" s="12">
        <f>IFERROR(IF(SUMIFS(tblDaily[Remaining],tblDaily[EntryDate],DATE(2026,12,14),tblDaily[WardCode],"CW")=0,"",SUMIFS(tblDaily[Remaining],tblDaily[EntryDate],DATE(2026,12,14),tblDaily[WardCode],"CW")),"")</f>
        <v/>
      </c>
    </row>
    <row r="450">
      <c r="A450" s="12" t="n">
        <v>15</v>
      </c>
      <c r="B450" s="12">
        <f>IFERROR(IF(SUMIFS(tblDaily[Admissions],tblDaily[EntryDate],DATE(2026,12,15),tblDaily[WardCode],"CW")=0,"",SUMIFS(tblDaily[Admissions],tblDaily[EntryDate],DATE(2026,12,15),tblDaily[WardCode],"CW")),"")</f>
        <v/>
      </c>
      <c r="C450" s="12">
        <f>IFERROR(IF(SUMIFS(tblDaily[Discharges],tblDaily[EntryDate],DATE(2026,12,15),tblDaily[WardCode],"CW")=0,"",SUMIFS(tblDaily[Discharges],tblDaily[EntryDate],DATE(2026,12,15),tblDaily[WardCode],"CW")),"")</f>
        <v/>
      </c>
      <c r="D450" s="12">
        <f>IFERROR(IF(SUMIFS(tblDaily[Deaths],tblDaily[EntryDate],DATE(2026,12,15),tblDaily[WardCode],"CW")=0,"",SUMIFS(tblDaily[Deaths],tblDaily[EntryDate],DATE(2026,12,15),tblDaily[WardCode],"CW")),"")</f>
        <v/>
      </c>
      <c r="E450" s="12">
        <f>IFERROR(IF(SUMIFS(tblDaily[DeathsUnder24Hrs],tblDaily[EntryDate],DATE(2026,12,15),tblDaily[WardCode],"CW")=0,"",SUMIFS(tblDaily[DeathsUnder24Hrs],tblDaily[EntryDate],DATE(2026,12,15),tblDaily[WardCode],"CW")),"")</f>
        <v/>
      </c>
      <c r="F450" s="12">
        <f>IFERROR(IF(SUMIFS(tblDaily[TransfersIn],tblDaily[EntryDate],DATE(2026,12,15),tblDaily[WardCode],"CW")=0,"",SUMIFS(tblDaily[TransfersIn],tblDaily[EntryDate],DATE(2026,12,15),tblDaily[WardCode],"CW")),"")</f>
        <v/>
      </c>
      <c r="G450" s="12">
        <f>IFERROR(IF(SUMIFS(tblDaily[TransfersOut],tblDaily[EntryDate],DATE(2026,12,15),tblDaily[WardCode],"CW")=0,"",SUMIFS(tblDaily[TransfersOut],tblDaily[EntryDate],DATE(2026,12,15),tblDaily[WardCode],"CW")),"")</f>
        <v/>
      </c>
      <c r="H450" s="12">
        <f>IFERROR(IF(SUMIFS(tblDaily[Remaining],tblDaily[EntryDate],DATE(2026,12,15),tblDaily[WardCode],"CW")=0,"",SUMIFS(tblDaily[Remaining],tblDaily[EntryDate],DATE(2026,12,15),tblDaily[WardCode],"CW")),"")</f>
        <v/>
      </c>
    </row>
    <row r="451">
      <c r="A451" s="12" t="n">
        <v>16</v>
      </c>
      <c r="B451" s="12">
        <f>IFERROR(IF(SUMIFS(tblDaily[Admissions],tblDaily[EntryDate],DATE(2026,12,16),tblDaily[WardCode],"CW")=0,"",SUMIFS(tblDaily[Admissions],tblDaily[EntryDate],DATE(2026,12,16),tblDaily[WardCode],"CW")),"")</f>
        <v/>
      </c>
      <c r="C451" s="12">
        <f>IFERROR(IF(SUMIFS(tblDaily[Discharges],tblDaily[EntryDate],DATE(2026,12,16),tblDaily[WardCode],"CW")=0,"",SUMIFS(tblDaily[Discharges],tblDaily[EntryDate],DATE(2026,12,16),tblDaily[WardCode],"CW")),"")</f>
        <v/>
      </c>
      <c r="D451" s="12">
        <f>IFERROR(IF(SUMIFS(tblDaily[Deaths],tblDaily[EntryDate],DATE(2026,12,16),tblDaily[WardCode],"CW")=0,"",SUMIFS(tblDaily[Deaths],tblDaily[EntryDate],DATE(2026,12,16),tblDaily[WardCode],"CW")),"")</f>
        <v/>
      </c>
      <c r="E451" s="12">
        <f>IFERROR(IF(SUMIFS(tblDaily[DeathsUnder24Hrs],tblDaily[EntryDate],DATE(2026,12,16),tblDaily[WardCode],"CW")=0,"",SUMIFS(tblDaily[DeathsUnder24Hrs],tblDaily[EntryDate],DATE(2026,12,16),tblDaily[WardCode],"CW")),"")</f>
        <v/>
      </c>
      <c r="F451" s="12">
        <f>IFERROR(IF(SUMIFS(tblDaily[TransfersIn],tblDaily[EntryDate],DATE(2026,12,16),tblDaily[WardCode],"CW")=0,"",SUMIFS(tblDaily[TransfersIn],tblDaily[EntryDate],DATE(2026,12,16),tblDaily[WardCode],"CW")),"")</f>
        <v/>
      </c>
      <c r="G451" s="12">
        <f>IFERROR(IF(SUMIFS(tblDaily[TransfersOut],tblDaily[EntryDate],DATE(2026,12,16),tblDaily[WardCode],"CW")=0,"",SUMIFS(tblDaily[TransfersOut],tblDaily[EntryDate],DATE(2026,12,16),tblDaily[WardCode],"CW")),"")</f>
        <v/>
      </c>
      <c r="H451" s="12">
        <f>IFERROR(IF(SUMIFS(tblDaily[Remaining],tblDaily[EntryDate],DATE(2026,12,16),tblDaily[WardCode],"CW")=0,"",SUMIFS(tblDaily[Remaining],tblDaily[EntryDate],DATE(2026,12,16),tblDaily[WardCode],"CW")),"")</f>
        <v/>
      </c>
    </row>
    <row r="452">
      <c r="A452" s="12" t="n">
        <v>17</v>
      </c>
      <c r="B452" s="12">
        <f>IFERROR(IF(SUMIFS(tblDaily[Admissions],tblDaily[EntryDate],DATE(2026,12,17),tblDaily[WardCode],"CW")=0,"",SUMIFS(tblDaily[Admissions],tblDaily[EntryDate],DATE(2026,12,17),tblDaily[WardCode],"CW")),"")</f>
        <v/>
      </c>
      <c r="C452" s="12">
        <f>IFERROR(IF(SUMIFS(tblDaily[Discharges],tblDaily[EntryDate],DATE(2026,12,17),tblDaily[WardCode],"CW")=0,"",SUMIFS(tblDaily[Discharges],tblDaily[EntryDate],DATE(2026,12,17),tblDaily[WardCode],"CW")),"")</f>
        <v/>
      </c>
      <c r="D452" s="12">
        <f>IFERROR(IF(SUMIFS(tblDaily[Deaths],tblDaily[EntryDate],DATE(2026,12,17),tblDaily[WardCode],"CW")=0,"",SUMIFS(tblDaily[Deaths],tblDaily[EntryDate],DATE(2026,12,17),tblDaily[WardCode],"CW")),"")</f>
        <v/>
      </c>
      <c r="E452" s="12">
        <f>IFERROR(IF(SUMIFS(tblDaily[DeathsUnder24Hrs],tblDaily[EntryDate],DATE(2026,12,17),tblDaily[WardCode],"CW")=0,"",SUMIFS(tblDaily[DeathsUnder24Hrs],tblDaily[EntryDate],DATE(2026,12,17),tblDaily[WardCode],"CW")),"")</f>
        <v/>
      </c>
      <c r="F452" s="12">
        <f>IFERROR(IF(SUMIFS(tblDaily[TransfersIn],tblDaily[EntryDate],DATE(2026,12,17),tblDaily[WardCode],"CW")=0,"",SUMIFS(tblDaily[TransfersIn],tblDaily[EntryDate],DATE(2026,12,17),tblDaily[WardCode],"CW")),"")</f>
        <v/>
      </c>
      <c r="G452" s="12">
        <f>IFERROR(IF(SUMIFS(tblDaily[TransfersOut],tblDaily[EntryDate],DATE(2026,12,17),tblDaily[WardCode],"CW")=0,"",SUMIFS(tblDaily[TransfersOut],tblDaily[EntryDate],DATE(2026,12,17),tblDaily[WardCode],"CW")),"")</f>
        <v/>
      </c>
      <c r="H452" s="12">
        <f>IFERROR(IF(SUMIFS(tblDaily[Remaining],tblDaily[EntryDate],DATE(2026,12,17),tblDaily[WardCode],"CW")=0,"",SUMIFS(tblDaily[Remaining],tblDaily[EntryDate],DATE(2026,12,17),tblDaily[WardCode],"CW")),"")</f>
        <v/>
      </c>
    </row>
    <row r="453">
      <c r="A453" s="12" t="n">
        <v>18</v>
      </c>
      <c r="B453" s="12">
        <f>IFERROR(IF(SUMIFS(tblDaily[Admissions],tblDaily[EntryDate],DATE(2026,12,18),tblDaily[WardCode],"CW")=0,"",SUMIFS(tblDaily[Admissions],tblDaily[EntryDate],DATE(2026,12,18),tblDaily[WardCode],"CW")),"")</f>
        <v/>
      </c>
      <c r="C453" s="12">
        <f>IFERROR(IF(SUMIFS(tblDaily[Discharges],tblDaily[EntryDate],DATE(2026,12,18),tblDaily[WardCode],"CW")=0,"",SUMIFS(tblDaily[Discharges],tblDaily[EntryDate],DATE(2026,12,18),tblDaily[WardCode],"CW")),"")</f>
        <v/>
      </c>
      <c r="D453" s="12">
        <f>IFERROR(IF(SUMIFS(tblDaily[Deaths],tblDaily[EntryDate],DATE(2026,12,18),tblDaily[WardCode],"CW")=0,"",SUMIFS(tblDaily[Deaths],tblDaily[EntryDate],DATE(2026,12,18),tblDaily[WardCode],"CW")),"")</f>
        <v/>
      </c>
      <c r="E453" s="12">
        <f>IFERROR(IF(SUMIFS(tblDaily[DeathsUnder24Hrs],tblDaily[EntryDate],DATE(2026,12,18),tblDaily[WardCode],"CW")=0,"",SUMIFS(tblDaily[DeathsUnder24Hrs],tblDaily[EntryDate],DATE(2026,12,18),tblDaily[WardCode],"CW")),"")</f>
        <v/>
      </c>
      <c r="F453" s="12">
        <f>IFERROR(IF(SUMIFS(tblDaily[TransfersIn],tblDaily[EntryDate],DATE(2026,12,18),tblDaily[WardCode],"CW")=0,"",SUMIFS(tblDaily[TransfersIn],tblDaily[EntryDate],DATE(2026,12,18),tblDaily[WardCode],"CW")),"")</f>
        <v/>
      </c>
      <c r="G453" s="12">
        <f>IFERROR(IF(SUMIFS(tblDaily[TransfersOut],tblDaily[EntryDate],DATE(2026,12,18),tblDaily[WardCode],"CW")=0,"",SUMIFS(tblDaily[TransfersOut],tblDaily[EntryDate],DATE(2026,12,18),tblDaily[WardCode],"CW")),"")</f>
        <v/>
      </c>
      <c r="H453" s="12">
        <f>IFERROR(IF(SUMIFS(tblDaily[Remaining],tblDaily[EntryDate],DATE(2026,12,18),tblDaily[WardCode],"CW")=0,"",SUMIFS(tblDaily[Remaining],tblDaily[EntryDate],DATE(2026,12,18),tblDaily[WardCode],"CW")),"")</f>
        <v/>
      </c>
    </row>
    <row r="454">
      <c r="A454" s="12" t="n">
        <v>19</v>
      </c>
      <c r="B454" s="12">
        <f>IFERROR(IF(SUMIFS(tblDaily[Admissions],tblDaily[EntryDate],DATE(2026,12,19),tblDaily[WardCode],"CW")=0,"",SUMIFS(tblDaily[Admissions],tblDaily[EntryDate],DATE(2026,12,19),tblDaily[WardCode],"CW")),"")</f>
        <v/>
      </c>
      <c r="C454" s="12">
        <f>IFERROR(IF(SUMIFS(tblDaily[Discharges],tblDaily[EntryDate],DATE(2026,12,19),tblDaily[WardCode],"CW")=0,"",SUMIFS(tblDaily[Discharges],tblDaily[EntryDate],DATE(2026,12,19),tblDaily[WardCode],"CW")),"")</f>
        <v/>
      </c>
      <c r="D454" s="12">
        <f>IFERROR(IF(SUMIFS(tblDaily[Deaths],tblDaily[EntryDate],DATE(2026,12,19),tblDaily[WardCode],"CW")=0,"",SUMIFS(tblDaily[Deaths],tblDaily[EntryDate],DATE(2026,12,19),tblDaily[WardCode],"CW")),"")</f>
        <v/>
      </c>
      <c r="E454" s="12">
        <f>IFERROR(IF(SUMIFS(tblDaily[DeathsUnder24Hrs],tblDaily[EntryDate],DATE(2026,12,19),tblDaily[WardCode],"CW")=0,"",SUMIFS(tblDaily[DeathsUnder24Hrs],tblDaily[EntryDate],DATE(2026,12,19),tblDaily[WardCode],"CW")),"")</f>
        <v/>
      </c>
      <c r="F454" s="12">
        <f>IFERROR(IF(SUMIFS(tblDaily[TransfersIn],tblDaily[EntryDate],DATE(2026,12,19),tblDaily[WardCode],"CW")=0,"",SUMIFS(tblDaily[TransfersIn],tblDaily[EntryDate],DATE(2026,12,19),tblDaily[WardCode],"CW")),"")</f>
        <v/>
      </c>
      <c r="G454" s="12">
        <f>IFERROR(IF(SUMIFS(tblDaily[TransfersOut],tblDaily[EntryDate],DATE(2026,12,19),tblDaily[WardCode],"CW")=0,"",SUMIFS(tblDaily[TransfersOut],tblDaily[EntryDate],DATE(2026,12,19),tblDaily[WardCode],"CW")),"")</f>
        <v/>
      </c>
      <c r="H454" s="12">
        <f>IFERROR(IF(SUMIFS(tblDaily[Remaining],tblDaily[EntryDate],DATE(2026,12,19),tblDaily[WardCode],"CW")=0,"",SUMIFS(tblDaily[Remaining],tblDaily[EntryDate],DATE(2026,12,19),tblDaily[WardCode],"CW")),"")</f>
        <v/>
      </c>
    </row>
    <row r="455">
      <c r="A455" s="12" t="n">
        <v>20</v>
      </c>
      <c r="B455" s="12">
        <f>IFERROR(IF(SUMIFS(tblDaily[Admissions],tblDaily[EntryDate],DATE(2026,12,20),tblDaily[WardCode],"CW")=0,"",SUMIFS(tblDaily[Admissions],tblDaily[EntryDate],DATE(2026,12,20),tblDaily[WardCode],"CW")),"")</f>
        <v/>
      </c>
      <c r="C455" s="12">
        <f>IFERROR(IF(SUMIFS(tblDaily[Discharges],tblDaily[EntryDate],DATE(2026,12,20),tblDaily[WardCode],"CW")=0,"",SUMIFS(tblDaily[Discharges],tblDaily[EntryDate],DATE(2026,12,20),tblDaily[WardCode],"CW")),"")</f>
        <v/>
      </c>
      <c r="D455" s="12">
        <f>IFERROR(IF(SUMIFS(tblDaily[Deaths],tblDaily[EntryDate],DATE(2026,12,20),tblDaily[WardCode],"CW")=0,"",SUMIFS(tblDaily[Deaths],tblDaily[EntryDate],DATE(2026,12,20),tblDaily[WardCode],"CW")),"")</f>
        <v/>
      </c>
      <c r="E455" s="12">
        <f>IFERROR(IF(SUMIFS(tblDaily[DeathsUnder24Hrs],tblDaily[EntryDate],DATE(2026,12,20),tblDaily[WardCode],"CW")=0,"",SUMIFS(tblDaily[DeathsUnder24Hrs],tblDaily[EntryDate],DATE(2026,12,20),tblDaily[WardCode],"CW")),"")</f>
        <v/>
      </c>
      <c r="F455" s="12">
        <f>IFERROR(IF(SUMIFS(tblDaily[TransfersIn],tblDaily[EntryDate],DATE(2026,12,20),tblDaily[WardCode],"CW")=0,"",SUMIFS(tblDaily[TransfersIn],tblDaily[EntryDate],DATE(2026,12,20),tblDaily[WardCode],"CW")),"")</f>
        <v/>
      </c>
      <c r="G455" s="12">
        <f>IFERROR(IF(SUMIFS(tblDaily[TransfersOut],tblDaily[EntryDate],DATE(2026,12,20),tblDaily[WardCode],"CW")=0,"",SUMIFS(tblDaily[TransfersOut],tblDaily[EntryDate],DATE(2026,12,20),tblDaily[WardCode],"CW")),"")</f>
        <v/>
      </c>
      <c r="H455" s="12">
        <f>IFERROR(IF(SUMIFS(tblDaily[Remaining],tblDaily[EntryDate],DATE(2026,12,20),tblDaily[WardCode],"CW")=0,"",SUMIFS(tblDaily[Remaining],tblDaily[EntryDate],DATE(2026,12,20),tblDaily[WardCode],"CW")),"")</f>
        <v/>
      </c>
    </row>
    <row r="456">
      <c r="A456" s="12" t="n">
        <v>21</v>
      </c>
      <c r="B456" s="12">
        <f>IFERROR(IF(SUMIFS(tblDaily[Admissions],tblDaily[EntryDate],DATE(2026,12,21),tblDaily[WardCode],"CW")=0,"",SUMIFS(tblDaily[Admissions],tblDaily[EntryDate],DATE(2026,12,21),tblDaily[WardCode],"CW")),"")</f>
        <v/>
      </c>
      <c r="C456" s="12">
        <f>IFERROR(IF(SUMIFS(tblDaily[Discharges],tblDaily[EntryDate],DATE(2026,12,21),tblDaily[WardCode],"CW")=0,"",SUMIFS(tblDaily[Discharges],tblDaily[EntryDate],DATE(2026,12,21),tblDaily[WardCode],"CW")),"")</f>
        <v/>
      </c>
      <c r="D456" s="12">
        <f>IFERROR(IF(SUMIFS(tblDaily[Deaths],tblDaily[EntryDate],DATE(2026,12,21),tblDaily[WardCode],"CW")=0,"",SUMIFS(tblDaily[Deaths],tblDaily[EntryDate],DATE(2026,12,21),tblDaily[WardCode],"CW")),"")</f>
        <v/>
      </c>
      <c r="E456" s="12">
        <f>IFERROR(IF(SUMIFS(tblDaily[DeathsUnder24Hrs],tblDaily[EntryDate],DATE(2026,12,21),tblDaily[WardCode],"CW")=0,"",SUMIFS(tblDaily[DeathsUnder24Hrs],tblDaily[EntryDate],DATE(2026,12,21),tblDaily[WardCode],"CW")),"")</f>
        <v/>
      </c>
      <c r="F456" s="12">
        <f>IFERROR(IF(SUMIFS(tblDaily[TransfersIn],tblDaily[EntryDate],DATE(2026,12,21),tblDaily[WardCode],"CW")=0,"",SUMIFS(tblDaily[TransfersIn],tblDaily[EntryDate],DATE(2026,12,21),tblDaily[WardCode],"CW")),"")</f>
        <v/>
      </c>
      <c r="G456" s="12">
        <f>IFERROR(IF(SUMIFS(tblDaily[TransfersOut],tblDaily[EntryDate],DATE(2026,12,21),tblDaily[WardCode],"CW")=0,"",SUMIFS(tblDaily[TransfersOut],tblDaily[EntryDate],DATE(2026,12,21),tblDaily[WardCode],"CW")),"")</f>
        <v/>
      </c>
      <c r="H456" s="12">
        <f>IFERROR(IF(SUMIFS(tblDaily[Remaining],tblDaily[EntryDate],DATE(2026,12,21),tblDaily[WardCode],"CW")=0,"",SUMIFS(tblDaily[Remaining],tblDaily[EntryDate],DATE(2026,12,21),tblDaily[WardCode],"CW")),"")</f>
        <v/>
      </c>
    </row>
    <row r="457">
      <c r="A457" s="12" t="n">
        <v>22</v>
      </c>
      <c r="B457" s="12">
        <f>IFERROR(IF(SUMIFS(tblDaily[Admissions],tblDaily[EntryDate],DATE(2026,12,22),tblDaily[WardCode],"CW")=0,"",SUMIFS(tblDaily[Admissions],tblDaily[EntryDate],DATE(2026,12,22),tblDaily[WardCode],"CW")),"")</f>
        <v/>
      </c>
      <c r="C457" s="12">
        <f>IFERROR(IF(SUMIFS(tblDaily[Discharges],tblDaily[EntryDate],DATE(2026,12,22),tblDaily[WardCode],"CW")=0,"",SUMIFS(tblDaily[Discharges],tblDaily[EntryDate],DATE(2026,12,22),tblDaily[WardCode],"CW")),"")</f>
        <v/>
      </c>
      <c r="D457" s="12">
        <f>IFERROR(IF(SUMIFS(tblDaily[Deaths],tblDaily[EntryDate],DATE(2026,12,22),tblDaily[WardCode],"CW")=0,"",SUMIFS(tblDaily[Deaths],tblDaily[EntryDate],DATE(2026,12,22),tblDaily[WardCode],"CW")),"")</f>
        <v/>
      </c>
      <c r="E457" s="12">
        <f>IFERROR(IF(SUMIFS(tblDaily[DeathsUnder24Hrs],tblDaily[EntryDate],DATE(2026,12,22),tblDaily[WardCode],"CW")=0,"",SUMIFS(tblDaily[DeathsUnder24Hrs],tblDaily[EntryDate],DATE(2026,12,22),tblDaily[WardCode],"CW")),"")</f>
        <v/>
      </c>
      <c r="F457" s="12">
        <f>IFERROR(IF(SUMIFS(tblDaily[TransfersIn],tblDaily[EntryDate],DATE(2026,12,22),tblDaily[WardCode],"CW")=0,"",SUMIFS(tblDaily[TransfersIn],tblDaily[EntryDate],DATE(2026,12,22),tblDaily[WardCode],"CW")),"")</f>
        <v/>
      </c>
      <c r="G457" s="12">
        <f>IFERROR(IF(SUMIFS(tblDaily[TransfersOut],tblDaily[EntryDate],DATE(2026,12,22),tblDaily[WardCode],"CW")=0,"",SUMIFS(tblDaily[TransfersOut],tblDaily[EntryDate],DATE(2026,12,22),tblDaily[WardCode],"CW")),"")</f>
        <v/>
      </c>
      <c r="H457" s="12">
        <f>IFERROR(IF(SUMIFS(tblDaily[Remaining],tblDaily[EntryDate],DATE(2026,12,22),tblDaily[WardCode],"CW")=0,"",SUMIFS(tblDaily[Remaining],tblDaily[EntryDate],DATE(2026,12,22),tblDaily[WardCode],"CW")),"")</f>
        <v/>
      </c>
    </row>
    <row r="458">
      <c r="A458" s="12" t="n">
        <v>23</v>
      </c>
      <c r="B458" s="12">
        <f>IFERROR(IF(SUMIFS(tblDaily[Admissions],tblDaily[EntryDate],DATE(2026,12,23),tblDaily[WardCode],"CW")=0,"",SUMIFS(tblDaily[Admissions],tblDaily[EntryDate],DATE(2026,12,23),tblDaily[WardCode],"CW")),"")</f>
        <v/>
      </c>
      <c r="C458" s="12">
        <f>IFERROR(IF(SUMIFS(tblDaily[Discharges],tblDaily[EntryDate],DATE(2026,12,23),tblDaily[WardCode],"CW")=0,"",SUMIFS(tblDaily[Discharges],tblDaily[EntryDate],DATE(2026,12,23),tblDaily[WardCode],"CW")),"")</f>
        <v/>
      </c>
      <c r="D458" s="12">
        <f>IFERROR(IF(SUMIFS(tblDaily[Deaths],tblDaily[EntryDate],DATE(2026,12,23),tblDaily[WardCode],"CW")=0,"",SUMIFS(tblDaily[Deaths],tblDaily[EntryDate],DATE(2026,12,23),tblDaily[WardCode],"CW")),"")</f>
        <v/>
      </c>
      <c r="E458" s="12">
        <f>IFERROR(IF(SUMIFS(tblDaily[DeathsUnder24Hrs],tblDaily[EntryDate],DATE(2026,12,23),tblDaily[WardCode],"CW")=0,"",SUMIFS(tblDaily[DeathsUnder24Hrs],tblDaily[EntryDate],DATE(2026,12,23),tblDaily[WardCode],"CW")),"")</f>
        <v/>
      </c>
      <c r="F458" s="12">
        <f>IFERROR(IF(SUMIFS(tblDaily[TransfersIn],tblDaily[EntryDate],DATE(2026,12,23),tblDaily[WardCode],"CW")=0,"",SUMIFS(tblDaily[TransfersIn],tblDaily[EntryDate],DATE(2026,12,23),tblDaily[WardCode],"CW")),"")</f>
        <v/>
      </c>
      <c r="G458" s="12">
        <f>IFERROR(IF(SUMIFS(tblDaily[TransfersOut],tblDaily[EntryDate],DATE(2026,12,23),tblDaily[WardCode],"CW")=0,"",SUMIFS(tblDaily[TransfersOut],tblDaily[EntryDate],DATE(2026,12,23),tblDaily[WardCode],"CW")),"")</f>
        <v/>
      </c>
      <c r="H458" s="12">
        <f>IFERROR(IF(SUMIFS(tblDaily[Remaining],tblDaily[EntryDate],DATE(2026,12,23),tblDaily[WardCode],"CW")=0,"",SUMIFS(tblDaily[Remaining],tblDaily[EntryDate],DATE(2026,12,23),tblDaily[WardCode],"CW")),"")</f>
        <v/>
      </c>
    </row>
    <row r="459">
      <c r="A459" s="12" t="n">
        <v>24</v>
      </c>
      <c r="B459" s="12">
        <f>IFERROR(IF(SUMIFS(tblDaily[Admissions],tblDaily[EntryDate],DATE(2026,12,24),tblDaily[WardCode],"CW")=0,"",SUMIFS(tblDaily[Admissions],tblDaily[EntryDate],DATE(2026,12,24),tblDaily[WardCode],"CW")),"")</f>
        <v/>
      </c>
      <c r="C459" s="12">
        <f>IFERROR(IF(SUMIFS(tblDaily[Discharges],tblDaily[EntryDate],DATE(2026,12,24),tblDaily[WardCode],"CW")=0,"",SUMIFS(tblDaily[Discharges],tblDaily[EntryDate],DATE(2026,12,24),tblDaily[WardCode],"CW")),"")</f>
        <v/>
      </c>
      <c r="D459" s="12">
        <f>IFERROR(IF(SUMIFS(tblDaily[Deaths],tblDaily[EntryDate],DATE(2026,12,24),tblDaily[WardCode],"CW")=0,"",SUMIFS(tblDaily[Deaths],tblDaily[EntryDate],DATE(2026,12,24),tblDaily[WardCode],"CW")),"")</f>
        <v/>
      </c>
      <c r="E459" s="12">
        <f>IFERROR(IF(SUMIFS(tblDaily[DeathsUnder24Hrs],tblDaily[EntryDate],DATE(2026,12,24),tblDaily[WardCode],"CW")=0,"",SUMIFS(tblDaily[DeathsUnder24Hrs],tblDaily[EntryDate],DATE(2026,12,24),tblDaily[WardCode],"CW")),"")</f>
        <v/>
      </c>
      <c r="F459" s="12">
        <f>IFERROR(IF(SUMIFS(tblDaily[TransfersIn],tblDaily[EntryDate],DATE(2026,12,24),tblDaily[WardCode],"CW")=0,"",SUMIFS(tblDaily[TransfersIn],tblDaily[EntryDate],DATE(2026,12,24),tblDaily[WardCode],"CW")),"")</f>
        <v/>
      </c>
      <c r="G459" s="12">
        <f>IFERROR(IF(SUMIFS(tblDaily[TransfersOut],tblDaily[EntryDate],DATE(2026,12,24),tblDaily[WardCode],"CW")=0,"",SUMIFS(tblDaily[TransfersOut],tblDaily[EntryDate],DATE(2026,12,24),tblDaily[WardCode],"CW")),"")</f>
        <v/>
      </c>
      <c r="H459" s="12">
        <f>IFERROR(IF(SUMIFS(tblDaily[Remaining],tblDaily[EntryDate],DATE(2026,12,24),tblDaily[WardCode],"CW")=0,"",SUMIFS(tblDaily[Remaining],tblDaily[EntryDate],DATE(2026,12,24),tblDaily[WardCode],"CW")),"")</f>
        <v/>
      </c>
    </row>
    <row r="460">
      <c r="A460" s="12" t="n">
        <v>25</v>
      </c>
      <c r="B460" s="12">
        <f>IFERROR(IF(SUMIFS(tblDaily[Admissions],tblDaily[EntryDate],DATE(2026,12,25),tblDaily[WardCode],"CW")=0,"",SUMIFS(tblDaily[Admissions],tblDaily[EntryDate],DATE(2026,12,25),tblDaily[WardCode],"CW")),"")</f>
        <v/>
      </c>
      <c r="C460" s="12">
        <f>IFERROR(IF(SUMIFS(tblDaily[Discharges],tblDaily[EntryDate],DATE(2026,12,25),tblDaily[WardCode],"CW")=0,"",SUMIFS(tblDaily[Discharges],tblDaily[EntryDate],DATE(2026,12,25),tblDaily[WardCode],"CW")),"")</f>
        <v/>
      </c>
      <c r="D460" s="12">
        <f>IFERROR(IF(SUMIFS(tblDaily[Deaths],tblDaily[EntryDate],DATE(2026,12,25),tblDaily[WardCode],"CW")=0,"",SUMIFS(tblDaily[Deaths],tblDaily[EntryDate],DATE(2026,12,25),tblDaily[WardCode],"CW")),"")</f>
        <v/>
      </c>
      <c r="E460" s="12">
        <f>IFERROR(IF(SUMIFS(tblDaily[DeathsUnder24Hrs],tblDaily[EntryDate],DATE(2026,12,25),tblDaily[WardCode],"CW")=0,"",SUMIFS(tblDaily[DeathsUnder24Hrs],tblDaily[EntryDate],DATE(2026,12,25),tblDaily[WardCode],"CW")),"")</f>
        <v/>
      </c>
      <c r="F460" s="12">
        <f>IFERROR(IF(SUMIFS(tblDaily[TransfersIn],tblDaily[EntryDate],DATE(2026,12,25),tblDaily[WardCode],"CW")=0,"",SUMIFS(tblDaily[TransfersIn],tblDaily[EntryDate],DATE(2026,12,25),tblDaily[WardCode],"CW")),"")</f>
        <v/>
      </c>
      <c r="G460" s="12">
        <f>IFERROR(IF(SUMIFS(tblDaily[TransfersOut],tblDaily[EntryDate],DATE(2026,12,25),tblDaily[WardCode],"CW")=0,"",SUMIFS(tblDaily[TransfersOut],tblDaily[EntryDate],DATE(2026,12,25),tblDaily[WardCode],"CW")),"")</f>
        <v/>
      </c>
      <c r="H460" s="12">
        <f>IFERROR(IF(SUMIFS(tblDaily[Remaining],tblDaily[EntryDate],DATE(2026,12,25),tblDaily[WardCode],"CW")=0,"",SUMIFS(tblDaily[Remaining],tblDaily[EntryDate],DATE(2026,12,25),tblDaily[WardCode],"CW")),"")</f>
        <v/>
      </c>
    </row>
    <row r="461">
      <c r="A461" s="12" t="n">
        <v>26</v>
      </c>
      <c r="B461" s="12">
        <f>IFERROR(IF(SUMIFS(tblDaily[Admissions],tblDaily[EntryDate],DATE(2026,12,26),tblDaily[WardCode],"CW")=0,"",SUMIFS(tblDaily[Admissions],tblDaily[EntryDate],DATE(2026,12,26),tblDaily[WardCode],"CW")),"")</f>
        <v/>
      </c>
      <c r="C461" s="12">
        <f>IFERROR(IF(SUMIFS(tblDaily[Discharges],tblDaily[EntryDate],DATE(2026,12,26),tblDaily[WardCode],"CW")=0,"",SUMIFS(tblDaily[Discharges],tblDaily[EntryDate],DATE(2026,12,26),tblDaily[WardCode],"CW")),"")</f>
        <v/>
      </c>
      <c r="D461" s="12">
        <f>IFERROR(IF(SUMIFS(tblDaily[Deaths],tblDaily[EntryDate],DATE(2026,12,26),tblDaily[WardCode],"CW")=0,"",SUMIFS(tblDaily[Deaths],tblDaily[EntryDate],DATE(2026,12,26),tblDaily[WardCode],"CW")),"")</f>
        <v/>
      </c>
      <c r="E461" s="12">
        <f>IFERROR(IF(SUMIFS(tblDaily[DeathsUnder24Hrs],tblDaily[EntryDate],DATE(2026,12,26),tblDaily[WardCode],"CW")=0,"",SUMIFS(tblDaily[DeathsUnder24Hrs],tblDaily[EntryDate],DATE(2026,12,26),tblDaily[WardCode],"CW")),"")</f>
        <v/>
      </c>
      <c r="F461" s="12">
        <f>IFERROR(IF(SUMIFS(tblDaily[TransfersIn],tblDaily[EntryDate],DATE(2026,12,26),tblDaily[WardCode],"CW")=0,"",SUMIFS(tblDaily[TransfersIn],tblDaily[EntryDate],DATE(2026,12,26),tblDaily[WardCode],"CW")),"")</f>
        <v/>
      </c>
      <c r="G461" s="12">
        <f>IFERROR(IF(SUMIFS(tblDaily[TransfersOut],tblDaily[EntryDate],DATE(2026,12,26),tblDaily[WardCode],"CW")=0,"",SUMIFS(tblDaily[TransfersOut],tblDaily[EntryDate],DATE(2026,12,26),tblDaily[WardCode],"CW")),"")</f>
        <v/>
      </c>
      <c r="H461" s="12">
        <f>IFERROR(IF(SUMIFS(tblDaily[Remaining],tblDaily[EntryDate],DATE(2026,12,26),tblDaily[WardCode],"CW")=0,"",SUMIFS(tblDaily[Remaining],tblDaily[EntryDate],DATE(2026,12,26),tblDaily[WardCode],"CW")),"")</f>
        <v/>
      </c>
    </row>
    <row r="462">
      <c r="A462" s="12" t="n">
        <v>27</v>
      </c>
      <c r="B462" s="12">
        <f>IFERROR(IF(SUMIFS(tblDaily[Admissions],tblDaily[EntryDate],DATE(2026,12,27),tblDaily[WardCode],"CW")=0,"",SUMIFS(tblDaily[Admissions],tblDaily[EntryDate],DATE(2026,12,27),tblDaily[WardCode],"CW")),"")</f>
        <v/>
      </c>
      <c r="C462" s="12">
        <f>IFERROR(IF(SUMIFS(tblDaily[Discharges],tblDaily[EntryDate],DATE(2026,12,27),tblDaily[WardCode],"CW")=0,"",SUMIFS(tblDaily[Discharges],tblDaily[EntryDate],DATE(2026,12,27),tblDaily[WardCode],"CW")),"")</f>
        <v/>
      </c>
      <c r="D462" s="12">
        <f>IFERROR(IF(SUMIFS(tblDaily[Deaths],tblDaily[EntryDate],DATE(2026,12,27),tblDaily[WardCode],"CW")=0,"",SUMIFS(tblDaily[Deaths],tblDaily[EntryDate],DATE(2026,12,27),tblDaily[WardCode],"CW")),"")</f>
        <v/>
      </c>
      <c r="E462" s="12">
        <f>IFERROR(IF(SUMIFS(tblDaily[DeathsUnder24Hrs],tblDaily[EntryDate],DATE(2026,12,27),tblDaily[WardCode],"CW")=0,"",SUMIFS(tblDaily[DeathsUnder24Hrs],tblDaily[EntryDate],DATE(2026,12,27),tblDaily[WardCode],"CW")),"")</f>
        <v/>
      </c>
      <c r="F462" s="12">
        <f>IFERROR(IF(SUMIFS(tblDaily[TransfersIn],tblDaily[EntryDate],DATE(2026,12,27),tblDaily[WardCode],"CW")=0,"",SUMIFS(tblDaily[TransfersIn],tblDaily[EntryDate],DATE(2026,12,27),tblDaily[WardCode],"CW")),"")</f>
        <v/>
      </c>
      <c r="G462" s="12">
        <f>IFERROR(IF(SUMIFS(tblDaily[TransfersOut],tblDaily[EntryDate],DATE(2026,12,27),tblDaily[WardCode],"CW")=0,"",SUMIFS(tblDaily[TransfersOut],tblDaily[EntryDate],DATE(2026,12,27),tblDaily[WardCode],"CW")),"")</f>
        <v/>
      </c>
      <c r="H462" s="12">
        <f>IFERROR(IF(SUMIFS(tblDaily[Remaining],tblDaily[EntryDate],DATE(2026,12,27),tblDaily[WardCode],"CW")=0,"",SUMIFS(tblDaily[Remaining],tblDaily[EntryDate],DATE(2026,12,27),tblDaily[WardCode],"CW")),"")</f>
        <v/>
      </c>
    </row>
    <row r="463">
      <c r="A463" s="12" t="n">
        <v>28</v>
      </c>
      <c r="B463" s="12">
        <f>IFERROR(IF(SUMIFS(tblDaily[Admissions],tblDaily[EntryDate],DATE(2026,12,28),tblDaily[WardCode],"CW")=0,"",SUMIFS(tblDaily[Admissions],tblDaily[EntryDate],DATE(2026,12,28),tblDaily[WardCode],"CW")),"")</f>
        <v/>
      </c>
      <c r="C463" s="12">
        <f>IFERROR(IF(SUMIFS(tblDaily[Discharges],tblDaily[EntryDate],DATE(2026,12,28),tblDaily[WardCode],"CW")=0,"",SUMIFS(tblDaily[Discharges],tblDaily[EntryDate],DATE(2026,12,28),tblDaily[WardCode],"CW")),"")</f>
        <v/>
      </c>
      <c r="D463" s="12">
        <f>IFERROR(IF(SUMIFS(tblDaily[Deaths],tblDaily[EntryDate],DATE(2026,12,28),tblDaily[WardCode],"CW")=0,"",SUMIFS(tblDaily[Deaths],tblDaily[EntryDate],DATE(2026,12,28),tblDaily[WardCode],"CW")),"")</f>
        <v/>
      </c>
      <c r="E463" s="12">
        <f>IFERROR(IF(SUMIFS(tblDaily[DeathsUnder24Hrs],tblDaily[EntryDate],DATE(2026,12,28),tblDaily[WardCode],"CW")=0,"",SUMIFS(tblDaily[DeathsUnder24Hrs],tblDaily[EntryDate],DATE(2026,12,28),tblDaily[WardCode],"CW")),"")</f>
        <v/>
      </c>
      <c r="F463" s="12">
        <f>IFERROR(IF(SUMIFS(tblDaily[TransfersIn],tblDaily[EntryDate],DATE(2026,12,28),tblDaily[WardCode],"CW")=0,"",SUMIFS(tblDaily[TransfersIn],tblDaily[EntryDate],DATE(2026,12,28),tblDaily[WardCode],"CW")),"")</f>
        <v/>
      </c>
      <c r="G463" s="12">
        <f>IFERROR(IF(SUMIFS(tblDaily[TransfersOut],tblDaily[EntryDate],DATE(2026,12,28),tblDaily[WardCode],"CW")=0,"",SUMIFS(tblDaily[TransfersOut],tblDaily[EntryDate],DATE(2026,12,28),tblDaily[WardCode],"CW")),"")</f>
        <v/>
      </c>
      <c r="H463" s="12">
        <f>IFERROR(IF(SUMIFS(tblDaily[Remaining],tblDaily[EntryDate],DATE(2026,12,28),tblDaily[WardCode],"CW")=0,"",SUMIFS(tblDaily[Remaining],tblDaily[EntryDate],DATE(2026,12,28),tblDaily[WardCode],"CW")),"")</f>
        <v/>
      </c>
    </row>
    <row r="464">
      <c r="A464" s="12" t="n">
        <v>29</v>
      </c>
      <c r="B464" s="12">
        <f>IFERROR(IF(SUMIFS(tblDaily[Admissions],tblDaily[EntryDate],DATE(2026,12,29),tblDaily[WardCode],"CW")=0,"",SUMIFS(tblDaily[Admissions],tblDaily[EntryDate],DATE(2026,12,29),tblDaily[WardCode],"CW")),"")</f>
        <v/>
      </c>
      <c r="C464" s="12">
        <f>IFERROR(IF(SUMIFS(tblDaily[Discharges],tblDaily[EntryDate],DATE(2026,12,29),tblDaily[WardCode],"CW")=0,"",SUMIFS(tblDaily[Discharges],tblDaily[EntryDate],DATE(2026,12,29),tblDaily[WardCode],"CW")),"")</f>
        <v/>
      </c>
      <c r="D464" s="12">
        <f>IFERROR(IF(SUMIFS(tblDaily[Deaths],tblDaily[EntryDate],DATE(2026,12,29),tblDaily[WardCode],"CW")=0,"",SUMIFS(tblDaily[Deaths],tblDaily[EntryDate],DATE(2026,12,29),tblDaily[WardCode],"CW")),"")</f>
        <v/>
      </c>
      <c r="E464" s="12">
        <f>IFERROR(IF(SUMIFS(tblDaily[DeathsUnder24Hrs],tblDaily[EntryDate],DATE(2026,12,29),tblDaily[WardCode],"CW")=0,"",SUMIFS(tblDaily[DeathsUnder24Hrs],tblDaily[EntryDate],DATE(2026,12,29),tblDaily[WardCode],"CW")),"")</f>
        <v/>
      </c>
      <c r="F464" s="12">
        <f>IFERROR(IF(SUMIFS(tblDaily[TransfersIn],tblDaily[EntryDate],DATE(2026,12,29),tblDaily[WardCode],"CW")=0,"",SUMIFS(tblDaily[TransfersIn],tblDaily[EntryDate],DATE(2026,12,29),tblDaily[WardCode],"CW")),"")</f>
        <v/>
      </c>
      <c r="G464" s="12">
        <f>IFERROR(IF(SUMIFS(tblDaily[TransfersOut],tblDaily[EntryDate],DATE(2026,12,29),tblDaily[WardCode],"CW")=0,"",SUMIFS(tblDaily[TransfersOut],tblDaily[EntryDate],DATE(2026,12,29),tblDaily[WardCode],"CW")),"")</f>
        <v/>
      </c>
      <c r="H464" s="12">
        <f>IFERROR(IF(SUMIFS(tblDaily[Remaining],tblDaily[EntryDate],DATE(2026,12,29),tblDaily[WardCode],"CW")=0,"",SUMIFS(tblDaily[Remaining],tblDaily[EntryDate],DATE(2026,12,29),tblDaily[WardCode],"CW")),"")</f>
        <v/>
      </c>
    </row>
    <row r="465">
      <c r="A465" s="12" t="n">
        <v>30</v>
      </c>
      <c r="B465" s="12">
        <f>IFERROR(IF(SUMIFS(tblDaily[Admissions],tblDaily[EntryDate],DATE(2026,12,30),tblDaily[WardCode],"CW")=0,"",SUMIFS(tblDaily[Admissions],tblDaily[EntryDate],DATE(2026,12,30),tblDaily[WardCode],"CW")),"")</f>
        <v/>
      </c>
      <c r="C465" s="12">
        <f>IFERROR(IF(SUMIFS(tblDaily[Discharges],tblDaily[EntryDate],DATE(2026,12,30),tblDaily[WardCode],"CW")=0,"",SUMIFS(tblDaily[Discharges],tblDaily[EntryDate],DATE(2026,12,30),tblDaily[WardCode],"CW")),"")</f>
        <v/>
      </c>
      <c r="D465" s="12">
        <f>IFERROR(IF(SUMIFS(tblDaily[Deaths],tblDaily[EntryDate],DATE(2026,12,30),tblDaily[WardCode],"CW")=0,"",SUMIFS(tblDaily[Deaths],tblDaily[EntryDate],DATE(2026,12,30),tblDaily[WardCode],"CW")),"")</f>
        <v/>
      </c>
      <c r="E465" s="12">
        <f>IFERROR(IF(SUMIFS(tblDaily[DeathsUnder24Hrs],tblDaily[EntryDate],DATE(2026,12,30),tblDaily[WardCode],"CW")=0,"",SUMIFS(tblDaily[DeathsUnder24Hrs],tblDaily[EntryDate],DATE(2026,12,30),tblDaily[WardCode],"CW")),"")</f>
        <v/>
      </c>
      <c r="F465" s="12">
        <f>IFERROR(IF(SUMIFS(tblDaily[TransfersIn],tblDaily[EntryDate],DATE(2026,12,30),tblDaily[WardCode],"CW")=0,"",SUMIFS(tblDaily[TransfersIn],tblDaily[EntryDate],DATE(2026,12,30),tblDaily[WardCode],"CW")),"")</f>
        <v/>
      </c>
      <c r="G465" s="12">
        <f>IFERROR(IF(SUMIFS(tblDaily[TransfersOut],tblDaily[EntryDate],DATE(2026,12,30),tblDaily[WardCode],"CW")=0,"",SUMIFS(tblDaily[TransfersOut],tblDaily[EntryDate],DATE(2026,12,30),tblDaily[WardCode],"CW")),"")</f>
        <v/>
      </c>
      <c r="H465" s="12">
        <f>IFERROR(IF(SUMIFS(tblDaily[Remaining],tblDaily[EntryDate],DATE(2026,12,30),tblDaily[WardCode],"CW")=0,"",SUMIFS(tblDaily[Remaining],tblDaily[EntryDate],DATE(2026,12,30),tblDaily[WardCode],"CW")),"")</f>
        <v/>
      </c>
    </row>
    <row r="466">
      <c r="A466" s="12" t="n">
        <v>31</v>
      </c>
      <c r="B466" s="12">
        <f>IFERROR(IF(SUMIFS(tblDaily[Admissions],tblDaily[EntryDate],DATE(2026,12,31),tblDaily[WardCode],"CW")=0,"",SUMIFS(tblDaily[Admissions],tblDaily[EntryDate],DATE(2026,12,31),tblDaily[WardCode],"CW")),"")</f>
        <v/>
      </c>
      <c r="C466" s="12">
        <f>IFERROR(IF(SUMIFS(tblDaily[Discharges],tblDaily[EntryDate],DATE(2026,12,31),tblDaily[WardCode],"CW")=0,"",SUMIFS(tblDaily[Discharges],tblDaily[EntryDate],DATE(2026,12,31),tblDaily[WardCode],"CW")),"")</f>
        <v/>
      </c>
      <c r="D466" s="12">
        <f>IFERROR(IF(SUMIFS(tblDaily[Deaths],tblDaily[EntryDate],DATE(2026,12,31),tblDaily[WardCode],"CW")=0,"",SUMIFS(tblDaily[Deaths],tblDaily[EntryDate],DATE(2026,12,31),tblDaily[WardCode],"CW")),"")</f>
        <v/>
      </c>
      <c r="E466" s="12">
        <f>IFERROR(IF(SUMIFS(tblDaily[DeathsUnder24Hrs],tblDaily[EntryDate],DATE(2026,12,31),tblDaily[WardCode],"CW")=0,"",SUMIFS(tblDaily[DeathsUnder24Hrs],tblDaily[EntryDate],DATE(2026,12,31),tblDaily[WardCode],"CW")),"")</f>
        <v/>
      </c>
      <c r="F466" s="12">
        <f>IFERROR(IF(SUMIFS(tblDaily[TransfersIn],tblDaily[EntryDate],DATE(2026,12,31),tblDaily[WardCode],"CW")=0,"",SUMIFS(tblDaily[TransfersIn],tblDaily[EntryDate],DATE(2026,12,31),tblDaily[WardCode],"CW")),"")</f>
        <v/>
      </c>
      <c r="G466" s="12">
        <f>IFERROR(IF(SUMIFS(tblDaily[TransfersOut],tblDaily[EntryDate],DATE(2026,12,31),tblDaily[WardCode],"CW")=0,"",SUMIFS(tblDaily[TransfersOut],tblDaily[EntryDate],DATE(2026,12,31),tblDaily[WardCode],"CW")),"")</f>
        <v/>
      </c>
      <c r="H466" s="12">
        <f>IFERROR(IF(SUMIFS(tblDaily[Remaining],tblDaily[EntryDate],DATE(2026,12,31),tblDaily[WardCode],"CW")=0,"",SUMIFS(tblDaily[Remaining],tblDaily[EntryDate],DATE(2026,12,31),tblDaily[WardCode],"CW")),"")</f>
        <v/>
      </c>
    </row>
    <row r="467">
      <c r="A467" s="17" t="inlineStr">
        <is>
          <t>TOTAL</t>
        </is>
      </c>
      <c r="B467" s="17">
        <f>SUMIFS(tblDaily[Admissions],tblDaily[Month],12,tblDaily[WardCode],"CW") - SUMIFS(tblDaily[DeathsUnder24Hrs],tblDaily[Month],12,tblDaily[WardCode],"CW")</f>
        <v/>
      </c>
      <c r="C467" s="17">
        <f>SUMIFS(tblDaily[Discharges],tblDaily[Month],12,tblDaily[WardCode],"CW")</f>
        <v/>
      </c>
      <c r="D467" s="17">
        <f>SUMIFS(tblDaily[Deaths],tblDaily[Month],12,tblDaily[WardCode],"CW")</f>
        <v/>
      </c>
      <c r="E467" s="17">
        <f>SUMIFS(tblDaily[DeathsUnder24Hrs],tblDaily[Month],12,tblDaily[WardCode],"CW")</f>
        <v/>
      </c>
      <c r="F467" s="17">
        <f>SUMIFS(tblDaily[TransfersIn],tblDaily[Month],12,tblDaily[WardCode],"CW")</f>
        <v/>
      </c>
      <c r="G467" s="17">
        <f>SUMIFS(tblDaily[TransfersOut],tblDaily[Month],12,tblDaily[WardCode],"CW")</f>
        <v/>
      </c>
      <c r="H467" s="17">
        <f>SUMIFS(tblDaily[Remaining],tblDaily[Month],12,tblDaily[WardCode],"CW")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BLOCK F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4">
        <f>IFERROR(INDEX(tblWardConfig[PrevYearRemaining],MATCH("BF",tblWardConfig[WardCode],0)),0)</f>
        <v/>
      </c>
    </row>
    <row r="5">
      <c r="A5" s="4" t="inlineStr">
        <is>
          <t>Bed complement</t>
        </is>
      </c>
      <c r="H5" s="15">
        <f>IFERROR(INDEX(tblWardConfig[BedComplement],MATCH("BF",tblWardConfig[WardCode],0)),0)</f>
        <v/>
      </c>
    </row>
    <row r="6">
      <c r="A6" s="16" t="inlineStr">
        <is>
          <t>Day of
the
Month</t>
        </is>
      </c>
      <c r="B6" s="16" t="inlineStr">
        <is>
          <t>Admissions</t>
        </is>
      </c>
      <c r="C6" s="16" t="inlineStr">
        <is>
          <t>Discharges</t>
        </is>
      </c>
      <c r="D6" s="16" t="inlineStr">
        <is>
          <t>Deaths</t>
        </is>
      </c>
      <c r="E6" s="16" t="inlineStr">
        <is>
          <t>Deaths
&lt;24Hrs</t>
        </is>
      </c>
      <c r="F6" s="16" t="inlineStr">
        <is>
          <t>Transfers-
In</t>
        </is>
      </c>
      <c r="G6" s="16" t="inlineStr">
        <is>
          <t>Transfers-
Out</t>
        </is>
      </c>
      <c r="H6" s="16" t="inlineStr">
        <is>
          <t>No. of Patients
Remaining In
Ward</t>
        </is>
      </c>
    </row>
    <row r="7">
      <c r="A7" s="12" t="n">
        <v>1</v>
      </c>
      <c r="B7" s="12">
        <f>IFERROR(IF(SUMIFS(tblDaily[Admissions],tblDaily[EntryDate],DATE(2026,1,1),tblDaily[WardCode],"BF")=0,"",SUMIFS(tblDaily[Admissions],tblDaily[EntryDate],DATE(2026,1,1),tblDaily[WardCode],"BF")),"")</f>
        <v/>
      </c>
      <c r="C7" s="12">
        <f>IFERROR(IF(SUMIFS(tblDaily[Discharges],tblDaily[EntryDate],DATE(2026,1,1),tblDaily[WardCode],"BF")=0,"",SUMIFS(tblDaily[Discharges],tblDaily[EntryDate],DATE(2026,1,1),tblDaily[WardCode],"BF")),"")</f>
        <v/>
      </c>
      <c r="D7" s="12">
        <f>IFERROR(IF(SUMIFS(tblDaily[Deaths],tblDaily[EntryDate],DATE(2026,1,1),tblDaily[WardCode],"BF")=0,"",SUMIFS(tblDaily[Deaths],tblDaily[EntryDate],DATE(2026,1,1),tblDaily[WardCode],"BF")),"")</f>
        <v/>
      </c>
      <c r="E7" s="12">
        <f>IFERROR(IF(SUMIFS(tblDaily[DeathsUnder24Hrs],tblDaily[EntryDate],DATE(2026,1,1),tblDaily[WardCode],"BF")=0,"",SUMIFS(tblDaily[DeathsUnder24Hrs],tblDaily[EntryDate],DATE(2026,1,1),tblDaily[WardCode],"BF")),"")</f>
        <v/>
      </c>
      <c r="F7" s="12">
        <f>IFERROR(IF(SUMIFS(tblDaily[TransfersIn],tblDaily[EntryDate],DATE(2026,1,1),tblDaily[WardCode],"BF")=0,"",SUMIFS(tblDaily[TransfersIn],tblDaily[EntryDate],DATE(2026,1,1),tblDaily[WardCode],"BF")),"")</f>
        <v/>
      </c>
      <c r="G7" s="12">
        <f>IFERROR(IF(SUMIFS(tblDaily[TransfersOut],tblDaily[EntryDate],DATE(2026,1,1),tblDaily[WardCode],"BF")=0,"",SUMIFS(tblDaily[TransfersOut],tblDaily[EntryDate],DATE(2026,1,1),tblDaily[WardCode],"BF")),"")</f>
        <v/>
      </c>
      <c r="H7" s="12">
        <f>IFERROR(IF(SUMIFS(tblDaily[Remaining],tblDaily[EntryDate],DATE(2026,1,1),tblDaily[WardCode],"BF")=0,"",SUMIFS(tblDaily[Remaining],tblDaily[EntryDate],DATE(2026,1,1),tblDaily[WardCode],"BF")),"")</f>
        <v/>
      </c>
    </row>
    <row r="8">
      <c r="A8" s="12" t="n">
        <v>2</v>
      </c>
      <c r="B8" s="12">
        <f>IFERROR(IF(SUMIFS(tblDaily[Admissions],tblDaily[EntryDate],DATE(2026,1,2),tblDaily[WardCode],"BF")=0,"",SUMIFS(tblDaily[Admissions],tblDaily[EntryDate],DATE(2026,1,2),tblDaily[WardCode],"BF")),"")</f>
        <v/>
      </c>
      <c r="C8" s="12">
        <f>IFERROR(IF(SUMIFS(tblDaily[Discharges],tblDaily[EntryDate],DATE(2026,1,2),tblDaily[WardCode],"BF")=0,"",SUMIFS(tblDaily[Discharges],tblDaily[EntryDate],DATE(2026,1,2),tblDaily[WardCode],"BF")),"")</f>
        <v/>
      </c>
      <c r="D8" s="12">
        <f>IFERROR(IF(SUMIFS(tblDaily[Deaths],tblDaily[EntryDate],DATE(2026,1,2),tblDaily[WardCode],"BF")=0,"",SUMIFS(tblDaily[Deaths],tblDaily[EntryDate],DATE(2026,1,2),tblDaily[WardCode],"BF")),"")</f>
        <v/>
      </c>
      <c r="E8" s="12">
        <f>IFERROR(IF(SUMIFS(tblDaily[DeathsUnder24Hrs],tblDaily[EntryDate],DATE(2026,1,2),tblDaily[WardCode],"BF")=0,"",SUMIFS(tblDaily[DeathsUnder24Hrs],tblDaily[EntryDate],DATE(2026,1,2),tblDaily[WardCode],"BF")),"")</f>
        <v/>
      </c>
      <c r="F8" s="12">
        <f>IFERROR(IF(SUMIFS(tblDaily[TransfersIn],tblDaily[EntryDate],DATE(2026,1,2),tblDaily[WardCode],"BF")=0,"",SUMIFS(tblDaily[TransfersIn],tblDaily[EntryDate],DATE(2026,1,2),tblDaily[WardCode],"BF")),"")</f>
        <v/>
      </c>
      <c r="G8" s="12">
        <f>IFERROR(IF(SUMIFS(tblDaily[TransfersOut],tblDaily[EntryDate],DATE(2026,1,2),tblDaily[WardCode],"BF")=0,"",SUMIFS(tblDaily[TransfersOut],tblDaily[EntryDate],DATE(2026,1,2),tblDaily[WardCode],"BF")),"")</f>
        <v/>
      </c>
      <c r="H8" s="12">
        <f>IFERROR(IF(SUMIFS(tblDaily[Remaining],tblDaily[EntryDate],DATE(2026,1,2),tblDaily[WardCode],"BF")=0,"",SUMIFS(tblDaily[Remaining],tblDaily[EntryDate],DATE(2026,1,2),tblDaily[WardCode],"BF")),"")</f>
        <v/>
      </c>
    </row>
    <row r="9">
      <c r="A9" s="12" t="n">
        <v>3</v>
      </c>
      <c r="B9" s="12">
        <f>IFERROR(IF(SUMIFS(tblDaily[Admissions],tblDaily[EntryDate],DATE(2026,1,3),tblDaily[WardCode],"BF")=0,"",SUMIFS(tblDaily[Admissions],tblDaily[EntryDate],DATE(2026,1,3),tblDaily[WardCode],"BF")),"")</f>
        <v/>
      </c>
      <c r="C9" s="12">
        <f>IFERROR(IF(SUMIFS(tblDaily[Discharges],tblDaily[EntryDate],DATE(2026,1,3),tblDaily[WardCode],"BF")=0,"",SUMIFS(tblDaily[Discharges],tblDaily[EntryDate],DATE(2026,1,3),tblDaily[WardCode],"BF")),"")</f>
        <v/>
      </c>
      <c r="D9" s="12">
        <f>IFERROR(IF(SUMIFS(tblDaily[Deaths],tblDaily[EntryDate],DATE(2026,1,3),tblDaily[WardCode],"BF")=0,"",SUMIFS(tblDaily[Deaths],tblDaily[EntryDate],DATE(2026,1,3),tblDaily[WardCode],"BF")),"")</f>
        <v/>
      </c>
      <c r="E9" s="12">
        <f>IFERROR(IF(SUMIFS(tblDaily[DeathsUnder24Hrs],tblDaily[EntryDate],DATE(2026,1,3),tblDaily[WardCode],"BF")=0,"",SUMIFS(tblDaily[DeathsUnder24Hrs],tblDaily[EntryDate],DATE(2026,1,3),tblDaily[WardCode],"BF")),"")</f>
        <v/>
      </c>
      <c r="F9" s="12">
        <f>IFERROR(IF(SUMIFS(tblDaily[TransfersIn],tblDaily[EntryDate],DATE(2026,1,3),tblDaily[WardCode],"BF")=0,"",SUMIFS(tblDaily[TransfersIn],tblDaily[EntryDate],DATE(2026,1,3),tblDaily[WardCode],"BF")),"")</f>
        <v/>
      </c>
      <c r="G9" s="12">
        <f>IFERROR(IF(SUMIFS(tblDaily[TransfersOut],tblDaily[EntryDate],DATE(2026,1,3),tblDaily[WardCode],"BF")=0,"",SUMIFS(tblDaily[TransfersOut],tblDaily[EntryDate],DATE(2026,1,3),tblDaily[WardCode],"BF")),"")</f>
        <v/>
      </c>
      <c r="H9" s="12">
        <f>IFERROR(IF(SUMIFS(tblDaily[Remaining],tblDaily[EntryDate],DATE(2026,1,3),tblDaily[WardCode],"BF")=0,"",SUMIFS(tblDaily[Remaining],tblDaily[EntryDate],DATE(2026,1,3),tblDaily[WardCode],"BF")),"")</f>
        <v/>
      </c>
    </row>
    <row r="10">
      <c r="A10" s="12" t="n">
        <v>4</v>
      </c>
      <c r="B10" s="12">
        <f>IFERROR(IF(SUMIFS(tblDaily[Admissions],tblDaily[EntryDate],DATE(2026,1,4),tblDaily[WardCode],"BF")=0,"",SUMIFS(tblDaily[Admissions],tblDaily[EntryDate],DATE(2026,1,4),tblDaily[WardCode],"BF")),"")</f>
        <v/>
      </c>
      <c r="C10" s="12">
        <f>IFERROR(IF(SUMIFS(tblDaily[Discharges],tblDaily[EntryDate],DATE(2026,1,4),tblDaily[WardCode],"BF")=0,"",SUMIFS(tblDaily[Discharges],tblDaily[EntryDate],DATE(2026,1,4),tblDaily[WardCode],"BF")),"")</f>
        <v/>
      </c>
      <c r="D10" s="12">
        <f>IFERROR(IF(SUMIFS(tblDaily[Deaths],tblDaily[EntryDate],DATE(2026,1,4),tblDaily[WardCode],"BF")=0,"",SUMIFS(tblDaily[Deaths],tblDaily[EntryDate],DATE(2026,1,4),tblDaily[WardCode],"BF")),"")</f>
        <v/>
      </c>
      <c r="E10" s="12">
        <f>IFERROR(IF(SUMIFS(tblDaily[DeathsUnder24Hrs],tblDaily[EntryDate],DATE(2026,1,4),tblDaily[WardCode],"BF")=0,"",SUMIFS(tblDaily[DeathsUnder24Hrs],tblDaily[EntryDate],DATE(2026,1,4),tblDaily[WardCode],"BF")),"")</f>
        <v/>
      </c>
      <c r="F10" s="12">
        <f>IFERROR(IF(SUMIFS(tblDaily[TransfersIn],tblDaily[EntryDate],DATE(2026,1,4),tblDaily[WardCode],"BF")=0,"",SUMIFS(tblDaily[TransfersIn],tblDaily[EntryDate],DATE(2026,1,4),tblDaily[WardCode],"BF")),"")</f>
        <v/>
      </c>
      <c r="G10" s="12">
        <f>IFERROR(IF(SUMIFS(tblDaily[TransfersOut],tblDaily[EntryDate],DATE(2026,1,4),tblDaily[WardCode],"BF")=0,"",SUMIFS(tblDaily[TransfersOut],tblDaily[EntryDate],DATE(2026,1,4),tblDaily[WardCode],"BF")),"")</f>
        <v/>
      </c>
      <c r="H10" s="12">
        <f>IFERROR(IF(SUMIFS(tblDaily[Remaining],tblDaily[EntryDate],DATE(2026,1,4),tblDaily[WardCode],"BF")=0,"",SUMIFS(tblDaily[Remaining],tblDaily[EntryDate],DATE(2026,1,4),tblDaily[WardCode],"BF")),"")</f>
        <v/>
      </c>
    </row>
    <row r="11">
      <c r="A11" s="12" t="n">
        <v>5</v>
      </c>
      <c r="B11" s="12">
        <f>IFERROR(IF(SUMIFS(tblDaily[Admissions],tblDaily[EntryDate],DATE(2026,1,5),tblDaily[WardCode],"BF")=0,"",SUMIFS(tblDaily[Admissions],tblDaily[EntryDate],DATE(2026,1,5),tblDaily[WardCode],"BF")),"")</f>
        <v/>
      </c>
      <c r="C11" s="12">
        <f>IFERROR(IF(SUMIFS(tblDaily[Discharges],tblDaily[EntryDate],DATE(2026,1,5),tblDaily[WardCode],"BF")=0,"",SUMIFS(tblDaily[Discharges],tblDaily[EntryDate],DATE(2026,1,5),tblDaily[WardCode],"BF")),"")</f>
        <v/>
      </c>
      <c r="D11" s="12">
        <f>IFERROR(IF(SUMIFS(tblDaily[Deaths],tblDaily[EntryDate],DATE(2026,1,5),tblDaily[WardCode],"BF")=0,"",SUMIFS(tblDaily[Deaths],tblDaily[EntryDate],DATE(2026,1,5),tblDaily[WardCode],"BF")),"")</f>
        <v/>
      </c>
      <c r="E11" s="12">
        <f>IFERROR(IF(SUMIFS(tblDaily[DeathsUnder24Hrs],tblDaily[EntryDate],DATE(2026,1,5),tblDaily[WardCode],"BF")=0,"",SUMIFS(tblDaily[DeathsUnder24Hrs],tblDaily[EntryDate],DATE(2026,1,5),tblDaily[WardCode],"BF")),"")</f>
        <v/>
      </c>
      <c r="F11" s="12">
        <f>IFERROR(IF(SUMIFS(tblDaily[TransfersIn],tblDaily[EntryDate],DATE(2026,1,5),tblDaily[WardCode],"BF")=0,"",SUMIFS(tblDaily[TransfersIn],tblDaily[EntryDate],DATE(2026,1,5),tblDaily[WardCode],"BF")),"")</f>
        <v/>
      </c>
      <c r="G11" s="12">
        <f>IFERROR(IF(SUMIFS(tblDaily[TransfersOut],tblDaily[EntryDate],DATE(2026,1,5),tblDaily[WardCode],"BF")=0,"",SUMIFS(tblDaily[TransfersOut],tblDaily[EntryDate],DATE(2026,1,5),tblDaily[WardCode],"BF")),"")</f>
        <v/>
      </c>
      <c r="H11" s="12">
        <f>IFERROR(IF(SUMIFS(tblDaily[Remaining],tblDaily[EntryDate],DATE(2026,1,5),tblDaily[WardCode],"BF")=0,"",SUMIFS(tblDaily[Remaining],tblDaily[EntryDate],DATE(2026,1,5),tblDaily[WardCode],"BF")),"")</f>
        <v/>
      </c>
    </row>
    <row r="12">
      <c r="A12" s="12" t="n">
        <v>6</v>
      </c>
      <c r="B12" s="12">
        <f>IFERROR(IF(SUMIFS(tblDaily[Admissions],tblDaily[EntryDate],DATE(2026,1,6),tblDaily[WardCode],"BF")=0,"",SUMIFS(tblDaily[Admissions],tblDaily[EntryDate],DATE(2026,1,6),tblDaily[WardCode],"BF")),"")</f>
        <v/>
      </c>
      <c r="C12" s="12">
        <f>IFERROR(IF(SUMIFS(tblDaily[Discharges],tblDaily[EntryDate],DATE(2026,1,6),tblDaily[WardCode],"BF")=0,"",SUMIFS(tblDaily[Discharges],tblDaily[EntryDate],DATE(2026,1,6),tblDaily[WardCode],"BF")),"")</f>
        <v/>
      </c>
      <c r="D12" s="12">
        <f>IFERROR(IF(SUMIFS(tblDaily[Deaths],tblDaily[EntryDate],DATE(2026,1,6),tblDaily[WardCode],"BF")=0,"",SUMIFS(tblDaily[Deaths],tblDaily[EntryDate],DATE(2026,1,6),tblDaily[WardCode],"BF")),"")</f>
        <v/>
      </c>
      <c r="E12" s="12">
        <f>IFERROR(IF(SUMIFS(tblDaily[DeathsUnder24Hrs],tblDaily[EntryDate],DATE(2026,1,6),tblDaily[WardCode],"BF")=0,"",SUMIFS(tblDaily[DeathsUnder24Hrs],tblDaily[EntryDate],DATE(2026,1,6),tblDaily[WardCode],"BF")),"")</f>
        <v/>
      </c>
      <c r="F12" s="12">
        <f>IFERROR(IF(SUMIFS(tblDaily[TransfersIn],tblDaily[EntryDate],DATE(2026,1,6),tblDaily[WardCode],"BF")=0,"",SUMIFS(tblDaily[TransfersIn],tblDaily[EntryDate],DATE(2026,1,6),tblDaily[WardCode],"BF")),"")</f>
        <v/>
      </c>
      <c r="G12" s="12">
        <f>IFERROR(IF(SUMIFS(tblDaily[TransfersOut],tblDaily[EntryDate],DATE(2026,1,6),tblDaily[WardCode],"BF")=0,"",SUMIFS(tblDaily[TransfersOut],tblDaily[EntryDate],DATE(2026,1,6),tblDaily[WardCode],"BF")),"")</f>
        <v/>
      </c>
      <c r="H12" s="12">
        <f>IFERROR(IF(SUMIFS(tblDaily[Remaining],tblDaily[EntryDate],DATE(2026,1,6),tblDaily[WardCode],"BF")=0,"",SUMIFS(tblDaily[Remaining],tblDaily[EntryDate],DATE(2026,1,6),tblDaily[WardCode],"BF")),"")</f>
        <v/>
      </c>
    </row>
    <row r="13">
      <c r="A13" s="12" t="n">
        <v>7</v>
      </c>
      <c r="B13" s="12">
        <f>IFERROR(IF(SUMIFS(tblDaily[Admissions],tblDaily[EntryDate],DATE(2026,1,7),tblDaily[WardCode],"BF")=0,"",SUMIFS(tblDaily[Admissions],tblDaily[EntryDate],DATE(2026,1,7),tblDaily[WardCode],"BF")),"")</f>
        <v/>
      </c>
      <c r="C13" s="12">
        <f>IFERROR(IF(SUMIFS(tblDaily[Discharges],tblDaily[EntryDate],DATE(2026,1,7),tblDaily[WardCode],"BF")=0,"",SUMIFS(tblDaily[Discharges],tblDaily[EntryDate],DATE(2026,1,7),tblDaily[WardCode],"BF")),"")</f>
        <v/>
      </c>
      <c r="D13" s="12">
        <f>IFERROR(IF(SUMIFS(tblDaily[Deaths],tblDaily[EntryDate],DATE(2026,1,7),tblDaily[WardCode],"BF")=0,"",SUMIFS(tblDaily[Deaths],tblDaily[EntryDate],DATE(2026,1,7),tblDaily[WardCode],"BF")),"")</f>
        <v/>
      </c>
      <c r="E13" s="12">
        <f>IFERROR(IF(SUMIFS(tblDaily[DeathsUnder24Hrs],tblDaily[EntryDate],DATE(2026,1,7),tblDaily[WardCode],"BF")=0,"",SUMIFS(tblDaily[DeathsUnder24Hrs],tblDaily[EntryDate],DATE(2026,1,7),tblDaily[WardCode],"BF")),"")</f>
        <v/>
      </c>
      <c r="F13" s="12">
        <f>IFERROR(IF(SUMIFS(tblDaily[TransfersIn],tblDaily[EntryDate],DATE(2026,1,7),tblDaily[WardCode],"BF")=0,"",SUMIFS(tblDaily[TransfersIn],tblDaily[EntryDate],DATE(2026,1,7),tblDaily[WardCode],"BF")),"")</f>
        <v/>
      </c>
      <c r="G13" s="12">
        <f>IFERROR(IF(SUMIFS(tblDaily[TransfersOut],tblDaily[EntryDate],DATE(2026,1,7),tblDaily[WardCode],"BF")=0,"",SUMIFS(tblDaily[TransfersOut],tblDaily[EntryDate],DATE(2026,1,7),tblDaily[WardCode],"BF")),"")</f>
        <v/>
      </c>
      <c r="H13" s="12">
        <f>IFERROR(IF(SUMIFS(tblDaily[Remaining],tblDaily[EntryDate],DATE(2026,1,7),tblDaily[WardCode],"BF")=0,"",SUMIFS(tblDaily[Remaining],tblDaily[EntryDate],DATE(2026,1,7),tblDaily[WardCode],"BF")),"")</f>
        <v/>
      </c>
    </row>
    <row r="14">
      <c r="A14" s="12" t="n">
        <v>8</v>
      </c>
      <c r="B14" s="12">
        <f>IFERROR(IF(SUMIFS(tblDaily[Admissions],tblDaily[EntryDate],DATE(2026,1,8),tblDaily[WardCode],"BF")=0,"",SUMIFS(tblDaily[Admissions],tblDaily[EntryDate],DATE(2026,1,8),tblDaily[WardCode],"BF")),"")</f>
        <v/>
      </c>
      <c r="C14" s="12">
        <f>IFERROR(IF(SUMIFS(tblDaily[Discharges],tblDaily[EntryDate],DATE(2026,1,8),tblDaily[WardCode],"BF")=0,"",SUMIFS(tblDaily[Discharges],tblDaily[EntryDate],DATE(2026,1,8),tblDaily[WardCode],"BF")),"")</f>
        <v/>
      </c>
      <c r="D14" s="12">
        <f>IFERROR(IF(SUMIFS(tblDaily[Deaths],tblDaily[EntryDate],DATE(2026,1,8),tblDaily[WardCode],"BF")=0,"",SUMIFS(tblDaily[Deaths],tblDaily[EntryDate],DATE(2026,1,8),tblDaily[WardCode],"BF")),"")</f>
        <v/>
      </c>
      <c r="E14" s="12">
        <f>IFERROR(IF(SUMIFS(tblDaily[DeathsUnder24Hrs],tblDaily[EntryDate],DATE(2026,1,8),tblDaily[WardCode],"BF")=0,"",SUMIFS(tblDaily[DeathsUnder24Hrs],tblDaily[EntryDate],DATE(2026,1,8),tblDaily[WardCode],"BF")),"")</f>
        <v/>
      </c>
      <c r="F14" s="12">
        <f>IFERROR(IF(SUMIFS(tblDaily[TransfersIn],tblDaily[EntryDate],DATE(2026,1,8),tblDaily[WardCode],"BF")=0,"",SUMIFS(tblDaily[TransfersIn],tblDaily[EntryDate],DATE(2026,1,8),tblDaily[WardCode],"BF")),"")</f>
        <v/>
      </c>
      <c r="G14" s="12">
        <f>IFERROR(IF(SUMIFS(tblDaily[TransfersOut],tblDaily[EntryDate],DATE(2026,1,8),tblDaily[WardCode],"BF")=0,"",SUMIFS(tblDaily[TransfersOut],tblDaily[EntryDate],DATE(2026,1,8),tblDaily[WardCode],"BF")),"")</f>
        <v/>
      </c>
      <c r="H14" s="12">
        <f>IFERROR(IF(SUMIFS(tblDaily[Remaining],tblDaily[EntryDate],DATE(2026,1,8),tblDaily[WardCode],"BF")=0,"",SUMIFS(tblDaily[Remaining],tblDaily[EntryDate],DATE(2026,1,8),tblDaily[WardCode],"BF")),"")</f>
        <v/>
      </c>
    </row>
    <row r="15">
      <c r="A15" s="12" t="n">
        <v>9</v>
      </c>
      <c r="B15" s="12">
        <f>IFERROR(IF(SUMIFS(tblDaily[Admissions],tblDaily[EntryDate],DATE(2026,1,9),tblDaily[WardCode],"BF")=0,"",SUMIFS(tblDaily[Admissions],tblDaily[EntryDate],DATE(2026,1,9),tblDaily[WardCode],"BF")),"")</f>
        <v/>
      </c>
      <c r="C15" s="12">
        <f>IFERROR(IF(SUMIFS(tblDaily[Discharges],tblDaily[EntryDate],DATE(2026,1,9),tblDaily[WardCode],"BF")=0,"",SUMIFS(tblDaily[Discharges],tblDaily[EntryDate],DATE(2026,1,9),tblDaily[WardCode],"BF")),"")</f>
        <v/>
      </c>
      <c r="D15" s="12">
        <f>IFERROR(IF(SUMIFS(tblDaily[Deaths],tblDaily[EntryDate],DATE(2026,1,9),tblDaily[WardCode],"BF")=0,"",SUMIFS(tblDaily[Deaths],tblDaily[EntryDate],DATE(2026,1,9),tblDaily[WardCode],"BF")),"")</f>
        <v/>
      </c>
      <c r="E15" s="12">
        <f>IFERROR(IF(SUMIFS(tblDaily[DeathsUnder24Hrs],tblDaily[EntryDate],DATE(2026,1,9),tblDaily[WardCode],"BF")=0,"",SUMIFS(tblDaily[DeathsUnder24Hrs],tblDaily[EntryDate],DATE(2026,1,9),tblDaily[WardCode],"BF")),"")</f>
        <v/>
      </c>
      <c r="F15" s="12">
        <f>IFERROR(IF(SUMIFS(tblDaily[TransfersIn],tblDaily[EntryDate],DATE(2026,1,9),tblDaily[WardCode],"BF")=0,"",SUMIFS(tblDaily[TransfersIn],tblDaily[EntryDate],DATE(2026,1,9),tblDaily[WardCode],"BF")),"")</f>
        <v/>
      </c>
      <c r="G15" s="12">
        <f>IFERROR(IF(SUMIFS(tblDaily[TransfersOut],tblDaily[EntryDate],DATE(2026,1,9),tblDaily[WardCode],"BF")=0,"",SUMIFS(tblDaily[TransfersOut],tblDaily[EntryDate],DATE(2026,1,9),tblDaily[WardCode],"BF")),"")</f>
        <v/>
      </c>
      <c r="H15" s="12">
        <f>IFERROR(IF(SUMIFS(tblDaily[Remaining],tblDaily[EntryDate],DATE(2026,1,9),tblDaily[WardCode],"BF")=0,"",SUMIFS(tblDaily[Remaining],tblDaily[EntryDate],DATE(2026,1,9),tblDaily[WardCode],"BF")),"")</f>
        <v/>
      </c>
    </row>
    <row r="16">
      <c r="A16" s="12" t="n">
        <v>10</v>
      </c>
      <c r="B16" s="12">
        <f>IFERROR(IF(SUMIFS(tblDaily[Admissions],tblDaily[EntryDate],DATE(2026,1,10),tblDaily[WardCode],"BF")=0,"",SUMIFS(tblDaily[Admissions],tblDaily[EntryDate],DATE(2026,1,10),tblDaily[WardCode],"BF")),"")</f>
        <v/>
      </c>
      <c r="C16" s="12">
        <f>IFERROR(IF(SUMIFS(tblDaily[Discharges],tblDaily[EntryDate],DATE(2026,1,10),tblDaily[WardCode],"BF")=0,"",SUMIFS(tblDaily[Discharges],tblDaily[EntryDate],DATE(2026,1,10),tblDaily[WardCode],"BF")),"")</f>
        <v/>
      </c>
      <c r="D16" s="12">
        <f>IFERROR(IF(SUMIFS(tblDaily[Deaths],tblDaily[EntryDate],DATE(2026,1,10),tblDaily[WardCode],"BF")=0,"",SUMIFS(tblDaily[Deaths],tblDaily[EntryDate],DATE(2026,1,10),tblDaily[WardCode],"BF")),"")</f>
        <v/>
      </c>
      <c r="E16" s="12">
        <f>IFERROR(IF(SUMIFS(tblDaily[DeathsUnder24Hrs],tblDaily[EntryDate],DATE(2026,1,10),tblDaily[WardCode],"BF")=0,"",SUMIFS(tblDaily[DeathsUnder24Hrs],tblDaily[EntryDate],DATE(2026,1,10),tblDaily[WardCode],"BF")),"")</f>
        <v/>
      </c>
      <c r="F16" s="12">
        <f>IFERROR(IF(SUMIFS(tblDaily[TransfersIn],tblDaily[EntryDate],DATE(2026,1,10),tblDaily[WardCode],"BF")=0,"",SUMIFS(tblDaily[TransfersIn],tblDaily[EntryDate],DATE(2026,1,10),tblDaily[WardCode],"BF")),"")</f>
        <v/>
      </c>
      <c r="G16" s="12">
        <f>IFERROR(IF(SUMIFS(tblDaily[TransfersOut],tblDaily[EntryDate],DATE(2026,1,10),tblDaily[WardCode],"BF")=0,"",SUMIFS(tblDaily[TransfersOut],tblDaily[EntryDate],DATE(2026,1,10),tblDaily[WardCode],"BF")),"")</f>
        <v/>
      </c>
      <c r="H16" s="12">
        <f>IFERROR(IF(SUMIFS(tblDaily[Remaining],tblDaily[EntryDate],DATE(2026,1,10),tblDaily[WardCode],"BF")=0,"",SUMIFS(tblDaily[Remaining],tblDaily[EntryDate],DATE(2026,1,10),tblDaily[WardCode],"BF")),"")</f>
        <v/>
      </c>
    </row>
    <row r="17">
      <c r="A17" s="12" t="n">
        <v>11</v>
      </c>
      <c r="B17" s="12">
        <f>IFERROR(IF(SUMIFS(tblDaily[Admissions],tblDaily[EntryDate],DATE(2026,1,11),tblDaily[WardCode],"BF")=0,"",SUMIFS(tblDaily[Admissions],tblDaily[EntryDate],DATE(2026,1,11),tblDaily[WardCode],"BF")),"")</f>
        <v/>
      </c>
      <c r="C17" s="12">
        <f>IFERROR(IF(SUMIFS(tblDaily[Discharges],tblDaily[EntryDate],DATE(2026,1,11),tblDaily[WardCode],"BF")=0,"",SUMIFS(tblDaily[Discharges],tblDaily[EntryDate],DATE(2026,1,11),tblDaily[WardCode],"BF")),"")</f>
        <v/>
      </c>
      <c r="D17" s="12">
        <f>IFERROR(IF(SUMIFS(tblDaily[Deaths],tblDaily[EntryDate],DATE(2026,1,11),tblDaily[WardCode],"BF")=0,"",SUMIFS(tblDaily[Deaths],tblDaily[EntryDate],DATE(2026,1,11),tblDaily[WardCode],"BF")),"")</f>
        <v/>
      </c>
      <c r="E17" s="12">
        <f>IFERROR(IF(SUMIFS(tblDaily[DeathsUnder24Hrs],tblDaily[EntryDate],DATE(2026,1,11),tblDaily[WardCode],"BF")=0,"",SUMIFS(tblDaily[DeathsUnder24Hrs],tblDaily[EntryDate],DATE(2026,1,11),tblDaily[WardCode],"BF")),"")</f>
        <v/>
      </c>
      <c r="F17" s="12">
        <f>IFERROR(IF(SUMIFS(tblDaily[TransfersIn],tblDaily[EntryDate],DATE(2026,1,11),tblDaily[WardCode],"BF")=0,"",SUMIFS(tblDaily[TransfersIn],tblDaily[EntryDate],DATE(2026,1,11),tblDaily[WardCode],"BF")),"")</f>
        <v/>
      </c>
      <c r="G17" s="12">
        <f>IFERROR(IF(SUMIFS(tblDaily[TransfersOut],tblDaily[EntryDate],DATE(2026,1,11),tblDaily[WardCode],"BF")=0,"",SUMIFS(tblDaily[TransfersOut],tblDaily[EntryDate],DATE(2026,1,11),tblDaily[WardCode],"BF")),"")</f>
        <v/>
      </c>
      <c r="H17" s="12">
        <f>IFERROR(IF(SUMIFS(tblDaily[Remaining],tblDaily[EntryDate],DATE(2026,1,11),tblDaily[WardCode],"BF")=0,"",SUMIFS(tblDaily[Remaining],tblDaily[EntryDate],DATE(2026,1,11),tblDaily[WardCode],"BF")),"")</f>
        <v/>
      </c>
    </row>
    <row r="18">
      <c r="A18" s="12" t="n">
        <v>12</v>
      </c>
      <c r="B18" s="12">
        <f>IFERROR(IF(SUMIFS(tblDaily[Admissions],tblDaily[EntryDate],DATE(2026,1,12),tblDaily[WardCode],"BF")=0,"",SUMIFS(tblDaily[Admissions],tblDaily[EntryDate],DATE(2026,1,12),tblDaily[WardCode],"BF")),"")</f>
        <v/>
      </c>
      <c r="C18" s="12">
        <f>IFERROR(IF(SUMIFS(tblDaily[Discharges],tblDaily[EntryDate],DATE(2026,1,12),tblDaily[WardCode],"BF")=0,"",SUMIFS(tblDaily[Discharges],tblDaily[EntryDate],DATE(2026,1,12),tblDaily[WardCode],"BF")),"")</f>
        <v/>
      </c>
      <c r="D18" s="12">
        <f>IFERROR(IF(SUMIFS(tblDaily[Deaths],tblDaily[EntryDate],DATE(2026,1,12),tblDaily[WardCode],"BF")=0,"",SUMIFS(tblDaily[Deaths],tblDaily[EntryDate],DATE(2026,1,12),tblDaily[WardCode],"BF")),"")</f>
        <v/>
      </c>
      <c r="E18" s="12">
        <f>IFERROR(IF(SUMIFS(tblDaily[DeathsUnder24Hrs],tblDaily[EntryDate],DATE(2026,1,12),tblDaily[WardCode],"BF")=0,"",SUMIFS(tblDaily[DeathsUnder24Hrs],tblDaily[EntryDate],DATE(2026,1,12),tblDaily[WardCode],"BF")),"")</f>
        <v/>
      </c>
      <c r="F18" s="12">
        <f>IFERROR(IF(SUMIFS(tblDaily[TransfersIn],tblDaily[EntryDate],DATE(2026,1,12),tblDaily[WardCode],"BF")=0,"",SUMIFS(tblDaily[TransfersIn],tblDaily[EntryDate],DATE(2026,1,12),tblDaily[WardCode],"BF")),"")</f>
        <v/>
      </c>
      <c r="G18" s="12">
        <f>IFERROR(IF(SUMIFS(tblDaily[TransfersOut],tblDaily[EntryDate],DATE(2026,1,12),tblDaily[WardCode],"BF")=0,"",SUMIFS(tblDaily[TransfersOut],tblDaily[EntryDate],DATE(2026,1,12),tblDaily[WardCode],"BF")),"")</f>
        <v/>
      </c>
      <c r="H18" s="12">
        <f>IFERROR(IF(SUMIFS(tblDaily[Remaining],tblDaily[EntryDate],DATE(2026,1,12),tblDaily[WardCode],"BF")=0,"",SUMIFS(tblDaily[Remaining],tblDaily[EntryDate],DATE(2026,1,12),tblDaily[WardCode],"BF")),"")</f>
        <v/>
      </c>
    </row>
    <row r="19">
      <c r="A19" s="12" t="n">
        <v>13</v>
      </c>
      <c r="B19" s="12">
        <f>IFERROR(IF(SUMIFS(tblDaily[Admissions],tblDaily[EntryDate],DATE(2026,1,13),tblDaily[WardCode],"BF")=0,"",SUMIFS(tblDaily[Admissions],tblDaily[EntryDate],DATE(2026,1,13),tblDaily[WardCode],"BF")),"")</f>
        <v/>
      </c>
      <c r="C19" s="12">
        <f>IFERROR(IF(SUMIFS(tblDaily[Discharges],tblDaily[EntryDate],DATE(2026,1,13),tblDaily[WardCode],"BF")=0,"",SUMIFS(tblDaily[Discharges],tblDaily[EntryDate],DATE(2026,1,13),tblDaily[WardCode],"BF")),"")</f>
        <v/>
      </c>
      <c r="D19" s="12">
        <f>IFERROR(IF(SUMIFS(tblDaily[Deaths],tblDaily[EntryDate],DATE(2026,1,13),tblDaily[WardCode],"BF")=0,"",SUMIFS(tblDaily[Deaths],tblDaily[EntryDate],DATE(2026,1,13),tblDaily[WardCode],"BF")),"")</f>
        <v/>
      </c>
      <c r="E19" s="12">
        <f>IFERROR(IF(SUMIFS(tblDaily[DeathsUnder24Hrs],tblDaily[EntryDate],DATE(2026,1,13),tblDaily[WardCode],"BF")=0,"",SUMIFS(tblDaily[DeathsUnder24Hrs],tblDaily[EntryDate],DATE(2026,1,13),tblDaily[WardCode],"BF")),"")</f>
        <v/>
      </c>
      <c r="F19" s="12">
        <f>IFERROR(IF(SUMIFS(tblDaily[TransfersIn],tblDaily[EntryDate],DATE(2026,1,13),tblDaily[WardCode],"BF")=0,"",SUMIFS(tblDaily[TransfersIn],tblDaily[EntryDate],DATE(2026,1,13),tblDaily[WardCode],"BF")),"")</f>
        <v/>
      </c>
      <c r="G19" s="12">
        <f>IFERROR(IF(SUMIFS(tblDaily[TransfersOut],tblDaily[EntryDate],DATE(2026,1,13),tblDaily[WardCode],"BF")=0,"",SUMIFS(tblDaily[TransfersOut],tblDaily[EntryDate],DATE(2026,1,13),tblDaily[WardCode],"BF")),"")</f>
        <v/>
      </c>
      <c r="H19" s="12">
        <f>IFERROR(IF(SUMIFS(tblDaily[Remaining],tblDaily[EntryDate],DATE(2026,1,13),tblDaily[WardCode],"BF")=0,"",SUMIFS(tblDaily[Remaining],tblDaily[EntryDate],DATE(2026,1,13),tblDaily[WardCode],"BF")),"")</f>
        <v/>
      </c>
    </row>
    <row r="20">
      <c r="A20" s="12" t="n">
        <v>14</v>
      </c>
      <c r="B20" s="12">
        <f>IFERROR(IF(SUMIFS(tblDaily[Admissions],tblDaily[EntryDate],DATE(2026,1,14),tblDaily[WardCode],"BF")=0,"",SUMIFS(tblDaily[Admissions],tblDaily[EntryDate],DATE(2026,1,14),tblDaily[WardCode],"BF")),"")</f>
        <v/>
      </c>
      <c r="C20" s="12">
        <f>IFERROR(IF(SUMIFS(tblDaily[Discharges],tblDaily[EntryDate],DATE(2026,1,14),tblDaily[WardCode],"BF")=0,"",SUMIFS(tblDaily[Discharges],tblDaily[EntryDate],DATE(2026,1,14),tblDaily[WardCode],"BF")),"")</f>
        <v/>
      </c>
      <c r="D20" s="12">
        <f>IFERROR(IF(SUMIFS(tblDaily[Deaths],tblDaily[EntryDate],DATE(2026,1,14),tblDaily[WardCode],"BF")=0,"",SUMIFS(tblDaily[Deaths],tblDaily[EntryDate],DATE(2026,1,14),tblDaily[WardCode],"BF")),"")</f>
        <v/>
      </c>
      <c r="E20" s="12">
        <f>IFERROR(IF(SUMIFS(tblDaily[DeathsUnder24Hrs],tblDaily[EntryDate],DATE(2026,1,14),tblDaily[WardCode],"BF")=0,"",SUMIFS(tblDaily[DeathsUnder24Hrs],tblDaily[EntryDate],DATE(2026,1,14),tblDaily[WardCode],"BF")),"")</f>
        <v/>
      </c>
      <c r="F20" s="12">
        <f>IFERROR(IF(SUMIFS(tblDaily[TransfersIn],tblDaily[EntryDate],DATE(2026,1,14),tblDaily[WardCode],"BF")=0,"",SUMIFS(tblDaily[TransfersIn],tblDaily[EntryDate],DATE(2026,1,14),tblDaily[WardCode],"BF")),"")</f>
        <v/>
      </c>
      <c r="G20" s="12">
        <f>IFERROR(IF(SUMIFS(tblDaily[TransfersOut],tblDaily[EntryDate],DATE(2026,1,14),tblDaily[WardCode],"BF")=0,"",SUMIFS(tblDaily[TransfersOut],tblDaily[EntryDate],DATE(2026,1,14),tblDaily[WardCode],"BF")),"")</f>
        <v/>
      </c>
      <c r="H20" s="12">
        <f>IFERROR(IF(SUMIFS(tblDaily[Remaining],tblDaily[EntryDate],DATE(2026,1,14),tblDaily[WardCode],"BF")=0,"",SUMIFS(tblDaily[Remaining],tblDaily[EntryDate],DATE(2026,1,14),tblDaily[WardCode],"BF")),"")</f>
        <v/>
      </c>
    </row>
    <row r="21">
      <c r="A21" s="12" t="n">
        <v>15</v>
      </c>
      <c r="B21" s="12">
        <f>IFERROR(IF(SUMIFS(tblDaily[Admissions],tblDaily[EntryDate],DATE(2026,1,15),tblDaily[WardCode],"BF")=0,"",SUMIFS(tblDaily[Admissions],tblDaily[EntryDate],DATE(2026,1,15),tblDaily[WardCode],"BF")),"")</f>
        <v/>
      </c>
      <c r="C21" s="12">
        <f>IFERROR(IF(SUMIFS(tblDaily[Discharges],tblDaily[EntryDate],DATE(2026,1,15),tblDaily[WardCode],"BF")=0,"",SUMIFS(tblDaily[Discharges],tblDaily[EntryDate],DATE(2026,1,15),tblDaily[WardCode],"BF")),"")</f>
        <v/>
      </c>
      <c r="D21" s="12">
        <f>IFERROR(IF(SUMIFS(tblDaily[Deaths],tblDaily[EntryDate],DATE(2026,1,15),tblDaily[WardCode],"BF")=0,"",SUMIFS(tblDaily[Deaths],tblDaily[EntryDate],DATE(2026,1,15),tblDaily[WardCode],"BF")),"")</f>
        <v/>
      </c>
      <c r="E21" s="12">
        <f>IFERROR(IF(SUMIFS(tblDaily[DeathsUnder24Hrs],tblDaily[EntryDate],DATE(2026,1,15),tblDaily[WardCode],"BF")=0,"",SUMIFS(tblDaily[DeathsUnder24Hrs],tblDaily[EntryDate],DATE(2026,1,15),tblDaily[WardCode],"BF")),"")</f>
        <v/>
      </c>
      <c r="F21" s="12">
        <f>IFERROR(IF(SUMIFS(tblDaily[TransfersIn],tblDaily[EntryDate],DATE(2026,1,15),tblDaily[WardCode],"BF")=0,"",SUMIFS(tblDaily[TransfersIn],tblDaily[EntryDate],DATE(2026,1,15),tblDaily[WardCode],"BF")),"")</f>
        <v/>
      </c>
      <c r="G21" s="12">
        <f>IFERROR(IF(SUMIFS(tblDaily[TransfersOut],tblDaily[EntryDate],DATE(2026,1,15),tblDaily[WardCode],"BF")=0,"",SUMIFS(tblDaily[TransfersOut],tblDaily[EntryDate],DATE(2026,1,15),tblDaily[WardCode],"BF")),"")</f>
        <v/>
      </c>
      <c r="H21" s="12">
        <f>IFERROR(IF(SUMIFS(tblDaily[Remaining],tblDaily[EntryDate],DATE(2026,1,15),tblDaily[WardCode],"BF")=0,"",SUMIFS(tblDaily[Remaining],tblDaily[EntryDate],DATE(2026,1,15),tblDaily[WardCode],"BF")),"")</f>
        <v/>
      </c>
    </row>
    <row r="22">
      <c r="A22" s="12" t="n">
        <v>16</v>
      </c>
      <c r="B22" s="12">
        <f>IFERROR(IF(SUMIFS(tblDaily[Admissions],tblDaily[EntryDate],DATE(2026,1,16),tblDaily[WardCode],"BF")=0,"",SUMIFS(tblDaily[Admissions],tblDaily[EntryDate],DATE(2026,1,16),tblDaily[WardCode],"BF")),"")</f>
        <v/>
      </c>
      <c r="C22" s="12">
        <f>IFERROR(IF(SUMIFS(tblDaily[Discharges],tblDaily[EntryDate],DATE(2026,1,16),tblDaily[WardCode],"BF")=0,"",SUMIFS(tblDaily[Discharges],tblDaily[EntryDate],DATE(2026,1,16),tblDaily[WardCode],"BF")),"")</f>
        <v/>
      </c>
      <c r="D22" s="12">
        <f>IFERROR(IF(SUMIFS(tblDaily[Deaths],tblDaily[EntryDate],DATE(2026,1,16),tblDaily[WardCode],"BF")=0,"",SUMIFS(tblDaily[Deaths],tblDaily[EntryDate],DATE(2026,1,16),tblDaily[WardCode],"BF")),"")</f>
        <v/>
      </c>
      <c r="E22" s="12">
        <f>IFERROR(IF(SUMIFS(tblDaily[DeathsUnder24Hrs],tblDaily[EntryDate],DATE(2026,1,16),tblDaily[WardCode],"BF")=0,"",SUMIFS(tblDaily[DeathsUnder24Hrs],tblDaily[EntryDate],DATE(2026,1,16),tblDaily[WardCode],"BF")),"")</f>
        <v/>
      </c>
      <c r="F22" s="12">
        <f>IFERROR(IF(SUMIFS(tblDaily[TransfersIn],tblDaily[EntryDate],DATE(2026,1,16),tblDaily[WardCode],"BF")=0,"",SUMIFS(tblDaily[TransfersIn],tblDaily[EntryDate],DATE(2026,1,16),tblDaily[WardCode],"BF")),"")</f>
        <v/>
      </c>
      <c r="G22" s="12">
        <f>IFERROR(IF(SUMIFS(tblDaily[TransfersOut],tblDaily[EntryDate],DATE(2026,1,16),tblDaily[WardCode],"BF")=0,"",SUMIFS(tblDaily[TransfersOut],tblDaily[EntryDate],DATE(2026,1,16),tblDaily[WardCode],"BF")),"")</f>
        <v/>
      </c>
      <c r="H22" s="12">
        <f>IFERROR(IF(SUMIFS(tblDaily[Remaining],tblDaily[EntryDate],DATE(2026,1,16),tblDaily[WardCode],"BF")=0,"",SUMIFS(tblDaily[Remaining],tblDaily[EntryDate],DATE(2026,1,16),tblDaily[WardCode],"BF")),"")</f>
        <v/>
      </c>
    </row>
    <row r="23">
      <c r="A23" s="12" t="n">
        <v>17</v>
      </c>
      <c r="B23" s="12">
        <f>IFERROR(IF(SUMIFS(tblDaily[Admissions],tblDaily[EntryDate],DATE(2026,1,17),tblDaily[WardCode],"BF")=0,"",SUMIFS(tblDaily[Admissions],tblDaily[EntryDate],DATE(2026,1,17),tblDaily[WardCode],"BF")),"")</f>
        <v/>
      </c>
      <c r="C23" s="12">
        <f>IFERROR(IF(SUMIFS(tblDaily[Discharges],tblDaily[EntryDate],DATE(2026,1,17),tblDaily[WardCode],"BF")=0,"",SUMIFS(tblDaily[Discharges],tblDaily[EntryDate],DATE(2026,1,17),tblDaily[WardCode],"BF")),"")</f>
        <v/>
      </c>
      <c r="D23" s="12">
        <f>IFERROR(IF(SUMIFS(tblDaily[Deaths],tblDaily[EntryDate],DATE(2026,1,17),tblDaily[WardCode],"BF")=0,"",SUMIFS(tblDaily[Deaths],tblDaily[EntryDate],DATE(2026,1,17),tblDaily[WardCode],"BF")),"")</f>
        <v/>
      </c>
      <c r="E23" s="12">
        <f>IFERROR(IF(SUMIFS(tblDaily[DeathsUnder24Hrs],tblDaily[EntryDate],DATE(2026,1,17),tblDaily[WardCode],"BF")=0,"",SUMIFS(tblDaily[DeathsUnder24Hrs],tblDaily[EntryDate],DATE(2026,1,17),tblDaily[WardCode],"BF")),"")</f>
        <v/>
      </c>
      <c r="F23" s="12">
        <f>IFERROR(IF(SUMIFS(tblDaily[TransfersIn],tblDaily[EntryDate],DATE(2026,1,17),tblDaily[WardCode],"BF")=0,"",SUMIFS(tblDaily[TransfersIn],tblDaily[EntryDate],DATE(2026,1,17),tblDaily[WardCode],"BF")),"")</f>
        <v/>
      </c>
      <c r="G23" s="12">
        <f>IFERROR(IF(SUMIFS(tblDaily[TransfersOut],tblDaily[EntryDate],DATE(2026,1,17),tblDaily[WardCode],"BF")=0,"",SUMIFS(tblDaily[TransfersOut],tblDaily[EntryDate],DATE(2026,1,17),tblDaily[WardCode],"BF")),"")</f>
        <v/>
      </c>
      <c r="H23" s="12">
        <f>IFERROR(IF(SUMIFS(tblDaily[Remaining],tblDaily[EntryDate],DATE(2026,1,17),tblDaily[WardCode],"BF")=0,"",SUMIFS(tblDaily[Remaining],tblDaily[EntryDate],DATE(2026,1,17),tblDaily[WardCode],"BF")),"")</f>
        <v/>
      </c>
    </row>
    <row r="24">
      <c r="A24" s="12" t="n">
        <v>18</v>
      </c>
      <c r="B24" s="12">
        <f>IFERROR(IF(SUMIFS(tblDaily[Admissions],tblDaily[EntryDate],DATE(2026,1,18),tblDaily[WardCode],"BF")=0,"",SUMIFS(tblDaily[Admissions],tblDaily[EntryDate],DATE(2026,1,18),tblDaily[WardCode],"BF")),"")</f>
        <v/>
      </c>
      <c r="C24" s="12">
        <f>IFERROR(IF(SUMIFS(tblDaily[Discharges],tblDaily[EntryDate],DATE(2026,1,18),tblDaily[WardCode],"BF")=0,"",SUMIFS(tblDaily[Discharges],tblDaily[EntryDate],DATE(2026,1,18),tblDaily[WardCode],"BF")),"")</f>
        <v/>
      </c>
      <c r="D24" s="12">
        <f>IFERROR(IF(SUMIFS(tblDaily[Deaths],tblDaily[EntryDate],DATE(2026,1,18),tblDaily[WardCode],"BF")=0,"",SUMIFS(tblDaily[Deaths],tblDaily[EntryDate],DATE(2026,1,18),tblDaily[WardCode],"BF")),"")</f>
        <v/>
      </c>
      <c r="E24" s="12">
        <f>IFERROR(IF(SUMIFS(tblDaily[DeathsUnder24Hrs],tblDaily[EntryDate],DATE(2026,1,18),tblDaily[WardCode],"BF")=0,"",SUMIFS(tblDaily[DeathsUnder24Hrs],tblDaily[EntryDate],DATE(2026,1,18),tblDaily[WardCode],"BF")),"")</f>
        <v/>
      </c>
      <c r="F24" s="12">
        <f>IFERROR(IF(SUMIFS(tblDaily[TransfersIn],tblDaily[EntryDate],DATE(2026,1,18),tblDaily[WardCode],"BF")=0,"",SUMIFS(tblDaily[TransfersIn],tblDaily[EntryDate],DATE(2026,1,18),tblDaily[WardCode],"BF")),"")</f>
        <v/>
      </c>
      <c r="G24" s="12">
        <f>IFERROR(IF(SUMIFS(tblDaily[TransfersOut],tblDaily[EntryDate],DATE(2026,1,18),tblDaily[WardCode],"BF")=0,"",SUMIFS(tblDaily[TransfersOut],tblDaily[EntryDate],DATE(2026,1,18),tblDaily[WardCode],"BF")),"")</f>
        <v/>
      </c>
      <c r="H24" s="12">
        <f>IFERROR(IF(SUMIFS(tblDaily[Remaining],tblDaily[EntryDate],DATE(2026,1,18),tblDaily[WardCode],"BF")=0,"",SUMIFS(tblDaily[Remaining],tblDaily[EntryDate],DATE(2026,1,18),tblDaily[WardCode],"BF")),"")</f>
        <v/>
      </c>
    </row>
    <row r="25">
      <c r="A25" s="12" t="n">
        <v>19</v>
      </c>
      <c r="B25" s="12">
        <f>IFERROR(IF(SUMIFS(tblDaily[Admissions],tblDaily[EntryDate],DATE(2026,1,19),tblDaily[WardCode],"BF")=0,"",SUMIFS(tblDaily[Admissions],tblDaily[EntryDate],DATE(2026,1,19),tblDaily[WardCode],"BF")),"")</f>
        <v/>
      </c>
      <c r="C25" s="12">
        <f>IFERROR(IF(SUMIFS(tblDaily[Discharges],tblDaily[EntryDate],DATE(2026,1,19),tblDaily[WardCode],"BF")=0,"",SUMIFS(tblDaily[Discharges],tblDaily[EntryDate],DATE(2026,1,19),tblDaily[WardCode],"BF")),"")</f>
        <v/>
      </c>
      <c r="D25" s="12">
        <f>IFERROR(IF(SUMIFS(tblDaily[Deaths],tblDaily[EntryDate],DATE(2026,1,19),tblDaily[WardCode],"BF")=0,"",SUMIFS(tblDaily[Deaths],tblDaily[EntryDate],DATE(2026,1,19),tblDaily[WardCode],"BF")),"")</f>
        <v/>
      </c>
      <c r="E25" s="12">
        <f>IFERROR(IF(SUMIFS(tblDaily[DeathsUnder24Hrs],tblDaily[EntryDate],DATE(2026,1,19),tblDaily[WardCode],"BF")=0,"",SUMIFS(tblDaily[DeathsUnder24Hrs],tblDaily[EntryDate],DATE(2026,1,19),tblDaily[WardCode],"BF")),"")</f>
        <v/>
      </c>
      <c r="F25" s="12">
        <f>IFERROR(IF(SUMIFS(tblDaily[TransfersIn],tblDaily[EntryDate],DATE(2026,1,19),tblDaily[WardCode],"BF")=0,"",SUMIFS(tblDaily[TransfersIn],tblDaily[EntryDate],DATE(2026,1,19),tblDaily[WardCode],"BF")),"")</f>
        <v/>
      </c>
      <c r="G25" s="12">
        <f>IFERROR(IF(SUMIFS(tblDaily[TransfersOut],tblDaily[EntryDate],DATE(2026,1,19),tblDaily[WardCode],"BF")=0,"",SUMIFS(tblDaily[TransfersOut],tblDaily[EntryDate],DATE(2026,1,19),tblDaily[WardCode],"BF")),"")</f>
        <v/>
      </c>
      <c r="H25" s="12">
        <f>IFERROR(IF(SUMIFS(tblDaily[Remaining],tblDaily[EntryDate],DATE(2026,1,19),tblDaily[WardCode],"BF")=0,"",SUMIFS(tblDaily[Remaining],tblDaily[EntryDate],DATE(2026,1,19),tblDaily[WardCode],"BF")),"")</f>
        <v/>
      </c>
    </row>
    <row r="26">
      <c r="A26" s="12" t="n">
        <v>20</v>
      </c>
      <c r="B26" s="12">
        <f>IFERROR(IF(SUMIFS(tblDaily[Admissions],tblDaily[EntryDate],DATE(2026,1,20),tblDaily[WardCode],"BF")=0,"",SUMIFS(tblDaily[Admissions],tblDaily[EntryDate],DATE(2026,1,20),tblDaily[WardCode],"BF")),"")</f>
        <v/>
      </c>
      <c r="C26" s="12">
        <f>IFERROR(IF(SUMIFS(tblDaily[Discharges],tblDaily[EntryDate],DATE(2026,1,20),tblDaily[WardCode],"BF")=0,"",SUMIFS(tblDaily[Discharges],tblDaily[EntryDate],DATE(2026,1,20),tblDaily[WardCode],"BF")),"")</f>
        <v/>
      </c>
      <c r="D26" s="12">
        <f>IFERROR(IF(SUMIFS(tblDaily[Deaths],tblDaily[EntryDate],DATE(2026,1,20),tblDaily[WardCode],"BF")=0,"",SUMIFS(tblDaily[Deaths],tblDaily[EntryDate],DATE(2026,1,20),tblDaily[WardCode],"BF")),"")</f>
        <v/>
      </c>
      <c r="E26" s="12">
        <f>IFERROR(IF(SUMIFS(tblDaily[DeathsUnder24Hrs],tblDaily[EntryDate],DATE(2026,1,20),tblDaily[WardCode],"BF")=0,"",SUMIFS(tblDaily[DeathsUnder24Hrs],tblDaily[EntryDate],DATE(2026,1,20),tblDaily[WardCode],"BF")),"")</f>
        <v/>
      </c>
      <c r="F26" s="12">
        <f>IFERROR(IF(SUMIFS(tblDaily[TransfersIn],tblDaily[EntryDate],DATE(2026,1,20),tblDaily[WardCode],"BF")=0,"",SUMIFS(tblDaily[TransfersIn],tblDaily[EntryDate],DATE(2026,1,20),tblDaily[WardCode],"BF")),"")</f>
        <v/>
      </c>
      <c r="G26" s="12">
        <f>IFERROR(IF(SUMIFS(tblDaily[TransfersOut],tblDaily[EntryDate],DATE(2026,1,20),tblDaily[WardCode],"BF")=0,"",SUMIFS(tblDaily[TransfersOut],tblDaily[EntryDate],DATE(2026,1,20),tblDaily[WardCode],"BF")),"")</f>
        <v/>
      </c>
      <c r="H26" s="12">
        <f>IFERROR(IF(SUMIFS(tblDaily[Remaining],tblDaily[EntryDate],DATE(2026,1,20),tblDaily[WardCode],"BF")=0,"",SUMIFS(tblDaily[Remaining],tblDaily[EntryDate],DATE(2026,1,20),tblDaily[WardCode],"BF")),"")</f>
        <v/>
      </c>
    </row>
    <row r="27">
      <c r="A27" s="12" t="n">
        <v>21</v>
      </c>
      <c r="B27" s="12">
        <f>IFERROR(IF(SUMIFS(tblDaily[Admissions],tblDaily[EntryDate],DATE(2026,1,21),tblDaily[WardCode],"BF")=0,"",SUMIFS(tblDaily[Admissions],tblDaily[EntryDate],DATE(2026,1,21),tblDaily[WardCode],"BF")),"")</f>
        <v/>
      </c>
      <c r="C27" s="12">
        <f>IFERROR(IF(SUMIFS(tblDaily[Discharges],tblDaily[EntryDate],DATE(2026,1,21),tblDaily[WardCode],"BF")=0,"",SUMIFS(tblDaily[Discharges],tblDaily[EntryDate],DATE(2026,1,21),tblDaily[WardCode],"BF")),"")</f>
        <v/>
      </c>
      <c r="D27" s="12">
        <f>IFERROR(IF(SUMIFS(tblDaily[Deaths],tblDaily[EntryDate],DATE(2026,1,21),tblDaily[WardCode],"BF")=0,"",SUMIFS(tblDaily[Deaths],tblDaily[EntryDate],DATE(2026,1,21),tblDaily[WardCode],"BF")),"")</f>
        <v/>
      </c>
      <c r="E27" s="12">
        <f>IFERROR(IF(SUMIFS(tblDaily[DeathsUnder24Hrs],tblDaily[EntryDate],DATE(2026,1,21),tblDaily[WardCode],"BF")=0,"",SUMIFS(tblDaily[DeathsUnder24Hrs],tblDaily[EntryDate],DATE(2026,1,21),tblDaily[WardCode],"BF")),"")</f>
        <v/>
      </c>
      <c r="F27" s="12">
        <f>IFERROR(IF(SUMIFS(tblDaily[TransfersIn],tblDaily[EntryDate],DATE(2026,1,21),tblDaily[WardCode],"BF")=0,"",SUMIFS(tblDaily[TransfersIn],tblDaily[EntryDate],DATE(2026,1,21),tblDaily[WardCode],"BF")),"")</f>
        <v/>
      </c>
      <c r="G27" s="12">
        <f>IFERROR(IF(SUMIFS(tblDaily[TransfersOut],tblDaily[EntryDate],DATE(2026,1,21),tblDaily[WardCode],"BF")=0,"",SUMIFS(tblDaily[TransfersOut],tblDaily[EntryDate],DATE(2026,1,21),tblDaily[WardCode],"BF")),"")</f>
        <v/>
      </c>
      <c r="H27" s="12">
        <f>IFERROR(IF(SUMIFS(tblDaily[Remaining],tblDaily[EntryDate],DATE(2026,1,21),tblDaily[WardCode],"BF")=0,"",SUMIFS(tblDaily[Remaining],tblDaily[EntryDate],DATE(2026,1,21),tblDaily[WardCode],"BF")),"")</f>
        <v/>
      </c>
    </row>
    <row r="28">
      <c r="A28" s="12" t="n">
        <v>22</v>
      </c>
      <c r="B28" s="12">
        <f>IFERROR(IF(SUMIFS(tblDaily[Admissions],tblDaily[EntryDate],DATE(2026,1,22),tblDaily[WardCode],"BF")=0,"",SUMIFS(tblDaily[Admissions],tblDaily[EntryDate],DATE(2026,1,22),tblDaily[WardCode],"BF")),"")</f>
        <v/>
      </c>
      <c r="C28" s="12">
        <f>IFERROR(IF(SUMIFS(tblDaily[Discharges],tblDaily[EntryDate],DATE(2026,1,22),tblDaily[WardCode],"BF")=0,"",SUMIFS(tblDaily[Discharges],tblDaily[EntryDate],DATE(2026,1,22),tblDaily[WardCode],"BF")),"")</f>
        <v/>
      </c>
      <c r="D28" s="12">
        <f>IFERROR(IF(SUMIFS(tblDaily[Deaths],tblDaily[EntryDate],DATE(2026,1,22),tblDaily[WardCode],"BF")=0,"",SUMIFS(tblDaily[Deaths],tblDaily[EntryDate],DATE(2026,1,22),tblDaily[WardCode],"BF")),"")</f>
        <v/>
      </c>
      <c r="E28" s="12">
        <f>IFERROR(IF(SUMIFS(tblDaily[DeathsUnder24Hrs],tblDaily[EntryDate],DATE(2026,1,22),tblDaily[WardCode],"BF")=0,"",SUMIFS(tblDaily[DeathsUnder24Hrs],tblDaily[EntryDate],DATE(2026,1,22),tblDaily[WardCode],"BF")),"")</f>
        <v/>
      </c>
      <c r="F28" s="12">
        <f>IFERROR(IF(SUMIFS(tblDaily[TransfersIn],tblDaily[EntryDate],DATE(2026,1,22),tblDaily[WardCode],"BF")=0,"",SUMIFS(tblDaily[TransfersIn],tblDaily[EntryDate],DATE(2026,1,22),tblDaily[WardCode],"BF")),"")</f>
        <v/>
      </c>
      <c r="G28" s="12">
        <f>IFERROR(IF(SUMIFS(tblDaily[TransfersOut],tblDaily[EntryDate],DATE(2026,1,22),tblDaily[WardCode],"BF")=0,"",SUMIFS(tblDaily[TransfersOut],tblDaily[EntryDate],DATE(2026,1,22),tblDaily[WardCode],"BF")),"")</f>
        <v/>
      </c>
      <c r="H28" s="12">
        <f>IFERROR(IF(SUMIFS(tblDaily[Remaining],tblDaily[EntryDate],DATE(2026,1,22),tblDaily[WardCode],"BF")=0,"",SUMIFS(tblDaily[Remaining],tblDaily[EntryDate],DATE(2026,1,22),tblDaily[WardCode],"BF")),"")</f>
        <v/>
      </c>
    </row>
    <row r="29">
      <c r="A29" s="12" t="n">
        <v>23</v>
      </c>
      <c r="B29" s="12">
        <f>IFERROR(IF(SUMIFS(tblDaily[Admissions],tblDaily[EntryDate],DATE(2026,1,23),tblDaily[WardCode],"BF")=0,"",SUMIFS(tblDaily[Admissions],tblDaily[EntryDate],DATE(2026,1,23),tblDaily[WardCode],"BF")),"")</f>
        <v/>
      </c>
      <c r="C29" s="12">
        <f>IFERROR(IF(SUMIFS(tblDaily[Discharges],tblDaily[EntryDate],DATE(2026,1,23),tblDaily[WardCode],"BF")=0,"",SUMIFS(tblDaily[Discharges],tblDaily[EntryDate],DATE(2026,1,23),tblDaily[WardCode],"BF")),"")</f>
        <v/>
      </c>
      <c r="D29" s="12">
        <f>IFERROR(IF(SUMIFS(tblDaily[Deaths],tblDaily[EntryDate],DATE(2026,1,23),tblDaily[WardCode],"BF")=0,"",SUMIFS(tblDaily[Deaths],tblDaily[EntryDate],DATE(2026,1,23),tblDaily[WardCode],"BF")),"")</f>
        <v/>
      </c>
      <c r="E29" s="12">
        <f>IFERROR(IF(SUMIFS(tblDaily[DeathsUnder24Hrs],tblDaily[EntryDate],DATE(2026,1,23),tblDaily[WardCode],"BF")=0,"",SUMIFS(tblDaily[DeathsUnder24Hrs],tblDaily[EntryDate],DATE(2026,1,23),tblDaily[WardCode],"BF")),"")</f>
        <v/>
      </c>
      <c r="F29" s="12">
        <f>IFERROR(IF(SUMIFS(tblDaily[TransfersIn],tblDaily[EntryDate],DATE(2026,1,23),tblDaily[WardCode],"BF")=0,"",SUMIFS(tblDaily[TransfersIn],tblDaily[EntryDate],DATE(2026,1,23),tblDaily[WardCode],"BF")),"")</f>
        <v/>
      </c>
      <c r="G29" s="12">
        <f>IFERROR(IF(SUMIFS(tblDaily[TransfersOut],tblDaily[EntryDate],DATE(2026,1,23),tblDaily[WardCode],"BF")=0,"",SUMIFS(tblDaily[TransfersOut],tblDaily[EntryDate],DATE(2026,1,23),tblDaily[WardCode],"BF")),"")</f>
        <v/>
      </c>
      <c r="H29" s="12">
        <f>IFERROR(IF(SUMIFS(tblDaily[Remaining],tblDaily[EntryDate],DATE(2026,1,23),tblDaily[WardCode],"BF")=0,"",SUMIFS(tblDaily[Remaining],tblDaily[EntryDate],DATE(2026,1,23),tblDaily[WardCode],"BF")),"")</f>
        <v/>
      </c>
    </row>
    <row r="30">
      <c r="A30" s="12" t="n">
        <v>24</v>
      </c>
      <c r="B30" s="12">
        <f>IFERROR(IF(SUMIFS(tblDaily[Admissions],tblDaily[EntryDate],DATE(2026,1,24),tblDaily[WardCode],"BF")=0,"",SUMIFS(tblDaily[Admissions],tblDaily[EntryDate],DATE(2026,1,24),tblDaily[WardCode],"BF")),"")</f>
        <v/>
      </c>
      <c r="C30" s="12">
        <f>IFERROR(IF(SUMIFS(tblDaily[Discharges],tblDaily[EntryDate],DATE(2026,1,24),tblDaily[WardCode],"BF")=0,"",SUMIFS(tblDaily[Discharges],tblDaily[EntryDate],DATE(2026,1,24),tblDaily[WardCode],"BF")),"")</f>
        <v/>
      </c>
      <c r="D30" s="12">
        <f>IFERROR(IF(SUMIFS(tblDaily[Deaths],tblDaily[EntryDate],DATE(2026,1,24),tblDaily[WardCode],"BF")=0,"",SUMIFS(tblDaily[Deaths],tblDaily[EntryDate],DATE(2026,1,24),tblDaily[WardCode],"BF")),"")</f>
        <v/>
      </c>
      <c r="E30" s="12">
        <f>IFERROR(IF(SUMIFS(tblDaily[DeathsUnder24Hrs],tblDaily[EntryDate],DATE(2026,1,24),tblDaily[WardCode],"BF")=0,"",SUMIFS(tblDaily[DeathsUnder24Hrs],tblDaily[EntryDate],DATE(2026,1,24),tblDaily[WardCode],"BF")),"")</f>
        <v/>
      </c>
      <c r="F30" s="12">
        <f>IFERROR(IF(SUMIFS(tblDaily[TransfersIn],tblDaily[EntryDate],DATE(2026,1,24),tblDaily[WardCode],"BF")=0,"",SUMIFS(tblDaily[TransfersIn],tblDaily[EntryDate],DATE(2026,1,24),tblDaily[WardCode],"BF")),"")</f>
        <v/>
      </c>
      <c r="G30" s="12">
        <f>IFERROR(IF(SUMIFS(tblDaily[TransfersOut],tblDaily[EntryDate],DATE(2026,1,24),tblDaily[WardCode],"BF")=0,"",SUMIFS(tblDaily[TransfersOut],tblDaily[EntryDate],DATE(2026,1,24),tblDaily[WardCode],"BF")),"")</f>
        <v/>
      </c>
      <c r="H30" s="12">
        <f>IFERROR(IF(SUMIFS(tblDaily[Remaining],tblDaily[EntryDate],DATE(2026,1,24),tblDaily[WardCode],"BF")=0,"",SUMIFS(tblDaily[Remaining],tblDaily[EntryDate],DATE(2026,1,24),tblDaily[WardCode],"BF")),"")</f>
        <v/>
      </c>
    </row>
    <row r="31">
      <c r="A31" s="12" t="n">
        <v>25</v>
      </c>
      <c r="B31" s="12">
        <f>IFERROR(IF(SUMIFS(tblDaily[Admissions],tblDaily[EntryDate],DATE(2026,1,25),tblDaily[WardCode],"BF")=0,"",SUMIFS(tblDaily[Admissions],tblDaily[EntryDate],DATE(2026,1,25),tblDaily[WardCode],"BF")),"")</f>
        <v/>
      </c>
      <c r="C31" s="12">
        <f>IFERROR(IF(SUMIFS(tblDaily[Discharges],tblDaily[EntryDate],DATE(2026,1,25),tblDaily[WardCode],"BF")=0,"",SUMIFS(tblDaily[Discharges],tblDaily[EntryDate],DATE(2026,1,25),tblDaily[WardCode],"BF")),"")</f>
        <v/>
      </c>
      <c r="D31" s="12">
        <f>IFERROR(IF(SUMIFS(tblDaily[Deaths],tblDaily[EntryDate],DATE(2026,1,25),tblDaily[WardCode],"BF")=0,"",SUMIFS(tblDaily[Deaths],tblDaily[EntryDate],DATE(2026,1,25),tblDaily[WardCode],"BF")),"")</f>
        <v/>
      </c>
      <c r="E31" s="12">
        <f>IFERROR(IF(SUMIFS(tblDaily[DeathsUnder24Hrs],tblDaily[EntryDate],DATE(2026,1,25),tblDaily[WardCode],"BF")=0,"",SUMIFS(tblDaily[DeathsUnder24Hrs],tblDaily[EntryDate],DATE(2026,1,25),tblDaily[WardCode],"BF")),"")</f>
        <v/>
      </c>
      <c r="F31" s="12">
        <f>IFERROR(IF(SUMIFS(tblDaily[TransfersIn],tblDaily[EntryDate],DATE(2026,1,25),tblDaily[WardCode],"BF")=0,"",SUMIFS(tblDaily[TransfersIn],tblDaily[EntryDate],DATE(2026,1,25),tblDaily[WardCode],"BF")),"")</f>
        <v/>
      </c>
      <c r="G31" s="12">
        <f>IFERROR(IF(SUMIFS(tblDaily[TransfersOut],tblDaily[EntryDate],DATE(2026,1,25),tblDaily[WardCode],"BF")=0,"",SUMIFS(tblDaily[TransfersOut],tblDaily[EntryDate],DATE(2026,1,25),tblDaily[WardCode],"BF")),"")</f>
        <v/>
      </c>
      <c r="H31" s="12">
        <f>IFERROR(IF(SUMIFS(tblDaily[Remaining],tblDaily[EntryDate],DATE(2026,1,25),tblDaily[WardCode],"BF")=0,"",SUMIFS(tblDaily[Remaining],tblDaily[EntryDate],DATE(2026,1,25),tblDaily[WardCode],"BF")),"")</f>
        <v/>
      </c>
    </row>
    <row r="32">
      <c r="A32" s="12" t="n">
        <v>26</v>
      </c>
      <c r="B32" s="12">
        <f>IFERROR(IF(SUMIFS(tblDaily[Admissions],tblDaily[EntryDate],DATE(2026,1,26),tblDaily[WardCode],"BF")=0,"",SUMIFS(tblDaily[Admissions],tblDaily[EntryDate],DATE(2026,1,26),tblDaily[WardCode],"BF")),"")</f>
        <v/>
      </c>
      <c r="C32" s="12">
        <f>IFERROR(IF(SUMIFS(tblDaily[Discharges],tblDaily[EntryDate],DATE(2026,1,26),tblDaily[WardCode],"BF")=0,"",SUMIFS(tblDaily[Discharges],tblDaily[EntryDate],DATE(2026,1,26),tblDaily[WardCode],"BF")),"")</f>
        <v/>
      </c>
      <c r="D32" s="12">
        <f>IFERROR(IF(SUMIFS(tblDaily[Deaths],tblDaily[EntryDate],DATE(2026,1,26),tblDaily[WardCode],"BF")=0,"",SUMIFS(tblDaily[Deaths],tblDaily[EntryDate],DATE(2026,1,26),tblDaily[WardCode],"BF")),"")</f>
        <v/>
      </c>
      <c r="E32" s="12">
        <f>IFERROR(IF(SUMIFS(tblDaily[DeathsUnder24Hrs],tblDaily[EntryDate],DATE(2026,1,26),tblDaily[WardCode],"BF")=0,"",SUMIFS(tblDaily[DeathsUnder24Hrs],tblDaily[EntryDate],DATE(2026,1,26),tblDaily[WardCode],"BF")),"")</f>
        <v/>
      </c>
      <c r="F32" s="12">
        <f>IFERROR(IF(SUMIFS(tblDaily[TransfersIn],tblDaily[EntryDate],DATE(2026,1,26),tblDaily[WardCode],"BF")=0,"",SUMIFS(tblDaily[TransfersIn],tblDaily[EntryDate],DATE(2026,1,26),tblDaily[WardCode],"BF")),"")</f>
        <v/>
      </c>
      <c r="G32" s="12">
        <f>IFERROR(IF(SUMIFS(tblDaily[TransfersOut],tblDaily[EntryDate],DATE(2026,1,26),tblDaily[WardCode],"BF")=0,"",SUMIFS(tblDaily[TransfersOut],tblDaily[EntryDate],DATE(2026,1,26),tblDaily[WardCode],"BF")),"")</f>
        <v/>
      </c>
      <c r="H32" s="12">
        <f>IFERROR(IF(SUMIFS(tblDaily[Remaining],tblDaily[EntryDate],DATE(2026,1,26),tblDaily[WardCode],"BF")=0,"",SUMIFS(tblDaily[Remaining],tblDaily[EntryDate],DATE(2026,1,26),tblDaily[WardCode],"BF")),"")</f>
        <v/>
      </c>
    </row>
    <row r="33">
      <c r="A33" s="12" t="n">
        <v>27</v>
      </c>
      <c r="B33" s="12">
        <f>IFERROR(IF(SUMIFS(tblDaily[Admissions],tblDaily[EntryDate],DATE(2026,1,27),tblDaily[WardCode],"BF")=0,"",SUMIFS(tblDaily[Admissions],tblDaily[EntryDate],DATE(2026,1,27),tblDaily[WardCode],"BF")),"")</f>
        <v/>
      </c>
      <c r="C33" s="12">
        <f>IFERROR(IF(SUMIFS(tblDaily[Discharges],tblDaily[EntryDate],DATE(2026,1,27),tblDaily[WardCode],"BF")=0,"",SUMIFS(tblDaily[Discharges],tblDaily[EntryDate],DATE(2026,1,27),tblDaily[WardCode],"BF")),"")</f>
        <v/>
      </c>
      <c r="D33" s="12">
        <f>IFERROR(IF(SUMIFS(tblDaily[Deaths],tblDaily[EntryDate],DATE(2026,1,27),tblDaily[WardCode],"BF")=0,"",SUMIFS(tblDaily[Deaths],tblDaily[EntryDate],DATE(2026,1,27),tblDaily[WardCode],"BF")),"")</f>
        <v/>
      </c>
      <c r="E33" s="12">
        <f>IFERROR(IF(SUMIFS(tblDaily[DeathsUnder24Hrs],tblDaily[EntryDate],DATE(2026,1,27),tblDaily[WardCode],"BF")=0,"",SUMIFS(tblDaily[DeathsUnder24Hrs],tblDaily[EntryDate],DATE(2026,1,27),tblDaily[WardCode],"BF")),"")</f>
        <v/>
      </c>
      <c r="F33" s="12">
        <f>IFERROR(IF(SUMIFS(tblDaily[TransfersIn],tblDaily[EntryDate],DATE(2026,1,27),tblDaily[WardCode],"BF")=0,"",SUMIFS(tblDaily[TransfersIn],tblDaily[EntryDate],DATE(2026,1,27),tblDaily[WardCode],"BF")),"")</f>
        <v/>
      </c>
      <c r="G33" s="12">
        <f>IFERROR(IF(SUMIFS(tblDaily[TransfersOut],tblDaily[EntryDate],DATE(2026,1,27),tblDaily[WardCode],"BF")=0,"",SUMIFS(tblDaily[TransfersOut],tblDaily[EntryDate],DATE(2026,1,27),tblDaily[WardCode],"BF")),"")</f>
        <v/>
      </c>
      <c r="H33" s="12">
        <f>IFERROR(IF(SUMIFS(tblDaily[Remaining],tblDaily[EntryDate],DATE(2026,1,27),tblDaily[WardCode],"BF")=0,"",SUMIFS(tblDaily[Remaining],tblDaily[EntryDate],DATE(2026,1,27),tblDaily[WardCode],"BF")),"")</f>
        <v/>
      </c>
    </row>
    <row r="34">
      <c r="A34" s="12" t="n">
        <v>28</v>
      </c>
      <c r="B34" s="12">
        <f>IFERROR(IF(SUMIFS(tblDaily[Admissions],tblDaily[EntryDate],DATE(2026,1,28),tblDaily[WardCode],"BF")=0,"",SUMIFS(tblDaily[Admissions],tblDaily[EntryDate],DATE(2026,1,28),tblDaily[WardCode],"BF")),"")</f>
        <v/>
      </c>
      <c r="C34" s="12">
        <f>IFERROR(IF(SUMIFS(tblDaily[Discharges],tblDaily[EntryDate],DATE(2026,1,28),tblDaily[WardCode],"BF")=0,"",SUMIFS(tblDaily[Discharges],tblDaily[EntryDate],DATE(2026,1,28),tblDaily[WardCode],"BF")),"")</f>
        <v/>
      </c>
      <c r="D34" s="12">
        <f>IFERROR(IF(SUMIFS(tblDaily[Deaths],tblDaily[EntryDate],DATE(2026,1,28),tblDaily[WardCode],"BF")=0,"",SUMIFS(tblDaily[Deaths],tblDaily[EntryDate],DATE(2026,1,28),tblDaily[WardCode],"BF")),"")</f>
        <v/>
      </c>
      <c r="E34" s="12">
        <f>IFERROR(IF(SUMIFS(tblDaily[DeathsUnder24Hrs],tblDaily[EntryDate],DATE(2026,1,28),tblDaily[WardCode],"BF")=0,"",SUMIFS(tblDaily[DeathsUnder24Hrs],tblDaily[EntryDate],DATE(2026,1,28),tblDaily[WardCode],"BF")),"")</f>
        <v/>
      </c>
      <c r="F34" s="12">
        <f>IFERROR(IF(SUMIFS(tblDaily[TransfersIn],tblDaily[EntryDate],DATE(2026,1,28),tblDaily[WardCode],"BF")=0,"",SUMIFS(tblDaily[TransfersIn],tblDaily[EntryDate],DATE(2026,1,28),tblDaily[WardCode],"BF")),"")</f>
        <v/>
      </c>
      <c r="G34" s="12">
        <f>IFERROR(IF(SUMIFS(tblDaily[TransfersOut],tblDaily[EntryDate],DATE(2026,1,28),tblDaily[WardCode],"BF")=0,"",SUMIFS(tblDaily[TransfersOut],tblDaily[EntryDate],DATE(2026,1,28),tblDaily[WardCode],"BF")),"")</f>
        <v/>
      </c>
      <c r="H34" s="12">
        <f>IFERROR(IF(SUMIFS(tblDaily[Remaining],tblDaily[EntryDate],DATE(2026,1,28),tblDaily[WardCode],"BF")=0,"",SUMIFS(tblDaily[Remaining],tblDaily[EntryDate],DATE(2026,1,28),tblDaily[WardCode],"BF")),"")</f>
        <v/>
      </c>
    </row>
    <row r="35">
      <c r="A35" s="12" t="n">
        <v>29</v>
      </c>
      <c r="B35" s="12">
        <f>IFERROR(IF(SUMIFS(tblDaily[Admissions],tblDaily[EntryDate],DATE(2026,1,29),tblDaily[WardCode],"BF")=0,"",SUMIFS(tblDaily[Admissions],tblDaily[EntryDate],DATE(2026,1,29),tblDaily[WardCode],"BF")),"")</f>
        <v/>
      </c>
      <c r="C35" s="12">
        <f>IFERROR(IF(SUMIFS(tblDaily[Discharges],tblDaily[EntryDate],DATE(2026,1,29),tblDaily[WardCode],"BF")=0,"",SUMIFS(tblDaily[Discharges],tblDaily[EntryDate],DATE(2026,1,29),tblDaily[WardCode],"BF")),"")</f>
        <v/>
      </c>
      <c r="D35" s="12">
        <f>IFERROR(IF(SUMIFS(tblDaily[Deaths],tblDaily[EntryDate],DATE(2026,1,29),tblDaily[WardCode],"BF")=0,"",SUMIFS(tblDaily[Deaths],tblDaily[EntryDate],DATE(2026,1,29),tblDaily[WardCode],"BF")),"")</f>
        <v/>
      </c>
      <c r="E35" s="12">
        <f>IFERROR(IF(SUMIFS(tblDaily[DeathsUnder24Hrs],tblDaily[EntryDate],DATE(2026,1,29),tblDaily[WardCode],"BF")=0,"",SUMIFS(tblDaily[DeathsUnder24Hrs],tblDaily[EntryDate],DATE(2026,1,29),tblDaily[WardCode],"BF")),"")</f>
        <v/>
      </c>
      <c r="F35" s="12">
        <f>IFERROR(IF(SUMIFS(tblDaily[TransfersIn],tblDaily[EntryDate],DATE(2026,1,29),tblDaily[WardCode],"BF")=0,"",SUMIFS(tblDaily[TransfersIn],tblDaily[EntryDate],DATE(2026,1,29),tblDaily[WardCode],"BF")),"")</f>
        <v/>
      </c>
      <c r="G35" s="12">
        <f>IFERROR(IF(SUMIFS(tblDaily[TransfersOut],tblDaily[EntryDate],DATE(2026,1,29),tblDaily[WardCode],"BF")=0,"",SUMIFS(tblDaily[TransfersOut],tblDaily[EntryDate],DATE(2026,1,29),tblDaily[WardCode],"BF")),"")</f>
        <v/>
      </c>
      <c r="H35" s="12">
        <f>IFERROR(IF(SUMIFS(tblDaily[Remaining],tblDaily[EntryDate],DATE(2026,1,29),tblDaily[WardCode],"BF")=0,"",SUMIFS(tblDaily[Remaining],tblDaily[EntryDate],DATE(2026,1,29),tblDaily[WardCode],"BF")),"")</f>
        <v/>
      </c>
    </row>
    <row r="36">
      <c r="A36" s="12" t="n">
        <v>30</v>
      </c>
      <c r="B36" s="12">
        <f>IFERROR(IF(SUMIFS(tblDaily[Admissions],tblDaily[EntryDate],DATE(2026,1,30),tblDaily[WardCode],"BF")=0,"",SUMIFS(tblDaily[Admissions],tblDaily[EntryDate],DATE(2026,1,30),tblDaily[WardCode],"BF")),"")</f>
        <v/>
      </c>
      <c r="C36" s="12">
        <f>IFERROR(IF(SUMIFS(tblDaily[Discharges],tblDaily[EntryDate],DATE(2026,1,30),tblDaily[WardCode],"BF")=0,"",SUMIFS(tblDaily[Discharges],tblDaily[EntryDate],DATE(2026,1,30),tblDaily[WardCode],"BF")),"")</f>
        <v/>
      </c>
      <c r="D36" s="12">
        <f>IFERROR(IF(SUMIFS(tblDaily[Deaths],tblDaily[EntryDate],DATE(2026,1,30),tblDaily[WardCode],"BF")=0,"",SUMIFS(tblDaily[Deaths],tblDaily[EntryDate],DATE(2026,1,30),tblDaily[WardCode],"BF")),"")</f>
        <v/>
      </c>
      <c r="E36" s="12">
        <f>IFERROR(IF(SUMIFS(tblDaily[DeathsUnder24Hrs],tblDaily[EntryDate],DATE(2026,1,30),tblDaily[WardCode],"BF")=0,"",SUMIFS(tblDaily[DeathsUnder24Hrs],tblDaily[EntryDate],DATE(2026,1,30),tblDaily[WardCode],"BF")),"")</f>
        <v/>
      </c>
      <c r="F36" s="12">
        <f>IFERROR(IF(SUMIFS(tblDaily[TransfersIn],tblDaily[EntryDate],DATE(2026,1,30),tblDaily[WardCode],"BF")=0,"",SUMIFS(tblDaily[TransfersIn],tblDaily[EntryDate],DATE(2026,1,30),tblDaily[WardCode],"BF")),"")</f>
        <v/>
      </c>
      <c r="G36" s="12">
        <f>IFERROR(IF(SUMIFS(tblDaily[TransfersOut],tblDaily[EntryDate],DATE(2026,1,30),tblDaily[WardCode],"BF")=0,"",SUMIFS(tblDaily[TransfersOut],tblDaily[EntryDate],DATE(2026,1,30),tblDaily[WardCode],"BF")),"")</f>
        <v/>
      </c>
      <c r="H36" s="12">
        <f>IFERROR(IF(SUMIFS(tblDaily[Remaining],tblDaily[EntryDate],DATE(2026,1,30),tblDaily[WardCode],"BF")=0,"",SUMIFS(tblDaily[Remaining],tblDaily[EntryDate],DATE(2026,1,30),tblDaily[WardCode],"BF")),"")</f>
        <v/>
      </c>
    </row>
    <row r="37">
      <c r="A37" s="12" t="n">
        <v>31</v>
      </c>
      <c r="B37" s="12">
        <f>IFERROR(IF(SUMIFS(tblDaily[Admissions],tblDaily[EntryDate],DATE(2026,1,31),tblDaily[WardCode],"BF")=0,"",SUMIFS(tblDaily[Admissions],tblDaily[EntryDate],DATE(2026,1,31),tblDaily[WardCode],"BF")),"")</f>
        <v/>
      </c>
      <c r="C37" s="12">
        <f>IFERROR(IF(SUMIFS(tblDaily[Discharges],tblDaily[EntryDate],DATE(2026,1,31),tblDaily[WardCode],"BF")=0,"",SUMIFS(tblDaily[Discharges],tblDaily[EntryDate],DATE(2026,1,31),tblDaily[WardCode],"BF")),"")</f>
        <v/>
      </c>
      <c r="D37" s="12">
        <f>IFERROR(IF(SUMIFS(tblDaily[Deaths],tblDaily[EntryDate],DATE(2026,1,31),tblDaily[WardCode],"BF")=0,"",SUMIFS(tblDaily[Deaths],tblDaily[EntryDate],DATE(2026,1,31),tblDaily[WardCode],"BF")),"")</f>
        <v/>
      </c>
      <c r="E37" s="12">
        <f>IFERROR(IF(SUMIFS(tblDaily[DeathsUnder24Hrs],tblDaily[EntryDate],DATE(2026,1,31),tblDaily[WardCode],"BF")=0,"",SUMIFS(tblDaily[DeathsUnder24Hrs],tblDaily[EntryDate],DATE(2026,1,31),tblDaily[WardCode],"BF")),"")</f>
        <v/>
      </c>
      <c r="F37" s="12">
        <f>IFERROR(IF(SUMIFS(tblDaily[TransfersIn],tblDaily[EntryDate],DATE(2026,1,31),tblDaily[WardCode],"BF")=0,"",SUMIFS(tblDaily[TransfersIn],tblDaily[EntryDate],DATE(2026,1,31),tblDaily[WardCode],"BF")),"")</f>
        <v/>
      </c>
      <c r="G37" s="12">
        <f>IFERROR(IF(SUMIFS(tblDaily[TransfersOut],tblDaily[EntryDate],DATE(2026,1,31),tblDaily[WardCode],"BF")=0,"",SUMIFS(tblDaily[TransfersOut],tblDaily[EntryDate],DATE(2026,1,31),tblDaily[WardCode],"BF")),"")</f>
        <v/>
      </c>
      <c r="H37" s="12">
        <f>IFERROR(IF(SUMIFS(tblDaily[Remaining],tblDaily[EntryDate],DATE(2026,1,31),tblDaily[WardCode],"BF")=0,"",SUMIFS(tblDaily[Remaining],tblDaily[EntryDate],DATE(2026,1,31),tblDaily[WardCode],"BF")),"")</f>
        <v/>
      </c>
    </row>
    <row r="38">
      <c r="A38" s="17" t="inlineStr">
        <is>
          <t>TOTAL</t>
        </is>
      </c>
      <c r="B38" s="17">
        <f>SUMIFS(tblDaily[Admissions],tblDaily[Month],1,tblDaily[WardCode],"BF") - SUMIFS(tblDaily[DeathsUnder24Hrs],tblDaily[Month],1,tblDaily[WardCode],"BF")</f>
        <v/>
      </c>
      <c r="C38" s="17">
        <f>SUMIFS(tblDaily[Discharges],tblDaily[Month],1,tblDaily[WardCode],"BF")</f>
        <v/>
      </c>
      <c r="D38" s="17">
        <f>SUMIFS(tblDaily[Deaths],tblDaily[Month],1,tblDaily[WardCode],"BF")</f>
        <v/>
      </c>
      <c r="E38" s="17">
        <f>SUMIFS(tblDaily[DeathsUnder24Hrs],tblDaily[Month],1,tblDaily[WardCode],"BF")</f>
        <v/>
      </c>
      <c r="F38" s="17">
        <f>SUMIFS(tblDaily[TransfersIn],tblDaily[Month],1,tblDaily[WardCode],"BF")</f>
        <v/>
      </c>
      <c r="G38" s="17">
        <f>SUMIFS(tblDaily[TransfersOut],tblDaily[Month],1,tblDaily[WardCode],"BF")</f>
        <v/>
      </c>
      <c r="H38" s="17">
        <f>SUMIFS(tblDaily[Remaining],tblDaily[Month],1,tblDaily[WardCode],"BF")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BLOCK F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4">
        <f>IFERROR(SUMIFS(tblDaily[Remaining],tblDaily[EntryDate],DATE(2026,1,31),tblDaily[WardCode],"BF"),0)</f>
        <v/>
      </c>
    </row>
    <row r="44">
      <c r="A44" s="4" t="inlineStr">
        <is>
          <t>Bed complement</t>
        </is>
      </c>
      <c r="H44" s="15">
        <f>IFERROR(INDEX(tblWardConfig[BedComplement],MATCH("BF",tblWardConfig[WardCode],0)),0)</f>
        <v/>
      </c>
    </row>
    <row r="45">
      <c r="A45" s="16" t="inlineStr">
        <is>
          <t>Day of
the
Month</t>
        </is>
      </c>
      <c r="B45" s="16" t="inlineStr">
        <is>
          <t>Admissions</t>
        </is>
      </c>
      <c r="C45" s="16" t="inlineStr">
        <is>
          <t>Discharges</t>
        </is>
      </c>
      <c r="D45" s="16" t="inlineStr">
        <is>
          <t>Deaths</t>
        </is>
      </c>
      <c r="E45" s="16" t="inlineStr">
        <is>
          <t>Deaths
&lt;24Hrs</t>
        </is>
      </c>
      <c r="F45" s="16" t="inlineStr">
        <is>
          <t>Transfers-
In</t>
        </is>
      </c>
      <c r="G45" s="16" t="inlineStr">
        <is>
          <t>Transfers-
Out</t>
        </is>
      </c>
      <c r="H45" s="16" t="inlineStr">
        <is>
          <t>No. of Patients
Remaining In
Ward</t>
        </is>
      </c>
    </row>
    <row r="46">
      <c r="A46" s="12" t="n">
        <v>1</v>
      </c>
      <c r="B46" s="12">
        <f>IFERROR(IF(SUMIFS(tblDaily[Admissions],tblDaily[EntryDate],DATE(2026,2,1),tblDaily[WardCode],"BF")=0,"",SUMIFS(tblDaily[Admissions],tblDaily[EntryDate],DATE(2026,2,1),tblDaily[WardCode],"BF")),"")</f>
        <v/>
      </c>
      <c r="C46" s="12">
        <f>IFERROR(IF(SUMIFS(tblDaily[Discharges],tblDaily[EntryDate],DATE(2026,2,1),tblDaily[WardCode],"BF")=0,"",SUMIFS(tblDaily[Discharges],tblDaily[EntryDate],DATE(2026,2,1),tblDaily[WardCode],"BF")),"")</f>
        <v/>
      </c>
      <c r="D46" s="12">
        <f>IFERROR(IF(SUMIFS(tblDaily[Deaths],tblDaily[EntryDate],DATE(2026,2,1),tblDaily[WardCode],"BF")=0,"",SUMIFS(tblDaily[Deaths],tblDaily[EntryDate],DATE(2026,2,1),tblDaily[WardCode],"BF")),"")</f>
        <v/>
      </c>
      <c r="E46" s="12">
        <f>IFERROR(IF(SUMIFS(tblDaily[DeathsUnder24Hrs],tblDaily[EntryDate],DATE(2026,2,1),tblDaily[WardCode],"BF")=0,"",SUMIFS(tblDaily[DeathsUnder24Hrs],tblDaily[EntryDate],DATE(2026,2,1),tblDaily[WardCode],"BF")),"")</f>
        <v/>
      </c>
      <c r="F46" s="12">
        <f>IFERROR(IF(SUMIFS(tblDaily[TransfersIn],tblDaily[EntryDate],DATE(2026,2,1),tblDaily[WardCode],"BF")=0,"",SUMIFS(tblDaily[TransfersIn],tblDaily[EntryDate],DATE(2026,2,1),tblDaily[WardCode],"BF")),"")</f>
        <v/>
      </c>
      <c r="G46" s="12">
        <f>IFERROR(IF(SUMIFS(tblDaily[TransfersOut],tblDaily[EntryDate],DATE(2026,2,1),tblDaily[WardCode],"BF")=0,"",SUMIFS(tblDaily[TransfersOut],tblDaily[EntryDate],DATE(2026,2,1),tblDaily[WardCode],"BF")),"")</f>
        <v/>
      </c>
      <c r="H46" s="12">
        <f>IFERROR(IF(SUMIFS(tblDaily[Remaining],tblDaily[EntryDate],DATE(2026,2,1),tblDaily[WardCode],"BF")=0,"",SUMIFS(tblDaily[Remaining],tblDaily[EntryDate],DATE(2026,2,1),tblDaily[WardCode],"BF")),"")</f>
        <v/>
      </c>
    </row>
    <row r="47">
      <c r="A47" s="12" t="n">
        <v>2</v>
      </c>
      <c r="B47" s="12">
        <f>IFERROR(IF(SUMIFS(tblDaily[Admissions],tblDaily[EntryDate],DATE(2026,2,2),tblDaily[WardCode],"BF")=0,"",SUMIFS(tblDaily[Admissions],tblDaily[EntryDate],DATE(2026,2,2),tblDaily[WardCode],"BF")),"")</f>
        <v/>
      </c>
      <c r="C47" s="12">
        <f>IFERROR(IF(SUMIFS(tblDaily[Discharges],tblDaily[EntryDate],DATE(2026,2,2),tblDaily[WardCode],"BF")=0,"",SUMIFS(tblDaily[Discharges],tblDaily[EntryDate],DATE(2026,2,2),tblDaily[WardCode],"BF")),"")</f>
        <v/>
      </c>
      <c r="D47" s="12">
        <f>IFERROR(IF(SUMIFS(tblDaily[Deaths],tblDaily[EntryDate],DATE(2026,2,2),tblDaily[WardCode],"BF")=0,"",SUMIFS(tblDaily[Deaths],tblDaily[EntryDate],DATE(2026,2,2),tblDaily[WardCode],"BF")),"")</f>
        <v/>
      </c>
      <c r="E47" s="12">
        <f>IFERROR(IF(SUMIFS(tblDaily[DeathsUnder24Hrs],tblDaily[EntryDate],DATE(2026,2,2),tblDaily[WardCode],"BF")=0,"",SUMIFS(tblDaily[DeathsUnder24Hrs],tblDaily[EntryDate],DATE(2026,2,2),tblDaily[WardCode],"BF")),"")</f>
        <v/>
      </c>
      <c r="F47" s="12">
        <f>IFERROR(IF(SUMIFS(tblDaily[TransfersIn],tblDaily[EntryDate],DATE(2026,2,2),tblDaily[WardCode],"BF")=0,"",SUMIFS(tblDaily[TransfersIn],tblDaily[EntryDate],DATE(2026,2,2),tblDaily[WardCode],"BF")),"")</f>
        <v/>
      </c>
      <c r="G47" s="12">
        <f>IFERROR(IF(SUMIFS(tblDaily[TransfersOut],tblDaily[EntryDate],DATE(2026,2,2),tblDaily[WardCode],"BF")=0,"",SUMIFS(tblDaily[TransfersOut],tblDaily[EntryDate],DATE(2026,2,2),tblDaily[WardCode],"BF")),"")</f>
        <v/>
      </c>
      <c r="H47" s="12">
        <f>IFERROR(IF(SUMIFS(tblDaily[Remaining],tblDaily[EntryDate],DATE(2026,2,2),tblDaily[WardCode],"BF")=0,"",SUMIFS(tblDaily[Remaining],tblDaily[EntryDate],DATE(2026,2,2),tblDaily[WardCode],"BF")),"")</f>
        <v/>
      </c>
    </row>
    <row r="48">
      <c r="A48" s="12" t="n">
        <v>3</v>
      </c>
      <c r="B48" s="12">
        <f>IFERROR(IF(SUMIFS(tblDaily[Admissions],tblDaily[EntryDate],DATE(2026,2,3),tblDaily[WardCode],"BF")=0,"",SUMIFS(tblDaily[Admissions],tblDaily[EntryDate],DATE(2026,2,3),tblDaily[WardCode],"BF")),"")</f>
        <v/>
      </c>
      <c r="C48" s="12">
        <f>IFERROR(IF(SUMIFS(tblDaily[Discharges],tblDaily[EntryDate],DATE(2026,2,3),tblDaily[WardCode],"BF")=0,"",SUMIFS(tblDaily[Discharges],tblDaily[EntryDate],DATE(2026,2,3),tblDaily[WardCode],"BF")),"")</f>
        <v/>
      </c>
      <c r="D48" s="12">
        <f>IFERROR(IF(SUMIFS(tblDaily[Deaths],tblDaily[EntryDate],DATE(2026,2,3),tblDaily[WardCode],"BF")=0,"",SUMIFS(tblDaily[Deaths],tblDaily[EntryDate],DATE(2026,2,3),tblDaily[WardCode],"BF")),"")</f>
        <v/>
      </c>
      <c r="E48" s="12">
        <f>IFERROR(IF(SUMIFS(tblDaily[DeathsUnder24Hrs],tblDaily[EntryDate],DATE(2026,2,3),tblDaily[WardCode],"BF")=0,"",SUMIFS(tblDaily[DeathsUnder24Hrs],tblDaily[EntryDate],DATE(2026,2,3),tblDaily[WardCode],"BF")),"")</f>
        <v/>
      </c>
      <c r="F48" s="12">
        <f>IFERROR(IF(SUMIFS(tblDaily[TransfersIn],tblDaily[EntryDate],DATE(2026,2,3),tblDaily[WardCode],"BF")=0,"",SUMIFS(tblDaily[TransfersIn],tblDaily[EntryDate],DATE(2026,2,3),tblDaily[WardCode],"BF")),"")</f>
        <v/>
      </c>
      <c r="G48" s="12">
        <f>IFERROR(IF(SUMIFS(tblDaily[TransfersOut],tblDaily[EntryDate],DATE(2026,2,3),tblDaily[WardCode],"BF")=0,"",SUMIFS(tblDaily[TransfersOut],tblDaily[EntryDate],DATE(2026,2,3),tblDaily[WardCode],"BF")),"")</f>
        <v/>
      </c>
      <c r="H48" s="12">
        <f>IFERROR(IF(SUMIFS(tblDaily[Remaining],tblDaily[EntryDate],DATE(2026,2,3),tblDaily[WardCode],"BF")=0,"",SUMIFS(tblDaily[Remaining],tblDaily[EntryDate],DATE(2026,2,3),tblDaily[WardCode],"BF")),"")</f>
        <v/>
      </c>
    </row>
    <row r="49">
      <c r="A49" s="12" t="n">
        <v>4</v>
      </c>
      <c r="B49" s="12">
        <f>IFERROR(IF(SUMIFS(tblDaily[Admissions],tblDaily[EntryDate],DATE(2026,2,4),tblDaily[WardCode],"BF")=0,"",SUMIFS(tblDaily[Admissions],tblDaily[EntryDate],DATE(2026,2,4),tblDaily[WardCode],"BF")),"")</f>
        <v/>
      </c>
      <c r="C49" s="12">
        <f>IFERROR(IF(SUMIFS(tblDaily[Discharges],tblDaily[EntryDate],DATE(2026,2,4),tblDaily[WardCode],"BF")=0,"",SUMIFS(tblDaily[Discharges],tblDaily[EntryDate],DATE(2026,2,4),tblDaily[WardCode],"BF")),"")</f>
        <v/>
      </c>
      <c r="D49" s="12">
        <f>IFERROR(IF(SUMIFS(tblDaily[Deaths],tblDaily[EntryDate],DATE(2026,2,4),tblDaily[WardCode],"BF")=0,"",SUMIFS(tblDaily[Deaths],tblDaily[EntryDate],DATE(2026,2,4),tblDaily[WardCode],"BF")),"")</f>
        <v/>
      </c>
      <c r="E49" s="12">
        <f>IFERROR(IF(SUMIFS(tblDaily[DeathsUnder24Hrs],tblDaily[EntryDate],DATE(2026,2,4),tblDaily[WardCode],"BF")=0,"",SUMIFS(tblDaily[DeathsUnder24Hrs],tblDaily[EntryDate],DATE(2026,2,4),tblDaily[WardCode],"BF")),"")</f>
        <v/>
      </c>
      <c r="F49" s="12">
        <f>IFERROR(IF(SUMIFS(tblDaily[TransfersIn],tblDaily[EntryDate],DATE(2026,2,4),tblDaily[WardCode],"BF")=0,"",SUMIFS(tblDaily[TransfersIn],tblDaily[EntryDate],DATE(2026,2,4),tblDaily[WardCode],"BF")),"")</f>
        <v/>
      </c>
      <c r="G49" s="12">
        <f>IFERROR(IF(SUMIFS(tblDaily[TransfersOut],tblDaily[EntryDate],DATE(2026,2,4),tblDaily[WardCode],"BF")=0,"",SUMIFS(tblDaily[TransfersOut],tblDaily[EntryDate],DATE(2026,2,4),tblDaily[WardCode],"BF")),"")</f>
        <v/>
      </c>
      <c r="H49" s="12">
        <f>IFERROR(IF(SUMIFS(tblDaily[Remaining],tblDaily[EntryDate],DATE(2026,2,4),tblDaily[WardCode],"BF")=0,"",SUMIFS(tblDaily[Remaining],tblDaily[EntryDate],DATE(2026,2,4),tblDaily[WardCode],"BF")),"")</f>
        <v/>
      </c>
    </row>
    <row r="50">
      <c r="A50" s="12" t="n">
        <v>5</v>
      </c>
      <c r="B50" s="12">
        <f>IFERROR(IF(SUMIFS(tblDaily[Admissions],tblDaily[EntryDate],DATE(2026,2,5),tblDaily[WardCode],"BF")=0,"",SUMIFS(tblDaily[Admissions],tblDaily[EntryDate],DATE(2026,2,5),tblDaily[WardCode],"BF")),"")</f>
        <v/>
      </c>
      <c r="C50" s="12">
        <f>IFERROR(IF(SUMIFS(tblDaily[Discharges],tblDaily[EntryDate],DATE(2026,2,5),tblDaily[WardCode],"BF")=0,"",SUMIFS(tblDaily[Discharges],tblDaily[EntryDate],DATE(2026,2,5),tblDaily[WardCode],"BF")),"")</f>
        <v/>
      </c>
      <c r="D50" s="12">
        <f>IFERROR(IF(SUMIFS(tblDaily[Deaths],tblDaily[EntryDate],DATE(2026,2,5),tblDaily[WardCode],"BF")=0,"",SUMIFS(tblDaily[Deaths],tblDaily[EntryDate],DATE(2026,2,5),tblDaily[WardCode],"BF")),"")</f>
        <v/>
      </c>
      <c r="E50" s="12">
        <f>IFERROR(IF(SUMIFS(tblDaily[DeathsUnder24Hrs],tblDaily[EntryDate],DATE(2026,2,5),tblDaily[WardCode],"BF")=0,"",SUMIFS(tblDaily[DeathsUnder24Hrs],tblDaily[EntryDate],DATE(2026,2,5),tblDaily[WardCode],"BF")),"")</f>
        <v/>
      </c>
      <c r="F50" s="12">
        <f>IFERROR(IF(SUMIFS(tblDaily[TransfersIn],tblDaily[EntryDate],DATE(2026,2,5),tblDaily[WardCode],"BF")=0,"",SUMIFS(tblDaily[TransfersIn],tblDaily[EntryDate],DATE(2026,2,5),tblDaily[WardCode],"BF")),"")</f>
        <v/>
      </c>
      <c r="G50" s="12">
        <f>IFERROR(IF(SUMIFS(tblDaily[TransfersOut],tblDaily[EntryDate],DATE(2026,2,5),tblDaily[WardCode],"BF")=0,"",SUMIFS(tblDaily[TransfersOut],tblDaily[EntryDate],DATE(2026,2,5),tblDaily[WardCode],"BF")),"")</f>
        <v/>
      </c>
      <c r="H50" s="12">
        <f>IFERROR(IF(SUMIFS(tblDaily[Remaining],tblDaily[EntryDate],DATE(2026,2,5),tblDaily[WardCode],"BF")=0,"",SUMIFS(tblDaily[Remaining],tblDaily[EntryDate],DATE(2026,2,5),tblDaily[WardCode],"BF")),"")</f>
        <v/>
      </c>
    </row>
    <row r="51">
      <c r="A51" s="12" t="n">
        <v>6</v>
      </c>
      <c r="B51" s="12">
        <f>IFERROR(IF(SUMIFS(tblDaily[Admissions],tblDaily[EntryDate],DATE(2026,2,6),tblDaily[WardCode],"BF")=0,"",SUMIFS(tblDaily[Admissions],tblDaily[EntryDate],DATE(2026,2,6),tblDaily[WardCode],"BF")),"")</f>
        <v/>
      </c>
      <c r="C51" s="12">
        <f>IFERROR(IF(SUMIFS(tblDaily[Discharges],tblDaily[EntryDate],DATE(2026,2,6),tblDaily[WardCode],"BF")=0,"",SUMIFS(tblDaily[Discharges],tblDaily[EntryDate],DATE(2026,2,6),tblDaily[WardCode],"BF")),"")</f>
        <v/>
      </c>
      <c r="D51" s="12">
        <f>IFERROR(IF(SUMIFS(tblDaily[Deaths],tblDaily[EntryDate],DATE(2026,2,6),tblDaily[WardCode],"BF")=0,"",SUMIFS(tblDaily[Deaths],tblDaily[EntryDate],DATE(2026,2,6),tblDaily[WardCode],"BF")),"")</f>
        <v/>
      </c>
      <c r="E51" s="12">
        <f>IFERROR(IF(SUMIFS(tblDaily[DeathsUnder24Hrs],tblDaily[EntryDate],DATE(2026,2,6),tblDaily[WardCode],"BF")=0,"",SUMIFS(tblDaily[DeathsUnder24Hrs],tblDaily[EntryDate],DATE(2026,2,6),tblDaily[WardCode],"BF")),"")</f>
        <v/>
      </c>
      <c r="F51" s="12">
        <f>IFERROR(IF(SUMIFS(tblDaily[TransfersIn],tblDaily[EntryDate],DATE(2026,2,6),tblDaily[WardCode],"BF")=0,"",SUMIFS(tblDaily[TransfersIn],tblDaily[EntryDate],DATE(2026,2,6),tblDaily[WardCode],"BF")),"")</f>
        <v/>
      </c>
      <c r="G51" s="12">
        <f>IFERROR(IF(SUMIFS(tblDaily[TransfersOut],tblDaily[EntryDate],DATE(2026,2,6),tblDaily[WardCode],"BF")=0,"",SUMIFS(tblDaily[TransfersOut],tblDaily[EntryDate],DATE(2026,2,6),tblDaily[WardCode],"BF")),"")</f>
        <v/>
      </c>
      <c r="H51" s="12">
        <f>IFERROR(IF(SUMIFS(tblDaily[Remaining],tblDaily[EntryDate],DATE(2026,2,6),tblDaily[WardCode],"BF")=0,"",SUMIFS(tblDaily[Remaining],tblDaily[EntryDate],DATE(2026,2,6),tblDaily[WardCode],"BF")),"")</f>
        <v/>
      </c>
    </row>
    <row r="52">
      <c r="A52" s="12" t="n">
        <v>7</v>
      </c>
      <c r="B52" s="12">
        <f>IFERROR(IF(SUMIFS(tblDaily[Admissions],tblDaily[EntryDate],DATE(2026,2,7),tblDaily[WardCode],"BF")=0,"",SUMIFS(tblDaily[Admissions],tblDaily[EntryDate],DATE(2026,2,7),tblDaily[WardCode],"BF")),"")</f>
        <v/>
      </c>
      <c r="C52" s="12">
        <f>IFERROR(IF(SUMIFS(tblDaily[Discharges],tblDaily[EntryDate],DATE(2026,2,7),tblDaily[WardCode],"BF")=0,"",SUMIFS(tblDaily[Discharges],tblDaily[EntryDate],DATE(2026,2,7),tblDaily[WardCode],"BF")),"")</f>
        <v/>
      </c>
      <c r="D52" s="12">
        <f>IFERROR(IF(SUMIFS(tblDaily[Deaths],tblDaily[EntryDate],DATE(2026,2,7),tblDaily[WardCode],"BF")=0,"",SUMIFS(tblDaily[Deaths],tblDaily[EntryDate],DATE(2026,2,7),tblDaily[WardCode],"BF")),"")</f>
        <v/>
      </c>
      <c r="E52" s="12">
        <f>IFERROR(IF(SUMIFS(tblDaily[DeathsUnder24Hrs],tblDaily[EntryDate],DATE(2026,2,7),tblDaily[WardCode],"BF")=0,"",SUMIFS(tblDaily[DeathsUnder24Hrs],tblDaily[EntryDate],DATE(2026,2,7),tblDaily[WardCode],"BF")),"")</f>
        <v/>
      </c>
      <c r="F52" s="12">
        <f>IFERROR(IF(SUMIFS(tblDaily[TransfersIn],tblDaily[EntryDate],DATE(2026,2,7),tblDaily[WardCode],"BF")=0,"",SUMIFS(tblDaily[TransfersIn],tblDaily[EntryDate],DATE(2026,2,7),tblDaily[WardCode],"BF")),"")</f>
        <v/>
      </c>
      <c r="G52" s="12">
        <f>IFERROR(IF(SUMIFS(tblDaily[TransfersOut],tblDaily[EntryDate],DATE(2026,2,7),tblDaily[WardCode],"BF")=0,"",SUMIFS(tblDaily[TransfersOut],tblDaily[EntryDate],DATE(2026,2,7),tblDaily[WardCode],"BF")),"")</f>
        <v/>
      </c>
      <c r="H52" s="12">
        <f>IFERROR(IF(SUMIFS(tblDaily[Remaining],tblDaily[EntryDate],DATE(2026,2,7),tblDaily[WardCode],"BF")=0,"",SUMIFS(tblDaily[Remaining],tblDaily[EntryDate],DATE(2026,2,7),tblDaily[WardCode],"BF")),"")</f>
        <v/>
      </c>
    </row>
    <row r="53">
      <c r="A53" s="12" t="n">
        <v>8</v>
      </c>
      <c r="B53" s="12">
        <f>IFERROR(IF(SUMIFS(tblDaily[Admissions],tblDaily[EntryDate],DATE(2026,2,8),tblDaily[WardCode],"BF")=0,"",SUMIFS(tblDaily[Admissions],tblDaily[EntryDate],DATE(2026,2,8),tblDaily[WardCode],"BF")),"")</f>
        <v/>
      </c>
      <c r="C53" s="12">
        <f>IFERROR(IF(SUMIFS(tblDaily[Discharges],tblDaily[EntryDate],DATE(2026,2,8),tblDaily[WardCode],"BF")=0,"",SUMIFS(tblDaily[Discharges],tblDaily[EntryDate],DATE(2026,2,8),tblDaily[WardCode],"BF")),"")</f>
        <v/>
      </c>
      <c r="D53" s="12">
        <f>IFERROR(IF(SUMIFS(tblDaily[Deaths],tblDaily[EntryDate],DATE(2026,2,8),tblDaily[WardCode],"BF")=0,"",SUMIFS(tblDaily[Deaths],tblDaily[EntryDate],DATE(2026,2,8),tblDaily[WardCode],"BF")),"")</f>
        <v/>
      </c>
      <c r="E53" s="12">
        <f>IFERROR(IF(SUMIFS(tblDaily[DeathsUnder24Hrs],tblDaily[EntryDate],DATE(2026,2,8),tblDaily[WardCode],"BF")=0,"",SUMIFS(tblDaily[DeathsUnder24Hrs],tblDaily[EntryDate],DATE(2026,2,8),tblDaily[WardCode],"BF")),"")</f>
        <v/>
      </c>
      <c r="F53" s="12">
        <f>IFERROR(IF(SUMIFS(tblDaily[TransfersIn],tblDaily[EntryDate],DATE(2026,2,8),tblDaily[WardCode],"BF")=0,"",SUMIFS(tblDaily[TransfersIn],tblDaily[EntryDate],DATE(2026,2,8),tblDaily[WardCode],"BF")),"")</f>
        <v/>
      </c>
      <c r="G53" s="12">
        <f>IFERROR(IF(SUMIFS(tblDaily[TransfersOut],tblDaily[EntryDate],DATE(2026,2,8),tblDaily[WardCode],"BF")=0,"",SUMIFS(tblDaily[TransfersOut],tblDaily[EntryDate],DATE(2026,2,8),tblDaily[WardCode],"BF")),"")</f>
        <v/>
      </c>
      <c r="H53" s="12">
        <f>IFERROR(IF(SUMIFS(tblDaily[Remaining],tblDaily[EntryDate],DATE(2026,2,8),tblDaily[WardCode],"BF")=0,"",SUMIFS(tblDaily[Remaining],tblDaily[EntryDate],DATE(2026,2,8),tblDaily[WardCode],"BF")),"")</f>
        <v/>
      </c>
    </row>
    <row r="54">
      <c r="A54" s="12" t="n">
        <v>9</v>
      </c>
      <c r="B54" s="12">
        <f>IFERROR(IF(SUMIFS(tblDaily[Admissions],tblDaily[EntryDate],DATE(2026,2,9),tblDaily[WardCode],"BF")=0,"",SUMIFS(tblDaily[Admissions],tblDaily[EntryDate],DATE(2026,2,9),tblDaily[WardCode],"BF")),"")</f>
        <v/>
      </c>
      <c r="C54" s="12">
        <f>IFERROR(IF(SUMIFS(tblDaily[Discharges],tblDaily[EntryDate],DATE(2026,2,9),tblDaily[WardCode],"BF")=0,"",SUMIFS(tblDaily[Discharges],tblDaily[EntryDate],DATE(2026,2,9),tblDaily[WardCode],"BF")),"")</f>
        <v/>
      </c>
      <c r="D54" s="12">
        <f>IFERROR(IF(SUMIFS(tblDaily[Deaths],tblDaily[EntryDate],DATE(2026,2,9),tblDaily[WardCode],"BF")=0,"",SUMIFS(tblDaily[Deaths],tblDaily[EntryDate],DATE(2026,2,9),tblDaily[WardCode],"BF")),"")</f>
        <v/>
      </c>
      <c r="E54" s="12">
        <f>IFERROR(IF(SUMIFS(tblDaily[DeathsUnder24Hrs],tblDaily[EntryDate],DATE(2026,2,9),tblDaily[WardCode],"BF")=0,"",SUMIFS(tblDaily[DeathsUnder24Hrs],tblDaily[EntryDate],DATE(2026,2,9),tblDaily[WardCode],"BF")),"")</f>
        <v/>
      </c>
      <c r="F54" s="12">
        <f>IFERROR(IF(SUMIFS(tblDaily[TransfersIn],tblDaily[EntryDate],DATE(2026,2,9),tblDaily[WardCode],"BF")=0,"",SUMIFS(tblDaily[TransfersIn],tblDaily[EntryDate],DATE(2026,2,9),tblDaily[WardCode],"BF")),"")</f>
        <v/>
      </c>
      <c r="G54" s="12">
        <f>IFERROR(IF(SUMIFS(tblDaily[TransfersOut],tblDaily[EntryDate],DATE(2026,2,9),tblDaily[WardCode],"BF")=0,"",SUMIFS(tblDaily[TransfersOut],tblDaily[EntryDate],DATE(2026,2,9),tblDaily[WardCode],"BF")),"")</f>
        <v/>
      </c>
      <c r="H54" s="12">
        <f>IFERROR(IF(SUMIFS(tblDaily[Remaining],tblDaily[EntryDate],DATE(2026,2,9),tblDaily[WardCode],"BF")=0,"",SUMIFS(tblDaily[Remaining],tblDaily[EntryDate],DATE(2026,2,9),tblDaily[WardCode],"BF")),"")</f>
        <v/>
      </c>
    </row>
    <row r="55">
      <c r="A55" s="12" t="n">
        <v>10</v>
      </c>
      <c r="B55" s="12">
        <f>IFERROR(IF(SUMIFS(tblDaily[Admissions],tblDaily[EntryDate],DATE(2026,2,10),tblDaily[WardCode],"BF")=0,"",SUMIFS(tblDaily[Admissions],tblDaily[EntryDate],DATE(2026,2,10),tblDaily[WardCode],"BF")),"")</f>
        <v/>
      </c>
      <c r="C55" s="12">
        <f>IFERROR(IF(SUMIFS(tblDaily[Discharges],tblDaily[EntryDate],DATE(2026,2,10),tblDaily[WardCode],"BF")=0,"",SUMIFS(tblDaily[Discharges],tblDaily[EntryDate],DATE(2026,2,10),tblDaily[WardCode],"BF")),"")</f>
        <v/>
      </c>
      <c r="D55" s="12">
        <f>IFERROR(IF(SUMIFS(tblDaily[Deaths],tblDaily[EntryDate],DATE(2026,2,10),tblDaily[WardCode],"BF")=0,"",SUMIFS(tblDaily[Deaths],tblDaily[EntryDate],DATE(2026,2,10),tblDaily[WardCode],"BF")),"")</f>
        <v/>
      </c>
      <c r="E55" s="12">
        <f>IFERROR(IF(SUMIFS(tblDaily[DeathsUnder24Hrs],tblDaily[EntryDate],DATE(2026,2,10),tblDaily[WardCode],"BF")=0,"",SUMIFS(tblDaily[DeathsUnder24Hrs],tblDaily[EntryDate],DATE(2026,2,10),tblDaily[WardCode],"BF")),"")</f>
        <v/>
      </c>
      <c r="F55" s="12">
        <f>IFERROR(IF(SUMIFS(tblDaily[TransfersIn],tblDaily[EntryDate],DATE(2026,2,10),tblDaily[WardCode],"BF")=0,"",SUMIFS(tblDaily[TransfersIn],tblDaily[EntryDate],DATE(2026,2,10),tblDaily[WardCode],"BF")),"")</f>
        <v/>
      </c>
      <c r="G55" s="12">
        <f>IFERROR(IF(SUMIFS(tblDaily[TransfersOut],tblDaily[EntryDate],DATE(2026,2,10),tblDaily[WardCode],"BF")=0,"",SUMIFS(tblDaily[TransfersOut],tblDaily[EntryDate],DATE(2026,2,10),tblDaily[WardCode],"BF")),"")</f>
        <v/>
      </c>
      <c r="H55" s="12">
        <f>IFERROR(IF(SUMIFS(tblDaily[Remaining],tblDaily[EntryDate],DATE(2026,2,10),tblDaily[WardCode],"BF")=0,"",SUMIFS(tblDaily[Remaining],tblDaily[EntryDate],DATE(2026,2,10),tblDaily[WardCode],"BF")),"")</f>
        <v/>
      </c>
    </row>
    <row r="56">
      <c r="A56" s="12" t="n">
        <v>11</v>
      </c>
      <c r="B56" s="12">
        <f>IFERROR(IF(SUMIFS(tblDaily[Admissions],tblDaily[EntryDate],DATE(2026,2,11),tblDaily[WardCode],"BF")=0,"",SUMIFS(tblDaily[Admissions],tblDaily[EntryDate],DATE(2026,2,11),tblDaily[WardCode],"BF")),"")</f>
        <v/>
      </c>
      <c r="C56" s="12">
        <f>IFERROR(IF(SUMIFS(tblDaily[Discharges],tblDaily[EntryDate],DATE(2026,2,11),tblDaily[WardCode],"BF")=0,"",SUMIFS(tblDaily[Discharges],tblDaily[EntryDate],DATE(2026,2,11),tblDaily[WardCode],"BF")),"")</f>
        <v/>
      </c>
      <c r="D56" s="12">
        <f>IFERROR(IF(SUMIFS(tblDaily[Deaths],tblDaily[EntryDate],DATE(2026,2,11),tblDaily[WardCode],"BF")=0,"",SUMIFS(tblDaily[Deaths],tblDaily[EntryDate],DATE(2026,2,11),tblDaily[WardCode],"BF")),"")</f>
        <v/>
      </c>
      <c r="E56" s="12">
        <f>IFERROR(IF(SUMIFS(tblDaily[DeathsUnder24Hrs],tblDaily[EntryDate],DATE(2026,2,11),tblDaily[WardCode],"BF")=0,"",SUMIFS(tblDaily[DeathsUnder24Hrs],tblDaily[EntryDate],DATE(2026,2,11),tblDaily[WardCode],"BF")),"")</f>
        <v/>
      </c>
      <c r="F56" s="12">
        <f>IFERROR(IF(SUMIFS(tblDaily[TransfersIn],tblDaily[EntryDate],DATE(2026,2,11),tblDaily[WardCode],"BF")=0,"",SUMIFS(tblDaily[TransfersIn],tblDaily[EntryDate],DATE(2026,2,11),tblDaily[WardCode],"BF")),"")</f>
        <v/>
      </c>
      <c r="G56" s="12">
        <f>IFERROR(IF(SUMIFS(tblDaily[TransfersOut],tblDaily[EntryDate],DATE(2026,2,11),tblDaily[WardCode],"BF")=0,"",SUMIFS(tblDaily[TransfersOut],tblDaily[EntryDate],DATE(2026,2,11),tblDaily[WardCode],"BF")),"")</f>
        <v/>
      </c>
      <c r="H56" s="12">
        <f>IFERROR(IF(SUMIFS(tblDaily[Remaining],tblDaily[EntryDate],DATE(2026,2,11),tblDaily[WardCode],"BF")=0,"",SUMIFS(tblDaily[Remaining],tblDaily[EntryDate],DATE(2026,2,11),tblDaily[WardCode],"BF")),"")</f>
        <v/>
      </c>
    </row>
    <row r="57">
      <c r="A57" s="12" t="n">
        <v>12</v>
      </c>
      <c r="B57" s="12">
        <f>IFERROR(IF(SUMIFS(tblDaily[Admissions],tblDaily[EntryDate],DATE(2026,2,12),tblDaily[WardCode],"BF")=0,"",SUMIFS(tblDaily[Admissions],tblDaily[EntryDate],DATE(2026,2,12),tblDaily[WardCode],"BF")),"")</f>
        <v/>
      </c>
      <c r="C57" s="12">
        <f>IFERROR(IF(SUMIFS(tblDaily[Discharges],tblDaily[EntryDate],DATE(2026,2,12),tblDaily[WardCode],"BF")=0,"",SUMIFS(tblDaily[Discharges],tblDaily[EntryDate],DATE(2026,2,12),tblDaily[WardCode],"BF")),"")</f>
        <v/>
      </c>
      <c r="D57" s="12">
        <f>IFERROR(IF(SUMIFS(tblDaily[Deaths],tblDaily[EntryDate],DATE(2026,2,12),tblDaily[WardCode],"BF")=0,"",SUMIFS(tblDaily[Deaths],tblDaily[EntryDate],DATE(2026,2,12),tblDaily[WardCode],"BF")),"")</f>
        <v/>
      </c>
      <c r="E57" s="12">
        <f>IFERROR(IF(SUMIFS(tblDaily[DeathsUnder24Hrs],tblDaily[EntryDate],DATE(2026,2,12),tblDaily[WardCode],"BF")=0,"",SUMIFS(tblDaily[DeathsUnder24Hrs],tblDaily[EntryDate],DATE(2026,2,12),tblDaily[WardCode],"BF")),"")</f>
        <v/>
      </c>
      <c r="F57" s="12">
        <f>IFERROR(IF(SUMIFS(tblDaily[TransfersIn],tblDaily[EntryDate],DATE(2026,2,12),tblDaily[WardCode],"BF")=0,"",SUMIFS(tblDaily[TransfersIn],tblDaily[EntryDate],DATE(2026,2,12),tblDaily[WardCode],"BF")),"")</f>
        <v/>
      </c>
      <c r="G57" s="12">
        <f>IFERROR(IF(SUMIFS(tblDaily[TransfersOut],tblDaily[EntryDate],DATE(2026,2,12),tblDaily[WardCode],"BF")=0,"",SUMIFS(tblDaily[TransfersOut],tblDaily[EntryDate],DATE(2026,2,12),tblDaily[WardCode],"BF")),"")</f>
        <v/>
      </c>
      <c r="H57" s="12">
        <f>IFERROR(IF(SUMIFS(tblDaily[Remaining],tblDaily[EntryDate],DATE(2026,2,12),tblDaily[WardCode],"BF")=0,"",SUMIFS(tblDaily[Remaining],tblDaily[EntryDate],DATE(2026,2,12),tblDaily[WardCode],"BF")),"")</f>
        <v/>
      </c>
    </row>
    <row r="58">
      <c r="A58" s="12" t="n">
        <v>13</v>
      </c>
      <c r="B58" s="12">
        <f>IFERROR(IF(SUMIFS(tblDaily[Admissions],tblDaily[EntryDate],DATE(2026,2,13),tblDaily[WardCode],"BF")=0,"",SUMIFS(tblDaily[Admissions],tblDaily[EntryDate],DATE(2026,2,13),tblDaily[WardCode],"BF")),"")</f>
        <v/>
      </c>
      <c r="C58" s="12">
        <f>IFERROR(IF(SUMIFS(tblDaily[Discharges],tblDaily[EntryDate],DATE(2026,2,13),tblDaily[WardCode],"BF")=0,"",SUMIFS(tblDaily[Discharges],tblDaily[EntryDate],DATE(2026,2,13),tblDaily[WardCode],"BF")),"")</f>
        <v/>
      </c>
      <c r="D58" s="12">
        <f>IFERROR(IF(SUMIFS(tblDaily[Deaths],tblDaily[EntryDate],DATE(2026,2,13),tblDaily[WardCode],"BF")=0,"",SUMIFS(tblDaily[Deaths],tblDaily[EntryDate],DATE(2026,2,13),tblDaily[WardCode],"BF")),"")</f>
        <v/>
      </c>
      <c r="E58" s="12">
        <f>IFERROR(IF(SUMIFS(tblDaily[DeathsUnder24Hrs],tblDaily[EntryDate],DATE(2026,2,13),tblDaily[WardCode],"BF")=0,"",SUMIFS(tblDaily[DeathsUnder24Hrs],tblDaily[EntryDate],DATE(2026,2,13),tblDaily[WardCode],"BF")),"")</f>
        <v/>
      </c>
      <c r="F58" s="12">
        <f>IFERROR(IF(SUMIFS(tblDaily[TransfersIn],tblDaily[EntryDate],DATE(2026,2,13),tblDaily[WardCode],"BF")=0,"",SUMIFS(tblDaily[TransfersIn],tblDaily[EntryDate],DATE(2026,2,13),tblDaily[WardCode],"BF")),"")</f>
        <v/>
      </c>
      <c r="G58" s="12">
        <f>IFERROR(IF(SUMIFS(tblDaily[TransfersOut],tblDaily[EntryDate],DATE(2026,2,13),tblDaily[WardCode],"BF")=0,"",SUMIFS(tblDaily[TransfersOut],tblDaily[EntryDate],DATE(2026,2,13),tblDaily[WardCode],"BF")),"")</f>
        <v/>
      </c>
      <c r="H58" s="12">
        <f>IFERROR(IF(SUMIFS(tblDaily[Remaining],tblDaily[EntryDate],DATE(2026,2,13),tblDaily[WardCode],"BF")=0,"",SUMIFS(tblDaily[Remaining],tblDaily[EntryDate],DATE(2026,2,13),tblDaily[WardCode],"BF")),"")</f>
        <v/>
      </c>
    </row>
    <row r="59">
      <c r="A59" s="12" t="n">
        <v>14</v>
      </c>
      <c r="B59" s="12">
        <f>IFERROR(IF(SUMIFS(tblDaily[Admissions],tblDaily[EntryDate],DATE(2026,2,14),tblDaily[WardCode],"BF")=0,"",SUMIFS(tblDaily[Admissions],tblDaily[EntryDate],DATE(2026,2,14),tblDaily[WardCode],"BF")),"")</f>
        <v/>
      </c>
      <c r="C59" s="12">
        <f>IFERROR(IF(SUMIFS(tblDaily[Discharges],tblDaily[EntryDate],DATE(2026,2,14),tblDaily[WardCode],"BF")=0,"",SUMIFS(tblDaily[Discharges],tblDaily[EntryDate],DATE(2026,2,14),tblDaily[WardCode],"BF")),"")</f>
        <v/>
      </c>
      <c r="D59" s="12">
        <f>IFERROR(IF(SUMIFS(tblDaily[Deaths],tblDaily[EntryDate],DATE(2026,2,14),tblDaily[WardCode],"BF")=0,"",SUMIFS(tblDaily[Deaths],tblDaily[EntryDate],DATE(2026,2,14),tblDaily[WardCode],"BF")),"")</f>
        <v/>
      </c>
      <c r="E59" s="12">
        <f>IFERROR(IF(SUMIFS(tblDaily[DeathsUnder24Hrs],tblDaily[EntryDate],DATE(2026,2,14),tblDaily[WardCode],"BF")=0,"",SUMIFS(tblDaily[DeathsUnder24Hrs],tblDaily[EntryDate],DATE(2026,2,14),tblDaily[WardCode],"BF")),"")</f>
        <v/>
      </c>
      <c r="F59" s="12">
        <f>IFERROR(IF(SUMIFS(tblDaily[TransfersIn],tblDaily[EntryDate],DATE(2026,2,14),tblDaily[WardCode],"BF")=0,"",SUMIFS(tblDaily[TransfersIn],tblDaily[EntryDate],DATE(2026,2,14),tblDaily[WardCode],"BF")),"")</f>
        <v/>
      </c>
      <c r="G59" s="12">
        <f>IFERROR(IF(SUMIFS(tblDaily[TransfersOut],tblDaily[EntryDate],DATE(2026,2,14),tblDaily[WardCode],"BF")=0,"",SUMIFS(tblDaily[TransfersOut],tblDaily[EntryDate],DATE(2026,2,14),tblDaily[WardCode],"BF")),"")</f>
        <v/>
      </c>
      <c r="H59" s="12">
        <f>IFERROR(IF(SUMIFS(tblDaily[Remaining],tblDaily[EntryDate],DATE(2026,2,14),tblDaily[WardCode],"BF")=0,"",SUMIFS(tblDaily[Remaining],tblDaily[EntryDate],DATE(2026,2,14),tblDaily[WardCode],"BF")),"")</f>
        <v/>
      </c>
    </row>
    <row r="60">
      <c r="A60" s="12" t="n">
        <v>15</v>
      </c>
      <c r="B60" s="12">
        <f>IFERROR(IF(SUMIFS(tblDaily[Admissions],tblDaily[EntryDate],DATE(2026,2,15),tblDaily[WardCode],"BF")=0,"",SUMIFS(tblDaily[Admissions],tblDaily[EntryDate],DATE(2026,2,15),tblDaily[WardCode],"BF")),"")</f>
        <v/>
      </c>
      <c r="C60" s="12">
        <f>IFERROR(IF(SUMIFS(tblDaily[Discharges],tblDaily[EntryDate],DATE(2026,2,15),tblDaily[WardCode],"BF")=0,"",SUMIFS(tblDaily[Discharges],tblDaily[EntryDate],DATE(2026,2,15),tblDaily[WardCode],"BF")),"")</f>
        <v/>
      </c>
      <c r="D60" s="12">
        <f>IFERROR(IF(SUMIFS(tblDaily[Deaths],tblDaily[EntryDate],DATE(2026,2,15),tblDaily[WardCode],"BF")=0,"",SUMIFS(tblDaily[Deaths],tblDaily[EntryDate],DATE(2026,2,15),tblDaily[WardCode],"BF")),"")</f>
        <v/>
      </c>
      <c r="E60" s="12">
        <f>IFERROR(IF(SUMIFS(tblDaily[DeathsUnder24Hrs],tblDaily[EntryDate],DATE(2026,2,15),tblDaily[WardCode],"BF")=0,"",SUMIFS(tblDaily[DeathsUnder24Hrs],tblDaily[EntryDate],DATE(2026,2,15),tblDaily[WardCode],"BF")),"")</f>
        <v/>
      </c>
      <c r="F60" s="12">
        <f>IFERROR(IF(SUMIFS(tblDaily[TransfersIn],tblDaily[EntryDate],DATE(2026,2,15),tblDaily[WardCode],"BF")=0,"",SUMIFS(tblDaily[TransfersIn],tblDaily[EntryDate],DATE(2026,2,15),tblDaily[WardCode],"BF")),"")</f>
        <v/>
      </c>
      <c r="G60" s="12">
        <f>IFERROR(IF(SUMIFS(tblDaily[TransfersOut],tblDaily[EntryDate],DATE(2026,2,15),tblDaily[WardCode],"BF")=0,"",SUMIFS(tblDaily[TransfersOut],tblDaily[EntryDate],DATE(2026,2,15),tblDaily[WardCode],"BF")),"")</f>
        <v/>
      </c>
      <c r="H60" s="12">
        <f>IFERROR(IF(SUMIFS(tblDaily[Remaining],tblDaily[EntryDate],DATE(2026,2,15),tblDaily[WardCode],"BF")=0,"",SUMIFS(tblDaily[Remaining],tblDaily[EntryDate],DATE(2026,2,15),tblDaily[WardCode],"BF")),"")</f>
        <v/>
      </c>
    </row>
    <row r="61">
      <c r="A61" s="12" t="n">
        <v>16</v>
      </c>
      <c r="B61" s="12">
        <f>IFERROR(IF(SUMIFS(tblDaily[Admissions],tblDaily[EntryDate],DATE(2026,2,16),tblDaily[WardCode],"BF")=0,"",SUMIFS(tblDaily[Admissions],tblDaily[EntryDate],DATE(2026,2,16),tblDaily[WardCode],"BF")),"")</f>
        <v/>
      </c>
      <c r="C61" s="12">
        <f>IFERROR(IF(SUMIFS(tblDaily[Discharges],tblDaily[EntryDate],DATE(2026,2,16),tblDaily[WardCode],"BF")=0,"",SUMIFS(tblDaily[Discharges],tblDaily[EntryDate],DATE(2026,2,16),tblDaily[WardCode],"BF")),"")</f>
        <v/>
      </c>
      <c r="D61" s="12">
        <f>IFERROR(IF(SUMIFS(tblDaily[Deaths],tblDaily[EntryDate],DATE(2026,2,16),tblDaily[WardCode],"BF")=0,"",SUMIFS(tblDaily[Deaths],tblDaily[EntryDate],DATE(2026,2,16),tblDaily[WardCode],"BF")),"")</f>
        <v/>
      </c>
      <c r="E61" s="12">
        <f>IFERROR(IF(SUMIFS(tblDaily[DeathsUnder24Hrs],tblDaily[EntryDate],DATE(2026,2,16),tblDaily[WardCode],"BF")=0,"",SUMIFS(tblDaily[DeathsUnder24Hrs],tblDaily[EntryDate],DATE(2026,2,16),tblDaily[WardCode],"BF")),"")</f>
        <v/>
      </c>
      <c r="F61" s="12">
        <f>IFERROR(IF(SUMIFS(tblDaily[TransfersIn],tblDaily[EntryDate],DATE(2026,2,16),tblDaily[WardCode],"BF")=0,"",SUMIFS(tblDaily[TransfersIn],tblDaily[EntryDate],DATE(2026,2,16),tblDaily[WardCode],"BF")),"")</f>
        <v/>
      </c>
      <c r="G61" s="12">
        <f>IFERROR(IF(SUMIFS(tblDaily[TransfersOut],tblDaily[EntryDate],DATE(2026,2,16),tblDaily[WardCode],"BF")=0,"",SUMIFS(tblDaily[TransfersOut],tblDaily[EntryDate],DATE(2026,2,16),tblDaily[WardCode],"BF")),"")</f>
        <v/>
      </c>
      <c r="H61" s="12">
        <f>IFERROR(IF(SUMIFS(tblDaily[Remaining],tblDaily[EntryDate],DATE(2026,2,16),tblDaily[WardCode],"BF")=0,"",SUMIFS(tblDaily[Remaining],tblDaily[EntryDate],DATE(2026,2,16),tblDaily[WardCode],"BF")),"")</f>
        <v/>
      </c>
    </row>
    <row r="62">
      <c r="A62" s="12" t="n">
        <v>17</v>
      </c>
      <c r="B62" s="12">
        <f>IFERROR(IF(SUMIFS(tblDaily[Admissions],tblDaily[EntryDate],DATE(2026,2,17),tblDaily[WardCode],"BF")=0,"",SUMIFS(tblDaily[Admissions],tblDaily[EntryDate],DATE(2026,2,17),tblDaily[WardCode],"BF")),"")</f>
        <v/>
      </c>
      <c r="C62" s="12">
        <f>IFERROR(IF(SUMIFS(tblDaily[Discharges],tblDaily[EntryDate],DATE(2026,2,17),tblDaily[WardCode],"BF")=0,"",SUMIFS(tblDaily[Discharges],tblDaily[EntryDate],DATE(2026,2,17),tblDaily[WardCode],"BF")),"")</f>
        <v/>
      </c>
      <c r="D62" s="12">
        <f>IFERROR(IF(SUMIFS(tblDaily[Deaths],tblDaily[EntryDate],DATE(2026,2,17),tblDaily[WardCode],"BF")=0,"",SUMIFS(tblDaily[Deaths],tblDaily[EntryDate],DATE(2026,2,17),tblDaily[WardCode],"BF")),"")</f>
        <v/>
      </c>
      <c r="E62" s="12">
        <f>IFERROR(IF(SUMIFS(tblDaily[DeathsUnder24Hrs],tblDaily[EntryDate],DATE(2026,2,17),tblDaily[WardCode],"BF")=0,"",SUMIFS(tblDaily[DeathsUnder24Hrs],tblDaily[EntryDate],DATE(2026,2,17),tblDaily[WardCode],"BF")),"")</f>
        <v/>
      </c>
      <c r="F62" s="12">
        <f>IFERROR(IF(SUMIFS(tblDaily[TransfersIn],tblDaily[EntryDate],DATE(2026,2,17),tblDaily[WardCode],"BF")=0,"",SUMIFS(tblDaily[TransfersIn],tblDaily[EntryDate],DATE(2026,2,17),tblDaily[WardCode],"BF")),"")</f>
        <v/>
      </c>
      <c r="G62" s="12">
        <f>IFERROR(IF(SUMIFS(tblDaily[TransfersOut],tblDaily[EntryDate],DATE(2026,2,17),tblDaily[WardCode],"BF")=0,"",SUMIFS(tblDaily[TransfersOut],tblDaily[EntryDate],DATE(2026,2,17),tblDaily[WardCode],"BF")),"")</f>
        <v/>
      </c>
      <c r="H62" s="12">
        <f>IFERROR(IF(SUMIFS(tblDaily[Remaining],tblDaily[EntryDate],DATE(2026,2,17),tblDaily[WardCode],"BF")=0,"",SUMIFS(tblDaily[Remaining],tblDaily[EntryDate],DATE(2026,2,17),tblDaily[WardCode],"BF")),"")</f>
        <v/>
      </c>
    </row>
    <row r="63">
      <c r="A63" s="12" t="n">
        <v>18</v>
      </c>
      <c r="B63" s="12">
        <f>IFERROR(IF(SUMIFS(tblDaily[Admissions],tblDaily[EntryDate],DATE(2026,2,18),tblDaily[WardCode],"BF")=0,"",SUMIFS(tblDaily[Admissions],tblDaily[EntryDate],DATE(2026,2,18),tblDaily[WardCode],"BF")),"")</f>
        <v/>
      </c>
      <c r="C63" s="12">
        <f>IFERROR(IF(SUMIFS(tblDaily[Discharges],tblDaily[EntryDate],DATE(2026,2,18),tblDaily[WardCode],"BF")=0,"",SUMIFS(tblDaily[Discharges],tblDaily[EntryDate],DATE(2026,2,18),tblDaily[WardCode],"BF")),"")</f>
        <v/>
      </c>
      <c r="D63" s="12">
        <f>IFERROR(IF(SUMIFS(tblDaily[Deaths],tblDaily[EntryDate],DATE(2026,2,18),tblDaily[WardCode],"BF")=0,"",SUMIFS(tblDaily[Deaths],tblDaily[EntryDate],DATE(2026,2,18),tblDaily[WardCode],"BF")),"")</f>
        <v/>
      </c>
      <c r="E63" s="12">
        <f>IFERROR(IF(SUMIFS(tblDaily[DeathsUnder24Hrs],tblDaily[EntryDate],DATE(2026,2,18),tblDaily[WardCode],"BF")=0,"",SUMIFS(tblDaily[DeathsUnder24Hrs],tblDaily[EntryDate],DATE(2026,2,18),tblDaily[WardCode],"BF")),"")</f>
        <v/>
      </c>
      <c r="F63" s="12">
        <f>IFERROR(IF(SUMIFS(tblDaily[TransfersIn],tblDaily[EntryDate],DATE(2026,2,18),tblDaily[WardCode],"BF")=0,"",SUMIFS(tblDaily[TransfersIn],tblDaily[EntryDate],DATE(2026,2,18),tblDaily[WardCode],"BF")),"")</f>
        <v/>
      </c>
      <c r="G63" s="12">
        <f>IFERROR(IF(SUMIFS(tblDaily[TransfersOut],tblDaily[EntryDate],DATE(2026,2,18),tblDaily[WardCode],"BF")=0,"",SUMIFS(tblDaily[TransfersOut],tblDaily[EntryDate],DATE(2026,2,18),tblDaily[WardCode],"BF")),"")</f>
        <v/>
      </c>
      <c r="H63" s="12">
        <f>IFERROR(IF(SUMIFS(tblDaily[Remaining],tblDaily[EntryDate],DATE(2026,2,18),tblDaily[WardCode],"BF")=0,"",SUMIFS(tblDaily[Remaining],tblDaily[EntryDate],DATE(2026,2,18),tblDaily[WardCode],"BF")),"")</f>
        <v/>
      </c>
    </row>
    <row r="64">
      <c r="A64" s="12" t="n">
        <v>19</v>
      </c>
      <c r="B64" s="12">
        <f>IFERROR(IF(SUMIFS(tblDaily[Admissions],tblDaily[EntryDate],DATE(2026,2,19),tblDaily[WardCode],"BF")=0,"",SUMIFS(tblDaily[Admissions],tblDaily[EntryDate],DATE(2026,2,19),tblDaily[WardCode],"BF")),"")</f>
        <v/>
      </c>
      <c r="C64" s="12">
        <f>IFERROR(IF(SUMIFS(tblDaily[Discharges],tblDaily[EntryDate],DATE(2026,2,19),tblDaily[WardCode],"BF")=0,"",SUMIFS(tblDaily[Discharges],tblDaily[EntryDate],DATE(2026,2,19),tblDaily[WardCode],"BF")),"")</f>
        <v/>
      </c>
      <c r="D64" s="12">
        <f>IFERROR(IF(SUMIFS(tblDaily[Deaths],tblDaily[EntryDate],DATE(2026,2,19),tblDaily[WardCode],"BF")=0,"",SUMIFS(tblDaily[Deaths],tblDaily[EntryDate],DATE(2026,2,19),tblDaily[WardCode],"BF")),"")</f>
        <v/>
      </c>
      <c r="E64" s="12">
        <f>IFERROR(IF(SUMIFS(tblDaily[DeathsUnder24Hrs],tblDaily[EntryDate],DATE(2026,2,19),tblDaily[WardCode],"BF")=0,"",SUMIFS(tblDaily[DeathsUnder24Hrs],tblDaily[EntryDate],DATE(2026,2,19),tblDaily[WardCode],"BF")),"")</f>
        <v/>
      </c>
      <c r="F64" s="12">
        <f>IFERROR(IF(SUMIFS(tblDaily[TransfersIn],tblDaily[EntryDate],DATE(2026,2,19),tblDaily[WardCode],"BF")=0,"",SUMIFS(tblDaily[TransfersIn],tblDaily[EntryDate],DATE(2026,2,19),tblDaily[WardCode],"BF")),"")</f>
        <v/>
      </c>
      <c r="G64" s="12">
        <f>IFERROR(IF(SUMIFS(tblDaily[TransfersOut],tblDaily[EntryDate],DATE(2026,2,19),tblDaily[WardCode],"BF")=0,"",SUMIFS(tblDaily[TransfersOut],tblDaily[EntryDate],DATE(2026,2,19),tblDaily[WardCode],"BF")),"")</f>
        <v/>
      </c>
      <c r="H64" s="12">
        <f>IFERROR(IF(SUMIFS(tblDaily[Remaining],tblDaily[EntryDate],DATE(2026,2,19),tblDaily[WardCode],"BF")=0,"",SUMIFS(tblDaily[Remaining],tblDaily[EntryDate],DATE(2026,2,19),tblDaily[WardCode],"BF")),"")</f>
        <v/>
      </c>
    </row>
    <row r="65">
      <c r="A65" s="12" t="n">
        <v>20</v>
      </c>
      <c r="B65" s="12">
        <f>IFERROR(IF(SUMIFS(tblDaily[Admissions],tblDaily[EntryDate],DATE(2026,2,20),tblDaily[WardCode],"BF")=0,"",SUMIFS(tblDaily[Admissions],tblDaily[EntryDate],DATE(2026,2,20),tblDaily[WardCode],"BF")),"")</f>
        <v/>
      </c>
      <c r="C65" s="12">
        <f>IFERROR(IF(SUMIFS(tblDaily[Discharges],tblDaily[EntryDate],DATE(2026,2,20),tblDaily[WardCode],"BF")=0,"",SUMIFS(tblDaily[Discharges],tblDaily[EntryDate],DATE(2026,2,20),tblDaily[WardCode],"BF")),"")</f>
        <v/>
      </c>
      <c r="D65" s="12">
        <f>IFERROR(IF(SUMIFS(tblDaily[Deaths],tblDaily[EntryDate],DATE(2026,2,20),tblDaily[WardCode],"BF")=0,"",SUMIFS(tblDaily[Deaths],tblDaily[EntryDate],DATE(2026,2,20),tblDaily[WardCode],"BF")),"")</f>
        <v/>
      </c>
      <c r="E65" s="12">
        <f>IFERROR(IF(SUMIFS(tblDaily[DeathsUnder24Hrs],tblDaily[EntryDate],DATE(2026,2,20),tblDaily[WardCode],"BF")=0,"",SUMIFS(tblDaily[DeathsUnder24Hrs],tblDaily[EntryDate],DATE(2026,2,20),tblDaily[WardCode],"BF")),"")</f>
        <v/>
      </c>
      <c r="F65" s="12">
        <f>IFERROR(IF(SUMIFS(tblDaily[TransfersIn],tblDaily[EntryDate],DATE(2026,2,20),tblDaily[WardCode],"BF")=0,"",SUMIFS(tblDaily[TransfersIn],tblDaily[EntryDate],DATE(2026,2,20),tblDaily[WardCode],"BF")),"")</f>
        <v/>
      </c>
      <c r="G65" s="12">
        <f>IFERROR(IF(SUMIFS(tblDaily[TransfersOut],tblDaily[EntryDate],DATE(2026,2,20),tblDaily[WardCode],"BF")=0,"",SUMIFS(tblDaily[TransfersOut],tblDaily[EntryDate],DATE(2026,2,20),tblDaily[WardCode],"BF")),"")</f>
        <v/>
      </c>
      <c r="H65" s="12">
        <f>IFERROR(IF(SUMIFS(tblDaily[Remaining],tblDaily[EntryDate],DATE(2026,2,20),tblDaily[WardCode],"BF")=0,"",SUMIFS(tblDaily[Remaining],tblDaily[EntryDate],DATE(2026,2,20),tblDaily[WardCode],"BF")),"")</f>
        <v/>
      </c>
    </row>
    <row r="66">
      <c r="A66" s="12" t="n">
        <v>21</v>
      </c>
      <c r="B66" s="12">
        <f>IFERROR(IF(SUMIFS(tblDaily[Admissions],tblDaily[EntryDate],DATE(2026,2,21),tblDaily[WardCode],"BF")=0,"",SUMIFS(tblDaily[Admissions],tblDaily[EntryDate],DATE(2026,2,21),tblDaily[WardCode],"BF")),"")</f>
        <v/>
      </c>
      <c r="C66" s="12">
        <f>IFERROR(IF(SUMIFS(tblDaily[Discharges],tblDaily[EntryDate],DATE(2026,2,21),tblDaily[WardCode],"BF")=0,"",SUMIFS(tblDaily[Discharges],tblDaily[EntryDate],DATE(2026,2,21),tblDaily[WardCode],"BF")),"")</f>
        <v/>
      </c>
      <c r="D66" s="12">
        <f>IFERROR(IF(SUMIFS(tblDaily[Deaths],tblDaily[EntryDate],DATE(2026,2,21),tblDaily[WardCode],"BF")=0,"",SUMIFS(tblDaily[Deaths],tblDaily[EntryDate],DATE(2026,2,21),tblDaily[WardCode],"BF")),"")</f>
        <v/>
      </c>
      <c r="E66" s="12">
        <f>IFERROR(IF(SUMIFS(tblDaily[DeathsUnder24Hrs],tblDaily[EntryDate],DATE(2026,2,21),tblDaily[WardCode],"BF")=0,"",SUMIFS(tblDaily[DeathsUnder24Hrs],tblDaily[EntryDate],DATE(2026,2,21),tblDaily[WardCode],"BF")),"")</f>
        <v/>
      </c>
      <c r="F66" s="12">
        <f>IFERROR(IF(SUMIFS(tblDaily[TransfersIn],tblDaily[EntryDate],DATE(2026,2,21),tblDaily[WardCode],"BF")=0,"",SUMIFS(tblDaily[TransfersIn],tblDaily[EntryDate],DATE(2026,2,21),tblDaily[WardCode],"BF")),"")</f>
        <v/>
      </c>
      <c r="G66" s="12">
        <f>IFERROR(IF(SUMIFS(tblDaily[TransfersOut],tblDaily[EntryDate],DATE(2026,2,21),tblDaily[WardCode],"BF")=0,"",SUMIFS(tblDaily[TransfersOut],tblDaily[EntryDate],DATE(2026,2,21),tblDaily[WardCode],"BF")),"")</f>
        <v/>
      </c>
      <c r="H66" s="12">
        <f>IFERROR(IF(SUMIFS(tblDaily[Remaining],tblDaily[EntryDate],DATE(2026,2,21),tblDaily[WardCode],"BF")=0,"",SUMIFS(tblDaily[Remaining],tblDaily[EntryDate],DATE(2026,2,21),tblDaily[WardCode],"BF")),"")</f>
        <v/>
      </c>
    </row>
    <row r="67">
      <c r="A67" s="12" t="n">
        <v>22</v>
      </c>
      <c r="B67" s="12">
        <f>IFERROR(IF(SUMIFS(tblDaily[Admissions],tblDaily[EntryDate],DATE(2026,2,22),tblDaily[WardCode],"BF")=0,"",SUMIFS(tblDaily[Admissions],tblDaily[EntryDate],DATE(2026,2,22),tblDaily[WardCode],"BF")),"")</f>
        <v/>
      </c>
      <c r="C67" s="12">
        <f>IFERROR(IF(SUMIFS(tblDaily[Discharges],tblDaily[EntryDate],DATE(2026,2,22),tblDaily[WardCode],"BF")=0,"",SUMIFS(tblDaily[Discharges],tblDaily[EntryDate],DATE(2026,2,22),tblDaily[WardCode],"BF")),"")</f>
        <v/>
      </c>
      <c r="D67" s="12">
        <f>IFERROR(IF(SUMIFS(tblDaily[Deaths],tblDaily[EntryDate],DATE(2026,2,22),tblDaily[WardCode],"BF")=0,"",SUMIFS(tblDaily[Deaths],tblDaily[EntryDate],DATE(2026,2,22),tblDaily[WardCode],"BF")),"")</f>
        <v/>
      </c>
      <c r="E67" s="12">
        <f>IFERROR(IF(SUMIFS(tblDaily[DeathsUnder24Hrs],tblDaily[EntryDate],DATE(2026,2,22),tblDaily[WardCode],"BF")=0,"",SUMIFS(tblDaily[DeathsUnder24Hrs],tblDaily[EntryDate],DATE(2026,2,22),tblDaily[WardCode],"BF")),"")</f>
        <v/>
      </c>
      <c r="F67" s="12">
        <f>IFERROR(IF(SUMIFS(tblDaily[TransfersIn],tblDaily[EntryDate],DATE(2026,2,22),tblDaily[WardCode],"BF")=0,"",SUMIFS(tblDaily[TransfersIn],tblDaily[EntryDate],DATE(2026,2,22),tblDaily[WardCode],"BF")),"")</f>
        <v/>
      </c>
      <c r="G67" s="12">
        <f>IFERROR(IF(SUMIFS(tblDaily[TransfersOut],tblDaily[EntryDate],DATE(2026,2,22),tblDaily[WardCode],"BF")=0,"",SUMIFS(tblDaily[TransfersOut],tblDaily[EntryDate],DATE(2026,2,22),tblDaily[WardCode],"BF")),"")</f>
        <v/>
      </c>
      <c r="H67" s="12">
        <f>IFERROR(IF(SUMIFS(tblDaily[Remaining],tblDaily[EntryDate],DATE(2026,2,22),tblDaily[WardCode],"BF")=0,"",SUMIFS(tblDaily[Remaining],tblDaily[EntryDate],DATE(2026,2,22),tblDaily[WardCode],"BF")),"")</f>
        <v/>
      </c>
    </row>
    <row r="68">
      <c r="A68" s="12" t="n">
        <v>23</v>
      </c>
      <c r="B68" s="12">
        <f>IFERROR(IF(SUMIFS(tblDaily[Admissions],tblDaily[EntryDate],DATE(2026,2,23),tblDaily[WardCode],"BF")=0,"",SUMIFS(tblDaily[Admissions],tblDaily[EntryDate],DATE(2026,2,23),tblDaily[WardCode],"BF")),"")</f>
        <v/>
      </c>
      <c r="C68" s="12">
        <f>IFERROR(IF(SUMIFS(tblDaily[Discharges],tblDaily[EntryDate],DATE(2026,2,23),tblDaily[WardCode],"BF")=0,"",SUMIFS(tblDaily[Discharges],tblDaily[EntryDate],DATE(2026,2,23),tblDaily[WardCode],"BF")),"")</f>
        <v/>
      </c>
      <c r="D68" s="12">
        <f>IFERROR(IF(SUMIFS(tblDaily[Deaths],tblDaily[EntryDate],DATE(2026,2,23),tblDaily[WardCode],"BF")=0,"",SUMIFS(tblDaily[Deaths],tblDaily[EntryDate],DATE(2026,2,23),tblDaily[WardCode],"BF")),"")</f>
        <v/>
      </c>
      <c r="E68" s="12">
        <f>IFERROR(IF(SUMIFS(tblDaily[DeathsUnder24Hrs],tblDaily[EntryDate],DATE(2026,2,23),tblDaily[WardCode],"BF")=0,"",SUMIFS(tblDaily[DeathsUnder24Hrs],tblDaily[EntryDate],DATE(2026,2,23),tblDaily[WardCode],"BF")),"")</f>
        <v/>
      </c>
      <c r="F68" s="12">
        <f>IFERROR(IF(SUMIFS(tblDaily[TransfersIn],tblDaily[EntryDate],DATE(2026,2,23),tblDaily[WardCode],"BF")=0,"",SUMIFS(tblDaily[TransfersIn],tblDaily[EntryDate],DATE(2026,2,23),tblDaily[WardCode],"BF")),"")</f>
        <v/>
      </c>
      <c r="G68" s="12">
        <f>IFERROR(IF(SUMIFS(tblDaily[TransfersOut],tblDaily[EntryDate],DATE(2026,2,23),tblDaily[WardCode],"BF")=0,"",SUMIFS(tblDaily[TransfersOut],tblDaily[EntryDate],DATE(2026,2,23),tblDaily[WardCode],"BF")),"")</f>
        <v/>
      </c>
      <c r="H68" s="12">
        <f>IFERROR(IF(SUMIFS(tblDaily[Remaining],tblDaily[EntryDate],DATE(2026,2,23),tblDaily[WardCode],"BF")=0,"",SUMIFS(tblDaily[Remaining],tblDaily[EntryDate],DATE(2026,2,23),tblDaily[WardCode],"BF")),"")</f>
        <v/>
      </c>
    </row>
    <row r="69">
      <c r="A69" s="12" t="n">
        <v>24</v>
      </c>
      <c r="B69" s="12">
        <f>IFERROR(IF(SUMIFS(tblDaily[Admissions],tblDaily[EntryDate],DATE(2026,2,24),tblDaily[WardCode],"BF")=0,"",SUMIFS(tblDaily[Admissions],tblDaily[EntryDate],DATE(2026,2,24),tblDaily[WardCode],"BF")),"")</f>
        <v/>
      </c>
      <c r="C69" s="12">
        <f>IFERROR(IF(SUMIFS(tblDaily[Discharges],tblDaily[EntryDate],DATE(2026,2,24),tblDaily[WardCode],"BF")=0,"",SUMIFS(tblDaily[Discharges],tblDaily[EntryDate],DATE(2026,2,24),tblDaily[WardCode],"BF")),"")</f>
        <v/>
      </c>
      <c r="D69" s="12">
        <f>IFERROR(IF(SUMIFS(tblDaily[Deaths],tblDaily[EntryDate],DATE(2026,2,24),tblDaily[WardCode],"BF")=0,"",SUMIFS(tblDaily[Deaths],tblDaily[EntryDate],DATE(2026,2,24),tblDaily[WardCode],"BF")),"")</f>
        <v/>
      </c>
      <c r="E69" s="12">
        <f>IFERROR(IF(SUMIFS(tblDaily[DeathsUnder24Hrs],tblDaily[EntryDate],DATE(2026,2,24),tblDaily[WardCode],"BF")=0,"",SUMIFS(tblDaily[DeathsUnder24Hrs],tblDaily[EntryDate],DATE(2026,2,24),tblDaily[WardCode],"BF")),"")</f>
        <v/>
      </c>
      <c r="F69" s="12">
        <f>IFERROR(IF(SUMIFS(tblDaily[TransfersIn],tblDaily[EntryDate],DATE(2026,2,24),tblDaily[WardCode],"BF")=0,"",SUMIFS(tblDaily[TransfersIn],tblDaily[EntryDate],DATE(2026,2,24),tblDaily[WardCode],"BF")),"")</f>
        <v/>
      </c>
      <c r="G69" s="12">
        <f>IFERROR(IF(SUMIFS(tblDaily[TransfersOut],tblDaily[EntryDate],DATE(2026,2,24),tblDaily[WardCode],"BF")=0,"",SUMIFS(tblDaily[TransfersOut],tblDaily[EntryDate],DATE(2026,2,24),tblDaily[WardCode],"BF")),"")</f>
        <v/>
      </c>
      <c r="H69" s="12">
        <f>IFERROR(IF(SUMIFS(tblDaily[Remaining],tblDaily[EntryDate],DATE(2026,2,24),tblDaily[WardCode],"BF")=0,"",SUMIFS(tblDaily[Remaining],tblDaily[EntryDate],DATE(2026,2,24),tblDaily[WardCode],"BF")),"")</f>
        <v/>
      </c>
    </row>
    <row r="70">
      <c r="A70" s="12" t="n">
        <v>25</v>
      </c>
      <c r="B70" s="12">
        <f>IFERROR(IF(SUMIFS(tblDaily[Admissions],tblDaily[EntryDate],DATE(2026,2,25),tblDaily[WardCode],"BF")=0,"",SUMIFS(tblDaily[Admissions],tblDaily[EntryDate],DATE(2026,2,25),tblDaily[WardCode],"BF")),"")</f>
        <v/>
      </c>
      <c r="C70" s="12">
        <f>IFERROR(IF(SUMIFS(tblDaily[Discharges],tblDaily[EntryDate],DATE(2026,2,25),tblDaily[WardCode],"BF")=0,"",SUMIFS(tblDaily[Discharges],tblDaily[EntryDate],DATE(2026,2,25),tblDaily[WardCode],"BF")),"")</f>
        <v/>
      </c>
      <c r="D70" s="12">
        <f>IFERROR(IF(SUMIFS(tblDaily[Deaths],tblDaily[EntryDate],DATE(2026,2,25),tblDaily[WardCode],"BF")=0,"",SUMIFS(tblDaily[Deaths],tblDaily[EntryDate],DATE(2026,2,25),tblDaily[WardCode],"BF")),"")</f>
        <v/>
      </c>
      <c r="E70" s="12">
        <f>IFERROR(IF(SUMIFS(tblDaily[DeathsUnder24Hrs],tblDaily[EntryDate],DATE(2026,2,25),tblDaily[WardCode],"BF")=0,"",SUMIFS(tblDaily[DeathsUnder24Hrs],tblDaily[EntryDate],DATE(2026,2,25),tblDaily[WardCode],"BF")),"")</f>
        <v/>
      </c>
      <c r="F70" s="12">
        <f>IFERROR(IF(SUMIFS(tblDaily[TransfersIn],tblDaily[EntryDate],DATE(2026,2,25),tblDaily[WardCode],"BF")=0,"",SUMIFS(tblDaily[TransfersIn],tblDaily[EntryDate],DATE(2026,2,25),tblDaily[WardCode],"BF")),"")</f>
        <v/>
      </c>
      <c r="G70" s="12">
        <f>IFERROR(IF(SUMIFS(tblDaily[TransfersOut],tblDaily[EntryDate],DATE(2026,2,25),tblDaily[WardCode],"BF")=0,"",SUMIFS(tblDaily[TransfersOut],tblDaily[EntryDate],DATE(2026,2,25),tblDaily[WardCode],"BF")),"")</f>
        <v/>
      </c>
      <c r="H70" s="12">
        <f>IFERROR(IF(SUMIFS(tblDaily[Remaining],tblDaily[EntryDate],DATE(2026,2,25),tblDaily[WardCode],"BF")=0,"",SUMIFS(tblDaily[Remaining],tblDaily[EntryDate],DATE(2026,2,25),tblDaily[WardCode],"BF")),"")</f>
        <v/>
      </c>
    </row>
    <row r="71">
      <c r="A71" s="12" t="n">
        <v>26</v>
      </c>
      <c r="B71" s="12">
        <f>IFERROR(IF(SUMIFS(tblDaily[Admissions],tblDaily[EntryDate],DATE(2026,2,26),tblDaily[WardCode],"BF")=0,"",SUMIFS(tblDaily[Admissions],tblDaily[EntryDate],DATE(2026,2,26),tblDaily[WardCode],"BF")),"")</f>
        <v/>
      </c>
      <c r="C71" s="12">
        <f>IFERROR(IF(SUMIFS(tblDaily[Discharges],tblDaily[EntryDate],DATE(2026,2,26),tblDaily[WardCode],"BF")=0,"",SUMIFS(tblDaily[Discharges],tblDaily[EntryDate],DATE(2026,2,26),tblDaily[WardCode],"BF")),"")</f>
        <v/>
      </c>
      <c r="D71" s="12">
        <f>IFERROR(IF(SUMIFS(tblDaily[Deaths],tblDaily[EntryDate],DATE(2026,2,26),tblDaily[WardCode],"BF")=0,"",SUMIFS(tblDaily[Deaths],tblDaily[EntryDate],DATE(2026,2,26),tblDaily[WardCode],"BF")),"")</f>
        <v/>
      </c>
      <c r="E71" s="12">
        <f>IFERROR(IF(SUMIFS(tblDaily[DeathsUnder24Hrs],tblDaily[EntryDate],DATE(2026,2,26),tblDaily[WardCode],"BF")=0,"",SUMIFS(tblDaily[DeathsUnder24Hrs],tblDaily[EntryDate],DATE(2026,2,26),tblDaily[WardCode],"BF")),"")</f>
        <v/>
      </c>
      <c r="F71" s="12">
        <f>IFERROR(IF(SUMIFS(tblDaily[TransfersIn],tblDaily[EntryDate],DATE(2026,2,26),tblDaily[WardCode],"BF")=0,"",SUMIFS(tblDaily[TransfersIn],tblDaily[EntryDate],DATE(2026,2,26),tblDaily[WardCode],"BF")),"")</f>
        <v/>
      </c>
      <c r="G71" s="12">
        <f>IFERROR(IF(SUMIFS(tblDaily[TransfersOut],tblDaily[EntryDate],DATE(2026,2,26),tblDaily[WardCode],"BF")=0,"",SUMIFS(tblDaily[TransfersOut],tblDaily[EntryDate],DATE(2026,2,26),tblDaily[WardCode],"BF")),"")</f>
        <v/>
      </c>
      <c r="H71" s="12">
        <f>IFERROR(IF(SUMIFS(tblDaily[Remaining],tblDaily[EntryDate],DATE(2026,2,26),tblDaily[WardCode],"BF")=0,"",SUMIFS(tblDaily[Remaining],tblDaily[EntryDate],DATE(2026,2,26),tblDaily[WardCode],"BF")),"")</f>
        <v/>
      </c>
    </row>
    <row r="72">
      <c r="A72" s="12" t="n">
        <v>27</v>
      </c>
      <c r="B72" s="12">
        <f>IFERROR(IF(SUMIFS(tblDaily[Admissions],tblDaily[EntryDate],DATE(2026,2,27),tblDaily[WardCode],"BF")=0,"",SUMIFS(tblDaily[Admissions],tblDaily[EntryDate],DATE(2026,2,27),tblDaily[WardCode],"BF")),"")</f>
        <v/>
      </c>
      <c r="C72" s="12">
        <f>IFERROR(IF(SUMIFS(tblDaily[Discharges],tblDaily[EntryDate],DATE(2026,2,27),tblDaily[WardCode],"BF")=0,"",SUMIFS(tblDaily[Discharges],tblDaily[EntryDate],DATE(2026,2,27),tblDaily[WardCode],"BF")),"")</f>
        <v/>
      </c>
      <c r="D72" s="12">
        <f>IFERROR(IF(SUMIFS(tblDaily[Deaths],tblDaily[EntryDate],DATE(2026,2,27),tblDaily[WardCode],"BF")=0,"",SUMIFS(tblDaily[Deaths],tblDaily[EntryDate],DATE(2026,2,27),tblDaily[WardCode],"BF")),"")</f>
        <v/>
      </c>
      <c r="E72" s="12">
        <f>IFERROR(IF(SUMIFS(tblDaily[DeathsUnder24Hrs],tblDaily[EntryDate],DATE(2026,2,27),tblDaily[WardCode],"BF")=0,"",SUMIFS(tblDaily[DeathsUnder24Hrs],tblDaily[EntryDate],DATE(2026,2,27),tblDaily[WardCode],"BF")),"")</f>
        <v/>
      </c>
      <c r="F72" s="12">
        <f>IFERROR(IF(SUMIFS(tblDaily[TransfersIn],tblDaily[EntryDate],DATE(2026,2,27),tblDaily[WardCode],"BF")=0,"",SUMIFS(tblDaily[TransfersIn],tblDaily[EntryDate],DATE(2026,2,27),tblDaily[WardCode],"BF")),"")</f>
        <v/>
      </c>
      <c r="G72" s="12">
        <f>IFERROR(IF(SUMIFS(tblDaily[TransfersOut],tblDaily[EntryDate],DATE(2026,2,27),tblDaily[WardCode],"BF")=0,"",SUMIFS(tblDaily[TransfersOut],tblDaily[EntryDate],DATE(2026,2,27),tblDaily[WardCode],"BF")),"")</f>
        <v/>
      </c>
      <c r="H72" s="12">
        <f>IFERROR(IF(SUMIFS(tblDaily[Remaining],tblDaily[EntryDate],DATE(2026,2,27),tblDaily[WardCode],"BF")=0,"",SUMIFS(tblDaily[Remaining],tblDaily[EntryDate],DATE(2026,2,27),tblDaily[WardCode],"BF")),"")</f>
        <v/>
      </c>
    </row>
    <row r="73">
      <c r="A73" s="12" t="n">
        <v>28</v>
      </c>
      <c r="B73" s="12">
        <f>IFERROR(IF(SUMIFS(tblDaily[Admissions],tblDaily[EntryDate],DATE(2026,2,28),tblDaily[WardCode],"BF")=0,"",SUMIFS(tblDaily[Admissions],tblDaily[EntryDate],DATE(2026,2,28),tblDaily[WardCode],"BF")),"")</f>
        <v/>
      </c>
      <c r="C73" s="12">
        <f>IFERROR(IF(SUMIFS(tblDaily[Discharges],tblDaily[EntryDate],DATE(2026,2,28),tblDaily[WardCode],"BF")=0,"",SUMIFS(tblDaily[Discharges],tblDaily[EntryDate],DATE(2026,2,28),tblDaily[WardCode],"BF")),"")</f>
        <v/>
      </c>
      <c r="D73" s="12">
        <f>IFERROR(IF(SUMIFS(tblDaily[Deaths],tblDaily[EntryDate],DATE(2026,2,28),tblDaily[WardCode],"BF")=0,"",SUMIFS(tblDaily[Deaths],tblDaily[EntryDate],DATE(2026,2,28),tblDaily[WardCode],"BF")),"")</f>
        <v/>
      </c>
      <c r="E73" s="12">
        <f>IFERROR(IF(SUMIFS(tblDaily[DeathsUnder24Hrs],tblDaily[EntryDate],DATE(2026,2,28),tblDaily[WardCode],"BF")=0,"",SUMIFS(tblDaily[DeathsUnder24Hrs],tblDaily[EntryDate],DATE(2026,2,28),tblDaily[WardCode],"BF")),"")</f>
        <v/>
      </c>
      <c r="F73" s="12">
        <f>IFERROR(IF(SUMIFS(tblDaily[TransfersIn],tblDaily[EntryDate],DATE(2026,2,28),tblDaily[WardCode],"BF")=0,"",SUMIFS(tblDaily[TransfersIn],tblDaily[EntryDate],DATE(2026,2,28),tblDaily[WardCode],"BF")),"")</f>
        <v/>
      </c>
      <c r="G73" s="12">
        <f>IFERROR(IF(SUMIFS(tblDaily[TransfersOut],tblDaily[EntryDate],DATE(2026,2,28),tblDaily[WardCode],"BF")=0,"",SUMIFS(tblDaily[TransfersOut],tblDaily[EntryDate],DATE(2026,2,28),tblDaily[WardCode],"BF")),"")</f>
        <v/>
      </c>
      <c r="H73" s="12">
        <f>IFERROR(IF(SUMIFS(tblDaily[Remaining],tblDaily[EntryDate],DATE(2026,2,28),tblDaily[WardCode],"BF")=0,"",SUMIFS(tblDaily[Remaining],tblDaily[EntryDate],DATE(2026,2,28),tblDaily[WardCode],"BF")),"")</f>
        <v/>
      </c>
    </row>
    <row r="74">
      <c r="A74" s="12" t="n">
        <v>29</v>
      </c>
      <c r="B74" s="18" t="n"/>
      <c r="C74" s="18" t="n"/>
      <c r="D74" s="18" t="n"/>
      <c r="E74" s="18" t="n"/>
      <c r="F74" s="18" t="n"/>
      <c r="G74" s="18" t="n"/>
      <c r="H74" s="18" t="n"/>
    </row>
    <row r="75">
      <c r="A75" s="12" t="n">
        <v>30</v>
      </c>
      <c r="B75" s="18" t="n"/>
      <c r="C75" s="18" t="n"/>
      <c r="D75" s="18" t="n"/>
      <c r="E75" s="18" t="n"/>
      <c r="F75" s="18" t="n"/>
      <c r="G75" s="18" t="n"/>
      <c r="H75" s="18" t="n"/>
    </row>
    <row r="76">
      <c r="A76" s="12" t="n">
        <v>31</v>
      </c>
      <c r="B76" s="18" t="n"/>
      <c r="C76" s="18" t="n"/>
      <c r="D76" s="18" t="n"/>
      <c r="E76" s="18" t="n"/>
      <c r="F76" s="18" t="n"/>
      <c r="G76" s="18" t="n"/>
      <c r="H76" s="18" t="n"/>
    </row>
    <row r="77">
      <c r="A77" s="17" t="inlineStr">
        <is>
          <t>TOTAL</t>
        </is>
      </c>
      <c r="B77" s="17">
        <f>SUMIFS(tblDaily[Admissions],tblDaily[Month],2,tblDaily[WardCode],"BF") - SUMIFS(tblDaily[DeathsUnder24Hrs],tblDaily[Month],2,tblDaily[WardCode],"BF")</f>
        <v/>
      </c>
      <c r="C77" s="17">
        <f>SUMIFS(tblDaily[Discharges],tblDaily[Month],2,tblDaily[WardCode],"BF")</f>
        <v/>
      </c>
      <c r="D77" s="17">
        <f>SUMIFS(tblDaily[Deaths],tblDaily[Month],2,tblDaily[WardCode],"BF")</f>
        <v/>
      </c>
      <c r="E77" s="17">
        <f>SUMIFS(tblDaily[DeathsUnder24Hrs],tblDaily[Month],2,tblDaily[WardCode],"BF")</f>
        <v/>
      </c>
      <c r="F77" s="17">
        <f>SUMIFS(tblDaily[TransfersIn],tblDaily[Month],2,tblDaily[WardCode],"BF")</f>
        <v/>
      </c>
      <c r="G77" s="17">
        <f>SUMIFS(tblDaily[TransfersOut],tblDaily[Month],2,tblDaily[WardCode],"BF")</f>
        <v/>
      </c>
      <c r="H77" s="17">
        <f>SUMIFS(tblDaily[Remaining],tblDaily[Month],2,tblDaily[WardCode],"BF")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BLOCK F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4">
        <f>IFERROR(SUMIFS(tblDaily[Remaining],tblDaily[EntryDate],DATE(2026,2,28),tblDaily[WardCode],"BF"),0)</f>
        <v/>
      </c>
    </row>
    <row r="83">
      <c r="A83" s="4" t="inlineStr">
        <is>
          <t>Bed complement</t>
        </is>
      </c>
      <c r="H83" s="15">
        <f>IFERROR(INDEX(tblWardConfig[BedComplement],MATCH("BF",tblWardConfig[WardCode],0)),0)</f>
        <v/>
      </c>
    </row>
    <row r="84">
      <c r="A84" s="16" t="inlineStr">
        <is>
          <t>Day of
the
Month</t>
        </is>
      </c>
      <c r="B84" s="16" t="inlineStr">
        <is>
          <t>Admissions</t>
        </is>
      </c>
      <c r="C84" s="16" t="inlineStr">
        <is>
          <t>Discharges</t>
        </is>
      </c>
      <c r="D84" s="16" t="inlineStr">
        <is>
          <t>Deaths</t>
        </is>
      </c>
      <c r="E84" s="16" t="inlineStr">
        <is>
          <t>Deaths
&lt;24Hrs</t>
        </is>
      </c>
      <c r="F84" s="16" t="inlineStr">
        <is>
          <t>Transfers-
In</t>
        </is>
      </c>
      <c r="G84" s="16" t="inlineStr">
        <is>
          <t>Transfers-
Out</t>
        </is>
      </c>
      <c r="H84" s="16" t="inlineStr">
        <is>
          <t>No. of Patients
Remaining In
Ward</t>
        </is>
      </c>
    </row>
    <row r="85">
      <c r="A85" s="12" t="n">
        <v>1</v>
      </c>
      <c r="B85" s="12">
        <f>IFERROR(IF(SUMIFS(tblDaily[Admissions],tblDaily[EntryDate],DATE(2026,3,1),tblDaily[WardCode],"BF")=0,"",SUMIFS(tblDaily[Admissions],tblDaily[EntryDate],DATE(2026,3,1),tblDaily[WardCode],"BF")),"")</f>
        <v/>
      </c>
      <c r="C85" s="12">
        <f>IFERROR(IF(SUMIFS(tblDaily[Discharges],tblDaily[EntryDate],DATE(2026,3,1),tblDaily[WardCode],"BF")=0,"",SUMIFS(tblDaily[Discharges],tblDaily[EntryDate],DATE(2026,3,1),tblDaily[WardCode],"BF")),"")</f>
        <v/>
      </c>
      <c r="D85" s="12">
        <f>IFERROR(IF(SUMIFS(tblDaily[Deaths],tblDaily[EntryDate],DATE(2026,3,1),tblDaily[WardCode],"BF")=0,"",SUMIFS(tblDaily[Deaths],tblDaily[EntryDate],DATE(2026,3,1),tblDaily[WardCode],"BF")),"")</f>
        <v/>
      </c>
      <c r="E85" s="12">
        <f>IFERROR(IF(SUMIFS(tblDaily[DeathsUnder24Hrs],tblDaily[EntryDate],DATE(2026,3,1),tblDaily[WardCode],"BF")=0,"",SUMIFS(tblDaily[DeathsUnder24Hrs],tblDaily[EntryDate],DATE(2026,3,1),tblDaily[WardCode],"BF")),"")</f>
        <v/>
      </c>
      <c r="F85" s="12">
        <f>IFERROR(IF(SUMIFS(tblDaily[TransfersIn],tblDaily[EntryDate],DATE(2026,3,1),tblDaily[WardCode],"BF")=0,"",SUMIFS(tblDaily[TransfersIn],tblDaily[EntryDate],DATE(2026,3,1),tblDaily[WardCode],"BF")),"")</f>
        <v/>
      </c>
      <c r="G85" s="12">
        <f>IFERROR(IF(SUMIFS(tblDaily[TransfersOut],tblDaily[EntryDate],DATE(2026,3,1),tblDaily[WardCode],"BF")=0,"",SUMIFS(tblDaily[TransfersOut],tblDaily[EntryDate],DATE(2026,3,1),tblDaily[WardCode],"BF")),"")</f>
        <v/>
      </c>
      <c r="H85" s="12">
        <f>IFERROR(IF(SUMIFS(tblDaily[Remaining],tblDaily[EntryDate],DATE(2026,3,1),tblDaily[WardCode],"BF")=0,"",SUMIFS(tblDaily[Remaining],tblDaily[EntryDate],DATE(2026,3,1),tblDaily[WardCode],"BF")),"")</f>
        <v/>
      </c>
    </row>
    <row r="86">
      <c r="A86" s="12" t="n">
        <v>2</v>
      </c>
      <c r="B86" s="12">
        <f>IFERROR(IF(SUMIFS(tblDaily[Admissions],tblDaily[EntryDate],DATE(2026,3,2),tblDaily[WardCode],"BF")=0,"",SUMIFS(tblDaily[Admissions],tblDaily[EntryDate],DATE(2026,3,2),tblDaily[WardCode],"BF")),"")</f>
        <v/>
      </c>
      <c r="C86" s="12">
        <f>IFERROR(IF(SUMIFS(tblDaily[Discharges],tblDaily[EntryDate],DATE(2026,3,2),tblDaily[WardCode],"BF")=0,"",SUMIFS(tblDaily[Discharges],tblDaily[EntryDate],DATE(2026,3,2),tblDaily[WardCode],"BF")),"")</f>
        <v/>
      </c>
      <c r="D86" s="12">
        <f>IFERROR(IF(SUMIFS(tblDaily[Deaths],tblDaily[EntryDate],DATE(2026,3,2),tblDaily[WardCode],"BF")=0,"",SUMIFS(tblDaily[Deaths],tblDaily[EntryDate],DATE(2026,3,2),tblDaily[WardCode],"BF")),"")</f>
        <v/>
      </c>
      <c r="E86" s="12">
        <f>IFERROR(IF(SUMIFS(tblDaily[DeathsUnder24Hrs],tblDaily[EntryDate],DATE(2026,3,2),tblDaily[WardCode],"BF")=0,"",SUMIFS(tblDaily[DeathsUnder24Hrs],tblDaily[EntryDate],DATE(2026,3,2),tblDaily[WardCode],"BF")),"")</f>
        <v/>
      </c>
      <c r="F86" s="12">
        <f>IFERROR(IF(SUMIFS(tblDaily[TransfersIn],tblDaily[EntryDate],DATE(2026,3,2),tblDaily[WardCode],"BF")=0,"",SUMIFS(tblDaily[TransfersIn],tblDaily[EntryDate],DATE(2026,3,2),tblDaily[WardCode],"BF")),"")</f>
        <v/>
      </c>
      <c r="G86" s="12">
        <f>IFERROR(IF(SUMIFS(tblDaily[TransfersOut],tblDaily[EntryDate],DATE(2026,3,2),tblDaily[WardCode],"BF")=0,"",SUMIFS(tblDaily[TransfersOut],tblDaily[EntryDate],DATE(2026,3,2),tblDaily[WardCode],"BF")),"")</f>
        <v/>
      </c>
      <c r="H86" s="12">
        <f>IFERROR(IF(SUMIFS(tblDaily[Remaining],tblDaily[EntryDate],DATE(2026,3,2),tblDaily[WardCode],"BF")=0,"",SUMIFS(tblDaily[Remaining],tblDaily[EntryDate],DATE(2026,3,2),tblDaily[WardCode],"BF")),"")</f>
        <v/>
      </c>
    </row>
    <row r="87">
      <c r="A87" s="12" t="n">
        <v>3</v>
      </c>
      <c r="B87" s="12">
        <f>IFERROR(IF(SUMIFS(tblDaily[Admissions],tblDaily[EntryDate],DATE(2026,3,3),tblDaily[WardCode],"BF")=0,"",SUMIFS(tblDaily[Admissions],tblDaily[EntryDate],DATE(2026,3,3),tblDaily[WardCode],"BF")),"")</f>
        <v/>
      </c>
      <c r="C87" s="12">
        <f>IFERROR(IF(SUMIFS(tblDaily[Discharges],tblDaily[EntryDate],DATE(2026,3,3),tblDaily[WardCode],"BF")=0,"",SUMIFS(tblDaily[Discharges],tblDaily[EntryDate],DATE(2026,3,3),tblDaily[WardCode],"BF")),"")</f>
        <v/>
      </c>
      <c r="D87" s="12">
        <f>IFERROR(IF(SUMIFS(tblDaily[Deaths],tblDaily[EntryDate],DATE(2026,3,3),tblDaily[WardCode],"BF")=0,"",SUMIFS(tblDaily[Deaths],tblDaily[EntryDate],DATE(2026,3,3),tblDaily[WardCode],"BF")),"")</f>
        <v/>
      </c>
      <c r="E87" s="12">
        <f>IFERROR(IF(SUMIFS(tblDaily[DeathsUnder24Hrs],tblDaily[EntryDate],DATE(2026,3,3),tblDaily[WardCode],"BF")=0,"",SUMIFS(tblDaily[DeathsUnder24Hrs],tblDaily[EntryDate],DATE(2026,3,3),tblDaily[WardCode],"BF")),"")</f>
        <v/>
      </c>
      <c r="F87" s="12">
        <f>IFERROR(IF(SUMIFS(tblDaily[TransfersIn],tblDaily[EntryDate],DATE(2026,3,3),tblDaily[WardCode],"BF")=0,"",SUMIFS(tblDaily[TransfersIn],tblDaily[EntryDate],DATE(2026,3,3),tblDaily[WardCode],"BF")),"")</f>
        <v/>
      </c>
      <c r="G87" s="12">
        <f>IFERROR(IF(SUMIFS(tblDaily[TransfersOut],tblDaily[EntryDate],DATE(2026,3,3),tblDaily[WardCode],"BF")=0,"",SUMIFS(tblDaily[TransfersOut],tblDaily[EntryDate],DATE(2026,3,3),tblDaily[WardCode],"BF")),"")</f>
        <v/>
      </c>
      <c r="H87" s="12">
        <f>IFERROR(IF(SUMIFS(tblDaily[Remaining],tblDaily[EntryDate],DATE(2026,3,3),tblDaily[WardCode],"BF")=0,"",SUMIFS(tblDaily[Remaining],tblDaily[EntryDate],DATE(2026,3,3),tblDaily[WardCode],"BF")),"")</f>
        <v/>
      </c>
    </row>
    <row r="88">
      <c r="A88" s="12" t="n">
        <v>4</v>
      </c>
      <c r="B88" s="12">
        <f>IFERROR(IF(SUMIFS(tblDaily[Admissions],tblDaily[EntryDate],DATE(2026,3,4),tblDaily[WardCode],"BF")=0,"",SUMIFS(tblDaily[Admissions],tblDaily[EntryDate],DATE(2026,3,4),tblDaily[WardCode],"BF")),"")</f>
        <v/>
      </c>
      <c r="C88" s="12">
        <f>IFERROR(IF(SUMIFS(tblDaily[Discharges],tblDaily[EntryDate],DATE(2026,3,4),tblDaily[WardCode],"BF")=0,"",SUMIFS(tblDaily[Discharges],tblDaily[EntryDate],DATE(2026,3,4),tblDaily[WardCode],"BF")),"")</f>
        <v/>
      </c>
      <c r="D88" s="12">
        <f>IFERROR(IF(SUMIFS(tblDaily[Deaths],tblDaily[EntryDate],DATE(2026,3,4),tblDaily[WardCode],"BF")=0,"",SUMIFS(tblDaily[Deaths],tblDaily[EntryDate],DATE(2026,3,4),tblDaily[WardCode],"BF")),"")</f>
        <v/>
      </c>
      <c r="E88" s="12">
        <f>IFERROR(IF(SUMIFS(tblDaily[DeathsUnder24Hrs],tblDaily[EntryDate],DATE(2026,3,4),tblDaily[WardCode],"BF")=0,"",SUMIFS(tblDaily[DeathsUnder24Hrs],tblDaily[EntryDate],DATE(2026,3,4),tblDaily[WardCode],"BF")),"")</f>
        <v/>
      </c>
      <c r="F88" s="12">
        <f>IFERROR(IF(SUMIFS(tblDaily[TransfersIn],tblDaily[EntryDate],DATE(2026,3,4),tblDaily[WardCode],"BF")=0,"",SUMIFS(tblDaily[TransfersIn],tblDaily[EntryDate],DATE(2026,3,4),tblDaily[WardCode],"BF")),"")</f>
        <v/>
      </c>
      <c r="G88" s="12">
        <f>IFERROR(IF(SUMIFS(tblDaily[TransfersOut],tblDaily[EntryDate],DATE(2026,3,4),tblDaily[WardCode],"BF")=0,"",SUMIFS(tblDaily[TransfersOut],tblDaily[EntryDate],DATE(2026,3,4),tblDaily[WardCode],"BF")),"")</f>
        <v/>
      </c>
      <c r="H88" s="12">
        <f>IFERROR(IF(SUMIFS(tblDaily[Remaining],tblDaily[EntryDate],DATE(2026,3,4),tblDaily[WardCode],"BF")=0,"",SUMIFS(tblDaily[Remaining],tblDaily[EntryDate],DATE(2026,3,4),tblDaily[WardCode],"BF")),"")</f>
        <v/>
      </c>
    </row>
    <row r="89">
      <c r="A89" s="12" t="n">
        <v>5</v>
      </c>
      <c r="B89" s="12">
        <f>IFERROR(IF(SUMIFS(tblDaily[Admissions],tblDaily[EntryDate],DATE(2026,3,5),tblDaily[WardCode],"BF")=0,"",SUMIFS(tblDaily[Admissions],tblDaily[EntryDate],DATE(2026,3,5),tblDaily[WardCode],"BF")),"")</f>
        <v/>
      </c>
      <c r="C89" s="12">
        <f>IFERROR(IF(SUMIFS(tblDaily[Discharges],tblDaily[EntryDate],DATE(2026,3,5),tblDaily[WardCode],"BF")=0,"",SUMIFS(tblDaily[Discharges],tblDaily[EntryDate],DATE(2026,3,5),tblDaily[WardCode],"BF")),"")</f>
        <v/>
      </c>
      <c r="D89" s="12">
        <f>IFERROR(IF(SUMIFS(tblDaily[Deaths],tblDaily[EntryDate],DATE(2026,3,5),tblDaily[WardCode],"BF")=0,"",SUMIFS(tblDaily[Deaths],tblDaily[EntryDate],DATE(2026,3,5),tblDaily[WardCode],"BF")),"")</f>
        <v/>
      </c>
      <c r="E89" s="12">
        <f>IFERROR(IF(SUMIFS(tblDaily[DeathsUnder24Hrs],tblDaily[EntryDate],DATE(2026,3,5),tblDaily[WardCode],"BF")=0,"",SUMIFS(tblDaily[DeathsUnder24Hrs],tblDaily[EntryDate],DATE(2026,3,5),tblDaily[WardCode],"BF")),"")</f>
        <v/>
      </c>
      <c r="F89" s="12">
        <f>IFERROR(IF(SUMIFS(tblDaily[TransfersIn],tblDaily[EntryDate],DATE(2026,3,5),tblDaily[WardCode],"BF")=0,"",SUMIFS(tblDaily[TransfersIn],tblDaily[EntryDate],DATE(2026,3,5),tblDaily[WardCode],"BF")),"")</f>
        <v/>
      </c>
      <c r="G89" s="12">
        <f>IFERROR(IF(SUMIFS(tblDaily[TransfersOut],tblDaily[EntryDate],DATE(2026,3,5),tblDaily[WardCode],"BF")=0,"",SUMIFS(tblDaily[TransfersOut],tblDaily[EntryDate],DATE(2026,3,5),tblDaily[WardCode],"BF")),"")</f>
        <v/>
      </c>
      <c r="H89" s="12">
        <f>IFERROR(IF(SUMIFS(tblDaily[Remaining],tblDaily[EntryDate],DATE(2026,3,5),tblDaily[WardCode],"BF")=0,"",SUMIFS(tblDaily[Remaining],tblDaily[EntryDate],DATE(2026,3,5),tblDaily[WardCode],"BF")),"")</f>
        <v/>
      </c>
    </row>
    <row r="90">
      <c r="A90" s="12" t="n">
        <v>6</v>
      </c>
      <c r="B90" s="12">
        <f>IFERROR(IF(SUMIFS(tblDaily[Admissions],tblDaily[EntryDate],DATE(2026,3,6),tblDaily[WardCode],"BF")=0,"",SUMIFS(tblDaily[Admissions],tblDaily[EntryDate],DATE(2026,3,6),tblDaily[WardCode],"BF")),"")</f>
        <v/>
      </c>
      <c r="C90" s="12">
        <f>IFERROR(IF(SUMIFS(tblDaily[Discharges],tblDaily[EntryDate],DATE(2026,3,6),tblDaily[WardCode],"BF")=0,"",SUMIFS(tblDaily[Discharges],tblDaily[EntryDate],DATE(2026,3,6),tblDaily[WardCode],"BF")),"")</f>
        <v/>
      </c>
      <c r="D90" s="12">
        <f>IFERROR(IF(SUMIFS(tblDaily[Deaths],tblDaily[EntryDate],DATE(2026,3,6),tblDaily[WardCode],"BF")=0,"",SUMIFS(tblDaily[Deaths],tblDaily[EntryDate],DATE(2026,3,6),tblDaily[WardCode],"BF")),"")</f>
        <v/>
      </c>
      <c r="E90" s="12">
        <f>IFERROR(IF(SUMIFS(tblDaily[DeathsUnder24Hrs],tblDaily[EntryDate],DATE(2026,3,6),tblDaily[WardCode],"BF")=0,"",SUMIFS(tblDaily[DeathsUnder24Hrs],tblDaily[EntryDate],DATE(2026,3,6),tblDaily[WardCode],"BF")),"")</f>
        <v/>
      </c>
      <c r="F90" s="12">
        <f>IFERROR(IF(SUMIFS(tblDaily[TransfersIn],tblDaily[EntryDate],DATE(2026,3,6),tblDaily[WardCode],"BF")=0,"",SUMIFS(tblDaily[TransfersIn],tblDaily[EntryDate],DATE(2026,3,6),tblDaily[WardCode],"BF")),"")</f>
        <v/>
      </c>
      <c r="G90" s="12">
        <f>IFERROR(IF(SUMIFS(tblDaily[TransfersOut],tblDaily[EntryDate],DATE(2026,3,6),tblDaily[WardCode],"BF")=0,"",SUMIFS(tblDaily[TransfersOut],tblDaily[EntryDate],DATE(2026,3,6),tblDaily[WardCode],"BF")),"")</f>
        <v/>
      </c>
      <c r="H90" s="12">
        <f>IFERROR(IF(SUMIFS(tblDaily[Remaining],tblDaily[EntryDate],DATE(2026,3,6),tblDaily[WardCode],"BF")=0,"",SUMIFS(tblDaily[Remaining],tblDaily[EntryDate],DATE(2026,3,6),tblDaily[WardCode],"BF")),"")</f>
        <v/>
      </c>
    </row>
    <row r="91">
      <c r="A91" s="12" t="n">
        <v>7</v>
      </c>
      <c r="B91" s="12">
        <f>IFERROR(IF(SUMIFS(tblDaily[Admissions],tblDaily[EntryDate],DATE(2026,3,7),tblDaily[WardCode],"BF")=0,"",SUMIFS(tblDaily[Admissions],tblDaily[EntryDate],DATE(2026,3,7),tblDaily[WardCode],"BF")),"")</f>
        <v/>
      </c>
      <c r="C91" s="12">
        <f>IFERROR(IF(SUMIFS(tblDaily[Discharges],tblDaily[EntryDate],DATE(2026,3,7),tblDaily[WardCode],"BF")=0,"",SUMIFS(tblDaily[Discharges],tblDaily[EntryDate],DATE(2026,3,7),tblDaily[WardCode],"BF")),"")</f>
        <v/>
      </c>
      <c r="D91" s="12">
        <f>IFERROR(IF(SUMIFS(tblDaily[Deaths],tblDaily[EntryDate],DATE(2026,3,7),tblDaily[WardCode],"BF")=0,"",SUMIFS(tblDaily[Deaths],tblDaily[EntryDate],DATE(2026,3,7),tblDaily[WardCode],"BF")),"")</f>
        <v/>
      </c>
      <c r="E91" s="12">
        <f>IFERROR(IF(SUMIFS(tblDaily[DeathsUnder24Hrs],tblDaily[EntryDate],DATE(2026,3,7),tblDaily[WardCode],"BF")=0,"",SUMIFS(tblDaily[DeathsUnder24Hrs],tblDaily[EntryDate],DATE(2026,3,7),tblDaily[WardCode],"BF")),"")</f>
        <v/>
      </c>
      <c r="F91" s="12">
        <f>IFERROR(IF(SUMIFS(tblDaily[TransfersIn],tblDaily[EntryDate],DATE(2026,3,7),tblDaily[WardCode],"BF")=0,"",SUMIFS(tblDaily[TransfersIn],tblDaily[EntryDate],DATE(2026,3,7),tblDaily[WardCode],"BF")),"")</f>
        <v/>
      </c>
      <c r="G91" s="12">
        <f>IFERROR(IF(SUMIFS(tblDaily[TransfersOut],tblDaily[EntryDate],DATE(2026,3,7),tblDaily[WardCode],"BF")=0,"",SUMIFS(tblDaily[TransfersOut],tblDaily[EntryDate],DATE(2026,3,7),tblDaily[WardCode],"BF")),"")</f>
        <v/>
      </c>
      <c r="H91" s="12">
        <f>IFERROR(IF(SUMIFS(tblDaily[Remaining],tblDaily[EntryDate],DATE(2026,3,7),tblDaily[WardCode],"BF")=0,"",SUMIFS(tblDaily[Remaining],tblDaily[EntryDate],DATE(2026,3,7),tblDaily[WardCode],"BF")),"")</f>
        <v/>
      </c>
    </row>
    <row r="92">
      <c r="A92" s="12" t="n">
        <v>8</v>
      </c>
      <c r="B92" s="12">
        <f>IFERROR(IF(SUMIFS(tblDaily[Admissions],tblDaily[EntryDate],DATE(2026,3,8),tblDaily[WardCode],"BF")=0,"",SUMIFS(tblDaily[Admissions],tblDaily[EntryDate],DATE(2026,3,8),tblDaily[WardCode],"BF")),"")</f>
        <v/>
      </c>
      <c r="C92" s="12">
        <f>IFERROR(IF(SUMIFS(tblDaily[Discharges],tblDaily[EntryDate],DATE(2026,3,8),tblDaily[WardCode],"BF")=0,"",SUMIFS(tblDaily[Discharges],tblDaily[EntryDate],DATE(2026,3,8),tblDaily[WardCode],"BF")),"")</f>
        <v/>
      </c>
      <c r="D92" s="12">
        <f>IFERROR(IF(SUMIFS(tblDaily[Deaths],tblDaily[EntryDate],DATE(2026,3,8),tblDaily[WardCode],"BF")=0,"",SUMIFS(tblDaily[Deaths],tblDaily[EntryDate],DATE(2026,3,8),tblDaily[WardCode],"BF")),"")</f>
        <v/>
      </c>
      <c r="E92" s="12">
        <f>IFERROR(IF(SUMIFS(tblDaily[DeathsUnder24Hrs],tblDaily[EntryDate],DATE(2026,3,8),tblDaily[WardCode],"BF")=0,"",SUMIFS(tblDaily[DeathsUnder24Hrs],tblDaily[EntryDate],DATE(2026,3,8),tblDaily[WardCode],"BF")),"")</f>
        <v/>
      </c>
      <c r="F92" s="12">
        <f>IFERROR(IF(SUMIFS(tblDaily[TransfersIn],tblDaily[EntryDate],DATE(2026,3,8),tblDaily[WardCode],"BF")=0,"",SUMIFS(tblDaily[TransfersIn],tblDaily[EntryDate],DATE(2026,3,8),tblDaily[WardCode],"BF")),"")</f>
        <v/>
      </c>
      <c r="G92" s="12">
        <f>IFERROR(IF(SUMIFS(tblDaily[TransfersOut],tblDaily[EntryDate],DATE(2026,3,8),tblDaily[WardCode],"BF")=0,"",SUMIFS(tblDaily[TransfersOut],tblDaily[EntryDate],DATE(2026,3,8),tblDaily[WardCode],"BF")),"")</f>
        <v/>
      </c>
      <c r="H92" s="12">
        <f>IFERROR(IF(SUMIFS(tblDaily[Remaining],tblDaily[EntryDate],DATE(2026,3,8),tblDaily[WardCode],"BF")=0,"",SUMIFS(tblDaily[Remaining],tblDaily[EntryDate],DATE(2026,3,8),tblDaily[WardCode],"BF")),"")</f>
        <v/>
      </c>
    </row>
    <row r="93">
      <c r="A93" s="12" t="n">
        <v>9</v>
      </c>
      <c r="B93" s="12">
        <f>IFERROR(IF(SUMIFS(tblDaily[Admissions],tblDaily[EntryDate],DATE(2026,3,9),tblDaily[WardCode],"BF")=0,"",SUMIFS(tblDaily[Admissions],tblDaily[EntryDate],DATE(2026,3,9),tblDaily[WardCode],"BF")),"")</f>
        <v/>
      </c>
      <c r="C93" s="12">
        <f>IFERROR(IF(SUMIFS(tblDaily[Discharges],tblDaily[EntryDate],DATE(2026,3,9),tblDaily[WardCode],"BF")=0,"",SUMIFS(tblDaily[Discharges],tblDaily[EntryDate],DATE(2026,3,9),tblDaily[WardCode],"BF")),"")</f>
        <v/>
      </c>
      <c r="D93" s="12">
        <f>IFERROR(IF(SUMIFS(tblDaily[Deaths],tblDaily[EntryDate],DATE(2026,3,9),tblDaily[WardCode],"BF")=0,"",SUMIFS(tblDaily[Deaths],tblDaily[EntryDate],DATE(2026,3,9),tblDaily[WardCode],"BF")),"")</f>
        <v/>
      </c>
      <c r="E93" s="12">
        <f>IFERROR(IF(SUMIFS(tblDaily[DeathsUnder24Hrs],tblDaily[EntryDate],DATE(2026,3,9),tblDaily[WardCode],"BF")=0,"",SUMIFS(tblDaily[DeathsUnder24Hrs],tblDaily[EntryDate],DATE(2026,3,9),tblDaily[WardCode],"BF")),"")</f>
        <v/>
      </c>
      <c r="F93" s="12">
        <f>IFERROR(IF(SUMIFS(tblDaily[TransfersIn],tblDaily[EntryDate],DATE(2026,3,9),tblDaily[WardCode],"BF")=0,"",SUMIFS(tblDaily[TransfersIn],tblDaily[EntryDate],DATE(2026,3,9),tblDaily[WardCode],"BF")),"")</f>
        <v/>
      </c>
      <c r="G93" s="12">
        <f>IFERROR(IF(SUMIFS(tblDaily[TransfersOut],tblDaily[EntryDate],DATE(2026,3,9),tblDaily[WardCode],"BF")=0,"",SUMIFS(tblDaily[TransfersOut],tblDaily[EntryDate],DATE(2026,3,9),tblDaily[WardCode],"BF")),"")</f>
        <v/>
      </c>
      <c r="H93" s="12">
        <f>IFERROR(IF(SUMIFS(tblDaily[Remaining],tblDaily[EntryDate],DATE(2026,3,9),tblDaily[WardCode],"BF")=0,"",SUMIFS(tblDaily[Remaining],tblDaily[EntryDate],DATE(2026,3,9),tblDaily[WardCode],"BF")),"")</f>
        <v/>
      </c>
    </row>
    <row r="94">
      <c r="A94" s="12" t="n">
        <v>10</v>
      </c>
      <c r="B94" s="12">
        <f>IFERROR(IF(SUMIFS(tblDaily[Admissions],tblDaily[EntryDate],DATE(2026,3,10),tblDaily[WardCode],"BF")=0,"",SUMIFS(tblDaily[Admissions],tblDaily[EntryDate],DATE(2026,3,10),tblDaily[WardCode],"BF")),"")</f>
        <v/>
      </c>
      <c r="C94" s="12">
        <f>IFERROR(IF(SUMIFS(tblDaily[Discharges],tblDaily[EntryDate],DATE(2026,3,10),tblDaily[WardCode],"BF")=0,"",SUMIFS(tblDaily[Discharges],tblDaily[EntryDate],DATE(2026,3,10),tblDaily[WardCode],"BF")),"")</f>
        <v/>
      </c>
      <c r="D94" s="12">
        <f>IFERROR(IF(SUMIFS(tblDaily[Deaths],tblDaily[EntryDate],DATE(2026,3,10),tblDaily[WardCode],"BF")=0,"",SUMIFS(tblDaily[Deaths],tblDaily[EntryDate],DATE(2026,3,10),tblDaily[WardCode],"BF")),"")</f>
        <v/>
      </c>
      <c r="E94" s="12">
        <f>IFERROR(IF(SUMIFS(tblDaily[DeathsUnder24Hrs],tblDaily[EntryDate],DATE(2026,3,10),tblDaily[WardCode],"BF")=0,"",SUMIFS(tblDaily[DeathsUnder24Hrs],tblDaily[EntryDate],DATE(2026,3,10),tblDaily[WardCode],"BF")),"")</f>
        <v/>
      </c>
      <c r="F94" s="12">
        <f>IFERROR(IF(SUMIFS(tblDaily[TransfersIn],tblDaily[EntryDate],DATE(2026,3,10),tblDaily[WardCode],"BF")=0,"",SUMIFS(tblDaily[TransfersIn],tblDaily[EntryDate],DATE(2026,3,10),tblDaily[WardCode],"BF")),"")</f>
        <v/>
      </c>
      <c r="G94" s="12">
        <f>IFERROR(IF(SUMIFS(tblDaily[TransfersOut],tblDaily[EntryDate],DATE(2026,3,10),tblDaily[WardCode],"BF")=0,"",SUMIFS(tblDaily[TransfersOut],tblDaily[EntryDate],DATE(2026,3,10),tblDaily[WardCode],"BF")),"")</f>
        <v/>
      </c>
      <c r="H94" s="12">
        <f>IFERROR(IF(SUMIFS(tblDaily[Remaining],tblDaily[EntryDate],DATE(2026,3,10),tblDaily[WardCode],"BF")=0,"",SUMIFS(tblDaily[Remaining],tblDaily[EntryDate],DATE(2026,3,10),tblDaily[WardCode],"BF")),"")</f>
        <v/>
      </c>
    </row>
    <row r="95">
      <c r="A95" s="12" t="n">
        <v>11</v>
      </c>
      <c r="B95" s="12">
        <f>IFERROR(IF(SUMIFS(tblDaily[Admissions],tblDaily[EntryDate],DATE(2026,3,11),tblDaily[WardCode],"BF")=0,"",SUMIFS(tblDaily[Admissions],tblDaily[EntryDate],DATE(2026,3,11),tblDaily[WardCode],"BF")),"")</f>
        <v/>
      </c>
      <c r="C95" s="12">
        <f>IFERROR(IF(SUMIFS(tblDaily[Discharges],tblDaily[EntryDate],DATE(2026,3,11),tblDaily[WardCode],"BF")=0,"",SUMIFS(tblDaily[Discharges],tblDaily[EntryDate],DATE(2026,3,11),tblDaily[WardCode],"BF")),"")</f>
        <v/>
      </c>
      <c r="D95" s="12">
        <f>IFERROR(IF(SUMIFS(tblDaily[Deaths],tblDaily[EntryDate],DATE(2026,3,11),tblDaily[WardCode],"BF")=0,"",SUMIFS(tblDaily[Deaths],tblDaily[EntryDate],DATE(2026,3,11),tblDaily[WardCode],"BF")),"")</f>
        <v/>
      </c>
      <c r="E95" s="12">
        <f>IFERROR(IF(SUMIFS(tblDaily[DeathsUnder24Hrs],tblDaily[EntryDate],DATE(2026,3,11),tblDaily[WardCode],"BF")=0,"",SUMIFS(tblDaily[DeathsUnder24Hrs],tblDaily[EntryDate],DATE(2026,3,11),tblDaily[WardCode],"BF")),"")</f>
        <v/>
      </c>
      <c r="F95" s="12">
        <f>IFERROR(IF(SUMIFS(tblDaily[TransfersIn],tblDaily[EntryDate],DATE(2026,3,11),tblDaily[WardCode],"BF")=0,"",SUMIFS(tblDaily[TransfersIn],tblDaily[EntryDate],DATE(2026,3,11),tblDaily[WardCode],"BF")),"")</f>
        <v/>
      </c>
      <c r="G95" s="12">
        <f>IFERROR(IF(SUMIFS(tblDaily[TransfersOut],tblDaily[EntryDate],DATE(2026,3,11),tblDaily[WardCode],"BF")=0,"",SUMIFS(tblDaily[TransfersOut],tblDaily[EntryDate],DATE(2026,3,11),tblDaily[WardCode],"BF")),"")</f>
        <v/>
      </c>
      <c r="H95" s="12">
        <f>IFERROR(IF(SUMIFS(tblDaily[Remaining],tblDaily[EntryDate],DATE(2026,3,11),tblDaily[WardCode],"BF")=0,"",SUMIFS(tblDaily[Remaining],tblDaily[EntryDate],DATE(2026,3,11),tblDaily[WardCode],"BF")),"")</f>
        <v/>
      </c>
    </row>
    <row r="96">
      <c r="A96" s="12" t="n">
        <v>12</v>
      </c>
      <c r="B96" s="12">
        <f>IFERROR(IF(SUMIFS(tblDaily[Admissions],tblDaily[EntryDate],DATE(2026,3,12),tblDaily[WardCode],"BF")=0,"",SUMIFS(tblDaily[Admissions],tblDaily[EntryDate],DATE(2026,3,12),tblDaily[WardCode],"BF")),"")</f>
        <v/>
      </c>
      <c r="C96" s="12">
        <f>IFERROR(IF(SUMIFS(tblDaily[Discharges],tblDaily[EntryDate],DATE(2026,3,12),tblDaily[WardCode],"BF")=0,"",SUMIFS(tblDaily[Discharges],tblDaily[EntryDate],DATE(2026,3,12),tblDaily[WardCode],"BF")),"")</f>
        <v/>
      </c>
      <c r="D96" s="12">
        <f>IFERROR(IF(SUMIFS(tblDaily[Deaths],tblDaily[EntryDate],DATE(2026,3,12),tblDaily[WardCode],"BF")=0,"",SUMIFS(tblDaily[Deaths],tblDaily[EntryDate],DATE(2026,3,12),tblDaily[WardCode],"BF")),"")</f>
        <v/>
      </c>
      <c r="E96" s="12">
        <f>IFERROR(IF(SUMIFS(tblDaily[DeathsUnder24Hrs],tblDaily[EntryDate],DATE(2026,3,12),tblDaily[WardCode],"BF")=0,"",SUMIFS(tblDaily[DeathsUnder24Hrs],tblDaily[EntryDate],DATE(2026,3,12),tblDaily[WardCode],"BF")),"")</f>
        <v/>
      </c>
      <c r="F96" s="12">
        <f>IFERROR(IF(SUMIFS(tblDaily[TransfersIn],tblDaily[EntryDate],DATE(2026,3,12),tblDaily[WardCode],"BF")=0,"",SUMIFS(tblDaily[TransfersIn],tblDaily[EntryDate],DATE(2026,3,12),tblDaily[WardCode],"BF")),"")</f>
        <v/>
      </c>
      <c r="G96" s="12">
        <f>IFERROR(IF(SUMIFS(tblDaily[TransfersOut],tblDaily[EntryDate],DATE(2026,3,12),tblDaily[WardCode],"BF")=0,"",SUMIFS(tblDaily[TransfersOut],tblDaily[EntryDate],DATE(2026,3,12),tblDaily[WardCode],"BF")),"")</f>
        <v/>
      </c>
      <c r="H96" s="12">
        <f>IFERROR(IF(SUMIFS(tblDaily[Remaining],tblDaily[EntryDate],DATE(2026,3,12),tblDaily[WardCode],"BF")=0,"",SUMIFS(tblDaily[Remaining],tblDaily[EntryDate],DATE(2026,3,12),tblDaily[WardCode],"BF")),"")</f>
        <v/>
      </c>
    </row>
    <row r="97">
      <c r="A97" s="12" t="n">
        <v>13</v>
      </c>
      <c r="B97" s="12">
        <f>IFERROR(IF(SUMIFS(tblDaily[Admissions],tblDaily[EntryDate],DATE(2026,3,13),tblDaily[WardCode],"BF")=0,"",SUMIFS(tblDaily[Admissions],tblDaily[EntryDate],DATE(2026,3,13),tblDaily[WardCode],"BF")),"")</f>
        <v/>
      </c>
      <c r="C97" s="12">
        <f>IFERROR(IF(SUMIFS(tblDaily[Discharges],tblDaily[EntryDate],DATE(2026,3,13),tblDaily[WardCode],"BF")=0,"",SUMIFS(tblDaily[Discharges],tblDaily[EntryDate],DATE(2026,3,13),tblDaily[WardCode],"BF")),"")</f>
        <v/>
      </c>
      <c r="D97" s="12">
        <f>IFERROR(IF(SUMIFS(tblDaily[Deaths],tblDaily[EntryDate],DATE(2026,3,13),tblDaily[WardCode],"BF")=0,"",SUMIFS(tblDaily[Deaths],tblDaily[EntryDate],DATE(2026,3,13),tblDaily[WardCode],"BF")),"")</f>
        <v/>
      </c>
      <c r="E97" s="12">
        <f>IFERROR(IF(SUMIFS(tblDaily[DeathsUnder24Hrs],tblDaily[EntryDate],DATE(2026,3,13),tblDaily[WardCode],"BF")=0,"",SUMIFS(tblDaily[DeathsUnder24Hrs],tblDaily[EntryDate],DATE(2026,3,13),tblDaily[WardCode],"BF")),"")</f>
        <v/>
      </c>
      <c r="F97" s="12">
        <f>IFERROR(IF(SUMIFS(tblDaily[TransfersIn],tblDaily[EntryDate],DATE(2026,3,13),tblDaily[WardCode],"BF")=0,"",SUMIFS(tblDaily[TransfersIn],tblDaily[EntryDate],DATE(2026,3,13),tblDaily[WardCode],"BF")),"")</f>
        <v/>
      </c>
      <c r="G97" s="12">
        <f>IFERROR(IF(SUMIFS(tblDaily[TransfersOut],tblDaily[EntryDate],DATE(2026,3,13),tblDaily[WardCode],"BF")=0,"",SUMIFS(tblDaily[TransfersOut],tblDaily[EntryDate],DATE(2026,3,13),tblDaily[WardCode],"BF")),"")</f>
        <v/>
      </c>
      <c r="H97" s="12">
        <f>IFERROR(IF(SUMIFS(tblDaily[Remaining],tblDaily[EntryDate],DATE(2026,3,13),tblDaily[WardCode],"BF")=0,"",SUMIFS(tblDaily[Remaining],tblDaily[EntryDate],DATE(2026,3,13),tblDaily[WardCode],"BF")),"")</f>
        <v/>
      </c>
    </row>
    <row r="98">
      <c r="A98" s="12" t="n">
        <v>14</v>
      </c>
      <c r="B98" s="12">
        <f>IFERROR(IF(SUMIFS(tblDaily[Admissions],tblDaily[EntryDate],DATE(2026,3,14),tblDaily[WardCode],"BF")=0,"",SUMIFS(tblDaily[Admissions],tblDaily[EntryDate],DATE(2026,3,14),tblDaily[WardCode],"BF")),"")</f>
        <v/>
      </c>
      <c r="C98" s="12">
        <f>IFERROR(IF(SUMIFS(tblDaily[Discharges],tblDaily[EntryDate],DATE(2026,3,14),tblDaily[WardCode],"BF")=0,"",SUMIFS(tblDaily[Discharges],tblDaily[EntryDate],DATE(2026,3,14),tblDaily[WardCode],"BF")),"")</f>
        <v/>
      </c>
      <c r="D98" s="12">
        <f>IFERROR(IF(SUMIFS(tblDaily[Deaths],tblDaily[EntryDate],DATE(2026,3,14),tblDaily[WardCode],"BF")=0,"",SUMIFS(tblDaily[Deaths],tblDaily[EntryDate],DATE(2026,3,14),tblDaily[WardCode],"BF")),"")</f>
        <v/>
      </c>
      <c r="E98" s="12">
        <f>IFERROR(IF(SUMIFS(tblDaily[DeathsUnder24Hrs],tblDaily[EntryDate],DATE(2026,3,14),tblDaily[WardCode],"BF")=0,"",SUMIFS(tblDaily[DeathsUnder24Hrs],tblDaily[EntryDate],DATE(2026,3,14),tblDaily[WardCode],"BF")),"")</f>
        <v/>
      </c>
      <c r="F98" s="12">
        <f>IFERROR(IF(SUMIFS(tblDaily[TransfersIn],tblDaily[EntryDate],DATE(2026,3,14),tblDaily[WardCode],"BF")=0,"",SUMIFS(tblDaily[TransfersIn],tblDaily[EntryDate],DATE(2026,3,14),tblDaily[WardCode],"BF")),"")</f>
        <v/>
      </c>
      <c r="G98" s="12">
        <f>IFERROR(IF(SUMIFS(tblDaily[TransfersOut],tblDaily[EntryDate],DATE(2026,3,14),tblDaily[WardCode],"BF")=0,"",SUMIFS(tblDaily[TransfersOut],tblDaily[EntryDate],DATE(2026,3,14),tblDaily[WardCode],"BF")),"")</f>
        <v/>
      </c>
      <c r="H98" s="12">
        <f>IFERROR(IF(SUMIFS(tblDaily[Remaining],tblDaily[EntryDate],DATE(2026,3,14),tblDaily[WardCode],"BF")=0,"",SUMIFS(tblDaily[Remaining],tblDaily[EntryDate],DATE(2026,3,14),tblDaily[WardCode],"BF")),"")</f>
        <v/>
      </c>
    </row>
    <row r="99">
      <c r="A99" s="12" t="n">
        <v>15</v>
      </c>
      <c r="B99" s="12">
        <f>IFERROR(IF(SUMIFS(tblDaily[Admissions],tblDaily[EntryDate],DATE(2026,3,15),tblDaily[WardCode],"BF")=0,"",SUMIFS(tblDaily[Admissions],tblDaily[EntryDate],DATE(2026,3,15),tblDaily[WardCode],"BF")),"")</f>
        <v/>
      </c>
      <c r="C99" s="12">
        <f>IFERROR(IF(SUMIFS(tblDaily[Discharges],tblDaily[EntryDate],DATE(2026,3,15),tblDaily[WardCode],"BF")=0,"",SUMIFS(tblDaily[Discharges],tblDaily[EntryDate],DATE(2026,3,15),tblDaily[WardCode],"BF")),"")</f>
        <v/>
      </c>
      <c r="D99" s="12">
        <f>IFERROR(IF(SUMIFS(tblDaily[Deaths],tblDaily[EntryDate],DATE(2026,3,15),tblDaily[WardCode],"BF")=0,"",SUMIFS(tblDaily[Deaths],tblDaily[EntryDate],DATE(2026,3,15),tblDaily[WardCode],"BF")),"")</f>
        <v/>
      </c>
      <c r="E99" s="12">
        <f>IFERROR(IF(SUMIFS(tblDaily[DeathsUnder24Hrs],tblDaily[EntryDate],DATE(2026,3,15),tblDaily[WardCode],"BF")=0,"",SUMIFS(tblDaily[DeathsUnder24Hrs],tblDaily[EntryDate],DATE(2026,3,15),tblDaily[WardCode],"BF")),"")</f>
        <v/>
      </c>
      <c r="F99" s="12">
        <f>IFERROR(IF(SUMIFS(tblDaily[TransfersIn],tblDaily[EntryDate],DATE(2026,3,15),tblDaily[WardCode],"BF")=0,"",SUMIFS(tblDaily[TransfersIn],tblDaily[EntryDate],DATE(2026,3,15),tblDaily[WardCode],"BF")),"")</f>
        <v/>
      </c>
      <c r="G99" s="12">
        <f>IFERROR(IF(SUMIFS(tblDaily[TransfersOut],tblDaily[EntryDate],DATE(2026,3,15),tblDaily[WardCode],"BF")=0,"",SUMIFS(tblDaily[TransfersOut],tblDaily[EntryDate],DATE(2026,3,15),tblDaily[WardCode],"BF")),"")</f>
        <v/>
      </c>
      <c r="H99" s="12">
        <f>IFERROR(IF(SUMIFS(tblDaily[Remaining],tblDaily[EntryDate],DATE(2026,3,15),tblDaily[WardCode],"BF")=0,"",SUMIFS(tblDaily[Remaining],tblDaily[EntryDate],DATE(2026,3,15),tblDaily[WardCode],"BF")),"")</f>
        <v/>
      </c>
    </row>
    <row r="100">
      <c r="A100" s="12" t="n">
        <v>16</v>
      </c>
      <c r="B100" s="12">
        <f>IFERROR(IF(SUMIFS(tblDaily[Admissions],tblDaily[EntryDate],DATE(2026,3,16),tblDaily[WardCode],"BF")=0,"",SUMIFS(tblDaily[Admissions],tblDaily[EntryDate],DATE(2026,3,16),tblDaily[WardCode],"BF")),"")</f>
        <v/>
      </c>
      <c r="C100" s="12">
        <f>IFERROR(IF(SUMIFS(tblDaily[Discharges],tblDaily[EntryDate],DATE(2026,3,16),tblDaily[WardCode],"BF")=0,"",SUMIFS(tblDaily[Discharges],tblDaily[EntryDate],DATE(2026,3,16),tblDaily[WardCode],"BF")),"")</f>
        <v/>
      </c>
      <c r="D100" s="12">
        <f>IFERROR(IF(SUMIFS(tblDaily[Deaths],tblDaily[EntryDate],DATE(2026,3,16),tblDaily[WardCode],"BF")=0,"",SUMIFS(tblDaily[Deaths],tblDaily[EntryDate],DATE(2026,3,16),tblDaily[WardCode],"BF")),"")</f>
        <v/>
      </c>
      <c r="E100" s="12">
        <f>IFERROR(IF(SUMIFS(tblDaily[DeathsUnder24Hrs],tblDaily[EntryDate],DATE(2026,3,16),tblDaily[WardCode],"BF")=0,"",SUMIFS(tblDaily[DeathsUnder24Hrs],tblDaily[EntryDate],DATE(2026,3,16),tblDaily[WardCode],"BF")),"")</f>
        <v/>
      </c>
      <c r="F100" s="12">
        <f>IFERROR(IF(SUMIFS(tblDaily[TransfersIn],tblDaily[EntryDate],DATE(2026,3,16),tblDaily[WardCode],"BF")=0,"",SUMIFS(tblDaily[TransfersIn],tblDaily[EntryDate],DATE(2026,3,16),tblDaily[WardCode],"BF")),"")</f>
        <v/>
      </c>
      <c r="G100" s="12">
        <f>IFERROR(IF(SUMIFS(tblDaily[TransfersOut],tblDaily[EntryDate],DATE(2026,3,16),tblDaily[WardCode],"BF")=0,"",SUMIFS(tblDaily[TransfersOut],tblDaily[EntryDate],DATE(2026,3,16),tblDaily[WardCode],"BF")),"")</f>
        <v/>
      </c>
      <c r="H100" s="12">
        <f>IFERROR(IF(SUMIFS(tblDaily[Remaining],tblDaily[EntryDate],DATE(2026,3,16),tblDaily[WardCode],"BF")=0,"",SUMIFS(tblDaily[Remaining],tblDaily[EntryDate],DATE(2026,3,16),tblDaily[WardCode],"BF")),"")</f>
        <v/>
      </c>
    </row>
    <row r="101">
      <c r="A101" s="12" t="n">
        <v>17</v>
      </c>
      <c r="B101" s="12">
        <f>IFERROR(IF(SUMIFS(tblDaily[Admissions],tblDaily[EntryDate],DATE(2026,3,17),tblDaily[WardCode],"BF")=0,"",SUMIFS(tblDaily[Admissions],tblDaily[EntryDate],DATE(2026,3,17),tblDaily[WardCode],"BF")),"")</f>
        <v/>
      </c>
      <c r="C101" s="12">
        <f>IFERROR(IF(SUMIFS(tblDaily[Discharges],tblDaily[EntryDate],DATE(2026,3,17),tblDaily[WardCode],"BF")=0,"",SUMIFS(tblDaily[Discharges],tblDaily[EntryDate],DATE(2026,3,17),tblDaily[WardCode],"BF")),"")</f>
        <v/>
      </c>
      <c r="D101" s="12">
        <f>IFERROR(IF(SUMIFS(tblDaily[Deaths],tblDaily[EntryDate],DATE(2026,3,17),tblDaily[WardCode],"BF")=0,"",SUMIFS(tblDaily[Deaths],tblDaily[EntryDate],DATE(2026,3,17),tblDaily[WardCode],"BF")),"")</f>
        <v/>
      </c>
      <c r="E101" s="12">
        <f>IFERROR(IF(SUMIFS(tblDaily[DeathsUnder24Hrs],tblDaily[EntryDate],DATE(2026,3,17),tblDaily[WardCode],"BF")=0,"",SUMIFS(tblDaily[DeathsUnder24Hrs],tblDaily[EntryDate],DATE(2026,3,17),tblDaily[WardCode],"BF")),"")</f>
        <v/>
      </c>
      <c r="F101" s="12">
        <f>IFERROR(IF(SUMIFS(tblDaily[TransfersIn],tblDaily[EntryDate],DATE(2026,3,17),tblDaily[WardCode],"BF")=0,"",SUMIFS(tblDaily[TransfersIn],tblDaily[EntryDate],DATE(2026,3,17),tblDaily[WardCode],"BF")),"")</f>
        <v/>
      </c>
      <c r="G101" s="12">
        <f>IFERROR(IF(SUMIFS(tblDaily[TransfersOut],tblDaily[EntryDate],DATE(2026,3,17),tblDaily[WardCode],"BF")=0,"",SUMIFS(tblDaily[TransfersOut],tblDaily[EntryDate],DATE(2026,3,17),tblDaily[WardCode],"BF")),"")</f>
        <v/>
      </c>
      <c r="H101" s="12">
        <f>IFERROR(IF(SUMIFS(tblDaily[Remaining],tblDaily[EntryDate],DATE(2026,3,17),tblDaily[WardCode],"BF")=0,"",SUMIFS(tblDaily[Remaining],tblDaily[EntryDate],DATE(2026,3,17),tblDaily[WardCode],"BF")),"")</f>
        <v/>
      </c>
    </row>
    <row r="102">
      <c r="A102" s="12" t="n">
        <v>18</v>
      </c>
      <c r="B102" s="12">
        <f>IFERROR(IF(SUMIFS(tblDaily[Admissions],tblDaily[EntryDate],DATE(2026,3,18),tblDaily[WardCode],"BF")=0,"",SUMIFS(tblDaily[Admissions],tblDaily[EntryDate],DATE(2026,3,18),tblDaily[WardCode],"BF")),"")</f>
        <v/>
      </c>
      <c r="C102" s="12">
        <f>IFERROR(IF(SUMIFS(tblDaily[Discharges],tblDaily[EntryDate],DATE(2026,3,18),tblDaily[WardCode],"BF")=0,"",SUMIFS(tblDaily[Discharges],tblDaily[EntryDate],DATE(2026,3,18),tblDaily[WardCode],"BF")),"")</f>
        <v/>
      </c>
      <c r="D102" s="12">
        <f>IFERROR(IF(SUMIFS(tblDaily[Deaths],tblDaily[EntryDate],DATE(2026,3,18),tblDaily[WardCode],"BF")=0,"",SUMIFS(tblDaily[Deaths],tblDaily[EntryDate],DATE(2026,3,18),tblDaily[WardCode],"BF")),"")</f>
        <v/>
      </c>
      <c r="E102" s="12">
        <f>IFERROR(IF(SUMIFS(tblDaily[DeathsUnder24Hrs],tblDaily[EntryDate],DATE(2026,3,18),tblDaily[WardCode],"BF")=0,"",SUMIFS(tblDaily[DeathsUnder24Hrs],tblDaily[EntryDate],DATE(2026,3,18),tblDaily[WardCode],"BF")),"")</f>
        <v/>
      </c>
      <c r="F102" s="12">
        <f>IFERROR(IF(SUMIFS(tblDaily[TransfersIn],tblDaily[EntryDate],DATE(2026,3,18),tblDaily[WardCode],"BF")=0,"",SUMIFS(tblDaily[TransfersIn],tblDaily[EntryDate],DATE(2026,3,18),tblDaily[WardCode],"BF")),"")</f>
        <v/>
      </c>
      <c r="G102" s="12">
        <f>IFERROR(IF(SUMIFS(tblDaily[TransfersOut],tblDaily[EntryDate],DATE(2026,3,18),tblDaily[WardCode],"BF")=0,"",SUMIFS(tblDaily[TransfersOut],tblDaily[EntryDate],DATE(2026,3,18),tblDaily[WardCode],"BF")),"")</f>
        <v/>
      </c>
      <c r="H102" s="12">
        <f>IFERROR(IF(SUMIFS(tblDaily[Remaining],tblDaily[EntryDate],DATE(2026,3,18),tblDaily[WardCode],"BF")=0,"",SUMIFS(tblDaily[Remaining],tblDaily[EntryDate],DATE(2026,3,18),tblDaily[WardCode],"BF")),"")</f>
        <v/>
      </c>
    </row>
    <row r="103">
      <c r="A103" s="12" t="n">
        <v>19</v>
      </c>
      <c r="B103" s="12">
        <f>IFERROR(IF(SUMIFS(tblDaily[Admissions],tblDaily[EntryDate],DATE(2026,3,19),tblDaily[WardCode],"BF")=0,"",SUMIFS(tblDaily[Admissions],tblDaily[EntryDate],DATE(2026,3,19),tblDaily[WardCode],"BF")),"")</f>
        <v/>
      </c>
      <c r="C103" s="12">
        <f>IFERROR(IF(SUMIFS(tblDaily[Discharges],tblDaily[EntryDate],DATE(2026,3,19),tblDaily[WardCode],"BF")=0,"",SUMIFS(tblDaily[Discharges],tblDaily[EntryDate],DATE(2026,3,19),tblDaily[WardCode],"BF")),"")</f>
        <v/>
      </c>
      <c r="D103" s="12">
        <f>IFERROR(IF(SUMIFS(tblDaily[Deaths],tblDaily[EntryDate],DATE(2026,3,19),tblDaily[WardCode],"BF")=0,"",SUMIFS(tblDaily[Deaths],tblDaily[EntryDate],DATE(2026,3,19),tblDaily[WardCode],"BF")),"")</f>
        <v/>
      </c>
      <c r="E103" s="12">
        <f>IFERROR(IF(SUMIFS(tblDaily[DeathsUnder24Hrs],tblDaily[EntryDate],DATE(2026,3,19),tblDaily[WardCode],"BF")=0,"",SUMIFS(tblDaily[DeathsUnder24Hrs],tblDaily[EntryDate],DATE(2026,3,19),tblDaily[WardCode],"BF")),"")</f>
        <v/>
      </c>
      <c r="F103" s="12">
        <f>IFERROR(IF(SUMIFS(tblDaily[TransfersIn],tblDaily[EntryDate],DATE(2026,3,19),tblDaily[WardCode],"BF")=0,"",SUMIFS(tblDaily[TransfersIn],tblDaily[EntryDate],DATE(2026,3,19),tblDaily[WardCode],"BF")),"")</f>
        <v/>
      </c>
      <c r="G103" s="12">
        <f>IFERROR(IF(SUMIFS(tblDaily[TransfersOut],tblDaily[EntryDate],DATE(2026,3,19),tblDaily[WardCode],"BF")=0,"",SUMIFS(tblDaily[TransfersOut],tblDaily[EntryDate],DATE(2026,3,19),tblDaily[WardCode],"BF")),"")</f>
        <v/>
      </c>
      <c r="H103" s="12">
        <f>IFERROR(IF(SUMIFS(tblDaily[Remaining],tblDaily[EntryDate],DATE(2026,3,19),tblDaily[WardCode],"BF")=0,"",SUMIFS(tblDaily[Remaining],tblDaily[EntryDate],DATE(2026,3,19),tblDaily[WardCode],"BF")),"")</f>
        <v/>
      </c>
    </row>
    <row r="104">
      <c r="A104" s="12" t="n">
        <v>20</v>
      </c>
      <c r="B104" s="12">
        <f>IFERROR(IF(SUMIFS(tblDaily[Admissions],tblDaily[EntryDate],DATE(2026,3,20),tblDaily[WardCode],"BF")=0,"",SUMIFS(tblDaily[Admissions],tblDaily[EntryDate],DATE(2026,3,20),tblDaily[WardCode],"BF")),"")</f>
        <v/>
      </c>
      <c r="C104" s="12">
        <f>IFERROR(IF(SUMIFS(tblDaily[Discharges],tblDaily[EntryDate],DATE(2026,3,20),tblDaily[WardCode],"BF")=0,"",SUMIFS(tblDaily[Discharges],tblDaily[EntryDate],DATE(2026,3,20),tblDaily[WardCode],"BF")),"")</f>
        <v/>
      </c>
      <c r="D104" s="12">
        <f>IFERROR(IF(SUMIFS(tblDaily[Deaths],tblDaily[EntryDate],DATE(2026,3,20),tblDaily[WardCode],"BF")=0,"",SUMIFS(tblDaily[Deaths],tblDaily[EntryDate],DATE(2026,3,20),tblDaily[WardCode],"BF")),"")</f>
        <v/>
      </c>
      <c r="E104" s="12">
        <f>IFERROR(IF(SUMIFS(tblDaily[DeathsUnder24Hrs],tblDaily[EntryDate],DATE(2026,3,20),tblDaily[WardCode],"BF")=0,"",SUMIFS(tblDaily[DeathsUnder24Hrs],tblDaily[EntryDate],DATE(2026,3,20),tblDaily[WardCode],"BF")),"")</f>
        <v/>
      </c>
      <c r="F104" s="12">
        <f>IFERROR(IF(SUMIFS(tblDaily[TransfersIn],tblDaily[EntryDate],DATE(2026,3,20),tblDaily[WardCode],"BF")=0,"",SUMIFS(tblDaily[TransfersIn],tblDaily[EntryDate],DATE(2026,3,20),tblDaily[WardCode],"BF")),"")</f>
        <v/>
      </c>
      <c r="G104" s="12">
        <f>IFERROR(IF(SUMIFS(tblDaily[TransfersOut],tblDaily[EntryDate],DATE(2026,3,20),tblDaily[WardCode],"BF")=0,"",SUMIFS(tblDaily[TransfersOut],tblDaily[EntryDate],DATE(2026,3,20),tblDaily[WardCode],"BF")),"")</f>
        <v/>
      </c>
      <c r="H104" s="12">
        <f>IFERROR(IF(SUMIFS(tblDaily[Remaining],tblDaily[EntryDate],DATE(2026,3,20),tblDaily[WardCode],"BF")=0,"",SUMIFS(tblDaily[Remaining],tblDaily[EntryDate],DATE(2026,3,20),tblDaily[WardCode],"BF")),"")</f>
        <v/>
      </c>
    </row>
    <row r="105">
      <c r="A105" s="12" t="n">
        <v>21</v>
      </c>
      <c r="B105" s="12">
        <f>IFERROR(IF(SUMIFS(tblDaily[Admissions],tblDaily[EntryDate],DATE(2026,3,21),tblDaily[WardCode],"BF")=0,"",SUMIFS(tblDaily[Admissions],tblDaily[EntryDate],DATE(2026,3,21),tblDaily[WardCode],"BF")),"")</f>
        <v/>
      </c>
      <c r="C105" s="12">
        <f>IFERROR(IF(SUMIFS(tblDaily[Discharges],tblDaily[EntryDate],DATE(2026,3,21),tblDaily[WardCode],"BF")=0,"",SUMIFS(tblDaily[Discharges],tblDaily[EntryDate],DATE(2026,3,21),tblDaily[WardCode],"BF")),"")</f>
        <v/>
      </c>
      <c r="D105" s="12">
        <f>IFERROR(IF(SUMIFS(tblDaily[Deaths],tblDaily[EntryDate],DATE(2026,3,21),tblDaily[WardCode],"BF")=0,"",SUMIFS(tblDaily[Deaths],tblDaily[EntryDate],DATE(2026,3,21),tblDaily[WardCode],"BF")),"")</f>
        <v/>
      </c>
      <c r="E105" s="12">
        <f>IFERROR(IF(SUMIFS(tblDaily[DeathsUnder24Hrs],tblDaily[EntryDate],DATE(2026,3,21),tblDaily[WardCode],"BF")=0,"",SUMIFS(tblDaily[DeathsUnder24Hrs],tblDaily[EntryDate],DATE(2026,3,21),tblDaily[WardCode],"BF")),"")</f>
        <v/>
      </c>
      <c r="F105" s="12">
        <f>IFERROR(IF(SUMIFS(tblDaily[TransfersIn],tblDaily[EntryDate],DATE(2026,3,21),tblDaily[WardCode],"BF")=0,"",SUMIFS(tblDaily[TransfersIn],tblDaily[EntryDate],DATE(2026,3,21),tblDaily[WardCode],"BF")),"")</f>
        <v/>
      </c>
      <c r="G105" s="12">
        <f>IFERROR(IF(SUMIFS(tblDaily[TransfersOut],tblDaily[EntryDate],DATE(2026,3,21),tblDaily[WardCode],"BF")=0,"",SUMIFS(tblDaily[TransfersOut],tblDaily[EntryDate],DATE(2026,3,21),tblDaily[WardCode],"BF")),"")</f>
        <v/>
      </c>
      <c r="H105" s="12">
        <f>IFERROR(IF(SUMIFS(tblDaily[Remaining],tblDaily[EntryDate],DATE(2026,3,21),tblDaily[WardCode],"BF")=0,"",SUMIFS(tblDaily[Remaining],tblDaily[EntryDate],DATE(2026,3,21),tblDaily[WardCode],"BF")),"")</f>
        <v/>
      </c>
    </row>
    <row r="106">
      <c r="A106" s="12" t="n">
        <v>22</v>
      </c>
      <c r="B106" s="12">
        <f>IFERROR(IF(SUMIFS(tblDaily[Admissions],tblDaily[EntryDate],DATE(2026,3,22),tblDaily[WardCode],"BF")=0,"",SUMIFS(tblDaily[Admissions],tblDaily[EntryDate],DATE(2026,3,22),tblDaily[WardCode],"BF")),"")</f>
        <v/>
      </c>
      <c r="C106" s="12">
        <f>IFERROR(IF(SUMIFS(tblDaily[Discharges],tblDaily[EntryDate],DATE(2026,3,22),tblDaily[WardCode],"BF")=0,"",SUMIFS(tblDaily[Discharges],tblDaily[EntryDate],DATE(2026,3,22),tblDaily[WardCode],"BF")),"")</f>
        <v/>
      </c>
      <c r="D106" s="12">
        <f>IFERROR(IF(SUMIFS(tblDaily[Deaths],tblDaily[EntryDate],DATE(2026,3,22),tblDaily[WardCode],"BF")=0,"",SUMIFS(tblDaily[Deaths],tblDaily[EntryDate],DATE(2026,3,22),tblDaily[WardCode],"BF")),"")</f>
        <v/>
      </c>
      <c r="E106" s="12">
        <f>IFERROR(IF(SUMIFS(tblDaily[DeathsUnder24Hrs],tblDaily[EntryDate],DATE(2026,3,22),tblDaily[WardCode],"BF")=0,"",SUMIFS(tblDaily[DeathsUnder24Hrs],tblDaily[EntryDate],DATE(2026,3,22),tblDaily[WardCode],"BF")),"")</f>
        <v/>
      </c>
      <c r="F106" s="12">
        <f>IFERROR(IF(SUMIFS(tblDaily[TransfersIn],tblDaily[EntryDate],DATE(2026,3,22),tblDaily[WardCode],"BF")=0,"",SUMIFS(tblDaily[TransfersIn],tblDaily[EntryDate],DATE(2026,3,22),tblDaily[WardCode],"BF")),"")</f>
        <v/>
      </c>
      <c r="G106" s="12">
        <f>IFERROR(IF(SUMIFS(tblDaily[TransfersOut],tblDaily[EntryDate],DATE(2026,3,22),tblDaily[WardCode],"BF")=0,"",SUMIFS(tblDaily[TransfersOut],tblDaily[EntryDate],DATE(2026,3,22),tblDaily[WardCode],"BF")),"")</f>
        <v/>
      </c>
      <c r="H106" s="12">
        <f>IFERROR(IF(SUMIFS(tblDaily[Remaining],tblDaily[EntryDate],DATE(2026,3,22),tblDaily[WardCode],"BF")=0,"",SUMIFS(tblDaily[Remaining],tblDaily[EntryDate],DATE(2026,3,22),tblDaily[WardCode],"BF")),"")</f>
        <v/>
      </c>
    </row>
    <row r="107">
      <c r="A107" s="12" t="n">
        <v>23</v>
      </c>
      <c r="B107" s="12">
        <f>IFERROR(IF(SUMIFS(tblDaily[Admissions],tblDaily[EntryDate],DATE(2026,3,23),tblDaily[WardCode],"BF")=0,"",SUMIFS(tblDaily[Admissions],tblDaily[EntryDate],DATE(2026,3,23),tblDaily[WardCode],"BF")),"")</f>
        <v/>
      </c>
      <c r="C107" s="12">
        <f>IFERROR(IF(SUMIFS(tblDaily[Discharges],tblDaily[EntryDate],DATE(2026,3,23),tblDaily[WardCode],"BF")=0,"",SUMIFS(tblDaily[Discharges],tblDaily[EntryDate],DATE(2026,3,23),tblDaily[WardCode],"BF")),"")</f>
        <v/>
      </c>
      <c r="D107" s="12">
        <f>IFERROR(IF(SUMIFS(tblDaily[Deaths],tblDaily[EntryDate],DATE(2026,3,23),tblDaily[WardCode],"BF")=0,"",SUMIFS(tblDaily[Deaths],tblDaily[EntryDate],DATE(2026,3,23),tblDaily[WardCode],"BF")),"")</f>
        <v/>
      </c>
      <c r="E107" s="12">
        <f>IFERROR(IF(SUMIFS(tblDaily[DeathsUnder24Hrs],tblDaily[EntryDate],DATE(2026,3,23),tblDaily[WardCode],"BF")=0,"",SUMIFS(tblDaily[DeathsUnder24Hrs],tblDaily[EntryDate],DATE(2026,3,23),tblDaily[WardCode],"BF")),"")</f>
        <v/>
      </c>
      <c r="F107" s="12">
        <f>IFERROR(IF(SUMIFS(tblDaily[TransfersIn],tblDaily[EntryDate],DATE(2026,3,23),tblDaily[WardCode],"BF")=0,"",SUMIFS(tblDaily[TransfersIn],tblDaily[EntryDate],DATE(2026,3,23),tblDaily[WardCode],"BF")),"")</f>
        <v/>
      </c>
      <c r="G107" s="12">
        <f>IFERROR(IF(SUMIFS(tblDaily[TransfersOut],tblDaily[EntryDate],DATE(2026,3,23),tblDaily[WardCode],"BF")=0,"",SUMIFS(tblDaily[TransfersOut],tblDaily[EntryDate],DATE(2026,3,23),tblDaily[WardCode],"BF")),"")</f>
        <v/>
      </c>
      <c r="H107" s="12">
        <f>IFERROR(IF(SUMIFS(tblDaily[Remaining],tblDaily[EntryDate],DATE(2026,3,23),tblDaily[WardCode],"BF")=0,"",SUMIFS(tblDaily[Remaining],tblDaily[EntryDate],DATE(2026,3,23),tblDaily[WardCode],"BF")),"")</f>
        <v/>
      </c>
    </row>
    <row r="108">
      <c r="A108" s="12" t="n">
        <v>24</v>
      </c>
      <c r="B108" s="12">
        <f>IFERROR(IF(SUMIFS(tblDaily[Admissions],tblDaily[EntryDate],DATE(2026,3,24),tblDaily[WardCode],"BF")=0,"",SUMIFS(tblDaily[Admissions],tblDaily[EntryDate],DATE(2026,3,24),tblDaily[WardCode],"BF")),"")</f>
        <v/>
      </c>
      <c r="C108" s="12">
        <f>IFERROR(IF(SUMIFS(tblDaily[Discharges],tblDaily[EntryDate],DATE(2026,3,24),tblDaily[WardCode],"BF")=0,"",SUMIFS(tblDaily[Discharges],tblDaily[EntryDate],DATE(2026,3,24),tblDaily[WardCode],"BF")),"")</f>
        <v/>
      </c>
      <c r="D108" s="12">
        <f>IFERROR(IF(SUMIFS(tblDaily[Deaths],tblDaily[EntryDate],DATE(2026,3,24),tblDaily[WardCode],"BF")=0,"",SUMIFS(tblDaily[Deaths],tblDaily[EntryDate],DATE(2026,3,24),tblDaily[WardCode],"BF")),"")</f>
        <v/>
      </c>
      <c r="E108" s="12">
        <f>IFERROR(IF(SUMIFS(tblDaily[DeathsUnder24Hrs],tblDaily[EntryDate],DATE(2026,3,24),tblDaily[WardCode],"BF")=0,"",SUMIFS(tblDaily[DeathsUnder24Hrs],tblDaily[EntryDate],DATE(2026,3,24),tblDaily[WardCode],"BF")),"")</f>
        <v/>
      </c>
      <c r="F108" s="12">
        <f>IFERROR(IF(SUMIFS(tblDaily[TransfersIn],tblDaily[EntryDate],DATE(2026,3,24),tblDaily[WardCode],"BF")=0,"",SUMIFS(tblDaily[TransfersIn],tblDaily[EntryDate],DATE(2026,3,24),tblDaily[WardCode],"BF")),"")</f>
        <v/>
      </c>
      <c r="G108" s="12">
        <f>IFERROR(IF(SUMIFS(tblDaily[TransfersOut],tblDaily[EntryDate],DATE(2026,3,24),tblDaily[WardCode],"BF")=0,"",SUMIFS(tblDaily[TransfersOut],tblDaily[EntryDate],DATE(2026,3,24),tblDaily[WardCode],"BF")),"")</f>
        <v/>
      </c>
      <c r="H108" s="12">
        <f>IFERROR(IF(SUMIFS(tblDaily[Remaining],tblDaily[EntryDate],DATE(2026,3,24),tblDaily[WardCode],"BF")=0,"",SUMIFS(tblDaily[Remaining],tblDaily[EntryDate],DATE(2026,3,24),tblDaily[WardCode],"BF")),"")</f>
        <v/>
      </c>
    </row>
    <row r="109">
      <c r="A109" s="12" t="n">
        <v>25</v>
      </c>
      <c r="B109" s="12">
        <f>IFERROR(IF(SUMIFS(tblDaily[Admissions],tblDaily[EntryDate],DATE(2026,3,25),tblDaily[WardCode],"BF")=0,"",SUMIFS(tblDaily[Admissions],tblDaily[EntryDate],DATE(2026,3,25),tblDaily[WardCode],"BF")),"")</f>
        <v/>
      </c>
      <c r="C109" s="12">
        <f>IFERROR(IF(SUMIFS(tblDaily[Discharges],tblDaily[EntryDate],DATE(2026,3,25),tblDaily[WardCode],"BF")=0,"",SUMIFS(tblDaily[Discharges],tblDaily[EntryDate],DATE(2026,3,25),tblDaily[WardCode],"BF")),"")</f>
        <v/>
      </c>
      <c r="D109" s="12">
        <f>IFERROR(IF(SUMIFS(tblDaily[Deaths],tblDaily[EntryDate],DATE(2026,3,25),tblDaily[WardCode],"BF")=0,"",SUMIFS(tblDaily[Deaths],tblDaily[EntryDate],DATE(2026,3,25),tblDaily[WardCode],"BF")),"")</f>
        <v/>
      </c>
      <c r="E109" s="12">
        <f>IFERROR(IF(SUMIFS(tblDaily[DeathsUnder24Hrs],tblDaily[EntryDate],DATE(2026,3,25),tblDaily[WardCode],"BF")=0,"",SUMIFS(tblDaily[DeathsUnder24Hrs],tblDaily[EntryDate],DATE(2026,3,25),tblDaily[WardCode],"BF")),"")</f>
        <v/>
      </c>
      <c r="F109" s="12">
        <f>IFERROR(IF(SUMIFS(tblDaily[TransfersIn],tblDaily[EntryDate],DATE(2026,3,25),tblDaily[WardCode],"BF")=0,"",SUMIFS(tblDaily[TransfersIn],tblDaily[EntryDate],DATE(2026,3,25),tblDaily[WardCode],"BF")),"")</f>
        <v/>
      </c>
      <c r="G109" s="12">
        <f>IFERROR(IF(SUMIFS(tblDaily[TransfersOut],tblDaily[EntryDate],DATE(2026,3,25),tblDaily[WardCode],"BF")=0,"",SUMIFS(tblDaily[TransfersOut],tblDaily[EntryDate],DATE(2026,3,25),tblDaily[WardCode],"BF")),"")</f>
        <v/>
      </c>
      <c r="H109" s="12">
        <f>IFERROR(IF(SUMIFS(tblDaily[Remaining],tblDaily[EntryDate],DATE(2026,3,25),tblDaily[WardCode],"BF")=0,"",SUMIFS(tblDaily[Remaining],tblDaily[EntryDate],DATE(2026,3,25),tblDaily[WardCode],"BF")),"")</f>
        <v/>
      </c>
    </row>
    <row r="110">
      <c r="A110" s="12" t="n">
        <v>26</v>
      </c>
      <c r="B110" s="12">
        <f>IFERROR(IF(SUMIFS(tblDaily[Admissions],tblDaily[EntryDate],DATE(2026,3,26),tblDaily[WardCode],"BF")=0,"",SUMIFS(tblDaily[Admissions],tblDaily[EntryDate],DATE(2026,3,26),tblDaily[WardCode],"BF")),"")</f>
        <v/>
      </c>
      <c r="C110" s="12">
        <f>IFERROR(IF(SUMIFS(tblDaily[Discharges],tblDaily[EntryDate],DATE(2026,3,26),tblDaily[WardCode],"BF")=0,"",SUMIFS(tblDaily[Discharges],tblDaily[EntryDate],DATE(2026,3,26),tblDaily[WardCode],"BF")),"")</f>
        <v/>
      </c>
      <c r="D110" s="12">
        <f>IFERROR(IF(SUMIFS(tblDaily[Deaths],tblDaily[EntryDate],DATE(2026,3,26),tblDaily[WardCode],"BF")=0,"",SUMIFS(tblDaily[Deaths],tblDaily[EntryDate],DATE(2026,3,26),tblDaily[WardCode],"BF")),"")</f>
        <v/>
      </c>
      <c r="E110" s="12">
        <f>IFERROR(IF(SUMIFS(tblDaily[DeathsUnder24Hrs],tblDaily[EntryDate],DATE(2026,3,26),tblDaily[WardCode],"BF")=0,"",SUMIFS(tblDaily[DeathsUnder24Hrs],tblDaily[EntryDate],DATE(2026,3,26),tblDaily[WardCode],"BF")),"")</f>
        <v/>
      </c>
      <c r="F110" s="12">
        <f>IFERROR(IF(SUMIFS(tblDaily[TransfersIn],tblDaily[EntryDate],DATE(2026,3,26),tblDaily[WardCode],"BF")=0,"",SUMIFS(tblDaily[TransfersIn],tblDaily[EntryDate],DATE(2026,3,26),tblDaily[WardCode],"BF")),"")</f>
        <v/>
      </c>
      <c r="G110" s="12">
        <f>IFERROR(IF(SUMIFS(tblDaily[TransfersOut],tblDaily[EntryDate],DATE(2026,3,26),tblDaily[WardCode],"BF")=0,"",SUMIFS(tblDaily[TransfersOut],tblDaily[EntryDate],DATE(2026,3,26),tblDaily[WardCode],"BF")),"")</f>
        <v/>
      </c>
      <c r="H110" s="12">
        <f>IFERROR(IF(SUMIFS(tblDaily[Remaining],tblDaily[EntryDate],DATE(2026,3,26),tblDaily[WardCode],"BF")=0,"",SUMIFS(tblDaily[Remaining],tblDaily[EntryDate],DATE(2026,3,26),tblDaily[WardCode],"BF")),"")</f>
        <v/>
      </c>
    </row>
    <row r="111">
      <c r="A111" s="12" t="n">
        <v>27</v>
      </c>
      <c r="B111" s="12">
        <f>IFERROR(IF(SUMIFS(tblDaily[Admissions],tblDaily[EntryDate],DATE(2026,3,27),tblDaily[WardCode],"BF")=0,"",SUMIFS(tblDaily[Admissions],tblDaily[EntryDate],DATE(2026,3,27),tblDaily[WardCode],"BF")),"")</f>
        <v/>
      </c>
      <c r="C111" s="12">
        <f>IFERROR(IF(SUMIFS(tblDaily[Discharges],tblDaily[EntryDate],DATE(2026,3,27),tblDaily[WardCode],"BF")=0,"",SUMIFS(tblDaily[Discharges],tblDaily[EntryDate],DATE(2026,3,27),tblDaily[WardCode],"BF")),"")</f>
        <v/>
      </c>
      <c r="D111" s="12">
        <f>IFERROR(IF(SUMIFS(tblDaily[Deaths],tblDaily[EntryDate],DATE(2026,3,27),tblDaily[WardCode],"BF")=0,"",SUMIFS(tblDaily[Deaths],tblDaily[EntryDate],DATE(2026,3,27),tblDaily[WardCode],"BF")),"")</f>
        <v/>
      </c>
      <c r="E111" s="12">
        <f>IFERROR(IF(SUMIFS(tblDaily[DeathsUnder24Hrs],tblDaily[EntryDate],DATE(2026,3,27),tblDaily[WardCode],"BF")=0,"",SUMIFS(tblDaily[DeathsUnder24Hrs],tblDaily[EntryDate],DATE(2026,3,27),tblDaily[WardCode],"BF")),"")</f>
        <v/>
      </c>
      <c r="F111" s="12">
        <f>IFERROR(IF(SUMIFS(tblDaily[TransfersIn],tblDaily[EntryDate],DATE(2026,3,27),tblDaily[WardCode],"BF")=0,"",SUMIFS(tblDaily[TransfersIn],tblDaily[EntryDate],DATE(2026,3,27),tblDaily[WardCode],"BF")),"")</f>
        <v/>
      </c>
      <c r="G111" s="12">
        <f>IFERROR(IF(SUMIFS(tblDaily[TransfersOut],tblDaily[EntryDate],DATE(2026,3,27),tblDaily[WardCode],"BF")=0,"",SUMIFS(tblDaily[TransfersOut],tblDaily[EntryDate],DATE(2026,3,27),tblDaily[WardCode],"BF")),"")</f>
        <v/>
      </c>
      <c r="H111" s="12">
        <f>IFERROR(IF(SUMIFS(tblDaily[Remaining],tblDaily[EntryDate],DATE(2026,3,27),tblDaily[WardCode],"BF")=0,"",SUMIFS(tblDaily[Remaining],tblDaily[EntryDate],DATE(2026,3,27),tblDaily[WardCode],"BF")),"")</f>
        <v/>
      </c>
    </row>
    <row r="112">
      <c r="A112" s="12" t="n">
        <v>28</v>
      </c>
      <c r="B112" s="12">
        <f>IFERROR(IF(SUMIFS(tblDaily[Admissions],tblDaily[EntryDate],DATE(2026,3,28),tblDaily[WardCode],"BF")=0,"",SUMIFS(tblDaily[Admissions],tblDaily[EntryDate],DATE(2026,3,28),tblDaily[WardCode],"BF")),"")</f>
        <v/>
      </c>
      <c r="C112" s="12">
        <f>IFERROR(IF(SUMIFS(tblDaily[Discharges],tblDaily[EntryDate],DATE(2026,3,28),tblDaily[WardCode],"BF")=0,"",SUMIFS(tblDaily[Discharges],tblDaily[EntryDate],DATE(2026,3,28),tblDaily[WardCode],"BF")),"")</f>
        <v/>
      </c>
      <c r="D112" s="12">
        <f>IFERROR(IF(SUMIFS(tblDaily[Deaths],tblDaily[EntryDate],DATE(2026,3,28),tblDaily[WardCode],"BF")=0,"",SUMIFS(tblDaily[Deaths],tblDaily[EntryDate],DATE(2026,3,28),tblDaily[WardCode],"BF")),"")</f>
        <v/>
      </c>
      <c r="E112" s="12">
        <f>IFERROR(IF(SUMIFS(tblDaily[DeathsUnder24Hrs],tblDaily[EntryDate],DATE(2026,3,28),tblDaily[WardCode],"BF")=0,"",SUMIFS(tblDaily[DeathsUnder24Hrs],tblDaily[EntryDate],DATE(2026,3,28),tblDaily[WardCode],"BF")),"")</f>
        <v/>
      </c>
      <c r="F112" s="12">
        <f>IFERROR(IF(SUMIFS(tblDaily[TransfersIn],tblDaily[EntryDate],DATE(2026,3,28),tblDaily[WardCode],"BF")=0,"",SUMIFS(tblDaily[TransfersIn],tblDaily[EntryDate],DATE(2026,3,28),tblDaily[WardCode],"BF")),"")</f>
        <v/>
      </c>
      <c r="G112" s="12">
        <f>IFERROR(IF(SUMIFS(tblDaily[TransfersOut],tblDaily[EntryDate],DATE(2026,3,28),tblDaily[WardCode],"BF")=0,"",SUMIFS(tblDaily[TransfersOut],tblDaily[EntryDate],DATE(2026,3,28),tblDaily[WardCode],"BF")),"")</f>
        <v/>
      </c>
      <c r="H112" s="12">
        <f>IFERROR(IF(SUMIFS(tblDaily[Remaining],tblDaily[EntryDate],DATE(2026,3,28),tblDaily[WardCode],"BF")=0,"",SUMIFS(tblDaily[Remaining],tblDaily[EntryDate],DATE(2026,3,28),tblDaily[WardCode],"BF")),"")</f>
        <v/>
      </c>
    </row>
    <row r="113">
      <c r="A113" s="12" t="n">
        <v>29</v>
      </c>
      <c r="B113" s="12">
        <f>IFERROR(IF(SUMIFS(tblDaily[Admissions],tblDaily[EntryDate],DATE(2026,3,29),tblDaily[WardCode],"BF")=0,"",SUMIFS(tblDaily[Admissions],tblDaily[EntryDate],DATE(2026,3,29),tblDaily[WardCode],"BF")),"")</f>
        <v/>
      </c>
      <c r="C113" s="12">
        <f>IFERROR(IF(SUMIFS(tblDaily[Discharges],tblDaily[EntryDate],DATE(2026,3,29),tblDaily[WardCode],"BF")=0,"",SUMIFS(tblDaily[Discharges],tblDaily[EntryDate],DATE(2026,3,29),tblDaily[WardCode],"BF")),"")</f>
        <v/>
      </c>
      <c r="D113" s="12">
        <f>IFERROR(IF(SUMIFS(tblDaily[Deaths],tblDaily[EntryDate],DATE(2026,3,29),tblDaily[WardCode],"BF")=0,"",SUMIFS(tblDaily[Deaths],tblDaily[EntryDate],DATE(2026,3,29),tblDaily[WardCode],"BF")),"")</f>
        <v/>
      </c>
      <c r="E113" s="12">
        <f>IFERROR(IF(SUMIFS(tblDaily[DeathsUnder24Hrs],tblDaily[EntryDate],DATE(2026,3,29),tblDaily[WardCode],"BF")=0,"",SUMIFS(tblDaily[DeathsUnder24Hrs],tblDaily[EntryDate],DATE(2026,3,29),tblDaily[WardCode],"BF")),"")</f>
        <v/>
      </c>
      <c r="F113" s="12">
        <f>IFERROR(IF(SUMIFS(tblDaily[TransfersIn],tblDaily[EntryDate],DATE(2026,3,29),tblDaily[WardCode],"BF")=0,"",SUMIFS(tblDaily[TransfersIn],tblDaily[EntryDate],DATE(2026,3,29),tblDaily[WardCode],"BF")),"")</f>
        <v/>
      </c>
      <c r="G113" s="12">
        <f>IFERROR(IF(SUMIFS(tblDaily[TransfersOut],tblDaily[EntryDate],DATE(2026,3,29),tblDaily[WardCode],"BF")=0,"",SUMIFS(tblDaily[TransfersOut],tblDaily[EntryDate],DATE(2026,3,29),tblDaily[WardCode],"BF")),"")</f>
        <v/>
      </c>
      <c r="H113" s="12">
        <f>IFERROR(IF(SUMIFS(tblDaily[Remaining],tblDaily[EntryDate],DATE(2026,3,29),tblDaily[WardCode],"BF")=0,"",SUMIFS(tblDaily[Remaining],tblDaily[EntryDate],DATE(2026,3,29),tblDaily[WardCode],"BF")),"")</f>
        <v/>
      </c>
    </row>
    <row r="114">
      <c r="A114" s="12" t="n">
        <v>30</v>
      </c>
      <c r="B114" s="12">
        <f>IFERROR(IF(SUMIFS(tblDaily[Admissions],tblDaily[EntryDate],DATE(2026,3,30),tblDaily[WardCode],"BF")=0,"",SUMIFS(tblDaily[Admissions],tblDaily[EntryDate],DATE(2026,3,30),tblDaily[WardCode],"BF")),"")</f>
        <v/>
      </c>
      <c r="C114" s="12">
        <f>IFERROR(IF(SUMIFS(tblDaily[Discharges],tblDaily[EntryDate],DATE(2026,3,30),tblDaily[WardCode],"BF")=0,"",SUMIFS(tblDaily[Discharges],tblDaily[EntryDate],DATE(2026,3,30),tblDaily[WardCode],"BF")),"")</f>
        <v/>
      </c>
      <c r="D114" s="12">
        <f>IFERROR(IF(SUMIFS(tblDaily[Deaths],tblDaily[EntryDate],DATE(2026,3,30),tblDaily[WardCode],"BF")=0,"",SUMIFS(tblDaily[Deaths],tblDaily[EntryDate],DATE(2026,3,30),tblDaily[WardCode],"BF")),"")</f>
        <v/>
      </c>
      <c r="E114" s="12">
        <f>IFERROR(IF(SUMIFS(tblDaily[DeathsUnder24Hrs],tblDaily[EntryDate],DATE(2026,3,30),tblDaily[WardCode],"BF")=0,"",SUMIFS(tblDaily[DeathsUnder24Hrs],tblDaily[EntryDate],DATE(2026,3,30),tblDaily[WardCode],"BF")),"")</f>
        <v/>
      </c>
      <c r="F114" s="12">
        <f>IFERROR(IF(SUMIFS(tblDaily[TransfersIn],tblDaily[EntryDate],DATE(2026,3,30),tblDaily[WardCode],"BF")=0,"",SUMIFS(tblDaily[TransfersIn],tblDaily[EntryDate],DATE(2026,3,30),tblDaily[WardCode],"BF")),"")</f>
        <v/>
      </c>
      <c r="G114" s="12">
        <f>IFERROR(IF(SUMIFS(tblDaily[TransfersOut],tblDaily[EntryDate],DATE(2026,3,30),tblDaily[WardCode],"BF")=0,"",SUMIFS(tblDaily[TransfersOut],tblDaily[EntryDate],DATE(2026,3,30),tblDaily[WardCode],"BF")),"")</f>
        <v/>
      </c>
      <c r="H114" s="12">
        <f>IFERROR(IF(SUMIFS(tblDaily[Remaining],tblDaily[EntryDate],DATE(2026,3,30),tblDaily[WardCode],"BF")=0,"",SUMIFS(tblDaily[Remaining],tblDaily[EntryDate],DATE(2026,3,30),tblDaily[WardCode],"BF")),"")</f>
        <v/>
      </c>
    </row>
    <row r="115">
      <c r="A115" s="12" t="n">
        <v>31</v>
      </c>
      <c r="B115" s="12">
        <f>IFERROR(IF(SUMIFS(tblDaily[Admissions],tblDaily[EntryDate],DATE(2026,3,31),tblDaily[WardCode],"BF")=0,"",SUMIFS(tblDaily[Admissions],tblDaily[EntryDate],DATE(2026,3,31),tblDaily[WardCode],"BF")),"")</f>
        <v/>
      </c>
      <c r="C115" s="12">
        <f>IFERROR(IF(SUMIFS(tblDaily[Discharges],tblDaily[EntryDate],DATE(2026,3,31),tblDaily[WardCode],"BF")=0,"",SUMIFS(tblDaily[Discharges],tblDaily[EntryDate],DATE(2026,3,31),tblDaily[WardCode],"BF")),"")</f>
        <v/>
      </c>
      <c r="D115" s="12">
        <f>IFERROR(IF(SUMIFS(tblDaily[Deaths],tblDaily[EntryDate],DATE(2026,3,31),tblDaily[WardCode],"BF")=0,"",SUMIFS(tblDaily[Deaths],tblDaily[EntryDate],DATE(2026,3,31),tblDaily[WardCode],"BF")),"")</f>
        <v/>
      </c>
      <c r="E115" s="12">
        <f>IFERROR(IF(SUMIFS(tblDaily[DeathsUnder24Hrs],tblDaily[EntryDate],DATE(2026,3,31),tblDaily[WardCode],"BF")=0,"",SUMIFS(tblDaily[DeathsUnder24Hrs],tblDaily[EntryDate],DATE(2026,3,31),tblDaily[WardCode],"BF")),"")</f>
        <v/>
      </c>
      <c r="F115" s="12">
        <f>IFERROR(IF(SUMIFS(tblDaily[TransfersIn],tblDaily[EntryDate],DATE(2026,3,31),tblDaily[WardCode],"BF")=0,"",SUMIFS(tblDaily[TransfersIn],tblDaily[EntryDate],DATE(2026,3,31),tblDaily[WardCode],"BF")),"")</f>
        <v/>
      </c>
      <c r="G115" s="12">
        <f>IFERROR(IF(SUMIFS(tblDaily[TransfersOut],tblDaily[EntryDate],DATE(2026,3,31),tblDaily[WardCode],"BF")=0,"",SUMIFS(tblDaily[TransfersOut],tblDaily[EntryDate],DATE(2026,3,31),tblDaily[WardCode],"BF")),"")</f>
        <v/>
      </c>
      <c r="H115" s="12">
        <f>IFERROR(IF(SUMIFS(tblDaily[Remaining],tblDaily[EntryDate],DATE(2026,3,31),tblDaily[WardCode],"BF")=0,"",SUMIFS(tblDaily[Remaining],tblDaily[EntryDate],DATE(2026,3,31),tblDaily[WardCode],"BF")),"")</f>
        <v/>
      </c>
    </row>
    <row r="116">
      <c r="A116" s="17" t="inlineStr">
        <is>
          <t>TOTAL</t>
        </is>
      </c>
      <c r="B116" s="17">
        <f>SUMIFS(tblDaily[Admissions],tblDaily[Month],3,tblDaily[WardCode],"BF") - SUMIFS(tblDaily[DeathsUnder24Hrs],tblDaily[Month],3,tblDaily[WardCode],"BF")</f>
        <v/>
      </c>
      <c r="C116" s="17">
        <f>SUMIFS(tblDaily[Discharges],tblDaily[Month],3,tblDaily[WardCode],"BF")</f>
        <v/>
      </c>
      <c r="D116" s="17">
        <f>SUMIFS(tblDaily[Deaths],tblDaily[Month],3,tblDaily[WardCode],"BF")</f>
        <v/>
      </c>
      <c r="E116" s="17">
        <f>SUMIFS(tblDaily[DeathsUnder24Hrs],tblDaily[Month],3,tblDaily[WardCode],"BF")</f>
        <v/>
      </c>
      <c r="F116" s="17">
        <f>SUMIFS(tblDaily[TransfersIn],tblDaily[Month],3,tblDaily[WardCode],"BF")</f>
        <v/>
      </c>
      <c r="G116" s="17">
        <f>SUMIFS(tblDaily[TransfersOut],tblDaily[Month],3,tblDaily[WardCode],"BF")</f>
        <v/>
      </c>
      <c r="H116" s="17">
        <f>SUMIFS(tblDaily[Remaining],tblDaily[Month],3,tblDaily[WardCode],"BF")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BLOCK F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4">
        <f>IFERROR(SUMIFS(tblDaily[Remaining],tblDaily[EntryDate],DATE(2026,3,31),tblDaily[WardCode],"BF"),0)</f>
        <v/>
      </c>
    </row>
    <row r="122">
      <c r="A122" s="4" t="inlineStr">
        <is>
          <t>Bed complement</t>
        </is>
      </c>
      <c r="H122" s="15">
        <f>IFERROR(INDEX(tblWardConfig[BedComplement],MATCH("BF",tblWardConfig[WardCode],0)),0)</f>
        <v/>
      </c>
    </row>
    <row r="123">
      <c r="A123" s="16" t="inlineStr">
        <is>
          <t>Day of
the
Month</t>
        </is>
      </c>
      <c r="B123" s="16" t="inlineStr">
        <is>
          <t>Admissions</t>
        </is>
      </c>
      <c r="C123" s="16" t="inlineStr">
        <is>
          <t>Discharges</t>
        </is>
      </c>
      <c r="D123" s="16" t="inlineStr">
        <is>
          <t>Deaths</t>
        </is>
      </c>
      <c r="E123" s="16" t="inlineStr">
        <is>
          <t>Deaths
&lt;24Hrs</t>
        </is>
      </c>
      <c r="F123" s="16" t="inlineStr">
        <is>
          <t>Transfers-
In</t>
        </is>
      </c>
      <c r="G123" s="16" t="inlineStr">
        <is>
          <t>Transfers-
Out</t>
        </is>
      </c>
      <c r="H123" s="16" t="inlineStr">
        <is>
          <t>No. of Patients
Remaining In
Ward</t>
        </is>
      </c>
    </row>
    <row r="124">
      <c r="A124" s="12" t="n">
        <v>1</v>
      </c>
      <c r="B124" s="12">
        <f>IFERROR(IF(SUMIFS(tblDaily[Admissions],tblDaily[EntryDate],DATE(2026,4,1),tblDaily[WardCode],"BF")=0,"",SUMIFS(tblDaily[Admissions],tblDaily[EntryDate],DATE(2026,4,1),tblDaily[WardCode],"BF")),"")</f>
        <v/>
      </c>
      <c r="C124" s="12">
        <f>IFERROR(IF(SUMIFS(tblDaily[Discharges],tblDaily[EntryDate],DATE(2026,4,1),tblDaily[WardCode],"BF")=0,"",SUMIFS(tblDaily[Discharges],tblDaily[EntryDate],DATE(2026,4,1),tblDaily[WardCode],"BF")),"")</f>
        <v/>
      </c>
      <c r="D124" s="12">
        <f>IFERROR(IF(SUMIFS(tblDaily[Deaths],tblDaily[EntryDate],DATE(2026,4,1),tblDaily[WardCode],"BF")=0,"",SUMIFS(tblDaily[Deaths],tblDaily[EntryDate],DATE(2026,4,1),tblDaily[WardCode],"BF")),"")</f>
        <v/>
      </c>
      <c r="E124" s="12">
        <f>IFERROR(IF(SUMIFS(tblDaily[DeathsUnder24Hrs],tblDaily[EntryDate],DATE(2026,4,1),tblDaily[WardCode],"BF")=0,"",SUMIFS(tblDaily[DeathsUnder24Hrs],tblDaily[EntryDate],DATE(2026,4,1),tblDaily[WardCode],"BF")),"")</f>
        <v/>
      </c>
      <c r="F124" s="12">
        <f>IFERROR(IF(SUMIFS(tblDaily[TransfersIn],tblDaily[EntryDate],DATE(2026,4,1),tblDaily[WardCode],"BF")=0,"",SUMIFS(tblDaily[TransfersIn],tblDaily[EntryDate],DATE(2026,4,1),tblDaily[WardCode],"BF")),"")</f>
        <v/>
      </c>
      <c r="G124" s="12">
        <f>IFERROR(IF(SUMIFS(tblDaily[TransfersOut],tblDaily[EntryDate],DATE(2026,4,1),tblDaily[WardCode],"BF")=0,"",SUMIFS(tblDaily[TransfersOut],tblDaily[EntryDate],DATE(2026,4,1),tblDaily[WardCode],"BF")),"")</f>
        <v/>
      </c>
      <c r="H124" s="12">
        <f>IFERROR(IF(SUMIFS(tblDaily[Remaining],tblDaily[EntryDate],DATE(2026,4,1),tblDaily[WardCode],"BF")=0,"",SUMIFS(tblDaily[Remaining],tblDaily[EntryDate],DATE(2026,4,1),tblDaily[WardCode],"BF")),"")</f>
        <v/>
      </c>
    </row>
    <row r="125">
      <c r="A125" s="12" t="n">
        <v>2</v>
      </c>
      <c r="B125" s="12">
        <f>IFERROR(IF(SUMIFS(tblDaily[Admissions],tblDaily[EntryDate],DATE(2026,4,2),tblDaily[WardCode],"BF")=0,"",SUMIFS(tblDaily[Admissions],tblDaily[EntryDate],DATE(2026,4,2),tblDaily[WardCode],"BF")),"")</f>
        <v/>
      </c>
      <c r="C125" s="12">
        <f>IFERROR(IF(SUMIFS(tblDaily[Discharges],tblDaily[EntryDate],DATE(2026,4,2),tblDaily[WardCode],"BF")=0,"",SUMIFS(tblDaily[Discharges],tblDaily[EntryDate],DATE(2026,4,2),tblDaily[WardCode],"BF")),"")</f>
        <v/>
      </c>
      <c r="D125" s="12">
        <f>IFERROR(IF(SUMIFS(tblDaily[Deaths],tblDaily[EntryDate],DATE(2026,4,2),tblDaily[WardCode],"BF")=0,"",SUMIFS(tblDaily[Deaths],tblDaily[EntryDate],DATE(2026,4,2),tblDaily[WardCode],"BF")),"")</f>
        <v/>
      </c>
      <c r="E125" s="12">
        <f>IFERROR(IF(SUMIFS(tblDaily[DeathsUnder24Hrs],tblDaily[EntryDate],DATE(2026,4,2),tblDaily[WardCode],"BF")=0,"",SUMIFS(tblDaily[DeathsUnder24Hrs],tblDaily[EntryDate],DATE(2026,4,2),tblDaily[WardCode],"BF")),"")</f>
        <v/>
      </c>
      <c r="F125" s="12">
        <f>IFERROR(IF(SUMIFS(tblDaily[TransfersIn],tblDaily[EntryDate],DATE(2026,4,2),tblDaily[WardCode],"BF")=0,"",SUMIFS(tblDaily[TransfersIn],tblDaily[EntryDate],DATE(2026,4,2),tblDaily[WardCode],"BF")),"")</f>
        <v/>
      </c>
      <c r="G125" s="12">
        <f>IFERROR(IF(SUMIFS(tblDaily[TransfersOut],tblDaily[EntryDate],DATE(2026,4,2),tblDaily[WardCode],"BF")=0,"",SUMIFS(tblDaily[TransfersOut],tblDaily[EntryDate],DATE(2026,4,2),tblDaily[WardCode],"BF")),"")</f>
        <v/>
      </c>
      <c r="H125" s="12">
        <f>IFERROR(IF(SUMIFS(tblDaily[Remaining],tblDaily[EntryDate],DATE(2026,4,2),tblDaily[WardCode],"BF")=0,"",SUMIFS(tblDaily[Remaining],tblDaily[EntryDate],DATE(2026,4,2),tblDaily[WardCode],"BF")),"")</f>
        <v/>
      </c>
    </row>
    <row r="126">
      <c r="A126" s="12" t="n">
        <v>3</v>
      </c>
      <c r="B126" s="12">
        <f>IFERROR(IF(SUMIFS(tblDaily[Admissions],tblDaily[EntryDate],DATE(2026,4,3),tblDaily[WardCode],"BF")=0,"",SUMIFS(tblDaily[Admissions],tblDaily[EntryDate],DATE(2026,4,3),tblDaily[WardCode],"BF")),"")</f>
        <v/>
      </c>
      <c r="C126" s="12">
        <f>IFERROR(IF(SUMIFS(tblDaily[Discharges],tblDaily[EntryDate],DATE(2026,4,3),tblDaily[WardCode],"BF")=0,"",SUMIFS(tblDaily[Discharges],tblDaily[EntryDate],DATE(2026,4,3),tblDaily[WardCode],"BF")),"")</f>
        <v/>
      </c>
      <c r="D126" s="12">
        <f>IFERROR(IF(SUMIFS(tblDaily[Deaths],tblDaily[EntryDate],DATE(2026,4,3),tblDaily[WardCode],"BF")=0,"",SUMIFS(tblDaily[Deaths],tblDaily[EntryDate],DATE(2026,4,3),tblDaily[WardCode],"BF")),"")</f>
        <v/>
      </c>
      <c r="E126" s="12">
        <f>IFERROR(IF(SUMIFS(tblDaily[DeathsUnder24Hrs],tblDaily[EntryDate],DATE(2026,4,3),tblDaily[WardCode],"BF")=0,"",SUMIFS(tblDaily[DeathsUnder24Hrs],tblDaily[EntryDate],DATE(2026,4,3),tblDaily[WardCode],"BF")),"")</f>
        <v/>
      </c>
      <c r="F126" s="12">
        <f>IFERROR(IF(SUMIFS(tblDaily[TransfersIn],tblDaily[EntryDate],DATE(2026,4,3),tblDaily[WardCode],"BF")=0,"",SUMIFS(tblDaily[TransfersIn],tblDaily[EntryDate],DATE(2026,4,3),tblDaily[WardCode],"BF")),"")</f>
        <v/>
      </c>
      <c r="G126" s="12">
        <f>IFERROR(IF(SUMIFS(tblDaily[TransfersOut],tblDaily[EntryDate],DATE(2026,4,3),tblDaily[WardCode],"BF")=0,"",SUMIFS(tblDaily[TransfersOut],tblDaily[EntryDate],DATE(2026,4,3),tblDaily[WardCode],"BF")),"")</f>
        <v/>
      </c>
      <c r="H126" s="12">
        <f>IFERROR(IF(SUMIFS(tblDaily[Remaining],tblDaily[EntryDate],DATE(2026,4,3),tblDaily[WardCode],"BF")=0,"",SUMIFS(tblDaily[Remaining],tblDaily[EntryDate],DATE(2026,4,3),tblDaily[WardCode],"BF")),"")</f>
        <v/>
      </c>
    </row>
    <row r="127">
      <c r="A127" s="12" t="n">
        <v>4</v>
      </c>
      <c r="B127" s="12">
        <f>IFERROR(IF(SUMIFS(tblDaily[Admissions],tblDaily[EntryDate],DATE(2026,4,4),tblDaily[WardCode],"BF")=0,"",SUMIFS(tblDaily[Admissions],tblDaily[EntryDate],DATE(2026,4,4),tblDaily[WardCode],"BF")),"")</f>
        <v/>
      </c>
      <c r="C127" s="12">
        <f>IFERROR(IF(SUMIFS(tblDaily[Discharges],tblDaily[EntryDate],DATE(2026,4,4),tblDaily[WardCode],"BF")=0,"",SUMIFS(tblDaily[Discharges],tblDaily[EntryDate],DATE(2026,4,4),tblDaily[WardCode],"BF")),"")</f>
        <v/>
      </c>
      <c r="D127" s="12">
        <f>IFERROR(IF(SUMIFS(tblDaily[Deaths],tblDaily[EntryDate],DATE(2026,4,4),tblDaily[WardCode],"BF")=0,"",SUMIFS(tblDaily[Deaths],tblDaily[EntryDate],DATE(2026,4,4),tblDaily[WardCode],"BF")),"")</f>
        <v/>
      </c>
      <c r="E127" s="12">
        <f>IFERROR(IF(SUMIFS(tblDaily[DeathsUnder24Hrs],tblDaily[EntryDate],DATE(2026,4,4),tblDaily[WardCode],"BF")=0,"",SUMIFS(tblDaily[DeathsUnder24Hrs],tblDaily[EntryDate],DATE(2026,4,4),tblDaily[WardCode],"BF")),"")</f>
        <v/>
      </c>
      <c r="F127" s="12">
        <f>IFERROR(IF(SUMIFS(tblDaily[TransfersIn],tblDaily[EntryDate],DATE(2026,4,4),tblDaily[WardCode],"BF")=0,"",SUMIFS(tblDaily[TransfersIn],tblDaily[EntryDate],DATE(2026,4,4),tblDaily[WardCode],"BF")),"")</f>
        <v/>
      </c>
      <c r="G127" s="12">
        <f>IFERROR(IF(SUMIFS(tblDaily[TransfersOut],tblDaily[EntryDate],DATE(2026,4,4),tblDaily[WardCode],"BF")=0,"",SUMIFS(tblDaily[TransfersOut],tblDaily[EntryDate],DATE(2026,4,4),tblDaily[WardCode],"BF")),"")</f>
        <v/>
      </c>
      <c r="H127" s="12">
        <f>IFERROR(IF(SUMIFS(tblDaily[Remaining],tblDaily[EntryDate],DATE(2026,4,4),tblDaily[WardCode],"BF")=0,"",SUMIFS(tblDaily[Remaining],tblDaily[EntryDate],DATE(2026,4,4),tblDaily[WardCode],"BF")),"")</f>
        <v/>
      </c>
    </row>
    <row r="128">
      <c r="A128" s="12" t="n">
        <v>5</v>
      </c>
      <c r="B128" s="12">
        <f>IFERROR(IF(SUMIFS(tblDaily[Admissions],tblDaily[EntryDate],DATE(2026,4,5),tblDaily[WardCode],"BF")=0,"",SUMIFS(tblDaily[Admissions],tblDaily[EntryDate],DATE(2026,4,5),tblDaily[WardCode],"BF")),"")</f>
        <v/>
      </c>
      <c r="C128" s="12">
        <f>IFERROR(IF(SUMIFS(tblDaily[Discharges],tblDaily[EntryDate],DATE(2026,4,5),tblDaily[WardCode],"BF")=0,"",SUMIFS(tblDaily[Discharges],tblDaily[EntryDate],DATE(2026,4,5),tblDaily[WardCode],"BF")),"")</f>
        <v/>
      </c>
      <c r="D128" s="12">
        <f>IFERROR(IF(SUMIFS(tblDaily[Deaths],tblDaily[EntryDate],DATE(2026,4,5),tblDaily[WardCode],"BF")=0,"",SUMIFS(tblDaily[Deaths],tblDaily[EntryDate],DATE(2026,4,5),tblDaily[WardCode],"BF")),"")</f>
        <v/>
      </c>
      <c r="E128" s="12">
        <f>IFERROR(IF(SUMIFS(tblDaily[DeathsUnder24Hrs],tblDaily[EntryDate],DATE(2026,4,5),tblDaily[WardCode],"BF")=0,"",SUMIFS(tblDaily[DeathsUnder24Hrs],tblDaily[EntryDate],DATE(2026,4,5),tblDaily[WardCode],"BF")),"")</f>
        <v/>
      </c>
      <c r="F128" s="12">
        <f>IFERROR(IF(SUMIFS(tblDaily[TransfersIn],tblDaily[EntryDate],DATE(2026,4,5),tblDaily[WardCode],"BF")=0,"",SUMIFS(tblDaily[TransfersIn],tblDaily[EntryDate],DATE(2026,4,5),tblDaily[WardCode],"BF")),"")</f>
        <v/>
      </c>
      <c r="G128" s="12">
        <f>IFERROR(IF(SUMIFS(tblDaily[TransfersOut],tblDaily[EntryDate],DATE(2026,4,5),tblDaily[WardCode],"BF")=0,"",SUMIFS(tblDaily[TransfersOut],tblDaily[EntryDate],DATE(2026,4,5),tblDaily[WardCode],"BF")),"")</f>
        <v/>
      </c>
      <c r="H128" s="12">
        <f>IFERROR(IF(SUMIFS(tblDaily[Remaining],tblDaily[EntryDate],DATE(2026,4,5),tblDaily[WardCode],"BF")=0,"",SUMIFS(tblDaily[Remaining],tblDaily[EntryDate],DATE(2026,4,5),tblDaily[WardCode],"BF")),"")</f>
        <v/>
      </c>
    </row>
    <row r="129">
      <c r="A129" s="12" t="n">
        <v>6</v>
      </c>
      <c r="B129" s="12">
        <f>IFERROR(IF(SUMIFS(tblDaily[Admissions],tblDaily[EntryDate],DATE(2026,4,6),tblDaily[WardCode],"BF")=0,"",SUMIFS(tblDaily[Admissions],tblDaily[EntryDate],DATE(2026,4,6),tblDaily[WardCode],"BF")),"")</f>
        <v/>
      </c>
      <c r="C129" s="12">
        <f>IFERROR(IF(SUMIFS(tblDaily[Discharges],tblDaily[EntryDate],DATE(2026,4,6),tblDaily[WardCode],"BF")=0,"",SUMIFS(tblDaily[Discharges],tblDaily[EntryDate],DATE(2026,4,6),tblDaily[WardCode],"BF")),"")</f>
        <v/>
      </c>
      <c r="D129" s="12">
        <f>IFERROR(IF(SUMIFS(tblDaily[Deaths],tblDaily[EntryDate],DATE(2026,4,6),tblDaily[WardCode],"BF")=0,"",SUMIFS(tblDaily[Deaths],tblDaily[EntryDate],DATE(2026,4,6),tblDaily[WardCode],"BF")),"")</f>
        <v/>
      </c>
      <c r="E129" s="12">
        <f>IFERROR(IF(SUMIFS(tblDaily[DeathsUnder24Hrs],tblDaily[EntryDate],DATE(2026,4,6),tblDaily[WardCode],"BF")=0,"",SUMIFS(tblDaily[DeathsUnder24Hrs],tblDaily[EntryDate],DATE(2026,4,6),tblDaily[WardCode],"BF")),"")</f>
        <v/>
      </c>
      <c r="F129" s="12">
        <f>IFERROR(IF(SUMIFS(tblDaily[TransfersIn],tblDaily[EntryDate],DATE(2026,4,6),tblDaily[WardCode],"BF")=0,"",SUMIFS(tblDaily[TransfersIn],tblDaily[EntryDate],DATE(2026,4,6),tblDaily[WardCode],"BF")),"")</f>
        <v/>
      </c>
      <c r="G129" s="12">
        <f>IFERROR(IF(SUMIFS(tblDaily[TransfersOut],tblDaily[EntryDate],DATE(2026,4,6),tblDaily[WardCode],"BF")=0,"",SUMIFS(tblDaily[TransfersOut],tblDaily[EntryDate],DATE(2026,4,6),tblDaily[WardCode],"BF")),"")</f>
        <v/>
      </c>
      <c r="H129" s="12">
        <f>IFERROR(IF(SUMIFS(tblDaily[Remaining],tblDaily[EntryDate],DATE(2026,4,6),tblDaily[WardCode],"BF")=0,"",SUMIFS(tblDaily[Remaining],tblDaily[EntryDate],DATE(2026,4,6),tblDaily[WardCode],"BF")),"")</f>
        <v/>
      </c>
    </row>
    <row r="130">
      <c r="A130" s="12" t="n">
        <v>7</v>
      </c>
      <c r="B130" s="12">
        <f>IFERROR(IF(SUMIFS(tblDaily[Admissions],tblDaily[EntryDate],DATE(2026,4,7),tblDaily[WardCode],"BF")=0,"",SUMIFS(tblDaily[Admissions],tblDaily[EntryDate],DATE(2026,4,7),tblDaily[WardCode],"BF")),"")</f>
        <v/>
      </c>
      <c r="C130" s="12">
        <f>IFERROR(IF(SUMIFS(tblDaily[Discharges],tblDaily[EntryDate],DATE(2026,4,7),tblDaily[WardCode],"BF")=0,"",SUMIFS(tblDaily[Discharges],tblDaily[EntryDate],DATE(2026,4,7),tblDaily[WardCode],"BF")),"")</f>
        <v/>
      </c>
      <c r="D130" s="12">
        <f>IFERROR(IF(SUMIFS(tblDaily[Deaths],tblDaily[EntryDate],DATE(2026,4,7),tblDaily[WardCode],"BF")=0,"",SUMIFS(tblDaily[Deaths],tblDaily[EntryDate],DATE(2026,4,7),tblDaily[WardCode],"BF")),"")</f>
        <v/>
      </c>
      <c r="E130" s="12">
        <f>IFERROR(IF(SUMIFS(tblDaily[DeathsUnder24Hrs],tblDaily[EntryDate],DATE(2026,4,7),tblDaily[WardCode],"BF")=0,"",SUMIFS(tblDaily[DeathsUnder24Hrs],tblDaily[EntryDate],DATE(2026,4,7),tblDaily[WardCode],"BF")),"")</f>
        <v/>
      </c>
      <c r="F130" s="12">
        <f>IFERROR(IF(SUMIFS(tblDaily[TransfersIn],tblDaily[EntryDate],DATE(2026,4,7),tblDaily[WardCode],"BF")=0,"",SUMIFS(tblDaily[TransfersIn],tblDaily[EntryDate],DATE(2026,4,7),tblDaily[WardCode],"BF")),"")</f>
        <v/>
      </c>
      <c r="G130" s="12">
        <f>IFERROR(IF(SUMIFS(tblDaily[TransfersOut],tblDaily[EntryDate],DATE(2026,4,7),tblDaily[WardCode],"BF")=0,"",SUMIFS(tblDaily[TransfersOut],tblDaily[EntryDate],DATE(2026,4,7),tblDaily[WardCode],"BF")),"")</f>
        <v/>
      </c>
      <c r="H130" s="12">
        <f>IFERROR(IF(SUMIFS(tblDaily[Remaining],tblDaily[EntryDate],DATE(2026,4,7),tblDaily[WardCode],"BF")=0,"",SUMIFS(tblDaily[Remaining],tblDaily[EntryDate],DATE(2026,4,7),tblDaily[WardCode],"BF")),"")</f>
        <v/>
      </c>
    </row>
    <row r="131">
      <c r="A131" s="12" t="n">
        <v>8</v>
      </c>
      <c r="B131" s="12">
        <f>IFERROR(IF(SUMIFS(tblDaily[Admissions],tblDaily[EntryDate],DATE(2026,4,8),tblDaily[WardCode],"BF")=0,"",SUMIFS(tblDaily[Admissions],tblDaily[EntryDate],DATE(2026,4,8),tblDaily[WardCode],"BF")),"")</f>
        <v/>
      </c>
      <c r="C131" s="12">
        <f>IFERROR(IF(SUMIFS(tblDaily[Discharges],tblDaily[EntryDate],DATE(2026,4,8),tblDaily[WardCode],"BF")=0,"",SUMIFS(tblDaily[Discharges],tblDaily[EntryDate],DATE(2026,4,8),tblDaily[WardCode],"BF")),"")</f>
        <v/>
      </c>
      <c r="D131" s="12">
        <f>IFERROR(IF(SUMIFS(tblDaily[Deaths],tblDaily[EntryDate],DATE(2026,4,8),tblDaily[WardCode],"BF")=0,"",SUMIFS(tblDaily[Deaths],tblDaily[EntryDate],DATE(2026,4,8),tblDaily[WardCode],"BF")),"")</f>
        <v/>
      </c>
      <c r="E131" s="12">
        <f>IFERROR(IF(SUMIFS(tblDaily[DeathsUnder24Hrs],tblDaily[EntryDate],DATE(2026,4,8),tblDaily[WardCode],"BF")=0,"",SUMIFS(tblDaily[DeathsUnder24Hrs],tblDaily[EntryDate],DATE(2026,4,8),tblDaily[WardCode],"BF")),"")</f>
        <v/>
      </c>
      <c r="F131" s="12">
        <f>IFERROR(IF(SUMIFS(tblDaily[TransfersIn],tblDaily[EntryDate],DATE(2026,4,8),tblDaily[WardCode],"BF")=0,"",SUMIFS(tblDaily[TransfersIn],tblDaily[EntryDate],DATE(2026,4,8),tblDaily[WardCode],"BF")),"")</f>
        <v/>
      </c>
      <c r="G131" s="12">
        <f>IFERROR(IF(SUMIFS(tblDaily[TransfersOut],tblDaily[EntryDate],DATE(2026,4,8),tblDaily[WardCode],"BF")=0,"",SUMIFS(tblDaily[TransfersOut],tblDaily[EntryDate],DATE(2026,4,8),tblDaily[WardCode],"BF")),"")</f>
        <v/>
      </c>
      <c r="H131" s="12">
        <f>IFERROR(IF(SUMIFS(tblDaily[Remaining],tblDaily[EntryDate],DATE(2026,4,8),tblDaily[WardCode],"BF")=0,"",SUMIFS(tblDaily[Remaining],tblDaily[EntryDate],DATE(2026,4,8),tblDaily[WardCode],"BF")),"")</f>
        <v/>
      </c>
    </row>
    <row r="132">
      <c r="A132" s="12" t="n">
        <v>9</v>
      </c>
      <c r="B132" s="12">
        <f>IFERROR(IF(SUMIFS(tblDaily[Admissions],tblDaily[EntryDate],DATE(2026,4,9),tblDaily[WardCode],"BF")=0,"",SUMIFS(tblDaily[Admissions],tblDaily[EntryDate],DATE(2026,4,9),tblDaily[WardCode],"BF")),"")</f>
        <v/>
      </c>
      <c r="C132" s="12">
        <f>IFERROR(IF(SUMIFS(tblDaily[Discharges],tblDaily[EntryDate],DATE(2026,4,9),tblDaily[WardCode],"BF")=0,"",SUMIFS(tblDaily[Discharges],tblDaily[EntryDate],DATE(2026,4,9),tblDaily[WardCode],"BF")),"")</f>
        <v/>
      </c>
      <c r="D132" s="12">
        <f>IFERROR(IF(SUMIFS(tblDaily[Deaths],tblDaily[EntryDate],DATE(2026,4,9),tblDaily[WardCode],"BF")=0,"",SUMIFS(tblDaily[Deaths],tblDaily[EntryDate],DATE(2026,4,9),tblDaily[WardCode],"BF")),"")</f>
        <v/>
      </c>
      <c r="E132" s="12">
        <f>IFERROR(IF(SUMIFS(tblDaily[DeathsUnder24Hrs],tblDaily[EntryDate],DATE(2026,4,9),tblDaily[WardCode],"BF")=0,"",SUMIFS(tblDaily[DeathsUnder24Hrs],tblDaily[EntryDate],DATE(2026,4,9),tblDaily[WardCode],"BF")),"")</f>
        <v/>
      </c>
      <c r="F132" s="12">
        <f>IFERROR(IF(SUMIFS(tblDaily[TransfersIn],tblDaily[EntryDate],DATE(2026,4,9),tblDaily[WardCode],"BF")=0,"",SUMIFS(tblDaily[TransfersIn],tblDaily[EntryDate],DATE(2026,4,9),tblDaily[WardCode],"BF")),"")</f>
        <v/>
      </c>
      <c r="G132" s="12">
        <f>IFERROR(IF(SUMIFS(tblDaily[TransfersOut],tblDaily[EntryDate],DATE(2026,4,9),tblDaily[WardCode],"BF")=0,"",SUMIFS(tblDaily[TransfersOut],tblDaily[EntryDate],DATE(2026,4,9),tblDaily[WardCode],"BF")),"")</f>
        <v/>
      </c>
      <c r="H132" s="12">
        <f>IFERROR(IF(SUMIFS(tblDaily[Remaining],tblDaily[EntryDate],DATE(2026,4,9),tblDaily[WardCode],"BF")=0,"",SUMIFS(tblDaily[Remaining],tblDaily[EntryDate],DATE(2026,4,9),tblDaily[WardCode],"BF")),"")</f>
        <v/>
      </c>
    </row>
    <row r="133">
      <c r="A133" s="12" t="n">
        <v>10</v>
      </c>
      <c r="B133" s="12">
        <f>IFERROR(IF(SUMIFS(tblDaily[Admissions],tblDaily[EntryDate],DATE(2026,4,10),tblDaily[WardCode],"BF")=0,"",SUMIFS(tblDaily[Admissions],tblDaily[EntryDate],DATE(2026,4,10),tblDaily[WardCode],"BF")),"")</f>
        <v/>
      </c>
      <c r="C133" s="12">
        <f>IFERROR(IF(SUMIFS(tblDaily[Discharges],tblDaily[EntryDate],DATE(2026,4,10),tblDaily[WardCode],"BF")=0,"",SUMIFS(tblDaily[Discharges],tblDaily[EntryDate],DATE(2026,4,10),tblDaily[WardCode],"BF")),"")</f>
        <v/>
      </c>
      <c r="D133" s="12">
        <f>IFERROR(IF(SUMIFS(tblDaily[Deaths],tblDaily[EntryDate],DATE(2026,4,10),tblDaily[WardCode],"BF")=0,"",SUMIFS(tblDaily[Deaths],tblDaily[EntryDate],DATE(2026,4,10),tblDaily[WardCode],"BF")),"")</f>
        <v/>
      </c>
      <c r="E133" s="12">
        <f>IFERROR(IF(SUMIFS(tblDaily[DeathsUnder24Hrs],tblDaily[EntryDate],DATE(2026,4,10),tblDaily[WardCode],"BF")=0,"",SUMIFS(tblDaily[DeathsUnder24Hrs],tblDaily[EntryDate],DATE(2026,4,10),tblDaily[WardCode],"BF")),"")</f>
        <v/>
      </c>
      <c r="F133" s="12">
        <f>IFERROR(IF(SUMIFS(tblDaily[TransfersIn],tblDaily[EntryDate],DATE(2026,4,10),tblDaily[WardCode],"BF")=0,"",SUMIFS(tblDaily[TransfersIn],tblDaily[EntryDate],DATE(2026,4,10),tblDaily[WardCode],"BF")),"")</f>
        <v/>
      </c>
      <c r="G133" s="12">
        <f>IFERROR(IF(SUMIFS(tblDaily[TransfersOut],tblDaily[EntryDate],DATE(2026,4,10),tblDaily[WardCode],"BF")=0,"",SUMIFS(tblDaily[TransfersOut],tblDaily[EntryDate],DATE(2026,4,10),tblDaily[WardCode],"BF")),"")</f>
        <v/>
      </c>
      <c r="H133" s="12">
        <f>IFERROR(IF(SUMIFS(tblDaily[Remaining],tblDaily[EntryDate],DATE(2026,4,10),tblDaily[WardCode],"BF")=0,"",SUMIFS(tblDaily[Remaining],tblDaily[EntryDate],DATE(2026,4,10),tblDaily[WardCode],"BF")),"")</f>
        <v/>
      </c>
    </row>
    <row r="134">
      <c r="A134" s="12" t="n">
        <v>11</v>
      </c>
      <c r="B134" s="12">
        <f>IFERROR(IF(SUMIFS(tblDaily[Admissions],tblDaily[EntryDate],DATE(2026,4,11),tblDaily[WardCode],"BF")=0,"",SUMIFS(tblDaily[Admissions],tblDaily[EntryDate],DATE(2026,4,11),tblDaily[WardCode],"BF")),"")</f>
        <v/>
      </c>
      <c r="C134" s="12">
        <f>IFERROR(IF(SUMIFS(tblDaily[Discharges],tblDaily[EntryDate],DATE(2026,4,11),tblDaily[WardCode],"BF")=0,"",SUMIFS(tblDaily[Discharges],tblDaily[EntryDate],DATE(2026,4,11),tblDaily[WardCode],"BF")),"")</f>
        <v/>
      </c>
      <c r="D134" s="12">
        <f>IFERROR(IF(SUMIFS(tblDaily[Deaths],tblDaily[EntryDate],DATE(2026,4,11),tblDaily[WardCode],"BF")=0,"",SUMIFS(tblDaily[Deaths],tblDaily[EntryDate],DATE(2026,4,11),tblDaily[WardCode],"BF")),"")</f>
        <v/>
      </c>
      <c r="E134" s="12">
        <f>IFERROR(IF(SUMIFS(tblDaily[DeathsUnder24Hrs],tblDaily[EntryDate],DATE(2026,4,11),tblDaily[WardCode],"BF")=0,"",SUMIFS(tblDaily[DeathsUnder24Hrs],tblDaily[EntryDate],DATE(2026,4,11),tblDaily[WardCode],"BF")),"")</f>
        <v/>
      </c>
      <c r="F134" s="12">
        <f>IFERROR(IF(SUMIFS(tblDaily[TransfersIn],tblDaily[EntryDate],DATE(2026,4,11),tblDaily[WardCode],"BF")=0,"",SUMIFS(tblDaily[TransfersIn],tblDaily[EntryDate],DATE(2026,4,11),tblDaily[WardCode],"BF")),"")</f>
        <v/>
      </c>
      <c r="G134" s="12">
        <f>IFERROR(IF(SUMIFS(tblDaily[TransfersOut],tblDaily[EntryDate],DATE(2026,4,11),tblDaily[WardCode],"BF")=0,"",SUMIFS(tblDaily[TransfersOut],tblDaily[EntryDate],DATE(2026,4,11),tblDaily[WardCode],"BF")),"")</f>
        <v/>
      </c>
      <c r="H134" s="12">
        <f>IFERROR(IF(SUMIFS(tblDaily[Remaining],tblDaily[EntryDate],DATE(2026,4,11),tblDaily[WardCode],"BF")=0,"",SUMIFS(tblDaily[Remaining],tblDaily[EntryDate],DATE(2026,4,11),tblDaily[WardCode],"BF")),"")</f>
        <v/>
      </c>
    </row>
    <row r="135">
      <c r="A135" s="12" t="n">
        <v>12</v>
      </c>
      <c r="B135" s="12">
        <f>IFERROR(IF(SUMIFS(tblDaily[Admissions],tblDaily[EntryDate],DATE(2026,4,12),tblDaily[WardCode],"BF")=0,"",SUMIFS(tblDaily[Admissions],tblDaily[EntryDate],DATE(2026,4,12),tblDaily[WardCode],"BF")),"")</f>
        <v/>
      </c>
      <c r="C135" s="12">
        <f>IFERROR(IF(SUMIFS(tblDaily[Discharges],tblDaily[EntryDate],DATE(2026,4,12),tblDaily[WardCode],"BF")=0,"",SUMIFS(tblDaily[Discharges],tblDaily[EntryDate],DATE(2026,4,12),tblDaily[WardCode],"BF")),"")</f>
        <v/>
      </c>
      <c r="D135" s="12">
        <f>IFERROR(IF(SUMIFS(tblDaily[Deaths],tblDaily[EntryDate],DATE(2026,4,12),tblDaily[WardCode],"BF")=0,"",SUMIFS(tblDaily[Deaths],tblDaily[EntryDate],DATE(2026,4,12),tblDaily[WardCode],"BF")),"")</f>
        <v/>
      </c>
      <c r="E135" s="12">
        <f>IFERROR(IF(SUMIFS(tblDaily[DeathsUnder24Hrs],tblDaily[EntryDate],DATE(2026,4,12),tblDaily[WardCode],"BF")=0,"",SUMIFS(tblDaily[DeathsUnder24Hrs],tblDaily[EntryDate],DATE(2026,4,12),tblDaily[WardCode],"BF")),"")</f>
        <v/>
      </c>
      <c r="F135" s="12">
        <f>IFERROR(IF(SUMIFS(tblDaily[TransfersIn],tblDaily[EntryDate],DATE(2026,4,12),tblDaily[WardCode],"BF")=0,"",SUMIFS(tblDaily[TransfersIn],tblDaily[EntryDate],DATE(2026,4,12),tblDaily[WardCode],"BF")),"")</f>
        <v/>
      </c>
      <c r="G135" s="12">
        <f>IFERROR(IF(SUMIFS(tblDaily[TransfersOut],tblDaily[EntryDate],DATE(2026,4,12),tblDaily[WardCode],"BF")=0,"",SUMIFS(tblDaily[TransfersOut],tblDaily[EntryDate],DATE(2026,4,12),tblDaily[WardCode],"BF")),"")</f>
        <v/>
      </c>
      <c r="H135" s="12">
        <f>IFERROR(IF(SUMIFS(tblDaily[Remaining],tblDaily[EntryDate],DATE(2026,4,12),tblDaily[WardCode],"BF")=0,"",SUMIFS(tblDaily[Remaining],tblDaily[EntryDate],DATE(2026,4,12),tblDaily[WardCode],"BF")),"")</f>
        <v/>
      </c>
    </row>
    <row r="136">
      <c r="A136" s="12" t="n">
        <v>13</v>
      </c>
      <c r="B136" s="12">
        <f>IFERROR(IF(SUMIFS(tblDaily[Admissions],tblDaily[EntryDate],DATE(2026,4,13),tblDaily[WardCode],"BF")=0,"",SUMIFS(tblDaily[Admissions],tblDaily[EntryDate],DATE(2026,4,13),tblDaily[WardCode],"BF")),"")</f>
        <v/>
      </c>
      <c r="C136" s="12">
        <f>IFERROR(IF(SUMIFS(tblDaily[Discharges],tblDaily[EntryDate],DATE(2026,4,13),tblDaily[WardCode],"BF")=0,"",SUMIFS(tblDaily[Discharges],tblDaily[EntryDate],DATE(2026,4,13),tblDaily[WardCode],"BF")),"")</f>
        <v/>
      </c>
      <c r="D136" s="12">
        <f>IFERROR(IF(SUMIFS(tblDaily[Deaths],tblDaily[EntryDate],DATE(2026,4,13),tblDaily[WardCode],"BF")=0,"",SUMIFS(tblDaily[Deaths],tblDaily[EntryDate],DATE(2026,4,13),tblDaily[WardCode],"BF")),"")</f>
        <v/>
      </c>
      <c r="E136" s="12">
        <f>IFERROR(IF(SUMIFS(tblDaily[DeathsUnder24Hrs],tblDaily[EntryDate],DATE(2026,4,13),tblDaily[WardCode],"BF")=0,"",SUMIFS(tblDaily[DeathsUnder24Hrs],tblDaily[EntryDate],DATE(2026,4,13),tblDaily[WardCode],"BF")),"")</f>
        <v/>
      </c>
      <c r="F136" s="12">
        <f>IFERROR(IF(SUMIFS(tblDaily[TransfersIn],tblDaily[EntryDate],DATE(2026,4,13),tblDaily[WardCode],"BF")=0,"",SUMIFS(tblDaily[TransfersIn],tblDaily[EntryDate],DATE(2026,4,13),tblDaily[WardCode],"BF")),"")</f>
        <v/>
      </c>
      <c r="G136" s="12">
        <f>IFERROR(IF(SUMIFS(tblDaily[TransfersOut],tblDaily[EntryDate],DATE(2026,4,13),tblDaily[WardCode],"BF")=0,"",SUMIFS(tblDaily[TransfersOut],tblDaily[EntryDate],DATE(2026,4,13),tblDaily[WardCode],"BF")),"")</f>
        <v/>
      </c>
      <c r="H136" s="12">
        <f>IFERROR(IF(SUMIFS(tblDaily[Remaining],tblDaily[EntryDate],DATE(2026,4,13),tblDaily[WardCode],"BF")=0,"",SUMIFS(tblDaily[Remaining],tblDaily[EntryDate],DATE(2026,4,13),tblDaily[WardCode],"BF")),"")</f>
        <v/>
      </c>
    </row>
    <row r="137">
      <c r="A137" s="12" t="n">
        <v>14</v>
      </c>
      <c r="B137" s="12">
        <f>IFERROR(IF(SUMIFS(tblDaily[Admissions],tblDaily[EntryDate],DATE(2026,4,14),tblDaily[WardCode],"BF")=0,"",SUMIFS(tblDaily[Admissions],tblDaily[EntryDate],DATE(2026,4,14),tblDaily[WardCode],"BF")),"")</f>
        <v/>
      </c>
      <c r="C137" s="12">
        <f>IFERROR(IF(SUMIFS(tblDaily[Discharges],tblDaily[EntryDate],DATE(2026,4,14),tblDaily[WardCode],"BF")=0,"",SUMIFS(tblDaily[Discharges],tblDaily[EntryDate],DATE(2026,4,14),tblDaily[WardCode],"BF")),"")</f>
        <v/>
      </c>
      <c r="D137" s="12">
        <f>IFERROR(IF(SUMIFS(tblDaily[Deaths],tblDaily[EntryDate],DATE(2026,4,14),tblDaily[WardCode],"BF")=0,"",SUMIFS(tblDaily[Deaths],tblDaily[EntryDate],DATE(2026,4,14),tblDaily[WardCode],"BF")),"")</f>
        <v/>
      </c>
      <c r="E137" s="12">
        <f>IFERROR(IF(SUMIFS(tblDaily[DeathsUnder24Hrs],tblDaily[EntryDate],DATE(2026,4,14),tblDaily[WardCode],"BF")=0,"",SUMIFS(tblDaily[DeathsUnder24Hrs],tblDaily[EntryDate],DATE(2026,4,14),tblDaily[WardCode],"BF")),"")</f>
        <v/>
      </c>
      <c r="F137" s="12">
        <f>IFERROR(IF(SUMIFS(tblDaily[TransfersIn],tblDaily[EntryDate],DATE(2026,4,14),tblDaily[WardCode],"BF")=0,"",SUMIFS(tblDaily[TransfersIn],tblDaily[EntryDate],DATE(2026,4,14),tblDaily[WardCode],"BF")),"")</f>
        <v/>
      </c>
      <c r="G137" s="12">
        <f>IFERROR(IF(SUMIFS(tblDaily[TransfersOut],tblDaily[EntryDate],DATE(2026,4,14),tblDaily[WardCode],"BF")=0,"",SUMIFS(tblDaily[TransfersOut],tblDaily[EntryDate],DATE(2026,4,14),tblDaily[WardCode],"BF")),"")</f>
        <v/>
      </c>
      <c r="H137" s="12">
        <f>IFERROR(IF(SUMIFS(tblDaily[Remaining],tblDaily[EntryDate],DATE(2026,4,14),tblDaily[WardCode],"BF")=0,"",SUMIFS(tblDaily[Remaining],tblDaily[EntryDate],DATE(2026,4,14),tblDaily[WardCode],"BF")),"")</f>
        <v/>
      </c>
    </row>
    <row r="138">
      <c r="A138" s="12" t="n">
        <v>15</v>
      </c>
      <c r="B138" s="12">
        <f>IFERROR(IF(SUMIFS(tblDaily[Admissions],tblDaily[EntryDate],DATE(2026,4,15),tblDaily[WardCode],"BF")=0,"",SUMIFS(tblDaily[Admissions],tblDaily[EntryDate],DATE(2026,4,15),tblDaily[WardCode],"BF")),"")</f>
        <v/>
      </c>
      <c r="C138" s="12">
        <f>IFERROR(IF(SUMIFS(tblDaily[Discharges],tblDaily[EntryDate],DATE(2026,4,15),tblDaily[WardCode],"BF")=0,"",SUMIFS(tblDaily[Discharges],tblDaily[EntryDate],DATE(2026,4,15),tblDaily[WardCode],"BF")),"")</f>
        <v/>
      </c>
      <c r="D138" s="12">
        <f>IFERROR(IF(SUMIFS(tblDaily[Deaths],tblDaily[EntryDate],DATE(2026,4,15),tblDaily[WardCode],"BF")=0,"",SUMIFS(tblDaily[Deaths],tblDaily[EntryDate],DATE(2026,4,15),tblDaily[WardCode],"BF")),"")</f>
        <v/>
      </c>
      <c r="E138" s="12">
        <f>IFERROR(IF(SUMIFS(tblDaily[DeathsUnder24Hrs],tblDaily[EntryDate],DATE(2026,4,15),tblDaily[WardCode],"BF")=0,"",SUMIFS(tblDaily[DeathsUnder24Hrs],tblDaily[EntryDate],DATE(2026,4,15),tblDaily[WardCode],"BF")),"")</f>
        <v/>
      </c>
      <c r="F138" s="12">
        <f>IFERROR(IF(SUMIFS(tblDaily[TransfersIn],tblDaily[EntryDate],DATE(2026,4,15),tblDaily[WardCode],"BF")=0,"",SUMIFS(tblDaily[TransfersIn],tblDaily[EntryDate],DATE(2026,4,15),tblDaily[WardCode],"BF")),"")</f>
        <v/>
      </c>
      <c r="G138" s="12">
        <f>IFERROR(IF(SUMIFS(tblDaily[TransfersOut],tblDaily[EntryDate],DATE(2026,4,15),tblDaily[WardCode],"BF")=0,"",SUMIFS(tblDaily[TransfersOut],tblDaily[EntryDate],DATE(2026,4,15),tblDaily[WardCode],"BF")),"")</f>
        <v/>
      </c>
      <c r="H138" s="12">
        <f>IFERROR(IF(SUMIFS(tblDaily[Remaining],tblDaily[EntryDate],DATE(2026,4,15),tblDaily[WardCode],"BF")=0,"",SUMIFS(tblDaily[Remaining],tblDaily[EntryDate],DATE(2026,4,15),tblDaily[WardCode],"BF")),"")</f>
        <v/>
      </c>
    </row>
    <row r="139">
      <c r="A139" s="12" t="n">
        <v>16</v>
      </c>
      <c r="B139" s="12">
        <f>IFERROR(IF(SUMIFS(tblDaily[Admissions],tblDaily[EntryDate],DATE(2026,4,16),tblDaily[WardCode],"BF")=0,"",SUMIFS(tblDaily[Admissions],tblDaily[EntryDate],DATE(2026,4,16),tblDaily[WardCode],"BF")),"")</f>
        <v/>
      </c>
      <c r="C139" s="12">
        <f>IFERROR(IF(SUMIFS(tblDaily[Discharges],tblDaily[EntryDate],DATE(2026,4,16),tblDaily[WardCode],"BF")=0,"",SUMIFS(tblDaily[Discharges],tblDaily[EntryDate],DATE(2026,4,16),tblDaily[WardCode],"BF")),"")</f>
        <v/>
      </c>
      <c r="D139" s="12">
        <f>IFERROR(IF(SUMIFS(tblDaily[Deaths],tblDaily[EntryDate],DATE(2026,4,16),tblDaily[WardCode],"BF")=0,"",SUMIFS(tblDaily[Deaths],tblDaily[EntryDate],DATE(2026,4,16),tblDaily[WardCode],"BF")),"")</f>
        <v/>
      </c>
      <c r="E139" s="12">
        <f>IFERROR(IF(SUMIFS(tblDaily[DeathsUnder24Hrs],tblDaily[EntryDate],DATE(2026,4,16),tblDaily[WardCode],"BF")=0,"",SUMIFS(tblDaily[DeathsUnder24Hrs],tblDaily[EntryDate],DATE(2026,4,16),tblDaily[WardCode],"BF")),"")</f>
        <v/>
      </c>
      <c r="F139" s="12">
        <f>IFERROR(IF(SUMIFS(tblDaily[TransfersIn],tblDaily[EntryDate],DATE(2026,4,16),tblDaily[WardCode],"BF")=0,"",SUMIFS(tblDaily[TransfersIn],tblDaily[EntryDate],DATE(2026,4,16),tblDaily[WardCode],"BF")),"")</f>
        <v/>
      </c>
      <c r="G139" s="12">
        <f>IFERROR(IF(SUMIFS(tblDaily[TransfersOut],tblDaily[EntryDate],DATE(2026,4,16),tblDaily[WardCode],"BF")=0,"",SUMIFS(tblDaily[TransfersOut],tblDaily[EntryDate],DATE(2026,4,16),tblDaily[WardCode],"BF")),"")</f>
        <v/>
      </c>
      <c r="H139" s="12">
        <f>IFERROR(IF(SUMIFS(tblDaily[Remaining],tblDaily[EntryDate],DATE(2026,4,16),tblDaily[WardCode],"BF")=0,"",SUMIFS(tblDaily[Remaining],tblDaily[EntryDate],DATE(2026,4,16),tblDaily[WardCode],"BF")),"")</f>
        <v/>
      </c>
    </row>
    <row r="140">
      <c r="A140" s="12" t="n">
        <v>17</v>
      </c>
      <c r="B140" s="12">
        <f>IFERROR(IF(SUMIFS(tblDaily[Admissions],tblDaily[EntryDate],DATE(2026,4,17),tblDaily[WardCode],"BF")=0,"",SUMIFS(tblDaily[Admissions],tblDaily[EntryDate],DATE(2026,4,17),tblDaily[WardCode],"BF")),"")</f>
        <v/>
      </c>
      <c r="C140" s="12">
        <f>IFERROR(IF(SUMIFS(tblDaily[Discharges],tblDaily[EntryDate],DATE(2026,4,17),tblDaily[WardCode],"BF")=0,"",SUMIFS(tblDaily[Discharges],tblDaily[EntryDate],DATE(2026,4,17),tblDaily[WardCode],"BF")),"")</f>
        <v/>
      </c>
      <c r="D140" s="12">
        <f>IFERROR(IF(SUMIFS(tblDaily[Deaths],tblDaily[EntryDate],DATE(2026,4,17),tblDaily[WardCode],"BF")=0,"",SUMIFS(tblDaily[Deaths],tblDaily[EntryDate],DATE(2026,4,17),tblDaily[WardCode],"BF")),"")</f>
        <v/>
      </c>
      <c r="E140" s="12">
        <f>IFERROR(IF(SUMIFS(tblDaily[DeathsUnder24Hrs],tblDaily[EntryDate],DATE(2026,4,17),tblDaily[WardCode],"BF")=0,"",SUMIFS(tblDaily[DeathsUnder24Hrs],tblDaily[EntryDate],DATE(2026,4,17),tblDaily[WardCode],"BF")),"")</f>
        <v/>
      </c>
      <c r="F140" s="12">
        <f>IFERROR(IF(SUMIFS(tblDaily[TransfersIn],tblDaily[EntryDate],DATE(2026,4,17),tblDaily[WardCode],"BF")=0,"",SUMIFS(tblDaily[TransfersIn],tblDaily[EntryDate],DATE(2026,4,17),tblDaily[WardCode],"BF")),"")</f>
        <v/>
      </c>
      <c r="G140" s="12">
        <f>IFERROR(IF(SUMIFS(tblDaily[TransfersOut],tblDaily[EntryDate],DATE(2026,4,17),tblDaily[WardCode],"BF")=0,"",SUMIFS(tblDaily[TransfersOut],tblDaily[EntryDate],DATE(2026,4,17),tblDaily[WardCode],"BF")),"")</f>
        <v/>
      </c>
      <c r="H140" s="12">
        <f>IFERROR(IF(SUMIFS(tblDaily[Remaining],tblDaily[EntryDate],DATE(2026,4,17),tblDaily[WardCode],"BF")=0,"",SUMIFS(tblDaily[Remaining],tblDaily[EntryDate],DATE(2026,4,17),tblDaily[WardCode],"BF")),"")</f>
        <v/>
      </c>
    </row>
    <row r="141">
      <c r="A141" s="12" t="n">
        <v>18</v>
      </c>
      <c r="B141" s="12">
        <f>IFERROR(IF(SUMIFS(tblDaily[Admissions],tblDaily[EntryDate],DATE(2026,4,18),tblDaily[WardCode],"BF")=0,"",SUMIFS(tblDaily[Admissions],tblDaily[EntryDate],DATE(2026,4,18),tblDaily[WardCode],"BF")),"")</f>
        <v/>
      </c>
      <c r="C141" s="12">
        <f>IFERROR(IF(SUMIFS(tblDaily[Discharges],tblDaily[EntryDate],DATE(2026,4,18),tblDaily[WardCode],"BF")=0,"",SUMIFS(tblDaily[Discharges],tblDaily[EntryDate],DATE(2026,4,18),tblDaily[WardCode],"BF")),"")</f>
        <v/>
      </c>
      <c r="D141" s="12">
        <f>IFERROR(IF(SUMIFS(tblDaily[Deaths],tblDaily[EntryDate],DATE(2026,4,18),tblDaily[WardCode],"BF")=0,"",SUMIFS(tblDaily[Deaths],tblDaily[EntryDate],DATE(2026,4,18),tblDaily[WardCode],"BF")),"")</f>
        <v/>
      </c>
      <c r="E141" s="12">
        <f>IFERROR(IF(SUMIFS(tblDaily[DeathsUnder24Hrs],tblDaily[EntryDate],DATE(2026,4,18),tblDaily[WardCode],"BF")=0,"",SUMIFS(tblDaily[DeathsUnder24Hrs],tblDaily[EntryDate],DATE(2026,4,18),tblDaily[WardCode],"BF")),"")</f>
        <v/>
      </c>
      <c r="F141" s="12">
        <f>IFERROR(IF(SUMIFS(tblDaily[TransfersIn],tblDaily[EntryDate],DATE(2026,4,18),tblDaily[WardCode],"BF")=0,"",SUMIFS(tblDaily[TransfersIn],tblDaily[EntryDate],DATE(2026,4,18),tblDaily[WardCode],"BF")),"")</f>
        <v/>
      </c>
      <c r="G141" s="12">
        <f>IFERROR(IF(SUMIFS(tblDaily[TransfersOut],tblDaily[EntryDate],DATE(2026,4,18),tblDaily[WardCode],"BF")=0,"",SUMIFS(tblDaily[TransfersOut],tblDaily[EntryDate],DATE(2026,4,18),tblDaily[WardCode],"BF")),"")</f>
        <v/>
      </c>
      <c r="H141" s="12">
        <f>IFERROR(IF(SUMIFS(tblDaily[Remaining],tblDaily[EntryDate],DATE(2026,4,18),tblDaily[WardCode],"BF")=0,"",SUMIFS(tblDaily[Remaining],tblDaily[EntryDate],DATE(2026,4,18),tblDaily[WardCode],"BF")),"")</f>
        <v/>
      </c>
    </row>
    <row r="142">
      <c r="A142" s="12" t="n">
        <v>19</v>
      </c>
      <c r="B142" s="12">
        <f>IFERROR(IF(SUMIFS(tblDaily[Admissions],tblDaily[EntryDate],DATE(2026,4,19),tblDaily[WardCode],"BF")=0,"",SUMIFS(tblDaily[Admissions],tblDaily[EntryDate],DATE(2026,4,19),tblDaily[WardCode],"BF")),"")</f>
        <v/>
      </c>
      <c r="C142" s="12">
        <f>IFERROR(IF(SUMIFS(tblDaily[Discharges],tblDaily[EntryDate],DATE(2026,4,19),tblDaily[WardCode],"BF")=0,"",SUMIFS(tblDaily[Discharges],tblDaily[EntryDate],DATE(2026,4,19),tblDaily[WardCode],"BF")),"")</f>
        <v/>
      </c>
      <c r="D142" s="12">
        <f>IFERROR(IF(SUMIFS(tblDaily[Deaths],tblDaily[EntryDate],DATE(2026,4,19),tblDaily[WardCode],"BF")=0,"",SUMIFS(tblDaily[Deaths],tblDaily[EntryDate],DATE(2026,4,19),tblDaily[WardCode],"BF")),"")</f>
        <v/>
      </c>
      <c r="E142" s="12">
        <f>IFERROR(IF(SUMIFS(tblDaily[DeathsUnder24Hrs],tblDaily[EntryDate],DATE(2026,4,19),tblDaily[WardCode],"BF")=0,"",SUMIFS(tblDaily[DeathsUnder24Hrs],tblDaily[EntryDate],DATE(2026,4,19),tblDaily[WardCode],"BF")),"")</f>
        <v/>
      </c>
      <c r="F142" s="12">
        <f>IFERROR(IF(SUMIFS(tblDaily[TransfersIn],tblDaily[EntryDate],DATE(2026,4,19),tblDaily[WardCode],"BF")=0,"",SUMIFS(tblDaily[TransfersIn],tblDaily[EntryDate],DATE(2026,4,19),tblDaily[WardCode],"BF")),"")</f>
        <v/>
      </c>
      <c r="G142" s="12">
        <f>IFERROR(IF(SUMIFS(tblDaily[TransfersOut],tblDaily[EntryDate],DATE(2026,4,19),tblDaily[WardCode],"BF")=0,"",SUMIFS(tblDaily[TransfersOut],tblDaily[EntryDate],DATE(2026,4,19),tblDaily[WardCode],"BF")),"")</f>
        <v/>
      </c>
      <c r="H142" s="12">
        <f>IFERROR(IF(SUMIFS(tblDaily[Remaining],tblDaily[EntryDate],DATE(2026,4,19),tblDaily[WardCode],"BF")=0,"",SUMIFS(tblDaily[Remaining],tblDaily[EntryDate],DATE(2026,4,19),tblDaily[WardCode],"BF")),"")</f>
        <v/>
      </c>
    </row>
    <row r="143">
      <c r="A143" s="12" t="n">
        <v>20</v>
      </c>
      <c r="B143" s="12">
        <f>IFERROR(IF(SUMIFS(tblDaily[Admissions],tblDaily[EntryDate],DATE(2026,4,20),tblDaily[WardCode],"BF")=0,"",SUMIFS(tblDaily[Admissions],tblDaily[EntryDate],DATE(2026,4,20),tblDaily[WardCode],"BF")),"")</f>
        <v/>
      </c>
      <c r="C143" s="12">
        <f>IFERROR(IF(SUMIFS(tblDaily[Discharges],tblDaily[EntryDate],DATE(2026,4,20),tblDaily[WardCode],"BF")=0,"",SUMIFS(tblDaily[Discharges],tblDaily[EntryDate],DATE(2026,4,20),tblDaily[WardCode],"BF")),"")</f>
        <v/>
      </c>
      <c r="D143" s="12">
        <f>IFERROR(IF(SUMIFS(tblDaily[Deaths],tblDaily[EntryDate],DATE(2026,4,20),tblDaily[WardCode],"BF")=0,"",SUMIFS(tblDaily[Deaths],tblDaily[EntryDate],DATE(2026,4,20),tblDaily[WardCode],"BF")),"")</f>
        <v/>
      </c>
      <c r="E143" s="12">
        <f>IFERROR(IF(SUMIFS(tblDaily[DeathsUnder24Hrs],tblDaily[EntryDate],DATE(2026,4,20),tblDaily[WardCode],"BF")=0,"",SUMIFS(tblDaily[DeathsUnder24Hrs],tblDaily[EntryDate],DATE(2026,4,20),tblDaily[WardCode],"BF")),"")</f>
        <v/>
      </c>
      <c r="F143" s="12">
        <f>IFERROR(IF(SUMIFS(tblDaily[TransfersIn],tblDaily[EntryDate],DATE(2026,4,20),tblDaily[WardCode],"BF")=0,"",SUMIFS(tblDaily[TransfersIn],tblDaily[EntryDate],DATE(2026,4,20),tblDaily[WardCode],"BF")),"")</f>
        <v/>
      </c>
      <c r="G143" s="12">
        <f>IFERROR(IF(SUMIFS(tblDaily[TransfersOut],tblDaily[EntryDate],DATE(2026,4,20),tblDaily[WardCode],"BF")=0,"",SUMIFS(tblDaily[TransfersOut],tblDaily[EntryDate],DATE(2026,4,20),tblDaily[WardCode],"BF")),"")</f>
        <v/>
      </c>
      <c r="H143" s="12">
        <f>IFERROR(IF(SUMIFS(tblDaily[Remaining],tblDaily[EntryDate],DATE(2026,4,20),tblDaily[WardCode],"BF")=0,"",SUMIFS(tblDaily[Remaining],tblDaily[EntryDate],DATE(2026,4,20),tblDaily[WardCode],"BF")),"")</f>
        <v/>
      </c>
    </row>
    <row r="144">
      <c r="A144" s="12" t="n">
        <v>21</v>
      </c>
      <c r="B144" s="12">
        <f>IFERROR(IF(SUMIFS(tblDaily[Admissions],tblDaily[EntryDate],DATE(2026,4,21),tblDaily[WardCode],"BF")=0,"",SUMIFS(tblDaily[Admissions],tblDaily[EntryDate],DATE(2026,4,21),tblDaily[WardCode],"BF")),"")</f>
        <v/>
      </c>
      <c r="C144" s="12">
        <f>IFERROR(IF(SUMIFS(tblDaily[Discharges],tblDaily[EntryDate],DATE(2026,4,21),tblDaily[WardCode],"BF")=0,"",SUMIFS(tblDaily[Discharges],tblDaily[EntryDate],DATE(2026,4,21),tblDaily[WardCode],"BF")),"")</f>
        <v/>
      </c>
      <c r="D144" s="12">
        <f>IFERROR(IF(SUMIFS(tblDaily[Deaths],tblDaily[EntryDate],DATE(2026,4,21),tblDaily[WardCode],"BF")=0,"",SUMIFS(tblDaily[Deaths],tblDaily[EntryDate],DATE(2026,4,21),tblDaily[WardCode],"BF")),"")</f>
        <v/>
      </c>
      <c r="E144" s="12">
        <f>IFERROR(IF(SUMIFS(tblDaily[DeathsUnder24Hrs],tblDaily[EntryDate],DATE(2026,4,21),tblDaily[WardCode],"BF")=0,"",SUMIFS(tblDaily[DeathsUnder24Hrs],tblDaily[EntryDate],DATE(2026,4,21),tblDaily[WardCode],"BF")),"")</f>
        <v/>
      </c>
      <c r="F144" s="12">
        <f>IFERROR(IF(SUMIFS(tblDaily[TransfersIn],tblDaily[EntryDate],DATE(2026,4,21),tblDaily[WardCode],"BF")=0,"",SUMIFS(tblDaily[TransfersIn],tblDaily[EntryDate],DATE(2026,4,21),tblDaily[WardCode],"BF")),"")</f>
        <v/>
      </c>
      <c r="G144" s="12">
        <f>IFERROR(IF(SUMIFS(tblDaily[TransfersOut],tblDaily[EntryDate],DATE(2026,4,21),tblDaily[WardCode],"BF")=0,"",SUMIFS(tblDaily[TransfersOut],tblDaily[EntryDate],DATE(2026,4,21),tblDaily[WardCode],"BF")),"")</f>
        <v/>
      </c>
      <c r="H144" s="12">
        <f>IFERROR(IF(SUMIFS(tblDaily[Remaining],tblDaily[EntryDate],DATE(2026,4,21),tblDaily[WardCode],"BF")=0,"",SUMIFS(tblDaily[Remaining],tblDaily[EntryDate],DATE(2026,4,21),tblDaily[WardCode],"BF")),"")</f>
        <v/>
      </c>
    </row>
    <row r="145">
      <c r="A145" s="12" t="n">
        <v>22</v>
      </c>
      <c r="B145" s="12">
        <f>IFERROR(IF(SUMIFS(tblDaily[Admissions],tblDaily[EntryDate],DATE(2026,4,22),tblDaily[WardCode],"BF")=0,"",SUMIFS(tblDaily[Admissions],tblDaily[EntryDate],DATE(2026,4,22),tblDaily[WardCode],"BF")),"")</f>
        <v/>
      </c>
      <c r="C145" s="12">
        <f>IFERROR(IF(SUMIFS(tblDaily[Discharges],tblDaily[EntryDate],DATE(2026,4,22),tblDaily[WardCode],"BF")=0,"",SUMIFS(tblDaily[Discharges],tblDaily[EntryDate],DATE(2026,4,22),tblDaily[WardCode],"BF")),"")</f>
        <v/>
      </c>
      <c r="D145" s="12">
        <f>IFERROR(IF(SUMIFS(tblDaily[Deaths],tblDaily[EntryDate],DATE(2026,4,22),tblDaily[WardCode],"BF")=0,"",SUMIFS(tblDaily[Deaths],tblDaily[EntryDate],DATE(2026,4,22),tblDaily[WardCode],"BF")),"")</f>
        <v/>
      </c>
      <c r="E145" s="12">
        <f>IFERROR(IF(SUMIFS(tblDaily[DeathsUnder24Hrs],tblDaily[EntryDate],DATE(2026,4,22),tblDaily[WardCode],"BF")=0,"",SUMIFS(tblDaily[DeathsUnder24Hrs],tblDaily[EntryDate],DATE(2026,4,22),tblDaily[WardCode],"BF")),"")</f>
        <v/>
      </c>
      <c r="F145" s="12">
        <f>IFERROR(IF(SUMIFS(tblDaily[TransfersIn],tblDaily[EntryDate],DATE(2026,4,22),tblDaily[WardCode],"BF")=0,"",SUMIFS(tblDaily[TransfersIn],tblDaily[EntryDate],DATE(2026,4,22),tblDaily[WardCode],"BF")),"")</f>
        <v/>
      </c>
      <c r="G145" s="12">
        <f>IFERROR(IF(SUMIFS(tblDaily[TransfersOut],tblDaily[EntryDate],DATE(2026,4,22),tblDaily[WardCode],"BF")=0,"",SUMIFS(tblDaily[TransfersOut],tblDaily[EntryDate],DATE(2026,4,22),tblDaily[WardCode],"BF")),"")</f>
        <v/>
      </c>
      <c r="H145" s="12">
        <f>IFERROR(IF(SUMIFS(tblDaily[Remaining],tblDaily[EntryDate],DATE(2026,4,22),tblDaily[WardCode],"BF")=0,"",SUMIFS(tblDaily[Remaining],tblDaily[EntryDate],DATE(2026,4,22),tblDaily[WardCode],"BF")),"")</f>
        <v/>
      </c>
    </row>
    <row r="146">
      <c r="A146" s="12" t="n">
        <v>23</v>
      </c>
      <c r="B146" s="12">
        <f>IFERROR(IF(SUMIFS(tblDaily[Admissions],tblDaily[EntryDate],DATE(2026,4,23),tblDaily[WardCode],"BF")=0,"",SUMIFS(tblDaily[Admissions],tblDaily[EntryDate],DATE(2026,4,23),tblDaily[WardCode],"BF")),"")</f>
        <v/>
      </c>
      <c r="C146" s="12">
        <f>IFERROR(IF(SUMIFS(tblDaily[Discharges],tblDaily[EntryDate],DATE(2026,4,23),tblDaily[WardCode],"BF")=0,"",SUMIFS(tblDaily[Discharges],tblDaily[EntryDate],DATE(2026,4,23),tblDaily[WardCode],"BF")),"")</f>
        <v/>
      </c>
      <c r="D146" s="12">
        <f>IFERROR(IF(SUMIFS(tblDaily[Deaths],tblDaily[EntryDate],DATE(2026,4,23),tblDaily[WardCode],"BF")=0,"",SUMIFS(tblDaily[Deaths],tblDaily[EntryDate],DATE(2026,4,23),tblDaily[WardCode],"BF")),"")</f>
        <v/>
      </c>
      <c r="E146" s="12">
        <f>IFERROR(IF(SUMIFS(tblDaily[DeathsUnder24Hrs],tblDaily[EntryDate],DATE(2026,4,23),tblDaily[WardCode],"BF")=0,"",SUMIFS(tblDaily[DeathsUnder24Hrs],tblDaily[EntryDate],DATE(2026,4,23),tblDaily[WardCode],"BF")),"")</f>
        <v/>
      </c>
      <c r="F146" s="12">
        <f>IFERROR(IF(SUMIFS(tblDaily[TransfersIn],tblDaily[EntryDate],DATE(2026,4,23),tblDaily[WardCode],"BF")=0,"",SUMIFS(tblDaily[TransfersIn],tblDaily[EntryDate],DATE(2026,4,23),tblDaily[WardCode],"BF")),"")</f>
        <v/>
      </c>
      <c r="G146" s="12">
        <f>IFERROR(IF(SUMIFS(tblDaily[TransfersOut],tblDaily[EntryDate],DATE(2026,4,23),tblDaily[WardCode],"BF")=0,"",SUMIFS(tblDaily[TransfersOut],tblDaily[EntryDate],DATE(2026,4,23),tblDaily[WardCode],"BF")),"")</f>
        <v/>
      </c>
      <c r="H146" s="12">
        <f>IFERROR(IF(SUMIFS(tblDaily[Remaining],tblDaily[EntryDate],DATE(2026,4,23),tblDaily[WardCode],"BF")=0,"",SUMIFS(tblDaily[Remaining],tblDaily[EntryDate],DATE(2026,4,23),tblDaily[WardCode],"BF")),"")</f>
        <v/>
      </c>
    </row>
    <row r="147">
      <c r="A147" s="12" t="n">
        <v>24</v>
      </c>
      <c r="B147" s="12">
        <f>IFERROR(IF(SUMIFS(tblDaily[Admissions],tblDaily[EntryDate],DATE(2026,4,24),tblDaily[WardCode],"BF")=0,"",SUMIFS(tblDaily[Admissions],tblDaily[EntryDate],DATE(2026,4,24),tblDaily[WardCode],"BF")),"")</f>
        <v/>
      </c>
      <c r="C147" s="12">
        <f>IFERROR(IF(SUMIFS(tblDaily[Discharges],tblDaily[EntryDate],DATE(2026,4,24),tblDaily[WardCode],"BF")=0,"",SUMIFS(tblDaily[Discharges],tblDaily[EntryDate],DATE(2026,4,24),tblDaily[WardCode],"BF")),"")</f>
        <v/>
      </c>
      <c r="D147" s="12">
        <f>IFERROR(IF(SUMIFS(tblDaily[Deaths],tblDaily[EntryDate],DATE(2026,4,24),tblDaily[WardCode],"BF")=0,"",SUMIFS(tblDaily[Deaths],tblDaily[EntryDate],DATE(2026,4,24),tblDaily[WardCode],"BF")),"")</f>
        <v/>
      </c>
      <c r="E147" s="12">
        <f>IFERROR(IF(SUMIFS(tblDaily[DeathsUnder24Hrs],tblDaily[EntryDate],DATE(2026,4,24),tblDaily[WardCode],"BF")=0,"",SUMIFS(tblDaily[DeathsUnder24Hrs],tblDaily[EntryDate],DATE(2026,4,24),tblDaily[WardCode],"BF")),"")</f>
        <v/>
      </c>
      <c r="F147" s="12">
        <f>IFERROR(IF(SUMIFS(tblDaily[TransfersIn],tblDaily[EntryDate],DATE(2026,4,24),tblDaily[WardCode],"BF")=0,"",SUMIFS(tblDaily[TransfersIn],tblDaily[EntryDate],DATE(2026,4,24),tblDaily[WardCode],"BF")),"")</f>
        <v/>
      </c>
      <c r="G147" s="12">
        <f>IFERROR(IF(SUMIFS(tblDaily[TransfersOut],tblDaily[EntryDate],DATE(2026,4,24),tblDaily[WardCode],"BF")=0,"",SUMIFS(tblDaily[TransfersOut],tblDaily[EntryDate],DATE(2026,4,24),tblDaily[WardCode],"BF")),"")</f>
        <v/>
      </c>
      <c r="H147" s="12">
        <f>IFERROR(IF(SUMIFS(tblDaily[Remaining],tblDaily[EntryDate],DATE(2026,4,24),tblDaily[WardCode],"BF")=0,"",SUMIFS(tblDaily[Remaining],tblDaily[EntryDate],DATE(2026,4,24),tblDaily[WardCode],"BF")),"")</f>
        <v/>
      </c>
    </row>
    <row r="148">
      <c r="A148" s="12" t="n">
        <v>25</v>
      </c>
      <c r="B148" s="12">
        <f>IFERROR(IF(SUMIFS(tblDaily[Admissions],tblDaily[EntryDate],DATE(2026,4,25),tblDaily[WardCode],"BF")=0,"",SUMIFS(tblDaily[Admissions],tblDaily[EntryDate],DATE(2026,4,25),tblDaily[WardCode],"BF")),"")</f>
        <v/>
      </c>
      <c r="C148" s="12">
        <f>IFERROR(IF(SUMIFS(tblDaily[Discharges],tblDaily[EntryDate],DATE(2026,4,25),tblDaily[WardCode],"BF")=0,"",SUMIFS(tblDaily[Discharges],tblDaily[EntryDate],DATE(2026,4,25),tblDaily[WardCode],"BF")),"")</f>
        <v/>
      </c>
      <c r="D148" s="12">
        <f>IFERROR(IF(SUMIFS(tblDaily[Deaths],tblDaily[EntryDate],DATE(2026,4,25),tblDaily[WardCode],"BF")=0,"",SUMIFS(tblDaily[Deaths],tblDaily[EntryDate],DATE(2026,4,25),tblDaily[WardCode],"BF")),"")</f>
        <v/>
      </c>
      <c r="E148" s="12">
        <f>IFERROR(IF(SUMIFS(tblDaily[DeathsUnder24Hrs],tblDaily[EntryDate],DATE(2026,4,25),tblDaily[WardCode],"BF")=0,"",SUMIFS(tblDaily[DeathsUnder24Hrs],tblDaily[EntryDate],DATE(2026,4,25),tblDaily[WardCode],"BF")),"")</f>
        <v/>
      </c>
      <c r="F148" s="12">
        <f>IFERROR(IF(SUMIFS(tblDaily[TransfersIn],tblDaily[EntryDate],DATE(2026,4,25),tblDaily[WardCode],"BF")=0,"",SUMIFS(tblDaily[TransfersIn],tblDaily[EntryDate],DATE(2026,4,25),tblDaily[WardCode],"BF")),"")</f>
        <v/>
      </c>
      <c r="G148" s="12">
        <f>IFERROR(IF(SUMIFS(tblDaily[TransfersOut],tblDaily[EntryDate],DATE(2026,4,25),tblDaily[WardCode],"BF")=0,"",SUMIFS(tblDaily[TransfersOut],tblDaily[EntryDate],DATE(2026,4,25),tblDaily[WardCode],"BF")),"")</f>
        <v/>
      </c>
      <c r="H148" s="12">
        <f>IFERROR(IF(SUMIFS(tblDaily[Remaining],tblDaily[EntryDate],DATE(2026,4,25),tblDaily[WardCode],"BF")=0,"",SUMIFS(tblDaily[Remaining],tblDaily[EntryDate],DATE(2026,4,25),tblDaily[WardCode],"BF")),"")</f>
        <v/>
      </c>
    </row>
    <row r="149">
      <c r="A149" s="12" t="n">
        <v>26</v>
      </c>
      <c r="B149" s="12">
        <f>IFERROR(IF(SUMIFS(tblDaily[Admissions],tblDaily[EntryDate],DATE(2026,4,26),tblDaily[WardCode],"BF")=0,"",SUMIFS(tblDaily[Admissions],tblDaily[EntryDate],DATE(2026,4,26),tblDaily[WardCode],"BF")),"")</f>
        <v/>
      </c>
      <c r="C149" s="12">
        <f>IFERROR(IF(SUMIFS(tblDaily[Discharges],tblDaily[EntryDate],DATE(2026,4,26),tblDaily[WardCode],"BF")=0,"",SUMIFS(tblDaily[Discharges],tblDaily[EntryDate],DATE(2026,4,26),tblDaily[WardCode],"BF")),"")</f>
        <v/>
      </c>
      <c r="D149" s="12">
        <f>IFERROR(IF(SUMIFS(tblDaily[Deaths],tblDaily[EntryDate],DATE(2026,4,26),tblDaily[WardCode],"BF")=0,"",SUMIFS(tblDaily[Deaths],tblDaily[EntryDate],DATE(2026,4,26),tblDaily[WardCode],"BF")),"")</f>
        <v/>
      </c>
      <c r="E149" s="12">
        <f>IFERROR(IF(SUMIFS(tblDaily[DeathsUnder24Hrs],tblDaily[EntryDate],DATE(2026,4,26),tblDaily[WardCode],"BF")=0,"",SUMIFS(tblDaily[DeathsUnder24Hrs],tblDaily[EntryDate],DATE(2026,4,26),tblDaily[WardCode],"BF")),"")</f>
        <v/>
      </c>
      <c r="F149" s="12">
        <f>IFERROR(IF(SUMIFS(tblDaily[TransfersIn],tblDaily[EntryDate],DATE(2026,4,26),tblDaily[WardCode],"BF")=0,"",SUMIFS(tblDaily[TransfersIn],tblDaily[EntryDate],DATE(2026,4,26),tblDaily[WardCode],"BF")),"")</f>
        <v/>
      </c>
      <c r="G149" s="12">
        <f>IFERROR(IF(SUMIFS(tblDaily[TransfersOut],tblDaily[EntryDate],DATE(2026,4,26),tblDaily[WardCode],"BF")=0,"",SUMIFS(tblDaily[TransfersOut],tblDaily[EntryDate],DATE(2026,4,26),tblDaily[WardCode],"BF")),"")</f>
        <v/>
      </c>
      <c r="H149" s="12">
        <f>IFERROR(IF(SUMIFS(tblDaily[Remaining],tblDaily[EntryDate],DATE(2026,4,26),tblDaily[WardCode],"BF")=0,"",SUMIFS(tblDaily[Remaining],tblDaily[EntryDate],DATE(2026,4,26),tblDaily[WardCode],"BF")),"")</f>
        <v/>
      </c>
    </row>
    <row r="150">
      <c r="A150" s="12" t="n">
        <v>27</v>
      </c>
      <c r="B150" s="12">
        <f>IFERROR(IF(SUMIFS(tblDaily[Admissions],tblDaily[EntryDate],DATE(2026,4,27),tblDaily[WardCode],"BF")=0,"",SUMIFS(tblDaily[Admissions],tblDaily[EntryDate],DATE(2026,4,27),tblDaily[WardCode],"BF")),"")</f>
        <v/>
      </c>
      <c r="C150" s="12">
        <f>IFERROR(IF(SUMIFS(tblDaily[Discharges],tblDaily[EntryDate],DATE(2026,4,27),tblDaily[WardCode],"BF")=0,"",SUMIFS(tblDaily[Discharges],tblDaily[EntryDate],DATE(2026,4,27),tblDaily[WardCode],"BF")),"")</f>
        <v/>
      </c>
      <c r="D150" s="12">
        <f>IFERROR(IF(SUMIFS(tblDaily[Deaths],tblDaily[EntryDate],DATE(2026,4,27),tblDaily[WardCode],"BF")=0,"",SUMIFS(tblDaily[Deaths],tblDaily[EntryDate],DATE(2026,4,27),tblDaily[WardCode],"BF")),"")</f>
        <v/>
      </c>
      <c r="E150" s="12">
        <f>IFERROR(IF(SUMIFS(tblDaily[DeathsUnder24Hrs],tblDaily[EntryDate],DATE(2026,4,27),tblDaily[WardCode],"BF")=0,"",SUMIFS(tblDaily[DeathsUnder24Hrs],tblDaily[EntryDate],DATE(2026,4,27),tblDaily[WardCode],"BF")),"")</f>
        <v/>
      </c>
      <c r="F150" s="12">
        <f>IFERROR(IF(SUMIFS(tblDaily[TransfersIn],tblDaily[EntryDate],DATE(2026,4,27),tblDaily[WardCode],"BF")=0,"",SUMIFS(tblDaily[TransfersIn],tblDaily[EntryDate],DATE(2026,4,27),tblDaily[WardCode],"BF")),"")</f>
        <v/>
      </c>
      <c r="G150" s="12">
        <f>IFERROR(IF(SUMIFS(tblDaily[TransfersOut],tblDaily[EntryDate],DATE(2026,4,27),tblDaily[WardCode],"BF")=0,"",SUMIFS(tblDaily[TransfersOut],tblDaily[EntryDate],DATE(2026,4,27),tblDaily[WardCode],"BF")),"")</f>
        <v/>
      </c>
      <c r="H150" s="12">
        <f>IFERROR(IF(SUMIFS(tblDaily[Remaining],tblDaily[EntryDate],DATE(2026,4,27),tblDaily[WardCode],"BF")=0,"",SUMIFS(tblDaily[Remaining],tblDaily[EntryDate],DATE(2026,4,27),tblDaily[WardCode],"BF")),"")</f>
        <v/>
      </c>
    </row>
    <row r="151">
      <c r="A151" s="12" t="n">
        <v>28</v>
      </c>
      <c r="B151" s="12">
        <f>IFERROR(IF(SUMIFS(tblDaily[Admissions],tblDaily[EntryDate],DATE(2026,4,28),tblDaily[WardCode],"BF")=0,"",SUMIFS(tblDaily[Admissions],tblDaily[EntryDate],DATE(2026,4,28),tblDaily[WardCode],"BF")),"")</f>
        <v/>
      </c>
      <c r="C151" s="12">
        <f>IFERROR(IF(SUMIFS(tblDaily[Discharges],tblDaily[EntryDate],DATE(2026,4,28),tblDaily[WardCode],"BF")=0,"",SUMIFS(tblDaily[Discharges],tblDaily[EntryDate],DATE(2026,4,28),tblDaily[WardCode],"BF")),"")</f>
        <v/>
      </c>
      <c r="D151" s="12">
        <f>IFERROR(IF(SUMIFS(tblDaily[Deaths],tblDaily[EntryDate],DATE(2026,4,28),tblDaily[WardCode],"BF")=0,"",SUMIFS(tblDaily[Deaths],tblDaily[EntryDate],DATE(2026,4,28),tblDaily[WardCode],"BF")),"")</f>
        <v/>
      </c>
      <c r="E151" s="12">
        <f>IFERROR(IF(SUMIFS(tblDaily[DeathsUnder24Hrs],tblDaily[EntryDate],DATE(2026,4,28),tblDaily[WardCode],"BF")=0,"",SUMIFS(tblDaily[DeathsUnder24Hrs],tblDaily[EntryDate],DATE(2026,4,28),tblDaily[WardCode],"BF")),"")</f>
        <v/>
      </c>
      <c r="F151" s="12">
        <f>IFERROR(IF(SUMIFS(tblDaily[TransfersIn],tblDaily[EntryDate],DATE(2026,4,28),tblDaily[WardCode],"BF")=0,"",SUMIFS(tblDaily[TransfersIn],tblDaily[EntryDate],DATE(2026,4,28),tblDaily[WardCode],"BF")),"")</f>
        <v/>
      </c>
      <c r="G151" s="12">
        <f>IFERROR(IF(SUMIFS(tblDaily[TransfersOut],tblDaily[EntryDate],DATE(2026,4,28),tblDaily[WardCode],"BF")=0,"",SUMIFS(tblDaily[TransfersOut],tblDaily[EntryDate],DATE(2026,4,28),tblDaily[WardCode],"BF")),"")</f>
        <v/>
      </c>
      <c r="H151" s="12">
        <f>IFERROR(IF(SUMIFS(tblDaily[Remaining],tblDaily[EntryDate],DATE(2026,4,28),tblDaily[WardCode],"BF")=0,"",SUMIFS(tblDaily[Remaining],tblDaily[EntryDate],DATE(2026,4,28),tblDaily[WardCode],"BF")),"")</f>
        <v/>
      </c>
    </row>
    <row r="152">
      <c r="A152" s="12" t="n">
        <v>29</v>
      </c>
      <c r="B152" s="12">
        <f>IFERROR(IF(SUMIFS(tblDaily[Admissions],tblDaily[EntryDate],DATE(2026,4,29),tblDaily[WardCode],"BF")=0,"",SUMIFS(tblDaily[Admissions],tblDaily[EntryDate],DATE(2026,4,29),tblDaily[WardCode],"BF")),"")</f>
        <v/>
      </c>
      <c r="C152" s="12">
        <f>IFERROR(IF(SUMIFS(tblDaily[Discharges],tblDaily[EntryDate],DATE(2026,4,29),tblDaily[WardCode],"BF")=0,"",SUMIFS(tblDaily[Discharges],tblDaily[EntryDate],DATE(2026,4,29),tblDaily[WardCode],"BF")),"")</f>
        <v/>
      </c>
      <c r="D152" s="12">
        <f>IFERROR(IF(SUMIFS(tblDaily[Deaths],tblDaily[EntryDate],DATE(2026,4,29),tblDaily[WardCode],"BF")=0,"",SUMIFS(tblDaily[Deaths],tblDaily[EntryDate],DATE(2026,4,29),tblDaily[WardCode],"BF")),"")</f>
        <v/>
      </c>
      <c r="E152" s="12">
        <f>IFERROR(IF(SUMIFS(tblDaily[DeathsUnder24Hrs],tblDaily[EntryDate],DATE(2026,4,29),tblDaily[WardCode],"BF")=0,"",SUMIFS(tblDaily[DeathsUnder24Hrs],tblDaily[EntryDate],DATE(2026,4,29),tblDaily[WardCode],"BF")),"")</f>
        <v/>
      </c>
      <c r="F152" s="12">
        <f>IFERROR(IF(SUMIFS(tblDaily[TransfersIn],tblDaily[EntryDate],DATE(2026,4,29),tblDaily[WardCode],"BF")=0,"",SUMIFS(tblDaily[TransfersIn],tblDaily[EntryDate],DATE(2026,4,29),tblDaily[WardCode],"BF")),"")</f>
        <v/>
      </c>
      <c r="G152" s="12">
        <f>IFERROR(IF(SUMIFS(tblDaily[TransfersOut],tblDaily[EntryDate],DATE(2026,4,29),tblDaily[WardCode],"BF")=0,"",SUMIFS(tblDaily[TransfersOut],tblDaily[EntryDate],DATE(2026,4,29),tblDaily[WardCode],"BF")),"")</f>
        <v/>
      </c>
      <c r="H152" s="12">
        <f>IFERROR(IF(SUMIFS(tblDaily[Remaining],tblDaily[EntryDate],DATE(2026,4,29),tblDaily[WardCode],"BF")=0,"",SUMIFS(tblDaily[Remaining],tblDaily[EntryDate],DATE(2026,4,29),tblDaily[WardCode],"BF")),"")</f>
        <v/>
      </c>
    </row>
    <row r="153">
      <c r="A153" s="12" t="n">
        <v>30</v>
      </c>
      <c r="B153" s="12">
        <f>IFERROR(IF(SUMIFS(tblDaily[Admissions],tblDaily[EntryDate],DATE(2026,4,30),tblDaily[WardCode],"BF")=0,"",SUMIFS(tblDaily[Admissions],tblDaily[EntryDate],DATE(2026,4,30),tblDaily[WardCode],"BF")),"")</f>
        <v/>
      </c>
      <c r="C153" s="12">
        <f>IFERROR(IF(SUMIFS(tblDaily[Discharges],tblDaily[EntryDate],DATE(2026,4,30),tblDaily[WardCode],"BF")=0,"",SUMIFS(tblDaily[Discharges],tblDaily[EntryDate],DATE(2026,4,30),tblDaily[WardCode],"BF")),"")</f>
        <v/>
      </c>
      <c r="D153" s="12">
        <f>IFERROR(IF(SUMIFS(tblDaily[Deaths],tblDaily[EntryDate],DATE(2026,4,30),tblDaily[WardCode],"BF")=0,"",SUMIFS(tblDaily[Deaths],tblDaily[EntryDate],DATE(2026,4,30),tblDaily[WardCode],"BF")),"")</f>
        <v/>
      </c>
      <c r="E153" s="12">
        <f>IFERROR(IF(SUMIFS(tblDaily[DeathsUnder24Hrs],tblDaily[EntryDate],DATE(2026,4,30),tblDaily[WardCode],"BF")=0,"",SUMIFS(tblDaily[DeathsUnder24Hrs],tblDaily[EntryDate],DATE(2026,4,30),tblDaily[WardCode],"BF")),"")</f>
        <v/>
      </c>
      <c r="F153" s="12">
        <f>IFERROR(IF(SUMIFS(tblDaily[TransfersIn],tblDaily[EntryDate],DATE(2026,4,30),tblDaily[WardCode],"BF")=0,"",SUMIFS(tblDaily[TransfersIn],tblDaily[EntryDate],DATE(2026,4,30),tblDaily[WardCode],"BF")),"")</f>
        <v/>
      </c>
      <c r="G153" s="12">
        <f>IFERROR(IF(SUMIFS(tblDaily[TransfersOut],tblDaily[EntryDate],DATE(2026,4,30),tblDaily[WardCode],"BF")=0,"",SUMIFS(tblDaily[TransfersOut],tblDaily[EntryDate],DATE(2026,4,30),tblDaily[WardCode],"BF")),"")</f>
        <v/>
      </c>
      <c r="H153" s="12">
        <f>IFERROR(IF(SUMIFS(tblDaily[Remaining],tblDaily[EntryDate],DATE(2026,4,30),tblDaily[WardCode],"BF")=0,"",SUMIFS(tblDaily[Remaining],tblDaily[EntryDate],DATE(2026,4,30),tblDaily[WardCode],"BF")),"")</f>
        <v/>
      </c>
    </row>
    <row r="154">
      <c r="A154" s="12" t="n">
        <v>31</v>
      </c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7" t="inlineStr">
        <is>
          <t>TOTAL</t>
        </is>
      </c>
      <c r="B155" s="17">
        <f>SUMIFS(tblDaily[Admissions],tblDaily[Month],4,tblDaily[WardCode],"BF") - SUMIFS(tblDaily[DeathsUnder24Hrs],tblDaily[Month],4,tblDaily[WardCode],"BF")</f>
        <v/>
      </c>
      <c r="C155" s="17">
        <f>SUMIFS(tblDaily[Discharges],tblDaily[Month],4,tblDaily[WardCode],"BF")</f>
        <v/>
      </c>
      <c r="D155" s="17">
        <f>SUMIFS(tblDaily[Deaths],tblDaily[Month],4,tblDaily[WardCode],"BF")</f>
        <v/>
      </c>
      <c r="E155" s="17">
        <f>SUMIFS(tblDaily[DeathsUnder24Hrs],tblDaily[Month],4,tblDaily[WardCode],"BF")</f>
        <v/>
      </c>
      <c r="F155" s="17">
        <f>SUMIFS(tblDaily[TransfersIn],tblDaily[Month],4,tblDaily[WardCode],"BF")</f>
        <v/>
      </c>
      <c r="G155" s="17">
        <f>SUMIFS(tblDaily[TransfersOut],tblDaily[Month],4,tblDaily[WardCode],"BF")</f>
        <v/>
      </c>
      <c r="H155" s="17">
        <f>SUMIFS(tblDaily[Remaining],tblDaily[Month],4,tblDaily[WardCode],"BF")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BLOCK F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4">
        <f>IFERROR(SUMIFS(tblDaily[Remaining],tblDaily[EntryDate],DATE(2026,4,30),tblDaily[WardCode],"BF"),0)</f>
        <v/>
      </c>
    </row>
    <row r="161">
      <c r="A161" s="4" t="inlineStr">
        <is>
          <t>Bed complement</t>
        </is>
      </c>
      <c r="H161" s="15">
        <f>IFERROR(INDEX(tblWardConfig[BedComplement],MATCH("BF",tblWardConfig[WardCode],0)),0)</f>
        <v/>
      </c>
    </row>
    <row r="162">
      <c r="A162" s="16" t="inlineStr">
        <is>
          <t>Day of
the
Month</t>
        </is>
      </c>
      <c r="B162" s="16" t="inlineStr">
        <is>
          <t>Admissions</t>
        </is>
      </c>
      <c r="C162" s="16" t="inlineStr">
        <is>
          <t>Discharges</t>
        </is>
      </c>
      <c r="D162" s="16" t="inlineStr">
        <is>
          <t>Deaths</t>
        </is>
      </c>
      <c r="E162" s="16" t="inlineStr">
        <is>
          <t>Deaths
&lt;24Hrs</t>
        </is>
      </c>
      <c r="F162" s="16" t="inlineStr">
        <is>
          <t>Transfers-
In</t>
        </is>
      </c>
      <c r="G162" s="16" t="inlineStr">
        <is>
          <t>Transfers-
Out</t>
        </is>
      </c>
      <c r="H162" s="16" t="inlineStr">
        <is>
          <t>No. of Patients
Remaining In
Ward</t>
        </is>
      </c>
    </row>
    <row r="163">
      <c r="A163" s="12" t="n">
        <v>1</v>
      </c>
      <c r="B163" s="12">
        <f>IFERROR(IF(SUMIFS(tblDaily[Admissions],tblDaily[EntryDate],DATE(2026,5,1),tblDaily[WardCode],"BF")=0,"",SUMIFS(tblDaily[Admissions],tblDaily[EntryDate],DATE(2026,5,1),tblDaily[WardCode],"BF")),"")</f>
        <v/>
      </c>
      <c r="C163" s="12">
        <f>IFERROR(IF(SUMIFS(tblDaily[Discharges],tblDaily[EntryDate],DATE(2026,5,1),tblDaily[WardCode],"BF")=0,"",SUMIFS(tblDaily[Discharges],tblDaily[EntryDate],DATE(2026,5,1),tblDaily[WardCode],"BF")),"")</f>
        <v/>
      </c>
      <c r="D163" s="12">
        <f>IFERROR(IF(SUMIFS(tblDaily[Deaths],tblDaily[EntryDate],DATE(2026,5,1),tblDaily[WardCode],"BF")=0,"",SUMIFS(tblDaily[Deaths],tblDaily[EntryDate],DATE(2026,5,1),tblDaily[WardCode],"BF")),"")</f>
        <v/>
      </c>
      <c r="E163" s="12">
        <f>IFERROR(IF(SUMIFS(tblDaily[DeathsUnder24Hrs],tblDaily[EntryDate],DATE(2026,5,1),tblDaily[WardCode],"BF")=0,"",SUMIFS(tblDaily[DeathsUnder24Hrs],tblDaily[EntryDate],DATE(2026,5,1),tblDaily[WardCode],"BF")),"")</f>
        <v/>
      </c>
      <c r="F163" s="12">
        <f>IFERROR(IF(SUMIFS(tblDaily[TransfersIn],tblDaily[EntryDate],DATE(2026,5,1),tblDaily[WardCode],"BF")=0,"",SUMIFS(tblDaily[TransfersIn],tblDaily[EntryDate],DATE(2026,5,1),tblDaily[WardCode],"BF")),"")</f>
        <v/>
      </c>
      <c r="G163" s="12">
        <f>IFERROR(IF(SUMIFS(tblDaily[TransfersOut],tblDaily[EntryDate],DATE(2026,5,1),tblDaily[WardCode],"BF")=0,"",SUMIFS(tblDaily[TransfersOut],tblDaily[EntryDate],DATE(2026,5,1),tblDaily[WardCode],"BF")),"")</f>
        <v/>
      </c>
      <c r="H163" s="12">
        <f>IFERROR(IF(SUMIFS(tblDaily[Remaining],tblDaily[EntryDate],DATE(2026,5,1),tblDaily[WardCode],"BF")=0,"",SUMIFS(tblDaily[Remaining],tblDaily[EntryDate],DATE(2026,5,1),tblDaily[WardCode],"BF")),"")</f>
        <v/>
      </c>
    </row>
    <row r="164">
      <c r="A164" s="12" t="n">
        <v>2</v>
      </c>
      <c r="B164" s="12">
        <f>IFERROR(IF(SUMIFS(tblDaily[Admissions],tblDaily[EntryDate],DATE(2026,5,2),tblDaily[WardCode],"BF")=0,"",SUMIFS(tblDaily[Admissions],tblDaily[EntryDate],DATE(2026,5,2),tblDaily[WardCode],"BF")),"")</f>
        <v/>
      </c>
      <c r="C164" s="12">
        <f>IFERROR(IF(SUMIFS(tblDaily[Discharges],tblDaily[EntryDate],DATE(2026,5,2),tblDaily[WardCode],"BF")=0,"",SUMIFS(tblDaily[Discharges],tblDaily[EntryDate],DATE(2026,5,2),tblDaily[WardCode],"BF")),"")</f>
        <v/>
      </c>
      <c r="D164" s="12">
        <f>IFERROR(IF(SUMIFS(tblDaily[Deaths],tblDaily[EntryDate],DATE(2026,5,2),tblDaily[WardCode],"BF")=0,"",SUMIFS(tblDaily[Deaths],tblDaily[EntryDate],DATE(2026,5,2),tblDaily[WardCode],"BF")),"")</f>
        <v/>
      </c>
      <c r="E164" s="12">
        <f>IFERROR(IF(SUMIFS(tblDaily[DeathsUnder24Hrs],tblDaily[EntryDate],DATE(2026,5,2),tblDaily[WardCode],"BF")=0,"",SUMIFS(tblDaily[DeathsUnder24Hrs],tblDaily[EntryDate],DATE(2026,5,2),tblDaily[WardCode],"BF")),"")</f>
        <v/>
      </c>
      <c r="F164" s="12">
        <f>IFERROR(IF(SUMIFS(tblDaily[TransfersIn],tblDaily[EntryDate],DATE(2026,5,2),tblDaily[WardCode],"BF")=0,"",SUMIFS(tblDaily[TransfersIn],tblDaily[EntryDate],DATE(2026,5,2),tblDaily[WardCode],"BF")),"")</f>
        <v/>
      </c>
      <c r="G164" s="12">
        <f>IFERROR(IF(SUMIFS(tblDaily[TransfersOut],tblDaily[EntryDate],DATE(2026,5,2),tblDaily[WardCode],"BF")=0,"",SUMIFS(tblDaily[TransfersOut],tblDaily[EntryDate],DATE(2026,5,2),tblDaily[WardCode],"BF")),"")</f>
        <v/>
      </c>
      <c r="H164" s="12">
        <f>IFERROR(IF(SUMIFS(tblDaily[Remaining],tblDaily[EntryDate],DATE(2026,5,2),tblDaily[WardCode],"BF")=0,"",SUMIFS(tblDaily[Remaining],tblDaily[EntryDate],DATE(2026,5,2),tblDaily[WardCode],"BF")),"")</f>
        <v/>
      </c>
    </row>
    <row r="165">
      <c r="A165" s="12" t="n">
        <v>3</v>
      </c>
      <c r="B165" s="12">
        <f>IFERROR(IF(SUMIFS(tblDaily[Admissions],tblDaily[EntryDate],DATE(2026,5,3),tblDaily[WardCode],"BF")=0,"",SUMIFS(tblDaily[Admissions],tblDaily[EntryDate],DATE(2026,5,3),tblDaily[WardCode],"BF")),"")</f>
        <v/>
      </c>
      <c r="C165" s="12">
        <f>IFERROR(IF(SUMIFS(tblDaily[Discharges],tblDaily[EntryDate],DATE(2026,5,3),tblDaily[WardCode],"BF")=0,"",SUMIFS(tblDaily[Discharges],tblDaily[EntryDate],DATE(2026,5,3),tblDaily[WardCode],"BF")),"")</f>
        <v/>
      </c>
      <c r="D165" s="12">
        <f>IFERROR(IF(SUMIFS(tblDaily[Deaths],tblDaily[EntryDate],DATE(2026,5,3),tblDaily[WardCode],"BF")=0,"",SUMIFS(tblDaily[Deaths],tblDaily[EntryDate],DATE(2026,5,3),tblDaily[WardCode],"BF")),"")</f>
        <v/>
      </c>
      <c r="E165" s="12">
        <f>IFERROR(IF(SUMIFS(tblDaily[DeathsUnder24Hrs],tblDaily[EntryDate],DATE(2026,5,3),tblDaily[WardCode],"BF")=0,"",SUMIFS(tblDaily[DeathsUnder24Hrs],tblDaily[EntryDate],DATE(2026,5,3),tblDaily[WardCode],"BF")),"")</f>
        <v/>
      </c>
      <c r="F165" s="12">
        <f>IFERROR(IF(SUMIFS(tblDaily[TransfersIn],tblDaily[EntryDate],DATE(2026,5,3),tblDaily[WardCode],"BF")=0,"",SUMIFS(tblDaily[TransfersIn],tblDaily[EntryDate],DATE(2026,5,3),tblDaily[WardCode],"BF")),"")</f>
        <v/>
      </c>
      <c r="G165" s="12">
        <f>IFERROR(IF(SUMIFS(tblDaily[TransfersOut],tblDaily[EntryDate],DATE(2026,5,3),tblDaily[WardCode],"BF")=0,"",SUMIFS(tblDaily[TransfersOut],tblDaily[EntryDate],DATE(2026,5,3),tblDaily[WardCode],"BF")),"")</f>
        <v/>
      </c>
      <c r="H165" s="12">
        <f>IFERROR(IF(SUMIFS(tblDaily[Remaining],tblDaily[EntryDate],DATE(2026,5,3),tblDaily[WardCode],"BF")=0,"",SUMIFS(tblDaily[Remaining],tblDaily[EntryDate],DATE(2026,5,3),tblDaily[WardCode],"BF")),"")</f>
        <v/>
      </c>
    </row>
    <row r="166">
      <c r="A166" s="12" t="n">
        <v>4</v>
      </c>
      <c r="B166" s="12">
        <f>IFERROR(IF(SUMIFS(tblDaily[Admissions],tblDaily[EntryDate],DATE(2026,5,4),tblDaily[WardCode],"BF")=0,"",SUMIFS(tblDaily[Admissions],tblDaily[EntryDate],DATE(2026,5,4),tblDaily[WardCode],"BF")),"")</f>
        <v/>
      </c>
      <c r="C166" s="12">
        <f>IFERROR(IF(SUMIFS(tblDaily[Discharges],tblDaily[EntryDate],DATE(2026,5,4),tblDaily[WardCode],"BF")=0,"",SUMIFS(tblDaily[Discharges],tblDaily[EntryDate],DATE(2026,5,4),tblDaily[WardCode],"BF")),"")</f>
        <v/>
      </c>
      <c r="D166" s="12">
        <f>IFERROR(IF(SUMIFS(tblDaily[Deaths],tblDaily[EntryDate],DATE(2026,5,4),tblDaily[WardCode],"BF")=0,"",SUMIFS(tblDaily[Deaths],tblDaily[EntryDate],DATE(2026,5,4),tblDaily[WardCode],"BF")),"")</f>
        <v/>
      </c>
      <c r="E166" s="12">
        <f>IFERROR(IF(SUMIFS(tblDaily[DeathsUnder24Hrs],tblDaily[EntryDate],DATE(2026,5,4),tblDaily[WardCode],"BF")=0,"",SUMIFS(tblDaily[DeathsUnder24Hrs],tblDaily[EntryDate],DATE(2026,5,4),tblDaily[WardCode],"BF")),"")</f>
        <v/>
      </c>
      <c r="F166" s="12">
        <f>IFERROR(IF(SUMIFS(tblDaily[TransfersIn],tblDaily[EntryDate],DATE(2026,5,4),tblDaily[WardCode],"BF")=0,"",SUMIFS(tblDaily[TransfersIn],tblDaily[EntryDate],DATE(2026,5,4),tblDaily[WardCode],"BF")),"")</f>
        <v/>
      </c>
      <c r="G166" s="12">
        <f>IFERROR(IF(SUMIFS(tblDaily[TransfersOut],tblDaily[EntryDate],DATE(2026,5,4),tblDaily[WardCode],"BF")=0,"",SUMIFS(tblDaily[TransfersOut],tblDaily[EntryDate],DATE(2026,5,4),tblDaily[WardCode],"BF")),"")</f>
        <v/>
      </c>
      <c r="H166" s="12">
        <f>IFERROR(IF(SUMIFS(tblDaily[Remaining],tblDaily[EntryDate],DATE(2026,5,4),tblDaily[WardCode],"BF")=0,"",SUMIFS(tblDaily[Remaining],tblDaily[EntryDate],DATE(2026,5,4),tblDaily[WardCode],"BF")),"")</f>
        <v/>
      </c>
    </row>
    <row r="167">
      <c r="A167" s="12" t="n">
        <v>5</v>
      </c>
      <c r="B167" s="12">
        <f>IFERROR(IF(SUMIFS(tblDaily[Admissions],tblDaily[EntryDate],DATE(2026,5,5),tblDaily[WardCode],"BF")=0,"",SUMIFS(tblDaily[Admissions],tblDaily[EntryDate],DATE(2026,5,5),tblDaily[WardCode],"BF")),"")</f>
        <v/>
      </c>
      <c r="C167" s="12">
        <f>IFERROR(IF(SUMIFS(tblDaily[Discharges],tblDaily[EntryDate],DATE(2026,5,5),tblDaily[WardCode],"BF")=0,"",SUMIFS(tblDaily[Discharges],tblDaily[EntryDate],DATE(2026,5,5),tblDaily[WardCode],"BF")),"")</f>
        <v/>
      </c>
      <c r="D167" s="12">
        <f>IFERROR(IF(SUMIFS(tblDaily[Deaths],tblDaily[EntryDate],DATE(2026,5,5),tblDaily[WardCode],"BF")=0,"",SUMIFS(tblDaily[Deaths],tblDaily[EntryDate],DATE(2026,5,5),tblDaily[WardCode],"BF")),"")</f>
        <v/>
      </c>
      <c r="E167" s="12">
        <f>IFERROR(IF(SUMIFS(tblDaily[DeathsUnder24Hrs],tblDaily[EntryDate],DATE(2026,5,5),tblDaily[WardCode],"BF")=0,"",SUMIFS(tblDaily[DeathsUnder24Hrs],tblDaily[EntryDate],DATE(2026,5,5),tblDaily[WardCode],"BF")),"")</f>
        <v/>
      </c>
      <c r="F167" s="12">
        <f>IFERROR(IF(SUMIFS(tblDaily[TransfersIn],tblDaily[EntryDate],DATE(2026,5,5),tblDaily[WardCode],"BF")=0,"",SUMIFS(tblDaily[TransfersIn],tblDaily[EntryDate],DATE(2026,5,5),tblDaily[WardCode],"BF")),"")</f>
        <v/>
      </c>
      <c r="G167" s="12">
        <f>IFERROR(IF(SUMIFS(tblDaily[TransfersOut],tblDaily[EntryDate],DATE(2026,5,5),tblDaily[WardCode],"BF")=0,"",SUMIFS(tblDaily[TransfersOut],tblDaily[EntryDate],DATE(2026,5,5),tblDaily[WardCode],"BF")),"")</f>
        <v/>
      </c>
      <c r="H167" s="12">
        <f>IFERROR(IF(SUMIFS(tblDaily[Remaining],tblDaily[EntryDate],DATE(2026,5,5),tblDaily[WardCode],"BF")=0,"",SUMIFS(tblDaily[Remaining],tblDaily[EntryDate],DATE(2026,5,5),tblDaily[WardCode],"BF")),"")</f>
        <v/>
      </c>
    </row>
    <row r="168">
      <c r="A168" s="12" t="n">
        <v>6</v>
      </c>
      <c r="B168" s="12">
        <f>IFERROR(IF(SUMIFS(tblDaily[Admissions],tblDaily[EntryDate],DATE(2026,5,6),tblDaily[WardCode],"BF")=0,"",SUMIFS(tblDaily[Admissions],tblDaily[EntryDate],DATE(2026,5,6),tblDaily[WardCode],"BF")),"")</f>
        <v/>
      </c>
      <c r="C168" s="12">
        <f>IFERROR(IF(SUMIFS(tblDaily[Discharges],tblDaily[EntryDate],DATE(2026,5,6),tblDaily[WardCode],"BF")=0,"",SUMIFS(tblDaily[Discharges],tblDaily[EntryDate],DATE(2026,5,6),tblDaily[WardCode],"BF")),"")</f>
        <v/>
      </c>
      <c r="D168" s="12">
        <f>IFERROR(IF(SUMIFS(tblDaily[Deaths],tblDaily[EntryDate],DATE(2026,5,6),tblDaily[WardCode],"BF")=0,"",SUMIFS(tblDaily[Deaths],tblDaily[EntryDate],DATE(2026,5,6),tblDaily[WardCode],"BF")),"")</f>
        <v/>
      </c>
      <c r="E168" s="12">
        <f>IFERROR(IF(SUMIFS(tblDaily[DeathsUnder24Hrs],tblDaily[EntryDate],DATE(2026,5,6),tblDaily[WardCode],"BF")=0,"",SUMIFS(tblDaily[DeathsUnder24Hrs],tblDaily[EntryDate],DATE(2026,5,6),tblDaily[WardCode],"BF")),"")</f>
        <v/>
      </c>
      <c r="F168" s="12">
        <f>IFERROR(IF(SUMIFS(tblDaily[TransfersIn],tblDaily[EntryDate],DATE(2026,5,6),tblDaily[WardCode],"BF")=0,"",SUMIFS(tblDaily[TransfersIn],tblDaily[EntryDate],DATE(2026,5,6),tblDaily[WardCode],"BF")),"")</f>
        <v/>
      </c>
      <c r="G168" s="12">
        <f>IFERROR(IF(SUMIFS(tblDaily[TransfersOut],tblDaily[EntryDate],DATE(2026,5,6),tblDaily[WardCode],"BF")=0,"",SUMIFS(tblDaily[TransfersOut],tblDaily[EntryDate],DATE(2026,5,6),tblDaily[WardCode],"BF")),"")</f>
        <v/>
      </c>
      <c r="H168" s="12">
        <f>IFERROR(IF(SUMIFS(tblDaily[Remaining],tblDaily[EntryDate],DATE(2026,5,6),tblDaily[WardCode],"BF")=0,"",SUMIFS(tblDaily[Remaining],tblDaily[EntryDate],DATE(2026,5,6),tblDaily[WardCode],"BF")),"")</f>
        <v/>
      </c>
    </row>
    <row r="169">
      <c r="A169" s="12" t="n">
        <v>7</v>
      </c>
      <c r="B169" s="12">
        <f>IFERROR(IF(SUMIFS(tblDaily[Admissions],tblDaily[EntryDate],DATE(2026,5,7),tblDaily[WardCode],"BF")=0,"",SUMIFS(tblDaily[Admissions],tblDaily[EntryDate],DATE(2026,5,7),tblDaily[WardCode],"BF")),"")</f>
        <v/>
      </c>
      <c r="C169" s="12">
        <f>IFERROR(IF(SUMIFS(tblDaily[Discharges],tblDaily[EntryDate],DATE(2026,5,7),tblDaily[WardCode],"BF")=0,"",SUMIFS(tblDaily[Discharges],tblDaily[EntryDate],DATE(2026,5,7),tblDaily[WardCode],"BF")),"")</f>
        <v/>
      </c>
      <c r="D169" s="12">
        <f>IFERROR(IF(SUMIFS(tblDaily[Deaths],tblDaily[EntryDate],DATE(2026,5,7),tblDaily[WardCode],"BF")=0,"",SUMIFS(tblDaily[Deaths],tblDaily[EntryDate],DATE(2026,5,7),tblDaily[WardCode],"BF")),"")</f>
        <v/>
      </c>
      <c r="E169" s="12">
        <f>IFERROR(IF(SUMIFS(tblDaily[DeathsUnder24Hrs],tblDaily[EntryDate],DATE(2026,5,7),tblDaily[WardCode],"BF")=0,"",SUMIFS(tblDaily[DeathsUnder24Hrs],tblDaily[EntryDate],DATE(2026,5,7),tblDaily[WardCode],"BF")),"")</f>
        <v/>
      </c>
      <c r="F169" s="12">
        <f>IFERROR(IF(SUMIFS(tblDaily[TransfersIn],tblDaily[EntryDate],DATE(2026,5,7),tblDaily[WardCode],"BF")=0,"",SUMIFS(tblDaily[TransfersIn],tblDaily[EntryDate],DATE(2026,5,7),tblDaily[WardCode],"BF")),"")</f>
        <v/>
      </c>
      <c r="G169" s="12">
        <f>IFERROR(IF(SUMIFS(tblDaily[TransfersOut],tblDaily[EntryDate],DATE(2026,5,7),tblDaily[WardCode],"BF")=0,"",SUMIFS(tblDaily[TransfersOut],tblDaily[EntryDate],DATE(2026,5,7),tblDaily[WardCode],"BF")),"")</f>
        <v/>
      </c>
      <c r="H169" s="12">
        <f>IFERROR(IF(SUMIFS(tblDaily[Remaining],tblDaily[EntryDate],DATE(2026,5,7),tblDaily[WardCode],"BF")=0,"",SUMIFS(tblDaily[Remaining],tblDaily[EntryDate],DATE(2026,5,7),tblDaily[WardCode],"BF")),"")</f>
        <v/>
      </c>
    </row>
    <row r="170">
      <c r="A170" s="12" t="n">
        <v>8</v>
      </c>
      <c r="B170" s="12">
        <f>IFERROR(IF(SUMIFS(tblDaily[Admissions],tblDaily[EntryDate],DATE(2026,5,8),tblDaily[WardCode],"BF")=0,"",SUMIFS(tblDaily[Admissions],tblDaily[EntryDate],DATE(2026,5,8),tblDaily[WardCode],"BF")),"")</f>
        <v/>
      </c>
      <c r="C170" s="12">
        <f>IFERROR(IF(SUMIFS(tblDaily[Discharges],tblDaily[EntryDate],DATE(2026,5,8),tblDaily[WardCode],"BF")=0,"",SUMIFS(tblDaily[Discharges],tblDaily[EntryDate],DATE(2026,5,8),tblDaily[WardCode],"BF")),"")</f>
        <v/>
      </c>
      <c r="D170" s="12">
        <f>IFERROR(IF(SUMIFS(tblDaily[Deaths],tblDaily[EntryDate],DATE(2026,5,8),tblDaily[WardCode],"BF")=0,"",SUMIFS(tblDaily[Deaths],tblDaily[EntryDate],DATE(2026,5,8),tblDaily[WardCode],"BF")),"")</f>
        <v/>
      </c>
      <c r="E170" s="12">
        <f>IFERROR(IF(SUMIFS(tblDaily[DeathsUnder24Hrs],tblDaily[EntryDate],DATE(2026,5,8),tblDaily[WardCode],"BF")=0,"",SUMIFS(tblDaily[DeathsUnder24Hrs],tblDaily[EntryDate],DATE(2026,5,8),tblDaily[WardCode],"BF")),"")</f>
        <v/>
      </c>
      <c r="F170" s="12">
        <f>IFERROR(IF(SUMIFS(tblDaily[TransfersIn],tblDaily[EntryDate],DATE(2026,5,8),tblDaily[WardCode],"BF")=0,"",SUMIFS(tblDaily[TransfersIn],tblDaily[EntryDate],DATE(2026,5,8),tblDaily[WardCode],"BF")),"")</f>
        <v/>
      </c>
      <c r="G170" s="12">
        <f>IFERROR(IF(SUMIFS(tblDaily[TransfersOut],tblDaily[EntryDate],DATE(2026,5,8),tblDaily[WardCode],"BF")=0,"",SUMIFS(tblDaily[TransfersOut],tblDaily[EntryDate],DATE(2026,5,8),tblDaily[WardCode],"BF")),"")</f>
        <v/>
      </c>
      <c r="H170" s="12">
        <f>IFERROR(IF(SUMIFS(tblDaily[Remaining],tblDaily[EntryDate],DATE(2026,5,8),tblDaily[WardCode],"BF")=0,"",SUMIFS(tblDaily[Remaining],tblDaily[EntryDate],DATE(2026,5,8),tblDaily[WardCode],"BF")),"")</f>
        <v/>
      </c>
    </row>
    <row r="171">
      <c r="A171" s="12" t="n">
        <v>9</v>
      </c>
      <c r="B171" s="12">
        <f>IFERROR(IF(SUMIFS(tblDaily[Admissions],tblDaily[EntryDate],DATE(2026,5,9),tblDaily[WardCode],"BF")=0,"",SUMIFS(tblDaily[Admissions],tblDaily[EntryDate],DATE(2026,5,9),tblDaily[WardCode],"BF")),"")</f>
        <v/>
      </c>
      <c r="C171" s="12">
        <f>IFERROR(IF(SUMIFS(tblDaily[Discharges],tblDaily[EntryDate],DATE(2026,5,9),tblDaily[WardCode],"BF")=0,"",SUMIFS(tblDaily[Discharges],tblDaily[EntryDate],DATE(2026,5,9),tblDaily[WardCode],"BF")),"")</f>
        <v/>
      </c>
      <c r="D171" s="12">
        <f>IFERROR(IF(SUMIFS(tblDaily[Deaths],tblDaily[EntryDate],DATE(2026,5,9),tblDaily[WardCode],"BF")=0,"",SUMIFS(tblDaily[Deaths],tblDaily[EntryDate],DATE(2026,5,9),tblDaily[WardCode],"BF")),"")</f>
        <v/>
      </c>
      <c r="E171" s="12">
        <f>IFERROR(IF(SUMIFS(tblDaily[DeathsUnder24Hrs],tblDaily[EntryDate],DATE(2026,5,9),tblDaily[WardCode],"BF")=0,"",SUMIFS(tblDaily[DeathsUnder24Hrs],tblDaily[EntryDate],DATE(2026,5,9),tblDaily[WardCode],"BF")),"")</f>
        <v/>
      </c>
      <c r="F171" s="12">
        <f>IFERROR(IF(SUMIFS(tblDaily[TransfersIn],tblDaily[EntryDate],DATE(2026,5,9),tblDaily[WardCode],"BF")=0,"",SUMIFS(tblDaily[TransfersIn],tblDaily[EntryDate],DATE(2026,5,9),tblDaily[WardCode],"BF")),"")</f>
        <v/>
      </c>
      <c r="G171" s="12">
        <f>IFERROR(IF(SUMIFS(tblDaily[TransfersOut],tblDaily[EntryDate],DATE(2026,5,9),tblDaily[WardCode],"BF")=0,"",SUMIFS(tblDaily[TransfersOut],tblDaily[EntryDate],DATE(2026,5,9),tblDaily[WardCode],"BF")),"")</f>
        <v/>
      </c>
      <c r="H171" s="12">
        <f>IFERROR(IF(SUMIFS(tblDaily[Remaining],tblDaily[EntryDate],DATE(2026,5,9),tblDaily[WardCode],"BF")=0,"",SUMIFS(tblDaily[Remaining],tblDaily[EntryDate],DATE(2026,5,9),tblDaily[WardCode],"BF")),"")</f>
        <v/>
      </c>
    </row>
    <row r="172">
      <c r="A172" s="12" t="n">
        <v>10</v>
      </c>
      <c r="B172" s="12">
        <f>IFERROR(IF(SUMIFS(tblDaily[Admissions],tblDaily[EntryDate],DATE(2026,5,10),tblDaily[WardCode],"BF")=0,"",SUMIFS(tblDaily[Admissions],tblDaily[EntryDate],DATE(2026,5,10),tblDaily[WardCode],"BF")),"")</f>
        <v/>
      </c>
      <c r="C172" s="12">
        <f>IFERROR(IF(SUMIFS(tblDaily[Discharges],tblDaily[EntryDate],DATE(2026,5,10),tblDaily[WardCode],"BF")=0,"",SUMIFS(tblDaily[Discharges],tblDaily[EntryDate],DATE(2026,5,10),tblDaily[WardCode],"BF")),"")</f>
        <v/>
      </c>
      <c r="D172" s="12">
        <f>IFERROR(IF(SUMIFS(tblDaily[Deaths],tblDaily[EntryDate],DATE(2026,5,10),tblDaily[WardCode],"BF")=0,"",SUMIFS(tblDaily[Deaths],tblDaily[EntryDate],DATE(2026,5,10),tblDaily[WardCode],"BF")),"")</f>
        <v/>
      </c>
      <c r="E172" s="12">
        <f>IFERROR(IF(SUMIFS(tblDaily[DeathsUnder24Hrs],tblDaily[EntryDate],DATE(2026,5,10),tblDaily[WardCode],"BF")=0,"",SUMIFS(tblDaily[DeathsUnder24Hrs],tblDaily[EntryDate],DATE(2026,5,10),tblDaily[WardCode],"BF")),"")</f>
        <v/>
      </c>
      <c r="F172" s="12">
        <f>IFERROR(IF(SUMIFS(tblDaily[TransfersIn],tblDaily[EntryDate],DATE(2026,5,10),tblDaily[WardCode],"BF")=0,"",SUMIFS(tblDaily[TransfersIn],tblDaily[EntryDate],DATE(2026,5,10),tblDaily[WardCode],"BF")),"")</f>
        <v/>
      </c>
      <c r="G172" s="12">
        <f>IFERROR(IF(SUMIFS(tblDaily[TransfersOut],tblDaily[EntryDate],DATE(2026,5,10),tblDaily[WardCode],"BF")=0,"",SUMIFS(tblDaily[TransfersOut],tblDaily[EntryDate],DATE(2026,5,10),tblDaily[WardCode],"BF")),"")</f>
        <v/>
      </c>
      <c r="H172" s="12">
        <f>IFERROR(IF(SUMIFS(tblDaily[Remaining],tblDaily[EntryDate],DATE(2026,5,10),tblDaily[WardCode],"BF")=0,"",SUMIFS(tblDaily[Remaining],tblDaily[EntryDate],DATE(2026,5,10),tblDaily[WardCode],"BF")),"")</f>
        <v/>
      </c>
    </row>
    <row r="173">
      <c r="A173" s="12" t="n">
        <v>11</v>
      </c>
      <c r="B173" s="12">
        <f>IFERROR(IF(SUMIFS(tblDaily[Admissions],tblDaily[EntryDate],DATE(2026,5,11),tblDaily[WardCode],"BF")=0,"",SUMIFS(tblDaily[Admissions],tblDaily[EntryDate],DATE(2026,5,11),tblDaily[WardCode],"BF")),"")</f>
        <v/>
      </c>
      <c r="C173" s="12">
        <f>IFERROR(IF(SUMIFS(tblDaily[Discharges],tblDaily[EntryDate],DATE(2026,5,11),tblDaily[WardCode],"BF")=0,"",SUMIFS(tblDaily[Discharges],tblDaily[EntryDate],DATE(2026,5,11),tblDaily[WardCode],"BF")),"")</f>
        <v/>
      </c>
      <c r="D173" s="12">
        <f>IFERROR(IF(SUMIFS(tblDaily[Deaths],tblDaily[EntryDate],DATE(2026,5,11),tblDaily[WardCode],"BF")=0,"",SUMIFS(tblDaily[Deaths],tblDaily[EntryDate],DATE(2026,5,11),tblDaily[WardCode],"BF")),"")</f>
        <v/>
      </c>
      <c r="E173" s="12">
        <f>IFERROR(IF(SUMIFS(tblDaily[DeathsUnder24Hrs],tblDaily[EntryDate],DATE(2026,5,11),tblDaily[WardCode],"BF")=0,"",SUMIFS(tblDaily[DeathsUnder24Hrs],tblDaily[EntryDate],DATE(2026,5,11),tblDaily[WardCode],"BF")),"")</f>
        <v/>
      </c>
      <c r="F173" s="12">
        <f>IFERROR(IF(SUMIFS(tblDaily[TransfersIn],tblDaily[EntryDate],DATE(2026,5,11),tblDaily[WardCode],"BF")=0,"",SUMIFS(tblDaily[TransfersIn],tblDaily[EntryDate],DATE(2026,5,11),tblDaily[WardCode],"BF")),"")</f>
        <v/>
      </c>
      <c r="G173" s="12">
        <f>IFERROR(IF(SUMIFS(tblDaily[TransfersOut],tblDaily[EntryDate],DATE(2026,5,11),tblDaily[WardCode],"BF")=0,"",SUMIFS(tblDaily[TransfersOut],tblDaily[EntryDate],DATE(2026,5,11),tblDaily[WardCode],"BF")),"")</f>
        <v/>
      </c>
      <c r="H173" s="12">
        <f>IFERROR(IF(SUMIFS(tblDaily[Remaining],tblDaily[EntryDate],DATE(2026,5,11),tblDaily[WardCode],"BF")=0,"",SUMIFS(tblDaily[Remaining],tblDaily[EntryDate],DATE(2026,5,11),tblDaily[WardCode],"BF")),"")</f>
        <v/>
      </c>
    </row>
    <row r="174">
      <c r="A174" s="12" t="n">
        <v>12</v>
      </c>
      <c r="B174" s="12">
        <f>IFERROR(IF(SUMIFS(tblDaily[Admissions],tblDaily[EntryDate],DATE(2026,5,12),tblDaily[WardCode],"BF")=0,"",SUMIFS(tblDaily[Admissions],tblDaily[EntryDate],DATE(2026,5,12),tblDaily[WardCode],"BF")),"")</f>
        <v/>
      </c>
      <c r="C174" s="12">
        <f>IFERROR(IF(SUMIFS(tblDaily[Discharges],tblDaily[EntryDate],DATE(2026,5,12),tblDaily[WardCode],"BF")=0,"",SUMIFS(tblDaily[Discharges],tblDaily[EntryDate],DATE(2026,5,12),tblDaily[WardCode],"BF")),"")</f>
        <v/>
      </c>
      <c r="D174" s="12">
        <f>IFERROR(IF(SUMIFS(tblDaily[Deaths],tblDaily[EntryDate],DATE(2026,5,12),tblDaily[WardCode],"BF")=0,"",SUMIFS(tblDaily[Deaths],tblDaily[EntryDate],DATE(2026,5,12),tblDaily[WardCode],"BF")),"")</f>
        <v/>
      </c>
      <c r="E174" s="12">
        <f>IFERROR(IF(SUMIFS(tblDaily[DeathsUnder24Hrs],tblDaily[EntryDate],DATE(2026,5,12),tblDaily[WardCode],"BF")=0,"",SUMIFS(tblDaily[DeathsUnder24Hrs],tblDaily[EntryDate],DATE(2026,5,12),tblDaily[WardCode],"BF")),"")</f>
        <v/>
      </c>
      <c r="F174" s="12">
        <f>IFERROR(IF(SUMIFS(tblDaily[TransfersIn],tblDaily[EntryDate],DATE(2026,5,12),tblDaily[WardCode],"BF")=0,"",SUMIFS(tblDaily[TransfersIn],tblDaily[EntryDate],DATE(2026,5,12),tblDaily[WardCode],"BF")),"")</f>
        <v/>
      </c>
      <c r="G174" s="12">
        <f>IFERROR(IF(SUMIFS(tblDaily[TransfersOut],tblDaily[EntryDate],DATE(2026,5,12),tblDaily[WardCode],"BF")=0,"",SUMIFS(tblDaily[TransfersOut],tblDaily[EntryDate],DATE(2026,5,12),tblDaily[WardCode],"BF")),"")</f>
        <v/>
      </c>
      <c r="H174" s="12">
        <f>IFERROR(IF(SUMIFS(tblDaily[Remaining],tblDaily[EntryDate],DATE(2026,5,12),tblDaily[WardCode],"BF")=0,"",SUMIFS(tblDaily[Remaining],tblDaily[EntryDate],DATE(2026,5,12),tblDaily[WardCode],"BF")),"")</f>
        <v/>
      </c>
    </row>
    <row r="175">
      <c r="A175" s="12" t="n">
        <v>13</v>
      </c>
      <c r="B175" s="12">
        <f>IFERROR(IF(SUMIFS(tblDaily[Admissions],tblDaily[EntryDate],DATE(2026,5,13),tblDaily[WardCode],"BF")=0,"",SUMIFS(tblDaily[Admissions],tblDaily[EntryDate],DATE(2026,5,13),tblDaily[WardCode],"BF")),"")</f>
        <v/>
      </c>
      <c r="C175" s="12">
        <f>IFERROR(IF(SUMIFS(tblDaily[Discharges],tblDaily[EntryDate],DATE(2026,5,13),tblDaily[WardCode],"BF")=0,"",SUMIFS(tblDaily[Discharges],tblDaily[EntryDate],DATE(2026,5,13),tblDaily[WardCode],"BF")),"")</f>
        <v/>
      </c>
      <c r="D175" s="12">
        <f>IFERROR(IF(SUMIFS(tblDaily[Deaths],tblDaily[EntryDate],DATE(2026,5,13),tblDaily[WardCode],"BF")=0,"",SUMIFS(tblDaily[Deaths],tblDaily[EntryDate],DATE(2026,5,13),tblDaily[WardCode],"BF")),"")</f>
        <v/>
      </c>
      <c r="E175" s="12">
        <f>IFERROR(IF(SUMIFS(tblDaily[DeathsUnder24Hrs],tblDaily[EntryDate],DATE(2026,5,13),tblDaily[WardCode],"BF")=0,"",SUMIFS(tblDaily[DeathsUnder24Hrs],tblDaily[EntryDate],DATE(2026,5,13),tblDaily[WardCode],"BF")),"")</f>
        <v/>
      </c>
      <c r="F175" s="12">
        <f>IFERROR(IF(SUMIFS(tblDaily[TransfersIn],tblDaily[EntryDate],DATE(2026,5,13),tblDaily[WardCode],"BF")=0,"",SUMIFS(tblDaily[TransfersIn],tblDaily[EntryDate],DATE(2026,5,13),tblDaily[WardCode],"BF")),"")</f>
        <v/>
      </c>
      <c r="G175" s="12">
        <f>IFERROR(IF(SUMIFS(tblDaily[TransfersOut],tblDaily[EntryDate],DATE(2026,5,13),tblDaily[WardCode],"BF")=0,"",SUMIFS(tblDaily[TransfersOut],tblDaily[EntryDate],DATE(2026,5,13),tblDaily[WardCode],"BF")),"")</f>
        <v/>
      </c>
      <c r="H175" s="12">
        <f>IFERROR(IF(SUMIFS(tblDaily[Remaining],tblDaily[EntryDate],DATE(2026,5,13),tblDaily[WardCode],"BF")=0,"",SUMIFS(tblDaily[Remaining],tblDaily[EntryDate],DATE(2026,5,13),tblDaily[WardCode],"BF")),"")</f>
        <v/>
      </c>
    </row>
    <row r="176">
      <c r="A176" s="12" t="n">
        <v>14</v>
      </c>
      <c r="B176" s="12">
        <f>IFERROR(IF(SUMIFS(tblDaily[Admissions],tblDaily[EntryDate],DATE(2026,5,14),tblDaily[WardCode],"BF")=0,"",SUMIFS(tblDaily[Admissions],tblDaily[EntryDate],DATE(2026,5,14),tblDaily[WardCode],"BF")),"")</f>
        <v/>
      </c>
      <c r="C176" s="12">
        <f>IFERROR(IF(SUMIFS(tblDaily[Discharges],tblDaily[EntryDate],DATE(2026,5,14),tblDaily[WardCode],"BF")=0,"",SUMIFS(tblDaily[Discharges],tblDaily[EntryDate],DATE(2026,5,14),tblDaily[WardCode],"BF")),"")</f>
        <v/>
      </c>
      <c r="D176" s="12">
        <f>IFERROR(IF(SUMIFS(tblDaily[Deaths],tblDaily[EntryDate],DATE(2026,5,14),tblDaily[WardCode],"BF")=0,"",SUMIFS(tblDaily[Deaths],tblDaily[EntryDate],DATE(2026,5,14),tblDaily[WardCode],"BF")),"")</f>
        <v/>
      </c>
      <c r="E176" s="12">
        <f>IFERROR(IF(SUMIFS(tblDaily[DeathsUnder24Hrs],tblDaily[EntryDate],DATE(2026,5,14),tblDaily[WardCode],"BF")=0,"",SUMIFS(tblDaily[DeathsUnder24Hrs],tblDaily[EntryDate],DATE(2026,5,14),tblDaily[WardCode],"BF")),"")</f>
        <v/>
      </c>
      <c r="F176" s="12">
        <f>IFERROR(IF(SUMIFS(tblDaily[TransfersIn],tblDaily[EntryDate],DATE(2026,5,14),tblDaily[WardCode],"BF")=0,"",SUMIFS(tblDaily[TransfersIn],tblDaily[EntryDate],DATE(2026,5,14),tblDaily[WardCode],"BF")),"")</f>
        <v/>
      </c>
      <c r="G176" s="12">
        <f>IFERROR(IF(SUMIFS(tblDaily[TransfersOut],tblDaily[EntryDate],DATE(2026,5,14),tblDaily[WardCode],"BF")=0,"",SUMIFS(tblDaily[TransfersOut],tblDaily[EntryDate],DATE(2026,5,14),tblDaily[WardCode],"BF")),"")</f>
        <v/>
      </c>
      <c r="H176" s="12">
        <f>IFERROR(IF(SUMIFS(tblDaily[Remaining],tblDaily[EntryDate],DATE(2026,5,14),tblDaily[WardCode],"BF")=0,"",SUMIFS(tblDaily[Remaining],tblDaily[EntryDate],DATE(2026,5,14),tblDaily[WardCode],"BF")),"")</f>
        <v/>
      </c>
    </row>
    <row r="177">
      <c r="A177" s="12" t="n">
        <v>15</v>
      </c>
      <c r="B177" s="12">
        <f>IFERROR(IF(SUMIFS(tblDaily[Admissions],tblDaily[EntryDate],DATE(2026,5,15),tblDaily[WardCode],"BF")=0,"",SUMIFS(tblDaily[Admissions],tblDaily[EntryDate],DATE(2026,5,15),tblDaily[WardCode],"BF")),"")</f>
        <v/>
      </c>
      <c r="C177" s="12">
        <f>IFERROR(IF(SUMIFS(tblDaily[Discharges],tblDaily[EntryDate],DATE(2026,5,15),tblDaily[WardCode],"BF")=0,"",SUMIFS(tblDaily[Discharges],tblDaily[EntryDate],DATE(2026,5,15),tblDaily[WardCode],"BF")),"")</f>
        <v/>
      </c>
      <c r="D177" s="12">
        <f>IFERROR(IF(SUMIFS(tblDaily[Deaths],tblDaily[EntryDate],DATE(2026,5,15),tblDaily[WardCode],"BF")=0,"",SUMIFS(tblDaily[Deaths],tblDaily[EntryDate],DATE(2026,5,15),tblDaily[WardCode],"BF")),"")</f>
        <v/>
      </c>
      <c r="E177" s="12">
        <f>IFERROR(IF(SUMIFS(tblDaily[DeathsUnder24Hrs],tblDaily[EntryDate],DATE(2026,5,15),tblDaily[WardCode],"BF")=0,"",SUMIFS(tblDaily[DeathsUnder24Hrs],tblDaily[EntryDate],DATE(2026,5,15),tblDaily[WardCode],"BF")),"")</f>
        <v/>
      </c>
      <c r="F177" s="12">
        <f>IFERROR(IF(SUMIFS(tblDaily[TransfersIn],tblDaily[EntryDate],DATE(2026,5,15),tblDaily[WardCode],"BF")=0,"",SUMIFS(tblDaily[TransfersIn],tblDaily[EntryDate],DATE(2026,5,15),tblDaily[WardCode],"BF")),"")</f>
        <v/>
      </c>
      <c r="G177" s="12">
        <f>IFERROR(IF(SUMIFS(tblDaily[TransfersOut],tblDaily[EntryDate],DATE(2026,5,15),tblDaily[WardCode],"BF")=0,"",SUMIFS(tblDaily[TransfersOut],tblDaily[EntryDate],DATE(2026,5,15),tblDaily[WardCode],"BF")),"")</f>
        <v/>
      </c>
      <c r="H177" s="12">
        <f>IFERROR(IF(SUMIFS(tblDaily[Remaining],tblDaily[EntryDate],DATE(2026,5,15),tblDaily[WardCode],"BF")=0,"",SUMIFS(tblDaily[Remaining],tblDaily[EntryDate],DATE(2026,5,15),tblDaily[WardCode],"BF")),"")</f>
        <v/>
      </c>
    </row>
    <row r="178">
      <c r="A178" s="12" t="n">
        <v>16</v>
      </c>
      <c r="B178" s="12">
        <f>IFERROR(IF(SUMIFS(tblDaily[Admissions],tblDaily[EntryDate],DATE(2026,5,16),tblDaily[WardCode],"BF")=0,"",SUMIFS(tblDaily[Admissions],tblDaily[EntryDate],DATE(2026,5,16),tblDaily[WardCode],"BF")),"")</f>
        <v/>
      </c>
      <c r="C178" s="12">
        <f>IFERROR(IF(SUMIFS(tblDaily[Discharges],tblDaily[EntryDate],DATE(2026,5,16),tblDaily[WardCode],"BF")=0,"",SUMIFS(tblDaily[Discharges],tblDaily[EntryDate],DATE(2026,5,16),tblDaily[WardCode],"BF")),"")</f>
        <v/>
      </c>
      <c r="D178" s="12">
        <f>IFERROR(IF(SUMIFS(tblDaily[Deaths],tblDaily[EntryDate],DATE(2026,5,16),tblDaily[WardCode],"BF")=0,"",SUMIFS(tblDaily[Deaths],tblDaily[EntryDate],DATE(2026,5,16),tblDaily[WardCode],"BF")),"")</f>
        <v/>
      </c>
      <c r="E178" s="12">
        <f>IFERROR(IF(SUMIFS(tblDaily[DeathsUnder24Hrs],tblDaily[EntryDate],DATE(2026,5,16),tblDaily[WardCode],"BF")=0,"",SUMIFS(tblDaily[DeathsUnder24Hrs],tblDaily[EntryDate],DATE(2026,5,16),tblDaily[WardCode],"BF")),"")</f>
        <v/>
      </c>
      <c r="F178" s="12">
        <f>IFERROR(IF(SUMIFS(tblDaily[TransfersIn],tblDaily[EntryDate],DATE(2026,5,16),tblDaily[WardCode],"BF")=0,"",SUMIFS(tblDaily[TransfersIn],tblDaily[EntryDate],DATE(2026,5,16),tblDaily[WardCode],"BF")),"")</f>
        <v/>
      </c>
      <c r="G178" s="12">
        <f>IFERROR(IF(SUMIFS(tblDaily[TransfersOut],tblDaily[EntryDate],DATE(2026,5,16),tblDaily[WardCode],"BF")=0,"",SUMIFS(tblDaily[TransfersOut],tblDaily[EntryDate],DATE(2026,5,16),tblDaily[WardCode],"BF")),"")</f>
        <v/>
      </c>
      <c r="H178" s="12">
        <f>IFERROR(IF(SUMIFS(tblDaily[Remaining],tblDaily[EntryDate],DATE(2026,5,16),tblDaily[WardCode],"BF")=0,"",SUMIFS(tblDaily[Remaining],tblDaily[EntryDate],DATE(2026,5,16),tblDaily[WardCode],"BF")),"")</f>
        <v/>
      </c>
    </row>
    <row r="179">
      <c r="A179" s="12" t="n">
        <v>17</v>
      </c>
      <c r="B179" s="12">
        <f>IFERROR(IF(SUMIFS(tblDaily[Admissions],tblDaily[EntryDate],DATE(2026,5,17),tblDaily[WardCode],"BF")=0,"",SUMIFS(tblDaily[Admissions],tblDaily[EntryDate],DATE(2026,5,17),tblDaily[WardCode],"BF")),"")</f>
        <v/>
      </c>
      <c r="C179" s="12">
        <f>IFERROR(IF(SUMIFS(tblDaily[Discharges],tblDaily[EntryDate],DATE(2026,5,17),tblDaily[WardCode],"BF")=0,"",SUMIFS(tblDaily[Discharges],tblDaily[EntryDate],DATE(2026,5,17),tblDaily[WardCode],"BF")),"")</f>
        <v/>
      </c>
      <c r="D179" s="12">
        <f>IFERROR(IF(SUMIFS(tblDaily[Deaths],tblDaily[EntryDate],DATE(2026,5,17),tblDaily[WardCode],"BF")=0,"",SUMIFS(tblDaily[Deaths],tblDaily[EntryDate],DATE(2026,5,17),tblDaily[WardCode],"BF")),"")</f>
        <v/>
      </c>
      <c r="E179" s="12">
        <f>IFERROR(IF(SUMIFS(tblDaily[DeathsUnder24Hrs],tblDaily[EntryDate],DATE(2026,5,17),tblDaily[WardCode],"BF")=0,"",SUMIFS(tblDaily[DeathsUnder24Hrs],tblDaily[EntryDate],DATE(2026,5,17),tblDaily[WardCode],"BF")),"")</f>
        <v/>
      </c>
      <c r="F179" s="12">
        <f>IFERROR(IF(SUMIFS(tblDaily[TransfersIn],tblDaily[EntryDate],DATE(2026,5,17),tblDaily[WardCode],"BF")=0,"",SUMIFS(tblDaily[TransfersIn],tblDaily[EntryDate],DATE(2026,5,17),tblDaily[WardCode],"BF")),"")</f>
        <v/>
      </c>
      <c r="G179" s="12">
        <f>IFERROR(IF(SUMIFS(tblDaily[TransfersOut],tblDaily[EntryDate],DATE(2026,5,17),tblDaily[WardCode],"BF")=0,"",SUMIFS(tblDaily[TransfersOut],tblDaily[EntryDate],DATE(2026,5,17),tblDaily[WardCode],"BF")),"")</f>
        <v/>
      </c>
      <c r="H179" s="12">
        <f>IFERROR(IF(SUMIFS(tblDaily[Remaining],tblDaily[EntryDate],DATE(2026,5,17),tblDaily[WardCode],"BF")=0,"",SUMIFS(tblDaily[Remaining],tblDaily[EntryDate],DATE(2026,5,17),tblDaily[WardCode],"BF")),"")</f>
        <v/>
      </c>
    </row>
    <row r="180">
      <c r="A180" s="12" t="n">
        <v>18</v>
      </c>
      <c r="B180" s="12">
        <f>IFERROR(IF(SUMIFS(tblDaily[Admissions],tblDaily[EntryDate],DATE(2026,5,18),tblDaily[WardCode],"BF")=0,"",SUMIFS(tblDaily[Admissions],tblDaily[EntryDate],DATE(2026,5,18),tblDaily[WardCode],"BF")),"")</f>
        <v/>
      </c>
      <c r="C180" s="12">
        <f>IFERROR(IF(SUMIFS(tblDaily[Discharges],tblDaily[EntryDate],DATE(2026,5,18),tblDaily[WardCode],"BF")=0,"",SUMIFS(tblDaily[Discharges],tblDaily[EntryDate],DATE(2026,5,18),tblDaily[WardCode],"BF")),"")</f>
        <v/>
      </c>
      <c r="D180" s="12">
        <f>IFERROR(IF(SUMIFS(tblDaily[Deaths],tblDaily[EntryDate],DATE(2026,5,18),tblDaily[WardCode],"BF")=0,"",SUMIFS(tblDaily[Deaths],tblDaily[EntryDate],DATE(2026,5,18),tblDaily[WardCode],"BF")),"")</f>
        <v/>
      </c>
      <c r="E180" s="12">
        <f>IFERROR(IF(SUMIFS(tblDaily[DeathsUnder24Hrs],tblDaily[EntryDate],DATE(2026,5,18),tblDaily[WardCode],"BF")=0,"",SUMIFS(tblDaily[DeathsUnder24Hrs],tblDaily[EntryDate],DATE(2026,5,18),tblDaily[WardCode],"BF")),"")</f>
        <v/>
      </c>
      <c r="F180" s="12">
        <f>IFERROR(IF(SUMIFS(tblDaily[TransfersIn],tblDaily[EntryDate],DATE(2026,5,18),tblDaily[WardCode],"BF")=0,"",SUMIFS(tblDaily[TransfersIn],tblDaily[EntryDate],DATE(2026,5,18),tblDaily[WardCode],"BF")),"")</f>
        <v/>
      </c>
      <c r="G180" s="12">
        <f>IFERROR(IF(SUMIFS(tblDaily[TransfersOut],tblDaily[EntryDate],DATE(2026,5,18),tblDaily[WardCode],"BF")=0,"",SUMIFS(tblDaily[TransfersOut],tblDaily[EntryDate],DATE(2026,5,18),tblDaily[WardCode],"BF")),"")</f>
        <v/>
      </c>
      <c r="H180" s="12">
        <f>IFERROR(IF(SUMIFS(tblDaily[Remaining],tblDaily[EntryDate],DATE(2026,5,18),tblDaily[WardCode],"BF")=0,"",SUMIFS(tblDaily[Remaining],tblDaily[EntryDate],DATE(2026,5,18),tblDaily[WardCode],"BF")),"")</f>
        <v/>
      </c>
    </row>
    <row r="181">
      <c r="A181" s="12" t="n">
        <v>19</v>
      </c>
      <c r="B181" s="12">
        <f>IFERROR(IF(SUMIFS(tblDaily[Admissions],tblDaily[EntryDate],DATE(2026,5,19),tblDaily[WardCode],"BF")=0,"",SUMIFS(tblDaily[Admissions],tblDaily[EntryDate],DATE(2026,5,19),tblDaily[WardCode],"BF")),"")</f>
        <v/>
      </c>
      <c r="C181" s="12">
        <f>IFERROR(IF(SUMIFS(tblDaily[Discharges],tblDaily[EntryDate],DATE(2026,5,19),tblDaily[WardCode],"BF")=0,"",SUMIFS(tblDaily[Discharges],tblDaily[EntryDate],DATE(2026,5,19),tblDaily[WardCode],"BF")),"")</f>
        <v/>
      </c>
      <c r="D181" s="12">
        <f>IFERROR(IF(SUMIFS(tblDaily[Deaths],tblDaily[EntryDate],DATE(2026,5,19),tblDaily[WardCode],"BF")=0,"",SUMIFS(tblDaily[Deaths],tblDaily[EntryDate],DATE(2026,5,19),tblDaily[WardCode],"BF")),"")</f>
        <v/>
      </c>
      <c r="E181" s="12">
        <f>IFERROR(IF(SUMIFS(tblDaily[DeathsUnder24Hrs],tblDaily[EntryDate],DATE(2026,5,19),tblDaily[WardCode],"BF")=0,"",SUMIFS(tblDaily[DeathsUnder24Hrs],tblDaily[EntryDate],DATE(2026,5,19),tblDaily[WardCode],"BF")),"")</f>
        <v/>
      </c>
      <c r="F181" s="12">
        <f>IFERROR(IF(SUMIFS(tblDaily[TransfersIn],tblDaily[EntryDate],DATE(2026,5,19),tblDaily[WardCode],"BF")=0,"",SUMIFS(tblDaily[TransfersIn],tblDaily[EntryDate],DATE(2026,5,19),tblDaily[WardCode],"BF")),"")</f>
        <v/>
      </c>
      <c r="G181" s="12">
        <f>IFERROR(IF(SUMIFS(tblDaily[TransfersOut],tblDaily[EntryDate],DATE(2026,5,19),tblDaily[WardCode],"BF")=0,"",SUMIFS(tblDaily[TransfersOut],tblDaily[EntryDate],DATE(2026,5,19),tblDaily[WardCode],"BF")),"")</f>
        <v/>
      </c>
      <c r="H181" s="12">
        <f>IFERROR(IF(SUMIFS(tblDaily[Remaining],tblDaily[EntryDate],DATE(2026,5,19),tblDaily[WardCode],"BF")=0,"",SUMIFS(tblDaily[Remaining],tblDaily[EntryDate],DATE(2026,5,19),tblDaily[WardCode],"BF")),"")</f>
        <v/>
      </c>
    </row>
    <row r="182">
      <c r="A182" s="12" t="n">
        <v>20</v>
      </c>
      <c r="B182" s="12">
        <f>IFERROR(IF(SUMIFS(tblDaily[Admissions],tblDaily[EntryDate],DATE(2026,5,20),tblDaily[WardCode],"BF")=0,"",SUMIFS(tblDaily[Admissions],tblDaily[EntryDate],DATE(2026,5,20),tblDaily[WardCode],"BF")),"")</f>
        <v/>
      </c>
      <c r="C182" s="12">
        <f>IFERROR(IF(SUMIFS(tblDaily[Discharges],tblDaily[EntryDate],DATE(2026,5,20),tblDaily[WardCode],"BF")=0,"",SUMIFS(tblDaily[Discharges],tblDaily[EntryDate],DATE(2026,5,20),tblDaily[WardCode],"BF")),"")</f>
        <v/>
      </c>
      <c r="D182" s="12">
        <f>IFERROR(IF(SUMIFS(tblDaily[Deaths],tblDaily[EntryDate],DATE(2026,5,20),tblDaily[WardCode],"BF")=0,"",SUMIFS(tblDaily[Deaths],tblDaily[EntryDate],DATE(2026,5,20),tblDaily[WardCode],"BF")),"")</f>
        <v/>
      </c>
      <c r="E182" s="12">
        <f>IFERROR(IF(SUMIFS(tblDaily[DeathsUnder24Hrs],tblDaily[EntryDate],DATE(2026,5,20),tblDaily[WardCode],"BF")=0,"",SUMIFS(tblDaily[DeathsUnder24Hrs],tblDaily[EntryDate],DATE(2026,5,20),tblDaily[WardCode],"BF")),"")</f>
        <v/>
      </c>
      <c r="F182" s="12">
        <f>IFERROR(IF(SUMIFS(tblDaily[TransfersIn],tblDaily[EntryDate],DATE(2026,5,20),tblDaily[WardCode],"BF")=0,"",SUMIFS(tblDaily[TransfersIn],tblDaily[EntryDate],DATE(2026,5,20),tblDaily[WardCode],"BF")),"")</f>
        <v/>
      </c>
      <c r="G182" s="12">
        <f>IFERROR(IF(SUMIFS(tblDaily[TransfersOut],tblDaily[EntryDate],DATE(2026,5,20),tblDaily[WardCode],"BF")=0,"",SUMIFS(tblDaily[TransfersOut],tblDaily[EntryDate],DATE(2026,5,20),tblDaily[WardCode],"BF")),"")</f>
        <v/>
      </c>
      <c r="H182" s="12">
        <f>IFERROR(IF(SUMIFS(tblDaily[Remaining],tblDaily[EntryDate],DATE(2026,5,20),tblDaily[WardCode],"BF")=0,"",SUMIFS(tblDaily[Remaining],tblDaily[EntryDate],DATE(2026,5,20),tblDaily[WardCode],"BF")),"")</f>
        <v/>
      </c>
    </row>
    <row r="183">
      <c r="A183" s="12" t="n">
        <v>21</v>
      </c>
      <c r="B183" s="12">
        <f>IFERROR(IF(SUMIFS(tblDaily[Admissions],tblDaily[EntryDate],DATE(2026,5,21),tblDaily[WardCode],"BF")=0,"",SUMIFS(tblDaily[Admissions],tblDaily[EntryDate],DATE(2026,5,21),tblDaily[WardCode],"BF")),"")</f>
        <v/>
      </c>
      <c r="C183" s="12">
        <f>IFERROR(IF(SUMIFS(tblDaily[Discharges],tblDaily[EntryDate],DATE(2026,5,21),tblDaily[WardCode],"BF")=0,"",SUMIFS(tblDaily[Discharges],tblDaily[EntryDate],DATE(2026,5,21),tblDaily[WardCode],"BF")),"")</f>
        <v/>
      </c>
      <c r="D183" s="12">
        <f>IFERROR(IF(SUMIFS(tblDaily[Deaths],tblDaily[EntryDate],DATE(2026,5,21),tblDaily[WardCode],"BF")=0,"",SUMIFS(tblDaily[Deaths],tblDaily[EntryDate],DATE(2026,5,21),tblDaily[WardCode],"BF")),"")</f>
        <v/>
      </c>
      <c r="E183" s="12">
        <f>IFERROR(IF(SUMIFS(tblDaily[DeathsUnder24Hrs],tblDaily[EntryDate],DATE(2026,5,21),tblDaily[WardCode],"BF")=0,"",SUMIFS(tblDaily[DeathsUnder24Hrs],tblDaily[EntryDate],DATE(2026,5,21),tblDaily[WardCode],"BF")),"")</f>
        <v/>
      </c>
      <c r="F183" s="12">
        <f>IFERROR(IF(SUMIFS(tblDaily[TransfersIn],tblDaily[EntryDate],DATE(2026,5,21),tblDaily[WardCode],"BF")=0,"",SUMIFS(tblDaily[TransfersIn],tblDaily[EntryDate],DATE(2026,5,21),tblDaily[WardCode],"BF")),"")</f>
        <v/>
      </c>
      <c r="G183" s="12">
        <f>IFERROR(IF(SUMIFS(tblDaily[TransfersOut],tblDaily[EntryDate],DATE(2026,5,21),tblDaily[WardCode],"BF")=0,"",SUMIFS(tblDaily[TransfersOut],tblDaily[EntryDate],DATE(2026,5,21),tblDaily[WardCode],"BF")),"")</f>
        <v/>
      </c>
      <c r="H183" s="12">
        <f>IFERROR(IF(SUMIFS(tblDaily[Remaining],tblDaily[EntryDate],DATE(2026,5,21),tblDaily[WardCode],"BF")=0,"",SUMIFS(tblDaily[Remaining],tblDaily[EntryDate],DATE(2026,5,21),tblDaily[WardCode],"BF")),"")</f>
        <v/>
      </c>
    </row>
    <row r="184">
      <c r="A184" s="12" t="n">
        <v>22</v>
      </c>
      <c r="B184" s="12">
        <f>IFERROR(IF(SUMIFS(tblDaily[Admissions],tblDaily[EntryDate],DATE(2026,5,22),tblDaily[WardCode],"BF")=0,"",SUMIFS(tblDaily[Admissions],tblDaily[EntryDate],DATE(2026,5,22),tblDaily[WardCode],"BF")),"")</f>
        <v/>
      </c>
      <c r="C184" s="12">
        <f>IFERROR(IF(SUMIFS(tblDaily[Discharges],tblDaily[EntryDate],DATE(2026,5,22),tblDaily[WardCode],"BF")=0,"",SUMIFS(tblDaily[Discharges],tblDaily[EntryDate],DATE(2026,5,22),tblDaily[WardCode],"BF")),"")</f>
        <v/>
      </c>
      <c r="D184" s="12">
        <f>IFERROR(IF(SUMIFS(tblDaily[Deaths],tblDaily[EntryDate],DATE(2026,5,22),tblDaily[WardCode],"BF")=0,"",SUMIFS(tblDaily[Deaths],tblDaily[EntryDate],DATE(2026,5,22),tblDaily[WardCode],"BF")),"")</f>
        <v/>
      </c>
      <c r="E184" s="12">
        <f>IFERROR(IF(SUMIFS(tblDaily[DeathsUnder24Hrs],tblDaily[EntryDate],DATE(2026,5,22),tblDaily[WardCode],"BF")=0,"",SUMIFS(tblDaily[DeathsUnder24Hrs],tblDaily[EntryDate],DATE(2026,5,22),tblDaily[WardCode],"BF")),"")</f>
        <v/>
      </c>
      <c r="F184" s="12">
        <f>IFERROR(IF(SUMIFS(tblDaily[TransfersIn],tblDaily[EntryDate],DATE(2026,5,22),tblDaily[WardCode],"BF")=0,"",SUMIFS(tblDaily[TransfersIn],tblDaily[EntryDate],DATE(2026,5,22),tblDaily[WardCode],"BF")),"")</f>
        <v/>
      </c>
      <c r="G184" s="12">
        <f>IFERROR(IF(SUMIFS(tblDaily[TransfersOut],tblDaily[EntryDate],DATE(2026,5,22),tblDaily[WardCode],"BF")=0,"",SUMIFS(tblDaily[TransfersOut],tblDaily[EntryDate],DATE(2026,5,22),tblDaily[WardCode],"BF")),"")</f>
        <v/>
      </c>
      <c r="H184" s="12">
        <f>IFERROR(IF(SUMIFS(tblDaily[Remaining],tblDaily[EntryDate],DATE(2026,5,22),tblDaily[WardCode],"BF")=0,"",SUMIFS(tblDaily[Remaining],tblDaily[EntryDate],DATE(2026,5,22),tblDaily[WardCode],"BF")),"")</f>
        <v/>
      </c>
    </row>
    <row r="185">
      <c r="A185" s="12" t="n">
        <v>23</v>
      </c>
      <c r="B185" s="12">
        <f>IFERROR(IF(SUMIFS(tblDaily[Admissions],tblDaily[EntryDate],DATE(2026,5,23),tblDaily[WardCode],"BF")=0,"",SUMIFS(tblDaily[Admissions],tblDaily[EntryDate],DATE(2026,5,23),tblDaily[WardCode],"BF")),"")</f>
        <v/>
      </c>
      <c r="C185" s="12">
        <f>IFERROR(IF(SUMIFS(tblDaily[Discharges],tblDaily[EntryDate],DATE(2026,5,23),tblDaily[WardCode],"BF")=0,"",SUMIFS(tblDaily[Discharges],tblDaily[EntryDate],DATE(2026,5,23),tblDaily[WardCode],"BF")),"")</f>
        <v/>
      </c>
      <c r="D185" s="12">
        <f>IFERROR(IF(SUMIFS(tblDaily[Deaths],tblDaily[EntryDate],DATE(2026,5,23),tblDaily[WardCode],"BF")=0,"",SUMIFS(tblDaily[Deaths],tblDaily[EntryDate],DATE(2026,5,23),tblDaily[WardCode],"BF")),"")</f>
        <v/>
      </c>
      <c r="E185" s="12">
        <f>IFERROR(IF(SUMIFS(tblDaily[DeathsUnder24Hrs],tblDaily[EntryDate],DATE(2026,5,23),tblDaily[WardCode],"BF")=0,"",SUMIFS(tblDaily[DeathsUnder24Hrs],tblDaily[EntryDate],DATE(2026,5,23),tblDaily[WardCode],"BF")),"")</f>
        <v/>
      </c>
      <c r="F185" s="12">
        <f>IFERROR(IF(SUMIFS(tblDaily[TransfersIn],tblDaily[EntryDate],DATE(2026,5,23),tblDaily[WardCode],"BF")=0,"",SUMIFS(tblDaily[TransfersIn],tblDaily[EntryDate],DATE(2026,5,23),tblDaily[WardCode],"BF")),"")</f>
        <v/>
      </c>
      <c r="G185" s="12">
        <f>IFERROR(IF(SUMIFS(tblDaily[TransfersOut],tblDaily[EntryDate],DATE(2026,5,23),tblDaily[WardCode],"BF")=0,"",SUMIFS(tblDaily[TransfersOut],tblDaily[EntryDate],DATE(2026,5,23),tblDaily[WardCode],"BF")),"")</f>
        <v/>
      </c>
      <c r="H185" s="12">
        <f>IFERROR(IF(SUMIFS(tblDaily[Remaining],tblDaily[EntryDate],DATE(2026,5,23),tblDaily[WardCode],"BF")=0,"",SUMIFS(tblDaily[Remaining],tblDaily[EntryDate],DATE(2026,5,23),tblDaily[WardCode],"BF")),"")</f>
        <v/>
      </c>
    </row>
    <row r="186">
      <c r="A186" s="12" t="n">
        <v>24</v>
      </c>
      <c r="B186" s="12">
        <f>IFERROR(IF(SUMIFS(tblDaily[Admissions],tblDaily[EntryDate],DATE(2026,5,24),tblDaily[WardCode],"BF")=0,"",SUMIFS(tblDaily[Admissions],tblDaily[EntryDate],DATE(2026,5,24),tblDaily[WardCode],"BF")),"")</f>
        <v/>
      </c>
      <c r="C186" s="12">
        <f>IFERROR(IF(SUMIFS(tblDaily[Discharges],tblDaily[EntryDate],DATE(2026,5,24),tblDaily[WardCode],"BF")=0,"",SUMIFS(tblDaily[Discharges],tblDaily[EntryDate],DATE(2026,5,24),tblDaily[WardCode],"BF")),"")</f>
        <v/>
      </c>
      <c r="D186" s="12">
        <f>IFERROR(IF(SUMIFS(tblDaily[Deaths],tblDaily[EntryDate],DATE(2026,5,24),tblDaily[WardCode],"BF")=0,"",SUMIFS(tblDaily[Deaths],tblDaily[EntryDate],DATE(2026,5,24),tblDaily[WardCode],"BF")),"")</f>
        <v/>
      </c>
      <c r="E186" s="12">
        <f>IFERROR(IF(SUMIFS(tblDaily[DeathsUnder24Hrs],tblDaily[EntryDate],DATE(2026,5,24),tblDaily[WardCode],"BF")=0,"",SUMIFS(tblDaily[DeathsUnder24Hrs],tblDaily[EntryDate],DATE(2026,5,24),tblDaily[WardCode],"BF")),"")</f>
        <v/>
      </c>
      <c r="F186" s="12">
        <f>IFERROR(IF(SUMIFS(tblDaily[TransfersIn],tblDaily[EntryDate],DATE(2026,5,24),tblDaily[WardCode],"BF")=0,"",SUMIFS(tblDaily[TransfersIn],tblDaily[EntryDate],DATE(2026,5,24),tblDaily[WardCode],"BF")),"")</f>
        <v/>
      </c>
      <c r="G186" s="12">
        <f>IFERROR(IF(SUMIFS(tblDaily[TransfersOut],tblDaily[EntryDate],DATE(2026,5,24),tblDaily[WardCode],"BF")=0,"",SUMIFS(tblDaily[TransfersOut],tblDaily[EntryDate],DATE(2026,5,24),tblDaily[WardCode],"BF")),"")</f>
        <v/>
      </c>
      <c r="H186" s="12">
        <f>IFERROR(IF(SUMIFS(tblDaily[Remaining],tblDaily[EntryDate],DATE(2026,5,24),tblDaily[WardCode],"BF")=0,"",SUMIFS(tblDaily[Remaining],tblDaily[EntryDate],DATE(2026,5,24),tblDaily[WardCode],"BF")),"")</f>
        <v/>
      </c>
    </row>
    <row r="187">
      <c r="A187" s="12" t="n">
        <v>25</v>
      </c>
      <c r="B187" s="12">
        <f>IFERROR(IF(SUMIFS(tblDaily[Admissions],tblDaily[EntryDate],DATE(2026,5,25),tblDaily[WardCode],"BF")=0,"",SUMIFS(tblDaily[Admissions],tblDaily[EntryDate],DATE(2026,5,25),tblDaily[WardCode],"BF")),"")</f>
        <v/>
      </c>
      <c r="C187" s="12">
        <f>IFERROR(IF(SUMIFS(tblDaily[Discharges],tblDaily[EntryDate],DATE(2026,5,25),tblDaily[WardCode],"BF")=0,"",SUMIFS(tblDaily[Discharges],tblDaily[EntryDate],DATE(2026,5,25),tblDaily[WardCode],"BF")),"")</f>
        <v/>
      </c>
      <c r="D187" s="12">
        <f>IFERROR(IF(SUMIFS(tblDaily[Deaths],tblDaily[EntryDate],DATE(2026,5,25),tblDaily[WardCode],"BF")=0,"",SUMIFS(tblDaily[Deaths],tblDaily[EntryDate],DATE(2026,5,25),tblDaily[WardCode],"BF")),"")</f>
        <v/>
      </c>
      <c r="E187" s="12">
        <f>IFERROR(IF(SUMIFS(tblDaily[DeathsUnder24Hrs],tblDaily[EntryDate],DATE(2026,5,25),tblDaily[WardCode],"BF")=0,"",SUMIFS(tblDaily[DeathsUnder24Hrs],tblDaily[EntryDate],DATE(2026,5,25),tblDaily[WardCode],"BF")),"")</f>
        <v/>
      </c>
      <c r="F187" s="12">
        <f>IFERROR(IF(SUMIFS(tblDaily[TransfersIn],tblDaily[EntryDate],DATE(2026,5,25),tblDaily[WardCode],"BF")=0,"",SUMIFS(tblDaily[TransfersIn],tblDaily[EntryDate],DATE(2026,5,25),tblDaily[WardCode],"BF")),"")</f>
        <v/>
      </c>
      <c r="G187" s="12">
        <f>IFERROR(IF(SUMIFS(tblDaily[TransfersOut],tblDaily[EntryDate],DATE(2026,5,25),tblDaily[WardCode],"BF")=0,"",SUMIFS(tblDaily[TransfersOut],tblDaily[EntryDate],DATE(2026,5,25),tblDaily[WardCode],"BF")),"")</f>
        <v/>
      </c>
      <c r="H187" s="12">
        <f>IFERROR(IF(SUMIFS(tblDaily[Remaining],tblDaily[EntryDate],DATE(2026,5,25),tblDaily[WardCode],"BF")=0,"",SUMIFS(tblDaily[Remaining],tblDaily[EntryDate],DATE(2026,5,25),tblDaily[WardCode],"BF")),"")</f>
        <v/>
      </c>
    </row>
    <row r="188">
      <c r="A188" s="12" t="n">
        <v>26</v>
      </c>
      <c r="B188" s="12">
        <f>IFERROR(IF(SUMIFS(tblDaily[Admissions],tblDaily[EntryDate],DATE(2026,5,26),tblDaily[WardCode],"BF")=0,"",SUMIFS(tblDaily[Admissions],tblDaily[EntryDate],DATE(2026,5,26),tblDaily[WardCode],"BF")),"")</f>
        <v/>
      </c>
      <c r="C188" s="12">
        <f>IFERROR(IF(SUMIFS(tblDaily[Discharges],tblDaily[EntryDate],DATE(2026,5,26),tblDaily[WardCode],"BF")=0,"",SUMIFS(tblDaily[Discharges],tblDaily[EntryDate],DATE(2026,5,26),tblDaily[WardCode],"BF")),"")</f>
        <v/>
      </c>
      <c r="D188" s="12">
        <f>IFERROR(IF(SUMIFS(tblDaily[Deaths],tblDaily[EntryDate],DATE(2026,5,26),tblDaily[WardCode],"BF")=0,"",SUMIFS(tblDaily[Deaths],tblDaily[EntryDate],DATE(2026,5,26),tblDaily[WardCode],"BF")),"")</f>
        <v/>
      </c>
      <c r="E188" s="12">
        <f>IFERROR(IF(SUMIFS(tblDaily[DeathsUnder24Hrs],tblDaily[EntryDate],DATE(2026,5,26),tblDaily[WardCode],"BF")=0,"",SUMIFS(tblDaily[DeathsUnder24Hrs],tblDaily[EntryDate],DATE(2026,5,26),tblDaily[WardCode],"BF")),"")</f>
        <v/>
      </c>
      <c r="F188" s="12">
        <f>IFERROR(IF(SUMIFS(tblDaily[TransfersIn],tblDaily[EntryDate],DATE(2026,5,26),tblDaily[WardCode],"BF")=0,"",SUMIFS(tblDaily[TransfersIn],tblDaily[EntryDate],DATE(2026,5,26),tblDaily[WardCode],"BF")),"")</f>
        <v/>
      </c>
      <c r="G188" s="12">
        <f>IFERROR(IF(SUMIFS(tblDaily[TransfersOut],tblDaily[EntryDate],DATE(2026,5,26),tblDaily[WardCode],"BF")=0,"",SUMIFS(tblDaily[TransfersOut],tblDaily[EntryDate],DATE(2026,5,26),tblDaily[WardCode],"BF")),"")</f>
        <v/>
      </c>
      <c r="H188" s="12">
        <f>IFERROR(IF(SUMIFS(tblDaily[Remaining],tblDaily[EntryDate],DATE(2026,5,26),tblDaily[WardCode],"BF")=0,"",SUMIFS(tblDaily[Remaining],tblDaily[EntryDate],DATE(2026,5,26),tblDaily[WardCode],"BF")),"")</f>
        <v/>
      </c>
    </row>
    <row r="189">
      <c r="A189" s="12" t="n">
        <v>27</v>
      </c>
      <c r="B189" s="12">
        <f>IFERROR(IF(SUMIFS(tblDaily[Admissions],tblDaily[EntryDate],DATE(2026,5,27),tblDaily[WardCode],"BF")=0,"",SUMIFS(tblDaily[Admissions],tblDaily[EntryDate],DATE(2026,5,27),tblDaily[WardCode],"BF")),"")</f>
        <v/>
      </c>
      <c r="C189" s="12">
        <f>IFERROR(IF(SUMIFS(tblDaily[Discharges],tblDaily[EntryDate],DATE(2026,5,27),tblDaily[WardCode],"BF")=0,"",SUMIFS(tblDaily[Discharges],tblDaily[EntryDate],DATE(2026,5,27),tblDaily[WardCode],"BF")),"")</f>
        <v/>
      </c>
      <c r="D189" s="12">
        <f>IFERROR(IF(SUMIFS(tblDaily[Deaths],tblDaily[EntryDate],DATE(2026,5,27),tblDaily[WardCode],"BF")=0,"",SUMIFS(tblDaily[Deaths],tblDaily[EntryDate],DATE(2026,5,27),tblDaily[WardCode],"BF")),"")</f>
        <v/>
      </c>
      <c r="E189" s="12">
        <f>IFERROR(IF(SUMIFS(tblDaily[DeathsUnder24Hrs],tblDaily[EntryDate],DATE(2026,5,27),tblDaily[WardCode],"BF")=0,"",SUMIFS(tblDaily[DeathsUnder24Hrs],tblDaily[EntryDate],DATE(2026,5,27),tblDaily[WardCode],"BF")),"")</f>
        <v/>
      </c>
      <c r="F189" s="12">
        <f>IFERROR(IF(SUMIFS(tblDaily[TransfersIn],tblDaily[EntryDate],DATE(2026,5,27),tblDaily[WardCode],"BF")=0,"",SUMIFS(tblDaily[TransfersIn],tblDaily[EntryDate],DATE(2026,5,27),tblDaily[WardCode],"BF")),"")</f>
        <v/>
      </c>
      <c r="G189" s="12">
        <f>IFERROR(IF(SUMIFS(tblDaily[TransfersOut],tblDaily[EntryDate],DATE(2026,5,27),tblDaily[WardCode],"BF")=0,"",SUMIFS(tblDaily[TransfersOut],tblDaily[EntryDate],DATE(2026,5,27),tblDaily[WardCode],"BF")),"")</f>
        <v/>
      </c>
      <c r="H189" s="12">
        <f>IFERROR(IF(SUMIFS(tblDaily[Remaining],tblDaily[EntryDate],DATE(2026,5,27),tblDaily[WardCode],"BF")=0,"",SUMIFS(tblDaily[Remaining],tblDaily[EntryDate],DATE(2026,5,27),tblDaily[WardCode],"BF")),"")</f>
        <v/>
      </c>
    </row>
    <row r="190">
      <c r="A190" s="12" t="n">
        <v>28</v>
      </c>
      <c r="B190" s="12">
        <f>IFERROR(IF(SUMIFS(tblDaily[Admissions],tblDaily[EntryDate],DATE(2026,5,28),tblDaily[WardCode],"BF")=0,"",SUMIFS(tblDaily[Admissions],tblDaily[EntryDate],DATE(2026,5,28),tblDaily[WardCode],"BF")),"")</f>
        <v/>
      </c>
      <c r="C190" s="12">
        <f>IFERROR(IF(SUMIFS(tblDaily[Discharges],tblDaily[EntryDate],DATE(2026,5,28),tblDaily[WardCode],"BF")=0,"",SUMIFS(tblDaily[Discharges],tblDaily[EntryDate],DATE(2026,5,28),tblDaily[WardCode],"BF")),"")</f>
        <v/>
      </c>
      <c r="D190" s="12">
        <f>IFERROR(IF(SUMIFS(tblDaily[Deaths],tblDaily[EntryDate],DATE(2026,5,28),tblDaily[WardCode],"BF")=0,"",SUMIFS(tblDaily[Deaths],tblDaily[EntryDate],DATE(2026,5,28),tblDaily[WardCode],"BF")),"")</f>
        <v/>
      </c>
      <c r="E190" s="12">
        <f>IFERROR(IF(SUMIFS(tblDaily[DeathsUnder24Hrs],tblDaily[EntryDate],DATE(2026,5,28),tblDaily[WardCode],"BF")=0,"",SUMIFS(tblDaily[DeathsUnder24Hrs],tblDaily[EntryDate],DATE(2026,5,28),tblDaily[WardCode],"BF")),"")</f>
        <v/>
      </c>
      <c r="F190" s="12">
        <f>IFERROR(IF(SUMIFS(tblDaily[TransfersIn],tblDaily[EntryDate],DATE(2026,5,28),tblDaily[WardCode],"BF")=0,"",SUMIFS(tblDaily[TransfersIn],tblDaily[EntryDate],DATE(2026,5,28),tblDaily[WardCode],"BF")),"")</f>
        <v/>
      </c>
      <c r="G190" s="12">
        <f>IFERROR(IF(SUMIFS(tblDaily[TransfersOut],tblDaily[EntryDate],DATE(2026,5,28),tblDaily[WardCode],"BF")=0,"",SUMIFS(tblDaily[TransfersOut],tblDaily[EntryDate],DATE(2026,5,28),tblDaily[WardCode],"BF")),"")</f>
        <v/>
      </c>
      <c r="H190" s="12">
        <f>IFERROR(IF(SUMIFS(tblDaily[Remaining],tblDaily[EntryDate],DATE(2026,5,28),tblDaily[WardCode],"BF")=0,"",SUMIFS(tblDaily[Remaining],tblDaily[EntryDate],DATE(2026,5,28),tblDaily[WardCode],"BF")),"")</f>
        <v/>
      </c>
    </row>
    <row r="191">
      <c r="A191" s="12" t="n">
        <v>29</v>
      </c>
      <c r="B191" s="12">
        <f>IFERROR(IF(SUMIFS(tblDaily[Admissions],tblDaily[EntryDate],DATE(2026,5,29),tblDaily[WardCode],"BF")=0,"",SUMIFS(tblDaily[Admissions],tblDaily[EntryDate],DATE(2026,5,29),tblDaily[WardCode],"BF")),"")</f>
        <v/>
      </c>
      <c r="C191" s="12">
        <f>IFERROR(IF(SUMIFS(tblDaily[Discharges],tblDaily[EntryDate],DATE(2026,5,29),tblDaily[WardCode],"BF")=0,"",SUMIFS(tblDaily[Discharges],tblDaily[EntryDate],DATE(2026,5,29),tblDaily[WardCode],"BF")),"")</f>
        <v/>
      </c>
      <c r="D191" s="12">
        <f>IFERROR(IF(SUMIFS(tblDaily[Deaths],tblDaily[EntryDate],DATE(2026,5,29),tblDaily[WardCode],"BF")=0,"",SUMIFS(tblDaily[Deaths],tblDaily[EntryDate],DATE(2026,5,29),tblDaily[WardCode],"BF")),"")</f>
        <v/>
      </c>
      <c r="E191" s="12">
        <f>IFERROR(IF(SUMIFS(tblDaily[DeathsUnder24Hrs],tblDaily[EntryDate],DATE(2026,5,29),tblDaily[WardCode],"BF")=0,"",SUMIFS(tblDaily[DeathsUnder24Hrs],tblDaily[EntryDate],DATE(2026,5,29),tblDaily[WardCode],"BF")),"")</f>
        <v/>
      </c>
      <c r="F191" s="12">
        <f>IFERROR(IF(SUMIFS(tblDaily[TransfersIn],tblDaily[EntryDate],DATE(2026,5,29),tblDaily[WardCode],"BF")=0,"",SUMIFS(tblDaily[TransfersIn],tblDaily[EntryDate],DATE(2026,5,29),tblDaily[WardCode],"BF")),"")</f>
        <v/>
      </c>
      <c r="G191" s="12">
        <f>IFERROR(IF(SUMIFS(tblDaily[TransfersOut],tblDaily[EntryDate],DATE(2026,5,29),tblDaily[WardCode],"BF")=0,"",SUMIFS(tblDaily[TransfersOut],tblDaily[EntryDate],DATE(2026,5,29),tblDaily[WardCode],"BF")),"")</f>
        <v/>
      </c>
      <c r="H191" s="12">
        <f>IFERROR(IF(SUMIFS(tblDaily[Remaining],tblDaily[EntryDate],DATE(2026,5,29),tblDaily[WardCode],"BF")=0,"",SUMIFS(tblDaily[Remaining],tblDaily[EntryDate],DATE(2026,5,29),tblDaily[WardCode],"BF")),"")</f>
        <v/>
      </c>
    </row>
    <row r="192">
      <c r="A192" s="12" t="n">
        <v>30</v>
      </c>
      <c r="B192" s="12">
        <f>IFERROR(IF(SUMIFS(tblDaily[Admissions],tblDaily[EntryDate],DATE(2026,5,30),tblDaily[WardCode],"BF")=0,"",SUMIFS(tblDaily[Admissions],tblDaily[EntryDate],DATE(2026,5,30),tblDaily[WardCode],"BF")),"")</f>
        <v/>
      </c>
      <c r="C192" s="12">
        <f>IFERROR(IF(SUMIFS(tblDaily[Discharges],tblDaily[EntryDate],DATE(2026,5,30),tblDaily[WardCode],"BF")=0,"",SUMIFS(tblDaily[Discharges],tblDaily[EntryDate],DATE(2026,5,30),tblDaily[WardCode],"BF")),"")</f>
        <v/>
      </c>
      <c r="D192" s="12">
        <f>IFERROR(IF(SUMIFS(tblDaily[Deaths],tblDaily[EntryDate],DATE(2026,5,30),tblDaily[WardCode],"BF")=0,"",SUMIFS(tblDaily[Deaths],tblDaily[EntryDate],DATE(2026,5,30),tblDaily[WardCode],"BF")),"")</f>
        <v/>
      </c>
      <c r="E192" s="12">
        <f>IFERROR(IF(SUMIFS(tblDaily[DeathsUnder24Hrs],tblDaily[EntryDate],DATE(2026,5,30),tblDaily[WardCode],"BF")=0,"",SUMIFS(tblDaily[DeathsUnder24Hrs],tblDaily[EntryDate],DATE(2026,5,30),tblDaily[WardCode],"BF")),"")</f>
        <v/>
      </c>
      <c r="F192" s="12">
        <f>IFERROR(IF(SUMIFS(tblDaily[TransfersIn],tblDaily[EntryDate],DATE(2026,5,30),tblDaily[WardCode],"BF")=0,"",SUMIFS(tblDaily[TransfersIn],tblDaily[EntryDate],DATE(2026,5,30),tblDaily[WardCode],"BF")),"")</f>
        <v/>
      </c>
      <c r="G192" s="12">
        <f>IFERROR(IF(SUMIFS(tblDaily[TransfersOut],tblDaily[EntryDate],DATE(2026,5,30),tblDaily[WardCode],"BF")=0,"",SUMIFS(tblDaily[TransfersOut],tblDaily[EntryDate],DATE(2026,5,30),tblDaily[WardCode],"BF")),"")</f>
        <v/>
      </c>
      <c r="H192" s="12">
        <f>IFERROR(IF(SUMIFS(tblDaily[Remaining],tblDaily[EntryDate],DATE(2026,5,30),tblDaily[WardCode],"BF")=0,"",SUMIFS(tblDaily[Remaining],tblDaily[EntryDate],DATE(2026,5,30),tblDaily[WardCode],"BF")),"")</f>
        <v/>
      </c>
    </row>
    <row r="193">
      <c r="A193" s="12" t="n">
        <v>31</v>
      </c>
      <c r="B193" s="12">
        <f>IFERROR(IF(SUMIFS(tblDaily[Admissions],tblDaily[EntryDate],DATE(2026,5,31),tblDaily[WardCode],"BF")=0,"",SUMIFS(tblDaily[Admissions],tblDaily[EntryDate],DATE(2026,5,31),tblDaily[WardCode],"BF")),"")</f>
        <v/>
      </c>
      <c r="C193" s="12">
        <f>IFERROR(IF(SUMIFS(tblDaily[Discharges],tblDaily[EntryDate],DATE(2026,5,31),tblDaily[WardCode],"BF")=0,"",SUMIFS(tblDaily[Discharges],tblDaily[EntryDate],DATE(2026,5,31),tblDaily[WardCode],"BF")),"")</f>
        <v/>
      </c>
      <c r="D193" s="12">
        <f>IFERROR(IF(SUMIFS(tblDaily[Deaths],tblDaily[EntryDate],DATE(2026,5,31),tblDaily[WardCode],"BF")=0,"",SUMIFS(tblDaily[Deaths],tblDaily[EntryDate],DATE(2026,5,31),tblDaily[WardCode],"BF")),"")</f>
        <v/>
      </c>
      <c r="E193" s="12">
        <f>IFERROR(IF(SUMIFS(tblDaily[DeathsUnder24Hrs],tblDaily[EntryDate],DATE(2026,5,31),tblDaily[WardCode],"BF")=0,"",SUMIFS(tblDaily[DeathsUnder24Hrs],tblDaily[EntryDate],DATE(2026,5,31),tblDaily[WardCode],"BF")),"")</f>
        <v/>
      </c>
      <c r="F193" s="12">
        <f>IFERROR(IF(SUMIFS(tblDaily[TransfersIn],tblDaily[EntryDate],DATE(2026,5,31),tblDaily[WardCode],"BF")=0,"",SUMIFS(tblDaily[TransfersIn],tblDaily[EntryDate],DATE(2026,5,31),tblDaily[WardCode],"BF")),"")</f>
        <v/>
      </c>
      <c r="G193" s="12">
        <f>IFERROR(IF(SUMIFS(tblDaily[TransfersOut],tblDaily[EntryDate],DATE(2026,5,31),tblDaily[WardCode],"BF")=0,"",SUMIFS(tblDaily[TransfersOut],tblDaily[EntryDate],DATE(2026,5,31),tblDaily[WardCode],"BF")),"")</f>
        <v/>
      </c>
      <c r="H193" s="12">
        <f>IFERROR(IF(SUMIFS(tblDaily[Remaining],tblDaily[EntryDate],DATE(2026,5,31),tblDaily[WardCode],"BF")=0,"",SUMIFS(tblDaily[Remaining],tblDaily[EntryDate],DATE(2026,5,31),tblDaily[WardCode],"BF")),"")</f>
        <v/>
      </c>
    </row>
    <row r="194">
      <c r="A194" s="17" t="inlineStr">
        <is>
          <t>TOTAL</t>
        </is>
      </c>
      <c r="B194" s="17">
        <f>SUMIFS(tblDaily[Admissions],tblDaily[Month],5,tblDaily[WardCode],"BF") - SUMIFS(tblDaily[DeathsUnder24Hrs],tblDaily[Month],5,tblDaily[WardCode],"BF")</f>
        <v/>
      </c>
      <c r="C194" s="17">
        <f>SUMIFS(tblDaily[Discharges],tblDaily[Month],5,tblDaily[WardCode],"BF")</f>
        <v/>
      </c>
      <c r="D194" s="17">
        <f>SUMIFS(tblDaily[Deaths],tblDaily[Month],5,tblDaily[WardCode],"BF")</f>
        <v/>
      </c>
      <c r="E194" s="17">
        <f>SUMIFS(tblDaily[DeathsUnder24Hrs],tblDaily[Month],5,tblDaily[WardCode],"BF")</f>
        <v/>
      </c>
      <c r="F194" s="17">
        <f>SUMIFS(tblDaily[TransfersIn],tblDaily[Month],5,tblDaily[WardCode],"BF")</f>
        <v/>
      </c>
      <c r="G194" s="17">
        <f>SUMIFS(tblDaily[TransfersOut],tblDaily[Month],5,tblDaily[WardCode],"BF")</f>
        <v/>
      </c>
      <c r="H194" s="17">
        <f>SUMIFS(tblDaily[Remaining],tblDaily[Month],5,tblDaily[WardCode],"BF")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BLOCK F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4">
        <f>IFERROR(SUMIFS(tblDaily[Remaining],tblDaily[EntryDate],DATE(2026,5,31),tblDaily[WardCode],"BF"),0)</f>
        <v/>
      </c>
    </row>
    <row r="200">
      <c r="A200" s="4" t="inlineStr">
        <is>
          <t>Bed complement</t>
        </is>
      </c>
      <c r="H200" s="15">
        <f>IFERROR(INDEX(tblWardConfig[BedComplement],MATCH("BF",tblWardConfig[WardCode],0)),0)</f>
        <v/>
      </c>
    </row>
    <row r="201">
      <c r="A201" s="16" t="inlineStr">
        <is>
          <t>Day of
the
Month</t>
        </is>
      </c>
      <c r="B201" s="16" t="inlineStr">
        <is>
          <t>Admissions</t>
        </is>
      </c>
      <c r="C201" s="16" t="inlineStr">
        <is>
          <t>Discharges</t>
        </is>
      </c>
      <c r="D201" s="16" t="inlineStr">
        <is>
          <t>Deaths</t>
        </is>
      </c>
      <c r="E201" s="16" t="inlineStr">
        <is>
          <t>Deaths
&lt;24Hrs</t>
        </is>
      </c>
      <c r="F201" s="16" t="inlineStr">
        <is>
          <t>Transfers-
In</t>
        </is>
      </c>
      <c r="G201" s="16" t="inlineStr">
        <is>
          <t>Transfers-
Out</t>
        </is>
      </c>
      <c r="H201" s="16" t="inlineStr">
        <is>
          <t>No. of Patients
Remaining In
Ward</t>
        </is>
      </c>
    </row>
    <row r="202">
      <c r="A202" s="12" t="n">
        <v>1</v>
      </c>
      <c r="B202" s="12">
        <f>IFERROR(IF(SUMIFS(tblDaily[Admissions],tblDaily[EntryDate],DATE(2026,6,1),tblDaily[WardCode],"BF")=0,"",SUMIFS(tblDaily[Admissions],tblDaily[EntryDate],DATE(2026,6,1),tblDaily[WardCode],"BF")),"")</f>
        <v/>
      </c>
      <c r="C202" s="12">
        <f>IFERROR(IF(SUMIFS(tblDaily[Discharges],tblDaily[EntryDate],DATE(2026,6,1),tblDaily[WardCode],"BF")=0,"",SUMIFS(tblDaily[Discharges],tblDaily[EntryDate],DATE(2026,6,1),tblDaily[WardCode],"BF")),"")</f>
        <v/>
      </c>
      <c r="D202" s="12">
        <f>IFERROR(IF(SUMIFS(tblDaily[Deaths],tblDaily[EntryDate],DATE(2026,6,1),tblDaily[WardCode],"BF")=0,"",SUMIFS(tblDaily[Deaths],tblDaily[EntryDate],DATE(2026,6,1),tblDaily[WardCode],"BF")),"")</f>
        <v/>
      </c>
      <c r="E202" s="12">
        <f>IFERROR(IF(SUMIFS(tblDaily[DeathsUnder24Hrs],tblDaily[EntryDate],DATE(2026,6,1),tblDaily[WardCode],"BF")=0,"",SUMIFS(tblDaily[DeathsUnder24Hrs],tblDaily[EntryDate],DATE(2026,6,1),tblDaily[WardCode],"BF")),"")</f>
        <v/>
      </c>
      <c r="F202" s="12">
        <f>IFERROR(IF(SUMIFS(tblDaily[TransfersIn],tblDaily[EntryDate],DATE(2026,6,1),tblDaily[WardCode],"BF")=0,"",SUMIFS(tblDaily[TransfersIn],tblDaily[EntryDate],DATE(2026,6,1),tblDaily[WardCode],"BF")),"")</f>
        <v/>
      </c>
      <c r="G202" s="12">
        <f>IFERROR(IF(SUMIFS(tblDaily[TransfersOut],tblDaily[EntryDate],DATE(2026,6,1),tblDaily[WardCode],"BF")=0,"",SUMIFS(tblDaily[TransfersOut],tblDaily[EntryDate],DATE(2026,6,1),tblDaily[WardCode],"BF")),"")</f>
        <v/>
      </c>
      <c r="H202" s="12">
        <f>IFERROR(IF(SUMIFS(tblDaily[Remaining],tblDaily[EntryDate],DATE(2026,6,1),tblDaily[WardCode],"BF")=0,"",SUMIFS(tblDaily[Remaining],tblDaily[EntryDate],DATE(2026,6,1),tblDaily[WardCode],"BF")),"")</f>
        <v/>
      </c>
    </row>
    <row r="203">
      <c r="A203" s="12" t="n">
        <v>2</v>
      </c>
      <c r="B203" s="12">
        <f>IFERROR(IF(SUMIFS(tblDaily[Admissions],tblDaily[EntryDate],DATE(2026,6,2),tblDaily[WardCode],"BF")=0,"",SUMIFS(tblDaily[Admissions],tblDaily[EntryDate],DATE(2026,6,2),tblDaily[WardCode],"BF")),"")</f>
        <v/>
      </c>
      <c r="C203" s="12">
        <f>IFERROR(IF(SUMIFS(tblDaily[Discharges],tblDaily[EntryDate],DATE(2026,6,2),tblDaily[WardCode],"BF")=0,"",SUMIFS(tblDaily[Discharges],tblDaily[EntryDate],DATE(2026,6,2),tblDaily[WardCode],"BF")),"")</f>
        <v/>
      </c>
      <c r="D203" s="12">
        <f>IFERROR(IF(SUMIFS(tblDaily[Deaths],tblDaily[EntryDate],DATE(2026,6,2),tblDaily[WardCode],"BF")=0,"",SUMIFS(tblDaily[Deaths],tblDaily[EntryDate],DATE(2026,6,2),tblDaily[WardCode],"BF")),"")</f>
        <v/>
      </c>
      <c r="E203" s="12">
        <f>IFERROR(IF(SUMIFS(tblDaily[DeathsUnder24Hrs],tblDaily[EntryDate],DATE(2026,6,2),tblDaily[WardCode],"BF")=0,"",SUMIFS(tblDaily[DeathsUnder24Hrs],tblDaily[EntryDate],DATE(2026,6,2),tblDaily[WardCode],"BF")),"")</f>
        <v/>
      </c>
      <c r="F203" s="12">
        <f>IFERROR(IF(SUMIFS(tblDaily[TransfersIn],tblDaily[EntryDate],DATE(2026,6,2),tblDaily[WardCode],"BF")=0,"",SUMIFS(tblDaily[TransfersIn],tblDaily[EntryDate],DATE(2026,6,2),tblDaily[WardCode],"BF")),"")</f>
        <v/>
      </c>
      <c r="G203" s="12">
        <f>IFERROR(IF(SUMIFS(tblDaily[TransfersOut],tblDaily[EntryDate],DATE(2026,6,2),tblDaily[WardCode],"BF")=0,"",SUMIFS(tblDaily[TransfersOut],tblDaily[EntryDate],DATE(2026,6,2),tblDaily[WardCode],"BF")),"")</f>
        <v/>
      </c>
      <c r="H203" s="12">
        <f>IFERROR(IF(SUMIFS(tblDaily[Remaining],tblDaily[EntryDate],DATE(2026,6,2),tblDaily[WardCode],"BF")=0,"",SUMIFS(tblDaily[Remaining],tblDaily[EntryDate],DATE(2026,6,2),tblDaily[WardCode],"BF")),"")</f>
        <v/>
      </c>
    </row>
    <row r="204">
      <c r="A204" s="12" t="n">
        <v>3</v>
      </c>
      <c r="B204" s="12">
        <f>IFERROR(IF(SUMIFS(tblDaily[Admissions],tblDaily[EntryDate],DATE(2026,6,3),tblDaily[WardCode],"BF")=0,"",SUMIFS(tblDaily[Admissions],tblDaily[EntryDate],DATE(2026,6,3),tblDaily[WardCode],"BF")),"")</f>
        <v/>
      </c>
      <c r="C204" s="12">
        <f>IFERROR(IF(SUMIFS(tblDaily[Discharges],tblDaily[EntryDate],DATE(2026,6,3),tblDaily[WardCode],"BF")=0,"",SUMIFS(tblDaily[Discharges],tblDaily[EntryDate],DATE(2026,6,3),tblDaily[WardCode],"BF")),"")</f>
        <v/>
      </c>
      <c r="D204" s="12">
        <f>IFERROR(IF(SUMIFS(tblDaily[Deaths],tblDaily[EntryDate],DATE(2026,6,3),tblDaily[WardCode],"BF")=0,"",SUMIFS(tblDaily[Deaths],tblDaily[EntryDate],DATE(2026,6,3),tblDaily[WardCode],"BF")),"")</f>
        <v/>
      </c>
      <c r="E204" s="12">
        <f>IFERROR(IF(SUMIFS(tblDaily[DeathsUnder24Hrs],tblDaily[EntryDate],DATE(2026,6,3),tblDaily[WardCode],"BF")=0,"",SUMIFS(tblDaily[DeathsUnder24Hrs],tblDaily[EntryDate],DATE(2026,6,3),tblDaily[WardCode],"BF")),"")</f>
        <v/>
      </c>
      <c r="F204" s="12">
        <f>IFERROR(IF(SUMIFS(tblDaily[TransfersIn],tblDaily[EntryDate],DATE(2026,6,3),tblDaily[WardCode],"BF")=0,"",SUMIFS(tblDaily[TransfersIn],tblDaily[EntryDate],DATE(2026,6,3),tblDaily[WardCode],"BF")),"")</f>
        <v/>
      </c>
      <c r="G204" s="12">
        <f>IFERROR(IF(SUMIFS(tblDaily[TransfersOut],tblDaily[EntryDate],DATE(2026,6,3),tblDaily[WardCode],"BF")=0,"",SUMIFS(tblDaily[TransfersOut],tblDaily[EntryDate],DATE(2026,6,3),tblDaily[WardCode],"BF")),"")</f>
        <v/>
      </c>
      <c r="H204" s="12">
        <f>IFERROR(IF(SUMIFS(tblDaily[Remaining],tblDaily[EntryDate],DATE(2026,6,3),tblDaily[WardCode],"BF")=0,"",SUMIFS(tblDaily[Remaining],tblDaily[EntryDate],DATE(2026,6,3),tblDaily[WardCode],"BF")),"")</f>
        <v/>
      </c>
    </row>
    <row r="205">
      <c r="A205" s="12" t="n">
        <v>4</v>
      </c>
      <c r="B205" s="12">
        <f>IFERROR(IF(SUMIFS(tblDaily[Admissions],tblDaily[EntryDate],DATE(2026,6,4),tblDaily[WardCode],"BF")=0,"",SUMIFS(tblDaily[Admissions],tblDaily[EntryDate],DATE(2026,6,4),tblDaily[WardCode],"BF")),"")</f>
        <v/>
      </c>
      <c r="C205" s="12">
        <f>IFERROR(IF(SUMIFS(tblDaily[Discharges],tblDaily[EntryDate],DATE(2026,6,4),tblDaily[WardCode],"BF")=0,"",SUMIFS(tblDaily[Discharges],tblDaily[EntryDate],DATE(2026,6,4),tblDaily[WardCode],"BF")),"")</f>
        <v/>
      </c>
      <c r="D205" s="12">
        <f>IFERROR(IF(SUMIFS(tblDaily[Deaths],tblDaily[EntryDate],DATE(2026,6,4),tblDaily[WardCode],"BF")=0,"",SUMIFS(tblDaily[Deaths],tblDaily[EntryDate],DATE(2026,6,4),tblDaily[WardCode],"BF")),"")</f>
        <v/>
      </c>
      <c r="E205" s="12">
        <f>IFERROR(IF(SUMIFS(tblDaily[DeathsUnder24Hrs],tblDaily[EntryDate],DATE(2026,6,4),tblDaily[WardCode],"BF")=0,"",SUMIFS(tblDaily[DeathsUnder24Hrs],tblDaily[EntryDate],DATE(2026,6,4),tblDaily[WardCode],"BF")),"")</f>
        <v/>
      </c>
      <c r="F205" s="12">
        <f>IFERROR(IF(SUMIFS(tblDaily[TransfersIn],tblDaily[EntryDate],DATE(2026,6,4),tblDaily[WardCode],"BF")=0,"",SUMIFS(tblDaily[TransfersIn],tblDaily[EntryDate],DATE(2026,6,4),tblDaily[WardCode],"BF")),"")</f>
        <v/>
      </c>
      <c r="G205" s="12">
        <f>IFERROR(IF(SUMIFS(tblDaily[TransfersOut],tblDaily[EntryDate],DATE(2026,6,4),tblDaily[WardCode],"BF")=0,"",SUMIFS(tblDaily[TransfersOut],tblDaily[EntryDate],DATE(2026,6,4),tblDaily[WardCode],"BF")),"")</f>
        <v/>
      </c>
      <c r="H205" s="12">
        <f>IFERROR(IF(SUMIFS(tblDaily[Remaining],tblDaily[EntryDate],DATE(2026,6,4),tblDaily[WardCode],"BF")=0,"",SUMIFS(tblDaily[Remaining],tblDaily[EntryDate],DATE(2026,6,4),tblDaily[WardCode],"BF")),"")</f>
        <v/>
      </c>
    </row>
    <row r="206">
      <c r="A206" s="12" t="n">
        <v>5</v>
      </c>
      <c r="B206" s="12">
        <f>IFERROR(IF(SUMIFS(tblDaily[Admissions],tblDaily[EntryDate],DATE(2026,6,5),tblDaily[WardCode],"BF")=0,"",SUMIFS(tblDaily[Admissions],tblDaily[EntryDate],DATE(2026,6,5),tblDaily[WardCode],"BF")),"")</f>
        <v/>
      </c>
      <c r="C206" s="12">
        <f>IFERROR(IF(SUMIFS(tblDaily[Discharges],tblDaily[EntryDate],DATE(2026,6,5),tblDaily[WardCode],"BF")=0,"",SUMIFS(tblDaily[Discharges],tblDaily[EntryDate],DATE(2026,6,5),tblDaily[WardCode],"BF")),"")</f>
        <v/>
      </c>
      <c r="D206" s="12">
        <f>IFERROR(IF(SUMIFS(tblDaily[Deaths],tblDaily[EntryDate],DATE(2026,6,5),tblDaily[WardCode],"BF")=0,"",SUMIFS(tblDaily[Deaths],tblDaily[EntryDate],DATE(2026,6,5),tblDaily[WardCode],"BF")),"")</f>
        <v/>
      </c>
      <c r="E206" s="12">
        <f>IFERROR(IF(SUMIFS(tblDaily[DeathsUnder24Hrs],tblDaily[EntryDate],DATE(2026,6,5),tblDaily[WardCode],"BF")=0,"",SUMIFS(tblDaily[DeathsUnder24Hrs],tblDaily[EntryDate],DATE(2026,6,5),tblDaily[WardCode],"BF")),"")</f>
        <v/>
      </c>
      <c r="F206" s="12">
        <f>IFERROR(IF(SUMIFS(tblDaily[TransfersIn],tblDaily[EntryDate],DATE(2026,6,5),tblDaily[WardCode],"BF")=0,"",SUMIFS(tblDaily[TransfersIn],tblDaily[EntryDate],DATE(2026,6,5),tblDaily[WardCode],"BF")),"")</f>
        <v/>
      </c>
      <c r="G206" s="12">
        <f>IFERROR(IF(SUMIFS(tblDaily[TransfersOut],tblDaily[EntryDate],DATE(2026,6,5),tblDaily[WardCode],"BF")=0,"",SUMIFS(tblDaily[TransfersOut],tblDaily[EntryDate],DATE(2026,6,5),tblDaily[WardCode],"BF")),"")</f>
        <v/>
      </c>
      <c r="H206" s="12">
        <f>IFERROR(IF(SUMIFS(tblDaily[Remaining],tblDaily[EntryDate],DATE(2026,6,5),tblDaily[WardCode],"BF")=0,"",SUMIFS(tblDaily[Remaining],tblDaily[EntryDate],DATE(2026,6,5),tblDaily[WardCode],"BF")),"")</f>
        <v/>
      </c>
    </row>
    <row r="207">
      <c r="A207" s="12" t="n">
        <v>6</v>
      </c>
      <c r="B207" s="12">
        <f>IFERROR(IF(SUMIFS(tblDaily[Admissions],tblDaily[EntryDate],DATE(2026,6,6),tblDaily[WardCode],"BF")=0,"",SUMIFS(tblDaily[Admissions],tblDaily[EntryDate],DATE(2026,6,6),tblDaily[WardCode],"BF")),"")</f>
        <v/>
      </c>
      <c r="C207" s="12">
        <f>IFERROR(IF(SUMIFS(tblDaily[Discharges],tblDaily[EntryDate],DATE(2026,6,6),tblDaily[WardCode],"BF")=0,"",SUMIFS(tblDaily[Discharges],tblDaily[EntryDate],DATE(2026,6,6),tblDaily[WardCode],"BF")),"")</f>
        <v/>
      </c>
      <c r="D207" s="12">
        <f>IFERROR(IF(SUMIFS(tblDaily[Deaths],tblDaily[EntryDate],DATE(2026,6,6),tblDaily[WardCode],"BF")=0,"",SUMIFS(tblDaily[Deaths],tblDaily[EntryDate],DATE(2026,6,6),tblDaily[WardCode],"BF")),"")</f>
        <v/>
      </c>
      <c r="E207" s="12">
        <f>IFERROR(IF(SUMIFS(tblDaily[DeathsUnder24Hrs],tblDaily[EntryDate],DATE(2026,6,6),tblDaily[WardCode],"BF")=0,"",SUMIFS(tblDaily[DeathsUnder24Hrs],tblDaily[EntryDate],DATE(2026,6,6),tblDaily[WardCode],"BF")),"")</f>
        <v/>
      </c>
      <c r="F207" s="12">
        <f>IFERROR(IF(SUMIFS(tblDaily[TransfersIn],tblDaily[EntryDate],DATE(2026,6,6),tblDaily[WardCode],"BF")=0,"",SUMIFS(tblDaily[TransfersIn],tblDaily[EntryDate],DATE(2026,6,6),tblDaily[WardCode],"BF")),"")</f>
        <v/>
      </c>
      <c r="G207" s="12">
        <f>IFERROR(IF(SUMIFS(tblDaily[TransfersOut],tblDaily[EntryDate],DATE(2026,6,6),tblDaily[WardCode],"BF")=0,"",SUMIFS(tblDaily[TransfersOut],tblDaily[EntryDate],DATE(2026,6,6),tblDaily[WardCode],"BF")),"")</f>
        <v/>
      </c>
      <c r="H207" s="12">
        <f>IFERROR(IF(SUMIFS(tblDaily[Remaining],tblDaily[EntryDate],DATE(2026,6,6),tblDaily[WardCode],"BF")=0,"",SUMIFS(tblDaily[Remaining],tblDaily[EntryDate],DATE(2026,6,6),tblDaily[WardCode],"BF")),"")</f>
        <v/>
      </c>
    </row>
    <row r="208">
      <c r="A208" s="12" t="n">
        <v>7</v>
      </c>
      <c r="B208" s="12">
        <f>IFERROR(IF(SUMIFS(tblDaily[Admissions],tblDaily[EntryDate],DATE(2026,6,7),tblDaily[WardCode],"BF")=0,"",SUMIFS(tblDaily[Admissions],tblDaily[EntryDate],DATE(2026,6,7),tblDaily[WardCode],"BF")),"")</f>
        <v/>
      </c>
      <c r="C208" s="12">
        <f>IFERROR(IF(SUMIFS(tblDaily[Discharges],tblDaily[EntryDate],DATE(2026,6,7),tblDaily[WardCode],"BF")=0,"",SUMIFS(tblDaily[Discharges],tblDaily[EntryDate],DATE(2026,6,7),tblDaily[WardCode],"BF")),"")</f>
        <v/>
      </c>
      <c r="D208" s="12">
        <f>IFERROR(IF(SUMIFS(tblDaily[Deaths],tblDaily[EntryDate],DATE(2026,6,7),tblDaily[WardCode],"BF")=0,"",SUMIFS(tblDaily[Deaths],tblDaily[EntryDate],DATE(2026,6,7),tblDaily[WardCode],"BF")),"")</f>
        <v/>
      </c>
      <c r="E208" s="12">
        <f>IFERROR(IF(SUMIFS(tblDaily[DeathsUnder24Hrs],tblDaily[EntryDate],DATE(2026,6,7),tblDaily[WardCode],"BF")=0,"",SUMIFS(tblDaily[DeathsUnder24Hrs],tblDaily[EntryDate],DATE(2026,6,7),tblDaily[WardCode],"BF")),"")</f>
        <v/>
      </c>
      <c r="F208" s="12">
        <f>IFERROR(IF(SUMIFS(tblDaily[TransfersIn],tblDaily[EntryDate],DATE(2026,6,7),tblDaily[WardCode],"BF")=0,"",SUMIFS(tblDaily[TransfersIn],tblDaily[EntryDate],DATE(2026,6,7),tblDaily[WardCode],"BF")),"")</f>
        <v/>
      </c>
      <c r="G208" s="12">
        <f>IFERROR(IF(SUMIFS(tblDaily[TransfersOut],tblDaily[EntryDate],DATE(2026,6,7),tblDaily[WardCode],"BF")=0,"",SUMIFS(tblDaily[TransfersOut],tblDaily[EntryDate],DATE(2026,6,7),tblDaily[WardCode],"BF")),"")</f>
        <v/>
      </c>
      <c r="H208" s="12">
        <f>IFERROR(IF(SUMIFS(tblDaily[Remaining],tblDaily[EntryDate],DATE(2026,6,7),tblDaily[WardCode],"BF")=0,"",SUMIFS(tblDaily[Remaining],tblDaily[EntryDate],DATE(2026,6,7),tblDaily[WardCode],"BF")),"")</f>
        <v/>
      </c>
    </row>
    <row r="209">
      <c r="A209" s="12" t="n">
        <v>8</v>
      </c>
      <c r="B209" s="12">
        <f>IFERROR(IF(SUMIFS(tblDaily[Admissions],tblDaily[EntryDate],DATE(2026,6,8),tblDaily[WardCode],"BF")=0,"",SUMIFS(tblDaily[Admissions],tblDaily[EntryDate],DATE(2026,6,8),tblDaily[WardCode],"BF")),"")</f>
        <v/>
      </c>
      <c r="C209" s="12">
        <f>IFERROR(IF(SUMIFS(tblDaily[Discharges],tblDaily[EntryDate],DATE(2026,6,8),tblDaily[WardCode],"BF")=0,"",SUMIFS(tblDaily[Discharges],tblDaily[EntryDate],DATE(2026,6,8),tblDaily[WardCode],"BF")),"")</f>
        <v/>
      </c>
      <c r="D209" s="12">
        <f>IFERROR(IF(SUMIFS(tblDaily[Deaths],tblDaily[EntryDate],DATE(2026,6,8),tblDaily[WardCode],"BF")=0,"",SUMIFS(tblDaily[Deaths],tblDaily[EntryDate],DATE(2026,6,8),tblDaily[WardCode],"BF")),"")</f>
        <v/>
      </c>
      <c r="E209" s="12">
        <f>IFERROR(IF(SUMIFS(tblDaily[DeathsUnder24Hrs],tblDaily[EntryDate],DATE(2026,6,8),tblDaily[WardCode],"BF")=0,"",SUMIFS(tblDaily[DeathsUnder24Hrs],tblDaily[EntryDate],DATE(2026,6,8),tblDaily[WardCode],"BF")),"")</f>
        <v/>
      </c>
      <c r="F209" s="12">
        <f>IFERROR(IF(SUMIFS(tblDaily[TransfersIn],tblDaily[EntryDate],DATE(2026,6,8),tblDaily[WardCode],"BF")=0,"",SUMIFS(tblDaily[TransfersIn],tblDaily[EntryDate],DATE(2026,6,8),tblDaily[WardCode],"BF")),"")</f>
        <v/>
      </c>
      <c r="G209" s="12">
        <f>IFERROR(IF(SUMIFS(tblDaily[TransfersOut],tblDaily[EntryDate],DATE(2026,6,8),tblDaily[WardCode],"BF")=0,"",SUMIFS(tblDaily[TransfersOut],tblDaily[EntryDate],DATE(2026,6,8),tblDaily[WardCode],"BF")),"")</f>
        <v/>
      </c>
      <c r="H209" s="12">
        <f>IFERROR(IF(SUMIFS(tblDaily[Remaining],tblDaily[EntryDate],DATE(2026,6,8),tblDaily[WardCode],"BF")=0,"",SUMIFS(tblDaily[Remaining],tblDaily[EntryDate],DATE(2026,6,8),tblDaily[WardCode],"BF")),"")</f>
        <v/>
      </c>
    </row>
    <row r="210">
      <c r="A210" s="12" t="n">
        <v>9</v>
      </c>
      <c r="B210" s="12">
        <f>IFERROR(IF(SUMIFS(tblDaily[Admissions],tblDaily[EntryDate],DATE(2026,6,9),tblDaily[WardCode],"BF")=0,"",SUMIFS(tblDaily[Admissions],tblDaily[EntryDate],DATE(2026,6,9),tblDaily[WardCode],"BF")),"")</f>
        <v/>
      </c>
      <c r="C210" s="12">
        <f>IFERROR(IF(SUMIFS(tblDaily[Discharges],tblDaily[EntryDate],DATE(2026,6,9),tblDaily[WardCode],"BF")=0,"",SUMIFS(tblDaily[Discharges],tblDaily[EntryDate],DATE(2026,6,9),tblDaily[WardCode],"BF")),"")</f>
        <v/>
      </c>
      <c r="D210" s="12">
        <f>IFERROR(IF(SUMIFS(tblDaily[Deaths],tblDaily[EntryDate],DATE(2026,6,9),tblDaily[WardCode],"BF")=0,"",SUMIFS(tblDaily[Deaths],tblDaily[EntryDate],DATE(2026,6,9),tblDaily[WardCode],"BF")),"")</f>
        <v/>
      </c>
      <c r="E210" s="12">
        <f>IFERROR(IF(SUMIFS(tblDaily[DeathsUnder24Hrs],tblDaily[EntryDate],DATE(2026,6,9),tblDaily[WardCode],"BF")=0,"",SUMIFS(tblDaily[DeathsUnder24Hrs],tblDaily[EntryDate],DATE(2026,6,9),tblDaily[WardCode],"BF")),"")</f>
        <v/>
      </c>
      <c r="F210" s="12">
        <f>IFERROR(IF(SUMIFS(tblDaily[TransfersIn],tblDaily[EntryDate],DATE(2026,6,9),tblDaily[WardCode],"BF")=0,"",SUMIFS(tblDaily[TransfersIn],tblDaily[EntryDate],DATE(2026,6,9),tblDaily[WardCode],"BF")),"")</f>
        <v/>
      </c>
      <c r="G210" s="12">
        <f>IFERROR(IF(SUMIFS(tblDaily[TransfersOut],tblDaily[EntryDate],DATE(2026,6,9),tblDaily[WardCode],"BF")=0,"",SUMIFS(tblDaily[TransfersOut],tblDaily[EntryDate],DATE(2026,6,9),tblDaily[WardCode],"BF")),"")</f>
        <v/>
      </c>
      <c r="H210" s="12">
        <f>IFERROR(IF(SUMIFS(tblDaily[Remaining],tblDaily[EntryDate],DATE(2026,6,9),tblDaily[WardCode],"BF")=0,"",SUMIFS(tblDaily[Remaining],tblDaily[EntryDate],DATE(2026,6,9),tblDaily[WardCode],"BF")),"")</f>
        <v/>
      </c>
    </row>
    <row r="211">
      <c r="A211" s="12" t="n">
        <v>10</v>
      </c>
      <c r="B211" s="12">
        <f>IFERROR(IF(SUMIFS(tblDaily[Admissions],tblDaily[EntryDate],DATE(2026,6,10),tblDaily[WardCode],"BF")=0,"",SUMIFS(tblDaily[Admissions],tblDaily[EntryDate],DATE(2026,6,10),tblDaily[WardCode],"BF")),"")</f>
        <v/>
      </c>
      <c r="C211" s="12">
        <f>IFERROR(IF(SUMIFS(tblDaily[Discharges],tblDaily[EntryDate],DATE(2026,6,10),tblDaily[WardCode],"BF")=0,"",SUMIFS(tblDaily[Discharges],tblDaily[EntryDate],DATE(2026,6,10),tblDaily[WardCode],"BF")),"")</f>
        <v/>
      </c>
      <c r="D211" s="12">
        <f>IFERROR(IF(SUMIFS(tblDaily[Deaths],tblDaily[EntryDate],DATE(2026,6,10),tblDaily[WardCode],"BF")=0,"",SUMIFS(tblDaily[Deaths],tblDaily[EntryDate],DATE(2026,6,10),tblDaily[WardCode],"BF")),"")</f>
        <v/>
      </c>
      <c r="E211" s="12">
        <f>IFERROR(IF(SUMIFS(tblDaily[DeathsUnder24Hrs],tblDaily[EntryDate],DATE(2026,6,10),tblDaily[WardCode],"BF")=0,"",SUMIFS(tblDaily[DeathsUnder24Hrs],tblDaily[EntryDate],DATE(2026,6,10),tblDaily[WardCode],"BF")),"")</f>
        <v/>
      </c>
      <c r="F211" s="12">
        <f>IFERROR(IF(SUMIFS(tblDaily[TransfersIn],tblDaily[EntryDate],DATE(2026,6,10),tblDaily[WardCode],"BF")=0,"",SUMIFS(tblDaily[TransfersIn],tblDaily[EntryDate],DATE(2026,6,10),tblDaily[WardCode],"BF")),"")</f>
        <v/>
      </c>
      <c r="G211" s="12">
        <f>IFERROR(IF(SUMIFS(tblDaily[TransfersOut],tblDaily[EntryDate],DATE(2026,6,10),tblDaily[WardCode],"BF")=0,"",SUMIFS(tblDaily[TransfersOut],tblDaily[EntryDate],DATE(2026,6,10),tblDaily[WardCode],"BF")),"")</f>
        <v/>
      </c>
      <c r="H211" s="12">
        <f>IFERROR(IF(SUMIFS(tblDaily[Remaining],tblDaily[EntryDate],DATE(2026,6,10),tblDaily[WardCode],"BF")=0,"",SUMIFS(tblDaily[Remaining],tblDaily[EntryDate],DATE(2026,6,10),tblDaily[WardCode],"BF")),"")</f>
        <v/>
      </c>
    </row>
    <row r="212">
      <c r="A212" s="12" t="n">
        <v>11</v>
      </c>
      <c r="B212" s="12">
        <f>IFERROR(IF(SUMIFS(tblDaily[Admissions],tblDaily[EntryDate],DATE(2026,6,11),tblDaily[WardCode],"BF")=0,"",SUMIFS(tblDaily[Admissions],tblDaily[EntryDate],DATE(2026,6,11),tblDaily[WardCode],"BF")),"")</f>
        <v/>
      </c>
      <c r="C212" s="12">
        <f>IFERROR(IF(SUMIFS(tblDaily[Discharges],tblDaily[EntryDate],DATE(2026,6,11),tblDaily[WardCode],"BF")=0,"",SUMIFS(tblDaily[Discharges],tblDaily[EntryDate],DATE(2026,6,11),tblDaily[WardCode],"BF")),"")</f>
        <v/>
      </c>
      <c r="D212" s="12">
        <f>IFERROR(IF(SUMIFS(tblDaily[Deaths],tblDaily[EntryDate],DATE(2026,6,11),tblDaily[WardCode],"BF")=0,"",SUMIFS(tblDaily[Deaths],tblDaily[EntryDate],DATE(2026,6,11),tblDaily[WardCode],"BF")),"")</f>
        <v/>
      </c>
      <c r="E212" s="12">
        <f>IFERROR(IF(SUMIFS(tblDaily[DeathsUnder24Hrs],tblDaily[EntryDate],DATE(2026,6,11),tblDaily[WardCode],"BF")=0,"",SUMIFS(tblDaily[DeathsUnder24Hrs],tblDaily[EntryDate],DATE(2026,6,11),tblDaily[WardCode],"BF")),"")</f>
        <v/>
      </c>
      <c r="F212" s="12">
        <f>IFERROR(IF(SUMIFS(tblDaily[TransfersIn],tblDaily[EntryDate],DATE(2026,6,11),tblDaily[WardCode],"BF")=0,"",SUMIFS(tblDaily[TransfersIn],tblDaily[EntryDate],DATE(2026,6,11),tblDaily[WardCode],"BF")),"")</f>
        <v/>
      </c>
      <c r="G212" s="12">
        <f>IFERROR(IF(SUMIFS(tblDaily[TransfersOut],tblDaily[EntryDate],DATE(2026,6,11),tblDaily[WardCode],"BF")=0,"",SUMIFS(tblDaily[TransfersOut],tblDaily[EntryDate],DATE(2026,6,11),tblDaily[WardCode],"BF")),"")</f>
        <v/>
      </c>
      <c r="H212" s="12">
        <f>IFERROR(IF(SUMIFS(tblDaily[Remaining],tblDaily[EntryDate],DATE(2026,6,11),tblDaily[WardCode],"BF")=0,"",SUMIFS(tblDaily[Remaining],tblDaily[EntryDate],DATE(2026,6,11),tblDaily[WardCode],"BF")),"")</f>
        <v/>
      </c>
    </row>
    <row r="213">
      <c r="A213" s="12" t="n">
        <v>12</v>
      </c>
      <c r="B213" s="12">
        <f>IFERROR(IF(SUMIFS(tblDaily[Admissions],tblDaily[EntryDate],DATE(2026,6,12),tblDaily[WardCode],"BF")=0,"",SUMIFS(tblDaily[Admissions],tblDaily[EntryDate],DATE(2026,6,12),tblDaily[WardCode],"BF")),"")</f>
        <v/>
      </c>
      <c r="C213" s="12">
        <f>IFERROR(IF(SUMIFS(tblDaily[Discharges],tblDaily[EntryDate],DATE(2026,6,12),tblDaily[WardCode],"BF")=0,"",SUMIFS(tblDaily[Discharges],tblDaily[EntryDate],DATE(2026,6,12),tblDaily[WardCode],"BF")),"")</f>
        <v/>
      </c>
      <c r="D213" s="12">
        <f>IFERROR(IF(SUMIFS(tblDaily[Deaths],tblDaily[EntryDate],DATE(2026,6,12),tblDaily[WardCode],"BF")=0,"",SUMIFS(tblDaily[Deaths],tblDaily[EntryDate],DATE(2026,6,12),tblDaily[WardCode],"BF")),"")</f>
        <v/>
      </c>
      <c r="E213" s="12">
        <f>IFERROR(IF(SUMIFS(tblDaily[DeathsUnder24Hrs],tblDaily[EntryDate],DATE(2026,6,12),tblDaily[WardCode],"BF")=0,"",SUMIFS(tblDaily[DeathsUnder24Hrs],tblDaily[EntryDate],DATE(2026,6,12),tblDaily[WardCode],"BF")),"")</f>
        <v/>
      </c>
      <c r="F213" s="12">
        <f>IFERROR(IF(SUMIFS(tblDaily[TransfersIn],tblDaily[EntryDate],DATE(2026,6,12),tblDaily[WardCode],"BF")=0,"",SUMIFS(tblDaily[TransfersIn],tblDaily[EntryDate],DATE(2026,6,12),tblDaily[WardCode],"BF")),"")</f>
        <v/>
      </c>
      <c r="G213" s="12">
        <f>IFERROR(IF(SUMIFS(tblDaily[TransfersOut],tblDaily[EntryDate],DATE(2026,6,12),tblDaily[WardCode],"BF")=0,"",SUMIFS(tblDaily[TransfersOut],tblDaily[EntryDate],DATE(2026,6,12),tblDaily[WardCode],"BF")),"")</f>
        <v/>
      </c>
      <c r="H213" s="12">
        <f>IFERROR(IF(SUMIFS(tblDaily[Remaining],tblDaily[EntryDate],DATE(2026,6,12),tblDaily[WardCode],"BF")=0,"",SUMIFS(tblDaily[Remaining],tblDaily[EntryDate],DATE(2026,6,12),tblDaily[WardCode],"BF")),"")</f>
        <v/>
      </c>
    </row>
    <row r="214">
      <c r="A214" s="12" t="n">
        <v>13</v>
      </c>
      <c r="B214" s="12">
        <f>IFERROR(IF(SUMIFS(tblDaily[Admissions],tblDaily[EntryDate],DATE(2026,6,13),tblDaily[WardCode],"BF")=0,"",SUMIFS(tblDaily[Admissions],tblDaily[EntryDate],DATE(2026,6,13),tblDaily[WardCode],"BF")),"")</f>
        <v/>
      </c>
      <c r="C214" s="12">
        <f>IFERROR(IF(SUMIFS(tblDaily[Discharges],tblDaily[EntryDate],DATE(2026,6,13),tblDaily[WardCode],"BF")=0,"",SUMIFS(tblDaily[Discharges],tblDaily[EntryDate],DATE(2026,6,13),tblDaily[WardCode],"BF")),"")</f>
        <v/>
      </c>
      <c r="D214" s="12">
        <f>IFERROR(IF(SUMIFS(tblDaily[Deaths],tblDaily[EntryDate],DATE(2026,6,13),tblDaily[WardCode],"BF")=0,"",SUMIFS(tblDaily[Deaths],tblDaily[EntryDate],DATE(2026,6,13),tblDaily[WardCode],"BF")),"")</f>
        <v/>
      </c>
      <c r="E214" s="12">
        <f>IFERROR(IF(SUMIFS(tblDaily[DeathsUnder24Hrs],tblDaily[EntryDate],DATE(2026,6,13),tblDaily[WardCode],"BF")=0,"",SUMIFS(tblDaily[DeathsUnder24Hrs],tblDaily[EntryDate],DATE(2026,6,13),tblDaily[WardCode],"BF")),"")</f>
        <v/>
      </c>
      <c r="F214" s="12">
        <f>IFERROR(IF(SUMIFS(tblDaily[TransfersIn],tblDaily[EntryDate],DATE(2026,6,13),tblDaily[WardCode],"BF")=0,"",SUMIFS(tblDaily[TransfersIn],tblDaily[EntryDate],DATE(2026,6,13),tblDaily[WardCode],"BF")),"")</f>
        <v/>
      </c>
      <c r="G214" s="12">
        <f>IFERROR(IF(SUMIFS(tblDaily[TransfersOut],tblDaily[EntryDate],DATE(2026,6,13),tblDaily[WardCode],"BF")=0,"",SUMIFS(tblDaily[TransfersOut],tblDaily[EntryDate],DATE(2026,6,13),tblDaily[WardCode],"BF")),"")</f>
        <v/>
      </c>
      <c r="H214" s="12">
        <f>IFERROR(IF(SUMIFS(tblDaily[Remaining],tblDaily[EntryDate],DATE(2026,6,13),tblDaily[WardCode],"BF")=0,"",SUMIFS(tblDaily[Remaining],tblDaily[EntryDate],DATE(2026,6,13),tblDaily[WardCode],"BF")),"")</f>
        <v/>
      </c>
    </row>
    <row r="215">
      <c r="A215" s="12" t="n">
        <v>14</v>
      </c>
      <c r="B215" s="12">
        <f>IFERROR(IF(SUMIFS(tblDaily[Admissions],tblDaily[EntryDate],DATE(2026,6,14),tblDaily[WardCode],"BF")=0,"",SUMIFS(tblDaily[Admissions],tblDaily[EntryDate],DATE(2026,6,14),tblDaily[WardCode],"BF")),"")</f>
        <v/>
      </c>
      <c r="C215" s="12">
        <f>IFERROR(IF(SUMIFS(tblDaily[Discharges],tblDaily[EntryDate],DATE(2026,6,14),tblDaily[WardCode],"BF")=0,"",SUMIFS(tblDaily[Discharges],tblDaily[EntryDate],DATE(2026,6,14),tblDaily[WardCode],"BF")),"")</f>
        <v/>
      </c>
      <c r="D215" s="12">
        <f>IFERROR(IF(SUMIFS(tblDaily[Deaths],tblDaily[EntryDate],DATE(2026,6,14),tblDaily[WardCode],"BF")=0,"",SUMIFS(tblDaily[Deaths],tblDaily[EntryDate],DATE(2026,6,14),tblDaily[WardCode],"BF")),"")</f>
        <v/>
      </c>
      <c r="E215" s="12">
        <f>IFERROR(IF(SUMIFS(tblDaily[DeathsUnder24Hrs],tblDaily[EntryDate],DATE(2026,6,14),tblDaily[WardCode],"BF")=0,"",SUMIFS(tblDaily[DeathsUnder24Hrs],tblDaily[EntryDate],DATE(2026,6,14),tblDaily[WardCode],"BF")),"")</f>
        <v/>
      </c>
      <c r="F215" s="12">
        <f>IFERROR(IF(SUMIFS(tblDaily[TransfersIn],tblDaily[EntryDate],DATE(2026,6,14),tblDaily[WardCode],"BF")=0,"",SUMIFS(tblDaily[TransfersIn],tblDaily[EntryDate],DATE(2026,6,14),tblDaily[WardCode],"BF")),"")</f>
        <v/>
      </c>
      <c r="G215" s="12">
        <f>IFERROR(IF(SUMIFS(tblDaily[TransfersOut],tblDaily[EntryDate],DATE(2026,6,14),tblDaily[WardCode],"BF")=0,"",SUMIFS(tblDaily[TransfersOut],tblDaily[EntryDate],DATE(2026,6,14),tblDaily[WardCode],"BF")),"")</f>
        <v/>
      </c>
      <c r="H215" s="12">
        <f>IFERROR(IF(SUMIFS(tblDaily[Remaining],tblDaily[EntryDate],DATE(2026,6,14),tblDaily[WardCode],"BF")=0,"",SUMIFS(tblDaily[Remaining],tblDaily[EntryDate],DATE(2026,6,14),tblDaily[WardCode],"BF")),"")</f>
        <v/>
      </c>
    </row>
    <row r="216">
      <c r="A216" s="12" t="n">
        <v>15</v>
      </c>
      <c r="B216" s="12">
        <f>IFERROR(IF(SUMIFS(tblDaily[Admissions],tblDaily[EntryDate],DATE(2026,6,15),tblDaily[WardCode],"BF")=0,"",SUMIFS(tblDaily[Admissions],tblDaily[EntryDate],DATE(2026,6,15),tblDaily[WardCode],"BF")),"")</f>
        <v/>
      </c>
      <c r="C216" s="12">
        <f>IFERROR(IF(SUMIFS(tblDaily[Discharges],tblDaily[EntryDate],DATE(2026,6,15),tblDaily[WardCode],"BF")=0,"",SUMIFS(tblDaily[Discharges],tblDaily[EntryDate],DATE(2026,6,15),tblDaily[WardCode],"BF")),"")</f>
        <v/>
      </c>
      <c r="D216" s="12">
        <f>IFERROR(IF(SUMIFS(tblDaily[Deaths],tblDaily[EntryDate],DATE(2026,6,15),tblDaily[WardCode],"BF")=0,"",SUMIFS(tblDaily[Deaths],tblDaily[EntryDate],DATE(2026,6,15),tblDaily[WardCode],"BF")),"")</f>
        <v/>
      </c>
      <c r="E216" s="12">
        <f>IFERROR(IF(SUMIFS(tblDaily[DeathsUnder24Hrs],tblDaily[EntryDate],DATE(2026,6,15),tblDaily[WardCode],"BF")=0,"",SUMIFS(tblDaily[DeathsUnder24Hrs],tblDaily[EntryDate],DATE(2026,6,15),tblDaily[WardCode],"BF")),"")</f>
        <v/>
      </c>
      <c r="F216" s="12">
        <f>IFERROR(IF(SUMIFS(tblDaily[TransfersIn],tblDaily[EntryDate],DATE(2026,6,15),tblDaily[WardCode],"BF")=0,"",SUMIFS(tblDaily[TransfersIn],tblDaily[EntryDate],DATE(2026,6,15),tblDaily[WardCode],"BF")),"")</f>
        <v/>
      </c>
      <c r="G216" s="12">
        <f>IFERROR(IF(SUMIFS(tblDaily[TransfersOut],tblDaily[EntryDate],DATE(2026,6,15),tblDaily[WardCode],"BF")=0,"",SUMIFS(tblDaily[TransfersOut],tblDaily[EntryDate],DATE(2026,6,15),tblDaily[WardCode],"BF")),"")</f>
        <v/>
      </c>
      <c r="H216" s="12">
        <f>IFERROR(IF(SUMIFS(tblDaily[Remaining],tblDaily[EntryDate],DATE(2026,6,15),tblDaily[WardCode],"BF")=0,"",SUMIFS(tblDaily[Remaining],tblDaily[EntryDate],DATE(2026,6,15),tblDaily[WardCode],"BF")),"")</f>
        <v/>
      </c>
    </row>
    <row r="217">
      <c r="A217" s="12" t="n">
        <v>16</v>
      </c>
      <c r="B217" s="12">
        <f>IFERROR(IF(SUMIFS(tblDaily[Admissions],tblDaily[EntryDate],DATE(2026,6,16),tblDaily[WardCode],"BF")=0,"",SUMIFS(tblDaily[Admissions],tblDaily[EntryDate],DATE(2026,6,16),tblDaily[WardCode],"BF")),"")</f>
        <v/>
      </c>
      <c r="C217" s="12">
        <f>IFERROR(IF(SUMIFS(tblDaily[Discharges],tblDaily[EntryDate],DATE(2026,6,16),tblDaily[WardCode],"BF")=0,"",SUMIFS(tblDaily[Discharges],tblDaily[EntryDate],DATE(2026,6,16),tblDaily[WardCode],"BF")),"")</f>
        <v/>
      </c>
      <c r="D217" s="12">
        <f>IFERROR(IF(SUMIFS(tblDaily[Deaths],tblDaily[EntryDate],DATE(2026,6,16),tblDaily[WardCode],"BF")=0,"",SUMIFS(tblDaily[Deaths],tblDaily[EntryDate],DATE(2026,6,16),tblDaily[WardCode],"BF")),"")</f>
        <v/>
      </c>
      <c r="E217" s="12">
        <f>IFERROR(IF(SUMIFS(tblDaily[DeathsUnder24Hrs],tblDaily[EntryDate],DATE(2026,6,16),tblDaily[WardCode],"BF")=0,"",SUMIFS(tblDaily[DeathsUnder24Hrs],tblDaily[EntryDate],DATE(2026,6,16),tblDaily[WardCode],"BF")),"")</f>
        <v/>
      </c>
      <c r="F217" s="12">
        <f>IFERROR(IF(SUMIFS(tblDaily[TransfersIn],tblDaily[EntryDate],DATE(2026,6,16),tblDaily[WardCode],"BF")=0,"",SUMIFS(tblDaily[TransfersIn],tblDaily[EntryDate],DATE(2026,6,16),tblDaily[WardCode],"BF")),"")</f>
        <v/>
      </c>
      <c r="G217" s="12">
        <f>IFERROR(IF(SUMIFS(tblDaily[TransfersOut],tblDaily[EntryDate],DATE(2026,6,16),tblDaily[WardCode],"BF")=0,"",SUMIFS(tblDaily[TransfersOut],tblDaily[EntryDate],DATE(2026,6,16),tblDaily[WardCode],"BF")),"")</f>
        <v/>
      </c>
      <c r="H217" s="12">
        <f>IFERROR(IF(SUMIFS(tblDaily[Remaining],tblDaily[EntryDate],DATE(2026,6,16),tblDaily[WardCode],"BF")=0,"",SUMIFS(tblDaily[Remaining],tblDaily[EntryDate],DATE(2026,6,16),tblDaily[WardCode],"BF")),"")</f>
        <v/>
      </c>
    </row>
    <row r="218">
      <c r="A218" s="12" t="n">
        <v>17</v>
      </c>
      <c r="B218" s="12">
        <f>IFERROR(IF(SUMIFS(tblDaily[Admissions],tblDaily[EntryDate],DATE(2026,6,17),tblDaily[WardCode],"BF")=0,"",SUMIFS(tblDaily[Admissions],tblDaily[EntryDate],DATE(2026,6,17),tblDaily[WardCode],"BF")),"")</f>
        <v/>
      </c>
      <c r="C218" s="12">
        <f>IFERROR(IF(SUMIFS(tblDaily[Discharges],tblDaily[EntryDate],DATE(2026,6,17),tblDaily[WardCode],"BF")=0,"",SUMIFS(tblDaily[Discharges],tblDaily[EntryDate],DATE(2026,6,17),tblDaily[WardCode],"BF")),"")</f>
        <v/>
      </c>
      <c r="D218" s="12">
        <f>IFERROR(IF(SUMIFS(tblDaily[Deaths],tblDaily[EntryDate],DATE(2026,6,17),tblDaily[WardCode],"BF")=0,"",SUMIFS(tblDaily[Deaths],tblDaily[EntryDate],DATE(2026,6,17),tblDaily[WardCode],"BF")),"")</f>
        <v/>
      </c>
      <c r="E218" s="12">
        <f>IFERROR(IF(SUMIFS(tblDaily[DeathsUnder24Hrs],tblDaily[EntryDate],DATE(2026,6,17),tblDaily[WardCode],"BF")=0,"",SUMIFS(tblDaily[DeathsUnder24Hrs],tblDaily[EntryDate],DATE(2026,6,17),tblDaily[WardCode],"BF")),"")</f>
        <v/>
      </c>
      <c r="F218" s="12">
        <f>IFERROR(IF(SUMIFS(tblDaily[TransfersIn],tblDaily[EntryDate],DATE(2026,6,17),tblDaily[WardCode],"BF")=0,"",SUMIFS(tblDaily[TransfersIn],tblDaily[EntryDate],DATE(2026,6,17),tblDaily[WardCode],"BF")),"")</f>
        <v/>
      </c>
      <c r="G218" s="12">
        <f>IFERROR(IF(SUMIFS(tblDaily[TransfersOut],tblDaily[EntryDate],DATE(2026,6,17),tblDaily[WardCode],"BF")=0,"",SUMIFS(tblDaily[TransfersOut],tblDaily[EntryDate],DATE(2026,6,17),tblDaily[WardCode],"BF")),"")</f>
        <v/>
      </c>
      <c r="H218" s="12">
        <f>IFERROR(IF(SUMIFS(tblDaily[Remaining],tblDaily[EntryDate],DATE(2026,6,17),tblDaily[WardCode],"BF")=0,"",SUMIFS(tblDaily[Remaining],tblDaily[EntryDate],DATE(2026,6,17),tblDaily[WardCode],"BF")),"")</f>
        <v/>
      </c>
    </row>
    <row r="219">
      <c r="A219" s="12" t="n">
        <v>18</v>
      </c>
      <c r="B219" s="12">
        <f>IFERROR(IF(SUMIFS(tblDaily[Admissions],tblDaily[EntryDate],DATE(2026,6,18),tblDaily[WardCode],"BF")=0,"",SUMIFS(tblDaily[Admissions],tblDaily[EntryDate],DATE(2026,6,18),tblDaily[WardCode],"BF")),"")</f>
        <v/>
      </c>
      <c r="C219" s="12">
        <f>IFERROR(IF(SUMIFS(tblDaily[Discharges],tblDaily[EntryDate],DATE(2026,6,18),tblDaily[WardCode],"BF")=0,"",SUMIFS(tblDaily[Discharges],tblDaily[EntryDate],DATE(2026,6,18),tblDaily[WardCode],"BF")),"")</f>
        <v/>
      </c>
      <c r="D219" s="12">
        <f>IFERROR(IF(SUMIFS(tblDaily[Deaths],tblDaily[EntryDate],DATE(2026,6,18),tblDaily[WardCode],"BF")=0,"",SUMIFS(tblDaily[Deaths],tblDaily[EntryDate],DATE(2026,6,18),tblDaily[WardCode],"BF")),"")</f>
        <v/>
      </c>
      <c r="E219" s="12">
        <f>IFERROR(IF(SUMIFS(tblDaily[DeathsUnder24Hrs],tblDaily[EntryDate],DATE(2026,6,18),tblDaily[WardCode],"BF")=0,"",SUMIFS(tblDaily[DeathsUnder24Hrs],tblDaily[EntryDate],DATE(2026,6,18),tblDaily[WardCode],"BF")),"")</f>
        <v/>
      </c>
      <c r="F219" s="12">
        <f>IFERROR(IF(SUMIFS(tblDaily[TransfersIn],tblDaily[EntryDate],DATE(2026,6,18),tblDaily[WardCode],"BF")=0,"",SUMIFS(tblDaily[TransfersIn],tblDaily[EntryDate],DATE(2026,6,18),tblDaily[WardCode],"BF")),"")</f>
        <v/>
      </c>
      <c r="G219" s="12">
        <f>IFERROR(IF(SUMIFS(tblDaily[TransfersOut],tblDaily[EntryDate],DATE(2026,6,18),tblDaily[WardCode],"BF")=0,"",SUMIFS(tblDaily[TransfersOut],tblDaily[EntryDate],DATE(2026,6,18),tblDaily[WardCode],"BF")),"")</f>
        <v/>
      </c>
      <c r="H219" s="12">
        <f>IFERROR(IF(SUMIFS(tblDaily[Remaining],tblDaily[EntryDate],DATE(2026,6,18),tblDaily[WardCode],"BF")=0,"",SUMIFS(tblDaily[Remaining],tblDaily[EntryDate],DATE(2026,6,18),tblDaily[WardCode],"BF")),"")</f>
        <v/>
      </c>
    </row>
    <row r="220">
      <c r="A220" s="12" t="n">
        <v>19</v>
      </c>
      <c r="B220" s="12">
        <f>IFERROR(IF(SUMIFS(tblDaily[Admissions],tblDaily[EntryDate],DATE(2026,6,19),tblDaily[WardCode],"BF")=0,"",SUMIFS(tblDaily[Admissions],tblDaily[EntryDate],DATE(2026,6,19),tblDaily[WardCode],"BF")),"")</f>
        <v/>
      </c>
      <c r="C220" s="12">
        <f>IFERROR(IF(SUMIFS(tblDaily[Discharges],tblDaily[EntryDate],DATE(2026,6,19),tblDaily[WardCode],"BF")=0,"",SUMIFS(tblDaily[Discharges],tblDaily[EntryDate],DATE(2026,6,19),tblDaily[WardCode],"BF")),"")</f>
        <v/>
      </c>
      <c r="D220" s="12">
        <f>IFERROR(IF(SUMIFS(tblDaily[Deaths],tblDaily[EntryDate],DATE(2026,6,19),tblDaily[WardCode],"BF")=0,"",SUMIFS(tblDaily[Deaths],tblDaily[EntryDate],DATE(2026,6,19),tblDaily[WardCode],"BF")),"")</f>
        <v/>
      </c>
      <c r="E220" s="12">
        <f>IFERROR(IF(SUMIFS(tblDaily[DeathsUnder24Hrs],tblDaily[EntryDate],DATE(2026,6,19),tblDaily[WardCode],"BF")=0,"",SUMIFS(tblDaily[DeathsUnder24Hrs],tblDaily[EntryDate],DATE(2026,6,19),tblDaily[WardCode],"BF")),"")</f>
        <v/>
      </c>
      <c r="F220" s="12">
        <f>IFERROR(IF(SUMIFS(tblDaily[TransfersIn],tblDaily[EntryDate],DATE(2026,6,19),tblDaily[WardCode],"BF")=0,"",SUMIFS(tblDaily[TransfersIn],tblDaily[EntryDate],DATE(2026,6,19),tblDaily[WardCode],"BF")),"")</f>
        <v/>
      </c>
      <c r="G220" s="12">
        <f>IFERROR(IF(SUMIFS(tblDaily[TransfersOut],tblDaily[EntryDate],DATE(2026,6,19),tblDaily[WardCode],"BF")=0,"",SUMIFS(tblDaily[TransfersOut],tblDaily[EntryDate],DATE(2026,6,19),tblDaily[WardCode],"BF")),"")</f>
        <v/>
      </c>
      <c r="H220" s="12">
        <f>IFERROR(IF(SUMIFS(tblDaily[Remaining],tblDaily[EntryDate],DATE(2026,6,19),tblDaily[WardCode],"BF")=0,"",SUMIFS(tblDaily[Remaining],tblDaily[EntryDate],DATE(2026,6,19),tblDaily[WardCode],"BF")),"")</f>
        <v/>
      </c>
    </row>
    <row r="221">
      <c r="A221" s="12" t="n">
        <v>20</v>
      </c>
      <c r="B221" s="12">
        <f>IFERROR(IF(SUMIFS(tblDaily[Admissions],tblDaily[EntryDate],DATE(2026,6,20),tblDaily[WardCode],"BF")=0,"",SUMIFS(tblDaily[Admissions],tblDaily[EntryDate],DATE(2026,6,20),tblDaily[WardCode],"BF")),"")</f>
        <v/>
      </c>
      <c r="C221" s="12">
        <f>IFERROR(IF(SUMIFS(tblDaily[Discharges],tblDaily[EntryDate],DATE(2026,6,20),tblDaily[WardCode],"BF")=0,"",SUMIFS(tblDaily[Discharges],tblDaily[EntryDate],DATE(2026,6,20),tblDaily[WardCode],"BF")),"")</f>
        <v/>
      </c>
      <c r="D221" s="12">
        <f>IFERROR(IF(SUMIFS(tblDaily[Deaths],tblDaily[EntryDate],DATE(2026,6,20),tblDaily[WardCode],"BF")=0,"",SUMIFS(tblDaily[Deaths],tblDaily[EntryDate],DATE(2026,6,20),tblDaily[WardCode],"BF")),"")</f>
        <v/>
      </c>
      <c r="E221" s="12">
        <f>IFERROR(IF(SUMIFS(tblDaily[DeathsUnder24Hrs],tblDaily[EntryDate],DATE(2026,6,20),tblDaily[WardCode],"BF")=0,"",SUMIFS(tblDaily[DeathsUnder24Hrs],tblDaily[EntryDate],DATE(2026,6,20),tblDaily[WardCode],"BF")),"")</f>
        <v/>
      </c>
      <c r="F221" s="12">
        <f>IFERROR(IF(SUMIFS(tblDaily[TransfersIn],tblDaily[EntryDate],DATE(2026,6,20),tblDaily[WardCode],"BF")=0,"",SUMIFS(tblDaily[TransfersIn],tblDaily[EntryDate],DATE(2026,6,20),tblDaily[WardCode],"BF")),"")</f>
        <v/>
      </c>
      <c r="G221" s="12">
        <f>IFERROR(IF(SUMIFS(tblDaily[TransfersOut],tblDaily[EntryDate],DATE(2026,6,20),tblDaily[WardCode],"BF")=0,"",SUMIFS(tblDaily[TransfersOut],tblDaily[EntryDate],DATE(2026,6,20),tblDaily[WardCode],"BF")),"")</f>
        <v/>
      </c>
      <c r="H221" s="12">
        <f>IFERROR(IF(SUMIFS(tblDaily[Remaining],tblDaily[EntryDate],DATE(2026,6,20),tblDaily[WardCode],"BF")=0,"",SUMIFS(tblDaily[Remaining],tblDaily[EntryDate],DATE(2026,6,20),tblDaily[WardCode],"BF")),"")</f>
        <v/>
      </c>
    </row>
    <row r="222">
      <c r="A222" s="12" t="n">
        <v>21</v>
      </c>
      <c r="B222" s="12">
        <f>IFERROR(IF(SUMIFS(tblDaily[Admissions],tblDaily[EntryDate],DATE(2026,6,21),tblDaily[WardCode],"BF")=0,"",SUMIFS(tblDaily[Admissions],tblDaily[EntryDate],DATE(2026,6,21),tblDaily[WardCode],"BF")),"")</f>
        <v/>
      </c>
      <c r="C222" s="12">
        <f>IFERROR(IF(SUMIFS(tblDaily[Discharges],tblDaily[EntryDate],DATE(2026,6,21),tblDaily[WardCode],"BF")=0,"",SUMIFS(tblDaily[Discharges],tblDaily[EntryDate],DATE(2026,6,21),tblDaily[WardCode],"BF")),"")</f>
        <v/>
      </c>
      <c r="D222" s="12">
        <f>IFERROR(IF(SUMIFS(tblDaily[Deaths],tblDaily[EntryDate],DATE(2026,6,21),tblDaily[WardCode],"BF")=0,"",SUMIFS(tblDaily[Deaths],tblDaily[EntryDate],DATE(2026,6,21),tblDaily[WardCode],"BF")),"")</f>
        <v/>
      </c>
      <c r="E222" s="12">
        <f>IFERROR(IF(SUMIFS(tblDaily[DeathsUnder24Hrs],tblDaily[EntryDate],DATE(2026,6,21),tblDaily[WardCode],"BF")=0,"",SUMIFS(tblDaily[DeathsUnder24Hrs],tblDaily[EntryDate],DATE(2026,6,21),tblDaily[WardCode],"BF")),"")</f>
        <v/>
      </c>
      <c r="F222" s="12">
        <f>IFERROR(IF(SUMIFS(tblDaily[TransfersIn],tblDaily[EntryDate],DATE(2026,6,21),tblDaily[WardCode],"BF")=0,"",SUMIFS(tblDaily[TransfersIn],tblDaily[EntryDate],DATE(2026,6,21),tblDaily[WardCode],"BF")),"")</f>
        <v/>
      </c>
      <c r="G222" s="12">
        <f>IFERROR(IF(SUMIFS(tblDaily[TransfersOut],tblDaily[EntryDate],DATE(2026,6,21),tblDaily[WardCode],"BF")=0,"",SUMIFS(tblDaily[TransfersOut],tblDaily[EntryDate],DATE(2026,6,21),tblDaily[WardCode],"BF")),"")</f>
        <v/>
      </c>
      <c r="H222" s="12">
        <f>IFERROR(IF(SUMIFS(tblDaily[Remaining],tblDaily[EntryDate],DATE(2026,6,21),tblDaily[WardCode],"BF")=0,"",SUMIFS(tblDaily[Remaining],tblDaily[EntryDate],DATE(2026,6,21),tblDaily[WardCode],"BF")),"")</f>
        <v/>
      </c>
    </row>
    <row r="223">
      <c r="A223" s="12" t="n">
        <v>22</v>
      </c>
      <c r="B223" s="12">
        <f>IFERROR(IF(SUMIFS(tblDaily[Admissions],tblDaily[EntryDate],DATE(2026,6,22),tblDaily[WardCode],"BF")=0,"",SUMIFS(tblDaily[Admissions],tblDaily[EntryDate],DATE(2026,6,22),tblDaily[WardCode],"BF")),"")</f>
        <v/>
      </c>
      <c r="C223" s="12">
        <f>IFERROR(IF(SUMIFS(tblDaily[Discharges],tblDaily[EntryDate],DATE(2026,6,22),tblDaily[WardCode],"BF")=0,"",SUMIFS(tblDaily[Discharges],tblDaily[EntryDate],DATE(2026,6,22),tblDaily[WardCode],"BF")),"")</f>
        <v/>
      </c>
      <c r="D223" s="12">
        <f>IFERROR(IF(SUMIFS(tblDaily[Deaths],tblDaily[EntryDate],DATE(2026,6,22),tblDaily[WardCode],"BF")=0,"",SUMIFS(tblDaily[Deaths],tblDaily[EntryDate],DATE(2026,6,22),tblDaily[WardCode],"BF")),"")</f>
        <v/>
      </c>
      <c r="E223" s="12">
        <f>IFERROR(IF(SUMIFS(tblDaily[DeathsUnder24Hrs],tblDaily[EntryDate],DATE(2026,6,22),tblDaily[WardCode],"BF")=0,"",SUMIFS(tblDaily[DeathsUnder24Hrs],tblDaily[EntryDate],DATE(2026,6,22),tblDaily[WardCode],"BF")),"")</f>
        <v/>
      </c>
      <c r="F223" s="12">
        <f>IFERROR(IF(SUMIFS(tblDaily[TransfersIn],tblDaily[EntryDate],DATE(2026,6,22),tblDaily[WardCode],"BF")=0,"",SUMIFS(tblDaily[TransfersIn],tblDaily[EntryDate],DATE(2026,6,22),tblDaily[WardCode],"BF")),"")</f>
        <v/>
      </c>
      <c r="G223" s="12">
        <f>IFERROR(IF(SUMIFS(tblDaily[TransfersOut],tblDaily[EntryDate],DATE(2026,6,22),tblDaily[WardCode],"BF")=0,"",SUMIFS(tblDaily[TransfersOut],tblDaily[EntryDate],DATE(2026,6,22),tblDaily[WardCode],"BF")),"")</f>
        <v/>
      </c>
      <c r="H223" s="12">
        <f>IFERROR(IF(SUMIFS(tblDaily[Remaining],tblDaily[EntryDate],DATE(2026,6,22),tblDaily[WardCode],"BF")=0,"",SUMIFS(tblDaily[Remaining],tblDaily[EntryDate],DATE(2026,6,22),tblDaily[WardCode],"BF")),"")</f>
        <v/>
      </c>
    </row>
    <row r="224">
      <c r="A224" s="12" t="n">
        <v>23</v>
      </c>
      <c r="B224" s="12">
        <f>IFERROR(IF(SUMIFS(tblDaily[Admissions],tblDaily[EntryDate],DATE(2026,6,23),tblDaily[WardCode],"BF")=0,"",SUMIFS(tblDaily[Admissions],tblDaily[EntryDate],DATE(2026,6,23),tblDaily[WardCode],"BF")),"")</f>
        <v/>
      </c>
      <c r="C224" s="12">
        <f>IFERROR(IF(SUMIFS(tblDaily[Discharges],tblDaily[EntryDate],DATE(2026,6,23),tblDaily[WardCode],"BF")=0,"",SUMIFS(tblDaily[Discharges],tblDaily[EntryDate],DATE(2026,6,23),tblDaily[WardCode],"BF")),"")</f>
        <v/>
      </c>
      <c r="D224" s="12">
        <f>IFERROR(IF(SUMIFS(tblDaily[Deaths],tblDaily[EntryDate],DATE(2026,6,23),tblDaily[WardCode],"BF")=0,"",SUMIFS(tblDaily[Deaths],tblDaily[EntryDate],DATE(2026,6,23),tblDaily[WardCode],"BF")),"")</f>
        <v/>
      </c>
      <c r="E224" s="12">
        <f>IFERROR(IF(SUMIFS(tblDaily[DeathsUnder24Hrs],tblDaily[EntryDate],DATE(2026,6,23),tblDaily[WardCode],"BF")=0,"",SUMIFS(tblDaily[DeathsUnder24Hrs],tblDaily[EntryDate],DATE(2026,6,23),tblDaily[WardCode],"BF")),"")</f>
        <v/>
      </c>
      <c r="F224" s="12">
        <f>IFERROR(IF(SUMIFS(tblDaily[TransfersIn],tblDaily[EntryDate],DATE(2026,6,23),tblDaily[WardCode],"BF")=0,"",SUMIFS(tblDaily[TransfersIn],tblDaily[EntryDate],DATE(2026,6,23),tblDaily[WardCode],"BF")),"")</f>
        <v/>
      </c>
      <c r="G224" s="12">
        <f>IFERROR(IF(SUMIFS(tblDaily[TransfersOut],tblDaily[EntryDate],DATE(2026,6,23),tblDaily[WardCode],"BF")=0,"",SUMIFS(tblDaily[TransfersOut],tblDaily[EntryDate],DATE(2026,6,23),tblDaily[WardCode],"BF")),"")</f>
        <v/>
      </c>
      <c r="H224" s="12">
        <f>IFERROR(IF(SUMIFS(tblDaily[Remaining],tblDaily[EntryDate],DATE(2026,6,23),tblDaily[WardCode],"BF")=0,"",SUMIFS(tblDaily[Remaining],tblDaily[EntryDate],DATE(2026,6,23),tblDaily[WardCode],"BF")),"")</f>
        <v/>
      </c>
    </row>
    <row r="225">
      <c r="A225" s="12" t="n">
        <v>24</v>
      </c>
      <c r="B225" s="12">
        <f>IFERROR(IF(SUMIFS(tblDaily[Admissions],tblDaily[EntryDate],DATE(2026,6,24),tblDaily[WardCode],"BF")=0,"",SUMIFS(tblDaily[Admissions],tblDaily[EntryDate],DATE(2026,6,24),tblDaily[WardCode],"BF")),"")</f>
        <v/>
      </c>
      <c r="C225" s="12">
        <f>IFERROR(IF(SUMIFS(tblDaily[Discharges],tblDaily[EntryDate],DATE(2026,6,24),tblDaily[WardCode],"BF")=0,"",SUMIFS(tblDaily[Discharges],tblDaily[EntryDate],DATE(2026,6,24),tblDaily[WardCode],"BF")),"")</f>
        <v/>
      </c>
      <c r="D225" s="12">
        <f>IFERROR(IF(SUMIFS(tblDaily[Deaths],tblDaily[EntryDate],DATE(2026,6,24),tblDaily[WardCode],"BF")=0,"",SUMIFS(tblDaily[Deaths],tblDaily[EntryDate],DATE(2026,6,24),tblDaily[WardCode],"BF")),"")</f>
        <v/>
      </c>
      <c r="E225" s="12">
        <f>IFERROR(IF(SUMIFS(tblDaily[DeathsUnder24Hrs],tblDaily[EntryDate],DATE(2026,6,24),tblDaily[WardCode],"BF")=0,"",SUMIFS(tblDaily[DeathsUnder24Hrs],tblDaily[EntryDate],DATE(2026,6,24),tblDaily[WardCode],"BF")),"")</f>
        <v/>
      </c>
      <c r="F225" s="12">
        <f>IFERROR(IF(SUMIFS(tblDaily[TransfersIn],tblDaily[EntryDate],DATE(2026,6,24),tblDaily[WardCode],"BF")=0,"",SUMIFS(tblDaily[TransfersIn],tblDaily[EntryDate],DATE(2026,6,24),tblDaily[WardCode],"BF")),"")</f>
        <v/>
      </c>
      <c r="G225" s="12">
        <f>IFERROR(IF(SUMIFS(tblDaily[TransfersOut],tblDaily[EntryDate],DATE(2026,6,24),tblDaily[WardCode],"BF")=0,"",SUMIFS(tblDaily[TransfersOut],tblDaily[EntryDate],DATE(2026,6,24),tblDaily[WardCode],"BF")),"")</f>
        <v/>
      </c>
      <c r="H225" s="12">
        <f>IFERROR(IF(SUMIFS(tblDaily[Remaining],tblDaily[EntryDate],DATE(2026,6,24),tblDaily[WardCode],"BF")=0,"",SUMIFS(tblDaily[Remaining],tblDaily[EntryDate],DATE(2026,6,24),tblDaily[WardCode],"BF")),"")</f>
        <v/>
      </c>
    </row>
    <row r="226">
      <c r="A226" s="12" t="n">
        <v>25</v>
      </c>
      <c r="B226" s="12">
        <f>IFERROR(IF(SUMIFS(tblDaily[Admissions],tblDaily[EntryDate],DATE(2026,6,25),tblDaily[WardCode],"BF")=0,"",SUMIFS(tblDaily[Admissions],tblDaily[EntryDate],DATE(2026,6,25),tblDaily[WardCode],"BF")),"")</f>
        <v/>
      </c>
      <c r="C226" s="12">
        <f>IFERROR(IF(SUMIFS(tblDaily[Discharges],tblDaily[EntryDate],DATE(2026,6,25),tblDaily[WardCode],"BF")=0,"",SUMIFS(tblDaily[Discharges],tblDaily[EntryDate],DATE(2026,6,25),tblDaily[WardCode],"BF")),"")</f>
        <v/>
      </c>
      <c r="D226" s="12">
        <f>IFERROR(IF(SUMIFS(tblDaily[Deaths],tblDaily[EntryDate],DATE(2026,6,25),tblDaily[WardCode],"BF")=0,"",SUMIFS(tblDaily[Deaths],tblDaily[EntryDate],DATE(2026,6,25),tblDaily[WardCode],"BF")),"")</f>
        <v/>
      </c>
      <c r="E226" s="12">
        <f>IFERROR(IF(SUMIFS(tblDaily[DeathsUnder24Hrs],tblDaily[EntryDate],DATE(2026,6,25),tblDaily[WardCode],"BF")=0,"",SUMIFS(tblDaily[DeathsUnder24Hrs],tblDaily[EntryDate],DATE(2026,6,25),tblDaily[WardCode],"BF")),"")</f>
        <v/>
      </c>
      <c r="F226" s="12">
        <f>IFERROR(IF(SUMIFS(tblDaily[TransfersIn],tblDaily[EntryDate],DATE(2026,6,25),tblDaily[WardCode],"BF")=0,"",SUMIFS(tblDaily[TransfersIn],tblDaily[EntryDate],DATE(2026,6,25),tblDaily[WardCode],"BF")),"")</f>
        <v/>
      </c>
      <c r="G226" s="12">
        <f>IFERROR(IF(SUMIFS(tblDaily[TransfersOut],tblDaily[EntryDate],DATE(2026,6,25),tblDaily[WardCode],"BF")=0,"",SUMIFS(tblDaily[TransfersOut],tblDaily[EntryDate],DATE(2026,6,25),tblDaily[WardCode],"BF")),"")</f>
        <v/>
      </c>
      <c r="H226" s="12">
        <f>IFERROR(IF(SUMIFS(tblDaily[Remaining],tblDaily[EntryDate],DATE(2026,6,25),tblDaily[WardCode],"BF")=0,"",SUMIFS(tblDaily[Remaining],tblDaily[EntryDate],DATE(2026,6,25),tblDaily[WardCode],"BF")),"")</f>
        <v/>
      </c>
    </row>
    <row r="227">
      <c r="A227" s="12" t="n">
        <v>26</v>
      </c>
      <c r="B227" s="12">
        <f>IFERROR(IF(SUMIFS(tblDaily[Admissions],tblDaily[EntryDate],DATE(2026,6,26),tblDaily[WardCode],"BF")=0,"",SUMIFS(tblDaily[Admissions],tblDaily[EntryDate],DATE(2026,6,26),tblDaily[WardCode],"BF")),"")</f>
        <v/>
      </c>
      <c r="C227" s="12">
        <f>IFERROR(IF(SUMIFS(tblDaily[Discharges],tblDaily[EntryDate],DATE(2026,6,26),tblDaily[WardCode],"BF")=0,"",SUMIFS(tblDaily[Discharges],tblDaily[EntryDate],DATE(2026,6,26),tblDaily[WardCode],"BF")),"")</f>
        <v/>
      </c>
      <c r="D227" s="12">
        <f>IFERROR(IF(SUMIFS(tblDaily[Deaths],tblDaily[EntryDate],DATE(2026,6,26),tblDaily[WardCode],"BF")=0,"",SUMIFS(tblDaily[Deaths],tblDaily[EntryDate],DATE(2026,6,26),tblDaily[WardCode],"BF")),"")</f>
        <v/>
      </c>
      <c r="E227" s="12">
        <f>IFERROR(IF(SUMIFS(tblDaily[DeathsUnder24Hrs],tblDaily[EntryDate],DATE(2026,6,26),tblDaily[WardCode],"BF")=0,"",SUMIFS(tblDaily[DeathsUnder24Hrs],tblDaily[EntryDate],DATE(2026,6,26),tblDaily[WardCode],"BF")),"")</f>
        <v/>
      </c>
      <c r="F227" s="12">
        <f>IFERROR(IF(SUMIFS(tblDaily[TransfersIn],tblDaily[EntryDate],DATE(2026,6,26),tblDaily[WardCode],"BF")=0,"",SUMIFS(tblDaily[TransfersIn],tblDaily[EntryDate],DATE(2026,6,26),tblDaily[WardCode],"BF")),"")</f>
        <v/>
      </c>
      <c r="G227" s="12">
        <f>IFERROR(IF(SUMIFS(tblDaily[TransfersOut],tblDaily[EntryDate],DATE(2026,6,26),tblDaily[WardCode],"BF")=0,"",SUMIFS(tblDaily[TransfersOut],tblDaily[EntryDate],DATE(2026,6,26),tblDaily[WardCode],"BF")),"")</f>
        <v/>
      </c>
      <c r="H227" s="12">
        <f>IFERROR(IF(SUMIFS(tblDaily[Remaining],tblDaily[EntryDate],DATE(2026,6,26),tblDaily[WardCode],"BF")=0,"",SUMIFS(tblDaily[Remaining],tblDaily[EntryDate],DATE(2026,6,26),tblDaily[WardCode],"BF")),"")</f>
        <v/>
      </c>
    </row>
    <row r="228">
      <c r="A228" s="12" t="n">
        <v>27</v>
      </c>
      <c r="B228" s="12">
        <f>IFERROR(IF(SUMIFS(tblDaily[Admissions],tblDaily[EntryDate],DATE(2026,6,27),tblDaily[WardCode],"BF")=0,"",SUMIFS(tblDaily[Admissions],tblDaily[EntryDate],DATE(2026,6,27),tblDaily[WardCode],"BF")),"")</f>
        <v/>
      </c>
      <c r="C228" s="12">
        <f>IFERROR(IF(SUMIFS(tblDaily[Discharges],tblDaily[EntryDate],DATE(2026,6,27),tblDaily[WardCode],"BF")=0,"",SUMIFS(tblDaily[Discharges],tblDaily[EntryDate],DATE(2026,6,27),tblDaily[WardCode],"BF")),"")</f>
        <v/>
      </c>
      <c r="D228" s="12">
        <f>IFERROR(IF(SUMIFS(tblDaily[Deaths],tblDaily[EntryDate],DATE(2026,6,27),tblDaily[WardCode],"BF")=0,"",SUMIFS(tblDaily[Deaths],tblDaily[EntryDate],DATE(2026,6,27),tblDaily[WardCode],"BF")),"")</f>
        <v/>
      </c>
      <c r="E228" s="12">
        <f>IFERROR(IF(SUMIFS(tblDaily[DeathsUnder24Hrs],tblDaily[EntryDate],DATE(2026,6,27),tblDaily[WardCode],"BF")=0,"",SUMIFS(tblDaily[DeathsUnder24Hrs],tblDaily[EntryDate],DATE(2026,6,27),tblDaily[WardCode],"BF")),"")</f>
        <v/>
      </c>
      <c r="F228" s="12">
        <f>IFERROR(IF(SUMIFS(tblDaily[TransfersIn],tblDaily[EntryDate],DATE(2026,6,27),tblDaily[WardCode],"BF")=0,"",SUMIFS(tblDaily[TransfersIn],tblDaily[EntryDate],DATE(2026,6,27),tblDaily[WardCode],"BF")),"")</f>
        <v/>
      </c>
      <c r="G228" s="12">
        <f>IFERROR(IF(SUMIFS(tblDaily[TransfersOut],tblDaily[EntryDate],DATE(2026,6,27),tblDaily[WardCode],"BF")=0,"",SUMIFS(tblDaily[TransfersOut],tblDaily[EntryDate],DATE(2026,6,27),tblDaily[WardCode],"BF")),"")</f>
        <v/>
      </c>
      <c r="H228" s="12">
        <f>IFERROR(IF(SUMIFS(tblDaily[Remaining],tblDaily[EntryDate],DATE(2026,6,27),tblDaily[WardCode],"BF")=0,"",SUMIFS(tblDaily[Remaining],tblDaily[EntryDate],DATE(2026,6,27),tblDaily[WardCode],"BF")),"")</f>
        <v/>
      </c>
    </row>
    <row r="229">
      <c r="A229" s="12" t="n">
        <v>28</v>
      </c>
      <c r="B229" s="12">
        <f>IFERROR(IF(SUMIFS(tblDaily[Admissions],tblDaily[EntryDate],DATE(2026,6,28),tblDaily[WardCode],"BF")=0,"",SUMIFS(tblDaily[Admissions],tblDaily[EntryDate],DATE(2026,6,28),tblDaily[WardCode],"BF")),"")</f>
        <v/>
      </c>
      <c r="C229" s="12">
        <f>IFERROR(IF(SUMIFS(tblDaily[Discharges],tblDaily[EntryDate],DATE(2026,6,28),tblDaily[WardCode],"BF")=0,"",SUMIFS(tblDaily[Discharges],tblDaily[EntryDate],DATE(2026,6,28),tblDaily[WardCode],"BF")),"")</f>
        <v/>
      </c>
      <c r="D229" s="12">
        <f>IFERROR(IF(SUMIFS(tblDaily[Deaths],tblDaily[EntryDate],DATE(2026,6,28),tblDaily[WardCode],"BF")=0,"",SUMIFS(tblDaily[Deaths],tblDaily[EntryDate],DATE(2026,6,28),tblDaily[WardCode],"BF")),"")</f>
        <v/>
      </c>
      <c r="E229" s="12">
        <f>IFERROR(IF(SUMIFS(tblDaily[DeathsUnder24Hrs],tblDaily[EntryDate],DATE(2026,6,28),tblDaily[WardCode],"BF")=0,"",SUMIFS(tblDaily[DeathsUnder24Hrs],tblDaily[EntryDate],DATE(2026,6,28),tblDaily[WardCode],"BF")),"")</f>
        <v/>
      </c>
      <c r="F229" s="12">
        <f>IFERROR(IF(SUMIFS(tblDaily[TransfersIn],tblDaily[EntryDate],DATE(2026,6,28),tblDaily[WardCode],"BF")=0,"",SUMIFS(tblDaily[TransfersIn],tblDaily[EntryDate],DATE(2026,6,28),tblDaily[WardCode],"BF")),"")</f>
        <v/>
      </c>
      <c r="G229" s="12">
        <f>IFERROR(IF(SUMIFS(tblDaily[TransfersOut],tblDaily[EntryDate],DATE(2026,6,28),tblDaily[WardCode],"BF")=0,"",SUMIFS(tblDaily[TransfersOut],tblDaily[EntryDate],DATE(2026,6,28),tblDaily[WardCode],"BF")),"")</f>
        <v/>
      </c>
      <c r="H229" s="12">
        <f>IFERROR(IF(SUMIFS(tblDaily[Remaining],tblDaily[EntryDate],DATE(2026,6,28),tblDaily[WardCode],"BF")=0,"",SUMIFS(tblDaily[Remaining],tblDaily[EntryDate],DATE(2026,6,28),tblDaily[WardCode],"BF")),"")</f>
        <v/>
      </c>
    </row>
    <row r="230">
      <c r="A230" s="12" t="n">
        <v>29</v>
      </c>
      <c r="B230" s="12">
        <f>IFERROR(IF(SUMIFS(tblDaily[Admissions],tblDaily[EntryDate],DATE(2026,6,29),tblDaily[WardCode],"BF")=0,"",SUMIFS(tblDaily[Admissions],tblDaily[EntryDate],DATE(2026,6,29),tblDaily[WardCode],"BF")),"")</f>
        <v/>
      </c>
      <c r="C230" s="12">
        <f>IFERROR(IF(SUMIFS(tblDaily[Discharges],tblDaily[EntryDate],DATE(2026,6,29),tblDaily[WardCode],"BF")=0,"",SUMIFS(tblDaily[Discharges],tblDaily[EntryDate],DATE(2026,6,29),tblDaily[WardCode],"BF")),"")</f>
        <v/>
      </c>
      <c r="D230" s="12">
        <f>IFERROR(IF(SUMIFS(tblDaily[Deaths],tblDaily[EntryDate],DATE(2026,6,29),tblDaily[WardCode],"BF")=0,"",SUMIFS(tblDaily[Deaths],tblDaily[EntryDate],DATE(2026,6,29),tblDaily[WardCode],"BF")),"")</f>
        <v/>
      </c>
      <c r="E230" s="12">
        <f>IFERROR(IF(SUMIFS(tblDaily[DeathsUnder24Hrs],tblDaily[EntryDate],DATE(2026,6,29),tblDaily[WardCode],"BF")=0,"",SUMIFS(tblDaily[DeathsUnder24Hrs],tblDaily[EntryDate],DATE(2026,6,29),tblDaily[WardCode],"BF")),"")</f>
        <v/>
      </c>
      <c r="F230" s="12">
        <f>IFERROR(IF(SUMIFS(tblDaily[TransfersIn],tblDaily[EntryDate],DATE(2026,6,29),tblDaily[WardCode],"BF")=0,"",SUMIFS(tblDaily[TransfersIn],tblDaily[EntryDate],DATE(2026,6,29),tblDaily[WardCode],"BF")),"")</f>
        <v/>
      </c>
      <c r="G230" s="12">
        <f>IFERROR(IF(SUMIFS(tblDaily[TransfersOut],tblDaily[EntryDate],DATE(2026,6,29),tblDaily[WardCode],"BF")=0,"",SUMIFS(tblDaily[TransfersOut],tblDaily[EntryDate],DATE(2026,6,29),tblDaily[WardCode],"BF")),"")</f>
        <v/>
      </c>
      <c r="H230" s="12">
        <f>IFERROR(IF(SUMIFS(tblDaily[Remaining],tblDaily[EntryDate],DATE(2026,6,29),tblDaily[WardCode],"BF")=0,"",SUMIFS(tblDaily[Remaining],tblDaily[EntryDate],DATE(2026,6,29),tblDaily[WardCode],"BF")),"")</f>
        <v/>
      </c>
    </row>
    <row r="231">
      <c r="A231" s="12" t="n">
        <v>30</v>
      </c>
      <c r="B231" s="12">
        <f>IFERROR(IF(SUMIFS(tblDaily[Admissions],tblDaily[EntryDate],DATE(2026,6,30),tblDaily[WardCode],"BF")=0,"",SUMIFS(tblDaily[Admissions],tblDaily[EntryDate],DATE(2026,6,30),tblDaily[WardCode],"BF")),"")</f>
        <v/>
      </c>
      <c r="C231" s="12">
        <f>IFERROR(IF(SUMIFS(tblDaily[Discharges],tblDaily[EntryDate],DATE(2026,6,30),tblDaily[WardCode],"BF")=0,"",SUMIFS(tblDaily[Discharges],tblDaily[EntryDate],DATE(2026,6,30),tblDaily[WardCode],"BF")),"")</f>
        <v/>
      </c>
      <c r="D231" s="12">
        <f>IFERROR(IF(SUMIFS(tblDaily[Deaths],tblDaily[EntryDate],DATE(2026,6,30),tblDaily[WardCode],"BF")=0,"",SUMIFS(tblDaily[Deaths],tblDaily[EntryDate],DATE(2026,6,30),tblDaily[WardCode],"BF")),"")</f>
        <v/>
      </c>
      <c r="E231" s="12">
        <f>IFERROR(IF(SUMIFS(tblDaily[DeathsUnder24Hrs],tblDaily[EntryDate],DATE(2026,6,30),tblDaily[WardCode],"BF")=0,"",SUMIFS(tblDaily[DeathsUnder24Hrs],tblDaily[EntryDate],DATE(2026,6,30),tblDaily[WardCode],"BF")),"")</f>
        <v/>
      </c>
      <c r="F231" s="12">
        <f>IFERROR(IF(SUMIFS(tblDaily[TransfersIn],tblDaily[EntryDate],DATE(2026,6,30),tblDaily[WardCode],"BF")=0,"",SUMIFS(tblDaily[TransfersIn],tblDaily[EntryDate],DATE(2026,6,30),tblDaily[WardCode],"BF")),"")</f>
        <v/>
      </c>
      <c r="G231" s="12">
        <f>IFERROR(IF(SUMIFS(tblDaily[TransfersOut],tblDaily[EntryDate],DATE(2026,6,30),tblDaily[WardCode],"BF")=0,"",SUMIFS(tblDaily[TransfersOut],tblDaily[EntryDate],DATE(2026,6,30),tblDaily[WardCode],"BF")),"")</f>
        <v/>
      </c>
      <c r="H231" s="12">
        <f>IFERROR(IF(SUMIFS(tblDaily[Remaining],tblDaily[EntryDate],DATE(2026,6,30),tblDaily[WardCode],"BF")=0,"",SUMIFS(tblDaily[Remaining],tblDaily[EntryDate],DATE(2026,6,30),tblDaily[WardCode],"BF")),"")</f>
        <v/>
      </c>
    </row>
    <row r="232">
      <c r="A232" s="12" t="n">
        <v>31</v>
      </c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7" t="inlineStr">
        <is>
          <t>TOTAL</t>
        </is>
      </c>
      <c r="B233" s="17">
        <f>SUMIFS(tblDaily[Admissions],tblDaily[Month],6,tblDaily[WardCode],"BF") - SUMIFS(tblDaily[DeathsUnder24Hrs],tblDaily[Month],6,tblDaily[WardCode],"BF")</f>
        <v/>
      </c>
      <c r="C233" s="17">
        <f>SUMIFS(tblDaily[Discharges],tblDaily[Month],6,tblDaily[WardCode],"BF")</f>
        <v/>
      </c>
      <c r="D233" s="17">
        <f>SUMIFS(tblDaily[Deaths],tblDaily[Month],6,tblDaily[WardCode],"BF")</f>
        <v/>
      </c>
      <c r="E233" s="17">
        <f>SUMIFS(tblDaily[DeathsUnder24Hrs],tblDaily[Month],6,tblDaily[WardCode],"BF")</f>
        <v/>
      </c>
      <c r="F233" s="17">
        <f>SUMIFS(tblDaily[TransfersIn],tblDaily[Month],6,tblDaily[WardCode],"BF")</f>
        <v/>
      </c>
      <c r="G233" s="17">
        <f>SUMIFS(tblDaily[TransfersOut],tblDaily[Month],6,tblDaily[WardCode],"BF")</f>
        <v/>
      </c>
      <c r="H233" s="17">
        <f>SUMIFS(tblDaily[Remaining],tblDaily[Month],6,tblDaily[WardCode],"BF")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BLOCK F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4">
        <f>IFERROR(SUMIFS(tblDaily[Remaining],tblDaily[EntryDate],DATE(2026,6,30),tblDaily[WardCode],"BF"),0)</f>
        <v/>
      </c>
    </row>
    <row r="239">
      <c r="A239" s="4" t="inlineStr">
        <is>
          <t>Bed complement</t>
        </is>
      </c>
      <c r="H239" s="15">
        <f>IFERROR(INDEX(tblWardConfig[BedComplement],MATCH("BF",tblWardConfig[WardCode],0)),0)</f>
        <v/>
      </c>
    </row>
    <row r="240">
      <c r="A240" s="16" t="inlineStr">
        <is>
          <t>Day of
the
Month</t>
        </is>
      </c>
      <c r="B240" s="16" t="inlineStr">
        <is>
          <t>Admissions</t>
        </is>
      </c>
      <c r="C240" s="16" t="inlineStr">
        <is>
          <t>Discharges</t>
        </is>
      </c>
      <c r="D240" s="16" t="inlineStr">
        <is>
          <t>Deaths</t>
        </is>
      </c>
      <c r="E240" s="16" t="inlineStr">
        <is>
          <t>Deaths
&lt;24Hrs</t>
        </is>
      </c>
      <c r="F240" s="16" t="inlineStr">
        <is>
          <t>Transfers-
In</t>
        </is>
      </c>
      <c r="G240" s="16" t="inlineStr">
        <is>
          <t>Transfers-
Out</t>
        </is>
      </c>
      <c r="H240" s="16" t="inlineStr">
        <is>
          <t>No. of Patients
Remaining In
Ward</t>
        </is>
      </c>
    </row>
    <row r="241">
      <c r="A241" s="12" t="n">
        <v>1</v>
      </c>
      <c r="B241" s="12">
        <f>IFERROR(IF(SUMIFS(tblDaily[Admissions],tblDaily[EntryDate],DATE(2026,7,1),tblDaily[WardCode],"BF")=0,"",SUMIFS(tblDaily[Admissions],tblDaily[EntryDate],DATE(2026,7,1),tblDaily[WardCode],"BF")),"")</f>
        <v/>
      </c>
      <c r="C241" s="12">
        <f>IFERROR(IF(SUMIFS(tblDaily[Discharges],tblDaily[EntryDate],DATE(2026,7,1),tblDaily[WardCode],"BF")=0,"",SUMIFS(tblDaily[Discharges],tblDaily[EntryDate],DATE(2026,7,1),tblDaily[WardCode],"BF")),"")</f>
        <v/>
      </c>
      <c r="D241" s="12">
        <f>IFERROR(IF(SUMIFS(tblDaily[Deaths],tblDaily[EntryDate],DATE(2026,7,1),tblDaily[WardCode],"BF")=0,"",SUMIFS(tblDaily[Deaths],tblDaily[EntryDate],DATE(2026,7,1),tblDaily[WardCode],"BF")),"")</f>
        <v/>
      </c>
      <c r="E241" s="12">
        <f>IFERROR(IF(SUMIFS(tblDaily[DeathsUnder24Hrs],tblDaily[EntryDate],DATE(2026,7,1),tblDaily[WardCode],"BF")=0,"",SUMIFS(tblDaily[DeathsUnder24Hrs],tblDaily[EntryDate],DATE(2026,7,1),tblDaily[WardCode],"BF")),"")</f>
        <v/>
      </c>
      <c r="F241" s="12">
        <f>IFERROR(IF(SUMIFS(tblDaily[TransfersIn],tblDaily[EntryDate],DATE(2026,7,1),tblDaily[WardCode],"BF")=0,"",SUMIFS(tblDaily[TransfersIn],tblDaily[EntryDate],DATE(2026,7,1),tblDaily[WardCode],"BF")),"")</f>
        <v/>
      </c>
      <c r="G241" s="12">
        <f>IFERROR(IF(SUMIFS(tblDaily[TransfersOut],tblDaily[EntryDate],DATE(2026,7,1),tblDaily[WardCode],"BF")=0,"",SUMIFS(tblDaily[TransfersOut],tblDaily[EntryDate],DATE(2026,7,1),tblDaily[WardCode],"BF")),"")</f>
        <v/>
      </c>
      <c r="H241" s="12">
        <f>IFERROR(IF(SUMIFS(tblDaily[Remaining],tblDaily[EntryDate],DATE(2026,7,1),tblDaily[WardCode],"BF")=0,"",SUMIFS(tblDaily[Remaining],tblDaily[EntryDate],DATE(2026,7,1),tblDaily[WardCode],"BF")),"")</f>
        <v/>
      </c>
    </row>
    <row r="242">
      <c r="A242" s="12" t="n">
        <v>2</v>
      </c>
      <c r="B242" s="12">
        <f>IFERROR(IF(SUMIFS(tblDaily[Admissions],tblDaily[EntryDate],DATE(2026,7,2),tblDaily[WardCode],"BF")=0,"",SUMIFS(tblDaily[Admissions],tblDaily[EntryDate],DATE(2026,7,2),tblDaily[WardCode],"BF")),"")</f>
        <v/>
      </c>
      <c r="C242" s="12">
        <f>IFERROR(IF(SUMIFS(tblDaily[Discharges],tblDaily[EntryDate],DATE(2026,7,2),tblDaily[WardCode],"BF")=0,"",SUMIFS(tblDaily[Discharges],tblDaily[EntryDate],DATE(2026,7,2),tblDaily[WardCode],"BF")),"")</f>
        <v/>
      </c>
      <c r="D242" s="12">
        <f>IFERROR(IF(SUMIFS(tblDaily[Deaths],tblDaily[EntryDate],DATE(2026,7,2),tblDaily[WardCode],"BF")=0,"",SUMIFS(tblDaily[Deaths],tblDaily[EntryDate],DATE(2026,7,2),tblDaily[WardCode],"BF")),"")</f>
        <v/>
      </c>
      <c r="E242" s="12">
        <f>IFERROR(IF(SUMIFS(tblDaily[DeathsUnder24Hrs],tblDaily[EntryDate],DATE(2026,7,2),tblDaily[WardCode],"BF")=0,"",SUMIFS(tblDaily[DeathsUnder24Hrs],tblDaily[EntryDate],DATE(2026,7,2),tblDaily[WardCode],"BF")),"")</f>
        <v/>
      </c>
      <c r="F242" s="12">
        <f>IFERROR(IF(SUMIFS(tblDaily[TransfersIn],tblDaily[EntryDate],DATE(2026,7,2),tblDaily[WardCode],"BF")=0,"",SUMIFS(tblDaily[TransfersIn],tblDaily[EntryDate],DATE(2026,7,2),tblDaily[WardCode],"BF")),"")</f>
        <v/>
      </c>
      <c r="G242" s="12">
        <f>IFERROR(IF(SUMIFS(tblDaily[TransfersOut],tblDaily[EntryDate],DATE(2026,7,2),tblDaily[WardCode],"BF")=0,"",SUMIFS(tblDaily[TransfersOut],tblDaily[EntryDate],DATE(2026,7,2),tblDaily[WardCode],"BF")),"")</f>
        <v/>
      </c>
      <c r="H242" s="12">
        <f>IFERROR(IF(SUMIFS(tblDaily[Remaining],tblDaily[EntryDate],DATE(2026,7,2),tblDaily[WardCode],"BF")=0,"",SUMIFS(tblDaily[Remaining],tblDaily[EntryDate],DATE(2026,7,2),tblDaily[WardCode],"BF")),"")</f>
        <v/>
      </c>
    </row>
    <row r="243">
      <c r="A243" s="12" t="n">
        <v>3</v>
      </c>
      <c r="B243" s="12">
        <f>IFERROR(IF(SUMIFS(tblDaily[Admissions],tblDaily[EntryDate],DATE(2026,7,3),tblDaily[WardCode],"BF")=0,"",SUMIFS(tblDaily[Admissions],tblDaily[EntryDate],DATE(2026,7,3),tblDaily[WardCode],"BF")),"")</f>
        <v/>
      </c>
      <c r="C243" s="12">
        <f>IFERROR(IF(SUMIFS(tblDaily[Discharges],tblDaily[EntryDate],DATE(2026,7,3),tblDaily[WardCode],"BF")=0,"",SUMIFS(tblDaily[Discharges],tblDaily[EntryDate],DATE(2026,7,3),tblDaily[WardCode],"BF")),"")</f>
        <v/>
      </c>
      <c r="D243" s="12">
        <f>IFERROR(IF(SUMIFS(tblDaily[Deaths],tblDaily[EntryDate],DATE(2026,7,3),tblDaily[WardCode],"BF")=0,"",SUMIFS(tblDaily[Deaths],tblDaily[EntryDate],DATE(2026,7,3),tblDaily[WardCode],"BF")),"")</f>
        <v/>
      </c>
      <c r="E243" s="12">
        <f>IFERROR(IF(SUMIFS(tblDaily[DeathsUnder24Hrs],tblDaily[EntryDate],DATE(2026,7,3),tblDaily[WardCode],"BF")=0,"",SUMIFS(tblDaily[DeathsUnder24Hrs],tblDaily[EntryDate],DATE(2026,7,3),tblDaily[WardCode],"BF")),"")</f>
        <v/>
      </c>
      <c r="F243" s="12">
        <f>IFERROR(IF(SUMIFS(tblDaily[TransfersIn],tblDaily[EntryDate],DATE(2026,7,3),tblDaily[WardCode],"BF")=0,"",SUMIFS(tblDaily[TransfersIn],tblDaily[EntryDate],DATE(2026,7,3),tblDaily[WardCode],"BF")),"")</f>
        <v/>
      </c>
      <c r="G243" s="12">
        <f>IFERROR(IF(SUMIFS(tblDaily[TransfersOut],tblDaily[EntryDate],DATE(2026,7,3),tblDaily[WardCode],"BF")=0,"",SUMIFS(tblDaily[TransfersOut],tblDaily[EntryDate],DATE(2026,7,3),tblDaily[WardCode],"BF")),"")</f>
        <v/>
      </c>
      <c r="H243" s="12">
        <f>IFERROR(IF(SUMIFS(tblDaily[Remaining],tblDaily[EntryDate],DATE(2026,7,3),tblDaily[WardCode],"BF")=0,"",SUMIFS(tblDaily[Remaining],tblDaily[EntryDate],DATE(2026,7,3),tblDaily[WardCode],"BF")),"")</f>
        <v/>
      </c>
    </row>
    <row r="244">
      <c r="A244" s="12" t="n">
        <v>4</v>
      </c>
      <c r="B244" s="12">
        <f>IFERROR(IF(SUMIFS(tblDaily[Admissions],tblDaily[EntryDate],DATE(2026,7,4),tblDaily[WardCode],"BF")=0,"",SUMIFS(tblDaily[Admissions],tblDaily[EntryDate],DATE(2026,7,4),tblDaily[WardCode],"BF")),"")</f>
        <v/>
      </c>
      <c r="C244" s="12">
        <f>IFERROR(IF(SUMIFS(tblDaily[Discharges],tblDaily[EntryDate],DATE(2026,7,4),tblDaily[WardCode],"BF")=0,"",SUMIFS(tblDaily[Discharges],tblDaily[EntryDate],DATE(2026,7,4),tblDaily[WardCode],"BF")),"")</f>
        <v/>
      </c>
      <c r="D244" s="12">
        <f>IFERROR(IF(SUMIFS(tblDaily[Deaths],tblDaily[EntryDate],DATE(2026,7,4),tblDaily[WardCode],"BF")=0,"",SUMIFS(tblDaily[Deaths],tblDaily[EntryDate],DATE(2026,7,4),tblDaily[WardCode],"BF")),"")</f>
        <v/>
      </c>
      <c r="E244" s="12">
        <f>IFERROR(IF(SUMIFS(tblDaily[DeathsUnder24Hrs],tblDaily[EntryDate],DATE(2026,7,4),tblDaily[WardCode],"BF")=0,"",SUMIFS(tblDaily[DeathsUnder24Hrs],tblDaily[EntryDate],DATE(2026,7,4),tblDaily[WardCode],"BF")),"")</f>
        <v/>
      </c>
      <c r="F244" s="12">
        <f>IFERROR(IF(SUMIFS(tblDaily[TransfersIn],tblDaily[EntryDate],DATE(2026,7,4),tblDaily[WardCode],"BF")=0,"",SUMIFS(tblDaily[TransfersIn],tblDaily[EntryDate],DATE(2026,7,4),tblDaily[WardCode],"BF")),"")</f>
        <v/>
      </c>
      <c r="G244" s="12">
        <f>IFERROR(IF(SUMIFS(tblDaily[TransfersOut],tblDaily[EntryDate],DATE(2026,7,4),tblDaily[WardCode],"BF")=0,"",SUMIFS(tblDaily[TransfersOut],tblDaily[EntryDate],DATE(2026,7,4),tblDaily[WardCode],"BF")),"")</f>
        <v/>
      </c>
      <c r="H244" s="12">
        <f>IFERROR(IF(SUMIFS(tblDaily[Remaining],tblDaily[EntryDate],DATE(2026,7,4),tblDaily[WardCode],"BF")=0,"",SUMIFS(tblDaily[Remaining],tblDaily[EntryDate],DATE(2026,7,4),tblDaily[WardCode],"BF")),"")</f>
        <v/>
      </c>
    </row>
    <row r="245">
      <c r="A245" s="12" t="n">
        <v>5</v>
      </c>
      <c r="B245" s="12">
        <f>IFERROR(IF(SUMIFS(tblDaily[Admissions],tblDaily[EntryDate],DATE(2026,7,5),tblDaily[WardCode],"BF")=0,"",SUMIFS(tblDaily[Admissions],tblDaily[EntryDate],DATE(2026,7,5),tblDaily[WardCode],"BF")),"")</f>
        <v/>
      </c>
      <c r="C245" s="12">
        <f>IFERROR(IF(SUMIFS(tblDaily[Discharges],tblDaily[EntryDate],DATE(2026,7,5),tblDaily[WardCode],"BF")=0,"",SUMIFS(tblDaily[Discharges],tblDaily[EntryDate],DATE(2026,7,5),tblDaily[WardCode],"BF")),"")</f>
        <v/>
      </c>
      <c r="D245" s="12">
        <f>IFERROR(IF(SUMIFS(tblDaily[Deaths],tblDaily[EntryDate],DATE(2026,7,5),tblDaily[WardCode],"BF")=0,"",SUMIFS(tblDaily[Deaths],tblDaily[EntryDate],DATE(2026,7,5),tblDaily[WardCode],"BF")),"")</f>
        <v/>
      </c>
      <c r="E245" s="12">
        <f>IFERROR(IF(SUMIFS(tblDaily[DeathsUnder24Hrs],tblDaily[EntryDate],DATE(2026,7,5),tblDaily[WardCode],"BF")=0,"",SUMIFS(tblDaily[DeathsUnder24Hrs],tblDaily[EntryDate],DATE(2026,7,5),tblDaily[WardCode],"BF")),"")</f>
        <v/>
      </c>
      <c r="F245" s="12">
        <f>IFERROR(IF(SUMIFS(tblDaily[TransfersIn],tblDaily[EntryDate],DATE(2026,7,5),tblDaily[WardCode],"BF")=0,"",SUMIFS(tblDaily[TransfersIn],tblDaily[EntryDate],DATE(2026,7,5),tblDaily[WardCode],"BF")),"")</f>
        <v/>
      </c>
      <c r="G245" s="12">
        <f>IFERROR(IF(SUMIFS(tblDaily[TransfersOut],tblDaily[EntryDate],DATE(2026,7,5),tblDaily[WardCode],"BF")=0,"",SUMIFS(tblDaily[TransfersOut],tblDaily[EntryDate],DATE(2026,7,5),tblDaily[WardCode],"BF")),"")</f>
        <v/>
      </c>
      <c r="H245" s="12">
        <f>IFERROR(IF(SUMIFS(tblDaily[Remaining],tblDaily[EntryDate],DATE(2026,7,5),tblDaily[WardCode],"BF")=0,"",SUMIFS(tblDaily[Remaining],tblDaily[EntryDate],DATE(2026,7,5),tblDaily[WardCode],"BF")),"")</f>
        <v/>
      </c>
    </row>
    <row r="246">
      <c r="A246" s="12" t="n">
        <v>6</v>
      </c>
      <c r="B246" s="12">
        <f>IFERROR(IF(SUMIFS(tblDaily[Admissions],tblDaily[EntryDate],DATE(2026,7,6),tblDaily[WardCode],"BF")=0,"",SUMIFS(tblDaily[Admissions],tblDaily[EntryDate],DATE(2026,7,6),tblDaily[WardCode],"BF")),"")</f>
        <v/>
      </c>
      <c r="C246" s="12">
        <f>IFERROR(IF(SUMIFS(tblDaily[Discharges],tblDaily[EntryDate],DATE(2026,7,6),tblDaily[WardCode],"BF")=0,"",SUMIFS(tblDaily[Discharges],tblDaily[EntryDate],DATE(2026,7,6),tblDaily[WardCode],"BF")),"")</f>
        <v/>
      </c>
      <c r="D246" s="12">
        <f>IFERROR(IF(SUMIFS(tblDaily[Deaths],tblDaily[EntryDate],DATE(2026,7,6),tblDaily[WardCode],"BF")=0,"",SUMIFS(tblDaily[Deaths],tblDaily[EntryDate],DATE(2026,7,6),tblDaily[WardCode],"BF")),"")</f>
        <v/>
      </c>
      <c r="E246" s="12">
        <f>IFERROR(IF(SUMIFS(tblDaily[DeathsUnder24Hrs],tblDaily[EntryDate],DATE(2026,7,6),tblDaily[WardCode],"BF")=0,"",SUMIFS(tblDaily[DeathsUnder24Hrs],tblDaily[EntryDate],DATE(2026,7,6),tblDaily[WardCode],"BF")),"")</f>
        <v/>
      </c>
      <c r="F246" s="12">
        <f>IFERROR(IF(SUMIFS(tblDaily[TransfersIn],tblDaily[EntryDate],DATE(2026,7,6),tblDaily[WardCode],"BF")=0,"",SUMIFS(tblDaily[TransfersIn],tblDaily[EntryDate],DATE(2026,7,6),tblDaily[WardCode],"BF")),"")</f>
        <v/>
      </c>
      <c r="G246" s="12">
        <f>IFERROR(IF(SUMIFS(tblDaily[TransfersOut],tblDaily[EntryDate],DATE(2026,7,6),tblDaily[WardCode],"BF")=0,"",SUMIFS(tblDaily[TransfersOut],tblDaily[EntryDate],DATE(2026,7,6),tblDaily[WardCode],"BF")),"")</f>
        <v/>
      </c>
      <c r="H246" s="12">
        <f>IFERROR(IF(SUMIFS(tblDaily[Remaining],tblDaily[EntryDate],DATE(2026,7,6),tblDaily[WardCode],"BF")=0,"",SUMIFS(tblDaily[Remaining],tblDaily[EntryDate],DATE(2026,7,6),tblDaily[WardCode],"BF")),"")</f>
        <v/>
      </c>
    </row>
    <row r="247">
      <c r="A247" s="12" t="n">
        <v>7</v>
      </c>
      <c r="B247" s="12">
        <f>IFERROR(IF(SUMIFS(tblDaily[Admissions],tblDaily[EntryDate],DATE(2026,7,7),tblDaily[WardCode],"BF")=0,"",SUMIFS(tblDaily[Admissions],tblDaily[EntryDate],DATE(2026,7,7),tblDaily[WardCode],"BF")),"")</f>
        <v/>
      </c>
      <c r="C247" s="12">
        <f>IFERROR(IF(SUMIFS(tblDaily[Discharges],tblDaily[EntryDate],DATE(2026,7,7),tblDaily[WardCode],"BF")=0,"",SUMIFS(tblDaily[Discharges],tblDaily[EntryDate],DATE(2026,7,7),tblDaily[WardCode],"BF")),"")</f>
        <v/>
      </c>
      <c r="D247" s="12">
        <f>IFERROR(IF(SUMIFS(tblDaily[Deaths],tblDaily[EntryDate],DATE(2026,7,7),tblDaily[WardCode],"BF")=0,"",SUMIFS(tblDaily[Deaths],tblDaily[EntryDate],DATE(2026,7,7),tblDaily[WardCode],"BF")),"")</f>
        <v/>
      </c>
      <c r="E247" s="12">
        <f>IFERROR(IF(SUMIFS(tblDaily[DeathsUnder24Hrs],tblDaily[EntryDate],DATE(2026,7,7),tblDaily[WardCode],"BF")=0,"",SUMIFS(tblDaily[DeathsUnder24Hrs],tblDaily[EntryDate],DATE(2026,7,7),tblDaily[WardCode],"BF")),"")</f>
        <v/>
      </c>
      <c r="F247" s="12">
        <f>IFERROR(IF(SUMIFS(tblDaily[TransfersIn],tblDaily[EntryDate],DATE(2026,7,7),tblDaily[WardCode],"BF")=0,"",SUMIFS(tblDaily[TransfersIn],tblDaily[EntryDate],DATE(2026,7,7),tblDaily[WardCode],"BF")),"")</f>
        <v/>
      </c>
      <c r="G247" s="12">
        <f>IFERROR(IF(SUMIFS(tblDaily[TransfersOut],tblDaily[EntryDate],DATE(2026,7,7),tblDaily[WardCode],"BF")=0,"",SUMIFS(tblDaily[TransfersOut],tblDaily[EntryDate],DATE(2026,7,7),tblDaily[WardCode],"BF")),"")</f>
        <v/>
      </c>
      <c r="H247" s="12">
        <f>IFERROR(IF(SUMIFS(tblDaily[Remaining],tblDaily[EntryDate],DATE(2026,7,7),tblDaily[WardCode],"BF")=0,"",SUMIFS(tblDaily[Remaining],tblDaily[EntryDate],DATE(2026,7,7),tblDaily[WardCode],"BF")),"")</f>
        <v/>
      </c>
    </row>
    <row r="248">
      <c r="A248" s="12" t="n">
        <v>8</v>
      </c>
      <c r="B248" s="12">
        <f>IFERROR(IF(SUMIFS(tblDaily[Admissions],tblDaily[EntryDate],DATE(2026,7,8),tblDaily[WardCode],"BF")=0,"",SUMIFS(tblDaily[Admissions],tblDaily[EntryDate],DATE(2026,7,8),tblDaily[WardCode],"BF")),"")</f>
        <v/>
      </c>
      <c r="C248" s="12">
        <f>IFERROR(IF(SUMIFS(tblDaily[Discharges],tblDaily[EntryDate],DATE(2026,7,8),tblDaily[WardCode],"BF")=0,"",SUMIFS(tblDaily[Discharges],tblDaily[EntryDate],DATE(2026,7,8),tblDaily[WardCode],"BF")),"")</f>
        <v/>
      </c>
      <c r="D248" s="12">
        <f>IFERROR(IF(SUMIFS(tblDaily[Deaths],tblDaily[EntryDate],DATE(2026,7,8),tblDaily[WardCode],"BF")=0,"",SUMIFS(tblDaily[Deaths],tblDaily[EntryDate],DATE(2026,7,8),tblDaily[WardCode],"BF")),"")</f>
        <v/>
      </c>
      <c r="E248" s="12">
        <f>IFERROR(IF(SUMIFS(tblDaily[DeathsUnder24Hrs],tblDaily[EntryDate],DATE(2026,7,8),tblDaily[WardCode],"BF")=0,"",SUMIFS(tblDaily[DeathsUnder24Hrs],tblDaily[EntryDate],DATE(2026,7,8),tblDaily[WardCode],"BF")),"")</f>
        <v/>
      </c>
      <c r="F248" s="12">
        <f>IFERROR(IF(SUMIFS(tblDaily[TransfersIn],tblDaily[EntryDate],DATE(2026,7,8),tblDaily[WardCode],"BF")=0,"",SUMIFS(tblDaily[TransfersIn],tblDaily[EntryDate],DATE(2026,7,8),tblDaily[WardCode],"BF")),"")</f>
        <v/>
      </c>
      <c r="G248" s="12">
        <f>IFERROR(IF(SUMIFS(tblDaily[TransfersOut],tblDaily[EntryDate],DATE(2026,7,8),tblDaily[WardCode],"BF")=0,"",SUMIFS(tblDaily[TransfersOut],tblDaily[EntryDate],DATE(2026,7,8),tblDaily[WardCode],"BF")),"")</f>
        <v/>
      </c>
      <c r="H248" s="12">
        <f>IFERROR(IF(SUMIFS(tblDaily[Remaining],tblDaily[EntryDate],DATE(2026,7,8),tblDaily[WardCode],"BF")=0,"",SUMIFS(tblDaily[Remaining],tblDaily[EntryDate],DATE(2026,7,8),tblDaily[WardCode],"BF")),"")</f>
        <v/>
      </c>
    </row>
    <row r="249">
      <c r="A249" s="12" t="n">
        <v>9</v>
      </c>
      <c r="B249" s="12">
        <f>IFERROR(IF(SUMIFS(tblDaily[Admissions],tblDaily[EntryDate],DATE(2026,7,9),tblDaily[WardCode],"BF")=0,"",SUMIFS(tblDaily[Admissions],tblDaily[EntryDate],DATE(2026,7,9),tblDaily[WardCode],"BF")),"")</f>
        <v/>
      </c>
      <c r="C249" s="12">
        <f>IFERROR(IF(SUMIFS(tblDaily[Discharges],tblDaily[EntryDate],DATE(2026,7,9),tblDaily[WardCode],"BF")=0,"",SUMIFS(tblDaily[Discharges],tblDaily[EntryDate],DATE(2026,7,9),tblDaily[WardCode],"BF")),"")</f>
        <v/>
      </c>
      <c r="D249" s="12">
        <f>IFERROR(IF(SUMIFS(tblDaily[Deaths],tblDaily[EntryDate],DATE(2026,7,9),tblDaily[WardCode],"BF")=0,"",SUMIFS(tblDaily[Deaths],tblDaily[EntryDate],DATE(2026,7,9),tblDaily[WardCode],"BF")),"")</f>
        <v/>
      </c>
      <c r="E249" s="12">
        <f>IFERROR(IF(SUMIFS(tblDaily[DeathsUnder24Hrs],tblDaily[EntryDate],DATE(2026,7,9),tblDaily[WardCode],"BF")=0,"",SUMIFS(tblDaily[DeathsUnder24Hrs],tblDaily[EntryDate],DATE(2026,7,9),tblDaily[WardCode],"BF")),"")</f>
        <v/>
      </c>
      <c r="F249" s="12">
        <f>IFERROR(IF(SUMIFS(tblDaily[TransfersIn],tblDaily[EntryDate],DATE(2026,7,9),tblDaily[WardCode],"BF")=0,"",SUMIFS(tblDaily[TransfersIn],tblDaily[EntryDate],DATE(2026,7,9),tblDaily[WardCode],"BF")),"")</f>
        <v/>
      </c>
      <c r="G249" s="12">
        <f>IFERROR(IF(SUMIFS(tblDaily[TransfersOut],tblDaily[EntryDate],DATE(2026,7,9),tblDaily[WardCode],"BF")=0,"",SUMIFS(tblDaily[TransfersOut],tblDaily[EntryDate],DATE(2026,7,9),tblDaily[WardCode],"BF")),"")</f>
        <v/>
      </c>
      <c r="H249" s="12">
        <f>IFERROR(IF(SUMIFS(tblDaily[Remaining],tblDaily[EntryDate],DATE(2026,7,9),tblDaily[WardCode],"BF")=0,"",SUMIFS(tblDaily[Remaining],tblDaily[EntryDate],DATE(2026,7,9),tblDaily[WardCode],"BF")),"")</f>
        <v/>
      </c>
    </row>
    <row r="250">
      <c r="A250" s="12" t="n">
        <v>10</v>
      </c>
      <c r="B250" s="12">
        <f>IFERROR(IF(SUMIFS(tblDaily[Admissions],tblDaily[EntryDate],DATE(2026,7,10),tblDaily[WardCode],"BF")=0,"",SUMIFS(tblDaily[Admissions],tblDaily[EntryDate],DATE(2026,7,10),tblDaily[WardCode],"BF")),"")</f>
        <v/>
      </c>
      <c r="C250" s="12">
        <f>IFERROR(IF(SUMIFS(tblDaily[Discharges],tblDaily[EntryDate],DATE(2026,7,10),tblDaily[WardCode],"BF")=0,"",SUMIFS(tblDaily[Discharges],tblDaily[EntryDate],DATE(2026,7,10),tblDaily[WardCode],"BF")),"")</f>
        <v/>
      </c>
      <c r="D250" s="12">
        <f>IFERROR(IF(SUMIFS(tblDaily[Deaths],tblDaily[EntryDate],DATE(2026,7,10),tblDaily[WardCode],"BF")=0,"",SUMIFS(tblDaily[Deaths],tblDaily[EntryDate],DATE(2026,7,10),tblDaily[WardCode],"BF")),"")</f>
        <v/>
      </c>
      <c r="E250" s="12">
        <f>IFERROR(IF(SUMIFS(tblDaily[DeathsUnder24Hrs],tblDaily[EntryDate],DATE(2026,7,10),tblDaily[WardCode],"BF")=0,"",SUMIFS(tblDaily[DeathsUnder24Hrs],tblDaily[EntryDate],DATE(2026,7,10),tblDaily[WardCode],"BF")),"")</f>
        <v/>
      </c>
      <c r="F250" s="12">
        <f>IFERROR(IF(SUMIFS(tblDaily[TransfersIn],tblDaily[EntryDate],DATE(2026,7,10),tblDaily[WardCode],"BF")=0,"",SUMIFS(tblDaily[TransfersIn],tblDaily[EntryDate],DATE(2026,7,10),tblDaily[WardCode],"BF")),"")</f>
        <v/>
      </c>
      <c r="G250" s="12">
        <f>IFERROR(IF(SUMIFS(tblDaily[TransfersOut],tblDaily[EntryDate],DATE(2026,7,10),tblDaily[WardCode],"BF")=0,"",SUMIFS(tblDaily[TransfersOut],tblDaily[EntryDate],DATE(2026,7,10),tblDaily[WardCode],"BF")),"")</f>
        <v/>
      </c>
      <c r="H250" s="12">
        <f>IFERROR(IF(SUMIFS(tblDaily[Remaining],tblDaily[EntryDate],DATE(2026,7,10),tblDaily[WardCode],"BF")=0,"",SUMIFS(tblDaily[Remaining],tblDaily[EntryDate],DATE(2026,7,10),tblDaily[WardCode],"BF")),"")</f>
        <v/>
      </c>
    </row>
    <row r="251">
      <c r="A251" s="12" t="n">
        <v>11</v>
      </c>
      <c r="B251" s="12">
        <f>IFERROR(IF(SUMIFS(tblDaily[Admissions],tblDaily[EntryDate],DATE(2026,7,11),tblDaily[WardCode],"BF")=0,"",SUMIFS(tblDaily[Admissions],tblDaily[EntryDate],DATE(2026,7,11),tblDaily[WardCode],"BF")),"")</f>
        <v/>
      </c>
      <c r="C251" s="12">
        <f>IFERROR(IF(SUMIFS(tblDaily[Discharges],tblDaily[EntryDate],DATE(2026,7,11),tblDaily[WardCode],"BF")=0,"",SUMIFS(tblDaily[Discharges],tblDaily[EntryDate],DATE(2026,7,11),tblDaily[WardCode],"BF")),"")</f>
        <v/>
      </c>
      <c r="D251" s="12">
        <f>IFERROR(IF(SUMIFS(tblDaily[Deaths],tblDaily[EntryDate],DATE(2026,7,11),tblDaily[WardCode],"BF")=0,"",SUMIFS(tblDaily[Deaths],tblDaily[EntryDate],DATE(2026,7,11),tblDaily[WardCode],"BF")),"")</f>
        <v/>
      </c>
      <c r="E251" s="12">
        <f>IFERROR(IF(SUMIFS(tblDaily[DeathsUnder24Hrs],tblDaily[EntryDate],DATE(2026,7,11),tblDaily[WardCode],"BF")=0,"",SUMIFS(tblDaily[DeathsUnder24Hrs],tblDaily[EntryDate],DATE(2026,7,11),tblDaily[WardCode],"BF")),"")</f>
        <v/>
      </c>
      <c r="F251" s="12">
        <f>IFERROR(IF(SUMIFS(tblDaily[TransfersIn],tblDaily[EntryDate],DATE(2026,7,11),tblDaily[WardCode],"BF")=0,"",SUMIFS(tblDaily[TransfersIn],tblDaily[EntryDate],DATE(2026,7,11),tblDaily[WardCode],"BF")),"")</f>
        <v/>
      </c>
      <c r="G251" s="12">
        <f>IFERROR(IF(SUMIFS(tblDaily[TransfersOut],tblDaily[EntryDate],DATE(2026,7,11),tblDaily[WardCode],"BF")=0,"",SUMIFS(tblDaily[TransfersOut],tblDaily[EntryDate],DATE(2026,7,11),tblDaily[WardCode],"BF")),"")</f>
        <v/>
      </c>
      <c r="H251" s="12">
        <f>IFERROR(IF(SUMIFS(tblDaily[Remaining],tblDaily[EntryDate],DATE(2026,7,11),tblDaily[WardCode],"BF")=0,"",SUMIFS(tblDaily[Remaining],tblDaily[EntryDate],DATE(2026,7,11),tblDaily[WardCode],"BF")),"")</f>
        <v/>
      </c>
    </row>
    <row r="252">
      <c r="A252" s="12" t="n">
        <v>12</v>
      </c>
      <c r="B252" s="12">
        <f>IFERROR(IF(SUMIFS(tblDaily[Admissions],tblDaily[EntryDate],DATE(2026,7,12),tblDaily[WardCode],"BF")=0,"",SUMIFS(tblDaily[Admissions],tblDaily[EntryDate],DATE(2026,7,12),tblDaily[WardCode],"BF")),"")</f>
        <v/>
      </c>
      <c r="C252" s="12">
        <f>IFERROR(IF(SUMIFS(tblDaily[Discharges],tblDaily[EntryDate],DATE(2026,7,12),tblDaily[WardCode],"BF")=0,"",SUMIFS(tblDaily[Discharges],tblDaily[EntryDate],DATE(2026,7,12),tblDaily[WardCode],"BF")),"")</f>
        <v/>
      </c>
      <c r="D252" s="12">
        <f>IFERROR(IF(SUMIFS(tblDaily[Deaths],tblDaily[EntryDate],DATE(2026,7,12),tblDaily[WardCode],"BF")=0,"",SUMIFS(tblDaily[Deaths],tblDaily[EntryDate],DATE(2026,7,12),tblDaily[WardCode],"BF")),"")</f>
        <v/>
      </c>
      <c r="E252" s="12">
        <f>IFERROR(IF(SUMIFS(tblDaily[DeathsUnder24Hrs],tblDaily[EntryDate],DATE(2026,7,12),tblDaily[WardCode],"BF")=0,"",SUMIFS(tblDaily[DeathsUnder24Hrs],tblDaily[EntryDate],DATE(2026,7,12),tblDaily[WardCode],"BF")),"")</f>
        <v/>
      </c>
      <c r="F252" s="12">
        <f>IFERROR(IF(SUMIFS(tblDaily[TransfersIn],tblDaily[EntryDate],DATE(2026,7,12),tblDaily[WardCode],"BF")=0,"",SUMIFS(tblDaily[TransfersIn],tblDaily[EntryDate],DATE(2026,7,12),tblDaily[WardCode],"BF")),"")</f>
        <v/>
      </c>
      <c r="G252" s="12">
        <f>IFERROR(IF(SUMIFS(tblDaily[TransfersOut],tblDaily[EntryDate],DATE(2026,7,12),tblDaily[WardCode],"BF")=0,"",SUMIFS(tblDaily[TransfersOut],tblDaily[EntryDate],DATE(2026,7,12),tblDaily[WardCode],"BF")),"")</f>
        <v/>
      </c>
      <c r="H252" s="12">
        <f>IFERROR(IF(SUMIFS(tblDaily[Remaining],tblDaily[EntryDate],DATE(2026,7,12),tblDaily[WardCode],"BF")=0,"",SUMIFS(tblDaily[Remaining],tblDaily[EntryDate],DATE(2026,7,12),tblDaily[WardCode],"BF")),"")</f>
        <v/>
      </c>
    </row>
    <row r="253">
      <c r="A253" s="12" t="n">
        <v>13</v>
      </c>
      <c r="B253" s="12">
        <f>IFERROR(IF(SUMIFS(tblDaily[Admissions],tblDaily[EntryDate],DATE(2026,7,13),tblDaily[WardCode],"BF")=0,"",SUMIFS(tblDaily[Admissions],tblDaily[EntryDate],DATE(2026,7,13),tblDaily[WardCode],"BF")),"")</f>
        <v/>
      </c>
      <c r="C253" s="12">
        <f>IFERROR(IF(SUMIFS(tblDaily[Discharges],tblDaily[EntryDate],DATE(2026,7,13),tblDaily[WardCode],"BF")=0,"",SUMIFS(tblDaily[Discharges],tblDaily[EntryDate],DATE(2026,7,13),tblDaily[WardCode],"BF")),"")</f>
        <v/>
      </c>
      <c r="D253" s="12">
        <f>IFERROR(IF(SUMIFS(tblDaily[Deaths],tblDaily[EntryDate],DATE(2026,7,13),tblDaily[WardCode],"BF")=0,"",SUMIFS(tblDaily[Deaths],tblDaily[EntryDate],DATE(2026,7,13),tblDaily[WardCode],"BF")),"")</f>
        <v/>
      </c>
      <c r="E253" s="12">
        <f>IFERROR(IF(SUMIFS(tblDaily[DeathsUnder24Hrs],tblDaily[EntryDate],DATE(2026,7,13),tblDaily[WardCode],"BF")=0,"",SUMIFS(tblDaily[DeathsUnder24Hrs],tblDaily[EntryDate],DATE(2026,7,13),tblDaily[WardCode],"BF")),"")</f>
        <v/>
      </c>
      <c r="F253" s="12">
        <f>IFERROR(IF(SUMIFS(tblDaily[TransfersIn],tblDaily[EntryDate],DATE(2026,7,13),tblDaily[WardCode],"BF")=0,"",SUMIFS(tblDaily[TransfersIn],tblDaily[EntryDate],DATE(2026,7,13),tblDaily[WardCode],"BF")),"")</f>
        <v/>
      </c>
      <c r="G253" s="12">
        <f>IFERROR(IF(SUMIFS(tblDaily[TransfersOut],tblDaily[EntryDate],DATE(2026,7,13),tblDaily[WardCode],"BF")=0,"",SUMIFS(tblDaily[TransfersOut],tblDaily[EntryDate],DATE(2026,7,13),tblDaily[WardCode],"BF")),"")</f>
        <v/>
      </c>
      <c r="H253" s="12">
        <f>IFERROR(IF(SUMIFS(tblDaily[Remaining],tblDaily[EntryDate],DATE(2026,7,13),tblDaily[WardCode],"BF")=0,"",SUMIFS(tblDaily[Remaining],tblDaily[EntryDate],DATE(2026,7,13),tblDaily[WardCode],"BF")),"")</f>
        <v/>
      </c>
    </row>
    <row r="254">
      <c r="A254" s="12" t="n">
        <v>14</v>
      </c>
      <c r="B254" s="12">
        <f>IFERROR(IF(SUMIFS(tblDaily[Admissions],tblDaily[EntryDate],DATE(2026,7,14),tblDaily[WardCode],"BF")=0,"",SUMIFS(tblDaily[Admissions],tblDaily[EntryDate],DATE(2026,7,14),tblDaily[WardCode],"BF")),"")</f>
        <v/>
      </c>
      <c r="C254" s="12">
        <f>IFERROR(IF(SUMIFS(tblDaily[Discharges],tblDaily[EntryDate],DATE(2026,7,14),tblDaily[WardCode],"BF")=0,"",SUMIFS(tblDaily[Discharges],tblDaily[EntryDate],DATE(2026,7,14),tblDaily[WardCode],"BF")),"")</f>
        <v/>
      </c>
      <c r="D254" s="12">
        <f>IFERROR(IF(SUMIFS(tblDaily[Deaths],tblDaily[EntryDate],DATE(2026,7,14),tblDaily[WardCode],"BF")=0,"",SUMIFS(tblDaily[Deaths],tblDaily[EntryDate],DATE(2026,7,14),tblDaily[WardCode],"BF")),"")</f>
        <v/>
      </c>
      <c r="E254" s="12">
        <f>IFERROR(IF(SUMIFS(tblDaily[DeathsUnder24Hrs],tblDaily[EntryDate],DATE(2026,7,14),tblDaily[WardCode],"BF")=0,"",SUMIFS(tblDaily[DeathsUnder24Hrs],tblDaily[EntryDate],DATE(2026,7,14),tblDaily[WardCode],"BF")),"")</f>
        <v/>
      </c>
      <c r="F254" s="12">
        <f>IFERROR(IF(SUMIFS(tblDaily[TransfersIn],tblDaily[EntryDate],DATE(2026,7,14),tblDaily[WardCode],"BF")=0,"",SUMIFS(tblDaily[TransfersIn],tblDaily[EntryDate],DATE(2026,7,14),tblDaily[WardCode],"BF")),"")</f>
        <v/>
      </c>
      <c r="G254" s="12">
        <f>IFERROR(IF(SUMIFS(tblDaily[TransfersOut],tblDaily[EntryDate],DATE(2026,7,14),tblDaily[WardCode],"BF")=0,"",SUMIFS(tblDaily[TransfersOut],tblDaily[EntryDate],DATE(2026,7,14),tblDaily[WardCode],"BF")),"")</f>
        <v/>
      </c>
      <c r="H254" s="12">
        <f>IFERROR(IF(SUMIFS(tblDaily[Remaining],tblDaily[EntryDate],DATE(2026,7,14),tblDaily[WardCode],"BF")=0,"",SUMIFS(tblDaily[Remaining],tblDaily[EntryDate],DATE(2026,7,14),tblDaily[WardCode],"BF")),"")</f>
        <v/>
      </c>
    </row>
    <row r="255">
      <c r="A255" s="12" t="n">
        <v>15</v>
      </c>
      <c r="B255" s="12">
        <f>IFERROR(IF(SUMIFS(tblDaily[Admissions],tblDaily[EntryDate],DATE(2026,7,15),tblDaily[WardCode],"BF")=0,"",SUMIFS(tblDaily[Admissions],tblDaily[EntryDate],DATE(2026,7,15),tblDaily[WardCode],"BF")),"")</f>
        <v/>
      </c>
      <c r="C255" s="12">
        <f>IFERROR(IF(SUMIFS(tblDaily[Discharges],tblDaily[EntryDate],DATE(2026,7,15),tblDaily[WardCode],"BF")=0,"",SUMIFS(tblDaily[Discharges],tblDaily[EntryDate],DATE(2026,7,15),tblDaily[WardCode],"BF")),"")</f>
        <v/>
      </c>
      <c r="D255" s="12">
        <f>IFERROR(IF(SUMIFS(tblDaily[Deaths],tblDaily[EntryDate],DATE(2026,7,15),tblDaily[WardCode],"BF")=0,"",SUMIFS(tblDaily[Deaths],tblDaily[EntryDate],DATE(2026,7,15),tblDaily[WardCode],"BF")),"")</f>
        <v/>
      </c>
      <c r="E255" s="12">
        <f>IFERROR(IF(SUMIFS(tblDaily[DeathsUnder24Hrs],tblDaily[EntryDate],DATE(2026,7,15),tblDaily[WardCode],"BF")=0,"",SUMIFS(tblDaily[DeathsUnder24Hrs],tblDaily[EntryDate],DATE(2026,7,15),tblDaily[WardCode],"BF")),"")</f>
        <v/>
      </c>
      <c r="F255" s="12">
        <f>IFERROR(IF(SUMIFS(tblDaily[TransfersIn],tblDaily[EntryDate],DATE(2026,7,15),tblDaily[WardCode],"BF")=0,"",SUMIFS(tblDaily[TransfersIn],tblDaily[EntryDate],DATE(2026,7,15),tblDaily[WardCode],"BF")),"")</f>
        <v/>
      </c>
      <c r="G255" s="12">
        <f>IFERROR(IF(SUMIFS(tblDaily[TransfersOut],tblDaily[EntryDate],DATE(2026,7,15),tblDaily[WardCode],"BF")=0,"",SUMIFS(tblDaily[TransfersOut],tblDaily[EntryDate],DATE(2026,7,15),tblDaily[WardCode],"BF")),"")</f>
        <v/>
      </c>
      <c r="H255" s="12">
        <f>IFERROR(IF(SUMIFS(tblDaily[Remaining],tblDaily[EntryDate],DATE(2026,7,15),tblDaily[WardCode],"BF")=0,"",SUMIFS(tblDaily[Remaining],tblDaily[EntryDate],DATE(2026,7,15),tblDaily[WardCode],"BF")),"")</f>
        <v/>
      </c>
    </row>
    <row r="256">
      <c r="A256" s="12" t="n">
        <v>16</v>
      </c>
      <c r="B256" s="12">
        <f>IFERROR(IF(SUMIFS(tblDaily[Admissions],tblDaily[EntryDate],DATE(2026,7,16),tblDaily[WardCode],"BF")=0,"",SUMIFS(tblDaily[Admissions],tblDaily[EntryDate],DATE(2026,7,16),tblDaily[WardCode],"BF")),"")</f>
        <v/>
      </c>
      <c r="C256" s="12">
        <f>IFERROR(IF(SUMIFS(tblDaily[Discharges],tblDaily[EntryDate],DATE(2026,7,16),tblDaily[WardCode],"BF")=0,"",SUMIFS(tblDaily[Discharges],tblDaily[EntryDate],DATE(2026,7,16),tblDaily[WardCode],"BF")),"")</f>
        <v/>
      </c>
      <c r="D256" s="12">
        <f>IFERROR(IF(SUMIFS(tblDaily[Deaths],tblDaily[EntryDate],DATE(2026,7,16),tblDaily[WardCode],"BF")=0,"",SUMIFS(tblDaily[Deaths],tblDaily[EntryDate],DATE(2026,7,16),tblDaily[WardCode],"BF")),"")</f>
        <v/>
      </c>
      <c r="E256" s="12">
        <f>IFERROR(IF(SUMIFS(tblDaily[DeathsUnder24Hrs],tblDaily[EntryDate],DATE(2026,7,16),tblDaily[WardCode],"BF")=0,"",SUMIFS(tblDaily[DeathsUnder24Hrs],tblDaily[EntryDate],DATE(2026,7,16),tblDaily[WardCode],"BF")),"")</f>
        <v/>
      </c>
      <c r="F256" s="12">
        <f>IFERROR(IF(SUMIFS(tblDaily[TransfersIn],tblDaily[EntryDate],DATE(2026,7,16),tblDaily[WardCode],"BF")=0,"",SUMIFS(tblDaily[TransfersIn],tblDaily[EntryDate],DATE(2026,7,16),tblDaily[WardCode],"BF")),"")</f>
        <v/>
      </c>
      <c r="G256" s="12">
        <f>IFERROR(IF(SUMIFS(tblDaily[TransfersOut],tblDaily[EntryDate],DATE(2026,7,16),tblDaily[WardCode],"BF")=0,"",SUMIFS(tblDaily[TransfersOut],tblDaily[EntryDate],DATE(2026,7,16),tblDaily[WardCode],"BF")),"")</f>
        <v/>
      </c>
      <c r="H256" s="12">
        <f>IFERROR(IF(SUMIFS(tblDaily[Remaining],tblDaily[EntryDate],DATE(2026,7,16),tblDaily[WardCode],"BF")=0,"",SUMIFS(tblDaily[Remaining],tblDaily[EntryDate],DATE(2026,7,16),tblDaily[WardCode],"BF")),"")</f>
        <v/>
      </c>
    </row>
    <row r="257">
      <c r="A257" s="12" t="n">
        <v>17</v>
      </c>
      <c r="B257" s="12">
        <f>IFERROR(IF(SUMIFS(tblDaily[Admissions],tblDaily[EntryDate],DATE(2026,7,17),tblDaily[WardCode],"BF")=0,"",SUMIFS(tblDaily[Admissions],tblDaily[EntryDate],DATE(2026,7,17),tblDaily[WardCode],"BF")),"")</f>
        <v/>
      </c>
      <c r="C257" s="12">
        <f>IFERROR(IF(SUMIFS(tblDaily[Discharges],tblDaily[EntryDate],DATE(2026,7,17),tblDaily[WardCode],"BF")=0,"",SUMIFS(tblDaily[Discharges],tblDaily[EntryDate],DATE(2026,7,17),tblDaily[WardCode],"BF")),"")</f>
        <v/>
      </c>
      <c r="D257" s="12">
        <f>IFERROR(IF(SUMIFS(tblDaily[Deaths],tblDaily[EntryDate],DATE(2026,7,17),tblDaily[WardCode],"BF")=0,"",SUMIFS(tblDaily[Deaths],tblDaily[EntryDate],DATE(2026,7,17),tblDaily[WardCode],"BF")),"")</f>
        <v/>
      </c>
      <c r="E257" s="12">
        <f>IFERROR(IF(SUMIFS(tblDaily[DeathsUnder24Hrs],tblDaily[EntryDate],DATE(2026,7,17),tblDaily[WardCode],"BF")=0,"",SUMIFS(tblDaily[DeathsUnder24Hrs],tblDaily[EntryDate],DATE(2026,7,17),tblDaily[WardCode],"BF")),"")</f>
        <v/>
      </c>
      <c r="F257" s="12">
        <f>IFERROR(IF(SUMIFS(tblDaily[TransfersIn],tblDaily[EntryDate],DATE(2026,7,17),tblDaily[WardCode],"BF")=0,"",SUMIFS(tblDaily[TransfersIn],tblDaily[EntryDate],DATE(2026,7,17),tblDaily[WardCode],"BF")),"")</f>
        <v/>
      </c>
      <c r="G257" s="12">
        <f>IFERROR(IF(SUMIFS(tblDaily[TransfersOut],tblDaily[EntryDate],DATE(2026,7,17),tblDaily[WardCode],"BF")=0,"",SUMIFS(tblDaily[TransfersOut],tblDaily[EntryDate],DATE(2026,7,17),tblDaily[WardCode],"BF")),"")</f>
        <v/>
      </c>
      <c r="H257" s="12">
        <f>IFERROR(IF(SUMIFS(tblDaily[Remaining],tblDaily[EntryDate],DATE(2026,7,17),tblDaily[WardCode],"BF")=0,"",SUMIFS(tblDaily[Remaining],tblDaily[EntryDate],DATE(2026,7,17),tblDaily[WardCode],"BF")),"")</f>
        <v/>
      </c>
    </row>
    <row r="258">
      <c r="A258" s="12" t="n">
        <v>18</v>
      </c>
      <c r="B258" s="12">
        <f>IFERROR(IF(SUMIFS(tblDaily[Admissions],tblDaily[EntryDate],DATE(2026,7,18),tblDaily[WardCode],"BF")=0,"",SUMIFS(tblDaily[Admissions],tblDaily[EntryDate],DATE(2026,7,18),tblDaily[WardCode],"BF")),"")</f>
        <v/>
      </c>
      <c r="C258" s="12">
        <f>IFERROR(IF(SUMIFS(tblDaily[Discharges],tblDaily[EntryDate],DATE(2026,7,18),tblDaily[WardCode],"BF")=0,"",SUMIFS(tblDaily[Discharges],tblDaily[EntryDate],DATE(2026,7,18),tblDaily[WardCode],"BF")),"")</f>
        <v/>
      </c>
      <c r="D258" s="12">
        <f>IFERROR(IF(SUMIFS(tblDaily[Deaths],tblDaily[EntryDate],DATE(2026,7,18),tblDaily[WardCode],"BF")=0,"",SUMIFS(tblDaily[Deaths],tblDaily[EntryDate],DATE(2026,7,18),tblDaily[WardCode],"BF")),"")</f>
        <v/>
      </c>
      <c r="E258" s="12">
        <f>IFERROR(IF(SUMIFS(tblDaily[DeathsUnder24Hrs],tblDaily[EntryDate],DATE(2026,7,18),tblDaily[WardCode],"BF")=0,"",SUMIFS(tblDaily[DeathsUnder24Hrs],tblDaily[EntryDate],DATE(2026,7,18),tblDaily[WardCode],"BF")),"")</f>
        <v/>
      </c>
      <c r="F258" s="12">
        <f>IFERROR(IF(SUMIFS(tblDaily[TransfersIn],tblDaily[EntryDate],DATE(2026,7,18),tblDaily[WardCode],"BF")=0,"",SUMIFS(tblDaily[TransfersIn],tblDaily[EntryDate],DATE(2026,7,18),tblDaily[WardCode],"BF")),"")</f>
        <v/>
      </c>
      <c r="G258" s="12">
        <f>IFERROR(IF(SUMIFS(tblDaily[TransfersOut],tblDaily[EntryDate],DATE(2026,7,18),tblDaily[WardCode],"BF")=0,"",SUMIFS(tblDaily[TransfersOut],tblDaily[EntryDate],DATE(2026,7,18),tblDaily[WardCode],"BF")),"")</f>
        <v/>
      </c>
      <c r="H258" s="12">
        <f>IFERROR(IF(SUMIFS(tblDaily[Remaining],tblDaily[EntryDate],DATE(2026,7,18),tblDaily[WardCode],"BF")=0,"",SUMIFS(tblDaily[Remaining],tblDaily[EntryDate],DATE(2026,7,18),tblDaily[WardCode],"BF")),"")</f>
        <v/>
      </c>
    </row>
    <row r="259">
      <c r="A259" s="12" t="n">
        <v>19</v>
      </c>
      <c r="B259" s="12">
        <f>IFERROR(IF(SUMIFS(tblDaily[Admissions],tblDaily[EntryDate],DATE(2026,7,19),tblDaily[WardCode],"BF")=0,"",SUMIFS(tblDaily[Admissions],tblDaily[EntryDate],DATE(2026,7,19),tblDaily[WardCode],"BF")),"")</f>
        <v/>
      </c>
      <c r="C259" s="12">
        <f>IFERROR(IF(SUMIFS(tblDaily[Discharges],tblDaily[EntryDate],DATE(2026,7,19),tblDaily[WardCode],"BF")=0,"",SUMIFS(tblDaily[Discharges],tblDaily[EntryDate],DATE(2026,7,19),tblDaily[WardCode],"BF")),"")</f>
        <v/>
      </c>
      <c r="D259" s="12">
        <f>IFERROR(IF(SUMIFS(tblDaily[Deaths],tblDaily[EntryDate],DATE(2026,7,19),tblDaily[WardCode],"BF")=0,"",SUMIFS(tblDaily[Deaths],tblDaily[EntryDate],DATE(2026,7,19),tblDaily[WardCode],"BF")),"")</f>
        <v/>
      </c>
      <c r="E259" s="12">
        <f>IFERROR(IF(SUMIFS(tblDaily[DeathsUnder24Hrs],tblDaily[EntryDate],DATE(2026,7,19),tblDaily[WardCode],"BF")=0,"",SUMIFS(tblDaily[DeathsUnder24Hrs],tblDaily[EntryDate],DATE(2026,7,19),tblDaily[WardCode],"BF")),"")</f>
        <v/>
      </c>
      <c r="F259" s="12">
        <f>IFERROR(IF(SUMIFS(tblDaily[TransfersIn],tblDaily[EntryDate],DATE(2026,7,19),tblDaily[WardCode],"BF")=0,"",SUMIFS(tblDaily[TransfersIn],tblDaily[EntryDate],DATE(2026,7,19),tblDaily[WardCode],"BF")),"")</f>
        <v/>
      </c>
      <c r="G259" s="12">
        <f>IFERROR(IF(SUMIFS(tblDaily[TransfersOut],tblDaily[EntryDate],DATE(2026,7,19),tblDaily[WardCode],"BF")=0,"",SUMIFS(tblDaily[TransfersOut],tblDaily[EntryDate],DATE(2026,7,19),tblDaily[WardCode],"BF")),"")</f>
        <v/>
      </c>
      <c r="H259" s="12">
        <f>IFERROR(IF(SUMIFS(tblDaily[Remaining],tblDaily[EntryDate],DATE(2026,7,19),tblDaily[WardCode],"BF")=0,"",SUMIFS(tblDaily[Remaining],tblDaily[EntryDate],DATE(2026,7,19),tblDaily[WardCode],"BF")),"")</f>
        <v/>
      </c>
    </row>
    <row r="260">
      <c r="A260" s="12" t="n">
        <v>20</v>
      </c>
      <c r="B260" s="12">
        <f>IFERROR(IF(SUMIFS(tblDaily[Admissions],tblDaily[EntryDate],DATE(2026,7,20),tblDaily[WardCode],"BF")=0,"",SUMIFS(tblDaily[Admissions],tblDaily[EntryDate],DATE(2026,7,20),tblDaily[WardCode],"BF")),"")</f>
        <v/>
      </c>
      <c r="C260" s="12">
        <f>IFERROR(IF(SUMIFS(tblDaily[Discharges],tblDaily[EntryDate],DATE(2026,7,20),tblDaily[WardCode],"BF")=0,"",SUMIFS(tblDaily[Discharges],tblDaily[EntryDate],DATE(2026,7,20),tblDaily[WardCode],"BF")),"")</f>
        <v/>
      </c>
      <c r="D260" s="12">
        <f>IFERROR(IF(SUMIFS(tblDaily[Deaths],tblDaily[EntryDate],DATE(2026,7,20),tblDaily[WardCode],"BF")=0,"",SUMIFS(tblDaily[Deaths],tblDaily[EntryDate],DATE(2026,7,20),tblDaily[WardCode],"BF")),"")</f>
        <v/>
      </c>
      <c r="E260" s="12">
        <f>IFERROR(IF(SUMIFS(tblDaily[DeathsUnder24Hrs],tblDaily[EntryDate],DATE(2026,7,20),tblDaily[WardCode],"BF")=0,"",SUMIFS(tblDaily[DeathsUnder24Hrs],tblDaily[EntryDate],DATE(2026,7,20),tblDaily[WardCode],"BF")),"")</f>
        <v/>
      </c>
      <c r="F260" s="12">
        <f>IFERROR(IF(SUMIFS(tblDaily[TransfersIn],tblDaily[EntryDate],DATE(2026,7,20),tblDaily[WardCode],"BF")=0,"",SUMIFS(tblDaily[TransfersIn],tblDaily[EntryDate],DATE(2026,7,20),tblDaily[WardCode],"BF")),"")</f>
        <v/>
      </c>
      <c r="G260" s="12">
        <f>IFERROR(IF(SUMIFS(tblDaily[TransfersOut],tblDaily[EntryDate],DATE(2026,7,20),tblDaily[WardCode],"BF")=0,"",SUMIFS(tblDaily[TransfersOut],tblDaily[EntryDate],DATE(2026,7,20),tblDaily[WardCode],"BF")),"")</f>
        <v/>
      </c>
      <c r="H260" s="12">
        <f>IFERROR(IF(SUMIFS(tblDaily[Remaining],tblDaily[EntryDate],DATE(2026,7,20),tblDaily[WardCode],"BF")=0,"",SUMIFS(tblDaily[Remaining],tblDaily[EntryDate],DATE(2026,7,20),tblDaily[WardCode],"BF")),"")</f>
        <v/>
      </c>
    </row>
    <row r="261">
      <c r="A261" s="12" t="n">
        <v>21</v>
      </c>
      <c r="B261" s="12">
        <f>IFERROR(IF(SUMIFS(tblDaily[Admissions],tblDaily[EntryDate],DATE(2026,7,21),tblDaily[WardCode],"BF")=0,"",SUMIFS(tblDaily[Admissions],tblDaily[EntryDate],DATE(2026,7,21),tblDaily[WardCode],"BF")),"")</f>
        <v/>
      </c>
      <c r="C261" s="12">
        <f>IFERROR(IF(SUMIFS(tblDaily[Discharges],tblDaily[EntryDate],DATE(2026,7,21),tblDaily[WardCode],"BF")=0,"",SUMIFS(tblDaily[Discharges],tblDaily[EntryDate],DATE(2026,7,21),tblDaily[WardCode],"BF")),"")</f>
        <v/>
      </c>
      <c r="D261" s="12">
        <f>IFERROR(IF(SUMIFS(tblDaily[Deaths],tblDaily[EntryDate],DATE(2026,7,21),tblDaily[WardCode],"BF")=0,"",SUMIFS(tblDaily[Deaths],tblDaily[EntryDate],DATE(2026,7,21),tblDaily[WardCode],"BF")),"")</f>
        <v/>
      </c>
      <c r="E261" s="12">
        <f>IFERROR(IF(SUMIFS(tblDaily[DeathsUnder24Hrs],tblDaily[EntryDate],DATE(2026,7,21),tblDaily[WardCode],"BF")=0,"",SUMIFS(tblDaily[DeathsUnder24Hrs],tblDaily[EntryDate],DATE(2026,7,21),tblDaily[WardCode],"BF")),"")</f>
        <v/>
      </c>
      <c r="F261" s="12">
        <f>IFERROR(IF(SUMIFS(tblDaily[TransfersIn],tblDaily[EntryDate],DATE(2026,7,21),tblDaily[WardCode],"BF")=0,"",SUMIFS(tblDaily[TransfersIn],tblDaily[EntryDate],DATE(2026,7,21),tblDaily[WardCode],"BF")),"")</f>
        <v/>
      </c>
      <c r="G261" s="12">
        <f>IFERROR(IF(SUMIFS(tblDaily[TransfersOut],tblDaily[EntryDate],DATE(2026,7,21),tblDaily[WardCode],"BF")=0,"",SUMIFS(tblDaily[TransfersOut],tblDaily[EntryDate],DATE(2026,7,21),tblDaily[WardCode],"BF")),"")</f>
        <v/>
      </c>
      <c r="H261" s="12">
        <f>IFERROR(IF(SUMIFS(tblDaily[Remaining],tblDaily[EntryDate],DATE(2026,7,21),tblDaily[WardCode],"BF")=0,"",SUMIFS(tblDaily[Remaining],tblDaily[EntryDate],DATE(2026,7,21),tblDaily[WardCode],"BF")),"")</f>
        <v/>
      </c>
    </row>
    <row r="262">
      <c r="A262" s="12" t="n">
        <v>22</v>
      </c>
      <c r="B262" s="12">
        <f>IFERROR(IF(SUMIFS(tblDaily[Admissions],tblDaily[EntryDate],DATE(2026,7,22),tblDaily[WardCode],"BF")=0,"",SUMIFS(tblDaily[Admissions],tblDaily[EntryDate],DATE(2026,7,22),tblDaily[WardCode],"BF")),"")</f>
        <v/>
      </c>
      <c r="C262" s="12">
        <f>IFERROR(IF(SUMIFS(tblDaily[Discharges],tblDaily[EntryDate],DATE(2026,7,22),tblDaily[WardCode],"BF")=0,"",SUMIFS(tblDaily[Discharges],tblDaily[EntryDate],DATE(2026,7,22),tblDaily[WardCode],"BF")),"")</f>
        <v/>
      </c>
      <c r="D262" s="12">
        <f>IFERROR(IF(SUMIFS(tblDaily[Deaths],tblDaily[EntryDate],DATE(2026,7,22),tblDaily[WardCode],"BF")=0,"",SUMIFS(tblDaily[Deaths],tblDaily[EntryDate],DATE(2026,7,22),tblDaily[WardCode],"BF")),"")</f>
        <v/>
      </c>
      <c r="E262" s="12">
        <f>IFERROR(IF(SUMIFS(tblDaily[DeathsUnder24Hrs],tblDaily[EntryDate],DATE(2026,7,22),tblDaily[WardCode],"BF")=0,"",SUMIFS(tblDaily[DeathsUnder24Hrs],tblDaily[EntryDate],DATE(2026,7,22),tblDaily[WardCode],"BF")),"")</f>
        <v/>
      </c>
      <c r="F262" s="12">
        <f>IFERROR(IF(SUMIFS(tblDaily[TransfersIn],tblDaily[EntryDate],DATE(2026,7,22),tblDaily[WardCode],"BF")=0,"",SUMIFS(tblDaily[TransfersIn],tblDaily[EntryDate],DATE(2026,7,22),tblDaily[WardCode],"BF")),"")</f>
        <v/>
      </c>
      <c r="G262" s="12">
        <f>IFERROR(IF(SUMIFS(tblDaily[TransfersOut],tblDaily[EntryDate],DATE(2026,7,22),tblDaily[WardCode],"BF")=0,"",SUMIFS(tblDaily[TransfersOut],tblDaily[EntryDate],DATE(2026,7,22),tblDaily[WardCode],"BF")),"")</f>
        <v/>
      </c>
      <c r="H262" s="12">
        <f>IFERROR(IF(SUMIFS(tblDaily[Remaining],tblDaily[EntryDate],DATE(2026,7,22),tblDaily[WardCode],"BF")=0,"",SUMIFS(tblDaily[Remaining],tblDaily[EntryDate],DATE(2026,7,22),tblDaily[WardCode],"BF")),"")</f>
        <v/>
      </c>
    </row>
    <row r="263">
      <c r="A263" s="12" t="n">
        <v>23</v>
      </c>
      <c r="B263" s="12">
        <f>IFERROR(IF(SUMIFS(tblDaily[Admissions],tblDaily[EntryDate],DATE(2026,7,23),tblDaily[WardCode],"BF")=0,"",SUMIFS(tblDaily[Admissions],tblDaily[EntryDate],DATE(2026,7,23),tblDaily[WardCode],"BF")),"")</f>
        <v/>
      </c>
      <c r="C263" s="12">
        <f>IFERROR(IF(SUMIFS(tblDaily[Discharges],tblDaily[EntryDate],DATE(2026,7,23),tblDaily[WardCode],"BF")=0,"",SUMIFS(tblDaily[Discharges],tblDaily[EntryDate],DATE(2026,7,23),tblDaily[WardCode],"BF")),"")</f>
        <v/>
      </c>
      <c r="D263" s="12">
        <f>IFERROR(IF(SUMIFS(tblDaily[Deaths],tblDaily[EntryDate],DATE(2026,7,23),tblDaily[WardCode],"BF")=0,"",SUMIFS(tblDaily[Deaths],tblDaily[EntryDate],DATE(2026,7,23),tblDaily[WardCode],"BF")),"")</f>
        <v/>
      </c>
      <c r="E263" s="12">
        <f>IFERROR(IF(SUMIFS(tblDaily[DeathsUnder24Hrs],tblDaily[EntryDate],DATE(2026,7,23),tblDaily[WardCode],"BF")=0,"",SUMIFS(tblDaily[DeathsUnder24Hrs],tblDaily[EntryDate],DATE(2026,7,23),tblDaily[WardCode],"BF")),"")</f>
        <v/>
      </c>
      <c r="F263" s="12">
        <f>IFERROR(IF(SUMIFS(tblDaily[TransfersIn],tblDaily[EntryDate],DATE(2026,7,23),tblDaily[WardCode],"BF")=0,"",SUMIFS(tblDaily[TransfersIn],tblDaily[EntryDate],DATE(2026,7,23),tblDaily[WardCode],"BF")),"")</f>
        <v/>
      </c>
      <c r="G263" s="12">
        <f>IFERROR(IF(SUMIFS(tblDaily[TransfersOut],tblDaily[EntryDate],DATE(2026,7,23),tblDaily[WardCode],"BF")=0,"",SUMIFS(tblDaily[TransfersOut],tblDaily[EntryDate],DATE(2026,7,23),tblDaily[WardCode],"BF")),"")</f>
        <v/>
      </c>
      <c r="H263" s="12">
        <f>IFERROR(IF(SUMIFS(tblDaily[Remaining],tblDaily[EntryDate],DATE(2026,7,23),tblDaily[WardCode],"BF")=0,"",SUMIFS(tblDaily[Remaining],tblDaily[EntryDate],DATE(2026,7,23),tblDaily[WardCode],"BF")),"")</f>
        <v/>
      </c>
    </row>
    <row r="264">
      <c r="A264" s="12" t="n">
        <v>24</v>
      </c>
      <c r="B264" s="12">
        <f>IFERROR(IF(SUMIFS(tblDaily[Admissions],tblDaily[EntryDate],DATE(2026,7,24),tblDaily[WardCode],"BF")=0,"",SUMIFS(tblDaily[Admissions],tblDaily[EntryDate],DATE(2026,7,24),tblDaily[WardCode],"BF")),"")</f>
        <v/>
      </c>
      <c r="C264" s="12">
        <f>IFERROR(IF(SUMIFS(tblDaily[Discharges],tblDaily[EntryDate],DATE(2026,7,24),tblDaily[WardCode],"BF")=0,"",SUMIFS(tblDaily[Discharges],tblDaily[EntryDate],DATE(2026,7,24),tblDaily[WardCode],"BF")),"")</f>
        <v/>
      </c>
      <c r="D264" s="12">
        <f>IFERROR(IF(SUMIFS(tblDaily[Deaths],tblDaily[EntryDate],DATE(2026,7,24),tblDaily[WardCode],"BF")=0,"",SUMIFS(tblDaily[Deaths],tblDaily[EntryDate],DATE(2026,7,24),tblDaily[WardCode],"BF")),"")</f>
        <v/>
      </c>
      <c r="E264" s="12">
        <f>IFERROR(IF(SUMIFS(tblDaily[DeathsUnder24Hrs],tblDaily[EntryDate],DATE(2026,7,24),tblDaily[WardCode],"BF")=0,"",SUMIFS(tblDaily[DeathsUnder24Hrs],tblDaily[EntryDate],DATE(2026,7,24),tblDaily[WardCode],"BF")),"")</f>
        <v/>
      </c>
      <c r="F264" s="12">
        <f>IFERROR(IF(SUMIFS(tblDaily[TransfersIn],tblDaily[EntryDate],DATE(2026,7,24),tblDaily[WardCode],"BF")=0,"",SUMIFS(tblDaily[TransfersIn],tblDaily[EntryDate],DATE(2026,7,24),tblDaily[WardCode],"BF")),"")</f>
        <v/>
      </c>
      <c r="G264" s="12">
        <f>IFERROR(IF(SUMIFS(tblDaily[TransfersOut],tblDaily[EntryDate],DATE(2026,7,24),tblDaily[WardCode],"BF")=0,"",SUMIFS(tblDaily[TransfersOut],tblDaily[EntryDate],DATE(2026,7,24),tblDaily[WardCode],"BF")),"")</f>
        <v/>
      </c>
      <c r="H264" s="12">
        <f>IFERROR(IF(SUMIFS(tblDaily[Remaining],tblDaily[EntryDate],DATE(2026,7,24),tblDaily[WardCode],"BF")=0,"",SUMIFS(tblDaily[Remaining],tblDaily[EntryDate],DATE(2026,7,24),tblDaily[WardCode],"BF")),"")</f>
        <v/>
      </c>
    </row>
    <row r="265">
      <c r="A265" s="12" t="n">
        <v>25</v>
      </c>
      <c r="B265" s="12">
        <f>IFERROR(IF(SUMIFS(tblDaily[Admissions],tblDaily[EntryDate],DATE(2026,7,25),tblDaily[WardCode],"BF")=0,"",SUMIFS(tblDaily[Admissions],tblDaily[EntryDate],DATE(2026,7,25),tblDaily[WardCode],"BF")),"")</f>
        <v/>
      </c>
      <c r="C265" s="12">
        <f>IFERROR(IF(SUMIFS(tblDaily[Discharges],tblDaily[EntryDate],DATE(2026,7,25),tblDaily[WardCode],"BF")=0,"",SUMIFS(tblDaily[Discharges],tblDaily[EntryDate],DATE(2026,7,25),tblDaily[WardCode],"BF")),"")</f>
        <v/>
      </c>
      <c r="D265" s="12">
        <f>IFERROR(IF(SUMIFS(tblDaily[Deaths],tblDaily[EntryDate],DATE(2026,7,25),tblDaily[WardCode],"BF")=0,"",SUMIFS(tblDaily[Deaths],tblDaily[EntryDate],DATE(2026,7,25),tblDaily[WardCode],"BF")),"")</f>
        <v/>
      </c>
      <c r="E265" s="12">
        <f>IFERROR(IF(SUMIFS(tblDaily[DeathsUnder24Hrs],tblDaily[EntryDate],DATE(2026,7,25),tblDaily[WardCode],"BF")=0,"",SUMIFS(tblDaily[DeathsUnder24Hrs],tblDaily[EntryDate],DATE(2026,7,25),tblDaily[WardCode],"BF")),"")</f>
        <v/>
      </c>
      <c r="F265" s="12">
        <f>IFERROR(IF(SUMIFS(tblDaily[TransfersIn],tblDaily[EntryDate],DATE(2026,7,25),tblDaily[WardCode],"BF")=0,"",SUMIFS(tblDaily[TransfersIn],tblDaily[EntryDate],DATE(2026,7,25),tblDaily[WardCode],"BF")),"")</f>
        <v/>
      </c>
      <c r="G265" s="12">
        <f>IFERROR(IF(SUMIFS(tblDaily[TransfersOut],tblDaily[EntryDate],DATE(2026,7,25),tblDaily[WardCode],"BF")=0,"",SUMIFS(tblDaily[TransfersOut],tblDaily[EntryDate],DATE(2026,7,25),tblDaily[WardCode],"BF")),"")</f>
        <v/>
      </c>
      <c r="H265" s="12">
        <f>IFERROR(IF(SUMIFS(tblDaily[Remaining],tblDaily[EntryDate],DATE(2026,7,25),tblDaily[WardCode],"BF")=0,"",SUMIFS(tblDaily[Remaining],tblDaily[EntryDate],DATE(2026,7,25),tblDaily[WardCode],"BF")),"")</f>
        <v/>
      </c>
    </row>
    <row r="266">
      <c r="A266" s="12" t="n">
        <v>26</v>
      </c>
      <c r="B266" s="12">
        <f>IFERROR(IF(SUMIFS(tblDaily[Admissions],tblDaily[EntryDate],DATE(2026,7,26),tblDaily[WardCode],"BF")=0,"",SUMIFS(tblDaily[Admissions],tblDaily[EntryDate],DATE(2026,7,26),tblDaily[WardCode],"BF")),"")</f>
        <v/>
      </c>
      <c r="C266" s="12">
        <f>IFERROR(IF(SUMIFS(tblDaily[Discharges],tblDaily[EntryDate],DATE(2026,7,26),tblDaily[WardCode],"BF")=0,"",SUMIFS(tblDaily[Discharges],tblDaily[EntryDate],DATE(2026,7,26),tblDaily[WardCode],"BF")),"")</f>
        <v/>
      </c>
      <c r="D266" s="12">
        <f>IFERROR(IF(SUMIFS(tblDaily[Deaths],tblDaily[EntryDate],DATE(2026,7,26),tblDaily[WardCode],"BF")=0,"",SUMIFS(tblDaily[Deaths],tblDaily[EntryDate],DATE(2026,7,26),tblDaily[WardCode],"BF")),"")</f>
        <v/>
      </c>
      <c r="E266" s="12">
        <f>IFERROR(IF(SUMIFS(tblDaily[DeathsUnder24Hrs],tblDaily[EntryDate],DATE(2026,7,26),tblDaily[WardCode],"BF")=0,"",SUMIFS(tblDaily[DeathsUnder24Hrs],tblDaily[EntryDate],DATE(2026,7,26),tblDaily[WardCode],"BF")),"")</f>
        <v/>
      </c>
      <c r="F266" s="12">
        <f>IFERROR(IF(SUMIFS(tblDaily[TransfersIn],tblDaily[EntryDate],DATE(2026,7,26),tblDaily[WardCode],"BF")=0,"",SUMIFS(tblDaily[TransfersIn],tblDaily[EntryDate],DATE(2026,7,26),tblDaily[WardCode],"BF")),"")</f>
        <v/>
      </c>
      <c r="G266" s="12">
        <f>IFERROR(IF(SUMIFS(tblDaily[TransfersOut],tblDaily[EntryDate],DATE(2026,7,26),tblDaily[WardCode],"BF")=0,"",SUMIFS(tblDaily[TransfersOut],tblDaily[EntryDate],DATE(2026,7,26),tblDaily[WardCode],"BF")),"")</f>
        <v/>
      </c>
      <c r="H266" s="12">
        <f>IFERROR(IF(SUMIFS(tblDaily[Remaining],tblDaily[EntryDate],DATE(2026,7,26),tblDaily[WardCode],"BF")=0,"",SUMIFS(tblDaily[Remaining],tblDaily[EntryDate],DATE(2026,7,26),tblDaily[WardCode],"BF")),"")</f>
        <v/>
      </c>
    </row>
    <row r="267">
      <c r="A267" s="12" t="n">
        <v>27</v>
      </c>
      <c r="B267" s="12">
        <f>IFERROR(IF(SUMIFS(tblDaily[Admissions],tblDaily[EntryDate],DATE(2026,7,27),tblDaily[WardCode],"BF")=0,"",SUMIFS(tblDaily[Admissions],tblDaily[EntryDate],DATE(2026,7,27),tblDaily[WardCode],"BF")),"")</f>
        <v/>
      </c>
      <c r="C267" s="12">
        <f>IFERROR(IF(SUMIFS(tblDaily[Discharges],tblDaily[EntryDate],DATE(2026,7,27),tblDaily[WardCode],"BF")=0,"",SUMIFS(tblDaily[Discharges],tblDaily[EntryDate],DATE(2026,7,27),tblDaily[WardCode],"BF")),"")</f>
        <v/>
      </c>
      <c r="D267" s="12">
        <f>IFERROR(IF(SUMIFS(tblDaily[Deaths],tblDaily[EntryDate],DATE(2026,7,27),tblDaily[WardCode],"BF")=0,"",SUMIFS(tblDaily[Deaths],tblDaily[EntryDate],DATE(2026,7,27),tblDaily[WardCode],"BF")),"")</f>
        <v/>
      </c>
      <c r="E267" s="12">
        <f>IFERROR(IF(SUMIFS(tblDaily[DeathsUnder24Hrs],tblDaily[EntryDate],DATE(2026,7,27),tblDaily[WardCode],"BF")=0,"",SUMIFS(tblDaily[DeathsUnder24Hrs],tblDaily[EntryDate],DATE(2026,7,27),tblDaily[WardCode],"BF")),"")</f>
        <v/>
      </c>
      <c r="F267" s="12">
        <f>IFERROR(IF(SUMIFS(tblDaily[TransfersIn],tblDaily[EntryDate],DATE(2026,7,27),tblDaily[WardCode],"BF")=0,"",SUMIFS(tblDaily[TransfersIn],tblDaily[EntryDate],DATE(2026,7,27),tblDaily[WardCode],"BF")),"")</f>
        <v/>
      </c>
      <c r="G267" s="12">
        <f>IFERROR(IF(SUMIFS(tblDaily[TransfersOut],tblDaily[EntryDate],DATE(2026,7,27),tblDaily[WardCode],"BF")=0,"",SUMIFS(tblDaily[TransfersOut],tblDaily[EntryDate],DATE(2026,7,27),tblDaily[WardCode],"BF")),"")</f>
        <v/>
      </c>
      <c r="H267" s="12">
        <f>IFERROR(IF(SUMIFS(tblDaily[Remaining],tblDaily[EntryDate],DATE(2026,7,27),tblDaily[WardCode],"BF")=0,"",SUMIFS(tblDaily[Remaining],tblDaily[EntryDate],DATE(2026,7,27),tblDaily[WardCode],"BF")),"")</f>
        <v/>
      </c>
    </row>
    <row r="268">
      <c r="A268" s="12" t="n">
        <v>28</v>
      </c>
      <c r="B268" s="12">
        <f>IFERROR(IF(SUMIFS(tblDaily[Admissions],tblDaily[EntryDate],DATE(2026,7,28),tblDaily[WardCode],"BF")=0,"",SUMIFS(tblDaily[Admissions],tblDaily[EntryDate],DATE(2026,7,28),tblDaily[WardCode],"BF")),"")</f>
        <v/>
      </c>
      <c r="C268" s="12">
        <f>IFERROR(IF(SUMIFS(tblDaily[Discharges],tblDaily[EntryDate],DATE(2026,7,28),tblDaily[WardCode],"BF")=0,"",SUMIFS(tblDaily[Discharges],tblDaily[EntryDate],DATE(2026,7,28),tblDaily[WardCode],"BF")),"")</f>
        <v/>
      </c>
      <c r="D268" s="12">
        <f>IFERROR(IF(SUMIFS(tblDaily[Deaths],tblDaily[EntryDate],DATE(2026,7,28),tblDaily[WardCode],"BF")=0,"",SUMIFS(tblDaily[Deaths],tblDaily[EntryDate],DATE(2026,7,28),tblDaily[WardCode],"BF")),"")</f>
        <v/>
      </c>
      <c r="E268" s="12">
        <f>IFERROR(IF(SUMIFS(tblDaily[DeathsUnder24Hrs],tblDaily[EntryDate],DATE(2026,7,28),tblDaily[WardCode],"BF")=0,"",SUMIFS(tblDaily[DeathsUnder24Hrs],tblDaily[EntryDate],DATE(2026,7,28),tblDaily[WardCode],"BF")),"")</f>
        <v/>
      </c>
      <c r="F268" s="12">
        <f>IFERROR(IF(SUMIFS(tblDaily[TransfersIn],tblDaily[EntryDate],DATE(2026,7,28),tblDaily[WardCode],"BF")=0,"",SUMIFS(tblDaily[TransfersIn],tblDaily[EntryDate],DATE(2026,7,28),tblDaily[WardCode],"BF")),"")</f>
        <v/>
      </c>
      <c r="G268" s="12">
        <f>IFERROR(IF(SUMIFS(tblDaily[TransfersOut],tblDaily[EntryDate],DATE(2026,7,28),tblDaily[WardCode],"BF")=0,"",SUMIFS(tblDaily[TransfersOut],tblDaily[EntryDate],DATE(2026,7,28),tblDaily[WardCode],"BF")),"")</f>
        <v/>
      </c>
      <c r="H268" s="12">
        <f>IFERROR(IF(SUMIFS(tblDaily[Remaining],tblDaily[EntryDate],DATE(2026,7,28),tblDaily[WardCode],"BF")=0,"",SUMIFS(tblDaily[Remaining],tblDaily[EntryDate],DATE(2026,7,28),tblDaily[WardCode],"BF")),"")</f>
        <v/>
      </c>
    </row>
    <row r="269">
      <c r="A269" s="12" t="n">
        <v>29</v>
      </c>
      <c r="B269" s="12">
        <f>IFERROR(IF(SUMIFS(tblDaily[Admissions],tblDaily[EntryDate],DATE(2026,7,29),tblDaily[WardCode],"BF")=0,"",SUMIFS(tblDaily[Admissions],tblDaily[EntryDate],DATE(2026,7,29),tblDaily[WardCode],"BF")),"")</f>
        <v/>
      </c>
      <c r="C269" s="12">
        <f>IFERROR(IF(SUMIFS(tblDaily[Discharges],tblDaily[EntryDate],DATE(2026,7,29),tblDaily[WardCode],"BF")=0,"",SUMIFS(tblDaily[Discharges],tblDaily[EntryDate],DATE(2026,7,29),tblDaily[WardCode],"BF")),"")</f>
        <v/>
      </c>
      <c r="D269" s="12">
        <f>IFERROR(IF(SUMIFS(tblDaily[Deaths],tblDaily[EntryDate],DATE(2026,7,29),tblDaily[WardCode],"BF")=0,"",SUMIFS(tblDaily[Deaths],tblDaily[EntryDate],DATE(2026,7,29),tblDaily[WardCode],"BF")),"")</f>
        <v/>
      </c>
      <c r="E269" s="12">
        <f>IFERROR(IF(SUMIFS(tblDaily[DeathsUnder24Hrs],tblDaily[EntryDate],DATE(2026,7,29),tblDaily[WardCode],"BF")=0,"",SUMIFS(tblDaily[DeathsUnder24Hrs],tblDaily[EntryDate],DATE(2026,7,29),tblDaily[WardCode],"BF")),"")</f>
        <v/>
      </c>
      <c r="F269" s="12">
        <f>IFERROR(IF(SUMIFS(tblDaily[TransfersIn],tblDaily[EntryDate],DATE(2026,7,29),tblDaily[WardCode],"BF")=0,"",SUMIFS(tblDaily[TransfersIn],tblDaily[EntryDate],DATE(2026,7,29),tblDaily[WardCode],"BF")),"")</f>
        <v/>
      </c>
      <c r="G269" s="12">
        <f>IFERROR(IF(SUMIFS(tblDaily[TransfersOut],tblDaily[EntryDate],DATE(2026,7,29),tblDaily[WardCode],"BF")=0,"",SUMIFS(tblDaily[TransfersOut],tblDaily[EntryDate],DATE(2026,7,29),tblDaily[WardCode],"BF")),"")</f>
        <v/>
      </c>
      <c r="H269" s="12">
        <f>IFERROR(IF(SUMIFS(tblDaily[Remaining],tblDaily[EntryDate],DATE(2026,7,29),tblDaily[WardCode],"BF")=0,"",SUMIFS(tblDaily[Remaining],tblDaily[EntryDate],DATE(2026,7,29),tblDaily[WardCode],"BF")),"")</f>
        <v/>
      </c>
    </row>
    <row r="270">
      <c r="A270" s="12" t="n">
        <v>30</v>
      </c>
      <c r="B270" s="12">
        <f>IFERROR(IF(SUMIFS(tblDaily[Admissions],tblDaily[EntryDate],DATE(2026,7,30),tblDaily[WardCode],"BF")=0,"",SUMIFS(tblDaily[Admissions],tblDaily[EntryDate],DATE(2026,7,30),tblDaily[WardCode],"BF")),"")</f>
        <v/>
      </c>
      <c r="C270" s="12">
        <f>IFERROR(IF(SUMIFS(tblDaily[Discharges],tblDaily[EntryDate],DATE(2026,7,30),tblDaily[WardCode],"BF")=0,"",SUMIFS(tblDaily[Discharges],tblDaily[EntryDate],DATE(2026,7,30),tblDaily[WardCode],"BF")),"")</f>
        <v/>
      </c>
      <c r="D270" s="12">
        <f>IFERROR(IF(SUMIFS(tblDaily[Deaths],tblDaily[EntryDate],DATE(2026,7,30),tblDaily[WardCode],"BF")=0,"",SUMIFS(tblDaily[Deaths],tblDaily[EntryDate],DATE(2026,7,30),tblDaily[WardCode],"BF")),"")</f>
        <v/>
      </c>
      <c r="E270" s="12">
        <f>IFERROR(IF(SUMIFS(tblDaily[DeathsUnder24Hrs],tblDaily[EntryDate],DATE(2026,7,30),tblDaily[WardCode],"BF")=0,"",SUMIFS(tblDaily[DeathsUnder24Hrs],tblDaily[EntryDate],DATE(2026,7,30),tblDaily[WardCode],"BF")),"")</f>
        <v/>
      </c>
      <c r="F270" s="12">
        <f>IFERROR(IF(SUMIFS(tblDaily[TransfersIn],tblDaily[EntryDate],DATE(2026,7,30),tblDaily[WardCode],"BF")=0,"",SUMIFS(tblDaily[TransfersIn],tblDaily[EntryDate],DATE(2026,7,30),tblDaily[WardCode],"BF")),"")</f>
        <v/>
      </c>
      <c r="G270" s="12">
        <f>IFERROR(IF(SUMIFS(tblDaily[TransfersOut],tblDaily[EntryDate],DATE(2026,7,30),tblDaily[WardCode],"BF")=0,"",SUMIFS(tblDaily[TransfersOut],tblDaily[EntryDate],DATE(2026,7,30),tblDaily[WardCode],"BF")),"")</f>
        <v/>
      </c>
      <c r="H270" s="12">
        <f>IFERROR(IF(SUMIFS(tblDaily[Remaining],tblDaily[EntryDate],DATE(2026,7,30),tblDaily[WardCode],"BF")=0,"",SUMIFS(tblDaily[Remaining],tblDaily[EntryDate],DATE(2026,7,30),tblDaily[WardCode],"BF")),"")</f>
        <v/>
      </c>
    </row>
    <row r="271">
      <c r="A271" s="12" t="n">
        <v>31</v>
      </c>
      <c r="B271" s="12">
        <f>IFERROR(IF(SUMIFS(tblDaily[Admissions],tblDaily[EntryDate],DATE(2026,7,31),tblDaily[WardCode],"BF")=0,"",SUMIFS(tblDaily[Admissions],tblDaily[EntryDate],DATE(2026,7,31),tblDaily[WardCode],"BF")),"")</f>
        <v/>
      </c>
      <c r="C271" s="12">
        <f>IFERROR(IF(SUMIFS(tblDaily[Discharges],tblDaily[EntryDate],DATE(2026,7,31),tblDaily[WardCode],"BF")=0,"",SUMIFS(tblDaily[Discharges],tblDaily[EntryDate],DATE(2026,7,31),tblDaily[WardCode],"BF")),"")</f>
        <v/>
      </c>
      <c r="D271" s="12">
        <f>IFERROR(IF(SUMIFS(tblDaily[Deaths],tblDaily[EntryDate],DATE(2026,7,31),tblDaily[WardCode],"BF")=0,"",SUMIFS(tblDaily[Deaths],tblDaily[EntryDate],DATE(2026,7,31),tblDaily[WardCode],"BF")),"")</f>
        <v/>
      </c>
      <c r="E271" s="12">
        <f>IFERROR(IF(SUMIFS(tblDaily[DeathsUnder24Hrs],tblDaily[EntryDate],DATE(2026,7,31),tblDaily[WardCode],"BF")=0,"",SUMIFS(tblDaily[DeathsUnder24Hrs],tblDaily[EntryDate],DATE(2026,7,31),tblDaily[WardCode],"BF")),"")</f>
        <v/>
      </c>
      <c r="F271" s="12">
        <f>IFERROR(IF(SUMIFS(tblDaily[TransfersIn],tblDaily[EntryDate],DATE(2026,7,31),tblDaily[WardCode],"BF")=0,"",SUMIFS(tblDaily[TransfersIn],tblDaily[EntryDate],DATE(2026,7,31),tblDaily[WardCode],"BF")),"")</f>
        <v/>
      </c>
      <c r="G271" s="12">
        <f>IFERROR(IF(SUMIFS(tblDaily[TransfersOut],tblDaily[EntryDate],DATE(2026,7,31),tblDaily[WardCode],"BF")=0,"",SUMIFS(tblDaily[TransfersOut],tblDaily[EntryDate],DATE(2026,7,31),tblDaily[WardCode],"BF")),"")</f>
        <v/>
      </c>
      <c r="H271" s="12">
        <f>IFERROR(IF(SUMIFS(tblDaily[Remaining],tblDaily[EntryDate],DATE(2026,7,31),tblDaily[WardCode],"BF")=0,"",SUMIFS(tblDaily[Remaining],tblDaily[EntryDate],DATE(2026,7,31),tblDaily[WardCode],"BF")),"")</f>
        <v/>
      </c>
    </row>
    <row r="272">
      <c r="A272" s="17" t="inlineStr">
        <is>
          <t>TOTAL</t>
        </is>
      </c>
      <c r="B272" s="17">
        <f>SUMIFS(tblDaily[Admissions],tblDaily[Month],7,tblDaily[WardCode],"BF") - SUMIFS(tblDaily[DeathsUnder24Hrs],tblDaily[Month],7,tblDaily[WardCode],"BF")</f>
        <v/>
      </c>
      <c r="C272" s="17">
        <f>SUMIFS(tblDaily[Discharges],tblDaily[Month],7,tblDaily[WardCode],"BF")</f>
        <v/>
      </c>
      <c r="D272" s="17">
        <f>SUMIFS(tblDaily[Deaths],tblDaily[Month],7,tblDaily[WardCode],"BF")</f>
        <v/>
      </c>
      <c r="E272" s="17">
        <f>SUMIFS(tblDaily[DeathsUnder24Hrs],tblDaily[Month],7,tblDaily[WardCode],"BF")</f>
        <v/>
      </c>
      <c r="F272" s="17">
        <f>SUMIFS(tblDaily[TransfersIn],tblDaily[Month],7,tblDaily[WardCode],"BF")</f>
        <v/>
      </c>
      <c r="G272" s="17">
        <f>SUMIFS(tblDaily[TransfersOut],tblDaily[Month],7,tblDaily[WardCode],"BF")</f>
        <v/>
      </c>
      <c r="H272" s="17">
        <f>SUMIFS(tblDaily[Remaining],tblDaily[Month],7,tblDaily[WardCode],"BF")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BLOCK F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4">
        <f>IFERROR(SUMIFS(tblDaily[Remaining],tblDaily[EntryDate],DATE(2026,7,31),tblDaily[WardCode],"BF"),0)</f>
        <v/>
      </c>
    </row>
    <row r="278">
      <c r="A278" s="4" t="inlineStr">
        <is>
          <t>Bed complement</t>
        </is>
      </c>
      <c r="H278" s="15">
        <f>IFERROR(INDEX(tblWardConfig[BedComplement],MATCH("BF",tblWardConfig[WardCode],0)),0)</f>
        <v/>
      </c>
    </row>
    <row r="279">
      <c r="A279" s="16" t="inlineStr">
        <is>
          <t>Day of
the
Month</t>
        </is>
      </c>
      <c r="B279" s="16" t="inlineStr">
        <is>
          <t>Admissions</t>
        </is>
      </c>
      <c r="C279" s="16" t="inlineStr">
        <is>
          <t>Discharges</t>
        </is>
      </c>
      <c r="D279" s="16" t="inlineStr">
        <is>
          <t>Deaths</t>
        </is>
      </c>
      <c r="E279" s="16" t="inlineStr">
        <is>
          <t>Deaths
&lt;24Hrs</t>
        </is>
      </c>
      <c r="F279" s="16" t="inlineStr">
        <is>
          <t>Transfers-
In</t>
        </is>
      </c>
      <c r="G279" s="16" t="inlineStr">
        <is>
          <t>Transfers-
Out</t>
        </is>
      </c>
      <c r="H279" s="16" t="inlineStr">
        <is>
          <t>No. of Patients
Remaining In
Ward</t>
        </is>
      </c>
    </row>
    <row r="280">
      <c r="A280" s="12" t="n">
        <v>1</v>
      </c>
      <c r="B280" s="12">
        <f>IFERROR(IF(SUMIFS(tblDaily[Admissions],tblDaily[EntryDate],DATE(2026,8,1),tblDaily[WardCode],"BF")=0,"",SUMIFS(tblDaily[Admissions],tblDaily[EntryDate],DATE(2026,8,1),tblDaily[WardCode],"BF")),"")</f>
        <v/>
      </c>
      <c r="C280" s="12">
        <f>IFERROR(IF(SUMIFS(tblDaily[Discharges],tblDaily[EntryDate],DATE(2026,8,1),tblDaily[WardCode],"BF")=0,"",SUMIFS(tblDaily[Discharges],tblDaily[EntryDate],DATE(2026,8,1),tblDaily[WardCode],"BF")),"")</f>
        <v/>
      </c>
      <c r="D280" s="12">
        <f>IFERROR(IF(SUMIFS(tblDaily[Deaths],tblDaily[EntryDate],DATE(2026,8,1),tblDaily[WardCode],"BF")=0,"",SUMIFS(tblDaily[Deaths],tblDaily[EntryDate],DATE(2026,8,1),tblDaily[WardCode],"BF")),"")</f>
        <v/>
      </c>
      <c r="E280" s="12">
        <f>IFERROR(IF(SUMIFS(tblDaily[DeathsUnder24Hrs],tblDaily[EntryDate],DATE(2026,8,1),tblDaily[WardCode],"BF")=0,"",SUMIFS(tblDaily[DeathsUnder24Hrs],tblDaily[EntryDate],DATE(2026,8,1),tblDaily[WardCode],"BF")),"")</f>
        <v/>
      </c>
      <c r="F280" s="12">
        <f>IFERROR(IF(SUMIFS(tblDaily[TransfersIn],tblDaily[EntryDate],DATE(2026,8,1),tblDaily[WardCode],"BF")=0,"",SUMIFS(tblDaily[TransfersIn],tblDaily[EntryDate],DATE(2026,8,1),tblDaily[WardCode],"BF")),"")</f>
        <v/>
      </c>
      <c r="G280" s="12">
        <f>IFERROR(IF(SUMIFS(tblDaily[TransfersOut],tblDaily[EntryDate],DATE(2026,8,1),tblDaily[WardCode],"BF")=0,"",SUMIFS(tblDaily[TransfersOut],tblDaily[EntryDate],DATE(2026,8,1),tblDaily[WardCode],"BF")),"")</f>
        <v/>
      </c>
      <c r="H280" s="12">
        <f>IFERROR(IF(SUMIFS(tblDaily[Remaining],tblDaily[EntryDate],DATE(2026,8,1),tblDaily[WardCode],"BF")=0,"",SUMIFS(tblDaily[Remaining],tblDaily[EntryDate],DATE(2026,8,1),tblDaily[WardCode],"BF")),"")</f>
        <v/>
      </c>
    </row>
    <row r="281">
      <c r="A281" s="12" t="n">
        <v>2</v>
      </c>
      <c r="B281" s="12">
        <f>IFERROR(IF(SUMIFS(tblDaily[Admissions],tblDaily[EntryDate],DATE(2026,8,2),tblDaily[WardCode],"BF")=0,"",SUMIFS(tblDaily[Admissions],tblDaily[EntryDate],DATE(2026,8,2),tblDaily[WardCode],"BF")),"")</f>
        <v/>
      </c>
      <c r="C281" s="12">
        <f>IFERROR(IF(SUMIFS(tblDaily[Discharges],tblDaily[EntryDate],DATE(2026,8,2),tblDaily[WardCode],"BF")=0,"",SUMIFS(tblDaily[Discharges],tblDaily[EntryDate],DATE(2026,8,2),tblDaily[WardCode],"BF")),"")</f>
        <v/>
      </c>
      <c r="D281" s="12">
        <f>IFERROR(IF(SUMIFS(tblDaily[Deaths],tblDaily[EntryDate],DATE(2026,8,2),tblDaily[WardCode],"BF")=0,"",SUMIFS(tblDaily[Deaths],tblDaily[EntryDate],DATE(2026,8,2),tblDaily[WardCode],"BF")),"")</f>
        <v/>
      </c>
      <c r="E281" s="12">
        <f>IFERROR(IF(SUMIFS(tblDaily[DeathsUnder24Hrs],tblDaily[EntryDate],DATE(2026,8,2),tblDaily[WardCode],"BF")=0,"",SUMIFS(tblDaily[DeathsUnder24Hrs],tblDaily[EntryDate],DATE(2026,8,2),tblDaily[WardCode],"BF")),"")</f>
        <v/>
      </c>
      <c r="F281" s="12">
        <f>IFERROR(IF(SUMIFS(tblDaily[TransfersIn],tblDaily[EntryDate],DATE(2026,8,2),tblDaily[WardCode],"BF")=0,"",SUMIFS(tblDaily[TransfersIn],tblDaily[EntryDate],DATE(2026,8,2),tblDaily[WardCode],"BF")),"")</f>
        <v/>
      </c>
      <c r="G281" s="12">
        <f>IFERROR(IF(SUMIFS(tblDaily[TransfersOut],tblDaily[EntryDate],DATE(2026,8,2),tblDaily[WardCode],"BF")=0,"",SUMIFS(tblDaily[TransfersOut],tblDaily[EntryDate],DATE(2026,8,2),tblDaily[WardCode],"BF")),"")</f>
        <v/>
      </c>
      <c r="H281" s="12">
        <f>IFERROR(IF(SUMIFS(tblDaily[Remaining],tblDaily[EntryDate],DATE(2026,8,2),tblDaily[WardCode],"BF")=0,"",SUMIFS(tblDaily[Remaining],tblDaily[EntryDate],DATE(2026,8,2),tblDaily[WardCode],"BF")),"")</f>
        <v/>
      </c>
    </row>
    <row r="282">
      <c r="A282" s="12" t="n">
        <v>3</v>
      </c>
      <c r="B282" s="12">
        <f>IFERROR(IF(SUMIFS(tblDaily[Admissions],tblDaily[EntryDate],DATE(2026,8,3),tblDaily[WardCode],"BF")=0,"",SUMIFS(tblDaily[Admissions],tblDaily[EntryDate],DATE(2026,8,3),tblDaily[WardCode],"BF")),"")</f>
        <v/>
      </c>
      <c r="C282" s="12">
        <f>IFERROR(IF(SUMIFS(tblDaily[Discharges],tblDaily[EntryDate],DATE(2026,8,3),tblDaily[WardCode],"BF")=0,"",SUMIFS(tblDaily[Discharges],tblDaily[EntryDate],DATE(2026,8,3),tblDaily[WardCode],"BF")),"")</f>
        <v/>
      </c>
      <c r="D282" s="12">
        <f>IFERROR(IF(SUMIFS(tblDaily[Deaths],tblDaily[EntryDate],DATE(2026,8,3),tblDaily[WardCode],"BF")=0,"",SUMIFS(tblDaily[Deaths],tblDaily[EntryDate],DATE(2026,8,3),tblDaily[WardCode],"BF")),"")</f>
        <v/>
      </c>
      <c r="E282" s="12">
        <f>IFERROR(IF(SUMIFS(tblDaily[DeathsUnder24Hrs],tblDaily[EntryDate],DATE(2026,8,3),tblDaily[WardCode],"BF")=0,"",SUMIFS(tblDaily[DeathsUnder24Hrs],tblDaily[EntryDate],DATE(2026,8,3),tblDaily[WardCode],"BF")),"")</f>
        <v/>
      </c>
      <c r="F282" s="12">
        <f>IFERROR(IF(SUMIFS(tblDaily[TransfersIn],tblDaily[EntryDate],DATE(2026,8,3),tblDaily[WardCode],"BF")=0,"",SUMIFS(tblDaily[TransfersIn],tblDaily[EntryDate],DATE(2026,8,3),tblDaily[WardCode],"BF")),"")</f>
        <v/>
      </c>
      <c r="G282" s="12">
        <f>IFERROR(IF(SUMIFS(tblDaily[TransfersOut],tblDaily[EntryDate],DATE(2026,8,3),tblDaily[WardCode],"BF")=0,"",SUMIFS(tblDaily[TransfersOut],tblDaily[EntryDate],DATE(2026,8,3),tblDaily[WardCode],"BF")),"")</f>
        <v/>
      </c>
      <c r="H282" s="12">
        <f>IFERROR(IF(SUMIFS(tblDaily[Remaining],tblDaily[EntryDate],DATE(2026,8,3),tblDaily[WardCode],"BF")=0,"",SUMIFS(tblDaily[Remaining],tblDaily[EntryDate],DATE(2026,8,3),tblDaily[WardCode],"BF")),"")</f>
        <v/>
      </c>
    </row>
    <row r="283">
      <c r="A283" s="12" t="n">
        <v>4</v>
      </c>
      <c r="B283" s="12">
        <f>IFERROR(IF(SUMIFS(tblDaily[Admissions],tblDaily[EntryDate],DATE(2026,8,4),tblDaily[WardCode],"BF")=0,"",SUMIFS(tblDaily[Admissions],tblDaily[EntryDate],DATE(2026,8,4),tblDaily[WardCode],"BF")),"")</f>
        <v/>
      </c>
      <c r="C283" s="12">
        <f>IFERROR(IF(SUMIFS(tblDaily[Discharges],tblDaily[EntryDate],DATE(2026,8,4),tblDaily[WardCode],"BF")=0,"",SUMIFS(tblDaily[Discharges],tblDaily[EntryDate],DATE(2026,8,4),tblDaily[WardCode],"BF")),"")</f>
        <v/>
      </c>
      <c r="D283" s="12">
        <f>IFERROR(IF(SUMIFS(tblDaily[Deaths],tblDaily[EntryDate],DATE(2026,8,4),tblDaily[WardCode],"BF")=0,"",SUMIFS(tblDaily[Deaths],tblDaily[EntryDate],DATE(2026,8,4),tblDaily[WardCode],"BF")),"")</f>
        <v/>
      </c>
      <c r="E283" s="12">
        <f>IFERROR(IF(SUMIFS(tblDaily[DeathsUnder24Hrs],tblDaily[EntryDate],DATE(2026,8,4),tblDaily[WardCode],"BF")=0,"",SUMIFS(tblDaily[DeathsUnder24Hrs],tblDaily[EntryDate],DATE(2026,8,4),tblDaily[WardCode],"BF")),"")</f>
        <v/>
      </c>
      <c r="F283" s="12">
        <f>IFERROR(IF(SUMIFS(tblDaily[TransfersIn],tblDaily[EntryDate],DATE(2026,8,4),tblDaily[WardCode],"BF")=0,"",SUMIFS(tblDaily[TransfersIn],tblDaily[EntryDate],DATE(2026,8,4),tblDaily[WardCode],"BF")),"")</f>
        <v/>
      </c>
      <c r="G283" s="12">
        <f>IFERROR(IF(SUMIFS(tblDaily[TransfersOut],tblDaily[EntryDate],DATE(2026,8,4),tblDaily[WardCode],"BF")=0,"",SUMIFS(tblDaily[TransfersOut],tblDaily[EntryDate],DATE(2026,8,4),tblDaily[WardCode],"BF")),"")</f>
        <v/>
      </c>
      <c r="H283" s="12">
        <f>IFERROR(IF(SUMIFS(tblDaily[Remaining],tblDaily[EntryDate],DATE(2026,8,4),tblDaily[WardCode],"BF")=0,"",SUMIFS(tblDaily[Remaining],tblDaily[EntryDate],DATE(2026,8,4),tblDaily[WardCode],"BF")),"")</f>
        <v/>
      </c>
    </row>
    <row r="284">
      <c r="A284" s="12" t="n">
        <v>5</v>
      </c>
      <c r="B284" s="12">
        <f>IFERROR(IF(SUMIFS(tblDaily[Admissions],tblDaily[EntryDate],DATE(2026,8,5),tblDaily[WardCode],"BF")=0,"",SUMIFS(tblDaily[Admissions],tblDaily[EntryDate],DATE(2026,8,5),tblDaily[WardCode],"BF")),"")</f>
        <v/>
      </c>
      <c r="C284" s="12">
        <f>IFERROR(IF(SUMIFS(tblDaily[Discharges],tblDaily[EntryDate],DATE(2026,8,5),tblDaily[WardCode],"BF")=0,"",SUMIFS(tblDaily[Discharges],tblDaily[EntryDate],DATE(2026,8,5),tblDaily[WardCode],"BF")),"")</f>
        <v/>
      </c>
      <c r="D284" s="12">
        <f>IFERROR(IF(SUMIFS(tblDaily[Deaths],tblDaily[EntryDate],DATE(2026,8,5),tblDaily[WardCode],"BF")=0,"",SUMIFS(tblDaily[Deaths],tblDaily[EntryDate],DATE(2026,8,5),tblDaily[WardCode],"BF")),"")</f>
        <v/>
      </c>
      <c r="E284" s="12">
        <f>IFERROR(IF(SUMIFS(tblDaily[DeathsUnder24Hrs],tblDaily[EntryDate],DATE(2026,8,5),tblDaily[WardCode],"BF")=0,"",SUMIFS(tblDaily[DeathsUnder24Hrs],tblDaily[EntryDate],DATE(2026,8,5),tblDaily[WardCode],"BF")),"")</f>
        <v/>
      </c>
      <c r="F284" s="12">
        <f>IFERROR(IF(SUMIFS(tblDaily[TransfersIn],tblDaily[EntryDate],DATE(2026,8,5),tblDaily[WardCode],"BF")=0,"",SUMIFS(tblDaily[TransfersIn],tblDaily[EntryDate],DATE(2026,8,5),tblDaily[WardCode],"BF")),"")</f>
        <v/>
      </c>
      <c r="G284" s="12">
        <f>IFERROR(IF(SUMIFS(tblDaily[TransfersOut],tblDaily[EntryDate],DATE(2026,8,5),tblDaily[WardCode],"BF")=0,"",SUMIFS(tblDaily[TransfersOut],tblDaily[EntryDate],DATE(2026,8,5),tblDaily[WardCode],"BF")),"")</f>
        <v/>
      </c>
      <c r="H284" s="12">
        <f>IFERROR(IF(SUMIFS(tblDaily[Remaining],tblDaily[EntryDate],DATE(2026,8,5),tblDaily[WardCode],"BF")=0,"",SUMIFS(tblDaily[Remaining],tblDaily[EntryDate],DATE(2026,8,5),tblDaily[WardCode],"BF")),"")</f>
        <v/>
      </c>
    </row>
    <row r="285">
      <c r="A285" s="12" t="n">
        <v>6</v>
      </c>
      <c r="B285" s="12">
        <f>IFERROR(IF(SUMIFS(tblDaily[Admissions],tblDaily[EntryDate],DATE(2026,8,6),tblDaily[WardCode],"BF")=0,"",SUMIFS(tblDaily[Admissions],tblDaily[EntryDate],DATE(2026,8,6),tblDaily[WardCode],"BF")),"")</f>
        <v/>
      </c>
      <c r="C285" s="12">
        <f>IFERROR(IF(SUMIFS(tblDaily[Discharges],tblDaily[EntryDate],DATE(2026,8,6),tblDaily[WardCode],"BF")=0,"",SUMIFS(tblDaily[Discharges],tblDaily[EntryDate],DATE(2026,8,6),tblDaily[WardCode],"BF")),"")</f>
        <v/>
      </c>
      <c r="D285" s="12">
        <f>IFERROR(IF(SUMIFS(tblDaily[Deaths],tblDaily[EntryDate],DATE(2026,8,6),tblDaily[WardCode],"BF")=0,"",SUMIFS(tblDaily[Deaths],tblDaily[EntryDate],DATE(2026,8,6),tblDaily[WardCode],"BF")),"")</f>
        <v/>
      </c>
      <c r="E285" s="12">
        <f>IFERROR(IF(SUMIFS(tblDaily[DeathsUnder24Hrs],tblDaily[EntryDate],DATE(2026,8,6),tblDaily[WardCode],"BF")=0,"",SUMIFS(tblDaily[DeathsUnder24Hrs],tblDaily[EntryDate],DATE(2026,8,6),tblDaily[WardCode],"BF")),"")</f>
        <v/>
      </c>
      <c r="F285" s="12">
        <f>IFERROR(IF(SUMIFS(tblDaily[TransfersIn],tblDaily[EntryDate],DATE(2026,8,6),tblDaily[WardCode],"BF")=0,"",SUMIFS(tblDaily[TransfersIn],tblDaily[EntryDate],DATE(2026,8,6),tblDaily[WardCode],"BF")),"")</f>
        <v/>
      </c>
      <c r="G285" s="12">
        <f>IFERROR(IF(SUMIFS(tblDaily[TransfersOut],tblDaily[EntryDate],DATE(2026,8,6),tblDaily[WardCode],"BF")=0,"",SUMIFS(tblDaily[TransfersOut],tblDaily[EntryDate],DATE(2026,8,6),tblDaily[WardCode],"BF")),"")</f>
        <v/>
      </c>
      <c r="H285" s="12">
        <f>IFERROR(IF(SUMIFS(tblDaily[Remaining],tblDaily[EntryDate],DATE(2026,8,6),tblDaily[WardCode],"BF")=0,"",SUMIFS(tblDaily[Remaining],tblDaily[EntryDate],DATE(2026,8,6),tblDaily[WardCode],"BF")),"")</f>
        <v/>
      </c>
    </row>
    <row r="286">
      <c r="A286" s="12" t="n">
        <v>7</v>
      </c>
      <c r="B286" s="12">
        <f>IFERROR(IF(SUMIFS(tblDaily[Admissions],tblDaily[EntryDate],DATE(2026,8,7),tblDaily[WardCode],"BF")=0,"",SUMIFS(tblDaily[Admissions],tblDaily[EntryDate],DATE(2026,8,7),tblDaily[WardCode],"BF")),"")</f>
        <v/>
      </c>
      <c r="C286" s="12">
        <f>IFERROR(IF(SUMIFS(tblDaily[Discharges],tblDaily[EntryDate],DATE(2026,8,7),tblDaily[WardCode],"BF")=0,"",SUMIFS(tblDaily[Discharges],tblDaily[EntryDate],DATE(2026,8,7),tblDaily[WardCode],"BF")),"")</f>
        <v/>
      </c>
      <c r="D286" s="12">
        <f>IFERROR(IF(SUMIFS(tblDaily[Deaths],tblDaily[EntryDate],DATE(2026,8,7),tblDaily[WardCode],"BF")=0,"",SUMIFS(tblDaily[Deaths],tblDaily[EntryDate],DATE(2026,8,7),tblDaily[WardCode],"BF")),"")</f>
        <v/>
      </c>
      <c r="E286" s="12">
        <f>IFERROR(IF(SUMIFS(tblDaily[DeathsUnder24Hrs],tblDaily[EntryDate],DATE(2026,8,7),tblDaily[WardCode],"BF")=0,"",SUMIFS(tblDaily[DeathsUnder24Hrs],tblDaily[EntryDate],DATE(2026,8,7),tblDaily[WardCode],"BF")),"")</f>
        <v/>
      </c>
      <c r="F286" s="12">
        <f>IFERROR(IF(SUMIFS(tblDaily[TransfersIn],tblDaily[EntryDate],DATE(2026,8,7),tblDaily[WardCode],"BF")=0,"",SUMIFS(tblDaily[TransfersIn],tblDaily[EntryDate],DATE(2026,8,7),tblDaily[WardCode],"BF")),"")</f>
        <v/>
      </c>
      <c r="G286" s="12">
        <f>IFERROR(IF(SUMIFS(tblDaily[TransfersOut],tblDaily[EntryDate],DATE(2026,8,7),tblDaily[WardCode],"BF")=0,"",SUMIFS(tblDaily[TransfersOut],tblDaily[EntryDate],DATE(2026,8,7),tblDaily[WardCode],"BF")),"")</f>
        <v/>
      </c>
      <c r="H286" s="12">
        <f>IFERROR(IF(SUMIFS(tblDaily[Remaining],tblDaily[EntryDate],DATE(2026,8,7),tblDaily[WardCode],"BF")=0,"",SUMIFS(tblDaily[Remaining],tblDaily[EntryDate],DATE(2026,8,7),tblDaily[WardCode],"BF")),"")</f>
        <v/>
      </c>
    </row>
    <row r="287">
      <c r="A287" s="12" t="n">
        <v>8</v>
      </c>
      <c r="B287" s="12">
        <f>IFERROR(IF(SUMIFS(tblDaily[Admissions],tblDaily[EntryDate],DATE(2026,8,8),tblDaily[WardCode],"BF")=0,"",SUMIFS(tblDaily[Admissions],tblDaily[EntryDate],DATE(2026,8,8),tblDaily[WardCode],"BF")),"")</f>
        <v/>
      </c>
      <c r="C287" s="12">
        <f>IFERROR(IF(SUMIFS(tblDaily[Discharges],tblDaily[EntryDate],DATE(2026,8,8),tblDaily[WardCode],"BF")=0,"",SUMIFS(tblDaily[Discharges],tblDaily[EntryDate],DATE(2026,8,8),tblDaily[WardCode],"BF")),"")</f>
        <v/>
      </c>
      <c r="D287" s="12">
        <f>IFERROR(IF(SUMIFS(tblDaily[Deaths],tblDaily[EntryDate],DATE(2026,8,8),tblDaily[WardCode],"BF")=0,"",SUMIFS(tblDaily[Deaths],tblDaily[EntryDate],DATE(2026,8,8),tblDaily[WardCode],"BF")),"")</f>
        <v/>
      </c>
      <c r="E287" s="12">
        <f>IFERROR(IF(SUMIFS(tblDaily[DeathsUnder24Hrs],tblDaily[EntryDate],DATE(2026,8,8),tblDaily[WardCode],"BF")=0,"",SUMIFS(tblDaily[DeathsUnder24Hrs],tblDaily[EntryDate],DATE(2026,8,8),tblDaily[WardCode],"BF")),"")</f>
        <v/>
      </c>
      <c r="F287" s="12">
        <f>IFERROR(IF(SUMIFS(tblDaily[TransfersIn],tblDaily[EntryDate],DATE(2026,8,8),tblDaily[WardCode],"BF")=0,"",SUMIFS(tblDaily[TransfersIn],tblDaily[EntryDate],DATE(2026,8,8),tblDaily[WardCode],"BF")),"")</f>
        <v/>
      </c>
      <c r="G287" s="12">
        <f>IFERROR(IF(SUMIFS(tblDaily[TransfersOut],tblDaily[EntryDate],DATE(2026,8,8),tblDaily[WardCode],"BF")=0,"",SUMIFS(tblDaily[TransfersOut],tblDaily[EntryDate],DATE(2026,8,8),tblDaily[WardCode],"BF")),"")</f>
        <v/>
      </c>
      <c r="H287" s="12">
        <f>IFERROR(IF(SUMIFS(tblDaily[Remaining],tblDaily[EntryDate],DATE(2026,8,8),tblDaily[WardCode],"BF")=0,"",SUMIFS(tblDaily[Remaining],tblDaily[EntryDate],DATE(2026,8,8),tblDaily[WardCode],"BF")),"")</f>
        <v/>
      </c>
    </row>
    <row r="288">
      <c r="A288" s="12" t="n">
        <v>9</v>
      </c>
      <c r="B288" s="12">
        <f>IFERROR(IF(SUMIFS(tblDaily[Admissions],tblDaily[EntryDate],DATE(2026,8,9),tblDaily[WardCode],"BF")=0,"",SUMIFS(tblDaily[Admissions],tblDaily[EntryDate],DATE(2026,8,9),tblDaily[WardCode],"BF")),"")</f>
        <v/>
      </c>
      <c r="C288" s="12">
        <f>IFERROR(IF(SUMIFS(tblDaily[Discharges],tblDaily[EntryDate],DATE(2026,8,9),tblDaily[WardCode],"BF")=0,"",SUMIFS(tblDaily[Discharges],tblDaily[EntryDate],DATE(2026,8,9),tblDaily[WardCode],"BF")),"")</f>
        <v/>
      </c>
      <c r="D288" s="12">
        <f>IFERROR(IF(SUMIFS(tblDaily[Deaths],tblDaily[EntryDate],DATE(2026,8,9),tblDaily[WardCode],"BF")=0,"",SUMIFS(tblDaily[Deaths],tblDaily[EntryDate],DATE(2026,8,9),tblDaily[WardCode],"BF")),"")</f>
        <v/>
      </c>
      <c r="E288" s="12">
        <f>IFERROR(IF(SUMIFS(tblDaily[DeathsUnder24Hrs],tblDaily[EntryDate],DATE(2026,8,9),tblDaily[WardCode],"BF")=0,"",SUMIFS(tblDaily[DeathsUnder24Hrs],tblDaily[EntryDate],DATE(2026,8,9),tblDaily[WardCode],"BF")),"")</f>
        <v/>
      </c>
      <c r="F288" s="12">
        <f>IFERROR(IF(SUMIFS(tblDaily[TransfersIn],tblDaily[EntryDate],DATE(2026,8,9),tblDaily[WardCode],"BF")=0,"",SUMIFS(tblDaily[TransfersIn],tblDaily[EntryDate],DATE(2026,8,9),tblDaily[WardCode],"BF")),"")</f>
        <v/>
      </c>
      <c r="G288" s="12">
        <f>IFERROR(IF(SUMIFS(tblDaily[TransfersOut],tblDaily[EntryDate],DATE(2026,8,9),tblDaily[WardCode],"BF")=0,"",SUMIFS(tblDaily[TransfersOut],tblDaily[EntryDate],DATE(2026,8,9),tblDaily[WardCode],"BF")),"")</f>
        <v/>
      </c>
      <c r="H288" s="12">
        <f>IFERROR(IF(SUMIFS(tblDaily[Remaining],tblDaily[EntryDate],DATE(2026,8,9),tblDaily[WardCode],"BF")=0,"",SUMIFS(tblDaily[Remaining],tblDaily[EntryDate],DATE(2026,8,9),tblDaily[WardCode],"BF")),"")</f>
        <v/>
      </c>
    </row>
    <row r="289">
      <c r="A289" s="12" t="n">
        <v>10</v>
      </c>
      <c r="B289" s="12">
        <f>IFERROR(IF(SUMIFS(tblDaily[Admissions],tblDaily[EntryDate],DATE(2026,8,10),tblDaily[WardCode],"BF")=0,"",SUMIFS(tblDaily[Admissions],tblDaily[EntryDate],DATE(2026,8,10),tblDaily[WardCode],"BF")),"")</f>
        <v/>
      </c>
      <c r="C289" s="12">
        <f>IFERROR(IF(SUMIFS(tblDaily[Discharges],tblDaily[EntryDate],DATE(2026,8,10),tblDaily[WardCode],"BF")=0,"",SUMIFS(tblDaily[Discharges],tblDaily[EntryDate],DATE(2026,8,10),tblDaily[WardCode],"BF")),"")</f>
        <v/>
      </c>
      <c r="D289" s="12">
        <f>IFERROR(IF(SUMIFS(tblDaily[Deaths],tblDaily[EntryDate],DATE(2026,8,10),tblDaily[WardCode],"BF")=0,"",SUMIFS(tblDaily[Deaths],tblDaily[EntryDate],DATE(2026,8,10),tblDaily[WardCode],"BF")),"")</f>
        <v/>
      </c>
      <c r="E289" s="12">
        <f>IFERROR(IF(SUMIFS(tblDaily[DeathsUnder24Hrs],tblDaily[EntryDate],DATE(2026,8,10),tblDaily[WardCode],"BF")=0,"",SUMIFS(tblDaily[DeathsUnder24Hrs],tblDaily[EntryDate],DATE(2026,8,10),tblDaily[WardCode],"BF")),"")</f>
        <v/>
      </c>
      <c r="F289" s="12">
        <f>IFERROR(IF(SUMIFS(tblDaily[TransfersIn],tblDaily[EntryDate],DATE(2026,8,10),tblDaily[WardCode],"BF")=0,"",SUMIFS(tblDaily[TransfersIn],tblDaily[EntryDate],DATE(2026,8,10),tblDaily[WardCode],"BF")),"")</f>
        <v/>
      </c>
      <c r="G289" s="12">
        <f>IFERROR(IF(SUMIFS(tblDaily[TransfersOut],tblDaily[EntryDate],DATE(2026,8,10),tblDaily[WardCode],"BF")=0,"",SUMIFS(tblDaily[TransfersOut],tblDaily[EntryDate],DATE(2026,8,10),tblDaily[WardCode],"BF")),"")</f>
        <v/>
      </c>
      <c r="H289" s="12">
        <f>IFERROR(IF(SUMIFS(tblDaily[Remaining],tblDaily[EntryDate],DATE(2026,8,10),tblDaily[WardCode],"BF")=0,"",SUMIFS(tblDaily[Remaining],tblDaily[EntryDate],DATE(2026,8,10),tblDaily[WardCode],"BF")),"")</f>
        <v/>
      </c>
    </row>
    <row r="290">
      <c r="A290" s="12" t="n">
        <v>11</v>
      </c>
      <c r="B290" s="12">
        <f>IFERROR(IF(SUMIFS(tblDaily[Admissions],tblDaily[EntryDate],DATE(2026,8,11),tblDaily[WardCode],"BF")=0,"",SUMIFS(tblDaily[Admissions],tblDaily[EntryDate],DATE(2026,8,11),tblDaily[WardCode],"BF")),"")</f>
        <v/>
      </c>
      <c r="C290" s="12">
        <f>IFERROR(IF(SUMIFS(tblDaily[Discharges],tblDaily[EntryDate],DATE(2026,8,11),tblDaily[WardCode],"BF")=0,"",SUMIFS(tblDaily[Discharges],tblDaily[EntryDate],DATE(2026,8,11),tblDaily[WardCode],"BF")),"")</f>
        <v/>
      </c>
      <c r="D290" s="12">
        <f>IFERROR(IF(SUMIFS(tblDaily[Deaths],tblDaily[EntryDate],DATE(2026,8,11),tblDaily[WardCode],"BF")=0,"",SUMIFS(tblDaily[Deaths],tblDaily[EntryDate],DATE(2026,8,11),tblDaily[WardCode],"BF")),"")</f>
        <v/>
      </c>
      <c r="E290" s="12">
        <f>IFERROR(IF(SUMIFS(tblDaily[DeathsUnder24Hrs],tblDaily[EntryDate],DATE(2026,8,11),tblDaily[WardCode],"BF")=0,"",SUMIFS(tblDaily[DeathsUnder24Hrs],tblDaily[EntryDate],DATE(2026,8,11),tblDaily[WardCode],"BF")),"")</f>
        <v/>
      </c>
      <c r="F290" s="12">
        <f>IFERROR(IF(SUMIFS(tblDaily[TransfersIn],tblDaily[EntryDate],DATE(2026,8,11),tblDaily[WardCode],"BF")=0,"",SUMIFS(tblDaily[TransfersIn],tblDaily[EntryDate],DATE(2026,8,11),tblDaily[WardCode],"BF")),"")</f>
        <v/>
      </c>
      <c r="G290" s="12">
        <f>IFERROR(IF(SUMIFS(tblDaily[TransfersOut],tblDaily[EntryDate],DATE(2026,8,11),tblDaily[WardCode],"BF")=0,"",SUMIFS(tblDaily[TransfersOut],tblDaily[EntryDate],DATE(2026,8,11),tblDaily[WardCode],"BF")),"")</f>
        <v/>
      </c>
      <c r="H290" s="12">
        <f>IFERROR(IF(SUMIFS(tblDaily[Remaining],tblDaily[EntryDate],DATE(2026,8,11),tblDaily[WardCode],"BF")=0,"",SUMIFS(tblDaily[Remaining],tblDaily[EntryDate],DATE(2026,8,11),tblDaily[WardCode],"BF")),"")</f>
        <v/>
      </c>
    </row>
    <row r="291">
      <c r="A291" s="12" t="n">
        <v>12</v>
      </c>
      <c r="B291" s="12">
        <f>IFERROR(IF(SUMIFS(tblDaily[Admissions],tblDaily[EntryDate],DATE(2026,8,12),tblDaily[WardCode],"BF")=0,"",SUMIFS(tblDaily[Admissions],tblDaily[EntryDate],DATE(2026,8,12),tblDaily[WardCode],"BF")),"")</f>
        <v/>
      </c>
      <c r="C291" s="12">
        <f>IFERROR(IF(SUMIFS(tblDaily[Discharges],tblDaily[EntryDate],DATE(2026,8,12),tblDaily[WardCode],"BF")=0,"",SUMIFS(tblDaily[Discharges],tblDaily[EntryDate],DATE(2026,8,12),tblDaily[WardCode],"BF")),"")</f>
        <v/>
      </c>
      <c r="D291" s="12">
        <f>IFERROR(IF(SUMIFS(tblDaily[Deaths],tblDaily[EntryDate],DATE(2026,8,12),tblDaily[WardCode],"BF")=0,"",SUMIFS(tblDaily[Deaths],tblDaily[EntryDate],DATE(2026,8,12),tblDaily[WardCode],"BF")),"")</f>
        <v/>
      </c>
      <c r="E291" s="12">
        <f>IFERROR(IF(SUMIFS(tblDaily[DeathsUnder24Hrs],tblDaily[EntryDate],DATE(2026,8,12),tblDaily[WardCode],"BF")=0,"",SUMIFS(tblDaily[DeathsUnder24Hrs],tblDaily[EntryDate],DATE(2026,8,12),tblDaily[WardCode],"BF")),"")</f>
        <v/>
      </c>
      <c r="F291" s="12">
        <f>IFERROR(IF(SUMIFS(tblDaily[TransfersIn],tblDaily[EntryDate],DATE(2026,8,12),tblDaily[WardCode],"BF")=0,"",SUMIFS(tblDaily[TransfersIn],tblDaily[EntryDate],DATE(2026,8,12),tblDaily[WardCode],"BF")),"")</f>
        <v/>
      </c>
      <c r="G291" s="12">
        <f>IFERROR(IF(SUMIFS(tblDaily[TransfersOut],tblDaily[EntryDate],DATE(2026,8,12),tblDaily[WardCode],"BF")=0,"",SUMIFS(tblDaily[TransfersOut],tblDaily[EntryDate],DATE(2026,8,12),tblDaily[WardCode],"BF")),"")</f>
        <v/>
      </c>
      <c r="H291" s="12">
        <f>IFERROR(IF(SUMIFS(tblDaily[Remaining],tblDaily[EntryDate],DATE(2026,8,12),tblDaily[WardCode],"BF")=0,"",SUMIFS(tblDaily[Remaining],tblDaily[EntryDate],DATE(2026,8,12),tblDaily[WardCode],"BF")),"")</f>
        <v/>
      </c>
    </row>
    <row r="292">
      <c r="A292" s="12" t="n">
        <v>13</v>
      </c>
      <c r="B292" s="12">
        <f>IFERROR(IF(SUMIFS(tblDaily[Admissions],tblDaily[EntryDate],DATE(2026,8,13),tblDaily[WardCode],"BF")=0,"",SUMIFS(tblDaily[Admissions],tblDaily[EntryDate],DATE(2026,8,13),tblDaily[WardCode],"BF")),"")</f>
        <v/>
      </c>
      <c r="C292" s="12">
        <f>IFERROR(IF(SUMIFS(tblDaily[Discharges],tblDaily[EntryDate],DATE(2026,8,13),tblDaily[WardCode],"BF")=0,"",SUMIFS(tblDaily[Discharges],tblDaily[EntryDate],DATE(2026,8,13),tblDaily[WardCode],"BF")),"")</f>
        <v/>
      </c>
      <c r="D292" s="12">
        <f>IFERROR(IF(SUMIFS(tblDaily[Deaths],tblDaily[EntryDate],DATE(2026,8,13),tblDaily[WardCode],"BF")=0,"",SUMIFS(tblDaily[Deaths],tblDaily[EntryDate],DATE(2026,8,13),tblDaily[WardCode],"BF")),"")</f>
        <v/>
      </c>
      <c r="E292" s="12">
        <f>IFERROR(IF(SUMIFS(tblDaily[DeathsUnder24Hrs],tblDaily[EntryDate],DATE(2026,8,13),tblDaily[WardCode],"BF")=0,"",SUMIFS(tblDaily[DeathsUnder24Hrs],tblDaily[EntryDate],DATE(2026,8,13),tblDaily[WardCode],"BF")),"")</f>
        <v/>
      </c>
      <c r="F292" s="12">
        <f>IFERROR(IF(SUMIFS(tblDaily[TransfersIn],tblDaily[EntryDate],DATE(2026,8,13),tblDaily[WardCode],"BF")=0,"",SUMIFS(tblDaily[TransfersIn],tblDaily[EntryDate],DATE(2026,8,13),tblDaily[WardCode],"BF")),"")</f>
        <v/>
      </c>
      <c r="G292" s="12">
        <f>IFERROR(IF(SUMIFS(tblDaily[TransfersOut],tblDaily[EntryDate],DATE(2026,8,13),tblDaily[WardCode],"BF")=0,"",SUMIFS(tblDaily[TransfersOut],tblDaily[EntryDate],DATE(2026,8,13),tblDaily[WardCode],"BF")),"")</f>
        <v/>
      </c>
      <c r="H292" s="12">
        <f>IFERROR(IF(SUMIFS(tblDaily[Remaining],tblDaily[EntryDate],DATE(2026,8,13),tblDaily[WardCode],"BF")=0,"",SUMIFS(tblDaily[Remaining],tblDaily[EntryDate],DATE(2026,8,13),tblDaily[WardCode],"BF")),"")</f>
        <v/>
      </c>
    </row>
    <row r="293">
      <c r="A293" s="12" t="n">
        <v>14</v>
      </c>
      <c r="B293" s="12">
        <f>IFERROR(IF(SUMIFS(tblDaily[Admissions],tblDaily[EntryDate],DATE(2026,8,14),tblDaily[WardCode],"BF")=0,"",SUMIFS(tblDaily[Admissions],tblDaily[EntryDate],DATE(2026,8,14),tblDaily[WardCode],"BF")),"")</f>
        <v/>
      </c>
      <c r="C293" s="12">
        <f>IFERROR(IF(SUMIFS(tblDaily[Discharges],tblDaily[EntryDate],DATE(2026,8,14),tblDaily[WardCode],"BF")=0,"",SUMIFS(tblDaily[Discharges],tblDaily[EntryDate],DATE(2026,8,14),tblDaily[WardCode],"BF")),"")</f>
        <v/>
      </c>
      <c r="D293" s="12">
        <f>IFERROR(IF(SUMIFS(tblDaily[Deaths],tblDaily[EntryDate],DATE(2026,8,14),tblDaily[WardCode],"BF")=0,"",SUMIFS(tblDaily[Deaths],tblDaily[EntryDate],DATE(2026,8,14),tblDaily[WardCode],"BF")),"")</f>
        <v/>
      </c>
      <c r="E293" s="12">
        <f>IFERROR(IF(SUMIFS(tblDaily[DeathsUnder24Hrs],tblDaily[EntryDate],DATE(2026,8,14),tblDaily[WardCode],"BF")=0,"",SUMIFS(tblDaily[DeathsUnder24Hrs],tblDaily[EntryDate],DATE(2026,8,14),tblDaily[WardCode],"BF")),"")</f>
        <v/>
      </c>
      <c r="F293" s="12">
        <f>IFERROR(IF(SUMIFS(tblDaily[TransfersIn],tblDaily[EntryDate],DATE(2026,8,14),tblDaily[WardCode],"BF")=0,"",SUMIFS(tblDaily[TransfersIn],tblDaily[EntryDate],DATE(2026,8,14),tblDaily[WardCode],"BF")),"")</f>
        <v/>
      </c>
      <c r="G293" s="12">
        <f>IFERROR(IF(SUMIFS(tblDaily[TransfersOut],tblDaily[EntryDate],DATE(2026,8,14),tblDaily[WardCode],"BF")=0,"",SUMIFS(tblDaily[TransfersOut],tblDaily[EntryDate],DATE(2026,8,14),tblDaily[WardCode],"BF")),"")</f>
        <v/>
      </c>
      <c r="H293" s="12">
        <f>IFERROR(IF(SUMIFS(tblDaily[Remaining],tblDaily[EntryDate],DATE(2026,8,14),tblDaily[WardCode],"BF")=0,"",SUMIFS(tblDaily[Remaining],tblDaily[EntryDate],DATE(2026,8,14),tblDaily[WardCode],"BF")),"")</f>
        <v/>
      </c>
    </row>
    <row r="294">
      <c r="A294" s="12" t="n">
        <v>15</v>
      </c>
      <c r="B294" s="12">
        <f>IFERROR(IF(SUMIFS(tblDaily[Admissions],tblDaily[EntryDate],DATE(2026,8,15),tblDaily[WardCode],"BF")=0,"",SUMIFS(tblDaily[Admissions],tblDaily[EntryDate],DATE(2026,8,15),tblDaily[WardCode],"BF")),"")</f>
        <v/>
      </c>
      <c r="C294" s="12">
        <f>IFERROR(IF(SUMIFS(tblDaily[Discharges],tblDaily[EntryDate],DATE(2026,8,15),tblDaily[WardCode],"BF")=0,"",SUMIFS(tblDaily[Discharges],tblDaily[EntryDate],DATE(2026,8,15),tblDaily[WardCode],"BF")),"")</f>
        <v/>
      </c>
      <c r="D294" s="12">
        <f>IFERROR(IF(SUMIFS(tblDaily[Deaths],tblDaily[EntryDate],DATE(2026,8,15),tblDaily[WardCode],"BF")=0,"",SUMIFS(tblDaily[Deaths],tblDaily[EntryDate],DATE(2026,8,15),tblDaily[WardCode],"BF")),"")</f>
        <v/>
      </c>
      <c r="E294" s="12">
        <f>IFERROR(IF(SUMIFS(tblDaily[DeathsUnder24Hrs],tblDaily[EntryDate],DATE(2026,8,15),tblDaily[WardCode],"BF")=0,"",SUMIFS(tblDaily[DeathsUnder24Hrs],tblDaily[EntryDate],DATE(2026,8,15),tblDaily[WardCode],"BF")),"")</f>
        <v/>
      </c>
      <c r="F294" s="12">
        <f>IFERROR(IF(SUMIFS(tblDaily[TransfersIn],tblDaily[EntryDate],DATE(2026,8,15),tblDaily[WardCode],"BF")=0,"",SUMIFS(tblDaily[TransfersIn],tblDaily[EntryDate],DATE(2026,8,15),tblDaily[WardCode],"BF")),"")</f>
        <v/>
      </c>
      <c r="G294" s="12">
        <f>IFERROR(IF(SUMIFS(tblDaily[TransfersOut],tblDaily[EntryDate],DATE(2026,8,15),tblDaily[WardCode],"BF")=0,"",SUMIFS(tblDaily[TransfersOut],tblDaily[EntryDate],DATE(2026,8,15),tblDaily[WardCode],"BF")),"")</f>
        <v/>
      </c>
      <c r="H294" s="12">
        <f>IFERROR(IF(SUMIFS(tblDaily[Remaining],tblDaily[EntryDate],DATE(2026,8,15),tblDaily[WardCode],"BF")=0,"",SUMIFS(tblDaily[Remaining],tblDaily[EntryDate],DATE(2026,8,15),tblDaily[WardCode],"BF")),"")</f>
        <v/>
      </c>
    </row>
    <row r="295">
      <c r="A295" s="12" t="n">
        <v>16</v>
      </c>
      <c r="B295" s="12">
        <f>IFERROR(IF(SUMIFS(tblDaily[Admissions],tblDaily[EntryDate],DATE(2026,8,16),tblDaily[WardCode],"BF")=0,"",SUMIFS(tblDaily[Admissions],tblDaily[EntryDate],DATE(2026,8,16),tblDaily[WardCode],"BF")),"")</f>
        <v/>
      </c>
      <c r="C295" s="12">
        <f>IFERROR(IF(SUMIFS(tblDaily[Discharges],tblDaily[EntryDate],DATE(2026,8,16),tblDaily[WardCode],"BF")=0,"",SUMIFS(tblDaily[Discharges],tblDaily[EntryDate],DATE(2026,8,16),tblDaily[WardCode],"BF")),"")</f>
        <v/>
      </c>
      <c r="D295" s="12">
        <f>IFERROR(IF(SUMIFS(tblDaily[Deaths],tblDaily[EntryDate],DATE(2026,8,16),tblDaily[WardCode],"BF")=0,"",SUMIFS(tblDaily[Deaths],tblDaily[EntryDate],DATE(2026,8,16),tblDaily[WardCode],"BF")),"")</f>
        <v/>
      </c>
      <c r="E295" s="12">
        <f>IFERROR(IF(SUMIFS(tblDaily[DeathsUnder24Hrs],tblDaily[EntryDate],DATE(2026,8,16),tblDaily[WardCode],"BF")=0,"",SUMIFS(tblDaily[DeathsUnder24Hrs],tblDaily[EntryDate],DATE(2026,8,16),tblDaily[WardCode],"BF")),"")</f>
        <v/>
      </c>
      <c r="F295" s="12">
        <f>IFERROR(IF(SUMIFS(tblDaily[TransfersIn],tblDaily[EntryDate],DATE(2026,8,16),tblDaily[WardCode],"BF")=0,"",SUMIFS(tblDaily[TransfersIn],tblDaily[EntryDate],DATE(2026,8,16),tblDaily[WardCode],"BF")),"")</f>
        <v/>
      </c>
      <c r="G295" s="12">
        <f>IFERROR(IF(SUMIFS(tblDaily[TransfersOut],tblDaily[EntryDate],DATE(2026,8,16),tblDaily[WardCode],"BF")=0,"",SUMIFS(tblDaily[TransfersOut],tblDaily[EntryDate],DATE(2026,8,16),tblDaily[WardCode],"BF")),"")</f>
        <v/>
      </c>
      <c r="H295" s="12">
        <f>IFERROR(IF(SUMIFS(tblDaily[Remaining],tblDaily[EntryDate],DATE(2026,8,16),tblDaily[WardCode],"BF")=0,"",SUMIFS(tblDaily[Remaining],tblDaily[EntryDate],DATE(2026,8,16),tblDaily[WardCode],"BF")),"")</f>
        <v/>
      </c>
    </row>
    <row r="296">
      <c r="A296" s="12" t="n">
        <v>17</v>
      </c>
      <c r="B296" s="12">
        <f>IFERROR(IF(SUMIFS(tblDaily[Admissions],tblDaily[EntryDate],DATE(2026,8,17),tblDaily[WardCode],"BF")=0,"",SUMIFS(tblDaily[Admissions],tblDaily[EntryDate],DATE(2026,8,17),tblDaily[WardCode],"BF")),"")</f>
        <v/>
      </c>
      <c r="C296" s="12">
        <f>IFERROR(IF(SUMIFS(tblDaily[Discharges],tblDaily[EntryDate],DATE(2026,8,17),tblDaily[WardCode],"BF")=0,"",SUMIFS(tblDaily[Discharges],tblDaily[EntryDate],DATE(2026,8,17),tblDaily[WardCode],"BF")),"")</f>
        <v/>
      </c>
      <c r="D296" s="12">
        <f>IFERROR(IF(SUMIFS(tblDaily[Deaths],tblDaily[EntryDate],DATE(2026,8,17),tblDaily[WardCode],"BF")=0,"",SUMIFS(tblDaily[Deaths],tblDaily[EntryDate],DATE(2026,8,17),tblDaily[WardCode],"BF")),"")</f>
        <v/>
      </c>
      <c r="E296" s="12">
        <f>IFERROR(IF(SUMIFS(tblDaily[DeathsUnder24Hrs],tblDaily[EntryDate],DATE(2026,8,17),tblDaily[WardCode],"BF")=0,"",SUMIFS(tblDaily[DeathsUnder24Hrs],tblDaily[EntryDate],DATE(2026,8,17),tblDaily[WardCode],"BF")),"")</f>
        <v/>
      </c>
      <c r="F296" s="12">
        <f>IFERROR(IF(SUMIFS(tblDaily[TransfersIn],tblDaily[EntryDate],DATE(2026,8,17),tblDaily[WardCode],"BF")=0,"",SUMIFS(tblDaily[TransfersIn],tblDaily[EntryDate],DATE(2026,8,17),tblDaily[WardCode],"BF")),"")</f>
        <v/>
      </c>
      <c r="G296" s="12">
        <f>IFERROR(IF(SUMIFS(tblDaily[TransfersOut],tblDaily[EntryDate],DATE(2026,8,17),tblDaily[WardCode],"BF")=0,"",SUMIFS(tblDaily[TransfersOut],tblDaily[EntryDate],DATE(2026,8,17),tblDaily[WardCode],"BF")),"")</f>
        <v/>
      </c>
      <c r="H296" s="12">
        <f>IFERROR(IF(SUMIFS(tblDaily[Remaining],tblDaily[EntryDate],DATE(2026,8,17),tblDaily[WardCode],"BF")=0,"",SUMIFS(tblDaily[Remaining],tblDaily[EntryDate],DATE(2026,8,17),tblDaily[WardCode],"BF")),"")</f>
        <v/>
      </c>
    </row>
    <row r="297">
      <c r="A297" s="12" t="n">
        <v>18</v>
      </c>
      <c r="B297" s="12">
        <f>IFERROR(IF(SUMIFS(tblDaily[Admissions],tblDaily[EntryDate],DATE(2026,8,18),tblDaily[WardCode],"BF")=0,"",SUMIFS(tblDaily[Admissions],tblDaily[EntryDate],DATE(2026,8,18),tblDaily[WardCode],"BF")),"")</f>
        <v/>
      </c>
      <c r="C297" s="12">
        <f>IFERROR(IF(SUMIFS(tblDaily[Discharges],tblDaily[EntryDate],DATE(2026,8,18),tblDaily[WardCode],"BF")=0,"",SUMIFS(tblDaily[Discharges],tblDaily[EntryDate],DATE(2026,8,18),tblDaily[WardCode],"BF")),"")</f>
        <v/>
      </c>
      <c r="D297" s="12">
        <f>IFERROR(IF(SUMIFS(tblDaily[Deaths],tblDaily[EntryDate],DATE(2026,8,18),tblDaily[WardCode],"BF")=0,"",SUMIFS(tblDaily[Deaths],tblDaily[EntryDate],DATE(2026,8,18),tblDaily[WardCode],"BF")),"")</f>
        <v/>
      </c>
      <c r="E297" s="12">
        <f>IFERROR(IF(SUMIFS(tblDaily[DeathsUnder24Hrs],tblDaily[EntryDate],DATE(2026,8,18),tblDaily[WardCode],"BF")=0,"",SUMIFS(tblDaily[DeathsUnder24Hrs],tblDaily[EntryDate],DATE(2026,8,18),tblDaily[WardCode],"BF")),"")</f>
        <v/>
      </c>
      <c r="F297" s="12">
        <f>IFERROR(IF(SUMIFS(tblDaily[TransfersIn],tblDaily[EntryDate],DATE(2026,8,18),tblDaily[WardCode],"BF")=0,"",SUMIFS(tblDaily[TransfersIn],tblDaily[EntryDate],DATE(2026,8,18),tblDaily[WardCode],"BF")),"")</f>
        <v/>
      </c>
      <c r="G297" s="12">
        <f>IFERROR(IF(SUMIFS(tblDaily[TransfersOut],tblDaily[EntryDate],DATE(2026,8,18),tblDaily[WardCode],"BF")=0,"",SUMIFS(tblDaily[TransfersOut],tblDaily[EntryDate],DATE(2026,8,18),tblDaily[WardCode],"BF")),"")</f>
        <v/>
      </c>
      <c r="H297" s="12">
        <f>IFERROR(IF(SUMIFS(tblDaily[Remaining],tblDaily[EntryDate],DATE(2026,8,18),tblDaily[WardCode],"BF")=0,"",SUMIFS(tblDaily[Remaining],tblDaily[EntryDate],DATE(2026,8,18),tblDaily[WardCode],"BF")),"")</f>
        <v/>
      </c>
    </row>
    <row r="298">
      <c r="A298" s="12" t="n">
        <v>19</v>
      </c>
      <c r="B298" s="12">
        <f>IFERROR(IF(SUMIFS(tblDaily[Admissions],tblDaily[EntryDate],DATE(2026,8,19),tblDaily[WardCode],"BF")=0,"",SUMIFS(tblDaily[Admissions],tblDaily[EntryDate],DATE(2026,8,19),tblDaily[WardCode],"BF")),"")</f>
        <v/>
      </c>
      <c r="C298" s="12">
        <f>IFERROR(IF(SUMIFS(tblDaily[Discharges],tblDaily[EntryDate],DATE(2026,8,19),tblDaily[WardCode],"BF")=0,"",SUMIFS(tblDaily[Discharges],tblDaily[EntryDate],DATE(2026,8,19),tblDaily[WardCode],"BF")),"")</f>
        <v/>
      </c>
      <c r="D298" s="12">
        <f>IFERROR(IF(SUMIFS(tblDaily[Deaths],tblDaily[EntryDate],DATE(2026,8,19),tblDaily[WardCode],"BF")=0,"",SUMIFS(tblDaily[Deaths],tblDaily[EntryDate],DATE(2026,8,19),tblDaily[WardCode],"BF")),"")</f>
        <v/>
      </c>
      <c r="E298" s="12">
        <f>IFERROR(IF(SUMIFS(tblDaily[DeathsUnder24Hrs],tblDaily[EntryDate],DATE(2026,8,19),tblDaily[WardCode],"BF")=0,"",SUMIFS(tblDaily[DeathsUnder24Hrs],tblDaily[EntryDate],DATE(2026,8,19),tblDaily[WardCode],"BF")),"")</f>
        <v/>
      </c>
      <c r="F298" s="12">
        <f>IFERROR(IF(SUMIFS(tblDaily[TransfersIn],tblDaily[EntryDate],DATE(2026,8,19),tblDaily[WardCode],"BF")=0,"",SUMIFS(tblDaily[TransfersIn],tblDaily[EntryDate],DATE(2026,8,19),tblDaily[WardCode],"BF")),"")</f>
        <v/>
      </c>
      <c r="G298" s="12">
        <f>IFERROR(IF(SUMIFS(tblDaily[TransfersOut],tblDaily[EntryDate],DATE(2026,8,19),tblDaily[WardCode],"BF")=0,"",SUMIFS(tblDaily[TransfersOut],tblDaily[EntryDate],DATE(2026,8,19),tblDaily[WardCode],"BF")),"")</f>
        <v/>
      </c>
      <c r="H298" s="12">
        <f>IFERROR(IF(SUMIFS(tblDaily[Remaining],tblDaily[EntryDate],DATE(2026,8,19),tblDaily[WardCode],"BF")=0,"",SUMIFS(tblDaily[Remaining],tblDaily[EntryDate],DATE(2026,8,19),tblDaily[WardCode],"BF")),"")</f>
        <v/>
      </c>
    </row>
    <row r="299">
      <c r="A299" s="12" t="n">
        <v>20</v>
      </c>
      <c r="B299" s="12">
        <f>IFERROR(IF(SUMIFS(tblDaily[Admissions],tblDaily[EntryDate],DATE(2026,8,20),tblDaily[WardCode],"BF")=0,"",SUMIFS(tblDaily[Admissions],tblDaily[EntryDate],DATE(2026,8,20),tblDaily[WardCode],"BF")),"")</f>
        <v/>
      </c>
      <c r="C299" s="12">
        <f>IFERROR(IF(SUMIFS(tblDaily[Discharges],tblDaily[EntryDate],DATE(2026,8,20),tblDaily[WardCode],"BF")=0,"",SUMIFS(tblDaily[Discharges],tblDaily[EntryDate],DATE(2026,8,20),tblDaily[WardCode],"BF")),"")</f>
        <v/>
      </c>
      <c r="D299" s="12">
        <f>IFERROR(IF(SUMIFS(tblDaily[Deaths],tblDaily[EntryDate],DATE(2026,8,20),tblDaily[WardCode],"BF")=0,"",SUMIFS(tblDaily[Deaths],tblDaily[EntryDate],DATE(2026,8,20),tblDaily[WardCode],"BF")),"")</f>
        <v/>
      </c>
      <c r="E299" s="12">
        <f>IFERROR(IF(SUMIFS(tblDaily[DeathsUnder24Hrs],tblDaily[EntryDate],DATE(2026,8,20),tblDaily[WardCode],"BF")=0,"",SUMIFS(tblDaily[DeathsUnder24Hrs],tblDaily[EntryDate],DATE(2026,8,20),tblDaily[WardCode],"BF")),"")</f>
        <v/>
      </c>
      <c r="F299" s="12">
        <f>IFERROR(IF(SUMIFS(tblDaily[TransfersIn],tblDaily[EntryDate],DATE(2026,8,20),tblDaily[WardCode],"BF")=0,"",SUMIFS(tblDaily[TransfersIn],tblDaily[EntryDate],DATE(2026,8,20),tblDaily[WardCode],"BF")),"")</f>
        <v/>
      </c>
      <c r="G299" s="12">
        <f>IFERROR(IF(SUMIFS(tblDaily[TransfersOut],tblDaily[EntryDate],DATE(2026,8,20),tblDaily[WardCode],"BF")=0,"",SUMIFS(tblDaily[TransfersOut],tblDaily[EntryDate],DATE(2026,8,20),tblDaily[WardCode],"BF")),"")</f>
        <v/>
      </c>
      <c r="H299" s="12">
        <f>IFERROR(IF(SUMIFS(tblDaily[Remaining],tblDaily[EntryDate],DATE(2026,8,20),tblDaily[WardCode],"BF")=0,"",SUMIFS(tblDaily[Remaining],tblDaily[EntryDate],DATE(2026,8,20),tblDaily[WardCode],"BF")),"")</f>
        <v/>
      </c>
    </row>
    <row r="300">
      <c r="A300" s="12" t="n">
        <v>21</v>
      </c>
      <c r="B300" s="12">
        <f>IFERROR(IF(SUMIFS(tblDaily[Admissions],tblDaily[EntryDate],DATE(2026,8,21),tblDaily[WardCode],"BF")=0,"",SUMIFS(tblDaily[Admissions],tblDaily[EntryDate],DATE(2026,8,21),tblDaily[WardCode],"BF")),"")</f>
        <v/>
      </c>
      <c r="C300" s="12">
        <f>IFERROR(IF(SUMIFS(tblDaily[Discharges],tblDaily[EntryDate],DATE(2026,8,21),tblDaily[WardCode],"BF")=0,"",SUMIFS(tblDaily[Discharges],tblDaily[EntryDate],DATE(2026,8,21),tblDaily[WardCode],"BF")),"")</f>
        <v/>
      </c>
      <c r="D300" s="12">
        <f>IFERROR(IF(SUMIFS(tblDaily[Deaths],tblDaily[EntryDate],DATE(2026,8,21),tblDaily[WardCode],"BF")=0,"",SUMIFS(tblDaily[Deaths],tblDaily[EntryDate],DATE(2026,8,21),tblDaily[WardCode],"BF")),"")</f>
        <v/>
      </c>
      <c r="E300" s="12">
        <f>IFERROR(IF(SUMIFS(tblDaily[DeathsUnder24Hrs],tblDaily[EntryDate],DATE(2026,8,21),tblDaily[WardCode],"BF")=0,"",SUMIFS(tblDaily[DeathsUnder24Hrs],tblDaily[EntryDate],DATE(2026,8,21),tblDaily[WardCode],"BF")),"")</f>
        <v/>
      </c>
      <c r="F300" s="12">
        <f>IFERROR(IF(SUMIFS(tblDaily[TransfersIn],tblDaily[EntryDate],DATE(2026,8,21),tblDaily[WardCode],"BF")=0,"",SUMIFS(tblDaily[TransfersIn],tblDaily[EntryDate],DATE(2026,8,21),tblDaily[WardCode],"BF")),"")</f>
        <v/>
      </c>
      <c r="G300" s="12">
        <f>IFERROR(IF(SUMIFS(tblDaily[TransfersOut],tblDaily[EntryDate],DATE(2026,8,21),tblDaily[WardCode],"BF")=0,"",SUMIFS(tblDaily[TransfersOut],tblDaily[EntryDate],DATE(2026,8,21),tblDaily[WardCode],"BF")),"")</f>
        <v/>
      </c>
      <c r="H300" s="12">
        <f>IFERROR(IF(SUMIFS(tblDaily[Remaining],tblDaily[EntryDate],DATE(2026,8,21),tblDaily[WardCode],"BF")=0,"",SUMIFS(tblDaily[Remaining],tblDaily[EntryDate],DATE(2026,8,21),tblDaily[WardCode],"BF")),"")</f>
        <v/>
      </c>
    </row>
    <row r="301">
      <c r="A301" s="12" t="n">
        <v>22</v>
      </c>
      <c r="B301" s="12">
        <f>IFERROR(IF(SUMIFS(tblDaily[Admissions],tblDaily[EntryDate],DATE(2026,8,22),tblDaily[WardCode],"BF")=0,"",SUMIFS(tblDaily[Admissions],tblDaily[EntryDate],DATE(2026,8,22),tblDaily[WardCode],"BF")),"")</f>
        <v/>
      </c>
      <c r="C301" s="12">
        <f>IFERROR(IF(SUMIFS(tblDaily[Discharges],tblDaily[EntryDate],DATE(2026,8,22),tblDaily[WardCode],"BF")=0,"",SUMIFS(tblDaily[Discharges],tblDaily[EntryDate],DATE(2026,8,22),tblDaily[WardCode],"BF")),"")</f>
        <v/>
      </c>
      <c r="D301" s="12">
        <f>IFERROR(IF(SUMIFS(tblDaily[Deaths],tblDaily[EntryDate],DATE(2026,8,22),tblDaily[WardCode],"BF")=0,"",SUMIFS(tblDaily[Deaths],tblDaily[EntryDate],DATE(2026,8,22),tblDaily[WardCode],"BF")),"")</f>
        <v/>
      </c>
      <c r="E301" s="12">
        <f>IFERROR(IF(SUMIFS(tblDaily[DeathsUnder24Hrs],tblDaily[EntryDate],DATE(2026,8,22),tblDaily[WardCode],"BF")=0,"",SUMIFS(tblDaily[DeathsUnder24Hrs],tblDaily[EntryDate],DATE(2026,8,22),tblDaily[WardCode],"BF")),"")</f>
        <v/>
      </c>
      <c r="F301" s="12">
        <f>IFERROR(IF(SUMIFS(tblDaily[TransfersIn],tblDaily[EntryDate],DATE(2026,8,22),tblDaily[WardCode],"BF")=0,"",SUMIFS(tblDaily[TransfersIn],tblDaily[EntryDate],DATE(2026,8,22),tblDaily[WardCode],"BF")),"")</f>
        <v/>
      </c>
      <c r="G301" s="12">
        <f>IFERROR(IF(SUMIFS(tblDaily[TransfersOut],tblDaily[EntryDate],DATE(2026,8,22),tblDaily[WardCode],"BF")=0,"",SUMIFS(tblDaily[TransfersOut],tblDaily[EntryDate],DATE(2026,8,22),tblDaily[WardCode],"BF")),"")</f>
        <v/>
      </c>
      <c r="H301" s="12">
        <f>IFERROR(IF(SUMIFS(tblDaily[Remaining],tblDaily[EntryDate],DATE(2026,8,22),tblDaily[WardCode],"BF")=0,"",SUMIFS(tblDaily[Remaining],tblDaily[EntryDate],DATE(2026,8,22),tblDaily[WardCode],"BF")),"")</f>
        <v/>
      </c>
    </row>
    <row r="302">
      <c r="A302" s="12" t="n">
        <v>23</v>
      </c>
      <c r="B302" s="12">
        <f>IFERROR(IF(SUMIFS(tblDaily[Admissions],tblDaily[EntryDate],DATE(2026,8,23),tblDaily[WardCode],"BF")=0,"",SUMIFS(tblDaily[Admissions],tblDaily[EntryDate],DATE(2026,8,23),tblDaily[WardCode],"BF")),"")</f>
        <v/>
      </c>
      <c r="C302" s="12">
        <f>IFERROR(IF(SUMIFS(tblDaily[Discharges],tblDaily[EntryDate],DATE(2026,8,23),tblDaily[WardCode],"BF")=0,"",SUMIFS(tblDaily[Discharges],tblDaily[EntryDate],DATE(2026,8,23),tblDaily[WardCode],"BF")),"")</f>
        <v/>
      </c>
      <c r="D302" s="12">
        <f>IFERROR(IF(SUMIFS(tblDaily[Deaths],tblDaily[EntryDate],DATE(2026,8,23),tblDaily[WardCode],"BF")=0,"",SUMIFS(tblDaily[Deaths],tblDaily[EntryDate],DATE(2026,8,23),tblDaily[WardCode],"BF")),"")</f>
        <v/>
      </c>
      <c r="E302" s="12">
        <f>IFERROR(IF(SUMIFS(tblDaily[DeathsUnder24Hrs],tblDaily[EntryDate],DATE(2026,8,23),tblDaily[WardCode],"BF")=0,"",SUMIFS(tblDaily[DeathsUnder24Hrs],tblDaily[EntryDate],DATE(2026,8,23),tblDaily[WardCode],"BF")),"")</f>
        <v/>
      </c>
      <c r="F302" s="12">
        <f>IFERROR(IF(SUMIFS(tblDaily[TransfersIn],tblDaily[EntryDate],DATE(2026,8,23),tblDaily[WardCode],"BF")=0,"",SUMIFS(tblDaily[TransfersIn],tblDaily[EntryDate],DATE(2026,8,23),tblDaily[WardCode],"BF")),"")</f>
        <v/>
      </c>
      <c r="G302" s="12">
        <f>IFERROR(IF(SUMIFS(tblDaily[TransfersOut],tblDaily[EntryDate],DATE(2026,8,23),tblDaily[WardCode],"BF")=0,"",SUMIFS(tblDaily[TransfersOut],tblDaily[EntryDate],DATE(2026,8,23),tblDaily[WardCode],"BF")),"")</f>
        <v/>
      </c>
      <c r="H302" s="12">
        <f>IFERROR(IF(SUMIFS(tblDaily[Remaining],tblDaily[EntryDate],DATE(2026,8,23),tblDaily[WardCode],"BF")=0,"",SUMIFS(tblDaily[Remaining],tblDaily[EntryDate],DATE(2026,8,23),tblDaily[WardCode],"BF")),"")</f>
        <v/>
      </c>
    </row>
    <row r="303">
      <c r="A303" s="12" t="n">
        <v>24</v>
      </c>
      <c r="B303" s="12">
        <f>IFERROR(IF(SUMIFS(tblDaily[Admissions],tblDaily[EntryDate],DATE(2026,8,24),tblDaily[WardCode],"BF")=0,"",SUMIFS(tblDaily[Admissions],tblDaily[EntryDate],DATE(2026,8,24),tblDaily[WardCode],"BF")),"")</f>
        <v/>
      </c>
      <c r="C303" s="12">
        <f>IFERROR(IF(SUMIFS(tblDaily[Discharges],tblDaily[EntryDate],DATE(2026,8,24),tblDaily[WardCode],"BF")=0,"",SUMIFS(tblDaily[Discharges],tblDaily[EntryDate],DATE(2026,8,24),tblDaily[WardCode],"BF")),"")</f>
        <v/>
      </c>
      <c r="D303" s="12">
        <f>IFERROR(IF(SUMIFS(tblDaily[Deaths],tblDaily[EntryDate],DATE(2026,8,24),tblDaily[WardCode],"BF")=0,"",SUMIFS(tblDaily[Deaths],tblDaily[EntryDate],DATE(2026,8,24),tblDaily[WardCode],"BF")),"")</f>
        <v/>
      </c>
      <c r="E303" s="12">
        <f>IFERROR(IF(SUMIFS(tblDaily[DeathsUnder24Hrs],tblDaily[EntryDate],DATE(2026,8,24),tblDaily[WardCode],"BF")=0,"",SUMIFS(tblDaily[DeathsUnder24Hrs],tblDaily[EntryDate],DATE(2026,8,24),tblDaily[WardCode],"BF")),"")</f>
        <v/>
      </c>
      <c r="F303" s="12">
        <f>IFERROR(IF(SUMIFS(tblDaily[TransfersIn],tblDaily[EntryDate],DATE(2026,8,24),tblDaily[WardCode],"BF")=0,"",SUMIFS(tblDaily[TransfersIn],tblDaily[EntryDate],DATE(2026,8,24),tblDaily[WardCode],"BF")),"")</f>
        <v/>
      </c>
      <c r="G303" s="12">
        <f>IFERROR(IF(SUMIFS(tblDaily[TransfersOut],tblDaily[EntryDate],DATE(2026,8,24),tblDaily[WardCode],"BF")=0,"",SUMIFS(tblDaily[TransfersOut],tblDaily[EntryDate],DATE(2026,8,24),tblDaily[WardCode],"BF")),"")</f>
        <v/>
      </c>
      <c r="H303" s="12">
        <f>IFERROR(IF(SUMIFS(tblDaily[Remaining],tblDaily[EntryDate],DATE(2026,8,24),tblDaily[WardCode],"BF")=0,"",SUMIFS(tblDaily[Remaining],tblDaily[EntryDate],DATE(2026,8,24),tblDaily[WardCode],"BF")),"")</f>
        <v/>
      </c>
    </row>
    <row r="304">
      <c r="A304" s="12" t="n">
        <v>25</v>
      </c>
      <c r="B304" s="12">
        <f>IFERROR(IF(SUMIFS(tblDaily[Admissions],tblDaily[EntryDate],DATE(2026,8,25),tblDaily[WardCode],"BF")=0,"",SUMIFS(tblDaily[Admissions],tblDaily[EntryDate],DATE(2026,8,25),tblDaily[WardCode],"BF")),"")</f>
        <v/>
      </c>
      <c r="C304" s="12">
        <f>IFERROR(IF(SUMIFS(tblDaily[Discharges],tblDaily[EntryDate],DATE(2026,8,25),tblDaily[WardCode],"BF")=0,"",SUMIFS(tblDaily[Discharges],tblDaily[EntryDate],DATE(2026,8,25),tblDaily[WardCode],"BF")),"")</f>
        <v/>
      </c>
      <c r="D304" s="12">
        <f>IFERROR(IF(SUMIFS(tblDaily[Deaths],tblDaily[EntryDate],DATE(2026,8,25),tblDaily[WardCode],"BF")=0,"",SUMIFS(tblDaily[Deaths],tblDaily[EntryDate],DATE(2026,8,25),tblDaily[WardCode],"BF")),"")</f>
        <v/>
      </c>
      <c r="E304" s="12">
        <f>IFERROR(IF(SUMIFS(tblDaily[DeathsUnder24Hrs],tblDaily[EntryDate],DATE(2026,8,25),tblDaily[WardCode],"BF")=0,"",SUMIFS(tblDaily[DeathsUnder24Hrs],tblDaily[EntryDate],DATE(2026,8,25),tblDaily[WardCode],"BF")),"")</f>
        <v/>
      </c>
      <c r="F304" s="12">
        <f>IFERROR(IF(SUMIFS(tblDaily[TransfersIn],tblDaily[EntryDate],DATE(2026,8,25),tblDaily[WardCode],"BF")=0,"",SUMIFS(tblDaily[TransfersIn],tblDaily[EntryDate],DATE(2026,8,25),tblDaily[WardCode],"BF")),"")</f>
        <v/>
      </c>
      <c r="G304" s="12">
        <f>IFERROR(IF(SUMIFS(tblDaily[TransfersOut],tblDaily[EntryDate],DATE(2026,8,25),tblDaily[WardCode],"BF")=0,"",SUMIFS(tblDaily[TransfersOut],tblDaily[EntryDate],DATE(2026,8,25),tblDaily[WardCode],"BF")),"")</f>
        <v/>
      </c>
      <c r="H304" s="12">
        <f>IFERROR(IF(SUMIFS(tblDaily[Remaining],tblDaily[EntryDate],DATE(2026,8,25),tblDaily[WardCode],"BF")=0,"",SUMIFS(tblDaily[Remaining],tblDaily[EntryDate],DATE(2026,8,25),tblDaily[WardCode],"BF")),"")</f>
        <v/>
      </c>
    </row>
    <row r="305">
      <c r="A305" s="12" t="n">
        <v>26</v>
      </c>
      <c r="B305" s="12">
        <f>IFERROR(IF(SUMIFS(tblDaily[Admissions],tblDaily[EntryDate],DATE(2026,8,26),tblDaily[WardCode],"BF")=0,"",SUMIFS(tblDaily[Admissions],tblDaily[EntryDate],DATE(2026,8,26),tblDaily[WardCode],"BF")),"")</f>
        <v/>
      </c>
      <c r="C305" s="12">
        <f>IFERROR(IF(SUMIFS(tblDaily[Discharges],tblDaily[EntryDate],DATE(2026,8,26),tblDaily[WardCode],"BF")=0,"",SUMIFS(tblDaily[Discharges],tblDaily[EntryDate],DATE(2026,8,26),tblDaily[WardCode],"BF")),"")</f>
        <v/>
      </c>
      <c r="D305" s="12">
        <f>IFERROR(IF(SUMIFS(tblDaily[Deaths],tblDaily[EntryDate],DATE(2026,8,26),tblDaily[WardCode],"BF")=0,"",SUMIFS(tblDaily[Deaths],tblDaily[EntryDate],DATE(2026,8,26),tblDaily[WardCode],"BF")),"")</f>
        <v/>
      </c>
      <c r="E305" s="12">
        <f>IFERROR(IF(SUMIFS(tblDaily[DeathsUnder24Hrs],tblDaily[EntryDate],DATE(2026,8,26),tblDaily[WardCode],"BF")=0,"",SUMIFS(tblDaily[DeathsUnder24Hrs],tblDaily[EntryDate],DATE(2026,8,26),tblDaily[WardCode],"BF")),"")</f>
        <v/>
      </c>
      <c r="F305" s="12">
        <f>IFERROR(IF(SUMIFS(tblDaily[TransfersIn],tblDaily[EntryDate],DATE(2026,8,26),tblDaily[WardCode],"BF")=0,"",SUMIFS(tblDaily[TransfersIn],tblDaily[EntryDate],DATE(2026,8,26),tblDaily[WardCode],"BF")),"")</f>
        <v/>
      </c>
      <c r="G305" s="12">
        <f>IFERROR(IF(SUMIFS(tblDaily[TransfersOut],tblDaily[EntryDate],DATE(2026,8,26),tblDaily[WardCode],"BF")=0,"",SUMIFS(tblDaily[TransfersOut],tblDaily[EntryDate],DATE(2026,8,26),tblDaily[WardCode],"BF")),"")</f>
        <v/>
      </c>
      <c r="H305" s="12">
        <f>IFERROR(IF(SUMIFS(tblDaily[Remaining],tblDaily[EntryDate],DATE(2026,8,26),tblDaily[WardCode],"BF")=0,"",SUMIFS(tblDaily[Remaining],tblDaily[EntryDate],DATE(2026,8,26),tblDaily[WardCode],"BF")),"")</f>
        <v/>
      </c>
    </row>
    <row r="306">
      <c r="A306" s="12" t="n">
        <v>27</v>
      </c>
      <c r="B306" s="12">
        <f>IFERROR(IF(SUMIFS(tblDaily[Admissions],tblDaily[EntryDate],DATE(2026,8,27),tblDaily[WardCode],"BF")=0,"",SUMIFS(tblDaily[Admissions],tblDaily[EntryDate],DATE(2026,8,27),tblDaily[WardCode],"BF")),"")</f>
        <v/>
      </c>
      <c r="C306" s="12">
        <f>IFERROR(IF(SUMIFS(tblDaily[Discharges],tblDaily[EntryDate],DATE(2026,8,27),tblDaily[WardCode],"BF")=0,"",SUMIFS(tblDaily[Discharges],tblDaily[EntryDate],DATE(2026,8,27),tblDaily[WardCode],"BF")),"")</f>
        <v/>
      </c>
      <c r="D306" s="12">
        <f>IFERROR(IF(SUMIFS(tblDaily[Deaths],tblDaily[EntryDate],DATE(2026,8,27),tblDaily[WardCode],"BF")=0,"",SUMIFS(tblDaily[Deaths],tblDaily[EntryDate],DATE(2026,8,27),tblDaily[WardCode],"BF")),"")</f>
        <v/>
      </c>
      <c r="E306" s="12">
        <f>IFERROR(IF(SUMIFS(tblDaily[DeathsUnder24Hrs],tblDaily[EntryDate],DATE(2026,8,27),tblDaily[WardCode],"BF")=0,"",SUMIFS(tblDaily[DeathsUnder24Hrs],tblDaily[EntryDate],DATE(2026,8,27),tblDaily[WardCode],"BF")),"")</f>
        <v/>
      </c>
      <c r="F306" s="12">
        <f>IFERROR(IF(SUMIFS(tblDaily[TransfersIn],tblDaily[EntryDate],DATE(2026,8,27),tblDaily[WardCode],"BF")=0,"",SUMIFS(tblDaily[TransfersIn],tblDaily[EntryDate],DATE(2026,8,27),tblDaily[WardCode],"BF")),"")</f>
        <v/>
      </c>
      <c r="G306" s="12">
        <f>IFERROR(IF(SUMIFS(tblDaily[TransfersOut],tblDaily[EntryDate],DATE(2026,8,27),tblDaily[WardCode],"BF")=0,"",SUMIFS(tblDaily[TransfersOut],tblDaily[EntryDate],DATE(2026,8,27),tblDaily[WardCode],"BF")),"")</f>
        <v/>
      </c>
      <c r="H306" s="12">
        <f>IFERROR(IF(SUMIFS(tblDaily[Remaining],tblDaily[EntryDate],DATE(2026,8,27),tblDaily[WardCode],"BF")=0,"",SUMIFS(tblDaily[Remaining],tblDaily[EntryDate],DATE(2026,8,27),tblDaily[WardCode],"BF")),"")</f>
        <v/>
      </c>
    </row>
    <row r="307">
      <c r="A307" s="12" t="n">
        <v>28</v>
      </c>
      <c r="B307" s="12">
        <f>IFERROR(IF(SUMIFS(tblDaily[Admissions],tblDaily[EntryDate],DATE(2026,8,28),tblDaily[WardCode],"BF")=0,"",SUMIFS(tblDaily[Admissions],tblDaily[EntryDate],DATE(2026,8,28),tblDaily[WardCode],"BF")),"")</f>
        <v/>
      </c>
      <c r="C307" s="12">
        <f>IFERROR(IF(SUMIFS(tblDaily[Discharges],tblDaily[EntryDate],DATE(2026,8,28),tblDaily[WardCode],"BF")=0,"",SUMIFS(tblDaily[Discharges],tblDaily[EntryDate],DATE(2026,8,28),tblDaily[WardCode],"BF")),"")</f>
        <v/>
      </c>
      <c r="D307" s="12">
        <f>IFERROR(IF(SUMIFS(tblDaily[Deaths],tblDaily[EntryDate],DATE(2026,8,28),tblDaily[WardCode],"BF")=0,"",SUMIFS(tblDaily[Deaths],tblDaily[EntryDate],DATE(2026,8,28),tblDaily[WardCode],"BF")),"")</f>
        <v/>
      </c>
      <c r="E307" s="12">
        <f>IFERROR(IF(SUMIFS(tblDaily[DeathsUnder24Hrs],tblDaily[EntryDate],DATE(2026,8,28),tblDaily[WardCode],"BF")=0,"",SUMIFS(tblDaily[DeathsUnder24Hrs],tblDaily[EntryDate],DATE(2026,8,28),tblDaily[WardCode],"BF")),"")</f>
        <v/>
      </c>
      <c r="F307" s="12">
        <f>IFERROR(IF(SUMIFS(tblDaily[TransfersIn],tblDaily[EntryDate],DATE(2026,8,28),tblDaily[WardCode],"BF")=0,"",SUMIFS(tblDaily[TransfersIn],tblDaily[EntryDate],DATE(2026,8,28),tblDaily[WardCode],"BF")),"")</f>
        <v/>
      </c>
      <c r="G307" s="12">
        <f>IFERROR(IF(SUMIFS(tblDaily[TransfersOut],tblDaily[EntryDate],DATE(2026,8,28),tblDaily[WardCode],"BF")=0,"",SUMIFS(tblDaily[TransfersOut],tblDaily[EntryDate],DATE(2026,8,28),tblDaily[WardCode],"BF")),"")</f>
        <v/>
      </c>
      <c r="H307" s="12">
        <f>IFERROR(IF(SUMIFS(tblDaily[Remaining],tblDaily[EntryDate],DATE(2026,8,28),tblDaily[WardCode],"BF")=0,"",SUMIFS(tblDaily[Remaining],tblDaily[EntryDate],DATE(2026,8,28),tblDaily[WardCode],"BF")),"")</f>
        <v/>
      </c>
    </row>
    <row r="308">
      <c r="A308" s="12" t="n">
        <v>29</v>
      </c>
      <c r="B308" s="12">
        <f>IFERROR(IF(SUMIFS(tblDaily[Admissions],tblDaily[EntryDate],DATE(2026,8,29),tblDaily[WardCode],"BF")=0,"",SUMIFS(tblDaily[Admissions],tblDaily[EntryDate],DATE(2026,8,29),tblDaily[WardCode],"BF")),"")</f>
        <v/>
      </c>
      <c r="C308" s="12">
        <f>IFERROR(IF(SUMIFS(tblDaily[Discharges],tblDaily[EntryDate],DATE(2026,8,29),tblDaily[WardCode],"BF")=0,"",SUMIFS(tblDaily[Discharges],tblDaily[EntryDate],DATE(2026,8,29),tblDaily[WardCode],"BF")),"")</f>
        <v/>
      </c>
      <c r="D308" s="12">
        <f>IFERROR(IF(SUMIFS(tblDaily[Deaths],tblDaily[EntryDate],DATE(2026,8,29),tblDaily[WardCode],"BF")=0,"",SUMIFS(tblDaily[Deaths],tblDaily[EntryDate],DATE(2026,8,29),tblDaily[WardCode],"BF")),"")</f>
        <v/>
      </c>
      <c r="E308" s="12">
        <f>IFERROR(IF(SUMIFS(tblDaily[DeathsUnder24Hrs],tblDaily[EntryDate],DATE(2026,8,29),tblDaily[WardCode],"BF")=0,"",SUMIFS(tblDaily[DeathsUnder24Hrs],tblDaily[EntryDate],DATE(2026,8,29),tblDaily[WardCode],"BF")),"")</f>
        <v/>
      </c>
      <c r="F308" s="12">
        <f>IFERROR(IF(SUMIFS(tblDaily[TransfersIn],tblDaily[EntryDate],DATE(2026,8,29),tblDaily[WardCode],"BF")=0,"",SUMIFS(tblDaily[TransfersIn],tblDaily[EntryDate],DATE(2026,8,29),tblDaily[WardCode],"BF")),"")</f>
        <v/>
      </c>
      <c r="G308" s="12">
        <f>IFERROR(IF(SUMIFS(tblDaily[TransfersOut],tblDaily[EntryDate],DATE(2026,8,29),tblDaily[WardCode],"BF")=0,"",SUMIFS(tblDaily[TransfersOut],tblDaily[EntryDate],DATE(2026,8,29),tblDaily[WardCode],"BF")),"")</f>
        <v/>
      </c>
      <c r="H308" s="12">
        <f>IFERROR(IF(SUMIFS(tblDaily[Remaining],tblDaily[EntryDate],DATE(2026,8,29),tblDaily[WardCode],"BF")=0,"",SUMIFS(tblDaily[Remaining],tblDaily[EntryDate],DATE(2026,8,29),tblDaily[WardCode],"BF")),"")</f>
        <v/>
      </c>
    </row>
    <row r="309">
      <c r="A309" s="12" t="n">
        <v>30</v>
      </c>
      <c r="B309" s="12">
        <f>IFERROR(IF(SUMIFS(tblDaily[Admissions],tblDaily[EntryDate],DATE(2026,8,30),tblDaily[WardCode],"BF")=0,"",SUMIFS(tblDaily[Admissions],tblDaily[EntryDate],DATE(2026,8,30),tblDaily[WardCode],"BF")),"")</f>
        <v/>
      </c>
      <c r="C309" s="12">
        <f>IFERROR(IF(SUMIFS(tblDaily[Discharges],tblDaily[EntryDate],DATE(2026,8,30),tblDaily[WardCode],"BF")=0,"",SUMIFS(tblDaily[Discharges],tblDaily[EntryDate],DATE(2026,8,30),tblDaily[WardCode],"BF")),"")</f>
        <v/>
      </c>
      <c r="D309" s="12">
        <f>IFERROR(IF(SUMIFS(tblDaily[Deaths],tblDaily[EntryDate],DATE(2026,8,30),tblDaily[WardCode],"BF")=0,"",SUMIFS(tblDaily[Deaths],tblDaily[EntryDate],DATE(2026,8,30),tblDaily[WardCode],"BF")),"")</f>
        <v/>
      </c>
      <c r="E309" s="12">
        <f>IFERROR(IF(SUMIFS(tblDaily[DeathsUnder24Hrs],tblDaily[EntryDate],DATE(2026,8,30),tblDaily[WardCode],"BF")=0,"",SUMIFS(tblDaily[DeathsUnder24Hrs],tblDaily[EntryDate],DATE(2026,8,30),tblDaily[WardCode],"BF")),"")</f>
        <v/>
      </c>
      <c r="F309" s="12">
        <f>IFERROR(IF(SUMIFS(tblDaily[TransfersIn],tblDaily[EntryDate],DATE(2026,8,30),tblDaily[WardCode],"BF")=0,"",SUMIFS(tblDaily[TransfersIn],tblDaily[EntryDate],DATE(2026,8,30),tblDaily[WardCode],"BF")),"")</f>
        <v/>
      </c>
      <c r="G309" s="12">
        <f>IFERROR(IF(SUMIFS(tblDaily[TransfersOut],tblDaily[EntryDate],DATE(2026,8,30),tblDaily[WardCode],"BF")=0,"",SUMIFS(tblDaily[TransfersOut],tblDaily[EntryDate],DATE(2026,8,30),tblDaily[WardCode],"BF")),"")</f>
        <v/>
      </c>
      <c r="H309" s="12">
        <f>IFERROR(IF(SUMIFS(tblDaily[Remaining],tblDaily[EntryDate],DATE(2026,8,30),tblDaily[WardCode],"BF")=0,"",SUMIFS(tblDaily[Remaining],tblDaily[EntryDate],DATE(2026,8,30),tblDaily[WardCode],"BF")),"")</f>
        <v/>
      </c>
    </row>
    <row r="310">
      <c r="A310" s="12" t="n">
        <v>31</v>
      </c>
      <c r="B310" s="12">
        <f>IFERROR(IF(SUMIFS(tblDaily[Admissions],tblDaily[EntryDate],DATE(2026,8,31),tblDaily[WardCode],"BF")=0,"",SUMIFS(tblDaily[Admissions],tblDaily[EntryDate],DATE(2026,8,31),tblDaily[WardCode],"BF")),"")</f>
        <v/>
      </c>
      <c r="C310" s="12">
        <f>IFERROR(IF(SUMIFS(tblDaily[Discharges],tblDaily[EntryDate],DATE(2026,8,31),tblDaily[WardCode],"BF")=0,"",SUMIFS(tblDaily[Discharges],tblDaily[EntryDate],DATE(2026,8,31),tblDaily[WardCode],"BF")),"")</f>
        <v/>
      </c>
      <c r="D310" s="12">
        <f>IFERROR(IF(SUMIFS(tblDaily[Deaths],tblDaily[EntryDate],DATE(2026,8,31),tblDaily[WardCode],"BF")=0,"",SUMIFS(tblDaily[Deaths],tblDaily[EntryDate],DATE(2026,8,31),tblDaily[WardCode],"BF")),"")</f>
        <v/>
      </c>
      <c r="E310" s="12">
        <f>IFERROR(IF(SUMIFS(tblDaily[DeathsUnder24Hrs],tblDaily[EntryDate],DATE(2026,8,31),tblDaily[WardCode],"BF")=0,"",SUMIFS(tblDaily[DeathsUnder24Hrs],tblDaily[EntryDate],DATE(2026,8,31),tblDaily[WardCode],"BF")),"")</f>
        <v/>
      </c>
      <c r="F310" s="12">
        <f>IFERROR(IF(SUMIFS(tblDaily[TransfersIn],tblDaily[EntryDate],DATE(2026,8,31),tblDaily[WardCode],"BF")=0,"",SUMIFS(tblDaily[TransfersIn],tblDaily[EntryDate],DATE(2026,8,31),tblDaily[WardCode],"BF")),"")</f>
        <v/>
      </c>
      <c r="G310" s="12">
        <f>IFERROR(IF(SUMIFS(tblDaily[TransfersOut],tblDaily[EntryDate],DATE(2026,8,31),tblDaily[WardCode],"BF")=0,"",SUMIFS(tblDaily[TransfersOut],tblDaily[EntryDate],DATE(2026,8,31),tblDaily[WardCode],"BF")),"")</f>
        <v/>
      </c>
      <c r="H310" s="12">
        <f>IFERROR(IF(SUMIFS(tblDaily[Remaining],tblDaily[EntryDate],DATE(2026,8,31),tblDaily[WardCode],"BF")=0,"",SUMIFS(tblDaily[Remaining],tblDaily[EntryDate],DATE(2026,8,31),tblDaily[WardCode],"BF")),"")</f>
        <v/>
      </c>
    </row>
    <row r="311">
      <c r="A311" s="17" t="inlineStr">
        <is>
          <t>TOTAL</t>
        </is>
      </c>
      <c r="B311" s="17">
        <f>SUMIFS(tblDaily[Admissions],tblDaily[Month],8,tblDaily[WardCode],"BF") - SUMIFS(tblDaily[DeathsUnder24Hrs],tblDaily[Month],8,tblDaily[WardCode],"BF")</f>
        <v/>
      </c>
      <c r="C311" s="17">
        <f>SUMIFS(tblDaily[Discharges],tblDaily[Month],8,tblDaily[WardCode],"BF")</f>
        <v/>
      </c>
      <c r="D311" s="17">
        <f>SUMIFS(tblDaily[Deaths],tblDaily[Month],8,tblDaily[WardCode],"BF")</f>
        <v/>
      </c>
      <c r="E311" s="17">
        <f>SUMIFS(tblDaily[DeathsUnder24Hrs],tblDaily[Month],8,tblDaily[WardCode],"BF")</f>
        <v/>
      </c>
      <c r="F311" s="17">
        <f>SUMIFS(tblDaily[TransfersIn],tblDaily[Month],8,tblDaily[WardCode],"BF")</f>
        <v/>
      </c>
      <c r="G311" s="17">
        <f>SUMIFS(tblDaily[TransfersOut],tblDaily[Month],8,tblDaily[WardCode],"BF")</f>
        <v/>
      </c>
      <c r="H311" s="17">
        <f>SUMIFS(tblDaily[Remaining],tblDaily[Month],8,tblDaily[WardCode],"BF")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BLOCK F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4">
        <f>IFERROR(SUMIFS(tblDaily[Remaining],tblDaily[EntryDate],DATE(2026,8,31),tblDaily[WardCode],"BF"),0)</f>
        <v/>
      </c>
    </row>
    <row r="317">
      <c r="A317" s="4" t="inlineStr">
        <is>
          <t>Bed complement</t>
        </is>
      </c>
      <c r="H317" s="15">
        <f>IFERROR(INDEX(tblWardConfig[BedComplement],MATCH("BF",tblWardConfig[WardCode],0)),0)</f>
        <v/>
      </c>
    </row>
    <row r="318">
      <c r="A318" s="16" t="inlineStr">
        <is>
          <t>Day of
the
Month</t>
        </is>
      </c>
      <c r="B318" s="16" t="inlineStr">
        <is>
          <t>Admissions</t>
        </is>
      </c>
      <c r="C318" s="16" t="inlineStr">
        <is>
          <t>Discharges</t>
        </is>
      </c>
      <c r="D318" s="16" t="inlineStr">
        <is>
          <t>Deaths</t>
        </is>
      </c>
      <c r="E318" s="16" t="inlineStr">
        <is>
          <t>Deaths
&lt;24Hrs</t>
        </is>
      </c>
      <c r="F318" s="16" t="inlineStr">
        <is>
          <t>Transfers-
In</t>
        </is>
      </c>
      <c r="G318" s="16" t="inlineStr">
        <is>
          <t>Transfers-
Out</t>
        </is>
      </c>
      <c r="H318" s="16" t="inlineStr">
        <is>
          <t>No. of Patients
Remaining In
Ward</t>
        </is>
      </c>
    </row>
    <row r="319">
      <c r="A319" s="12" t="n">
        <v>1</v>
      </c>
      <c r="B319" s="12">
        <f>IFERROR(IF(SUMIFS(tblDaily[Admissions],tblDaily[EntryDate],DATE(2026,9,1),tblDaily[WardCode],"BF")=0,"",SUMIFS(tblDaily[Admissions],tblDaily[EntryDate],DATE(2026,9,1),tblDaily[WardCode],"BF")),"")</f>
        <v/>
      </c>
      <c r="C319" s="12">
        <f>IFERROR(IF(SUMIFS(tblDaily[Discharges],tblDaily[EntryDate],DATE(2026,9,1),tblDaily[WardCode],"BF")=0,"",SUMIFS(tblDaily[Discharges],tblDaily[EntryDate],DATE(2026,9,1),tblDaily[WardCode],"BF")),"")</f>
        <v/>
      </c>
      <c r="D319" s="12">
        <f>IFERROR(IF(SUMIFS(tblDaily[Deaths],tblDaily[EntryDate],DATE(2026,9,1),tblDaily[WardCode],"BF")=0,"",SUMIFS(tblDaily[Deaths],tblDaily[EntryDate],DATE(2026,9,1),tblDaily[WardCode],"BF")),"")</f>
        <v/>
      </c>
      <c r="E319" s="12">
        <f>IFERROR(IF(SUMIFS(tblDaily[DeathsUnder24Hrs],tblDaily[EntryDate],DATE(2026,9,1),tblDaily[WardCode],"BF")=0,"",SUMIFS(tblDaily[DeathsUnder24Hrs],tblDaily[EntryDate],DATE(2026,9,1),tblDaily[WardCode],"BF")),"")</f>
        <v/>
      </c>
      <c r="F319" s="12">
        <f>IFERROR(IF(SUMIFS(tblDaily[TransfersIn],tblDaily[EntryDate],DATE(2026,9,1),tblDaily[WardCode],"BF")=0,"",SUMIFS(tblDaily[TransfersIn],tblDaily[EntryDate],DATE(2026,9,1),tblDaily[WardCode],"BF")),"")</f>
        <v/>
      </c>
      <c r="G319" s="12">
        <f>IFERROR(IF(SUMIFS(tblDaily[TransfersOut],tblDaily[EntryDate],DATE(2026,9,1),tblDaily[WardCode],"BF")=0,"",SUMIFS(tblDaily[TransfersOut],tblDaily[EntryDate],DATE(2026,9,1),tblDaily[WardCode],"BF")),"")</f>
        <v/>
      </c>
      <c r="H319" s="12">
        <f>IFERROR(IF(SUMIFS(tblDaily[Remaining],tblDaily[EntryDate],DATE(2026,9,1),tblDaily[WardCode],"BF")=0,"",SUMIFS(tblDaily[Remaining],tblDaily[EntryDate],DATE(2026,9,1),tblDaily[WardCode],"BF")),"")</f>
        <v/>
      </c>
    </row>
    <row r="320">
      <c r="A320" s="12" t="n">
        <v>2</v>
      </c>
      <c r="B320" s="12">
        <f>IFERROR(IF(SUMIFS(tblDaily[Admissions],tblDaily[EntryDate],DATE(2026,9,2),tblDaily[WardCode],"BF")=0,"",SUMIFS(tblDaily[Admissions],tblDaily[EntryDate],DATE(2026,9,2),tblDaily[WardCode],"BF")),"")</f>
        <v/>
      </c>
      <c r="C320" s="12">
        <f>IFERROR(IF(SUMIFS(tblDaily[Discharges],tblDaily[EntryDate],DATE(2026,9,2),tblDaily[WardCode],"BF")=0,"",SUMIFS(tblDaily[Discharges],tblDaily[EntryDate],DATE(2026,9,2),tblDaily[WardCode],"BF")),"")</f>
        <v/>
      </c>
      <c r="D320" s="12">
        <f>IFERROR(IF(SUMIFS(tblDaily[Deaths],tblDaily[EntryDate],DATE(2026,9,2),tblDaily[WardCode],"BF")=0,"",SUMIFS(tblDaily[Deaths],tblDaily[EntryDate],DATE(2026,9,2),tblDaily[WardCode],"BF")),"")</f>
        <v/>
      </c>
      <c r="E320" s="12">
        <f>IFERROR(IF(SUMIFS(tblDaily[DeathsUnder24Hrs],tblDaily[EntryDate],DATE(2026,9,2),tblDaily[WardCode],"BF")=0,"",SUMIFS(tblDaily[DeathsUnder24Hrs],tblDaily[EntryDate],DATE(2026,9,2),tblDaily[WardCode],"BF")),"")</f>
        <v/>
      </c>
      <c r="F320" s="12">
        <f>IFERROR(IF(SUMIFS(tblDaily[TransfersIn],tblDaily[EntryDate],DATE(2026,9,2),tblDaily[WardCode],"BF")=0,"",SUMIFS(tblDaily[TransfersIn],tblDaily[EntryDate],DATE(2026,9,2),tblDaily[WardCode],"BF")),"")</f>
        <v/>
      </c>
      <c r="G320" s="12">
        <f>IFERROR(IF(SUMIFS(tblDaily[TransfersOut],tblDaily[EntryDate],DATE(2026,9,2),tblDaily[WardCode],"BF")=0,"",SUMIFS(tblDaily[TransfersOut],tblDaily[EntryDate],DATE(2026,9,2),tblDaily[WardCode],"BF")),"")</f>
        <v/>
      </c>
      <c r="H320" s="12">
        <f>IFERROR(IF(SUMIFS(tblDaily[Remaining],tblDaily[EntryDate],DATE(2026,9,2),tblDaily[WardCode],"BF")=0,"",SUMIFS(tblDaily[Remaining],tblDaily[EntryDate],DATE(2026,9,2),tblDaily[WardCode],"BF")),"")</f>
        <v/>
      </c>
    </row>
    <row r="321">
      <c r="A321" s="12" t="n">
        <v>3</v>
      </c>
      <c r="B321" s="12">
        <f>IFERROR(IF(SUMIFS(tblDaily[Admissions],tblDaily[EntryDate],DATE(2026,9,3),tblDaily[WardCode],"BF")=0,"",SUMIFS(tblDaily[Admissions],tblDaily[EntryDate],DATE(2026,9,3),tblDaily[WardCode],"BF")),"")</f>
        <v/>
      </c>
      <c r="C321" s="12">
        <f>IFERROR(IF(SUMIFS(tblDaily[Discharges],tblDaily[EntryDate],DATE(2026,9,3),tblDaily[WardCode],"BF")=0,"",SUMIFS(tblDaily[Discharges],tblDaily[EntryDate],DATE(2026,9,3),tblDaily[WardCode],"BF")),"")</f>
        <v/>
      </c>
      <c r="D321" s="12">
        <f>IFERROR(IF(SUMIFS(tblDaily[Deaths],tblDaily[EntryDate],DATE(2026,9,3),tblDaily[WardCode],"BF")=0,"",SUMIFS(tblDaily[Deaths],tblDaily[EntryDate],DATE(2026,9,3),tblDaily[WardCode],"BF")),"")</f>
        <v/>
      </c>
      <c r="E321" s="12">
        <f>IFERROR(IF(SUMIFS(tblDaily[DeathsUnder24Hrs],tblDaily[EntryDate],DATE(2026,9,3),tblDaily[WardCode],"BF")=0,"",SUMIFS(tblDaily[DeathsUnder24Hrs],tblDaily[EntryDate],DATE(2026,9,3),tblDaily[WardCode],"BF")),"")</f>
        <v/>
      </c>
      <c r="F321" s="12">
        <f>IFERROR(IF(SUMIFS(tblDaily[TransfersIn],tblDaily[EntryDate],DATE(2026,9,3),tblDaily[WardCode],"BF")=0,"",SUMIFS(tblDaily[TransfersIn],tblDaily[EntryDate],DATE(2026,9,3),tblDaily[WardCode],"BF")),"")</f>
        <v/>
      </c>
      <c r="G321" s="12">
        <f>IFERROR(IF(SUMIFS(tblDaily[TransfersOut],tblDaily[EntryDate],DATE(2026,9,3),tblDaily[WardCode],"BF")=0,"",SUMIFS(tblDaily[TransfersOut],tblDaily[EntryDate],DATE(2026,9,3),tblDaily[WardCode],"BF")),"")</f>
        <v/>
      </c>
      <c r="H321" s="12">
        <f>IFERROR(IF(SUMIFS(tblDaily[Remaining],tblDaily[EntryDate],DATE(2026,9,3),tblDaily[WardCode],"BF")=0,"",SUMIFS(tblDaily[Remaining],tblDaily[EntryDate],DATE(2026,9,3),tblDaily[WardCode],"BF")),"")</f>
        <v/>
      </c>
    </row>
    <row r="322">
      <c r="A322" s="12" t="n">
        <v>4</v>
      </c>
      <c r="B322" s="12">
        <f>IFERROR(IF(SUMIFS(tblDaily[Admissions],tblDaily[EntryDate],DATE(2026,9,4),tblDaily[WardCode],"BF")=0,"",SUMIFS(tblDaily[Admissions],tblDaily[EntryDate],DATE(2026,9,4),tblDaily[WardCode],"BF")),"")</f>
        <v/>
      </c>
      <c r="C322" s="12">
        <f>IFERROR(IF(SUMIFS(tblDaily[Discharges],tblDaily[EntryDate],DATE(2026,9,4),tblDaily[WardCode],"BF")=0,"",SUMIFS(tblDaily[Discharges],tblDaily[EntryDate],DATE(2026,9,4),tblDaily[WardCode],"BF")),"")</f>
        <v/>
      </c>
      <c r="D322" s="12">
        <f>IFERROR(IF(SUMIFS(tblDaily[Deaths],tblDaily[EntryDate],DATE(2026,9,4),tblDaily[WardCode],"BF")=0,"",SUMIFS(tblDaily[Deaths],tblDaily[EntryDate],DATE(2026,9,4),tblDaily[WardCode],"BF")),"")</f>
        <v/>
      </c>
      <c r="E322" s="12">
        <f>IFERROR(IF(SUMIFS(tblDaily[DeathsUnder24Hrs],tblDaily[EntryDate],DATE(2026,9,4),tblDaily[WardCode],"BF")=0,"",SUMIFS(tblDaily[DeathsUnder24Hrs],tblDaily[EntryDate],DATE(2026,9,4),tblDaily[WardCode],"BF")),"")</f>
        <v/>
      </c>
      <c r="F322" s="12">
        <f>IFERROR(IF(SUMIFS(tblDaily[TransfersIn],tblDaily[EntryDate],DATE(2026,9,4),tblDaily[WardCode],"BF")=0,"",SUMIFS(tblDaily[TransfersIn],tblDaily[EntryDate],DATE(2026,9,4),tblDaily[WardCode],"BF")),"")</f>
        <v/>
      </c>
      <c r="G322" s="12">
        <f>IFERROR(IF(SUMIFS(tblDaily[TransfersOut],tblDaily[EntryDate],DATE(2026,9,4),tblDaily[WardCode],"BF")=0,"",SUMIFS(tblDaily[TransfersOut],tblDaily[EntryDate],DATE(2026,9,4),tblDaily[WardCode],"BF")),"")</f>
        <v/>
      </c>
      <c r="H322" s="12">
        <f>IFERROR(IF(SUMIFS(tblDaily[Remaining],tblDaily[EntryDate],DATE(2026,9,4),tblDaily[WardCode],"BF")=0,"",SUMIFS(tblDaily[Remaining],tblDaily[EntryDate],DATE(2026,9,4),tblDaily[WardCode],"BF")),"")</f>
        <v/>
      </c>
    </row>
    <row r="323">
      <c r="A323" s="12" t="n">
        <v>5</v>
      </c>
      <c r="B323" s="12">
        <f>IFERROR(IF(SUMIFS(tblDaily[Admissions],tblDaily[EntryDate],DATE(2026,9,5),tblDaily[WardCode],"BF")=0,"",SUMIFS(tblDaily[Admissions],tblDaily[EntryDate],DATE(2026,9,5),tblDaily[WardCode],"BF")),"")</f>
        <v/>
      </c>
      <c r="C323" s="12">
        <f>IFERROR(IF(SUMIFS(tblDaily[Discharges],tblDaily[EntryDate],DATE(2026,9,5),tblDaily[WardCode],"BF")=0,"",SUMIFS(tblDaily[Discharges],tblDaily[EntryDate],DATE(2026,9,5),tblDaily[WardCode],"BF")),"")</f>
        <v/>
      </c>
      <c r="D323" s="12">
        <f>IFERROR(IF(SUMIFS(tblDaily[Deaths],tblDaily[EntryDate],DATE(2026,9,5),tblDaily[WardCode],"BF")=0,"",SUMIFS(tblDaily[Deaths],tblDaily[EntryDate],DATE(2026,9,5),tblDaily[WardCode],"BF")),"")</f>
        <v/>
      </c>
      <c r="E323" s="12">
        <f>IFERROR(IF(SUMIFS(tblDaily[DeathsUnder24Hrs],tblDaily[EntryDate],DATE(2026,9,5),tblDaily[WardCode],"BF")=0,"",SUMIFS(tblDaily[DeathsUnder24Hrs],tblDaily[EntryDate],DATE(2026,9,5),tblDaily[WardCode],"BF")),"")</f>
        <v/>
      </c>
      <c r="F323" s="12">
        <f>IFERROR(IF(SUMIFS(tblDaily[TransfersIn],tblDaily[EntryDate],DATE(2026,9,5),tblDaily[WardCode],"BF")=0,"",SUMIFS(tblDaily[TransfersIn],tblDaily[EntryDate],DATE(2026,9,5),tblDaily[WardCode],"BF")),"")</f>
        <v/>
      </c>
      <c r="G323" s="12">
        <f>IFERROR(IF(SUMIFS(tblDaily[TransfersOut],tblDaily[EntryDate],DATE(2026,9,5),tblDaily[WardCode],"BF")=0,"",SUMIFS(tblDaily[TransfersOut],tblDaily[EntryDate],DATE(2026,9,5),tblDaily[WardCode],"BF")),"")</f>
        <v/>
      </c>
      <c r="H323" s="12">
        <f>IFERROR(IF(SUMIFS(tblDaily[Remaining],tblDaily[EntryDate],DATE(2026,9,5),tblDaily[WardCode],"BF")=0,"",SUMIFS(tblDaily[Remaining],tblDaily[EntryDate],DATE(2026,9,5),tblDaily[WardCode],"BF")),"")</f>
        <v/>
      </c>
    </row>
    <row r="324">
      <c r="A324" s="12" t="n">
        <v>6</v>
      </c>
      <c r="B324" s="12">
        <f>IFERROR(IF(SUMIFS(tblDaily[Admissions],tblDaily[EntryDate],DATE(2026,9,6),tblDaily[WardCode],"BF")=0,"",SUMIFS(tblDaily[Admissions],tblDaily[EntryDate],DATE(2026,9,6),tblDaily[WardCode],"BF")),"")</f>
        <v/>
      </c>
      <c r="C324" s="12">
        <f>IFERROR(IF(SUMIFS(tblDaily[Discharges],tblDaily[EntryDate],DATE(2026,9,6),tblDaily[WardCode],"BF")=0,"",SUMIFS(tblDaily[Discharges],tblDaily[EntryDate],DATE(2026,9,6),tblDaily[WardCode],"BF")),"")</f>
        <v/>
      </c>
      <c r="D324" s="12">
        <f>IFERROR(IF(SUMIFS(tblDaily[Deaths],tblDaily[EntryDate],DATE(2026,9,6),tblDaily[WardCode],"BF")=0,"",SUMIFS(tblDaily[Deaths],tblDaily[EntryDate],DATE(2026,9,6),tblDaily[WardCode],"BF")),"")</f>
        <v/>
      </c>
      <c r="E324" s="12">
        <f>IFERROR(IF(SUMIFS(tblDaily[DeathsUnder24Hrs],tblDaily[EntryDate],DATE(2026,9,6),tblDaily[WardCode],"BF")=0,"",SUMIFS(tblDaily[DeathsUnder24Hrs],tblDaily[EntryDate],DATE(2026,9,6),tblDaily[WardCode],"BF")),"")</f>
        <v/>
      </c>
      <c r="F324" s="12">
        <f>IFERROR(IF(SUMIFS(tblDaily[TransfersIn],tblDaily[EntryDate],DATE(2026,9,6),tblDaily[WardCode],"BF")=0,"",SUMIFS(tblDaily[TransfersIn],tblDaily[EntryDate],DATE(2026,9,6),tblDaily[WardCode],"BF")),"")</f>
        <v/>
      </c>
      <c r="G324" s="12">
        <f>IFERROR(IF(SUMIFS(tblDaily[TransfersOut],tblDaily[EntryDate],DATE(2026,9,6),tblDaily[WardCode],"BF")=0,"",SUMIFS(tblDaily[TransfersOut],tblDaily[EntryDate],DATE(2026,9,6),tblDaily[WardCode],"BF")),"")</f>
        <v/>
      </c>
      <c r="H324" s="12">
        <f>IFERROR(IF(SUMIFS(tblDaily[Remaining],tblDaily[EntryDate],DATE(2026,9,6),tblDaily[WardCode],"BF")=0,"",SUMIFS(tblDaily[Remaining],tblDaily[EntryDate],DATE(2026,9,6),tblDaily[WardCode],"BF")),"")</f>
        <v/>
      </c>
    </row>
    <row r="325">
      <c r="A325" s="12" t="n">
        <v>7</v>
      </c>
      <c r="B325" s="12">
        <f>IFERROR(IF(SUMIFS(tblDaily[Admissions],tblDaily[EntryDate],DATE(2026,9,7),tblDaily[WardCode],"BF")=0,"",SUMIFS(tblDaily[Admissions],tblDaily[EntryDate],DATE(2026,9,7),tblDaily[WardCode],"BF")),"")</f>
        <v/>
      </c>
      <c r="C325" s="12">
        <f>IFERROR(IF(SUMIFS(tblDaily[Discharges],tblDaily[EntryDate],DATE(2026,9,7),tblDaily[WardCode],"BF")=0,"",SUMIFS(tblDaily[Discharges],tblDaily[EntryDate],DATE(2026,9,7),tblDaily[WardCode],"BF")),"")</f>
        <v/>
      </c>
      <c r="D325" s="12">
        <f>IFERROR(IF(SUMIFS(tblDaily[Deaths],tblDaily[EntryDate],DATE(2026,9,7),tblDaily[WardCode],"BF")=0,"",SUMIFS(tblDaily[Deaths],tblDaily[EntryDate],DATE(2026,9,7),tblDaily[WardCode],"BF")),"")</f>
        <v/>
      </c>
      <c r="E325" s="12">
        <f>IFERROR(IF(SUMIFS(tblDaily[DeathsUnder24Hrs],tblDaily[EntryDate],DATE(2026,9,7),tblDaily[WardCode],"BF")=0,"",SUMIFS(tblDaily[DeathsUnder24Hrs],tblDaily[EntryDate],DATE(2026,9,7),tblDaily[WardCode],"BF")),"")</f>
        <v/>
      </c>
      <c r="F325" s="12">
        <f>IFERROR(IF(SUMIFS(tblDaily[TransfersIn],tblDaily[EntryDate],DATE(2026,9,7),tblDaily[WardCode],"BF")=0,"",SUMIFS(tblDaily[TransfersIn],tblDaily[EntryDate],DATE(2026,9,7),tblDaily[WardCode],"BF")),"")</f>
        <v/>
      </c>
      <c r="G325" s="12">
        <f>IFERROR(IF(SUMIFS(tblDaily[TransfersOut],tblDaily[EntryDate],DATE(2026,9,7),tblDaily[WardCode],"BF")=0,"",SUMIFS(tblDaily[TransfersOut],tblDaily[EntryDate],DATE(2026,9,7),tblDaily[WardCode],"BF")),"")</f>
        <v/>
      </c>
      <c r="H325" s="12">
        <f>IFERROR(IF(SUMIFS(tblDaily[Remaining],tblDaily[EntryDate],DATE(2026,9,7),tblDaily[WardCode],"BF")=0,"",SUMIFS(tblDaily[Remaining],tblDaily[EntryDate],DATE(2026,9,7),tblDaily[WardCode],"BF")),"")</f>
        <v/>
      </c>
    </row>
    <row r="326">
      <c r="A326" s="12" t="n">
        <v>8</v>
      </c>
      <c r="B326" s="12">
        <f>IFERROR(IF(SUMIFS(tblDaily[Admissions],tblDaily[EntryDate],DATE(2026,9,8),tblDaily[WardCode],"BF")=0,"",SUMIFS(tblDaily[Admissions],tblDaily[EntryDate],DATE(2026,9,8),tblDaily[WardCode],"BF")),"")</f>
        <v/>
      </c>
      <c r="C326" s="12">
        <f>IFERROR(IF(SUMIFS(tblDaily[Discharges],tblDaily[EntryDate],DATE(2026,9,8),tblDaily[WardCode],"BF")=0,"",SUMIFS(tblDaily[Discharges],tblDaily[EntryDate],DATE(2026,9,8),tblDaily[WardCode],"BF")),"")</f>
        <v/>
      </c>
      <c r="D326" s="12">
        <f>IFERROR(IF(SUMIFS(tblDaily[Deaths],tblDaily[EntryDate],DATE(2026,9,8),tblDaily[WardCode],"BF")=0,"",SUMIFS(tblDaily[Deaths],tblDaily[EntryDate],DATE(2026,9,8),tblDaily[WardCode],"BF")),"")</f>
        <v/>
      </c>
      <c r="E326" s="12">
        <f>IFERROR(IF(SUMIFS(tblDaily[DeathsUnder24Hrs],tblDaily[EntryDate],DATE(2026,9,8),tblDaily[WardCode],"BF")=0,"",SUMIFS(tblDaily[DeathsUnder24Hrs],tblDaily[EntryDate],DATE(2026,9,8),tblDaily[WardCode],"BF")),"")</f>
        <v/>
      </c>
      <c r="F326" s="12">
        <f>IFERROR(IF(SUMIFS(tblDaily[TransfersIn],tblDaily[EntryDate],DATE(2026,9,8),tblDaily[WardCode],"BF")=0,"",SUMIFS(tblDaily[TransfersIn],tblDaily[EntryDate],DATE(2026,9,8),tblDaily[WardCode],"BF")),"")</f>
        <v/>
      </c>
      <c r="G326" s="12">
        <f>IFERROR(IF(SUMIFS(tblDaily[TransfersOut],tblDaily[EntryDate],DATE(2026,9,8),tblDaily[WardCode],"BF")=0,"",SUMIFS(tblDaily[TransfersOut],tblDaily[EntryDate],DATE(2026,9,8),tblDaily[WardCode],"BF")),"")</f>
        <v/>
      </c>
      <c r="H326" s="12">
        <f>IFERROR(IF(SUMIFS(tblDaily[Remaining],tblDaily[EntryDate],DATE(2026,9,8),tblDaily[WardCode],"BF")=0,"",SUMIFS(tblDaily[Remaining],tblDaily[EntryDate],DATE(2026,9,8),tblDaily[WardCode],"BF")),"")</f>
        <v/>
      </c>
    </row>
    <row r="327">
      <c r="A327" s="12" t="n">
        <v>9</v>
      </c>
      <c r="B327" s="12">
        <f>IFERROR(IF(SUMIFS(tblDaily[Admissions],tblDaily[EntryDate],DATE(2026,9,9),tblDaily[WardCode],"BF")=0,"",SUMIFS(tblDaily[Admissions],tblDaily[EntryDate],DATE(2026,9,9),tblDaily[WardCode],"BF")),"")</f>
        <v/>
      </c>
      <c r="C327" s="12">
        <f>IFERROR(IF(SUMIFS(tblDaily[Discharges],tblDaily[EntryDate],DATE(2026,9,9),tblDaily[WardCode],"BF")=0,"",SUMIFS(tblDaily[Discharges],tblDaily[EntryDate],DATE(2026,9,9),tblDaily[WardCode],"BF")),"")</f>
        <v/>
      </c>
      <c r="D327" s="12">
        <f>IFERROR(IF(SUMIFS(tblDaily[Deaths],tblDaily[EntryDate],DATE(2026,9,9),tblDaily[WardCode],"BF")=0,"",SUMIFS(tblDaily[Deaths],tblDaily[EntryDate],DATE(2026,9,9),tblDaily[WardCode],"BF")),"")</f>
        <v/>
      </c>
      <c r="E327" s="12">
        <f>IFERROR(IF(SUMIFS(tblDaily[DeathsUnder24Hrs],tblDaily[EntryDate],DATE(2026,9,9),tblDaily[WardCode],"BF")=0,"",SUMIFS(tblDaily[DeathsUnder24Hrs],tblDaily[EntryDate],DATE(2026,9,9),tblDaily[WardCode],"BF")),"")</f>
        <v/>
      </c>
      <c r="F327" s="12">
        <f>IFERROR(IF(SUMIFS(tblDaily[TransfersIn],tblDaily[EntryDate],DATE(2026,9,9),tblDaily[WardCode],"BF")=0,"",SUMIFS(tblDaily[TransfersIn],tblDaily[EntryDate],DATE(2026,9,9),tblDaily[WardCode],"BF")),"")</f>
        <v/>
      </c>
      <c r="G327" s="12">
        <f>IFERROR(IF(SUMIFS(tblDaily[TransfersOut],tblDaily[EntryDate],DATE(2026,9,9),tblDaily[WardCode],"BF")=0,"",SUMIFS(tblDaily[TransfersOut],tblDaily[EntryDate],DATE(2026,9,9),tblDaily[WardCode],"BF")),"")</f>
        <v/>
      </c>
      <c r="H327" s="12">
        <f>IFERROR(IF(SUMIFS(tblDaily[Remaining],tblDaily[EntryDate],DATE(2026,9,9),tblDaily[WardCode],"BF")=0,"",SUMIFS(tblDaily[Remaining],tblDaily[EntryDate],DATE(2026,9,9),tblDaily[WardCode],"BF")),"")</f>
        <v/>
      </c>
    </row>
    <row r="328">
      <c r="A328" s="12" t="n">
        <v>10</v>
      </c>
      <c r="B328" s="12">
        <f>IFERROR(IF(SUMIFS(tblDaily[Admissions],tblDaily[EntryDate],DATE(2026,9,10),tblDaily[WardCode],"BF")=0,"",SUMIFS(tblDaily[Admissions],tblDaily[EntryDate],DATE(2026,9,10),tblDaily[WardCode],"BF")),"")</f>
        <v/>
      </c>
      <c r="C328" s="12">
        <f>IFERROR(IF(SUMIFS(tblDaily[Discharges],tblDaily[EntryDate],DATE(2026,9,10),tblDaily[WardCode],"BF")=0,"",SUMIFS(tblDaily[Discharges],tblDaily[EntryDate],DATE(2026,9,10),tblDaily[WardCode],"BF")),"")</f>
        <v/>
      </c>
      <c r="D328" s="12">
        <f>IFERROR(IF(SUMIFS(tblDaily[Deaths],tblDaily[EntryDate],DATE(2026,9,10),tblDaily[WardCode],"BF")=0,"",SUMIFS(tblDaily[Deaths],tblDaily[EntryDate],DATE(2026,9,10),tblDaily[WardCode],"BF")),"")</f>
        <v/>
      </c>
      <c r="E328" s="12">
        <f>IFERROR(IF(SUMIFS(tblDaily[DeathsUnder24Hrs],tblDaily[EntryDate],DATE(2026,9,10),tblDaily[WardCode],"BF")=0,"",SUMIFS(tblDaily[DeathsUnder24Hrs],tblDaily[EntryDate],DATE(2026,9,10),tblDaily[WardCode],"BF")),"")</f>
        <v/>
      </c>
      <c r="F328" s="12">
        <f>IFERROR(IF(SUMIFS(tblDaily[TransfersIn],tblDaily[EntryDate],DATE(2026,9,10),tblDaily[WardCode],"BF")=0,"",SUMIFS(tblDaily[TransfersIn],tblDaily[EntryDate],DATE(2026,9,10),tblDaily[WardCode],"BF")),"")</f>
        <v/>
      </c>
      <c r="G328" s="12">
        <f>IFERROR(IF(SUMIFS(tblDaily[TransfersOut],tblDaily[EntryDate],DATE(2026,9,10),tblDaily[WardCode],"BF")=0,"",SUMIFS(tblDaily[TransfersOut],tblDaily[EntryDate],DATE(2026,9,10),tblDaily[WardCode],"BF")),"")</f>
        <v/>
      </c>
      <c r="H328" s="12">
        <f>IFERROR(IF(SUMIFS(tblDaily[Remaining],tblDaily[EntryDate],DATE(2026,9,10),tblDaily[WardCode],"BF")=0,"",SUMIFS(tblDaily[Remaining],tblDaily[EntryDate],DATE(2026,9,10),tblDaily[WardCode],"BF")),"")</f>
        <v/>
      </c>
    </row>
    <row r="329">
      <c r="A329" s="12" t="n">
        <v>11</v>
      </c>
      <c r="B329" s="12">
        <f>IFERROR(IF(SUMIFS(tblDaily[Admissions],tblDaily[EntryDate],DATE(2026,9,11),tblDaily[WardCode],"BF")=0,"",SUMIFS(tblDaily[Admissions],tblDaily[EntryDate],DATE(2026,9,11),tblDaily[WardCode],"BF")),"")</f>
        <v/>
      </c>
      <c r="C329" s="12">
        <f>IFERROR(IF(SUMIFS(tblDaily[Discharges],tblDaily[EntryDate],DATE(2026,9,11),tblDaily[WardCode],"BF")=0,"",SUMIFS(tblDaily[Discharges],tblDaily[EntryDate],DATE(2026,9,11),tblDaily[WardCode],"BF")),"")</f>
        <v/>
      </c>
      <c r="D329" s="12">
        <f>IFERROR(IF(SUMIFS(tblDaily[Deaths],tblDaily[EntryDate],DATE(2026,9,11),tblDaily[WardCode],"BF")=0,"",SUMIFS(tblDaily[Deaths],tblDaily[EntryDate],DATE(2026,9,11),tblDaily[WardCode],"BF")),"")</f>
        <v/>
      </c>
      <c r="E329" s="12">
        <f>IFERROR(IF(SUMIFS(tblDaily[DeathsUnder24Hrs],tblDaily[EntryDate],DATE(2026,9,11),tblDaily[WardCode],"BF")=0,"",SUMIFS(tblDaily[DeathsUnder24Hrs],tblDaily[EntryDate],DATE(2026,9,11),tblDaily[WardCode],"BF")),"")</f>
        <v/>
      </c>
      <c r="F329" s="12">
        <f>IFERROR(IF(SUMIFS(tblDaily[TransfersIn],tblDaily[EntryDate],DATE(2026,9,11),tblDaily[WardCode],"BF")=0,"",SUMIFS(tblDaily[TransfersIn],tblDaily[EntryDate],DATE(2026,9,11),tblDaily[WardCode],"BF")),"")</f>
        <v/>
      </c>
      <c r="G329" s="12">
        <f>IFERROR(IF(SUMIFS(tblDaily[TransfersOut],tblDaily[EntryDate],DATE(2026,9,11),tblDaily[WardCode],"BF")=0,"",SUMIFS(tblDaily[TransfersOut],tblDaily[EntryDate],DATE(2026,9,11),tblDaily[WardCode],"BF")),"")</f>
        <v/>
      </c>
      <c r="H329" s="12">
        <f>IFERROR(IF(SUMIFS(tblDaily[Remaining],tblDaily[EntryDate],DATE(2026,9,11),tblDaily[WardCode],"BF")=0,"",SUMIFS(tblDaily[Remaining],tblDaily[EntryDate],DATE(2026,9,11),tblDaily[WardCode],"BF")),"")</f>
        <v/>
      </c>
    </row>
    <row r="330">
      <c r="A330" s="12" t="n">
        <v>12</v>
      </c>
      <c r="B330" s="12">
        <f>IFERROR(IF(SUMIFS(tblDaily[Admissions],tblDaily[EntryDate],DATE(2026,9,12),tblDaily[WardCode],"BF")=0,"",SUMIFS(tblDaily[Admissions],tblDaily[EntryDate],DATE(2026,9,12),tblDaily[WardCode],"BF")),"")</f>
        <v/>
      </c>
      <c r="C330" s="12">
        <f>IFERROR(IF(SUMIFS(tblDaily[Discharges],tblDaily[EntryDate],DATE(2026,9,12),tblDaily[WardCode],"BF")=0,"",SUMIFS(tblDaily[Discharges],tblDaily[EntryDate],DATE(2026,9,12),tblDaily[WardCode],"BF")),"")</f>
        <v/>
      </c>
      <c r="D330" s="12">
        <f>IFERROR(IF(SUMIFS(tblDaily[Deaths],tblDaily[EntryDate],DATE(2026,9,12),tblDaily[WardCode],"BF")=0,"",SUMIFS(tblDaily[Deaths],tblDaily[EntryDate],DATE(2026,9,12),tblDaily[WardCode],"BF")),"")</f>
        <v/>
      </c>
      <c r="E330" s="12">
        <f>IFERROR(IF(SUMIFS(tblDaily[DeathsUnder24Hrs],tblDaily[EntryDate],DATE(2026,9,12),tblDaily[WardCode],"BF")=0,"",SUMIFS(tblDaily[DeathsUnder24Hrs],tblDaily[EntryDate],DATE(2026,9,12),tblDaily[WardCode],"BF")),"")</f>
        <v/>
      </c>
      <c r="F330" s="12">
        <f>IFERROR(IF(SUMIFS(tblDaily[TransfersIn],tblDaily[EntryDate],DATE(2026,9,12),tblDaily[WardCode],"BF")=0,"",SUMIFS(tblDaily[TransfersIn],tblDaily[EntryDate],DATE(2026,9,12),tblDaily[WardCode],"BF")),"")</f>
        <v/>
      </c>
      <c r="G330" s="12">
        <f>IFERROR(IF(SUMIFS(tblDaily[TransfersOut],tblDaily[EntryDate],DATE(2026,9,12),tblDaily[WardCode],"BF")=0,"",SUMIFS(tblDaily[TransfersOut],tblDaily[EntryDate],DATE(2026,9,12),tblDaily[WardCode],"BF")),"")</f>
        <v/>
      </c>
      <c r="H330" s="12">
        <f>IFERROR(IF(SUMIFS(tblDaily[Remaining],tblDaily[EntryDate],DATE(2026,9,12),tblDaily[WardCode],"BF")=0,"",SUMIFS(tblDaily[Remaining],tblDaily[EntryDate],DATE(2026,9,12),tblDaily[WardCode],"BF")),"")</f>
        <v/>
      </c>
    </row>
    <row r="331">
      <c r="A331" s="12" t="n">
        <v>13</v>
      </c>
      <c r="B331" s="12">
        <f>IFERROR(IF(SUMIFS(tblDaily[Admissions],tblDaily[EntryDate],DATE(2026,9,13),tblDaily[WardCode],"BF")=0,"",SUMIFS(tblDaily[Admissions],tblDaily[EntryDate],DATE(2026,9,13),tblDaily[WardCode],"BF")),"")</f>
        <v/>
      </c>
      <c r="C331" s="12">
        <f>IFERROR(IF(SUMIFS(tblDaily[Discharges],tblDaily[EntryDate],DATE(2026,9,13),tblDaily[WardCode],"BF")=0,"",SUMIFS(tblDaily[Discharges],tblDaily[EntryDate],DATE(2026,9,13),tblDaily[WardCode],"BF")),"")</f>
        <v/>
      </c>
      <c r="D331" s="12">
        <f>IFERROR(IF(SUMIFS(tblDaily[Deaths],tblDaily[EntryDate],DATE(2026,9,13),tblDaily[WardCode],"BF")=0,"",SUMIFS(tblDaily[Deaths],tblDaily[EntryDate],DATE(2026,9,13),tblDaily[WardCode],"BF")),"")</f>
        <v/>
      </c>
      <c r="E331" s="12">
        <f>IFERROR(IF(SUMIFS(tblDaily[DeathsUnder24Hrs],tblDaily[EntryDate],DATE(2026,9,13),tblDaily[WardCode],"BF")=0,"",SUMIFS(tblDaily[DeathsUnder24Hrs],tblDaily[EntryDate],DATE(2026,9,13),tblDaily[WardCode],"BF")),"")</f>
        <v/>
      </c>
      <c r="F331" s="12">
        <f>IFERROR(IF(SUMIFS(tblDaily[TransfersIn],tblDaily[EntryDate],DATE(2026,9,13),tblDaily[WardCode],"BF")=0,"",SUMIFS(tblDaily[TransfersIn],tblDaily[EntryDate],DATE(2026,9,13),tblDaily[WardCode],"BF")),"")</f>
        <v/>
      </c>
      <c r="G331" s="12">
        <f>IFERROR(IF(SUMIFS(tblDaily[TransfersOut],tblDaily[EntryDate],DATE(2026,9,13),tblDaily[WardCode],"BF")=0,"",SUMIFS(tblDaily[TransfersOut],tblDaily[EntryDate],DATE(2026,9,13),tblDaily[WardCode],"BF")),"")</f>
        <v/>
      </c>
      <c r="H331" s="12">
        <f>IFERROR(IF(SUMIFS(tblDaily[Remaining],tblDaily[EntryDate],DATE(2026,9,13),tblDaily[WardCode],"BF")=0,"",SUMIFS(tblDaily[Remaining],tblDaily[EntryDate],DATE(2026,9,13),tblDaily[WardCode],"BF")),"")</f>
        <v/>
      </c>
    </row>
    <row r="332">
      <c r="A332" s="12" t="n">
        <v>14</v>
      </c>
      <c r="B332" s="12">
        <f>IFERROR(IF(SUMIFS(tblDaily[Admissions],tblDaily[EntryDate],DATE(2026,9,14),tblDaily[WardCode],"BF")=0,"",SUMIFS(tblDaily[Admissions],tblDaily[EntryDate],DATE(2026,9,14),tblDaily[WardCode],"BF")),"")</f>
        <v/>
      </c>
      <c r="C332" s="12">
        <f>IFERROR(IF(SUMIFS(tblDaily[Discharges],tblDaily[EntryDate],DATE(2026,9,14),tblDaily[WardCode],"BF")=0,"",SUMIFS(tblDaily[Discharges],tblDaily[EntryDate],DATE(2026,9,14),tblDaily[WardCode],"BF")),"")</f>
        <v/>
      </c>
      <c r="D332" s="12">
        <f>IFERROR(IF(SUMIFS(tblDaily[Deaths],tblDaily[EntryDate],DATE(2026,9,14),tblDaily[WardCode],"BF")=0,"",SUMIFS(tblDaily[Deaths],tblDaily[EntryDate],DATE(2026,9,14),tblDaily[WardCode],"BF")),"")</f>
        <v/>
      </c>
      <c r="E332" s="12">
        <f>IFERROR(IF(SUMIFS(tblDaily[DeathsUnder24Hrs],tblDaily[EntryDate],DATE(2026,9,14),tblDaily[WardCode],"BF")=0,"",SUMIFS(tblDaily[DeathsUnder24Hrs],tblDaily[EntryDate],DATE(2026,9,14),tblDaily[WardCode],"BF")),"")</f>
        <v/>
      </c>
      <c r="F332" s="12">
        <f>IFERROR(IF(SUMIFS(tblDaily[TransfersIn],tblDaily[EntryDate],DATE(2026,9,14),tblDaily[WardCode],"BF")=0,"",SUMIFS(tblDaily[TransfersIn],tblDaily[EntryDate],DATE(2026,9,14),tblDaily[WardCode],"BF")),"")</f>
        <v/>
      </c>
      <c r="G332" s="12">
        <f>IFERROR(IF(SUMIFS(tblDaily[TransfersOut],tblDaily[EntryDate],DATE(2026,9,14),tblDaily[WardCode],"BF")=0,"",SUMIFS(tblDaily[TransfersOut],tblDaily[EntryDate],DATE(2026,9,14),tblDaily[WardCode],"BF")),"")</f>
        <v/>
      </c>
      <c r="H332" s="12">
        <f>IFERROR(IF(SUMIFS(tblDaily[Remaining],tblDaily[EntryDate],DATE(2026,9,14),tblDaily[WardCode],"BF")=0,"",SUMIFS(tblDaily[Remaining],tblDaily[EntryDate],DATE(2026,9,14),tblDaily[WardCode],"BF")),"")</f>
        <v/>
      </c>
    </row>
    <row r="333">
      <c r="A333" s="12" t="n">
        <v>15</v>
      </c>
      <c r="B333" s="12">
        <f>IFERROR(IF(SUMIFS(tblDaily[Admissions],tblDaily[EntryDate],DATE(2026,9,15),tblDaily[WardCode],"BF")=0,"",SUMIFS(tblDaily[Admissions],tblDaily[EntryDate],DATE(2026,9,15),tblDaily[WardCode],"BF")),"")</f>
        <v/>
      </c>
      <c r="C333" s="12">
        <f>IFERROR(IF(SUMIFS(tblDaily[Discharges],tblDaily[EntryDate],DATE(2026,9,15),tblDaily[WardCode],"BF")=0,"",SUMIFS(tblDaily[Discharges],tblDaily[EntryDate],DATE(2026,9,15),tblDaily[WardCode],"BF")),"")</f>
        <v/>
      </c>
      <c r="D333" s="12">
        <f>IFERROR(IF(SUMIFS(tblDaily[Deaths],tblDaily[EntryDate],DATE(2026,9,15),tblDaily[WardCode],"BF")=0,"",SUMIFS(tblDaily[Deaths],tblDaily[EntryDate],DATE(2026,9,15),tblDaily[WardCode],"BF")),"")</f>
        <v/>
      </c>
      <c r="E333" s="12">
        <f>IFERROR(IF(SUMIFS(tblDaily[DeathsUnder24Hrs],tblDaily[EntryDate],DATE(2026,9,15),tblDaily[WardCode],"BF")=0,"",SUMIFS(tblDaily[DeathsUnder24Hrs],tblDaily[EntryDate],DATE(2026,9,15),tblDaily[WardCode],"BF")),"")</f>
        <v/>
      </c>
      <c r="F333" s="12">
        <f>IFERROR(IF(SUMIFS(tblDaily[TransfersIn],tblDaily[EntryDate],DATE(2026,9,15),tblDaily[WardCode],"BF")=0,"",SUMIFS(tblDaily[TransfersIn],tblDaily[EntryDate],DATE(2026,9,15),tblDaily[WardCode],"BF")),"")</f>
        <v/>
      </c>
      <c r="G333" s="12">
        <f>IFERROR(IF(SUMIFS(tblDaily[TransfersOut],tblDaily[EntryDate],DATE(2026,9,15),tblDaily[WardCode],"BF")=0,"",SUMIFS(tblDaily[TransfersOut],tblDaily[EntryDate],DATE(2026,9,15),tblDaily[WardCode],"BF")),"")</f>
        <v/>
      </c>
      <c r="H333" s="12">
        <f>IFERROR(IF(SUMIFS(tblDaily[Remaining],tblDaily[EntryDate],DATE(2026,9,15),tblDaily[WardCode],"BF")=0,"",SUMIFS(tblDaily[Remaining],tblDaily[EntryDate],DATE(2026,9,15),tblDaily[WardCode],"BF")),"")</f>
        <v/>
      </c>
    </row>
    <row r="334">
      <c r="A334" s="12" t="n">
        <v>16</v>
      </c>
      <c r="B334" s="12">
        <f>IFERROR(IF(SUMIFS(tblDaily[Admissions],tblDaily[EntryDate],DATE(2026,9,16),tblDaily[WardCode],"BF")=0,"",SUMIFS(tblDaily[Admissions],tblDaily[EntryDate],DATE(2026,9,16),tblDaily[WardCode],"BF")),"")</f>
        <v/>
      </c>
      <c r="C334" s="12">
        <f>IFERROR(IF(SUMIFS(tblDaily[Discharges],tblDaily[EntryDate],DATE(2026,9,16),tblDaily[WardCode],"BF")=0,"",SUMIFS(tblDaily[Discharges],tblDaily[EntryDate],DATE(2026,9,16),tblDaily[WardCode],"BF")),"")</f>
        <v/>
      </c>
      <c r="D334" s="12">
        <f>IFERROR(IF(SUMIFS(tblDaily[Deaths],tblDaily[EntryDate],DATE(2026,9,16),tblDaily[WardCode],"BF")=0,"",SUMIFS(tblDaily[Deaths],tblDaily[EntryDate],DATE(2026,9,16),tblDaily[WardCode],"BF")),"")</f>
        <v/>
      </c>
      <c r="E334" s="12">
        <f>IFERROR(IF(SUMIFS(tblDaily[DeathsUnder24Hrs],tblDaily[EntryDate],DATE(2026,9,16),tblDaily[WardCode],"BF")=0,"",SUMIFS(tblDaily[DeathsUnder24Hrs],tblDaily[EntryDate],DATE(2026,9,16),tblDaily[WardCode],"BF")),"")</f>
        <v/>
      </c>
      <c r="F334" s="12">
        <f>IFERROR(IF(SUMIFS(tblDaily[TransfersIn],tblDaily[EntryDate],DATE(2026,9,16),tblDaily[WardCode],"BF")=0,"",SUMIFS(tblDaily[TransfersIn],tblDaily[EntryDate],DATE(2026,9,16),tblDaily[WardCode],"BF")),"")</f>
        <v/>
      </c>
      <c r="G334" s="12">
        <f>IFERROR(IF(SUMIFS(tblDaily[TransfersOut],tblDaily[EntryDate],DATE(2026,9,16),tblDaily[WardCode],"BF")=0,"",SUMIFS(tblDaily[TransfersOut],tblDaily[EntryDate],DATE(2026,9,16),tblDaily[WardCode],"BF")),"")</f>
        <v/>
      </c>
      <c r="H334" s="12">
        <f>IFERROR(IF(SUMIFS(tblDaily[Remaining],tblDaily[EntryDate],DATE(2026,9,16),tblDaily[WardCode],"BF")=0,"",SUMIFS(tblDaily[Remaining],tblDaily[EntryDate],DATE(2026,9,16),tblDaily[WardCode],"BF")),"")</f>
        <v/>
      </c>
    </row>
    <row r="335">
      <c r="A335" s="12" t="n">
        <v>17</v>
      </c>
      <c r="B335" s="12">
        <f>IFERROR(IF(SUMIFS(tblDaily[Admissions],tblDaily[EntryDate],DATE(2026,9,17),tblDaily[WardCode],"BF")=0,"",SUMIFS(tblDaily[Admissions],tblDaily[EntryDate],DATE(2026,9,17),tblDaily[WardCode],"BF")),"")</f>
        <v/>
      </c>
      <c r="C335" s="12">
        <f>IFERROR(IF(SUMIFS(tblDaily[Discharges],tblDaily[EntryDate],DATE(2026,9,17),tblDaily[WardCode],"BF")=0,"",SUMIFS(tblDaily[Discharges],tblDaily[EntryDate],DATE(2026,9,17),tblDaily[WardCode],"BF")),"")</f>
        <v/>
      </c>
      <c r="D335" s="12">
        <f>IFERROR(IF(SUMIFS(tblDaily[Deaths],tblDaily[EntryDate],DATE(2026,9,17),tblDaily[WardCode],"BF")=0,"",SUMIFS(tblDaily[Deaths],tblDaily[EntryDate],DATE(2026,9,17),tblDaily[WardCode],"BF")),"")</f>
        <v/>
      </c>
      <c r="E335" s="12">
        <f>IFERROR(IF(SUMIFS(tblDaily[DeathsUnder24Hrs],tblDaily[EntryDate],DATE(2026,9,17),tblDaily[WardCode],"BF")=0,"",SUMIFS(tblDaily[DeathsUnder24Hrs],tblDaily[EntryDate],DATE(2026,9,17),tblDaily[WardCode],"BF")),"")</f>
        <v/>
      </c>
      <c r="F335" s="12">
        <f>IFERROR(IF(SUMIFS(tblDaily[TransfersIn],tblDaily[EntryDate],DATE(2026,9,17),tblDaily[WardCode],"BF")=0,"",SUMIFS(tblDaily[TransfersIn],tblDaily[EntryDate],DATE(2026,9,17),tblDaily[WardCode],"BF")),"")</f>
        <v/>
      </c>
      <c r="G335" s="12">
        <f>IFERROR(IF(SUMIFS(tblDaily[TransfersOut],tblDaily[EntryDate],DATE(2026,9,17),tblDaily[WardCode],"BF")=0,"",SUMIFS(tblDaily[TransfersOut],tblDaily[EntryDate],DATE(2026,9,17),tblDaily[WardCode],"BF")),"")</f>
        <v/>
      </c>
      <c r="H335" s="12">
        <f>IFERROR(IF(SUMIFS(tblDaily[Remaining],tblDaily[EntryDate],DATE(2026,9,17),tblDaily[WardCode],"BF")=0,"",SUMIFS(tblDaily[Remaining],tblDaily[EntryDate],DATE(2026,9,17),tblDaily[WardCode],"BF")),"")</f>
        <v/>
      </c>
    </row>
    <row r="336">
      <c r="A336" s="12" t="n">
        <v>18</v>
      </c>
      <c r="B336" s="12">
        <f>IFERROR(IF(SUMIFS(tblDaily[Admissions],tblDaily[EntryDate],DATE(2026,9,18),tblDaily[WardCode],"BF")=0,"",SUMIFS(tblDaily[Admissions],tblDaily[EntryDate],DATE(2026,9,18),tblDaily[WardCode],"BF")),"")</f>
        <v/>
      </c>
      <c r="C336" s="12">
        <f>IFERROR(IF(SUMIFS(tblDaily[Discharges],tblDaily[EntryDate],DATE(2026,9,18),tblDaily[WardCode],"BF")=0,"",SUMIFS(tblDaily[Discharges],tblDaily[EntryDate],DATE(2026,9,18),tblDaily[WardCode],"BF")),"")</f>
        <v/>
      </c>
      <c r="D336" s="12">
        <f>IFERROR(IF(SUMIFS(tblDaily[Deaths],tblDaily[EntryDate],DATE(2026,9,18),tblDaily[WardCode],"BF")=0,"",SUMIFS(tblDaily[Deaths],tblDaily[EntryDate],DATE(2026,9,18),tblDaily[WardCode],"BF")),"")</f>
        <v/>
      </c>
      <c r="E336" s="12">
        <f>IFERROR(IF(SUMIFS(tblDaily[DeathsUnder24Hrs],tblDaily[EntryDate],DATE(2026,9,18),tblDaily[WardCode],"BF")=0,"",SUMIFS(tblDaily[DeathsUnder24Hrs],tblDaily[EntryDate],DATE(2026,9,18),tblDaily[WardCode],"BF")),"")</f>
        <v/>
      </c>
      <c r="F336" s="12">
        <f>IFERROR(IF(SUMIFS(tblDaily[TransfersIn],tblDaily[EntryDate],DATE(2026,9,18),tblDaily[WardCode],"BF")=0,"",SUMIFS(tblDaily[TransfersIn],tblDaily[EntryDate],DATE(2026,9,18),tblDaily[WardCode],"BF")),"")</f>
        <v/>
      </c>
      <c r="G336" s="12">
        <f>IFERROR(IF(SUMIFS(tblDaily[TransfersOut],tblDaily[EntryDate],DATE(2026,9,18),tblDaily[WardCode],"BF")=0,"",SUMIFS(tblDaily[TransfersOut],tblDaily[EntryDate],DATE(2026,9,18),tblDaily[WardCode],"BF")),"")</f>
        <v/>
      </c>
      <c r="H336" s="12">
        <f>IFERROR(IF(SUMIFS(tblDaily[Remaining],tblDaily[EntryDate],DATE(2026,9,18),tblDaily[WardCode],"BF")=0,"",SUMIFS(tblDaily[Remaining],tblDaily[EntryDate],DATE(2026,9,18),tblDaily[WardCode],"BF")),"")</f>
        <v/>
      </c>
    </row>
    <row r="337">
      <c r="A337" s="12" t="n">
        <v>19</v>
      </c>
      <c r="B337" s="12">
        <f>IFERROR(IF(SUMIFS(tblDaily[Admissions],tblDaily[EntryDate],DATE(2026,9,19),tblDaily[WardCode],"BF")=0,"",SUMIFS(tblDaily[Admissions],tblDaily[EntryDate],DATE(2026,9,19),tblDaily[WardCode],"BF")),"")</f>
        <v/>
      </c>
      <c r="C337" s="12">
        <f>IFERROR(IF(SUMIFS(tblDaily[Discharges],tblDaily[EntryDate],DATE(2026,9,19),tblDaily[WardCode],"BF")=0,"",SUMIFS(tblDaily[Discharges],tblDaily[EntryDate],DATE(2026,9,19),tblDaily[WardCode],"BF")),"")</f>
        <v/>
      </c>
      <c r="D337" s="12">
        <f>IFERROR(IF(SUMIFS(tblDaily[Deaths],tblDaily[EntryDate],DATE(2026,9,19),tblDaily[WardCode],"BF")=0,"",SUMIFS(tblDaily[Deaths],tblDaily[EntryDate],DATE(2026,9,19),tblDaily[WardCode],"BF")),"")</f>
        <v/>
      </c>
      <c r="E337" s="12">
        <f>IFERROR(IF(SUMIFS(tblDaily[DeathsUnder24Hrs],tblDaily[EntryDate],DATE(2026,9,19),tblDaily[WardCode],"BF")=0,"",SUMIFS(tblDaily[DeathsUnder24Hrs],tblDaily[EntryDate],DATE(2026,9,19),tblDaily[WardCode],"BF")),"")</f>
        <v/>
      </c>
      <c r="F337" s="12">
        <f>IFERROR(IF(SUMIFS(tblDaily[TransfersIn],tblDaily[EntryDate],DATE(2026,9,19),tblDaily[WardCode],"BF")=0,"",SUMIFS(tblDaily[TransfersIn],tblDaily[EntryDate],DATE(2026,9,19),tblDaily[WardCode],"BF")),"")</f>
        <v/>
      </c>
      <c r="G337" s="12">
        <f>IFERROR(IF(SUMIFS(tblDaily[TransfersOut],tblDaily[EntryDate],DATE(2026,9,19),tblDaily[WardCode],"BF")=0,"",SUMIFS(tblDaily[TransfersOut],tblDaily[EntryDate],DATE(2026,9,19),tblDaily[WardCode],"BF")),"")</f>
        <v/>
      </c>
      <c r="H337" s="12">
        <f>IFERROR(IF(SUMIFS(tblDaily[Remaining],tblDaily[EntryDate],DATE(2026,9,19),tblDaily[WardCode],"BF")=0,"",SUMIFS(tblDaily[Remaining],tblDaily[EntryDate],DATE(2026,9,19),tblDaily[WardCode],"BF")),"")</f>
        <v/>
      </c>
    </row>
    <row r="338">
      <c r="A338" s="12" t="n">
        <v>20</v>
      </c>
      <c r="B338" s="12">
        <f>IFERROR(IF(SUMIFS(tblDaily[Admissions],tblDaily[EntryDate],DATE(2026,9,20),tblDaily[WardCode],"BF")=0,"",SUMIFS(tblDaily[Admissions],tblDaily[EntryDate],DATE(2026,9,20),tblDaily[WardCode],"BF")),"")</f>
        <v/>
      </c>
      <c r="C338" s="12">
        <f>IFERROR(IF(SUMIFS(tblDaily[Discharges],tblDaily[EntryDate],DATE(2026,9,20),tblDaily[WardCode],"BF")=0,"",SUMIFS(tblDaily[Discharges],tblDaily[EntryDate],DATE(2026,9,20),tblDaily[WardCode],"BF")),"")</f>
        <v/>
      </c>
      <c r="D338" s="12">
        <f>IFERROR(IF(SUMIFS(tblDaily[Deaths],tblDaily[EntryDate],DATE(2026,9,20),tblDaily[WardCode],"BF")=0,"",SUMIFS(tblDaily[Deaths],tblDaily[EntryDate],DATE(2026,9,20),tblDaily[WardCode],"BF")),"")</f>
        <v/>
      </c>
      <c r="E338" s="12">
        <f>IFERROR(IF(SUMIFS(tblDaily[DeathsUnder24Hrs],tblDaily[EntryDate],DATE(2026,9,20),tblDaily[WardCode],"BF")=0,"",SUMIFS(tblDaily[DeathsUnder24Hrs],tblDaily[EntryDate],DATE(2026,9,20),tblDaily[WardCode],"BF")),"")</f>
        <v/>
      </c>
      <c r="F338" s="12">
        <f>IFERROR(IF(SUMIFS(tblDaily[TransfersIn],tblDaily[EntryDate],DATE(2026,9,20),tblDaily[WardCode],"BF")=0,"",SUMIFS(tblDaily[TransfersIn],tblDaily[EntryDate],DATE(2026,9,20),tblDaily[WardCode],"BF")),"")</f>
        <v/>
      </c>
      <c r="G338" s="12">
        <f>IFERROR(IF(SUMIFS(tblDaily[TransfersOut],tblDaily[EntryDate],DATE(2026,9,20),tblDaily[WardCode],"BF")=0,"",SUMIFS(tblDaily[TransfersOut],tblDaily[EntryDate],DATE(2026,9,20),tblDaily[WardCode],"BF")),"")</f>
        <v/>
      </c>
      <c r="H338" s="12">
        <f>IFERROR(IF(SUMIFS(tblDaily[Remaining],tblDaily[EntryDate],DATE(2026,9,20),tblDaily[WardCode],"BF")=0,"",SUMIFS(tblDaily[Remaining],tblDaily[EntryDate],DATE(2026,9,20),tblDaily[WardCode],"BF")),"")</f>
        <v/>
      </c>
    </row>
    <row r="339">
      <c r="A339" s="12" t="n">
        <v>21</v>
      </c>
      <c r="B339" s="12">
        <f>IFERROR(IF(SUMIFS(tblDaily[Admissions],tblDaily[EntryDate],DATE(2026,9,21),tblDaily[WardCode],"BF")=0,"",SUMIFS(tblDaily[Admissions],tblDaily[EntryDate],DATE(2026,9,21),tblDaily[WardCode],"BF")),"")</f>
        <v/>
      </c>
      <c r="C339" s="12">
        <f>IFERROR(IF(SUMIFS(tblDaily[Discharges],tblDaily[EntryDate],DATE(2026,9,21),tblDaily[WardCode],"BF")=0,"",SUMIFS(tblDaily[Discharges],tblDaily[EntryDate],DATE(2026,9,21),tblDaily[WardCode],"BF")),"")</f>
        <v/>
      </c>
      <c r="D339" s="12">
        <f>IFERROR(IF(SUMIFS(tblDaily[Deaths],tblDaily[EntryDate],DATE(2026,9,21),tblDaily[WardCode],"BF")=0,"",SUMIFS(tblDaily[Deaths],tblDaily[EntryDate],DATE(2026,9,21),tblDaily[WardCode],"BF")),"")</f>
        <v/>
      </c>
      <c r="E339" s="12">
        <f>IFERROR(IF(SUMIFS(tblDaily[DeathsUnder24Hrs],tblDaily[EntryDate],DATE(2026,9,21),tblDaily[WardCode],"BF")=0,"",SUMIFS(tblDaily[DeathsUnder24Hrs],tblDaily[EntryDate],DATE(2026,9,21),tblDaily[WardCode],"BF")),"")</f>
        <v/>
      </c>
      <c r="F339" s="12">
        <f>IFERROR(IF(SUMIFS(tblDaily[TransfersIn],tblDaily[EntryDate],DATE(2026,9,21),tblDaily[WardCode],"BF")=0,"",SUMIFS(tblDaily[TransfersIn],tblDaily[EntryDate],DATE(2026,9,21),tblDaily[WardCode],"BF")),"")</f>
        <v/>
      </c>
      <c r="G339" s="12">
        <f>IFERROR(IF(SUMIFS(tblDaily[TransfersOut],tblDaily[EntryDate],DATE(2026,9,21),tblDaily[WardCode],"BF")=0,"",SUMIFS(tblDaily[TransfersOut],tblDaily[EntryDate],DATE(2026,9,21),tblDaily[WardCode],"BF")),"")</f>
        <v/>
      </c>
      <c r="H339" s="12">
        <f>IFERROR(IF(SUMIFS(tblDaily[Remaining],tblDaily[EntryDate],DATE(2026,9,21),tblDaily[WardCode],"BF")=0,"",SUMIFS(tblDaily[Remaining],tblDaily[EntryDate],DATE(2026,9,21),tblDaily[WardCode],"BF")),"")</f>
        <v/>
      </c>
    </row>
    <row r="340">
      <c r="A340" s="12" t="n">
        <v>22</v>
      </c>
      <c r="B340" s="12">
        <f>IFERROR(IF(SUMIFS(tblDaily[Admissions],tblDaily[EntryDate],DATE(2026,9,22),tblDaily[WardCode],"BF")=0,"",SUMIFS(tblDaily[Admissions],tblDaily[EntryDate],DATE(2026,9,22),tblDaily[WardCode],"BF")),"")</f>
        <v/>
      </c>
      <c r="C340" s="12">
        <f>IFERROR(IF(SUMIFS(tblDaily[Discharges],tblDaily[EntryDate],DATE(2026,9,22),tblDaily[WardCode],"BF")=0,"",SUMIFS(tblDaily[Discharges],tblDaily[EntryDate],DATE(2026,9,22),tblDaily[WardCode],"BF")),"")</f>
        <v/>
      </c>
      <c r="D340" s="12">
        <f>IFERROR(IF(SUMIFS(tblDaily[Deaths],tblDaily[EntryDate],DATE(2026,9,22),tblDaily[WardCode],"BF")=0,"",SUMIFS(tblDaily[Deaths],tblDaily[EntryDate],DATE(2026,9,22),tblDaily[WardCode],"BF")),"")</f>
        <v/>
      </c>
      <c r="E340" s="12">
        <f>IFERROR(IF(SUMIFS(tblDaily[DeathsUnder24Hrs],tblDaily[EntryDate],DATE(2026,9,22),tblDaily[WardCode],"BF")=0,"",SUMIFS(tblDaily[DeathsUnder24Hrs],tblDaily[EntryDate],DATE(2026,9,22),tblDaily[WardCode],"BF")),"")</f>
        <v/>
      </c>
      <c r="F340" s="12">
        <f>IFERROR(IF(SUMIFS(tblDaily[TransfersIn],tblDaily[EntryDate],DATE(2026,9,22),tblDaily[WardCode],"BF")=0,"",SUMIFS(tblDaily[TransfersIn],tblDaily[EntryDate],DATE(2026,9,22),tblDaily[WardCode],"BF")),"")</f>
        <v/>
      </c>
      <c r="G340" s="12">
        <f>IFERROR(IF(SUMIFS(tblDaily[TransfersOut],tblDaily[EntryDate],DATE(2026,9,22),tblDaily[WardCode],"BF")=0,"",SUMIFS(tblDaily[TransfersOut],tblDaily[EntryDate],DATE(2026,9,22),tblDaily[WardCode],"BF")),"")</f>
        <v/>
      </c>
      <c r="H340" s="12">
        <f>IFERROR(IF(SUMIFS(tblDaily[Remaining],tblDaily[EntryDate],DATE(2026,9,22),tblDaily[WardCode],"BF")=0,"",SUMIFS(tblDaily[Remaining],tblDaily[EntryDate],DATE(2026,9,22),tblDaily[WardCode],"BF")),"")</f>
        <v/>
      </c>
    </row>
    <row r="341">
      <c r="A341" s="12" t="n">
        <v>23</v>
      </c>
      <c r="B341" s="12">
        <f>IFERROR(IF(SUMIFS(tblDaily[Admissions],tblDaily[EntryDate],DATE(2026,9,23),tblDaily[WardCode],"BF")=0,"",SUMIFS(tblDaily[Admissions],tblDaily[EntryDate],DATE(2026,9,23),tblDaily[WardCode],"BF")),"")</f>
        <v/>
      </c>
      <c r="C341" s="12">
        <f>IFERROR(IF(SUMIFS(tblDaily[Discharges],tblDaily[EntryDate],DATE(2026,9,23),tblDaily[WardCode],"BF")=0,"",SUMIFS(tblDaily[Discharges],tblDaily[EntryDate],DATE(2026,9,23),tblDaily[WardCode],"BF")),"")</f>
        <v/>
      </c>
      <c r="D341" s="12">
        <f>IFERROR(IF(SUMIFS(tblDaily[Deaths],tblDaily[EntryDate],DATE(2026,9,23),tblDaily[WardCode],"BF")=0,"",SUMIFS(tblDaily[Deaths],tblDaily[EntryDate],DATE(2026,9,23),tblDaily[WardCode],"BF")),"")</f>
        <v/>
      </c>
      <c r="E341" s="12">
        <f>IFERROR(IF(SUMIFS(tblDaily[DeathsUnder24Hrs],tblDaily[EntryDate],DATE(2026,9,23),tblDaily[WardCode],"BF")=0,"",SUMIFS(tblDaily[DeathsUnder24Hrs],tblDaily[EntryDate],DATE(2026,9,23),tblDaily[WardCode],"BF")),"")</f>
        <v/>
      </c>
      <c r="F341" s="12">
        <f>IFERROR(IF(SUMIFS(tblDaily[TransfersIn],tblDaily[EntryDate],DATE(2026,9,23),tblDaily[WardCode],"BF")=0,"",SUMIFS(tblDaily[TransfersIn],tblDaily[EntryDate],DATE(2026,9,23),tblDaily[WardCode],"BF")),"")</f>
        <v/>
      </c>
      <c r="G341" s="12">
        <f>IFERROR(IF(SUMIFS(tblDaily[TransfersOut],tblDaily[EntryDate],DATE(2026,9,23),tblDaily[WardCode],"BF")=0,"",SUMIFS(tblDaily[TransfersOut],tblDaily[EntryDate],DATE(2026,9,23),tblDaily[WardCode],"BF")),"")</f>
        <v/>
      </c>
      <c r="H341" s="12">
        <f>IFERROR(IF(SUMIFS(tblDaily[Remaining],tblDaily[EntryDate],DATE(2026,9,23),tblDaily[WardCode],"BF")=0,"",SUMIFS(tblDaily[Remaining],tblDaily[EntryDate],DATE(2026,9,23),tblDaily[WardCode],"BF")),"")</f>
        <v/>
      </c>
    </row>
    <row r="342">
      <c r="A342" s="12" t="n">
        <v>24</v>
      </c>
      <c r="B342" s="12">
        <f>IFERROR(IF(SUMIFS(tblDaily[Admissions],tblDaily[EntryDate],DATE(2026,9,24),tblDaily[WardCode],"BF")=0,"",SUMIFS(tblDaily[Admissions],tblDaily[EntryDate],DATE(2026,9,24),tblDaily[WardCode],"BF")),"")</f>
        <v/>
      </c>
      <c r="C342" s="12">
        <f>IFERROR(IF(SUMIFS(tblDaily[Discharges],tblDaily[EntryDate],DATE(2026,9,24),tblDaily[WardCode],"BF")=0,"",SUMIFS(tblDaily[Discharges],tblDaily[EntryDate],DATE(2026,9,24),tblDaily[WardCode],"BF")),"")</f>
        <v/>
      </c>
      <c r="D342" s="12">
        <f>IFERROR(IF(SUMIFS(tblDaily[Deaths],tblDaily[EntryDate],DATE(2026,9,24),tblDaily[WardCode],"BF")=0,"",SUMIFS(tblDaily[Deaths],tblDaily[EntryDate],DATE(2026,9,24),tblDaily[WardCode],"BF")),"")</f>
        <v/>
      </c>
      <c r="E342" s="12">
        <f>IFERROR(IF(SUMIFS(tblDaily[DeathsUnder24Hrs],tblDaily[EntryDate],DATE(2026,9,24),tblDaily[WardCode],"BF")=0,"",SUMIFS(tblDaily[DeathsUnder24Hrs],tblDaily[EntryDate],DATE(2026,9,24),tblDaily[WardCode],"BF")),"")</f>
        <v/>
      </c>
      <c r="F342" s="12">
        <f>IFERROR(IF(SUMIFS(tblDaily[TransfersIn],tblDaily[EntryDate],DATE(2026,9,24),tblDaily[WardCode],"BF")=0,"",SUMIFS(tblDaily[TransfersIn],tblDaily[EntryDate],DATE(2026,9,24),tblDaily[WardCode],"BF")),"")</f>
        <v/>
      </c>
      <c r="G342" s="12">
        <f>IFERROR(IF(SUMIFS(tblDaily[TransfersOut],tblDaily[EntryDate],DATE(2026,9,24),tblDaily[WardCode],"BF")=0,"",SUMIFS(tblDaily[TransfersOut],tblDaily[EntryDate],DATE(2026,9,24),tblDaily[WardCode],"BF")),"")</f>
        <v/>
      </c>
      <c r="H342" s="12">
        <f>IFERROR(IF(SUMIFS(tblDaily[Remaining],tblDaily[EntryDate],DATE(2026,9,24),tblDaily[WardCode],"BF")=0,"",SUMIFS(tblDaily[Remaining],tblDaily[EntryDate],DATE(2026,9,24),tblDaily[WardCode],"BF")),"")</f>
        <v/>
      </c>
    </row>
    <row r="343">
      <c r="A343" s="12" t="n">
        <v>25</v>
      </c>
      <c r="B343" s="12">
        <f>IFERROR(IF(SUMIFS(tblDaily[Admissions],tblDaily[EntryDate],DATE(2026,9,25),tblDaily[WardCode],"BF")=0,"",SUMIFS(tblDaily[Admissions],tblDaily[EntryDate],DATE(2026,9,25),tblDaily[WardCode],"BF")),"")</f>
        <v/>
      </c>
      <c r="C343" s="12">
        <f>IFERROR(IF(SUMIFS(tblDaily[Discharges],tblDaily[EntryDate],DATE(2026,9,25),tblDaily[WardCode],"BF")=0,"",SUMIFS(tblDaily[Discharges],tblDaily[EntryDate],DATE(2026,9,25),tblDaily[WardCode],"BF")),"")</f>
        <v/>
      </c>
      <c r="D343" s="12">
        <f>IFERROR(IF(SUMIFS(tblDaily[Deaths],tblDaily[EntryDate],DATE(2026,9,25),tblDaily[WardCode],"BF")=0,"",SUMIFS(tblDaily[Deaths],tblDaily[EntryDate],DATE(2026,9,25),tblDaily[WardCode],"BF")),"")</f>
        <v/>
      </c>
      <c r="E343" s="12">
        <f>IFERROR(IF(SUMIFS(tblDaily[DeathsUnder24Hrs],tblDaily[EntryDate],DATE(2026,9,25),tblDaily[WardCode],"BF")=0,"",SUMIFS(tblDaily[DeathsUnder24Hrs],tblDaily[EntryDate],DATE(2026,9,25),tblDaily[WardCode],"BF")),"")</f>
        <v/>
      </c>
      <c r="F343" s="12">
        <f>IFERROR(IF(SUMIFS(tblDaily[TransfersIn],tblDaily[EntryDate],DATE(2026,9,25),tblDaily[WardCode],"BF")=0,"",SUMIFS(tblDaily[TransfersIn],tblDaily[EntryDate],DATE(2026,9,25),tblDaily[WardCode],"BF")),"")</f>
        <v/>
      </c>
      <c r="G343" s="12">
        <f>IFERROR(IF(SUMIFS(tblDaily[TransfersOut],tblDaily[EntryDate],DATE(2026,9,25),tblDaily[WardCode],"BF")=0,"",SUMIFS(tblDaily[TransfersOut],tblDaily[EntryDate],DATE(2026,9,25),tblDaily[WardCode],"BF")),"")</f>
        <v/>
      </c>
      <c r="H343" s="12">
        <f>IFERROR(IF(SUMIFS(tblDaily[Remaining],tblDaily[EntryDate],DATE(2026,9,25),tblDaily[WardCode],"BF")=0,"",SUMIFS(tblDaily[Remaining],tblDaily[EntryDate],DATE(2026,9,25),tblDaily[WardCode],"BF")),"")</f>
        <v/>
      </c>
    </row>
    <row r="344">
      <c r="A344" s="12" t="n">
        <v>26</v>
      </c>
      <c r="B344" s="12">
        <f>IFERROR(IF(SUMIFS(tblDaily[Admissions],tblDaily[EntryDate],DATE(2026,9,26),tblDaily[WardCode],"BF")=0,"",SUMIFS(tblDaily[Admissions],tblDaily[EntryDate],DATE(2026,9,26),tblDaily[WardCode],"BF")),"")</f>
        <v/>
      </c>
      <c r="C344" s="12">
        <f>IFERROR(IF(SUMIFS(tblDaily[Discharges],tblDaily[EntryDate],DATE(2026,9,26),tblDaily[WardCode],"BF")=0,"",SUMIFS(tblDaily[Discharges],tblDaily[EntryDate],DATE(2026,9,26),tblDaily[WardCode],"BF")),"")</f>
        <v/>
      </c>
      <c r="D344" s="12">
        <f>IFERROR(IF(SUMIFS(tblDaily[Deaths],tblDaily[EntryDate],DATE(2026,9,26),tblDaily[WardCode],"BF")=0,"",SUMIFS(tblDaily[Deaths],tblDaily[EntryDate],DATE(2026,9,26),tblDaily[WardCode],"BF")),"")</f>
        <v/>
      </c>
      <c r="E344" s="12">
        <f>IFERROR(IF(SUMIFS(tblDaily[DeathsUnder24Hrs],tblDaily[EntryDate],DATE(2026,9,26),tblDaily[WardCode],"BF")=0,"",SUMIFS(tblDaily[DeathsUnder24Hrs],tblDaily[EntryDate],DATE(2026,9,26),tblDaily[WardCode],"BF")),"")</f>
        <v/>
      </c>
      <c r="F344" s="12">
        <f>IFERROR(IF(SUMIFS(tblDaily[TransfersIn],tblDaily[EntryDate],DATE(2026,9,26),tblDaily[WardCode],"BF")=0,"",SUMIFS(tblDaily[TransfersIn],tblDaily[EntryDate],DATE(2026,9,26),tblDaily[WardCode],"BF")),"")</f>
        <v/>
      </c>
      <c r="G344" s="12">
        <f>IFERROR(IF(SUMIFS(tblDaily[TransfersOut],tblDaily[EntryDate],DATE(2026,9,26),tblDaily[WardCode],"BF")=0,"",SUMIFS(tblDaily[TransfersOut],tblDaily[EntryDate],DATE(2026,9,26),tblDaily[WardCode],"BF")),"")</f>
        <v/>
      </c>
      <c r="H344" s="12">
        <f>IFERROR(IF(SUMIFS(tblDaily[Remaining],tblDaily[EntryDate],DATE(2026,9,26),tblDaily[WardCode],"BF")=0,"",SUMIFS(tblDaily[Remaining],tblDaily[EntryDate],DATE(2026,9,26),tblDaily[WardCode],"BF")),"")</f>
        <v/>
      </c>
    </row>
    <row r="345">
      <c r="A345" s="12" t="n">
        <v>27</v>
      </c>
      <c r="B345" s="12">
        <f>IFERROR(IF(SUMIFS(tblDaily[Admissions],tblDaily[EntryDate],DATE(2026,9,27),tblDaily[WardCode],"BF")=0,"",SUMIFS(tblDaily[Admissions],tblDaily[EntryDate],DATE(2026,9,27),tblDaily[WardCode],"BF")),"")</f>
        <v/>
      </c>
      <c r="C345" s="12">
        <f>IFERROR(IF(SUMIFS(tblDaily[Discharges],tblDaily[EntryDate],DATE(2026,9,27),tblDaily[WardCode],"BF")=0,"",SUMIFS(tblDaily[Discharges],tblDaily[EntryDate],DATE(2026,9,27),tblDaily[WardCode],"BF")),"")</f>
        <v/>
      </c>
      <c r="D345" s="12">
        <f>IFERROR(IF(SUMIFS(tblDaily[Deaths],tblDaily[EntryDate],DATE(2026,9,27),tblDaily[WardCode],"BF")=0,"",SUMIFS(tblDaily[Deaths],tblDaily[EntryDate],DATE(2026,9,27),tblDaily[WardCode],"BF")),"")</f>
        <v/>
      </c>
      <c r="E345" s="12">
        <f>IFERROR(IF(SUMIFS(tblDaily[DeathsUnder24Hrs],tblDaily[EntryDate],DATE(2026,9,27),tblDaily[WardCode],"BF")=0,"",SUMIFS(tblDaily[DeathsUnder24Hrs],tblDaily[EntryDate],DATE(2026,9,27),tblDaily[WardCode],"BF")),"")</f>
        <v/>
      </c>
      <c r="F345" s="12">
        <f>IFERROR(IF(SUMIFS(tblDaily[TransfersIn],tblDaily[EntryDate],DATE(2026,9,27),tblDaily[WardCode],"BF")=0,"",SUMIFS(tblDaily[TransfersIn],tblDaily[EntryDate],DATE(2026,9,27),tblDaily[WardCode],"BF")),"")</f>
        <v/>
      </c>
      <c r="G345" s="12">
        <f>IFERROR(IF(SUMIFS(tblDaily[TransfersOut],tblDaily[EntryDate],DATE(2026,9,27),tblDaily[WardCode],"BF")=0,"",SUMIFS(tblDaily[TransfersOut],tblDaily[EntryDate],DATE(2026,9,27),tblDaily[WardCode],"BF")),"")</f>
        <v/>
      </c>
      <c r="H345" s="12">
        <f>IFERROR(IF(SUMIFS(tblDaily[Remaining],tblDaily[EntryDate],DATE(2026,9,27),tblDaily[WardCode],"BF")=0,"",SUMIFS(tblDaily[Remaining],tblDaily[EntryDate],DATE(2026,9,27),tblDaily[WardCode],"BF")),"")</f>
        <v/>
      </c>
    </row>
    <row r="346">
      <c r="A346" s="12" t="n">
        <v>28</v>
      </c>
      <c r="B346" s="12">
        <f>IFERROR(IF(SUMIFS(tblDaily[Admissions],tblDaily[EntryDate],DATE(2026,9,28),tblDaily[WardCode],"BF")=0,"",SUMIFS(tblDaily[Admissions],tblDaily[EntryDate],DATE(2026,9,28),tblDaily[WardCode],"BF")),"")</f>
        <v/>
      </c>
      <c r="C346" s="12">
        <f>IFERROR(IF(SUMIFS(tblDaily[Discharges],tblDaily[EntryDate],DATE(2026,9,28),tblDaily[WardCode],"BF")=0,"",SUMIFS(tblDaily[Discharges],tblDaily[EntryDate],DATE(2026,9,28),tblDaily[WardCode],"BF")),"")</f>
        <v/>
      </c>
      <c r="D346" s="12">
        <f>IFERROR(IF(SUMIFS(tblDaily[Deaths],tblDaily[EntryDate],DATE(2026,9,28),tblDaily[WardCode],"BF")=0,"",SUMIFS(tblDaily[Deaths],tblDaily[EntryDate],DATE(2026,9,28),tblDaily[WardCode],"BF")),"")</f>
        <v/>
      </c>
      <c r="E346" s="12">
        <f>IFERROR(IF(SUMIFS(tblDaily[DeathsUnder24Hrs],tblDaily[EntryDate],DATE(2026,9,28),tblDaily[WardCode],"BF")=0,"",SUMIFS(tblDaily[DeathsUnder24Hrs],tblDaily[EntryDate],DATE(2026,9,28),tblDaily[WardCode],"BF")),"")</f>
        <v/>
      </c>
      <c r="F346" s="12">
        <f>IFERROR(IF(SUMIFS(tblDaily[TransfersIn],tblDaily[EntryDate],DATE(2026,9,28),tblDaily[WardCode],"BF")=0,"",SUMIFS(tblDaily[TransfersIn],tblDaily[EntryDate],DATE(2026,9,28),tblDaily[WardCode],"BF")),"")</f>
        <v/>
      </c>
      <c r="G346" s="12">
        <f>IFERROR(IF(SUMIFS(tblDaily[TransfersOut],tblDaily[EntryDate],DATE(2026,9,28),tblDaily[WardCode],"BF")=0,"",SUMIFS(tblDaily[TransfersOut],tblDaily[EntryDate],DATE(2026,9,28),tblDaily[WardCode],"BF")),"")</f>
        <v/>
      </c>
      <c r="H346" s="12">
        <f>IFERROR(IF(SUMIFS(tblDaily[Remaining],tblDaily[EntryDate],DATE(2026,9,28),tblDaily[WardCode],"BF")=0,"",SUMIFS(tblDaily[Remaining],tblDaily[EntryDate],DATE(2026,9,28),tblDaily[WardCode],"BF")),"")</f>
        <v/>
      </c>
    </row>
    <row r="347">
      <c r="A347" s="12" t="n">
        <v>29</v>
      </c>
      <c r="B347" s="12">
        <f>IFERROR(IF(SUMIFS(tblDaily[Admissions],tblDaily[EntryDate],DATE(2026,9,29),tblDaily[WardCode],"BF")=0,"",SUMIFS(tblDaily[Admissions],tblDaily[EntryDate],DATE(2026,9,29),tblDaily[WardCode],"BF")),"")</f>
        <v/>
      </c>
      <c r="C347" s="12">
        <f>IFERROR(IF(SUMIFS(tblDaily[Discharges],tblDaily[EntryDate],DATE(2026,9,29),tblDaily[WardCode],"BF")=0,"",SUMIFS(tblDaily[Discharges],tblDaily[EntryDate],DATE(2026,9,29),tblDaily[WardCode],"BF")),"")</f>
        <v/>
      </c>
      <c r="D347" s="12">
        <f>IFERROR(IF(SUMIFS(tblDaily[Deaths],tblDaily[EntryDate],DATE(2026,9,29),tblDaily[WardCode],"BF")=0,"",SUMIFS(tblDaily[Deaths],tblDaily[EntryDate],DATE(2026,9,29),tblDaily[WardCode],"BF")),"")</f>
        <v/>
      </c>
      <c r="E347" s="12">
        <f>IFERROR(IF(SUMIFS(tblDaily[DeathsUnder24Hrs],tblDaily[EntryDate],DATE(2026,9,29),tblDaily[WardCode],"BF")=0,"",SUMIFS(tblDaily[DeathsUnder24Hrs],tblDaily[EntryDate],DATE(2026,9,29),tblDaily[WardCode],"BF")),"")</f>
        <v/>
      </c>
      <c r="F347" s="12">
        <f>IFERROR(IF(SUMIFS(tblDaily[TransfersIn],tblDaily[EntryDate],DATE(2026,9,29),tblDaily[WardCode],"BF")=0,"",SUMIFS(tblDaily[TransfersIn],tblDaily[EntryDate],DATE(2026,9,29),tblDaily[WardCode],"BF")),"")</f>
        <v/>
      </c>
      <c r="G347" s="12">
        <f>IFERROR(IF(SUMIFS(tblDaily[TransfersOut],tblDaily[EntryDate],DATE(2026,9,29),tblDaily[WardCode],"BF")=0,"",SUMIFS(tblDaily[TransfersOut],tblDaily[EntryDate],DATE(2026,9,29),tblDaily[WardCode],"BF")),"")</f>
        <v/>
      </c>
      <c r="H347" s="12">
        <f>IFERROR(IF(SUMIFS(tblDaily[Remaining],tblDaily[EntryDate],DATE(2026,9,29),tblDaily[WardCode],"BF")=0,"",SUMIFS(tblDaily[Remaining],tblDaily[EntryDate],DATE(2026,9,29),tblDaily[WardCode],"BF")),"")</f>
        <v/>
      </c>
    </row>
    <row r="348">
      <c r="A348" s="12" t="n">
        <v>30</v>
      </c>
      <c r="B348" s="12">
        <f>IFERROR(IF(SUMIFS(tblDaily[Admissions],tblDaily[EntryDate],DATE(2026,9,30),tblDaily[WardCode],"BF")=0,"",SUMIFS(tblDaily[Admissions],tblDaily[EntryDate],DATE(2026,9,30),tblDaily[WardCode],"BF")),"")</f>
        <v/>
      </c>
      <c r="C348" s="12">
        <f>IFERROR(IF(SUMIFS(tblDaily[Discharges],tblDaily[EntryDate],DATE(2026,9,30),tblDaily[WardCode],"BF")=0,"",SUMIFS(tblDaily[Discharges],tblDaily[EntryDate],DATE(2026,9,30),tblDaily[WardCode],"BF")),"")</f>
        <v/>
      </c>
      <c r="D348" s="12">
        <f>IFERROR(IF(SUMIFS(tblDaily[Deaths],tblDaily[EntryDate],DATE(2026,9,30),tblDaily[WardCode],"BF")=0,"",SUMIFS(tblDaily[Deaths],tblDaily[EntryDate],DATE(2026,9,30),tblDaily[WardCode],"BF")),"")</f>
        <v/>
      </c>
      <c r="E348" s="12">
        <f>IFERROR(IF(SUMIFS(tblDaily[DeathsUnder24Hrs],tblDaily[EntryDate],DATE(2026,9,30),tblDaily[WardCode],"BF")=0,"",SUMIFS(tblDaily[DeathsUnder24Hrs],tblDaily[EntryDate],DATE(2026,9,30),tblDaily[WardCode],"BF")),"")</f>
        <v/>
      </c>
      <c r="F348" s="12">
        <f>IFERROR(IF(SUMIFS(tblDaily[TransfersIn],tblDaily[EntryDate],DATE(2026,9,30),tblDaily[WardCode],"BF")=0,"",SUMIFS(tblDaily[TransfersIn],tblDaily[EntryDate],DATE(2026,9,30),tblDaily[WardCode],"BF")),"")</f>
        <v/>
      </c>
      <c r="G348" s="12">
        <f>IFERROR(IF(SUMIFS(tblDaily[TransfersOut],tblDaily[EntryDate],DATE(2026,9,30),tblDaily[WardCode],"BF")=0,"",SUMIFS(tblDaily[TransfersOut],tblDaily[EntryDate],DATE(2026,9,30),tblDaily[WardCode],"BF")),"")</f>
        <v/>
      </c>
      <c r="H348" s="12">
        <f>IFERROR(IF(SUMIFS(tblDaily[Remaining],tblDaily[EntryDate],DATE(2026,9,30),tblDaily[WardCode],"BF")=0,"",SUMIFS(tblDaily[Remaining],tblDaily[EntryDate],DATE(2026,9,30),tblDaily[WardCode],"BF")),"")</f>
        <v/>
      </c>
    </row>
    <row r="349">
      <c r="A349" s="12" t="n">
        <v>31</v>
      </c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7" t="inlineStr">
        <is>
          <t>TOTAL</t>
        </is>
      </c>
      <c r="B350" s="17">
        <f>SUMIFS(tblDaily[Admissions],tblDaily[Month],9,tblDaily[WardCode],"BF") - SUMIFS(tblDaily[DeathsUnder24Hrs],tblDaily[Month],9,tblDaily[WardCode],"BF")</f>
        <v/>
      </c>
      <c r="C350" s="17">
        <f>SUMIFS(tblDaily[Discharges],tblDaily[Month],9,tblDaily[WardCode],"BF")</f>
        <v/>
      </c>
      <c r="D350" s="17">
        <f>SUMIFS(tblDaily[Deaths],tblDaily[Month],9,tblDaily[WardCode],"BF")</f>
        <v/>
      </c>
      <c r="E350" s="17">
        <f>SUMIFS(tblDaily[DeathsUnder24Hrs],tblDaily[Month],9,tblDaily[WardCode],"BF")</f>
        <v/>
      </c>
      <c r="F350" s="17">
        <f>SUMIFS(tblDaily[TransfersIn],tblDaily[Month],9,tblDaily[WardCode],"BF")</f>
        <v/>
      </c>
      <c r="G350" s="17">
        <f>SUMIFS(tblDaily[TransfersOut],tblDaily[Month],9,tblDaily[WardCode],"BF")</f>
        <v/>
      </c>
      <c r="H350" s="17">
        <f>SUMIFS(tblDaily[Remaining],tblDaily[Month],9,tblDaily[WardCode],"BF")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BLOCK F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4">
        <f>IFERROR(SUMIFS(tblDaily[Remaining],tblDaily[EntryDate],DATE(2026,9,30),tblDaily[WardCode],"BF"),0)</f>
        <v/>
      </c>
    </row>
    <row r="356">
      <c r="A356" s="4" t="inlineStr">
        <is>
          <t>Bed complement</t>
        </is>
      </c>
      <c r="H356" s="15">
        <f>IFERROR(INDEX(tblWardConfig[BedComplement],MATCH("BF",tblWardConfig[WardCode],0)),0)</f>
        <v/>
      </c>
    </row>
    <row r="357">
      <c r="A357" s="16" t="inlineStr">
        <is>
          <t>Day of
the
Month</t>
        </is>
      </c>
      <c r="B357" s="16" t="inlineStr">
        <is>
          <t>Admissions</t>
        </is>
      </c>
      <c r="C357" s="16" t="inlineStr">
        <is>
          <t>Discharges</t>
        </is>
      </c>
      <c r="D357" s="16" t="inlineStr">
        <is>
          <t>Deaths</t>
        </is>
      </c>
      <c r="E357" s="16" t="inlineStr">
        <is>
          <t>Deaths
&lt;24Hrs</t>
        </is>
      </c>
      <c r="F357" s="16" t="inlineStr">
        <is>
          <t>Transfers-
In</t>
        </is>
      </c>
      <c r="G357" s="16" t="inlineStr">
        <is>
          <t>Transfers-
Out</t>
        </is>
      </c>
      <c r="H357" s="16" t="inlineStr">
        <is>
          <t>No. of Patients
Remaining In
Ward</t>
        </is>
      </c>
    </row>
    <row r="358">
      <c r="A358" s="12" t="n">
        <v>1</v>
      </c>
      <c r="B358" s="12">
        <f>IFERROR(IF(SUMIFS(tblDaily[Admissions],tblDaily[EntryDate],DATE(2026,10,1),tblDaily[WardCode],"BF")=0,"",SUMIFS(tblDaily[Admissions],tblDaily[EntryDate],DATE(2026,10,1),tblDaily[WardCode],"BF")),"")</f>
        <v/>
      </c>
      <c r="C358" s="12">
        <f>IFERROR(IF(SUMIFS(tblDaily[Discharges],tblDaily[EntryDate],DATE(2026,10,1),tblDaily[WardCode],"BF")=0,"",SUMIFS(tblDaily[Discharges],tblDaily[EntryDate],DATE(2026,10,1),tblDaily[WardCode],"BF")),"")</f>
        <v/>
      </c>
      <c r="D358" s="12">
        <f>IFERROR(IF(SUMIFS(tblDaily[Deaths],tblDaily[EntryDate],DATE(2026,10,1),tblDaily[WardCode],"BF")=0,"",SUMIFS(tblDaily[Deaths],tblDaily[EntryDate],DATE(2026,10,1),tblDaily[WardCode],"BF")),"")</f>
        <v/>
      </c>
      <c r="E358" s="12">
        <f>IFERROR(IF(SUMIFS(tblDaily[DeathsUnder24Hrs],tblDaily[EntryDate],DATE(2026,10,1),tblDaily[WardCode],"BF")=0,"",SUMIFS(tblDaily[DeathsUnder24Hrs],tblDaily[EntryDate],DATE(2026,10,1),tblDaily[WardCode],"BF")),"")</f>
        <v/>
      </c>
      <c r="F358" s="12">
        <f>IFERROR(IF(SUMIFS(tblDaily[TransfersIn],tblDaily[EntryDate],DATE(2026,10,1),tblDaily[WardCode],"BF")=0,"",SUMIFS(tblDaily[TransfersIn],tblDaily[EntryDate],DATE(2026,10,1),tblDaily[WardCode],"BF")),"")</f>
        <v/>
      </c>
      <c r="G358" s="12">
        <f>IFERROR(IF(SUMIFS(tblDaily[TransfersOut],tblDaily[EntryDate],DATE(2026,10,1),tblDaily[WardCode],"BF")=0,"",SUMIFS(tblDaily[TransfersOut],tblDaily[EntryDate],DATE(2026,10,1),tblDaily[WardCode],"BF")),"")</f>
        <v/>
      </c>
      <c r="H358" s="12">
        <f>IFERROR(IF(SUMIFS(tblDaily[Remaining],tblDaily[EntryDate],DATE(2026,10,1),tblDaily[WardCode],"BF")=0,"",SUMIFS(tblDaily[Remaining],tblDaily[EntryDate],DATE(2026,10,1),tblDaily[WardCode],"BF")),"")</f>
        <v/>
      </c>
    </row>
    <row r="359">
      <c r="A359" s="12" t="n">
        <v>2</v>
      </c>
      <c r="B359" s="12">
        <f>IFERROR(IF(SUMIFS(tblDaily[Admissions],tblDaily[EntryDate],DATE(2026,10,2),tblDaily[WardCode],"BF")=0,"",SUMIFS(tblDaily[Admissions],tblDaily[EntryDate],DATE(2026,10,2),tblDaily[WardCode],"BF")),"")</f>
        <v/>
      </c>
      <c r="C359" s="12">
        <f>IFERROR(IF(SUMIFS(tblDaily[Discharges],tblDaily[EntryDate],DATE(2026,10,2),tblDaily[WardCode],"BF")=0,"",SUMIFS(tblDaily[Discharges],tblDaily[EntryDate],DATE(2026,10,2),tblDaily[WardCode],"BF")),"")</f>
        <v/>
      </c>
      <c r="D359" s="12">
        <f>IFERROR(IF(SUMIFS(tblDaily[Deaths],tblDaily[EntryDate],DATE(2026,10,2),tblDaily[WardCode],"BF")=0,"",SUMIFS(tblDaily[Deaths],tblDaily[EntryDate],DATE(2026,10,2),tblDaily[WardCode],"BF")),"")</f>
        <v/>
      </c>
      <c r="E359" s="12">
        <f>IFERROR(IF(SUMIFS(tblDaily[DeathsUnder24Hrs],tblDaily[EntryDate],DATE(2026,10,2),tblDaily[WardCode],"BF")=0,"",SUMIFS(tblDaily[DeathsUnder24Hrs],tblDaily[EntryDate],DATE(2026,10,2),tblDaily[WardCode],"BF")),"")</f>
        <v/>
      </c>
      <c r="F359" s="12">
        <f>IFERROR(IF(SUMIFS(tblDaily[TransfersIn],tblDaily[EntryDate],DATE(2026,10,2),tblDaily[WardCode],"BF")=0,"",SUMIFS(tblDaily[TransfersIn],tblDaily[EntryDate],DATE(2026,10,2),tblDaily[WardCode],"BF")),"")</f>
        <v/>
      </c>
      <c r="G359" s="12">
        <f>IFERROR(IF(SUMIFS(tblDaily[TransfersOut],tblDaily[EntryDate],DATE(2026,10,2),tblDaily[WardCode],"BF")=0,"",SUMIFS(tblDaily[TransfersOut],tblDaily[EntryDate],DATE(2026,10,2),tblDaily[WardCode],"BF")),"")</f>
        <v/>
      </c>
      <c r="H359" s="12">
        <f>IFERROR(IF(SUMIFS(tblDaily[Remaining],tblDaily[EntryDate],DATE(2026,10,2),tblDaily[WardCode],"BF")=0,"",SUMIFS(tblDaily[Remaining],tblDaily[EntryDate],DATE(2026,10,2),tblDaily[WardCode],"BF")),"")</f>
        <v/>
      </c>
    </row>
    <row r="360">
      <c r="A360" s="12" t="n">
        <v>3</v>
      </c>
      <c r="B360" s="12">
        <f>IFERROR(IF(SUMIFS(tblDaily[Admissions],tblDaily[EntryDate],DATE(2026,10,3),tblDaily[WardCode],"BF")=0,"",SUMIFS(tblDaily[Admissions],tblDaily[EntryDate],DATE(2026,10,3),tblDaily[WardCode],"BF")),"")</f>
        <v/>
      </c>
      <c r="C360" s="12">
        <f>IFERROR(IF(SUMIFS(tblDaily[Discharges],tblDaily[EntryDate],DATE(2026,10,3),tblDaily[WardCode],"BF")=0,"",SUMIFS(tblDaily[Discharges],tblDaily[EntryDate],DATE(2026,10,3),tblDaily[WardCode],"BF")),"")</f>
        <v/>
      </c>
      <c r="D360" s="12">
        <f>IFERROR(IF(SUMIFS(tblDaily[Deaths],tblDaily[EntryDate],DATE(2026,10,3),tblDaily[WardCode],"BF")=0,"",SUMIFS(tblDaily[Deaths],tblDaily[EntryDate],DATE(2026,10,3),tblDaily[WardCode],"BF")),"")</f>
        <v/>
      </c>
      <c r="E360" s="12">
        <f>IFERROR(IF(SUMIFS(tblDaily[DeathsUnder24Hrs],tblDaily[EntryDate],DATE(2026,10,3),tblDaily[WardCode],"BF")=0,"",SUMIFS(tblDaily[DeathsUnder24Hrs],tblDaily[EntryDate],DATE(2026,10,3),tblDaily[WardCode],"BF")),"")</f>
        <v/>
      </c>
      <c r="F360" s="12">
        <f>IFERROR(IF(SUMIFS(tblDaily[TransfersIn],tblDaily[EntryDate],DATE(2026,10,3),tblDaily[WardCode],"BF")=0,"",SUMIFS(tblDaily[TransfersIn],tblDaily[EntryDate],DATE(2026,10,3),tblDaily[WardCode],"BF")),"")</f>
        <v/>
      </c>
      <c r="G360" s="12">
        <f>IFERROR(IF(SUMIFS(tblDaily[TransfersOut],tblDaily[EntryDate],DATE(2026,10,3),tblDaily[WardCode],"BF")=0,"",SUMIFS(tblDaily[TransfersOut],tblDaily[EntryDate],DATE(2026,10,3),tblDaily[WardCode],"BF")),"")</f>
        <v/>
      </c>
      <c r="H360" s="12">
        <f>IFERROR(IF(SUMIFS(tblDaily[Remaining],tblDaily[EntryDate],DATE(2026,10,3),tblDaily[WardCode],"BF")=0,"",SUMIFS(tblDaily[Remaining],tblDaily[EntryDate],DATE(2026,10,3),tblDaily[WardCode],"BF")),"")</f>
        <v/>
      </c>
    </row>
    <row r="361">
      <c r="A361" s="12" t="n">
        <v>4</v>
      </c>
      <c r="B361" s="12">
        <f>IFERROR(IF(SUMIFS(tblDaily[Admissions],tblDaily[EntryDate],DATE(2026,10,4),tblDaily[WardCode],"BF")=0,"",SUMIFS(tblDaily[Admissions],tblDaily[EntryDate],DATE(2026,10,4),tblDaily[WardCode],"BF")),"")</f>
        <v/>
      </c>
      <c r="C361" s="12">
        <f>IFERROR(IF(SUMIFS(tblDaily[Discharges],tblDaily[EntryDate],DATE(2026,10,4),tblDaily[WardCode],"BF")=0,"",SUMIFS(tblDaily[Discharges],tblDaily[EntryDate],DATE(2026,10,4),tblDaily[WardCode],"BF")),"")</f>
        <v/>
      </c>
      <c r="D361" s="12">
        <f>IFERROR(IF(SUMIFS(tblDaily[Deaths],tblDaily[EntryDate],DATE(2026,10,4),tblDaily[WardCode],"BF")=0,"",SUMIFS(tblDaily[Deaths],tblDaily[EntryDate],DATE(2026,10,4),tblDaily[WardCode],"BF")),"")</f>
        <v/>
      </c>
      <c r="E361" s="12">
        <f>IFERROR(IF(SUMIFS(tblDaily[DeathsUnder24Hrs],tblDaily[EntryDate],DATE(2026,10,4),tblDaily[WardCode],"BF")=0,"",SUMIFS(tblDaily[DeathsUnder24Hrs],tblDaily[EntryDate],DATE(2026,10,4),tblDaily[WardCode],"BF")),"")</f>
        <v/>
      </c>
      <c r="F361" s="12">
        <f>IFERROR(IF(SUMIFS(tblDaily[TransfersIn],tblDaily[EntryDate],DATE(2026,10,4),tblDaily[WardCode],"BF")=0,"",SUMIFS(tblDaily[TransfersIn],tblDaily[EntryDate],DATE(2026,10,4),tblDaily[WardCode],"BF")),"")</f>
        <v/>
      </c>
      <c r="G361" s="12">
        <f>IFERROR(IF(SUMIFS(tblDaily[TransfersOut],tblDaily[EntryDate],DATE(2026,10,4),tblDaily[WardCode],"BF")=0,"",SUMIFS(tblDaily[TransfersOut],tblDaily[EntryDate],DATE(2026,10,4),tblDaily[WardCode],"BF")),"")</f>
        <v/>
      </c>
      <c r="H361" s="12">
        <f>IFERROR(IF(SUMIFS(tblDaily[Remaining],tblDaily[EntryDate],DATE(2026,10,4),tblDaily[WardCode],"BF")=0,"",SUMIFS(tblDaily[Remaining],tblDaily[EntryDate],DATE(2026,10,4),tblDaily[WardCode],"BF")),"")</f>
        <v/>
      </c>
    </row>
    <row r="362">
      <c r="A362" s="12" t="n">
        <v>5</v>
      </c>
      <c r="B362" s="12">
        <f>IFERROR(IF(SUMIFS(tblDaily[Admissions],tblDaily[EntryDate],DATE(2026,10,5),tblDaily[WardCode],"BF")=0,"",SUMIFS(tblDaily[Admissions],tblDaily[EntryDate],DATE(2026,10,5),tblDaily[WardCode],"BF")),"")</f>
        <v/>
      </c>
      <c r="C362" s="12">
        <f>IFERROR(IF(SUMIFS(tblDaily[Discharges],tblDaily[EntryDate],DATE(2026,10,5),tblDaily[WardCode],"BF")=0,"",SUMIFS(tblDaily[Discharges],tblDaily[EntryDate],DATE(2026,10,5),tblDaily[WardCode],"BF")),"")</f>
        <v/>
      </c>
      <c r="D362" s="12">
        <f>IFERROR(IF(SUMIFS(tblDaily[Deaths],tblDaily[EntryDate],DATE(2026,10,5),tblDaily[WardCode],"BF")=0,"",SUMIFS(tblDaily[Deaths],tblDaily[EntryDate],DATE(2026,10,5),tblDaily[WardCode],"BF")),"")</f>
        <v/>
      </c>
      <c r="E362" s="12">
        <f>IFERROR(IF(SUMIFS(tblDaily[DeathsUnder24Hrs],tblDaily[EntryDate],DATE(2026,10,5),tblDaily[WardCode],"BF")=0,"",SUMIFS(tblDaily[DeathsUnder24Hrs],tblDaily[EntryDate],DATE(2026,10,5),tblDaily[WardCode],"BF")),"")</f>
        <v/>
      </c>
      <c r="F362" s="12">
        <f>IFERROR(IF(SUMIFS(tblDaily[TransfersIn],tblDaily[EntryDate],DATE(2026,10,5),tblDaily[WardCode],"BF")=0,"",SUMIFS(tblDaily[TransfersIn],tblDaily[EntryDate],DATE(2026,10,5),tblDaily[WardCode],"BF")),"")</f>
        <v/>
      </c>
      <c r="G362" s="12">
        <f>IFERROR(IF(SUMIFS(tblDaily[TransfersOut],tblDaily[EntryDate],DATE(2026,10,5),tblDaily[WardCode],"BF")=0,"",SUMIFS(tblDaily[TransfersOut],tblDaily[EntryDate],DATE(2026,10,5),tblDaily[WardCode],"BF")),"")</f>
        <v/>
      </c>
      <c r="H362" s="12">
        <f>IFERROR(IF(SUMIFS(tblDaily[Remaining],tblDaily[EntryDate],DATE(2026,10,5),tblDaily[WardCode],"BF")=0,"",SUMIFS(tblDaily[Remaining],tblDaily[EntryDate],DATE(2026,10,5),tblDaily[WardCode],"BF")),"")</f>
        <v/>
      </c>
    </row>
    <row r="363">
      <c r="A363" s="12" t="n">
        <v>6</v>
      </c>
      <c r="B363" s="12">
        <f>IFERROR(IF(SUMIFS(tblDaily[Admissions],tblDaily[EntryDate],DATE(2026,10,6),tblDaily[WardCode],"BF")=0,"",SUMIFS(tblDaily[Admissions],tblDaily[EntryDate],DATE(2026,10,6),tblDaily[WardCode],"BF")),"")</f>
        <v/>
      </c>
      <c r="C363" s="12">
        <f>IFERROR(IF(SUMIFS(tblDaily[Discharges],tblDaily[EntryDate],DATE(2026,10,6),tblDaily[WardCode],"BF")=0,"",SUMIFS(tblDaily[Discharges],tblDaily[EntryDate],DATE(2026,10,6),tblDaily[WardCode],"BF")),"")</f>
        <v/>
      </c>
      <c r="D363" s="12">
        <f>IFERROR(IF(SUMIFS(tblDaily[Deaths],tblDaily[EntryDate],DATE(2026,10,6),tblDaily[WardCode],"BF")=0,"",SUMIFS(tblDaily[Deaths],tblDaily[EntryDate],DATE(2026,10,6),tblDaily[WardCode],"BF")),"")</f>
        <v/>
      </c>
      <c r="E363" s="12">
        <f>IFERROR(IF(SUMIFS(tblDaily[DeathsUnder24Hrs],tblDaily[EntryDate],DATE(2026,10,6),tblDaily[WardCode],"BF")=0,"",SUMIFS(tblDaily[DeathsUnder24Hrs],tblDaily[EntryDate],DATE(2026,10,6),tblDaily[WardCode],"BF")),"")</f>
        <v/>
      </c>
      <c r="F363" s="12">
        <f>IFERROR(IF(SUMIFS(tblDaily[TransfersIn],tblDaily[EntryDate],DATE(2026,10,6),tblDaily[WardCode],"BF")=0,"",SUMIFS(tblDaily[TransfersIn],tblDaily[EntryDate],DATE(2026,10,6),tblDaily[WardCode],"BF")),"")</f>
        <v/>
      </c>
      <c r="G363" s="12">
        <f>IFERROR(IF(SUMIFS(tblDaily[TransfersOut],tblDaily[EntryDate],DATE(2026,10,6),tblDaily[WardCode],"BF")=0,"",SUMIFS(tblDaily[TransfersOut],tblDaily[EntryDate],DATE(2026,10,6),tblDaily[WardCode],"BF")),"")</f>
        <v/>
      </c>
      <c r="H363" s="12">
        <f>IFERROR(IF(SUMIFS(tblDaily[Remaining],tblDaily[EntryDate],DATE(2026,10,6),tblDaily[WardCode],"BF")=0,"",SUMIFS(tblDaily[Remaining],tblDaily[EntryDate],DATE(2026,10,6),tblDaily[WardCode],"BF")),"")</f>
        <v/>
      </c>
    </row>
    <row r="364">
      <c r="A364" s="12" t="n">
        <v>7</v>
      </c>
      <c r="B364" s="12">
        <f>IFERROR(IF(SUMIFS(tblDaily[Admissions],tblDaily[EntryDate],DATE(2026,10,7),tblDaily[WardCode],"BF")=0,"",SUMIFS(tblDaily[Admissions],tblDaily[EntryDate],DATE(2026,10,7),tblDaily[WardCode],"BF")),"")</f>
        <v/>
      </c>
      <c r="C364" s="12">
        <f>IFERROR(IF(SUMIFS(tblDaily[Discharges],tblDaily[EntryDate],DATE(2026,10,7),tblDaily[WardCode],"BF")=0,"",SUMIFS(tblDaily[Discharges],tblDaily[EntryDate],DATE(2026,10,7),tblDaily[WardCode],"BF")),"")</f>
        <v/>
      </c>
      <c r="D364" s="12">
        <f>IFERROR(IF(SUMIFS(tblDaily[Deaths],tblDaily[EntryDate],DATE(2026,10,7),tblDaily[WardCode],"BF")=0,"",SUMIFS(tblDaily[Deaths],tblDaily[EntryDate],DATE(2026,10,7),tblDaily[WardCode],"BF")),"")</f>
        <v/>
      </c>
      <c r="E364" s="12">
        <f>IFERROR(IF(SUMIFS(tblDaily[DeathsUnder24Hrs],tblDaily[EntryDate],DATE(2026,10,7),tblDaily[WardCode],"BF")=0,"",SUMIFS(tblDaily[DeathsUnder24Hrs],tblDaily[EntryDate],DATE(2026,10,7),tblDaily[WardCode],"BF")),"")</f>
        <v/>
      </c>
      <c r="F364" s="12">
        <f>IFERROR(IF(SUMIFS(tblDaily[TransfersIn],tblDaily[EntryDate],DATE(2026,10,7),tblDaily[WardCode],"BF")=0,"",SUMIFS(tblDaily[TransfersIn],tblDaily[EntryDate],DATE(2026,10,7),tblDaily[WardCode],"BF")),"")</f>
        <v/>
      </c>
      <c r="G364" s="12">
        <f>IFERROR(IF(SUMIFS(tblDaily[TransfersOut],tblDaily[EntryDate],DATE(2026,10,7),tblDaily[WardCode],"BF")=0,"",SUMIFS(tblDaily[TransfersOut],tblDaily[EntryDate],DATE(2026,10,7),tblDaily[WardCode],"BF")),"")</f>
        <v/>
      </c>
      <c r="H364" s="12">
        <f>IFERROR(IF(SUMIFS(tblDaily[Remaining],tblDaily[EntryDate],DATE(2026,10,7),tblDaily[WardCode],"BF")=0,"",SUMIFS(tblDaily[Remaining],tblDaily[EntryDate],DATE(2026,10,7),tblDaily[WardCode],"BF")),"")</f>
        <v/>
      </c>
    </row>
    <row r="365">
      <c r="A365" s="12" t="n">
        <v>8</v>
      </c>
      <c r="B365" s="12">
        <f>IFERROR(IF(SUMIFS(tblDaily[Admissions],tblDaily[EntryDate],DATE(2026,10,8),tblDaily[WardCode],"BF")=0,"",SUMIFS(tblDaily[Admissions],tblDaily[EntryDate],DATE(2026,10,8),tblDaily[WardCode],"BF")),"")</f>
        <v/>
      </c>
      <c r="C365" s="12">
        <f>IFERROR(IF(SUMIFS(tblDaily[Discharges],tblDaily[EntryDate],DATE(2026,10,8),tblDaily[WardCode],"BF")=0,"",SUMIFS(tblDaily[Discharges],tblDaily[EntryDate],DATE(2026,10,8),tblDaily[WardCode],"BF")),"")</f>
        <v/>
      </c>
      <c r="D365" s="12">
        <f>IFERROR(IF(SUMIFS(tblDaily[Deaths],tblDaily[EntryDate],DATE(2026,10,8),tblDaily[WardCode],"BF")=0,"",SUMIFS(tblDaily[Deaths],tblDaily[EntryDate],DATE(2026,10,8),tblDaily[WardCode],"BF")),"")</f>
        <v/>
      </c>
      <c r="E365" s="12">
        <f>IFERROR(IF(SUMIFS(tblDaily[DeathsUnder24Hrs],tblDaily[EntryDate],DATE(2026,10,8),tblDaily[WardCode],"BF")=0,"",SUMIFS(tblDaily[DeathsUnder24Hrs],tblDaily[EntryDate],DATE(2026,10,8),tblDaily[WardCode],"BF")),"")</f>
        <v/>
      </c>
      <c r="F365" s="12">
        <f>IFERROR(IF(SUMIFS(tblDaily[TransfersIn],tblDaily[EntryDate],DATE(2026,10,8),tblDaily[WardCode],"BF")=0,"",SUMIFS(tblDaily[TransfersIn],tblDaily[EntryDate],DATE(2026,10,8),tblDaily[WardCode],"BF")),"")</f>
        <v/>
      </c>
      <c r="G365" s="12">
        <f>IFERROR(IF(SUMIFS(tblDaily[TransfersOut],tblDaily[EntryDate],DATE(2026,10,8),tblDaily[WardCode],"BF")=0,"",SUMIFS(tblDaily[TransfersOut],tblDaily[EntryDate],DATE(2026,10,8),tblDaily[WardCode],"BF")),"")</f>
        <v/>
      </c>
      <c r="H365" s="12">
        <f>IFERROR(IF(SUMIFS(tblDaily[Remaining],tblDaily[EntryDate],DATE(2026,10,8),tblDaily[WardCode],"BF")=0,"",SUMIFS(tblDaily[Remaining],tblDaily[EntryDate],DATE(2026,10,8),tblDaily[WardCode],"BF")),"")</f>
        <v/>
      </c>
    </row>
    <row r="366">
      <c r="A366" s="12" t="n">
        <v>9</v>
      </c>
      <c r="B366" s="12">
        <f>IFERROR(IF(SUMIFS(tblDaily[Admissions],tblDaily[EntryDate],DATE(2026,10,9),tblDaily[WardCode],"BF")=0,"",SUMIFS(tblDaily[Admissions],tblDaily[EntryDate],DATE(2026,10,9),tblDaily[WardCode],"BF")),"")</f>
        <v/>
      </c>
      <c r="C366" s="12">
        <f>IFERROR(IF(SUMIFS(tblDaily[Discharges],tblDaily[EntryDate],DATE(2026,10,9),tblDaily[WardCode],"BF")=0,"",SUMIFS(tblDaily[Discharges],tblDaily[EntryDate],DATE(2026,10,9),tblDaily[WardCode],"BF")),"")</f>
        <v/>
      </c>
      <c r="D366" s="12">
        <f>IFERROR(IF(SUMIFS(tblDaily[Deaths],tblDaily[EntryDate],DATE(2026,10,9),tblDaily[WardCode],"BF")=0,"",SUMIFS(tblDaily[Deaths],tblDaily[EntryDate],DATE(2026,10,9),tblDaily[WardCode],"BF")),"")</f>
        <v/>
      </c>
      <c r="E366" s="12">
        <f>IFERROR(IF(SUMIFS(tblDaily[DeathsUnder24Hrs],tblDaily[EntryDate],DATE(2026,10,9),tblDaily[WardCode],"BF")=0,"",SUMIFS(tblDaily[DeathsUnder24Hrs],tblDaily[EntryDate],DATE(2026,10,9),tblDaily[WardCode],"BF")),"")</f>
        <v/>
      </c>
      <c r="F366" s="12">
        <f>IFERROR(IF(SUMIFS(tblDaily[TransfersIn],tblDaily[EntryDate],DATE(2026,10,9),tblDaily[WardCode],"BF")=0,"",SUMIFS(tblDaily[TransfersIn],tblDaily[EntryDate],DATE(2026,10,9),tblDaily[WardCode],"BF")),"")</f>
        <v/>
      </c>
      <c r="G366" s="12">
        <f>IFERROR(IF(SUMIFS(tblDaily[TransfersOut],tblDaily[EntryDate],DATE(2026,10,9),tblDaily[WardCode],"BF")=0,"",SUMIFS(tblDaily[TransfersOut],tblDaily[EntryDate],DATE(2026,10,9),tblDaily[WardCode],"BF")),"")</f>
        <v/>
      </c>
      <c r="H366" s="12">
        <f>IFERROR(IF(SUMIFS(tblDaily[Remaining],tblDaily[EntryDate],DATE(2026,10,9),tblDaily[WardCode],"BF")=0,"",SUMIFS(tblDaily[Remaining],tblDaily[EntryDate],DATE(2026,10,9),tblDaily[WardCode],"BF")),"")</f>
        <v/>
      </c>
    </row>
    <row r="367">
      <c r="A367" s="12" t="n">
        <v>10</v>
      </c>
      <c r="B367" s="12">
        <f>IFERROR(IF(SUMIFS(tblDaily[Admissions],tblDaily[EntryDate],DATE(2026,10,10),tblDaily[WardCode],"BF")=0,"",SUMIFS(tblDaily[Admissions],tblDaily[EntryDate],DATE(2026,10,10),tblDaily[WardCode],"BF")),"")</f>
        <v/>
      </c>
      <c r="C367" s="12">
        <f>IFERROR(IF(SUMIFS(tblDaily[Discharges],tblDaily[EntryDate],DATE(2026,10,10),tblDaily[WardCode],"BF")=0,"",SUMIFS(tblDaily[Discharges],tblDaily[EntryDate],DATE(2026,10,10),tblDaily[WardCode],"BF")),"")</f>
        <v/>
      </c>
      <c r="D367" s="12">
        <f>IFERROR(IF(SUMIFS(tblDaily[Deaths],tblDaily[EntryDate],DATE(2026,10,10),tblDaily[WardCode],"BF")=0,"",SUMIFS(tblDaily[Deaths],tblDaily[EntryDate],DATE(2026,10,10),tblDaily[WardCode],"BF")),"")</f>
        <v/>
      </c>
      <c r="E367" s="12">
        <f>IFERROR(IF(SUMIFS(tblDaily[DeathsUnder24Hrs],tblDaily[EntryDate],DATE(2026,10,10),tblDaily[WardCode],"BF")=0,"",SUMIFS(tblDaily[DeathsUnder24Hrs],tblDaily[EntryDate],DATE(2026,10,10),tblDaily[WardCode],"BF")),"")</f>
        <v/>
      </c>
      <c r="F367" s="12">
        <f>IFERROR(IF(SUMIFS(tblDaily[TransfersIn],tblDaily[EntryDate],DATE(2026,10,10),tblDaily[WardCode],"BF")=0,"",SUMIFS(tblDaily[TransfersIn],tblDaily[EntryDate],DATE(2026,10,10),tblDaily[WardCode],"BF")),"")</f>
        <v/>
      </c>
      <c r="G367" s="12">
        <f>IFERROR(IF(SUMIFS(tblDaily[TransfersOut],tblDaily[EntryDate],DATE(2026,10,10),tblDaily[WardCode],"BF")=0,"",SUMIFS(tblDaily[TransfersOut],tblDaily[EntryDate],DATE(2026,10,10),tblDaily[WardCode],"BF")),"")</f>
        <v/>
      </c>
      <c r="H367" s="12">
        <f>IFERROR(IF(SUMIFS(tblDaily[Remaining],tblDaily[EntryDate],DATE(2026,10,10),tblDaily[WardCode],"BF")=0,"",SUMIFS(tblDaily[Remaining],tblDaily[EntryDate],DATE(2026,10,10),tblDaily[WardCode],"BF")),"")</f>
        <v/>
      </c>
    </row>
    <row r="368">
      <c r="A368" s="12" t="n">
        <v>11</v>
      </c>
      <c r="B368" s="12">
        <f>IFERROR(IF(SUMIFS(tblDaily[Admissions],tblDaily[EntryDate],DATE(2026,10,11),tblDaily[WardCode],"BF")=0,"",SUMIFS(tblDaily[Admissions],tblDaily[EntryDate],DATE(2026,10,11),tblDaily[WardCode],"BF")),"")</f>
        <v/>
      </c>
      <c r="C368" s="12">
        <f>IFERROR(IF(SUMIFS(tblDaily[Discharges],tblDaily[EntryDate],DATE(2026,10,11),tblDaily[WardCode],"BF")=0,"",SUMIFS(tblDaily[Discharges],tblDaily[EntryDate],DATE(2026,10,11),tblDaily[WardCode],"BF")),"")</f>
        <v/>
      </c>
      <c r="D368" s="12">
        <f>IFERROR(IF(SUMIFS(tblDaily[Deaths],tblDaily[EntryDate],DATE(2026,10,11),tblDaily[WardCode],"BF")=0,"",SUMIFS(tblDaily[Deaths],tblDaily[EntryDate],DATE(2026,10,11),tblDaily[WardCode],"BF")),"")</f>
        <v/>
      </c>
      <c r="E368" s="12">
        <f>IFERROR(IF(SUMIFS(tblDaily[DeathsUnder24Hrs],tblDaily[EntryDate],DATE(2026,10,11),tblDaily[WardCode],"BF")=0,"",SUMIFS(tblDaily[DeathsUnder24Hrs],tblDaily[EntryDate],DATE(2026,10,11),tblDaily[WardCode],"BF")),"")</f>
        <v/>
      </c>
      <c r="F368" s="12">
        <f>IFERROR(IF(SUMIFS(tblDaily[TransfersIn],tblDaily[EntryDate],DATE(2026,10,11),tblDaily[WardCode],"BF")=0,"",SUMIFS(tblDaily[TransfersIn],tblDaily[EntryDate],DATE(2026,10,11),tblDaily[WardCode],"BF")),"")</f>
        <v/>
      </c>
      <c r="G368" s="12">
        <f>IFERROR(IF(SUMIFS(tblDaily[TransfersOut],tblDaily[EntryDate],DATE(2026,10,11),tblDaily[WardCode],"BF")=0,"",SUMIFS(tblDaily[TransfersOut],tblDaily[EntryDate],DATE(2026,10,11),tblDaily[WardCode],"BF")),"")</f>
        <v/>
      </c>
      <c r="H368" s="12">
        <f>IFERROR(IF(SUMIFS(tblDaily[Remaining],tblDaily[EntryDate],DATE(2026,10,11),tblDaily[WardCode],"BF")=0,"",SUMIFS(tblDaily[Remaining],tblDaily[EntryDate],DATE(2026,10,11),tblDaily[WardCode],"BF")),"")</f>
        <v/>
      </c>
    </row>
    <row r="369">
      <c r="A369" s="12" t="n">
        <v>12</v>
      </c>
      <c r="B369" s="12">
        <f>IFERROR(IF(SUMIFS(tblDaily[Admissions],tblDaily[EntryDate],DATE(2026,10,12),tblDaily[WardCode],"BF")=0,"",SUMIFS(tblDaily[Admissions],tblDaily[EntryDate],DATE(2026,10,12),tblDaily[WardCode],"BF")),"")</f>
        <v/>
      </c>
      <c r="C369" s="12">
        <f>IFERROR(IF(SUMIFS(tblDaily[Discharges],tblDaily[EntryDate],DATE(2026,10,12),tblDaily[WardCode],"BF")=0,"",SUMIFS(tblDaily[Discharges],tblDaily[EntryDate],DATE(2026,10,12),tblDaily[WardCode],"BF")),"")</f>
        <v/>
      </c>
      <c r="D369" s="12">
        <f>IFERROR(IF(SUMIFS(tblDaily[Deaths],tblDaily[EntryDate],DATE(2026,10,12),tblDaily[WardCode],"BF")=0,"",SUMIFS(tblDaily[Deaths],tblDaily[EntryDate],DATE(2026,10,12),tblDaily[WardCode],"BF")),"")</f>
        <v/>
      </c>
      <c r="E369" s="12">
        <f>IFERROR(IF(SUMIFS(tblDaily[DeathsUnder24Hrs],tblDaily[EntryDate],DATE(2026,10,12),tblDaily[WardCode],"BF")=0,"",SUMIFS(tblDaily[DeathsUnder24Hrs],tblDaily[EntryDate],DATE(2026,10,12),tblDaily[WardCode],"BF")),"")</f>
        <v/>
      </c>
      <c r="F369" s="12">
        <f>IFERROR(IF(SUMIFS(tblDaily[TransfersIn],tblDaily[EntryDate],DATE(2026,10,12),tblDaily[WardCode],"BF")=0,"",SUMIFS(tblDaily[TransfersIn],tblDaily[EntryDate],DATE(2026,10,12),tblDaily[WardCode],"BF")),"")</f>
        <v/>
      </c>
      <c r="G369" s="12">
        <f>IFERROR(IF(SUMIFS(tblDaily[TransfersOut],tblDaily[EntryDate],DATE(2026,10,12),tblDaily[WardCode],"BF")=0,"",SUMIFS(tblDaily[TransfersOut],tblDaily[EntryDate],DATE(2026,10,12),tblDaily[WardCode],"BF")),"")</f>
        <v/>
      </c>
      <c r="H369" s="12">
        <f>IFERROR(IF(SUMIFS(tblDaily[Remaining],tblDaily[EntryDate],DATE(2026,10,12),tblDaily[WardCode],"BF")=0,"",SUMIFS(tblDaily[Remaining],tblDaily[EntryDate],DATE(2026,10,12),tblDaily[WardCode],"BF")),"")</f>
        <v/>
      </c>
    </row>
    <row r="370">
      <c r="A370" s="12" t="n">
        <v>13</v>
      </c>
      <c r="B370" s="12">
        <f>IFERROR(IF(SUMIFS(tblDaily[Admissions],tblDaily[EntryDate],DATE(2026,10,13),tblDaily[WardCode],"BF")=0,"",SUMIFS(tblDaily[Admissions],tblDaily[EntryDate],DATE(2026,10,13),tblDaily[WardCode],"BF")),"")</f>
        <v/>
      </c>
      <c r="C370" s="12">
        <f>IFERROR(IF(SUMIFS(tblDaily[Discharges],tblDaily[EntryDate],DATE(2026,10,13),tblDaily[WardCode],"BF")=0,"",SUMIFS(tblDaily[Discharges],tblDaily[EntryDate],DATE(2026,10,13),tblDaily[WardCode],"BF")),"")</f>
        <v/>
      </c>
      <c r="D370" s="12">
        <f>IFERROR(IF(SUMIFS(tblDaily[Deaths],tblDaily[EntryDate],DATE(2026,10,13),tblDaily[WardCode],"BF")=0,"",SUMIFS(tblDaily[Deaths],tblDaily[EntryDate],DATE(2026,10,13),tblDaily[WardCode],"BF")),"")</f>
        <v/>
      </c>
      <c r="E370" s="12">
        <f>IFERROR(IF(SUMIFS(tblDaily[DeathsUnder24Hrs],tblDaily[EntryDate],DATE(2026,10,13),tblDaily[WardCode],"BF")=0,"",SUMIFS(tblDaily[DeathsUnder24Hrs],tblDaily[EntryDate],DATE(2026,10,13),tblDaily[WardCode],"BF")),"")</f>
        <v/>
      </c>
      <c r="F370" s="12">
        <f>IFERROR(IF(SUMIFS(tblDaily[TransfersIn],tblDaily[EntryDate],DATE(2026,10,13),tblDaily[WardCode],"BF")=0,"",SUMIFS(tblDaily[TransfersIn],tblDaily[EntryDate],DATE(2026,10,13),tblDaily[WardCode],"BF")),"")</f>
        <v/>
      </c>
      <c r="G370" s="12">
        <f>IFERROR(IF(SUMIFS(tblDaily[TransfersOut],tblDaily[EntryDate],DATE(2026,10,13),tblDaily[WardCode],"BF")=0,"",SUMIFS(tblDaily[TransfersOut],tblDaily[EntryDate],DATE(2026,10,13),tblDaily[WardCode],"BF")),"")</f>
        <v/>
      </c>
      <c r="H370" s="12">
        <f>IFERROR(IF(SUMIFS(tblDaily[Remaining],tblDaily[EntryDate],DATE(2026,10,13),tblDaily[WardCode],"BF")=0,"",SUMIFS(tblDaily[Remaining],tblDaily[EntryDate],DATE(2026,10,13),tblDaily[WardCode],"BF")),"")</f>
        <v/>
      </c>
    </row>
    <row r="371">
      <c r="A371" s="12" t="n">
        <v>14</v>
      </c>
      <c r="B371" s="12">
        <f>IFERROR(IF(SUMIFS(tblDaily[Admissions],tblDaily[EntryDate],DATE(2026,10,14),tblDaily[WardCode],"BF")=0,"",SUMIFS(tblDaily[Admissions],tblDaily[EntryDate],DATE(2026,10,14),tblDaily[WardCode],"BF")),"")</f>
        <v/>
      </c>
      <c r="C371" s="12">
        <f>IFERROR(IF(SUMIFS(tblDaily[Discharges],tblDaily[EntryDate],DATE(2026,10,14),tblDaily[WardCode],"BF")=0,"",SUMIFS(tblDaily[Discharges],tblDaily[EntryDate],DATE(2026,10,14),tblDaily[WardCode],"BF")),"")</f>
        <v/>
      </c>
      <c r="D371" s="12">
        <f>IFERROR(IF(SUMIFS(tblDaily[Deaths],tblDaily[EntryDate],DATE(2026,10,14),tblDaily[WardCode],"BF")=0,"",SUMIFS(tblDaily[Deaths],tblDaily[EntryDate],DATE(2026,10,14),tblDaily[WardCode],"BF")),"")</f>
        <v/>
      </c>
      <c r="E371" s="12">
        <f>IFERROR(IF(SUMIFS(tblDaily[DeathsUnder24Hrs],tblDaily[EntryDate],DATE(2026,10,14),tblDaily[WardCode],"BF")=0,"",SUMIFS(tblDaily[DeathsUnder24Hrs],tblDaily[EntryDate],DATE(2026,10,14),tblDaily[WardCode],"BF")),"")</f>
        <v/>
      </c>
      <c r="F371" s="12">
        <f>IFERROR(IF(SUMIFS(tblDaily[TransfersIn],tblDaily[EntryDate],DATE(2026,10,14),tblDaily[WardCode],"BF")=0,"",SUMIFS(tblDaily[TransfersIn],tblDaily[EntryDate],DATE(2026,10,14),tblDaily[WardCode],"BF")),"")</f>
        <v/>
      </c>
      <c r="G371" s="12">
        <f>IFERROR(IF(SUMIFS(tblDaily[TransfersOut],tblDaily[EntryDate],DATE(2026,10,14),tblDaily[WardCode],"BF")=0,"",SUMIFS(tblDaily[TransfersOut],tblDaily[EntryDate],DATE(2026,10,14),tblDaily[WardCode],"BF")),"")</f>
        <v/>
      </c>
      <c r="H371" s="12">
        <f>IFERROR(IF(SUMIFS(tblDaily[Remaining],tblDaily[EntryDate],DATE(2026,10,14),tblDaily[WardCode],"BF")=0,"",SUMIFS(tblDaily[Remaining],tblDaily[EntryDate],DATE(2026,10,14),tblDaily[WardCode],"BF")),"")</f>
        <v/>
      </c>
    </row>
    <row r="372">
      <c r="A372" s="12" t="n">
        <v>15</v>
      </c>
      <c r="B372" s="12">
        <f>IFERROR(IF(SUMIFS(tblDaily[Admissions],tblDaily[EntryDate],DATE(2026,10,15),tblDaily[WardCode],"BF")=0,"",SUMIFS(tblDaily[Admissions],tblDaily[EntryDate],DATE(2026,10,15),tblDaily[WardCode],"BF")),"")</f>
        <v/>
      </c>
      <c r="C372" s="12">
        <f>IFERROR(IF(SUMIFS(tblDaily[Discharges],tblDaily[EntryDate],DATE(2026,10,15),tblDaily[WardCode],"BF")=0,"",SUMIFS(tblDaily[Discharges],tblDaily[EntryDate],DATE(2026,10,15),tblDaily[WardCode],"BF")),"")</f>
        <v/>
      </c>
      <c r="D372" s="12">
        <f>IFERROR(IF(SUMIFS(tblDaily[Deaths],tblDaily[EntryDate],DATE(2026,10,15),tblDaily[WardCode],"BF")=0,"",SUMIFS(tblDaily[Deaths],tblDaily[EntryDate],DATE(2026,10,15),tblDaily[WardCode],"BF")),"")</f>
        <v/>
      </c>
      <c r="E372" s="12">
        <f>IFERROR(IF(SUMIFS(tblDaily[DeathsUnder24Hrs],tblDaily[EntryDate],DATE(2026,10,15),tblDaily[WardCode],"BF")=0,"",SUMIFS(tblDaily[DeathsUnder24Hrs],tblDaily[EntryDate],DATE(2026,10,15),tblDaily[WardCode],"BF")),"")</f>
        <v/>
      </c>
      <c r="F372" s="12">
        <f>IFERROR(IF(SUMIFS(tblDaily[TransfersIn],tblDaily[EntryDate],DATE(2026,10,15),tblDaily[WardCode],"BF")=0,"",SUMIFS(tblDaily[TransfersIn],tblDaily[EntryDate],DATE(2026,10,15),tblDaily[WardCode],"BF")),"")</f>
        <v/>
      </c>
      <c r="G372" s="12">
        <f>IFERROR(IF(SUMIFS(tblDaily[TransfersOut],tblDaily[EntryDate],DATE(2026,10,15),tblDaily[WardCode],"BF")=0,"",SUMIFS(tblDaily[TransfersOut],tblDaily[EntryDate],DATE(2026,10,15),tblDaily[WardCode],"BF")),"")</f>
        <v/>
      </c>
      <c r="H372" s="12">
        <f>IFERROR(IF(SUMIFS(tblDaily[Remaining],tblDaily[EntryDate],DATE(2026,10,15),tblDaily[WardCode],"BF")=0,"",SUMIFS(tblDaily[Remaining],tblDaily[EntryDate],DATE(2026,10,15),tblDaily[WardCode],"BF")),"")</f>
        <v/>
      </c>
    </row>
    <row r="373">
      <c r="A373" s="12" t="n">
        <v>16</v>
      </c>
      <c r="B373" s="12">
        <f>IFERROR(IF(SUMIFS(tblDaily[Admissions],tblDaily[EntryDate],DATE(2026,10,16),tblDaily[WardCode],"BF")=0,"",SUMIFS(tblDaily[Admissions],tblDaily[EntryDate],DATE(2026,10,16),tblDaily[WardCode],"BF")),"")</f>
        <v/>
      </c>
      <c r="C373" s="12">
        <f>IFERROR(IF(SUMIFS(tblDaily[Discharges],tblDaily[EntryDate],DATE(2026,10,16),tblDaily[WardCode],"BF")=0,"",SUMIFS(tblDaily[Discharges],tblDaily[EntryDate],DATE(2026,10,16),tblDaily[WardCode],"BF")),"")</f>
        <v/>
      </c>
      <c r="D373" s="12">
        <f>IFERROR(IF(SUMIFS(tblDaily[Deaths],tblDaily[EntryDate],DATE(2026,10,16),tblDaily[WardCode],"BF")=0,"",SUMIFS(tblDaily[Deaths],tblDaily[EntryDate],DATE(2026,10,16),tblDaily[WardCode],"BF")),"")</f>
        <v/>
      </c>
      <c r="E373" s="12">
        <f>IFERROR(IF(SUMIFS(tblDaily[DeathsUnder24Hrs],tblDaily[EntryDate],DATE(2026,10,16),tblDaily[WardCode],"BF")=0,"",SUMIFS(tblDaily[DeathsUnder24Hrs],tblDaily[EntryDate],DATE(2026,10,16),tblDaily[WardCode],"BF")),"")</f>
        <v/>
      </c>
      <c r="F373" s="12">
        <f>IFERROR(IF(SUMIFS(tblDaily[TransfersIn],tblDaily[EntryDate],DATE(2026,10,16),tblDaily[WardCode],"BF")=0,"",SUMIFS(tblDaily[TransfersIn],tblDaily[EntryDate],DATE(2026,10,16),tblDaily[WardCode],"BF")),"")</f>
        <v/>
      </c>
      <c r="G373" s="12">
        <f>IFERROR(IF(SUMIFS(tblDaily[TransfersOut],tblDaily[EntryDate],DATE(2026,10,16),tblDaily[WardCode],"BF")=0,"",SUMIFS(tblDaily[TransfersOut],tblDaily[EntryDate],DATE(2026,10,16),tblDaily[WardCode],"BF")),"")</f>
        <v/>
      </c>
      <c r="H373" s="12">
        <f>IFERROR(IF(SUMIFS(tblDaily[Remaining],tblDaily[EntryDate],DATE(2026,10,16),tblDaily[WardCode],"BF")=0,"",SUMIFS(tblDaily[Remaining],tblDaily[EntryDate],DATE(2026,10,16),tblDaily[WardCode],"BF")),"")</f>
        <v/>
      </c>
    </row>
    <row r="374">
      <c r="A374" s="12" t="n">
        <v>17</v>
      </c>
      <c r="B374" s="12">
        <f>IFERROR(IF(SUMIFS(tblDaily[Admissions],tblDaily[EntryDate],DATE(2026,10,17),tblDaily[WardCode],"BF")=0,"",SUMIFS(tblDaily[Admissions],tblDaily[EntryDate],DATE(2026,10,17),tblDaily[WardCode],"BF")),"")</f>
        <v/>
      </c>
      <c r="C374" s="12">
        <f>IFERROR(IF(SUMIFS(tblDaily[Discharges],tblDaily[EntryDate],DATE(2026,10,17),tblDaily[WardCode],"BF")=0,"",SUMIFS(tblDaily[Discharges],tblDaily[EntryDate],DATE(2026,10,17),tblDaily[WardCode],"BF")),"")</f>
        <v/>
      </c>
      <c r="D374" s="12">
        <f>IFERROR(IF(SUMIFS(tblDaily[Deaths],tblDaily[EntryDate],DATE(2026,10,17),tblDaily[WardCode],"BF")=0,"",SUMIFS(tblDaily[Deaths],tblDaily[EntryDate],DATE(2026,10,17),tblDaily[WardCode],"BF")),"")</f>
        <v/>
      </c>
      <c r="E374" s="12">
        <f>IFERROR(IF(SUMIFS(tblDaily[DeathsUnder24Hrs],tblDaily[EntryDate],DATE(2026,10,17),tblDaily[WardCode],"BF")=0,"",SUMIFS(tblDaily[DeathsUnder24Hrs],tblDaily[EntryDate],DATE(2026,10,17),tblDaily[WardCode],"BF")),"")</f>
        <v/>
      </c>
      <c r="F374" s="12">
        <f>IFERROR(IF(SUMIFS(tblDaily[TransfersIn],tblDaily[EntryDate],DATE(2026,10,17),tblDaily[WardCode],"BF")=0,"",SUMIFS(tblDaily[TransfersIn],tblDaily[EntryDate],DATE(2026,10,17),tblDaily[WardCode],"BF")),"")</f>
        <v/>
      </c>
      <c r="G374" s="12">
        <f>IFERROR(IF(SUMIFS(tblDaily[TransfersOut],tblDaily[EntryDate],DATE(2026,10,17),tblDaily[WardCode],"BF")=0,"",SUMIFS(tblDaily[TransfersOut],tblDaily[EntryDate],DATE(2026,10,17),tblDaily[WardCode],"BF")),"")</f>
        <v/>
      </c>
      <c r="H374" s="12">
        <f>IFERROR(IF(SUMIFS(tblDaily[Remaining],tblDaily[EntryDate],DATE(2026,10,17),tblDaily[WardCode],"BF")=0,"",SUMIFS(tblDaily[Remaining],tblDaily[EntryDate],DATE(2026,10,17),tblDaily[WardCode],"BF")),"")</f>
        <v/>
      </c>
    </row>
    <row r="375">
      <c r="A375" s="12" t="n">
        <v>18</v>
      </c>
      <c r="B375" s="12">
        <f>IFERROR(IF(SUMIFS(tblDaily[Admissions],tblDaily[EntryDate],DATE(2026,10,18),tblDaily[WardCode],"BF")=0,"",SUMIFS(tblDaily[Admissions],tblDaily[EntryDate],DATE(2026,10,18),tblDaily[WardCode],"BF")),"")</f>
        <v/>
      </c>
      <c r="C375" s="12">
        <f>IFERROR(IF(SUMIFS(tblDaily[Discharges],tblDaily[EntryDate],DATE(2026,10,18),tblDaily[WardCode],"BF")=0,"",SUMIFS(tblDaily[Discharges],tblDaily[EntryDate],DATE(2026,10,18),tblDaily[WardCode],"BF")),"")</f>
        <v/>
      </c>
      <c r="D375" s="12">
        <f>IFERROR(IF(SUMIFS(tblDaily[Deaths],tblDaily[EntryDate],DATE(2026,10,18),tblDaily[WardCode],"BF")=0,"",SUMIFS(tblDaily[Deaths],tblDaily[EntryDate],DATE(2026,10,18),tblDaily[WardCode],"BF")),"")</f>
        <v/>
      </c>
      <c r="E375" s="12">
        <f>IFERROR(IF(SUMIFS(tblDaily[DeathsUnder24Hrs],tblDaily[EntryDate],DATE(2026,10,18),tblDaily[WardCode],"BF")=0,"",SUMIFS(tblDaily[DeathsUnder24Hrs],tblDaily[EntryDate],DATE(2026,10,18),tblDaily[WardCode],"BF")),"")</f>
        <v/>
      </c>
      <c r="F375" s="12">
        <f>IFERROR(IF(SUMIFS(tblDaily[TransfersIn],tblDaily[EntryDate],DATE(2026,10,18),tblDaily[WardCode],"BF")=0,"",SUMIFS(tblDaily[TransfersIn],tblDaily[EntryDate],DATE(2026,10,18),tblDaily[WardCode],"BF")),"")</f>
        <v/>
      </c>
      <c r="G375" s="12">
        <f>IFERROR(IF(SUMIFS(tblDaily[TransfersOut],tblDaily[EntryDate],DATE(2026,10,18),tblDaily[WardCode],"BF")=0,"",SUMIFS(tblDaily[TransfersOut],tblDaily[EntryDate],DATE(2026,10,18),tblDaily[WardCode],"BF")),"")</f>
        <v/>
      </c>
      <c r="H375" s="12">
        <f>IFERROR(IF(SUMIFS(tblDaily[Remaining],tblDaily[EntryDate],DATE(2026,10,18),tblDaily[WardCode],"BF")=0,"",SUMIFS(tblDaily[Remaining],tblDaily[EntryDate],DATE(2026,10,18),tblDaily[WardCode],"BF")),"")</f>
        <v/>
      </c>
    </row>
    <row r="376">
      <c r="A376" s="12" t="n">
        <v>19</v>
      </c>
      <c r="B376" s="12">
        <f>IFERROR(IF(SUMIFS(tblDaily[Admissions],tblDaily[EntryDate],DATE(2026,10,19),tblDaily[WardCode],"BF")=0,"",SUMIFS(tblDaily[Admissions],tblDaily[EntryDate],DATE(2026,10,19),tblDaily[WardCode],"BF")),"")</f>
        <v/>
      </c>
      <c r="C376" s="12">
        <f>IFERROR(IF(SUMIFS(tblDaily[Discharges],tblDaily[EntryDate],DATE(2026,10,19),tblDaily[WardCode],"BF")=0,"",SUMIFS(tblDaily[Discharges],tblDaily[EntryDate],DATE(2026,10,19),tblDaily[WardCode],"BF")),"")</f>
        <v/>
      </c>
      <c r="D376" s="12">
        <f>IFERROR(IF(SUMIFS(tblDaily[Deaths],tblDaily[EntryDate],DATE(2026,10,19),tblDaily[WardCode],"BF")=0,"",SUMIFS(tblDaily[Deaths],tblDaily[EntryDate],DATE(2026,10,19),tblDaily[WardCode],"BF")),"")</f>
        <v/>
      </c>
      <c r="E376" s="12">
        <f>IFERROR(IF(SUMIFS(tblDaily[DeathsUnder24Hrs],tblDaily[EntryDate],DATE(2026,10,19),tblDaily[WardCode],"BF")=0,"",SUMIFS(tblDaily[DeathsUnder24Hrs],tblDaily[EntryDate],DATE(2026,10,19),tblDaily[WardCode],"BF")),"")</f>
        <v/>
      </c>
      <c r="F376" s="12">
        <f>IFERROR(IF(SUMIFS(tblDaily[TransfersIn],tblDaily[EntryDate],DATE(2026,10,19),tblDaily[WardCode],"BF")=0,"",SUMIFS(tblDaily[TransfersIn],tblDaily[EntryDate],DATE(2026,10,19),tblDaily[WardCode],"BF")),"")</f>
        <v/>
      </c>
      <c r="G376" s="12">
        <f>IFERROR(IF(SUMIFS(tblDaily[TransfersOut],tblDaily[EntryDate],DATE(2026,10,19),tblDaily[WardCode],"BF")=0,"",SUMIFS(tblDaily[TransfersOut],tblDaily[EntryDate],DATE(2026,10,19),tblDaily[WardCode],"BF")),"")</f>
        <v/>
      </c>
      <c r="H376" s="12">
        <f>IFERROR(IF(SUMIFS(tblDaily[Remaining],tblDaily[EntryDate],DATE(2026,10,19),tblDaily[WardCode],"BF")=0,"",SUMIFS(tblDaily[Remaining],tblDaily[EntryDate],DATE(2026,10,19),tblDaily[WardCode],"BF")),"")</f>
        <v/>
      </c>
    </row>
    <row r="377">
      <c r="A377" s="12" t="n">
        <v>20</v>
      </c>
      <c r="B377" s="12">
        <f>IFERROR(IF(SUMIFS(tblDaily[Admissions],tblDaily[EntryDate],DATE(2026,10,20),tblDaily[WardCode],"BF")=0,"",SUMIFS(tblDaily[Admissions],tblDaily[EntryDate],DATE(2026,10,20),tblDaily[WardCode],"BF")),"")</f>
        <v/>
      </c>
      <c r="C377" s="12">
        <f>IFERROR(IF(SUMIFS(tblDaily[Discharges],tblDaily[EntryDate],DATE(2026,10,20),tblDaily[WardCode],"BF")=0,"",SUMIFS(tblDaily[Discharges],tblDaily[EntryDate],DATE(2026,10,20),tblDaily[WardCode],"BF")),"")</f>
        <v/>
      </c>
      <c r="D377" s="12">
        <f>IFERROR(IF(SUMIFS(tblDaily[Deaths],tblDaily[EntryDate],DATE(2026,10,20),tblDaily[WardCode],"BF")=0,"",SUMIFS(tblDaily[Deaths],tblDaily[EntryDate],DATE(2026,10,20),tblDaily[WardCode],"BF")),"")</f>
        <v/>
      </c>
      <c r="E377" s="12">
        <f>IFERROR(IF(SUMIFS(tblDaily[DeathsUnder24Hrs],tblDaily[EntryDate],DATE(2026,10,20),tblDaily[WardCode],"BF")=0,"",SUMIFS(tblDaily[DeathsUnder24Hrs],tblDaily[EntryDate],DATE(2026,10,20),tblDaily[WardCode],"BF")),"")</f>
        <v/>
      </c>
      <c r="F377" s="12">
        <f>IFERROR(IF(SUMIFS(tblDaily[TransfersIn],tblDaily[EntryDate],DATE(2026,10,20),tblDaily[WardCode],"BF")=0,"",SUMIFS(tblDaily[TransfersIn],tblDaily[EntryDate],DATE(2026,10,20),tblDaily[WardCode],"BF")),"")</f>
        <v/>
      </c>
      <c r="G377" s="12">
        <f>IFERROR(IF(SUMIFS(tblDaily[TransfersOut],tblDaily[EntryDate],DATE(2026,10,20),tblDaily[WardCode],"BF")=0,"",SUMIFS(tblDaily[TransfersOut],tblDaily[EntryDate],DATE(2026,10,20),tblDaily[WardCode],"BF")),"")</f>
        <v/>
      </c>
      <c r="H377" s="12">
        <f>IFERROR(IF(SUMIFS(tblDaily[Remaining],tblDaily[EntryDate],DATE(2026,10,20),tblDaily[WardCode],"BF")=0,"",SUMIFS(tblDaily[Remaining],tblDaily[EntryDate],DATE(2026,10,20),tblDaily[WardCode],"BF")),"")</f>
        <v/>
      </c>
    </row>
    <row r="378">
      <c r="A378" s="12" t="n">
        <v>21</v>
      </c>
      <c r="B378" s="12">
        <f>IFERROR(IF(SUMIFS(tblDaily[Admissions],tblDaily[EntryDate],DATE(2026,10,21),tblDaily[WardCode],"BF")=0,"",SUMIFS(tblDaily[Admissions],tblDaily[EntryDate],DATE(2026,10,21),tblDaily[WardCode],"BF")),"")</f>
        <v/>
      </c>
      <c r="C378" s="12">
        <f>IFERROR(IF(SUMIFS(tblDaily[Discharges],tblDaily[EntryDate],DATE(2026,10,21),tblDaily[WardCode],"BF")=0,"",SUMIFS(tblDaily[Discharges],tblDaily[EntryDate],DATE(2026,10,21),tblDaily[WardCode],"BF")),"")</f>
        <v/>
      </c>
      <c r="D378" s="12">
        <f>IFERROR(IF(SUMIFS(tblDaily[Deaths],tblDaily[EntryDate],DATE(2026,10,21),tblDaily[WardCode],"BF")=0,"",SUMIFS(tblDaily[Deaths],tblDaily[EntryDate],DATE(2026,10,21),tblDaily[WardCode],"BF")),"")</f>
        <v/>
      </c>
      <c r="E378" s="12">
        <f>IFERROR(IF(SUMIFS(tblDaily[DeathsUnder24Hrs],tblDaily[EntryDate],DATE(2026,10,21),tblDaily[WardCode],"BF")=0,"",SUMIFS(tblDaily[DeathsUnder24Hrs],tblDaily[EntryDate],DATE(2026,10,21),tblDaily[WardCode],"BF")),"")</f>
        <v/>
      </c>
      <c r="F378" s="12">
        <f>IFERROR(IF(SUMIFS(tblDaily[TransfersIn],tblDaily[EntryDate],DATE(2026,10,21),tblDaily[WardCode],"BF")=0,"",SUMIFS(tblDaily[TransfersIn],tblDaily[EntryDate],DATE(2026,10,21),tblDaily[WardCode],"BF")),"")</f>
        <v/>
      </c>
      <c r="G378" s="12">
        <f>IFERROR(IF(SUMIFS(tblDaily[TransfersOut],tblDaily[EntryDate],DATE(2026,10,21),tblDaily[WardCode],"BF")=0,"",SUMIFS(tblDaily[TransfersOut],tblDaily[EntryDate],DATE(2026,10,21),tblDaily[WardCode],"BF")),"")</f>
        <v/>
      </c>
      <c r="H378" s="12">
        <f>IFERROR(IF(SUMIFS(tblDaily[Remaining],tblDaily[EntryDate],DATE(2026,10,21),tblDaily[WardCode],"BF")=0,"",SUMIFS(tblDaily[Remaining],tblDaily[EntryDate],DATE(2026,10,21),tblDaily[WardCode],"BF")),"")</f>
        <v/>
      </c>
    </row>
    <row r="379">
      <c r="A379" s="12" t="n">
        <v>22</v>
      </c>
      <c r="B379" s="12">
        <f>IFERROR(IF(SUMIFS(tblDaily[Admissions],tblDaily[EntryDate],DATE(2026,10,22),tblDaily[WardCode],"BF")=0,"",SUMIFS(tblDaily[Admissions],tblDaily[EntryDate],DATE(2026,10,22),tblDaily[WardCode],"BF")),"")</f>
        <v/>
      </c>
      <c r="C379" s="12">
        <f>IFERROR(IF(SUMIFS(tblDaily[Discharges],tblDaily[EntryDate],DATE(2026,10,22),tblDaily[WardCode],"BF")=0,"",SUMIFS(tblDaily[Discharges],tblDaily[EntryDate],DATE(2026,10,22),tblDaily[WardCode],"BF")),"")</f>
        <v/>
      </c>
      <c r="D379" s="12">
        <f>IFERROR(IF(SUMIFS(tblDaily[Deaths],tblDaily[EntryDate],DATE(2026,10,22),tblDaily[WardCode],"BF")=0,"",SUMIFS(tblDaily[Deaths],tblDaily[EntryDate],DATE(2026,10,22),tblDaily[WardCode],"BF")),"")</f>
        <v/>
      </c>
      <c r="E379" s="12">
        <f>IFERROR(IF(SUMIFS(tblDaily[DeathsUnder24Hrs],tblDaily[EntryDate],DATE(2026,10,22),tblDaily[WardCode],"BF")=0,"",SUMIFS(tblDaily[DeathsUnder24Hrs],tblDaily[EntryDate],DATE(2026,10,22),tblDaily[WardCode],"BF")),"")</f>
        <v/>
      </c>
      <c r="F379" s="12">
        <f>IFERROR(IF(SUMIFS(tblDaily[TransfersIn],tblDaily[EntryDate],DATE(2026,10,22),tblDaily[WardCode],"BF")=0,"",SUMIFS(tblDaily[TransfersIn],tblDaily[EntryDate],DATE(2026,10,22),tblDaily[WardCode],"BF")),"")</f>
        <v/>
      </c>
      <c r="G379" s="12">
        <f>IFERROR(IF(SUMIFS(tblDaily[TransfersOut],tblDaily[EntryDate],DATE(2026,10,22),tblDaily[WardCode],"BF")=0,"",SUMIFS(tblDaily[TransfersOut],tblDaily[EntryDate],DATE(2026,10,22),tblDaily[WardCode],"BF")),"")</f>
        <v/>
      </c>
      <c r="H379" s="12">
        <f>IFERROR(IF(SUMIFS(tblDaily[Remaining],tblDaily[EntryDate],DATE(2026,10,22),tblDaily[WardCode],"BF")=0,"",SUMIFS(tblDaily[Remaining],tblDaily[EntryDate],DATE(2026,10,22),tblDaily[WardCode],"BF")),"")</f>
        <v/>
      </c>
    </row>
    <row r="380">
      <c r="A380" s="12" t="n">
        <v>23</v>
      </c>
      <c r="B380" s="12">
        <f>IFERROR(IF(SUMIFS(tblDaily[Admissions],tblDaily[EntryDate],DATE(2026,10,23),tblDaily[WardCode],"BF")=0,"",SUMIFS(tblDaily[Admissions],tblDaily[EntryDate],DATE(2026,10,23),tblDaily[WardCode],"BF")),"")</f>
        <v/>
      </c>
      <c r="C380" s="12">
        <f>IFERROR(IF(SUMIFS(tblDaily[Discharges],tblDaily[EntryDate],DATE(2026,10,23),tblDaily[WardCode],"BF")=0,"",SUMIFS(tblDaily[Discharges],tblDaily[EntryDate],DATE(2026,10,23),tblDaily[WardCode],"BF")),"")</f>
        <v/>
      </c>
      <c r="D380" s="12">
        <f>IFERROR(IF(SUMIFS(tblDaily[Deaths],tblDaily[EntryDate],DATE(2026,10,23),tblDaily[WardCode],"BF")=0,"",SUMIFS(tblDaily[Deaths],tblDaily[EntryDate],DATE(2026,10,23),tblDaily[WardCode],"BF")),"")</f>
        <v/>
      </c>
      <c r="E380" s="12">
        <f>IFERROR(IF(SUMIFS(tblDaily[DeathsUnder24Hrs],tblDaily[EntryDate],DATE(2026,10,23),tblDaily[WardCode],"BF")=0,"",SUMIFS(tblDaily[DeathsUnder24Hrs],tblDaily[EntryDate],DATE(2026,10,23),tblDaily[WardCode],"BF")),"")</f>
        <v/>
      </c>
      <c r="F380" s="12">
        <f>IFERROR(IF(SUMIFS(tblDaily[TransfersIn],tblDaily[EntryDate],DATE(2026,10,23),tblDaily[WardCode],"BF")=0,"",SUMIFS(tblDaily[TransfersIn],tblDaily[EntryDate],DATE(2026,10,23),tblDaily[WardCode],"BF")),"")</f>
        <v/>
      </c>
      <c r="G380" s="12">
        <f>IFERROR(IF(SUMIFS(tblDaily[TransfersOut],tblDaily[EntryDate],DATE(2026,10,23),tblDaily[WardCode],"BF")=0,"",SUMIFS(tblDaily[TransfersOut],tblDaily[EntryDate],DATE(2026,10,23),tblDaily[WardCode],"BF")),"")</f>
        <v/>
      </c>
      <c r="H380" s="12">
        <f>IFERROR(IF(SUMIFS(tblDaily[Remaining],tblDaily[EntryDate],DATE(2026,10,23),tblDaily[WardCode],"BF")=0,"",SUMIFS(tblDaily[Remaining],tblDaily[EntryDate],DATE(2026,10,23),tblDaily[WardCode],"BF")),"")</f>
        <v/>
      </c>
    </row>
    <row r="381">
      <c r="A381" s="12" t="n">
        <v>24</v>
      </c>
      <c r="B381" s="12">
        <f>IFERROR(IF(SUMIFS(tblDaily[Admissions],tblDaily[EntryDate],DATE(2026,10,24),tblDaily[WardCode],"BF")=0,"",SUMIFS(tblDaily[Admissions],tblDaily[EntryDate],DATE(2026,10,24),tblDaily[WardCode],"BF")),"")</f>
        <v/>
      </c>
      <c r="C381" s="12">
        <f>IFERROR(IF(SUMIFS(tblDaily[Discharges],tblDaily[EntryDate],DATE(2026,10,24),tblDaily[WardCode],"BF")=0,"",SUMIFS(tblDaily[Discharges],tblDaily[EntryDate],DATE(2026,10,24),tblDaily[WardCode],"BF")),"")</f>
        <v/>
      </c>
      <c r="D381" s="12">
        <f>IFERROR(IF(SUMIFS(tblDaily[Deaths],tblDaily[EntryDate],DATE(2026,10,24),tblDaily[WardCode],"BF")=0,"",SUMIFS(tblDaily[Deaths],tblDaily[EntryDate],DATE(2026,10,24),tblDaily[WardCode],"BF")),"")</f>
        <v/>
      </c>
      <c r="E381" s="12">
        <f>IFERROR(IF(SUMIFS(tblDaily[DeathsUnder24Hrs],tblDaily[EntryDate],DATE(2026,10,24),tblDaily[WardCode],"BF")=0,"",SUMIFS(tblDaily[DeathsUnder24Hrs],tblDaily[EntryDate],DATE(2026,10,24),tblDaily[WardCode],"BF")),"")</f>
        <v/>
      </c>
      <c r="F381" s="12">
        <f>IFERROR(IF(SUMIFS(tblDaily[TransfersIn],tblDaily[EntryDate],DATE(2026,10,24),tblDaily[WardCode],"BF")=0,"",SUMIFS(tblDaily[TransfersIn],tblDaily[EntryDate],DATE(2026,10,24),tblDaily[WardCode],"BF")),"")</f>
        <v/>
      </c>
      <c r="G381" s="12">
        <f>IFERROR(IF(SUMIFS(tblDaily[TransfersOut],tblDaily[EntryDate],DATE(2026,10,24),tblDaily[WardCode],"BF")=0,"",SUMIFS(tblDaily[TransfersOut],tblDaily[EntryDate],DATE(2026,10,24),tblDaily[WardCode],"BF")),"")</f>
        <v/>
      </c>
      <c r="H381" s="12">
        <f>IFERROR(IF(SUMIFS(tblDaily[Remaining],tblDaily[EntryDate],DATE(2026,10,24),tblDaily[WardCode],"BF")=0,"",SUMIFS(tblDaily[Remaining],tblDaily[EntryDate],DATE(2026,10,24),tblDaily[WardCode],"BF")),"")</f>
        <v/>
      </c>
    </row>
    <row r="382">
      <c r="A382" s="12" t="n">
        <v>25</v>
      </c>
      <c r="B382" s="12">
        <f>IFERROR(IF(SUMIFS(tblDaily[Admissions],tblDaily[EntryDate],DATE(2026,10,25),tblDaily[WardCode],"BF")=0,"",SUMIFS(tblDaily[Admissions],tblDaily[EntryDate],DATE(2026,10,25),tblDaily[WardCode],"BF")),"")</f>
        <v/>
      </c>
      <c r="C382" s="12">
        <f>IFERROR(IF(SUMIFS(tblDaily[Discharges],tblDaily[EntryDate],DATE(2026,10,25),tblDaily[WardCode],"BF")=0,"",SUMIFS(tblDaily[Discharges],tblDaily[EntryDate],DATE(2026,10,25),tblDaily[WardCode],"BF")),"")</f>
        <v/>
      </c>
      <c r="D382" s="12">
        <f>IFERROR(IF(SUMIFS(tblDaily[Deaths],tblDaily[EntryDate],DATE(2026,10,25),tblDaily[WardCode],"BF")=0,"",SUMIFS(tblDaily[Deaths],tblDaily[EntryDate],DATE(2026,10,25),tblDaily[WardCode],"BF")),"")</f>
        <v/>
      </c>
      <c r="E382" s="12">
        <f>IFERROR(IF(SUMIFS(tblDaily[DeathsUnder24Hrs],tblDaily[EntryDate],DATE(2026,10,25),tblDaily[WardCode],"BF")=0,"",SUMIFS(tblDaily[DeathsUnder24Hrs],tblDaily[EntryDate],DATE(2026,10,25),tblDaily[WardCode],"BF")),"")</f>
        <v/>
      </c>
      <c r="F382" s="12">
        <f>IFERROR(IF(SUMIFS(tblDaily[TransfersIn],tblDaily[EntryDate],DATE(2026,10,25),tblDaily[WardCode],"BF")=0,"",SUMIFS(tblDaily[TransfersIn],tblDaily[EntryDate],DATE(2026,10,25),tblDaily[WardCode],"BF")),"")</f>
        <v/>
      </c>
      <c r="G382" s="12">
        <f>IFERROR(IF(SUMIFS(tblDaily[TransfersOut],tblDaily[EntryDate],DATE(2026,10,25),tblDaily[WardCode],"BF")=0,"",SUMIFS(tblDaily[TransfersOut],tblDaily[EntryDate],DATE(2026,10,25),tblDaily[WardCode],"BF")),"")</f>
        <v/>
      </c>
      <c r="H382" s="12">
        <f>IFERROR(IF(SUMIFS(tblDaily[Remaining],tblDaily[EntryDate],DATE(2026,10,25),tblDaily[WardCode],"BF")=0,"",SUMIFS(tblDaily[Remaining],tblDaily[EntryDate],DATE(2026,10,25),tblDaily[WardCode],"BF")),"")</f>
        <v/>
      </c>
    </row>
    <row r="383">
      <c r="A383" s="12" t="n">
        <v>26</v>
      </c>
      <c r="B383" s="12">
        <f>IFERROR(IF(SUMIFS(tblDaily[Admissions],tblDaily[EntryDate],DATE(2026,10,26),tblDaily[WardCode],"BF")=0,"",SUMIFS(tblDaily[Admissions],tblDaily[EntryDate],DATE(2026,10,26),tblDaily[WardCode],"BF")),"")</f>
        <v/>
      </c>
      <c r="C383" s="12">
        <f>IFERROR(IF(SUMIFS(tblDaily[Discharges],tblDaily[EntryDate],DATE(2026,10,26),tblDaily[WardCode],"BF")=0,"",SUMIFS(tblDaily[Discharges],tblDaily[EntryDate],DATE(2026,10,26),tblDaily[WardCode],"BF")),"")</f>
        <v/>
      </c>
      <c r="D383" s="12">
        <f>IFERROR(IF(SUMIFS(tblDaily[Deaths],tblDaily[EntryDate],DATE(2026,10,26),tblDaily[WardCode],"BF")=0,"",SUMIFS(tblDaily[Deaths],tblDaily[EntryDate],DATE(2026,10,26),tblDaily[WardCode],"BF")),"")</f>
        <v/>
      </c>
      <c r="E383" s="12">
        <f>IFERROR(IF(SUMIFS(tblDaily[DeathsUnder24Hrs],tblDaily[EntryDate],DATE(2026,10,26),tblDaily[WardCode],"BF")=0,"",SUMIFS(tblDaily[DeathsUnder24Hrs],tblDaily[EntryDate],DATE(2026,10,26),tblDaily[WardCode],"BF")),"")</f>
        <v/>
      </c>
      <c r="F383" s="12">
        <f>IFERROR(IF(SUMIFS(tblDaily[TransfersIn],tblDaily[EntryDate],DATE(2026,10,26),tblDaily[WardCode],"BF")=0,"",SUMIFS(tblDaily[TransfersIn],tblDaily[EntryDate],DATE(2026,10,26),tblDaily[WardCode],"BF")),"")</f>
        <v/>
      </c>
      <c r="G383" s="12">
        <f>IFERROR(IF(SUMIFS(tblDaily[TransfersOut],tblDaily[EntryDate],DATE(2026,10,26),tblDaily[WardCode],"BF")=0,"",SUMIFS(tblDaily[TransfersOut],tblDaily[EntryDate],DATE(2026,10,26),tblDaily[WardCode],"BF")),"")</f>
        <v/>
      </c>
      <c r="H383" s="12">
        <f>IFERROR(IF(SUMIFS(tblDaily[Remaining],tblDaily[EntryDate],DATE(2026,10,26),tblDaily[WardCode],"BF")=0,"",SUMIFS(tblDaily[Remaining],tblDaily[EntryDate],DATE(2026,10,26),tblDaily[WardCode],"BF")),"")</f>
        <v/>
      </c>
    </row>
    <row r="384">
      <c r="A384" s="12" t="n">
        <v>27</v>
      </c>
      <c r="B384" s="12">
        <f>IFERROR(IF(SUMIFS(tblDaily[Admissions],tblDaily[EntryDate],DATE(2026,10,27),tblDaily[WardCode],"BF")=0,"",SUMIFS(tblDaily[Admissions],tblDaily[EntryDate],DATE(2026,10,27),tblDaily[WardCode],"BF")),"")</f>
        <v/>
      </c>
      <c r="C384" s="12">
        <f>IFERROR(IF(SUMIFS(tblDaily[Discharges],tblDaily[EntryDate],DATE(2026,10,27),tblDaily[WardCode],"BF")=0,"",SUMIFS(tblDaily[Discharges],tblDaily[EntryDate],DATE(2026,10,27),tblDaily[WardCode],"BF")),"")</f>
        <v/>
      </c>
      <c r="D384" s="12">
        <f>IFERROR(IF(SUMIFS(tblDaily[Deaths],tblDaily[EntryDate],DATE(2026,10,27),tblDaily[WardCode],"BF")=0,"",SUMIFS(tblDaily[Deaths],tblDaily[EntryDate],DATE(2026,10,27),tblDaily[WardCode],"BF")),"")</f>
        <v/>
      </c>
      <c r="E384" s="12">
        <f>IFERROR(IF(SUMIFS(tblDaily[DeathsUnder24Hrs],tblDaily[EntryDate],DATE(2026,10,27),tblDaily[WardCode],"BF")=0,"",SUMIFS(tblDaily[DeathsUnder24Hrs],tblDaily[EntryDate],DATE(2026,10,27),tblDaily[WardCode],"BF")),"")</f>
        <v/>
      </c>
      <c r="F384" s="12">
        <f>IFERROR(IF(SUMIFS(tblDaily[TransfersIn],tblDaily[EntryDate],DATE(2026,10,27),tblDaily[WardCode],"BF")=0,"",SUMIFS(tblDaily[TransfersIn],tblDaily[EntryDate],DATE(2026,10,27),tblDaily[WardCode],"BF")),"")</f>
        <v/>
      </c>
      <c r="G384" s="12">
        <f>IFERROR(IF(SUMIFS(tblDaily[TransfersOut],tblDaily[EntryDate],DATE(2026,10,27),tblDaily[WardCode],"BF")=0,"",SUMIFS(tblDaily[TransfersOut],tblDaily[EntryDate],DATE(2026,10,27),tblDaily[WardCode],"BF")),"")</f>
        <v/>
      </c>
      <c r="H384" s="12">
        <f>IFERROR(IF(SUMIFS(tblDaily[Remaining],tblDaily[EntryDate],DATE(2026,10,27),tblDaily[WardCode],"BF")=0,"",SUMIFS(tblDaily[Remaining],tblDaily[EntryDate],DATE(2026,10,27),tblDaily[WardCode],"BF")),"")</f>
        <v/>
      </c>
    </row>
    <row r="385">
      <c r="A385" s="12" t="n">
        <v>28</v>
      </c>
      <c r="B385" s="12">
        <f>IFERROR(IF(SUMIFS(tblDaily[Admissions],tblDaily[EntryDate],DATE(2026,10,28),tblDaily[WardCode],"BF")=0,"",SUMIFS(tblDaily[Admissions],tblDaily[EntryDate],DATE(2026,10,28),tblDaily[WardCode],"BF")),"")</f>
        <v/>
      </c>
      <c r="C385" s="12">
        <f>IFERROR(IF(SUMIFS(tblDaily[Discharges],tblDaily[EntryDate],DATE(2026,10,28),tblDaily[WardCode],"BF")=0,"",SUMIFS(tblDaily[Discharges],tblDaily[EntryDate],DATE(2026,10,28),tblDaily[WardCode],"BF")),"")</f>
        <v/>
      </c>
      <c r="D385" s="12">
        <f>IFERROR(IF(SUMIFS(tblDaily[Deaths],tblDaily[EntryDate],DATE(2026,10,28),tblDaily[WardCode],"BF")=0,"",SUMIFS(tblDaily[Deaths],tblDaily[EntryDate],DATE(2026,10,28),tblDaily[WardCode],"BF")),"")</f>
        <v/>
      </c>
      <c r="E385" s="12">
        <f>IFERROR(IF(SUMIFS(tblDaily[DeathsUnder24Hrs],tblDaily[EntryDate],DATE(2026,10,28),tblDaily[WardCode],"BF")=0,"",SUMIFS(tblDaily[DeathsUnder24Hrs],tblDaily[EntryDate],DATE(2026,10,28),tblDaily[WardCode],"BF")),"")</f>
        <v/>
      </c>
      <c r="F385" s="12">
        <f>IFERROR(IF(SUMIFS(tblDaily[TransfersIn],tblDaily[EntryDate],DATE(2026,10,28),tblDaily[WardCode],"BF")=0,"",SUMIFS(tblDaily[TransfersIn],tblDaily[EntryDate],DATE(2026,10,28),tblDaily[WardCode],"BF")),"")</f>
        <v/>
      </c>
      <c r="G385" s="12">
        <f>IFERROR(IF(SUMIFS(tblDaily[TransfersOut],tblDaily[EntryDate],DATE(2026,10,28),tblDaily[WardCode],"BF")=0,"",SUMIFS(tblDaily[TransfersOut],tblDaily[EntryDate],DATE(2026,10,28),tblDaily[WardCode],"BF")),"")</f>
        <v/>
      </c>
      <c r="H385" s="12">
        <f>IFERROR(IF(SUMIFS(tblDaily[Remaining],tblDaily[EntryDate],DATE(2026,10,28),tblDaily[WardCode],"BF")=0,"",SUMIFS(tblDaily[Remaining],tblDaily[EntryDate],DATE(2026,10,28),tblDaily[WardCode],"BF")),"")</f>
        <v/>
      </c>
    </row>
    <row r="386">
      <c r="A386" s="12" t="n">
        <v>29</v>
      </c>
      <c r="B386" s="12">
        <f>IFERROR(IF(SUMIFS(tblDaily[Admissions],tblDaily[EntryDate],DATE(2026,10,29),tblDaily[WardCode],"BF")=0,"",SUMIFS(tblDaily[Admissions],tblDaily[EntryDate],DATE(2026,10,29),tblDaily[WardCode],"BF")),"")</f>
        <v/>
      </c>
      <c r="C386" s="12">
        <f>IFERROR(IF(SUMIFS(tblDaily[Discharges],tblDaily[EntryDate],DATE(2026,10,29),tblDaily[WardCode],"BF")=0,"",SUMIFS(tblDaily[Discharges],tblDaily[EntryDate],DATE(2026,10,29),tblDaily[WardCode],"BF")),"")</f>
        <v/>
      </c>
      <c r="D386" s="12">
        <f>IFERROR(IF(SUMIFS(tblDaily[Deaths],tblDaily[EntryDate],DATE(2026,10,29),tblDaily[WardCode],"BF")=0,"",SUMIFS(tblDaily[Deaths],tblDaily[EntryDate],DATE(2026,10,29),tblDaily[WardCode],"BF")),"")</f>
        <v/>
      </c>
      <c r="E386" s="12">
        <f>IFERROR(IF(SUMIFS(tblDaily[DeathsUnder24Hrs],tblDaily[EntryDate],DATE(2026,10,29),tblDaily[WardCode],"BF")=0,"",SUMIFS(tblDaily[DeathsUnder24Hrs],tblDaily[EntryDate],DATE(2026,10,29),tblDaily[WardCode],"BF")),"")</f>
        <v/>
      </c>
      <c r="F386" s="12">
        <f>IFERROR(IF(SUMIFS(tblDaily[TransfersIn],tblDaily[EntryDate],DATE(2026,10,29),tblDaily[WardCode],"BF")=0,"",SUMIFS(tblDaily[TransfersIn],tblDaily[EntryDate],DATE(2026,10,29),tblDaily[WardCode],"BF")),"")</f>
        <v/>
      </c>
      <c r="G386" s="12">
        <f>IFERROR(IF(SUMIFS(tblDaily[TransfersOut],tblDaily[EntryDate],DATE(2026,10,29),tblDaily[WardCode],"BF")=0,"",SUMIFS(tblDaily[TransfersOut],tblDaily[EntryDate],DATE(2026,10,29),tblDaily[WardCode],"BF")),"")</f>
        <v/>
      </c>
      <c r="H386" s="12">
        <f>IFERROR(IF(SUMIFS(tblDaily[Remaining],tblDaily[EntryDate],DATE(2026,10,29),tblDaily[WardCode],"BF")=0,"",SUMIFS(tblDaily[Remaining],tblDaily[EntryDate],DATE(2026,10,29),tblDaily[WardCode],"BF")),"")</f>
        <v/>
      </c>
    </row>
    <row r="387">
      <c r="A387" s="12" t="n">
        <v>30</v>
      </c>
      <c r="B387" s="12">
        <f>IFERROR(IF(SUMIFS(tblDaily[Admissions],tblDaily[EntryDate],DATE(2026,10,30),tblDaily[WardCode],"BF")=0,"",SUMIFS(tblDaily[Admissions],tblDaily[EntryDate],DATE(2026,10,30),tblDaily[WardCode],"BF")),"")</f>
        <v/>
      </c>
      <c r="C387" s="12">
        <f>IFERROR(IF(SUMIFS(tblDaily[Discharges],tblDaily[EntryDate],DATE(2026,10,30),tblDaily[WardCode],"BF")=0,"",SUMIFS(tblDaily[Discharges],tblDaily[EntryDate],DATE(2026,10,30),tblDaily[WardCode],"BF")),"")</f>
        <v/>
      </c>
      <c r="D387" s="12">
        <f>IFERROR(IF(SUMIFS(tblDaily[Deaths],tblDaily[EntryDate],DATE(2026,10,30),tblDaily[WardCode],"BF")=0,"",SUMIFS(tblDaily[Deaths],tblDaily[EntryDate],DATE(2026,10,30),tblDaily[WardCode],"BF")),"")</f>
        <v/>
      </c>
      <c r="E387" s="12">
        <f>IFERROR(IF(SUMIFS(tblDaily[DeathsUnder24Hrs],tblDaily[EntryDate],DATE(2026,10,30),tblDaily[WardCode],"BF")=0,"",SUMIFS(tblDaily[DeathsUnder24Hrs],tblDaily[EntryDate],DATE(2026,10,30),tblDaily[WardCode],"BF")),"")</f>
        <v/>
      </c>
      <c r="F387" s="12">
        <f>IFERROR(IF(SUMIFS(tblDaily[TransfersIn],tblDaily[EntryDate],DATE(2026,10,30),tblDaily[WardCode],"BF")=0,"",SUMIFS(tblDaily[TransfersIn],tblDaily[EntryDate],DATE(2026,10,30),tblDaily[WardCode],"BF")),"")</f>
        <v/>
      </c>
      <c r="G387" s="12">
        <f>IFERROR(IF(SUMIFS(tblDaily[TransfersOut],tblDaily[EntryDate],DATE(2026,10,30),tblDaily[WardCode],"BF")=0,"",SUMIFS(tblDaily[TransfersOut],tblDaily[EntryDate],DATE(2026,10,30),tblDaily[WardCode],"BF")),"")</f>
        <v/>
      </c>
      <c r="H387" s="12">
        <f>IFERROR(IF(SUMIFS(tblDaily[Remaining],tblDaily[EntryDate],DATE(2026,10,30),tblDaily[WardCode],"BF")=0,"",SUMIFS(tblDaily[Remaining],tblDaily[EntryDate],DATE(2026,10,30),tblDaily[WardCode],"BF")),"")</f>
        <v/>
      </c>
    </row>
    <row r="388">
      <c r="A388" s="12" t="n">
        <v>31</v>
      </c>
      <c r="B388" s="12">
        <f>IFERROR(IF(SUMIFS(tblDaily[Admissions],tblDaily[EntryDate],DATE(2026,10,31),tblDaily[WardCode],"BF")=0,"",SUMIFS(tblDaily[Admissions],tblDaily[EntryDate],DATE(2026,10,31),tblDaily[WardCode],"BF")),"")</f>
        <v/>
      </c>
      <c r="C388" s="12">
        <f>IFERROR(IF(SUMIFS(tblDaily[Discharges],tblDaily[EntryDate],DATE(2026,10,31),tblDaily[WardCode],"BF")=0,"",SUMIFS(tblDaily[Discharges],tblDaily[EntryDate],DATE(2026,10,31),tblDaily[WardCode],"BF")),"")</f>
        <v/>
      </c>
      <c r="D388" s="12">
        <f>IFERROR(IF(SUMIFS(tblDaily[Deaths],tblDaily[EntryDate],DATE(2026,10,31),tblDaily[WardCode],"BF")=0,"",SUMIFS(tblDaily[Deaths],tblDaily[EntryDate],DATE(2026,10,31),tblDaily[WardCode],"BF")),"")</f>
        <v/>
      </c>
      <c r="E388" s="12">
        <f>IFERROR(IF(SUMIFS(tblDaily[DeathsUnder24Hrs],tblDaily[EntryDate],DATE(2026,10,31),tblDaily[WardCode],"BF")=0,"",SUMIFS(tblDaily[DeathsUnder24Hrs],tblDaily[EntryDate],DATE(2026,10,31),tblDaily[WardCode],"BF")),"")</f>
        <v/>
      </c>
      <c r="F388" s="12">
        <f>IFERROR(IF(SUMIFS(tblDaily[TransfersIn],tblDaily[EntryDate],DATE(2026,10,31),tblDaily[WardCode],"BF")=0,"",SUMIFS(tblDaily[TransfersIn],tblDaily[EntryDate],DATE(2026,10,31),tblDaily[WardCode],"BF")),"")</f>
        <v/>
      </c>
      <c r="G388" s="12">
        <f>IFERROR(IF(SUMIFS(tblDaily[TransfersOut],tblDaily[EntryDate],DATE(2026,10,31),tblDaily[WardCode],"BF")=0,"",SUMIFS(tblDaily[TransfersOut],tblDaily[EntryDate],DATE(2026,10,31),tblDaily[WardCode],"BF")),"")</f>
        <v/>
      </c>
      <c r="H388" s="12">
        <f>IFERROR(IF(SUMIFS(tblDaily[Remaining],tblDaily[EntryDate],DATE(2026,10,31),tblDaily[WardCode],"BF")=0,"",SUMIFS(tblDaily[Remaining],tblDaily[EntryDate],DATE(2026,10,31),tblDaily[WardCode],"BF")),"")</f>
        <v/>
      </c>
    </row>
    <row r="389">
      <c r="A389" s="17" t="inlineStr">
        <is>
          <t>TOTAL</t>
        </is>
      </c>
      <c r="B389" s="17">
        <f>SUMIFS(tblDaily[Admissions],tblDaily[Month],10,tblDaily[WardCode],"BF") - SUMIFS(tblDaily[DeathsUnder24Hrs],tblDaily[Month],10,tblDaily[WardCode],"BF")</f>
        <v/>
      </c>
      <c r="C389" s="17">
        <f>SUMIFS(tblDaily[Discharges],tblDaily[Month],10,tblDaily[WardCode],"BF")</f>
        <v/>
      </c>
      <c r="D389" s="17">
        <f>SUMIFS(tblDaily[Deaths],tblDaily[Month],10,tblDaily[WardCode],"BF")</f>
        <v/>
      </c>
      <c r="E389" s="17">
        <f>SUMIFS(tblDaily[DeathsUnder24Hrs],tblDaily[Month],10,tblDaily[WardCode],"BF")</f>
        <v/>
      </c>
      <c r="F389" s="17">
        <f>SUMIFS(tblDaily[TransfersIn],tblDaily[Month],10,tblDaily[WardCode],"BF")</f>
        <v/>
      </c>
      <c r="G389" s="17">
        <f>SUMIFS(tblDaily[TransfersOut],tblDaily[Month],10,tblDaily[WardCode],"BF")</f>
        <v/>
      </c>
      <c r="H389" s="17">
        <f>SUMIFS(tblDaily[Remaining],tblDaily[Month],10,tblDaily[WardCode],"BF")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BLOCK F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4">
        <f>IFERROR(SUMIFS(tblDaily[Remaining],tblDaily[EntryDate],DATE(2026,10,31),tblDaily[WardCode],"BF"),0)</f>
        <v/>
      </c>
    </row>
    <row r="395">
      <c r="A395" s="4" t="inlineStr">
        <is>
          <t>Bed complement</t>
        </is>
      </c>
      <c r="H395" s="15">
        <f>IFERROR(INDEX(tblWardConfig[BedComplement],MATCH("BF",tblWardConfig[WardCode],0)),0)</f>
        <v/>
      </c>
    </row>
    <row r="396">
      <c r="A396" s="16" t="inlineStr">
        <is>
          <t>Day of
the
Month</t>
        </is>
      </c>
      <c r="B396" s="16" t="inlineStr">
        <is>
          <t>Admissions</t>
        </is>
      </c>
      <c r="C396" s="16" t="inlineStr">
        <is>
          <t>Discharges</t>
        </is>
      </c>
      <c r="D396" s="16" t="inlineStr">
        <is>
          <t>Deaths</t>
        </is>
      </c>
      <c r="E396" s="16" t="inlineStr">
        <is>
          <t>Deaths
&lt;24Hrs</t>
        </is>
      </c>
      <c r="F396" s="16" t="inlineStr">
        <is>
          <t>Transfers-
In</t>
        </is>
      </c>
      <c r="G396" s="16" t="inlineStr">
        <is>
          <t>Transfers-
Out</t>
        </is>
      </c>
      <c r="H396" s="16" t="inlineStr">
        <is>
          <t>No. of Patients
Remaining In
Ward</t>
        </is>
      </c>
    </row>
    <row r="397">
      <c r="A397" s="12" t="n">
        <v>1</v>
      </c>
      <c r="B397" s="12">
        <f>IFERROR(IF(SUMIFS(tblDaily[Admissions],tblDaily[EntryDate],DATE(2026,11,1),tblDaily[WardCode],"BF")=0,"",SUMIFS(tblDaily[Admissions],tblDaily[EntryDate],DATE(2026,11,1),tblDaily[WardCode],"BF")),"")</f>
        <v/>
      </c>
      <c r="C397" s="12">
        <f>IFERROR(IF(SUMIFS(tblDaily[Discharges],tblDaily[EntryDate],DATE(2026,11,1),tblDaily[WardCode],"BF")=0,"",SUMIFS(tblDaily[Discharges],tblDaily[EntryDate],DATE(2026,11,1),tblDaily[WardCode],"BF")),"")</f>
        <v/>
      </c>
      <c r="D397" s="12">
        <f>IFERROR(IF(SUMIFS(tblDaily[Deaths],tblDaily[EntryDate],DATE(2026,11,1),tblDaily[WardCode],"BF")=0,"",SUMIFS(tblDaily[Deaths],tblDaily[EntryDate],DATE(2026,11,1),tblDaily[WardCode],"BF")),"")</f>
        <v/>
      </c>
      <c r="E397" s="12">
        <f>IFERROR(IF(SUMIFS(tblDaily[DeathsUnder24Hrs],tblDaily[EntryDate],DATE(2026,11,1),tblDaily[WardCode],"BF")=0,"",SUMIFS(tblDaily[DeathsUnder24Hrs],tblDaily[EntryDate],DATE(2026,11,1),tblDaily[WardCode],"BF")),"")</f>
        <v/>
      </c>
      <c r="F397" s="12">
        <f>IFERROR(IF(SUMIFS(tblDaily[TransfersIn],tblDaily[EntryDate],DATE(2026,11,1),tblDaily[WardCode],"BF")=0,"",SUMIFS(tblDaily[TransfersIn],tblDaily[EntryDate],DATE(2026,11,1),tblDaily[WardCode],"BF")),"")</f>
        <v/>
      </c>
      <c r="G397" s="12">
        <f>IFERROR(IF(SUMIFS(tblDaily[TransfersOut],tblDaily[EntryDate],DATE(2026,11,1),tblDaily[WardCode],"BF")=0,"",SUMIFS(tblDaily[TransfersOut],tblDaily[EntryDate],DATE(2026,11,1),tblDaily[WardCode],"BF")),"")</f>
        <v/>
      </c>
      <c r="H397" s="12">
        <f>IFERROR(IF(SUMIFS(tblDaily[Remaining],tblDaily[EntryDate],DATE(2026,11,1),tblDaily[WardCode],"BF")=0,"",SUMIFS(tblDaily[Remaining],tblDaily[EntryDate],DATE(2026,11,1),tblDaily[WardCode],"BF")),"")</f>
        <v/>
      </c>
    </row>
    <row r="398">
      <c r="A398" s="12" t="n">
        <v>2</v>
      </c>
      <c r="B398" s="12">
        <f>IFERROR(IF(SUMIFS(tblDaily[Admissions],tblDaily[EntryDate],DATE(2026,11,2),tblDaily[WardCode],"BF")=0,"",SUMIFS(tblDaily[Admissions],tblDaily[EntryDate],DATE(2026,11,2),tblDaily[WardCode],"BF")),"")</f>
        <v/>
      </c>
      <c r="C398" s="12">
        <f>IFERROR(IF(SUMIFS(tblDaily[Discharges],tblDaily[EntryDate],DATE(2026,11,2),tblDaily[WardCode],"BF")=0,"",SUMIFS(tblDaily[Discharges],tblDaily[EntryDate],DATE(2026,11,2),tblDaily[WardCode],"BF")),"")</f>
        <v/>
      </c>
      <c r="D398" s="12">
        <f>IFERROR(IF(SUMIFS(tblDaily[Deaths],tblDaily[EntryDate],DATE(2026,11,2),tblDaily[WardCode],"BF")=0,"",SUMIFS(tblDaily[Deaths],tblDaily[EntryDate],DATE(2026,11,2),tblDaily[WardCode],"BF")),"")</f>
        <v/>
      </c>
      <c r="E398" s="12">
        <f>IFERROR(IF(SUMIFS(tblDaily[DeathsUnder24Hrs],tblDaily[EntryDate],DATE(2026,11,2),tblDaily[WardCode],"BF")=0,"",SUMIFS(tblDaily[DeathsUnder24Hrs],tblDaily[EntryDate],DATE(2026,11,2),tblDaily[WardCode],"BF")),"")</f>
        <v/>
      </c>
      <c r="F398" s="12">
        <f>IFERROR(IF(SUMIFS(tblDaily[TransfersIn],tblDaily[EntryDate],DATE(2026,11,2),tblDaily[WardCode],"BF")=0,"",SUMIFS(tblDaily[TransfersIn],tblDaily[EntryDate],DATE(2026,11,2),tblDaily[WardCode],"BF")),"")</f>
        <v/>
      </c>
      <c r="G398" s="12">
        <f>IFERROR(IF(SUMIFS(tblDaily[TransfersOut],tblDaily[EntryDate],DATE(2026,11,2),tblDaily[WardCode],"BF")=0,"",SUMIFS(tblDaily[TransfersOut],tblDaily[EntryDate],DATE(2026,11,2),tblDaily[WardCode],"BF")),"")</f>
        <v/>
      </c>
      <c r="H398" s="12">
        <f>IFERROR(IF(SUMIFS(tblDaily[Remaining],tblDaily[EntryDate],DATE(2026,11,2),tblDaily[WardCode],"BF")=0,"",SUMIFS(tblDaily[Remaining],tblDaily[EntryDate],DATE(2026,11,2),tblDaily[WardCode],"BF")),"")</f>
        <v/>
      </c>
    </row>
    <row r="399">
      <c r="A399" s="12" t="n">
        <v>3</v>
      </c>
      <c r="B399" s="12">
        <f>IFERROR(IF(SUMIFS(tblDaily[Admissions],tblDaily[EntryDate],DATE(2026,11,3),tblDaily[WardCode],"BF")=0,"",SUMIFS(tblDaily[Admissions],tblDaily[EntryDate],DATE(2026,11,3),tblDaily[WardCode],"BF")),"")</f>
        <v/>
      </c>
      <c r="C399" s="12">
        <f>IFERROR(IF(SUMIFS(tblDaily[Discharges],tblDaily[EntryDate],DATE(2026,11,3),tblDaily[WardCode],"BF")=0,"",SUMIFS(tblDaily[Discharges],tblDaily[EntryDate],DATE(2026,11,3),tblDaily[WardCode],"BF")),"")</f>
        <v/>
      </c>
      <c r="D399" s="12">
        <f>IFERROR(IF(SUMIFS(tblDaily[Deaths],tblDaily[EntryDate],DATE(2026,11,3),tblDaily[WardCode],"BF")=0,"",SUMIFS(tblDaily[Deaths],tblDaily[EntryDate],DATE(2026,11,3),tblDaily[WardCode],"BF")),"")</f>
        <v/>
      </c>
      <c r="E399" s="12">
        <f>IFERROR(IF(SUMIFS(tblDaily[DeathsUnder24Hrs],tblDaily[EntryDate],DATE(2026,11,3),tblDaily[WardCode],"BF")=0,"",SUMIFS(tblDaily[DeathsUnder24Hrs],tblDaily[EntryDate],DATE(2026,11,3),tblDaily[WardCode],"BF")),"")</f>
        <v/>
      </c>
      <c r="F399" s="12">
        <f>IFERROR(IF(SUMIFS(tblDaily[TransfersIn],tblDaily[EntryDate],DATE(2026,11,3),tblDaily[WardCode],"BF")=0,"",SUMIFS(tblDaily[TransfersIn],tblDaily[EntryDate],DATE(2026,11,3),tblDaily[WardCode],"BF")),"")</f>
        <v/>
      </c>
      <c r="G399" s="12">
        <f>IFERROR(IF(SUMIFS(tblDaily[TransfersOut],tblDaily[EntryDate],DATE(2026,11,3),tblDaily[WardCode],"BF")=0,"",SUMIFS(tblDaily[TransfersOut],tblDaily[EntryDate],DATE(2026,11,3),tblDaily[WardCode],"BF")),"")</f>
        <v/>
      </c>
      <c r="H399" s="12">
        <f>IFERROR(IF(SUMIFS(tblDaily[Remaining],tblDaily[EntryDate],DATE(2026,11,3),tblDaily[WardCode],"BF")=0,"",SUMIFS(tblDaily[Remaining],tblDaily[EntryDate],DATE(2026,11,3),tblDaily[WardCode],"BF")),"")</f>
        <v/>
      </c>
    </row>
    <row r="400">
      <c r="A400" s="12" t="n">
        <v>4</v>
      </c>
      <c r="B400" s="12">
        <f>IFERROR(IF(SUMIFS(tblDaily[Admissions],tblDaily[EntryDate],DATE(2026,11,4),tblDaily[WardCode],"BF")=0,"",SUMIFS(tblDaily[Admissions],tblDaily[EntryDate],DATE(2026,11,4),tblDaily[WardCode],"BF")),"")</f>
        <v/>
      </c>
      <c r="C400" s="12">
        <f>IFERROR(IF(SUMIFS(tblDaily[Discharges],tblDaily[EntryDate],DATE(2026,11,4),tblDaily[WardCode],"BF")=0,"",SUMIFS(tblDaily[Discharges],tblDaily[EntryDate],DATE(2026,11,4),tblDaily[WardCode],"BF")),"")</f>
        <v/>
      </c>
      <c r="D400" s="12">
        <f>IFERROR(IF(SUMIFS(tblDaily[Deaths],tblDaily[EntryDate],DATE(2026,11,4),tblDaily[WardCode],"BF")=0,"",SUMIFS(tblDaily[Deaths],tblDaily[EntryDate],DATE(2026,11,4),tblDaily[WardCode],"BF")),"")</f>
        <v/>
      </c>
      <c r="E400" s="12">
        <f>IFERROR(IF(SUMIFS(tblDaily[DeathsUnder24Hrs],tblDaily[EntryDate],DATE(2026,11,4),tblDaily[WardCode],"BF")=0,"",SUMIFS(tblDaily[DeathsUnder24Hrs],tblDaily[EntryDate],DATE(2026,11,4),tblDaily[WardCode],"BF")),"")</f>
        <v/>
      </c>
      <c r="F400" s="12">
        <f>IFERROR(IF(SUMIFS(tblDaily[TransfersIn],tblDaily[EntryDate],DATE(2026,11,4),tblDaily[WardCode],"BF")=0,"",SUMIFS(tblDaily[TransfersIn],tblDaily[EntryDate],DATE(2026,11,4),tblDaily[WardCode],"BF")),"")</f>
        <v/>
      </c>
      <c r="G400" s="12">
        <f>IFERROR(IF(SUMIFS(tblDaily[TransfersOut],tblDaily[EntryDate],DATE(2026,11,4),tblDaily[WardCode],"BF")=0,"",SUMIFS(tblDaily[TransfersOut],tblDaily[EntryDate],DATE(2026,11,4),tblDaily[WardCode],"BF")),"")</f>
        <v/>
      </c>
      <c r="H400" s="12">
        <f>IFERROR(IF(SUMIFS(tblDaily[Remaining],tblDaily[EntryDate],DATE(2026,11,4),tblDaily[WardCode],"BF")=0,"",SUMIFS(tblDaily[Remaining],tblDaily[EntryDate],DATE(2026,11,4),tblDaily[WardCode],"BF")),"")</f>
        <v/>
      </c>
    </row>
    <row r="401">
      <c r="A401" s="12" t="n">
        <v>5</v>
      </c>
      <c r="B401" s="12">
        <f>IFERROR(IF(SUMIFS(tblDaily[Admissions],tblDaily[EntryDate],DATE(2026,11,5),tblDaily[WardCode],"BF")=0,"",SUMIFS(tblDaily[Admissions],tblDaily[EntryDate],DATE(2026,11,5),tblDaily[WardCode],"BF")),"")</f>
        <v/>
      </c>
      <c r="C401" s="12">
        <f>IFERROR(IF(SUMIFS(tblDaily[Discharges],tblDaily[EntryDate],DATE(2026,11,5),tblDaily[WardCode],"BF")=0,"",SUMIFS(tblDaily[Discharges],tblDaily[EntryDate],DATE(2026,11,5),tblDaily[WardCode],"BF")),"")</f>
        <v/>
      </c>
      <c r="D401" s="12">
        <f>IFERROR(IF(SUMIFS(tblDaily[Deaths],tblDaily[EntryDate],DATE(2026,11,5),tblDaily[WardCode],"BF")=0,"",SUMIFS(tblDaily[Deaths],tblDaily[EntryDate],DATE(2026,11,5),tblDaily[WardCode],"BF")),"")</f>
        <v/>
      </c>
      <c r="E401" s="12">
        <f>IFERROR(IF(SUMIFS(tblDaily[DeathsUnder24Hrs],tblDaily[EntryDate],DATE(2026,11,5),tblDaily[WardCode],"BF")=0,"",SUMIFS(tblDaily[DeathsUnder24Hrs],tblDaily[EntryDate],DATE(2026,11,5),tblDaily[WardCode],"BF")),"")</f>
        <v/>
      </c>
      <c r="F401" s="12">
        <f>IFERROR(IF(SUMIFS(tblDaily[TransfersIn],tblDaily[EntryDate],DATE(2026,11,5),tblDaily[WardCode],"BF")=0,"",SUMIFS(tblDaily[TransfersIn],tblDaily[EntryDate],DATE(2026,11,5),tblDaily[WardCode],"BF")),"")</f>
        <v/>
      </c>
      <c r="G401" s="12">
        <f>IFERROR(IF(SUMIFS(tblDaily[TransfersOut],tblDaily[EntryDate],DATE(2026,11,5),tblDaily[WardCode],"BF")=0,"",SUMIFS(tblDaily[TransfersOut],tblDaily[EntryDate],DATE(2026,11,5),tblDaily[WardCode],"BF")),"")</f>
        <v/>
      </c>
      <c r="H401" s="12">
        <f>IFERROR(IF(SUMIFS(tblDaily[Remaining],tblDaily[EntryDate],DATE(2026,11,5),tblDaily[WardCode],"BF")=0,"",SUMIFS(tblDaily[Remaining],tblDaily[EntryDate],DATE(2026,11,5),tblDaily[WardCode],"BF")),"")</f>
        <v/>
      </c>
    </row>
    <row r="402">
      <c r="A402" s="12" t="n">
        <v>6</v>
      </c>
      <c r="B402" s="12">
        <f>IFERROR(IF(SUMIFS(tblDaily[Admissions],tblDaily[EntryDate],DATE(2026,11,6),tblDaily[WardCode],"BF")=0,"",SUMIFS(tblDaily[Admissions],tblDaily[EntryDate],DATE(2026,11,6),tblDaily[WardCode],"BF")),"")</f>
        <v/>
      </c>
      <c r="C402" s="12">
        <f>IFERROR(IF(SUMIFS(tblDaily[Discharges],tblDaily[EntryDate],DATE(2026,11,6),tblDaily[WardCode],"BF")=0,"",SUMIFS(tblDaily[Discharges],tblDaily[EntryDate],DATE(2026,11,6),tblDaily[WardCode],"BF")),"")</f>
        <v/>
      </c>
      <c r="D402" s="12">
        <f>IFERROR(IF(SUMIFS(tblDaily[Deaths],tblDaily[EntryDate],DATE(2026,11,6),tblDaily[WardCode],"BF")=0,"",SUMIFS(tblDaily[Deaths],tblDaily[EntryDate],DATE(2026,11,6),tblDaily[WardCode],"BF")),"")</f>
        <v/>
      </c>
      <c r="E402" s="12">
        <f>IFERROR(IF(SUMIFS(tblDaily[DeathsUnder24Hrs],tblDaily[EntryDate],DATE(2026,11,6),tblDaily[WardCode],"BF")=0,"",SUMIFS(tblDaily[DeathsUnder24Hrs],tblDaily[EntryDate],DATE(2026,11,6),tblDaily[WardCode],"BF")),"")</f>
        <v/>
      </c>
      <c r="F402" s="12">
        <f>IFERROR(IF(SUMIFS(tblDaily[TransfersIn],tblDaily[EntryDate],DATE(2026,11,6),tblDaily[WardCode],"BF")=0,"",SUMIFS(tblDaily[TransfersIn],tblDaily[EntryDate],DATE(2026,11,6),tblDaily[WardCode],"BF")),"")</f>
        <v/>
      </c>
      <c r="G402" s="12">
        <f>IFERROR(IF(SUMIFS(tblDaily[TransfersOut],tblDaily[EntryDate],DATE(2026,11,6),tblDaily[WardCode],"BF")=0,"",SUMIFS(tblDaily[TransfersOut],tblDaily[EntryDate],DATE(2026,11,6),tblDaily[WardCode],"BF")),"")</f>
        <v/>
      </c>
      <c r="H402" s="12">
        <f>IFERROR(IF(SUMIFS(tblDaily[Remaining],tblDaily[EntryDate],DATE(2026,11,6),tblDaily[WardCode],"BF")=0,"",SUMIFS(tblDaily[Remaining],tblDaily[EntryDate],DATE(2026,11,6),tblDaily[WardCode],"BF")),"")</f>
        <v/>
      </c>
    </row>
    <row r="403">
      <c r="A403" s="12" t="n">
        <v>7</v>
      </c>
      <c r="B403" s="12">
        <f>IFERROR(IF(SUMIFS(tblDaily[Admissions],tblDaily[EntryDate],DATE(2026,11,7),tblDaily[WardCode],"BF")=0,"",SUMIFS(tblDaily[Admissions],tblDaily[EntryDate],DATE(2026,11,7),tblDaily[WardCode],"BF")),"")</f>
        <v/>
      </c>
      <c r="C403" s="12">
        <f>IFERROR(IF(SUMIFS(tblDaily[Discharges],tblDaily[EntryDate],DATE(2026,11,7),tblDaily[WardCode],"BF")=0,"",SUMIFS(tblDaily[Discharges],tblDaily[EntryDate],DATE(2026,11,7),tblDaily[WardCode],"BF")),"")</f>
        <v/>
      </c>
      <c r="D403" s="12">
        <f>IFERROR(IF(SUMIFS(tblDaily[Deaths],tblDaily[EntryDate],DATE(2026,11,7),tblDaily[WardCode],"BF")=0,"",SUMIFS(tblDaily[Deaths],tblDaily[EntryDate],DATE(2026,11,7),tblDaily[WardCode],"BF")),"")</f>
        <v/>
      </c>
      <c r="E403" s="12">
        <f>IFERROR(IF(SUMIFS(tblDaily[DeathsUnder24Hrs],tblDaily[EntryDate],DATE(2026,11,7),tblDaily[WardCode],"BF")=0,"",SUMIFS(tblDaily[DeathsUnder24Hrs],tblDaily[EntryDate],DATE(2026,11,7),tblDaily[WardCode],"BF")),"")</f>
        <v/>
      </c>
      <c r="F403" s="12">
        <f>IFERROR(IF(SUMIFS(tblDaily[TransfersIn],tblDaily[EntryDate],DATE(2026,11,7),tblDaily[WardCode],"BF")=0,"",SUMIFS(tblDaily[TransfersIn],tblDaily[EntryDate],DATE(2026,11,7),tblDaily[WardCode],"BF")),"")</f>
        <v/>
      </c>
      <c r="G403" s="12">
        <f>IFERROR(IF(SUMIFS(tblDaily[TransfersOut],tblDaily[EntryDate],DATE(2026,11,7),tblDaily[WardCode],"BF")=0,"",SUMIFS(tblDaily[TransfersOut],tblDaily[EntryDate],DATE(2026,11,7),tblDaily[WardCode],"BF")),"")</f>
        <v/>
      </c>
      <c r="H403" s="12">
        <f>IFERROR(IF(SUMIFS(tblDaily[Remaining],tblDaily[EntryDate],DATE(2026,11,7),tblDaily[WardCode],"BF")=0,"",SUMIFS(tblDaily[Remaining],tblDaily[EntryDate],DATE(2026,11,7),tblDaily[WardCode],"BF")),"")</f>
        <v/>
      </c>
    </row>
    <row r="404">
      <c r="A404" s="12" t="n">
        <v>8</v>
      </c>
      <c r="B404" s="12">
        <f>IFERROR(IF(SUMIFS(tblDaily[Admissions],tblDaily[EntryDate],DATE(2026,11,8),tblDaily[WardCode],"BF")=0,"",SUMIFS(tblDaily[Admissions],tblDaily[EntryDate],DATE(2026,11,8),tblDaily[WardCode],"BF")),"")</f>
        <v/>
      </c>
      <c r="C404" s="12">
        <f>IFERROR(IF(SUMIFS(tblDaily[Discharges],tblDaily[EntryDate],DATE(2026,11,8),tblDaily[WardCode],"BF")=0,"",SUMIFS(tblDaily[Discharges],tblDaily[EntryDate],DATE(2026,11,8),tblDaily[WardCode],"BF")),"")</f>
        <v/>
      </c>
      <c r="D404" s="12">
        <f>IFERROR(IF(SUMIFS(tblDaily[Deaths],tblDaily[EntryDate],DATE(2026,11,8),tblDaily[WardCode],"BF")=0,"",SUMIFS(tblDaily[Deaths],tblDaily[EntryDate],DATE(2026,11,8),tblDaily[WardCode],"BF")),"")</f>
        <v/>
      </c>
      <c r="E404" s="12">
        <f>IFERROR(IF(SUMIFS(tblDaily[DeathsUnder24Hrs],tblDaily[EntryDate],DATE(2026,11,8),tblDaily[WardCode],"BF")=0,"",SUMIFS(tblDaily[DeathsUnder24Hrs],tblDaily[EntryDate],DATE(2026,11,8),tblDaily[WardCode],"BF")),"")</f>
        <v/>
      </c>
      <c r="F404" s="12">
        <f>IFERROR(IF(SUMIFS(tblDaily[TransfersIn],tblDaily[EntryDate],DATE(2026,11,8),tblDaily[WardCode],"BF")=0,"",SUMIFS(tblDaily[TransfersIn],tblDaily[EntryDate],DATE(2026,11,8),tblDaily[WardCode],"BF")),"")</f>
        <v/>
      </c>
      <c r="G404" s="12">
        <f>IFERROR(IF(SUMIFS(tblDaily[TransfersOut],tblDaily[EntryDate],DATE(2026,11,8),tblDaily[WardCode],"BF")=0,"",SUMIFS(tblDaily[TransfersOut],tblDaily[EntryDate],DATE(2026,11,8),tblDaily[WardCode],"BF")),"")</f>
        <v/>
      </c>
      <c r="H404" s="12">
        <f>IFERROR(IF(SUMIFS(tblDaily[Remaining],tblDaily[EntryDate],DATE(2026,11,8),tblDaily[WardCode],"BF")=0,"",SUMIFS(tblDaily[Remaining],tblDaily[EntryDate],DATE(2026,11,8),tblDaily[WardCode],"BF")),"")</f>
        <v/>
      </c>
    </row>
    <row r="405">
      <c r="A405" s="12" t="n">
        <v>9</v>
      </c>
      <c r="B405" s="12">
        <f>IFERROR(IF(SUMIFS(tblDaily[Admissions],tblDaily[EntryDate],DATE(2026,11,9),tblDaily[WardCode],"BF")=0,"",SUMIFS(tblDaily[Admissions],tblDaily[EntryDate],DATE(2026,11,9),tblDaily[WardCode],"BF")),"")</f>
        <v/>
      </c>
      <c r="C405" s="12">
        <f>IFERROR(IF(SUMIFS(tblDaily[Discharges],tblDaily[EntryDate],DATE(2026,11,9),tblDaily[WardCode],"BF")=0,"",SUMIFS(tblDaily[Discharges],tblDaily[EntryDate],DATE(2026,11,9),tblDaily[WardCode],"BF")),"")</f>
        <v/>
      </c>
      <c r="D405" s="12">
        <f>IFERROR(IF(SUMIFS(tblDaily[Deaths],tblDaily[EntryDate],DATE(2026,11,9),tblDaily[WardCode],"BF")=0,"",SUMIFS(tblDaily[Deaths],tblDaily[EntryDate],DATE(2026,11,9),tblDaily[WardCode],"BF")),"")</f>
        <v/>
      </c>
      <c r="E405" s="12">
        <f>IFERROR(IF(SUMIFS(tblDaily[DeathsUnder24Hrs],tblDaily[EntryDate],DATE(2026,11,9),tblDaily[WardCode],"BF")=0,"",SUMIFS(tblDaily[DeathsUnder24Hrs],tblDaily[EntryDate],DATE(2026,11,9),tblDaily[WardCode],"BF")),"")</f>
        <v/>
      </c>
      <c r="F405" s="12">
        <f>IFERROR(IF(SUMIFS(tblDaily[TransfersIn],tblDaily[EntryDate],DATE(2026,11,9),tblDaily[WardCode],"BF")=0,"",SUMIFS(tblDaily[TransfersIn],tblDaily[EntryDate],DATE(2026,11,9),tblDaily[WardCode],"BF")),"")</f>
        <v/>
      </c>
      <c r="G405" s="12">
        <f>IFERROR(IF(SUMIFS(tblDaily[TransfersOut],tblDaily[EntryDate],DATE(2026,11,9),tblDaily[WardCode],"BF")=0,"",SUMIFS(tblDaily[TransfersOut],tblDaily[EntryDate],DATE(2026,11,9),tblDaily[WardCode],"BF")),"")</f>
        <v/>
      </c>
      <c r="H405" s="12">
        <f>IFERROR(IF(SUMIFS(tblDaily[Remaining],tblDaily[EntryDate],DATE(2026,11,9),tblDaily[WardCode],"BF")=0,"",SUMIFS(tblDaily[Remaining],tblDaily[EntryDate],DATE(2026,11,9),tblDaily[WardCode],"BF")),"")</f>
        <v/>
      </c>
    </row>
    <row r="406">
      <c r="A406" s="12" t="n">
        <v>10</v>
      </c>
      <c r="B406" s="12">
        <f>IFERROR(IF(SUMIFS(tblDaily[Admissions],tblDaily[EntryDate],DATE(2026,11,10),tblDaily[WardCode],"BF")=0,"",SUMIFS(tblDaily[Admissions],tblDaily[EntryDate],DATE(2026,11,10),tblDaily[WardCode],"BF")),"")</f>
        <v/>
      </c>
      <c r="C406" s="12">
        <f>IFERROR(IF(SUMIFS(tblDaily[Discharges],tblDaily[EntryDate],DATE(2026,11,10),tblDaily[WardCode],"BF")=0,"",SUMIFS(tblDaily[Discharges],tblDaily[EntryDate],DATE(2026,11,10),tblDaily[WardCode],"BF")),"")</f>
        <v/>
      </c>
      <c r="D406" s="12">
        <f>IFERROR(IF(SUMIFS(tblDaily[Deaths],tblDaily[EntryDate],DATE(2026,11,10),tblDaily[WardCode],"BF")=0,"",SUMIFS(tblDaily[Deaths],tblDaily[EntryDate],DATE(2026,11,10),tblDaily[WardCode],"BF")),"")</f>
        <v/>
      </c>
      <c r="E406" s="12">
        <f>IFERROR(IF(SUMIFS(tblDaily[DeathsUnder24Hrs],tblDaily[EntryDate],DATE(2026,11,10),tblDaily[WardCode],"BF")=0,"",SUMIFS(tblDaily[DeathsUnder24Hrs],tblDaily[EntryDate],DATE(2026,11,10),tblDaily[WardCode],"BF")),"")</f>
        <v/>
      </c>
      <c r="F406" s="12">
        <f>IFERROR(IF(SUMIFS(tblDaily[TransfersIn],tblDaily[EntryDate],DATE(2026,11,10),tblDaily[WardCode],"BF")=0,"",SUMIFS(tblDaily[TransfersIn],tblDaily[EntryDate],DATE(2026,11,10),tblDaily[WardCode],"BF")),"")</f>
        <v/>
      </c>
      <c r="G406" s="12">
        <f>IFERROR(IF(SUMIFS(tblDaily[TransfersOut],tblDaily[EntryDate],DATE(2026,11,10),tblDaily[WardCode],"BF")=0,"",SUMIFS(tblDaily[TransfersOut],tblDaily[EntryDate],DATE(2026,11,10),tblDaily[WardCode],"BF")),"")</f>
        <v/>
      </c>
      <c r="H406" s="12">
        <f>IFERROR(IF(SUMIFS(tblDaily[Remaining],tblDaily[EntryDate],DATE(2026,11,10),tblDaily[WardCode],"BF")=0,"",SUMIFS(tblDaily[Remaining],tblDaily[EntryDate],DATE(2026,11,10),tblDaily[WardCode],"BF")),"")</f>
        <v/>
      </c>
    </row>
    <row r="407">
      <c r="A407" s="12" t="n">
        <v>11</v>
      </c>
      <c r="B407" s="12">
        <f>IFERROR(IF(SUMIFS(tblDaily[Admissions],tblDaily[EntryDate],DATE(2026,11,11),tblDaily[WardCode],"BF")=0,"",SUMIFS(tblDaily[Admissions],tblDaily[EntryDate],DATE(2026,11,11),tblDaily[WardCode],"BF")),"")</f>
        <v/>
      </c>
      <c r="C407" s="12">
        <f>IFERROR(IF(SUMIFS(tblDaily[Discharges],tblDaily[EntryDate],DATE(2026,11,11),tblDaily[WardCode],"BF")=0,"",SUMIFS(tblDaily[Discharges],tblDaily[EntryDate],DATE(2026,11,11),tblDaily[WardCode],"BF")),"")</f>
        <v/>
      </c>
      <c r="D407" s="12">
        <f>IFERROR(IF(SUMIFS(tblDaily[Deaths],tblDaily[EntryDate],DATE(2026,11,11),tblDaily[WardCode],"BF")=0,"",SUMIFS(tblDaily[Deaths],tblDaily[EntryDate],DATE(2026,11,11),tblDaily[WardCode],"BF")),"")</f>
        <v/>
      </c>
      <c r="E407" s="12">
        <f>IFERROR(IF(SUMIFS(tblDaily[DeathsUnder24Hrs],tblDaily[EntryDate],DATE(2026,11,11),tblDaily[WardCode],"BF")=0,"",SUMIFS(tblDaily[DeathsUnder24Hrs],tblDaily[EntryDate],DATE(2026,11,11),tblDaily[WardCode],"BF")),"")</f>
        <v/>
      </c>
      <c r="F407" s="12">
        <f>IFERROR(IF(SUMIFS(tblDaily[TransfersIn],tblDaily[EntryDate],DATE(2026,11,11),tblDaily[WardCode],"BF")=0,"",SUMIFS(tblDaily[TransfersIn],tblDaily[EntryDate],DATE(2026,11,11),tblDaily[WardCode],"BF")),"")</f>
        <v/>
      </c>
      <c r="G407" s="12">
        <f>IFERROR(IF(SUMIFS(tblDaily[TransfersOut],tblDaily[EntryDate],DATE(2026,11,11),tblDaily[WardCode],"BF")=0,"",SUMIFS(tblDaily[TransfersOut],tblDaily[EntryDate],DATE(2026,11,11),tblDaily[WardCode],"BF")),"")</f>
        <v/>
      </c>
      <c r="H407" s="12">
        <f>IFERROR(IF(SUMIFS(tblDaily[Remaining],tblDaily[EntryDate],DATE(2026,11,11),tblDaily[WardCode],"BF")=0,"",SUMIFS(tblDaily[Remaining],tblDaily[EntryDate],DATE(2026,11,11),tblDaily[WardCode],"BF")),"")</f>
        <v/>
      </c>
    </row>
    <row r="408">
      <c r="A408" s="12" t="n">
        <v>12</v>
      </c>
      <c r="B408" s="12">
        <f>IFERROR(IF(SUMIFS(tblDaily[Admissions],tblDaily[EntryDate],DATE(2026,11,12),tblDaily[WardCode],"BF")=0,"",SUMIFS(tblDaily[Admissions],tblDaily[EntryDate],DATE(2026,11,12),tblDaily[WardCode],"BF")),"")</f>
        <v/>
      </c>
      <c r="C408" s="12">
        <f>IFERROR(IF(SUMIFS(tblDaily[Discharges],tblDaily[EntryDate],DATE(2026,11,12),tblDaily[WardCode],"BF")=0,"",SUMIFS(tblDaily[Discharges],tblDaily[EntryDate],DATE(2026,11,12),tblDaily[WardCode],"BF")),"")</f>
        <v/>
      </c>
      <c r="D408" s="12">
        <f>IFERROR(IF(SUMIFS(tblDaily[Deaths],tblDaily[EntryDate],DATE(2026,11,12),tblDaily[WardCode],"BF")=0,"",SUMIFS(tblDaily[Deaths],tblDaily[EntryDate],DATE(2026,11,12),tblDaily[WardCode],"BF")),"")</f>
        <v/>
      </c>
      <c r="E408" s="12">
        <f>IFERROR(IF(SUMIFS(tblDaily[DeathsUnder24Hrs],tblDaily[EntryDate],DATE(2026,11,12),tblDaily[WardCode],"BF")=0,"",SUMIFS(tblDaily[DeathsUnder24Hrs],tblDaily[EntryDate],DATE(2026,11,12),tblDaily[WardCode],"BF")),"")</f>
        <v/>
      </c>
      <c r="F408" s="12">
        <f>IFERROR(IF(SUMIFS(tblDaily[TransfersIn],tblDaily[EntryDate],DATE(2026,11,12),tblDaily[WardCode],"BF")=0,"",SUMIFS(tblDaily[TransfersIn],tblDaily[EntryDate],DATE(2026,11,12),tblDaily[WardCode],"BF")),"")</f>
        <v/>
      </c>
      <c r="G408" s="12">
        <f>IFERROR(IF(SUMIFS(tblDaily[TransfersOut],tblDaily[EntryDate],DATE(2026,11,12),tblDaily[WardCode],"BF")=0,"",SUMIFS(tblDaily[TransfersOut],tblDaily[EntryDate],DATE(2026,11,12),tblDaily[WardCode],"BF")),"")</f>
        <v/>
      </c>
      <c r="H408" s="12">
        <f>IFERROR(IF(SUMIFS(tblDaily[Remaining],tblDaily[EntryDate],DATE(2026,11,12),tblDaily[WardCode],"BF")=0,"",SUMIFS(tblDaily[Remaining],tblDaily[EntryDate],DATE(2026,11,12),tblDaily[WardCode],"BF")),"")</f>
        <v/>
      </c>
    </row>
    <row r="409">
      <c r="A409" s="12" t="n">
        <v>13</v>
      </c>
      <c r="B409" s="12">
        <f>IFERROR(IF(SUMIFS(tblDaily[Admissions],tblDaily[EntryDate],DATE(2026,11,13),tblDaily[WardCode],"BF")=0,"",SUMIFS(tblDaily[Admissions],tblDaily[EntryDate],DATE(2026,11,13),tblDaily[WardCode],"BF")),"")</f>
        <v/>
      </c>
      <c r="C409" s="12">
        <f>IFERROR(IF(SUMIFS(tblDaily[Discharges],tblDaily[EntryDate],DATE(2026,11,13),tblDaily[WardCode],"BF")=0,"",SUMIFS(tblDaily[Discharges],tblDaily[EntryDate],DATE(2026,11,13),tblDaily[WardCode],"BF")),"")</f>
        <v/>
      </c>
      <c r="D409" s="12">
        <f>IFERROR(IF(SUMIFS(tblDaily[Deaths],tblDaily[EntryDate],DATE(2026,11,13),tblDaily[WardCode],"BF")=0,"",SUMIFS(tblDaily[Deaths],tblDaily[EntryDate],DATE(2026,11,13),tblDaily[WardCode],"BF")),"")</f>
        <v/>
      </c>
      <c r="E409" s="12">
        <f>IFERROR(IF(SUMIFS(tblDaily[DeathsUnder24Hrs],tblDaily[EntryDate],DATE(2026,11,13),tblDaily[WardCode],"BF")=0,"",SUMIFS(tblDaily[DeathsUnder24Hrs],tblDaily[EntryDate],DATE(2026,11,13),tblDaily[WardCode],"BF")),"")</f>
        <v/>
      </c>
      <c r="F409" s="12">
        <f>IFERROR(IF(SUMIFS(tblDaily[TransfersIn],tblDaily[EntryDate],DATE(2026,11,13),tblDaily[WardCode],"BF")=0,"",SUMIFS(tblDaily[TransfersIn],tblDaily[EntryDate],DATE(2026,11,13),tblDaily[WardCode],"BF")),"")</f>
        <v/>
      </c>
      <c r="G409" s="12">
        <f>IFERROR(IF(SUMIFS(tblDaily[TransfersOut],tblDaily[EntryDate],DATE(2026,11,13),tblDaily[WardCode],"BF")=0,"",SUMIFS(tblDaily[TransfersOut],tblDaily[EntryDate],DATE(2026,11,13),tblDaily[WardCode],"BF")),"")</f>
        <v/>
      </c>
      <c r="H409" s="12">
        <f>IFERROR(IF(SUMIFS(tblDaily[Remaining],tblDaily[EntryDate],DATE(2026,11,13),tblDaily[WardCode],"BF")=0,"",SUMIFS(tblDaily[Remaining],tblDaily[EntryDate],DATE(2026,11,13),tblDaily[WardCode],"BF")),"")</f>
        <v/>
      </c>
    </row>
    <row r="410">
      <c r="A410" s="12" t="n">
        <v>14</v>
      </c>
      <c r="B410" s="12">
        <f>IFERROR(IF(SUMIFS(tblDaily[Admissions],tblDaily[EntryDate],DATE(2026,11,14),tblDaily[WardCode],"BF")=0,"",SUMIFS(tblDaily[Admissions],tblDaily[EntryDate],DATE(2026,11,14),tblDaily[WardCode],"BF")),"")</f>
        <v/>
      </c>
      <c r="C410" s="12">
        <f>IFERROR(IF(SUMIFS(tblDaily[Discharges],tblDaily[EntryDate],DATE(2026,11,14),tblDaily[WardCode],"BF")=0,"",SUMIFS(tblDaily[Discharges],tblDaily[EntryDate],DATE(2026,11,14),tblDaily[WardCode],"BF")),"")</f>
        <v/>
      </c>
      <c r="D410" s="12">
        <f>IFERROR(IF(SUMIFS(tblDaily[Deaths],tblDaily[EntryDate],DATE(2026,11,14),tblDaily[WardCode],"BF")=0,"",SUMIFS(tblDaily[Deaths],tblDaily[EntryDate],DATE(2026,11,14),tblDaily[WardCode],"BF")),"")</f>
        <v/>
      </c>
      <c r="E410" s="12">
        <f>IFERROR(IF(SUMIFS(tblDaily[DeathsUnder24Hrs],tblDaily[EntryDate],DATE(2026,11,14),tblDaily[WardCode],"BF")=0,"",SUMIFS(tblDaily[DeathsUnder24Hrs],tblDaily[EntryDate],DATE(2026,11,14),tblDaily[WardCode],"BF")),"")</f>
        <v/>
      </c>
      <c r="F410" s="12">
        <f>IFERROR(IF(SUMIFS(tblDaily[TransfersIn],tblDaily[EntryDate],DATE(2026,11,14),tblDaily[WardCode],"BF")=0,"",SUMIFS(tblDaily[TransfersIn],tblDaily[EntryDate],DATE(2026,11,14),tblDaily[WardCode],"BF")),"")</f>
        <v/>
      </c>
      <c r="G410" s="12">
        <f>IFERROR(IF(SUMIFS(tblDaily[TransfersOut],tblDaily[EntryDate],DATE(2026,11,14),tblDaily[WardCode],"BF")=0,"",SUMIFS(tblDaily[TransfersOut],tblDaily[EntryDate],DATE(2026,11,14),tblDaily[WardCode],"BF")),"")</f>
        <v/>
      </c>
      <c r="H410" s="12">
        <f>IFERROR(IF(SUMIFS(tblDaily[Remaining],tblDaily[EntryDate],DATE(2026,11,14),tblDaily[WardCode],"BF")=0,"",SUMIFS(tblDaily[Remaining],tblDaily[EntryDate],DATE(2026,11,14),tblDaily[WardCode],"BF")),"")</f>
        <v/>
      </c>
    </row>
    <row r="411">
      <c r="A411" s="12" t="n">
        <v>15</v>
      </c>
      <c r="B411" s="12">
        <f>IFERROR(IF(SUMIFS(tblDaily[Admissions],tblDaily[EntryDate],DATE(2026,11,15),tblDaily[WardCode],"BF")=0,"",SUMIFS(tblDaily[Admissions],tblDaily[EntryDate],DATE(2026,11,15),tblDaily[WardCode],"BF")),"")</f>
        <v/>
      </c>
      <c r="C411" s="12">
        <f>IFERROR(IF(SUMIFS(tblDaily[Discharges],tblDaily[EntryDate],DATE(2026,11,15),tblDaily[WardCode],"BF")=0,"",SUMIFS(tblDaily[Discharges],tblDaily[EntryDate],DATE(2026,11,15),tblDaily[WardCode],"BF")),"")</f>
        <v/>
      </c>
      <c r="D411" s="12">
        <f>IFERROR(IF(SUMIFS(tblDaily[Deaths],tblDaily[EntryDate],DATE(2026,11,15),tblDaily[WardCode],"BF")=0,"",SUMIFS(tblDaily[Deaths],tblDaily[EntryDate],DATE(2026,11,15),tblDaily[WardCode],"BF")),"")</f>
        <v/>
      </c>
      <c r="E411" s="12">
        <f>IFERROR(IF(SUMIFS(tblDaily[DeathsUnder24Hrs],tblDaily[EntryDate],DATE(2026,11,15),tblDaily[WardCode],"BF")=0,"",SUMIFS(tblDaily[DeathsUnder24Hrs],tblDaily[EntryDate],DATE(2026,11,15),tblDaily[WardCode],"BF")),"")</f>
        <v/>
      </c>
      <c r="F411" s="12">
        <f>IFERROR(IF(SUMIFS(tblDaily[TransfersIn],tblDaily[EntryDate],DATE(2026,11,15),tblDaily[WardCode],"BF")=0,"",SUMIFS(tblDaily[TransfersIn],tblDaily[EntryDate],DATE(2026,11,15),tblDaily[WardCode],"BF")),"")</f>
        <v/>
      </c>
      <c r="G411" s="12">
        <f>IFERROR(IF(SUMIFS(tblDaily[TransfersOut],tblDaily[EntryDate],DATE(2026,11,15),tblDaily[WardCode],"BF")=0,"",SUMIFS(tblDaily[TransfersOut],tblDaily[EntryDate],DATE(2026,11,15),tblDaily[WardCode],"BF")),"")</f>
        <v/>
      </c>
      <c r="H411" s="12">
        <f>IFERROR(IF(SUMIFS(tblDaily[Remaining],tblDaily[EntryDate],DATE(2026,11,15),tblDaily[WardCode],"BF")=0,"",SUMIFS(tblDaily[Remaining],tblDaily[EntryDate],DATE(2026,11,15),tblDaily[WardCode],"BF")),"")</f>
        <v/>
      </c>
    </row>
    <row r="412">
      <c r="A412" s="12" t="n">
        <v>16</v>
      </c>
      <c r="B412" s="12">
        <f>IFERROR(IF(SUMIFS(tblDaily[Admissions],tblDaily[EntryDate],DATE(2026,11,16),tblDaily[WardCode],"BF")=0,"",SUMIFS(tblDaily[Admissions],tblDaily[EntryDate],DATE(2026,11,16),tblDaily[WardCode],"BF")),"")</f>
        <v/>
      </c>
      <c r="C412" s="12">
        <f>IFERROR(IF(SUMIFS(tblDaily[Discharges],tblDaily[EntryDate],DATE(2026,11,16),tblDaily[WardCode],"BF")=0,"",SUMIFS(tblDaily[Discharges],tblDaily[EntryDate],DATE(2026,11,16),tblDaily[WardCode],"BF")),"")</f>
        <v/>
      </c>
      <c r="D412" s="12">
        <f>IFERROR(IF(SUMIFS(tblDaily[Deaths],tblDaily[EntryDate],DATE(2026,11,16),tblDaily[WardCode],"BF")=0,"",SUMIFS(tblDaily[Deaths],tblDaily[EntryDate],DATE(2026,11,16),tblDaily[WardCode],"BF")),"")</f>
        <v/>
      </c>
      <c r="E412" s="12">
        <f>IFERROR(IF(SUMIFS(tblDaily[DeathsUnder24Hrs],tblDaily[EntryDate],DATE(2026,11,16),tblDaily[WardCode],"BF")=0,"",SUMIFS(tblDaily[DeathsUnder24Hrs],tblDaily[EntryDate],DATE(2026,11,16),tblDaily[WardCode],"BF")),"")</f>
        <v/>
      </c>
      <c r="F412" s="12">
        <f>IFERROR(IF(SUMIFS(tblDaily[TransfersIn],tblDaily[EntryDate],DATE(2026,11,16),tblDaily[WardCode],"BF")=0,"",SUMIFS(tblDaily[TransfersIn],tblDaily[EntryDate],DATE(2026,11,16),tblDaily[WardCode],"BF")),"")</f>
        <v/>
      </c>
      <c r="G412" s="12">
        <f>IFERROR(IF(SUMIFS(tblDaily[TransfersOut],tblDaily[EntryDate],DATE(2026,11,16),tblDaily[WardCode],"BF")=0,"",SUMIFS(tblDaily[TransfersOut],tblDaily[EntryDate],DATE(2026,11,16),tblDaily[WardCode],"BF")),"")</f>
        <v/>
      </c>
      <c r="H412" s="12">
        <f>IFERROR(IF(SUMIFS(tblDaily[Remaining],tblDaily[EntryDate],DATE(2026,11,16),tblDaily[WardCode],"BF")=0,"",SUMIFS(tblDaily[Remaining],tblDaily[EntryDate],DATE(2026,11,16),tblDaily[WardCode],"BF")),"")</f>
        <v/>
      </c>
    </row>
    <row r="413">
      <c r="A413" s="12" t="n">
        <v>17</v>
      </c>
      <c r="B413" s="12">
        <f>IFERROR(IF(SUMIFS(tblDaily[Admissions],tblDaily[EntryDate],DATE(2026,11,17),tblDaily[WardCode],"BF")=0,"",SUMIFS(tblDaily[Admissions],tblDaily[EntryDate],DATE(2026,11,17),tblDaily[WardCode],"BF")),"")</f>
        <v/>
      </c>
      <c r="C413" s="12">
        <f>IFERROR(IF(SUMIFS(tblDaily[Discharges],tblDaily[EntryDate],DATE(2026,11,17),tblDaily[WardCode],"BF")=0,"",SUMIFS(tblDaily[Discharges],tblDaily[EntryDate],DATE(2026,11,17),tblDaily[WardCode],"BF")),"")</f>
        <v/>
      </c>
      <c r="D413" s="12">
        <f>IFERROR(IF(SUMIFS(tblDaily[Deaths],tblDaily[EntryDate],DATE(2026,11,17),tblDaily[WardCode],"BF")=0,"",SUMIFS(tblDaily[Deaths],tblDaily[EntryDate],DATE(2026,11,17),tblDaily[WardCode],"BF")),"")</f>
        <v/>
      </c>
      <c r="E413" s="12">
        <f>IFERROR(IF(SUMIFS(tblDaily[DeathsUnder24Hrs],tblDaily[EntryDate],DATE(2026,11,17),tblDaily[WardCode],"BF")=0,"",SUMIFS(tblDaily[DeathsUnder24Hrs],tblDaily[EntryDate],DATE(2026,11,17),tblDaily[WardCode],"BF")),"")</f>
        <v/>
      </c>
      <c r="F413" s="12">
        <f>IFERROR(IF(SUMIFS(tblDaily[TransfersIn],tblDaily[EntryDate],DATE(2026,11,17),tblDaily[WardCode],"BF")=0,"",SUMIFS(tblDaily[TransfersIn],tblDaily[EntryDate],DATE(2026,11,17),tblDaily[WardCode],"BF")),"")</f>
        <v/>
      </c>
      <c r="G413" s="12">
        <f>IFERROR(IF(SUMIFS(tblDaily[TransfersOut],tblDaily[EntryDate],DATE(2026,11,17),tblDaily[WardCode],"BF")=0,"",SUMIFS(tblDaily[TransfersOut],tblDaily[EntryDate],DATE(2026,11,17),tblDaily[WardCode],"BF")),"")</f>
        <v/>
      </c>
      <c r="H413" s="12">
        <f>IFERROR(IF(SUMIFS(tblDaily[Remaining],tblDaily[EntryDate],DATE(2026,11,17),tblDaily[WardCode],"BF")=0,"",SUMIFS(tblDaily[Remaining],tblDaily[EntryDate],DATE(2026,11,17),tblDaily[WardCode],"BF")),"")</f>
        <v/>
      </c>
    </row>
    <row r="414">
      <c r="A414" s="12" t="n">
        <v>18</v>
      </c>
      <c r="B414" s="12">
        <f>IFERROR(IF(SUMIFS(tblDaily[Admissions],tblDaily[EntryDate],DATE(2026,11,18),tblDaily[WardCode],"BF")=0,"",SUMIFS(tblDaily[Admissions],tblDaily[EntryDate],DATE(2026,11,18),tblDaily[WardCode],"BF")),"")</f>
        <v/>
      </c>
      <c r="C414" s="12">
        <f>IFERROR(IF(SUMIFS(tblDaily[Discharges],tblDaily[EntryDate],DATE(2026,11,18),tblDaily[WardCode],"BF")=0,"",SUMIFS(tblDaily[Discharges],tblDaily[EntryDate],DATE(2026,11,18),tblDaily[WardCode],"BF")),"")</f>
        <v/>
      </c>
      <c r="D414" s="12">
        <f>IFERROR(IF(SUMIFS(tblDaily[Deaths],tblDaily[EntryDate],DATE(2026,11,18),tblDaily[WardCode],"BF")=0,"",SUMIFS(tblDaily[Deaths],tblDaily[EntryDate],DATE(2026,11,18),tblDaily[WardCode],"BF")),"")</f>
        <v/>
      </c>
      <c r="E414" s="12">
        <f>IFERROR(IF(SUMIFS(tblDaily[DeathsUnder24Hrs],tblDaily[EntryDate],DATE(2026,11,18),tblDaily[WardCode],"BF")=0,"",SUMIFS(tblDaily[DeathsUnder24Hrs],tblDaily[EntryDate],DATE(2026,11,18),tblDaily[WardCode],"BF")),"")</f>
        <v/>
      </c>
      <c r="F414" s="12">
        <f>IFERROR(IF(SUMIFS(tblDaily[TransfersIn],tblDaily[EntryDate],DATE(2026,11,18),tblDaily[WardCode],"BF")=0,"",SUMIFS(tblDaily[TransfersIn],tblDaily[EntryDate],DATE(2026,11,18),tblDaily[WardCode],"BF")),"")</f>
        <v/>
      </c>
      <c r="G414" s="12">
        <f>IFERROR(IF(SUMIFS(tblDaily[TransfersOut],tblDaily[EntryDate],DATE(2026,11,18),tblDaily[WardCode],"BF")=0,"",SUMIFS(tblDaily[TransfersOut],tblDaily[EntryDate],DATE(2026,11,18),tblDaily[WardCode],"BF")),"")</f>
        <v/>
      </c>
      <c r="H414" s="12">
        <f>IFERROR(IF(SUMIFS(tblDaily[Remaining],tblDaily[EntryDate],DATE(2026,11,18),tblDaily[WardCode],"BF")=0,"",SUMIFS(tblDaily[Remaining],tblDaily[EntryDate],DATE(2026,11,18),tblDaily[WardCode],"BF")),"")</f>
        <v/>
      </c>
    </row>
    <row r="415">
      <c r="A415" s="12" t="n">
        <v>19</v>
      </c>
      <c r="B415" s="12">
        <f>IFERROR(IF(SUMIFS(tblDaily[Admissions],tblDaily[EntryDate],DATE(2026,11,19),tblDaily[WardCode],"BF")=0,"",SUMIFS(tblDaily[Admissions],tblDaily[EntryDate],DATE(2026,11,19),tblDaily[WardCode],"BF")),"")</f>
        <v/>
      </c>
      <c r="C415" s="12">
        <f>IFERROR(IF(SUMIFS(tblDaily[Discharges],tblDaily[EntryDate],DATE(2026,11,19),tblDaily[WardCode],"BF")=0,"",SUMIFS(tblDaily[Discharges],tblDaily[EntryDate],DATE(2026,11,19),tblDaily[WardCode],"BF")),"")</f>
        <v/>
      </c>
      <c r="D415" s="12">
        <f>IFERROR(IF(SUMIFS(tblDaily[Deaths],tblDaily[EntryDate],DATE(2026,11,19),tblDaily[WardCode],"BF")=0,"",SUMIFS(tblDaily[Deaths],tblDaily[EntryDate],DATE(2026,11,19),tblDaily[WardCode],"BF")),"")</f>
        <v/>
      </c>
      <c r="E415" s="12">
        <f>IFERROR(IF(SUMIFS(tblDaily[DeathsUnder24Hrs],tblDaily[EntryDate],DATE(2026,11,19),tblDaily[WardCode],"BF")=0,"",SUMIFS(tblDaily[DeathsUnder24Hrs],tblDaily[EntryDate],DATE(2026,11,19),tblDaily[WardCode],"BF")),"")</f>
        <v/>
      </c>
      <c r="F415" s="12">
        <f>IFERROR(IF(SUMIFS(tblDaily[TransfersIn],tblDaily[EntryDate],DATE(2026,11,19),tblDaily[WardCode],"BF")=0,"",SUMIFS(tblDaily[TransfersIn],tblDaily[EntryDate],DATE(2026,11,19),tblDaily[WardCode],"BF")),"")</f>
        <v/>
      </c>
      <c r="G415" s="12">
        <f>IFERROR(IF(SUMIFS(tblDaily[TransfersOut],tblDaily[EntryDate],DATE(2026,11,19),tblDaily[WardCode],"BF")=0,"",SUMIFS(tblDaily[TransfersOut],tblDaily[EntryDate],DATE(2026,11,19),tblDaily[WardCode],"BF")),"")</f>
        <v/>
      </c>
      <c r="H415" s="12">
        <f>IFERROR(IF(SUMIFS(tblDaily[Remaining],tblDaily[EntryDate],DATE(2026,11,19),tblDaily[WardCode],"BF")=0,"",SUMIFS(tblDaily[Remaining],tblDaily[EntryDate],DATE(2026,11,19),tblDaily[WardCode],"BF")),"")</f>
        <v/>
      </c>
    </row>
    <row r="416">
      <c r="A416" s="12" t="n">
        <v>20</v>
      </c>
      <c r="B416" s="12">
        <f>IFERROR(IF(SUMIFS(tblDaily[Admissions],tblDaily[EntryDate],DATE(2026,11,20),tblDaily[WardCode],"BF")=0,"",SUMIFS(tblDaily[Admissions],tblDaily[EntryDate],DATE(2026,11,20),tblDaily[WardCode],"BF")),"")</f>
        <v/>
      </c>
      <c r="C416" s="12">
        <f>IFERROR(IF(SUMIFS(tblDaily[Discharges],tblDaily[EntryDate],DATE(2026,11,20),tblDaily[WardCode],"BF")=0,"",SUMIFS(tblDaily[Discharges],tblDaily[EntryDate],DATE(2026,11,20),tblDaily[WardCode],"BF")),"")</f>
        <v/>
      </c>
      <c r="D416" s="12">
        <f>IFERROR(IF(SUMIFS(tblDaily[Deaths],tblDaily[EntryDate],DATE(2026,11,20),tblDaily[WardCode],"BF")=0,"",SUMIFS(tblDaily[Deaths],tblDaily[EntryDate],DATE(2026,11,20),tblDaily[WardCode],"BF")),"")</f>
        <v/>
      </c>
      <c r="E416" s="12">
        <f>IFERROR(IF(SUMIFS(tblDaily[DeathsUnder24Hrs],tblDaily[EntryDate],DATE(2026,11,20),tblDaily[WardCode],"BF")=0,"",SUMIFS(tblDaily[DeathsUnder24Hrs],tblDaily[EntryDate],DATE(2026,11,20),tblDaily[WardCode],"BF")),"")</f>
        <v/>
      </c>
      <c r="F416" s="12">
        <f>IFERROR(IF(SUMIFS(tblDaily[TransfersIn],tblDaily[EntryDate],DATE(2026,11,20),tblDaily[WardCode],"BF")=0,"",SUMIFS(tblDaily[TransfersIn],tblDaily[EntryDate],DATE(2026,11,20),tblDaily[WardCode],"BF")),"")</f>
        <v/>
      </c>
      <c r="G416" s="12">
        <f>IFERROR(IF(SUMIFS(tblDaily[TransfersOut],tblDaily[EntryDate],DATE(2026,11,20),tblDaily[WardCode],"BF")=0,"",SUMIFS(tblDaily[TransfersOut],tblDaily[EntryDate],DATE(2026,11,20),tblDaily[WardCode],"BF")),"")</f>
        <v/>
      </c>
      <c r="H416" s="12">
        <f>IFERROR(IF(SUMIFS(tblDaily[Remaining],tblDaily[EntryDate],DATE(2026,11,20),tblDaily[WardCode],"BF")=0,"",SUMIFS(tblDaily[Remaining],tblDaily[EntryDate],DATE(2026,11,20),tblDaily[WardCode],"BF")),"")</f>
        <v/>
      </c>
    </row>
    <row r="417">
      <c r="A417" s="12" t="n">
        <v>21</v>
      </c>
      <c r="B417" s="12">
        <f>IFERROR(IF(SUMIFS(tblDaily[Admissions],tblDaily[EntryDate],DATE(2026,11,21),tblDaily[WardCode],"BF")=0,"",SUMIFS(tblDaily[Admissions],tblDaily[EntryDate],DATE(2026,11,21),tblDaily[WardCode],"BF")),"")</f>
        <v/>
      </c>
      <c r="C417" s="12">
        <f>IFERROR(IF(SUMIFS(tblDaily[Discharges],tblDaily[EntryDate],DATE(2026,11,21),tblDaily[WardCode],"BF")=0,"",SUMIFS(tblDaily[Discharges],tblDaily[EntryDate],DATE(2026,11,21),tblDaily[WardCode],"BF")),"")</f>
        <v/>
      </c>
      <c r="D417" s="12">
        <f>IFERROR(IF(SUMIFS(tblDaily[Deaths],tblDaily[EntryDate],DATE(2026,11,21),tblDaily[WardCode],"BF")=0,"",SUMIFS(tblDaily[Deaths],tblDaily[EntryDate],DATE(2026,11,21),tblDaily[WardCode],"BF")),"")</f>
        <v/>
      </c>
      <c r="E417" s="12">
        <f>IFERROR(IF(SUMIFS(tblDaily[DeathsUnder24Hrs],tblDaily[EntryDate],DATE(2026,11,21),tblDaily[WardCode],"BF")=0,"",SUMIFS(tblDaily[DeathsUnder24Hrs],tblDaily[EntryDate],DATE(2026,11,21),tblDaily[WardCode],"BF")),"")</f>
        <v/>
      </c>
      <c r="F417" s="12">
        <f>IFERROR(IF(SUMIFS(tblDaily[TransfersIn],tblDaily[EntryDate],DATE(2026,11,21),tblDaily[WardCode],"BF")=0,"",SUMIFS(tblDaily[TransfersIn],tblDaily[EntryDate],DATE(2026,11,21),tblDaily[WardCode],"BF")),"")</f>
        <v/>
      </c>
      <c r="G417" s="12">
        <f>IFERROR(IF(SUMIFS(tblDaily[TransfersOut],tblDaily[EntryDate],DATE(2026,11,21),tblDaily[WardCode],"BF")=0,"",SUMIFS(tblDaily[TransfersOut],tblDaily[EntryDate],DATE(2026,11,21),tblDaily[WardCode],"BF")),"")</f>
        <v/>
      </c>
      <c r="H417" s="12">
        <f>IFERROR(IF(SUMIFS(tblDaily[Remaining],tblDaily[EntryDate],DATE(2026,11,21),tblDaily[WardCode],"BF")=0,"",SUMIFS(tblDaily[Remaining],tblDaily[EntryDate],DATE(2026,11,21),tblDaily[WardCode],"BF")),"")</f>
        <v/>
      </c>
    </row>
    <row r="418">
      <c r="A418" s="12" t="n">
        <v>22</v>
      </c>
      <c r="B418" s="12">
        <f>IFERROR(IF(SUMIFS(tblDaily[Admissions],tblDaily[EntryDate],DATE(2026,11,22),tblDaily[WardCode],"BF")=0,"",SUMIFS(tblDaily[Admissions],tblDaily[EntryDate],DATE(2026,11,22),tblDaily[WardCode],"BF")),"")</f>
        <v/>
      </c>
      <c r="C418" s="12">
        <f>IFERROR(IF(SUMIFS(tblDaily[Discharges],tblDaily[EntryDate],DATE(2026,11,22),tblDaily[WardCode],"BF")=0,"",SUMIFS(tblDaily[Discharges],tblDaily[EntryDate],DATE(2026,11,22),tblDaily[WardCode],"BF")),"")</f>
        <v/>
      </c>
      <c r="D418" s="12">
        <f>IFERROR(IF(SUMIFS(tblDaily[Deaths],tblDaily[EntryDate],DATE(2026,11,22),tblDaily[WardCode],"BF")=0,"",SUMIFS(tblDaily[Deaths],tblDaily[EntryDate],DATE(2026,11,22),tblDaily[WardCode],"BF")),"")</f>
        <v/>
      </c>
      <c r="E418" s="12">
        <f>IFERROR(IF(SUMIFS(tblDaily[DeathsUnder24Hrs],tblDaily[EntryDate],DATE(2026,11,22),tblDaily[WardCode],"BF")=0,"",SUMIFS(tblDaily[DeathsUnder24Hrs],tblDaily[EntryDate],DATE(2026,11,22),tblDaily[WardCode],"BF")),"")</f>
        <v/>
      </c>
      <c r="F418" s="12">
        <f>IFERROR(IF(SUMIFS(tblDaily[TransfersIn],tblDaily[EntryDate],DATE(2026,11,22),tblDaily[WardCode],"BF")=0,"",SUMIFS(tblDaily[TransfersIn],tblDaily[EntryDate],DATE(2026,11,22),tblDaily[WardCode],"BF")),"")</f>
        <v/>
      </c>
      <c r="G418" s="12">
        <f>IFERROR(IF(SUMIFS(tblDaily[TransfersOut],tblDaily[EntryDate],DATE(2026,11,22),tblDaily[WardCode],"BF")=0,"",SUMIFS(tblDaily[TransfersOut],tblDaily[EntryDate],DATE(2026,11,22),tblDaily[WardCode],"BF")),"")</f>
        <v/>
      </c>
      <c r="H418" s="12">
        <f>IFERROR(IF(SUMIFS(tblDaily[Remaining],tblDaily[EntryDate],DATE(2026,11,22),tblDaily[WardCode],"BF")=0,"",SUMIFS(tblDaily[Remaining],tblDaily[EntryDate],DATE(2026,11,22),tblDaily[WardCode],"BF")),"")</f>
        <v/>
      </c>
    </row>
    <row r="419">
      <c r="A419" s="12" t="n">
        <v>23</v>
      </c>
      <c r="B419" s="12">
        <f>IFERROR(IF(SUMIFS(tblDaily[Admissions],tblDaily[EntryDate],DATE(2026,11,23),tblDaily[WardCode],"BF")=0,"",SUMIFS(tblDaily[Admissions],tblDaily[EntryDate],DATE(2026,11,23),tblDaily[WardCode],"BF")),"")</f>
        <v/>
      </c>
      <c r="C419" s="12">
        <f>IFERROR(IF(SUMIFS(tblDaily[Discharges],tblDaily[EntryDate],DATE(2026,11,23),tblDaily[WardCode],"BF")=0,"",SUMIFS(tblDaily[Discharges],tblDaily[EntryDate],DATE(2026,11,23),tblDaily[WardCode],"BF")),"")</f>
        <v/>
      </c>
      <c r="D419" s="12">
        <f>IFERROR(IF(SUMIFS(tblDaily[Deaths],tblDaily[EntryDate],DATE(2026,11,23),tblDaily[WardCode],"BF")=0,"",SUMIFS(tblDaily[Deaths],tblDaily[EntryDate],DATE(2026,11,23),tblDaily[WardCode],"BF")),"")</f>
        <v/>
      </c>
      <c r="E419" s="12">
        <f>IFERROR(IF(SUMIFS(tblDaily[DeathsUnder24Hrs],tblDaily[EntryDate],DATE(2026,11,23),tblDaily[WardCode],"BF")=0,"",SUMIFS(tblDaily[DeathsUnder24Hrs],tblDaily[EntryDate],DATE(2026,11,23),tblDaily[WardCode],"BF")),"")</f>
        <v/>
      </c>
      <c r="F419" s="12">
        <f>IFERROR(IF(SUMIFS(tblDaily[TransfersIn],tblDaily[EntryDate],DATE(2026,11,23),tblDaily[WardCode],"BF")=0,"",SUMIFS(tblDaily[TransfersIn],tblDaily[EntryDate],DATE(2026,11,23),tblDaily[WardCode],"BF")),"")</f>
        <v/>
      </c>
      <c r="G419" s="12">
        <f>IFERROR(IF(SUMIFS(tblDaily[TransfersOut],tblDaily[EntryDate],DATE(2026,11,23),tblDaily[WardCode],"BF")=0,"",SUMIFS(tblDaily[TransfersOut],tblDaily[EntryDate],DATE(2026,11,23),tblDaily[WardCode],"BF")),"")</f>
        <v/>
      </c>
      <c r="H419" s="12">
        <f>IFERROR(IF(SUMIFS(tblDaily[Remaining],tblDaily[EntryDate],DATE(2026,11,23),tblDaily[WardCode],"BF")=0,"",SUMIFS(tblDaily[Remaining],tblDaily[EntryDate],DATE(2026,11,23),tblDaily[WardCode],"BF")),"")</f>
        <v/>
      </c>
    </row>
    <row r="420">
      <c r="A420" s="12" t="n">
        <v>24</v>
      </c>
      <c r="B420" s="12">
        <f>IFERROR(IF(SUMIFS(tblDaily[Admissions],tblDaily[EntryDate],DATE(2026,11,24),tblDaily[WardCode],"BF")=0,"",SUMIFS(tblDaily[Admissions],tblDaily[EntryDate],DATE(2026,11,24),tblDaily[WardCode],"BF")),"")</f>
        <v/>
      </c>
      <c r="C420" s="12">
        <f>IFERROR(IF(SUMIFS(tblDaily[Discharges],tblDaily[EntryDate],DATE(2026,11,24),tblDaily[WardCode],"BF")=0,"",SUMIFS(tblDaily[Discharges],tblDaily[EntryDate],DATE(2026,11,24),tblDaily[WardCode],"BF")),"")</f>
        <v/>
      </c>
      <c r="D420" s="12">
        <f>IFERROR(IF(SUMIFS(tblDaily[Deaths],tblDaily[EntryDate],DATE(2026,11,24),tblDaily[WardCode],"BF")=0,"",SUMIFS(tblDaily[Deaths],tblDaily[EntryDate],DATE(2026,11,24),tblDaily[WardCode],"BF")),"")</f>
        <v/>
      </c>
      <c r="E420" s="12">
        <f>IFERROR(IF(SUMIFS(tblDaily[DeathsUnder24Hrs],tblDaily[EntryDate],DATE(2026,11,24),tblDaily[WardCode],"BF")=0,"",SUMIFS(tblDaily[DeathsUnder24Hrs],tblDaily[EntryDate],DATE(2026,11,24),tblDaily[WardCode],"BF")),"")</f>
        <v/>
      </c>
      <c r="F420" s="12">
        <f>IFERROR(IF(SUMIFS(tblDaily[TransfersIn],tblDaily[EntryDate],DATE(2026,11,24),tblDaily[WardCode],"BF")=0,"",SUMIFS(tblDaily[TransfersIn],tblDaily[EntryDate],DATE(2026,11,24),tblDaily[WardCode],"BF")),"")</f>
        <v/>
      </c>
      <c r="G420" s="12">
        <f>IFERROR(IF(SUMIFS(tblDaily[TransfersOut],tblDaily[EntryDate],DATE(2026,11,24),tblDaily[WardCode],"BF")=0,"",SUMIFS(tblDaily[TransfersOut],tblDaily[EntryDate],DATE(2026,11,24),tblDaily[WardCode],"BF")),"")</f>
        <v/>
      </c>
      <c r="H420" s="12">
        <f>IFERROR(IF(SUMIFS(tblDaily[Remaining],tblDaily[EntryDate],DATE(2026,11,24),tblDaily[WardCode],"BF")=0,"",SUMIFS(tblDaily[Remaining],tblDaily[EntryDate],DATE(2026,11,24),tblDaily[WardCode],"BF")),"")</f>
        <v/>
      </c>
    </row>
    <row r="421">
      <c r="A421" s="12" t="n">
        <v>25</v>
      </c>
      <c r="B421" s="12">
        <f>IFERROR(IF(SUMIFS(tblDaily[Admissions],tblDaily[EntryDate],DATE(2026,11,25),tblDaily[WardCode],"BF")=0,"",SUMIFS(tblDaily[Admissions],tblDaily[EntryDate],DATE(2026,11,25),tblDaily[WardCode],"BF")),"")</f>
        <v/>
      </c>
      <c r="C421" s="12">
        <f>IFERROR(IF(SUMIFS(tblDaily[Discharges],tblDaily[EntryDate],DATE(2026,11,25),tblDaily[WardCode],"BF")=0,"",SUMIFS(tblDaily[Discharges],tblDaily[EntryDate],DATE(2026,11,25),tblDaily[WardCode],"BF")),"")</f>
        <v/>
      </c>
      <c r="D421" s="12">
        <f>IFERROR(IF(SUMIFS(tblDaily[Deaths],tblDaily[EntryDate],DATE(2026,11,25),tblDaily[WardCode],"BF")=0,"",SUMIFS(tblDaily[Deaths],tblDaily[EntryDate],DATE(2026,11,25),tblDaily[WardCode],"BF")),"")</f>
        <v/>
      </c>
      <c r="E421" s="12">
        <f>IFERROR(IF(SUMIFS(tblDaily[DeathsUnder24Hrs],tblDaily[EntryDate],DATE(2026,11,25),tblDaily[WardCode],"BF")=0,"",SUMIFS(tblDaily[DeathsUnder24Hrs],tblDaily[EntryDate],DATE(2026,11,25),tblDaily[WardCode],"BF")),"")</f>
        <v/>
      </c>
      <c r="F421" s="12">
        <f>IFERROR(IF(SUMIFS(tblDaily[TransfersIn],tblDaily[EntryDate],DATE(2026,11,25),tblDaily[WardCode],"BF")=0,"",SUMIFS(tblDaily[TransfersIn],tblDaily[EntryDate],DATE(2026,11,25),tblDaily[WardCode],"BF")),"")</f>
        <v/>
      </c>
      <c r="G421" s="12">
        <f>IFERROR(IF(SUMIFS(tblDaily[TransfersOut],tblDaily[EntryDate],DATE(2026,11,25),tblDaily[WardCode],"BF")=0,"",SUMIFS(tblDaily[TransfersOut],tblDaily[EntryDate],DATE(2026,11,25),tblDaily[WardCode],"BF")),"")</f>
        <v/>
      </c>
      <c r="H421" s="12">
        <f>IFERROR(IF(SUMIFS(tblDaily[Remaining],tblDaily[EntryDate],DATE(2026,11,25),tblDaily[WardCode],"BF")=0,"",SUMIFS(tblDaily[Remaining],tblDaily[EntryDate],DATE(2026,11,25),tblDaily[WardCode],"BF")),"")</f>
        <v/>
      </c>
    </row>
    <row r="422">
      <c r="A422" s="12" t="n">
        <v>26</v>
      </c>
      <c r="B422" s="12">
        <f>IFERROR(IF(SUMIFS(tblDaily[Admissions],tblDaily[EntryDate],DATE(2026,11,26),tblDaily[WardCode],"BF")=0,"",SUMIFS(tblDaily[Admissions],tblDaily[EntryDate],DATE(2026,11,26),tblDaily[WardCode],"BF")),"")</f>
        <v/>
      </c>
      <c r="C422" s="12">
        <f>IFERROR(IF(SUMIFS(tblDaily[Discharges],tblDaily[EntryDate],DATE(2026,11,26),tblDaily[WardCode],"BF")=0,"",SUMIFS(tblDaily[Discharges],tblDaily[EntryDate],DATE(2026,11,26),tblDaily[WardCode],"BF")),"")</f>
        <v/>
      </c>
      <c r="D422" s="12">
        <f>IFERROR(IF(SUMIFS(tblDaily[Deaths],tblDaily[EntryDate],DATE(2026,11,26),tblDaily[WardCode],"BF")=0,"",SUMIFS(tblDaily[Deaths],tblDaily[EntryDate],DATE(2026,11,26),tblDaily[WardCode],"BF")),"")</f>
        <v/>
      </c>
      <c r="E422" s="12">
        <f>IFERROR(IF(SUMIFS(tblDaily[DeathsUnder24Hrs],tblDaily[EntryDate],DATE(2026,11,26),tblDaily[WardCode],"BF")=0,"",SUMIFS(tblDaily[DeathsUnder24Hrs],tblDaily[EntryDate],DATE(2026,11,26),tblDaily[WardCode],"BF")),"")</f>
        <v/>
      </c>
      <c r="F422" s="12">
        <f>IFERROR(IF(SUMIFS(tblDaily[TransfersIn],tblDaily[EntryDate],DATE(2026,11,26),tblDaily[WardCode],"BF")=0,"",SUMIFS(tblDaily[TransfersIn],tblDaily[EntryDate],DATE(2026,11,26),tblDaily[WardCode],"BF")),"")</f>
        <v/>
      </c>
      <c r="G422" s="12">
        <f>IFERROR(IF(SUMIFS(tblDaily[TransfersOut],tblDaily[EntryDate],DATE(2026,11,26),tblDaily[WardCode],"BF")=0,"",SUMIFS(tblDaily[TransfersOut],tblDaily[EntryDate],DATE(2026,11,26),tblDaily[WardCode],"BF")),"")</f>
        <v/>
      </c>
      <c r="H422" s="12">
        <f>IFERROR(IF(SUMIFS(tblDaily[Remaining],tblDaily[EntryDate],DATE(2026,11,26),tblDaily[WardCode],"BF")=0,"",SUMIFS(tblDaily[Remaining],tblDaily[EntryDate],DATE(2026,11,26),tblDaily[WardCode],"BF")),"")</f>
        <v/>
      </c>
    </row>
    <row r="423">
      <c r="A423" s="12" t="n">
        <v>27</v>
      </c>
      <c r="B423" s="12">
        <f>IFERROR(IF(SUMIFS(tblDaily[Admissions],tblDaily[EntryDate],DATE(2026,11,27),tblDaily[WardCode],"BF")=0,"",SUMIFS(tblDaily[Admissions],tblDaily[EntryDate],DATE(2026,11,27),tblDaily[WardCode],"BF")),"")</f>
        <v/>
      </c>
      <c r="C423" s="12">
        <f>IFERROR(IF(SUMIFS(tblDaily[Discharges],tblDaily[EntryDate],DATE(2026,11,27),tblDaily[WardCode],"BF")=0,"",SUMIFS(tblDaily[Discharges],tblDaily[EntryDate],DATE(2026,11,27),tblDaily[WardCode],"BF")),"")</f>
        <v/>
      </c>
      <c r="D423" s="12">
        <f>IFERROR(IF(SUMIFS(tblDaily[Deaths],tblDaily[EntryDate],DATE(2026,11,27),tblDaily[WardCode],"BF")=0,"",SUMIFS(tblDaily[Deaths],tblDaily[EntryDate],DATE(2026,11,27),tblDaily[WardCode],"BF")),"")</f>
        <v/>
      </c>
      <c r="E423" s="12">
        <f>IFERROR(IF(SUMIFS(tblDaily[DeathsUnder24Hrs],tblDaily[EntryDate],DATE(2026,11,27),tblDaily[WardCode],"BF")=0,"",SUMIFS(tblDaily[DeathsUnder24Hrs],tblDaily[EntryDate],DATE(2026,11,27),tblDaily[WardCode],"BF")),"")</f>
        <v/>
      </c>
      <c r="F423" s="12">
        <f>IFERROR(IF(SUMIFS(tblDaily[TransfersIn],tblDaily[EntryDate],DATE(2026,11,27),tblDaily[WardCode],"BF")=0,"",SUMIFS(tblDaily[TransfersIn],tblDaily[EntryDate],DATE(2026,11,27),tblDaily[WardCode],"BF")),"")</f>
        <v/>
      </c>
      <c r="G423" s="12">
        <f>IFERROR(IF(SUMIFS(tblDaily[TransfersOut],tblDaily[EntryDate],DATE(2026,11,27),tblDaily[WardCode],"BF")=0,"",SUMIFS(tblDaily[TransfersOut],tblDaily[EntryDate],DATE(2026,11,27),tblDaily[WardCode],"BF")),"")</f>
        <v/>
      </c>
      <c r="H423" s="12">
        <f>IFERROR(IF(SUMIFS(tblDaily[Remaining],tblDaily[EntryDate],DATE(2026,11,27),tblDaily[WardCode],"BF")=0,"",SUMIFS(tblDaily[Remaining],tblDaily[EntryDate],DATE(2026,11,27),tblDaily[WardCode],"BF")),"")</f>
        <v/>
      </c>
    </row>
    <row r="424">
      <c r="A424" s="12" t="n">
        <v>28</v>
      </c>
      <c r="B424" s="12">
        <f>IFERROR(IF(SUMIFS(tblDaily[Admissions],tblDaily[EntryDate],DATE(2026,11,28),tblDaily[WardCode],"BF")=0,"",SUMIFS(tblDaily[Admissions],tblDaily[EntryDate],DATE(2026,11,28),tblDaily[WardCode],"BF")),"")</f>
        <v/>
      </c>
      <c r="C424" s="12">
        <f>IFERROR(IF(SUMIFS(tblDaily[Discharges],tblDaily[EntryDate],DATE(2026,11,28),tblDaily[WardCode],"BF")=0,"",SUMIFS(tblDaily[Discharges],tblDaily[EntryDate],DATE(2026,11,28),tblDaily[WardCode],"BF")),"")</f>
        <v/>
      </c>
      <c r="D424" s="12">
        <f>IFERROR(IF(SUMIFS(tblDaily[Deaths],tblDaily[EntryDate],DATE(2026,11,28),tblDaily[WardCode],"BF")=0,"",SUMIFS(tblDaily[Deaths],tblDaily[EntryDate],DATE(2026,11,28),tblDaily[WardCode],"BF")),"")</f>
        <v/>
      </c>
      <c r="E424" s="12">
        <f>IFERROR(IF(SUMIFS(tblDaily[DeathsUnder24Hrs],tblDaily[EntryDate],DATE(2026,11,28),tblDaily[WardCode],"BF")=0,"",SUMIFS(tblDaily[DeathsUnder24Hrs],tblDaily[EntryDate],DATE(2026,11,28),tblDaily[WardCode],"BF")),"")</f>
        <v/>
      </c>
      <c r="F424" s="12">
        <f>IFERROR(IF(SUMIFS(tblDaily[TransfersIn],tblDaily[EntryDate],DATE(2026,11,28),tblDaily[WardCode],"BF")=0,"",SUMIFS(tblDaily[TransfersIn],tblDaily[EntryDate],DATE(2026,11,28),tblDaily[WardCode],"BF")),"")</f>
        <v/>
      </c>
      <c r="G424" s="12">
        <f>IFERROR(IF(SUMIFS(tblDaily[TransfersOut],tblDaily[EntryDate],DATE(2026,11,28),tblDaily[WardCode],"BF")=0,"",SUMIFS(tblDaily[TransfersOut],tblDaily[EntryDate],DATE(2026,11,28),tblDaily[WardCode],"BF")),"")</f>
        <v/>
      </c>
      <c r="H424" s="12">
        <f>IFERROR(IF(SUMIFS(tblDaily[Remaining],tblDaily[EntryDate],DATE(2026,11,28),tblDaily[WardCode],"BF")=0,"",SUMIFS(tblDaily[Remaining],tblDaily[EntryDate],DATE(2026,11,28),tblDaily[WardCode],"BF")),"")</f>
        <v/>
      </c>
    </row>
    <row r="425">
      <c r="A425" s="12" t="n">
        <v>29</v>
      </c>
      <c r="B425" s="12">
        <f>IFERROR(IF(SUMIFS(tblDaily[Admissions],tblDaily[EntryDate],DATE(2026,11,29),tblDaily[WardCode],"BF")=0,"",SUMIFS(tblDaily[Admissions],tblDaily[EntryDate],DATE(2026,11,29),tblDaily[WardCode],"BF")),"")</f>
        <v/>
      </c>
      <c r="C425" s="12">
        <f>IFERROR(IF(SUMIFS(tblDaily[Discharges],tblDaily[EntryDate],DATE(2026,11,29),tblDaily[WardCode],"BF")=0,"",SUMIFS(tblDaily[Discharges],tblDaily[EntryDate],DATE(2026,11,29),tblDaily[WardCode],"BF")),"")</f>
        <v/>
      </c>
      <c r="D425" s="12">
        <f>IFERROR(IF(SUMIFS(tblDaily[Deaths],tblDaily[EntryDate],DATE(2026,11,29),tblDaily[WardCode],"BF")=0,"",SUMIFS(tblDaily[Deaths],tblDaily[EntryDate],DATE(2026,11,29),tblDaily[WardCode],"BF")),"")</f>
        <v/>
      </c>
      <c r="E425" s="12">
        <f>IFERROR(IF(SUMIFS(tblDaily[DeathsUnder24Hrs],tblDaily[EntryDate],DATE(2026,11,29),tblDaily[WardCode],"BF")=0,"",SUMIFS(tblDaily[DeathsUnder24Hrs],tblDaily[EntryDate],DATE(2026,11,29),tblDaily[WardCode],"BF")),"")</f>
        <v/>
      </c>
      <c r="F425" s="12">
        <f>IFERROR(IF(SUMIFS(tblDaily[TransfersIn],tblDaily[EntryDate],DATE(2026,11,29),tblDaily[WardCode],"BF")=0,"",SUMIFS(tblDaily[TransfersIn],tblDaily[EntryDate],DATE(2026,11,29),tblDaily[WardCode],"BF")),"")</f>
        <v/>
      </c>
      <c r="G425" s="12">
        <f>IFERROR(IF(SUMIFS(tblDaily[TransfersOut],tblDaily[EntryDate],DATE(2026,11,29),tblDaily[WardCode],"BF")=0,"",SUMIFS(tblDaily[TransfersOut],tblDaily[EntryDate],DATE(2026,11,29),tblDaily[WardCode],"BF")),"")</f>
        <v/>
      </c>
      <c r="H425" s="12">
        <f>IFERROR(IF(SUMIFS(tblDaily[Remaining],tblDaily[EntryDate],DATE(2026,11,29),tblDaily[WardCode],"BF")=0,"",SUMIFS(tblDaily[Remaining],tblDaily[EntryDate],DATE(2026,11,29),tblDaily[WardCode],"BF")),"")</f>
        <v/>
      </c>
    </row>
    <row r="426">
      <c r="A426" s="12" t="n">
        <v>30</v>
      </c>
      <c r="B426" s="12">
        <f>IFERROR(IF(SUMIFS(tblDaily[Admissions],tblDaily[EntryDate],DATE(2026,11,30),tblDaily[WardCode],"BF")=0,"",SUMIFS(tblDaily[Admissions],tblDaily[EntryDate],DATE(2026,11,30),tblDaily[WardCode],"BF")),"")</f>
        <v/>
      </c>
      <c r="C426" s="12">
        <f>IFERROR(IF(SUMIFS(tblDaily[Discharges],tblDaily[EntryDate],DATE(2026,11,30),tblDaily[WardCode],"BF")=0,"",SUMIFS(tblDaily[Discharges],tblDaily[EntryDate],DATE(2026,11,30),tblDaily[WardCode],"BF")),"")</f>
        <v/>
      </c>
      <c r="D426" s="12">
        <f>IFERROR(IF(SUMIFS(tblDaily[Deaths],tblDaily[EntryDate],DATE(2026,11,30),tblDaily[WardCode],"BF")=0,"",SUMIFS(tblDaily[Deaths],tblDaily[EntryDate],DATE(2026,11,30),tblDaily[WardCode],"BF")),"")</f>
        <v/>
      </c>
      <c r="E426" s="12">
        <f>IFERROR(IF(SUMIFS(tblDaily[DeathsUnder24Hrs],tblDaily[EntryDate],DATE(2026,11,30),tblDaily[WardCode],"BF")=0,"",SUMIFS(tblDaily[DeathsUnder24Hrs],tblDaily[EntryDate],DATE(2026,11,30),tblDaily[WardCode],"BF")),"")</f>
        <v/>
      </c>
      <c r="F426" s="12">
        <f>IFERROR(IF(SUMIFS(tblDaily[TransfersIn],tblDaily[EntryDate],DATE(2026,11,30),tblDaily[WardCode],"BF")=0,"",SUMIFS(tblDaily[TransfersIn],tblDaily[EntryDate],DATE(2026,11,30),tblDaily[WardCode],"BF")),"")</f>
        <v/>
      </c>
      <c r="G426" s="12">
        <f>IFERROR(IF(SUMIFS(tblDaily[TransfersOut],tblDaily[EntryDate],DATE(2026,11,30),tblDaily[WardCode],"BF")=0,"",SUMIFS(tblDaily[TransfersOut],tblDaily[EntryDate],DATE(2026,11,30),tblDaily[WardCode],"BF")),"")</f>
        <v/>
      </c>
      <c r="H426" s="12">
        <f>IFERROR(IF(SUMIFS(tblDaily[Remaining],tblDaily[EntryDate],DATE(2026,11,30),tblDaily[WardCode],"BF")=0,"",SUMIFS(tblDaily[Remaining],tblDaily[EntryDate],DATE(2026,11,30),tblDaily[WardCode],"BF")),"")</f>
        <v/>
      </c>
    </row>
    <row r="427">
      <c r="A427" s="12" t="n">
        <v>31</v>
      </c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7" t="inlineStr">
        <is>
          <t>TOTAL</t>
        </is>
      </c>
      <c r="B428" s="17">
        <f>SUMIFS(tblDaily[Admissions],tblDaily[Month],11,tblDaily[WardCode],"BF") - SUMIFS(tblDaily[DeathsUnder24Hrs],tblDaily[Month],11,tblDaily[WardCode],"BF")</f>
        <v/>
      </c>
      <c r="C428" s="17">
        <f>SUMIFS(tblDaily[Discharges],tblDaily[Month],11,tblDaily[WardCode],"BF")</f>
        <v/>
      </c>
      <c r="D428" s="17">
        <f>SUMIFS(tblDaily[Deaths],tblDaily[Month],11,tblDaily[WardCode],"BF")</f>
        <v/>
      </c>
      <c r="E428" s="17">
        <f>SUMIFS(tblDaily[DeathsUnder24Hrs],tblDaily[Month],11,tblDaily[WardCode],"BF")</f>
        <v/>
      </c>
      <c r="F428" s="17">
        <f>SUMIFS(tblDaily[TransfersIn],tblDaily[Month],11,tblDaily[WardCode],"BF")</f>
        <v/>
      </c>
      <c r="G428" s="17">
        <f>SUMIFS(tblDaily[TransfersOut],tblDaily[Month],11,tblDaily[WardCode],"BF")</f>
        <v/>
      </c>
      <c r="H428" s="17">
        <f>SUMIFS(tblDaily[Remaining],tblDaily[Month],11,tblDaily[WardCode],"BF")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BLOCK F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4">
        <f>IFERROR(SUMIFS(tblDaily[Remaining],tblDaily[EntryDate],DATE(2026,11,30),tblDaily[WardCode],"BF"),0)</f>
        <v/>
      </c>
    </row>
    <row r="434">
      <c r="A434" s="4" t="inlineStr">
        <is>
          <t>Bed complement</t>
        </is>
      </c>
      <c r="H434" s="15">
        <f>IFERROR(INDEX(tblWardConfig[BedComplement],MATCH("BF",tblWardConfig[WardCode],0)),0)</f>
        <v/>
      </c>
    </row>
    <row r="435">
      <c r="A435" s="16" t="inlineStr">
        <is>
          <t>Day of
the
Month</t>
        </is>
      </c>
      <c r="B435" s="16" t="inlineStr">
        <is>
          <t>Admissions</t>
        </is>
      </c>
      <c r="C435" s="16" t="inlineStr">
        <is>
          <t>Discharges</t>
        </is>
      </c>
      <c r="D435" s="16" t="inlineStr">
        <is>
          <t>Deaths</t>
        </is>
      </c>
      <c r="E435" s="16" t="inlineStr">
        <is>
          <t>Deaths
&lt;24Hrs</t>
        </is>
      </c>
      <c r="F435" s="16" t="inlineStr">
        <is>
          <t>Transfers-
In</t>
        </is>
      </c>
      <c r="G435" s="16" t="inlineStr">
        <is>
          <t>Transfers-
Out</t>
        </is>
      </c>
      <c r="H435" s="16" t="inlineStr">
        <is>
          <t>No. of Patients
Remaining In
Ward</t>
        </is>
      </c>
    </row>
    <row r="436">
      <c r="A436" s="12" t="n">
        <v>1</v>
      </c>
      <c r="B436" s="12">
        <f>IFERROR(IF(SUMIFS(tblDaily[Admissions],tblDaily[EntryDate],DATE(2026,12,1),tblDaily[WardCode],"BF")=0,"",SUMIFS(tblDaily[Admissions],tblDaily[EntryDate],DATE(2026,12,1),tblDaily[WardCode],"BF")),"")</f>
        <v/>
      </c>
      <c r="C436" s="12">
        <f>IFERROR(IF(SUMIFS(tblDaily[Discharges],tblDaily[EntryDate],DATE(2026,12,1),tblDaily[WardCode],"BF")=0,"",SUMIFS(tblDaily[Discharges],tblDaily[EntryDate],DATE(2026,12,1),tblDaily[WardCode],"BF")),"")</f>
        <v/>
      </c>
      <c r="D436" s="12">
        <f>IFERROR(IF(SUMIFS(tblDaily[Deaths],tblDaily[EntryDate],DATE(2026,12,1),tblDaily[WardCode],"BF")=0,"",SUMIFS(tblDaily[Deaths],tblDaily[EntryDate],DATE(2026,12,1),tblDaily[WardCode],"BF")),"")</f>
        <v/>
      </c>
      <c r="E436" s="12">
        <f>IFERROR(IF(SUMIFS(tblDaily[DeathsUnder24Hrs],tblDaily[EntryDate],DATE(2026,12,1),tblDaily[WardCode],"BF")=0,"",SUMIFS(tblDaily[DeathsUnder24Hrs],tblDaily[EntryDate],DATE(2026,12,1),tblDaily[WardCode],"BF")),"")</f>
        <v/>
      </c>
      <c r="F436" s="12">
        <f>IFERROR(IF(SUMIFS(tblDaily[TransfersIn],tblDaily[EntryDate],DATE(2026,12,1),tblDaily[WardCode],"BF")=0,"",SUMIFS(tblDaily[TransfersIn],tblDaily[EntryDate],DATE(2026,12,1),tblDaily[WardCode],"BF")),"")</f>
        <v/>
      </c>
      <c r="G436" s="12">
        <f>IFERROR(IF(SUMIFS(tblDaily[TransfersOut],tblDaily[EntryDate],DATE(2026,12,1),tblDaily[WardCode],"BF")=0,"",SUMIFS(tblDaily[TransfersOut],tblDaily[EntryDate],DATE(2026,12,1),tblDaily[WardCode],"BF")),"")</f>
        <v/>
      </c>
      <c r="H436" s="12">
        <f>IFERROR(IF(SUMIFS(tblDaily[Remaining],tblDaily[EntryDate],DATE(2026,12,1),tblDaily[WardCode],"BF")=0,"",SUMIFS(tblDaily[Remaining],tblDaily[EntryDate],DATE(2026,12,1),tblDaily[WardCode],"BF")),"")</f>
        <v/>
      </c>
    </row>
    <row r="437">
      <c r="A437" s="12" t="n">
        <v>2</v>
      </c>
      <c r="B437" s="12">
        <f>IFERROR(IF(SUMIFS(tblDaily[Admissions],tblDaily[EntryDate],DATE(2026,12,2),tblDaily[WardCode],"BF")=0,"",SUMIFS(tblDaily[Admissions],tblDaily[EntryDate],DATE(2026,12,2),tblDaily[WardCode],"BF")),"")</f>
        <v/>
      </c>
      <c r="C437" s="12">
        <f>IFERROR(IF(SUMIFS(tblDaily[Discharges],tblDaily[EntryDate],DATE(2026,12,2),tblDaily[WardCode],"BF")=0,"",SUMIFS(tblDaily[Discharges],tblDaily[EntryDate],DATE(2026,12,2),tblDaily[WardCode],"BF")),"")</f>
        <v/>
      </c>
      <c r="D437" s="12">
        <f>IFERROR(IF(SUMIFS(tblDaily[Deaths],tblDaily[EntryDate],DATE(2026,12,2),tblDaily[WardCode],"BF")=0,"",SUMIFS(tblDaily[Deaths],tblDaily[EntryDate],DATE(2026,12,2),tblDaily[WardCode],"BF")),"")</f>
        <v/>
      </c>
      <c r="E437" s="12">
        <f>IFERROR(IF(SUMIFS(tblDaily[DeathsUnder24Hrs],tblDaily[EntryDate],DATE(2026,12,2),tblDaily[WardCode],"BF")=0,"",SUMIFS(tblDaily[DeathsUnder24Hrs],tblDaily[EntryDate],DATE(2026,12,2),tblDaily[WardCode],"BF")),"")</f>
        <v/>
      </c>
      <c r="F437" s="12">
        <f>IFERROR(IF(SUMIFS(tblDaily[TransfersIn],tblDaily[EntryDate],DATE(2026,12,2),tblDaily[WardCode],"BF")=0,"",SUMIFS(tblDaily[TransfersIn],tblDaily[EntryDate],DATE(2026,12,2),tblDaily[WardCode],"BF")),"")</f>
        <v/>
      </c>
      <c r="G437" s="12">
        <f>IFERROR(IF(SUMIFS(tblDaily[TransfersOut],tblDaily[EntryDate],DATE(2026,12,2),tblDaily[WardCode],"BF")=0,"",SUMIFS(tblDaily[TransfersOut],tblDaily[EntryDate],DATE(2026,12,2),tblDaily[WardCode],"BF")),"")</f>
        <v/>
      </c>
      <c r="H437" s="12">
        <f>IFERROR(IF(SUMIFS(tblDaily[Remaining],tblDaily[EntryDate],DATE(2026,12,2),tblDaily[WardCode],"BF")=0,"",SUMIFS(tblDaily[Remaining],tblDaily[EntryDate],DATE(2026,12,2),tblDaily[WardCode],"BF")),"")</f>
        <v/>
      </c>
    </row>
    <row r="438">
      <c r="A438" s="12" t="n">
        <v>3</v>
      </c>
      <c r="B438" s="12">
        <f>IFERROR(IF(SUMIFS(tblDaily[Admissions],tblDaily[EntryDate],DATE(2026,12,3),tblDaily[WardCode],"BF")=0,"",SUMIFS(tblDaily[Admissions],tblDaily[EntryDate],DATE(2026,12,3),tblDaily[WardCode],"BF")),"")</f>
        <v/>
      </c>
      <c r="C438" s="12">
        <f>IFERROR(IF(SUMIFS(tblDaily[Discharges],tblDaily[EntryDate],DATE(2026,12,3),tblDaily[WardCode],"BF")=0,"",SUMIFS(tblDaily[Discharges],tblDaily[EntryDate],DATE(2026,12,3),tblDaily[WardCode],"BF")),"")</f>
        <v/>
      </c>
      <c r="D438" s="12">
        <f>IFERROR(IF(SUMIFS(tblDaily[Deaths],tblDaily[EntryDate],DATE(2026,12,3),tblDaily[WardCode],"BF")=0,"",SUMIFS(tblDaily[Deaths],tblDaily[EntryDate],DATE(2026,12,3),tblDaily[WardCode],"BF")),"")</f>
        <v/>
      </c>
      <c r="E438" s="12">
        <f>IFERROR(IF(SUMIFS(tblDaily[DeathsUnder24Hrs],tblDaily[EntryDate],DATE(2026,12,3),tblDaily[WardCode],"BF")=0,"",SUMIFS(tblDaily[DeathsUnder24Hrs],tblDaily[EntryDate],DATE(2026,12,3),tblDaily[WardCode],"BF")),"")</f>
        <v/>
      </c>
      <c r="F438" s="12">
        <f>IFERROR(IF(SUMIFS(tblDaily[TransfersIn],tblDaily[EntryDate],DATE(2026,12,3),tblDaily[WardCode],"BF")=0,"",SUMIFS(tblDaily[TransfersIn],tblDaily[EntryDate],DATE(2026,12,3),tblDaily[WardCode],"BF")),"")</f>
        <v/>
      </c>
      <c r="G438" s="12">
        <f>IFERROR(IF(SUMIFS(tblDaily[TransfersOut],tblDaily[EntryDate],DATE(2026,12,3),tblDaily[WardCode],"BF")=0,"",SUMIFS(tblDaily[TransfersOut],tblDaily[EntryDate],DATE(2026,12,3),tblDaily[WardCode],"BF")),"")</f>
        <v/>
      </c>
      <c r="H438" s="12">
        <f>IFERROR(IF(SUMIFS(tblDaily[Remaining],tblDaily[EntryDate],DATE(2026,12,3),tblDaily[WardCode],"BF")=0,"",SUMIFS(tblDaily[Remaining],tblDaily[EntryDate],DATE(2026,12,3),tblDaily[WardCode],"BF")),"")</f>
        <v/>
      </c>
    </row>
    <row r="439">
      <c r="A439" s="12" t="n">
        <v>4</v>
      </c>
      <c r="B439" s="12">
        <f>IFERROR(IF(SUMIFS(tblDaily[Admissions],tblDaily[EntryDate],DATE(2026,12,4),tblDaily[WardCode],"BF")=0,"",SUMIFS(tblDaily[Admissions],tblDaily[EntryDate],DATE(2026,12,4),tblDaily[WardCode],"BF")),"")</f>
        <v/>
      </c>
      <c r="C439" s="12">
        <f>IFERROR(IF(SUMIFS(tblDaily[Discharges],tblDaily[EntryDate],DATE(2026,12,4),tblDaily[WardCode],"BF")=0,"",SUMIFS(tblDaily[Discharges],tblDaily[EntryDate],DATE(2026,12,4),tblDaily[WardCode],"BF")),"")</f>
        <v/>
      </c>
      <c r="D439" s="12">
        <f>IFERROR(IF(SUMIFS(tblDaily[Deaths],tblDaily[EntryDate],DATE(2026,12,4),tblDaily[WardCode],"BF")=0,"",SUMIFS(tblDaily[Deaths],tblDaily[EntryDate],DATE(2026,12,4),tblDaily[WardCode],"BF")),"")</f>
        <v/>
      </c>
      <c r="E439" s="12">
        <f>IFERROR(IF(SUMIFS(tblDaily[DeathsUnder24Hrs],tblDaily[EntryDate],DATE(2026,12,4),tblDaily[WardCode],"BF")=0,"",SUMIFS(tblDaily[DeathsUnder24Hrs],tblDaily[EntryDate],DATE(2026,12,4),tblDaily[WardCode],"BF")),"")</f>
        <v/>
      </c>
      <c r="F439" s="12">
        <f>IFERROR(IF(SUMIFS(tblDaily[TransfersIn],tblDaily[EntryDate],DATE(2026,12,4),tblDaily[WardCode],"BF")=0,"",SUMIFS(tblDaily[TransfersIn],tblDaily[EntryDate],DATE(2026,12,4),tblDaily[WardCode],"BF")),"")</f>
        <v/>
      </c>
      <c r="G439" s="12">
        <f>IFERROR(IF(SUMIFS(tblDaily[TransfersOut],tblDaily[EntryDate],DATE(2026,12,4),tblDaily[WardCode],"BF")=0,"",SUMIFS(tblDaily[TransfersOut],tblDaily[EntryDate],DATE(2026,12,4),tblDaily[WardCode],"BF")),"")</f>
        <v/>
      </c>
      <c r="H439" s="12">
        <f>IFERROR(IF(SUMIFS(tblDaily[Remaining],tblDaily[EntryDate],DATE(2026,12,4),tblDaily[WardCode],"BF")=0,"",SUMIFS(tblDaily[Remaining],tblDaily[EntryDate],DATE(2026,12,4),tblDaily[WardCode],"BF")),"")</f>
        <v/>
      </c>
    </row>
    <row r="440">
      <c r="A440" s="12" t="n">
        <v>5</v>
      </c>
      <c r="B440" s="12">
        <f>IFERROR(IF(SUMIFS(tblDaily[Admissions],tblDaily[EntryDate],DATE(2026,12,5),tblDaily[WardCode],"BF")=0,"",SUMIFS(tblDaily[Admissions],tblDaily[EntryDate],DATE(2026,12,5),tblDaily[WardCode],"BF")),"")</f>
        <v/>
      </c>
      <c r="C440" s="12">
        <f>IFERROR(IF(SUMIFS(tblDaily[Discharges],tblDaily[EntryDate],DATE(2026,12,5),tblDaily[WardCode],"BF")=0,"",SUMIFS(tblDaily[Discharges],tblDaily[EntryDate],DATE(2026,12,5),tblDaily[WardCode],"BF")),"")</f>
        <v/>
      </c>
      <c r="D440" s="12">
        <f>IFERROR(IF(SUMIFS(tblDaily[Deaths],tblDaily[EntryDate],DATE(2026,12,5),tblDaily[WardCode],"BF")=0,"",SUMIFS(tblDaily[Deaths],tblDaily[EntryDate],DATE(2026,12,5),tblDaily[WardCode],"BF")),"")</f>
        <v/>
      </c>
      <c r="E440" s="12">
        <f>IFERROR(IF(SUMIFS(tblDaily[DeathsUnder24Hrs],tblDaily[EntryDate],DATE(2026,12,5),tblDaily[WardCode],"BF")=0,"",SUMIFS(tblDaily[DeathsUnder24Hrs],tblDaily[EntryDate],DATE(2026,12,5),tblDaily[WardCode],"BF")),"")</f>
        <v/>
      </c>
      <c r="F440" s="12">
        <f>IFERROR(IF(SUMIFS(tblDaily[TransfersIn],tblDaily[EntryDate],DATE(2026,12,5),tblDaily[WardCode],"BF")=0,"",SUMIFS(tblDaily[TransfersIn],tblDaily[EntryDate],DATE(2026,12,5),tblDaily[WardCode],"BF")),"")</f>
        <v/>
      </c>
      <c r="G440" s="12">
        <f>IFERROR(IF(SUMIFS(tblDaily[TransfersOut],tblDaily[EntryDate],DATE(2026,12,5),tblDaily[WardCode],"BF")=0,"",SUMIFS(tblDaily[TransfersOut],tblDaily[EntryDate],DATE(2026,12,5),tblDaily[WardCode],"BF")),"")</f>
        <v/>
      </c>
      <c r="H440" s="12">
        <f>IFERROR(IF(SUMIFS(tblDaily[Remaining],tblDaily[EntryDate],DATE(2026,12,5),tblDaily[WardCode],"BF")=0,"",SUMIFS(tblDaily[Remaining],tblDaily[EntryDate],DATE(2026,12,5),tblDaily[WardCode],"BF")),"")</f>
        <v/>
      </c>
    </row>
    <row r="441">
      <c r="A441" s="12" t="n">
        <v>6</v>
      </c>
      <c r="B441" s="12">
        <f>IFERROR(IF(SUMIFS(tblDaily[Admissions],tblDaily[EntryDate],DATE(2026,12,6),tblDaily[WardCode],"BF")=0,"",SUMIFS(tblDaily[Admissions],tblDaily[EntryDate],DATE(2026,12,6),tblDaily[WardCode],"BF")),"")</f>
        <v/>
      </c>
      <c r="C441" s="12">
        <f>IFERROR(IF(SUMIFS(tblDaily[Discharges],tblDaily[EntryDate],DATE(2026,12,6),tblDaily[WardCode],"BF")=0,"",SUMIFS(tblDaily[Discharges],tblDaily[EntryDate],DATE(2026,12,6),tblDaily[WardCode],"BF")),"")</f>
        <v/>
      </c>
      <c r="D441" s="12">
        <f>IFERROR(IF(SUMIFS(tblDaily[Deaths],tblDaily[EntryDate],DATE(2026,12,6),tblDaily[WardCode],"BF")=0,"",SUMIFS(tblDaily[Deaths],tblDaily[EntryDate],DATE(2026,12,6),tblDaily[WardCode],"BF")),"")</f>
        <v/>
      </c>
      <c r="E441" s="12">
        <f>IFERROR(IF(SUMIFS(tblDaily[DeathsUnder24Hrs],tblDaily[EntryDate],DATE(2026,12,6),tblDaily[WardCode],"BF")=0,"",SUMIFS(tblDaily[DeathsUnder24Hrs],tblDaily[EntryDate],DATE(2026,12,6),tblDaily[WardCode],"BF")),"")</f>
        <v/>
      </c>
      <c r="F441" s="12">
        <f>IFERROR(IF(SUMIFS(tblDaily[TransfersIn],tblDaily[EntryDate],DATE(2026,12,6),tblDaily[WardCode],"BF")=0,"",SUMIFS(tblDaily[TransfersIn],tblDaily[EntryDate],DATE(2026,12,6),tblDaily[WardCode],"BF")),"")</f>
        <v/>
      </c>
      <c r="G441" s="12">
        <f>IFERROR(IF(SUMIFS(tblDaily[TransfersOut],tblDaily[EntryDate],DATE(2026,12,6),tblDaily[WardCode],"BF")=0,"",SUMIFS(tblDaily[TransfersOut],tblDaily[EntryDate],DATE(2026,12,6),tblDaily[WardCode],"BF")),"")</f>
        <v/>
      </c>
      <c r="H441" s="12">
        <f>IFERROR(IF(SUMIFS(tblDaily[Remaining],tblDaily[EntryDate],DATE(2026,12,6),tblDaily[WardCode],"BF")=0,"",SUMIFS(tblDaily[Remaining],tblDaily[EntryDate],DATE(2026,12,6),tblDaily[WardCode],"BF")),"")</f>
        <v/>
      </c>
    </row>
    <row r="442">
      <c r="A442" s="12" t="n">
        <v>7</v>
      </c>
      <c r="B442" s="12">
        <f>IFERROR(IF(SUMIFS(tblDaily[Admissions],tblDaily[EntryDate],DATE(2026,12,7),tblDaily[WardCode],"BF")=0,"",SUMIFS(tblDaily[Admissions],tblDaily[EntryDate],DATE(2026,12,7),tblDaily[WardCode],"BF")),"")</f>
        <v/>
      </c>
      <c r="C442" s="12">
        <f>IFERROR(IF(SUMIFS(tblDaily[Discharges],tblDaily[EntryDate],DATE(2026,12,7),tblDaily[WardCode],"BF")=0,"",SUMIFS(tblDaily[Discharges],tblDaily[EntryDate],DATE(2026,12,7),tblDaily[WardCode],"BF")),"")</f>
        <v/>
      </c>
      <c r="D442" s="12">
        <f>IFERROR(IF(SUMIFS(tblDaily[Deaths],tblDaily[EntryDate],DATE(2026,12,7),tblDaily[WardCode],"BF")=0,"",SUMIFS(tblDaily[Deaths],tblDaily[EntryDate],DATE(2026,12,7),tblDaily[WardCode],"BF")),"")</f>
        <v/>
      </c>
      <c r="E442" s="12">
        <f>IFERROR(IF(SUMIFS(tblDaily[DeathsUnder24Hrs],tblDaily[EntryDate],DATE(2026,12,7),tblDaily[WardCode],"BF")=0,"",SUMIFS(tblDaily[DeathsUnder24Hrs],tblDaily[EntryDate],DATE(2026,12,7),tblDaily[WardCode],"BF")),"")</f>
        <v/>
      </c>
      <c r="F442" s="12">
        <f>IFERROR(IF(SUMIFS(tblDaily[TransfersIn],tblDaily[EntryDate],DATE(2026,12,7),tblDaily[WardCode],"BF")=0,"",SUMIFS(tblDaily[TransfersIn],tblDaily[EntryDate],DATE(2026,12,7),tblDaily[WardCode],"BF")),"")</f>
        <v/>
      </c>
      <c r="G442" s="12">
        <f>IFERROR(IF(SUMIFS(tblDaily[TransfersOut],tblDaily[EntryDate],DATE(2026,12,7),tblDaily[WardCode],"BF")=0,"",SUMIFS(tblDaily[TransfersOut],tblDaily[EntryDate],DATE(2026,12,7),tblDaily[WardCode],"BF")),"")</f>
        <v/>
      </c>
      <c r="H442" s="12">
        <f>IFERROR(IF(SUMIFS(tblDaily[Remaining],tblDaily[EntryDate],DATE(2026,12,7),tblDaily[WardCode],"BF")=0,"",SUMIFS(tblDaily[Remaining],tblDaily[EntryDate],DATE(2026,12,7),tblDaily[WardCode],"BF")),"")</f>
        <v/>
      </c>
    </row>
    <row r="443">
      <c r="A443" s="12" t="n">
        <v>8</v>
      </c>
      <c r="B443" s="12">
        <f>IFERROR(IF(SUMIFS(tblDaily[Admissions],tblDaily[EntryDate],DATE(2026,12,8),tblDaily[WardCode],"BF")=0,"",SUMIFS(tblDaily[Admissions],tblDaily[EntryDate],DATE(2026,12,8),tblDaily[WardCode],"BF")),"")</f>
        <v/>
      </c>
      <c r="C443" s="12">
        <f>IFERROR(IF(SUMIFS(tblDaily[Discharges],tblDaily[EntryDate],DATE(2026,12,8),tblDaily[WardCode],"BF")=0,"",SUMIFS(tblDaily[Discharges],tblDaily[EntryDate],DATE(2026,12,8),tblDaily[WardCode],"BF")),"")</f>
        <v/>
      </c>
      <c r="D443" s="12">
        <f>IFERROR(IF(SUMIFS(tblDaily[Deaths],tblDaily[EntryDate],DATE(2026,12,8),tblDaily[WardCode],"BF")=0,"",SUMIFS(tblDaily[Deaths],tblDaily[EntryDate],DATE(2026,12,8),tblDaily[WardCode],"BF")),"")</f>
        <v/>
      </c>
      <c r="E443" s="12">
        <f>IFERROR(IF(SUMIFS(tblDaily[DeathsUnder24Hrs],tblDaily[EntryDate],DATE(2026,12,8),tblDaily[WardCode],"BF")=0,"",SUMIFS(tblDaily[DeathsUnder24Hrs],tblDaily[EntryDate],DATE(2026,12,8),tblDaily[WardCode],"BF")),"")</f>
        <v/>
      </c>
      <c r="F443" s="12">
        <f>IFERROR(IF(SUMIFS(tblDaily[TransfersIn],tblDaily[EntryDate],DATE(2026,12,8),tblDaily[WardCode],"BF")=0,"",SUMIFS(tblDaily[TransfersIn],tblDaily[EntryDate],DATE(2026,12,8),tblDaily[WardCode],"BF")),"")</f>
        <v/>
      </c>
      <c r="G443" s="12">
        <f>IFERROR(IF(SUMIFS(tblDaily[TransfersOut],tblDaily[EntryDate],DATE(2026,12,8),tblDaily[WardCode],"BF")=0,"",SUMIFS(tblDaily[TransfersOut],tblDaily[EntryDate],DATE(2026,12,8),tblDaily[WardCode],"BF")),"")</f>
        <v/>
      </c>
      <c r="H443" s="12">
        <f>IFERROR(IF(SUMIFS(tblDaily[Remaining],tblDaily[EntryDate],DATE(2026,12,8),tblDaily[WardCode],"BF")=0,"",SUMIFS(tblDaily[Remaining],tblDaily[EntryDate],DATE(2026,12,8),tblDaily[WardCode],"BF")),"")</f>
        <v/>
      </c>
    </row>
    <row r="444">
      <c r="A444" s="12" t="n">
        <v>9</v>
      </c>
      <c r="B444" s="12">
        <f>IFERROR(IF(SUMIFS(tblDaily[Admissions],tblDaily[EntryDate],DATE(2026,12,9),tblDaily[WardCode],"BF")=0,"",SUMIFS(tblDaily[Admissions],tblDaily[EntryDate],DATE(2026,12,9),tblDaily[WardCode],"BF")),"")</f>
        <v/>
      </c>
      <c r="C444" s="12">
        <f>IFERROR(IF(SUMIFS(tblDaily[Discharges],tblDaily[EntryDate],DATE(2026,12,9),tblDaily[WardCode],"BF")=0,"",SUMIFS(tblDaily[Discharges],tblDaily[EntryDate],DATE(2026,12,9),tblDaily[WardCode],"BF")),"")</f>
        <v/>
      </c>
      <c r="D444" s="12">
        <f>IFERROR(IF(SUMIFS(tblDaily[Deaths],tblDaily[EntryDate],DATE(2026,12,9),tblDaily[WardCode],"BF")=0,"",SUMIFS(tblDaily[Deaths],tblDaily[EntryDate],DATE(2026,12,9),tblDaily[WardCode],"BF")),"")</f>
        <v/>
      </c>
      <c r="E444" s="12">
        <f>IFERROR(IF(SUMIFS(tblDaily[DeathsUnder24Hrs],tblDaily[EntryDate],DATE(2026,12,9),tblDaily[WardCode],"BF")=0,"",SUMIFS(tblDaily[DeathsUnder24Hrs],tblDaily[EntryDate],DATE(2026,12,9),tblDaily[WardCode],"BF")),"")</f>
        <v/>
      </c>
      <c r="F444" s="12">
        <f>IFERROR(IF(SUMIFS(tblDaily[TransfersIn],tblDaily[EntryDate],DATE(2026,12,9),tblDaily[WardCode],"BF")=0,"",SUMIFS(tblDaily[TransfersIn],tblDaily[EntryDate],DATE(2026,12,9),tblDaily[WardCode],"BF")),"")</f>
        <v/>
      </c>
      <c r="G444" s="12">
        <f>IFERROR(IF(SUMIFS(tblDaily[TransfersOut],tblDaily[EntryDate],DATE(2026,12,9),tblDaily[WardCode],"BF")=0,"",SUMIFS(tblDaily[TransfersOut],tblDaily[EntryDate],DATE(2026,12,9),tblDaily[WardCode],"BF")),"")</f>
        <v/>
      </c>
      <c r="H444" s="12">
        <f>IFERROR(IF(SUMIFS(tblDaily[Remaining],tblDaily[EntryDate],DATE(2026,12,9),tblDaily[WardCode],"BF")=0,"",SUMIFS(tblDaily[Remaining],tblDaily[EntryDate],DATE(2026,12,9),tblDaily[WardCode],"BF")),"")</f>
        <v/>
      </c>
    </row>
    <row r="445">
      <c r="A445" s="12" t="n">
        <v>10</v>
      </c>
      <c r="B445" s="12">
        <f>IFERROR(IF(SUMIFS(tblDaily[Admissions],tblDaily[EntryDate],DATE(2026,12,10),tblDaily[WardCode],"BF")=0,"",SUMIFS(tblDaily[Admissions],tblDaily[EntryDate],DATE(2026,12,10),tblDaily[WardCode],"BF")),"")</f>
        <v/>
      </c>
      <c r="C445" s="12">
        <f>IFERROR(IF(SUMIFS(tblDaily[Discharges],tblDaily[EntryDate],DATE(2026,12,10),tblDaily[WardCode],"BF")=0,"",SUMIFS(tblDaily[Discharges],tblDaily[EntryDate],DATE(2026,12,10),tblDaily[WardCode],"BF")),"")</f>
        <v/>
      </c>
      <c r="D445" s="12">
        <f>IFERROR(IF(SUMIFS(tblDaily[Deaths],tblDaily[EntryDate],DATE(2026,12,10),tblDaily[WardCode],"BF")=0,"",SUMIFS(tblDaily[Deaths],tblDaily[EntryDate],DATE(2026,12,10),tblDaily[WardCode],"BF")),"")</f>
        <v/>
      </c>
      <c r="E445" s="12">
        <f>IFERROR(IF(SUMIFS(tblDaily[DeathsUnder24Hrs],tblDaily[EntryDate],DATE(2026,12,10),tblDaily[WardCode],"BF")=0,"",SUMIFS(tblDaily[DeathsUnder24Hrs],tblDaily[EntryDate],DATE(2026,12,10),tblDaily[WardCode],"BF")),"")</f>
        <v/>
      </c>
      <c r="F445" s="12">
        <f>IFERROR(IF(SUMIFS(tblDaily[TransfersIn],tblDaily[EntryDate],DATE(2026,12,10),tblDaily[WardCode],"BF")=0,"",SUMIFS(tblDaily[TransfersIn],tblDaily[EntryDate],DATE(2026,12,10),tblDaily[WardCode],"BF")),"")</f>
        <v/>
      </c>
      <c r="G445" s="12">
        <f>IFERROR(IF(SUMIFS(tblDaily[TransfersOut],tblDaily[EntryDate],DATE(2026,12,10),tblDaily[WardCode],"BF")=0,"",SUMIFS(tblDaily[TransfersOut],tblDaily[EntryDate],DATE(2026,12,10),tblDaily[WardCode],"BF")),"")</f>
        <v/>
      </c>
      <c r="H445" s="12">
        <f>IFERROR(IF(SUMIFS(tblDaily[Remaining],tblDaily[EntryDate],DATE(2026,12,10),tblDaily[WardCode],"BF")=0,"",SUMIFS(tblDaily[Remaining],tblDaily[EntryDate],DATE(2026,12,10),tblDaily[WardCode],"BF")),"")</f>
        <v/>
      </c>
    </row>
    <row r="446">
      <c r="A446" s="12" t="n">
        <v>11</v>
      </c>
      <c r="B446" s="12">
        <f>IFERROR(IF(SUMIFS(tblDaily[Admissions],tblDaily[EntryDate],DATE(2026,12,11),tblDaily[WardCode],"BF")=0,"",SUMIFS(tblDaily[Admissions],tblDaily[EntryDate],DATE(2026,12,11),tblDaily[WardCode],"BF")),"")</f>
        <v/>
      </c>
      <c r="C446" s="12">
        <f>IFERROR(IF(SUMIFS(tblDaily[Discharges],tblDaily[EntryDate],DATE(2026,12,11),tblDaily[WardCode],"BF")=0,"",SUMIFS(tblDaily[Discharges],tblDaily[EntryDate],DATE(2026,12,11),tblDaily[WardCode],"BF")),"")</f>
        <v/>
      </c>
      <c r="D446" s="12">
        <f>IFERROR(IF(SUMIFS(tblDaily[Deaths],tblDaily[EntryDate],DATE(2026,12,11),tblDaily[WardCode],"BF")=0,"",SUMIFS(tblDaily[Deaths],tblDaily[EntryDate],DATE(2026,12,11),tblDaily[WardCode],"BF")),"")</f>
        <v/>
      </c>
      <c r="E446" s="12">
        <f>IFERROR(IF(SUMIFS(tblDaily[DeathsUnder24Hrs],tblDaily[EntryDate],DATE(2026,12,11),tblDaily[WardCode],"BF")=0,"",SUMIFS(tblDaily[DeathsUnder24Hrs],tblDaily[EntryDate],DATE(2026,12,11),tblDaily[WardCode],"BF")),"")</f>
        <v/>
      </c>
      <c r="F446" s="12">
        <f>IFERROR(IF(SUMIFS(tblDaily[TransfersIn],tblDaily[EntryDate],DATE(2026,12,11),tblDaily[WardCode],"BF")=0,"",SUMIFS(tblDaily[TransfersIn],tblDaily[EntryDate],DATE(2026,12,11),tblDaily[WardCode],"BF")),"")</f>
        <v/>
      </c>
      <c r="G446" s="12">
        <f>IFERROR(IF(SUMIFS(tblDaily[TransfersOut],tblDaily[EntryDate],DATE(2026,12,11),tblDaily[WardCode],"BF")=0,"",SUMIFS(tblDaily[TransfersOut],tblDaily[EntryDate],DATE(2026,12,11),tblDaily[WardCode],"BF")),"")</f>
        <v/>
      </c>
      <c r="H446" s="12">
        <f>IFERROR(IF(SUMIFS(tblDaily[Remaining],tblDaily[EntryDate],DATE(2026,12,11),tblDaily[WardCode],"BF")=0,"",SUMIFS(tblDaily[Remaining],tblDaily[EntryDate],DATE(2026,12,11),tblDaily[WardCode],"BF")),"")</f>
        <v/>
      </c>
    </row>
    <row r="447">
      <c r="A447" s="12" t="n">
        <v>12</v>
      </c>
      <c r="B447" s="12">
        <f>IFERROR(IF(SUMIFS(tblDaily[Admissions],tblDaily[EntryDate],DATE(2026,12,12),tblDaily[WardCode],"BF")=0,"",SUMIFS(tblDaily[Admissions],tblDaily[EntryDate],DATE(2026,12,12),tblDaily[WardCode],"BF")),"")</f>
        <v/>
      </c>
      <c r="C447" s="12">
        <f>IFERROR(IF(SUMIFS(tblDaily[Discharges],tblDaily[EntryDate],DATE(2026,12,12),tblDaily[WardCode],"BF")=0,"",SUMIFS(tblDaily[Discharges],tblDaily[EntryDate],DATE(2026,12,12),tblDaily[WardCode],"BF")),"")</f>
        <v/>
      </c>
      <c r="D447" s="12">
        <f>IFERROR(IF(SUMIFS(tblDaily[Deaths],tblDaily[EntryDate],DATE(2026,12,12),tblDaily[WardCode],"BF")=0,"",SUMIFS(tblDaily[Deaths],tblDaily[EntryDate],DATE(2026,12,12),tblDaily[WardCode],"BF")),"")</f>
        <v/>
      </c>
      <c r="E447" s="12">
        <f>IFERROR(IF(SUMIFS(tblDaily[DeathsUnder24Hrs],tblDaily[EntryDate],DATE(2026,12,12),tblDaily[WardCode],"BF")=0,"",SUMIFS(tblDaily[DeathsUnder24Hrs],tblDaily[EntryDate],DATE(2026,12,12),tblDaily[WardCode],"BF")),"")</f>
        <v/>
      </c>
      <c r="F447" s="12">
        <f>IFERROR(IF(SUMIFS(tblDaily[TransfersIn],tblDaily[EntryDate],DATE(2026,12,12),tblDaily[WardCode],"BF")=0,"",SUMIFS(tblDaily[TransfersIn],tblDaily[EntryDate],DATE(2026,12,12),tblDaily[WardCode],"BF")),"")</f>
        <v/>
      </c>
      <c r="G447" s="12">
        <f>IFERROR(IF(SUMIFS(tblDaily[TransfersOut],tblDaily[EntryDate],DATE(2026,12,12),tblDaily[WardCode],"BF")=0,"",SUMIFS(tblDaily[TransfersOut],tblDaily[EntryDate],DATE(2026,12,12),tblDaily[WardCode],"BF")),"")</f>
        <v/>
      </c>
      <c r="H447" s="12">
        <f>IFERROR(IF(SUMIFS(tblDaily[Remaining],tblDaily[EntryDate],DATE(2026,12,12),tblDaily[WardCode],"BF")=0,"",SUMIFS(tblDaily[Remaining],tblDaily[EntryDate],DATE(2026,12,12),tblDaily[WardCode],"BF")),"")</f>
        <v/>
      </c>
    </row>
    <row r="448">
      <c r="A448" s="12" t="n">
        <v>13</v>
      </c>
      <c r="B448" s="12">
        <f>IFERROR(IF(SUMIFS(tblDaily[Admissions],tblDaily[EntryDate],DATE(2026,12,13),tblDaily[WardCode],"BF")=0,"",SUMIFS(tblDaily[Admissions],tblDaily[EntryDate],DATE(2026,12,13),tblDaily[WardCode],"BF")),"")</f>
        <v/>
      </c>
      <c r="C448" s="12">
        <f>IFERROR(IF(SUMIFS(tblDaily[Discharges],tblDaily[EntryDate],DATE(2026,12,13),tblDaily[WardCode],"BF")=0,"",SUMIFS(tblDaily[Discharges],tblDaily[EntryDate],DATE(2026,12,13),tblDaily[WardCode],"BF")),"")</f>
        <v/>
      </c>
      <c r="D448" s="12">
        <f>IFERROR(IF(SUMIFS(tblDaily[Deaths],tblDaily[EntryDate],DATE(2026,12,13),tblDaily[WardCode],"BF")=0,"",SUMIFS(tblDaily[Deaths],tblDaily[EntryDate],DATE(2026,12,13),tblDaily[WardCode],"BF")),"")</f>
        <v/>
      </c>
      <c r="E448" s="12">
        <f>IFERROR(IF(SUMIFS(tblDaily[DeathsUnder24Hrs],tblDaily[EntryDate],DATE(2026,12,13),tblDaily[WardCode],"BF")=0,"",SUMIFS(tblDaily[DeathsUnder24Hrs],tblDaily[EntryDate],DATE(2026,12,13),tblDaily[WardCode],"BF")),"")</f>
        <v/>
      </c>
      <c r="F448" s="12">
        <f>IFERROR(IF(SUMIFS(tblDaily[TransfersIn],tblDaily[EntryDate],DATE(2026,12,13),tblDaily[WardCode],"BF")=0,"",SUMIFS(tblDaily[TransfersIn],tblDaily[EntryDate],DATE(2026,12,13),tblDaily[WardCode],"BF")),"")</f>
        <v/>
      </c>
      <c r="G448" s="12">
        <f>IFERROR(IF(SUMIFS(tblDaily[TransfersOut],tblDaily[EntryDate],DATE(2026,12,13),tblDaily[WardCode],"BF")=0,"",SUMIFS(tblDaily[TransfersOut],tblDaily[EntryDate],DATE(2026,12,13),tblDaily[WardCode],"BF")),"")</f>
        <v/>
      </c>
      <c r="H448" s="12">
        <f>IFERROR(IF(SUMIFS(tblDaily[Remaining],tblDaily[EntryDate],DATE(2026,12,13),tblDaily[WardCode],"BF")=0,"",SUMIFS(tblDaily[Remaining],tblDaily[EntryDate],DATE(2026,12,13),tblDaily[WardCode],"BF")),"")</f>
        <v/>
      </c>
    </row>
    <row r="449">
      <c r="A449" s="12" t="n">
        <v>14</v>
      </c>
      <c r="B449" s="12">
        <f>IFERROR(IF(SUMIFS(tblDaily[Admissions],tblDaily[EntryDate],DATE(2026,12,14),tblDaily[WardCode],"BF")=0,"",SUMIFS(tblDaily[Admissions],tblDaily[EntryDate],DATE(2026,12,14),tblDaily[WardCode],"BF")),"")</f>
        <v/>
      </c>
      <c r="C449" s="12">
        <f>IFERROR(IF(SUMIFS(tblDaily[Discharges],tblDaily[EntryDate],DATE(2026,12,14),tblDaily[WardCode],"BF")=0,"",SUMIFS(tblDaily[Discharges],tblDaily[EntryDate],DATE(2026,12,14),tblDaily[WardCode],"BF")),"")</f>
        <v/>
      </c>
      <c r="D449" s="12">
        <f>IFERROR(IF(SUMIFS(tblDaily[Deaths],tblDaily[EntryDate],DATE(2026,12,14),tblDaily[WardCode],"BF")=0,"",SUMIFS(tblDaily[Deaths],tblDaily[EntryDate],DATE(2026,12,14),tblDaily[WardCode],"BF")),"")</f>
        <v/>
      </c>
      <c r="E449" s="12">
        <f>IFERROR(IF(SUMIFS(tblDaily[DeathsUnder24Hrs],tblDaily[EntryDate],DATE(2026,12,14),tblDaily[WardCode],"BF")=0,"",SUMIFS(tblDaily[DeathsUnder24Hrs],tblDaily[EntryDate],DATE(2026,12,14),tblDaily[WardCode],"BF")),"")</f>
        <v/>
      </c>
      <c r="F449" s="12">
        <f>IFERROR(IF(SUMIFS(tblDaily[TransfersIn],tblDaily[EntryDate],DATE(2026,12,14),tblDaily[WardCode],"BF")=0,"",SUMIFS(tblDaily[TransfersIn],tblDaily[EntryDate],DATE(2026,12,14),tblDaily[WardCode],"BF")),"")</f>
        <v/>
      </c>
      <c r="G449" s="12">
        <f>IFERROR(IF(SUMIFS(tblDaily[TransfersOut],tblDaily[EntryDate],DATE(2026,12,14),tblDaily[WardCode],"BF")=0,"",SUMIFS(tblDaily[TransfersOut],tblDaily[EntryDate],DATE(2026,12,14),tblDaily[WardCode],"BF")),"")</f>
        <v/>
      </c>
      <c r="H449" s="12">
        <f>IFERROR(IF(SUMIFS(tblDaily[Remaining],tblDaily[EntryDate],DATE(2026,12,14),tblDaily[WardCode],"BF")=0,"",SUMIFS(tblDaily[Remaining],tblDaily[EntryDate],DATE(2026,12,14),tblDaily[WardCode],"BF")),"")</f>
        <v/>
      </c>
    </row>
    <row r="450">
      <c r="A450" s="12" t="n">
        <v>15</v>
      </c>
      <c r="B450" s="12">
        <f>IFERROR(IF(SUMIFS(tblDaily[Admissions],tblDaily[EntryDate],DATE(2026,12,15),tblDaily[WardCode],"BF")=0,"",SUMIFS(tblDaily[Admissions],tblDaily[EntryDate],DATE(2026,12,15),tblDaily[WardCode],"BF")),"")</f>
        <v/>
      </c>
      <c r="C450" s="12">
        <f>IFERROR(IF(SUMIFS(tblDaily[Discharges],tblDaily[EntryDate],DATE(2026,12,15),tblDaily[WardCode],"BF")=0,"",SUMIFS(tblDaily[Discharges],tblDaily[EntryDate],DATE(2026,12,15),tblDaily[WardCode],"BF")),"")</f>
        <v/>
      </c>
      <c r="D450" s="12">
        <f>IFERROR(IF(SUMIFS(tblDaily[Deaths],tblDaily[EntryDate],DATE(2026,12,15),tblDaily[WardCode],"BF")=0,"",SUMIFS(tblDaily[Deaths],tblDaily[EntryDate],DATE(2026,12,15),tblDaily[WardCode],"BF")),"")</f>
        <v/>
      </c>
      <c r="E450" s="12">
        <f>IFERROR(IF(SUMIFS(tblDaily[DeathsUnder24Hrs],tblDaily[EntryDate],DATE(2026,12,15),tblDaily[WardCode],"BF")=0,"",SUMIFS(tblDaily[DeathsUnder24Hrs],tblDaily[EntryDate],DATE(2026,12,15),tblDaily[WardCode],"BF")),"")</f>
        <v/>
      </c>
      <c r="F450" s="12">
        <f>IFERROR(IF(SUMIFS(tblDaily[TransfersIn],tblDaily[EntryDate],DATE(2026,12,15),tblDaily[WardCode],"BF")=0,"",SUMIFS(tblDaily[TransfersIn],tblDaily[EntryDate],DATE(2026,12,15),tblDaily[WardCode],"BF")),"")</f>
        <v/>
      </c>
      <c r="G450" s="12">
        <f>IFERROR(IF(SUMIFS(tblDaily[TransfersOut],tblDaily[EntryDate],DATE(2026,12,15),tblDaily[WardCode],"BF")=0,"",SUMIFS(tblDaily[TransfersOut],tblDaily[EntryDate],DATE(2026,12,15),tblDaily[WardCode],"BF")),"")</f>
        <v/>
      </c>
      <c r="H450" s="12">
        <f>IFERROR(IF(SUMIFS(tblDaily[Remaining],tblDaily[EntryDate],DATE(2026,12,15),tblDaily[WardCode],"BF")=0,"",SUMIFS(tblDaily[Remaining],tblDaily[EntryDate],DATE(2026,12,15),tblDaily[WardCode],"BF")),"")</f>
        <v/>
      </c>
    </row>
    <row r="451">
      <c r="A451" s="12" t="n">
        <v>16</v>
      </c>
      <c r="B451" s="12">
        <f>IFERROR(IF(SUMIFS(tblDaily[Admissions],tblDaily[EntryDate],DATE(2026,12,16),tblDaily[WardCode],"BF")=0,"",SUMIFS(tblDaily[Admissions],tblDaily[EntryDate],DATE(2026,12,16),tblDaily[WardCode],"BF")),"")</f>
        <v/>
      </c>
      <c r="C451" s="12">
        <f>IFERROR(IF(SUMIFS(tblDaily[Discharges],tblDaily[EntryDate],DATE(2026,12,16),tblDaily[WardCode],"BF")=0,"",SUMIFS(tblDaily[Discharges],tblDaily[EntryDate],DATE(2026,12,16),tblDaily[WardCode],"BF")),"")</f>
        <v/>
      </c>
      <c r="D451" s="12">
        <f>IFERROR(IF(SUMIFS(tblDaily[Deaths],tblDaily[EntryDate],DATE(2026,12,16),tblDaily[WardCode],"BF")=0,"",SUMIFS(tblDaily[Deaths],tblDaily[EntryDate],DATE(2026,12,16),tblDaily[WardCode],"BF")),"")</f>
        <v/>
      </c>
      <c r="E451" s="12">
        <f>IFERROR(IF(SUMIFS(tblDaily[DeathsUnder24Hrs],tblDaily[EntryDate],DATE(2026,12,16),tblDaily[WardCode],"BF")=0,"",SUMIFS(tblDaily[DeathsUnder24Hrs],tblDaily[EntryDate],DATE(2026,12,16),tblDaily[WardCode],"BF")),"")</f>
        <v/>
      </c>
      <c r="F451" s="12">
        <f>IFERROR(IF(SUMIFS(tblDaily[TransfersIn],tblDaily[EntryDate],DATE(2026,12,16),tblDaily[WardCode],"BF")=0,"",SUMIFS(tblDaily[TransfersIn],tblDaily[EntryDate],DATE(2026,12,16),tblDaily[WardCode],"BF")),"")</f>
        <v/>
      </c>
      <c r="G451" s="12">
        <f>IFERROR(IF(SUMIFS(tblDaily[TransfersOut],tblDaily[EntryDate],DATE(2026,12,16),tblDaily[WardCode],"BF")=0,"",SUMIFS(tblDaily[TransfersOut],tblDaily[EntryDate],DATE(2026,12,16),tblDaily[WardCode],"BF")),"")</f>
        <v/>
      </c>
      <c r="H451" s="12">
        <f>IFERROR(IF(SUMIFS(tblDaily[Remaining],tblDaily[EntryDate],DATE(2026,12,16),tblDaily[WardCode],"BF")=0,"",SUMIFS(tblDaily[Remaining],tblDaily[EntryDate],DATE(2026,12,16),tblDaily[WardCode],"BF")),"")</f>
        <v/>
      </c>
    </row>
    <row r="452">
      <c r="A452" s="12" t="n">
        <v>17</v>
      </c>
      <c r="B452" s="12">
        <f>IFERROR(IF(SUMIFS(tblDaily[Admissions],tblDaily[EntryDate],DATE(2026,12,17),tblDaily[WardCode],"BF")=0,"",SUMIFS(tblDaily[Admissions],tblDaily[EntryDate],DATE(2026,12,17),tblDaily[WardCode],"BF")),"")</f>
        <v/>
      </c>
      <c r="C452" s="12">
        <f>IFERROR(IF(SUMIFS(tblDaily[Discharges],tblDaily[EntryDate],DATE(2026,12,17),tblDaily[WardCode],"BF")=0,"",SUMIFS(tblDaily[Discharges],tblDaily[EntryDate],DATE(2026,12,17),tblDaily[WardCode],"BF")),"")</f>
        <v/>
      </c>
      <c r="D452" s="12">
        <f>IFERROR(IF(SUMIFS(tblDaily[Deaths],tblDaily[EntryDate],DATE(2026,12,17),tblDaily[WardCode],"BF")=0,"",SUMIFS(tblDaily[Deaths],tblDaily[EntryDate],DATE(2026,12,17),tblDaily[WardCode],"BF")),"")</f>
        <v/>
      </c>
      <c r="E452" s="12">
        <f>IFERROR(IF(SUMIFS(tblDaily[DeathsUnder24Hrs],tblDaily[EntryDate],DATE(2026,12,17),tblDaily[WardCode],"BF")=0,"",SUMIFS(tblDaily[DeathsUnder24Hrs],tblDaily[EntryDate],DATE(2026,12,17),tblDaily[WardCode],"BF")),"")</f>
        <v/>
      </c>
      <c r="F452" s="12">
        <f>IFERROR(IF(SUMIFS(tblDaily[TransfersIn],tblDaily[EntryDate],DATE(2026,12,17),tblDaily[WardCode],"BF")=0,"",SUMIFS(tblDaily[TransfersIn],tblDaily[EntryDate],DATE(2026,12,17),tblDaily[WardCode],"BF")),"")</f>
        <v/>
      </c>
      <c r="G452" s="12">
        <f>IFERROR(IF(SUMIFS(tblDaily[TransfersOut],tblDaily[EntryDate],DATE(2026,12,17),tblDaily[WardCode],"BF")=0,"",SUMIFS(tblDaily[TransfersOut],tblDaily[EntryDate],DATE(2026,12,17),tblDaily[WardCode],"BF")),"")</f>
        <v/>
      </c>
      <c r="H452" s="12">
        <f>IFERROR(IF(SUMIFS(tblDaily[Remaining],tblDaily[EntryDate],DATE(2026,12,17),tblDaily[WardCode],"BF")=0,"",SUMIFS(tblDaily[Remaining],tblDaily[EntryDate],DATE(2026,12,17),tblDaily[WardCode],"BF")),"")</f>
        <v/>
      </c>
    </row>
    <row r="453">
      <c r="A453" s="12" t="n">
        <v>18</v>
      </c>
      <c r="B453" s="12">
        <f>IFERROR(IF(SUMIFS(tblDaily[Admissions],tblDaily[EntryDate],DATE(2026,12,18),tblDaily[WardCode],"BF")=0,"",SUMIFS(tblDaily[Admissions],tblDaily[EntryDate],DATE(2026,12,18),tblDaily[WardCode],"BF")),"")</f>
        <v/>
      </c>
      <c r="C453" s="12">
        <f>IFERROR(IF(SUMIFS(tblDaily[Discharges],tblDaily[EntryDate],DATE(2026,12,18),tblDaily[WardCode],"BF")=0,"",SUMIFS(tblDaily[Discharges],tblDaily[EntryDate],DATE(2026,12,18),tblDaily[WardCode],"BF")),"")</f>
        <v/>
      </c>
      <c r="D453" s="12">
        <f>IFERROR(IF(SUMIFS(tblDaily[Deaths],tblDaily[EntryDate],DATE(2026,12,18),tblDaily[WardCode],"BF")=0,"",SUMIFS(tblDaily[Deaths],tblDaily[EntryDate],DATE(2026,12,18),tblDaily[WardCode],"BF")),"")</f>
        <v/>
      </c>
      <c r="E453" s="12">
        <f>IFERROR(IF(SUMIFS(tblDaily[DeathsUnder24Hrs],tblDaily[EntryDate],DATE(2026,12,18),tblDaily[WardCode],"BF")=0,"",SUMIFS(tblDaily[DeathsUnder24Hrs],tblDaily[EntryDate],DATE(2026,12,18),tblDaily[WardCode],"BF")),"")</f>
        <v/>
      </c>
      <c r="F453" s="12">
        <f>IFERROR(IF(SUMIFS(tblDaily[TransfersIn],tblDaily[EntryDate],DATE(2026,12,18),tblDaily[WardCode],"BF")=0,"",SUMIFS(tblDaily[TransfersIn],tblDaily[EntryDate],DATE(2026,12,18),tblDaily[WardCode],"BF")),"")</f>
        <v/>
      </c>
      <c r="G453" s="12">
        <f>IFERROR(IF(SUMIFS(tblDaily[TransfersOut],tblDaily[EntryDate],DATE(2026,12,18),tblDaily[WardCode],"BF")=0,"",SUMIFS(tblDaily[TransfersOut],tblDaily[EntryDate],DATE(2026,12,18),tblDaily[WardCode],"BF")),"")</f>
        <v/>
      </c>
      <c r="H453" s="12">
        <f>IFERROR(IF(SUMIFS(tblDaily[Remaining],tblDaily[EntryDate],DATE(2026,12,18),tblDaily[WardCode],"BF")=0,"",SUMIFS(tblDaily[Remaining],tblDaily[EntryDate],DATE(2026,12,18),tblDaily[WardCode],"BF")),"")</f>
        <v/>
      </c>
    </row>
    <row r="454">
      <c r="A454" s="12" t="n">
        <v>19</v>
      </c>
      <c r="B454" s="12">
        <f>IFERROR(IF(SUMIFS(tblDaily[Admissions],tblDaily[EntryDate],DATE(2026,12,19),tblDaily[WardCode],"BF")=0,"",SUMIFS(tblDaily[Admissions],tblDaily[EntryDate],DATE(2026,12,19),tblDaily[WardCode],"BF")),"")</f>
        <v/>
      </c>
      <c r="C454" s="12">
        <f>IFERROR(IF(SUMIFS(tblDaily[Discharges],tblDaily[EntryDate],DATE(2026,12,19),tblDaily[WardCode],"BF")=0,"",SUMIFS(tblDaily[Discharges],tblDaily[EntryDate],DATE(2026,12,19),tblDaily[WardCode],"BF")),"")</f>
        <v/>
      </c>
      <c r="D454" s="12">
        <f>IFERROR(IF(SUMIFS(tblDaily[Deaths],tblDaily[EntryDate],DATE(2026,12,19),tblDaily[WardCode],"BF")=0,"",SUMIFS(tblDaily[Deaths],tblDaily[EntryDate],DATE(2026,12,19),tblDaily[WardCode],"BF")),"")</f>
        <v/>
      </c>
      <c r="E454" s="12">
        <f>IFERROR(IF(SUMIFS(tblDaily[DeathsUnder24Hrs],tblDaily[EntryDate],DATE(2026,12,19),tblDaily[WardCode],"BF")=0,"",SUMIFS(tblDaily[DeathsUnder24Hrs],tblDaily[EntryDate],DATE(2026,12,19),tblDaily[WardCode],"BF")),"")</f>
        <v/>
      </c>
      <c r="F454" s="12">
        <f>IFERROR(IF(SUMIFS(tblDaily[TransfersIn],tblDaily[EntryDate],DATE(2026,12,19),tblDaily[WardCode],"BF")=0,"",SUMIFS(tblDaily[TransfersIn],tblDaily[EntryDate],DATE(2026,12,19),tblDaily[WardCode],"BF")),"")</f>
        <v/>
      </c>
      <c r="G454" s="12">
        <f>IFERROR(IF(SUMIFS(tblDaily[TransfersOut],tblDaily[EntryDate],DATE(2026,12,19),tblDaily[WardCode],"BF")=0,"",SUMIFS(tblDaily[TransfersOut],tblDaily[EntryDate],DATE(2026,12,19),tblDaily[WardCode],"BF")),"")</f>
        <v/>
      </c>
      <c r="H454" s="12">
        <f>IFERROR(IF(SUMIFS(tblDaily[Remaining],tblDaily[EntryDate],DATE(2026,12,19),tblDaily[WardCode],"BF")=0,"",SUMIFS(tblDaily[Remaining],tblDaily[EntryDate],DATE(2026,12,19),tblDaily[WardCode],"BF")),"")</f>
        <v/>
      </c>
    </row>
    <row r="455">
      <c r="A455" s="12" t="n">
        <v>20</v>
      </c>
      <c r="B455" s="12">
        <f>IFERROR(IF(SUMIFS(tblDaily[Admissions],tblDaily[EntryDate],DATE(2026,12,20),tblDaily[WardCode],"BF")=0,"",SUMIFS(tblDaily[Admissions],tblDaily[EntryDate],DATE(2026,12,20),tblDaily[WardCode],"BF")),"")</f>
        <v/>
      </c>
      <c r="C455" s="12">
        <f>IFERROR(IF(SUMIFS(tblDaily[Discharges],tblDaily[EntryDate],DATE(2026,12,20),tblDaily[WardCode],"BF")=0,"",SUMIFS(tblDaily[Discharges],tblDaily[EntryDate],DATE(2026,12,20),tblDaily[WardCode],"BF")),"")</f>
        <v/>
      </c>
      <c r="D455" s="12">
        <f>IFERROR(IF(SUMIFS(tblDaily[Deaths],tblDaily[EntryDate],DATE(2026,12,20),tblDaily[WardCode],"BF")=0,"",SUMIFS(tblDaily[Deaths],tblDaily[EntryDate],DATE(2026,12,20),tblDaily[WardCode],"BF")),"")</f>
        <v/>
      </c>
      <c r="E455" s="12">
        <f>IFERROR(IF(SUMIFS(tblDaily[DeathsUnder24Hrs],tblDaily[EntryDate],DATE(2026,12,20),tblDaily[WardCode],"BF")=0,"",SUMIFS(tblDaily[DeathsUnder24Hrs],tblDaily[EntryDate],DATE(2026,12,20),tblDaily[WardCode],"BF")),"")</f>
        <v/>
      </c>
      <c r="F455" s="12">
        <f>IFERROR(IF(SUMIFS(tblDaily[TransfersIn],tblDaily[EntryDate],DATE(2026,12,20),tblDaily[WardCode],"BF")=0,"",SUMIFS(tblDaily[TransfersIn],tblDaily[EntryDate],DATE(2026,12,20),tblDaily[WardCode],"BF")),"")</f>
        <v/>
      </c>
      <c r="G455" s="12">
        <f>IFERROR(IF(SUMIFS(tblDaily[TransfersOut],tblDaily[EntryDate],DATE(2026,12,20),tblDaily[WardCode],"BF")=0,"",SUMIFS(tblDaily[TransfersOut],tblDaily[EntryDate],DATE(2026,12,20),tblDaily[WardCode],"BF")),"")</f>
        <v/>
      </c>
      <c r="H455" s="12">
        <f>IFERROR(IF(SUMIFS(tblDaily[Remaining],tblDaily[EntryDate],DATE(2026,12,20),tblDaily[WardCode],"BF")=0,"",SUMIFS(tblDaily[Remaining],tblDaily[EntryDate],DATE(2026,12,20),tblDaily[WardCode],"BF")),"")</f>
        <v/>
      </c>
    </row>
    <row r="456">
      <c r="A456" s="12" t="n">
        <v>21</v>
      </c>
      <c r="B456" s="12">
        <f>IFERROR(IF(SUMIFS(tblDaily[Admissions],tblDaily[EntryDate],DATE(2026,12,21),tblDaily[WardCode],"BF")=0,"",SUMIFS(tblDaily[Admissions],tblDaily[EntryDate],DATE(2026,12,21),tblDaily[WardCode],"BF")),"")</f>
        <v/>
      </c>
      <c r="C456" s="12">
        <f>IFERROR(IF(SUMIFS(tblDaily[Discharges],tblDaily[EntryDate],DATE(2026,12,21),tblDaily[WardCode],"BF")=0,"",SUMIFS(tblDaily[Discharges],tblDaily[EntryDate],DATE(2026,12,21),tblDaily[WardCode],"BF")),"")</f>
        <v/>
      </c>
      <c r="D456" s="12">
        <f>IFERROR(IF(SUMIFS(tblDaily[Deaths],tblDaily[EntryDate],DATE(2026,12,21),tblDaily[WardCode],"BF")=0,"",SUMIFS(tblDaily[Deaths],tblDaily[EntryDate],DATE(2026,12,21),tblDaily[WardCode],"BF")),"")</f>
        <v/>
      </c>
      <c r="E456" s="12">
        <f>IFERROR(IF(SUMIFS(tblDaily[DeathsUnder24Hrs],tblDaily[EntryDate],DATE(2026,12,21),tblDaily[WardCode],"BF")=0,"",SUMIFS(tblDaily[DeathsUnder24Hrs],tblDaily[EntryDate],DATE(2026,12,21),tblDaily[WardCode],"BF")),"")</f>
        <v/>
      </c>
      <c r="F456" s="12">
        <f>IFERROR(IF(SUMIFS(tblDaily[TransfersIn],tblDaily[EntryDate],DATE(2026,12,21),tblDaily[WardCode],"BF")=0,"",SUMIFS(tblDaily[TransfersIn],tblDaily[EntryDate],DATE(2026,12,21),tblDaily[WardCode],"BF")),"")</f>
        <v/>
      </c>
      <c r="G456" s="12">
        <f>IFERROR(IF(SUMIFS(tblDaily[TransfersOut],tblDaily[EntryDate],DATE(2026,12,21),tblDaily[WardCode],"BF")=0,"",SUMIFS(tblDaily[TransfersOut],tblDaily[EntryDate],DATE(2026,12,21),tblDaily[WardCode],"BF")),"")</f>
        <v/>
      </c>
      <c r="H456" s="12">
        <f>IFERROR(IF(SUMIFS(tblDaily[Remaining],tblDaily[EntryDate],DATE(2026,12,21),tblDaily[WardCode],"BF")=0,"",SUMIFS(tblDaily[Remaining],tblDaily[EntryDate],DATE(2026,12,21),tblDaily[WardCode],"BF")),"")</f>
        <v/>
      </c>
    </row>
    <row r="457">
      <c r="A457" s="12" t="n">
        <v>22</v>
      </c>
      <c r="B457" s="12">
        <f>IFERROR(IF(SUMIFS(tblDaily[Admissions],tblDaily[EntryDate],DATE(2026,12,22),tblDaily[WardCode],"BF")=0,"",SUMIFS(tblDaily[Admissions],tblDaily[EntryDate],DATE(2026,12,22),tblDaily[WardCode],"BF")),"")</f>
        <v/>
      </c>
      <c r="C457" s="12">
        <f>IFERROR(IF(SUMIFS(tblDaily[Discharges],tblDaily[EntryDate],DATE(2026,12,22),tblDaily[WardCode],"BF")=0,"",SUMIFS(tblDaily[Discharges],tblDaily[EntryDate],DATE(2026,12,22),tblDaily[WardCode],"BF")),"")</f>
        <v/>
      </c>
      <c r="D457" s="12">
        <f>IFERROR(IF(SUMIFS(tblDaily[Deaths],tblDaily[EntryDate],DATE(2026,12,22),tblDaily[WardCode],"BF")=0,"",SUMIFS(tblDaily[Deaths],tblDaily[EntryDate],DATE(2026,12,22),tblDaily[WardCode],"BF")),"")</f>
        <v/>
      </c>
      <c r="E457" s="12">
        <f>IFERROR(IF(SUMIFS(tblDaily[DeathsUnder24Hrs],tblDaily[EntryDate],DATE(2026,12,22),tblDaily[WardCode],"BF")=0,"",SUMIFS(tblDaily[DeathsUnder24Hrs],tblDaily[EntryDate],DATE(2026,12,22),tblDaily[WardCode],"BF")),"")</f>
        <v/>
      </c>
      <c r="F457" s="12">
        <f>IFERROR(IF(SUMIFS(tblDaily[TransfersIn],tblDaily[EntryDate],DATE(2026,12,22),tblDaily[WardCode],"BF")=0,"",SUMIFS(tblDaily[TransfersIn],tblDaily[EntryDate],DATE(2026,12,22),tblDaily[WardCode],"BF")),"")</f>
        <v/>
      </c>
      <c r="G457" s="12">
        <f>IFERROR(IF(SUMIFS(tblDaily[TransfersOut],tblDaily[EntryDate],DATE(2026,12,22),tblDaily[WardCode],"BF")=0,"",SUMIFS(tblDaily[TransfersOut],tblDaily[EntryDate],DATE(2026,12,22),tblDaily[WardCode],"BF")),"")</f>
        <v/>
      </c>
      <c r="H457" s="12">
        <f>IFERROR(IF(SUMIFS(tblDaily[Remaining],tblDaily[EntryDate],DATE(2026,12,22),tblDaily[WardCode],"BF")=0,"",SUMIFS(tblDaily[Remaining],tblDaily[EntryDate],DATE(2026,12,22),tblDaily[WardCode],"BF")),"")</f>
        <v/>
      </c>
    </row>
    <row r="458">
      <c r="A458" s="12" t="n">
        <v>23</v>
      </c>
      <c r="B458" s="12">
        <f>IFERROR(IF(SUMIFS(tblDaily[Admissions],tblDaily[EntryDate],DATE(2026,12,23),tblDaily[WardCode],"BF")=0,"",SUMIFS(tblDaily[Admissions],tblDaily[EntryDate],DATE(2026,12,23),tblDaily[WardCode],"BF")),"")</f>
        <v/>
      </c>
      <c r="C458" s="12">
        <f>IFERROR(IF(SUMIFS(tblDaily[Discharges],tblDaily[EntryDate],DATE(2026,12,23),tblDaily[WardCode],"BF")=0,"",SUMIFS(tblDaily[Discharges],tblDaily[EntryDate],DATE(2026,12,23),tblDaily[WardCode],"BF")),"")</f>
        <v/>
      </c>
      <c r="D458" s="12">
        <f>IFERROR(IF(SUMIFS(tblDaily[Deaths],tblDaily[EntryDate],DATE(2026,12,23),tblDaily[WardCode],"BF")=0,"",SUMIFS(tblDaily[Deaths],tblDaily[EntryDate],DATE(2026,12,23),tblDaily[WardCode],"BF")),"")</f>
        <v/>
      </c>
      <c r="E458" s="12">
        <f>IFERROR(IF(SUMIFS(tblDaily[DeathsUnder24Hrs],tblDaily[EntryDate],DATE(2026,12,23),tblDaily[WardCode],"BF")=0,"",SUMIFS(tblDaily[DeathsUnder24Hrs],tblDaily[EntryDate],DATE(2026,12,23),tblDaily[WardCode],"BF")),"")</f>
        <v/>
      </c>
      <c r="F458" s="12">
        <f>IFERROR(IF(SUMIFS(tblDaily[TransfersIn],tblDaily[EntryDate],DATE(2026,12,23),tblDaily[WardCode],"BF")=0,"",SUMIFS(tblDaily[TransfersIn],tblDaily[EntryDate],DATE(2026,12,23),tblDaily[WardCode],"BF")),"")</f>
        <v/>
      </c>
      <c r="G458" s="12">
        <f>IFERROR(IF(SUMIFS(tblDaily[TransfersOut],tblDaily[EntryDate],DATE(2026,12,23),tblDaily[WardCode],"BF")=0,"",SUMIFS(tblDaily[TransfersOut],tblDaily[EntryDate],DATE(2026,12,23),tblDaily[WardCode],"BF")),"")</f>
        <v/>
      </c>
      <c r="H458" s="12">
        <f>IFERROR(IF(SUMIFS(tblDaily[Remaining],tblDaily[EntryDate],DATE(2026,12,23),tblDaily[WardCode],"BF")=0,"",SUMIFS(tblDaily[Remaining],tblDaily[EntryDate],DATE(2026,12,23),tblDaily[WardCode],"BF")),"")</f>
        <v/>
      </c>
    </row>
    <row r="459">
      <c r="A459" s="12" t="n">
        <v>24</v>
      </c>
      <c r="B459" s="12">
        <f>IFERROR(IF(SUMIFS(tblDaily[Admissions],tblDaily[EntryDate],DATE(2026,12,24),tblDaily[WardCode],"BF")=0,"",SUMIFS(tblDaily[Admissions],tblDaily[EntryDate],DATE(2026,12,24),tblDaily[WardCode],"BF")),"")</f>
        <v/>
      </c>
      <c r="C459" s="12">
        <f>IFERROR(IF(SUMIFS(tblDaily[Discharges],tblDaily[EntryDate],DATE(2026,12,24),tblDaily[WardCode],"BF")=0,"",SUMIFS(tblDaily[Discharges],tblDaily[EntryDate],DATE(2026,12,24),tblDaily[WardCode],"BF")),"")</f>
        <v/>
      </c>
      <c r="D459" s="12">
        <f>IFERROR(IF(SUMIFS(tblDaily[Deaths],tblDaily[EntryDate],DATE(2026,12,24),tblDaily[WardCode],"BF")=0,"",SUMIFS(tblDaily[Deaths],tblDaily[EntryDate],DATE(2026,12,24),tblDaily[WardCode],"BF")),"")</f>
        <v/>
      </c>
      <c r="E459" s="12">
        <f>IFERROR(IF(SUMIFS(tblDaily[DeathsUnder24Hrs],tblDaily[EntryDate],DATE(2026,12,24),tblDaily[WardCode],"BF")=0,"",SUMIFS(tblDaily[DeathsUnder24Hrs],tblDaily[EntryDate],DATE(2026,12,24),tblDaily[WardCode],"BF")),"")</f>
        <v/>
      </c>
      <c r="F459" s="12">
        <f>IFERROR(IF(SUMIFS(tblDaily[TransfersIn],tblDaily[EntryDate],DATE(2026,12,24),tblDaily[WardCode],"BF")=0,"",SUMIFS(tblDaily[TransfersIn],tblDaily[EntryDate],DATE(2026,12,24),tblDaily[WardCode],"BF")),"")</f>
        <v/>
      </c>
      <c r="G459" s="12">
        <f>IFERROR(IF(SUMIFS(tblDaily[TransfersOut],tblDaily[EntryDate],DATE(2026,12,24),tblDaily[WardCode],"BF")=0,"",SUMIFS(tblDaily[TransfersOut],tblDaily[EntryDate],DATE(2026,12,24),tblDaily[WardCode],"BF")),"")</f>
        <v/>
      </c>
      <c r="H459" s="12">
        <f>IFERROR(IF(SUMIFS(tblDaily[Remaining],tblDaily[EntryDate],DATE(2026,12,24),tblDaily[WardCode],"BF")=0,"",SUMIFS(tblDaily[Remaining],tblDaily[EntryDate],DATE(2026,12,24),tblDaily[WardCode],"BF")),"")</f>
        <v/>
      </c>
    </row>
    <row r="460">
      <c r="A460" s="12" t="n">
        <v>25</v>
      </c>
      <c r="B460" s="12">
        <f>IFERROR(IF(SUMIFS(tblDaily[Admissions],tblDaily[EntryDate],DATE(2026,12,25),tblDaily[WardCode],"BF")=0,"",SUMIFS(tblDaily[Admissions],tblDaily[EntryDate],DATE(2026,12,25),tblDaily[WardCode],"BF")),"")</f>
        <v/>
      </c>
      <c r="C460" s="12">
        <f>IFERROR(IF(SUMIFS(tblDaily[Discharges],tblDaily[EntryDate],DATE(2026,12,25),tblDaily[WardCode],"BF")=0,"",SUMIFS(tblDaily[Discharges],tblDaily[EntryDate],DATE(2026,12,25),tblDaily[WardCode],"BF")),"")</f>
        <v/>
      </c>
      <c r="D460" s="12">
        <f>IFERROR(IF(SUMIFS(tblDaily[Deaths],tblDaily[EntryDate],DATE(2026,12,25),tblDaily[WardCode],"BF")=0,"",SUMIFS(tblDaily[Deaths],tblDaily[EntryDate],DATE(2026,12,25),tblDaily[WardCode],"BF")),"")</f>
        <v/>
      </c>
      <c r="E460" s="12">
        <f>IFERROR(IF(SUMIFS(tblDaily[DeathsUnder24Hrs],tblDaily[EntryDate],DATE(2026,12,25),tblDaily[WardCode],"BF")=0,"",SUMIFS(tblDaily[DeathsUnder24Hrs],tblDaily[EntryDate],DATE(2026,12,25),tblDaily[WardCode],"BF")),"")</f>
        <v/>
      </c>
      <c r="F460" s="12">
        <f>IFERROR(IF(SUMIFS(tblDaily[TransfersIn],tblDaily[EntryDate],DATE(2026,12,25),tblDaily[WardCode],"BF")=0,"",SUMIFS(tblDaily[TransfersIn],tblDaily[EntryDate],DATE(2026,12,25),tblDaily[WardCode],"BF")),"")</f>
        <v/>
      </c>
      <c r="G460" s="12">
        <f>IFERROR(IF(SUMIFS(tblDaily[TransfersOut],tblDaily[EntryDate],DATE(2026,12,25),tblDaily[WardCode],"BF")=0,"",SUMIFS(tblDaily[TransfersOut],tblDaily[EntryDate],DATE(2026,12,25),tblDaily[WardCode],"BF")),"")</f>
        <v/>
      </c>
      <c r="H460" s="12">
        <f>IFERROR(IF(SUMIFS(tblDaily[Remaining],tblDaily[EntryDate],DATE(2026,12,25),tblDaily[WardCode],"BF")=0,"",SUMIFS(tblDaily[Remaining],tblDaily[EntryDate],DATE(2026,12,25),tblDaily[WardCode],"BF")),"")</f>
        <v/>
      </c>
    </row>
    <row r="461">
      <c r="A461" s="12" t="n">
        <v>26</v>
      </c>
      <c r="B461" s="12">
        <f>IFERROR(IF(SUMIFS(tblDaily[Admissions],tblDaily[EntryDate],DATE(2026,12,26),tblDaily[WardCode],"BF")=0,"",SUMIFS(tblDaily[Admissions],tblDaily[EntryDate],DATE(2026,12,26),tblDaily[WardCode],"BF")),"")</f>
        <v/>
      </c>
      <c r="C461" s="12">
        <f>IFERROR(IF(SUMIFS(tblDaily[Discharges],tblDaily[EntryDate],DATE(2026,12,26),tblDaily[WardCode],"BF")=0,"",SUMIFS(tblDaily[Discharges],tblDaily[EntryDate],DATE(2026,12,26),tblDaily[WardCode],"BF")),"")</f>
        <v/>
      </c>
      <c r="D461" s="12">
        <f>IFERROR(IF(SUMIFS(tblDaily[Deaths],tblDaily[EntryDate],DATE(2026,12,26),tblDaily[WardCode],"BF")=0,"",SUMIFS(tblDaily[Deaths],tblDaily[EntryDate],DATE(2026,12,26),tblDaily[WardCode],"BF")),"")</f>
        <v/>
      </c>
      <c r="E461" s="12">
        <f>IFERROR(IF(SUMIFS(tblDaily[DeathsUnder24Hrs],tblDaily[EntryDate],DATE(2026,12,26),tblDaily[WardCode],"BF")=0,"",SUMIFS(tblDaily[DeathsUnder24Hrs],tblDaily[EntryDate],DATE(2026,12,26),tblDaily[WardCode],"BF")),"")</f>
        <v/>
      </c>
      <c r="F461" s="12">
        <f>IFERROR(IF(SUMIFS(tblDaily[TransfersIn],tblDaily[EntryDate],DATE(2026,12,26),tblDaily[WardCode],"BF")=0,"",SUMIFS(tblDaily[TransfersIn],tblDaily[EntryDate],DATE(2026,12,26),tblDaily[WardCode],"BF")),"")</f>
        <v/>
      </c>
      <c r="G461" s="12">
        <f>IFERROR(IF(SUMIFS(tblDaily[TransfersOut],tblDaily[EntryDate],DATE(2026,12,26),tblDaily[WardCode],"BF")=0,"",SUMIFS(tblDaily[TransfersOut],tblDaily[EntryDate],DATE(2026,12,26),tblDaily[WardCode],"BF")),"")</f>
        <v/>
      </c>
      <c r="H461" s="12">
        <f>IFERROR(IF(SUMIFS(tblDaily[Remaining],tblDaily[EntryDate],DATE(2026,12,26),tblDaily[WardCode],"BF")=0,"",SUMIFS(tblDaily[Remaining],tblDaily[EntryDate],DATE(2026,12,26),tblDaily[WardCode],"BF")),"")</f>
        <v/>
      </c>
    </row>
    <row r="462">
      <c r="A462" s="12" t="n">
        <v>27</v>
      </c>
      <c r="B462" s="12">
        <f>IFERROR(IF(SUMIFS(tblDaily[Admissions],tblDaily[EntryDate],DATE(2026,12,27),tblDaily[WardCode],"BF")=0,"",SUMIFS(tblDaily[Admissions],tblDaily[EntryDate],DATE(2026,12,27),tblDaily[WardCode],"BF")),"")</f>
        <v/>
      </c>
      <c r="C462" s="12">
        <f>IFERROR(IF(SUMIFS(tblDaily[Discharges],tblDaily[EntryDate],DATE(2026,12,27),tblDaily[WardCode],"BF")=0,"",SUMIFS(tblDaily[Discharges],tblDaily[EntryDate],DATE(2026,12,27),tblDaily[WardCode],"BF")),"")</f>
        <v/>
      </c>
      <c r="D462" s="12">
        <f>IFERROR(IF(SUMIFS(tblDaily[Deaths],tblDaily[EntryDate],DATE(2026,12,27),tblDaily[WardCode],"BF")=0,"",SUMIFS(tblDaily[Deaths],tblDaily[EntryDate],DATE(2026,12,27),tblDaily[WardCode],"BF")),"")</f>
        <v/>
      </c>
      <c r="E462" s="12">
        <f>IFERROR(IF(SUMIFS(tblDaily[DeathsUnder24Hrs],tblDaily[EntryDate],DATE(2026,12,27),tblDaily[WardCode],"BF")=0,"",SUMIFS(tblDaily[DeathsUnder24Hrs],tblDaily[EntryDate],DATE(2026,12,27),tblDaily[WardCode],"BF")),"")</f>
        <v/>
      </c>
      <c r="F462" s="12">
        <f>IFERROR(IF(SUMIFS(tblDaily[TransfersIn],tblDaily[EntryDate],DATE(2026,12,27),tblDaily[WardCode],"BF")=0,"",SUMIFS(tblDaily[TransfersIn],tblDaily[EntryDate],DATE(2026,12,27),tblDaily[WardCode],"BF")),"")</f>
        <v/>
      </c>
      <c r="G462" s="12">
        <f>IFERROR(IF(SUMIFS(tblDaily[TransfersOut],tblDaily[EntryDate],DATE(2026,12,27),tblDaily[WardCode],"BF")=0,"",SUMIFS(tblDaily[TransfersOut],tblDaily[EntryDate],DATE(2026,12,27),tblDaily[WardCode],"BF")),"")</f>
        <v/>
      </c>
      <c r="H462" s="12">
        <f>IFERROR(IF(SUMIFS(tblDaily[Remaining],tblDaily[EntryDate],DATE(2026,12,27),tblDaily[WardCode],"BF")=0,"",SUMIFS(tblDaily[Remaining],tblDaily[EntryDate],DATE(2026,12,27),tblDaily[WardCode],"BF")),"")</f>
        <v/>
      </c>
    </row>
    <row r="463">
      <c r="A463" s="12" t="n">
        <v>28</v>
      </c>
      <c r="B463" s="12">
        <f>IFERROR(IF(SUMIFS(tblDaily[Admissions],tblDaily[EntryDate],DATE(2026,12,28),tblDaily[WardCode],"BF")=0,"",SUMIFS(tblDaily[Admissions],tblDaily[EntryDate],DATE(2026,12,28),tblDaily[WardCode],"BF")),"")</f>
        <v/>
      </c>
      <c r="C463" s="12">
        <f>IFERROR(IF(SUMIFS(tblDaily[Discharges],tblDaily[EntryDate],DATE(2026,12,28),tblDaily[WardCode],"BF")=0,"",SUMIFS(tblDaily[Discharges],tblDaily[EntryDate],DATE(2026,12,28),tblDaily[WardCode],"BF")),"")</f>
        <v/>
      </c>
      <c r="D463" s="12">
        <f>IFERROR(IF(SUMIFS(tblDaily[Deaths],tblDaily[EntryDate],DATE(2026,12,28),tblDaily[WardCode],"BF")=0,"",SUMIFS(tblDaily[Deaths],tblDaily[EntryDate],DATE(2026,12,28),tblDaily[WardCode],"BF")),"")</f>
        <v/>
      </c>
      <c r="E463" s="12">
        <f>IFERROR(IF(SUMIFS(tblDaily[DeathsUnder24Hrs],tblDaily[EntryDate],DATE(2026,12,28),tblDaily[WardCode],"BF")=0,"",SUMIFS(tblDaily[DeathsUnder24Hrs],tblDaily[EntryDate],DATE(2026,12,28),tblDaily[WardCode],"BF")),"")</f>
        <v/>
      </c>
      <c r="F463" s="12">
        <f>IFERROR(IF(SUMIFS(tblDaily[TransfersIn],tblDaily[EntryDate],DATE(2026,12,28),tblDaily[WardCode],"BF")=0,"",SUMIFS(tblDaily[TransfersIn],tblDaily[EntryDate],DATE(2026,12,28),tblDaily[WardCode],"BF")),"")</f>
        <v/>
      </c>
      <c r="G463" s="12">
        <f>IFERROR(IF(SUMIFS(tblDaily[TransfersOut],tblDaily[EntryDate],DATE(2026,12,28),tblDaily[WardCode],"BF")=0,"",SUMIFS(tblDaily[TransfersOut],tblDaily[EntryDate],DATE(2026,12,28),tblDaily[WardCode],"BF")),"")</f>
        <v/>
      </c>
      <c r="H463" s="12">
        <f>IFERROR(IF(SUMIFS(tblDaily[Remaining],tblDaily[EntryDate],DATE(2026,12,28),tblDaily[WardCode],"BF")=0,"",SUMIFS(tblDaily[Remaining],tblDaily[EntryDate],DATE(2026,12,28),tblDaily[WardCode],"BF")),"")</f>
        <v/>
      </c>
    </row>
    <row r="464">
      <c r="A464" s="12" t="n">
        <v>29</v>
      </c>
      <c r="B464" s="12">
        <f>IFERROR(IF(SUMIFS(tblDaily[Admissions],tblDaily[EntryDate],DATE(2026,12,29),tblDaily[WardCode],"BF")=0,"",SUMIFS(tblDaily[Admissions],tblDaily[EntryDate],DATE(2026,12,29),tblDaily[WardCode],"BF")),"")</f>
        <v/>
      </c>
      <c r="C464" s="12">
        <f>IFERROR(IF(SUMIFS(tblDaily[Discharges],tblDaily[EntryDate],DATE(2026,12,29),tblDaily[WardCode],"BF")=0,"",SUMIFS(tblDaily[Discharges],tblDaily[EntryDate],DATE(2026,12,29),tblDaily[WardCode],"BF")),"")</f>
        <v/>
      </c>
      <c r="D464" s="12">
        <f>IFERROR(IF(SUMIFS(tblDaily[Deaths],tblDaily[EntryDate],DATE(2026,12,29),tblDaily[WardCode],"BF")=0,"",SUMIFS(tblDaily[Deaths],tblDaily[EntryDate],DATE(2026,12,29),tblDaily[WardCode],"BF")),"")</f>
        <v/>
      </c>
      <c r="E464" s="12">
        <f>IFERROR(IF(SUMIFS(tblDaily[DeathsUnder24Hrs],tblDaily[EntryDate],DATE(2026,12,29),tblDaily[WardCode],"BF")=0,"",SUMIFS(tblDaily[DeathsUnder24Hrs],tblDaily[EntryDate],DATE(2026,12,29),tblDaily[WardCode],"BF")),"")</f>
        <v/>
      </c>
      <c r="F464" s="12">
        <f>IFERROR(IF(SUMIFS(tblDaily[TransfersIn],tblDaily[EntryDate],DATE(2026,12,29),tblDaily[WardCode],"BF")=0,"",SUMIFS(tblDaily[TransfersIn],tblDaily[EntryDate],DATE(2026,12,29),tblDaily[WardCode],"BF")),"")</f>
        <v/>
      </c>
      <c r="G464" s="12">
        <f>IFERROR(IF(SUMIFS(tblDaily[TransfersOut],tblDaily[EntryDate],DATE(2026,12,29),tblDaily[WardCode],"BF")=0,"",SUMIFS(tblDaily[TransfersOut],tblDaily[EntryDate],DATE(2026,12,29),tblDaily[WardCode],"BF")),"")</f>
        <v/>
      </c>
      <c r="H464" s="12">
        <f>IFERROR(IF(SUMIFS(tblDaily[Remaining],tblDaily[EntryDate],DATE(2026,12,29),tblDaily[WardCode],"BF")=0,"",SUMIFS(tblDaily[Remaining],tblDaily[EntryDate],DATE(2026,12,29),tblDaily[WardCode],"BF")),"")</f>
        <v/>
      </c>
    </row>
    <row r="465">
      <c r="A465" s="12" t="n">
        <v>30</v>
      </c>
      <c r="B465" s="12">
        <f>IFERROR(IF(SUMIFS(tblDaily[Admissions],tblDaily[EntryDate],DATE(2026,12,30),tblDaily[WardCode],"BF")=0,"",SUMIFS(tblDaily[Admissions],tblDaily[EntryDate],DATE(2026,12,30),tblDaily[WardCode],"BF")),"")</f>
        <v/>
      </c>
      <c r="C465" s="12">
        <f>IFERROR(IF(SUMIFS(tblDaily[Discharges],tblDaily[EntryDate],DATE(2026,12,30),tblDaily[WardCode],"BF")=0,"",SUMIFS(tblDaily[Discharges],tblDaily[EntryDate],DATE(2026,12,30),tblDaily[WardCode],"BF")),"")</f>
        <v/>
      </c>
      <c r="D465" s="12">
        <f>IFERROR(IF(SUMIFS(tblDaily[Deaths],tblDaily[EntryDate],DATE(2026,12,30),tblDaily[WardCode],"BF")=0,"",SUMIFS(tblDaily[Deaths],tblDaily[EntryDate],DATE(2026,12,30),tblDaily[WardCode],"BF")),"")</f>
        <v/>
      </c>
      <c r="E465" s="12">
        <f>IFERROR(IF(SUMIFS(tblDaily[DeathsUnder24Hrs],tblDaily[EntryDate],DATE(2026,12,30),tblDaily[WardCode],"BF")=0,"",SUMIFS(tblDaily[DeathsUnder24Hrs],tblDaily[EntryDate],DATE(2026,12,30),tblDaily[WardCode],"BF")),"")</f>
        <v/>
      </c>
      <c r="F465" s="12">
        <f>IFERROR(IF(SUMIFS(tblDaily[TransfersIn],tblDaily[EntryDate],DATE(2026,12,30),tblDaily[WardCode],"BF")=0,"",SUMIFS(tblDaily[TransfersIn],tblDaily[EntryDate],DATE(2026,12,30),tblDaily[WardCode],"BF")),"")</f>
        <v/>
      </c>
      <c r="G465" s="12">
        <f>IFERROR(IF(SUMIFS(tblDaily[TransfersOut],tblDaily[EntryDate],DATE(2026,12,30),tblDaily[WardCode],"BF")=0,"",SUMIFS(tblDaily[TransfersOut],tblDaily[EntryDate],DATE(2026,12,30),tblDaily[WardCode],"BF")),"")</f>
        <v/>
      </c>
      <c r="H465" s="12">
        <f>IFERROR(IF(SUMIFS(tblDaily[Remaining],tblDaily[EntryDate],DATE(2026,12,30),tblDaily[WardCode],"BF")=0,"",SUMIFS(tblDaily[Remaining],tblDaily[EntryDate],DATE(2026,12,30),tblDaily[WardCode],"BF")),"")</f>
        <v/>
      </c>
    </row>
    <row r="466">
      <c r="A466" s="12" t="n">
        <v>31</v>
      </c>
      <c r="B466" s="12">
        <f>IFERROR(IF(SUMIFS(tblDaily[Admissions],tblDaily[EntryDate],DATE(2026,12,31),tblDaily[WardCode],"BF")=0,"",SUMIFS(tblDaily[Admissions],tblDaily[EntryDate],DATE(2026,12,31),tblDaily[WardCode],"BF")),"")</f>
        <v/>
      </c>
      <c r="C466" s="12">
        <f>IFERROR(IF(SUMIFS(tblDaily[Discharges],tblDaily[EntryDate],DATE(2026,12,31),tblDaily[WardCode],"BF")=0,"",SUMIFS(tblDaily[Discharges],tblDaily[EntryDate],DATE(2026,12,31),tblDaily[WardCode],"BF")),"")</f>
        <v/>
      </c>
      <c r="D466" s="12">
        <f>IFERROR(IF(SUMIFS(tblDaily[Deaths],tblDaily[EntryDate],DATE(2026,12,31),tblDaily[WardCode],"BF")=0,"",SUMIFS(tblDaily[Deaths],tblDaily[EntryDate],DATE(2026,12,31),tblDaily[WardCode],"BF")),"")</f>
        <v/>
      </c>
      <c r="E466" s="12">
        <f>IFERROR(IF(SUMIFS(tblDaily[DeathsUnder24Hrs],tblDaily[EntryDate],DATE(2026,12,31),tblDaily[WardCode],"BF")=0,"",SUMIFS(tblDaily[DeathsUnder24Hrs],tblDaily[EntryDate],DATE(2026,12,31),tblDaily[WardCode],"BF")),"")</f>
        <v/>
      </c>
      <c r="F466" s="12">
        <f>IFERROR(IF(SUMIFS(tblDaily[TransfersIn],tblDaily[EntryDate],DATE(2026,12,31),tblDaily[WardCode],"BF")=0,"",SUMIFS(tblDaily[TransfersIn],tblDaily[EntryDate],DATE(2026,12,31),tblDaily[WardCode],"BF")),"")</f>
        <v/>
      </c>
      <c r="G466" s="12">
        <f>IFERROR(IF(SUMIFS(tblDaily[TransfersOut],tblDaily[EntryDate],DATE(2026,12,31),tblDaily[WardCode],"BF")=0,"",SUMIFS(tblDaily[TransfersOut],tblDaily[EntryDate],DATE(2026,12,31),tblDaily[WardCode],"BF")),"")</f>
        <v/>
      </c>
      <c r="H466" s="12">
        <f>IFERROR(IF(SUMIFS(tblDaily[Remaining],tblDaily[EntryDate],DATE(2026,12,31),tblDaily[WardCode],"BF")=0,"",SUMIFS(tblDaily[Remaining],tblDaily[EntryDate],DATE(2026,12,31),tblDaily[WardCode],"BF")),"")</f>
        <v/>
      </c>
    </row>
    <row r="467">
      <c r="A467" s="17" t="inlineStr">
        <is>
          <t>TOTAL</t>
        </is>
      </c>
      <c r="B467" s="17">
        <f>SUMIFS(tblDaily[Admissions],tblDaily[Month],12,tblDaily[WardCode],"BF") - SUMIFS(tblDaily[DeathsUnder24Hrs],tblDaily[Month],12,tblDaily[WardCode],"BF")</f>
        <v/>
      </c>
      <c r="C467" s="17">
        <f>SUMIFS(tblDaily[Discharges],tblDaily[Month],12,tblDaily[WardCode],"BF")</f>
        <v/>
      </c>
      <c r="D467" s="17">
        <f>SUMIFS(tblDaily[Deaths],tblDaily[Month],12,tblDaily[WardCode],"BF")</f>
        <v/>
      </c>
      <c r="E467" s="17">
        <f>SUMIFS(tblDaily[DeathsUnder24Hrs],tblDaily[Month],12,tblDaily[WardCode],"BF")</f>
        <v/>
      </c>
      <c r="F467" s="17">
        <f>SUMIFS(tblDaily[TransfersIn],tblDaily[Month],12,tblDaily[WardCode],"BF")</f>
        <v/>
      </c>
      <c r="G467" s="17">
        <f>SUMIFS(tblDaily[TransfersOut],tblDaily[Month],12,tblDaily[WardCode],"BF")</f>
        <v/>
      </c>
      <c r="H467" s="17">
        <f>SUMIFS(tblDaily[Remaining],tblDaily[Month],12,tblDaily[WardCode],"BF")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BLOCK G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4">
        <f>IFERROR(INDEX(tblWardConfig[PrevYearRemaining],MATCH("BG",tblWardConfig[WardCode],0)),0)</f>
        <v/>
      </c>
    </row>
    <row r="5">
      <c r="A5" s="4" t="inlineStr">
        <is>
          <t>Bed complement</t>
        </is>
      </c>
      <c r="H5" s="15">
        <f>IFERROR(INDEX(tblWardConfig[BedComplement],MATCH("BG",tblWardConfig[WardCode],0)),0)</f>
        <v/>
      </c>
    </row>
    <row r="6">
      <c r="A6" s="16" t="inlineStr">
        <is>
          <t>Day of
the
Month</t>
        </is>
      </c>
      <c r="B6" s="16" t="inlineStr">
        <is>
          <t>Admissions</t>
        </is>
      </c>
      <c r="C6" s="16" t="inlineStr">
        <is>
          <t>Discharges</t>
        </is>
      </c>
      <c r="D6" s="16" t="inlineStr">
        <is>
          <t>Deaths</t>
        </is>
      </c>
      <c r="E6" s="16" t="inlineStr">
        <is>
          <t>Deaths
&lt;24Hrs</t>
        </is>
      </c>
      <c r="F6" s="16" t="inlineStr">
        <is>
          <t>Transfers-
In</t>
        </is>
      </c>
      <c r="G6" s="16" t="inlineStr">
        <is>
          <t>Transfers-
Out</t>
        </is>
      </c>
      <c r="H6" s="16" t="inlineStr">
        <is>
          <t>No. of Patients
Remaining In
Ward</t>
        </is>
      </c>
    </row>
    <row r="7">
      <c r="A7" s="12" t="n">
        <v>1</v>
      </c>
      <c r="B7" s="12">
        <f>IFERROR(IF(SUMIFS(tblDaily[Admissions],tblDaily[EntryDate],DATE(2026,1,1),tblDaily[WardCode],"BG")=0,"",SUMIFS(tblDaily[Admissions],tblDaily[EntryDate],DATE(2026,1,1),tblDaily[WardCode],"BG")),"")</f>
        <v/>
      </c>
      <c r="C7" s="12">
        <f>IFERROR(IF(SUMIFS(tblDaily[Discharges],tblDaily[EntryDate],DATE(2026,1,1),tblDaily[WardCode],"BG")=0,"",SUMIFS(tblDaily[Discharges],tblDaily[EntryDate],DATE(2026,1,1),tblDaily[WardCode],"BG")),"")</f>
        <v/>
      </c>
      <c r="D7" s="12">
        <f>IFERROR(IF(SUMIFS(tblDaily[Deaths],tblDaily[EntryDate],DATE(2026,1,1),tblDaily[WardCode],"BG")=0,"",SUMIFS(tblDaily[Deaths],tblDaily[EntryDate],DATE(2026,1,1),tblDaily[WardCode],"BG")),"")</f>
        <v/>
      </c>
      <c r="E7" s="12">
        <f>IFERROR(IF(SUMIFS(tblDaily[DeathsUnder24Hrs],tblDaily[EntryDate],DATE(2026,1,1),tblDaily[WardCode],"BG")=0,"",SUMIFS(tblDaily[DeathsUnder24Hrs],tblDaily[EntryDate],DATE(2026,1,1),tblDaily[WardCode],"BG")),"")</f>
        <v/>
      </c>
      <c r="F7" s="12">
        <f>IFERROR(IF(SUMIFS(tblDaily[TransfersIn],tblDaily[EntryDate],DATE(2026,1,1),tblDaily[WardCode],"BG")=0,"",SUMIFS(tblDaily[TransfersIn],tblDaily[EntryDate],DATE(2026,1,1),tblDaily[WardCode],"BG")),"")</f>
        <v/>
      </c>
      <c r="G7" s="12">
        <f>IFERROR(IF(SUMIFS(tblDaily[TransfersOut],tblDaily[EntryDate],DATE(2026,1,1),tblDaily[WardCode],"BG")=0,"",SUMIFS(tblDaily[TransfersOut],tblDaily[EntryDate],DATE(2026,1,1),tblDaily[WardCode],"BG")),"")</f>
        <v/>
      </c>
      <c r="H7" s="12">
        <f>IFERROR(IF(SUMIFS(tblDaily[Remaining],tblDaily[EntryDate],DATE(2026,1,1),tblDaily[WardCode],"BG")=0,"",SUMIFS(tblDaily[Remaining],tblDaily[EntryDate],DATE(2026,1,1),tblDaily[WardCode],"BG")),"")</f>
        <v/>
      </c>
    </row>
    <row r="8">
      <c r="A8" s="12" t="n">
        <v>2</v>
      </c>
      <c r="B8" s="12">
        <f>IFERROR(IF(SUMIFS(tblDaily[Admissions],tblDaily[EntryDate],DATE(2026,1,2),tblDaily[WardCode],"BG")=0,"",SUMIFS(tblDaily[Admissions],tblDaily[EntryDate],DATE(2026,1,2),tblDaily[WardCode],"BG")),"")</f>
        <v/>
      </c>
      <c r="C8" s="12">
        <f>IFERROR(IF(SUMIFS(tblDaily[Discharges],tblDaily[EntryDate],DATE(2026,1,2),tblDaily[WardCode],"BG")=0,"",SUMIFS(tblDaily[Discharges],tblDaily[EntryDate],DATE(2026,1,2),tblDaily[WardCode],"BG")),"")</f>
        <v/>
      </c>
      <c r="D8" s="12">
        <f>IFERROR(IF(SUMIFS(tblDaily[Deaths],tblDaily[EntryDate],DATE(2026,1,2),tblDaily[WardCode],"BG")=0,"",SUMIFS(tblDaily[Deaths],tblDaily[EntryDate],DATE(2026,1,2),tblDaily[WardCode],"BG")),"")</f>
        <v/>
      </c>
      <c r="E8" s="12">
        <f>IFERROR(IF(SUMIFS(tblDaily[DeathsUnder24Hrs],tblDaily[EntryDate],DATE(2026,1,2),tblDaily[WardCode],"BG")=0,"",SUMIFS(tblDaily[DeathsUnder24Hrs],tblDaily[EntryDate],DATE(2026,1,2),tblDaily[WardCode],"BG")),"")</f>
        <v/>
      </c>
      <c r="F8" s="12">
        <f>IFERROR(IF(SUMIFS(tblDaily[TransfersIn],tblDaily[EntryDate],DATE(2026,1,2),tblDaily[WardCode],"BG")=0,"",SUMIFS(tblDaily[TransfersIn],tblDaily[EntryDate],DATE(2026,1,2),tblDaily[WardCode],"BG")),"")</f>
        <v/>
      </c>
      <c r="G8" s="12">
        <f>IFERROR(IF(SUMIFS(tblDaily[TransfersOut],tblDaily[EntryDate],DATE(2026,1,2),tblDaily[WardCode],"BG")=0,"",SUMIFS(tblDaily[TransfersOut],tblDaily[EntryDate],DATE(2026,1,2),tblDaily[WardCode],"BG")),"")</f>
        <v/>
      </c>
      <c r="H8" s="12">
        <f>IFERROR(IF(SUMIFS(tblDaily[Remaining],tblDaily[EntryDate],DATE(2026,1,2),tblDaily[WardCode],"BG")=0,"",SUMIFS(tblDaily[Remaining],tblDaily[EntryDate],DATE(2026,1,2),tblDaily[WardCode],"BG")),"")</f>
        <v/>
      </c>
    </row>
    <row r="9">
      <c r="A9" s="12" t="n">
        <v>3</v>
      </c>
      <c r="B9" s="12">
        <f>IFERROR(IF(SUMIFS(tblDaily[Admissions],tblDaily[EntryDate],DATE(2026,1,3),tblDaily[WardCode],"BG")=0,"",SUMIFS(tblDaily[Admissions],tblDaily[EntryDate],DATE(2026,1,3),tblDaily[WardCode],"BG")),"")</f>
        <v/>
      </c>
      <c r="C9" s="12">
        <f>IFERROR(IF(SUMIFS(tblDaily[Discharges],tblDaily[EntryDate],DATE(2026,1,3),tblDaily[WardCode],"BG")=0,"",SUMIFS(tblDaily[Discharges],tblDaily[EntryDate],DATE(2026,1,3),tblDaily[WardCode],"BG")),"")</f>
        <v/>
      </c>
      <c r="D9" s="12">
        <f>IFERROR(IF(SUMIFS(tblDaily[Deaths],tblDaily[EntryDate],DATE(2026,1,3),tblDaily[WardCode],"BG")=0,"",SUMIFS(tblDaily[Deaths],tblDaily[EntryDate],DATE(2026,1,3),tblDaily[WardCode],"BG")),"")</f>
        <v/>
      </c>
      <c r="E9" s="12">
        <f>IFERROR(IF(SUMIFS(tblDaily[DeathsUnder24Hrs],tblDaily[EntryDate],DATE(2026,1,3),tblDaily[WardCode],"BG")=0,"",SUMIFS(tblDaily[DeathsUnder24Hrs],tblDaily[EntryDate],DATE(2026,1,3),tblDaily[WardCode],"BG")),"")</f>
        <v/>
      </c>
      <c r="F9" s="12">
        <f>IFERROR(IF(SUMIFS(tblDaily[TransfersIn],tblDaily[EntryDate],DATE(2026,1,3),tblDaily[WardCode],"BG")=0,"",SUMIFS(tblDaily[TransfersIn],tblDaily[EntryDate],DATE(2026,1,3),tblDaily[WardCode],"BG")),"")</f>
        <v/>
      </c>
      <c r="G9" s="12">
        <f>IFERROR(IF(SUMIFS(tblDaily[TransfersOut],tblDaily[EntryDate],DATE(2026,1,3),tblDaily[WardCode],"BG")=0,"",SUMIFS(tblDaily[TransfersOut],tblDaily[EntryDate],DATE(2026,1,3),tblDaily[WardCode],"BG")),"")</f>
        <v/>
      </c>
      <c r="H9" s="12">
        <f>IFERROR(IF(SUMIFS(tblDaily[Remaining],tblDaily[EntryDate],DATE(2026,1,3),tblDaily[WardCode],"BG")=0,"",SUMIFS(tblDaily[Remaining],tblDaily[EntryDate],DATE(2026,1,3),tblDaily[WardCode],"BG")),"")</f>
        <v/>
      </c>
    </row>
    <row r="10">
      <c r="A10" s="12" t="n">
        <v>4</v>
      </c>
      <c r="B10" s="12">
        <f>IFERROR(IF(SUMIFS(tblDaily[Admissions],tblDaily[EntryDate],DATE(2026,1,4),tblDaily[WardCode],"BG")=0,"",SUMIFS(tblDaily[Admissions],tblDaily[EntryDate],DATE(2026,1,4),tblDaily[WardCode],"BG")),"")</f>
        <v/>
      </c>
      <c r="C10" s="12">
        <f>IFERROR(IF(SUMIFS(tblDaily[Discharges],tblDaily[EntryDate],DATE(2026,1,4),tblDaily[WardCode],"BG")=0,"",SUMIFS(tblDaily[Discharges],tblDaily[EntryDate],DATE(2026,1,4),tblDaily[WardCode],"BG")),"")</f>
        <v/>
      </c>
      <c r="D10" s="12">
        <f>IFERROR(IF(SUMIFS(tblDaily[Deaths],tblDaily[EntryDate],DATE(2026,1,4),tblDaily[WardCode],"BG")=0,"",SUMIFS(tblDaily[Deaths],tblDaily[EntryDate],DATE(2026,1,4),tblDaily[WardCode],"BG")),"")</f>
        <v/>
      </c>
      <c r="E10" s="12">
        <f>IFERROR(IF(SUMIFS(tblDaily[DeathsUnder24Hrs],tblDaily[EntryDate],DATE(2026,1,4),tblDaily[WardCode],"BG")=0,"",SUMIFS(tblDaily[DeathsUnder24Hrs],tblDaily[EntryDate],DATE(2026,1,4),tblDaily[WardCode],"BG")),"")</f>
        <v/>
      </c>
      <c r="F10" s="12">
        <f>IFERROR(IF(SUMIFS(tblDaily[TransfersIn],tblDaily[EntryDate],DATE(2026,1,4),tblDaily[WardCode],"BG")=0,"",SUMIFS(tblDaily[TransfersIn],tblDaily[EntryDate],DATE(2026,1,4),tblDaily[WardCode],"BG")),"")</f>
        <v/>
      </c>
      <c r="G10" s="12">
        <f>IFERROR(IF(SUMIFS(tblDaily[TransfersOut],tblDaily[EntryDate],DATE(2026,1,4),tblDaily[WardCode],"BG")=0,"",SUMIFS(tblDaily[TransfersOut],tblDaily[EntryDate],DATE(2026,1,4),tblDaily[WardCode],"BG")),"")</f>
        <v/>
      </c>
      <c r="H10" s="12">
        <f>IFERROR(IF(SUMIFS(tblDaily[Remaining],tblDaily[EntryDate],DATE(2026,1,4),tblDaily[WardCode],"BG")=0,"",SUMIFS(tblDaily[Remaining],tblDaily[EntryDate],DATE(2026,1,4),tblDaily[WardCode],"BG")),"")</f>
        <v/>
      </c>
    </row>
    <row r="11">
      <c r="A11" s="12" t="n">
        <v>5</v>
      </c>
      <c r="B11" s="12">
        <f>IFERROR(IF(SUMIFS(tblDaily[Admissions],tblDaily[EntryDate],DATE(2026,1,5),tblDaily[WardCode],"BG")=0,"",SUMIFS(tblDaily[Admissions],tblDaily[EntryDate],DATE(2026,1,5),tblDaily[WardCode],"BG")),"")</f>
        <v/>
      </c>
      <c r="C11" s="12">
        <f>IFERROR(IF(SUMIFS(tblDaily[Discharges],tblDaily[EntryDate],DATE(2026,1,5),tblDaily[WardCode],"BG")=0,"",SUMIFS(tblDaily[Discharges],tblDaily[EntryDate],DATE(2026,1,5),tblDaily[WardCode],"BG")),"")</f>
        <v/>
      </c>
      <c r="D11" s="12">
        <f>IFERROR(IF(SUMIFS(tblDaily[Deaths],tblDaily[EntryDate],DATE(2026,1,5),tblDaily[WardCode],"BG")=0,"",SUMIFS(tblDaily[Deaths],tblDaily[EntryDate],DATE(2026,1,5),tblDaily[WardCode],"BG")),"")</f>
        <v/>
      </c>
      <c r="E11" s="12">
        <f>IFERROR(IF(SUMIFS(tblDaily[DeathsUnder24Hrs],tblDaily[EntryDate],DATE(2026,1,5),tblDaily[WardCode],"BG")=0,"",SUMIFS(tblDaily[DeathsUnder24Hrs],tblDaily[EntryDate],DATE(2026,1,5),tblDaily[WardCode],"BG")),"")</f>
        <v/>
      </c>
      <c r="F11" s="12">
        <f>IFERROR(IF(SUMIFS(tblDaily[TransfersIn],tblDaily[EntryDate],DATE(2026,1,5),tblDaily[WardCode],"BG")=0,"",SUMIFS(tblDaily[TransfersIn],tblDaily[EntryDate],DATE(2026,1,5),tblDaily[WardCode],"BG")),"")</f>
        <v/>
      </c>
      <c r="G11" s="12">
        <f>IFERROR(IF(SUMIFS(tblDaily[TransfersOut],tblDaily[EntryDate],DATE(2026,1,5),tblDaily[WardCode],"BG")=0,"",SUMIFS(tblDaily[TransfersOut],tblDaily[EntryDate],DATE(2026,1,5),tblDaily[WardCode],"BG")),"")</f>
        <v/>
      </c>
      <c r="H11" s="12">
        <f>IFERROR(IF(SUMIFS(tblDaily[Remaining],tblDaily[EntryDate],DATE(2026,1,5),tblDaily[WardCode],"BG")=0,"",SUMIFS(tblDaily[Remaining],tblDaily[EntryDate],DATE(2026,1,5),tblDaily[WardCode],"BG")),"")</f>
        <v/>
      </c>
    </row>
    <row r="12">
      <c r="A12" s="12" t="n">
        <v>6</v>
      </c>
      <c r="B12" s="12">
        <f>IFERROR(IF(SUMIFS(tblDaily[Admissions],tblDaily[EntryDate],DATE(2026,1,6),tblDaily[WardCode],"BG")=0,"",SUMIFS(tblDaily[Admissions],tblDaily[EntryDate],DATE(2026,1,6),tblDaily[WardCode],"BG")),"")</f>
        <v/>
      </c>
      <c r="C12" s="12">
        <f>IFERROR(IF(SUMIFS(tblDaily[Discharges],tblDaily[EntryDate],DATE(2026,1,6),tblDaily[WardCode],"BG")=0,"",SUMIFS(tblDaily[Discharges],tblDaily[EntryDate],DATE(2026,1,6),tblDaily[WardCode],"BG")),"")</f>
        <v/>
      </c>
      <c r="D12" s="12">
        <f>IFERROR(IF(SUMIFS(tblDaily[Deaths],tblDaily[EntryDate],DATE(2026,1,6),tblDaily[WardCode],"BG")=0,"",SUMIFS(tblDaily[Deaths],tblDaily[EntryDate],DATE(2026,1,6),tblDaily[WardCode],"BG")),"")</f>
        <v/>
      </c>
      <c r="E12" s="12">
        <f>IFERROR(IF(SUMIFS(tblDaily[DeathsUnder24Hrs],tblDaily[EntryDate],DATE(2026,1,6),tblDaily[WardCode],"BG")=0,"",SUMIFS(tblDaily[DeathsUnder24Hrs],tblDaily[EntryDate],DATE(2026,1,6),tblDaily[WardCode],"BG")),"")</f>
        <v/>
      </c>
      <c r="F12" s="12">
        <f>IFERROR(IF(SUMIFS(tblDaily[TransfersIn],tblDaily[EntryDate],DATE(2026,1,6),tblDaily[WardCode],"BG")=0,"",SUMIFS(tblDaily[TransfersIn],tblDaily[EntryDate],DATE(2026,1,6),tblDaily[WardCode],"BG")),"")</f>
        <v/>
      </c>
      <c r="G12" s="12">
        <f>IFERROR(IF(SUMIFS(tblDaily[TransfersOut],tblDaily[EntryDate],DATE(2026,1,6),tblDaily[WardCode],"BG")=0,"",SUMIFS(tblDaily[TransfersOut],tblDaily[EntryDate],DATE(2026,1,6),tblDaily[WardCode],"BG")),"")</f>
        <v/>
      </c>
      <c r="H12" s="12">
        <f>IFERROR(IF(SUMIFS(tblDaily[Remaining],tblDaily[EntryDate],DATE(2026,1,6),tblDaily[WardCode],"BG")=0,"",SUMIFS(tblDaily[Remaining],tblDaily[EntryDate],DATE(2026,1,6),tblDaily[WardCode],"BG")),"")</f>
        <v/>
      </c>
    </row>
    <row r="13">
      <c r="A13" s="12" t="n">
        <v>7</v>
      </c>
      <c r="B13" s="12">
        <f>IFERROR(IF(SUMIFS(tblDaily[Admissions],tblDaily[EntryDate],DATE(2026,1,7),tblDaily[WardCode],"BG")=0,"",SUMIFS(tblDaily[Admissions],tblDaily[EntryDate],DATE(2026,1,7),tblDaily[WardCode],"BG")),"")</f>
        <v/>
      </c>
      <c r="C13" s="12">
        <f>IFERROR(IF(SUMIFS(tblDaily[Discharges],tblDaily[EntryDate],DATE(2026,1,7),tblDaily[WardCode],"BG")=0,"",SUMIFS(tblDaily[Discharges],tblDaily[EntryDate],DATE(2026,1,7),tblDaily[WardCode],"BG")),"")</f>
        <v/>
      </c>
      <c r="D13" s="12">
        <f>IFERROR(IF(SUMIFS(tblDaily[Deaths],tblDaily[EntryDate],DATE(2026,1,7),tblDaily[WardCode],"BG")=0,"",SUMIFS(tblDaily[Deaths],tblDaily[EntryDate],DATE(2026,1,7),tblDaily[WardCode],"BG")),"")</f>
        <v/>
      </c>
      <c r="E13" s="12">
        <f>IFERROR(IF(SUMIFS(tblDaily[DeathsUnder24Hrs],tblDaily[EntryDate],DATE(2026,1,7),tblDaily[WardCode],"BG")=0,"",SUMIFS(tblDaily[DeathsUnder24Hrs],tblDaily[EntryDate],DATE(2026,1,7),tblDaily[WardCode],"BG")),"")</f>
        <v/>
      </c>
      <c r="F13" s="12">
        <f>IFERROR(IF(SUMIFS(tblDaily[TransfersIn],tblDaily[EntryDate],DATE(2026,1,7),tblDaily[WardCode],"BG")=0,"",SUMIFS(tblDaily[TransfersIn],tblDaily[EntryDate],DATE(2026,1,7),tblDaily[WardCode],"BG")),"")</f>
        <v/>
      </c>
      <c r="G13" s="12">
        <f>IFERROR(IF(SUMIFS(tblDaily[TransfersOut],tblDaily[EntryDate],DATE(2026,1,7),tblDaily[WardCode],"BG")=0,"",SUMIFS(tblDaily[TransfersOut],tblDaily[EntryDate],DATE(2026,1,7),tblDaily[WardCode],"BG")),"")</f>
        <v/>
      </c>
      <c r="H13" s="12">
        <f>IFERROR(IF(SUMIFS(tblDaily[Remaining],tblDaily[EntryDate],DATE(2026,1,7),tblDaily[WardCode],"BG")=0,"",SUMIFS(tblDaily[Remaining],tblDaily[EntryDate],DATE(2026,1,7),tblDaily[WardCode],"BG")),"")</f>
        <v/>
      </c>
    </row>
    <row r="14">
      <c r="A14" s="12" t="n">
        <v>8</v>
      </c>
      <c r="B14" s="12">
        <f>IFERROR(IF(SUMIFS(tblDaily[Admissions],tblDaily[EntryDate],DATE(2026,1,8),tblDaily[WardCode],"BG")=0,"",SUMIFS(tblDaily[Admissions],tblDaily[EntryDate],DATE(2026,1,8),tblDaily[WardCode],"BG")),"")</f>
        <v/>
      </c>
      <c r="C14" s="12">
        <f>IFERROR(IF(SUMIFS(tblDaily[Discharges],tblDaily[EntryDate],DATE(2026,1,8),tblDaily[WardCode],"BG")=0,"",SUMIFS(tblDaily[Discharges],tblDaily[EntryDate],DATE(2026,1,8),tblDaily[WardCode],"BG")),"")</f>
        <v/>
      </c>
      <c r="D14" s="12">
        <f>IFERROR(IF(SUMIFS(tblDaily[Deaths],tblDaily[EntryDate],DATE(2026,1,8),tblDaily[WardCode],"BG")=0,"",SUMIFS(tblDaily[Deaths],tblDaily[EntryDate],DATE(2026,1,8),tblDaily[WardCode],"BG")),"")</f>
        <v/>
      </c>
      <c r="E14" s="12">
        <f>IFERROR(IF(SUMIFS(tblDaily[DeathsUnder24Hrs],tblDaily[EntryDate],DATE(2026,1,8),tblDaily[WardCode],"BG")=0,"",SUMIFS(tblDaily[DeathsUnder24Hrs],tblDaily[EntryDate],DATE(2026,1,8),tblDaily[WardCode],"BG")),"")</f>
        <v/>
      </c>
      <c r="F14" s="12">
        <f>IFERROR(IF(SUMIFS(tblDaily[TransfersIn],tblDaily[EntryDate],DATE(2026,1,8),tblDaily[WardCode],"BG")=0,"",SUMIFS(tblDaily[TransfersIn],tblDaily[EntryDate],DATE(2026,1,8),tblDaily[WardCode],"BG")),"")</f>
        <v/>
      </c>
      <c r="G14" s="12">
        <f>IFERROR(IF(SUMIFS(tblDaily[TransfersOut],tblDaily[EntryDate],DATE(2026,1,8),tblDaily[WardCode],"BG")=0,"",SUMIFS(tblDaily[TransfersOut],tblDaily[EntryDate],DATE(2026,1,8),tblDaily[WardCode],"BG")),"")</f>
        <v/>
      </c>
      <c r="H14" s="12">
        <f>IFERROR(IF(SUMIFS(tblDaily[Remaining],tblDaily[EntryDate],DATE(2026,1,8),tblDaily[WardCode],"BG")=0,"",SUMIFS(tblDaily[Remaining],tblDaily[EntryDate],DATE(2026,1,8),tblDaily[WardCode],"BG")),"")</f>
        <v/>
      </c>
    </row>
    <row r="15">
      <c r="A15" s="12" t="n">
        <v>9</v>
      </c>
      <c r="B15" s="12">
        <f>IFERROR(IF(SUMIFS(tblDaily[Admissions],tblDaily[EntryDate],DATE(2026,1,9),tblDaily[WardCode],"BG")=0,"",SUMIFS(tblDaily[Admissions],tblDaily[EntryDate],DATE(2026,1,9),tblDaily[WardCode],"BG")),"")</f>
        <v/>
      </c>
      <c r="C15" s="12">
        <f>IFERROR(IF(SUMIFS(tblDaily[Discharges],tblDaily[EntryDate],DATE(2026,1,9),tblDaily[WardCode],"BG")=0,"",SUMIFS(tblDaily[Discharges],tblDaily[EntryDate],DATE(2026,1,9),tblDaily[WardCode],"BG")),"")</f>
        <v/>
      </c>
      <c r="D15" s="12">
        <f>IFERROR(IF(SUMIFS(tblDaily[Deaths],tblDaily[EntryDate],DATE(2026,1,9),tblDaily[WardCode],"BG")=0,"",SUMIFS(tblDaily[Deaths],tblDaily[EntryDate],DATE(2026,1,9),tblDaily[WardCode],"BG")),"")</f>
        <v/>
      </c>
      <c r="E15" s="12">
        <f>IFERROR(IF(SUMIFS(tblDaily[DeathsUnder24Hrs],tblDaily[EntryDate],DATE(2026,1,9),tblDaily[WardCode],"BG")=0,"",SUMIFS(tblDaily[DeathsUnder24Hrs],tblDaily[EntryDate],DATE(2026,1,9),tblDaily[WardCode],"BG")),"")</f>
        <v/>
      </c>
      <c r="F15" s="12">
        <f>IFERROR(IF(SUMIFS(tblDaily[TransfersIn],tblDaily[EntryDate],DATE(2026,1,9),tblDaily[WardCode],"BG")=0,"",SUMIFS(tblDaily[TransfersIn],tblDaily[EntryDate],DATE(2026,1,9),tblDaily[WardCode],"BG")),"")</f>
        <v/>
      </c>
      <c r="G15" s="12">
        <f>IFERROR(IF(SUMIFS(tblDaily[TransfersOut],tblDaily[EntryDate],DATE(2026,1,9),tblDaily[WardCode],"BG")=0,"",SUMIFS(tblDaily[TransfersOut],tblDaily[EntryDate],DATE(2026,1,9),tblDaily[WardCode],"BG")),"")</f>
        <v/>
      </c>
      <c r="H15" s="12">
        <f>IFERROR(IF(SUMIFS(tblDaily[Remaining],tblDaily[EntryDate],DATE(2026,1,9),tblDaily[WardCode],"BG")=0,"",SUMIFS(tblDaily[Remaining],tblDaily[EntryDate],DATE(2026,1,9),tblDaily[WardCode],"BG")),"")</f>
        <v/>
      </c>
    </row>
    <row r="16">
      <c r="A16" s="12" t="n">
        <v>10</v>
      </c>
      <c r="B16" s="12">
        <f>IFERROR(IF(SUMIFS(tblDaily[Admissions],tblDaily[EntryDate],DATE(2026,1,10),tblDaily[WardCode],"BG")=0,"",SUMIFS(tblDaily[Admissions],tblDaily[EntryDate],DATE(2026,1,10),tblDaily[WardCode],"BG")),"")</f>
        <v/>
      </c>
      <c r="C16" s="12">
        <f>IFERROR(IF(SUMIFS(tblDaily[Discharges],tblDaily[EntryDate],DATE(2026,1,10),tblDaily[WardCode],"BG")=0,"",SUMIFS(tblDaily[Discharges],tblDaily[EntryDate],DATE(2026,1,10),tblDaily[WardCode],"BG")),"")</f>
        <v/>
      </c>
      <c r="D16" s="12">
        <f>IFERROR(IF(SUMIFS(tblDaily[Deaths],tblDaily[EntryDate],DATE(2026,1,10),tblDaily[WardCode],"BG")=0,"",SUMIFS(tblDaily[Deaths],tblDaily[EntryDate],DATE(2026,1,10),tblDaily[WardCode],"BG")),"")</f>
        <v/>
      </c>
      <c r="E16" s="12">
        <f>IFERROR(IF(SUMIFS(tblDaily[DeathsUnder24Hrs],tblDaily[EntryDate],DATE(2026,1,10),tblDaily[WardCode],"BG")=0,"",SUMIFS(tblDaily[DeathsUnder24Hrs],tblDaily[EntryDate],DATE(2026,1,10),tblDaily[WardCode],"BG")),"")</f>
        <v/>
      </c>
      <c r="F16" s="12">
        <f>IFERROR(IF(SUMIFS(tblDaily[TransfersIn],tblDaily[EntryDate],DATE(2026,1,10),tblDaily[WardCode],"BG")=0,"",SUMIFS(tblDaily[TransfersIn],tblDaily[EntryDate],DATE(2026,1,10),tblDaily[WardCode],"BG")),"")</f>
        <v/>
      </c>
      <c r="G16" s="12">
        <f>IFERROR(IF(SUMIFS(tblDaily[TransfersOut],tblDaily[EntryDate],DATE(2026,1,10),tblDaily[WardCode],"BG")=0,"",SUMIFS(tblDaily[TransfersOut],tblDaily[EntryDate],DATE(2026,1,10),tblDaily[WardCode],"BG")),"")</f>
        <v/>
      </c>
      <c r="H16" s="12">
        <f>IFERROR(IF(SUMIFS(tblDaily[Remaining],tblDaily[EntryDate],DATE(2026,1,10),tblDaily[WardCode],"BG")=0,"",SUMIFS(tblDaily[Remaining],tblDaily[EntryDate],DATE(2026,1,10),tblDaily[WardCode],"BG")),"")</f>
        <v/>
      </c>
    </row>
    <row r="17">
      <c r="A17" s="12" t="n">
        <v>11</v>
      </c>
      <c r="B17" s="12">
        <f>IFERROR(IF(SUMIFS(tblDaily[Admissions],tblDaily[EntryDate],DATE(2026,1,11),tblDaily[WardCode],"BG")=0,"",SUMIFS(tblDaily[Admissions],tblDaily[EntryDate],DATE(2026,1,11),tblDaily[WardCode],"BG")),"")</f>
        <v/>
      </c>
      <c r="C17" s="12">
        <f>IFERROR(IF(SUMIFS(tblDaily[Discharges],tblDaily[EntryDate],DATE(2026,1,11),tblDaily[WardCode],"BG")=0,"",SUMIFS(tblDaily[Discharges],tblDaily[EntryDate],DATE(2026,1,11),tblDaily[WardCode],"BG")),"")</f>
        <v/>
      </c>
      <c r="D17" s="12">
        <f>IFERROR(IF(SUMIFS(tblDaily[Deaths],tblDaily[EntryDate],DATE(2026,1,11),tblDaily[WardCode],"BG")=0,"",SUMIFS(tblDaily[Deaths],tblDaily[EntryDate],DATE(2026,1,11),tblDaily[WardCode],"BG")),"")</f>
        <v/>
      </c>
      <c r="E17" s="12">
        <f>IFERROR(IF(SUMIFS(tblDaily[DeathsUnder24Hrs],tblDaily[EntryDate],DATE(2026,1,11),tblDaily[WardCode],"BG")=0,"",SUMIFS(tblDaily[DeathsUnder24Hrs],tblDaily[EntryDate],DATE(2026,1,11),tblDaily[WardCode],"BG")),"")</f>
        <v/>
      </c>
      <c r="F17" s="12">
        <f>IFERROR(IF(SUMIFS(tblDaily[TransfersIn],tblDaily[EntryDate],DATE(2026,1,11),tblDaily[WardCode],"BG")=0,"",SUMIFS(tblDaily[TransfersIn],tblDaily[EntryDate],DATE(2026,1,11),tblDaily[WardCode],"BG")),"")</f>
        <v/>
      </c>
      <c r="G17" s="12">
        <f>IFERROR(IF(SUMIFS(tblDaily[TransfersOut],tblDaily[EntryDate],DATE(2026,1,11),tblDaily[WardCode],"BG")=0,"",SUMIFS(tblDaily[TransfersOut],tblDaily[EntryDate],DATE(2026,1,11),tblDaily[WardCode],"BG")),"")</f>
        <v/>
      </c>
      <c r="H17" s="12">
        <f>IFERROR(IF(SUMIFS(tblDaily[Remaining],tblDaily[EntryDate],DATE(2026,1,11),tblDaily[WardCode],"BG")=0,"",SUMIFS(tblDaily[Remaining],tblDaily[EntryDate],DATE(2026,1,11),tblDaily[WardCode],"BG")),"")</f>
        <v/>
      </c>
    </row>
    <row r="18">
      <c r="A18" s="12" t="n">
        <v>12</v>
      </c>
      <c r="B18" s="12">
        <f>IFERROR(IF(SUMIFS(tblDaily[Admissions],tblDaily[EntryDate],DATE(2026,1,12),tblDaily[WardCode],"BG")=0,"",SUMIFS(tblDaily[Admissions],tblDaily[EntryDate],DATE(2026,1,12),tblDaily[WardCode],"BG")),"")</f>
        <v/>
      </c>
      <c r="C18" s="12">
        <f>IFERROR(IF(SUMIFS(tblDaily[Discharges],tblDaily[EntryDate],DATE(2026,1,12),tblDaily[WardCode],"BG")=0,"",SUMIFS(tblDaily[Discharges],tblDaily[EntryDate],DATE(2026,1,12),tblDaily[WardCode],"BG")),"")</f>
        <v/>
      </c>
      <c r="D18" s="12">
        <f>IFERROR(IF(SUMIFS(tblDaily[Deaths],tblDaily[EntryDate],DATE(2026,1,12),tblDaily[WardCode],"BG")=0,"",SUMIFS(tblDaily[Deaths],tblDaily[EntryDate],DATE(2026,1,12),tblDaily[WardCode],"BG")),"")</f>
        <v/>
      </c>
      <c r="E18" s="12">
        <f>IFERROR(IF(SUMIFS(tblDaily[DeathsUnder24Hrs],tblDaily[EntryDate],DATE(2026,1,12),tblDaily[WardCode],"BG")=0,"",SUMIFS(tblDaily[DeathsUnder24Hrs],tblDaily[EntryDate],DATE(2026,1,12),tblDaily[WardCode],"BG")),"")</f>
        <v/>
      </c>
      <c r="F18" s="12">
        <f>IFERROR(IF(SUMIFS(tblDaily[TransfersIn],tblDaily[EntryDate],DATE(2026,1,12),tblDaily[WardCode],"BG")=0,"",SUMIFS(tblDaily[TransfersIn],tblDaily[EntryDate],DATE(2026,1,12),tblDaily[WardCode],"BG")),"")</f>
        <v/>
      </c>
      <c r="G18" s="12">
        <f>IFERROR(IF(SUMIFS(tblDaily[TransfersOut],tblDaily[EntryDate],DATE(2026,1,12),tblDaily[WardCode],"BG")=0,"",SUMIFS(tblDaily[TransfersOut],tblDaily[EntryDate],DATE(2026,1,12),tblDaily[WardCode],"BG")),"")</f>
        <v/>
      </c>
      <c r="H18" s="12">
        <f>IFERROR(IF(SUMIFS(tblDaily[Remaining],tblDaily[EntryDate],DATE(2026,1,12),tblDaily[WardCode],"BG")=0,"",SUMIFS(tblDaily[Remaining],tblDaily[EntryDate],DATE(2026,1,12),tblDaily[WardCode],"BG")),"")</f>
        <v/>
      </c>
    </row>
    <row r="19">
      <c r="A19" s="12" t="n">
        <v>13</v>
      </c>
      <c r="B19" s="12">
        <f>IFERROR(IF(SUMIFS(tblDaily[Admissions],tblDaily[EntryDate],DATE(2026,1,13),tblDaily[WardCode],"BG")=0,"",SUMIFS(tblDaily[Admissions],tblDaily[EntryDate],DATE(2026,1,13),tblDaily[WardCode],"BG")),"")</f>
        <v/>
      </c>
      <c r="C19" s="12">
        <f>IFERROR(IF(SUMIFS(tblDaily[Discharges],tblDaily[EntryDate],DATE(2026,1,13),tblDaily[WardCode],"BG")=0,"",SUMIFS(tblDaily[Discharges],tblDaily[EntryDate],DATE(2026,1,13),tblDaily[WardCode],"BG")),"")</f>
        <v/>
      </c>
      <c r="D19" s="12">
        <f>IFERROR(IF(SUMIFS(tblDaily[Deaths],tblDaily[EntryDate],DATE(2026,1,13),tblDaily[WardCode],"BG")=0,"",SUMIFS(tblDaily[Deaths],tblDaily[EntryDate],DATE(2026,1,13),tblDaily[WardCode],"BG")),"")</f>
        <v/>
      </c>
      <c r="E19" s="12">
        <f>IFERROR(IF(SUMIFS(tblDaily[DeathsUnder24Hrs],tblDaily[EntryDate],DATE(2026,1,13),tblDaily[WardCode],"BG")=0,"",SUMIFS(tblDaily[DeathsUnder24Hrs],tblDaily[EntryDate],DATE(2026,1,13),tblDaily[WardCode],"BG")),"")</f>
        <v/>
      </c>
      <c r="F19" s="12">
        <f>IFERROR(IF(SUMIFS(tblDaily[TransfersIn],tblDaily[EntryDate],DATE(2026,1,13),tblDaily[WardCode],"BG")=0,"",SUMIFS(tblDaily[TransfersIn],tblDaily[EntryDate],DATE(2026,1,13),tblDaily[WardCode],"BG")),"")</f>
        <v/>
      </c>
      <c r="G19" s="12">
        <f>IFERROR(IF(SUMIFS(tblDaily[TransfersOut],tblDaily[EntryDate],DATE(2026,1,13),tblDaily[WardCode],"BG")=0,"",SUMIFS(tblDaily[TransfersOut],tblDaily[EntryDate],DATE(2026,1,13),tblDaily[WardCode],"BG")),"")</f>
        <v/>
      </c>
      <c r="H19" s="12">
        <f>IFERROR(IF(SUMIFS(tblDaily[Remaining],tblDaily[EntryDate],DATE(2026,1,13),tblDaily[WardCode],"BG")=0,"",SUMIFS(tblDaily[Remaining],tblDaily[EntryDate],DATE(2026,1,13),tblDaily[WardCode],"BG")),"")</f>
        <v/>
      </c>
    </row>
    <row r="20">
      <c r="A20" s="12" t="n">
        <v>14</v>
      </c>
      <c r="B20" s="12">
        <f>IFERROR(IF(SUMIFS(tblDaily[Admissions],tblDaily[EntryDate],DATE(2026,1,14),tblDaily[WardCode],"BG")=0,"",SUMIFS(tblDaily[Admissions],tblDaily[EntryDate],DATE(2026,1,14),tblDaily[WardCode],"BG")),"")</f>
        <v/>
      </c>
      <c r="C20" s="12">
        <f>IFERROR(IF(SUMIFS(tblDaily[Discharges],tblDaily[EntryDate],DATE(2026,1,14),tblDaily[WardCode],"BG")=0,"",SUMIFS(tblDaily[Discharges],tblDaily[EntryDate],DATE(2026,1,14),tblDaily[WardCode],"BG")),"")</f>
        <v/>
      </c>
      <c r="D20" s="12">
        <f>IFERROR(IF(SUMIFS(tblDaily[Deaths],tblDaily[EntryDate],DATE(2026,1,14),tblDaily[WardCode],"BG")=0,"",SUMIFS(tblDaily[Deaths],tblDaily[EntryDate],DATE(2026,1,14),tblDaily[WardCode],"BG")),"")</f>
        <v/>
      </c>
      <c r="E20" s="12">
        <f>IFERROR(IF(SUMIFS(tblDaily[DeathsUnder24Hrs],tblDaily[EntryDate],DATE(2026,1,14),tblDaily[WardCode],"BG")=0,"",SUMIFS(tblDaily[DeathsUnder24Hrs],tblDaily[EntryDate],DATE(2026,1,14),tblDaily[WardCode],"BG")),"")</f>
        <v/>
      </c>
      <c r="F20" s="12">
        <f>IFERROR(IF(SUMIFS(tblDaily[TransfersIn],tblDaily[EntryDate],DATE(2026,1,14),tblDaily[WardCode],"BG")=0,"",SUMIFS(tblDaily[TransfersIn],tblDaily[EntryDate],DATE(2026,1,14),tblDaily[WardCode],"BG")),"")</f>
        <v/>
      </c>
      <c r="G20" s="12">
        <f>IFERROR(IF(SUMIFS(tblDaily[TransfersOut],tblDaily[EntryDate],DATE(2026,1,14),tblDaily[WardCode],"BG")=0,"",SUMIFS(tblDaily[TransfersOut],tblDaily[EntryDate],DATE(2026,1,14),tblDaily[WardCode],"BG")),"")</f>
        <v/>
      </c>
      <c r="H20" s="12">
        <f>IFERROR(IF(SUMIFS(tblDaily[Remaining],tblDaily[EntryDate],DATE(2026,1,14),tblDaily[WardCode],"BG")=0,"",SUMIFS(tblDaily[Remaining],tblDaily[EntryDate],DATE(2026,1,14),tblDaily[WardCode],"BG")),"")</f>
        <v/>
      </c>
    </row>
    <row r="21">
      <c r="A21" s="12" t="n">
        <v>15</v>
      </c>
      <c r="B21" s="12">
        <f>IFERROR(IF(SUMIFS(tblDaily[Admissions],tblDaily[EntryDate],DATE(2026,1,15),tblDaily[WardCode],"BG")=0,"",SUMIFS(tblDaily[Admissions],tblDaily[EntryDate],DATE(2026,1,15),tblDaily[WardCode],"BG")),"")</f>
        <v/>
      </c>
      <c r="C21" s="12">
        <f>IFERROR(IF(SUMIFS(tblDaily[Discharges],tblDaily[EntryDate],DATE(2026,1,15),tblDaily[WardCode],"BG")=0,"",SUMIFS(tblDaily[Discharges],tblDaily[EntryDate],DATE(2026,1,15),tblDaily[WardCode],"BG")),"")</f>
        <v/>
      </c>
      <c r="D21" s="12">
        <f>IFERROR(IF(SUMIFS(tblDaily[Deaths],tblDaily[EntryDate],DATE(2026,1,15),tblDaily[WardCode],"BG")=0,"",SUMIFS(tblDaily[Deaths],tblDaily[EntryDate],DATE(2026,1,15),tblDaily[WardCode],"BG")),"")</f>
        <v/>
      </c>
      <c r="E21" s="12">
        <f>IFERROR(IF(SUMIFS(tblDaily[DeathsUnder24Hrs],tblDaily[EntryDate],DATE(2026,1,15),tblDaily[WardCode],"BG")=0,"",SUMIFS(tblDaily[DeathsUnder24Hrs],tblDaily[EntryDate],DATE(2026,1,15),tblDaily[WardCode],"BG")),"")</f>
        <v/>
      </c>
      <c r="F21" s="12">
        <f>IFERROR(IF(SUMIFS(tblDaily[TransfersIn],tblDaily[EntryDate],DATE(2026,1,15),tblDaily[WardCode],"BG")=0,"",SUMIFS(tblDaily[TransfersIn],tblDaily[EntryDate],DATE(2026,1,15),tblDaily[WardCode],"BG")),"")</f>
        <v/>
      </c>
      <c r="G21" s="12">
        <f>IFERROR(IF(SUMIFS(tblDaily[TransfersOut],tblDaily[EntryDate],DATE(2026,1,15),tblDaily[WardCode],"BG")=0,"",SUMIFS(tblDaily[TransfersOut],tblDaily[EntryDate],DATE(2026,1,15),tblDaily[WardCode],"BG")),"")</f>
        <v/>
      </c>
      <c r="H21" s="12">
        <f>IFERROR(IF(SUMIFS(tblDaily[Remaining],tblDaily[EntryDate],DATE(2026,1,15),tblDaily[WardCode],"BG")=0,"",SUMIFS(tblDaily[Remaining],tblDaily[EntryDate],DATE(2026,1,15),tblDaily[WardCode],"BG")),"")</f>
        <v/>
      </c>
    </row>
    <row r="22">
      <c r="A22" s="12" t="n">
        <v>16</v>
      </c>
      <c r="B22" s="12">
        <f>IFERROR(IF(SUMIFS(tblDaily[Admissions],tblDaily[EntryDate],DATE(2026,1,16),tblDaily[WardCode],"BG")=0,"",SUMIFS(tblDaily[Admissions],tblDaily[EntryDate],DATE(2026,1,16),tblDaily[WardCode],"BG")),"")</f>
        <v/>
      </c>
      <c r="C22" s="12">
        <f>IFERROR(IF(SUMIFS(tblDaily[Discharges],tblDaily[EntryDate],DATE(2026,1,16),tblDaily[WardCode],"BG")=0,"",SUMIFS(tblDaily[Discharges],tblDaily[EntryDate],DATE(2026,1,16),tblDaily[WardCode],"BG")),"")</f>
        <v/>
      </c>
      <c r="D22" s="12">
        <f>IFERROR(IF(SUMIFS(tblDaily[Deaths],tblDaily[EntryDate],DATE(2026,1,16),tblDaily[WardCode],"BG")=0,"",SUMIFS(tblDaily[Deaths],tblDaily[EntryDate],DATE(2026,1,16),tblDaily[WardCode],"BG")),"")</f>
        <v/>
      </c>
      <c r="E22" s="12">
        <f>IFERROR(IF(SUMIFS(tblDaily[DeathsUnder24Hrs],tblDaily[EntryDate],DATE(2026,1,16),tblDaily[WardCode],"BG")=0,"",SUMIFS(tblDaily[DeathsUnder24Hrs],tblDaily[EntryDate],DATE(2026,1,16),tblDaily[WardCode],"BG")),"")</f>
        <v/>
      </c>
      <c r="F22" s="12">
        <f>IFERROR(IF(SUMIFS(tblDaily[TransfersIn],tblDaily[EntryDate],DATE(2026,1,16),tblDaily[WardCode],"BG")=0,"",SUMIFS(tblDaily[TransfersIn],tblDaily[EntryDate],DATE(2026,1,16),tblDaily[WardCode],"BG")),"")</f>
        <v/>
      </c>
      <c r="G22" s="12">
        <f>IFERROR(IF(SUMIFS(tblDaily[TransfersOut],tblDaily[EntryDate],DATE(2026,1,16),tblDaily[WardCode],"BG")=0,"",SUMIFS(tblDaily[TransfersOut],tblDaily[EntryDate],DATE(2026,1,16),tblDaily[WardCode],"BG")),"")</f>
        <v/>
      </c>
      <c r="H22" s="12">
        <f>IFERROR(IF(SUMIFS(tblDaily[Remaining],tblDaily[EntryDate],DATE(2026,1,16),tblDaily[WardCode],"BG")=0,"",SUMIFS(tblDaily[Remaining],tblDaily[EntryDate],DATE(2026,1,16),tblDaily[WardCode],"BG")),"")</f>
        <v/>
      </c>
    </row>
    <row r="23">
      <c r="A23" s="12" t="n">
        <v>17</v>
      </c>
      <c r="B23" s="12">
        <f>IFERROR(IF(SUMIFS(tblDaily[Admissions],tblDaily[EntryDate],DATE(2026,1,17),tblDaily[WardCode],"BG")=0,"",SUMIFS(tblDaily[Admissions],tblDaily[EntryDate],DATE(2026,1,17),tblDaily[WardCode],"BG")),"")</f>
        <v/>
      </c>
      <c r="C23" s="12">
        <f>IFERROR(IF(SUMIFS(tblDaily[Discharges],tblDaily[EntryDate],DATE(2026,1,17),tblDaily[WardCode],"BG")=0,"",SUMIFS(tblDaily[Discharges],tblDaily[EntryDate],DATE(2026,1,17),tblDaily[WardCode],"BG")),"")</f>
        <v/>
      </c>
      <c r="D23" s="12">
        <f>IFERROR(IF(SUMIFS(tblDaily[Deaths],tblDaily[EntryDate],DATE(2026,1,17),tblDaily[WardCode],"BG")=0,"",SUMIFS(tblDaily[Deaths],tblDaily[EntryDate],DATE(2026,1,17),tblDaily[WardCode],"BG")),"")</f>
        <v/>
      </c>
      <c r="E23" s="12">
        <f>IFERROR(IF(SUMIFS(tblDaily[DeathsUnder24Hrs],tblDaily[EntryDate],DATE(2026,1,17),tblDaily[WardCode],"BG")=0,"",SUMIFS(tblDaily[DeathsUnder24Hrs],tblDaily[EntryDate],DATE(2026,1,17),tblDaily[WardCode],"BG")),"")</f>
        <v/>
      </c>
      <c r="F23" s="12">
        <f>IFERROR(IF(SUMIFS(tblDaily[TransfersIn],tblDaily[EntryDate],DATE(2026,1,17),tblDaily[WardCode],"BG")=0,"",SUMIFS(tblDaily[TransfersIn],tblDaily[EntryDate],DATE(2026,1,17),tblDaily[WardCode],"BG")),"")</f>
        <v/>
      </c>
      <c r="G23" s="12">
        <f>IFERROR(IF(SUMIFS(tblDaily[TransfersOut],tblDaily[EntryDate],DATE(2026,1,17),tblDaily[WardCode],"BG")=0,"",SUMIFS(tblDaily[TransfersOut],tblDaily[EntryDate],DATE(2026,1,17),tblDaily[WardCode],"BG")),"")</f>
        <v/>
      </c>
      <c r="H23" s="12">
        <f>IFERROR(IF(SUMIFS(tblDaily[Remaining],tblDaily[EntryDate],DATE(2026,1,17),tblDaily[WardCode],"BG")=0,"",SUMIFS(tblDaily[Remaining],tblDaily[EntryDate],DATE(2026,1,17),tblDaily[WardCode],"BG")),"")</f>
        <v/>
      </c>
    </row>
    <row r="24">
      <c r="A24" s="12" t="n">
        <v>18</v>
      </c>
      <c r="B24" s="12">
        <f>IFERROR(IF(SUMIFS(tblDaily[Admissions],tblDaily[EntryDate],DATE(2026,1,18),tblDaily[WardCode],"BG")=0,"",SUMIFS(tblDaily[Admissions],tblDaily[EntryDate],DATE(2026,1,18),tblDaily[WardCode],"BG")),"")</f>
        <v/>
      </c>
      <c r="C24" s="12">
        <f>IFERROR(IF(SUMIFS(tblDaily[Discharges],tblDaily[EntryDate],DATE(2026,1,18),tblDaily[WardCode],"BG")=0,"",SUMIFS(tblDaily[Discharges],tblDaily[EntryDate],DATE(2026,1,18),tblDaily[WardCode],"BG")),"")</f>
        <v/>
      </c>
      <c r="D24" s="12">
        <f>IFERROR(IF(SUMIFS(tblDaily[Deaths],tblDaily[EntryDate],DATE(2026,1,18),tblDaily[WardCode],"BG")=0,"",SUMIFS(tblDaily[Deaths],tblDaily[EntryDate],DATE(2026,1,18),tblDaily[WardCode],"BG")),"")</f>
        <v/>
      </c>
      <c r="E24" s="12">
        <f>IFERROR(IF(SUMIFS(tblDaily[DeathsUnder24Hrs],tblDaily[EntryDate],DATE(2026,1,18),tblDaily[WardCode],"BG")=0,"",SUMIFS(tblDaily[DeathsUnder24Hrs],tblDaily[EntryDate],DATE(2026,1,18),tblDaily[WardCode],"BG")),"")</f>
        <v/>
      </c>
      <c r="F24" s="12">
        <f>IFERROR(IF(SUMIFS(tblDaily[TransfersIn],tblDaily[EntryDate],DATE(2026,1,18),tblDaily[WardCode],"BG")=0,"",SUMIFS(tblDaily[TransfersIn],tblDaily[EntryDate],DATE(2026,1,18),tblDaily[WardCode],"BG")),"")</f>
        <v/>
      </c>
      <c r="G24" s="12">
        <f>IFERROR(IF(SUMIFS(tblDaily[TransfersOut],tblDaily[EntryDate],DATE(2026,1,18),tblDaily[WardCode],"BG")=0,"",SUMIFS(tblDaily[TransfersOut],tblDaily[EntryDate],DATE(2026,1,18),tblDaily[WardCode],"BG")),"")</f>
        <v/>
      </c>
      <c r="H24" s="12">
        <f>IFERROR(IF(SUMIFS(tblDaily[Remaining],tblDaily[EntryDate],DATE(2026,1,18),tblDaily[WardCode],"BG")=0,"",SUMIFS(tblDaily[Remaining],tblDaily[EntryDate],DATE(2026,1,18),tblDaily[WardCode],"BG")),"")</f>
        <v/>
      </c>
    </row>
    <row r="25">
      <c r="A25" s="12" t="n">
        <v>19</v>
      </c>
      <c r="B25" s="12">
        <f>IFERROR(IF(SUMIFS(tblDaily[Admissions],tblDaily[EntryDate],DATE(2026,1,19),tblDaily[WardCode],"BG")=0,"",SUMIFS(tblDaily[Admissions],tblDaily[EntryDate],DATE(2026,1,19),tblDaily[WardCode],"BG")),"")</f>
        <v/>
      </c>
      <c r="C25" s="12">
        <f>IFERROR(IF(SUMIFS(tblDaily[Discharges],tblDaily[EntryDate],DATE(2026,1,19),tblDaily[WardCode],"BG")=0,"",SUMIFS(tblDaily[Discharges],tblDaily[EntryDate],DATE(2026,1,19),tblDaily[WardCode],"BG")),"")</f>
        <v/>
      </c>
      <c r="D25" s="12">
        <f>IFERROR(IF(SUMIFS(tblDaily[Deaths],tblDaily[EntryDate],DATE(2026,1,19),tblDaily[WardCode],"BG")=0,"",SUMIFS(tblDaily[Deaths],tblDaily[EntryDate],DATE(2026,1,19),tblDaily[WardCode],"BG")),"")</f>
        <v/>
      </c>
      <c r="E25" s="12">
        <f>IFERROR(IF(SUMIFS(tblDaily[DeathsUnder24Hrs],tblDaily[EntryDate],DATE(2026,1,19),tblDaily[WardCode],"BG")=0,"",SUMIFS(tblDaily[DeathsUnder24Hrs],tblDaily[EntryDate],DATE(2026,1,19),tblDaily[WardCode],"BG")),"")</f>
        <v/>
      </c>
      <c r="F25" s="12">
        <f>IFERROR(IF(SUMIFS(tblDaily[TransfersIn],tblDaily[EntryDate],DATE(2026,1,19),tblDaily[WardCode],"BG")=0,"",SUMIFS(tblDaily[TransfersIn],tblDaily[EntryDate],DATE(2026,1,19),tblDaily[WardCode],"BG")),"")</f>
        <v/>
      </c>
      <c r="G25" s="12">
        <f>IFERROR(IF(SUMIFS(tblDaily[TransfersOut],tblDaily[EntryDate],DATE(2026,1,19),tblDaily[WardCode],"BG")=0,"",SUMIFS(tblDaily[TransfersOut],tblDaily[EntryDate],DATE(2026,1,19),tblDaily[WardCode],"BG")),"")</f>
        <v/>
      </c>
      <c r="H25" s="12">
        <f>IFERROR(IF(SUMIFS(tblDaily[Remaining],tblDaily[EntryDate],DATE(2026,1,19),tblDaily[WardCode],"BG")=0,"",SUMIFS(tblDaily[Remaining],tblDaily[EntryDate],DATE(2026,1,19),tblDaily[WardCode],"BG")),"")</f>
        <v/>
      </c>
    </row>
    <row r="26">
      <c r="A26" s="12" t="n">
        <v>20</v>
      </c>
      <c r="B26" s="12">
        <f>IFERROR(IF(SUMIFS(tblDaily[Admissions],tblDaily[EntryDate],DATE(2026,1,20),tblDaily[WardCode],"BG")=0,"",SUMIFS(tblDaily[Admissions],tblDaily[EntryDate],DATE(2026,1,20),tblDaily[WardCode],"BG")),"")</f>
        <v/>
      </c>
      <c r="C26" s="12">
        <f>IFERROR(IF(SUMIFS(tblDaily[Discharges],tblDaily[EntryDate],DATE(2026,1,20),tblDaily[WardCode],"BG")=0,"",SUMIFS(tblDaily[Discharges],tblDaily[EntryDate],DATE(2026,1,20),tblDaily[WardCode],"BG")),"")</f>
        <v/>
      </c>
      <c r="D26" s="12">
        <f>IFERROR(IF(SUMIFS(tblDaily[Deaths],tblDaily[EntryDate],DATE(2026,1,20),tblDaily[WardCode],"BG")=0,"",SUMIFS(tblDaily[Deaths],tblDaily[EntryDate],DATE(2026,1,20),tblDaily[WardCode],"BG")),"")</f>
        <v/>
      </c>
      <c r="E26" s="12">
        <f>IFERROR(IF(SUMIFS(tblDaily[DeathsUnder24Hrs],tblDaily[EntryDate],DATE(2026,1,20),tblDaily[WardCode],"BG")=0,"",SUMIFS(tblDaily[DeathsUnder24Hrs],tblDaily[EntryDate],DATE(2026,1,20),tblDaily[WardCode],"BG")),"")</f>
        <v/>
      </c>
      <c r="F26" s="12">
        <f>IFERROR(IF(SUMIFS(tblDaily[TransfersIn],tblDaily[EntryDate],DATE(2026,1,20),tblDaily[WardCode],"BG")=0,"",SUMIFS(tblDaily[TransfersIn],tblDaily[EntryDate],DATE(2026,1,20),tblDaily[WardCode],"BG")),"")</f>
        <v/>
      </c>
      <c r="G26" s="12">
        <f>IFERROR(IF(SUMIFS(tblDaily[TransfersOut],tblDaily[EntryDate],DATE(2026,1,20),tblDaily[WardCode],"BG")=0,"",SUMIFS(tblDaily[TransfersOut],tblDaily[EntryDate],DATE(2026,1,20),tblDaily[WardCode],"BG")),"")</f>
        <v/>
      </c>
      <c r="H26" s="12">
        <f>IFERROR(IF(SUMIFS(tblDaily[Remaining],tblDaily[EntryDate],DATE(2026,1,20),tblDaily[WardCode],"BG")=0,"",SUMIFS(tblDaily[Remaining],tblDaily[EntryDate],DATE(2026,1,20),tblDaily[WardCode],"BG")),"")</f>
        <v/>
      </c>
    </row>
    <row r="27">
      <c r="A27" s="12" t="n">
        <v>21</v>
      </c>
      <c r="B27" s="12">
        <f>IFERROR(IF(SUMIFS(tblDaily[Admissions],tblDaily[EntryDate],DATE(2026,1,21),tblDaily[WardCode],"BG")=0,"",SUMIFS(tblDaily[Admissions],tblDaily[EntryDate],DATE(2026,1,21),tblDaily[WardCode],"BG")),"")</f>
        <v/>
      </c>
      <c r="C27" s="12">
        <f>IFERROR(IF(SUMIFS(tblDaily[Discharges],tblDaily[EntryDate],DATE(2026,1,21),tblDaily[WardCode],"BG")=0,"",SUMIFS(tblDaily[Discharges],tblDaily[EntryDate],DATE(2026,1,21),tblDaily[WardCode],"BG")),"")</f>
        <v/>
      </c>
      <c r="D27" s="12">
        <f>IFERROR(IF(SUMIFS(tblDaily[Deaths],tblDaily[EntryDate],DATE(2026,1,21),tblDaily[WardCode],"BG")=0,"",SUMIFS(tblDaily[Deaths],tblDaily[EntryDate],DATE(2026,1,21),tblDaily[WardCode],"BG")),"")</f>
        <v/>
      </c>
      <c r="E27" s="12">
        <f>IFERROR(IF(SUMIFS(tblDaily[DeathsUnder24Hrs],tblDaily[EntryDate],DATE(2026,1,21),tblDaily[WardCode],"BG")=0,"",SUMIFS(tblDaily[DeathsUnder24Hrs],tblDaily[EntryDate],DATE(2026,1,21),tblDaily[WardCode],"BG")),"")</f>
        <v/>
      </c>
      <c r="F27" s="12">
        <f>IFERROR(IF(SUMIFS(tblDaily[TransfersIn],tblDaily[EntryDate],DATE(2026,1,21),tblDaily[WardCode],"BG")=0,"",SUMIFS(tblDaily[TransfersIn],tblDaily[EntryDate],DATE(2026,1,21),tblDaily[WardCode],"BG")),"")</f>
        <v/>
      </c>
      <c r="G27" s="12">
        <f>IFERROR(IF(SUMIFS(tblDaily[TransfersOut],tblDaily[EntryDate],DATE(2026,1,21),tblDaily[WardCode],"BG")=0,"",SUMIFS(tblDaily[TransfersOut],tblDaily[EntryDate],DATE(2026,1,21),tblDaily[WardCode],"BG")),"")</f>
        <v/>
      </c>
      <c r="H27" s="12">
        <f>IFERROR(IF(SUMIFS(tblDaily[Remaining],tblDaily[EntryDate],DATE(2026,1,21),tblDaily[WardCode],"BG")=0,"",SUMIFS(tblDaily[Remaining],tblDaily[EntryDate],DATE(2026,1,21),tblDaily[WardCode],"BG")),"")</f>
        <v/>
      </c>
    </row>
    <row r="28">
      <c r="A28" s="12" t="n">
        <v>22</v>
      </c>
      <c r="B28" s="12">
        <f>IFERROR(IF(SUMIFS(tblDaily[Admissions],tblDaily[EntryDate],DATE(2026,1,22),tblDaily[WardCode],"BG")=0,"",SUMIFS(tblDaily[Admissions],tblDaily[EntryDate],DATE(2026,1,22),tblDaily[WardCode],"BG")),"")</f>
        <v/>
      </c>
      <c r="C28" s="12">
        <f>IFERROR(IF(SUMIFS(tblDaily[Discharges],tblDaily[EntryDate],DATE(2026,1,22),tblDaily[WardCode],"BG")=0,"",SUMIFS(tblDaily[Discharges],tblDaily[EntryDate],DATE(2026,1,22),tblDaily[WardCode],"BG")),"")</f>
        <v/>
      </c>
      <c r="D28" s="12">
        <f>IFERROR(IF(SUMIFS(tblDaily[Deaths],tblDaily[EntryDate],DATE(2026,1,22),tblDaily[WardCode],"BG")=0,"",SUMIFS(tblDaily[Deaths],tblDaily[EntryDate],DATE(2026,1,22),tblDaily[WardCode],"BG")),"")</f>
        <v/>
      </c>
      <c r="E28" s="12">
        <f>IFERROR(IF(SUMIFS(tblDaily[DeathsUnder24Hrs],tblDaily[EntryDate],DATE(2026,1,22),tblDaily[WardCode],"BG")=0,"",SUMIFS(tblDaily[DeathsUnder24Hrs],tblDaily[EntryDate],DATE(2026,1,22),tblDaily[WardCode],"BG")),"")</f>
        <v/>
      </c>
      <c r="F28" s="12">
        <f>IFERROR(IF(SUMIFS(tblDaily[TransfersIn],tblDaily[EntryDate],DATE(2026,1,22),tblDaily[WardCode],"BG")=0,"",SUMIFS(tblDaily[TransfersIn],tblDaily[EntryDate],DATE(2026,1,22),tblDaily[WardCode],"BG")),"")</f>
        <v/>
      </c>
      <c r="G28" s="12">
        <f>IFERROR(IF(SUMIFS(tblDaily[TransfersOut],tblDaily[EntryDate],DATE(2026,1,22),tblDaily[WardCode],"BG")=0,"",SUMIFS(tblDaily[TransfersOut],tblDaily[EntryDate],DATE(2026,1,22),tblDaily[WardCode],"BG")),"")</f>
        <v/>
      </c>
      <c r="H28" s="12">
        <f>IFERROR(IF(SUMIFS(tblDaily[Remaining],tblDaily[EntryDate],DATE(2026,1,22),tblDaily[WardCode],"BG")=0,"",SUMIFS(tblDaily[Remaining],tblDaily[EntryDate],DATE(2026,1,22),tblDaily[WardCode],"BG")),"")</f>
        <v/>
      </c>
    </row>
    <row r="29">
      <c r="A29" s="12" t="n">
        <v>23</v>
      </c>
      <c r="B29" s="12">
        <f>IFERROR(IF(SUMIFS(tblDaily[Admissions],tblDaily[EntryDate],DATE(2026,1,23),tblDaily[WardCode],"BG")=0,"",SUMIFS(tblDaily[Admissions],tblDaily[EntryDate],DATE(2026,1,23),tblDaily[WardCode],"BG")),"")</f>
        <v/>
      </c>
      <c r="C29" s="12">
        <f>IFERROR(IF(SUMIFS(tblDaily[Discharges],tblDaily[EntryDate],DATE(2026,1,23),tblDaily[WardCode],"BG")=0,"",SUMIFS(tblDaily[Discharges],tblDaily[EntryDate],DATE(2026,1,23),tblDaily[WardCode],"BG")),"")</f>
        <v/>
      </c>
      <c r="D29" s="12">
        <f>IFERROR(IF(SUMIFS(tblDaily[Deaths],tblDaily[EntryDate],DATE(2026,1,23),tblDaily[WardCode],"BG")=0,"",SUMIFS(tblDaily[Deaths],tblDaily[EntryDate],DATE(2026,1,23),tblDaily[WardCode],"BG")),"")</f>
        <v/>
      </c>
      <c r="E29" s="12">
        <f>IFERROR(IF(SUMIFS(tblDaily[DeathsUnder24Hrs],tblDaily[EntryDate],DATE(2026,1,23),tblDaily[WardCode],"BG")=0,"",SUMIFS(tblDaily[DeathsUnder24Hrs],tblDaily[EntryDate],DATE(2026,1,23),tblDaily[WardCode],"BG")),"")</f>
        <v/>
      </c>
      <c r="F29" s="12">
        <f>IFERROR(IF(SUMIFS(tblDaily[TransfersIn],tblDaily[EntryDate],DATE(2026,1,23),tblDaily[WardCode],"BG")=0,"",SUMIFS(tblDaily[TransfersIn],tblDaily[EntryDate],DATE(2026,1,23),tblDaily[WardCode],"BG")),"")</f>
        <v/>
      </c>
      <c r="G29" s="12">
        <f>IFERROR(IF(SUMIFS(tblDaily[TransfersOut],tblDaily[EntryDate],DATE(2026,1,23),tblDaily[WardCode],"BG")=0,"",SUMIFS(tblDaily[TransfersOut],tblDaily[EntryDate],DATE(2026,1,23),tblDaily[WardCode],"BG")),"")</f>
        <v/>
      </c>
      <c r="H29" s="12">
        <f>IFERROR(IF(SUMIFS(tblDaily[Remaining],tblDaily[EntryDate],DATE(2026,1,23),tblDaily[WardCode],"BG")=0,"",SUMIFS(tblDaily[Remaining],tblDaily[EntryDate],DATE(2026,1,23),tblDaily[WardCode],"BG")),"")</f>
        <v/>
      </c>
    </row>
    <row r="30">
      <c r="A30" s="12" t="n">
        <v>24</v>
      </c>
      <c r="B30" s="12">
        <f>IFERROR(IF(SUMIFS(tblDaily[Admissions],tblDaily[EntryDate],DATE(2026,1,24),tblDaily[WardCode],"BG")=0,"",SUMIFS(tblDaily[Admissions],tblDaily[EntryDate],DATE(2026,1,24),tblDaily[WardCode],"BG")),"")</f>
        <v/>
      </c>
      <c r="C30" s="12">
        <f>IFERROR(IF(SUMIFS(tblDaily[Discharges],tblDaily[EntryDate],DATE(2026,1,24),tblDaily[WardCode],"BG")=0,"",SUMIFS(tblDaily[Discharges],tblDaily[EntryDate],DATE(2026,1,24),tblDaily[WardCode],"BG")),"")</f>
        <v/>
      </c>
      <c r="D30" s="12">
        <f>IFERROR(IF(SUMIFS(tblDaily[Deaths],tblDaily[EntryDate],DATE(2026,1,24),tblDaily[WardCode],"BG")=0,"",SUMIFS(tblDaily[Deaths],tblDaily[EntryDate],DATE(2026,1,24),tblDaily[WardCode],"BG")),"")</f>
        <v/>
      </c>
      <c r="E30" s="12">
        <f>IFERROR(IF(SUMIFS(tblDaily[DeathsUnder24Hrs],tblDaily[EntryDate],DATE(2026,1,24),tblDaily[WardCode],"BG")=0,"",SUMIFS(tblDaily[DeathsUnder24Hrs],tblDaily[EntryDate],DATE(2026,1,24),tblDaily[WardCode],"BG")),"")</f>
        <v/>
      </c>
      <c r="F30" s="12">
        <f>IFERROR(IF(SUMIFS(tblDaily[TransfersIn],tblDaily[EntryDate],DATE(2026,1,24),tblDaily[WardCode],"BG")=0,"",SUMIFS(tblDaily[TransfersIn],tblDaily[EntryDate],DATE(2026,1,24),tblDaily[WardCode],"BG")),"")</f>
        <v/>
      </c>
      <c r="G30" s="12">
        <f>IFERROR(IF(SUMIFS(tblDaily[TransfersOut],tblDaily[EntryDate],DATE(2026,1,24),tblDaily[WardCode],"BG")=0,"",SUMIFS(tblDaily[TransfersOut],tblDaily[EntryDate],DATE(2026,1,24),tblDaily[WardCode],"BG")),"")</f>
        <v/>
      </c>
      <c r="H30" s="12">
        <f>IFERROR(IF(SUMIFS(tblDaily[Remaining],tblDaily[EntryDate],DATE(2026,1,24),tblDaily[WardCode],"BG")=0,"",SUMIFS(tblDaily[Remaining],tblDaily[EntryDate],DATE(2026,1,24),tblDaily[WardCode],"BG")),"")</f>
        <v/>
      </c>
    </row>
    <row r="31">
      <c r="A31" s="12" t="n">
        <v>25</v>
      </c>
      <c r="B31" s="12">
        <f>IFERROR(IF(SUMIFS(tblDaily[Admissions],tblDaily[EntryDate],DATE(2026,1,25),tblDaily[WardCode],"BG")=0,"",SUMIFS(tblDaily[Admissions],tblDaily[EntryDate],DATE(2026,1,25),tblDaily[WardCode],"BG")),"")</f>
        <v/>
      </c>
      <c r="C31" s="12">
        <f>IFERROR(IF(SUMIFS(tblDaily[Discharges],tblDaily[EntryDate],DATE(2026,1,25),tblDaily[WardCode],"BG")=0,"",SUMIFS(tblDaily[Discharges],tblDaily[EntryDate],DATE(2026,1,25),tblDaily[WardCode],"BG")),"")</f>
        <v/>
      </c>
      <c r="D31" s="12">
        <f>IFERROR(IF(SUMIFS(tblDaily[Deaths],tblDaily[EntryDate],DATE(2026,1,25),tblDaily[WardCode],"BG")=0,"",SUMIFS(tblDaily[Deaths],tblDaily[EntryDate],DATE(2026,1,25),tblDaily[WardCode],"BG")),"")</f>
        <v/>
      </c>
      <c r="E31" s="12">
        <f>IFERROR(IF(SUMIFS(tblDaily[DeathsUnder24Hrs],tblDaily[EntryDate],DATE(2026,1,25),tblDaily[WardCode],"BG")=0,"",SUMIFS(tblDaily[DeathsUnder24Hrs],tblDaily[EntryDate],DATE(2026,1,25),tblDaily[WardCode],"BG")),"")</f>
        <v/>
      </c>
      <c r="F31" s="12">
        <f>IFERROR(IF(SUMIFS(tblDaily[TransfersIn],tblDaily[EntryDate],DATE(2026,1,25),tblDaily[WardCode],"BG")=0,"",SUMIFS(tblDaily[TransfersIn],tblDaily[EntryDate],DATE(2026,1,25),tblDaily[WardCode],"BG")),"")</f>
        <v/>
      </c>
      <c r="G31" s="12">
        <f>IFERROR(IF(SUMIFS(tblDaily[TransfersOut],tblDaily[EntryDate],DATE(2026,1,25),tblDaily[WardCode],"BG")=0,"",SUMIFS(tblDaily[TransfersOut],tblDaily[EntryDate],DATE(2026,1,25),tblDaily[WardCode],"BG")),"")</f>
        <v/>
      </c>
      <c r="H31" s="12">
        <f>IFERROR(IF(SUMIFS(tblDaily[Remaining],tblDaily[EntryDate],DATE(2026,1,25),tblDaily[WardCode],"BG")=0,"",SUMIFS(tblDaily[Remaining],tblDaily[EntryDate],DATE(2026,1,25),tblDaily[WardCode],"BG")),"")</f>
        <v/>
      </c>
    </row>
    <row r="32">
      <c r="A32" s="12" t="n">
        <v>26</v>
      </c>
      <c r="B32" s="12">
        <f>IFERROR(IF(SUMIFS(tblDaily[Admissions],tblDaily[EntryDate],DATE(2026,1,26),tblDaily[WardCode],"BG")=0,"",SUMIFS(tblDaily[Admissions],tblDaily[EntryDate],DATE(2026,1,26),tblDaily[WardCode],"BG")),"")</f>
        <v/>
      </c>
      <c r="C32" s="12">
        <f>IFERROR(IF(SUMIFS(tblDaily[Discharges],tblDaily[EntryDate],DATE(2026,1,26),tblDaily[WardCode],"BG")=0,"",SUMIFS(tblDaily[Discharges],tblDaily[EntryDate],DATE(2026,1,26),tblDaily[WardCode],"BG")),"")</f>
        <v/>
      </c>
      <c r="D32" s="12">
        <f>IFERROR(IF(SUMIFS(tblDaily[Deaths],tblDaily[EntryDate],DATE(2026,1,26),tblDaily[WardCode],"BG")=0,"",SUMIFS(tblDaily[Deaths],tblDaily[EntryDate],DATE(2026,1,26),tblDaily[WardCode],"BG")),"")</f>
        <v/>
      </c>
      <c r="E32" s="12">
        <f>IFERROR(IF(SUMIFS(tblDaily[DeathsUnder24Hrs],tblDaily[EntryDate],DATE(2026,1,26),tblDaily[WardCode],"BG")=0,"",SUMIFS(tblDaily[DeathsUnder24Hrs],tblDaily[EntryDate],DATE(2026,1,26),tblDaily[WardCode],"BG")),"")</f>
        <v/>
      </c>
      <c r="F32" s="12">
        <f>IFERROR(IF(SUMIFS(tblDaily[TransfersIn],tblDaily[EntryDate],DATE(2026,1,26),tblDaily[WardCode],"BG")=0,"",SUMIFS(tblDaily[TransfersIn],tblDaily[EntryDate],DATE(2026,1,26),tblDaily[WardCode],"BG")),"")</f>
        <v/>
      </c>
      <c r="G32" s="12">
        <f>IFERROR(IF(SUMIFS(tblDaily[TransfersOut],tblDaily[EntryDate],DATE(2026,1,26),tblDaily[WardCode],"BG")=0,"",SUMIFS(tblDaily[TransfersOut],tblDaily[EntryDate],DATE(2026,1,26),tblDaily[WardCode],"BG")),"")</f>
        <v/>
      </c>
      <c r="H32" s="12">
        <f>IFERROR(IF(SUMIFS(tblDaily[Remaining],tblDaily[EntryDate],DATE(2026,1,26),tblDaily[WardCode],"BG")=0,"",SUMIFS(tblDaily[Remaining],tblDaily[EntryDate],DATE(2026,1,26),tblDaily[WardCode],"BG")),"")</f>
        <v/>
      </c>
    </row>
    <row r="33">
      <c r="A33" s="12" t="n">
        <v>27</v>
      </c>
      <c r="B33" s="12">
        <f>IFERROR(IF(SUMIFS(tblDaily[Admissions],tblDaily[EntryDate],DATE(2026,1,27),tblDaily[WardCode],"BG")=0,"",SUMIFS(tblDaily[Admissions],tblDaily[EntryDate],DATE(2026,1,27),tblDaily[WardCode],"BG")),"")</f>
        <v/>
      </c>
      <c r="C33" s="12">
        <f>IFERROR(IF(SUMIFS(tblDaily[Discharges],tblDaily[EntryDate],DATE(2026,1,27),tblDaily[WardCode],"BG")=0,"",SUMIFS(tblDaily[Discharges],tblDaily[EntryDate],DATE(2026,1,27),tblDaily[WardCode],"BG")),"")</f>
        <v/>
      </c>
      <c r="D33" s="12">
        <f>IFERROR(IF(SUMIFS(tblDaily[Deaths],tblDaily[EntryDate],DATE(2026,1,27),tblDaily[WardCode],"BG")=0,"",SUMIFS(tblDaily[Deaths],tblDaily[EntryDate],DATE(2026,1,27),tblDaily[WardCode],"BG")),"")</f>
        <v/>
      </c>
      <c r="E33" s="12">
        <f>IFERROR(IF(SUMIFS(tblDaily[DeathsUnder24Hrs],tblDaily[EntryDate],DATE(2026,1,27),tblDaily[WardCode],"BG")=0,"",SUMIFS(tblDaily[DeathsUnder24Hrs],tblDaily[EntryDate],DATE(2026,1,27),tblDaily[WardCode],"BG")),"")</f>
        <v/>
      </c>
      <c r="F33" s="12">
        <f>IFERROR(IF(SUMIFS(tblDaily[TransfersIn],tblDaily[EntryDate],DATE(2026,1,27),tblDaily[WardCode],"BG")=0,"",SUMIFS(tblDaily[TransfersIn],tblDaily[EntryDate],DATE(2026,1,27),tblDaily[WardCode],"BG")),"")</f>
        <v/>
      </c>
      <c r="G33" s="12">
        <f>IFERROR(IF(SUMIFS(tblDaily[TransfersOut],tblDaily[EntryDate],DATE(2026,1,27),tblDaily[WardCode],"BG")=0,"",SUMIFS(tblDaily[TransfersOut],tblDaily[EntryDate],DATE(2026,1,27),tblDaily[WardCode],"BG")),"")</f>
        <v/>
      </c>
      <c r="H33" s="12">
        <f>IFERROR(IF(SUMIFS(tblDaily[Remaining],tblDaily[EntryDate],DATE(2026,1,27),tblDaily[WardCode],"BG")=0,"",SUMIFS(tblDaily[Remaining],tblDaily[EntryDate],DATE(2026,1,27),tblDaily[WardCode],"BG")),"")</f>
        <v/>
      </c>
    </row>
    <row r="34">
      <c r="A34" s="12" t="n">
        <v>28</v>
      </c>
      <c r="B34" s="12">
        <f>IFERROR(IF(SUMIFS(tblDaily[Admissions],tblDaily[EntryDate],DATE(2026,1,28),tblDaily[WardCode],"BG")=0,"",SUMIFS(tblDaily[Admissions],tblDaily[EntryDate],DATE(2026,1,28),tblDaily[WardCode],"BG")),"")</f>
        <v/>
      </c>
      <c r="C34" s="12">
        <f>IFERROR(IF(SUMIFS(tblDaily[Discharges],tblDaily[EntryDate],DATE(2026,1,28),tblDaily[WardCode],"BG")=0,"",SUMIFS(tblDaily[Discharges],tblDaily[EntryDate],DATE(2026,1,28),tblDaily[WardCode],"BG")),"")</f>
        <v/>
      </c>
      <c r="D34" s="12">
        <f>IFERROR(IF(SUMIFS(tblDaily[Deaths],tblDaily[EntryDate],DATE(2026,1,28),tblDaily[WardCode],"BG")=0,"",SUMIFS(tblDaily[Deaths],tblDaily[EntryDate],DATE(2026,1,28),tblDaily[WardCode],"BG")),"")</f>
        <v/>
      </c>
      <c r="E34" s="12">
        <f>IFERROR(IF(SUMIFS(tblDaily[DeathsUnder24Hrs],tblDaily[EntryDate],DATE(2026,1,28),tblDaily[WardCode],"BG")=0,"",SUMIFS(tblDaily[DeathsUnder24Hrs],tblDaily[EntryDate],DATE(2026,1,28),tblDaily[WardCode],"BG")),"")</f>
        <v/>
      </c>
      <c r="F34" s="12">
        <f>IFERROR(IF(SUMIFS(tblDaily[TransfersIn],tblDaily[EntryDate],DATE(2026,1,28),tblDaily[WardCode],"BG")=0,"",SUMIFS(tblDaily[TransfersIn],tblDaily[EntryDate],DATE(2026,1,28),tblDaily[WardCode],"BG")),"")</f>
        <v/>
      </c>
      <c r="G34" s="12">
        <f>IFERROR(IF(SUMIFS(tblDaily[TransfersOut],tblDaily[EntryDate],DATE(2026,1,28),tblDaily[WardCode],"BG")=0,"",SUMIFS(tblDaily[TransfersOut],tblDaily[EntryDate],DATE(2026,1,28),tblDaily[WardCode],"BG")),"")</f>
        <v/>
      </c>
      <c r="H34" s="12">
        <f>IFERROR(IF(SUMIFS(tblDaily[Remaining],tblDaily[EntryDate],DATE(2026,1,28),tblDaily[WardCode],"BG")=0,"",SUMIFS(tblDaily[Remaining],tblDaily[EntryDate],DATE(2026,1,28),tblDaily[WardCode],"BG")),"")</f>
        <v/>
      </c>
    </row>
    <row r="35">
      <c r="A35" s="12" t="n">
        <v>29</v>
      </c>
      <c r="B35" s="12">
        <f>IFERROR(IF(SUMIFS(tblDaily[Admissions],tblDaily[EntryDate],DATE(2026,1,29),tblDaily[WardCode],"BG")=0,"",SUMIFS(tblDaily[Admissions],tblDaily[EntryDate],DATE(2026,1,29),tblDaily[WardCode],"BG")),"")</f>
        <v/>
      </c>
      <c r="C35" s="12">
        <f>IFERROR(IF(SUMIFS(tblDaily[Discharges],tblDaily[EntryDate],DATE(2026,1,29),tblDaily[WardCode],"BG")=0,"",SUMIFS(tblDaily[Discharges],tblDaily[EntryDate],DATE(2026,1,29),tblDaily[WardCode],"BG")),"")</f>
        <v/>
      </c>
      <c r="D35" s="12">
        <f>IFERROR(IF(SUMIFS(tblDaily[Deaths],tblDaily[EntryDate],DATE(2026,1,29),tblDaily[WardCode],"BG")=0,"",SUMIFS(tblDaily[Deaths],tblDaily[EntryDate],DATE(2026,1,29),tblDaily[WardCode],"BG")),"")</f>
        <v/>
      </c>
      <c r="E35" s="12">
        <f>IFERROR(IF(SUMIFS(tblDaily[DeathsUnder24Hrs],tblDaily[EntryDate],DATE(2026,1,29),tblDaily[WardCode],"BG")=0,"",SUMIFS(tblDaily[DeathsUnder24Hrs],tblDaily[EntryDate],DATE(2026,1,29),tblDaily[WardCode],"BG")),"")</f>
        <v/>
      </c>
      <c r="F35" s="12">
        <f>IFERROR(IF(SUMIFS(tblDaily[TransfersIn],tblDaily[EntryDate],DATE(2026,1,29),tblDaily[WardCode],"BG")=0,"",SUMIFS(tblDaily[TransfersIn],tblDaily[EntryDate],DATE(2026,1,29),tblDaily[WardCode],"BG")),"")</f>
        <v/>
      </c>
      <c r="G35" s="12">
        <f>IFERROR(IF(SUMIFS(tblDaily[TransfersOut],tblDaily[EntryDate],DATE(2026,1,29),tblDaily[WardCode],"BG")=0,"",SUMIFS(tblDaily[TransfersOut],tblDaily[EntryDate],DATE(2026,1,29),tblDaily[WardCode],"BG")),"")</f>
        <v/>
      </c>
      <c r="H35" s="12">
        <f>IFERROR(IF(SUMIFS(tblDaily[Remaining],tblDaily[EntryDate],DATE(2026,1,29),tblDaily[WardCode],"BG")=0,"",SUMIFS(tblDaily[Remaining],tblDaily[EntryDate],DATE(2026,1,29),tblDaily[WardCode],"BG")),"")</f>
        <v/>
      </c>
    </row>
    <row r="36">
      <c r="A36" s="12" t="n">
        <v>30</v>
      </c>
      <c r="B36" s="12">
        <f>IFERROR(IF(SUMIFS(tblDaily[Admissions],tblDaily[EntryDate],DATE(2026,1,30),tblDaily[WardCode],"BG")=0,"",SUMIFS(tblDaily[Admissions],tblDaily[EntryDate],DATE(2026,1,30),tblDaily[WardCode],"BG")),"")</f>
        <v/>
      </c>
      <c r="C36" s="12">
        <f>IFERROR(IF(SUMIFS(tblDaily[Discharges],tblDaily[EntryDate],DATE(2026,1,30),tblDaily[WardCode],"BG")=0,"",SUMIFS(tblDaily[Discharges],tblDaily[EntryDate],DATE(2026,1,30),tblDaily[WardCode],"BG")),"")</f>
        <v/>
      </c>
      <c r="D36" s="12">
        <f>IFERROR(IF(SUMIFS(tblDaily[Deaths],tblDaily[EntryDate],DATE(2026,1,30),tblDaily[WardCode],"BG")=0,"",SUMIFS(tblDaily[Deaths],tblDaily[EntryDate],DATE(2026,1,30),tblDaily[WardCode],"BG")),"")</f>
        <v/>
      </c>
      <c r="E36" s="12">
        <f>IFERROR(IF(SUMIFS(tblDaily[DeathsUnder24Hrs],tblDaily[EntryDate],DATE(2026,1,30),tblDaily[WardCode],"BG")=0,"",SUMIFS(tblDaily[DeathsUnder24Hrs],tblDaily[EntryDate],DATE(2026,1,30),tblDaily[WardCode],"BG")),"")</f>
        <v/>
      </c>
      <c r="F36" s="12">
        <f>IFERROR(IF(SUMIFS(tblDaily[TransfersIn],tblDaily[EntryDate],DATE(2026,1,30),tblDaily[WardCode],"BG")=0,"",SUMIFS(tblDaily[TransfersIn],tblDaily[EntryDate],DATE(2026,1,30),tblDaily[WardCode],"BG")),"")</f>
        <v/>
      </c>
      <c r="G36" s="12">
        <f>IFERROR(IF(SUMIFS(tblDaily[TransfersOut],tblDaily[EntryDate],DATE(2026,1,30),tblDaily[WardCode],"BG")=0,"",SUMIFS(tblDaily[TransfersOut],tblDaily[EntryDate],DATE(2026,1,30),tblDaily[WardCode],"BG")),"")</f>
        <v/>
      </c>
      <c r="H36" s="12">
        <f>IFERROR(IF(SUMIFS(tblDaily[Remaining],tblDaily[EntryDate],DATE(2026,1,30),tblDaily[WardCode],"BG")=0,"",SUMIFS(tblDaily[Remaining],tblDaily[EntryDate],DATE(2026,1,30),tblDaily[WardCode],"BG")),"")</f>
        <v/>
      </c>
    </row>
    <row r="37">
      <c r="A37" s="12" t="n">
        <v>31</v>
      </c>
      <c r="B37" s="12">
        <f>IFERROR(IF(SUMIFS(tblDaily[Admissions],tblDaily[EntryDate],DATE(2026,1,31),tblDaily[WardCode],"BG")=0,"",SUMIFS(tblDaily[Admissions],tblDaily[EntryDate],DATE(2026,1,31),tblDaily[WardCode],"BG")),"")</f>
        <v/>
      </c>
      <c r="C37" s="12">
        <f>IFERROR(IF(SUMIFS(tblDaily[Discharges],tblDaily[EntryDate],DATE(2026,1,31),tblDaily[WardCode],"BG")=0,"",SUMIFS(tblDaily[Discharges],tblDaily[EntryDate],DATE(2026,1,31),tblDaily[WardCode],"BG")),"")</f>
        <v/>
      </c>
      <c r="D37" s="12">
        <f>IFERROR(IF(SUMIFS(tblDaily[Deaths],tblDaily[EntryDate],DATE(2026,1,31),tblDaily[WardCode],"BG")=0,"",SUMIFS(tblDaily[Deaths],tblDaily[EntryDate],DATE(2026,1,31),tblDaily[WardCode],"BG")),"")</f>
        <v/>
      </c>
      <c r="E37" s="12">
        <f>IFERROR(IF(SUMIFS(tblDaily[DeathsUnder24Hrs],tblDaily[EntryDate],DATE(2026,1,31),tblDaily[WardCode],"BG")=0,"",SUMIFS(tblDaily[DeathsUnder24Hrs],tblDaily[EntryDate],DATE(2026,1,31),tblDaily[WardCode],"BG")),"")</f>
        <v/>
      </c>
      <c r="F37" s="12">
        <f>IFERROR(IF(SUMIFS(tblDaily[TransfersIn],tblDaily[EntryDate],DATE(2026,1,31),tblDaily[WardCode],"BG")=0,"",SUMIFS(tblDaily[TransfersIn],tblDaily[EntryDate],DATE(2026,1,31),tblDaily[WardCode],"BG")),"")</f>
        <v/>
      </c>
      <c r="G37" s="12">
        <f>IFERROR(IF(SUMIFS(tblDaily[TransfersOut],tblDaily[EntryDate],DATE(2026,1,31),tblDaily[WardCode],"BG")=0,"",SUMIFS(tblDaily[TransfersOut],tblDaily[EntryDate],DATE(2026,1,31),tblDaily[WardCode],"BG")),"")</f>
        <v/>
      </c>
      <c r="H37" s="12">
        <f>IFERROR(IF(SUMIFS(tblDaily[Remaining],tblDaily[EntryDate],DATE(2026,1,31),tblDaily[WardCode],"BG")=0,"",SUMIFS(tblDaily[Remaining],tblDaily[EntryDate],DATE(2026,1,31),tblDaily[WardCode],"BG")),"")</f>
        <v/>
      </c>
    </row>
    <row r="38">
      <c r="A38" s="17" t="inlineStr">
        <is>
          <t>TOTAL</t>
        </is>
      </c>
      <c r="B38" s="17">
        <f>SUMIFS(tblDaily[Admissions],tblDaily[Month],1,tblDaily[WardCode],"BG") - SUMIFS(tblDaily[DeathsUnder24Hrs],tblDaily[Month],1,tblDaily[WardCode],"BG")</f>
        <v/>
      </c>
      <c r="C38" s="17">
        <f>SUMIFS(tblDaily[Discharges],tblDaily[Month],1,tblDaily[WardCode],"BG")</f>
        <v/>
      </c>
      <c r="D38" s="17">
        <f>SUMIFS(tblDaily[Deaths],tblDaily[Month],1,tblDaily[WardCode],"BG")</f>
        <v/>
      </c>
      <c r="E38" s="17">
        <f>SUMIFS(tblDaily[DeathsUnder24Hrs],tblDaily[Month],1,tblDaily[WardCode],"BG")</f>
        <v/>
      </c>
      <c r="F38" s="17">
        <f>SUMIFS(tblDaily[TransfersIn],tblDaily[Month],1,tblDaily[WardCode],"BG")</f>
        <v/>
      </c>
      <c r="G38" s="17">
        <f>SUMIFS(tblDaily[TransfersOut],tblDaily[Month],1,tblDaily[WardCode],"BG")</f>
        <v/>
      </c>
      <c r="H38" s="17">
        <f>SUMIFS(tblDaily[Remaining],tblDaily[Month],1,tblDaily[WardCode],"BG")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BLOCK G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4">
        <f>IFERROR(SUMIFS(tblDaily[Remaining],tblDaily[EntryDate],DATE(2026,1,31),tblDaily[WardCode],"BG"),0)</f>
        <v/>
      </c>
    </row>
    <row r="44">
      <c r="A44" s="4" t="inlineStr">
        <is>
          <t>Bed complement</t>
        </is>
      </c>
      <c r="H44" s="15">
        <f>IFERROR(INDEX(tblWardConfig[BedComplement],MATCH("BG",tblWardConfig[WardCode],0)),0)</f>
        <v/>
      </c>
    </row>
    <row r="45">
      <c r="A45" s="16" t="inlineStr">
        <is>
          <t>Day of
the
Month</t>
        </is>
      </c>
      <c r="B45" s="16" t="inlineStr">
        <is>
          <t>Admissions</t>
        </is>
      </c>
      <c r="C45" s="16" t="inlineStr">
        <is>
          <t>Discharges</t>
        </is>
      </c>
      <c r="D45" s="16" t="inlineStr">
        <is>
          <t>Deaths</t>
        </is>
      </c>
      <c r="E45" s="16" t="inlineStr">
        <is>
          <t>Deaths
&lt;24Hrs</t>
        </is>
      </c>
      <c r="F45" s="16" t="inlineStr">
        <is>
          <t>Transfers-
In</t>
        </is>
      </c>
      <c r="G45" s="16" t="inlineStr">
        <is>
          <t>Transfers-
Out</t>
        </is>
      </c>
      <c r="H45" s="16" t="inlineStr">
        <is>
          <t>No. of Patients
Remaining In
Ward</t>
        </is>
      </c>
    </row>
    <row r="46">
      <c r="A46" s="12" t="n">
        <v>1</v>
      </c>
      <c r="B46" s="12">
        <f>IFERROR(IF(SUMIFS(tblDaily[Admissions],tblDaily[EntryDate],DATE(2026,2,1),tblDaily[WardCode],"BG")=0,"",SUMIFS(tblDaily[Admissions],tblDaily[EntryDate],DATE(2026,2,1),tblDaily[WardCode],"BG")),"")</f>
        <v/>
      </c>
      <c r="C46" s="12">
        <f>IFERROR(IF(SUMIFS(tblDaily[Discharges],tblDaily[EntryDate],DATE(2026,2,1),tblDaily[WardCode],"BG")=0,"",SUMIFS(tblDaily[Discharges],tblDaily[EntryDate],DATE(2026,2,1),tblDaily[WardCode],"BG")),"")</f>
        <v/>
      </c>
      <c r="D46" s="12">
        <f>IFERROR(IF(SUMIFS(tblDaily[Deaths],tblDaily[EntryDate],DATE(2026,2,1),tblDaily[WardCode],"BG")=0,"",SUMIFS(tblDaily[Deaths],tblDaily[EntryDate],DATE(2026,2,1),tblDaily[WardCode],"BG")),"")</f>
        <v/>
      </c>
      <c r="E46" s="12">
        <f>IFERROR(IF(SUMIFS(tblDaily[DeathsUnder24Hrs],tblDaily[EntryDate],DATE(2026,2,1),tblDaily[WardCode],"BG")=0,"",SUMIFS(tblDaily[DeathsUnder24Hrs],tblDaily[EntryDate],DATE(2026,2,1),tblDaily[WardCode],"BG")),"")</f>
        <v/>
      </c>
      <c r="F46" s="12">
        <f>IFERROR(IF(SUMIFS(tblDaily[TransfersIn],tblDaily[EntryDate],DATE(2026,2,1),tblDaily[WardCode],"BG")=0,"",SUMIFS(tblDaily[TransfersIn],tblDaily[EntryDate],DATE(2026,2,1),tblDaily[WardCode],"BG")),"")</f>
        <v/>
      </c>
      <c r="G46" s="12">
        <f>IFERROR(IF(SUMIFS(tblDaily[TransfersOut],tblDaily[EntryDate],DATE(2026,2,1),tblDaily[WardCode],"BG")=0,"",SUMIFS(tblDaily[TransfersOut],tblDaily[EntryDate],DATE(2026,2,1),tblDaily[WardCode],"BG")),"")</f>
        <v/>
      </c>
      <c r="H46" s="12">
        <f>IFERROR(IF(SUMIFS(tblDaily[Remaining],tblDaily[EntryDate],DATE(2026,2,1),tblDaily[WardCode],"BG")=0,"",SUMIFS(tblDaily[Remaining],tblDaily[EntryDate],DATE(2026,2,1),tblDaily[WardCode],"BG")),"")</f>
        <v/>
      </c>
    </row>
    <row r="47">
      <c r="A47" s="12" t="n">
        <v>2</v>
      </c>
      <c r="B47" s="12">
        <f>IFERROR(IF(SUMIFS(tblDaily[Admissions],tblDaily[EntryDate],DATE(2026,2,2),tblDaily[WardCode],"BG")=0,"",SUMIFS(tblDaily[Admissions],tblDaily[EntryDate],DATE(2026,2,2),tblDaily[WardCode],"BG")),"")</f>
        <v/>
      </c>
      <c r="C47" s="12">
        <f>IFERROR(IF(SUMIFS(tblDaily[Discharges],tblDaily[EntryDate],DATE(2026,2,2),tblDaily[WardCode],"BG")=0,"",SUMIFS(tblDaily[Discharges],tblDaily[EntryDate],DATE(2026,2,2),tblDaily[WardCode],"BG")),"")</f>
        <v/>
      </c>
      <c r="D47" s="12">
        <f>IFERROR(IF(SUMIFS(tblDaily[Deaths],tblDaily[EntryDate],DATE(2026,2,2),tblDaily[WardCode],"BG")=0,"",SUMIFS(tblDaily[Deaths],tblDaily[EntryDate],DATE(2026,2,2),tblDaily[WardCode],"BG")),"")</f>
        <v/>
      </c>
      <c r="E47" s="12">
        <f>IFERROR(IF(SUMIFS(tblDaily[DeathsUnder24Hrs],tblDaily[EntryDate],DATE(2026,2,2),tblDaily[WardCode],"BG")=0,"",SUMIFS(tblDaily[DeathsUnder24Hrs],tblDaily[EntryDate],DATE(2026,2,2),tblDaily[WardCode],"BG")),"")</f>
        <v/>
      </c>
      <c r="F47" s="12">
        <f>IFERROR(IF(SUMIFS(tblDaily[TransfersIn],tblDaily[EntryDate],DATE(2026,2,2),tblDaily[WardCode],"BG")=0,"",SUMIFS(tblDaily[TransfersIn],tblDaily[EntryDate],DATE(2026,2,2),tblDaily[WardCode],"BG")),"")</f>
        <v/>
      </c>
      <c r="G47" s="12">
        <f>IFERROR(IF(SUMIFS(tblDaily[TransfersOut],tblDaily[EntryDate],DATE(2026,2,2),tblDaily[WardCode],"BG")=0,"",SUMIFS(tblDaily[TransfersOut],tblDaily[EntryDate],DATE(2026,2,2),tblDaily[WardCode],"BG")),"")</f>
        <v/>
      </c>
      <c r="H47" s="12">
        <f>IFERROR(IF(SUMIFS(tblDaily[Remaining],tblDaily[EntryDate],DATE(2026,2,2),tblDaily[WardCode],"BG")=0,"",SUMIFS(tblDaily[Remaining],tblDaily[EntryDate],DATE(2026,2,2),tblDaily[WardCode],"BG")),"")</f>
        <v/>
      </c>
    </row>
    <row r="48">
      <c r="A48" s="12" t="n">
        <v>3</v>
      </c>
      <c r="B48" s="12">
        <f>IFERROR(IF(SUMIFS(tblDaily[Admissions],tblDaily[EntryDate],DATE(2026,2,3),tblDaily[WardCode],"BG")=0,"",SUMIFS(tblDaily[Admissions],tblDaily[EntryDate],DATE(2026,2,3),tblDaily[WardCode],"BG")),"")</f>
        <v/>
      </c>
      <c r="C48" s="12">
        <f>IFERROR(IF(SUMIFS(tblDaily[Discharges],tblDaily[EntryDate],DATE(2026,2,3),tblDaily[WardCode],"BG")=0,"",SUMIFS(tblDaily[Discharges],tblDaily[EntryDate],DATE(2026,2,3),tblDaily[WardCode],"BG")),"")</f>
        <v/>
      </c>
      <c r="D48" s="12">
        <f>IFERROR(IF(SUMIFS(tblDaily[Deaths],tblDaily[EntryDate],DATE(2026,2,3),tblDaily[WardCode],"BG")=0,"",SUMIFS(tblDaily[Deaths],tblDaily[EntryDate],DATE(2026,2,3),tblDaily[WardCode],"BG")),"")</f>
        <v/>
      </c>
      <c r="E48" s="12">
        <f>IFERROR(IF(SUMIFS(tblDaily[DeathsUnder24Hrs],tblDaily[EntryDate],DATE(2026,2,3),tblDaily[WardCode],"BG")=0,"",SUMIFS(tblDaily[DeathsUnder24Hrs],tblDaily[EntryDate],DATE(2026,2,3),tblDaily[WardCode],"BG")),"")</f>
        <v/>
      </c>
      <c r="F48" s="12">
        <f>IFERROR(IF(SUMIFS(tblDaily[TransfersIn],tblDaily[EntryDate],DATE(2026,2,3),tblDaily[WardCode],"BG")=0,"",SUMIFS(tblDaily[TransfersIn],tblDaily[EntryDate],DATE(2026,2,3),tblDaily[WardCode],"BG")),"")</f>
        <v/>
      </c>
      <c r="G48" s="12">
        <f>IFERROR(IF(SUMIFS(tblDaily[TransfersOut],tblDaily[EntryDate],DATE(2026,2,3),tblDaily[WardCode],"BG")=0,"",SUMIFS(tblDaily[TransfersOut],tblDaily[EntryDate],DATE(2026,2,3),tblDaily[WardCode],"BG")),"")</f>
        <v/>
      </c>
      <c r="H48" s="12">
        <f>IFERROR(IF(SUMIFS(tblDaily[Remaining],tblDaily[EntryDate],DATE(2026,2,3),tblDaily[WardCode],"BG")=0,"",SUMIFS(tblDaily[Remaining],tblDaily[EntryDate],DATE(2026,2,3),tblDaily[WardCode],"BG")),"")</f>
        <v/>
      </c>
    </row>
    <row r="49">
      <c r="A49" s="12" t="n">
        <v>4</v>
      </c>
      <c r="B49" s="12">
        <f>IFERROR(IF(SUMIFS(tblDaily[Admissions],tblDaily[EntryDate],DATE(2026,2,4),tblDaily[WardCode],"BG")=0,"",SUMIFS(tblDaily[Admissions],tblDaily[EntryDate],DATE(2026,2,4),tblDaily[WardCode],"BG")),"")</f>
        <v/>
      </c>
      <c r="C49" s="12">
        <f>IFERROR(IF(SUMIFS(tblDaily[Discharges],tblDaily[EntryDate],DATE(2026,2,4),tblDaily[WardCode],"BG")=0,"",SUMIFS(tblDaily[Discharges],tblDaily[EntryDate],DATE(2026,2,4),tblDaily[WardCode],"BG")),"")</f>
        <v/>
      </c>
      <c r="D49" s="12">
        <f>IFERROR(IF(SUMIFS(tblDaily[Deaths],tblDaily[EntryDate],DATE(2026,2,4),tblDaily[WardCode],"BG")=0,"",SUMIFS(tblDaily[Deaths],tblDaily[EntryDate],DATE(2026,2,4),tblDaily[WardCode],"BG")),"")</f>
        <v/>
      </c>
      <c r="E49" s="12">
        <f>IFERROR(IF(SUMIFS(tblDaily[DeathsUnder24Hrs],tblDaily[EntryDate],DATE(2026,2,4),tblDaily[WardCode],"BG")=0,"",SUMIFS(tblDaily[DeathsUnder24Hrs],tblDaily[EntryDate],DATE(2026,2,4),tblDaily[WardCode],"BG")),"")</f>
        <v/>
      </c>
      <c r="F49" s="12">
        <f>IFERROR(IF(SUMIFS(tblDaily[TransfersIn],tblDaily[EntryDate],DATE(2026,2,4),tblDaily[WardCode],"BG")=0,"",SUMIFS(tblDaily[TransfersIn],tblDaily[EntryDate],DATE(2026,2,4),tblDaily[WardCode],"BG")),"")</f>
        <v/>
      </c>
      <c r="G49" s="12">
        <f>IFERROR(IF(SUMIFS(tblDaily[TransfersOut],tblDaily[EntryDate],DATE(2026,2,4),tblDaily[WardCode],"BG")=0,"",SUMIFS(tblDaily[TransfersOut],tblDaily[EntryDate],DATE(2026,2,4),tblDaily[WardCode],"BG")),"")</f>
        <v/>
      </c>
      <c r="H49" s="12">
        <f>IFERROR(IF(SUMIFS(tblDaily[Remaining],tblDaily[EntryDate],DATE(2026,2,4),tblDaily[WardCode],"BG")=0,"",SUMIFS(tblDaily[Remaining],tblDaily[EntryDate],DATE(2026,2,4),tblDaily[WardCode],"BG")),"")</f>
        <v/>
      </c>
    </row>
    <row r="50">
      <c r="A50" s="12" t="n">
        <v>5</v>
      </c>
      <c r="B50" s="12">
        <f>IFERROR(IF(SUMIFS(tblDaily[Admissions],tblDaily[EntryDate],DATE(2026,2,5),tblDaily[WardCode],"BG")=0,"",SUMIFS(tblDaily[Admissions],tblDaily[EntryDate],DATE(2026,2,5),tblDaily[WardCode],"BG")),"")</f>
        <v/>
      </c>
      <c r="C50" s="12">
        <f>IFERROR(IF(SUMIFS(tblDaily[Discharges],tblDaily[EntryDate],DATE(2026,2,5),tblDaily[WardCode],"BG")=0,"",SUMIFS(tblDaily[Discharges],tblDaily[EntryDate],DATE(2026,2,5),tblDaily[WardCode],"BG")),"")</f>
        <v/>
      </c>
      <c r="D50" s="12">
        <f>IFERROR(IF(SUMIFS(tblDaily[Deaths],tblDaily[EntryDate],DATE(2026,2,5),tblDaily[WardCode],"BG")=0,"",SUMIFS(tblDaily[Deaths],tblDaily[EntryDate],DATE(2026,2,5),tblDaily[WardCode],"BG")),"")</f>
        <v/>
      </c>
      <c r="E50" s="12">
        <f>IFERROR(IF(SUMIFS(tblDaily[DeathsUnder24Hrs],tblDaily[EntryDate],DATE(2026,2,5),tblDaily[WardCode],"BG")=0,"",SUMIFS(tblDaily[DeathsUnder24Hrs],tblDaily[EntryDate],DATE(2026,2,5),tblDaily[WardCode],"BG")),"")</f>
        <v/>
      </c>
      <c r="F50" s="12">
        <f>IFERROR(IF(SUMIFS(tblDaily[TransfersIn],tblDaily[EntryDate],DATE(2026,2,5),tblDaily[WardCode],"BG")=0,"",SUMIFS(tblDaily[TransfersIn],tblDaily[EntryDate],DATE(2026,2,5),tblDaily[WardCode],"BG")),"")</f>
        <v/>
      </c>
      <c r="G50" s="12">
        <f>IFERROR(IF(SUMIFS(tblDaily[TransfersOut],tblDaily[EntryDate],DATE(2026,2,5),tblDaily[WardCode],"BG")=0,"",SUMIFS(tblDaily[TransfersOut],tblDaily[EntryDate],DATE(2026,2,5),tblDaily[WardCode],"BG")),"")</f>
        <v/>
      </c>
      <c r="H50" s="12">
        <f>IFERROR(IF(SUMIFS(tblDaily[Remaining],tblDaily[EntryDate],DATE(2026,2,5),tblDaily[WardCode],"BG")=0,"",SUMIFS(tblDaily[Remaining],tblDaily[EntryDate],DATE(2026,2,5),tblDaily[WardCode],"BG")),"")</f>
        <v/>
      </c>
    </row>
    <row r="51">
      <c r="A51" s="12" t="n">
        <v>6</v>
      </c>
      <c r="B51" s="12">
        <f>IFERROR(IF(SUMIFS(tblDaily[Admissions],tblDaily[EntryDate],DATE(2026,2,6),tblDaily[WardCode],"BG")=0,"",SUMIFS(tblDaily[Admissions],tblDaily[EntryDate],DATE(2026,2,6),tblDaily[WardCode],"BG")),"")</f>
        <v/>
      </c>
      <c r="C51" s="12">
        <f>IFERROR(IF(SUMIFS(tblDaily[Discharges],tblDaily[EntryDate],DATE(2026,2,6),tblDaily[WardCode],"BG")=0,"",SUMIFS(tblDaily[Discharges],tblDaily[EntryDate],DATE(2026,2,6),tblDaily[WardCode],"BG")),"")</f>
        <v/>
      </c>
      <c r="D51" s="12">
        <f>IFERROR(IF(SUMIFS(tblDaily[Deaths],tblDaily[EntryDate],DATE(2026,2,6),tblDaily[WardCode],"BG")=0,"",SUMIFS(tblDaily[Deaths],tblDaily[EntryDate],DATE(2026,2,6),tblDaily[WardCode],"BG")),"")</f>
        <v/>
      </c>
      <c r="E51" s="12">
        <f>IFERROR(IF(SUMIFS(tblDaily[DeathsUnder24Hrs],tblDaily[EntryDate],DATE(2026,2,6),tblDaily[WardCode],"BG")=0,"",SUMIFS(tblDaily[DeathsUnder24Hrs],tblDaily[EntryDate],DATE(2026,2,6),tblDaily[WardCode],"BG")),"")</f>
        <v/>
      </c>
      <c r="F51" s="12">
        <f>IFERROR(IF(SUMIFS(tblDaily[TransfersIn],tblDaily[EntryDate],DATE(2026,2,6),tblDaily[WardCode],"BG")=0,"",SUMIFS(tblDaily[TransfersIn],tblDaily[EntryDate],DATE(2026,2,6),tblDaily[WardCode],"BG")),"")</f>
        <v/>
      </c>
      <c r="G51" s="12">
        <f>IFERROR(IF(SUMIFS(tblDaily[TransfersOut],tblDaily[EntryDate],DATE(2026,2,6),tblDaily[WardCode],"BG")=0,"",SUMIFS(tblDaily[TransfersOut],tblDaily[EntryDate],DATE(2026,2,6),tblDaily[WardCode],"BG")),"")</f>
        <v/>
      </c>
      <c r="H51" s="12">
        <f>IFERROR(IF(SUMIFS(tblDaily[Remaining],tblDaily[EntryDate],DATE(2026,2,6),tblDaily[WardCode],"BG")=0,"",SUMIFS(tblDaily[Remaining],tblDaily[EntryDate],DATE(2026,2,6),tblDaily[WardCode],"BG")),"")</f>
        <v/>
      </c>
    </row>
    <row r="52">
      <c r="A52" s="12" t="n">
        <v>7</v>
      </c>
      <c r="B52" s="12">
        <f>IFERROR(IF(SUMIFS(tblDaily[Admissions],tblDaily[EntryDate],DATE(2026,2,7),tblDaily[WardCode],"BG")=0,"",SUMIFS(tblDaily[Admissions],tblDaily[EntryDate],DATE(2026,2,7),tblDaily[WardCode],"BG")),"")</f>
        <v/>
      </c>
      <c r="C52" s="12">
        <f>IFERROR(IF(SUMIFS(tblDaily[Discharges],tblDaily[EntryDate],DATE(2026,2,7),tblDaily[WardCode],"BG")=0,"",SUMIFS(tblDaily[Discharges],tblDaily[EntryDate],DATE(2026,2,7),tblDaily[WardCode],"BG")),"")</f>
        <v/>
      </c>
      <c r="D52" s="12">
        <f>IFERROR(IF(SUMIFS(tblDaily[Deaths],tblDaily[EntryDate],DATE(2026,2,7),tblDaily[WardCode],"BG")=0,"",SUMIFS(tblDaily[Deaths],tblDaily[EntryDate],DATE(2026,2,7),tblDaily[WardCode],"BG")),"")</f>
        <v/>
      </c>
      <c r="E52" s="12">
        <f>IFERROR(IF(SUMIFS(tblDaily[DeathsUnder24Hrs],tblDaily[EntryDate],DATE(2026,2,7),tblDaily[WardCode],"BG")=0,"",SUMIFS(tblDaily[DeathsUnder24Hrs],tblDaily[EntryDate],DATE(2026,2,7),tblDaily[WardCode],"BG")),"")</f>
        <v/>
      </c>
      <c r="F52" s="12">
        <f>IFERROR(IF(SUMIFS(tblDaily[TransfersIn],tblDaily[EntryDate],DATE(2026,2,7),tblDaily[WardCode],"BG")=0,"",SUMIFS(tblDaily[TransfersIn],tblDaily[EntryDate],DATE(2026,2,7),tblDaily[WardCode],"BG")),"")</f>
        <v/>
      </c>
      <c r="G52" s="12">
        <f>IFERROR(IF(SUMIFS(tblDaily[TransfersOut],tblDaily[EntryDate],DATE(2026,2,7),tblDaily[WardCode],"BG")=0,"",SUMIFS(tblDaily[TransfersOut],tblDaily[EntryDate],DATE(2026,2,7),tblDaily[WardCode],"BG")),"")</f>
        <v/>
      </c>
      <c r="H52" s="12">
        <f>IFERROR(IF(SUMIFS(tblDaily[Remaining],tblDaily[EntryDate],DATE(2026,2,7),tblDaily[WardCode],"BG")=0,"",SUMIFS(tblDaily[Remaining],tblDaily[EntryDate],DATE(2026,2,7),tblDaily[WardCode],"BG")),"")</f>
        <v/>
      </c>
    </row>
    <row r="53">
      <c r="A53" s="12" t="n">
        <v>8</v>
      </c>
      <c r="B53" s="12">
        <f>IFERROR(IF(SUMIFS(tblDaily[Admissions],tblDaily[EntryDate],DATE(2026,2,8),tblDaily[WardCode],"BG")=0,"",SUMIFS(tblDaily[Admissions],tblDaily[EntryDate],DATE(2026,2,8),tblDaily[WardCode],"BG")),"")</f>
        <v/>
      </c>
      <c r="C53" s="12">
        <f>IFERROR(IF(SUMIFS(tblDaily[Discharges],tblDaily[EntryDate],DATE(2026,2,8),tblDaily[WardCode],"BG")=0,"",SUMIFS(tblDaily[Discharges],tblDaily[EntryDate],DATE(2026,2,8),tblDaily[WardCode],"BG")),"")</f>
        <v/>
      </c>
      <c r="D53" s="12">
        <f>IFERROR(IF(SUMIFS(tblDaily[Deaths],tblDaily[EntryDate],DATE(2026,2,8),tblDaily[WardCode],"BG")=0,"",SUMIFS(tblDaily[Deaths],tblDaily[EntryDate],DATE(2026,2,8),tblDaily[WardCode],"BG")),"")</f>
        <v/>
      </c>
      <c r="E53" s="12">
        <f>IFERROR(IF(SUMIFS(tblDaily[DeathsUnder24Hrs],tblDaily[EntryDate],DATE(2026,2,8),tblDaily[WardCode],"BG")=0,"",SUMIFS(tblDaily[DeathsUnder24Hrs],tblDaily[EntryDate],DATE(2026,2,8),tblDaily[WardCode],"BG")),"")</f>
        <v/>
      </c>
      <c r="F53" s="12">
        <f>IFERROR(IF(SUMIFS(tblDaily[TransfersIn],tblDaily[EntryDate],DATE(2026,2,8),tblDaily[WardCode],"BG")=0,"",SUMIFS(tblDaily[TransfersIn],tblDaily[EntryDate],DATE(2026,2,8),tblDaily[WardCode],"BG")),"")</f>
        <v/>
      </c>
      <c r="G53" s="12">
        <f>IFERROR(IF(SUMIFS(tblDaily[TransfersOut],tblDaily[EntryDate],DATE(2026,2,8),tblDaily[WardCode],"BG")=0,"",SUMIFS(tblDaily[TransfersOut],tblDaily[EntryDate],DATE(2026,2,8),tblDaily[WardCode],"BG")),"")</f>
        <v/>
      </c>
      <c r="H53" s="12">
        <f>IFERROR(IF(SUMIFS(tblDaily[Remaining],tblDaily[EntryDate],DATE(2026,2,8),tblDaily[WardCode],"BG")=0,"",SUMIFS(tblDaily[Remaining],tblDaily[EntryDate],DATE(2026,2,8),tblDaily[WardCode],"BG")),"")</f>
        <v/>
      </c>
    </row>
    <row r="54">
      <c r="A54" s="12" t="n">
        <v>9</v>
      </c>
      <c r="B54" s="12">
        <f>IFERROR(IF(SUMIFS(tblDaily[Admissions],tblDaily[EntryDate],DATE(2026,2,9),tblDaily[WardCode],"BG")=0,"",SUMIFS(tblDaily[Admissions],tblDaily[EntryDate],DATE(2026,2,9),tblDaily[WardCode],"BG")),"")</f>
        <v/>
      </c>
      <c r="C54" s="12">
        <f>IFERROR(IF(SUMIFS(tblDaily[Discharges],tblDaily[EntryDate],DATE(2026,2,9),tblDaily[WardCode],"BG")=0,"",SUMIFS(tblDaily[Discharges],tblDaily[EntryDate],DATE(2026,2,9),tblDaily[WardCode],"BG")),"")</f>
        <v/>
      </c>
      <c r="D54" s="12">
        <f>IFERROR(IF(SUMIFS(tblDaily[Deaths],tblDaily[EntryDate],DATE(2026,2,9),tblDaily[WardCode],"BG")=0,"",SUMIFS(tblDaily[Deaths],tblDaily[EntryDate],DATE(2026,2,9),tblDaily[WardCode],"BG")),"")</f>
        <v/>
      </c>
      <c r="E54" s="12">
        <f>IFERROR(IF(SUMIFS(tblDaily[DeathsUnder24Hrs],tblDaily[EntryDate],DATE(2026,2,9),tblDaily[WardCode],"BG")=0,"",SUMIFS(tblDaily[DeathsUnder24Hrs],tblDaily[EntryDate],DATE(2026,2,9),tblDaily[WardCode],"BG")),"")</f>
        <v/>
      </c>
      <c r="F54" s="12">
        <f>IFERROR(IF(SUMIFS(tblDaily[TransfersIn],tblDaily[EntryDate],DATE(2026,2,9),tblDaily[WardCode],"BG")=0,"",SUMIFS(tblDaily[TransfersIn],tblDaily[EntryDate],DATE(2026,2,9),tblDaily[WardCode],"BG")),"")</f>
        <v/>
      </c>
      <c r="G54" s="12">
        <f>IFERROR(IF(SUMIFS(tblDaily[TransfersOut],tblDaily[EntryDate],DATE(2026,2,9),tblDaily[WardCode],"BG")=0,"",SUMIFS(tblDaily[TransfersOut],tblDaily[EntryDate],DATE(2026,2,9),tblDaily[WardCode],"BG")),"")</f>
        <v/>
      </c>
      <c r="H54" s="12">
        <f>IFERROR(IF(SUMIFS(tblDaily[Remaining],tblDaily[EntryDate],DATE(2026,2,9),tblDaily[WardCode],"BG")=0,"",SUMIFS(tblDaily[Remaining],tblDaily[EntryDate],DATE(2026,2,9),tblDaily[WardCode],"BG")),"")</f>
        <v/>
      </c>
    </row>
    <row r="55">
      <c r="A55" s="12" t="n">
        <v>10</v>
      </c>
      <c r="B55" s="12">
        <f>IFERROR(IF(SUMIFS(tblDaily[Admissions],tblDaily[EntryDate],DATE(2026,2,10),tblDaily[WardCode],"BG")=0,"",SUMIFS(tblDaily[Admissions],tblDaily[EntryDate],DATE(2026,2,10),tblDaily[WardCode],"BG")),"")</f>
        <v/>
      </c>
      <c r="C55" s="12">
        <f>IFERROR(IF(SUMIFS(tblDaily[Discharges],tblDaily[EntryDate],DATE(2026,2,10),tblDaily[WardCode],"BG")=0,"",SUMIFS(tblDaily[Discharges],tblDaily[EntryDate],DATE(2026,2,10),tblDaily[WardCode],"BG")),"")</f>
        <v/>
      </c>
      <c r="D55" s="12">
        <f>IFERROR(IF(SUMIFS(tblDaily[Deaths],tblDaily[EntryDate],DATE(2026,2,10),tblDaily[WardCode],"BG")=0,"",SUMIFS(tblDaily[Deaths],tblDaily[EntryDate],DATE(2026,2,10),tblDaily[WardCode],"BG")),"")</f>
        <v/>
      </c>
      <c r="E55" s="12">
        <f>IFERROR(IF(SUMIFS(tblDaily[DeathsUnder24Hrs],tblDaily[EntryDate],DATE(2026,2,10),tblDaily[WardCode],"BG")=0,"",SUMIFS(tblDaily[DeathsUnder24Hrs],tblDaily[EntryDate],DATE(2026,2,10),tblDaily[WardCode],"BG")),"")</f>
        <v/>
      </c>
      <c r="F55" s="12">
        <f>IFERROR(IF(SUMIFS(tblDaily[TransfersIn],tblDaily[EntryDate],DATE(2026,2,10),tblDaily[WardCode],"BG")=0,"",SUMIFS(tblDaily[TransfersIn],tblDaily[EntryDate],DATE(2026,2,10),tblDaily[WardCode],"BG")),"")</f>
        <v/>
      </c>
      <c r="G55" s="12">
        <f>IFERROR(IF(SUMIFS(tblDaily[TransfersOut],tblDaily[EntryDate],DATE(2026,2,10),tblDaily[WardCode],"BG")=0,"",SUMIFS(tblDaily[TransfersOut],tblDaily[EntryDate],DATE(2026,2,10),tblDaily[WardCode],"BG")),"")</f>
        <v/>
      </c>
      <c r="H55" s="12">
        <f>IFERROR(IF(SUMIFS(tblDaily[Remaining],tblDaily[EntryDate],DATE(2026,2,10),tblDaily[WardCode],"BG")=0,"",SUMIFS(tblDaily[Remaining],tblDaily[EntryDate],DATE(2026,2,10),tblDaily[WardCode],"BG")),"")</f>
        <v/>
      </c>
    </row>
    <row r="56">
      <c r="A56" s="12" t="n">
        <v>11</v>
      </c>
      <c r="B56" s="12">
        <f>IFERROR(IF(SUMIFS(tblDaily[Admissions],tblDaily[EntryDate],DATE(2026,2,11),tblDaily[WardCode],"BG")=0,"",SUMIFS(tblDaily[Admissions],tblDaily[EntryDate],DATE(2026,2,11),tblDaily[WardCode],"BG")),"")</f>
        <v/>
      </c>
      <c r="C56" s="12">
        <f>IFERROR(IF(SUMIFS(tblDaily[Discharges],tblDaily[EntryDate],DATE(2026,2,11),tblDaily[WardCode],"BG")=0,"",SUMIFS(tblDaily[Discharges],tblDaily[EntryDate],DATE(2026,2,11),tblDaily[WardCode],"BG")),"")</f>
        <v/>
      </c>
      <c r="D56" s="12">
        <f>IFERROR(IF(SUMIFS(tblDaily[Deaths],tblDaily[EntryDate],DATE(2026,2,11),tblDaily[WardCode],"BG")=0,"",SUMIFS(tblDaily[Deaths],tblDaily[EntryDate],DATE(2026,2,11),tblDaily[WardCode],"BG")),"")</f>
        <v/>
      </c>
      <c r="E56" s="12">
        <f>IFERROR(IF(SUMIFS(tblDaily[DeathsUnder24Hrs],tblDaily[EntryDate],DATE(2026,2,11),tblDaily[WardCode],"BG")=0,"",SUMIFS(tblDaily[DeathsUnder24Hrs],tblDaily[EntryDate],DATE(2026,2,11),tblDaily[WardCode],"BG")),"")</f>
        <v/>
      </c>
      <c r="F56" s="12">
        <f>IFERROR(IF(SUMIFS(tblDaily[TransfersIn],tblDaily[EntryDate],DATE(2026,2,11),tblDaily[WardCode],"BG")=0,"",SUMIFS(tblDaily[TransfersIn],tblDaily[EntryDate],DATE(2026,2,11),tblDaily[WardCode],"BG")),"")</f>
        <v/>
      </c>
      <c r="G56" s="12">
        <f>IFERROR(IF(SUMIFS(tblDaily[TransfersOut],tblDaily[EntryDate],DATE(2026,2,11),tblDaily[WardCode],"BG")=0,"",SUMIFS(tblDaily[TransfersOut],tblDaily[EntryDate],DATE(2026,2,11),tblDaily[WardCode],"BG")),"")</f>
        <v/>
      </c>
      <c r="H56" s="12">
        <f>IFERROR(IF(SUMIFS(tblDaily[Remaining],tblDaily[EntryDate],DATE(2026,2,11),tblDaily[WardCode],"BG")=0,"",SUMIFS(tblDaily[Remaining],tblDaily[EntryDate],DATE(2026,2,11),tblDaily[WardCode],"BG")),"")</f>
        <v/>
      </c>
    </row>
    <row r="57">
      <c r="A57" s="12" t="n">
        <v>12</v>
      </c>
      <c r="B57" s="12">
        <f>IFERROR(IF(SUMIFS(tblDaily[Admissions],tblDaily[EntryDate],DATE(2026,2,12),tblDaily[WardCode],"BG")=0,"",SUMIFS(tblDaily[Admissions],tblDaily[EntryDate],DATE(2026,2,12),tblDaily[WardCode],"BG")),"")</f>
        <v/>
      </c>
      <c r="C57" s="12">
        <f>IFERROR(IF(SUMIFS(tblDaily[Discharges],tblDaily[EntryDate],DATE(2026,2,12),tblDaily[WardCode],"BG")=0,"",SUMIFS(tblDaily[Discharges],tblDaily[EntryDate],DATE(2026,2,12),tblDaily[WardCode],"BG")),"")</f>
        <v/>
      </c>
      <c r="D57" s="12">
        <f>IFERROR(IF(SUMIFS(tblDaily[Deaths],tblDaily[EntryDate],DATE(2026,2,12),tblDaily[WardCode],"BG")=0,"",SUMIFS(tblDaily[Deaths],tblDaily[EntryDate],DATE(2026,2,12),tblDaily[WardCode],"BG")),"")</f>
        <v/>
      </c>
      <c r="E57" s="12">
        <f>IFERROR(IF(SUMIFS(tblDaily[DeathsUnder24Hrs],tblDaily[EntryDate],DATE(2026,2,12),tblDaily[WardCode],"BG")=0,"",SUMIFS(tblDaily[DeathsUnder24Hrs],tblDaily[EntryDate],DATE(2026,2,12),tblDaily[WardCode],"BG")),"")</f>
        <v/>
      </c>
      <c r="F57" s="12">
        <f>IFERROR(IF(SUMIFS(tblDaily[TransfersIn],tblDaily[EntryDate],DATE(2026,2,12),tblDaily[WardCode],"BG")=0,"",SUMIFS(tblDaily[TransfersIn],tblDaily[EntryDate],DATE(2026,2,12),tblDaily[WardCode],"BG")),"")</f>
        <v/>
      </c>
      <c r="G57" s="12">
        <f>IFERROR(IF(SUMIFS(tblDaily[TransfersOut],tblDaily[EntryDate],DATE(2026,2,12),tblDaily[WardCode],"BG")=0,"",SUMIFS(tblDaily[TransfersOut],tblDaily[EntryDate],DATE(2026,2,12),tblDaily[WardCode],"BG")),"")</f>
        <v/>
      </c>
      <c r="H57" s="12">
        <f>IFERROR(IF(SUMIFS(tblDaily[Remaining],tblDaily[EntryDate],DATE(2026,2,12),tblDaily[WardCode],"BG")=0,"",SUMIFS(tblDaily[Remaining],tblDaily[EntryDate],DATE(2026,2,12),tblDaily[WardCode],"BG")),"")</f>
        <v/>
      </c>
    </row>
    <row r="58">
      <c r="A58" s="12" t="n">
        <v>13</v>
      </c>
      <c r="B58" s="12">
        <f>IFERROR(IF(SUMIFS(tblDaily[Admissions],tblDaily[EntryDate],DATE(2026,2,13),tblDaily[WardCode],"BG")=0,"",SUMIFS(tblDaily[Admissions],tblDaily[EntryDate],DATE(2026,2,13),tblDaily[WardCode],"BG")),"")</f>
        <v/>
      </c>
      <c r="C58" s="12">
        <f>IFERROR(IF(SUMIFS(tblDaily[Discharges],tblDaily[EntryDate],DATE(2026,2,13),tblDaily[WardCode],"BG")=0,"",SUMIFS(tblDaily[Discharges],tblDaily[EntryDate],DATE(2026,2,13),tblDaily[WardCode],"BG")),"")</f>
        <v/>
      </c>
      <c r="D58" s="12">
        <f>IFERROR(IF(SUMIFS(tblDaily[Deaths],tblDaily[EntryDate],DATE(2026,2,13),tblDaily[WardCode],"BG")=0,"",SUMIFS(tblDaily[Deaths],tblDaily[EntryDate],DATE(2026,2,13),tblDaily[WardCode],"BG")),"")</f>
        <v/>
      </c>
      <c r="E58" s="12">
        <f>IFERROR(IF(SUMIFS(tblDaily[DeathsUnder24Hrs],tblDaily[EntryDate],DATE(2026,2,13),tblDaily[WardCode],"BG")=0,"",SUMIFS(tblDaily[DeathsUnder24Hrs],tblDaily[EntryDate],DATE(2026,2,13),tblDaily[WardCode],"BG")),"")</f>
        <v/>
      </c>
      <c r="F58" s="12">
        <f>IFERROR(IF(SUMIFS(tblDaily[TransfersIn],tblDaily[EntryDate],DATE(2026,2,13),tblDaily[WardCode],"BG")=0,"",SUMIFS(tblDaily[TransfersIn],tblDaily[EntryDate],DATE(2026,2,13),tblDaily[WardCode],"BG")),"")</f>
        <v/>
      </c>
      <c r="G58" s="12">
        <f>IFERROR(IF(SUMIFS(tblDaily[TransfersOut],tblDaily[EntryDate],DATE(2026,2,13),tblDaily[WardCode],"BG")=0,"",SUMIFS(tblDaily[TransfersOut],tblDaily[EntryDate],DATE(2026,2,13),tblDaily[WardCode],"BG")),"")</f>
        <v/>
      </c>
      <c r="H58" s="12">
        <f>IFERROR(IF(SUMIFS(tblDaily[Remaining],tblDaily[EntryDate],DATE(2026,2,13),tblDaily[WardCode],"BG")=0,"",SUMIFS(tblDaily[Remaining],tblDaily[EntryDate],DATE(2026,2,13),tblDaily[WardCode],"BG")),"")</f>
        <v/>
      </c>
    </row>
    <row r="59">
      <c r="A59" s="12" t="n">
        <v>14</v>
      </c>
      <c r="B59" s="12">
        <f>IFERROR(IF(SUMIFS(tblDaily[Admissions],tblDaily[EntryDate],DATE(2026,2,14),tblDaily[WardCode],"BG")=0,"",SUMIFS(tblDaily[Admissions],tblDaily[EntryDate],DATE(2026,2,14),tblDaily[WardCode],"BG")),"")</f>
        <v/>
      </c>
      <c r="C59" s="12">
        <f>IFERROR(IF(SUMIFS(tblDaily[Discharges],tblDaily[EntryDate],DATE(2026,2,14),tblDaily[WardCode],"BG")=0,"",SUMIFS(tblDaily[Discharges],tblDaily[EntryDate],DATE(2026,2,14),tblDaily[WardCode],"BG")),"")</f>
        <v/>
      </c>
      <c r="D59" s="12">
        <f>IFERROR(IF(SUMIFS(tblDaily[Deaths],tblDaily[EntryDate],DATE(2026,2,14),tblDaily[WardCode],"BG")=0,"",SUMIFS(tblDaily[Deaths],tblDaily[EntryDate],DATE(2026,2,14),tblDaily[WardCode],"BG")),"")</f>
        <v/>
      </c>
      <c r="E59" s="12">
        <f>IFERROR(IF(SUMIFS(tblDaily[DeathsUnder24Hrs],tblDaily[EntryDate],DATE(2026,2,14),tblDaily[WardCode],"BG")=0,"",SUMIFS(tblDaily[DeathsUnder24Hrs],tblDaily[EntryDate],DATE(2026,2,14),tblDaily[WardCode],"BG")),"")</f>
        <v/>
      </c>
      <c r="F59" s="12">
        <f>IFERROR(IF(SUMIFS(tblDaily[TransfersIn],tblDaily[EntryDate],DATE(2026,2,14),tblDaily[WardCode],"BG")=0,"",SUMIFS(tblDaily[TransfersIn],tblDaily[EntryDate],DATE(2026,2,14),tblDaily[WardCode],"BG")),"")</f>
        <v/>
      </c>
      <c r="G59" s="12">
        <f>IFERROR(IF(SUMIFS(tblDaily[TransfersOut],tblDaily[EntryDate],DATE(2026,2,14),tblDaily[WardCode],"BG")=0,"",SUMIFS(tblDaily[TransfersOut],tblDaily[EntryDate],DATE(2026,2,14),tblDaily[WardCode],"BG")),"")</f>
        <v/>
      </c>
      <c r="H59" s="12">
        <f>IFERROR(IF(SUMIFS(tblDaily[Remaining],tblDaily[EntryDate],DATE(2026,2,14),tblDaily[WardCode],"BG")=0,"",SUMIFS(tblDaily[Remaining],tblDaily[EntryDate],DATE(2026,2,14),tblDaily[WardCode],"BG")),"")</f>
        <v/>
      </c>
    </row>
    <row r="60">
      <c r="A60" s="12" t="n">
        <v>15</v>
      </c>
      <c r="B60" s="12">
        <f>IFERROR(IF(SUMIFS(tblDaily[Admissions],tblDaily[EntryDate],DATE(2026,2,15),tblDaily[WardCode],"BG")=0,"",SUMIFS(tblDaily[Admissions],tblDaily[EntryDate],DATE(2026,2,15),tblDaily[WardCode],"BG")),"")</f>
        <v/>
      </c>
      <c r="C60" s="12">
        <f>IFERROR(IF(SUMIFS(tblDaily[Discharges],tblDaily[EntryDate],DATE(2026,2,15),tblDaily[WardCode],"BG")=0,"",SUMIFS(tblDaily[Discharges],tblDaily[EntryDate],DATE(2026,2,15),tblDaily[WardCode],"BG")),"")</f>
        <v/>
      </c>
      <c r="D60" s="12">
        <f>IFERROR(IF(SUMIFS(tblDaily[Deaths],tblDaily[EntryDate],DATE(2026,2,15),tblDaily[WardCode],"BG")=0,"",SUMIFS(tblDaily[Deaths],tblDaily[EntryDate],DATE(2026,2,15),tblDaily[WardCode],"BG")),"")</f>
        <v/>
      </c>
      <c r="E60" s="12">
        <f>IFERROR(IF(SUMIFS(tblDaily[DeathsUnder24Hrs],tblDaily[EntryDate],DATE(2026,2,15),tblDaily[WardCode],"BG")=0,"",SUMIFS(tblDaily[DeathsUnder24Hrs],tblDaily[EntryDate],DATE(2026,2,15),tblDaily[WardCode],"BG")),"")</f>
        <v/>
      </c>
      <c r="F60" s="12">
        <f>IFERROR(IF(SUMIFS(tblDaily[TransfersIn],tblDaily[EntryDate],DATE(2026,2,15),tblDaily[WardCode],"BG")=0,"",SUMIFS(tblDaily[TransfersIn],tblDaily[EntryDate],DATE(2026,2,15),tblDaily[WardCode],"BG")),"")</f>
        <v/>
      </c>
      <c r="G60" s="12">
        <f>IFERROR(IF(SUMIFS(tblDaily[TransfersOut],tblDaily[EntryDate],DATE(2026,2,15),tblDaily[WardCode],"BG")=0,"",SUMIFS(tblDaily[TransfersOut],tblDaily[EntryDate],DATE(2026,2,15),tblDaily[WardCode],"BG")),"")</f>
        <v/>
      </c>
      <c r="H60" s="12">
        <f>IFERROR(IF(SUMIFS(tblDaily[Remaining],tblDaily[EntryDate],DATE(2026,2,15),tblDaily[WardCode],"BG")=0,"",SUMIFS(tblDaily[Remaining],tblDaily[EntryDate],DATE(2026,2,15),tblDaily[WardCode],"BG")),"")</f>
        <v/>
      </c>
    </row>
    <row r="61">
      <c r="A61" s="12" t="n">
        <v>16</v>
      </c>
      <c r="B61" s="12">
        <f>IFERROR(IF(SUMIFS(tblDaily[Admissions],tblDaily[EntryDate],DATE(2026,2,16),tblDaily[WardCode],"BG")=0,"",SUMIFS(tblDaily[Admissions],tblDaily[EntryDate],DATE(2026,2,16),tblDaily[WardCode],"BG")),"")</f>
        <v/>
      </c>
      <c r="C61" s="12">
        <f>IFERROR(IF(SUMIFS(tblDaily[Discharges],tblDaily[EntryDate],DATE(2026,2,16),tblDaily[WardCode],"BG")=0,"",SUMIFS(tblDaily[Discharges],tblDaily[EntryDate],DATE(2026,2,16),tblDaily[WardCode],"BG")),"")</f>
        <v/>
      </c>
      <c r="D61" s="12">
        <f>IFERROR(IF(SUMIFS(tblDaily[Deaths],tblDaily[EntryDate],DATE(2026,2,16),tblDaily[WardCode],"BG")=0,"",SUMIFS(tblDaily[Deaths],tblDaily[EntryDate],DATE(2026,2,16),tblDaily[WardCode],"BG")),"")</f>
        <v/>
      </c>
      <c r="E61" s="12">
        <f>IFERROR(IF(SUMIFS(tblDaily[DeathsUnder24Hrs],tblDaily[EntryDate],DATE(2026,2,16),tblDaily[WardCode],"BG")=0,"",SUMIFS(tblDaily[DeathsUnder24Hrs],tblDaily[EntryDate],DATE(2026,2,16),tblDaily[WardCode],"BG")),"")</f>
        <v/>
      </c>
      <c r="F61" s="12">
        <f>IFERROR(IF(SUMIFS(tblDaily[TransfersIn],tblDaily[EntryDate],DATE(2026,2,16),tblDaily[WardCode],"BG")=0,"",SUMIFS(tblDaily[TransfersIn],tblDaily[EntryDate],DATE(2026,2,16),tblDaily[WardCode],"BG")),"")</f>
        <v/>
      </c>
      <c r="G61" s="12">
        <f>IFERROR(IF(SUMIFS(tblDaily[TransfersOut],tblDaily[EntryDate],DATE(2026,2,16),tblDaily[WardCode],"BG")=0,"",SUMIFS(tblDaily[TransfersOut],tblDaily[EntryDate],DATE(2026,2,16),tblDaily[WardCode],"BG")),"")</f>
        <v/>
      </c>
      <c r="H61" s="12">
        <f>IFERROR(IF(SUMIFS(tblDaily[Remaining],tblDaily[EntryDate],DATE(2026,2,16),tblDaily[WardCode],"BG")=0,"",SUMIFS(tblDaily[Remaining],tblDaily[EntryDate],DATE(2026,2,16),tblDaily[WardCode],"BG")),"")</f>
        <v/>
      </c>
    </row>
    <row r="62">
      <c r="A62" s="12" t="n">
        <v>17</v>
      </c>
      <c r="B62" s="12">
        <f>IFERROR(IF(SUMIFS(tblDaily[Admissions],tblDaily[EntryDate],DATE(2026,2,17),tblDaily[WardCode],"BG")=0,"",SUMIFS(tblDaily[Admissions],tblDaily[EntryDate],DATE(2026,2,17),tblDaily[WardCode],"BG")),"")</f>
        <v/>
      </c>
      <c r="C62" s="12">
        <f>IFERROR(IF(SUMIFS(tblDaily[Discharges],tblDaily[EntryDate],DATE(2026,2,17),tblDaily[WardCode],"BG")=0,"",SUMIFS(tblDaily[Discharges],tblDaily[EntryDate],DATE(2026,2,17),tblDaily[WardCode],"BG")),"")</f>
        <v/>
      </c>
      <c r="D62" s="12">
        <f>IFERROR(IF(SUMIFS(tblDaily[Deaths],tblDaily[EntryDate],DATE(2026,2,17),tblDaily[WardCode],"BG")=0,"",SUMIFS(tblDaily[Deaths],tblDaily[EntryDate],DATE(2026,2,17),tblDaily[WardCode],"BG")),"")</f>
        <v/>
      </c>
      <c r="E62" s="12">
        <f>IFERROR(IF(SUMIFS(tblDaily[DeathsUnder24Hrs],tblDaily[EntryDate],DATE(2026,2,17),tblDaily[WardCode],"BG")=0,"",SUMIFS(tblDaily[DeathsUnder24Hrs],tblDaily[EntryDate],DATE(2026,2,17),tblDaily[WardCode],"BG")),"")</f>
        <v/>
      </c>
      <c r="F62" s="12">
        <f>IFERROR(IF(SUMIFS(tblDaily[TransfersIn],tblDaily[EntryDate],DATE(2026,2,17),tblDaily[WardCode],"BG")=0,"",SUMIFS(tblDaily[TransfersIn],tblDaily[EntryDate],DATE(2026,2,17),tblDaily[WardCode],"BG")),"")</f>
        <v/>
      </c>
      <c r="G62" s="12">
        <f>IFERROR(IF(SUMIFS(tblDaily[TransfersOut],tblDaily[EntryDate],DATE(2026,2,17),tblDaily[WardCode],"BG")=0,"",SUMIFS(tblDaily[TransfersOut],tblDaily[EntryDate],DATE(2026,2,17),tblDaily[WardCode],"BG")),"")</f>
        <v/>
      </c>
      <c r="H62" s="12">
        <f>IFERROR(IF(SUMIFS(tblDaily[Remaining],tblDaily[EntryDate],DATE(2026,2,17),tblDaily[WardCode],"BG")=0,"",SUMIFS(tblDaily[Remaining],tblDaily[EntryDate],DATE(2026,2,17),tblDaily[WardCode],"BG")),"")</f>
        <v/>
      </c>
    </row>
    <row r="63">
      <c r="A63" s="12" t="n">
        <v>18</v>
      </c>
      <c r="B63" s="12">
        <f>IFERROR(IF(SUMIFS(tblDaily[Admissions],tblDaily[EntryDate],DATE(2026,2,18),tblDaily[WardCode],"BG")=0,"",SUMIFS(tblDaily[Admissions],tblDaily[EntryDate],DATE(2026,2,18),tblDaily[WardCode],"BG")),"")</f>
        <v/>
      </c>
      <c r="C63" s="12">
        <f>IFERROR(IF(SUMIFS(tblDaily[Discharges],tblDaily[EntryDate],DATE(2026,2,18),tblDaily[WardCode],"BG")=0,"",SUMIFS(tblDaily[Discharges],tblDaily[EntryDate],DATE(2026,2,18),tblDaily[WardCode],"BG")),"")</f>
        <v/>
      </c>
      <c r="D63" s="12">
        <f>IFERROR(IF(SUMIFS(tblDaily[Deaths],tblDaily[EntryDate],DATE(2026,2,18),tblDaily[WardCode],"BG")=0,"",SUMIFS(tblDaily[Deaths],tblDaily[EntryDate],DATE(2026,2,18),tblDaily[WardCode],"BG")),"")</f>
        <v/>
      </c>
      <c r="E63" s="12">
        <f>IFERROR(IF(SUMIFS(tblDaily[DeathsUnder24Hrs],tblDaily[EntryDate],DATE(2026,2,18),tblDaily[WardCode],"BG")=0,"",SUMIFS(tblDaily[DeathsUnder24Hrs],tblDaily[EntryDate],DATE(2026,2,18),tblDaily[WardCode],"BG")),"")</f>
        <v/>
      </c>
      <c r="F63" s="12">
        <f>IFERROR(IF(SUMIFS(tblDaily[TransfersIn],tblDaily[EntryDate],DATE(2026,2,18),tblDaily[WardCode],"BG")=0,"",SUMIFS(tblDaily[TransfersIn],tblDaily[EntryDate],DATE(2026,2,18),tblDaily[WardCode],"BG")),"")</f>
        <v/>
      </c>
      <c r="G63" s="12">
        <f>IFERROR(IF(SUMIFS(tblDaily[TransfersOut],tblDaily[EntryDate],DATE(2026,2,18),tblDaily[WardCode],"BG")=0,"",SUMIFS(tblDaily[TransfersOut],tblDaily[EntryDate],DATE(2026,2,18),tblDaily[WardCode],"BG")),"")</f>
        <v/>
      </c>
      <c r="H63" s="12">
        <f>IFERROR(IF(SUMIFS(tblDaily[Remaining],tblDaily[EntryDate],DATE(2026,2,18),tblDaily[WardCode],"BG")=0,"",SUMIFS(tblDaily[Remaining],tblDaily[EntryDate],DATE(2026,2,18),tblDaily[WardCode],"BG")),"")</f>
        <v/>
      </c>
    </row>
    <row r="64">
      <c r="A64" s="12" t="n">
        <v>19</v>
      </c>
      <c r="B64" s="12">
        <f>IFERROR(IF(SUMIFS(tblDaily[Admissions],tblDaily[EntryDate],DATE(2026,2,19),tblDaily[WardCode],"BG")=0,"",SUMIFS(tblDaily[Admissions],tblDaily[EntryDate],DATE(2026,2,19),tblDaily[WardCode],"BG")),"")</f>
        <v/>
      </c>
      <c r="C64" s="12">
        <f>IFERROR(IF(SUMIFS(tblDaily[Discharges],tblDaily[EntryDate],DATE(2026,2,19),tblDaily[WardCode],"BG")=0,"",SUMIFS(tblDaily[Discharges],tblDaily[EntryDate],DATE(2026,2,19),tblDaily[WardCode],"BG")),"")</f>
        <v/>
      </c>
      <c r="D64" s="12">
        <f>IFERROR(IF(SUMIFS(tblDaily[Deaths],tblDaily[EntryDate],DATE(2026,2,19),tblDaily[WardCode],"BG")=0,"",SUMIFS(tblDaily[Deaths],tblDaily[EntryDate],DATE(2026,2,19),tblDaily[WardCode],"BG")),"")</f>
        <v/>
      </c>
      <c r="E64" s="12">
        <f>IFERROR(IF(SUMIFS(tblDaily[DeathsUnder24Hrs],tblDaily[EntryDate],DATE(2026,2,19),tblDaily[WardCode],"BG")=0,"",SUMIFS(tblDaily[DeathsUnder24Hrs],tblDaily[EntryDate],DATE(2026,2,19),tblDaily[WardCode],"BG")),"")</f>
        <v/>
      </c>
      <c r="F64" s="12">
        <f>IFERROR(IF(SUMIFS(tblDaily[TransfersIn],tblDaily[EntryDate],DATE(2026,2,19),tblDaily[WardCode],"BG")=0,"",SUMIFS(tblDaily[TransfersIn],tblDaily[EntryDate],DATE(2026,2,19),tblDaily[WardCode],"BG")),"")</f>
        <v/>
      </c>
      <c r="G64" s="12">
        <f>IFERROR(IF(SUMIFS(tblDaily[TransfersOut],tblDaily[EntryDate],DATE(2026,2,19),tblDaily[WardCode],"BG")=0,"",SUMIFS(tblDaily[TransfersOut],tblDaily[EntryDate],DATE(2026,2,19),tblDaily[WardCode],"BG")),"")</f>
        <v/>
      </c>
      <c r="H64" s="12">
        <f>IFERROR(IF(SUMIFS(tblDaily[Remaining],tblDaily[EntryDate],DATE(2026,2,19),tblDaily[WardCode],"BG")=0,"",SUMIFS(tblDaily[Remaining],tblDaily[EntryDate],DATE(2026,2,19),tblDaily[WardCode],"BG")),"")</f>
        <v/>
      </c>
    </row>
    <row r="65">
      <c r="A65" s="12" t="n">
        <v>20</v>
      </c>
      <c r="B65" s="12">
        <f>IFERROR(IF(SUMIFS(tblDaily[Admissions],tblDaily[EntryDate],DATE(2026,2,20),tblDaily[WardCode],"BG")=0,"",SUMIFS(tblDaily[Admissions],tblDaily[EntryDate],DATE(2026,2,20),tblDaily[WardCode],"BG")),"")</f>
        <v/>
      </c>
      <c r="C65" s="12">
        <f>IFERROR(IF(SUMIFS(tblDaily[Discharges],tblDaily[EntryDate],DATE(2026,2,20),tblDaily[WardCode],"BG")=0,"",SUMIFS(tblDaily[Discharges],tblDaily[EntryDate],DATE(2026,2,20),tblDaily[WardCode],"BG")),"")</f>
        <v/>
      </c>
      <c r="D65" s="12">
        <f>IFERROR(IF(SUMIFS(tblDaily[Deaths],tblDaily[EntryDate],DATE(2026,2,20),tblDaily[WardCode],"BG")=0,"",SUMIFS(tblDaily[Deaths],tblDaily[EntryDate],DATE(2026,2,20),tblDaily[WardCode],"BG")),"")</f>
        <v/>
      </c>
      <c r="E65" s="12">
        <f>IFERROR(IF(SUMIFS(tblDaily[DeathsUnder24Hrs],tblDaily[EntryDate],DATE(2026,2,20),tblDaily[WardCode],"BG")=0,"",SUMIFS(tblDaily[DeathsUnder24Hrs],tblDaily[EntryDate],DATE(2026,2,20),tblDaily[WardCode],"BG")),"")</f>
        <v/>
      </c>
      <c r="F65" s="12">
        <f>IFERROR(IF(SUMIFS(tblDaily[TransfersIn],tblDaily[EntryDate],DATE(2026,2,20),tblDaily[WardCode],"BG")=0,"",SUMIFS(tblDaily[TransfersIn],tblDaily[EntryDate],DATE(2026,2,20),tblDaily[WardCode],"BG")),"")</f>
        <v/>
      </c>
      <c r="G65" s="12">
        <f>IFERROR(IF(SUMIFS(tblDaily[TransfersOut],tblDaily[EntryDate],DATE(2026,2,20),tblDaily[WardCode],"BG")=0,"",SUMIFS(tblDaily[TransfersOut],tblDaily[EntryDate],DATE(2026,2,20),tblDaily[WardCode],"BG")),"")</f>
        <v/>
      </c>
      <c r="H65" s="12">
        <f>IFERROR(IF(SUMIFS(tblDaily[Remaining],tblDaily[EntryDate],DATE(2026,2,20),tblDaily[WardCode],"BG")=0,"",SUMIFS(tblDaily[Remaining],tblDaily[EntryDate],DATE(2026,2,20),tblDaily[WardCode],"BG")),"")</f>
        <v/>
      </c>
    </row>
    <row r="66">
      <c r="A66" s="12" t="n">
        <v>21</v>
      </c>
      <c r="B66" s="12">
        <f>IFERROR(IF(SUMIFS(tblDaily[Admissions],tblDaily[EntryDate],DATE(2026,2,21),tblDaily[WardCode],"BG")=0,"",SUMIFS(tblDaily[Admissions],tblDaily[EntryDate],DATE(2026,2,21),tblDaily[WardCode],"BG")),"")</f>
        <v/>
      </c>
      <c r="C66" s="12">
        <f>IFERROR(IF(SUMIFS(tblDaily[Discharges],tblDaily[EntryDate],DATE(2026,2,21),tblDaily[WardCode],"BG")=0,"",SUMIFS(tblDaily[Discharges],tblDaily[EntryDate],DATE(2026,2,21),tblDaily[WardCode],"BG")),"")</f>
        <v/>
      </c>
      <c r="D66" s="12">
        <f>IFERROR(IF(SUMIFS(tblDaily[Deaths],tblDaily[EntryDate],DATE(2026,2,21),tblDaily[WardCode],"BG")=0,"",SUMIFS(tblDaily[Deaths],tblDaily[EntryDate],DATE(2026,2,21),tblDaily[WardCode],"BG")),"")</f>
        <v/>
      </c>
      <c r="E66" s="12">
        <f>IFERROR(IF(SUMIFS(tblDaily[DeathsUnder24Hrs],tblDaily[EntryDate],DATE(2026,2,21),tblDaily[WardCode],"BG")=0,"",SUMIFS(tblDaily[DeathsUnder24Hrs],tblDaily[EntryDate],DATE(2026,2,21),tblDaily[WardCode],"BG")),"")</f>
        <v/>
      </c>
      <c r="F66" s="12">
        <f>IFERROR(IF(SUMIFS(tblDaily[TransfersIn],tblDaily[EntryDate],DATE(2026,2,21),tblDaily[WardCode],"BG")=0,"",SUMIFS(tblDaily[TransfersIn],tblDaily[EntryDate],DATE(2026,2,21),tblDaily[WardCode],"BG")),"")</f>
        <v/>
      </c>
      <c r="G66" s="12">
        <f>IFERROR(IF(SUMIFS(tblDaily[TransfersOut],tblDaily[EntryDate],DATE(2026,2,21),tblDaily[WardCode],"BG")=0,"",SUMIFS(tblDaily[TransfersOut],tblDaily[EntryDate],DATE(2026,2,21),tblDaily[WardCode],"BG")),"")</f>
        <v/>
      </c>
      <c r="H66" s="12">
        <f>IFERROR(IF(SUMIFS(tblDaily[Remaining],tblDaily[EntryDate],DATE(2026,2,21),tblDaily[WardCode],"BG")=0,"",SUMIFS(tblDaily[Remaining],tblDaily[EntryDate],DATE(2026,2,21),tblDaily[WardCode],"BG")),"")</f>
        <v/>
      </c>
    </row>
    <row r="67">
      <c r="A67" s="12" t="n">
        <v>22</v>
      </c>
      <c r="B67" s="12">
        <f>IFERROR(IF(SUMIFS(tblDaily[Admissions],tblDaily[EntryDate],DATE(2026,2,22),tblDaily[WardCode],"BG")=0,"",SUMIFS(tblDaily[Admissions],tblDaily[EntryDate],DATE(2026,2,22),tblDaily[WardCode],"BG")),"")</f>
        <v/>
      </c>
      <c r="C67" s="12">
        <f>IFERROR(IF(SUMIFS(tblDaily[Discharges],tblDaily[EntryDate],DATE(2026,2,22),tblDaily[WardCode],"BG")=0,"",SUMIFS(tblDaily[Discharges],tblDaily[EntryDate],DATE(2026,2,22),tblDaily[WardCode],"BG")),"")</f>
        <v/>
      </c>
      <c r="D67" s="12">
        <f>IFERROR(IF(SUMIFS(tblDaily[Deaths],tblDaily[EntryDate],DATE(2026,2,22),tblDaily[WardCode],"BG")=0,"",SUMIFS(tblDaily[Deaths],tblDaily[EntryDate],DATE(2026,2,22),tblDaily[WardCode],"BG")),"")</f>
        <v/>
      </c>
      <c r="E67" s="12">
        <f>IFERROR(IF(SUMIFS(tblDaily[DeathsUnder24Hrs],tblDaily[EntryDate],DATE(2026,2,22),tblDaily[WardCode],"BG")=0,"",SUMIFS(tblDaily[DeathsUnder24Hrs],tblDaily[EntryDate],DATE(2026,2,22),tblDaily[WardCode],"BG")),"")</f>
        <v/>
      </c>
      <c r="F67" s="12">
        <f>IFERROR(IF(SUMIFS(tblDaily[TransfersIn],tblDaily[EntryDate],DATE(2026,2,22),tblDaily[WardCode],"BG")=0,"",SUMIFS(tblDaily[TransfersIn],tblDaily[EntryDate],DATE(2026,2,22),tblDaily[WardCode],"BG")),"")</f>
        <v/>
      </c>
      <c r="G67" s="12">
        <f>IFERROR(IF(SUMIFS(tblDaily[TransfersOut],tblDaily[EntryDate],DATE(2026,2,22),tblDaily[WardCode],"BG")=0,"",SUMIFS(tblDaily[TransfersOut],tblDaily[EntryDate],DATE(2026,2,22),tblDaily[WardCode],"BG")),"")</f>
        <v/>
      </c>
      <c r="H67" s="12">
        <f>IFERROR(IF(SUMIFS(tblDaily[Remaining],tblDaily[EntryDate],DATE(2026,2,22),tblDaily[WardCode],"BG")=0,"",SUMIFS(tblDaily[Remaining],tblDaily[EntryDate],DATE(2026,2,22),tblDaily[WardCode],"BG")),"")</f>
        <v/>
      </c>
    </row>
    <row r="68">
      <c r="A68" s="12" t="n">
        <v>23</v>
      </c>
      <c r="B68" s="12">
        <f>IFERROR(IF(SUMIFS(tblDaily[Admissions],tblDaily[EntryDate],DATE(2026,2,23),tblDaily[WardCode],"BG")=0,"",SUMIFS(tblDaily[Admissions],tblDaily[EntryDate],DATE(2026,2,23),tblDaily[WardCode],"BG")),"")</f>
        <v/>
      </c>
      <c r="C68" s="12">
        <f>IFERROR(IF(SUMIFS(tblDaily[Discharges],tblDaily[EntryDate],DATE(2026,2,23),tblDaily[WardCode],"BG")=0,"",SUMIFS(tblDaily[Discharges],tblDaily[EntryDate],DATE(2026,2,23),tblDaily[WardCode],"BG")),"")</f>
        <v/>
      </c>
      <c r="D68" s="12">
        <f>IFERROR(IF(SUMIFS(tblDaily[Deaths],tblDaily[EntryDate],DATE(2026,2,23),tblDaily[WardCode],"BG")=0,"",SUMIFS(tblDaily[Deaths],tblDaily[EntryDate],DATE(2026,2,23),tblDaily[WardCode],"BG")),"")</f>
        <v/>
      </c>
      <c r="E68" s="12">
        <f>IFERROR(IF(SUMIFS(tblDaily[DeathsUnder24Hrs],tblDaily[EntryDate],DATE(2026,2,23),tblDaily[WardCode],"BG")=0,"",SUMIFS(tblDaily[DeathsUnder24Hrs],tblDaily[EntryDate],DATE(2026,2,23),tblDaily[WardCode],"BG")),"")</f>
        <v/>
      </c>
      <c r="F68" s="12">
        <f>IFERROR(IF(SUMIFS(tblDaily[TransfersIn],tblDaily[EntryDate],DATE(2026,2,23),tblDaily[WardCode],"BG")=0,"",SUMIFS(tblDaily[TransfersIn],tblDaily[EntryDate],DATE(2026,2,23),tblDaily[WardCode],"BG")),"")</f>
        <v/>
      </c>
      <c r="G68" s="12">
        <f>IFERROR(IF(SUMIFS(tblDaily[TransfersOut],tblDaily[EntryDate],DATE(2026,2,23),tblDaily[WardCode],"BG")=0,"",SUMIFS(tblDaily[TransfersOut],tblDaily[EntryDate],DATE(2026,2,23),tblDaily[WardCode],"BG")),"")</f>
        <v/>
      </c>
      <c r="H68" s="12">
        <f>IFERROR(IF(SUMIFS(tblDaily[Remaining],tblDaily[EntryDate],DATE(2026,2,23),tblDaily[WardCode],"BG")=0,"",SUMIFS(tblDaily[Remaining],tblDaily[EntryDate],DATE(2026,2,23),tblDaily[WardCode],"BG")),"")</f>
        <v/>
      </c>
    </row>
    <row r="69">
      <c r="A69" s="12" t="n">
        <v>24</v>
      </c>
      <c r="B69" s="12">
        <f>IFERROR(IF(SUMIFS(tblDaily[Admissions],tblDaily[EntryDate],DATE(2026,2,24),tblDaily[WardCode],"BG")=0,"",SUMIFS(tblDaily[Admissions],tblDaily[EntryDate],DATE(2026,2,24),tblDaily[WardCode],"BG")),"")</f>
        <v/>
      </c>
      <c r="C69" s="12">
        <f>IFERROR(IF(SUMIFS(tblDaily[Discharges],tblDaily[EntryDate],DATE(2026,2,24),tblDaily[WardCode],"BG")=0,"",SUMIFS(tblDaily[Discharges],tblDaily[EntryDate],DATE(2026,2,24),tblDaily[WardCode],"BG")),"")</f>
        <v/>
      </c>
      <c r="D69" s="12">
        <f>IFERROR(IF(SUMIFS(tblDaily[Deaths],tblDaily[EntryDate],DATE(2026,2,24),tblDaily[WardCode],"BG")=0,"",SUMIFS(tblDaily[Deaths],tblDaily[EntryDate],DATE(2026,2,24),tblDaily[WardCode],"BG")),"")</f>
        <v/>
      </c>
      <c r="E69" s="12">
        <f>IFERROR(IF(SUMIFS(tblDaily[DeathsUnder24Hrs],tblDaily[EntryDate],DATE(2026,2,24),tblDaily[WardCode],"BG")=0,"",SUMIFS(tblDaily[DeathsUnder24Hrs],tblDaily[EntryDate],DATE(2026,2,24),tblDaily[WardCode],"BG")),"")</f>
        <v/>
      </c>
      <c r="F69" s="12">
        <f>IFERROR(IF(SUMIFS(tblDaily[TransfersIn],tblDaily[EntryDate],DATE(2026,2,24),tblDaily[WardCode],"BG")=0,"",SUMIFS(tblDaily[TransfersIn],tblDaily[EntryDate],DATE(2026,2,24),tblDaily[WardCode],"BG")),"")</f>
        <v/>
      </c>
      <c r="G69" s="12">
        <f>IFERROR(IF(SUMIFS(tblDaily[TransfersOut],tblDaily[EntryDate],DATE(2026,2,24),tblDaily[WardCode],"BG")=0,"",SUMIFS(tblDaily[TransfersOut],tblDaily[EntryDate],DATE(2026,2,24),tblDaily[WardCode],"BG")),"")</f>
        <v/>
      </c>
      <c r="H69" s="12">
        <f>IFERROR(IF(SUMIFS(tblDaily[Remaining],tblDaily[EntryDate],DATE(2026,2,24),tblDaily[WardCode],"BG")=0,"",SUMIFS(tblDaily[Remaining],tblDaily[EntryDate],DATE(2026,2,24),tblDaily[WardCode],"BG")),"")</f>
        <v/>
      </c>
    </row>
    <row r="70">
      <c r="A70" s="12" t="n">
        <v>25</v>
      </c>
      <c r="B70" s="12">
        <f>IFERROR(IF(SUMIFS(tblDaily[Admissions],tblDaily[EntryDate],DATE(2026,2,25),tblDaily[WardCode],"BG")=0,"",SUMIFS(tblDaily[Admissions],tblDaily[EntryDate],DATE(2026,2,25),tblDaily[WardCode],"BG")),"")</f>
        <v/>
      </c>
      <c r="C70" s="12">
        <f>IFERROR(IF(SUMIFS(tblDaily[Discharges],tblDaily[EntryDate],DATE(2026,2,25),tblDaily[WardCode],"BG")=0,"",SUMIFS(tblDaily[Discharges],tblDaily[EntryDate],DATE(2026,2,25),tblDaily[WardCode],"BG")),"")</f>
        <v/>
      </c>
      <c r="D70" s="12">
        <f>IFERROR(IF(SUMIFS(tblDaily[Deaths],tblDaily[EntryDate],DATE(2026,2,25),tblDaily[WardCode],"BG")=0,"",SUMIFS(tblDaily[Deaths],tblDaily[EntryDate],DATE(2026,2,25),tblDaily[WardCode],"BG")),"")</f>
        <v/>
      </c>
      <c r="E70" s="12">
        <f>IFERROR(IF(SUMIFS(tblDaily[DeathsUnder24Hrs],tblDaily[EntryDate],DATE(2026,2,25),tblDaily[WardCode],"BG")=0,"",SUMIFS(tblDaily[DeathsUnder24Hrs],tblDaily[EntryDate],DATE(2026,2,25),tblDaily[WardCode],"BG")),"")</f>
        <v/>
      </c>
      <c r="F70" s="12">
        <f>IFERROR(IF(SUMIFS(tblDaily[TransfersIn],tblDaily[EntryDate],DATE(2026,2,25),tblDaily[WardCode],"BG")=0,"",SUMIFS(tblDaily[TransfersIn],tblDaily[EntryDate],DATE(2026,2,25),tblDaily[WardCode],"BG")),"")</f>
        <v/>
      </c>
      <c r="G70" s="12">
        <f>IFERROR(IF(SUMIFS(tblDaily[TransfersOut],tblDaily[EntryDate],DATE(2026,2,25),tblDaily[WardCode],"BG")=0,"",SUMIFS(tblDaily[TransfersOut],tblDaily[EntryDate],DATE(2026,2,25),tblDaily[WardCode],"BG")),"")</f>
        <v/>
      </c>
      <c r="H70" s="12">
        <f>IFERROR(IF(SUMIFS(tblDaily[Remaining],tblDaily[EntryDate],DATE(2026,2,25),tblDaily[WardCode],"BG")=0,"",SUMIFS(tblDaily[Remaining],tblDaily[EntryDate],DATE(2026,2,25),tblDaily[WardCode],"BG")),"")</f>
        <v/>
      </c>
    </row>
    <row r="71">
      <c r="A71" s="12" t="n">
        <v>26</v>
      </c>
      <c r="B71" s="12">
        <f>IFERROR(IF(SUMIFS(tblDaily[Admissions],tblDaily[EntryDate],DATE(2026,2,26),tblDaily[WardCode],"BG")=0,"",SUMIFS(tblDaily[Admissions],tblDaily[EntryDate],DATE(2026,2,26),tblDaily[WardCode],"BG")),"")</f>
        <v/>
      </c>
      <c r="C71" s="12">
        <f>IFERROR(IF(SUMIFS(tblDaily[Discharges],tblDaily[EntryDate],DATE(2026,2,26),tblDaily[WardCode],"BG")=0,"",SUMIFS(tblDaily[Discharges],tblDaily[EntryDate],DATE(2026,2,26),tblDaily[WardCode],"BG")),"")</f>
        <v/>
      </c>
      <c r="D71" s="12">
        <f>IFERROR(IF(SUMIFS(tblDaily[Deaths],tblDaily[EntryDate],DATE(2026,2,26),tblDaily[WardCode],"BG")=0,"",SUMIFS(tblDaily[Deaths],tblDaily[EntryDate],DATE(2026,2,26),tblDaily[WardCode],"BG")),"")</f>
        <v/>
      </c>
      <c r="E71" s="12">
        <f>IFERROR(IF(SUMIFS(tblDaily[DeathsUnder24Hrs],tblDaily[EntryDate],DATE(2026,2,26),tblDaily[WardCode],"BG")=0,"",SUMIFS(tblDaily[DeathsUnder24Hrs],tblDaily[EntryDate],DATE(2026,2,26),tblDaily[WardCode],"BG")),"")</f>
        <v/>
      </c>
      <c r="F71" s="12">
        <f>IFERROR(IF(SUMIFS(tblDaily[TransfersIn],tblDaily[EntryDate],DATE(2026,2,26),tblDaily[WardCode],"BG")=0,"",SUMIFS(tblDaily[TransfersIn],tblDaily[EntryDate],DATE(2026,2,26),tblDaily[WardCode],"BG")),"")</f>
        <v/>
      </c>
      <c r="G71" s="12">
        <f>IFERROR(IF(SUMIFS(tblDaily[TransfersOut],tblDaily[EntryDate],DATE(2026,2,26),tblDaily[WardCode],"BG")=0,"",SUMIFS(tblDaily[TransfersOut],tblDaily[EntryDate],DATE(2026,2,26),tblDaily[WardCode],"BG")),"")</f>
        <v/>
      </c>
      <c r="H71" s="12">
        <f>IFERROR(IF(SUMIFS(tblDaily[Remaining],tblDaily[EntryDate],DATE(2026,2,26),tblDaily[WardCode],"BG")=0,"",SUMIFS(tblDaily[Remaining],tblDaily[EntryDate],DATE(2026,2,26),tblDaily[WardCode],"BG")),"")</f>
        <v/>
      </c>
    </row>
    <row r="72">
      <c r="A72" s="12" t="n">
        <v>27</v>
      </c>
      <c r="B72" s="12">
        <f>IFERROR(IF(SUMIFS(tblDaily[Admissions],tblDaily[EntryDate],DATE(2026,2,27),tblDaily[WardCode],"BG")=0,"",SUMIFS(tblDaily[Admissions],tblDaily[EntryDate],DATE(2026,2,27),tblDaily[WardCode],"BG")),"")</f>
        <v/>
      </c>
      <c r="C72" s="12">
        <f>IFERROR(IF(SUMIFS(tblDaily[Discharges],tblDaily[EntryDate],DATE(2026,2,27),tblDaily[WardCode],"BG")=0,"",SUMIFS(tblDaily[Discharges],tblDaily[EntryDate],DATE(2026,2,27),tblDaily[WardCode],"BG")),"")</f>
        <v/>
      </c>
      <c r="D72" s="12">
        <f>IFERROR(IF(SUMIFS(tblDaily[Deaths],tblDaily[EntryDate],DATE(2026,2,27),tblDaily[WardCode],"BG")=0,"",SUMIFS(tblDaily[Deaths],tblDaily[EntryDate],DATE(2026,2,27),tblDaily[WardCode],"BG")),"")</f>
        <v/>
      </c>
      <c r="E72" s="12">
        <f>IFERROR(IF(SUMIFS(tblDaily[DeathsUnder24Hrs],tblDaily[EntryDate],DATE(2026,2,27),tblDaily[WardCode],"BG")=0,"",SUMIFS(tblDaily[DeathsUnder24Hrs],tblDaily[EntryDate],DATE(2026,2,27),tblDaily[WardCode],"BG")),"")</f>
        <v/>
      </c>
      <c r="F72" s="12">
        <f>IFERROR(IF(SUMIFS(tblDaily[TransfersIn],tblDaily[EntryDate],DATE(2026,2,27),tblDaily[WardCode],"BG")=0,"",SUMIFS(tblDaily[TransfersIn],tblDaily[EntryDate],DATE(2026,2,27),tblDaily[WardCode],"BG")),"")</f>
        <v/>
      </c>
      <c r="G72" s="12">
        <f>IFERROR(IF(SUMIFS(tblDaily[TransfersOut],tblDaily[EntryDate],DATE(2026,2,27),tblDaily[WardCode],"BG")=0,"",SUMIFS(tblDaily[TransfersOut],tblDaily[EntryDate],DATE(2026,2,27),tblDaily[WardCode],"BG")),"")</f>
        <v/>
      </c>
      <c r="H72" s="12">
        <f>IFERROR(IF(SUMIFS(tblDaily[Remaining],tblDaily[EntryDate],DATE(2026,2,27),tblDaily[WardCode],"BG")=0,"",SUMIFS(tblDaily[Remaining],tblDaily[EntryDate],DATE(2026,2,27),tblDaily[WardCode],"BG")),"")</f>
        <v/>
      </c>
    </row>
    <row r="73">
      <c r="A73" s="12" t="n">
        <v>28</v>
      </c>
      <c r="B73" s="12">
        <f>IFERROR(IF(SUMIFS(tblDaily[Admissions],tblDaily[EntryDate],DATE(2026,2,28),tblDaily[WardCode],"BG")=0,"",SUMIFS(tblDaily[Admissions],tblDaily[EntryDate],DATE(2026,2,28),tblDaily[WardCode],"BG")),"")</f>
        <v/>
      </c>
      <c r="C73" s="12">
        <f>IFERROR(IF(SUMIFS(tblDaily[Discharges],tblDaily[EntryDate],DATE(2026,2,28),tblDaily[WardCode],"BG")=0,"",SUMIFS(tblDaily[Discharges],tblDaily[EntryDate],DATE(2026,2,28),tblDaily[WardCode],"BG")),"")</f>
        <v/>
      </c>
      <c r="D73" s="12">
        <f>IFERROR(IF(SUMIFS(tblDaily[Deaths],tblDaily[EntryDate],DATE(2026,2,28),tblDaily[WardCode],"BG")=0,"",SUMIFS(tblDaily[Deaths],tblDaily[EntryDate],DATE(2026,2,28),tblDaily[WardCode],"BG")),"")</f>
        <v/>
      </c>
      <c r="E73" s="12">
        <f>IFERROR(IF(SUMIFS(tblDaily[DeathsUnder24Hrs],tblDaily[EntryDate],DATE(2026,2,28),tblDaily[WardCode],"BG")=0,"",SUMIFS(tblDaily[DeathsUnder24Hrs],tblDaily[EntryDate],DATE(2026,2,28),tblDaily[WardCode],"BG")),"")</f>
        <v/>
      </c>
      <c r="F73" s="12">
        <f>IFERROR(IF(SUMIFS(tblDaily[TransfersIn],tblDaily[EntryDate],DATE(2026,2,28),tblDaily[WardCode],"BG")=0,"",SUMIFS(tblDaily[TransfersIn],tblDaily[EntryDate],DATE(2026,2,28),tblDaily[WardCode],"BG")),"")</f>
        <v/>
      </c>
      <c r="G73" s="12">
        <f>IFERROR(IF(SUMIFS(tblDaily[TransfersOut],tblDaily[EntryDate],DATE(2026,2,28),tblDaily[WardCode],"BG")=0,"",SUMIFS(tblDaily[TransfersOut],tblDaily[EntryDate],DATE(2026,2,28),tblDaily[WardCode],"BG")),"")</f>
        <v/>
      </c>
      <c r="H73" s="12">
        <f>IFERROR(IF(SUMIFS(tblDaily[Remaining],tblDaily[EntryDate],DATE(2026,2,28),tblDaily[WardCode],"BG")=0,"",SUMIFS(tblDaily[Remaining],tblDaily[EntryDate],DATE(2026,2,28),tblDaily[WardCode],"BG")),"")</f>
        <v/>
      </c>
    </row>
    <row r="74">
      <c r="A74" s="12" t="n">
        <v>29</v>
      </c>
      <c r="B74" s="18" t="n"/>
      <c r="C74" s="18" t="n"/>
      <c r="D74" s="18" t="n"/>
      <c r="E74" s="18" t="n"/>
      <c r="F74" s="18" t="n"/>
      <c r="G74" s="18" t="n"/>
      <c r="H74" s="18" t="n"/>
    </row>
    <row r="75">
      <c r="A75" s="12" t="n">
        <v>30</v>
      </c>
      <c r="B75" s="18" t="n"/>
      <c r="C75" s="18" t="n"/>
      <c r="D75" s="18" t="n"/>
      <c r="E75" s="18" t="n"/>
      <c r="F75" s="18" t="n"/>
      <c r="G75" s="18" t="n"/>
      <c r="H75" s="18" t="n"/>
    </row>
    <row r="76">
      <c r="A76" s="12" t="n">
        <v>31</v>
      </c>
      <c r="B76" s="18" t="n"/>
      <c r="C76" s="18" t="n"/>
      <c r="D76" s="18" t="n"/>
      <c r="E76" s="18" t="n"/>
      <c r="F76" s="18" t="n"/>
      <c r="G76" s="18" t="n"/>
      <c r="H76" s="18" t="n"/>
    </row>
    <row r="77">
      <c r="A77" s="17" t="inlineStr">
        <is>
          <t>TOTAL</t>
        </is>
      </c>
      <c r="B77" s="17">
        <f>SUMIFS(tblDaily[Admissions],tblDaily[Month],2,tblDaily[WardCode],"BG") - SUMIFS(tblDaily[DeathsUnder24Hrs],tblDaily[Month],2,tblDaily[WardCode],"BG")</f>
        <v/>
      </c>
      <c r="C77" s="17">
        <f>SUMIFS(tblDaily[Discharges],tblDaily[Month],2,tblDaily[WardCode],"BG")</f>
        <v/>
      </c>
      <c r="D77" s="17">
        <f>SUMIFS(tblDaily[Deaths],tblDaily[Month],2,tblDaily[WardCode],"BG")</f>
        <v/>
      </c>
      <c r="E77" s="17">
        <f>SUMIFS(tblDaily[DeathsUnder24Hrs],tblDaily[Month],2,tblDaily[WardCode],"BG")</f>
        <v/>
      </c>
      <c r="F77" s="17">
        <f>SUMIFS(tblDaily[TransfersIn],tblDaily[Month],2,tblDaily[WardCode],"BG")</f>
        <v/>
      </c>
      <c r="G77" s="17">
        <f>SUMIFS(tblDaily[TransfersOut],tblDaily[Month],2,tblDaily[WardCode],"BG")</f>
        <v/>
      </c>
      <c r="H77" s="17">
        <f>SUMIFS(tblDaily[Remaining],tblDaily[Month],2,tblDaily[WardCode],"BG")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BLOCK G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4">
        <f>IFERROR(SUMIFS(tblDaily[Remaining],tblDaily[EntryDate],DATE(2026,2,28),tblDaily[WardCode],"BG"),0)</f>
        <v/>
      </c>
    </row>
    <row r="83">
      <c r="A83" s="4" t="inlineStr">
        <is>
          <t>Bed complement</t>
        </is>
      </c>
      <c r="H83" s="15">
        <f>IFERROR(INDEX(tblWardConfig[BedComplement],MATCH("BG",tblWardConfig[WardCode],0)),0)</f>
        <v/>
      </c>
    </row>
    <row r="84">
      <c r="A84" s="16" t="inlineStr">
        <is>
          <t>Day of
the
Month</t>
        </is>
      </c>
      <c r="B84" s="16" t="inlineStr">
        <is>
          <t>Admissions</t>
        </is>
      </c>
      <c r="C84" s="16" t="inlineStr">
        <is>
          <t>Discharges</t>
        </is>
      </c>
      <c r="D84" s="16" t="inlineStr">
        <is>
          <t>Deaths</t>
        </is>
      </c>
      <c r="E84" s="16" t="inlineStr">
        <is>
          <t>Deaths
&lt;24Hrs</t>
        </is>
      </c>
      <c r="F84" s="16" t="inlineStr">
        <is>
          <t>Transfers-
In</t>
        </is>
      </c>
      <c r="G84" s="16" t="inlineStr">
        <is>
          <t>Transfers-
Out</t>
        </is>
      </c>
      <c r="H84" s="16" t="inlineStr">
        <is>
          <t>No. of Patients
Remaining In
Ward</t>
        </is>
      </c>
    </row>
    <row r="85">
      <c r="A85" s="12" t="n">
        <v>1</v>
      </c>
      <c r="B85" s="12">
        <f>IFERROR(IF(SUMIFS(tblDaily[Admissions],tblDaily[EntryDate],DATE(2026,3,1),tblDaily[WardCode],"BG")=0,"",SUMIFS(tblDaily[Admissions],tblDaily[EntryDate],DATE(2026,3,1),tblDaily[WardCode],"BG")),"")</f>
        <v/>
      </c>
      <c r="C85" s="12">
        <f>IFERROR(IF(SUMIFS(tblDaily[Discharges],tblDaily[EntryDate],DATE(2026,3,1),tblDaily[WardCode],"BG")=0,"",SUMIFS(tblDaily[Discharges],tblDaily[EntryDate],DATE(2026,3,1),tblDaily[WardCode],"BG")),"")</f>
        <v/>
      </c>
      <c r="D85" s="12">
        <f>IFERROR(IF(SUMIFS(tblDaily[Deaths],tblDaily[EntryDate],DATE(2026,3,1),tblDaily[WardCode],"BG")=0,"",SUMIFS(tblDaily[Deaths],tblDaily[EntryDate],DATE(2026,3,1),tblDaily[WardCode],"BG")),"")</f>
        <v/>
      </c>
      <c r="E85" s="12">
        <f>IFERROR(IF(SUMIFS(tblDaily[DeathsUnder24Hrs],tblDaily[EntryDate],DATE(2026,3,1),tblDaily[WardCode],"BG")=0,"",SUMIFS(tblDaily[DeathsUnder24Hrs],tblDaily[EntryDate],DATE(2026,3,1),tblDaily[WardCode],"BG")),"")</f>
        <v/>
      </c>
      <c r="F85" s="12">
        <f>IFERROR(IF(SUMIFS(tblDaily[TransfersIn],tblDaily[EntryDate],DATE(2026,3,1),tblDaily[WardCode],"BG")=0,"",SUMIFS(tblDaily[TransfersIn],tblDaily[EntryDate],DATE(2026,3,1),tblDaily[WardCode],"BG")),"")</f>
        <v/>
      </c>
      <c r="G85" s="12">
        <f>IFERROR(IF(SUMIFS(tblDaily[TransfersOut],tblDaily[EntryDate],DATE(2026,3,1),tblDaily[WardCode],"BG")=0,"",SUMIFS(tblDaily[TransfersOut],tblDaily[EntryDate],DATE(2026,3,1),tblDaily[WardCode],"BG")),"")</f>
        <v/>
      </c>
      <c r="H85" s="12">
        <f>IFERROR(IF(SUMIFS(tblDaily[Remaining],tblDaily[EntryDate],DATE(2026,3,1),tblDaily[WardCode],"BG")=0,"",SUMIFS(tblDaily[Remaining],tblDaily[EntryDate],DATE(2026,3,1),tblDaily[WardCode],"BG")),"")</f>
        <v/>
      </c>
    </row>
    <row r="86">
      <c r="A86" s="12" t="n">
        <v>2</v>
      </c>
      <c r="B86" s="12">
        <f>IFERROR(IF(SUMIFS(tblDaily[Admissions],tblDaily[EntryDate],DATE(2026,3,2),tblDaily[WardCode],"BG")=0,"",SUMIFS(tblDaily[Admissions],tblDaily[EntryDate],DATE(2026,3,2),tblDaily[WardCode],"BG")),"")</f>
        <v/>
      </c>
      <c r="C86" s="12">
        <f>IFERROR(IF(SUMIFS(tblDaily[Discharges],tblDaily[EntryDate],DATE(2026,3,2),tblDaily[WardCode],"BG")=0,"",SUMIFS(tblDaily[Discharges],tblDaily[EntryDate],DATE(2026,3,2),tblDaily[WardCode],"BG")),"")</f>
        <v/>
      </c>
      <c r="D86" s="12">
        <f>IFERROR(IF(SUMIFS(tblDaily[Deaths],tblDaily[EntryDate],DATE(2026,3,2),tblDaily[WardCode],"BG")=0,"",SUMIFS(tblDaily[Deaths],tblDaily[EntryDate],DATE(2026,3,2),tblDaily[WardCode],"BG")),"")</f>
        <v/>
      </c>
      <c r="E86" s="12">
        <f>IFERROR(IF(SUMIFS(tblDaily[DeathsUnder24Hrs],tblDaily[EntryDate],DATE(2026,3,2),tblDaily[WardCode],"BG")=0,"",SUMIFS(tblDaily[DeathsUnder24Hrs],tblDaily[EntryDate],DATE(2026,3,2),tblDaily[WardCode],"BG")),"")</f>
        <v/>
      </c>
      <c r="F86" s="12">
        <f>IFERROR(IF(SUMIFS(tblDaily[TransfersIn],tblDaily[EntryDate],DATE(2026,3,2),tblDaily[WardCode],"BG")=0,"",SUMIFS(tblDaily[TransfersIn],tblDaily[EntryDate],DATE(2026,3,2),tblDaily[WardCode],"BG")),"")</f>
        <v/>
      </c>
      <c r="G86" s="12">
        <f>IFERROR(IF(SUMIFS(tblDaily[TransfersOut],tblDaily[EntryDate],DATE(2026,3,2),tblDaily[WardCode],"BG")=0,"",SUMIFS(tblDaily[TransfersOut],tblDaily[EntryDate],DATE(2026,3,2),tblDaily[WardCode],"BG")),"")</f>
        <v/>
      </c>
      <c r="H86" s="12">
        <f>IFERROR(IF(SUMIFS(tblDaily[Remaining],tblDaily[EntryDate],DATE(2026,3,2),tblDaily[WardCode],"BG")=0,"",SUMIFS(tblDaily[Remaining],tblDaily[EntryDate],DATE(2026,3,2),tblDaily[WardCode],"BG")),"")</f>
        <v/>
      </c>
    </row>
    <row r="87">
      <c r="A87" s="12" t="n">
        <v>3</v>
      </c>
      <c r="B87" s="12">
        <f>IFERROR(IF(SUMIFS(tblDaily[Admissions],tblDaily[EntryDate],DATE(2026,3,3),tblDaily[WardCode],"BG")=0,"",SUMIFS(tblDaily[Admissions],tblDaily[EntryDate],DATE(2026,3,3),tblDaily[WardCode],"BG")),"")</f>
        <v/>
      </c>
      <c r="C87" s="12">
        <f>IFERROR(IF(SUMIFS(tblDaily[Discharges],tblDaily[EntryDate],DATE(2026,3,3),tblDaily[WardCode],"BG")=0,"",SUMIFS(tblDaily[Discharges],tblDaily[EntryDate],DATE(2026,3,3),tblDaily[WardCode],"BG")),"")</f>
        <v/>
      </c>
      <c r="D87" s="12">
        <f>IFERROR(IF(SUMIFS(tblDaily[Deaths],tblDaily[EntryDate],DATE(2026,3,3),tblDaily[WardCode],"BG")=0,"",SUMIFS(tblDaily[Deaths],tblDaily[EntryDate],DATE(2026,3,3),tblDaily[WardCode],"BG")),"")</f>
        <v/>
      </c>
      <c r="E87" s="12">
        <f>IFERROR(IF(SUMIFS(tblDaily[DeathsUnder24Hrs],tblDaily[EntryDate],DATE(2026,3,3),tblDaily[WardCode],"BG")=0,"",SUMIFS(tblDaily[DeathsUnder24Hrs],tblDaily[EntryDate],DATE(2026,3,3),tblDaily[WardCode],"BG")),"")</f>
        <v/>
      </c>
      <c r="F87" s="12">
        <f>IFERROR(IF(SUMIFS(tblDaily[TransfersIn],tblDaily[EntryDate],DATE(2026,3,3),tblDaily[WardCode],"BG")=0,"",SUMIFS(tblDaily[TransfersIn],tblDaily[EntryDate],DATE(2026,3,3),tblDaily[WardCode],"BG")),"")</f>
        <v/>
      </c>
      <c r="G87" s="12">
        <f>IFERROR(IF(SUMIFS(tblDaily[TransfersOut],tblDaily[EntryDate],DATE(2026,3,3),tblDaily[WardCode],"BG")=0,"",SUMIFS(tblDaily[TransfersOut],tblDaily[EntryDate],DATE(2026,3,3),tblDaily[WardCode],"BG")),"")</f>
        <v/>
      </c>
      <c r="H87" s="12">
        <f>IFERROR(IF(SUMIFS(tblDaily[Remaining],tblDaily[EntryDate],DATE(2026,3,3),tblDaily[WardCode],"BG")=0,"",SUMIFS(tblDaily[Remaining],tblDaily[EntryDate],DATE(2026,3,3),tblDaily[WardCode],"BG")),"")</f>
        <v/>
      </c>
    </row>
    <row r="88">
      <c r="A88" s="12" t="n">
        <v>4</v>
      </c>
      <c r="B88" s="12">
        <f>IFERROR(IF(SUMIFS(tblDaily[Admissions],tblDaily[EntryDate],DATE(2026,3,4),tblDaily[WardCode],"BG")=0,"",SUMIFS(tblDaily[Admissions],tblDaily[EntryDate],DATE(2026,3,4),tblDaily[WardCode],"BG")),"")</f>
        <v/>
      </c>
      <c r="C88" s="12">
        <f>IFERROR(IF(SUMIFS(tblDaily[Discharges],tblDaily[EntryDate],DATE(2026,3,4),tblDaily[WardCode],"BG")=0,"",SUMIFS(tblDaily[Discharges],tblDaily[EntryDate],DATE(2026,3,4),tblDaily[WardCode],"BG")),"")</f>
        <v/>
      </c>
      <c r="D88" s="12">
        <f>IFERROR(IF(SUMIFS(tblDaily[Deaths],tblDaily[EntryDate],DATE(2026,3,4),tblDaily[WardCode],"BG")=0,"",SUMIFS(tblDaily[Deaths],tblDaily[EntryDate],DATE(2026,3,4),tblDaily[WardCode],"BG")),"")</f>
        <v/>
      </c>
      <c r="E88" s="12">
        <f>IFERROR(IF(SUMIFS(tblDaily[DeathsUnder24Hrs],tblDaily[EntryDate],DATE(2026,3,4),tblDaily[WardCode],"BG")=0,"",SUMIFS(tblDaily[DeathsUnder24Hrs],tblDaily[EntryDate],DATE(2026,3,4),tblDaily[WardCode],"BG")),"")</f>
        <v/>
      </c>
      <c r="F88" s="12">
        <f>IFERROR(IF(SUMIFS(tblDaily[TransfersIn],tblDaily[EntryDate],DATE(2026,3,4),tblDaily[WardCode],"BG")=0,"",SUMIFS(tblDaily[TransfersIn],tblDaily[EntryDate],DATE(2026,3,4),tblDaily[WardCode],"BG")),"")</f>
        <v/>
      </c>
      <c r="G88" s="12">
        <f>IFERROR(IF(SUMIFS(tblDaily[TransfersOut],tblDaily[EntryDate],DATE(2026,3,4),tblDaily[WardCode],"BG")=0,"",SUMIFS(tblDaily[TransfersOut],tblDaily[EntryDate],DATE(2026,3,4),tblDaily[WardCode],"BG")),"")</f>
        <v/>
      </c>
      <c r="H88" s="12">
        <f>IFERROR(IF(SUMIFS(tblDaily[Remaining],tblDaily[EntryDate],DATE(2026,3,4),tblDaily[WardCode],"BG")=0,"",SUMIFS(tblDaily[Remaining],tblDaily[EntryDate],DATE(2026,3,4),tblDaily[WardCode],"BG")),"")</f>
        <v/>
      </c>
    </row>
    <row r="89">
      <c r="A89" s="12" t="n">
        <v>5</v>
      </c>
      <c r="B89" s="12">
        <f>IFERROR(IF(SUMIFS(tblDaily[Admissions],tblDaily[EntryDate],DATE(2026,3,5),tblDaily[WardCode],"BG")=0,"",SUMIFS(tblDaily[Admissions],tblDaily[EntryDate],DATE(2026,3,5),tblDaily[WardCode],"BG")),"")</f>
        <v/>
      </c>
      <c r="C89" s="12">
        <f>IFERROR(IF(SUMIFS(tblDaily[Discharges],tblDaily[EntryDate],DATE(2026,3,5),tblDaily[WardCode],"BG")=0,"",SUMIFS(tblDaily[Discharges],tblDaily[EntryDate],DATE(2026,3,5),tblDaily[WardCode],"BG")),"")</f>
        <v/>
      </c>
      <c r="D89" s="12">
        <f>IFERROR(IF(SUMIFS(tblDaily[Deaths],tblDaily[EntryDate],DATE(2026,3,5),tblDaily[WardCode],"BG")=0,"",SUMIFS(tblDaily[Deaths],tblDaily[EntryDate],DATE(2026,3,5),tblDaily[WardCode],"BG")),"")</f>
        <v/>
      </c>
      <c r="E89" s="12">
        <f>IFERROR(IF(SUMIFS(tblDaily[DeathsUnder24Hrs],tblDaily[EntryDate],DATE(2026,3,5),tblDaily[WardCode],"BG")=0,"",SUMIFS(tblDaily[DeathsUnder24Hrs],tblDaily[EntryDate],DATE(2026,3,5),tblDaily[WardCode],"BG")),"")</f>
        <v/>
      </c>
      <c r="F89" s="12">
        <f>IFERROR(IF(SUMIFS(tblDaily[TransfersIn],tblDaily[EntryDate],DATE(2026,3,5),tblDaily[WardCode],"BG")=0,"",SUMIFS(tblDaily[TransfersIn],tblDaily[EntryDate],DATE(2026,3,5),tblDaily[WardCode],"BG")),"")</f>
        <v/>
      </c>
      <c r="G89" s="12">
        <f>IFERROR(IF(SUMIFS(tblDaily[TransfersOut],tblDaily[EntryDate],DATE(2026,3,5),tblDaily[WardCode],"BG")=0,"",SUMIFS(tblDaily[TransfersOut],tblDaily[EntryDate],DATE(2026,3,5),tblDaily[WardCode],"BG")),"")</f>
        <v/>
      </c>
      <c r="H89" s="12">
        <f>IFERROR(IF(SUMIFS(tblDaily[Remaining],tblDaily[EntryDate],DATE(2026,3,5),tblDaily[WardCode],"BG")=0,"",SUMIFS(tblDaily[Remaining],tblDaily[EntryDate],DATE(2026,3,5),tblDaily[WardCode],"BG")),"")</f>
        <v/>
      </c>
    </row>
    <row r="90">
      <c r="A90" s="12" t="n">
        <v>6</v>
      </c>
      <c r="B90" s="12">
        <f>IFERROR(IF(SUMIFS(tblDaily[Admissions],tblDaily[EntryDate],DATE(2026,3,6),tblDaily[WardCode],"BG")=0,"",SUMIFS(tblDaily[Admissions],tblDaily[EntryDate],DATE(2026,3,6),tblDaily[WardCode],"BG")),"")</f>
        <v/>
      </c>
      <c r="C90" s="12">
        <f>IFERROR(IF(SUMIFS(tblDaily[Discharges],tblDaily[EntryDate],DATE(2026,3,6),tblDaily[WardCode],"BG")=0,"",SUMIFS(tblDaily[Discharges],tblDaily[EntryDate],DATE(2026,3,6),tblDaily[WardCode],"BG")),"")</f>
        <v/>
      </c>
      <c r="D90" s="12">
        <f>IFERROR(IF(SUMIFS(tblDaily[Deaths],tblDaily[EntryDate],DATE(2026,3,6),tblDaily[WardCode],"BG")=0,"",SUMIFS(tblDaily[Deaths],tblDaily[EntryDate],DATE(2026,3,6),tblDaily[WardCode],"BG")),"")</f>
        <v/>
      </c>
      <c r="E90" s="12">
        <f>IFERROR(IF(SUMIFS(tblDaily[DeathsUnder24Hrs],tblDaily[EntryDate],DATE(2026,3,6),tblDaily[WardCode],"BG")=0,"",SUMIFS(tblDaily[DeathsUnder24Hrs],tblDaily[EntryDate],DATE(2026,3,6),tblDaily[WardCode],"BG")),"")</f>
        <v/>
      </c>
      <c r="F90" s="12">
        <f>IFERROR(IF(SUMIFS(tblDaily[TransfersIn],tblDaily[EntryDate],DATE(2026,3,6),tblDaily[WardCode],"BG")=0,"",SUMIFS(tblDaily[TransfersIn],tblDaily[EntryDate],DATE(2026,3,6),tblDaily[WardCode],"BG")),"")</f>
        <v/>
      </c>
      <c r="G90" s="12">
        <f>IFERROR(IF(SUMIFS(tblDaily[TransfersOut],tblDaily[EntryDate],DATE(2026,3,6),tblDaily[WardCode],"BG")=0,"",SUMIFS(tblDaily[TransfersOut],tblDaily[EntryDate],DATE(2026,3,6),tblDaily[WardCode],"BG")),"")</f>
        <v/>
      </c>
      <c r="H90" s="12">
        <f>IFERROR(IF(SUMIFS(tblDaily[Remaining],tblDaily[EntryDate],DATE(2026,3,6),tblDaily[WardCode],"BG")=0,"",SUMIFS(tblDaily[Remaining],tblDaily[EntryDate],DATE(2026,3,6),tblDaily[WardCode],"BG")),"")</f>
        <v/>
      </c>
    </row>
    <row r="91">
      <c r="A91" s="12" t="n">
        <v>7</v>
      </c>
      <c r="B91" s="12">
        <f>IFERROR(IF(SUMIFS(tblDaily[Admissions],tblDaily[EntryDate],DATE(2026,3,7),tblDaily[WardCode],"BG")=0,"",SUMIFS(tblDaily[Admissions],tblDaily[EntryDate],DATE(2026,3,7),tblDaily[WardCode],"BG")),"")</f>
        <v/>
      </c>
      <c r="C91" s="12">
        <f>IFERROR(IF(SUMIFS(tblDaily[Discharges],tblDaily[EntryDate],DATE(2026,3,7),tblDaily[WardCode],"BG")=0,"",SUMIFS(tblDaily[Discharges],tblDaily[EntryDate],DATE(2026,3,7),tblDaily[WardCode],"BG")),"")</f>
        <v/>
      </c>
      <c r="D91" s="12">
        <f>IFERROR(IF(SUMIFS(tblDaily[Deaths],tblDaily[EntryDate],DATE(2026,3,7),tblDaily[WardCode],"BG")=0,"",SUMIFS(tblDaily[Deaths],tblDaily[EntryDate],DATE(2026,3,7),tblDaily[WardCode],"BG")),"")</f>
        <v/>
      </c>
      <c r="E91" s="12">
        <f>IFERROR(IF(SUMIFS(tblDaily[DeathsUnder24Hrs],tblDaily[EntryDate],DATE(2026,3,7),tblDaily[WardCode],"BG")=0,"",SUMIFS(tblDaily[DeathsUnder24Hrs],tblDaily[EntryDate],DATE(2026,3,7),tblDaily[WardCode],"BG")),"")</f>
        <v/>
      </c>
      <c r="F91" s="12">
        <f>IFERROR(IF(SUMIFS(tblDaily[TransfersIn],tblDaily[EntryDate],DATE(2026,3,7),tblDaily[WardCode],"BG")=0,"",SUMIFS(tblDaily[TransfersIn],tblDaily[EntryDate],DATE(2026,3,7),tblDaily[WardCode],"BG")),"")</f>
        <v/>
      </c>
      <c r="G91" s="12">
        <f>IFERROR(IF(SUMIFS(tblDaily[TransfersOut],tblDaily[EntryDate],DATE(2026,3,7),tblDaily[WardCode],"BG")=0,"",SUMIFS(tblDaily[TransfersOut],tblDaily[EntryDate],DATE(2026,3,7),tblDaily[WardCode],"BG")),"")</f>
        <v/>
      </c>
      <c r="H91" s="12">
        <f>IFERROR(IF(SUMIFS(tblDaily[Remaining],tblDaily[EntryDate],DATE(2026,3,7),tblDaily[WardCode],"BG")=0,"",SUMIFS(tblDaily[Remaining],tblDaily[EntryDate],DATE(2026,3,7),tblDaily[WardCode],"BG")),"")</f>
        <v/>
      </c>
    </row>
    <row r="92">
      <c r="A92" s="12" t="n">
        <v>8</v>
      </c>
      <c r="B92" s="12">
        <f>IFERROR(IF(SUMIFS(tblDaily[Admissions],tblDaily[EntryDate],DATE(2026,3,8),tblDaily[WardCode],"BG")=0,"",SUMIFS(tblDaily[Admissions],tblDaily[EntryDate],DATE(2026,3,8),tblDaily[WardCode],"BG")),"")</f>
        <v/>
      </c>
      <c r="C92" s="12">
        <f>IFERROR(IF(SUMIFS(tblDaily[Discharges],tblDaily[EntryDate],DATE(2026,3,8),tblDaily[WardCode],"BG")=0,"",SUMIFS(tblDaily[Discharges],tblDaily[EntryDate],DATE(2026,3,8),tblDaily[WardCode],"BG")),"")</f>
        <v/>
      </c>
      <c r="D92" s="12">
        <f>IFERROR(IF(SUMIFS(tblDaily[Deaths],tblDaily[EntryDate],DATE(2026,3,8),tblDaily[WardCode],"BG")=0,"",SUMIFS(tblDaily[Deaths],tblDaily[EntryDate],DATE(2026,3,8),tblDaily[WardCode],"BG")),"")</f>
        <v/>
      </c>
      <c r="E92" s="12">
        <f>IFERROR(IF(SUMIFS(tblDaily[DeathsUnder24Hrs],tblDaily[EntryDate],DATE(2026,3,8),tblDaily[WardCode],"BG")=0,"",SUMIFS(tblDaily[DeathsUnder24Hrs],tblDaily[EntryDate],DATE(2026,3,8),tblDaily[WardCode],"BG")),"")</f>
        <v/>
      </c>
      <c r="F92" s="12">
        <f>IFERROR(IF(SUMIFS(tblDaily[TransfersIn],tblDaily[EntryDate],DATE(2026,3,8),tblDaily[WardCode],"BG")=0,"",SUMIFS(tblDaily[TransfersIn],tblDaily[EntryDate],DATE(2026,3,8),tblDaily[WardCode],"BG")),"")</f>
        <v/>
      </c>
      <c r="G92" s="12">
        <f>IFERROR(IF(SUMIFS(tblDaily[TransfersOut],tblDaily[EntryDate],DATE(2026,3,8),tblDaily[WardCode],"BG")=0,"",SUMIFS(tblDaily[TransfersOut],tblDaily[EntryDate],DATE(2026,3,8),tblDaily[WardCode],"BG")),"")</f>
        <v/>
      </c>
      <c r="H92" s="12">
        <f>IFERROR(IF(SUMIFS(tblDaily[Remaining],tblDaily[EntryDate],DATE(2026,3,8),tblDaily[WardCode],"BG")=0,"",SUMIFS(tblDaily[Remaining],tblDaily[EntryDate],DATE(2026,3,8),tblDaily[WardCode],"BG")),"")</f>
        <v/>
      </c>
    </row>
    <row r="93">
      <c r="A93" s="12" t="n">
        <v>9</v>
      </c>
      <c r="B93" s="12">
        <f>IFERROR(IF(SUMIFS(tblDaily[Admissions],tblDaily[EntryDate],DATE(2026,3,9),tblDaily[WardCode],"BG")=0,"",SUMIFS(tblDaily[Admissions],tblDaily[EntryDate],DATE(2026,3,9),tblDaily[WardCode],"BG")),"")</f>
        <v/>
      </c>
      <c r="C93" s="12">
        <f>IFERROR(IF(SUMIFS(tblDaily[Discharges],tblDaily[EntryDate],DATE(2026,3,9),tblDaily[WardCode],"BG")=0,"",SUMIFS(tblDaily[Discharges],tblDaily[EntryDate],DATE(2026,3,9),tblDaily[WardCode],"BG")),"")</f>
        <v/>
      </c>
      <c r="D93" s="12">
        <f>IFERROR(IF(SUMIFS(tblDaily[Deaths],tblDaily[EntryDate],DATE(2026,3,9),tblDaily[WardCode],"BG")=0,"",SUMIFS(tblDaily[Deaths],tblDaily[EntryDate],DATE(2026,3,9),tblDaily[WardCode],"BG")),"")</f>
        <v/>
      </c>
      <c r="E93" s="12">
        <f>IFERROR(IF(SUMIFS(tblDaily[DeathsUnder24Hrs],tblDaily[EntryDate],DATE(2026,3,9),tblDaily[WardCode],"BG")=0,"",SUMIFS(tblDaily[DeathsUnder24Hrs],tblDaily[EntryDate],DATE(2026,3,9),tblDaily[WardCode],"BG")),"")</f>
        <v/>
      </c>
      <c r="F93" s="12">
        <f>IFERROR(IF(SUMIFS(tblDaily[TransfersIn],tblDaily[EntryDate],DATE(2026,3,9),tblDaily[WardCode],"BG")=0,"",SUMIFS(tblDaily[TransfersIn],tblDaily[EntryDate],DATE(2026,3,9),tblDaily[WardCode],"BG")),"")</f>
        <v/>
      </c>
      <c r="G93" s="12">
        <f>IFERROR(IF(SUMIFS(tblDaily[TransfersOut],tblDaily[EntryDate],DATE(2026,3,9),tblDaily[WardCode],"BG")=0,"",SUMIFS(tblDaily[TransfersOut],tblDaily[EntryDate],DATE(2026,3,9),tblDaily[WardCode],"BG")),"")</f>
        <v/>
      </c>
      <c r="H93" s="12">
        <f>IFERROR(IF(SUMIFS(tblDaily[Remaining],tblDaily[EntryDate],DATE(2026,3,9),tblDaily[WardCode],"BG")=0,"",SUMIFS(tblDaily[Remaining],tblDaily[EntryDate],DATE(2026,3,9),tblDaily[WardCode],"BG")),"")</f>
        <v/>
      </c>
    </row>
    <row r="94">
      <c r="A94" s="12" t="n">
        <v>10</v>
      </c>
      <c r="B94" s="12">
        <f>IFERROR(IF(SUMIFS(tblDaily[Admissions],tblDaily[EntryDate],DATE(2026,3,10),tblDaily[WardCode],"BG")=0,"",SUMIFS(tblDaily[Admissions],tblDaily[EntryDate],DATE(2026,3,10),tblDaily[WardCode],"BG")),"")</f>
        <v/>
      </c>
      <c r="C94" s="12">
        <f>IFERROR(IF(SUMIFS(tblDaily[Discharges],tblDaily[EntryDate],DATE(2026,3,10),tblDaily[WardCode],"BG")=0,"",SUMIFS(tblDaily[Discharges],tblDaily[EntryDate],DATE(2026,3,10),tblDaily[WardCode],"BG")),"")</f>
        <v/>
      </c>
      <c r="D94" s="12">
        <f>IFERROR(IF(SUMIFS(tblDaily[Deaths],tblDaily[EntryDate],DATE(2026,3,10),tblDaily[WardCode],"BG")=0,"",SUMIFS(tblDaily[Deaths],tblDaily[EntryDate],DATE(2026,3,10),tblDaily[WardCode],"BG")),"")</f>
        <v/>
      </c>
      <c r="E94" s="12">
        <f>IFERROR(IF(SUMIFS(tblDaily[DeathsUnder24Hrs],tblDaily[EntryDate],DATE(2026,3,10),tblDaily[WardCode],"BG")=0,"",SUMIFS(tblDaily[DeathsUnder24Hrs],tblDaily[EntryDate],DATE(2026,3,10),tblDaily[WardCode],"BG")),"")</f>
        <v/>
      </c>
      <c r="F94" s="12">
        <f>IFERROR(IF(SUMIFS(tblDaily[TransfersIn],tblDaily[EntryDate],DATE(2026,3,10),tblDaily[WardCode],"BG")=0,"",SUMIFS(tblDaily[TransfersIn],tblDaily[EntryDate],DATE(2026,3,10),tblDaily[WardCode],"BG")),"")</f>
        <v/>
      </c>
      <c r="G94" s="12">
        <f>IFERROR(IF(SUMIFS(tblDaily[TransfersOut],tblDaily[EntryDate],DATE(2026,3,10),tblDaily[WardCode],"BG")=0,"",SUMIFS(tblDaily[TransfersOut],tblDaily[EntryDate],DATE(2026,3,10),tblDaily[WardCode],"BG")),"")</f>
        <v/>
      </c>
      <c r="H94" s="12">
        <f>IFERROR(IF(SUMIFS(tblDaily[Remaining],tblDaily[EntryDate],DATE(2026,3,10),tblDaily[WardCode],"BG")=0,"",SUMIFS(tblDaily[Remaining],tblDaily[EntryDate],DATE(2026,3,10),tblDaily[WardCode],"BG")),"")</f>
        <v/>
      </c>
    </row>
    <row r="95">
      <c r="A95" s="12" t="n">
        <v>11</v>
      </c>
      <c r="B95" s="12">
        <f>IFERROR(IF(SUMIFS(tblDaily[Admissions],tblDaily[EntryDate],DATE(2026,3,11),tblDaily[WardCode],"BG")=0,"",SUMIFS(tblDaily[Admissions],tblDaily[EntryDate],DATE(2026,3,11),tblDaily[WardCode],"BG")),"")</f>
        <v/>
      </c>
      <c r="C95" s="12">
        <f>IFERROR(IF(SUMIFS(tblDaily[Discharges],tblDaily[EntryDate],DATE(2026,3,11),tblDaily[WardCode],"BG")=0,"",SUMIFS(tblDaily[Discharges],tblDaily[EntryDate],DATE(2026,3,11),tblDaily[WardCode],"BG")),"")</f>
        <v/>
      </c>
      <c r="D95" s="12">
        <f>IFERROR(IF(SUMIFS(tblDaily[Deaths],tblDaily[EntryDate],DATE(2026,3,11),tblDaily[WardCode],"BG")=0,"",SUMIFS(tblDaily[Deaths],tblDaily[EntryDate],DATE(2026,3,11),tblDaily[WardCode],"BG")),"")</f>
        <v/>
      </c>
      <c r="E95" s="12">
        <f>IFERROR(IF(SUMIFS(tblDaily[DeathsUnder24Hrs],tblDaily[EntryDate],DATE(2026,3,11),tblDaily[WardCode],"BG")=0,"",SUMIFS(tblDaily[DeathsUnder24Hrs],tblDaily[EntryDate],DATE(2026,3,11),tblDaily[WardCode],"BG")),"")</f>
        <v/>
      </c>
      <c r="F95" s="12">
        <f>IFERROR(IF(SUMIFS(tblDaily[TransfersIn],tblDaily[EntryDate],DATE(2026,3,11),tblDaily[WardCode],"BG")=0,"",SUMIFS(tblDaily[TransfersIn],tblDaily[EntryDate],DATE(2026,3,11),tblDaily[WardCode],"BG")),"")</f>
        <v/>
      </c>
      <c r="G95" s="12">
        <f>IFERROR(IF(SUMIFS(tblDaily[TransfersOut],tblDaily[EntryDate],DATE(2026,3,11),tblDaily[WardCode],"BG")=0,"",SUMIFS(tblDaily[TransfersOut],tblDaily[EntryDate],DATE(2026,3,11),tblDaily[WardCode],"BG")),"")</f>
        <v/>
      </c>
      <c r="H95" s="12">
        <f>IFERROR(IF(SUMIFS(tblDaily[Remaining],tblDaily[EntryDate],DATE(2026,3,11),tblDaily[WardCode],"BG")=0,"",SUMIFS(tblDaily[Remaining],tblDaily[EntryDate],DATE(2026,3,11),tblDaily[WardCode],"BG")),"")</f>
        <v/>
      </c>
    </row>
    <row r="96">
      <c r="A96" s="12" t="n">
        <v>12</v>
      </c>
      <c r="B96" s="12">
        <f>IFERROR(IF(SUMIFS(tblDaily[Admissions],tblDaily[EntryDate],DATE(2026,3,12),tblDaily[WardCode],"BG")=0,"",SUMIFS(tblDaily[Admissions],tblDaily[EntryDate],DATE(2026,3,12),tblDaily[WardCode],"BG")),"")</f>
        <v/>
      </c>
      <c r="C96" s="12">
        <f>IFERROR(IF(SUMIFS(tblDaily[Discharges],tblDaily[EntryDate],DATE(2026,3,12),tblDaily[WardCode],"BG")=0,"",SUMIFS(tblDaily[Discharges],tblDaily[EntryDate],DATE(2026,3,12),tblDaily[WardCode],"BG")),"")</f>
        <v/>
      </c>
      <c r="D96" s="12">
        <f>IFERROR(IF(SUMIFS(tblDaily[Deaths],tblDaily[EntryDate],DATE(2026,3,12),tblDaily[WardCode],"BG")=0,"",SUMIFS(tblDaily[Deaths],tblDaily[EntryDate],DATE(2026,3,12),tblDaily[WardCode],"BG")),"")</f>
        <v/>
      </c>
      <c r="E96" s="12">
        <f>IFERROR(IF(SUMIFS(tblDaily[DeathsUnder24Hrs],tblDaily[EntryDate],DATE(2026,3,12),tblDaily[WardCode],"BG")=0,"",SUMIFS(tblDaily[DeathsUnder24Hrs],tblDaily[EntryDate],DATE(2026,3,12),tblDaily[WardCode],"BG")),"")</f>
        <v/>
      </c>
      <c r="F96" s="12">
        <f>IFERROR(IF(SUMIFS(tblDaily[TransfersIn],tblDaily[EntryDate],DATE(2026,3,12),tblDaily[WardCode],"BG")=0,"",SUMIFS(tblDaily[TransfersIn],tblDaily[EntryDate],DATE(2026,3,12),tblDaily[WardCode],"BG")),"")</f>
        <v/>
      </c>
      <c r="G96" s="12">
        <f>IFERROR(IF(SUMIFS(tblDaily[TransfersOut],tblDaily[EntryDate],DATE(2026,3,12),tblDaily[WardCode],"BG")=0,"",SUMIFS(tblDaily[TransfersOut],tblDaily[EntryDate],DATE(2026,3,12),tblDaily[WardCode],"BG")),"")</f>
        <v/>
      </c>
      <c r="H96" s="12">
        <f>IFERROR(IF(SUMIFS(tblDaily[Remaining],tblDaily[EntryDate],DATE(2026,3,12),tblDaily[WardCode],"BG")=0,"",SUMIFS(tblDaily[Remaining],tblDaily[EntryDate],DATE(2026,3,12),tblDaily[WardCode],"BG")),"")</f>
        <v/>
      </c>
    </row>
    <row r="97">
      <c r="A97" s="12" t="n">
        <v>13</v>
      </c>
      <c r="B97" s="12">
        <f>IFERROR(IF(SUMIFS(tblDaily[Admissions],tblDaily[EntryDate],DATE(2026,3,13),tblDaily[WardCode],"BG")=0,"",SUMIFS(tblDaily[Admissions],tblDaily[EntryDate],DATE(2026,3,13),tblDaily[WardCode],"BG")),"")</f>
        <v/>
      </c>
      <c r="C97" s="12">
        <f>IFERROR(IF(SUMIFS(tblDaily[Discharges],tblDaily[EntryDate],DATE(2026,3,13),tblDaily[WardCode],"BG")=0,"",SUMIFS(tblDaily[Discharges],tblDaily[EntryDate],DATE(2026,3,13),tblDaily[WardCode],"BG")),"")</f>
        <v/>
      </c>
      <c r="D97" s="12">
        <f>IFERROR(IF(SUMIFS(tblDaily[Deaths],tblDaily[EntryDate],DATE(2026,3,13),tblDaily[WardCode],"BG")=0,"",SUMIFS(tblDaily[Deaths],tblDaily[EntryDate],DATE(2026,3,13),tblDaily[WardCode],"BG")),"")</f>
        <v/>
      </c>
      <c r="E97" s="12">
        <f>IFERROR(IF(SUMIFS(tblDaily[DeathsUnder24Hrs],tblDaily[EntryDate],DATE(2026,3,13),tblDaily[WardCode],"BG")=0,"",SUMIFS(tblDaily[DeathsUnder24Hrs],tblDaily[EntryDate],DATE(2026,3,13),tblDaily[WardCode],"BG")),"")</f>
        <v/>
      </c>
      <c r="F97" s="12">
        <f>IFERROR(IF(SUMIFS(tblDaily[TransfersIn],tblDaily[EntryDate],DATE(2026,3,13),tblDaily[WardCode],"BG")=0,"",SUMIFS(tblDaily[TransfersIn],tblDaily[EntryDate],DATE(2026,3,13),tblDaily[WardCode],"BG")),"")</f>
        <v/>
      </c>
      <c r="G97" s="12">
        <f>IFERROR(IF(SUMIFS(tblDaily[TransfersOut],tblDaily[EntryDate],DATE(2026,3,13),tblDaily[WardCode],"BG")=0,"",SUMIFS(tblDaily[TransfersOut],tblDaily[EntryDate],DATE(2026,3,13),tblDaily[WardCode],"BG")),"")</f>
        <v/>
      </c>
      <c r="H97" s="12">
        <f>IFERROR(IF(SUMIFS(tblDaily[Remaining],tblDaily[EntryDate],DATE(2026,3,13),tblDaily[WardCode],"BG")=0,"",SUMIFS(tblDaily[Remaining],tblDaily[EntryDate],DATE(2026,3,13),tblDaily[WardCode],"BG")),"")</f>
        <v/>
      </c>
    </row>
    <row r="98">
      <c r="A98" s="12" t="n">
        <v>14</v>
      </c>
      <c r="B98" s="12">
        <f>IFERROR(IF(SUMIFS(tblDaily[Admissions],tblDaily[EntryDate],DATE(2026,3,14),tblDaily[WardCode],"BG")=0,"",SUMIFS(tblDaily[Admissions],tblDaily[EntryDate],DATE(2026,3,14),tblDaily[WardCode],"BG")),"")</f>
        <v/>
      </c>
      <c r="C98" s="12">
        <f>IFERROR(IF(SUMIFS(tblDaily[Discharges],tblDaily[EntryDate],DATE(2026,3,14),tblDaily[WardCode],"BG")=0,"",SUMIFS(tblDaily[Discharges],tblDaily[EntryDate],DATE(2026,3,14),tblDaily[WardCode],"BG")),"")</f>
        <v/>
      </c>
      <c r="D98" s="12">
        <f>IFERROR(IF(SUMIFS(tblDaily[Deaths],tblDaily[EntryDate],DATE(2026,3,14),tblDaily[WardCode],"BG")=0,"",SUMIFS(tblDaily[Deaths],tblDaily[EntryDate],DATE(2026,3,14),tblDaily[WardCode],"BG")),"")</f>
        <v/>
      </c>
      <c r="E98" s="12">
        <f>IFERROR(IF(SUMIFS(tblDaily[DeathsUnder24Hrs],tblDaily[EntryDate],DATE(2026,3,14),tblDaily[WardCode],"BG")=0,"",SUMIFS(tblDaily[DeathsUnder24Hrs],tblDaily[EntryDate],DATE(2026,3,14),tblDaily[WardCode],"BG")),"")</f>
        <v/>
      </c>
      <c r="F98" s="12">
        <f>IFERROR(IF(SUMIFS(tblDaily[TransfersIn],tblDaily[EntryDate],DATE(2026,3,14),tblDaily[WardCode],"BG")=0,"",SUMIFS(tblDaily[TransfersIn],tblDaily[EntryDate],DATE(2026,3,14),tblDaily[WardCode],"BG")),"")</f>
        <v/>
      </c>
      <c r="G98" s="12">
        <f>IFERROR(IF(SUMIFS(tblDaily[TransfersOut],tblDaily[EntryDate],DATE(2026,3,14),tblDaily[WardCode],"BG")=0,"",SUMIFS(tblDaily[TransfersOut],tblDaily[EntryDate],DATE(2026,3,14),tblDaily[WardCode],"BG")),"")</f>
        <v/>
      </c>
      <c r="H98" s="12">
        <f>IFERROR(IF(SUMIFS(tblDaily[Remaining],tblDaily[EntryDate],DATE(2026,3,14),tblDaily[WardCode],"BG")=0,"",SUMIFS(tblDaily[Remaining],tblDaily[EntryDate],DATE(2026,3,14),tblDaily[WardCode],"BG")),"")</f>
        <v/>
      </c>
    </row>
    <row r="99">
      <c r="A99" s="12" t="n">
        <v>15</v>
      </c>
      <c r="B99" s="12">
        <f>IFERROR(IF(SUMIFS(tblDaily[Admissions],tblDaily[EntryDate],DATE(2026,3,15),tblDaily[WardCode],"BG")=0,"",SUMIFS(tblDaily[Admissions],tblDaily[EntryDate],DATE(2026,3,15),tblDaily[WardCode],"BG")),"")</f>
        <v/>
      </c>
      <c r="C99" s="12">
        <f>IFERROR(IF(SUMIFS(tblDaily[Discharges],tblDaily[EntryDate],DATE(2026,3,15),tblDaily[WardCode],"BG")=0,"",SUMIFS(tblDaily[Discharges],tblDaily[EntryDate],DATE(2026,3,15),tblDaily[WardCode],"BG")),"")</f>
        <v/>
      </c>
      <c r="D99" s="12">
        <f>IFERROR(IF(SUMIFS(tblDaily[Deaths],tblDaily[EntryDate],DATE(2026,3,15),tblDaily[WardCode],"BG")=0,"",SUMIFS(tblDaily[Deaths],tblDaily[EntryDate],DATE(2026,3,15),tblDaily[WardCode],"BG")),"")</f>
        <v/>
      </c>
      <c r="E99" s="12">
        <f>IFERROR(IF(SUMIFS(tblDaily[DeathsUnder24Hrs],tblDaily[EntryDate],DATE(2026,3,15),tblDaily[WardCode],"BG")=0,"",SUMIFS(tblDaily[DeathsUnder24Hrs],tblDaily[EntryDate],DATE(2026,3,15),tblDaily[WardCode],"BG")),"")</f>
        <v/>
      </c>
      <c r="F99" s="12">
        <f>IFERROR(IF(SUMIFS(tblDaily[TransfersIn],tblDaily[EntryDate],DATE(2026,3,15),tblDaily[WardCode],"BG")=0,"",SUMIFS(tblDaily[TransfersIn],tblDaily[EntryDate],DATE(2026,3,15),tblDaily[WardCode],"BG")),"")</f>
        <v/>
      </c>
      <c r="G99" s="12">
        <f>IFERROR(IF(SUMIFS(tblDaily[TransfersOut],tblDaily[EntryDate],DATE(2026,3,15),tblDaily[WardCode],"BG")=0,"",SUMIFS(tblDaily[TransfersOut],tblDaily[EntryDate],DATE(2026,3,15),tblDaily[WardCode],"BG")),"")</f>
        <v/>
      </c>
      <c r="H99" s="12">
        <f>IFERROR(IF(SUMIFS(tblDaily[Remaining],tblDaily[EntryDate],DATE(2026,3,15),tblDaily[WardCode],"BG")=0,"",SUMIFS(tblDaily[Remaining],tblDaily[EntryDate],DATE(2026,3,15),tblDaily[WardCode],"BG")),"")</f>
        <v/>
      </c>
    </row>
    <row r="100">
      <c r="A100" s="12" t="n">
        <v>16</v>
      </c>
      <c r="B100" s="12">
        <f>IFERROR(IF(SUMIFS(tblDaily[Admissions],tblDaily[EntryDate],DATE(2026,3,16),tblDaily[WardCode],"BG")=0,"",SUMIFS(tblDaily[Admissions],tblDaily[EntryDate],DATE(2026,3,16),tblDaily[WardCode],"BG")),"")</f>
        <v/>
      </c>
      <c r="C100" s="12">
        <f>IFERROR(IF(SUMIFS(tblDaily[Discharges],tblDaily[EntryDate],DATE(2026,3,16),tblDaily[WardCode],"BG")=0,"",SUMIFS(tblDaily[Discharges],tblDaily[EntryDate],DATE(2026,3,16),tblDaily[WardCode],"BG")),"")</f>
        <v/>
      </c>
      <c r="D100" s="12">
        <f>IFERROR(IF(SUMIFS(tblDaily[Deaths],tblDaily[EntryDate],DATE(2026,3,16),tblDaily[WardCode],"BG")=0,"",SUMIFS(tblDaily[Deaths],tblDaily[EntryDate],DATE(2026,3,16),tblDaily[WardCode],"BG")),"")</f>
        <v/>
      </c>
      <c r="E100" s="12">
        <f>IFERROR(IF(SUMIFS(tblDaily[DeathsUnder24Hrs],tblDaily[EntryDate],DATE(2026,3,16),tblDaily[WardCode],"BG")=0,"",SUMIFS(tblDaily[DeathsUnder24Hrs],tblDaily[EntryDate],DATE(2026,3,16),tblDaily[WardCode],"BG")),"")</f>
        <v/>
      </c>
      <c r="F100" s="12">
        <f>IFERROR(IF(SUMIFS(tblDaily[TransfersIn],tblDaily[EntryDate],DATE(2026,3,16),tblDaily[WardCode],"BG")=0,"",SUMIFS(tblDaily[TransfersIn],tblDaily[EntryDate],DATE(2026,3,16),tblDaily[WardCode],"BG")),"")</f>
        <v/>
      </c>
      <c r="G100" s="12">
        <f>IFERROR(IF(SUMIFS(tblDaily[TransfersOut],tblDaily[EntryDate],DATE(2026,3,16),tblDaily[WardCode],"BG")=0,"",SUMIFS(tblDaily[TransfersOut],tblDaily[EntryDate],DATE(2026,3,16),tblDaily[WardCode],"BG")),"")</f>
        <v/>
      </c>
      <c r="H100" s="12">
        <f>IFERROR(IF(SUMIFS(tblDaily[Remaining],tblDaily[EntryDate],DATE(2026,3,16),tblDaily[WardCode],"BG")=0,"",SUMIFS(tblDaily[Remaining],tblDaily[EntryDate],DATE(2026,3,16),tblDaily[WardCode],"BG")),"")</f>
        <v/>
      </c>
    </row>
    <row r="101">
      <c r="A101" s="12" t="n">
        <v>17</v>
      </c>
      <c r="B101" s="12">
        <f>IFERROR(IF(SUMIFS(tblDaily[Admissions],tblDaily[EntryDate],DATE(2026,3,17),tblDaily[WardCode],"BG")=0,"",SUMIFS(tblDaily[Admissions],tblDaily[EntryDate],DATE(2026,3,17),tblDaily[WardCode],"BG")),"")</f>
        <v/>
      </c>
      <c r="C101" s="12">
        <f>IFERROR(IF(SUMIFS(tblDaily[Discharges],tblDaily[EntryDate],DATE(2026,3,17),tblDaily[WardCode],"BG")=0,"",SUMIFS(tblDaily[Discharges],tblDaily[EntryDate],DATE(2026,3,17),tblDaily[WardCode],"BG")),"")</f>
        <v/>
      </c>
      <c r="D101" s="12">
        <f>IFERROR(IF(SUMIFS(tblDaily[Deaths],tblDaily[EntryDate],DATE(2026,3,17),tblDaily[WardCode],"BG")=0,"",SUMIFS(tblDaily[Deaths],tblDaily[EntryDate],DATE(2026,3,17),tblDaily[WardCode],"BG")),"")</f>
        <v/>
      </c>
      <c r="E101" s="12">
        <f>IFERROR(IF(SUMIFS(tblDaily[DeathsUnder24Hrs],tblDaily[EntryDate],DATE(2026,3,17),tblDaily[WardCode],"BG")=0,"",SUMIFS(tblDaily[DeathsUnder24Hrs],tblDaily[EntryDate],DATE(2026,3,17),tblDaily[WardCode],"BG")),"")</f>
        <v/>
      </c>
      <c r="F101" s="12">
        <f>IFERROR(IF(SUMIFS(tblDaily[TransfersIn],tblDaily[EntryDate],DATE(2026,3,17),tblDaily[WardCode],"BG")=0,"",SUMIFS(tblDaily[TransfersIn],tblDaily[EntryDate],DATE(2026,3,17),tblDaily[WardCode],"BG")),"")</f>
        <v/>
      </c>
      <c r="G101" s="12">
        <f>IFERROR(IF(SUMIFS(tblDaily[TransfersOut],tblDaily[EntryDate],DATE(2026,3,17),tblDaily[WardCode],"BG")=0,"",SUMIFS(tblDaily[TransfersOut],tblDaily[EntryDate],DATE(2026,3,17),tblDaily[WardCode],"BG")),"")</f>
        <v/>
      </c>
      <c r="H101" s="12">
        <f>IFERROR(IF(SUMIFS(tblDaily[Remaining],tblDaily[EntryDate],DATE(2026,3,17),tblDaily[WardCode],"BG")=0,"",SUMIFS(tblDaily[Remaining],tblDaily[EntryDate],DATE(2026,3,17),tblDaily[WardCode],"BG")),"")</f>
        <v/>
      </c>
    </row>
    <row r="102">
      <c r="A102" s="12" t="n">
        <v>18</v>
      </c>
      <c r="B102" s="12">
        <f>IFERROR(IF(SUMIFS(tblDaily[Admissions],tblDaily[EntryDate],DATE(2026,3,18),tblDaily[WardCode],"BG")=0,"",SUMIFS(tblDaily[Admissions],tblDaily[EntryDate],DATE(2026,3,18),tblDaily[WardCode],"BG")),"")</f>
        <v/>
      </c>
      <c r="C102" s="12">
        <f>IFERROR(IF(SUMIFS(tblDaily[Discharges],tblDaily[EntryDate],DATE(2026,3,18),tblDaily[WardCode],"BG")=0,"",SUMIFS(tblDaily[Discharges],tblDaily[EntryDate],DATE(2026,3,18),tblDaily[WardCode],"BG")),"")</f>
        <v/>
      </c>
      <c r="D102" s="12">
        <f>IFERROR(IF(SUMIFS(tblDaily[Deaths],tblDaily[EntryDate],DATE(2026,3,18),tblDaily[WardCode],"BG")=0,"",SUMIFS(tblDaily[Deaths],tblDaily[EntryDate],DATE(2026,3,18),tblDaily[WardCode],"BG")),"")</f>
        <v/>
      </c>
      <c r="E102" s="12">
        <f>IFERROR(IF(SUMIFS(tblDaily[DeathsUnder24Hrs],tblDaily[EntryDate],DATE(2026,3,18),tblDaily[WardCode],"BG")=0,"",SUMIFS(tblDaily[DeathsUnder24Hrs],tblDaily[EntryDate],DATE(2026,3,18),tblDaily[WardCode],"BG")),"")</f>
        <v/>
      </c>
      <c r="F102" s="12">
        <f>IFERROR(IF(SUMIFS(tblDaily[TransfersIn],tblDaily[EntryDate],DATE(2026,3,18),tblDaily[WardCode],"BG")=0,"",SUMIFS(tblDaily[TransfersIn],tblDaily[EntryDate],DATE(2026,3,18),tblDaily[WardCode],"BG")),"")</f>
        <v/>
      </c>
      <c r="G102" s="12">
        <f>IFERROR(IF(SUMIFS(tblDaily[TransfersOut],tblDaily[EntryDate],DATE(2026,3,18),tblDaily[WardCode],"BG")=0,"",SUMIFS(tblDaily[TransfersOut],tblDaily[EntryDate],DATE(2026,3,18),tblDaily[WardCode],"BG")),"")</f>
        <v/>
      </c>
      <c r="H102" s="12">
        <f>IFERROR(IF(SUMIFS(tblDaily[Remaining],tblDaily[EntryDate],DATE(2026,3,18),tblDaily[WardCode],"BG")=0,"",SUMIFS(tblDaily[Remaining],tblDaily[EntryDate],DATE(2026,3,18),tblDaily[WardCode],"BG")),"")</f>
        <v/>
      </c>
    </row>
    <row r="103">
      <c r="A103" s="12" t="n">
        <v>19</v>
      </c>
      <c r="B103" s="12">
        <f>IFERROR(IF(SUMIFS(tblDaily[Admissions],tblDaily[EntryDate],DATE(2026,3,19),tblDaily[WardCode],"BG")=0,"",SUMIFS(tblDaily[Admissions],tblDaily[EntryDate],DATE(2026,3,19),tblDaily[WardCode],"BG")),"")</f>
        <v/>
      </c>
      <c r="C103" s="12">
        <f>IFERROR(IF(SUMIFS(tblDaily[Discharges],tblDaily[EntryDate],DATE(2026,3,19),tblDaily[WardCode],"BG")=0,"",SUMIFS(tblDaily[Discharges],tblDaily[EntryDate],DATE(2026,3,19),tblDaily[WardCode],"BG")),"")</f>
        <v/>
      </c>
      <c r="D103" s="12">
        <f>IFERROR(IF(SUMIFS(tblDaily[Deaths],tblDaily[EntryDate],DATE(2026,3,19),tblDaily[WardCode],"BG")=0,"",SUMIFS(tblDaily[Deaths],tblDaily[EntryDate],DATE(2026,3,19),tblDaily[WardCode],"BG")),"")</f>
        <v/>
      </c>
      <c r="E103" s="12">
        <f>IFERROR(IF(SUMIFS(tblDaily[DeathsUnder24Hrs],tblDaily[EntryDate],DATE(2026,3,19),tblDaily[WardCode],"BG")=0,"",SUMIFS(tblDaily[DeathsUnder24Hrs],tblDaily[EntryDate],DATE(2026,3,19),tblDaily[WardCode],"BG")),"")</f>
        <v/>
      </c>
      <c r="F103" s="12">
        <f>IFERROR(IF(SUMIFS(tblDaily[TransfersIn],tblDaily[EntryDate],DATE(2026,3,19),tblDaily[WardCode],"BG")=0,"",SUMIFS(tblDaily[TransfersIn],tblDaily[EntryDate],DATE(2026,3,19),tblDaily[WardCode],"BG")),"")</f>
        <v/>
      </c>
      <c r="G103" s="12">
        <f>IFERROR(IF(SUMIFS(tblDaily[TransfersOut],tblDaily[EntryDate],DATE(2026,3,19),tblDaily[WardCode],"BG")=0,"",SUMIFS(tblDaily[TransfersOut],tblDaily[EntryDate],DATE(2026,3,19),tblDaily[WardCode],"BG")),"")</f>
        <v/>
      </c>
      <c r="H103" s="12">
        <f>IFERROR(IF(SUMIFS(tblDaily[Remaining],tblDaily[EntryDate],DATE(2026,3,19),tblDaily[WardCode],"BG")=0,"",SUMIFS(tblDaily[Remaining],tblDaily[EntryDate],DATE(2026,3,19),tblDaily[WardCode],"BG")),"")</f>
        <v/>
      </c>
    </row>
    <row r="104">
      <c r="A104" s="12" t="n">
        <v>20</v>
      </c>
      <c r="B104" s="12">
        <f>IFERROR(IF(SUMIFS(tblDaily[Admissions],tblDaily[EntryDate],DATE(2026,3,20),tblDaily[WardCode],"BG")=0,"",SUMIFS(tblDaily[Admissions],tblDaily[EntryDate],DATE(2026,3,20),tblDaily[WardCode],"BG")),"")</f>
        <v/>
      </c>
      <c r="C104" s="12">
        <f>IFERROR(IF(SUMIFS(tblDaily[Discharges],tblDaily[EntryDate],DATE(2026,3,20),tblDaily[WardCode],"BG")=0,"",SUMIFS(tblDaily[Discharges],tblDaily[EntryDate],DATE(2026,3,20),tblDaily[WardCode],"BG")),"")</f>
        <v/>
      </c>
      <c r="D104" s="12">
        <f>IFERROR(IF(SUMIFS(tblDaily[Deaths],tblDaily[EntryDate],DATE(2026,3,20),tblDaily[WardCode],"BG")=0,"",SUMIFS(tblDaily[Deaths],tblDaily[EntryDate],DATE(2026,3,20),tblDaily[WardCode],"BG")),"")</f>
        <v/>
      </c>
      <c r="E104" s="12">
        <f>IFERROR(IF(SUMIFS(tblDaily[DeathsUnder24Hrs],tblDaily[EntryDate],DATE(2026,3,20),tblDaily[WardCode],"BG")=0,"",SUMIFS(tblDaily[DeathsUnder24Hrs],tblDaily[EntryDate],DATE(2026,3,20),tblDaily[WardCode],"BG")),"")</f>
        <v/>
      </c>
      <c r="F104" s="12">
        <f>IFERROR(IF(SUMIFS(tblDaily[TransfersIn],tblDaily[EntryDate],DATE(2026,3,20),tblDaily[WardCode],"BG")=0,"",SUMIFS(tblDaily[TransfersIn],tblDaily[EntryDate],DATE(2026,3,20),tblDaily[WardCode],"BG")),"")</f>
        <v/>
      </c>
      <c r="G104" s="12">
        <f>IFERROR(IF(SUMIFS(tblDaily[TransfersOut],tblDaily[EntryDate],DATE(2026,3,20),tblDaily[WardCode],"BG")=0,"",SUMIFS(tblDaily[TransfersOut],tblDaily[EntryDate],DATE(2026,3,20),tblDaily[WardCode],"BG")),"")</f>
        <v/>
      </c>
      <c r="H104" s="12">
        <f>IFERROR(IF(SUMIFS(tblDaily[Remaining],tblDaily[EntryDate],DATE(2026,3,20),tblDaily[WardCode],"BG")=0,"",SUMIFS(tblDaily[Remaining],tblDaily[EntryDate],DATE(2026,3,20),tblDaily[WardCode],"BG")),"")</f>
        <v/>
      </c>
    </row>
    <row r="105">
      <c r="A105" s="12" t="n">
        <v>21</v>
      </c>
      <c r="B105" s="12">
        <f>IFERROR(IF(SUMIFS(tblDaily[Admissions],tblDaily[EntryDate],DATE(2026,3,21),tblDaily[WardCode],"BG")=0,"",SUMIFS(tblDaily[Admissions],tblDaily[EntryDate],DATE(2026,3,21),tblDaily[WardCode],"BG")),"")</f>
        <v/>
      </c>
      <c r="C105" s="12">
        <f>IFERROR(IF(SUMIFS(tblDaily[Discharges],tblDaily[EntryDate],DATE(2026,3,21),tblDaily[WardCode],"BG")=0,"",SUMIFS(tblDaily[Discharges],tblDaily[EntryDate],DATE(2026,3,21),tblDaily[WardCode],"BG")),"")</f>
        <v/>
      </c>
      <c r="D105" s="12">
        <f>IFERROR(IF(SUMIFS(tblDaily[Deaths],tblDaily[EntryDate],DATE(2026,3,21),tblDaily[WardCode],"BG")=0,"",SUMIFS(tblDaily[Deaths],tblDaily[EntryDate],DATE(2026,3,21),tblDaily[WardCode],"BG")),"")</f>
        <v/>
      </c>
      <c r="E105" s="12">
        <f>IFERROR(IF(SUMIFS(tblDaily[DeathsUnder24Hrs],tblDaily[EntryDate],DATE(2026,3,21),tblDaily[WardCode],"BG")=0,"",SUMIFS(tblDaily[DeathsUnder24Hrs],tblDaily[EntryDate],DATE(2026,3,21),tblDaily[WardCode],"BG")),"")</f>
        <v/>
      </c>
      <c r="F105" s="12">
        <f>IFERROR(IF(SUMIFS(tblDaily[TransfersIn],tblDaily[EntryDate],DATE(2026,3,21),tblDaily[WardCode],"BG")=0,"",SUMIFS(tblDaily[TransfersIn],tblDaily[EntryDate],DATE(2026,3,21),tblDaily[WardCode],"BG")),"")</f>
        <v/>
      </c>
      <c r="G105" s="12">
        <f>IFERROR(IF(SUMIFS(tblDaily[TransfersOut],tblDaily[EntryDate],DATE(2026,3,21),tblDaily[WardCode],"BG")=0,"",SUMIFS(tblDaily[TransfersOut],tblDaily[EntryDate],DATE(2026,3,21),tblDaily[WardCode],"BG")),"")</f>
        <v/>
      </c>
      <c r="H105" s="12">
        <f>IFERROR(IF(SUMIFS(tblDaily[Remaining],tblDaily[EntryDate],DATE(2026,3,21),tblDaily[WardCode],"BG")=0,"",SUMIFS(tblDaily[Remaining],tblDaily[EntryDate],DATE(2026,3,21),tblDaily[WardCode],"BG")),"")</f>
        <v/>
      </c>
    </row>
    <row r="106">
      <c r="A106" s="12" t="n">
        <v>22</v>
      </c>
      <c r="B106" s="12">
        <f>IFERROR(IF(SUMIFS(tblDaily[Admissions],tblDaily[EntryDate],DATE(2026,3,22),tblDaily[WardCode],"BG")=0,"",SUMIFS(tblDaily[Admissions],tblDaily[EntryDate],DATE(2026,3,22),tblDaily[WardCode],"BG")),"")</f>
        <v/>
      </c>
      <c r="C106" s="12">
        <f>IFERROR(IF(SUMIFS(tblDaily[Discharges],tblDaily[EntryDate],DATE(2026,3,22),tblDaily[WardCode],"BG")=0,"",SUMIFS(tblDaily[Discharges],tblDaily[EntryDate],DATE(2026,3,22),tblDaily[WardCode],"BG")),"")</f>
        <v/>
      </c>
      <c r="D106" s="12">
        <f>IFERROR(IF(SUMIFS(tblDaily[Deaths],tblDaily[EntryDate],DATE(2026,3,22),tblDaily[WardCode],"BG")=0,"",SUMIFS(tblDaily[Deaths],tblDaily[EntryDate],DATE(2026,3,22),tblDaily[WardCode],"BG")),"")</f>
        <v/>
      </c>
      <c r="E106" s="12">
        <f>IFERROR(IF(SUMIFS(tblDaily[DeathsUnder24Hrs],tblDaily[EntryDate],DATE(2026,3,22),tblDaily[WardCode],"BG")=0,"",SUMIFS(tblDaily[DeathsUnder24Hrs],tblDaily[EntryDate],DATE(2026,3,22),tblDaily[WardCode],"BG")),"")</f>
        <v/>
      </c>
      <c r="F106" s="12">
        <f>IFERROR(IF(SUMIFS(tblDaily[TransfersIn],tblDaily[EntryDate],DATE(2026,3,22),tblDaily[WardCode],"BG")=0,"",SUMIFS(tblDaily[TransfersIn],tblDaily[EntryDate],DATE(2026,3,22),tblDaily[WardCode],"BG")),"")</f>
        <v/>
      </c>
      <c r="G106" s="12">
        <f>IFERROR(IF(SUMIFS(tblDaily[TransfersOut],tblDaily[EntryDate],DATE(2026,3,22),tblDaily[WardCode],"BG")=0,"",SUMIFS(tblDaily[TransfersOut],tblDaily[EntryDate],DATE(2026,3,22),tblDaily[WardCode],"BG")),"")</f>
        <v/>
      </c>
      <c r="H106" s="12">
        <f>IFERROR(IF(SUMIFS(tblDaily[Remaining],tblDaily[EntryDate],DATE(2026,3,22),tblDaily[WardCode],"BG")=0,"",SUMIFS(tblDaily[Remaining],tblDaily[EntryDate],DATE(2026,3,22),tblDaily[WardCode],"BG")),"")</f>
        <v/>
      </c>
    </row>
    <row r="107">
      <c r="A107" s="12" t="n">
        <v>23</v>
      </c>
      <c r="B107" s="12">
        <f>IFERROR(IF(SUMIFS(tblDaily[Admissions],tblDaily[EntryDate],DATE(2026,3,23),tblDaily[WardCode],"BG")=0,"",SUMIFS(tblDaily[Admissions],tblDaily[EntryDate],DATE(2026,3,23),tblDaily[WardCode],"BG")),"")</f>
        <v/>
      </c>
      <c r="C107" s="12">
        <f>IFERROR(IF(SUMIFS(tblDaily[Discharges],tblDaily[EntryDate],DATE(2026,3,23),tblDaily[WardCode],"BG")=0,"",SUMIFS(tblDaily[Discharges],tblDaily[EntryDate],DATE(2026,3,23),tblDaily[WardCode],"BG")),"")</f>
        <v/>
      </c>
      <c r="D107" s="12">
        <f>IFERROR(IF(SUMIFS(tblDaily[Deaths],tblDaily[EntryDate],DATE(2026,3,23),tblDaily[WardCode],"BG")=0,"",SUMIFS(tblDaily[Deaths],tblDaily[EntryDate],DATE(2026,3,23),tblDaily[WardCode],"BG")),"")</f>
        <v/>
      </c>
      <c r="E107" s="12">
        <f>IFERROR(IF(SUMIFS(tblDaily[DeathsUnder24Hrs],tblDaily[EntryDate],DATE(2026,3,23),tblDaily[WardCode],"BG")=0,"",SUMIFS(tblDaily[DeathsUnder24Hrs],tblDaily[EntryDate],DATE(2026,3,23),tblDaily[WardCode],"BG")),"")</f>
        <v/>
      </c>
      <c r="F107" s="12">
        <f>IFERROR(IF(SUMIFS(tblDaily[TransfersIn],tblDaily[EntryDate],DATE(2026,3,23),tblDaily[WardCode],"BG")=0,"",SUMIFS(tblDaily[TransfersIn],tblDaily[EntryDate],DATE(2026,3,23),tblDaily[WardCode],"BG")),"")</f>
        <v/>
      </c>
      <c r="G107" s="12">
        <f>IFERROR(IF(SUMIFS(tblDaily[TransfersOut],tblDaily[EntryDate],DATE(2026,3,23),tblDaily[WardCode],"BG")=0,"",SUMIFS(tblDaily[TransfersOut],tblDaily[EntryDate],DATE(2026,3,23),tblDaily[WardCode],"BG")),"")</f>
        <v/>
      </c>
      <c r="H107" s="12">
        <f>IFERROR(IF(SUMIFS(tblDaily[Remaining],tblDaily[EntryDate],DATE(2026,3,23),tblDaily[WardCode],"BG")=0,"",SUMIFS(tblDaily[Remaining],tblDaily[EntryDate],DATE(2026,3,23),tblDaily[WardCode],"BG")),"")</f>
        <v/>
      </c>
    </row>
    <row r="108">
      <c r="A108" s="12" t="n">
        <v>24</v>
      </c>
      <c r="B108" s="12">
        <f>IFERROR(IF(SUMIFS(tblDaily[Admissions],tblDaily[EntryDate],DATE(2026,3,24),tblDaily[WardCode],"BG")=0,"",SUMIFS(tblDaily[Admissions],tblDaily[EntryDate],DATE(2026,3,24),tblDaily[WardCode],"BG")),"")</f>
        <v/>
      </c>
      <c r="C108" s="12">
        <f>IFERROR(IF(SUMIFS(tblDaily[Discharges],tblDaily[EntryDate],DATE(2026,3,24),tblDaily[WardCode],"BG")=0,"",SUMIFS(tblDaily[Discharges],tblDaily[EntryDate],DATE(2026,3,24),tblDaily[WardCode],"BG")),"")</f>
        <v/>
      </c>
      <c r="D108" s="12">
        <f>IFERROR(IF(SUMIFS(tblDaily[Deaths],tblDaily[EntryDate],DATE(2026,3,24),tblDaily[WardCode],"BG")=0,"",SUMIFS(tblDaily[Deaths],tblDaily[EntryDate],DATE(2026,3,24),tblDaily[WardCode],"BG")),"")</f>
        <v/>
      </c>
      <c r="E108" s="12">
        <f>IFERROR(IF(SUMIFS(tblDaily[DeathsUnder24Hrs],tblDaily[EntryDate],DATE(2026,3,24),tblDaily[WardCode],"BG")=0,"",SUMIFS(tblDaily[DeathsUnder24Hrs],tblDaily[EntryDate],DATE(2026,3,24),tblDaily[WardCode],"BG")),"")</f>
        <v/>
      </c>
      <c r="F108" s="12">
        <f>IFERROR(IF(SUMIFS(tblDaily[TransfersIn],tblDaily[EntryDate],DATE(2026,3,24),tblDaily[WardCode],"BG")=0,"",SUMIFS(tblDaily[TransfersIn],tblDaily[EntryDate],DATE(2026,3,24),tblDaily[WardCode],"BG")),"")</f>
        <v/>
      </c>
      <c r="G108" s="12">
        <f>IFERROR(IF(SUMIFS(tblDaily[TransfersOut],tblDaily[EntryDate],DATE(2026,3,24),tblDaily[WardCode],"BG")=0,"",SUMIFS(tblDaily[TransfersOut],tblDaily[EntryDate],DATE(2026,3,24),tblDaily[WardCode],"BG")),"")</f>
        <v/>
      </c>
      <c r="H108" s="12">
        <f>IFERROR(IF(SUMIFS(tblDaily[Remaining],tblDaily[EntryDate],DATE(2026,3,24),tblDaily[WardCode],"BG")=0,"",SUMIFS(tblDaily[Remaining],tblDaily[EntryDate],DATE(2026,3,24),tblDaily[WardCode],"BG")),"")</f>
        <v/>
      </c>
    </row>
    <row r="109">
      <c r="A109" s="12" t="n">
        <v>25</v>
      </c>
      <c r="B109" s="12">
        <f>IFERROR(IF(SUMIFS(tblDaily[Admissions],tblDaily[EntryDate],DATE(2026,3,25),tblDaily[WardCode],"BG")=0,"",SUMIFS(tblDaily[Admissions],tblDaily[EntryDate],DATE(2026,3,25),tblDaily[WardCode],"BG")),"")</f>
        <v/>
      </c>
      <c r="C109" s="12">
        <f>IFERROR(IF(SUMIFS(tblDaily[Discharges],tblDaily[EntryDate],DATE(2026,3,25),tblDaily[WardCode],"BG")=0,"",SUMIFS(tblDaily[Discharges],tblDaily[EntryDate],DATE(2026,3,25),tblDaily[WardCode],"BG")),"")</f>
        <v/>
      </c>
      <c r="D109" s="12">
        <f>IFERROR(IF(SUMIFS(tblDaily[Deaths],tblDaily[EntryDate],DATE(2026,3,25),tblDaily[WardCode],"BG")=0,"",SUMIFS(tblDaily[Deaths],tblDaily[EntryDate],DATE(2026,3,25),tblDaily[WardCode],"BG")),"")</f>
        <v/>
      </c>
      <c r="E109" s="12">
        <f>IFERROR(IF(SUMIFS(tblDaily[DeathsUnder24Hrs],tblDaily[EntryDate],DATE(2026,3,25),tblDaily[WardCode],"BG")=0,"",SUMIFS(tblDaily[DeathsUnder24Hrs],tblDaily[EntryDate],DATE(2026,3,25),tblDaily[WardCode],"BG")),"")</f>
        <v/>
      </c>
      <c r="F109" s="12">
        <f>IFERROR(IF(SUMIFS(tblDaily[TransfersIn],tblDaily[EntryDate],DATE(2026,3,25),tblDaily[WardCode],"BG")=0,"",SUMIFS(tblDaily[TransfersIn],tblDaily[EntryDate],DATE(2026,3,25),tblDaily[WardCode],"BG")),"")</f>
        <v/>
      </c>
      <c r="G109" s="12">
        <f>IFERROR(IF(SUMIFS(tblDaily[TransfersOut],tblDaily[EntryDate],DATE(2026,3,25),tblDaily[WardCode],"BG")=0,"",SUMIFS(tblDaily[TransfersOut],tblDaily[EntryDate],DATE(2026,3,25),tblDaily[WardCode],"BG")),"")</f>
        <v/>
      </c>
      <c r="H109" s="12">
        <f>IFERROR(IF(SUMIFS(tblDaily[Remaining],tblDaily[EntryDate],DATE(2026,3,25),tblDaily[WardCode],"BG")=0,"",SUMIFS(tblDaily[Remaining],tblDaily[EntryDate],DATE(2026,3,25),tblDaily[WardCode],"BG")),"")</f>
        <v/>
      </c>
    </row>
    <row r="110">
      <c r="A110" s="12" t="n">
        <v>26</v>
      </c>
      <c r="B110" s="12">
        <f>IFERROR(IF(SUMIFS(tblDaily[Admissions],tblDaily[EntryDate],DATE(2026,3,26),tblDaily[WardCode],"BG")=0,"",SUMIFS(tblDaily[Admissions],tblDaily[EntryDate],DATE(2026,3,26),tblDaily[WardCode],"BG")),"")</f>
        <v/>
      </c>
      <c r="C110" s="12">
        <f>IFERROR(IF(SUMIFS(tblDaily[Discharges],tblDaily[EntryDate],DATE(2026,3,26),tblDaily[WardCode],"BG")=0,"",SUMIFS(tblDaily[Discharges],tblDaily[EntryDate],DATE(2026,3,26),tblDaily[WardCode],"BG")),"")</f>
        <v/>
      </c>
      <c r="D110" s="12">
        <f>IFERROR(IF(SUMIFS(tblDaily[Deaths],tblDaily[EntryDate],DATE(2026,3,26),tblDaily[WardCode],"BG")=0,"",SUMIFS(tblDaily[Deaths],tblDaily[EntryDate],DATE(2026,3,26),tblDaily[WardCode],"BG")),"")</f>
        <v/>
      </c>
      <c r="E110" s="12">
        <f>IFERROR(IF(SUMIFS(tblDaily[DeathsUnder24Hrs],tblDaily[EntryDate],DATE(2026,3,26),tblDaily[WardCode],"BG")=0,"",SUMIFS(tblDaily[DeathsUnder24Hrs],tblDaily[EntryDate],DATE(2026,3,26),tblDaily[WardCode],"BG")),"")</f>
        <v/>
      </c>
      <c r="F110" s="12">
        <f>IFERROR(IF(SUMIFS(tblDaily[TransfersIn],tblDaily[EntryDate],DATE(2026,3,26),tblDaily[WardCode],"BG")=0,"",SUMIFS(tblDaily[TransfersIn],tblDaily[EntryDate],DATE(2026,3,26),tblDaily[WardCode],"BG")),"")</f>
        <v/>
      </c>
      <c r="G110" s="12">
        <f>IFERROR(IF(SUMIFS(tblDaily[TransfersOut],tblDaily[EntryDate],DATE(2026,3,26),tblDaily[WardCode],"BG")=0,"",SUMIFS(tblDaily[TransfersOut],tblDaily[EntryDate],DATE(2026,3,26),tblDaily[WardCode],"BG")),"")</f>
        <v/>
      </c>
      <c r="H110" s="12">
        <f>IFERROR(IF(SUMIFS(tblDaily[Remaining],tblDaily[EntryDate],DATE(2026,3,26),tblDaily[WardCode],"BG")=0,"",SUMIFS(tblDaily[Remaining],tblDaily[EntryDate],DATE(2026,3,26),tblDaily[WardCode],"BG")),"")</f>
        <v/>
      </c>
    </row>
    <row r="111">
      <c r="A111" s="12" t="n">
        <v>27</v>
      </c>
      <c r="B111" s="12">
        <f>IFERROR(IF(SUMIFS(tblDaily[Admissions],tblDaily[EntryDate],DATE(2026,3,27),tblDaily[WardCode],"BG")=0,"",SUMIFS(tblDaily[Admissions],tblDaily[EntryDate],DATE(2026,3,27),tblDaily[WardCode],"BG")),"")</f>
        <v/>
      </c>
      <c r="C111" s="12">
        <f>IFERROR(IF(SUMIFS(tblDaily[Discharges],tblDaily[EntryDate],DATE(2026,3,27),tblDaily[WardCode],"BG")=0,"",SUMIFS(tblDaily[Discharges],tblDaily[EntryDate],DATE(2026,3,27),tblDaily[WardCode],"BG")),"")</f>
        <v/>
      </c>
      <c r="D111" s="12">
        <f>IFERROR(IF(SUMIFS(tblDaily[Deaths],tblDaily[EntryDate],DATE(2026,3,27),tblDaily[WardCode],"BG")=0,"",SUMIFS(tblDaily[Deaths],tblDaily[EntryDate],DATE(2026,3,27),tblDaily[WardCode],"BG")),"")</f>
        <v/>
      </c>
      <c r="E111" s="12">
        <f>IFERROR(IF(SUMIFS(tblDaily[DeathsUnder24Hrs],tblDaily[EntryDate],DATE(2026,3,27),tblDaily[WardCode],"BG")=0,"",SUMIFS(tblDaily[DeathsUnder24Hrs],tblDaily[EntryDate],DATE(2026,3,27),tblDaily[WardCode],"BG")),"")</f>
        <v/>
      </c>
      <c r="F111" s="12">
        <f>IFERROR(IF(SUMIFS(tblDaily[TransfersIn],tblDaily[EntryDate],DATE(2026,3,27),tblDaily[WardCode],"BG")=0,"",SUMIFS(tblDaily[TransfersIn],tblDaily[EntryDate],DATE(2026,3,27),tblDaily[WardCode],"BG")),"")</f>
        <v/>
      </c>
      <c r="G111" s="12">
        <f>IFERROR(IF(SUMIFS(tblDaily[TransfersOut],tblDaily[EntryDate],DATE(2026,3,27),tblDaily[WardCode],"BG")=0,"",SUMIFS(tblDaily[TransfersOut],tblDaily[EntryDate],DATE(2026,3,27),tblDaily[WardCode],"BG")),"")</f>
        <v/>
      </c>
      <c r="H111" s="12">
        <f>IFERROR(IF(SUMIFS(tblDaily[Remaining],tblDaily[EntryDate],DATE(2026,3,27),tblDaily[WardCode],"BG")=0,"",SUMIFS(tblDaily[Remaining],tblDaily[EntryDate],DATE(2026,3,27),tblDaily[WardCode],"BG")),"")</f>
        <v/>
      </c>
    </row>
    <row r="112">
      <c r="A112" s="12" t="n">
        <v>28</v>
      </c>
      <c r="B112" s="12">
        <f>IFERROR(IF(SUMIFS(tblDaily[Admissions],tblDaily[EntryDate],DATE(2026,3,28),tblDaily[WardCode],"BG")=0,"",SUMIFS(tblDaily[Admissions],tblDaily[EntryDate],DATE(2026,3,28),tblDaily[WardCode],"BG")),"")</f>
        <v/>
      </c>
      <c r="C112" s="12">
        <f>IFERROR(IF(SUMIFS(tblDaily[Discharges],tblDaily[EntryDate],DATE(2026,3,28),tblDaily[WardCode],"BG")=0,"",SUMIFS(tblDaily[Discharges],tblDaily[EntryDate],DATE(2026,3,28),tblDaily[WardCode],"BG")),"")</f>
        <v/>
      </c>
      <c r="D112" s="12">
        <f>IFERROR(IF(SUMIFS(tblDaily[Deaths],tblDaily[EntryDate],DATE(2026,3,28),tblDaily[WardCode],"BG")=0,"",SUMIFS(tblDaily[Deaths],tblDaily[EntryDate],DATE(2026,3,28),tblDaily[WardCode],"BG")),"")</f>
        <v/>
      </c>
      <c r="E112" s="12">
        <f>IFERROR(IF(SUMIFS(tblDaily[DeathsUnder24Hrs],tblDaily[EntryDate],DATE(2026,3,28),tblDaily[WardCode],"BG")=0,"",SUMIFS(tblDaily[DeathsUnder24Hrs],tblDaily[EntryDate],DATE(2026,3,28),tblDaily[WardCode],"BG")),"")</f>
        <v/>
      </c>
      <c r="F112" s="12">
        <f>IFERROR(IF(SUMIFS(tblDaily[TransfersIn],tblDaily[EntryDate],DATE(2026,3,28),tblDaily[WardCode],"BG")=0,"",SUMIFS(tblDaily[TransfersIn],tblDaily[EntryDate],DATE(2026,3,28),tblDaily[WardCode],"BG")),"")</f>
        <v/>
      </c>
      <c r="G112" s="12">
        <f>IFERROR(IF(SUMIFS(tblDaily[TransfersOut],tblDaily[EntryDate],DATE(2026,3,28),tblDaily[WardCode],"BG")=0,"",SUMIFS(tblDaily[TransfersOut],tblDaily[EntryDate],DATE(2026,3,28),tblDaily[WardCode],"BG")),"")</f>
        <v/>
      </c>
      <c r="H112" s="12">
        <f>IFERROR(IF(SUMIFS(tblDaily[Remaining],tblDaily[EntryDate],DATE(2026,3,28),tblDaily[WardCode],"BG")=0,"",SUMIFS(tblDaily[Remaining],tblDaily[EntryDate],DATE(2026,3,28),tblDaily[WardCode],"BG")),"")</f>
        <v/>
      </c>
    </row>
    <row r="113">
      <c r="A113" s="12" t="n">
        <v>29</v>
      </c>
      <c r="B113" s="12">
        <f>IFERROR(IF(SUMIFS(tblDaily[Admissions],tblDaily[EntryDate],DATE(2026,3,29),tblDaily[WardCode],"BG")=0,"",SUMIFS(tblDaily[Admissions],tblDaily[EntryDate],DATE(2026,3,29),tblDaily[WardCode],"BG")),"")</f>
        <v/>
      </c>
      <c r="C113" s="12">
        <f>IFERROR(IF(SUMIFS(tblDaily[Discharges],tblDaily[EntryDate],DATE(2026,3,29),tblDaily[WardCode],"BG")=0,"",SUMIFS(tblDaily[Discharges],tblDaily[EntryDate],DATE(2026,3,29),tblDaily[WardCode],"BG")),"")</f>
        <v/>
      </c>
      <c r="D113" s="12">
        <f>IFERROR(IF(SUMIFS(tblDaily[Deaths],tblDaily[EntryDate],DATE(2026,3,29),tblDaily[WardCode],"BG")=0,"",SUMIFS(tblDaily[Deaths],tblDaily[EntryDate],DATE(2026,3,29),tblDaily[WardCode],"BG")),"")</f>
        <v/>
      </c>
      <c r="E113" s="12">
        <f>IFERROR(IF(SUMIFS(tblDaily[DeathsUnder24Hrs],tblDaily[EntryDate],DATE(2026,3,29),tblDaily[WardCode],"BG")=0,"",SUMIFS(tblDaily[DeathsUnder24Hrs],tblDaily[EntryDate],DATE(2026,3,29),tblDaily[WardCode],"BG")),"")</f>
        <v/>
      </c>
      <c r="F113" s="12">
        <f>IFERROR(IF(SUMIFS(tblDaily[TransfersIn],tblDaily[EntryDate],DATE(2026,3,29),tblDaily[WardCode],"BG")=0,"",SUMIFS(tblDaily[TransfersIn],tblDaily[EntryDate],DATE(2026,3,29),tblDaily[WardCode],"BG")),"")</f>
        <v/>
      </c>
      <c r="G113" s="12">
        <f>IFERROR(IF(SUMIFS(tblDaily[TransfersOut],tblDaily[EntryDate],DATE(2026,3,29),tblDaily[WardCode],"BG")=0,"",SUMIFS(tblDaily[TransfersOut],tblDaily[EntryDate],DATE(2026,3,29),tblDaily[WardCode],"BG")),"")</f>
        <v/>
      </c>
      <c r="H113" s="12">
        <f>IFERROR(IF(SUMIFS(tblDaily[Remaining],tblDaily[EntryDate],DATE(2026,3,29),tblDaily[WardCode],"BG")=0,"",SUMIFS(tblDaily[Remaining],tblDaily[EntryDate],DATE(2026,3,29),tblDaily[WardCode],"BG")),"")</f>
        <v/>
      </c>
    </row>
    <row r="114">
      <c r="A114" s="12" t="n">
        <v>30</v>
      </c>
      <c r="B114" s="12">
        <f>IFERROR(IF(SUMIFS(tblDaily[Admissions],tblDaily[EntryDate],DATE(2026,3,30),tblDaily[WardCode],"BG")=0,"",SUMIFS(tblDaily[Admissions],tblDaily[EntryDate],DATE(2026,3,30),tblDaily[WardCode],"BG")),"")</f>
        <v/>
      </c>
      <c r="C114" s="12">
        <f>IFERROR(IF(SUMIFS(tblDaily[Discharges],tblDaily[EntryDate],DATE(2026,3,30),tblDaily[WardCode],"BG")=0,"",SUMIFS(tblDaily[Discharges],tblDaily[EntryDate],DATE(2026,3,30),tblDaily[WardCode],"BG")),"")</f>
        <v/>
      </c>
      <c r="D114" s="12">
        <f>IFERROR(IF(SUMIFS(tblDaily[Deaths],tblDaily[EntryDate],DATE(2026,3,30),tblDaily[WardCode],"BG")=0,"",SUMIFS(tblDaily[Deaths],tblDaily[EntryDate],DATE(2026,3,30),tblDaily[WardCode],"BG")),"")</f>
        <v/>
      </c>
      <c r="E114" s="12">
        <f>IFERROR(IF(SUMIFS(tblDaily[DeathsUnder24Hrs],tblDaily[EntryDate],DATE(2026,3,30),tblDaily[WardCode],"BG")=0,"",SUMIFS(tblDaily[DeathsUnder24Hrs],tblDaily[EntryDate],DATE(2026,3,30),tblDaily[WardCode],"BG")),"")</f>
        <v/>
      </c>
      <c r="F114" s="12">
        <f>IFERROR(IF(SUMIFS(tblDaily[TransfersIn],tblDaily[EntryDate],DATE(2026,3,30),tblDaily[WardCode],"BG")=0,"",SUMIFS(tblDaily[TransfersIn],tblDaily[EntryDate],DATE(2026,3,30),tblDaily[WardCode],"BG")),"")</f>
        <v/>
      </c>
      <c r="G114" s="12">
        <f>IFERROR(IF(SUMIFS(tblDaily[TransfersOut],tblDaily[EntryDate],DATE(2026,3,30),tblDaily[WardCode],"BG")=0,"",SUMIFS(tblDaily[TransfersOut],tblDaily[EntryDate],DATE(2026,3,30),tblDaily[WardCode],"BG")),"")</f>
        <v/>
      </c>
      <c r="H114" s="12">
        <f>IFERROR(IF(SUMIFS(tblDaily[Remaining],tblDaily[EntryDate],DATE(2026,3,30),tblDaily[WardCode],"BG")=0,"",SUMIFS(tblDaily[Remaining],tblDaily[EntryDate],DATE(2026,3,30),tblDaily[WardCode],"BG")),"")</f>
        <v/>
      </c>
    </row>
    <row r="115">
      <c r="A115" s="12" t="n">
        <v>31</v>
      </c>
      <c r="B115" s="12">
        <f>IFERROR(IF(SUMIFS(tblDaily[Admissions],tblDaily[EntryDate],DATE(2026,3,31),tblDaily[WardCode],"BG")=0,"",SUMIFS(tblDaily[Admissions],tblDaily[EntryDate],DATE(2026,3,31),tblDaily[WardCode],"BG")),"")</f>
        <v/>
      </c>
      <c r="C115" s="12">
        <f>IFERROR(IF(SUMIFS(tblDaily[Discharges],tblDaily[EntryDate],DATE(2026,3,31),tblDaily[WardCode],"BG")=0,"",SUMIFS(tblDaily[Discharges],tblDaily[EntryDate],DATE(2026,3,31),tblDaily[WardCode],"BG")),"")</f>
        <v/>
      </c>
      <c r="D115" s="12">
        <f>IFERROR(IF(SUMIFS(tblDaily[Deaths],tblDaily[EntryDate],DATE(2026,3,31),tblDaily[WardCode],"BG")=0,"",SUMIFS(tblDaily[Deaths],tblDaily[EntryDate],DATE(2026,3,31),tblDaily[WardCode],"BG")),"")</f>
        <v/>
      </c>
      <c r="E115" s="12">
        <f>IFERROR(IF(SUMIFS(tblDaily[DeathsUnder24Hrs],tblDaily[EntryDate],DATE(2026,3,31),tblDaily[WardCode],"BG")=0,"",SUMIFS(tblDaily[DeathsUnder24Hrs],tblDaily[EntryDate],DATE(2026,3,31),tblDaily[WardCode],"BG")),"")</f>
        <v/>
      </c>
      <c r="F115" s="12">
        <f>IFERROR(IF(SUMIFS(tblDaily[TransfersIn],tblDaily[EntryDate],DATE(2026,3,31),tblDaily[WardCode],"BG")=0,"",SUMIFS(tblDaily[TransfersIn],tblDaily[EntryDate],DATE(2026,3,31),tblDaily[WardCode],"BG")),"")</f>
        <v/>
      </c>
      <c r="G115" s="12">
        <f>IFERROR(IF(SUMIFS(tblDaily[TransfersOut],tblDaily[EntryDate],DATE(2026,3,31),tblDaily[WardCode],"BG")=0,"",SUMIFS(tblDaily[TransfersOut],tblDaily[EntryDate],DATE(2026,3,31),tblDaily[WardCode],"BG")),"")</f>
        <v/>
      </c>
      <c r="H115" s="12">
        <f>IFERROR(IF(SUMIFS(tblDaily[Remaining],tblDaily[EntryDate],DATE(2026,3,31),tblDaily[WardCode],"BG")=0,"",SUMIFS(tblDaily[Remaining],tblDaily[EntryDate],DATE(2026,3,31),tblDaily[WardCode],"BG")),"")</f>
        <v/>
      </c>
    </row>
    <row r="116">
      <c r="A116" s="17" t="inlineStr">
        <is>
          <t>TOTAL</t>
        </is>
      </c>
      <c r="B116" s="17">
        <f>SUMIFS(tblDaily[Admissions],tblDaily[Month],3,tblDaily[WardCode],"BG") - SUMIFS(tblDaily[DeathsUnder24Hrs],tblDaily[Month],3,tblDaily[WardCode],"BG")</f>
        <v/>
      </c>
      <c r="C116" s="17">
        <f>SUMIFS(tblDaily[Discharges],tblDaily[Month],3,tblDaily[WardCode],"BG")</f>
        <v/>
      </c>
      <c r="D116" s="17">
        <f>SUMIFS(tblDaily[Deaths],tblDaily[Month],3,tblDaily[WardCode],"BG")</f>
        <v/>
      </c>
      <c r="E116" s="17">
        <f>SUMIFS(tblDaily[DeathsUnder24Hrs],tblDaily[Month],3,tblDaily[WardCode],"BG")</f>
        <v/>
      </c>
      <c r="F116" s="17">
        <f>SUMIFS(tblDaily[TransfersIn],tblDaily[Month],3,tblDaily[WardCode],"BG")</f>
        <v/>
      </c>
      <c r="G116" s="17">
        <f>SUMIFS(tblDaily[TransfersOut],tblDaily[Month],3,tblDaily[WardCode],"BG")</f>
        <v/>
      </c>
      <c r="H116" s="17">
        <f>SUMIFS(tblDaily[Remaining],tblDaily[Month],3,tblDaily[WardCode],"BG")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BLOCK G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4">
        <f>IFERROR(SUMIFS(tblDaily[Remaining],tblDaily[EntryDate],DATE(2026,3,31),tblDaily[WardCode],"BG"),0)</f>
        <v/>
      </c>
    </row>
    <row r="122">
      <c r="A122" s="4" t="inlineStr">
        <is>
          <t>Bed complement</t>
        </is>
      </c>
      <c r="H122" s="15">
        <f>IFERROR(INDEX(tblWardConfig[BedComplement],MATCH("BG",tblWardConfig[WardCode],0)),0)</f>
        <v/>
      </c>
    </row>
    <row r="123">
      <c r="A123" s="16" t="inlineStr">
        <is>
          <t>Day of
the
Month</t>
        </is>
      </c>
      <c r="B123" s="16" t="inlineStr">
        <is>
          <t>Admissions</t>
        </is>
      </c>
      <c r="C123" s="16" t="inlineStr">
        <is>
          <t>Discharges</t>
        </is>
      </c>
      <c r="D123" s="16" t="inlineStr">
        <is>
          <t>Deaths</t>
        </is>
      </c>
      <c r="E123" s="16" t="inlineStr">
        <is>
          <t>Deaths
&lt;24Hrs</t>
        </is>
      </c>
      <c r="F123" s="16" t="inlineStr">
        <is>
          <t>Transfers-
In</t>
        </is>
      </c>
      <c r="G123" s="16" t="inlineStr">
        <is>
          <t>Transfers-
Out</t>
        </is>
      </c>
      <c r="H123" s="16" t="inlineStr">
        <is>
          <t>No. of Patients
Remaining In
Ward</t>
        </is>
      </c>
    </row>
    <row r="124">
      <c r="A124" s="12" t="n">
        <v>1</v>
      </c>
      <c r="B124" s="12">
        <f>IFERROR(IF(SUMIFS(tblDaily[Admissions],tblDaily[EntryDate],DATE(2026,4,1),tblDaily[WardCode],"BG")=0,"",SUMIFS(tblDaily[Admissions],tblDaily[EntryDate],DATE(2026,4,1),tblDaily[WardCode],"BG")),"")</f>
        <v/>
      </c>
      <c r="C124" s="12">
        <f>IFERROR(IF(SUMIFS(tblDaily[Discharges],tblDaily[EntryDate],DATE(2026,4,1),tblDaily[WardCode],"BG")=0,"",SUMIFS(tblDaily[Discharges],tblDaily[EntryDate],DATE(2026,4,1),tblDaily[WardCode],"BG")),"")</f>
        <v/>
      </c>
      <c r="D124" s="12">
        <f>IFERROR(IF(SUMIFS(tblDaily[Deaths],tblDaily[EntryDate],DATE(2026,4,1),tblDaily[WardCode],"BG")=0,"",SUMIFS(tblDaily[Deaths],tblDaily[EntryDate],DATE(2026,4,1),tblDaily[WardCode],"BG")),"")</f>
        <v/>
      </c>
      <c r="E124" s="12">
        <f>IFERROR(IF(SUMIFS(tblDaily[DeathsUnder24Hrs],tblDaily[EntryDate],DATE(2026,4,1),tblDaily[WardCode],"BG")=0,"",SUMIFS(tblDaily[DeathsUnder24Hrs],tblDaily[EntryDate],DATE(2026,4,1),tblDaily[WardCode],"BG")),"")</f>
        <v/>
      </c>
      <c r="F124" s="12">
        <f>IFERROR(IF(SUMIFS(tblDaily[TransfersIn],tblDaily[EntryDate],DATE(2026,4,1),tblDaily[WardCode],"BG")=0,"",SUMIFS(tblDaily[TransfersIn],tblDaily[EntryDate],DATE(2026,4,1),tblDaily[WardCode],"BG")),"")</f>
        <v/>
      </c>
      <c r="G124" s="12">
        <f>IFERROR(IF(SUMIFS(tblDaily[TransfersOut],tblDaily[EntryDate],DATE(2026,4,1),tblDaily[WardCode],"BG")=0,"",SUMIFS(tblDaily[TransfersOut],tblDaily[EntryDate],DATE(2026,4,1),tblDaily[WardCode],"BG")),"")</f>
        <v/>
      </c>
      <c r="H124" s="12">
        <f>IFERROR(IF(SUMIFS(tblDaily[Remaining],tblDaily[EntryDate],DATE(2026,4,1),tblDaily[WardCode],"BG")=0,"",SUMIFS(tblDaily[Remaining],tblDaily[EntryDate],DATE(2026,4,1),tblDaily[WardCode],"BG")),"")</f>
        <v/>
      </c>
    </row>
    <row r="125">
      <c r="A125" s="12" t="n">
        <v>2</v>
      </c>
      <c r="B125" s="12">
        <f>IFERROR(IF(SUMIFS(tblDaily[Admissions],tblDaily[EntryDate],DATE(2026,4,2),tblDaily[WardCode],"BG")=0,"",SUMIFS(tblDaily[Admissions],tblDaily[EntryDate],DATE(2026,4,2),tblDaily[WardCode],"BG")),"")</f>
        <v/>
      </c>
      <c r="C125" s="12">
        <f>IFERROR(IF(SUMIFS(tblDaily[Discharges],tblDaily[EntryDate],DATE(2026,4,2),tblDaily[WardCode],"BG")=0,"",SUMIFS(tblDaily[Discharges],tblDaily[EntryDate],DATE(2026,4,2),tblDaily[WardCode],"BG")),"")</f>
        <v/>
      </c>
      <c r="D125" s="12">
        <f>IFERROR(IF(SUMIFS(tblDaily[Deaths],tblDaily[EntryDate],DATE(2026,4,2),tblDaily[WardCode],"BG")=0,"",SUMIFS(tblDaily[Deaths],tblDaily[EntryDate],DATE(2026,4,2),tblDaily[WardCode],"BG")),"")</f>
        <v/>
      </c>
      <c r="E125" s="12">
        <f>IFERROR(IF(SUMIFS(tblDaily[DeathsUnder24Hrs],tblDaily[EntryDate],DATE(2026,4,2),tblDaily[WardCode],"BG")=0,"",SUMIFS(tblDaily[DeathsUnder24Hrs],tblDaily[EntryDate],DATE(2026,4,2),tblDaily[WardCode],"BG")),"")</f>
        <v/>
      </c>
      <c r="F125" s="12">
        <f>IFERROR(IF(SUMIFS(tblDaily[TransfersIn],tblDaily[EntryDate],DATE(2026,4,2),tblDaily[WardCode],"BG")=0,"",SUMIFS(tblDaily[TransfersIn],tblDaily[EntryDate],DATE(2026,4,2),tblDaily[WardCode],"BG")),"")</f>
        <v/>
      </c>
      <c r="G125" s="12">
        <f>IFERROR(IF(SUMIFS(tblDaily[TransfersOut],tblDaily[EntryDate],DATE(2026,4,2),tblDaily[WardCode],"BG")=0,"",SUMIFS(tblDaily[TransfersOut],tblDaily[EntryDate],DATE(2026,4,2),tblDaily[WardCode],"BG")),"")</f>
        <v/>
      </c>
      <c r="H125" s="12">
        <f>IFERROR(IF(SUMIFS(tblDaily[Remaining],tblDaily[EntryDate],DATE(2026,4,2),tblDaily[WardCode],"BG")=0,"",SUMIFS(tblDaily[Remaining],tblDaily[EntryDate],DATE(2026,4,2),tblDaily[WardCode],"BG")),"")</f>
        <v/>
      </c>
    </row>
    <row r="126">
      <c r="A126" s="12" t="n">
        <v>3</v>
      </c>
      <c r="B126" s="12">
        <f>IFERROR(IF(SUMIFS(tblDaily[Admissions],tblDaily[EntryDate],DATE(2026,4,3),tblDaily[WardCode],"BG")=0,"",SUMIFS(tblDaily[Admissions],tblDaily[EntryDate],DATE(2026,4,3),tblDaily[WardCode],"BG")),"")</f>
        <v/>
      </c>
      <c r="C126" s="12">
        <f>IFERROR(IF(SUMIFS(tblDaily[Discharges],tblDaily[EntryDate],DATE(2026,4,3),tblDaily[WardCode],"BG")=0,"",SUMIFS(tblDaily[Discharges],tblDaily[EntryDate],DATE(2026,4,3),tblDaily[WardCode],"BG")),"")</f>
        <v/>
      </c>
      <c r="D126" s="12">
        <f>IFERROR(IF(SUMIFS(tblDaily[Deaths],tblDaily[EntryDate],DATE(2026,4,3),tblDaily[WardCode],"BG")=0,"",SUMIFS(tblDaily[Deaths],tblDaily[EntryDate],DATE(2026,4,3),tblDaily[WardCode],"BG")),"")</f>
        <v/>
      </c>
      <c r="E126" s="12">
        <f>IFERROR(IF(SUMIFS(tblDaily[DeathsUnder24Hrs],tblDaily[EntryDate],DATE(2026,4,3),tblDaily[WardCode],"BG")=0,"",SUMIFS(tblDaily[DeathsUnder24Hrs],tblDaily[EntryDate],DATE(2026,4,3),tblDaily[WardCode],"BG")),"")</f>
        <v/>
      </c>
      <c r="F126" s="12">
        <f>IFERROR(IF(SUMIFS(tblDaily[TransfersIn],tblDaily[EntryDate],DATE(2026,4,3),tblDaily[WardCode],"BG")=0,"",SUMIFS(tblDaily[TransfersIn],tblDaily[EntryDate],DATE(2026,4,3),tblDaily[WardCode],"BG")),"")</f>
        <v/>
      </c>
      <c r="G126" s="12">
        <f>IFERROR(IF(SUMIFS(tblDaily[TransfersOut],tblDaily[EntryDate],DATE(2026,4,3),tblDaily[WardCode],"BG")=0,"",SUMIFS(tblDaily[TransfersOut],tblDaily[EntryDate],DATE(2026,4,3),tblDaily[WardCode],"BG")),"")</f>
        <v/>
      </c>
      <c r="H126" s="12">
        <f>IFERROR(IF(SUMIFS(tblDaily[Remaining],tblDaily[EntryDate],DATE(2026,4,3),tblDaily[WardCode],"BG")=0,"",SUMIFS(tblDaily[Remaining],tblDaily[EntryDate],DATE(2026,4,3),tblDaily[WardCode],"BG")),"")</f>
        <v/>
      </c>
    </row>
    <row r="127">
      <c r="A127" s="12" t="n">
        <v>4</v>
      </c>
      <c r="B127" s="12">
        <f>IFERROR(IF(SUMIFS(tblDaily[Admissions],tblDaily[EntryDate],DATE(2026,4,4),tblDaily[WardCode],"BG")=0,"",SUMIFS(tblDaily[Admissions],tblDaily[EntryDate],DATE(2026,4,4),tblDaily[WardCode],"BG")),"")</f>
        <v/>
      </c>
      <c r="C127" s="12">
        <f>IFERROR(IF(SUMIFS(tblDaily[Discharges],tblDaily[EntryDate],DATE(2026,4,4),tblDaily[WardCode],"BG")=0,"",SUMIFS(tblDaily[Discharges],tblDaily[EntryDate],DATE(2026,4,4),tblDaily[WardCode],"BG")),"")</f>
        <v/>
      </c>
      <c r="D127" s="12">
        <f>IFERROR(IF(SUMIFS(tblDaily[Deaths],tblDaily[EntryDate],DATE(2026,4,4),tblDaily[WardCode],"BG")=0,"",SUMIFS(tblDaily[Deaths],tblDaily[EntryDate],DATE(2026,4,4),tblDaily[WardCode],"BG")),"")</f>
        <v/>
      </c>
      <c r="E127" s="12">
        <f>IFERROR(IF(SUMIFS(tblDaily[DeathsUnder24Hrs],tblDaily[EntryDate],DATE(2026,4,4),tblDaily[WardCode],"BG")=0,"",SUMIFS(tblDaily[DeathsUnder24Hrs],tblDaily[EntryDate],DATE(2026,4,4),tblDaily[WardCode],"BG")),"")</f>
        <v/>
      </c>
      <c r="F127" s="12">
        <f>IFERROR(IF(SUMIFS(tblDaily[TransfersIn],tblDaily[EntryDate],DATE(2026,4,4),tblDaily[WardCode],"BG")=0,"",SUMIFS(tblDaily[TransfersIn],tblDaily[EntryDate],DATE(2026,4,4),tblDaily[WardCode],"BG")),"")</f>
        <v/>
      </c>
      <c r="G127" s="12">
        <f>IFERROR(IF(SUMIFS(tblDaily[TransfersOut],tblDaily[EntryDate],DATE(2026,4,4),tblDaily[WardCode],"BG")=0,"",SUMIFS(tblDaily[TransfersOut],tblDaily[EntryDate],DATE(2026,4,4),tblDaily[WardCode],"BG")),"")</f>
        <v/>
      </c>
      <c r="H127" s="12">
        <f>IFERROR(IF(SUMIFS(tblDaily[Remaining],tblDaily[EntryDate],DATE(2026,4,4),tblDaily[WardCode],"BG")=0,"",SUMIFS(tblDaily[Remaining],tblDaily[EntryDate],DATE(2026,4,4),tblDaily[WardCode],"BG")),"")</f>
        <v/>
      </c>
    </row>
    <row r="128">
      <c r="A128" s="12" t="n">
        <v>5</v>
      </c>
      <c r="B128" s="12">
        <f>IFERROR(IF(SUMIFS(tblDaily[Admissions],tblDaily[EntryDate],DATE(2026,4,5),tblDaily[WardCode],"BG")=0,"",SUMIFS(tblDaily[Admissions],tblDaily[EntryDate],DATE(2026,4,5),tblDaily[WardCode],"BG")),"")</f>
        <v/>
      </c>
      <c r="C128" s="12">
        <f>IFERROR(IF(SUMIFS(tblDaily[Discharges],tblDaily[EntryDate],DATE(2026,4,5),tblDaily[WardCode],"BG")=0,"",SUMIFS(tblDaily[Discharges],tblDaily[EntryDate],DATE(2026,4,5),tblDaily[WardCode],"BG")),"")</f>
        <v/>
      </c>
      <c r="D128" s="12">
        <f>IFERROR(IF(SUMIFS(tblDaily[Deaths],tblDaily[EntryDate],DATE(2026,4,5),tblDaily[WardCode],"BG")=0,"",SUMIFS(tblDaily[Deaths],tblDaily[EntryDate],DATE(2026,4,5),tblDaily[WardCode],"BG")),"")</f>
        <v/>
      </c>
      <c r="E128" s="12">
        <f>IFERROR(IF(SUMIFS(tblDaily[DeathsUnder24Hrs],tblDaily[EntryDate],DATE(2026,4,5),tblDaily[WardCode],"BG")=0,"",SUMIFS(tblDaily[DeathsUnder24Hrs],tblDaily[EntryDate],DATE(2026,4,5),tblDaily[WardCode],"BG")),"")</f>
        <v/>
      </c>
      <c r="F128" s="12">
        <f>IFERROR(IF(SUMIFS(tblDaily[TransfersIn],tblDaily[EntryDate],DATE(2026,4,5),tblDaily[WardCode],"BG")=0,"",SUMIFS(tblDaily[TransfersIn],tblDaily[EntryDate],DATE(2026,4,5),tblDaily[WardCode],"BG")),"")</f>
        <v/>
      </c>
      <c r="G128" s="12">
        <f>IFERROR(IF(SUMIFS(tblDaily[TransfersOut],tblDaily[EntryDate],DATE(2026,4,5),tblDaily[WardCode],"BG")=0,"",SUMIFS(tblDaily[TransfersOut],tblDaily[EntryDate],DATE(2026,4,5),tblDaily[WardCode],"BG")),"")</f>
        <v/>
      </c>
      <c r="H128" s="12">
        <f>IFERROR(IF(SUMIFS(tblDaily[Remaining],tblDaily[EntryDate],DATE(2026,4,5),tblDaily[WardCode],"BG")=0,"",SUMIFS(tblDaily[Remaining],tblDaily[EntryDate],DATE(2026,4,5),tblDaily[WardCode],"BG")),"")</f>
        <v/>
      </c>
    </row>
    <row r="129">
      <c r="A129" s="12" t="n">
        <v>6</v>
      </c>
      <c r="B129" s="12">
        <f>IFERROR(IF(SUMIFS(tblDaily[Admissions],tblDaily[EntryDate],DATE(2026,4,6),tblDaily[WardCode],"BG")=0,"",SUMIFS(tblDaily[Admissions],tblDaily[EntryDate],DATE(2026,4,6),tblDaily[WardCode],"BG")),"")</f>
        <v/>
      </c>
      <c r="C129" s="12">
        <f>IFERROR(IF(SUMIFS(tblDaily[Discharges],tblDaily[EntryDate],DATE(2026,4,6),tblDaily[WardCode],"BG")=0,"",SUMIFS(tblDaily[Discharges],tblDaily[EntryDate],DATE(2026,4,6),tblDaily[WardCode],"BG")),"")</f>
        <v/>
      </c>
      <c r="D129" s="12">
        <f>IFERROR(IF(SUMIFS(tblDaily[Deaths],tblDaily[EntryDate],DATE(2026,4,6),tblDaily[WardCode],"BG")=0,"",SUMIFS(tblDaily[Deaths],tblDaily[EntryDate],DATE(2026,4,6),tblDaily[WardCode],"BG")),"")</f>
        <v/>
      </c>
      <c r="E129" s="12">
        <f>IFERROR(IF(SUMIFS(tblDaily[DeathsUnder24Hrs],tblDaily[EntryDate],DATE(2026,4,6),tblDaily[WardCode],"BG")=0,"",SUMIFS(tblDaily[DeathsUnder24Hrs],tblDaily[EntryDate],DATE(2026,4,6),tblDaily[WardCode],"BG")),"")</f>
        <v/>
      </c>
      <c r="F129" s="12">
        <f>IFERROR(IF(SUMIFS(tblDaily[TransfersIn],tblDaily[EntryDate],DATE(2026,4,6),tblDaily[WardCode],"BG")=0,"",SUMIFS(tblDaily[TransfersIn],tblDaily[EntryDate],DATE(2026,4,6),tblDaily[WardCode],"BG")),"")</f>
        <v/>
      </c>
      <c r="G129" s="12">
        <f>IFERROR(IF(SUMIFS(tblDaily[TransfersOut],tblDaily[EntryDate],DATE(2026,4,6),tblDaily[WardCode],"BG")=0,"",SUMIFS(tblDaily[TransfersOut],tblDaily[EntryDate],DATE(2026,4,6),tblDaily[WardCode],"BG")),"")</f>
        <v/>
      </c>
      <c r="H129" s="12">
        <f>IFERROR(IF(SUMIFS(tblDaily[Remaining],tblDaily[EntryDate],DATE(2026,4,6),tblDaily[WardCode],"BG")=0,"",SUMIFS(tblDaily[Remaining],tblDaily[EntryDate],DATE(2026,4,6),tblDaily[WardCode],"BG")),"")</f>
        <v/>
      </c>
    </row>
    <row r="130">
      <c r="A130" s="12" t="n">
        <v>7</v>
      </c>
      <c r="B130" s="12">
        <f>IFERROR(IF(SUMIFS(tblDaily[Admissions],tblDaily[EntryDate],DATE(2026,4,7),tblDaily[WardCode],"BG")=0,"",SUMIFS(tblDaily[Admissions],tblDaily[EntryDate],DATE(2026,4,7),tblDaily[WardCode],"BG")),"")</f>
        <v/>
      </c>
      <c r="C130" s="12">
        <f>IFERROR(IF(SUMIFS(tblDaily[Discharges],tblDaily[EntryDate],DATE(2026,4,7),tblDaily[WardCode],"BG")=0,"",SUMIFS(tblDaily[Discharges],tblDaily[EntryDate],DATE(2026,4,7),tblDaily[WardCode],"BG")),"")</f>
        <v/>
      </c>
      <c r="D130" s="12">
        <f>IFERROR(IF(SUMIFS(tblDaily[Deaths],tblDaily[EntryDate],DATE(2026,4,7),tblDaily[WardCode],"BG")=0,"",SUMIFS(tblDaily[Deaths],tblDaily[EntryDate],DATE(2026,4,7),tblDaily[WardCode],"BG")),"")</f>
        <v/>
      </c>
      <c r="E130" s="12">
        <f>IFERROR(IF(SUMIFS(tblDaily[DeathsUnder24Hrs],tblDaily[EntryDate],DATE(2026,4,7),tblDaily[WardCode],"BG")=0,"",SUMIFS(tblDaily[DeathsUnder24Hrs],tblDaily[EntryDate],DATE(2026,4,7),tblDaily[WardCode],"BG")),"")</f>
        <v/>
      </c>
      <c r="F130" s="12">
        <f>IFERROR(IF(SUMIFS(tblDaily[TransfersIn],tblDaily[EntryDate],DATE(2026,4,7),tblDaily[WardCode],"BG")=0,"",SUMIFS(tblDaily[TransfersIn],tblDaily[EntryDate],DATE(2026,4,7),tblDaily[WardCode],"BG")),"")</f>
        <v/>
      </c>
      <c r="G130" s="12">
        <f>IFERROR(IF(SUMIFS(tblDaily[TransfersOut],tblDaily[EntryDate],DATE(2026,4,7),tblDaily[WardCode],"BG")=0,"",SUMIFS(tblDaily[TransfersOut],tblDaily[EntryDate],DATE(2026,4,7),tblDaily[WardCode],"BG")),"")</f>
        <v/>
      </c>
      <c r="H130" s="12">
        <f>IFERROR(IF(SUMIFS(tblDaily[Remaining],tblDaily[EntryDate],DATE(2026,4,7),tblDaily[WardCode],"BG")=0,"",SUMIFS(tblDaily[Remaining],tblDaily[EntryDate],DATE(2026,4,7),tblDaily[WardCode],"BG")),"")</f>
        <v/>
      </c>
    </row>
    <row r="131">
      <c r="A131" s="12" t="n">
        <v>8</v>
      </c>
      <c r="B131" s="12">
        <f>IFERROR(IF(SUMIFS(tblDaily[Admissions],tblDaily[EntryDate],DATE(2026,4,8),tblDaily[WardCode],"BG")=0,"",SUMIFS(tblDaily[Admissions],tblDaily[EntryDate],DATE(2026,4,8),tblDaily[WardCode],"BG")),"")</f>
        <v/>
      </c>
      <c r="C131" s="12">
        <f>IFERROR(IF(SUMIFS(tblDaily[Discharges],tblDaily[EntryDate],DATE(2026,4,8),tblDaily[WardCode],"BG")=0,"",SUMIFS(tblDaily[Discharges],tblDaily[EntryDate],DATE(2026,4,8),tblDaily[WardCode],"BG")),"")</f>
        <v/>
      </c>
      <c r="D131" s="12">
        <f>IFERROR(IF(SUMIFS(tblDaily[Deaths],tblDaily[EntryDate],DATE(2026,4,8),tblDaily[WardCode],"BG")=0,"",SUMIFS(tblDaily[Deaths],tblDaily[EntryDate],DATE(2026,4,8),tblDaily[WardCode],"BG")),"")</f>
        <v/>
      </c>
      <c r="E131" s="12">
        <f>IFERROR(IF(SUMIFS(tblDaily[DeathsUnder24Hrs],tblDaily[EntryDate],DATE(2026,4,8),tblDaily[WardCode],"BG")=0,"",SUMIFS(tblDaily[DeathsUnder24Hrs],tblDaily[EntryDate],DATE(2026,4,8),tblDaily[WardCode],"BG")),"")</f>
        <v/>
      </c>
      <c r="F131" s="12">
        <f>IFERROR(IF(SUMIFS(tblDaily[TransfersIn],tblDaily[EntryDate],DATE(2026,4,8),tblDaily[WardCode],"BG")=0,"",SUMIFS(tblDaily[TransfersIn],tblDaily[EntryDate],DATE(2026,4,8),tblDaily[WardCode],"BG")),"")</f>
        <v/>
      </c>
      <c r="G131" s="12">
        <f>IFERROR(IF(SUMIFS(tblDaily[TransfersOut],tblDaily[EntryDate],DATE(2026,4,8),tblDaily[WardCode],"BG")=0,"",SUMIFS(tblDaily[TransfersOut],tblDaily[EntryDate],DATE(2026,4,8),tblDaily[WardCode],"BG")),"")</f>
        <v/>
      </c>
      <c r="H131" s="12">
        <f>IFERROR(IF(SUMIFS(tblDaily[Remaining],tblDaily[EntryDate],DATE(2026,4,8),tblDaily[WardCode],"BG")=0,"",SUMIFS(tblDaily[Remaining],tblDaily[EntryDate],DATE(2026,4,8),tblDaily[WardCode],"BG")),"")</f>
        <v/>
      </c>
    </row>
    <row r="132">
      <c r="A132" s="12" t="n">
        <v>9</v>
      </c>
      <c r="B132" s="12">
        <f>IFERROR(IF(SUMIFS(tblDaily[Admissions],tblDaily[EntryDate],DATE(2026,4,9),tblDaily[WardCode],"BG")=0,"",SUMIFS(tblDaily[Admissions],tblDaily[EntryDate],DATE(2026,4,9),tblDaily[WardCode],"BG")),"")</f>
        <v/>
      </c>
      <c r="C132" s="12">
        <f>IFERROR(IF(SUMIFS(tblDaily[Discharges],tblDaily[EntryDate],DATE(2026,4,9),tblDaily[WardCode],"BG")=0,"",SUMIFS(tblDaily[Discharges],tblDaily[EntryDate],DATE(2026,4,9),tblDaily[WardCode],"BG")),"")</f>
        <v/>
      </c>
      <c r="D132" s="12">
        <f>IFERROR(IF(SUMIFS(tblDaily[Deaths],tblDaily[EntryDate],DATE(2026,4,9),tblDaily[WardCode],"BG")=0,"",SUMIFS(tblDaily[Deaths],tblDaily[EntryDate],DATE(2026,4,9),tblDaily[WardCode],"BG")),"")</f>
        <v/>
      </c>
      <c r="E132" s="12">
        <f>IFERROR(IF(SUMIFS(tblDaily[DeathsUnder24Hrs],tblDaily[EntryDate],DATE(2026,4,9),tblDaily[WardCode],"BG")=0,"",SUMIFS(tblDaily[DeathsUnder24Hrs],tblDaily[EntryDate],DATE(2026,4,9),tblDaily[WardCode],"BG")),"")</f>
        <v/>
      </c>
      <c r="F132" s="12">
        <f>IFERROR(IF(SUMIFS(tblDaily[TransfersIn],tblDaily[EntryDate],DATE(2026,4,9),tblDaily[WardCode],"BG")=0,"",SUMIFS(tblDaily[TransfersIn],tblDaily[EntryDate],DATE(2026,4,9),tblDaily[WardCode],"BG")),"")</f>
        <v/>
      </c>
      <c r="G132" s="12">
        <f>IFERROR(IF(SUMIFS(tblDaily[TransfersOut],tblDaily[EntryDate],DATE(2026,4,9),tblDaily[WardCode],"BG")=0,"",SUMIFS(tblDaily[TransfersOut],tblDaily[EntryDate],DATE(2026,4,9),tblDaily[WardCode],"BG")),"")</f>
        <v/>
      </c>
      <c r="H132" s="12">
        <f>IFERROR(IF(SUMIFS(tblDaily[Remaining],tblDaily[EntryDate],DATE(2026,4,9),tblDaily[WardCode],"BG")=0,"",SUMIFS(tblDaily[Remaining],tblDaily[EntryDate],DATE(2026,4,9),tblDaily[WardCode],"BG")),"")</f>
        <v/>
      </c>
    </row>
    <row r="133">
      <c r="A133" s="12" t="n">
        <v>10</v>
      </c>
      <c r="B133" s="12">
        <f>IFERROR(IF(SUMIFS(tblDaily[Admissions],tblDaily[EntryDate],DATE(2026,4,10),tblDaily[WardCode],"BG")=0,"",SUMIFS(tblDaily[Admissions],tblDaily[EntryDate],DATE(2026,4,10),tblDaily[WardCode],"BG")),"")</f>
        <v/>
      </c>
      <c r="C133" s="12">
        <f>IFERROR(IF(SUMIFS(tblDaily[Discharges],tblDaily[EntryDate],DATE(2026,4,10),tblDaily[WardCode],"BG")=0,"",SUMIFS(tblDaily[Discharges],tblDaily[EntryDate],DATE(2026,4,10),tblDaily[WardCode],"BG")),"")</f>
        <v/>
      </c>
      <c r="D133" s="12">
        <f>IFERROR(IF(SUMIFS(tblDaily[Deaths],tblDaily[EntryDate],DATE(2026,4,10),tblDaily[WardCode],"BG")=0,"",SUMIFS(tblDaily[Deaths],tblDaily[EntryDate],DATE(2026,4,10),tblDaily[WardCode],"BG")),"")</f>
        <v/>
      </c>
      <c r="E133" s="12">
        <f>IFERROR(IF(SUMIFS(tblDaily[DeathsUnder24Hrs],tblDaily[EntryDate],DATE(2026,4,10),tblDaily[WardCode],"BG")=0,"",SUMIFS(tblDaily[DeathsUnder24Hrs],tblDaily[EntryDate],DATE(2026,4,10),tblDaily[WardCode],"BG")),"")</f>
        <v/>
      </c>
      <c r="F133" s="12">
        <f>IFERROR(IF(SUMIFS(tblDaily[TransfersIn],tblDaily[EntryDate],DATE(2026,4,10),tblDaily[WardCode],"BG")=0,"",SUMIFS(tblDaily[TransfersIn],tblDaily[EntryDate],DATE(2026,4,10),tblDaily[WardCode],"BG")),"")</f>
        <v/>
      </c>
      <c r="G133" s="12">
        <f>IFERROR(IF(SUMIFS(tblDaily[TransfersOut],tblDaily[EntryDate],DATE(2026,4,10),tblDaily[WardCode],"BG")=0,"",SUMIFS(tblDaily[TransfersOut],tblDaily[EntryDate],DATE(2026,4,10),tblDaily[WardCode],"BG")),"")</f>
        <v/>
      </c>
      <c r="H133" s="12">
        <f>IFERROR(IF(SUMIFS(tblDaily[Remaining],tblDaily[EntryDate],DATE(2026,4,10),tblDaily[WardCode],"BG")=0,"",SUMIFS(tblDaily[Remaining],tblDaily[EntryDate],DATE(2026,4,10),tblDaily[WardCode],"BG")),"")</f>
        <v/>
      </c>
    </row>
    <row r="134">
      <c r="A134" s="12" t="n">
        <v>11</v>
      </c>
      <c r="B134" s="12">
        <f>IFERROR(IF(SUMIFS(tblDaily[Admissions],tblDaily[EntryDate],DATE(2026,4,11),tblDaily[WardCode],"BG")=0,"",SUMIFS(tblDaily[Admissions],tblDaily[EntryDate],DATE(2026,4,11),tblDaily[WardCode],"BG")),"")</f>
        <v/>
      </c>
      <c r="C134" s="12">
        <f>IFERROR(IF(SUMIFS(tblDaily[Discharges],tblDaily[EntryDate],DATE(2026,4,11),tblDaily[WardCode],"BG")=0,"",SUMIFS(tblDaily[Discharges],tblDaily[EntryDate],DATE(2026,4,11),tblDaily[WardCode],"BG")),"")</f>
        <v/>
      </c>
      <c r="D134" s="12">
        <f>IFERROR(IF(SUMIFS(tblDaily[Deaths],tblDaily[EntryDate],DATE(2026,4,11),tblDaily[WardCode],"BG")=0,"",SUMIFS(tblDaily[Deaths],tblDaily[EntryDate],DATE(2026,4,11),tblDaily[WardCode],"BG")),"")</f>
        <v/>
      </c>
      <c r="E134" s="12">
        <f>IFERROR(IF(SUMIFS(tblDaily[DeathsUnder24Hrs],tblDaily[EntryDate],DATE(2026,4,11),tblDaily[WardCode],"BG")=0,"",SUMIFS(tblDaily[DeathsUnder24Hrs],tblDaily[EntryDate],DATE(2026,4,11),tblDaily[WardCode],"BG")),"")</f>
        <v/>
      </c>
      <c r="F134" s="12">
        <f>IFERROR(IF(SUMIFS(tblDaily[TransfersIn],tblDaily[EntryDate],DATE(2026,4,11),tblDaily[WardCode],"BG")=0,"",SUMIFS(tblDaily[TransfersIn],tblDaily[EntryDate],DATE(2026,4,11),tblDaily[WardCode],"BG")),"")</f>
        <v/>
      </c>
      <c r="G134" s="12">
        <f>IFERROR(IF(SUMIFS(tblDaily[TransfersOut],tblDaily[EntryDate],DATE(2026,4,11),tblDaily[WardCode],"BG")=0,"",SUMIFS(tblDaily[TransfersOut],tblDaily[EntryDate],DATE(2026,4,11),tblDaily[WardCode],"BG")),"")</f>
        <v/>
      </c>
      <c r="H134" s="12">
        <f>IFERROR(IF(SUMIFS(tblDaily[Remaining],tblDaily[EntryDate],DATE(2026,4,11),tblDaily[WardCode],"BG")=0,"",SUMIFS(tblDaily[Remaining],tblDaily[EntryDate],DATE(2026,4,11),tblDaily[WardCode],"BG")),"")</f>
        <v/>
      </c>
    </row>
    <row r="135">
      <c r="A135" s="12" t="n">
        <v>12</v>
      </c>
      <c r="B135" s="12">
        <f>IFERROR(IF(SUMIFS(tblDaily[Admissions],tblDaily[EntryDate],DATE(2026,4,12),tblDaily[WardCode],"BG")=0,"",SUMIFS(tblDaily[Admissions],tblDaily[EntryDate],DATE(2026,4,12),tblDaily[WardCode],"BG")),"")</f>
        <v/>
      </c>
      <c r="C135" s="12">
        <f>IFERROR(IF(SUMIFS(tblDaily[Discharges],tblDaily[EntryDate],DATE(2026,4,12),tblDaily[WardCode],"BG")=0,"",SUMIFS(tblDaily[Discharges],tblDaily[EntryDate],DATE(2026,4,12),tblDaily[WardCode],"BG")),"")</f>
        <v/>
      </c>
      <c r="D135" s="12">
        <f>IFERROR(IF(SUMIFS(tblDaily[Deaths],tblDaily[EntryDate],DATE(2026,4,12),tblDaily[WardCode],"BG")=0,"",SUMIFS(tblDaily[Deaths],tblDaily[EntryDate],DATE(2026,4,12),tblDaily[WardCode],"BG")),"")</f>
        <v/>
      </c>
      <c r="E135" s="12">
        <f>IFERROR(IF(SUMIFS(tblDaily[DeathsUnder24Hrs],tblDaily[EntryDate],DATE(2026,4,12),tblDaily[WardCode],"BG")=0,"",SUMIFS(tblDaily[DeathsUnder24Hrs],tblDaily[EntryDate],DATE(2026,4,12),tblDaily[WardCode],"BG")),"")</f>
        <v/>
      </c>
      <c r="F135" s="12">
        <f>IFERROR(IF(SUMIFS(tblDaily[TransfersIn],tblDaily[EntryDate],DATE(2026,4,12),tblDaily[WardCode],"BG")=0,"",SUMIFS(tblDaily[TransfersIn],tblDaily[EntryDate],DATE(2026,4,12),tblDaily[WardCode],"BG")),"")</f>
        <v/>
      </c>
      <c r="G135" s="12">
        <f>IFERROR(IF(SUMIFS(tblDaily[TransfersOut],tblDaily[EntryDate],DATE(2026,4,12),tblDaily[WardCode],"BG")=0,"",SUMIFS(tblDaily[TransfersOut],tblDaily[EntryDate],DATE(2026,4,12),tblDaily[WardCode],"BG")),"")</f>
        <v/>
      </c>
      <c r="H135" s="12">
        <f>IFERROR(IF(SUMIFS(tblDaily[Remaining],tblDaily[EntryDate],DATE(2026,4,12),tblDaily[WardCode],"BG")=0,"",SUMIFS(tblDaily[Remaining],tblDaily[EntryDate],DATE(2026,4,12),tblDaily[WardCode],"BG")),"")</f>
        <v/>
      </c>
    </row>
    <row r="136">
      <c r="A136" s="12" t="n">
        <v>13</v>
      </c>
      <c r="B136" s="12">
        <f>IFERROR(IF(SUMIFS(tblDaily[Admissions],tblDaily[EntryDate],DATE(2026,4,13),tblDaily[WardCode],"BG")=0,"",SUMIFS(tblDaily[Admissions],tblDaily[EntryDate],DATE(2026,4,13),tblDaily[WardCode],"BG")),"")</f>
        <v/>
      </c>
      <c r="C136" s="12">
        <f>IFERROR(IF(SUMIFS(tblDaily[Discharges],tblDaily[EntryDate],DATE(2026,4,13),tblDaily[WardCode],"BG")=0,"",SUMIFS(tblDaily[Discharges],tblDaily[EntryDate],DATE(2026,4,13),tblDaily[WardCode],"BG")),"")</f>
        <v/>
      </c>
      <c r="D136" s="12">
        <f>IFERROR(IF(SUMIFS(tblDaily[Deaths],tblDaily[EntryDate],DATE(2026,4,13),tblDaily[WardCode],"BG")=0,"",SUMIFS(tblDaily[Deaths],tblDaily[EntryDate],DATE(2026,4,13),tblDaily[WardCode],"BG")),"")</f>
        <v/>
      </c>
      <c r="E136" s="12">
        <f>IFERROR(IF(SUMIFS(tblDaily[DeathsUnder24Hrs],tblDaily[EntryDate],DATE(2026,4,13),tblDaily[WardCode],"BG")=0,"",SUMIFS(tblDaily[DeathsUnder24Hrs],tblDaily[EntryDate],DATE(2026,4,13),tblDaily[WardCode],"BG")),"")</f>
        <v/>
      </c>
      <c r="F136" s="12">
        <f>IFERROR(IF(SUMIFS(tblDaily[TransfersIn],tblDaily[EntryDate],DATE(2026,4,13),tblDaily[WardCode],"BG")=0,"",SUMIFS(tblDaily[TransfersIn],tblDaily[EntryDate],DATE(2026,4,13),tblDaily[WardCode],"BG")),"")</f>
        <v/>
      </c>
      <c r="G136" s="12">
        <f>IFERROR(IF(SUMIFS(tblDaily[TransfersOut],tblDaily[EntryDate],DATE(2026,4,13),tblDaily[WardCode],"BG")=0,"",SUMIFS(tblDaily[TransfersOut],tblDaily[EntryDate],DATE(2026,4,13),tblDaily[WardCode],"BG")),"")</f>
        <v/>
      </c>
      <c r="H136" s="12">
        <f>IFERROR(IF(SUMIFS(tblDaily[Remaining],tblDaily[EntryDate],DATE(2026,4,13),tblDaily[WardCode],"BG")=0,"",SUMIFS(tblDaily[Remaining],tblDaily[EntryDate],DATE(2026,4,13),tblDaily[WardCode],"BG")),"")</f>
        <v/>
      </c>
    </row>
    <row r="137">
      <c r="A137" s="12" t="n">
        <v>14</v>
      </c>
      <c r="B137" s="12">
        <f>IFERROR(IF(SUMIFS(tblDaily[Admissions],tblDaily[EntryDate],DATE(2026,4,14),tblDaily[WardCode],"BG")=0,"",SUMIFS(tblDaily[Admissions],tblDaily[EntryDate],DATE(2026,4,14),tblDaily[WardCode],"BG")),"")</f>
        <v/>
      </c>
      <c r="C137" s="12">
        <f>IFERROR(IF(SUMIFS(tblDaily[Discharges],tblDaily[EntryDate],DATE(2026,4,14),tblDaily[WardCode],"BG")=0,"",SUMIFS(tblDaily[Discharges],tblDaily[EntryDate],DATE(2026,4,14),tblDaily[WardCode],"BG")),"")</f>
        <v/>
      </c>
      <c r="D137" s="12">
        <f>IFERROR(IF(SUMIFS(tblDaily[Deaths],tblDaily[EntryDate],DATE(2026,4,14),tblDaily[WardCode],"BG")=0,"",SUMIFS(tblDaily[Deaths],tblDaily[EntryDate],DATE(2026,4,14),tblDaily[WardCode],"BG")),"")</f>
        <v/>
      </c>
      <c r="E137" s="12">
        <f>IFERROR(IF(SUMIFS(tblDaily[DeathsUnder24Hrs],tblDaily[EntryDate],DATE(2026,4,14),tblDaily[WardCode],"BG")=0,"",SUMIFS(tblDaily[DeathsUnder24Hrs],tblDaily[EntryDate],DATE(2026,4,14),tblDaily[WardCode],"BG")),"")</f>
        <v/>
      </c>
      <c r="F137" s="12">
        <f>IFERROR(IF(SUMIFS(tblDaily[TransfersIn],tblDaily[EntryDate],DATE(2026,4,14),tblDaily[WardCode],"BG")=0,"",SUMIFS(tblDaily[TransfersIn],tblDaily[EntryDate],DATE(2026,4,14),tblDaily[WardCode],"BG")),"")</f>
        <v/>
      </c>
      <c r="G137" s="12">
        <f>IFERROR(IF(SUMIFS(tblDaily[TransfersOut],tblDaily[EntryDate],DATE(2026,4,14),tblDaily[WardCode],"BG")=0,"",SUMIFS(tblDaily[TransfersOut],tblDaily[EntryDate],DATE(2026,4,14),tblDaily[WardCode],"BG")),"")</f>
        <v/>
      </c>
      <c r="H137" s="12">
        <f>IFERROR(IF(SUMIFS(tblDaily[Remaining],tblDaily[EntryDate],DATE(2026,4,14),tblDaily[WardCode],"BG")=0,"",SUMIFS(tblDaily[Remaining],tblDaily[EntryDate],DATE(2026,4,14),tblDaily[WardCode],"BG")),"")</f>
        <v/>
      </c>
    </row>
    <row r="138">
      <c r="A138" s="12" t="n">
        <v>15</v>
      </c>
      <c r="B138" s="12">
        <f>IFERROR(IF(SUMIFS(tblDaily[Admissions],tblDaily[EntryDate],DATE(2026,4,15),tblDaily[WardCode],"BG")=0,"",SUMIFS(tblDaily[Admissions],tblDaily[EntryDate],DATE(2026,4,15),tblDaily[WardCode],"BG")),"")</f>
        <v/>
      </c>
      <c r="C138" s="12">
        <f>IFERROR(IF(SUMIFS(tblDaily[Discharges],tblDaily[EntryDate],DATE(2026,4,15),tblDaily[WardCode],"BG")=0,"",SUMIFS(tblDaily[Discharges],tblDaily[EntryDate],DATE(2026,4,15),tblDaily[WardCode],"BG")),"")</f>
        <v/>
      </c>
      <c r="D138" s="12">
        <f>IFERROR(IF(SUMIFS(tblDaily[Deaths],tblDaily[EntryDate],DATE(2026,4,15),tblDaily[WardCode],"BG")=0,"",SUMIFS(tblDaily[Deaths],tblDaily[EntryDate],DATE(2026,4,15),tblDaily[WardCode],"BG")),"")</f>
        <v/>
      </c>
      <c r="E138" s="12">
        <f>IFERROR(IF(SUMIFS(tblDaily[DeathsUnder24Hrs],tblDaily[EntryDate],DATE(2026,4,15),tblDaily[WardCode],"BG")=0,"",SUMIFS(tblDaily[DeathsUnder24Hrs],tblDaily[EntryDate],DATE(2026,4,15),tblDaily[WardCode],"BG")),"")</f>
        <v/>
      </c>
      <c r="F138" s="12">
        <f>IFERROR(IF(SUMIFS(tblDaily[TransfersIn],tblDaily[EntryDate],DATE(2026,4,15),tblDaily[WardCode],"BG")=0,"",SUMIFS(tblDaily[TransfersIn],tblDaily[EntryDate],DATE(2026,4,15),tblDaily[WardCode],"BG")),"")</f>
        <v/>
      </c>
      <c r="G138" s="12">
        <f>IFERROR(IF(SUMIFS(tblDaily[TransfersOut],tblDaily[EntryDate],DATE(2026,4,15),tblDaily[WardCode],"BG")=0,"",SUMIFS(tblDaily[TransfersOut],tblDaily[EntryDate],DATE(2026,4,15),tblDaily[WardCode],"BG")),"")</f>
        <v/>
      </c>
      <c r="H138" s="12">
        <f>IFERROR(IF(SUMIFS(tblDaily[Remaining],tblDaily[EntryDate],DATE(2026,4,15),tblDaily[WardCode],"BG")=0,"",SUMIFS(tblDaily[Remaining],tblDaily[EntryDate],DATE(2026,4,15),tblDaily[WardCode],"BG")),"")</f>
        <v/>
      </c>
    </row>
    <row r="139">
      <c r="A139" s="12" t="n">
        <v>16</v>
      </c>
      <c r="B139" s="12">
        <f>IFERROR(IF(SUMIFS(tblDaily[Admissions],tblDaily[EntryDate],DATE(2026,4,16),tblDaily[WardCode],"BG")=0,"",SUMIFS(tblDaily[Admissions],tblDaily[EntryDate],DATE(2026,4,16),tblDaily[WardCode],"BG")),"")</f>
        <v/>
      </c>
      <c r="C139" s="12">
        <f>IFERROR(IF(SUMIFS(tblDaily[Discharges],tblDaily[EntryDate],DATE(2026,4,16),tblDaily[WardCode],"BG")=0,"",SUMIFS(tblDaily[Discharges],tblDaily[EntryDate],DATE(2026,4,16),tblDaily[WardCode],"BG")),"")</f>
        <v/>
      </c>
      <c r="D139" s="12">
        <f>IFERROR(IF(SUMIFS(tblDaily[Deaths],tblDaily[EntryDate],DATE(2026,4,16),tblDaily[WardCode],"BG")=0,"",SUMIFS(tblDaily[Deaths],tblDaily[EntryDate],DATE(2026,4,16),tblDaily[WardCode],"BG")),"")</f>
        <v/>
      </c>
      <c r="E139" s="12">
        <f>IFERROR(IF(SUMIFS(tblDaily[DeathsUnder24Hrs],tblDaily[EntryDate],DATE(2026,4,16),tblDaily[WardCode],"BG")=0,"",SUMIFS(tblDaily[DeathsUnder24Hrs],tblDaily[EntryDate],DATE(2026,4,16),tblDaily[WardCode],"BG")),"")</f>
        <v/>
      </c>
      <c r="F139" s="12">
        <f>IFERROR(IF(SUMIFS(tblDaily[TransfersIn],tblDaily[EntryDate],DATE(2026,4,16),tblDaily[WardCode],"BG")=0,"",SUMIFS(tblDaily[TransfersIn],tblDaily[EntryDate],DATE(2026,4,16),tblDaily[WardCode],"BG")),"")</f>
        <v/>
      </c>
      <c r="G139" s="12">
        <f>IFERROR(IF(SUMIFS(tblDaily[TransfersOut],tblDaily[EntryDate],DATE(2026,4,16),tblDaily[WardCode],"BG")=0,"",SUMIFS(tblDaily[TransfersOut],tblDaily[EntryDate],DATE(2026,4,16),tblDaily[WardCode],"BG")),"")</f>
        <v/>
      </c>
      <c r="H139" s="12">
        <f>IFERROR(IF(SUMIFS(tblDaily[Remaining],tblDaily[EntryDate],DATE(2026,4,16),tblDaily[WardCode],"BG")=0,"",SUMIFS(tblDaily[Remaining],tblDaily[EntryDate],DATE(2026,4,16),tblDaily[WardCode],"BG")),"")</f>
        <v/>
      </c>
    </row>
    <row r="140">
      <c r="A140" s="12" t="n">
        <v>17</v>
      </c>
      <c r="B140" s="12">
        <f>IFERROR(IF(SUMIFS(tblDaily[Admissions],tblDaily[EntryDate],DATE(2026,4,17),tblDaily[WardCode],"BG")=0,"",SUMIFS(tblDaily[Admissions],tblDaily[EntryDate],DATE(2026,4,17),tblDaily[WardCode],"BG")),"")</f>
        <v/>
      </c>
      <c r="C140" s="12">
        <f>IFERROR(IF(SUMIFS(tblDaily[Discharges],tblDaily[EntryDate],DATE(2026,4,17),tblDaily[WardCode],"BG")=0,"",SUMIFS(tblDaily[Discharges],tblDaily[EntryDate],DATE(2026,4,17),tblDaily[WardCode],"BG")),"")</f>
        <v/>
      </c>
      <c r="D140" s="12">
        <f>IFERROR(IF(SUMIFS(tblDaily[Deaths],tblDaily[EntryDate],DATE(2026,4,17),tblDaily[WardCode],"BG")=0,"",SUMIFS(tblDaily[Deaths],tblDaily[EntryDate],DATE(2026,4,17),tblDaily[WardCode],"BG")),"")</f>
        <v/>
      </c>
      <c r="E140" s="12">
        <f>IFERROR(IF(SUMIFS(tblDaily[DeathsUnder24Hrs],tblDaily[EntryDate],DATE(2026,4,17),tblDaily[WardCode],"BG")=0,"",SUMIFS(tblDaily[DeathsUnder24Hrs],tblDaily[EntryDate],DATE(2026,4,17),tblDaily[WardCode],"BG")),"")</f>
        <v/>
      </c>
      <c r="F140" s="12">
        <f>IFERROR(IF(SUMIFS(tblDaily[TransfersIn],tblDaily[EntryDate],DATE(2026,4,17),tblDaily[WardCode],"BG")=0,"",SUMIFS(tblDaily[TransfersIn],tblDaily[EntryDate],DATE(2026,4,17),tblDaily[WardCode],"BG")),"")</f>
        <v/>
      </c>
      <c r="G140" s="12">
        <f>IFERROR(IF(SUMIFS(tblDaily[TransfersOut],tblDaily[EntryDate],DATE(2026,4,17),tblDaily[WardCode],"BG")=0,"",SUMIFS(tblDaily[TransfersOut],tblDaily[EntryDate],DATE(2026,4,17),tblDaily[WardCode],"BG")),"")</f>
        <v/>
      </c>
      <c r="H140" s="12">
        <f>IFERROR(IF(SUMIFS(tblDaily[Remaining],tblDaily[EntryDate],DATE(2026,4,17),tblDaily[WardCode],"BG")=0,"",SUMIFS(tblDaily[Remaining],tblDaily[EntryDate],DATE(2026,4,17),tblDaily[WardCode],"BG")),"")</f>
        <v/>
      </c>
    </row>
    <row r="141">
      <c r="A141" s="12" t="n">
        <v>18</v>
      </c>
      <c r="B141" s="12">
        <f>IFERROR(IF(SUMIFS(tblDaily[Admissions],tblDaily[EntryDate],DATE(2026,4,18),tblDaily[WardCode],"BG")=0,"",SUMIFS(tblDaily[Admissions],tblDaily[EntryDate],DATE(2026,4,18),tblDaily[WardCode],"BG")),"")</f>
        <v/>
      </c>
      <c r="C141" s="12">
        <f>IFERROR(IF(SUMIFS(tblDaily[Discharges],tblDaily[EntryDate],DATE(2026,4,18),tblDaily[WardCode],"BG")=0,"",SUMIFS(tblDaily[Discharges],tblDaily[EntryDate],DATE(2026,4,18),tblDaily[WardCode],"BG")),"")</f>
        <v/>
      </c>
      <c r="D141" s="12">
        <f>IFERROR(IF(SUMIFS(tblDaily[Deaths],tblDaily[EntryDate],DATE(2026,4,18),tblDaily[WardCode],"BG")=0,"",SUMIFS(tblDaily[Deaths],tblDaily[EntryDate],DATE(2026,4,18),tblDaily[WardCode],"BG")),"")</f>
        <v/>
      </c>
      <c r="E141" s="12">
        <f>IFERROR(IF(SUMIFS(tblDaily[DeathsUnder24Hrs],tblDaily[EntryDate],DATE(2026,4,18),tblDaily[WardCode],"BG")=0,"",SUMIFS(tblDaily[DeathsUnder24Hrs],tblDaily[EntryDate],DATE(2026,4,18),tblDaily[WardCode],"BG")),"")</f>
        <v/>
      </c>
      <c r="F141" s="12">
        <f>IFERROR(IF(SUMIFS(tblDaily[TransfersIn],tblDaily[EntryDate],DATE(2026,4,18),tblDaily[WardCode],"BG")=0,"",SUMIFS(tblDaily[TransfersIn],tblDaily[EntryDate],DATE(2026,4,18),tblDaily[WardCode],"BG")),"")</f>
        <v/>
      </c>
      <c r="G141" s="12">
        <f>IFERROR(IF(SUMIFS(tblDaily[TransfersOut],tblDaily[EntryDate],DATE(2026,4,18),tblDaily[WardCode],"BG")=0,"",SUMIFS(tblDaily[TransfersOut],tblDaily[EntryDate],DATE(2026,4,18),tblDaily[WardCode],"BG")),"")</f>
        <v/>
      </c>
      <c r="H141" s="12">
        <f>IFERROR(IF(SUMIFS(tblDaily[Remaining],tblDaily[EntryDate],DATE(2026,4,18),tblDaily[WardCode],"BG")=0,"",SUMIFS(tblDaily[Remaining],tblDaily[EntryDate],DATE(2026,4,18),tblDaily[WardCode],"BG")),"")</f>
        <v/>
      </c>
    </row>
    <row r="142">
      <c r="A142" s="12" t="n">
        <v>19</v>
      </c>
      <c r="B142" s="12">
        <f>IFERROR(IF(SUMIFS(tblDaily[Admissions],tblDaily[EntryDate],DATE(2026,4,19),tblDaily[WardCode],"BG")=0,"",SUMIFS(tblDaily[Admissions],tblDaily[EntryDate],DATE(2026,4,19),tblDaily[WardCode],"BG")),"")</f>
        <v/>
      </c>
      <c r="C142" s="12">
        <f>IFERROR(IF(SUMIFS(tblDaily[Discharges],tblDaily[EntryDate],DATE(2026,4,19),tblDaily[WardCode],"BG")=0,"",SUMIFS(tblDaily[Discharges],tblDaily[EntryDate],DATE(2026,4,19),tblDaily[WardCode],"BG")),"")</f>
        <v/>
      </c>
      <c r="D142" s="12">
        <f>IFERROR(IF(SUMIFS(tblDaily[Deaths],tblDaily[EntryDate],DATE(2026,4,19),tblDaily[WardCode],"BG")=0,"",SUMIFS(tblDaily[Deaths],tblDaily[EntryDate],DATE(2026,4,19),tblDaily[WardCode],"BG")),"")</f>
        <v/>
      </c>
      <c r="E142" s="12">
        <f>IFERROR(IF(SUMIFS(tblDaily[DeathsUnder24Hrs],tblDaily[EntryDate],DATE(2026,4,19),tblDaily[WardCode],"BG")=0,"",SUMIFS(tblDaily[DeathsUnder24Hrs],tblDaily[EntryDate],DATE(2026,4,19),tblDaily[WardCode],"BG")),"")</f>
        <v/>
      </c>
      <c r="F142" s="12">
        <f>IFERROR(IF(SUMIFS(tblDaily[TransfersIn],tblDaily[EntryDate],DATE(2026,4,19),tblDaily[WardCode],"BG")=0,"",SUMIFS(tblDaily[TransfersIn],tblDaily[EntryDate],DATE(2026,4,19),tblDaily[WardCode],"BG")),"")</f>
        <v/>
      </c>
      <c r="G142" s="12">
        <f>IFERROR(IF(SUMIFS(tblDaily[TransfersOut],tblDaily[EntryDate],DATE(2026,4,19),tblDaily[WardCode],"BG")=0,"",SUMIFS(tblDaily[TransfersOut],tblDaily[EntryDate],DATE(2026,4,19),tblDaily[WardCode],"BG")),"")</f>
        <v/>
      </c>
      <c r="H142" s="12">
        <f>IFERROR(IF(SUMIFS(tblDaily[Remaining],tblDaily[EntryDate],DATE(2026,4,19),tblDaily[WardCode],"BG")=0,"",SUMIFS(tblDaily[Remaining],tblDaily[EntryDate],DATE(2026,4,19),tblDaily[WardCode],"BG")),"")</f>
        <v/>
      </c>
    </row>
    <row r="143">
      <c r="A143" s="12" t="n">
        <v>20</v>
      </c>
      <c r="B143" s="12">
        <f>IFERROR(IF(SUMIFS(tblDaily[Admissions],tblDaily[EntryDate],DATE(2026,4,20),tblDaily[WardCode],"BG")=0,"",SUMIFS(tblDaily[Admissions],tblDaily[EntryDate],DATE(2026,4,20),tblDaily[WardCode],"BG")),"")</f>
        <v/>
      </c>
      <c r="C143" s="12">
        <f>IFERROR(IF(SUMIFS(tblDaily[Discharges],tblDaily[EntryDate],DATE(2026,4,20),tblDaily[WardCode],"BG")=0,"",SUMIFS(tblDaily[Discharges],tblDaily[EntryDate],DATE(2026,4,20),tblDaily[WardCode],"BG")),"")</f>
        <v/>
      </c>
      <c r="D143" s="12">
        <f>IFERROR(IF(SUMIFS(tblDaily[Deaths],tblDaily[EntryDate],DATE(2026,4,20),tblDaily[WardCode],"BG")=0,"",SUMIFS(tblDaily[Deaths],tblDaily[EntryDate],DATE(2026,4,20),tblDaily[WardCode],"BG")),"")</f>
        <v/>
      </c>
      <c r="E143" s="12">
        <f>IFERROR(IF(SUMIFS(tblDaily[DeathsUnder24Hrs],tblDaily[EntryDate],DATE(2026,4,20),tblDaily[WardCode],"BG")=0,"",SUMIFS(tblDaily[DeathsUnder24Hrs],tblDaily[EntryDate],DATE(2026,4,20),tblDaily[WardCode],"BG")),"")</f>
        <v/>
      </c>
      <c r="F143" s="12">
        <f>IFERROR(IF(SUMIFS(tblDaily[TransfersIn],tblDaily[EntryDate],DATE(2026,4,20),tblDaily[WardCode],"BG")=0,"",SUMIFS(tblDaily[TransfersIn],tblDaily[EntryDate],DATE(2026,4,20),tblDaily[WardCode],"BG")),"")</f>
        <v/>
      </c>
      <c r="G143" s="12">
        <f>IFERROR(IF(SUMIFS(tblDaily[TransfersOut],tblDaily[EntryDate],DATE(2026,4,20),tblDaily[WardCode],"BG")=0,"",SUMIFS(tblDaily[TransfersOut],tblDaily[EntryDate],DATE(2026,4,20),tblDaily[WardCode],"BG")),"")</f>
        <v/>
      </c>
      <c r="H143" s="12">
        <f>IFERROR(IF(SUMIFS(tblDaily[Remaining],tblDaily[EntryDate],DATE(2026,4,20),tblDaily[WardCode],"BG")=0,"",SUMIFS(tblDaily[Remaining],tblDaily[EntryDate],DATE(2026,4,20),tblDaily[WardCode],"BG")),"")</f>
        <v/>
      </c>
    </row>
    <row r="144">
      <c r="A144" s="12" t="n">
        <v>21</v>
      </c>
      <c r="B144" s="12">
        <f>IFERROR(IF(SUMIFS(tblDaily[Admissions],tblDaily[EntryDate],DATE(2026,4,21),tblDaily[WardCode],"BG")=0,"",SUMIFS(tblDaily[Admissions],tblDaily[EntryDate],DATE(2026,4,21),tblDaily[WardCode],"BG")),"")</f>
        <v/>
      </c>
      <c r="C144" s="12">
        <f>IFERROR(IF(SUMIFS(tblDaily[Discharges],tblDaily[EntryDate],DATE(2026,4,21),tblDaily[WardCode],"BG")=0,"",SUMIFS(tblDaily[Discharges],tblDaily[EntryDate],DATE(2026,4,21),tblDaily[WardCode],"BG")),"")</f>
        <v/>
      </c>
      <c r="D144" s="12">
        <f>IFERROR(IF(SUMIFS(tblDaily[Deaths],tblDaily[EntryDate],DATE(2026,4,21),tblDaily[WardCode],"BG")=0,"",SUMIFS(tblDaily[Deaths],tblDaily[EntryDate],DATE(2026,4,21),tblDaily[WardCode],"BG")),"")</f>
        <v/>
      </c>
      <c r="E144" s="12">
        <f>IFERROR(IF(SUMIFS(tblDaily[DeathsUnder24Hrs],tblDaily[EntryDate],DATE(2026,4,21),tblDaily[WardCode],"BG")=0,"",SUMIFS(tblDaily[DeathsUnder24Hrs],tblDaily[EntryDate],DATE(2026,4,21),tblDaily[WardCode],"BG")),"")</f>
        <v/>
      </c>
      <c r="F144" s="12">
        <f>IFERROR(IF(SUMIFS(tblDaily[TransfersIn],tblDaily[EntryDate],DATE(2026,4,21),tblDaily[WardCode],"BG")=0,"",SUMIFS(tblDaily[TransfersIn],tblDaily[EntryDate],DATE(2026,4,21),tblDaily[WardCode],"BG")),"")</f>
        <v/>
      </c>
      <c r="G144" s="12">
        <f>IFERROR(IF(SUMIFS(tblDaily[TransfersOut],tblDaily[EntryDate],DATE(2026,4,21),tblDaily[WardCode],"BG")=0,"",SUMIFS(tblDaily[TransfersOut],tblDaily[EntryDate],DATE(2026,4,21),tblDaily[WardCode],"BG")),"")</f>
        <v/>
      </c>
      <c r="H144" s="12">
        <f>IFERROR(IF(SUMIFS(tblDaily[Remaining],tblDaily[EntryDate],DATE(2026,4,21),tblDaily[WardCode],"BG")=0,"",SUMIFS(tblDaily[Remaining],tblDaily[EntryDate],DATE(2026,4,21),tblDaily[WardCode],"BG")),"")</f>
        <v/>
      </c>
    </row>
    <row r="145">
      <c r="A145" s="12" t="n">
        <v>22</v>
      </c>
      <c r="B145" s="12">
        <f>IFERROR(IF(SUMIFS(tblDaily[Admissions],tblDaily[EntryDate],DATE(2026,4,22),tblDaily[WardCode],"BG")=0,"",SUMIFS(tblDaily[Admissions],tblDaily[EntryDate],DATE(2026,4,22),tblDaily[WardCode],"BG")),"")</f>
        <v/>
      </c>
      <c r="C145" s="12">
        <f>IFERROR(IF(SUMIFS(tblDaily[Discharges],tblDaily[EntryDate],DATE(2026,4,22),tblDaily[WardCode],"BG")=0,"",SUMIFS(tblDaily[Discharges],tblDaily[EntryDate],DATE(2026,4,22),tblDaily[WardCode],"BG")),"")</f>
        <v/>
      </c>
      <c r="D145" s="12">
        <f>IFERROR(IF(SUMIFS(tblDaily[Deaths],tblDaily[EntryDate],DATE(2026,4,22),tblDaily[WardCode],"BG")=0,"",SUMIFS(tblDaily[Deaths],tblDaily[EntryDate],DATE(2026,4,22),tblDaily[WardCode],"BG")),"")</f>
        <v/>
      </c>
      <c r="E145" s="12">
        <f>IFERROR(IF(SUMIFS(tblDaily[DeathsUnder24Hrs],tblDaily[EntryDate],DATE(2026,4,22),tblDaily[WardCode],"BG")=0,"",SUMIFS(tblDaily[DeathsUnder24Hrs],tblDaily[EntryDate],DATE(2026,4,22),tblDaily[WardCode],"BG")),"")</f>
        <v/>
      </c>
      <c r="F145" s="12">
        <f>IFERROR(IF(SUMIFS(tblDaily[TransfersIn],tblDaily[EntryDate],DATE(2026,4,22),tblDaily[WardCode],"BG")=0,"",SUMIFS(tblDaily[TransfersIn],tblDaily[EntryDate],DATE(2026,4,22),tblDaily[WardCode],"BG")),"")</f>
        <v/>
      </c>
      <c r="G145" s="12">
        <f>IFERROR(IF(SUMIFS(tblDaily[TransfersOut],tblDaily[EntryDate],DATE(2026,4,22),tblDaily[WardCode],"BG")=0,"",SUMIFS(tblDaily[TransfersOut],tblDaily[EntryDate],DATE(2026,4,22),tblDaily[WardCode],"BG")),"")</f>
        <v/>
      </c>
      <c r="H145" s="12">
        <f>IFERROR(IF(SUMIFS(tblDaily[Remaining],tblDaily[EntryDate],DATE(2026,4,22),tblDaily[WardCode],"BG")=0,"",SUMIFS(tblDaily[Remaining],tblDaily[EntryDate],DATE(2026,4,22),tblDaily[WardCode],"BG")),"")</f>
        <v/>
      </c>
    </row>
    <row r="146">
      <c r="A146" s="12" t="n">
        <v>23</v>
      </c>
      <c r="B146" s="12">
        <f>IFERROR(IF(SUMIFS(tblDaily[Admissions],tblDaily[EntryDate],DATE(2026,4,23),tblDaily[WardCode],"BG")=0,"",SUMIFS(tblDaily[Admissions],tblDaily[EntryDate],DATE(2026,4,23),tblDaily[WardCode],"BG")),"")</f>
        <v/>
      </c>
      <c r="C146" s="12">
        <f>IFERROR(IF(SUMIFS(tblDaily[Discharges],tblDaily[EntryDate],DATE(2026,4,23),tblDaily[WardCode],"BG")=0,"",SUMIFS(tblDaily[Discharges],tblDaily[EntryDate],DATE(2026,4,23),tblDaily[WardCode],"BG")),"")</f>
        <v/>
      </c>
      <c r="D146" s="12">
        <f>IFERROR(IF(SUMIFS(tblDaily[Deaths],tblDaily[EntryDate],DATE(2026,4,23),tblDaily[WardCode],"BG")=0,"",SUMIFS(tblDaily[Deaths],tblDaily[EntryDate],DATE(2026,4,23),tblDaily[WardCode],"BG")),"")</f>
        <v/>
      </c>
      <c r="E146" s="12">
        <f>IFERROR(IF(SUMIFS(tblDaily[DeathsUnder24Hrs],tblDaily[EntryDate],DATE(2026,4,23),tblDaily[WardCode],"BG")=0,"",SUMIFS(tblDaily[DeathsUnder24Hrs],tblDaily[EntryDate],DATE(2026,4,23),tblDaily[WardCode],"BG")),"")</f>
        <v/>
      </c>
      <c r="F146" s="12">
        <f>IFERROR(IF(SUMIFS(tblDaily[TransfersIn],tblDaily[EntryDate],DATE(2026,4,23),tblDaily[WardCode],"BG")=0,"",SUMIFS(tblDaily[TransfersIn],tblDaily[EntryDate],DATE(2026,4,23),tblDaily[WardCode],"BG")),"")</f>
        <v/>
      </c>
      <c r="G146" s="12">
        <f>IFERROR(IF(SUMIFS(tblDaily[TransfersOut],tblDaily[EntryDate],DATE(2026,4,23),tblDaily[WardCode],"BG")=0,"",SUMIFS(tblDaily[TransfersOut],tblDaily[EntryDate],DATE(2026,4,23),tblDaily[WardCode],"BG")),"")</f>
        <v/>
      </c>
      <c r="H146" s="12">
        <f>IFERROR(IF(SUMIFS(tblDaily[Remaining],tblDaily[EntryDate],DATE(2026,4,23),tblDaily[WardCode],"BG")=0,"",SUMIFS(tblDaily[Remaining],tblDaily[EntryDate],DATE(2026,4,23),tblDaily[WardCode],"BG")),"")</f>
        <v/>
      </c>
    </row>
    <row r="147">
      <c r="A147" s="12" t="n">
        <v>24</v>
      </c>
      <c r="B147" s="12">
        <f>IFERROR(IF(SUMIFS(tblDaily[Admissions],tblDaily[EntryDate],DATE(2026,4,24),tblDaily[WardCode],"BG")=0,"",SUMIFS(tblDaily[Admissions],tblDaily[EntryDate],DATE(2026,4,24),tblDaily[WardCode],"BG")),"")</f>
        <v/>
      </c>
      <c r="C147" s="12">
        <f>IFERROR(IF(SUMIFS(tblDaily[Discharges],tblDaily[EntryDate],DATE(2026,4,24),tblDaily[WardCode],"BG")=0,"",SUMIFS(tblDaily[Discharges],tblDaily[EntryDate],DATE(2026,4,24),tblDaily[WardCode],"BG")),"")</f>
        <v/>
      </c>
      <c r="D147" s="12">
        <f>IFERROR(IF(SUMIFS(tblDaily[Deaths],tblDaily[EntryDate],DATE(2026,4,24),tblDaily[WardCode],"BG")=0,"",SUMIFS(tblDaily[Deaths],tblDaily[EntryDate],DATE(2026,4,24),tblDaily[WardCode],"BG")),"")</f>
        <v/>
      </c>
      <c r="E147" s="12">
        <f>IFERROR(IF(SUMIFS(tblDaily[DeathsUnder24Hrs],tblDaily[EntryDate],DATE(2026,4,24),tblDaily[WardCode],"BG")=0,"",SUMIFS(tblDaily[DeathsUnder24Hrs],tblDaily[EntryDate],DATE(2026,4,24),tblDaily[WardCode],"BG")),"")</f>
        <v/>
      </c>
      <c r="F147" s="12">
        <f>IFERROR(IF(SUMIFS(tblDaily[TransfersIn],tblDaily[EntryDate],DATE(2026,4,24),tblDaily[WardCode],"BG")=0,"",SUMIFS(tblDaily[TransfersIn],tblDaily[EntryDate],DATE(2026,4,24),tblDaily[WardCode],"BG")),"")</f>
        <v/>
      </c>
      <c r="G147" s="12">
        <f>IFERROR(IF(SUMIFS(tblDaily[TransfersOut],tblDaily[EntryDate],DATE(2026,4,24),tblDaily[WardCode],"BG")=0,"",SUMIFS(tblDaily[TransfersOut],tblDaily[EntryDate],DATE(2026,4,24),tblDaily[WardCode],"BG")),"")</f>
        <v/>
      </c>
      <c r="H147" s="12">
        <f>IFERROR(IF(SUMIFS(tblDaily[Remaining],tblDaily[EntryDate],DATE(2026,4,24),tblDaily[WardCode],"BG")=0,"",SUMIFS(tblDaily[Remaining],tblDaily[EntryDate],DATE(2026,4,24),tblDaily[WardCode],"BG")),"")</f>
        <v/>
      </c>
    </row>
    <row r="148">
      <c r="A148" s="12" t="n">
        <v>25</v>
      </c>
      <c r="B148" s="12">
        <f>IFERROR(IF(SUMIFS(tblDaily[Admissions],tblDaily[EntryDate],DATE(2026,4,25),tblDaily[WardCode],"BG")=0,"",SUMIFS(tblDaily[Admissions],tblDaily[EntryDate],DATE(2026,4,25),tblDaily[WardCode],"BG")),"")</f>
        <v/>
      </c>
      <c r="C148" s="12">
        <f>IFERROR(IF(SUMIFS(tblDaily[Discharges],tblDaily[EntryDate],DATE(2026,4,25),tblDaily[WardCode],"BG")=0,"",SUMIFS(tblDaily[Discharges],tblDaily[EntryDate],DATE(2026,4,25),tblDaily[WardCode],"BG")),"")</f>
        <v/>
      </c>
      <c r="D148" s="12">
        <f>IFERROR(IF(SUMIFS(tblDaily[Deaths],tblDaily[EntryDate],DATE(2026,4,25),tblDaily[WardCode],"BG")=0,"",SUMIFS(tblDaily[Deaths],tblDaily[EntryDate],DATE(2026,4,25),tblDaily[WardCode],"BG")),"")</f>
        <v/>
      </c>
      <c r="E148" s="12">
        <f>IFERROR(IF(SUMIFS(tblDaily[DeathsUnder24Hrs],tblDaily[EntryDate],DATE(2026,4,25),tblDaily[WardCode],"BG")=0,"",SUMIFS(tblDaily[DeathsUnder24Hrs],tblDaily[EntryDate],DATE(2026,4,25),tblDaily[WardCode],"BG")),"")</f>
        <v/>
      </c>
      <c r="F148" s="12">
        <f>IFERROR(IF(SUMIFS(tblDaily[TransfersIn],tblDaily[EntryDate],DATE(2026,4,25),tblDaily[WardCode],"BG")=0,"",SUMIFS(tblDaily[TransfersIn],tblDaily[EntryDate],DATE(2026,4,25),tblDaily[WardCode],"BG")),"")</f>
        <v/>
      </c>
      <c r="G148" s="12">
        <f>IFERROR(IF(SUMIFS(tblDaily[TransfersOut],tblDaily[EntryDate],DATE(2026,4,25),tblDaily[WardCode],"BG")=0,"",SUMIFS(tblDaily[TransfersOut],tblDaily[EntryDate],DATE(2026,4,25),tblDaily[WardCode],"BG")),"")</f>
        <v/>
      </c>
      <c r="H148" s="12">
        <f>IFERROR(IF(SUMIFS(tblDaily[Remaining],tblDaily[EntryDate],DATE(2026,4,25),tblDaily[WardCode],"BG")=0,"",SUMIFS(tblDaily[Remaining],tblDaily[EntryDate],DATE(2026,4,25),tblDaily[WardCode],"BG")),"")</f>
        <v/>
      </c>
    </row>
    <row r="149">
      <c r="A149" s="12" t="n">
        <v>26</v>
      </c>
      <c r="B149" s="12">
        <f>IFERROR(IF(SUMIFS(tblDaily[Admissions],tblDaily[EntryDate],DATE(2026,4,26),tblDaily[WardCode],"BG")=0,"",SUMIFS(tblDaily[Admissions],tblDaily[EntryDate],DATE(2026,4,26),tblDaily[WardCode],"BG")),"")</f>
        <v/>
      </c>
      <c r="C149" s="12">
        <f>IFERROR(IF(SUMIFS(tblDaily[Discharges],tblDaily[EntryDate],DATE(2026,4,26),tblDaily[WardCode],"BG")=0,"",SUMIFS(tblDaily[Discharges],tblDaily[EntryDate],DATE(2026,4,26),tblDaily[WardCode],"BG")),"")</f>
        <v/>
      </c>
      <c r="D149" s="12">
        <f>IFERROR(IF(SUMIFS(tblDaily[Deaths],tblDaily[EntryDate],DATE(2026,4,26),tblDaily[WardCode],"BG")=0,"",SUMIFS(tblDaily[Deaths],tblDaily[EntryDate],DATE(2026,4,26),tblDaily[WardCode],"BG")),"")</f>
        <v/>
      </c>
      <c r="E149" s="12">
        <f>IFERROR(IF(SUMIFS(tblDaily[DeathsUnder24Hrs],tblDaily[EntryDate],DATE(2026,4,26),tblDaily[WardCode],"BG")=0,"",SUMIFS(tblDaily[DeathsUnder24Hrs],tblDaily[EntryDate],DATE(2026,4,26),tblDaily[WardCode],"BG")),"")</f>
        <v/>
      </c>
      <c r="F149" s="12">
        <f>IFERROR(IF(SUMIFS(tblDaily[TransfersIn],tblDaily[EntryDate],DATE(2026,4,26),tblDaily[WardCode],"BG")=0,"",SUMIFS(tblDaily[TransfersIn],tblDaily[EntryDate],DATE(2026,4,26),tblDaily[WardCode],"BG")),"")</f>
        <v/>
      </c>
      <c r="G149" s="12">
        <f>IFERROR(IF(SUMIFS(tblDaily[TransfersOut],tblDaily[EntryDate],DATE(2026,4,26),tblDaily[WardCode],"BG")=0,"",SUMIFS(tblDaily[TransfersOut],tblDaily[EntryDate],DATE(2026,4,26),tblDaily[WardCode],"BG")),"")</f>
        <v/>
      </c>
      <c r="H149" s="12">
        <f>IFERROR(IF(SUMIFS(tblDaily[Remaining],tblDaily[EntryDate],DATE(2026,4,26),tblDaily[WardCode],"BG")=0,"",SUMIFS(tblDaily[Remaining],tblDaily[EntryDate],DATE(2026,4,26),tblDaily[WardCode],"BG")),"")</f>
        <v/>
      </c>
    </row>
    <row r="150">
      <c r="A150" s="12" t="n">
        <v>27</v>
      </c>
      <c r="B150" s="12">
        <f>IFERROR(IF(SUMIFS(tblDaily[Admissions],tblDaily[EntryDate],DATE(2026,4,27),tblDaily[WardCode],"BG")=0,"",SUMIFS(tblDaily[Admissions],tblDaily[EntryDate],DATE(2026,4,27),tblDaily[WardCode],"BG")),"")</f>
        <v/>
      </c>
      <c r="C150" s="12">
        <f>IFERROR(IF(SUMIFS(tblDaily[Discharges],tblDaily[EntryDate],DATE(2026,4,27),tblDaily[WardCode],"BG")=0,"",SUMIFS(tblDaily[Discharges],tblDaily[EntryDate],DATE(2026,4,27),tblDaily[WardCode],"BG")),"")</f>
        <v/>
      </c>
      <c r="D150" s="12">
        <f>IFERROR(IF(SUMIFS(tblDaily[Deaths],tblDaily[EntryDate],DATE(2026,4,27),tblDaily[WardCode],"BG")=0,"",SUMIFS(tblDaily[Deaths],tblDaily[EntryDate],DATE(2026,4,27),tblDaily[WardCode],"BG")),"")</f>
        <v/>
      </c>
      <c r="E150" s="12">
        <f>IFERROR(IF(SUMIFS(tblDaily[DeathsUnder24Hrs],tblDaily[EntryDate],DATE(2026,4,27),tblDaily[WardCode],"BG")=0,"",SUMIFS(tblDaily[DeathsUnder24Hrs],tblDaily[EntryDate],DATE(2026,4,27),tblDaily[WardCode],"BG")),"")</f>
        <v/>
      </c>
      <c r="F150" s="12">
        <f>IFERROR(IF(SUMIFS(tblDaily[TransfersIn],tblDaily[EntryDate],DATE(2026,4,27),tblDaily[WardCode],"BG")=0,"",SUMIFS(tblDaily[TransfersIn],tblDaily[EntryDate],DATE(2026,4,27),tblDaily[WardCode],"BG")),"")</f>
        <v/>
      </c>
      <c r="G150" s="12">
        <f>IFERROR(IF(SUMIFS(tblDaily[TransfersOut],tblDaily[EntryDate],DATE(2026,4,27),tblDaily[WardCode],"BG")=0,"",SUMIFS(tblDaily[TransfersOut],tblDaily[EntryDate],DATE(2026,4,27),tblDaily[WardCode],"BG")),"")</f>
        <v/>
      </c>
      <c r="H150" s="12">
        <f>IFERROR(IF(SUMIFS(tblDaily[Remaining],tblDaily[EntryDate],DATE(2026,4,27),tblDaily[WardCode],"BG")=0,"",SUMIFS(tblDaily[Remaining],tblDaily[EntryDate],DATE(2026,4,27),tblDaily[WardCode],"BG")),"")</f>
        <v/>
      </c>
    </row>
    <row r="151">
      <c r="A151" s="12" t="n">
        <v>28</v>
      </c>
      <c r="B151" s="12">
        <f>IFERROR(IF(SUMIFS(tblDaily[Admissions],tblDaily[EntryDate],DATE(2026,4,28),tblDaily[WardCode],"BG")=0,"",SUMIFS(tblDaily[Admissions],tblDaily[EntryDate],DATE(2026,4,28),tblDaily[WardCode],"BG")),"")</f>
        <v/>
      </c>
      <c r="C151" s="12">
        <f>IFERROR(IF(SUMIFS(tblDaily[Discharges],tblDaily[EntryDate],DATE(2026,4,28),tblDaily[WardCode],"BG")=0,"",SUMIFS(tblDaily[Discharges],tblDaily[EntryDate],DATE(2026,4,28),tblDaily[WardCode],"BG")),"")</f>
        <v/>
      </c>
      <c r="D151" s="12">
        <f>IFERROR(IF(SUMIFS(tblDaily[Deaths],tblDaily[EntryDate],DATE(2026,4,28),tblDaily[WardCode],"BG")=0,"",SUMIFS(tblDaily[Deaths],tblDaily[EntryDate],DATE(2026,4,28),tblDaily[WardCode],"BG")),"")</f>
        <v/>
      </c>
      <c r="E151" s="12">
        <f>IFERROR(IF(SUMIFS(tblDaily[DeathsUnder24Hrs],tblDaily[EntryDate],DATE(2026,4,28),tblDaily[WardCode],"BG")=0,"",SUMIFS(tblDaily[DeathsUnder24Hrs],tblDaily[EntryDate],DATE(2026,4,28),tblDaily[WardCode],"BG")),"")</f>
        <v/>
      </c>
      <c r="F151" s="12">
        <f>IFERROR(IF(SUMIFS(tblDaily[TransfersIn],tblDaily[EntryDate],DATE(2026,4,28),tblDaily[WardCode],"BG")=0,"",SUMIFS(tblDaily[TransfersIn],tblDaily[EntryDate],DATE(2026,4,28),tblDaily[WardCode],"BG")),"")</f>
        <v/>
      </c>
      <c r="G151" s="12">
        <f>IFERROR(IF(SUMIFS(tblDaily[TransfersOut],tblDaily[EntryDate],DATE(2026,4,28),tblDaily[WardCode],"BG")=0,"",SUMIFS(tblDaily[TransfersOut],tblDaily[EntryDate],DATE(2026,4,28),tblDaily[WardCode],"BG")),"")</f>
        <v/>
      </c>
      <c r="H151" s="12">
        <f>IFERROR(IF(SUMIFS(tblDaily[Remaining],tblDaily[EntryDate],DATE(2026,4,28),tblDaily[WardCode],"BG")=0,"",SUMIFS(tblDaily[Remaining],tblDaily[EntryDate],DATE(2026,4,28),tblDaily[WardCode],"BG")),"")</f>
        <v/>
      </c>
    </row>
    <row r="152">
      <c r="A152" s="12" t="n">
        <v>29</v>
      </c>
      <c r="B152" s="12">
        <f>IFERROR(IF(SUMIFS(tblDaily[Admissions],tblDaily[EntryDate],DATE(2026,4,29),tblDaily[WardCode],"BG")=0,"",SUMIFS(tblDaily[Admissions],tblDaily[EntryDate],DATE(2026,4,29),tblDaily[WardCode],"BG")),"")</f>
        <v/>
      </c>
      <c r="C152" s="12">
        <f>IFERROR(IF(SUMIFS(tblDaily[Discharges],tblDaily[EntryDate],DATE(2026,4,29),tblDaily[WardCode],"BG")=0,"",SUMIFS(tblDaily[Discharges],tblDaily[EntryDate],DATE(2026,4,29),tblDaily[WardCode],"BG")),"")</f>
        <v/>
      </c>
      <c r="D152" s="12">
        <f>IFERROR(IF(SUMIFS(tblDaily[Deaths],tblDaily[EntryDate],DATE(2026,4,29),tblDaily[WardCode],"BG")=0,"",SUMIFS(tblDaily[Deaths],tblDaily[EntryDate],DATE(2026,4,29),tblDaily[WardCode],"BG")),"")</f>
        <v/>
      </c>
      <c r="E152" s="12">
        <f>IFERROR(IF(SUMIFS(tblDaily[DeathsUnder24Hrs],tblDaily[EntryDate],DATE(2026,4,29),tblDaily[WardCode],"BG")=0,"",SUMIFS(tblDaily[DeathsUnder24Hrs],tblDaily[EntryDate],DATE(2026,4,29),tblDaily[WardCode],"BG")),"")</f>
        <v/>
      </c>
      <c r="F152" s="12">
        <f>IFERROR(IF(SUMIFS(tblDaily[TransfersIn],tblDaily[EntryDate],DATE(2026,4,29),tblDaily[WardCode],"BG")=0,"",SUMIFS(tblDaily[TransfersIn],tblDaily[EntryDate],DATE(2026,4,29),tblDaily[WardCode],"BG")),"")</f>
        <v/>
      </c>
      <c r="G152" s="12">
        <f>IFERROR(IF(SUMIFS(tblDaily[TransfersOut],tblDaily[EntryDate],DATE(2026,4,29),tblDaily[WardCode],"BG")=0,"",SUMIFS(tblDaily[TransfersOut],tblDaily[EntryDate],DATE(2026,4,29),tblDaily[WardCode],"BG")),"")</f>
        <v/>
      </c>
      <c r="H152" s="12">
        <f>IFERROR(IF(SUMIFS(tblDaily[Remaining],tblDaily[EntryDate],DATE(2026,4,29),tblDaily[WardCode],"BG")=0,"",SUMIFS(tblDaily[Remaining],tblDaily[EntryDate],DATE(2026,4,29),tblDaily[WardCode],"BG")),"")</f>
        <v/>
      </c>
    </row>
    <row r="153">
      <c r="A153" s="12" t="n">
        <v>30</v>
      </c>
      <c r="B153" s="12">
        <f>IFERROR(IF(SUMIFS(tblDaily[Admissions],tblDaily[EntryDate],DATE(2026,4,30),tblDaily[WardCode],"BG")=0,"",SUMIFS(tblDaily[Admissions],tblDaily[EntryDate],DATE(2026,4,30),tblDaily[WardCode],"BG")),"")</f>
        <v/>
      </c>
      <c r="C153" s="12">
        <f>IFERROR(IF(SUMIFS(tblDaily[Discharges],tblDaily[EntryDate],DATE(2026,4,30),tblDaily[WardCode],"BG")=0,"",SUMIFS(tblDaily[Discharges],tblDaily[EntryDate],DATE(2026,4,30),tblDaily[WardCode],"BG")),"")</f>
        <v/>
      </c>
      <c r="D153" s="12">
        <f>IFERROR(IF(SUMIFS(tblDaily[Deaths],tblDaily[EntryDate],DATE(2026,4,30),tblDaily[WardCode],"BG")=0,"",SUMIFS(tblDaily[Deaths],tblDaily[EntryDate],DATE(2026,4,30),tblDaily[WardCode],"BG")),"")</f>
        <v/>
      </c>
      <c r="E153" s="12">
        <f>IFERROR(IF(SUMIFS(tblDaily[DeathsUnder24Hrs],tblDaily[EntryDate],DATE(2026,4,30),tblDaily[WardCode],"BG")=0,"",SUMIFS(tblDaily[DeathsUnder24Hrs],tblDaily[EntryDate],DATE(2026,4,30),tblDaily[WardCode],"BG")),"")</f>
        <v/>
      </c>
      <c r="F153" s="12">
        <f>IFERROR(IF(SUMIFS(tblDaily[TransfersIn],tblDaily[EntryDate],DATE(2026,4,30),tblDaily[WardCode],"BG")=0,"",SUMIFS(tblDaily[TransfersIn],tblDaily[EntryDate],DATE(2026,4,30),tblDaily[WardCode],"BG")),"")</f>
        <v/>
      </c>
      <c r="G153" s="12">
        <f>IFERROR(IF(SUMIFS(tblDaily[TransfersOut],tblDaily[EntryDate],DATE(2026,4,30),tblDaily[WardCode],"BG")=0,"",SUMIFS(tblDaily[TransfersOut],tblDaily[EntryDate],DATE(2026,4,30),tblDaily[WardCode],"BG")),"")</f>
        <v/>
      </c>
      <c r="H153" s="12">
        <f>IFERROR(IF(SUMIFS(tblDaily[Remaining],tblDaily[EntryDate],DATE(2026,4,30),tblDaily[WardCode],"BG")=0,"",SUMIFS(tblDaily[Remaining],tblDaily[EntryDate],DATE(2026,4,30),tblDaily[WardCode],"BG")),"")</f>
        <v/>
      </c>
    </row>
    <row r="154">
      <c r="A154" s="12" t="n">
        <v>31</v>
      </c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7" t="inlineStr">
        <is>
          <t>TOTAL</t>
        </is>
      </c>
      <c r="B155" s="17">
        <f>SUMIFS(tblDaily[Admissions],tblDaily[Month],4,tblDaily[WardCode],"BG") - SUMIFS(tblDaily[DeathsUnder24Hrs],tblDaily[Month],4,tblDaily[WardCode],"BG")</f>
        <v/>
      </c>
      <c r="C155" s="17">
        <f>SUMIFS(tblDaily[Discharges],tblDaily[Month],4,tblDaily[WardCode],"BG")</f>
        <v/>
      </c>
      <c r="D155" s="17">
        <f>SUMIFS(tblDaily[Deaths],tblDaily[Month],4,tblDaily[WardCode],"BG")</f>
        <v/>
      </c>
      <c r="E155" s="17">
        <f>SUMIFS(tblDaily[DeathsUnder24Hrs],tblDaily[Month],4,tblDaily[WardCode],"BG")</f>
        <v/>
      </c>
      <c r="F155" s="17">
        <f>SUMIFS(tblDaily[TransfersIn],tblDaily[Month],4,tblDaily[WardCode],"BG")</f>
        <v/>
      </c>
      <c r="G155" s="17">
        <f>SUMIFS(tblDaily[TransfersOut],tblDaily[Month],4,tblDaily[WardCode],"BG")</f>
        <v/>
      </c>
      <c r="H155" s="17">
        <f>SUMIFS(tblDaily[Remaining],tblDaily[Month],4,tblDaily[WardCode],"BG")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BLOCK G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4">
        <f>IFERROR(SUMIFS(tblDaily[Remaining],tblDaily[EntryDate],DATE(2026,4,30),tblDaily[WardCode],"BG"),0)</f>
        <v/>
      </c>
    </row>
    <row r="161">
      <c r="A161" s="4" t="inlineStr">
        <is>
          <t>Bed complement</t>
        </is>
      </c>
      <c r="H161" s="15">
        <f>IFERROR(INDEX(tblWardConfig[BedComplement],MATCH("BG",tblWardConfig[WardCode],0)),0)</f>
        <v/>
      </c>
    </row>
    <row r="162">
      <c r="A162" s="16" t="inlineStr">
        <is>
          <t>Day of
the
Month</t>
        </is>
      </c>
      <c r="B162" s="16" t="inlineStr">
        <is>
          <t>Admissions</t>
        </is>
      </c>
      <c r="C162" s="16" t="inlineStr">
        <is>
          <t>Discharges</t>
        </is>
      </c>
      <c r="D162" s="16" t="inlineStr">
        <is>
          <t>Deaths</t>
        </is>
      </c>
      <c r="E162" s="16" t="inlineStr">
        <is>
          <t>Deaths
&lt;24Hrs</t>
        </is>
      </c>
      <c r="F162" s="16" t="inlineStr">
        <is>
          <t>Transfers-
In</t>
        </is>
      </c>
      <c r="G162" s="16" t="inlineStr">
        <is>
          <t>Transfers-
Out</t>
        </is>
      </c>
      <c r="H162" s="16" t="inlineStr">
        <is>
          <t>No. of Patients
Remaining In
Ward</t>
        </is>
      </c>
    </row>
    <row r="163">
      <c r="A163" s="12" t="n">
        <v>1</v>
      </c>
      <c r="B163" s="12">
        <f>IFERROR(IF(SUMIFS(tblDaily[Admissions],tblDaily[EntryDate],DATE(2026,5,1),tblDaily[WardCode],"BG")=0,"",SUMIFS(tblDaily[Admissions],tblDaily[EntryDate],DATE(2026,5,1),tblDaily[WardCode],"BG")),"")</f>
        <v/>
      </c>
      <c r="C163" s="12">
        <f>IFERROR(IF(SUMIFS(tblDaily[Discharges],tblDaily[EntryDate],DATE(2026,5,1),tblDaily[WardCode],"BG")=0,"",SUMIFS(tblDaily[Discharges],tblDaily[EntryDate],DATE(2026,5,1),tblDaily[WardCode],"BG")),"")</f>
        <v/>
      </c>
      <c r="D163" s="12">
        <f>IFERROR(IF(SUMIFS(tblDaily[Deaths],tblDaily[EntryDate],DATE(2026,5,1),tblDaily[WardCode],"BG")=0,"",SUMIFS(tblDaily[Deaths],tblDaily[EntryDate],DATE(2026,5,1),tblDaily[WardCode],"BG")),"")</f>
        <v/>
      </c>
      <c r="E163" s="12">
        <f>IFERROR(IF(SUMIFS(tblDaily[DeathsUnder24Hrs],tblDaily[EntryDate],DATE(2026,5,1),tblDaily[WardCode],"BG")=0,"",SUMIFS(tblDaily[DeathsUnder24Hrs],tblDaily[EntryDate],DATE(2026,5,1),tblDaily[WardCode],"BG")),"")</f>
        <v/>
      </c>
      <c r="F163" s="12">
        <f>IFERROR(IF(SUMIFS(tblDaily[TransfersIn],tblDaily[EntryDate],DATE(2026,5,1),tblDaily[WardCode],"BG")=0,"",SUMIFS(tblDaily[TransfersIn],tblDaily[EntryDate],DATE(2026,5,1),tblDaily[WardCode],"BG")),"")</f>
        <v/>
      </c>
      <c r="G163" s="12">
        <f>IFERROR(IF(SUMIFS(tblDaily[TransfersOut],tblDaily[EntryDate],DATE(2026,5,1),tblDaily[WardCode],"BG")=0,"",SUMIFS(tblDaily[TransfersOut],tblDaily[EntryDate],DATE(2026,5,1),tblDaily[WardCode],"BG")),"")</f>
        <v/>
      </c>
      <c r="H163" s="12">
        <f>IFERROR(IF(SUMIFS(tblDaily[Remaining],tblDaily[EntryDate],DATE(2026,5,1),tblDaily[WardCode],"BG")=0,"",SUMIFS(tblDaily[Remaining],tblDaily[EntryDate],DATE(2026,5,1),tblDaily[WardCode],"BG")),"")</f>
        <v/>
      </c>
    </row>
    <row r="164">
      <c r="A164" s="12" t="n">
        <v>2</v>
      </c>
      <c r="B164" s="12">
        <f>IFERROR(IF(SUMIFS(tblDaily[Admissions],tblDaily[EntryDate],DATE(2026,5,2),tblDaily[WardCode],"BG")=0,"",SUMIFS(tblDaily[Admissions],tblDaily[EntryDate],DATE(2026,5,2),tblDaily[WardCode],"BG")),"")</f>
        <v/>
      </c>
      <c r="C164" s="12">
        <f>IFERROR(IF(SUMIFS(tblDaily[Discharges],tblDaily[EntryDate],DATE(2026,5,2),tblDaily[WardCode],"BG")=0,"",SUMIFS(tblDaily[Discharges],tblDaily[EntryDate],DATE(2026,5,2),tblDaily[WardCode],"BG")),"")</f>
        <v/>
      </c>
      <c r="D164" s="12">
        <f>IFERROR(IF(SUMIFS(tblDaily[Deaths],tblDaily[EntryDate],DATE(2026,5,2),tblDaily[WardCode],"BG")=0,"",SUMIFS(tblDaily[Deaths],tblDaily[EntryDate],DATE(2026,5,2),tblDaily[WardCode],"BG")),"")</f>
        <v/>
      </c>
      <c r="E164" s="12">
        <f>IFERROR(IF(SUMIFS(tblDaily[DeathsUnder24Hrs],tblDaily[EntryDate],DATE(2026,5,2),tblDaily[WardCode],"BG")=0,"",SUMIFS(tblDaily[DeathsUnder24Hrs],tblDaily[EntryDate],DATE(2026,5,2),tblDaily[WardCode],"BG")),"")</f>
        <v/>
      </c>
      <c r="F164" s="12">
        <f>IFERROR(IF(SUMIFS(tblDaily[TransfersIn],tblDaily[EntryDate],DATE(2026,5,2),tblDaily[WardCode],"BG")=0,"",SUMIFS(tblDaily[TransfersIn],tblDaily[EntryDate],DATE(2026,5,2),tblDaily[WardCode],"BG")),"")</f>
        <v/>
      </c>
      <c r="G164" s="12">
        <f>IFERROR(IF(SUMIFS(tblDaily[TransfersOut],tblDaily[EntryDate],DATE(2026,5,2),tblDaily[WardCode],"BG")=0,"",SUMIFS(tblDaily[TransfersOut],tblDaily[EntryDate],DATE(2026,5,2),tblDaily[WardCode],"BG")),"")</f>
        <v/>
      </c>
      <c r="H164" s="12">
        <f>IFERROR(IF(SUMIFS(tblDaily[Remaining],tblDaily[EntryDate],DATE(2026,5,2),tblDaily[WardCode],"BG")=0,"",SUMIFS(tblDaily[Remaining],tblDaily[EntryDate],DATE(2026,5,2),tblDaily[WardCode],"BG")),"")</f>
        <v/>
      </c>
    </row>
    <row r="165">
      <c r="A165" s="12" t="n">
        <v>3</v>
      </c>
      <c r="B165" s="12">
        <f>IFERROR(IF(SUMIFS(tblDaily[Admissions],tblDaily[EntryDate],DATE(2026,5,3),tblDaily[WardCode],"BG")=0,"",SUMIFS(tblDaily[Admissions],tblDaily[EntryDate],DATE(2026,5,3),tblDaily[WardCode],"BG")),"")</f>
        <v/>
      </c>
      <c r="C165" s="12">
        <f>IFERROR(IF(SUMIFS(tblDaily[Discharges],tblDaily[EntryDate],DATE(2026,5,3),tblDaily[WardCode],"BG")=0,"",SUMIFS(tblDaily[Discharges],tblDaily[EntryDate],DATE(2026,5,3),tblDaily[WardCode],"BG")),"")</f>
        <v/>
      </c>
      <c r="D165" s="12">
        <f>IFERROR(IF(SUMIFS(tblDaily[Deaths],tblDaily[EntryDate],DATE(2026,5,3),tblDaily[WardCode],"BG")=0,"",SUMIFS(tblDaily[Deaths],tblDaily[EntryDate],DATE(2026,5,3),tblDaily[WardCode],"BG")),"")</f>
        <v/>
      </c>
      <c r="E165" s="12">
        <f>IFERROR(IF(SUMIFS(tblDaily[DeathsUnder24Hrs],tblDaily[EntryDate],DATE(2026,5,3),tblDaily[WardCode],"BG")=0,"",SUMIFS(tblDaily[DeathsUnder24Hrs],tblDaily[EntryDate],DATE(2026,5,3),tblDaily[WardCode],"BG")),"")</f>
        <v/>
      </c>
      <c r="F165" s="12">
        <f>IFERROR(IF(SUMIFS(tblDaily[TransfersIn],tblDaily[EntryDate],DATE(2026,5,3),tblDaily[WardCode],"BG")=0,"",SUMIFS(tblDaily[TransfersIn],tblDaily[EntryDate],DATE(2026,5,3),tblDaily[WardCode],"BG")),"")</f>
        <v/>
      </c>
      <c r="G165" s="12">
        <f>IFERROR(IF(SUMIFS(tblDaily[TransfersOut],tblDaily[EntryDate],DATE(2026,5,3),tblDaily[WardCode],"BG")=0,"",SUMIFS(tblDaily[TransfersOut],tblDaily[EntryDate],DATE(2026,5,3),tblDaily[WardCode],"BG")),"")</f>
        <v/>
      </c>
      <c r="H165" s="12">
        <f>IFERROR(IF(SUMIFS(tblDaily[Remaining],tblDaily[EntryDate],DATE(2026,5,3),tblDaily[WardCode],"BG")=0,"",SUMIFS(tblDaily[Remaining],tblDaily[EntryDate],DATE(2026,5,3),tblDaily[WardCode],"BG")),"")</f>
        <v/>
      </c>
    </row>
    <row r="166">
      <c r="A166" s="12" t="n">
        <v>4</v>
      </c>
      <c r="B166" s="12">
        <f>IFERROR(IF(SUMIFS(tblDaily[Admissions],tblDaily[EntryDate],DATE(2026,5,4),tblDaily[WardCode],"BG")=0,"",SUMIFS(tblDaily[Admissions],tblDaily[EntryDate],DATE(2026,5,4),tblDaily[WardCode],"BG")),"")</f>
        <v/>
      </c>
      <c r="C166" s="12">
        <f>IFERROR(IF(SUMIFS(tblDaily[Discharges],tblDaily[EntryDate],DATE(2026,5,4),tblDaily[WardCode],"BG")=0,"",SUMIFS(tblDaily[Discharges],tblDaily[EntryDate],DATE(2026,5,4),tblDaily[WardCode],"BG")),"")</f>
        <v/>
      </c>
      <c r="D166" s="12">
        <f>IFERROR(IF(SUMIFS(tblDaily[Deaths],tblDaily[EntryDate],DATE(2026,5,4),tblDaily[WardCode],"BG")=0,"",SUMIFS(tblDaily[Deaths],tblDaily[EntryDate],DATE(2026,5,4),tblDaily[WardCode],"BG")),"")</f>
        <v/>
      </c>
      <c r="E166" s="12">
        <f>IFERROR(IF(SUMIFS(tblDaily[DeathsUnder24Hrs],tblDaily[EntryDate],DATE(2026,5,4),tblDaily[WardCode],"BG")=0,"",SUMIFS(tblDaily[DeathsUnder24Hrs],tblDaily[EntryDate],DATE(2026,5,4),tblDaily[WardCode],"BG")),"")</f>
        <v/>
      </c>
      <c r="F166" s="12">
        <f>IFERROR(IF(SUMIFS(tblDaily[TransfersIn],tblDaily[EntryDate],DATE(2026,5,4),tblDaily[WardCode],"BG")=0,"",SUMIFS(tblDaily[TransfersIn],tblDaily[EntryDate],DATE(2026,5,4),tblDaily[WardCode],"BG")),"")</f>
        <v/>
      </c>
      <c r="G166" s="12">
        <f>IFERROR(IF(SUMIFS(tblDaily[TransfersOut],tblDaily[EntryDate],DATE(2026,5,4),tblDaily[WardCode],"BG")=0,"",SUMIFS(tblDaily[TransfersOut],tblDaily[EntryDate],DATE(2026,5,4),tblDaily[WardCode],"BG")),"")</f>
        <v/>
      </c>
      <c r="H166" s="12">
        <f>IFERROR(IF(SUMIFS(tblDaily[Remaining],tblDaily[EntryDate],DATE(2026,5,4),tblDaily[WardCode],"BG")=0,"",SUMIFS(tblDaily[Remaining],tblDaily[EntryDate],DATE(2026,5,4),tblDaily[WardCode],"BG")),"")</f>
        <v/>
      </c>
    </row>
    <row r="167">
      <c r="A167" s="12" t="n">
        <v>5</v>
      </c>
      <c r="B167" s="12">
        <f>IFERROR(IF(SUMIFS(tblDaily[Admissions],tblDaily[EntryDate],DATE(2026,5,5),tblDaily[WardCode],"BG")=0,"",SUMIFS(tblDaily[Admissions],tblDaily[EntryDate],DATE(2026,5,5),tblDaily[WardCode],"BG")),"")</f>
        <v/>
      </c>
      <c r="C167" s="12">
        <f>IFERROR(IF(SUMIFS(tblDaily[Discharges],tblDaily[EntryDate],DATE(2026,5,5),tblDaily[WardCode],"BG")=0,"",SUMIFS(tblDaily[Discharges],tblDaily[EntryDate],DATE(2026,5,5),tblDaily[WardCode],"BG")),"")</f>
        <v/>
      </c>
      <c r="D167" s="12">
        <f>IFERROR(IF(SUMIFS(tblDaily[Deaths],tblDaily[EntryDate],DATE(2026,5,5),tblDaily[WardCode],"BG")=0,"",SUMIFS(tblDaily[Deaths],tblDaily[EntryDate],DATE(2026,5,5),tblDaily[WardCode],"BG")),"")</f>
        <v/>
      </c>
      <c r="E167" s="12">
        <f>IFERROR(IF(SUMIFS(tblDaily[DeathsUnder24Hrs],tblDaily[EntryDate],DATE(2026,5,5),tblDaily[WardCode],"BG")=0,"",SUMIFS(tblDaily[DeathsUnder24Hrs],tblDaily[EntryDate],DATE(2026,5,5),tblDaily[WardCode],"BG")),"")</f>
        <v/>
      </c>
      <c r="F167" s="12">
        <f>IFERROR(IF(SUMIFS(tblDaily[TransfersIn],tblDaily[EntryDate],DATE(2026,5,5),tblDaily[WardCode],"BG")=0,"",SUMIFS(tblDaily[TransfersIn],tblDaily[EntryDate],DATE(2026,5,5),tblDaily[WardCode],"BG")),"")</f>
        <v/>
      </c>
      <c r="G167" s="12">
        <f>IFERROR(IF(SUMIFS(tblDaily[TransfersOut],tblDaily[EntryDate],DATE(2026,5,5),tblDaily[WardCode],"BG")=0,"",SUMIFS(tblDaily[TransfersOut],tblDaily[EntryDate],DATE(2026,5,5),tblDaily[WardCode],"BG")),"")</f>
        <v/>
      </c>
      <c r="H167" s="12">
        <f>IFERROR(IF(SUMIFS(tblDaily[Remaining],tblDaily[EntryDate],DATE(2026,5,5),tblDaily[WardCode],"BG")=0,"",SUMIFS(tblDaily[Remaining],tblDaily[EntryDate],DATE(2026,5,5),tblDaily[WardCode],"BG")),"")</f>
        <v/>
      </c>
    </row>
    <row r="168">
      <c r="A168" s="12" t="n">
        <v>6</v>
      </c>
      <c r="B168" s="12">
        <f>IFERROR(IF(SUMIFS(tblDaily[Admissions],tblDaily[EntryDate],DATE(2026,5,6),tblDaily[WardCode],"BG")=0,"",SUMIFS(tblDaily[Admissions],tblDaily[EntryDate],DATE(2026,5,6),tblDaily[WardCode],"BG")),"")</f>
        <v/>
      </c>
      <c r="C168" s="12">
        <f>IFERROR(IF(SUMIFS(tblDaily[Discharges],tblDaily[EntryDate],DATE(2026,5,6),tblDaily[WardCode],"BG")=0,"",SUMIFS(tblDaily[Discharges],tblDaily[EntryDate],DATE(2026,5,6),tblDaily[WardCode],"BG")),"")</f>
        <v/>
      </c>
      <c r="D168" s="12">
        <f>IFERROR(IF(SUMIFS(tblDaily[Deaths],tblDaily[EntryDate],DATE(2026,5,6),tblDaily[WardCode],"BG")=0,"",SUMIFS(tblDaily[Deaths],tblDaily[EntryDate],DATE(2026,5,6),tblDaily[WardCode],"BG")),"")</f>
        <v/>
      </c>
      <c r="E168" s="12">
        <f>IFERROR(IF(SUMIFS(tblDaily[DeathsUnder24Hrs],tblDaily[EntryDate],DATE(2026,5,6),tblDaily[WardCode],"BG")=0,"",SUMIFS(tblDaily[DeathsUnder24Hrs],tblDaily[EntryDate],DATE(2026,5,6),tblDaily[WardCode],"BG")),"")</f>
        <v/>
      </c>
      <c r="F168" s="12">
        <f>IFERROR(IF(SUMIFS(tblDaily[TransfersIn],tblDaily[EntryDate],DATE(2026,5,6),tblDaily[WardCode],"BG")=0,"",SUMIFS(tblDaily[TransfersIn],tblDaily[EntryDate],DATE(2026,5,6),tblDaily[WardCode],"BG")),"")</f>
        <v/>
      </c>
      <c r="G168" s="12">
        <f>IFERROR(IF(SUMIFS(tblDaily[TransfersOut],tblDaily[EntryDate],DATE(2026,5,6),tblDaily[WardCode],"BG")=0,"",SUMIFS(tblDaily[TransfersOut],tblDaily[EntryDate],DATE(2026,5,6),tblDaily[WardCode],"BG")),"")</f>
        <v/>
      </c>
      <c r="H168" s="12">
        <f>IFERROR(IF(SUMIFS(tblDaily[Remaining],tblDaily[EntryDate],DATE(2026,5,6),tblDaily[WardCode],"BG")=0,"",SUMIFS(tblDaily[Remaining],tblDaily[EntryDate],DATE(2026,5,6),tblDaily[WardCode],"BG")),"")</f>
        <v/>
      </c>
    </row>
    <row r="169">
      <c r="A169" s="12" t="n">
        <v>7</v>
      </c>
      <c r="B169" s="12">
        <f>IFERROR(IF(SUMIFS(tblDaily[Admissions],tblDaily[EntryDate],DATE(2026,5,7),tblDaily[WardCode],"BG")=0,"",SUMIFS(tblDaily[Admissions],tblDaily[EntryDate],DATE(2026,5,7),tblDaily[WardCode],"BG")),"")</f>
        <v/>
      </c>
      <c r="C169" s="12">
        <f>IFERROR(IF(SUMIFS(tblDaily[Discharges],tblDaily[EntryDate],DATE(2026,5,7),tblDaily[WardCode],"BG")=0,"",SUMIFS(tblDaily[Discharges],tblDaily[EntryDate],DATE(2026,5,7),tblDaily[WardCode],"BG")),"")</f>
        <v/>
      </c>
      <c r="D169" s="12">
        <f>IFERROR(IF(SUMIFS(tblDaily[Deaths],tblDaily[EntryDate],DATE(2026,5,7),tblDaily[WardCode],"BG")=0,"",SUMIFS(tblDaily[Deaths],tblDaily[EntryDate],DATE(2026,5,7),tblDaily[WardCode],"BG")),"")</f>
        <v/>
      </c>
      <c r="E169" s="12">
        <f>IFERROR(IF(SUMIFS(tblDaily[DeathsUnder24Hrs],tblDaily[EntryDate],DATE(2026,5,7),tblDaily[WardCode],"BG")=0,"",SUMIFS(tblDaily[DeathsUnder24Hrs],tblDaily[EntryDate],DATE(2026,5,7),tblDaily[WardCode],"BG")),"")</f>
        <v/>
      </c>
      <c r="F169" s="12">
        <f>IFERROR(IF(SUMIFS(tblDaily[TransfersIn],tblDaily[EntryDate],DATE(2026,5,7),tblDaily[WardCode],"BG")=0,"",SUMIFS(tblDaily[TransfersIn],tblDaily[EntryDate],DATE(2026,5,7),tblDaily[WardCode],"BG")),"")</f>
        <v/>
      </c>
      <c r="G169" s="12">
        <f>IFERROR(IF(SUMIFS(tblDaily[TransfersOut],tblDaily[EntryDate],DATE(2026,5,7),tblDaily[WardCode],"BG")=0,"",SUMIFS(tblDaily[TransfersOut],tblDaily[EntryDate],DATE(2026,5,7),tblDaily[WardCode],"BG")),"")</f>
        <v/>
      </c>
      <c r="H169" s="12">
        <f>IFERROR(IF(SUMIFS(tblDaily[Remaining],tblDaily[EntryDate],DATE(2026,5,7),tblDaily[WardCode],"BG")=0,"",SUMIFS(tblDaily[Remaining],tblDaily[EntryDate],DATE(2026,5,7),tblDaily[WardCode],"BG")),"")</f>
        <v/>
      </c>
    </row>
    <row r="170">
      <c r="A170" s="12" t="n">
        <v>8</v>
      </c>
      <c r="B170" s="12">
        <f>IFERROR(IF(SUMIFS(tblDaily[Admissions],tblDaily[EntryDate],DATE(2026,5,8),tblDaily[WardCode],"BG")=0,"",SUMIFS(tblDaily[Admissions],tblDaily[EntryDate],DATE(2026,5,8),tblDaily[WardCode],"BG")),"")</f>
        <v/>
      </c>
      <c r="C170" s="12">
        <f>IFERROR(IF(SUMIFS(tblDaily[Discharges],tblDaily[EntryDate],DATE(2026,5,8),tblDaily[WardCode],"BG")=0,"",SUMIFS(tblDaily[Discharges],tblDaily[EntryDate],DATE(2026,5,8),tblDaily[WardCode],"BG")),"")</f>
        <v/>
      </c>
      <c r="D170" s="12">
        <f>IFERROR(IF(SUMIFS(tblDaily[Deaths],tblDaily[EntryDate],DATE(2026,5,8),tblDaily[WardCode],"BG")=0,"",SUMIFS(tblDaily[Deaths],tblDaily[EntryDate],DATE(2026,5,8),tblDaily[WardCode],"BG")),"")</f>
        <v/>
      </c>
      <c r="E170" s="12">
        <f>IFERROR(IF(SUMIFS(tblDaily[DeathsUnder24Hrs],tblDaily[EntryDate],DATE(2026,5,8),tblDaily[WardCode],"BG")=0,"",SUMIFS(tblDaily[DeathsUnder24Hrs],tblDaily[EntryDate],DATE(2026,5,8),tblDaily[WardCode],"BG")),"")</f>
        <v/>
      </c>
      <c r="F170" s="12">
        <f>IFERROR(IF(SUMIFS(tblDaily[TransfersIn],tblDaily[EntryDate],DATE(2026,5,8),tblDaily[WardCode],"BG")=0,"",SUMIFS(tblDaily[TransfersIn],tblDaily[EntryDate],DATE(2026,5,8),tblDaily[WardCode],"BG")),"")</f>
        <v/>
      </c>
      <c r="G170" s="12">
        <f>IFERROR(IF(SUMIFS(tblDaily[TransfersOut],tblDaily[EntryDate],DATE(2026,5,8),tblDaily[WardCode],"BG")=0,"",SUMIFS(tblDaily[TransfersOut],tblDaily[EntryDate],DATE(2026,5,8),tblDaily[WardCode],"BG")),"")</f>
        <v/>
      </c>
      <c r="H170" s="12">
        <f>IFERROR(IF(SUMIFS(tblDaily[Remaining],tblDaily[EntryDate],DATE(2026,5,8),tblDaily[WardCode],"BG")=0,"",SUMIFS(tblDaily[Remaining],tblDaily[EntryDate],DATE(2026,5,8),tblDaily[WardCode],"BG")),"")</f>
        <v/>
      </c>
    </row>
    <row r="171">
      <c r="A171" s="12" t="n">
        <v>9</v>
      </c>
      <c r="B171" s="12">
        <f>IFERROR(IF(SUMIFS(tblDaily[Admissions],tblDaily[EntryDate],DATE(2026,5,9),tblDaily[WardCode],"BG")=0,"",SUMIFS(tblDaily[Admissions],tblDaily[EntryDate],DATE(2026,5,9),tblDaily[WardCode],"BG")),"")</f>
        <v/>
      </c>
      <c r="C171" s="12">
        <f>IFERROR(IF(SUMIFS(tblDaily[Discharges],tblDaily[EntryDate],DATE(2026,5,9),tblDaily[WardCode],"BG")=0,"",SUMIFS(tblDaily[Discharges],tblDaily[EntryDate],DATE(2026,5,9),tblDaily[WardCode],"BG")),"")</f>
        <v/>
      </c>
      <c r="D171" s="12">
        <f>IFERROR(IF(SUMIFS(tblDaily[Deaths],tblDaily[EntryDate],DATE(2026,5,9),tblDaily[WardCode],"BG")=0,"",SUMIFS(tblDaily[Deaths],tblDaily[EntryDate],DATE(2026,5,9),tblDaily[WardCode],"BG")),"")</f>
        <v/>
      </c>
      <c r="E171" s="12">
        <f>IFERROR(IF(SUMIFS(tblDaily[DeathsUnder24Hrs],tblDaily[EntryDate],DATE(2026,5,9),tblDaily[WardCode],"BG")=0,"",SUMIFS(tblDaily[DeathsUnder24Hrs],tblDaily[EntryDate],DATE(2026,5,9),tblDaily[WardCode],"BG")),"")</f>
        <v/>
      </c>
      <c r="F171" s="12">
        <f>IFERROR(IF(SUMIFS(tblDaily[TransfersIn],tblDaily[EntryDate],DATE(2026,5,9),tblDaily[WardCode],"BG")=0,"",SUMIFS(tblDaily[TransfersIn],tblDaily[EntryDate],DATE(2026,5,9),tblDaily[WardCode],"BG")),"")</f>
        <v/>
      </c>
      <c r="G171" s="12">
        <f>IFERROR(IF(SUMIFS(tblDaily[TransfersOut],tblDaily[EntryDate],DATE(2026,5,9),tblDaily[WardCode],"BG")=0,"",SUMIFS(tblDaily[TransfersOut],tblDaily[EntryDate],DATE(2026,5,9),tblDaily[WardCode],"BG")),"")</f>
        <v/>
      </c>
      <c r="H171" s="12">
        <f>IFERROR(IF(SUMIFS(tblDaily[Remaining],tblDaily[EntryDate],DATE(2026,5,9),tblDaily[WardCode],"BG")=0,"",SUMIFS(tblDaily[Remaining],tblDaily[EntryDate],DATE(2026,5,9),tblDaily[WardCode],"BG")),"")</f>
        <v/>
      </c>
    </row>
    <row r="172">
      <c r="A172" s="12" t="n">
        <v>10</v>
      </c>
      <c r="B172" s="12">
        <f>IFERROR(IF(SUMIFS(tblDaily[Admissions],tblDaily[EntryDate],DATE(2026,5,10),tblDaily[WardCode],"BG")=0,"",SUMIFS(tblDaily[Admissions],tblDaily[EntryDate],DATE(2026,5,10),tblDaily[WardCode],"BG")),"")</f>
        <v/>
      </c>
      <c r="C172" s="12">
        <f>IFERROR(IF(SUMIFS(tblDaily[Discharges],tblDaily[EntryDate],DATE(2026,5,10),tblDaily[WardCode],"BG")=0,"",SUMIFS(tblDaily[Discharges],tblDaily[EntryDate],DATE(2026,5,10),tblDaily[WardCode],"BG")),"")</f>
        <v/>
      </c>
      <c r="D172" s="12">
        <f>IFERROR(IF(SUMIFS(tblDaily[Deaths],tblDaily[EntryDate],DATE(2026,5,10),tblDaily[WardCode],"BG")=0,"",SUMIFS(tblDaily[Deaths],tblDaily[EntryDate],DATE(2026,5,10),tblDaily[WardCode],"BG")),"")</f>
        <v/>
      </c>
      <c r="E172" s="12">
        <f>IFERROR(IF(SUMIFS(tblDaily[DeathsUnder24Hrs],tblDaily[EntryDate],DATE(2026,5,10),tblDaily[WardCode],"BG")=0,"",SUMIFS(tblDaily[DeathsUnder24Hrs],tblDaily[EntryDate],DATE(2026,5,10),tblDaily[WardCode],"BG")),"")</f>
        <v/>
      </c>
      <c r="F172" s="12">
        <f>IFERROR(IF(SUMIFS(tblDaily[TransfersIn],tblDaily[EntryDate],DATE(2026,5,10),tblDaily[WardCode],"BG")=0,"",SUMIFS(tblDaily[TransfersIn],tblDaily[EntryDate],DATE(2026,5,10),tblDaily[WardCode],"BG")),"")</f>
        <v/>
      </c>
      <c r="G172" s="12">
        <f>IFERROR(IF(SUMIFS(tblDaily[TransfersOut],tblDaily[EntryDate],DATE(2026,5,10),tblDaily[WardCode],"BG")=0,"",SUMIFS(tblDaily[TransfersOut],tblDaily[EntryDate],DATE(2026,5,10),tblDaily[WardCode],"BG")),"")</f>
        <v/>
      </c>
      <c r="H172" s="12">
        <f>IFERROR(IF(SUMIFS(tblDaily[Remaining],tblDaily[EntryDate],DATE(2026,5,10),tblDaily[WardCode],"BG")=0,"",SUMIFS(tblDaily[Remaining],tblDaily[EntryDate],DATE(2026,5,10),tblDaily[WardCode],"BG")),"")</f>
        <v/>
      </c>
    </row>
    <row r="173">
      <c r="A173" s="12" t="n">
        <v>11</v>
      </c>
      <c r="B173" s="12">
        <f>IFERROR(IF(SUMIFS(tblDaily[Admissions],tblDaily[EntryDate],DATE(2026,5,11),tblDaily[WardCode],"BG")=0,"",SUMIFS(tblDaily[Admissions],tblDaily[EntryDate],DATE(2026,5,11),tblDaily[WardCode],"BG")),"")</f>
        <v/>
      </c>
      <c r="C173" s="12">
        <f>IFERROR(IF(SUMIFS(tblDaily[Discharges],tblDaily[EntryDate],DATE(2026,5,11),tblDaily[WardCode],"BG")=0,"",SUMIFS(tblDaily[Discharges],tblDaily[EntryDate],DATE(2026,5,11),tblDaily[WardCode],"BG")),"")</f>
        <v/>
      </c>
      <c r="D173" s="12">
        <f>IFERROR(IF(SUMIFS(tblDaily[Deaths],tblDaily[EntryDate],DATE(2026,5,11),tblDaily[WardCode],"BG")=0,"",SUMIFS(tblDaily[Deaths],tblDaily[EntryDate],DATE(2026,5,11),tblDaily[WardCode],"BG")),"")</f>
        <v/>
      </c>
      <c r="E173" s="12">
        <f>IFERROR(IF(SUMIFS(tblDaily[DeathsUnder24Hrs],tblDaily[EntryDate],DATE(2026,5,11),tblDaily[WardCode],"BG")=0,"",SUMIFS(tblDaily[DeathsUnder24Hrs],tblDaily[EntryDate],DATE(2026,5,11),tblDaily[WardCode],"BG")),"")</f>
        <v/>
      </c>
      <c r="F173" s="12">
        <f>IFERROR(IF(SUMIFS(tblDaily[TransfersIn],tblDaily[EntryDate],DATE(2026,5,11),tblDaily[WardCode],"BG")=0,"",SUMIFS(tblDaily[TransfersIn],tblDaily[EntryDate],DATE(2026,5,11),tblDaily[WardCode],"BG")),"")</f>
        <v/>
      </c>
      <c r="G173" s="12">
        <f>IFERROR(IF(SUMIFS(tblDaily[TransfersOut],tblDaily[EntryDate],DATE(2026,5,11),tblDaily[WardCode],"BG")=0,"",SUMIFS(tblDaily[TransfersOut],tblDaily[EntryDate],DATE(2026,5,11),tblDaily[WardCode],"BG")),"")</f>
        <v/>
      </c>
      <c r="H173" s="12">
        <f>IFERROR(IF(SUMIFS(tblDaily[Remaining],tblDaily[EntryDate],DATE(2026,5,11),tblDaily[WardCode],"BG")=0,"",SUMIFS(tblDaily[Remaining],tblDaily[EntryDate],DATE(2026,5,11),tblDaily[WardCode],"BG")),"")</f>
        <v/>
      </c>
    </row>
    <row r="174">
      <c r="A174" s="12" t="n">
        <v>12</v>
      </c>
      <c r="B174" s="12">
        <f>IFERROR(IF(SUMIFS(tblDaily[Admissions],tblDaily[EntryDate],DATE(2026,5,12),tblDaily[WardCode],"BG")=0,"",SUMIFS(tblDaily[Admissions],tblDaily[EntryDate],DATE(2026,5,12),tblDaily[WardCode],"BG")),"")</f>
        <v/>
      </c>
      <c r="C174" s="12">
        <f>IFERROR(IF(SUMIFS(tblDaily[Discharges],tblDaily[EntryDate],DATE(2026,5,12),tblDaily[WardCode],"BG")=0,"",SUMIFS(tblDaily[Discharges],tblDaily[EntryDate],DATE(2026,5,12),tblDaily[WardCode],"BG")),"")</f>
        <v/>
      </c>
      <c r="D174" s="12">
        <f>IFERROR(IF(SUMIFS(tblDaily[Deaths],tblDaily[EntryDate],DATE(2026,5,12),tblDaily[WardCode],"BG")=0,"",SUMIFS(tblDaily[Deaths],tblDaily[EntryDate],DATE(2026,5,12),tblDaily[WardCode],"BG")),"")</f>
        <v/>
      </c>
      <c r="E174" s="12">
        <f>IFERROR(IF(SUMIFS(tblDaily[DeathsUnder24Hrs],tblDaily[EntryDate],DATE(2026,5,12),tblDaily[WardCode],"BG")=0,"",SUMIFS(tblDaily[DeathsUnder24Hrs],tblDaily[EntryDate],DATE(2026,5,12),tblDaily[WardCode],"BG")),"")</f>
        <v/>
      </c>
      <c r="F174" s="12">
        <f>IFERROR(IF(SUMIFS(tblDaily[TransfersIn],tblDaily[EntryDate],DATE(2026,5,12),tblDaily[WardCode],"BG")=0,"",SUMIFS(tblDaily[TransfersIn],tblDaily[EntryDate],DATE(2026,5,12),tblDaily[WardCode],"BG")),"")</f>
        <v/>
      </c>
      <c r="G174" s="12">
        <f>IFERROR(IF(SUMIFS(tblDaily[TransfersOut],tblDaily[EntryDate],DATE(2026,5,12),tblDaily[WardCode],"BG")=0,"",SUMIFS(tblDaily[TransfersOut],tblDaily[EntryDate],DATE(2026,5,12),tblDaily[WardCode],"BG")),"")</f>
        <v/>
      </c>
      <c r="H174" s="12">
        <f>IFERROR(IF(SUMIFS(tblDaily[Remaining],tblDaily[EntryDate],DATE(2026,5,12),tblDaily[WardCode],"BG")=0,"",SUMIFS(tblDaily[Remaining],tblDaily[EntryDate],DATE(2026,5,12),tblDaily[WardCode],"BG")),"")</f>
        <v/>
      </c>
    </row>
    <row r="175">
      <c r="A175" s="12" t="n">
        <v>13</v>
      </c>
      <c r="B175" s="12">
        <f>IFERROR(IF(SUMIFS(tblDaily[Admissions],tblDaily[EntryDate],DATE(2026,5,13),tblDaily[WardCode],"BG")=0,"",SUMIFS(tblDaily[Admissions],tblDaily[EntryDate],DATE(2026,5,13),tblDaily[WardCode],"BG")),"")</f>
        <v/>
      </c>
      <c r="C175" s="12">
        <f>IFERROR(IF(SUMIFS(tblDaily[Discharges],tblDaily[EntryDate],DATE(2026,5,13),tblDaily[WardCode],"BG")=0,"",SUMIFS(tblDaily[Discharges],tblDaily[EntryDate],DATE(2026,5,13),tblDaily[WardCode],"BG")),"")</f>
        <v/>
      </c>
      <c r="D175" s="12">
        <f>IFERROR(IF(SUMIFS(tblDaily[Deaths],tblDaily[EntryDate],DATE(2026,5,13),tblDaily[WardCode],"BG")=0,"",SUMIFS(tblDaily[Deaths],tblDaily[EntryDate],DATE(2026,5,13),tblDaily[WardCode],"BG")),"")</f>
        <v/>
      </c>
      <c r="E175" s="12">
        <f>IFERROR(IF(SUMIFS(tblDaily[DeathsUnder24Hrs],tblDaily[EntryDate],DATE(2026,5,13),tblDaily[WardCode],"BG")=0,"",SUMIFS(tblDaily[DeathsUnder24Hrs],tblDaily[EntryDate],DATE(2026,5,13),tblDaily[WardCode],"BG")),"")</f>
        <v/>
      </c>
      <c r="F175" s="12">
        <f>IFERROR(IF(SUMIFS(tblDaily[TransfersIn],tblDaily[EntryDate],DATE(2026,5,13),tblDaily[WardCode],"BG")=0,"",SUMIFS(tblDaily[TransfersIn],tblDaily[EntryDate],DATE(2026,5,13),tblDaily[WardCode],"BG")),"")</f>
        <v/>
      </c>
      <c r="G175" s="12">
        <f>IFERROR(IF(SUMIFS(tblDaily[TransfersOut],tblDaily[EntryDate],DATE(2026,5,13),tblDaily[WardCode],"BG")=0,"",SUMIFS(tblDaily[TransfersOut],tblDaily[EntryDate],DATE(2026,5,13),tblDaily[WardCode],"BG")),"")</f>
        <v/>
      </c>
      <c r="H175" s="12">
        <f>IFERROR(IF(SUMIFS(tblDaily[Remaining],tblDaily[EntryDate],DATE(2026,5,13),tblDaily[WardCode],"BG")=0,"",SUMIFS(tblDaily[Remaining],tblDaily[EntryDate],DATE(2026,5,13),tblDaily[WardCode],"BG")),"")</f>
        <v/>
      </c>
    </row>
    <row r="176">
      <c r="A176" s="12" t="n">
        <v>14</v>
      </c>
      <c r="B176" s="12">
        <f>IFERROR(IF(SUMIFS(tblDaily[Admissions],tblDaily[EntryDate],DATE(2026,5,14),tblDaily[WardCode],"BG")=0,"",SUMIFS(tblDaily[Admissions],tblDaily[EntryDate],DATE(2026,5,14),tblDaily[WardCode],"BG")),"")</f>
        <v/>
      </c>
      <c r="C176" s="12">
        <f>IFERROR(IF(SUMIFS(tblDaily[Discharges],tblDaily[EntryDate],DATE(2026,5,14),tblDaily[WardCode],"BG")=0,"",SUMIFS(tblDaily[Discharges],tblDaily[EntryDate],DATE(2026,5,14),tblDaily[WardCode],"BG")),"")</f>
        <v/>
      </c>
      <c r="D176" s="12">
        <f>IFERROR(IF(SUMIFS(tblDaily[Deaths],tblDaily[EntryDate],DATE(2026,5,14),tblDaily[WardCode],"BG")=0,"",SUMIFS(tblDaily[Deaths],tblDaily[EntryDate],DATE(2026,5,14),tblDaily[WardCode],"BG")),"")</f>
        <v/>
      </c>
      <c r="E176" s="12">
        <f>IFERROR(IF(SUMIFS(tblDaily[DeathsUnder24Hrs],tblDaily[EntryDate],DATE(2026,5,14),tblDaily[WardCode],"BG")=0,"",SUMIFS(tblDaily[DeathsUnder24Hrs],tblDaily[EntryDate],DATE(2026,5,14),tblDaily[WardCode],"BG")),"")</f>
        <v/>
      </c>
      <c r="F176" s="12">
        <f>IFERROR(IF(SUMIFS(tblDaily[TransfersIn],tblDaily[EntryDate],DATE(2026,5,14),tblDaily[WardCode],"BG")=0,"",SUMIFS(tblDaily[TransfersIn],tblDaily[EntryDate],DATE(2026,5,14),tblDaily[WardCode],"BG")),"")</f>
        <v/>
      </c>
      <c r="G176" s="12">
        <f>IFERROR(IF(SUMIFS(tblDaily[TransfersOut],tblDaily[EntryDate],DATE(2026,5,14),tblDaily[WardCode],"BG")=0,"",SUMIFS(tblDaily[TransfersOut],tblDaily[EntryDate],DATE(2026,5,14),tblDaily[WardCode],"BG")),"")</f>
        <v/>
      </c>
      <c r="H176" s="12">
        <f>IFERROR(IF(SUMIFS(tblDaily[Remaining],tblDaily[EntryDate],DATE(2026,5,14),tblDaily[WardCode],"BG")=0,"",SUMIFS(tblDaily[Remaining],tblDaily[EntryDate],DATE(2026,5,14),tblDaily[WardCode],"BG")),"")</f>
        <v/>
      </c>
    </row>
    <row r="177">
      <c r="A177" s="12" t="n">
        <v>15</v>
      </c>
      <c r="B177" s="12">
        <f>IFERROR(IF(SUMIFS(tblDaily[Admissions],tblDaily[EntryDate],DATE(2026,5,15),tblDaily[WardCode],"BG")=0,"",SUMIFS(tblDaily[Admissions],tblDaily[EntryDate],DATE(2026,5,15),tblDaily[WardCode],"BG")),"")</f>
        <v/>
      </c>
      <c r="C177" s="12">
        <f>IFERROR(IF(SUMIFS(tblDaily[Discharges],tblDaily[EntryDate],DATE(2026,5,15),tblDaily[WardCode],"BG")=0,"",SUMIFS(tblDaily[Discharges],tblDaily[EntryDate],DATE(2026,5,15),tblDaily[WardCode],"BG")),"")</f>
        <v/>
      </c>
      <c r="D177" s="12">
        <f>IFERROR(IF(SUMIFS(tblDaily[Deaths],tblDaily[EntryDate],DATE(2026,5,15),tblDaily[WardCode],"BG")=0,"",SUMIFS(tblDaily[Deaths],tblDaily[EntryDate],DATE(2026,5,15),tblDaily[WardCode],"BG")),"")</f>
        <v/>
      </c>
      <c r="E177" s="12">
        <f>IFERROR(IF(SUMIFS(tblDaily[DeathsUnder24Hrs],tblDaily[EntryDate],DATE(2026,5,15),tblDaily[WardCode],"BG")=0,"",SUMIFS(tblDaily[DeathsUnder24Hrs],tblDaily[EntryDate],DATE(2026,5,15),tblDaily[WardCode],"BG")),"")</f>
        <v/>
      </c>
      <c r="F177" s="12">
        <f>IFERROR(IF(SUMIFS(tblDaily[TransfersIn],tblDaily[EntryDate],DATE(2026,5,15),tblDaily[WardCode],"BG")=0,"",SUMIFS(tblDaily[TransfersIn],tblDaily[EntryDate],DATE(2026,5,15),tblDaily[WardCode],"BG")),"")</f>
        <v/>
      </c>
      <c r="G177" s="12">
        <f>IFERROR(IF(SUMIFS(tblDaily[TransfersOut],tblDaily[EntryDate],DATE(2026,5,15),tblDaily[WardCode],"BG")=0,"",SUMIFS(tblDaily[TransfersOut],tblDaily[EntryDate],DATE(2026,5,15),tblDaily[WardCode],"BG")),"")</f>
        <v/>
      </c>
      <c r="H177" s="12">
        <f>IFERROR(IF(SUMIFS(tblDaily[Remaining],tblDaily[EntryDate],DATE(2026,5,15),tblDaily[WardCode],"BG")=0,"",SUMIFS(tblDaily[Remaining],tblDaily[EntryDate],DATE(2026,5,15),tblDaily[WardCode],"BG")),"")</f>
        <v/>
      </c>
    </row>
    <row r="178">
      <c r="A178" s="12" t="n">
        <v>16</v>
      </c>
      <c r="B178" s="12">
        <f>IFERROR(IF(SUMIFS(tblDaily[Admissions],tblDaily[EntryDate],DATE(2026,5,16),tblDaily[WardCode],"BG")=0,"",SUMIFS(tblDaily[Admissions],tblDaily[EntryDate],DATE(2026,5,16),tblDaily[WardCode],"BG")),"")</f>
        <v/>
      </c>
      <c r="C178" s="12">
        <f>IFERROR(IF(SUMIFS(tblDaily[Discharges],tblDaily[EntryDate],DATE(2026,5,16),tblDaily[WardCode],"BG")=0,"",SUMIFS(tblDaily[Discharges],tblDaily[EntryDate],DATE(2026,5,16),tblDaily[WardCode],"BG")),"")</f>
        <v/>
      </c>
      <c r="D178" s="12">
        <f>IFERROR(IF(SUMIFS(tblDaily[Deaths],tblDaily[EntryDate],DATE(2026,5,16),tblDaily[WardCode],"BG")=0,"",SUMIFS(tblDaily[Deaths],tblDaily[EntryDate],DATE(2026,5,16),tblDaily[WardCode],"BG")),"")</f>
        <v/>
      </c>
      <c r="E178" s="12">
        <f>IFERROR(IF(SUMIFS(tblDaily[DeathsUnder24Hrs],tblDaily[EntryDate],DATE(2026,5,16),tblDaily[WardCode],"BG")=0,"",SUMIFS(tblDaily[DeathsUnder24Hrs],tblDaily[EntryDate],DATE(2026,5,16),tblDaily[WardCode],"BG")),"")</f>
        <v/>
      </c>
      <c r="F178" s="12">
        <f>IFERROR(IF(SUMIFS(tblDaily[TransfersIn],tblDaily[EntryDate],DATE(2026,5,16),tblDaily[WardCode],"BG")=0,"",SUMIFS(tblDaily[TransfersIn],tblDaily[EntryDate],DATE(2026,5,16),tblDaily[WardCode],"BG")),"")</f>
        <v/>
      </c>
      <c r="G178" s="12">
        <f>IFERROR(IF(SUMIFS(tblDaily[TransfersOut],tblDaily[EntryDate],DATE(2026,5,16),tblDaily[WardCode],"BG")=0,"",SUMIFS(tblDaily[TransfersOut],tblDaily[EntryDate],DATE(2026,5,16),tblDaily[WardCode],"BG")),"")</f>
        <v/>
      </c>
      <c r="H178" s="12">
        <f>IFERROR(IF(SUMIFS(tblDaily[Remaining],tblDaily[EntryDate],DATE(2026,5,16),tblDaily[WardCode],"BG")=0,"",SUMIFS(tblDaily[Remaining],tblDaily[EntryDate],DATE(2026,5,16),tblDaily[WardCode],"BG")),"")</f>
        <v/>
      </c>
    </row>
    <row r="179">
      <c r="A179" s="12" t="n">
        <v>17</v>
      </c>
      <c r="B179" s="12">
        <f>IFERROR(IF(SUMIFS(tblDaily[Admissions],tblDaily[EntryDate],DATE(2026,5,17),tblDaily[WardCode],"BG")=0,"",SUMIFS(tblDaily[Admissions],tblDaily[EntryDate],DATE(2026,5,17),tblDaily[WardCode],"BG")),"")</f>
        <v/>
      </c>
      <c r="C179" s="12">
        <f>IFERROR(IF(SUMIFS(tblDaily[Discharges],tblDaily[EntryDate],DATE(2026,5,17),tblDaily[WardCode],"BG")=0,"",SUMIFS(tblDaily[Discharges],tblDaily[EntryDate],DATE(2026,5,17),tblDaily[WardCode],"BG")),"")</f>
        <v/>
      </c>
      <c r="D179" s="12">
        <f>IFERROR(IF(SUMIFS(tblDaily[Deaths],tblDaily[EntryDate],DATE(2026,5,17),tblDaily[WardCode],"BG")=0,"",SUMIFS(tblDaily[Deaths],tblDaily[EntryDate],DATE(2026,5,17),tblDaily[WardCode],"BG")),"")</f>
        <v/>
      </c>
      <c r="E179" s="12">
        <f>IFERROR(IF(SUMIFS(tblDaily[DeathsUnder24Hrs],tblDaily[EntryDate],DATE(2026,5,17),tblDaily[WardCode],"BG")=0,"",SUMIFS(tblDaily[DeathsUnder24Hrs],tblDaily[EntryDate],DATE(2026,5,17),tblDaily[WardCode],"BG")),"")</f>
        <v/>
      </c>
      <c r="F179" s="12">
        <f>IFERROR(IF(SUMIFS(tblDaily[TransfersIn],tblDaily[EntryDate],DATE(2026,5,17),tblDaily[WardCode],"BG")=0,"",SUMIFS(tblDaily[TransfersIn],tblDaily[EntryDate],DATE(2026,5,17),tblDaily[WardCode],"BG")),"")</f>
        <v/>
      </c>
      <c r="G179" s="12">
        <f>IFERROR(IF(SUMIFS(tblDaily[TransfersOut],tblDaily[EntryDate],DATE(2026,5,17),tblDaily[WardCode],"BG")=0,"",SUMIFS(tblDaily[TransfersOut],tblDaily[EntryDate],DATE(2026,5,17),tblDaily[WardCode],"BG")),"")</f>
        <v/>
      </c>
      <c r="H179" s="12">
        <f>IFERROR(IF(SUMIFS(tblDaily[Remaining],tblDaily[EntryDate],DATE(2026,5,17),tblDaily[WardCode],"BG")=0,"",SUMIFS(tblDaily[Remaining],tblDaily[EntryDate],DATE(2026,5,17),tblDaily[WardCode],"BG")),"")</f>
        <v/>
      </c>
    </row>
    <row r="180">
      <c r="A180" s="12" t="n">
        <v>18</v>
      </c>
      <c r="B180" s="12">
        <f>IFERROR(IF(SUMIFS(tblDaily[Admissions],tblDaily[EntryDate],DATE(2026,5,18),tblDaily[WardCode],"BG")=0,"",SUMIFS(tblDaily[Admissions],tblDaily[EntryDate],DATE(2026,5,18),tblDaily[WardCode],"BG")),"")</f>
        <v/>
      </c>
      <c r="C180" s="12">
        <f>IFERROR(IF(SUMIFS(tblDaily[Discharges],tblDaily[EntryDate],DATE(2026,5,18),tblDaily[WardCode],"BG")=0,"",SUMIFS(tblDaily[Discharges],tblDaily[EntryDate],DATE(2026,5,18),tblDaily[WardCode],"BG")),"")</f>
        <v/>
      </c>
      <c r="D180" s="12">
        <f>IFERROR(IF(SUMIFS(tblDaily[Deaths],tblDaily[EntryDate],DATE(2026,5,18),tblDaily[WardCode],"BG")=0,"",SUMIFS(tblDaily[Deaths],tblDaily[EntryDate],DATE(2026,5,18),tblDaily[WardCode],"BG")),"")</f>
        <v/>
      </c>
      <c r="E180" s="12">
        <f>IFERROR(IF(SUMIFS(tblDaily[DeathsUnder24Hrs],tblDaily[EntryDate],DATE(2026,5,18),tblDaily[WardCode],"BG")=0,"",SUMIFS(tblDaily[DeathsUnder24Hrs],tblDaily[EntryDate],DATE(2026,5,18),tblDaily[WardCode],"BG")),"")</f>
        <v/>
      </c>
      <c r="F180" s="12">
        <f>IFERROR(IF(SUMIFS(tblDaily[TransfersIn],tblDaily[EntryDate],DATE(2026,5,18),tblDaily[WardCode],"BG")=0,"",SUMIFS(tblDaily[TransfersIn],tblDaily[EntryDate],DATE(2026,5,18),tblDaily[WardCode],"BG")),"")</f>
        <v/>
      </c>
      <c r="G180" s="12">
        <f>IFERROR(IF(SUMIFS(tblDaily[TransfersOut],tblDaily[EntryDate],DATE(2026,5,18),tblDaily[WardCode],"BG")=0,"",SUMIFS(tblDaily[TransfersOut],tblDaily[EntryDate],DATE(2026,5,18),tblDaily[WardCode],"BG")),"")</f>
        <v/>
      </c>
      <c r="H180" s="12">
        <f>IFERROR(IF(SUMIFS(tblDaily[Remaining],tblDaily[EntryDate],DATE(2026,5,18),tblDaily[WardCode],"BG")=0,"",SUMIFS(tblDaily[Remaining],tblDaily[EntryDate],DATE(2026,5,18),tblDaily[WardCode],"BG")),"")</f>
        <v/>
      </c>
    </row>
    <row r="181">
      <c r="A181" s="12" t="n">
        <v>19</v>
      </c>
      <c r="B181" s="12">
        <f>IFERROR(IF(SUMIFS(tblDaily[Admissions],tblDaily[EntryDate],DATE(2026,5,19),tblDaily[WardCode],"BG")=0,"",SUMIFS(tblDaily[Admissions],tblDaily[EntryDate],DATE(2026,5,19),tblDaily[WardCode],"BG")),"")</f>
        <v/>
      </c>
      <c r="C181" s="12">
        <f>IFERROR(IF(SUMIFS(tblDaily[Discharges],tblDaily[EntryDate],DATE(2026,5,19),tblDaily[WardCode],"BG")=0,"",SUMIFS(tblDaily[Discharges],tblDaily[EntryDate],DATE(2026,5,19),tblDaily[WardCode],"BG")),"")</f>
        <v/>
      </c>
      <c r="D181" s="12">
        <f>IFERROR(IF(SUMIFS(tblDaily[Deaths],tblDaily[EntryDate],DATE(2026,5,19),tblDaily[WardCode],"BG")=0,"",SUMIFS(tblDaily[Deaths],tblDaily[EntryDate],DATE(2026,5,19),tblDaily[WardCode],"BG")),"")</f>
        <v/>
      </c>
      <c r="E181" s="12">
        <f>IFERROR(IF(SUMIFS(tblDaily[DeathsUnder24Hrs],tblDaily[EntryDate],DATE(2026,5,19),tblDaily[WardCode],"BG")=0,"",SUMIFS(tblDaily[DeathsUnder24Hrs],tblDaily[EntryDate],DATE(2026,5,19),tblDaily[WardCode],"BG")),"")</f>
        <v/>
      </c>
      <c r="F181" s="12">
        <f>IFERROR(IF(SUMIFS(tblDaily[TransfersIn],tblDaily[EntryDate],DATE(2026,5,19),tblDaily[WardCode],"BG")=0,"",SUMIFS(tblDaily[TransfersIn],tblDaily[EntryDate],DATE(2026,5,19),tblDaily[WardCode],"BG")),"")</f>
        <v/>
      </c>
      <c r="G181" s="12">
        <f>IFERROR(IF(SUMIFS(tblDaily[TransfersOut],tblDaily[EntryDate],DATE(2026,5,19),tblDaily[WardCode],"BG")=0,"",SUMIFS(tblDaily[TransfersOut],tblDaily[EntryDate],DATE(2026,5,19),tblDaily[WardCode],"BG")),"")</f>
        <v/>
      </c>
      <c r="H181" s="12">
        <f>IFERROR(IF(SUMIFS(tblDaily[Remaining],tblDaily[EntryDate],DATE(2026,5,19),tblDaily[WardCode],"BG")=0,"",SUMIFS(tblDaily[Remaining],tblDaily[EntryDate],DATE(2026,5,19),tblDaily[WardCode],"BG")),"")</f>
        <v/>
      </c>
    </row>
    <row r="182">
      <c r="A182" s="12" t="n">
        <v>20</v>
      </c>
      <c r="B182" s="12">
        <f>IFERROR(IF(SUMIFS(tblDaily[Admissions],tblDaily[EntryDate],DATE(2026,5,20),tblDaily[WardCode],"BG")=0,"",SUMIFS(tblDaily[Admissions],tblDaily[EntryDate],DATE(2026,5,20),tblDaily[WardCode],"BG")),"")</f>
        <v/>
      </c>
      <c r="C182" s="12">
        <f>IFERROR(IF(SUMIFS(tblDaily[Discharges],tblDaily[EntryDate],DATE(2026,5,20),tblDaily[WardCode],"BG")=0,"",SUMIFS(tblDaily[Discharges],tblDaily[EntryDate],DATE(2026,5,20),tblDaily[WardCode],"BG")),"")</f>
        <v/>
      </c>
      <c r="D182" s="12">
        <f>IFERROR(IF(SUMIFS(tblDaily[Deaths],tblDaily[EntryDate],DATE(2026,5,20),tblDaily[WardCode],"BG")=0,"",SUMIFS(tblDaily[Deaths],tblDaily[EntryDate],DATE(2026,5,20),tblDaily[WardCode],"BG")),"")</f>
        <v/>
      </c>
      <c r="E182" s="12">
        <f>IFERROR(IF(SUMIFS(tblDaily[DeathsUnder24Hrs],tblDaily[EntryDate],DATE(2026,5,20),tblDaily[WardCode],"BG")=0,"",SUMIFS(tblDaily[DeathsUnder24Hrs],tblDaily[EntryDate],DATE(2026,5,20),tblDaily[WardCode],"BG")),"")</f>
        <v/>
      </c>
      <c r="F182" s="12">
        <f>IFERROR(IF(SUMIFS(tblDaily[TransfersIn],tblDaily[EntryDate],DATE(2026,5,20),tblDaily[WardCode],"BG")=0,"",SUMIFS(tblDaily[TransfersIn],tblDaily[EntryDate],DATE(2026,5,20),tblDaily[WardCode],"BG")),"")</f>
        <v/>
      </c>
      <c r="G182" s="12">
        <f>IFERROR(IF(SUMIFS(tblDaily[TransfersOut],tblDaily[EntryDate],DATE(2026,5,20),tblDaily[WardCode],"BG")=0,"",SUMIFS(tblDaily[TransfersOut],tblDaily[EntryDate],DATE(2026,5,20),tblDaily[WardCode],"BG")),"")</f>
        <v/>
      </c>
      <c r="H182" s="12">
        <f>IFERROR(IF(SUMIFS(tblDaily[Remaining],tblDaily[EntryDate],DATE(2026,5,20),tblDaily[WardCode],"BG")=0,"",SUMIFS(tblDaily[Remaining],tblDaily[EntryDate],DATE(2026,5,20),tblDaily[WardCode],"BG")),"")</f>
        <v/>
      </c>
    </row>
    <row r="183">
      <c r="A183" s="12" t="n">
        <v>21</v>
      </c>
      <c r="B183" s="12">
        <f>IFERROR(IF(SUMIFS(tblDaily[Admissions],tblDaily[EntryDate],DATE(2026,5,21),tblDaily[WardCode],"BG")=0,"",SUMIFS(tblDaily[Admissions],tblDaily[EntryDate],DATE(2026,5,21),tblDaily[WardCode],"BG")),"")</f>
        <v/>
      </c>
      <c r="C183" s="12">
        <f>IFERROR(IF(SUMIFS(tblDaily[Discharges],tblDaily[EntryDate],DATE(2026,5,21),tblDaily[WardCode],"BG")=0,"",SUMIFS(tblDaily[Discharges],tblDaily[EntryDate],DATE(2026,5,21),tblDaily[WardCode],"BG")),"")</f>
        <v/>
      </c>
      <c r="D183" s="12">
        <f>IFERROR(IF(SUMIFS(tblDaily[Deaths],tblDaily[EntryDate],DATE(2026,5,21),tblDaily[WardCode],"BG")=0,"",SUMIFS(tblDaily[Deaths],tblDaily[EntryDate],DATE(2026,5,21),tblDaily[WardCode],"BG")),"")</f>
        <v/>
      </c>
      <c r="E183" s="12">
        <f>IFERROR(IF(SUMIFS(tblDaily[DeathsUnder24Hrs],tblDaily[EntryDate],DATE(2026,5,21),tblDaily[WardCode],"BG")=0,"",SUMIFS(tblDaily[DeathsUnder24Hrs],tblDaily[EntryDate],DATE(2026,5,21),tblDaily[WardCode],"BG")),"")</f>
        <v/>
      </c>
      <c r="F183" s="12">
        <f>IFERROR(IF(SUMIFS(tblDaily[TransfersIn],tblDaily[EntryDate],DATE(2026,5,21),tblDaily[WardCode],"BG")=0,"",SUMIFS(tblDaily[TransfersIn],tblDaily[EntryDate],DATE(2026,5,21),tblDaily[WardCode],"BG")),"")</f>
        <v/>
      </c>
      <c r="G183" s="12">
        <f>IFERROR(IF(SUMIFS(tblDaily[TransfersOut],tblDaily[EntryDate],DATE(2026,5,21),tblDaily[WardCode],"BG")=0,"",SUMIFS(tblDaily[TransfersOut],tblDaily[EntryDate],DATE(2026,5,21),tblDaily[WardCode],"BG")),"")</f>
        <v/>
      </c>
      <c r="H183" s="12">
        <f>IFERROR(IF(SUMIFS(tblDaily[Remaining],tblDaily[EntryDate],DATE(2026,5,21),tblDaily[WardCode],"BG")=0,"",SUMIFS(tblDaily[Remaining],tblDaily[EntryDate],DATE(2026,5,21),tblDaily[WardCode],"BG")),"")</f>
        <v/>
      </c>
    </row>
    <row r="184">
      <c r="A184" s="12" t="n">
        <v>22</v>
      </c>
      <c r="B184" s="12">
        <f>IFERROR(IF(SUMIFS(tblDaily[Admissions],tblDaily[EntryDate],DATE(2026,5,22),tblDaily[WardCode],"BG")=0,"",SUMIFS(tblDaily[Admissions],tblDaily[EntryDate],DATE(2026,5,22),tblDaily[WardCode],"BG")),"")</f>
        <v/>
      </c>
      <c r="C184" s="12">
        <f>IFERROR(IF(SUMIFS(tblDaily[Discharges],tblDaily[EntryDate],DATE(2026,5,22),tblDaily[WardCode],"BG")=0,"",SUMIFS(tblDaily[Discharges],tblDaily[EntryDate],DATE(2026,5,22),tblDaily[WardCode],"BG")),"")</f>
        <v/>
      </c>
      <c r="D184" s="12">
        <f>IFERROR(IF(SUMIFS(tblDaily[Deaths],tblDaily[EntryDate],DATE(2026,5,22),tblDaily[WardCode],"BG")=0,"",SUMIFS(tblDaily[Deaths],tblDaily[EntryDate],DATE(2026,5,22),tblDaily[WardCode],"BG")),"")</f>
        <v/>
      </c>
      <c r="E184" s="12">
        <f>IFERROR(IF(SUMIFS(tblDaily[DeathsUnder24Hrs],tblDaily[EntryDate],DATE(2026,5,22),tblDaily[WardCode],"BG")=0,"",SUMIFS(tblDaily[DeathsUnder24Hrs],tblDaily[EntryDate],DATE(2026,5,22),tblDaily[WardCode],"BG")),"")</f>
        <v/>
      </c>
      <c r="F184" s="12">
        <f>IFERROR(IF(SUMIFS(tblDaily[TransfersIn],tblDaily[EntryDate],DATE(2026,5,22),tblDaily[WardCode],"BG")=0,"",SUMIFS(tblDaily[TransfersIn],tblDaily[EntryDate],DATE(2026,5,22),tblDaily[WardCode],"BG")),"")</f>
        <v/>
      </c>
      <c r="G184" s="12">
        <f>IFERROR(IF(SUMIFS(tblDaily[TransfersOut],tblDaily[EntryDate],DATE(2026,5,22),tblDaily[WardCode],"BG")=0,"",SUMIFS(tblDaily[TransfersOut],tblDaily[EntryDate],DATE(2026,5,22),tblDaily[WardCode],"BG")),"")</f>
        <v/>
      </c>
      <c r="H184" s="12">
        <f>IFERROR(IF(SUMIFS(tblDaily[Remaining],tblDaily[EntryDate],DATE(2026,5,22),tblDaily[WardCode],"BG")=0,"",SUMIFS(tblDaily[Remaining],tblDaily[EntryDate],DATE(2026,5,22),tblDaily[WardCode],"BG")),"")</f>
        <v/>
      </c>
    </row>
    <row r="185">
      <c r="A185" s="12" t="n">
        <v>23</v>
      </c>
      <c r="B185" s="12">
        <f>IFERROR(IF(SUMIFS(tblDaily[Admissions],tblDaily[EntryDate],DATE(2026,5,23),tblDaily[WardCode],"BG")=0,"",SUMIFS(tblDaily[Admissions],tblDaily[EntryDate],DATE(2026,5,23),tblDaily[WardCode],"BG")),"")</f>
        <v/>
      </c>
      <c r="C185" s="12">
        <f>IFERROR(IF(SUMIFS(tblDaily[Discharges],tblDaily[EntryDate],DATE(2026,5,23),tblDaily[WardCode],"BG")=0,"",SUMIFS(tblDaily[Discharges],tblDaily[EntryDate],DATE(2026,5,23),tblDaily[WardCode],"BG")),"")</f>
        <v/>
      </c>
      <c r="D185" s="12">
        <f>IFERROR(IF(SUMIFS(tblDaily[Deaths],tblDaily[EntryDate],DATE(2026,5,23),tblDaily[WardCode],"BG")=0,"",SUMIFS(tblDaily[Deaths],tblDaily[EntryDate],DATE(2026,5,23),tblDaily[WardCode],"BG")),"")</f>
        <v/>
      </c>
      <c r="E185" s="12">
        <f>IFERROR(IF(SUMIFS(tblDaily[DeathsUnder24Hrs],tblDaily[EntryDate],DATE(2026,5,23),tblDaily[WardCode],"BG")=0,"",SUMIFS(tblDaily[DeathsUnder24Hrs],tblDaily[EntryDate],DATE(2026,5,23),tblDaily[WardCode],"BG")),"")</f>
        <v/>
      </c>
      <c r="F185" s="12">
        <f>IFERROR(IF(SUMIFS(tblDaily[TransfersIn],tblDaily[EntryDate],DATE(2026,5,23),tblDaily[WardCode],"BG")=0,"",SUMIFS(tblDaily[TransfersIn],tblDaily[EntryDate],DATE(2026,5,23),tblDaily[WardCode],"BG")),"")</f>
        <v/>
      </c>
      <c r="G185" s="12">
        <f>IFERROR(IF(SUMIFS(tblDaily[TransfersOut],tblDaily[EntryDate],DATE(2026,5,23),tblDaily[WardCode],"BG")=0,"",SUMIFS(tblDaily[TransfersOut],tblDaily[EntryDate],DATE(2026,5,23),tblDaily[WardCode],"BG")),"")</f>
        <v/>
      </c>
      <c r="H185" s="12">
        <f>IFERROR(IF(SUMIFS(tblDaily[Remaining],tblDaily[EntryDate],DATE(2026,5,23),tblDaily[WardCode],"BG")=0,"",SUMIFS(tblDaily[Remaining],tblDaily[EntryDate],DATE(2026,5,23),tblDaily[WardCode],"BG")),"")</f>
        <v/>
      </c>
    </row>
    <row r="186">
      <c r="A186" s="12" t="n">
        <v>24</v>
      </c>
      <c r="B186" s="12">
        <f>IFERROR(IF(SUMIFS(tblDaily[Admissions],tblDaily[EntryDate],DATE(2026,5,24),tblDaily[WardCode],"BG")=0,"",SUMIFS(tblDaily[Admissions],tblDaily[EntryDate],DATE(2026,5,24),tblDaily[WardCode],"BG")),"")</f>
        <v/>
      </c>
      <c r="C186" s="12">
        <f>IFERROR(IF(SUMIFS(tblDaily[Discharges],tblDaily[EntryDate],DATE(2026,5,24),tblDaily[WardCode],"BG")=0,"",SUMIFS(tblDaily[Discharges],tblDaily[EntryDate],DATE(2026,5,24),tblDaily[WardCode],"BG")),"")</f>
        <v/>
      </c>
      <c r="D186" s="12">
        <f>IFERROR(IF(SUMIFS(tblDaily[Deaths],tblDaily[EntryDate],DATE(2026,5,24),tblDaily[WardCode],"BG")=0,"",SUMIFS(tblDaily[Deaths],tblDaily[EntryDate],DATE(2026,5,24),tblDaily[WardCode],"BG")),"")</f>
        <v/>
      </c>
      <c r="E186" s="12">
        <f>IFERROR(IF(SUMIFS(tblDaily[DeathsUnder24Hrs],tblDaily[EntryDate],DATE(2026,5,24),tblDaily[WardCode],"BG")=0,"",SUMIFS(tblDaily[DeathsUnder24Hrs],tblDaily[EntryDate],DATE(2026,5,24),tblDaily[WardCode],"BG")),"")</f>
        <v/>
      </c>
      <c r="F186" s="12">
        <f>IFERROR(IF(SUMIFS(tblDaily[TransfersIn],tblDaily[EntryDate],DATE(2026,5,24),tblDaily[WardCode],"BG")=0,"",SUMIFS(tblDaily[TransfersIn],tblDaily[EntryDate],DATE(2026,5,24),tblDaily[WardCode],"BG")),"")</f>
        <v/>
      </c>
      <c r="G186" s="12">
        <f>IFERROR(IF(SUMIFS(tblDaily[TransfersOut],tblDaily[EntryDate],DATE(2026,5,24),tblDaily[WardCode],"BG")=0,"",SUMIFS(tblDaily[TransfersOut],tblDaily[EntryDate],DATE(2026,5,24),tblDaily[WardCode],"BG")),"")</f>
        <v/>
      </c>
      <c r="H186" s="12">
        <f>IFERROR(IF(SUMIFS(tblDaily[Remaining],tblDaily[EntryDate],DATE(2026,5,24),tblDaily[WardCode],"BG")=0,"",SUMIFS(tblDaily[Remaining],tblDaily[EntryDate],DATE(2026,5,24),tblDaily[WardCode],"BG")),"")</f>
        <v/>
      </c>
    </row>
    <row r="187">
      <c r="A187" s="12" t="n">
        <v>25</v>
      </c>
      <c r="B187" s="12">
        <f>IFERROR(IF(SUMIFS(tblDaily[Admissions],tblDaily[EntryDate],DATE(2026,5,25),tblDaily[WardCode],"BG")=0,"",SUMIFS(tblDaily[Admissions],tblDaily[EntryDate],DATE(2026,5,25),tblDaily[WardCode],"BG")),"")</f>
        <v/>
      </c>
      <c r="C187" s="12">
        <f>IFERROR(IF(SUMIFS(tblDaily[Discharges],tblDaily[EntryDate],DATE(2026,5,25),tblDaily[WardCode],"BG")=0,"",SUMIFS(tblDaily[Discharges],tblDaily[EntryDate],DATE(2026,5,25),tblDaily[WardCode],"BG")),"")</f>
        <v/>
      </c>
      <c r="D187" s="12">
        <f>IFERROR(IF(SUMIFS(tblDaily[Deaths],tblDaily[EntryDate],DATE(2026,5,25),tblDaily[WardCode],"BG")=0,"",SUMIFS(tblDaily[Deaths],tblDaily[EntryDate],DATE(2026,5,25),tblDaily[WardCode],"BG")),"")</f>
        <v/>
      </c>
      <c r="E187" s="12">
        <f>IFERROR(IF(SUMIFS(tblDaily[DeathsUnder24Hrs],tblDaily[EntryDate],DATE(2026,5,25),tblDaily[WardCode],"BG")=0,"",SUMIFS(tblDaily[DeathsUnder24Hrs],tblDaily[EntryDate],DATE(2026,5,25),tblDaily[WardCode],"BG")),"")</f>
        <v/>
      </c>
      <c r="F187" s="12">
        <f>IFERROR(IF(SUMIFS(tblDaily[TransfersIn],tblDaily[EntryDate],DATE(2026,5,25),tblDaily[WardCode],"BG")=0,"",SUMIFS(tblDaily[TransfersIn],tblDaily[EntryDate],DATE(2026,5,25),tblDaily[WardCode],"BG")),"")</f>
        <v/>
      </c>
      <c r="G187" s="12">
        <f>IFERROR(IF(SUMIFS(tblDaily[TransfersOut],tblDaily[EntryDate],DATE(2026,5,25),tblDaily[WardCode],"BG")=0,"",SUMIFS(tblDaily[TransfersOut],tblDaily[EntryDate],DATE(2026,5,25),tblDaily[WardCode],"BG")),"")</f>
        <v/>
      </c>
      <c r="H187" s="12">
        <f>IFERROR(IF(SUMIFS(tblDaily[Remaining],tblDaily[EntryDate],DATE(2026,5,25),tblDaily[WardCode],"BG")=0,"",SUMIFS(tblDaily[Remaining],tblDaily[EntryDate],DATE(2026,5,25),tblDaily[WardCode],"BG")),"")</f>
        <v/>
      </c>
    </row>
    <row r="188">
      <c r="A188" s="12" t="n">
        <v>26</v>
      </c>
      <c r="B188" s="12">
        <f>IFERROR(IF(SUMIFS(tblDaily[Admissions],tblDaily[EntryDate],DATE(2026,5,26),tblDaily[WardCode],"BG")=0,"",SUMIFS(tblDaily[Admissions],tblDaily[EntryDate],DATE(2026,5,26),tblDaily[WardCode],"BG")),"")</f>
        <v/>
      </c>
      <c r="C188" s="12">
        <f>IFERROR(IF(SUMIFS(tblDaily[Discharges],tblDaily[EntryDate],DATE(2026,5,26),tblDaily[WardCode],"BG")=0,"",SUMIFS(tblDaily[Discharges],tblDaily[EntryDate],DATE(2026,5,26),tblDaily[WardCode],"BG")),"")</f>
        <v/>
      </c>
      <c r="D188" s="12">
        <f>IFERROR(IF(SUMIFS(tblDaily[Deaths],tblDaily[EntryDate],DATE(2026,5,26),tblDaily[WardCode],"BG")=0,"",SUMIFS(tblDaily[Deaths],tblDaily[EntryDate],DATE(2026,5,26),tblDaily[WardCode],"BG")),"")</f>
        <v/>
      </c>
      <c r="E188" s="12">
        <f>IFERROR(IF(SUMIFS(tblDaily[DeathsUnder24Hrs],tblDaily[EntryDate],DATE(2026,5,26),tblDaily[WardCode],"BG")=0,"",SUMIFS(tblDaily[DeathsUnder24Hrs],tblDaily[EntryDate],DATE(2026,5,26),tblDaily[WardCode],"BG")),"")</f>
        <v/>
      </c>
      <c r="F188" s="12">
        <f>IFERROR(IF(SUMIFS(tblDaily[TransfersIn],tblDaily[EntryDate],DATE(2026,5,26),tblDaily[WardCode],"BG")=0,"",SUMIFS(tblDaily[TransfersIn],tblDaily[EntryDate],DATE(2026,5,26),tblDaily[WardCode],"BG")),"")</f>
        <v/>
      </c>
      <c r="G188" s="12">
        <f>IFERROR(IF(SUMIFS(tblDaily[TransfersOut],tblDaily[EntryDate],DATE(2026,5,26),tblDaily[WardCode],"BG")=0,"",SUMIFS(tblDaily[TransfersOut],tblDaily[EntryDate],DATE(2026,5,26),tblDaily[WardCode],"BG")),"")</f>
        <v/>
      </c>
      <c r="H188" s="12">
        <f>IFERROR(IF(SUMIFS(tblDaily[Remaining],tblDaily[EntryDate],DATE(2026,5,26),tblDaily[WardCode],"BG")=0,"",SUMIFS(tblDaily[Remaining],tblDaily[EntryDate],DATE(2026,5,26),tblDaily[WardCode],"BG")),"")</f>
        <v/>
      </c>
    </row>
    <row r="189">
      <c r="A189" s="12" t="n">
        <v>27</v>
      </c>
      <c r="B189" s="12">
        <f>IFERROR(IF(SUMIFS(tblDaily[Admissions],tblDaily[EntryDate],DATE(2026,5,27),tblDaily[WardCode],"BG")=0,"",SUMIFS(tblDaily[Admissions],tblDaily[EntryDate],DATE(2026,5,27),tblDaily[WardCode],"BG")),"")</f>
        <v/>
      </c>
      <c r="C189" s="12">
        <f>IFERROR(IF(SUMIFS(tblDaily[Discharges],tblDaily[EntryDate],DATE(2026,5,27),tblDaily[WardCode],"BG")=0,"",SUMIFS(tblDaily[Discharges],tblDaily[EntryDate],DATE(2026,5,27),tblDaily[WardCode],"BG")),"")</f>
        <v/>
      </c>
      <c r="D189" s="12">
        <f>IFERROR(IF(SUMIFS(tblDaily[Deaths],tblDaily[EntryDate],DATE(2026,5,27),tblDaily[WardCode],"BG")=0,"",SUMIFS(tblDaily[Deaths],tblDaily[EntryDate],DATE(2026,5,27),tblDaily[WardCode],"BG")),"")</f>
        <v/>
      </c>
      <c r="E189" s="12">
        <f>IFERROR(IF(SUMIFS(tblDaily[DeathsUnder24Hrs],tblDaily[EntryDate],DATE(2026,5,27),tblDaily[WardCode],"BG")=0,"",SUMIFS(tblDaily[DeathsUnder24Hrs],tblDaily[EntryDate],DATE(2026,5,27),tblDaily[WardCode],"BG")),"")</f>
        <v/>
      </c>
      <c r="F189" s="12">
        <f>IFERROR(IF(SUMIFS(tblDaily[TransfersIn],tblDaily[EntryDate],DATE(2026,5,27),tblDaily[WardCode],"BG")=0,"",SUMIFS(tblDaily[TransfersIn],tblDaily[EntryDate],DATE(2026,5,27),tblDaily[WardCode],"BG")),"")</f>
        <v/>
      </c>
      <c r="G189" s="12">
        <f>IFERROR(IF(SUMIFS(tblDaily[TransfersOut],tblDaily[EntryDate],DATE(2026,5,27),tblDaily[WardCode],"BG")=0,"",SUMIFS(tblDaily[TransfersOut],tblDaily[EntryDate],DATE(2026,5,27),tblDaily[WardCode],"BG")),"")</f>
        <v/>
      </c>
      <c r="H189" s="12">
        <f>IFERROR(IF(SUMIFS(tblDaily[Remaining],tblDaily[EntryDate],DATE(2026,5,27),tblDaily[WardCode],"BG")=0,"",SUMIFS(tblDaily[Remaining],tblDaily[EntryDate],DATE(2026,5,27),tblDaily[WardCode],"BG")),"")</f>
        <v/>
      </c>
    </row>
    <row r="190">
      <c r="A190" s="12" t="n">
        <v>28</v>
      </c>
      <c r="B190" s="12">
        <f>IFERROR(IF(SUMIFS(tblDaily[Admissions],tblDaily[EntryDate],DATE(2026,5,28),tblDaily[WardCode],"BG")=0,"",SUMIFS(tblDaily[Admissions],tblDaily[EntryDate],DATE(2026,5,28),tblDaily[WardCode],"BG")),"")</f>
        <v/>
      </c>
      <c r="C190" s="12">
        <f>IFERROR(IF(SUMIFS(tblDaily[Discharges],tblDaily[EntryDate],DATE(2026,5,28),tblDaily[WardCode],"BG")=0,"",SUMIFS(tblDaily[Discharges],tblDaily[EntryDate],DATE(2026,5,28),tblDaily[WardCode],"BG")),"")</f>
        <v/>
      </c>
      <c r="D190" s="12">
        <f>IFERROR(IF(SUMIFS(tblDaily[Deaths],tblDaily[EntryDate],DATE(2026,5,28),tblDaily[WardCode],"BG")=0,"",SUMIFS(tblDaily[Deaths],tblDaily[EntryDate],DATE(2026,5,28),tblDaily[WardCode],"BG")),"")</f>
        <v/>
      </c>
      <c r="E190" s="12">
        <f>IFERROR(IF(SUMIFS(tblDaily[DeathsUnder24Hrs],tblDaily[EntryDate],DATE(2026,5,28),tblDaily[WardCode],"BG")=0,"",SUMIFS(tblDaily[DeathsUnder24Hrs],tblDaily[EntryDate],DATE(2026,5,28),tblDaily[WardCode],"BG")),"")</f>
        <v/>
      </c>
      <c r="F190" s="12">
        <f>IFERROR(IF(SUMIFS(tblDaily[TransfersIn],tblDaily[EntryDate],DATE(2026,5,28),tblDaily[WardCode],"BG")=0,"",SUMIFS(tblDaily[TransfersIn],tblDaily[EntryDate],DATE(2026,5,28),tblDaily[WardCode],"BG")),"")</f>
        <v/>
      </c>
      <c r="G190" s="12">
        <f>IFERROR(IF(SUMIFS(tblDaily[TransfersOut],tblDaily[EntryDate],DATE(2026,5,28),tblDaily[WardCode],"BG")=0,"",SUMIFS(tblDaily[TransfersOut],tblDaily[EntryDate],DATE(2026,5,28),tblDaily[WardCode],"BG")),"")</f>
        <v/>
      </c>
      <c r="H190" s="12">
        <f>IFERROR(IF(SUMIFS(tblDaily[Remaining],tblDaily[EntryDate],DATE(2026,5,28),tblDaily[WardCode],"BG")=0,"",SUMIFS(tblDaily[Remaining],tblDaily[EntryDate],DATE(2026,5,28),tblDaily[WardCode],"BG")),"")</f>
        <v/>
      </c>
    </row>
    <row r="191">
      <c r="A191" s="12" t="n">
        <v>29</v>
      </c>
      <c r="B191" s="12">
        <f>IFERROR(IF(SUMIFS(tblDaily[Admissions],tblDaily[EntryDate],DATE(2026,5,29),tblDaily[WardCode],"BG")=0,"",SUMIFS(tblDaily[Admissions],tblDaily[EntryDate],DATE(2026,5,29),tblDaily[WardCode],"BG")),"")</f>
        <v/>
      </c>
      <c r="C191" s="12">
        <f>IFERROR(IF(SUMIFS(tblDaily[Discharges],tblDaily[EntryDate],DATE(2026,5,29),tblDaily[WardCode],"BG")=0,"",SUMIFS(tblDaily[Discharges],tblDaily[EntryDate],DATE(2026,5,29),tblDaily[WardCode],"BG")),"")</f>
        <v/>
      </c>
      <c r="D191" s="12">
        <f>IFERROR(IF(SUMIFS(tblDaily[Deaths],tblDaily[EntryDate],DATE(2026,5,29),tblDaily[WardCode],"BG")=0,"",SUMIFS(tblDaily[Deaths],tblDaily[EntryDate],DATE(2026,5,29),tblDaily[WardCode],"BG")),"")</f>
        <v/>
      </c>
      <c r="E191" s="12">
        <f>IFERROR(IF(SUMIFS(tblDaily[DeathsUnder24Hrs],tblDaily[EntryDate],DATE(2026,5,29),tblDaily[WardCode],"BG")=0,"",SUMIFS(tblDaily[DeathsUnder24Hrs],tblDaily[EntryDate],DATE(2026,5,29),tblDaily[WardCode],"BG")),"")</f>
        <v/>
      </c>
      <c r="F191" s="12">
        <f>IFERROR(IF(SUMIFS(tblDaily[TransfersIn],tblDaily[EntryDate],DATE(2026,5,29),tblDaily[WardCode],"BG")=0,"",SUMIFS(tblDaily[TransfersIn],tblDaily[EntryDate],DATE(2026,5,29),tblDaily[WardCode],"BG")),"")</f>
        <v/>
      </c>
      <c r="G191" s="12">
        <f>IFERROR(IF(SUMIFS(tblDaily[TransfersOut],tblDaily[EntryDate],DATE(2026,5,29),tblDaily[WardCode],"BG")=0,"",SUMIFS(tblDaily[TransfersOut],tblDaily[EntryDate],DATE(2026,5,29),tblDaily[WardCode],"BG")),"")</f>
        <v/>
      </c>
      <c r="H191" s="12">
        <f>IFERROR(IF(SUMIFS(tblDaily[Remaining],tblDaily[EntryDate],DATE(2026,5,29),tblDaily[WardCode],"BG")=0,"",SUMIFS(tblDaily[Remaining],tblDaily[EntryDate],DATE(2026,5,29),tblDaily[WardCode],"BG")),"")</f>
        <v/>
      </c>
    </row>
    <row r="192">
      <c r="A192" s="12" t="n">
        <v>30</v>
      </c>
      <c r="B192" s="12">
        <f>IFERROR(IF(SUMIFS(tblDaily[Admissions],tblDaily[EntryDate],DATE(2026,5,30),tblDaily[WardCode],"BG")=0,"",SUMIFS(tblDaily[Admissions],tblDaily[EntryDate],DATE(2026,5,30),tblDaily[WardCode],"BG")),"")</f>
        <v/>
      </c>
      <c r="C192" s="12">
        <f>IFERROR(IF(SUMIFS(tblDaily[Discharges],tblDaily[EntryDate],DATE(2026,5,30),tblDaily[WardCode],"BG")=0,"",SUMIFS(tblDaily[Discharges],tblDaily[EntryDate],DATE(2026,5,30),tblDaily[WardCode],"BG")),"")</f>
        <v/>
      </c>
      <c r="D192" s="12">
        <f>IFERROR(IF(SUMIFS(tblDaily[Deaths],tblDaily[EntryDate],DATE(2026,5,30),tblDaily[WardCode],"BG")=0,"",SUMIFS(tblDaily[Deaths],tblDaily[EntryDate],DATE(2026,5,30),tblDaily[WardCode],"BG")),"")</f>
        <v/>
      </c>
      <c r="E192" s="12">
        <f>IFERROR(IF(SUMIFS(tblDaily[DeathsUnder24Hrs],tblDaily[EntryDate],DATE(2026,5,30),tblDaily[WardCode],"BG")=0,"",SUMIFS(tblDaily[DeathsUnder24Hrs],tblDaily[EntryDate],DATE(2026,5,30),tblDaily[WardCode],"BG")),"")</f>
        <v/>
      </c>
      <c r="F192" s="12">
        <f>IFERROR(IF(SUMIFS(tblDaily[TransfersIn],tblDaily[EntryDate],DATE(2026,5,30),tblDaily[WardCode],"BG")=0,"",SUMIFS(tblDaily[TransfersIn],tblDaily[EntryDate],DATE(2026,5,30),tblDaily[WardCode],"BG")),"")</f>
        <v/>
      </c>
      <c r="G192" s="12">
        <f>IFERROR(IF(SUMIFS(tblDaily[TransfersOut],tblDaily[EntryDate],DATE(2026,5,30),tblDaily[WardCode],"BG")=0,"",SUMIFS(tblDaily[TransfersOut],tblDaily[EntryDate],DATE(2026,5,30),tblDaily[WardCode],"BG")),"")</f>
        <v/>
      </c>
      <c r="H192" s="12">
        <f>IFERROR(IF(SUMIFS(tblDaily[Remaining],tblDaily[EntryDate],DATE(2026,5,30),tblDaily[WardCode],"BG")=0,"",SUMIFS(tblDaily[Remaining],tblDaily[EntryDate],DATE(2026,5,30),tblDaily[WardCode],"BG")),"")</f>
        <v/>
      </c>
    </row>
    <row r="193">
      <c r="A193" s="12" t="n">
        <v>31</v>
      </c>
      <c r="B193" s="12">
        <f>IFERROR(IF(SUMIFS(tblDaily[Admissions],tblDaily[EntryDate],DATE(2026,5,31),tblDaily[WardCode],"BG")=0,"",SUMIFS(tblDaily[Admissions],tblDaily[EntryDate],DATE(2026,5,31),tblDaily[WardCode],"BG")),"")</f>
        <v/>
      </c>
      <c r="C193" s="12">
        <f>IFERROR(IF(SUMIFS(tblDaily[Discharges],tblDaily[EntryDate],DATE(2026,5,31),tblDaily[WardCode],"BG")=0,"",SUMIFS(tblDaily[Discharges],tblDaily[EntryDate],DATE(2026,5,31),tblDaily[WardCode],"BG")),"")</f>
        <v/>
      </c>
      <c r="D193" s="12">
        <f>IFERROR(IF(SUMIFS(tblDaily[Deaths],tblDaily[EntryDate],DATE(2026,5,31),tblDaily[WardCode],"BG")=0,"",SUMIFS(tblDaily[Deaths],tblDaily[EntryDate],DATE(2026,5,31),tblDaily[WardCode],"BG")),"")</f>
        <v/>
      </c>
      <c r="E193" s="12">
        <f>IFERROR(IF(SUMIFS(tblDaily[DeathsUnder24Hrs],tblDaily[EntryDate],DATE(2026,5,31),tblDaily[WardCode],"BG")=0,"",SUMIFS(tblDaily[DeathsUnder24Hrs],tblDaily[EntryDate],DATE(2026,5,31),tblDaily[WardCode],"BG")),"")</f>
        <v/>
      </c>
      <c r="F193" s="12">
        <f>IFERROR(IF(SUMIFS(tblDaily[TransfersIn],tblDaily[EntryDate],DATE(2026,5,31),tblDaily[WardCode],"BG")=0,"",SUMIFS(tblDaily[TransfersIn],tblDaily[EntryDate],DATE(2026,5,31),tblDaily[WardCode],"BG")),"")</f>
        <v/>
      </c>
      <c r="G193" s="12">
        <f>IFERROR(IF(SUMIFS(tblDaily[TransfersOut],tblDaily[EntryDate],DATE(2026,5,31),tblDaily[WardCode],"BG")=0,"",SUMIFS(tblDaily[TransfersOut],tblDaily[EntryDate],DATE(2026,5,31),tblDaily[WardCode],"BG")),"")</f>
        <v/>
      </c>
      <c r="H193" s="12">
        <f>IFERROR(IF(SUMIFS(tblDaily[Remaining],tblDaily[EntryDate],DATE(2026,5,31),tblDaily[WardCode],"BG")=0,"",SUMIFS(tblDaily[Remaining],tblDaily[EntryDate],DATE(2026,5,31),tblDaily[WardCode],"BG")),"")</f>
        <v/>
      </c>
    </row>
    <row r="194">
      <c r="A194" s="17" t="inlineStr">
        <is>
          <t>TOTAL</t>
        </is>
      </c>
      <c r="B194" s="17">
        <f>SUMIFS(tblDaily[Admissions],tblDaily[Month],5,tblDaily[WardCode],"BG") - SUMIFS(tblDaily[DeathsUnder24Hrs],tblDaily[Month],5,tblDaily[WardCode],"BG")</f>
        <v/>
      </c>
      <c r="C194" s="17">
        <f>SUMIFS(tblDaily[Discharges],tblDaily[Month],5,tblDaily[WardCode],"BG")</f>
        <v/>
      </c>
      <c r="D194" s="17">
        <f>SUMIFS(tblDaily[Deaths],tblDaily[Month],5,tblDaily[WardCode],"BG")</f>
        <v/>
      </c>
      <c r="E194" s="17">
        <f>SUMIFS(tblDaily[DeathsUnder24Hrs],tblDaily[Month],5,tblDaily[WardCode],"BG")</f>
        <v/>
      </c>
      <c r="F194" s="17">
        <f>SUMIFS(tblDaily[TransfersIn],tblDaily[Month],5,tblDaily[WardCode],"BG")</f>
        <v/>
      </c>
      <c r="G194" s="17">
        <f>SUMIFS(tblDaily[TransfersOut],tblDaily[Month],5,tblDaily[WardCode],"BG")</f>
        <v/>
      </c>
      <c r="H194" s="17">
        <f>SUMIFS(tblDaily[Remaining],tblDaily[Month],5,tblDaily[WardCode],"BG")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BLOCK G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4">
        <f>IFERROR(SUMIFS(tblDaily[Remaining],tblDaily[EntryDate],DATE(2026,5,31),tblDaily[WardCode],"BG"),0)</f>
        <v/>
      </c>
    </row>
    <row r="200">
      <c r="A200" s="4" t="inlineStr">
        <is>
          <t>Bed complement</t>
        </is>
      </c>
      <c r="H200" s="15">
        <f>IFERROR(INDEX(tblWardConfig[BedComplement],MATCH("BG",tblWardConfig[WardCode],0)),0)</f>
        <v/>
      </c>
    </row>
    <row r="201">
      <c r="A201" s="16" t="inlineStr">
        <is>
          <t>Day of
the
Month</t>
        </is>
      </c>
      <c r="B201" s="16" t="inlineStr">
        <is>
          <t>Admissions</t>
        </is>
      </c>
      <c r="C201" s="16" t="inlineStr">
        <is>
          <t>Discharges</t>
        </is>
      </c>
      <c r="D201" s="16" t="inlineStr">
        <is>
          <t>Deaths</t>
        </is>
      </c>
      <c r="E201" s="16" t="inlineStr">
        <is>
          <t>Deaths
&lt;24Hrs</t>
        </is>
      </c>
      <c r="F201" s="16" t="inlineStr">
        <is>
          <t>Transfers-
In</t>
        </is>
      </c>
      <c r="G201" s="16" t="inlineStr">
        <is>
          <t>Transfers-
Out</t>
        </is>
      </c>
      <c r="H201" s="16" t="inlineStr">
        <is>
          <t>No. of Patients
Remaining In
Ward</t>
        </is>
      </c>
    </row>
    <row r="202">
      <c r="A202" s="12" t="n">
        <v>1</v>
      </c>
      <c r="B202" s="12">
        <f>IFERROR(IF(SUMIFS(tblDaily[Admissions],tblDaily[EntryDate],DATE(2026,6,1),tblDaily[WardCode],"BG")=0,"",SUMIFS(tblDaily[Admissions],tblDaily[EntryDate],DATE(2026,6,1),tblDaily[WardCode],"BG")),"")</f>
        <v/>
      </c>
      <c r="C202" s="12">
        <f>IFERROR(IF(SUMIFS(tblDaily[Discharges],tblDaily[EntryDate],DATE(2026,6,1),tblDaily[WardCode],"BG")=0,"",SUMIFS(tblDaily[Discharges],tblDaily[EntryDate],DATE(2026,6,1),tblDaily[WardCode],"BG")),"")</f>
        <v/>
      </c>
      <c r="D202" s="12">
        <f>IFERROR(IF(SUMIFS(tblDaily[Deaths],tblDaily[EntryDate],DATE(2026,6,1),tblDaily[WardCode],"BG")=0,"",SUMIFS(tblDaily[Deaths],tblDaily[EntryDate],DATE(2026,6,1),tblDaily[WardCode],"BG")),"")</f>
        <v/>
      </c>
      <c r="E202" s="12">
        <f>IFERROR(IF(SUMIFS(tblDaily[DeathsUnder24Hrs],tblDaily[EntryDate],DATE(2026,6,1),tblDaily[WardCode],"BG")=0,"",SUMIFS(tblDaily[DeathsUnder24Hrs],tblDaily[EntryDate],DATE(2026,6,1),tblDaily[WardCode],"BG")),"")</f>
        <v/>
      </c>
      <c r="F202" s="12">
        <f>IFERROR(IF(SUMIFS(tblDaily[TransfersIn],tblDaily[EntryDate],DATE(2026,6,1),tblDaily[WardCode],"BG")=0,"",SUMIFS(tblDaily[TransfersIn],tblDaily[EntryDate],DATE(2026,6,1),tblDaily[WardCode],"BG")),"")</f>
        <v/>
      </c>
      <c r="G202" s="12">
        <f>IFERROR(IF(SUMIFS(tblDaily[TransfersOut],tblDaily[EntryDate],DATE(2026,6,1),tblDaily[WardCode],"BG")=0,"",SUMIFS(tblDaily[TransfersOut],tblDaily[EntryDate],DATE(2026,6,1),tblDaily[WardCode],"BG")),"")</f>
        <v/>
      </c>
      <c r="H202" s="12">
        <f>IFERROR(IF(SUMIFS(tblDaily[Remaining],tblDaily[EntryDate],DATE(2026,6,1),tblDaily[WardCode],"BG")=0,"",SUMIFS(tblDaily[Remaining],tblDaily[EntryDate],DATE(2026,6,1),tblDaily[WardCode],"BG")),"")</f>
        <v/>
      </c>
    </row>
    <row r="203">
      <c r="A203" s="12" t="n">
        <v>2</v>
      </c>
      <c r="B203" s="12">
        <f>IFERROR(IF(SUMIFS(tblDaily[Admissions],tblDaily[EntryDate],DATE(2026,6,2),tblDaily[WardCode],"BG")=0,"",SUMIFS(tblDaily[Admissions],tblDaily[EntryDate],DATE(2026,6,2),tblDaily[WardCode],"BG")),"")</f>
        <v/>
      </c>
      <c r="C203" s="12">
        <f>IFERROR(IF(SUMIFS(tblDaily[Discharges],tblDaily[EntryDate],DATE(2026,6,2),tblDaily[WardCode],"BG")=0,"",SUMIFS(tblDaily[Discharges],tblDaily[EntryDate],DATE(2026,6,2),tblDaily[WardCode],"BG")),"")</f>
        <v/>
      </c>
      <c r="D203" s="12">
        <f>IFERROR(IF(SUMIFS(tblDaily[Deaths],tblDaily[EntryDate],DATE(2026,6,2),tblDaily[WardCode],"BG")=0,"",SUMIFS(tblDaily[Deaths],tblDaily[EntryDate],DATE(2026,6,2),tblDaily[WardCode],"BG")),"")</f>
        <v/>
      </c>
      <c r="E203" s="12">
        <f>IFERROR(IF(SUMIFS(tblDaily[DeathsUnder24Hrs],tblDaily[EntryDate],DATE(2026,6,2),tblDaily[WardCode],"BG")=0,"",SUMIFS(tblDaily[DeathsUnder24Hrs],tblDaily[EntryDate],DATE(2026,6,2),tblDaily[WardCode],"BG")),"")</f>
        <v/>
      </c>
      <c r="F203" s="12">
        <f>IFERROR(IF(SUMIFS(tblDaily[TransfersIn],tblDaily[EntryDate],DATE(2026,6,2),tblDaily[WardCode],"BG")=0,"",SUMIFS(tblDaily[TransfersIn],tblDaily[EntryDate],DATE(2026,6,2),tblDaily[WardCode],"BG")),"")</f>
        <v/>
      </c>
      <c r="G203" s="12">
        <f>IFERROR(IF(SUMIFS(tblDaily[TransfersOut],tblDaily[EntryDate],DATE(2026,6,2),tblDaily[WardCode],"BG")=0,"",SUMIFS(tblDaily[TransfersOut],tblDaily[EntryDate],DATE(2026,6,2),tblDaily[WardCode],"BG")),"")</f>
        <v/>
      </c>
      <c r="H203" s="12">
        <f>IFERROR(IF(SUMIFS(tblDaily[Remaining],tblDaily[EntryDate],DATE(2026,6,2),tblDaily[WardCode],"BG")=0,"",SUMIFS(tblDaily[Remaining],tblDaily[EntryDate],DATE(2026,6,2),tblDaily[WardCode],"BG")),"")</f>
        <v/>
      </c>
    </row>
    <row r="204">
      <c r="A204" s="12" t="n">
        <v>3</v>
      </c>
      <c r="B204" s="12">
        <f>IFERROR(IF(SUMIFS(tblDaily[Admissions],tblDaily[EntryDate],DATE(2026,6,3),tblDaily[WardCode],"BG")=0,"",SUMIFS(tblDaily[Admissions],tblDaily[EntryDate],DATE(2026,6,3),tblDaily[WardCode],"BG")),"")</f>
        <v/>
      </c>
      <c r="C204" s="12">
        <f>IFERROR(IF(SUMIFS(tblDaily[Discharges],tblDaily[EntryDate],DATE(2026,6,3),tblDaily[WardCode],"BG")=0,"",SUMIFS(tblDaily[Discharges],tblDaily[EntryDate],DATE(2026,6,3),tblDaily[WardCode],"BG")),"")</f>
        <v/>
      </c>
      <c r="D204" s="12">
        <f>IFERROR(IF(SUMIFS(tblDaily[Deaths],tblDaily[EntryDate],DATE(2026,6,3),tblDaily[WardCode],"BG")=0,"",SUMIFS(tblDaily[Deaths],tblDaily[EntryDate],DATE(2026,6,3),tblDaily[WardCode],"BG")),"")</f>
        <v/>
      </c>
      <c r="E204" s="12">
        <f>IFERROR(IF(SUMIFS(tblDaily[DeathsUnder24Hrs],tblDaily[EntryDate],DATE(2026,6,3),tblDaily[WardCode],"BG")=0,"",SUMIFS(tblDaily[DeathsUnder24Hrs],tblDaily[EntryDate],DATE(2026,6,3),tblDaily[WardCode],"BG")),"")</f>
        <v/>
      </c>
      <c r="F204" s="12">
        <f>IFERROR(IF(SUMIFS(tblDaily[TransfersIn],tblDaily[EntryDate],DATE(2026,6,3),tblDaily[WardCode],"BG")=0,"",SUMIFS(tblDaily[TransfersIn],tblDaily[EntryDate],DATE(2026,6,3),tblDaily[WardCode],"BG")),"")</f>
        <v/>
      </c>
      <c r="G204" s="12">
        <f>IFERROR(IF(SUMIFS(tblDaily[TransfersOut],tblDaily[EntryDate],DATE(2026,6,3),tblDaily[WardCode],"BG")=0,"",SUMIFS(tblDaily[TransfersOut],tblDaily[EntryDate],DATE(2026,6,3),tblDaily[WardCode],"BG")),"")</f>
        <v/>
      </c>
      <c r="H204" s="12">
        <f>IFERROR(IF(SUMIFS(tblDaily[Remaining],tblDaily[EntryDate],DATE(2026,6,3),tblDaily[WardCode],"BG")=0,"",SUMIFS(tblDaily[Remaining],tblDaily[EntryDate],DATE(2026,6,3),tblDaily[WardCode],"BG")),"")</f>
        <v/>
      </c>
    </row>
    <row r="205">
      <c r="A205" s="12" t="n">
        <v>4</v>
      </c>
      <c r="B205" s="12">
        <f>IFERROR(IF(SUMIFS(tblDaily[Admissions],tblDaily[EntryDate],DATE(2026,6,4),tblDaily[WardCode],"BG")=0,"",SUMIFS(tblDaily[Admissions],tblDaily[EntryDate],DATE(2026,6,4),tblDaily[WardCode],"BG")),"")</f>
        <v/>
      </c>
      <c r="C205" s="12">
        <f>IFERROR(IF(SUMIFS(tblDaily[Discharges],tblDaily[EntryDate],DATE(2026,6,4),tblDaily[WardCode],"BG")=0,"",SUMIFS(tblDaily[Discharges],tblDaily[EntryDate],DATE(2026,6,4),tblDaily[WardCode],"BG")),"")</f>
        <v/>
      </c>
      <c r="D205" s="12">
        <f>IFERROR(IF(SUMIFS(tblDaily[Deaths],tblDaily[EntryDate],DATE(2026,6,4),tblDaily[WardCode],"BG")=0,"",SUMIFS(tblDaily[Deaths],tblDaily[EntryDate],DATE(2026,6,4),tblDaily[WardCode],"BG")),"")</f>
        <v/>
      </c>
      <c r="E205" s="12">
        <f>IFERROR(IF(SUMIFS(tblDaily[DeathsUnder24Hrs],tblDaily[EntryDate],DATE(2026,6,4),tblDaily[WardCode],"BG")=0,"",SUMIFS(tblDaily[DeathsUnder24Hrs],tblDaily[EntryDate],DATE(2026,6,4),tblDaily[WardCode],"BG")),"")</f>
        <v/>
      </c>
      <c r="F205" s="12">
        <f>IFERROR(IF(SUMIFS(tblDaily[TransfersIn],tblDaily[EntryDate],DATE(2026,6,4),tblDaily[WardCode],"BG")=0,"",SUMIFS(tblDaily[TransfersIn],tblDaily[EntryDate],DATE(2026,6,4),tblDaily[WardCode],"BG")),"")</f>
        <v/>
      </c>
      <c r="G205" s="12">
        <f>IFERROR(IF(SUMIFS(tblDaily[TransfersOut],tblDaily[EntryDate],DATE(2026,6,4),tblDaily[WardCode],"BG")=0,"",SUMIFS(tblDaily[TransfersOut],tblDaily[EntryDate],DATE(2026,6,4),tblDaily[WardCode],"BG")),"")</f>
        <v/>
      </c>
      <c r="H205" s="12">
        <f>IFERROR(IF(SUMIFS(tblDaily[Remaining],tblDaily[EntryDate],DATE(2026,6,4),tblDaily[WardCode],"BG")=0,"",SUMIFS(tblDaily[Remaining],tblDaily[EntryDate],DATE(2026,6,4),tblDaily[WardCode],"BG")),"")</f>
        <v/>
      </c>
    </row>
    <row r="206">
      <c r="A206" s="12" t="n">
        <v>5</v>
      </c>
      <c r="B206" s="12">
        <f>IFERROR(IF(SUMIFS(tblDaily[Admissions],tblDaily[EntryDate],DATE(2026,6,5),tblDaily[WardCode],"BG")=0,"",SUMIFS(tblDaily[Admissions],tblDaily[EntryDate],DATE(2026,6,5),tblDaily[WardCode],"BG")),"")</f>
        <v/>
      </c>
      <c r="C206" s="12">
        <f>IFERROR(IF(SUMIFS(tblDaily[Discharges],tblDaily[EntryDate],DATE(2026,6,5),tblDaily[WardCode],"BG")=0,"",SUMIFS(tblDaily[Discharges],tblDaily[EntryDate],DATE(2026,6,5),tblDaily[WardCode],"BG")),"")</f>
        <v/>
      </c>
      <c r="D206" s="12">
        <f>IFERROR(IF(SUMIFS(tblDaily[Deaths],tblDaily[EntryDate],DATE(2026,6,5),tblDaily[WardCode],"BG")=0,"",SUMIFS(tblDaily[Deaths],tblDaily[EntryDate],DATE(2026,6,5),tblDaily[WardCode],"BG")),"")</f>
        <v/>
      </c>
      <c r="E206" s="12">
        <f>IFERROR(IF(SUMIFS(tblDaily[DeathsUnder24Hrs],tblDaily[EntryDate],DATE(2026,6,5),tblDaily[WardCode],"BG")=0,"",SUMIFS(tblDaily[DeathsUnder24Hrs],tblDaily[EntryDate],DATE(2026,6,5),tblDaily[WardCode],"BG")),"")</f>
        <v/>
      </c>
      <c r="F206" s="12">
        <f>IFERROR(IF(SUMIFS(tblDaily[TransfersIn],tblDaily[EntryDate],DATE(2026,6,5),tblDaily[WardCode],"BG")=0,"",SUMIFS(tblDaily[TransfersIn],tblDaily[EntryDate],DATE(2026,6,5),tblDaily[WardCode],"BG")),"")</f>
        <v/>
      </c>
      <c r="G206" s="12">
        <f>IFERROR(IF(SUMIFS(tblDaily[TransfersOut],tblDaily[EntryDate],DATE(2026,6,5),tblDaily[WardCode],"BG")=0,"",SUMIFS(tblDaily[TransfersOut],tblDaily[EntryDate],DATE(2026,6,5),tblDaily[WardCode],"BG")),"")</f>
        <v/>
      </c>
      <c r="H206" s="12">
        <f>IFERROR(IF(SUMIFS(tblDaily[Remaining],tblDaily[EntryDate],DATE(2026,6,5),tblDaily[WardCode],"BG")=0,"",SUMIFS(tblDaily[Remaining],tblDaily[EntryDate],DATE(2026,6,5),tblDaily[WardCode],"BG")),"")</f>
        <v/>
      </c>
    </row>
    <row r="207">
      <c r="A207" s="12" t="n">
        <v>6</v>
      </c>
      <c r="B207" s="12">
        <f>IFERROR(IF(SUMIFS(tblDaily[Admissions],tblDaily[EntryDate],DATE(2026,6,6),tblDaily[WardCode],"BG")=0,"",SUMIFS(tblDaily[Admissions],tblDaily[EntryDate],DATE(2026,6,6),tblDaily[WardCode],"BG")),"")</f>
        <v/>
      </c>
      <c r="C207" s="12">
        <f>IFERROR(IF(SUMIFS(tblDaily[Discharges],tblDaily[EntryDate],DATE(2026,6,6),tblDaily[WardCode],"BG")=0,"",SUMIFS(tblDaily[Discharges],tblDaily[EntryDate],DATE(2026,6,6),tblDaily[WardCode],"BG")),"")</f>
        <v/>
      </c>
      <c r="D207" s="12">
        <f>IFERROR(IF(SUMIFS(tblDaily[Deaths],tblDaily[EntryDate],DATE(2026,6,6),tblDaily[WardCode],"BG")=0,"",SUMIFS(tblDaily[Deaths],tblDaily[EntryDate],DATE(2026,6,6),tblDaily[WardCode],"BG")),"")</f>
        <v/>
      </c>
      <c r="E207" s="12">
        <f>IFERROR(IF(SUMIFS(tblDaily[DeathsUnder24Hrs],tblDaily[EntryDate],DATE(2026,6,6),tblDaily[WardCode],"BG")=0,"",SUMIFS(tblDaily[DeathsUnder24Hrs],tblDaily[EntryDate],DATE(2026,6,6),tblDaily[WardCode],"BG")),"")</f>
        <v/>
      </c>
      <c r="F207" s="12">
        <f>IFERROR(IF(SUMIFS(tblDaily[TransfersIn],tblDaily[EntryDate],DATE(2026,6,6),tblDaily[WardCode],"BG")=0,"",SUMIFS(tblDaily[TransfersIn],tblDaily[EntryDate],DATE(2026,6,6),tblDaily[WardCode],"BG")),"")</f>
        <v/>
      </c>
      <c r="G207" s="12">
        <f>IFERROR(IF(SUMIFS(tblDaily[TransfersOut],tblDaily[EntryDate],DATE(2026,6,6),tblDaily[WardCode],"BG")=0,"",SUMIFS(tblDaily[TransfersOut],tblDaily[EntryDate],DATE(2026,6,6),tblDaily[WardCode],"BG")),"")</f>
        <v/>
      </c>
      <c r="H207" s="12">
        <f>IFERROR(IF(SUMIFS(tblDaily[Remaining],tblDaily[EntryDate],DATE(2026,6,6),tblDaily[WardCode],"BG")=0,"",SUMIFS(tblDaily[Remaining],tblDaily[EntryDate],DATE(2026,6,6),tblDaily[WardCode],"BG")),"")</f>
        <v/>
      </c>
    </row>
    <row r="208">
      <c r="A208" s="12" t="n">
        <v>7</v>
      </c>
      <c r="B208" s="12">
        <f>IFERROR(IF(SUMIFS(tblDaily[Admissions],tblDaily[EntryDate],DATE(2026,6,7),tblDaily[WardCode],"BG")=0,"",SUMIFS(tblDaily[Admissions],tblDaily[EntryDate],DATE(2026,6,7),tblDaily[WardCode],"BG")),"")</f>
        <v/>
      </c>
      <c r="C208" s="12">
        <f>IFERROR(IF(SUMIFS(tblDaily[Discharges],tblDaily[EntryDate],DATE(2026,6,7),tblDaily[WardCode],"BG")=0,"",SUMIFS(tblDaily[Discharges],tblDaily[EntryDate],DATE(2026,6,7),tblDaily[WardCode],"BG")),"")</f>
        <v/>
      </c>
      <c r="D208" s="12">
        <f>IFERROR(IF(SUMIFS(tblDaily[Deaths],tblDaily[EntryDate],DATE(2026,6,7),tblDaily[WardCode],"BG")=0,"",SUMIFS(tblDaily[Deaths],tblDaily[EntryDate],DATE(2026,6,7),tblDaily[WardCode],"BG")),"")</f>
        <v/>
      </c>
      <c r="E208" s="12">
        <f>IFERROR(IF(SUMIFS(tblDaily[DeathsUnder24Hrs],tblDaily[EntryDate],DATE(2026,6,7),tblDaily[WardCode],"BG")=0,"",SUMIFS(tblDaily[DeathsUnder24Hrs],tblDaily[EntryDate],DATE(2026,6,7),tblDaily[WardCode],"BG")),"")</f>
        <v/>
      </c>
      <c r="F208" s="12">
        <f>IFERROR(IF(SUMIFS(tblDaily[TransfersIn],tblDaily[EntryDate],DATE(2026,6,7),tblDaily[WardCode],"BG")=0,"",SUMIFS(tblDaily[TransfersIn],tblDaily[EntryDate],DATE(2026,6,7),tblDaily[WardCode],"BG")),"")</f>
        <v/>
      </c>
      <c r="G208" s="12">
        <f>IFERROR(IF(SUMIFS(tblDaily[TransfersOut],tblDaily[EntryDate],DATE(2026,6,7),tblDaily[WardCode],"BG")=0,"",SUMIFS(tblDaily[TransfersOut],tblDaily[EntryDate],DATE(2026,6,7),tblDaily[WardCode],"BG")),"")</f>
        <v/>
      </c>
      <c r="H208" s="12">
        <f>IFERROR(IF(SUMIFS(tblDaily[Remaining],tblDaily[EntryDate],DATE(2026,6,7),tblDaily[WardCode],"BG")=0,"",SUMIFS(tblDaily[Remaining],tblDaily[EntryDate],DATE(2026,6,7),tblDaily[WardCode],"BG")),"")</f>
        <v/>
      </c>
    </row>
    <row r="209">
      <c r="A209" s="12" t="n">
        <v>8</v>
      </c>
      <c r="B209" s="12">
        <f>IFERROR(IF(SUMIFS(tblDaily[Admissions],tblDaily[EntryDate],DATE(2026,6,8),tblDaily[WardCode],"BG")=0,"",SUMIFS(tblDaily[Admissions],tblDaily[EntryDate],DATE(2026,6,8),tblDaily[WardCode],"BG")),"")</f>
        <v/>
      </c>
      <c r="C209" s="12">
        <f>IFERROR(IF(SUMIFS(tblDaily[Discharges],tblDaily[EntryDate],DATE(2026,6,8),tblDaily[WardCode],"BG")=0,"",SUMIFS(tblDaily[Discharges],tblDaily[EntryDate],DATE(2026,6,8),tblDaily[WardCode],"BG")),"")</f>
        <v/>
      </c>
      <c r="D209" s="12">
        <f>IFERROR(IF(SUMIFS(tblDaily[Deaths],tblDaily[EntryDate],DATE(2026,6,8),tblDaily[WardCode],"BG")=0,"",SUMIFS(tblDaily[Deaths],tblDaily[EntryDate],DATE(2026,6,8),tblDaily[WardCode],"BG")),"")</f>
        <v/>
      </c>
      <c r="E209" s="12">
        <f>IFERROR(IF(SUMIFS(tblDaily[DeathsUnder24Hrs],tblDaily[EntryDate],DATE(2026,6,8),tblDaily[WardCode],"BG")=0,"",SUMIFS(tblDaily[DeathsUnder24Hrs],tblDaily[EntryDate],DATE(2026,6,8),tblDaily[WardCode],"BG")),"")</f>
        <v/>
      </c>
      <c r="F209" s="12">
        <f>IFERROR(IF(SUMIFS(tblDaily[TransfersIn],tblDaily[EntryDate],DATE(2026,6,8),tblDaily[WardCode],"BG")=0,"",SUMIFS(tblDaily[TransfersIn],tblDaily[EntryDate],DATE(2026,6,8),tblDaily[WardCode],"BG")),"")</f>
        <v/>
      </c>
      <c r="G209" s="12">
        <f>IFERROR(IF(SUMIFS(tblDaily[TransfersOut],tblDaily[EntryDate],DATE(2026,6,8),tblDaily[WardCode],"BG")=0,"",SUMIFS(tblDaily[TransfersOut],tblDaily[EntryDate],DATE(2026,6,8),tblDaily[WardCode],"BG")),"")</f>
        <v/>
      </c>
      <c r="H209" s="12">
        <f>IFERROR(IF(SUMIFS(tblDaily[Remaining],tblDaily[EntryDate],DATE(2026,6,8),tblDaily[WardCode],"BG")=0,"",SUMIFS(tblDaily[Remaining],tblDaily[EntryDate],DATE(2026,6,8),tblDaily[WardCode],"BG")),"")</f>
        <v/>
      </c>
    </row>
    <row r="210">
      <c r="A210" s="12" t="n">
        <v>9</v>
      </c>
      <c r="B210" s="12">
        <f>IFERROR(IF(SUMIFS(tblDaily[Admissions],tblDaily[EntryDate],DATE(2026,6,9),tblDaily[WardCode],"BG")=0,"",SUMIFS(tblDaily[Admissions],tblDaily[EntryDate],DATE(2026,6,9),tblDaily[WardCode],"BG")),"")</f>
        <v/>
      </c>
      <c r="C210" s="12">
        <f>IFERROR(IF(SUMIFS(tblDaily[Discharges],tblDaily[EntryDate],DATE(2026,6,9),tblDaily[WardCode],"BG")=0,"",SUMIFS(tblDaily[Discharges],tblDaily[EntryDate],DATE(2026,6,9),tblDaily[WardCode],"BG")),"")</f>
        <v/>
      </c>
      <c r="D210" s="12">
        <f>IFERROR(IF(SUMIFS(tblDaily[Deaths],tblDaily[EntryDate],DATE(2026,6,9),tblDaily[WardCode],"BG")=0,"",SUMIFS(tblDaily[Deaths],tblDaily[EntryDate],DATE(2026,6,9),tblDaily[WardCode],"BG")),"")</f>
        <v/>
      </c>
      <c r="E210" s="12">
        <f>IFERROR(IF(SUMIFS(tblDaily[DeathsUnder24Hrs],tblDaily[EntryDate],DATE(2026,6,9),tblDaily[WardCode],"BG")=0,"",SUMIFS(tblDaily[DeathsUnder24Hrs],tblDaily[EntryDate],DATE(2026,6,9),tblDaily[WardCode],"BG")),"")</f>
        <v/>
      </c>
      <c r="F210" s="12">
        <f>IFERROR(IF(SUMIFS(tblDaily[TransfersIn],tblDaily[EntryDate],DATE(2026,6,9),tblDaily[WardCode],"BG")=0,"",SUMIFS(tblDaily[TransfersIn],tblDaily[EntryDate],DATE(2026,6,9),tblDaily[WardCode],"BG")),"")</f>
        <v/>
      </c>
      <c r="G210" s="12">
        <f>IFERROR(IF(SUMIFS(tblDaily[TransfersOut],tblDaily[EntryDate],DATE(2026,6,9),tblDaily[WardCode],"BG")=0,"",SUMIFS(tblDaily[TransfersOut],tblDaily[EntryDate],DATE(2026,6,9),tblDaily[WardCode],"BG")),"")</f>
        <v/>
      </c>
      <c r="H210" s="12">
        <f>IFERROR(IF(SUMIFS(tblDaily[Remaining],tblDaily[EntryDate],DATE(2026,6,9),tblDaily[WardCode],"BG")=0,"",SUMIFS(tblDaily[Remaining],tblDaily[EntryDate],DATE(2026,6,9),tblDaily[WardCode],"BG")),"")</f>
        <v/>
      </c>
    </row>
    <row r="211">
      <c r="A211" s="12" t="n">
        <v>10</v>
      </c>
      <c r="B211" s="12">
        <f>IFERROR(IF(SUMIFS(tblDaily[Admissions],tblDaily[EntryDate],DATE(2026,6,10),tblDaily[WardCode],"BG")=0,"",SUMIFS(tblDaily[Admissions],tblDaily[EntryDate],DATE(2026,6,10),tblDaily[WardCode],"BG")),"")</f>
        <v/>
      </c>
      <c r="C211" s="12">
        <f>IFERROR(IF(SUMIFS(tblDaily[Discharges],tblDaily[EntryDate],DATE(2026,6,10),tblDaily[WardCode],"BG")=0,"",SUMIFS(tblDaily[Discharges],tblDaily[EntryDate],DATE(2026,6,10),tblDaily[WardCode],"BG")),"")</f>
        <v/>
      </c>
      <c r="D211" s="12">
        <f>IFERROR(IF(SUMIFS(tblDaily[Deaths],tblDaily[EntryDate],DATE(2026,6,10),tblDaily[WardCode],"BG")=0,"",SUMIFS(tblDaily[Deaths],tblDaily[EntryDate],DATE(2026,6,10),tblDaily[WardCode],"BG")),"")</f>
        <v/>
      </c>
      <c r="E211" s="12">
        <f>IFERROR(IF(SUMIFS(tblDaily[DeathsUnder24Hrs],tblDaily[EntryDate],DATE(2026,6,10),tblDaily[WardCode],"BG")=0,"",SUMIFS(tblDaily[DeathsUnder24Hrs],tblDaily[EntryDate],DATE(2026,6,10),tblDaily[WardCode],"BG")),"")</f>
        <v/>
      </c>
      <c r="F211" s="12">
        <f>IFERROR(IF(SUMIFS(tblDaily[TransfersIn],tblDaily[EntryDate],DATE(2026,6,10),tblDaily[WardCode],"BG")=0,"",SUMIFS(tblDaily[TransfersIn],tblDaily[EntryDate],DATE(2026,6,10),tblDaily[WardCode],"BG")),"")</f>
        <v/>
      </c>
      <c r="G211" s="12">
        <f>IFERROR(IF(SUMIFS(tblDaily[TransfersOut],tblDaily[EntryDate],DATE(2026,6,10),tblDaily[WardCode],"BG")=0,"",SUMIFS(tblDaily[TransfersOut],tblDaily[EntryDate],DATE(2026,6,10),tblDaily[WardCode],"BG")),"")</f>
        <v/>
      </c>
      <c r="H211" s="12">
        <f>IFERROR(IF(SUMIFS(tblDaily[Remaining],tblDaily[EntryDate],DATE(2026,6,10),tblDaily[WardCode],"BG")=0,"",SUMIFS(tblDaily[Remaining],tblDaily[EntryDate],DATE(2026,6,10),tblDaily[WardCode],"BG")),"")</f>
        <v/>
      </c>
    </row>
    <row r="212">
      <c r="A212" s="12" t="n">
        <v>11</v>
      </c>
      <c r="B212" s="12">
        <f>IFERROR(IF(SUMIFS(tblDaily[Admissions],tblDaily[EntryDate],DATE(2026,6,11),tblDaily[WardCode],"BG")=0,"",SUMIFS(tblDaily[Admissions],tblDaily[EntryDate],DATE(2026,6,11),tblDaily[WardCode],"BG")),"")</f>
        <v/>
      </c>
      <c r="C212" s="12">
        <f>IFERROR(IF(SUMIFS(tblDaily[Discharges],tblDaily[EntryDate],DATE(2026,6,11),tblDaily[WardCode],"BG")=0,"",SUMIFS(tblDaily[Discharges],tblDaily[EntryDate],DATE(2026,6,11),tblDaily[WardCode],"BG")),"")</f>
        <v/>
      </c>
      <c r="D212" s="12">
        <f>IFERROR(IF(SUMIFS(tblDaily[Deaths],tblDaily[EntryDate],DATE(2026,6,11),tblDaily[WardCode],"BG")=0,"",SUMIFS(tblDaily[Deaths],tblDaily[EntryDate],DATE(2026,6,11),tblDaily[WardCode],"BG")),"")</f>
        <v/>
      </c>
      <c r="E212" s="12">
        <f>IFERROR(IF(SUMIFS(tblDaily[DeathsUnder24Hrs],tblDaily[EntryDate],DATE(2026,6,11),tblDaily[WardCode],"BG")=0,"",SUMIFS(tblDaily[DeathsUnder24Hrs],tblDaily[EntryDate],DATE(2026,6,11),tblDaily[WardCode],"BG")),"")</f>
        <v/>
      </c>
      <c r="F212" s="12">
        <f>IFERROR(IF(SUMIFS(tblDaily[TransfersIn],tblDaily[EntryDate],DATE(2026,6,11),tblDaily[WardCode],"BG")=0,"",SUMIFS(tblDaily[TransfersIn],tblDaily[EntryDate],DATE(2026,6,11),tblDaily[WardCode],"BG")),"")</f>
        <v/>
      </c>
      <c r="G212" s="12">
        <f>IFERROR(IF(SUMIFS(tblDaily[TransfersOut],tblDaily[EntryDate],DATE(2026,6,11),tblDaily[WardCode],"BG")=0,"",SUMIFS(tblDaily[TransfersOut],tblDaily[EntryDate],DATE(2026,6,11),tblDaily[WardCode],"BG")),"")</f>
        <v/>
      </c>
      <c r="H212" s="12">
        <f>IFERROR(IF(SUMIFS(tblDaily[Remaining],tblDaily[EntryDate],DATE(2026,6,11),tblDaily[WardCode],"BG")=0,"",SUMIFS(tblDaily[Remaining],tblDaily[EntryDate],DATE(2026,6,11),tblDaily[WardCode],"BG")),"")</f>
        <v/>
      </c>
    </row>
    <row r="213">
      <c r="A213" s="12" t="n">
        <v>12</v>
      </c>
      <c r="B213" s="12">
        <f>IFERROR(IF(SUMIFS(tblDaily[Admissions],tblDaily[EntryDate],DATE(2026,6,12),tblDaily[WardCode],"BG")=0,"",SUMIFS(tblDaily[Admissions],tblDaily[EntryDate],DATE(2026,6,12),tblDaily[WardCode],"BG")),"")</f>
        <v/>
      </c>
      <c r="C213" s="12">
        <f>IFERROR(IF(SUMIFS(tblDaily[Discharges],tblDaily[EntryDate],DATE(2026,6,12),tblDaily[WardCode],"BG")=0,"",SUMIFS(tblDaily[Discharges],tblDaily[EntryDate],DATE(2026,6,12),tblDaily[WardCode],"BG")),"")</f>
        <v/>
      </c>
      <c r="D213" s="12">
        <f>IFERROR(IF(SUMIFS(tblDaily[Deaths],tblDaily[EntryDate],DATE(2026,6,12),tblDaily[WardCode],"BG")=0,"",SUMIFS(tblDaily[Deaths],tblDaily[EntryDate],DATE(2026,6,12),tblDaily[WardCode],"BG")),"")</f>
        <v/>
      </c>
      <c r="E213" s="12">
        <f>IFERROR(IF(SUMIFS(tblDaily[DeathsUnder24Hrs],tblDaily[EntryDate],DATE(2026,6,12),tblDaily[WardCode],"BG")=0,"",SUMIFS(tblDaily[DeathsUnder24Hrs],tblDaily[EntryDate],DATE(2026,6,12),tblDaily[WardCode],"BG")),"")</f>
        <v/>
      </c>
      <c r="F213" s="12">
        <f>IFERROR(IF(SUMIFS(tblDaily[TransfersIn],tblDaily[EntryDate],DATE(2026,6,12),tblDaily[WardCode],"BG")=0,"",SUMIFS(tblDaily[TransfersIn],tblDaily[EntryDate],DATE(2026,6,12),tblDaily[WardCode],"BG")),"")</f>
        <v/>
      </c>
      <c r="G213" s="12">
        <f>IFERROR(IF(SUMIFS(tblDaily[TransfersOut],tblDaily[EntryDate],DATE(2026,6,12),tblDaily[WardCode],"BG")=0,"",SUMIFS(tblDaily[TransfersOut],tblDaily[EntryDate],DATE(2026,6,12),tblDaily[WardCode],"BG")),"")</f>
        <v/>
      </c>
      <c r="H213" s="12">
        <f>IFERROR(IF(SUMIFS(tblDaily[Remaining],tblDaily[EntryDate],DATE(2026,6,12),tblDaily[WardCode],"BG")=0,"",SUMIFS(tblDaily[Remaining],tblDaily[EntryDate],DATE(2026,6,12),tblDaily[WardCode],"BG")),"")</f>
        <v/>
      </c>
    </row>
    <row r="214">
      <c r="A214" s="12" t="n">
        <v>13</v>
      </c>
      <c r="B214" s="12">
        <f>IFERROR(IF(SUMIFS(tblDaily[Admissions],tblDaily[EntryDate],DATE(2026,6,13),tblDaily[WardCode],"BG")=0,"",SUMIFS(tblDaily[Admissions],tblDaily[EntryDate],DATE(2026,6,13),tblDaily[WardCode],"BG")),"")</f>
        <v/>
      </c>
      <c r="C214" s="12">
        <f>IFERROR(IF(SUMIFS(tblDaily[Discharges],tblDaily[EntryDate],DATE(2026,6,13),tblDaily[WardCode],"BG")=0,"",SUMIFS(tblDaily[Discharges],tblDaily[EntryDate],DATE(2026,6,13),tblDaily[WardCode],"BG")),"")</f>
        <v/>
      </c>
      <c r="D214" s="12">
        <f>IFERROR(IF(SUMIFS(tblDaily[Deaths],tblDaily[EntryDate],DATE(2026,6,13),tblDaily[WardCode],"BG")=0,"",SUMIFS(tblDaily[Deaths],tblDaily[EntryDate],DATE(2026,6,13),tblDaily[WardCode],"BG")),"")</f>
        <v/>
      </c>
      <c r="E214" s="12">
        <f>IFERROR(IF(SUMIFS(tblDaily[DeathsUnder24Hrs],tblDaily[EntryDate],DATE(2026,6,13),tblDaily[WardCode],"BG")=0,"",SUMIFS(tblDaily[DeathsUnder24Hrs],tblDaily[EntryDate],DATE(2026,6,13),tblDaily[WardCode],"BG")),"")</f>
        <v/>
      </c>
      <c r="F214" s="12">
        <f>IFERROR(IF(SUMIFS(tblDaily[TransfersIn],tblDaily[EntryDate],DATE(2026,6,13),tblDaily[WardCode],"BG")=0,"",SUMIFS(tblDaily[TransfersIn],tblDaily[EntryDate],DATE(2026,6,13),tblDaily[WardCode],"BG")),"")</f>
        <v/>
      </c>
      <c r="G214" s="12">
        <f>IFERROR(IF(SUMIFS(tblDaily[TransfersOut],tblDaily[EntryDate],DATE(2026,6,13),tblDaily[WardCode],"BG")=0,"",SUMIFS(tblDaily[TransfersOut],tblDaily[EntryDate],DATE(2026,6,13),tblDaily[WardCode],"BG")),"")</f>
        <v/>
      </c>
      <c r="H214" s="12">
        <f>IFERROR(IF(SUMIFS(tblDaily[Remaining],tblDaily[EntryDate],DATE(2026,6,13),tblDaily[WardCode],"BG")=0,"",SUMIFS(tblDaily[Remaining],tblDaily[EntryDate],DATE(2026,6,13),tblDaily[WardCode],"BG")),"")</f>
        <v/>
      </c>
    </row>
    <row r="215">
      <c r="A215" s="12" t="n">
        <v>14</v>
      </c>
      <c r="B215" s="12">
        <f>IFERROR(IF(SUMIFS(tblDaily[Admissions],tblDaily[EntryDate],DATE(2026,6,14),tblDaily[WardCode],"BG")=0,"",SUMIFS(tblDaily[Admissions],tblDaily[EntryDate],DATE(2026,6,14),tblDaily[WardCode],"BG")),"")</f>
        <v/>
      </c>
      <c r="C215" s="12">
        <f>IFERROR(IF(SUMIFS(tblDaily[Discharges],tblDaily[EntryDate],DATE(2026,6,14),tblDaily[WardCode],"BG")=0,"",SUMIFS(tblDaily[Discharges],tblDaily[EntryDate],DATE(2026,6,14),tblDaily[WardCode],"BG")),"")</f>
        <v/>
      </c>
      <c r="D215" s="12">
        <f>IFERROR(IF(SUMIFS(tblDaily[Deaths],tblDaily[EntryDate],DATE(2026,6,14),tblDaily[WardCode],"BG")=0,"",SUMIFS(tblDaily[Deaths],tblDaily[EntryDate],DATE(2026,6,14),tblDaily[WardCode],"BG")),"")</f>
        <v/>
      </c>
      <c r="E215" s="12">
        <f>IFERROR(IF(SUMIFS(tblDaily[DeathsUnder24Hrs],tblDaily[EntryDate],DATE(2026,6,14),tblDaily[WardCode],"BG")=0,"",SUMIFS(tblDaily[DeathsUnder24Hrs],tblDaily[EntryDate],DATE(2026,6,14),tblDaily[WardCode],"BG")),"")</f>
        <v/>
      </c>
      <c r="F215" s="12">
        <f>IFERROR(IF(SUMIFS(tblDaily[TransfersIn],tblDaily[EntryDate],DATE(2026,6,14),tblDaily[WardCode],"BG")=0,"",SUMIFS(tblDaily[TransfersIn],tblDaily[EntryDate],DATE(2026,6,14),tblDaily[WardCode],"BG")),"")</f>
        <v/>
      </c>
      <c r="G215" s="12">
        <f>IFERROR(IF(SUMIFS(tblDaily[TransfersOut],tblDaily[EntryDate],DATE(2026,6,14),tblDaily[WardCode],"BG")=0,"",SUMIFS(tblDaily[TransfersOut],tblDaily[EntryDate],DATE(2026,6,14),tblDaily[WardCode],"BG")),"")</f>
        <v/>
      </c>
      <c r="H215" s="12">
        <f>IFERROR(IF(SUMIFS(tblDaily[Remaining],tblDaily[EntryDate],DATE(2026,6,14),tblDaily[WardCode],"BG")=0,"",SUMIFS(tblDaily[Remaining],tblDaily[EntryDate],DATE(2026,6,14),tblDaily[WardCode],"BG")),"")</f>
        <v/>
      </c>
    </row>
    <row r="216">
      <c r="A216" s="12" t="n">
        <v>15</v>
      </c>
      <c r="B216" s="12">
        <f>IFERROR(IF(SUMIFS(tblDaily[Admissions],tblDaily[EntryDate],DATE(2026,6,15),tblDaily[WardCode],"BG")=0,"",SUMIFS(tblDaily[Admissions],tblDaily[EntryDate],DATE(2026,6,15),tblDaily[WardCode],"BG")),"")</f>
        <v/>
      </c>
      <c r="C216" s="12">
        <f>IFERROR(IF(SUMIFS(tblDaily[Discharges],tblDaily[EntryDate],DATE(2026,6,15),tblDaily[WardCode],"BG")=0,"",SUMIFS(tblDaily[Discharges],tblDaily[EntryDate],DATE(2026,6,15),tblDaily[WardCode],"BG")),"")</f>
        <v/>
      </c>
      <c r="D216" s="12">
        <f>IFERROR(IF(SUMIFS(tblDaily[Deaths],tblDaily[EntryDate],DATE(2026,6,15),tblDaily[WardCode],"BG")=0,"",SUMIFS(tblDaily[Deaths],tblDaily[EntryDate],DATE(2026,6,15),tblDaily[WardCode],"BG")),"")</f>
        <v/>
      </c>
      <c r="E216" s="12">
        <f>IFERROR(IF(SUMIFS(tblDaily[DeathsUnder24Hrs],tblDaily[EntryDate],DATE(2026,6,15),tblDaily[WardCode],"BG")=0,"",SUMIFS(tblDaily[DeathsUnder24Hrs],tblDaily[EntryDate],DATE(2026,6,15),tblDaily[WardCode],"BG")),"")</f>
        <v/>
      </c>
      <c r="F216" s="12">
        <f>IFERROR(IF(SUMIFS(tblDaily[TransfersIn],tblDaily[EntryDate],DATE(2026,6,15),tblDaily[WardCode],"BG")=0,"",SUMIFS(tblDaily[TransfersIn],tblDaily[EntryDate],DATE(2026,6,15),tblDaily[WardCode],"BG")),"")</f>
        <v/>
      </c>
      <c r="G216" s="12">
        <f>IFERROR(IF(SUMIFS(tblDaily[TransfersOut],tblDaily[EntryDate],DATE(2026,6,15),tblDaily[WardCode],"BG")=0,"",SUMIFS(tblDaily[TransfersOut],tblDaily[EntryDate],DATE(2026,6,15),tblDaily[WardCode],"BG")),"")</f>
        <v/>
      </c>
      <c r="H216" s="12">
        <f>IFERROR(IF(SUMIFS(tblDaily[Remaining],tblDaily[EntryDate],DATE(2026,6,15),tblDaily[WardCode],"BG")=0,"",SUMIFS(tblDaily[Remaining],tblDaily[EntryDate],DATE(2026,6,15),tblDaily[WardCode],"BG")),"")</f>
        <v/>
      </c>
    </row>
    <row r="217">
      <c r="A217" s="12" t="n">
        <v>16</v>
      </c>
      <c r="B217" s="12">
        <f>IFERROR(IF(SUMIFS(tblDaily[Admissions],tblDaily[EntryDate],DATE(2026,6,16),tblDaily[WardCode],"BG")=0,"",SUMIFS(tblDaily[Admissions],tblDaily[EntryDate],DATE(2026,6,16),tblDaily[WardCode],"BG")),"")</f>
        <v/>
      </c>
      <c r="C217" s="12">
        <f>IFERROR(IF(SUMIFS(tblDaily[Discharges],tblDaily[EntryDate],DATE(2026,6,16),tblDaily[WardCode],"BG")=0,"",SUMIFS(tblDaily[Discharges],tblDaily[EntryDate],DATE(2026,6,16),tblDaily[WardCode],"BG")),"")</f>
        <v/>
      </c>
      <c r="D217" s="12">
        <f>IFERROR(IF(SUMIFS(tblDaily[Deaths],tblDaily[EntryDate],DATE(2026,6,16),tblDaily[WardCode],"BG")=0,"",SUMIFS(tblDaily[Deaths],tblDaily[EntryDate],DATE(2026,6,16),tblDaily[WardCode],"BG")),"")</f>
        <v/>
      </c>
      <c r="E217" s="12">
        <f>IFERROR(IF(SUMIFS(tblDaily[DeathsUnder24Hrs],tblDaily[EntryDate],DATE(2026,6,16),tblDaily[WardCode],"BG")=0,"",SUMIFS(tblDaily[DeathsUnder24Hrs],tblDaily[EntryDate],DATE(2026,6,16),tblDaily[WardCode],"BG")),"")</f>
        <v/>
      </c>
      <c r="F217" s="12">
        <f>IFERROR(IF(SUMIFS(tblDaily[TransfersIn],tblDaily[EntryDate],DATE(2026,6,16),tblDaily[WardCode],"BG")=0,"",SUMIFS(tblDaily[TransfersIn],tblDaily[EntryDate],DATE(2026,6,16),tblDaily[WardCode],"BG")),"")</f>
        <v/>
      </c>
      <c r="G217" s="12">
        <f>IFERROR(IF(SUMIFS(tblDaily[TransfersOut],tblDaily[EntryDate],DATE(2026,6,16),tblDaily[WardCode],"BG")=0,"",SUMIFS(tblDaily[TransfersOut],tblDaily[EntryDate],DATE(2026,6,16),tblDaily[WardCode],"BG")),"")</f>
        <v/>
      </c>
      <c r="H217" s="12">
        <f>IFERROR(IF(SUMIFS(tblDaily[Remaining],tblDaily[EntryDate],DATE(2026,6,16),tblDaily[WardCode],"BG")=0,"",SUMIFS(tblDaily[Remaining],tblDaily[EntryDate],DATE(2026,6,16),tblDaily[WardCode],"BG")),"")</f>
        <v/>
      </c>
    </row>
    <row r="218">
      <c r="A218" s="12" t="n">
        <v>17</v>
      </c>
      <c r="B218" s="12">
        <f>IFERROR(IF(SUMIFS(tblDaily[Admissions],tblDaily[EntryDate],DATE(2026,6,17),tblDaily[WardCode],"BG")=0,"",SUMIFS(tblDaily[Admissions],tblDaily[EntryDate],DATE(2026,6,17),tblDaily[WardCode],"BG")),"")</f>
        <v/>
      </c>
      <c r="C218" s="12">
        <f>IFERROR(IF(SUMIFS(tblDaily[Discharges],tblDaily[EntryDate],DATE(2026,6,17),tblDaily[WardCode],"BG")=0,"",SUMIFS(tblDaily[Discharges],tblDaily[EntryDate],DATE(2026,6,17),tblDaily[WardCode],"BG")),"")</f>
        <v/>
      </c>
      <c r="D218" s="12">
        <f>IFERROR(IF(SUMIFS(tblDaily[Deaths],tblDaily[EntryDate],DATE(2026,6,17),tblDaily[WardCode],"BG")=0,"",SUMIFS(tblDaily[Deaths],tblDaily[EntryDate],DATE(2026,6,17),tblDaily[WardCode],"BG")),"")</f>
        <v/>
      </c>
      <c r="E218" s="12">
        <f>IFERROR(IF(SUMIFS(tblDaily[DeathsUnder24Hrs],tblDaily[EntryDate],DATE(2026,6,17),tblDaily[WardCode],"BG")=0,"",SUMIFS(tblDaily[DeathsUnder24Hrs],tblDaily[EntryDate],DATE(2026,6,17),tblDaily[WardCode],"BG")),"")</f>
        <v/>
      </c>
      <c r="F218" s="12">
        <f>IFERROR(IF(SUMIFS(tblDaily[TransfersIn],tblDaily[EntryDate],DATE(2026,6,17),tblDaily[WardCode],"BG")=0,"",SUMIFS(tblDaily[TransfersIn],tblDaily[EntryDate],DATE(2026,6,17),tblDaily[WardCode],"BG")),"")</f>
        <v/>
      </c>
      <c r="G218" s="12">
        <f>IFERROR(IF(SUMIFS(tblDaily[TransfersOut],tblDaily[EntryDate],DATE(2026,6,17),tblDaily[WardCode],"BG")=0,"",SUMIFS(tblDaily[TransfersOut],tblDaily[EntryDate],DATE(2026,6,17),tblDaily[WardCode],"BG")),"")</f>
        <v/>
      </c>
      <c r="H218" s="12">
        <f>IFERROR(IF(SUMIFS(tblDaily[Remaining],tblDaily[EntryDate],DATE(2026,6,17),tblDaily[WardCode],"BG")=0,"",SUMIFS(tblDaily[Remaining],tblDaily[EntryDate],DATE(2026,6,17),tblDaily[WardCode],"BG")),"")</f>
        <v/>
      </c>
    </row>
    <row r="219">
      <c r="A219" s="12" t="n">
        <v>18</v>
      </c>
      <c r="B219" s="12">
        <f>IFERROR(IF(SUMIFS(tblDaily[Admissions],tblDaily[EntryDate],DATE(2026,6,18),tblDaily[WardCode],"BG")=0,"",SUMIFS(tblDaily[Admissions],tblDaily[EntryDate],DATE(2026,6,18),tblDaily[WardCode],"BG")),"")</f>
        <v/>
      </c>
      <c r="C219" s="12">
        <f>IFERROR(IF(SUMIFS(tblDaily[Discharges],tblDaily[EntryDate],DATE(2026,6,18),tblDaily[WardCode],"BG")=0,"",SUMIFS(tblDaily[Discharges],tblDaily[EntryDate],DATE(2026,6,18),tblDaily[WardCode],"BG")),"")</f>
        <v/>
      </c>
      <c r="D219" s="12">
        <f>IFERROR(IF(SUMIFS(tblDaily[Deaths],tblDaily[EntryDate],DATE(2026,6,18),tblDaily[WardCode],"BG")=0,"",SUMIFS(tblDaily[Deaths],tblDaily[EntryDate],DATE(2026,6,18),tblDaily[WardCode],"BG")),"")</f>
        <v/>
      </c>
      <c r="E219" s="12">
        <f>IFERROR(IF(SUMIFS(tblDaily[DeathsUnder24Hrs],tblDaily[EntryDate],DATE(2026,6,18),tblDaily[WardCode],"BG")=0,"",SUMIFS(tblDaily[DeathsUnder24Hrs],tblDaily[EntryDate],DATE(2026,6,18),tblDaily[WardCode],"BG")),"")</f>
        <v/>
      </c>
      <c r="F219" s="12">
        <f>IFERROR(IF(SUMIFS(tblDaily[TransfersIn],tblDaily[EntryDate],DATE(2026,6,18),tblDaily[WardCode],"BG")=0,"",SUMIFS(tblDaily[TransfersIn],tblDaily[EntryDate],DATE(2026,6,18),tblDaily[WardCode],"BG")),"")</f>
        <v/>
      </c>
      <c r="G219" s="12">
        <f>IFERROR(IF(SUMIFS(tblDaily[TransfersOut],tblDaily[EntryDate],DATE(2026,6,18),tblDaily[WardCode],"BG")=0,"",SUMIFS(tblDaily[TransfersOut],tblDaily[EntryDate],DATE(2026,6,18),tblDaily[WardCode],"BG")),"")</f>
        <v/>
      </c>
      <c r="H219" s="12">
        <f>IFERROR(IF(SUMIFS(tblDaily[Remaining],tblDaily[EntryDate],DATE(2026,6,18),tblDaily[WardCode],"BG")=0,"",SUMIFS(tblDaily[Remaining],tblDaily[EntryDate],DATE(2026,6,18),tblDaily[WardCode],"BG")),"")</f>
        <v/>
      </c>
    </row>
    <row r="220">
      <c r="A220" s="12" t="n">
        <v>19</v>
      </c>
      <c r="B220" s="12">
        <f>IFERROR(IF(SUMIFS(tblDaily[Admissions],tblDaily[EntryDate],DATE(2026,6,19),tblDaily[WardCode],"BG")=0,"",SUMIFS(tblDaily[Admissions],tblDaily[EntryDate],DATE(2026,6,19),tblDaily[WardCode],"BG")),"")</f>
        <v/>
      </c>
      <c r="C220" s="12">
        <f>IFERROR(IF(SUMIFS(tblDaily[Discharges],tblDaily[EntryDate],DATE(2026,6,19),tblDaily[WardCode],"BG")=0,"",SUMIFS(tblDaily[Discharges],tblDaily[EntryDate],DATE(2026,6,19),tblDaily[WardCode],"BG")),"")</f>
        <v/>
      </c>
      <c r="D220" s="12">
        <f>IFERROR(IF(SUMIFS(tblDaily[Deaths],tblDaily[EntryDate],DATE(2026,6,19),tblDaily[WardCode],"BG")=0,"",SUMIFS(tblDaily[Deaths],tblDaily[EntryDate],DATE(2026,6,19),tblDaily[WardCode],"BG")),"")</f>
        <v/>
      </c>
      <c r="E220" s="12">
        <f>IFERROR(IF(SUMIFS(tblDaily[DeathsUnder24Hrs],tblDaily[EntryDate],DATE(2026,6,19),tblDaily[WardCode],"BG")=0,"",SUMIFS(tblDaily[DeathsUnder24Hrs],tblDaily[EntryDate],DATE(2026,6,19),tblDaily[WardCode],"BG")),"")</f>
        <v/>
      </c>
      <c r="F220" s="12">
        <f>IFERROR(IF(SUMIFS(tblDaily[TransfersIn],tblDaily[EntryDate],DATE(2026,6,19),tblDaily[WardCode],"BG")=0,"",SUMIFS(tblDaily[TransfersIn],tblDaily[EntryDate],DATE(2026,6,19),tblDaily[WardCode],"BG")),"")</f>
        <v/>
      </c>
      <c r="G220" s="12">
        <f>IFERROR(IF(SUMIFS(tblDaily[TransfersOut],tblDaily[EntryDate],DATE(2026,6,19),tblDaily[WardCode],"BG")=0,"",SUMIFS(tblDaily[TransfersOut],tblDaily[EntryDate],DATE(2026,6,19),tblDaily[WardCode],"BG")),"")</f>
        <v/>
      </c>
      <c r="H220" s="12">
        <f>IFERROR(IF(SUMIFS(tblDaily[Remaining],tblDaily[EntryDate],DATE(2026,6,19),tblDaily[WardCode],"BG")=0,"",SUMIFS(tblDaily[Remaining],tblDaily[EntryDate],DATE(2026,6,19),tblDaily[WardCode],"BG")),"")</f>
        <v/>
      </c>
    </row>
    <row r="221">
      <c r="A221" s="12" t="n">
        <v>20</v>
      </c>
      <c r="B221" s="12">
        <f>IFERROR(IF(SUMIFS(tblDaily[Admissions],tblDaily[EntryDate],DATE(2026,6,20),tblDaily[WardCode],"BG")=0,"",SUMIFS(tblDaily[Admissions],tblDaily[EntryDate],DATE(2026,6,20),tblDaily[WardCode],"BG")),"")</f>
        <v/>
      </c>
      <c r="C221" s="12">
        <f>IFERROR(IF(SUMIFS(tblDaily[Discharges],tblDaily[EntryDate],DATE(2026,6,20),tblDaily[WardCode],"BG")=0,"",SUMIFS(tblDaily[Discharges],tblDaily[EntryDate],DATE(2026,6,20),tblDaily[WardCode],"BG")),"")</f>
        <v/>
      </c>
      <c r="D221" s="12">
        <f>IFERROR(IF(SUMIFS(tblDaily[Deaths],tblDaily[EntryDate],DATE(2026,6,20),tblDaily[WardCode],"BG")=0,"",SUMIFS(tblDaily[Deaths],tblDaily[EntryDate],DATE(2026,6,20),tblDaily[WardCode],"BG")),"")</f>
        <v/>
      </c>
      <c r="E221" s="12">
        <f>IFERROR(IF(SUMIFS(tblDaily[DeathsUnder24Hrs],tblDaily[EntryDate],DATE(2026,6,20),tblDaily[WardCode],"BG")=0,"",SUMIFS(tblDaily[DeathsUnder24Hrs],tblDaily[EntryDate],DATE(2026,6,20),tblDaily[WardCode],"BG")),"")</f>
        <v/>
      </c>
      <c r="F221" s="12">
        <f>IFERROR(IF(SUMIFS(tblDaily[TransfersIn],tblDaily[EntryDate],DATE(2026,6,20),tblDaily[WardCode],"BG")=0,"",SUMIFS(tblDaily[TransfersIn],tblDaily[EntryDate],DATE(2026,6,20),tblDaily[WardCode],"BG")),"")</f>
        <v/>
      </c>
      <c r="G221" s="12">
        <f>IFERROR(IF(SUMIFS(tblDaily[TransfersOut],tblDaily[EntryDate],DATE(2026,6,20),tblDaily[WardCode],"BG")=0,"",SUMIFS(tblDaily[TransfersOut],tblDaily[EntryDate],DATE(2026,6,20),tblDaily[WardCode],"BG")),"")</f>
        <v/>
      </c>
      <c r="H221" s="12">
        <f>IFERROR(IF(SUMIFS(tblDaily[Remaining],tblDaily[EntryDate],DATE(2026,6,20),tblDaily[WardCode],"BG")=0,"",SUMIFS(tblDaily[Remaining],tblDaily[EntryDate],DATE(2026,6,20),tblDaily[WardCode],"BG")),"")</f>
        <v/>
      </c>
    </row>
    <row r="222">
      <c r="A222" s="12" t="n">
        <v>21</v>
      </c>
      <c r="B222" s="12">
        <f>IFERROR(IF(SUMIFS(tblDaily[Admissions],tblDaily[EntryDate],DATE(2026,6,21),tblDaily[WardCode],"BG")=0,"",SUMIFS(tblDaily[Admissions],tblDaily[EntryDate],DATE(2026,6,21),tblDaily[WardCode],"BG")),"")</f>
        <v/>
      </c>
      <c r="C222" s="12">
        <f>IFERROR(IF(SUMIFS(tblDaily[Discharges],tblDaily[EntryDate],DATE(2026,6,21),tblDaily[WardCode],"BG")=0,"",SUMIFS(tblDaily[Discharges],tblDaily[EntryDate],DATE(2026,6,21),tblDaily[WardCode],"BG")),"")</f>
        <v/>
      </c>
      <c r="D222" s="12">
        <f>IFERROR(IF(SUMIFS(tblDaily[Deaths],tblDaily[EntryDate],DATE(2026,6,21),tblDaily[WardCode],"BG")=0,"",SUMIFS(tblDaily[Deaths],tblDaily[EntryDate],DATE(2026,6,21),tblDaily[WardCode],"BG")),"")</f>
        <v/>
      </c>
      <c r="E222" s="12">
        <f>IFERROR(IF(SUMIFS(tblDaily[DeathsUnder24Hrs],tblDaily[EntryDate],DATE(2026,6,21),tblDaily[WardCode],"BG")=0,"",SUMIFS(tblDaily[DeathsUnder24Hrs],tblDaily[EntryDate],DATE(2026,6,21),tblDaily[WardCode],"BG")),"")</f>
        <v/>
      </c>
      <c r="F222" s="12">
        <f>IFERROR(IF(SUMIFS(tblDaily[TransfersIn],tblDaily[EntryDate],DATE(2026,6,21),tblDaily[WardCode],"BG")=0,"",SUMIFS(tblDaily[TransfersIn],tblDaily[EntryDate],DATE(2026,6,21),tblDaily[WardCode],"BG")),"")</f>
        <v/>
      </c>
      <c r="G222" s="12">
        <f>IFERROR(IF(SUMIFS(tblDaily[TransfersOut],tblDaily[EntryDate],DATE(2026,6,21),tblDaily[WardCode],"BG")=0,"",SUMIFS(tblDaily[TransfersOut],tblDaily[EntryDate],DATE(2026,6,21),tblDaily[WardCode],"BG")),"")</f>
        <v/>
      </c>
      <c r="H222" s="12">
        <f>IFERROR(IF(SUMIFS(tblDaily[Remaining],tblDaily[EntryDate],DATE(2026,6,21),tblDaily[WardCode],"BG")=0,"",SUMIFS(tblDaily[Remaining],tblDaily[EntryDate],DATE(2026,6,21),tblDaily[WardCode],"BG")),"")</f>
        <v/>
      </c>
    </row>
    <row r="223">
      <c r="A223" s="12" t="n">
        <v>22</v>
      </c>
      <c r="B223" s="12">
        <f>IFERROR(IF(SUMIFS(tblDaily[Admissions],tblDaily[EntryDate],DATE(2026,6,22),tblDaily[WardCode],"BG")=0,"",SUMIFS(tblDaily[Admissions],tblDaily[EntryDate],DATE(2026,6,22),tblDaily[WardCode],"BG")),"")</f>
        <v/>
      </c>
      <c r="C223" s="12">
        <f>IFERROR(IF(SUMIFS(tblDaily[Discharges],tblDaily[EntryDate],DATE(2026,6,22),tblDaily[WardCode],"BG")=0,"",SUMIFS(tblDaily[Discharges],tblDaily[EntryDate],DATE(2026,6,22),tblDaily[WardCode],"BG")),"")</f>
        <v/>
      </c>
      <c r="D223" s="12">
        <f>IFERROR(IF(SUMIFS(tblDaily[Deaths],tblDaily[EntryDate],DATE(2026,6,22),tblDaily[WardCode],"BG")=0,"",SUMIFS(tblDaily[Deaths],tblDaily[EntryDate],DATE(2026,6,22),tblDaily[WardCode],"BG")),"")</f>
        <v/>
      </c>
      <c r="E223" s="12">
        <f>IFERROR(IF(SUMIFS(tblDaily[DeathsUnder24Hrs],tblDaily[EntryDate],DATE(2026,6,22),tblDaily[WardCode],"BG")=0,"",SUMIFS(tblDaily[DeathsUnder24Hrs],tblDaily[EntryDate],DATE(2026,6,22),tblDaily[WardCode],"BG")),"")</f>
        <v/>
      </c>
      <c r="F223" s="12">
        <f>IFERROR(IF(SUMIFS(tblDaily[TransfersIn],tblDaily[EntryDate],DATE(2026,6,22),tblDaily[WardCode],"BG")=0,"",SUMIFS(tblDaily[TransfersIn],tblDaily[EntryDate],DATE(2026,6,22),tblDaily[WardCode],"BG")),"")</f>
        <v/>
      </c>
      <c r="G223" s="12">
        <f>IFERROR(IF(SUMIFS(tblDaily[TransfersOut],tblDaily[EntryDate],DATE(2026,6,22),tblDaily[WardCode],"BG")=0,"",SUMIFS(tblDaily[TransfersOut],tblDaily[EntryDate],DATE(2026,6,22),tblDaily[WardCode],"BG")),"")</f>
        <v/>
      </c>
      <c r="H223" s="12">
        <f>IFERROR(IF(SUMIFS(tblDaily[Remaining],tblDaily[EntryDate],DATE(2026,6,22),tblDaily[WardCode],"BG")=0,"",SUMIFS(tblDaily[Remaining],tblDaily[EntryDate],DATE(2026,6,22),tblDaily[WardCode],"BG")),"")</f>
        <v/>
      </c>
    </row>
    <row r="224">
      <c r="A224" s="12" t="n">
        <v>23</v>
      </c>
      <c r="B224" s="12">
        <f>IFERROR(IF(SUMIFS(tblDaily[Admissions],tblDaily[EntryDate],DATE(2026,6,23),tblDaily[WardCode],"BG")=0,"",SUMIFS(tblDaily[Admissions],tblDaily[EntryDate],DATE(2026,6,23),tblDaily[WardCode],"BG")),"")</f>
        <v/>
      </c>
      <c r="C224" s="12">
        <f>IFERROR(IF(SUMIFS(tblDaily[Discharges],tblDaily[EntryDate],DATE(2026,6,23),tblDaily[WardCode],"BG")=0,"",SUMIFS(tblDaily[Discharges],tblDaily[EntryDate],DATE(2026,6,23),tblDaily[WardCode],"BG")),"")</f>
        <v/>
      </c>
      <c r="D224" s="12">
        <f>IFERROR(IF(SUMIFS(tblDaily[Deaths],tblDaily[EntryDate],DATE(2026,6,23),tblDaily[WardCode],"BG")=0,"",SUMIFS(tblDaily[Deaths],tblDaily[EntryDate],DATE(2026,6,23),tblDaily[WardCode],"BG")),"")</f>
        <v/>
      </c>
      <c r="E224" s="12">
        <f>IFERROR(IF(SUMIFS(tblDaily[DeathsUnder24Hrs],tblDaily[EntryDate],DATE(2026,6,23),tblDaily[WardCode],"BG")=0,"",SUMIFS(tblDaily[DeathsUnder24Hrs],tblDaily[EntryDate],DATE(2026,6,23),tblDaily[WardCode],"BG")),"")</f>
        <v/>
      </c>
      <c r="F224" s="12">
        <f>IFERROR(IF(SUMIFS(tblDaily[TransfersIn],tblDaily[EntryDate],DATE(2026,6,23),tblDaily[WardCode],"BG")=0,"",SUMIFS(tblDaily[TransfersIn],tblDaily[EntryDate],DATE(2026,6,23),tblDaily[WardCode],"BG")),"")</f>
        <v/>
      </c>
      <c r="G224" s="12">
        <f>IFERROR(IF(SUMIFS(tblDaily[TransfersOut],tblDaily[EntryDate],DATE(2026,6,23),tblDaily[WardCode],"BG")=0,"",SUMIFS(tblDaily[TransfersOut],tblDaily[EntryDate],DATE(2026,6,23),tblDaily[WardCode],"BG")),"")</f>
        <v/>
      </c>
      <c r="H224" s="12">
        <f>IFERROR(IF(SUMIFS(tblDaily[Remaining],tblDaily[EntryDate],DATE(2026,6,23),tblDaily[WardCode],"BG")=0,"",SUMIFS(tblDaily[Remaining],tblDaily[EntryDate],DATE(2026,6,23),tblDaily[WardCode],"BG")),"")</f>
        <v/>
      </c>
    </row>
    <row r="225">
      <c r="A225" s="12" t="n">
        <v>24</v>
      </c>
      <c r="B225" s="12">
        <f>IFERROR(IF(SUMIFS(tblDaily[Admissions],tblDaily[EntryDate],DATE(2026,6,24),tblDaily[WardCode],"BG")=0,"",SUMIFS(tblDaily[Admissions],tblDaily[EntryDate],DATE(2026,6,24),tblDaily[WardCode],"BG")),"")</f>
        <v/>
      </c>
      <c r="C225" s="12">
        <f>IFERROR(IF(SUMIFS(tblDaily[Discharges],tblDaily[EntryDate],DATE(2026,6,24),tblDaily[WardCode],"BG")=0,"",SUMIFS(tblDaily[Discharges],tblDaily[EntryDate],DATE(2026,6,24),tblDaily[WardCode],"BG")),"")</f>
        <v/>
      </c>
      <c r="D225" s="12">
        <f>IFERROR(IF(SUMIFS(tblDaily[Deaths],tblDaily[EntryDate],DATE(2026,6,24),tblDaily[WardCode],"BG")=0,"",SUMIFS(tblDaily[Deaths],tblDaily[EntryDate],DATE(2026,6,24),tblDaily[WardCode],"BG")),"")</f>
        <v/>
      </c>
      <c r="E225" s="12">
        <f>IFERROR(IF(SUMIFS(tblDaily[DeathsUnder24Hrs],tblDaily[EntryDate],DATE(2026,6,24),tblDaily[WardCode],"BG")=0,"",SUMIFS(tblDaily[DeathsUnder24Hrs],tblDaily[EntryDate],DATE(2026,6,24),tblDaily[WardCode],"BG")),"")</f>
        <v/>
      </c>
      <c r="F225" s="12">
        <f>IFERROR(IF(SUMIFS(tblDaily[TransfersIn],tblDaily[EntryDate],DATE(2026,6,24),tblDaily[WardCode],"BG")=0,"",SUMIFS(tblDaily[TransfersIn],tblDaily[EntryDate],DATE(2026,6,24),tblDaily[WardCode],"BG")),"")</f>
        <v/>
      </c>
      <c r="G225" s="12">
        <f>IFERROR(IF(SUMIFS(tblDaily[TransfersOut],tblDaily[EntryDate],DATE(2026,6,24),tblDaily[WardCode],"BG")=0,"",SUMIFS(tblDaily[TransfersOut],tblDaily[EntryDate],DATE(2026,6,24),tblDaily[WardCode],"BG")),"")</f>
        <v/>
      </c>
      <c r="H225" s="12">
        <f>IFERROR(IF(SUMIFS(tblDaily[Remaining],tblDaily[EntryDate],DATE(2026,6,24),tblDaily[WardCode],"BG")=0,"",SUMIFS(tblDaily[Remaining],tblDaily[EntryDate],DATE(2026,6,24),tblDaily[WardCode],"BG")),"")</f>
        <v/>
      </c>
    </row>
    <row r="226">
      <c r="A226" s="12" t="n">
        <v>25</v>
      </c>
      <c r="B226" s="12">
        <f>IFERROR(IF(SUMIFS(tblDaily[Admissions],tblDaily[EntryDate],DATE(2026,6,25),tblDaily[WardCode],"BG")=0,"",SUMIFS(tblDaily[Admissions],tblDaily[EntryDate],DATE(2026,6,25),tblDaily[WardCode],"BG")),"")</f>
        <v/>
      </c>
      <c r="C226" s="12">
        <f>IFERROR(IF(SUMIFS(tblDaily[Discharges],tblDaily[EntryDate],DATE(2026,6,25),tblDaily[WardCode],"BG")=0,"",SUMIFS(tblDaily[Discharges],tblDaily[EntryDate],DATE(2026,6,25),tblDaily[WardCode],"BG")),"")</f>
        <v/>
      </c>
      <c r="D226" s="12">
        <f>IFERROR(IF(SUMIFS(tblDaily[Deaths],tblDaily[EntryDate],DATE(2026,6,25),tblDaily[WardCode],"BG")=0,"",SUMIFS(tblDaily[Deaths],tblDaily[EntryDate],DATE(2026,6,25),tblDaily[WardCode],"BG")),"")</f>
        <v/>
      </c>
      <c r="E226" s="12">
        <f>IFERROR(IF(SUMIFS(tblDaily[DeathsUnder24Hrs],tblDaily[EntryDate],DATE(2026,6,25),tblDaily[WardCode],"BG")=0,"",SUMIFS(tblDaily[DeathsUnder24Hrs],tblDaily[EntryDate],DATE(2026,6,25),tblDaily[WardCode],"BG")),"")</f>
        <v/>
      </c>
      <c r="F226" s="12">
        <f>IFERROR(IF(SUMIFS(tblDaily[TransfersIn],tblDaily[EntryDate],DATE(2026,6,25),tblDaily[WardCode],"BG")=0,"",SUMIFS(tblDaily[TransfersIn],tblDaily[EntryDate],DATE(2026,6,25),tblDaily[WardCode],"BG")),"")</f>
        <v/>
      </c>
      <c r="G226" s="12">
        <f>IFERROR(IF(SUMIFS(tblDaily[TransfersOut],tblDaily[EntryDate],DATE(2026,6,25),tblDaily[WardCode],"BG")=0,"",SUMIFS(tblDaily[TransfersOut],tblDaily[EntryDate],DATE(2026,6,25),tblDaily[WardCode],"BG")),"")</f>
        <v/>
      </c>
      <c r="H226" s="12">
        <f>IFERROR(IF(SUMIFS(tblDaily[Remaining],tblDaily[EntryDate],DATE(2026,6,25),tblDaily[WardCode],"BG")=0,"",SUMIFS(tblDaily[Remaining],tblDaily[EntryDate],DATE(2026,6,25),tblDaily[WardCode],"BG")),"")</f>
        <v/>
      </c>
    </row>
    <row r="227">
      <c r="A227" s="12" t="n">
        <v>26</v>
      </c>
      <c r="B227" s="12">
        <f>IFERROR(IF(SUMIFS(tblDaily[Admissions],tblDaily[EntryDate],DATE(2026,6,26),tblDaily[WardCode],"BG")=0,"",SUMIFS(tblDaily[Admissions],tblDaily[EntryDate],DATE(2026,6,26),tblDaily[WardCode],"BG")),"")</f>
        <v/>
      </c>
      <c r="C227" s="12">
        <f>IFERROR(IF(SUMIFS(tblDaily[Discharges],tblDaily[EntryDate],DATE(2026,6,26),tblDaily[WardCode],"BG")=0,"",SUMIFS(tblDaily[Discharges],tblDaily[EntryDate],DATE(2026,6,26),tblDaily[WardCode],"BG")),"")</f>
        <v/>
      </c>
      <c r="D227" s="12">
        <f>IFERROR(IF(SUMIFS(tblDaily[Deaths],tblDaily[EntryDate],DATE(2026,6,26),tblDaily[WardCode],"BG")=0,"",SUMIFS(tblDaily[Deaths],tblDaily[EntryDate],DATE(2026,6,26),tblDaily[WardCode],"BG")),"")</f>
        <v/>
      </c>
      <c r="E227" s="12">
        <f>IFERROR(IF(SUMIFS(tblDaily[DeathsUnder24Hrs],tblDaily[EntryDate],DATE(2026,6,26),tblDaily[WardCode],"BG")=0,"",SUMIFS(tblDaily[DeathsUnder24Hrs],tblDaily[EntryDate],DATE(2026,6,26),tblDaily[WardCode],"BG")),"")</f>
        <v/>
      </c>
      <c r="F227" s="12">
        <f>IFERROR(IF(SUMIFS(tblDaily[TransfersIn],tblDaily[EntryDate],DATE(2026,6,26),tblDaily[WardCode],"BG")=0,"",SUMIFS(tblDaily[TransfersIn],tblDaily[EntryDate],DATE(2026,6,26),tblDaily[WardCode],"BG")),"")</f>
        <v/>
      </c>
      <c r="G227" s="12">
        <f>IFERROR(IF(SUMIFS(tblDaily[TransfersOut],tblDaily[EntryDate],DATE(2026,6,26),tblDaily[WardCode],"BG")=0,"",SUMIFS(tblDaily[TransfersOut],tblDaily[EntryDate],DATE(2026,6,26),tblDaily[WardCode],"BG")),"")</f>
        <v/>
      </c>
      <c r="H227" s="12">
        <f>IFERROR(IF(SUMIFS(tblDaily[Remaining],tblDaily[EntryDate],DATE(2026,6,26),tblDaily[WardCode],"BG")=0,"",SUMIFS(tblDaily[Remaining],tblDaily[EntryDate],DATE(2026,6,26),tblDaily[WardCode],"BG")),"")</f>
        <v/>
      </c>
    </row>
    <row r="228">
      <c r="A228" s="12" t="n">
        <v>27</v>
      </c>
      <c r="B228" s="12">
        <f>IFERROR(IF(SUMIFS(tblDaily[Admissions],tblDaily[EntryDate],DATE(2026,6,27),tblDaily[WardCode],"BG")=0,"",SUMIFS(tblDaily[Admissions],tblDaily[EntryDate],DATE(2026,6,27),tblDaily[WardCode],"BG")),"")</f>
        <v/>
      </c>
      <c r="C228" s="12">
        <f>IFERROR(IF(SUMIFS(tblDaily[Discharges],tblDaily[EntryDate],DATE(2026,6,27),tblDaily[WardCode],"BG")=0,"",SUMIFS(tblDaily[Discharges],tblDaily[EntryDate],DATE(2026,6,27),tblDaily[WardCode],"BG")),"")</f>
        <v/>
      </c>
      <c r="D228" s="12">
        <f>IFERROR(IF(SUMIFS(tblDaily[Deaths],tblDaily[EntryDate],DATE(2026,6,27),tblDaily[WardCode],"BG")=0,"",SUMIFS(tblDaily[Deaths],tblDaily[EntryDate],DATE(2026,6,27),tblDaily[WardCode],"BG")),"")</f>
        <v/>
      </c>
      <c r="E228" s="12">
        <f>IFERROR(IF(SUMIFS(tblDaily[DeathsUnder24Hrs],tblDaily[EntryDate],DATE(2026,6,27),tblDaily[WardCode],"BG")=0,"",SUMIFS(tblDaily[DeathsUnder24Hrs],tblDaily[EntryDate],DATE(2026,6,27),tblDaily[WardCode],"BG")),"")</f>
        <v/>
      </c>
      <c r="F228" s="12">
        <f>IFERROR(IF(SUMIFS(tblDaily[TransfersIn],tblDaily[EntryDate],DATE(2026,6,27),tblDaily[WardCode],"BG")=0,"",SUMIFS(tblDaily[TransfersIn],tblDaily[EntryDate],DATE(2026,6,27),tblDaily[WardCode],"BG")),"")</f>
        <v/>
      </c>
      <c r="G228" s="12">
        <f>IFERROR(IF(SUMIFS(tblDaily[TransfersOut],tblDaily[EntryDate],DATE(2026,6,27),tblDaily[WardCode],"BG")=0,"",SUMIFS(tblDaily[TransfersOut],tblDaily[EntryDate],DATE(2026,6,27),tblDaily[WardCode],"BG")),"")</f>
        <v/>
      </c>
      <c r="H228" s="12">
        <f>IFERROR(IF(SUMIFS(tblDaily[Remaining],tblDaily[EntryDate],DATE(2026,6,27),tblDaily[WardCode],"BG")=0,"",SUMIFS(tblDaily[Remaining],tblDaily[EntryDate],DATE(2026,6,27),tblDaily[WardCode],"BG")),"")</f>
        <v/>
      </c>
    </row>
    <row r="229">
      <c r="A229" s="12" t="n">
        <v>28</v>
      </c>
      <c r="B229" s="12">
        <f>IFERROR(IF(SUMIFS(tblDaily[Admissions],tblDaily[EntryDate],DATE(2026,6,28),tblDaily[WardCode],"BG")=0,"",SUMIFS(tblDaily[Admissions],tblDaily[EntryDate],DATE(2026,6,28),tblDaily[WardCode],"BG")),"")</f>
        <v/>
      </c>
      <c r="C229" s="12">
        <f>IFERROR(IF(SUMIFS(tblDaily[Discharges],tblDaily[EntryDate],DATE(2026,6,28),tblDaily[WardCode],"BG")=0,"",SUMIFS(tblDaily[Discharges],tblDaily[EntryDate],DATE(2026,6,28),tblDaily[WardCode],"BG")),"")</f>
        <v/>
      </c>
      <c r="D229" s="12">
        <f>IFERROR(IF(SUMIFS(tblDaily[Deaths],tblDaily[EntryDate],DATE(2026,6,28),tblDaily[WardCode],"BG")=0,"",SUMIFS(tblDaily[Deaths],tblDaily[EntryDate],DATE(2026,6,28),tblDaily[WardCode],"BG")),"")</f>
        <v/>
      </c>
      <c r="E229" s="12">
        <f>IFERROR(IF(SUMIFS(tblDaily[DeathsUnder24Hrs],tblDaily[EntryDate],DATE(2026,6,28),tblDaily[WardCode],"BG")=0,"",SUMIFS(tblDaily[DeathsUnder24Hrs],tblDaily[EntryDate],DATE(2026,6,28),tblDaily[WardCode],"BG")),"")</f>
        <v/>
      </c>
      <c r="F229" s="12">
        <f>IFERROR(IF(SUMIFS(tblDaily[TransfersIn],tblDaily[EntryDate],DATE(2026,6,28),tblDaily[WardCode],"BG")=0,"",SUMIFS(tblDaily[TransfersIn],tblDaily[EntryDate],DATE(2026,6,28),tblDaily[WardCode],"BG")),"")</f>
        <v/>
      </c>
      <c r="G229" s="12">
        <f>IFERROR(IF(SUMIFS(tblDaily[TransfersOut],tblDaily[EntryDate],DATE(2026,6,28),tblDaily[WardCode],"BG")=0,"",SUMIFS(tblDaily[TransfersOut],tblDaily[EntryDate],DATE(2026,6,28),tblDaily[WardCode],"BG")),"")</f>
        <v/>
      </c>
      <c r="H229" s="12">
        <f>IFERROR(IF(SUMIFS(tblDaily[Remaining],tblDaily[EntryDate],DATE(2026,6,28),tblDaily[WardCode],"BG")=0,"",SUMIFS(tblDaily[Remaining],tblDaily[EntryDate],DATE(2026,6,28),tblDaily[WardCode],"BG")),"")</f>
        <v/>
      </c>
    </row>
    <row r="230">
      <c r="A230" s="12" t="n">
        <v>29</v>
      </c>
      <c r="B230" s="12">
        <f>IFERROR(IF(SUMIFS(tblDaily[Admissions],tblDaily[EntryDate],DATE(2026,6,29),tblDaily[WardCode],"BG")=0,"",SUMIFS(tblDaily[Admissions],tblDaily[EntryDate],DATE(2026,6,29),tblDaily[WardCode],"BG")),"")</f>
        <v/>
      </c>
      <c r="C230" s="12">
        <f>IFERROR(IF(SUMIFS(tblDaily[Discharges],tblDaily[EntryDate],DATE(2026,6,29),tblDaily[WardCode],"BG")=0,"",SUMIFS(tblDaily[Discharges],tblDaily[EntryDate],DATE(2026,6,29),tblDaily[WardCode],"BG")),"")</f>
        <v/>
      </c>
      <c r="D230" s="12">
        <f>IFERROR(IF(SUMIFS(tblDaily[Deaths],tblDaily[EntryDate],DATE(2026,6,29),tblDaily[WardCode],"BG")=0,"",SUMIFS(tblDaily[Deaths],tblDaily[EntryDate],DATE(2026,6,29),tblDaily[WardCode],"BG")),"")</f>
        <v/>
      </c>
      <c r="E230" s="12">
        <f>IFERROR(IF(SUMIFS(tblDaily[DeathsUnder24Hrs],tblDaily[EntryDate],DATE(2026,6,29),tblDaily[WardCode],"BG")=0,"",SUMIFS(tblDaily[DeathsUnder24Hrs],tblDaily[EntryDate],DATE(2026,6,29),tblDaily[WardCode],"BG")),"")</f>
        <v/>
      </c>
      <c r="F230" s="12">
        <f>IFERROR(IF(SUMIFS(tblDaily[TransfersIn],tblDaily[EntryDate],DATE(2026,6,29),tblDaily[WardCode],"BG")=0,"",SUMIFS(tblDaily[TransfersIn],tblDaily[EntryDate],DATE(2026,6,29),tblDaily[WardCode],"BG")),"")</f>
        <v/>
      </c>
      <c r="G230" s="12">
        <f>IFERROR(IF(SUMIFS(tblDaily[TransfersOut],tblDaily[EntryDate],DATE(2026,6,29),tblDaily[WardCode],"BG")=0,"",SUMIFS(tblDaily[TransfersOut],tblDaily[EntryDate],DATE(2026,6,29),tblDaily[WardCode],"BG")),"")</f>
        <v/>
      </c>
      <c r="H230" s="12">
        <f>IFERROR(IF(SUMIFS(tblDaily[Remaining],tblDaily[EntryDate],DATE(2026,6,29),tblDaily[WardCode],"BG")=0,"",SUMIFS(tblDaily[Remaining],tblDaily[EntryDate],DATE(2026,6,29),tblDaily[WardCode],"BG")),"")</f>
        <v/>
      </c>
    </row>
    <row r="231">
      <c r="A231" s="12" t="n">
        <v>30</v>
      </c>
      <c r="B231" s="12">
        <f>IFERROR(IF(SUMIFS(tblDaily[Admissions],tblDaily[EntryDate],DATE(2026,6,30),tblDaily[WardCode],"BG")=0,"",SUMIFS(tblDaily[Admissions],tblDaily[EntryDate],DATE(2026,6,30),tblDaily[WardCode],"BG")),"")</f>
        <v/>
      </c>
      <c r="C231" s="12">
        <f>IFERROR(IF(SUMIFS(tblDaily[Discharges],tblDaily[EntryDate],DATE(2026,6,30),tblDaily[WardCode],"BG")=0,"",SUMIFS(tblDaily[Discharges],tblDaily[EntryDate],DATE(2026,6,30),tblDaily[WardCode],"BG")),"")</f>
        <v/>
      </c>
      <c r="D231" s="12">
        <f>IFERROR(IF(SUMIFS(tblDaily[Deaths],tblDaily[EntryDate],DATE(2026,6,30),tblDaily[WardCode],"BG")=0,"",SUMIFS(tblDaily[Deaths],tblDaily[EntryDate],DATE(2026,6,30),tblDaily[WardCode],"BG")),"")</f>
        <v/>
      </c>
      <c r="E231" s="12">
        <f>IFERROR(IF(SUMIFS(tblDaily[DeathsUnder24Hrs],tblDaily[EntryDate],DATE(2026,6,30),tblDaily[WardCode],"BG")=0,"",SUMIFS(tblDaily[DeathsUnder24Hrs],tblDaily[EntryDate],DATE(2026,6,30),tblDaily[WardCode],"BG")),"")</f>
        <v/>
      </c>
      <c r="F231" s="12">
        <f>IFERROR(IF(SUMIFS(tblDaily[TransfersIn],tblDaily[EntryDate],DATE(2026,6,30),tblDaily[WardCode],"BG")=0,"",SUMIFS(tblDaily[TransfersIn],tblDaily[EntryDate],DATE(2026,6,30),tblDaily[WardCode],"BG")),"")</f>
        <v/>
      </c>
      <c r="G231" s="12">
        <f>IFERROR(IF(SUMIFS(tblDaily[TransfersOut],tblDaily[EntryDate],DATE(2026,6,30),tblDaily[WardCode],"BG")=0,"",SUMIFS(tblDaily[TransfersOut],tblDaily[EntryDate],DATE(2026,6,30),tblDaily[WardCode],"BG")),"")</f>
        <v/>
      </c>
      <c r="H231" s="12">
        <f>IFERROR(IF(SUMIFS(tblDaily[Remaining],tblDaily[EntryDate],DATE(2026,6,30),tblDaily[WardCode],"BG")=0,"",SUMIFS(tblDaily[Remaining],tblDaily[EntryDate],DATE(2026,6,30),tblDaily[WardCode],"BG")),"")</f>
        <v/>
      </c>
    </row>
    <row r="232">
      <c r="A232" s="12" t="n">
        <v>31</v>
      </c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7" t="inlineStr">
        <is>
          <t>TOTAL</t>
        </is>
      </c>
      <c r="B233" s="17">
        <f>SUMIFS(tblDaily[Admissions],tblDaily[Month],6,tblDaily[WardCode],"BG") - SUMIFS(tblDaily[DeathsUnder24Hrs],tblDaily[Month],6,tblDaily[WardCode],"BG")</f>
        <v/>
      </c>
      <c r="C233" s="17">
        <f>SUMIFS(tblDaily[Discharges],tblDaily[Month],6,tblDaily[WardCode],"BG")</f>
        <v/>
      </c>
      <c r="D233" s="17">
        <f>SUMIFS(tblDaily[Deaths],tblDaily[Month],6,tblDaily[WardCode],"BG")</f>
        <v/>
      </c>
      <c r="E233" s="17">
        <f>SUMIFS(tblDaily[DeathsUnder24Hrs],tblDaily[Month],6,tblDaily[WardCode],"BG")</f>
        <v/>
      </c>
      <c r="F233" s="17">
        <f>SUMIFS(tblDaily[TransfersIn],tblDaily[Month],6,tblDaily[WardCode],"BG")</f>
        <v/>
      </c>
      <c r="G233" s="17">
        <f>SUMIFS(tblDaily[TransfersOut],tblDaily[Month],6,tblDaily[WardCode],"BG")</f>
        <v/>
      </c>
      <c r="H233" s="17">
        <f>SUMIFS(tblDaily[Remaining],tblDaily[Month],6,tblDaily[WardCode],"BG")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BLOCK G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4">
        <f>IFERROR(SUMIFS(tblDaily[Remaining],tblDaily[EntryDate],DATE(2026,6,30),tblDaily[WardCode],"BG"),0)</f>
        <v/>
      </c>
    </row>
    <row r="239">
      <c r="A239" s="4" t="inlineStr">
        <is>
          <t>Bed complement</t>
        </is>
      </c>
      <c r="H239" s="15">
        <f>IFERROR(INDEX(tblWardConfig[BedComplement],MATCH("BG",tblWardConfig[WardCode],0)),0)</f>
        <v/>
      </c>
    </row>
    <row r="240">
      <c r="A240" s="16" t="inlineStr">
        <is>
          <t>Day of
the
Month</t>
        </is>
      </c>
      <c r="B240" s="16" t="inlineStr">
        <is>
          <t>Admissions</t>
        </is>
      </c>
      <c r="C240" s="16" t="inlineStr">
        <is>
          <t>Discharges</t>
        </is>
      </c>
      <c r="D240" s="16" t="inlineStr">
        <is>
          <t>Deaths</t>
        </is>
      </c>
      <c r="E240" s="16" t="inlineStr">
        <is>
          <t>Deaths
&lt;24Hrs</t>
        </is>
      </c>
      <c r="F240" s="16" t="inlineStr">
        <is>
          <t>Transfers-
In</t>
        </is>
      </c>
      <c r="G240" s="16" t="inlineStr">
        <is>
          <t>Transfers-
Out</t>
        </is>
      </c>
      <c r="H240" s="16" t="inlineStr">
        <is>
          <t>No. of Patients
Remaining In
Ward</t>
        </is>
      </c>
    </row>
    <row r="241">
      <c r="A241" s="12" t="n">
        <v>1</v>
      </c>
      <c r="B241" s="12">
        <f>IFERROR(IF(SUMIFS(tblDaily[Admissions],tblDaily[EntryDate],DATE(2026,7,1),tblDaily[WardCode],"BG")=0,"",SUMIFS(tblDaily[Admissions],tblDaily[EntryDate],DATE(2026,7,1),tblDaily[WardCode],"BG")),"")</f>
        <v/>
      </c>
      <c r="C241" s="12">
        <f>IFERROR(IF(SUMIFS(tblDaily[Discharges],tblDaily[EntryDate],DATE(2026,7,1),tblDaily[WardCode],"BG")=0,"",SUMIFS(tblDaily[Discharges],tblDaily[EntryDate],DATE(2026,7,1),tblDaily[WardCode],"BG")),"")</f>
        <v/>
      </c>
      <c r="D241" s="12">
        <f>IFERROR(IF(SUMIFS(tblDaily[Deaths],tblDaily[EntryDate],DATE(2026,7,1),tblDaily[WardCode],"BG")=0,"",SUMIFS(tblDaily[Deaths],tblDaily[EntryDate],DATE(2026,7,1),tblDaily[WardCode],"BG")),"")</f>
        <v/>
      </c>
      <c r="E241" s="12">
        <f>IFERROR(IF(SUMIFS(tblDaily[DeathsUnder24Hrs],tblDaily[EntryDate],DATE(2026,7,1),tblDaily[WardCode],"BG")=0,"",SUMIFS(tblDaily[DeathsUnder24Hrs],tblDaily[EntryDate],DATE(2026,7,1),tblDaily[WardCode],"BG")),"")</f>
        <v/>
      </c>
      <c r="F241" s="12">
        <f>IFERROR(IF(SUMIFS(tblDaily[TransfersIn],tblDaily[EntryDate],DATE(2026,7,1),tblDaily[WardCode],"BG")=0,"",SUMIFS(tblDaily[TransfersIn],tblDaily[EntryDate],DATE(2026,7,1),tblDaily[WardCode],"BG")),"")</f>
        <v/>
      </c>
      <c r="G241" s="12">
        <f>IFERROR(IF(SUMIFS(tblDaily[TransfersOut],tblDaily[EntryDate],DATE(2026,7,1),tblDaily[WardCode],"BG")=0,"",SUMIFS(tblDaily[TransfersOut],tblDaily[EntryDate],DATE(2026,7,1),tblDaily[WardCode],"BG")),"")</f>
        <v/>
      </c>
      <c r="H241" s="12">
        <f>IFERROR(IF(SUMIFS(tblDaily[Remaining],tblDaily[EntryDate],DATE(2026,7,1),tblDaily[WardCode],"BG")=0,"",SUMIFS(tblDaily[Remaining],tblDaily[EntryDate],DATE(2026,7,1),tblDaily[WardCode],"BG")),"")</f>
        <v/>
      </c>
    </row>
    <row r="242">
      <c r="A242" s="12" t="n">
        <v>2</v>
      </c>
      <c r="B242" s="12">
        <f>IFERROR(IF(SUMIFS(tblDaily[Admissions],tblDaily[EntryDate],DATE(2026,7,2),tblDaily[WardCode],"BG")=0,"",SUMIFS(tblDaily[Admissions],tblDaily[EntryDate],DATE(2026,7,2),tblDaily[WardCode],"BG")),"")</f>
        <v/>
      </c>
      <c r="C242" s="12">
        <f>IFERROR(IF(SUMIFS(tblDaily[Discharges],tblDaily[EntryDate],DATE(2026,7,2),tblDaily[WardCode],"BG")=0,"",SUMIFS(tblDaily[Discharges],tblDaily[EntryDate],DATE(2026,7,2),tblDaily[WardCode],"BG")),"")</f>
        <v/>
      </c>
      <c r="D242" s="12">
        <f>IFERROR(IF(SUMIFS(tblDaily[Deaths],tblDaily[EntryDate],DATE(2026,7,2),tblDaily[WardCode],"BG")=0,"",SUMIFS(tblDaily[Deaths],tblDaily[EntryDate],DATE(2026,7,2),tblDaily[WardCode],"BG")),"")</f>
        <v/>
      </c>
      <c r="E242" s="12">
        <f>IFERROR(IF(SUMIFS(tblDaily[DeathsUnder24Hrs],tblDaily[EntryDate],DATE(2026,7,2),tblDaily[WardCode],"BG")=0,"",SUMIFS(tblDaily[DeathsUnder24Hrs],tblDaily[EntryDate],DATE(2026,7,2),tblDaily[WardCode],"BG")),"")</f>
        <v/>
      </c>
      <c r="F242" s="12">
        <f>IFERROR(IF(SUMIFS(tblDaily[TransfersIn],tblDaily[EntryDate],DATE(2026,7,2),tblDaily[WardCode],"BG")=0,"",SUMIFS(tblDaily[TransfersIn],tblDaily[EntryDate],DATE(2026,7,2),tblDaily[WardCode],"BG")),"")</f>
        <v/>
      </c>
      <c r="G242" s="12">
        <f>IFERROR(IF(SUMIFS(tblDaily[TransfersOut],tblDaily[EntryDate],DATE(2026,7,2),tblDaily[WardCode],"BG")=0,"",SUMIFS(tblDaily[TransfersOut],tblDaily[EntryDate],DATE(2026,7,2),tblDaily[WardCode],"BG")),"")</f>
        <v/>
      </c>
      <c r="H242" s="12">
        <f>IFERROR(IF(SUMIFS(tblDaily[Remaining],tblDaily[EntryDate],DATE(2026,7,2),tblDaily[WardCode],"BG")=0,"",SUMIFS(tblDaily[Remaining],tblDaily[EntryDate],DATE(2026,7,2),tblDaily[WardCode],"BG")),"")</f>
        <v/>
      </c>
    </row>
    <row r="243">
      <c r="A243" s="12" t="n">
        <v>3</v>
      </c>
      <c r="B243" s="12">
        <f>IFERROR(IF(SUMIFS(tblDaily[Admissions],tblDaily[EntryDate],DATE(2026,7,3),tblDaily[WardCode],"BG")=0,"",SUMIFS(tblDaily[Admissions],tblDaily[EntryDate],DATE(2026,7,3),tblDaily[WardCode],"BG")),"")</f>
        <v/>
      </c>
      <c r="C243" s="12">
        <f>IFERROR(IF(SUMIFS(tblDaily[Discharges],tblDaily[EntryDate],DATE(2026,7,3),tblDaily[WardCode],"BG")=0,"",SUMIFS(tblDaily[Discharges],tblDaily[EntryDate],DATE(2026,7,3),tblDaily[WardCode],"BG")),"")</f>
        <v/>
      </c>
      <c r="D243" s="12">
        <f>IFERROR(IF(SUMIFS(tblDaily[Deaths],tblDaily[EntryDate],DATE(2026,7,3),tblDaily[WardCode],"BG")=0,"",SUMIFS(tblDaily[Deaths],tblDaily[EntryDate],DATE(2026,7,3),tblDaily[WardCode],"BG")),"")</f>
        <v/>
      </c>
      <c r="E243" s="12">
        <f>IFERROR(IF(SUMIFS(tblDaily[DeathsUnder24Hrs],tblDaily[EntryDate],DATE(2026,7,3),tblDaily[WardCode],"BG")=0,"",SUMIFS(tblDaily[DeathsUnder24Hrs],tblDaily[EntryDate],DATE(2026,7,3),tblDaily[WardCode],"BG")),"")</f>
        <v/>
      </c>
      <c r="F243" s="12">
        <f>IFERROR(IF(SUMIFS(tblDaily[TransfersIn],tblDaily[EntryDate],DATE(2026,7,3),tblDaily[WardCode],"BG")=0,"",SUMIFS(tblDaily[TransfersIn],tblDaily[EntryDate],DATE(2026,7,3),tblDaily[WardCode],"BG")),"")</f>
        <v/>
      </c>
      <c r="G243" s="12">
        <f>IFERROR(IF(SUMIFS(tblDaily[TransfersOut],tblDaily[EntryDate],DATE(2026,7,3),tblDaily[WardCode],"BG")=0,"",SUMIFS(tblDaily[TransfersOut],tblDaily[EntryDate],DATE(2026,7,3),tblDaily[WardCode],"BG")),"")</f>
        <v/>
      </c>
      <c r="H243" s="12">
        <f>IFERROR(IF(SUMIFS(tblDaily[Remaining],tblDaily[EntryDate],DATE(2026,7,3),tblDaily[WardCode],"BG")=0,"",SUMIFS(tblDaily[Remaining],tblDaily[EntryDate],DATE(2026,7,3),tblDaily[WardCode],"BG")),"")</f>
        <v/>
      </c>
    </row>
    <row r="244">
      <c r="A244" s="12" t="n">
        <v>4</v>
      </c>
      <c r="B244" s="12">
        <f>IFERROR(IF(SUMIFS(tblDaily[Admissions],tblDaily[EntryDate],DATE(2026,7,4),tblDaily[WardCode],"BG")=0,"",SUMIFS(tblDaily[Admissions],tblDaily[EntryDate],DATE(2026,7,4),tblDaily[WardCode],"BG")),"")</f>
        <v/>
      </c>
      <c r="C244" s="12">
        <f>IFERROR(IF(SUMIFS(tblDaily[Discharges],tblDaily[EntryDate],DATE(2026,7,4),tblDaily[WardCode],"BG")=0,"",SUMIFS(tblDaily[Discharges],tblDaily[EntryDate],DATE(2026,7,4),tblDaily[WardCode],"BG")),"")</f>
        <v/>
      </c>
      <c r="D244" s="12">
        <f>IFERROR(IF(SUMIFS(tblDaily[Deaths],tblDaily[EntryDate],DATE(2026,7,4),tblDaily[WardCode],"BG")=0,"",SUMIFS(tblDaily[Deaths],tblDaily[EntryDate],DATE(2026,7,4),tblDaily[WardCode],"BG")),"")</f>
        <v/>
      </c>
      <c r="E244" s="12">
        <f>IFERROR(IF(SUMIFS(tblDaily[DeathsUnder24Hrs],tblDaily[EntryDate],DATE(2026,7,4),tblDaily[WardCode],"BG")=0,"",SUMIFS(tblDaily[DeathsUnder24Hrs],tblDaily[EntryDate],DATE(2026,7,4),tblDaily[WardCode],"BG")),"")</f>
        <v/>
      </c>
      <c r="F244" s="12">
        <f>IFERROR(IF(SUMIFS(tblDaily[TransfersIn],tblDaily[EntryDate],DATE(2026,7,4),tblDaily[WardCode],"BG")=0,"",SUMIFS(tblDaily[TransfersIn],tblDaily[EntryDate],DATE(2026,7,4),tblDaily[WardCode],"BG")),"")</f>
        <v/>
      </c>
      <c r="G244" s="12">
        <f>IFERROR(IF(SUMIFS(tblDaily[TransfersOut],tblDaily[EntryDate],DATE(2026,7,4),tblDaily[WardCode],"BG")=0,"",SUMIFS(tblDaily[TransfersOut],tblDaily[EntryDate],DATE(2026,7,4),tblDaily[WardCode],"BG")),"")</f>
        <v/>
      </c>
      <c r="H244" s="12">
        <f>IFERROR(IF(SUMIFS(tblDaily[Remaining],tblDaily[EntryDate],DATE(2026,7,4),tblDaily[WardCode],"BG")=0,"",SUMIFS(tblDaily[Remaining],tblDaily[EntryDate],DATE(2026,7,4),tblDaily[WardCode],"BG")),"")</f>
        <v/>
      </c>
    </row>
    <row r="245">
      <c r="A245" s="12" t="n">
        <v>5</v>
      </c>
      <c r="B245" s="12">
        <f>IFERROR(IF(SUMIFS(tblDaily[Admissions],tblDaily[EntryDate],DATE(2026,7,5),tblDaily[WardCode],"BG")=0,"",SUMIFS(tblDaily[Admissions],tblDaily[EntryDate],DATE(2026,7,5),tblDaily[WardCode],"BG")),"")</f>
        <v/>
      </c>
      <c r="C245" s="12">
        <f>IFERROR(IF(SUMIFS(tblDaily[Discharges],tblDaily[EntryDate],DATE(2026,7,5),tblDaily[WardCode],"BG")=0,"",SUMIFS(tblDaily[Discharges],tblDaily[EntryDate],DATE(2026,7,5),tblDaily[WardCode],"BG")),"")</f>
        <v/>
      </c>
      <c r="D245" s="12">
        <f>IFERROR(IF(SUMIFS(tblDaily[Deaths],tblDaily[EntryDate],DATE(2026,7,5),tblDaily[WardCode],"BG")=0,"",SUMIFS(tblDaily[Deaths],tblDaily[EntryDate],DATE(2026,7,5),tblDaily[WardCode],"BG")),"")</f>
        <v/>
      </c>
      <c r="E245" s="12">
        <f>IFERROR(IF(SUMIFS(tblDaily[DeathsUnder24Hrs],tblDaily[EntryDate],DATE(2026,7,5),tblDaily[WardCode],"BG")=0,"",SUMIFS(tblDaily[DeathsUnder24Hrs],tblDaily[EntryDate],DATE(2026,7,5),tblDaily[WardCode],"BG")),"")</f>
        <v/>
      </c>
      <c r="F245" s="12">
        <f>IFERROR(IF(SUMIFS(tblDaily[TransfersIn],tblDaily[EntryDate],DATE(2026,7,5),tblDaily[WardCode],"BG")=0,"",SUMIFS(tblDaily[TransfersIn],tblDaily[EntryDate],DATE(2026,7,5),tblDaily[WardCode],"BG")),"")</f>
        <v/>
      </c>
      <c r="G245" s="12">
        <f>IFERROR(IF(SUMIFS(tblDaily[TransfersOut],tblDaily[EntryDate],DATE(2026,7,5),tblDaily[WardCode],"BG")=0,"",SUMIFS(tblDaily[TransfersOut],tblDaily[EntryDate],DATE(2026,7,5),tblDaily[WardCode],"BG")),"")</f>
        <v/>
      </c>
      <c r="H245" s="12">
        <f>IFERROR(IF(SUMIFS(tblDaily[Remaining],tblDaily[EntryDate],DATE(2026,7,5),tblDaily[WardCode],"BG")=0,"",SUMIFS(tblDaily[Remaining],tblDaily[EntryDate],DATE(2026,7,5),tblDaily[WardCode],"BG")),"")</f>
        <v/>
      </c>
    </row>
    <row r="246">
      <c r="A246" s="12" t="n">
        <v>6</v>
      </c>
      <c r="B246" s="12">
        <f>IFERROR(IF(SUMIFS(tblDaily[Admissions],tblDaily[EntryDate],DATE(2026,7,6),tblDaily[WardCode],"BG")=0,"",SUMIFS(tblDaily[Admissions],tblDaily[EntryDate],DATE(2026,7,6),tblDaily[WardCode],"BG")),"")</f>
        <v/>
      </c>
      <c r="C246" s="12">
        <f>IFERROR(IF(SUMIFS(tblDaily[Discharges],tblDaily[EntryDate],DATE(2026,7,6),tblDaily[WardCode],"BG")=0,"",SUMIFS(tblDaily[Discharges],tblDaily[EntryDate],DATE(2026,7,6),tblDaily[WardCode],"BG")),"")</f>
        <v/>
      </c>
      <c r="D246" s="12">
        <f>IFERROR(IF(SUMIFS(tblDaily[Deaths],tblDaily[EntryDate],DATE(2026,7,6),tblDaily[WardCode],"BG")=0,"",SUMIFS(tblDaily[Deaths],tblDaily[EntryDate],DATE(2026,7,6),tblDaily[WardCode],"BG")),"")</f>
        <v/>
      </c>
      <c r="E246" s="12">
        <f>IFERROR(IF(SUMIFS(tblDaily[DeathsUnder24Hrs],tblDaily[EntryDate],DATE(2026,7,6),tblDaily[WardCode],"BG")=0,"",SUMIFS(tblDaily[DeathsUnder24Hrs],tblDaily[EntryDate],DATE(2026,7,6),tblDaily[WardCode],"BG")),"")</f>
        <v/>
      </c>
      <c r="F246" s="12">
        <f>IFERROR(IF(SUMIFS(tblDaily[TransfersIn],tblDaily[EntryDate],DATE(2026,7,6),tblDaily[WardCode],"BG")=0,"",SUMIFS(tblDaily[TransfersIn],tblDaily[EntryDate],DATE(2026,7,6),tblDaily[WardCode],"BG")),"")</f>
        <v/>
      </c>
      <c r="G246" s="12">
        <f>IFERROR(IF(SUMIFS(tblDaily[TransfersOut],tblDaily[EntryDate],DATE(2026,7,6),tblDaily[WardCode],"BG")=0,"",SUMIFS(tblDaily[TransfersOut],tblDaily[EntryDate],DATE(2026,7,6),tblDaily[WardCode],"BG")),"")</f>
        <v/>
      </c>
      <c r="H246" s="12">
        <f>IFERROR(IF(SUMIFS(tblDaily[Remaining],tblDaily[EntryDate],DATE(2026,7,6),tblDaily[WardCode],"BG")=0,"",SUMIFS(tblDaily[Remaining],tblDaily[EntryDate],DATE(2026,7,6),tblDaily[WardCode],"BG")),"")</f>
        <v/>
      </c>
    </row>
    <row r="247">
      <c r="A247" s="12" t="n">
        <v>7</v>
      </c>
      <c r="B247" s="12">
        <f>IFERROR(IF(SUMIFS(tblDaily[Admissions],tblDaily[EntryDate],DATE(2026,7,7),tblDaily[WardCode],"BG")=0,"",SUMIFS(tblDaily[Admissions],tblDaily[EntryDate],DATE(2026,7,7),tblDaily[WardCode],"BG")),"")</f>
        <v/>
      </c>
      <c r="C247" s="12">
        <f>IFERROR(IF(SUMIFS(tblDaily[Discharges],tblDaily[EntryDate],DATE(2026,7,7),tblDaily[WardCode],"BG")=0,"",SUMIFS(tblDaily[Discharges],tblDaily[EntryDate],DATE(2026,7,7),tblDaily[WardCode],"BG")),"")</f>
        <v/>
      </c>
      <c r="D247" s="12">
        <f>IFERROR(IF(SUMIFS(tblDaily[Deaths],tblDaily[EntryDate],DATE(2026,7,7),tblDaily[WardCode],"BG")=0,"",SUMIFS(tblDaily[Deaths],tblDaily[EntryDate],DATE(2026,7,7),tblDaily[WardCode],"BG")),"")</f>
        <v/>
      </c>
      <c r="E247" s="12">
        <f>IFERROR(IF(SUMIFS(tblDaily[DeathsUnder24Hrs],tblDaily[EntryDate],DATE(2026,7,7),tblDaily[WardCode],"BG")=0,"",SUMIFS(tblDaily[DeathsUnder24Hrs],tblDaily[EntryDate],DATE(2026,7,7),tblDaily[WardCode],"BG")),"")</f>
        <v/>
      </c>
      <c r="F247" s="12">
        <f>IFERROR(IF(SUMIFS(tblDaily[TransfersIn],tblDaily[EntryDate],DATE(2026,7,7),tblDaily[WardCode],"BG")=0,"",SUMIFS(tblDaily[TransfersIn],tblDaily[EntryDate],DATE(2026,7,7),tblDaily[WardCode],"BG")),"")</f>
        <v/>
      </c>
      <c r="G247" s="12">
        <f>IFERROR(IF(SUMIFS(tblDaily[TransfersOut],tblDaily[EntryDate],DATE(2026,7,7),tblDaily[WardCode],"BG")=0,"",SUMIFS(tblDaily[TransfersOut],tblDaily[EntryDate],DATE(2026,7,7),tblDaily[WardCode],"BG")),"")</f>
        <v/>
      </c>
      <c r="H247" s="12">
        <f>IFERROR(IF(SUMIFS(tblDaily[Remaining],tblDaily[EntryDate],DATE(2026,7,7),tblDaily[WardCode],"BG")=0,"",SUMIFS(tblDaily[Remaining],tblDaily[EntryDate],DATE(2026,7,7),tblDaily[WardCode],"BG")),"")</f>
        <v/>
      </c>
    </row>
    <row r="248">
      <c r="A248" s="12" t="n">
        <v>8</v>
      </c>
      <c r="B248" s="12">
        <f>IFERROR(IF(SUMIFS(tblDaily[Admissions],tblDaily[EntryDate],DATE(2026,7,8),tblDaily[WardCode],"BG")=0,"",SUMIFS(tblDaily[Admissions],tblDaily[EntryDate],DATE(2026,7,8),tblDaily[WardCode],"BG")),"")</f>
        <v/>
      </c>
      <c r="C248" s="12">
        <f>IFERROR(IF(SUMIFS(tblDaily[Discharges],tblDaily[EntryDate],DATE(2026,7,8),tblDaily[WardCode],"BG")=0,"",SUMIFS(tblDaily[Discharges],tblDaily[EntryDate],DATE(2026,7,8),tblDaily[WardCode],"BG")),"")</f>
        <v/>
      </c>
      <c r="D248" s="12">
        <f>IFERROR(IF(SUMIFS(tblDaily[Deaths],tblDaily[EntryDate],DATE(2026,7,8),tblDaily[WardCode],"BG")=0,"",SUMIFS(tblDaily[Deaths],tblDaily[EntryDate],DATE(2026,7,8),tblDaily[WardCode],"BG")),"")</f>
        <v/>
      </c>
      <c r="E248" s="12">
        <f>IFERROR(IF(SUMIFS(tblDaily[DeathsUnder24Hrs],tblDaily[EntryDate],DATE(2026,7,8),tblDaily[WardCode],"BG")=0,"",SUMIFS(tblDaily[DeathsUnder24Hrs],tblDaily[EntryDate],DATE(2026,7,8),tblDaily[WardCode],"BG")),"")</f>
        <v/>
      </c>
      <c r="F248" s="12">
        <f>IFERROR(IF(SUMIFS(tblDaily[TransfersIn],tblDaily[EntryDate],DATE(2026,7,8),tblDaily[WardCode],"BG")=0,"",SUMIFS(tblDaily[TransfersIn],tblDaily[EntryDate],DATE(2026,7,8),tblDaily[WardCode],"BG")),"")</f>
        <v/>
      </c>
      <c r="G248" s="12">
        <f>IFERROR(IF(SUMIFS(tblDaily[TransfersOut],tblDaily[EntryDate],DATE(2026,7,8),tblDaily[WardCode],"BG")=0,"",SUMIFS(tblDaily[TransfersOut],tblDaily[EntryDate],DATE(2026,7,8),tblDaily[WardCode],"BG")),"")</f>
        <v/>
      </c>
      <c r="H248" s="12">
        <f>IFERROR(IF(SUMIFS(tblDaily[Remaining],tblDaily[EntryDate],DATE(2026,7,8),tblDaily[WardCode],"BG")=0,"",SUMIFS(tblDaily[Remaining],tblDaily[EntryDate],DATE(2026,7,8),tblDaily[WardCode],"BG")),"")</f>
        <v/>
      </c>
    </row>
    <row r="249">
      <c r="A249" s="12" t="n">
        <v>9</v>
      </c>
      <c r="B249" s="12">
        <f>IFERROR(IF(SUMIFS(tblDaily[Admissions],tblDaily[EntryDate],DATE(2026,7,9),tblDaily[WardCode],"BG")=0,"",SUMIFS(tblDaily[Admissions],tblDaily[EntryDate],DATE(2026,7,9),tblDaily[WardCode],"BG")),"")</f>
        <v/>
      </c>
      <c r="C249" s="12">
        <f>IFERROR(IF(SUMIFS(tblDaily[Discharges],tblDaily[EntryDate],DATE(2026,7,9),tblDaily[WardCode],"BG")=0,"",SUMIFS(tblDaily[Discharges],tblDaily[EntryDate],DATE(2026,7,9),tblDaily[WardCode],"BG")),"")</f>
        <v/>
      </c>
      <c r="D249" s="12">
        <f>IFERROR(IF(SUMIFS(tblDaily[Deaths],tblDaily[EntryDate],DATE(2026,7,9),tblDaily[WardCode],"BG")=0,"",SUMIFS(tblDaily[Deaths],tblDaily[EntryDate],DATE(2026,7,9),tblDaily[WardCode],"BG")),"")</f>
        <v/>
      </c>
      <c r="E249" s="12">
        <f>IFERROR(IF(SUMIFS(tblDaily[DeathsUnder24Hrs],tblDaily[EntryDate],DATE(2026,7,9),tblDaily[WardCode],"BG")=0,"",SUMIFS(tblDaily[DeathsUnder24Hrs],tblDaily[EntryDate],DATE(2026,7,9),tblDaily[WardCode],"BG")),"")</f>
        <v/>
      </c>
      <c r="F249" s="12">
        <f>IFERROR(IF(SUMIFS(tblDaily[TransfersIn],tblDaily[EntryDate],DATE(2026,7,9),tblDaily[WardCode],"BG")=0,"",SUMIFS(tblDaily[TransfersIn],tblDaily[EntryDate],DATE(2026,7,9),tblDaily[WardCode],"BG")),"")</f>
        <v/>
      </c>
      <c r="G249" s="12">
        <f>IFERROR(IF(SUMIFS(tblDaily[TransfersOut],tblDaily[EntryDate],DATE(2026,7,9),tblDaily[WardCode],"BG")=0,"",SUMIFS(tblDaily[TransfersOut],tblDaily[EntryDate],DATE(2026,7,9),tblDaily[WardCode],"BG")),"")</f>
        <v/>
      </c>
      <c r="H249" s="12">
        <f>IFERROR(IF(SUMIFS(tblDaily[Remaining],tblDaily[EntryDate],DATE(2026,7,9),tblDaily[WardCode],"BG")=0,"",SUMIFS(tblDaily[Remaining],tblDaily[EntryDate],DATE(2026,7,9),tblDaily[WardCode],"BG")),"")</f>
        <v/>
      </c>
    </row>
    <row r="250">
      <c r="A250" s="12" t="n">
        <v>10</v>
      </c>
      <c r="B250" s="12">
        <f>IFERROR(IF(SUMIFS(tblDaily[Admissions],tblDaily[EntryDate],DATE(2026,7,10),tblDaily[WardCode],"BG")=0,"",SUMIFS(tblDaily[Admissions],tblDaily[EntryDate],DATE(2026,7,10),tblDaily[WardCode],"BG")),"")</f>
        <v/>
      </c>
      <c r="C250" s="12">
        <f>IFERROR(IF(SUMIFS(tblDaily[Discharges],tblDaily[EntryDate],DATE(2026,7,10),tblDaily[WardCode],"BG")=0,"",SUMIFS(tblDaily[Discharges],tblDaily[EntryDate],DATE(2026,7,10),tblDaily[WardCode],"BG")),"")</f>
        <v/>
      </c>
      <c r="D250" s="12">
        <f>IFERROR(IF(SUMIFS(tblDaily[Deaths],tblDaily[EntryDate],DATE(2026,7,10),tblDaily[WardCode],"BG")=0,"",SUMIFS(tblDaily[Deaths],tblDaily[EntryDate],DATE(2026,7,10),tblDaily[WardCode],"BG")),"")</f>
        <v/>
      </c>
      <c r="E250" s="12">
        <f>IFERROR(IF(SUMIFS(tblDaily[DeathsUnder24Hrs],tblDaily[EntryDate],DATE(2026,7,10),tblDaily[WardCode],"BG")=0,"",SUMIFS(tblDaily[DeathsUnder24Hrs],tblDaily[EntryDate],DATE(2026,7,10),tblDaily[WardCode],"BG")),"")</f>
        <v/>
      </c>
      <c r="F250" s="12">
        <f>IFERROR(IF(SUMIFS(tblDaily[TransfersIn],tblDaily[EntryDate],DATE(2026,7,10),tblDaily[WardCode],"BG")=0,"",SUMIFS(tblDaily[TransfersIn],tblDaily[EntryDate],DATE(2026,7,10),tblDaily[WardCode],"BG")),"")</f>
        <v/>
      </c>
      <c r="G250" s="12">
        <f>IFERROR(IF(SUMIFS(tblDaily[TransfersOut],tblDaily[EntryDate],DATE(2026,7,10),tblDaily[WardCode],"BG")=0,"",SUMIFS(tblDaily[TransfersOut],tblDaily[EntryDate],DATE(2026,7,10),tblDaily[WardCode],"BG")),"")</f>
        <v/>
      </c>
      <c r="H250" s="12">
        <f>IFERROR(IF(SUMIFS(tblDaily[Remaining],tblDaily[EntryDate],DATE(2026,7,10),tblDaily[WardCode],"BG")=0,"",SUMIFS(tblDaily[Remaining],tblDaily[EntryDate],DATE(2026,7,10),tblDaily[WardCode],"BG")),"")</f>
        <v/>
      </c>
    </row>
    <row r="251">
      <c r="A251" s="12" t="n">
        <v>11</v>
      </c>
      <c r="B251" s="12">
        <f>IFERROR(IF(SUMIFS(tblDaily[Admissions],tblDaily[EntryDate],DATE(2026,7,11),tblDaily[WardCode],"BG")=0,"",SUMIFS(tblDaily[Admissions],tblDaily[EntryDate],DATE(2026,7,11),tblDaily[WardCode],"BG")),"")</f>
        <v/>
      </c>
      <c r="C251" s="12">
        <f>IFERROR(IF(SUMIFS(tblDaily[Discharges],tblDaily[EntryDate],DATE(2026,7,11),tblDaily[WardCode],"BG")=0,"",SUMIFS(tblDaily[Discharges],tblDaily[EntryDate],DATE(2026,7,11),tblDaily[WardCode],"BG")),"")</f>
        <v/>
      </c>
      <c r="D251" s="12">
        <f>IFERROR(IF(SUMIFS(tblDaily[Deaths],tblDaily[EntryDate],DATE(2026,7,11),tblDaily[WardCode],"BG")=0,"",SUMIFS(tblDaily[Deaths],tblDaily[EntryDate],DATE(2026,7,11),tblDaily[WardCode],"BG")),"")</f>
        <v/>
      </c>
      <c r="E251" s="12">
        <f>IFERROR(IF(SUMIFS(tblDaily[DeathsUnder24Hrs],tblDaily[EntryDate],DATE(2026,7,11),tblDaily[WardCode],"BG")=0,"",SUMIFS(tblDaily[DeathsUnder24Hrs],tblDaily[EntryDate],DATE(2026,7,11),tblDaily[WardCode],"BG")),"")</f>
        <v/>
      </c>
      <c r="F251" s="12">
        <f>IFERROR(IF(SUMIFS(tblDaily[TransfersIn],tblDaily[EntryDate],DATE(2026,7,11),tblDaily[WardCode],"BG")=0,"",SUMIFS(tblDaily[TransfersIn],tblDaily[EntryDate],DATE(2026,7,11),tblDaily[WardCode],"BG")),"")</f>
        <v/>
      </c>
      <c r="G251" s="12">
        <f>IFERROR(IF(SUMIFS(tblDaily[TransfersOut],tblDaily[EntryDate],DATE(2026,7,11),tblDaily[WardCode],"BG")=0,"",SUMIFS(tblDaily[TransfersOut],tblDaily[EntryDate],DATE(2026,7,11),tblDaily[WardCode],"BG")),"")</f>
        <v/>
      </c>
      <c r="H251" s="12">
        <f>IFERROR(IF(SUMIFS(tblDaily[Remaining],tblDaily[EntryDate],DATE(2026,7,11),tblDaily[WardCode],"BG")=0,"",SUMIFS(tblDaily[Remaining],tblDaily[EntryDate],DATE(2026,7,11),tblDaily[WardCode],"BG")),"")</f>
        <v/>
      </c>
    </row>
    <row r="252">
      <c r="A252" s="12" t="n">
        <v>12</v>
      </c>
      <c r="B252" s="12">
        <f>IFERROR(IF(SUMIFS(tblDaily[Admissions],tblDaily[EntryDate],DATE(2026,7,12),tblDaily[WardCode],"BG")=0,"",SUMIFS(tblDaily[Admissions],tblDaily[EntryDate],DATE(2026,7,12),tblDaily[WardCode],"BG")),"")</f>
        <v/>
      </c>
      <c r="C252" s="12">
        <f>IFERROR(IF(SUMIFS(tblDaily[Discharges],tblDaily[EntryDate],DATE(2026,7,12),tblDaily[WardCode],"BG")=0,"",SUMIFS(tblDaily[Discharges],tblDaily[EntryDate],DATE(2026,7,12),tblDaily[WardCode],"BG")),"")</f>
        <v/>
      </c>
      <c r="D252" s="12">
        <f>IFERROR(IF(SUMIFS(tblDaily[Deaths],tblDaily[EntryDate],DATE(2026,7,12),tblDaily[WardCode],"BG")=0,"",SUMIFS(tblDaily[Deaths],tblDaily[EntryDate],DATE(2026,7,12),tblDaily[WardCode],"BG")),"")</f>
        <v/>
      </c>
      <c r="E252" s="12">
        <f>IFERROR(IF(SUMIFS(tblDaily[DeathsUnder24Hrs],tblDaily[EntryDate],DATE(2026,7,12),tblDaily[WardCode],"BG")=0,"",SUMIFS(tblDaily[DeathsUnder24Hrs],tblDaily[EntryDate],DATE(2026,7,12),tblDaily[WardCode],"BG")),"")</f>
        <v/>
      </c>
      <c r="F252" s="12">
        <f>IFERROR(IF(SUMIFS(tblDaily[TransfersIn],tblDaily[EntryDate],DATE(2026,7,12),tblDaily[WardCode],"BG")=0,"",SUMIFS(tblDaily[TransfersIn],tblDaily[EntryDate],DATE(2026,7,12),tblDaily[WardCode],"BG")),"")</f>
        <v/>
      </c>
      <c r="G252" s="12">
        <f>IFERROR(IF(SUMIFS(tblDaily[TransfersOut],tblDaily[EntryDate],DATE(2026,7,12),tblDaily[WardCode],"BG")=0,"",SUMIFS(tblDaily[TransfersOut],tblDaily[EntryDate],DATE(2026,7,12),tblDaily[WardCode],"BG")),"")</f>
        <v/>
      </c>
      <c r="H252" s="12">
        <f>IFERROR(IF(SUMIFS(tblDaily[Remaining],tblDaily[EntryDate],DATE(2026,7,12),tblDaily[WardCode],"BG")=0,"",SUMIFS(tblDaily[Remaining],tblDaily[EntryDate],DATE(2026,7,12),tblDaily[WardCode],"BG")),"")</f>
        <v/>
      </c>
    </row>
    <row r="253">
      <c r="A253" s="12" t="n">
        <v>13</v>
      </c>
      <c r="B253" s="12">
        <f>IFERROR(IF(SUMIFS(tblDaily[Admissions],tblDaily[EntryDate],DATE(2026,7,13),tblDaily[WardCode],"BG")=0,"",SUMIFS(tblDaily[Admissions],tblDaily[EntryDate],DATE(2026,7,13),tblDaily[WardCode],"BG")),"")</f>
        <v/>
      </c>
      <c r="C253" s="12">
        <f>IFERROR(IF(SUMIFS(tblDaily[Discharges],tblDaily[EntryDate],DATE(2026,7,13),tblDaily[WardCode],"BG")=0,"",SUMIFS(tblDaily[Discharges],tblDaily[EntryDate],DATE(2026,7,13),tblDaily[WardCode],"BG")),"")</f>
        <v/>
      </c>
      <c r="D253" s="12">
        <f>IFERROR(IF(SUMIFS(tblDaily[Deaths],tblDaily[EntryDate],DATE(2026,7,13),tblDaily[WardCode],"BG")=0,"",SUMIFS(tblDaily[Deaths],tblDaily[EntryDate],DATE(2026,7,13),tblDaily[WardCode],"BG")),"")</f>
        <v/>
      </c>
      <c r="E253" s="12">
        <f>IFERROR(IF(SUMIFS(tblDaily[DeathsUnder24Hrs],tblDaily[EntryDate],DATE(2026,7,13),tblDaily[WardCode],"BG")=0,"",SUMIFS(tblDaily[DeathsUnder24Hrs],tblDaily[EntryDate],DATE(2026,7,13),tblDaily[WardCode],"BG")),"")</f>
        <v/>
      </c>
      <c r="F253" s="12">
        <f>IFERROR(IF(SUMIFS(tblDaily[TransfersIn],tblDaily[EntryDate],DATE(2026,7,13),tblDaily[WardCode],"BG")=0,"",SUMIFS(tblDaily[TransfersIn],tblDaily[EntryDate],DATE(2026,7,13),tblDaily[WardCode],"BG")),"")</f>
        <v/>
      </c>
      <c r="G253" s="12">
        <f>IFERROR(IF(SUMIFS(tblDaily[TransfersOut],tblDaily[EntryDate],DATE(2026,7,13),tblDaily[WardCode],"BG")=0,"",SUMIFS(tblDaily[TransfersOut],tblDaily[EntryDate],DATE(2026,7,13),tblDaily[WardCode],"BG")),"")</f>
        <v/>
      </c>
      <c r="H253" s="12">
        <f>IFERROR(IF(SUMIFS(tblDaily[Remaining],tblDaily[EntryDate],DATE(2026,7,13),tblDaily[WardCode],"BG")=0,"",SUMIFS(tblDaily[Remaining],tblDaily[EntryDate],DATE(2026,7,13),tblDaily[WardCode],"BG")),"")</f>
        <v/>
      </c>
    </row>
    <row r="254">
      <c r="A254" s="12" t="n">
        <v>14</v>
      </c>
      <c r="B254" s="12">
        <f>IFERROR(IF(SUMIFS(tblDaily[Admissions],tblDaily[EntryDate],DATE(2026,7,14),tblDaily[WardCode],"BG")=0,"",SUMIFS(tblDaily[Admissions],tblDaily[EntryDate],DATE(2026,7,14),tblDaily[WardCode],"BG")),"")</f>
        <v/>
      </c>
      <c r="C254" s="12">
        <f>IFERROR(IF(SUMIFS(tblDaily[Discharges],tblDaily[EntryDate],DATE(2026,7,14),tblDaily[WardCode],"BG")=0,"",SUMIFS(tblDaily[Discharges],tblDaily[EntryDate],DATE(2026,7,14),tblDaily[WardCode],"BG")),"")</f>
        <v/>
      </c>
      <c r="D254" s="12">
        <f>IFERROR(IF(SUMIFS(tblDaily[Deaths],tblDaily[EntryDate],DATE(2026,7,14),tblDaily[WardCode],"BG")=0,"",SUMIFS(tblDaily[Deaths],tblDaily[EntryDate],DATE(2026,7,14),tblDaily[WardCode],"BG")),"")</f>
        <v/>
      </c>
      <c r="E254" s="12">
        <f>IFERROR(IF(SUMIFS(tblDaily[DeathsUnder24Hrs],tblDaily[EntryDate],DATE(2026,7,14),tblDaily[WardCode],"BG")=0,"",SUMIFS(tblDaily[DeathsUnder24Hrs],tblDaily[EntryDate],DATE(2026,7,14),tblDaily[WardCode],"BG")),"")</f>
        <v/>
      </c>
      <c r="F254" s="12">
        <f>IFERROR(IF(SUMIFS(tblDaily[TransfersIn],tblDaily[EntryDate],DATE(2026,7,14),tblDaily[WardCode],"BG")=0,"",SUMIFS(tblDaily[TransfersIn],tblDaily[EntryDate],DATE(2026,7,14),tblDaily[WardCode],"BG")),"")</f>
        <v/>
      </c>
      <c r="G254" s="12">
        <f>IFERROR(IF(SUMIFS(tblDaily[TransfersOut],tblDaily[EntryDate],DATE(2026,7,14),tblDaily[WardCode],"BG")=0,"",SUMIFS(tblDaily[TransfersOut],tblDaily[EntryDate],DATE(2026,7,14),tblDaily[WardCode],"BG")),"")</f>
        <v/>
      </c>
      <c r="H254" s="12">
        <f>IFERROR(IF(SUMIFS(tblDaily[Remaining],tblDaily[EntryDate],DATE(2026,7,14),tblDaily[WardCode],"BG")=0,"",SUMIFS(tblDaily[Remaining],tblDaily[EntryDate],DATE(2026,7,14),tblDaily[WardCode],"BG")),"")</f>
        <v/>
      </c>
    </row>
    <row r="255">
      <c r="A255" s="12" t="n">
        <v>15</v>
      </c>
      <c r="B255" s="12">
        <f>IFERROR(IF(SUMIFS(tblDaily[Admissions],tblDaily[EntryDate],DATE(2026,7,15),tblDaily[WardCode],"BG")=0,"",SUMIFS(tblDaily[Admissions],tblDaily[EntryDate],DATE(2026,7,15),tblDaily[WardCode],"BG")),"")</f>
        <v/>
      </c>
      <c r="C255" s="12">
        <f>IFERROR(IF(SUMIFS(tblDaily[Discharges],tblDaily[EntryDate],DATE(2026,7,15),tblDaily[WardCode],"BG")=0,"",SUMIFS(tblDaily[Discharges],tblDaily[EntryDate],DATE(2026,7,15),tblDaily[WardCode],"BG")),"")</f>
        <v/>
      </c>
      <c r="D255" s="12">
        <f>IFERROR(IF(SUMIFS(tblDaily[Deaths],tblDaily[EntryDate],DATE(2026,7,15),tblDaily[WardCode],"BG")=0,"",SUMIFS(tblDaily[Deaths],tblDaily[EntryDate],DATE(2026,7,15),tblDaily[WardCode],"BG")),"")</f>
        <v/>
      </c>
      <c r="E255" s="12">
        <f>IFERROR(IF(SUMIFS(tblDaily[DeathsUnder24Hrs],tblDaily[EntryDate],DATE(2026,7,15),tblDaily[WardCode],"BG")=0,"",SUMIFS(tblDaily[DeathsUnder24Hrs],tblDaily[EntryDate],DATE(2026,7,15),tblDaily[WardCode],"BG")),"")</f>
        <v/>
      </c>
      <c r="F255" s="12">
        <f>IFERROR(IF(SUMIFS(tblDaily[TransfersIn],tblDaily[EntryDate],DATE(2026,7,15),tblDaily[WardCode],"BG")=0,"",SUMIFS(tblDaily[TransfersIn],tblDaily[EntryDate],DATE(2026,7,15),tblDaily[WardCode],"BG")),"")</f>
        <v/>
      </c>
      <c r="G255" s="12">
        <f>IFERROR(IF(SUMIFS(tblDaily[TransfersOut],tblDaily[EntryDate],DATE(2026,7,15),tblDaily[WardCode],"BG")=0,"",SUMIFS(tblDaily[TransfersOut],tblDaily[EntryDate],DATE(2026,7,15),tblDaily[WardCode],"BG")),"")</f>
        <v/>
      </c>
      <c r="H255" s="12">
        <f>IFERROR(IF(SUMIFS(tblDaily[Remaining],tblDaily[EntryDate],DATE(2026,7,15),tblDaily[WardCode],"BG")=0,"",SUMIFS(tblDaily[Remaining],tblDaily[EntryDate],DATE(2026,7,15),tblDaily[WardCode],"BG")),"")</f>
        <v/>
      </c>
    </row>
    <row r="256">
      <c r="A256" s="12" t="n">
        <v>16</v>
      </c>
      <c r="B256" s="12">
        <f>IFERROR(IF(SUMIFS(tblDaily[Admissions],tblDaily[EntryDate],DATE(2026,7,16),tblDaily[WardCode],"BG")=0,"",SUMIFS(tblDaily[Admissions],tblDaily[EntryDate],DATE(2026,7,16),tblDaily[WardCode],"BG")),"")</f>
        <v/>
      </c>
      <c r="C256" s="12">
        <f>IFERROR(IF(SUMIFS(tblDaily[Discharges],tblDaily[EntryDate],DATE(2026,7,16),tblDaily[WardCode],"BG")=0,"",SUMIFS(tblDaily[Discharges],tblDaily[EntryDate],DATE(2026,7,16),tblDaily[WardCode],"BG")),"")</f>
        <v/>
      </c>
      <c r="D256" s="12">
        <f>IFERROR(IF(SUMIFS(tblDaily[Deaths],tblDaily[EntryDate],DATE(2026,7,16),tblDaily[WardCode],"BG")=0,"",SUMIFS(tblDaily[Deaths],tblDaily[EntryDate],DATE(2026,7,16),tblDaily[WardCode],"BG")),"")</f>
        <v/>
      </c>
      <c r="E256" s="12">
        <f>IFERROR(IF(SUMIFS(tblDaily[DeathsUnder24Hrs],tblDaily[EntryDate],DATE(2026,7,16),tblDaily[WardCode],"BG")=0,"",SUMIFS(tblDaily[DeathsUnder24Hrs],tblDaily[EntryDate],DATE(2026,7,16),tblDaily[WardCode],"BG")),"")</f>
        <v/>
      </c>
      <c r="F256" s="12">
        <f>IFERROR(IF(SUMIFS(tblDaily[TransfersIn],tblDaily[EntryDate],DATE(2026,7,16),tblDaily[WardCode],"BG")=0,"",SUMIFS(tblDaily[TransfersIn],tblDaily[EntryDate],DATE(2026,7,16),tblDaily[WardCode],"BG")),"")</f>
        <v/>
      </c>
      <c r="G256" s="12">
        <f>IFERROR(IF(SUMIFS(tblDaily[TransfersOut],tblDaily[EntryDate],DATE(2026,7,16),tblDaily[WardCode],"BG")=0,"",SUMIFS(tblDaily[TransfersOut],tblDaily[EntryDate],DATE(2026,7,16),tblDaily[WardCode],"BG")),"")</f>
        <v/>
      </c>
      <c r="H256" s="12">
        <f>IFERROR(IF(SUMIFS(tblDaily[Remaining],tblDaily[EntryDate],DATE(2026,7,16),tblDaily[WardCode],"BG")=0,"",SUMIFS(tblDaily[Remaining],tblDaily[EntryDate],DATE(2026,7,16),tblDaily[WardCode],"BG")),"")</f>
        <v/>
      </c>
    </row>
    <row r="257">
      <c r="A257" s="12" t="n">
        <v>17</v>
      </c>
      <c r="B257" s="12">
        <f>IFERROR(IF(SUMIFS(tblDaily[Admissions],tblDaily[EntryDate],DATE(2026,7,17),tblDaily[WardCode],"BG")=0,"",SUMIFS(tblDaily[Admissions],tblDaily[EntryDate],DATE(2026,7,17),tblDaily[WardCode],"BG")),"")</f>
        <v/>
      </c>
      <c r="C257" s="12">
        <f>IFERROR(IF(SUMIFS(tblDaily[Discharges],tblDaily[EntryDate],DATE(2026,7,17),tblDaily[WardCode],"BG")=0,"",SUMIFS(tblDaily[Discharges],tblDaily[EntryDate],DATE(2026,7,17),tblDaily[WardCode],"BG")),"")</f>
        <v/>
      </c>
      <c r="D257" s="12">
        <f>IFERROR(IF(SUMIFS(tblDaily[Deaths],tblDaily[EntryDate],DATE(2026,7,17),tblDaily[WardCode],"BG")=0,"",SUMIFS(tblDaily[Deaths],tblDaily[EntryDate],DATE(2026,7,17),tblDaily[WardCode],"BG")),"")</f>
        <v/>
      </c>
      <c r="E257" s="12">
        <f>IFERROR(IF(SUMIFS(tblDaily[DeathsUnder24Hrs],tblDaily[EntryDate],DATE(2026,7,17),tblDaily[WardCode],"BG")=0,"",SUMIFS(tblDaily[DeathsUnder24Hrs],tblDaily[EntryDate],DATE(2026,7,17),tblDaily[WardCode],"BG")),"")</f>
        <v/>
      </c>
      <c r="F257" s="12">
        <f>IFERROR(IF(SUMIFS(tblDaily[TransfersIn],tblDaily[EntryDate],DATE(2026,7,17),tblDaily[WardCode],"BG")=0,"",SUMIFS(tblDaily[TransfersIn],tblDaily[EntryDate],DATE(2026,7,17),tblDaily[WardCode],"BG")),"")</f>
        <v/>
      </c>
      <c r="G257" s="12">
        <f>IFERROR(IF(SUMIFS(tblDaily[TransfersOut],tblDaily[EntryDate],DATE(2026,7,17),tblDaily[WardCode],"BG")=0,"",SUMIFS(tblDaily[TransfersOut],tblDaily[EntryDate],DATE(2026,7,17),tblDaily[WardCode],"BG")),"")</f>
        <v/>
      </c>
      <c r="H257" s="12">
        <f>IFERROR(IF(SUMIFS(tblDaily[Remaining],tblDaily[EntryDate],DATE(2026,7,17),tblDaily[WardCode],"BG")=0,"",SUMIFS(tblDaily[Remaining],tblDaily[EntryDate],DATE(2026,7,17),tblDaily[WardCode],"BG")),"")</f>
        <v/>
      </c>
    </row>
    <row r="258">
      <c r="A258" s="12" t="n">
        <v>18</v>
      </c>
      <c r="B258" s="12">
        <f>IFERROR(IF(SUMIFS(tblDaily[Admissions],tblDaily[EntryDate],DATE(2026,7,18),tblDaily[WardCode],"BG")=0,"",SUMIFS(tblDaily[Admissions],tblDaily[EntryDate],DATE(2026,7,18),tblDaily[WardCode],"BG")),"")</f>
        <v/>
      </c>
      <c r="C258" s="12">
        <f>IFERROR(IF(SUMIFS(tblDaily[Discharges],tblDaily[EntryDate],DATE(2026,7,18),tblDaily[WardCode],"BG")=0,"",SUMIFS(tblDaily[Discharges],tblDaily[EntryDate],DATE(2026,7,18),tblDaily[WardCode],"BG")),"")</f>
        <v/>
      </c>
      <c r="D258" s="12">
        <f>IFERROR(IF(SUMIFS(tblDaily[Deaths],tblDaily[EntryDate],DATE(2026,7,18),tblDaily[WardCode],"BG")=0,"",SUMIFS(tblDaily[Deaths],tblDaily[EntryDate],DATE(2026,7,18),tblDaily[WardCode],"BG")),"")</f>
        <v/>
      </c>
      <c r="E258" s="12">
        <f>IFERROR(IF(SUMIFS(tblDaily[DeathsUnder24Hrs],tblDaily[EntryDate],DATE(2026,7,18),tblDaily[WardCode],"BG")=0,"",SUMIFS(tblDaily[DeathsUnder24Hrs],tblDaily[EntryDate],DATE(2026,7,18),tblDaily[WardCode],"BG")),"")</f>
        <v/>
      </c>
      <c r="F258" s="12">
        <f>IFERROR(IF(SUMIFS(tblDaily[TransfersIn],tblDaily[EntryDate],DATE(2026,7,18),tblDaily[WardCode],"BG")=0,"",SUMIFS(tblDaily[TransfersIn],tblDaily[EntryDate],DATE(2026,7,18),tblDaily[WardCode],"BG")),"")</f>
        <v/>
      </c>
      <c r="G258" s="12">
        <f>IFERROR(IF(SUMIFS(tblDaily[TransfersOut],tblDaily[EntryDate],DATE(2026,7,18),tblDaily[WardCode],"BG")=0,"",SUMIFS(tblDaily[TransfersOut],tblDaily[EntryDate],DATE(2026,7,18),tblDaily[WardCode],"BG")),"")</f>
        <v/>
      </c>
      <c r="H258" s="12">
        <f>IFERROR(IF(SUMIFS(tblDaily[Remaining],tblDaily[EntryDate],DATE(2026,7,18),tblDaily[WardCode],"BG")=0,"",SUMIFS(tblDaily[Remaining],tblDaily[EntryDate],DATE(2026,7,18),tblDaily[WardCode],"BG")),"")</f>
        <v/>
      </c>
    </row>
    <row r="259">
      <c r="A259" s="12" t="n">
        <v>19</v>
      </c>
      <c r="B259" s="12">
        <f>IFERROR(IF(SUMIFS(tblDaily[Admissions],tblDaily[EntryDate],DATE(2026,7,19),tblDaily[WardCode],"BG")=0,"",SUMIFS(tblDaily[Admissions],tblDaily[EntryDate],DATE(2026,7,19),tblDaily[WardCode],"BG")),"")</f>
        <v/>
      </c>
      <c r="C259" s="12">
        <f>IFERROR(IF(SUMIFS(tblDaily[Discharges],tblDaily[EntryDate],DATE(2026,7,19),tblDaily[WardCode],"BG")=0,"",SUMIFS(tblDaily[Discharges],tblDaily[EntryDate],DATE(2026,7,19),tblDaily[WardCode],"BG")),"")</f>
        <v/>
      </c>
      <c r="D259" s="12">
        <f>IFERROR(IF(SUMIFS(tblDaily[Deaths],tblDaily[EntryDate],DATE(2026,7,19),tblDaily[WardCode],"BG")=0,"",SUMIFS(tblDaily[Deaths],tblDaily[EntryDate],DATE(2026,7,19),tblDaily[WardCode],"BG")),"")</f>
        <v/>
      </c>
      <c r="E259" s="12">
        <f>IFERROR(IF(SUMIFS(tblDaily[DeathsUnder24Hrs],tblDaily[EntryDate],DATE(2026,7,19),tblDaily[WardCode],"BG")=0,"",SUMIFS(tblDaily[DeathsUnder24Hrs],tblDaily[EntryDate],DATE(2026,7,19),tblDaily[WardCode],"BG")),"")</f>
        <v/>
      </c>
      <c r="F259" s="12">
        <f>IFERROR(IF(SUMIFS(tblDaily[TransfersIn],tblDaily[EntryDate],DATE(2026,7,19),tblDaily[WardCode],"BG")=0,"",SUMIFS(tblDaily[TransfersIn],tblDaily[EntryDate],DATE(2026,7,19),tblDaily[WardCode],"BG")),"")</f>
        <v/>
      </c>
      <c r="G259" s="12">
        <f>IFERROR(IF(SUMIFS(tblDaily[TransfersOut],tblDaily[EntryDate],DATE(2026,7,19),tblDaily[WardCode],"BG")=0,"",SUMIFS(tblDaily[TransfersOut],tblDaily[EntryDate],DATE(2026,7,19),tblDaily[WardCode],"BG")),"")</f>
        <v/>
      </c>
      <c r="H259" s="12">
        <f>IFERROR(IF(SUMIFS(tblDaily[Remaining],tblDaily[EntryDate],DATE(2026,7,19),tblDaily[WardCode],"BG")=0,"",SUMIFS(tblDaily[Remaining],tblDaily[EntryDate],DATE(2026,7,19),tblDaily[WardCode],"BG")),"")</f>
        <v/>
      </c>
    </row>
    <row r="260">
      <c r="A260" s="12" t="n">
        <v>20</v>
      </c>
      <c r="B260" s="12">
        <f>IFERROR(IF(SUMIFS(tblDaily[Admissions],tblDaily[EntryDate],DATE(2026,7,20),tblDaily[WardCode],"BG")=0,"",SUMIFS(tblDaily[Admissions],tblDaily[EntryDate],DATE(2026,7,20),tblDaily[WardCode],"BG")),"")</f>
        <v/>
      </c>
      <c r="C260" s="12">
        <f>IFERROR(IF(SUMIFS(tblDaily[Discharges],tblDaily[EntryDate],DATE(2026,7,20),tblDaily[WardCode],"BG")=0,"",SUMIFS(tblDaily[Discharges],tblDaily[EntryDate],DATE(2026,7,20),tblDaily[WardCode],"BG")),"")</f>
        <v/>
      </c>
      <c r="D260" s="12">
        <f>IFERROR(IF(SUMIFS(tblDaily[Deaths],tblDaily[EntryDate],DATE(2026,7,20),tblDaily[WardCode],"BG")=0,"",SUMIFS(tblDaily[Deaths],tblDaily[EntryDate],DATE(2026,7,20),tblDaily[WardCode],"BG")),"")</f>
        <v/>
      </c>
      <c r="E260" s="12">
        <f>IFERROR(IF(SUMIFS(tblDaily[DeathsUnder24Hrs],tblDaily[EntryDate],DATE(2026,7,20),tblDaily[WardCode],"BG")=0,"",SUMIFS(tblDaily[DeathsUnder24Hrs],tblDaily[EntryDate],DATE(2026,7,20),tblDaily[WardCode],"BG")),"")</f>
        <v/>
      </c>
      <c r="F260" s="12">
        <f>IFERROR(IF(SUMIFS(tblDaily[TransfersIn],tblDaily[EntryDate],DATE(2026,7,20),tblDaily[WardCode],"BG")=0,"",SUMIFS(tblDaily[TransfersIn],tblDaily[EntryDate],DATE(2026,7,20),tblDaily[WardCode],"BG")),"")</f>
        <v/>
      </c>
      <c r="G260" s="12">
        <f>IFERROR(IF(SUMIFS(tblDaily[TransfersOut],tblDaily[EntryDate],DATE(2026,7,20),tblDaily[WardCode],"BG")=0,"",SUMIFS(tblDaily[TransfersOut],tblDaily[EntryDate],DATE(2026,7,20),tblDaily[WardCode],"BG")),"")</f>
        <v/>
      </c>
      <c r="H260" s="12">
        <f>IFERROR(IF(SUMIFS(tblDaily[Remaining],tblDaily[EntryDate],DATE(2026,7,20),tblDaily[WardCode],"BG")=0,"",SUMIFS(tblDaily[Remaining],tblDaily[EntryDate],DATE(2026,7,20),tblDaily[WardCode],"BG")),"")</f>
        <v/>
      </c>
    </row>
    <row r="261">
      <c r="A261" s="12" t="n">
        <v>21</v>
      </c>
      <c r="B261" s="12">
        <f>IFERROR(IF(SUMIFS(tblDaily[Admissions],tblDaily[EntryDate],DATE(2026,7,21),tblDaily[WardCode],"BG")=0,"",SUMIFS(tblDaily[Admissions],tblDaily[EntryDate],DATE(2026,7,21),tblDaily[WardCode],"BG")),"")</f>
        <v/>
      </c>
      <c r="C261" s="12">
        <f>IFERROR(IF(SUMIFS(tblDaily[Discharges],tblDaily[EntryDate],DATE(2026,7,21),tblDaily[WardCode],"BG")=0,"",SUMIFS(tblDaily[Discharges],tblDaily[EntryDate],DATE(2026,7,21),tblDaily[WardCode],"BG")),"")</f>
        <v/>
      </c>
      <c r="D261" s="12">
        <f>IFERROR(IF(SUMIFS(tblDaily[Deaths],tblDaily[EntryDate],DATE(2026,7,21),tblDaily[WardCode],"BG")=0,"",SUMIFS(tblDaily[Deaths],tblDaily[EntryDate],DATE(2026,7,21),tblDaily[WardCode],"BG")),"")</f>
        <v/>
      </c>
      <c r="E261" s="12">
        <f>IFERROR(IF(SUMIFS(tblDaily[DeathsUnder24Hrs],tblDaily[EntryDate],DATE(2026,7,21),tblDaily[WardCode],"BG")=0,"",SUMIFS(tblDaily[DeathsUnder24Hrs],tblDaily[EntryDate],DATE(2026,7,21),tblDaily[WardCode],"BG")),"")</f>
        <v/>
      </c>
      <c r="F261" s="12">
        <f>IFERROR(IF(SUMIFS(tblDaily[TransfersIn],tblDaily[EntryDate],DATE(2026,7,21),tblDaily[WardCode],"BG")=0,"",SUMIFS(tblDaily[TransfersIn],tblDaily[EntryDate],DATE(2026,7,21),tblDaily[WardCode],"BG")),"")</f>
        <v/>
      </c>
      <c r="G261" s="12">
        <f>IFERROR(IF(SUMIFS(tblDaily[TransfersOut],tblDaily[EntryDate],DATE(2026,7,21),tblDaily[WardCode],"BG")=0,"",SUMIFS(tblDaily[TransfersOut],tblDaily[EntryDate],DATE(2026,7,21),tblDaily[WardCode],"BG")),"")</f>
        <v/>
      </c>
      <c r="H261" s="12">
        <f>IFERROR(IF(SUMIFS(tblDaily[Remaining],tblDaily[EntryDate],DATE(2026,7,21),tblDaily[WardCode],"BG")=0,"",SUMIFS(tblDaily[Remaining],tblDaily[EntryDate],DATE(2026,7,21),tblDaily[WardCode],"BG")),"")</f>
        <v/>
      </c>
    </row>
    <row r="262">
      <c r="A262" s="12" t="n">
        <v>22</v>
      </c>
      <c r="B262" s="12">
        <f>IFERROR(IF(SUMIFS(tblDaily[Admissions],tblDaily[EntryDate],DATE(2026,7,22),tblDaily[WardCode],"BG")=0,"",SUMIFS(tblDaily[Admissions],tblDaily[EntryDate],DATE(2026,7,22),tblDaily[WardCode],"BG")),"")</f>
        <v/>
      </c>
      <c r="C262" s="12">
        <f>IFERROR(IF(SUMIFS(tblDaily[Discharges],tblDaily[EntryDate],DATE(2026,7,22),tblDaily[WardCode],"BG")=0,"",SUMIFS(tblDaily[Discharges],tblDaily[EntryDate],DATE(2026,7,22),tblDaily[WardCode],"BG")),"")</f>
        <v/>
      </c>
      <c r="D262" s="12">
        <f>IFERROR(IF(SUMIFS(tblDaily[Deaths],tblDaily[EntryDate],DATE(2026,7,22),tblDaily[WardCode],"BG")=0,"",SUMIFS(tblDaily[Deaths],tblDaily[EntryDate],DATE(2026,7,22),tblDaily[WardCode],"BG")),"")</f>
        <v/>
      </c>
      <c r="E262" s="12">
        <f>IFERROR(IF(SUMIFS(tblDaily[DeathsUnder24Hrs],tblDaily[EntryDate],DATE(2026,7,22),tblDaily[WardCode],"BG")=0,"",SUMIFS(tblDaily[DeathsUnder24Hrs],tblDaily[EntryDate],DATE(2026,7,22),tblDaily[WardCode],"BG")),"")</f>
        <v/>
      </c>
      <c r="F262" s="12">
        <f>IFERROR(IF(SUMIFS(tblDaily[TransfersIn],tblDaily[EntryDate],DATE(2026,7,22),tblDaily[WardCode],"BG")=0,"",SUMIFS(tblDaily[TransfersIn],tblDaily[EntryDate],DATE(2026,7,22),tblDaily[WardCode],"BG")),"")</f>
        <v/>
      </c>
      <c r="G262" s="12">
        <f>IFERROR(IF(SUMIFS(tblDaily[TransfersOut],tblDaily[EntryDate],DATE(2026,7,22),tblDaily[WardCode],"BG")=0,"",SUMIFS(tblDaily[TransfersOut],tblDaily[EntryDate],DATE(2026,7,22),tblDaily[WardCode],"BG")),"")</f>
        <v/>
      </c>
      <c r="H262" s="12">
        <f>IFERROR(IF(SUMIFS(tblDaily[Remaining],tblDaily[EntryDate],DATE(2026,7,22),tblDaily[WardCode],"BG")=0,"",SUMIFS(tblDaily[Remaining],tblDaily[EntryDate],DATE(2026,7,22),tblDaily[WardCode],"BG")),"")</f>
        <v/>
      </c>
    </row>
    <row r="263">
      <c r="A263" s="12" t="n">
        <v>23</v>
      </c>
      <c r="B263" s="12">
        <f>IFERROR(IF(SUMIFS(tblDaily[Admissions],tblDaily[EntryDate],DATE(2026,7,23),tblDaily[WardCode],"BG")=0,"",SUMIFS(tblDaily[Admissions],tblDaily[EntryDate],DATE(2026,7,23),tblDaily[WardCode],"BG")),"")</f>
        <v/>
      </c>
      <c r="C263" s="12">
        <f>IFERROR(IF(SUMIFS(tblDaily[Discharges],tblDaily[EntryDate],DATE(2026,7,23),tblDaily[WardCode],"BG")=0,"",SUMIFS(tblDaily[Discharges],tblDaily[EntryDate],DATE(2026,7,23),tblDaily[WardCode],"BG")),"")</f>
        <v/>
      </c>
      <c r="D263" s="12">
        <f>IFERROR(IF(SUMIFS(tblDaily[Deaths],tblDaily[EntryDate],DATE(2026,7,23),tblDaily[WardCode],"BG")=0,"",SUMIFS(tblDaily[Deaths],tblDaily[EntryDate],DATE(2026,7,23),tblDaily[WardCode],"BG")),"")</f>
        <v/>
      </c>
      <c r="E263" s="12">
        <f>IFERROR(IF(SUMIFS(tblDaily[DeathsUnder24Hrs],tblDaily[EntryDate],DATE(2026,7,23),tblDaily[WardCode],"BG")=0,"",SUMIFS(tblDaily[DeathsUnder24Hrs],tblDaily[EntryDate],DATE(2026,7,23),tblDaily[WardCode],"BG")),"")</f>
        <v/>
      </c>
      <c r="F263" s="12">
        <f>IFERROR(IF(SUMIFS(tblDaily[TransfersIn],tblDaily[EntryDate],DATE(2026,7,23),tblDaily[WardCode],"BG")=0,"",SUMIFS(tblDaily[TransfersIn],tblDaily[EntryDate],DATE(2026,7,23),tblDaily[WardCode],"BG")),"")</f>
        <v/>
      </c>
      <c r="G263" s="12">
        <f>IFERROR(IF(SUMIFS(tblDaily[TransfersOut],tblDaily[EntryDate],DATE(2026,7,23),tblDaily[WardCode],"BG")=0,"",SUMIFS(tblDaily[TransfersOut],tblDaily[EntryDate],DATE(2026,7,23),tblDaily[WardCode],"BG")),"")</f>
        <v/>
      </c>
      <c r="H263" s="12">
        <f>IFERROR(IF(SUMIFS(tblDaily[Remaining],tblDaily[EntryDate],DATE(2026,7,23),tblDaily[WardCode],"BG")=0,"",SUMIFS(tblDaily[Remaining],tblDaily[EntryDate],DATE(2026,7,23),tblDaily[WardCode],"BG")),"")</f>
        <v/>
      </c>
    </row>
    <row r="264">
      <c r="A264" s="12" t="n">
        <v>24</v>
      </c>
      <c r="B264" s="12">
        <f>IFERROR(IF(SUMIFS(tblDaily[Admissions],tblDaily[EntryDate],DATE(2026,7,24),tblDaily[WardCode],"BG")=0,"",SUMIFS(tblDaily[Admissions],tblDaily[EntryDate],DATE(2026,7,24),tblDaily[WardCode],"BG")),"")</f>
        <v/>
      </c>
      <c r="C264" s="12">
        <f>IFERROR(IF(SUMIFS(tblDaily[Discharges],tblDaily[EntryDate],DATE(2026,7,24),tblDaily[WardCode],"BG")=0,"",SUMIFS(tblDaily[Discharges],tblDaily[EntryDate],DATE(2026,7,24),tblDaily[WardCode],"BG")),"")</f>
        <v/>
      </c>
      <c r="D264" s="12">
        <f>IFERROR(IF(SUMIFS(tblDaily[Deaths],tblDaily[EntryDate],DATE(2026,7,24),tblDaily[WardCode],"BG")=0,"",SUMIFS(tblDaily[Deaths],tblDaily[EntryDate],DATE(2026,7,24),tblDaily[WardCode],"BG")),"")</f>
        <v/>
      </c>
      <c r="E264" s="12">
        <f>IFERROR(IF(SUMIFS(tblDaily[DeathsUnder24Hrs],tblDaily[EntryDate],DATE(2026,7,24),tblDaily[WardCode],"BG")=0,"",SUMIFS(tblDaily[DeathsUnder24Hrs],tblDaily[EntryDate],DATE(2026,7,24),tblDaily[WardCode],"BG")),"")</f>
        <v/>
      </c>
      <c r="F264" s="12">
        <f>IFERROR(IF(SUMIFS(tblDaily[TransfersIn],tblDaily[EntryDate],DATE(2026,7,24),tblDaily[WardCode],"BG")=0,"",SUMIFS(tblDaily[TransfersIn],tblDaily[EntryDate],DATE(2026,7,24),tblDaily[WardCode],"BG")),"")</f>
        <v/>
      </c>
      <c r="G264" s="12">
        <f>IFERROR(IF(SUMIFS(tblDaily[TransfersOut],tblDaily[EntryDate],DATE(2026,7,24),tblDaily[WardCode],"BG")=0,"",SUMIFS(tblDaily[TransfersOut],tblDaily[EntryDate],DATE(2026,7,24),tblDaily[WardCode],"BG")),"")</f>
        <v/>
      </c>
      <c r="H264" s="12">
        <f>IFERROR(IF(SUMIFS(tblDaily[Remaining],tblDaily[EntryDate],DATE(2026,7,24),tblDaily[WardCode],"BG")=0,"",SUMIFS(tblDaily[Remaining],tblDaily[EntryDate],DATE(2026,7,24),tblDaily[WardCode],"BG")),"")</f>
        <v/>
      </c>
    </row>
    <row r="265">
      <c r="A265" s="12" t="n">
        <v>25</v>
      </c>
      <c r="B265" s="12">
        <f>IFERROR(IF(SUMIFS(tblDaily[Admissions],tblDaily[EntryDate],DATE(2026,7,25),tblDaily[WardCode],"BG")=0,"",SUMIFS(tblDaily[Admissions],tblDaily[EntryDate],DATE(2026,7,25),tblDaily[WardCode],"BG")),"")</f>
        <v/>
      </c>
      <c r="C265" s="12">
        <f>IFERROR(IF(SUMIFS(tblDaily[Discharges],tblDaily[EntryDate],DATE(2026,7,25),tblDaily[WardCode],"BG")=0,"",SUMIFS(tblDaily[Discharges],tblDaily[EntryDate],DATE(2026,7,25),tblDaily[WardCode],"BG")),"")</f>
        <v/>
      </c>
      <c r="D265" s="12">
        <f>IFERROR(IF(SUMIFS(tblDaily[Deaths],tblDaily[EntryDate],DATE(2026,7,25),tblDaily[WardCode],"BG")=0,"",SUMIFS(tblDaily[Deaths],tblDaily[EntryDate],DATE(2026,7,25),tblDaily[WardCode],"BG")),"")</f>
        <v/>
      </c>
      <c r="E265" s="12">
        <f>IFERROR(IF(SUMIFS(tblDaily[DeathsUnder24Hrs],tblDaily[EntryDate],DATE(2026,7,25),tblDaily[WardCode],"BG")=0,"",SUMIFS(tblDaily[DeathsUnder24Hrs],tblDaily[EntryDate],DATE(2026,7,25),tblDaily[WardCode],"BG")),"")</f>
        <v/>
      </c>
      <c r="F265" s="12">
        <f>IFERROR(IF(SUMIFS(tblDaily[TransfersIn],tblDaily[EntryDate],DATE(2026,7,25),tblDaily[WardCode],"BG")=0,"",SUMIFS(tblDaily[TransfersIn],tblDaily[EntryDate],DATE(2026,7,25),tblDaily[WardCode],"BG")),"")</f>
        <v/>
      </c>
      <c r="G265" s="12">
        <f>IFERROR(IF(SUMIFS(tblDaily[TransfersOut],tblDaily[EntryDate],DATE(2026,7,25),tblDaily[WardCode],"BG")=0,"",SUMIFS(tblDaily[TransfersOut],tblDaily[EntryDate],DATE(2026,7,25),tblDaily[WardCode],"BG")),"")</f>
        <v/>
      </c>
      <c r="H265" s="12">
        <f>IFERROR(IF(SUMIFS(tblDaily[Remaining],tblDaily[EntryDate],DATE(2026,7,25),tblDaily[WardCode],"BG")=0,"",SUMIFS(tblDaily[Remaining],tblDaily[EntryDate],DATE(2026,7,25),tblDaily[WardCode],"BG")),"")</f>
        <v/>
      </c>
    </row>
    <row r="266">
      <c r="A266" s="12" t="n">
        <v>26</v>
      </c>
      <c r="B266" s="12">
        <f>IFERROR(IF(SUMIFS(tblDaily[Admissions],tblDaily[EntryDate],DATE(2026,7,26),tblDaily[WardCode],"BG")=0,"",SUMIFS(tblDaily[Admissions],tblDaily[EntryDate],DATE(2026,7,26),tblDaily[WardCode],"BG")),"")</f>
        <v/>
      </c>
      <c r="C266" s="12">
        <f>IFERROR(IF(SUMIFS(tblDaily[Discharges],tblDaily[EntryDate],DATE(2026,7,26),tblDaily[WardCode],"BG")=0,"",SUMIFS(tblDaily[Discharges],tblDaily[EntryDate],DATE(2026,7,26),tblDaily[WardCode],"BG")),"")</f>
        <v/>
      </c>
      <c r="D266" s="12">
        <f>IFERROR(IF(SUMIFS(tblDaily[Deaths],tblDaily[EntryDate],DATE(2026,7,26),tblDaily[WardCode],"BG")=0,"",SUMIFS(tblDaily[Deaths],tblDaily[EntryDate],DATE(2026,7,26),tblDaily[WardCode],"BG")),"")</f>
        <v/>
      </c>
      <c r="E266" s="12">
        <f>IFERROR(IF(SUMIFS(tblDaily[DeathsUnder24Hrs],tblDaily[EntryDate],DATE(2026,7,26),tblDaily[WardCode],"BG")=0,"",SUMIFS(tblDaily[DeathsUnder24Hrs],tblDaily[EntryDate],DATE(2026,7,26),tblDaily[WardCode],"BG")),"")</f>
        <v/>
      </c>
      <c r="F266" s="12">
        <f>IFERROR(IF(SUMIFS(tblDaily[TransfersIn],tblDaily[EntryDate],DATE(2026,7,26),tblDaily[WardCode],"BG")=0,"",SUMIFS(tblDaily[TransfersIn],tblDaily[EntryDate],DATE(2026,7,26),tblDaily[WardCode],"BG")),"")</f>
        <v/>
      </c>
      <c r="G266" s="12">
        <f>IFERROR(IF(SUMIFS(tblDaily[TransfersOut],tblDaily[EntryDate],DATE(2026,7,26),tblDaily[WardCode],"BG")=0,"",SUMIFS(tblDaily[TransfersOut],tblDaily[EntryDate],DATE(2026,7,26),tblDaily[WardCode],"BG")),"")</f>
        <v/>
      </c>
      <c r="H266" s="12">
        <f>IFERROR(IF(SUMIFS(tblDaily[Remaining],tblDaily[EntryDate],DATE(2026,7,26),tblDaily[WardCode],"BG")=0,"",SUMIFS(tblDaily[Remaining],tblDaily[EntryDate],DATE(2026,7,26),tblDaily[WardCode],"BG")),"")</f>
        <v/>
      </c>
    </row>
    <row r="267">
      <c r="A267" s="12" t="n">
        <v>27</v>
      </c>
      <c r="B267" s="12">
        <f>IFERROR(IF(SUMIFS(tblDaily[Admissions],tblDaily[EntryDate],DATE(2026,7,27),tblDaily[WardCode],"BG")=0,"",SUMIFS(tblDaily[Admissions],tblDaily[EntryDate],DATE(2026,7,27),tblDaily[WardCode],"BG")),"")</f>
        <v/>
      </c>
      <c r="C267" s="12">
        <f>IFERROR(IF(SUMIFS(tblDaily[Discharges],tblDaily[EntryDate],DATE(2026,7,27),tblDaily[WardCode],"BG")=0,"",SUMIFS(tblDaily[Discharges],tblDaily[EntryDate],DATE(2026,7,27),tblDaily[WardCode],"BG")),"")</f>
        <v/>
      </c>
      <c r="D267" s="12">
        <f>IFERROR(IF(SUMIFS(tblDaily[Deaths],tblDaily[EntryDate],DATE(2026,7,27),tblDaily[WardCode],"BG")=0,"",SUMIFS(tblDaily[Deaths],tblDaily[EntryDate],DATE(2026,7,27),tblDaily[WardCode],"BG")),"")</f>
        <v/>
      </c>
      <c r="E267" s="12">
        <f>IFERROR(IF(SUMIFS(tblDaily[DeathsUnder24Hrs],tblDaily[EntryDate],DATE(2026,7,27),tblDaily[WardCode],"BG")=0,"",SUMIFS(tblDaily[DeathsUnder24Hrs],tblDaily[EntryDate],DATE(2026,7,27),tblDaily[WardCode],"BG")),"")</f>
        <v/>
      </c>
      <c r="F267" s="12">
        <f>IFERROR(IF(SUMIFS(tblDaily[TransfersIn],tblDaily[EntryDate],DATE(2026,7,27),tblDaily[WardCode],"BG")=0,"",SUMIFS(tblDaily[TransfersIn],tblDaily[EntryDate],DATE(2026,7,27),tblDaily[WardCode],"BG")),"")</f>
        <v/>
      </c>
      <c r="G267" s="12">
        <f>IFERROR(IF(SUMIFS(tblDaily[TransfersOut],tblDaily[EntryDate],DATE(2026,7,27),tblDaily[WardCode],"BG")=0,"",SUMIFS(tblDaily[TransfersOut],tblDaily[EntryDate],DATE(2026,7,27),tblDaily[WardCode],"BG")),"")</f>
        <v/>
      </c>
      <c r="H267" s="12">
        <f>IFERROR(IF(SUMIFS(tblDaily[Remaining],tblDaily[EntryDate],DATE(2026,7,27),tblDaily[WardCode],"BG")=0,"",SUMIFS(tblDaily[Remaining],tblDaily[EntryDate],DATE(2026,7,27),tblDaily[WardCode],"BG")),"")</f>
        <v/>
      </c>
    </row>
    <row r="268">
      <c r="A268" s="12" t="n">
        <v>28</v>
      </c>
      <c r="B268" s="12">
        <f>IFERROR(IF(SUMIFS(tblDaily[Admissions],tblDaily[EntryDate],DATE(2026,7,28),tblDaily[WardCode],"BG")=0,"",SUMIFS(tblDaily[Admissions],tblDaily[EntryDate],DATE(2026,7,28),tblDaily[WardCode],"BG")),"")</f>
        <v/>
      </c>
      <c r="C268" s="12">
        <f>IFERROR(IF(SUMIFS(tblDaily[Discharges],tblDaily[EntryDate],DATE(2026,7,28),tblDaily[WardCode],"BG")=0,"",SUMIFS(tblDaily[Discharges],tblDaily[EntryDate],DATE(2026,7,28),tblDaily[WardCode],"BG")),"")</f>
        <v/>
      </c>
      <c r="D268" s="12">
        <f>IFERROR(IF(SUMIFS(tblDaily[Deaths],tblDaily[EntryDate],DATE(2026,7,28),tblDaily[WardCode],"BG")=0,"",SUMIFS(tblDaily[Deaths],tblDaily[EntryDate],DATE(2026,7,28),tblDaily[WardCode],"BG")),"")</f>
        <v/>
      </c>
      <c r="E268" s="12">
        <f>IFERROR(IF(SUMIFS(tblDaily[DeathsUnder24Hrs],tblDaily[EntryDate],DATE(2026,7,28),tblDaily[WardCode],"BG")=0,"",SUMIFS(tblDaily[DeathsUnder24Hrs],tblDaily[EntryDate],DATE(2026,7,28),tblDaily[WardCode],"BG")),"")</f>
        <v/>
      </c>
      <c r="F268" s="12">
        <f>IFERROR(IF(SUMIFS(tblDaily[TransfersIn],tblDaily[EntryDate],DATE(2026,7,28),tblDaily[WardCode],"BG")=0,"",SUMIFS(tblDaily[TransfersIn],tblDaily[EntryDate],DATE(2026,7,28),tblDaily[WardCode],"BG")),"")</f>
        <v/>
      </c>
      <c r="G268" s="12">
        <f>IFERROR(IF(SUMIFS(tblDaily[TransfersOut],tblDaily[EntryDate],DATE(2026,7,28),tblDaily[WardCode],"BG")=0,"",SUMIFS(tblDaily[TransfersOut],tblDaily[EntryDate],DATE(2026,7,28),tblDaily[WardCode],"BG")),"")</f>
        <v/>
      </c>
      <c r="H268" s="12">
        <f>IFERROR(IF(SUMIFS(tblDaily[Remaining],tblDaily[EntryDate],DATE(2026,7,28),tblDaily[WardCode],"BG")=0,"",SUMIFS(tblDaily[Remaining],tblDaily[EntryDate],DATE(2026,7,28),tblDaily[WardCode],"BG")),"")</f>
        <v/>
      </c>
    </row>
    <row r="269">
      <c r="A269" s="12" t="n">
        <v>29</v>
      </c>
      <c r="B269" s="12">
        <f>IFERROR(IF(SUMIFS(tblDaily[Admissions],tblDaily[EntryDate],DATE(2026,7,29),tblDaily[WardCode],"BG")=0,"",SUMIFS(tblDaily[Admissions],tblDaily[EntryDate],DATE(2026,7,29),tblDaily[WardCode],"BG")),"")</f>
        <v/>
      </c>
      <c r="C269" s="12">
        <f>IFERROR(IF(SUMIFS(tblDaily[Discharges],tblDaily[EntryDate],DATE(2026,7,29),tblDaily[WardCode],"BG")=0,"",SUMIFS(tblDaily[Discharges],tblDaily[EntryDate],DATE(2026,7,29),tblDaily[WardCode],"BG")),"")</f>
        <v/>
      </c>
      <c r="D269" s="12">
        <f>IFERROR(IF(SUMIFS(tblDaily[Deaths],tblDaily[EntryDate],DATE(2026,7,29),tblDaily[WardCode],"BG")=0,"",SUMIFS(tblDaily[Deaths],tblDaily[EntryDate],DATE(2026,7,29),tblDaily[WardCode],"BG")),"")</f>
        <v/>
      </c>
      <c r="E269" s="12">
        <f>IFERROR(IF(SUMIFS(tblDaily[DeathsUnder24Hrs],tblDaily[EntryDate],DATE(2026,7,29),tblDaily[WardCode],"BG")=0,"",SUMIFS(tblDaily[DeathsUnder24Hrs],tblDaily[EntryDate],DATE(2026,7,29),tblDaily[WardCode],"BG")),"")</f>
        <v/>
      </c>
      <c r="F269" s="12">
        <f>IFERROR(IF(SUMIFS(tblDaily[TransfersIn],tblDaily[EntryDate],DATE(2026,7,29),tblDaily[WardCode],"BG")=0,"",SUMIFS(tblDaily[TransfersIn],tblDaily[EntryDate],DATE(2026,7,29),tblDaily[WardCode],"BG")),"")</f>
        <v/>
      </c>
      <c r="G269" s="12">
        <f>IFERROR(IF(SUMIFS(tblDaily[TransfersOut],tblDaily[EntryDate],DATE(2026,7,29),tblDaily[WardCode],"BG")=0,"",SUMIFS(tblDaily[TransfersOut],tblDaily[EntryDate],DATE(2026,7,29),tblDaily[WardCode],"BG")),"")</f>
        <v/>
      </c>
      <c r="H269" s="12">
        <f>IFERROR(IF(SUMIFS(tblDaily[Remaining],tblDaily[EntryDate],DATE(2026,7,29),tblDaily[WardCode],"BG")=0,"",SUMIFS(tblDaily[Remaining],tblDaily[EntryDate],DATE(2026,7,29),tblDaily[WardCode],"BG")),"")</f>
        <v/>
      </c>
    </row>
    <row r="270">
      <c r="A270" s="12" t="n">
        <v>30</v>
      </c>
      <c r="B270" s="12">
        <f>IFERROR(IF(SUMIFS(tblDaily[Admissions],tblDaily[EntryDate],DATE(2026,7,30),tblDaily[WardCode],"BG")=0,"",SUMIFS(tblDaily[Admissions],tblDaily[EntryDate],DATE(2026,7,30),tblDaily[WardCode],"BG")),"")</f>
        <v/>
      </c>
      <c r="C270" s="12">
        <f>IFERROR(IF(SUMIFS(tblDaily[Discharges],tblDaily[EntryDate],DATE(2026,7,30),tblDaily[WardCode],"BG")=0,"",SUMIFS(tblDaily[Discharges],tblDaily[EntryDate],DATE(2026,7,30),tblDaily[WardCode],"BG")),"")</f>
        <v/>
      </c>
      <c r="D270" s="12">
        <f>IFERROR(IF(SUMIFS(tblDaily[Deaths],tblDaily[EntryDate],DATE(2026,7,30),tblDaily[WardCode],"BG")=0,"",SUMIFS(tblDaily[Deaths],tblDaily[EntryDate],DATE(2026,7,30),tblDaily[WardCode],"BG")),"")</f>
        <v/>
      </c>
      <c r="E270" s="12">
        <f>IFERROR(IF(SUMIFS(tblDaily[DeathsUnder24Hrs],tblDaily[EntryDate],DATE(2026,7,30),tblDaily[WardCode],"BG")=0,"",SUMIFS(tblDaily[DeathsUnder24Hrs],tblDaily[EntryDate],DATE(2026,7,30),tblDaily[WardCode],"BG")),"")</f>
        <v/>
      </c>
      <c r="F270" s="12">
        <f>IFERROR(IF(SUMIFS(tblDaily[TransfersIn],tblDaily[EntryDate],DATE(2026,7,30),tblDaily[WardCode],"BG")=0,"",SUMIFS(tblDaily[TransfersIn],tblDaily[EntryDate],DATE(2026,7,30),tblDaily[WardCode],"BG")),"")</f>
        <v/>
      </c>
      <c r="G270" s="12">
        <f>IFERROR(IF(SUMIFS(tblDaily[TransfersOut],tblDaily[EntryDate],DATE(2026,7,30),tblDaily[WardCode],"BG")=0,"",SUMIFS(tblDaily[TransfersOut],tblDaily[EntryDate],DATE(2026,7,30),tblDaily[WardCode],"BG")),"")</f>
        <v/>
      </c>
      <c r="H270" s="12">
        <f>IFERROR(IF(SUMIFS(tblDaily[Remaining],tblDaily[EntryDate],DATE(2026,7,30),tblDaily[WardCode],"BG")=0,"",SUMIFS(tblDaily[Remaining],tblDaily[EntryDate],DATE(2026,7,30),tblDaily[WardCode],"BG")),"")</f>
        <v/>
      </c>
    </row>
    <row r="271">
      <c r="A271" s="12" t="n">
        <v>31</v>
      </c>
      <c r="B271" s="12">
        <f>IFERROR(IF(SUMIFS(tblDaily[Admissions],tblDaily[EntryDate],DATE(2026,7,31),tblDaily[WardCode],"BG")=0,"",SUMIFS(tblDaily[Admissions],tblDaily[EntryDate],DATE(2026,7,31),tblDaily[WardCode],"BG")),"")</f>
        <v/>
      </c>
      <c r="C271" s="12">
        <f>IFERROR(IF(SUMIFS(tblDaily[Discharges],tblDaily[EntryDate],DATE(2026,7,31),tblDaily[WardCode],"BG")=0,"",SUMIFS(tblDaily[Discharges],tblDaily[EntryDate],DATE(2026,7,31),tblDaily[WardCode],"BG")),"")</f>
        <v/>
      </c>
      <c r="D271" s="12">
        <f>IFERROR(IF(SUMIFS(tblDaily[Deaths],tblDaily[EntryDate],DATE(2026,7,31),tblDaily[WardCode],"BG")=0,"",SUMIFS(tblDaily[Deaths],tblDaily[EntryDate],DATE(2026,7,31),tblDaily[WardCode],"BG")),"")</f>
        <v/>
      </c>
      <c r="E271" s="12">
        <f>IFERROR(IF(SUMIFS(tblDaily[DeathsUnder24Hrs],tblDaily[EntryDate],DATE(2026,7,31),tblDaily[WardCode],"BG")=0,"",SUMIFS(tblDaily[DeathsUnder24Hrs],tblDaily[EntryDate],DATE(2026,7,31),tblDaily[WardCode],"BG")),"")</f>
        <v/>
      </c>
      <c r="F271" s="12">
        <f>IFERROR(IF(SUMIFS(tblDaily[TransfersIn],tblDaily[EntryDate],DATE(2026,7,31),tblDaily[WardCode],"BG")=0,"",SUMIFS(tblDaily[TransfersIn],tblDaily[EntryDate],DATE(2026,7,31),tblDaily[WardCode],"BG")),"")</f>
        <v/>
      </c>
      <c r="G271" s="12">
        <f>IFERROR(IF(SUMIFS(tblDaily[TransfersOut],tblDaily[EntryDate],DATE(2026,7,31),tblDaily[WardCode],"BG")=0,"",SUMIFS(tblDaily[TransfersOut],tblDaily[EntryDate],DATE(2026,7,31),tblDaily[WardCode],"BG")),"")</f>
        <v/>
      </c>
      <c r="H271" s="12">
        <f>IFERROR(IF(SUMIFS(tblDaily[Remaining],tblDaily[EntryDate],DATE(2026,7,31),tblDaily[WardCode],"BG")=0,"",SUMIFS(tblDaily[Remaining],tblDaily[EntryDate],DATE(2026,7,31),tblDaily[WardCode],"BG")),"")</f>
        <v/>
      </c>
    </row>
    <row r="272">
      <c r="A272" s="17" t="inlineStr">
        <is>
          <t>TOTAL</t>
        </is>
      </c>
      <c r="B272" s="17">
        <f>SUMIFS(tblDaily[Admissions],tblDaily[Month],7,tblDaily[WardCode],"BG") - SUMIFS(tblDaily[DeathsUnder24Hrs],tblDaily[Month],7,tblDaily[WardCode],"BG")</f>
        <v/>
      </c>
      <c r="C272" s="17">
        <f>SUMIFS(tblDaily[Discharges],tblDaily[Month],7,tblDaily[WardCode],"BG")</f>
        <v/>
      </c>
      <c r="D272" s="17">
        <f>SUMIFS(tblDaily[Deaths],tblDaily[Month],7,tblDaily[WardCode],"BG")</f>
        <v/>
      </c>
      <c r="E272" s="17">
        <f>SUMIFS(tblDaily[DeathsUnder24Hrs],tblDaily[Month],7,tblDaily[WardCode],"BG")</f>
        <v/>
      </c>
      <c r="F272" s="17">
        <f>SUMIFS(tblDaily[TransfersIn],tblDaily[Month],7,tblDaily[WardCode],"BG")</f>
        <v/>
      </c>
      <c r="G272" s="17">
        <f>SUMIFS(tblDaily[TransfersOut],tblDaily[Month],7,tblDaily[WardCode],"BG")</f>
        <v/>
      </c>
      <c r="H272" s="17">
        <f>SUMIFS(tblDaily[Remaining],tblDaily[Month],7,tblDaily[WardCode],"BG")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BLOCK G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4">
        <f>IFERROR(SUMIFS(tblDaily[Remaining],tblDaily[EntryDate],DATE(2026,7,31),tblDaily[WardCode],"BG"),0)</f>
        <v/>
      </c>
    </row>
    <row r="278">
      <c r="A278" s="4" t="inlineStr">
        <is>
          <t>Bed complement</t>
        </is>
      </c>
      <c r="H278" s="15">
        <f>IFERROR(INDEX(tblWardConfig[BedComplement],MATCH("BG",tblWardConfig[WardCode],0)),0)</f>
        <v/>
      </c>
    </row>
    <row r="279">
      <c r="A279" s="16" t="inlineStr">
        <is>
          <t>Day of
the
Month</t>
        </is>
      </c>
      <c r="B279" s="16" t="inlineStr">
        <is>
          <t>Admissions</t>
        </is>
      </c>
      <c r="C279" s="16" t="inlineStr">
        <is>
          <t>Discharges</t>
        </is>
      </c>
      <c r="D279" s="16" t="inlineStr">
        <is>
          <t>Deaths</t>
        </is>
      </c>
      <c r="E279" s="16" t="inlineStr">
        <is>
          <t>Deaths
&lt;24Hrs</t>
        </is>
      </c>
      <c r="F279" s="16" t="inlineStr">
        <is>
          <t>Transfers-
In</t>
        </is>
      </c>
      <c r="G279" s="16" t="inlineStr">
        <is>
          <t>Transfers-
Out</t>
        </is>
      </c>
      <c r="H279" s="16" t="inlineStr">
        <is>
          <t>No. of Patients
Remaining In
Ward</t>
        </is>
      </c>
    </row>
    <row r="280">
      <c r="A280" s="12" t="n">
        <v>1</v>
      </c>
      <c r="B280" s="12">
        <f>IFERROR(IF(SUMIFS(tblDaily[Admissions],tblDaily[EntryDate],DATE(2026,8,1),tblDaily[WardCode],"BG")=0,"",SUMIFS(tblDaily[Admissions],tblDaily[EntryDate],DATE(2026,8,1),tblDaily[WardCode],"BG")),"")</f>
        <v/>
      </c>
      <c r="C280" s="12">
        <f>IFERROR(IF(SUMIFS(tblDaily[Discharges],tblDaily[EntryDate],DATE(2026,8,1),tblDaily[WardCode],"BG")=0,"",SUMIFS(tblDaily[Discharges],tblDaily[EntryDate],DATE(2026,8,1),tblDaily[WardCode],"BG")),"")</f>
        <v/>
      </c>
      <c r="D280" s="12">
        <f>IFERROR(IF(SUMIFS(tblDaily[Deaths],tblDaily[EntryDate],DATE(2026,8,1),tblDaily[WardCode],"BG")=0,"",SUMIFS(tblDaily[Deaths],tblDaily[EntryDate],DATE(2026,8,1),tblDaily[WardCode],"BG")),"")</f>
        <v/>
      </c>
      <c r="E280" s="12">
        <f>IFERROR(IF(SUMIFS(tblDaily[DeathsUnder24Hrs],tblDaily[EntryDate],DATE(2026,8,1),tblDaily[WardCode],"BG")=0,"",SUMIFS(tblDaily[DeathsUnder24Hrs],tblDaily[EntryDate],DATE(2026,8,1),tblDaily[WardCode],"BG")),"")</f>
        <v/>
      </c>
      <c r="F280" s="12">
        <f>IFERROR(IF(SUMIFS(tblDaily[TransfersIn],tblDaily[EntryDate],DATE(2026,8,1),tblDaily[WardCode],"BG")=0,"",SUMIFS(tblDaily[TransfersIn],tblDaily[EntryDate],DATE(2026,8,1),tblDaily[WardCode],"BG")),"")</f>
        <v/>
      </c>
      <c r="G280" s="12">
        <f>IFERROR(IF(SUMIFS(tblDaily[TransfersOut],tblDaily[EntryDate],DATE(2026,8,1),tblDaily[WardCode],"BG")=0,"",SUMIFS(tblDaily[TransfersOut],tblDaily[EntryDate],DATE(2026,8,1),tblDaily[WardCode],"BG")),"")</f>
        <v/>
      </c>
      <c r="H280" s="12">
        <f>IFERROR(IF(SUMIFS(tblDaily[Remaining],tblDaily[EntryDate],DATE(2026,8,1),tblDaily[WardCode],"BG")=0,"",SUMIFS(tblDaily[Remaining],tblDaily[EntryDate],DATE(2026,8,1),tblDaily[WardCode],"BG")),"")</f>
        <v/>
      </c>
    </row>
    <row r="281">
      <c r="A281" s="12" t="n">
        <v>2</v>
      </c>
      <c r="B281" s="12">
        <f>IFERROR(IF(SUMIFS(tblDaily[Admissions],tblDaily[EntryDate],DATE(2026,8,2),tblDaily[WardCode],"BG")=0,"",SUMIFS(tblDaily[Admissions],tblDaily[EntryDate],DATE(2026,8,2),tblDaily[WardCode],"BG")),"")</f>
        <v/>
      </c>
      <c r="C281" s="12">
        <f>IFERROR(IF(SUMIFS(tblDaily[Discharges],tblDaily[EntryDate],DATE(2026,8,2),tblDaily[WardCode],"BG")=0,"",SUMIFS(tblDaily[Discharges],tblDaily[EntryDate],DATE(2026,8,2),tblDaily[WardCode],"BG")),"")</f>
        <v/>
      </c>
      <c r="D281" s="12">
        <f>IFERROR(IF(SUMIFS(tblDaily[Deaths],tblDaily[EntryDate],DATE(2026,8,2),tblDaily[WardCode],"BG")=0,"",SUMIFS(tblDaily[Deaths],tblDaily[EntryDate],DATE(2026,8,2),tblDaily[WardCode],"BG")),"")</f>
        <v/>
      </c>
      <c r="E281" s="12">
        <f>IFERROR(IF(SUMIFS(tblDaily[DeathsUnder24Hrs],tblDaily[EntryDate],DATE(2026,8,2),tblDaily[WardCode],"BG")=0,"",SUMIFS(tblDaily[DeathsUnder24Hrs],tblDaily[EntryDate],DATE(2026,8,2),tblDaily[WardCode],"BG")),"")</f>
        <v/>
      </c>
      <c r="F281" s="12">
        <f>IFERROR(IF(SUMIFS(tblDaily[TransfersIn],tblDaily[EntryDate],DATE(2026,8,2),tblDaily[WardCode],"BG")=0,"",SUMIFS(tblDaily[TransfersIn],tblDaily[EntryDate],DATE(2026,8,2),tblDaily[WardCode],"BG")),"")</f>
        <v/>
      </c>
      <c r="G281" s="12">
        <f>IFERROR(IF(SUMIFS(tblDaily[TransfersOut],tblDaily[EntryDate],DATE(2026,8,2),tblDaily[WardCode],"BG")=0,"",SUMIFS(tblDaily[TransfersOut],tblDaily[EntryDate],DATE(2026,8,2),tblDaily[WardCode],"BG")),"")</f>
        <v/>
      </c>
      <c r="H281" s="12">
        <f>IFERROR(IF(SUMIFS(tblDaily[Remaining],tblDaily[EntryDate],DATE(2026,8,2),tblDaily[WardCode],"BG")=0,"",SUMIFS(tblDaily[Remaining],tblDaily[EntryDate],DATE(2026,8,2),tblDaily[WardCode],"BG")),"")</f>
        <v/>
      </c>
    </row>
    <row r="282">
      <c r="A282" s="12" t="n">
        <v>3</v>
      </c>
      <c r="B282" s="12">
        <f>IFERROR(IF(SUMIFS(tblDaily[Admissions],tblDaily[EntryDate],DATE(2026,8,3),tblDaily[WardCode],"BG")=0,"",SUMIFS(tblDaily[Admissions],tblDaily[EntryDate],DATE(2026,8,3),tblDaily[WardCode],"BG")),"")</f>
        <v/>
      </c>
      <c r="C282" s="12">
        <f>IFERROR(IF(SUMIFS(tblDaily[Discharges],tblDaily[EntryDate],DATE(2026,8,3),tblDaily[WardCode],"BG")=0,"",SUMIFS(tblDaily[Discharges],tblDaily[EntryDate],DATE(2026,8,3),tblDaily[WardCode],"BG")),"")</f>
        <v/>
      </c>
      <c r="D282" s="12">
        <f>IFERROR(IF(SUMIFS(tblDaily[Deaths],tblDaily[EntryDate],DATE(2026,8,3),tblDaily[WardCode],"BG")=0,"",SUMIFS(tblDaily[Deaths],tblDaily[EntryDate],DATE(2026,8,3),tblDaily[WardCode],"BG")),"")</f>
        <v/>
      </c>
      <c r="E282" s="12">
        <f>IFERROR(IF(SUMIFS(tblDaily[DeathsUnder24Hrs],tblDaily[EntryDate],DATE(2026,8,3),tblDaily[WardCode],"BG")=0,"",SUMIFS(tblDaily[DeathsUnder24Hrs],tblDaily[EntryDate],DATE(2026,8,3),tblDaily[WardCode],"BG")),"")</f>
        <v/>
      </c>
      <c r="F282" s="12">
        <f>IFERROR(IF(SUMIFS(tblDaily[TransfersIn],tblDaily[EntryDate],DATE(2026,8,3),tblDaily[WardCode],"BG")=0,"",SUMIFS(tblDaily[TransfersIn],tblDaily[EntryDate],DATE(2026,8,3),tblDaily[WardCode],"BG")),"")</f>
        <v/>
      </c>
      <c r="G282" s="12">
        <f>IFERROR(IF(SUMIFS(tblDaily[TransfersOut],tblDaily[EntryDate],DATE(2026,8,3),tblDaily[WardCode],"BG")=0,"",SUMIFS(tblDaily[TransfersOut],tblDaily[EntryDate],DATE(2026,8,3),tblDaily[WardCode],"BG")),"")</f>
        <v/>
      </c>
      <c r="H282" s="12">
        <f>IFERROR(IF(SUMIFS(tblDaily[Remaining],tblDaily[EntryDate],DATE(2026,8,3),tblDaily[WardCode],"BG")=0,"",SUMIFS(tblDaily[Remaining],tblDaily[EntryDate],DATE(2026,8,3),tblDaily[WardCode],"BG")),"")</f>
        <v/>
      </c>
    </row>
    <row r="283">
      <c r="A283" s="12" t="n">
        <v>4</v>
      </c>
      <c r="B283" s="12">
        <f>IFERROR(IF(SUMIFS(tblDaily[Admissions],tblDaily[EntryDate],DATE(2026,8,4),tblDaily[WardCode],"BG")=0,"",SUMIFS(tblDaily[Admissions],tblDaily[EntryDate],DATE(2026,8,4),tblDaily[WardCode],"BG")),"")</f>
        <v/>
      </c>
      <c r="C283" s="12">
        <f>IFERROR(IF(SUMIFS(tblDaily[Discharges],tblDaily[EntryDate],DATE(2026,8,4),tblDaily[WardCode],"BG")=0,"",SUMIFS(tblDaily[Discharges],tblDaily[EntryDate],DATE(2026,8,4),tblDaily[WardCode],"BG")),"")</f>
        <v/>
      </c>
      <c r="D283" s="12">
        <f>IFERROR(IF(SUMIFS(tblDaily[Deaths],tblDaily[EntryDate],DATE(2026,8,4),tblDaily[WardCode],"BG")=0,"",SUMIFS(tblDaily[Deaths],tblDaily[EntryDate],DATE(2026,8,4),tblDaily[WardCode],"BG")),"")</f>
        <v/>
      </c>
      <c r="E283" s="12">
        <f>IFERROR(IF(SUMIFS(tblDaily[DeathsUnder24Hrs],tblDaily[EntryDate],DATE(2026,8,4),tblDaily[WardCode],"BG")=0,"",SUMIFS(tblDaily[DeathsUnder24Hrs],tblDaily[EntryDate],DATE(2026,8,4),tblDaily[WardCode],"BG")),"")</f>
        <v/>
      </c>
      <c r="F283" s="12">
        <f>IFERROR(IF(SUMIFS(tblDaily[TransfersIn],tblDaily[EntryDate],DATE(2026,8,4),tblDaily[WardCode],"BG")=0,"",SUMIFS(tblDaily[TransfersIn],tblDaily[EntryDate],DATE(2026,8,4),tblDaily[WardCode],"BG")),"")</f>
        <v/>
      </c>
      <c r="G283" s="12">
        <f>IFERROR(IF(SUMIFS(tblDaily[TransfersOut],tblDaily[EntryDate],DATE(2026,8,4),tblDaily[WardCode],"BG")=0,"",SUMIFS(tblDaily[TransfersOut],tblDaily[EntryDate],DATE(2026,8,4),tblDaily[WardCode],"BG")),"")</f>
        <v/>
      </c>
      <c r="H283" s="12">
        <f>IFERROR(IF(SUMIFS(tblDaily[Remaining],tblDaily[EntryDate],DATE(2026,8,4),tblDaily[WardCode],"BG")=0,"",SUMIFS(tblDaily[Remaining],tblDaily[EntryDate],DATE(2026,8,4),tblDaily[WardCode],"BG")),"")</f>
        <v/>
      </c>
    </row>
    <row r="284">
      <c r="A284" s="12" t="n">
        <v>5</v>
      </c>
      <c r="B284" s="12">
        <f>IFERROR(IF(SUMIFS(tblDaily[Admissions],tblDaily[EntryDate],DATE(2026,8,5),tblDaily[WardCode],"BG")=0,"",SUMIFS(tblDaily[Admissions],tblDaily[EntryDate],DATE(2026,8,5),tblDaily[WardCode],"BG")),"")</f>
        <v/>
      </c>
      <c r="C284" s="12">
        <f>IFERROR(IF(SUMIFS(tblDaily[Discharges],tblDaily[EntryDate],DATE(2026,8,5),tblDaily[WardCode],"BG")=0,"",SUMIFS(tblDaily[Discharges],tblDaily[EntryDate],DATE(2026,8,5),tblDaily[WardCode],"BG")),"")</f>
        <v/>
      </c>
      <c r="D284" s="12">
        <f>IFERROR(IF(SUMIFS(tblDaily[Deaths],tblDaily[EntryDate],DATE(2026,8,5),tblDaily[WardCode],"BG")=0,"",SUMIFS(tblDaily[Deaths],tblDaily[EntryDate],DATE(2026,8,5),tblDaily[WardCode],"BG")),"")</f>
        <v/>
      </c>
      <c r="E284" s="12">
        <f>IFERROR(IF(SUMIFS(tblDaily[DeathsUnder24Hrs],tblDaily[EntryDate],DATE(2026,8,5),tblDaily[WardCode],"BG")=0,"",SUMIFS(tblDaily[DeathsUnder24Hrs],tblDaily[EntryDate],DATE(2026,8,5),tblDaily[WardCode],"BG")),"")</f>
        <v/>
      </c>
      <c r="F284" s="12">
        <f>IFERROR(IF(SUMIFS(tblDaily[TransfersIn],tblDaily[EntryDate],DATE(2026,8,5),tblDaily[WardCode],"BG")=0,"",SUMIFS(tblDaily[TransfersIn],tblDaily[EntryDate],DATE(2026,8,5),tblDaily[WardCode],"BG")),"")</f>
        <v/>
      </c>
      <c r="G284" s="12">
        <f>IFERROR(IF(SUMIFS(tblDaily[TransfersOut],tblDaily[EntryDate],DATE(2026,8,5),tblDaily[WardCode],"BG")=0,"",SUMIFS(tblDaily[TransfersOut],tblDaily[EntryDate],DATE(2026,8,5),tblDaily[WardCode],"BG")),"")</f>
        <v/>
      </c>
      <c r="H284" s="12">
        <f>IFERROR(IF(SUMIFS(tblDaily[Remaining],tblDaily[EntryDate],DATE(2026,8,5),tblDaily[WardCode],"BG")=0,"",SUMIFS(tblDaily[Remaining],tblDaily[EntryDate],DATE(2026,8,5),tblDaily[WardCode],"BG")),"")</f>
        <v/>
      </c>
    </row>
    <row r="285">
      <c r="A285" s="12" t="n">
        <v>6</v>
      </c>
      <c r="B285" s="12">
        <f>IFERROR(IF(SUMIFS(tblDaily[Admissions],tblDaily[EntryDate],DATE(2026,8,6),tblDaily[WardCode],"BG")=0,"",SUMIFS(tblDaily[Admissions],tblDaily[EntryDate],DATE(2026,8,6),tblDaily[WardCode],"BG")),"")</f>
        <v/>
      </c>
      <c r="C285" s="12">
        <f>IFERROR(IF(SUMIFS(tblDaily[Discharges],tblDaily[EntryDate],DATE(2026,8,6),tblDaily[WardCode],"BG")=0,"",SUMIFS(tblDaily[Discharges],tblDaily[EntryDate],DATE(2026,8,6),tblDaily[WardCode],"BG")),"")</f>
        <v/>
      </c>
      <c r="D285" s="12">
        <f>IFERROR(IF(SUMIFS(tblDaily[Deaths],tblDaily[EntryDate],DATE(2026,8,6),tblDaily[WardCode],"BG")=0,"",SUMIFS(tblDaily[Deaths],tblDaily[EntryDate],DATE(2026,8,6),tblDaily[WardCode],"BG")),"")</f>
        <v/>
      </c>
      <c r="E285" s="12">
        <f>IFERROR(IF(SUMIFS(tblDaily[DeathsUnder24Hrs],tblDaily[EntryDate],DATE(2026,8,6),tblDaily[WardCode],"BG")=0,"",SUMIFS(tblDaily[DeathsUnder24Hrs],tblDaily[EntryDate],DATE(2026,8,6),tblDaily[WardCode],"BG")),"")</f>
        <v/>
      </c>
      <c r="F285" s="12">
        <f>IFERROR(IF(SUMIFS(tblDaily[TransfersIn],tblDaily[EntryDate],DATE(2026,8,6),tblDaily[WardCode],"BG")=0,"",SUMIFS(tblDaily[TransfersIn],tblDaily[EntryDate],DATE(2026,8,6),tblDaily[WardCode],"BG")),"")</f>
        <v/>
      </c>
      <c r="G285" s="12">
        <f>IFERROR(IF(SUMIFS(tblDaily[TransfersOut],tblDaily[EntryDate],DATE(2026,8,6),tblDaily[WardCode],"BG")=0,"",SUMIFS(tblDaily[TransfersOut],tblDaily[EntryDate],DATE(2026,8,6),tblDaily[WardCode],"BG")),"")</f>
        <v/>
      </c>
      <c r="H285" s="12">
        <f>IFERROR(IF(SUMIFS(tblDaily[Remaining],tblDaily[EntryDate],DATE(2026,8,6),tblDaily[WardCode],"BG")=0,"",SUMIFS(tblDaily[Remaining],tblDaily[EntryDate],DATE(2026,8,6),tblDaily[WardCode],"BG")),"")</f>
        <v/>
      </c>
    </row>
    <row r="286">
      <c r="A286" s="12" t="n">
        <v>7</v>
      </c>
      <c r="B286" s="12">
        <f>IFERROR(IF(SUMIFS(tblDaily[Admissions],tblDaily[EntryDate],DATE(2026,8,7),tblDaily[WardCode],"BG")=0,"",SUMIFS(tblDaily[Admissions],tblDaily[EntryDate],DATE(2026,8,7),tblDaily[WardCode],"BG")),"")</f>
        <v/>
      </c>
      <c r="C286" s="12">
        <f>IFERROR(IF(SUMIFS(tblDaily[Discharges],tblDaily[EntryDate],DATE(2026,8,7),tblDaily[WardCode],"BG")=0,"",SUMIFS(tblDaily[Discharges],tblDaily[EntryDate],DATE(2026,8,7),tblDaily[WardCode],"BG")),"")</f>
        <v/>
      </c>
      <c r="D286" s="12">
        <f>IFERROR(IF(SUMIFS(tblDaily[Deaths],tblDaily[EntryDate],DATE(2026,8,7),tblDaily[WardCode],"BG")=0,"",SUMIFS(tblDaily[Deaths],tblDaily[EntryDate],DATE(2026,8,7),tblDaily[WardCode],"BG")),"")</f>
        <v/>
      </c>
      <c r="E286" s="12">
        <f>IFERROR(IF(SUMIFS(tblDaily[DeathsUnder24Hrs],tblDaily[EntryDate],DATE(2026,8,7),tblDaily[WardCode],"BG")=0,"",SUMIFS(tblDaily[DeathsUnder24Hrs],tblDaily[EntryDate],DATE(2026,8,7),tblDaily[WardCode],"BG")),"")</f>
        <v/>
      </c>
      <c r="F286" s="12">
        <f>IFERROR(IF(SUMIFS(tblDaily[TransfersIn],tblDaily[EntryDate],DATE(2026,8,7),tblDaily[WardCode],"BG")=0,"",SUMIFS(tblDaily[TransfersIn],tblDaily[EntryDate],DATE(2026,8,7),tblDaily[WardCode],"BG")),"")</f>
        <v/>
      </c>
      <c r="G286" s="12">
        <f>IFERROR(IF(SUMIFS(tblDaily[TransfersOut],tblDaily[EntryDate],DATE(2026,8,7),tblDaily[WardCode],"BG")=0,"",SUMIFS(tblDaily[TransfersOut],tblDaily[EntryDate],DATE(2026,8,7),tblDaily[WardCode],"BG")),"")</f>
        <v/>
      </c>
      <c r="H286" s="12">
        <f>IFERROR(IF(SUMIFS(tblDaily[Remaining],tblDaily[EntryDate],DATE(2026,8,7),tblDaily[WardCode],"BG")=0,"",SUMIFS(tblDaily[Remaining],tblDaily[EntryDate],DATE(2026,8,7),tblDaily[WardCode],"BG")),"")</f>
        <v/>
      </c>
    </row>
    <row r="287">
      <c r="A287" s="12" t="n">
        <v>8</v>
      </c>
      <c r="B287" s="12">
        <f>IFERROR(IF(SUMIFS(tblDaily[Admissions],tblDaily[EntryDate],DATE(2026,8,8),tblDaily[WardCode],"BG")=0,"",SUMIFS(tblDaily[Admissions],tblDaily[EntryDate],DATE(2026,8,8),tblDaily[WardCode],"BG")),"")</f>
        <v/>
      </c>
      <c r="C287" s="12">
        <f>IFERROR(IF(SUMIFS(tblDaily[Discharges],tblDaily[EntryDate],DATE(2026,8,8),tblDaily[WardCode],"BG")=0,"",SUMIFS(tblDaily[Discharges],tblDaily[EntryDate],DATE(2026,8,8),tblDaily[WardCode],"BG")),"")</f>
        <v/>
      </c>
      <c r="D287" s="12">
        <f>IFERROR(IF(SUMIFS(tblDaily[Deaths],tblDaily[EntryDate],DATE(2026,8,8),tblDaily[WardCode],"BG")=0,"",SUMIFS(tblDaily[Deaths],tblDaily[EntryDate],DATE(2026,8,8),tblDaily[WardCode],"BG")),"")</f>
        <v/>
      </c>
      <c r="E287" s="12">
        <f>IFERROR(IF(SUMIFS(tblDaily[DeathsUnder24Hrs],tblDaily[EntryDate],DATE(2026,8,8),tblDaily[WardCode],"BG")=0,"",SUMIFS(tblDaily[DeathsUnder24Hrs],tblDaily[EntryDate],DATE(2026,8,8),tblDaily[WardCode],"BG")),"")</f>
        <v/>
      </c>
      <c r="F287" s="12">
        <f>IFERROR(IF(SUMIFS(tblDaily[TransfersIn],tblDaily[EntryDate],DATE(2026,8,8),tblDaily[WardCode],"BG")=0,"",SUMIFS(tblDaily[TransfersIn],tblDaily[EntryDate],DATE(2026,8,8),tblDaily[WardCode],"BG")),"")</f>
        <v/>
      </c>
      <c r="G287" s="12">
        <f>IFERROR(IF(SUMIFS(tblDaily[TransfersOut],tblDaily[EntryDate],DATE(2026,8,8),tblDaily[WardCode],"BG")=0,"",SUMIFS(tblDaily[TransfersOut],tblDaily[EntryDate],DATE(2026,8,8),tblDaily[WardCode],"BG")),"")</f>
        <v/>
      </c>
      <c r="H287" s="12">
        <f>IFERROR(IF(SUMIFS(tblDaily[Remaining],tblDaily[EntryDate],DATE(2026,8,8),tblDaily[WardCode],"BG")=0,"",SUMIFS(tblDaily[Remaining],tblDaily[EntryDate],DATE(2026,8,8),tblDaily[WardCode],"BG")),"")</f>
        <v/>
      </c>
    </row>
    <row r="288">
      <c r="A288" s="12" t="n">
        <v>9</v>
      </c>
      <c r="B288" s="12">
        <f>IFERROR(IF(SUMIFS(tblDaily[Admissions],tblDaily[EntryDate],DATE(2026,8,9),tblDaily[WardCode],"BG")=0,"",SUMIFS(tblDaily[Admissions],tblDaily[EntryDate],DATE(2026,8,9),tblDaily[WardCode],"BG")),"")</f>
        <v/>
      </c>
      <c r="C288" s="12">
        <f>IFERROR(IF(SUMIFS(tblDaily[Discharges],tblDaily[EntryDate],DATE(2026,8,9),tblDaily[WardCode],"BG")=0,"",SUMIFS(tblDaily[Discharges],tblDaily[EntryDate],DATE(2026,8,9),tblDaily[WardCode],"BG")),"")</f>
        <v/>
      </c>
      <c r="D288" s="12">
        <f>IFERROR(IF(SUMIFS(tblDaily[Deaths],tblDaily[EntryDate],DATE(2026,8,9),tblDaily[WardCode],"BG")=0,"",SUMIFS(tblDaily[Deaths],tblDaily[EntryDate],DATE(2026,8,9),tblDaily[WardCode],"BG")),"")</f>
        <v/>
      </c>
      <c r="E288" s="12">
        <f>IFERROR(IF(SUMIFS(tblDaily[DeathsUnder24Hrs],tblDaily[EntryDate],DATE(2026,8,9),tblDaily[WardCode],"BG")=0,"",SUMIFS(tblDaily[DeathsUnder24Hrs],tblDaily[EntryDate],DATE(2026,8,9),tblDaily[WardCode],"BG")),"")</f>
        <v/>
      </c>
      <c r="F288" s="12">
        <f>IFERROR(IF(SUMIFS(tblDaily[TransfersIn],tblDaily[EntryDate],DATE(2026,8,9),tblDaily[WardCode],"BG")=0,"",SUMIFS(tblDaily[TransfersIn],tblDaily[EntryDate],DATE(2026,8,9),tblDaily[WardCode],"BG")),"")</f>
        <v/>
      </c>
      <c r="G288" s="12">
        <f>IFERROR(IF(SUMIFS(tblDaily[TransfersOut],tblDaily[EntryDate],DATE(2026,8,9),tblDaily[WardCode],"BG")=0,"",SUMIFS(tblDaily[TransfersOut],tblDaily[EntryDate],DATE(2026,8,9),tblDaily[WardCode],"BG")),"")</f>
        <v/>
      </c>
      <c r="H288" s="12">
        <f>IFERROR(IF(SUMIFS(tblDaily[Remaining],tblDaily[EntryDate],DATE(2026,8,9),tblDaily[WardCode],"BG")=0,"",SUMIFS(tblDaily[Remaining],tblDaily[EntryDate],DATE(2026,8,9),tblDaily[WardCode],"BG")),"")</f>
        <v/>
      </c>
    </row>
    <row r="289">
      <c r="A289" s="12" t="n">
        <v>10</v>
      </c>
      <c r="B289" s="12">
        <f>IFERROR(IF(SUMIFS(tblDaily[Admissions],tblDaily[EntryDate],DATE(2026,8,10),tblDaily[WardCode],"BG")=0,"",SUMIFS(tblDaily[Admissions],tblDaily[EntryDate],DATE(2026,8,10),tblDaily[WardCode],"BG")),"")</f>
        <v/>
      </c>
      <c r="C289" s="12">
        <f>IFERROR(IF(SUMIFS(tblDaily[Discharges],tblDaily[EntryDate],DATE(2026,8,10),tblDaily[WardCode],"BG")=0,"",SUMIFS(tblDaily[Discharges],tblDaily[EntryDate],DATE(2026,8,10),tblDaily[WardCode],"BG")),"")</f>
        <v/>
      </c>
      <c r="D289" s="12">
        <f>IFERROR(IF(SUMIFS(tblDaily[Deaths],tblDaily[EntryDate],DATE(2026,8,10),tblDaily[WardCode],"BG")=0,"",SUMIFS(tblDaily[Deaths],tblDaily[EntryDate],DATE(2026,8,10),tblDaily[WardCode],"BG")),"")</f>
        <v/>
      </c>
      <c r="E289" s="12">
        <f>IFERROR(IF(SUMIFS(tblDaily[DeathsUnder24Hrs],tblDaily[EntryDate],DATE(2026,8,10),tblDaily[WardCode],"BG")=0,"",SUMIFS(tblDaily[DeathsUnder24Hrs],tblDaily[EntryDate],DATE(2026,8,10),tblDaily[WardCode],"BG")),"")</f>
        <v/>
      </c>
      <c r="F289" s="12">
        <f>IFERROR(IF(SUMIFS(tblDaily[TransfersIn],tblDaily[EntryDate],DATE(2026,8,10),tblDaily[WardCode],"BG")=0,"",SUMIFS(tblDaily[TransfersIn],tblDaily[EntryDate],DATE(2026,8,10),tblDaily[WardCode],"BG")),"")</f>
        <v/>
      </c>
      <c r="G289" s="12">
        <f>IFERROR(IF(SUMIFS(tblDaily[TransfersOut],tblDaily[EntryDate],DATE(2026,8,10),tblDaily[WardCode],"BG")=0,"",SUMIFS(tblDaily[TransfersOut],tblDaily[EntryDate],DATE(2026,8,10),tblDaily[WardCode],"BG")),"")</f>
        <v/>
      </c>
      <c r="H289" s="12">
        <f>IFERROR(IF(SUMIFS(tblDaily[Remaining],tblDaily[EntryDate],DATE(2026,8,10),tblDaily[WardCode],"BG")=0,"",SUMIFS(tblDaily[Remaining],tblDaily[EntryDate],DATE(2026,8,10),tblDaily[WardCode],"BG")),"")</f>
        <v/>
      </c>
    </row>
    <row r="290">
      <c r="A290" s="12" t="n">
        <v>11</v>
      </c>
      <c r="B290" s="12">
        <f>IFERROR(IF(SUMIFS(tblDaily[Admissions],tblDaily[EntryDate],DATE(2026,8,11),tblDaily[WardCode],"BG")=0,"",SUMIFS(tblDaily[Admissions],tblDaily[EntryDate],DATE(2026,8,11),tblDaily[WardCode],"BG")),"")</f>
        <v/>
      </c>
      <c r="C290" s="12">
        <f>IFERROR(IF(SUMIFS(tblDaily[Discharges],tblDaily[EntryDate],DATE(2026,8,11),tblDaily[WardCode],"BG")=0,"",SUMIFS(tblDaily[Discharges],tblDaily[EntryDate],DATE(2026,8,11),tblDaily[WardCode],"BG")),"")</f>
        <v/>
      </c>
      <c r="D290" s="12">
        <f>IFERROR(IF(SUMIFS(tblDaily[Deaths],tblDaily[EntryDate],DATE(2026,8,11),tblDaily[WardCode],"BG")=0,"",SUMIFS(tblDaily[Deaths],tblDaily[EntryDate],DATE(2026,8,11),tblDaily[WardCode],"BG")),"")</f>
        <v/>
      </c>
      <c r="E290" s="12">
        <f>IFERROR(IF(SUMIFS(tblDaily[DeathsUnder24Hrs],tblDaily[EntryDate],DATE(2026,8,11),tblDaily[WardCode],"BG")=0,"",SUMIFS(tblDaily[DeathsUnder24Hrs],tblDaily[EntryDate],DATE(2026,8,11),tblDaily[WardCode],"BG")),"")</f>
        <v/>
      </c>
      <c r="F290" s="12">
        <f>IFERROR(IF(SUMIFS(tblDaily[TransfersIn],tblDaily[EntryDate],DATE(2026,8,11),tblDaily[WardCode],"BG")=0,"",SUMIFS(tblDaily[TransfersIn],tblDaily[EntryDate],DATE(2026,8,11),tblDaily[WardCode],"BG")),"")</f>
        <v/>
      </c>
      <c r="G290" s="12">
        <f>IFERROR(IF(SUMIFS(tblDaily[TransfersOut],tblDaily[EntryDate],DATE(2026,8,11),tblDaily[WardCode],"BG")=0,"",SUMIFS(tblDaily[TransfersOut],tblDaily[EntryDate],DATE(2026,8,11),tblDaily[WardCode],"BG")),"")</f>
        <v/>
      </c>
      <c r="H290" s="12">
        <f>IFERROR(IF(SUMIFS(tblDaily[Remaining],tblDaily[EntryDate],DATE(2026,8,11),tblDaily[WardCode],"BG")=0,"",SUMIFS(tblDaily[Remaining],tblDaily[EntryDate],DATE(2026,8,11),tblDaily[WardCode],"BG")),"")</f>
        <v/>
      </c>
    </row>
    <row r="291">
      <c r="A291" s="12" t="n">
        <v>12</v>
      </c>
      <c r="B291" s="12">
        <f>IFERROR(IF(SUMIFS(tblDaily[Admissions],tblDaily[EntryDate],DATE(2026,8,12),tblDaily[WardCode],"BG")=0,"",SUMIFS(tblDaily[Admissions],tblDaily[EntryDate],DATE(2026,8,12),tblDaily[WardCode],"BG")),"")</f>
        <v/>
      </c>
      <c r="C291" s="12">
        <f>IFERROR(IF(SUMIFS(tblDaily[Discharges],tblDaily[EntryDate],DATE(2026,8,12),tblDaily[WardCode],"BG")=0,"",SUMIFS(tblDaily[Discharges],tblDaily[EntryDate],DATE(2026,8,12),tblDaily[WardCode],"BG")),"")</f>
        <v/>
      </c>
      <c r="D291" s="12">
        <f>IFERROR(IF(SUMIFS(tblDaily[Deaths],tblDaily[EntryDate],DATE(2026,8,12),tblDaily[WardCode],"BG")=0,"",SUMIFS(tblDaily[Deaths],tblDaily[EntryDate],DATE(2026,8,12),tblDaily[WardCode],"BG")),"")</f>
        <v/>
      </c>
      <c r="E291" s="12">
        <f>IFERROR(IF(SUMIFS(tblDaily[DeathsUnder24Hrs],tblDaily[EntryDate],DATE(2026,8,12),tblDaily[WardCode],"BG")=0,"",SUMIFS(tblDaily[DeathsUnder24Hrs],tblDaily[EntryDate],DATE(2026,8,12),tblDaily[WardCode],"BG")),"")</f>
        <v/>
      </c>
      <c r="F291" s="12">
        <f>IFERROR(IF(SUMIFS(tblDaily[TransfersIn],tblDaily[EntryDate],DATE(2026,8,12),tblDaily[WardCode],"BG")=0,"",SUMIFS(tblDaily[TransfersIn],tblDaily[EntryDate],DATE(2026,8,12),tblDaily[WardCode],"BG")),"")</f>
        <v/>
      </c>
      <c r="G291" s="12">
        <f>IFERROR(IF(SUMIFS(tblDaily[TransfersOut],tblDaily[EntryDate],DATE(2026,8,12),tblDaily[WardCode],"BG")=0,"",SUMIFS(tblDaily[TransfersOut],tblDaily[EntryDate],DATE(2026,8,12),tblDaily[WardCode],"BG")),"")</f>
        <v/>
      </c>
      <c r="H291" s="12">
        <f>IFERROR(IF(SUMIFS(tblDaily[Remaining],tblDaily[EntryDate],DATE(2026,8,12),tblDaily[WardCode],"BG")=0,"",SUMIFS(tblDaily[Remaining],tblDaily[EntryDate],DATE(2026,8,12),tblDaily[WardCode],"BG")),"")</f>
        <v/>
      </c>
    </row>
    <row r="292">
      <c r="A292" s="12" t="n">
        <v>13</v>
      </c>
      <c r="B292" s="12">
        <f>IFERROR(IF(SUMIFS(tblDaily[Admissions],tblDaily[EntryDate],DATE(2026,8,13),tblDaily[WardCode],"BG")=0,"",SUMIFS(tblDaily[Admissions],tblDaily[EntryDate],DATE(2026,8,13),tblDaily[WardCode],"BG")),"")</f>
        <v/>
      </c>
      <c r="C292" s="12">
        <f>IFERROR(IF(SUMIFS(tblDaily[Discharges],tblDaily[EntryDate],DATE(2026,8,13),tblDaily[WardCode],"BG")=0,"",SUMIFS(tblDaily[Discharges],tblDaily[EntryDate],DATE(2026,8,13),tblDaily[WardCode],"BG")),"")</f>
        <v/>
      </c>
      <c r="D292" s="12">
        <f>IFERROR(IF(SUMIFS(tblDaily[Deaths],tblDaily[EntryDate],DATE(2026,8,13),tblDaily[WardCode],"BG")=0,"",SUMIFS(tblDaily[Deaths],tblDaily[EntryDate],DATE(2026,8,13),tblDaily[WardCode],"BG")),"")</f>
        <v/>
      </c>
      <c r="E292" s="12">
        <f>IFERROR(IF(SUMIFS(tblDaily[DeathsUnder24Hrs],tblDaily[EntryDate],DATE(2026,8,13),tblDaily[WardCode],"BG")=0,"",SUMIFS(tblDaily[DeathsUnder24Hrs],tblDaily[EntryDate],DATE(2026,8,13),tblDaily[WardCode],"BG")),"")</f>
        <v/>
      </c>
      <c r="F292" s="12">
        <f>IFERROR(IF(SUMIFS(tblDaily[TransfersIn],tblDaily[EntryDate],DATE(2026,8,13),tblDaily[WardCode],"BG")=0,"",SUMIFS(tblDaily[TransfersIn],tblDaily[EntryDate],DATE(2026,8,13),tblDaily[WardCode],"BG")),"")</f>
        <v/>
      </c>
      <c r="G292" s="12">
        <f>IFERROR(IF(SUMIFS(tblDaily[TransfersOut],tblDaily[EntryDate],DATE(2026,8,13),tblDaily[WardCode],"BG")=0,"",SUMIFS(tblDaily[TransfersOut],tblDaily[EntryDate],DATE(2026,8,13),tblDaily[WardCode],"BG")),"")</f>
        <v/>
      </c>
      <c r="H292" s="12">
        <f>IFERROR(IF(SUMIFS(tblDaily[Remaining],tblDaily[EntryDate],DATE(2026,8,13),tblDaily[WardCode],"BG")=0,"",SUMIFS(tblDaily[Remaining],tblDaily[EntryDate],DATE(2026,8,13),tblDaily[WardCode],"BG")),"")</f>
        <v/>
      </c>
    </row>
    <row r="293">
      <c r="A293" s="12" t="n">
        <v>14</v>
      </c>
      <c r="B293" s="12">
        <f>IFERROR(IF(SUMIFS(tblDaily[Admissions],tblDaily[EntryDate],DATE(2026,8,14),tblDaily[WardCode],"BG")=0,"",SUMIFS(tblDaily[Admissions],tblDaily[EntryDate],DATE(2026,8,14),tblDaily[WardCode],"BG")),"")</f>
        <v/>
      </c>
      <c r="C293" s="12">
        <f>IFERROR(IF(SUMIFS(tblDaily[Discharges],tblDaily[EntryDate],DATE(2026,8,14),tblDaily[WardCode],"BG")=0,"",SUMIFS(tblDaily[Discharges],tblDaily[EntryDate],DATE(2026,8,14),tblDaily[WardCode],"BG")),"")</f>
        <v/>
      </c>
      <c r="D293" s="12">
        <f>IFERROR(IF(SUMIFS(tblDaily[Deaths],tblDaily[EntryDate],DATE(2026,8,14),tblDaily[WardCode],"BG")=0,"",SUMIFS(tblDaily[Deaths],tblDaily[EntryDate],DATE(2026,8,14),tblDaily[WardCode],"BG")),"")</f>
        <v/>
      </c>
      <c r="E293" s="12">
        <f>IFERROR(IF(SUMIFS(tblDaily[DeathsUnder24Hrs],tblDaily[EntryDate],DATE(2026,8,14),tblDaily[WardCode],"BG")=0,"",SUMIFS(tblDaily[DeathsUnder24Hrs],tblDaily[EntryDate],DATE(2026,8,14),tblDaily[WardCode],"BG")),"")</f>
        <v/>
      </c>
      <c r="F293" s="12">
        <f>IFERROR(IF(SUMIFS(tblDaily[TransfersIn],tblDaily[EntryDate],DATE(2026,8,14),tblDaily[WardCode],"BG")=0,"",SUMIFS(tblDaily[TransfersIn],tblDaily[EntryDate],DATE(2026,8,14),tblDaily[WardCode],"BG")),"")</f>
        <v/>
      </c>
      <c r="G293" s="12">
        <f>IFERROR(IF(SUMIFS(tblDaily[TransfersOut],tblDaily[EntryDate],DATE(2026,8,14),tblDaily[WardCode],"BG")=0,"",SUMIFS(tblDaily[TransfersOut],tblDaily[EntryDate],DATE(2026,8,14),tblDaily[WardCode],"BG")),"")</f>
        <v/>
      </c>
      <c r="H293" s="12">
        <f>IFERROR(IF(SUMIFS(tblDaily[Remaining],tblDaily[EntryDate],DATE(2026,8,14),tblDaily[WardCode],"BG")=0,"",SUMIFS(tblDaily[Remaining],tblDaily[EntryDate],DATE(2026,8,14),tblDaily[WardCode],"BG")),"")</f>
        <v/>
      </c>
    </row>
    <row r="294">
      <c r="A294" s="12" t="n">
        <v>15</v>
      </c>
      <c r="B294" s="12">
        <f>IFERROR(IF(SUMIFS(tblDaily[Admissions],tblDaily[EntryDate],DATE(2026,8,15),tblDaily[WardCode],"BG")=0,"",SUMIFS(tblDaily[Admissions],tblDaily[EntryDate],DATE(2026,8,15),tblDaily[WardCode],"BG")),"")</f>
        <v/>
      </c>
      <c r="C294" s="12">
        <f>IFERROR(IF(SUMIFS(tblDaily[Discharges],tblDaily[EntryDate],DATE(2026,8,15),tblDaily[WardCode],"BG")=0,"",SUMIFS(tblDaily[Discharges],tblDaily[EntryDate],DATE(2026,8,15),tblDaily[WardCode],"BG")),"")</f>
        <v/>
      </c>
      <c r="D294" s="12">
        <f>IFERROR(IF(SUMIFS(tblDaily[Deaths],tblDaily[EntryDate],DATE(2026,8,15),tblDaily[WardCode],"BG")=0,"",SUMIFS(tblDaily[Deaths],tblDaily[EntryDate],DATE(2026,8,15),tblDaily[WardCode],"BG")),"")</f>
        <v/>
      </c>
      <c r="E294" s="12">
        <f>IFERROR(IF(SUMIFS(tblDaily[DeathsUnder24Hrs],tblDaily[EntryDate],DATE(2026,8,15),tblDaily[WardCode],"BG")=0,"",SUMIFS(tblDaily[DeathsUnder24Hrs],tblDaily[EntryDate],DATE(2026,8,15),tblDaily[WardCode],"BG")),"")</f>
        <v/>
      </c>
      <c r="F294" s="12">
        <f>IFERROR(IF(SUMIFS(tblDaily[TransfersIn],tblDaily[EntryDate],DATE(2026,8,15),tblDaily[WardCode],"BG")=0,"",SUMIFS(tblDaily[TransfersIn],tblDaily[EntryDate],DATE(2026,8,15),tblDaily[WardCode],"BG")),"")</f>
        <v/>
      </c>
      <c r="G294" s="12">
        <f>IFERROR(IF(SUMIFS(tblDaily[TransfersOut],tblDaily[EntryDate],DATE(2026,8,15),tblDaily[WardCode],"BG")=0,"",SUMIFS(tblDaily[TransfersOut],tblDaily[EntryDate],DATE(2026,8,15),tblDaily[WardCode],"BG")),"")</f>
        <v/>
      </c>
      <c r="H294" s="12">
        <f>IFERROR(IF(SUMIFS(tblDaily[Remaining],tblDaily[EntryDate],DATE(2026,8,15),tblDaily[WardCode],"BG")=0,"",SUMIFS(tblDaily[Remaining],tblDaily[EntryDate],DATE(2026,8,15),tblDaily[WardCode],"BG")),"")</f>
        <v/>
      </c>
    </row>
    <row r="295">
      <c r="A295" s="12" t="n">
        <v>16</v>
      </c>
      <c r="B295" s="12">
        <f>IFERROR(IF(SUMIFS(tblDaily[Admissions],tblDaily[EntryDate],DATE(2026,8,16),tblDaily[WardCode],"BG")=0,"",SUMIFS(tblDaily[Admissions],tblDaily[EntryDate],DATE(2026,8,16),tblDaily[WardCode],"BG")),"")</f>
        <v/>
      </c>
      <c r="C295" s="12">
        <f>IFERROR(IF(SUMIFS(tblDaily[Discharges],tblDaily[EntryDate],DATE(2026,8,16),tblDaily[WardCode],"BG")=0,"",SUMIFS(tblDaily[Discharges],tblDaily[EntryDate],DATE(2026,8,16),tblDaily[WardCode],"BG")),"")</f>
        <v/>
      </c>
      <c r="D295" s="12">
        <f>IFERROR(IF(SUMIFS(tblDaily[Deaths],tblDaily[EntryDate],DATE(2026,8,16),tblDaily[WardCode],"BG")=0,"",SUMIFS(tblDaily[Deaths],tblDaily[EntryDate],DATE(2026,8,16),tblDaily[WardCode],"BG")),"")</f>
        <v/>
      </c>
      <c r="E295" s="12">
        <f>IFERROR(IF(SUMIFS(tblDaily[DeathsUnder24Hrs],tblDaily[EntryDate],DATE(2026,8,16),tblDaily[WardCode],"BG")=0,"",SUMIFS(tblDaily[DeathsUnder24Hrs],tblDaily[EntryDate],DATE(2026,8,16),tblDaily[WardCode],"BG")),"")</f>
        <v/>
      </c>
      <c r="F295" s="12">
        <f>IFERROR(IF(SUMIFS(tblDaily[TransfersIn],tblDaily[EntryDate],DATE(2026,8,16),tblDaily[WardCode],"BG")=0,"",SUMIFS(tblDaily[TransfersIn],tblDaily[EntryDate],DATE(2026,8,16),tblDaily[WardCode],"BG")),"")</f>
        <v/>
      </c>
      <c r="G295" s="12">
        <f>IFERROR(IF(SUMIFS(tblDaily[TransfersOut],tblDaily[EntryDate],DATE(2026,8,16),tblDaily[WardCode],"BG")=0,"",SUMIFS(tblDaily[TransfersOut],tblDaily[EntryDate],DATE(2026,8,16),tblDaily[WardCode],"BG")),"")</f>
        <v/>
      </c>
      <c r="H295" s="12">
        <f>IFERROR(IF(SUMIFS(tblDaily[Remaining],tblDaily[EntryDate],DATE(2026,8,16),tblDaily[WardCode],"BG")=0,"",SUMIFS(tblDaily[Remaining],tblDaily[EntryDate],DATE(2026,8,16),tblDaily[WardCode],"BG")),"")</f>
        <v/>
      </c>
    </row>
    <row r="296">
      <c r="A296" s="12" t="n">
        <v>17</v>
      </c>
      <c r="B296" s="12">
        <f>IFERROR(IF(SUMIFS(tblDaily[Admissions],tblDaily[EntryDate],DATE(2026,8,17),tblDaily[WardCode],"BG")=0,"",SUMIFS(tblDaily[Admissions],tblDaily[EntryDate],DATE(2026,8,17),tblDaily[WardCode],"BG")),"")</f>
        <v/>
      </c>
      <c r="C296" s="12">
        <f>IFERROR(IF(SUMIFS(tblDaily[Discharges],tblDaily[EntryDate],DATE(2026,8,17),tblDaily[WardCode],"BG")=0,"",SUMIFS(tblDaily[Discharges],tblDaily[EntryDate],DATE(2026,8,17),tblDaily[WardCode],"BG")),"")</f>
        <v/>
      </c>
      <c r="D296" s="12">
        <f>IFERROR(IF(SUMIFS(tblDaily[Deaths],tblDaily[EntryDate],DATE(2026,8,17),tblDaily[WardCode],"BG")=0,"",SUMIFS(tblDaily[Deaths],tblDaily[EntryDate],DATE(2026,8,17),tblDaily[WardCode],"BG")),"")</f>
        <v/>
      </c>
      <c r="E296" s="12">
        <f>IFERROR(IF(SUMIFS(tblDaily[DeathsUnder24Hrs],tblDaily[EntryDate],DATE(2026,8,17),tblDaily[WardCode],"BG")=0,"",SUMIFS(tblDaily[DeathsUnder24Hrs],tblDaily[EntryDate],DATE(2026,8,17),tblDaily[WardCode],"BG")),"")</f>
        <v/>
      </c>
      <c r="F296" s="12">
        <f>IFERROR(IF(SUMIFS(tblDaily[TransfersIn],tblDaily[EntryDate],DATE(2026,8,17),tblDaily[WardCode],"BG")=0,"",SUMIFS(tblDaily[TransfersIn],tblDaily[EntryDate],DATE(2026,8,17),tblDaily[WardCode],"BG")),"")</f>
        <v/>
      </c>
      <c r="G296" s="12">
        <f>IFERROR(IF(SUMIFS(tblDaily[TransfersOut],tblDaily[EntryDate],DATE(2026,8,17),tblDaily[WardCode],"BG")=0,"",SUMIFS(tblDaily[TransfersOut],tblDaily[EntryDate],DATE(2026,8,17),tblDaily[WardCode],"BG")),"")</f>
        <v/>
      </c>
      <c r="H296" s="12">
        <f>IFERROR(IF(SUMIFS(tblDaily[Remaining],tblDaily[EntryDate],DATE(2026,8,17),tblDaily[WardCode],"BG")=0,"",SUMIFS(tblDaily[Remaining],tblDaily[EntryDate],DATE(2026,8,17),tblDaily[WardCode],"BG")),"")</f>
        <v/>
      </c>
    </row>
    <row r="297">
      <c r="A297" s="12" t="n">
        <v>18</v>
      </c>
      <c r="B297" s="12">
        <f>IFERROR(IF(SUMIFS(tblDaily[Admissions],tblDaily[EntryDate],DATE(2026,8,18),tblDaily[WardCode],"BG")=0,"",SUMIFS(tblDaily[Admissions],tblDaily[EntryDate],DATE(2026,8,18),tblDaily[WardCode],"BG")),"")</f>
        <v/>
      </c>
      <c r="C297" s="12">
        <f>IFERROR(IF(SUMIFS(tblDaily[Discharges],tblDaily[EntryDate],DATE(2026,8,18),tblDaily[WardCode],"BG")=0,"",SUMIFS(tblDaily[Discharges],tblDaily[EntryDate],DATE(2026,8,18),tblDaily[WardCode],"BG")),"")</f>
        <v/>
      </c>
      <c r="D297" s="12">
        <f>IFERROR(IF(SUMIFS(tblDaily[Deaths],tblDaily[EntryDate],DATE(2026,8,18),tblDaily[WardCode],"BG")=0,"",SUMIFS(tblDaily[Deaths],tblDaily[EntryDate],DATE(2026,8,18),tblDaily[WardCode],"BG")),"")</f>
        <v/>
      </c>
      <c r="E297" s="12">
        <f>IFERROR(IF(SUMIFS(tblDaily[DeathsUnder24Hrs],tblDaily[EntryDate],DATE(2026,8,18),tblDaily[WardCode],"BG")=0,"",SUMIFS(tblDaily[DeathsUnder24Hrs],tblDaily[EntryDate],DATE(2026,8,18),tblDaily[WardCode],"BG")),"")</f>
        <v/>
      </c>
      <c r="F297" s="12">
        <f>IFERROR(IF(SUMIFS(tblDaily[TransfersIn],tblDaily[EntryDate],DATE(2026,8,18),tblDaily[WardCode],"BG")=0,"",SUMIFS(tblDaily[TransfersIn],tblDaily[EntryDate],DATE(2026,8,18),tblDaily[WardCode],"BG")),"")</f>
        <v/>
      </c>
      <c r="G297" s="12">
        <f>IFERROR(IF(SUMIFS(tblDaily[TransfersOut],tblDaily[EntryDate],DATE(2026,8,18),tblDaily[WardCode],"BG")=0,"",SUMIFS(tblDaily[TransfersOut],tblDaily[EntryDate],DATE(2026,8,18),tblDaily[WardCode],"BG")),"")</f>
        <v/>
      </c>
      <c r="H297" s="12">
        <f>IFERROR(IF(SUMIFS(tblDaily[Remaining],tblDaily[EntryDate],DATE(2026,8,18),tblDaily[WardCode],"BG")=0,"",SUMIFS(tblDaily[Remaining],tblDaily[EntryDate],DATE(2026,8,18),tblDaily[WardCode],"BG")),"")</f>
        <v/>
      </c>
    </row>
    <row r="298">
      <c r="A298" s="12" t="n">
        <v>19</v>
      </c>
      <c r="B298" s="12">
        <f>IFERROR(IF(SUMIFS(tblDaily[Admissions],tblDaily[EntryDate],DATE(2026,8,19),tblDaily[WardCode],"BG")=0,"",SUMIFS(tblDaily[Admissions],tblDaily[EntryDate],DATE(2026,8,19),tblDaily[WardCode],"BG")),"")</f>
        <v/>
      </c>
      <c r="C298" s="12">
        <f>IFERROR(IF(SUMIFS(tblDaily[Discharges],tblDaily[EntryDate],DATE(2026,8,19),tblDaily[WardCode],"BG")=0,"",SUMIFS(tblDaily[Discharges],tblDaily[EntryDate],DATE(2026,8,19),tblDaily[WardCode],"BG")),"")</f>
        <v/>
      </c>
      <c r="D298" s="12">
        <f>IFERROR(IF(SUMIFS(tblDaily[Deaths],tblDaily[EntryDate],DATE(2026,8,19),tblDaily[WardCode],"BG")=0,"",SUMIFS(tblDaily[Deaths],tblDaily[EntryDate],DATE(2026,8,19),tblDaily[WardCode],"BG")),"")</f>
        <v/>
      </c>
      <c r="E298" s="12">
        <f>IFERROR(IF(SUMIFS(tblDaily[DeathsUnder24Hrs],tblDaily[EntryDate],DATE(2026,8,19),tblDaily[WardCode],"BG")=0,"",SUMIFS(tblDaily[DeathsUnder24Hrs],tblDaily[EntryDate],DATE(2026,8,19),tblDaily[WardCode],"BG")),"")</f>
        <v/>
      </c>
      <c r="F298" s="12">
        <f>IFERROR(IF(SUMIFS(tblDaily[TransfersIn],tblDaily[EntryDate],DATE(2026,8,19),tblDaily[WardCode],"BG")=0,"",SUMIFS(tblDaily[TransfersIn],tblDaily[EntryDate],DATE(2026,8,19),tblDaily[WardCode],"BG")),"")</f>
        <v/>
      </c>
      <c r="G298" s="12">
        <f>IFERROR(IF(SUMIFS(tblDaily[TransfersOut],tblDaily[EntryDate],DATE(2026,8,19),tblDaily[WardCode],"BG")=0,"",SUMIFS(tblDaily[TransfersOut],tblDaily[EntryDate],DATE(2026,8,19),tblDaily[WardCode],"BG")),"")</f>
        <v/>
      </c>
      <c r="H298" s="12">
        <f>IFERROR(IF(SUMIFS(tblDaily[Remaining],tblDaily[EntryDate],DATE(2026,8,19),tblDaily[WardCode],"BG")=0,"",SUMIFS(tblDaily[Remaining],tblDaily[EntryDate],DATE(2026,8,19),tblDaily[WardCode],"BG")),"")</f>
        <v/>
      </c>
    </row>
    <row r="299">
      <c r="A299" s="12" t="n">
        <v>20</v>
      </c>
      <c r="B299" s="12">
        <f>IFERROR(IF(SUMIFS(tblDaily[Admissions],tblDaily[EntryDate],DATE(2026,8,20),tblDaily[WardCode],"BG")=0,"",SUMIFS(tblDaily[Admissions],tblDaily[EntryDate],DATE(2026,8,20),tblDaily[WardCode],"BG")),"")</f>
        <v/>
      </c>
      <c r="C299" s="12">
        <f>IFERROR(IF(SUMIFS(tblDaily[Discharges],tblDaily[EntryDate],DATE(2026,8,20),tblDaily[WardCode],"BG")=0,"",SUMIFS(tblDaily[Discharges],tblDaily[EntryDate],DATE(2026,8,20),tblDaily[WardCode],"BG")),"")</f>
        <v/>
      </c>
      <c r="D299" s="12">
        <f>IFERROR(IF(SUMIFS(tblDaily[Deaths],tblDaily[EntryDate],DATE(2026,8,20),tblDaily[WardCode],"BG")=0,"",SUMIFS(tblDaily[Deaths],tblDaily[EntryDate],DATE(2026,8,20),tblDaily[WardCode],"BG")),"")</f>
        <v/>
      </c>
      <c r="E299" s="12">
        <f>IFERROR(IF(SUMIFS(tblDaily[DeathsUnder24Hrs],tblDaily[EntryDate],DATE(2026,8,20),tblDaily[WardCode],"BG")=0,"",SUMIFS(tblDaily[DeathsUnder24Hrs],tblDaily[EntryDate],DATE(2026,8,20),tblDaily[WardCode],"BG")),"")</f>
        <v/>
      </c>
      <c r="F299" s="12">
        <f>IFERROR(IF(SUMIFS(tblDaily[TransfersIn],tblDaily[EntryDate],DATE(2026,8,20),tblDaily[WardCode],"BG")=0,"",SUMIFS(tblDaily[TransfersIn],tblDaily[EntryDate],DATE(2026,8,20),tblDaily[WardCode],"BG")),"")</f>
        <v/>
      </c>
      <c r="G299" s="12">
        <f>IFERROR(IF(SUMIFS(tblDaily[TransfersOut],tblDaily[EntryDate],DATE(2026,8,20),tblDaily[WardCode],"BG")=0,"",SUMIFS(tblDaily[TransfersOut],tblDaily[EntryDate],DATE(2026,8,20),tblDaily[WardCode],"BG")),"")</f>
        <v/>
      </c>
      <c r="H299" s="12">
        <f>IFERROR(IF(SUMIFS(tblDaily[Remaining],tblDaily[EntryDate],DATE(2026,8,20),tblDaily[WardCode],"BG")=0,"",SUMIFS(tblDaily[Remaining],tblDaily[EntryDate],DATE(2026,8,20),tblDaily[WardCode],"BG")),"")</f>
        <v/>
      </c>
    </row>
    <row r="300">
      <c r="A300" s="12" t="n">
        <v>21</v>
      </c>
      <c r="B300" s="12">
        <f>IFERROR(IF(SUMIFS(tblDaily[Admissions],tblDaily[EntryDate],DATE(2026,8,21),tblDaily[WardCode],"BG")=0,"",SUMIFS(tblDaily[Admissions],tblDaily[EntryDate],DATE(2026,8,21),tblDaily[WardCode],"BG")),"")</f>
        <v/>
      </c>
      <c r="C300" s="12">
        <f>IFERROR(IF(SUMIFS(tblDaily[Discharges],tblDaily[EntryDate],DATE(2026,8,21),tblDaily[WardCode],"BG")=0,"",SUMIFS(tblDaily[Discharges],tblDaily[EntryDate],DATE(2026,8,21),tblDaily[WardCode],"BG")),"")</f>
        <v/>
      </c>
      <c r="D300" s="12">
        <f>IFERROR(IF(SUMIFS(tblDaily[Deaths],tblDaily[EntryDate],DATE(2026,8,21),tblDaily[WardCode],"BG")=0,"",SUMIFS(tblDaily[Deaths],tblDaily[EntryDate],DATE(2026,8,21),tblDaily[WardCode],"BG")),"")</f>
        <v/>
      </c>
      <c r="E300" s="12">
        <f>IFERROR(IF(SUMIFS(tblDaily[DeathsUnder24Hrs],tblDaily[EntryDate],DATE(2026,8,21),tblDaily[WardCode],"BG")=0,"",SUMIFS(tblDaily[DeathsUnder24Hrs],tblDaily[EntryDate],DATE(2026,8,21),tblDaily[WardCode],"BG")),"")</f>
        <v/>
      </c>
      <c r="F300" s="12">
        <f>IFERROR(IF(SUMIFS(tblDaily[TransfersIn],tblDaily[EntryDate],DATE(2026,8,21),tblDaily[WardCode],"BG")=0,"",SUMIFS(tblDaily[TransfersIn],tblDaily[EntryDate],DATE(2026,8,21),tblDaily[WardCode],"BG")),"")</f>
        <v/>
      </c>
      <c r="G300" s="12">
        <f>IFERROR(IF(SUMIFS(tblDaily[TransfersOut],tblDaily[EntryDate],DATE(2026,8,21),tblDaily[WardCode],"BG")=0,"",SUMIFS(tblDaily[TransfersOut],tblDaily[EntryDate],DATE(2026,8,21),tblDaily[WardCode],"BG")),"")</f>
        <v/>
      </c>
      <c r="H300" s="12">
        <f>IFERROR(IF(SUMIFS(tblDaily[Remaining],tblDaily[EntryDate],DATE(2026,8,21),tblDaily[WardCode],"BG")=0,"",SUMIFS(tblDaily[Remaining],tblDaily[EntryDate],DATE(2026,8,21),tblDaily[WardCode],"BG")),"")</f>
        <v/>
      </c>
    </row>
    <row r="301">
      <c r="A301" s="12" t="n">
        <v>22</v>
      </c>
      <c r="B301" s="12">
        <f>IFERROR(IF(SUMIFS(tblDaily[Admissions],tblDaily[EntryDate],DATE(2026,8,22),tblDaily[WardCode],"BG")=0,"",SUMIFS(tblDaily[Admissions],tblDaily[EntryDate],DATE(2026,8,22),tblDaily[WardCode],"BG")),"")</f>
        <v/>
      </c>
      <c r="C301" s="12">
        <f>IFERROR(IF(SUMIFS(tblDaily[Discharges],tblDaily[EntryDate],DATE(2026,8,22),tblDaily[WardCode],"BG")=0,"",SUMIFS(tblDaily[Discharges],tblDaily[EntryDate],DATE(2026,8,22),tblDaily[WardCode],"BG")),"")</f>
        <v/>
      </c>
      <c r="D301" s="12">
        <f>IFERROR(IF(SUMIFS(tblDaily[Deaths],tblDaily[EntryDate],DATE(2026,8,22),tblDaily[WardCode],"BG")=0,"",SUMIFS(tblDaily[Deaths],tblDaily[EntryDate],DATE(2026,8,22),tblDaily[WardCode],"BG")),"")</f>
        <v/>
      </c>
      <c r="E301" s="12">
        <f>IFERROR(IF(SUMIFS(tblDaily[DeathsUnder24Hrs],tblDaily[EntryDate],DATE(2026,8,22),tblDaily[WardCode],"BG")=0,"",SUMIFS(tblDaily[DeathsUnder24Hrs],tblDaily[EntryDate],DATE(2026,8,22),tblDaily[WardCode],"BG")),"")</f>
        <v/>
      </c>
      <c r="F301" s="12">
        <f>IFERROR(IF(SUMIFS(tblDaily[TransfersIn],tblDaily[EntryDate],DATE(2026,8,22),tblDaily[WardCode],"BG")=0,"",SUMIFS(tblDaily[TransfersIn],tblDaily[EntryDate],DATE(2026,8,22),tblDaily[WardCode],"BG")),"")</f>
        <v/>
      </c>
      <c r="G301" s="12">
        <f>IFERROR(IF(SUMIFS(tblDaily[TransfersOut],tblDaily[EntryDate],DATE(2026,8,22),tblDaily[WardCode],"BG")=0,"",SUMIFS(tblDaily[TransfersOut],tblDaily[EntryDate],DATE(2026,8,22),tblDaily[WardCode],"BG")),"")</f>
        <v/>
      </c>
      <c r="H301" s="12">
        <f>IFERROR(IF(SUMIFS(tblDaily[Remaining],tblDaily[EntryDate],DATE(2026,8,22),tblDaily[WardCode],"BG")=0,"",SUMIFS(tblDaily[Remaining],tblDaily[EntryDate],DATE(2026,8,22),tblDaily[WardCode],"BG")),"")</f>
        <v/>
      </c>
    </row>
    <row r="302">
      <c r="A302" s="12" t="n">
        <v>23</v>
      </c>
      <c r="B302" s="12">
        <f>IFERROR(IF(SUMIFS(tblDaily[Admissions],tblDaily[EntryDate],DATE(2026,8,23),tblDaily[WardCode],"BG")=0,"",SUMIFS(tblDaily[Admissions],tblDaily[EntryDate],DATE(2026,8,23),tblDaily[WardCode],"BG")),"")</f>
        <v/>
      </c>
      <c r="C302" s="12">
        <f>IFERROR(IF(SUMIFS(tblDaily[Discharges],tblDaily[EntryDate],DATE(2026,8,23),tblDaily[WardCode],"BG")=0,"",SUMIFS(tblDaily[Discharges],tblDaily[EntryDate],DATE(2026,8,23),tblDaily[WardCode],"BG")),"")</f>
        <v/>
      </c>
      <c r="D302" s="12">
        <f>IFERROR(IF(SUMIFS(tblDaily[Deaths],tblDaily[EntryDate],DATE(2026,8,23),tblDaily[WardCode],"BG")=0,"",SUMIFS(tblDaily[Deaths],tblDaily[EntryDate],DATE(2026,8,23),tblDaily[WardCode],"BG")),"")</f>
        <v/>
      </c>
      <c r="E302" s="12">
        <f>IFERROR(IF(SUMIFS(tblDaily[DeathsUnder24Hrs],tblDaily[EntryDate],DATE(2026,8,23),tblDaily[WardCode],"BG")=0,"",SUMIFS(tblDaily[DeathsUnder24Hrs],tblDaily[EntryDate],DATE(2026,8,23),tblDaily[WardCode],"BG")),"")</f>
        <v/>
      </c>
      <c r="F302" s="12">
        <f>IFERROR(IF(SUMIFS(tblDaily[TransfersIn],tblDaily[EntryDate],DATE(2026,8,23),tblDaily[WardCode],"BG")=0,"",SUMIFS(tblDaily[TransfersIn],tblDaily[EntryDate],DATE(2026,8,23),tblDaily[WardCode],"BG")),"")</f>
        <v/>
      </c>
      <c r="G302" s="12">
        <f>IFERROR(IF(SUMIFS(tblDaily[TransfersOut],tblDaily[EntryDate],DATE(2026,8,23),tblDaily[WardCode],"BG")=0,"",SUMIFS(tblDaily[TransfersOut],tblDaily[EntryDate],DATE(2026,8,23),tblDaily[WardCode],"BG")),"")</f>
        <v/>
      </c>
      <c r="H302" s="12">
        <f>IFERROR(IF(SUMIFS(tblDaily[Remaining],tblDaily[EntryDate],DATE(2026,8,23),tblDaily[WardCode],"BG")=0,"",SUMIFS(tblDaily[Remaining],tblDaily[EntryDate],DATE(2026,8,23),tblDaily[WardCode],"BG")),"")</f>
        <v/>
      </c>
    </row>
    <row r="303">
      <c r="A303" s="12" t="n">
        <v>24</v>
      </c>
      <c r="B303" s="12">
        <f>IFERROR(IF(SUMIFS(tblDaily[Admissions],tblDaily[EntryDate],DATE(2026,8,24),tblDaily[WardCode],"BG")=0,"",SUMIFS(tblDaily[Admissions],tblDaily[EntryDate],DATE(2026,8,24),tblDaily[WardCode],"BG")),"")</f>
        <v/>
      </c>
      <c r="C303" s="12">
        <f>IFERROR(IF(SUMIFS(tblDaily[Discharges],tblDaily[EntryDate],DATE(2026,8,24),tblDaily[WardCode],"BG")=0,"",SUMIFS(tblDaily[Discharges],tblDaily[EntryDate],DATE(2026,8,24),tblDaily[WardCode],"BG")),"")</f>
        <v/>
      </c>
      <c r="D303" s="12">
        <f>IFERROR(IF(SUMIFS(tblDaily[Deaths],tblDaily[EntryDate],DATE(2026,8,24),tblDaily[WardCode],"BG")=0,"",SUMIFS(tblDaily[Deaths],tblDaily[EntryDate],DATE(2026,8,24),tblDaily[WardCode],"BG")),"")</f>
        <v/>
      </c>
      <c r="E303" s="12">
        <f>IFERROR(IF(SUMIFS(tblDaily[DeathsUnder24Hrs],tblDaily[EntryDate],DATE(2026,8,24),tblDaily[WardCode],"BG")=0,"",SUMIFS(tblDaily[DeathsUnder24Hrs],tblDaily[EntryDate],DATE(2026,8,24),tblDaily[WardCode],"BG")),"")</f>
        <v/>
      </c>
      <c r="F303" s="12">
        <f>IFERROR(IF(SUMIFS(tblDaily[TransfersIn],tblDaily[EntryDate],DATE(2026,8,24),tblDaily[WardCode],"BG")=0,"",SUMIFS(tblDaily[TransfersIn],tblDaily[EntryDate],DATE(2026,8,24),tblDaily[WardCode],"BG")),"")</f>
        <v/>
      </c>
      <c r="G303" s="12">
        <f>IFERROR(IF(SUMIFS(tblDaily[TransfersOut],tblDaily[EntryDate],DATE(2026,8,24),tblDaily[WardCode],"BG")=0,"",SUMIFS(tblDaily[TransfersOut],tblDaily[EntryDate],DATE(2026,8,24),tblDaily[WardCode],"BG")),"")</f>
        <v/>
      </c>
      <c r="H303" s="12">
        <f>IFERROR(IF(SUMIFS(tblDaily[Remaining],tblDaily[EntryDate],DATE(2026,8,24),tblDaily[WardCode],"BG")=0,"",SUMIFS(tblDaily[Remaining],tblDaily[EntryDate],DATE(2026,8,24),tblDaily[WardCode],"BG")),"")</f>
        <v/>
      </c>
    </row>
    <row r="304">
      <c r="A304" s="12" t="n">
        <v>25</v>
      </c>
      <c r="B304" s="12">
        <f>IFERROR(IF(SUMIFS(tblDaily[Admissions],tblDaily[EntryDate],DATE(2026,8,25),tblDaily[WardCode],"BG")=0,"",SUMIFS(tblDaily[Admissions],tblDaily[EntryDate],DATE(2026,8,25),tblDaily[WardCode],"BG")),"")</f>
        <v/>
      </c>
      <c r="C304" s="12">
        <f>IFERROR(IF(SUMIFS(tblDaily[Discharges],tblDaily[EntryDate],DATE(2026,8,25),tblDaily[WardCode],"BG")=0,"",SUMIFS(tblDaily[Discharges],tblDaily[EntryDate],DATE(2026,8,25),tblDaily[WardCode],"BG")),"")</f>
        <v/>
      </c>
      <c r="D304" s="12">
        <f>IFERROR(IF(SUMIFS(tblDaily[Deaths],tblDaily[EntryDate],DATE(2026,8,25),tblDaily[WardCode],"BG")=0,"",SUMIFS(tblDaily[Deaths],tblDaily[EntryDate],DATE(2026,8,25),tblDaily[WardCode],"BG")),"")</f>
        <v/>
      </c>
      <c r="E304" s="12">
        <f>IFERROR(IF(SUMIFS(tblDaily[DeathsUnder24Hrs],tblDaily[EntryDate],DATE(2026,8,25),tblDaily[WardCode],"BG")=0,"",SUMIFS(tblDaily[DeathsUnder24Hrs],tblDaily[EntryDate],DATE(2026,8,25),tblDaily[WardCode],"BG")),"")</f>
        <v/>
      </c>
      <c r="F304" s="12">
        <f>IFERROR(IF(SUMIFS(tblDaily[TransfersIn],tblDaily[EntryDate],DATE(2026,8,25),tblDaily[WardCode],"BG")=0,"",SUMIFS(tblDaily[TransfersIn],tblDaily[EntryDate],DATE(2026,8,25),tblDaily[WardCode],"BG")),"")</f>
        <v/>
      </c>
      <c r="G304" s="12">
        <f>IFERROR(IF(SUMIFS(tblDaily[TransfersOut],tblDaily[EntryDate],DATE(2026,8,25),tblDaily[WardCode],"BG")=0,"",SUMIFS(tblDaily[TransfersOut],tblDaily[EntryDate],DATE(2026,8,25),tblDaily[WardCode],"BG")),"")</f>
        <v/>
      </c>
      <c r="H304" s="12">
        <f>IFERROR(IF(SUMIFS(tblDaily[Remaining],tblDaily[EntryDate],DATE(2026,8,25),tblDaily[WardCode],"BG")=0,"",SUMIFS(tblDaily[Remaining],tblDaily[EntryDate],DATE(2026,8,25),tblDaily[WardCode],"BG")),"")</f>
        <v/>
      </c>
    </row>
    <row r="305">
      <c r="A305" s="12" t="n">
        <v>26</v>
      </c>
      <c r="B305" s="12">
        <f>IFERROR(IF(SUMIFS(tblDaily[Admissions],tblDaily[EntryDate],DATE(2026,8,26),tblDaily[WardCode],"BG")=0,"",SUMIFS(tblDaily[Admissions],tblDaily[EntryDate],DATE(2026,8,26),tblDaily[WardCode],"BG")),"")</f>
        <v/>
      </c>
      <c r="C305" s="12">
        <f>IFERROR(IF(SUMIFS(tblDaily[Discharges],tblDaily[EntryDate],DATE(2026,8,26),tblDaily[WardCode],"BG")=0,"",SUMIFS(tblDaily[Discharges],tblDaily[EntryDate],DATE(2026,8,26),tblDaily[WardCode],"BG")),"")</f>
        <v/>
      </c>
      <c r="D305" s="12">
        <f>IFERROR(IF(SUMIFS(tblDaily[Deaths],tblDaily[EntryDate],DATE(2026,8,26),tblDaily[WardCode],"BG")=0,"",SUMIFS(tblDaily[Deaths],tblDaily[EntryDate],DATE(2026,8,26),tblDaily[WardCode],"BG")),"")</f>
        <v/>
      </c>
      <c r="E305" s="12">
        <f>IFERROR(IF(SUMIFS(tblDaily[DeathsUnder24Hrs],tblDaily[EntryDate],DATE(2026,8,26),tblDaily[WardCode],"BG")=0,"",SUMIFS(tblDaily[DeathsUnder24Hrs],tblDaily[EntryDate],DATE(2026,8,26),tblDaily[WardCode],"BG")),"")</f>
        <v/>
      </c>
      <c r="F305" s="12">
        <f>IFERROR(IF(SUMIFS(tblDaily[TransfersIn],tblDaily[EntryDate],DATE(2026,8,26),tblDaily[WardCode],"BG")=0,"",SUMIFS(tblDaily[TransfersIn],tblDaily[EntryDate],DATE(2026,8,26),tblDaily[WardCode],"BG")),"")</f>
        <v/>
      </c>
      <c r="G305" s="12">
        <f>IFERROR(IF(SUMIFS(tblDaily[TransfersOut],tblDaily[EntryDate],DATE(2026,8,26),tblDaily[WardCode],"BG")=0,"",SUMIFS(tblDaily[TransfersOut],tblDaily[EntryDate],DATE(2026,8,26),tblDaily[WardCode],"BG")),"")</f>
        <v/>
      </c>
      <c r="H305" s="12">
        <f>IFERROR(IF(SUMIFS(tblDaily[Remaining],tblDaily[EntryDate],DATE(2026,8,26),tblDaily[WardCode],"BG")=0,"",SUMIFS(tblDaily[Remaining],tblDaily[EntryDate],DATE(2026,8,26),tblDaily[WardCode],"BG")),"")</f>
        <v/>
      </c>
    </row>
    <row r="306">
      <c r="A306" s="12" t="n">
        <v>27</v>
      </c>
      <c r="B306" s="12">
        <f>IFERROR(IF(SUMIFS(tblDaily[Admissions],tblDaily[EntryDate],DATE(2026,8,27),tblDaily[WardCode],"BG")=0,"",SUMIFS(tblDaily[Admissions],tblDaily[EntryDate],DATE(2026,8,27),tblDaily[WardCode],"BG")),"")</f>
        <v/>
      </c>
      <c r="C306" s="12">
        <f>IFERROR(IF(SUMIFS(tblDaily[Discharges],tblDaily[EntryDate],DATE(2026,8,27),tblDaily[WardCode],"BG")=0,"",SUMIFS(tblDaily[Discharges],tblDaily[EntryDate],DATE(2026,8,27),tblDaily[WardCode],"BG")),"")</f>
        <v/>
      </c>
      <c r="D306" s="12">
        <f>IFERROR(IF(SUMIFS(tblDaily[Deaths],tblDaily[EntryDate],DATE(2026,8,27),tblDaily[WardCode],"BG")=0,"",SUMIFS(tblDaily[Deaths],tblDaily[EntryDate],DATE(2026,8,27),tblDaily[WardCode],"BG")),"")</f>
        <v/>
      </c>
      <c r="E306" s="12">
        <f>IFERROR(IF(SUMIFS(tblDaily[DeathsUnder24Hrs],tblDaily[EntryDate],DATE(2026,8,27),tblDaily[WardCode],"BG")=0,"",SUMIFS(tblDaily[DeathsUnder24Hrs],tblDaily[EntryDate],DATE(2026,8,27),tblDaily[WardCode],"BG")),"")</f>
        <v/>
      </c>
      <c r="F306" s="12">
        <f>IFERROR(IF(SUMIFS(tblDaily[TransfersIn],tblDaily[EntryDate],DATE(2026,8,27),tblDaily[WardCode],"BG")=0,"",SUMIFS(tblDaily[TransfersIn],tblDaily[EntryDate],DATE(2026,8,27),tblDaily[WardCode],"BG")),"")</f>
        <v/>
      </c>
      <c r="G306" s="12">
        <f>IFERROR(IF(SUMIFS(tblDaily[TransfersOut],tblDaily[EntryDate],DATE(2026,8,27),tblDaily[WardCode],"BG")=0,"",SUMIFS(tblDaily[TransfersOut],tblDaily[EntryDate],DATE(2026,8,27),tblDaily[WardCode],"BG")),"")</f>
        <v/>
      </c>
      <c r="H306" s="12">
        <f>IFERROR(IF(SUMIFS(tblDaily[Remaining],tblDaily[EntryDate],DATE(2026,8,27),tblDaily[WardCode],"BG")=0,"",SUMIFS(tblDaily[Remaining],tblDaily[EntryDate],DATE(2026,8,27),tblDaily[WardCode],"BG")),"")</f>
        <v/>
      </c>
    </row>
    <row r="307">
      <c r="A307" s="12" t="n">
        <v>28</v>
      </c>
      <c r="B307" s="12">
        <f>IFERROR(IF(SUMIFS(tblDaily[Admissions],tblDaily[EntryDate],DATE(2026,8,28),tblDaily[WardCode],"BG")=0,"",SUMIFS(tblDaily[Admissions],tblDaily[EntryDate],DATE(2026,8,28),tblDaily[WardCode],"BG")),"")</f>
        <v/>
      </c>
      <c r="C307" s="12">
        <f>IFERROR(IF(SUMIFS(tblDaily[Discharges],tblDaily[EntryDate],DATE(2026,8,28),tblDaily[WardCode],"BG")=0,"",SUMIFS(tblDaily[Discharges],tblDaily[EntryDate],DATE(2026,8,28),tblDaily[WardCode],"BG")),"")</f>
        <v/>
      </c>
      <c r="D307" s="12">
        <f>IFERROR(IF(SUMIFS(tblDaily[Deaths],tblDaily[EntryDate],DATE(2026,8,28),tblDaily[WardCode],"BG")=0,"",SUMIFS(tblDaily[Deaths],tblDaily[EntryDate],DATE(2026,8,28),tblDaily[WardCode],"BG")),"")</f>
        <v/>
      </c>
      <c r="E307" s="12">
        <f>IFERROR(IF(SUMIFS(tblDaily[DeathsUnder24Hrs],tblDaily[EntryDate],DATE(2026,8,28),tblDaily[WardCode],"BG")=0,"",SUMIFS(tblDaily[DeathsUnder24Hrs],tblDaily[EntryDate],DATE(2026,8,28),tblDaily[WardCode],"BG")),"")</f>
        <v/>
      </c>
      <c r="F307" s="12">
        <f>IFERROR(IF(SUMIFS(tblDaily[TransfersIn],tblDaily[EntryDate],DATE(2026,8,28),tblDaily[WardCode],"BG")=0,"",SUMIFS(tblDaily[TransfersIn],tblDaily[EntryDate],DATE(2026,8,28),tblDaily[WardCode],"BG")),"")</f>
        <v/>
      </c>
      <c r="G307" s="12">
        <f>IFERROR(IF(SUMIFS(tblDaily[TransfersOut],tblDaily[EntryDate],DATE(2026,8,28),tblDaily[WardCode],"BG")=0,"",SUMIFS(tblDaily[TransfersOut],tblDaily[EntryDate],DATE(2026,8,28),tblDaily[WardCode],"BG")),"")</f>
        <v/>
      </c>
      <c r="H307" s="12">
        <f>IFERROR(IF(SUMIFS(tblDaily[Remaining],tblDaily[EntryDate],DATE(2026,8,28),tblDaily[WardCode],"BG")=0,"",SUMIFS(tblDaily[Remaining],tblDaily[EntryDate],DATE(2026,8,28),tblDaily[WardCode],"BG")),"")</f>
        <v/>
      </c>
    </row>
    <row r="308">
      <c r="A308" s="12" t="n">
        <v>29</v>
      </c>
      <c r="B308" s="12">
        <f>IFERROR(IF(SUMIFS(tblDaily[Admissions],tblDaily[EntryDate],DATE(2026,8,29),tblDaily[WardCode],"BG")=0,"",SUMIFS(tblDaily[Admissions],tblDaily[EntryDate],DATE(2026,8,29),tblDaily[WardCode],"BG")),"")</f>
        <v/>
      </c>
      <c r="C308" s="12">
        <f>IFERROR(IF(SUMIFS(tblDaily[Discharges],tblDaily[EntryDate],DATE(2026,8,29),tblDaily[WardCode],"BG")=0,"",SUMIFS(tblDaily[Discharges],tblDaily[EntryDate],DATE(2026,8,29),tblDaily[WardCode],"BG")),"")</f>
        <v/>
      </c>
      <c r="D308" s="12">
        <f>IFERROR(IF(SUMIFS(tblDaily[Deaths],tblDaily[EntryDate],DATE(2026,8,29),tblDaily[WardCode],"BG")=0,"",SUMIFS(tblDaily[Deaths],tblDaily[EntryDate],DATE(2026,8,29),tblDaily[WardCode],"BG")),"")</f>
        <v/>
      </c>
      <c r="E308" s="12">
        <f>IFERROR(IF(SUMIFS(tblDaily[DeathsUnder24Hrs],tblDaily[EntryDate],DATE(2026,8,29),tblDaily[WardCode],"BG")=0,"",SUMIFS(tblDaily[DeathsUnder24Hrs],tblDaily[EntryDate],DATE(2026,8,29),tblDaily[WardCode],"BG")),"")</f>
        <v/>
      </c>
      <c r="F308" s="12">
        <f>IFERROR(IF(SUMIFS(tblDaily[TransfersIn],tblDaily[EntryDate],DATE(2026,8,29),tblDaily[WardCode],"BG")=0,"",SUMIFS(tblDaily[TransfersIn],tblDaily[EntryDate],DATE(2026,8,29),tblDaily[WardCode],"BG")),"")</f>
        <v/>
      </c>
      <c r="G308" s="12">
        <f>IFERROR(IF(SUMIFS(tblDaily[TransfersOut],tblDaily[EntryDate],DATE(2026,8,29),tblDaily[WardCode],"BG")=0,"",SUMIFS(tblDaily[TransfersOut],tblDaily[EntryDate],DATE(2026,8,29),tblDaily[WardCode],"BG")),"")</f>
        <v/>
      </c>
      <c r="H308" s="12">
        <f>IFERROR(IF(SUMIFS(tblDaily[Remaining],tblDaily[EntryDate],DATE(2026,8,29),tblDaily[WardCode],"BG")=0,"",SUMIFS(tblDaily[Remaining],tblDaily[EntryDate],DATE(2026,8,29),tblDaily[WardCode],"BG")),"")</f>
        <v/>
      </c>
    </row>
    <row r="309">
      <c r="A309" s="12" t="n">
        <v>30</v>
      </c>
      <c r="B309" s="12">
        <f>IFERROR(IF(SUMIFS(tblDaily[Admissions],tblDaily[EntryDate],DATE(2026,8,30),tblDaily[WardCode],"BG")=0,"",SUMIFS(tblDaily[Admissions],tblDaily[EntryDate],DATE(2026,8,30),tblDaily[WardCode],"BG")),"")</f>
        <v/>
      </c>
      <c r="C309" s="12">
        <f>IFERROR(IF(SUMIFS(tblDaily[Discharges],tblDaily[EntryDate],DATE(2026,8,30),tblDaily[WardCode],"BG")=0,"",SUMIFS(tblDaily[Discharges],tblDaily[EntryDate],DATE(2026,8,30),tblDaily[WardCode],"BG")),"")</f>
        <v/>
      </c>
      <c r="D309" s="12">
        <f>IFERROR(IF(SUMIFS(tblDaily[Deaths],tblDaily[EntryDate],DATE(2026,8,30),tblDaily[WardCode],"BG")=0,"",SUMIFS(tblDaily[Deaths],tblDaily[EntryDate],DATE(2026,8,30),tblDaily[WardCode],"BG")),"")</f>
        <v/>
      </c>
      <c r="E309" s="12">
        <f>IFERROR(IF(SUMIFS(tblDaily[DeathsUnder24Hrs],tblDaily[EntryDate],DATE(2026,8,30),tblDaily[WardCode],"BG")=0,"",SUMIFS(tblDaily[DeathsUnder24Hrs],tblDaily[EntryDate],DATE(2026,8,30),tblDaily[WardCode],"BG")),"")</f>
        <v/>
      </c>
      <c r="F309" s="12">
        <f>IFERROR(IF(SUMIFS(tblDaily[TransfersIn],tblDaily[EntryDate],DATE(2026,8,30),tblDaily[WardCode],"BG")=0,"",SUMIFS(tblDaily[TransfersIn],tblDaily[EntryDate],DATE(2026,8,30),tblDaily[WardCode],"BG")),"")</f>
        <v/>
      </c>
      <c r="G309" s="12">
        <f>IFERROR(IF(SUMIFS(tblDaily[TransfersOut],tblDaily[EntryDate],DATE(2026,8,30),tblDaily[WardCode],"BG")=0,"",SUMIFS(tblDaily[TransfersOut],tblDaily[EntryDate],DATE(2026,8,30),tblDaily[WardCode],"BG")),"")</f>
        <v/>
      </c>
      <c r="H309" s="12">
        <f>IFERROR(IF(SUMIFS(tblDaily[Remaining],tblDaily[EntryDate],DATE(2026,8,30),tblDaily[WardCode],"BG")=0,"",SUMIFS(tblDaily[Remaining],tblDaily[EntryDate],DATE(2026,8,30),tblDaily[WardCode],"BG")),"")</f>
        <v/>
      </c>
    </row>
    <row r="310">
      <c r="A310" s="12" t="n">
        <v>31</v>
      </c>
      <c r="B310" s="12">
        <f>IFERROR(IF(SUMIFS(tblDaily[Admissions],tblDaily[EntryDate],DATE(2026,8,31),tblDaily[WardCode],"BG")=0,"",SUMIFS(tblDaily[Admissions],tblDaily[EntryDate],DATE(2026,8,31),tblDaily[WardCode],"BG")),"")</f>
        <v/>
      </c>
      <c r="C310" s="12">
        <f>IFERROR(IF(SUMIFS(tblDaily[Discharges],tblDaily[EntryDate],DATE(2026,8,31),tblDaily[WardCode],"BG")=0,"",SUMIFS(tblDaily[Discharges],tblDaily[EntryDate],DATE(2026,8,31),tblDaily[WardCode],"BG")),"")</f>
        <v/>
      </c>
      <c r="D310" s="12">
        <f>IFERROR(IF(SUMIFS(tblDaily[Deaths],tblDaily[EntryDate],DATE(2026,8,31),tblDaily[WardCode],"BG")=0,"",SUMIFS(tblDaily[Deaths],tblDaily[EntryDate],DATE(2026,8,31),tblDaily[WardCode],"BG")),"")</f>
        <v/>
      </c>
      <c r="E310" s="12">
        <f>IFERROR(IF(SUMIFS(tblDaily[DeathsUnder24Hrs],tblDaily[EntryDate],DATE(2026,8,31),tblDaily[WardCode],"BG")=0,"",SUMIFS(tblDaily[DeathsUnder24Hrs],tblDaily[EntryDate],DATE(2026,8,31),tblDaily[WardCode],"BG")),"")</f>
        <v/>
      </c>
      <c r="F310" s="12">
        <f>IFERROR(IF(SUMIFS(tblDaily[TransfersIn],tblDaily[EntryDate],DATE(2026,8,31),tblDaily[WardCode],"BG")=0,"",SUMIFS(tblDaily[TransfersIn],tblDaily[EntryDate],DATE(2026,8,31),tblDaily[WardCode],"BG")),"")</f>
        <v/>
      </c>
      <c r="G310" s="12">
        <f>IFERROR(IF(SUMIFS(tblDaily[TransfersOut],tblDaily[EntryDate],DATE(2026,8,31),tblDaily[WardCode],"BG")=0,"",SUMIFS(tblDaily[TransfersOut],tblDaily[EntryDate],DATE(2026,8,31),tblDaily[WardCode],"BG")),"")</f>
        <v/>
      </c>
      <c r="H310" s="12">
        <f>IFERROR(IF(SUMIFS(tblDaily[Remaining],tblDaily[EntryDate],DATE(2026,8,31),tblDaily[WardCode],"BG")=0,"",SUMIFS(tblDaily[Remaining],tblDaily[EntryDate],DATE(2026,8,31),tblDaily[WardCode],"BG")),"")</f>
        <v/>
      </c>
    </row>
    <row r="311">
      <c r="A311" s="17" t="inlineStr">
        <is>
          <t>TOTAL</t>
        </is>
      </c>
      <c r="B311" s="17">
        <f>SUMIFS(tblDaily[Admissions],tblDaily[Month],8,tblDaily[WardCode],"BG") - SUMIFS(tblDaily[DeathsUnder24Hrs],tblDaily[Month],8,tblDaily[WardCode],"BG")</f>
        <v/>
      </c>
      <c r="C311" s="17">
        <f>SUMIFS(tblDaily[Discharges],tblDaily[Month],8,tblDaily[WardCode],"BG")</f>
        <v/>
      </c>
      <c r="D311" s="17">
        <f>SUMIFS(tblDaily[Deaths],tblDaily[Month],8,tblDaily[WardCode],"BG")</f>
        <v/>
      </c>
      <c r="E311" s="17">
        <f>SUMIFS(tblDaily[DeathsUnder24Hrs],tblDaily[Month],8,tblDaily[WardCode],"BG")</f>
        <v/>
      </c>
      <c r="F311" s="17">
        <f>SUMIFS(tblDaily[TransfersIn],tblDaily[Month],8,tblDaily[WardCode],"BG")</f>
        <v/>
      </c>
      <c r="G311" s="17">
        <f>SUMIFS(tblDaily[TransfersOut],tblDaily[Month],8,tblDaily[WardCode],"BG")</f>
        <v/>
      </c>
      <c r="H311" s="17">
        <f>SUMIFS(tblDaily[Remaining],tblDaily[Month],8,tblDaily[WardCode],"BG")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BLOCK G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4">
        <f>IFERROR(SUMIFS(tblDaily[Remaining],tblDaily[EntryDate],DATE(2026,8,31),tblDaily[WardCode],"BG"),0)</f>
        <v/>
      </c>
    </row>
    <row r="317">
      <c r="A317" s="4" t="inlineStr">
        <is>
          <t>Bed complement</t>
        </is>
      </c>
      <c r="H317" s="15">
        <f>IFERROR(INDEX(tblWardConfig[BedComplement],MATCH("BG",tblWardConfig[WardCode],0)),0)</f>
        <v/>
      </c>
    </row>
    <row r="318">
      <c r="A318" s="16" t="inlineStr">
        <is>
          <t>Day of
the
Month</t>
        </is>
      </c>
      <c r="B318" s="16" t="inlineStr">
        <is>
          <t>Admissions</t>
        </is>
      </c>
      <c r="C318" s="16" t="inlineStr">
        <is>
          <t>Discharges</t>
        </is>
      </c>
      <c r="D318" s="16" t="inlineStr">
        <is>
          <t>Deaths</t>
        </is>
      </c>
      <c r="E318" s="16" t="inlineStr">
        <is>
          <t>Deaths
&lt;24Hrs</t>
        </is>
      </c>
      <c r="F318" s="16" t="inlineStr">
        <is>
          <t>Transfers-
In</t>
        </is>
      </c>
      <c r="G318" s="16" t="inlineStr">
        <is>
          <t>Transfers-
Out</t>
        </is>
      </c>
      <c r="H318" s="16" t="inlineStr">
        <is>
          <t>No. of Patients
Remaining In
Ward</t>
        </is>
      </c>
    </row>
    <row r="319">
      <c r="A319" s="12" t="n">
        <v>1</v>
      </c>
      <c r="B319" s="12">
        <f>IFERROR(IF(SUMIFS(tblDaily[Admissions],tblDaily[EntryDate],DATE(2026,9,1),tblDaily[WardCode],"BG")=0,"",SUMIFS(tblDaily[Admissions],tblDaily[EntryDate],DATE(2026,9,1),tblDaily[WardCode],"BG")),"")</f>
        <v/>
      </c>
      <c r="C319" s="12">
        <f>IFERROR(IF(SUMIFS(tblDaily[Discharges],tblDaily[EntryDate],DATE(2026,9,1),tblDaily[WardCode],"BG")=0,"",SUMIFS(tblDaily[Discharges],tblDaily[EntryDate],DATE(2026,9,1),tblDaily[WardCode],"BG")),"")</f>
        <v/>
      </c>
      <c r="D319" s="12">
        <f>IFERROR(IF(SUMIFS(tblDaily[Deaths],tblDaily[EntryDate],DATE(2026,9,1),tblDaily[WardCode],"BG")=0,"",SUMIFS(tblDaily[Deaths],tblDaily[EntryDate],DATE(2026,9,1),tblDaily[WardCode],"BG")),"")</f>
        <v/>
      </c>
      <c r="E319" s="12">
        <f>IFERROR(IF(SUMIFS(tblDaily[DeathsUnder24Hrs],tblDaily[EntryDate],DATE(2026,9,1),tblDaily[WardCode],"BG")=0,"",SUMIFS(tblDaily[DeathsUnder24Hrs],tblDaily[EntryDate],DATE(2026,9,1),tblDaily[WardCode],"BG")),"")</f>
        <v/>
      </c>
      <c r="F319" s="12">
        <f>IFERROR(IF(SUMIFS(tblDaily[TransfersIn],tblDaily[EntryDate],DATE(2026,9,1),tblDaily[WardCode],"BG")=0,"",SUMIFS(tblDaily[TransfersIn],tblDaily[EntryDate],DATE(2026,9,1),tblDaily[WardCode],"BG")),"")</f>
        <v/>
      </c>
      <c r="G319" s="12">
        <f>IFERROR(IF(SUMIFS(tblDaily[TransfersOut],tblDaily[EntryDate],DATE(2026,9,1),tblDaily[WardCode],"BG")=0,"",SUMIFS(tblDaily[TransfersOut],tblDaily[EntryDate],DATE(2026,9,1),tblDaily[WardCode],"BG")),"")</f>
        <v/>
      </c>
      <c r="H319" s="12">
        <f>IFERROR(IF(SUMIFS(tblDaily[Remaining],tblDaily[EntryDate],DATE(2026,9,1),tblDaily[WardCode],"BG")=0,"",SUMIFS(tblDaily[Remaining],tblDaily[EntryDate],DATE(2026,9,1),tblDaily[WardCode],"BG")),"")</f>
        <v/>
      </c>
    </row>
    <row r="320">
      <c r="A320" s="12" t="n">
        <v>2</v>
      </c>
      <c r="B320" s="12">
        <f>IFERROR(IF(SUMIFS(tblDaily[Admissions],tblDaily[EntryDate],DATE(2026,9,2),tblDaily[WardCode],"BG")=0,"",SUMIFS(tblDaily[Admissions],tblDaily[EntryDate],DATE(2026,9,2),tblDaily[WardCode],"BG")),"")</f>
        <v/>
      </c>
      <c r="C320" s="12">
        <f>IFERROR(IF(SUMIFS(tblDaily[Discharges],tblDaily[EntryDate],DATE(2026,9,2),tblDaily[WardCode],"BG")=0,"",SUMIFS(tblDaily[Discharges],tblDaily[EntryDate],DATE(2026,9,2),tblDaily[WardCode],"BG")),"")</f>
        <v/>
      </c>
      <c r="D320" s="12">
        <f>IFERROR(IF(SUMIFS(tblDaily[Deaths],tblDaily[EntryDate],DATE(2026,9,2),tblDaily[WardCode],"BG")=0,"",SUMIFS(tblDaily[Deaths],tblDaily[EntryDate],DATE(2026,9,2),tblDaily[WardCode],"BG")),"")</f>
        <v/>
      </c>
      <c r="E320" s="12">
        <f>IFERROR(IF(SUMIFS(tblDaily[DeathsUnder24Hrs],tblDaily[EntryDate],DATE(2026,9,2),tblDaily[WardCode],"BG")=0,"",SUMIFS(tblDaily[DeathsUnder24Hrs],tblDaily[EntryDate],DATE(2026,9,2),tblDaily[WardCode],"BG")),"")</f>
        <v/>
      </c>
      <c r="F320" s="12">
        <f>IFERROR(IF(SUMIFS(tblDaily[TransfersIn],tblDaily[EntryDate],DATE(2026,9,2),tblDaily[WardCode],"BG")=0,"",SUMIFS(tblDaily[TransfersIn],tblDaily[EntryDate],DATE(2026,9,2),tblDaily[WardCode],"BG")),"")</f>
        <v/>
      </c>
      <c r="G320" s="12">
        <f>IFERROR(IF(SUMIFS(tblDaily[TransfersOut],tblDaily[EntryDate],DATE(2026,9,2),tblDaily[WardCode],"BG")=0,"",SUMIFS(tblDaily[TransfersOut],tblDaily[EntryDate],DATE(2026,9,2),tblDaily[WardCode],"BG")),"")</f>
        <v/>
      </c>
      <c r="H320" s="12">
        <f>IFERROR(IF(SUMIFS(tblDaily[Remaining],tblDaily[EntryDate],DATE(2026,9,2),tblDaily[WardCode],"BG")=0,"",SUMIFS(tblDaily[Remaining],tblDaily[EntryDate],DATE(2026,9,2),tblDaily[WardCode],"BG")),"")</f>
        <v/>
      </c>
    </row>
    <row r="321">
      <c r="A321" s="12" t="n">
        <v>3</v>
      </c>
      <c r="B321" s="12">
        <f>IFERROR(IF(SUMIFS(tblDaily[Admissions],tblDaily[EntryDate],DATE(2026,9,3),tblDaily[WardCode],"BG")=0,"",SUMIFS(tblDaily[Admissions],tblDaily[EntryDate],DATE(2026,9,3),tblDaily[WardCode],"BG")),"")</f>
        <v/>
      </c>
      <c r="C321" s="12">
        <f>IFERROR(IF(SUMIFS(tblDaily[Discharges],tblDaily[EntryDate],DATE(2026,9,3),tblDaily[WardCode],"BG")=0,"",SUMIFS(tblDaily[Discharges],tblDaily[EntryDate],DATE(2026,9,3),tblDaily[WardCode],"BG")),"")</f>
        <v/>
      </c>
      <c r="D321" s="12">
        <f>IFERROR(IF(SUMIFS(tblDaily[Deaths],tblDaily[EntryDate],DATE(2026,9,3),tblDaily[WardCode],"BG")=0,"",SUMIFS(tblDaily[Deaths],tblDaily[EntryDate],DATE(2026,9,3),tblDaily[WardCode],"BG")),"")</f>
        <v/>
      </c>
      <c r="E321" s="12">
        <f>IFERROR(IF(SUMIFS(tblDaily[DeathsUnder24Hrs],tblDaily[EntryDate],DATE(2026,9,3),tblDaily[WardCode],"BG")=0,"",SUMIFS(tblDaily[DeathsUnder24Hrs],tblDaily[EntryDate],DATE(2026,9,3),tblDaily[WardCode],"BG")),"")</f>
        <v/>
      </c>
      <c r="F321" s="12">
        <f>IFERROR(IF(SUMIFS(tblDaily[TransfersIn],tblDaily[EntryDate],DATE(2026,9,3),tblDaily[WardCode],"BG")=0,"",SUMIFS(tblDaily[TransfersIn],tblDaily[EntryDate],DATE(2026,9,3),tblDaily[WardCode],"BG")),"")</f>
        <v/>
      </c>
      <c r="G321" s="12">
        <f>IFERROR(IF(SUMIFS(tblDaily[TransfersOut],tblDaily[EntryDate],DATE(2026,9,3),tblDaily[WardCode],"BG")=0,"",SUMIFS(tblDaily[TransfersOut],tblDaily[EntryDate],DATE(2026,9,3),tblDaily[WardCode],"BG")),"")</f>
        <v/>
      </c>
      <c r="H321" s="12">
        <f>IFERROR(IF(SUMIFS(tblDaily[Remaining],tblDaily[EntryDate],DATE(2026,9,3),tblDaily[WardCode],"BG")=0,"",SUMIFS(tblDaily[Remaining],tblDaily[EntryDate],DATE(2026,9,3),tblDaily[WardCode],"BG")),"")</f>
        <v/>
      </c>
    </row>
    <row r="322">
      <c r="A322" s="12" t="n">
        <v>4</v>
      </c>
      <c r="B322" s="12">
        <f>IFERROR(IF(SUMIFS(tblDaily[Admissions],tblDaily[EntryDate],DATE(2026,9,4),tblDaily[WardCode],"BG")=0,"",SUMIFS(tblDaily[Admissions],tblDaily[EntryDate],DATE(2026,9,4),tblDaily[WardCode],"BG")),"")</f>
        <v/>
      </c>
      <c r="C322" s="12">
        <f>IFERROR(IF(SUMIFS(tblDaily[Discharges],tblDaily[EntryDate],DATE(2026,9,4),tblDaily[WardCode],"BG")=0,"",SUMIFS(tblDaily[Discharges],tblDaily[EntryDate],DATE(2026,9,4),tblDaily[WardCode],"BG")),"")</f>
        <v/>
      </c>
      <c r="D322" s="12">
        <f>IFERROR(IF(SUMIFS(tblDaily[Deaths],tblDaily[EntryDate],DATE(2026,9,4),tblDaily[WardCode],"BG")=0,"",SUMIFS(tblDaily[Deaths],tblDaily[EntryDate],DATE(2026,9,4),tblDaily[WardCode],"BG")),"")</f>
        <v/>
      </c>
      <c r="E322" s="12">
        <f>IFERROR(IF(SUMIFS(tblDaily[DeathsUnder24Hrs],tblDaily[EntryDate],DATE(2026,9,4),tblDaily[WardCode],"BG")=0,"",SUMIFS(tblDaily[DeathsUnder24Hrs],tblDaily[EntryDate],DATE(2026,9,4),tblDaily[WardCode],"BG")),"")</f>
        <v/>
      </c>
      <c r="F322" s="12">
        <f>IFERROR(IF(SUMIFS(tblDaily[TransfersIn],tblDaily[EntryDate],DATE(2026,9,4),tblDaily[WardCode],"BG")=0,"",SUMIFS(tblDaily[TransfersIn],tblDaily[EntryDate],DATE(2026,9,4),tblDaily[WardCode],"BG")),"")</f>
        <v/>
      </c>
      <c r="G322" s="12">
        <f>IFERROR(IF(SUMIFS(tblDaily[TransfersOut],tblDaily[EntryDate],DATE(2026,9,4),tblDaily[WardCode],"BG")=0,"",SUMIFS(tblDaily[TransfersOut],tblDaily[EntryDate],DATE(2026,9,4),tblDaily[WardCode],"BG")),"")</f>
        <v/>
      </c>
      <c r="H322" s="12">
        <f>IFERROR(IF(SUMIFS(tblDaily[Remaining],tblDaily[EntryDate],DATE(2026,9,4),tblDaily[WardCode],"BG")=0,"",SUMIFS(tblDaily[Remaining],tblDaily[EntryDate],DATE(2026,9,4),tblDaily[WardCode],"BG")),"")</f>
        <v/>
      </c>
    </row>
    <row r="323">
      <c r="A323" s="12" t="n">
        <v>5</v>
      </c>
      <c r="B323" s="12">
        <f>IFERROR(IF(SUMIFS(tblDaily[Admissions],tblDaily[EntryDate],DATE(2026,9,5),tblDaily[WardCode],"BG")=0,"",SUMIFS(tblDaily[Admissions],tblDaily[EntryDate],DATE(2026,9,5),tblDaily[WardCode],"BG")),"")</f>
        <v/>
      </c>
      <c r="C323" s="12">
        <f>IFERROR(IF(SUMIFS(tblDaily[Discharges],tblDaily[EntryDate],DATE(2026,9,5),tblDaily[WardCode],"BG")=0,"",SUMIFS(tblDaily[Discharges],tblDaily[EntryDate],DATE(2026,9,5),tblDaily[WardCode],"BG")),"")</f>
        <v/>
      </c>
      <c r="D323" s="12">
        <f>IFERROR(IF(SUMIFS(tblDaily[Deaths],tblDaily[EntryDate],DATE(2026,9,5),tblDaily[WardCode],"BG")=0,"",SUMIFS(tblDaily[Deaths],tblDaily[EntryDate],DATE(2026,9,5),tblDaily[WardCode],"BG")),"")</f>
        <v/>
      </c>
      <c r="E323" s="12">
        <f>IFERROR(IF(SUMIFS(tblDaily[DeathsUnder24Hrs],tblDaily[EntryDate],DATE(2026,9,5),tblDaily[WardCode],"BG")=0,"",SUMIFS(tblDaily[DeathsUnder24Hrs],tblDaily[EntryDate],DATE(2026,9,5),tblDaily[WardCode],"BG")),"")</f>
        <v/>
      </c>
      <c r="F323" s="12">
        <f>IFERROR(IF(SUMIFS(tblDaily[TransfersIn],tblDaily[EntryDate],DATE(2026,9,5),tblDaily[WardCode],"BG")=0,"",SUMIFS(tblDaily[TransfersIn],tblDaily[EntryDate],DATE(2026,9,5),tblDaily[WardCode],"BG")),"")</f>
        <v/>
      </c>
      <c r="G323" s="12">
        <f>IFERROR(IF(SUMIFS(tblDaily[TransfersOut],tblDaily[EntryDate],DATE(2026,9,5),tblDaily[WardCode],"BG")=0,"",SUMIFS(tblDaily[TransfersOut],tblDaily[EntryDate],DATE(2026,9,5),tblDaily[WardCode],"BG")),"")</f>
        <v/>
      </c>
      <c r="H323" s="12">
        <f>IFERROR(IF(SUMIFS(tblDaily[Remaining],tblDaily[EntryDate],DATE(2026,9,5),tblDaily[WardCode],"BG")=0,"",SUMIFS(tblDaily[Remaining],tblDaily[EntryDate],DATE(2026,9,5),tblDaily[WardCode],"BG")),"")</f>
        <v/>
      </c>
    </row>
    <row r="324">
      <c r="A324" s="12" t="n">
        <v>6</v>
      </c>
      <c r="B324" s="12">
        <f>IFERROR(IF(SUMIFS(tblDaily[Admissions],tblDaily[EntryDate],DATE(2026,9,6),tblDaily[WardCode],"BG")=0,"",SUMIFS(tblDaily[Admissions],tblDaily[EntryDate],DATE(2026,9,6),tblDaily[WardCode],"BG")),"")</f>
        <v/>
      </c>
      <c r="C324" s="12">
        <f>IFERROR(IF(SUMIFS(tblDaily[Discharges],tblDaily[EntryDate],DATE(2026,9,6),tblDaily[WardCode],"BG")=0,"",SUMIFS(tblDaily[Discharges],tblDaily[EntryDate],DATE(2026,9,6),tblDaily[WardCode],"BG")),"")</f>
        <v/>
      </c>
      <c r="D324" s="12">
        <f>IFERROR(IF(SUMIFS(tblDaily[Deaths],tblDaily[EntryDate],DATE(2026,9,6),tblDaily[WardCode],"BG")=0,"",SUMIFS(tblDaily[Deaths],tblDaily[EntryDate],DATE(2026,9,6),tblDaily[WardCode],"BG")),"")</f>
        <v/>
      </c>
      <c r="E324" s="12">
        <f>IFERROR(IF(SUMIFS(tblDaily[DeathsUnder24Hrs],tblDaily[EntryDate],DATE(2026,9,6),tblDaily[WardCode],"BG")=0,"",SUMIFS(tblDaily[DeathsUnder24Hrs],tblDaily[EntryDate],DATE(2026,9,6),tblDaily[WardCode],"BG")),"")</f>
        <v/>
      </c>
      <c r="F324" s="12">
        <f>IFERROR(IF(SUMIFS(tblDaily[TransfersIn],tblDaily[EntryDate],DATE(2026,9,6),tblDaily[WardCode],"BG")=0,"",SUMIFS(tblDaily[TransfersIn],tblDaily[EntryDate],DATE(2026,9,6),tblDaily[WardCode],"BG")),"")</f>
        <v/>
      </c>
      <c r="G324" s="12">
        <f>IFERROR(IF(SUMIFS(tblDaily[TransfersOut],tblDaily[EntryDate],DATE(2026,9,6),tblDaily[WardCode],"BG")=0,"",SUMIFS(tblDaily[TransfersOut],tblDaily[EntryDate],DATE(2026,9,6),tblDaily[WardCode],"BG")),"")</f>
        <v/>
      </c>
      <c r="H324" s="12">
        <f>IFERROR(IF(SUMIFS(tblDaily[Remaining],tblDaily[EntryDate],DATE(2026,9,6),tblDaily[WardCode],"BG")=0,"",SUMIFS(tblDaily[Remaining],tblDaily[EntryDate],DATE(2026,9,6),tblDaily[WardCode],"BG")),"")</f>
        <v/>
      </c>
    </row>
    <row r="325">
      <c r="A325" s="12" t="n">
        <v>7</v>
      </c>
      <c r="B325" s="12">
        <f>IFERROR(IF(SUMIFS(tblDaily[Admissions],tblDaily[EntryDate],DATE(2026,9,7),tblDaily[WardCode],"BG")=0,"",SUMIFS(tblDaily[Admissions],tblDaily[EntryDate],DATE(2026,9,7),tblDaily[WardCode],"BG")),"")</f>
        <v/>
      </c>
      <c r="C325" s="12">
        <f>IFERROR(IF(SUMIFS(tblDaily[Discharges],tblDaily[EntryDate],DATE(2026,9,7),tblDaily[WardCode],"BG")=0,"",SUMIFS(tblDaily[Discharges],tblDaily[EntryDate],DATE(2026,9,7),tblDaily[WardCode],"BG")),"")</f>
        <v/>
      </c>
      <c r="D325" s="12">
        <f>IFERROR(IF(SUMIFS(tblDaily[Deaths],tblDaily[EntryDate],DATE(2026,9,7),tblDaily[WardCode],"BG")=0,"",SUMIFS(tblDaily[Deaths],tblDaily[EntryDate],DATE(2026,9,7),tblDaily[WardCode],"BG")),"")</f>
        <v/>
      </c>
      <c r="E325" s="12">
        <f>IFERROR(IF(SUMIFS(tblDaily[DeathsUnder24Hrs],tblDaily[EntryDate],DATE(2026,9,7),tblDaily[WardCode],"BG")=0,"",SUMIFS(tblDaily[DeathsUnder24Hrs],tblDaily[EntryDate],DATE(2026,9,7),tblDaily[WardCode],"BG")),"")</f>
        <v/>
      </c>
      <c r="F325" s="12">
        <f>IFERROR(IF(SUMIFS(tblDaily[TransfersIn],tblDaily[EntryDate],DATE(2026,9,7),tblDaily[WardCode],"BG")=0,"",SUMIFS(tblDaily[TransfersIn],tblDaily[EntryDate],DATE(2026,9,7),tblDaily[WardCode],"BG")),"")</f>
        <v/>
      </c>
      <c r="G325" s="12">
        <f>IFERROR(IF(SUMIFS(tblDaily[TransfersOut],tblDaily[EntryDate],DATE(2026,9,7),tblDaily[WardCode],"BG")=0,"",SUMIFS(tblDaily[TransfersOut],tblDaily[EntryDate],DATE(2026,9,7),tblDaily[WardCode],"BG")),"")</f>
        <v/>
      </c>
      <c r="H325" s="12">
        <f>IFERROR(IF(SUMIFS(tblDaily[Remaining],tblDaily[EntryDate],DATE(2026,9,7),tblDaily[WardCode],"BG")=0,"",SUMIFS(tblDaily[Remaining],tblDaily[EntryDate],DATE(2026,9,7),tblDaily[WardCode],"BG")),"")</f>
        <v/>
      </c>
    </row>
    <row r="326">
      <c r="A326" s="12" t="n">
        <v>8</v>
      </c>
      <c r="B326" s="12">
        <f>IFERROR(IF(SUMIFS(tblDaily[Admissions],tblDaily[EntryDate],DATE(2026,9,8),tblDaily[WardCode],"BG")=0,"",SUMIFS(tblDaily[Admissions],tblDaily[EntryDate],DATE(2026,9,8),tblDaily[WardCode],"BG")),"")</f>
        <v/>
      </c>
      <c r="C326" s="12">
        <f>IFERROR(IF(SUMIFS(tblDaily[Discharges],tblDaily[EntryDate],DATE(2026,9,8),tblDaily[WardCode],"BG")=0,"",SUMIFS(tblDaily[Discharges],tblDaily[EntryDate],DATE(2026,9,8),tblDaily[WardCode],"BG")),"")</f>
        <v/>
      </c>
      <c r="D326" s="12">
        <f>IFERROR(IF(SUMIFS(tblDaily[Deaths],tblDaily[EntryDate],DATE(2026,9,8),tblDaily[WardCode],"BG")=0,"",SUMIFS(tblDaily[Deaths],tblDaily[EntryDate],DATE(2026,9,8),tblDaily[WardCode],"BG")),"")</f>
        <v/>
      </c>
      <c r="E326" s="12">
        <f>IFERROR(IF(SUMIFS(tblDaily[DeathsUnder24Hrs],tblDaily[EntryDate],DATE(2026,9,8),tblDaily[WardCode],"BG")=0,"",SUMIFS(tblDaily[DeathsUnder24Hrs],tblDaily[EntryDate],DATE(2026,9,8),tblDaily[WardCode],"BG")),"")</f>
        <v/>
      </c>
      <c r="F326" s="12">
        <f>IFERROR(IF(SUMIFS(tblDaily[TransfersIn],tblDaily[EntryDate],DATE(2026,9,8),tblDaily[WardCode],"BG")=0,"",SUMIFS(tblDaily[TransfersIn],tblDaily[EntryDate],DATE(2026,9,8),tblDaily[WardCode],"BG")),"")</f>
        <v/>
      </c>
      <c r="G326" s="12">
        <f>IFERROR(IF(SUMIFS(tblDaily[TransfersOut],tblDaily[EntryDate],DATE(2026,9,8),tblDaily[WardCode],"BG")=0,"",SUMIFS(tblDaily[TransfersOut],tblDaily[EntryDate],DATE(2026,9,8),tblDaily[WardCode],"BG")),"")</f>
        <v/>
      </c>
      <c r="H326" s="12">
        <f>IFERROR(IF(SUMIFS(tblDaily[Remaining],tblDaily[EntryDate],DATE(2026,9,8),tblDaily[WardCode],"BG")=0,"",SUMIFS(tblDaily[Remaining],tblDaily[EntryDate],DATE(2026,9,8),tblDaily[WardCode],"BG")),"")</f>
        <v/>
      </c>
    </row>
    <row r="327">
      <c r="A327" s="12" t="n">
        <v>9</v>
      </c>
      <c r="B327" s="12">
        <f>IFERROR(IF(SUMIFS(tblDaily[Admissions],tblDaily[EntryDate],DATE(2026,9,9),tblDaily[WardCode],"BG")=0,"",SUMIFS(tblDaily[Admissions],tblDaily[EntryDate],DATE(2026,9,9),tblDaily[WardCode],"BG")),"")</f>
        <v/>
      </c>
      <c r="C327" s="12">
        <f>IFERROR(IF(SUMIFS(tblDaily[Discharges],tblDaily[EntryDate],DATE(2026,9,9),tblDaily[WardCode],"BG")=0,"",SUMIFS(tblDaily[Discharges],tblDaily[EntryDate],DATE(2026,9,9),tblDaily[WardCode],"BG")),"")</f>
        <v/>
      </c>
      <c r="D327" s="12">
        <f>IFERROR(IF(SUMIFS(tblDaily[Deaths],tblDaily[EntryDate],DATE(2026,9,9),tblDaily[WardCode],"BG")=0,"",SUMIFS(tblDaily[Deaths],tblDaily[EntryDate],DATE(2026,9,9),tblDaily[WardCode],"BG")),"")</f>
        <v/>
      </c>
      <c r="E327" s="12">
        <f>IFERROR(IF(SUMIFS(tblDaily[DeathsUnder24Hrs],tblDaily[EntryDate],DATE(2026,9,9),tblDaily[WardCode],"BG")=0,"",SUMIFS(tblDaily[DeathsUnder24Hrs],tblDaily[EntryDate],DATE(2026,9,9),tblDaily[WardCode],"BG")),"")</f>
        <v/>
      </c>
      <c r="F327" s="12">
        <f>IFERROR(IF(SUMIFS(tblDaily[TransfersIn],tblDaily[EntryDate],DATE(2026,9,9),tblDaily[WardCode],"BG")=0,"",SUMIFS(tblDaily[TransfersIn],tblDaily[EntryDate],DATE(2026,9,9),tblDaily[WardCode],"BG")),"")</f>
        <v/>
      </c>
      <c r="G327" s="12">
        <f>IFERROR(IF(SUMIFS(tblDaily[TransfersOut],tblDaily[EntryDate],DATE(2026,9,9),tblDaily[WardCode],"BG")=0,"",SUMIFS(tblDaily[TransfersOut],tblDaily[EntryDate],DATE(2026,9,9),tblDaily[WardCode],"BG")),"")</f>
        <v/>
      </c>
      <c r="H327" s="12">
        <f>IFERROR(IF(SUMIFS(tblDaily[Remaining],tblDaily[EntryDate],DATE(2026,9,9),tblDaily[WardCode],"BG")=0,"",SUMIFS(tblDaily[Remaining],tblDaily[EntryDate],DATE(2026,9,9),tblDaily[WardCode],"BG")),"")</f>
        <v/>
      </c>
    </row>
    <row r="328">
      <c r="A328" s="12" t="n">
        <v>10</v>
      </c>
      <c r="B328" s="12">
        <f>IFERROR(IF(SUMIFS(tblDaily[Admissions],tblDaily[EntryDate],DATE(2026,9,10),tblDaily[WardCode],"BG")=0,"",SUMIFS(tblDaily[Admissions],tblDaily[EntryDate],DATE(2026,9,10),tblDaily[WardCode],"BG")),"")</f>
        <v/>
      </c>
      <c r="C328" s="12">
        <f>IFERROR(IF(SUMIFS(tblDaily[Discharges],tblDaily[EntryDate],DATE(2026,9,10),tblDaily[WardCode],"BG")=0,"",SUMIFS(tblDaily[Discharges],tblDaily[EntryDate],DATE(2026,9,10),tblDaily[WardCode],"BG")),"")</f>
        <v/>
      </c>
      <c r="D328" s="12">
        <f>IFERROR(IF(SUMIFS(tblDaily[Deaths],tblDaily[EntryDate],DATE(2026,9,10),tblDaily[WardCode],"BG")=0,"",SUMIFS(tblDaily[Deaths],tblDaily[EntryDate],DATE(2026,9,10),tblDaily[WardCode],"BG")),"")</f>
        <v/>
      </c>
      <c r="E328" s="12">
        <f>IFERROR(IF(SUMIFS(tblDaily[DeathsUnder24Hrs],tblDaily[EntryDate],DATE(2026,9,10),tblDaily[WardCode],"BG")=0,"",SUMIFS(tblDaily[DeathsUnder24Hrs],tblDaily[EntryDate],DATE(2026,9,10),tblDaily[WardCode],"BG")),"")</f>
        <v/>
      </c>
      <c r="F328" s="12">
        <f>IFERROR(IF(SUMIFS(tblDaily[TransfersIn],tblDaily[EntryDate],DATE(2026,9,10),tblDaily[WardCode],"BG")=0,"",SUMIFS(tblDaily[TransfersIn],tblDaily[EntryDate],DATE(2026,9,10),tblDaily[WardCode],"BG")),"")</f>
        <v/>
      </c>
      <c r="G328" s="12">
        <f>IFERROR(IF(SUMIFS(tblDaily[TransfersOut],tblDaily[EntryDate],DATE(2026,9,10),tblDaily[WardCode],"BG")=0,"",SUMIFS(tblDaily[TransfersOut],tblDaily[EntryDate],DATE(2026,9,10),tblDaily[WardCode],"BG")),"")</f>
        <v/>
      </c>
      <c r="H328" s="12">
        <f>IFERROR(IF(SUMIFS(tblDaily[Remaining],tblDaily[EntryDate],DATE(2026,9,10),tblDaily[WardCode],"BG")=0,"",SUMIFS(tblDaily[Remaining],tblDaily[EntryDate],DATE(2026,9,10),tblDaily[WardCode],"BG")),"")</f>
        <v/>
      </c>
    </row>
    <row r="329">
      <c r="A329" s="12" t="n">
        <v>11</v>
      </c>
      <c r="B329" s="12">
        <f>IFERROR(IF(SUMIFS(tblDaily[Admissions],tblDaily[EntryDate],DATE(2026,9,11),tblDaily[WardCode],"BG")=0,"",SUMIFS(tblDaily[Admissions],tblDaily[EntryDate],DATE(2026,9,11),tblDaily[WardCode],"BG")),"")</f>
        <v/>
      </c>
      <c r="C329" s="12">
        <f>IFERROR(IF(SUMIFS(tblDaily[Discharges],tblDaily[EntryDate],DATE(2026,9,11),tblDaily[WardCode],"BG")=0,"",SUMIFS(tblDaily[Discharges],tblDaily[EntryDate],DATE(2026,9,11),tblDaily[WardCode],"BG")),"")</f>
        <v/>
      </c>
      <c r="D329" s="12">
        <f>IFERROR(IF(SUMIFS(tblDaily[Deaths],tblDaily[EntryDate],DATE(2026,9,11),tblDaily[WardCode],"BG")=0,"",SUMIFS(tblDaily[Deaths],tblDaily[EntryDate],DATE(2026,9,11),tblDaily[WardCode],"BG")),"")</f>
        <v/>
      </c>
      <c r="E329" s="12">
        <f>IFERROR(IF(SUMIFS(tblDaily[DeathsUnder24Hrs],tblDaily[EntryDate],DATE(2026,9,11),tblDaily[WardCode],"BG")=0,"",SUMIFS(tblDaily[DeathsUnder24Hrs],tblDaily[EntryDate],DATE(2026,9,11),tblDaily[WardCode],"BG")),"")</f>
        <v/>
      </c>
      <c r="F329" s="12">
        <f>IFERROR(IF(SUMIFS(tblDaily[TransfersIn],tblDaily[EntryDate],DATE(2026,9,11),tblDaily[WardCode],"BG")=0,"",SUMIFS(tblDaily[TransfersIn],tblDaily[EntryDate],DATE(2026,9,11),tblDaily[WardCode],"BG")),"")</f>
        <v/>
      </c>
      <c r="G329" s="12">
        <f>IFERROR(IF(SUMIFS(tblDaily[TransfersOut],tblDaily[EntryDate],DATE(2026,9,11),tblDaily[WardCode],"BG")=0,"",SUMIFS(tblDaily[TransfersOut],tblDaily[EntryDate],DATE(2026,9,11),tblDaily[WardCode],"BG")),"")</f>
        <v/>
      </c>
      <c r="H329" s="12">
        <f>IFERROR(IF(SUMIFS(tblDaily[Remaining],tblDaily[EntryDate],DATE(2026,9,11),tblDaily[WardCode],"BG")=0,"",SUMIFS(tblDaily[Remaining],tblDaily[EntryDate],DATE(2026,9,11),tblDaily[WardCode],"BG")),"")</f>
        <v/>
      </c>
    </row>
    <row r="330">
      <c r="A330" s="12" t="n">
        <v>12</v>
      </c>
      <c r="B330" s="12">
        <f>IFERROR(IF(SUMIFS(tblDaily[Admissions],tblDaily[EntryDate],DATE(2026,9,12),tblDaily[WardCode],"BG")=0,"",SUMIFS(tblDaily[Admissions],tblDaily[EntryDate],DATE(2026,9,12),tblDaily[WardCode],"BG")),"")</f>
        <v/>
      </c>
      <c r="C330" s="12">
        <f>IFERROR(IF(SUMIFS(tblDaily[Discharges],tblDaily[EntryDate],DATE(2026,9,12),tblDaily[WardCode],"BG")=0,"",SUMIFS(tblDaily[Discharges],tblDaily[EntryDate],DATE(2026,9,12),tblDaily[WardCode],"BG")),"")</f>
        <v/>
      </c>
      <c r="D330" s="12">
        <f>IFERROR(IF(SUMIFS(tblDaily[Deaths],tblDaily[EntryDate],DATE(2026,9,12),tblDaily[WardCode],"BG")=0,"",SUMIFS(tblDaily[Deaths],tblDaily[EntryDate],DATE(2026,9,12),tblDaily[WardCode],"BG")),"")</f>
        <v/>
      </c>
      <c r="E330" s="12">
        <f>IFERROR(IF(SUMIFS(tblDaily[DeathsUnder24Hrs],tblDaily[EntryDate],DATE(2026,9,12),tblDaily[WardCode],"BG")=0,"",SUMIFS(tblDaily[DeathsUnder24Hrs],tblDaily[EntryDate],DATE(2026,9,12),tblDaily[WardCode],"BG")),"")</f>
        <v/>
      </c>
      <c r="F330" s="12">
        <f>IFERROR(IF(SUMIFS(tblDaily[TransfersIn],tblDaily[EntryDate],DATE(2026,9,12),tblDaily[WardCode],"BG")=0,"",SUMIFS(tblDaily[TransfersIn],tblDaily[EntryDate],DATE(2026,9,12),tblDaily[WardCode],"BG")),"")</f>
        <v/>
      </c>
      <c r="G330" s="12">
        <f>IFERROR(IF(SUMIFS(tblDaily[TransfersOut],tblDaily[EntryDate],DATE(2026,9,12),tblDaily[WardCode],"BG")=0,"",SUMIFS(tblDaily[TransfersOut],tblDaily[EntryDate],DATE(2026,9,12),tblDaily[WardCode],"BG")),"")</f>
        <v/>
      </c>
      <c r="H330" s="12">
        <f>IFERROR(IF(SUMIFS(tblDaily[Remaining],tblDaily[EntryDate],DATE(2026,9,12),tblDaily[WardCode],"BG")=0,"",SUMIFS(tblDaily[Remaining],tblDaily[EntryDate],DATE(2026,9,12),tblDaily[WardCode],"BG")),"")</f>
        <v/>
      </c>
    </row>
    <row r="331">
      <c r="A331" s="12" t="n">
        <v>13</v>
      </c>
      <c r="B331" s="12">
        <f>IFERROR(IF(SUMIFS(tblDaily[Admissions],tblDaily[EntryDate],DATE(2026,9,13),tblDaily[WardCode],"BG")=0,"",SUMIFS(tblDaily[Admissions],tblDaily[EntryDate],DATE(2026,9,13),tblDaily[WardCode],"BG")),"")</f>
        <v/>
      </c>
      <c r="C331" s="12">
        <f>IFERROR(IF(SUMIFS(tblDaily[Discharges],tblDaily[EntryDate],DATE(2026,9,13),tblDaily[WardCode],"BG")=0,"",SUMIFS(tblDaily[Discharges],tblDaily[EntryDate],DATE(2026,9,13),tblDaily[WardCode],"BG")),"")</f>
        <v/>
      </c>
      <c r="D331" s="12">
        <f>IFERROR(IF(SUMIFS(tblDaily[Deaths],tblDaily[EntryDate],DATE(2026,9,13),tblDaily[WardCode],"BG")=0,"",SUMIFS(tblDaily[Deaths],tblDaily[EntryDate],DATE(2026,9,13),tblDaily[WardCode],"BG")),"")</f>
        <v/>
      </c>
      <c r="E331" s="12">
        <f>IFERROR(IF(SUMIFS(tblDaily[DeathsUnder24Hrs],tblDaily[EntryDate],DATE(2026,9,13),tblDaily[WardCode],"BG")=0,"",SUMIFS(tblDaily[DeathsUnder24Hrs],tblDaily[EntryDate],DATE(2026,9,13),tblDaily[WardCode],"BG")),"")</f>
        <v/>
      </c>
      <c r="F331" s="12">
        <f>IFERROR(IF(SUMIFS(tblDaily[TransfersIn],tblDaily[EntryDate],DATE(2026,9,13),tblDaily[WardCode],"BG")=0,"",SUMIFS(tblDaily[TransfersIn],tblDaily[EntryDate],DATE(2026,9,13),tblDaily[WardCode],"BG")),"")</f>
        <v/>
      </c>
      <c r="G331" s="12">
        <f>IFERROR(IF(SUMIFS(tblDaily[TransfersOut],tblDaily[EntryDate],DATE(2026,9,13),tblDaily[WardCode],"BG")=0,"",SUMIFS(tblDaily[TransfersOut],tblDaily[EntryDate],DATE(2026,9,13),tblDaily[WardCode],"BG")),"")</f>
        <v/>
      </c>
      <c r="H331" s="12">
        <f>IFERROR(IF(SUMIFS(tblDaily[Remaining],tblDaily[EntryDate],DATE(2026,9,13),tblDaily[WardCode],"BG")=0,"",SUMIFS(tblDaily[Remaining],tblDaily[EntryDate],DATE(2026,9,13),tblDaily[WardCode],"BG")),"")</f>
        <v/>
      </c>
    </row>
    <row r="332">
      <c r="A332" s="12" t="n">
        <v>14</v>
      </c>
      <c r="B332" s="12">
        <f>IFERROR(IF(SUMIFS(tblDaily[Admissions],tblDaily[EntryDate],DATE(2026,9,14),tblDaily[WardCode],"BG")=0,"",SUMIFS(tblDaily[Admissions],tblDaily[EntryDate],DATE(2026,9,14),tblDaily[WardCode],"BG")),"")</f>
        <v/>
      </c>
      <c r="C332" s="12">
        <f>IFERROR(IF(SUMIFS(tblDaily[Discharges],tblDaily[EntryDate],DATE(2026,9,14),tblDaily[WardCode],"BG")=0,"",SUMIFS(tblDaily[Discharges],tblDaily[EntryDate],DATE(2026,9,14),tblDaily[WardCode],"BG")),"")</f>
        <v/>
      </c>
      <c r="D332" s="12">
        <f>IFERROR(IF(SUMIFS(tblDaily[Deaths],tblDaily[EntryDate],DATE(2026,9,14),tblDaily[WardCode],"BG")=0,"",SUMIFS(tblDaily[Deaths],tblDaily[EntryDate],DATE(2026,9,14),tblDaily[WardCode],"BG")),"")</f>
        <v/>
      </c>
      <c r="E332" s="12">
        <f>IFERROR(IF(SUMIFS(tblDaily[DeathsUnder24Hrs],tblDaily[EntryDate],DATE(2026,9,14),tblDaily[WardCode],"BG")=0,"",SUMIFS(tblDaily[DeathsUnder24Hrs],tblDaily[EntryDate],DATE(2026,9,14),tblDaily[WardCode],"BG")),"")</f>
        <v/>
      </c>
      <c r="F332" s="12">
        <f>IFERROR(IF(SUMIFS(tblDaily[TransfersIn],tblDaily[EntryDate],DATE(2026,9,14),tblDaily[WardCode],"BG")=0,"",SUMIFS(tblDaily[TransfersIn],tblDaily[EntryDate],DATE(2026,9,14),tblDaily[WardCode],"BG")),"")</f>
        <v/>
      </c>
      <c r="G332" s="12">
        <f>IFERROR(IF(SUMIFS(tblDaily[TransfersOut],tblDaily[EntryDate],DATE(2026,9,14),tblDaily[WardCode],"BG")=0,"",SUMIFS(tblDaily[TransfersOut],tblDaily[EntryDate],DATE(2026,9,14),tblDaily[WardCode],"BG")),"")</f>
        <v/>
      </c>
      <c r="H332" s="12">
        <f>IFERROR(IF(SUMIFS(tblDaily[Remaining],tblDaily[EntryDate],DATE(2026,9,14),tblDaily[WardCode],"BG")=0,"",SUMIFS(tblDaily[Remaining],tblDaily[EntryDate],DATE(2026,9,14),tblDaily[WardCode],"BG")),"")</f>
        <v/>
      </c>
    </row>
    <row r="333">
      <c r="A333" s="12" t="n">
        <v>15</v>
      </c>
      <c r="B333" s="12">
        <f>IFERROR(IF(SUMIFS(tblDaily[Admissions],tblDaily[EntryDate],DATE(2026,9,15),tblDaily[WardCode],"BG")=0,"",SUMIFS(tblDaily[Admissions],tblDaily[EntryDate],DATE(2026,9,15),tblDaily[WardCode],"BG")),"")</f>
        <v/>
      </c>
      <c r="C333" s="12">
        <f>IFERROR(IF(SUMIFS(tblDaily[Discharges],tblDaily[EntryDate],DATE(2026,9,15),tblDaily[WardCode],"BG")=0,"",SUMIFS(tblDaily[Discharges],tblDaily[EntryDate],DATE(2026,9,15),tblDaily[WardCode],"BG")),"")</f>
        <v/>
      </c>
      <c r="D333" s="12">
        <f>IFERROR(IF(SUMIFS(tblDaily[Deaths],tblDaily[EntryDate],DATE(2026,9,15),tblDaily[WardCode],"BG")=0,"",SUMIFS(tblDaily[Deaths],tblDaily[EntryDate],DATE(2026,9,15),tblDaily[WardCode],"BG")),"")</f>
        <v/>
      </c>
      <c r="E333" s="12">
        <f>IFERROR(IF(SUMIFS(tblDaily[DeathsUnder24Hrs],tblDaily[EntryDate],DATE(2026,9,15),tblDaily[WardCode],"BG")=0,"",SUMIFS(tblDaily[DeathsUnder24Hrs],tblDaily[EntryDate],DATE(2026,9,15),tblDaily[WardCode],"BG")),"")</f>
        <v/>
      </c>
      <c r="F333" s="12">
        <f>IFERROR(IF(SUMIFS(tblDaily[TransfersIn],tblDaily[EntryDate],DATE(2026,9,15),tblDaily[WardCode],"BG")=0,"",SUMIFS(tblDaily[TransfersIn],tblDaily[EntryDate],DATE(2026,9,15),tblDaily[WardCode],"BG")),"")</f>
        <v/>
      </c>
      <c r="G333" s="12">
        <f>IFERROR(IF(SUMIFS(tblDaily[TransfersOut],tblDaily[EntryDate],DATE(2026,9,15),tblDaily[WardCode],"BG")=0,"",SUMIFS(tblDaily[TransfersOut],tblDaily[EntryDate],DATE(2026,9,15),tblDaily[WardCode],"BG")),"")</f>
        <v/>
      </c>
      <c r="H333" s="12">
        <f>IFERROR(IF(SUMIFS(tblDaily[Remaining],tblDaily[EntryDate],DATE(2026,9,15),tblDaily[WardCode],"BG")=0,"",SUMIFS(tblDaily[Remaining],tblDaily[EntryDate],DATE(2026,9,15),tblDaily[WardCode],"BG")),"")</f>
        <v/>
      </c>
    </row>
    <row r="334">
      <c r="A334" s="12" t="n">
        <v>16</v>
      </c>
      <c r="B334" s="12">
        <f>IFERROR(IF(SUMIFS(tblDaily[Admissions],tblDaily[EntryDate],DATE(2026,9,16),tblDaily[WardCode],"BG")=0,"",SUMIFS(tblDaily[Admissions],tblDaily[EntryDate],DATE(2026,9,16),tblDaily[WardCode],"BG")),"")</f>
        <v/>
      </c>
      <c r="C334" s="12">
        <f>IFERROR(IF(SUMIFS(tblDaily[Discharges],tblDaily[EntryDate],DATE(2026,9,16),tblDaily[WardCode],"BG")=0,"",SUMIFS(tblDaily[Discharges],tblDaily[EntryDate],DATE(2026,9,16),tblDaily[WardCode],"BG")),"")</f>
        <v/>
      </c>
      <c r="D334" s="12">
        <f>IFERROR(IF(SUMIFS(tblDaily[Deaths],tblDaily[EntryDate],DATE(2026,9,16),tblDaily[WardCode],"BG")=0,"",SUMIFS(tblDaily[Deaths],tblDaily[EntryDate],DATE(2026,9,16),tblDaily[WardCode],"BG")),"")</f>
        <v/>
      </c>
      <c r="E334" s="12">
        <f>IFERROR(IF(SUMIFS(tblDaily[DeathsUnder24Hrs],tblDaily[EntryDate],DATE(2026,9,16),tblDaily[WardCode],"BG")=0,"",SUMIFS(tblDaily[DeathsUnder24Hrs],tblDaily[EntryDate],DATE(2026,9,16),tblDaily[WardCode],"BG")),"")</f>
        <v/>
      </c>
      <c r="F334" s="12">
        <f>IFERROR(IF(SUMIFS(tblDaily[TransfersIn],tblDaily[EntryDate],DATE(2026,9,16),tblDaily[WardCode],"BG")=0,"",SUMIFS(tblDaily[TransfersIn],tblDaily[EntryDate],DATE(2026,9,16),tblDaily[WardCode],"BG")),"")</f>
        <v/>
      </c>
      <c r="G334" s="12">
        <f>IFERROR(IF(SUMIFS(tblDaily[TransfersOut],tblDaily[EntryDate],DATE(2026,9,16),tblDaily[WardCode],"BG")=0,"",SUMIFS(tblDaily[TransfersOut],tblDaily[EntryDate],DATE(2026,9,16),tblDaily[WardCode],"BG")),"")</f>
        <v/>
      </c>
      <c r="H334" s="12">
        <f>IFERROR(IF(SUMIFS(tblDaily[Remaining],tblDaily[EntryDate],DATE(2026,9,16),tblDaily[WardCode],"BG")=0,"",SUMIFS(tblDaily[Remaining],tblDaily[EntryDate],DATE(2026,9,16),tblDaily[WardCode],"BG")),"")</f>
        <v/>
      </c>
    </row>
    <row r="335">
      <c r="A335" s="12" t="n">
        <v>17</v>
      </c>
      <c r="B335" s="12">
        <f>IFERROR(IF(SUMIFS(tblDaily[Admissions],tblDaily[EntryDate],DATE(2026,9,17),tblDaily[WardCode],"BG")=0,"",SUMIFS(tblDaily[Admissions],tblDaily[EntryDate],DATE(2026,9,17),tblDaily[WardCode],"BG")),"")</f>
        <v/>
      </c>
      <c r="C335" s="12">
        <f>IFERROR(IF(SUMIFS(tblDaily[Discharges],tblDaily[EntryDate],DATE(2026,9,17),tblDaily[WardCode],"BG")=0,"",SUMIFS(tblDaily[Discharges],tblDaily[EntryDate],DATE(2026,9,17),tblDaily[WardCode],"BG")),"")</f>
        <v/>
      </c>
      <c r="D335" s="12">
        <f>IFERROR(IF(SUMIFS(tblDaily[Deaths],tblDaily[EntryDate],DATE(2026,9,17),tblDaily[WardCode],"BG")=0,"",SUMIFS(tblDaily[Deaths],tblDaily[EntryDate],DATE(2026,9,17),tblDaily[WardCode],"BG")),"")</f>
        <v/>
      </c>
      <c r="E335" s="12">
        <f>IFERROR(IF(SUMIFS(tblDaily[DeathsUnder24Hrs],tblDaily[EntryDate],DATE(2026,9,17),tblDaily[WardCode],"BG")=0,"",SUMIFS(tblDaily[DeathsUnder24Hrs],tblDaily[EntryDate],DATE(2026,9,17),tblDaily[WardCode],"BG")),"")</f>
        <v/>
      </c>
      <c r="F335" s="12">
        <f>IFERROR(IF(SUMIFS(tblDaily[TransfersIn],tblDaily[EntryDate],DATE(2026,9,17),tblDaily[WardCode],"BG")=0,"",SUMIFS(tblDaily[TransfersIn],tblDaily[EntryDate],DATE(2026,9,17),tblDaily[WardCode],"BG")),"")</f>
        <v/>
      </c>
      <c r="G335" s="12">
        <f>IFERROR(IF(SUMIFS(tblDaily[TransfersOut],tblDaily[EntryDate],DATE(2026,9,17),tblDaily[WardCode],"BG")=0,"",SUMIFS(tblDaily[TransfersOut],tblDaily[EntryDate],DATE(2026,9,17),tblDaily[WardCode],"BG")),"")</f>
        <v/>
      </c>
      <c r="H335" s="12">
        <f>IFERROR(IF(SUMIFS(tblDaily[Remaining],tblDaily[EntryDate],DATE(2026,9,17),tblDaily[WardCode],"BG")=0,"",SUMIFS(tblDaily[Remaining],tblDaily[EntryDate],DATE(2026,9,17),tblDaily[WardCode],"BG")),"")</f>
        <v/>
      </c>
    </row>
    <row r="336">
      <c r="A336" s="12" t="n">
        <v>18</v>
      </c>
      <c r="B336" s="12">
        <f>IFERROR(IF(SUMIFS(tblDaily[Admissions],tblDaily[EntryDate],DATE(2026,9,18),tblDaily[WardCode],"BG")=0,"",SUMIFS(tblDaily[Admissions],tblDaily[EntryDate],DATE(2026,9,18),tblDaily[WardCode],"BG")),"")</f>
        <v/>
      </c>
      <c r="C336" s="12">
        <f>IFERROR(IF(SUMIFS(tblDaily[Discharges],tblDaily[EntryDate],DATE(2026,9,18),tblDaily[WardCode],"BG")=0,"",SUMIFS(tblDaily[Discharges],tblDaily[EntryDate],DATE(2026,9,18),tblDaily[WardCode],"BG")),"")</f>
        <v/>
      </c>
      <c r="D336" s="12">
        <f>IFERROR(IF(SUMIFS(tblDaily[Deaths],tblDaily[EntryDate],DATE(2026,9,18),tblDaily[WardCode],"BG")=0,"",SUMIFS(tblDaily[Deaths],tblDaily[EntryDate],DATE(2026,9,18),tblDaily[WardCode],"BG")),"")</f>
        <v/>
      </c>
      <c r="E336" s="12">
        <f>IFERROR(IF(SUMIFS(tblDaily[DeathsUnder24Hrs],tblDaily[EntryDate],DATE(2026,9,18),tblDaily[WardCode],"BG")=0,"",SUMIFS(tblDaily[DeathsUnder24Hrs],tblDaily[EntryDate],DATE(2026,9,18),tblDaily[WardCode],"BG")),"")</f>
        <v/>
      </c>
      <c r="F336" s="12">
        <f>IFERROR(IF(SUMIFS(tblDaily[TransfersIn],tblDaily[EntryDate],DATE(2026,9,18),tblDaily[WardCode],"BG")=0,"",SUMIFS(tblDaily[TransfersIn],tblDaily[EntryDate],DATE(2026,9,18),tblDaily[WardCode],"BG")),"")</f>
        <v/>
      </c>
      <c r="G336" s="12">
        <f>IFERROR(IF(SUMIFS(tblDaily[TransfersOut],tblDaily[EntryDate],DATE(2026,9,18),tblDaily[WardCode],"BG")=0,"",SUMIFS(tblDaily[TransfersOut],tblDaily[EntryDate],DATE(2026,9,18),tblDaily[WardCode],"BG")),"")</f>
        <v/>
      </c>
      <c r="H336" s="12">
        <f>IFERROR(IF(SUMIFS(tblDaily[Remaining],tblDaily[EntryDate],DATE(2026,9,18),tblDaily[WardCode],"BG")=0,"",SUMIFS(tblDaily[Remaining],tblDaily[EntryDate],DATE(2026,9,18),tblDaily[WardCode],"BG")),"")</f>
        <v/>
      </c>
    </row>
    <row r="337">
      <c r="A337" s="12" t="n">
        <v>19</v>
      </c>
      <c r="B337" s="12">
        <f>IFERROR(IF(SUMIFS(tblDaily[Admissions],tblDaily[EntryDate],DATE(2026,9,19),tblDaily[WardCode],"BG")=0,"",SUMIFS(tblDaily[Admissions],tblDaily[EntryDate],DATE(2026,9,19),tblDaily[WardCode],"BG")),"")</f>
        <v/>
      </c>
      <c r="C337" s="12">
        <f>IFERROR(IF(SUMIFS(tblDaily[Discharges],tblDaily[EntryDate],DATE(2026,9,19),tblDaily[WardCode],"BG")=0,"",SUMIFS(tblDaily[Discharges],tblDaily[EntryDate],DATE(2026,9,19),tblDaily[WardCode],"BG")),"")</f>
        <v/>
      </c>
      <c r="D337" s="12">
        <f>IFERROR(IF(SUMIFS(tblDaily[Deaths],tblDaily[EntryDate],DATE(2026,9,19),tblDaily[WardCode],"BG")=0,"",SUMIFS(tblDaily[Deaths],tblDaily[EntryDate],DATE(2026,9,19),tblDaily[WardCode],"BG")),"")</f>
        <v/>
      </c>
      <c r="E337" s="12">
        <f>IFERROR(IF(SUMIFS(tblDaily[DeathsUnder24Hrs],tblDaily[EntryDate],DATE(2026,9,19),tblDaily[WardCode],"BG")=0,"",SUMIFS(tblDaily[DeathsUnder24Hrs],tblDaily[EntryDate],DATE(2026,9,19),tblDaily[WardCode],"BG")),"")</f>
        <v/>
      </c>
      <c r="F337" s="12">
        <f>IFERROR(IF(SUMIFS(tblDaily[TransfersIn],tblDaily[EntryDate],DATE(2026,9,19),tblDaily[WardCode],"BG")=0,"",SUMIFS(tblDaily[TransfersIn],tblDaily[EntryDate],DATE(2026,9,19),tblDaily[WardCode],"BG")),"")</f>
        <v/>
      </c>
      <c r="G337" s="12">
        <f>IFERROR(IF(SUMIFS(tblDaily[TransfersOut],tblDaily[EntryDate],DATE(2026,9,19),tblDaily[WardCode],"BG")=0,"",SUMIFS(tblDaily[TransfersOut],tblDaily[EntryDate],DATE(2026,9,19),tblDaily[WardCode],"BG")),"")</f>
        <v/>
      </c>
      <c r="H337" s="12">
        <f>IFERROR(IF(SUMIFS(tblDaily[Remaining],tblDaily[EntryDate],DATE(2026,9,19),tblDaily[WardCode],"BG")=0,"",SUMIFS(tblDaily[Remaining],tblDaily[EntryDate],DATE(2026,9,19),tblDaily[WardCode],"BG")),"")</f>
        <v/>
      </c>
    </row>
    <row r="338">
      <c r="A338" s="12" t="n">
        <v>20</v>
      </c>
      <c r="B338" s="12">
        <f>IFERROR(IF(SUMIFS(tblDaily[Admissions],tblDaily[EntryDate],DATE(2026,9,20),tblDaily[WardCode],"BG")=0,"",SUMIFS(tblDaily[Admissions],tblDaily[EntryDate],DATE(2026,9,20),tblDaily[WardCode],"BG")),"")</f>
        <v/>
      </c>
      <c r="C338" s="12">
        <f>IFERROR(IF(SUMIFS(tblDaily[Discharges],tblDaily[EntryDate],DATE(2026,9,20),tblDaily[WardCode],"BG")=0,"",SUMIFS(tblDaily[Discharges],tblDaily[EntryDate],DATE(2026,9,20),tblDaily[WardCode],"BG")),"")</f>
        <v/>
      </c>
      <c r="D338" s="12">
        <f>IFERROR(IF(SUMIFS(tblDaily[Deaths],tblDaily[EntryDate],DATE(2026,9,20),tblDaily[WardCode],"BG")=0,"",SUMIFS(tblDaily[Deaths],tblDaily[EntryDate],DATE(2026,9,20),tblDaily[WardCode],"BG")),"")</f>
        <v/>
      </c>
      <c r="E338" s="12">
        <f>IFERROR(IF(SUMIFS(tblDaily[DeathsUnder24Hrs],tblDaily[EntryDate],DATE(2026,9,20),tblDaily[WardCode],"BG")=0,"",SUMIFS(tblDaily[DeathsUnder24Hrs],tblDaily[EntryDate],DATE(2026,9,20),tblDaily[WardCode],"BG")),"")</f>
        <v/>
      </c>
      <c r="F338" s="12">
        <f>IFERROR(IF(SUMIFS(tblDaily[TransfersIn],tblDaily[EntryDate],DATE(2026,9,20),tblDaily[WardCode],"BG")=0,"",SUMIFS(tblDaily[TransfersIn],tblDaily[EntryDate],DATE(2026,9,20),tblDaily[WardCode],"BG")),"")</f>
        <v/>
      </c>
      <c r="G338" s="12">
        <f>IFERROR(IF(SUMIFS(tblDaily[TransfersOut],tblDaily[EntryDate],DATE(2026,9,20),tblDaily[WardCode],"BG")=0,"",SUMIFS(tblDaily[TransfersOut],tblDaily[EntryDate],DATE(2026,9,20),tblDaily[WardCode],"BG")),"")</f>
        <v/>
      </c>
      <c r="H338" s="12">
        <f>IFERROR(IF(SUMIFS(tblDaily[Remaining],tblDaily[EntryDate],DATE(2026,9,20),tblDaily[WardCode],"BG")=0,"",SUMIFS(tblDaily[Remaining],tblDaily[EntryDate],DATE(2026,9,20),tblDaily[WardCode],"BG")),"")</f>
        <v/>
      </c>
    </row>
    <row r="339">
      <c r="A339" s="12" t="n">
        <v>21</v>
      </c>
      <c r="B339" s="12">
        <f>IFERROR(IF(SUMIFS(tblDaily[Admissions],tblDaily[EntryDate],DATE(2026,9,21),tblDaily[WardCode],"BG")=0,"",SUMIFS(tblDaily[Admissions],tblDaily[EntryDate],DATE(2026,9,21),tblDaily[WardCode],"BG")),"")</f>
        <v/>
      </c>
      <c r="C339" s="12">
        <f>IFERROR(IF(SUMIFS(tblDaily[Discharges],tblDaily[EntryDate],DATE(2026,9,21),tblDaily[WardCode],"BG")=0,"",SUMIFS(tblDaily[Discharges],tblDaily[EntryDate],DATE(2026,9,21),tblDaily[WardCode],"BG")),"")</f>
        <v/>
      </c>
      <c r="D339" s="12">
        <f>IFERROR(IF(SUMIFS(tblDaily[Deaths],tblDaily[EntryDate],DATE(2026,9,21),tblDaily[WardCode],"BG")=0,"",SUMIFS(tblDaily[Deaths],tblDaily[EntryDate],DATE(2026,9,21),tblDaily[WardCode],"BG")),"")</f>
        <v/>
      </c>
      <c r="E339" s="12">
        <f>IFERROR(IF(SUMIFS(tblDaily[DeathsUnder24Hrs],tblDaily[EntryDate],DATE(2026,9,21),tblDaily[WardCode],"BG")=0,"",SUMIFS(tblDaily[DeathsUnder24Hrs],tblDaily[EntryDate],DATE(2026,9,21),tblDaily[WardCode],"BG")),"")</f>
        <v/>
      </c>
      <c r="F339" s="12">
        <f>IFERROR(IF(SUMIFS(tblDaily[TransfersIn],tblDaily[EntryDate],DATE(2026,9,21),tblDaily[WardCode],"BG")=0,"",SUMIFS(tblDaily[TransfersIn],tblDaily[EntryDate],DATE(2026,9,21),tblDaily[WardCode],"BG")),"")</f>
        <v/>
      </c>
      <c r="G339" s="12">
        <f>IFERROR(IF(SUMIFS(tblDaily[TransfersOut],tblDaily[EntryDate],DATE(2026,9,21),tblDaily[WardCode],"BG")=0,"",SUMIFS(tblDaily[TransfersOut],tblDaily[EntryDate],DATE(2026,9,21),tblDaily[WardCode],"BG")),"")</f>
        <v/>
      </c>
      <c r="H339" s="12">
        <f>IFERROR(IF(SUMIFS(tblDaily[Remaining],tblDaily[EntryDate],DATE(2026,9,21),tblDaily[WardCode],"BG")=0,"",SUMIFS(tblDaily[Remaining],tblDaily[EntryDate],DATE(2026,9,21),tblDaily[WardCode],"BG")),"")</f>
        <v/>
      </c>
    </row>
    <row r="340">
      <c r="A340" s="12" t="n">
        <v>22</v>
      </c>
      <c r="B340" s="12">
        <f>IFERROR(IF(SUMIFS(tblDaily[Admissions],tblDaily[EntryDate],DATE(2026,9,22),tblDaily[WardCode],"BG")=0,"",SUMIFS(tblDaily[Admissions],tblDaily[EntryDate],DATE(2026,9,22),tblDaily[WardCode],"BG")),"")</f>
        <v/>
      </c>
      <c r="C340" s="12">
        <f>IFERROR(IF(SUMIFS(tblDaily[Discharges],tblDaily[EntryDate],DATE(2026,9,22),tblDaily[WardCode],"BG")=0,"",SUMIFS(tblDaily[Discharges],tblDaily[EntryDate],DATE(2026,9,22),tblDaily[WardCode],"BG")),"")</f>
        <v/>
      </c>
      <c r="D340" s="12">
        <f>IFERROR(IF(SUMIFS(tblDaily[Deaths],tblDaily[EntryDate],DATE(2026,9,22),tblDaily[WardCode],"BG")=0,"",SUMIFS(tblDaily[Deaths],tblDaily[EntryDate],DATE(2026,9,22),tblDaily[WardCode],"BG")),"")</f>
        <v/>
      </c>
      <c r="E340" s="12">
        <f>IFERROR(IF(SUMIFS(tblDaily[DeathsUnder24Hrs],tblDaily[EntryDate],DATE(2026,9,22),tblDaily[WardCode],"BG")=0,"",SUMIFS(tblDaily[DeathsUnder24Hrs],tblDaily[EntryDate],DATE(2026,9,22),tblDaily[WardCode],"BG")),"")</f>
        <v/>
      </c>
      <c r="F340" s="12">
        <f>IFERROR(IF(SUMIFS(tblDaily[TransfersIn],tblDaily[EntryDate],DATE(2026,9,22),tblDaily[WardCode],"BG")=0,"",SUMIFS(tblDaily[TransfersIn],tblDaily[EntryDate],DATE(2026,9,22),tblDaily[WardCode],"BG")),"")</f>
        <v/>
      </c>
      <c r="G340" s="12">
        <f>IFERROR(IF(SUMIFS(tblDaily[TransfersOut],tblDaily[EntryDate],DATE(2026,9,22),tblDaily[WardCode],"BG")=0,"",SUMIFS(tblDaily[TransfersOut],tblDaily[EntryDate],DATE(2026,9,22),tblDaily[WardCode],"BG")),"")</f>
        <v/>
      </c>
      <c r="H340" s="12">
        <f>IFERROR(IF(SUMIFS(tblDaily[Remaining],tblDaily[EntryDate],DATE(2026,9,22),tblDaily[WardCode],"BG")=0,"",SUMIFS(tblDaily[Remaining],tblDaily[EntryDate],DATE(2026,9,22),tblDaily[WardCode],"BG")),"")</f>
        <v/>
      </c>
    </row>
    <row r="341">
      <c r="A341" s="12" t="n">
        <v>23</v>
      </c>
      <c r="B341" s="12">
        <f>IFERROR(IF(SUMIFS(tblDaily[Admissions],tblDaily[EntryDate],DATE(2026,9,23),tblDaily[WardCode],"BG")=0,"",SUMIFS(tblDaily[Admissions],tblDaily[EntryDate],DATE(2026,9,23),tblDaily[WardCode],"BG")),"")</f>
        <v/>
      </c>
      <c r="C341" s="12">
        <f>IFERROR(IF(SUMIFS(tblDaily[Discharges],tblDaily[EntryDate],DATE(2026,9,23),tblDaily[WardCode],"BG")=0,"",SUMIFS(tblDaily[Discharges],tblDaily[EntryDate],DATE(2026,9,23),tblDaily[WardCode],"BG")),"")</f>
        <v/>
      </c>
      <c r="D341" s="12">
        <f>IFERROR(IF(SUMIFS(tblDaily[Deaths],tblDaily[EntryDate],DATE(2026,9,23),tblDaily[WardCode],"BG")=0,"",SUMIFS(tblDaily[Deaths],tblDaily[EntryDate],DATE(2026,9,23),tblDaily[WardCode],"BG")),"")</f>
        <v/>
      </c>
      <c r="E341" s="12">
        <f>IFERROR(IF(SUMIFS(tblDaily[DeathsUnder24Hrs],tblDaily[EntryDate],DATE(2026,9,23),tblDaily[WardCode],"BG")=0,"",SUMIFS(tblDaily[DeathsUnder24Hrs],tblDaily[EntryDate],DATE(2026,9,23),tblDaily[WardCode],"BG")),"")</f>
        <v/>
      </c>
      <c r="F341" s="12">
        <f>IFERROR(IF(SUMIFS(tblDaily[TransfersIn],tblDaily[EntryDate],DATE(2026,9,23),tblDaily[WardCode],"BG")=0,"",SUMIFS(tblDaily[TransfersIn],tblDaily[EntryDate],DATE(2026,9,23),tblDaily[WardCode],"BG")),"")</f>
        <v/>
      </c>
      <c r="G341" s="12">
        <f>IFERROR(IF(SUMIFS(tblDaily[TransfersOut],tblDaily[EntryDate],DATE(2026,9,23),tblDaily[WardCode],"BG")=0,"",SUMIFS(tblDaily[TransfersOut],tblDaily[EntryDate],DATE(2026,9,23),tblDaily[WardCode],"BG")),"")</f>
        <v/>
      </c>
      <c r="H341" s="12">
        <f>IFERROR(IF(SUMIFS(tblDaily[Remaining],tblDaily[EntryDate],DATE(2026,9,23),tblDaily[WardCode],"BG")=0,"",SUMIFS(tblDaily[Remaining],tblDaily[EntryDate],DATE(2026,9,23),tblDaily[WardCode],"BG")),"")</f>
        <v/>
      </c>
    </row>
    <row r="342">
      <c r="A342" s="12" t="n">
        <v>24</v>
      </c>
      <c r="B342" s="12">
        <f>IFERROR(IF(SUMIFS(tblDaily[Admissions],tblDaily[EntryDate],DATE(2026,9,24),tblDaily[WardCode],"BG")=0,"",SUMIFS(tblDaily[Admissions],tblDaily[EntryDate],DATE(2026,9,24),tblDaily[WardCode],"BG")),"")</f>
        <v/>
      </c>
      <c r="C342" s="12">
        <f>IFERROR(IF(SUMIFS(tblDaily[Discharges],tblDaily[EntryDate],DATE(2026,9,24),tblDaily[WardCode],"BG")=0,"",SUMIFS(tblDaily[Discharges],tblDaily[EntryDate],DATE(2026,9,24),tblDaily[WardCode],"BG")),"")</f>
        <v/>
      </c>
      <c r="D342" s="12">
        <f>IFERROR(IF(SUMIFS(tblDaily[Deaths],tblDaily[EntryDate],DATE(2026,9,24),tblDaily[WardCode],"BG")=0,"",SUMIFS(tblDaily[Deaths],tblDaily[EntryDate],DATE(2026,9,24),tblDaily[WardCode],"BG")),"")</f>
        <v/>
      </c>
      <c r="E342" s="12">
        <f>IFERROR(IF(SUMIFS(tblDaily[DeathsUnder24Hrs],tblDaily[EntryDate],DATE(2026,9,24),tblDaily[WardCode],"BG")=0,"",SUMIFS(tblDaily[DeathsUnder24Hrs],tblDaily[EntryDate],DATE(2026,9,24),tblDaily[WardCode],"BG")),"")</f>
        <v/>
      </c>
      <c r="F342" s="12">
        <f>IFERROR(IF(SUMIFS(tblDaily[TransfersIn],tblDaily[EntryDate],DATE(2026,9,24),tblDaily[WardCode],"BG")=0,"",SUMIFS(tblDaily[TransfersIn],tblDaily[EntryDate],DATE(2026,9,24),tblDaily[WardCode],"BG")),"")</f>
        <v/>
      </c>
      <c r="G342" s="12">
        <f>IFERROR(IF(SUMIFS(tblDaily[TransfersOut],tblDaily[EntryDate],DATE(2026,9,24),tblDaily[WardCode],"BG")=0,"",SUMIFS(tblDaily[TransfersOut],tblDaily[EntryDate],DATE(2026,9,24),tblDaily[WardCode],"BG")),"")</f>
        <v/>
      </c>
      <c r="H342" s="12">
        <f>IFERROR(IF(SUMIFS(tblDaily[Remaining],tblDaily[EntryDate],DATE(2026,9,24),tblDaily[WardCode],"BG")=0,"",SUMIFS(tblDaily[Remaining],tblDaily[EntryDate],DATE(2026,9,24),tblDaily[WardCode],"BG")),"")</f>
        <v/>
      </c>
    </row>
    <row r="343">
      <c r="A343" s="12" t="n">
        <v>25</v>
      </c>
      <c r="B343" s="12">
        <f>IFERROR(IF(SUMIFS(tblDaily[Admissions],tblDaily[EntryDate],DATE(2026,9,25),tblDaily[WardCode],"BG")=0,"",SUMIFS(tblDaily[Admissions],tblDaily[EntryDate],DATE(2026,9,25),tblDaily[WardCode],"BG")),"")</f>
        <v/>
      </c>
      <c r="C343" s="12">
        <f>IFERROR(IF(SUMIFS(tblDaily[Discharges],tblDaily[EntryDate],DATE(2026,9,25),tblDaily[WardCode],"BG")=0,"",SUMIFS(tblDaily[Discharges],tblDaily[EntryDate],DATE(2026,9,25),tblDaily[WardCode],"BG")),"")</f>
        <v/>
      </c>
      <c r="D343" s="12">
        <f>IFERROR(IF(SUMIFS(tblDaily[Deaths],tblDaily[EntryDate],DATE(2026,9,25),tblDaily[WardCode],"BG")=0,"",SUMIFS(tblDaily[Deaths],tblDaily[EntryDate],DATE(2026,9,25),tblDaily[WardCode],"BG")),"")</f>
        <v/>
      </c>
      <c r="E343" s="12">
        <f>IFERROR(IF(SUMIFS(tblDaily[DeathsUnder24Hrs],tblDaily[EntryDate],DATE(2026,9,25),tblDaily[WardCode],"BG")=0,"",SUMIFS(tblDaily[DeathsUnder24Hrs],tblDaily[EntryDate],DATE(2026,9,25),tblDaily[WardCode],"BG")),"")</f>
        <v/>
      </c>
      <c r="F343" s="12">
        <f>IFERROR(IF(SUMIFS(tblDaily[TransfersIn],tblDaily[EntryDate],DATE(2026,9,25),tblDaily[WardCode],"BG")=0,"",SUMIFS(tblDaily[TransfersIn],tblDaily[EntryDate],DATE(2026,9,25),tblDaily[WardCode],"BG")),"")</f>
        <v/>
      </c>
      <c r="G343" s="12">
        <f>IFERROR(IF(SUMIFS(tblDaily[TransfersOut],tblDaily[EntryDate],DATE(2026,9,25),tblDaily[WardCode],"BG")=0,"",SUMIFS(tblDaily[TransfersOut],tblDaily[EntryDate],DATE(2026,9,25),tblDaily[WardCode],"BG")),"")</f>
        <v/>
      </c>
      <c r="H343" s="12">
        <f>IFERROR(IF(SUMIFS(tblDaily[Remaining],tblDaily[EntryDate],DATE(2026,9,25),tblDaily[WardCode],"BG")=0,"",SUMIFS(tblDaily[Remaining],tblDaily[EntryDate],DATE(2026,9,25),tblDaily[WardCode],"BG")),"")</f>
        <v/>
      </c>
    </row>
    <row r="344">
      <c r="A344" s="12" t="n">
        <v>26</v>
      </c>
      <c r="B344" s="12">
        <f>IFERROR(IF(SUMIFS(tblDaily[Admissions],tblDaily[EntryDate],DATE(2026,9,26),tblDaily[WardCode],"BG")=0,"",SUMIFS(tblDaily[Admissions],tblDaily[EntryDate],DATE(2026,9,26),tblDaily[WardCode],"BG")),"")</f>
        <v/>
      </c>
      <c r="C344" s="12">
        <f>IFERROR(IF(SUMIFS(tblDaily[Discharges],tblDaily[EntryDate],DATE(2026,9,26),tblDaily[WardCode],"BG")=0,"",SUMIFS(tblDaily[Discharges],tblDaily[EntryDate],DATE(2026,9,26),tblDaily[WardCode],"BG")),"")</f>
        <v/>
      </c>
      <c r="D344" s="12">
        <f>IFERROR(IF(SUMIFS(tblDaily[Deaths],tblDaily[EntryDate],DATE(2026,9,26),tblDaily[WardCode],"BG")=0,"",SUMIFS(tblDaily[Deaths],tblDaily[EntryDate],DATE(2026,9,26),tblDaily[WardCode],"BG")),"")</f>
        <v/>
      </c>
      <c r="E344" s="12">
        <f>IFERROR(IF(SUMIFS(tblDaily[DeathsUnder24Hrs],tblDaily[EntryDate],DATE(2026,9,26),tblDaily[WardCode],"BG")=0,"",SUMIFS(tblDaily[DeathsUnder24Hrs],tblDaily[EntryDate],DATE(2026,9,26),tblDaily[WardCode],"BG")),"")</f>
        <v/>
      </c>
      <c r="F344" s="12">
        <f>IFERROR(IF(SUMIFS(tblDaily[TransfersIn],tblDaily[EntryDate],DATE(2026,9,26),tblDaily[WardCode],"BG")=0,"",SUMIFS(tblDaily[TransfersIn],tblDaily[EntryDate],DATE(2026,9,26),tblDaily[WardCode],"BG")),"")</f>
        <v/>
      </c>
      <c r="G344" s="12">
        <f>IFERROR(IF(SUMIFS(tblDaily[TransfersOut],tblDaily[EntryDate],DATE(2026,9,26),tblDaily[WardCode],"BG")=0,"",SUMIFS(tblDaily[TransfersOut],tblDaily[EntryDate],DATE(2026,9,26),tblDaily[WardCode],"BG")),"")</f>
        <v/>
      </c>
      <c r="H344" s="12">
        <f>IFERROR(IF(SUMIFS(tblDaily[Remaining],tblDaily[EntryDate],DATE(2026,9,26),tblDaily[WardCode],"BG")=0,"",SUMIFS(tblDaily[Remaining],tblDaily[EntryDate],DATE(2026,9,26),tblDaily[WardCode],"BG")),"")</f>
        <v/>
      </c>
    </row>
    <row r="345">
      <c r="A345" s="12" t="n">
        <v>27</v>
      </c>
      <c r="B345" s="12">
        <f>IFERROR(IF(SUMIFS(tblDaily[Admissions],tblDaily[EntryDate],DATE(2026,9,27),tblDaily[WardCode],"BG")=0,"",SUMIFS(tblDaily[Admissions],tblDaily[EntryDate],DATE(2026,9,27),tblDaily[WardCode],"BG")),"")</f>
        <v/>
      </c>
      <c r="C345" s="12">
        <f>IFERROR(IF(SUMIFS(tblDaily[Discharges],tblDaily[EntryDate],DATE(2026,9,27),tblDaily[WardCode],"BG")=0,"",SUMIFS(tblDaily[Discharges],tblDaily[EntryDate],DATE(2026,9,27),tblDaily[WardCode],"BG")),"")</f>
        <v/>
      </c>
      <c r="D345" s="12">
        <f>IFERROR(IF(SUMIFS(tblDaily[Deaths],tblDaily[EntryDate],DATE(2026,9,27),tblDaily[WardCode],"BG")=0,"",SUMIFS(tblDaily[Deaths],tblDaily[EntryDate],DATE(2026,9,27),tblDaily[WardCode],"BG")),"")</f>
        <v/>
      </c>
      <c r="E345" s="12">
        <f>IFERROR(IF(SUMIFS(tblDaily[DeathsUnder24Hrs],tblDaily[EntryDate],DATE(2026,9,27),tblDaily[WardCode],"BG")=0,"",SUMIFS(tblDaily[DeathsUnder24Hrs],tblDaily[EntryDate],DATE(2026,9,27),tblDaily[WardCode],"BG")),"")</f>
        <v/>
      </c>
      <c r="F345" s="12">
        <f>IFERROR(IF(SUMIFS(tblDaily[TransfersIn],tblDaily[EntryDate],DATE(2026,9,27),tblDaily[WardCode],"BG")=0,"",SUMIFS(tblDaily[TransfersIn],tblDaily[EntryDate],DATE(2026,9,27),tblDaily[WardCode],"BG")),"")</f>
        <v/>
      </c>
      <c r="G345" s="12">
        <f>IFERROR(IF(SUMIFS(tblDaily[TransfersOut],tblDaily[EntryDate],DATE(2026,9,27),tblDaily[WardCode],"BG")=0,"",SUMIFS(tblDaily[TransfersOut],tblDaily[EntryDate],DATE(2026,9,27),tblDaily[WardCode],"BG")),"")</f>
        <v/>
      </c>
      <c r="H345" s="12">
        <f>IFERROR(IF(SUMIFS(tblDaily[Remaining],tblDaily[EntryDate],DATE(2026,9,27),tblDaily[WardCode],"BG")=0,"",SUMIFS(tblDaily[Remaining],tblDaily[EntryDate],DATE(2026,9,27),tblDaily[WardCode],"BG")),"")</f>
        <v/>
      </c>
    </row>
    <row r="346">
      <c r="A346" s="12" t="n">
        <v>28</v>
      </c>
      <c r="B346" s="12">
        <f>IFERROR(IF(SUMIFS(tblDaily[Admissions],tblDaily[EntryDate],DATE(2026,9,28),tblDaily[WardCode],"BG")=0,"",SUMIFS(tblDaily[Admissions],tblDaily[EntryDate],DATE(2026,9,28),tblDaily[WardCode],"BG")),"")</f>
        <v/>
      </c>
      <c r="C346" s="12">
        <f>IFERROR(IF(SUMIFS(tblDaily[Discharges],tblDaily[EntryDate],DATE(2026,9,28),tblDaily[WardCode],"BG")=0,"",SUMIFS(tblDaily[Discharges],tblDaily[EntryDate],DATE(2026,9,28),tblDaily[WardCode],"BG")),"")</f>
        <v/>
      </c>
      <c r="D346" s="12">
        <f>IFERROR(IF(SUMIFS(tblDaily[Deaths],tblDaily[EntryDate],DATE(2026,9,28),tblDaily[WardCode],"BG")=0,"",SUMIFS(tblDaily[Deaths],tblDaily[EntryDate],DATE(2026,9,28),tblDaily[WardCode],"BG")),"")</f>
        <v/>
      </c>
      <c r="E346" s="12">
        <f>IFERROR(IF(SUMIFS(tblDaily[DeathsUnder24Hrs],tblDaily[EntryDate],DATE(2026,9,28),tblDaily[WardCode],"BG")=0,"",SUMIFS(tblDaily[DeathsUnder24Hrs],tblDaily[EntryDate],DATE(2026,9,28),tblDaily[WardCode],"BG")),"")</f>
        <v/>
      </c>
      <c r="F346" s="12">
        <f>IFERROR(IF(SUMIFS(tblDaily[TransfersIn],tblDaily[EntryDate],DATE(2026,9,28),tblDaily[WardCode],"BG")=0,"",SUMIFS(tblDaily[TransfersIn],tblDaily[EntryDate],DATE(2026,9,28),tblDaily[WardCode],"BG")),"")</f>
        <v/>
      </c>
      <c r="G346" s="12">
        <f>IFERROR(IF(SUMIFS(tblDaily[TransfersOut],tblDaily[EntryDate],DATE(2026,9,28),tblDaily[WardCode],"BG")=0,"",SUMIFS(tblDaily[TransfersOut],tblDaily[EntryDate],DATE(2026,9,28),tblDaily[WardCode],"BG")),"")</f>
        <v/>
      </c>
      <c r="H346" s="12">
        <f>IFERROR(IF(SUMIFS(tblDaily[Remaining],tblDaily[EntryDate],DATE(2026,9,28),tblDaily[WardCode],"BG")=0,"",SUMIFS(tblDaily[Remaining],tblDaily[EntryDate],DATE(2026,9,28),tblDaily[WardCode],"BG")),"")</f>
        <v/>
      </c>
    </row>
    <row r="347">
      <c r="A347" s="12" t="n">
        <v>29</v>
      </c>
      <c r="B347" s="12">
        <f>IFERROR(IF(SUMIFS(tblDaily[Admissions],tblDaily[EntryDate],DATE(2026,9,29),tblDaily[WardCode],"BG")=0,"",SUMIFS(tblDaily[Admissions],tblDaily[EntryDate],DATE(2026,9,29),tblDaily[WardCode],"BG")),"")</f>
        <v/>
      </c>
      <c r="C347" s="12">
        <f>IFERROR(IF(SUMIFS(tblDaily[Discharges],tblDaily[EntryDate],DATE(2026,9,29),tblDaily[WardCode],"BG")=0,"",SUMIFS(tblDaily[Discharges],tblDaily[EntryDate],DATE(2026,9,29),tblDaily[WardCode],"BG")),"")</f>
        <v/>
      </c>
      <c r="D347" s="12">
        <f>IFERROR(IF(SUMIFS(tblDaily[Deaths],tblDaily[EntryDate],DATE(2026,9,29),tblDaily[WardCode],"BG")=0,"",SUMIFS(tblDaily[Deaths],tblDaily[EntryDate],DATE(2026,9,29),tblDaily[WardCode],"BG")),"")</f>
        <v/>
      </c>
      <c r="E347" s="12">
        <f>IFERROR(IF(SUMIFS(tblDaily[DeathsUnder24Hrs],tblDaily[EntryDate],DATE(2026,9,29),tblDaily[WardCode],"BG")=0,"",SUMIFS(tblDaily[DeathsUnder24Hrs],tblDaily[EntryDate],DATE(2026,9,29),tblDaily[WardCode],"BG")),"")</f>
        <v/>
      </c>
      <c r="F347" s="12">
        <f>IFERROR(IF(SUMIFS(tblDaily[TransfersIn],tblDaily[EntryDate],DATE(2026,9,29),tblDaily[WardCode],"BG")=0,"",SUMIFS(tblDaily[TransfersIn],tblDaily[EntryDate],DATE(2026,9,29),tblDaily[WardCode],"BG")),"")</f>
        <v/>
      </c>
      <c r="G347" s="12">
        <f>IFERROR(IF(SUMIFS(tblDaily[TransfersOut],tblDaily[EntryDate],DATE(2026,9,29),tblDaily[WardCode],"BG")=0,"",SUMIFS(tblDaily[TransfersOut],tblDaily[EntryDate],DATE(2026,9,29),tblDaily[WardCode],"BG")),"")</f>
        <v/>
      </c>
      <c r="H347" s="12">
        <f>IFERROR(IF(SUMIFS(tblDaily[Remaining],tblDaily[EntryDate],DATE(2026,9,29),tblDaily[WardCode],"BG")=0,"",SUMIFS(tblDaily[Remaining],tblDaily[EntryDate],DATE(2026,9,29),tblDaily[WardCode],"BG")),"")</f>
        <v/>
      </c>
    </row>
    <row r="348">
      <c r="A348" s="12" t="n">
        <v>30</v>
      </c>
      <c r="B348" s="12">
        <f>IFERROR(IF(SUMIFS(tblDaily[Admissions],tblDaily[EntryDate],DATE(2026,9,30),tblDaily[WardCode],"BG")=0,"",SUMIFS(tblDaily[Admissions],tblDaily[EntryDate],DATE(2026,9,30),tblDaily[WardCode],"BG")),"")</f>
        <v/>
      </c>
      <c r="C348" s="12">
        <f>IFERROR(IF(SUMIFS(tblDaily[Discharges],tblDaily[EntryDate],DATE(2026,9,30),tblDaily[WardCode],"BG")=0,"",SUMIFS(tblDaily[Discharges],tblDaily[EntryDate],DATE(2026,9,30),tblDaily[WardCode],"BG")),"")</f>
        <v/>
      </c>
      <c r="D348" s="12">
        <f>IFERROR(IF(SUMIFS(tblDaily[Deaths],tblDaily[EntryDate],DATE(2026,9,30),tblDaily[WardCode],"BG")=0,"",SUMIFS(tblDaily[Deaths],tblDaily[EntryDate],DATE(2026,9,30),tblDaily[WardCode],"BG")),"")</f>
        <v/>
      </c>
      <c r="E348" s="12">
        <f>IFERROR(IF(SUMIFS(tblDaily[DeathsUnder24Hrs],tblDaily[EntryDate],DATE(2026,9,30),tblDaily[WardCode],"BG")=0,"",SUMIFS(tblDaily[DeathsUnder24Hrs],tblDaily[EntryDate],DATE(2026,9,30),tblDaily[WardCode],"BG")),"")</f>
        <v/>
      </c>
      <c r="F348" s="12">
        <f>IFERROR(IF(SUMIFS(tblDaily[TransfersIn],tblDaily[EntryDate],DATE(2026,9,30),tblDaily[WardCode],"BG")=0,"",SUMIFS(tblDaily[TransfersIn],tblDaily[EntryDate],DATE(2026,9,30),tblDaily[WardCode],"BG")),"")</f>
        <v/>
      </c>
      <c r="G348" s="12">
        <f>IFERROR(IF(SUMIFS(tblDaily[TransfersOut],tblDaily[EntryDate],DATE(2026,9,30),tblDaily[WardCode],"BG")=0,"",SUMIFS(tblDaily[TransfersOut],tblDaily[EntryDate],DATE(2026,9,30),tblDaily[WardCode],"BG")),"")</f>
        <v/>
      </c>
      <c r="H348" s="12">
        <f>IFERROR(IF(SUMIFS(tblDaily[Remaining],tblDaily[EntryDate],DATE(2026,9,30),tblDaily[WardCode],"BG")=0,"",SUMIFS(tblDaily[Remaining],tblDaily[EntryDate],DATE(2026,9,30),tblDaily[WardCode],"BG")),"")</f>
        <v/>
      </c>
    </row>
    <row r="349">
      <c r="A349" s="12" t="n">
        <v>31</v>
      </c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7" t="inlineStr">
        <is>
          <t>TOTAL</t>
        </is>
      </c>
      <c r="B350" s="17">
        <f>SUMIFS(tblDaily[Admissions],tblDaily[Month],9,tblDaily[WardCode],"BG") - SUMIFS(tblDaily[DeathsUnder24Hrs],tblDaily[Month],9,tblDaily[WardCode],"BG")</f>
        <v/>
      </c>
      <c r="C350" s="17">
        <f>SUMIFS(tblDaily[Discharges],tblDaily[Month],9,tblDaily[WardCode],"BG")</f>
        <v/>
      </c>
      <c r="D350" s="17">
        <f>SUMIFS(tblDaily[Deaths],tblDaily[Month],9,tblDaily[WardCode],"BG")</f>
        <v/>
      </c>
      <c r="E350" s="17">
        <f>SUMIFS(tblDaily[DeathsUnder24Hrs],tblDaily[Month],9,tblDaily[WardCode],"BG")</f>
        <v/>
      </c>
      <c r="F350" s="17">
        <f>SUMIFS(tblDaily[TransfersIn],tblDaily[Month],9,tblDaily[WardCode],"BG")</f>
        <v/>
      </c>
      <c r="G350" s="17">
        <f>SUMIFS(tblDaily[TransfersOut],tblDaily[Month],9,tblDaily[WardCode],"BG")</f>
        <v/>
      </c>
      <c r="H350" s="17">
        <f>SUMIFS(tblDaily[Remaining],tblDaily[Month],9,tblDaily[WardCode],"BG")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BLOCK G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4">
        <f>IFERROR(SUMIFS(tblDaily[Remaining],tblDaily[EntryDate],DATE(2026,9,30),tblDaily[WardCode],"BG"),0)</f>
        <v/>
      </c>
    </row>
    <row r="356">
      <c r="A356" s="4" t="inlineStr">
        <is>
          <t>Bed complement</t>
        </is>
      </c>
      <c r="H356" s="15">
        <f>IFERROR(INDEX(tblWardConfig[BedComplement],MATCH("BG",tblWardConfig[WardCode],0)),0)</f>
        <v/>
      </c>
    </row>
    <row r="357">
      <c r="A357" s="16" t="inlineStr">
        <is>
          <t>Day of
the
Month</t>
        </is>
      </c>
      <c r="B357" s="16" t="inlineStr">
        <is>
          <t>Admissions</t>
        </is>
      </c>
      <c r="C357" s="16" t="inlineStr">
        <is>
          <t>Discharges</t>
        </is>
      </c>
      <c r="D357" s="16" t="inlineStr">
        <is>
          <t>Deaths</t>
        </is>
      </c>
      <c r="E357" s="16" t="inlineStr">
        <is>
          <t>Deaths
&lt;24Hrs</t>
        </is>
      </c>
      <c r="F357" s="16" t="inlineStr">
        <is>
          <t>Transfers-
In</t>
        </is>
      </c>
      <c r="G357" s="16" t="inlineStr">
        <is>
          <t>Transfers-
Out</t>
        </is>
      </c>
      <c r="H357" s="16" t="inlineStr">
        <is>
          <t>No. of Patients
Remaining In
Ward</t>
        </is>
      </c>
    </row>
    <row r="358">
      <c r="A358" s="12" t="n">
        <v>1</v>
      </c>
      <c r="B358" s="12">
        <f>IFERROR(IF(SUMIFS(tblDaily[Admissions],tblDaily[EntryDate],DATE(2026,10,1),tblDaily[WardCode],"BG")=0,"",SUMIFS(tblDaily[Admissions],tblDaily[EntryDate],DATE(2026,10,1),tblDaily[WardCode],"BG")),"")</f>
        <v/>
      </c>
      <c r="C358" s="12">
        <f>IFERROR(IF(SUMIFS(tblDaily[Discharges],tblDaily[EntryDate],DATE(2026,10,1),tblDaily[WardCode],"BG")=0,"",SUMIFS(tblDaily[Discharges],tblDaily[EntryDate],DATE(2026,10,1),tblDaily[WardCode],"BG")),"")</f>
        <v/>
      </c>
      <c r="D358" s="12">
        <f>IFERROR(IF(SUMIFS(tblDaily[Deaths],tblDaily[EntryDate],DATE(2026,10,1),tblDaily[WardCode],"BG")=0,"",SUMIFS(tblDaily[Deaths],tblDaily[EntryDate],DATE(2026,10,1),tblDaily[WardCode],"BG")),"")</f>
        <v/>
      </c>
      <c r="E358" s="12">
        <f>IFERROR(IF(SUMIFS(tblDaily[DeathsUnder24Hrs],tblDaily[EntryDate],DATE(2026,10,1),tblDaily[WardCode],"BG")=0,"",SUMIFS(tblDaily[DeathsUnder24Hrs],tblDaily[EntryDate],DATE(2026,10,1),tblDaily[WardCode],"BG")),"")</f>
        <v/>
      </c>
      <c r="F358" s="12">
        <f>IFERROR(IF(SUMIFS(tblDaily[TransfersIn],tblDaily[EntryDate],DATE(2026,10,1),tblDaily[WardCode],"BG")=0,"",SUMIFS(tblDaily[TransfersIn],tblDaily[EntryDate],DATE(2026,10,1),tblDaily[WardCode],"BG")),"")</f>
        <v/>
      </c>
      <c r="G358" s="12">
        <f>IFERROR(IF(SUMIFS(tblDaily[TransfersOut],tblDaily[EntryDate],DATE(2026,10,1),tblDaily[WardCode],"BG")=0,"",SUMIFS(tblDaily[TransfersOut],tblDaily[EntryDate],DATE(2026,10,1),tblDaily[WardCode],"BG")),"")</f>
        <v/>
      </c>
      <c r="H358" s="12">
        <f>IFERROR(IF(SUMIFS(tblDaily[Remaining],tblDaily[EntryDate],DATE(2026,10,1),tblDaily[WardCode],"BG")=0,"",SUMIFS(tblDaily[Remaining],tblDaily[EntryDate],DATE(2026,10,1),tblDaily[WardCode],"BG")),"")</f>
        <v/>
      </c>
    </row>
    <row r="359">
      <c r="A359" s="12" t="n">
        <v>2</v>
      </c>
      <c r="B359" s="12">
        <f>IFERROR(IF(SUMIFS(tblDaily[Admissions],tblDaily[EntryDate],DATE(2026,10,2),tblDaily[WardCode],"BG")=0,"",SUMIFS(tblDaily[Admissions],tblDaily[EntryDate],DATE(2026,10,2),tblDaily[WardCode],"BG")),"")</f>
        <v/>
      </c>
      <c r="C359" s="12">
        <f>IFERROR(IF(SUMIFS(tblDaily[Discharges],tblDaily[EntryDate],DATE(2026,10,2),tblDaily[WardCode],"BG")=0,"",SUMIFS(tblDaily[Discharges],tblDaily[EntryDate],DATE(2026,10,2),tblDaily[WardCode],"BG")),"")</f>
        <v/>
      </c>
      <c r="D359" s="12">
        <f>IFERROR(IF(SUMIFS(tblDaily[Deaths],tblDaily[EntryDate],DATE(2026,10,2),tblDaily[WardCode],"BG")=0,"",SUMIFS(tblDaily[Deaths],tblDaily[EntryDate],DATE(2026,10,2),tblDaily[WardCode],"BG")),"")</f>
        <v/>
      </c>
      <c r="E359" s="12">
        <f>IFERROR(IF(SUMIFS(tblDaily[DeathsUnder24Hrs],tblDaily[EntryDate],DATE(2026,10,2),tblDaily[WardCode],"BG")=0,"",SUMIFS(tblDaily[DeathsUnder24Hrs],tblDaily[EntryDate],DATE(2026,10,2),tblDaily[WardCode],"BG")),"")</f>
        <v/>
      </c>
      <c r="F359" s="12">
        <f>IFERROR(IF(SUMIFS(tblDaily[TransfersIn],tblDaily[EntryDate],DATE(2026,10,2),tblDaily[WardCode],"BG")=0,"",SUMIFS(tblDaily[TransfersIn],tblDaily[EntryDate],DATE(2026,10,2),tblDaily[WardCode],"BG")),"")</f>
        <v/>
      </c>
      <c r="G359" s="12">
        <f>IFERROR(IF(SUMIFS(tblDaily[TransfersOut],tblDaily[EntryDate],DATE(2026,10,2),tblDaily[WardCode],"BG")=0,"",SUMIFS(tblDaily[TransfersOut],tblDaily[EntryDate],DATE(2026,10,2),tblDaily[WardCode],"BG")),"")</f>
        <v/>
      </c>
      <c r="H359" s="12">
        <f>IFERROR(IF(SUMIFS(tblDaily[Remaining],tblDaily[EntryDate],DATE(2026,10,2),tblDaily[WardCode],"BG")=0,"",SUMIFS(tblDaily[Remaining],tblDaily[EntryDate],DATE(2026,10,2),tblDaily[WardCode],"BG")),"")</f>
        <v/>
      </c>
    </row>
    <row r="360">
      <c r="A360" s="12" t="n">
        <v>3</v>
      </c>
      <c r="B360" s="12">
        <f>IFERROR(IF(SUMIFS(tblDaily[Admissions],tblDaily[EntryDate],DATE(2026,10,3),tblDaily[WardCode],"BG")=0,"",SUMIFS(tblDaily[Admissions],tblDaily[EntryDate],DATE(2026,10,3),tblDaily[WardCode],"BG")),"")</f>
        <v/>
      </c>
      <c r="C360" s="12">
        <f>IFERROR(IF(SUMIFS(tblDaily[Discharges],tblDaily[EntryDate],DATE(2026,10,3),tblDaily[WardCode],"BG")=0,"",SUMIFS(tblDaily[Discharges],tblDaily[EntryDate],DATE(2026,10,3),tblDaily[WardCode],"BG")),"")</f>
        <v/>
      </c>
      <c r="D360" s="12">
        <f>IFERROR(IF(SUMIFS(tblDaily[Deaths],tblDaily[EntryDate],DATE(2026,10,3),tblDaily[WardCode],"BG")=0,"",SUMIFS(tblDaily[Deaths],tblDaily[EntryDate],DATE(2026,10,3),tblDaily[WardCode],"BG")),"")</f>
        <v/>
      </c>
      <c r="E360" s="12">
        <f>IFERROR(IF(SUMIFS(tblDaily[DeathsUnder24Hrs],tblDaily[EntryDate],DATE(2026,10,3),tblDaily[WardCode],"BG")=0,"",SUMIFS(tblDaily[DeathsUnder24Hrs],tblDaily[EntryDate],DATE(2026,10,3),tblDaily[WardCode],"BG")),"")</f>
        <v/>
      </c>
      <c r="F360" s="12">
        <f>IFERROR(IF(SUMIFS(tblDaily[TransfersIn],tblDaily[EntryDate],DATE(2026,10,3),tblDaily[WardCode],"BG")=0,"",SUMIFS(tblDaily[TransfersIn],tblDaily[EntryDate],DATE(2026,10,3),tblDaily[WardCode],"BG")),"")</f>
        <v/>
      </c>
      <c r="G360" s="12">
        <f>IFERROR(IF(SUMIFS(tblDaily[TransfersOut],tblDaily[EntryDate],DATE(2026,10,3),tblDaily[WardCode],"BG")=0,"",SUMIFS(tblDaily[TransfersOut],tblDaily[EntryDate],DATE(2026,10,3),tblDaily[WardCode],"BG")),"")</f>
        <v/>
      </c>
      <c r="H360" s="12">
        <f>IFERROR(IF(SUMIFS(tblDaily[Remaining],tblDaily[EntryDate],DATE(2026,10,3),tblDaily[WardCode],"BG")=0,"",SUMIFS(tblDaily[Remaining],tblDaily[EntryDate],DATE(2026,10,3),tblDaily[WardCode],"BG")),"")</f>
        <v/>
      </c>
    </row>
    <row r="361">
      <c r="A361" s="12" t="n">
        <v>4</v>
      </c>
      <c r="B361" s="12">
        <f>IFERROR(IF(SUMIFS(tblDaily[Admissions],tblDaily[EntryDate],DATE(2026,10,4),tblDaily[WardCode],"BG")=0,"",SUMIFS(tblDaily[Admissions],tblDaily[EntryDate],DATE(2026,10,4),tblDaily[WardCode],"BG")),"")</f>
        <v/>
      </c>
      <c r="C361" s="12">
        <f>IFERROR(IF(SUMIFS(tblDaily[Discharges],tblDaily[EntryDate],DATE(2026,10,4),tblDaily[WardCode],"BG")=0,"",SUMIFS(tblDaily[Discharges],tblDaily[EntryDate],DATE(2026,10,4),tblDaily[WardCode],"BG")),"")</f>
        <v/>
      </c>
      <c r="D361" s="12">
        <f>IFERROR(IF(SUMIFS(tblDaily[Deaths],tblDaily[EntryDate],DATE(2026,10,4),tblDaily[WardCode],"BG")=0,"",SUMIFS(tblDaily[Deaths],tblDaily[EntryDate],DATE(2026,10,4),tblDaily[WardCode],"BG")),"")</f>
        <v/>
      </c>
      <c r="E361" s="12">
        <f>IFERROR(IF(SUMIFS(tblDaily[DeathsUnder24Hrs],tblDaily[EntryDate],DATE(2026,10,4),tblDaily[WardCode],"BG")=0,"",SUMIFS(tblDaily[DeathsUnder24Hrs],tblDaily[EntryDate],DATE(2026,10,4),tblDaily[WardCode],"BG")),"")</f>
        <v/>
      </c>
      <c r="F361" s="12">
        <f>IFERROR(IF(SUMIFS(tblDaily[TransfersIn],tblDaily[EntryDate],DATE(2026,10,4),tblDaily[WardCode],"BG")=0,"",SUMIFS(tblDaily[TransfersIn],tblDaily[EntryDate],DATE(2026,10,4),tblDaily[WardCode],"BG")),"")</f>
        <v/>
      </c>
      <c r="G361" s="12">
        <f>IFERROR(IF(SUMIFS(tblDaily[TransfersOut],tblDaily[EntryDate],DATE(2026,10,4),tblDaily[WardCode],"BG")=0,"",SUMIFS(tblDaily[TransfersOut],tblDaily[EntryDate],DATE(2026,10,4),tblDaily[WardCode],"BG")),"")</f>
        <v/>
      </c>
      <c r="H361" s="12">
        <f>IFERROR(IF(SUMIFS(tblDaily[Remaining],tblDaily[EntryDate],DATE(2026,10,4),tblDaily[WardCode],"BG")=0,"",SUMIFS(tblDaily[Remaining],tblDaily[EntryDate],DATE(2026,10,4),tblDaily[WardCode],"BG")),"")</f>
        <v/>
      </c>
    </row>
    <row r="362">
      <c r="A362" s="12" t="n">
        <v>5</v>
      </c>
      <c r="B362" s="12">
        <f>IFERROR(IF(SUMIFS(tblDaily[Admissions],tblDaily[EntryDate],DATE(2026,10,5),tblDaily[WardCode],"BG")=0,"",SUMIFS(tblDaily[Admissions],tblDaily[EntryDate],DATE(2026,10,5),tblDaily[WardCode],"BG")),"")</f>
        <v/>
      </c>
      <c r="C362" s="12">
        <f>IFERROR(IF(SUMIFS(tblDaily[Discharges],tblDaily[EntryDate],DATE(2026,10,5),tblDaily[WardCode],"BG")=0,"",SUMIFS(tblDaily[Discharges],tblDaily[EntryDate],DATE(2026,10,5),tblDaily[WardCode],"BG")),"")</f>
        <v/>
      </c>
      <c r="D362" s="12">
        <f>IFERROR(IF(SUMIFS(tblDaily[Deaths],tblDaily[EntryDate],DATE(2026,10,5),tblDaily[WardCode],"BG")=0,"",SUMIFS(tblDaily[Deaths],tblDaily[EntryDate],DATE(2026,10,5),tblDaily[WardCode],"BG")),"")</f>
        <v/>
      </c>
      <c r="E362" s="12">
        <f>IFERROR(IF(SUMIFS(tblDaily[DeathsUnder24Hrs],tblDaily[EntryDate],DATE(2026,10,5),tblDaily[WardCode],"BG")=0,"",SUMIFS(tblDaily[DeathsUnder24Hrs],tblDaily[EntryDate],DATE(2026,10,5),tblDaily[WardCode],"BG")),"")</f>
        <v/>
      </c>
      <c r="F362" s="12">
        <f>IFERROR(IF(SUMIFS(tblDaily[TransfersIn],tblDaily[EntryDate],DATE(2026,10,5),tblDaily[WardCode],"BG")=0,"",SUMIFS(tblDaily[TransfersIn],tblDaily[EntryDate],DATE(2026,10,5),tblDaily[WardCode],"BG")),"")</f>
        <v/>
      </c>
      <c r="G362" s="12">
        <f>IFERROR(IF(SUMIFS(tblDaily[TransfersOut],tblDaily[EntryDate],DATE(2026,10,5),tblDaily[WardCode],"BG")=0,"",SUMIFS(tblDaily[TransfersOut],tblDaily[EntryDate],DATE(2026,10,5),tblDaily[WardCode],"BG")),"")</f>
        <v/>
      </c>
      <c r="H362" s="12">
        <f>IFERROR(IF(SUMIFS(tblDaily[Remaining],tblDaily[EntryDate],DATE(2026,10,5),tblDaily[WardCode],"BG")=0,"",SUMIFS(tblDaily[Remaining],tblDaily[EntryDate],DATE(2026,10,5),tblDaily[WardCode],"BG")),"")</f>
        <v/>
      </c>
    </row>
    <row r="363">
      <c r="A363" s="12" t="n">
        <v>6</v>
      </c>
      <c r="B363" s="12">
        <f>IFERROR(IF(SUMIFS(tblDaily[Admissions],tblDaily[EntryDate],DATE(2026,10,6),tblDaily[WardCode],"BG")=0,"",SUMIFS(tblDaily[Admissions],tblDaily[EntryDate],DATE(2026,10,6),tblDaily[WardCode],"BG")),"")</f>
        <v/>
      </c>
      <c r="C363" s="12">
        <f>IFERROR(IF(SUMIFS(tblDaily[Discharges],tblDaily[EntryDate],DATE(2026,10,6),tblDaily[WardCode],"BG")=0,"",SUMIFS(tblDaily[Discharges],tblDaily[EntryDate],DATE(2026,10,6),tblDaily[WardCode],"BG")),"")</f>
        <v/>
      </c>
      <c r="D363" s="12">
        <f>IFERROR(IF(SUMIFS(tblDaily[Deaths],tblDaily[EntryDate],DATE(2026,10,6),tblDaily[WardCode],"BG")=0,"",SUMIFS(tblDaily[Deaths],tblDaily[EntryDate],DATE(2026,10,6),tblDaily[WardCode],"BG")),"")</f>
        <v/>
      </c>
      <c r="E363" s="12">
        <f>IFERROR(IF(SUMIFS(tblDaily[DeathsUnder24Hrs],tblDaily[EntryDate],DATE(2026,10,6),tblDaily[WardCode],"BG")=0,"",SUMIFS(tblDaily[DeathsUnder24Hrs],tblDaily[EntryDate],DATE(2026,10,6),tblDaily[WardCode],"BG")),"")</f>
        <v/>
      </c>
      <c r="F363" s="12">
        <f>IFERROR(IF(SUMIFS(tblDaily[TransfersIn],tblDaily[EntryDate],DATE(2026,10,6),tblDaily[WardCode],"BG")=0,"",SUMIFS(tblDaily[TransfersIn],tblDaily[EntryDate],DATE(2026,10,6),tblDaily[WardCode],"BG")),"")</f>
        <v/>
      </c>
      <c r="G363" s="12">
        <f>IFERROR(IF(SUMIFS(tblDaily[TransfersOut],tblDaily[EntryDate],DATE(2026,10,6),tblDaily[WardCode],"BG")=0,"",SUMIFS(tblDaily[TransfersOut],tblDaily[EntryDate],DATE(2026,10,6),tblDaily[WardCode],"BG")),"")</f>
        <v/>
      </c>
      <c r="H363" s="12">
        <f>IFERROR(IF(SUMIFS(tblDaily[Remaining],tblDaily[EntryDate],DATE(2026,10,6),tblDaily[WardCode],"BG")=0,"",SUMIFS(tblDaily[Remaining],tblDaily[EntryDate],DATE(2026,10,6),tblDaily[WardCode],"BG")),"")</f>
        <v/>
      </c>
    </row>
    <row r="364">
      <c r="A364" s="12" t="n">
        <v>7</v>
      </c>
      <c r="B364" s="12">
        <f>IFERROR(IF(SUMIFS(tblDaily[Admissions],tblDaily[EntryDate],DATE(2026,10,7),tblDaily[WardCode],"BG")=0,"",SUMIFS(tblDaily[Admissions],tblDaily[EntryDate],DATE(2026,10,7),tblDaily[WardCode],"BG")),"")</f>
        <v/>
      </c>
      <c r="C364" s="12">
        <f>IFERROR(IF(SUMIFS(tblDaily[Discharges],tblDaily[EntryDate],DATE(2026,10,7),tblDaily[WardCode],"BG")=0,"",SUMIFS(tblDaily[Discharges],tblDaily[EntryDate],DATE(2026,10,7),tblDaily[WardCode],"BG")),"")</f>
        <v/>
      </c>
      <c r="D364" s="12">
        <f>IFERROR(IF(SUMIFS(tblDaily[Deaths],tblDaily[EntryDate],DATE(2026,10,7),tblDaily[WardCode],"BG")=0,"",SUMIFS(tblDaily[Deaths],tblDaily[EntryDate],DATE(2026,10,7),tblDaily[WardCode],"BG")),"")</f>
        <v/>
      </c>
      <c r="E364" s="12">
        <f>IFERROR(IF(SUMIFS(tblDaily[DeathsUnder24Hrs],tblDaily[EntryDate],DATE(2026,10,7),tblDaily[WardCode],"BG")=0,"",SUMIFS(tblDaily[DeathsUnder24Hrs],tblDaily[EntryDate],DATE(2026,10,7),tblDaily[WardCode],"BG")),"")</f>
        <v/>
      </c>
      <c r="F364" s="12">
        <f>IFERROR(IF(SUMIFS(tblDaily[TransfersIn],tblDaily[EntryDate],DATE(2026,10,7),tblDaily[WardCode],"BG")=0,"",SUMIFS(tblDaily[TransfersIn],tblDaily[EntryDate],DATE(2026,10,7),tblDaily[WardCode],"BG")),"")</f>
        <v/>
      </c>
      <c r="G364" s="12">
        <f>IFERROR(IF(SUMIFS(tblDaily[TransfersOut],tblDaily[EntryDate],DATE(2026,10,7),tblDaily[WardCode],"BG")=0,"",SUMIFS(tblDaily[TransfersOut],tblDaily[EntryDate],DATE(2026,10,7),tblDaily[WardCode],"BG")),"")</f>
        <v/>
      </c>
      <c r="H364" s="12">
        <f>IFERROR(IF(SUMIFS(tblDaily[Remaining],tblDaily[EntryDate],DATE(2026,10,7),tblDaily[WardCode],"BG")=0,"",SUMIFS(tblDaily[Remaining],tblDaily[EntryDate],DATE(2026,10,7),tblDaily[WardCode],"BG")),"")</f>
        <v/>
      </c>
    </row>
    <row r="365">
      <c r="A365" s="12" t="n">
        <v>8</v>
      </c>
      <c r="B365" s="12">
        <f>IFERROR(IF(SUMIFS(tblDaily[Admissions],tblDaily[EntryDate],DATE(2026,10,8),tblDaily[WardCode],"BG")=0,"",SUMIFS(tblDaily[Admissions],tblDaily[EntryDate],DATE(2026,10,8),tblDaily[WardCode],"BG")),"")</f>
        <v/>
      </c>
      <c r="C365" s="12">
        <f>IFERROR(IF(SUMIFS(tblDaily[Discharges],tblDaily[EntryDate],DATE(2026,10,8),tblDaily[WardCode],"BG")=0,"",SUMIFS(tblDaily[Discharges],tblDaily[EntryDate],DATE(2026,10,8),tblDaily[WardCode],"BG")),"")</f>
        <v/>
      </c>
      <c r="D365" s="12">
        <f>IFERROR(IF(SUMIFS(tblDaily[Deaths],tblDaily[EntryDate],DATE(2026,10,8),tblDaily[WardCode],"BG")=0,"",SUMIFS(tblDaily[Deaths],tblDaily[EntryDate],DATE(2026,10,8),tblDaily[WardCode],"BG")),"")</f>
        <v/>
      </c>
      <c r="E365" s="12">
        <f>IFERROR(IF(SUMIFS(tblDaily[DeathsUnder24Hrs],tblDaily[EntryDate],DATE(2026,10,8),tblDaily[WardCode],"BG")=0,"",SUMIFS(tblDaily[DeathsUnder24Hrs],tblDaily[EntryDate],DATE(2026,10,8),tblDaily[WardCode],"BG")),"")</f>
        <v/>
      </c>
      <c r="F365" s="12">
        <f>IFERROR(IF(SUMIFS(tblDaily[TransfersIn],tblDaily[EntryDate],DATE(2026,10,8),tblDaily[WardCode],"BG")=0,"",SUMIFS(tblDaily[TransfersIn],tblDaily[EntryDate],DATE(2026,10,8),tblDaily[WardCode],"BG")),"")</f>
        <v/>
      </c>
      <c r="G365" s="12">
        <f>IFERROR(IF(SUMIFS(tblDaily[TransfersOut],tblDaily[EntryDate],DATE(2026,10,8),tblDaily[WardCode],"BG")=0,"",SUMIFS(tblDaily[TransfersOut],tblDaily[EntryDate],DATE(2026,10,8),tblDaily[WardCode],"BG")),"")</f>
        <v/>
      </c>
      <c r="H365" s="12">
        <f>IFERROR(IF(SUMIFS(tblDaily[Remaining],tblDaily[EntryDate],DATE(2026,10,8),tblDaily[WardCode],"BG")=0,"",SUMIFS(tblDaily[Remaining],tblDaily[EntryDate],DATE(2026,10,8),tblDaily[WardCode],"BG")),"")</f>
        <v/>
      </c>
    </row>
    <row r="366">
      <c r="A366" s="12" t="n">
        <v>9</v>
      </c>
      <c r="B366" s="12">
        <f>IFERROR(IF(SUMIFS(tblDaily[Admissions],tblDaily[EntryDate],DATE(2026,10,9),tblDaily[WardCode],"BG")=0,"",SUMIFS(tblDaily[Admissions],tblDaily[EntryDate],DATE(2026,10,9),tblDaily[WardCode],"BG")),"")</f>
        <v/>
      </c>
      <c r="C366" s="12">
        <f>IFERROR(IF(SUMIFS(tblDaily[Discharges],tblDaily[EntryDate],DATE(2026,10,9),tblDaily[WardCode],"BG")=0,"",SUMIFS(tblDaily[Discharges],tblDaily[EntryDate],DATE(2026,10,9),tblDaily[WardCode],"BG")),"")</f>
        <v/>
      </c>
      <c r="D366" s="12">
        <f>IFERROR(IF(SUMIFS(tblDaily[Deaths],tblDaily[EntryDate],DATE(2026,10,9),tblDaily[WardCode],"BG")=0,"",SUMIFS(tblDaily[Deaths],tblDaily[EntryDate],DATE(2026,10,9),tblDaily[WardCode],"BG")),"")</f>
        <v/>
      </c>
      <c r="E366" s="12">
        <f>IFERROR(IF(SUMIFS(tblDaily[DeathsUnder24Hrs],tblDaily[EntryDate],DATE(2026,10,9),tblDaily[WardCode],"BG")=0,"",SUMIFS(tblDaily[DeathsUnder24Hrs],tblDaily[EntryDate],DATE(2026,10,9),tblDaily[WardCode],"BG")),"")</f>
        <v/>
      </c>
      <c r="F366" s="12">
        <f>IFERROR(IF(SUMIFS(tblDaily[TransfersIn],tblDaily[EntryDate],DATE(2026,10,9),tblDaily[WardCode],"BG")=0,"",SUMIFS(tblDaily[TransfersIn],tblDaily[EntryDate],DATE(2026,10,9),tblDaily[WardCode],"BG")),"")</f>
        <v/>
      </c>
      <c r="G366" s="12">
        <f>IFERROR(IF(SUMIFS(tblDaily[TransfersOut],tblDaily[EntryDate],DATE(2026,10,9),tblDaily[WardCode],"BG")=0,"",SUMIFS(tblDaily[TransfersOut],tblDaily[EntryDate],DATE(2026,10,9),tblDaily[WardCode],"BG")),"")</f>
        <v/>
      </c>
      <c r="H366" s="12">
        <f>IFERROR(IF(SUMIFS(tblDaily[Remaining],tblDaily[EntryDate],DATE(2026,10,9),tblDaily[WardCode],"BG")=0,"",SUMIFS(tblDaily[Remaining],tblDaily[EntryDate],DATE(2026,10,9),tblDaily[WardCode],"BG")),"")</f>
        <v/>
      </c>
    </row>
    <row r="367">
      <c r="A367" s="12" t="n">
        <v>10</v>
      </c>
      <c r="B367" s="12">
        <f>IFERROR(IF(SUMIFS(tblDaily[Admissions],tblDaily[EntryDate],DATE(2026,10,10),tblDaily[WardCode],"BG")=0,"",SUMIFS(tblDaily[Admissions],tblDaily[EntryDate],DATE(2026,10,10),tblDaily[WardCode],"BG")),"")</f>
        <v/>
      </c>
      <c r="C367" s="12">
        <f>IFERROR(IF(SUMIFS(tblDaily[Discharges],tblDaily[EntryDate],DATE(2026,10,10),tblDaily[WardCode],"BG")=0,"",SUMIFS(tblDaily[Discharges],tblDaily[EntryDate],DATE(2026,10,10),tblDaily[WardCode],"BG")),"")</f>
        <v/>
      </c>
      <c r="D367" s="12">
        <f>IFERROR(IF(SUMIFS(tblDaily[Deaths],tblDaily[EntryDate],DATE(2026,10,10),tblDaily[WardCode],"BG")=0,"",SUMIFS(tblDaily[Deaths],tblDaily[EntryDate],DATE(2026,10,10),tblDaily[WardCode],"BG")),"")</f>
        <v/>
      </c>
      <c r="E367" s="12">
        <f>IFERROR(IF(SUMIFS(tblDaily[DeathsUnder24Hrs],tblDaily[EntryDate],DATE(2026,10,10),tblDaily[WardCode],"BG")=0,"",SUMIFS(tblDaily[DeathsUnder24Hrs],tblDaily[EntryDate],DATE(2026,10,10),tblDaily[WardCode],"BG")),"")</f>
        <v/>
      </c>
      <c r="F367" s="12">
        <f>IFERROR(IF(SUMIFS(tblDaily[TransfersIn],tblDaily[EntryDate],DATE(2026,10,10),tblDaily[WardCode],"BG")=0,"",SUMIFS(tblDaily[TransfersIn],tblDaily[EntryDate],DATE(2026,10,10),tblDaily[WardCode],"BG")),"")</f>
        <v/>
      </c>
      <c r="G367" s="12">
        <f>IFERROR(IF(SUMIFS(tblDaily[TransfersOut],tblDaily[EntryDate],DATE(2026,10,10),tblDaily[WardCode],"BG")=0,"",SUMIFS(tblDaily[TransfersOut],tblDaily[EntryDate],DATE(2026,10,10),tblDaily[WardCode],"BG")),"")</f>
        <v/>
      </c>
      <c r="H367" s="12">
        <f>IFERROR(IF(SUMIFS(tblDaily[Remaining],tblDaily[EntryDate],DATE(2026,10,10),tblDaily[WardCode],"BG")=0,"",SUMIFS(tblDaily[Remaining],tblDaily[EntryDate],DATE(2026,10,10),tblDaily[WardCode],"BG")),"")</f>
        <v/>
      </c>
    </row>
    <row r="368">
      <c r="A368" s="12" t="n">
        <v>11</v>
      </c>
      <c r="B368" s="12">
        <f>IFERROR(IF(SUMIFS(tblDaily[Admissions],tblDaily[EntryDate],DATE(2026,10,11),tblDaily[WardCode],"BG")=0,"",SUMIFS(tblDaily[Admissions],tblDaily[EntryDate],DATE(2026,10,11),tblDaily[WardCode],"BG")),"")</f>
        <v/>
      </c>
      <c r="C368" s="12">
        <f>IFERROR(IF(SUMIFS(tblDaily[Discharges],tblDaily[EntryDate],DATE(2026,10,11),tblDaily[WardCode],"BG")=0,"",SUMIFS(tblDaily[Discharges],tblDaily[EntryDate],DATE(2026,10,11),tblDaily[WardCode],"BG")),"")</f>
        <v/>
      </c>
      <c r="D368" s="12">
        <f>IFERROR(IF(SUMIFS(tblDaily[Deaths],tblDaily[EntryDate],DATE(2026,10,11),tblDaily[WardCode],"BG")=0,"",SUMIFS(tblDaily[Deaths],tblDaily[EntryDate],DATE(2026,10,11),tblDaily[WardCode],"BG")),"")</f>
        <v/>
      </c>
      <c r="E368" s="12">
        <f>IFERROR(IF(SUMIFS(tblDaily[DeathsUnder24Hrs],tblDaily[EntryDate],DATE(2026,10,11),tblDaily[WardCode],"BG")=0,"",SUMIFS(tblDaily[DeathsUnder24Hrs],tblDaily[EntryDate],DATE(2026,10,11),tblDaily[WardCode],"BG")),"")</f>
        <v/>
      </c>
      <c r="F368" s="12">
        <f>IFERROR(IF(SUMIFS(tblDaily[TransfersIn],tblDaily[EntryDate],DATE(2026,10,11),tblDaily[WardCode],"BG")=0,"",SUMIFS(tblDaily[TransfersIn],tblDaily[EntryDate],DATE(2026,10,11),tblDaily[WardCode],"BG")),"")</f>
        <v/>
      </c>
      <c r="G368" s="12">
        <f>IFERROR(IF(SUMIFS(tblDaily[TransfersOut],tblDaily[EntryDate],DATE(2026,10,11),tblDaily[WardCode],"BG")=0,"",SUMIFS(tblDaily[TransfersOut],tblDaily[EntryDate],DATE(2026,10,11),tblDaily[WardCode],"BG")),"")</f>
        <v/>
      </c>
      <c r="H368" s="12">
        <f>IFERROR(IF(SUMIFS(tblDaily[Remaining],tblDaily[EntryDate],DATE(2026,10,11),tblDaily[WardCode],"BG")=0,"",SUMIFS(tblDaily[Remaining],tblDaily[EntryDate],DATE(2026,10,11),tblDaily[WardCode],"BG")),"")</f>
        <v/>
      </c>
    </row>
    <row r="369">
      <c r="A369" s="12" t="n">
        <v>12</v>
      </c>
      <c r="B369" s="12">
        <f>IFERROR(IF(SUMIFS(tblDaily[Admissions],tblDaily[EntryDate],DATE(2026,10,12),tblDaily[WardCode],"BG")=0,"",SUMIFS(tblDaily[Admissions],tblDaily[EntryDate],DATE(2026,10,12),tblDaily[WardCode],"BG")),"")</f>
        <v/>
      </c>
      <c r="C369" s="12">
        <f>IFERROR(IF(SUMIFS(tblDaily[Discharges],tblDaily[EntryDate],DATE(2026,10,12),tblDaily[WardCode],"BG")=0,"",SUMIFS(tblDaily[Discharges],tblDaily[EntryDate],DATE(2026,10,12),tblDaily[WardCode],"BG")),"")</f>
        <v/>
      </c>
      <c r="D369" s="12">
        <f>IFERROR(IF(SUMIFS(tblDaily[Deaths],tblDaily[EntryDate],DATE(2026,10,12),tblDaily[WardCode],"BG")=0,"",SUMIFS(tblDaily[Deaths],tblDaily[EntryDate],DATE(2026,10,12),tblDaily[WardCode],"BG")),"")</f>
        <v/>
      </c>
      <c r="E369" s="12">
        <f>IFERROR(IF(SUMIFS(tblDaily[DeathsUnder24Hrs],tblDaily[EntryDate],DATE(2026,10,12),tblDaily[WardCode],"BG")=0,"",SUMIFS(tblDaily[DeathsUnder24Hrs],tblDaily[EntryDate],DATE(2026,10,12),tblDaily[WardCode],"BG")),"")</f>
        <v/>
      </c>
      <c r="F369" s="12">
        <f>IFERROR(IF(SUMIFS(tblDaily[TransfersIn],tblDaily[EntryDate],DATE(2026,10,12),tblDaily[WardCode],"BG")=0,"",SUMIFS(tblDaily[TransfersIn],tblDaily[EntryDate],DATE(2026,10,12),tblDaily[WardCode],"BG")),"")</f>
        <v/>
      </c>
      <c r="G369" s="12">
        <f>IFERROR(IF(SUMIFS(tblDaily[TransfersOut],tblDaily[EntryDate],DATE(2026,10,12),tblDaily[WardCode],"BG")=0,"",SUMIFS(tblDaily[TransfersOut],tblDaily[EntryDate],DATE(2026,10,12),tblDaily[WardCode],"BG")),"")</f>
        <v/>
      </c>
      <c r="H369" s="12">
        <f>IFERROR(IF(SUMIFS(tblDaily[Remaining],tblDaily[EntryDate],DATE(2026,10,12),tblDaily[WardCode],"BG")=0,"",SUMIFS(tblDaily[Remaining],tblDaily[EntryDate],DATE(2026,10,12),tblDaily[WardCode],"BG")),"")</f>
        <v/>
      </c>
    </row>
    <row r="370">
      <c r="A370" s="12" t="n">
        <v>13</v>
      </c>
      <c r="B370" s="12">
        <f>IFERROR(IF(SUMIFS(tblDaily[Admissions],tblDaily[EntryDate],DATE(2026,10,13),tblDaily[WardCode],"BG")=0,"",SUMIFS(tblDaily[Admissions],tblDaily[EntryDate],DATE(2026,10,13),tblDaily[WardCode],"BG")),"")</f>
        <v/>
      </c>
      <c r="C370" s="12">
        <f>IFERROR(IF(SUMIFS(tblDaily[Discharges],tblDaily[EntryDate],DATE(2026,10,13),tblDaily[WardCode],"BG")=0,"",SUMIFS(tblDaily[Discharges],tblDaily[EntryDate],DATE(2026,10,13),tblDaily[WardCode],"BG")),"")</f>
        <v/>
      </c>
      <c r="D370" s="12">
        <f>IFERROR(IF(SUMIFS(tblDaily[Deaths],tblDaily[EntryDate],DATE(2026,10,13),tblDaily[WardCode],"BG")=0,"",SUMIFS(tblDaily[Deaths],tblDaily[EntryDate],DATE(2026,10,13),tblDaily[WardCode],"BG")),"")</f>
        <v/>
      </c>
      <c r="E370" s="12">
        <f>IFERROR(IF(SUMIFS(tblDaily[DeathsUnder24Hrs],tblDaily[EntryDate],DATE(2026,10,13),tblDaily[WardCode],"BG")=0,"",SUMIFS(tblDaily[DeathsUnder24Hrs],tblDaily[EntryDate],DATE(2026,10,13),tblDaily[WardCode],"BG")),"")</f>
        <v/>
      </c>
      <c r="F370" s="12">
        <f>IFERROR(IF(SUMIFS(tblDaily[TransfersIn],tblDaily[EntryDate],DATE(2026,10,13),tblDaily[WardCode],"BG")=0,"",SUMIFS(tblDaily[TransfersIn],tblDaily[EntryDate],DATE(2026,10,13),tblDaily[WardCode],"BG")),"")</f>
        <v/>
      </c>
      <c r="G370" s="12">
        <f>IFERROR(IF(SUMIFS(tblDaily[TransfersOut],tblDaily[EntryDate],DATE(2026,10,13),tblDaily[WardCode],"BG")=0,"",SUMIFS(tblDaily[TransfersOut],tblDaily[EntryDate],DATE(2026,10,13),tblDaily[WardCode],"BG")),"")</f>
        <v/>
      </c>
      <c r="H370" s="12">
        <f>IFERROR(IF(SUMIFS(tblDaily[Remaining],tblDaily[EntryDate],DATE(2026,10,13),tblDaily[WardCode],"BG")=0,"",SUMIFS(tblDaily[Remaining],tblDaily[EntryDate],DATE(2026,10,13),tblDaily[WardCode],"BG")),"")</f>
        <v/>
      </c>
    </row>
    <row r="371">
      <c r="A371" s="12" t="n">
        <v>14</v>
      </c>
      <c r="B371" s="12">
        <f>IFERROR(IF(SUMIFS(tblDaily[Admissions],tblDaily[EntryDate],DATE(2026,10,14),tblDaily[WardCode],"BG")=0,"",SUMIFS(tblDaily[Admissions],tblDaily[EntryDate],DATE(2026,10,14),tblDaily[WardCode],"BG")),"")</f>
        <v/>
      </c>
      <c r="C371" s="12">
        <f>IFERROR(IF(SUMIFS(tblDaily[Discharges],tblDaily[EntryDate],DATE(2026,10,14),tblDaily[WardCode],"BG")=0,"",SUMIFS(tblDaily[Discharges],tblDaily[EntryDate],DATE(2026,10,14),tblDaily[WardCode],"BG")),"")</f>
        <v/>
      </c>
      <c r="D371" s="12">
        <f>IFERROR(IF(SUMIFS(tblDaily[Deaths],tblDaily[EntryDate],DATE(2026,10,14),tblDaily[WardCode],"BG")=0,"",SUMIFS(tblDaily[Deaths],tblDaily[EntryDate],DATE(2026,10,14),tblDaily[WardCode],"BG")),"")</f>
        <v/>
      </c>
      <c r="E371" s="12">
        <f>IFERROR(IF(SUMIFS(tblDaily[DeathsUnder24Hrs],tblDaily[EntryDate],DATE(2026,10,14),tblDaily[WardCode],"BG")=0,"",SUMIFS(tblDaily[DeathsUnder24Hrs],tblDaily[EntryDate],DATE(2026,10,14),tblDaily[WardCode],"BG")),"")</f>
        <v/>
      </c>
      <c r="F371" s="12">
        <f>IFERROR(IF(SUMIFS(tblDaily[TransfersIn],tblDaily[EntryDate],DATE(2026,10,14),tblDaily[WardCode],"BG")=0,"",SUMIFS(tblDaily[TransfersIn],tblDaily[EntryDate],DATE(2026,10,14),tblDaily[WardCode],"BG")),"")</f>
        <v/>
      </c>
      <c r="G371" s="12">
        <f>IFERROR(IF(SUMIFS(tblDaily[TransfersOut],tblDaily[EntryDate],DATE(2026,10,14),tblDaily[WardCode],"BG")=0,"",SUMIFS(tblDaily[TransfersOut],tblDaily[EntryDate],DATE(2026,10,14),tblDaily[WardCode],"BG")),"")</f>
        <v/>
      </c>
      <c r="H371" s="12">
        <f>IFERROR(IF(SUMIFS(tblDaily[Remaining],tblDaily[EntryDate],DATE(2026,10,14),tblDaily[WardCode],"BG")=0,"",SUMIFS(tblDaily[Remaining],tblDaily[EntryDate],DATE(2026,10,14),tblDaily[WardCode],"BG")),"")</f>
        <v/>
      </c>
    </row>
    <row r="372">
      <c r="A372" s="12" t="n">
        <v>15</v>
      </c>
      <c r="B372" s="12">
        <f>IFERROR(IF(SUMIFS(tblDaily[Admissions],tblDaily[EntryDate],DATE(2026,10,15),tblDaily[WardCode],"BG")=0,"",SUMIFS(tblDaily[Admissions],tblDaily[EntryDate],DATE(2026,10,15),tblDaily[WardCode],"BG")),"")</f>
        <v/>
      </c>
      <c r="C372" s="12">
        <f>IFERROR(IF(SUMIFS(tblDaily[Discharges],tblDaily[EntryDate],DATE(2026,10,15),tblDaily[WardCode],"BG")=0,"",SUMIFS(tblDaily[Discharges],tblDaily[EntryDate],DATE(2026,10,15),tblDaily[WardCode],"BG")),"")</f>
        <v/>
      </c>
      <c r="D372" s="12">
        <f>IFERROR(IF(SUMIFS(tblDaily[Deaths],tblDaily[EntryDate],DATE(2026,10,15),tblDaily[WardCode],"BG")=0,"",SUMIFS(tblDaily[Deaths],tblDaily[EntryDate],DATE(2026,10,15),tblDaily[WardCode],"BG")),"")</f>
        <v/>
      </c>
      <c r="E372" s="12">
        <f>IFERROR(IF(SUMIFS(tblDaily[DeathsUnder24Hrs],tblDaily[EntryDate],DATE(2026,10,15),tblDaily[WardCode],"BG")=0,"",SUMIFS(tblDaily[DeathsUnder24Hrs],tblDaily[EntryDate],DATE(2026,10,15),tblDaily[WardCode],"BG")),"")</f>
        <v/>
      </c>
      <c r="F372" s="12">
        <f>IFERROR(IF(SUMIFS(tblDaily[TransfersIn],tblDaily[EntryDate],DATE(2026,10,15),tblDaily[WardCode],"BG")=0,"",SUMIFS(tblDaily[TransfersIn],tblDaily[EntryDate],DATE(2026,10,15),tblDaily[WardCode],"BG")),"")</f>
        <v/>
      </c>
      <c r="G372" s="12">
        <f>IFERROR(IF(SUMIFS(tblDaily[TransfersOut],tblDaily[EntryDate],DATE(2026,10,15),tblDaily[WardCode],"BG")=0,"",SUMIFS(tblDaily[TransfersOut],tblDaily[EntryDate],DATE(2026,10,15),tblDaily[WardCode],"BG")),"")</f>
        <v/>
      </c>
      <c r="H372" s="12">
        <f>IFERROR(IF(SUMIFS(tblDaily[Remaining],tblDaily[EntryDate],DATE(2026,10,15),tblDaily[WardCode],"BG")=0,"",SUMIFS(tblDaily[Remaining],tblDaily[EntryDate],DATE(2026,10,15),tblDaily[WardCode],"BG")),"")</f>
        <v/>
      </c>
    </row>
    <row r="373">
      <c r="A373" s="12" t="n">
        <v>16</v>
      </c>
      <c r="B373" s="12">
        <f>IFERROR(IF(SUMIFS(tblDaily[Admissions],tblDaily[EntryDate],DATE(2026,10,16),tblDaily[WardCode],"BG")=0,"",SUMIFS(tblDaily[Admissions],tblDaily[EntryDate],DATE(2026,10,16),tblDaily[WardCode],"BG")),"")</f>
        <v/>
      </c>
      <c r="C373" s="12">
        <f>IFERROR(IF(SUMIFS(tblDaily[Discharges],tblDaily[EntryDate],DATE(2026,10,16),tblDaily[WardCode],"BG")=0,"",SUMIFS(tblDaily[Discharges],tblDaily[EntryDate],DATE(2026,10,16),tblDaily[WardCode],"BG")),"")</f>
        <v/>
      </c>
      <c r="D373" s="12">
        <f>IFERROR(IF(SUMIFS(tblDaily[Deaths],tblDaily[EntryDate],DATE(2026,10,16),tblDaily[WardCode],"BG")=0,"",SUMIFS(tblDaily[Deaths],tblDaily[EntryDate],DATE(2026,10,16),tblDaily[WardCode],"BG")),"")</f>
        <v/>
      </c>
      <c r="E373" s="12">
        <f>IFERROR(IF(SUMIFS(tblDaily[DeathsUnder24Hrs],tblDaily[EntryDate],DATE(2026,10,16),tblDaily[WardCode],"BG")=0,"",SUMIFS(tblDaily[DeathsUnder24Hrs],tblDaily[EntryDate],DATE(2026,10,16),tblDaily[WardCode],"BG")),"")</f>
        <v/>
      </c>
      <c r="F373" s="12">
        <f>IFERROR(IF(SUMIFS(tblDaily[TransfersIn],tblDaily[EntryDate],DATE(2026,10,16),tblDaily[WardCode],"BG")=0,"",SUMIFS(tblDaily[TransfersIn],tblDaily[EntryDate],DATE(2026,10,16),tblDaily[WardCode],"BG")),"")</f>
        <v/>
      </c>
      <c r="G373" s="12">
        <f>IFERROR(IF(SUMIFS(tblDaily[TransfersOut],tblDaily[EntryDate],DATE(2026,10,16),tblDaily[WardCode],"BG")=0,"",SUMIFS(tblDaily[TransfersOut],tblDaily[EntryDate],DATE(2026,10,16),tblDaily[WardCode],"BG")),"")</f>
        <v/>
      </c>
      <c r="H373" s="12">
        <f>IFERROR(IF(SUMIFS(tblDaily[Remaining],tblDaily[EntryDate],DATE(2026,10,16),tblDaily[WardCode],"BG")=0,"",SUMIFS(tblDaily[Remaining],tblDaily[EntryDate],DATE(2026,10,16),tblDaily[WardCode],"BG")),"")</f>
        <v/>
      </c>
    </row>
    <row r="374">
      <c r="A374" s="12" t="n">
        <v>17</v>
      </c>
      <c r="B374" s="12">
        <f>IFERROR(IF(SUMIFS(tblDaily[Admissions],tblDaily[EntryDate],DATE(2026,10,17),tblDaily[WardCode],"BG")=0,"",SUMIFS(tblDaily[Admissions],tblDaily[EntryDate],DATE(2026,10,17),tblDaily[WardCode],"BG")),"")</f>
        <v/>
      </c>
      <c r="C374" s="12">
        <f>IFERROR(IF(SUMIFS(tblDaily[Discharges],tblDaily[EntryDate],DATE(2026,10,17),tblDaily[WardCode],"BG")=0,"",SUMIFS(tblDaily[Discharges],tblDaily[EntryDate],DATE(2026,10,17),tblDaily[WardCode],"BG")),"")</f>
        <v/>
      </c>
      <c r="D374" s="12">
        <f>IFERROR(IF(SUMIFS(tblDaily[Deaths],tblDaily[EntryDate],DATE(2026,10,17),tblDaily[WardCode],"BG")=0,"",SUMIFS(tblDaily[Deaths],tblDaily[EntryDate],DATE(2026,10,17),tblDaily[WardCode],"BG")),"")</f>
        <v/>
      </c>
      <c r="E374" s="12">
        <f>IFERROR(IF(SUMIFS(tblDaily[DeathsUnder24Hrs],tblDaily[EntryDate],DATE(2026,10,17),tblDaily[WardCode],"BG")=0,"",SUMIFS(tblDaily[DeathsUnder24Hrs],tblDaily[EntryDate],DATE(2026,10,17),tblDaily[WardCode],"BG")),"")</f>
        <v/>
      </c>
      <c r="F374" s="12">
        <f>IFERROR(IF(SUMIFS(tblDaily[TransfersIn],tblDaily[EntryDate],DATE(2026,10,17),tblDaily[WardCode],"BG")=0,"",SUMIFS(tblDaily[TransfersIn],tblDaily[EntryDate],DATE(2026,10,17),tblDaily[WardCode],"BG")),"")</f>
        <v/>
      </c>
      <c r="G374" s="12">
        <f>IFERROR(IF(SUMIFS(tblDaily[TransfersOut],tblDaily[EntryDate],DATE(2026,10,17),tblDaily[WardCode],"BG")=0,"",SUMIFS(tblDaily[TransfersOut],tblDaily[EntryDate],DATE(2026,10,17),tblDaily[WardCode],"BG")),"")</f>
        <v/>
      </c>
      <c r="H374" s="12">
        <f>IFERROR(IF(SUMIFS(tblDaily[Remaining],tblDaily[EntryDate],DATE(2026,10,17),tblDaily[WardCode],"BG")=0,"",SUMIFS(tblDaily[Remaining],tblDaily[EntryDate],DATE(2026,10,17),tblDaily[WardCode],"BG")),"")</f>
        <v/>
      </c>
    </row>
    <row r="375">
      <c r="A375" s="12" t="n">
        <v>18</v>
      </c>
      <c r="B375" s="12">
        <f>IFERROR(IF(SUMIFS(tblDaily[Admissions],tblDaily[EntryDate],DATE(2026,10,18),tblDaily[WardCode],"BG")=0,"",SUMIFS(tblDaily[Admissions],tblDaily[EntryDate],DATE(2026,10,18),tblDaily[WardCode],"BG")),"")</f>
        <v/>
      </c>
      <c r="C375" s="12">
        <f>IFERROR(IF(SUMIFS(tblDaily[Discharges],tblDaily[EntryDate],DATE(2026,10,18),tblDaily[WardCode],"BG")=0,"",SUMIFS(tblDaily[Discharges],tblDaily[EntryDate],DATE(2026,10,18),tblDaily[WardCode],"BG")),"")</f>
        <v/>
      </c>
      <c r="D375" s="12">
        <f>IFERROR(IF(SUMIFS(tblDaily[Deaths],tblDaily[EntryDate],DATE(2026,10,18),tblDaily[WardCode],"BG")=0,"",SUMIFS(tblDaily[Deaths],tblDaily[EntryDate],DATE(2026,10,18),tblDaily[WardCode],"BG")),"")</f>
        <v/>
      </c>
      <c r="E375" s="12">
        <f>IFERROR(IF(SUMIFS(tblDaily[DeathsUnder24Hrs],tblDaily[EntryDate],DATE(2026,10,18),tblDaily[WardCode],"BG")=0,"",SUMIFS(tblDaily[DeathsUnder24Hrs],tblDaily[EntryDate],DATE(2026,10,18),tblDaily[WardCode],"BG")),"")</f>
        <v/>
      </c>
      <c r="F375" s="12">
        <f>IFERROR(IF(SUMIFS(tblDaily[TransfersIn],tblDaily[EntryDate],DATE(2026,10,18),tblDaily[WardCode],"BG")=0,"",SUMIFS(tblDaily[TransfersIn],tblDaily[EntryDate],DATE(2026,10,18),tblDaily[WardCode],"BG")),"")</f>
        <v/>
      </c>
      <c r="G375" s="12">
        <f>IFERROR(IF(SUMIFS(tblDaily[TransfersOut],tblDaily[EntryDate],DATE(2026,10,18),tblDaily[WardCode],"BG")=0,"",SUMIFS(tblDaily[TransfersOut],tblDaily[EntryDate],DATE(2026,10,18),tblDaily[WardCode],"BG")),"")</f>
        <v/>
      </c>
      <c r="H375" s="12">
        <f>IFERROR(IF(SUMIFS(tblDaily[Remaining],tblDaily[EntryDate],DATE(2026,10,18),tblDaily[WardCode],"BG")=0,"",SUMIFS(tblDaily[Remaining],tblDaily[EntryDate],DATE(2026,10,18),tblDaily[WardCode],"BG")),"")</f>
        <v/>
      </c>
    </row>
    <row r="376">
      <c r="A376" s="12" t="n">
        <v>19</v>
      </c>
      <c r="B376" s="12">
        <f>IFERROR(IF(SUMIFS(tblDaily[Admissions],tblDaily[EntryDate],DATE(2026,10,19),tblDaily[WardCode],"BG")=0,"",SUMIFS(tblDaily[Admissions],tblDaily[EntryDate],DATE(2026,10,19),tblDaily[WardCode],"BG")),"")</f>
        <v/>
      </c>
      <c r="C376" s="12">
        <f>IFERROR(IF(SUMIFS(tblDaily[Discharges],tblDaily[EntryDate],DATE(2026,10,19),tblDaily[WardCode],"BG")=0,"",SUMIFS(tblDaily[Discharges],tblDaily[EntryDate],DATE(2026,10,19),tblDaily[WardCode],"BG")),"")</f>
        <v/>
      </c>
      <c r="D376" s="12">
        <f>IFERROR(IF(SUMIFS(tblDaily[Deaths],tblDaily[EntryDate],DATE(2026,10,19),tblDaily[WardCode],"BG")=0,"",SUMIFS(tblDaily[Deaths],tblDaily[EntryDate],DATE(2026,10,19),tblDaily[WardCode],"BG")),"")</f>
        <v/>
      </c>
      <c r="E376" s="12">
        <f>IFERROR(IF(SUMIFS(tblDaily[DeathsUnder24Hrs],tblDaily[EntryDate],DATE(2026,10,19),tblDaily[WardCode],"BG")=0,"",SUMIFS(tblDaily[DeathsUnder24Hrs],tblDaily[EntryDate],DATE(2026,10,19),tblDaily[WardCode],"BG")),"")</f>
        <v/>
      </c>
      <c r="F376" s="12">
        <f>IFERROR(IF(SUMIFS(tblDaily[TransfersIn],tblDaily[EntryDate],DATE(2026,10,19),tblDaily[WardCode],"BG")=0,"",SUMIFS(tblDaily[TransfersIn],tblDaily[EntryDate],DATE(2026,10,19),tblDaily[WardCode],"BG")),"")</f>
        <v/>
      </c>
      <c r="G376" s="12">
        <f>IFERROR(IF(SUMIFS(tblDaily[TransfersOut],tblDaily[EntryDate],DATE(2026,10,19),tblDaily[WardCode],"BG")=0,"",SUMIFS(tblDaily[TransfersOut],tblDaily[EntryDate],DATE(2026,10,19),tblDaily[WardCode],"BG")),"")</f>
        <v/>
      </c>
      <c r="H376" s="12">
        <f>IFERROR(IF(SUMIFS(tblDaily[Remaining],tblDaily[EntryDate],DATE(2026,10,19),tblDaily[WardCode],"BG")=0,"",SUMIFS(tblDaily[Remaining],tblDaily[EntryDate],DATE(2026,10,19),tblDaily[WardCode],"BG")),"")</f>
        <v/>
      </c>
    </row>
    <row r="377">
      <c r="A377" s="12" t="n">
        <v>20</v>
      </c>
      <c r="B377" s="12">
        <f>IFERROR(IF(SUMIFS(tblDaily[Admissions],tblDaily[EntryDate],DATE(2026,10,20),tblDaily[WardCode],"BG")=0,"",SUMIFS(tblDaily[Admissions],tblDaily[EntryDate],DATE(2026,10,20),tblDaily[WardCode],"BG")),"")</f>
        <v/>
      </c>
      <c r="C377" s="12">
        <f>IFERROR(IF(SUMIFS(tblDaily[Discharges],tblDaily[EntryDate],DATE(2026,10,20),tblDaily[WardCode],"BG")=0,"",SUMIFS(tblDaily[Discharges],tblDaily[EntryDate],DATE(2026,10,20),tblDaily[WardCode],"BG")),"")</f>
        <v/>
      </c>
      <c r="D377" s="12">
        <f>IFERROR(IF(SUMIFS(tblDaily[Deaths],tblDaily[EntryDate],DATE(2026,10,20),tblDaily[WardCode],"BG")=0,"",SUMIFS(tblDaily[Deaths],tblDaily[EntryDate],DATE(2026,10,20),tblDaily[WardCode],"BG")),"")</f>
        <v/>
      </c>
      <c r="E377" s="12">
        <f>IFERROR(IF(SUMIFS(tblDaily[DeathsUnder24Hrs],tblDaily[EntryDate],DATE(2026,10,20),tblDaily[WardCode],"BG")=0,"",SUMIFS(tblDaily[DeathsUnder24Hrs],tblDaily[EntryDate],DATE(2026,10,20),tblDaily[WardCode],"BG")),"")</f>
        <v/>
      </c>
      <c r="F377" s="12">
        <f>IFERROR(IF(SUMIFS(tblDaily[TransfersIn],tblDaily[EntryDate],DATE(2026,10,20),tblDaily[WardCode],"BG")=0,"",SUMIFS(tblDaily[TransfersIn],tblDaily[EntryDate],DATE(2026,10,20),tblDaily[WardCode],"BG")),"")</f>
        <v/>
      </c>
      <c r="G377" s="12">
        <f>IFERROR(IF(SUMIFS(tblDaily[TransfersOut],tblDaily[EntryDate],DATE(2026,10,20),tblDaily[WardCode],"BG")=0,"",SUMIFS(tblDaily[TransfersOut],tblDaily[EntryDate],DATE(2026,10,20),tblDaily[WardCode],"BG")),"")</f>
        <v/>
      </c>
      <c r="H377" s="12">
        <f>IFERROR(IF(SUMIFS(tblDaily[Remaining],tblDaily[EntryDate],DATE(2026,10,20),tblDaily[WardCode],"BG")=0,"",SUMIFS(tblDaily[Remaining],tblDaily[EntryDate],DATE(2026,10,20),tblDaily[WardCode],"BG")),"")</f>
        <v/>
      </c>
    </row>
    <row r="378">
      <c r="A378" s="12" t="n">
        <v>21</v>
      </c>
      <c r="B378" s="12">
        <f>IFERROR(IF(SUMIFS(tblDaily[Admissions],tblDaily[EntryDate],DATE(2026,10,21),tblDaily[WardCode],"BG")=0,"",SUMIFS(tblDaily[Admissions],tblDaily[EntryDate],DATE(2026,10,21),tblDaily[WardCode],"BG")),"")</f>
        <v/>
      </c>
      <c r="C378" s="12">
        <f>IFERROR(IF(SUMIFS(tblDaily[Discharges],tblDaily[EntryDate],DATE(2026,10,21),tblDaily[WardCode],"BG")=0,"",SUMIFS(tblDaily[Discharges],tblDaily[EntryDate],DATE(2026,10,21),tblDaily[WardCode],"BG")),"")</f>
        <v/>
      </c>
      <c r="D378" s="12">
        <f>IFERROR(IF(SUMIFS(tblDaily[Deaths],tblDaily[EntryDate],DATE(2026,10,21),tblDaily[WardCode],"BG")=0,"",SUMIFS(tblDaily[Deaths],tblDaily[EntryDate],DATE(2026,10,21),tblDaily[WardCode],"BG")),"")</f>
        <v/>
      </c>
      <c r="E378" s="12">
        <f>IFERROR(IF(SUMIFS(tblDaily[DeathsUnder24Hrs],tblDaily[EntryDate],DATE(2026,10,21),tblDaily[WardCode],"BG")=0,"",SUMIFS(tblDaily[DeathsUnder24Hrs],tblDaily[EntryDate],DATE(2026,10,21),tblDaily[WardCode],"BG")),"")</f>
        <v/>
      </c>
      <c r="F378" s="12">
        <f>IFERROR(IF(SUMIFS(tblDaily[TransfersIn],tblDaily[EntryDate],DATE(2026,10,21),tblDaily[WardCode],"BG")=0,"",SUMIFS(tblDaily[TransfersIn],tblDaily[EntryDate],DATE(2026,10,21),tblDaily[WardCode],"BG")),"")</f>
        <v/>
      </c>
      <c r="G378" s="12">
        <f>IFERROR(IF(SUMIFS(tblDaily[TransfersOut],tblDaily[EntryDate],DATE(2026,10,21),tblDaily[WardCode],"BG")=0,"",SUMIFS(tblDaily[TransfersOut],tblDaily[EntryDate],DATE(2026,10,21),tblDaily[WardCode],"BG")),"")</f>
        <v/>
      </c>
      <c r="H378" s="12">
        <f>IFERROR(IF(SUMIFS(tblDaily[Remaining],tblDaily[EntryDate],DATE(2026,10,21),tblDaily[WardCode],"BG")=0,"",SUMIFS(tblDaily[Remaining],tblDaily[EntryDate],DATE(2026,10,21),tblDaily[WardCode],"BG")),"")</f>
        <v/>
      </c>
    </row>
    <row r="379">
      <c r="A379" s="12" t="n">
        <v>22</v>
      </c>
      <c r="B379" s="12">
        <f>IFERROR(IF(SUMIFS(tblDaily[Admissions],tblDaily[EntryDate],DATE(2026,10,22),tblDaily[WardCode],"BG")=0,"",SUMIFS(tblDaily[Admissions],tblDaily[EntryDate],DATE(2026,10,22),tblDaily[WardCode],"BG")),"")</f>
        <v/>
      </c>
      <c r="C379" s="12">
        <f>IFERROR(IF(SUMIFS(tblDaily[Discharges],tblDaily[EntryDate],DATE(2026,10,22),tblDaily[WardCode],"BG")=0,"",SUMIFS(tblDaily[Discharges],tblDaily[EntryDate],DATE(2026,10,22),tblDaily[WardCode],"BG")),"")</f>
        <v/>
      </c>
      <c r="D379" s="12">
        <f>IFERROR(IF(SUMIFS(tblDaily[Deaths],tblDaily[EntryDate],DATE(2026,10,22),tblDaily[WardCode],"BG")=0,"",SUMIFS(tblDaily[Deaths],tblDaily[EntryDate],DATE(2026,10,22),tblDaily[WardCode],"BG")),"")</f>
        <v/>
      </c>
      <c r="E379" s="12">
        <f>IFERROR(IF(SUMIFS(tblDaily[DeathsUnder24Hrs],tblDaily[EntryDate],DATE(2026,10,22),tblDaily[WardCode],"BG")=0,"",SUMIFS(tblDaily[DeathsUnder24Hrs],tblDaily[EntryDate],DATE(2026,10,22),tblDaily[WardCode],"BG")),"")</f>
        <v/>
      </c>
      <c r="F379" s="12">
        <f>IFERROR(IF(SUMIFS(tblDaily[TransfersIn],tblDaily[EntryDate],DATE(2026,10,22),tblDaily[WardCode],"BG")=0,"",SUMIFS(tblDaily[TransfersIn],tblDaily[EntryDate],DATE(2026,10,22),tblDaily[WardCode],"BG")),"")</f>
        <v/>
      </c>
      <c r="G379" s="12">
        <f>IFERROR(IF(SUMIFS(tblDaily[TransfersOut],tblDaily[EntryDate],DATE(2026,10,22),tblDaily[WardCode],"BG")=0,"",SUMIFS(tblDaily[TransfersOut],tblDaily[EntryDate],DATE(2026,10,22),tblDaily[WardCode],"BG")),"")</f>
        <v/>
      </c>
      <c r="H379" s="12">
        <f>IFERROR(IF(SUMIFS(tblDaily[Remaining],tblDaily[EntryDate],DATE(2026,10,22),tblDaily[WardCode],"BG")=0,"",SUMIFS(tblDaily[Remaining],tblDaily[EntryDate],DATE(2026,10,22),tblDaily[WardCode],"BG")),"")</f>
        <v/>
      </c>
    </row>
    <row r="380">
      <c r="A380" s="12" t="n">
        <v>23</v>
      </c>
      <c r="B380" s="12">
        <f>IFERROR(IF(SUMIFS(tblDaily[Admissions],tblDaily[EntryDate],DATE(2026,10,23),tblDaily[WardCode],"BG")=0,"",SUMIFS(tblDaily[Admissions],tblDaily[EntryDate],DATE(2026,10,23),tblDaily[WardCode],"BG")),"")</f>
        <v/>
      </c>
      <c r="C380" s="12">
        <f>IFERROR(IF(SUMIFS(tblDaily[Discharges],tblDaily[EntryDate],DATE(2026,10,23),tblDaily[WardCode],"BG")=0,"",SUMIFS(tblDaily[Discharges],tblDaily[EntryDate],DATE(2026,10,23),tblDaily[WardCode],"BG")),"")</f>
        <v/>
      </c>
      <c r="D380" s="12">
        <f>IFERROR(IF(SUMIFS(tblDaily[Deaths],tblDaily[EntryDate],DATE(2026,10,23),tblDaily[WardCode],"BG")=0,"",SUMIFS(tblDaily[Deaths],tblDaily[EntryDate],DATE(2026,10,23),tblDaily[WardCode],"BG")),"")</f>
        <v/>
      </c>
      <c r="E380" s="12">
        <f>IFERROR(IF(SUMIFS(tblDaily[DeathsUnder24Hrs],tblDaily[EntryDate],DATE(2026,10,23),tblDaily[WardCode],"BG")=0,"",SUMIFS(tblDaily[DeathsUnder24Hrs],tblDaily[EntryDate],DATE(2026,10,23),tblDaily[WardCode],"BG")),"")</f>
        <v/>
      </c>
      <c r="F380" s="12">
        <f>IFERROR(IF(SUMIFS(tblDaily[TransfersIn],tblDaily[EntryDate],DATE(2026,10,23),tblDaily[WardCode],"BG")=0,"",SUMIFS(tblDaily[TransfersIn],tblDaily[EntryDate],DATE(2026,10,23),tblDaily[WardCode],"BG")),"")</f>
        <v/>
      </c>
      <c r="G380" s="12">
        <f>IFERROR(IF(SUMIFS(tblDaily[TransfersOut],tblDaily[EntryDate],DATE(2026,10,23),tblDaily[WardCode],"BG")=0,"",SUMIFS(tblDaily[TransfersOut],tblDaily[EntryDate],DATE(2026,10,23),tblDaily[WardCode],"BG")),"")</f>
        <v/>
      </c>
      <c r="H380" s="12">
        <f>IFERROR(IF(SUMIFS(tblDaily[Remaining],tblDaily[EntryDate],DATE(2026,10,23),tblDaily[WardCode],"BG")=0,"",SUMIFS(tblDaily[Remaining],tblDaily[EntryDate],DATE(2026,10,23),tblDaily[WardCode],"BG")),"")</f>
        <v/>
      </c>
    </row>
    <row r="381">
      <c r="A381" s="12" t="n">
        <v>24</v>
      </c>
      <c r="B381" s="12">
        <f>IFERROR(IF(SUMIFS(tblDaily[Admissions],tblDaily[EntryDate],DATE(2026,10,24),tblDaily[WardCode],"BG")=0,"",SUMIFS(tblDaily[Admissions],tblDaily[EntryDate],DATE(2026,10,24),tblDaily[WardCode],"BG")),"")</f>
        <v/>
      </c>
      <c r="C381" s="12">
        <f>IFERROR(IF(SUMIFS(tblDaily[Discharges],tblDaily[EntryDate],DATE(2026,10,24),tblDaily[WardCode],"BG")=0,"",SUMIFS(tblDaily[Discharges],tblDaily[EntryDate],DATE(2026,10,24),tblDaily[WardCode],"BG")),"")</f>
        <v/>
      </c>
      <c r="D381" s="12">
        <f>IFERROR(IF(SUMIFS(tblDaily[Deaths],tblDaily[EntryDate],DATE(2026,10,24),tblDaily[WardCode],"BG")=0,"",SUMIFS(tblDaily[Deaths],tblDaily[EntryDate],DATE(2026,10,24),tblDaily[WardCode],"BG")),"")</f>
        <v/>
      </c>
      <c r="E381" s="12">
        <f>IFERROR(IF(SUMIFS(tblDaily[DeathsUnder24Hrs],tblDaily[EntryDate],DATE(2026,10,24),tblDaily[WardCode],"BG")=0,"",SUMIFS(tblDaily[DeathsUnder24Hrs],tblDaily[EntryDate],DATE(2026,10,24),tblDaily[WardCode],"BG")),"")</f>
        <v/>
      </c>
      <c r="F381" s="12">
        <f>IFERROR(IF(SUMIFS(tblDaily[TransfersIn],tblDaily[EntryDate],DATE(2026,10,24),tblDaily[WardCode],"BG")=0,"",SUMIFS(tblDaily[TransfersIn],tblDaily[EntryDate],DATE(2026,10,24),tblDaily[WardCode],"BG")),"")</f>
        <v/>
      </c>
      <c r="G381" s="12">
        <f>IFERROR(IF(SUMIFS(tblDaily[TransfersOut],tblDaily[EntryDate],DATE(2026,10,24),tblDaily[WardCode],"BG")=0,"",SUMIFS(tblDaily[TransfersOut],tblDaily[EntryDate],DATE(2026,10,24),tblDaily[WardCode],"BG")),"")</f>
        <v/>
      </c>
      <c r="H381" s="12">
        <f>IFERROR(IF(SUMIFS(tblDaily[Remaining],tblDaily[EntryDate],DATE(2026,10,24),tblDaily[WardCode],"BG")=0,"",SUMIFS(tblDaily[Remaining],tblDaily[EntryDate],DATE(2026,10,24),tblDaily[WardCode],"BG")),"")</f>
        <v/>
      </c>
    </row>
    <row r="382">
      <c r="A382" s="12" t="n">
        <v>25</v>
      </c>
      <c r="B382" s="12">
        <f>IFERROR(IF(SUMIFS(tblDaily[Admissions],tblDaily[EntryDate],DATE(2026,10,25),tblDaily[WardCode],"BG")=0,"",SUMIFS(tblDaily[Admissions],tblDaily[EntryDate],DATE(2026,10,25),tblDaily[WardCode],"BG")),"")</f>
        <v/>
      </c>
      <c r="C382" s="12">
        <f>IFERROR(IF(SUMIFS(tblDaily[Discharges],tblDaily[EntryDate],DATE(2026,10,25),tblDaily[WardCode],"BG")=0,"",SUMIFS(tblDaily[Discharges],tblDaily[EntryDate],DATE(2026,10,25),tblDaily[WardCode],"BG")),"")</f>
        <v/>
      </c>
      <c r="D382" s="12">
        <f>IFERROR(IF(SUMIFS(tblDaily[Deaths],tblDaily[EntryDate],DATE(2026,10,25),tblDaily[WardCode],"BG")=0,"",SUMIFS(tblDaily[Deaths],tblDaily[EntryDate],DATE(2026,10,25),tblDaily[WardCode],"BG")),"")</f>
        <v/>
      </c>
      <c r="E382" s="12">
        <f>IFERROR(IF(SUMIFS(tblDaily[DeathsUnder24Hrs],tblDaily[EntryDate],DATE(2026,10,25),tblDaily[WardCode],"BG")=0,"",SUMIFS(tblDaily[DeathsUnder24Hrs],tblDaily[EntryDate],DATE(2026,10,25),tblDaily[WardCode],"BG")),"")</f>
        <v/>
      </c>
      <c r="F382" s="12">
        <f>IFERROR(IF(SUMIFS(tblDaily[TransfersIn],tblDaily[EntryDate],DATE(2026,10,25),tblDaily[WardCode],"BG")=0,"",SUMIFS(tblDaily[TransfersIn],tblDaily[EntryDate],DATE(2026,10,25),tblDaily[WardCode],"BG")),"")</f>
        <v/>
      </c>
      <c r="G382" s="12">
        <f>IFERROR(IF(SUMIFS(tblDaily[TransfersOut],tblDaily[EntryDate],DATE(2026,10,25),tblDaily[WardCode],"BG")=0,"",SUMIFS(tblDaily[TransfersOut],tblDaily[EntryDate],DATE(2026,10,25),tblDaily[WardCode],"BG")),"")</f>
        <v/>
      </c>
      <c r="H382" s="12">
        <f>IFERROR(IF(SUMIFS(tblDaily[Remaining],tblDaily[EntryDate],DATE(2026,10,25),tblDaily[WardCode],"BG")=0,"",SUMIFS(tblDaily[Remaining],tblDaily[EntryDate],DATE(2026,10,25),tblDaily[WardCode],"BG")),"")</f>
        <v/>
      </c>
    </row>
    <row r="383">
      <c r="A383" s="12" t="n">
        <v>26</v>
      </c>
      <c r="B383" s="12">
        <f>IFERROR(IF(SUMIFS(tblDaily[Admissions],tblDaily[EntryDate],DATE(2026,10,26),tblDaily[WardCode],"BG")=0,"",SUMIFS(tblDaily[Admissions],tblDaily[EntryDate],DATE(2026,10,26),tblDaily[WardCode],"BG")),"")</f>
        <v/>
      </c>
      <c r="C383" s="12">
        <f>IFERROR(IF(SUMIFS(tblDaily[Discharges],tblDaily[EntryDate],DATE(2026,10,26),tblDaily[WardCode],"BG")=0,"",SUMIFS(tblDaily[Discharges],tblDaily[EntryDate],DATE(2026,10,26),tblDaily[WardCode],"BG")),"")</f>
        <v/>
      </c>
      <c r="D383" s="12">
        <f>IFERROR(IF(SUMIFS(tblDaily[Deaths],tblDaily[EntryDate],DATE(2026,10,26),tblDaily[WardCode],"BG")=0,"",SUMIFS(tblDaily[Deaths],tblDaily[EntryDate],DATE(2026,10,26),tblDaily[WardCode],"BG")),"")</f>
        <v/>
      </c>
      <c r="E383" s="12">
        <f>IFERROR(IF(SUMIFS(tblDaily[DeathsUnder24Hrs],tblDaily[EntryDate],DATE(2026,10,26),tblDaily[WardCode],"BG")=0,"",SUMIFS(tblDaily[DeathsUnder24Hrs],tblDaily[EntryDate],DATE(2026,10,26),tblDaily[WardCode],"BG")),"")</f>
        <v/>
      </c>
      <c r="F383" s="12">
        <f>IFERROR(IF(SUMIFS(tblDaily[TransfersIn],tblDaily[EntryDate],DATE(2026,10,26),tblDaily[WardCode],"BG")=0,"",SUMIFS(tblDaily[TransfersIn],tblDaily[EntryDate],DATE(2026,10,26),tblDaily[WardCode],"BG")),"")</f>
        <v/>
      </c>
      <c r="G383" s="12">
        <f>IFERROR(IF(SUMIFS(tblDaily[TransfersOut],tblDaily[EntryDate],DATE(2026,10,26),tblDaily[WardCode],"BG")=0,"",SUMIFS(tblDaily[TransfersOut],tblDaily[EntryDate],DATE(2026,10,26),tblDaily[WardCode],"BG")),"")</f>
        <v/>
      </c>
      <c r="H383" s="12">
        <f>IFERROR(IF(SUMIFS(tblDaily[Remaining],tblDaily[EntryDate],DATE(2026,10,26),tblDaily[WardCode],"BG")=0,"",SUMIFS(tblDaily[Remaining],tblDaily[EntryDate],DATE(2026,10,26),tblDaily[WardCode],"BG")),"")</f>
        <v/>
      </c>
    </row>
    <row r="384">
      <c r="A384" s="12" t="n">
        <v>27</v>
      </c>
      <c r="B384" s="12">
        <f>IFERROR(IF(SUMIFS(tblDaily[Admissions],tblDaily[EntryDate],DATE(2026,10,27),tblDaily[WardCode],"BG")=0,"",SUMIFS(tblDaily[Admissions],tblDaily[EntryDate],DATE(2026,10,27),tblDaily[WardCode],"BG")),"")</f>
        <v/>
      </c>
      <c r="C384" s="12">
        <f>IFERROR(IF(SUMIFS(tblDaily[Discharges],tblDaily[EntryDate],DATE(2026,10,27),tblDaily[WardCode],"BG")=0,"",SUMIFS(tblDaily[Discharges],tblDaily[EntryDate],DATE(2026,10,27),tblDaily[WardCode],"BG")),"")</f>
        <v/>
      </c>
      <c r="D384" s="12">
        <f>IFERROR(IF(SUMIFS(tblDaily[Deaths],tblDaily[EntryDate],DATE(2026,10,27),tblDaily[WardCode],"BG")=0,"",SUMIFS(tblDaily[Deaths],tblDaily[EntryDate],DATE(2026,10,27),tblDaily[WardCode],"BG")),"")</f>
        <v/>
      </c>
      <c r="E384" s="12">
        <f>IFERROR(IF(SUMIFS(tblDaily[DeathsUnder24Hrs],tblDaily[EntryDate],DATE(2026,10,27),tblDaily[WardCode],"BG")=0,"",SUMIFS(tblDaily[DeathsUnder24Hrs],tblDaily[EntryDate],DATE(2026,10,27),tblDaily[WardCode],"BG")),"")</f>
        <v/>
      </c>
      <c r="F384" s="12">
        <f>IFERROR(IF(SUMIFS(tblDaily[TransfersIn],tblDaily[EntryDate],DATE(2026,10,27),tblDaily[WardCode],"BG")=0,"",SUMIFS(tblDaily[TransfersIn],tblDaily[EntryDate],DATE(2026,10,27),tblDaily[WardCode],"BG")),"")</f>
        <v/>
      </c>
      <c r="G384" s="12">
        <f>IFERROR(IF(SUMIFS(tblDaily[TransfersOut],tblDaily[EntryDate],DATE(2026,10,27),tblDaily[WardCode],"BG")=0,"",SUMIFS(tblDaily[TransfersOut],tblDaily[EntryDate],DATE(2026,10,27),tblDaily[WardCode],"BG")),"")</f>
        <v/>
      </c>
      <c r="H384" s="12">
        <f>IFERROR(IF(SUMIFS(tblDaily[Remaining],tblDaily[EntryDate],DATE(2026,10,27),tblDaily[WardCode],"BG")=0,"",SUMIFS(tblDaily[Remaining],tblDaily[EntryDate],DATE(2026,10,27),tblDaily[WardCode],"BG")),"")</f>
        <v/>
      </c>
    </row>
    <row r="385">
      <c r="A385" s="12" t="n">
        <v>28</v>
      </c>
      <c r="B385" s="12">
        <f>IFERROR(IF(SUMIFS(tblDaily[Admissions],tblDaily[EntryDate],DATE(2026,10,28),tblDaily[WardCode],"BG")=0,"",SUMIFS(tblDaily[Admissions],tblDaily[EntryDate],DATE(2026,10,28),tblDaily[WardCode],"BG")),"")</f>
        <v/>
      </c>
      <c r="C385" s="12">
        <f>IFERROR(IF(SUMIFS(tblDaily[Discharges],tblDaily[EntryDate],DATE(2026,10,28),tblDaily[WardCode],"BG")=0,"",SUMIFS(tblDaily[Discharges],tblDaily[EntryDate],DATE(2026,10,28),tblDaily[WardCode],"BG")),"")</f>
        <v/>
      </c>
      <c r="D385" s="12">
        <f>IFERROR(IF(SUMIFS(tblDaily[Deaths],tblDaily[EntryDate],DATE(2026,10,28),tblDaily[WardCode],"BG")=0,"",SUMIFS(tblDaily[Deaths],tblDaily[EntryDate],DATE(2026,10,28),tblDaily[WardCode],"BG")),"")</f>
        <v/>
      </c>
      <c r="E385" s="12">
        <f>IFERROR(IF(SUMIFS(tblDaily[DeathsUnder24Hrs],tblDaily[EntryDate],DATE(2026,10,28),tblDaily[WardCode],"BG")=0,"",SUMIFS(tblDaily[DeathsUnder24Hrs],tblDaily[EntryDate],DATE(2026,10,28),tblDaily[WardCode],"BG")),"")</f>
        <v/>
      </c>
      <c r="F385" s="12">
        <f>IFERROR(IF(SUMIFS(tblDaily[TransfersIn],tblDaily[EntryDate],DATE(2026,10,28),tblDaily[WardCode],"BG")=0,"",SUMIFS(tblDaily[TransfersIn],tblDaily[EntryDate],DATE(2026,10,28),tblDaily[WardCode],"BG")),"")</f>
        <v/>
      </c>
      <c r="G385" s="12">
        <f>IFERROR(IF(SUMIFS(tblDaily[TransfersOut],tblDaily[EntryDate],DATE(2026,10,28),tblDaily[WardCode],"BG")=0,"",SUMIFS(tblDaily[TransfersOut],tblDaily[EntryDate],DATE(2026,10,28),tblDaily[WardCode],"BG")),"")</f>
        <v/>
      </c>
      <c r="H385" s="12">
        <f>IFERROR(IF(SUMIFS(tblDaily[Remaining],tblDaily[EntryDate],DATE(2026,10,28),tblDaily[WardCode],"BG")=0,"",SUMIFS(tblDaily[Remaining],tblDaily[EntryDate],DATE(2026,10,28),tblDaily[WardCode],"BG")),"")</f>
        <v/>
      </c>
    </row>
    <row r="386">
      <c r="A386" s="12" t="n">
        <v>29</v>
      </c>
      <c r="B386" s="12">
        <f>IFERROR(IF(SUMIFS(tblDaily[Admissions],tblDaily[EntryDate],DATE(2026,10,29),tblDaily[WardCode],"BG")=0,"",SUMIFS(tblDaily[Admissions],tblDaily[EntryDate],DATE(2026,10,29),tblDaily[WardCode],"BG")),"")</f>
        <v/>
      </c>
      <c r="C386" s="12">
        <f>IFERROR(IF(SUMIFS(tblDaily[Discharges],tblDaily[EntryDate],DATE(2026,10,29),tblDaily[WardCode],"BG")=0,"",SUMIFS(tblDaily[Discharges],tblDaily[EntryDate],DATE(2026,10,29),tblDaily[WardCode],"BG")),"")</f>
        <v/>
      </c>
      <c r="D386" s="12">
        <f>IFERROR(IF(SUMIFS(tblDaily[Deaths],tblDaily[EntryDate],DATE(2026,10,29),tblDaily[WardCode],"BG")=0,"",SUMIFS(tblDaily[Deaths],tblDaily[EntryDate],DATE(2026,10,29),tblDaily[WardCode],"BG")),"")</f>
        <v/>
      </c>
      <c r="E386" s="12">
        <f>IFERROR(IF(SUMIFS(tblDaily[DeathsUnder24Hrs],tblDaily[EntryDate],DATE(2026,10,29),tblDaily[WardCode],"BG")=0,"",SUMIFS(tblDaily[DeathsUnder24Hrs],tblDaily[EntryDate],DATE(2026,10,29),tblDaily[WardCode],"BG")),"")</f>
        <v/>
      </c>
      <c r="F386" s="12">
        <f>IFERROR(IF(SUMIFS(tblDaily[TransfersIn],tblDaily[EntryDate],DATE(2026,10,29),tblDaily[WardCode],"BG")=0,"",SUMIFS(tblDaily[TransfersIn],tblDaily[EntryDate],DATE(2026,10,29),tblDaily[WardCode],"BG")),"")</f>
        <v/>
      </c>
      <c r="G386" s="12">
        <f>IFERROR(IF(SUMIFS(tblDaily[TransfersOut],tblDaily[EntryDate],DATE(2026,10,29),tblDaily[WardCode],"BG")=0,"",SUMIFS(tblDaily[TransfersOut],tblDaily[EntryDate],DATE(2026,10,29),tblDaily[WardCode],"BG")),"")</f>
        <v/>
      </c>
      <c r="H386" s="12">
        <f>IFERROR(IF(SUMIFS(tblDaily[Remaining],tblDaily[EntryDate],DATE(2026,10,29),tblDaily[WardCode],"BG")=0,"",SUMIFS(tblDaily[Remaining],tblDaily[EntryDate],DATE(2026,10,29),tblDaily[WardCode],"BG")),"")</f>
        <v/>
      </c>
    </row>
    <row r="387">
      <c r="A387" s="12" t="n">
        <v>30</v>
      </c>
      <c r="B387" s="12">
        <f>IFERROR(IF(SUMIFS(tblDaily[Admissions],tblDaily[EntryDate],DATE(2026,10,30),tblDaily[WardCode],"BG")=0,"",SUMIFS(tblDaily[Admissions],tblDaily[EntryDate],DATE(2026,10,30),tblDaily[WardCode],"BG")),"")</f>
        <v/>
      </c>
      <c r="C387" s="12">
        <f>IFERROR(IF(SUMIFS(tblDaily[Discharges],tblDaily[EntryDate],DATE(2026,10,30),tblDaily[WardCode],"BG")=0,"",SUMIFS(tblDaily[Discharges],tblDaily[EntryDate],DATE(2026,10,30),tblDaily[WardCode],"BG")),"")</f>
        <v/>
      </c>
      <c r="D387" s="12">
        <f>IFERROR(IF(SUMIFS(tblDaily[Deaths],tblDaily[EntryDate],DATE(2026,10,30),tblDaily[WardCode],"BG")=0,"",SUMIFS(tblDaily[Deaths],tblDaily[EntryDate],DATE(2026,10,30),tblDaily[WardCode],"BG")),"")</f>
        <v/>
      </c>
      <c r="E387" s="12">
        <f>IFERROR(IF(SUMIFS(tblDaily[DeathsUnder24Hrs],tblDaily[EntryDate],DATE(2026,10,30),tblDaily[WardCode],"BG")=0,"",SUMIFS(tblDaily[DeathsUnder24Hrs],tblDaily[EntryDate],DATE(2026,10,30),tblDaily[WardCode],"BG")),"")</f>
        <v/>
      </c>
      <c r="F387" s="12">
        <f>IFERROR(IF(SUMIFS(tblDaily[TransfersIn],tblDaily[EntryDate],DATE(2026,10,30),tblDaily[WardCode],"BG")=0,"",SUMIFS(tblDaily[TransfersIn],tblDaily[EntryDate],DATE(2026,10,30),tblDaily[WardCode],"BG")),"")</f>
        <v/>
      </c>
      <c r="G387" s="12">
        <f>IFERROR(IF(SUMIFS(tblDaily[TransfersOut],tblDaily[EntryDate],DATE(2026,10,30),tblDaily[WardCode],"BG")=0,"",SUMIFS(tblDaily[TransfersOut],tblDaily[EntryDate],DATE(2026,10,30),tblDaily[WardCode],"BG")),"")</f>
        <v/>
      </c>
      <c r="H387" s="12">
        <f>IFERROR(IF(SUMIFS(tblDaily[Remaining],tblDaily[EntryDate],DATE(2026,10,30),tblDaily[WardCode],"BG")=0,"",SUMIFS(tblDaily[Remaining],tblDaily[EntryDate],DATE(2026,10,30),tblDaily[WardCode],"BG")),"")</f>
        <v/>
      </c>
    </row>
    <row r="388">
      <c r="A388" s="12" t="n">
        <v>31</v>
      </c>
      <c r="B388" s="12">
        <f>IFERROR(IF(SUMIFS(tblDaily[Admissions],tblDaily[EntryDate],DATE(2026,10,31),tblDaily[WardCode],"BG")=0,"",SUMIFS(tblDaily[Admissions],tblDaily[EntryDate],DATE(2026,10,31),tblDaily[WardCode],"BG")),"")</f>
        <v/>
      </c>
      <c r="C388" s="12">
        <f>IFERROR(IF(SUMIFS(tblDaily[Discharges],tblDaily[EntryDate],DATE(2026,10,31),tblDaily[WardCode],"BG")=0,"",SUMIFS(tblDaily[Discharges],tblDaily[EntryDate],DATE(2026,10,31),tblDaily[WardCode],"BG")),"")</f>
        <v/>
      </c>
      <c r="D388" s="12">
        <f>IFERROR(IF(SUMIFS(tblDaily[Deaths],tblDaily[EntryDate],DATE(2026,10,31),tblDaily[WardCode],"BG")=0,"",SUMIFS(tblDaily[Deaths],tblDaily[EntryDate],DATE(2026,10,31),tblDaily[WardCode],"BG")),"")</f>
        <v/>
      </c>
      <c r="E388" s="12">
        <f>IFERROR(IF(SUMIFS(tblDaily[DeathsUnder24Hrs],tblDaily[EntryDate],DATE(2026,10,31),tblDaily[WardCode],"BG")=0,"",SUMIFS(tblDaily[DeathsUnder24Hrs],tblDaily[EntryDate],DATE(2026,10,31),tblDaily[WardCode],"BG")),"")</f>
        <v/>
      </c>
      <c r="F388" s="12">
        <f>IFERROR(IF(SUMIFS(tblDaily[TransfersIn],tblDaily[EntryDate],DATE(2026,10,31),tblDaily[WardCode],"BG")=0,"",SUMIFS(tblDaily[TransfersIn],tblDaily[EntryDate],DATE(2026,10,31),tblDaily[WardCode],"BG")),"")</f>
        <v/>
      </c>
      <c r="G388" s="12">
        <f>IFERROR(IF(SUMIFS(tblDaily[TransfersOut],tblDaily[EntryDate],DATE(2026,10,31),tblDaily[WardCode],"BG")=0,"",SUMIFS(tblDaily[TransfersOut],tblDaily[EntryDate],DATE(2026,10,31),tblDaily[WardCode],"BG")),"")</f>
        <v/>
      </c>
      <c r="H388" s="12">
        <f>IFERROR(IF(SUMIFS(tblDaily[Remaining],tblDaily[EntryDate],DATE(2026,10,31),tblDaily[WardCode],"BG")=0,"",SUMIFS(tblDaily[Remaining],tblDaily[EntryDate],DATE(2026,10,31),tblDaily[WardCode],"BG")),"")</f>
        <v/>
      </c>
    </row>
    <row r="389">
      <c r="A389" s="17" t="inlineStr">
        <is>
          <t>TOTAL</t>
        </is>
      </c>
      <c r="B389" s="17">
        <f>SUMIFS(tblDaily[Admissions],tblDaily[Month],10,tblDaily[WardCode],"BG") - SUMIFS(tblDaily[DeathsUnder24Hrs],tblDaily[Month],10,tblDaily[WardCode],"BG")</f>
        <v/>
      </c>
      <c r="C389" s="17">
        <f>SUMIFS(tblDaily[Discharges],tblDaily[Month],10,tblDaily[WardCode],"BG")</f>
        <v/>
      </c>
      <c r="D389" s="17">
        <f>SUMIFS(tblDaily[Deaths],tblDaily[Month],10,tblDaily[WardCode],"BG")</f>
        <v/>
      </c>
      <c r="E389" s="17">
        <f>SUMIFS(tblDaily[DeathsUnder24Hrs],tblDaily[Month],10,tblDaily[WardCode],"BG")</f>
        <v/>
      </c>
      <c r="F389" s="17">
        <f>SUMIFS(tblDaily[TransfersIn],tblDaily[Month],10,tblDaily[WardCode],"BG")</f>
        <v/>
      </c>
      <c r="G389" s="17">
        <f>SUMIFS(tblDaily[TransfersOut],tblDaily[Month],10,tblDaily[WardCode],"BG")</f>
        <v/>
      </c>
      <c r="H389" s="17">
        <f>SUMIFS(tblDaily[Remaining],tblDaily[Month],10,tblDaily[WardCode],"BG")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BLOCK G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4">
        <f>IFERROR(SUMIFS(tblDaily[Remaining],tblDaily[EntryDate],DATE(2026,10,31),tblDaily[WardCode],"BG"),0)</f>
        <v/>
      </c>
    </row>
    <row r="395">
      <c r="A395" s="4" t="inlineStr">
        <is>
          <t>Bed complement</t>
        </is>
      </c>
      <c r="H395" s="15">
        <f>IFERROR(INDEX(tblWardConfig[BedComplement],MATCH("BG",tblWardConfig[WardCode],0)),0)</f>
        <v/>
      </c>
    </row>
    <row r="396">
      <c r="A396" s="16" t="inlineStr">
        <is>
          <t>Day of
the
Month</t>
        </is>
      </c>
      <c r="B396" s="16" t="inlineStr">
        <is>
          <t>Admissions</t>
        </is>
      </c>
      <c r="C396" s="16" t="inlineStr">
        <is>
          <t>Discharges</t>
        </is>
      </c>
      <c r="D396" s="16" t="inlineStr">
        <is>
          <t>Deaths</t>
        </is>
      </c>
      <c r="E396" s="16" t="inlineStr">
        <is>
          <t>Deaths
&lt;24Hrs</t>
        </is>
      </c>
      <c r="F396" s="16" t="inlineStr">
        <is>
          <t>Transfers-
In</t>
        </is>
      </c>
      <c r="G396" s="16" t="inlineStr">
        <is>
          <t>Transfers-
Out</t>
        </is>
      </c>
      <c r="H396" s="16" t="inlineStr">
        <is>
          <t>No. of Patients
Remaining In
Ward</t>
        </is>
      </c>
    </row>
    <row r="397">
      <c r="A397" s="12" t="n">
        <v>1</v>
      </c>
      <c r="B397" s="12">
        <f>IFERROR(IF(SUMIFS(tblDaily[Admissions],tblDaily[EntryDate],DATE(2026,11,1),tblDaily[WardCode],"BG")=0,"",SUMIFS(tblDaily[Admissions],tblDaily[EntryDate],DATE(2026,11,1),tblDaily[WardCode],"BG")),"")</f>
        <v/>
      </c>
      <c r="C397" s="12">
        <f>IFERROR(IF(SUMIFS(tblDaily[Discharges],tblDaily[EntryDate],DATE(2026,11,1),tblDaily[WardCode],"BG")=0,"",SUMIFS(tblDaily[Discharges],tblDaily[EntryDate],DATE(2026,11,1),tblDaily[WardCode],"BG")),"")</f>
        <v/>
      </c>
      <c r="D397" s="12">
        <f>IFERROR(IF(SUMIFS(tblDaily[Deaths],tblDaily[EntryDate],DATE(2026,11,1),tblDaily[WardCode],"BG")=0,"",SUMIFS(tblDaily[Deaths],tblDaily[EntryDate],DATE(2026,11,1),tblDaily[WardCode],"BG")),"")</f>
        <v/>
      </c>
      <c r="E397" s="12">
        <f>IFERROR(IF(SUMIFS(tblDaily[DeathsUnder24Hrs],tblDaily[EntryDate],DATE(2026,11,1),tblDaily[WardCode],"BG")=0,"",SUMIFS(tblDaily[DeathsUnder24Hrs],tblDaily[EntryDate],DATE(2026,11,1),tblDaily[WardCode],"BG")),"")</f>
        <v/>
      </c>
      <c r="F397" s="12">
        <f>IFERROR(IF(SUMIFS(tblDaily[TransfersIn],tblDaily[EntryDate],DATE(2026,11,1),tblDaily[WardCode],"BG")=0,"",SUMIFS(tblDaily[TransfersIn],tblDaily[EntryDate],DATE(2026,11,1),tblDaily[WardCode],"BG")),"")</f>
        <v/>
      </c>
      <c r="G397" s="12">
        <f>IFERROR(IF(SUMIFS(tblDaily[TransfersOut],tblDaily[EntryDate],DATE(2026,11,1),tblDaily[WardCode],"BG")=0,"",SUMIFS(tblDaily[TransfersOut],tblDaily[EntryDate],DATE(2026,11,1),tblDaily[WardCode],"BG")),"")</f>
        <v/>
      </c>
      <c r="H397" s="12">
        <f>IFERROR(IF(SUMIFS(tblDaily[Remaining],tblDaily[EntryDate],DATE(2026,11,1),tblDaily[WardCode],"BG")=0,"",SUMIFS(tblDaily[Remaining],tblDaily[EntryDate],DATE(2026,11,1),tblDaily[WardCode],"BG")),"")</f>
        <v/>
      </c>
    </row>
    <row r="398">
      <c r="A398" s="12" t="n">
        <v>2</v>
      </c>
      <c r="B398" s="12">
        <f>IFERROR(IF(SUMIFS(tblDaily[Admissions],tblDaily[EntryDate],DATE(2026,11,2),tblDaily[WardCode],"BG")=0,"",SUMIFS(tblDaily[Admissions],tblDaily[EntryDate],DATE(2026,11,2),tblDaily[WardCode],"BG")),"")</f>
        <v/>
      </c>
      <c r="C398" s="12">
        <f>IFERROR(IF(SUMIFS(tblDaily[Discharges],tblDaily[EntryDate],DATE(2026,11,2),tblDaily[WardCode],"BG")=0,"",SUMIFS(tblDaily[Discharges],tblDaily[EntryDate],DATE(2026,11,2),tblDaily[WardCode],"BG")),"")</f>
        <v/>
      </c>
      <c r="D398" s="12">
        <f>IFERROR(IF(SUMIFS(tblDaily[Deaths],tblDaily[EntryDate],DATE(2026,11,2),tblDaily[WardCode],"BG")=0,"",SUMIFS(tblDaily[Deaths],tblDaily[EntryDate],DATE(2026,11,2),tblDaily[WardCode],"BG")),"")</f>
        <v/>
      </c>
      <c r="E398" s="12">
        <f>IFERROR(IF(SUMIFS(tblDaily[DeathsUnder24Hrs],tblDaily[EntryDate],DATE(2026,11,2),tblDaily[WardCode],"BG")=0,"",SUMIFS(tblDaily[DeathsUnder24Hrs],tblDaily[EntryDate],DATE(2026,11,2),tblDaily[WardCode],"BG")),"")</f>
        <v/>
      </c>
      <c r="F398" s="12">
        <f>IFERROR(IF(SUMIFS(tblDaily[TransfersIn],tblDaily[EntryDate],DATE(2026,11,2),tblDaily[WardCode],"BG")=0,"",SUMIFS(tblDaily[TransfersIn],tblDaily[EntryDate],DATE(2026,11,2),tblDaily[WardCode],"BG")),"")</f>
        <v/>
      </c>
      <c r="G398" s="12">
        <f>IFERROR(IF(SUMIFS(tblDaily[TransfersOut],tblDaily[EntryDate],DATE(2026,11,2),tblDaily[WardCode],"BG")=0,"",SUMIFS(tblDaily[TransfersOut],tblDaily[EntryDate],DATE(2026,11,2),tblDaily[WardCode],"BG")),"")</f>
        <v/>
      </c>
      <c r="H398" s="12">
        <f>IFERROR(IF(SUMIFS(tblDaily[Remaining],tblDaily[EntryDate],DATE(2026,11,2),tblDaily[WardCode],"BG")=0,"",SUMIFS(tblDaily[Remaining],tblDaily[EntryDate],DATE(2026,11,2),tblDaily[WardCode],"BG")),"")</f>
        <v/>
      </c>
    </row>
    <row r="399">
      <c r="A399" s="12" t="n">
        <v>3</v>
      </c>
      <c r="B399" s="12">
        <f>IFERROR(IF(SUMIFS(tblDaily[Admissions],tblDaily[EntryDate],DATE(2026,11,3),tblDaily[WardCode],"BG")=0,"",SUMIFS(tblDaily[Admissions],tblDaily[EntryDate],DATE(2026,11,3),tblDaily[WardCode],"BG")),"")</f>
        <v/>
      </c>
      <c r="C399" s="12">
        <f>IFERROR(IF(SUMIFS(tblDaily[Discharges],tblDaily[EntryDate],DATE(2026,11,3),tblDaily[WardCode],"BG")=0,"",SUMIFS(tblDaily[Discharges],tblDaily[EntryDate],DATE(2026,11,3),tblDaily[WardCode],"BG")),"")</f>
        <v/>
      </c>
      <c r="D399" s="12">
        <f>IFERROR(IF(SUMIFS(tblDaily[Deaths],tblDaily[EntryDate],DATE(2026,11,3),tblDaily[WardCode],"BG")=0,"",SUMIFS(tblDaily[Deaths],tblDaily[EntryDate],DATE(2026,11,3),tblDaily[WardCode],"BG")),"")</f>
        <v/>
      </c>
      <c r="E399" s="12">
        <f>IFERROR(IF(SUMIFS(tblDaily[DeathsUnder24Hrs],tblDaily[EntryDate],DATE(2026,11,3),tblDaily[WardCode],"BG")=0,"",SUMIFS(tblDaily[DeathsUnder24Hrs],tblDaily[EntryDate],DATE(2026,11,3),tblDaily[WardCode],"BG")),"")</f>
        <v/>
      </c>
      <c r="F399" s="12">
        <f>IFERROR(IF(SUMIFS(tblDaily[TransfersIn],tblDaily[EntryDate],DATE(2026,11,3),tblDaily[WardCode],"BG")=0,"",SUMIFS(tblDaily[TransfersIn],tblDaily[EntryDate],DATE(2026,11,3),tblDaily[WardCode],"BG")),"")</f>
        <v/>
      </c>
      <c r="G399" s="12">
        <f>IFERROR(IF(SUMIFS(tblDaily[TransfersOut],tblDaily[EntryDate],DATE(2026,11,3),tblDaily[WardCode],"BG")=0,"",SUMIFS(tblDaily[TransfersOut],tblDaily[EntryDate],DATE(2026,11,3),tblDaily[WardCode],"BG")),"")</f>
        <v/>
      </c>
      <c r="H399" s="12">
        <f>IFERROR(IF(SUMIFS(tblDaily[Remaining],tblDaily[EntryDate],DATE(2026,11,3),tblDaily[WardCode],"BG")=0,"",SUMIFS(tblDaily[Remaining],tblDaily[EntryDate],DATE(2026,11,3),tblDaily[WardCode],"BG")),"")</f>
        <v/>
      </c>
    </row>
    <row r="400">
      <c r="A400" s="12" t="n">
        <v>4</v>
      </c>
      <c r="B400" s="12">
        <f>IFERROR(IF(SUMIFS(tblDaily[Admissions],tblDaily[EntryDate],DATE(2026,11,4),tblDaily[WardCode],"BG")=0,"",SUMIFS(tblDaily[Admissions],tblDaily[EntryDate],DATE(2026,11,4),tblDaily[WardCode],"BG")),"")</f>
        <v/>
      </c>
      <c r="C400" s="12">
        <f>IFERROR(IF(SUMIFS(tblDaily[Discharges],tblDaily[EntryDate],DATE(2026,11,4),tblDaily[WardCode],"BG")=0,"",SUMIFS(tblDaily[Discharges],tblDaily[EntryDate],DATE(2026,11,4),tblDaily[WardCode],"BG")),"")</f>
        <v/>
      </c>
      <c r="D400" s="12">
        <f>IFERROR(IF(SUMIFS(tblDaily[Deaths],tblDaily[EntryDate],DATE(2026,11,4),tblDaily[WardCode],"BG")=0,"",SUMIFS(tblDaily[Deaths],tblDaily[EntryDate],DATE(2026,11,4),tblDaily[WardCode],"BG")),"")</f>
        <v/>
      </c>
      <c r="E400" s="12">
        <f>IFERROR(IF(SUMIFS(tblDaily[DeathsUnder24Hrs],tblDaily[EntryDate],DATE(2026,11,4),tblDaily[WardCode],"BG")=0,"",SUMIFS(tblDaily[DeathsUnder24Hrs],tblDaily[EntryDate],DATE(2026,11,4),tblDaily[WardCode],"BG")),"")</f>
        <v/>
      </c>
      <c r="F400" s="12">
        <f>IFERROR(IF(SUMIFS(tblDaily[TransfersIn],tblDaily[EntryDate],DATE(2026,11,4),tblDaily[WardCode],"BG")=0,"",SUMIFS(tblDaily[TransfersIn],tblDaily[EntryDate],DATE(2026,11,4),tblDaily[WardCode],"BG")),"")</f>
        <v/>
      </c>
      <c r="G400" s="12">
        <f>IFERROR(IF(SUMIFS(tblDaily[TransfersOut],tblDaily[EntryDate],DATE(2026,11,4),tblDaily[WardCode],"BG")=0,"",SUMIFS(tblDaily[TransfersOut],tblDaily[EntryDate],DATE(2026,11,4),tblDaily[WardCode],"BG")),"")</f>
        <v/>
      </c>
      <c r="H400" s="12">
        <f>IFERROR(IF(SUMIFS(tblDaily[Remaining],tblDaily[EntryDate],DATE(2026,11,4),tblDaily[WardCode],"BG")=0,"",SUMIFS(tblDaily[Remaining],tblDaily[EntryDate],DATE(2026,11,4),tblDaily[WardCode],"BG")),"")</f>
        <v/>
      </c>
    </row>
    <row r="401">
      <c r="A401" s="12" t="n">
        <v>5</v>
      </c>
      <c r="B401" s="12">
        <f>IFERROR(IF(SUMIFS(tblDaily[Admissions],tblDaily[EntryDate],DATE(2026,11,5),tblDaily[WardCode],"BG")=0,"",SUMIFS(tblDaily[Admissions],tblDaily[EntryDate],DATE(2026,11,5),tblDaily[WardCode],"BG")),"")</f>
        <v/>
      </c>
      <c r="C401" s="12">
        <f>IFERROR(IF(SUMIFS(tblDaily[Discharges],tblDaily[EntryDate],DATE(2026,11,5),tblDaily[WardCode],"BG")=0,"",SUMIFS(tblDaily[Discharges],tblDaily[EntryDate],DATE(2026,11,5),tblDaily[WardCode],"BG")),"")</f>
        <v/>
      </c>
      <c r="D401" s="12">
        <f>IFERROR(IF(SUMIFS(tblDaily[Deaths],tblDaily[EntryDate],DATE(2026,11,5),tblDaily[WardCode],"BG")=0,"",SUMIFS(tblDaily[Deaths],tblDaily[EntryDate],DATE(2026,11,5),tblDaily[WardCode],"BG")),"")</f>
        <v/>
      </c>
      <c r="E401" s="12">
        <f>IFERROR(IF(SUMIFS(tblDaily[DeathsUnder24Hrs],tblDaily[EntryDate],DATE(2026,11,5),tblDaily[WardCode],"BG")=0,"",SUMIFS(tblDaily[DeathsUnder24Hrs],tblDaily[EntryDate],DATE(2026,11,5),tblDaily[WardCode],"BG")),"")</f>
        <v/>
      </c>
      <c r="F401" s="12">
        <f>IFERROR(IF(SUMIFS(tblDaily[TransfersIn],tblDaily[EntryDate],DATE(2026,11,5),tblDaily[WardCode],"BG")=0,"",SUMIFS(tblDaily[TransfersIn],tblDaily[EntryDate],DATE(2026,11,5),tblDaily[WardCode],"BG")),"")</f>
        <v/>
      </c>
      <c r="G401" s="12">
        <f>IFERROR(IF(SUMIFS(tblDaily[TransfersOut],tblDaily[EntryDate],DATE(2026,11,5),tblDaily[WardCode],"BG")=0,"",SUMIFS(tblDaily[TransfersOut],tblDaily[EntryDate],DATE(2026,11,5),tblDaily[WardCode],"BG")),"")</f>
        <v/>
      </c>
      <c r="H401" s="12">
        <f>IFERROR(IF(SUMIFS(tblDaily[Remaining],tblDaily[EntryDate],DATE(2026,11,5),tblDaily[WardCode],"BG")=0,"",SUMIFS(tblDaily[Remaining],tblDaily[EntryDate],DATE(2026,11,5),tblDaily[WardCode],"BG")),"")</f>
        <v/>
      </c>
    </row>
    <row r="402">
      <c r="A402" s="12" t="n">
        <v>6</v>
      </c>
      <c r="B402" s="12">
        <f>IFERROR(IF(SUMIFS(tblDaily[Admissions],tblDaily[EntryDate],DATE(2026,11,6),tblDaily[WardCode],"BG")=0,"",SUMIFS(tblDaily[Admissions],tblDaily[EntryDate],DATE(2026,11,6),tblDaily[WardCode],"BG")),"")</f>
        <v/>
      </c>
      <c r="C402" s="12">
        <f>IFERROR(IF(SUMIFS(tblDaily[Discharges],tblDaily[EntryDate],DATE(2026,11,6),tblDaily[WardCode],"BG")=0,"",SUMIFS(tblDaily[Discharges],tblDaily[EntryDate],DATE(2026,11,6),tblDaily[WardCode],"BG")),"")</f>
        <v/>
      </c>
      <c r="D402" s="12">
        <f>IFERROR(IF(SUMIFS(tblDaily[Deaths],tblDaily[EntryDate],DATE(2026,11,6),tblDaily[WardCode],"BG")=0,"",SUMIFS(tblDaily[Deaths],tblDaily[EntryDate],DATE(2026,11,6),tblDaily[WardCode],"BG")),"")</f>
        <v/>
      </c>
      <c r="E402" s="12">
        <f>IFERROR(IF(SUMIFS(tblDaily[DeathsUnder24Hrs],tblDaily[EntryDate],DATE(2026,11,6),tblDaily[WardCode],"BG")=0,"",SUMIFS(tblDaily[DeathsUnder24Hrs],tblDaily[EntryDate],DATE(2026,11,6),tblDaily[WardCode],"BG")),"")</f>
        <v/>
      </c>
      <c r="F402" s="12">
        <f>IFERROR(IF(SUMIFS(tblDaily[TransfersIn],tblDaily[EntryDate],DATE(2026,11,6),tblDaily[WardCode],"BG")=0,"",SUMIFS(tblDaily[TransfersIn],tblDaily[EntryDate],DATE(2026,11,6),tblDaily[WardCode],"BG")),"")</f>
        <v/>
      </c>
      <c r="G402" s="12">
        <f>IFERROR(IF(SUMIFS(tblDaily[TransfersOut],tblDaily[EntryDate],DATE(2026,11,6),tblDaily[WardCode],"BG")=0,"",SUMIFS(tblDaily[TransfersOut],tblDaily[EntryDate],DATE(2026,11,6),tblDaily[WardCode],"BG")),"")</f>
        <v/>
      </c>
      <c r="H402" s="12">
        <f>IFERROR(IF(SUMIFS(tblDaily[Remaining],tblDaily[EntryDate],DATE(2026,11,6),tblDaily[WardCode],"BG")=0,"",SUMIFS(tblDaily[Remaining],tblDaily[EntryDate],DATE(2026,11,6),tblDaily[WardCode],"BG")),"")</f>
        <v/>
      </c>
    </row>
    <row r="403">
      <c r="A403" s="12" t="n">
        <v>7</v>
      </c>
      <c r="B403" s="12">
        <f>IFERROR(IF(SUMIFS(tblDaily[Admissions],tblDaily[EntryDate],DATE(2026,11,7),tblDaily[WardCode],"BG")=0,"",SUMIFS(tblDaily[Admissions],tblDaily[EntryDate],DATE(2026,11,7),tblDaily[WardCode],"BG")),"")</f>
        <v/>
      </c>
      <c r="C403" s="12">
        <f>IFERROR(IF(SUMIFS(tblDaily[Discharges],tblDaily[EntryDate],DATE(2026,11,7),tblDaily[WardCode],"BG")=0,"",SUMIFS(tblDaily[Discharges],tblDaily[EntryDate],DATE(2026,11,7),tblDaily[WardCode],"BG")),"")</f>
        <v/>
      </c>
      <c r="D403" s="12">
        <f>IFERROR(IF(SUMIFS(tblDaily[Deaths],tblDaily[EntryDate],DATE(2026,11,7),tblDaily[WardCode],"BG")=0,"",SUMIFS(tblDaily[Deaths],tblDaily[EntryDate],DATE(2026,11,7),tblDaily[WardCode],"BG")),"")</f>
        <v/>
      </c>
      <c r="E403" s="12">
        <f>IFERROR(IF(SUMIFS(tblDaily[DeathsUnder24Hrs],tblDaily[EntryDate],DATE(2026,11,7),tblDaily[WardCode],"BG")=0,"",SUMIFS(tblDaily[DeathsUnder24Hrs],tblDaily[EntryDate],DATE(2026,11,7),tblDaily[WardCode],"BG")),"")</f>
        <v/>
      </c>
      <c r="F403" s="12">
        <f>IFERROR(IF(SUMIFS(tblDaily[TransfersIn],tblDaily[EntryDate],DATE(2026,11,7),tblDaily[WardCode],"BG")=0,"",SUMIFS(tblDaily[TransfersIn],tblDaily[EntryDate],DATE(2026,11,7),tblDaily[WardCode],"BG")),"")</f>
        <v/>
      </c>
      <c r="G403" s="12">
        <f>IFERROR(IF(SUMIFS(tblDaily[TransfersOut],tblDaily[EntryDate],DATE(2026,11,7),tblDaily[WardCode],"BG")=0,"",SUMIFS(tblDaily[TransfersOut],tblDaily[EntryDate],DATE(2026,11,7),tblDaily[WardCode],"BG")),"")</f>
        <v/>
      </c>
      <c r="H403" s="12">
        <f>IFERROR(IF(SUMIFS(tblDaily[Remaining],tblDaily[EntryDate],DATE(2026,11,7),tblDaily[WardCode],"BG")=0,"",SUMIFS(tblDaily[Remaining],tblDaily[EntryDate],DATE(2026,11,7),tblDaily[WardCode],"BG")),"")</f>
        <v/>
      </c>
    </row>
    <row r="404">
      <c r="A404" s="12" t="n">
        <v>8</v>
      </c>
      <c r="B404" s="12">
        <f>IFERROR(IF(SUMIFS(tblDaily[Admissions],tblDaily[EntryDate],DATE(2026,11,8),tblDaily[WardCode],"BG")=0,"",SUMIFS(tblDaily[Admissions],tblDaily[EntryDate],DATE(2026,11,8),tblDaily[WardCode],"BG")),"")</f>
        <v/>
      </c>
      <c r="C404" s="12">
        <f>IFERROR(IF(SUMIFS(tblDaily[Discharges],tblDaily[EntryDate],DATE(2026,11,8),tblDaily[WardCode],"BG")=0,"",SUMIFS(tblDaily[Discharges],tblDaily[EntryDate],DATE(2026,11,8),tblDaily[WardCode],"BG")),"")</f>
        <v/>
      </c>
      <c r="D404" s="12">
        <f>IFERROR(IF(SUMIFS(tblDaily[Deaths],tblDaily[EntryDate],DATE(2026,11,8),tblDaily[WardCode],"BG")=0,"",SUMIFS(tblDaily[Deaths],tblDaily[EntryDate],DATE(2026,11,8),tblDaily[WardCode],"BG")),"")</f>
        <v/>
      </c>
      <c r="E404" s="12">
        <f>IFERROR(IF(SUMIFS(tblDaily[DeathsUnder24Hrs],tblDaily[EntryDate],DATE(2026,11,8),tblDaily[WardCode],"BG")=0,"",SUMIFS(tblDaily[DeathsUnder24Hrs],tblDaily[EntryDate],DATE(2026,11,8),tblDaily[WardCode],"BG")),"")</f>
        <v/>
      </c>
      <c r="F404" s="12">
        <f>IFERROR(IF(SUMIFS(tblDaily[TransfersIn],tblDaily[EntryDate],DATE(2026,11,8),tblDaily[WardCode],"BG")=0,"",SUMIFS(tblDaily[TransfersIn],tblDaily[EntryDate],DATE(2026,11,8),tblDaily[WardCode],"BG")),"")</f>
        <v/>
      </c>
      <c r="G404" s="12">
        <f>IFERROR(IF(SUMIFS(tblDaily[TransfersOut],tblDaily[EntryDate],DATE(2026,11,8),tblDaily[WardCode],"BG")=0,"",SUMIFS(tblDaily[TransfersOut],tblDaily[EntryDate],DATE(2026,11,8),tblDaily[WardCode],"BG")),"")</f>
        <v/>
      </c>
      <c r="H404" s="12">
        <f>IFERROR(IF(SUMIFS(tblDaily[Remaining],tblDaily[EntryDate],DATE(2026,11,8),tblDaily[WardCode],"BG")=0,"",SUMIFS(tblDaily[Remaining],tblDaily[EntryDate],DATE(2026,11,8),tblDaily[WardCode],"BG")),"")</f>
        <v/>
      </c>
    </row>
    <row r="405">
      <c r="A405" s="12" t="n">
        <v>9</v>
      </c>
      <c r="B405" s="12">
        <f>IFERROR(IF(SUMIFS(tblDaily[Admissions],tblDaily[EntryDate],DATE(2026,11,9),tblDaily[WardCode],"BG")=0,"",SUMIFS(tblDaily[Admissions],tblDaily[EntryDate],DATE(2026,11,9),tblDaily[WardCode],"BG")),"")</f>
        <v/>
      </c>
      <c r="C405" s="12">
        <f>IFERROR(IF(SUMIFS(tblDaily[Discharges],tblDaily[EntryDate],DATE(2026,11,9),tblDaily[WardCode],"BG")=0,"",SUMIFS(tblDaily[Discharges],tblDaily[EntryDate],DATE(2026,11,9),tblDaily[WardCode],"BG")),"")</f>
        <v/>
      </c>
      <c r="D405" s="12">
        <f>IFERROR(IF(SUMIFS(tblDaily[Deaths],tblDaily[EntryDate],DATE(2026,11,9),tblDaily[WardCode],"BG")=0,"",SUMIFS(tblDaily[Deaths],tblDaily[EntryDate],DATE(2026,11,9),tblDaily[WardCode],"BG")),"")</f>
        <v/>
      </c>
      <c r="E405" s="12">
        <f>IFERROR(IF(SUMIFS(tblDaily[DeathsUnder24Hrs],tblDaily[EntryDate],DATE(2026,11,9),tblDaily[WardCode],"BG")=0,"",SUMIFS(tblDaily[DeathsUnder24Hrs],tblDaily[EntryDate],DATE(2026,11,9),tblDaily[WardCode],"BG")),"")</f>
        <v/>
      </c>
      <c r="F405" s="12">
        <f>IFERROR(IF(SUMIFS(tblDaily[TransfersIn],tblDaily[EntryDate],DATE(2026,11,9),tblDaily[WardCode],"BG")=0,"",SUMIFS(tblDaily[TransfersIn],tblDaily[EntryDate],DATE(2026,11,9),tblDaily[WardCode],"BG")),"")</f>
        <v/>
      </c>
      <c r="G405" s="12">
        <f>IFERROR(IF(SUMIFS(tblDaily[TransfersOut],tblDaily[EntryDate],DATE(2026,11,9),tblDaily[WardCode],"BG")=0,"",SUMIFS(tblDaily[TransfersOut],tblDaily[EntryDate],DATE(2026,11,9),tblDaily[WardCode],"BG")),"")</f>
        <v/>
      </c>
      <c r="H405" s="12">
        <f>IFERROR(IF(SUMIFS(tblDaily[Remaining],tblDaily[EntryDate],DATE(2026,11,9),tblDaily[WardCode],"BG")=0,"",SUMIFS(tblDaily[Remaining],tblDaily[EntryDate],DATE(2026,11,9),tblDaily[WardCode],"BG")),"")</f>
        <v/>
      </c>
    </row>
    <row r="406">
      <c r="A406" s="12" t="n">
        <v>10</v>
      </c>
      <c r="B406" s="12">
        <f>IFERROR(IF(SUMIFS(tblDaily[Admissions],tblDaily[EntryDate],DATE(2026,11,10),tblDaily[WardCode],"BG")=0,"",SUMIFS(tblDaily[Admissions],tblDaily[EntryDate],DATE(2026,11,10),tblDaily[WardCode],"BG")),"")</f>
        <v/>
      </c>
      <c r="C406" s="12">
        <f>IFERROR(IF(SUMIFS(tblDaily[Discharges],tblDaily[EntryDate],DATE(2026,11,10),tblDaily[WardCode],"BG")=0,"",SUMIFS(tblDaily[Discharges],tblDaily[EntryDate],DATE(2026,11,10),tblDaily[WardCode],"BG")),"")</f>
        <v/>
      </c>
      <c r="D406" s="12">
        <f>IFERROR(IF(SUMIFS(tblDaily[Deaths],tblDaily[EntryDate],DATE(2026,11,10),tblDaily[WardCode],"BG")=0,"",SUMIFS(tblDaily[Deaths],tblDaily[EntryDate],DATE(2026,11,10),tblDaily[WardCode],"BG")),"")</f>
        <v/>
      </c>
      <c r="E406" s="12">
        <f>IFERROR(IF(SUMIFS(tblDaily[DeathsUnder24Hrs],tblDaily[EntryDate],DATE(2026,11,10),tblDaily[WardCode],"BG")=0,"",SUMIFS(tblDaily[DeathsUnder24Hrs],tblDaily[EntryDate],DATE(2026,11,10),tblDaily[WardCode],"BG")),"")</f>
        <v/>
      </c>
      <c r="F406" s="12">
        <f>IFERROR(IF(SUMIFS(tblDaily[TransfersIn],tblDaily[EntryDate],DATE(2026,11,10),tblDaily[WardCode],"BG")=0,"",SUMIFS(tblDaily[TransfersIn],tblDaily[EntryDate],DATE(2026,11,10),tblDaily[WardCode],"BG")),"")</f>
        <v/>
      </c>
      <c r="G406" s="12">
        <f>IFERROR(IF(SUMIFS(tblDaily[TransfersOut],tblDaily[EntryDate],DATE(2026,11,10),tblDaily[WardCode],"BG")=0,"",SUMIFS(tblDaily[TransfersOut],tblDaily[EntryDate],DATE(2026,11,10),tblDaily[WardCode],"BG")),"")</f>
        <v/>
      </c>
      <c r="H406" s="12">
        <f>IFERROR(IF(SUMIFS(tblDaily[Remaining],tblDaily[EntryDate],DATE(2026,11,10),tblDaily[WardCode],"BG")=0,"",SUMIFS(tblDaily[Remaining],tblDaily[EntryDate],DATE(2026,11,10),tblDaily[WardCode],"BG")),"")</f>
        <v/>
      </c>
    </row>
    <row r="407">
      <c r="A407" s="12" t="n">
        <v>11</v>
      </c>
      <c r="B407" s="12">
        <f>IFERROR(IF(SUMIFS(tblDaily[Admissions],tblDaily[EntryDate],DATE(2026,11,11),tblDaily[WardCode],"BG")=0,"",SUMIFS(tblDaily[Admissions],tblDaily[EntryDate],DATE(2026,11,11),tblDaily[WardCode],"BG")),"")</f>
        <v/>
      </c>
      <c r="C407" s="12">
        <f>IFERROR(IF(SUMIFS(tblDaily[Discharges],tblDaily[EntryDate],DATE(2026,11,11),tblDaily[WardCode],"BG")=0,"",SUMIFS(tblDaily[Discharges],tblDaily[EntryDate],DATE(2026,11,11),tblDaily[WardCode],"BG")),"")</f>
        <v/>
      </c>
      <c r="D407" s="12">
        <f>IFERROR(IF(SUMIFS(tblDaily[Deaths],tblDaily[EntryDate],DATE(2026,11,11),tblDaily[WardCode],"BG")=0,"",SUMIFS(tblDaily[Deaths],tblDaily[EntryDate],DATE(2026,11,11),tblDaily[WardCode],"BG")),"")</f>
        <v/>
      </c>
      <c r="E407" s="12">
        <f>IFERROR(IF(SUMIFS(tblDaily[DeathsUnder24Hrs],tblDaily[EntryDate],DATE(2026,11,11),tblDaily[WardCode],"BG")=0,"",SUMIFS(tblDaily[DeathsUnder24Hrs],tblDaily[EntryDate],DATE(2026,11,11),tblDaily[WardCode],"BG")),"")</f>
        <v/>
      </c>
      <c r="F407" s="12">
        <f>IFERROR(IF(SUMIFS(tblDaily[TransfersIn],tblDaily[EntryDate],DATE(2026,11,11),tblDaily[WardCode],"BG")=0,"",SUMIFS(tblDaily[TransfersIn],tblDaily[EntryDate],DATE(2026,11,11),tblDaily[WardCode],"BG")),"")</f>
        <v/>
      </c>
      <c r="G407" s="12">
        <f>IFERROR(IF(SUMIFS(tblDaily[TransfersOut],tblDaily[EntryDate],DATE(2026,11,11),tblDaily[WardCode],"BG")=0,"",SUMIFS(tblDaily[TransfersOut],tblDaily[EntryDate],DATE(2026,11,11),tblDaily[WardCode],"BG")),"")</f>
        <v/>
      </c>
      <c r="H407" s="12">
        <f>IFERROR(IF(SUMIFS(tblDaily[Remaining],tblDaily[EntryDate],DATE(2026,11,11),tblDaily[WardCode],"BG")=0,"",SUMIFS(tblDaily[Remaining],tblDaily[EntryDate],DATE(2026,11,11),tblDaily[WardCode],"BG")),"")</f>
        <v/>
      </c>
    </row>
    <row r="408">
      <c r="A408" s="12" t="n">
        <v>12</v>
      </c>
      <c r="B408" s="12">
        <f>IFERROR(IF(SUMIFS(tblDaily[Admissions],tblDaily[EntryDate],DATE(2026,11,12),tblDaily[WardCode],"BG")=0,"",SUMIFS(tblDaily[Admissions],tblDaily[EntryDate],DATE(2026,11,12),tblDaily[WardCode],"BG")),"")</f>
        <v/>
      </c>
      <c r="C408" s="12">
        <f>IFERROR(IF(SUMIFS(tblDaily[Discharges],tblDaily[EntryDate],DATE(2026,11,12),tblDaily[WardCode],"BG")=0,"",SUMIFS(tblDaily[Discharges],tblDaily[EntryDate],DATE(2026,11,12),tblDaily[WardCode],"BG")),"")</f>
        <v/>
      </c>
      <c r="D408" s="12">
        <f>IFERROR(IF(SUMIFS(tblDaily[Deaths],tblDaily[EntryDate],DATE(2026,11,12),tblDaily[WardCode],"BG")=0,"",SUMIFS(tblDaily[Deaths],tblDaily[EntryDate],DATE(2026,11,12),tblDaily[WardCode],"BG")),"")</f>
        <v/>
      </c>
      <c r="E408" s="12">
        <f>IFERROR(IF(SUMIFS(tblDaily[DeathsUnder24Hrs],tblDaily[EntryDate],DATE(2026,11,12),tblDaily[WardCode],"BG")=0,"",SUMIFS(tblDaily[DeathsUnder24Hrs],tblDaily[EntryDate],DATE(2026,11,12),tblDaily[WardCode],"BG")),"")</f>
        <v/>
      </c>
      <c r="F408" s="12">
        <f>IFERROR(IF(SUMIFS(tblDaily[TransfersIn],tblDaily[EntryDate],DATE(2026,11,12),tblDaily[WardCode],"BG")=0,"",SUMIFS(tblDaily[TransfersIn],tblDaily[EntryDate],DATE(2026,11,12),tblDaily[WardCode],"BG")),"")</f>
        <v/>
      </c>
      <c r="G408" s="12">
        <f>IFERROR(IF(SUMIFS(tblDaily[TransfersOut],tblDaily[EntryDate],DATE(2026,11,12),tblDaily[WardCode],"BG")=0,"",SUMIFS(tblDaily[TransfersOut],tblDaily[EntryDate],DATE(2026,11,12),tblDaily[WardCode],"BG")),"")</f>
        <v/>
      </c>
      <c r="H408" s="12">
        <f>IFERROR(IF(SUMIFS(tblDaily[Remaining],tblDaily[EntryDate],DATE(2026,11,12),tblDaily[WardCode],"BG")=0,"",SUMIFS(tblDaily[Remaining],tblDaily[EntryDate],DATE(2026,11,12),tblDaily[WardCode],"BG")),"")</f>
        <v/>
      </c>
    </row>
    <row r="409">
      <c r="A409" s="12" t="n">
        <v>13</v>
      </c>
      <c r="B409" s="12">
        <f>IFERROR(IF(SUMIFS(tblDaily[Admissions],tblDaily[EntryDate],DATE(2026,11,13),tblDaily[WardCode],"BG")=0,"",SUMIFS(tblDaily[Admissions],tblDaily[EntryDate],DATE(2026,11,13),tblDaily[WardCode],"BG")),"")</f>
        <v/>
      </c>
      <c r="C409" s="12">
        <f>IFERROR(IF(SUMIFS(tblDaily[Discharges],tblDaily[EntryDate],DATE(2026,11,13),tblDaily[WardCode],"BG")=0,"",SUMIFS(tblDaily[Discharges],tblDaily[EntryDate],DATE(2026,11,13),tblDaily[WardCode],"BG")),"")</f>
        <v/>
      </c>
      <c r="D409" s="12">
        <f>IFERROR(IF(SUMIFS(tblDaily[Deaths],tblDaily[EntryDate],DATE(2026,11,13),tblDaily[WardCode],"BG")=0,"",SUMIFS(tblDaily[Deaths],tblDaily[EntryDate],DATE(2026,11,13),tblDaily[WardCode],"BG")),"")</f>
        <v/>
      </c>
      <c r="E409" s="12">
        <f>IFERROR(IF(SUMIFS(tblDaily[DeathsUnder24Hrs],tblDaily[EntryDate],DATE(2026,11,13),tblDaily[WardCode],"BG")=0,"",SUMIFS(tblDaily[DeathsUnder24Hrs],tblDaily[EntryDate],DATE(2026,11,13),tblDaily[WardCode],"BG")),"")</f>
        <v/>
      </c>
      <c r="F409" s="12">
        <f>IFERROR(IF(SUMIFS(tblDaily[TransfersIn],tblDaily[EntryDate],DATE(2026,11,13),tblDaily[WardCode],"BG")=0,"",SUMIFS(tblDaily[TransfersIn],tblDaily[EntryDate],DATE(2026,11,13),tblDaily[WardCode],"BG")),"")</f>
        <v/>
      </c>
      <c r="G409" s="12">
        <f>IFERROR(IF(SUMIFS(tblDaily[TransfersOut],tblDaily[EntryDate],DATE(2026,11,13),tblDaily[WardCode],"BG")=0,"",SUMIFS(tblDaily[TransfersOut],tblDaily[EntryDate],DATE(2026,11,13),tblDaily[WardCode],"BG")),"")</f>
        <v/>
      </c>
      <c r="H409" s="12">
        <f>IFERROR(IF(SUMIFS(tblDaily[Remaining],tblDaily[EntryDate],DATE(2026,11,13),tblDaily[WardCode],"BG")=0,"",SUMIFS(tblDaily[Remaining],tblDaily[EntryDate],DATE(2026,11,13),tblDaily[WardCode],"BG")),"")</f>
        <v/>
      </c>
    </row>
    <row r="410">
      <c r="A410" s="12" t="n">
        <v>14</v>
      </c>
      <c r="B410" s="12">
        <f>IFERROR(IF(SUMIFS(tblDaily[Admissions],tblDaily[EntryDate],DATE(2026,11,14),tblDaily[WardCode],"BG")=0,"",SUMIFS(tblDaily[Admissions],tblDaily[EntryDate],DATE(2026,11,14),tblDaily[WardCode],"BG")),"")</f>
        <v/>
      </c>
      <c r="C410" s="12">
        <f>IFERROR(IF(SUMIFS(tblDaily[Discharges],tblDaily[EntryDate],DATE(2026,11,14),tblDaily[WardCode],"BG")=0,"",SUMIFS(tblDaily[Discharges],tblDaily[EntryDate],DATE(2026,11,14),tblDaily[WardCode],"BG")),"")</f>
        <v/>
      </c>
      <c r="D410" s="12">
        <f>IFERROR(IF(SUMIFS(tblDaily[Deaths],tblDaily[EntryDate],DATE(2026,11,14),tblDaily[WardCode],"BG")=0,"",SUMIFS(tblDaily[Deaths],tblDaily[EntryDate],DATE(2026,11,14),tblDaily[WardCode],"BG")),"")</f>
        <v/>
      </c>
      <c r="E410" s="12">
        <f>IFERROR(IF(SUMIFS(tblDaily[DeathsUnder24Hrs],tblDaily[EntryDate],DATE(2026,11,14),tblDaily[WardCode],"BG")=0,"",SUMIFS(tblDaily[DeathsUnder24Hrs],tblDaily[EntryDate],DATE(2026,11,14),tblDaily[WardCode],"BG")),"")</f>
        <v/>
      </c>
      <c r="F410" s="12">
        <f>IFERROR(IF(SUMIFS(tblDaily[TransfersIn],tblDaily[EntryDate],DATE(2026,11,14),tblDaily[WardCode],"BG")=0,"",SUMIFS(tblDaily[TransfersIn],tblDaily[EntryDate],DATE(2026,11,14),tblDaily[WardCode],"BG")),"")</f>
        <v/>
      </c>
      <c r="G410" s="12">
        <f>IFERROR(IF(SUMIFS(tblDaily[TransfersOut],tblDaily[EntryDate],DATE(2026,11,14),tblDaily[WardCode],"BG")=0,"",SUMIFS(tblDaily[TransfersOut],tblDaily[EntryDate],DATE(2026,11,14),tblDaily[WardCode],"BG")),"")</f>
        <v/>
      </c>
      <c r="H410" s="12">
        <f>IFERROR(IF(SUMIFS(tblDaily[Remaining],tblDaily[EntryDate],DATE(2026,11,14),tblDaily[WardCode],"BG")=0,"",SUMIFS(tblDaily[Remaining],tblDaily[EntryDate],DATE(2026,11,14),tblDaily[WardCode],"BG")),"")</f>
        <v/>
      </c>
    </row>
    <row r="411">
      <c r="A411" s="12" t="n">
        <v>15</v>
      </c>
      <c r="B411" s="12">
        <f>IFERROR(IF(SUMIFS(tblDaily[Admissions],tblDaily[EntryDate],DATE(2026,11,15),tblDaily[WardCode],"BG")=0,"",SUMIFS(tblDaily[Admissions],tblDaily[EntryDate],DATE(2026,11,15),tblDaily[WardCode],"BG")),"")</f>
        <v/>
      </c>
      <c r="C411" s="12">
        <f>IFERROR(IF(SUMIFS(tblDaily[Discharges],tblDaily[EntryDate],DATE(2026,11,15),tblDaily[WardCode],"BG")=0,"",SUMIFS(tblDaily[Discharges],tblDaily[EntryDate],DATE(2026,11,15),tblDaily[WardCode],"BG")),"")</f>
        <v/>
      </c>
      <c r="D411" s="12">
        <f>IFERROR(IF(SUMIFS(tblDaily[Deaths],tblDaily[EntryDate],DATE(2026,11,15),tblDaily[WardCode],"BG")=0,"",SUMIFS(tblDaily[Deaths],tblDaily[EntryDate],DATE(2026,11,15),tblDaily[WardCode],"BG")),"")</f>
        <v/>
      </c>
      <c r="E411" s="12">
        <f>IFERROR(IF(SUMIFS(tblDaily[DeathsUnder24Hrs],tblDaily[EntryDate],DATE(2026,11,15),tblDaily[WardCode],"BG")=0,"",SUMIFS(tblDaily[DeathsUnder24Hrs],tblDaily[EntryDate],DATE(2026,11,15),tblDaily[WardCode],"BG")),"")</f>
        <v/>
      </c>
      <c r="F411" s="12">
        <f>IFERROR(IF(SUMIFS(tblDaily[TransfersIn],tblDaily[EntryDate],DATE(2026,11,15),tblDaily[WardCode],"BG")=0,"",SUMIFS(tblDaily[TransfersIn],tblDaily[EntryDate],DATE(2026,11,15),tblDaily[WardCode],"BG")),"")</f>
        <v/>
      </c>
      <c r="G411" s="12">
        <f>IFERROR(IF(SUMIFS(tblDaily[TransfersOut],tblDaily[EntryDate],DATE(2026,11,15),tblDaily[WardCode],"BG")=0,"",SUMIFS(tblDaily[TransfersOut],tblDaily[EntryDate],DATE(2026,11,15),tblDaily[WardCode],"BG")),"")</f>
        <v/>
      </c>
      <c r="H411" s="12">
        <f>IFERROR(IF(SUMIFS(tblDaily[Remaining],tblDaily[EntryDate],DATE(2026,11,15),tblDaily[WardCode],"BG")=0,"",SUMIFS(tblDaily[Remaining],tblDaily[EntryDate],DATE(2026,11,15),tblDaily[WardCode],"BG")),"")</f>
        <v/>
      </c>
    </row>
    <row r="412">
      <c r="A412" s="12" t="n">
        <v>16</v>
      </c>
      <c r="B412" s="12">
        <f>IFERROR(IF(SUMIFS(tblDaily[Admissions],tblDaily[EntryDate],DATE(2026,11,16),tblDaily[WardCode],"BG")=0,"",SUMIFS(tblDaily[Admissions],tblDaily[EntryDate],DATE(2026,11,16),tblDaily[WardCode],"BG")),"")</f>
        <v/>
      </c>
      <c r="C412" s="12">
        <f>IFERROR(IF(SUMIFS(tblDaily[Discharges],tblDaily[EntryDate],DATE(2026,11,16),tblDaily[WardCode],"BG")=0,"",SUMIFS(tblDaily[Discharges],tblDaily[EntryDate],DATE(2026,11,16),tblDaily[WardCode],"BG")),"")</f>
        <v/>
      </c>
      <c r="D412" s="12">
        <f>IFERROR(IF(SUMIFS(tblDaily[Deaths],tblDaily[EntryDate],DATE(2026,11,16),tblDaily[WardCode],"BG")=0,"",SUMIFS(tblDaily[Deaths],tblDaily[EntryDate],DATE(2026,11,16),tblDaily[WardCode],"BG")),"")</f>
        <v/>
      </c>
      <c r="E412" s="12">
        <f>IFERROR(IF(SUMIFS(tblDaily[DeathsUnder24Hrs],tblDaily[EntryDate],DATE(2026,11,16),tblDaily[WardCode],"BG")=0,"",SUMIFS(tblDaily[DeathsUnder24Hrs],tblDaily[EntryDate],DATE(2026,11,16),tblDaily[WardCode],"BG")),"")</f>
        <v/>
      </c>
      <c r="F412" s="12">
        <f>IFERROR(IF(SUMIFS(tblDaily[TransfersIn],tblDaily[EntryDate],DATE(2026,11,16),tblDaily[WardCode],"BG")=0,"",SUMIFS(tblDaily[TransfersIn],tblDaily[EntryDate],DATE(2026,11,16),tblDaily[WardCode],"BG")),"")</f>
        <v/>
      </c>
      <c r="G412" s="12">
        <f>IFERROR(IF(SUMIFS(tblDaily[TransfersOut],tblDaily[EntryDate],DATE(2026,11,16),tblDaily[WardCode],"BG")=0,"",SUMIFS(tblDaily[TransfersOut],tblDaily[EntryDate],DATE(2026,11,16),tblDaily[WardCode],"BG")),"")</f>
        <v/>
      </c>
      <c r="H412" s="12">
        <f>IFERROR(IF(SUMIFS(tblDaily[Remaining],tblDaily[EntryDate],DATE(2026,11,16),tblDaily[WardCode],"BG")=0,"",SUMIFS(tblDaily[Remaining],tblDaily[EntryDate],DATE(2026,11,16),tblDaily[WardCode],"BG")),"")</f>
        <v/>
      </c>
    </row>
    <row r="413">
      <c r="A413" s="12" t="n">
        <v>17</v>
      </c>
      <c r="B413" s="12">
        <f>IFERROR(IF(SUMIFS(tblDaily[Admissions],tblDaily[EntryDate],DATE(2026,11,17),tblDaily[WardCode],"BG")=0,"",SUMIFS(tblDaily[Admissions],tblDaily[EntryDate],DATE(2026,11,17),tblDaily[WardCode],"BG")),"")</f>
        <v/>
      </c>
      <c r="C413" s="12">
        <f>IFERROR(IF(SUMIFS(tblDaily[Discharges],tblDaily[EntryDate],DATE(2026,11,17),tblDaily[WardCode],"BG")=0,"",SUMIFS(tblDaily[Discharges],tblDaily[EntryDate],DATE(2026,11,17),tblDaily[WardCode],"BG")),"")</f>
        <v/>
      </c>
      <c r="D413" s="12">
        <f>IFERROR(IF(SUMIFS(tblDaily[Deaths],tblDaily[EntryDate],DATE(2026,11,17),tblDaily[WardCode],"BG")=0,"",SUMIFS(tblDaily[Deaths],tblDaily[EntryDate],DATE(2026,11,17),tblDaily[WardCode],"BG")),"")</f>
        <v/>
      </c>
      <c r="E413" s="12">
        <f>IFERROR(IF(SUMIFS(tblDaily[DeathsUnder24Hrs],tblDaily[EntryDate],DATE(2026,11,17),tblDaily[WardCode],"BG")=0,"",SUMIFS(tblDaily[DeathsUnder24Hrs],tblDaily[EntryDate],DATE(2026,11,17),tblDaily[WardCode],"BG")),"")</f>
        <v/>
      </c>
      <c r="F413" s="12">
        <f>IFERROR(IF(SUMIFS(tblDaily[TransfersIn],tblDaily[EntryDate],DATE(2026,11,17),tblDaily[WardCode],"BG")=0,"",SUMIFS(tblDaily[TransfersIn],tblDaily[EntryDate],DATE(2026,11,17),tblDaily[WardCode],"BG")),"")</f>
        <v/>
      </c>
      <c r="G413" s="12">
        <f>IFERROR(IF(SUMIFS(tblDaily[TransfersOut],tblDaily[EntryDate],DATE(2026,11,17),tblDaily[WardCode],"BG")=0,"",SUMIFS(tblDaily[TransfersOut],tblDaily[EntryDate],DATE(2026,11,17),tblDaily[WardCode],"BG")),"")</f>
        <v/>
      </c>
      <c r="H413" s="12">
        <f>IFERROR(IF(SUMIFS(tblDaily[Remaining],tblDaily[EntryDate],DATE(2026,11,17),tblDaily[WardCode],"BG")=0,"",SUMIFS(tblDaily[Remaining],tblDaily[EntryDate],DATE(2026,11,17),tblDaily[WardCode],"BG")),"")</f>
        <v/>
      </c>
    </row>
    <row r="414">
      <c r="A414" s="12" t="n">
        <v>18</v>
      </c>
      <c r="B414" s="12">
        <f>IFERROR(IF(SUMIFS(tblDaily[Admissions],tblDaily[EntryDate],DATE(2026,11,18),tblDaily[WardCode],"BG")=0,"",SUMIFS(tblDaily[Admissions],tblDaily[EntryDate],DATE(2026,11,18),tblDaily[WardCode],"BG")),"")</f>
        <v/>
      </c>
      <c r="C414" s="12">
        <f>IFERROR(IF(SUMIFS(tblDaily[Discharges],tblDaily[EntryDate],DATE(2026,11,18),tblDaily[WardCode],"BG")=0,"",SUMIFS(tblDaily[Discharges],tblDaily[EntryDate],DATE(2026,11,18),tblDaily[WardCode],"BG")),"")</f>
        <v/>
      </c>
      <c r="D414" s="12">
        <f>IFERROR(IF(SUMIFS(tblDaily[Deaths],tblDaily[EntryDate],DATE(2026,11,18),tblDaily[WardCode],"BG")=0,"",SUMIFS(tblDaily[Deaths],tblDaily[EntryDate],DATE(2026,11,18),tblDaily[WardCode],"BG")),"")</f>
        <v/>
      </c>
      <c r="E414" s="12">
        <f>IFERROR(IF(SUMIFS(tblDaily[DeathsUnder24Hrs],tblDaily[EntryDate],DATE(2026,11,18),tblDaily[WardCode],"BG")=0,"",SUMIFS(tblDaily[DeathsUnder24Hrs],tblDaily[EntryDate],DATE(2026,11,18),tblDaily[WardCode],"BG")),"")</f>
        <v/>
      </c>
      <c r="F414" s="12">
        <f>IFERROR(IF(SUMIFS(tblDaily[TransfersIn],tblDaily[EntryDate],DATE(2026,11,18),tblDaily[WardCode],"BG")=0,"",SUMIFS(tblDaily[TransfersIn],tblDaily[EntryDate],DATE(2026,11,18),tblDaily[WardCode],"BG")),"")</f>
        <v/>
      </c>
      <c r="G414" s="12">
        <f>IFERROR(IF(SUMIFS(tblDaily[TransfersOut],tblDaily[EntryDate],DATE(2026,11,18),tblDaily[WardCode],"BG")=0,"",SUMIFS(tblDaily[TransfersOut],tblDaily[EntryDate],DATE(2026,11,18),tblDaily[WardCode],"BG")),"")</f>
        <v/>
      </c>
      <c r="H414" s="12">
        <f>IFERROR(IF(SUMIFS(tblDaily[Remaining],tblDaily[EntryDate],DATE(2026,11,18),tblDaily[WardCode],"BG")=0,"",SUMIFS(tblDaily[Remaining],tblDaily[EntryDate],DATE(2026,11,18),tblDaily[WardCode],"BG")),"")</f>
        <v/>
      </c>
    </row>
    <row r="415">
      <c r="A415" s="12" t="n">
        <v>19</v>
      </c>
      <c r="B415" s="12">
        <f>IFERROR(IF(SUMIFS(tblDaily[Admissions],tblDaily[EntryDate],DATE(2026,11,19),tblDaily[WardCode],"BG")=0,"",SUMIFS(tblDaily[Admissions],tblDaily[EntryDate],DATE(2026,11,19),tblDaily[WardCode],"BG")),"")</f>
        <v/>
      </c>
      <c r="C415" s="12">
        <f>IFERROR(IF(SUMIFS(tblDaily[Discharges],tblDaily[EntryDate],DATE(2026,11,19),tblDaily[WardCode],"BG")=0,"",SUMIFS(tblDaily[Discharges],tblDaily[EntryDate],DATE(2026,11,19),tblDaily[WardCode],"BG")),"")</f>
        <v/>
      </c>
      <c r="D415" s="12">
        <f>IFERROR(IF(SUMIFS(tblDaily[Deaths],tblDaily[EntryDate],DATE(2026,11,19),tblDaily[WardCode],"BG")=0,"",SUMIFS(tblDaily[Deaths],tblDaily[EntryDate],DATE(2026,11,19),tblDaily[WardCode],"BG")),"")</f>
        <v/>
      </c>
      <c r="E415" s="12">
        <f>IFERROR(IF(SUMIFS(tblDaily[DeathsUnder24Hrs],tblDaily[EntryDate],DATE(2026,11,19),tblDaily[WardCode],"BG")=0,"",SUMIFS(tblDaily[DeathsUnder24Hrs],tblDaily[EntryDate],DATE(2026,11,19),tblDaily[WardCode],"BG")),"")</f>
        <v/>
      </c>
      <c r="F415" s="12">
        <f>IFERROR(IF(SUMIFS(tblDaily[TransfersIn],tblDaily[EntryDate],DATE(2026,11,19),tblDaily[WardCode],"BG")=0,"",SUMIFS(tblDaily[TransfersIn],tblDaily[EntryDate],DATE(2026,11,19),tblDaily[WardCode],"BG")),"")</f>
        <v/>
      </c>
      <c r="G415" s="12">
        <f>IFERROR(IF(SUMIFS(tblDaily[TransfersOut],tblDaily[EntryDate],DATE(2026,11,19),tblDaily[WardCode],"BG")=0,"",SUMIFS(tblDaily[TransfersOut],tblDaily[EntryDate],DATE(2026,11,19),tblDaily[WardCode],"BG")),"")</f>
        <v/>
      </c>
      <c r="H415" s="12">
        <f>IFERROR(IF(SUMIFS(tblDaily[Remaining],tblDaily[EntryDate],DATE(2026,11,19),tblDaily[WardCode],"BG")=0,"",SUMIFS(tblDaily[Remaining],tblDaily[EntryDate],DATE(2026,11,19),tblDaily[WardCode],"BG")),"")</f>
        <v/>
      </c>
    </row>
    <row r="416">
      <c r="A416" s="12" t="n">
        <v>20</v>
      </c>
      <c r="B416" s="12">
        <f>IFERROR(IF(SUMIFS(tblDaily[Admissions],tblDaily[EntryDate],DATE(2026,11,20),tblDaily[WardCode],"BG")=0,"",SUMIFS(tblDaily[Admissions],tblDaily[EntryDate],DATE(2026,11,20),tblDaily[WardCode],"BG")),"")</f>
        <v/>
      </c>
      <c r="C416" s="12">
        <f>IFERROR(IF(SUMIFS(tblDaily[Discharges],tblDaily[EntryDate],DATE(2026,11,20),tblDaily[WardCode],"BG")=0,"",SUMIFS(tblDaily[Discharges],tblDaily[EntryDate],DATE(2026,11,20),tblDaily[WardCode],"BG")),"")</f>
        <v/>
      </c>
      <c r="D416" s="12">
        <f>IFERROR(IF(SUMIFS(tblDaily[Deaths],tblDaily[EntryDate],DATE(2026,11,20),tblDaily[WardCode],"BG")=0,"",SUMIFS(tblDaily[Deaths],tblDaily[EntryDate],DATE(2026,11,20),tblDaily[WardCode],"BG")),"")</f>
        <v/>
      </c>
      <c r="E416" s="12">
        <f>IFERROR(IF(SUMIFS(tblDaily[DeathsUnder24Hrs],tblDaily[EntryDate],DATE(2026,11,20),tblDaily[WardCode],"BG")=0,"",SUMIFS(tblDaily[DeathsUnder24Hrs],tblDaily[EntryDate],DATE(2026,11,20),tblDaily[WardCode],"BG")),"")</f>
        <v/>
      </c>
      <c r="F416" s="12">
        <f>IFERROR(IF(SUMIFS(tblDaily[TransfersIn],tblDaily[EntryDate],DATE(2026,11,20),tblDaily[WardCode],"BG")=0,"",SUMIFS(tblDaily[TransfersIn],tblDaily[EntryDate],DATE(2026,11,20),tblDaily[WardCode],"BG")),"")</f>
        <v/>
      </c>
      <c r="G416" s="12">
        <f>IFERROR(IF(SUMIFS(tblDaily[TransfersOut],tblDaily[EntryDate],DATE(2026,11,20),tblDaily[WardCode],"BG")=0,"",SUMIFS(tblDaily[TransfersOut],tblDaily[EntryDate],DATE(2026,11,20),tblDaily[WardCode],"BG")),"")</f>
        <v/>
      </c>
      <c r="H416" s="12">
        <f>IFERROR(IF(SUMIFS(tblDaily[Remaining],tblDaily[EntryDate],DATE(2026,11,20),tblDaily[WardCode],"BG")=0,"",SUMIFS(tblDaily[Remaining],tblDaily[EntryDate],DATE(2026,11,20),tblDaily[WardCode],"BG")),"")</f>
        <v/>
      </c>
    </row>
    <row r="417">
      <c r="A417" s="12" t="n">
        <v>21</v>
      </c>
      <c r="B417" s="12">
        <f>IFERROR(IF(SUMIFS(tblDaily[Admissions],tblDaily[EntryDate],DATE(2026,11,21),tblDaily[WardCode],"BG")=0,"",SUMIFS(tblDaily[Admissions],tblDaily[EntryDate],DATE(2026,11,21),tblDaily[WardCode],"BG")),"")</f>
        <v/>
      </c>
      <c r="C417" s="12">
        <f>IFERROR(IF(SUMIFS(tblDaily[Discharges],tblDaily[EntryDate],DATE(2026,11,21),tblDaily[WardCode],"BG")=0,"",SUMIFS(tblDaily[Discharges],tblDaily[EntryDate],DATE(2026,11,21),tblDaily[WardCode],"BG")),"")</f>
        <v/>
      </c>
      <c r="D417" s="12">
        <f>IFERROR(IF(SUMIFS(tblDaily[Deaths],tblDaily[EntryDate],DATE(2026,11,21),tblDaily[WardCode],"BG")=0,"",SUMIFS(tblDaily[Deaths],tblDaily[EntryDate],DATE(2026,11,21),tblDaily[WardCode],"BG")),"")</f>
        <v/>
      </c>
      <c r="E417" s="12">
        <f>IFERROR(IF(SUMIFS(tblDaily[DeathsUnder24Hrs],tblDaily[EntryDate],DATE(2026,11,21),tblDaily[WardCode],"BG")=0,"",SUMIFS(tblDaily[DeathsUnder24Hrs],tblDaily[EntryDate],DATE(2026,11,21),tblDaily[WardCode],"BG")),"")</f>
        <v/>
      </c>
      <c r="F417" s="12">
        <f>IFERROR(IF(SUMIFS(tblDaily[TransfersIn],tblDaily[EntryDate],DATE(2026,11,21),tblDaily[WardCode],"BG")=0,"",SUMIFS(tblDaily[TransfersIn],tblDaily[EntryDate],DATE(2026,11,21),tblDaily[WardCode],"BG")),"")</f>
        <v/>
      </c>
      <c r="G417" s="12">
        <f>IFERROR(IF(SUMIFS(tblDaily[TransfersOut],tblDaily[EntryDate],DATE(2026,11,21),tblDaily[WardCode],"BG")=0,"",SUMIFS(tblDaily[TransfersOut],tblDaily[EntryDate],DATE(2026,11,21),tblDaily[WardCode],"BG")),"")</f>
        <v/>
      </c>
      <c r="H417" s="12">
        <f>IFERROR(IF(SUMIFS(tblDaily[Remaining],tblDaily[EntryDate],DATE(2026,11,21),tblDaily[WardCode],"BG")=0,"",SUMIFS(tblDaily[Remaining],tblDaily[EntryDate],DATE(2026,11,21),tblDaily[WardCode],"BG")),"")</f>
        <v/>
      </c>
    </row>
    <row r="418">
      <c r="A418" s="12" t="n">
        <v>22</v>
      </c>
      <c r="B418" s="12">
        <f>IFERROR(IF(SUMIFS(tblDaily[Admissions],tblDaily[EntryDate],DATE(2026,11,22),tblDaily[WardCode],"BG")=0,"",SUMIFS(tblDaily[Admissions],tblDaily[EntryDate],DATE(2026,11,22),tblDaily[WardCode],"BG")),"")</f>
        <v/>
      </c>
      <c r="C418" s="12">
        <f>IFERROR(IF(SUMIFS(tblDaily[Discharges],tblDaily[EntryDate],DATE(2026,11,22),tblDaily[WardCode],"BG")=0,"",SUMIFS(tblDaily[Discharges],tblDaily[EntryDate],DATE(2026,11,22),tblDaily[WardCode],"BG")),"")</f>
        <v/>
      </c>
      <c r="D418" s="12">
        <f>IFERROR(IF(SUMIFS(tblDaily[Deaths],tblDaily[EntryDate],DATE(2026,11,22),tblDaily[WardCode],"BG")=0,"",SUMIFS(tblDaily[Deaths],tblDaily[EntryDate],DATE(2026,11,22),tblDaily[WardCode],"BG")),"")</f>
        <v/>
      </c>
      <c r="E418" s="12">
        <f>IFERROR(IF(SUMIFS(tblDaily[DeathsUnder24Hrs],tblDaily[EntryDate],DATE(2026,11,22),tblDaily[WardCode],"BG")=0,"",SUMIFS(tblDaily[DeathsUnder24Hrs],tblDaily[EntryDate],DATE(2026,11,22),tblDaily[WardCode],"BG")),"")</f>
        <v/>
      </c>
      <c r="F418" s="12">
        <f>IFERROR(IF(SUMIFS(tblDaily[TransfersIn],tblDaily[EntryDate],DATE(2026,11,22),tblDaily[WardCode],"BG")=0,"",SUMIFS(tblDaily[TransfersIn],tblDaily[EntryDate],DATE(2026,11,22),tblDaily[WardCode],"BG")),"")</f>
        <v/>
      </c>
      <c r="G418" s="12">
        <f>IFERROR(IF(SUMIFS(tblDaily[TransfersOut],tblDaily[EntryDate],DATE(2026,11,22),tblDaily[WardCode],"BG")=0,"",SUMIFS(tblDaily[TransfersOut],tblDaily[EntryDate],DATE(2026,11,22),tblDaily[WardCode],"BG")),"")</f>
        <v/>
      </c>
      <c r="H418" s="12">
        <f>IFERROR(IF(SUMIFS(tblDaily[Remaining],tblDaily[EntryDate],DATE(2026,11,22),tblDaily[WardCode],"BG")=0,"",SUMIFS(tblDaily[Remaining],tblDaily[EntryDate],DATE(2026,11,22),tblDaily[WardCode],"BG")),"")</f>
        <v/>
      </c>
    </row>
    <row r="419">
      <c r="A419" s="12" t="n">
        <v>23</v>
      </c>
      <c r="B419" s="12">
        <f>IFERROR(IF(SUMIFS(tblDaily[Admissions],tblDaily[EntryDate],DATE(2026,11,23),tblDaily[WardCode],"BG")=0,"",SUMIFS(tblDaily[Admissions],tblDaily[EntryDate],DATE(2026,11,23),tblDaily[WardCode],"BG")),"")</f>
        <v/>
      </c>
      <c r="C419" s="12">
        <f>IFERROR(IF(SUMIFS(tblDaily[Discharges],tblDaily[EntryDate],DATE(2026,11,23),tblDaily[WardCode],"BG")=0,"",SUMIFS(tblDaily[Discharges],tblDaily[EntryDate],DATE(2026,11,23),tblDaily[WardCode],"BG")),"")</f>
        <v/>
      </c>
      <c r="D419" s="12">
        <f>IFERROR(IF(SUMIFS(tblDaily[Deaths],tblDaily[EntryDate],DATE(2026,11,23),tblDaily[WardCode],"BG")=0,"",SUMIFS(tblDaily[Deaths],tblDaily[EntryDate],DATE(2026,11,23),tblDaily[WardCode],"BG")),"")</f>
        <v/>
      </c>
      <c r="E419" s="12">
        <f>IFERROR(IF(SUMIFS(tblDaily[DeathsUnder24Hrs],tblDaily[EntryDate],DATE(2026,11,23),tblDaily[WardCode],"BG")=0,"",SUMIFS(tblDaily[DeathsUnder24Hrs],tblDaily[EntryDate],DATE(2026,11,23),tblDaily[WardCode],"BG")),"")</f>
        <v/>
      </c>
      <c r="F419" s="12">
        <f>IFERROR(IF(SUMIFS(tblDaily[TransfersIn],tblDaily[EntryDate],DATE(2026,11,23),tblDaily[WardCode],"BG")=0,"",SUMIFS(tblDaily[TransfersIn],tblDaily[EntryDate],DATE(2026,11,23),tblDaily[WardCode],"BG")),"")</f>
        <v/>
      </c>
      <c r="G419" s="12">
        <f>IFERROR(IF(SUMIFS(tblDaily[TransfersOut],tblDaily[EntryDate],DATE(2026,11,23),tblDaily[WardCode],"BG")=0,"",SUMIFS(tblDaily[TransfersOut],tblDaily[EntryDate],DATE(2026,11,23),tblDaily[WardCode],"BG")),"")</f>
        <v/>
      </c>
      <c r="H419" s="12">
        <f>IFERROR(IF(SUMIFS(tblDaily[Remaining],tblDaily[EntryDate],DATE(2026,11,23),tblDaily[WardCode],"BG")=0,"",SUMIFS(tblDaily[Remaining],tblDaily[EntryDate],DATE(2026,11,23),tblDaily[WardCode],"BG")),"")</f>
        <v/>
      </c>
    </row>
    <row r="420">
      <c r="A420" s="12" t="n">
        <v>24</v>
      </c>
      <c r="B420" s="12">
        <f>IFERROR(IF(SUMIFS(tblDaily[Admissions],tblDaily[EntryDate],DATE(2026,11,24),tblDaily[WardCode],"BG")=0,"",SUMIFS(tblDaily[Admissions],tblDaily[EntryDate],DATE(2026,11,24),tblDaily[WardCode],"BG")),"")</f>
        <v/>
      </c>
      <c r="C420" s="12">
        <f>IFERROR(IF(SUMIFS(tblDaily[Discharges],tblDaily[EntryDate],DATE(2026,11,24),tblDaily[WardCode],"BG")=0,"",SUMIFS(tblDaily[Discharges],tblDaily[EntryDate],DATE(2026,11,24),tblDaily[WardCode],"BG")),"")</f>
        <v/>
      </c>
      <c r="D420" s="12">
        <f>IFERROR(IF(SUMIFS(tblDaily[Deaths],tblDaily[EntryDate],DATE(2026,11,24),tblDaily[WardCode],"BG")=0,"",SUMIFS(tblDaily[Deaths],tblDaily[EntryDate],DATE(2026,11,24),tblDaily[WardCode],"BG")),"")</f>
        <v/>
      </c>
      <c r="E420" s="12">
        <f>IFERROR(IF(SUMIFS(tblDaily[DeathsUnder24Hrs],tblDaily[EntryDate],DATE(2026,11,24),tblDaily[WardCode],"BG")=0,"",SUMIFS(tblDaily[DeathsUnder24Hrs],tblDaily[EntryDate],DATE(2026,11,24),tblDaily[WardCode],"BG")),"")</f>
        <v/>
      </c>
      <c r="F420" s="12">
        <f>IFERROR(IF(SUMIFS(tblDaily[TransfersIn],tblDaily[EntryDate],DATE(2026,11,24),tblDaily[WardCode],"BG")=0,"",SUMIFS(tblDaily[TransfersIn],tblDaily[EntryDate],DATE(2026,11,24),tblDaily[WardCode],"BG")),"")</f>
        <v/>
      </c>
      <c r="G420" s="12">
        <f>IFERROR(IF(SUMIFS(tblDaily[TransfersOut],tblDaily[EntryDate],DATE(2026,11,24),tblDaily[WardCode],"BG")=0,"",SUMIFS(tblDaily[TransfersOut],tblDaily[EntryDate],DATE(2026,11,24),tblDaily[WardCode],"BG")),"")</f>
        <v/>
      </c>
      <c r="H420" s="12">
        <f>IFERROR(IF(SUMIFS(tblDaily[Remaining],tblDaily[EntryDate],DATE(2026,11,24),tblDaily[WardCode],"BG")=0,"",SUMIFS(tblDaily[Remaining],tblDaily[EntryDate],DATE(2026,11,24),tblDaily[WardCode],"BG")),"")</f>
        <v/>
      </c>
    </row>
    <row r="421">
      <c r="A421" s="12" t="n">
        <v>25</v>
      </c>
      <c r="B421" s="12">
        <f>IFERROR(IF(SUMIFS(tblDaily[Admissions],tblDaily[EntryDate],DATE(2026,11,25),tblDaily[WardCode],"BG")=0,"",SUMIFS(tblDaily[Admissions],tblDaily[EntryDate],DATE(2026,11,25),tblDaily[WardCode],"BG")),"")</f>
        <v/>
      </c>
      <c r="C421" s="12">
        <f>IFERROR(IF(SUMIFS(tblDaily[Discharges],tblDaily[EntryDate],DATE(2026,11,25),tblDaily[WardCode],"BG")=0,"",SUMIFS(tblDaily[Discharges],tblDaily[EntryDate],DATE(2026,11,25),tblDaily[WardCode],"BG")),"")</f>
        <v/>
      </c>
      <c r="D421" s="12">
        <f>IFERROR(IF(SUMIFS(tblDaily[Deaths],tblDaily[EntryDate],DATE(2026,11,25),tblDaily[WardCode],"BG")=0,"",SUMIFS(tblDaily[Deaths],tblDaily[EntryDate],DATE(2026,11,25),tblDaily[WardCode],"BG")),"")</f>
        <v/>
      </c>
      <c r="E421" s="12">
        <f>IFERROR(IF(SUMIFS(tblDaily[DeathsUnder24Hrs],tblDaily[EntryDate],DATE(2026,11,25),tblDaily[WardCode],"BG")=0,"",SUMIFS(tblDaily[DeathsUnder24Hrs],tblDaily[EntryDate],DATE(2026,11,25),tblDaily[WardCode],"BG")),"")</f>
        <v/>
      </c>
      <c r="F421" s="12">
        <f>IFERROR(IF(SUMIFS(tblDaily[TransfersIn],tblDaily[EntryDate],DATE(2026,11,25),tblDaily[WardCode],"BG")=0,"",SUMIFS(tblDaily[TransfersIn],tblDaily[EntryDate],DATE(2026,11,25),tblDaily[WardCode],"BG")),"")</f>
        <v/>
      </c>
      <c r="G421" s="12">
        <f>IFERROR(IF(SUMIFS(tblDaily[TransfersOut],tblDaily[EntryDate],DATE(2026,11,25),tblDaily[WardCode],"BG")=0,"",SUMIFS(tblDaily[TransfersOut],tblDaily[EntryDate],DATE(2026,11,25),tblDaily[WardCode],"BG")),"")</f>
        <v/>
      </c>
      <c r="H421" s="12">
        <f>IFERROR(IF(SUMIFS(tblDaily[Remaining],tblDaily[EntryDate],DATE(2026,11,25),tblDaily[WardCode],"BG")=0,"",SUMIFS(tblDaily[Remaining],tblDaily[EntryDate],DATE(2026,11,25),tblDaily[WardCode],"BG")),"")</f>
        <v/>
      </c>
    </row>
    <row r="422">
      <c r="A422" s="12" t="n">
        <v>26</v>
      </c>
      <c r="B422" s="12">
        <f>IFERROR(IF(SUMIFS(tblDaily[Admissions],tblDaily[EntryDate],DATE(2026,11,26),tblDaily[WardCode],"BG")=0,"",SUMIFS(tblDaily[Admissions],tblDaily[EntryDate],DATE(2026,11,26),tblDaily[WardCode],"BG")),"")</f>
        <v/>
      </c>
      <c r="C422" s="12">
        <f>IFERROR(IF(SUMIFS(tblDaily[Discharges],tblDaily[EntryDate],DATE(2026,11,26),tblDaily[WardCode],"BG")=0,"",SUMIFS(tblDaily[Discharges],tblDaily[EntryDate],DATE(2026,11,26),tblDaily[WardCode],"BG")),"")</f>
        <v/>
      </c>
      <c r="D422" s="12">
        <f>IFERROR(IF(SUMIFS(tblDaily[Deaths],tblDaily[EntryDate],DATE(2026,11,26),tblDaily[WardCode],"BG")=0,"",SUMIFS(tblDaily[Deaths],tblDaily[EntryDate],DATE(2026,11,26),tblDaily[WardCode],"BG")),"")</f>
        <v/>
      </c>
      <c r="E422" s="12">
        <f>IFERROR(IF(SUMIFS(tblDaily[DeathsUnder24Hrs],tblDaily[EntryDate],DATE(2026,11,26),tblDaily[WardCode],"BG")=0,"",SUMIFS(tblDaily[DeathsUnder24Hrs],tblDaily[EntryDate],DATE(2026,11,26),tblDaily[WardCode],"BG")),"")</f>
        <v/>
      </c>
      <c r="F422" s="12">
        <f>IFERROR(IF(SUMIFS(tblDaily[TransfersIn],tblDaily[EntryDate],DATE(2026,11,26),tblDaily[WardCode],"BG")=0,"",SUMIFS(tblDaily[TransfersIn],tblDaily[EntryDate],DATE(2026,11,26),tblDaily[WardCode],"BG")),"")</f>
        <v/>
      </c>
      <c r="G422" s="12">
        <f>IFERROR(IF(SUMIFS(tblDaily[TransfersOut],tblDaily[EntryDate],DATE(2026,11,26),tblDaily[WardCode],"BG")=0,"",SUMIFS(tblDaily[TransfersOut],tblDaily[EntryDate],DATE(2026,11,26),tblDaily[WardCode],"BG")),"")</f>
        <v/>
      </c>
      <c r="H422" s="12">
        <f>IFERROR(IF(SUMIFS(tblDaily[Remaining],tblDaily[EntryDate],DATE(2026,11,26),tblDaily[WardCode],"BG")=0,"",SUMIFS(tblDaily[Remaining],tblDaily[EntryDate],DATE(2026,11,26),tblDaily[WardCode],"BG")),"")</f>
        <v/>
      </c>
    </row>
    <row r="423">
      <c r="A423" s="12" t="n">
        <v>27</v>
      </c>
      <c r="B423" s="12">
        <f>IFERROR(IF(SUMIFS(tblDaily[Admissions],tblDaily[EntryDate],DATE(2026,11,27),tblDaily[WardCode],"BG")=0,"",SUMIFS(tblDaily[Admissions],tblDaily[EntryDate],DATE(2026,11,27),tblDaily[WardCode],"BG")),"")</f>
        <v/>
      </c>
      <c r="C423" s="12">
        <f>IFERROR(IF(SUMIFS(tblDaily[Discharges],tblDaily[EntryDate],DATE(2026,11,27),tblDaily[WardCode],"BG")=0,"",SUMIFS(tblDaily[Discharges],tblDaily[EntryDate],DATE(2026,11,27),tblDaily[WardCode],"BG")),"")</f>
        <v/>
      </c>
      <c r="D423" s="12">
        <f>IFERROR(IF(SUMIFS(tblDaily[Deaths],tblDaily[EntryDate],DATE(2026,11,27),tblDaily[WardCode],"BG")=0,"",SUMIFS(tblDaily[Deaths],tblDaily[EntryDate],DATE(2026,11,27),tblDaily[WardCode],"BG")),"")</f>
        <v/>
      </c>
      <c r="E423" s="12">
        <f>IFERROR(IF(SUMIFS(tblDaily[DeathsUnder24Hrs],tblDaily[EntryDate],DATE(2026,11,27),tblDaily[WardCode],"BG")=0,"",SUMIFS(tblDaily[DeathsUnder24Hrs],tblDaily[EntryDate],DATE(2026,11,27),tblDaily[WardCode],"BG")),"")</f>
        <v/>
      </c>
      <c r="F423" s="12">
        <f>IFERROR(IF(SUMIFS(tblDaily[TransfersIn],tblDaily[EntryDate],DATE(2026,11,27),tblDaily[WardCode],"BG")=0,"",SUMIFS(tblDaily[TransfersIn],tblDaily[EntryDate],DATE(2026,11,27),tblDaily[WardCode],"BG")),"")</f>
        <v/>
      </c>
      <c r="G423" s="12">
        <f>IFERROR(IF(SUMIFS(tblDaily[TransfersOut],tblDaily[EntryDate],DATE(2026,11,27),tblDaily[WardCode],"BG")=0,"",SUMIFS(tblDaily[TransfersOut],tblDaily[EntryDate],DATE(2026,11,27),tblDaily[WardCode],"BG")),"")</f>
        <v/>
      </c>
      <c r="H423" s="12">
        <f>IFERROR(IF(SUMIFS(tblDaily[Remaining],tblDaily[EntryDate],DATE(2026,11,27),tblDaily[WardCode],"BG")=0,"",SUMIFS(tblDaily[Remaining],tblDaily[EntryDate],DATE(2026,11,27),tblDaily[WardCode],"BG")),"")</f>
        <v/>
      </c>
    </row>
    <row r="424">
      <c r="A424" s="12" t="n">
        <v>28</v>
      </c>
      <c r="B424" s="12">
        <f>IFERROR(IF(SUMIFS(tblDaily[Admissions],tblDaily[EntryDate],DATE(2026,11,28),tblDaily[WardCode],"BG")=0,"",SUMIFS(tblDaily[Admissions],tblDaily[EntryDate],DATE(2026,11,28),tblDaily[WardCode],"BG")),"")</f>
        <v/>
      </c>
      <c r="C424" s="12">
        <f>IFERROR(IF(SUMIFS(tblDaily[Discharges],tblDaily[EntryDate],DATE(2026,11,28),tblDaily[WardCode],"BG")=0,"",SUMIFS(tblDaily[Discharges],tblDaily[EntryDate],DATE(2026,11,28),tblDaily[WardCode],"BG")),"")</f>
        <v/>
      </c>
      <c r="D424" s="12">
        <f>IFERROR(IF(SUMIFS(tblDaily[Deaths],tblDaily[EntryDate],DATE(2026,11,28),tblDaily[WardCode],"BG")=0,"",SUMIFS(tblDaily[Deaths],tblDaily[EntryDate],DATE(2026,11,28),tblDaily[WardCode],"BG")),"")</f>
        <v/>
      </c>
      <c r="E424" s="12">
        <f>IFERROR(IF(SUMIFS(tblDaily[DeathsUnder24Hrs],tblDaily[EntryDate],DATE(2026,11,28),tblDaily[WardCode],"BG")=0,"",SUMIFS(tblDaily[DeathsUnder24Hrs],tblDaily[EntryDate],DATE(2026,11,28),tblDaily[WardCode],"BG")),"")</f>
        <v/>
      </c>
      <c r="F424" s="12">
        <f>IFERROR(IF(SUMIFS(tblDaily[TransfersIn],tblDaily[EntryDate],DATE(2026,11,28),tblDaily[WardCode],"BG")=0,"",SUMIFS(tblDaily[TransfersIn],tblDaily[EntryDate],DATE(2026,11,28),tblDaily[WardCode],"BG")),"")</f>
        <v/>
      </c>
      <c r="G424" s="12">
        <f>IFERROR(IF(SUMIFS(tblDaily[TransfersOut],tblDaily[EntryDate],DATE(2026,11,28),tblDaily[WardCode],"BG")=0,"",SUMIFS(tblDaily[TransfersOut],tblDaily[EntryDate],DATE(2026,11,28),tblDaily[WardCode],"BG")),"")</f>
        <v/>
      </c>
      <c r="H424" s="12">
        <f>IFERROR(IF(SUMIFS(tblDaily[Remaining],tblDaily[EntryDate],DATE(2026,11,28),tblDaily[WardCode],"BG")=0,"",SUMIFS(tblDaily[Remaining],tblDaily[EntryDate],DATE(2026,11,28),tblDaily[WardCode],"BG")),"")</f>
        <v/>
      </c>
    </row>
    <row r="425">
      <c r="A425" s="12" t="n">
        <v>29</v>
      </c>
      <c r="B425" s="12">
        <f>IFERROR(IF(SUMIFS(tblDaily[Admissions],tblDaily[EntryDate],DATE(2026,11,29),tblDaily[WardCode],"BG")=0,"",SUMIFS(tblDaily[Admissions],tblDaily[EntryDate],DATE(2026,11,29),tblDaily[WardCode],"BG")),"")</f>
        <v/>
      </c>
      <c r="C425" s="12">
        <f>IFERROR(IF(SUMIFS(tblDaily[Discharges],tblDaily[EntryDate],DATE(2026,11,29),tblDaily[WardCode],"BG")=0,"",SUMIFS(tblDaily[Discharges],tblDaily[EntryDate],DATE(2026,11,29),tblDaily[WardCode],"BG")),"")</f>
        <v/>
      </c>
      <c r="D425" s="12">
        <f>IFERROR(IF(SUMIFS(tblDaily[Deaths],tblDaily[EntryDate],DATE(2026,11,29),tblDaily[WardCode],"BG")=0,"",SUMIFS(tblDaily[Deaths],tblDaily[EntryDate],DATE(2026,11,29),tblDaily[WardCode],"BG")),"")</f>
        <v/>
      </c>
      <c r="E425" s="12">
        <f>IFERROR(IF(SUMIFS(tblDaily[DeathsUnder24Hrs],tblDaily[EntryDate],DATE(2026,11,29),tblDaily[WardCode],"BG")=0,"",SUMIFS(tblDaily[DeathsUnder24Hrs],tblDaily[EntryDate],DATE(2026,11,29),tblDaily[WardCode],"BG")),"")</f>
        <v/>
      </c>
      <c r="F425" s="12">
        <f>IFERROR(IF(SUMIFS(tblDaily[TransfersIn],tblDaily[EntryDate],DATE(2026,11,29),tblDaily[WardCode],"BG")=0,"",SUMIFS(tblDaily[TransfersIn],tblDaily[EntryDate],DATE(2026,11,29),tblDaily[WardCode],"BG")),"")</f>
        <v/>
      </c>
      <c r="G425" s="12">
        <f>IFERROR(IF(SUMIFS(tblDaily[TransfersOut],tblDaily[EntryDate],DATE(2026,11,29),tblDaily[WardCode],"BG")=0,"",SUMIFS(tblDaily[TransfersOut],tblDaily[EntryDate],DATE(2026,11,29),tblDaily[WardCode],"BG")),"")</f>
        <v/>
      </c>
      <c r="H425" s="12">
        <f>IFERROR(IF(SUMIFS(tblDaily[Remaining],tblDaily[EntryDate],DATE(2026,11,29),tblDaily[WardCode],"BG")=0,"",SUMIFS(tblDaily[Remaining],tblDaily[EntryDate],DATE(2026,11,29),tblDaily[WardCode],"BG")),"")</f>
        <v/>
      </c>
    </row>
    <row r="426">
      <c r="A426" s="12" t="n">
        <v>30</v>
      </c>
      <c r="B426" s="12">
        <f>IFERROR(IF(SUMIFS(tblDaily[Admissions],tblDaily[EntryDate],DATE(2026,11,30),tblDaily[WardCode],"BG")=0,"",SUMIFS(tblDaily[Admissions],tblDaily[EntryDate],DATE(2026,11,30),tblDaily[WardCode],"BG")),"")</f>
        <v/>
      </c>
      <c r="C426" s="12">
        <f>IFERROR(IF(SUMIFS(tblDaily[Discharges],tblDaily[EntryDate],DATE(2026,11,30),tblDaily[WardCode],"BG")=0,"",SUMIFS(tblDaily[Discharges],tblDaily[EntryDate],DATE(2026,11,30),tblDaily[WardCode],"BG")),"")</f>
        <v/>
      </c>
      <c r="D426" s="12">
        <f>IFERROR(IF(SUMIFS(tblDaily[Deaths],tblDaily[EntryDate],DATE(2026,11,30),tblDaily[WardCode],"BG")=0,"",SUMIFS(tblDaily[Deaths],tblDaily[EntryDate],DATE(2026,11,30),tblDaily[WardCode],"BG")),"")</f>
        <v/>
      </c>
      <c r="E426" s="12">
        <f>IFERROR(IF(SUMIFS(tblDaily[DeathsUnder24Hrs],tblDaily[EntryDate],DATE(2026,11,30),tblDaily[WardCode],"BG")=0,"",SUMIFS(tblDaily[DeathsUnder24Hrs],tblDaily[EntryDate],DATE(2026,11,30),tblDaily[WardCode],"BG")),"")</f>
        <v/>
      </c>
      <c r="F426" s="12">
        <f>IFERROR(IF(SUMIFS(tblDaily[TransfersIn],tblDaily[EntryDate],DATE(2026,11,30),tblDaily[WardCode],"BG")=0,"",SUMIFS(tblDaily[TransfersIn],tblDaily[EntryDate],DATE(2026,11,30),tblDaily[WardCode],"BG")),"")</f>
        <v/>
      </c>
      <c r="G426" s="12">
        <f>IFERROR(IF(SUMIFS(tblDaily[TransfersOut],tblDaily[EntryDate],DATE(2026,11,30),tblDaily[WardCode],"BG")=0,"",SUMIFS(tblDaily[TransfersOut],tblDaily[EntryDate],DATE(2026,11,30),tblDaily[WardCode],"BG")),"")</f>
        <v/>
      </c>
      <c r="H426" s="12">
        <f>IFERROR(IF(SUMIFS(tblDaily[Remaining],tblDaily[EntryDate],DATE(2026,11,30),tblDaily[WardCode],"BG")=0,"",SUMIFS(tblDaily[Remaining],tblDaily[EntryDate],DATE(2026,11,30),tblDaily[WardCode],"BG")),"")</f>
        <v/>
      </c>
    </row>
    <row r="427">
      <c r="A427" s="12" t="n">
        <v>31</v>
      </c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7" t="inlineStr">
        <is>
          <t>TOTAL</t>
        </is>
      </c>
      <c r="B428" s="17">
        <f>SUMIFS(tblDaily[Admissions],tblDaily[Month],11,tblDaily[WardCode],"BG") - SUMIFS(tblDaily[DeathsUnder24Hrs],tblDaily[Month],11,tblDaily[WardCode],"BG")</f>
        <v/>
      </c>
      <c r="C428" s="17">
        <f>SUMIFS(tblDaily[Discharges],tblDaily[Month],11,tblDaily[WardCode],"BG")</f>
        <v/>
      </c>
      <c r="D428" s="17">
        <f>SUMIFS(tblDaily[Deaths],tblDaily[Month],11,tblDaily[WardCode],"BG")</f>
        <v/>
      </c>
      <c r="E428" s="17">
        <f>SUMIFS(tblDaily[DeathsUnder24Hrs],tblDaily[Month],11,tblDaily[WardCode],"BG")</f>
        <v/>
      </c>
      <c r="F428" s="17">
        <f>SUMIFS(tblDaily[TransfersIn],tblDaily[Month],11,tblDaily[WardCode],"BG")</f>
        <v/>
      </c>
      <c r="G428" s="17">
        <f>SUMIFS(tblDaily[TransfersOut],tblDaily[Month],11,tblDaily[WardCode],"BG")</f>
        <v/>
      </c>
      <c r="H428" s="17">
        <f>SUMIFS(tblDaily[Remaining],tblDaily[Month],11,tblDaily[WardCode],"BG")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BLOCK G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4">
        <f>IFERROR(SUMIFS(tblDaily[Remaining],tblDaily[EntryDate],DATE(2026,11,30),tblDaily[WardCode],"BG"),0)</f>
        <v/>
      </c>
    </row>
    <row r="434">
      <c r="A434" s="4" t="inlineStr">
        <is>
          <t>Bed complement</t>
        </is>
      </c>
      <c r="H434" s="15">
        <f>IFERROR(INDEX(tblWardConfig[BedComplement],MATCH("BG",tblWardConfig[WardCode],0)),0)</f>
        <v/>
      </c>
    </row>
    <row r="435">
      <c r="A435" s="16" t="inlineStr">
        <is>
          <t>Day of
the
Month</t>
        </is>
      </c>
      <c r="B435" s="16" t="inlineStr">
        <is>
          <t>Admissions</t>
        </is>
      </c>
      <c r="C435" s="16" t="inlineStr">
        <is>
          <t>Discharges</t>
        </is>
      </c>
      <c r="D435" s="16" t="inlineStr">
        <is>
          <t>Deaths</t>
        </is>
      </c>
      <c r="E435" s="16" t="inlineStr">
        <is>
          <t>Deaths
&lt;24Hrs</t>
        </is>
      </c>
      <c r="F435" s="16" t="inlineStr">
        <is>
          <t>Transfers-
In</t>
        </is>
      </c>
      <c r="G435" s="16" t="inlineStr">
        <is>
          <t>Transfers-
Out</t>
        </is>
      </c>
      <c r="H435" s="16" t="inlineStr">
        <is>
          <t>No. of Patients
Remaining In
Ward</t>
        </is>
      </c>
    </row>
    <row r="436">
      <c r="A436" s="12" t="n">
        <v>1</v>
      </c>
      <c r="B436" s="12">
        <f>IFERROR(IF(SUMIFS(tblDaily[Admissions],tblDaily[EntryDate],DATE(2026,12,1),tblDaily[WardCode],"BG")=0,"",SUMIFS(tblDaily[Admissions],tblDaily[EntryDate],DATE(2026,12,1),tblDaily[WardCode],"BG")),"")</f>
        <v/>
      </c>
      <c r="C436" s="12">
        <f>IFERROR(IF(SUMIFS(tblDaily[Discharges],tblDaily[EntryDate],DATE(2026,12,1),tblDaily[WardCode],"BG")=0,"",SUMIFS(tblDaily[Discharges],tblDaily[EntryDate],DATE(2026,12,1),tblDaily[WardCode],"BG")),"")</f>
        <v/>
      </c>
      <c r="D436" s="12">
        <f>IFERROR(IF(SUMIFS(tblDaily[Deaths],tblDaily[EntryDate],DATE(2026,12,1),tblDaily[WardCode],"BG")=0,"",SUMIFS(tblDaily[Deaths],tblDaily[EntryDate],DATE(2026,12,1),tblDaily[WardCode],"BG")),"")</f>
        <v/>
      </c>
      <c r="E436" s="12">
        <f>IFERROR(IF(SUMIFS(tblDaily[DeathsUnder24Hrs],tblDaily[EntryDate],DATE(2026,12,1),tblDaily[WardCode],"BG")=0,"",SUMIFS(tblDaily[DeathsUnder24Hrs],tblDaily[EntryDate],DATE(2026,12,1),tblDaily[WardCode],"BG")),"")</f>
        <v/>
      </c>
      <c r="F436" s="12">
        <f>IFERROR(IF(SUMIFS(tblDaily[TransfersIn],tblDaily[EntryDate],DATE(2026,12,1),tblDaily[WardCode],"BG")=0,"",SUMIFS(tblDaily[TransfersIn],tblDaily[EntryDate],DATE(2026,12,1),tblDaily[WardCode],"BG")),"")</f>
        <v/>
      </c>
      <c r="G436" s="12">
        <f>IFERROR(IF(SUMIFS(tblDaily[TransfersOut],tblDaily[EntryDate],DATE(2026,12,1),tblDaily[WardCode],"BG")=0,"",SUMIFS(tblDaily[TransfersOut],tblDaily[EntryDate],DATE(2026,12,1),tblDaily[WardCode],"BG")),"")</f>
        <v/>
      </c>
      <c r="H436" s="12">
        <f>IFERROR(IF(SUMIFS(tblDaily[Remaining],tblDaily[EntryDate],DATE(2026,12,1),tblDaily[WardCode],"BG")=0,"",SUMIFS(tblDaily[Remaining],tblDaily[EntryDate],DATE(2026,12,1),tblDaily[WardCode],"BG")),"")</f>
        <v/>
      </c>
    </row>
    <row r="437">
      <c r="A437" s="12" t="n">
        <v>2</v>
      </c>
      <c r="B437" s="12">
        <f>IFERROR(IF(SUMIFS(tblDaily[Admissions],tblDaily[EntryDate],DATE(2026,12,2),tblDaily[WardCode],"BG")=0,"",SUMIFS(tblDaily[Admissions],tblDaily[EntryDate],DATE(2026,12,2),tblDaily[WardCode],"BG")),"")</f>
        <v/>
      </c>
      <c r="C437" s="12">
        <f>IFERROR(IF(SUMIFS(tblDaily[Discharges],tblDaily[EntryDate],DATE(2026,12,2),tblDaily[WardCode],"BG")=0,"",SUMIFS(tblDaily[Discharges],tblDaily[EntryDate],DATE(2026,12,2),tblDaily[WardCode],"BG")),"")</f>
        <v/>
      </c>
      <c r="D437" s="12">
        <f>IFERROR(IF(SUMIFS(tblDaily[Deaths],tblDaily[EntryDate],DATE(2026,12,2),tblDaily[WardCode],"BG")=0,"",SUMIFS(tblDaily[Deaths],tblDaily[EntryDate],DATE(2026,12,2),tblDaily[WardCode],"BG")),"")</f>
        <v/>
      </c>
      <c r="E437" s="12">
        <f>IFERROR(IF(SUMIFS(tblDaily[DeathsUnder24Hrs],tblDaily[EntryDate],DATE(2026,12,2),tblDaily[WardCode],"BG")=0,"",SUMIFS(tblDaily[DeathsUnder24Hrs],tblDaily[EntryDate],DATE(2026,12,2),tblDaily[WardCode],"BG")),"")</f>
        <v/>
      </c>
      <c r="F437" s="12">
        <f>IFERROR(IF(SUMIFS(tblDaily[TransfersIn],tblDaily[EntryDate],DATE(2026,12,2),tblDaily[WardCode],"BG")=0,"",SUMIFS(tblDaily[TransfersIn],tblDaily[EntryDate],DATE(2026,12,2),tblDaily[WardCode],"BG")),"")</f>
        <v/>
      </c>
      <c r="G437" s="12">
        <f>IFERROR(IF(SUMIFS(tblDaily[TransfersOut],tblDaily[EntryDate],DATE(2026,12,2),tblDaily[WardCode],"BG")=0,"",SUMIFS(tblDaily[TransfersOut],tblDaily[EntryDate],DATE(2026,12,2),tblDaily[WardCode],"BG")),"")</f>
        <v/>
      </c>
      <c r="H437" s="12">
        <f>IFERROR(IF(SUMIFS(tblDaily[Remaining],tblDaily[EntryDate],DATE(2026,12,2),tblDaily[WardCode],"BG")=0,"",SUMIFS(tblDaily[Remaining],tblDaily[EntryDate],DATE(2026,12,2),tblDaily[WardCode],"BG")),"")</f>
        <v/>
      </c>
    </row>
    <row r="438">
      <c r="A438" s="12" t="n">
        <v>3</v>
      </c>
      <c r="B438" s="12">
        <f>IFERROR(IF(SUMIFS(tblDaily[Admissions],tblDaily[EntryDate],DATE(2026,12,3),tblDaily[WardCode],"BG")=0,"",SUMIFS(tblDaily[Admissions],tblDaily[EntryDate],DATE(2026,12,3),tblDaily[WardCode],"BG")),"")</f>
        <v/>
      </c>
      <c r="C438" s="12">
        <f>IFERROR(IF(SUMIFS(tblDaily[Discharges],tblDaily[EntryDate],DATE(2026,12,3),tblDaily[WardCode],"BG")=0,"",SUMIFS(tblDaily[Discharges],tblDaily[EntryDate],DATE(2026,12,3),tblDaily[WardCode],"BG")),"")</f>
        <v/>
      </c>
      <c r="D438" s="12">
        <f>IFERROR(IF(SUMIFS(tblDaily[Deaths],tblDaily[EntryDate],DATE(2026,12,3),tblDaily[WardCode],"BG")=0,"",SUMIFS(tblDaily[Deaths],tblDaily[EntryDate],DATE(2026,12,3),tblDaily[WardCode],"BG")),"")</f>
        <v/>
      </c>
      <c r="E438" s="12">
        <f>IFERROR(IF(SUMIFS(tblDaily[DeathsUnder24Hrs],tblDaily[EntryDate],DATE(2026,12,3),tblDaily[WardCode],"BG")=0,"",SUMIFS(tblDaily[DeathsUnder24Hrs],tblDaily[EntryDate],DATE(2026,12,3),tblDaily[WardCode],"BG")),"")</f>
        <v/>
      </c>
      <c r="F438" s="12">
        <f>IFERROR(IF(SUMIFS(tblDaily[TransfersIn],tblDaily[EntryDate],DATE(2026,12,3),tblDaily[WardCode],"BG")=0,"",SUMIFS(tblDaily[TransfersIn],tblDaily[EntryDate],DATE(2026,12,3),tblDaily[WardCode],"BG")),"")</f>
        <v/>
      </c>
      <c r="G438" s="12">
        <f>IFERROR(IF(SUMIFS(tblDaily[TransfersOut],tblDaily[EntryDate],DATE(2026,12,3),tblDaily[WardCode],"BG")=0,"",SUMIFS(tblDaily[TransfersOut],tblDaily[EntryDate],DATE(2026,12,3),tblDaily[WardCode],"BG")),"")</f>
        <v/>
      </c>
      <c r="H438" s="12">
        <f>IFERROR(IF(SUMIFS(tblDaily[Remaining],tblDaily[EntryDate],DATE(2026,12,3),tblDaily[WardCode],"BG")=0,"",SUMIFS(tblDaily[Remaining],tblDaily[EntryDate],DATE(2026,12,3),tblDaily[WardCode],"BG")),"")</f>
        <v/>
      </c>
    </row>
    <row r="439">
      <c r="A439" s="12" t="n">
        <v>4</v>
      </c>
      <c r="B439" s="12">
        <f>IFERROR(IF(SUMIFS(tblDaily[Admissions],tblDaily[EntryDate],DATE(2026,12,4),tblDaily[WardCode],"BG")=0,"",SUMIFS(tblDaily[Admissions],tblDaily[EntryDate],DATE(2026,12,4),tblDaily[WardCode],"BG")),"")</f>
        <v/>
      </c>
      <c r="C439" s="12">
        <f>IFERROR(IF(SUMIFS(tblDaily[Discharges],tblDaily[EntryDate],DATE(2026,12,4),tblDaily[WardCode],"BG")=0,"",SUMIFS(tblDaily[Discharges],tblDaily[EntryDate],DATE(2026,12,4),tblDaily[WardCode],"BG")),"")</f>
        <v/>
      </c>
      <c r="D439" s="12">
        <f>IFERROR(IF(SUMIFS(tblDaily[Deaths],tblDaily[EntryDate],DATE(2026,12,4),tblDaily[WardCode],"BG")=0,"",SUMIFS(tblDaily[Deaths],tblDaily[EntryDate],DATE(2026,12,4),tblDaily[WardCode],"BG")),"")</f>
        <v/>
      </c>
      <c r="E439" s="12">
        <f>IFERROR(IF(SUMIFS(tblDaily[DeathsUnder24Hrs],tblDaily[EntryDate],DATE(2026,12,4),tblDaily[WardCode],"BG")=0,"",SUMIFS(tblDaily[DeathsUnder24Hrs],tblDaily[EntryDate],DATE(2026,12,4),tblDaily[WardCode],"BG")),"")</f>
        <v/>
      </c>
      <c r="F439" s="12">
        <f>IFERROR(IF(SUMIFS(tblDaily[TransfersIn],tblDaily[EntryDate],DATE(2026,12,4),tblDaily[WardCode],"BG")=0,"",SUMIFS(tblDaily[TransfersIn],tblDaily[EntryDate],DATE(2026,12,4),tblDaily[WardCode],"BG")),"")</f>
        <v/>
      </c>
      <c r="G439" s="12">
        <f>IFERROR(IF(SUMIFS(tblDaily[TransfersOut],tblDaily[EntryDate],DATE(2026,12,4),tblDaily[WardCode],"BG")=0,"",SUMIFS(tblDaily[TransfersOut],tblDaily[EntryDate],DATE(2026,12,4),tblDaily[WardCode],"BG")),"")</f>
        <v/>
      </c>
      <c r="H439" s="12">
        <f>IFERROR(IF(SUMIFS(tblDaily[Remaining],tblDaily[EntryDate],DATE(2026,12,4),tblDaily[WardCode],"BG")=0,"",SUMIFS(tblDaily[Remaining],tblDaily[EntryDate],DATE(2026,12,4),tblDaily[WardCode],"BG")),"")</f>
        <v/>
      </c>
    </row>
    <row r="440">
      <c r="A440" s="12" t="n">
        <v>5</v>
      </c>
      <c r="B440" s="12">
        <f>IFERROR(IF(SUMIFS(tblDaily[Admissions],tblDaily[EntryDate],DATE(2026,12,5),tblDaily[WardCode],"BG")=0,"",SUMIFS(tblDaily[Admissions],tblDaily[EntryDate],DATE(2026,12,5),tblDaily[WardCode],"BG")),"")</f>
        <v/>
      </c>
      <c r="C440" s="12">
        <f>IFERROR(IF(SUMIFS(tblDaily[Discharges],tblDaily[EntryDate],DATE(2026,12,5),tblDaily[WardCode],"BG")=0,"",SUMIFS(tblDaily[Discharges],tblDaily[EntryDate],DATE(2026,12,5),tblDaily[WardCode],"BG")),"")</f>
        <v/>
      </c>
      <c r="D440" s="12">
        <f>IFERROR(IF(SUMIFS(tblDaily[Deaths],tblDaily[EntryDate],DATE(2026,12,5),tblDaily[WardCode],"BG")=0,"",SUMIFS(tblDaily[Deaths],tblDaily[EntryDate],DATE(2026,12,5),tblDaily[WardCode],"BG")),"")</f>
        <v/>
      </c>
      <c r="E440" s="12">
        <f>IFERROR(IF(SUMIFS(tblDaily[DeathsUnder24Hrs],tblDaily[EntryDate],DATE(2026,12,5),tblDaily[WardCode],"BG")=0,"",SUMIFS(tblDaily[DeathsUnder24Hrs],tblDaily[EntryDate],DATE(2026,12,5),tblDaily[WardCode],"BG")),"")</f>
        <v/>
      </c>
      <c r="F440" s="12">
        <f>IFERROR(IF(SUMIFS(tblDaily[TransfersIn],tblDaily[EntryDate],DATE(2026,12,5),tblDaily[WardCode],"BG")=0,"",SUMIFS(tblDaily[TransfersIn],tblDaily[EntryDate],DATE(2026,12,5),tblDaily[WardCode],"BG")),"")</f>
        <v/>
      </c>
      <c r="G440" s="12">
        <f>IFERROR(IF(SUMIFS(tblDaily[TransfersOut],tblDaily[EntryDate],DATE(2026,12,5),tblDaily[WardCode],"BG")=0,"",SUMIFS(tblDaily[TransfersOut],tblDaily[EntryDate],DATE(2026,12,5),tblDaily[WardCode],"BG")),"")</f>
        <v/>
      </c>
      <c r="H440" s="12">
        <f>IFERROR(IF(SUMIFS(tblDaily[Remaining],tblDaily[EntryDate],DATE(2026,12,5),tblDaily[WardCode],"BG")=0,"",SUMIFS(tblDaily[Remaining],tblDaily[EntryDate],DATE(2026,12,5),tblDaily[WardCode],"BG")),"")</f>
        <v/>
      </c>
    </row>
    <row r="441">
      <c r="A441" s="12" t="n">
        <v>6</v>
      </c>
      <c r="B441" s="12">
        <f>IFERROR(IF(SUMIFS(tblDaily[Admissions],tblDaily[EntryDate],DATE(2026,12,6),tblDaily[WardCode],"BG")=0,"",SUMIFS(tblDaily[Admissions],tblDaily[EntryDate],DATE(2026,12,6),tblDaily[WardCode],"BG")),"")</f>
        <v/>
      </c>
      <c r="C441" s="12">
        <f>IFERROR(IF(SUMIFS(tblDaily[Discharges],tblDaily[EntryDate],DATE(2026,12,6),tblDaily[WardCode],"BG")=0,"",SUMIFS(tblDaily[Discharges],tblDaily[EntryDate],DATE(2026,12,6),tblDaily[WardCode],"BG")),"")</f>
        <v/>
      </c>
      <c r="D441" s="12">
        <f>IFERROR(IF(SUMIFS(tblDaily[Deaths],tblDaily[EntryDate],DATE(2026,12,6),tblDaily[WardCode],"BG")=0,"",SUMIFS(tblDaily[Deaths],tblDaily[EntryDate],DATE(2026,12,6),tblDaily[WardCode],"BG")),"")</f>
        <v/>
      </c>
      <c r="E441" s="12">
        <f>IFERROR(IF(SUMIFS(tblDaily[DeathsUnder24Hrs],tblDaily[EntryDate],DATE(2026,12,6),tblDaily[WardCode],"BG")=0,"",SUMIFS(tblDaily[DeathsUnder24Hrs],tblDaily[EntryDate],DATE(2026,12,6),tblDaily[WardCode],"BG")),"")</f>
        <v/>
      </c>
      <c r="F441" s="12">
        <f>IFERROR(IF(SUMIFS(tblDaily[TransfersIn],tblDaily[EntryDate],DATE(2026,12,6),tblDaily[WardCode],"BG")=0,"",SUMIFS(tblDaily[TransfersIn],tblDaily[EntryDate],DATE(2026,12,6),tblDaily[WardCode],"BG")),"")</f>
        <v/>
      </c>
      <c r="G441" s="12">
        <f>IFERROR(IF(SUMIFS(tblDaily[TransfersOut],tblDaily[EntryDate],DATE(2026,12,6),tblDaily[WardCode],"BG")=0,"",SUMIFS(tblDaily[TransfersOut],tblDaily[EntryDate],DATE(2026,12,6),tblDaily[WardCode],"BG")),"")</f>
        <v/>
      </c>
      <c r="H441" s="12">
        <f>IFERROR(IF(SUMIFS(tblDaily[Remaining],tblDaily[EntryDate],DATE(2026,12,6),tblDaily[WardCode],"BG")=0,"",SUMIFS(tblDaily[Remaining],tblDaily[EntryDate],DATE(2026,12,6),tblDaily[WardCode],"BG")),"")</f>
        <v/>
      </c>
    </row>
    <row r="442">
      <c r="A442" s="12" t="n">
        <v>7</v>
      </c>
      <c r="B442" s="12">
        <f>IFERROR(IF(SUMIFS(tblDaily[Admissions],tblDaily[EntryDate],DATE(2026,12,7),tblDaily[WardCode],"BG")=0,"",SUMIFS(tblDaily[Admissions],tblDaily[EntryDate],DATE(2026,12,7),tblDaily[WardCode],"BG")),"")</f>
        <v/>
      </c>
      <c r="C442" s="12">
        <f>IFERROR(IF(SUMIFS(tblDaily[Discharges],tblDaily[EntryDate],DATE(2026,12,7),tblDaily[WardCode],"BG")=0,"",SUMIFS(tblDaily[Discharges],tblDaily[EntryDate],DATE(2026,12,7),tblDaily[WardCode],"BG")),"")</f>
        <v/>
      </c>
      <c r="D442" s="12">
        <f>IFERROR(IF(SUMIFS(tblDaily[Deaths],tblDaily[EntryDate],DATE(2026,12,7),tblDaily[WardCode],"BG")=0,"",SUMIFS(tblDaily[Deaths],tblDaily[EntryDate],DATE(2026,12,7),tblDaily[WardCode],"BG")),"")</f>
        <v/>
      </c>
      <c r="E442" s="12">
        <f>IFERROR(IF(SUMIFS(tblDaily[DeathsUnder24Hrs],tblDaily[EntryDate],DATE(2026,12,7),tblDaily[WardCode],"BG")=0,"",SUMIFS(tblDaily[DeathsUnder24Hrs],tblDaily[EntryDate],DATE(2026,12,7),tblDaily[WardCode],"BG")),"")</f>
        <v/>
      </c>
      <c r="F442" s="12">
        <f>IFERROR(IF(SUMIFS(tblDaily[TransfersIn],tblDaily[EntryDate],DATE(2026,12,7),tblDaily[WardCode],"BG")=0,"",SUMIFS(tblDaily[TransfersIn],tblDaily[EntryDate],DATE(2026,12,7),tblDaily[WardCode],"BG")),"")</f>
        <v/>
      </c>
      <c r="G442" s="12">
        <f>IFERROR(IF(SUMIFS(tblDaily[TransfersOut],tblDaily[EntryDate],DATE(2026,12,7),tblDaily[WardCode],"BG")=0,"",SUMIFS(tblDaily[TransfersOut],tblDaily[EntryDate],DATE(2026,12,7),tblDaily[WardCode],"BG")),"")</f>
        <v/>
      </c>
      <c r="H442" s="12">
        <f>IFERROR(IF(SUMIFS(tblDaily[Remaining],tblDaily[EntryDate],DATE(2026,12,7),tblDaily[WardCode],"BG")=0,"",SUMIFS(tblDaily[Remaining],tblDaily[EntryDate],DATE(2026,12,7),tblDaily[WardCode],"BG")),"")</f>
        <v/>
      </c>
    </row>
    <row r="443">
      <c r="A443" s="12" t="n">
        <v>8</v>
      </c>
      <c r="B443" s="12">
        <f>IFERROR(IF(SUMIFS(tblDaily[Admissions],tblDaily[EntryDate],DATE(2026,12,8),tblDaily[WardCode],"BG")=0,"",SUMIFS(tblDaily[Admissions],tblDaily[EntryDate],DATE(2026,12,8),tblDaily[WardCode],"BG")),"")</f>
        <v/>
      </c>
      <c r="C443" s="12">
        <f>IFERROR(IF(SUMIFS(tblDaily[Discharges],tblDaily[EntryDate],DATE(2026,12,8),tblDaily[WardCode],"BG")=0,"",SUMIFS(tblDaily[Discharges],tblDaily[EntryDate],DATE(2026,12,8),tblDaily[WardCode],"BG")),"")</f>
        <v/>
      </c>
      <c r="D443" s="12">
        <f>IFERROR(IF(SUMIFS(tblDaily[Deaths],tblDaily[EntryDate],DATE(2026,12,8),tblDaily[WardCode],"BG")=0,"",SUMIFS(tblDaily[Deaths],tblDaily[EntryDate],DATE(2026,12,8),tblDaily[WardCode],"BG")),"")</f>
        <v/>
      </c>
      <c r="E443" s="12">
        <f>IFERROR(IF(SUMIFS(tblDaily[DeathsUnder24Hrs],tblDaily[EntryDate],DATE(2026,12,8),tblDaily[WardCode],"BG")=0,"",SUMIFS(tblDaily[DeathsUnder24Hrs],tblDaily[EntryDate],DATE(2026,12,8),tblDaily[WardCode],"BG")),"")</f>
        <v/>
      </c>
      <c r="F443" s="12">
        <f>IFERROR(IF(SUMIFS(tblDaily[TransfersIn],tblDaily[EntryDate],DATE(2026,12,8),tblDaily[WardCode],"BG")=0,"",SUMIFS(tblDaily[TransfersIn],tblDaily[EntryDate],DATE(2026,12,8),tblDaily[WardCode],"BG")),"")</f>
        <v/>
      </c>
      <c r="G443" s="12">
        <f>IFERROR(IF(SUMIFS(tblDaily[TransfersOut],tblDaily[EntryDate],DATE(2026,12,8),tblDaily[WardCode],"BG")=0,"",SUMIFS(tblDaily[TransfersOut],tblDaily[EntryDate],DATE(2026,12,8),tblDaily[WardCode],"BG")),"")</f>
        <v/>
      </c>
      <c r="H443" s="12">
        <f>IFERROR(IF(SUMIFS(tblDaily[Remaining],tblDaily[EntryDate],DATE(2026,12,8),tblDaily[WardCode],"BG")=0,"",SUMIFS(tblDaily[Remaining],tblDaily[EntryDate],DATE(2026,12,8),tblDaily[WardCode],"BG")),"")</f>
        <v/>
      </c>
    </row>
    <row r="444">
      <c r="A444" s="12" t="n">
        <v>9</v>
      </c>
      <c r="B444" s="12">
        <f>IFERROR(IF(SUMIFS(tblDaily[Admissions],tblDaily[EntryDate],DATE(2026,12,9),tblDaily[WardCode],"BG")=0,"",SUMIFS(tblDaily[Admissions],tblDaily[EntryDate],DATE(2026,12,9),tblDaily[WardCode],"BG")),"")</f>
        <v/>
      </c>
      <c r="C444" s="12">
        <f>IFERROR(IF(SUMIFS(tblDaily[Discharges],tblDaily[EntryDate],DATE(2026,12,9),tblDaily[WardCode],"BG")=0,"",SUMIFS(tblDaily[Discharges],tblDaily[EntryDate],DATE(2026,12,9),tblDaily[WardCode],"BG")),"")</f>
        <v/>
      </c>
      <c r="D444" s="12">
        <f>IFERROR(IF(SUMIFS(tblDaily[Deaths],tblDaily[EntryDate],DATE(2026,12,9),tblDaily[WardCode],"BG")=0,"",SUMIFS(tblDaily[Deaths],tblDaily[EntryDate],DATE(2026,12,9),tblDaily[WardCode],"BG")),"")</f>
        <v/>
      </c>
      <c r="E444" s="12">
        <f>IFERROR(IF(SUMIFS(tblDaily[DeathsUnder24Hrs],tblDaily[EntryDate],DATE(2026,12,9),tblDaily[WardCode],"BG")=0,"",SUMIFS(tblDaily[DeathsUnder24Hrs],tblDaily[EntryDate],DATE(2026,12,9),tblDaily[WardCode],"BG")),"")</f>
        <v/>
      </c>
      <c r="F444" s="12">
        <f>IFERROR(IF(SUMIFS(tblDaily[TransfersIn],tblDaily[EntryDate],DATE(2026,12,9),tblDaily[WardCode],"BG")=0,"",SUMIFS(tblDaily[TransfersIn],tblDaily[EntryDate],DATE(2026,12,9),tblDaily[WardCode],"BG")),"")</f>
        <v/>
      </c>
      <c r="G444" s="12">
        <f>IFERROR(IF(SUMIFS(tblDaily[TransfersOut],tblDaily[EntryDate],DATE(2026,12,9),tblDaily[WardCode],"BG")=0,"",SUMIFS(tblDaily[TransfersOut],tblDaily[EntryDate],DATE(2026,12,9),tblDaily[WardCode],"BG")),"")</f>
        <v/>
      </c>
      <c r="H444" s="12">
        <f>IFERROR(IF(SUMIFS(tblDaily[Remaining],tblDaily[EntryDate],DATE(2026,12,9),tblDaily[WardCode],"BG")=0,"",SUMIFS(tblDaily[Remaining],tblDaily[EntryDate],DATE(2026,12,9),tblDaily[WardCode],"BG")),"")</f>
        <v/>
      </c>
    </row>
    <row r="445">
      <c r="A445" s="12" t="n">
        <v>10</v>
      </c>
      <c r="B445" s="12">
        <f>IFERROR(IF(SUMIFS(tblDaily[Admissions],tblDaily[EntryDate],DATE(2026,12,10),tblDaily[WardCode],"BG")=0,"",SUMIFS(tblDaily[Admissions],tblDaily[EntryDate],DATE(2026,12,10),tblDaily[WardCode],"BG")),"")</f>
        <v/>
      </c>
      <c r="C445" s="12">
        <f>IFERROR(IF(SUMIFS(tblDaily[Discharges],tblDaily[EntryDate],DATE(2026,12,10),tblDaily[WardCode],"BG")=0,"",SUMIFS(tblDaily[Discharges],tblDaily[EntryDate],DATE(2026,12,10),tblDaily[WardCode],"BG")),"")</f>
        <v/>
      </c>
      <c r="D445" s="12">
        <f>IFERROR(IF(SUMIFS(tblDaily[Deaths],tblDaily[EntryDate],DATE(2026,12,10),tblDaily[WardCode],"BG")=0,"",SUMIFS(tblDaily[Deaths],tblDaily[EntryDate],DATE(2026,12,10),tblDaily[WardCode],"BG")),"")</f>
        <v/>
      </c>
      <c r="E445" s="12">
        <f>IFERROR(IF(SUMIFS(tblDaily[DeathsUnder24Hrs],tblDaily[EntryDate],DATE(2026,12,10),tblDaily[WardCode],"BG")=0,"",SUMIFS(tblDaily[DeathsUnder24Hrs],tblDaily[EntryDate],DATE(2026,12,10),tblDaily[WardCode],"BG")),"")</f>
        <v/>
      </c>
      <c r="F445" s="12">
        <f>IFERROR(IF(SUMIFS(tblDaily[TransfersIn],tblDaily[EntryDate],DATE(2026,12,10),tblDaily[WardCode],"BG")=0,"",SUMIFS(tblDaily[TransfersIn],tblDaily[EntryDate],DATE(2026,12,10),tblDaily[WardCode],"BG")),"")</f>
        <v/>
      </c>
      <c r="G445" s="12">
        <f>IFERROR(IF(SUMIFS(tblDaily[TransfersOut],tblDaily[EntryDate],DATE(2026,12,10),tblDaily[WardCode],"BG")=0,"",SUMIFS(tblDaily[TransfersOut],tblDaily[EntryDate],DATE(2026,12,10),tblDaily[WardCode],"BG")),"")</f>
        <v/>
      </c>
      <c r="H445" s="12">
        <f>IFERROR(IF(SUMIFS(tblDaily[Remaining],tblDaily[EntryDate],DATE(2026,12,10),tblDaily[WardCode],"BG")=0,"",SUMIFS(tblDaily[Remaining],tblDaily[EntryDate],DATE(2026,12,10),tblDaily[WardCode],"BG")),"")</f>
        <v/>
      </c>
    </row>
    <row r="446">
      <c r="A446" s="12" t="n">
        <v>11</v>
      </c>
      <c r="B446" s="12">
        <f>IFERROR(IF(SUMIFS(tblDaily[Admissions],tblDaily[EntryDate],DATE(2026,12,11),tblDaily[WardCode],"BG")=0,"",SUMIFS(tblDaily[Admissions],tblDaily[EntryDate],DATE(2026,12,11),tblDaily[WardCode],"BG")),"")</f>
        <v/>
      </c>
      <c r="C446" s="12">
        <f>IFERROR(IF(SUMIFS(tblDaily[Discharges],tblDaily[EntryDate],DATE(2026,12,11),tblDaily[WardCode],"BG")=0,"",SUMIFS(tblDaily[Discharges],tblDaily[EntryDate],DATE(2026,12,11),tblDaily[WardCode],"BG")),"")</f>
        <v/>
      </c>
      <c r="D446" s="12">
        <f>IFERROR(IF(SUMIFS(tblDaily[Deaths],tblDaily[EntryDate],DATE(2026,12,11),tblDaily[WardCode],"BG")=0,"",SUMIFS(tblDaily[Deaths],tblDaily[EntryDate],DATE(2026,12,11),tblDaily[WardCode],"BG")),"")</f>
        <v/>
      </c>
      <c r="E446" s="12">
        <f>IFERROR(IF(SUMIFS(tblDaily[DeathsUnder24Hrs],tblDaily[EntryDate],DATE(2026,12,11),tblDaily[WardCode],"BG")=0,"",SUMIFS(tblDaily[DeathsUnder24Hrs],tblDaily[EntryDate],DATE(2026,12,11),tblDaily[WardCode],"BG")),"")</f>
        <v/>
      </c>
      <c r="F446" s="12">
        <f>IFERROR(IF(SUMIFS(tblDaily[TransfersIn],tblDaily[EntryDate],DATE(2026,12,11),tblDaily[WardCode],"BG")=0,"",SUMIFS(tblDaily[TransfersIn],tblDaily[EntryDate],DATE(2026,12,11),tblDaily[WardCode],"BG")),"")</f>
        <v/>
      </c>
      <c r="G446" s="12">
        <f>IFERROR(IF(SUMIFS(tblDaily[TransfersOut],tblDaily[EntryDate],DATE(2026,12,11),tblDaily[WardCode],"BG")=0,"",SUMIFS(tblDaily[TransfersOut],tblDaily[EntryDate],DATE(2026,12,11),tblDaily[WardCode],"BG")),"")</f>
        <v/>
      </c>
      <c r="H446" s="12">
        <f>IFERROR(IF(SUMIFS(tblDaily[Remaining],tblDaily[EntryDate],DATE(2026,12,11),tblDaily[WardCode],"BG")=0,"",SUMIFS(tblDaily[Remaining],tblDaily[EntryDate],DATE(2026,12,11),tblDaily[WardCode],"BG")),"")</f>
        <v/>
      </c>
    </row>
    <row r="447">
      <c r="A447" s="12" t="n">
        <v>12</v>
      </c>
      <c r="B447" s="12">
        <f>IFERROR(IF(SUMIFS(tblDaily[Admissions],tblDaily[EntryDate],DATE(2026,12,12),tblDaily[WardCode],"BG")=0,"",SUMIFS(tblDaily[Admissions],tblDaily[EntryDate],DATE(2026,12,12),tblDaily[WardCode],"BG")),"")</f>
        <v/>
      </c>
      <c r="C447" s="12">
        <f>IFERROR(IF(SUMIFS(tblDaily[Discharges],tblDaily[EntryDate],DATE(2026,12,12),tblDaily[WardCode],"BG")=0,"",SUMIFS(tblDaily[Discharges],tblDaily[EntryDate],DATE(2026,12,12),tblDaily[WardCode],"BG")),"")</f>
        <v/>
      </c>
      <c r="D447" s="12">
        <f>IFERROR(IF(SUMIFS(tblDaily[Deaths],tblDaily[EntryDate],DATE(2026,12,12),tblDaily[WardCode],"BG")=0,"",SUMIFS(tblDaily[Deaths],tblDaily[EntryDate],DATE(2026,12,12),tblDaily[WardCode],"BG")),"")</f>
        <v/>
      </c>
      <c r="E447" s="12">
        <f>IFERROR(IF(SUMIFS(tblDaily[DeathsUnder24Hrs],tblDaily[EntryDate],DATE(2026,12,12),tblDaily[WardCode],"BG")=0,"",SUMIFS(tblDaily[DeathsUnder24Hrs],tblDaily[EntryDate],DATE(2026,12,12),tblDaily[WardCode],"BG")),"")</f>
        <v/>
      </c>
      <c r="F447" s="12">
        <f>IFERROR(IF(SUMIFS(tblDaily[TransfersIn],tblDaily[EntryDate],DATE(2026,12,12),tblDaily[WardCode],"BG")=0,"",SUMIFS(tblDaily[TransfersIn],tblDaily[EntryDate],DATE(2026,12,12),tblDaily[WardCode],"BG")),"")</f>
        <v/>
      </c>
      <c r="G447" s="12">
        <f>IFERROR(IF(SUMIFS(tblDaily[TransfersOut],tblDaily[EntryDate],DATE(2026,12,12),tblDaily[WardCode],"BG")=0,"",SUMIFS(tblDaily[TransfersOut],tblDaily[EntryDate],DATE(2026,12,12),tblDaily[WardCode],"BG")),"")</f>
        <v/>
      </c>
      <c r="H447" s="12">
        <f>IFERROR(IF(SUMIFS(tblDaily[Remaining],tblDaily[EntryDate],DATE(2026,12,12),tblDaily[WardCode],"BG")=0,"",SUMIFS(tblDaily[Remaining],tblDaily[EntryDate],DATE(2026,12,12),tblDaily[WardCode],"BG")),"")</f>
        <v/>
      </c>
    </row>
    <row r="448">
      <c r="A448" s="12" t="n">
        <v>13</v>
      </c>
      <c r="B448" s="12">
        <f>IFERROR(IF(SUMIFS(tblDaily[Admissions],tblDaily[EntryDate],DATE(2026,12,13),tblDaily[WardCode],"BG")=0,"",SUMIFS(tblDaily[Admissions],tblDaily[EntryDate],DATE(2026,12,13),tblDaily[WardCode],"BG")),"")</f>
        <v/>
      </c>
      <c r="C448" s="12">
        <f>IFERROR(IF(SUMIFS(tblDaily[Discharges],tblDaily[EntryDate],DATE(2026,12,13),tblDaily[WardCode],"BG")=0,"",SUMIFS(tblDaily[Discharges],tblDaily[EntryDate],DATE(2026,12,13),tblDaily[WardCode],"BG")),"")</f>
        <v/>
      </c>
      <c r="D448" s="12">
        <f>IFERROR(IF(SUMIFS(tblDaily[Deaths],tblDaily[EntryDate],DATE(2026,12,13),tblDaily[WardCode],"BG")=0,"",SUMIFS(tblDaily[Deaths],tblDaily[EntryDate],DATE(2026,12,13),tblDaily[WardCode],"BG")),"")</f>
        <v/>
      </c>
      <c r="E448" s="12">
        <f>IFERROR(IF(SUMIFS(tblDaily[DeathsUnder24Hrs],tblDaily[EntryDate],DATE(2026,12,13),tblDaily[WardCode],"BG")=0,"",SUMIFS(tblDaily[DeathsUnder24Hrs],tblDaily[EntryDate],DATE(2026,12,13),tblDaily[WardCode],"BG")),"")</f>
        <v/>
      </c>
      <c r="F448" s="12">
        <f>IFERROR(IF(SUMIFS(tblDaily[TransfersIn],tblDaily[EntryDate],DATE(2026,12,13),tblDaily[WardCode],"BG")=0,"",SUMIFS(tblDaily[TransfersIn],tblDaily[EntryDate],DATE(2026,12,13),tblDaily[WardCode],"BG")),"")</f>
        <v/>
      </c>
      <c r="G448" s="12">
        <f>IFERROR(IF(SUMIFS(tblDaily[TransfersOut],tblDaily[EntryDate],DATE(2026,12,13),tblDaily[WardCode],"BG")=0,"",SUMIFS(tblDaily[TransfersOut],tblDaily[EntryDate],DATE(2026,12,13),tblDaily[WardCode],"BG")),"")</f>
        <v/>
      </c>
      <c r="H448" s="12">
        <f>IFERROR(IF(SUMIFS(tblDaily[Remaining],tblDaily[EntryDate],DATE(2026,12,13),tblDaily[WardCode],"BG")=0,"",SUMIFS(tblDaily[Remaining],tblDaily[EntryDate],DATE(2026,12,13),tblDaily[WardCode],"BG")),"")</f>
        <v/>
      </c>
    </row>
    <row r="449">
      <c r="A449" s="12" t="n">
        <v>14</v>
      </c>
      <c r="B449" s="12">
        <f>IFERROR(IF(SUMIFS(tblDaily[Admissions],tblDaily[EntryDate],DATE(2026,12,14),tblDaily[WardCode],"BG")=0,"",SUMIFS(tblDaily[Admissions],tblDaily[EntryDate],DATE(2026,12,14),tblDaily[WardCode],"BG")),"")</f>
        <v/>
      </c>
      <c r="C449" s="12">
        <f>IFERROR(IF(SUMIFS(tblDaily[Discharges],tblDaily[EntryDate],DATE(2026,12,14),tblDaily[WardCode],"BG")=0,"",SUMIFS(tblDaily[Discharges],tblDaily[EntryDate],DATE(2026,12,14),tblDaily[WardCode],"BG")),"")</f>
        <v/>
      </c>
      <c r="D449" s="12">
        <f>IFERROR(IF(SUMIFS(tblDaily[Deaths],tblDaily[EntryDate],DATE(2026,12,14),tblDaily[WardCode],"BG")=0,"",SUMIFS(tblDaily[Deaths],tblDaily[EntryDate],DATE(2026,12,14),tblDaily[WardCode],"BG")),"")</f>
        <v/>
      </c>
      <c r="E449" s="12">
        <f>IFERROR(IF(SUMIFS(tblDaily[DeathsUnder24Hrs],tblDaily[EntryDate],DATE(2026,12,14),tblDaily[WardCode],"BG")=0,"",SUMIFS(tblDaily[DeathsUnder24Hrs],tblDaily[EntryDate],DATE(2026,12,14),tblDaily[WardCode],"BG")),"")</f>
        <v/>
      </c>
      <c r="F449" s="12">
        <f>IFERROR(IF(SUMIFS(tblDaily[TransfersIn],tblDaily[EntryDate],DATE(2026,12,14),tblDaily[WardCode],"BG")=0,"",SUMIFS(tblDaily[TransfersIn],tblDaily[EntryDate],DATE(2026,12,14),tblDaily[WardCode],"BG")),"")</f>
        <v/>
      </c>
      <c r="G449" s="12">
        <f>IFERROR(IF(SUMIFS(tblDaily[TransfersOut],tblDaily[EntryDate],DATE(2026,12,14),tblDaily[WardCode],"BG")=0,"",SUMIFS(tblDaily[TransfersOut],tblDaily[EntryDate],DATE(2026,12,14),tblDaily[WardCode],"BG")),"")</f>
        <v/>
      </c>
      <c r="H449" s="12">
        <f>IFERROR(IF(SUMIFS(tblDaily[Remaining],tblDaily[EntryDate],DATE(2026,12,14),tblDaily[WardCode],"BG")=0,"",SUMIFS(tblDaily[Remaining],tblDaily[EntryDate],DATE(2026,12,14),tblDaily[WardCode],"BG")),"")</f>
        <v/>
      </c>
    </row>
    <row r="450">
      <c r="A450" s="12" t="n">
        <v>15</v>
      </c>
      <c r="B450" s="12">
        <f>IFERROR(IF(SUMIFS(tblDaily[Admissions],tblDaily[EntryDate],DATE(2026,12,15),tblDaily[WardCode],"BG")=0,"",SUMIFS(tblDaily[Admissions],tblDaily[EntryDate],DATE(2026,12,15),tblDaily[WardCode],"BG")),"")</f>
        <v/>
      </c>
      <c r="C450" s="12">
        <f>IFERROR(IF(SUMIFS(tblDaily[Discharges],tblDaily[EntryDate],DATE(2026,12,15),tblDaily[WardCode],"BG")=0,"",SUMIFS(tblDaily[Discharges],tblDaily[EntryDate],DATE(2026,12,15),tblDaily[WardCode],"BG")),"")</f>
        <v/>
      </c>
      <c r="D450" s="12">
        <f>IFERROR(IF(SUMIFS(tblDaily[Deaths],tblDaily[EntryDate],DATE(2026,12,15),tblDaily[WardCode],"BG")=0,"",SUMIFS(tblDaily[Deaths],tblDaily[EntryDate],DATE(2026,12,15),tblDaily[WardCode],"BG")),"")</f>
        <v/>
      </c>
      <c r="E450" s="12">
        <f>IFERROR(IF(SUMIFS(tblDaily[DeathsUnder24Hrs],tblDaily[EntryDate],DATE(2026,12,15),tblDaily[WardCode],"BG")=0,"",SUMIFS(tblDaily[DeathsUnder24Hrs],tblDaily[EntryDate],DATE(2026,12,15),tblDaily[WardCode],"BG")),"")</f>
        <v/>
      </c>
      <c r="F450" s="12">
        <f>IFERROR(IF(SUMIFS(tblDaily[TransfersIn],tblDaily[EntryDate],DATE(2026,12,15),tblDaily[WardCode],"BG")=0,"",SUMIFS(tblDaily[TransfersIn],tblDaily[EntryDate],DATE(2026,12,15),tblDaily[WardCode],"BG")),"")</f>
        <v/>
      </c>
      <c r="G450" s="12">
        <f>IFERROR(IF(SUMIFS(tblDaily[TransfersOut],tblDaily[EntryDate],DATE(2026,12,15),tblDaily[WardCode],"BG")=0,"",SUMIFS(tblDaily[TransfersOut],tblDaily[EntryDate],DATE(2026,12,15),tblDaily[WardCode],"BG")),"")</f>
        <v/>
      </c>
      <c r="H450" s="12">
        <f>IFERROR(IF(SUMIFS(tblDaily[Remaining],tblDaily[EntryDate],DATE(2026,12,15),tblDaily[WardCode],"BG")=0,"",SUMIFS(tblDaily[Remaining],tblDaily[EntryDate],DATE(2026,12,15),tblDaily[WardCode],"BG")),"")</f>
        <v/>
      </c>
    </row>
    <row r="451">
      <c r="A451" s="12" t="n">
        <v>16</v>
      </c>
      <c r="B451" s="12">
        <f>IFERROR(IF(SUMIFS(tblDaily[Admissions],tblDaily[EntryDate],DATE(2026,12,16),tblDaily[WardCode],"BG")=0,"",SUMIFS(tblDaily[Admissions],tblDaily[EntryDate],DATE(2026,12,16),tblDaily[WardCode],"BG")),"")</f>
        <v/>
      </c>
      <c r="C451" s="12">
        <f>IFERROR(IF(SUMIFS(tblDaily[Discharges],tblDaily[EntryDate],DATE(2026,12,16),tblDaily[WardCode],"BG")=0,"",SUMIFS(tblDaily[Discharges],tblDaily[EntryDate],DATE(2026,12,16),tblDaily[WardCode],"BG")),"")</f>
        <v/>
      </c>
      <c r="D451" s="12">
        <f>IFERROR(IF(SUMIFS(tblDaily[Deaths],tblDaily[EntryDate],DATE(2026,12,16),tblDaily[WardCode],"BG")=0,"",SUMIFS(tblDaily[Deaths],tblDaily[EntryDate],DATE(2026,12,16),tblDaily[WardCode],"BG")),"")</f>
        <v/>
      </c>
      <c r="E451" s="12">
        <f>IFERROR(IF(SUMIFS(tblDaily[DeathsUnder24Hrs],tblDaily[EntryDate],DATE(2026,12,16),tblDaily[WardCode],"BG")=0,"",SUMIFS(tblDaily[DeathsUnder24Hrs],tblDaily[EntryDate],DATE(2026,12,16),tblDaily[WardCode],"BG")),"")</f>
        <v/>
      </c>
      <c r="F451" s="12">
        <f>IFERROR(IF(SUMIFS(tblDaily[TransfersIn],tblDaily[EntryDate],DATE(2026,12,16),tblDaily[WardCode],"BG")=0,"",SUMIFS(tblDaily[TransfersIn],tblDaily[EntryDate],DATE(2026,12,16),tblDaily[WardCode],"BG")),"")</f>
        <v/>
      </c>
      <c r="G451" s="12">
        <f>IFERROR(IF(SUMIFS(tblDaily[TransfersOut],tblDaily[EntryDate],DATE(2026,12,16),tblDaily[WardCode],"BG")=0,"",SUMIFS(tblDaily[TransfersOut],tblDaily[EntryDate],DATE(2026,12,16),tblDaily[WardCode],"BG")),"")</f>
        <v/>
      </c>
      <c r="H451" s="12">
        <f>IFERROR(IF(SUMIFS(tblDaily[Remaining],tblDaily[EntryDate],DATE(2026,12,16),tblDaily[WardCode],"BG")=0,"",SUMIFS(tblDaily[Remaining],tblDaily[EntryDate],DATE(2026,12,16),tblDaily[WardCode],"BG")),"")</f>
        <v/>
      </c>
    </row>
    <row r="452">
      <c r="A452" s="12" t="n">
        <v>17</v>
      </c>
      <c r="B452" s="12">
        <f>IFERROR(IF(SUMIFS(tblDaily[Admissions],tblDaily[EntryDate],DATE(2026,12,17),tblDaily[WardCode],"BG")=0,"",SUMIFS(tblDaily[Admissions],tblDaily[EntryDate],DATE(2026,12,17),tblDaily[WardCode],"BG")),"")</f>
        <v/>
      </c>
      <c r="C452" s="12">
        <f>IFERROR(IF(SUMIFS(tblDaily[Discharges],tblDaily[EntryDate],DATE(2026,12,17),tblDaily[WardCode],"BG")=0,"",SUMIFS(tblDaily[Discharges],tblDaily[EntryDate],DATE(2026,12,17),tblDaily[WardCode],"BG")),"")</f>
        <v/>
      </c>
      <c r="D452" s="12">
        <f>IFERROR(IF(SUMIFS(tblDaily[Deaths],tblDaily[EntryDate],DATE(2026,12,17),tblDaily[WardCode],"BG")=0,"",SUMIFS(tblDaily[Deaths],tblDaily[EntryDate],DATE(2026,12,17),tblDaily[WardCode],"BG")),"")</f>
        <v/>
      </c>
      <c r="E452" s="12">
        <f>IFERROR(IF(SUMIFS(tblDaily[DeathsUnder24Hrs],tblDaily[EntryDate],DATE(2026,12,17),tblDaily[WardCode],"BG")=0,"",SUMIFS(tblDaily[DeathsUnder24Hrs],tblDaily[EntryDate],DATE(2026,12,17),tblDaily[WardCode],"BG")),"")</f>
        <v/>
      </c>
      <c r="F452" s="12">
        <f>IFERROR(IF(SUMIFS(tblDaily[TransfersIn],tblDaily[EntryDate],DATE(2026,12,17),tblDaily[WardCode],"BG")=0,"",SUMIFS(tblDaily[TransfersIn],tblDaily[EntryDate],DATE(2026,12,17),tblDaily[WardCode],"BG")),"")</f>
        <v/>
      </c>
      <c r="G452" s="12">
        <f>IFERROR(IF(SUMIFS(tblDaily[TransfersOut],tblDaily[EntryDate],DATE(2026,12,17),tblDaily[WardCode],"BG")=0,"",SUMIFS(tblDaily[TransfersOut],tblDaily[EntryDate],DATE(2026,12,17),tblDaily[WardCode],"BG")),"")</f>
        <v/>
      </c>
      <c r="H452" s="12">
        <f>IFERROR(IF(SUMIFS(tblDaily[Remaining],tblDaily[EntryDate],DATE(2026,12,17),tblDaily[WardCode],"BG")=0,"",SUMIFS(tblDaily[Remaining],tblDaily[EntryDate],DATE(2026,12,17),tblDaily[WardCode],"BG")),"")</f>
        <v/>
      </c>
    </row>
    <row r="453">
      <c r="A453" s="12" t="n">
        <v>18</v>
      </c>
      <c r="B453" s="12">
        <f>IFERROR(IF(SUMIFS(tblDaily[Admissions],tblDaily[EntryDate],DATE(2026,12,18),tblDaily[WardCode],"BG")=0,"",SUMIFS(tblDaily[Admissions],tblDaily[EntryDate],DATE(2026,12,18),tblDaily[WardCode],"BG")),"")</f>
        <v/>
      </c>
      <c r="C453" s="12">
        <f>IFERROR(IF(SUMIFS(tblDaily[Discharges],tblDaily[EntryDate],DATE(2026,12,18),tblDaily[WardCode],"BG")=0,"",SUMIFS(tblDaily[Discharges],tblDaily[EntryDate],DATE(2026,12,18),tblDaily[WardCode],"BG")),"")</f>
        <v/>
      </c>
      <c r="D453" s="12">
        <f>IFERROR(IF(SUMIFS(tblDaily[Deaths],tblDaily[EntryDate],DATE(2026,12,18),tblDaily[WardCode],"BG")=0,"",SUMIFS(tblDaily[Deaths],tblDaily[EntryDate],DATE(2026,12,18),tblDaily[WardCode],"BG")),"")</f>
        <v/>
      </c>
      <c r="E453" s="12">
        <f>IFERROR(IF(SUMIFS(tblDaily[DeathsUnder24Hrs],tblDaily[EntryDate],DATE(2026,12,18),tblDaily[WardCode],"BG")=0,"",SUMIFS(tblDaily[DeathsUnder24Hrs],tblDaily[EntryDate],DATE(2026,12,18),tblDaily[WardCode],"BG")),"")</f>
        <v/>
      </c>
      <c r="F453" s="12">
        <f>IFERROR(IF(SUMIFS(tblDaily[TransfersIn],tblDaily[EntryDate],DATE(2026,12,18),tblDaily[WardCode],"BG")=0,"",SUMIFS(tblDaily[TransfersIn],tblDaily[EntryDate],DATE(2026,12,18),tblDaily[WardCode],"BG")),"")</f>
        <v/>
      </c>
      <c r="G453" s="12">
        <f>IFERROR(IF(SUMIFS(tblDaily[TransfersOut],tblDaily[EntryDate],DATE(2026,12,18),tblDaily[WardCode],"BG")=0,"",SUMIFS(tblDaily[TransfersOut],tblDaily[EntryDate],DATE(2026,12,18),tblDaily[WardCode],"BG")),"")</f>
        <v/>
      </c>
      <c r="H453" s="12">
        <f>IFERROR(IF(SUMIFS(tblDaily[Remaining],tblDaily[EntryDate],DATE(2026,12,18),tblDaily[WardCode],"BG")=0,"",SUMIFS(tblDaily[Remaining],tblDaily[EntryDate],DATE(2026,12,18),tblDaily[WardCode],"BG")),"")</f>
        <v/>
      </c>
    </row>
    <row r="454">
      <c r="A454" s="12" t="n">
        <v>19</v>
      </c>
      <c r="B454" s="12">
        <f>IFERROR(IF(SUMIFS(tblDaily[Admissions],tblDaily[EntryDate],DATE(2026,12,19),tblDaily[WardCode],"BG")=0,"",SUMIFS(tblDaily[Admissions],tblDaily[EntryDate],DATE(2026,12,19),tblDaily[WardCode],"BG")),"")</f>
        <v/>
      </c>
      <c r="C454" s="12">
        <f>IFERROR(IF(SUMIFS(tblDaily[Discharges],tblDaily[EntryDate],DATE(2026,12,19),tblDaily[WardCode],"BG")=0,"",SUMIFS(tblDaily[Discharges],tblDaily[EntryDate],DATE(2026,12,19),tblDaily[WardCode],"BG")),"")</f>
        <v/>
      </c>
      <c r="D454" s="12">
        <f>IFERROR(IF(SUMIFS(tblDaily[Deaths],tblDaily[EntryDate],DATE(2026,12,19),tblDaily[WardCode],"BG")=0,"",SUMIFS(tblDaily[Deaths],tblDaily[EntryDate],DATE(2026,12,19),tblDaily[WardCode],"BG")),"")</f>
        <v/>
      </c>
      <c r="E454" s="12">
        <f>IFERROR(IF(SUMIFS(tblDaily[DeathsUnder24Hrs],tblDaily[EntryDate],DATE(2026,12,19),tblDaily[WardCode],"BG")=0,"",SUMIFS(tblDaily[DeathsUnder24Hrs],tblDaily[EntryDate],DATE(2026,12,19),tblDaily[WardCode],"BG")),"")</f>
        <v/>
      </c>
      <c r="F454" s="12">
        <f>IFERROR(IF(SUMIFS(tblDaily[TransfersIn],tblDaily[EntryDate],DATE(2026,12,19),tblDaily[WardCode],"BG")=0,"",SUMIFS(tblDaily[TransfersIn],tblDaily[EntryDate],DATE(2026,12,19),tblDaily[WardCode],"BG")),"")</f>
        <v/>
      </c>
      <c r="G454" s="12">
        <f>IFERROR(IF(SUMIFS(tblDaily[TransfersOut],tblDaily[EntryDate],DATE(2026,12,19),tblDaily[WardCode],"BG")=0,"",SUMIFS(tblDaily[TransfersOut],tblDaily[EntryDate],DATE(2026,12,19),tblDaily[WardCode],"BG")),"")</f>
        <v/>
      </c>
      <c r="H454" s="12">
        <f>IFERROR(IF(SUMIFS(tblDaily[Remaining],tblDaily[EntryDate],DATE(2026,12,19),tblDaily[WardCode],"BG")=0,"",SUMIFS(tblDaily[Remaining],tblDaily[EntryDate],DATE(2026,12,19),tblDaily[WardCode],"BG")),"")</f>
        <v/>
      </c>
    </row>
    <row r="455">
      <c r="A455" s="12" t="n">
        <v>20</v>
      </c>
      <c r="B455" s="12">
        <f>IFERROR(IF(SUMIFS(tblDaily[Admissions],tblDaily[EntryDate],DATE(2026,12,20),tblDaily[WardCode],"BG")=0,"",SUMIFS(tblDaily[Admissions],tblDaily[EntryDate],DATE(2026,12,20),tblDaily[WardCode],"BG")),"")</f>
        <v/>
      </c>
      <c r="C455" s="12">
        <f>IFERROR(IF(SUMIFS(tblDaily[Discharges],tblDaily[EntryDate],DATE(2026,12,20),tblDaily[WardCode],"BG")=0,"",SUMIFS(tblDaily[Discharges],tblDaily[EntryDate],DATE(2026,12,20),tblDaily[WardCode],"BG")),"")</f>
        <v/>
      </c>
      <c r="D455" s="12">
        <f>IFERROR(IF(SUMIFS(tblDaily[Deaths],tblDaily[EntryDate],DATE(2026,12,20),tblDaily[WardCode],"BG")=0,"",SUMIFS(tblDaily[Deaths],tblDaily[EntryDate],DATE(2026,12,20),tblDaily[WardCode],"BG")),"")</f>
        <v/>
      </c>
      <c r="E455" s="12">
        <f>IFERROR(IF(SUMIFS(tblDaily[DeathsUnder24Hrs],tblDaily[EntryDate],DATE(2026,12,20),tblDaily[WardCode],"BG")=0,"",SUMIFS(tblDaily[DeathsUnder24Hrs],tblDaily[EntryDate],DATE(2026,12,20),tblDaily[WardCode],"BG")),"")</f>
        <v/>
      </c>
      <c r="F455" s="12">
        <f>IFERROR(IF(SUMIFS(tblDaily[TransfersIn],tblDaily[EntryDate],DATE(2026,12,20),tblDaily[WardCode],"BG")=0,"",SUMIFS(tblDaily[TransfersIn],tblDaily[EntryDate],DATE(2026,12,20),tblDaily[WardCode],"BG")),"")</f>
        <v/>
      </c>
      <c r="G455" s="12">
        <f>IFERROR(IF(SUMIFS(tblDaily[TransfersOut],tblDaily[EntryDate],DATE(2026,12,20),tblDaily[WardCode],"BG")=0,"",SUMIFS(tblDaily[TransfersOut],tblDaily[EntryDate],DATE(2026,12,20),tblDaily[WardCode],"BG")),"")</f>
        <v/>
      </c>
      <c r="H455" s="12">
        <f>IFERROR(IF(SUMIFS(tblDaily[Remaining],tblDaily[EntryDate],DATE(2026,12,20),tblDaily[WardCode],"BG")=0,"",SUMIFS(tblDaily[Remaining],tblDaily[EntryDate],DATE(2026,12,20),tblDaily[WardCode],"BG")),"")</f>
        <v/>
      </c>
    </row>
    <row r="456">
      <c r="A456" s="12" t="n">
        <v>21</v>
      </c>
      <c r="B456" s="12">
        <f>IFERROR(IF(SUMIFS(tblDaily[Admissions],tblDaily[EntryDate],DATE(2026,12,21),tblDaily[WardCode],"BG")=0,"",SUMIFS(tblDaily[Admissions],tblDaily[EntryDate],DATE(2026,12,21),tblDaily[WardCode],"BG")),"")</f>
        <v/>
      </c>
      <c r="C456" s="12">
        <f>IFERROR(IF(SUMIFS(tblDaily[Discharges],tblDaily[EntryDate],DATE(2026,12,21),tblDaily[WardCode],"BG")=0,"",SUMIFS(tblDaily[Discharges],tblDaily[EntryDate],DATE(2026,12,21),tblDaily[WardCode],"BG")),"")</f>
        <v/>
      </c>
      <c r="D456" s="12">
        <f>IFERROR(IF(SUMIFS(tblDaily[Deaths],tblDaily[EntryDate],DATE(2026,12,21),tblDaily[WardCode],"BG")=0,"",SUMIFS(tblDaily[Deaths],tblDaily[EntryDate],DATE(2026,12,21),tblDaily[WardCode],"BG")),"")</f>
        <v/>
      </c>
      <c r="E456" s="12">
        <f>IFERROR(IF(SUMIFS(tblDaily[DeathsUnder24Hrs],tblDaily[EntryDate],DATE(2026,12,21),tblDaily[WardCode],"BG")=0,"",SUMIFS(tblDaily[DeathsUnder24Hrs],tblDaily[EntryDate],DATE(2026,12,21),tblDaily[WardCode],"BG")),"")</f>
        <v/>
      </c>
      <c r="F456" s="12">
        <f>IFERROR(IF(SUMIFS(tblDaily[TransfersIn],tblDaily[EntryDate],DATE(2026,12,21),tblDaily[WardCode],"BG")=0,"",SUMIFS(tblDaily[TransfersIn],tblDaily[EntryDate],DATE(2026,12,21),tblDaily[WardCode],"BG")),"")</f>
        <v/>
      </c>
      <c r="G456" s="12">
        <f>IFERROR(IF(SUMIFS(tblDaily[TransfersOut],tblDaily[EntryDate],DATE(2026,12,21),tblDaily[WardCode],"BG")=0,"",SUMIFS(tblDaily[TransfersOut],tblDaily[EntryDate],DATE(2026,12,21),tblDaily[WardCode],"BG")),"")</f>
        <v/>
      </c>
      <c r="H456" s="12">
        <f>IFERROR(IF(SUMIFS(tblDaily[Remaining],tblDaily[EntryDate],DATE(2026,12,21),tblDaily[WardCode],"BG")=0,"",SUMIFS(tblDaily[Remaining],tblDaily[EntryDate],DATE(2026,12,21),tblDaily[WardCode],"BG")),"")</f>
        <v/>
      </c>
    </row>
    <row r="457">
      <c r="A457" s="12" t="n">
        <v>22</v>
      </c>
      <c r="B457" s="12">
        <f>IFERROR(IF(SUMIFS(tblDaily[Admissions],tblDaily[EntryDate],DATE(2026,12,22),tblDaily[WardCode],"BG")=0,"",SUMIFS(tblDaily[Admissions],tblDaily[EntryDate],DATE(2026,12,22),tblDaily[WardCode],"BG")),"")</f>
        <v/>
      </c>
      <c r="C457" s="12">
        <f>IFERROR(IF(SUMIFS(tblDaily[Discharges],tblDaily[EntryDate],DATE(2026,12,22),tblDaily[WardCode],"BG")=0,"",SUMIFS(tblDaily[Discharges],tblDaily[EntryDate],DATE(2026,12,22),tblDaily[WardCode],"BG")),"")</f>
        <v/>
      </c>
      <c r="D457" s="12">
        <f>IFERROR(IF(SUMIFS(tblDaily[Deaths],tblDaily[EntryDate],DATE(2026,12,22),tblDaily[WardCode],"BG")=0,"",SUMIFS(tblDaily[Deaths],tblDaily[EntryDate],DATE(2026,12,22),tblDaily[WardCode],"BG")),"")</f>
        <v/>
      </c>
      <c r="E457" s="12">
        <f>IFERROR(IF(SUMIFS(tblDaily[DeathsUnder24Hrs],tblDaily[EntryDate],DATE(2026,12,22),tblDaily[WardCode],"BG")=0,"",SUMIFS(tblDaily[DeathsUnder24Hrs],tblDaily[EntryDate],DATE(2026,12,22),tblDaily[WardCode],"BG")),"")</f>
        <v/>
      </c>
      <c r="F457" s="12">
        <f>IFERROR(IF(SUMIFS(tblDaily[TransfersIn],tblDaily[EntryDate],DATE(2026,12,22),tblDaily[WardCode],"BG")=0,"",SUMIFS(tblDaily[TransfersIn],tblDaily[EntryDate],DATE(2026,12,22),tblDaily[WardCode],"BG")),"")</f>
        <v/>
      </c>
      <c r="G457" s="12">
        <f>IFERROR(IF(SUMIFS(tblDaily[TransfersOut],tblDaily[EntryDate],DATE(2026,12,22),tblDaily[WardCode],"BG")=0,"",SUMIFS(tblDaily[TransfersOut],tblDaily[EntryDate],DATE(2026,12,22),tblDaily[WardCode],"BG")),"")</f>
        <v/>
      </c>
      <c r="H457" s="12">
        <f>IFERROR(IF(SUMIFS(tblDaily[Remaining],tblDaily[EntryDate],DATE(2026,12,22),tblDaily[WardCode],"BG")=0,"",SUMIFS(tblDaily[Remaining],tblDaily[EntryDate],DATE(2026,12,22),tblDaily[WardCode],"BG")),"")</f>
        <v/>
      </c>
    </row>
    <row r="458">
      <c r="A458" s="12" t="n">
        <v>23</v>
      </c>
      <c r="B458" s="12">
        <f>IFERROR(IF(SUMIFS(tblDaily[Admissions],tblDaily[EntryDate],DATE(2026,12,23),tblDaily[WardCode],"BG")=0,"",SUMIFS(tblDaily[Admissions],tblDaily[EntryDate],DATE(2026,12,23),tblDaily[WardCode],"BG")),"")</f>
        <v/>
      </c>
      <c r="C458" s="12">
        <f>IFERROR(IF(SUMIFS(tblDaily[Discharges],tblDaily[EntryDate],DATE(2026,12,23),tblDaily[WardCode],"BG")=0,"",SUMIFS(tblDaily[Discharges],tblDaily[EntryDate],DATE(2026,12,23),tblDaily[WardCode],"BG")),"")</f>
        <v/>
      </c>
      <c r="D458" s="12">
        <f>IFERROR(IF(SUMIFS(tblDaily[Deaths],tblDaily[EntryDate],DATE(2026,12,23),tblDaily[WardCode],"BG")=0,"",SUMIFS(tblDaily[Deaths],tblDaily[EntryDate],DATE(2026,12,23),tblDaily[WardCode],"BG")),"")</f>
        <v/>
      </c>
      <c r="E458" s="12">
        <f>IFERROR(IF(SUMIFS(tblDaily[DeathsUnder24Hrs],tblDaily[EntryDate],DATE(2026,12,23),tblDaily[WardCode],"BG")=0,"",SUMIFS(tblDaily[DeathsUnder24Hrs],tblDaily[EntryDate],DATE(2026,12,23),tblDaily[WardCode],"BG")),"")</f>
        <v/>
      </c>
      <c r="F458" s="12">
        <f>IFERROR(IF(SUMIFS(tblDaily[TransfersIn],tblDaily[EntryDate],DATE(2026,12,23),tblDaily[WardCode],"BG")=0,"",SUMIFS(tblDaily[TransfersIn],tblDaily[EntryDate],DATE(2026,12,23),tblDaily[WardCode],"BG")),"")</f>
        <v/>
      </c>
      <c r="G458" s="12">
        <f>IFERROR(IF(SUMIFS(tblDaily[TransfersOut],tblDaily[EntryDate],DATE(2026,12,23),tblDaily[WardCode],"BG")=0,"",SUMIFS(tblDaily[TransfersOut],tblDaily[EntryDate],DATE(2026,12,23),tblDaily[WardCode],"BG")),"")</f>
        <v/>
      </c>
      <c r="H458" s="12">
        <f>IFERROR(IF(SUMIFS(tblDaily[Remaining],tblDaily[EntryDate],DATE(2026,12,23),tblDaily[WardCode],"BG")=0,"",SUMIFS(tblDaily[Remaining],tblDaily[EntryDate],DATE(2026,12,23),tblDaily[WardCode],"BG")),"")</f>
        <v/>
      </c>
    </row>
    <row r="459">
      <c r="A459" s="12" t="n">
        <v>24</v>
      </c>
      <c r="B459" s="12">
        <f>IFERROR(IF(SUMIFS(tblDaily[Admissions],tblDaily[EntryDate],DATE(2026,12,24),tblDaily[WardCode],"BG")=0,"",SUMIFS(tblDaily[Admissions],tblDaily[EntryDate],DATE(2026,12,24),tblDaily[WardCode],"BG")),"")</f>
        <v/>
      </c>
      <c r="C459" s="12">
        <f>IFERROR(IF(SUMIFS(tblDaily[Discharges],tblDaily[EntryDate],DATE(2026,12,24),tblDaily[WardCode],"BG")=0,"",SUMIFS(tblDaily[Discharges],tblDaily[EntryDate],DATE(2026,12,24),tblDaily[WardCode],"BG")),"")</f>
        <v/>
      </c>
      <c r="D459" s="12">
        <f>IFERROR(IF(SUMIFS(tblDaily[Deaths],tblDaily[EntryDate],DATE(2026,12,24),tblDaily[WardCode],"BG")=0,"",SUMIFS(tblDaily[Deaths],tblDaily[EntryDate],DATE(2026,12,24),tblDaily[WardCode],"BG")),"")</f>
        <v/>
      </c>
      <c r="E459" s="12">
        <f>IFERROR(IF(SUMIFS(tblDaily[DeathsUnder24Hrs],tblDaily[EntryDate],DATE(2026,12,24),tblDaily[WardCode],"BG")=0,"",SUMIFS(tblDaily[DeathsUnder24Hrs],tblDaily[EntryDate],DATE(2026,12,24),tblDaily[WardCode],"BG")),"")</f>
        <v/>
      </c>
      <c r="F459" s="12">
        <f>IFERROR(IF(SUMIFS(tblDaily[TransfersIn],tblDaily[EntryDate],DATE(2026,12,24),tblDaily[WardCode],"BG")=0,"",SUMIFS(tblDaily[TransfersIn],tblDaily[EntryDate],DATE(2026,12,24),tblDaily[WardCode],"BG")),"")</f>
        <v/>
      </c>
      <c r="G459" s="12">
        <f>IFERROR(IF(SUMIFS(tblDaily[TransfersOut],tblDaily[EntryDate],DATE(2026,12,24),tblDaily[WardCode],"BG")=0,"",SUMIFS(tblDaily[TransfersOut],tblDaily[EntryDate],DATE(2026,12,24),tblDaily[WardCode],"BG")),"")</f>
        <v/>
      </c>
      <c r="H459" s="12">
        <f>IFERROR(IF(SUMIFS(tblDaily[Remaining],tblDaily[EntryDate],DATE(2026,12,24),tblDaily[WardCode],"BG")=0,"",SUMIFS(tblDaily[Remaining],tblDaily[EntryDate],DATE(2026,12,24),tblDaily[WardCode],"BG")),"")</f>
        <v/>
      </c>
    </row>
    <row r="460">
      <c r="A460" s="12" t="n">
        <v>25</v>
      </c>
      <c r="B460" s="12">
        <f>IFERROR(IF(SUMIFS(tblDaily[Admissions],tblDaily[EntryDate],DATE(2026,12,25),tblDaily[WardCode],"BG")=0,"",SUMIFS(tblDaily[Admissions],tblDaily[EntryDate],DATE(2026,12,25),tblDaily[WardCode],"BG")),"")</f>
        <v/>
      </c>
      <c r="C460" s="12">
        <f>IFERROR(IF(SUMIFS(tblDaily[Discharges],tblDaily[EntryDate],DATE(2026,12,25),tblDaily[WardCode],"BG")=0,"",SUMIFS(tblDaily[Discharges],tblDaily[EntryDate],DATE(2026,12,25),tblDaily[WardCode],"BG")),"")</f>
        <v/>
      </c>
      <c r="D460" s="12">
        <f>IFERROR(IF(SUMIFS(tblDaily[Deaths],tblDaily[EntryDate],DATE(2026,12,25),tblDaily[WardCode],"BG")=0,"",SUMIFS(tblDaily[Deaths],tblDaily[EntryDate],DATE(2026,12,25),tblDaily[WardCode],"BG")),"")</f>
        <v/>
      </c>
      <c r="E460" s="12">
        <f>IFERROR(IF(SUMIFS(tblDaily[DeathsUnder24Hrs],tblDaily[EntryDate],DATE(2026,12,25),tblDaily[WardCode],"BG")=0,"",SUMIFS(tblDaily[DeathsUnder24Hrs],tblDaily[EntryDate],DATE(2026,12,25),tblDaily[WardCode],"BG")),"")</f>
        <v/>
      </c>
      <c r="F460" s="12">
        <f>IFERROR(IF(SUMIFS(tblDaily[TransfersIn],tblDaily[EntryDate],DATE(2026,12,25),tblDaily[WardCode],"BG")=0,"",SUMIFS(tblDaily[TransfersIn],tblDaily[EntryDate],DATE(2026,12,25),tblDaily[WardCode],"BG")),"")</f>
        <v/>
      </c>
      <c r="G460" s="12">
        <f>IFERROR(IF(SUMIFS(tblDaily[TransfersOut],tblDaily[EntryDate],DATE(2026,12,25),tblDaily[WardCode],"BG")=0,"",SUMIFS(tblDaily[TransfersOut],tblDaily[EntryDate],DATE(2026,12,25),tblDaily[WardCode],"BG")),"")</f>
        <v/>
      </c>
      <c r="H460" s="12">
        <f>IFERROR(IF(SUMIFS(tblDaily[Remaining],tblDaily[EntryDate],DATE(2026,12,25),tblDaily[WardCode],"BG")=0,"",SUMIFS(tblDaily[Remaining],tblDaily[EntryDate],DATE(2026,12,25),tblDaily[WardCode],"BG")),"")</f>
        <v/>
      </c>
    </row>
    <row r="461">
      <c r="A461" s="12" t="n">
        <v>26</v>
      </c>
      <c r="B461" s="12">
        <f>IFERROR(IF(SUMIFS(tblDaily[Admissions],tblDaily[EntryDate],DATE(2026,12,26),tblDaily[WardCode],"BG")=0,"",SUMIFS(tblDaily[Admissions],tblDaily[EntryDate],DATE(2026,12,26),tblDaily[WardCode],"BG")),"")</f>
        <v/>
      </c>
      <c r="C461" s="12">
        <f>IFERROR(IF(SUMIFS(tblDaily[Discharges],tblDaily[EntryDate],DATE(2026,12,26),tblDaily[WardCode],"BG")=0,"",SUMIFS(tblDaily[Discharges],tblDaily[EntryDate],DATE(2026,12,26),tblDaily[WardCode],"BG")),"")</f>
        <v/>
      </c>
      <c r="D461" s="12">
        <f>IFERROR(IF(SUMIFS(tblDaily[Deaths],tblDaily[EntryDate],DATE(2026,12,26),tblDaily[WardCode],"BG")=0,"",SUMIFS(tblDaily[Deaths],tblDaily[EntryDate],DATE(2026,12,26),tblDaily[WardCode],"BG")),"")</f>
        <v/>
      </c>
      <c r="E461" s="12">
        <f>IFERROR(IF(SUMIFS(tblDaily[DeathsUnder24Hrs],tblDaily[EntryDate],DATE(2026,12,26),tblDaily[WardCode],"BG")=0,"",SUMIFS(tblDaily[DeathsUnder24Hrs],tblDaily[EntryDate],DATE(2026,12,26),tblDaily[WardCode],"BG")),"")</f>
        <v/>
      </c>
      <c r="F461" s="12">
        <f>IFERROR(IF(SUMIFS(tblDaily[TransfersIn],tblDaily[EntryDate],DATE(2026,12,26),tblDaily[WardCode],"BG")=0,"",SUMIFS(tblDaily[TransfersIn],tblDaily[EntryDate],DATE(2026,12,26),tblDaily[WardCode],"BG")),"")</f>
        <v/>
      </c>
      <c r="G461" s="12">
        <f>IFERROR(IF(SUMIFS(tblDaily[TransfersOut],tblDaily[EntryDate],DATE(2026,12,26),tblDaily[WardCode],"BG")=0,"",SUMIFS(tblDaily[TransfersOut],tblDaily[EntryDate],DATE(2026,12,26),tblDaily[WardCode],"BG")),"")</f>
        <v/>
      </c>
      <c r="H461" s="12">
        <f>IFERROR(IF(SUMIFS(tblDaily[Remaining],tblDaily[EntryDate],DATE(2026,12,26),tblDaily[WardCode],"BG")=0,"",SUMIFS(tblDaily[Remaining],tblDaily[EntryDate],DATE(2026,12,26),tblDaily[WardCode],"BG")),"")</f>
        <v/>
      </c>
    </row>
    <row r="462">
      <c r="A462" s="12" t="n">
        <v>27</v>
      </c>
      <c r="B462" s="12">
        <f>IFERROR(IF(SUMIFS(tblDaily[Admissions],tblDaily[EntryDate],DATE(2026,12,27),tblDaily[WardCode],"BG")=0,"",SUMIFS(tblDaily[Admissions],tblDaily[EntryDate],DATE(2026,12,27),tblDaily[WardCode],"BG")),"")</f>
        <v/>
      </c>
      <c r="C462" s="12">
        <f>IFERROR(IF(SUMIFS(tblDaily[Discharges],tblDaily[EntryDate],DATE(2026,12,27),tblDaily[WardCode],"BG")=0,"",SUMIFS(tblDaily[Discharges],tblDaily[EntryDate],DATE(2026,12,27),tblDaily[WardCode],"BG")),"")</f>
        <v/>
      </c>
      <c r="D462" s="12">
        <f>IFERROR(IF(SUMIFS(tblDaily[Deaths],tblDaily[EntryDate],DATE(2026,12,27),tblDaily[WardCode],"BG")=0,"",SUMIFS(tblDaily[Deaths],tblDaily[EntryDate],DATE(2026,12,27),tblDaily[WardCode],"BG")),"")</f>
        <v/>
      </c>
      <c r="E462" s="12">
        <f>IFERROR(IF(SUMIFS(tblDaily[DeathsUnder24Hrs],tblDaily[EntryDate],DATE(2026,12,27),tblDaily[WardCode],"BG")=0,"",SUMIFS(tblDaily[DeathsUnder24Hrs],tblDaily[EntryDate],DATE(2026,12,27),tblDaily[WardCode],"BG")),"")</f>
        <v/>
      </c>
      <c r="F462" s="12">
        <f>IFERROR(IF(SUMIFS(tblDaily[TransfersIn],tblDaily[EntryDate],DATE(2026,12,27),tblDaily[WardCode],"BG")=0,"",SUMIFS(tblDaily[TransfersIn],tblDaily[EntryDate],DATE(2026,12,27),tblDaily[WardCode],"BG")),"")</f>
        <v/>
      </c>
      <c r="G462" s="12">
        <f>IFERROR(IF(SUMIFS(tblDaily[TransfersOut],tblDaily[EntryDate],DATE(2026,12,27),tblDaily[WardCode],"BG")=0,"",SUMIFS(tblDaily[TransfersOut],tblDaily[EntryDate],DATE(2026,12,27),tblDaily[WardCode],"BG")),"")</f>
        <v/>
      </c>
      <c r="H462" s="12">
        <f>IFERROR(IF(SUMIFS(tblDaily[Remaining],tblDaily[EntryDate],DATE(2026,12,27),tblDaily[WardCode],"BG")=0,"",SUMIFS(tblDaily[Remaining],tblDaily[EntryDate],DATE(2026,12,27),tblDaily[WardCode],"BG")),"")</f>
        <v/>
      </c>
    </row>
    <row r="463">
      <c r="A463" s="12" t="n">
        <v>28</v>
      </c>
      <c r="B463" s="12">
        <f>IFERROR(IF(SUMIFS(tblDaily[Admissions],tblDaily[EntryDate],DATE(2026,12,28),tblDaily[WardCode],"BG")=0,"",SUMIFS(tblDaily[Admissions],tblDaily[EntryDate],DATE(2026,12,28),tblDaily[WardCode],"BG")),"")</f>
        <v/>
      </c>
      <c r="C463" s="12">
        <f>IFERROR(IF(SUMIFS(tblDaily[Discharges],tblDaily[EntryDate],DATE(2026,12,28),tblDaily[WardCode],"BG")=0,"",SUMIFS(tblDaily[Discharges],tblDaily[EntryDate],DATE(2026,12,28),tblDaily[WardCode],"BG")),"")</f>
        <v/>
      </c>
      <c r="D463" s="12">
        <f>IFERROR(IF(SUMIFS(tblDaily[Deaths],tblDaily[EntryDate],DATE(2026,12,28),tblDaily[WardCode],"BG")=0,"",SUMIFS(tblDaily[Deaths],tblDaily[EntryDate],DATE(2026,12,28),tblDaily[WardCode],"BG")),"")</f>
        <v/>
      </c>
      <c r="E463" s="12">
        <f>IFERROR(IF(SUMIFS(tblDaily[DeathsUnder24Hrs],tblDaily[EntryDate],DATE(2026,12,28),tblDaily[WardCode],"BG")=0,"",SUMIFS(tblDaily[DeathsUnder24Hrs],tblDaily[EntryDate],DATE(2026,12,28),tblDaily[WardCode],"BG")),"")</f>
        <v/>
      </c>
      <c r="F463" s="12">
        <f>IFERROR(IF(SUMIFS(tblDaily[TransfersIn],tblDaily[EntryDate],DATE(2026,12,28),tblDaily[WardCode],"BG")=0,"",SUMIFS(tblDaily[TransfersIn],tblDaily[EntryDate],DATE(2026,12,28),tblDaily[WardCode],"BG")),"")</f>
        <v/>
      </c>
      <c r="G463" s="12">
        <f>IFERROR(IF(SUMIFS(tblDaily[TransfersOut],tblDaily[EntryDate],DATE(2026,12,28),tblDaily[WardCode],"BG")=0,"",SUMIFS(tblDaily[TransfersOut],tblDaily[EntryDate],DATE(2026,12,28),tblDaily[WardCode],"BG")),"")</f>
        <v/>
      </c>
      <c r="H463" s="12">
        <f>IFERROR(IF(SUMIFS(tblDaily[Remaining],tblDaily[EntryDate],DATE(2026,12,28),tblDaily[WardCode],"BG")=0,"",SUMIFS(tblDaily[Remaining],tblDaily[EntryDate],DATE(2026,12,28),tblDaily[WardCode],"BG")),"")</f>
        <v/>
      </c>
    </row>
    <row r="464">
      <c r="A464" s="12" t="n">
        <v>29</v>
      </c>
      <c r="B464" s="12">
        <f>IFERROR(IF(SUMIFS(tblDaily[Admissions],tblDaily[EntryDate],DATE(2026,12,29),tblDaily[WardCode],"BG")=0,"",SUMIFS(tblDaily[Admissions],tblDaily[EntryDate],DATE(2026,12,29),tblDaily[WardCode],"BG")),"")</f>
        <v/>
      </c>
      <c r="C464" s="12">
        <f>IFERROR(IF(SUMIFS(tblDaily[Discharges],tblDaily[EntryDate],DATE(2026,12,29),tblDaily[WardCode],"BG")=0,"",SUMIFS(tblDaily[Discharges],tblDaily[EntryDate],DATE(2026,12,29),tblDaily[WardCode],"BG")),"")</f>
        <v/>
      </c>
      <c r="D464" s="12">
        <f>IFERROR(IF(SUMIFS(tblDaily[Deaths],tblDaily[EntryDate],DATE(2026,12,29),tblDaily[WardCode],"BG")=0,"",SUMIFS(tblDaily[Deaths],tblDaily[EntryDate],DATE(2026,12,29),tblDaily[WardCode],"BG")),"")</f>
        <v/>
      </c>
      <c r="E464" s="12">
        <f>IFERROR(IF(SUMIFS(tblDaily[DeathsUnder24Hrs],tblDaily[EntryDate],DATE(2026,12,29),tblDaily[WardCode],"BG")=0,"",SUMIFS(tblDaily[DeathsUnder24Hrs],tblDaily[EntryDate],DATE(2026,12,29),tblDaily[WardCode],"BG")),"")</f>
        <v/>
      </c>
      <c r="F464" s="12">
        <f>IFERROR(IF(SUMIFS(tblDaily[TransfersIn],tblDaily[EntryDate],DATE(2026,12,29),tblDaily[WardCode],"BG")=0,"",SUMIFS(tblDaily[TransfersIn],tblDaily[EntryDate],DATE(2026,12,29),tblDaily[WardCode],"BG")),"")</f>
        <v/>
      </c>
      <c r="G464" s="12">
        <f>IFERROR(IF(SUMIFS(tblDaily[TransfersOut],tblDaily[EntryDate],DATE(2026,12,29),tblDaily[WardCode],"BG")=0,"",SUMIFS(tblDaily[TransfersOut],tblDaily[EntryDate],DATE(2026,12,29),tblDaily[WardCode],"BG")),"")</f>
        <v/>
      </c>
      <c r="H464" s="12">
        <f>IFERROR(IF(SUMIFS(tblDaily[Remaining],tblDaily[EntryDate],DATE(2026,12,29),tblDaily[WardCode],"BG")=0,"",SUMIFS(tblDaily[Remaining],tblDaily[EntryDate],DATE(2026,12,29),tblDaily[WardCode],"BG")),"")</f>
        <v/>
      </c>
    </row>
    <row r="465">
      <c r="A465" s="12" t="n">
        <v>30</v>
      </c>
      <c r="B465" s="12">
        <f>IFERROR(IF(SUMIFS(tblDaily[Admissions],tblDaily[EntryDate],DATE(2026,12,30),tblDaily[WardCode],"BG")=0,"",SUMIFS(tblDaily[Admissions],tblDaily[EntryDate],DATE(2026,12,30),tblDaily[WardCode],"BG")),"")</f>
        <v/>
      </c>
      <c r="C465" s="12">
        <f>IFERROR(IF(SUMIFS(tblDaily[Discharges],tblDaily[EntryDate],DATE(2026,12,30),tblDaily[WardCode],"BG")=0,"",SUMIFS(tblDaily[Discharges],tblDaily[EntryDate],DATE(2026,12,30),tblDaily[WardCode],"BG")),"")</f>
        <v/>
      </c>
      <c r="D465" s="12">
        <f>IFERROR(IF(SUMIFS(tblDaily[Deaths],tblDaily[EntryDate],DATE(2026,12,30),tblDaily[WardCode],"BG")=0,"",SUMIFS(tblDaily[Deaths],tblDaily[EntryDate],DATE(2026,12,30),tblDaily[WardCode],"BG")),"")</f>
        <v/>
      </c>
      <c r="E465" s="12">
        <f>IFERROR(IF(SUMIFS(tblDaily[DeathsUnder24Hrs],tblDaily[EntryDate],DATE(2026,12,30),tblDaily[WardCode],"BG")=0,"",SUMIFS(tblDaily[DeathsUnder24Hrs],tblDaily[EntryDate],DATE(2026,12,30),tblDaily[WardCode],"BG")),"")</f>
        <v/>
      </c>
      <c r="F465" s="12">
        <f>IFERROR(IF(SUMIFS(tblDaily[TransfersIn],tblDaily[EntryDate],DATE(2026,12,30),tblDaily[WardCode],"BG")=0,"",SUMIFS(tblDaily[TransfersIn],tblDaily[EntryDate],DATE(2026,12,30),tblDaily[WardCode],"BG")),"")</f>
        <v/>
      </c>
      <c r="G465" s="12">
        <f>IFERROR(IF(SUMIFS(tblDaily[TransfersOut],tblDaily[EntryDate],DATE(2026,12,30),tblDaily[WardCode],"BG")=0,"",SUMIFS(tblDaily[TransfersOut],tblDaily[EntryDate],DATE(2026,12,30),tblDaily[WardCode],"BG")),"")</f>
        <v/>
      </c>
      <c r="H465" s="12">
        <f>IFERROR(IF(SUMIFS(tblDaily[Remaining],tblDaily[EntryDate],DATE(2026,12,30),tblDaily[WardCode],"BG")=0,"",SUMIFS(tblDaily[Remaining],tblDaily[EntryDate],DATE(2026,12,30),tblDaily[WardCode],"BG")),"")</f>
        <v/>
      </c>
    </row>
    <row r="466">
      <c r="A466" s="12" t="n">
        <v>31</v>
      </c>
      <c r="B466" s="12">
        <f>IFERROR(IF(SUMIFS(tblDaily[Admissions],tblDaily[EntryDate],DATE(2026,12,31),tblDaily[WardCode],"BG")=0,"",SUMIFS(tblDaily[Admissions],tblDaily[EntryDate],DATE(2026,12,31),tblDaily[WardCode],"BG")),"")</f>
        <v/>
      </c>
      <c r="C466" s="12">
        <f>IFERROR(IF(SUMIFS(tblDaily[Discharges],tblDaily[EntryDate],DATE(2026,12,31),tblDaily[WardCode],"BG")=0,"",SUMIFS(tblDaily[Discharges],tblDaily[EntryDate],DATE(2026,12,31),tblDaily[WardCode],"BG")),"")</f>
        <v/>
      </c>
      <c r="D466" s="12">
        <f>IFERROR(IF(SUMIFS(tblDaily[Deaths],tblDaily[EntryDate],DATE(2026,12,31),tblDaily[WardCode],"BG")=0,"",SUMIFS(tblDaily[Deaths],tblDaily[EntryDate],DATE(2026,12,31),tblDaily[WardCode],"BG")),"")</f>
        <v/>
      </c>
      <c r="E466" s="12">
        <f>IFERROR(IF(SUMIFS(tblDaily[DeathsUnder24Hrs],tblDaily[EntryDate],DATE(2026,12,31),tblDaily[WardCode],"BG")=0,"",SUMIFS(tblDaily[DeathsUnder24Hrs],tblDaily[EntryDate],DATE(2026,12,31),tblDaily[WardCode],"BG")),"")</f>
        <v/>
      </c>
      <c r="F466" s="12">
        <f>IFERROR(IF(SUMIFS(tblDaily[TransfersIn],tblDaily[EntryDate],DATE(2026,12,31),tblDaily[WardCode],"BG")=0,"",SUMIFS(tblDaily[TransfersIn],tblDaily[EntryDate],DATE(2026,12,31),tblDaily[WardCode],"BG")),"")</f>
        <v/>
      </c>
      <c r="G466" s="12">
        <f>IFERROR(IF(SUMIFS(tblDaily[TransfersOut],tblDaily[EntryDate],DATE(2026,12,31),tblDaily[WardCode],"BG")=0,"",SUMIFS(tblDaily[TransfersOut],tblDaily[EntryDate],DATE(2026,12,31),tblDaily[WardCode],"BG")),"")</f>
        <v/>
      </c>
      <c r="H466" s="12">
        <f>IFERROR(IF(SUMIFS(tblDaily[Remaining],tblDaily[EntryDate],DATE(2026,12,31),tblDaily[WardCode],"BG")=0,"",SUMIFS(tblDaily[Remaining],tblDaily[EntryDate],DATE(2026,12,31),tblDaily[WardCode],"BG")),"")</f>
        <v/>
      </c>
    </row>
    <row r="467">
      <c r="A467" s="17" t="inlineStr">
        <is>
          <t>TOTAL</t>
        </is>
      </c>
      <c r="B467" s="17">
        <f>SUMIFS(tblDaily[Admissions],tblDaily[Month],12,tblDaily[WardCode],"BG") - SUMIFS(tblDaily[DeathsUnder24Hrs],tblDaily[Month],12,tblDaily[WardCode],"BG")</f>
        <v/>
      </c>
      <c r="C467" s="17">
        <f>SUMIFS(tblDaily[Discharges],tblDaily[Month],12,tblDaily[WardCode],"BG")</f>
        <v/>
      </c>
      <c r="D467" s="17">
        <f>SUMIFS(tblDaily[Deaths],tblDaily[Month],12,tblDaily[WardCode],"BG")</f>
        <v/>
      </c>
      <c r="E467" s="17">
        <f>SUMIFS(tblDaily[DeathsUnder24Hrs],tblDaily[Month],12,tblDaily[WardCode],"BG")</f>
        <v/>
      </c>
      <c r="F467" s="17">
        <f>SUMIFS(tblDaily[TransfersIn],tblDaily[Month],12,tblDaily[WardCode],"BG")</f>
        <v/>
      </c>
      <c r="G467" s="17">
        <f>SUMIFS(tblDaily[TransfersOut],tblDaily[Month],12,tblDaily[WardCode],"BG")</f>
        <v/>
      </c>
      <c r="H467" s="17">
        <f>SUMIFS(tblDaily[Remaining],tblDaily[Month],12,tblDaily[WardCode],"BG")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BLOCK H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4">
        <f>IFERROR(INDEX(tblWardConfig[PrevYearRemaining],MATCH("BH",tblWardConfig[WardCode],0)),0)</f>
        <v/>
      </c>
    </row>
    <row r="5">
      <c r="A5" s="4" t="inlineStr">
        <is>
          <t>Bed complement</t>
        </is>
      </c>
      <c r="H5" s="15">
        <f>IFERROR(INDEX(tblWardConfig[BedComplement],MATCH("BH",tblWardConfig[WardCode],0)),0)</f>
        <v/>
      </c>
    </row>
    <row r="6">
      <c r="A6" s="16" t="inlineStr">
        <is>
          <t>Day of
the
Month</t>
        </is>
      </c>
      <c r="B6" s="16" t="inlineStr">
        <is>
          <t>Admissions</t>
        </is>
      </c>
      <c r="C6" s="16" t="inlineStr">
        <is>
          <t>Discharges</t>
        </is>
      </c>
      <c r="D6" s="16" t="inlineStr">
        <is>
          <t>Deaths</t>
        </is>
      </c>
      <c r="E6" s="16" t="inlineStr">
        <is>
          <t>Deaths
&lt;24Hrs</t>
        </is>
      </c>
      <c r="F6" s="16" t="inlineStr">
        <is>
          <t>Transfers-
In</t>
        </is>
      </c>
      <c r="G6" s="16" t="inlineStr">
        <is>
          <t>Transfers-
Out</t>
        </is>
      </c>
      <c r="H6" s="16" t="inlineStr">
        <is>
          <t>No. of Patients
Remaining In
Ward</t>
        </is>
      </c>
    </row>
    <row r="7">
      <c r="A7" s="12" t="n">
        <v>1</v>
      </c>
      <c r="B7" s="12">
        <f>IFERROR(IF(SUMIFS(tblDaily[Admissions],tblDaily[EntryDate],DATE(2026,1,1),tblDaily[WardCode],"BH")=0,"",SUMIFS(tblDaily[Admissions],tblDaily[EntryDate],DATE(2026,1,1),tblDaily[WardCode],"BH")),"")</f>
        <v/>
      </c>
      <c r="C7" s="12">
        <f>IFERROR(IF(SUMIFS(tblDaily[Discharges],tblDaily[EntryDate],DATE(2026,1,1),tblDaily[WardCode],"BH")=0,"",SUMIFS(tblDaily[Discharges],tblDaily[EntryDate],DATE(2026,1,1),tblDaily[WardCode],"BH")),"")</f>
        <v/>
      </c>
      <c r="D7" s="12">
        <f>IFERROR(IF(SUMIFS(tblDaily[Deaths],tblDaily[EntryDate],DATE(2026,1,1),tblDaily[WardCode],"BH")=0,"",SUMIFS(tblDaily[Deaths],tblDaily[EntryDate],DATE(2026,1,1),tblDaily[WardCode],"BH")),"")</f>
        <v/>
      </c>
      <c r="E7" s="12">
        <f>IFERROR(IF(SUMIFS(tblDaily[DeathsUnder24Hrs],tblDaily[EntryDate],DATE(2026,1,1),tblDaily[WardCode],"BH")=0,"",SUMIFS(tblDaily[DeathsUnder24Hrs],tblDaily[EntryDate],DATE(2026,1,1),tblDaily[WardCode],"BH")),"")</f>
        <v/>
      </c>
      <c r="F7" s="12">
        <f>IFERROR(IF(SUMIFS(tblDaily[TransfersIn],tblDaily[EntryDate],DATE(2026,1,1),tblDaily[WardCode],"BH")=0,"",SUMIFS(tblDaily[TransfersIn],tblDaily[EntryDate],DATE(2026,1,1),tblDaily[WardCode],"BH")),"")</f>
        <v/>
      </c>
      <c r="G7" s="12">
        <f>IFERROR(IF(SUMIFS(tblDaily[TransfersOut],tblDaily[EntryDate],DATE(2026,1,1),tblDaily[WardCode],"BH")=0,"",SUMIFS(tblDaily[TransfersOut],tblDaily[EntryDate],DATE(2026,1,1),tblDaily[WardCode],"BH")),"")</f>
        <v/>
      </c>
      <c r="H7" s="12">
        <f>IFERROR(IF(SUMIFS(tblDaily[Remaining],tblDaily[EntryDate],DATE(2026,1,1),tblDaily[WardCode],"BH")=0,"",SUMIFS(tblDaily[Remaining],tblDaily[EntryDate],DATE(2026,1,1),tblDaily[WardCode],"BH")),"")</f>
        <v/>
      </c>
    </row>
    <row r="8">
      <c r="A8" s="12" t="n">
        <v>2</v>
      </c>
      <c r="B8" s="12">
        <f>IFERROR(IF(SUMIFS(tblDaily[Admissions],tblDaily[EntryDate],DATE(2026,1,2),tblDaily[WardCode],"BH")=0,"",SUMIFS(tblDaily[Admissions],tblDaily[EntryDate],DATE(2026,1,2),tblDaily[WardCode],"BH")),"")</f>
        <v/>
      </c>
      <c r="C8" s="12">
        <f>IFERROR(IF(SUMIFS(tblDaily[Discharges],tblDaily[EntryDate],DATE(2026,1,2),tblDaily[WardCode],"BH")=0,"",SUMIFS(tblDaily[Discharges],tblDaily[EntryDate],DATE(2026,1,2),tblDaily[WardCode],"BH")),"")</f>
        <v/>
      </c>
      <c r="D8" s="12">
        <f>IFERROR(IF(SUMIFS(tblDaily[Deaths],tblDaily[EntryDate],DATE(2026,1,2),tblDaily[WardCode],"BH")=0,"",SUMIFS(tblDaily[Deaths],tblDaily[EntryDate],DATE(2026,1,2),tblDaily[WardCode],"BH")),"")</f>
        <v/>
      </c>
      <c r="E8" s="12">
        <f>IFERROR(IF(SUMIFS(tblDaily[DeathsUnder24Hrs],tblDaily[EntryDate],DATE(2026,1,2),tblDaily[WardCode],"BH")=0,"",SUMIFS(tblDaily[DeathsUnder24Hrs],tblDaily[EntryDate],DATE(2026,1,2),tblDaily[WardCode],"BH")),"")</f>
        <v/>
      </c>
      <c r="F8" s="12">
        <f>IFERROR(IF(SUMIFS(tblDaily[TransfersIn],tblDaily[EntryDate],DATE(2026,1,2),tblDaily[WardCode],"BH")=0,"",SUMIFS(tblDaily[TransfersIn],tblDaily[EntryDate],DATE(2026,1,2),tblDaily[WardCode],"BH")),"")</f>
        <v/>
      </c>
      <c r="G8" s="12">
        <f>IFERROR(IF(SUMIFS(tblDaily[TransfersOut],tblDaily[EntryDate],DATE(2026,1,2),tblDaily[WardCode],"BH")=0,"",SUMIFS(tblDaily[TransfersOut],tblDaily[EntryDate],DATE(2026,1,2),tblDaily[WardCode],"BH")),"")</f>
        <v/>
      </c>
      <c r="H8" s="12">
        <f>IFERROR(IF(SUMIFS(tblDaily[Remaining],tblDaily[EntryDate],DATE(2026,1,2),tblDaily[WardCode],"BH")=0,"",SUMIFS(tblDaily[Remaining],tblDaily[EntryDate],DATE(2026,1,2),tblDaily[WardCode],"BH")),"")</f>
        <v/>
      </c>
    </row>
    <row r="9">
      <c r="A9" s="12" t="n">
        <v>3</v>
      </c>
      <c r="B9" s="12">
        <f>IFERROR(IF(SUMIFS(tblDaily[Admissions],tblDaily[EntryDate],DATE(2026,1,3),tblDaily[WardCode],"BH")=0,"",SUMIFS(tblDaily[Admissions],tblDaily[EntryDate],DATE(2026,1,3),tblDaily[WardCode],"BH")),"")</f>
        <v/>
      </c>
      <c r="C9" s="12">
        <f>IFERROR(IF(SUMIFS(tblDaily[Discharges],tblDaily[EntryDate],DATE(2026,1,3),tblDaily[WardCode],"BH")=0,"",SUMIFS(tblDaily[Discharges],tblDaily[EntryDate],DATE(2026,1,3),tblDaily[WardCode],"BH")),"")</f>
        <v/>
      </c>
      <c r="D9" s="12">
        <f>IFERROR(IF(SUMIFS(tblDaily[Deaths],tblDaily[EntryDate],DATE(2026,1,3),tblDaily[WardCode],"BH")=0,"",SUMIFS(tblDaily[Deaths],tblDaily[EntryDate],DATE(2026,1,3),tblDaily[WardCode],"BH")),"")</f>
        <v/>
      </c>
      <c r="E9" s="12">
        <f>IFERROR(IF(SUMIFS(tblDaily[DeathsUnder24Hrs],tblDaily[EntryDate],DATE(2026,1,3),tblDaily[WardCode],"BH")=0,"",SUMIFS(tblDaily[DeathsUnder24Hrs],tblDaily[EntryDate],DATE(2026,1,3),tblDaily[WardCode],"BH")),"")</f>
        <v/>
      </c>
      <c r="F9" s="12">
        <f>IFERROR(IF(SUMIFS(tblDaily[TransfersIn],tblDaily[EntryDate],DATE(2026,1,3),tblDaily[WardCode],"BH")=0,"",SUMIFS(tblDaily[TransfersIn],tblDaily[EntryDate],DATE(2026,1,3),tblDaily[WardCode],"BH")),"")</f>
        <v/>
      </c>
      <c r="G9" s="12">
        <f>IFERROR(IF(SUMIFS(tblDaily[TransfersOut],tblDaily[EntryDate],DATE(2026,1,3),tblDaily[WardCode],"BH")=0,"",SUMIFS(tblDaily[TransfersOut],tblDaily[EntryDate],DATE(2026,1,3),tblDaily[WardCode],"BH")),"")</f>
        <v/>
      </c>
      <c r="H9" s="12">
        <f>IFERROR(IF(SUMIFS(tblDaily[Remaining],tblDaily[EntryDate],DATE(2026,1,3),tblDaily[WardCode],"BH")=0,"",SUMIFS(tblDaily[Remaining],tblDaily[EntryDate],DATE(2026,1,3),tblDaily[WardCode],"BH")),"")</f>
        <v/>
      </c>
    </row>
    <row r="10">
      <c r="A10" s="12" t="n">
        <v>4</v>
      </c>
      <c r="B10" s="12">
        <f>IFERROR(IF(SUMIFS(tblDaily[Admissions],tblDaily[EntryDate],DATE(2026,1,4),tblDaily[WardCode],"BH")=0,"",SUMIFS(tblDaily[Admissions],tblDaily[EntryDate],DATE(2026,1,4),tblDaily[WardCode],"BH")),"")</f>
        <v/>
      </c>
      <c r="C10" s="12">
        <f>IFERROR(IF(SUMIFS(tblDaily[Discharges],tblDaily[EntryDate],DATE(2026,1,4),tblDaily[WardCode],"BH")=0,"",SUMIFS(tblDaily[Discharges],tblDaily[EntryDate],DATE(2026,1,4),tblDaily[WardCode],"BH")),"")</f>
        <v/>
      </c>
      <c r="D10" s="12">
        <f>IFERROR(IF(SUMIFS(tblDaily[Deaths],tblDaily[EntryDate],DATE(2026,1,4),tblDaily[WardCode],"BH")=0,"",SUMIFS(tblDaily[Deaths],tblDaily[EntryDate],DATE(2026,1,4),tblDaily[WardCode],"BH")),"")</f>
        <v/>
      </c>
      <c r="E10" s="12">
        <f>IFERROR(IF(SUMIFS(tblDaily[DeathsUnder24Hrs],tblDaily[EntryDate],DATE(2026,1,4),tblDaily[WardCode],"BH")=0,"",SUMIFS(tblDaily[DeathsUnder24Hrs],tblDaily[EntryDate],DATE(2026,1,4),tblDaily[WardCode],"BH")),"")</f>
        <v/>
      </c>
      <c r="F10" s="12">
        <f>IFERROR(IF(SUMIFS(tblDaily[TransfersIn],tblDaily[EntryDate],DATE(2026,1,4),tblDaily[WardCode],"BH")=0,"",SUMIFS(tblDaily[TransfersIn],tblDaily[EntryDate],DATE(2026,1,4),tblDaily[WardCode],"BH")),"")</f>
        <v/>
      </c>
      <c r="G10" s="12">
        <f>IFERROR(IF(SUMIFS(tblDaily[TransfersOut],tblDaily[EntryDate],DATE(2026,1,4),tblDaily[WardCode],"BH")=0,"",SUMIFS(tblDaily[TransfersOut],tblDaily[EntryDate],DATE(2026,1,4),tblDaily[WardCode],"BH")),"")</f>
        <v/>
      </c>
      <c r="H10" s="12">
        <f>IFERROR(IF(SUMIFS(tblDaily[Remaining],tblDaily[EntryDate],DATE(2026,1,4),tblDaily[WardCode],"BH")=0,"",SUMIFS(tblDaily[Remaining],tblDaily[EntryDate],DATE(2026,1,4),tblDaily[WardCode],"BH")),"")</f>
        <v/>
      </c>
    </row>
    <row r="11">
      <c r="A11" s="12" t="n">
        <v>5</v>
      </c>
      <c r="B11" s="12">
        <f>IFERROR(IF(SUMIFS(tblDaily[Admissions],tblDaily[EntryDate],DATE(2026,1,5),tblDaily[WardCode],"BH")=0,"",SUMIFS(tblDaily[Admissions],tblDaily[EntryDate],DATE(2026,1,5),tblDaily[WardCode],"BH")),"")</f>
        <v/>
      </c>
      <c r="C11" s="12">
        <f>IFERROR(IF(SUMIFS(tblDaily[Discharges],tblDaily[EntryDate],DATE(2026,1,5),tblDaily[WardCode],"BH")=0,"",SUMIFS(tblDaily[Discharges],tblDaily[EntryDate],DATE(2026,1,5),tblDaily[WardCode],"BH")),"")</f>
        <v/>
      </c>
      <c r="D11" s="12">
        <f>IFERROR(IF(SUMIFS(tblDaily[Deaths],tblDaily[EntryDate],DATE(2026,1,5),tblDaily[WardCode],"BH")=0,"",SUMIFS(tblDaily[Deaths],tblDaily[EntryDate],DATE(2026,1,5),tblDaily[WardCode],"BH")),"")</f>
        <v/>
      </c>
      <c r="E11" s="12">
        <f>IFERROR(IF(SUMIFS(tblDaily[DeathsUnder24Hrs],tblDaily[EntryDate],DATE(2026,1,5),tblDaily[WardCode],"BH")=0,"",SUMIFS(tblDaily[DeathsUnder24Hrs],tblDaily[EntryDate],DATE(2026,1,5),tblDaily[WardCode],"BH")),"")</f>
        <v/>
      </c>
      <c r="F11" s="12">
        <f>IFERROR(IF(SUMIFS(tblDaily[TransfersIn],tblDaily[EntryDate],DATE(2026,1,5),tblDaily[WardCode],"BH")=0,"",SUMIFS(tblDaily[TransfersIn],tblDaily[EntryDate],DATE(2026,1,5),tblDaily[WardCode],"BH")),"")</f>
        <v/>
      </c>
      <c r="G11" s="12">
        <f>IFERROR(IF(SUMIFS(tblDaily[TransfersOut],tblDaily[EntryDate],DATE(2026,1,5),tblDaily[WardCode],"BH")=0,"",SUMIFS(tblDaily[TransfersOut],tblDaily[EntryDate],DATE(2026,1,5),tblDaily[WardCode],"BH")),"")</f>
        <v/>
      </c>
      <c r="H11" s="12">
        <f>IFERROR(IF(SUMIFS(tblDaily[Remaining],tblDaily[EntryDate],DATE(2026,1,5),tblDaily[WardCode],"BH")=0,"",SUMIFS(tblDaily[Remaining],tblDaily[EntryDate],DATE(2026,1,5),tblDaily[WardCode],"BH")),"")</f>
        <v/>
      </c>
    </row>
    <row r="12">
      <c r="A12" s="12" t="n">
        <v>6</v>
      </c>
      <c r="B12" s="12">
        <f>IFERROR(IF(SUMIFS(tblDaily[Admissions],tblDaily[EntryDate],DATE(2026,1,6),tblDaily[WardCode],"BH")=0,"",SUMIFS(tblDaily[Admissions],tblDaily[EntryDate],DATE(2026,1,6),tblDaily[WardCode],"BH")),"")</f>
        <v/>
      </c>
      <c r="C12" s="12">
        <f>IFERROR(IF(SUMIFS(tblDaily[Discharges],tblDaily[EntryDate],DATE(2026,1,6),tblDaily[WardCode],"BH")=0,"",SUMIFS(tblDaily[Discharges],tblDaily[EntryDate],DATE(2026,1,6),tblDaily[WardCode],"BH")),"")</f>
        <v/>
      </c>
      <c r="D12" s="12">
        <f>IFERROR(IF(SUMIFS(tblDaily[Deaths],tblDaily[EntryDate],DATE(2026,1,6),tblDaily[WardCode],"BH")=0,"",SUMIFS(tblDaily[Deaths],tblDaily[EntryDate],DATE(2026,1,6),tblDaily[WardCode],"BH")),"")</f>
        <v/>
      </c>
      <c r="E12" s="12">
        <f>IFERROR(IF(SUMIFS(tblDaily[DeathsUnder24Hrs],tblDaily[EntryDate],DATE(2026,1,6),tblDaily[WardCode],"BH")=0,"",SUMIFS(tblDaily[DeathsUnder24Hrs],tblDaily[EntryDate],DATE(2026,1,6),tblDaily[WardCode],"BH")),"")</f>
        <v/>
      </c>
      <c r="F12" s="12">
        <f>IFERROR(IF(SUMIFS(tblDaily[TransfersIn],tblDaily[EntryDate],DATE(2026,1,6),tblDaily[WardCode],"BH")=0,"",SUMIFS(tblDaily[TransfersIn],tblDaily[EntryDate],DATE(2026,1,6),tblDaily[WardCode],"BH")),"")</f>
        <v/>
      </c>
      <c r="G12" s="12">
        <f>IFERROR(IF(SUMIFS(tblDaily[TransfersOut],tblDaily[EntryDate],DATE(2026,1,6),tblDaily[WardCode],"BH")=0,"",SUMIFS(tblDaily[TransfersOut],tblDaily[EntryDate],DATE(2026,1,6),tblDaily[WardCode],"BH")),"")</f>
        <v/>
      </c>
      <c r="H12" s="12">
        <f>IFERROR(IF(SUMIFS(tblDaily[Remaining],tblDaily[EntryDate],DATE(2026,1,6),tblDaily[WardCode],"BH")=0,"",SUMIFS(tblDaily[Remaining],tblDaily[EntryDate],DATE(2026,1,6),tblDaily[WardCode],"BH")),"")</f>
        <v/>
      </c>
    </row>
    <row r="13">
      <c r="A13" s="12" t="n">
        <v>7</v>
      </c>
      <c r="B13" s="12">
        <f>IFERROR(IF(SUMIFS(tblDaily[Admissions],tblDaily[EntryDate],DATE(2026,1,7),tblDaily[WardCode],"BH")=0,"",SUMIFS(tblDaily[Admissions],tblDaily[EntryDate],DATE(2026,1,7),tblDaily[WardCode],"BH")),"")</f>
        <v/>
      </c>
      <c r="C13" s="12">
        <f>IFERROR(IF(SUMIFS(tblDaily[Discharges],tblDaily[EntryDate],DATE(2026,1,7),tblDaily[WardCode],"BH")=0,"",SUMIFS(tblDaily[Discharges],tblDaily[EntryDate],DATE(2026,1,7),tblDaily[WardCode],"BH")),"")</f>
        <v/>
      </c>
      <c r="D13" s="12">
        <f>IFERROR(IF(SUMIFS(tblDaily[Deaths],tblDaily[EntryDate],DATE(2026,1,7),tblDaily[WardCode],"BH")=0,"",SUMIFS(tblDaily[Deaths],tblDaily[EntryDate],DATE(2026,1,7),tblDaily[WardCode],"BH")),"")</f>
        <v/>
      </c>
      <c r="E13" s="12">
        <f>IFERROR(IF(SUMIFS(tblDaily[DeathsUnder24Hrs],tblDaily[EntryDate],DATE(2026,1,7),tblDaily[WardCode],"BH")=0,"",SUMIFS(tblDaily[DeathsUnder24Hrs],tblDaily[EntryDate],DATE(2026,1,7),tblDaily[WardCode],"BH")),"")</f>
        <v/>
      </c>
      <c r="F13" s="12">
        <f>IFERROR(IF(SUMIFS(tblDaily[TransfersIn],tblDaily[EntryDate],DATE(2026,1,7),tblDaily[WardCode],"BH")=0,"",SUMIFS(tblDaily[TransfersIn],tblDaily[EntryDate],DATE(2026,1,7),tblDaily[WardCode],"BH")),"")</f>
        <v/>
      </c>
      <c r="G13" s="12">
        <f>IFERROR(IF(SUMIFS(tblDaily[TransfersOut],tblDaily[EntryDate],DATE(2026,1,7),tblDaily[WardCode],"BH")=0,"",SUMIFS(tblDaily[TransfersOut],tblDaily[EntryDate],DATE(2026,1,7),tblDaily[WardCode],"BH")),"")</f>
        <v/>
      </c>
      <c r="H13" s="12">
        <f>IFERROR(IF(SUMIFS(tblDaily[Remaining],tblDaily[EntryDate],DATE(2026,1,7),tblDaily[WardCode],"BH")=0,"",SUMIFS(tblDaily[Remaining],tblDaily[EntryDate],DATE(2026,1,7),tblDaily[WardCode],"BH")),"")</f>
        <v/>
      </c>
    </row>
    <row r="14">
      <c r="A14" s="12" t="n">
        <v>8</v>
      </c>
      <c r="B14" s="12">
        <f>IFERROR(IF(SUMIFS(tblDaily[Admissions],tblDaily[EntryDate],DATE(2026,1,8),tblDaily[WardCode],"BH")=0,"",SUMIFS(tblDaily[Admissions],tblDaily[EntryDate],DATE(2026,1,8),tblDaily[WardCode],"BH")),"")</f>
        <v/>
      </c>
      <c r="C14" s="12">
        <f>IFERROR(IF(SUMIFS(tblDaily[Discharges],tblDaily[EntryDate],DATE(2026,1,8),tblDaily[WardCode],"BH")=0,"",SUMIFS(tblDaily[Discharges],tblDaily[EntryDate],DATE(2026,1,8),tblDaily[WardCode],"BH")),"")</f>
        <v/>
      </c>
      <c r="D14" s="12">
        <f>IFERROR(IF(SUMIFS(tblDaily[Deaths],tblDaily[EntryDate],DATE(2026,1,8),tblDaily[WardCode],"BH")=0,"",SUMIFS(tblDaily[Deaths],tblDaily[EntryDate],DATE(2026,1,8),tblDaily[WardCode],"BH")),"")</f>
        <v/>
      </c>
      <c r="E14" s="12">
        <f>IFERROR(IF(SUMIFS(tblDaily[DeathsUnder24Hrs],tblDaily[EntryDate],DATE(2026,1,8),tblDaily[WardCode],"BH")=0,"",SUMIFS(tblDaily[DeathsUnder24Hrs],tblDaily[EntryDate],DATE(2026,1,8),tblDaily[WardCode],"BH")),"")</f>
        <v/>
      </c>
      <c r="F14" s="12">
        <f>IFERROR(IF(SUMIFS(tblDaily[TransfersIn],tblDaily[EntryDate],DATE(2026,1,8),tblDaily[WardCode],"BH")=0,"",SUMIFS(tblDaily[TransfersIn],tblDaily[EntryDate],DATE(2026,1,8),tblDaily[WardCode],"BH")),"")</f>
        <v/>
      </c>
      <c r="G14" s="12">
        <f>IFERROR(IF(SUMIFS(tblDaily[TransfersOut],tblDaily[EntryDate],DATE(2026,1,8),tblDaily[WardCode],"BH")=0,"",SUMIFS(tblDaily[TransfersOut],tblDaily[EntryDate],DATE(2026,1,8),tblDaily[WardCode],"BH")),"")</f>
        <v/>
      </c>
      <c r="H14" s="12">
        <f>IFERROR(IF(SUMIFS(tblDaily[Remaining],tblDaily[EntryDate],DATE(2026,1,8),tblDaily[WardCode],"BH")=0,"",SUMIFS(tblDaily[Remaining],tblDaily[EntryDate],DATE(2026,1,8),tblDaily[WardCode],"BH")),"")</f>
        <v/>
      </c>
    </row>
    <row r="15">
      <c r="A15" s="12" t="n">
        <v>9</v>
      </c>
      <c r="B15" s="12">
        <f>IFERROR(IF(SUMIFS(tblDaily[Admissions],tblDaily[EntryDate],DATE(2026,1,9),tblDaily[WardCode],"BH")=0,"",SUMIFS(tblDaily[Admissions],tblDaily[EntryDate],DATE(2026,1,9),tblDaily[WardCode],"BH")),"")</f>
        <v/>
      </c>
      <c r="C15" s="12">
        <f>IFERROR(IF(SUMIFS(tblDaily[Discharges],tblDaily[EntryDate],DATE(2026,1,9),tblDaily[WardCode],"BH")=0,"",SUMIFS(tblDaily[Discharges],tblDaily[EntryDate],DATE(2026,1,9),tblDaily[WardCode],"BH")),"")</f>
        <v/>
      </c>
      <c r="D15" s="12">
        <f>IFERROR(IF(SUMIFS(tblDaily[Deaths],tblDaily[EntryDate],DATE(2026,1,9),tblDaily[WardCode],"BH")=0,"",SUMIFS(tblDaily[Deaths],tblDaily[EntryDate],DATE(2026,1,9),tblDaily[WardCode],"BH")),"")</f>
        <v/>
      </c>
      <c r="E15" s="12">
        <f>IFERROR(IF(SUMIFS(tblDaily[DeathsUnder24Hrs],tblDaily[EntryDate],DATE(2026,1,9),tblDaily[WardCode],"BH")=0,"",SUMIFS(tblDaily[DeathsUnder24Hrs],tblDaily[EntryDate],DATE(2026,1,9),tblDaily[WardCode],"BH")),"")</f>
        <v/>
      </c>
      <c r="F15" s="12">
        <f>IFERROR(IF(SUMIFS(tblDaily[TransfersIn],tblDaily[EntryDate],DATE(2026,1,9),tblDaily[WardCode],"BH")=0,"",SUMIFS(tblDaily[TransfersIn],tblDaily[EntryDate],DATE(2026,1,9),tblDaily[WardCode],"BH")),"")</f>
        <v/>
      </c>
      <c r="G15" s="12">
        <f>IFERROR(IF(SUMIFS(tblDaily[TransfersOut],tblDaily[EntryDate],DATE(2026,1,9),tblDaily[WardCode],"BH")=0,"",SUMIFS(tblDaily[TransfersOut],tblDaily[EntryDate],DATE(2026,1,9),tblDaily[WardCode],"BH")),"")</f>
        <v/>
      </c>
      <c r="H15" s="12">
        <f>IFERROR(IF(SUMIFS(tblDaily[Remaining],tblDaily[EntryDate],DATE(2026,1,9),tblDaily[WardCode],"BH")=0,"",SUMIFS(tblDaily[Remaining],tblDaily[EntryDate],DATE(2026,1,9),tblDaily[WardCode],"BH")),"")</f>
        <v/>
      </c>
    </row>
    <row r="16">
      <c r="A16" s="12" t="n">
        <v>10</v>
      </c>
      <c r="B16" s="12">
        <f>IFERROR(IF(SUMIFS(tblDaily[Admissions],tblDaily[EntryDate],DATE(2026,1,10),tblDaily[WardCode],"BH")=0,"",SUMIFS(tblDaily[Admissions],tblDaily[EntryDate],DATE(2026,1,10),tblDaily[WardCode],"BH")),"")</f>
        <v/>
      </c>
      <c r="C16" s="12">
        <f>IFERROR(IF(SUMIFS(tblDaily[Discharges],tblDaily[EntryDate],DATE(2026,1,10),tblDaily[WardCode],"BH")=0,"",SUMIFS(tblDaily[Discharges],tblDaily[EntryDate],DATE(2026,1,10),tblDaily[WardCode],"BH")),"")</f>
        <v/>
      </c>
      <c r="D16" s="12">
        <f>IFERROR(IF(SUMIFS(tblDaily[Deaths],tblDaily[EntryDate],DATE(2026,1,10),tblDaily[WardCode],"BH")=0,"",SUMIFS(tblDaily[Deaths],tblDaily[EntryDate],DATE(2026,1,10),tblDaily[WardCode],"BH")),"")</f>
        <v/>
      </c>
      <c r="E16" s="12">
        <f>IFERROR(IF(SUMIFS(tblDaily[DeathsUnder24Hrs],tblDaily[EntryDate],DATE(2026,1,10),tblDaily[WardCode],"BH")=0,"",SUMIFS(tblDaily[DeathsUnder24Hrs],tblDaily[EntryDate],DATE(2026,1,10),tblDaily[WardCode],"BH")),"")</f>
        <v/>
      </c>
      <c r="F16" s="12">
        <f>IFERROR(IF(SUMIFS(tblDaily[TransfersIn],tblDaily[EntryDate],DATE(2026,1,10),tblDaily[WardCode],"BH")=0,"",SUMIFS(tblDaily[TransfersIn],tblDaily[EntryDate],DATE(2026,1,10),tblDaily[WardCode],"BH")),"")</f>
        <v/>
      </c>
      <c r="G16" s="12">
        <f>IFERROR(IF(SUMIFS(tblDaily[TransfersOut],tblDaily[EntryDate],DATE(2026,1,10),tblDaily[WardCode],"BH")=0,"",SUMIFS(tblDaily[TransfersOut],tblDaily[EntryDate],DATE(2026,1,10),tblDaily[WardCode],"BH")),"")</f>
        <v/>
      </c>
      <c r="H16" s="12">
        <f>IFERROR(IF(SUMIFS(tblDaily[Remaining],tblDaily[EntryDate],DATE(2026,1,10),tblDaily[WardCode],"BH")=0,"",SUMIFS(tblDaily[Remaining],tblDaily[EntryDate],DATE(2026,1,10),tblDaily[WardCode],"BH")),"")</f>
        <v/>
      </c>
    </row>
    <row r="17">
      <c r="A17" s="12" t="n">
        <v>11</v>
      </c>
      <c r="B17" s="12">
        <f>IFERROR(IF(SUMIFS(tblDaily[Admissions],tblDaily[EntryDate],DATE(2026,1,11),tblDaily[WardCode],"BH")=0,"",SUMIFS(tblDaily[Admissions],tblDaily[EntryDate],DATE(2026,1,11),tblDaily[WardCode],"BH")),"")</f>
        <v/>
      </c>
      <c r="C17" s="12">
        <f>IFERROR(IF(SUMIFS(tblDaily[Discharges],tblDaily[EntryDate],DATE(2026,1,11),tblDaily[WardCode],"BH")=0,"",SUMIFS(tblDaily[Discharges],tblDaily[EntryDate],DATE(2026,1,11),tblDaily[WardCode],"BH")),"")</f>
        <v/>
      </c>
      <c r="D17" s="12">
        <f>IFERROR(IF(SUMIFS(tblDaily[Deaths],tblDaily[EntryDate],DATE(2026,1,11),tblDaily[WardCode],"BH")=0,"",SUMIFS(tblDaily[Deaths],tblDaily[EntryDate],DATE(2026,1,11),tblDaily[WardCode],"BH")),"")</f>
        <v/>
      </c>
      <c r="E17" s="12">
        <f>IFERROR(IF(SUMIFS(tblDaily[DeathsUnder24Hrs],tblDaily[EntryDate],DATE(2026,1,11),tblDaily[WardCode],"BH")=0,"",SUMIFS(tblDaily[DeathsUnder24Hrs],tblDaily[EntryDate],DATE(2026,1,11),tblDaily[WardCode],"BH")),"")</f>
        <v/>
      </c>
      <c r="F17" s="12">
        <f>IFERROR(IF(SUMIFS(tblDaily[TransfersIn],tblDaily[EntryDate],DATE(2026,1,11),tblDaily[WardCode],"BH")=0,"",SUMIFS(tblDaily[TransfersIn],tblDaily[EntryDate],DATE(2026,1,11),tblDaily[WardCode],"BH")),"")</f>
        <v/>
      </c>
      <c r="G17" s="12">
        <f>IFERROR(IF(SUMIFS(tblDaily[TransfersOut],tblDaily[EntryDate],DATE(2026,1,11),tblDaily[WardCode],"BH")=0,"",SUMIFS(tblDaily[TransfersOut],tblDaily[EntryDate],DATE(2026,1,11),tblDaily[WardCode],"BH")),"")</f>
        <v/>
      </c>
      <c r="H17" s="12">
        <f>IFERROR(IF(SUMIFS(tblDaily[Remaining],tblDaily[EntryDate],DATE(2026,1,11),tblDaily[WardCode],"BH")=0,"",SUMIFS(tblDaily[Remaining],tblDaily[EntryDate],DATE(2026,1,11),tblDaily[WardCode],"BH")),"")</f>
        <v/>
      </c>
    </row>
    <row r="18">
      <c r="A18" s="12" t="n">
        <v>12</v>
      </c>
      <c r="B18" s="12">
        <f>IFERROR(IF(SUMIFS(tblDaily[Admissions],tblDaily[EntryDate],DATE(2026,1,12),tblDaily[WardCode],"BH")=0,"",SUMIFS(tblDaily[Admissions],tblDaily[EntryDate],DATE(2026,1,12),tblDaily[WardCode],"BH")),"")</f>
        <v/>
      </c>
      <c r="C18" s="12">
        <f>IFERROR(IF(SUMIFS(tblDaily[Discharges],tblDaily[EntryDate],DATE(2026,1,12),tblDaily[WardCode],"BH")=0,"",SUMIFS(tblDaily[Discharges],tblDaily[EntryDate],DATE(2026,1,12),tblDaily[WardCode],"BH")),"")</f>
        <v/>
      </c>
      <c r="D18" s="12">
        <f>IFERROR(IF(SUMIFS(tblDaily[Deaths],tblDaily[EntryDate],DATE(2026,1,12),tblDaily[WardCode],"BH")=0,"",SUMIFS(tblDaily[Deaths],tblDaily[EntryDate],DATE(2026,1,12),tblDaily[WardCode],"BH")),"")</f>
        <v/>
      </c>
      <c r="E18" s="12">
        <f>IFERROR(IF(SUMIFS(tblDaily[DeathsUnder24Hrs],tblDaily[EntryDate],DATE(2026,1,12),tblDaily[WardCode],"BH")=0,"",SUMIFS(tblDaily[DeathsUnder24Hrs],tblDaily[EntryDate],DATE(2026,1,12),tblDaily[WardCode],"BH")),"")</f>
        <v/>
      </c>
      <c r="F18" s="12">
        <f>IFERROR(IF(SUMIFS(tblDaily[TransfersIn],tblDaily[EntryDate],DATE(2026,1,12),tblDaily[WardCode],"BH")=0,"",SUMIFS(tblDaily[TransfersIn],tblDaily[EntryDate],DATE(2026,1,12),tblDaily[WardCode],"BH")),"")</f>
        <v/>
      </c>
      <c r="G18" s="12">
        <f>IFERROR(IF(SUMIFS(tblDaily[TransfersOut],tblDaily[EntryDate],DATE(2026,1,12),tblDaily[WardCode],"BH")=0,"",SUMIFS(tblDaily[TransfersOut],tblDaily[EntryDate],DATE(2026,1,12),tblDaily[WardCode],"BH")),"")</f>
        <v/>
      </c>
      <c r="H18" s="12">
        <f>IFERROR(IF(SUMIFS(tblDaily[Remaining],tblDaily[EntryDate],DATE(2026,1,12),tblDaily[WardCode],"BH")=0,"",SUMIFS(tblDaily[Remaining],tblDaily[EntryDate],DATE(2026,1,12),tblDaily[WardCode],"BH")),"")</f>
        <v/>
      </c>
    </row>
    <row r="19">
      <c r="A19" s="12" t="n">
        <v>13</v>
      </c>
      <c r="B19" s="12">
        <f>IFERROR(IF(SUMIFS(tblDaily[Admissions],tblDaily[EntryDate],DATE(2026,1,13),tblDaily[WardCode],"BH")=0,"",SUMIFS(tblDaily[Admissions],tblDaily[EntryDate],DATE(2026,1,13),tblDaily[WardCode],"BH")),"")</f>
        <v/>
      </c>
      <c r="C19" s="12">
        <f>IFERROR(IF(SUMIFS(tblDaily[Discharges],tblDaily[EntryDate],DATE(2026,1,13),tblDaily[WardCode],"BH")=0,"",SUMIFS(tblDaily[Discharges],tblDaily[EntryDate],DATE(2026,1,13),tblDaily[WardCode],"BH")),"")</f>
        <v/>
      </c>
      <c r="D19" s="12">
        <f>IFERROR(IF(SUMIFS(tblDaily[Deaths],tblDaily[EntryDate],DATE(2026,1,13),tblDaily[WardCode],"BH")=0,"",SUMIFS(tblDaily[Deaths],tblDaily[EntryDate],DATE(2026,1,13),tblDaily[WardCode],"BH")),"")</f>
        <v/>
      </c>
      <c r="E19" s="12">
        <f>IFERROR(IF(SUMIFS(tblDaily[DeathsUnder24Hrs],tblDaily[EntryDate],DATE(2026,1,13),tblDaily[WardCode],"BH")=0,"",SUMIFS(tblDaily[DeathsUnder24Hrs],tblDaily[EntryDate],DATE(2026,1,13),tblDaily[WardCode],"BH")),"")</f>
        <v/>
      </c>
      <c r="F19" s="12">
        <f>IFERROR(IF(SUMIFS(tblDaily[TransfersIn],tblDaily[EntryDate],DATE(2026,1,13),tblDaily[WardCode],"BH")=0,"",SUMIFS(tblDaily[TransfersIn],tblDaily[EntryDate],DATE(2026,1,13),tblDaily[WardCode],"BH")),"")</f>
        <v/>
      </c>
      <c r="G19" s="12">
        <f>IFERROR(IF(SUMIFS(tblDaily[TransfersOut],tblDaily[EntryDate],DATE(2026,1,13),tblDaily[WardCode],"BH")=0,"",SUMIFS(tblDaily[TransfersOut],tblDaily[EntryDate],DATE(2026,1,13),tblDaily[WardCode],"BH")),"")</f>
        <v/>
      </c>
      <c r="H19" s="12">
        <f>IFERROR(IF(SUMIFS(tblDaily[Remaining],tblDaily[EntryDate],DATE(2026,1,13),tblDaily[WardCode],"BH")=0,"",SUMIFS(tblDaily[Remaining],tblDaily[EntryDate],DATE(2026,1,13),tblDaily[WardCode],"BH")),"")</f>
        <v/>
      </c>
    </row>
    <row r="20">
      <c r="A20" s="12" t="n">
        <v>14</v>
      </c>
      <c r="B20" s="12">
        <f>IFERROR(IF(SUMIFS(tblDaily[Admissions],tblDaily[EntryDate],DATE(2026,1,14),tblDaily[WardCode],"BH")=0,"",SUMIFS(tblDaily[Admissions],tblDaily[EntryDate],DATE(2026,1,14),tblDaily[WardCode],"BH")),"")</f>
        <v/>
      </c>
      <c r="C20" s="12">
        <f>IFERROR(IF(SUMIFS(tblDaily[Discharges],tblDaily[EntryDate],DATE(2026,1,14),tblDaily[WardCode],"BH")=0,"",SUMIFS(tblDaily[Discharges],tblDaily[EntryDate],DATE(2026,1,14),tblDaily[WardCode],"BH")),"")</f>
        <v/>
      </c>
      <c r="D20" s="12">
        <f>IFERROR(IF(SUMIFS(tblDaily[Deaths],tblDaily[EntryDate],DATE(2026,1,14),tblDaily[WardCode],"BH")=0,"",SUMIFS(tblDaily[Deaths],tblDaily[EntryDate],DATE(2026,1,14),tblDaily[WardCode],"BH")),"")</f>
        <v/>
      </c>
      <c r="E20" s="12">
        <f>IFERROR(IF(SUMIFS(tblDaily[DeathsUnder24Hrs],tblDaily[EntryDate],DATE(2026,1,14),tblDaily[WardCode],"BH")=0,"",SUMIFS(tblDaily[DeathsUnder24Hrs],tblDaily[EntryDate],DATE(2026,1,14),tblDaily[WardCode],"BH")),"")</f>
        <v/>
      </c>
      <c r="F20" s="12">
        <f>IFERROR(IF(SUMIFS(tblDaily[TransfersIn],tblDaily[EntryDate],DATE(2026,1,14),tblDaily[WardCode],"BH")=0,"",SUMIFS(tblDaily[TransfersIn],tblDaily[EntryDate],DATE(2026,1,14),tblDaily[WardCode],"BH")),"")</f>
        <v/>
      </c>
      <c r="G20" s="12">
        <f>IFERROR(IF(SUMIFS(tblDaily[TransfersOut],tblDaily[EntryDate],DATE(2026,1,14),tblDaily[WardCode],"BH")=0,"",SUMIFS(tblDaily[TransfersOut],tblDaily[EntryDate],DATE(2026,1,14),tblDaily[WardCode],"BH")),"")</f>
        <v/>
      </c>
      <c r="H20" s="12">
        <f>IFERROR(IF(SUMIFS(tblDaily[Remaining],tblDaily[EntryDate],DATE(2026,1,14),tblDaily[WardCode],"BH")=0,"",SUMIFS(tblDaily[Remaining],tblDaily[EntryDate],DATE(2026,1,14),tblDaily[WardCode],"BH")),"")</f>
        <v/>
      </c>
    </row>
    <row r="21">
      <c r="A21" s="12" t="n">
        <v>15</v>
      </c>
      <c r="B21" s="12">
        <f>IFERROR(IF(SUMIFS(tblDaily[Admissions],tblDaily[EntryDate],DATE(2026,1,15),tblDaily[WardCode],"BH")=0,"",SUMIFS(tblDaily[Admissions],tblDaily[EntryDate],DATE(2026,1,15),tblDaily[WardCode],"BH")),"")</f>
        <v/>
      </c>
      <c r="C21" s="12">
        <f>IFERROR(IF(SUMIFS(tblDaily[Discharges],tblDaily[EntryDate],DATE(2026,1,15),tblDaily[WardCode],"BH")=0,"",SUMIFS(tblDaily[Discharges],tblDaily[EntryDate],DATE(2026,1,15),tblDaily[WardCode],"BH")),"")</f>
        <v/>
      </c>
      <c r="D21" s="12">
        <f>IFERROR(IF(SUMIFS(tblDaily[Deaths],tblDaily[EntryDate],DATE(2026,1,15),tblDaily[WardCode],"BH")=0,"",SUMIFS(tblDaily[Deaths],tblDaily[EntryDate],DATE(2026,1,15),tblDaily[WardCode],"BH")),"")</f>
        <v/>
      </c>
      <c r="E21" s="12">
        <f>IFERROR(IF(SUMIFS(tblDaily[DeathsUnder24Hrs],tblDaily[EntryDate],DATE(2026,1,15),tblDaily[WardCode],"BH")=0,"",SUMIFS(tblDaily[DeathsUnder24Hrs],tblDaily[EntryDate],DATE(2026,1,15),tblDaily[WardCode],"BH")),"")</f>
        <v/>
      </c>
      <c r="F21" s="12">
        <f>IFERROR(IF(SUMIFS(tblDaily[TransfersIn],tblDaily[EntryDate],DATE(2026,1,15),tblDaily[WardCode],"BH")=0,"",SUMIFS(tblDaily[TransfersIn],tblDaily[EntryDate],DATE(2026,1,15),tblDaily[WardCode],"BH")),"")</f>
        <v/>
      </c>
      <c r="G21" s="12">
        <f>IFERROR(IF(SUMIFS(tblDaily[TransfersOut],tblDaily[EntryDate],DATE(2026,1,15),tblDaily[WardCode],"BH")=0,"",SUMIFS(tblDaily[TransfersOut],tblDaily[EntryDate],DATE(2026,1,15),tblDaily[WardCode],"BH")),"")</f>
        <v/>
      </c>
      <c r="H21" s="12">
        <f>IFERROR(IF(SUMIFS(tblDaily[Remaining],tblDaily[EntryDate],DATE(2026,1,15),tblDaily[WardCode],"BH")=0,"",SUMIFS(tblDaily[Remaining],tblDaily[EntryDate],DATE(2026,1,15),tblDaily[WardCode],"BH")),"")</f>
        <v/>
      </c>
    </row>
    <row r="22">
      <c r="A22" s="12" t="n">
        <v>16</v>
      </c>
      <c r="B22" s="12">
        <f>IFERROR(IF(SUMIFS(tblDaily[Admissions],tblDaily[EntryDate],DATE(2026,1,16),tblDaily[WardCode],"BH")=0,"",SUMIFS(tblDaily[Admissions],tblDaily[EntryDate],DATE(2026,1,16),tblDaily[WardCode],"BH")),"")</f>
        <v/>
      </c>
      <c r="C22" s="12">
        <f>IFERROR(IF(SUMIFS(tblDaily[Discharges],tblDaily[EntryDate],DATE(2026,1,16),tblDaily[WardCode],"BH")=0,"",SUMIFS(tblDaily[Discharges],tblDaily[EntryDate],DATE(2026,1,16),tblDaily[WardCode],"BH")),"")</f>
        <v/>
      </c>
      <c r="D22" s="12">
        <f>IFERROR(IF(SUMIFS(tblDaily[Deaths],tblDaily[EntryDate],DATE(2026,1,16),tblDaily[WardCode],"BH")=0,"",SUMIFS(tblDaily[Deaths],tblDaily[EntryDate],DATE(2026,1,16),tblDaily[WardCode],"BH")),"")</f>
        <v/>
      </c>
      <c r="E22" s="12">
        <f>IFERROR(IF(SUMIFS(tblDaily[DeathsUnder24Hrs],tblDaily[EntryDate],DATE(2026,1,16),tblDaily[WardCode],"BH")=0,"",SUMIFS(tblDaily[DeathsUnder24Hrs],tblDaily[EntryDate],DATE(2026,1,16),tblDaily[WardCode],"BH")),"")</f>
        <v/>
      </c>
      <c r="F22" s="12">
        <f>IFERROR(IF(SUMIFS(tblDaily[TransfersIn],tblDaily[EntryDate],DATE(2026,1,16),tblDaily[WardCode],"BH")=0,"",SUMIFS(tblDaily[TransfersIn],tblDaily[EntryDate],DATE(2026,1,16),tblDaily[WardCode],"BH")),"")</f>
        <v/>
      </c>
      <c r="G22" s="12">
        <f>IFERROR(IF(SUMIFS(tblDaily[TransfersOut],tblDaily[EntryDate],DATE(2026,1,16),tblDaily[WardCode],"BH")=0,"",SUMIFS(tblDaily[TransfersOut],tblDaily[EntryDate],DATE(2026,1,16),tblDaily[WardCode],"BH")),"")</f>
        <v/>
      </c>
      <c r="H22" s="12">
        <f>IFERROR(IF(SUMIFS(tblDaily[Remaining],tblDaily[EntryDate],DATE(2026,1,16),tblDaily[WardCode],"BH")=0,"",SUMIFS(tblDaily[Remaining],tblDaily[EntryDate],DATE(2026,1,16),tblDaily[WardCode],"BH")),"")</f>
        <v/>
      </c>
    </row>
    <row r="23">
      <c r="A23" s="12" t="n">
        <v>17</v>
      </c>
      <c r="B23" s="12">
        <f>IFERROR(IF(SUMIFS(tblDaily[Admissions],tblDaily[EntryDate],DATE(2026,1,17),tblDaily[WardCode],"BH")=0,"",SUMIFS(tblDaily[Admissions],tblDaily[EntryDate],DATE(2026,1,17),tblDaily[WardCode],"BH")),"")</f>
        <v/>
      </c>
      <c r="C23" s="12">
        <f>IFERROR(IF(SUMIFS(tblDaily[Discharges],tblDaily[EntryDate],DATE(2026,1,17),tblDaily[WardCode],"BH")=0,"",SUMIFS(tblDaily[Discharges],tblDaily[EntryDate],DATE(2026,1,17),tblDaily[WardCode],"BH")),"")</f>
        <v/>
      </c>
      <c r="D23" s="12">
        <f>IFERROR(IF(SUMIFS(tblDaily[Deaths],tblDaily[EntryDate],DATE(2026,1,17),tblDaily[WardCode],"BH")=0,"",SUMIFS(tblDaily[Deaths],tblDaily[EntryDate],DATE(2026,1,17),tblDaily[WardCode],"BH")),"")</f>
        <v/>
      </c>
      <c r="E23" s="12">
        <f>IFERROR(IF(SUMIFS(tblDaily[DeathsUnder24Hrs],tblDaily[EntryDate],DATE(2026,1,17),tblDaily[WardCode],"BH")=0,"",SUMIFS(tblDaily[DeathsUnder24Hrs],tblDaily[EntryDate],DATE(2026,1,17),tblDaily[WardCode],"BH")),"")</f>
        <v/>
      </c>
      <c r="F23" s="12">
        <f>IFERROR(IF(SUMIFS(tblDaily[TransfersIn],tblDaily[EntryDate],DATE(2026,1,17),tblDaily[WardCode],"BH")=0,"",SUMIFS(tblDaily[TransfersIn],tblDaily[EntryDate],DATE(2026,1,17),tblDaily[WardCode],"BH")),"")</f>
        <v/>
      </c>
      <c r="G23" s="12">
        <f>IFERROR(IF(SUMIFS(tblDaily[TransfersOut],tblDaily[EntryDate],DATE(2026,1,17),tblDaily[WardCode],"BH")=0,"",SUMIFS(tblDaily[TransfersOut],tblDaily[EntryDate],DATE(2026,1,17),tblDaily[WardCode],"BH")),"")</f>
        <v/>
      </c>
      <c r="H23" s="12">
        <f>IFERROR(IF(SUMIFS(tblDaily[Remaining],tblDaily[EntryDate],DATE(2026,1,17),tblDaily[WardCode],"BH")=0,"",SUMIFS(tblDaily[Remaining],tblDaily[EntryDate],DATE(2026,1,17),tblDaily[WardCode],"BH")),"")</f>
        <v/>
      </c>
    </row>
    <row r="24">
      <c r="A24" s="12" t="n">
        <v>18</v>
      </c>
      <c r="B24" s="12">
        <f>IFERROR(IF(SUMIFS(tblDaily[Admissions],tblDaily[EntryDate],DATE(2026,1,18),tblDaily[WardCode],"BH")=0,"",SUMIFS(tblDaily[Admissions],tblDaily[EntryDate],DATE(2026,1,18),tblDaily[WardCode],"BH")),"")</f>
        <v/>
      </c>
      <c r="C24" s="12">
        <f>IFERROR(IF(SUMIFS(tblDaily[Discharges],tblDaily[EntryDate],DATE(2026,1,18),tblDaily[WardCode],"BH")=0,"",SUMIFS(tblDaily[Discharges],tblDaily[EntryDate],DATE(2026,1,18),tblDaily[WardCode],"BH")),"")</f>
        <v/>
      </c>
      <c r="D24" s="12">
        <f>IFERROR(IF(SUMIFS(tblDaily[Deaths],tblDaily[EntryDate],DATE(2026,1,18),tblDaily[WardCode],"BH")=0,"",SUMIFS(tblDaily[Deaths],tblDaily[EntryDate],DATE(2026,1,18),tblDaily[WardCode],"BH")),"")</f>
        <v/>
      </c>
      <c r="E24" s="12">
        <f>IFERROR(IF(SUMIFS(tblDaily[DeathsUnder24Hrs],tblDaily[EntryDate],DATE(2026,1,18),tblDaily[WardCode],"BH")=0,"",SUMIFS(tblDaily[DeathsUnder24Hrs],tblDaily[EntryDate],DATE(2026,1,18),tblDaily[WardCode],"BH")),"")</f>
        <v/>
      </c>
      <c r="F24" s="12">
        <f>IFERROR(IF(SUMIFS(tblDaily[TransfersIn],tblDaily[EntryDate],DATE(2026,1,18),tblDaily[WardCode],"BH")=0,"",SUMIFS(tblDaily[TransfersIn],tblDaily[EntryDate],DATE(2026,1,18),tblDaily[WardCode],"BH")),"")</f>
        <v/>
      </c>
      <c r="G24" s="12">
        <f>IFERROR(IF(SUMIFS(tblDaily[TransfersOut],tblDaily[EntryDate],DATE(2026,1,18),tblDaily[WardCode],"BH")=0,"",SUMIFS(tblDaily[TransfersOut],tblDaily[EntryDate],DATE(2026,1,18),tblDaily[WardCode],"BH")),"")</f>
        <v/>
      </c>
      <c r="H24" s="12">
        <f>IFERROR(IF(SUMIFS(tblDaily[Remaining],tblDaily[EntryDate],DATE(2026,1,18),tblDaily[WardCode],"BH")=0,"",SUMIFS(tblDaily[Remaining],tblDaily[EntryDate],DATE(2026,1,18),tblDaily[WardCode],"BH")),"")</f>
        <v/>
      </c>
    </row>
    <row r="25">
      <c r="A25" s="12" t="n">
        <v>19</v>
      </c>
      <c r="B25" s="12">
        <f>IFERROR(IF(SUMIFS(tblDaily[Admissions],tblDaily[EntryDate],DATE(2026,1,19),tblDaily[WardCode],"BH")=0,"",SUMIFS(tblDaily[Admissions],tblDaily[EntryDate],DATE(2026,1,19),tblDaily[WardCode],"BH")),"")</f>
        <v/>
      </c>
      <c r="C25" s="12">
        <f>IFERROR(IF(SUMIFS(tblDaily[Discharges],tblDaily[EntryDate],DATE(2026,1,19),tblDaily[WardCode],"BH")=0,"",SUMIFS(tblDaily[Discharges],tblDaily[EntryDate],DATE(2026,1,19),tblDaily[WardCode],"BH")),"")</f>
        <v/>
      </c>
      <c r="D25" s="12">
        <f>IFERROR(IF(SUMIFS(tblDaily[Deaths],tblDaily[EntryDate],DATE(2026,1,19),tblDaily[WardCode],"BH")=0,"",SUMIFS(tblDaily[Deaths],tblDaily[EntryDate],DATE(2026,1,19),tblDaily[WardCode],"BH")),"")</f>
        <v/>
      </c>
      <c r="E25" s="12">
        <f>IFERROR(IF(SUMIFS(tblDaily[DeathsUnder24Hrs],tblDaily[EntryDate],DATE(2026,1,19),tblDaily[WardCode],"BH")=0,"",SUMIFS(tblDaily[DeathsUnder24Hrs],tblDaily[EntryDate],DATE(2026,1,19),tblDaily[WardCode],"BH")),"")</f>
        <v/>
      </c>
      <c r="F25" s="12">
        <f>IFERROR(IF(SUMIFS(tblDaily[TransfersIn],tblDaily[EntryDate],DATE(2026,1,19),tblDaily[WardCode],"BH")=0,"",SUMIFS(tblDaily[TransfersIn],tblDaily[EntryDate],DATE(2026,1,19),tblDaily[WardCode],"BH")),"")</f>
        <v/>
      </c>
      <c r="G25" s="12">
        <f>IFERROR(IF(SUMIFS(tblDaily[TransfersOut],tblDaily[EntryDate],DATE(2026,1,19),tblDaily[WardCode],"BH")=0,"",SUMIFS(tblDaily[TransfersOut],tblDaily[EntryDate],DATE(2026,1,19),tblDaily[WardCode],"BH")),"")</f>
        <v/>
      </c>
      <c r="H25" s="12">
        <f>IFERROR(IF(SUMIFS(tblDaily[Remaining],tblDaily[EntryDate],DATE(2026,1,19),tblDaily[WardCode],"BH")=0,"",SUMIFS(tblDaily[Remaining],tblDaily[EntryDate],DATE(2026,1,19),tblDaily[WardCode],"BH")),"")</f>
        <v/>
      </c>
    </row>
    <row r="26">
      <c r="A26" s="12" t="n">
        <v>20</v>
      </c>
      <c r="B26" s="12">
        <f>IFERROR(IF(SUMIFS(tblDaily[Admissions],tblDaily[EntryDate],DATE(2026,1,20),tblDaily[WardCode],"BH")=0,"",SUMIFS(tblDaily[Admissions],tblDaily[EntryDate],DATE(2026,1,20),tblDaily[WardCode],"BH")),"")</f>
        <v/>
      </c>
      <c r="C26" s="12">
        <f>IFERROR(IF(SUMIFS(tblDaily[Discharges],tblDaily[EntryDate],DATE(2026,1,20),tblDaily[WardCode],"BH")=0,"",SUMIFS(tblDaily[Discharges],tblDaily[EntryDate],DATE(2026,1,20),tblDaily[WardCode],"BH")),"")</f>
        <v/>
      </c>
      <c r="D26" s="12">
        <f>IFERROR(IF(SUMIFS(tblDaily[Deaths],tblDaily[EntryDate],DATE(2026,1,20),tblDaily[WardCode],"BH")=0,"",SUMIFS(tblDaily[Deaths],tblDaily[EntryDate],DATE(2026,1,20),tblDaily[WardCode],"BH")),"")</f>
        <v/>
      </c>
      <c r="E26" s="12">
        <f>IFERROR(IF(SUMIFS(tblDaily[DeathsUnder24Hrs],tblDaily[EntryDate],DATE(2026,1,20),tblDaily[WardCode],"BH")=0,"",SUMIFS(tblDaily[DeathsUnder24Hrs],tblDaily[EntryDate],DATE(2026,1,20),tblDaily[WardCode],"BH")),"")</f>
        <v/>
      </c>
      <c r="F26" s="12">
        <f>IFERROR(IF(SUMIFS(tblDaily[TransfersIn],tblDaily[EntryDate],DATE(2026,1,20),tblDaily[WardCode],"BH")=0,"",SUMIFS(tblDaily[TransfersIn],tblDaily[EntryDate],DATE(2026,1,20),tblDaily[WardCode],"BH")),"")</f>
        <v/>
      </c>
      <c r="G26" s="12">
        <f>IFERROR(IF(SUMIFS(tblDaily[TransfersOut],tblDaily[EntryDate],DATE(2026,1,20),tblDaily[WardCode],"BH")=0,"",SUMIFS(tblDaily[TransfersOut],tblDaily[EntryDate],DATE(2026,1,20),tblDaily[WardCode],"BH")),"")</f>
        <v/>
      </c>
      <c r="H26" s="12">
        <f>IFERROR(IF(SUMIFS(tblDaily[Remaining],tblDaily[EntryDate],DATE(2026,1,20),tblDaily[WardCode],"BH")=0,"",SUMIFS(tblDaily[Remaining],tblDaily[EntryDate],DATE(2026,1,20),tblDaily[WardCode],"BH")),"")</f>
        <v/>
      </c>
    </row>
    <row r="27">
      <c r="A27" s="12" t="n">
        <v>21</v>
      </c>
      <c r="B27" s="12">
        <f>IFERROR(IF(SUMIFS(tblDaily[Admissions],tblDaily[EntryDate],DATE(2026,1,21),tblDaily[WardCode],"BH")=0,"",SUMIFS(tblDaily[Admissions],tblDaily[EntryDate],DATE(2026,1,21),tblDaily[WardCode],"BH")),"")</f>
        <v/>
      </c>
      <c r="C27" s="12">
        <f>IFERROR(IF(SUMIFS(tblDaily[Discharges],tblDaily[EntryDate],DATE(2026,1,21),tblDaily[WardCode],"BH")=0,"",SUMIFS(tblDaily[Discharges],tblDaily[EntryDate],DATE(2026,1,21),tblDaily[WardCode],"BH")),"")</f>
        <v/>
      </c>
      <c r="D27" s="12">
        <f>IFERROR(IF(SUMIFS(tblDaily[Deaths],tblDaily[EntryDate],DATE(2026,1,21),tblDaily[WardCode],"BH")=0,"",SUMIFS(tblDaily[Deaths],tblDaily[EntryDate],DATE(2026,1,21),tblDaily[WardCode],"BH")),"")</f>
        <v/>
      </c>
      <c r="E27" s="12">
        <f>IFERROR(IF(SUMIFS(tblDaily[DeathsUnder24Hrs],tblDaily[EntryDate],DATE(2026,1,21),tblDaily[WardCode],"BH")=0,"",SUMIFS(tblDaily[DeathsUnder24Hrs],tblDaily[EntryDate],DATE(2026,1,21),tblDaily[WardCode],"BH")),"")</f>
        <v/>
      </c>
      <c r="F27" s="12">
        <f>IFERROR(IF(SUMIFS(tblDaily[TransfersIn],tblDaily[EntryDate],DATE(2026,1,21),tblDaily[WardCode],"BH")=0,"",SUMIFS(tblDaily[TransfersIn],tblDaily[EntryDate],DATE(2026,1,21),tblDaily[WardCode],"BH")),"")</f>
        <v/>
      </c>
      <c r="G27" s="12">
        <f>IFERROR(IF(SUMIFS(tblDaily[TransfersOut],tblDaily[EntryDate],DATE(2026,1,21),tblDaily[WardCode],"BH")=0,"",SUMIFS(tblDaily[TransfersOut],tblDaily[EntryDate],DATE(2026,1,21),tblDaily[WardCode],"BH")),"")</f>
        <v/>
      </c>
      <c r="H27" s="12">
        <f>IFERROR(IF(SUMIFS(tblDaily[Remaining],tblDaily[EntryDate],DATE(2026,1,21),tblDaily[WardCode],"BH")=0,"",SUMIFS(tblDaily[Remaining],tblDaily[EntryDate],DATE(2026,1,21),tblDaily[WardCode],"BH")),"")</f>
        <v/>
      </c>
    </row>
    <row r="28">
      <c r="A28" s="12" t="n">
        <v>22</v>
      </c>
      <c r="B28" s="12">
        <f>IFERROR(IF(SUMIFS(tblDaily[Admissions],tblDaily[EntryDate],DATE(2026,1,22),tblDaily[WardCode],"BH")=0,"",SUMIFS(tblDaily[Admissions],tblDaily[EntryDate],DATE(2026,1,22),tblDaily[WardCode],"BH")),"")</f>
        <v/>
      </c>
      <c r="C28" s="12">
        <f>IFERROR(IF(SUMIFS(tblDaily[Discharges],tblDaily[EntryDate],DATE(2026,1,22),tblDaily[WardCode],"BH")=0,"",SUMIFS(tblDaily[Discharges],tblDaily[EntryDate],DATE(2026,1,22),tblDaily[WardCode],"BH")),"")</f>
        <v/>
      </c>
      <c r="D28" s="12">
        <f>IFERROR(IF(SUMIFS(tblDaily[Deaths],tblDaily[EntryDate],DATE(2026,1,22),tblDaily[WardCode],"BH")=0,"",SUMIFS(tblDaily[Deaths],tblDaily[EntryDate],DATE(2026,1,22),tblDaily[WardCode],"BH")),"")</f>
        <v/>
      </c>
      <c r="E28" s="12">
        <f>IFERROR(IF(SUMIFS(tblDaily[DeathsUnder24Hrs],tblDaily[EntryDate],DATE(2026,1,22),tblDaily[WardCode],"BH")=0,"",SUMIFS(tblDaily[DeathsUnder24Hrs],tblDaily[EntryDate],DATE(2026,1,22),tblDaily[WardCode],"BH")),"")</f>
        <v/>
      </c>
      <c r="F28" s="12">
        <f>IFERROR(IF(SUMIFS(tblDaily[TransfersIn],tblDaily[EntryDate],DATE(2026,1,22),tblDaily[WardCode],"BH")=0,"",SUMIFS(tblDaily[TransfersIn],tblDaily[EntryDate],DATE(2026,1,22),tblDaily[WardCode],"BH")),"")</f>
        <v/>
      </c>
      <c r="G28" s="12">
        <f>IFERROR(IF(SUMIFS(tblDaily[TransfersOut],tblDaily[EntryDate],DATE(2026,1,22),tblDaily[WardCode],"BH")=0,"",SUMIFS(tblDaily[TransfersOut],tblDaily[EntryDate],DATE(2026,1,22),tblDaily[WardCode],"BH")),"")</f>
        <v/>
      </c>
      <c r="H28" s="12">
        <f>IFERROR(IF(SUMIFS(tblDaily[Remaining],tblDaily[EntryDate],DATE(2026,1,22),tblDaily[WardCode],"BH")=0,"",SUMIFS(tblDaily[Remaining],tblDaily[EntryDate],DATE(2026,1,22),tblDaily[WardCode],"BH")),"")</f>
        <v/>
      </c>
    </row>
    <row r="29">
      <c r="A29" s="12" t="n">
        <v>23</v>
      </c>
      <c r="B29" s="12">
        <f>IFERROR(IF(SUMIFS(tblDaily[Admissions],tblDaily[EntryDate],DATE(2026,1,23),tblDaily[WardCode],"BH")=0,"",SUMIFS(tblDaily[Admissions],tblDaily[EntryDate],DATE(2026,1,23),tblDaily[WardCode],"BH")),"")</f>
        <v/>
      </c>
      <c r="C29" s="12">
        <f>IFERROR(IF(SUMIFS(tblDaily[Discharges],tblDaily[EntryDate],DATE(2026,1,23),tblDaily[WardCode],"BH")=0,"",SUMIFS(tblDaily[Discharges],tblDaily[EntryDate],DATE(2026,1,23),tblDaily[WardCode],"BH")),"")</f>
        <v/>
      </c>
      <c r="D29" s="12">
        <f>IFERROR(IF(SUMIFS(tblDaily[Deaths],tblDaily[EntryDate],DATE(2026,1,23),tblDaily[WardCode],"BH")=0,"",SUMIFS(tblDaily[Deaths],tblDaily[EntryDate],DATE(2026,1,23),tblDaily[WardCode],"BH")),"")</f>
        <v/>
      </c>
      <c r="E29" s="12">
        <f>IFERROR(IF(SUMIFS(tblDaily[DeathsUnder24Hrs],tblDaily[EntryDate],DATE(2026,1,23),tblDaily[WardCode],"BH")=0,"",SUMIFS(tblDaily[DeathsUnder24Hrs],tblDaily[EntryDate],DATE(2026,1,23),tblDaily[WardCode],"BH")),"")</f>
        <v/>
      </c>
      <c r="F29" s="12">
        <f>IFERROR(IF(SUMIFS(tblDaily[TransfersIn],tblDaily[EntryDate],DATE(2026,1,23),tblDaily[WardCode],"BH")=0,"",SUMIFS(tblDaily[TransfersIn],tblDaily[EntryDate],DATE(2026,1,23),tblDaily[WardCode],"BH")),"")</f>
        <v/>
      </c>
      <c r="G29" s="12">
        <f>IFERROR(IF(SUMIFS(tblDaily[TransfersOut],tblDaily[EntryDate],DATE(2026,1,23),tblDaily[WardCode],"BH")=0,"",SUMIFS(tblDaily[TransfersOut],tblDaily[EntryDate],DATE(2026,1,23),tblDaily[WardCode],"BH")),"")</f>
        <v/>
      </c>
      <c r="H29" s="12">
        <f>IFERROR(IF(SUMIFS(tblDaily[Remaining],tblDaily[EntryDate],DATE(2026,1,23),tblDaily[WardCode],"BH")=0,"",SUMIFS(tblDaily[Remaining],tblDaily[EntryDate],DATE(2026,1,23),tblDaily[WardCode],"BH")),"")</f>
        <v/>
      </c>
    </row>
    <row r="30">
      <c r="A30" s="12" t="n">
        <v>24</v>
      </c>
      <c r="B30" s="12">
        <f>IFERROR(IF(SUMIFS(tblDaily[Admissions],tblDaily[EntryDate],DATE(2026,1,24),tblDaily[WardCode],"BH")=0,"",SUMIFS(tblDaily[Admissions],tblDaily[EntryDate],DATE(2026,1,24),tblDaily[WardCode],"BH")),"")</f>
        <v/>
      </c>
      <c r="C30" s="12">
        <f>IFERROR(IF(SUMIFS(tblDaily[Discharges],tblDaily[EntryDate],DATE(2026,1,24),tblDaily[WardCode],"BH")=0,"",SUMIFS(tblDaily[Discharges],tblDaily[EntryDate],DATE(2026,1,24),tblDaily[WardCode],"BH")),"")</f>
        <v/>
      </c>
      <c r="D30" s="12">
        <f>IFERROR(IF(SUMIFS(tblDaily[Deaths],tblDaily[EntryDate],DATE(2026,1,24),tblDaily[WardCode],"BH")=0,"",SUMIFS(tblDaily[Deaths],tblDaily[EntryDate],DATE(2026,1,24),tblDaily[WardCode],"BH")),"")</f>
        <v/>
      </c>
      <c r="E30" s="12">
        <f>IFERROR(IF(SUMIFS(tblDaily[DeathsUnder24Hrs],tblDaily[EntryDate],DATE(2026,1,24),tblDaily[WardCode],"BH")=0,"",SUMIFS(tblDaily[DeathsUnder24Hrs],tblDaily[EntryDate],DATE(2026,1,24),tblDaily[WardCode],"BH")),"")</f>
        <v/>
      </c>
      <c r="F30" s="12">
        <f>IFERROR(IF(SUMIFS(tblDaily[TransfersIn],tblDaily[EntryDate],DATE(2026,1,24),tblDaily[WardCode],"BH")=0,"",SUMIFS(tblDaily[TransfersIn],tblDaily[EntryDate],DATE(2026,1,24),tblDaily[WardCode],"BH")),"")</f>
        <v/>
      </c>
      <c r="G30" s="12">
        <f>IFERROR(IF(SUMIFS(tblDaily[TransfersOut],tblDaily[EntryDate],DATE(2026,1,24),tblDaily[WardCode],"BH")=0,"",SUMIFS(tblDaily[TransfersOut],tblDaily[EntryDate],DATE(2026,1,24),tblDaily[WardCode],"BH")),"")</f>
        <v/>
      </c>
      <c r="H30" s="12">
        <f>IFERROR(IF(SUMIFS(tblDaily[Remaining],tblDaily[EntryDate],DATE(2026,1,24),tblDaily[WardCode],"BH")=0,"",SUMIFS(tblDaily[Remaining],tblDaily[EntryDate],DATE(2026,1,24),tblDaily[WardCode],"BH")),"")</f>
        <v/>
      </c>
    </row>
    <row r="31">
      <c r="A31" s="12" t="n">
        <v>25</v>
      </c>
      <c r="B31" s="12">
        <f>IFERROR(IF(SUMIFS(tblDaily[Admissions],tblDaily[EntryDate],DATE(2026,1,25),tblDaily[WardCode],"BH")=0,"",SUMIFS(tblDaily[Admissions],tblDaily[EntryDate],DATE(2026,1,25),tblDaily[WardCode],"BH")),"")</f>
        <v/>
      </c>
      <c r="C31" s="12">
        <f>IFERROR(IF(SUMIFS(tblDaily[Discharges],tblDaily[EntryDate],DATE(2026,1,25),tblDaily[WardCode],"BH")=0,"",SUMIFS(tblDaily[Discharges],tblDaily[EntryDate],DATE(2026,1,25),tblDaily[WardCode],"BH")),"")</f>
        <v/>
      </c>
      <c r="D31" s="12">
        <f>IFERROR(IF(SUMIFS(tblDaily[Deaths],tblDaily[EntryDate],DATE(2026,1,25),tblDaily[WardCode],"BH")=0,"",SUMIFS(tblDaily[Deaths],tblDaily[EntryDate],DATE(2026,1,25),tblDaily[WardCode],"BH")),"")</f>
        <v/>
      </c>
      <c r="E31" s="12">
        <f>IFERROR(IF(SUMIFS(tblDaily[DeathsUnder24Hrs],tblDaily[EntryDate],DATE(2026,1,25),tblDaily[WardCode],"BH")=0,"",SUMIFS(tblDaily[DeathsUnder24Hrs],tblDaily[EntryDate],DATE(2026,1,25),tblDaily[WardCode],"BH")),"")</f>
        <v/>
      </c>
      <c r="F31" s="12">
        <f>IFERROR(IF(SUMIFS(tblDaily[TransfersIn],tblDaily[EntryDate],DATE(2026,1,25),tblDaily[WardCode],"BH")=0,"",SUMIFS(tblDaily[TransfersIn],tblDaily[EntryDate],DATE(2026,1,25),tblDaily[WardCode],"BH")),"")</f>
        <v/>
      </c>
      <c r="G31" s="12">
        <f>IFERROR(IF(SUMIFS(tblDaily[TransfersOut],tblDaily[EntryDate],DATE(2026,1,25),tblDaily[WardCode],"BH")=0,"",SUMIFS(tblDaily[TransfersOut],tblDaily[EntryDate],DATE(2026,1,25),tblDaily[WardCode],"BH")),"")</f>
        <v/>
      </c>
      <c r="H31" s="12">
        <f>IFERROR(IF(SUMIFS(tblDaily[Remaining],tblDaily[EntryDate],DATE(2026,1,25),tblDaily[WardCode],"BH")=0,"",SUMIFS(tblDaily[Remaining],tblDaily[EntryDate],DATE(2026,1,25),tblDaily[WardCode],"BH")),"")</f>
        <v/>
      </c>
    </row>
    <row r="32">
      <c r="A32" s="12" t="n">
        <v>26</v>
      </c>
      <c r="B32" s="12">
        <f>IFERROR(IF(SUMIFS(tblDaily[Admissions],tblDaily[EntryDate],DATE(2026,1,26),tblDaily[WardCode],"BH")=0,"",SUMIFS(tblDaily[Admissions],tblDaily[EntryDate],DATE(2026,1,26),tblDaily[WardCode],"BH")),"")</f>
        <v/>
      </c>
      <c r="C32" s="12">
        <f>IFERROR(IF(SUMIFS(tblDaily[Discharges],tblDaily[EntryDate],DATE(2026,1,26),tblDaily[WardCode],"BH")=0,"",SUMIFS(tblDaily[Discharges],tblDaily[EntryDate],DATE(2026,1,26),tblDaily[WardCode],"BH")),"")</f>
        <v/>
      </c>
      <c r="D32" s="12">
        <f>IFERROR(IF(SUMIFS(tblDaily[Deaths],tblDaily[EntryDate],DATE(2026,1,26),tblDaily[WardCode],"BH")=0,"",SUMIFS(tblDaily[Deaths],tblDaily[EntryDate],DATE(2026,1,26),tblDaily[WardCode],"BH")),"")</f>
        <v/>
      </c>
      <c r="E32" s="12">
        <f>IFERROR(IF(SUMIFS(tblDaily[DeathsUnder24Hrs],tblDaily[EntryDate],DATE(2026,1,26),tblDaily[WardCode],"BH")=0,"",SUMIFS(tblDaily[DeathsUnder24Hrs],tblDaily[EntryDate],DATE(2026,1,26),tblDaily[WardCode],"BH")),"")</f>
        <v/>
      </c>
      <c r="F32" s="12">
        <f>IFERROR(IF(SUMIFS(tblDaily[TransfersIn],tblDaily[EntryDate],DATE(2026,1,26),tblDaily[WardCode],"BH")=0,"",SUMIFS(tblDaily[TransfersIn],tblDaily[EntryDate],DATE(2026,1,26),tblDaily[WardCode],"BH")),"")</f>
        <v/>
      </c>
      <c r="G32" s="12">
        <f>IFERROR(IF(SUMIFS(tblDaily[TransfersOut],tblDaily[EntryDate],DATE(2026,1,26),tblDaily[WardCode],"BH")=0,"",SUMIFS(tblDaily[TransfersOut],tblDaily[EntryDate],DATE(2026,1,26),tblDaily[WardCode],"BH")),"")</f>
        <v/>
      </c>
      <c r="H32" s="12">
        <f>IFERROR(IF(SUMIFS(tblDaily[Remaining],tblDaily[EntryDate],DATE(2026,1,26),tblDaily[WardCode],"BH")=0,"",SUMIFS(tblDaily[Remaining],tblDaily[EntryDate],DATE(2026,1,26),tblDaily[WardCode],"BH")),"")</f>
        <v/>
      </c>
    </row>
    <row r="33">
      <c r="A33" s="12" t="n">
        <v>27</v>
      </c>
      <c r="B33" s="12">
        <f>IFERROR(IF(SUMIFS(tblDaily[Admissions],tblDaily[EntryDate],DATE(2026,1,27),tblDaily[WardCode],"BH")=0,"",SUMIFS(tblDaily[Admissions],tblDaily[EntryDate],DATE(2026,1,27),tblDaily[WardCode],"BH")),"")</f>
        <v/>
      </c>
      <c r="C33" s="12">
        <f>IFERROR(IF(SUMIFS(tblDaily[Discharges],tblDaily[EntryDate],DATE(2026,1,27),tblDaily[WardCode],"BH")=0,"",SUMIFS(tblDaily[Discharges],tblDaily[EntryDate],DATE(2026,1,27),tblDaily[WardCode],"BH")),"")</f>
        <v/>
      </c>
      <c r="D33" s="12">
        <f>IFERROR(IF(SUMIFS(tblDaily[Deaths],tblDaily[EntryDate],DATE(2026,1,27),tblDaily[WardCode],"BH")=0,"",SUMIFS(tblDaily[Deaths],tblDaily[EntryDate],DATE(2026,1,27),tblDaily[WardCode],"BH")),"")</f>
        <v/>
      </c>
      <c r="E33" s="12">
        <f>IFERROR(IF(SUMIFS(tblDaily[DeathsUnder24Hrs],tblDaily[EntryDate],DATE(2026,1,27),tblDaily[WardCode],"BH")=0,"",SUMIFS(tblDaily[DeathsUnder24Hrs],tblDaily[EntryDate],DATE(2026,1,27),tblDaily[WardCode],"BH")),"")</f>
        <v/>
      </c>
      <c r="F33" s="12">
        <f>IFERROR(IF(SUMIFS(tblDaily[TransfersIn],tblDaily[EntryDate],DATE(2026,1,27),tblDaily[WardCode],"BH")=0,"",SUMIFS(tblDaily[TransfersIn],tblDaily[EntryDate],DATE(2026,1,27),tblDaily[WardCode],"BH")),"")</f>
        <v/>
      </c>
      <c r="G33" s="12">
        <f>IFERROR(IF(SUMIFS(tblDaily[TransfersOut],tblDaily[EntryDate],DATE(2026,1,27),tblDaily[WardCode],"BH")=0,"",SUMIFS(tblDaily[TransfersOut],tblDaily[EntryDate],DATE(2026,1,27),tblDaily[WardCode],"BH")),"")</f>
        <v/>
      </c>
      <c r="H33" s="12">
        <f>IFERROR(IF(SUMIFS(tblDaily[Remaining],tblDaily[EntryDate],DATE(2026,1,27),tblDaily[WardCode],"BH")=0,"",SUMIFS(tblDaily[Remaining],tblDaily[EntryDate],DATE(2026,1,27),tblDaily[WardCode],"BH")),"")</f>
        <v/>
      </c>
    </row>
    <row r="34">
      <c r="A34" s="12" t="n">
        <v>28</v>
      </c>
      <c r="B34" s="12">
        <f>IFERROR(IF(SUMIFS(tblDaily[Admissions],tblDaily[EntryDate],DATE(2026,1,28),tblDaily[WardCode],"BH")=0,"",SUMIFS(tblDaily[Admissions],tblDaily[EntryDate],DATE(2026,1,28),tblDaily[WardCode],"BH")),"")</f>
        <v/>
      </c>
      <c r="C34" s="12">
        <f>IFERROR(IF(SUMIFS(tblDaily[Discharges],tblDaily[EntryDate],DATE(2026,1,28),tblDaily[WardCode],"BH")=0,"",SUMIFS(tblDaily[Discharges],tblDaily[EntryDate],DATE(2026,1,28),tblDaily[WardCode],"BH")),"")</f>
        <v/>
      </c>
      <c r="D34" s="12">
        <f>IFERROR(IF(SUMIFS(tblDaily[Deaths],tblDaily[EntryDate],DATE(2026,1,28),tblDaily[WardCode],"BH")=0,"",SUMIFS(tblDaily[Deaths],tblDaily[EntryDate],DATE(2026,1,28),tblDaily[WardCode],"BH")),"")</f>
        <v/>
      </c>
      <c r="E34" s="12">
        <f>IFERROR(IF(SUMIFS(tblDaily[DeathsUnder24Hrs],tblDaily[EntryDate],DATE(2026,1,28),tblDaily[WardCode],"BH")=0,"",SUMIFS(tblDaily[DeathsUnder24Hrs],tblDaily[EntryDate],DATE(2026,1,28),tblDaily[WardCode],"BH")),"")</f>
        <v/>
      </c>
      <c r="F34" s="12">
        <f>IFERROR(IF(SUMIFS(tblDaily[TransfersIn],tblDaily[EntryDate],DATE(2026,1,28),tblDaily[WardCode],"BH")=0,"",SUMIFS(tblDaily[TransfersIn],tblDaily[EntryDate],DATE(2026,1,28),tblDaily[WardCode],"BH")),"")</f>
        <v/>
      </c>
      <c r="G34" s="12">
        <f>IFERROR(IF(SUMIFS(tblDaily[TransfersOut],tblDaily[EntryDate],DATE(2026,1,28),tblDaily[WardCode],"BH")=0,"",SUMIFS(tblDaily[TransfersOut],tblDaily[EntryDate],DATE(2026,1,28),tblDaily[WardCode],"BH")),"")</f>
        <v/>
      </c>
      <c r="H34" s="12">
        <f>IFERROR(IF(SUMIFS(tblDaily[Remaining],tblDaily[EntryDate],DATE(2026,1,28),tblDaily[WardCode],"BH")=0,"",SUMIFS(tblDaily[Remaining],tblDaily[EntryDate],DATE(2026,1,28),tblDaily[WardCode],"BH")),"")</f>
        <v/>
      </c>
    </row>
    <row r="35">
      <c r="A35" s="12" t="n">
        <v>29</v>
      </c>
      <c r="B35" s="12">
        <f>IFERROR(IF(SUMIFS(tblDaily[Admissions],tblDaily[EntryDate],DATE(2026,1,29),tblDaily[WardCode],"BH")=0,"",SUMIFS(tblDaily[Admissions],tblDaily[EntryDate],DATE(2026,1,29),tblDaily[WardCode],"BH")),"")</f>
        <v/>
      </c>
      <c r="C35" s="12">
        <f>IFERROR(IF(SUMIFS(tblDaily[Discharges],tblDaily[EntryDate],DATE(2026,1,29),tblDaily[WardCode],"BH")=0,"",SUMIFS(tblDaily[Discharges],tblDaily[EntryDate],DATE(2026,1,29),tblDaily[WardCode],"BH")),"")</f>
        <v/>
      </c>
      <c r="D35" s="12">
        <f>IFERROR(IF(SUMIFS(tblDaily[Deaths],tblDaily[EntryDate],DATE(2026,1,29),tblDaily[WardCode],"BH")=0,"",SUMIFS(tblDaily[Deaths],tblDaily[EntryDate],DATE(2026,1,29),tblDaily[WardCode],"BH")),"")</f>
        <v/>
      </c>
      <c r="E35" s="12">
        <f>IFERROR(IF(SUMIFS(tblDaily[DeathsUnder24Hrs],tblDaily[EntryDate],DATE(2026,1,29),tblDaily[WardCode],"BH")=0,"",SUMIFS(tblDaily[DeathsUnder24Hrs],tblDaily[EntryDate],DATE(2026,1,29),tblDaily[WardCode],"BH")),"")</f>
        <v/>
      </c>
      <c r="F35" s="12">
        <f>IFERROR(IF(SUMIFS(tblDaily[TransfersIn],tblDaily[EntryDate],DATE(2026,1,29),tblDaily[WardCode],"BH")=0,"",SUMIFS(tblDaily[TransfersIn],tblDaily[EntryDate],DATE(2026,1,29),tblDaily[WardCode],"BH")),"")</f>
        <v/>
      </c>
      <c r="G35" s="12">
        <f>IFERROR(IF(SUMIFS(tblDaily[TransfersOut],tblDaily[EntryDate],DATE(2026,1,29),tblDaily[WardCode],"BH")=0,"",SUMIFS(tblDaily[TransfersOut],tblDaily[EntryDate],DATE(2026,1,29),tblDaily[WardCode],"BH")),"")</f>
        <v/>
      </c>
      <c r="H35" s="12">
        <f>IFERROR(IF(SUMIFS(tblDaily[Remaining],tblDaily[EntryDate],DATE(2026,1,29),tblDaily[WardCode],"BH")=0,"",SUMIFS(tblDaily[Remaining],tblDaily[EntryDate],DATE(2026,1,29),tblDaily[WardCode],"BH")),"")</f>
        <v/>
      </c>
    </row>
    <row r="36">
      <c r="A36" s="12" t="n">
        <v>30</v>
      </c>
      <c r="B36" s="12">
        <f>IFERROR(IF(SUMIFS(tblDaily[Admissions],tblDaily[EntryDate],DATE(2026,1,30),tblDaily[WardCode],"BH")=0,"",SUMIFS(tblDaily[Admissions],tblDaily[EntryDate],DATE(2026,1,30),tblDaily[WardCode],"BH")),"")</f>
        <v/>
      </c>
      <c r="C36" s="12">
        <f>IFERROR(IF(SUMIFS(tblDaily[Discharges],tblDaily[EntryDate],DATE(2026,1,30),tblDaily[WardCode],"BH")=0,"",SUMIFS(tblDaily[Discharges],tblDaily[EntryDate],DATE(2026,1,30),tblDaily[WardCode],"BH")),"")</f>
        <v/>
      </c>
      <c r="D36" s="12">
        <f>IFERROR(IF(SUMIFS(tblDaily[Deaths],tblDaily[EntryDate],DATE(2026,1,30),tblDaily[WardCode],"BH")=0,"",SUMIFS(tblDaily[Deaths],tblDaily[EntryDate],DATE(2026,1,30),tblDaily[WardCode],"BH")),"")</f>
        <v/>
      </c>
      <c r="E36" s="12">
        <f>IFERROR(IF(SUMIFS(tblDaily[DeathsUnder24Hrs],tblDaily[EntryDate],DATE(2026,1,30),tblDaily[WardCode],"BH")=0,"",SUMIFS(tblDaily[DeathsUnder24Hrs],tblDaily[EntryDate],DATE(2026,1,30),tblDaily[WardCode],"BH")),"")</f>
        <v/>
      </c>
      <c r="F36" s="12">
        <f>IFERROR(IF(SUMIFS(tblDaily[TransfersIn],tblDaily[EntryDate],DATE(2026,1,30),tblDaily[WardCode],"BH")=0,"",SUMIFS(tblDaily[TransfersIn],tblDaily[EntryDate],DATE(2026,1,30),tblDaily[WardCode],"BH")),"")</f>
        <v/>
      </c>
      <c r="G36" s="12">
        <f>IFERROR(IF(SUMIFS(tblDaily[TransfersOut],tblDaily[EntryDate],DATE(2026,1,30),tblDaily[WardCode],"BH")=0,"",SUMIFS(tblDaily[TransfersOut],tblDaily[EntryDate],DATE(2026,1,30),tblDaily[WardCode],"BH")),"")</f>
        <v/>
      </c>
      <c r="H36" s="12">
        <f>IFERROR(IF(SUMIFS(tblDaily[Remaining],tblDaily[EntryDate],DATE(2026,1,30),tblDaily[WardCode],"BH")=0,"",SUMIFS(tblDaily[Remaining],tblDaily[EntryDate],DATE(2026,1,30),tblDaily[WardCode],"BH")),"")</f>
        <v/>
      </c>
    </row>
    <row r="37">
      <c r="A37" s="12" t="n">
        <v>31</v>
      </c>
      <c r="B37" s="12">
        <f>IFERROR(IF(SUMIFS(tblDaily[Admissions],tblDaily[EntryDate],DATE(2026,1,31),tblDaily[WardCode],"BH")=0,"",SUMIFS(tblDaily[Admissions],tblDaily[EntryDate],DATE(2026,1,31),tblDaily[WardCode],"BH")),"")</f>
        <v/>
      </c>
      <c r="C37" s="12">
        <f>IFERROR(IF(SUMIFS(tblDaily[Discharges],tblDaily[EntryDate],DATE(2026,1,31),tblDaily[WardCode],"BH")=0,"",SUMIFS(tblDaily[Discharges],tblDaily[EntryDate],DATE(2026,1,31),tblDaily[WardCode],"BH")),"")</f>
        <v/>
      </c>
      <c r="D37" s="12">
        <f>IFERROR(IF(SUMIFS(tblDaily[Deaths],tblDaily[EntryDate],DATE(2026,1,31),tblDaily[WardCode],"BH")=0,"",SUMIFS(tblDaily[Deaths],tblDaily[EntryDate],DATE(2026,1,31),tblDaily[WardCode],"BH")),"")</f>
        <v/>
      </c>
      <c r="E37" s="12">
        <f>IFERROR(IF(SUMIFS(tblDaily[DeathsUnder24Hrs],tblDaily[EntryDate],DATE(2026,1,31),tblDaily[WardCode],"BH")=0,"",SUMIFS(tblDaily[DeathsUnder24Hrs],tblDaily[EntryDate],DATE(2026,1,31),tblDaily[WardCode],"BH")),"")</f>
        <v/>
      </c>
      <c r="F37" s="12">
        <f>IFERROR(IF(SUMIFS(tblDaily[TransfersIn],tblDaily[EntryDate],DATE(2026,1,31),tblDaily[WardCode],"BH")=0,"",SUMIFS(tblDaily[TransfersIn],tblDaily[EntryDate],DATE(2026,1,31),tblDaily[WardCode],"BH")),"")</f>
        <v/>
      </c>
      <c r="G37" s="12">
        <f>IFERROR(IF(SUMIFS(tblDaily[TransfersOut],tblDaily[EntryDate],DATE(2026,1,31),tblDaily[WardCode],"BH")=0,"",SUMIFS(tblDaily[TransfersOut],tblDaily[EntryDate],DATE(2026,1,31),tblDaily[WardCode],"BH")),"")</f>
        <v/>
      </c>
      <c r="H37" s="12">
        <f>IFERROR(IF(SUMIFS(tblDaily[Remaining],tblDaily[EntryDate],DATE(2026,1,31),tblDaily[WardCode],"BH")=0,"",SUMIFS(tblDaily[Remaining],tblDaily[EntryDate],DATE(2026,1,31),tblDaily[WardCode],"BH")),"")</f>
        <v/>
      </c>
    </row>
    <row r="38">
      <c r="A38" s="17" t="inlineStr">
        <is>
          <t>TOTAL</t>
        </is>
      </c>
      <c r="B38" s="17">
        <f>SUMIFS(tblDaily[Admissions],tblDaily[Month],1,tblDaily[WardCode],"BH") - SUMIFS(tblDaily[DeathsUnder24Hrs],tblDaily[Month],1,tblDaily[WardCode],"BH")</f>
        <v/>
      </c>
      <c r="C38" s="17">
        <f>SUMIFS(tblDaily[Discharges],tblDaily[Month],1,tblDaily[WardCode],"BH")</f>
        <v/>
      </c>
      <c r="D38" s="17">
        <f>SUMIFS(tblDaily[Deaths],tblDaily[Month],1,tblDaily[WardCode],"BH")</f>
        <v/>
      </c>
      <c r="E38" s="17">
        <f>SUMIFS(tblDaily[DeathsUnder24Hrs],tblDaily[Month],1,tblDaily[WardCode],"BH")</f>
        <v/>
      </c>
      <c r="F38" s="17">
        <f>SUMIFS(tblDaily[TransfersIn],tblDaily[Month],1,tblDaily[WardCode],"BH")</f>
        <v/>
      </c>
      <c r="G38" s="17">
        <f>SUMIFS(tblDaily[TransfersOut],tblDaily[Month],1,tblDaily[WardCode],"BH")</f>
        <v/>
      </c>
      <c r="H38" s="17">
        <f>SUMIFS(tblDaily[Remaining],tblDaily[Month],1,tblDaily[WardCode],"BH")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BLOCK H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4">
        <f>IFERROR(SUMIFS(tblDaily[Remaining],tblDaily[EntryDate],DATE(2026,1,31),tblDaily[WardCode],"BH"),0)</f>
        <v/>
      </c>
    </row>
    <row r="44">
      <c r="A44" s="4" t="inlineStr">
        <is>
          <t>Bed complement</t>
        </is>
      </c>
      <c r="H44" s="15">
        <f>IFERROR(INDEX(tblWardConfig[BedComplement],MATCH("BH",tblWardConfig[WardCode],0)),0)</f>
        <v/>
      </c>
    </row>
    <row r="45">
      <c r="A45" s="16" t="inlineStr">
        <is>
          <t>Day of
the
Month</t>
        </is>
      </c>
      <c r="B45" s="16" t="inlineStr">
        <is>
          <t>Admissions</t>
        </is>
      </c>
      <c r="C45" s="16" t="inlineStr">
        <is>
          <t>Discharges</t>
        </is>
      </c>
      <c r="D45" s="16" t="inlineStr">
        <is>
          <t>Deaths</t>
        </is>
      </c>
      <c r="E45" s="16" t="inlineStr">
        <is>
          <t>Deaths
&lt;24Hrs</t>
        </is>
      </c>
      <c r="F45" s="16" t="inlineStr">
        <is>
          <t>Transfers-
In</t>
        </is>
      </c>
      <c r="G45" s="16" t="inlineStr">
        <is>
          <t>Transfers-
Out</t>
        </is>
      </c>
      <c r="H45" s="16" t="inlineStr">
        <is>
          <t>No. of Patients
Remaining In
Ward</t>
        </is>
      </c>
    </row>
    <row r="46">
      <c r="A46" s="12" t="n">
        <v>1</v>
      </c>
      <c r="B46" s="12">
        <f>IFERROR(IF(SUMIFS(tblDaily[Admissions],tblDaily[EntryDate],DATE(2026,2,1),tblDaily[WardCode],"BH")=0,"",SUMIFS(tblDaily[Admissions],tblDaily[EntryDate],DATE(2026,2,1),tblDaily[WardCode],"BH")),"")</f>
        <v/>
      </c>
      <c r="C46" s="12">
        <f>IFERROR(IF(SUMIFS(tblDaily[Discharges],tblDaily[EntryDate],DATE(2026,2,1),tblDaily[WardCode],"BH")=0,"",SUMIFS(tblDaily[Discharges],tblDaily[EntryDate],DATE(2026,2,1),tblDaily[WardCode],"BH")),"")</f>
        <v/>
      </c>
      <c r="D46" s="12">
        <f>IFERROR(IF(SUMIFS(tblDaily[Deaths],tblDaily[EntryDate],DATE(2026,2,1),tblDaily[WardCode],"BH")=0,"",SUMIFS(tblDaily[Deaths],tblDaily[EntryDate],DATE(2026,2,1),tblDaily[WardCode],"BH")),"")</f>
        <v/>
      </c>
      <c r="E46" s="12">
        <f>IFERROR(IF(SUMIFS(tblDaily[DeathsUnder24Hrs],tblDaily[EntryDate],DATE(2026,2,1),tblDaily[WardCode],"BH")=0,"",SUMIFS(tblDaily[DeathsUnder24Hrs],tblDaily[EntryDate],DATE(2026,2,1),tblDaily[WardCode],"BH")),"")</f>
        <v/>
      </c>
      <c r="F46" s="12">
        <f>IFERROR(IF(SUMIFS(tblDaily[TransfersIn],tblDaily[EntryDate],DATE(2026,2,1),tblDaily[WardCode],"BH")=0,"",SUMIFS(tblDaily[TransfersIn],tblDaily[EntryDate],DATE(2026,2,1),tblDaily[WardCode],"BH")),"")</f>
        <v/>
      </c>
      <c r="G46" s="12">
        <f>IFERROR(IF(SUMIFS(tblDaily[TransfersOut],tblDaily[EntryDate],DATE(2026,2,1),tblDaily[WardCode],"BH")=0,"",SUMIFS(tblDaily[TransfersOut],tblDaily[EntryDate],DATE(2026,2,1),tblDaily[WardCode],"BH")),"")</f>
        <v/>
      </c>
      <c r="H46" s="12">
        <f>IFERROR(IF(SUMIFS(tblDaily[Remaining],tblDaily[EntryDate],DATE(2026,2,1),tblDaily[WardCode],"BH")=0,"",SUMIFS(tblDaily[Remaining],tblDaily[EntryDate],DATE(2026,2,1),tblDaily[WardCode],"BH")),"")</f>
        <v/>
      </c>
    </row>
    <row r="47">
      <c r="A47" s="12" t="n">
        <v>2</v>
      </c>
      <c r="B47" s="12">
        <f>IFERROR(IF(SUMIFS(tblDaily[Admissions],tblDaily[EntryDate],DATE(2026,2,2),tblDaily[WardCode],"BH")=0,"",SUMIFS(tblDaily[Admissions],tblDaily[EntryDate],DATE(2026,2,2),tblDaily[WardCode],"BH")),"")</f>
        <v/>
      </c>
      <c r="C47" s="12">
        <f>IFERROR(IF(SUMIFS(tblDaily[Discharges],tblDaily[EntryDate],DATE(2026,2,2),tblDaily[WardCode],"BH")=0,"",SUMIFS(tblDaily[Discharges],tblDaily[EntryDate],DATE(2026,2,2),tblDaily[WardCode],"BH")),"")</f>
        <v/>
      </c>
      <c r="D47" s="12">
        <f>IFERROR(IF(SUMIFS(tblDaily[Deaths],tblDaily[EntryDate],DATE(2026,2,2),tblDaily[WardCode],"BH")=0,"",SUMIFS(tblDaily[Deaths],tblDaily[EntryDate],DATE(2026,2,2),tblDaily[WardCode],"BH")),"")</f>
        <v/>
      </c>
      <c r="E47" s="12">
        <f>IFERROR(IF(SUMIFS(tblDaily[DeathsUnder24Hrs],tblDaily[EntryDate],DATE(2026,2,2),tblDaily[WardCode],"BH")=0,"",SUMIFS(tblDaily[DeathsUnder24Hrs],tblDaily[EntryDate],DATE(2026,2,2),tblDaily[WardCode],"BH")),"")</f>
        <v/>
      </c>
      <c r="F47" s="12">
        <f>IFERROR(IF(SUMIFS(tblDaily[TransfersIn],tblDaily[EntryDate],DATE(2026,2,2),tblDaily[WardCode],"BH")=0,"",SUMIFS(tblDaily[TransfersIn],tblDaily[EntryDate],DATE(2026,2,2),tblDaily[WardCode],"BH")),"")</f>
        <v/>
      </c>
      <c r="G47" s="12">
        <f>IFERROR(IF(SUMIFS(tblDaily[TransfersOut],tblDaily[EntryDate],DATE(2026,2,2),tblDaily[WardCode],"BH")=0,"",SUMIFS(tblDaily[TransfersOut],tblDaily[EntryDate],DATE(2026,2,2),tblDaily[WardCode],"BH")),"")</f>
        <v/>
      </c>
      <c r="H47" s="12">
        <f>IFERROR(IF(SUMIFS(tblDaily[Remaining],tblDaily[EntryDate],DATE(2026,2,2),tblDaily[WardCode],"BH")=0,"",SUMIFS(tblDaily[Remaining],tblDaily[EntryDate],DATE(2026,2,2),tblDaily[WardCode],"BH")),"")</f>
        <v/>
      </c>
    </row>
    <row r="48">
      <c r="A48" s="12" t="n">
        <v>3</v>
      </c>
      <c r="B48" s="12">
        <f>IFERROR(IF(SUMIFS(tblDaily[Admissions],tblDaily[EntryDate],DATE(2026,2,3),tblDaily[WardCode],"BH")=0,"",SUMIFS(tblDaily[Admissions],tblDaily[EntryDate],DATE(2026,2,3),tblDaily[WardCode],"BH")),"")</f>
        <v/>
      </c>
      <c r="C48" s="12">
        <f>IFERROR(IF(SUMIFS(tblDaily[Discharges],tblDaily[EntryDate],DATE(2026,2,3),tblDaily[WardCode],"BH")=0,"",SUMIFS(tblDaily[Discharges],tblDaily[EntryDate],DATE(2026,2,3),tblDaily[WardCode],"BH")),"")</f>
        <v/>
      </c>
      <c r="D48" s="12">
        <f>IFERROR(IF(SUMIFS(tblDaily[Deaths],tblDaily[EntryDate],DATE(2026,2,3),tblDaily[WardCode],"BH")=0,"",SUMIFS(tblDaily[Deaths],tblDaily[EntryDate],DATE(2026,2,3),tblDaily[WardCode],"BH")),"")</f>
        <v/>
      </c>
      <c r="E48" s="12">
        <f>IFERROR(IF(SUMIFS(tblDaily[DeathsUnder24Hrs],tblDaily[EntryDate],DATE(2026,2,3),tblDaily[WardCode],"BH")=0,"",SUMIFS(tblDaily[DeathsUnder24Hrs],tblDaily[EntryDate],DATE(2026,2,3),tblDaily[WardCode],"BH")),"")</f>
        <v/>
      </c>
      <c r="F48" s="12">
        <f>IFERROR(IF(SUMIFS(tblDaily[TransfersIn],tblDaily[EntryDate],DATE(2026,2,3),tblDaily[WardCode],"BH")=0,"",SUMIFS(tblDaily[TransfersIn],tblDaily[EntryDate],DATE(2026,2,3),tblDaily[WardCode],"BH")),"")</f>
        <v/>
      </c>
      <c r="G48" s="12">
        <f>IFERROR(IF(SUMIFS(tblDaily[TransfersOut],tblDaily[EntryDate],DATE(2026,2,3),tblDaily[WardCode],"BH")=0,"",SUMIFS(tblDaily[TransfersOut],tblDaily[EntryDate],DATE(2026,2,3),tblDaily[WardCode],"BH")),"")</f>
        <v/>
      </c>
      <c r="H48" s="12">
        <f>IFERROR(IF(SUMIFS(tblDaily[Remaining],tblDaily[EntryDate],DATE(2026,2,3),tblDaily[WardCode],"BH")=0,"",SUMIFS(tblDaily[Remaining],tblDaily[EntryDate],DATE(2026,2,3),tblDaily[WardCode],"BH")),"")</f>
        <v/>
      </c>
    </row>
    <row r="49">
      <c r="A49" s="12" t="n">
        <v>4</v>
      </c>
      <c r="B49" s="12">
        <f>IFERROR(IF(SUMIFS(tblDaily[Admissions],tblDaily[EntryDate],DATE(2026,2,4),tblDaily[WardCode],"BH")=0,"",SUMIFS(tblDaily[Admissions],tblDaily[EntryDate],DATE(2026,2,4),tblDaily[WardCode],"BH")),"")</f>
        <v/>
      </c>
      <c r="C49" s="12">
        <f>IFERROR(IF(SUMIFS(tblDaily[Discharges],tblDaily[EntryDate],DATE(2026,2,4),tblDaily[WardCode],"BH")=0,"",SUMIFS(tblDaily[Discharges],tblDaily[EntryDate],DATE(2026,2,4),tblDaily[WardCode],"BH")),"")</f>
        <v/>
      </c>
      <c r="D49" s="12">
        <f>IFERROR(IF(SUMIFS(tblDaily[Deaths],tblDaily[EntryDate],DATE(2026,2,4),tblDaily[WardCode],"BH")=0,"",SUMIFS(tblDaily[Deaths],tblDaily[EntryDate],DATE(2026,2,4),tblDaily[WardCode],"BH")),"")</f>
        <v/>
      </c>
      <c r="E49" s="12">
        <f>IFERROR(IF(SUMIFS(tblDaily[DeathsUnder24Hrs],tblDaily[EntryDate],DATE(2026,2,4),tblDaily[WardCode],"BH")=0,"",SUMIFS(tblDaily[DeathsUnder24Hrs],tblDaily[EntryDate],DATE(2026,2,4),tblDaily[WardCode],"BH")),"")</f>
        <v/>
      </c>
      <c r="F49" s="12">
        <f>IFERROR(IF(SUMIFS(tblDaily[TransfersIn],tblDaily[EntryDate],DATE(2026,2,4),tblDaily[WardCode],"BH")=0,"",SUMIFS(tblDaily[TransfersIn],tblDaily[EntryDate],DATE(2026,2,4),tblDaily[WardCode],"BH")),"")</f>
        <v/>
      </c>
      <c r="G49" s="12">
        <f>IFERROR(IF(SUMIFS(tblDaily[TransfersOut],tblDaily[EntryDate],DATE(2026,2,4),tblDaily[WardCode],"BH")=0,"",SUMIFS(tblDaily[TransfersOut],tblDaily[EntryDate],DATE(2026,2,4),tblDaily[WardCode],"BH")),"")</f>
        <v/>
      </c>
      <c r="H49" s="12">
        <f>IFERROR(IF(SUMIFS(tblDaily[Remaining],tblDaily[EntryDate],DATE(2026,2,4),tblDaily[WardCode],"BH")=0,"",SUMIFS(tblDaily[Remaining],tblDaily[EntryDate],DATE(2026,2,4),tblDaily[WardCode],"BH")),"")</f>
        <v/>
      </c>
    </row>
    <row r="50">
      <c r="A50" s="12" t="n">
        <v>5</v>
      </c>
      <c r="B50" s="12">
        <f>IFERROR(IF(SUMIFS(tblDaily[Admissions],tblDaily[EntryDate],DATE(2026,2,5),tblDaily[WardCode],"BH")=0,"",SUMIFS(tblDaily[Admissions],tblDaily[EntryDate],DATE(2026,2,5),tblDaily[WardCode],"BH")),"")</f>
        <v/>
      </c>
      <c r="C50" s="12">
        <f>IFERROR(IF(SUMIFS(tblDaily[Discharges],tblDaily[EntryDate],DATE(2026,2,5),tblDaily[WardCode],"BH")=0,"",SUMIFS(tblDaily[Discharges],tblDaily[EntryDate],DATE(2026,2,5),tblDaily[WardCode],"BH")),"")</f>
        <v/>
      </c>
      <c r="D50" s="12">
        <f>IFERROR(IF(SUMIFS(tblDaily[Deaths],tblDaily[EntryDate],DATE(2026,2,5),tblDaily[WardCode],"BH")=0,"",SUMIFS(tblDaily[Deaths],tblDaily[EntryDate],DATE(2026,2,5),tblDaily[WardCode],"BH")),"")</f>
        <v/>
      </c>
      <c r="E50" s="12">
        <f>IFERROR(IF(SUMIFS(tblDaily[DeathsUnder24Hrs],tblDaily[EntryDate],DATE(2026,2,5),tblDaily[WardCode],"BH")=0,"",SUMIFS(tblDaily[DeathsUnder24Hrs],tblDaily[EntryDate],DATE(2026,2,5),tblDaily[WardCode],"BH")),"")</f>
        <v/>
      </c>
      <c r="F50" s="12">
        <f>IFERROR(IF(SUMIFS(tblDaily[TransfersIn],tblDaily[EntryDate],DATE(2026,2,5),tblDaily[WardCode],"BH")=0,"",SUMIFS(tblDaily[TransfersIn],tblDaily[EntryDate],DATE(2026,2,5),tblDaily[WardCode],"BH")),"")</f>
        <v/>
      </c>
      <c r="G50" s="12">
        <f>IFERROR(IF(SUMIFS(tblDaily[TransfersOut],tblDaily[EntryDate],DATE(2026,2,5),tblDaily[WardCode],"BH")=0,"",SUMIFS(tblDaily[TransfersOut],tblDaily[EntryDate],DATE(2026,2,5),tblDaily[WardCode],"BH")),"")</f>
        <v/>
      </c>
      <c r="H50" s="12">
        <f>IFERROR(IF(SUMIFS(tblDaily[Remaining],tblDaily[EntryDate],DATE(2026,2,5),tblDaily[WardCode],"BH")=0,"",SUMIFS(tblDaily[Remaining],tblDaily[EntryDate],DATE(2026,2,5),tblDaily[WardCode],"BH")),"")</f>
        <v/>
      </c>
    </row>
    <row r="51">
      <c r="A51" s="12" t="n">
        <v>6</v>
      </c>
      <c r="B51" s="12">
        <f>IFERROR(IF(SUMIFS(tblDaily[Admissions],tblDaily[EntryDate],DATE(2026,2,6),tblDaily[WardCode],"BH")=0,"",SUMIFS(tblDaily[Admissions],tblDaily[EntryDate],DATE(2026,2,6),tblDaily[WardCode],"BH")),"")</f>
        <v/>
      </c>
      <c r="C51" s="12">
        <f>IFERROR(IF(SUMIFS(tblDaily[Discharges],tblDaily[EntryDate],DATE(2026,2,6),tblDaily[WardCode],"BH")=0,"",SUMIFS(tblDaily[Discharges],tblDaily[EntryDate],DATE(2026,2,6),tblDaily[WardCode],"BH")),"")</f>
        <v/>
      </c>
      <c r="D51" s="12">
        <f>IFERROR(IF(SUMIFS(tblDaily[Deaths],tblDaily[EntryDate],DATE(2026,2,6),tblDaily[WardCode],"BH")=0,"",SUMIFS(tblDaily[Deaths],tblDaily[EntryDate],DATE(2026,2,6),tblDaily[WardCode],"BH")),"")</f>
        <v/>
      </c>
      <c r="E51" s="12">
        <f>IFERROR(IF(SUMIFS(tblDaily[DeathsUnder24Hrs],tblDaily[EntryDate],DATE(2026,2,6),tblDaily[WardCode],"BH")=0,"",SUMIFS(tblDaily[DeathsUnder24Hrs],tblDaily[EntryDate],DATE(2026,2,6),tblDaily[WardCode],"BH")),"")</f>
        <v/>
      </c>
      <c r="F51" s="12">
        <f>IFERROR(IF(SUMIFS(tblDaily[TransfersIn],tblDaily[EntryDate],DATE(2026,2,6),tblDaily[WardCode],"BH")=0,"",SUMIFS(tblDaily[TransfersIn],tblDaily[EntryDate],DATE(2026,2,6),tblDaily[WardCode],"BH")),"")</f>
        <v/>
      </c>
      <c r="G51" s="12">
        <f>IFERROR(IF(SUMIFS(tblDaily[TransfersOut],tblDaily[EntryDate],DATE(2026,2,6),tblDaily[WardCode],"BH")=0,"",SUMIFS(tblDaily[TransfersOut],tblDaily[EntryDate],DATE(2026,2,6),tblDaily[WardCode],"BH")),"")</f>
        <v/>
      </c>
      <c r="H51" s="12">
        <f>IFERROR(IF(SUMIFS(tblDaily[Remaining],tblDaily[EntryDate],DATE(2026,2,6),tblDaily[WardCode],"BH")=0,"",SUMIFS(tblDaily[Remaining],tblDaily[EntryDate],DATE(2026,2,6),tblDaily[WardCode],"BH")),"")</f>
        <v/>
      </c>
    </row>
    <row r="52">
      <c r="A52" s="12" t="n">
        <v>7</v>
      </c>
      <c r="B52" s="12">
        <f>IFERROR(IF(SUMIFS(tblDaily[Admissions],tblDaily[EntryDate],DATE(2026,2,7),tblDaily[WardCode],"BH")=0,"",SUMIFS(tblDaily[Admissions],tblDaily[EntryDate],DATE(2026,2,7),tblDaily[WardCode],"BH")),"")</f>
        <v/>
      </c>
      <c r="C52" s="12">
        <f>IFERROR(IF(SUMIFS(tblDaily[Discharges],tblDaily[EntryDate],DATE(2026,2,7),tblDaily[WardCode],"BH")=0,"",SUMIFS(tblDaily[Discharges],tblDaily[EntryDate],DATE(2026,2,7),tblDaily[WardCode],"BH")),"")</f>
        <v/>
      </c>
      <c r="D52" s="12">
        <f>IFERROR(IF(SUMIFS(tblDaily[Deaths],tblDaily[EntryDate],DATE(2026,2,7),tblDaily[WardCode],"BH")=0,"",SUMIFS(tblDaily[Deaths],tblDaily[EntryDate],DATE(2026,2,7),tblDaily[WardCode],"BH")),"")</f>
        <v/>
      </c>
      <c r="E52" s="12">
        <f>IFERROR(IF(SUMIFS(tblDaily[DeathsUnder24Hrs],tblDaily[EntryDate],DATE(2026,2,7),tblDaily[WardCode],"BH")=0,"",SUMIFS(tblDaily[DeathsUnder24Hrs],tblDaily[EntryDate],DATE(2026,2,7),tblDaily[WardCode],"BH")),"")</f>
        <v/>
      </c>
      <c r="F52" s="12">
        <f>IFERROR(IF(SUMIFS(tblDaily[TransfersIn],tblDaily[EntryDate],DATE(2026,2,7),tblDaily[WardCode],"BH")=0,"",SUMIFS(tblDaily[TransfersIn],tblDaily[EntryDate],DATE(2026,2,7),tblDaily[WardCode],"BH")),"")</f>
        <v/>
      </c>
      <c r="G52" s="12">
        <f>IFERROR(IF(SUMIFS(tblDaily[TransfersOut],tblDaily[EntryDate],DATE(2026,2,7),tblDaily[WardCode],"BH")=0,"",SUMIFS(tblDaily[TransfersOut],tblDaily[EntryDate],DATE(2026,2,7),tblDaily[WardCode],"BH")),"")</f>
        <v/>
      </c>
      <c r="H52" s="12">
        <f>IFERROR(IF(SUMIFS(tblDaily[Remaining],tblDaily[EntryDate],DATE(2026,2,7),tblDaily[WardCode],"BH")=0,"",SUMIFS(tblDaily[Remaining],tblDaily[EntryDate],DATE(2026,2,7),tblDaily[WardCode],"BH")),"")</f>
        <v/>
      </c>
    </row>
    <row r="53">
      <c r="A53" s="12" t="n">
        <v>8</v>
      </c>
      <c r="B53" s="12">
        <f>IFERROR(IF(SUMIFS(tblDaily[Admissions],tblDaily[EntryDate],DATE(2026,2,8),tblDaily[WardCode],"BH")=0,"",SUMIFS(tblDaily[Admissions],tblDaily[EntryDate],DATE(2026,2,8),tblDaily[WardCode],"BH")),"")</f>
        <v/>
      </c>
      <c r="C53" s="12">
        <f>IFERROR(IF(SUMIFS(tblDaily[Discharges],tblDaily[EntryDate],DATE(2026,2,8),tblDaily[WardCode],"BH")=0,"",SUMIFS(tblDaily[Discharges],tblDaily[EntryDate],DATE(2026,2,8),tblDaily[WardCode],"BH")),"")</f>
        <v/>
      </c>
      <c r="D53" s="12">
        <f>IFERROR(IF(SUMIFS(tblDaily[Deaths],tblDaily[EntryDate],DATE(2026,2,8),tblDaily[WardCode],"BH")=0,"",SUMIFS(tblDaily[Deaths],tblDaily[EntryDate],DATE(2026,2,8),tblDaily[WardCode],"BH")),"")</f>
        <v/>
      </c>
      <c r="E53" s="12">
        <f>IFERROR(IF(SUMIFS(tblDaily[DeathsUnder24Hrs],tblDaily[EntryDate],DATE(2026,2,8),tblDaily[WardCode],"BH")=0,"",SUMIFS(tblDaily[DeathsUnder24Hrs],tblDaily[EntryDate],DATE(2026,2,8),tblDaily[WardCode],"BH")),"")</f>
        <v/>
      </c>
      <c r="F53" s="12">
        <f>IFERROR(IF(SUMIFS(tblDaily[TransfersIn],tblDaily[EntryDate],DATE(2026,2,8),tblDaily[WardCode],"BH")=0,"",SUMIFS(tblDaily[TransfersIn],tblDaily[EntryDate],DATE(2026,2,8),tblDaily[WardCode],"BH")),"")</f>
        <v/>
      </c>
      <c r="G53" s="12">
        <f>IFERROR(IF(SUMIFS(tblDaily[TransfersOut],tblDaily[EntryDate],DATE(2026,2,8),tblDaily[WardCode],"BH")=0,"",SUMIFS(tblDaily[TransfersOut],tblDaily[EntryDate],DATE(2026,2,8),tblDaily[WardCode],"BH")),"")</f>
        <v/>
      </c>
      <c r="H53" s="12">
        <f>IFERROR(IF(SUMIFS(tblDaily[Remaining],tblDaily[EntryDate],DATE(2026,2,8),tblDaily[WardCode],"BH")=0,"",SUMIFS(tblDaily[Remaining],tblDaily[EntryDate],DATE(2026,2,8),tblDaily[WardCode],"BH")),"")</f>
        <v/>
      </c>
    </row>
    <row r="54">
      <c r="A54" s="12" t="n">
        <v>9</v>
      </c>
      <c r="B54" s="12">
        <f>IFERROR(IF(SUMIFS(tblDaily[Admissions],tblDaily[EntryDate],DATE(2026,2,9),tblDaily[WardCode],"BH")=0,"",SUMIFS(tblDaily[Admissions],tblDaily[EntryDate],DATE(2026,2,9),tblDaily[WardCode],"BH")),"")</f>
        <v/>
      </c>
      <c r="C54" s="12">
        <f>IFERROR(IF(SUMIFS(tblDaily[Discharges],tblDaily[EntryDate],DATE(2026,2,9),tblDaily[WardCode],"BH")=0,"",SUMIFS(tblDaily[Discharges],tblDaily[EntryDate],DATE(2026,2,9),tblDaily[WardCode],"BH")),"")</f>
        <v/>
      </c>
      <c r="D54" s="12">
        <f>IFERROR(IF(SUMIFS(tblDaily[Deaths],tblDaily[EntryDate],DATE(2026,2,9),tblDaily[WardCode],"BH")=0,"",SUMIFS(tblDaily[Deaths],tblDaily[EntryDate],DATE(2026,2,9),tblDaily[WardCode],"BH")),"")</f>
        <v/>
      </c>
      <c r="E54" s="12">
        <f>IFERROR(IF(SUMIFS(tblDaily[DeathsUnder24Hrs],tblDaily[EntryDate],DATE(2026,2,9),tblDaily[WardCode],"BH")=0,"",SUMIFS(tblDaily[DeathsUnder24Hrs],tblDaily[EntryDate],DATE(2026,2,9),tblDaily[WardCode],"BH")),"")</f>
        <v/>
      </c>
      <c r="F54" s="12">
        <f>IFERROR(IF(SUMIFS(tblDaily[TransfersIn],tblDaily[EntryDate],DATE(2026,2,9),tblDaily[WardCode],"BH")=0,"",SUMIFS(tblDaily[TransfersIn],tblDaily[EntryDate],DATE(2026,2,9),tblDaily[WardCode],"BH")),"")</f>
        <v/>
      </c>
      <c r="G54" s="12">
        <f>IFERROR(IF(SUMIFS(tblDaily[TransfersOut],tblDaily[EntryDate],DATE(2026,2,9),tblDaily[WardCode],"BH")=0,"",SUMIFS(tblDaily[TransfersOut],tblDaily[EntryDate],DATE(2026,2,9),tblDaily[WardCode],"BH")),"")</f>
        <v/>
      </c>
      <c r="H54" s="12">
        <f>IFERROR(IF(SUMIFS(tblDaily[Remaining],tblDaily[EntryDate],DATE(2026,2,9),tblDaily[WardCode],"BH")=0,"",SUMIFS(tblDaily[Remaining],tblDaily[EntryDate],DATE(2026,2,9),tblDaily[WardCode],"BH")),"")</f>
        <v/>
      </c>
    </row>
    <row r="55">
      <c r="A55" s="12" t="n">
        <v>10</v>
      </c>
      <c r="B55" s="12">
        <f>IFERROR(IF(SUMIFS(tblDaily[Admissions],tblDaily[EntryDate],DATE(2026,2,10),tblDaily[WardCode],"BH")=0,"",SUMIFS(tblDaily[Admissions],tblDaily[EntryDate],DATE(2026,2,10),tblDaily[WardCode],"BH")),"")</f>
        <v/>
      </c>
      <c r="C55" s="12">
        <f>IFERROR(IF(SUMIFS(tblDaily[Discharges],tblDaily[EntryDate],DATE(2026,2,10),tblDaily[WardCode],"BH")=0,"",SUMIFS(tblDaily[Discharges],tblDaily[EntryDate],DATE(2026,2,10),tblDaily[WardCode],"BH")),"")</f>
        <v/>
      </c>
      <c r="D55" s="12">
        <f>IFERROR(IF(SUMIFS(tblDaily[Deaths],tblDaily[EntryDate],DATE(2026,2,10),tblDaily[WardCode],"BH")=0,"",SUMIFS(tblDaily[Deaths],tblDaily[EntryDate],DATE(2026,2,10),tblDaily[WardCode],"BH")),"")</f>
        <v/>
      </c>
      <c r="E55" s="12">
        <f>IFERROR(IF(SUMIFS(tblDaily[DeathsUnder24Hrs],tblDaily[EntryDate],DATE(2026,2,10),tblDaily[WardCode],"BH")=0,"",SUMIFS(tblDaily[DeathsUnder24Hrs],tblDaily[EntryDate],DATE(2026,2,10),tblDaily[WardCode],"BH")),"")</f>
        <v/>
      </c>
      <c r="F55" s="12">
        <f>IFERROR(IF(SUMIFS(tblDaily[TransfersIn],tblDaily[EntryDate],DATE(2026,2,10),tblDaily[WardCode],"BH")=0,"",SUMIFS(tblDaily[TransfersIn],tblDaily[EntryDate],DATE(2026,2,10),tblDaily[WardCode],"BH")),"")</f>
        <v/>
      </c>
      <c r="G55" s="12">
        <f>IFERROR(IF(SUMIFS(tblDaily[TransfersOut],tblDaily[EntryDate],DATE(2026,2,10),tblDaily[WardCode],"BH")=0,"",SUMIFS(tblDaily[TransfersOut],tblDaily[EntryDate],DATE(2026,2,10),tblDaily[WardCode],"BH")),"")</f>
        <v/>
      </c>
      <c r="H55" s="12">
        <f>IFERROR(IF(SUMIFS(tblDaily[Remaining],tblDaily[EntryDate],DATE(2026,2,10),tblDaily[WardCode],"BH")=0,"",SUMIFS(tblDaily[Remaining],tblDaily[EntryDate],DATE(2026,2,10),tblDaily[WardCode],"BH")),"")</f>
        <v/>
      </c>
    </row>
    <row r="56">
      <c r="A56" s="12" t="n">
        <v>11</v>
      </c>
      <c r="B56" s="12">
        <f>IFERROR(IF(SUMIFS(tblDaily[Admissions],tblDaily[EntryDate],DATE(2026,2,11),tblDaily[WardCode],"BH")=0,"",SUMIFS(tblDaily[Admissions],tblDaily[EntryDate],DATE(2026,2,11),tblDaily[WardCode],"BH")),"")</f>
        <v/>
      </c>
      <c r="C56" s="12">
        <f>IFERROR(IF(SUMIFS(tblDaily[Discharges],tblDaily[EntryDate],DATE(2026,2,11),tblDaily[WardCode],"BH")=0,"",SUMIFS(tblDaily[Discharges],tblDaily[EntryDate],DATE(2026,2,11),tblDaily[WardCode],"BH")),"")</f>
        <v/>
      </c>
      <c r="D56" s="12">
        <f>IFERROR(IF(SUMIFS(tblDaily[Deaths],tblDaily[EntryDate],DATE(2026,2,11),tblDaily[WardCode],"BH")=0,"",SUMIFS(tblDaily[Deaths],tblDaily[EntryDate],DATE(2026,2,11),tblDaily[WardCode],"BH")),"")</f>
        <v/>
      </c>
      <c r="E56" s="12">
        <f>IFERROR(IF(SUMIFS(tblDaily[DeathsUnder24Hrs],tblDaily[EntryDate],DATE(2026,2,11),tblDaily[WardCode],"BH")=0,"",SUMIFS(tblDaily[DeathsUnder24Hrs],tblDaily[EntryDate],DATE(2026,2,11),tblDaily[WardCode],"BH")),"")</f>
        <v/>
      </c>
      <c r="F56" s="12">
        <f>IFERROR(IF(SUMIFS(tblDaily[TransfersIn],tblDaily[EntryDate],DATE(2026,2,11),tblDaily[WardCode],"BH")=0,"",SUMIFS(tblDaily[TransfersIn],tblDaily[EntryDate],DATE(2026,2,11),tblDaily[WardCode],"BH")),"")</f>
        <v/>
      </c>
      <c r="G56" s="12">
        <f>IFERROR(IF(SUMIFS(tblDaily[TransfersOut],tblDaily[EntryDate],DATE(2026,2,11),tblDaily[WardCode],"BH")=0,"",SUMIFS(tblDaily[TransfersOut],tblDaily[EntryDate],DATE(2026,2,11),tblDaily[WardCode],"BH")),"")</f>
        <v/>
      </c>
      <c r="H56" s="12">
        <f>IFERROR(IF(SUMIFS(tblDaily[Remaining],tblDaily[EntryDate],DATE(2026,2,11),tblDaily[WardCode],"BH")=0,"",SUMIFS(tblDaily[Remaining],tblDaily[EntryDate],DATE(2026,2,11),tblDaily[WardCode],"BH")),"")</f>
        <v/>
      </c>
    </row>
    <row r="57">
      <c r="A57" s="12" t="n">
        <v>12</v>
      </c>
      <c r="B57" s="12">
        <f>IFERROR(IF(SUMIFS(tblDaily[Admissions],tblDaily[EntryDate],DATE(2026,2,12),tblDaily[WardCode],"BH")=0,"",SUMIFS(tblDaily[Admissions],tblDaily[EntryDate],DATE(2026,2,12),tblDaily[WardCode],"BH")),"")</f>
        <v/>
      </c>
      <c r="C57" s="12">
        <f>IFERROR(IF(SUMIFS(tblDaily[Discharges],tblDaily[EntryDate],DATE(2026,2,12),tblDaily[WardCode],"BH")=0,"",SUMIFS(tblDaily[Discharges],tblDaily[EntryDate],DATE(2026,2,12),tblDaily[WardCode],"BH")),"")</f>
        <v/>
      </c>
      <c r="D57" s="12">
        <f>IFERROR(IF(SUMIFS(tblDaily[Deaths],tblDaily[EntryDate],DATE(2026,2,12),tblDaily[WardCode],"BH")=0,"",SUMIFS(tblDaily[Deaths],tblDaily[EntryDate],DATE(2026,2,12),tblDaily[WardCode],"BH")),"")</f>
        <v/>
      </c>
      <c r="E57" s="12">
        <f>IFERROR(IF(SUMIFS(tblDaily[DeathsUnder24Hrs],tblDaily[EntryDate],DATE(2026,2,12),tblDaily[WardCode],"BH")=0,"",SUMIFS(tblDaily[DeathsUnder24Hrs],tblDaily[EntryDate],DATE(2026,2,12),tblDaily[WardCode],"BH")),"")</f>
        <v/>
      </c>
      <c r="F57" s="12">
        <f>IFERROR(IF(SUMIFS(tblDaily[TransfersIn],tblDaily[EntryDate],DATE(2026,2,12),tblDaily[WardCode],"BH")=0,"",SUMIFS(tblDaily[TransfersIn],tblDaily[EntryDate],DATE(2026,2,12),tblDaily[WardCode],"BH")),"")</f>
        <v/>
      </c>
      <c r="G57" s="12">
        <f>IFERROR(IF(SUMIFS(tblDaily[TransfersOut],tblDaily[EntryDate],DATE(2026,2,12),tblDaily[WardCode],"BH")=0,"",SUMIFS(tblDaily[TransfersOut],tblDaily[EntryDate],DATE(2026,2,12),tblDaily[WardCode],"BH")),"")</f>
        <v/>
      </c>
      <c r="H57" s="12">
        <f>IFERROR(IF(SUMIFS(tblDaily[Remaining],tblDaily[EntryDate],DATE(2026,2,12),tblDaily[WardCode],"BH")=0,"",SUMIFS(tblDaily[Remaining],tblDaily[EntryDate],DATE(2026,2,12),tblDaily[WardCode],"BH")),"")</f>
        <v/>
      </c>
    </row>
    <row r="58">
      <c r="A58" s="12" t="n">
        <v>13</v>
      </c>
      <c r="B58" s="12">
        <f>IFERROR(IF(SUMIFS(tblDaily[Admissions],tblDaily[EntryDate],DATE(2026,2,13),tblDaily[WardCode],"BH")=0,"",SUMIFS(tblDaily[Admissions],tblDaily[EntryDate],DATE(2026,2,13),tblDaily[WardCode],"BH")),"")</f>
        <v/>
      </c>
      <c r="C58" s="12">
        <f>IFERROR(IF(SUMIFS(tblDaily[Discharges],tblDaily[EntryDate],DATE(2026,2,13),tblDaily[WardCode],"BH")=0,"",SUMIFS(tblDaily[Discharges],tblDaily[EntryDate],DATE(2026,2,13),tblDaily[WardCode],"BH")),"")</f>
        <v/>
      </c>
      <c r="D58" s="12">
        <f>IFERROR(IF(SUMIFS(tblDaily[Deaths],tblDaily[EntryDate],DATE(2026,2,13),tblDaily[WardCode],"BH")=0,"",SUMIFS(tblDaily[Deaths],tblDaily[EntryDate],DATE(2026,2,13),tblDaily[WardCode],"BH")),"")</f>
        <v/>
      </c>
      <c r="E58" s="12">
        <f>IFERROR(IF(SUMIFS(tblDaily[DeathsUnder24Hrs],tblDaily[EntryDate],DATE(2026,2,13),tblDaily[WardCode],"BH")=0,"",SUMIFS(tblDaily[DeathsUnder24Hrs],tblDaily[EntryDate],DATE(2026,2,13),tblDaily[WardCode],"BH")),"")</f>
        <v/>
      </c>
      <c r="F58" s="12">
        <f>IFERROR(IF(SUMIFS(tblDaily[TransfersIn],tblDaily[EntryDate],DATE(2026,2,13),tblDaily[WardCode],"BH")=0,"",SUMIFS(tblDaily[TransfersIn],tblDaily[EntryDate],DATE(2026,2,13),tblDaily[WardCode],"BH")),"")</f>
        <v/>
      </c>
      <c r="G58" s="12">
        <f>IFERROR(IF(SUMIFS(tblDaily[TransfersOut],tblDaily[EntryDate],DATE(2026,2,13),tblDaily[WardCode],"BH")=0,"",SUMIFS(tblDaily[TransfersOut],tblDaily[EntryDate],DATE(2026,2,13),tblDaily[WardCode],"BH")),"")</f>
        <v/>
      </c>
      <c r="H58" s="12">
        <f>IFERROR(IF(SUMIFS(tblDaily[Remaining],tblDaily[EntryDate],DATE(2026,2,13),tblDaily[WardCode],"BH")=0,"",SUMIFS(tblDaily[Remaining],tblDaily[EntryDate],DATE(2026,2,13),tblDaily[WardCode],"BH")),"")</f>
        <v/>
      </c>
    </row>
    <row r="59">
      <c r="A59" s="12" t="n">
        <v>14</v>
      </c>
      <c r="B59" s="12">
        <f>IFERROR(IF(SUMIFS(tblDaily[Admissions],tblDaily[EntryDate],DATE(2026,2,14),tblDaily[WardCode],"BH")=0,"",SUMIFS(tblDaily[Admissions],tblDaily[EntryDate],DATE(2026,2,14),tblDaily[WardCode],"BH")),"")</f>
        <v/>
      </c>
      <c r="C59" s="12">
        <f>IFERROR(IF(SUMIFS(tblDaily[Discharges],tblDaily[EntryDate],DATE(2026,2,14),tblDaily[WardCode],"BH")=0,"",SUMIFS(tblDaily[Discharges],tblDaily[EntryDate],DATE(2026,2,14),tblDaily[WardCode],"BH")),"")</f>
        <v/>
      </c>
      <c r="D59" s="12">
        <f>IFERROR(IF(SUMIFS(tblDaily[Deaths],tblDaily[EntryDate],DATE(2026,2,14),tblDaily[WardCode],"BH")=0,"",SUMIFS(tblDaily[Deaths],tblDaily[EntryDate],DATE(2026,2,14),tblDaily[WardCode],"BH")),"")</f>
        <v/>
      </c>
      <c r="E59" s="12">
        <f>IFERROR(IF(SUMIFS(tblDaily[DeathsUnder24Hrs],tblDaily[EntryDate],DATE(2026,2,14),tblDaily[WardCode],"BH")=0,"",SUMIFS(tblDaily[DeathsUnder24Hrs],tblDaily[EntryDate],DATE(2026,2,14),tblDaily[WardCode],"BH")),"")</f>
        <v/>
      </c>
      <c r="F59" s="12">
        <f>IFERROR(IF(SUMIFS(tblDaily[TransfersIn],tblDaily[EntryDate],DATE(2026,2,14),tblDaily[WardCode],"BH")=0,"",SUMIFS(tblDaily[TransfersIn],tblDaily[EntryDate],DATE(2026,2,14),tblDaily[WardCode],"BH")),"")</f>
        <v/>
      </c>
      <c r="G59" s="12">
        <f>IFERROR(IF(SUMIFS(tblDaily[TransfersOut],tblDaily[EntryDate],DATE(2026,2,14),tblDaily[WardCode],"BH")=0,"",SUMIFS(tblDaily[TransfersOut],tblDaily[EntryDate],DATE(2026,2,14),tblDaily[WardCode],"BH")),"")</f>
        <v/>
      </c>
      <c r="H59" s="12">
        <f>IFERROR(IF(SUMIFS(tblDaily[Remaining],tblDaily[EntryDate],DATE(2026,2,14),tblDaily[WardCode],"BH")=0,"",SUMIFS(tblDaily[Remaining],tblDaily[EntryDate],DATE(2026,2,14),tblDaily[WardCode],"BH")),"")</f>
        <v/>
      </c>
    </row>
    <row r="60">
      <c r="A60" s="12" t="n">
        <v>15</v>
      </c>
      <c r="B60" s="12">
        <f>IFERROR(IF(SUMIFS(tblDaily[Admissions],tblDaily[EntryDate],DATE(2026,2,15),tblDaily[WardCode],"BH")=0,"",SUMIFS(tblDaily[Admissions],tblDaily[EntryDate],DATE(2026,2,15),tblDaily[WardCode],"BH")),"")</f>
        <v/>
      </c>
      <c r="C60" s="12">
        <f>IFERROR(IF(SUMIFS(tblDaily[Discharges],tblDaily[EntryDate],DATE(2026,2,15),tblDaily[WardCode],"BH")=0,"",SUMIFS(tblDaily[Discharges],tblDaily[EntryDate],DATE(2026,2,15),tblDaily[WardCode],"BH")),"")</f>
        <v/>
      </c>
      <c r="D60" s="12">
        <f>IFERROR(IF(SUMIFS(tblDaily[Deaths],tblDaily[EntryDate],DATE(2026,2,15),tblDaily[WardCode],"BH")=0,"",SUMIFS(tblDaily[Deaths],tblDaily[EntryDate],DATE(2026,2,15),tblDaily[WardCode],"BH")),"")</f>
        <v/>
      </c>
      <c r="E60" s="12">
        <f>IFERROR(IF(SUMIFS(tblDaily[DeathsUnder24Hrs],tblDaily[EntryDate],DATE(2026,2,15),tblDaily[WardCode],"BH")=0,"",SUMIFS(tblDaily[DeathsUnder24Hrs],tblDaily[EntryDate],DATE(2026,2,15),tblDaily[WardCode],"BH")),"")</f>
        <v/>
      </c>
      <c r="F60" s="12">
        <f>IFERROR(IF(SUMIFS(tblDaily[TransfersIn],tblDaily[EntryDate],DATE(2026,2,15),tblDaily[WardCode],"BH")=0,"",SUMIFS(tblDaily[TransfersIn],tblDaily[EntryDate],DATE(2026,2,15),tblDaily[WardCode],"BH")),"")</f>
        <v/>
      </c>
      <c r="G60" s="12">
        <f>IFERROR(IF(SUMIFS(tblDaily[TransfersOut],tblDaily[EntryDate],DATE(2026,2,15),tblDaily[WardCode],"BH")=0,"",SUMIFS(tblDaily[TransfersOut],tblDaily[EntryDate],DATE(2026,2,15),tblDaily[WardCode],"BH")),"")</f>
        <v/>
      </c>
      <c r="H60" s="12">
        <f>IFERROR(IF(SUMIFS(tblDaily[Remaining],tblDaily[EntryDate],DATE(2026,2,15),tblDaily[WardCode],"BH")=0,"",SUMIFS(tblDaily[Remaining],tblDaily[EntryDate],DATE(2026,2,15),tblDaily[WardCode],"BH")),"")</f>
        <v/>
      </c>
    </row>
    <row r="61">
      <c r="A61" s="12" t="n">
        <v>16</v>
      </c>
      <c r="B61" s="12">
        <f>IFERROR(IF(SUMIFS(tblDaily[Admissions],tblDaily[EntryDate],DATE(2026,2,16),tblDaily[WardCode],"BH")=0,"",SUMIFS(tblDaily[Admissions],tblDaily[EntryDate],DATE(2026,2,16),tblDaily[WardCode],"BH")),"")</f>
        <v/>
      </c>
      <c r="C61" s="12">
        <f>IFERROR(IF(SUMIFS(tblDaily[Discharges],tblDaily[EntryDate],DATE(2026,2,16),tblDaily[WardCode],"BH")=0,"",SUMIFS(tblDaily[Discharges],tblDaily[EntryDate],DATE(2026,2,16),tblDaily[WardCode],"BH")),"")</f>
        <v/>
      </c>
      <c r="D61" s="12">
        <f>IFERROR(IF(SUMIFS(tblDaily[Deaths],tblDaily[EntryDate],DATE(2026,2,16),tblDaily[WardCode],"BH")=0,"",SUMIFS(tblDaily[Deaths],tblDaily[EntryDate],DATE(2026,2,16),tblDaily[WardCode],"BH")),"")</f>
        <v/>
      </c>
      <c r="E61" s="12">
        <f>IFERROR(IF(SUMIFS(tblDaily[DeathsUnder24Hrs],tblDaily[EntryDate],DATE(2026,2,16),tblDaily[WardCode],"BH")=0,"",SUMIFS(tblDaily[DeathsUnder24Hrs],tblDaily[EntryDate],DATE(2026,2,16),tblDaily[WardCode],"BH")),"")</f>
        <v/>
      </c>
      <c r="F61" s="12">
        <f>IFERROR(IF(SUMIFS(tblDaily[TransfersIn],tblDaily[EntryDate],DATE(2026,2,16),tblDaily[WardCode],"BH")=0,"",SUMIFS(tblDaily[TransfersIn],tblDaily[EntryDate],DATE(2026,2,16),tblDaily[WardCode],"BH")),"")</f>
        <v/>
      </c>
      <c r="G61" s="12">
        <f>IFERROR(IF(SUMIFS(tblDaily[TransfersOut],tblDaily[EntryDate],DATE(2026,2,16),tblDaily[WardCode],"BH")=0,"",SUMIFS(tblDaily[TransfersOut],tblDaily[EntryDate],DATE(2026,2,16),tblDaily[WardCode],"BH")),"")</f>
        <v/>
      </c>
      <c r="H61" s="12">
        <f>IFERROR(IF(SUMIFS(tblDaily[Remaining],tblDaily[EntryDate],DATE(2026,2,16),tblDaily[WardCode],"BH")=0,"",SUMIFS(tblDaily[Remaining],tblDaily[EntryDate],DATE(2026,2,16),tblDaily[WardCode],"BH")),"")</f>
        <v/>
      </c>
    </row>
    <row r="62">
      <c r="A62" s="12" t="n">
        <v>17</v>
      </c>
      <c r="B62" s="12">
        <f>IFERROR(IF(SUMIFS(tblDaily[Admissions],tblDaily[EntryDate],DATE(2026,2,17),tblDaily[WardCode],"BH")=0,"",SUMIFS(tblDaily[Admissions],tblDaily[EntryDate],DATE(2026,2,17),tblDaily[WardCode],"BH")),"")</f>
        <v/>
      </c>
      <c r="C62" s="12">
        <f>IFERROR(IF(SUMIFS(tblDaily[Discharges],tblDaily[EntryDate],DATE(2026,2,17),tblDaily[WardCode],"BH")=0,"",SUMIFS(tblDaily[Discharges],tblDaily[EntryDate],DATE(2026,2,17),tblDaily[WardCode],"BH")),"")</f>
        <v/>
      </c>
      <c r="D62" s="12">
        <f>IFERROR(IF(SUMIFS(tblDaily[Deaths],tblDaily[EntryDate],DATE(2026,2,17),tblDaily[WardCode],"BH")=0,"",SUMIFS(tblDaily[Deaths],tblDaily[EntryDate],DATE(2026,2,17),tblDaily[WardCode],"BH")),"")</f>
        <v/>
      </c>
      <c r="E62" s="12">
        <f>IFERROR(IF(SUMIFS(tblDaily[DeathsUnder24Hrs],tblDaily[EntryDate],DATE(2026,2,17),tblDaily[WardCode],"BH")=0,"",SUMIFS(tblDaily[DeathsUnder24Hrs],tblDaily[EntryDate],DATE(2026,2,17),tblDaily[WardCode],"BH")),"")</f>
        <v/>
      </c>
      <c r="F62" s="12">
        <f>IFERROR(IF(SUMIFS(tblDaily[TransfersIn],tblDaily[EntryDate],DATE(2026,2,17),tblDaily[WardCode],"BH")=0,"",SUMIFS(tblDaily[TransfersIn],tblDaily[EntryDate],DATE(2026,2,17),tblDaily[WardCode],"BH")),"")</f>
        <v/>
      </c>
      <c r="G62" s="12">
        <f>IFERROR(IF(SUMIFS(tblDaily[TransfersOut],tblDaily[EntryDate],DATE(2026,2,17),tblDaily[WardCode],"BH")=0,"",SUMIFS(tblDaily[TransfersOut],tblDaily[EntryDate],DATE(2026,2,17),tblDaily[WardCode],"BH")),"")</f>
        <v/>
      </c>
      <c r="H62" s="12">
        <f>IFERROR(IF(SUMIFS(tblDaily[Remaining],tblDaily[EntryDate],DATE(2026,2,17),tblDaily[WardCode],"BH")=0,"",SUMIFS(tblDaily[Remaining],tblDaily[EntryDate],DATE(2026,2,17),tblDaily[WardCode],"BH")),"")</f>
        <v/>
      </c>
    </row>
    <row r="63">
      <c r="A63" s="12" t="n">
        <v>18</v>
      </c>
      <c r="B63" s="12">
        <f>IFERROR(IF(SUMIFS(tblDaily[Admissions],tblDaily[EntryDate],DATE(2026,2,18),tblDaily[WardCode],"BH")=0,"",SUMIFS(tblDaily[Admissions],tblDaily[EntryDate],DATE(2026,2,18),tblDaily[WardCode],"BH")),"")</f>
        <v/>
      </c>
      <c r="C63" s="12">
        <f>IFERROR(IF(SUMIFS(tblDaily[Discharges],tblDaily[EntryDate],DATE(2026,2,18),tblDaily[WardCode],"BH")=0,"",SUMIFS(tblDaily[Discharges],tblDaily[EntryDate],DATE(2026,2,18),tblDaily[WardCode],"BH")),"")</f>
        <v/>
      </c>
      <c r="D63" s="12">
        <f>IFERROR(IF(SUMIFS(tblDaily[Deaths],tblDaily[EntryDate],DATE(2026,2,18),tblDaily[WardCode],"BH")=0,"",SUMIFS(tblDaily[Deaths],tblDaily[EntryDate],DATE(2026,2,18),tblDaily[WardCode],"BH")),"")</f>
        <v/>
      </c>
      <c r="E63" s="12">
        <f>IFERROR(IF(SUMIFS(tblDaily[DeathsUnder24Hrs],tblDaily[EntryDate],DATE(2026,2,18),tblDaily[WardCode],"BH")=0,"",SUMIFS(tblDaily[DeathsUnder24Hrs],tblDaily[EntryDate],DATE(2026,2,18),tblDaily[WardCode],"BH")),"")</f>
        <v/>
      </c>
      <c r="F63" s="12">
        <f>IFERROR(IF(SUMIFS(tblDaily[TransfersIn],tblDaily[EntryDate],DATE(2026,2,18),tblDaily[WardCode],"BH")=0,"",SUMIFS(tblDaily[TransfersIn],tblDaily[EntryDate],DATE(2026,2,18),tblDaily[WardCode],"BH")),"")</f>
        <v/>
      </c>
      <c r="G63" s="12">
        <f>IFERROR(IF(SUMIFS(tblDaily[TransfersOut],tblDaily[EntryDate],DATE(2026,2,18),tblDaily[WardCode],"BH")=0,"",SUMIFS(tblDaily[TransfersOut],tblDaily[EntryDate],DATE(2026,2,18),tblDaily[WardCode],"BH")),"")</f>
        <v/>
      </c>
      <c r="H63" s="12">
        <f>IFERROR(IF(SUMIFS(tblDaily[Remaining],tblDaily[EntryDate],DATE(2026,2,18),tblDaily[WardCode],"BH")=0,"",SUMIFS(tblDaily[Remaining],tblDaily[EntryDate],DATE(2026,2,18),tblDaily[WardCode],"BH")),"")</f>
        <v/>
      </c>
    </row>
    <row r="64">
      <c r="A64" s="12" t="n">
        <v>19</v>
      </c>
      <c r="B64" s="12">
        <f>IFERROR(IF(SUMIFS(tblDaily[Admissions],tblDaily[EntryDate],DATE(2026,2,19),tblDaily[WardCode],"BH")=0,"",SUMIFS(tblDaily[Admissions],tblDaily[EntryDate],DATE(2026,2,19),tblDaily[WardCode],"BH")),"")</f>
        <v/>
      </c>
      <c r="C64" s="12">
        <f>IFERROR(IF(SUMIFS(tblDaily[Discharges],tblDaily[EntryDate],DATE(2026,2,19),tblDaily[WardCode],"BH")=0,"",SUMIFS(tblDaily[Discharges],tblDaily[EntryDate],DATE(2026,2,19),tblDaily[WardCode],"BH")),"")</f>
        <v/>
      </c>
      <c r="D64" s="12">
        <f>IFERROR(IF(SUMIFS(tblDaily[Deaths],tblDaily[EntryDate],DATE(2026,2,19),tblDaily[WardCode],"BH")=0,"",SUMIFS(tblDaily[Deaths],tblDaily[EntryDate],DATE(2026,2,19),tblDaily[WardCode],"BH")),"")</f>
        <v/>
      </c>
      <c r="E64" s="12">
        <f>IFERROR(IF(SUMIFS(tblDaily[DeathsUnder24Hrs],tblDaily[EntryDate],DATE(2026,2,19),tblDaily[WardCode],"BH")=0,"",SUMIFS(tblDaily[DeathsUnder24Hrs],tblDaily[EntryDate],DATE(2026,2,19),tblDaily[WardCode],"BH")),"")</f>
        <v/>
      </c>
      <c r="F64" s="12">
        <f>IFERROR(IF(SUMIFS(tblDaily[TransfersIn],tblDaily[EntryDate],DATE(2026,2,19),tblDaily[WardCode],"BH")=0,"",SUMIFS(tblDaily[TransfersIn],tblDaily[EntryDate],DATE(2026,2,19),tblDaily[WardCode],"BH")),"")</f>
        <v/>
      </c>
      <c r="G64" s="12">
        <f>IFERROR(IF(SUMIFS(tblDaily[TransfersOut],tblDaily[EntryDate],DATE(2026,2,19),tblDaily[WardCode],"BH")=0,"",SUMIFS(tblDaily[TransfersOut],tblDaily[EntryDate],DATE(2026,2,19),tblDaily[WardCode],"BH")),"")</f>
        <v/>
      </c>
      <c r="H64" s="12">
        <f>IFERROR(IF(SUMIFS(tblDaily[Remaining],tblDaily[EntryDate],DATE(2026,2,19),tblDaily[WardCode],"BH")=0,"",SUMIFS(tblDaily[Remaining],tblDaily[EntryDate],DATE(2026,2,19),tblDaily[WardCode],"BH")),"")</f>
        <v/>
      </c>
    </row>
    <row r="65">
      <c r="A65" s="12" t="n">
        <v>20</v>
      </c>
      <c r="B65" s="12">
        <f>IFERROR(IF(SUMIFS(tblDaily[Admissions],tblDaily[EntryDate],DATE(2026,2,20),tblDaily[WardCode],"BH")=0,"",SUMIFS(tblDaily[Admissions],tblDaily[EntryDate],DATE(2026,2,20),tblDaily[WardCode],"BH")),"")</f>
        <v/>
      </c>
      <c r="C65" s="12">
        <f>IFERROR(IF(SUMIFS(tblDaily[Discharges],tblDaily[EntryDate],DATE(2026,2,20),tblDaily[WardCode],"BH")=0,"",SUMIFS(tblDaily[Discharges],tblDaily[EntryDate],DATE(2026,2,20),tblDaily[WardCode],"BH")),"")</f>
        <v/>
      </c>
      <c r="D65" s="12">
        <f>IFERROR(IF(SUMIFS(tblDaily[Deaths],tblDaily[EntryDate],DATE(2026,2,20),tblDaily[WardCode],"BH")=0,"",SUMIFS(tblDaily[Deaths],tblDaily[EntryDate],DATE(2026,2,20),tblDaily[WardCode],"BH")),"")</f>
        <v/>
      </c>
      <c r="E65" s="12">
        <f>IFERROR(IF(SUMIFS(tblDaily[DeathsUnder24Hrs],tblDaily[EntryDate],DATE(2026,2,20),tblDaily[WardCode],"BH")=0,"",SUMIFS(tblDaily[DeathsUnder24Hrs],tblDaily[EntryDate],DATE(2026,2,20),tblDaily[WardCode],"BH")),"")</f>
        <v/>
      </c>
      <c r="F65" s="12">
        <f>IFERROR(IF(SUMIFS(tblDaily[TransfersIn],tblDaily[EntryDate],DATE(2026,2,20),tblDaily[WardCode],"BH")=0,"",SUMIFS(tblDaily[TransfersIn],tblDaily[EntryDate],DATE(2026,2,20),tblDaily[WardCode],"BH")),"")</f>
        <v/>
      </c>
      <c r="G65" s="12">
        <f>IFERROR(IF(SUMIFS(tblDaily[TransfersOut],tblDaily[EntryDate],DATE(2026,2,20),tblDaily[WardCode],"BH")=0,"",SUMIFS(tblDaily[TransfersOut],tblDaily[EntryDate],DATE(2026,2,20),tblDaily[WardCode],"BH")),"")</f>
        <v/>
      </c>
      <c r="H65" s="12">
        <f>IFERROR(IF(SUMIFS(tblDaily[Remaining],tblDaily[EntryDate],DATE(2026,2,20),tblDaily[WardCode],"BH")=0,"",SUMIFS(tblDaily[Remaining],tblDaily[EntryDate],DATE(2026,2,20),tblDaily[WardCode],"BH")),"")</f>
        <v/>
      </c>
    </row>
    <row r="66">
      <c r="A66" s="12" t="n">
        <v>21</v>
      </c>
      <c r="B66" s="12">
        <f>IFERROR(IF(SUMIFS(tblDaily[Admissions],tblDaily[EntryDate],DATE(2026,2,21),tblDaily[WardCode],"BH")=0,"",SUMIFS(tblDaily[Admissions],tblDaily[EntryDate],DATE(2026,2,21),tblDaily[WardCode],"BH")),"")</f>
        <v/>
      </c>
      <c r="C66" s="12">
        <f>IFERROR(IF(SUMIFS(tblDaily[Discharges],tblDaily[EntryDate],DATE(2026,2,21),tblDaily[WardCode],"BH")=0,"",SUMIFS(tblDaily[Discharges],tblDaily[EntryDate],DATE(2026,2,21),tblDaily[WardCode],"BH")),"")</f>
        <v/>
      </c>
      <c r="D66" s="12">
        <f>IFERROR(IF(SUMIFS(tblDaily[Deaths],tblDaily[EntryDate],DATE(2026,2,21),tblDaily[WardCode],"BH")=0,"",SUMIFS(tblDaily[Deaths],tblDaily[EntryDate],DATE(2026,2,21),tblDaily[WardCode],"BH")),"")</f>
        <v/>
      </c>
      <c r="E66" s="12">
        <f>IFERROR(IF(SUMIFS(tblDaily[DeathsUnder24Hrs],tblDaily[EntryDate],DATE(2026,2,21),tblDaily[WardCode],"BH")=0,"",SUMIFS(tblDaily[DeathsUnder24Hrs],tblDaily[EntryDate],DATE(2026,2,21),tblDaily[WardCode],"BH")),"")</f>
        <v/>
      </c>
      <c r="F66" s="12">
        <f>IFERROR(IF(SUMIFS(tblDaily[TransfersIn],tblDaily[EntryDate],DATE(2026,2,21),tblDaily[WardCode],"BH")=0,"",SUMIFS(tblDaily[TransfersIn],tblDaily[EntryDate],DATE(2026,2,21),tblDaily[WardCode],"BH")),"")</f>
        <v/>
      </c>
      <c r="G66" s="12">
        <f>IFERROR(IF(SUMIFS(tblDaily[TransfersOut],tblDaily[EntryDate],DATE(2026,2,21),tblDaily[WardCode],"BH")=0,"",SUMIFS(tblDaily[TransfersOut],tblDaily[EntryDate],DATE(2026,2,21),tblDaily[WardCode],"BH")),"")</f>
        <v/>
      </c>
      <c r="H66" s="12">
        <f>IFERROR(IF(SUMIFS(tblDaily[Remaining],tblDaily[EntryDate],DATE(2026,2,21),tblDaily[WardCode],"BH")=0,"",SUMIFS(tblDaily[Remaining],tblDaily[EntryDate],DATE(2026,2,21),tblDaily[WardCode],"BH")),"")</f>
        <v/>
      </c>
    </row>
    <row r="67">
      <c r="A67" s="12" t="n">
        <v>22</v>
      </c>
      <c r="B67" s="12">
        <f>IFERROR(IF(SUMIFS(tblDaily[Admissions],tblDaily[EntryDate],DATE(2026,2,22),tblDaily[WardCode],"BH")=0,"",SUMIFS(tblDaily[Admissions],tblDaily[EntryDate],DATE(2026,2,22),tblDaily[WardCode],"BH")),"")</f>
        <v/>
      </c>
      <c r="C67" s="12">
        <f>IFERROR(IF(SUMIFS(tblDaily[Discharges],tblDaily[EntryDate],DATE(2026,2,22),tblDaily[WardCode],"BH")=0,"",SUMIFS(tblDaily[Discharges],tblDaily[EntryDate],DATE(2026,2,22),tblDaily[WardCode],"BH")),"")</f>
        <v/>
      </c>
      <c r="D67" s="12">
        <f>IFERROR(IF(SUMIFS(tblDaily[Deaths],tblDaily[EntryDate],DATE(2026,2,22),tblDaily[WardCode],"BH")=0,"",SUMIFS(tblDaily[Deaths],tblDaily[EntryDate],DATE(2026,2,22),tblDaily[WardCode],"BH")),"")</f>
        <v/>
      </c>
      <c r="E67" s="12">
        <f>IFERROR(IF(SUMIFS(tblDaily[DeathsUnder24Hrs],tblDaily[EntryDate],DATE(2026,2,22),tblDaily[WardCode],"BH")=0,"",SUMIFS(tblDaily[DeathsUnder24Hrs],tblDaily[EntryDate],DATE(2026,2,22),tblDaily[WardCode],"BH")),"")</f>
        <v/>
      </c>
      <c r="F67" s="12">
        <f>IFERROR(IF(SUMIFS(tblDaily[TransfersIn],tblDaily[EntryDate],DATE(2026,2,22),tblDaily[WardCode],"BH")=0,"",SUMIFS(tblDaily[TransfersIn],tblDaily[EntryDate],DATE(2026,2,22),tblDaily[WardCode],"BH")),"")</f>
        <v/>
      </c>
      <c r="G67" s="12">
        <f>IFERROR(IF(SUMIFS(tblDaily[TransfersOut],tblDaily[EntryDate],DATE(2026,2,22),tblDaily[WardCode],"BH")=0,"",SUMIFS(tblDaily[TransfersOut],tblDaily[EntryDate],DATE(2026,2,22),tblDaily[WardCode],"BH")),"")</f>
        <v/>
      </c>
      <c r="H67" s="12">
        <f>IFERROR(IF(SUMIFS(tblDaily[Remaining],tblDaily[EntryDate],DATE(2026,2,22),tblDaily[WardCode],"BH")=0,"",SUMIFS(tblDaily[Remaining],tblDaily[EntryDate],DATE(2026,2,22),tblDaily[WardCode],"BH")),"")</f>
        <v/>
      </c>
    </row>
    <row r="68">
      <c r="A68" s="12" t="n">
        <v>23</v>
      </c>
      <c r="B68" s="12">
        <f>IFERROR(IF(SUMIFS(tblDaily[Admissions],tblDaily[EntryDate],DATE(2026,2,23),tblDaily[WardCode],"BH")=0,"",SUMIFS(tblDaily[Admissions],tblDaily[EntryDate],DATE(2026,2,23),tblDaily[WardCode],"BH")),"")</f>
        <v/>
      </c>
      <c r="C68" s="12">
        <f>IFERROR(IF(SUMIFS(tblDaily[Discharges],tblDaily[EntryDate],DATE(2026,2,23),tblDaily[WardCode],"BH")=0,"",SUMIFS(tblDaily[Discharges],tblDaily[EntryDate],DATE(2026,2,23),tblDaily[WardCode],"BH")),"")</f>
        <v/>
      </c>
      <c r="D68" s="12">
        <f>IFERROR(IF(SUMIFS(tblDaily[Deaths],tblDaily[EntryDate],DATE(2026,2,23),tblDaily[WardCode],"BH")=0,"",SUMIFS(tblDaily[Deaths],tblDaily[EntryDate],DATE(2026,2,23),tblDaily[WardCode],"BH")),"")</f>
        <v/>
      </c>
      <c r="E68" s="12">
        <f>IFERROR(IF(SUMIFS(tblDaily[DeathsUnder24Hrs],tblDaily[EntryDate],DATE(2026,2,23),tblDaily[WardCode],"BH")=0,"",SUMIFS(tblDaily[DeathsUnder24Hrs],tblDaily[EntryDate],DATE(2026,2,23),tblDaily[WardCode],"BH")),"")</f>
        <v/>
      </c>
      <c r="F68" s="12">
        <f>IFERROR(IF(SUMIFS(tblDaily[TransfersIn],tblDaily[EntryDate],DATE(2026,2,23),tblDaily[WardCode],"BH")=0,"",SUMIFS(tblDaily[TransfersIn],tblDaily[EntryDate],DATE(2026,2,23),tblDaily[WardCode],"BH")),"")</f>
        <v/>
      </c>
      <c r="G68" s="12">
        <f>IFERROR(IF(SUMIFS(tblDaily[TransfersOut],tblDaily[EntryDate],DATE(2026,2,23),tblDaily[WardCode],"BH")=0,"",SUMIFS(tblDaily[TransfersOut],tblDaily[EntryDate],DATE(2026,2,23),tblDaily[WardCode],"BH")),"")</f>
        <v/>
      </c>
      <c r="H68" s="12">
        <f>IFERROR(IF(SUMIFS(tblDaily[Remaining],tblDaily[EntryDate],DATE(2026,2,23),tblDaily[WardCode],"BH")=0,"",SUMIFS(tblDaily[Remaining],tblDaily[EntryDate],DATE(2026,2,23),tblDaily[WardCode],"BH")),"")</f>
        <v/>
      </c>
    </row>
    <row r="69">
      <c r="A69" s="12" t="n">
        <v>24</v>
      </c>
      <c r="B69" s="12">
        <f>IFERROR(IF(SUMIFS(tblDaily[Admissions],tblDaily[EntryDate],DATE(2026,2,24),tblDaily[WardCode],"BH")=0,"",SUMIFS(tblDaily[Admissions],tblDaily[EntryDate],DATE(2026,2,24),tblDaily[WardCode],"BH")),"")</f>
        <v/>
      </c>
      <c r="C69" s="12">
        <f>IFERROR(IF(SUMIFS(tblDaily[Discharges],tblDaily[EntryDate],DATE(2026,2,24),tblDaily[WardCode],"BH")=0,"",SUMIFS(tblDaily[Discharges],tblDaily[EntryDate],DATE(2026,2,24),tblDaily[WardCode],"BH")),"")</f>
        <v/>
      </c>
      <c r="D69" s="12">
        <f>IFERROR(IF(SUMIFS(tblDaily[Deaths],tblDaily[EntryDate],DATE(2026,2,24),tblDaily[WardCode],"BH")=0,"",SUMIFS(tblDaily[Deaths],tblDaily[EntryDate],DATE(2026,2,24),tblDaily[WardCode],"BH")),"")</f>
        <v/>
      </c>
      <c r="E69" s="12">
        <f>IFERROR(IF(SUMIFS(tblDaily[DeathsUnder24Hrs],tblDaily[EntryDate],DATE(2026,2,24),tblDaily[WardCode],"BH")=0,"",SUMIFS(tblDaily[DeathsUnder24Hrs],tblDaily[EntryDate],DATE(2026,2,24),tblDaily[WardCode],"BH")),"")</f>
        <v/>
      </c>
      <c r="F69" s="12">
        <f>IFERROR(IF(SUMIFS(tblDaily[TransfersIn],tblDaily[EntryDate],DATE(2026,2,24),tblDaily[WardCode],"BH")=0,"",SUMIFS(tblDaily[TransfersIn],tblDaily[EntryDate],DATE(2026,2,24),tblDaily[WardCode],"BH")),"")</f>
        <v/>
      </c>
      <c r="G69" s="12">
        <f>IFERROR(IF(SUMIFS(tblDaily[TransfersOut],tblDaily[EntryDate],DATE(2026,2,24),tblDaily[WardCode],"BH")=0,"",SUMIFS(tblDaily[TransfersOut],tblDaily[EntryDate],DATE(2026,2,24),tblDaily[WardCode],"BH")),"")</f>
        <v/>
      </c>
      <c r="H69" s="12">
        <f>IFERROR(IF(SUMIFS(tblDaily[Remaining],tblDaily[EntryDate],DATE(2026,2,24),tblDaily[WardCode],"BH")=0,"",SUMIFS(tblDaily[Remaining],tblDaily[EntryDate],DATE(2026,2,24),tblDaily[WardCode],"BH")),"")</f>
        <v/>
      </c>
    </row>
    <row r="70">
      <c r="A70" s="12" t="n">
        <v>25</v>
      </c>
      <c r="B70" s="12">
        <f>IFERROR(IF(SUMIFS(tblDaily[Admissions],tblDaily[EntryDate],DATE(2026,2,25),tblDaily[WardCode],"BH")=0,"",SUMIFS(tblDaily[Admissions],tblDaily[EntryDate],DATE(2026,2,25),tblDaily[WardCode],"BH")),"")</f>
        <v/>
      </c>
      <c r="C70" s="12">
        <f>IFERROR(IF(SUMIFS(tblDaily[Discharges],tblDaily[EntryDate],DATE(2026,2,25),tblDaily[WardCode],"BH")=0,"",SUMIFS(tblDaily[Discharges],tblDaily[EntryDate],DATE(2026,2,25),tblDaily[WardCode],"BH")),"")</f>
        <v/>
      </c>
      <c r="D70" s="12">
        <f>IFERROR(IF(SUMIFS(tblDaily[Deaths],tblDaily[EntryDate],DATE(2026,2,25),tblDaily[WardCode],"BH")=0,"",SUMIFS(tblDaily[Deaths],tblDaily[EntryDate],DATE(2026,2,25),tblDaily[WardCode],"BH")),"")</f>
        <v/>
      </c>
      <c r="E70" s="12">
        <f>IFERROR(IF(SUMIFS(tblDaily[DeathsUnder24Hrs],tblDaily[EntryDate],DATE(2026,2,25),tblDaily[WardCode],"BH")=0,"",SUMIFS(tblDaily[DeathsUnder24Hrs],tblDaily[EntryDate],DATE(2026,2,25),tblDaily[WardCode],"BH")),"")</f>
        <v/>
      </c>
      <c r="F70" s="12">
        <f>IFERROR(IF(SUMIFS(tblDaily[TransfersIn],tblDaily[EntryDate],DATE(2026,2,25),tblDaily[WardCode],"BH")=0,"",SUMIFS(tblDaily[TransfersIn],tblDaily[EntryDate],DATE(2026,2,25),tblDaily[WardCode],"BH")),"")</f>
        <v/>
      </c>
      <c r="G70" s="12">
        <f>IFERROR(IF(SUMIFS(tblDaily[TransfersOut],tblDaily[EntryDate],DATE(2026,2,25),tblDaily[WardCode],"BH")=0,"",SUMIFS(tblDaily[TransfersOut],tblDaily[EntryDate],DATE(2026,2,25),tblDaily[WardCode],"BH")),"")</f>
        <v/>
      </c>
      <c r="H70" s="12">
        <f>IFERROR(IF(SUMIFS(tblDaily[Remaining],tblDaily[EntryDate],DATE(2026,2,25),tblDaily[WardCode],"BH")=0,"",SUMIFS(tblDaily[Remaining],tblDaily[EntryDate],DATE(2026,2,25),tblDaily[WardCode],"BH")),"")</f>
        <v/>
      </c>
    </row>
    <row r="71">
      <c r="A71" s="12" t="n">
        <v>26</v>
      </c>
      <c r="B71" s="12">
        <f>IFERROR(IF(SUMIFS(tblDaily[Admissions],tblDaily[EntryDate],DATE(2026,2,26),tblDaily[WardCode],"BH")=0,"",SUMIFS(tblDaily[Admissions],tblDaily[EntryDate],DATE(2026,2,26),tblDaily[WardCode],"BH")),"")</f>
        <v/>
      </c>
      <c r="C71" s="12">
        <f>IFERROR(IF(SUMIFS(tblDaily[Discharges],tblDaily[EntryDate],DATE(2026,2,26),tblDaily[WardCode],"BH")=0,"",SUMIFS(tblDaily[Discharges],tblDaily[EntryDate],DATE(2026,2,26),tblDaily[WardCode],"BH")),"")</f>
        <v/>
      </c>
      <c r="D71" s="12">
        <f>IFERROR(IF(SUMIFS(tblDaily[Deaths],tblDaily[EntryDate],DATE(2026,2,26),tblDaily[WardCode],"BH")=0,"",SUMIFS(tblDaily[Deaths],tblDaily[EntryDate],DATE(2026,2,26),tblDaily[WardCode],"BH")),"")</f>
        <v/>
      </c>
      <c r="E71" s="12">
        <f>IFERROR(IF(SUMIFS(tblDaily[DeathsUnder24Hrs],tblDaily[EntryDate],DATE(2026,2,26),tblDaily[WardCode],"BH")=0,"",SUMIFS(tblDaily[DeathsUnder24Hrs],tblDaily[EntryDate],DATE(2026,2,26),tblDaily[WardCode],"BH")),"")</f>
        <v/>
      </c>
      <c r="F71" s="12">
        <f>IFERROR(IF(SUMIFS(tblDaily[TransfersIn],tblDaily[EntryDate],DATE(2026,2,26),tblDaily[WardCode],"BH")=0,"",SUMIFS(tblDaily[TransfersIn],tblDaily[EntryDate],DATE(2026,2,26),tblDaily[WardCode],"BH")),"")</f>
        <v/>
      </c>
      <c r="G71" s="12">
        <f>IFERROR(IF(SUMIFS(tblDaily[TransfersOut],tblDaily[EntryDate],DATE(2026,2,26),tblDaily[WardCode],"BH")=0,"",SUMIFS(tblDaily[TransfersOut],tblDaily[EntryDate],DATE(2026,2,26),tblDaily[WardCode],"BH")),"")</f>
        <v/>
      </c>
      <c r="H71" s="12">
        <f>IFERROR(IF(SUMIFS(tblDaily[Remaining],tblDaily[EntryDate],DATE(2026,2,26),tblDaily[WardCode],"BH")=0,"",SUMIFS(tblDaily[Remaining],tblDaily[EntryDate],DATE(2026,2,26),tblDaily[WardCode],"BH")),"")</f>
        <v/>
      </c>
    </row>
    <row r="72">
      <c r="A72" s="12" t="n">
        <v>27</v>
      </c>
      <c r="B72" s="12">
        <f>IFERROR(IF(SUMIFS(tblDaily[Admissions],tblDaily[EntryDate],DATE(2026,2,27),tblDaily[WardCode],"BH")=0,"",SUMIFS(tblDaily[Admissions],tblDaily[EntryDate],DATE(2026,2,27),tblDaily[WardCode],"BH")),"")</f>
        <v/>
      </c>
      <c r="C72" s="12">
        <f>IFERROR(IF(SUMIFS(tblDaily[Discharges],tblDaily[EntryDate],DATE(2026,2,27),tblDaily[WardCode],"BH")=0,"",SUMIFS(tblDaily[Discharges],tblDaily[EntryDate],DATE(2026,2,27),tblDaily[WardCode],"BH")),"")</f>
        <v/>
      </c>
      <c r="D72" s="12">
        <f>IFERROR(IF(SUMIFS(tblDaily[Deaths],tblDaily[EntryDate],DATE(2026,2,27),tblDaily[WardCode],"BH")=0,"",SUMIFS(tblDaily[Deaths],tblDaily[EntryDate],DATE(2026,2,27),tblDaily[WardCode],"BH")),"")</f>
        <v/>
      </c>
      <c r="E72" s="12">
        <f>IFERROR(IF(SUMIFS(tblDaily[DeathsUnder24Hrs],tblDaily[EntryDate],DATE(2026,2,27),tblDaily[WardCode],"BH")=0,"",SUMIFS(tblDaily[DeathsUnder24Hrs],tblDaily[EntryDate],DATE(2026,2,27),tblDaily[WardCode],"BH")),"")</f>
        <v/>
      </c>
      <c r="F72" s="12">
        <f>IFERROR(IF(SUMIFS(tblDaily[TransfersIn],tblDaily[EntryDate],DATE(2026,2,27),tblDaily[WardCode],"BH")=0,"",SUMIFS(tblDaily[TransfersIn],tblDaily[EntryDate],DATE(2026,2,27),tblDaily[WardCode],"BH")),"")</f>
        <v/>
      </c>
      <c r="G72" s="12">
        <f>IFERROR(IF(SUMIFS(tblDaily[TransfersOut],tblDaily[EntryDate],DATE(2026,2,27),tblDaily[WardCode],"BH")=0,"",SUMIFS(tblDaily[TransfersOut],tblDaily[EntryDate],DATE(2026,2,27),tblDaily[WardCode],"BH")),"")</f>
        <v/>
      </c>
      <c r="H72" s="12">
        <f>IFERROR(IF(SUMIFS(tblDaily[Remaining],tblDaily[EntryDate],DATE(2026,2,27),tblDaily[WardCode],"BH")=0,"",SUMIFS(tblDaily[Remaining],tblDaily[EntryDate],DATE(2026,2,27),tblDaily[WardCode],"BH")),"")</f>
        <v/>
      </c>
    </row>
    <row r="73">
      <c r="A73" s="12" t="n">
        <v>28</v>
      </c>
      <c r="B73" s="12">
        <f>IFERROR(IF(SUMIFS(tblDaily[Admissions],tblDaily[EntryDate],DATE(2026,2,28),tblDaily[WardCode],"BH")=0,"",SUMIFS(tblDaily[Admissions],tblDaily[EntryDate],DATE(2026,2,28),tblDaily[WardCode],"BH")),"")</f>
        <v/>
      </c>
      <c r="C73" s="12">
        <f>IFERROR(IF(SUMIFS(tblDaily[Discharges],tblDaily[EntryDate],DATE(2026,2,28),tblDaily[WardCode],"BH")=0,"",SUMIFS(tblDaily[Discharges],tblDaily[EntryDate],DATE(2026,2,28),tblDaily[WardCode],"BH")),"")</f>
        <v/>
      </c>
      <c r="D73" s="12">
        <f>IFERROR(IF(SUMIFS(tblDaily[Deaths],tblDaily[EntryDate],DATE(2026,2,28),tblDaily[WardCode],"BH")=0,"",SUMIFS(tblDaily[Deaths],tblDaily[EntryDate],DATE(2026,2,28),tblDaily[WardCode],"BH")),"")</f>
        <v/>
      </c>
      <c r="E73" s="12">
        <f>IFERROR(IF(SUMIFS(tblDaily[DeathsUnder24Hrs],tblDaily[EntryDate],DATE(2026,2,28),tblDaily[WardCode],"BH")=0,"",SUMIFS(tblDaily[DeathsUnder24Hrs],tblDaily[EntryDate],DATE(2026,2,28),tblDaily[WardCode],"BH")),"")</f>
        <v/>
      </c>
      <c r="F73" s="12">
        <f>IFERROR(IF(SUMIFS(tblDaily[TransfersIn],tblDaily[EntryDate],DATE(2026,2,28),tblDaily[WardCode],"BH")=0,"",SUMIFS(tblDaily[TransfersIn],tblDaily[EntryDate],DATE(2026,2,28),tblDaily[WardCode],"BH")),"")</f>
        <v/>
      </c>
      <c r="G73" s="12">
        <f>IFERROR(IF(SUMIFS(tblDaily[TransfersOut],tblDaily[EntryDate],DATE(2026,2,28),tblDaily[WardCode],"BH")=0,"",SUMIFS(tblDaily[TransfersOut],tblDaily[EntryDate],DATE(2026,2,28),tblDaily[WardCode],"BH")),"")</f>
        <v/>
      </c>
      <c r="H73" s="12">
        <f>IFERROR(IF(SUMIFS(tblDaily[Remaining],tblDaily[EntryDate],DATE(2026,2,28),tblDaily[WardCode],"BH")=0,"",SUMIFS(tblDaily[Remaining],tblDaily[EntryDate],DATE(2026,2,28),tblDaily[WardCode],"BH")),"")</f>
        <v/>
      </c>
    </row>
    <row r="74">
      <c r="A74" s="12" t="n">
        <v>29</v>
      </c>
      <c r="B74" s="18" t="n"/>
      <c r="C74" s="18" t="n"/>
      <c r="D74" s="18" t="n"/>
      <c r="E74" s="18" t="n"/>
      <c r="F74" s="18" t="n"/>
      <c r="G74" s="18" t="n"/>
      <c r="H74" s="18" t="n"/>
    </row>
    <row r="75">
      <c r="A75" s="12" t="n">
        <v>30</v>
      </c>
      <c r="B75" s="18" t="n"/>
      <c r="C75" s="18" t="n"/>
      <c r="D75" s="18" t="n"/>
      <c r="E75" s="18" t="n"/>
      <c r="F75" s="18" t="n"/>
      <c r="G75" s="18" t="n"/>
      <c r="H75" s="18" t="n"/>
    </row>
    <row r="76">
      <c r="A76" s="12" t="n">
        <v>31</v>
      </c>
      <c r="B76" s="18" t="n"/>
      <c r="C76" s="18" t="n"/>
      <c r="D76" s="18" t="n"/>
      <c r="E76" s="18" t="n"/>
      <c r="F76" s="18" t="n"/>
      <c r="G76" s="18" t="n"/>
      <c r="H76" s="18" t="n"/>
    </row>
    <row r="77">
      <c r="A77" s="17" t="inlineStr">
        <is>
          <t>TOTAL</t>
        </is>
      </c>
      <c r="B77" s="17">
        <f>SUMIFS(tblDaily[Admissions],tblDaily[Month],2,tblDaily[WardCode],"BH") - SUMIFS(tblDaily[DeathsUnder24Hrs],tblDaily[Month],2,tblDaily[WardCode],"BH")</f>
        <v/>
      </c>
      <c r="C77" s="17">
        <f>SUMIFS(tblDaily[Discharges],tblDaily[Month],2,tblDaily[WardCode],"BH")</f>
        <v/>
      </c>
      <c r="D77" s="17">
        <f>SUMIFS(tblDaily[Deaths],tblDaily[Month],2,tblDaily[WardCode],"BH")</f>
        <v/>
      </c>
      <c r="E77" s="17">
        <f>SUMIFS(tblDaily[DeathsUnder24Hrs],tblDaily[Month],2,tblDaily[WardCode],"BH")</f>
        <v/>
      </c>
      <c r="F77" s="17">
        <f>SUMIFS(tblDaily[TransfersIn],tblDaily[Month],2,tblDaily[WardCode],"BH")</f>
        <v/>
      </c>
      <c r="G77" s="17">
        <f>SUMIFS(tblDaily[TransfersOut],tblDaily[Month],2,tblDaily[WardCode],"BH")</f>
        <v/>
      </c>
      <c r="H77" s="17">
        <f>SUMIFS(tblDaily[Remaining],tblDaily[Month],2,tblDaily[WardCode],"BH")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BLOCK H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4">
        <f>IFERROR(SUMIFS(tblDaily[Remaining],tblDaily[EntryDate],DATE(2026,2,28),tblDaily[WardCode],"BH"),0)</f>
        <v/>
      </c>
    </row>
    <row r="83">
      <c r="A83" s="4" t="inlineStr">
        <is>
          <t>Bed complement</t>
        </is>
      </c>
      <c r="H83" s="15">
        <f>IFERROR(INDEX(tblWardConfig[BedComplement],MATCH("BH",tblWardConfig[WardCode],0)),0)</f>
        <v/>
      </c>
    </row>
    <row r="84">
      <c r="A84" s="16" t="inlineStr">
        <is>
          <t>Day of
the
Month</t>
        </is>
      </c>
      <c r="B84" s="16" t="inlineStr">
        <is>
          <t>Admissions</t>
        </is>
      </c>
      <c r="C84" s="16" t="inlineStr">
        <is>
          <t>Discharges</t>
        </is>
      </c>
      <c r="D84" s="16" t="inlineStr">
        <is>
          <t>Deaths</t>
        </is>
      </c>
      <c r="E84" s="16" t="inlineStr">
        <is>
          <t>Deaths
&lt;24Hrs</t>
        </is>
      </c>
      <c r="F84" s="16" t="inlineStr">
        <is>
          <t>Transfers-
In</t>
        </is>
      </c>
      <c r="G84" s="16" t="inlineStr">
        <is>
          <t>Transfers-
Out</t>
        </is>
      </c>
      <c r="H84" s="16" t="inlineStr">
        <is>
          <t>No. of Patients
Remaining In
Ward</t>
        </is>
      </c>
    </row>
    <row r="85">
      <c r="A85" s="12" t="n">
        <v>1</v>
      </c>
      <c r="B85" s="12">
        <f>IFERROR(IF(SUMIFS(tblDaily[Admissions],tblDaily[EntryDate],DATE(2026,3,1),tblDaily[WardCode],"BH")=0,"",SUMIFS(tblDaily[Admissions],tblDaily[EntryDate],DATE(2026,3,1),tblDaily[WardCode],"BH")),"")</f>
        <v/>
      </c>
      <c r="C85" s="12">
        <f>IFERROR(IF(SUMIFS(tblDaily[Discharges],tblDaily[EntryDate],DATE(2026,3,1),tblDaily[WardCode],"BH")=0,"",SUMIFS(tblDaily[Discharges],tblDaily[EntryDate],DATE(2026,3,1),tblDaily[WardCode],"BH")),"")</f>
        <v/>
      </c>
      <c r="D85" s="12">
        <f>IFERROR(IF(SUMIFS(tblDaily[Deaths],tblDaily[EntryDate],DATE(2026,3,1),tblDaily[WardCode],"BH")=0,"",SUMIFS(tblDaily[Deaths],tblDaily[EntryDate],DATE(2026,3,1),tblDaily[WardCode],"BH")),"")</f>
        <v/>
      </c>
      <c r="E85" s="12">
        <f>IFERROR(IF(SUMIFS(tblDaily[DeathsUnder24Hrs],tblDaily[EntryDate],DATE(2026,3,1),tblDaily[WardCode],"BH")=0,"",SUMIFS(tblDaily[DeathsUnder24Hrs],tblDaily[EntryDate],DATE(2026,3,1),tblDaily[WardCode],"BH")),"")</f>
        <v/>
      </c>
      <c r="F85" s="12">
        <f>IFERROR(IF(SUMIFS(tblDaily[TransfersIn],tblDaily[EntryDate],DATE(2026,3,1),tblDaily[WardCode],"BH")=0,"",SUMIFS(tblDaily[TransfersIn],tblDaily[EntryDate],DATE(2026,3,1),tblDaily[WardCode],"BH")),"")</f>
        <v/>
      </c>
      <c r="G85" s="12">
        <f>IFERROR(IF(SUMIFS(tblDaily[TransfersOut],tblDaily[EntryDate],DATE(2026,3,1),tblDaily[WardCode],"BH")=0,"",SUMIFS(tblDaily[TransfersOut],tblDaily[EntryDate],DATE(2026,3,1),tblDaily[WardCode],"BH")),"")</f>
        <v/>
      </c>
      <c r="H85" s="12">
        <f>IFERROR(IF(SUMIFS(tblDaily[Remaining],tblDaily[EntryDate],DATE(2026,3,1),tblDaily[WardCode],"BH")=0,"",SUMIFS(tblDaily[Remaining],tblDaily[EntryDate],DATE(2026,3,1),tblDaily[WardCode],"BH")),"")</f>
        <v/>
      </c>
    </row>
    <row r="86">
      <c r="A86" s="12" t="n">
        <v>2</v>
      </c>
      <c r="B86" s="12">
        <f>IFERROR(IF(SUMIFS(tblDaily[Admissions],tblDaily[EntryDate],DATE(2026,3,2),tblDaily[WardCode],"BH")=0,"",SUMIFS(tblDaily[Admissions],tblDaily[EntryDate],DATE(2026,3,2),tblDaily[WardCode],"BH")),"")</f>
        <v/>
      </c>
      <c r="C86" s="12">
        <f>IFERROR(IF(SUMIFS(tblDaily[Discharges],tblDaily[EntryDate],DATE(2026,3,2),tblDaily[WardCode],"BH")=0,"",SUMIFS(tblDaily[Discharges],tblDaily[EntryDate],DATE(2026,3,2),tblDaily[WardCode],"BH")),"")</f>
        <v/>
      </c>
      <c r="D86" s="12">
        <f>IFERROR(IF(SUMIFS(tblDaily[Deaths],tblDaily[EntryDate],DATE(2026,3,2),tblDaily[WardCode],"BH")=0,"",SUMIFS(tblDaily[Deaths],tblDaily[EntryDate],DATE(2026,3,2),tblDaily[WardCode],"BH")),"")</f>
        <v/>
      </c>
      <c r="E86" s="12">
        <f>IFERROR(IF(SUMIFS(tblDaily[DeathsUnder24Hrs],tblDaily[EntryDate],DATE(2026,3,2),tblDaily[WardCode],"BH")=0,"",SUMIFS(tblDaily[DeathsUnder24Hrs],tblDaily[EntryDate],DATE(2026,3,2),tblDaily[WardCode],"BH")),"")</f>
        <v/>
      </c>
      <c r="F86" s="12">
        <f>IFERROR(IF(SUMIFS(tblDaily[TransfersIn],tblDaily[EntryDate],DATE(2026,3,2),tblDaily[WardCode],"BH")=0,"",SUMIFS(tblDaily[TransfersIn],tblDaily[EntryDate],DATE(2026,3,2),tblDaily[WardCode],"BH")),"")</f>
        <v/>
      </c>
      <c r="G86" s="12">
        <f>IFERROR(IF(SUMIFS(tblDaily[TransfersOut],tblDaily[EntryDate],DATE(2026,3,2),tblDaily[WardCode],"BH")=0,"",SUMIFS(tblDaily[TransfersOut],tblDaily[EntryDate],DATE(2026,3,2),tblDaily[WardCode],"BH")),"")</f>
        <v/>
      </c>
      <c r="H86" s="12">
        <f>IFERROR(IF(SUMIFS(tblDaily[Remaining],tblDaily[EntryDate],DATE(2026,3,2),tblDaily[WardCode],"BH")=0,"",SUMIFS(tblDaily[Remaining],tblDaily[EntryDate],DATE(2026,3,2),tblDaily[WardCode],"BH")),"")</f>
        <v/>
      </c>
    </row>
    <row r="87">
      <c r="A87" s="12" t="n">
        <v>3</v>
      </c>
      <c r="B87" s="12">
        <f>IFERROR(IF(SUMIFS(tblDaily[Admissions],tblDaily[EntryDate],DATE(2026,3,3),tblDaily[WardCode],"BH")=0,"",SUMIFS(tblDaily[Admissions],tblDaily[EntryDate],DATE(2026,3,3),tblDaily[WardCode],"BH")),"")</f>
        <v/>
      </c>
      <c r="C87" s="12">
        <f>IFERROR(IF(SUMIFS(tblDaily[Discharges],tblDaily[EntryDate],DATE(2026,3,3),tblDaily[WardCode],"BH")=0,"",SUMIFS(tblDaily[Discharges],tblDaily[EntryDate],DATE(2026,3,3),tblDaily[WardCode],"BH")),"")</f>
        <v/>
      </c>
      <c r="D87" s="12">
        <f>IFERROR(IF(SUMIFS(tblDaily[Deaths],tblDaily[EntryDate],DATE(2026,3,3),tblDaily[WardCode],"BH")=0,"",SUMIFS(tblDaily[Deaths],tblDaily[EntryDate],DATE(2026,3,3),tblDaily[WardCode],"BH")),"")</f>
        <v/>
      </c>
      <c r="E87" s="12">
        <f>IFERROR(IF(SUMIFS(tblDaily[DeathsUnder24Hrs],tblDaily[EntryDate],DATE(2026,3,3),tblDaily[WardCode],"BH")=0,"",SUMIFS(tblDaily[DeathsUnder24Hrs],tblDaily[EntryDate],DATE(2026,3,3),tblDaily[WardCode],"BH")),"")</f>
        <v/>
      </c>
      <c r="F87" s="12">
        <f>IFERROR(IF(SUMIFS(tblDaily[TransfersIn],tblDaily[EntryDate],DATE(2026,3,3),tblDaily[WardCode],"BH")=0,"",SUMIFS(tblDaily[TransfersIn],tblDaily[EntryDate],DATE(2026,3,3),tblDaily[WardCode],"BH")),"")</f>
        <v/>
      </c>
      <c r="G87" s="12">
        <f>IFERROR(IF(SUMIFS(tblDaily[TransfersOut],tblDaily[EntryDate],DATE(2026,3,3),tblDaily[WardCode],"BH")=0,"",SUMIFS(tblDaily[TransfersOut],tblDaily[EntryDate],DATE(2026,3,3),tblDaily[WardCode],"BH")),"")</f>
        <v/>
      </c>
      <c r="H87" s="12">
        <f>IFERROR(IF(SUMIFS(tblDaily[Remaining],tblDaily[EntryDate],DATE(2026,3,3),tblDaily[WardCode],"BH")=0,"",SUMIFS(tblDaily[Remaining],tblDaily[EntryDate],DATE(2026,3,3),tblDaily[WardCode],"BH")),"")</f>
        <v/>
      </c>
    </row>
    <row r="88">
      <c r="A88" s="12" t="n">
        <v>4</v>
      </c>
      <c r="B88" s="12">
        <f>IFERROR(IF(SUMIFS(tblDaily[Admissions],tblDaily[EntryDate],DATE(2026,3,4),tblDaily[WardCode],"BH")=0,"",SUMIFS(tblDaily[Admissions],tblDaily[EntryDate],DATE(2026,3,4),tblDaily[WardCode],"BH")),"")</f>
        <v/>
      </c>
      <c r="C88" s="12">
        <f>IFERROR(IF(SUMIFS(tblDaily[Discharges],tblDaily[EntryDate],DATE(2026,3,4),tblDaily[WardCode],"BH")=0,"",SUMIFS(tblDaily[Discharges],tblDaily[EntryDate],DATE(2026,3,4),tblDaily[WardCode],"BH")),"")</f>
        <v/>
      </c>
      <c r="D88" s="12">
        <f>IFERROR(IF(SUMIFS(tblDaily[Deaths],tblDaily[EntryDate],DATE(2026,3,4),tblDaily[WardCode],"BH")=0,"",SUMIFS(tblDaily[Deaths],tblDaily[EntryDate],DATE(2026,3,4),tblDaily[WardCode],"BH")),"")</f>
        <v/>
      </c>
      <c r="E88" s="12">
        <f>IFERROR(IF(SUMIFS(tblDaily[DeathsUnder24Hrs],tblDaily[EntryDate],DATE(2026,3,4),tblDaily[WardCode],"BH")=0,"",SUMIFS(tblDaily[DeathsUnder24Hrs],tblDaily[EntryDate],DATE(2026,3,4),tblDaily[WardCode],"BH")),"")</f>
        <v/>
      </c>
      <c r="F88" s="12">
        <f>IFERROR(IF(SUMIFS(tblDaily[TransfersIn],tblDaily[EntryDate],DATE(2026,3,4),tblDaily[WardCode],"BH")=0,"",SUMIFS(tblDaily[TransfersIn],tblDaily[EntryDate],DATE(2026,3,4),tblDaily[WardCode],"BH")),"")</f>
        <v/>
      </c>
      <c r="G88" s="12">
        <f>IFERROR(IF(SUMIFS(tblDaily[TransfersOut],tblDaily[EntryDate],DATE(2026,3,4),tblDaily[WardCode],"BH")=0,"",SUMIFS(tblDaily[TransfersOut],tblDaily[EntryDate],DATE(2026,3,4),tblDaily[WardCode],"BH")),"")</f>
        <v/>
      </c>
      <c r="H88" s="12">
        <f>IFERROR(IF(SUMIFS(tblDaily[Remaining],tblDaily[EntryDate],DATE(2026,3,4),tblDaily[WardCode],"BH")=0,"",SUMIFS(tblDaily[Remaining],tblDaily[EntryDate],DATE(2026,3,4),tblDaily[WardCode],"BH")),"")</f>
        <v/>
      </c>
    </row>
    <row r="89">
      <c r="A89" s="12" t="n">
        <v>5</v>
      </c>
      <c r="B89" s="12">
        <f>IFERROR(IF(SUMIFS(tblDaily[Admissions],tblDaily[EntryDate],DATE(2026,3,5),tblDaily[WardCode],"BH")=0,"",SUMIFS(tblDaily[Admissions],tblDaily[EntryDate],DATE(2026,3,5),tblDaily[WardCode],"BH")),"")</f>
        <v/>
      </c>
      <c r="C89" s="12">
        <f>IFERROR(IF(SUMIFS(tblDaily[Discharges],tblDaily[EntryDate],DATE(2026,3,5),tblDaily[WardCode],"BH")=0,"",SUMIFS(tblDaily[Discharges],tblDaily[EntryDate],DATE(2026,3,5),tblDaily[WardCode],"BH")),"")</f>
        <v/>
      </c>
      <c r="D89" s="12">
        <f>IFERROR(IF(SUMIFS(tblDaily[Deaths],tblDaily[EntryDate],DATE(2026,3,5),tblDaily[WardCode],"BH")=0,"",SUMIFS(tblDaily[Deaths],tblDaily[EntryDate],DATE(2026,3,5),tblDaily[WardCode],"BH")),"")</f>
        <v/>
      </c>
      <c r="E89" s="12">
        <f>IFERROR(IF(SUMIFS(tblDaily[DeathsUnder24Hrs],tblDaily[EntryDate],DATE(2026,3,5),tblDaily[WardCode],"BH")=0,"",SUMIFS(tblDaily[DeathsUnder24Hrs],tblDaily[EntryDate],DATE(2026,3,5),tblDaily[WardCode],"BH")),"")</f>
        <v/>
      </c>
      <c r="F89" s="12">
        <f>IFERROR(IF(SUMIFS(tblDaily[TransfersIn],tblDaily[EntryDate],DATE(2026,3,5),tblDaily[WardCode],"BH")=0,"",SUMIFS(tblDaily[TransfersIn],tblDaily[EntryDate],DATE(2026,3,5),tblDaily[WardCode],"BH")),"")</f>
        <v/>
      </c>
      <c r="G89" s="12">
        <f>IFERROR(IF(SUMIFS(tblDaily[TransfersOut],tblDaily[EntryDate],DATE(2026,3,5),tblDaily[WardCode],"BH")=0,"",SUMIFS(tblDaily[TransfersOut],tblDaily[EntryDate],DATE(2026,3,5),tblDaily[WardCode],"BH")),"")</f>
        <v/>
      </c>
      <c r="H89" s="12">
        <f>IFERROR(IF(SUMIFS(tblDaily[Remaining],tblDaily[EntryDate],DATE(2026,3,5),tblDaily[WardCode],"BH")=0,"",SUMIFS(tblDaily[Remaining],tblDaily[EntryDate],DATE(2026,3,5),tblDaily[WardCode],"BH")),"")</f>
        <v/>
      </c>
    </row>
    <row r="90">
      <c r="A90" s="12" t="n">
        <v>6</v>
      </c>
      <c r="B90" s="12">
        <f>IFERROR(IF(SUMIFS(tblDaily[Admissions],tblDaily[EntryDate],DATE(2026,3,6),tblDaily[WardCode],"BH")=0,"",SUMIFS(tblDaily[Admissions],tblDaily[EntryDate],DATE(2026,3,6),tblDaily[WardCode],"BH")),"")</f>
        <v/>
      </c>
      <c r="C90" s="12">
        <f>IFERROR(IF(SUMIFS(tblDaily[Discharges],tblDaily[EntryDate],DATE(2026,3,6),tblDaily[WardCode],"BH")=0,"",SUMIFS(tblDaily[Discharges],tblDaily[EntryDate],DATE(2026,3,6),tblDaily[WardCode],"BH")),"")</f>
        <v/>
      </c>
      <c r="D90" s="12">
        <f>IFERROR(IF(SUMIFS(tblDaily[Deaths],tblDaily[EntryDate],DATE(2026,3,6),tblDaily[WardCode],"BH")=0,"",SUMIFS(tblDaily[Deaths],tblDaily[EntryDate],DATE(2026,3,6),tblDaily[WardCode],"BH")),"")</f>
        <v/>
      </c>
      <c r="E90" s="12">
        <f>IFERROR(IF(SUMIFS(tblDaily[DeathsUnder24Hrs],tblDaily[EntryDate],DATE(2026,3,6),tblDaily[WardCode],"BH")=0,"",SUMIFS(tblDaily[DeathsUnder24Hrs],tblDaily[EntryDate],DATE(2026,3,6),tblDaily[WardCode],"BH")),"")</f>
        <v/>
      </c>
      <c r="F90" s="12">
        <f>IFERROR(IF(SUMIFS(tblDaily[TransfersIn],tblDaily[EntryDate],DATE(2026,3,6),tblDaily[WardCode],"BH")=0,"",SUMIFS(tblDaily[TransfersIn],tblDaily[EntryDate],DATE(2026,3,6),tblDaily[WardCode],"BH")),"")</f>
        <v/>
      </c>
      <c r="G90" s="12">
        <f>IFERROR(IF(SUMIFS(tblDaily[TransfersOut],tblDaily[EntryDate],DATE(2026,3,6),tblDaily[WardCode],"BH")=0,"",SUMIFS(tblDaily[TransfersOut],tblDaily[EntryDate],DATE(2026,3,6),tblDaily[WardCode],"BH")),"")</f>
        <v/>
      </c>
      <c r="H90" s="12">
        <f>IFERROR(IF(SUMIFS(tblDaily[Remaining],tblDaily[EntryDate],DATE(2026,3,6),tblDaily[WardCode],"BH")=0,"",SUMIFS(tblDaily[Remaining],tblDaily[EntryDate],DATE(2026,3,6),tblDaily[WardCode],"BH")),"")</f>
        <v/>
      </c>
    </row>
    <row r="91">
      <c r="A91" s="12" t="n">
        <v>7</v>
      </c>
      <c r="B91" s="12">
        <f>IFERROR(IF(SUMIFS(tblDaily[Admissions],tblDaily[EntryDate],DATE(2026,3,7),tblDaily[WardCode],"BH")=0,"",SUMIFS(tblDaily[Admissions],tblDaily[EntryDate],DATE(2026,3,7),tblDaily[WardCode],"BH")),"")</f>
        <v/>
      </c>
      <c r="C91" s="12">
        <f>IFERROR(IF(SUMIFS(tblDaily[Discharges],tblDaily[EntryDate],DATE(2026,3,7),tblDaily[WardCode],"BH")=0,"",SUMIFS(tblDaily[Discharges],tblDaily[EntryDate],DATE(2026,3,7),tblDaily[WardCode],"BH")),"")</f>
        <v/>
      </c>
      <c r="D91" s="12">
        <f>IFERROR(IF(SUMIFS(tblDaily[Deaths],tblDaily[EntryDate],DATE(2026,3,7),tblDaily[WardCode],"BH")=0,"",SUMIFS(tblDaily[Deaths],tblDaily[EntryDate],DATE(2026,3,7),tblDaily[WardCode],"BH")),"")</f>
        <v/>
      </c>
      <c r="E91" s="12">
        <f>IFERROR(IF(SUMIFS(tblDaily[DeathsUnder24Hrs],tblDaily[EntryDate],DATE(2026,3,7),tblDaily[WardCode],"BH")=0,"",SUMIFS(tblDaily[DeathsUnder24Hrs],tblDaily[EntryDate],DATE(2026,3,7),tblDaily[WardCode],"BH")),"")</f>
        <v/>
      </c>
      <c r="F91" s="12">
        <f>IFERROR(IF(SUMIFS(tblDaily[TransfersIn],tblDaily[EntryDate],DATE(2026,3,7),tblDaily[WardCode],"BH")=0,"",SUMIFS(tblDaily[TransfersIn],tblDaily[EntryDate],DATE(2026,3,7),tblDaily[WardCode],"BH")),"")</f>
        <v/>
      </c>
      <c r="G91" s="12">
        <f>IFERROR(IF(SUMIFS(tblDaily[TransfersOut],tblDaily[EntryDate],DATE(2026,3,7),tblDaily[WardCode],"BH")=0,"",SUMIFS(tblDaily[TransfersOut],tblDaily[EntryDate],DATE(2026,3,7),tblDaily[WardCode],"BH")),"")</f>
        <v/>
      </c>
      <c r="H91" s="12">
        <f>IFERROR(IF(SUMIFS(tblDaily[Remaining],tblDaily[EntryDate],DATE(2026,3,7),tblDaily[WardCode],"BH")=0,"",SUMIFS(tblDaily[Remaining],tblDaily[EntryDate],DATE(2026,3,7),tblDaily[WardCode],"BH")),"")</f>
        <v/>
      </c>
    </row>
    <row r="92">
      <c r="A92" s="12" t="n">
        <v>8</v>
      </c>
      <c r="B92" s="12">
        <f>IFERROR(IF(SUMIFS(tblDaily[Admissions],tblDaily[EntryDate],DATE(2026,3,8),tblDaily[WardCode],"BH")=0,"",SUMIFS(tblDaily[Admissions],tblDaily[EntryDate],DATE(2026,3,8),tblDaily[WardCode],"BH")),"")</f>
        <v/>
      </c>
      <c r="C92" s="12">
        <f>IFERROR(IF(SUMIFS(tblDaily[Discharges],tblDaily[EntryDate],DATE(2026,3,8),tblDaily[WardCode],"BH")=0,"",SUMIFS(tblDaily[Discharges],tblDaily[EntryDate],DATE(2026,3,8),tblDaily[WardCode],"BH")),"")</f>
        <v/>
      </c>
      <c r="D92" s="12">
        <f>IFERROR(IF(SUMIFS(tblDaily[Deaths],tblDaily[EntryDate],DATE(2026,3,8),tblDaily[WardCode],"BH")=0,"",SUMIFS(tblDaily[Deaths],tblDaily[EntryDate],DATE(2026,3,8),tblDaily[WardCode],"BH")),"")</f>
        <v/>
      </c>
      <c r="E92" s="12">
        <f>IFERROR(IF(SUMIFS(tblDaily[DeathsUnder24Hrs],tblDaily[EntryDate],DATE(2026,3,8),tblDaily[WardCode],"BH")=0,"",SUMIFS(tblDaily[DeathsUnder24Hrs],tblDaily[EntryDate],DATE(2026,3,8),tblDaily[WardCode],"BH")),"")</f>
        <v/>
      </c>
      <c r="F92" s="12">
        <f>IFERROR(IF(SUMIFS(tblDaily[TransfersIn],tblDaily[EntryDate],DATE(2026,3,8),tblDaily[WardCode],"BH")=0,"",SUMIFS(tblDaily[TransfersIn],tblDaily[EntryDate],DATE(2026,3,8),tblDaily[WardCode],"BH")),"")</f>
        <v/>
      </c>
      <c r="G92" s="12">
        <f>IFERROR(IF(SUMIFS(tblDaily[TransfersOut],tblDaily[EntryDate],DATE(2026,3,8),tblDaily[WardCode],"BH")=0,"",SUMIFS(tblDaily[TransfersOut],tblDaily[EntryDate],DATE(2026,3,8),tblDaily[WardCode],"BH")),"")</f>
        <v/>
      </c>
      <c r="H92" s="12">
        <f>IFERROR(IF(SUMIFS(tblDaily[Remaining],tblDaily[EntryDate],DATE(2026,3,8),tblDaily[WardCode],"BH")=0,"",SUMIFS(tblDaily[Remaining],tblDaily[EntryDate],DATE(2026,3,8),tblDaily[WardCode],"BH")),"")</f>
        <v/>
      </c>
    </row>
    <row r="93">
      <c r="A93" s="12" t="n">
        <v>9</v>
      </c>
      <c r="B93" s="12">
        <f>IFERROR(IF(SUMIFS(tblDaily[Admissions],tblDaily[EntryDate],DATE(2026,3,9),tblDaily[WardCode],"BH")=0,"",SUMIFS(tblDaily[Admissions],tblDaily[EntryDate],DATE(2026,3,9),tblDaily[WardCode],"BH")),"")</f>
        <v/>
      </c>
      <c r="C93" s="12">
        <f>IFERROR(IF(SUMIFS(tblDaily[Discharges],tblDaily[EntryDate],DATE(2026,3,9),tblDaily[WardCode],"BH")=0,"",SUMIFS(tblDaily[Discharges],tblDaily[EntryDate],DATE(2026,3,9),tblDaily[WardCode],"BH")),"")</f>
        <v/>
      </c>
      <c r="D93" s="12">
        <f>IFERROR(IF(SUMIFS(tblDaily[Deaths],tblDaily[EntryDate],DATE(2026,3,9),tblDaily[WardCode],"BH")=0,"",SUMIFS(tblDaily[Deaths],tblDaily[EntryDate],DATE(2026,3,9),tblDaily[WardCode],"BH")),"")</f>
        <v/>
      </c>
      <c r="E93" s="12">
        <f>IFERROR(IF(SUMIFS(tblDaily[DeathsUnder24Hrs],tblDaily[EntryDate],DATE(2026,3,9),tblDaily[WardCode],"BH")=0,"",SUMIFS(tblDaily[DeathsUnder24Hrs],tblDaily[EntryDate],DATE(2026,3,9),tblDaily[WardCode],"BH")),"")</f>
        <v/>
      </c>
      <c r="F93" s="12">
        <f>IFERROR(IF(SUMIFS(tblDaily[TransfersIn],tblDaily[EntryDate],DATE(2026,3,9),tblDaily[WardCode],"BH")=0,"",SUMIFS(tblDaily[TransfersIn],tblDaily[EntryDate],DATE(2026,3,9),tblDaily[WardCode],"BH")),"")</f>
        <v/>
      </c>
      <c r="G93" s="12">
        <f>IFERROR(IF(SUMIFS(tblDaily[TransfersOut],tblDaily[EntryDate],DATE(2026,3,9),tblDaily[WardCode],"BH")=0,"",SUMIFS(tblDaily[TransfersOut],tblDaily[EntryDate],DATE(2026,3,9),tblDaily[WardCode],"BH")),"")</f>
        <v/>
      </c>
      <c r="H93" s="12">
        <f>IFERROR(IF(SUMIFS(tblDaily[Remaining],tblDaily[EntryDate],DATE(2026,3,9),tblDaily[WardCode],"BH")=0,"",SUMIFS(tblDaily[Remaining],tblDaily[EntryDate],DATE(2026,3,9),tblDaily[WardCode],"BH")),"")</f>
        <v/>
      </c>
    </row>
    <row r="94">
      <c r="A94" s="12" t="n">
        <v>10</v>
      </c>
      <c r="B94" s="12">
        <f>IFERROR(IF(SUMIFS(tblDaily[Admissions],tblDaily[EntryDate],DATE(2026,3,10),tblDaily[WardCode],"BH")=0,"",SUMIFS(tblDaily[Admissions],tblDaily[EntryDate],DATE(2026,3,10),tblDaily[WardCode],"BH")),"")</f>
        <v/>
      </c>
      <c r="C94" s="12">
        <f>IFERROR(IF(SUMIFS(tblDaily[Discharges],tblDaily[EntryDate],DATE(2026,3,10),tblDaily[WardCode],"BH")=0,"",SUMIFS(tblDaily[Discharges],tblDaily[EntryDate],DATE(2026,3,10),tblDaily[WardCode],"BH")),"")</f>
        <v/>
      </c>
      <c r="D94" s="12">
        <f>IFERROR(IF(SUMIFS(tblDaily[Deaths],tblDaily[EntryDate],DATE(2026,3,10),tblDaily[WardCode],"BH")=0,"",SUMIFS(tblDaily[Deaths],tblDaily[EntryDate],DATE(2026,3,10),tblDaily[WardCode],"BH")),"")</f>
        <v/>
      </c>
      <c r="E94" s="12">
        <f>IFERROR(IF(SUMIFS(tblDaily[DeathsUnder24Hrs],tblDaily[EntryDate],DATE(2026,3,10),tblDaily[WardCode],"BH")=0,"",SUMIFS(tblDaily[DeathsUnder24Hrs],tblDaily[EntryDate],DATE(2026,3,10),tblDaily[WardCode],"BH")),"")</f>
        <v/>
      </c>
      <c r="F94" s="12">
        <f>IFERROR(IF(SUMIFS(tblDaily[TransfersIn],tblDaily[EntryDate],DATE(2026,3,10),tblDaily[WardCode],"BH")=0,"",SUMIFS(tblDaily[TransfersIn],tblDaily[EntryDate],DATE(2026,3,10),tblDaily[WardCode],"BH")),"")</f>
        <v/>
      </c>
      <c r="G94" s="12">
        <f>IFERROR(IF(SUMIFS(tblDaily[TransfersOut],tblDaily[EntryDate],DATE(2026,3,10),tblDaily[WardCode],"BH")=0,"",SUMIFS(tblDaily[TransfersOut],tblDaily[EntryDate],DATE(2026,3,10),tblDaily[WardCode],"BH")),"")</f>
        <v/>
      </c>
      <c r="H94" s="12">
        <f>IFERROR(IF(SUMIFS(tblDaily[Remaining],tblDaily[EntryDate],DATE(2026,3,10),tblDaily[WardCode],"BH")=0,"",SUMIFS(tblDaily[Remaining],tblDaily[EntryDate],DATE(2026,3,10),tblDaily[WardCode],"BH")),"")</f>
        <v/>
      </c>
    </row>
    <row r="95">
      <c r="A95" s="12" t="n">
        <v>11</v>
      </c>
      <c r="B95" s="12">
        <f>IFERROR(IF(SUMIFS(tblDaily[Admissions],tblDaily[EntryDate],DATE(2026,3,11),tblDaily[WardCode],"BH")=0,"",SUMIFS(tblDaily[Admissions],tblDaily[EntryDate],DATE(2026,3,11),tblDaily[WardCode],"BH")),"")</f>
        <v/>
      </c>
      <c r="C95" s="12">
        <f>IFERROR(IF(SUMIFS(tblDaily[Discharges],tblDaily[EntryDate],DATE(2026,3,11),tblDaily[WardCode],"BH")=0,"",SUMIFS(tblDaily[Discharges],tblDaily[EntryDate],DATE(2026,3,11),tblDaily[WardCode],"BH")),"")</f>
        <v/>
      </c>
      <c r="D95" s="12">
        <f>IFERROR(IF(SUMIFS(tblDaily[Deaths],tblDaily[EntryDate],DATE(2026,3,11),tblDaily[WardCode],"BH")=0,"",SUMIFS(tblDaily[Deaths],tblDaily[EntryDate],DATE(2026,3,11),tblDaily[WardCode],"BH")),"")</f>
        <v/>
      </c>
      <c r="E95" s="12">
        <f>IFERROR(IF(SUMIFS(tblDaily[DeathsUnder24Hrs],tblDaily[EntryDate],DATE(2026,3,11),tblDaily[WardCode],"BH")=0,"",SUMIFS(tblDaily[DeathsUnder24Hrs],tblDaily[EntryDate],DATE(2026,3,11),tblDaily[WardCode],"BH")),"")</f>
        <v/>
      </c>
      <c r="F95" s="12">
        <f>IFERROR(IF(SUMIFS(tblDaily[TransfersIn],tblDaily[EntryDate],DATE(2026,3,11),tblDaily[WardCode],"BH")=0,"",SUMIFS(tblDaily[TransfersIn],tblDaily[EntryDate],DATE(2026,3,11),tblDaily[WardCode],"BH")),"")</f>
        <v/>
      </c>
      <c r="G95" s="12">
        <f>IFERROR(IF(SUMIFS(tblDaily[TransfersOut],tblDaily[EntryDate],DATE(2026,3,11),tblDaily[WardCode],"BH")=0,"",SUMIFS(tblDaily[TransfersOut],tblDaily[EntryDate],DATE(2026,3,11),tblDaily[WardCode],"BH")),"")</f>
        <v/>
      </c>
      <c r="H95" s="12">
        <f>IFERROR(IF(SUMIFS(tblDaily[Remaining],tblDaily[EntryDate],DATE(2026,3,11),tblDaily[WardCode],"BH")=0,"",SUMIFS(tblDaily[Remaining],tblDaily[EntryDate],DATE(2026,3,11),tblDaily[WardCode],"BH")),"")</f>
        <v/>
      </c>
    </row>
    <row r="96">
      <c r="A96" s="12" t="n">
        <v>12</v>
      </c>
      <c r="B96" s="12">
        <f>IFERROR(IF(SUMIFS(tblDaily[Admissions],tblDaily[EntryDate],DATE(2026,3,12),tblDaily[WardCode],"BH")=0,"",SUMIFS(tblDaily[Admissions],tblDaily[EntryDate],DATE(2026,3,12),tblDaily[WardCode],"BH")),"")</f>
        <v/>
      </c>
      <c r="C96" s="12">
        <f>IFERROR(IF(SUMIFS(tblDaily[Discharges],tblDaily[EntryDate],DATE(2026,3,12),tblDaily[WardCode],"BH")=0,"",SUMIFS(tblDaily[Discharges],tblDaily[EntryDate],DATE(2026,3,12),tblDaily[WardCode],"BH")),"")</f>
        <v/>
      </c>
      <c r="D96" s="12">
        <f>IFERROR(IF(SUMIFS(tblDaily[Deaths],tblDaily[EntryDate],DATE(2026,3,12),tblDaily[WardCode],"BH")=0,"",SUMIFS(tblDaily[Deaths],tblDaily[EntryDate],DATE(2026,3,12),tblDaily[WardCode],"BH")),"")</f>
        <v/>
      </c>
      <c r="E96" s="12">
        <f>IFERROR(IF(SUMIFS(tblDaily[DeathsUnder24Hrs],tblDaily[EntryDate],DATE(2026,3,12),tblDaily[WardCode],"BH")=0,"",SUMIFS(tblDaily[DeathsUnder24Hrs],tblDaily[EntryDate],DATE(2026,3,12),tblDaily[WardCode],"BH")),"")</f>
        <v/>
      </c>
      <c r="F96" s="12">
        <f>IFERROR(IF(SUMIFS(tblDaily[TransfersIn],tblDaily[EntryDate],DATE(2026,3,12),tblDaily[WardCode],"BH")=0,"",SUMIFS(tblDaily[TransfersIn],tblDaily[EntryDate],DATE(2026,3,12),tblDaily[WardCode],"BH")),"")</f>
        <v/>
      </c>
      <c r="G96" s="12">
        <f>IFERROR(IF(SUMIFS(tblDaily[TransfersOut],tblDaily[EntryDate],DATE(2026,3,12),tblDaily[WardCode],"BH")=0,"",SUMIFS(tblDaily[TransfersOut],tblDaily[EntryDate],DATE(2026,3,12),tblDaily[WardCode],"BH")),"")</f>
        <v/>
      </c>
      <c r="H96" s="12">
        <f>IFERROR(IF(SUMIFS(tblDaily[Remaining],tblDaily[EntryDate],DATE(2026,3,12),tblDaily[WardCode],"BH")=0,"",SUMIFS(tblDaily[Remaining],tblDaily[EntryDate],DATE(2026,3,12),tblDaily[WardCode],"BH")),"")</f>
        <v/>
      </c>
    </row>
    <row r="97">
      <c r="A97" s="12" t="n">
        <v>13</v>
      </c>
      <c r="B97" s="12">
        <f>IFERROR(IF(SUMIFS(tblDaily[Admissions],tblDaily[EntryDate],DATE(2026,3,13),tblDaily[WardCode],"BH")=0,"",SUMIFS(tblDaily[Admissions],tblDaily[EntryDate],DATE(2026,3,13),tblDaily[WardCode],"BH")),"")</f>
        <v/>
      </c>
      <c r="C97" s="12">
        <f>IFERROR(IF(SUMIFS(tblDaily[Discharges],tblDaily[EntryDate],DATE(2026,3,13),tblDaily[WardCode],"BH")=0,"",SUMIFS(tblDaily[Discharges],tblDaily[EntryDate],DATE(2026,3,13),tblDaily[WardCode],"BH")),"")</f>
        <v/>
      </c>
      <c r="D97" s="12">
        <f>IFERROR(IF(SUMIFS(tblDaily[Deaths],tblDaily[EntryDate],DATE(2026,3,13),tblDaily[WardCode],"BH")=0,"",SUMIFS(tblDaily[Deaths],tblDaily[EntryDate],DATE(2026,3,13),tblDaily[WardCode],"BH")),"")</f>
        <v/>
      </c>
      <c r="E97" s="12">
        <f>IFERROR(IF(SUMIFS(tblDaily[DeathsUnder24Hrs],tblDaily[EntryDate],DATE(2026,3,13),tblDaily[WardCode],"BH")=0,"",SUMIFS(tblDaily[DeathsUnder24Hrs],tblDaily[EntryDate],DATE(2026,3,13),tblDaily[WardCode],"BH")),"")</f>
        <v/>
      </c>
      <c r="F97" s="12">
        <f>IFERROR(IF(SUMIFS(tblDaily[TransfersIn],tblDaily[EntryDate],DATE(2026,3,13),tblDaily[WardCode],"BH")=0,"",SUMIFS(tblDaily[TransfersIn],tblDaily[EntryDate],DATE(2026,3,13),tblDaily[WardCode],"BH")),"")</f>
        <v/>
      </c>
      <c r="G97" s="12">
        <f>IFERROR(IF(SUMIFS(tblDaily[TransfersOut],tblDaily[EntryDate],DATE(2026,3,13),tblDaily[WardCode],"BH")=0,"",SUMIFS(tblDaily[TransfersOut],tblDaily[EntryDate],DATE(2026,3,13),tblDaily[WardCode],"BH")),"")</f>
        <v/>
      </c>
      <c r="H97" s="12">
        <f>IFERROR(IF(SUMIFS(tblDaily[Remaining],tblDaily[EntryDate],DATE(2026,3,13),tblDaily[WardCode],"BH")=0,"",SUMIFS(tblDaily[Remaining],tblDaily[EntryDate],DATE(2026,3,13),tblDaily[WardCode],"BH")),"")</f>
        <v/>
      </c>
    </row>
    <row r="98">
      <c r="A98" s="12" t="n">
        <v>14</v>
      </c>
      <c r="B98" s="12">
        <f>IFERROR(IF(SUMIFS(tblDaily[Admissions],tblDaily[EntryDate],DATE(2026,3,14),tblDaily[WardCode],"BH")=0,"",SUMIFS(tblDaily[Admissions],tblDaily[EntryDate],DATE(2026,3,14),tblDaily[WardCode],"BH")),"")</f>
        <v/>
      </c>
      <c r="C98" s="12">
        <f>IFERROR(IF(SUMIFS(tblDaily[Discharges],tblDaily[EntryDate],DATE(2026,3,14),tblDaily[WardCode],"BH")=0,"",SUMIFS(tblDaily[Discharges],tblDaily[EntryDate],DATE(2026,3,14),tblDaily[WardCode],"BH")),"")</f>
        <v/>
      </c>
      <c r="D98" s="12">
        <f>IFERROR(IF(SUMIFS(tblDaily[Deaths],tblDaily[EntryDate],DATE(2026,3,14),tblDaily[WardCode],"BH")=0,"",SUMIFS(tblDaily[Deaths],tblDaily[EntryDate],DATE(2026,3,14),tblDaily[WardCode],"BH")),"")</f>
        <v/>
      </c>
      <c r="E98" s="12">
        <f>IFERROR(IF(SUMIFS(tblDaily[DeathsUnder24Hrs],tblDaily[EntryDate],DATE(2026,3,14),tblDaily[WardCode],"BH")=0,"",SUMIFS(tblDaily[DeathsUnder24Hrs],tblDaily[EntryDate],DATE(2026,3,14),tblDaily[WardCode],"BH")),"")</f>
        <v/>
      </c>
      <c r="F98" s="12">
        <f>IFERROR(IF(SUMIFS(tblDaily[TransfersIn],tblDaily[EntryDate],DATE(2026,3,14),tblDaily[WardCode],"BH")=0,"",SUMIFS(tblDaily[TransfersIn],tblDaily[EntryDate],DATE(2026,3,14),tblDaily[WardCode],"BH")),"")</f>
        <v/>
      </c>
      <c r="G98" s="12">
        <f>IFERROR(IF(SUMIFS(tblDaily[TransfersOut],tblDaily[EntryDate],DATE(2026,3,14),tblDaily[WardCode],"BH")=0,"",SUMIFS(tblDaily[TransfersOut],tblDaily[EntryDate],DATE(2026,3,14),tblDaily[WardCode],"BH")),"")</f>
        <v/>
      </c>
      <c r="H98" s="12">
        <f>IFERROR(IF(SUMIFS(tblDaily[Remaining],tblDaily[EntryDate],DATE(2026,3,14),tblDaily[WardCode],"BH")=0,"",SUMIFS(tblDaily[Remaining],tblDaily[EntryDate],DATE(2026,3,14),tblDaily[WardCode],"BH")),"")</f>
        <v/>
      </c>
    </row>
    <row r="99">
      <c r="A99" s="12" t="n">
        <v>15</v>
      </c>
      <c r="B99" s="12">
        <f>IFERROR(IF(SUMIFS(tblDaily[Admissions],tblDaily[EntryDate],DATE(2026,3,15),tblDaily[WardCode],"BH")=0,"",SUMIFS(tblDaily[Admissions],tblDaily[EntryDate],DATE(2026,3,15),tblDaily[WardCode],"BH")),"")</f>
        <v/>
      </c>
      <c r="C99" s="12">
        <f>IFERROR(IF(SUMIFS(tblDaily[Discharges],tblDaily[EntryDate],DATE(2026,3,15),tblDaily[WardCode],"BH")=0,"",SUMIFS(tblDaily[Discharges],tblDaily[EntryDate],DATE(2026,3,15),tblDaily[WardCode],"BH")),"")</f>
        <v/>
      </c>
      <c r="D99" s="12">
        <f>IFERROR(IF(SUMIFS(tblDaily[Deaths],tblDaily[EntryDate],DATE(2026,3,15),tblDaily[WardCode],"BH")=0,"",SUMIFS(tblDaily[Deaths],tblDaily[EntryDate],DATE(2026,3,15),tblDaily[WardCode],"BH")),"")</f>
        <v/>
      </c>
      <c r="E99" s="12">
        <f>IFERROR(IF(SUMIFS(tblDaily[DeathsUnder24Hrs],tblDaily[EntryDate],DATE(2026,3,15),tblDaily[WardCode],"BH")=0,"",SUMIFS(tblDaily[DeathsUnder24Hrs],tblDaily[EntryDate],DATE(2026,3,15),tblDaily[WardCode],"BH")),"")</f>
        <v/>
      </c>
      <c r="F99" s="12">
        <f>IFERROR(IF(SUMIFS(tblDaily[TransfersIn],tblDaily[EntryDate],DATE(2026,3,15),tblDaily[WardCode],"BH")=0,"",SUMIFS(tblDaily[TransfersIn],tblDaily[EntryDate],DATE(2026,3,15),tblDaily[WardCode],"BH")),"")</f>
        <v/>
      </c>
      <c r="G99" s="12">
        <f>IFERROR(IF(SUMIFS(tblDaily[TransfersOut],tblDaily[EntryDate],DATE(2026,3,15),tblDaily[WardCode],"BH")=0,"",SUMIFS(tblDaily[TransfersOut],tblDaily[EntryDate],DATE(2026,3,15),tblDaily[WardCode],"BH")),"")</f>
        <v/>
      </c>
      <c r="H99" s="12">
        <f>IFERROR(IF(SUMIFS(tblDaily[Remaining],tblDaily[EntryDate],DATE(2026,3,15),tblDaily[WardCode],"BH")=0,"",SUMIFS(tblDaily[Remaining],tblDaily[EntryDate],DATE(2026,3,15),tblDaily[WardCode],"BH")),"")</f>
        <v/>
      </c>
    </row>
    <row r="100">
      <c r="A100" s="12" t="n">
        <v>16</v>
      </c>
      <c r="B100" s="12">
        <f>IFERROR(IF(SUMIFS(tblDaily[Admissions],tblDaily[EntryDate],DATE(2026,3,16),tblDaily[WardCode],"BH")=0,"",SUMIFS(tblDaily[Admissions],tblDaily[EntryDate],DATE(2026,3,16),tblDaily[WardCode],"BH")),"")</f>
        <v/>
      </c>
      <c r="C100" s="12">
        <f>IFERROR(IF(SUMIFS(tblDaily[Discharges],tblDaily[EntryDate],DATE(2026,3,16),tblDaily[WardCode],"BH")=0,"",SUMIFS(tblDaily[Discharges],tblDaily[EntryDate],DATE(2026,3,16),tblDaily[WardCode],"BH")),"")</f>
        <v/>
      </c>
      <c r="D100" s="12">
        <f>IFERROR(IF(SUMIFS(tblDaily[Deaths],tblDaily[EntryDate],DATE(2026,3,16),tblDaily[WardCode],"BH")=0,"",SUMIFS(tblDaily[Deaths],tblDaily[EntryDate],DATE(2026,3,16),tblDaily[WardCode],"BH")),"")</f>
        <v/>
      </c>
      <c r="E100" s="12">
        <f>IFERROR(IF(SUMIFS(tblDaily[DeathsUnder24Hrs],tblDaily[EntryDate],DATE(2026,3,16),tblDaily[WardCode],"BH")=0,"",SUMIFS(tblDaily[DeathsUnder24Hrs],tblDaily[EntryDate],DATE(2026,3,16),tblDaily[WardCode],"BH")),"")</f>
        <v/>
      </c>
      <c r="F100" s="12">
        <f>IFERROR(IF(SUMIFS(tblDaily[TransfersIn],tblDaily[EntryDate],DATE(2026,3,16),tblDaily[WardCode],"BH")=0,"",SUMIFS(tblDaily[TransfersIn],tblDaily[EntryDate],DATE(2026,3,16),tblDaily[WardCode],"BH")),"")</f>
        <v/>
      </c>
      <c r="G100" s="12">
        <f>IFERROR(IF(SUMIFS(tblDaily[TransfersOut],tblDaily[EntryDate],DATE(2026,3,16),tblDaily[WardCode],"BH")=0,"",SUMIFS(tblDaily[TransfersOut],tblDaily[EntryDate],DATE(2026,3,16),tblDaily[WardCode],"BH")),"")</f>
        <v/>
      </c>
      <c r="H100" s="12">
        <f>IFERROR(IF(SUMIFS(tblDaily[Remaining],tblDaily[EntryDate],DATE(2026,3,16),tblDaily[WardCode],"BH")=0,"",SUMIFS(tblDaily[Remaining],tblDaily[EntryDate],DATE(2026,3,16),tblDaily[WardCode],"BH")),"")</f>
        <v/>
      </c>
    </row>
    <row r="101">
      <c r="A101" s="12" t="n">
        <v>17</v>
      </c>
      <c r="B101" s="12">
        <f>IFERROR(IF(SUMIFS(tblDaily[Admissions],tblDaily[EntryDate],DATE(2026,3,17),tblDaily[WardCode],"BH")=0,"",SUMIFS(tblDaily[Admissions],tblDaily[EntryDate],DATE(2026,3,17),tblDaily[WardCode],"BH")),"")</f>
        <v/>
      </c>
      <c r="C101" s="12">
        <f>IFERROR(IF(SUMIFS(tblDaily[Discharges],tblDaily[EntryDate],DATE(2026,3,17),tblDaily[WardCode],"BH")=0,"",SUMIFS(tblDaily[Discharges],tblDaily[EntryDate],DATE(2026,3,17),tblDaily[WardCode],"BH")),"")</f>
        <v/>
      </c>
      <c r="D101" s="12">
        <f>IFERROR(IF(SUMIFS(tblDaily[Deaths],tblDaily[EntryDate],DATE(2026,3,17),tblDaily[WardCode],"BH")=0,"",SUMIFS(tblDaily[Deaths],tblDaily[EntryDate],DATE(2026,3,17),tblDaily[WardCode],"BH")),"")</f>
        <v/>
      </c>
      <c r="E101" s="12">
        <f>IFERROR(IF(SUMIFS(tblDaily[DeathsUnder24Hrs],tblDaily[EntryDate],DATE(2026,3,17),tblDaily[WardCode],"BH")=0,"",SUMIFS(tblDaily[DeathsUnder24Hrs],tblDaily[EntryDate],DATE(2026,3,17),tblDaily[WardCode],"BH")),"")</f>
        <v/>
      </c>
      <c r="F101" s="12">
        <f>IFERROR(IF(SUMIFS(tblDaily[TransfersIn],tblDaily[EntryDate],DATE(2026,3,17),tblDaily[WardCode],"BH")=0,"",SUMIFS(tblDaily[TransfersIn],tblDaily[EntryDate],DATE(2026,3,17),tblDaily[WardCode],"BH")),"")</f>
        <v/>
      </c>
      <c r="G101" s="12">
        <f>IFERROR(IF(SUMIFS(tblDaily[TransfersOut],tblDaily[EntryDate],DATE(2026,3,17),tblDaily[WardCode],"BH")=0,"",SUMIFS(tblDaily[TransfersOut],tblDaily[EntryDate],DATE(2026,3,17),tblDaily[WardCode],"BH")),"")</f>
        <v/>
      </c>
      <c r="H101" s="12">
        <f>IFERROR(IF(SUMIFS(tblDaily[Remaining],tblDaily[EntryDate],DATE(2026,3,17),tblDaily[WardCode],"BH")=0,"",SUMIFS(tblDaily[Remaining],tblDaily[EntryDate],DATE(2026,3,17),tblDaily[WardCode],"BH")),"")</f>
        <v/>
      </c>
    </row>
    <row r="102">
      <c r="A102" s="12" t="n">
        <v>18</v>
      </c>
      <c r="B102" s="12">
        <f>IFERROR(IF(SUMIFS(tblDaily[Admissions],tblDaily[EntryDate],DATE(2026,3,18),tblDaily[WardCode],"BH")=0,"",SUMIFS(tblDaily[Admissions],tblDaily[EntryDate],DATE(2026,3,18),tblDaily[WardCode],"BH")),"")</f>
        <v/>
      </c>
      <c r="C102" s="12">
        <f>IFERROR(IF(SUMIFS(tblDaily[Discharges],tblDaily[EntryDate],DATE(2026,3,18),tblDaily[WardCode],"BH")=0,"",SUMIFS(tblDaily[Discharges],tblDaily[EntryDate],DATE(2026,3,18),tblDaily[WardCode],"BH")),"")</f>
        <v/>
      </c>
      <c r="D102" s="12">
        <f>IFERROR(IF(SUMIFS(tblDaily[Deaths],tblDaily[EntryDate],DATE(2026,3,18),tblDaily[WardCode],"BH")=0,"",SUMIFS(tblDaily[Deaths],tblDaily[EntryDate],DATE(2026,3,18),tblDaily[WardCode],"BH")),"")</f>
        <v/>
      </c>
      <c r="E102" s="12">
        <f>IFERROR(IF(SUMIFS(tblDaily[DeathsUnder24Hrs],tblDaily[EntryDate],DATE(2026,3,18),tblDaily[WardCode],"BH")=0,"",SUMIFS(tblDaily[DeathsUnder24Hrs],tblDaily[EntryDate],DATE(2026,3,18),tblDaily[WardCode],"BH")),"")</f>
        <v/>
      </c>
      <c r="F102" s="12">
        <f>IFERROR(IF(SUMIFS(tblDaily[TransfersIn],tblDaily[EntryDate],DATE(2026,3,18),tblDaily[WardCode],"BH")=0,"",SUMIFS(tblDaily[TransfersIn],tblDaily[EntryDate],DATE(2026,3,18),tblDaily[WardCode],"BH")),"")</f>
        <v/>
      </c>
      <c r="G102" s="12">
        <f>IFERROR(IF(SUMIFS(tblDaily[TransfersOut],tblDaily[EntryDate],DATE(2026,3,18),tblDaily[WardCode],"BH")=0,"",SUMIFS(tblDaily[TransfersOut],tblDaily[EntryDate],DATE(2026,3,18),tblDaily[WardCode],"BH")),"")</f>
        <v/>
      </c>
      <c r="H102" s="12">
        <f>IFERROR(IF(SUMIFS(tblDaily[Remaining],tblDaily[EntryDate],DATE(2026,3,18),tblDaily[WardCode],"BH")=0,"",SUMIFS(tblDaily[Remaining],tblDaily[EntryDate],DATE(2026,3,18),tblDaily[WardCode],"BH")),"")</f>
        <v/>
      </c>
    </row>
    <row r="103">
      <c r="A103" s="12" t="n">
        <v>19</v>
      </c>
      <c r="B103" s="12">
        <f>IFERROR(IF(SUMIFS(tblDaily[Admissions],tblDaily[EntryDate],DATE(2026,3,19),tblDaily[WardCode],"BH")=0,"",SUMIFS(tblDaily[Admissions],tblDaily[EntryDate],DATE(2026,3,19),tblDaily[WardCode],"BH")),"")</f>
        <v/>
      </c>
      <c r="C103" s="12">
        <f>IFERROR(IF(SUMIFS(tblDaily[Discharges],tblDaily[EntryDate],DATE(2026,3,19),tblDaily[WardCode],"BH")=0,"",SUMIFS(tblDaily[Discharges],tblDaily[EntryDate],DATE(2026,3,19),tblDaily[WardCode],"BH")),"")</f>
        <v/>
      </c>
      <c r="D103" s="12">
        <f>IFERROR(IF(SUMIFS(tblDaily[Deaths],tblDaily[EntryDate],DATE(2026,3,19),tblDaily[WardCode],"BH")=0,"",SUMIFS(tblDaily[Deaths],tblDaily[EntryDate],DATE(2026,3,19),tblDaily[WardCode],"BH")),"")</f>
        <v/>
      </c>
      <c r="E103" s="12">
        <f>IFERROR(IF(SUMIFS(tblDaily[DeathsUnder24Hrs],tblDaily[EntryDate],DATE(2026,3,19),tblDaily[WardCode],"BH")=0,"",SUMIFS(tblDaily[DeathsUnder24Hrs],tblDaily[EntryDate],DATE(2026,3,19),tblDaily[WardCode],"BH")),"")</f>
        <v/>
      </c>
      <c r="F103" s="12">
        <f>IFERROR(IF(SUMIFS(tblDaily[TransfersIn],tblDaily[EntryDate],DATE(2026,3,19),tblDaily[WardCode],"BH")=0,"",SUMIFS(tblDaily[TransfersIn],tblDaily[EntryDate],DATE(2026,3,19),tblDaily[WardCode],"BH")),"")</f>
        <v/>
      </c>
      <c r="G103" s="12">
        <f>IFERROR(IF(SUMIFS(tblDaily[TransfersOut],tblDaily[EntryDate],DATE(2026,3,19),tblDaily[WardCode],"BH")=0,"",SUMIFS(tblDaily[TransfersOut],tblDaily[EntryDate],DATE(2026,3,19),tblDaily[WardCode],"BH")),"")</f>
        <v/>
      </c>
      <c r="H103" s="12">
        <f>IFERROR(IF(SUMIFS(tblDaily[Remaining],tblDaily[EntryDate],DATE(2026,3,19),tblDaily[WardCode],"BH")=0,"",SUMIFS(tblDaily[Remaining],tblDaily[EntryDate],DATE(2026,3,19),tblDaily[WardCode],"BH")),"")</f>
        <v/>
      </c>
    </row>
    <row r="104">
      <c r="A104" s="12" t="n">
        <v>20</v>
      </c>
      <c r="B104" s="12">
        <f>IFERROR(IF(SUMIFS(tblDaily[Admissions],tblDaily[EntryDate],DATE(2026,3,20),tblDaily[WardCode],"BH")=0,"",SUMIFS(tblDaily[Admissions],tblDaily[EntryDate],DATE(2026,3,20),tblDaily[WardCode],"BH")),"")</f>
        <v/>
      </c>
      <c r="C104" s="12">
        <f>IFERROR(IF(SUMIFS(tblDaily[Discharges],tblDaily[EntryDate],DATE(2026,3,20),tblDaily[WardCode],"BH")=0,"",SUMIFS(tblDaily[Discharges],tblDaily[EntryDate],DATE(2026,3,20),tblDaily[WardCode],"BH")),"")</f>
        <v/>
      </c>
      <c r="D104" s="12">
        <f>IFERROR(IF(SUMIFS(tblDaily[Deaths],tblDaily[EntryDate],DATE(2026,3,20),tblDaily[WardCode],"BH")=0,"",SUMIFS(tblDaily[Deaths],tblDaily[EntryDate],DATE(2026,3,20),tblDaily[WardCode],"BH")),"")</f>
        <v/>
      </c>
      <c r="E104" s="12">
        <f>IFERROR(IF(SUMIFS(tblDaily[DeathsUnder24Hrs],tblDaily[EntryDate],DATE(2026,3,20),tblDaily[WardCode],"BH")=0,"",SUMIFS(tblDaily[DeathsUnder24Hrs],tblDaily[EntryDate],DATE(2026,3,20),tblDaily[WardCode],"BH")),"")</f>
        <v/>
      </c>
      <c r="F104" s="12">
        <f>IFERROR(IF(SUMIFS(tblDaily[TransfersIn],tblDaily[EntryDate],DATE(2026,3,20),tblDaily[WardCode],"BH")=0,"",SUMIFS(tblDaily[TransfersIn],tblDaily[EntryDate],DATE(2026,3,20),tblDaily[WardCode],"BH")),"")</f>
        <v/>
      </c>
      <c r="G104" s="12">
        <f>IFERROR(IF(SUMIFS(tblDaily[TransfersOut],tblDaily[EntryDate],DATE(2026,3,20),tblDaily[WardCode],"BH")=0,"",SUMIFS(tblDaily[TransfersOut],tblDaily[EntryDate],DATE(2026,3,20),tblDaily[WardCode],"BH")),"")</f>
        <v/>
      </c>
      <c r="H104" s="12">
        <f>IFERROR(IF(SUMIFS(tblDaily[Remaining],tblDaily[EntryDate],DATE(2026,3,20),tblDaily[WardCode],"BH")=0,"",SUMIFS(tblDaily[Remaining],tblDaily[EntryDate],DATE(2026,3,20),tblDaily[WardCode],"BH")),"")</f>
        <v/>
      </c>
    </row>
    <row r="105">
      <c r="A105" s="12" t="n">
        <v>21</v>
      </c>
      <c r="B105" s="12">
        <f>IFERROR(IF(SUMIFS(tblDaily[Admissions],tblDaily[EntryDate],DATE(2026,3,21),tblDaily[WardCode],"BH")=0,"",SUMIFS(tblDaily[Admissions],tblDaily[EntryDate],DATE(2026,3,21),tblDaily[WardCode],"BH")),"")</f>
        <v/>
      </c>
      <c r="C105" s="12">
        <f>IFERROR(IF(SUMIFS(tblDaily[Discharges],tblDaily[EntryDate],DATE(2026,3,21),tblDaily[WardCode],"BH")=0,"",SUMIFS(tblDaily[Discharges],tblDaily[EntryDate],DATE(2026,3,21),tblDaily[WardCode],"BH")),"")</f>
        <v/>
      </c>
      <c r="D105" s="12">
        <f>IFERROR(IF(SUMIFS(tblDaily[Deaths],tblDaily[EntryDate],DATE(2026,3,21),tblDaily[WardCode],"BH")=0,"",SUMIFS(tblDaily[Deaths],tblDaily[EntryDate],DATE(2026,3,21),tblDaily[WardCode],"BH")),"")</f>
        <v/>
      </c>
      <c r="E105" s="12">
        <f>IFERROR(IF(SUMIFS(tblDaily[DeathsUnder24Hrs],tblDaily[EntryDate],DATE(2026,3,21),tblDaily[WardCode],"BH")=0,"",SUMIFS(tblDaily[DeathsUnder24Hrs],tblDaily[EntryDate],DATE(2026,3,21),tblDaily[WardCode],"BH")),"")</f>
        <v/>
      </c>
      <c r="F105" s="12">
        <f>IFERROR(IF(SUMIFS(tblDaily[TransfersIn],tblDaily[EntryDate],DATE(2026,3,21),tblDaily[WardCode],"BH")=0,"",SUMIFS(tblDaily[TransfersIn],tblDaily[EntryDate],DATE(2026,3,21),tblDaily[WardCode],"BH")),"")</f>
        <v/>
      </c>
      <c r="G105" s="12">
        <f>IFERROR(IF(SUMIFS(tblDaily[TransfersOut],tblDaily[EntryDate],DATE(2026,3,21),tblDaily[WardCode],"BH")=0,"",SUMIFS(tblDaily[TransfersOut],tblDaily[EntryDate],DATE(2026,3,21),tblDaily[WardCode],"BH")),"")</f>
        <v/>
      </c>
      <c r="H105" s="12">
        <f>IFERROR(IF(SUMIFS(tblDaily[Remaining],tblDaily[EntryDate],DATE(2026,3,21),tblDaily[WardCode],"BH")=0,"",SUMIFS(tblDaily[Remaining],tblDaily[EntryDate],DATE(2026,3,21),tblDaily[WardCode],"BH")),"")</f>
        <v/>
      </c>
    </row>
    <row r="106">
      <c r="A106" s="12" t="n">
        <v>22</v>
      </c>
      <c r="B106" s="12">
        <f>IFERROR(IF(SUMIFS(tblDaily[Admissions],tblDaily[EntryDate],DATE(2026,3,22),tblDaily[WardCode],"BH")=0,"",SUMIFS(tblDaily[Admissions],tblDaily[EntryDate],DATE(2026,3,22),tblDaily[WardCode],"BH")),"")</f>
        <v/>
      </c>
      <c r="C106" s="12">
        <f>IFERROR(IF(SUMIFS(tblDaily[Discharges],tblDaily[EntryDate],DATE(2026,3,22),tblDaily[WardCode],"BH")=0,"",SUMIFS(tblDaily[Discharges],tblDaily[EntryDate],DATE(2026,3,22),tblDaily[WardCode],"BH")),"")</f>
        <v/>
      </c>
      <c r="D106" s="12">
        <f>IFERROR(IF(SUMIFS(tblDaily[Deaths],tblDaily[EntryDate],DATE(2026,3,22),tblDaily[WardCode],"BH")=0,"",SUMIFS(tblDaily[Deaths],tblDaily[EntryDate],DATE(2026,3,22),tblDaily[WardCode],"BH")),"")</f>
        <v/>
      </c>
      <c r="E106" s="12">
        <f>IFERROR(IF(SUMIFS(tblDaily[DeathsUnder24Hrs],tblDaily[EntryDate],DATE(2026,3,22),tblDaily[WardCode],"BH")=0,"",SUMIFS(tblDaily[DeathsUnder24Hrs],tblDaily[EntryDate],DATE(2026,3,22),tblDaily[WardCode],"BH")),"")</f>
        <v/>
      </c>
      <c r="F106" s="12">
        <f>IFERROR(IF(SUMIFS(tblDaily[TransfersIn],tblDaily[EntryDate],DATE(2026,3,22),tblDaily[WardCode],"BH")=0,"",SUMIFS(tblDaily[TransfersIn],tblDaily[EntryDate],DATE(2026,3,22),tblDaily[WardCode],"BH")),"")</f>
        <v/>
      </c>
      <c r="G106" s="12">
        <f>IFERROR(IF(SUMIFS(tblDaily[TransfersOut],tblDaily[EntryDate],DATE(2026,3,22),tblDaily[WardCode],"BH")=0,"",SUMIFS(tblDaily[TransfersOut],tblDaily[EntryDate],DATE(2026,3,22),tblDaily[WardCode],"BH")),"")</f>
        <v/>
      </c>
      <c r="H106" s="12">
        <f>IFERROR(IF(SUMIFS(tblDaily[Remaining],tblDaily[EntryDate],DATE(2026,3,22),tblDaily[WardCode],"BH")=0,"",SUMIFS(tblDaily[Remaining],tblDaily[EntryDate],DATE(2026,3,22),tblDaily[WardCode],"BH")),"")</f>
        <v/>
      </c>
    </row>
    <row r="107">
      <c r="A107" s="12" t="n">
        <v>23</v>
      </c>
      <c r="B107" s="12">
        <f>IFERROR(IF(SUMIFS(tblDaily[Admissions],tblDaily[EntryDate],DATE(2026,3,23),tblDaily[WardCode],"BH")=0,"",SUMIFS(tblDaily[Admissions],tblDaily[EntryDate],DATE(2026,3,23),tblDaily[WardCode],"BH")),"")</f>
        <v/>
      </c>
      <c r="C107" s="12">
        <f>IFERROR(IF(SUMIFS(tblDaily[Discharges],tblDaily[EntryDate],DATE(2026,3,23),tblDaily[WardCode],"BH")=0,"",SUMIFS(tblDaily[Discharges],tblDaily[EntryDate],DATE(2026,3,23),tblDaily[WardCode],"BH")),"")</f>
        <v/>
      </c>
      <c r="D107" s="12">
        <f>IFERROR(IF(SUMIFS(tblDaily[Deaths],tblDaily[EntryDate],DATE(2026,3,23),tblDaily[WardCode],"BH")=0,"",SUMIFS(tblDaily[Deaths],tblDaily[EntryDate],DATE(2026,3,23),tblDaily[WardCode],"BH")),"")</f>
        <v/>
      </c>
      <c r="E107" s="12">
        <f>IFERROR(IF(SUMIFS(tblDaily[DeathsUnder24Hrs],tblDaily[EntryDate],DATE(2026,3,23),tblDaily[WardCode],"BH")=0,"",SUMIFS(tblDaily[DeathsUnder24Hrs],tblDaily[EntryDate],DATE(2026,3,23),tblDaily[WardCode],"BH")),"")</f>
        <v/>
      </c>
      <c r="F107" s="12">
        <f>IFERROR(IF(SUMIFS(tblDaily[TransfersIn],tblDaily[EntryDate],DATE(2026,3,23),tblDaily[WardCode],"BH")=0,"",SUMIFS(tblDaily[TransfersIn],tblDaily[EntryDate],DATE(2026,3,23),tblDaily[WardCode],"BH")),"")</f>
        <v/>
      </c>
      <c r="G107" s="12">
        <f>IFERROR(IF(SUMIFS(tblDaily[TransfersOut],tblDaily[EntryDate],DATE(2026,3,23),tblDaily[WardCode],"BH")=0,"",SUMIFS(tblDaily[TransfersOut],tblDaily[EntryDate],DATE(2026,3,23),tblDaily[WardCode],"BH")),"")</f>
        <v/>
      </c>
      <c r="H107" s="12">
        <f>IFERROR(IF(SUMIFS(tblDaily[Remaining],tblDaily[EntryDate],DATE(2026,3,23),tblDaily[WardCode],"BH")=0,"",SUMIFS(tblDaily[Remaining],tblDaily[EntryDate],DATE(2026,3,23),tblDaily[WardCode],"BH")),"")</f>
        <v/>
      </c>
    </row>
    <row r="108">
      <c r="A108" s="12" t="n">
        <v>24</v>
      </c>
      <c r="B108" s="12">
        <f>IFERROR(IF(SUMIFS(tblDaily[Admissions],tblDaily[EntryDate],DATE(2026,3,24),tblDaily[WardCode],"BH")=0,"",SUMIFS(tblDaily[Admissions],tblDaily[EntryDate],DATE(2026,3,24),tblDaily[WardCode],"BH")),"")</f>
        <v/>
      </c>
      <c r="C108" s="12">
        <f>IFERROR(IF(SUMIFS(tblDaily[Discharges],tblDaily[EntryDate],DATE(2026,3,24),tblDaily[WardCode],"BH")=0,"",SUMIFS(tblDaily[Discharges],tblDaily[EntryDate],DATE(2026,3,24),tblDaily[WardCode],"BH")),"")</f>
        <v/>
      </c>
      <c r="D108" s="12">
        <f>IFERROR(IF(SUMIFS(tblDaily[Deaths],tblDaily[EntryDate],DATE(2026,3,24),tblDaily[WardCode],"BH")=0,"",SUMIFS(tblDaily[Deaths],tblDaily[EntryDate],DATE(2026,3,24),tblDaily[WardCode],"BH")),"")</f>
        <v/>
      </c>
      <c r="E108" s="12">
        <f>IFERROR(IF(SUMIFS(tblDaily[DeathsUnder24Hrs],tblDaily[EntryDate],DATE(2026,3,24),tblDaily[WardCode],"BH")=0,"",SUMIFS(tblDaily[DeathsUnder24Hrs],tblDaily[EntryDate],DATE(2026,3,24),tblDaily[WardCode],"BH")),"")</f>
        <v/>
      </c>
      <c r="F108" s="12">
        <f>IFERROR(IF(SUMIFS(tblDaily[TransfersIn],tblDaily[EntryDate],DATE(2026,3,24),tblDaily[WardCode],"BH")=0,"",SUMIFS(tblDaily[TransfersIn],tblDaily[EntryDate],DATE(2026,3,24),tblDaily[WardCode],"BH")),"")</f>
        <v/>
      </c>
      <c r="G108" s="12">
        <f>IFERROR(IF(SUMIFS(tblDaily[TransfersOut],tblDaily[EntryDate],DATE(2026,3,24),tblDaily[WardCode],"BH")=0,"",SUMIFS(tblDaily[TransfersOut],tblDaily[EntryDate],DATE(2026,3,24),tblDaily[WardCode],"BH")),"")</f>
        <v/>
      </c>
      <c r="H108" s="12">
        <f>IFERROR(IF(SUMIFS(tblDaily[Remaining],tblDaily[EntryDate],DATE(2026,3,24),tblDaily[WardCode],"BH")=0,"",SUMIFS(tblDaily[Remaining],tblDaily[EntryDate],DATE(2026,3,24),tblDaily[WardCode],"BH")),"")</f>
        <v/>
      </c>
    </row>
    <row r="109">
      <c r="A109" s="12" t="n">
        <v>25</v>
      </c>
      <c r="B109" s="12">
        <f>IFERROR(IF(SUMIFS(tblDaily[Admissions],tblDaily[EntryDate],DATE(2026,3,25),tblDaily[WardCode],"BH")=0,"",SUMIFS(tblDaily[Admissions],tblDaily[EntryDate],DATE(2026,3,25),tblDaily[WardCode],"BH")),"")</f>
        <v/>
      </c>
      <c r="C109" s="12">
        <f>IFERROR(IF(SUMIFS(tblDaily[Discharges],tblDaily[EntryDate],DATE(2026,3,25),tblDaily[WardCode],"BH")=0,"",SUMIFS(tblDaily[Discharges],tblDaily[EntryDate],DATE(2026,3,25),tblDaily[WardCode],"BH")),"")</f>
        <v/>
      </c>
      <c r="D109" s="12">
        <f>IFERROR(IF(SUMIFS(tblDaily[Deaths],tblDaily[EntryDate],DATE(2026,3,25),tblDaily[WardCode],"BH")=0,"",SUMIFS(tblDaily[Deaths],tblDaily[EntryDate],DATE(2026,3,25),tblDaily[WardCode],"BH")),"")</f>
        <v/>
      </c>
      <c r="E109" s="12">
        <f>IFERROR(IF(SUMIFS(tblDaily[DeathsUnder24Hrs],tblDaily[EntryDate],DATE(2026,3,25),tblDaily[WardCode],"BH")=0,"",SUMIFS(tblDaily[DeathsUnder24Hrs],tblDaily[EntryDate],DATE(2026,3,25),tblDaily[WardCode],"BH")),"")</f>
        <v/>
      </c>
      <c r="F109" s="12">
        <f>IFERROR(IF(SUMIFS(tblDaily[TransfersIn],tblDaily[EntryDate],DATE(2026,3,25),tblDaily[WardCode],"BH")=0,"",SUMIFS(tblDaily[TransfersIn],tblDaily[EntryDate],DATE(2026,3,25),tblDaily[WardCode],"BH")),"")</f>
        <v/>
      </c>
      <c r="G109" s="12">
        <f>IFERROR(IF(SUMIFS(tblDaily[TransfersOut],tblDaily[EntryDate],DATE(2026,3,25),tblDaily[WardCode],"BH")=0,"",SUMIFS(tblDaily[TransfersOut],tblDaily[EntryDate],DATE(2026,3,25),tblDaily[WardCode],"BH")),"")</f>
        <v/>
      </c>
      <c r="H109" s="12">
        <f>IFERROR(IF(SUMIFS(tblDaily[Remaining],tblDaily[EntryDate],DATE(2026,3,25),tblDaily[WardCode],"BH")=0,"",SUMIFS(tblDaily[Remaining],tblDaily[EntryDate],DATE(2026,3,25),tblDaily[WardCode],"BH")),"")</f>
        <v/>
      </c>
    </row>
    <row r="110">
      <c r="A110" s="12" t="n">
        <v>26</v>
      </c>
      <c r="B110" s="12">
        <f>IFERROR(IF(SUMIFS(tblDaily[Admissions],tblDaily[EntryDate],DATE(2026,3,26),tblDaily[WardCode],"BH")=0,"",SUMIFS(tblDaily[Admissions],tblDaily[EntryDate],DATE(2026,3,26),tblDaily[WardCode],"BH")),"")</f>
        <v/>
      </c>
      <c r="C110" s="12">
        <f>IFERROR(IF(SUMIFS(tblDaily[Discharges],tblDaily[EntryDate],DATE(2026,3,26),tblDaily[WardCode],"BH")=0,"",SUMIFS(tblDaily[Discharges],tblDaily[EntryDate],DATE(2026,3,26),tblDaily[WardCode],"BH")),"")</f>
        <v/>
      </c>
      <c r="D110" s="12">
        <f>IFERROR(IF(SUMIFS(tblDaily[Deaths],tblDaily[EntryDate],DATE(2026,3,26),tblDaily[WardCode],"BH")=0,"",SUMIFS(tblDaily[Deaths],tblDaily[EntryDate],DATE(2026,3,26),tblDaily[WardCode],"BH")),"")</f>
        <v/>
      </c>
      <c r="E110" s="12">
        <f>IFERROR(IF(SUMIFS(tblDaily[DeathsUnder24Hrs],tblDaily[EntryDate],DATE(2026,3,26),tblDaily[WardCode],"BH")=0,"",SUMIFS(tblDaily[DeathsUnder24Hrs],tblDaily[EntryDate],DATE(2026,3,26),tblDaily[WardCode],"BH")),"")</f>
        <v/>
      </c>
      <c r="F110" s="12">
        <f>IFERROR(IF(SUMIFS(tblDaily[TransfersIn],tblDaily[EntryDate],DATE(2026,3,26),tblDaily[WardCode],"BH")=0,"",SUMIFS(tblDaily[TransfersIn],tblDaily[EntryDate],DATE(2026,3,26),tblDaily[WardCode],"BH")),"")</f>
        <v/>
      </c>
      <c r="G110" s="12">
        <f>IFERROR(IF(SUMIFS(tblDaily[TransfersOut],tblDaily[EntryDate],DATE(2026,3,26),tblDaily[WardCode],"BH")=0,"",SUMIFS(tblDaily[TransfersOut],tblDaily[EntryDate],DATE(2026,3,26),tblDaily[WardCode],"BH")),"")</f>
        <v/>
      </c>
      <c r="H110" s="12">
        <f>IFERROR(IF(SUMIFS(tblDaily[Remaining],tblDaily[EntryDate],DATE(2026,3,26),tblDaily[WardCode],"BH")=0,"",SUMIFS(tblDaily[Remaining],tblDaily[EntryDate],DATE(2026,3,26),tblDaily[WardCode],"BH")),"")</f>
        <v/>
      </c>
    </row>
    <row r="111">
      <c r="A111" s="12" t="n">
        <v>27</v>
      </c>
      <c r="B111" s="12">
        <f>IFERROR(IF(SUMIFS(tblDaily[Admissions],tblDaily[EntryDate],DATE(2026,3,27),tblDaily[WardCode],"BH")=0,"",SUMIFS(tblDaily[Admissions],tblDaily[EntryDate],DATE(2026,3,27),tblDaily[WardCode],"BH")),"")</f>
        <v/>
      </c>
      <c r="C111" s="12">
        <f>IFERROR(IF(SUMIFS(tblDaily[Discharges],tblDaily[EntryDate],DATE(2026,3,27),tblDaily[WardCode],"BH")=0,"",SUMIFS(tblDaily[Discharges],tblDaily[EntryDate],DATE(2026,3,27),tblDaily[WardCode],"BH")),"")</f>
        <v/>
      </c>
      <c r="D111" s="12">
        <f>IFERROR(IF(SUMIFS(tblDaily[Deaths],tblDaily[EntryDate],DATE(2026,3,27),tblDaily[WardCode],"BH")=0,"",SUMIFS(tblDaily[Deaths],tblDaily[EntryDate],DATE(2026,3,27),tblDaily[WardCode],"BH")),"")</f>
        <v/>
      </c>
      <c r="E111" s="12">
        <f>IFERROR(IF(SUMIFS(tblDaily[DeathsUnder24Hrs],tblDaily[EntryDate],DATE(2026,3,27),tblDaily[WardCode],"BH")=0,"",SUMIFS(tblDaily[DeathsUnder24Hrs],tblDaily[EntryDate],DATE(2026,3,27),tblDaily[WardCode],"BH")),"")</f>
        <v/>
      </c>
      <c r="F111" s="12">
        <f>IFERROR(IF(SUMIFS(tblDaily[TransfersIn],tblDaily[EntryDate],DATE(2026,3,27),tblDaily[WardCode],"BH")=0,"",SUMIFS(tblDaily[TransfersIn],tblDaily[EntryDate],DATE(2026,3,27),tblDaily[WardCode],"BH")),"")</f>
        <v/>
      </c>
      <c r="G111" s="12">
        <f>IFERROR(IF(SUMIFS(tblDaily[TransfersOut],tblDaily[EntryDate],DATE(2026,3,27),tblDaily[WardCode],"BH")=0,"",SUMIFS(tblDaily[TransfersOut],tblDaily[EntryDate],DATE(2026,3,27),tblDaily[WardCode],"BH")),"")</f>
        <v/>
      </c>
      <c r="H111" s="12">
        <f>IFERROR(IF(SUMIFS(tblDaily[Remaining],tblDaily[EntryDate],DATE(2026,3,27),tblDaily[WardCode],"BH")=0,"",SUMIFS(tblDaily[Remaining],tblDaily[EntryDate],DATE(2026,3,27),tblDaily[WardCode],"BH")),"")</f>
        <v/>
      </c>
    </row>
    <row r="112">
      <c r="A112" s="12" t="n">
        <v>28</v>
      </c>
      <c r="B112" s="12">
        <f>IFERROR(IF(SUMIFS(tblDaily[Admissions],tblDaily[EntryDate],DATE(2026,3,28),tblDaily[WardCode],"BH")=0,"",SUMIFS(tblDaily[Admissions],tblDaily[EntryDate],DATE(2026,3,28),tblDaily[WardCode],"BH")),"")</f>
        <v/>
      </c>
      <c r="C112" s="12">
        <f>IFERROR(IF(SUMIFS(tblDaily[Discharges],tblDaily[EntryDate],DATE(2026,3,28),tblDaily[WardCode],"BH")=0,"",SUMIFS(tblDaily[Discharges],tblDaily[EntryDate],DATE(2026,3,28),tblDaily[WardCode],"BH")),"")</f>
        <v/>
      </c>
      <c r="D112" s="12">
        <f>IFERROR(IF(SUMIFS(tblDaily[Deaths],tblDaily[EntryDate],DATE(2026,3,28),tblDaily[WardCode],"BH")=0,"",SUMIFS(tblDaily[Deaths],tblDaily[EntryDate],DATE(2026,3,28),tblDaily[WardCode],"BH")),"")</f>
        <v/>
      </c>
      <c r="E112" s="12">
        <f>IFERROR(IF(SUMIFS(tblDaily[DeathsUnder24Hrs],tblDaily[EntryDate],DATE(2026,3,28),tblDaily[WardCode],"BH")=0,"",SUMIFS(tblDaily[DeathsUnder24Hrs],tblDaily[EntryDate],DATE(2026,3,28),tblDaily[WardCode],"BH")),"")</f>
        <v/>
      </c>
      <c r="F112" s="12">
        <f>IFERROR(IF(SUMIFS(tblDaily[TransfersIn],tblDaily[EntryDate],DATE(2026,3,28),tblDaily[WardCode],"BH")=0,"",SUMIFS(tblDaily[TransfersIn],tblDaily[EntryDate],DATE(2026,3,28),tblDaily[WardCode],"BH")),"")</f>
        <v/>
      </c>
      <c r="G112" s="12">
        <f>IFERROR(IF(SUMIFS(tblDaily[TransfersOut],tblDaily[EntryDate],DATE(2026,3,28),tblDaily[WardCode],"BH")=0,"",SUMIFS(tblDaily[TransfersOut],tblDaily[EntryDate],DATE(2026,3,28),tblDaily[WardCode],"BH")),"")</f>
        <v/>
      </c>
      <c r="H112" s="12">
        <f>IFERROR(IF(SUMIFS(tblDaily[Remaining],tblDaily[EntryDate],DATE(2026,3,28),tblDaily[WardCode],"BH")=0,"",SUMIFS(tblDaily[Remaining],tblDaily[EntryDate],DATE(2026,3,28),tblDaily[WardCode],"BH")),"")</f>
        <v/>
      </c>
    </row>
    <row r="113">
      <c r="A113" s="12" t="n">
        <v>29</v>
      </c>
      <c r="B113" s="12">
        <f>IFERROR(IF(SUMIFS(tblDaily[Admissions],tblDaily[EntryDate],DATE(2026,3,29),tblDaily[WardCode],"BH")=0,"",SUMIFS(tblDaily[Admissions],tblDaily[EntryDate],DATE(2026,3,29),tblDaily[WardCode],"BH")),"")</f>
        <v/>
      </c>
      <c r="C113" s="12">
        <f>IFERROR(IF(SUMIFS(tblDaily[Discharges],tblDaily[EntryDate],DATE(2026,3,29),tblDaily[WardCode],"BH")=0,"",SUMIFS(tblDaily[Discharges],tblDaily[EntryDate],DATE(2026,3,29),tblDaily[WardCode],"BH")),"")</f>
        <v/>
      </c>
      <c r="D113" s="12">
        <f>IFERROR(IF(SUMIFS(tblDaily[Deaths],tblDaily[EntryDate],DATE(2026,3,29),tblDaily[WardCode],"BH")=0,"",SUMIFS(tblDaily[Deaths],tblDaily[EntryDate],DATE(2026,3,29),tblDaily[WardCode],"BH")),"")</f>
        <v/>
      </c>
      <c r="E113" s="12">
        <f>IFERROR(IF(SUMIFS(tblDaily[DeathsUnder24Hrs],tblDaily[EntryDate],DATE(2026,3,29),tblDaily[WardCode],"BH")=0,"",SUMIFS(tblDaily[DeathsUnder24Hrs],tblDaily[EntryDate],DATE(2026,3,29),tblDaily[WardCode],"BH")),"")</f>
        <v/>
      </c>
      <c r="F113" s="12">
        <f>IFERROR(IF(SUMIFS(tblDaily[TransfersIn],tblDaily[EntryDate],DATE(2026,3,29),tblDaily[WardCode],"BH")=0,"",SUMIFS(tblDaily[TransfersIn],tblDaily[EntryDate],DATE(2026,3,29),tblDaily[WardCode],"BH")),"")</f>
        <v/>
      </c>
      <c r="G113" s="12">
        <f>IFERROR(IF(SUMIFS(tblDaily[TransfersOut],tblDaily[EntryDate],DATE(2026,3,29),tblDaily[WardCode],"BH")=0,"",SUMIFS(tblDaily[TransfersOut],tblDaily[EntryDate],DATE(2026,3,29),tblDaily[WardCode],"BH")),"")</f>
        <v/>
      </c>
      <c r="H113" s="12">
        <f>IFERROR(IF(SUMIFS(tblDaily[Remaining],tblDaily[EntryDate],DATE(2026,3,29),tblDaily[WardCode],"BH")=0,"",SUMIFS(tblDaily[Remaining],tblDaily[EntryDate],DATE(2026,3,29),tblDaily[WardCode],"BH")),"")</f>
        <v/>
      </c>
    </row>
    <row r="114">
      <c r="A114" s="12" t="n">
        <v>30</v>
      </c>
      <c r="B114" s="12">
        <f>IFERROR(IF(SUMIFS(tblDaily[Admissions],tblDaily[EntryDate],DATE(2026,3,30),tblDaily[WardCode],"BH")=0,"",SUMIFS(tblDaily[Admissions],tblDaily[EntryDate],DATE(2026,3,30),tblDaily[WardCode],"BH")),"")</f>
        <v/>
      </c>
      <c r="C114" s="12">
        <f>IFERROR(IF(SUMIFS(tblDaily[Discharges],tblDaily[EntryDate],DATE(2026,3,30),tblDaily[WardCode],"BH")=0,"",SUMIFS(tblDaily[Discharges],tblDaily[EntryDate],DATE(2026,3,30),tblDaily[WardCode],"BH")),"")</f>
        <v/>
      </c>
      <c r="D114" s="12">
        <f>IFERROR(IF(SUMIFS(tblDaily[Deaths],tblDaily[EntryDate],DATE(2026,3,30),tblDaily[WardCode],"BH")=0,"",SUMIFS(tblDaily[Deaths],tblDaily[EntryDate],DATE(2026,3,30),tblDaily[WardCode],"BH")),"")</f>
        <v/>
      </c>
      <c r="E114" s="12">
        <f>IFERROR(IF(SUMIFS(tblDaily[DeathsUnder24Hrs],tblDaily[EntryDate],DATE(2026,3,30),tblDaily[WardCode],"BH")=0,"",SUMIFS(tblDaily[DeathsUnder24Hrs],tblDaily[EntryDate],DATE(2026,3,30),tblDaily[WardCode],"BH")),"")</f>
        <v/>
      </c>
      <c r="F114" s="12">
        <f>IFERROR(IF(SUMIFS(tblDaily[TransfersIn],tblDaily[EntryDate],DATE(2026,3,30),tblDaily[WardCode],"BH")=0,"",SUMIFS(tblDaily[TransfersIn],tblDaily[EntryDate],DATE(2026,3,30),tblDaily[WardCode],"BH")),"")</f>
        <v/>
      </c>
      <c r="G114" s="12">
        <f>IFERROR(IF(SUMIFS(tblDaily[TransfersOut],tblDaily[EntryDate],DATE(2026,3,30),tblDaily[WardCode],"BH")=0,"",SUMIFS(tblDaily[TransfersOut],tblDaily[EntryDate],DATE(2026,3,30),tblDaily[WardCode],"BH")),"")</f>
        <v/>
      </c>
      <c r="H114" s="12">
        <f>IFERROR(IF(SUMIFS(tblDaily[Remaining],tblDaily[EntryDate],DATE(2026,3,30),tblDaily[WardCode],"BH")=0,"",SUMIFS(tblDaily[Remaining],tblDaily[EntryDate],DATE(2026,3,30),tblDaily[WardCode],"BH")),"")</f>
        <v/>
      </c>
    </row>
    <row r="115">
      <c r="A115" s="12" t="n">
        <v>31</v>
      </c>
      <c r="B115" s="12">
        <f>IFERROR(IF(SUMIFS(tblDaily[Admissions],tblDaily[EntryDate],DATE(2026,3,31),tblDaily[WardCode],"BH")=0,"",SUMIFS(tblDaily[Admissions],tblDaily[EntryDate],DATE(2026,3,31),tblDaily[WardCode],"BH")),"")</f>
        <v/>
      </c>
      <c r="C115" s="12">
        <f>IFERROR(IF(SUMIFS(tblDaily[Discharges],tblDaily[EntryDate],DATE(2026,3,31),tblDaily[WardCode],"BH")=0,"",SUMIFS(tblDaily[Discharges],tblDaily[EntryDate],DATE(2026,3,31),tblDaily[WardCode],"BH")),"")</f>
        <v/>
      </c>
      <c r="D115" s="12">
        <f>IFERROR(IF(SUMIFS(tblDaily[Deaths],tblDaily[EntryDate],DATE(2026,3,31),tblDaily[WardCode],"BH")=0,"",SUMIFS(tblDaily[Deaths],tblDaily[EntryDate],DATE(2026,3,31),tblDaily[WardCode],"BH")),"")</f>
        <v/>
      </c>
      <c r="E115" s="12">
        <f>IFERROR(IF(SUMIFS(tblDaily[DeathsUnder24Hrs],tblDaily[EntryDate],DATE(2026,3,31),tblDaily[WardCode],"BH")=0,"",SUMIFS(tblDaily[DeathsUnder24Hrs],tblDaily[EntryDate],DATE(2026,3,31),tblDaily[WardCode],"BH")),"")</f>
        <v/>
      </c>
      <c r="F115" s="12">
        <f>IFERROR(IF(SUMIFS(tblDaily[TransfersIn],tblDaily[EntryDate],DATE(2026,3,31),tblDaily[WardCode],"BH")=0,"",SUMIFS(tblDaily[TransfersIn],tblDaily[EntryDate],DATE(2026,3,31),tblDaily[WardCode],"BH")),"")</f>
        <v/>
      </c>
      <c r="G115" s="12">
        <f>IFERROR(IF(SUMIFS(tblDaily[TransfersOut],tblDaily[EntryDate],DATE(2026,3,31),tblDaily[WardCode],"BH")=0,"",SUMIFS(tblDaily[TransfersOut],tblDaily[EntryDate],DATE(2026,3,31),tblDaily[WardCode],"BH")),"")</f>
        <v/>
      </c>
      <c r="H115" s="12">
        <f>IFERROR(IF(SUMIFS(tblDaily[Remaining],tblDaily[EntryDate],DATE(2026,3,31),tblDaily[WardCode],"BH")=0,"",SUMIFS(tblDaily[Remaining],tblDaily[EntryDate],DATE(2026,3,31),tblDaily[WardCode],"BH")),"")</f>
        <v/>
      </c>
    </row>
    <row r="116">
      <c r="A116" s="17" t="inlineStr">
        <is>
          <t>TOTAL</t>
        </is>
      </c>
      <c r="B116" s="17">
        <f>SUMIFS(tblDaily[Admissions],tblDaily[Month],3,tblDaily[WardCode],"BH") - SUMIFS(tblDaily[DeathsUnder24Hrs],tblDaily[Month],3,tblDaily[WardCode],"BH")</f>
        <v/>
      </c>
      <c r="C116" s="17">
        <f>SUMIFS(tblDaily[Discharges],tblDaily[Month],3,tblDaily[WardCode],"BH")</f>
        <v/>
      </c>
      <c r="D116" s="17">
        <f>SUMIFS(tblDaily[Deaths],tblDaily[Month],3,tblDaily[WardCode],"BH")</f>
        <v/>
      </c>
      <c r="E116" s="17">
        <f>SUMIFS(tblDaily[DeathsUnder24Hrs],tblDaily[Month],3,tblDaily[WardCode],"BH")</f>
        <v/>
      </c>
      <c r="F116" s="17">
        <f>SUMIFS(tblDaily[TransfersIn],tblDaily[Month],3,tblDaily[WardCode],"BH")</f>
        <v/>
      </c>
      <c r="G116" s="17">
        <f>SUMIFS(tblDaily[TransfersOut],tblDaily[Month],3,tblDaily[WardCode],"BH")</f>
        <v/>
      </c>
      <c r="H116" s="17">
        <f>SUMIFS(tblDaily[Remaining],tblDaily[Month],3,tblDaily[WardCode],"BH")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BLOCK H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4">
        <f>IFERROR(SUMIFS(tblDaily[Remaining],tblDaily[EntryDate],DATE(2026,3,31),tblDaily[WardCode],"BH"),0)</f>
        <v/>
      </c>
    </row>
    <row r="122">
      <c r="A122" s="4" t="inlineStr">
        <is>
          <t>Bed complement</t>
        </is>
      </c>
      <c r="H122" s="15">
        <f>IFERROR(INDEX(tblWardConfig[BedComplement],MATCH("BH",tblWardConfig[WardCode],0)),0)</f>
        <v/>
      </c>
    </row>
    <row r="123">
      <c r="A123" s="16" t="inlineStr">
        <is>
          <t>Day of
the
Month</t>
        </is>
      </c>
      <c r="B123" s="16" t="inlineStr">
        <is>
          <t>Admissions</t>
        </is>
      </c>
      <c r="C123" s="16" t="inlineStr">
        <is>
          <t>Discharges</t>
        </is>
      </c>
      <c r="D123" s="16" t="inlineStr">
        <is>
          <t>Deaths</t>
        </is>
      </c>
      <c r="E123" s="16" t="inlineStr">
        <is>
          <t>Deaths
&lt;24Hrs</t>
        </is>
      </c>
      <c r="F123" s="16" t="inlineStr">
        <is>
          <t>Transfers-
In</t>
        </is>
      </c>
      <c r="G123" s="16" t="inlineStr">
        <is>
          <t>Transfers-
Out</t>
        </is>
      </c>
      <c r="H123" s="16" t="inlineStr">
        <is>
          <t>No. of Patients
Remaining In
Ward</t>
        </is>
      </c>
    </row>
    <row r="124">
      <c r="A124" s="12" t="n">
        <v>1</v>
      </c>
      <c r="B124" s="12">
        <f>IFERROR(IF(SUMIFS(tblDaily[Admissions],tblDaily[EntryDate],DATE(2026,4,1),tblDaily[WardCode],"BH")=0,"",SUMIFS(tblDaily[Admissions],tblDaily[EntryDate],DATE(2026,4,1),tblDaily[WardCode],"BH")),"")</f>
        <v/>
      </c>
      <c r="C124" s="12">
        <f>IFERROR(IF(SUMIFS(tblDaily[Discharges],tblDaily[EntryDate],DATE(2026,4,1),tblDaily[WardCode],"BH")=0,"",SUMIFS(tblDaily[Discharges],tblDaily[EntryDate],DATE(2026,4,1),tblDaily[WardCode],"BH")),"")</f>
        <v/>
      </c>
      <c r="D124" s="12">
        <f>IFERROR(IF(SUMIFS(tblDaily[Deaths],tblDaily[EntryDate],DATE(2026,4,1),tblDaily[WardCode],"BH")=0,"",SUMIFS(tblDaily[Deaths],tblDaily[EntryDate],DATE(2026,4,1),tblDaily[WardCode],"BH")),"")</f>
        <v/>
      </c>
      <c r="E124" s="12">
        <f>IFERROR(IF(SUMIFS(tblDaily[DeathsUnder24Hrs],tblDaily[EntryDate],DATE(2026,4,1),tblDaily[WardCode],"BH")=0,"",SUMIFS(tblDaily[DeathsUnder24Hrs],tblDaily[EntryDate],DATE(2026,4,1),tblDaily[WardCode],"BH")),"")</f>
        <v/>
      </c>
      <c r="F124" s="12">
        <f>IFERROR(IF(SUMIFS(tblDaily[TransfersIn],tblDaily[EntryDate],DATE(2026,4,1),tblDaily[WardCode],"BH")=0,"",SUMIFS(tblDaily[TransfersIn],tblDaily[EntryDate],DATE(2026,4,1),tblDaily[WardCode],"BH")),"")</f>
        <v/>
      </c>
      <c r="G124" s="12">
        <f>IFERROR(IF(SUMIFS(tblDaily[TransfersOut],tblDaily[EntryDate],DATE(2026,4,1),tblDaily[WardCode],"BH")=0,"",SUMIFS(tblDaily[TransfersOut],tblDaily[EntryDate],DATE(2026,4,1),tblDaily[WardCode],"BH")),"")</f>
        <v/>
      </c>
      <c r="H124" s="12">
        <f>IFERROR(IF(SUMIFS(tblDaily[Remaining],tblDaily[EntryDate],DATE(2026,4,1),tblDaily[WardCode],"BH")=0,"",SUMIFS(tblDaily[Remaining],tblDaily[EntryDate],DATE(2026,4,1),tblDaily[WardCode],"BH")),"")</f>
        <v/>
      </c>
    </row>
    <row r="125">
      <c r="A125" s="12" t="n">
        <v>2</v>
      </c>
      <c r="B125" s="12">
        <f>IFERROR(IF(SUMIFS(tblDaily[Admissions],tblDaily[EntryDate],DATE(2026,4,2),tblDaily[WardCode],"BH")=0,"",SUMIFS(tblDaily[Admissions],tblDaily[EntryDate],DATE(2026,4,2),tblDaily[WardCode],"BH")),"")</f>
        <v/>
      </c>
      <c r="C125" s="12">
        <f>IFERROR(IF(SUMIFS(tblDaily[Discharges],tblDaily[EntryDate],DATE(2026,4,2),tblDaily[WardCode],"BH")=0,"",SUMIFS(tblDaily[Discharges],tblDaily[EntryDate],DATE(2026,4,2),tblDaily[WardCode],"BH")),"")</f>
        <v/>
      </c>
      <c r="D125" s="12">
        <f>IFERROR(IF(SUMIFS(tblDaily[Deaths],tblDaily[EntryDate],DATE(2026,4,2),tblDaily[WardCode],"BH")=0,"",SUMIFS(tblDaily[Deaths],tblDaily[EntryDate],DATE(2026,4,2),tblDaily[WardCode],"BH")),"")</f>
        <v/>
      </c>
      <c r="E125" s="12">
        <f>IFERROR(IF(SUMIFS(tblDaily[DeathsUnder24Hrs],tblDaily[EntryDate],DATE(2026,4,2),tblDaily[WardCode],"BH")=0,"",SUMIFS(tblDaily[DeathsUnder24Hrs],tblDaily[EntryDate],DATE(2026,4,2),tblDaily[WardCode],"BH")),"")</f>
        <v/>
      </c>
      <c r="F125" s="12">
        <f>IFERROR(IF(SUMIFS(tblDaily[TransfersIn],tblDaily[EntryDate],DATE(2026,4,2),tblDaily[WardCode],"BH")=0,"",SUMIFS(tblDaily[TransfersIn],tblDaily[EntryDate],DATE(2026,4,2),tblDaily[WardCode],"BH")),"")</f>
        <v/>
      </c>
      <c r="G125" s="12">
        <f>IFERROR(IF(SUMIFS(tblDaily[TransfersOut],tblDaily[EntryDate],DATE(2026,4,2),tblDaily[WardCode],"BH")=0,"",SUMIFS(tblDaily[TransfersOut],tblDaily[EntryDate],DATE(2026,4,2),tblDaily[WardCode],"BH")),"")</f>
        <v/>
      </c>
      <c r="H125" s="12">
        <f>IFERROR(IF(SUMIFS(tblDaily[Remaining],tblDaily[EntryDate],DATE(2026,4,2),tblDaily[WardCode],"BH")=0,"",SUMIFS(tblDaily[Remaining],tblDaily[EntryDate],DATE(2026,4,2),tblDaily[WardCode],"BH")),"")</f>
        <v/>
      </c>
    </row>
    <row r="126">
      <c r="A126" s="12" t="n">
        <v>3</v>
      </c>
      <c r="B126" s="12">
        <f>IFERROR(IF(SUMIFS(tblDaily[Admissions],tblDaily[EntryDate],DATE(2026,4,3),tblDaily[WardCode],"BH")=0,"",SUMIFS(tblDaily[Admissions],tblDaily[EntryDate],DATE(2026,4,3),tblDaily[WardCode],"BH")),"")</f>
        <v/>
      </c>
      <c r="C126" s="12">
        <f>IFERROR(IF(SUMIFS(tblDaily[Discharges],tblDaily[EntryDate],DATE(2026,4,3),tblDaily[WardCode],"BH")=0,"",SUMIFS(tblDaily[Discharges],tblDaily[EntryDate],DATE(2026,4,3),tblDaily[WardCode],"BH")),"")</f>
        <v/>
      </c>
      <c r="D126" s="12">
        <f>IFERROR(IF(SUMIFS(tblDaily[Deaths],tblDaily[EntryDate],DATE(2026,4,3),tblDaily[WardCode],"BH")=0,"",SUMIFS(tblDaily[Deaths],tblDaily[EntryDate],DATE(2026,4,3),tblDaily[WardCode],"BH")),"")</f>
        <v/>
      </c>
      <c r="E126" s="12">
        <f>IFERROR(IF(SUMIFS(tblDaily[DeathsUnder24Hrs],tblDaily[EntryDate],DATE(2026,4,3),tblDaily[WardCode],"BH")=0,"",SUMIFS(tblDaily[DeathsUnder24Hrs],tblDaily[EntryDate],DATE(2026,4,3),tblDaily[WardCode],"BH")),"")</f>
        <v/>
      </c>
      <c r="F126" s="12">
        <f>IFERROR(IF(SUMIFS(tblDaily[TransfersIn],tblDaily[EntryDate],DATE(2026,4,3),tblDaily[WardCode],"BH")=0,"",SUMIFS(tblDaily[TransfersIn],tblDaily[EntryDate],DATE(2026,4,3),tblDaily[WardCode],"BH")),"")</f>
        <v/>
      </c>
      <c r="G126" s="12">
        <f>IFERROR(IF(SUMIFS(tblDaily[TransfersOut],tblDaily[EntryDate],DATE(2026,4,3),tblDaily[WardCode],"BH")=0,"",SUMIFS(tblDaily[TransfersOut],tblDaily[EntryDate],DATE(2026,4,3),tblDaily[WardCode],"BH")),"")</f>
        <v/>
      </c>
      <c r="H126" s="12">
        <f>IFERROR(IF(SUMIFS(tblDaily[Remaining],tblDaily[EntryDate],DATE(2026,4,3),tblDaily[WardCode],"BH")=0,"",SUMIFS(tblDaily[Remaining],tblDaily[EntryDate],DATE(2026,4,3),tblDaily[WardCode],"BH")),"")</f>
        <v/>
      </c>
    </row>
    <row r="127">
      <c r="A127" s="12" t="n">
        <v>4</v>
      </c>
      <c r="B127" s="12">
        <f>IFERROR(IF(SUMIFS(tblDaily[Admissions],tblDaily[EntryDate],DATE(2026,4,4),tblDaily[WardCode],"BH")=0,"",SUMIFS(tblDaily[Admissions],tblDaily[EntryDate],DATE(2026,4,4),tblDaily[WardCode],"BH")),"")</f>
        <v/>
      </c>
      <c r="C127" s="12">
        <f>IFERROR(IF(SUMIFS(tblDaily[Discharges],tblDaily[EntryDate],DATE(2026,4,4),tblDaily[WardCode],"BH")=0,"",SUMIFS(tblDaily[Discharges],tblDaily[EntryDate],DATE(2026,4,4),tblDaily[WardCode],"BH")),"")</f>
        <v/>
      </c>
      <c r="D127" s="12">
        <f>IFERROR(IF(SUMIFS(tblDaily[Deaths],tblDaily[EntryDate],DATE(2026,4,4),tblDaily[WardCode],"BH")=0,"",SUMIFS(tblDaily[Deaths],tblDaily[EntryDate],DATE(2026,4,4),tblDaily[WardCode],"BH")),"")</f>
        <v/>
      </c>
      <c r="E127" s="12">
        <f>IFERROR(IF(SUMIFS(tblDaily[DeathsUnder24Hrs],tblDaily[EntryDate],DATE(2026,4,4),tblDaily[WardCode],"BH")=0,"",SUMIFS(tblDaily[DeathsUnder24Hrs],tblDaily[EntryDate],DATE(2026,4,4),tblDaily[WardCode],"BH")),"")</f>
        <v/>
      </c>
      <c r="F127" s="12">
        <f>IFERROR(IF(SUMIFS(tblDaily[TransfersIn],tblDaily[EntryDate],DATE(2026,4,4),tblDaily[WardCode],"BH")=0,"",SUMIFS(tblDaily[TransfersIn],tblDaily[EntryDate],DATE(2026,4,4),tblDaily[WardCode],"BH")),"")</f>
        <v/>
      </c>
      <c r="G127" s="12">
        <f>IFERROR(IF(SUMIFS(tblDaily[TransfersOut],tblDaily[EntryDate],DATE(2026,4,4),tblDaily[WardCode],"BH")=0,"",SUMIFS(tblDaily[TransfersOut],tblDaily[EntryDate],DATE(2026,4,4),tblDaily[WardCode],"BH")),"")</f>
        <v/>
      </c>
      <c r="H127" s="12">
        <f>IFERROR(IF(SUMIFS(tblDaily[Remaining],tblDaily[EntryDate],DATE(2026,4,4),tblDaily[WardCode],"BH")=0,"",SUMIFS(tblDaily[Remaining],tblDaily[EntryDate],DATE(2026,4,4),tblDaily[WardCode],"BH")),"")</f>
        <v/>
      </c>
    </row>
    <row r="128">
      <c r="A128" s="12" t="n">
        <v>5</v>
      </c>
      <c r="B128" s="12">
        <f>IFERROR(IF(SUMIFS(tblDaily[Admissions],tblDaily[EntryDate],DATE(2026,4,5),tblDaily[WardCode],"BH")=0,"",SUMIFS(tblDaily[Admissions],tblDaily[EntryDate],DATE(2026,4,5),tblDaily[WardCode],"BH")),"")</f>
        <v/>
      </c>
      <c r="C128" s="12">
        <f>IFERROR(IF(SUMIFS(tblDaily[Discharges],tblDaily[EntryDate],DATE(2026,4,5),tblDaily[WardCode],"BH")=0,"",SUMIFS(tblDaily[Discharges],tblDaily[EntryDate],DATE(2026,4,5),tblDaily[WardCode],"BH")),"")</f>
        <v/>
      </c>
      <c r="D128" s="12">
        <f>IFERROR(IF(SUMIFS(tblDaily[Deaths],tblDaily[EntryDate],DATE(2026,4,5),tblDaily[WardCode],"BH")=0,"",SUMIFS(tblDaily[Deaths],tblDaily[EntryDate],DATE(2026,4,5),tblDaily[WardCode],"BH")),"")</f>
        <v/>
      </c>
      <c r="E128" s="12">
        <f>IFERROR(IF(SUMIFS(tblDaily[DeathsUnder24Hrs],tblDaily[EntryDate],DATE(2026,4,5),tblDaily[WardCode],"BH")=0,"",SUMIFS(tblDaily[DeathsUnder24Hrs],tblDaily[EntryDate],DATE(2026,4,5),tblDaily[WardCode],"BH")),"")</f>
        <v/>
      </c>
      <c r="F128" s="12">
        <f>IFERROR(IF(SUMIFS(tblDaily[TransfersIn],tblDaily[EntryDate],DATE(2026,4,5),tblDaily[WardCode],"BH")=0,"",SUMIFS(tblDaily[TransfersIn],tblDaily[EntryDate],DATE(2026,4,5),tblDaily[WardCode],"BH")),"")</f>
        <v/>
      </c>
      <c r="G128" s="12">
        <f>IFERROR(IF(SUMIFS(tblDaily[TransfersOut],tblDaily[EntryDate],DATE(2026,4,5),tblDaily[WardCode],"BH")=0,"",SUMIFS(tblDaily[TransfersOut],tblDaily[EntryDate],DATE(2026,4,5),tblDaily[WardCode],"BH")),"")</f>
        <v/>
      </c>
      <c r="H128" s="12">
        <f>IFERROR(IF(SUMIFS(tblDaily[Remaining],tblDaily[EntryDate],DATE(2026,4,5),tblDaily[WardCode],"BH")=0,"",SUMIFS(tblDaily[Remaining],tblDaily[EntryDate],DATE(2026,4,5),tblDaily[WardCode],"BH")),"")</f>
        <v/>
      </c>
    </row>
    <row r="129">
      <c r="A129" s="12" t="n">
        <v>6</v>
      </c>
      <c r="B129" s="12">
        <f>IFERROR(IF(SUMIFS(tblDaily[Admissions],tblDaily[EntryDate],DATE(2026,4,6),tblDaily[WardCode],"BH")=0,"",SUMIFS(tblDaily[Admissions],tblDaily[EntryDate],DATE(2026,4,6),tblDaily[WardCode],"BH")),"")</f>
        <v/>
      </c>
      <c r="C129" s="12">
        <f>IFERROR(IF(SUMIFS(tblDaily[Discharges],tblDaily[EntryDate],DATE(2026,4,6),tblDaily[WardCode],"BH")=0,"",SUMIFS(tblDaily[Discharges],tblDaily[EntryDate],DATE(2026,4,6),tblDaily[WardCode],"BH")),"")</f>
        <v/>
      </c>
      <c r="D129" s="12">
        <f>IFERROR(IF(SUMIFS(tblDaily[Deaths],tblDaily[EntryDate],DATE(2026,4,6),tblDaily[WardCode],"BH")=0,"",SUMIFS(tblDaily[Deaths],tblDaily[EntryDate],DATE(2026,4,6),tblDaily[WardCode],"BH")),"")</f>
        <v/>
      </c>
      <c r="E129" s="12">
        <f>IFERROR(IF(SUMIFS(tblDaily[DeathsUnder24Hrs],tblDaily[EntryDate],DATE(2026,4,6),tblDaily[WardCode],"BH")=0,"",SUMIFS(tblDaily[DeathsUnder24Hrs],tblDaily[EntryDate],DATE(2026,4,6),tblDaily[WardCode],"BH")),"")</f>
        <v/>
      </c>
      <c r="F129" s="12">
        <f>IFERROR(IF(SUMIFS(tblDaily[TransfersIn],tblDaily[EntryDate],DATE(2026,4,6),tblDaily[WardCode],"BH")=0,"",SUMIFS(tblDaily[TransfersIn],tblDaily[EntryDate],DATE(2026,4,6),tblDaily[WardCode],"BH")),"")</f>
        <v/>
      </c>
      <c r="G129" s="12">
        <f>IFERROR(IF(SUMIFS(tblDaily[TransfersOut],tblDaily[EntryDate],DATE(2026,4,6),tblDaily[WardCode],"BH")=0,"",SUMIFS(tblDaily[TransfersOut],tblDaily[EntryDate],DATE(2026,4,6),tblDaily[WardCode],"BH")),"")</f>
        <v/>
      </c>
      <c r="H129" s="12">
        <f>IFERROR(IF(SUMIFS(tblDaily[Remaining],tblDaily[EntryDate],DATE(2026,4,6),tblDaily[WardCode],"BH")=0,"",SUMIFS(tblDaily[Remaining],tblDaily[EntryDate],DATE(2026,4,6),tblDaily[WardCode],"BH")),"")</f>
        <v/>
      </c>
    </row>
    <row r="130">
      <c r="A130" s="12" t="n">
        <v>7</v>
      </c>
      <c r="B130" s="12">
        <f>IFERROR(IF(SUMIFS(tblDaily[Admissions],tblDaily[EntryDate],DATE(2026,4,7),tblDaily[WardCode],"BH")=0,"",SUMIFS(tblDaily[Admissions],tblDaily[EntryDate],DATE(2026,4,7),tblDaily[WardCode],"BH")),"")</f>
        <v/>
      </c>
      <c r="C130" s="12">
        <f>IFERROR(IF(SUMIFS(tblDaily[Discharges],tblDaily[EntryDate],DATE(2026,4,7),tblDaily[WardCode],"BH")=0,"",SUMIFS(tblDaily[Discharges],tblDaily[EntryDate],DATE(2026,4,7),tblDaily[WardCode],"BH")),"")</f>
        <v/>
      </c>
      <c r="D130" s="12">
        <f>IFERROR(IF(SUMIFS(tblDaily[Deaths],tblDaily[EntryDate],DATE(2026,4,7),tblDaily[WardCode],"BH")=0,"",SUMIFS(tblDaily[Deaths],tblDaily[EntryDate],DATE(2026,4,7),tblDaily[WardCode],"BH")),"")</f>
        <v/>
      </c>
      <c r="E130" s="12">
        <f>IFERROR(IF(SUMIFS(tblDaily[DeathsUnder24Hrs],tblDaily[EntryDate],DATE(2026,4,7),tblDaily[WardCode],"BH")=0,"",SUMIFS(tblDaily[DeathsUnder24Hrs],tblDaily[EntryDate],DATE(2026,4,7),tblDaily[WardCode],"BH")),"")</f>
        <v/>
      </c>
      <c r="F130" s="12">
        <f>IFERROR(IF(SUMIFS(tblDaily[TransfersIn],tblDaily[EntryDate],DATE(2026,4,7),tblDaily[WardCode],"BH")=0,"",SUMIFS(tblDaily[TransfersIn],tblDaily[EntryDate],DATE(2026,4,7),tblDaily[WardCode],"BH")),"")</f>
        <v/>
      </c>
      <c r="G130" s="12">
        <f>IFERROR(IF(SUMIFS(tblDaily[TransfersOut],tblDaily[EntryDate],DATE(2026,4,7),tblDaily[WardCode],"BH")=0,"",SUMIFS(tblDaily[TransfersOut],tblDaily[EntryDate],DATE(2026,4,7),tblDaily[WardCode],"BH")),"")</f>
        <v/>
      </c>
      <c r="H130" s="12">
        <f>IFERROR(IF(SUMIFS(tblDaily[Remaining],tblDaily[EntryDate],DATE(2026,4,7),tblDaily[WardCode],"BH")=0,"",SUMIFS(tblDaily[Remaining],tblDaily[EntryDate],DATE(2026,4,7),tblDaily[WardCode],"BH")),"")</f>
        <v/>
      </c>
    </row>
    <row r="131">
      <c r="A131" s="12" t="n">
        <v>8</v>
      </c>
      <c r="B131" s="12">
        <f>IFERROR(IF(SUMIFS(tblDaily[Admissions],tblDaily[EntryDate],DATE(2026,4,8),tblDaily[WardCode],"BH")=0,"",SUMIFS(tblDaily[Admissions],tblDaily[EntryDate],DATE(2026,4,8),tblDaily[WardCode],"BH")),"")</f>
        <v/>
      </c>
      <c r="C131" s="12">
        <f>IFERROR(IF(SUMIFS(tblDaily[Discharges],tblDaily[EntryDate],DATE(2026,4,8),tblDaily[WardCode],"BH")=0,"",SUMIFS(tblDaily[Discharges],tblDaily[EntryDate],DATE(2026,4,8),tblDaily[WardCode],"BH")),"")</f>
        <v/>
      </c>
      <c r="D131" s="12">
        <f>IFERROR(IF(SUMIFS(tblDaily[Deaths],tblDaily[EntryDate],DATE(2026,4,8),tblDaily[WardCode],"BH")=0,"",SUMIFS(tblDaily[Deaths],tblDaily[EntryDate],DATE(2026,4,8),tblDaily[WardCode],"BH")),"")</f>
        <v/>
      </c>
      <c r="E131" s="12">
        <f>IFERROR(IF(SUMIFS(tblDaily[DeathsUnder24Hrs],tblDaily[EntryDate],DATE(2026,4,8),tblDaily[WardCode],"BH")=0,"",SUMIFS(tblDaily[DeathsUnder24Hrs],tblDaily[EntryDate],DATE(2026,4,8),tblDaily[WardCode],"BH")),"")</f>
        <v/>
      </c>
      <c r="F131" s="12">
        <f>IFERROR(IF(SUMIFS(tblDaily[TransfersIn],tblDaily[EntryDate],DATE(2026,4,8),tblDaily[WardCode],"BH")=0,"",SUMIFS(tblDaily[TransfersIn],tblDaily[EntryDate],DATE(2026,4,8),tblDaily[WardCode],"BH")),"")</f>
        <v/>
      </c>
      <c r="G131" s="12">
        <f>IFERROR(IF(SUMIFS(tblDaily[TransfersOut],tblDaily[EntryDate],DATE(2026,4,8),tblDaily[WardCode],"BH")=0,"",SUMIFS(tblDaily[TransfersOut],tblDaily[EntryDate],DATE(2026,4,8),tblDaily[WardCode],"BH")),"")</f>
        <v/>
      </c>
      <c r="H131" s="12">
        <f>IFERROR(IF(SUMIFS(tblDaily[Remaining],tblDaily[EntryDate],DATE(2026,4,8),tblDaily[WardCode],"BH")=0,"",SUMIFS(tblDaily[Remaining],tblDaily[EntryDate],DATE(2026,4,8),tblDaily[WardCode],"BH")),"")</f>
        <v/>
      </c>
    </row>
    <row r="132">
      <c r="A132" s="12" t="n">
        <v>9</v>
      </c>
      <c r="B132" s="12">
        <f>IFERROR(IF(SUMIFS(tblDaily[Admissions],tblDaily[EntryDate],DATE(2026,4,9),tblDaily[WardCode],"BH")=0,"",SUMIFS(tblDaily[Admissions],tblDaily[EntryDate],DATE(2026,4,9),tblDaily[WardCode],"BH")),"")</f>
        <v/>
      </c>
      <c r="C132" s="12">
        <f>IFERROR(IF(SUMIFS(tblDaily[Discharges],tblDaily[EntryDate],DATE(2026,4,9),tblDaily[WardCode],"BH")=0,"",SUMIFS(tblDaily[Discharges],tblDaily[EntryDate],DATE(2026,4,9),tblDaily[WardCode],"BH")),"")</f>
        <v/>
      </c>
      <c r="D132" s="12">
        <f>IFERROR(IF(SUMIFS(tblDaily[Deaths],tblDaily[EntryDate],DATE(2026,4,9),tblDaily[WardCode],"BH")=0,"",SUMIFS(tblDaily[Deaths],tblDaily[EntryDate],DATE(2026,4,9),tblDaily[WardCode],"BH")),"")</f>
        <v/>
      </c>
      <c r="E132" s="12">
        <f>IFERROR(IF(SUMIFS(tblDaily[DeathsUnder24Hrs],tblDaily[EntryDate],DATE(2026,4,9),tblDaily[WardCode],"BH")=0,"",SUMIFS(tblDaily[DeathsUnder24Hrs],tblDaily[EntryDate],DATE(2026,4,9),tblDaily[WardCode],"BH")),"")</f>
        <v/>
      </c>
      <c r="F132" s="12">
        <f>IFERROR(IF(SUMIFS(tblDaily[TransfersIn],tblDaily[EntryDate],DATE(2026,4,9),tblDaily[WardCode],"BH")=0,"",SUMIFS(tblDaily[TransfersIn],tblDaily[EntryDate],DATE(2026,4,9),tblDaily[WardCode],"BH")),"")</f>
        <v/>
      </c>
      <c r="G132" s="12">
        <f>IFERROR(IF(SUMIFS(tblDaily[TransfersOut],tblDaily[EntryDate],DATE(2026,4,9),tblDaily[WardCode],"BH")=0,"",SUMIFS(tblDaily[TransfersOut],tblDaily[EntryDate],DATE(2026,4,9),tblDaily[WardCode],"BH")),"")</f>
        <v/>
      </c>
      <c r="H132" s="12">
        <f>IFERROR(IF(SUMIFS(tblDaily[Remaining],tblDaily[EntryDate],DATE(2026,4,9),tblDaily[WardCode],"BH")=0,"",SUMIFS(tblDaily[Remaining],tblDaily[EntryDate],DATE(2026,4,9),tblDaily[WardCode],"BH")),"")</f>
        <v/>
      </c>
    </row>
    <row r="133">
      <c r="A133" s="12" t="n">
        <v>10</v>
      </c>
      <c r="B133" s="12">
        <f>IFERROR(IF(SUMIFS(tblDaily[Admissions],tblDaily[EntryDate],DATE(2026,4,10),tblDaily[WardCode],"BH")=0,"",SUMIFS(tblDaily[Admissions],tblDaily[EntryDate],DATE(2026,4,10),tblDaily[WardCode],"BH")),"")</f>
        <v/>
      </c>
      <c r="C133" s="12">
        <f>IFERROR(IF(SUMIFS(tblDaily[Discharges],tblDaily[EntryDate],DATE(2026,4,10),tblDaily[WardCode],"BH")=0,"",SUMIFS(tblDaily[Discharges],tblDaily[EntryDate],DATE(2026,4,10),tblDaily[WardCode],"BH")),"")</f>
        <v/>
      </c>
      <c r="D133" s="12">
        <f>IFERROR(IF(SUMIFS(tblDaily[Deaths],tblDaily[EntryDate],DATE(2026,4,10),tblDaily[WardCode],"BH")=0,"",SUMIFS(tblDaily[Deaths],tblDaily[EntryDate],DATE(2026,4,10),tblDaily[WardCode],"BH")),"")</f>
        <v/>
      </c>
      <c r="E133" s="12">
        <f>IFERROR(IF(SUMIFS(tblDaily[DeathsUnder24Hrs],tblDaily[EntryDate],DATE(2026,4,10),tblDaily[WardCode],"BH")=0,"",SUMIFS(tblDaily[DeathsUnder24Hrs],tblDaily[EntryDate],DATE(2026,4,10),tblDaily[WardCode],"BH")),"")</f>
        <v/>
      </c>
      <c r="F133" s="12">
        <f>IFERROR(IF(SUMIFS(tblDaily[TransfersIn],tblDaily[EntryDate],DATE(2026,4,10),tblDaily[WardCode],"BH")=0,"",SUMIFS(tblDaily[TransfersIn],tblDaily[EntryDate],DATE(2026,4,10),tblDaily[WardCode],"BH")),"")</f>
        <v/>
      </c>
      <c r="G133" s="12">
        <f>IFERROR(IF(SUMIFS(tblDaily[TransfersOut],tblDaily[EntryDate],DATE(2026,4,10),tblDaily[WardCode],"BH")=0,"",SUMIFS(tblDaily[TransfersOut],tblDaily[EntryDate],DATE(2026,4,10),tblDaily[WardCode],"BH")),"")</f>
        <v/>
      </c>
      <c r="H133" s="12">
        <f>IFERROR(IF(SUMIFS(tblDaily[Remaining],tblDaily[EntryDate],DATE(2026,4,10),tblDaily[WardCode],"BH")=0,"",SUMIFS(tblDaily[Remaining],tblDaily[EntryDate],DATE(2026,4,10),tblDaily[WardCode],"BH")),"")</f>
        <v/>
      </c>
    </row>
    <row r="134">
      <c r="A134" s="12" t="n">
        <v>11</v>
      </c>
      <c r="B134" s="12">
        <f>IFERROR(IF(SUMIFS(tblDaily[Admissions],tblDaily[EntryDate],DATE(2026,4,11),tblDaily[WardCode],"BH")=0,"",SUMIFS(tblDaily[Admissions],tblDaily[EntryDate],DATE(2026,4,11),tblDaily[WardCode],"BH")),"")</f>
        <v/>
      </c>
      <c r="C134" s="12">
        <f>IFERROR(IF(SUMIFS(tblDaily[Discharges],tblDaily[EntryDate],DATE(2026,4,11),tblDaily[WardCode],"BH")=0,"",SUMIFS(tblDaily[Discharges],tblDaily[EntryDate],DATE(2026,4,11),tblDaily[WardCode],"BH")),"")</f>
        <v/>
      </c>
      <c r="D134" s="12">
        <f>IFERROR(IF(SUMIFS(tblDaily[Deaths],tblDaily[EntryDate],DATE(2026,4,11),tblDaily[WardCode],"BH")=0,"",SUMIFS(tblDaily[Deaths],tblDaily[EntryDate],DATE(2026,4,11),tblDaily[WardCode],"BH")),"")</f>
        <v/>
      </c>
      <c r="E134" s="12">
        <f>IFERROR(IF(SUMIFS(tblDaily[DeathsUnder24Hrs],tblDaily[EntryDate],DATE(2026,4,11),tblDaily[WardCode],"BH")=0,"",SUMIFS(tblDaily[DeathsUnder24Hrs],tblDaily[EntryDate],DATE(2026,4,11),tblDaily[WardCode],"BH")),"")</f>
        <v/>
      </c>
      <c r="F134" s="12">
        <f>IFERROR(IF(SUMIFS(tblDaily[TransfersIn],tblDaily[EntryDate],DATE(2026,4,11),tblDaily[WardCode],"BH")=0,"",SUMIFS(tblDaily[TransfersIn],tblDaily[EntryDate],DATE(2026,4,11),tblDaily[WardCode],"BH")),"")</f>
        <v/>
      </c>
      <c r="G134" s="12">
        <f>IFERROR(IF(SUMIFS(tblDaily[TransfersOut],tblDaily[EntryDate],DATE(2026,4,11),tblDaily[WardCode],"BH")=0,"",SUMIFS(tblDaily[TransfersOut],tblDaily[EntryDate],DATE(2026,4,11),tblDaily[WardCode],"BH")),"")</f>
        <v/>
      </c>
      <c r="H134" s="12">
        <f>IFERROR(IF(SUMIFS(tblDaily[Remaining],tblDaily[EntryDate],DATE(2026,4,11),tblDaily[WardCode],"BH")=0,"",SUMIFS(tblDaily[Remaining],tblDaily[EntryDate],DATE(2026,4,11),tblDaily[WardCode],"BH")),"")</f>
        <v/>
      </c>
    </row>
    <row r="135">
      <c r="A135" s="12" t="n">
        <v>12</v>
      </c>
      <c r="B135" s="12">
        <f>IFERROR(IF(SUMIFS(tblDaily[Admissions],tblDaily[EntryDate],DATE(2026,4,12),tblDaily[WardCode],"BH")=0,"",SUMIFS(tblDaily[Admissions],tblDaily[EntryDate],DATE(2026,4,12),tblDaily[WardCode],"BH")),"")</f>
        <v/>
      </c>
      <c r="C135" s="12">
        <f>IFERROR(IF(SUMIFS(tblDaily[Discharges],tblDaily[EntryDate],DATE(2026,4,12),tblDaily[WardCode],"BH")=0,"",SUMIFS(tblDaily[Discharges],tblDaily[EntryDate],DATE(2026,4,12),tblDaily[WardCode],"BH")),"")</f>
        <v/>
      </c>
      <c r="D135" s="12">
        <f>IFERROR(IF(SUMIFS(tblDaily[Deaths],tblDaily[EntryDate],DATE(2026,4,12),tblDaily[WardCode],"BH")=0,"",SUMIFS(tblDaily[Deaths],tblDaily[EntryDate],DATE(2026,4,12),tblDaily[WardCode],"BH")),"")</f>
        <v/>
      </c>
      <c r="E135" s="12">
        <f>IFERROR(IF(SUMIFS(tblDaily[DeathsUnder24Hrs],tblDaily[EntryDate],DATE(2026,4,12),tblDaily[WardCode],"BH")=0,"",SUMIFS(tblDaily[DeathsUnder24Hrs],tblDaily[EntryDate],DATE(2026,4,12),tblDaily[WardCode],"BH")),"")</f>
        <v/>
      </c>
      <c r="F135" s="12">
        <f>IFERROR(IF(SUMIFS(tblDaily[TransfersIn],tblDaily[EntryDate],DATE(2026,4,12),tblDaily[WardCode],"BH")=0,"",SUMIFS(tblDaily[TransfersIn],tblDaily[EntryDate],DATE(2026,4,12),tblDaily[WardCode],"BH")),"")</f>
        <v/>
      </c>
      <c r="G135" s="12">
        <f>IFERROR(IF(SUMIFS(tblDaily[TransfersOut],tblDaily[EntryDate],DATE(2026,4,12),tblDaily[WardCode],"BH")=0,"",SUMIFS(tblDaily[TransfersOut],tblDaily[EntryDate],DATE(2026,4,12),tblDaily[WardCode],"BH")),"")</f>
        <v/>
      </c>
      <c r="H135" s="12">
        <f>IFERROR(IF(SUMIFS(tblDaily[Remaining],tblDaily[EntryDate],DATE(2026,4,12),tblDaily[WardCode],"BH")=0,"",SUMIFS(tblDaily[Remaining],tblDaily[EntryDate],DATE(2026,4,12),tblDaily[WardCode],"BH")),"")</f>
        <v/>
      </c>
    </row>
    <row r="136">
      <c r="A136" s="12" t="n">
        <v>13</v>
      </c>
      <c r="B136" s="12">
        <f>IFERROR(IF(SUMIFS(tblDaily[Admissions],tblDaily[EntryDate],DATE(2026,4,13),tblDaily[WardCode],"BH")=0,"",SUMIFS(tblDaily[Admissions],tblDaily[EntryDate],DATE(2026,4,13),tblDaily[WardCode],"BH")),"")</f>
        <v/>
      </c>
      <c r="C136" s="12">
        <f>IFERROR(IF(SUMIFS(tblDaily[Discharges],tblDaily[EntryDate],DATE(2026,4,13),tblDaily[WardCode],"BH")=0,"",SUMIFS(tblDaily[Discharges],tblDaily[EntryDate],DATE(2026,4,13),tblDaily[WardCode],"BH")),"")</f>
        <v/>
      </c>
      <c r="D136" s="12">
        <f>IFERROR(IF(SUMIFS(tblDaily[Deaths],tblDaily[EntryDate],DATE(2026,4,13),tblDaily[WardCode],"BH")=0,"",SUMIFS(tblDaily[Deaths],tblDaily[EntryDate],DATE(2026,4,13),tblDaily[WardCode],"BH")),"")</f>
        <v/>
      </c>
      <c r="E136" s="12">
        <f>IFERROR(IF(SUMIFS(tblDaily[DeathsUnder24Hrs],tblDaily[EntryDate],DATE(2026,4,13),tblDaily[WardCode],"BH")=0,"",SUMIFS(tblDaily[DeathsUnder24Hrs],tblDaily[EntryDate],DATE(2026,4,13),tblDaily[WardCode],"BH")),"")</f>
        <v/>
      </c>
      <c r="F136" s="12">
        <f>IFERROR(IF(SUMIFS(tblDaily[TransfersIn],tblDaily[EntryDate],DATE(2026,4,13),tblDaily[WardCode],"BH")=0,"",SUMIFS(tblDaily[TransfersIn],tblDaily[EntryDate],DATE(2026,4,13),tblDaily[WardCode],"BH")),"")</f>
        <v/>
      </c>
      <c r="G136" s="12">
        <f>IFERROR(IF(SUMIFS(tblDaily[TransfersOut],tblDaily[EntryDate],DATE(2026,4,13),tblDaily[WardCode],"BH")=0,"",SUMIFS(tblDaily[TransfersOut],tblDaily[EntryDate],DATE(2026,4,13),tblDaily[WardCode],"BH")),"")</f>
        <v/>
      </c>
      <c r="H136" s="12">
        <f>IFERROR(IF(SUMIFS(tblDaily[Remaining],tblDaily[EntryDate],DATE(2026,4,13),tblDaily[WardCode],"BH")=0,"",SUMIFS(tblDaily[Remaining],tblDaily[EntryDate],DATE(2026,4,13),tblDaily[WardCode],"BH")),"")</f>
        <v/>
      </c>
    </row>
    <row r="137">
      <c r="A137" s="12" t="n">
        <v>14</v>
      </c>
      <c r="B137" s="12">
        <f>IFERROR(IF(SUMIFS(tblDaily[Admissions],tblDaily[EntryDate],DATE(2026,4,14),tblDaily[WardCode],"BH")=0,"",SUMIFS(tblDaily[Admissions],tblDaily[EntryDate],DATE(2026,4,14),tblDaily[WardCode],"BH")),"")</f>
        <v/>
      </c>
      <c r="C137" s="12">
        <f>IFERROR(IF(SUMIFS(tblDaily[Discharges],tblDaily[EntryDate],DATE(2026,4,14),tblDaily[WardCode],"BH")=0,"",SUMIFS(tblDaily[Discharges],tblDaily[EntryDate],DATE(2026,4,14),tblDaily[WardCode],"BH")),"")</f>
        <v/>
      </c>
      <c r="D137" s="12">
        <f>IFERROR(IF(SUMIFS(tblDaily[Deaths],tblDaily[EntryDate],DATE(2026,4,14),tblDaily[WardCode],"BH")=0,"",SUMIFS(tblDaily[Deaths],tblDaily[EntryDate],DATE(2026,4,14),tblDaily[WardCode],"BH")),"")</f>
        <v/>
      </c>
      <c r="E137" s="12">
        <f>IFERROR(IF(SUMIFS(tblDaily[DeathsUnder24Hrs],tblDaily[EntryDate],DATE(2026,4,14),tblDaily[WardCode],"BH")=0,"",SUMIFS(tblDaily[DeathsUnder24Hrs],tblDaily[EntryDate],DATE(2026,4,14),tblDaily[WardCode],"BH")),"")</f>
        <v/>
      </c>
      <c r="F137" s="12">
        <f>IFERROR(IF(SUMIFS(tblDaily[TransfersIn],tblDaily[EntryDate],DATE(2026,4,14),tblDaily[WardCode],"BH")=0,"",SUMIFS(tblDaily[TransfersIn],tblDaily[EntryDate],DATE(2026,4,14),tblDaily[WardCode],"BH")),"")</f>
        <v/>
      </c>
      <c r="G137" s="12">
        <f>IFERROR(IF(SUMIFS(tblDaily[TransfersOut],tblDaily[EntryDate],DATE(2026,4,14),tblDaily[WardCode],"BH")=0,"",SUMIFS(tblDaily[TransfersOut],tblDaily[EntryDate],DATE(2026,4,14),tblDaily[WardCode],"BH")),"")</f>
        <v/>
      </c>
      <c r="H137" s="12">
        <f>IFERROR(IF(SUMIFS(tblDaily[Remaining],tblDaily[EntryDate],DATE(2026,4,14),tblDaily[WardCode],"BH")=0,"",SUMIFS(tblDaily[Remaining],tblDaily[EntryDate],DATE(2026,4,14),tblDaily[WardCode],"BH")),"")</f>
        <v/>
      </c>
    </row>
    <row r="138">
      <c r="A138" s="12" t="n">
        <v>15</v>
      </c>
      <c r="B138" s="12">
        <f>IFERROR(IF(SUMIFS(tblDaily[Admissions],tblDaily[EntryDate],DATE(2026,4,15),tblDaily[WardCode],"BH")=0,"",SUMIFS(tblDaily[Admissions],tblDaily[EntryDate],DATE(2026,4,15),tblDaily[WardCode],"BH")),"")</f>
        <v/>
      </c>
      <c r="C138" s="12">
        <f>IFERROR(IF(SUMIFS(tblDaily[Discharges],tblDaily[EntryDate],DATE(2026,4,15),tblDaily[WardCode],"BH")=0,"",SUMIFS(tblDaily[Discharges],tblDaily[EntryDate],DATE(2026,4,15),tblDaily[WardCode],"BH")),"")</f>
        <v/>
      </c>
      <c r="D138" s="12">
        <f>IFERROR(IF(SUMIFS(tblDaily[Deaths],tblDaily[EntryDate],DATE(2026,4,15),tblDaily[WardCode],"BH")=0,"",SUMIFS(tblDaily[Deaths],tblDaily[EntryDate],DATE(2026,4,15),tblDaily[WardCode],"BH")),"")</f>
        <v/>
      </c>
      <c r="E138" s="12">
        <f>IFERROR(IF(SUMIFS(tblDaily[DeathsUnder24Hrs],tblDaily[EntryDate],DATE(2026,4,15),tblDaily[WardCode],"BH")=0,"",SUMIFS(tblDaily[DeathsUnder24Hrs],tblDaily[EntryDate],DATE(2026,4,15),tblDaily[WardCode],"BH")),"")</f>
        <v/>
      </c>
      <c r="F138" s="12">
        <f>IFERROR(IF(SUMIFS(tblDaily[TransfersIn],tblDaily[EntryDate],DATE(2026,4,15),tblDaily[WardCode],"BH")=0,"",SUMIFS(tblDaily[TransfersIn],tblDaily[EntryDate],DATE(2026,4,15),tblDaily[WardCode],"BH")),"")</f>
        <v/>
      </c>
      <c r="G138" s="12">
        <f>IFERROR(IF(SUMIFS(tblDaily[TransfersOut],tblDaily[EntryDate],DATE(2026,4,15),tblDaily[WardCode],"BH")=0,"",SUMIFS(tblDaily[TransfersOut],tblDaily[EntryDate],DATE(2026,4,15),tblDaily[WardCode],"BH")),"")</f>
        <v/>
      </c>
      <c r="H138" s="12">
        <f>IFERROR(IF(SUMIFS(tblDaily[Remaining],tblDaily[EntryDate],DATE(2026,4,15),tblDaily[WardCode],"BH")=0,"",SUMIFS(tblDaily[Remaining],tblDaily[EntryDate],DATE(2026,4,15),tblDaily[WardCode],"BH")),"")</f>
        <v/>
      </c>
    </row>
    <row r="139">
      <c r="A139" s="12" t="n">
        <v>16</v>
      </c>
      <c r="B139" s="12">
        <f>IFERROR(IF(SUMIFS(tblDaily[Admissions],tblDaily[EntryDate],DATE(2026,4,16),tblDaily[WardCode],"BH")=0,"",SUMIFS(tblDaily[Admissions],tblDaily[EntryDate],DATE(2026,4,16),tblDaily[WardCode],"BH")),"")</f>
        <v/>
      </c>
      <c r="C139" s="12">
        <f>IFERROR(IF(SUMIFS(tblDaily[Discharges],tblDaily[EntryDate],DATE(2026,4,16),tblDaily[WardCode],"BH")=0,"",SUMIFS(tblDaily[Discharges],tblDaily[EntryDate],DATE(2026,4,16),tblDaily[WardCode],"BH")),"")</f>
        <v/>
      </c>
      <c r="D139" s="12">
        <f>IFERROR(IF(SUMIFS(tblDaily[Deaths],tblDaily[EntryDate],DATE(2026,4,16),tblDaily[WardCode],"BH")=0,"",SUMIFS(tblDaily[Deaths],tblDaily[EntryDate],DATE(2026,4,16),tblDaily[WardCode],"BH")),"")</f>
        <v/>
      </c>
      <c r="E139" s="12">
        <f>IFERROR(IF(SUMIFS(tblDaily[DeathsUnder24Hrs],tblDaily[EntryDate],DATE(2026,4,16),tblDaily[WardCode],"BH")=0,"",SUMIFS(tblDaily[DeathsUnder24Hrs],tblDaily[EntryDate],DATE(2026,4,16),tblDaily[WardCode],"BH")),"")</f>
        <v/>
      </c>
      <c r="F139" s="12">
        <f>IFERROR(IF(SUMIFS(tblDaily[TransfersIn],tblDaily[EntryDate],DATE(2026,4,16),tblDaily[WardCode],"BH")=0,"",SUMIFS(tblDaily[TransfersIn],tblDaily[EntryDate],DATE(2026,4,16),tblDaily[WardCode],"BH")),"")</f>
        <v/>
      </c>
      <c r="G139" s="12">
        <f>IFERROR(IF(SUMIFS(tblDaily[TransfersOut],tblDaily[EntryDate],DATE(2026,4,16),tblDaily[WardCode],"BH")=0,"",SUMIFS(tblDaily[TransfersOut],tblDaily[EntryDate],DATE(2026,4,16),tblDaily[WardCode],"BH")),"")</f>
        <v/>
      </c>
      <c r="H139" s="12">
        <f>IFERROR(IF(SUMIFS(tblDaily[Remaining],tblDaily[EntryDate],DATE(2026,4,16),tblDaily[WardCode],"BH")=0,"",SUMIFS(tblDaily[Remaining],tblDaily[EntryDate],DATE(2026,4,16),tblDaily[WardCode],"BH")),"")</f>
        <v/>
      </c>
    </row>
    <row r="140">
      <c r="A140" s="12" t="n">
        <v>17</v>
      </c>
      <c r="B140" s="12">
        <f>IFERROR(IF(SUMIFS(tblDaily[Admissions],tblDaily[EntryDate],DATE(2026,4,17),tblDaily[WardCode],"BH")=0,"",SUMIFS(tblDaily[Admissions],tblDaily[EntryDate],DATE(2026,4,17),tblDaily[WardCode],"BH")),"")</f>
        <v/>
      </c>
      <c r="C140" s="12">
        <f>IFERROR(IF(SUMIFS(tblDaily[Discharges],tblDaily[EntryDate],DATE(2026,4,17),tblDaily[WardCode],"BH")=0,"",SUMIFS(tblDaily[Discharges],tblDaily[EntryDate],DATE(2026,4,17),tblDaily[WardCode],"BH")),"")</f>
        <v/>
      </c>
      <c r="D140" s="12">
        <f>IFERROR(IF(SUMIFS(tblDaily[Deaths],tblDaily[EntryDate],DATE(2026,4,17),tblDaily[WardCode],"BH")=0,"",SUMIFS(tblDaily[Deaths],tblDaily[EntryDate],DATE(2026,4,17),tblDaily[WardCode],"BH")),"")</f>
        <v/>
      </c>
      <c r="E140" s="12">
        <f>IFERROR(IF(SUMIFS(tblDaily[DeathsUnder24Hrs],tblDaily[EntryDate],DATE(2026,4,17),tblDaily[WardCode],"BH")=0,"",SUMIFS(tblDaily[DeathsUnder24Hrs],tblDaily[EntryDate],DATE(2026,4,17),tblDaily[WardCode],"BH")),"")</f>
        <v/>
      </c>
      <c r="F140" s="12">
        <f>IFERROR(IF(SUMIFS(tblDaily[TransfersIn],tblDaily[EntryDate],DATE(2026,4,17),tblDaily[WardCode],"BH")=0,"",SUMIFS(tblDaily[TransfersIn],tblDaily[EntryDate],DATE(2026,4,17),tblDaily[WardCode],"BH")),"")</f>
        <v/>
      </c>
      <c r="G140" s="12">
        <f>IFERROR(IF(SUMIFS(tblDaily[TransfersOut],tblDaily[EntryDate],DATE(2026,4,17),tblDaily[WardCode],"BH")=0,"",SUMIFS(tblDaily[TransfersOut],tblDaily[EntryDate],DATE(2026,4,17),tblDaily[WardCode],"BH")),"")</f>
        <v/>
      </c>
      <c r="H140" s="12">
        <f>IFERROR(IF(SUMIFS(tblDaily[Remaining],tblDaily[EntryDate],DATE(2026,4,17),tblDaily[WardCode],"BH")=0,"",SUMIFS(tblDaily[Remaining],tblDaily[EntryDate],DATE(2026,4,17),tblDaily[WardCode],"BH")),"")</f>
        <v/>
      </c>
    </row>
    <row r="141">
      <c r="A141" s="12" t="n">
        <v>18</v>
      </c>
      <c r="B141" s="12">
        <f>IFERROR(IF(SUMIFS(tblDaily[Admissions],tblDaily[EntryDate],DATE(2026,4,18),tblDaily[WardCode],"BH")=0,"",SUMIFS(tblDaily[Admissions],tblDaily[EntryDate],DATE(2026,4,18),tblDaily[WardCode],"BH")),"")</f>
        <v/>
      </c>
      <c r="C141" s="12">
        <f>IFERROR(IF(SUMIFS(tblDaily[Discharges],tblDaily[EntryDate],DATE(2026,4,18),tblDaily[WardCode],"BH")=0,"",SUMIFS(tblDaily[Discharges],tblDaily[EntryDate],DATE(2026,4,18),tblDaily[WardCode],"BH")),"")</f>
        <v/>
      </c>
      <c r="D141" s="12">
        <f>IFERROR(IF(SUMIFS(tblDaily[Deaths],tblDaily[EntryDate],DATE(2026,4,18),tblDaily[WardCode],"BH")=0,"",SUMIFS(tblDaily[Deaths],tblDaily[EntryDate],DATE(2026,4,18),tblDaily[WardCode],"BH")),"")</f>
        <v/>
      </c>
      <c r="E141" s="12">
        <f>IFERROR(IF(SUMIFS(tblDaily[DeathsUnder24Hrs],tblDaily[EntryDate],DATE(2026,4,18),tblDaily[WardCode],"BH")=0,"",SUMIFS(tblDaily[DeathsUnder24Hrs],tblDaily[EntryDate],DATE(2026,4,18),tblDaily[WardCode],"BH")),"")</f>
        <v/>
      </c>
      <c r="F141" s="12">
        <f>IFERROR(IF(SUMIFS(tblDaily[TransfersIn],tblDaily[EntryDate],DATE(2026,4,18),tblDaily[WardCode],"BH")=0,"",SUMIFS(tblDaily[TransfersIn],tblDaily[EntryDate],DATE(2026,4,18),tblDaily[WardCode],"BH")),"")</f>
        <v/>
      </c>
      <c r="G141" s="12">
        <f>IFERROR(IF(SUMIFS(tblDaily[TransfersOut],tblDaily[EntryDate],DATE(2026,4,18),tblDaily[WardCode],"BH")=0,"",SUMIFS(tblDaily[TransfersOut],tblDaily[EntryDate],DATE(2026,4,18),tblDaily[WardCode],"BH")),"")</f>
        <v/>
      </c>
      <c r="H141" s="12">
        <f>IFERROR(IF(SUMIFS(tblDaily[Remaining],tblDaily[EntryDate],DATE(2026,4,18),tblDaily[WardCode],"BH")=0,"",SUMIFS(tblDaily[Remaining],tblDaily[EntryDate],DATE(2026,4,18),tblDaily[WardCode],"BH")),"")</f>
        <v/>
      </c>
    </row>
    <row r="142">
      <c r="A142" s="12" t="n">
        <v>19</v>
      </c>
      <c r="B142" s="12">
        <f>IFERROR(IF(SUMIFS(tblDaily[Admissions],tblDaily[EntryDate],DATE(2026,4,19),tblDaily[WardCode],"BH")=0,"",SUMIFS(tblDaily[Admissions],tblDaily[EntryDate],DATE(2026,4,19),tblDaily[WardCode],"BH")),"")</f>
        <v/>
      </c>
      <c r="C142" s="12">
        <f>IFERROR(IF(SUMIFS(tblDaily[Discharges],tblDaily[EntryDate],DATE(2026,4,19),tblDaily[WardCode],"BH")=0,"",SUMIFS(tblDaily[Discharges],tblDaily[EntryDate],DATE(2026,4,19),tblDaily[WardCode],"BH")),"")</f>
        <v/>
      </c>
      <c r="D142" s="12">
        <f>IFERROR(IF(SUMIFS(tblDaily[Deaths],tblDaily[EntryDate],DATE(2026,4,19),tblDaily[WardCode],"BH")=0,"",SUMIFS(tblDaily[Deaths],tblDaily[EntryDate],DATE(2026,4,19),tblDaily[WardCode],"BH")),"")</f>
        <v/>
      </c>
      <c r="E142" s="12">
        <f>IFERROR(IF(SUMIFS(tblDaily[DeathsUnder24Hrs],tblDaily[EntryDate],DATE(2026,4,19),tblDaily[WardCode],"BH")=0,"",SUMIFS(tblDaily[DeathsUnder24Hrs],tblDaily[EntryDate],DATE(2026,4,19),tblDaily[WardCode],"BH")),"")</f>
        <v/>
      </c>
      <c r="F142" s="12">
        <f>IFERROR(IF(SUMIFS(tblDaily[TransfersIn],tblDaily[EntryDate],DATE(2026,4,19),tblDaily[WardCode],"BH")=0,"",SUMIFS(tblDaily[TransfersIn],tblDaily[EntryDate],DATE(2026,4,19),tblDaily[WardCode],"BH")),"")</f>
        <v/>
      </c>
      <c r="G142" s="12">
        <f>IFERROR(IF(SUMIFS(tblDaily[TransfersOut],tblDaily[EntryDate],DATE(2026,4,19),tblDaily[WardCode],"BH")=0,"",SUMIFS(tblDaily[TransfersOut],tblDaily[EntryDate],DATE(2026,4,19),tblDaily[WardCode],"BH")),"")</f>
        <v/>
      </c>
      <c r="H142" s="12">
        <f>IFERROR(IF(SUMIFS(tblDaily[Remaining],tblDaily[EntryDate],DATE(2026,4,19),tblDaily[WardCode],"BH")=0,"",SUMIFS(tblDaily[Remaining],tblDaily[EntryDate],DATE(2026,4,19),tblDaily[WardCode],"BH")),"")</f>
        <v/>
      </c>
    </row>
    <row r="143">
      <c r="A143" s="12" t="n">
        <v>20</v>
      </c>
      <c r="B143" s="12">
        <f>IFERROR(IF(SUMIFS(tblDaily[Admissions],tblDaily[EntryDate],DATE(2026,4,20),tblDaily[WardCode],"BH")=0,"",SUMIFS(tblDaily[Admissions],tblDaily[EntryDate],DATE(2026,4,20),tblDaily[WardCode],"BH")),"")</f>
        <v/>
      </c>
      <c r="C143" s="12">
        <f>IFERROR(IF(SUMIFS(tblDaily[Discharges],tblDaily[EntryDate],DATE(2026,4,20),tblDaily[WardCode],"BH")=0,"",SUMIFS(tblDaily[Discharges],tblDaily[EntryDate],DATE(2026,4,20),tblDaily[WardCode],"BH")),"")</f>
        <v/>
      </c>
      <c r="D143" s="12">
        <f>IFERROR(IF(SUMIFS(tblDaily[Deaths],tblDaily[EntryDate],DATE(2026,4,20),tblDaily[WardCode],"BH")=0,"",SUMIFS(tblDaily[Deaths],tblDaily[EntryDate],DATE(2026,4,20),tblDaily[WardCode],"BH")),"")</f>
        <v/>
      </c>
      <c r="E143" s="12">
        <f>IFERROR(IF(SUMIFS(tblDaily[DeathsUnder24Hrs],tblDaily[EntryDate],DATE(2026,4,20),tblDaily[WardCode],"BH")=0,"",SUMIFS(tblDaily[DeathsUnder24Hrs],tblDaily[EntryDate],DATE(2026,4,20),tblDaily[WardCode],"BH")),"")</f>
        <v/>
      </c>
      <c r="F143" s="12">
        <f>IFERROR(IF(SUMIFS(tblDaily[TransfersIn],tblDaily[EntryDate],DATE(2026,4,20),tblDaily[WardCode],"BH")=0,"",SUMIFS(tblDaily[TransfersIn],tblDaily[EntryDate],DATE(2026,4,20),tblDaily[WardCode],"BH")),"")</f>
        <v/>
      </c>
      <c r="G143" s="12">
        <f>IFERROR(IF(SUMIFS(tblDaily[TransfersOut],tblDaily[EntryDate],DATE(2026,4,20),tblDaily[WardCode],"BH")=0,"",SUMIFS(tblDaily[TransfersOut],tblDaily[EntryDate],DATE(2026,4,20),tblDaily[WardCode],"BH")),"")</f>
        <v/>
      </c>
      <c r="H143" s="12">
        <f>IFERROR(IF(SUMIFS(tblDaily[Remaining],tblDaily[EntryDate],DATE(2026,4,20),tblDaily[WardCode],"BH")=0,"",SUMIFS(tblDaily[Remaining],tblDaily[EntryDate],DATE(2026,4,20),tblDaily[WardCode],"BH")),"")</f>
        <v/>
      </c>
    </row>
    <row r="144">
      <c r="A144" s="12" t="n">
        <v>21</v>
      </c>
      <c r="B144" s="12">
        <f>IFERROR(IF(SUMIFS(tblDaily[Admissions],tblDaily[EntryDate],DATE(2026,4,21),tblDaily[WardCode],"BH")=0,"",SUMIFS(tblDaily[Admissions],tblDaily[EntryDate],DATE(2026,4,21),tblDaily[WardCode],"BH")),"")</f>
        <v/>
      </c>
      <c r="C144" s="12">
        <f>IFERROR(IF(SUMIFS(tblDaily[Discharges],tblDaily[EntryDate],DATE(2026,4,21),tblDaily[WardCode],"BH")=0,"",SUMIFS(tblDaily[Discharges],tblDaily[EntryDate],DATE(2026,4,21),tblDaily[WardCode],"BH")),"")</f>
        <v/>
      </c>
      <c r="D144" s="12">
        <f>IFERROR(IF(SUMIFS(tblDaily[Deaths],tblDaily[EntryDate],DATE(2026,4,21),tblDaily[WardCode],"BH")=0,"",SUMIFS(tblDaily[Deaths],tblDaily[EntryDate],DATE(2026,4,21),tblDaily[WardCode],"BH")),"")</f>
        <v/>
      </c>
      <c r="E144" s="12">
        <f>IFERROR(IF(SUMIFS(tblDaily[DeathsUnder24Hrs],tblDaily[EntryDate],DATE(2026,4,21),tblDaily[WardCode],"BH")=0,"",SUMIFS(tblDaily[DeathsUnder24Hrs],tblDaily[EntryDate],DATE(2026,4,21),tblDaily[WardCode],"BH")),"")</f>
        <v/>
      </c>
      <c r="F144" s="12">
        <f>IFERROR(IF(SUMIFS(tblDaily[TransfersIn],tblDaily[EntryDate],DATE(2026,4,21),tblDaily[WardCode],"BH")=0,"",SUMIFS(tblDaily[TransfersIn],tblDaily[EntryDate],DATE(2026,4,21),tblDaily[WardCode],"BH")),"")</f>
        <v/>
      </c>
      <c r="G144" s="12">
        <f>IFERROR(IF(SUMIFS(tblDaily[TransfersOut],tblDaily[EntryDate],DATE(2026,4,21),tblDaily[WardCode],"BH")=0,"",SUMIFS(tblDaily[TransfersOut],tblDaily[EntryDate],DATE(2026,4,21),tblDaily[WardCode],"BH")),"")</f>
        <v/>
      </c>
      <c r="H144" s="12">
        <f>IFERROR(IF(SUMIFS(tblDaily[Remaining],tblDaily[EntryDate],DATE(2026,4,21),tblDaily[WardCode],"BH")=0,"",SUMIFS(tblDaily[Remaining],tblDaily[EntryDate],DATE(2026,4,21),tblDaily[WardCode],"BH")),"")</f>
        <v/>
      </c>
    </row>
    <row r="145">
      <c r="A145" s="12" t="n">
        <v>22</v>
      </c>
      <c r="B145" s="12">
        <f>IFERROR(IF(SUMIFS(tblDaily[Admissions],tblDaily[EntryDate],DATE(2026,4,22),tblDaily[WardCode],"BH")=0,"",SUMIFS(tblDaily[Admissions],tblDaily[EntryDate],DATE(2026,4,22),tblDaily[WardCode],"BH")),"")</f>
        <v/>
      </c>
      <c r="C145" s="12">
        <f>IFERROR(IF(SUMIFS(tblDaily[Discharges],tblDaily[EntryDate],DATE(2026,4,22),tblDaily[WardCode],"BH")=0,"",SUMIFS(tblDaily[Discharges],tblDaily[EntryDate],DATE(2026,4,22),tblDaily[WardCode],"BH")),"")</f>
        <v/>
      </c>
      <c r="D145" s="12">
        <f>IFERROR(IF(SUMIFS(tblDaily[Deaths],tblDaily[EntryDate],DATE(2026,4,22),tblDaily[WardCode],"BH")=0,"",SUMIFS(tblDaily[Deaths],tblDaily[EntryDate],DATE(2026,4,22),tblDaily[WardCode],"BH")),"")</f>
        <v/>
      </c>
      <c r="E145" s="12">
        <f>IFERROR(IF(SUMIFS(tblDaily[DeathsUnder24Hrs],tblDaily[EntryDate],DATE(2026,4,22),tblDaily[WardCode],"BH")=0,"",SUMIFS(tblDaily[DeathsUnder24Hrs],tblDaily[EntryDate],DATE(2026,4,22),tblDaily[WardCode],"BH")),"")</f>
        <v/>
      </c>
      <c r="F145" s="12">
        <f>IFERROR(IF(SUMIFS(tblDaily[TransfersIn],tblDaily[EntryDate],DATE(2026,4,22),tblDaily[WardCode],"BH")=0,"",SUMIFS(tblDaily[TransfersIn],tblDaily[EntryDate],DATE(2026,4,22),tblDaily[WardCode],"BH")),"")</f>
        <v/>
      </c>
      <c r="G145" s="12">
        <f>IFERROR(IF(SUMIFS(tblDaily[TransfersOut],tblDaily[EntryDate],DATE(2026,4,22),tblDaily[WardCode],"BH")=0,"",SUMIFS(tblDaily[TransfersOut],tblDaily[EntryDate],DATE(2026,4,22),tblDaily[WardCode],"BH")),"")</f>
        <v/>
      </c>
      <c r="H145" s="12">
        <f>IFERROR(IF(SUMIFS(tblDaily[Remaining],tblDaily[EntryDate],DATE(2026,4,22),tblDaily[WardCode],"BH")=0,"",SUMIFS(tblDaily[Remaining],tblDaily[EntryDate],DATE(2026,4,22),tblDaily[WardCode],"BH")),"")</f>
        <v/>
      </c>
    </row>
    <row r="146">
      <c r="A146" s="12" t="n">
        <v>23</v>
      </c>
      <c r="B146" s="12">
        <f>IFERROR(IF(SUMIFS(tblDaily[Admissions],tblDaily[EntryDate],DATE(2026,4,23),tblDaily[WardCode],"BH")=0,"",SUMIFS(tblDaily[Admissions],tblDaily[EntryDate],DATE(2026,4,23),tblDaily[WardCode],"BH")),"")</f>
        <v/>
      </c>
      <c r="C146" s="12">
        <f>IFERROR(IF(SUMIFS(tblDaily[Discharges],tblDaily[EntryDate],DATE(2026,4,23),tblDaily[WardCode],"BH")=0,"",SUMIFS(tblDaily[Discharges],tblDaily[EntryDate],DATE(2026,4,23),tblDaily[WardCode],"BH")),"")</f>
        <v/>
      </c>
      <c r="D146" s="12">
        <f>IFERROR(IF(SUMIFS(tblDaily[Deaths],tblDaily[EntryDate],DATE(2026,4,23),tblDaily[WardCode],"BH")=0,"",SUMIFS(tblDaily[Deaths],tblDaily[EntryDate],DATE(2026,4,23),tblDaily[WardCode],"BH")),"")</f>
        <v/>
      </c>
      <c r="E146" s="12">
        <f>IFERROR(IF(SUMIFS(tblDaily[DeathsUnder24Hrs],tblDaily[EntryDate],DATE(2026,4,23),tblDaily[WardCode],"BH")=0,"",SUMIFS(tblDaily[DeathsUnder24Hrs],tblDaily[EntryDate],DATE(2026,4,23),tblDaily[WardCode],"BH")),"")</f>
        <v/>
      </c>
      <c r="F146" s="12">
        <f>IFERROR(IF(SUMIFS(tblDaily[TransfersIn],tblDaily[EntryDate],DATE(2026,4,23),tblDaily[WardCode],"BH")=0,"",SUMIFS(tblDaily[TransfersIn],tblDaily[EntryDate],DATE(2026,4,23),tblDaily[WardCode],"BH")),"")</f>
        <v/>
      </c>
      <c r="G146" s="12">
        <f>IFERROR(IF(SUMIFS(tblDaily[TransfersOut],tblDaily[EntryDate],DATE(2026,4,23),tblDaily[WardCode],"BH")=0,"",SUMIFS(tblDaily[TransfersOut],tblDaily[EntryDate],DATE(2026,4,23),tblDaily[WardCode],"BH")),"")</f>
        <v/>
      </c>
      <c r="H146" s="12">
        <f>IFERROR(IF(SUMIFS(tblDaily[Remaining],tblDaily[EntryDate],DATE(2026,4,23),tblDaily[WardCode],"BH")=0,"",SUMIFS(tblDaily[Remaining],tblDaily[EntryDate],DATE(2026,4,23),tblDaily[WardCode],"BH")),"")</f>
        <v/>
      </c>
    </row>
    <row r="147">
      <c r="A147" s="12" t="n">
        <v>24</v>
      </c>
      <c r="B147" s="12">
        <f>IFERROR(IF(SUMIFS(tblDaily[Admissions],tblDaily[EntryDate],DATE(2026,4,24),tblDaily[WardCode],"BH")=0,"",SUMIFS(tblDaily[Admissions],tblDaily[EntryDate],DATE(2026,4,24),tblDaily[WardCode],"BH")),"")</f>
        <v/>
      </c>
      <c r="C147" s="12">
        <f>IFERROR(IF(SUMIFS(tblDaily[Discharges],tblDaily[EntryDate],DATE(2026,4,24),tblDaily[WardCode],"BH")=0,"",SUMIFS(tblDaily[Discharges],tblDaily[EntryDate],DATE(2026,4,24),tblDaily[WardCode],"BH")),"")</f>
        <v/>
      </c>
      <c r="D147" s="12">
        <f>IFERROR(IF(SUMIFS(tblDaily[Deaths],tblDaily[EntryDate],DATE(2026,4,24),tblDaily[WardCode],"BH")=0,"",SUMIFS(tblDaily[Deaths],tblDaily[EntryDate],DATE(2026,4,24),tblDaily[WardCode],"BH")),"")</f>
        <v/>
      </c>
      <c r="E147" s="12">
        <f>IFERROR(IF(SUMIFS(tblDaily[DeathsUnder24Hrs],tblDaily[EntryDate],DATE(2026,4,24),tblDaily[WardCode],"BH")=0,"",SUMIFS(tblDaily[DeathsUnder24Hrs],tblDaily[EntryDate],DATE(2026,4,24),tblDaily[WardCode],"BH")),"")</f>
        <v/>
      </c>
      <c r="F147" s="12">
        <f>IFERROR(IF(SUMIFS(tblDaily[TransfersIn],tblDaily[EntryDate],DATE(2026,4,24),tblDaily[WardCode],"BH")=0,"",SUMIFS(tblDaily[TransfersIn],tblDaily[EntryDate],DATE(2026,4,24),tblDaily[WardCode],"BH")),"")</f>
        <v/>
      </c>
      <c r="G147" s="12">
        <f>IFERROR(IF(SUMIFS(tblDaily[TransfersOut],tblDaily[EntryDate],DATE(2026,4,24),tblDaily[WardCode],"BH")=0,"",SUMIFS(tblDaily[TransfersOut],tblDaily[EntryDate],DATE(2026,4,24),tblDaily[WardCode],"BH")),"")</f>
        <v/>
      </c>
      <c r="H147" s="12">
        <f>IFERROR(IF(SUMIFS(tblDaily[Remaining],tblDaily[EntryDate],DATE(2026,4,24),tblDaily[WardCode],"BH")=0,"",SUMIFS(tblDaily[Remaining],tblDaily[EntryDate],DATE(2026,4,24),tblDaily[WardCode],"BH")),"")</f>
        <v/>
      </c>
    </row>
    <row r="148">
      <c r="A148" s="12" t="n">
        <v>25</v>
      </c>
      <c r="B148" s="12">
        <f>IFERROR(IF(SUMIFS(tblDaily[Admissions],tblDaily[EntryDate],DATE(2026,4,25),tblDaily[WardCode],"BH")=0,"",SUMIFS(tblDaily[Admissions],tblDaily[EntryDate],DATE(2026,4,25),tblDaily[WardCode],"BH")),"")</f>
        <v/>
      </c>
      <c r="C148" s="12">
        <f>IFERROR(IF(SUMIFS(tblDaily[Discharges],tblDaily[EntryDate],DATE(2026,4,25),tblDaily[WardCode],"BH")=0,"",SUMIFS(tblDaily[Discharges],tblDaily[EntryDate],DATE(2026,4,25),tblDaily[WardCode],"BH")),"")</f>
        <v/>
      </c>
      <c r="D148" s="12">
        <f>IFERROR(IF(SUMIFS(tblDaily[Deaths],tblDaily[EntryDate],DATE(2026,4,25),tblDaily[WardCode],"BH")=0,"",SUMIFS(tblDaily[Deaths],tblDaily[EntryDate],DATE(2026,4,25),tblDaily[WardCode],"BH")),"")</f>
        <v/>
      </c>
      <c r="E148" s="12">
        <f>IFERROR(IF(SUMIFS(tblDaily[DeathsUnder24Hrs],tblDaily[EntryDate],DATE(2026,4,25),tblDaily[WardCode],"BH")=0,"",SUMIFS(tblDaily[DeathsUnder24Hrs],tblDaily[EntryDate],DATE(2026,4,25),tblDaily[WardCode],"BH")),"")</f>
        <v/>
      </c>
      <c r="F148" s="12">
        <f>IFERROR(IF(SUMIFS(tblDaily[TransfersIn],tblDaily[EntryDate],DATE(2026,4,25),tblDaily[WardCode],"BH")=0,"",SUMIFS(tblDaily[TransfersIn],tblDaily[EntryDate],DATE(2026,4,25),tblDaily[WardCode],"BH")),"")</f>
        <v/>
      </c>
      <c r="G148" s="12">
        <f>IFERROR(IF(SUMIFS(tblDaily[TransfersOut],tblDaily[EntryDate],DATE(2026,4,25),tblDaily[WardCode],"BH")=0,"",SUMIFS(tblDaily[TransfersOut],tblDaily[EntryDate],DATE(2026,4,25),tblDaily[WardCode],"BH")),"")</f>
        <v/>
      </c>
      <c r="H148" s="12">
        <f>IFERROR(IF(SUMIFS(tblDaily[Remaining],tblDaily[EntryDate],DATE(2026,4,25),tblDaily[WardCode],"BH")=0,"",SUMIFS(tblDaily[Remaining],tblDaily[EntryDate],DATE(2026,4,25),tblDaily[WardCode],"BH")),"")</f>
        <v/>
      </c>
    </row>
    <row r="149">
      <c r="A149" s="12" t="n">
        <v>26</v>
      </c>
      <c r="B149" s="12">
        <f>IFERROR(IF(SUMIFS(tblDaily[Admissions],tblDaily[EntryDate],DATE(2026,4,26),tblDaily[WardCode],"BH")=0,"",SUMIFS(tblDaily[Admissions],tblDaily[EntryDate],DATE(2026,4,26),tblDaily[WardCode],"BH")),"")</f>
        <v/>
      </c>
      <c r="C149" s="12">
        <f>IFERROR(IF(SUMIFS(tblDaily[Discharges],tblDaily[EntryDate],DATE(2026,4,26),tblDaily[WardCode],"BH")=0,"",SUMIFS(tblDaily[Discharges],tblDaily[EntryDate],DATE(2026,4,26),tblDaily[WardCode],"BH")),"")</f>
        <v/>
      </c>
      <c r="D149" s="12">
        <f>IFERROR(IF(SUMIFS(tblDaily[Deaths],tblDaily[EntryDate],DATE(2026,4,26),tblDaily[WardCode],"BH")=0,"",SUMIFS(tblDaily[Deaths],tblDaily[EntryDate],DATE(2026,4,26),tblDaily[WardCode],"BH")),"")</f>
        <v/>
      </c>
      <c r="E149" s="12">
        <f>IFERROR(IF(SUMIFS(tblDaily[DeathsUnder24Hrs],tblDaily[EntryDate],DATE(2026,4,26),tblDaily[WardCode],"BH")=0,"",SUMIFS(tblDaily[DeathsUnder24Hrs],tblDaily[EntryDate],DATE(2026,4,26),tblDaily[WardCode],"BH")),"")</f>
        <v/>
      </c>
      <c r="F149" s="12">
        <f>IFERROR(IF(SUMIFS(tblDaily[TransfersIn],tblDaily[EntryDate],DATE(2026,4,26),tblDaily[WardCode],"BH")=0,"",SUMIFS(tblDaily[TransfersIn],tblDaily[EntryDate],DATE(2026,4,26),tblDaily[WardCode],"BH")),"")</f>
        <v/>
      </c>
      <c r="G149" s="12">
        <f>IFERROR(IF(SUMIFS(tblDaily[TransfersOut],tblDaily[EntryDate],DATE(2026,4,26),tblDaily[WardCode],"BH")=0,"",SUMIFS(tblDaily[TransfersOut],tblDaily[EntryDate],DATE(2026,4,26),tblDaily[WardCode],"BH")),"")</f>
        <v/>
      </c>
      <c r="H149" s="12">
        <f>IFERROR(IF(SUMIFS(tblDaily[Remaining],tblDaily[EntryDate],DATE(2026,4,26),tblDaily[WardCode],"BH")=0,"",SUMIFS(tblDaily[Remaining],tblDaily[EntryDate],DATE(2026,4,26),tblDaily[WardCode],"BH")),"")</f>
        <v/>
      </c>
    </row>
    <row r="150">
      <c r="A150" s="12" t="n">
        <v>27</v>
      </c>
      <c r="B150" s="12">
        <f>IFERROR(IF(SUMIFS(tblDaily[Admissions],tblDaily[EntryDate],DATE(2026,4,27),tblDaily[WardCode],"BH")=0,"",SUMIFS(tblDaily[Admissions],tblDaily[EntryDate],DATE(2026,4,27),tblDaily[WardCode],"BH")),"")</f>
        <v/>
      </c>
      <c r="C150" s="12">
        <f>IFERROR(IF(SUMIFS(tblDaily[Discharges],tblDaily[EntryDate],DATE(2026,4,27),tblDaily[WardCode],"BH")=0,"",SUMIFS(tblDaily[Discharges],tblDaily[EntryDate],DATE(2026,4,27),tblDaily[WardCode],"BH")),"")</f>
        <v/>
      </c>
      <c r="D150" s="12">
        <f>IFERROR(IF(SUMIFS(tblDaily[Deaths],tblDaily[EntryDate],DATE(2026,4,27),tblDaily[WardCode],"BH")=0,"",SUMIFS(tblDaily[Deaths],tblDaily[EntryDate],DATE(2026,4,27),tblDaily[WardCode],"BH")),"")</f>
        <v/>
      </c>
      <c r="E150" s="12">
        <f>IFERROR(IF(SUMIFS(tblDaily[DeathsUnder24Hrs],tblDaily[EntryDate],DATE(2026,4,27),tblDaily[WardCode],"BH")=0,"",SUMIFS(tblDaily[DeathsUnder24Hrs],tblDaily[EntryDate],DATE(2026,4,27),tblDaily[WardCode],"BH")),"")</f>
        <v/>
      </c>
      <c r="F150" s="12">
        <f>IFERROR(IF(SUMIFS(tblDaily[TransfersIn],tblDaily[EntryDate],DATE(2026,4,27),tblDaily[WardCode],"BH")=0,"",SUMIFS(tblDaily[TransfersIn],tblDaily[EntryDate],DATE(2026,4,27),tblDaily[WardCode],"BH")),"")</f>
        <v/>
      </c>
      <c r="G150" s="12">
        <f>IFERROR(IF(SUMIFS(tblDaily[TransfersOut],tblDaily[EntryDate],DATE(2026,4,27),tblDaily[WardCode],"BH")=0,"",SUMIFS(tblDaily[TransfersOut],tblDaily[EntryDate],DATE(2026,4,27),tblDaily[WardCode],"BH")),"")</f>
        <v/>
      </c>
      <c r="H150" s="12">
        <f>IFERROR(IF(SUMIFS(tblDaily[Remaining],tblDaily[EntryDate],DATE(2026,4,27),tblDaily[WardCode],"BH")=0,"",SUMIFS(tblDaily[Remaining],tblDaily[EntryDate],DATE(2026,4,27),tblDaily[WardCode],"BH")),"")</f>
        <v/>
      </c>
    </row>
    <row r="151">
      <c r="A151" s="12" t="n">
        <v>28</v>
      </c>
      <c r="B151" s="12">
        <f>IFERROR(IF(SUMIFS(tblDaily[Admissions],tblDaily[EntryDate],DATE(2026,4,28),tblDaily[WardCode],"BH")=0,"",SUMIFS(tblDaily[Admissions],tblDaily[EntryDate],DATE(2026,4,28),tblDaily[WardCode],"BH")),"")</f>
        <v/>
      </c>
      <c r="C151" s="12">
        <f>IFERROR(IF(SUMIFS(tblDaily[Discharges],tblDaily[EntryDate],DATE(2026,4,28),tblDaily[WardCode],"BH")=0,"",SUMIFS(tblDaily[Discharges],tblDaily[EntryDate],DATE(2026,4,28),tblDaily[WardCode],"BH")),"")</f>
        <v/>
      </c>
      <c r="D151" s="12">
        <f>IFERROR(IF(SUMIFS(tblDaily[Deaths],tblDaily[EntryDate],DATE(2026,4,28),tblDaily[WardCode],"BH")=0,"",SUMIFS(tblDaily[Deaths],tblDaily[EntryDate],DATE(2026,4,28),tblDaily[WardCode],"BH")),"")</f>
        <v/>
      </c>
      <c r="E151" s="12">
        <f>IFERROR(IF(SUMIFS(tblDaily[DeathsUnder24Hrs],tblDaily[EntryDate],DATE(2026,4,28),tblDaily[WardCode],"BH")=0,"",SUMIFS(tblDaily[DeathsUnder24Hrs],tblDaily[EntryDate],DATE(2026,4,28),tblDaily[WardCode],"BH")),"")</f>
        <v/>
      </c>
      <c r="F151" s="12">
        <f>IFERROR(IF(SUMIFS(tblDaily[TransfersIn],tblDaily[EntryDate],DATE(2026,4,28),tblDaily[WardCode],"BH")=0,"",SUMIFS(tblDaily[TransfersIn],tblDaily[EntryDate],DATE(2026,4,28),tblDaily[WardCode],"BH")),"")</f>
        <v/>
      </c>
      <c r="G151" s="12">
        <f>IFERROR(IF(SUMIFS(tblDaily[TransfersOut],tblDaily[EntryDate],DATE(2026,4,28),tblDaily[WardCode],"BH")=0,"",SUMIFS(tblDaily[TransfersOut],tblDaily[EntryDate],DATE(2026,4,28),tblDaily[WardCode],"BH")),"")</f>
        <v/>
      </c>
      <c r="H151" s="12">
        <f>IFERROR(IF(SUMIFS(tblDaily[Remaining],tblDaily[EntryDate],DATE(2026,4,28),tblDaily[WardCode],"BH")=0,"",SUMIFS(tblDaily[Remaining],tblDaily[EntryDate],DATE(2026,4,28),tblDaily[WardCode],"BH")),"")</f>
        <v/>
      </c>
    </row>
    <row r="152">
      <c r="A152" s="12" t="n">
        <v>29</v>
      </c>
      <c r="B152" s="12">
        <f>IFERROR(IF(SUMIFS(tblDaily[Admissions],tblDaily[EntryDate],DATE(2026,4,29),tblDaily[WardCode],"BH")=0,"",SUMIFS(tblDaily[Admissions],tblDaily[EntryDate],DATE(2026,4,29),tblDaily[WardCode],"BH")),"")</f>
        <v/>
      </c>
      <c r="C152" s="12">
        <f>IFERROR(IF(SUMIFS(tblDaily[Discharges],tblDaily[EntryDate],DATE(2026,4,29),tblDaily[WardCode],"BH")=0,"",SUMIFS(tblDaily[Discharges],tblDaily[EntryDate],DATE(2026,4,29),tblDaily[WardCode],"BH")),"")</f>
        <v/>
      </c>
      <c r="D152" s="12">
        <f>IFERROR(IF(SUMIFS(tblDaily[Deaths],tblDaily[EntryDate],DATE(2026,4,29),tblDaily[WardCode],"BH")=0,"",SUMIFS(tblDaily[Deaths],tblDaily[EntryDate],DATE(2026,4,29),tblDaily[WardCode],"BH")),"")</f>
        <v/>
      </c>
      <c r="E152" s="12">
        <f>IFERROR(IF(SUMIFS(tblDaily[DeathsUnder24Hrs],tblDaily[EntryDate],DATE(2026,4,29),tblDaily[WardCode],"BH")=0,"",SUMIFS(tblDaily[DeathsUnder24Hrs],tblDaily[EntryDate],DATE(2026,4,29),tblDaily[WardCode],"BH")),"")</f>
        <v/>
      </c>
      <c r="F152" s="12">
        <f>IFERROR(IF(SUMIFS(tblDaily[TransfersIn],tblDaily[EntryDate],DATE(2026,4,29),tblDaily[WardCode],"BH")=0,"",SUMIFS(tblDaily[TransfersIn],tblDaily[EntryDate],DATE(2026,4,29),tblDaily[WardCode],"BH")),"")</f>
        <v/>
      </c>
      <c r="G152" s="12">
        <f>IFERROR(IF(SUMIFS(tblDaily[TransfersOut],tblDaily[EntryDate],DATE(2026,4,29),tblDaily[WardCode],"BH")=0,"",SUMIFS(tblDaily[TransfersOut],tblDaily[EntryDate],DATE(2026,4,29),tblDaily[WardCode],"BH")),"")</f>
        <v/>
      </c>
      <c r="H152" s="12">
        <f>IFERROR(IF(SUMIFS(tblDaily[Remaining],tblDaily[EntryDate],DATE(2026,4,29),tblDaily[WardCode],"BH")=0,"",SUMIFS(tblDaily[Remaining],tblDaily[EntryDate],DATE(2026,4,29),tblDaily[WardCode],"BH")),"")</f>
        <v/>
      </c>
    </row>
    <row r="153">
      <c r="A153" s="12" t="n">
        <v>30</v>
      </c>
      <c r="B153" s="12">
        <f>IFERROR(IF(SUMIFS(tblDaily[Admissions],tblDaily[EntryDate],DATE(2026,4,30),tblDaily[WardCode],"BH")=0,"",SUMIFS(tblDaily[Admissions],tblDaily[EntryDate],DATE(2026,4,30),tblDaily[WardCode],"BH")),"")</f>
        <v/>
      </c>
      <c r="C153" s="12">
        <f>IFERROR(IF(SUMIFS(tblDaily[Discharges],tblDaily[EntryDate],DATE(2026,4,30),tblDaily[WardCode],"BH")=0,"",SUMIFS(tblDaily[Discharges],tblDaily[EntryDate],DATE(2026,4,30),tblDaily[WardCode],"BH")),"")</f>
        <v/>
      </c>
      <c r="D153" s="12">
        <f>IFERROR(IF(SUMIFS(tblDaily[Deaths],tblDaily[EntryDate],DATE(2026,4,30),tblDaily[WardCode],"BH")=0,"",SUMIFS(tblDaily[Deaths],tblDaily[EntryDate],DATE(2026,4,30),tblDaily[WardCode],"BH")),"")</f>
        <v/>
      </c>
      <c r="E153" s="12">
        <f>IFERROR(IF(SUMIFS(tblDaily[DeathsUnder24Hrs],tblDaily[EntryDate],DATE(2026,4,30),tblDaily[WardCode],"BH")=0,"",SUMIFS(tblDaily[DeathsUnder24Hrs],tblDaily[EntryDate],DATE(2026,4,30),tblDaily[WardCode],"BH")),"")</f>
        <v/>
      </c>
      <c r="F153" s="12">
        <f>IFERROR(IF(SUMIFS(tblDaily[TransfersIn],tblDaily[EntryDate],DATE(2026,4,30),tblDaily[WardCode],"BH")=0,"",SUMIFS(tblDaily[TransfersIn],tblDaily[EntryDate],DATE(2026,4,30),tblDaily[WardCode],"BH")),"")</f>
        <v/>
      </c>
      <c r="G153" s="12">
        <f>IFERROR(IF(SUMIFS(tblDaily[TransfersOut],tblDaily[EntryDate],DATE(2026,4,30),tblDaily[WardCode],"BH")=0,"",SUMIFS(tblDaily[TransfersOut],tblDaily[EntryDate],DATE(2026,4,30),tblDaily[WardCode],"BH")),"")</f>
        <v/>
      </c>
      <c r="H153" s="12">
        <f>IFERROR(IF(SUMIFS(tblDaily[Remaining],tblDaily[EntryDate],DATE(2026,4,30),tblDaily[WardCode],"BH")=0,"",SUMIFS(tblDaily[Remaining],tblDaily[EntryDate],DATE(2026,4,30),tblDaily[WardCode],"BH")),"")</f>
        <v/>
      </c>
    </row>
    <row r="154">
      <c r="A154" s="12" t="n">
        <v>31</v>
      </c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7" t="inlineStr">
        <is>
          <t>TOTAL</t>
        </is>
      </c>
      <c r="B155" s="17">
        <f>SUMIFS(tblDaily[Admissions],tblDaily[Month],4,tblDaily[WardCode],"BH") - SUMIFS(tblDaily[DeathsUnder24Hrs],tblDaily[Month],4,tblDaily[WardCode],"BH")</f>
        <v/>
      </c>
      <c r="C155" s="17">
        <f>SUMIFS(tblDaily[Discharges],tblDaily[Month],4,tblDaily[WardCode],"BH")</f>
        <v/>
      </c>
      <c r="D155" s="17">
        <f>SUMIFS(tblDaily[Deaths],tblDaily[Month],4,tblDaily[WardCode],"BH")</f>
        <v/>
      </c>
      <c r="E155" s="17">
        <f>SUMIFS(tblDaily[DeathsUnder24Hrs],tblDaily[Month],4,tblDaily[WardCode],"BH")</f>
        <v/>
      </c>
      <c r="F155" s="17">
        <f>SUMIFS(tblDaily[TransfersIn],tblDaily[Month],4,tblDaily[WardCode],"BH")</f>
        <v/>
      </c>
      <c r="G155" s="17">
        <f>SUMIFS(tblDaily[TransfersOut],tblDaily[Month],4,tblDaily[WardCode],"BH")</f>
        <v/>
      </c>
      <c r="H155" s="17">
        <f>SUMIFS(tblDaily[Remaining],tblDaily[Month],4,tblDaily[WardCode],"BH")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BLOCK H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4">
        <f>IFERROR(SUMIFS(tblDaily[Remaining],tblDaily[EntryDate],DATE(2026,4,30),tblDaily[WardCode],"BH"),0)</f>
        <v/>
      </c>
    </row>
    <row r="161">
      <c r="A161" s="4" t="inlineStr">
        <is>
          <t>Bed complement</t>
        </is>
      </c>
      <c r="H161" s="15">
        <f>IFERROR(INDEX(tblWardConfig[BedComplement],MATCH("BH",tblWardConfig[WardCode],0)),0)</f>
        <v/>
      </c>
    </row>
    <row r="162">
      <c r="A162" s="16" t="inlineStr">
        <is>
          <t>Day of
the
Month</t>
        </is>
      </c>
      <c r="B162" s="16" t="inlineStr">
        <is>
          <t>Admissions</t>
        </is>
      </c>
      <c r="C162" s="16" t="inlineStr">
        <is>
          <t>Discharges</t>
        </is>
      </c>
      <c r="D162" s="16" t="inlineStr">
        <is>
          <t>Deaths</t>
        </is>
      </c>
      <c r="E162" s="16" t="inlineStr">
        <is>
          <t>Deaths
&lt;24Hrs</t>
        </is>
      </c>
      <c r="F162" s="16" t="inlineStr">
        <is>
          <t>Transfers-
In</t>
        </is>
      </c>
      <c r="G162" s="16" t="inlineStr">
        <is>
          <t>Transfers-
Out</t>
        </is>
      </c>
      <c r="H162" s="16" t="inlineStr">
        <is>
          <t>No. of Patients
Remaining In
Ward</t>
        </is>
      </c>
    </row>
    <row r="163">
      <c r="A163" s="12" t="n">
        <v>1</v>
      </c>
      <c r="B163" s="12">
        <f>IFERROR(IF(SUMIFS(tblDaily[Admissions],tblDaily[EntryDate],DATE(2026,5,1),tblDaily[WardCode],"BH")=0,"",SUMIFS(tblDaily[Admissions],tblDaily[EntryDate],DATE(2026,5,1),tblDaily[WardCode],"BH")),"")</f>
        <v/>
      </c>
      <c r="C163" s="12">
        <f>IFERROR(IF(SUMIFS(tblDaily[Discharges],tblDaily[EntryDate],DATE(2026,5,1),tblDaily[WardCode],"BH")=0,"",SUMIFS(tblDaily[Discharges],tblDaily[EntryDate],DATE(2026,5,1),tblDaily[WardCode],"BH")),"")</f>
        <v/>
      </c>
      <c r="D163" s="12">
        <f>IFERROR(IF(SUMIFS(tblDaily[Deaths],tblDaily[EntryDate],DATE(2026,5,1),tblDaily[WardCode],"BH")=0,"",SUMIFS(tblDaily[Deaths],tblDaily[EntryDate],DATE(2026,5,1),tblDaily[WardCode],"BH")),"")</f>
        <v/>
      </c>
      <c r="E163" s="12">
        <f>IFERROR(IF(SUMIFS(tblDaily[DeathsUnder24Hrs],tblDaily[EntryDate],DATE(2026,5,1),tblDaily[WardCode],"BH")=0,"",SUMIFS(tblDaily[DeathsUnder24Hrs],tblDaily[EntryDate],DATE(2026,5,1),tblDaily[WardCode],"BH")),"")</f>
        <v/>
      </c>
      <c r="F163" s="12">
        <f>IFERROR(IF(SUMIFS(tblDaily[TransfersIn],tblDaily[EntryDate],DATE(2026,5,1),tblDaily[WardCode],"BH")=0,"",SUMIFS(tblDaily[TransfersIn],tblDaily[EntryDate],DATE(2026,5,1),tblDaily[WardCode],"BH")),"")</f>
        <v/>
      </c>
      <c r="G163" s="12">
        <f>IFERROR(IF(SUMIFS(tblDaily[TransfersOut],tblDaily[EntryDate],DATE(2026,5,1),tblDaily[WardCode],"BH")=0,"",SUMIFS(tblDaily[TransfersOut],tblDaily[EntryDate],DATE(2026,5,1),tblDaily[WardCode],"BH")),"")</f>
        <v/>
      </c>
      <c r="H163" s="12">
        <f>IFERROR(IF(SUMIFS(tblDaily[Remaining],tblDaily[EntryDate],DATE(2026,5,1),tblDaily[WardCode],"BH")=0,"",SUMIFS(tblDaily[Remaining],tblDaily[EntryDate],DATE(2026,5,1),tblDaily[WardCode],"BH")),"")</f>
        <v/>
      </c>
    </row>
    <row r="164">
      <c r="A164" s="12" t="n">
        <v>2</v>
      </c>
      <c r="B164" s="12">
        <f>IFERROR(IF(SUMIFS(tblDaily[Admissions],tblDaily[EntryDate],DATE(2026,5,2),tblDaily[WardCode],"BH")=0,"",SUMIFS(tblDaily[Admissions],tblDaily[EntryDate],DATE(2026,5,2),tblDaily[WardCode],"BH")),"")</f>
        <v/>
      </c>
      <c r="C164" s="12">
        <f>IFERROR(IF(SUMIFS(tblDaily[Discharges],tblDaily[EntryDate],DATE(2026,5,2),tblDaily[WardCode],"BH")=0,"",SUMIFS(tblDaily[Discharges],tblDaily[EntryDate],DATE(2026,5,2),tblDaily[WardCode],"BH")),"")</f>
        <v/>
      </c>
      <c r="D164" s="12">
        <f>IFERROR(IF(SUMIFS(tblDaily[Deaths],tblDaily[EntryDate],DATE(2026,5,2),tblDaily[WardCode],"BH")=0,"",SUMIFS(tblDaily[Deaths],tblDaily[EntryDate],DATE(2026,5,2),tblDaily[WardCode],"BH")),"")</f>
        <v/>
      </c>
      <c r="E164" s="12">
        <f>IFERROR(IF(SUMIFS(tblDaily[DeathsUnder24Hrs],tblDaily[EntryDate],DATE(2026,5,2),tblDaily[WardCode],"BH")=0,"",SUMIFS(tblDaily[DeathsUnder24Hrs],tblDaily[EntryDate],DATE(2026,5,2),tblDaily[WardCode],"BH")),"")</f>
        <v/>
      </c>
      <c r="F164" s="12">
        <f>IFERROR(IF(SUMIFS(tblDaily[TransfersIn],tblDaily[EntryDate],DATE(2026,5,2),tblDaily[WardCode],"BH")=0,"",SUMIFS(tblDaily[TransfersIn],tblDaily[EntryDate],DATE(2026,5,2),tblDaily[WardCode],"BH")),"")</f>
        <v/>
      </c>
      <c r="G164" s="12">
        <f>IFERROR(IF(SUMIFS(tblDaily[TransfersOut],tblDaily[EntryDate],DATE(2026,5,2),tblDaily[WardCode],"BH")=0,"",SUMIFS(tblDaily[TransfersOut],tblDaily[EntryDate],DATE(2026,5,2),tblDaily[WardCode],"BH")),"")</f>
        <v/>
      </c>
      <c r="H164" s="12">
        <f>IFERROR(IF(SUMIFS(tblDaily[Remaining],tblDaily[EntryDate],DATE(2026,5,2),tblDaily[WardCode],"BH")=0,"",SUMIFS(tblDaily[Remaining],tblDaily[EntryDate],DATE(2026,5,2),tblDaily[WardCode],"BH")),"")</f>
        <v/>
      </c>
    </row>
    <row r="165">
      <c r="A165" s="12" t="n">
        <v>3</v>
      </c>
      <c r="B165" s="12">
        <f>IFERROR(IF(SUMIFS(tblDaily[Admissions],tblDaily[EntryDate],DATE(2026,5,3),tblDaily[WardCode],"BH")=0,"",SUMIFS(tblDaily[Admissions],tblDaily[EntryDate],DATE(2026,5,3),tblDaily[WardCode],"BH")),"")</f>
        <v/>
      </c>
      <c r="C165" s="12">
        <f>IFERROR(IF(SUMIFS(tblDaily[Discharges],tblDaily[EntryDate],DATE(2026,5,3),tblDaily[WardCode],"BH")=0,"",SUMIFS(tblDaily[Discharges],tblDaily[EntryDate],DATE(2026,5,3),tblDaily[WardCode],"BH")),"")</f>
        <v/>
      </c>
      <c r="D165" s="12">
        <f>IFERROR(IF(SUMIFS(tblDaily[Deaths],tblDaily[EntryDate],DATE(2026,5,3),tblDaily[WardCode],"BH")=0,"",SUMIFS(tblDaily[Deaths],tblDaily[EntryDate],DATE(2026,5,3),tblDaily[WardCode],"BH")),"")</f>
        <v/>
      </c>
      <c r="E165" s="12">
        <f>IFERROR(IF(SUMIFS(tblDaily[DeathsUnder24Hrs],tblDaily[EntryDate],DATE(2026,5,3),tblDaily[WardCode],"BH")=0,"",SUMIFS(tblDaily[DeathsUnder24Hrs],tblDaily[EntryDate],DATE(2026,5,3),tblDaily[WardCode],"BH")),"")</f>
        <v/>
      </c>
      <c r="F165" s="12">
        <f>IFERROR(IF(SUMIFS(tblDaily[TransfersIn],tblDaily[EntryDate],DATE(2026,5,3),tblDaily[WardCode],"BH")=0,"",SUMIFS(tblDaily[TransfersIn],tblDaily[EntryDate],DATE(2026,5,3),tblDaily[WardCode],"BH")),"")</f>
        <v/>
      </c>
      <c r="G165" s="12">
        <f>IFERROR(IF(SUMIFS(tblDaily[TransfersOut],tblDaily[EntryDate],DATE(2026,5,3),tblDaily[WardCode],"BH")=0,"",SUMIFS(tblDaily[TransfersOut],tblDaily[EntryDate],DATE(2026,5,3),tblDaily[WardCode],"BH")),"")</f>
        <v/>
      </c>
      <c r="H165" s="12">
        <f>IFERROR(IF(SUMIFS(tblDaily[Remaining],tblDaily[EntryDate],DATE(2026,5,3),tblDaily[WardCode],"BH")=0,"",SUMIFS(tblDaily[Remaining],tblDaily[EntryDate],DATE(2026,5,3),tblDaily[WardCode],"BH")),"")</f>
        <v/>
      </c>
    </row>
    <row r="166">
      <c r="A166" s="12" t="n">
        <v>4</v>
      </c>
      <c r="B166" s="12">
        <f>IFERROR(IF(SUMIFS(tblDaily[Admissions],tblDaily[EntryDate],DATE(2026,5,4),tblDaily[WardCode],"BH")=0,"",SUMIFS(tblDaily[Admissions],tblDaily[EntryDate],DATE(2026,5,4),tblDaily[WardCode],"BH")),"")</f>
        <v/>
      </c>
      <c r="C166" s="12">
        <f>IFERROR(IF(SUMIFS(tblDaily[Discharges],tblDaily[EntryDate],DATE(2026,5,4),tblDaily[WardCode],"BH")=0,"",SUMIFS(tblDaily[Discharges],tblDaily[EntryDate],DATE(2026,5,4),tblDaily[WardCode],"BH")),"")</f>
        <v/>
      </c>
      <c r="D166" s="12">
        <f>IFERROR(IF(SUMIFS(tblDaily[Deaths],tblDaily[EntryDate],DATE(2026,5,4),tblDaily[WardCode],"BH")=0,"",SUMIFS(tblDaily[Deaths],tblDaily[EntryDate],DATE(2026,5,4),tblDaily[WardCode],"BH")),"")</f>
        <v/>
      </c>
      <c r="E166" s="12">
        <f>IFERROR(IF(SUMIFS(tblDaily[DeathsUnder24Hrs],tblDaily[EntryDate],DATE(2026,5,4),tblDaily[WardCode],"BH")=0,"",SUMIFS(tblDaily[DeathsUnder24Hrs],tblDaily[EntryDate],DATE(2026,5,4),tblDaily[WardCode],"BH")),"")</f>
        <v/>
      </c>
      <c r="F166" s="12">
        <f>IFERROR(IF(SUMIFS(tblDaily[TransfersIn],tblDaily[EntryDate],DATE(2026,5,4),tblDaily[WardCode],"BH")=0,"",SUMIFS(tblDaily[TransfersIn],tblDaily[EntryDate],DATE(2026,5,4),tblDaily[WardCode],"BH")),"")</f>
        <v/>
      </c>
      <c r="G166" s="12">
        <f>IFERROR(IF(SUMIFS(tblDaily[TransfersOut],tblDaily[EntryDate],DATE(2026,5,4),tblDaily[WardCode],"BH")=0,"",SUMIFS(tblDaily[TransfersOut],tblDaily[EntryDate],DATE(2026,5,4),tblDaily[WardCode],"BH")),"")</f>
        <v/>
      </c>
      <c r="H166" s="12">
        <f>IFERROR(IF(SUMIFS(tblDaily[Remaining],tblDaily[EntryDate],DATE(2026,5,4),tblDaily[WardCode],"BH")=0,"",SUMIFS(tblDaily[Remaining],tblDaily[EntryDate],DATE(2026,5,4),tblDaily[WardCode],"BH")),"")</f>
        <v/>
      </c>
    </row>
    <row r="167">
      <c r="A167" s="12" t="n">
        <v>5</v>
      </c>
      <c r="B167" s="12">
        <f>IFERROR(IF(SUMIFS(tblDaily[Admissions],tblDaily[EntryDate],DATE(2026,5,5),tblDaily[WardCode],"BH")=0,"",SUMIFS(tblDaily[Admissions],tblDaily[EntryDate],DATE(2026,5,5),tblDaily[WardCode],"BH")),"")</f>
        <v/>
      </c>
      <c r="C167" s="12">
        <f>IFERROR(IF(SUMIFS(tblDaily[Discharges],tblDaily[EntryDate],DATE(2026,5,5),tblDaily[WardCode],"BH")=0,"",SUMIFS(tblDaily[Discharges],tblDaily[EntryDate],DATE(2026,5,5),tblDaily[WardCode],"BH")),"")</f>
        <v/>
      </c>
      <c r="D167" s="12">
        <f>IFERROR(IF(SUMIFS(tblDaily[Deaths],tblDaily[EntryDate],DATE(2026,5,5),tblDaily[WardCode],"BH")=0,"",SUMIFS(tblDaily[Deaths],tblDaily[EntryDate],DATE(2026,5,5),tblDaily[WardCode],"BH")),"")</f>
        <v/>
      </c>
      <c r="E167" s="12">
        <f>IFERROR(IF(SUMIFS(tblDaily[DeathsUnder24Hrs],tblDaily[EntryDate],DATE(2026,5,5),tblDaily[WardCode],"BH")=0,"",SUMIFS(tblDaily[DeathsUnder24Hrs],tblDaily[EntryDate],DATE(2026,5,5),tblDaily[WardCode],"BH")),"")</f>
        <v/>
      </c>
      <c r="F167" s="12">
        <f>IFERROR(IF(SUMIFS(tblDaily[TransfersIn],tblDaily[EntryDate],DATE(2026,5,5),tblDaily[WardCode],"BH")=0,"",SUMIFS(tblDaily[TransfersIn],tblDaily[EntryDate],DATE(2026,5,5),tblDaily[WardCode],"BH")),"")</f>
        <v/>
      </c>
      <c r="G167" s="12">
        <f>IFERROR(IF(SUMIFS(tblDaily[TransfersOut],tblDaily[EntryDate],DATE(2026,5,5),tblDaily[WardCode],"BH")=0,"",SUMIFS(tblDaily[TransfersOut],tblDaily[EntryDate],DATE(2026,5,5),tblDaily[WardCode],"BH")),"")</f>
        <v/>
      </c>
      <c r="H167" s="12">
        <f>IFERROR(IF(SUMIFS(tblDaily[Remaining],tblDaily[EntryDate],DATE(2026,5,5),tblDaily[WardCode],"BH")=0,"",SUMIFS(tblDaily[Remaining],tblDaily[EntryDate],DATE(2026,5,5),tblDaily[WardCode],"BH")),"")</f>
        <v/>
      </c>
    </row>
    <row r="168">
      <c r="A168" s="12" t="n">
        <v>6</v>
      </c>
      <c r="B168" s="12">
        <f>IFERROR(IF(SUMIFS(tblDaily[Admissions],tblDaily[EntryDate],DATE(2026,5,6),tblDaily[WardCode],"BH")=0,"",SUMIFS(tblDaily[Admissions],tblDaily[EntryDate],DATE(2026,5,6),tblDaily[WardCode],"BH")),"")</f>
        <v/>
      </c>
      <c r="C168" s="12">
        <f>IFERROR(IF(SUMIFS(tblDaily[Discharges],tblDaily[EntryDate],DATE(2026,5,6),tblDaily[WardCode],"BH")=0,"",SUMIFS(tblDaily[Discharges],tblDaily[EntryDate],DATE(2026,5,6),tblDaily[WardCode],"BH")),"")</f>
        <v/>
      </c>
      <c r="D168" s="12">
        <f>IFERROR(IF(SUMIFS(tblDaily[Deaths],tblDaily[EntryDate],DATE(2026,5,6),tblDaily[WardCode],"BH")=0,"",SUMIFS(tblDaily[Deaths],tblDaily[EntryDate],DATE(2026,5,6),tblDaily[WardCode],"BH")),"")</f>
        <v/>
      </c>
      <c r="E168" s="12">
        <f>IFERROR(IF(SUMIFS(tblDaily[DeathsUnder24Hrs],tblDaily[EntryDate],DATE(2026,5,6),tblDaily[WardCode],"BH")=0,"",SUMIFS(tblDaily[DeathsUnder24Hrs],tblDaily[EntryDate],DATE(2026,5,6),tblDaily[WardCode],"BH")),"")</f>
        <v/>
      </c>
      <c r="F168" s="12">
        <f>IFERROR(IF(SUMIFS(tblDaily[TransfersIn],tblDaily[EntryDate],DATE(2026,5,6),tblDaily[WardCode],"BH")=0,"",SUMIFS(tblDaily[TransfersIn],tblDaily[EntryDate],DATE(2026,5,6),tblDaily[WardCode],"BH")),"")</f>
        <v/>
      </c>
      <c r="G168" s="12">
        <f>IFERROR(IF(SUMIFS(tblDaily[TransfersOut],tblDaily[EntryDate],DATE(2026,5,6),tblDaily[WardCode],"BH")=0,"",SUMIFS(tblDaily[TransfersOut],tblDaily[EntryDate],DATE(2026,5,6),tblDaily[WardCode],"BH")),"")</f>
        <v/>
      </c>
      <c r="H168" s="12">
        <f>IFERROR(IF(SUMIFS(tblDaily[Remaining],tblDaily[EntryDate],DATE(2026,5,6),tblDaily[WardCode],"BH")=0,"",SUMIFS(tblDaily[Remaining],tblDaily[EntryDate],DATE(2026,5,6),tblDaily[WardCode],"BH")),"")</f>
        <v/>
      </c>
    </row>
    <row r="169">
      <c r="A169" s="12" t="n">
        <v>7</v>
      </c>
      <c r="B169" s="12">
        <f>IFERROR(IF(SUMIFS(tblDaily[Admissions],tblDaily[EntryDate],DATE(2026,5,7),tblDaily[WardCode],"BH")=0,"",SUMIFS(tblDaily[Admissions],tblDaily[EntryDate],DATE(2026,5,7),tblDaily[WardCode],"BH")),"")</f>
        <v/>
      </c>
      <c r="C169" s="12">
        <f>IFERROR(IF(SUMIFS(tblDaily[Discharges],tblDaily[EntryDate],DATE(2026,5,7),tblDaily[WardCode],"BH")=0,"",SUMIFS(tblDaily[Discharges],tblDaily[EntryDate],DATE(2026,5,7),tblDaily[WardCode],"BH")),"")</f>
        <v/>
      </c>
      <c r="D169" s="12">
        <f>IFERROR(IF(SUMIFS(tblDaily[Deaths],tblDaily[EntryDate],DATE(2026,5,7),tblDaily[WardCode],"BH")=0,"",SUMIFS(tblDaily[Deaths],tblDaily[EntryDate],DATE(2026,5,7),tblDaily[WardCode],"BH")),"")</f>
        <v/>
      </c>
      <c r="E169" s="12">
        <f>IFERROR(IF(SUMIFS(tblDaily[DeathsUnder24Hrs],tblDaily[EntryDate],DATE(2026,5,7),tblDaily[WardCode],"BH")=0,"",SUMIFS(tblDaily[DeathsUnder24Hrs],tblDaily[EntryDate],DATE(2026,5,7),tblDaily[WardCode],"BH")),"")</f>
        <v/>
      </c>
      <c r="F169" s="12">
        <f>IFERROR(IF(SUMIFS(tblDaily[TransfersIn],tblDaily[EntryDate],DATE(2026,5,7),tblDaily[WardCode],"BH")=0,"",SUMIFS(tblDaily[TransfersIn],tblDaily[EntryDate],DATE(2026,5,7),tblDaily[WardCode],"BH")),"")</f>
        <v/>
      </c>
      <c r="G169" s="12">
        <f>IFERROR(IF(SUMIFS(tblDaily[TransfersOut],tblDaily[EntryDate],DATE(2026,5,7),tblDaily[WardCode],"BH")=0,"",SUMIFS(tblDaily[TransfersOut],tblDaily[EntryDate],DATE(2026,5,7),tblDaily[WardCode],"BH")),"")</f>
        <v/>
      </c>
      <c r="H169" s="12">
        <f>IFERROR(IF(SUMIFS(tblDaily[Remaining],tblDaily[EntryDate],DATE(2026,5,7),tblDaily[WardCode],"BH")=0,"",SUMIFS(tblDaily[Remaining],tblDaily[EntryDate],DATE(2026,5,7),tblDaily[WardCode],"BH")),"")</f>
        <v/>
      </c>
    </row>
    <row r="170">
      <c r="A170" s="12" t="n">
        <v>8</v>
      </c>
      <c r="B170" s="12">
        <f>IFERROR(IF(SUMIFS(tblDaily[Admissions],tblDaily[EntryDate],DATE(2026,5,8),tblDaily[WardCode],"BH")=0,"",SUMIFS(tblDaily[Admissions],tblDaily[EntryDate],DATE(2026,5,8),tblDaily[WardCode],"BH")),"")</f>
        <v/>
      </c>
      <c r="C170" s="12">
        <f>IFERROR(IF(SUMIFS(tblDaily[Discharges],tblDaily[EntryDate],DATE(2026,5,8),tblDaily[WardCode],"BH")=0,"",SUMIFS(tblDaily[Discharges],tblDaily[EntryDate],DATE(2026,5,8),tblDaily[WardCode],"BH")),"")</f>
        <v/>
      </c>
      <c r="D170" s="12">
        <f>IFERROR(IF(SUMIFS(tblDaily[Deaths],tblDaily[EntryDate],DATE(2026,5,8),tblDaily[WardCode],"BH")=0,"",SUMIFS(tblDaily[Deaths],tblDaily[EntryDate],DATE(2026,5,8),tblDaily[WardCode],"BH")),"")</f>
        <v/>
      </c>
      <c r="E170" s="12">
        <f>IFERROR(IF(SUMIFS(tblDaily[DeathsUnder24Hrs],tblDaily[EntryDate],DATE(2026,5,8),tblDaily[WardCode],"BH")=0,"",SUMIFS(tblDaily[DeathsUnder24Hrs],tblDaily[EntryDate],DATE(2026,5,8),tblDaily[WardCode],"BH")),"")</f>
        <v/>
      </c>
      <c r="F170" s="12">
        <f>IFERROR(IF(SUMIFS(tblDaily[TransfersIn],tblDaily[EntryDate],DATE(2026,5,8),tblDaily[WardCode],"BH")=0,"",SUMIFS(tblDaily[TransfersIn],tblDaily[EntryDate],DATE(2026,5,8),tblDaily[WardCode],"BH")),"")</f>
        <v/>
      </c>
      <c r="G170" s="12">
        <f>IFERROR(IF(SUMIFS(tblDaily[TransfersOut],tblDaily[EntryDate],DATE(2026,5,8),tblDaily[WardCode],"BH")=0,"",SUMIFS(tblDaily[TransfersOut],tblDaily[EntryDate],DATE(2026,5,8),tblDaily[WardCode],"BH")),"")</f>
        <v/>
      </c>
      <c r="H170" s="12">
        <f>IFERROR(IF(SUMIFS(tblDaily[Remaining],tblDaily[EntryDate],DATE(2026,5,8),tblDaily[WardCode],"BH")=0,"",SUMIFS(tblDaily[Remaining],tblDaily[EntryDate],DATE(2026,5,8),tblDaily[WardCode],"BH")),"")</f>
        <v/>
      </c>
    </row>
    <row r="171">
      <c r="A171" s="12" t="n">
        <v>9</v>
      </c>
      <c r="B171" s="12">
        <f>IFERROR(IF(SUMIFS(tblDaily[Admissions],tblDaily[EntryDate],DATE(2026,5,9),tblDaily[WardCode],"BH")=0,"",SUMIFS(tblDaily[Admissions],tblDaily[EntryDate],DATE(2026,5,9),tblDaily[WardCode],"BH")),"")</f>
        <v/>
      </c>
      <c r="C171" s="12">
        <f>IFERROR(IF(SUMIFS(tblDaily[Discharges],tblDaily[EntryDate],DATE(2026,5,9),tblDaily[WardCode],"BH")=0,"",SUMIFS(tblDaily[Discharges],tblDaily[EntryDate],DATE(2026,5,9),tblDaily[WardCode],"BH")),"")</f>
        <v/>
      </c>
      <c r="D171" s="12">
        <f>IFERROR(IF(SUMIFS(tblDaily[Deaths],tblDaily[EntryDate],DATE(2026,5,9),tblDaily[WardCode],"BH")=0,"",SUMIFS(tblDaily[Deaths],tblDaily[EntryDate],DATE(2026,5,9),tblDaily[WardCode],"BH")),"")</f>
        <v/>
      </c>
      <c r="E171" s="12">
        <f>IFERROR(IF(SUMIFS(tblDaily[DeathsUnder24Hrs],tblDaily[EntryDate],DATE(2026,5,9),tblDaily[WardCode],"BH")=0,"",SUMIFS(tblDaily[DeathsUnder24Hrs],tblDaily[EntryDate],DATE(2026,5,9),tblDaily[WardCode],"BH")),"")</f>
        <v/>
      </c>
      <c r="F171" s="12">
        <f>IFERROR(IF(SUMIFS(tblDaily[TransfersIn],tblDaily[EntryDate],DATE(2026,5,9),tblDaily[WardCode],"BH")=0,"",SUMIFS(tblDaily[TransfersIn],tblDaily[EntryDate],DATE(2026,5,9),tblDaily[WardCode],"BH")),"")</f>
        <v/>
      </c>
      <c r="G171" s="12">
        <f>IFERROR(IF(SUMIFS(tblDaily[TransfersOut],tblDaily[EntryDate],DATE(2026,5,9),tblDaily[WardCode],"BH")=0,"",SUMIFS(tblDaily[TransfersOut],tblDaily[EntryDate],DATE(2026,5,9),tblDaily[WardCode],"BH")),"")</f>
        <v/>
      </c>
      <c r="H171" s="12">
        <f>IFERROR(IF(SUMIFS(tblDaily[Remaining],tblDaily[EntryDate],DATE(2026,5,9),tblDaily[WardCode],"BH")=0,"",SUMIFS(tblDaily[Remaining],tblDaily[EntryDate],DATE(2026,5,9),tblDaily[WardCode],"BH")),"")</f>
        <v/>
      </c>
    </row>
    <row r="172">
      <c r="A172" s="12" t="n">
        <v>10</v>
      </c>
      <c r="B172" s="12">
        <f>IFERROR(IF(SUMIFS(tblDaily[Admissions],tblDaily[EntryDate],DATE(2026,5,10),tblDaily[WardCode],"BH")=0,"",SUMIFS(tblDaily[Admissions],tblDaily[EntryDate],DATE(2026,5,10),tblDaily[WardCode],"BH")),"")</f>
        <v/>
      </c>
      <c r="C172" s="12">
        <f>IFERROR(IF(SUMIFS(tblDaily[Discharges],tblDaily[EntryDate],DATE(2026,5,10),tblDaily[WardCode],"BH")=0,"",SUMIFS(tblDaily[Discharges],tblDaily[EntryDate],DATE(2026,5,10),tblDaily[WardCode],"BH")),"")</f>
        <v/>
      </c>
      <c r="D172" s="12">
        <f>IFERROR(IF(SUMIFS(tblDaily[Deaths],tblDaily[EntryDate],DATE(2026,5,10),tblDaily[WardCode],"BH")=0,"",SUMIFS(tblDaily[Deaths],tblDaily[EntryDate],DATE(2026,5,10),tblDaily[WardCode],"BH")),"")</f>
        <v/>
      </c>
      <c r="E172" s="12">
        <f>IFERROR(IF(SUMIFS(tblDaily[DeathsUnder24Hrs],tblDaily[EntryDate],DATE(2026,5,10),tblDaily[WardCode],"BH")=0,"",SUMIFS(tblDaily[DeathsUnder24Hrs],tblDaily[EntryDate],DATE(2026,5,10),tblDaily[WardCode],"BH")),"")</f>
        <v/>
      </c>
      <c r="F172" s="12">
        <f>IFERROR(IF(SUMIFS(tblDaily[TransfersIn],tblDaily[EntryDate],DATE(2026,5,10),tblDaily[WardCode],"BH")=0,"",SUMIFS(tblDaily[TransfersIn],tblDaily[EntryDate],DATE(2026,5,10),tblDaily[WardCode],"BH")),"")</f>
        <v/>
      </c>
      <c r="G172" s="12">
        <f>IFERROR(IF(SUMIFS(tblDaily[TransfersOut],tblDaily[EntryDate],DATE(2026,5,10),tblDaily[WardCode],"BH")=0,"",SUMIFS(tblDaily[TransfersOut],tblDaily[EntryDate],DATE(2026,5,10),tblDaily[WardCode],"BH")),"")</f>
        <v/>
      </c>
      <c r="H172" s="12">
        <f>IFERROR(IF(SUMIFS(tblDaily[Remaining],tblDaily[EntryDate],DATE(2026,5,10),tblDaily[WardCode],"BH")=0,"",SUMIFS(tblDaily[Remaining],tblDaily[EntryDate],DATE(2026,5,10),tblDaily[WardCode],"BH")),"")</f>
        <v/>
      </c>
    </row>
    <row r="173">
      <c r="A173" s="12" t="n">
        <v>11</v>
      </c>
      <c r="B173" s="12">
        <f>IFERROR(IF(SUMIFS(tblDaily[Admissions],tblDaily[EntryDate],DATE(2026,5,11),tblDaily[WardCode],"BH")=0,"",SUMIFS(tblDaily[Admissions],tblDaily[EntryDate],DATE(2026,5,11),tblDaily[WardCode],"BH")),"")</f>
        <v/>
      </c>
      <c r="C173" s="12">
        <f>IFERROR(IF(SUMIFS(tblDaily[Discharges],tblDaily[EntryDate],DATE(2026,5,11),tblDaily[WardCode],"BH")=0,"",SUMIFS(tblDaily[Discharges],tblDaily[EntryDate],DATE(2026,5,11),tblDaily[WardCode],"BH")),"")</f>
        <v/>
      </c>
      <c r="D173" s="12">
        <f>IFERROR(IF(SUMIFS(tblDaily[Deaths],tblDaily[EntryDate],DATE(2026,5,11),tblDaily[WardCode],"BH")=0,"",SUMIFS(tblDaily[Deaths],tblDaily[EntryDate],DATE(2026,5,11),tblDaily[WardCode],"BH")),"")</f>
        <v/>
      </c>
      <c r="E173" s="12">
        <f>IFERROR(IF(SUMIFS(tblDaily[DeathsUnder24Hrs],tblDaily[EntryDate],DATE(2026,5,11),tblDaily[WardCode],"BH")=0,"",SUMIFS(tblDaily[DeathsUnder24Hrs],tblDaily[EntryDate],DATE(2026,5,11),tblDaily[WardCode],"BH")),"")</f>
        <v/>
      </c>
      <c r="F173" s="12">
        <f>IFERROR(IF(SUMIFS(tblDaily[TransfersIn],tblDaily[EntryDate],DATE(2026,5,11),tblDaily[WardCode],"BH")=0,"",SUMIFS(tblDaily[TransfersIn],tblDaily[EntryDate],DATE(2026,5,11),tblDaily[WardCode],"BH")),"")</f>
        <v/>
      </c>
      <c r="G173" s="12">
        <f>IFERROR(IF(SUMIFS(tblDaily[TransfersOut],tblDaily[EntryDate],DATE(2026,5,11),tblDaily[WardCode],"BH")=0,"",SUMIFS(tblDaily[TransfersOut],tblDaily[EntryDate],DATE(2026,5,11),tblDaily[WardCode],"BH")),"")</f>
        <v/>
      </c>
      <c r="H173" s="12">
        <f>IFERROR(IF(SUMIFS(tblDaily[Remaining],tblDaily[EntryDate],DATE(2026,5,11),tblDaily[WardCode],"BH")=0,"",SUMIFS(tblDaily[Remaining],tblDaily[EntryDate],DATE(2026,5,11),tblDaily[WardCode],"BH")),"")</f>
        <v/>
      </c>
    </row>
    <row r="174">
      <c r="A174" s="12" t="n">
        <v>12</v>
      </c>
      <c r="B174" s="12">
        <f>IFERROR(IF(SUMIFS(tblDaily[Admissions],tblDaily[EntryDate],DATE(2026,5,12),tblDaily[WardCode],"BH")=0,"",SUMIFS(tblDaily[Admissions],tblDaily[EntryDate],DATE(2026,5,12),tblDaily[WardCode],"BH")),"")</f>
        <v/>
      </c>
      <c r="C174" s="12">
        <f>IFERROR(IF(SUMIFS(tblDaily[Discharges],tblDaily[EntryDate],DATE(2026,5,12),tblDaily[WardCode],"BH")=0,"",SUMIFS(tblDaily[Discharges],tblDaily[EntryDate],DATE(2026,5,12),tblDaily[WardCode],"BH")),"")</f>
        <v/>
      </c>
      <c r="D174" s="12">
        <f>IFERROR(IF(SUMIFS(tblDaily[Deaths],tblDaily[EntryDate],DATE(2026,5,12),tblDaily[WardCode],"BH")=0,"",SUMIFS(tblDaily[Deaths],tblDaily[EntryDate],DATE(2026,5,12),tblDaily[WardCode],"BH")),"")</f>
        <v/>
      </c>
      <c r="E174" s="12">
        <f>IFERROR(IF(SUMIFS(tblDaily[DeathsUnder24Hrs],tblDaily[EntryDate],DATE(2026,5,12),tblDaily[WardCode],"BH")=0,"",SUMIFS(tblDaily[DeathsUnder24Hrs],tblDaily[EntryDate],DATE(2026,5,12),tblDaily[WardCode],"BH")),"")</f>
        <v/>
      </c>
      <c r="F174" s="12">
        <f>IFERROR(IF(SUMIFS(tblDaily[TransfersIn],tblDaily[EntryDate],DATE(2026,5,12),tblDaily[WardCode],"BH")=0,"",SUMIFS(tblDaily[TransfersIn],tblDaily[EntryDate],DATE(2026,5,12),tblDaily[WardCode],"BH")),"")</f>
        <v/>
      </c>
      <c r="G174" s="12">
        <f>IFERROR(IF(SUMIFS(tblDaily[TransfersOut],tblDaily[EntryDate],DATE(2026,5,12),tblDaily[WardCode],"BH")=0,"",SUMIFS(tblDaily[TransfersOut],tblDaily[EntryDate],DATE(2026,5,12),tblDaily[WardCode],"BH")),"")</f>
        <v/>
      </c>
      <c r="H174" s="12">
        <f>IFERROR(IF(SUMIFS(tblDaily[Remaining],tblDaily[EntryDate],DATE(2026,5,12),tblDaily[WardCode],"BH")=0,"",SUMIFS(tblDaily[Remaining],tblDaily[EntryDate],DATE(2026,5,12),tblDaily[WardCode],"BH")),"")</f>
        <v/>
      </c>
    </row>
    <row r="175">
      <c r="A175" s="12" t="n">
        <v>13</v>
      </c>
      <c r="B175" s="12">
        <f>IFERROR(IF(SUMIFS(tblDaily[Admissions],tblDaily[EntryDate],DATE(2026,5,13),tblDaily[WardCode],"BH")=0,"",SUMIFS(tblDaily[Admissions],tblDaily[EntryDate],DATE(2026,5,13),tblDaily[WardCode],"BH")),"")</f>
        <v/>
      </c>
      <c r="C175" s="12">
        <f>IFERROR(IF(SUMIFS(tblDaily[Discharges],tblDaily[EntryDate],DATE(2026,5,13),tblDaily[WardCode],"BH")=0,"",SUMIFS(tblDaily[Discharges],tblDaily[EntryDate],DATE(2026,5,13),tblDaily[WardCode],"BH")),"")</f>
        <v/>
      </c>
      <c r="D175" s="12">
        <f>IFERROR(IF(SUMIFS(tblDaily[Deaths],tblDaily[EntryDate],DATE(2026,5,13),tblDaily[WardCode],"BH")=0,"",SUMIFS(tblDaily[Deaths],tblDaily[EntryDate],DATE(2026,5,13),tblDaily[WardCode],"BH")),"")</f>
        <v/>
      </c>
      <c r="E175" s="12">
        <f>IFERROR(IF(SUMIFS(tblDaily[DeathsUnder24Hrs],tblDaily[EntryDate],DATE(2026,5,13),tblDaily[WardCode],"BH")=0,"",SUMIFS(tblDaily[DeathsUnder24Hrs],tblDaily[EntryDate],DATE(2026,5,13),tblDaily[WardCode],"BH")),"")</f>
        <v/>
      </c>
      <c r="F175" s="12">
        <f>IFERROR(IF(SUMIFS(tblDaily[TransfersIn],tblDaily[EntryDate],DATE(2026,5,13),tblDaily[WardCode],"BH")=0,"",SUMIFS(tblDaily[TransfersIn],tblDaily[EntryDate],DATE(2026,5,13),tblDaily[WardCode],"BH")),"")</f>
        <v/>
      </c>
      <c r="G175" s="12">
        <f>IFERROR(IF(SUMIFS(tblDaily[TransfersOut],tblDaily[EntryDate],DATE(2026,5,13),tblDaily[WardCode],"BH")=0,"",SUMIFS(tblDaily[TransfersOut],tblDaily[EntryDate],DATE(2026,5,13),tblDaily[WardCode],"BH")),"")</f>
        <v/>
      </c>
      <c r="H175" s="12">
        <f>IFERROR(IF(SUMIFS(tblDaily[Remaining],tblDaily[EntryDate],DATE(2026,5,13),tblDaily[WardCode],"BH")=0,"",SUMIFS(tblDaily[Remaining],tblDaily[EntryDate],DATE(2026,5,13),tblDaily[WardCode],"BH")),"")</f>
        <v/>
      </c>
    </row>
    <row r="176">
      <c r="A176" s="12" t="n">
        <v>14</v>
      </c>
      <c r="B176" s="12">
        <f>IFERROR(IF(SUMIFS(tblDaily[Admissions],tblDaily[EntryDate],DATE(2026,5,14),tblDaily[WardCode],"BH")=0,"",SUMIFS(tblDaily[Admissions],tblDaily[EntryDate],DATE(2026,5,14),tblDaily[WardCode],"BH")),"")</f>
        <v/>
      </c>
      <c r="C176" s="12">
        <f>IFERROR(IF(SUMIFS(tblDaily[Discharges],tblDaily[EntryDate],DATE(2026,5,14),tblDaily[WardCode],"BH")=0,"",SUMIFS(tblDaily[Discharges],tblDaily[EntryDate],DATE(2026,5,14),tblDaily[WardCode],"BH")),"")</f>
        <v/>
      </c>
      <c r="D176" s="12">
        <f>IFERROR(IF(SUMIFS(tblDaily[Deaths],tblDaily[EntryDate],DATE(2026,5,14),tblDaily[WardCode],"BH")=0,"",SUMIFS(tblDaily[Deaths],tblDaily[EntryDate],DATE(2026,5,14),tblDaily[WardCode],"BH")),"")</f>
        <v/>
      </c>
      <c r="E176" s="12">
        <f>IFERROR(IF(SUMIFS(tblDaily[DeathsUnder24Hrs],tblDaily[EntryDate],DATE(2026,5,14),tblDaily[WardCode],"BH")=0,"",SUMIFS(tblDaily[DeathsUnder24Hrs],tblDaily[EntryDate],DATE(2026,5,14),tblDaily[WardCode],"BH")),"")</f>
        <v/>
      </c>
      <c r="F176" s="12">
        <f>IFERROR(IF(SUMIFS(tblDaily[TransfersIn],tblDaily[EntryDate],DATE(2026,5,14),tblDaily[WardCode],"BH")=0,"",SUMIFS(tblDaily[TransfersIn],tblDaily[EntryDate],DATE(2026,5,14),tblDaily[WardCode],"BH")),"")</f>
        <v/>
      </c>
      <c r="G176" s="12">
        <f>IFERROR(IF(SUMIFS(tblDaily[TransfersOut],tblDaily[EntryDate],DATE(2026,5,14),tblDaily[WardCode],"BH")=0,"",SUMIFS(tblDaily[TransfersOut],tblDaily[EntryDate],DATE(2026,5,14),tblDaily[WardCode],"BH")),"")</f>
        <v/>
      </c>
      <c r="H176" s="12">
        <f>IFERROR(IF(SUMIFS(tblDaily[Remaining],tblDaily[EntryDate],DATE(2026,5,14),tblDaily[WardCode],"BH")=0,"",SUMIFS(tblDaily[Remaining],tblDaily[EntryDate],DATE(2026,5,14),tblDaily[WardCode],"BH")),"")</f>
        <v/>
      </c>
    </row>
    <row r="177">
      <c r="A177" s="12" t="n">
        <v>15</v>
      </c>
      <c r="B177" s="12">
        <f>IFERROR(IF(SUMIFS(tblDaily[Admissions],tblDaily[EntryDate],DATE(2026,5,15),tblDaily[WardCode],"BH")=0,"",SUMIFS(tblDaily[Admissions],tblDaily[EntryDate],DATE(2026,5,15),tblDaily[WardCode],"BH")),"")</f>
        <v/>
      </c>
      <c r="C177" s="12">
        <f>IFERROR(IF(SUMIFS(tblDaily[Discharges],tblDaily[EntryDate],DATE(2026,5,15),tblDaily[WardCode],"BH")=0,"",SUMIFS(tblDaily[Discharges],tblDaily[EntryDate],DATE(2026,5,15),tblDaily[WardCode],"BH")),"")</f>
        <v/>
      </c>
      <c r="D177" s="12">
        <f>IFERROR(IF(SUMIFS(tblDaily[Deaths],tblDaily[EntryDate],DATE(2026,5,15),tblDaily[WardCode],"BH")=0,"",SUMIFS(tblDaily[Deaths],tblDaily[EntryDate],DATE(2026,5,15),tblDaily[WardCode],"BH")),"")</f>
        <v/>
      </c>
      <c r="E177" s="12">
        <f>IFERROR(IF(SUMIFS(tblDaily[DeathsUnder24Hrs],tblDaily[EntryDate],DATE(2026,5,15),tblDaily[WardCode],"BH")=0,"",SUMIFS(tblDaily[DeathsUnder24Hrs],tblDaily[EntryDate],DATE(2026,5,15),tblDaily[WardCode],"BH")),"")</f>
        <v/>
      </c>
      <c r="F177" s="12">
        <f>IFERROR(IF(SUMIFS(tblDaily[TransfersIn],tblDaily[EntryDate],DATE(2026,5,15),tblDaily[WardCode],"BH")=0,"",SUMIFS(tblDaily[TransfersIn],tblDaily[EntryDate],DATE(2026,5,15),tblDaily[WardCode],"BH")),"")</f>
        <v/>
      </c>
      <c r="G177" s="12">
        <f>IFERROR(IF(SUMIFS(tblDaily[TransfersOut],tblDaily[EntryDate],DATE(2026,5,15),tblDaily[WardCode],"BH")=0,"",SUMIFS(tblDaily[TransfersOut],tblDaily[EntryDate],DATE(2026,5,15),tblDaily[WardCode],"BH")),"")</f>
        <v/>
      </c>
      <c r="H177" s="12">
        <f>IFERROR(IF(SUMIFS(tblDaily[Remaining],tblDaily[EntryDate],DATE(2026,5,15),tblDaily[WardCode],"BH")=0,"",SUMIFS(tblDaily[Remaining],tblDaily[EntryDate],DATE(2026,5,15),tblDaily[WardCode],"BH")),"")</f>
        <v/>
      </c>
    </row>
    <row r="178">
      <c r="A178" s="12" t="n">
        <v>16</v>
      </c>
      <c r="B178" s="12">
        <f>IFERROR(IF(SUMIFS(tblDaily[Admissions],tblDaily[EntryDate],DATE(2026,5,16),tblDaily[WardCode],"BH")=0,"",SUMIFS(tblDaily[Admissions],tblDaily[EntryDate],DATE(2026,5,16),tblDaily[WardCode],"BH")),"")</f>
        <v/>
      </c>
      <c r="C178" s="12">
        <f>IFERROR(IF(SUMIFS(tblDaily[Discharges],tblDaily[EntryDate],DATE(2026,5,16),tblDaily[WardCode],"BH")=0,"",SUMIFS(tblDaily[Discharges],tblDaily[EntryDate],DATE(2026,5,16),tblDaily[WardCode],"BH")),"")</f>
        <v/>
      </c>
      <c r="D178" s="12">
        <f>IFERROR(IF(SUMIFS(tblDaily[Deaths],tblDaily[EntryDate],DATE(2026,5,16),tblDaily[WardCode],"BH")=0,"",SUMIFS(tblDaily[Deaths],tblDaily[EntryDate],DATE(2026,5,16),tblDaily[WardCode],"BH")),"")</f>
        <v/>
      </c>
      <c r="E178" s="12">
        <f>IFERROR(IF(SUMIFS(tblDaily[DeathsUnder24Hrs],tblDaily[EntryDate],DATE(2026,5,16),tblDaily[WardCode],"BH")=0,"",SUMIFS(tblDaily[DeathsUnder24Hrs],tblDaily[EntryDate],DATE(2026,5,16),tblDaily[WardCode],"BH")),"")</f>
        <v/>
      </c>
      <c r="F178" s="12">
        <f>IFERROR(IF(SUMIFS(tblDaily[TransfersIn],tblDaily[EntryDate],DATE(2026,5,16),tblDaily[WardCode],"BH")=0,"",SUMIFS(tblDaily[TransfersIn],tblDaily[EntryDate],DATE(2026,5,16),tblDaily[WardCode],"BH")),"")</f>
        <v/>
      </c>
      <c r="G178" s="12">
        <f>IFERROR(IF(SUMIFS(tblDaily[TransfersOut],tblDaily[EntryDate],DATE(2026,5,16),tblDaily[WardCode],"BH")=0,"",SUMIFS(tblDaily[TransfersOut],tblDaily[EntryDate],DATE(2026,5,16),tblDaily[WardCode],"BH")),"")</f>
        <v/>
      </c>
      <c r="H178" s="12">
        <f>IFERROR(IF(SUMIFS(tblDaily[Remaining],tblDaily[EntryDate],DATE(2026,5,16),tblDaily[WardCode],"BH")=0,"",SUMIFS(tblDaily[Remaining],tblDaily[EntryDate],DATE(2026,5,16),tblDaily[WardCode],"BH")),"")</f>
        <v/>
      </c>
    </row>
    <row r="179">
      <c r="A179" s="12" t="n">
        <v>17</v>
      </c>
      <c r="B179" s="12">
        <f>IFERROR(IF(SUMIFS(tblDaily[Admissions],tblDaily[EntryDate],DATE(2026,5,17),tblDaily[WardCode],"BH")=0,"",SUMIFS(tblDaily[Admissions],tblDaily[EntryDate],DATE(2026,5,17),tblDaily[WardCode],"BH")),"")</f>
        <v/>
      </c>
      <c r="C179" s="12">
        <f>IFERROR(IF(SUMIFS(tblDaily[Discharges],tblDaily[EntryDate],DATE(2026,5,17),tblDaily[WardCode],"BH")=0,"",SUMIFS(tblDaily[Discharges],tblDaily[EntryDate],DATE(2026,5,17),tblDaily[WardCode],"BH")),"")</f>
        <v/>
      </c>
      <c r="D179" s="12">
        <f>IFERROR(IF(SUMIFS(tblDaily[Deaths],tblDaily[EntryDate],DATE(2026,5,17),tblDaily[WardCode],"BH")=0,"",SUMIFS(tblDaily[Deaths],tblDaily[EntryDate],DATE(2026,5,17),tblDaily[WardCode],"BH")),"")</f>
        <v/>
      </c>
      <c r="E179" s="12">
        <f>IFERROR(IF(SUMIFS(tblDaily[DeathsUnder24Hrs],tblDaily[EntryDate],DATE(2026,5,17),tblDaily[WardCode],"BH")=0,"",SUMIFS(tblDaily[DeathsUnder24Hrs],tblDaily[EntryDate],DATE(2026,5,17),tblDaily[WardCode],"BH")),"")</f>
        <v/>
      </c>
      <c r="F179" s="12">
        <f>IFERROR(IF(SUMIFS(tblDaily[TransfersIn],tblDaily[EntryDate],DATE(2026,5,17),tblDaily[WardCode],"BH")=0,"",SUMIFS(tblDaily[TransfersIn],tblDaily[EntryDate],DATE(2026,5,17),tblDaily[WardCode],"BH")),"")</f>
        <v/>
      </c>
      <c r="G179" s="12">
        <f>IFERROR(IF(SUMIFS(tblDaily[TransfersOut],tblDaily[EntryDate],DATE(2026,5,17),tblDaily[WardCode],"BH")=0,"",SUMIFS(tblDaily[TransfersOut],tblDaily[EntryDate],DATE(2026,5,17),tblDaily[WardCode],"BH")),"")</f>
        <v/>
      </c>
      <c r="H179" s="12">
        <f>IFERROR(IF(SUMIFS(tblDaily[Remaining],tblDaily[EntryDate],DATE(2026,5,17),tblDaily[WardCode],"BH")=0,"",SUMIFS(tblDaily[Remaining],tblDaily[EntryDate],DATE(2026,5,17),tblDaily[WardCode],"BH")),"")</f>
        <v/>
      </c>
    </row>
    <row r="180">
      <c r="A180" s="12" t="n">
        <v>18</v>
      </c>
      <c r="B180" s="12">
        <f>IFERROR(IF(SUMIFS(tblDaily[Admissions],tblDaily[EntryDate],DATE(2026,5,18),tblDaily[WardCode],"BH")=0,"",SUMIFS(tblDaily[Admissions],tblDaily[EntryDate],DATE(2026,5,18),tblDaily[WardCode],"BH")),"")</f>
        <v/>
      </c>
      <c r="C180" s="12">
        <f>IFERROR(IF(SUMIFS(tblDaily[Discharges],tblDaily[EntryDate],DATE(2026,5,18),tblDaily[WardCode],"BH")=0,"",SUMIFS(tblDaily[Discharges],tblDaily[EntryDate],DATE(2026,5,18),tblDaily[WardCode],"BH")),"")</f>
        <v/>
      </c>
      <c r="D180" s="12">
        <f>IFERROR(IF(SUMIFS(tblDaily[Deaths],tblDaily[EntryDate],DATE(2026,5,18),tblDaily[WardCode],"BH")=0,"",SUMIFS(tblDaily[Deaths],tblDaily[EntryDate],DATE(2026,5,18),tblDaily[WardCode],"BH")),"")</f>
        <v/>
      </c>
      <c r="E180" s="12">
        <f>IFERROR(IF(SUMIFS(tblDaily[DeathsUnder24Hrs],tblDaily[EntryDate],DATE(2026,5,18),tblDaily[WardCode],"BH")=0,"",SUMIFS(tblDaily[DeathsUnder24Hrs],tblDaily[EntryDate],DATE(2026,5,18),tblDaily[WardCode],"BH")),"")</f>
        <v/>
      </c>
      <c r="F180" s="12">
        <f>IFERROR(IF(SUMIFS(tblDaily[TransfersIn],tblDaily[EntryDate],DATE(2026,5,18),tblDaily[WardCode],"BH")=0,"",SUMIFS(tblDaily[TransfersIn],tblDaily[EntryDate],DATE(2026,5,18),tblDaily[WardCode],"BH")),"")</f>
        <v/>
      </c>
      <c r="G180" s="12">
        <f>IFERROR(IF(SUMIFS(tblDaily[TransfersOut],tblDaily[EntryDate],DATE(2026,5,18),tblDaily[WardCode],"BH")=0,"",SUMIFS(tblDaily[TransfersOut],tblDaily[EntryDate],DATE(2026,5,18),tblDaily[WardCode],"BH")),"")</f>
        <v/>
      </c>
      <c r="H180" s="12">
        <f>IFERROR(IF(SUMIFS(tblDaily[Remaining],tblDaily[EntryDate],DATE(2026,5,18),tblDaily[WardCode],"BH")=0,"",SUMIFS(tblDaily[Remaining],tblDaily[EntryDate],DATE(2026,5,18),tblDaily[WardCode],"BH")),"")</f>
        <v/>
      </c>
    </row>
    <row r="181">
      <c r="A181" s="12" t="n">
        <v>19</v>
      </c>
      <c r="B181" s="12">
        <f>IFERROR(IF(SUMIFS(tblDaily[Admissions],tblDaily[EntryDate],DATE(2026,5,19),tblDaily[WardCode],"BH")=0,"",SUMIFS(tblDaily[Admissions],tblDaily[EntryDate],DATE(2026,5,19),tblDaily[WardCode],"BH")),"")</f>
        <v/>
      </c>
      <c r="C181" s="12">
        <f>IFERROR(IF(SUMIFS(tblDaily[Discharges],tblDaily[EntryDate],DATE(2026,5,19),tblDaily[WardCode],"BH")=0,"",SUMIFS(tblDaily[Discharges],tblDaily[EntryDate],DATE(2026,5,19),tblDaily[WardCode],"BH")),"")</f>
        <v/>
      </c>
      <c r="D181" s="12">
        <f>IFERROR(IF(SUMIFS(tblDaily[Deaths],tblDaily[EntryDate],DATE(2026,5,19),tblDaily[WardCode],"BH")=0,"",SUMIFS(tblDaily[Deaths],tblDaily[EntryDate],DATE(2026,5,19),tblDaily[WardCode],"BH")),"")</f>
        <v/>
      </c>
      <c r="E181" s="12">
        <f>IFERROR(IF(SUMIFS(tblDaily[DeathsUnder24Hrs],tblDaily[EntryDate],DATE(2026,5,19),tblDaily[WardCode],"BH")=0,"",SUMIFS(tblDaily[DeathsUnder24Hrs],tblDaily[EntryDate],DATE(2026,5,19),tblDaily[WardCode],"BH")),"")</f>
        <v/>
      </c>
      <c r="F181" s="12">
        <f>IFERROR(IF(SUMIFS(tblDaily[TransfersIn],tblDaily[EntryDate],DATE(2026,5,19),tblDaily[WardCode],"BH")=0,"",SUMIFS(tblDaily[TransfersIn],tblDaily[EntryDate],DATE(2026,5,19),tblDaily[WardCode],"BH")),"")</f>
        <v/>
      </c>
      <c r="G181" s="12">
        <f>IFERROR(IF(SUMIFS(tblDaily[TransfersOut],tblDaily[EntryDate],DATE(2026,5,19),tblDaily[WardCode],"BH")=0,"",SUMIFS(tblDaily[TransfersOut],tblDaily[EntryDate],DATE(2026,5,19),tblDaily[WardCode],"BH")),"")</f>
        <v/>
      </c>
      <c r="H181" s="12">
        <f>IFERROR(IF(SUMIFS(tblDaily[Remaining],tblDaily[EntryDate],DATE(2026,5,19),tblDaily[WardCode],"BH")=0,"",SUMIFS(tblDaily[Remaining],tblDaily[EntryDate],DATE(2026,5,19),tblDaily[WardCode],"BH")),"")</f>
        <v/>
      </c>
    </row>
    <row r="182">
      <c r="A182" s="12" t="n">
        <v>20</v>
      </c>
      <c r="B182" s="12">
        <f>IFERROR(IF(SUMIFS(tblDaily[Admissions],tblDaily[EntryDate],DATE(2026,5,20),tblDaily[WardCode],"BH")=0,"",SUMIFS(tblDaily[Admissions],tblDaily[EntryDate],DATE(2026,5,20),tblDaily[WardCode],"BH")),"")</f>
        <v/>
      </c>
      <c r="C182" s="12">
        <f>IFERROR(IF(SUMIFS(tblDaily[Discharges],tblDaily[EntryDate],DATE(2026,5,20),tblDaily[WardCode],"BH")=0,"",SUMIFS(tblDaily[Discharges],tblDaily[EntryDate],DATE(2026,5,20),tblDaily[WardCode],"BH")),"")</f>
        <v/>
      </c>
      <c r="D182" s="12">
        <f>IFERROR(IF(SUMIFS(tblDaily[Deaths],tblDaily[EntryDate],DATE(2026,5,20),tblDaily[WardCode],"BH")=0,"",SUMIFS(tblDaily[Deaths],tblDaily[EntryDate],DATE(2026,5,20),tblDaily[WardCode],"BH")),"")</f>
        <v/>
      </c>
      <c r="E182" s="12">
        <f>IFERROR(IF(SUMIFS(tblDaily[DeathsUnder24Hrs],tblDaily[EntryDate],DATE(2026,5,20),tblDaily[WardCode],"BH")=0,"",SUMIFS(tblDaily[DeathsUnder24Hrs],tblDaily[EntryDate],DATE(2026,5,20),tblDaily[WardCode],"BH")),"")</f>
        <v/>
      </c>
      <c r="F182" s="12">
        <f>IFERROR(IF(SUMIFS(tblDaily[TransfersIn],tblDaily[EntryDate],DATE(2026,5,20),tblDaily[WardCode],"BH")=0,"",SUMIFS(tblDaily[TransfersIn],tblDaily[EntryDate],DATE(2026,5,20),tblDaily[WardCode],"BH")),"")</f>
        <v/>
      </c>
      <c r="G182" s="12">
        <f>IFERROR(IF(SUMIFS(tblDaily[TransfersOut],tblDaily[EntryDate],DATE(2026,5,20),tblDaily[WardCode],"BH")=0,"",SUMIFS(tblDaily[TransfersOut],tblDaily[EntryDate],DATE(2026,5,20),tblDaily[WardCode],"BH")),"")</f>
        <v/>
      </c>
      <c r="H182" s="12">
        <f>IFERROR(IF(SUMIFS(tblDaily[Remaining],tblDaily[EntryDate],DATE(2026,5,20),tblDaily[WardCode],"BH")=0,"",SUMIFS(tblDaily[Remaining],tblDaily[EntryDate],DATE(2026,5,20),tblDaily[WardCode],"BH")),"")</f>
        <v/>
      </c>
    </row>
    <row r="183">
      <c r="A183" s="12" t="n">
        <v>21</v>
      </c>
      <c r="B183" s="12">
        <f>IFERROR(IF(SUMIFS(tblDaily[Admissions],tblDaily[EntryDate],DATE(2026,5,21),tblDaily[WardCode],"BH")=0,"",SUMIFS(tblDaily[Admissions],tblDaily[EntryDate],DATE(2026,5,21),tblDaily[WardCode],"BH")),"")</f>
        <v/>
      </c>
      <c r="C183" s="12">
        <f>IFERROR(IF(SUMIFS(tblDaily[Discharges],tblDaily[EntryDate],DATE(2026,5,21),tblDaily[WardCode],"BH")=0,"",SUMIFS(tblDaily[Discharges],tblDaily[EntryDate],DATE(2026,5,21),tblDaily[WardCode],"BH")),"")</f>
        <v/>
      </c>
      <c r="D183" s="12">
        <f>IFERROR(IF(SUMIFS(tblDaily[Deaths],tblDaily[EntryDate],DATE(2026,5,21),tblDaily[WardCode],"BH")=0,"",SUMIFS(tblDaily[Deaths],tblDaily[EntryDate],DATE(2026,5,21),tblDaily[WardCode],"BH")),"")</f>
        <v/>
      </c>
      <c r="E183" s="12">
        <f>IFERROR(IF(SUMIFS(tblDaily[DeathsUnder24Hrs],tblDaily[EntryDate],DATE(2026,5,21),tblDaily[WardCode],"BH")=0,"",SUMIFS(tblDaily[DeathsUnder24Hrs],tblDaily[EntryDate],DATE(2026,5,21),tblDaily[WardCode],"BH")),"")</f>
        <v/>
      </c>
      <c r="F183" s="12">
        <f>IFERROR(IF(SUMIFS(tblDaily[TransfersIn],tblDaily[EntryDate],DATE(2026,5,21),tblDaily[WardCode],"BH")=0,"",SUMIFS(tblDaily[TransfersIn],tblDaily[EntryDate],DATE(2026,5,21),tblDaily[WardCode],"BH")),"")</f>
        <v/>
      </c>
      <c r="G183" s="12">
        <f>IFERROR(IF(SUMIFS(tblDaily[TransfersOut],tblDaily[EntryDate],DATE(2026,5,21),tblDaily[WardCode],"BH")=0,"",SUMIFS(tblDaily[TransfersOut],tblDaily[EntryDate],DATE(2026,5,21),tblDaily[WardCode],"BH")),"")</f>
        <v/>
      </c>
      <c r="H183" s="12">
        <f>IFERROR(IF(SUMIFS(tblDaily[Remaining],tblDaily[EntryDate],DATE(2026,5,21),tblDaily[WardCode],"BH")=0,"",SUMIFS(tblDaily[Remaining],tblDaily[EntryDate],DATE(2026,5,21),tblDaily[WardCode],"BH")),"")</f>
        <v/>
      </c>
    </row>
    <row r="184">
      <c r="A184" s="12" t="n">
        <v>22</v>
      </c>
      <c r="B184" s="12">
        <f>IFERROR(IF(SUMIFS(tblDaily[Admissions],tblDaily[EntryDate],DATE(2026,5,22),tblDaily[WardCode],"BH")=0,"",SUMIFS(tblDaily[Admissions],tblDaily[EntryDate],DATE(2026,5,22),tblDaily[WardCode],"BH")),"")</f>
        <v/>
      </c>
      <c r="C184" s="12">
        <f>IFERROR(IF(SUMIFS(tblDaily[Discharges],tblDaily[EntryDate],DATE(2026,5,22),tblDaily[WardCode],"BH")=0,"",SUMIFS(tblDaily[Discharges],tblDaily[EntryDate],DATE(2026,5,22),tblDaily[WardCode],"BH")),"")</f>
        <v/>
      </c>
      <c r="D184" s="12">
        <f>IFERROR(IF(SUMIFS(tblDaily[Deaths],tblDaily[EntryDate],DATE(2026,5,22),tblDaily[WardCode],"BH")=0,"",SUMIFS(tblDaily[Deaths],tblDaily[EntryDate],DATE(2026,5,22),tblDaily[WardCode],"BH")),"")</f>
        <v/>
      </c>
      <c r="E184" s="12">
        <f>IFERROR(IF(SUMIFS(tblDaily[DeathsUnder24Hrs],tblDaily[EntryDate],DATE(2026,5,22),tblDaily[WardCode],"BH")=0,"",SUMIFS(tblDaily[DeathsUnder24Hrs],tblDaily[EntryDate],DATE(2026,5,22),tblDaily[WardCode],"BH")),"")</f>
        <v/>
      </c>
      <c r="F184" s="12">
        <f>IFERROR(IF(SUMIFS(tblDaily[TransfersIn],tblDaily[EntryDate],DATE(2026,5,22),tblDaily[WardCode],"BH")=0,"",SUMIFS(tblDaily[TransfersIn],tblDaily[EntryDate],DATE(2026,5,22),tblDaily[WardCode],"BH")),"")</f>
        <v/>
      </c>
      <c r="G184" s="12">
        <f>IFERROR(IF(SUMIFS(tblDaily[TransfersOut],tblDaily[EntryDate],DATE(2026,5,22),tblDaily[WardCode],"BH")=0,"",SUMIFS(tblDaily[TransfersOut],tblDaily[EntryDate],DATE(2026,5,22),tblDaily[WardCode],"BH")),"")</f>
        <v/>
      </c>
      <c r="H184" s="12">
        <f>IFERROR(IF(SUMIFS(tblDaily[Remaining],tblDaily[EntryDate],DATE(2026,5,22),tblDaily[WardCode],"BH")=0,"",SUMIFS(tblDaily[Remaining],tblDaily[EntryDate],DATE(2026,5,22),tblDaily[WardCode],"BH")),"")</f>
        <v/>
      </c>
    </row>
    <row r="185">
      <c r="A185" s="12" t="n">
        <v>23</v>
      </c>
      <c r="B185" s="12">
        <f>IFERROR(IF(SUMIFS(tblDaily[Admissions],tblDaily[EntryDate],DATE(2026,5,23),tblDaily[WardCode],"BH")=0,"",SUMIFS(tblDaily[Admissions],tblDaily[EntryDate],DATE(2026,5,23),tblDaily[WardCode],"BH")),"")</f>
        <v/>
      </c>
      <c r="C185" s="12">
        <f>IFERROR(IF(SUMIFS(tblDaily[Discharges],tblDaily[EntryDate],DATE(2026,5,23),tblDaily[WardCode],"BH")=0,"",SUMIFS(tblDaily[Discharges],tblDaily[EntryDate],DATE(2026,5,23),tblDaily[WardCode],"BH")),"")</f>
        <v/>
      </c>
      <c r="D185" s="12">
        <f>IFERROR(IF(SUMIFS(tblDaily[Deaths],tblDaily[EntryDate],DATE(2026,5,23),tblDaily[WardCode],"BH")=0,"",SUMIFS(tblDaily[Deaths],tblDaily[EntryDate],DATE(2026,5,23),tblDaily[WardCode],"BH")),"")</f>
        <v/>
      </c>
      <c r="E185" s="12">
        <f>IFERROR(IF(SUMIFS(tblDaily[DeathsUnder24Hrs],tblDaily[EntryDate],DATE(2026,5,23),tblDaily[WardCode],"BH")=0,"",SUMIFS(tblDaily[DeathsUnder24Hrs],tblDaily[EntryDate],DATE(2026,5,23),tblDaily[WardCode],"BH")),"")</f>
        <v/>
      </c>
      <c r="F185" s="12">
        <f>IFERROR(IF(SUMIFS(tblDaily[TransfersIn],tblDaily[EntryDate],DATE(2026,5,23),tblDaily[WardCode],"BH")=0,"",SUMIFS(tblDaily[TransfersIn],tblDaily[EntryDate],DATE(2026,5,23),tblDaily[WardCode],"BH")),"")</f>
        <v/>
      </c>
      <c r="G185" s="12">
        <f>IFERROR(IF(SUMIFS(tblDaily[TransfersOut],tblDaily[EntryDate],DATE(2026,5,23),tblDaily[WardCode],"BH")=0,"",SUMIFS(tblDaily[TransfersOut],tblDaily[EntryDate],DATE(2026,5,23),tblDaily[WardCode],"BH")),"")</f>
        <v/>
      </c>
      <c r="H185" s="12">
        <f>IFERROR(IF(SUMIFS(tblDaily[Remaining],tblDaily[EntryDate],DATE(2026,5,23),tblDaily[WardCode],"BH")=0,"",SUMIFS(tblDaily[Remaining],tblDaily[EntryDate],DATE(2026,5,23),tblDaily[WardCode],"BH")),"")</f>
        <v/>
      </c>
    </row>
    <row r="186">
      <c r="A186" s="12" t="n">
        <v>24</v>
      </c>
      <c r="B186" s="12">
        <f>IFERROR(IF(SUMIFS(tblDaily[Admissions],tblDaily[EntryDate],DATE(2026,5,24),tblDaily[WardCode],"BH")=0,"",SUMIFS(tblDaily[Admissions],tblDaily[EntryDate],DATE(2026,5,24),tblDaily[WardCode],"BH")),"")</f>
        <v/>
      </c>
      <c r="C186" s="12">
        <f>IFERROR(IF(SUMIFS(tblDaily[Discharges],tblDaily[EntryDate],DATE(2026,5,24),tblDaily[WardCode],"BH")=0,"",SUMIFS(tblDaily[Discharges],tblDaily[EntryDate],DATE(2026,5,24),tblDaily[WardCode],"BH")),"")</f>
        <v/>
      </c>
      <c r="D186" s="12">
        <f>IFERROR(IF(SUMIFS(tblDaily[Deaths],tblDaily[EntryDate],DATE(2026,5,24),tblDaily[WardCode],"BH")=0,"",SUMIFS(tblDaily[Deaths],tblDaily[EntryDate],DATE(2026,5,24),tblDaily[WardCode],"BH")),"")</f>
        <v/>
      </c>
      <c r="E186" s="12">
        <f>IFERROR(IF(SUMIFS(tblDaily[DeathsUnder24Hrs],tblDaily[EntryDate],DATE(2026,5,24),tblDaily[WardCode],"BH")=0,"",SUMIFS(tblDaily[DeathsUnder24Hrs],tblDaily[EntryDate],DATE(2026,5,24),tblDaily[WardCode],"BH")),"")</f>
        <v/>
      </c>
      <c r="F186" s="12">
        <f>IFERROR(IF(SUMIFS(tblDaily[TransfersIn],tblDaily[EntryDate],DATE(2026,5,24),tblDaily[WardCode],"BH")=0,"",SUMIFS(tblDaily[TransfersIn],tblDaily[EntryDate],DATE(2026,5,24),tblDaily[WardCode],"BH")),"")</f>
        <v/>
      </c>
      <c r="G186" s="12">
        <f>IFERROR(IF(SUMIFS(tblDaily[TransfersOut],tblDaily[EntryDate],DATE(2026,5,24),tblDaily[WardCode],"BH")=0,"",SUMIFS(tblDaily[TransfersOut],tblDaily[EntryDate],DATE(2026,5,24),tblDaily[WardCode],"BH")),"")</f>
        <v/>
      </c>
      <c r="H186" s="12">
        <f>IFERROR(IF(SUMIFS(tblDaily[Remaining],tblDaily[EntryDate],DATE(2026,5,24),tblDaily[WardCode],"BH")=0,"",SUMIFS(tblDaily[Remaining],tblDaily[EntryDate],DATE(2026,5,24),tblDaily[WardCode],"BH")),"")</f>
        <v/>
      </c>
    </row>
    <row r="187">
      <c r="A187" s="12" t="n">
        <v>25</v>
      </c>
      <c r="B187" s="12">
        <f>IFERROR(IF(SUMIFS(tblDaily[Admissions],tblDaily[EntryDate],DATE(2026,5,25),tblDaily[WardCode],"BH")=0,"",SUMIFS(tblDaily[Admissions],tblDaily[EntryDate],DATE(2026,5,25),tblDaily[WardCode],"BH")),"")</f>
        <v/>
      </c>
      <c r="C187" s="12">
        <f>IFERROR(IF(SUMIFS(tblDaily[Discharges],tblDaily[EntryDate],DATE(2026,5,25),tblDaily[WardCode],"BH")=0,"",SUMIFS(tblDaily[Discharges],tblDaily[EntryDate],DATE(2026,5,25),tblDaily[WardCode],"BH")),"")</f>
        <v/>
      </c>
      <c r="D187" s="12">
        <f>IFERROR(IF(SUMIFS(tblDaily[Deaths],tblDaily[EntryDate],DATE(2026,5,25),tblDaily[WardCode],"BH")=0,"",SUMIFS(tblDaily[Deaths],tblDaily[EntryDate],DATE(2026,5,25),tblDaily[WardCode],"BH")),"")</f>
        <v/>
      </c>
      <c r="E187" s="12">
        <f>IFERROR(IF(SUMIFS(tblDaily[DeathsUnder24Hrs],tblDaily[EntryDate],DATE(2026,5,25),tblDaily[WardCode],"BH")=0,"",SUMIFS(tblDaily[DeathsUnder24Hrs],tblDaily[EntryDate],DATE(2026,5,25),tblDaily[WardCode],"BH")),"")</f>
        <v/>
      </c>
      <c r="F187" s="12">
        <f>IFERROR(IF(SUMIFS(tblDaily[TransfersIn],tblDaily[EntryDate],DATE(2026,5,25),tblDaily[WardCode],"BH")=0,"",SUMIFS(tblDaily[TransfersIn],tblDaily[EntryDate],DATE(2026,5,25),tblDaily[WardCode],"BH")),"")</f>
        <v/>
      </c>
      <c r="G187" s="12">
        <f>IFERROR(IF(SUMIFS(tblDaily[TransfersOut],tblDaily[EntryDate],DATE(2026,5,25),tblDaily[WardCode],"BH")=0,"",SUMIFS(tblDaily[TransfersOut],tblDaily[EntryDate],DATE(2026,5,25),tblDaily[WardCode],"BH")),"")</f>
        <v/>
      </c>
      <c r="H187" s="12">
        <f>IFERROR(IF(SUMIFS(tblDaily[Remaining],tblDaily[EntryDate],DATE(2026,5,25),tblDaily[WardCode],"BH")=0,"",SUMIFS(tblDaily[Remaining],tblDaily[EntryDate],DATE(2026,5,25),tblDaily[WardCode],"BH")),"")</f>
        <v/>
      </c>
    </row>
    <row r="188">
      <c r="A188" s="12" t="n">
        <v>26</v>
      </c>
      <c r="B188" s="12">
        <f>IFERROR(IF(SUMIFS(tblDaily[Admissions],tblDaily[EntryDate],DATE(2026,5,26),tblDaily[WardCode],"BH")=0,"",SUMIFS(tblDaily[Admissions],tblDaily[EntryDate],DATE(2026,5,26),tblDaily[WardCode],"BH")),"")</f>
        <v/>
      </c>
      <c r="C188" s="12">
        <f>IFERROR(IF(SUMIFS(tblDaily[Discharges],tblDaily[EntryDate],DATE(2026,5,26),tblDaily[WardCode],"BH")=0,"",SUMIFS(tblDaily[Discharges],tblDaily[EntryDate],DATE(2026,5,26),tblDaily[WardCode],"BH")),"")</f>
        <v/>
      </c>
      <c r="D188" s="12">
        <f>IFERROR(IF(SUMIFS(tblDaily[Deaths],tblDaily[EntryDate],DATE(2026,5,26),tblDaily[WardCode],"BH")=0,"",SUMIFS(tblDaily[Deaths],tblDaily[EntryDate],DATE(2026,5,26),tblDaily[WardCode],"BH")),"")</f>
        <v/>
      </c>
      <c r="E188" s="12">
        <f>IFERROR(IF(SUMIFS(tblDaily[DeathsUnder24Hrs],tblDaily[EntryDate],DATE(2026,5,26),tblDaily[WardCode],"BH")=0,"",SUMIFS(tblDaily[DeathsUnder24Hrs],tblDaily[EntryDate],DATE(2026,5,26),tblDaily[WardCode],"BH")),"")</f>
        <v/>
      </c>
      <c r="F188" s="12">
        <f>IFERROR(IF(SUMIFS(tblDaily[TransfersIn],tblDaily[EntryDate],DATE(2026,5,26),tblDaily[WardCode],"BH")=0,"",SUMIFS(tblDaily[TransfersIn],tblDaily[EntryDate],DATE(2026,5,26),tblDaily[WardCode],"BH")),"")</f>
        <v/>
      </c>
      <c r="G188" s="12">
        <f>IFERROR(IF(SUMIFS(tblDaily[TransfersOut],tblDaily[EntryDate],DATE(2026,5,26),tblDaily[WardCode],"BH")=0,"",SUMIFS(tblDaily[TransfersOut],tblDaily[EntryDate],DATE(2026,5,26),tblDaily[WardCode],"BH")),"")</f>
        <v/>
      </c>
      <c r="H188" s="12">
        <f>IFERROR(IF(SUMIFS(tblDaily[Remaining],tblDaily[EntryDate],DATE(2026,5,26),tblDaily[WardCode],"BH")=0,"",SUMIFS(tblDaily[Remaining],tblDaily[EntryDate],DATE(2026,5,26),tblDaily[WardCode],"BH")),"")</f>
        <v/>
      </c>
    </row>
    <row r="189">
      <c r="A189" s="12" t="n">
        <v>27</v>
      </c>
      <c r="B189" s="12">
        <f>IFERROR(IF(SUMIFS(tblDaily[Admissions],tblDaily[EntryDate],DATE(2026,5,27),tblDaily[WardCode],"BH")=0,"",SUMIFS(tblDaily[Admissions],tblDaily[EntryDate],DATE(2026,5,27),tblDaily[WardCode],"BH")),"")</f>
        <v/>
      </c>
      <c r="C189" s="12">
        <f>IFERROR(IF(SUMIFS(tblDaily[Discharges],tblDaily[EntryDate],DATE(2026,5,27),tblDaily[WardCode],"BH")=0,"",SUMIFS(tblDaily[Discharges],tblDaily[EntryDate],DATE(2026,5,27),tblDaily[WardCode],"BH")),"")</f>
        <v/>
      </c>
      <c r="D189" s="12">
        <f>IFERROR(IF(SUMIFS(tblDaily[Deaths],tblDaily[EntryDate],DATE(2026,5,27),tblDaily[WardCode],"BH")=0,"",SUMIFS(tblDaily[Deaths],tblDaily[EntryDate],DATE(2026,5,27),tblDaily[WardCode],"BH")),"")</f>
        <v/>
      </c>
      <c r="E189" s="12">
        <f>IFERROR(IF(SUMIFS(tblDaily[DeathsUnder24Hrs],tblDaily[EntryDate],DATE(2026,5,27),tblDaily[WardCode],"BH")=0,"",SUMIFS(tblDaily[DeathsUnder24Hrs],tblDaily[EntryDate],DATE(2026,5,27),tblDaily[WardCode],"BH")),"")</f>
        <v/>
      </c>
      <c r="F189" s="12">
        <f>IFERROR(IF(SUMIFS(tblDaily[TransfersIn],tblDaily[EntryDate],DATE(2026,5,27),tblDaily[WardCode],"BH")=0,"",SUMIFS(tblDaily[TransfersIn],tblDaily[EntryDate],DATE(2026,5,27),tblDaily[WardCode],"BH")),"")</f>
        <v/>
      </c>
      <c r="G189" s="12">
        <f>IFERROR(IF(SUMIFS(tblDaily[TransfersOut],tblDaily[EntryDate],DATE(2026,5,27),tblDaily[WardCode],"BH")=0,"",SUMIFS(tblDaily[TransfersOut],tblDaily[EntryDate],DATE(2026,5,27),tblDaily[WardCode],"BH")),"")</f>
        <v/>
      </c>
      <c r="H189" s="12">
        <f>IFERROR(IF(SUMIFS(tblDaily[Remaining],tblDaily[EntryDate],DATE(2026,5,27),tblDaily[WardCode],"BH")=0,"",SUMIFS(tblDaily[Remaining],tblDaily[EntryDate],DATE(2026,5,27),tblDaily[WardCode],"BH")),"")</f>
        <v/>
      </c>
    </row>
    <row r="190">
      <c r="A190" s="12" t="n">
        <v>28</v>
      </c>
      <c r="B190" s="12">
        <f>IFERROR(IF(SUMIFS(tblDaily[Admissions],tblDaily[EntryDate],DATE(2026,5,28),tblDaily[WardCode],"BH")=0,"",SUMIFS(tblDaily[Admissions],tblDaily[EntryDate],DATE(2026,5,28),tblDaily[WardCode],"BH")),"")</f>
        <v/>
      </c>
      <c r="C190" s="12">
        <f>IFERROR(IF(SUMIFS(tblDaily[Discharges],tblDaily[EntryDate],DATE(2026,5,28),tblDaily[WardCode],"BH")=0,"",SUMIFS(tblDaily[Discharges],tblDaily[EntryDate],DATE(2026,5,28),tblDaily[WardCode],"BH")),"")</f>
        <v/>
      </c>
      <c r="D190" s="12">
        <f>IFERROR(IF(SUMIFS(tblDaily[Deaths],tblDaily[EntryDate],DATE(2026,5,28),tblDaily[WardCode],"BH")=0,"",SUMIFS(tblDaily[Deaths],tblDaily[EntryDate],DATE(2026,5,28),tblDaily[WardCode],"BH")),"")</f>
        <v/>
      </c>
      <c r="E190" s="12">
        <f>IFERROR(IF(SUMIFS(tblDaily[DeathsUnder24Hrs],tblDaily[EntryDate],DATE(2026,5,28),tblDaily[WardCode],"BH")=0,"",SUMIFS(tblDaily[DeathsUnder24Hrs],tblDaily[EntryDate],DATE(2026,5,28),tblDaily[WardCode],"BH")),"")</f>
        <v/>
      </c>
      <c r="F190" s="12">
        <f>IFERROR(IF(SUMIFS(tblDaily[TransfersIn],tblDaily[EntryDate],DATE(2026,5,28),tblDaily[WardCode],"BH")=0,"",SUMIFS(tblDaily[TransfersIn],tblDaily[EntryDate],DATE(2026,5,28),tblDaily[WardCode],"BH")),"")</f>
        <v/>
      </c>
      <c r="G190" s="12">
        <f>IFERROR(IF(SUMIFS(tblDaily[TransfersOut],tblDaily[EntryDate],DATE(2026,5,28),tblDaily[WardCode],"BH")=0,"",SUMIFS(tblDaily[TransfersOut],tblDaily[EntryDate],DATE(2026,5,28),tblDaily[WardCode],"BH")),"")</f>
        <v/>
      </c>
      <c r="H190" s="12">
        <f>IFERROR(IF(SUMIFS(tblDaily[Remaining],tblDaily[EntryDate],DATE(2026,5,28),tblDaily[WardCode],"BH")=0,"",SUMIFS(tblDaily[Remaining],tblDaily[EntryDate],DATE(2026,5,28),tblDaily[WardCode],"BH")),"")</f>
        <v/>
      </c>
    </row>
    <row r="191">
      <c r="A191" s="12" t="n">
        <v>29</v>
      </c>
      <c r="B191" s="12">
        <f>IFERROR(IF(SUMIFS(tblDaily[Admissions],tblDaily[EntryDate],DATE(2026,5,29),tblDaily[WardCode],"BH")=0,"",SUMIFS(tblDaily[Admissions],tblDaily[EntryDate],DATE(2026,5,29),tblDaily[WardCode],"BH")),"")</f>
        <v/>
      </c>
      <c r="C191" s="12">
        <f>IFERROR(IF(SUMIFS(tblDaily[Discharges],tblDaily[EntryDate],DATE(2026,5,29),tblDaily[WardCode],"BH")=0,"",SUMIFS(tblDaily[Discharges],tblDaily[EntryDate],DATE(2026,5,29),tblDaily[WardCode],"BH")),"")</f>
        <v/>
      </c>
      <c r="D191" s="12">
        <f>IFERROR(IF(SUMIFS(tblDaily[Deaths],tblDaily[EntryDate],DATE(2026,5,29),tblDaily[WardCode],"BH")=0,"",SUMIFS(tblDaily[Deaths],tblDaily[EntryDate],DATE(2026,5,29),tblDaily[WardCode],"BH")),"")</f>
        <v/>
      </c>
      <c r="E191" s="12">
        <f>IFERROR(IF(SUMIFS(tblDaily[DeathsUnder24Hrs],tblDaily[EntryDate],DATE(2026,5,29),tblDaily[WardCode],"BH")=0,"",SUMIFS(tblDaily[DeathsUnder24Hrs],tblDaily[EntryDate],DATE(2026,5,29),tblDaily[WardCode],"BH")),"")</f>
        <v/>
      </c>
      <c r="F191" s="12">
        <f>IFERROR(IF(SUMIFS(tblDaily[TransfersIn],tblDaily[EntryDate],DATE(2026,5,29),tblDaily[WardCode],"BH")=0,"",SUMIFS(tblDaily[TransfersIn],tblDaily[EntryDate],DATE(2026,5,29),tblDaily[WardCode],"BH")),"")</f>
        <v/>
      </c>
      <c r="G191" s="12">
        <f>IFERROR(IF(SUMIFS(tblDaily[TransfersOut],tblDaily[EntryDate],DATE(2026,5,29),tblDaily[WardCode],"BH")=0,"",SUMIFS(tblDaily[TransfersOut],tblDaily[EntryDate],DATE(2026,5,29),tblDaily[WardCode],"BH")),"")</f>
        <v/>
      </c>
      <c r="H191" s="12">
        <f>IFERROR(IF(SUMIFS(tblDaily[Remaining],tblDaily[EntryDate],DATE(2026,5,29),tblDaily[WardCode],"BH")=0,"",SUMIFS(tblDaily[Remaining],tblDaily[EntryDate],DATE(2026,5,29),tblDaily[WardCode],"BH")),"")</f>
        <v/>
      </c>
    </row>
    <row r="192">
      <c r="A192" s="12" t="n">
        <v>30</v>
      </c>
      <c r="B192" s="12">
        <f>IFERROR(IF(SUMIFS(tblDaily[Admissions],tblDaily[EntryDate],DATE(2026,5,30),tblDaily[WardCode],"BH")=0,"",SUMIFS(tblDaily[Admissions],tblDaily[EntryDate],DATE(2026,5,30),tblDaily[WardCode],"BH")),"")</f>
        <v/>
      </c>
      <c r="C192" s="12">
        <f>IFERROR(IF(SUMIFS(tblDaily[Discharges],tblDaily[EntryDate],DATE(2026,5,30),tblDaily[WardCode],"BH")=0,"",SUMIFS(tblDaily[Discharges],tblDaily[EntryDate],DATE(2026,5,30),tblDaily[WardCode],"BH")),"")</f>
        <v/>
      </c>
      <c r="D192" s="12">
        <f>IFERROR(IF(SUMIFS(tblDaily[Deaths],tblDaily[EntryDate],DATE(2026,5,30),tblDaily[WardCode],"BH")=0,"",SUMIFS(tblDaily[Deaths],tblDaily[EntryDate],DATE(2026,5,30),tblDaily[WardCode],"BH")),"")</f>
        <v/>
      </c>
      <c r="E192" s="12">
        <f>IFERROR(IF(SUMIFS(tblDaily[DeathsUnder24Hrs],tblDaily[EntryDate],DATE(2026,5,30),tblDaily[WardCode],"BH")=0,"",SUMIFS(tblDaily[DeathsUnder24Hrs],tblDaily[EntryDate],DATE(2026,5,30),tblDaily[WardCode],"BH")),"")</f>
        <v/>
      </c>
      <c r="F192" s="12">
        <f>IFERROR(IF(SUMIFS(tblDaily[TransfersIn],tblDaily[EntryDate],DATE(2026,5,30),tblDaily[WardCode],"BH")=0,"",SUMIFS(tblDaily[TransfersIn],tblDaily[EntryDate],DATE(2026,5,30),tblDaily[WardCode],"BH")),"")</f>
        <v/>
      </c>
      <c r="G192" s="12">
        <f>IFERROR(IF(SUMIFS(tblDaily[TransfersOut],tblDaily[EntryDate],DATE(2026,5,30),tblDaily[WardCode],"BH")=0,"",SUMIFS(tblDaily[TransfersOut],tblDaily[EntryDate],DATE(2026,5,30),tblDaily[WardCode],"BH")),"")</f>
        <v/>
      </c>
      <c r="H192" s="12">
        <f>IFERROR(IF(SUMIFS(tblDaily[Remaining],tblDaily[EntryDate],DATE(2026,5,30),tblDaily[WardCode],"BH")=0,"",SUMIFS(tblDaily[Remaining],tblDaily[EntryDate],DATE(2026,5,30),tblDaily[WardCode],"BH")),"")</f>
        <v/>
      </c>
    </row>
    <row r="193">
      <c r="A193" s="12" t="n">
        <v>31</v>
      </c>
      <c r="B193" s="12">
        <f>IFERROR(IF(SUMIFS(tblDaily[Admissions],tblDaily[EntryDate],DATE(2026,5,31),tblDaily[WardCode],"BH")=0,"",SUMIFS(tblDaily[Admissions],tblDaily[EntryDate],DATE(2026,5,31),tblDaily[WardCode],"BH")),"")</f>
        <v/>
      </c>
      <c r="C193" s="12">
        <f>IFERROR(IF(SUMIFS(tblDaily[Discharges],tblDaily[EntryDate],DATE(2026,5,31),tblDaily[WardCode],"BH")=0,"",SUMIFS(tblDaily[Discharges],tblDaily[EntryDate],DATE(2026,5,31),tblDaily[WardCode],"BH")),"")</f>
        <v/>
      </c>
      <c r="D193" s="12">
        <f>IFERROR(IF(SUMIFS(tblDaily[Deaths],tblDaily[EntryDate],DATE(2026,5,31),tblDaily[WardCode],"BH")=0,"",SUMIFS(tblDaily[Deaths],tblDaily[EntryDate],DATE(2026,5,31),tblDaily[WardCode],"BH")),"")</f>
        <v/>
      </c>
      <c r="E193" s="12">
        <f>IFERROR(IF(SUMIFS(tblDaily[DeathsUnder24Hrs],tblDaily[EntryDate],DATE(2026,5,31),tblDaily[WardCode],"BH")=0,"",SUMIFS(tblDaily[DeathsUnder24Hrs],tblDaily[EntryDate],DATE(2026,5,31),tblDaily[WardCode],"BH")),"")</f>
        <v/>
      </c>
      <c r="F193" s="12">
        <f>IFERROR(IF(SUMIFS(tblDaily[TransfersIn],tblDaily[EntryDate],DATE(2026,5,31),tblDaily[WardCode],"BH")=0,"",SUMIFS(tblDaily[TransfersIn],tblDaily[EntryDate],DATE(2026,5,31),tblDaily[WardCode],"BH")),"")</f>
        <v/>
      </c>
      <c r="G193" s="12">
        <f>IFERROR(IF(SUMIFS(tblDaily[TransfersOut],tblDaily[EntryDate],DATE(2026,5,31),tblDaily[WardCode],"BH")=0,"",SUMIFS(tblDaily[TransfersOut],tblDaily[EntryDate],DATE(2026,5,31),tblDaily[WardCode],"BH")),"")</f>
        <v/>
      </c>
      <c r="H193" s="12">
        <f>IFERROR(IF(SUMIFS(tblDaily[Remaining],tblDaily[EntryDate],DATE(2026,5,31),tblDaily[WardCode],"BH")=0,"",SUMIFS(tblDaily[Remaining],tblDaily[EntryDate],DATE(2026,5,31),tblDaily[WardCode],"BH")),"")</f>
        <v/>
      </c>
    </row>
    <row r="194">
      <c r="A194" s="17" t="inlineStr">
        <is>
          <t>TOTAL</t>
        </is>
      </c>
      <c r="B194" s="17">
        <f>SUMIFS(tblDaily[Admissions],tblDaily[Month],5,tblDaily[WardCode],"BH") - SUMIFS(tblDaily[DeathsUnder24Hrs],tblDaily[Month],5,tblDaily[WardCode],"BH")</f>
        <v/>
      </c>
      <c r="C194" s="17">
        <f>SUMIFS(tblDaily[Discharges],tblDaily[Month],5,tblDaily[WardCode],"BH")</f>
        <v/>
      </c>
      <c r="D194" s="17">
        <f>SUMIFS(tblDaily[Deaths],tblDaily[Month],5,tblDaily[WardCode],"BH")</f>
        <v/>
      </c>
      <c r="E194" s="17">
        <f>SUMIFS(tblDaily[DeathsUnder24Hrs],tblDaily[Month],5,tblDaily[WardCode],"BH")</f>
        <v/>
      </c>
      <c r="F194" s="17">
        <f>SUMIFS(tblDaily[TransfersIn],tblDaily[Month],5,tblDaily[WardCode],"BH")</f>
        <v/>
      </c>
      <c r="G194" s="17">
        <f>SUMIFS(tblDaily[TransfersOut],tblDaily[Month],5,tblDaily[WardCode],"BH")</f>
        <v/>
      </c>
      <c r="H194" s="17">
        <f>SUMIFS(tblDaily[Remaining],tblDaily[Month],5,tblDaily[WardCode],"BH")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BLOCK H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4">
        <f>IFERROR(SUMIFS(tblDaily[Remaining],tblDaily[EntryDate],DATE(2026,5,31),tblDaily[WardCode],"BH"),0)</f>
        <v/>
      </c>
    </row>
    <row r="200">
      <c r="A200" s="4" t="inlineStr">
        <is>
          <t>Bed complement</t>
        </is>
      </c>
      <c r="H200" s="15">
        <f>IFERROR(INDEX(tblWardConfig[BedComplement],MATCH("BH",tblWardConfig[WardCode],0)),0)</f>
        <v/>
      </c>
    </row>
    <row r="201">
      <c r="A201" s="16" t="inlineStr">
        <is>
          <t>Day of
the
Month</t>
        </is>
      </c>
      <c r="B201" s="16" t="inlineStr">
        <is>
          <t>Admissions</t>
        </is>
      </c>
      <c r="C201" s="16" t="inlineStr">
        <is>
          <t>Discharges</t>
        </is>
      </c>
      <c r="D201" s="16" t="inlineStr">
        <is>
          <t>Deaths</t>
        </is>
      </c>
      <c r="E201" s="16" t="inlineStr">
        <is>
          <t>Deaths
&lt;24Hrs</t>
        </is>
      </c>
      <c r="F201" s="16" t="inlineStr">
        <is>
          <t>Transfers-
In</t>
        </is>
      </c>
      <c r="G201" s="16" t="inlineStr">
        <is>
          <t>Transfers-
Out</t>
        </is>
      </c>
      <c r="H201" s="16" t="inlineStr">
        <is>
          <t>No. of Patients
Remaining In
Ward</t>
        </is>
      </c>
    </row>
    <row r="202">
      <c r="A202" s="12" t="n">
        <v>1</v>
      </c>
      <c r="B202" s="12">
        <f>IFERROR(IF(SUMIFS(tblDaily[Admissions],tblDaily[EntryDate],DATE(2026,6,1),tblDaily[WardCode],"BH")=0,"",SUMIFS(tblDaily[Admissions],tblDaily[EntryDate],DATE(2026,6,1),tblDaily[WardCode],"BH")),"")</f>
        <v/>
      </c>
      <c r="C202" s="12">
        <f>IFERROR(IF(SUMIFS(tblDaily[Discharges],tblDaily[EntryDate],DATE(2026,6,1),tblDaily[WardCode],"BH")=0,"",SUMIFS(tblDaily[Discharges],tblDaily[EntryDate],DATE(2026,6,1),tblDaily[WardCode],"BH")),"")</f>
        <v/>
      </c>
      <c r="D202" s="12">
        <f>IFERROR(IF(SUMIFS(tblDaily[Deaths],tblDaily[EntryDate],DATE(2026,6,1),tblDaily[WardCode],"BH")=0,"",SUMIFS(tblDaily[Deaths],tblDaily[EntryDate],DATE(2026,6,1),tblDaily[WardCode],"BH")),"")</f>
        <v/>
      </c>
      <c r="E202" s="12">
        <f>IFERROR(IF(SUMIFS(tblDaily[DeathsUnder24Hrs],tblDaily[EntryDate],DATE(2026,6,1),tblDaily[WardCode],"BH")=0,"",SUMIFS(tblDaily[DeathsUnder24Hrs],tblDaily[EntryDate],DATE(2026,6,1),tblDaily[WardCode],"BH")),"")</f>
        <v/>
      </c>
      <c r="F202" s="12">
        <f>IFERROR(IF(SUMIFS(tblDaily[TransfersIn],tblDaily[EntryDate],DATE(2026,6,1),tblDaily[WardCode],"BH")=0,"",SUMIFS(tblDaily[TransfersIn],tblDaily[EntryDate],DATE(2026,6,1),tblDaily[WardCode],"BH")),"")</f>
        <v/>
      </c>
      <c r="G202" s="12">
        <f>IFERROR(IF(SUMIFS(tblDaily[TransfersOut],tblDaily[EntryDate],DATE(2026,6,1),tblDaily[WardCode],"BH")=0,"",SUMIFS(tblDaily[TransfersOut],tblDaily[EntryDate],DATE(2026,6,1),tblDaily[WardCode],"BH")),"")</f>
        <v/>
      </c>
      <c r="H202" s="12">
        <f>IFERROR(IF(SUMIFS(tblDaily[Remaining],tblDaily[EntryDate],DATE(2026,6,1),tblDaily[WardCode],"BH")=0,"",SUMIFS(tblDaily[Remaining],tblDaily[EntryDate],DATE(2026,6,1),tblDaily[WardCode],"BH")),"")</f>
        <v/>
      </c>
    </row>
    <row r="203">
      <c r="A203" s="12" t="n">
        <v>2</v>
      </c>
      <c r="B203" s="12">
        <f>IFERROR(IF(SUMIFS(tblDaily[Admissions],tblDaily[EntryDate],DATE(2026,6,2),tblDaily[WardCode],"BH")=0,"",SUMIFS(tblDaily[Admissions],tblDaily[EntryDate],DATE(2026,6,2),tblDaily[WardCode],"BH")),"")</f>
        <v/>
      </c>
      <c r="C203" s="12">
        <f>IFERROR(IF(SUMIFS(tblDaily[Discharges],tblDaily[EntryDate],DATE(2026,6,2),tblDaily[WardCode],"BH")=0,"",SUMIFS(tblDaily[Discharges],tblDaily[EntryDate],DATE(2026,6,2),tblDaily[WardCode],"BH")),"")</f>
        <v/>
      </c>
      <c r="D203" s="12">
        <f>IFERROR(IF(SUMIFS(tblDaily[Deaths],tblDaily[EntryDate],DATE(2026,6,2),tblDaily[WardCode],"BH")=0,"",SUMIFS(tblDaily[Deaths],tblDaily[EntryDate],DATE(2026,6,2),tblDaily[WardCode],"BH")),"")</f>
        <v/>
      </c>
      <c r="E203" s="12">
        <f>IFERROR(IF(SUMIFS(tblDaily[DeathsUnder24Hrs],tblDaily[EntryDate],DATE(2026,6,2),tblDaily[WardCode],"BH")=0,"",SUMIFS(tblDaily[DeathsUnder24Hrs],tblDaily[EntryDate],DATE(2026,6,2),tblDaily[WardCode],"BH")),"")</f>
        <v/>
      </c>
      <c r="F203" s="12">
        <f>IFERROR(IF(SUMIFS(tblDaily[TransfersIn],tblDaily[EntryDate],DATE(2026,6,2),tblDaily[WardCode],"BH")=0,"",SUMIFS(tblDaily[TransfersIn],tblDaily[EntryDate],DATE(2026,6,2),tblDaily[WardCode],"BH")),"")</f>
        <v/>
      </c>
      <c r="G203" s="12">
        <f>IFERROR(IF(SUMIFS(tblDaily[TransfersOut],tblDaily[EntryDate],DATE(2026,6,2),tblDaily[WardCode],"BH")=0,"",SUMIFS(tblDaily[TransfersOut],tblDaily[EntryDate],DATE(2026,6,2),tblDaily[WardCode],"BH")),"")</f>
        <v/>
      </c>
      <c r="H203" s="12">
        <f>IFERROR(IF(SUMIFS(tblDaily[Remaining],tblDaily[EntryDate],DATE(2026,6,2),tblDaily[WardCode],"BH")=0,"",SUMIFS(tblDaily[Remaining],tblDaily[EntryDate],DATE(2026,6,2),tblDaily[WardCode],"BH")),"")</f>
        <v/>
      </c>
    </row>
    <row r="204">
      <c r="A204" s="12" t="n">
        <v>3</v>
      </c>
      <c r="B204" s="12">
        <f>IFERROR(IF(SUMIFS(tblDaily[Admissions],tblDaily[EntryDate],DATE(2026,6,3),tblDaily[WardCode],"BH")=0,"",SUMIFS(tblDaily[Admissions],tblDaily[EntryDate],DATE(2026,6,3),tblDaily[WardCode],"BH")),"")</f>
        <v/>
      </c>
      <c r="C204" s="12">
        <f>IFERROR(IF(SUMIFS(tblDaily[Discharges],tblDaily[EntryDate],DATE(2026,6,3),tblDaily[WardCode],"BH")=0,"",SUMIFS(tblDaily[Discharges],tblDaily[EntryDate],DATE(2026,6,3),tblDaily[WardCode],"BH")),"")</f>
        <v/>
      </c>
      <c r="D204" s="12">
        <f>IFERROR(IF(SUMIFS(tblDaily[Deaths],tblDaily[EntryDate],DATE(2026,6,3),tblDaily[WardCode],"BH")=0,"",SUMIFS(tblDaily[Deaths],tblDaily[EntryDate],DATE(2026,6,3),tblDaily[WardCode],"BH")),"")</f>
        <v/>
      </c>
      <c r="E204" s="12">
        <f>IFERROR(IF(SUMIFS(tblDaily[DeathsUnder24Hrs],tblDaily[EntryDate],DATE(2026,6,3),tblDaily[WardCode],"BH")=0,"",SUMIFS(tblDaily[DeathsUnder24Hrs],tblDaily[EntryDate],DATE(2026,6,3),tblDaily[WardCode],"BH")),"")</f>
        <v/>
      </c>
      <c r="F204" s="12">
        <f>IFERROR(IF(SUMIFS(tblDaily[TransfersIn],tblDaily[EntryDate],DATE(2026,6,3),tblDaily[WardCode],"BH")=0,"",SUMIFS(tblDaily[TransfersIn],tblDaily[EntryDate],DATE(2026,6,3),tblDaily[WardCode],"BH")),"")</f>
        <v/>
      </c>
      <c r="G204" s="12">
        <f>IFERROR(IF(SUMIFS(tblDaily[TransfersOut],tblDaily[EntryDate],DATE(2026,6,3),tblDaily[WardCode],"BH")=0,"",SUMIFS(tblDaily[TransfersOut],tblDaily[EntryDate],DATE(2026,6,3),tblDaily[WardCode],"BH")),"")</f>
        <v/>
      </c>
      <c r="H204" s="12">
        <f>IFERROR(IF(SUMIFS(tblDaily[Remaining],tblDaily[EntryDate],DATE(2026,6,3),tblDaily[WardCode],"BH")=0,"",SUMIFS(tblDaily[Remaining],tblDaily[EntryDate],DATE(2026,6,3),tblDaily[WardCode],"BH")),"")</f>
        <v/>
      </c>
    </row>
    <row r="205">
      <c r="A205" s="12" t="n">
        <v>4</v>
      </c>
      <c r="B205" s="12">
        <f>IFERROR(IF(SUMIFS(tblDaily[Admissions],tblDaily[EntryDate],DATE(2026,6,4),tblDaily[WardCode],"BH")=0,"",SUMIFS(tblDaily[Admissions],tblDaily[EntryDate],DATE(2026,6,4),tblDaily[WardCode],"BH")),"")</f>
        <v/>
      </c>
      <c r="C205" s="12">
        <f>IFERROR(IF(SUMIFS(tblDaily[Discharges],tblDaily[EntryDate],DATE(2026,6,4),tblDaily[WardCode],"BH")=0,"",SUMIFS(tblDaily[Discharges],tblDaily[EntryDate],DATE(2026,6,4),tblDaily[WardCode],"BH")),"")</f>
        <v/>
      </c>
      <c r="D205" s="12">
        <f>IFERROR(IF(SUMIFS(tblDaily[Deaths],tblDaily[EntryDate],DATE(2026,6,4),tblDaily[WardCode],"BH")=0,"",SUMIFS(tblDaily[Deaths],tblDaily[EntryDate],DATE(2026,6,4),tblDaily[WardCode],"BH")),"")</f>
        <v/>
      </c>
      <c r="E205" s="12">
        <f>IFERROR(IF(SUMIFS(tblDaily[DeathsUnder24Hrs],tblDaily[EntryDate],DATE(2026,6,4),tblDaily[WardCode],"BH")=0,"",SUMIFS(tblDaily[DeathsUnder24Hrs],tblDaily[EntryDate],DATE(2026,6,4),tblDaily[WardCode],"BH")),"")</f>
        <v/>
      </c>
      <c r="F205" s="12">
        <f>IFERROR(IF(SUMIFS(tblDaily[TransfersIn],tblDaily[EntryDate],DATE(2026,6,4),tblDaily[WardCode],"BH")=0,"",SUMIFS(tblDaily[TransfersIn],tblDaily[EntryDate],DATE(2026,6,4),tblDaily[WardCode],"BH")),"")</f>
        <v/>
      </c>
      <c r="G205" s="12">
        <f>IFERROR(IF(SUMIFS(tblDaily[TransfersOut],tblDaily[EntryDate],DATE(2026,6,4),tblDaily[WardCode],"BH")=0,"",SUMIFS(tblDaily[TransfersOut],tblDaily[EntryDate],DATE(2026,6,4),tblDaily[WardCode],"BH")),"")</f>
        <v/>
      </c>
      <c r="H205" s="12">
        <f>IFERROR(IF(SUMIFS(tblDaily[Remaining],tblDaily[EntryDate],DATE(2026,6,4),tblDaily[WardCode],"BH")=0,"",SUMIFS(tblDaily[Remaining],tblDaily[EntryDate],DATE(2026,6,4),tblDaily[WardCode],"BH")),"")</f>
        <v/>
      </c>
    </row>
    <row r="206">
      <c r="A206" s="12" t="n">
        <v>5</v>
      </c>
      <c r="B206" s="12">
        <f>IFERROR(IF(SUMIFS(tblDaily[Admissions],tblDaily[EntryDate],DATE(2026,6,5),tblDaily[WardCode],"BH")=0,"",SUMIFS(tblDaily[Admissions],tblDaily[EntryDate],DATE(2026,6,5),tblDaily[WardCode],"BH")),"")</f>
        <v/>
      </c>
      <c r="C206" s="12">
        <f>IFERROR(IF(SUMIFS(tblDaily[Discharges],tblDaily[EntryDate],DATE(2026,6,5),tblDaily[WardCode],"BH")=0,"",SUMIFS(tblDaily[Discharges],tblDaily[EntryDate],DATE(2026,6,5),tblDaily[WardCode],"BH")),"")</f>
        <v/>
      </c>
      <c r="D206" s="12">
        <f>IFERROR(IF(SUMIFS(tblDaily[Deaths],tblDaily[EntryDate],DATE(2026,6,5),tblDaily[WardCode],"BH")=0,"",SUMIFS(tblDaily[Deaths],tblDaily[EntryDate],DATE(2026,6,5),tblDaily[WardCode],"BH")),"")</f>
        <v/>
      </c>
      <c r="E206" s="12">
        <f>IFERROR(IF(SUMIFS(tblDaily[DeathsUnder24Hrs],tblDaily[EntryDate],DATE(2026,6,5),tblDaily[WardCode],"BH")=0,"",SUMIFS(tblDaily[DeathsUnder24Hrs],tblDaily[EntryDate],DATE(2026,6,5),tblDaily[WardCode],"BH")),"")</f>
        <v/>
      </c>
      <c r="F206" s="12">
        <f>IFERROR(IF(SUMIFS(tblDaily[TransfersIn],tblDaily[EntryDate],DATE(2026,6,5),tblDaily[WardCode],"BH")=0,"",SUMIFS(tblDaily[TransfersIn],tblDaily[EntryDate],DATE(2026,6,5),tblDaily[WardCode],"BH")),"")</f>
        <v/>
      </c>
      <c r="G206" s="12">
        <f>IFERROR(IF(SUMIFS(tblDaily[TransfersOut],tblDaily[EntryDate],DATE(2026,6,5),tblDaily[WardCode],"BH")=0,"",SUMIFS(tblDaily[TransfersOut],tblDaily[EntryDate],DATE(2026,6,5),tblDaily[WardCode],"BH")),"")</f>
        <v/>
      </c>
      <c r="H206" s="12">
        <f>IFERROR(IF(SUMIFS(tblDaily[Remaining],tblDaily[EntryDate],DATE(2026,6,5),tblDaily[WardCode],"BH")=0,"",SUMIFS(tblDaily[Remaining],tblDaily[EntryDate],DATE(2026,6,5),tblDaily[WardCode],"BH")),"")</f>
        <v/>
      </c>
    </row>
    <row r="207">
      <c r="A207" s="12" t="n">
        <v>6</v>
      </c>
      <c r="B207" s="12">
        <f>IFERROR(IF(SUMIFS(tblDaily[Admissions],tblDaily[EntryDate],DATE(2026,6,6),tblDaily[WardCode],"BH")=0,"",SUMIFS(tblDaily[Admissions],tblDaily[EntryDate],DATE(2026,6,6),tblDaily[WardCode],"BH")),"")</f>
        <v/>
      </c>
      <c r="C207" s="12">
        <f>IFERROR(IF(SUMIFS(tblDaily[Discharges],tblDaily[EntryDate],DATE(2026,6,6),tblDaily[WardCode],"BH")=0,"",SUMIFS(tblDaily[Discharges],tblDaily[EntryDate],DATE(2026,6,6),tblDaily[WardCode],"BH")),"")</f>
        <v/>
      </c>
      <c r="D207" s="12">
        <f>IFERROR(IF(SUMIFS(tblDaily[Deaths],tblDaily[EntryDate],DATE(2026,6,6),tblDaily[WardCode],"BH")=0,"",SUMIFS(tblDaily[Deaths],tblDaily[EntryDate],DATE(2026,6,6),tblDaily[WardCode],"BH")),"")</f>
        <v/>
      </c>
      <c r="E207" s="12">
        <f>IFERROR(IF(SUMIFS(tblDaily[DeathsUnder24Hrs],tblDaily[EntryDate],DATE(2026,6,6),tblDaily[WardCode],"BH")=0,"",SUMIFS(tblDaily[DeathsUnder24Hrs],tblDaily[EntryDate],DATE(2026,6,6),tblDaily[WardCode],"BH")),"")</f>
        <v/>
      </c>
      <c r="F207" s="12">
        <f>IFERROR(IF(SUMIFS(tblDaily[TransfersIn],tblDaily[EntryDate],DATE(2026,6,6),tblDaily[WardCode],"BH")=0,"",SUMIFS(tblDaily[TransfersIn],tblDaily[EntryDate],DATE(2026,6,6),tblDaily[WardCode],"BH")),"")</f>
        <v/>
      </c>
      <c r="G207" s="12">
        <f>IFERROR(IF(SUMIFS(tblDaily[TransfersOut],tblDaily[EntryDate],DATE(2026,6,6),tblDaily[WardCode],"BH")=0,"",SUMIFS(tblDaily[TransfersOut],tblDaily[EntryDate],DATE(2026,6,6),tblDaily[WardCode],"BH")),"")</f>
        <v/>
      </c>
      <c r="H207" s="12">
        <f>IFERROR(IF(SUMIFS(tblDaily[Remaining],tblDaily[EntryDate],DATE(2026,6,6),tblDaily[WardCode],"BH")=0,"",SUMIFS(tblDaily[Remaining],tblDaily[EntryDate],DATE(2026,6,6),tblDaily[WardCode],"BH")),"")</f>
        <v/>
      </c>
    </row>
    <row r="208">
      <c r="A208" s="12" t="n">
        <v>7</v>
      </c>
      <c r="B208" s="12">
        <f>IFERROR(IF(SUMIFS(tblDaily[Admissions],tblDaily[EntryDate],DATE(2026,6,7),tblDaily[WardCode],"BH")=0,"",SUMIFS(tblDaily[Admissions],tblDaily[EntryDate],DATE(2026,6,7),tblDaily[WardCode],"BH")),"")</f>
        <v/>
      </c>
      <c r="C208" s="12">
        <f>IFERROR(IF(SUMIFS(tblDaily[Discharges],tblDaily[EntryDate],DATE(2026,6,7),tblDaily[WardCode],"BH")=0,"",SUMIFS(tblDaily[Discharges],tblDaily[EntryDate],DATE(2026,6,7),tblDaily[WardCode],"BH")),"")</f>
        <v/>
      </c>
      <c r="D208" s="12">
        <f>IFERROR(IF(SUMIFS(tblDaily[Deaths],tblDaily[EntryDate],DATE(2026,6,7),tblDaily[WardCode],"BH")=0,"",SUMIFS(tblDaily[Deaths],tblDaily[EntryDate],DATE(2026,6,7),tblDaily[WardCode],"BH")),"")</f>
        <v/>
      </c>
      <c r="E208" s="12">
        <f>IFERROR(IF(SUMIFS(tblDaily[DeathsUnder24Hrs],tblDaily[EntryDate],DATE(2026,6,7),tblDaily[WardCode],"BH")=0,"",SUMIFS(tblDaily[DeathsUnder24Hrs],tblDaily[EntryDate],DATE(2026,6,7),tblDaily[WardCode],"BH")),"")</f>
        <v/>
      </c>
      <c r="F208" s="12">
        <f>IFERROR(IF(SUMIFS(tblDaily[TransfersIn],tblDaily[EntryDate],DATE(2026,6,7),tblDaily[WardCode],"BH")=0,"",SUMIFS(tblDaily[TransfersIn],tblDaily[EntryDate],DATE(2026,6,7),tblDaily[WardCode],"BH")),"")</f>
        <v/>
      </c>
      <c r="G208" s="12">
        <f>IFERROR(IF(SUMIFS(tblDaily[TransfersOut],tblDaily[EntryDate],DATE(2026,6,7),tblDaily[WardCode],"BH")=0,"",SUMIFS(tblDaily[TransfersOut],tblDaily[EntryDate],DATE(2026,6,7),tblDaily[WardCode],"BH")),"")</f>
        <v/>
      </c>
      <c r="H208" s="12">
        <f>IFERROR(IF(SUMIFS(tblDaily[Remaining],tblDaily[EntryDate],DATE(2026,6,7),tblDaily[WardCode],"BH")=0,"",SUMIFS(tblDaily[Remaining],tblDaily[EntryDate],DATE(2026,6,7),tblDaily[WardCode],"BH")),"")</f>
        <v/>
      </c>
    </row>
    <row r="209">
      <c r="A209" s="12" t="n">
        <v>8</v>
      </c>
      <c r="B209" s="12">
        <f>IFERROR(IF(SUMIFS(tblDaily[Admissions],tblDaily[EntryDate],DATE(2026,6,8),tblDaily[WardCode],"BH")=0,"",SUMIFS(tblDaily[Admissions],tblDaily[EntryDate],DATE(2026,6,8),tblDaily[WardCode],"BH")),"")</f>
        <v/>
      </c>
      <c r="C209" s="12">
        <f>IFERROR(IF(SUMIFS(tblDaily[Discharges],tblDaily[EntryDate],DATE(2026,6,8),tblDaily[WardCode],"BH")=0,"",SUMIFS(tblDaily[Discharges],tblDaily[EntryDate],DATE(2026,6,8),tblDaily[WardCode],"BH")),"")</f>
        <v/>
      </c>
      <c r="D209" s="12">
        <f>IFERROR(IF(SUMIFS(tblDaily[Deaths],tblDaily[EntryDate],DATE(2026,6,8),tblDaily[WardCode],"BH")=0,"",SUMIFS(tblDaily[Deaths],tblDaily[EntryDate],DATE(2026,6,8),tblDaily[WardCode],"BH")),"")</f>
        <v/>
      </c>
      <c r="E209" s="12">
        <f>IFERROR(IF(SUMIFS(tblDaily[DeathsUnder24Hrs],tblDaily[EntryDate],DATE(2026,6,8),tblDaily[WardCode],"BH")=0,"",SUMIFS(tblDaily[DeathsUnder24Hrs],tblDaily[EntryDate],DATE(2026,6,8),tblDaily[WardCode],"BH")),"")</f>
        <v/>
      </c>
      <c r="F209" s="12">
        <f>IFERROR(IF(SUMIFS(tblDaily[TransfersIn],tblDaily[EntryDate],DATE(2026,6,8),tblDaily[WardCode],"BH")=0,"",SUMIFS(tblDaily[TransfersIn],tblDaily[EntryDate],DATE(2026,6,8),tblDaily[WardCode],"BH")),"")</f>
        <v/>
      </c>
      <c r="G209" s="12">
        <f>IFERROR(IF(SUMIFS(tblDaily[TransfersOut],tblDaily[EntryDate],DATE(2026,6,8),tblDaily[WardCode],"BH")=0,"",SUMIFS(tblDaily[TransfersOut],tblDaily[EntryDate],DATE(2026,6,8),tblDaily[WardCode],"BH")),"")</f>
        <v/>
      </c>
      <c r="H209" s="12">
        <f>IFERROR(IF(SUMIFS(tblDaily[Remaining],tblDaily[EntryDate],DATE(2026,6,8),tblDaily[WardCode],"BH")=0,"",SUMIFS(tblDaily[Remaining],tblDaily[EntryDate],DATE(2026,6,8),tblDaily[WardCode],"BH")),"")</f>
        <v/>
      </c>
    </row>
    <row r="210">
      <c r="A210" s="12" t="n">
        <v>9</v>
      </c>
      <c r="B210" s="12">
        <f>IFERROR(IF(SUMIFS(tblDaily[Admissions],tblDaily[EntryDate],DATE(2026,6,9),tblDaily[WardCode],"BH")=0,"",SUMIFS(tblDaily[Admissions],tblDaily[EntryDate],DATE(2026,6,9),tblDaily[WardCode],"BH")),"")</f>
        <v/>
      </c>
      <c r="C210" s="12">
        <f>IFERROR(IF(SUMIFS(tblDaily[Discharges],tblDaily[EntryDate],DATE(2026,6,9),tblDaily[WardCode],"BH")=0,"",SUMIFS(tblDaily[Discharges],tblDaily[EntryDate],DATE(2026,6,9),tblDaily[WardCode],"BH")),"")</f>
        <v/>
      </c>
      <c r="D210" s="12">
        <f>IFERROR(IF(SUMIFS(tblDaily[Deaths],tblDaily[EntryDate],DATE(2026,6,9),tblDaily[WardCode],"BH")=0,"",SUMIFS(tblDaily[Deaths],tblDaily[EntryDate],DATE(2026,6,9),tblDaily[WardCode],"BH")),"")</f>
        <v/>
      </c>
      <c r="E210" s="12">
        <f>IFERROR(IF(SUMIFS(tblDaily[DeathsUnder24Hrs],tblDaily[EntryDate],DATE(2026,6,9),tblDaily[WardCode],"BH")=0,"",SUMIFS(tblDaily[DeathsUnder24Hrs],tblDaily[EntryDate],DATE(2026,6,9),tblDaily[WardCode],"BH")),"")</f>
        <v/>
      </c>
      <c r="F210" s="12">
        <f>IFERROR(IF(SUMIFS(tblDaily[TransfersIn],tblDaily[EntryDate],DATE(2026,6,9),tblDaily[WardCode],"BH")=0,"",SUMIFS(tblDaily[TransfersIn],tblDaily[EntryDate],DATE(2026,6,9),tblDaily[WardCode],"BH")),"")</f>
        <v/>
      </c>
      <c r="G210" s="12">
        <f>IFERROR(IF(SUMIFS(tblDaily[TransfersOut],tblDaily[EntryDate],DATE(2026,6,9),tblDaily[WardCode],"BH")=0,"",SUMIFS(tblDaily[TransfersOut],tblDaily[EntryDate],DATE(2026,6,9),tblDaily[WardCode],"BH")),"")</f>
        <v/>
      </c>
      <c r="H210" s="12">
        <f>IFERROR(IF(SUMIFS(tblDaily[Remaining],tblDaily[EntryDate],DATE(2026,6,9),tblDaily[WardCode],"BH")=0,"",SUMIFS(tblDaily[Remaining],tblDaily[EntryDate],DATE(2026,6,9),tblDaily[WardCode],"BH")),"")</f>
        <v/>
      </c>
    </row>
    <row r="211">
      <c r="A211" s="12" t="n">
        <v>10</v>
      </c>
      <c r="B211" s="12">
        <f>IFERROR(IF(SUMIFS(tblDaily[Admissions],tblDaily[EntryDate],DATE(2026,6,10),tblDaily[WardCode],"BH")=0,"",SUMIFS(tblDaily[Admissions],tblDaily[EntryDate],DATE(2026,6,10),tblDaily[WardCode],"BH")),"")</f>
        <v/>
      </c>
      <c r="C211" s="12">
        <f>IFERROR(IF(SUMIFS(tblDaily[Discharges],tblDaily[EntryDate],DATE(2026,6,10),tblDaily[WardCode],"BH")=0,"",SUMIFS(tblDaily[Discharges],tblDaily[EntryDate],DATE(2026,6,10),tblDaily[WardCode],"BH")),"")</f>
        <v/>
      </c>
      <c r="D211" s="12">
        <f>IFERROR(IF(SUMIFS(tblDaily[Deaths],tblDaily[EntryDate],DATE(2026,6,10),tblDaily[WardCode],"BH")=0,"",SUMIFS(tblDaily[Deaths],tblDaily[EntryDate],DATE(2026,6,10),tblDaily[WardCode],"BH")),"")</f>
        <v/>
      </c>
      <c r="E211" s="12">
        <f>IFERROR(IF(SUMIFS(tblDaily[DeathsUnder24Hrs],tblDaily[EntryDate],DATE(2026,6,10),tblDaily[WardCode],"BH")=0,"",SUMIFS(tblDaily[DeathsUnder24Hrs],tblDaily[EntryDate],DATE(2026,6,10),tblDaily[WardCode],"BH")),"")</f>
        <v/>
      </c>
      <c r="F211" s="12">
        <f>IFERROR(IF(SUMIFS(tblDaily[TransfersIn],tblDaily[EntryDate],DATE(2026,6,10),tblDaily[WardCode],"BH")=0,"",SUMIFS(tblDaily[TransfersIn],tblDaily[EntryDate],DATE(2026,6,10),tblDaily[WardCode],"BH")),"")</f>
        <v/>
      </c>
      <c r="G211" s="12">
        <f>IFERROR(IF(SUMIFS(tblDaily[TransfersOut],tblDaily[EntryDate],DATE(2026,6,10),tblDaily[WardCode],"BH")=0,"",SUMIFS(tblDaily[TransfersOut],tblDaily[EntryDate],DATE(2026,6,10),tblDaily[WardCode],"BH")),"")</f>
        <v/>
      </c>
      <c r="H211" s="12">
        <f>IFERROR(IF(SUMIFS(tblDaily[Remaining],tblDaily[EntryDate],DATE(2026,6,10),tblDaily[WardCode],"BH")=0,"",SUMIFS(tblDaily[Remaining],tblDaily[EntryDate],DATE(2026,6,10),tblDaily[WardCode],"BH")),"")</f>
        <v/>
      </c>
    </row>
    <row r="212">
      <c r="A212" s="12" t="n">
        <v>11</v>
      </c>
      <c r="B212" s="12">
        <f>IFERROR(IF(SUMIFS(tblDaily[Admissions],tblDaily[EntryDate],DATE(2026,6,11),tblDaily[WardCode],"BH")=0,"",SUMIFS(tblDaily[Admissions],tblDaily[EntryDate],DATE(2026,6,11),tblDaily[WardCode],"BH")),"")</f>
        <v/>
      </c>
      <c r="C212" s="12">
        <f>IFERROR(IF(SUMIFS(tblDaily[Discharges],tblDaily[EntryDate],DATE(2026,6,11),tblDaily[WardCode],"BH")=0,"",SUMIFS(tblDaily[Discharges],tblDaily[EntryDate],DATE(2026,6,11),tblDaily[WardCode],"BH")),"")</f>
        <v/>
      </c>
      <c r="D212" s="12">
        <f>IFERROR(IF(SUMIFS(tblDaily[Deaths],tblDaily[EntryDate],DATE(2026,6,11),tblDaily[WardCode],"BH")=0,"",SUMIFS(tblDaily[Deaths],tblDaily[EntryDate],DATE(2026,6,11),tblDaily[WardCode],"BH")),"")</f>
        <v/>
      </c>
      <c r="E212" s="12">
        <f>IFERROR(IF(SUMIFS(tblDaily[DeathsUnder24Hrs],tblDaily[EntryDate],DATE(2026,6,11),tblDaily[WardCode],"BH")=0,"",SUMIFS(tblDaily[DeathsUnder24Hrs],tblDaily[EntryDate],DATE(2026,6,11),tblDaily[WardCode],"BH")),"")</f>
        <v/>
      </c>
      <c r="F212" s="12">
        <f>IFERROR(IF(SUMIFS(tblDaily[TransfersIn],tblDaily[EntryDate],DATE(2026,6,11),tblDaily[WardCode],"BH")=0,"",SUMIFS(tblDaily[TransfersIn],tblDaily[EntryDate],DATE(2026,6,11),tblDaily[WardCode],"BH")),"")</f>
        <v/>
      </c>
      <c r="G212" s="12">
        <f>IFERROR(IF(SUMIFS(tblDaily[TransfersOut],tblDaily[EntryDate],DATE(2026,6,11),tblDaily[WardCode],"BH")=0,"",SUMIFS(tblDaily[TransfersOut],tblDaily[EntryDate],DATE(2026,6,11),tblDaily[WardCode],"BH")),"")</f>
        <v/>
      </c>
      <c r="H212" s="12">
        <f>IFERROR(IF(SUMIFS(tblDaily[Remaining],tblDaily[EntryDate],DATE(2026,6,11),tblDaily[WardCode],"BH")=0,"",SUMIFS(tblDaily[Remaining],tblDaily[EntryDate],DATE(2026,6,11),tblDaily[WardCode],"BH")),"")</f>
        <v/>
      </c>
    </row>
    <row r="213">
      <c r="A213" s="12" t="n">
        <v>12</v>
      </c>
      <c r="B213" s="12">
        <f>IFERROR(IF(SUMIFS(tblDaily[Admissions],tblDaily[EntryDate],DATE(2026,6,12),tblDaily[WardCode],"BH")=0,"",SUMIFS(tblDaily[Admissions],tblDaily[EntryDate],DATE(2026,6,12),tblDaily[WardCode],"BH")),"")</f>
        <v/>
      </c>
      <c r="C213" s="12">
        <f>IFERROR(IF(SUMIFS(tblDaily[Discharges],tblDaily[EntryDate],DATE(2026,6,12),tblDaily[WardCode],"BH")=0,"",SUMIFS(tblDaily[Discharges],tblDaily[EntryDate],DATE(2026,6,12),tblDaily[WardCode],"BH")),"")</f>
        <v/>
      </c>
      <c r="D213" s="12">
        <f>IFERROR(IF(SUMIFS(tblDaily[Deaths],tblDaily[EntryDate],DATE(2026,6,12),tblDaily[WardCode],"BH")=0,"",SUMIFS(tblDaily[Deaths],tblDaily[EntryDate],DATE(2026,6,12),tblDaily[WardCode],"BH")),"")</f>
        <v/>
      </c>
      <c r="E213" s="12">
        <f>IFERROR(IF(SUMIFS(tblDaily[DeathsUnder24Hrs],tblDaily[EntryDate],DATE(2026,6,12),tblDaily[WardCode],"BH")=0,"",SUMIFS(tblDaily[DeathsUnder24Hrs],tblDaily[EntryDate],DATE(2026,6,12),tblDaily[WardCode],"BH")),"")</f>
        <v/>
      </c>
      <c r="F213" s="12">
        <f>IFERROR(IF(SUMIFS(tblDaily[TransfersIn],tblDaily[EntryDate],DATE(2026,6,12),tblDaily[WardCode],"BH")=0,"",SUMIFS(tblDaily[TransfersIn],tblDaily[EntryDate],DATE(2026,6,12),tblDaily[WardCode],"BH")),"")</f>
        <v/>
      </c>
      <c r="G213" s="12">
        <f>IFERROR(IF(SUMIFS(tblDaily[TransfersOut],tblDaily[EntryDate],DATE(2026,6,12),tblDaily[WardCode],"BH")=0,"",SUMIFS(tblDaily[TransfersOut],tblDaily[EntryDate],DATE(2026,6,12),tblDaily[WardCode],"BH")),"")</f>
        <v/>
      </c>
      <c r="H213" s="12">
        <f>IFERROR(IF(SUMIFS(tblDaily[Remaining],tblDaily[EntryDate],DATE(2026,6,12),tblDaily[WardCode],"BH")=0,"",SUMIFS(tblDaily[Remaining],tblDaily[EntryDate],DATE(2026,6,12),tblDaily[WardCode],"BH")),"")</f>
        <v/>
      </c>
    </row>
    <row r="214">
      <c r="A214" s="12" t="n">
        <v>13</v>
      </c>
      <c r="B214" s="12">
        <f>IFERROR(IF(SUMIFS(tblDaily[Admissions],tblDaily[EntryDate],DATE(2026,6,13),tblDaily[WardCode],"BH")=0,"",SUMIFS(tblDaily[Admissions],tblDaily[EntryDate],DATE(2026,6,13),tblDaily[WardCode],"BH")),"")</f>
        <v/>
      </c>
      <c r="C214" s="12">
        <f>IFERROR(IF(SUMIFS(tblDaily[Discharges],tblDaily[EntryDate],DATE(2026,6,13),tblDaily[WardCode],"BH")=0,"",SUMIFS(tblDaily[Discharges],tblDaily[EntryDate],DATE(2026,6,13),tblDaily[WardCode],"BH")),"")</f>
        <v/>
      </c>
      <c r="D214" s="12">
        <f>IFERROR(IF(SUMIFS(tblDaily[Deaths],tblDaily[EntryDate],DATE(2026,6,13),tblDaily[WardCode],"BH")=0,"",SUMIFS(tblDaily[Deaths],tblDaily[EntryDate],DATE(2026,6,13),tblDaily[WardCode],"BH")),"")</f>
        <v/>
      </c>
      <c r="E214" s="12">
        <f>IFERROR(IF(SUMIFS(tblDaily[DeathsUnder24Hrs],tblDaily[EntryDate],DATE(2026,6,13),tblDaily[WardCode],"BH")=0,"",SUMIFS(tblDaily[DeathsUnder24Hrs],tblDaily[EntryDate],DATE(2026,6,13),tblDaily[WardCode],"BH")),"")</f>
        <v/>
      </c>
      <c r="F214" s="12">
        <f>IFERROR(IF(SUMIFS(tblDaily[TransfersIn],tblDaily[EntryDate],DATE(2026,6,13),tblDaily[WardCode],"BH")=0,"",SUMIFS(tblDaily[TransfersIn],tblDaily[EntryDate],DATE(2026,6,13),tblDaily[WardCode],"BH")),"")</f>
        <v/>
      </c>
      <c r="G214" s="12">
        <f>IFERROR(IF(SUMIFS(tblDaily[TransfersOut],tblDaily[EntryDate],DATE(2026,6,13),tblDaily[WardCode],"BH")=0,"",SUMIFS(tblDaily[TransfersOut],tblDaily[EntryDate],DATE(2026,6,13),tblDaily[WardCode],"BH")),"")</f>
        <v/>
      </c>
      <c r="H214" s="12">
        <f>IFERROR(IF(SUMIFS(tblDaily[Remaining],tblDaily[EntryDate],DATE(2026,6,13),tblDaily[WardCode],"BH")=0,"",SUMIFS(tblDaily[Remaining],tblDaily[EntryDate],DATE(2026,6,13),tblDaily[WardCode],"BH")),"")</f>
        <v/>
      </c>
    </row>
    <row r="215">
      <c r="A215" s="12" t="n">
        <v>14</v>
      </c>
      <c r="B215" s="12">
        <f>IFERROR(IF(SUMIFS(tblDaily[Admissions],tblDaily[EntryDate],DATE(2026,6,14),tblDaily[WardCode],"BH")=0,"",SUMIFS(tblDaily[Admissions],tblDaily[EntryDate],DATE(2026,6,14),tblDaily[WardCode],"BH")),"")</f>
        <v/>
      </c>
      <c r="C215" s="12">
        <f>IFERROR(IF(SUMIFS(tblDaily[Discharges],tblDaily[EntryDate],DATE(2026,6,14),tblDaily[WardCode],"BH")=0,"",SUMIFS(tblDaily[Discharges],tblDaily[EntryDate],DATE(2026,6,14),tblDaily[WardCode],"BH")),"")</f>
        <v/>
      </c>
      <c r="D215" s="12">
        <f>IFERROR(IF(SUMIFS(tblDaily[Deaths],tblDaily[EntryDate],DATE(2026,6,14),tblDaily[WardCode],"BH")=0,"",SUMIFS(tblDaily[Deaths],tblDaily[EntryDate],DATE(2026,6,14),tblDaily[WardCode],"BH")),"")</f>
        <v/>
      </c>
      <c r="E215" s="12">
        <f>IFERROR(IF(SUMIFS(tblDaily[DeathsUnder24Hrs],tblDaily[EntryDate],DATE(2026,6,14),tblDaily[WardCode],"BH")=0,"",SUMIFS(tblDaily[DeathsUnder24Hrs],tblDaily[EntryDate],DATE(2026,6,14),tblDaily[WardCode],"BH")),"")</f>
        <v/>
      </c>
      <c r="F215" s="12">
        <f>IFERROR(IF(SUMIFS(tblDaily[TransfersIn],tblDaily[EntryDate],DATE(2026,6,14),tblDaily[WardCode],"BH")=0,"",SUMIFS(tblDaily[TransfersIn],tblDaily[EntryDate],DATE(2026,6,14),tblDaily[WardCode],"BH")),"")</f>
        <v/>
      </c>
      <c r="G215" s="12">
        <f>IFERROR(IF(SUMIFS(tblDaily[TransfersOut],tblDaily[EntryDate],DATE(2026,6,14),tblDaily[WardCode],"BH")=0,"",SUMIFS(tblDaily[TransfersOut],tblDaily[EntryDate],DATE(2026,6,14),tblDaily[WardCode],"BH")),"")</f>
        <v/>
      </c>
      <c r="H215" s="12">
        <f>IFERROR(IF(SUMIFS(tblDaily[Remaining],tblDaily[EntryDate],DATE(2026,6,14),tblDaily[WardCode],"BH")=0,"",SUMIFS(tblDaily[Remaining],tblDaily[EntryDate],DATE(2026,6,14),tblDaily[WardCode],"BH")),"")</f>
        <v/>
      </c>
    </row>
    <row r="216">
      <c r="A216" s="12" t="n">
        <v>15</v>
      </c>
      <c r="B216" s="12">
        <f>IFERROR(IF(SUMIFS(tblDaily[Admissions],tblDaily[EntryDate],DATE(2026,6,15),tblDaily[WardCode],"BH")=0,"",SUMIFS(tblDaily[Admissions],tblDaily[EntryDate],DATE(2026,6,15),tblDaily[WardCode],"BH")),"")</f>
        <v/>
      </c>
      <c r="C216" s="12">
        <f>IFERROR(IF(SUMIFS(tblDaily[Discharges],tblDaily[EntryDate],DATE(2026,6,15),tblDaily[WardCode],"BH")=0,"",SUMIFS(tblDaily[Discharges],tblDaily[EntryDate],DATE(2026,6,15),tblDaily[WardCode],"BH")),"")</f>
        <v/>
      </c>
      <c r="D216" s="12">
        <f>IFERROR(IF(SUMIFS(tblDaily[Deaths],tblDaily[EntryDate],DATE(2026,6,15),tblDaily[WardCode],"BH")=0,"",SUMIFS(tblDaily[Deaths],tblDaily[EntryDate],DATE(2026,6,15),tblDaily[WardCode],"BH")),"")</f>
        <v/>
      </c>
      <c r="E216" s="12">
        <f>IFERROR(IF(SUMIFS(tblDaily[DeathsUnder24Hrs],tblDaily[EntryDate],DATE(2026,6,15),tblDaily[WardCode],"BH")=0,"",SUMIFS(tblDaily[DeathsUnder24Hrs],tblDaily[EntryDate],DATE(2026,6,15),tblDaily[WardCode],"BH")),"")</f>
        <v/>
      </c>
      <c r="F216" s="12">
        <f>IFERROR(IF(SUMIFS(tblDaily[TransfersIn],tblDaily[EntryDate],DATE(2026,6,15),tblDaily[WardCode],"BH")=0,"",SUMIFS(tblDaily[TransfersIn],tblDaily[EntryDate],DATE(2026,6,15),tblDaily[WardCode],"BH")),"")</f>
        <v/>
      </c>
      <c r="G216" s="12">
        <f>IFERROR(IF(SUMIFS(tblDaily[TransfersOut],tblDaily[EntryDate],DATE(2026,6,15),tblDaily[WardCode],"BH")=0,"",SUMIFS(tblDaily[TransfersOut],tblDaily[EntryDate],DATE(2026,6,15),tblDaily[WardCode],"BH")),"")</f>
        <v/>
      </c>
      <c r="H216" s="12">
        <f>IFERROR(IF(SUMIFS(tblDaily[Remaining],tblDaily[EntryDate],DATE(2026,6,15),tblDaily[WardCode],"BH")=0,"",SUMIFS(tblDaily[Remaining],tblDaily[EntryDate],DATE(2026,6,15),tblDaily[WardCode],"BH")),"")</f>
        <v/>
      </c>
    </row>
    <row r="217">
      <c r="A217" s="12" t="n">
        <v>16</v>
      </c>
      <c r="B217" s="12">
        <f>IFERROR(IF(SUMIFS(tblDaily[Admissions],tblDaily[EntryDate],DATE(2026,6,16),tblDaily[WardCode],"BH")=0,"",SUMIFS(tblDaily[Admissions],tblDaily[EntryDate],DATE(2026,6,16),tblDaily[WardCode],"BH")),"")</f>
        <v/>
      </c>
      <c r="C217" s="12">
        <f>IFERROR(IF(SUMIFS(tblDaily[Discharges],tblDaily[EntryDate],DATE(2026,6,16),tblDaily[WardCode],"BH")=0,"",SUMIFS(tblDaily[Discharges],tblDaily[EntryDate],DATE(2026,6,16),tblDaily[WardCode],"BH")),"")</f>
        <v/>
      </c>
      <c r="D217" s="12">
        <f>IFERROR(IF(SUMIFS(tblDaily[Deaths],tblDaily[EntryDate],DATE(2026,6,16),tblDaily[WardCode],"BH")=0,"",SUMIFS(tblDaily[Deaths],tblDaily[EntryDate],DATE(2026,6,16),tblDaily[WardCode],"BH")),"")</f>
        <v/>
      </c>
      <c r="E217" s="12">
        <f>IFERROR(IF(SUMIFS(tblDaily[DeathsUnder24Hrs],tblDaily[EntryDate],DATE(2026,6,16),tblDaily[WardCode],"BH")=0,"",SUMIFS(tblDaily[DeathsUnder24Hrs],tblDaily[EntryDate],DATE(2026,6,16),tblDaily[WardCode],"BH")),"")</f>
        <v/>
      </c>
      <c r="F217" s="12">
        <f>IFERROR(IF(SUMIFS(tblDaily[TransfersIn],tblDaily[EntryDate],DATE(2026,6,16),tblDaily[WardCode],"BH")=0,"",SUMIFS(tblDaily[TransfersIn],tblDaily[EntryDate],DATE(2026,6,16),tblDaily[WardCode],"BH")),"")</f>
        <v/>
      </c>
      <c r="G217" s="12">
        <f>IFERROR(IF(SUMIFS(tblDaily[TransfersOut],tblDaily[EntryDate],DATE(2026,6,16),tblDaily[WardCode],"BH")=0,"",SUMIFS(tblDaily[TransfersOut],tblDaily[EntryDate],DATE(2026,6,16),tblDaily[WardCode],"BH")),"")</f>
        <v/>
      </c>
      <c r="H217" s="12">
        <f>IFERROR(IF(SUMIFS(tblDaily[Remaining],tblDaily[EntryDate],DATE(2026,6,16),tblDaily[WardCode],"BH")=0,"",SUMIFS(tblDaily[Remaining],tblDaily[EntryDate],DATE(2026,6,16),tblDaily[WardCode],"BH")),"")</f>
        <v/>
      </c>
    </row>
    <row r="218">
      <c r="A218" s="12" t="n">
        <v>17</v>
      </c>
      <c r="B218" s="12">
        <f>IFERROR(IF(SUMIFS(tblDaily[Admissions],tblDaily[EntryDate],DATE(2026,6,17),tblDaily[WardCode],"BH")=0,"",SUMIFS(tblDaily[Admissions],tblDaily[EntryDate],DATE(2026,6,17),tblDaily[WardCode],"BH")),"")</f>
        <v/>
      </c>
      <c r="C218" s="12">
        <f>IFERROR(IF(SUMIFS(tblDaily[Discharges],tblDaily[EntryDate],DATE(2026,6,17),tblDaily[WardCode],"BH")=0,"",SUMIFS(tblDaily[Discharges],tblDaily[EntryDate],DATE(2026,6,17),tblDaily[WardCode],"BH")),"")</f>
        <v/>
      </c>
      <c r="D218" s="12">
        <f>IFERROR(IF(SUMIFS(tblDaily[Deaths],tblDaily[EntryDate],DATE(2026,6,17),tblDaily[WardCode],"BH")=0,"",SUMIFS(tblDaily[Deaths],tblDaily[EntryDate],DATE(2026,6,17),tblDaily[WardCode],"BH")),"")</f>
        <v/>
      </c>
      <c r="E218" s="12">
        <f>IFERROR(IF(SUMIFS(tblDaily[DeathsUnder24Hrs],tblDaily[EntryDate],DATE(2026,6,17),tblDaily[WardCode],"BH")=0,"",SUMIFS(tblDaily[DeathsUnder24Hrs],tblDaily[EntryDate],DATE(2026,6,17),tblDaily[WardCode],"BH")),"")</f>
        <v/>
      </c>
      <c r="F218" s="12">
        <f>IFERROR(IF(SUMIFS(tblDaily[TransfersIn],tblDaily[EntryDate],DATE(2026,6,17),tblDaily[WardCode],"BH")=0,"",SUMIFS(tblDaily[TransfersIn],tblDaily[EntryDate],DATE(2026,6,17),tblDaily[WardCode],"BH")),"")</f>
        <v/>
      </c>
      <c r="G218" s="12">
        <f>IFERROR(IF(SUMIFS(tblDaily[TransfersOut],tblDaily[EntryDate],DATE(2026,6,17),tblDaily[WardCode],"BH")=0,"",SUMIFS(tblDaily[TransfersOut],tblDaily[EntryDate],DATE(2026,6,17),tblDaily[WardCode],"BH")),"")</f>
        <v/>
      </c>
      <c r="H218" s="12">
        <f>IFERROR(IF(SUMIFS(tblDaily[Remaining],tblDaily[EntryDate],DATE(2026,6,17),tblDaily[WardCode],"BH")=0,"",SUMIFS(tblDaily[Remaining],tblDaily[EntryDate],DATE(2026,6,17),tblDaily[WardCode],"BH")),"")</f>
        <v/>
      </c>
    </row>
    <row r="219">
      <c r="A219" s="12" t="n">
        <v>18</v>
      </c>
      <c r="B219" s="12">
        <f>IFERROR(IF(SUMIFS(tblDaily[Admissions],tblDaily[EntryDate],DATE(2026,6,18),tblDaily[WardCode],"BH")=0,"",SUMIFS(tblDaily[Admissions],tblDaily[EntryDate],DATE(2026,6,18),tblDaily[WardCode],"BH")),"")</f>
        <v/>
      </c>
      <c r="C219" s="12">
        <f>IFERROR(IF(SUMIFS(tblDaily[Discharges],tblDaily[EntryDate],DATE(2026,6,18),tblDaily[WardCode],"BH")=0,"",SUMIFS(tblDaily[Discharges],tblDaily[EntryDate],DATE(2026,6,18),tblDaily[WardCode],"BH")),"")</f>
        <v/>
      </c>
      <c r="D219" s="12">
        <f>IFERROR(IF(SUMIFS(tblDaily[Deaths],tblDaily[EntryDate],DATE(2026,6,18),tblDaily[WardCode],"BH")=0,"",SUMIFS(tblDaily[Deaths],tblDaily[EntryDate],DATE(2026,6,18),tblDaily[WardCode],"BH")),"")</f>
        <v/>
      </c>
      <c r="E219" s="12">
        <f>IFERROR(IF(SUMIFS(tblDaily[DeathsUnder24Hrs],tblDaily[EntryDate],DATE(2026,6,18),tblDaily[WardCode],"BH")=0,"",SUMIFS(tblDaily[DeathsUnder24Hrs],tblDaily[EntryDate],DATE(2026,6,18),tblDaily[WardCode],"BH")),"")</f>
        <v/>
      </c>
      <c r="F219" s="12">
        <f>IFERROR(IF(SUMIFS(tblDaily[TransfersIn],tblDaily[EntryDate],DATE(2026,6,18),tblDaily[WardCode],"BH")=0,"",SUMIFS(tblDaily[TransfersIn],tblDaily[EntryDate],DATE(2026,6,18),tblDaily[WardCode],"BH")),"")</f>
        <v/>
      </c>
      <c r="G219" s="12">
        <f>IFERROR(IF(SUMIFS(tblDaily[TransfersOut],tblDaily[EntryDate],DATE(2026,6,18),tblDaily[WardCode],"BH")=0,"",SUMIFS(tblDaily[TransfersOut],tblDaily[EntryDate],DATE(2026,6,18),tblDaily[WardCode],"BH")),"")</f>
        <v/>
      </c>
      <c r="H219" s="12">
        <f>IFERROR(IF(SUMIFS(tblDaily[Remaining],tblDaily[EntryDate],DATE(2026,6,18),tblDaily[WardCode],"BH")=0,"",SUMIFS(tblDaily[Remaining],tblDaily[EntryDate],DATE(2026,6,18),tblDaily[WardCode],"BH")),"")</f>
        <v/>
      </c>
    </row>
    <row r="220">
      <c r="A220" s="12" t="n">
        <v>19</v>
      </c>
      <c r="B220" s="12">
        <f>IFERROR(IF(SUMIFS(tblDaily[Admissions],tblDaily[EntryDate],DATE(2026,6,19),tblDaily[WardCode],"BH")=0,"",SUMIFS(tblDaily[Admissions],tblDaily[EntryDate],DATE(2026,6,19),tblDaily[WardCode],"BH")),"")</f>
        <v/>
      </c>
      <c r="C220" s="12">
        <f>IFERROR(IF(SUMIFS(tblDaily[Discharges],tblDaily[EntryDate],DATE(2026,6,19),tblDaily[WardCode],"BH")=0,"",SUMIFS(tblDaily[Discharges],tblDaily[EntryDate],DATE(2026,6,19),tblDaily[WardCode],"BH")),"")</f>
        <v/>
      </c>
      <c r="D220" s="12">
        <f>IFERROR(IF(SUMIFS(tblDaily[Deaths],tblDaily[EntryDate],DATE(2026,6,19),tblDaily[WardCode],"BH")=0,"",SUMIFS(tblDaily[Deaths],tblDaily[EntryDate],DATE(2026,6,19),tblDaily[WardCode],"BH")),"")</f>
        <v/>
      </c>
      <c r="E220" s="12">
        <f>IFERROR(IF(SUMIFS(tblDaily[DeathsUnder24Hrs],tblDaily[EntryDate],DATE(2026,6,19),tblDaily[WardCode],"BH")=0,"",SUMIFS(tblDaily[DeathsUnder24Hrs],tblDaily[EntryDate],DATE(2026,6,19),tblDaily[WardCode],"BH")),"")</f>
        <v/>
      </c>
      <c r="F220" s="12">
        <f>IFERROR(IF(SUMIFS(tblDaily[TransfersIn],tblDaily[EntryDate],DATE(2026,6,19),tblDaily[WardCode],"BH")=0,"",SUMIFS(tblDaily[TransfersIn],tblDaily[EntryDate],DATE(2026,6,19),tblDaily[WardCode],"BH")),"")</f>
        <v/>
      </c>
      <c r="G220" s="12">
        <f>IFERROR(IF(SUMIFS(tblDaily[TransfersOut],tblDaily[EntryDate],DATE(2026,6,19),tblDaily[WardCode],"BH")=0,"",SUMIFS(tblDaily[TransfersOut],tblDaily[EntryDate],DATE(2026,6,19),tblDaily[WardCode],"BH")),"")</f>
        <v/>
      </c>
      <c r="H220" s="12">
        <f>IFERROR(IF(SUMIFS(tblDaily[Remaining],tblDaily[EntryDate],DATE(2026,6,19),tblDaily[WardCode],"BH")=0,"",SUMIFS(tblDaily[Remaining],tblDaily[EntryDate],DATE(2026,6,19),tblDaily[WardCode],"BH")),"")</f>
        <v/>
      </c>
    </row>
    <row r="221">
      <c r="A221" s="12" t="n">
        <v>20</v>
      </c>
      <c r="B221" s="12">
        <f>IFERROR(IF(SUMIFS(tblDaily[Admissions],tblDaily[EntryDate],DATE(2026,6,20),tblDaily[WardCode],"BH")=0,"",SUMIFS(tblDaily[Admissions],tblDaily[EntryDate],DATE(2026,6,20),tblDaily[WardCode],"BH")),"")</f>
        <v/>
      </c>
      <c r="C221" s="12">
        <f>IFERROR(IF(SUMIFS(tblDaily[Discharges],tblDaily[EntryDate],DATE(2026,6,20),tblDaily[WardCode],"BH")=0,"",SUMIFS(tblDaily[Discharges],tblDaily[EntryDate],DATE(2026,6,20),tblDaily[WardCode],"BH")),"")</f>
        <v/>
      </c>
      <c r="D221" s="12">
        <f>IFERROR(IF(SUMIFS(tblDaily[Deaths],tblDaily[EntryDate],DATE(2026,6,20),tblDaily[WardCode],"BH")=0,"",SUMIFS(tblDaily[Deaths],tblDaily[EntryDate],DATE(2026,6,20),tblDaily[WardCode],"BH")),"")</f>
        <v/>
      </c>
      <c r="E221" s="12">
        <f>IFERROR(IF(SUMIFS(tblDaily[DeathsUnder24Hrs],tblDaily[EntryDate],DATE(2026,6,20),tblDaily[WardCode],"BH")=0,"",SUMIFS(tblDaily[DeathsUnder24Hrs],tblDaily[EntryDate],DATE(2026,6,20),tblDaily[WardCode],"BH")),"")</f>
        <v/>
      </c>
      <c r="F221" s="12">
        <f>IFERROR(IF(SUMIFS(tblDaily[TransfersIn],tblDaily[EntryDate],DATE(2026,6,20),tblDaily[WardCode],"BH")=0,"",SUMIFS(tblDaily[TransfersIn],tblDaily[EntryDate],DATE(2026,6,20),tblDaily[WardCode],"BH")),"")</f>
        <v/>
      </c>
      <c r="G221" s="12">
        <f>IFERROR(IF(SUMIFS(tblDaily[TransfersOut],tblDaily[EntryDate],DATE(2026,6,20),tblDaily[WardCode],"BH")=0,"",SUMIFS(tblDaily[TransfersOut],tblDaily[EntryDate],DATE(2026,6,20),tblDaily[WardCode],"BH")),"")</f>
        <v/>
      </c>
      <c r="H221" s="12">
        <f>IFERROR(IF(SUMIFS(tblDaily[Remaining],tblDaily[EntryDate],DATE(2026,6,20),tblDaily[WardCode],"BH")=0,"",SUMIFS(tblDaily[Remaining],tblDaily[EntryDate],DATE(2026,6,20),tblDaily[WardCode],"BH")),"")</f>
        <v/>
      </c>
    </row>
    <row r="222">
      <c r="A222" s="12" t="n">
        <v>21</v>
      </c>
      <c r="B222" s="12">
        <f>IFERROR(IF(SUMIFS(tblDaily[Admissions],tblDaily[EntryDate],DATE(2026,6,21),tblDaily[WardCode],"BH")=0,"",SUMIFS(tblDaily[Admissions],tblDaily[EntryDate],DATE(2026,6,21),tblDaily[WardCode],"BH")),"")</f>
        <v/>
      </c>
      <c r="C222" s="12">
        <f>IFERROR(IF(SUMIFS(tblDaily[Discharges],tblDaily[EntryDate],DATE(2026,6,21),tblDaily[WardCode],"BH")=0,"",SUMIFS(tblDaily[Discharges],tblDaily[EntryDate],DATE(2026,6,21),tblDaily[WardCode],"BH")),"")</f>
        <v/>
      </c>
      <c r="D222" s="12">
        <f>IFERROR(IF(SUMIFS(tblDaily[Deaths],tblDaily[EntryDate],DATE(2026,6,21),tblDaily[WardCode],"BH")=0,"",SUMIFS(tblDaily[Deaths],tblDaily[EntryDate],DATE(2026,6,21),tblDaily[WardCode],"BH")),"")</f>
        <v/>
      </c>
      <c r="E222" s="12">
        <f>IFERROR(IF(SUMIFS(tblDaily[DeathsUnder24Hrs],tblDaily[EntryDate],DATE(2026,6,21),tblDaily[WardCode],"BH")=0,"",SUMIFS(tblDaily[DeathsUnder24Hrs],tblDaily[EntryDate],DATE(2026,6,21),tblDaily[WardCode],"BH")),"")</f>
        <v/>
      </c>
      <c r="F222" s="12">
        <f>IFERROR(IF(SUMIFS(tblDaily[TransfersIn],tblDaily[EntryDate],DATE(2026,6,21),tblDaily[WardCode],"BH")=0,"",SUMIFS(tblDaily[TransfersIn],tblDaily[EntryDate],DATE(2026,6,21),tblDaily[WardCode],"BH")),"")</f>
        <v/>
      </c>
      <c r="G222" s="12">
        <f>IFERROR(IF(SUMIFS(tblDaily[TransfersOut],tblDaily[EntryDate],DATE(2026,6,21),tblDaily[WardCode],"BH")=0,"",SUMIFS(tblDaily[TransfersOut],tblDaily[EntryDate],DATE(2026,6,21),tblDaily[WardCode],"BH")),"")</f>
        <v/>
      </c>
      <c r="H222" s="12">
        <f>IFERROR(IF(SUMIFS(tblDaily[Remaining],tblDaily[EntryDate],DATE(2026,6,21),tblDaily[WardCode],"BH")=0,"",SUMIFS(tblDaily[Remaining],tblDaily[EntryDate],DATE(2026,6,21),tblDaily[WardCode],"BH")),"")</f>
        <v/>
      </c>
    </row>
    <row r="223">
      <c r="A223" s="12" t="n">
        <v>22</v>
      </c>
      <c r="B223" s="12">
        <f>IFERROR(IF(SUMIFS(tblDaily[Admissions],tblDaily[EntryDate],DATE(2026,6,22),tblDaily[WardCode],"BH")=0,"",SUMIFS(tblDaily[Admissions],tblDaily[EntryDate],DATE(2026,6,22),tblDaily[WardCode],"BH")),"")</f>
        <v/>
      </c>
      <c r="C223" s="12">
        <f>IFERROR(IF(SUMIFS(tblDaily[Discharges],tblDaily[EntryDate],DATE(2026,6,22),tblDaily[WardCode],"BH")=0,"",SUMIFS(tblDaily[Discharges],tblDaily[EntryDate],DATE(2026,6,22),tblDaily[WardCode],"BH")),"")</f>
        <v/>
      </c>
      <c r="D223" s="12">
        <f>IFERROR(IF(SUMIFS(tblDaily[Deaths],tblDaily[EntryDate],DATE(2026,6,22),tblDaily[WardCode],"BH")=0,"",SUMIFS(tblDaily[Deaths],tblDaily[EntryDate],DATE(2026,6,22),tblDaily[WardCode],"BH")),"")</f>
        <v/>
      </c>
      <c r="E223" s="12">
        <f>IFERROR(IF(SUMIFS(tblDaily[DeathsUnder24Hrs],tblDaily[EntryDate],DATE(2026,6,22),tblDaily[WardCode],"BH")=0,"",SUMIFS(tblDaily[DeathsUnder24Hrs],tblDaily[EntryDate],DATE(2026,6,22),tblDaily[WardCode],"BH")),"")</f>
        <v/>
      </c>
      <c r="F223" s="12">
        <f>IFERROR(IF(SUMIFS(tblDaily[TransfersIn],tblDaily[EntryDate],DATE(2026,6,22),tblDaily[WardCode],"BH")=0,"",SUMIFS(tblDaily[TransfersIn],tblDaily[EntryDate],DATE(2026,6,22),tblDaily[WardCode],"BH")),"")</f>
        <v/>
      </c>
      <c r="G223" s="12">
        <f>IFERROR(IF(SUMIFS(tblDaily[TransfersOut],tblDaily[EntryDate],DATE(2026,6,22),tblDaily[WardCode],"BH")=0,"",SUMIFS(tblDaily[TransfersOut],tblDaily[EntryDate],DATE(2026,6,22),tblDaily[WardCode],"BH")),"")</f>
        <v/>
      </c>
      <c r="H223" s="12">
        <f>IFERROR(IF(SUMIFS(tblDaily[Remaining],tblDaily[EntryDate],DATE(2026,6,22),tblDaily[WardCode],"BH")=0,"",SUMIFS(tblDaily[Remaining],tblDaily[EntryDate],DATE(2026,6,22),tblDaily[WardCode],"BH")),"")</f>
        <v/>
      </c>
    </row>
    <row r="224">
      <c r="A224" s="12" t="n">
        <v>23</v>
      </c>
      <c r="B224" s="12">
        <f>IFERROR(IF(SUMIFS(tblDaily[Admissions],tblDaily[EntryDate],DATE(2026,6,23),tblDaily[WardCode],"BH")=0,"",SUMIFS(tblDaily[Admissions],tblDaily[EntryDate],DATE(2026,6,23),tblDaily[WardCode],"BH")),"")</f>
        <v/>
      </c>
      <c r="C224" s="12">
        <f>IFERROR(IF(SUMIFS(tblDaily[Discharges],tblDaily[EntryDate],DATE(2026,6,23),tblDaily[WardCode],"BH")=0,"",SUMIFS(tblDaily[Discharges],tblDaily[EntryDate],DATE(2026,6,23),tblDaily[WardCode],"BH")),"")</f>
        <v/>
      </c>
      <c r="D224" s="12">
        <f>IFERROR(IF(SUMIFS(tblDaily[Deaths],tblDaily[EntryDate],DATE(2026,6,23),tblDaily[WardCode],"BH")=0,"",SUMIFS(tblDaily[Deaths],tblDaily[EntryDate],DATE(2026,6,23),tblDaily[WardCode],"BH")),"")</f>
        <v/>
      </c>
      <c r="E224" s="12">
        <f>IFERROR(IF(SUMIFS(tblDaily[DeathsUnder24Hrs],tblDaily[EntryDate],DATE(2026,6,23),tblDaily[WardCode],"BH")=0,"",SUMIFS(tblDaily[DeathsUnder24Hrs],tblDaily[EntryDate],DATE(2026,6,23),tblDaily[WardCode],"BH")),"")</f>
        <v/>
      </c>
      <c r="F224" s="12">
        <f>IFERROR(IF(SUMIFS(tblDaily[TransfersIn],tblDaily[EntryDate],DATE(2026,6,23),tblDaily[WardCode],"BH")=0,"",SUMIFS(tblDaily[TransfersIn],tblDaily[EntryDate],DATE(2026,6,23),tblDaily[WardCode],"BH")),"")</f>
        <v/>
      </c>
      <c r="G224" s="12">
        <f>IFERROR(IF(SUMIFS(tblDaily[TransfersOut],tblDaily[EntryDate],DATE(2026,6,23),tblDaily[WardCode],"BH")=0,"",SUMIFS(tblDaily[TransfersOut],tblDaily[EntryDate],DATE(2026,6,23),tblDaily[WardCode],"BH")),"")</f>
        <v/>
      </c>
      <c r="H224" s="12">
        <f>IFERROR(IF(SUMIFS(tblDaily[Remaining],tblDaily[EntryDate],DATE(2026,6,23),tblDaily[WardCode],"BH")=0,"",SUMIFS(tblDaily[Remaining],tblDaily[EntryDate],DATE(2026,6,23),tblDaily[WardCode],"BH")),"")</f>
        <v/>
      </c>
    </row>
    <row r="225">
      <c r="A225" s="12" t="n">
        <v>24</v>
      </c>
      <c r="B225" s="12">
        <f>IFERROR(IF(SUMIFS(tblDaily[Admissions],tblDaily[EntryDate],DATE(2026,6,24),tblDaily[WardCode],"BH")=0,"",SUMIFS(tblDaily[Admissions],tblDaily[EntryDate],DATE(2026,6,24),tblDaily[WardCode],"BH")),"")</f>
        <v/>
      </c>
      <c r="C225" s="12">
        <f>IFERROR(IF(SUMIFS(tblDaily[Discharges],tblDaily[EntryDate],DATE(2026,6,24),tblDaily[WardCode],"BH")=0,"",SUMIFS(tblDaily[Discharges],tblDaily[EntryDate],DATE(2026,6,24),tblDaily[WardCode],"BH")),"")</f>
        <v/>
      </c>
      <c r="D225" s="12">
        <f>IFERROR(IF(SUMIFS(tblDaily[Deaths],tblDaily[EntryDate],DATE(2026,6,24),tblDaily[WardCode],"BH")=0,"",SUMIFS(tblDaily[Deaths],tblDaily[EntryDate],DATE(2026,6,24),tblDaily[WardCode],"BH")),"")</f>
        <v/>
      </c>
      <c r="E225" s="12">
        <f>IFERROR(IF(SUMIFS(tblDaily[DeathsUnder24Hrs],tblDaily[EntryDate],DATE(2026,6,24),tblDaily[WardCode],"BH")=0,"",SUMIFS(tblDaily[DeathsUnder24Hrs],tblDaily[EntryDate],DATE(2026,6,24),tblDaily[WardCode],"BH")),"")</f>
        <v/>
      </c>
      <c r="F225" s="12">
        <f>IFERROR(IF(SUMIFS(tblDaily[TransfersIn],tblDaily[EntryDate],DATE(2026,6,24),tblDaily[WardCode],"BH")=0,"",SUMIFS(tblDaily[TransfersIn],tblDaily[EntryDate],DATE(2026,6,24),tblDaily[WardCode],"BH")),"")</f>
        <v/>
      </c>
      <c r="G225" s="12">
        <f>IFERROR(IF(SUMIFS(tblDaily[TransfersOut],tblDaily[EntryDate],DATE(2026,6,24),tblDaily[WardCode],"BH")=0,"",SUMIFS(tblDaily[TransfersOut],tblDaily[EntryDate],DATE(2026,6,24),tblDaily[WardCode],"BH")),"")</f>
        <v/>
      </c>
      <c r="H225" s="12">
        <f>IFERROR(IF(SUMIFS(tblDaily[Remaining],tblDaily[EntryDate],DATE(2026,6,24),tblDaily[WardCode],"BH")=0,"",SUMIFS(tblDaily[Remaining],tblDaily[EntryDate],DATE(2026,6,24),tblDaily[WardCode],"BH")),"")</f>
        <v/>
      </c>
    </row>
    <row r="226">
      <c r="A226" s="12" t="n">
        <v>25</v>
      </c>
      <c r="B226" s="12">
        <f>IFERROR(IF(SUMIFS(tblDaily[Admissions],tblDaily[EntryDate],DATE(2026,6,25),tblDaily[WardCode],"BH")=0,"",SUMIFS(tblDaily[Admissions],tblDaily[EntryDate],DATE(2026,6,25),tblDaily[WardCode],"BH")),"")</f>
        <v/>
      </c>
      <c r="C226" s="12">
        <f>IFERROR(IF(SUMIFS(tblDaily[Discharges],tblDaily[EntryDate],DATE(2026,6,25),tblDaily[WardCode],"BH")=0,"",SUMIFS(tblDaily[Discharges],tblDaily[EntryDate],DATE(2026,6,25),tblDaily[WardCode],"BH")),"")</f>
        <v/>
      </c>
      <c r="D226" s="12">
        <f>IFERROR(IF(SUMIFS(tblDaily[Deaths],tblDaily[EntryDate],DATE(2026,6,25),tblDaily[WardCode],"BH")=0,"",SUMIFS(tblDaily[Deaths],tblDaily[EntryDate],DATE(2026,6,25),tblDaily[WardCode],"BH")),"")</f>
        <v/>
      </c>
      <c r="E226" s="12">
        <f>IFERROR(IF(SUMIFS(tblDaily[DeathsUnder24Hrs],tblDaily[EntryDate],DATE(2026,6,25),tblDaily[WardCode],"BH")=0,"",SUMIFS(tblDaily[DeathsUnder24Hrs],tblDaily[EntryDate],DATE(2026,6,25),tblDaily[WardCode],"BH")),"")</f>
        <v/>
      </c>
      <c r="F226" s="12">
        <f>IFERROR(IF(SUMIFS(tblDaily[TransfersIn],tblDaily[EntryDate],DATE(2026,6,25),tblDaily[WardCode],"BH")=0,"",SUMIFS(tblDaily[TransfersIn],tblDaily[EntryDate],DATE(2026,6,25),tblDaily[WardCode],"BH")),"")</f>
        <v/>
      </c>
      <c r="G226" s="12">
        <f>IFERROR(IF(SUMIFS(tblDaily[TransfersOut],tblDaily[EntryDate],DATE(2026,6,25),tblDaily[WardCode],"BH")=0,"",SUMIFS(tblDaily[TransfersOut],tblDaily[EntryDate],DATE(2026,6,25),tblDaily[WardCode],"BH")),"")</f>
        <v/>
      </c>
      <c r="H226" s="12">
        <f>IFERROR(IF(SUMIFS(tblDaily[Remaining],tblDaily[EntryDate],DATE(2026,6,25),tblDaily[WardCode],"BH")=0,"",SUMIFS(tblDaily[Remaining],tblDaily[EntryDate],DATE(2026,6,25),tblDaily[WardCode],"BH")),"")</f>
        <v/>
      </c>
    </row>
    <row r="227">
      <c r="A227" s="12" t="n">
        <v>26</v>
      </c>
      <c r="B227" s="12">
        <f>IFERROR(IF(SUMIFS(tblDaily[Admissions],tblDaily[EntryDate],DATE(2026,6,26),tblDaily[WardCode],"BH")=0,"",SUMIFS(tblDaily[Admissions],tblDaily[EntryDate],DATE(2026,6,26),tblDaily[WardCode],"BH")),"")</f>
        <v/>
      </c>
      <c r="C227" s="12">
        <f>IFERROR(IF(SUMIFS(tblDaily[Discharges],tblDaily[EntryDate],DATE(2026,6,26),tblDaily[WardCode],"BH")=0,"",SUMIFS(tblDaily[Discharges],tblDaily[EntryDate],DATE(2026,6,26),tblDaily[WardCode],"BH")),"")</f>
        <v/>
      </c>
      <c r="D227" s="12">
        <f>IFERROR(IF(SUMIFS(tblDaily[Deaths],tblDaily[EntryDate],DATE(2026,6,26),tblDaily[WardCode],"BH")=0,"",SUMIFS(tblDaily[Deaths],tblDaily[EntryDate],DATE(2026,6,26),tblDaily[WardCode],"BH")),"")</f>
        <v/>
      </c>
      <c r="E227" s="12">
        <f>IFERROR(IF(SUMIFS(tblDaily[DeathsUnder24Hrs],tblDaily[EntryDate],DATE(2026,6,26),tblDaily[WardCode],"BH")=0,"",SUMIFS(tblDaily[DeathsUnder24Hrs],tblDaily[EntryDate],DATE(2026,6,26),tblDaily[WardCode],"BH")),"")</f>
        <v/>
      </c>
      <c r="F227" s="12">
        <f>IFERROR(IF(SUMIFS(tblDaily[TransfersIn],tblDaily[EntryDate],DATE(2026,6,26),tblDaily[WardCode],"BH")=0,"",SUMIFS(tblDaily[TransfersIn],tblDaily[EntryDate],DATE(2026,6,26),tblDaily[WardCode],"BH")),"")</f>
        <v/>
      </c>
      <c r="G227" s="12">
        <f>IFERROR(IF(SUMIFS(tblDaily[TransfersOut],tblDaily[EntryDate],DATE(2026,6,26),tblDaily[WardCode],"BH")=0,"",SUMIFS(tblDaily[TransfersOut],tblDaily[EntryDate],DATE(2026,6,26),tblDaily[WardCode],"BH")),"")</f>
        <v/>
      </c>
      <c r="H227" s="12">
        <f>IFERROR(IF(SUMIFS(tblDaily[Remaining],tblDaily[EntryDate],DATE(2026,6,26),tblDaily[WardCode],"BH")=0,"",SUMIFS(tblDaily[Remaining],tblDaily[EntryDate],DATE(2026,6,26),tblDaily[WardCode],"BH")),"")</f>
        <v/>
      </c>
    </row>
    <row r="228">
      <c r="A228" s="12" t="n">
        <v>27</v>
      </c>
      <c r="B228" s="12">
        <f>IFERROR(IF(SUMIFS(tblDaily[Admissions],tblDaily[EntryDate],DATE(2026,6,27),tblDaily[WardCode],"BH")=0,"",SUMIFS(tblDaily[Admissions],tblDaily[EntryDate],DATE(2026,6,27),tblDaily[WardCode],"BH")),"")</f>
        <v/>
      </c>
      <c r="C228" s="12">
        <f>IFERROR(IF(SUMIFS(tblDaily[Discharges],tblDaily[EntryDate],DATE(2026,6,27),tblDaily[WardCode],"BH")=0,"",SUMIFS(tblDaily[Discharges],tblDaily[EntryDate],DATE(2026,6,27),tblDaily[WardCode],"BH")),"")</f>
        <v/>
      </c>
      <c r="D228" s="12">
        <f>IFERROR(IF(SUMIFS(tblDaily[Deaths],tblDaily[EntryDate],DATE(2026,6,27),tblDaily[WardCode],"BH")=0,"",SUMIFS(tblDaily[Deaths],tblDaily[EntryDate],DATE(2026,6,27),tblDaily[WardCode],"BH")),"")</f>
        <v/>
      </c>
      <c r="E228" s="12">
        <f>IFERROR(IF(SUMIFS(tblDaily[DeathsUnder24Hrs],tblDaily[EntryDate],DATE(2026,6,27),tblDaily[WardCode],"BH")=0,"",SUMIFS(tblDaily[DeathsUnder24Hrs],tblDaily[EntryDate],DATE(2026,6,27),tblDaily[WardCode],"BH")),"")</f>
        <v/>
      </c>
      <c r="F228" s="12">
        <f>IFERROR(IF(SUMIFS(tblDaily[TransfersIn],tblDaily[EntryDate],DATE(2026,6,27),tblDaily[WardCode],"BH")=0,"",SUMIFS(tblDaily[TransfersIn],tblDaily[EntryDate],DATE(2026,6,27),tblDaily[WardCode],"BH")),"")</f>
        <v/>
      </c>
      <c r="G228" s="12">
        <f>IFERROR(IF(SUMIFS(tblDaily[TransfersOut],tblDaily[EntryDate],DATE(2026,6,27),tblDaily[WardCode],"BH")=0,"",SUMIFS(tblDaily[TransfersOut],tblDaily[EntryDate],DATE(2026,6,27),tblDaily[WardCode],"BH")),"")</f>
        <v/>
      </c>
      <c r="H228" s="12">
        <f>IFERROR(IF(SUMIFS(tblDaily[Remaining],tblDaily[EntryDate],DATE(2026,6,27),tblDaily[WardCode],"BH")=0,"",SUMIFS(tblDaily[Remaining],tblDaily[EntryDate],DATE(2026,6,27),tblDaily[WardCode],"BH")),"")</f>
        <v/>
      </c>
    </row>
    <row r="229">
      <c r="A229" s="12" t="n">
        <v>28</v>
      </c>
      <c r="B229" s="12">
        <f>IFERROR(IF(SUMIFS(tblDaily[Admissions],tblDaily[EntryDate],DATE(2026,6,28),tblDaily[WardCode],"BH")=0,"",SUMIFS(tblDaily[Admissions],tblDaily[EntryDate],DATE(2026,6,28),tblDaily[WardCode],"BH")),"")</f>
        <v/>
      </c>
      <c r="C229" s="12">
        <f>IFERROR(IF(SUMIFS(tblDaily[Discharges],tblDaily[EntryDate],DATE(2026,6,28),tblDaily[WardCode],"BH")=0,"",SUMIFS(tblDaily[Discharges],tblDaily[EntryDate],DATE(2026,6,28),tblDaily[WardCode],"BH")),"")</f>
        <v/>
      </c>
      <c r="D229" s="12">
        <f>IFERROR(IF(SUMIFS(tblDaily[Deaths],tblDaily[EntryDate],DATE(2026,6,28),tblDaily[WardCode],"BH")=0,"",SUMIFS(tblDaily[Deaths],tblDaily[EntryDate],DATE(2026,6,28),tblDaily[WardCode],"BH")),"")</f>
        <v/>
      </c>
      <c r="E229" s="12">
        <f>IFERROR(IF(SUMIFS(tblDaily[DeathsUnder24Hrs],tblDaily[EntryDate],DATE(2026,6,28),tblDaily[WardCode],"BH")=0,"",SUMIFS(tblDaily[DeathsUnder24Hrs],tblDaily[EntryDate],DATE(2026,6,28),tblDaily[WardCode],"BH")),"")</f>
        <v/>
      </c>
      <c r="F229" s="12">
        <f>IFERROR(IF(SUMIFS(tblDaily[TransfersIn],tblDaily[EntryDate],DATE(2026,6,28),tblDaily[WardCode],"BH")=0,"",SUMIFS(tblDaily[TransfersIn],tblDaily[EntryDate],DATE(2026,6,28),tblDaily[WardCode],"BH")),"")</f>
        <v/>
      </c>
      <c r="G229" s="12">
        <f>IFERROR(IF(SUMIFS(tblDaily[TransfersOut],tblDaily[EntryDate],DATE(2026,6,28),tblDaily[WardCode],"BH")=0,"",SUMIFS(tblDaily[TransfersOut],tblDaily[EntryDate],DATE(2026,6,28),tblDaily[WardCode],"BH")),"")</f>
        <v/>
      </c>
      <c r="H229" s="12">
        <f>IFERROR(IF(SUMIFS(tblDaily[Remaining],tblDaily[EntryDate],DATE(2026,6,28),tblDaily[WardCode],"BH")=0,"",SUMIFS(tblDaily[Remaining],tblDaily[EntryDate],DATE(2026,6,28),tblDaily[WardCode],"BH")),"")</f>
        <v/>
      </c>
    </row>
    <row r="230">
      <c r="A230" s="12" t="n">
        <v>29</v>
      </c>
      <c r="B230" s="12">
        <f>IFERROR(IF(SUMIFS(tblDaily[Admissions],tblDaily[EntryDate],DATE(2026,6,29),tblDaily[WardCode],"BH")=0,"",SUMIFS(tblDaily[Admissions],tblDaily[EntryDate],DATE(2026,6,29),tblDaily[WardCode],"BH")),"")</f>
        <v/>
      </c>
      <c r="C230" s="12">
        <f>IFERROR(IF(SUMIFS(tblDaily[Discharges],tblDaily[EntryDate],DATE(2026,6,29),tblDaily[WardCode],"BH")=0,"",SUMIFS(tblDaily[Discharges],tblDaily[EntryDate],DATE(2026,6,29),tblDaily[WardCode],"BH")),"")</f>
        <v/>
      </c>
      <c r="D230" s="12">
        <f>IFERROR(IF(SUMIFS(tblDaily[Deaths],tblDaily[EntryDate],DATE(2026,6,29),tblDaily[WardCode],"BH")=0,"",SUMIFS(tblDaily[Deaths],tblDaily[EntryDate],DATE(2026,6,29),tblDaily[WardCode],"BH")),"")</f>
        <v/>
      </c>
      <c r="E230" s="12">
        <f>IFERROR(IF(SUMIFS(tblDaily[DeathsUnder24Hrs],tblDaily[EntryDate],DATE(2026,6,29),tblDaily[WardCode],"BH")=0,"",SUMIFS(tblDaily[DeathsUnder24Hrs],tblDaily[EntryDate],DATE(2026,6,29),tblDaily[WardCode],"BH")),"")</f>
        <v/>
      </c>
      <c r="F230" s="12">
        <f>IFERROR(IF(SUMIFS(tblDaily[TransfersIn],tblDaily[EntryDate],DATE(2026,6,29),tblDaily[WardCode],"BH")=0,"",SUMIFS(tblDaily[TransfersIn],tblDaily[EntryDate],DATE(2026,6,29),tblDaily[WardCode],"BH")),"")</f>
        <v/>
      </c>
      <c r="G230" s="12">
        <f>IFERROR(IF(SUMIFS(tblDaily[TransfersOut],tblDaily[EntryDate],DATE(2026,6,29),tblDaily[WardCode],"BH")=0,"",SUMIFS(tblDaily[TransfersOut],tblDaily[EntryDate],DATE(2026,6,29),tblDaily[WardCode],"BH")),"")</f>
        <v/>
      </c>
      <c r="H230" s="12">
        <f>IFERROR(IF(SUMIFS(tblDaily[Remaining],tblDaily[EntryDate],DATE(2026,6,29),tblDaily[WardCode],"BH")=0,"",SUMIFS(tblDaily[Remaining],tblDaily[EntryDate],DATE(2026,6,29),tblDaily[WardCode],"BH")),"")</f>
        <v/>
      </c>
    </row>
    <row r="231">
      <c r="A231" s="12" t="n">
        <v>30</v>
      </c>
      <c r="B231" s="12">
        <f>IFERROR(IF(SUMIFS(tblDaily[Admissions],tblDaily[EntryDate],DATE(2026,6,30),tblDaily[WardCode],"BH")=0,"",SUMIFS(tblDaily[Admissions],tblDaily[EntryDate],DATE(2026,6,30),tblDaily[WardCode],"BH")),"")</f>
        <v/>
      </c>
      <c r="C231" s="12">
        <f>IFERROR(IF(SUMIFS(tblDaily[Discharges],tblDaily[EntryDate],DATE(2026,6,30),tblDaily[WardCode],"BH")=0,"",SUMIFS(tblDaily[Discharges],tblDaily[EntryDate],DATE(2026,6,30),tblDaily[WardCode],"BH")),"")</f>
        <v/>
      </c>
      <c r="D231" s="12">
        <f>IFERROR(IF(SUMIFS(tblDaily[Deaths],tblDaily[EntryDate],DATE(2026,6,30),tblDaily[WardCode],"BH")=0,"",SUMIFS(tblDaily[Deaths],tblDaily[EntryDate],DATE(2026,6,30),tblDaily[WardCode],"BH")),"")</f>
        <v/>
      </c>
      <c r="E231" s="12">
        <f>IFERROR(IF(SUMIFS(tblDaily[DeathsUnder24Hrs],tblDaily[EntryDate],DATE(2026,6,30),tblDaily[WardCode],"BH")=0,"",SUMIFS(tblDaily[DeathsUnder24Hrs],tblDaily[EntryDate],DATE(2026,6,30),tblDaily[WardCode],"BH")),"")</f>
        <v/>
      </c>
      <c r="F231" s="12">
        <f>IFERROR(IF(SUMIFS(tblDaily[TransfersIn],tblDaily[EntryDate],DATE(2026,6,30),tblDaily[WardCode],"BH")=0,"",SUMIFS(tblDaily[TransfersIn],tblDaily[EntryDate],DATE(2026,6,30),tblDaily[WardCode],"BH")),"")</f>
        <v/>
      </c>
      <c r="G231" s="12">
        <f>IFERROR(IF(SUMIFS(tblDaily[TransfersOut],tblDaily[EntryDate],DATE(2026,6,30),tblDaily[WardCode],"BH")=0,"",SUMIFS(tblDaily[TransfersOut],tblDaily[EntryDate],DATE(2026,6,30),tblDaily[WardCode],"BH")),"")</f>
        <v/>
      </c>
      <c r="H231" s="12">
        <f>IFERROR(IF(SUMIFS(tblDaily[Remaining],tblDaily[EntryDate],DATE(2026,6,30),tblDaily[WardCode],"BH")=0,"",SUMIFS(tblDaily[Remaining],tblDaily[EntryDate],DATE(2026,6,30),tblDaily[WardCode],"BH")),"")</f>
        <v/>
      </c>
    </row>
    <row r="232">
      <c r="A232" s="12" t="n">
        <v>31</v>
      </c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7" t="inlineStr">
        <is>
          <t>TOTAL</t>
        </is>
      </c>
      <c r="B233" s="17">
        <f>SUMIFS(tblDaily[Admissions],tblDaily[Month],6,tblDaily[WardCode],"BH") - SUMIFS(tblDaily[DeathsUnder24Hrs],tblDaily[Month],6,tblDaily[WardCode],"BH")</f>
        <v/>
      </c>
      <c r="C233" s="17">
        <f>SUMIFS(tblDaily[Discharges],tblDaily[Month],6,tblDaily[WardCode],"BH")</f>
        <v/>
      </c>
      <c r="D233" s="17">
        <f>SUMIFS(tblDaily[Deaths],tblDaily[Month],6,tblDaily[WardCode],"BH")</f>
        <v/>
      </c>
      <c r="E233" s="17">
        <f>SUMIFS(tblDaily[DeathsUnder24Hrs],tblDaily[Month],6,tblDaily[WardCode],"BH")</f>
        <v/>
      </c>
      <c r="F233" s="17">
        <f>SUMIFS(tblDaily[TransfersIn],tblDaily[Month],6,tblDaily[WardCode],"BH")</f>
        <v/>
      </c>
      <c r="G233" s="17">
        <f>SUMIFS(tblDaily[TransfersOut],tblDaily[Month],6,tblDaily[WardCode],"BH")</f>
        <v/>
      </c>
      <c r="H233" s="17">
        <f>SUMIFS(tblDaily[Remaining],tblDaily[Month],6,tblDaily[WardCode],"BH")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BLOCK H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4">
        <f>IFERROR(SUMIFS(tblDaily[Remaining],tblDaily[EntryDate],DATE(2026,6,30),tblDaily[WardCode],"BH"),0)</f>
        <v/>
      </c>
    </row>
    <row r="239">
      <c r="A239" s="4" t="inlineStr">
        <is>
          <t>Bed complement</t>
        </is>
      </c>
      <c r="H239" s="15">
        <f>IFERROR(INDEX(tblWardConfig[BedComplement],MATCH("BH",tblWardConfig[WardCode],0)),0)</f>
        <v/>
      </c>
    </row>
    <row r="240">
      <c r="A240" s="16" t="inlineStr">
        <is>
          <t>Day of
the
Month</t>
        </is>
      </c>
      <c r="B240" s="16" t="inlineStr">
        <is>
          <t>Admissions</t>
        </is>
      </c>
      <c r="C240" s="16" t="inlineStr">
        <is>
          <t>Discharges</t>
        </is>
      </c>
      <c r="D240" s="16" t="inlineStr">
        <is>
          <t>Deaths</t>
        </is>
      </c>
      <c r="E240" s="16" t="inlineStr">
        <is>
          <t>Deaths
&lt;24Hrs</t>
        </is>
      </c>
      <c r="F240" s="16" t="inlineStr">
        <is>
          <t>Transfers-
In</t>
        </is>
      </c>
      <c r="G240" s="16" t="inlineStr">
        <is>
          <t>Transfers-
Out</t>
        </is>
      </c>
      <c r="H240" s="16" t="inlineStr">
        <is>
          <t>No. of Patients
Remaining In
Ward</t>
        </is>
      </c>
    </row>
    <row r="241">
      <c r="A241" s="12" t="n">
        <v>1</v>
      </c>
      <c r="B241" s="12">
        <f>IFERROR(IF(SUMIFS(tblDaily[Admissions],tblDaily[EntryDate],DATE(2026,7,1),tblDaily[WardCode],"BH")=0,"",SUMIFS(tblDaily[Admissions],tblDaily[EntryDate],DATE(2026,7,1),tblDaily[WardCode],"BH")),"")</f>
        <v/>
      </c>
      <c r="C241" s="12">
        <f>IFERROR(IF(SUMIFS(tblDaily[Discharges],tblDaily[EntryDate],DATE(2026,7,1),tblDaily[WardCode],"BH")=0,"",SUMIFS(tblDaily[Discharges],tblDaily[EntryDate],DATE(2026,7,1),tblDaily[WardCode],"BH")),"")</f>
        <v/>
      </c>
      <c r="D241" s="12">
        <f>IFERROR(IF(SUMIFS(tblDaily[Deaths],tblDaily[EntryDate],DATE(2026,7,1),tblDaily[WardCode],"BH")=0,"",SUMIFS(tblDaily[Deaths],tblDaily[EntryDate],DATE(2026,7,1),tblDaily[WardCode],"BH")),"")</f>
        <v/>
      </c>
      <c r="E241" s="12">
        <f>IFERROR(IF(SUMIFS(tblDaily[DeathsUnder24Hrs],tblDaily[EntryDate],DATE(2026,7,1),tblDaily[WardCode],"BH")=0,"",SUMIFS(tblDaily[DeathsUnder24Hrs],tblDaily[EntryDate],DATE(2026,7,1),tblDaily[WardCode],"BH")),"")</f>
        <v/>
      </c>
      <c r="F241" s="12">
        <f>IFERROR(IF(SUMIFS(tblDaily[TransfersIn],tblDaily[EntryDate],DATE(2026,7,1),tblDaily[WardCode],"BH")=0,"",SUMIFS(tblDaily[TransfersIn],tblDaily[EntryDate],DATE(2026,7,1),tblDaily[WardCode],"BH")),"")</f>
        <v/>
      </c>
      <c r="G241" s="12">
        <f>IFERROR(IF(SUMIFS(tblDaily[TransfersOut],tblDaily[EntryDate],DATE(2026,7,1),tblDaily[WardCode],"BH")=0,"",SUMIFS(tblDaily[TransfersOut],tblDaily[EntryDate],DATE(2026,7,1),tblDaily[WardCode],"BH")),"")</f>
        <v/>
      </c>
      <c r="H241" s="12">
        <f>IFERROR(IF(SUMIFS(tblDaily[Remaining],tblDaily[EntryDate],DATE(2026,7,1),tblDaily[WardCode],"BH")=0,"",SUMIFS(tblDaily[Remaining],tblDaily[EntryDate],DATE(2026,7,1),tblDaily[WardCode],"BH")),"")</f>
        <v/>
      </c>
    </row>
    <row r="242">
      <c r="A242" s="12" t="n">
        <v>2</v>
      </c>
      <c r="B242" s="12">
        <f>IFERROR(IF(SUMIFS(tblDaily[Admissions],tblDaily[EntryDate],DATE(2026,7,2),tblDaily[WardCode],"BH")=0,"",SUMIFS(tblDaily[Admissions],tblDaily[EntryDate],DATE(2026,7,2),tblDaily[WardCode],"BH")),"")</f>
        <v/>
      </c>
      <c r="C242" s="12">
        <f>IFERROR(IF(SUMIFS(tblDaily[Discharges],tblDaily[EntryDate],DATE(2026,7,2),tblDaily[WardCode],"BH")=0,"",SUMIFS(tblDaily[Discharges],tblDaily[EntryDate],DATE(2026,7,2),tblDaily[WardCode],"BH")),"")</f>
        <v/>
      </c>
      <c r="D242" s="12">
        <f>IFERROR(IF(SUMIFS(tblDaily[Deaths],tblDaily[EntryDate],DATE(2026,7,2),tblDaily[WardCode],"BH")=0,"",SUMIFS(tblDaily[Deaths],tblDaily[EntryDate],DATE(2026,7,2),tblDaily[WardCode],"BH")),"")</f>
        <v/>
      </c>
      <c r="E242" s="12">
        <f>IFERROR(IF(SUMIFS(tblDaily[DeathsUnder24Hrs],tblDaily[EntryDate],DATE(2026,7,2),tblDaily[WardCode],"BH")=0,"",SUMIFS(tblDaily[DeathsUnder24Hrs],tblDaily[EntryDate],DATE(2026,7,2),tblDaily[WardCode],"BH")),"")</f>
        <v/>
      </c>
      <c r="F242" s="12">
        <f>IFERROR(IF(SUMIFS(tblDaily[TransfersIn],tblDaily[EntryDate],DATE(2026,7,2),tblDaily[WardCode],"BH")=0,"",SUMIFS(tblDaily[TransfersIn],tblDaily[EntryDate],DATE(2026,7,2),tblDaily[WardCode],"BH")),"")</f>
        <v/>
      </c>
      <c r="G242" s="12">
        <f>IFERROR(IF(SUMIFS(tblDaily[TransfersOut],tblDaily[EntryDate],DATE(2026,7,2),tblDaily[WardCode],"BH")=0,"",SUMIFS(tblDaily[TransfersOut],tblDaily[EntryDate],DATE(2026,7,2),tblDaily[WardCode],"BH")),"")</f>
        <v/>
      </c>
      <c r="H242" s="12">
        <f>IFERROR(IF(SUMIFS(tblDaily[Remaining],tblDaily[EntryDate],DATE(2026,7,2),tblDaily[WardCode],"BH")=0,"",SUMIFS(tblDaily[Remaining],tblDaily[EntryDate],DATE(2026,7,2),tblDaily[WardCode],"BH")),"")</f>
        <v/>
      </c>
    </row>
    <row r="243">
      <c r="A243" s="12" t="n">
        <v>3</v>
      </c>
      <c r="B243" s="12">
        <f>IFERROR(IF(SUMIFS(tblDaily[Admissions],tblDaily[EntryDate],DATE(2026,7,3),tblDaily[WardCode],"BH")=0,"",SUMIFS(tblDaily[Admissions],tblDaily[EntryDate],DATE(2026,7,3),tblDaily[WardCode],"BH")),"")</f>
        <v/>
      </c>
      <c r="C243" s="12">
        <f>IFERROR(IF(SUMIFS(tblDaily[Discharges],tblDaily[EntryDate],DATE(2026,7,3),tblDaily[WardCode],"BH")=0,"",SUMIFS(tblDaily[Discharges],tblDaily[EntryDate],DATE(2026,7,3),tblDaily[WardCode],"BH")),"")</f>
        <v/>
      </c>
      <c r="D243" s="12">
        <f>IFERROR(IF(SUMIFS(tblDaily[Deaths],tblDaily[EntryDate],DATE(2026,7,3),tblDaily[WardCode],"BH")=0,"",SUMIFS(tblDaily[Deaths],tblDaily[EntryDate],DATE(2026,7,3),tblDaily[WardCode],"BH")),"")</f>
        <v/>
      </c>
      <c r="E243" s="12">
        <f>IFERROR(IF(SUMIFS(tblDaily[DeathsUnder24Hrs],tblDaily[EntryDate],DATE(2026,7,3),tblDaily[WardCode],"BH")=0,"",SUMIFS(tblDaily[DeathsUnder24Hrs],tblDaily[EntryDate],DATE(2026,7,3),tblDaily[WardCode],"BH")),"")</f>
        <v/>
      </c>
      <c r="F243" s="12">
        <f>IFERROR(IF(SUMIFS(tblDaily[TransfersIn],tblDaily[EntryDate],DATE(2026,7,3),tblDaily[WardCode],"BH")=0,"",SUMIFS(tblDaily[TransfersIn],tblDaily[EntryDate],DATE(2026,7,3),tblDaily[WardCode],"BH")),"")</f>
        <v/>
      </c>
      <c r="G243" s="12">
        <f>IFERROR(IF(SUMIFS(tblDaily[TransfersOut],tblDaily[EntryDate],DATE(2026,7,3),tblDaily[WardCode],"BH")=0,"",SUMIFS(tblDaily[TransfersOut],tblDaily[EntryDate],DATE(2026,7,3),tblDaily[WardCode],"BH")),"")</f>
        <v/>
      </c>
      <c r="H243" s="12">
        <f>IFERROR(IF(SUMIFS(tblDaily[Remaining],tblDaily[EntryDate],DATE(2026,7,3),tblDaily[WardCode],"BH")=0,"",SUMIFS(tblDaily[Remaining],tblDaily[EntryDate],DATE(2026,7,3),tblDaily[WardCode],"BH")),"")</f>
        <v/>
      </c>
    </row>
    <row r="244">
      <c r="A244" s="12" t="n">
        <v>4</v>
      </c>
      <c r="B244" s="12">
        <f>IFERROR(IF(SUMIFS(tblDaily[Admissions],tblDaily[EntryDate],DATE(2026,7,4),tblDaily[WardCode],"BH")=0,"",SUMIFS(tblDaily[Admissions],tblDaily[EntryDate],DATE(2026,7,4),tblDaily[WardCode],"BH")),"")</f>
        <v/>
      </c>
      <c r="C244" s="12">
        <f>IFERROR(IF(SUMIFS(tblDaily[Discharges],tblDaily[EntryDate],DATE(2026,7,4),tblDaily[WardCode],"BH")=0,"",SUMIFS(tblDaily[Discharges],tblDaily[EntryDate],DATE(2026,7,4),tblDaily[WardCode],"BH")),"")</f>
        <v/>
      </c>
      <c r="D244" s="12">
        <f>IFERROR(IF(SUMIFS(tblDaily[Deaths],tblDaily[EntryDate],DATE(2026,7,4),tblDaily[WardCode],"BH")=0,"",SUMIFS(tblDaily[Deaths],tblDaily[EntryDate],DATE(2026,7,4),tblDaily[WardCode],"BH")),"")</f>
        <v/>
      </c>
      <c r="E244" s="12">
        <f>IFERROR(IF(SUMIFS(tblDaily[DeathsUnder24Hrs],tblDaily[EntryDate],DATE(2026,7,4),tblDaily[WardCode],"BH")=0,"",SUMIFS(tblDaily[DeathsUnder24Hrs],tblDaily[EntryDate],DATE(2026,7,4),tblDaily[WardCode],"BH")),"")</f>
        <v/>
      </c>
      <c r="F244" s="12">
        <f>IFERROR(IF(SUMIFS(tblDaily[TransfersIn],tblDaily[EntryDate],DATE(2026,7,4),tblDaily[WardCode],"BH")=0,"",SUMIFS(tblDaily[TransfersIn],tblDaily[EntryDate],DATE(2026,7,4),tblDaily[WardCode],"BH")),"")</f>
        <v/>
      </c>
      <c r="G244" s="12">
        <f>IFERROR(IF(SUMIFS(tblDaily[TransfersOut],tblDaily[EntryDate],DATE(2026,7,4),tblDaily[WardCode],"BH")=0,"",SUMIFS(tblDaily[TransfersOut],tblDaily[EntryDate],DATE(2026,7,4),tblDaily[WardCode],"BH")),"")</f>
        <v/>
      </c>
      <c r="H244" s="12">
        <f>IFERROR(IF(SUMIFS(tblDaily[Remaining],tblDaily[EntryDate],DATE(2026,7,4),tblDaily[WardCode],"BH")=0,"",SUMIFS(tblDaily[Remaining],tblDaily[EntryDate],DATE(2026,7,4),tblDaily[WardCode],"BH")),"")</f>
        <v/>
      </c>
    </row>
    <row r="245">
      <c r="A245" s="12" t="n">
        <v>5</v>
      </c>
      <c r="B245" s="12">
        <f>IFERROR(IF(SUMIFS(tblDaily[Admissions],tblDaily[EntryDate],DATE(2026,7,5),tblDaily[WardCode],"BH")=0,"",SUMIFS(tblDaily[Admissions],tblDaily[EntryDate],DATE(2026,7,5),tblDaily[WardCode],"BH")),"")</f>
        <v/>
      </c>
      <c r="C245" s="12">
        <f>IFERROR(IF(SUMIFS(tblDaily[Discharges],tblDaily[EntryDate],DATE(2026,7,5),tblDaily[WardCode],"BH")=0,"",SUMIFS(tblDaily[Discharges],tblDaily[EntryDate],DATE(2026,7,5),tblDaily[WardCode],"BH")),"")</f>
        <v/>
      </c>
      <c r="D245" s="12">
        <f>IFERROR(IF(SUMIFS(tblDaily[Deaths],tblDaily[EntryDate],DATE(2026,7,5),tblDaily[WardCode],"BH")=0,"",SUMIFS(tblDaily[Deaths],tblDaily[EntryDate],DATE(2026,7,5),tblDaily[WardCode],"BH")),"")</f>
        <v/>
      </c>
      <c r="E245" s="12">
        <f>IFERROR(IF(SUMIFS(tblDaily[DeathsUnder24Hrs],tblDaily[EntryDate],DATE(2026,7,5),tblDaily[WardCode],"BH")=0,"",SUMIFS(tblDaily[DeathsUnder24Hrs],tblDaily[EntryDate],DATE(2026,7,5),tblDaily[WardCode],"BH")),"")</f>
        <v/>
      </c>
      <c r="F245" s="12">
        <f>IFERROR(IF(SUMIFS(tblDaily[TransfersIn],tblDaily[EntryDate],DATE(2026,7,5),tblDaily[WardCode],"BH")=0,"",SUMIFS(tblDaily[TransfersIn],tblDaily[EntryDate],DATE(2026,7,5),tblDaily[WardCode],"BH")),"")</f>
        <v/>
      </c>
      <c r="G245" s="12">
        <f>IFERROR(IF(SUMIFS(tblDaily[TransfersOut],tblDaily[EntryDate],DATE(2026,7,5),tblDaily[WardCode],"BH")=0,"",SUMIFS(tblDaily[TransfersOut],tblDaily[EntryDate],DATE(2026,7,5),tblDaily[WardCode],"BH")),"")</f>
        <v/>
      </c>
      <c r="H245" s="12">
        <f>IFERROR(IF(SUMIFS(tblDaily[Remaining],tblDaily[EntryDate],DATE(2026,7,5),tblDaily[WardCode],"BH")=0,"",SUMIFS(tblDaily[Remaining],tblDaily[EntryDate],DATE(2026,7,5),tblDaily[WardCode],"BH")),"")</f>
        <v/>
      </c>
    </row>
    <row r="246">
      <c r="A246" s="12" t="n">
        <v>6</v>
      </c>
      <c r="B246" s="12">
        <f>IFERROR(IF(SUMIFS(tblDaily[Admissions],tblDaily[EntryDate],DATE(2026,7,6),tblDaily[WardCode],"BH")=0,"",SUMIFS(tblDaily[Admissions],tblDaily[EntryDate],DATE(2026,7,6),tblDaily[WardCode],"BH")),"")</f>
        <v/>
      </c>
      <c r="C246" s="12">
        <f>IFERROR(IF(SUMIFS(tblDaily[Discharges],tblDaily[EntryDate],DATE(2026,7,6),tblDaily[WardCode],"BH")=0,"",SUMIFS(tblDaily[Discharges],tblDaily[EntryDate],DATE(2026,7,6),tblDaily[WardCode],"BH")),"")</f>
        <v/>
      </c>
      <c r="D246" s="12">
        <f>IFERROR(IF(SUMIFS(tblDaily[Deaths],tblDaily[EntryDate],DATE(2026,7,6),tblDaily[WardCode],"BH")=0,"",SUMIFS(tblDaily[Deaths],tblDaily[EntryDate],DATE(2026,7,6),tblDaily[WardCode],"BH")),"")</f>
        <v/>
      </c>
      <c r="E246" s="12">
        <f>IFERROR(IF(SUMIFS(tblDaily[DeathsUnder24Hrs],tblDaily[EntryDate],DATE(2026,7,6),tblDaily[WardCode],"BH")=0,"",SUMIFS(tblDaily[DeathsUnder24Hrs],tblDaily[EntryDate],DATE(2026,7,6),tblDaily[WardCode],"BH")),"")</f>
        <v/>
      </c>
      <c r="F246" s="12">
        <f>IFERROR(IF(SUMIFS(tblDaily[TransfersIn],tblDaily[EntryDate],DATE(2026,7,6),tblDaily[WardCode],"BH")=0,"",SUMIFS(tblDaily[TransfersIn],tblDaily[EntryDate],DATE(2026,7,6),tblDaily[WardCode],"BH")),"")</f>
        <v/>
      </c>
      <c r="G246" s="12">
        <f>IFERROR(IF(SUMIFS(tblDaily[TransfersOut],tblDaily[EntryDate],DATE(2026,7,6),tblDaily[WardCode],"BH")=0,"",SUMIFS(tblDaily[TransfersOut],tblDaily[EntryDate],DATE(2026,7,6),tblDaily[WardCode],"BH")),"")</f>
        <v/>
      </c>
      <c r="H246" s="12">
        <f>IFERROR(IF(SUMIFS(tblDaily[Remaining],tblDaily[EntryDate],DATE(2026,7,6),tblDaily[WardCode],"BH")=0,"",SUMIFS(tblDaily[Remaining],tblDaily[EntryDate],DATE(2026,7,6),tblDaily[WardCode],"BH")),"")</f>
        <v/>
      </c>
    </row>
    <row r="247">
      <c r="A247" s="12" t="n">
        <v>7</v>
      </c>
      <c r="B247" s="12">
        <f>IFERROR(IF(SUMIFS(tblDaily[Admissions],tblDaily[EntryDate],DATE(2026,7,7),tblDaily[WardCode],"BH")=0,"",SUMIFS(tblDaily[Admissions],tblDaily[EntryDate],DATE(2026,7,7),tblDaily[WardCode],"BH")),"")</f>
        <v/>
      </c>
      <c r="C247" s="12">
        <f>IFERROR(IF(SUMIFS(tblDaily[Discharges],tblDaily[EntryDate],DATE(2026,7,7),tblDaily[WardCode],"BH")=0,"",SUMIFS(tblDaily[Discharges],tblDaily[EntryDate],DATE(2026,7,7),tblDaily[WardCode],"BH")),"")</f>
        <v/>
      </c>
      <c r="D247" s="12">
        <f>IFERROR(IF(SUMIFS(tblDaily[Deaths],tblDaily[EntryDate],DATE(2026,7,7),tblDaily[WardCode],"BH")=0,"",SUMIFS(tblDaily[Deaths],tblDaily[EntryDate],DATE(2026,7,7),tblDaily[WardCode],"BH")),"")</f>
        <v/>
      </c>
      <c r="E247" s="12">
        <f>IFERROR(IF(SUMIFS(tblDaily[DeathsUnder24Hrs],tblDaily[EntryDate],DATE(2026,7,7),tblDaily[WardCode],"BH")=0,"",SUMIFS(tblDaily[DeathsUnder24Hrs],tblDaily[EntryDate],DATE(2026,7,7),tblDaily[WardCode],"BH")),"")</f>
        <v/>
      </c>
      <c r="F247" s="12">
        <f>IFERROR(IF(SUMIFS(tblDaily[TransfersIn],tblDaily[EntryDate],DATE(2026,7,7),tblDaily[WardCode],"BH")=0,"",SUMIFS(tblDaily[TransfersIn],tblDaily[EntryDate],DATE(2026,7,7),tblDaily[WardCode],"BH")),"")</f>
        <v/>
      </c>
      <c r="G247" s="12">
        <f>IFERROR(IF(SUMIFS(tblDaily[TransfersOut],tblDaily[EntryDate],DATE(2026,7,7),tblDaily[WardCode],"BH")=0,"",SUMIFS(tblDaily[TransfersOut],tblDaily[EntryDate],DATE(2026,7,7),tblDaily[WardCode],"BH")),"")</f>
        <v/>
      </c>
      <c r="H247" s="12">
        <f>IFERROR(IF(SUMIFS(tblDaily[Remaining],tblDaily[EntryDate],DATE(2026,7,7),tblDaily[WardCode],"BH")=0,"",SUMIFS(tblDaily[Remaining],tblDaily[EntryDate],DATE(2026,7,7),tblDaily[WardCode],"BH")),"")</f>
        <v/>
      </c>
    </row>
    <row r="248">
      <c r="A248" s="12" t="n">
        <v>8</v>
      </c>
      <c r="B248" s="12">
        <f>IFERROR(IF(SUMIFS(tblDaily[Admissions],tblDaily[EntryDate],DATE(2026,7,8),tblDaily[WardCode],"BH")=0,"",SUMIFS(tblDaily[Admissions],tblDaily[EntryDate],DATE(2026,7,8),tblDaily[WardCode],"BH")),"")</f>
        <v/>
      </c>
      <c r="C248" s="12">
        <f>IFERROR(IF(SUMIFS(tblDaily[Discharges],tblDaily[EntryDate],DATE(2026,7,8),tblDaily[WardCode],"BH")=0,"",SUMIFS(tblDaily[Discharges],tblDaily[EntryDate],DATE(2026,7,8),tblDaily[WardCode],"BH")),"")</f>
        <v/>
      </c>
      <c r="D248" s="12">
        <f>IFERROR(IF(SUMIFS(tblDaily[Deaths],tblDaily[EntryDate],DATE(2026,7,8),tblDaily[WardCode],"BH")=0,"",SUMIFS(tblDaily[Deaths],tblDaily[EntryDate],DATE(2026,7,8),tblDaily[WardCode],"BH")),"")</f>
        <v/>
      </c>
      <c r="E248" s="12">
        <f>IFERROR(IF(SUMIFS(tblDaily[DeathsUnder24Hrs],tblDaily[EntryDate],DATE(2026,7,8),tblDaily[WardCode],"BH")=0,"",SUMIFS(tblDaily[DeathsUnder24Hrs],tblDaily[EntryDate],DATE(2026,7,8),tblDaily[WardCode],"BH")),"")</f>
        <v/>
      </c>
      <c r="F248" s="12">
        <f>IFERROR(IF(SUMIFS(tblDaily[TransfersIn],tblDaily[EntryDate],DATE(2026,7,8),tblDaily[WardCode],"BH")=0,"",SUMIFS(tblDaily[TransfersIn],tblDaily[EntryDate],DATE(2026,7,8),tblDaily[WardCode],"BH")),"")</f>
        <v/>
      </c>
      <c r="G248" s="12">
        <f>IFERROR(IF(SUMIFS(tblDaily[TransfersOut],tblDaily[EntryDate],DATE(2026,7,8),tblDaily[WardCode],"BH")=0,"",SUMIFS(tblDaily[TransfersOut],tblDaily[EntryDate],DATE(2026,7,8),tblDaily[WardCode],"BH")),"")</f>
        <v/>
      </c>
      <c r="H248" s="12">
        <f>IFERROR(IF(SUMIFS(tblDaily[Remaining],tblDaily[EntryDate],DATE(2026,7,8),tblDaily[WardCode],"BH")=0,"",SUMIFS(tblDaily[Remaining],tblDaily[EntryDate],DATE(2026,7,8),tblDaily[WardCode],"BH")),"")</f>
        <v/>
      </c>
    </row>
    <row r="249">
      <c r="A249" s="12" t="n">
        <v>9</v>
      </c>
      <c r="B249" s="12">
        <f>IFERROR(IF(SUMIFS(tblDaily[Admissions],tblDaily[EntryDate],DATE(2026,7,9),tblDaily[WardCode],"BH")=0,"",SUMIFS(tblDaily[Admissions],tblDaily[EntryDate],DATE(2026,7,9),tblDaily[WardCode],"BH")),"")</f>
        <v/>
      </c>
      <c r="C249" s="12">
        <f>IFERROR(IF(SUMIFS(tblDaily[Discharges],tblDaily[EntryDate],DATE(2026,7,9),tblDaily[WardCode],"BH")=0,"",SUMIFS(tblDaily[Discharges],tblDaily[EntryDate],DATE(2026,7,9),tblDaily[WardCode],"BH")),"")</f>
        <v/>
      </c>
      <c r="D249" s="12">
        <f>IFERROR(IF(SUMIFS(tblDaily[Deaths],tblDaily[EntryDate],DATE(2026,7,9),tblDaily[WardCode],"BH")=0,"",SUMIFS(tblDaily[Deaths],tblDaily[EntryDate],DATE(2026,7,9),tblDaily[WardCode],"BH")),"")</f>
        <v/>
      </c>
      <c r="E249" s="12">
        <f>IFERROR(IF(SUMIFS(tblDaily[DeathsUnder24Hrs],tblDaily[EntryDate],DATE(2026,7,9),tblDaily[WardCode],"BH")=0,"",SUMIFS(tblDaily[DeathsUnder24Hrs],tblDaily[EntryDate],DATE(2026,7,9),tblDaily[WardCode],"BH")),"")</f>
        <v/>
      </c>
      <c r="F249" s="12">
        <f>IFERROR(IF(SUMIFS(tblDaily[TransfersIn],tblDaily[EntryDate],DATE(2026,7,9),tblDaily[WardCode],"BH")=0,"",SUMIFS(tblDaily[TransfersIn],tblDaily[EntryDate],DATE(2026,7,9),tblDaily[WardCode],"BH")),"")</f>
        <v/>
      </c>
      <c r="G249" s="12">
        <f>IFERROR(IF(SUMIFS(tblDaily[TransfersOut],tblDaily[EntryDate],DATE(2026,7,9),tblDaily[WardCode],"BH")=0,"",SUMIFS(tblDaily[TransfersOut],tblDaily[EntryDate],DATE(2026,7,9),tblDaily[WardCode],"BH")),"")</f>
        <v/>
      </c>
      <c r="H249" s="12">
        <f>IFERROR(IF(SUMIFS(tblDaily[Remaining],tblDaily[EntryDate],DATE(2026,7,9),tblDaily[WardCode],"BH")=0,"",SUMIFS(tblDaily[Remaining],tblDaily[EntryDate],DATE(2026,7,9),tblDaily[WardCode],"BH")),"")</f>
        <v/>
      </c>
    </row>
    <row r="250">
      <c r="A250" s="12" t="n">
        <v>10</v>
      </c>
      <c r="B250" s="12">
        <f>IFERROR(IF(SUMIFS(tblDaily[Admissions],tblDaily[EntryDate],DATE(2026,7,10),tblDaily[WardCode],"BH")=0,"",SUMIFS(tblDaily[Admissions],tblDaily[EntryDate],DATE(2026,7,10),tblDaily[WardCode],"BH")),"")</f>
        <v/>
      </c>
      <c r="C250" s="12">
        <f>IFERROR(IF(SUMIFS(tblDaily[Discharges],tblDaily[EntryDate],DATE(2026,7,10),tblDaily[WardCode],"BH")=0,"",SUMIFS(tblDaily[Discharges],tblDaily[EntryDate],DATE(2026,7,10),tblDaily[WardCode],"BH")),"")</f>
        <v/>
      </c>
      <c r="D250" s="12">
        <f>IFERROR(IF(SUMIFS(tblDaily[Deaths],tblDaily[EntryDate],DATE(2026,7,10),tblDaily[WardCode],"BH")=0,"",SUMIFS(tblDaily[Deaths],tblDaily[EntryDate],DATE(2026,7,10),tblDaily[WardCode],"BH")),"")</f>
        <v/>
      </c>
      <c r="E250" s="12">
        <f>IFERROR(IF(SUMIFS(tblDaily[DeathsUnder24Hrs],tblDaily[EntryDate],DATE(2026,7,10),tblDaily[WardCode],"BH")=0,"",SUMIFS(tblDaily[DeathsUnder24Hrs],tblDaily[EntryDate],DATE(2026,7,10),tblDaily[WardCode],"BH")),"")</f>
        <v/>
      </c>
      <c r="F250" s="12">
        <f>IFERROR(IF(SUMIFS(tblDaily[TransfersIn],tblDaily[EntryDate],DATE(2026,7,10),tblDaily[WardCode],"BH")=0,"",SUMIFS(tblDaily[TransfersIn],tblDaily[EntryDate],DATE(2026,7,10),tblDaily[WardCode],"BH")),"")</f>
        <v/>
      </c>
      <c r="G250" s="12">
        <f>IFERROR(IF(SUMIFS(tblDaily[TransfersOut],tblDaily[EntryDate],DATE(2026,7,10),tblDaily[WardCode],"BH")=0,"",SUMIFS(tblDaily[TransfersOut],tblDaily[EntryDate],DATE(2026,7,10),tblDaily[WardCode],"BH")),"")</f>
        <v/>
      </c>
      <c r="H250" s="12">
        <f>IFERROR(IF(SUMIFS(tblDaily[Remaining],tblDaily[EntryDate],DATE(2026,7,10),tblDaily[WardCode],"BH")=0,"",SUMIFS(tblDaily[Remaining],tblDaily[EntryDate],DATE(2026,7,10),tblDaily[WardCode],"BH")),"")</f>
        <v/>
      </c>
    </row>
    <row r="251">
      <c r="A251" s="12" t="n">
        <v>11</v>
      </c>
      <c r="B251" s="12">
        <f>IFERROR(IF(SUMIFS(tblDaily[Admissions],tblDaily[EntryDate],DATE(2026,7,11),tblDaily[WardCode],"BH")=0,"",SUMIFS(tblDaily[Admissions],tblDaily[EntryDate],DATE(2026,7,11),tblDaily[WardCode],"BH")),"")</f>
        <v/>
      </c>
      <c r="C251" s="12">
        <f>IFERROR(IF(SUMIFS(tblDaily[Discharges],tblDaily[EntryDate],DATE(2026,7,11),tblDaily[WardCode],"BH")=0,"",SUMIFS(tblDaily[Discharges],tblDaily[EntryDate],DATE(2026,7,11),tblDaily[WardCode],"BH")),"")</f>
        <v/>
      </c>
      <c r="D251" s="12">
        <f>IFERROR(IF(SUMIFS(tblDaily[Deaths],tblDaily[EntryDate],DATE(2026,7,11),tblDaily[WardCode],"BH")=0,"",SUMIFS(tblDaily[Deaths],tblDaily[EntryDate],DATE(2026,7,11),tblDaily[WardCode],"BH")),"")</f>
        <v/>
      </c>
      <c r="E251" s="12">
        <f>IFERROR(IF(SUMIFS(tblDaily[DeathsUnder24Hrs],tblDaily[EntryDate],DATE(2026,7,11),tblDaily[WardCode],"BH")=0,"",SUMIFS(tblDaily[DeathsUnder24Hrs],tblDaily[EntryDate],DATE(2026,7,11),tblDaily[WardCode],"BH")),"")</f>
        <v/>
      </c>
      <c r="F251" s="12">
        <f>IFERROR(IF(SUMIFS(tblDaily[TransfersIn],tblDaily[EntryDate],DATE(2026,7,11),tblDaily[WardCode],"BH")=0,"",SUMIFS(tblDaily[TransfersIn],tblDaily[EntryDate],DATE(2026,7,11),tblDaily[WardCode],"BH")),"")</f>
        <v/>
      </c>
      <c r="G251" s="12">
        <f>IFERROR(IF(SUMIFS(tblDaily[TransfersOut],tblDaily[EntryDate],DATE(2026,7,11),tblDaily[WardCode],"BH")=0,"",SUMIFS(tblDaily[TransfersOut],tblDaily[EntryDate],DATE(2026,7,11),tblDaily[WardCode],"BH")),"")</f>
        <v/>
      </c>
      <c r="H251" s="12">
        <f>IFERROR(IF(SUMIFS(tblDaily[Remaining],tblDaily[EntryDate],DATE(2026,7,11),tblDaily[WardCode],"BH")=0,"",SUMIFS(tblDaily[Remaining],tblDaily[EntryDate],DATE(2026,7,11),tblDaily[WardCode],"BH")),"")</f>
        <v/>
      </c>
    </row>
    <row r="252">
      <c r="A252" s="12" t="n">
        <v>12</v>
      </c>
      <c r="B252" s="12">
        <f>IFERROR(IF(SUMIFS(tblDaily[Admissions],tblDaily[EntryDate],DATE(2026,7,12),tblDaily[WardCode],"BH")=0,"",SUMIFS(tblDaily[Admissions],tblDaily[EntryDate],DATE(2026,7,12),tblDaily[WardCode],"BH")),"")</f>
        <v/>
      </c>
      <c r="C252" s="12">
        <f>IFERROR(IF(SUMIFS(tblDaily[Discharges],tblDaily[EntryDate],DATE(2026,7,12),tblDaily[WardCode],"BH")=0,"",SUMIFS(tblDaily[Discharges],tblDaily[EntryDate],DATE(2026,7,12),tblDaily[WardCode],"BH")),"")</f>
        <v/>
      </c>
      <c r="D252" s="12">
        <f>IFERROR(IF(SUMIFS(tblDaily[Deaths],tblDaily[EntryDate],DATE(2026,7,12),tblDaily[WardCode],"BH")=0,"",SUMIFS(tblDaily[Deaths],tblDaily[EntryDate],DATE(2026,7,12),tblDaily[WardCode],"BH")),"")</f>
        <v/>
      </c>
      <c r="E252" s="12">
        <f>IFERROR(IF(SUMIFS(tblDaily[DeathsUnder24Hrs],tblDaily[EntryDate],DATE(2026,7,12),tblDaily[WardCode],"BH")=0,"",SUMIFS(tblDaily[DeathsUnder24Hrs],tblDaily[EntryDate],DATE(2026,7,12),tblDaily[WardCode],"BH")),"")</f>
        <v/>
      </c>
      <c r="F252" s="12">
        <f>IFERROR(IF(SUMIFS(tblDaily[TransfersIn],tblDaily[EntryDate],DATE(2026,7,12),tblDaily[WardCode],"BH")=0,"",SUMIFS(tblDaily[TransfersIn],tblDaily[EntryDate],DATE(2026,7,12),tblDaily[WardCode],"BH")),"")</f>
        <v/>
      </c>
      <c r="G252" s="12">
        <f>IFERROR(IF(SUMIFS(tblDaily[TransfersOut],tblDaily[EntryDate],DATE(2026,7,12),tblDaily[WardCode],"BH")=0,"",SUMIFS(tblDaily[TransfersOut],tblDaily[EntryDate],DATE(2026,7,12),tblDaily[WardCode],"BH")),"")</f>
        <v/>
      </c>
      <c r="H252" s="12">
        <f>IFERROR(IF(SUMIFS(tblDaily[Remaining],tblDaily[EntryDate],DATE(2026,7,12),tblDaily[WardCode],"BH")=0,"",SUMIFS(tblDaily[Remaining],tblDaily[EntryDate],DATE(2026,7,12),tblDaily[WardCode],"BH")),"")</f>
        <v/>
      </c>
    </row>
    <row r="253">
      <c r="A253" s="12" t="n">
        <v>13</v>
      </c>
      <c r="B253" s="12">
        <f>IFERROR(IF(SUMIFS(tblDaily[Admissions],tblDaily[EntryDate],DATE(2026,7,13),tblDaily[WardCode],"BH")=0,"",SUMIFS(tblDaily[Admissions],tblDaily[EntryDate],DATE(2026,7,13),tblDaily[WardCode],"BH")),"")</f>
        <v/>
      </c>
      <c r="C253" s="12">
        <f>IFERROR(IF(SUMIFS(tblDaily[Discharges],tblDaily[EntryDate],DATE(2026,7,13),tblDaily[WardCode],"BH")=0,"",SUMIFS(tblDaily[Discharges],tblDaily[EntryDate],DATE(2026,7,13),tblDaily[WardCode],"BH")),"")</f>
        <v/>
      </c>
      <c r="D253" s="12">
        <f>IFERROR(IF(SUMIFS(tblDaily[Deaths],tblDaily[EntryDate],DATE(2026,7,13),tblDaily[WardCode],"BH")=0,"",SUMIFS(tblDaily[Deaths],tblDaily[EntryDate],DATE(2026,7,13),tblDaily[WardCode],"BH")),"")</f>
        <v/>
      </c>
      <c r="E253" s="12">
        <f>IFERROR(IF(SUMIFS(tblDaily[DeathsUnder24Hrs],tblDaily[EntryDate],DATE(2026,7,13),tblDaily[WardCode],"BH")=0,"",SUMIFS(tblDaily[DeathsUnder24Hrs],tblDaily[EntryDate],DATE(2026,7,13),tblDaily[WardCode],"BH")),"")</f>
        <v/>
      </c>
      <c r="F253" s="12">
        <f>IFERROR(IF(SUMIFS(tblDaily[TransfersIn],tblDaily[EntryDate],DATE(2026,7,13),tblDaily[WardCode],"BH")=0,"",SUMIFS(tblDaily[TransfersIn],tblDaily[EntryDate],DATE(2026,7,13),tblDaily[WardCode],"BH")),"")</f>
        <v/>
      </c>
      <c r="G253" s="12">
        <f>IFERROR(IF(SUMIFS(tblDaily[TransfersOut],tblDaily[EntryDate],DATE(2026,7,13),tblDaily[WardCode],"BH")=0,"",SUMIFS(tblDaily[TransfersOut],tblDaily[EntryDate],DATE(2026,7,13),tblDaily[WardCode],"BH")),"")</f>
        <v/>
      </c>
      <c r="H253" s="12">
        <f>IFERROR(IF(SUMIFS(tblDaily[Remaining],tblDaily[EntryDate],DATE(2026,7,13),tblDaily[WardCode],"BH")=0,"",SUMIFS(tblDaily[Remaining],tblDaily[EntryDate],DATE(2026,7,13),tblDaily[WardCode],"BH")),"")</f>
        <v/>
      </c>
    </row>
    <row r="254">
      <c r="A254" s="12" t="n">
        <v>14</v>
      </c>
      <c r="B254" s="12">
        <f>IFERROR(IF(SUMIFS(tblDaily[Admissions],tblDaily[EntryDate],DATE(2026,7,14),tblDaily[WardCode],"BH")=0,"",SUMIFS(tblDaily[Admissions],tblDaily[EntryDate],DATE(2026,7,14),tblDaily[WardCode],"BH")),"")</f>
        <v/>
      </c>
      <c r="C254" s="12">
        <f>IFERROR(IF(SUMIFS(tblDaily[Discharges],tblDaily[EntryDate],DATE(2026,7,14),tblDaily[WardCode],"BH")=0,"",SUMIFS(tblDaily[Discharges],tblDaily[EntryDate],DATE(2026,7,14),tblDaily[WardCode],"BH")),"")</f>
        <v/>
      </c>
      <c r="D254" s="12">
        <f>IFERROR(IF(SUMIFS(tblDaily[Deaths],tblDaily[EntryDate],DATE(2026,7,14),tblDaily[WardCode],"BH")=0,"",SUMIFS(tblDaily[Deaths],tblDaily[EntryDate],DATE(2026,7,14),tblDaily[WardCode],"BH")),"")</f>
        <v/>
      </c>
      <c r="E254" s="12">
        <f>IFERROR(IF(SUMIFS(tblDaily[DeathsUnder24Hrs],tblDaily[EntryDate],DATE(2026,7,14),tblDaily[WardCode],"BH")=0,"",SUMIFS(tblDaily[DeathsUnder24Hrs],tblDaily[EntryDate],DATE(2026,7,14),tblDaily[WardCode],"BH")),"")</f>
        <v/>
      </c>
      <c r="F254" s="12">
        <f>IFERROR(IF(SUMIFS(tblDaily[TransfersIn],tblDaily[EntryDate],DATE(2026,7,14),tblDaily[WardCode],"BH")=0,"",SUMIFS(tblDaily[TransfersIn],tblDaily[EntryDate],DATE(2026,7,14),tblDaily[WardCode],"BH")),"")</f>
        <v/>
      </c>
      <c r="G254" s="12">
        <f>IFERROR(IF(SUMIFS(tblDaily[TransfersOut],tblDaily[EntryDate],DATE(2026,7,14),tblDaily[WardCode],"BH")=0,"",SUMIFS(tblDaily[TransfersOut],tblDaily[EntryDate],DATE(2026,7,14),tblDaily[WardCode],"BH")),"")</f>
        <v/>
      </c>
      <c r="H254" s="12">
        <f>IFERROR(IF(SUMIFS(tblDaily[Remaining],tblDaily[EntryDate],DATE(2026,7,14),tblDaily[WardCode],"BH")=0,"",SUMIFS(tblDaily[Remaining],tblDaily[EntryDate],DATE(2026,7,14),tblDaily[WardCode],"BH")),"")</f>
        <v/>
      </c>
    </row>
    <row r="255">
      <c r="A255" s="12" t="n">
        <v>15</v>
      </c>
      <c r="B255" s="12">
        <f>IFERROR(IF(SUMIFS(tblDaily[Admissions],tblDaily[EntryDate],DATE(2026,7,15),tblDaily[WardCode],"BH")=0,"",SUMIFS(tblDaily[Admissions],tblDaily[EntryDate],DATE(2026,7,15),tblDaily[WardCode],"BH")),"")</f>
        <v/>
      </c>
      <c r="C255" s="12">
        <f>IFERROR(IF(SUMIFS(tblDaily[Discharges],tblDaily[EntryDate],DATE(2026,7,15),tblDaily[WardCode],"BH")=0,"",SUMIFS(tblDaily[Discharges],tblDaily[EntryDate],DATE(2026,7,15),tblDaily[WardCode],"BH")),"")</f>
        <v/>
      </c>
      <c r="D255" s="12">
        <f>IFERROR(IF(SUMIFS(tblDaily[Deaths],tblDaily[EntryDate],DATE(2026,7,15),tblDaily[WardCode],"BH")=0,"",SUMIFS(tblDaily[Deaths],tblDaily[EntryDate],DATE(2026,7,15),tblDaily[WardCode],"BH")),"")</f>
        <v/>
      </c>
      <c r="E255" s="12">
        <f>IFERROR(IF(SUMIFS(tblDaily[DeathsUnder24Hrs],tblDaily[EntryDate],DATE(2026,7,15),tblDaily[WardCode],"BH")=0,"",SUMIFS(tblDaily[DeathsUnder24Hrs],tblDaily[EntryDate],DATE(2026,7,15),tblDaily[WardCode],"BH")),"")</f>
        <v/>
      </c>
      <c r="F255" s="12">
        <f>IFERROR(IF(SUMIFS(tblDaily[TransfersIn],tblDaily[EntryDate],DATE(2026,7,15),tblDaily[WardCode],"BH")=0,"",SUMIFS(tblDaily[TransfersIn],tblDaily[EntryDate],DATE(2026,7,15),tblDaily[WardCode],"BH")),"")</f>
        <v/>
      </c>
      <c r="G255" s="12">
        <f>IFERROR(IF(SUMIFS(tblDaily[TransfersOut],tblDaily[EntryDate],DATE(2026,7,15),tblDaily[WardCode],"BH")=0,"",SUMIFS(tblDaily[TransfersOut],tblDaily[EntryDate],DATE(2026,7,15),tblDaily[WardCode],"BH")),"")</f>
        <v/>
      </c>
      <c r="H255" s="12">
        <f>IFERROR(IF(SUMIFS(tblDaily[Remaining],tblDaily[EntryDate],DATE(2026,7,15),tblDaily[WardCode],"BH")=0,"",SUMIFS(tblDaily[Remaining],tblDaily[EntryDate],DATE(2026,7,15),tblDaily[WardCode],"BH")),"")</f>
        <v/>
      </c>
    </row>
    <row r="256">
      <c r="A256" s="12" t="n">
        <v>16</v>
      </c>
      <c r="B256" s="12">
        <f>IFERROR(IF(SUMIFS(tblDaily[Admissions],tblDaily[EntryDate],DATE(2026,7,16),tblDaily[WardCode],"BH")=0,"",SUMIFS(tblDaily[Admissions],tblDaily[EntryDate],DATE(2026,7,16),tblDaily[WardCode],"BH")),"")</f>
        <v/>
      </c>
      <c r="C256" s="12">
        <f>IFERROR(IF(SUMIFS(tblDaily[Discharges],tblDaily[EntryDate],DATE(2026,7,16),tblDaily[WardCode],"BH")=0,"",SUMIFS(tblDaily[Discharges],tblDaily[EntryDate],DATE(2026,7,16),tblDaily[WardCode],"BH")),"")</f>
        <v/>
      </c>
      <c r="D256" s="12">
        <f>IFERROR(IF(SUMIFS(tblDaily[Deaths],tblDaily[EntryDate],DATE(2026,7,16),tblDaily[WardCode],"BH")=0,"",SUMIFS(tblDaily[Deaths],tblDaily[EntryDate],DATE(2026,7,16),tblDaily[WardCode],"BH")),"")</f>
        <v/>
      </c>
      <c r="E256" s="12">
        <f>IFERROR(IF(SUMIFS(tblDaily[DeathsUnder24Hrs],tblDaily[EntryDate],DATE(2026,7,16),tblDaily[WardCode],"BH")=0,"",SUMIFS(tblDaily[DeathsUnder24Hrs],tblDaily[EntryDate],DATE(2026,7,16),tblDaily[WardCode],"BH")),"")</f>
        <v/>
      </c>
      <c r="F256" s="12">
        <f>IFERROR(IF(SUMIFS(tblDaily[TransfersIn],tblDaily[EntryDate],DATE(2026,7,16),tblDaily[WardCode],"BH")=0,"",SUMIFS(tblDaily[TransfersIn],tblDaily[EntryDate],DATE(2026,7,16),tblDaily[WardCode],"BH")),"")</f>
        <v/>
      </c>
      <c r="G256" s="12">
        <f>IFERROR(IF(SUMIFS(tblDaily[TransfersOut],tblDaily[EntryDate],DATE(2026,7,16),tblDaily[WardCode],"BH")=0,"",SUMIFS(tblDaily[TransfersOut],tblDaily[EntryDate],DATE(2026,7,16),tblDaily[WardCode],"BH")),"")</f>
        <v/>
      </c>
      <c r="H256" s="12">
        <f>IFERROR(IF(SUMIFS(tblDaily[Remaining],tblDaily[EntryDate],DATE(2026,7,16),tblDaily[WardCode],"BH")=0,"",SUMIFS(tblDaily[Remaining],tblDaily[EntryDate],DATE(2026,7,16),tblDaily[WardCode],"BH")),"")</f>
        <v/>
      </c>
    </row>
    <row r="257">
      <c r="A257" s="12" t="n">
        <v>17</v>
      </c>
      <c r="B257" s="12">
        <f>IFERROR(IF(SUMIFS(tblDaily[Admissions],tblDaily[EntryDate],DATE(2026,7,17),tblDaily[WardCode],"BH")=0,"",SUMIFS(tblDaily[Admissions],tblDaily[EntryDate],DATE(2026,7,17),tblDaily[WardCode],"BH")),"")</f>
        <v/>
      </c>
      <c r="C257" s="12">
        <f>IFERROR(IF(SUMIFS(tblDaily[Discharges],tblDaily[EntryDate],DATE(2026,7,17),tblDaily[WardCode],"BH")=0,"",SUMIFS(tblDaily[Discharges],tblDaily[EntryDate],DATE(2026,7,17),tblDaily[WardCode],"BH")),"")</f>
        <v/>
      </c>
      <c r="D257" s="12">
        <f>IFERROR(IF(SUMIFS(tblDaily[Deaths],tblDaily[EntryDate],DATE(2026,7,17),tblDaily[WardCode],"BH")=0,"",SUMIFS(tblDaily[Deaths],tblDaily[EntryDate],DATE(2026,7,17),tblDaily[WardCode],"BH")),"")</f>
        <v/>
      </c>
      <c r="E257" s="12">
        <f>IFERROR(IF(SUMIFS(tblDaily[DeathsUnder24Hrs],tblDaily[EntryDate],DATE(2026,7,17),tblDaily[WardCode],"BH")=0,"",SUMIFS(tblDaily[DeathsUnder24Hrs],tblDaily[EntryDate],DATE(2026,7,17),tblDaily[WardCode],"BH")),"")</f>
        <v/>
      </c>
      <c r="F257" s="12">
        <f>IFERROR(IF(SUMIFS(tblDaily[TransfersIn],tblDaily[EntryDate],DATE(2026,7,17),tblDaily[WardCode],"BH")=0,"",SUMIFS(tblDaily[TransfersIn],tblDaily[EntryDate],DATE(2026,7,17),tblDaily[WardCode],"BH")),"")</f>
        <v/>
      </c>
      <c r="G257" s="12">
        <f>IFERROR(IF(SUMIFS(tblDaily[TransfersOut],tblDaily[EntryDate],DATE(2026,7,17),tblDaily[WardCode],"BH")=0,"",SUMIFS(tblDaily[TransfersOut],tblDaily[EntryDate],DATE(2026,7,17),tblDaily[WardCode],"BH")),"")</f>
        <v/>
      </c>
      <c r="H257" s="12">
        <f>IFERROR(IF(SUMIFS(tblDaily[Remaining],tblDaily[EntryDate],DATE(2026,7,17),tblDaily[WardCode],"BH")=0,"",SUMIFS(tblDaily[Remaining],tblDaily[EntryDate],DATE(2026,7,17),tblDaily[WardCode],"BH")),"")</f>
        <v/>
      </c>
    </row>
    <row r="258">
      <c r="A258" s="12" t="n">
        <v>18</v>
      </c>
      <c r="B258" s="12">
        <f>IFERROR(IF(SUMIFS(tblDaily[Admissions],tblDaily[EntryDate],DATE(2026,7,18),tblDaily[WardCode],"BH")=0,"",SUMIFS(tblDaily[Admissions],tblDaily[EntryDate],DATE(2026,7,18),tblDaily[WardCode],"BH")),"")</f>
        <v/>
      </c>
      <c r="C258" s="12">
        <f>IFERROR(IF(SUMIFS(tblDaily[Discharges],tblDaily[EntryDate],DATE(2026,7,18),tblDaily[WardCode],"BH")=0,"",SUMIFS(tblDaily[Discharges],tblDaily[EntryDate],DATE(2026,7,18),tblDaily[WardCode],"BH")),"")</f>
        <v/>
      </c>
      <c r="D258" s="12">
        <f>IFERROR(IF(SUMIFS(tblDaily[Deaths],tblDaily[EntryDate],DATE(2026,7,18),tblDaily[WardCode],"BH")=0,"",SUMIFS(tblDaily[Deaths],tblDaily[EntryDate],DATE(2026,7,18),tblDaily[WardCode],"BH")),"")</f>
        <v/>
      </c>
      <c r="E258" s="12">
        <f>IFERROR(IF(SUMIFS(tblDaily[DeathsUnder24Hrs],tblDaily[EntryDate],DATE(2026,7,18),tblDaily[WardCode],"BH")=0,"",SUMIFS(tblDaily[DeathsUnder24Hrs],tblDaily[EntryDate],DATE(2026,7,18),tblDaily[WardCode],"BH")),"")</f>
        <v/>
      </c>
      <c r="F258" s="12">
        <f>IFERROR(IF(SUMIFS(tblDaily[TransfersIn],tblDaily[EntryDate],DATE(2026,7,18),tblDaily[WardCode],"BH")=0,"",SUMIFS(tblDaily[TransfersIn],tblDaily[EntryDate],DATE(2026,7,18),tblDaily[WardCode],"BH")),"")</f>
        <v/>
      </c>
      <c r="G258" s="12">
        <f>IFERROR(IF(SUMIFS(tblDaily[TransfersOut],tblDaily[EntryDate],DATE(2026,7,18),tblDaily[WardCode],"BH")=0,"",SUMIFS(tblDaily[TransfersOut],tblDaily[EntryDate],DATE(2026,7,18),tblDaily[WardCode],"BH")),"")</f>
        <v/>
      </c>
      <c r="H258" s="12">
        <f>IFERROR(IF(SUMIFS(tblDaily[Remaining],tblDaily[EntryDate],DATE(2026,7,18),tblDaily[WardCode],"BH")=0,"",SUMIFS(tblDaily[Remaining],tblDaily[EntryDate],DATE(2026,7,18),tblDaily[WardCode],"BH")),"")</f>
        <v/>
      </c>
    </row>
    <row r="259">
      <c r="A259" s="12" t="n">
        <v>19</v>
      </c>
      <c r="B259" s="12">
        <f>IFERROR(IF(SUMIFS(tblDaily[Admissions],tblDaily[EntryDate],DATE(2026,7,19),tblDaily[WardCode],"BH")=0,"",SUMIFS(tblDaily[Admissions],tblDaily[EntryDate],DATE(2026,7,19),tblDaily[WardCode],"BH")),"")</f>
        <v/>
      </c>
      <c r="C259" s="12">
        <f>IFERROR(IF(SUMIFS(tblDaily[Discharges],tblDaily[EntryDate],DATE(2026,7,19),tblDaily[WardCode],"BH")=0,"",SUMIFS(tblDaily[Discharges],tblDaily[EntryDate],DATE(2026,7,19),tblDaily[WardCode],"BH")),"")</f>
        <v/>
      </c>
      <c r="D259" s="12">
        <f>IFERROR(IF(SUMIFS(tblDaily[Deaths],tblDaily[EntryDate],DATE(2026,7,19),tblDaily[WardCode],"BH")=0,"",SUMIFS(tblDaily[Deaths],tblDaily[EntryDate],DATE(2026,7,19),tblDaily[WardCode],"BH")),"")</f>
        <v/>
      </c>
      <c r="E259" s="12">
        <f>IFERROR(IF(SUMIFS(tblDaily[DeathsUnder24Hrs],tblDaily[EntryDate],DATE(2026,7,19),tblDaily[WardCode],"BH")=0,"",SUMIFS(tblDaily[DeathsUnder24Hrs],tblDaily[EntryDate],DATE(2026,7,19),tblDaily[WardCode],"BH")),"")</f>
        <v/>
      </c>
      <c r="F259" s="12">
        <f>IFERROR(IF(SUMIFS(tblDaily[TransfersIn],tblDaily[EntryDate],DATE(2026,7,19),tblDaily[WardCode],"BH")=0,"",SUMIFS(tblDaily[TransfersIn],tblDaily[EntryDate],DATE(2026,7,19),tblDaily[WardCode],"BH")),"")</f>
        <v/>
      </c>
      <c r="G259" s="12">
        <f>IFERROR(IF(SUMIFS(tblDaily[TransfersOut],tblDaily[EntryDate],DATE(2026,7,19),tblDaily[WardCode],"BH")=0,"",SUMIFS(tblDaily[TransfersOut],tblDaily[EntryDate],DATE(2026,7,19),tblDaily[WardCode],"BH")),"")</f>
        <v/>
      </c>
      <c r="H259" s="12">
        <f>IFERROR(IF(SUMIFS(tblDaily[Remaining],tblDaily[EntryDate],DATE(2026,7,19),tblDaily[WardCode],"BH")=0,"",SUMIFS(tblDaily[Remaining],tblDaily[EntryDate],DATE(2026,7,19),tblDaily[WardCode],"BH")),"")</f>
        <v/>
      </c>
    </row>
    <row r="260">
      <c r="A260" s="12" t="n">
        <v>20</v>
      </c>
      <c r="B260" s="12">
        <f>IFERROR(IF(SUMIFS(tblDaily[Admissions],tblDaily[EntryDate],DATE(2026,7,20),tblDaily[WardCode],"BH")=0,"",SUMIFS(tblDaily[Admissions],tblDaily[EntryDate],DATE(2026,7,20),tblDaily[WardCode],"BH")),"")</f>
        <v/>
      </c>
      <c r="C260" s="12">
        <f>IFERROR(IF(SUMIFS(tblDaily[Discharges],tblDaily[EntryDate],DATE(2026,7,20),tblDaily[WardCode],"BH")=0,"",SUMIFS(tblDaily[Discharges],tblDaily[EntryDate],DATE(2026,7,20),tblDaily[WardCode],"BH")),"")</f>
        <v/>
      </c>
      <c r="D260" s="12">
        <f>IFERROR(IF(SUMIFS(tblDaily[Deaths],tblDaily[EntryDate],DATE(2026,7,20),tblDaily[WardCode],"BH")=0,"",SUMIFS(tblDaily[Deaths],tblDaily[EntryDate],DATE(2026,7,20),tblDaily[WardCode],"BH")),"")</f>
        <v/>
      </c>
      <c r="E260" s="12">
        <f>IFERROR(IF(SUMIFS(tblDaily[DeathsUnder24Hrs],tblDaily[EntryDate],DATE(2026,7,20),tblDaily[WardCode],"BH")=0,"",SUMIFS(tblDaily[DeathsUnder24Hrs],tblDaily[EntryDate],DATE(2026,7,20),tblDaily[WardCode],"BH")),"")</f>
        <v/>
      </c>
      <c r="F260" s="12">
        <f>IFERROR(IF(SUMIFS(tblDaily[TransfersIn],tblDaily[EntryDate],DATE(2026,7,20),tblDaily[WardCode],"BH")=0,"",SUMIFS(tblDaily[TransfersIn],tblDaily[EntryDate],DATE(2026,7,20),tblDaily[WardCode],"BH")),"")</f>
        <v/>
      </c>
      <c r="G260" s="12">
        <f>IFERROR(IF(SUMIFS(tblDaily[TransfersOut],tblDaily[EntryDate],DATE(2026,7,20),tblDaily[WardCode],"BH")=0,"",SUMIFS(tblDaily[TransfersOut],tblDaily[EntryDate],DATE(2026,7,20),tblDaily[WardCode],"BH")),"")</f>
        <v/>
      </c>
      <c r="H260" s="12">
        <f>IFERROR(IF(SUMIFS(tblDaily[Remaining],tblDaily[EntryDate],DATE(2026,7,20),tblDaily[WardCode],"BH")=0,"",SUMIFS(tblDaily[Remaining],tblDaily[EntryDate],DATE(2026,7,20),tblDaily[WardCode],"BH")),"")</f>
        <v/>
      </c>
    </row>
    <row r="261">
      <c r="A261" s="12" t="n">
        <v>21</v>
      </c>
      <c r="B261" s="12">
        <f>IFERROR(IF(SUMIFS(tblDaily[Admissions],tblDaily[EntryDate],DATE(2026,7,21),tblDaily[WardCode],"BH")=0,"",SUMIFS(tblDaily[Admissions],tblDaily[EntryDate],DATE(2026,7,21),tblDaily[WardCode],"BH")),"")</f>
        <v/>
      </c>
      <c r="C261" s="12">
        <f>IFERROR(IF(SUMIFS(tblDaily[Discharges],tblDaily[EntryDate],DATE(2026,7,21),tblDaily[WardCode],"BH")=0,"",SUMIFS(tblDaily[Discharges],tblDaily[EntryDate],DATE(2026,7,21),tblDaily[WardCode],"BH")),"")</f>
        <v/>
      </c>
      <c r="D261" s="12">
        <f>IFERROR(IF(SUMIFS(tblDaily[Deaths],tblDaily[EntryDate],DATE(2026,7,21),tblDaily[WardCode],"BH")=0,"",SUMIFS(tblDaily[Deaths],tblDaily[EntryDate],DATE(2026,7,21),tblDaily[WardCode],"BH")),"")</f>
        <v/>
      </c>
      <c r="E261" s="12">
        <f>IFERROR(IF(SUMIFS(tblDaily[DeathsUnder24Hrs],tblDaily[EntryDate],DATE(2026,7,21),tblDaily[WardCode],"BH")=0,"",SUMIFS(tblDaily[DeathsUnder24Hrs],tblDaily[EntryDate],DATE(2026,7,21),tblDaily[WardCode],"BH")),"")</f>
        <v/>
      </c>
      <c r="F261" s="12">
        <f>IFERROR(IF(SUMIFS(tblDaily[TransfersIn],tblDaily[EntryDate],DATE(2026,7,21),tblDaily[WardCode],"BH")=0,"",SUMIFS(tblDaily[TransfersIn],tblDaily[EntryDate],DATE(2026,7,21),tblDaily[WardCode],"BH")),"")</f>
        <v/>
      </c>
      <c r="G261" s="12">
        <f>IFERROR(IF(SUMIFS(tblDaily[TransfersOut],tblDaily[EntryDate],DATE(2026,7,21),tblDaily[WardCode],"BH")=0,"",SUMIFS(tblDaily[TransfersOut],tblDaily[EntryDate],DATE(2026,7,21),tblDaily[WardCode],"BH")),"")</f>
        <v/>
      </c>
      <c r="H261" s="12">
        <f>IFERROR(IF(SUMIFS(tblDaily[Remaining],tblDaily[EntryDate],DATE(2026,7,21),tblDaily[WardCode],"BH")=0,"",SUMIFS(tblDaily[Remaining],tblDaily[EntryDate],DATE(2026,7,21),tblDaily[WardCode],"BH")),"")</f>
        <v/>
      </c>
    </row>
    <row r="262">
      <c r="A262" s="12" t="n">
        <v>22</v>
      </c>
      <c r="B262" s="12">
        <f>IFERROR(IF(SUMIFS(tblDaily[Admissions],tblDaily[EntryDate],DATE(2026,7,22),tblDaily[WardCode],"BH")=0,"",SUMIFS(tblDaily[Admissions],tblDaily[EntryDate],DATE(2026,7,22),tblDaily[WardCode],"BH")),"")</f>
        <v/>
      </c>
      <c r="C262" s="12">
        <f>IFERROR(IF(SUMIFS(tblDaily[Discharges],tblDaily[EntryDate],DATE(2026,7,22),tblDaily[WardCode],"BH")=0,"",SUMIFS(tblDaily[Discharges],tblDaily[EntryDate],DATE(2026,7,22),tblDaily[WardCode],"BH")),"")</f>
        <v/>
      </c>
      <c r="D262" s="12">
        <f>IFERROR(IF(SUMIFS(tblDaily[Deaths],tblDaily[EntryDate],DATE(2026,7,22),tblDaily[WardCode],"BH")=0,"",SUMIFS(tblDaily[Deaths],tblDaily[EntryDate],DATE(2026,7,22),tblDaily[WardCode],"BH")),"")</f>
        <v/>
      </c>
      <c r="E262" s="12">
        <f>IFERROR(IF(SUMIFS(tblDaily[DeathsUnder24Hrs],tblDaily[EntryDate],DATE(2026,7,22),tblDaily[WardCode],"BH")=0,"",SUMIFS(tblDaily[DeathsUnder24Hrs],tblDaily[EntryDate],DATE(2026,7,22),tblDaily[WardCode],"BH")),"")</f>
        <v/>
      </c>
      <c r="F262" s="12">
        <f>IFERROR(IF(SUMIFS(tblDaily[TransfersIn],tblDaily[EntryDate],DATE(2026,7,22),tblDaily[WardCode],"BH")=0,"",SUMIFS(tblDaily[TransfersIn],tblDaily[EntryDate],DATE(2026,7,22),tblDaily[WardCode],"BH")),"")</f>
        <v/>
      </c>
      <c r="G262" s="12">
        <f>IFERROR(IF(SUMIFS(tblDaily[TransfersOut],tblDaily[EntryDate],DATE(2026,7,22),tblDaily[WardCode],"BH")=0,"",SUMIFS(tblDaily[TransfersOut],tblDaily[EntryDate],DATE(2026,7,22),tblDaily[WardCode],"BH")),"")</f>
        <v/>
      </c>
      <c r="H262" s="12">
        <f>IFERROR(IF(SUMIFS(tblDaily[Remaining],tblDaily[EntryDate],DATE(2026,7,22),tblDaily[WardCode],"BH")=0,"",SUMIFS(tblDaily[Remaining],tblDaily[EntryDate],DATE(2026,7,22),tblDaily[WardCode],"BH")),"")</f>
        <v/>
      </c>
    </row>
    <row r="263">
      <c r="A263" s="12" t="n">
        <v>23</v>
      </c>
      <c r="B263" s="12">
        <f>IFERROR(IF(SUMIFS(tblDaily[Admissions],tblDaily[EntryDate],DATE(2026,7,23),tblDaily[WardCode],"BH")=0,"",SUMIFS(tblDaily[Admissions],tblDaily[EntryDate],DATE(2026,7,23),tblDaily[WardCode],"BH")),"")</f>
        <v/>
      </c>
      <c r="C263" s="12">
        <f>IFERROR(IF(SUMIFS(tblDaily[Discharges],tblDaily[EntryDate],DATE(2026,7,23),tblDaily[WardCode],"BH")=0,"",SUMIFS(tblDaily[Discharges],tblDaily[EntryDate],DATE(2026,7,23),tblDaily[WardCode],"BH")),"")</f>
        <v/>
      </c>
      <c r="D263" s="12">
        <f>IFERROR(IF(SUMIFS(tblDaily[Deaths],tblDaily[EntryDate],DATE(2026,7,23),tblDaily[WardCode],"BH")=0,"",SUMIFS(tblDaily[Deaths],tblDaily[EntryDate],DATE(2026,7,23),tblDaily[WardCode],"BH")),"")</f>
        <v/>
      </c>
      <c r="E263" s="12">
        <f>IFERROR(IF(SUMIFS(tblDaily[DeathsUnder24Hrs],tblDaily[EntryDate],DATE(2026,7,23),tblDaily[WardCode],"BH")=0,"",SUMIFS(tblDaily[DeathsUnder24Hrs],tblDaily[EntryDate],DATE(2026,7,23),tblDaily[WardCode],"BH")),"")</f>
        <v/>
      </c>
      <c r="F263" s="12">
        <f>IFERROR(IF(SUMIFS(tblDaily[TransfersIn],tblDaily[EntryDate],DATE(2026,7,23),tblDaily[WardCode],"BH")=0,"",SUMIFS(tblDaily[TransfersIn],tblDaily[EntryDate],DATE(2026,7,23),tblDaily[WardCode],"BH")),"")</f>
        <v/>
      </c>
      <c r="G263" s="12">
        <f>IFERROR(IF(SUMIFS(tblDaily[TransfersOut],tblDaily[EntryDate],DATE(2026,7,23),tblDaily[WardCode],"BH")=0,"",SUMIFS(tblDaily[TransfersOut],tblDaily[EntryDate],DATE(2026,7,23),tblDaily[WardCode],"BH")),"")</f>
        <v/>
      </c>
      <c r="H263" s="12">
        <f>IFERROR(IF(SUMIFS(tblDaily[Remaining],tblDaily[EntryDate],DATE(2026,7,23),tblDaily[WardCode],"BH")=0,"",SUMIFS(tblDaily[Remaining],tblDaily[EntryDate],DATE(2026,7,23),tblDaily[WardCode],"BH")),"")</f>
        <v/>
      </c>
    </row>
    <row r="264">
      <c r="A264" s="12" t="n">
        <v>24</v>
      </c>
      <c r="B264" s="12">
        <f>IFERROR(IF(SUMIFS(tblDaily[Admissions],tblDaily[EntryDate],DATE(2026,7,24),tblDaily[WardCode],"BH")=0,"",SUMIFS(tblDaily[Admissions],tblDaily[EntryDate],DATE(2026,7,24),tblDaily[WardCode],"BH")),"")</f>
        <v/>
      </c>
      <c r="C264" s="12">
        <f>IFERROR(IF(SUMIFS(tblDaily[Discharges],tblDaily[EntryDate],DATE(2026,7,24),tblDaily[WardCode],"BH")=0,"",SUMIFS(tblDaily[Discharges],tblDaily[EntryDate],DATE(2026,7,24),tblDaily[WardCode],"BH")),"")</f>
        <v/>
      </c>
      <c r="D264" s="12">
        <f>IFERROR(IF(SUMIFS(tblDaily[Deaths],tblDaily[EntryDate],DATE(2026,7,24),tblDaily[WardCode],"BH")=0,"",SUMIFS(tblDaily[Deaths],tblDaily[EntryDate],DATE(2026,7,24),tblDaily[WardCode],"BH")),"")</f>
        <v/>
      </c>
      <c r="E264" s="12">
        <f>IFERROR(IF(SUMIFS(tblDaily[DeathsUnder24Hrs],tblDaily[EntryDate],DATE(2026,7,24),tblDaily[WardCode],"BH")=0,"",SUMIFS(tblDaily[DeathsUnder24Hrs],tblDaily[EntryDate],DATE(2026,7,24),tblDaily[WardCode],"BH")),"")</f>
        <v/>
      </c>
      <c r="F264" s="12">
        <f>IFERROR(IF(SUMIFS(tblDaily[TransfersIn],tblDaily[EntryDate],DATE(2026,7,24),tblDaily[WardCode],"BH")=0,"",SUMIFS(tblDaily[TransfersIn],tblDaily[EntryDate],DATE(2026,7,24),tblDaily[WardCode],"BH")),"")</f>
        <v/>
      </c>
      <c r="G264" s="12">
        <f>IFERROR(IF(SUMIFS(tblDaily[TransfersOut],tblDaily[EntryDate],DATE(2026,7,24),tblDaily[WardCode],"BH")=0,"",SUMIFS(tblDaily[TransfersOut],tblDaily[EntryDate],DATE(2026,7,24),tblDaily[WardCode],"BH")),"")</f>
        <v/>
      </c>
      <c r="H264" s="12">
        <f>IFERROR(IF(SUMIFS(tblDaily[Remaining],tblDaily[EntryDate],DATE(2026,7,24),tblDaily[WardCode],"BH")=0,"",SUMIFS(tblDaily[Remaining],tblDaily[EntryDate],DATE(2026,7,24),tblDaily[WardCode],"BH")),"")</f>
        <v/>
      </c>
    </row>
    <row r="265">
      <c r="A265" s="12" t="n">
        <v>25</v>
      </c>
      <c r="B265" s="12">
        <f>IFERROR(IF(SUMIFS(tblDaily[Admissions],tblDaily[EntryDate],DATE(2026,7,25),tblDaily[WardCode],"BH")=0,"",SUMIFS(tblDaily[Admissions],tblDaily[EntryDate],DATE(2026,7,25),tblDaily[WardCode],"BH")),"")</f>
        <v/>
      </c>
      <c r="C265" s="12">
        <f>IFERROR(IF(SUMIFS(tblDaily[Discharges],tblDaily[EntryDate],DATE(2026,7,25),tblDaily[WardCode],"BH")=0,"",SUMIFS(tblDaily[Discharges],tblDaily[EntryDate],DATE(2026,7,25),tblDaily[WardCode],"BH")),"")</f>
        <v/>
      </c>
      <c r="D265" s="12">
        <f>IFERROR(IF(SUMIFS(tblDaily[Deaths],tblDaily[EntryDate],DATE(2026,7,25),tblDaily[WardCode],"BH")=0,"",SUMIFS(tblDaily[Deaths],tblDaily[EntryDate],DATE(2026,7,25),tblDaily[WardCode],"BH")),"")</f>
        <v/>
      </c>
      <c r="E265" s="12">
        <f>IFERROR(IF(SUMIFS(tblDaily[DeathsUnder24Hrs],tblDaily[EntryDate],DATE(2026,7,25),tblDaily[WardCode],"BH")=0,"",SUMIFS(tblDaily[DeathsUnder24Hrs],tblDaily[EntryDate],DATE(2026,7,25),tblDaily[WardCode],"BH")),"")</f>
        <v/>
      </c>
      <c r="F265" s="12">
        <f>IFERROR(IF(SUMIFS(tblDaily[TransfersIn],tblDaily[EntryDate],DATE(2026,7,25),tblDaily[WardCode],"BH")=0,"",SUMIFS(tblDaily[TransfersIn],tblDaily[EntryDate],DATE(2026,7,25),tblDaily[WardCode],"BH")),"")</f>
        <v/>
      </c>
      <c r="G265" s="12">
        <f>IFERROR(IF(SUMIFS(tblDaily[TransfersOut],tblDaily[EntryDate],DATE(2026,7,25),tblDaily[WardCode],"BH")=0,"",SUMIFS(tblDaily[TransfersOut],tblDaily[EntryDate],DATE(2026,7,25),tblDaily[WardCode],"BH")),"")</f>
        <v/>
      </c>
      <c r="H265" s="12">
        <f>IFERROR(IF(SUMIFS(tblDaily[Remaining],tblDaily[EntryDate],DATE(2026,7,25),tblDaily[WardCode],"BH")=0,"",SUMIFS(tblDaily[Remaining],tblDaily[EntryDate],DATE(2026,7,25),tblDaily[WardCode],"BH")),"")</f>
        <v/>
      </c>
    </row>
    <row r="266">
      <c r="A266" s="12" t="n">
        <v>26</v>
      </c>
      <c r="B266" s="12">
        <f>IFERROR(IF(SUMIFS(tblDaily[Admissions],tblDaily[EntryDate],DATE(2026,7,26),tblDaily[WardCode],"BH")=0,"",SUMIFS(tblDaily[Admissions],tblDaily[EntryDate],DATE(2026,7,26),tblDaily[WardCode],"BH")),"")</f>
        <v/>
      </c>
      <c r="C266" s="12">
        <f>IFERROR(IF(SUMIFS(tblDaily[Discharges],tblDaily[EntryDate],DATE(2026,7,26),tblDaily[WardCode],"BH")=0,"",SUMIFS(tblDaily[Discharges],tblDaily[EntryDate],DATE(2026,7,26),tblDaily[WardCode],"BH")),"")</f>
        <v/>
      </c>
      <c r="D266" s="12">
        <f>IFERROR(IF(SUMIFS(tblDaily[Deaths],tblDaily[EntryDate],DATE(2026,7,26),tblDaily[WardCode],"BH")=0,"",SUMIFS(tblDaily[Deaths],tblDaily[EntryDate],DATE(2026,7,26),tblDaily[WardCode],"BH")),"")</f>
        <v/>
      </c>
      <c r="E266" s="12">
        <f>IFERROR(IF(SUMIFS(tblDaily[DeathsUnder24Hrs],tblDaily[EntryDate],DATE(2026,7,26),tblDaily[WardCode],"BH")=0,"",SUMIFS(tblDaily[DeathsUnder24Hrs],tblDaily[EntryDate],DATE(2026,7,26),tblDaily[WardCode],"BH")),"")</f>
        <v/>
      </c>
      <c r="F266" s="12">
        <f>IFERROR(IF(SUMIFS(tblDaily[TransfersIn],tblDaily[EntryDate],DATE(2026,7,26),tblDaily[WardCode],"BH")=0,"",SUMIFS(tblDaily[TransfersIn],tblDaily[EntryDate],DATE(2026,7,26),tblDaily[WardCode],"BH")),"")</f>
        <v/>
      </c>
      <c r="G266" s="12">
        <f>IFERROR(IF(SUMIFS(tblDaily[TransfersOut],tblDaily[EntryDate],DATE(2026,7,26),tblDaily[WardCode],"BH")=0,"",SUMIFS(tblDaily[TransfersOut],tblDaily[EntryDate],DATE(2026,7,26),tblDaily[WardCode],"BH")),"")</f>
        <v/>
      </c>
      <c r="H266" s="12">
        <f>IFERROR(IF(SUMIFS(tblDaily[Remaining],tblDaily[EntryDate],DATE(2026,7,26),tblDaily[WardCode],"BH")=0,"",SUMIFS(tblDaily[Remaining],tblDaily[EntryDate],DATE(2026,7,26),tblDaily[WardCode],"BH")),"")</f>
        <v/>
      </c>
    </row>
    <row r="267">
      <c r="A267" s="12" t="n">
        <v>27</v>
      </c>
      <c r="B267" s="12">
        <f>IFERROR(IF(SUMIFS(tblDaily[Admissions],tblDaily[EntryDate],DATE(2026,7,27),tblDaily[WardCode],"BH")=0,"",SUMIFS(tblDaily[Admissions],tblDaily[EntryDate],DATE(2026,7,27),tblDaily[WardCode],"BH")),"")</f>
        <v/>
      </c>
      <c r="C267" s="12">
        <f>IFERROR(IF(SUMIFS(tblDaily[Discharges],tblDaily[EntryDate],DATE(2026,7,27),tblDaily[WardCode],"BH")=0,"",SUMIFS(tblDaily[Discharges],tblDaily[EntryDate],DATE(2026,7,27),tblDaily[WardCode],"BH")),"")</f>
        <v/>
      </c>
      <c r="D267" s="12">
        <f>IFERROR(IF(SUMIFS(tblDaily[Deaths],tblDaily[EntryDate],DATE(2026,7,27),tblDaily[WardCode],"BH")=0,"",SUMIFS(tblDaily[Deaths],tblDaily[EntryDate],DATE(2026,7,27),tblDaily[WardCode],"BH")),"")</f>
        <v/>
      </c>
      <c r="E267" s="12">
        <f>IFERROR(IF(SUMIFS(tblDaily[DeathsUnder24Hrs],tblDaily[EntryDate],DATE(2026,7,27),tblDaily[WardCode],"BH")=0,"",SUMIFS(tblDaily[DeathsUnder24Hrs],tblDaily[EntryDate],DATE(2026,7,27),tblDaily[WardCode],"BH")),"")</f>
        <v/>
      </c>
      <c r="F267" s="12">
        <f>IFERROR(IF(SUMIFS(tblDaily[TransfersIn],tblDaily[EntryDate],DATE(2026,7,27),tblDaily[WardCode],"BH")=0,"",SUMIFS(tblDaily[TransfersIn],tblDaily[EntryDate],DATE(2026,7,27),tblDaily[WardCode],"BH")),"")</f>
        <v/>
      </c>
      <c r="G267" s="12">
        <f>IFERROR(IF(SUMIFS(tblDaily[TransfersOut],tblDaily[EntryDate],DATE(2026,7,27),tblDaily[WardCode],"BH")=0,"",SUMIFS(tblDaily[TransfersOut],tblDaily[EntryDate],DATE(2026,7,27),tblDaily[WardCode],"BH")),"")</f>
        <v/>
      </c>
      <c r="H267" s="12">
        <f>IFERROR(IF(SUMIFS(tblDaily[Remaining],tblDaily[EntryDate],DATE(2026,7,27),tblDaily[WardCode],"BH")=0,"",SUMIFS(tblDaily[Remaining],tblDaily[EntryDate],DATE(2026,7,27),tblDaily[WardCode],"BH")),"")</f>
        <v/>
      </c>
    </row>
    <row r="268">
      <c r="A268" s="12" t="n">
        <v>28</v>
      </c>
      <c r="B268" s="12">
        <f>IFERROR(IF(SUMIFS(tblDaily[Admissions],tblDaily[EntryDate],DATE(2026,7,28),tblDaily[WardCode],"BH")=0,"",SUMIFS(tblDaily[Admissions],tblDaily[EntryDate],DATE(2026,7,28),tblDaily[WardCode],"BH")),"")</f>
        <v/>
      </c>
      <c r="C268" s="12">
        <f>IFERROR(IF(SUMIFS(tblDaily[Discharges],tblDaily[EntryDate],DATE(2026,7,28),tblDaily[WardCode],"BH")=0,"",SUMIFS(tblDaily[Discharges],tblDaily[EntryDate],DATE(2026,7,28),tblDaily[WardCode],"BH")),"")</f>
        <v/>
      </c>
      <c r="D268" s="12">
        <f>IFERROR(IF(SUMIFS(tblDaily[Deaths],tblDaily[EntryDate],DATE(2026,7,28),tblDaily[WardCode],"BH")=0,"",SUMIFS(tblDaily[Deaths],tblDaily[EntryDate],DATE(2026,7,28),tblDaily[WardCode],"BH")),"")</f>
        <v/>
      </c>
      <c r="E268" s="12">
        <f>IFERROR(IF(SUMIFS(tblDaily[DeathsUnder24Hrs],tblDaily[EntryDate],DATE(2026,7,28),tblDaily[WardCode],"BH")=0,"",SUMIFS(tblDaily[DeathsUnder24Hrs],tblDaily[EntryDate],DATE(2026,7,28),tblDaily[WardCode],"BH")),"")</f>
        <v/>
      </c>
      <c r="F268" s="12">
        <f>IFERROR(IF(SUMIFS(tblDaily[TransfersIn],tblDaily[EntryDate],DATE(2026,7,28),tblDaily[WardCode],"BH")=0,"",SUMIFS(tblDaily[TransfersIn],tblDaily[EntryDate],DATE(2026,7,28),tblDaily[WardCode],"BH")),"")</f>
        <v/>
      </c>
      <c r="G268" s="12">
        <f>IFERROR(IF(SUMIFS(tblDaily[TransfersOut],tblDaily[EntryDate],DATE(2026,7,28),tblDaily[WardCode],"BH")=0,"",SUMIFS(tblDaily[TransfersOut],tblDaily[EntryDate],DATE(2026,7,28),tblDaily[WardCode],"BH")),"")</f>
        <v/>
      </c>
      <c r="H268" s="12">
        <f>IFERROR(IF(SUMIFS(tblDaily[Remaining],tblDaily[EntryDate],DATE(2026,7,28),tblDaily[WardCode],"BH")=0,"",SUMIFS(tblDaily[Remaining],tblDaily[EntryDate],DATE(2026,7,28),tblDaily[WardCode],"BH")),"")</f>
        <v/>
      </c>
    </row>
    <row r="269">
      <c r="A269" s="12" t="n">
        <v>29</v>
      </c>
      <c r="B269" s="12">
        <f>IFERROR(IF(SUMIFS(tblDaily[Admissions],tblDaily[EntryDate],DATE(2026,7,29),tblDaily[WardCode],"BH")=0,"",SUMIFS(tblDaily[Admissions],tblDaily[EntryDate],DATE(2026,7,29),tblDaily[WardCode],"BH")),"")</f>
        <v/>
      </c>
      <c r="C269" s="12">
        <f>IFERROR(IF(SUMIFS(tblDaily[Discharges],tblDaily[EntryDate],DATE(2026,7,29),tblDaily[WardCode],"BH")=0,"",SUMIFS(tblDaily[Discharges],tblDaily[EntryDate],DATE(2026,7,29),tblDaily[WardCode],"BH")),"")</f>
        <v/>
      </c>
      <c r="D269" s="12">
        <f>IFERROR(IF(SUMIFS(tblDaily[Deaths],tblDaily[EntryDate],DATE(2026,7,29),tblDaily[WardCode],"BH")=0,"",SUMIFS(tblDaily[Deaths],tblDaily[EntryDate],DATE(2026,7,29),tblDaily[WardCode],"BH")),"")</f>
        <v/>
      </c>
      <c r="E269" s="12">
        <f>IFERROR(IF(SUMIFS(tblDaily[DeathsUnder24Hrs],tblDaily[EntryDate],DATE(2026,7,29),tblDaily[WardCode],"BH")=0,"",SUMIFS(tblDaily[DeathsUnder24Hrs],tblDaily[EntryDate],DATE(2026,7,29),tblDaily[WardCode],"BH")),"")</f>
        <v/>
      </c>
      <c r="F269" s="12">
        <f>IFERROR(IF(SUMIFS(tblDaily[TransfersIn],tblDaily[EntryDate],DATE(2026,7,29),tblDaily[WardCode],"BH")=0,"",SUMIFS(tblDaily[TransfersIn],tblDaily[EntryDate],DATE(2026,7,29),tblDaily[WardCode],"BH")),"")</f>
        <v/>
      </c>
      <c r="G269" s="12">
        <f>IFERROR(IF(SUMIFS(tblDaily[TransfersOut],tblDaily[EntryDate],DATE(2026,7,29),tblDaily[WardCode],"BH")=0,"",SUMIFS(tblDaily[TransfersOut],tblDaily[EntryDate],DATE(2026,7,29),tblDaily[WardCode],"BH")),"")</f>
        <v/>
      </c>
      <c r="H269" s="12">
        <f>IFERROR(IF(SUMIFS(tblDaily[Remaining],tblDaily[EntryDate],DATE(2026,7,29),tblDaily[WardCode],"BH")=0,"",SUMIFS(tblDaily[Remaining],tblDaily[EntryDate],DATE(2026,7,29),tblDaily[WardCode],"BH")),"")</f>
        <v/>
      </c>
    </row>
    <row r="270">
      <c r="A270" s="12" t="n">
        <v>30</v>
      </c>
      <c r="B270" s="12">
        <f>IFERROR(IF(SUMIFS(tblDaily[Admissions],tblDaily[EntryDate],DATE(2026,7,30),tblDaily[WardCode],"BH")=0,"",SUMIFS(tblDaily[Admissions],tblDaily[EntryDate],DATE(2026,7,30),tblDaily[WardCode],"BH")),"")</f>
        <v/>
      </c>
      <c r="C270" s="12">
        <f>IFERROR(IF(SUMIFS(tblDaily[Discharges],tblDaily[EntryDate],DATE(2026,7,30),tblDaily[WardCode],"BH")=0,"",SUMIFS(tblDaily[Discharges],tblDaily[EntryDate],DATE(2026,7,30),tblDaily[WardCode],"BH")),"")</f>
        <v/>
      </c>
      <c r="D270" s="12">
        <f>IFERROR(IF(SUMIFS(tblDaily[Deaths],tblDaily[EntryDate],DATE(2026,7,30),tblDaily[WardCode],"BH")=0,"",SUMIFS(tblDaily[Deaths],tblDaily[EntryDate],DATE(2026,7,30),tblDaily[WardCode],"BH")),"")</f>
        <v/>
      </c>
      <c r="E270" s="12">
        <f>IFERROR(IF(SUMIFS(tblDaily[DeathsUnder24Hrs],tblDaily[EntryDate],DATE(2026,7,30),tblDaily[WardCode],"BH")=0,"",SUMIFS(tblDaily[DeathsUnder24Hrs],tblDaily[EntryDate],DATE(2026,7,30),tblDaily[WardCode],"BH")),"")</f>
        <v/>
      </c>
      <c r="F270" s="12">
        <f>IFERROR(IF(SUMIFS(tblDaily[TransfersIn],tblDaily[EntryDate],DATE(2026,7,30),tblDaily[WardCode],"BH")=0,"",SUMIFS(tblDaily[TransfersIn],tblDaily[EntryDate],DATE(2026,7,30),tblDaily[WardCode],"BH")),"")</f>
        <v/>
      </c>
      <c r="G270" s="12">
        <f>IFERROR(IF(SUMIFS(tblDaily[TransfersOut],tblDaily[EntryDate],DATE(2026,7,30),tblDaily[WardCode],"BH")=0,"",SUMIFS(tblDaily[TransfersOut],tblDaily[EntryDate],DATE(2026,7,30),tblDaily[WardCode],"BH")),"")</f>
        <v/>
      </c>
      <c r="H270" s="12">
        <f>IFERROR(IF(SUMIFS(tblDaily[Remaining],tblDaily[EntryDate],DATE(2026,7,30),tblDaily[WardCode],"BH")=0,"",SUMIFS(tblDaily[Remaining],tblDaily[EntryDate],DATE(2026,7,30),tblDaily[WardCode],"BH")),"")</f>
        <v/>
      </c>
    </row>
    <row r="271">
      <c r="A271" s="12" t="n">
        <v>31</v>
      </c>
      <c r="B271" s="12">
        <f>IFERROR(IF(SUMIFS(tblDaily[Admissions],tblDaily[EntryDate],DATE(2026,7,31),tblDaily[WardCode],"BH")=0,"",SUMIFS(tblDaily[Admissions],tblDaily[EntryDate],DATE(2026,7,31),tblDaily[WardCode],"BH")),"")</f>
        <v/>
      </c>
      <c r="C271" s="12">
        <f>IFERROR(IF(SUMIFS(tblDaily[Discharges],tblDaily[EntryDate],DATE(2026,7,31),tblDaily[WardCode],"BH")=0,"",SUMIFS(tblDaily[Discharges],tblDaily[EntryDate],DATE(2026,7,31),tblDaily[WardCode],"BH")),"")</f>
        <v/>
      </c>
      <c r="D271" s="12">
        <f>IFERROR(IF(SUMIFS(tblDaily[Deaths],tblDaily[EntryDate],DATE(2026,7,31),tblDaily[WardCode],"BH")=0,"",SUMIFS(tblDaily[Deaths],tblDaily[EntryDate],DATE(2026,7,31),tblDaily[WardCode],"BH")),"")</f>
        <v/>
      </c>
      <c r="E271" s="12">
        <f>IFERROR(IF(SUMIFS(tblDaily[DeathsUnder24Hrs],tblDaily[EntryDate],DATE(2026,7,31),tblDaily[WardCode],"BH")=0,"",SUMIFS(tblDaily[DeathsUnder24Hrs],tblDaily[EntryDate],DATE(2026,7,31),tblDaily[WardCode],"BH")),"")</f>
        <v/>
      </c>
      <c r="F271" s="12">
        <f>IFERROR(IF(SUMIFS(tblDaily[TransfersIn],tblDaily[EntryDate],DATE(2026,7,31),tblDaily[WardCode],"BH")=0,"",SUMIFS(tblDaily[TransfersIn],tblDaily[EntryDate],DATE(2026,7,31),tblDaily[WardCode],"BH")),"")</f>
        <v/>
      </c>
      <c r="G271" s="12">
        <f>IFERROR(IF(SUMIFS(tblDaily[TransfersOut],tblDaily[EntryDate],DATE(2026,7,31),tblDaily[WardCode],"BH")=0,"",SUMIFS(tblDaily[TransfersOut],tblDaily[EntryDate],DATE(2026,7,31),tblDaily[WardCode],"BH")),"")</f>
        <v/>
      </c>
      <c r="H271" s="12">
        <f>IFERROR(IF(SUMIFS(tblDaily[Remaining],tblDaily[EntryDate],DATE(2026,7,31),tblDaily[WardCode],"BH")=0,"",SUMIFS(tblDaily[Remaining],tblDaily[EntryDate],DATE(2026,7,31),tblDaily[WardCode],"BH")),"")</f>
        <v/>
      </c>
    </row>
    <row r="272">
      <c r="A272" s="17" t="inlineStr">
        <is>
          <t>TOTAL</t>
        </is>
      </c>
      <c r="B272" s="17">
        <f>SUMIFS(tblDaily[Admissions],tblDaily[Month],7,tblDaily[WardCode],"BH") - SUMIFS(tblDaily[DeathsUnder24Hrs],tblDaily[Month],7,tblDaily[WardCode],"BH")</f>
        <v/>
      </c>
      <c r="C272" s="17">
        <f>SUMIFS(tblDaily[Discharges],tblDaily[Month],7,tblDaily[WardCode],"BH")</f>
        <v/>
      </c>
      <c r="D272" s="17">
        <f>SUMIFS(tblDaily[Deaths],tblDaily[Month],7,tblDaily[WardCode],"BH")</f>
        <v/>
      </c>
      <c r="E272" s="17">
        <f>SUMIFS(tblDaily[DeathsUnder24Hrs],tblDaily[Month],7,tblDaily[WardCode],"BH")</f>
        <v/>
      </c>
      <c r="F272" s="17">
        <f>SUMIFS(tblDaily[TransfersIn],tblDaily[Month],7,tblDaily[WardCode],"BH")</f>
        <v/>
      </c>
      <c r="G272" s="17">
        <f>SUMIFS(tblDaily[TransfersOut],tblDaily[Month],7,tblDaily[WardCode],"BH")</f>
        <v/>
      </c>
      <c r="H272" s="17">
        <f>SUMIFS(tblDaily[Remaining],tblDaily[Month],7,tblDaily[WardCode],"BH")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BLOCK H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4">
        <f>IFERROR(SUMIFS(tblDaily[Remaining],tblDaily[EntryDate],DATE(2026,7,31),tblDaily[WardCode],"BH"),0)</f>
        <v/>
      </c>
    </row>
    <row r="278">
      <c r="A278" s="4" t="inlineStr">
        <is>
          <t>Bed complement</t>
        </is>
      </c>
      <c r="H278" s="15">
        <f>IFERROR(INDEX(tblWardConfig[BedComplement],MATCH("BH",tblWardConfig[WardCode],0)),0)</f>
        <v/>
      </c>
    </row>
    <row r="279">
      <c r="A279" s="16" t="inlineStr">
        <is>
          <t>Day of
the
Month</t>
        </is>
      </c>
      <c r="B279" s="16" t="inlineStr">
        <is>
          <t>Admissions</t>
        </is>
      </c>
      <c r="C279" s="16" t="inlineStr">
        <is>
          <t>Discharges</t>
        </is>
      </c>
      <c r="D279" s="16" t="inlineStr">
        <is>
          <t>Deaths</t>
        </is>
      </c>
      <c r="E279" s="16" t="inlineStr">
        <is>
          <t>Deaths
&lt;24Hrs</t>
        </is>
      </c>
      <c r="F279" s="16" t="inlineStr">
        <is>
          <t>Transfers-
In</t>
        </is>
      </c>
      <c r="G279" s="16" t="inlineStr">
        <is>
          <t>Transfers-
Out</t>
        </is>
      </c>
      <c r="H279" s="16" t="inlineStr">
        <is>
          <t>No. of Patients
Remaining In
Ward</t>
        </is>
      </c>
    </row>
    <row r="280">
      <c r="A280" s="12" t="n">
        <v>1</v>
      </c>
      <c r="B280" s="12">
        <f>IFERROR(IF(SUMIFS(tblDaily[Admissions],tblDaily[EntryDate],DATE(2026,8,1),tblDaily[WardCode],"BH")=0,"",SUMIFS(tblDaily[Admissions],tblDaily[EntryDate],DATE(2026,8,1),tblDaily[WardCode],"BH")),"")</f>
        <v/>
      </c>
      <c r="C280" s="12">
        <f>IFERROR(IF(SUMIFS(tblDaily[Discharges],tblDaily[EntryDate],DATE(2026,8,1),tblDaily[WardCode],"BH")=0,"",SUMIFS(tblDaily[Discharges],tblDaily[EntryDate],DATE(2026,8,1),tblDaily[WardCode],"BH")),"")</f>
        <v/>
      </c>
      <c r="D280" s="12">
        <f>IFERROR(IF(SUMIFS(tblDaily[Deaths],tblDaily[EntryDate],DATE(2026,8,1),tblDaily[WardCode],"BH")=0,"",SUMIFS(tblDaily[Deaths],tblDaily[EntryDate],DATE(2026,8,1),tblDaily[WardCode],"BH")),"")</f>
        <v/>
      </c>
      <c r="E280" s="12">
        <f>IFERROR(IF(SUMIFS(tblDaily[DeathsUnder24Hrs],tblDaily[EntryDate],DATE(2026,8,1),tblDaily[WardCode],"BH")=0,"",SUMIFS(tblDaily[DeathsUnder24Hrs],tblDaily[EntryDate],DATE(2026,8,1),tblDaily[WardCode],"BH")),"")</f>
        <v/>
      </c>
      <c r="F280" s="12">
        <f>IFERROR(IF(SUMIFS(tblDaily[TransfersIn],tblDaily[EntryDate],DATE(2026,8,1),tblDaily[WardCode],"BH")=0,"",SUMIFS(tblDaily[TransfersIn],tblDaily[EntryDate],DATE(2026,8,1),tblDaily[WardCode],"BH")),"")</f>
        <v/>
      </c>
      <c r="G280" s="12">
        <f>IFERROR(IF(SUMIFS(tblDaily[TransfersOut],tblDaily[EntryDate],DATE(2026,8,1),tblDaily[WardCode],"BH")=0,"",SUMIFS(tblDaily[TransfersOut],tblDaily[EntryDate],DATE(2026,8,1),tblDaily[WardCode],"BH")),"")</f>
        <v/>
      </c>
      <c r="H280" s="12">
        <f>IFERROR(IF(SUMIFS(tblDaily[Remaining],tblDaily[EntryDate],DATE(2026,8,1),tblDaily[WardCode],"BH")=0,"",SUMIFS(tblDaily[Remaining],tblDaily[EntryDate],DATE(2026,8,1),tblDaily[WardCode],"BH")),"")</f>
        <v/>
      </c>
    </row>
    <row r="281">
      <c r="A281" s="12" t="n">
        <v>2</v>
      </c>
      <c r="B281" s="12">
        <f>IFERROR(IF(SUMIFS(tblDaily[Admissions],tblDaily[EntryDate],DATE(2026,8,2),tblDaily[WardCode],"BH")=0,"",SUMIFS(tblDaily[Admissions],tblDaily[EntryDate],DATE(2026,8,2),tblDaily[WardCode],"BH")),"")</f>
        <v/>
      </c>
      <c r="C281" s="12">
        <f>IFERROR(IF(SUMIFS(tblDaily[Discharges],tblDaily[EntryDate],DATE(2026,8,2),tblDaily[WardCode],"BH")=0,"",SUMIFS(tblDaily[Discharges],tblDaily[EntryDate],DATE(2026,8,2),tblDaily[WardCode],"BH")),"")</f>
        <v/>
      </c>
      <c r="D281" s="12">
        <f>IFERROR(IF(SUMIFS(tblDaily[Deaths],tblDaily[EntryDate],DATE(2026,8,2),tblDaily[WardCode],"BH")=0,"",SUMIFS(tblDaily[Deaths],tblDaily[EntryDate],DATE(2026,8,2),tblDaily[WardCode],"BH")),"")</f>
        <v/>
      </c>
      <c r="E281" s="12">
        <f>IFERROR(IF(SUMIFS(tblDaily[DeathsUnder24Hrs],tblDaily[EntryDate],DATE(2026,8,2),tblDaily[WardCode],"BH")=0,"",SUMIFS(tblDaily[DeathsUnder24Hrs],tblDaily[EntryDate],DATE(2026,8,2),tblDaily[WardCode],"BH")),"")</f>
        <v/>
      </c>
      <c r="F281" s="12">
        <f>IFERROR(IF(SUMIFS(tblDaily[TransfersIn],tblDaily[EntryDate],DATE(2026,8,2),tblDaily[WardCode],"BH")=0,"",SUMIFS(tblDaily[TransfersIn],tblDaily[EntryDate],DATE(2026,8,2),tblDaily[WardCode],"BH")),"")</f>
        <v/>
      </c>
      <c r="G281" s="12">
        <f>IFERROR(IF(SUMIFS(tblDaily[TransfersOut],tblDaily[EntryDate],DATE(2026,8,2),tblDaily[WardCode],"BH")=0,"",SUMIFS(tblDaily[TransfersOut],tblDaily[EntryDate],DATE(2026,8,2),tblDaily[WardCode],"BH")),"")</f>
        <v/>
      </c>
      <c r="H281" s="12">
        <f>IFERROR(IF(SUMIFS(tblDaily[Remaining],tblDaily[EntryDate],DATE(2026,8,2),tblDaily[WardCode],"BH")=0,"",SUMIFS(tblDaily[Remaining],tblDaily[EntryDate],DATE(2026,8,2),tblDaily[WardCode],"BH")),"")</f>
        <v/>
      </c>
    </row>
    <row r="282">
      <c r="A282" s="12" t="n">
        <v>3</v>
      </c>
      <c r="B282" s="12">
        <f>IFERROR(IF(SUMIFS(tblDaily[Admissions],tblDaily[EntryDate],DATE(2026,8,3),tblDaily[WardCode],"BH")=0,"",SUMIFS(tblDaily[Admissions],tblDaily[EntryDate],DATE(2026,8,3),tblDaily[WardCode],"BH")),"")</f>
        <v/>
      </c>
      <c r="C282" s="12">
        <f>IFERROR(IF(SUMIFS(tblDaily[Discharges],tblDaily[EntryDate],DATE(2026,8,3),tblDaily[WardCode],"BH")=0,"",SUMIFS(tblDaily[Discharges],tblDaily[EntryDate],DATE(2026,8,3),tblDaily[WardCode],"BH")),"")</f>
        <v/>
      </c>
      <c r="D282" s="12">
        <f>IFERROR(IF(SUMIFS(tblDaily[Deaths],tblDaily[EntryDate],DATE(2026,8,3),tblDaily[WardCode],"BH")=0,"",SUMIFS(tblDaily[Deaths],tblDaily[EntryDate],DATE(2026,8,3),tblDaily[WardCode],"BH")),"")</f>
        <v/>
      </c>
      <c r="E282" s="12">
        <f>IFERROR(IF(SUMIFS(tblDaily[DeathsUnder24Hrs],tblDaily[EntryDate],DATE(2026,8,3),tblDaily[WardCode],"BH")=0,"",SUMIFS(tblDaily[DeathsUnder24Hrs],tblDaily[EntryDate],DATE(2026,8,3),tblDaily[WardCode],"BH")),"")</f>
        <v/>
      </c>
      <c r="F282" s="12">
        <f>IFERROR(IF(SUMIFS(tblDaily[TransfersIn],tblDaily[EntryDate],DATE(2026,8,3),tblDaily[WardCode],"BH")=0,"",SUMIFS(tblDaily[TransfersIn],tblDaily[EntryDate],DATE(2026,8,3),tblDaily[WardCode],"BH")),"")</f>
        <v/>
      </c>
      <c r="G282" s="12">
        <f>IFERROR(IF(SUMIFS(tblDaily[TransfersOut],tblDaily[EntryDate],DATE(2026,8,3),tblDaily[WardCode],"BH")=0,"",SUMIFS(tblDaily[TransfersOut],tblDaily[EntryDate],DATE(2026,8,3),tblDaily[WardCode],"BH")),"")</f>
        <v/>
      </c>
      <c r="H282" s="12">
        <f>IFERROR(IF(SUMIFS(tblDaily[Remaining],tblDaily[EntryDate],DATE(2026,8,3),tblDaily[WardCode],"BH")=0,"",SUMIFS(tblDaily[Remaining],tblDaily[EntryDate],DATE(2026,8,3),tblDaily[WardCode],"BH")),"")</f>
        <v/>
      </c>
    </row>
    <row r="283">
      <c r="A283" s="12" t="n">
        <v>4</v>
      </c>
      <c r="B283" s="12">
        <f>IFERROR(IF(SUMIFS(tblDaily[Admissions],tblDaily[EntryDate],DATE(2026,8,4),tblDaily[WardCode],"BH")=0,"",SUMIFS(tblDaily[Admissions],tblDaily[EntryDate],DATE(2026,8,4),tblDaily[WardCode],"BH")),"")</f>
        <v/>
      </c>
      <c r="C283" s="12">
        <f>IFERROR(IF(SUMIFS(tblDaily[Discharges],tblDaily[EntryDate],DATE(2026,8,4),tblDaily[WardCode],"BH")=0,"",SUMIFS(tblDaily[Discharges],tblDaily[EntryDate],DATE(2026,8,4),tblDaily[WardCode],"BH")),"")</f>
        <v/>
      </c>
      <c r="D283" s="12">
        <f>IFERROR(IF(SUMIFS(tblDaily[Deaths],tblDaily[EntryDate],DATE(2026,8,4),tblDaily[WardCode],"BH")=0,"",SUMIFS(tblDaily[Deaths],tblDaily[EntryDate],DATE(2026,8,4),tblDaily[WardCode],"BH")),"")</f>
        <v/>
      </c>
      <c r="E283" s="12">
        <f>IFERROR(IF(SUMIFS(tblDaily[DeathsUnder24Hrs],tblDaily[EntryDate],DATE(2026,8,4),tblDaily[WardCode],"BH")=0,"",SUMIFS(tblDaily[DeathsUnder24Hrs],tblDaily[EntryDate],DATE(2026,8,4),tblDaily[WardCode],"BH")),"")</f>
        <v/>
      </c>
      <c r="F283" s="12">
        <f>IFERROR(IF(SUMIFS(tblDaily[TransfersIn],tblDaily[EntryDate],DATE(2026,8,4),tblDaily[WardCode],"BH")=0,"",SUMIFS(tblDaily[TransfersIn],tblDaily[EntryDate],DATE(2026,8,4),tblDaily[WardCode],"BH")),"")</f>
        <v/>
      </c>
      <c r="G283" s="12">
        <f>IFERROR(IF(SUMIFS(tblDaily[TransfersOut],tblDaily[EntryDate],DATE(2026,8,4),tblDaily[WardCode],"BH")=0,"",SUMIFS(tblDaily[TransfersOut],tblDaily[EntryDate],DATE(2026,8,4),tblDaily[WardCode],"BH")),"")</f>
        <v/>
      </c>
      <c r="H283" s="12">
        <f>IFERROR(IF(SUMIFS(tblDaily[Remaining],tblDaily[EntryDate],DATE(2026,8,4),tblDaily[WardCode],"BH")=0,"",SUMIFS(tblDaily[Remaining],tblDaily[EntryDate],DATE(2026,8,4),tblDaily[WardCode],"BH")),"")</f>
        <v/>
      </c>
    </row>
    <row r="284">
      <c r="A284" s="12" t="n">
        <v>5</v>
      </c>
      <c r="B284" s="12">
        <f>IFERROR(IF(SUMIFS(tblDaily[Admissions],tblDaily[EntryDate],DATE(2026,8,5),tblDaily[WardCode],"BH")=0,"",SUMIFS(tblDaily[Admissions],tblDaily[EntryDate],DATE(2026,8,5),tblDaily[WardCode],"BH")),"")</f>
        <v/>
      </c>
      <c r="C284" s="12">
        <f>IFERROR(IF(SUMIFS(tblDaily[Discharges],tblDaily[EntryDate],DATE(2026,8,5),tblDaily[WardCode],"BH")=0,"",SUMIFS(tblDaily[Discharges],tblDaily[EntryDate],DATE(2026,8,5),tblDaily[WardCode],"BH")),"")</f>
        <v/>
      </c>
      <c r="D284" s="12">
        <f>IFERROR(IF(SUMIFS(tblDaily[Deaths],tblDaily[EntryDate],DATE(2026,8,5),tblDaily[WardCode],"BH")=0,"",SUMIFS(tblDaily[Deaths],tblDaily[EntryDate],DATE(2026,8,5),tblDaily[WardCode],"BH")),"")</f>
        <v/>
      </c>
      <c r="E284" s="12">
        <f>IFERROR(IF(SUMIFS(tblDaily[DeathsUnder24Hrs],tblDaily[EntryDate],DATE(2026,8,5),tblDaily[WardCode],"BH")=0,"",SUMIFS(tblDaily[DeathsUnder24Hrs],tblDaily[EntryDate],DATE(2026,8,5),tblDaily[WardCode],"BH")),"")</f>
        <v/>
      </c>
      <c r="F284" s="12">
        <f>IFERROR(IF(SUMIFS(tblDaily[TransfersIn],tblDaily[EntryDate],DATE(2026,8,5),tblDaily[WardCode],"BH")=0,"",SUMIFS(tblDaily[TransfersIn],tblDaily[EntryDate],DATE(2026,8,5),tblDaily[WardCode],"BH")),"")</f>
        <v/>
      </c>
      <c r="G284" s="12">
        <f>IFERROR(IF(SUMIFS(tblDaily[TransfersOut],tblDaily[EntryDate],DATE(2026,8,5),tblDaily[WardCode],"BH")=0,"",SUMIFS(tblDaily[TransfersOut],tblDaily[EntryDate],DATE(2026,8,5),tblDaily[WardCode],"BH")),"")</f>
        <v/>
      </c>
      <c r="H284" s="12">
        <f>IFERROR(IF(SUMIFS(tblDaily[Remaining],tblDaily[EntryDate],DATE(2026,8,5),tblDaily[WardCode],"BH")=0,"",SUMIFS(tblDaily[Remaining],tblDaily[EntryDate],DATE(2026,8,5),tblDaily[WardCode],"BH")),"")</f>
        <v/>
      </c>
    </row>
    <row r="285">
      <c r="A285" s="12" t="n">
        <v>6</v>
      </c>
      <c r="B285" s="12">
        <f>IFERROR(IF(SUMIFS(tblDaily[Admissions],tblDaily[EntryDate],DATE(2026,8,6),tblDaily[WardCode],"BH")=0,"",SUMIFS(tblDaily[Admissions],tblDaily[EntryDate],DATE(2026,8,6),tblDaily[WardCode],"BH")),"")</f>
        <v/>
      </c>
      <c r="C285" s="12">
        <f>IFERROR(IF(SUMIFS(tblDaily[Discharges],tblDaily[EntryDate],DATE(2026,8,6),tblDaily[WardCode],"BH")=0,"",SUMIFS(tblDaily[Discharges],tblDaily[EntryDate],DATE(2026,8,6),tblDaily[WardCode],"BH")),"")</f>
        <v/>
      </c>
      <c r="D285" s="12">
        <f>IFERROR(IF(SUMIFS(tblDaily[Deaths],tblDaily[EntryDate],DATE(2026,8,6),tblDaily[WardCode],"BH")=0,"",SUMIFS(tblDaily[Deaths],tblDaily[EntryDate],DATE(2026,8,6),tblDaily[WardCode],"BH")),"")</f>
        <v/>
      </c>
      <c r="E285" s="12">
        <f>IFERROR(IF(SUMIFS(tblDaily[DeathsUnder24Hrs],tblDaily[EntryDate],DATE(2026,8,6),tblDaily[WardCode],"BH")=0,"",SUMIFS(tblDaily[DeathsUnder24Hrs],tblDaily[EntryDate],DATE(2026,8,6),tblDaily[WardCode],"BH")),"")</f>
        <v/>
      </c>
      <c r="F285" s="12">
        <f>IFERROR(IF(SUMIFS(tblDaily[TransfersIn],tblDaily[EntryDate],DATE(2026,8,6),tblDaily[WardCode],"BH")=0,"",SUMIFS(tblDaily[TransfersIn],tblDaily[EntryDate],DATE(2026,8,6),tblDaily[WardCode],"BH")),"")</f>
        <v/>
      </c>
      <c r="G285" s="12">
        <f>IFERROR(IF(SUMIFS(tblDaily[TransfersOut],tblDaily[EntryDate],DATE(2026,8,6),tblDaily[WardCode],"BH")=0,"",SUMIFS(tblDaily[TransfersOut],tblDaily[EntryDate],DATE(2026,8,6),tblDaily[WardCode],"BH")),"")</f>
        <v/>
      </c>
      <c r="H285" s="12">
        <f>IFERROR(IF(SUMIFS(tblDaily[Remaining],tblDaily[EntryDate],DATE(2026,8,6),tblDaily[WardCode],"BH")=0,"",SUMIFS(tblDaily[Remaining],tblDaily[EntryDate],DATE(2026,8,6),tblDaily[WardCode],"BH")),"")</f>
        <v/>
      </c>
    </row>
    <row r="286">
      <c r="A286" s="12" t="n">
        <v>7</v>
      </c>
      <c r="B286" s="12">
        <f>IFERROR(IF(SUMIFS(tblDaily[Admissions],tblDaily[EntryDate],DATE(2026,8,7),tblDaily[WardCode],"BH")=0,"",SUMIFS(tblDaily[Admissions],tblDaily[EntryDate],DATE(2026,8,7),tblDaily[WardCode],"BH")),"")</f>
        <v/>
      </c>
      <c r="C286" s="12">
        <f>IFERROR(IF(SUMIFS(tblDaily[Discharges],tblDaily[EntryDate],DATE(2026,8,7),tblDaily[WardCode],"BH")=0,"",SUMIFS(tblDaily[Discharges],tblDaily[EntryDate],DATE(2026,8,7),tblDaily[WardCode],"BH")),"")</f>
        <v/>
      </c>
      <c r="D286" s="12">
        <f>IFERROR(IF(SUMIFS(tblDaily[Deaths],tblDaily[EntryDate],DATE(2026,8,7),tblDaily[WardCode],"BH")=0,"",SUMIFS(tblDaily[Deaths],tblDaily[EntryDate],DATE(2026,8,7),tblDaily[WardCode],"BH")),"")</f>
        <v/>
      </c>
      <c r="E286" s="12">
        <f>IFERROR(IF(SUMIFS(tblDaily[DeathsUnder24Hrs],tblDaily[EntryDate],DATE(2026,8,7),tblDaily[WardCode],"BH")=0,"",SUMIFS(tblDaily[DeathsUnder24Hrs],tblDaily[EntryDate],DATE(2026,8,7),tblDaily[WardCode],"BH")),"")</f>
        <v/>
      </c>
      <c r="F286" s="12">
        <f>IFERROR(IF(SUMIFS(tblDaily[TransfersIn],tblDaily[EntryDate],DATE(2026,8,7),tblDaily[WardCode],"BH")=0,"",SUMIFS(tblDaily[TransfersIn],tblDaily[EntryDate],DATE(2026,8,7),tblDaily[WardCode],"BH")),"")</f>
        <v/>
      </c>
      <c r="G286" s="12">
        <f>IFERROR(IF(SUMIFS(tblDaily[TransfersOut],tblDaily[EntryDate],DATE(2026,8,7),tblDaily[WardCode],"BH")=0,"",SUMIFS(tblDaily[TransfersOut],tblDaily[EntryDate],DATE(2026,8,7),tblDaily[WardCode],"BH")),"")</f>
        <v/>
      </c>
      <c r="H286" s="12">
        <f>IFERROR(IF(SUMIFS(tblDaily[Remaining],tblDaily[EntryDate],DATE(2026,8,7),tblDaily[WardCode],"BH")=0,"",SUMIFS(tblDaily[Remaining],tblDaily[EntryDate],DATE(2026,8,7),tblDaily[WardCode],"BH")),"")</f>
        <v/>
      </c>
    </row>
    <row r="287">
      <c r="A287" s="12" t="n">
        <v>8</v>
      </c>
      <c r="B287" s="12">
        <f>IFERROR(IF(SUMIFS(tblDaily[Admissions],tblDaily[EntryDate],DATE(2026,8,8),tblDaily[WardCode],"BH")=0,"",SUMIFS(tblDaily[Admissions],tblDaily[EntryDate],DATE(2026,8,8),tblDaily[WardCode],"BH")),"")</f>
        <v/>
      </c>
      <c r="C287" s="12">
        <f>IFERROR(IF(SUMIFS(tblDaily[Discharges],tblDaily[EntryDate],DATE(2026,8,8),tblDaily[WardCode],"BH")=0,"",SUMIFS(tblDaily[Discharges],tblDaily[EntryDate],DATE(2026,8,8),tblDaily[WardCode],"BH")),"")</f>
        <v/>
      </c>
      <c r="D287" s="12">
        <f>IFERROR(IF(SUMIFS(tblDaily[Deaths],tblDaily[EntryDate],DATE(2026,8,8),tblDaily[WardCode],"BH")=0,"",SUMIFS(tblDaily[Deaths],tblDaily[EntryDate],DATE(2026,8,8),tblDaily[WardCode],"BH")),"")</f>
        <v/>
      </c>
      <c r="E287" s="12">
        <f>IFERROR(IF(SUMIFS(tblDaily[DeathsUnder24Hrs],tblDaily[EntryDate],DATE(2026,8,8),tblDaily[WardCode],"BH")=0,"",SUMIFS(tblDaily[DeathsUnder24Hrs],tblDaily[EntryDate],DATE(2026,8,8),tblDaily[WardCode],"BH")),"")</f>
        <v/>
      </c>
      <c r="F287" s="12">
        <f>IFERROR(IF(SUMIFS(tblDaily[TransfersIn],tblDaily[EntryDate],DATE(2026,8,8),tblDaily[WardCode],"BH")=0,"",SUMIFS(tblDaily[TransfersIn],tblDaily[EntryDate],DATE(2026,8,8),tblDaily[WardCode],"BH")),"")</f>
        <v/>
      </c>
      <c r="G287" s="12">
        <f>IFERROR(IF(SUMIFS(tblDaily[TransfersOut],tblDaily[EntryDate],DATE(2026,8,8),tblDaily[WardCode],"BH")=0,"",SUMIFS(tblDaily[TransfersOut],tblDaily[EntryDate],DATE(2026,8,8),tblDaily[WardCode],"BH")),"")</f>
        <v/>
      </c>
      <c r="H287" s="12">
        <f>IFERROR(IF(SUMIFS(tblDaily[Remaining],tblDaily[EntryDate],DATE(2026,8,8),tblDaily[WardCode],"BH")=0,"",SUMIFS(tblDaily[Remaining],tblDaily[EntryDate],DATE(2026,8,8),tblDaily[WardCode],"BH")),"")</f>
        <v/>
      </c>
    </row>
    <row r="288">
      <c r="A288" s="12" t="n">
        <v>9</v>
      </c>
      <c r="B288" s="12">
        <f>IFERROR(IF(SUMIFS(tblDaily[Admissions],tblDaily[EntryDate],DATE(2026,8,9),tblDaily[WardCode],"BH")=0,"",SUMIFS(tblDaily[Admissions],tblDaily[EntryDate],DATE(2026,8,9),tblDaily[WardCode],"BH")),"")</f>
        <v/>
      </c>
      <c r="C288" s="12">
        <f>IFERROR(IF(SUMIFS(tblDaily[Discharges],tblDaily[EntryDate],DATE(2026,8,9),tblDaily[WardCode],"BH")=0,"",SUMIFS(tblDaily[Discharges],tblDaily[EntryDate],DATE(2026,8,9),tblDaily[WardCode],"BH")),"")</f>
        <v/>
      </c>
      <c r="D288" s="12">
        <f>IFERROR(IF(SUMIFS(tblDaily[Deaths],tblDaily[EntryDate],DATE(2026,8,9),tblDaily[WardCode],"BH")=0,"",SUMIFS(tblDaily[Deaths],tblDaily[EntryDate],DATE(2026,8,9),tblDaily[WardCode],"BH")),"")</f>
        <v/>
      </c>
      <c r="E288" s="12">
        <f>IFERROR(IF(SUMIFS(tblDaily[DeathsUnder24Hrs],tblDaily[EntryDate],DATE(2026,8,9),tblDaily[WardCode],"BH")=0,"",SUMIFS(tblDaily[DeathsUnder24Hrs],tblDaily[EntryDate],DATE(2026,8,9),tblDaily[WardCode],"BH")),"")</f>
        <v/>
      </c>
      <c r="F288" s="12">
        <f>IFERROR(IF(SUMIFS(tblDaily[TransfersIn],tblDaily[EntryDate],DATE(2026,8,9),tblDaily[WardCode],"BH")=0,"",SUMIFS(tblDaily[TransfersIn],tblDaily[EntryDate],DATE(2026,8,9),tblDaily[WardCode],"BH")),"")</f>
        <v/>
      </c>
      <c r="G288" s="12">
        <f>IFERROR(IF(SUMIFS(tblDaily[TransfersOut],tblDaily[EntryDate],DATE(2026,8,9),tblDaily[WardCode],"BH")=0,"",SUMIFS(tblDaily[TransfersOut],tblDaily[EntryDate],DATE(2026,8,9),tblDaily[WardCode],"BH")),"")</f>
        <v/>
      </c>
      <c r="H288" s="12">
        <f>IFERROR(IF(SUMIFS(tblDaily[Remaining],tblDaily[EntryDate],DATE(2026,8,9),tblDaily[WardCode],"BH")=0,"",SUMIFS(tblDaily[Remaining],tblDaily[EntryDate],DATE(2026,8,9),tblDaily[WardCode],"BH")),"")</f>
        <v/>
      </c>
    </row>
    <row r="289">
      <c r="A289" s="12" t="n">
        <v>10</v>
      </c>
      <c r="B289" s="12">
        <f>IFERROR(IF(SUMIFS(tblDaily[Admissions],tblDaily[EntryDate],DATE(2026,8,10),tblDaily[WardCode],"BH")=0,"",SUMIFS(tblDaily[Admissions],tblDaily[EntryDate],DATE(2026,8,10),tblDaily[WardCode],"BH")),"")</f>
        <v/>
      </c>
      <c r="C289" s="12">
        <f>IFERROR(IF(SUMIFS(tblDaily[Discharges],tblDaily[EntryDate],DATE(2026,8,10),tblDaily[WardCode],"BH")=0,"",SUMIFS(tblDaily[Discharges],tblDaily[EntryDate],DATE(2026,8,10),tblDaily[WardCode],"BH")),"")</f>
        <v/>
      </c>
      <c r="D289" s="12">
        <f>IFERROR(IF(SUMIFS(tblDaily[Deaths],tblDaily[EntryDate],DATE(2026,8,10),tblDaily[WardCode],"BH")=0,"",SUMIFS(tblDaily[Deaths],tblDaily[EntryDate],DATE(2026,8,10),tblDaily[WardCode],"BH")),"")</f>
        <v/>
      </c>
      <c r="E289" s="12">
        <f>IFERROR(IF(SUMIFS(tblDaily[DeathsUnder24Hrs],tblDaily[EntryDate],DATE(2026,8,10),tblDaily[WardCode],"BH")=0,"",SUMIFS(tblDaily[DeathsUnder24Hrs],tblDaily[EntryDate],DATE(2026,8,10),tblDaily[WardCode],"BH")),"")</f>
        <v/>
      </c>
      <c r="F289" s="12">
        <f>IFERROR(IF(SUMIFS(tblDaily[TransfersIn],tblDaily[EntryDate],DATE(2026,8,10),tblDaily[WardCode],"BH")=0,"",SUMIFS(tblDaily[TransfersIn],tblDaily[EntryDate],DATE(2026,8,10),tblDaily[WardCode],"BH")),"")</f>
        <v/>
      </c>
      <c r="G289" s="12">
        <f>IFERROR(IF(SUMIFS(tblDaily[TransfersOut],tblDaily[EntryDate],DATE(2026,8,10),tblDaily[WardCode],"BH")=0,"",SUMIFS(tblDaily[TransfersOut],tblDaily[EntryDate],DATE(2026,8,10),tblDaily[WardCode],"BH")),"")</f>
        <v/>
      </c>
      <c r="H289" s="12">
        <f>IFERROR(IF(SUMIFS(tblDaily[Remaining],tblDaily[EntryDate],DATE(2026,8,10),tblDaily[WardCode],"BH")=0,"",SUMIFS(tblDaily[Remaining],tblDaily[EntryDate],DATE(2026,8,10),tblDaily[WardCode],"BH")),"")</f>
        <v/>
      </c>
    </row>
    <row r="290">
      <c r="A290" s="12" t="n">
        <v>11</v>
      </c>
      <c r="B290" s="12">
        <f>IFERROR(IF(SUMIFS(tblDaily[Admissions],tblDaily[EntryDate],DATE(2026,8,11),tblDaily[WardCode],"BH")=0,"",SUMIFS(tblDaily[Admissions],tblDaily[EntryDate],DATE(2026,8,11),tblDaily[WardCode],"BH")),"")</f>
        <v/>
      </c>
      <c r="C290" s="12">
        <f>IFERROR(IF(SUMIFS(tblDaily[Discharges],tblDaily[EntryDate],DATE(2026,8,11),tblDaily[WardCode],"BH")=0,"",SUMIFS(tblDaily[Discharges],tblDaily[EntryDate],DATE(2026,8,11),tblDaily[WardCode],"BH")),"")</f>
        <v/>
      </c>
      <c r="D290" s="12">
        <f>IFERROR(IF(SUMIFS(tblDaily[Deaths],tblDaily[EntryDate],DATE(2026,8,11),tblDaily[WardCode],"BH")=0,"",SUMIFS(tblDaily[Deaths],tblDaily[EntryDate],DATE(2026,8,11),tblDaily[WardCode],"BH")),"")</f>
        <v/>
      </c>
      <c r="E290" s="12">
        <f>IFERROR(IF(SUMIFS(tblDaily[DeathsUnder24Hrs],tblDaily[EntryDate],DATE(2026,8,11),tblDaily[WardCode],"BH")=0,"",SUMIFS(tblDaily[DeathsUnder24Hrs],tblDaily[EntryDate],DATE(2026,8,11),tblDaily[WardCode],"BH")),"")</f>
        <v/>
      </c>
      <c r="F290" s="12">
        <f>IFERROR(IF(SUMIFS(tblDaily[TransfersIn],tblDaily[EntryDate],DATE(2026,8,11),tblDaily[WardCode],"BH")=0,"",SUMIFS(tblDaily[TransfersIn],tblDaily[EntryDate],DATE(2026,8,11),tblDaily[WardCode],"BH")),"")</f>
        <v/>
      </c>
      <c r="G290" s="12">
        <f>IFERROR(IF(SUMIFS(tblDaily[TransfersOut],tblDaily[EntryDate],DATE(2026,8,11),tblDaily[WardCode],"BH")=0,"",SUMIFS(tblDaily[TransfersOut],tblDaily[EntryDate],DATE(2026,8,11),tblDaily[WardCode],"BH")),"")</f>
        <v/>
      </c>
      <c r="H290" s="12">
        <f>IFERROR(IF(SUMIFS(tblDaily[Remaining],tblDaily[EntryDate],DATE(2026,8,11),tblDaily[WardCode],"BH")=0,"",SUMIFS(tblDaily[Remaining],tblDaily[EntryDate],DATE(2026,8,11),tblDaily[WardCode],"BH")),"")</f>
        <v/>
      </c>
    </row>
    <row r="291">
      <c r="A291" s="12" t="n">
        <v>12</v>
      </c>
      <c r="B291" s="12">
        <f>IFERROR(IF(SUMIFS(tblDaily[Admissions],tblDaily[EntryDate],DATE(2026,8,12),tblDaily[WardCode],"BH")=0,"",SUMIFS(tblDaily[Admissions],tblDaily[EntryDate],DATE(2026,8,12),tblDaily[WardCode],"BH")),"")</f>
        <v/>
      </c>
      <c r="C291" s="12">
        <f>IFERROR(IF(SUMIFS(tblDaily[Discharges],tblDaily[EntryDate],DATE(2026,8,12),tblDaily[WardCode],"BH")=0,"",SUMIFS(tblDaily[Discharges],tblDaily[EntryDate],DATE(2026,8,12),tblDaily[WardCode],"BH")),"")</f>
        <v/>
      </c>
      <c r="D291" s="12">
        <f>IFERROR(IF(SUMIFS(tblDaily[Deaths],tblDaily[EntryDate],DATE(2026,8,12),tblDaily[WardCode],"BH")=0,"",SUMIFS(tblDaily[Deaths],tblDaily[EntryDate],DATE(2026,8,12),tblDaily[WardCode],"BH")),"")</f>
        <v/>
      </c>
      <c r="E291" s="12">
        <f>IFERROR(IF(SUMIFS(tblDaily[DeathsUnder24Hrs],tblDaily[EntryDate],DATE(2026,8,12),tblDaily[WardCode],"BH")=0,"",SUMIFS(tblDaily[DeathsUnder24Hrs],tblDaily[EntryDate],DATE(2026,8,12),tblDaily[WardCode],"BH")),"")</f>
        <v/>
      </c>
      <c r="F291" s="12">
        <f>IFERROR(IF(SUMIFS(tblDaily[TransfersIn],tblDaily[EntryDate],DATE(2026,8,12),tblDaily[WardCode],"BH")=0,"",SUMIFS(tblDaily[TransfersIn],tblDaily[EntryDate],DATE(2026,8,12),tblDaily[WardCode],"BH")),"")</f>
        <v/>
      </c>
      <c r="G291" s="12">
        <f>IFERROR(IF(SUMIFS(tblDaily[TransfersOut],tblDaily[EntryDate],DATE(2026,8,12),tblDaily[WardCode],"BH")=0,"",SUMIFS(tblDaily[TransfersOut],tblDaily[EntryDate],DATE(2026,8,12),tblDaily[WardCode],"BH")),"")</f>
        <v/>
      </c>
      <c r="H291" s="12">
        <f>IFERROR(IF(SUMIFS(tblDaily[Remaining],tblDaily[EntryDate],DATE(2026,8,12),tblDaily[WardCode],"BH")=0,"",SUMIFS(tblDaily[Remaining],tblDaily[EntryDate],DATE(2026,8,12),tblDaily[WardCode],"BH")),"")</f>
        <v/>
      </c>
    </row>
    <row r="292">
      <c r="A292" s="12" t="n">
        <v>13</v>
      </c>
      <c r="B292" s="12">
        <f>IFERROR(IF(SUMIFS(tblDaily[Admissions],tblDaily[EntryDate],DATE(2026,8,13),tblDaily[WardCode],"BH")=0,"",SUMIFS(tblDaily[Admissions],tblDaily[EntryDate],DATE(2026,8,13),tblDaily[WardCode],"BH")),"")</f>
        <v/>
      </c>
      <c r="C292" s="12">
        <f>IFERROR(IF(SUMIFS(tblDaily[Discharges],tblDaily[EntryDate],DATE(2026,8,13),tblDaily[WardCode],"BH")=0,"",SUMIFS(tblDaily[Discharges],tblDaily[EntryDate],DATE(2026,8,13),tblDaily[WardCode],"BH")),"")</f>
        <v/>
      </c>
      <c r="D292" s="12">
        <f>IFERROR(IF(SUMIFS(tblDaily[Deaths],tblDaily[EntryDate],DATE(2026,8,13),tblDaily[WardCode],"BH")=0,"",SUMIFS(tblDaily[Deaths],tblDaily[EntryDate],DATE(2026,8,13),tblDaily[WardCode],"BH")),"")</f>
        <v/>
      </c>
      <c r="E292" s="12">
        <f>IFERROR(IF(SUMIFS(tblDaily[DeathsUnder24Hrs],tblDaily[EntryDate],DATE(2026,8,13),tblDaily[WardCode],"BH")=0,"",SUMIFS(tblDaily[DeathsUnder24Hrs],tblDaily[EntryDate],DATE(2026,8,13),tblDaily[WardCode],"BH")),"")</f>
        <v/>
      </c>
      <c r="F292" s="12">
        <f>IFERROR(IF(SUMIFS(tblDaily[TransfersIn],tblDaily[EntryDate],DATE(2026,8,13),tblDaily[WardCode],"BH")=0,"",SUMIFS(tblDaily[TransfersIn],tblDaily[EntryDate],DATE(2026,8,13),tblDaily[WardCode],"BH")),"")</f>
        <v/>
      </c>
      <c r="G292" s="12">
        <f>IFERROR(IF(SUMIFS(tblDaily[TransfersOut],tblDaily[EntryDate],DATE(2026,8,13),tblDaily[WardCode],"BH")=0,"",SUMIFS(tblDaily[TransfersOut],tblDaily[EntryDate],DATE(2026,8,13),tblDaily[WardCode],"BH")),"")</f>
        <v/>
      </c>
      <c r="H292" s="12">
        <f>IFERROR(IF(SUMIFS(tblDaily[Remaining],tblDaily[EntryDate],DATE(2026,8,13),tblDaily[WardCode],"BH")=0,"",SUMIFS(tblDaily[Remaining],tblDaily[EntryDate],DATE(2026,8,13),tblDaily[WardCode],"BH")),"")</f>
        <v/>
      </c>
    </row>
    <row r="293">
      <c r="A293" s="12" t="n">
        <v>14</v>
      </c>
      <c r="B293" s="12">
        <f>IFERROR(IF(SUMIFS(tblDaily[Admissions],tblDaily[EntryDate],DATE(2026,8,14),tblDaily[WardCode],"BH")=0,"",SUMIFS(tblDaily[Admissions],tblDaily[EntryDate],DATE(2026,8,14),tblDaily[WardCode],"BH")),"")</f>
        <v/>
      </c>
      <c r="C293" s="12">
        <f>IFERROR(IF(SUMIFS(tblDaily[Discharges],tblDaily[EntryDate],DATE(2026,8,14),tblDaily[WardCode],"BH")=0,"",SUMIFS(tblDaily[Discharges],tblDaily[EntryDate],DATE(2026,8,14),tblDaily[WardCode],"BH")),"")</f>
        <v/>
      </c>
      <c r="D293" s="12">
        <f>IFERROR(IF(SUMIFS(tblDaily[Deaths],tblDaily[EntryDate],DATE(2026,8,14),tblDaily[WardCode],"BH")=0,"",SUMIFS(tblDaily[Deaths],tblDaily[EntryDate],DATE(2026,8,14),tblDaily[WardCode],"BH")),"")</f>
        <v/>
      </c>
      <c r="E293" s="12">
        <f>IFERROR(IF(SUMIFS(tblDaily[DeathsUnder24Hrs],tblDaily[EntryDate],DATE(2026,8,14),tblDaily[WardCode],"BH")=0,"",SUMIFS(tblDaily[DeathsUnder24Hrs],tblDaily[EntryDate],DATE(2026,8,14),tblDaily[WardCode],"BH")),"")</f>
        <v/>
      </c>
      <c r="F293" s="12">
        <f>IFERROR(IF(SUMIFS(tblDaily[TransfersIn],tblDaily[EntryDate],DATE(2026,8,14),tblDaily[WardCode],"BH")=0,"",SUMIFS(tblDaily[TransfersIn],tblDaily[EntryDate],DATE(2026,8,14),tblDaily[WardCode],"BH")),"")</f>
        <v/>
      </c>
      <c r="G293" s="12">
        <f>IFERROR(IF(SUMIFS(tblDaily[TransfersOut],tblDaily[EntryDate],DATE(2026,8,14),tblDaily[WardCode],"BH")=0,"",SUMIFS(tblDaily[TransfersOut],tblDaily[EntryDate],DATE(2026,8,14),tblDaily[WardCode],"BH")),"")</f>
        <v/>
      </c>
      <c r="H293" s="12">
        <f>IFERROR(IF(SUMIFS(tblDaily[Remaining],tblDaily[EntryDate],DATE(2026,8,14),tblDaily[WardCode],"BH")=0,"",SUMIFS(tblDaily[Remaining],tblDaily[EntryDate],DATE(2026,8,14),tblDaily[WardCode],"BH")),"")</f>
        <v/>
      </c>
    </row>
    <row r="294">
      <c r="A294" s="12" t="n">
        <v>15</v>
      </c>
      <c r="B294" s="12">
        <f>IFERROR(IF(SUMIFS(tblDaily[Admissions],tblDaily[EntryDate],DATE(2026,8,15),tblDaily[WardCode],"BH")=0,"",SUMIFS(tblDaily[Admissions],tblDaily[EntryDate],DATE(2026,8,15),tblDaily[WardCode],"BH")),"")</f>
        <v/>
      </c>
      <c r="C294" s="12">
        <f>IFERROR(IF(SUMIFS(tblDaily[Discharges],tblDaily[EntryDate],DATE(2026,8,15),tblDaily[WardCode],"BH")=0,"",SUMIFS(tblDaily[Discharges],tblDaily[EntryDate],DATE(2026,8,15),tblDaily[WardCode],"BH")),"")</f>
        <v/>
      </c>
      <c r="D294" s="12">
        <f>IFERROR(IF(SUMIFS(tblDaily[Deaths],tblDaily[EntryDate],DATE(2026,8,15),tblDaily[WardCode],"BH")=0,"",SUMIFS(tblDaily[Deaths],tblDaily[EntryDate],DATE(2026,8,15),tblDaily[WardCode],"BH")),"")</f>
        <v/>
      </c>
      <c r="E294" s="12">
        <f>IFERROR(IF(SUMIFS(tblDaily[DeathsUnder24Hrs],tblDaily[EntryDate],DATE(2026,8,15),tblDaily[WardCode],"BH")=0,"",SUMIFS(tblDaily[DeathsUnder24Hrs],tblDaily[EntryDate],DATE(2026,8,15),tblDaily[WardCode],"BH")),"")</f>
        <v/>
      </c>
      <c r="F294" s="12">
        <f>IFERROR(IF(SUMIFS(tblDaily[TransfersIn],tblDaily[EntryDate],DATE(2026,8,15),tblDaily[WardCode],"BH")=0,"",SUMIFS(tblDaily[TransfersIn],tblDaily[EntryDate],DATE(2026,8,15),tblDaily[WardCode],"BH")),"")</f>
        <v/>
      </c>
      <c r="G294" s="12">
        <f>IFERROR(IF(SUMIFS(tblDaily[TransfersOut],tblDaily[EntryDate],DATE(2026,8,15),tblDaily[WardCode],"BH")=0,"",SUMIFS(tblDaily[TransfersOut],tblDaily[EntryDate],DATE(2026,8,15),tblDaily[WardCode],"BH")),"")</f>
        <v/>
      </c>
      <c r="H294" s="12">
        <f>IFERROR(IF(SUMIFS(tblDaily[Remaining],tblDaily[EntryDate],DATE(2026,8,15),tblDaily[WardCode],"BH")=0,"",SUMIFS(tblDaily[Remaining],tblDaily[EntryDate],DATE(2026,8,15),tblDaily[WardCode],"BH")),"")</f>
        <v/>
      </c>
    </row>
    <row r="295">
      <c r="A295" s="12" t="n">
        <v>16</v>
      </c>
      <c r="B295" s="12">
        <f>IFERROR(IF(SUMIFS(tblDaily[Admissions],tblDaily[EntryDate],DATE(2026,8,16),tblDaily[WardCode],"BH")=0,"",SUMIFS(tblDaily[Admissions],tblDaily[EntryDate],DATE(2026,8,16),tblDaily[WardCode],"BH")),"")</f>
        <v/>
      </c>
      <c r="C295" s="12">
        <f>IFERROR(IF(SUMIFS(tblDaily[Discharges],tblDaily[EntryDate],DATE(2026,8,16),tblDaily[WardCode],"BH")=0,"",SUMIFS(tblDaily[Discharges],tblDaily[EntryDate],DATE(2026,8,16),tblDaily[WardCode],"BH")),"")</f>
        <v/>
      </c>
      <c r="D295" s="12">
        <f>IFERROR(IF(SUMIFS(tblDaily[Deaths],tblDaily[EntryDate],DATE(2026,8,16),tblDaily[WardCode],"BH")=0,"",SUMIFS(tblDaily[Deaths],tblDaily[EntryDate],DATE(2026,8,16),tblDaily[WardCode],"BH")),"")</f>
        <v/>
      </c>
      <c r="E295" s="12">
        <f>IFERROR(IF(SUMIFS(tblDaily[DeathsUnder24Hrs],tblDaily[EntryDate],DATE(2026,8,16),tblDaily[WardCode],"BH")=0,"",SUMIFS(tblDaily[DeathsUnder24Hrs],tblDaily[EntryDate],DATE(2026,8,16),tblDaily[WardCode],"BH")),"")</f>
        <v/>
      </c>
      <c r="F295" s="12">
        <f>IFERROR(IF(SUMIFS(tblDaily[TransfersIn],tblDaily[EntryDate],DATE(2026,8,16),tblDaily[WardCode],"BH")=0,"",SUMIFS(tblDaily[TransfersIn],tblDaily[EntryDate],DATE(2026,8,16),tblDaily[WardCode],"BH")),"")</f>
        <v/>
      </c>
      <c r="G295" s="12">
        <f>IFERROR(IF(SUMIFS(tblDaily[TransfersOut],tblDaily[EntryDate],DATE(2026,8,16),tblDaily[WardCode],"BH")=0,"",SUMIFS(tblDaily[TransfersOut],tblDaily[EntryDate],DATE(2026,8,16),tblDaily[WardCode],"BH")),"")</f>
        <v/>
      </c>
      <c r="H295" s="12">
        <f>IFERROR(IF(SUMIFS(tblDaily[Remaining],tblDaily[EntryDate],DATE(2026,8,16),tblDaily[WardCode],"BH")=0,"",SUMIFS(tblDaily[Remaining],tblDaily[EntryDate],DATE(2026,8,16),tblDaily[WardCode],"BH")),"")</f>
        <v/>
      </c>
    </row>
    <row r="296">
      <c r="A296" s="12" t="n">
        <v>17</v>
      </c>
      <c r="B296" s="12">
        <f>IFERROR(IF(SUMIFS(tblDaily[Admissions],tblDaily[EntryDate],DATE(2026,8,17),tblDaily[WardCode],"BH")=0,"",SUMIFS(tblDaily[Admissions],tblDaily[EntryDate],DATE(2026,8,17),tblDaily[WardCode],"BH")),"")</f>
        <v/>
      </c>
      <c r="C296" s="12">
        <f>IFERROR(IF(SUMIFS(tblDaily[Discharges],tblDaily[EntryDate],DATE(2026,8,17),tblDaily[WardCode],"BH")=0,"",SUMIFS(tblDaily[Discharges],tblDaily[EntryDate],DATE(2026,8,17),tblDaily[WardCode],"BH")),"")</f>
        <v/>
      </c>
      <c r="D296" s="12">
        <f>IFERROR(IF(SUMIFS(tblDaily[Deaths],tblDaily[EntryDate],DATE(2026,8,17),tblDaily[WardCode],"BH")=0,"",SUMIFS(tblDaily[Deaths],tblDaily[EntryDate],DATE(2026,8,17),tblDaily[WardCode],"BH")),"")</f>
        <v/>
      </c>
      <c r="E296" s="12">
        <f>IFERROR(IF(SUMIFS(tblDaily[DeathsUnder24Hrs],tblDaily[EntryDate],DATE(2026,8,17),tblDaily[WardCode],"BH")=0,"",SUMIFS(tblDaily[DeathsUnder24Hrs],tblDaily[EntryDate],DATE(2026,8,17),tblDaily[WardCode],"BH")),"")</f>
        <v/>
      </c>
      <c r="F296" s="12">
        <f>IFERROR(IF(SUMIFS(tblDaily[TransfersIn],tblDaily[EntryDate],DATE(2026,8,17),tblDaily[WardCode],"BH")=0,"",SUMIFS(tblDaily[TransfersIn],tblDaily[EntryDate],DATE(2026,8,17),tblDaily[WardCode],"BH")),"")</f>
        <v/>
      </c>
      <c r="G296" s="12">
        <f>IFERROR(IF(SUMIFS(tblDaily[TransfersOut],tblDaily[EntryDate],DATE(2026,8,17),tblDaily[WardCode],"BH")=0,"",SUMIFS(tblDaily[TransfersOut],tblDaily[EntryDate],DATE(2026,8,17),tblDaily[WardCode],"BH")),"")</f>
        <v/>
      </c>
      <c r="H296" s="12">
        <f>IFERROR(IF(SUMIFS(tblDaily[Remaining],tblDaily[EntryDate],DATE(2026,8,17),tblDaily[WardCode],"BH")=0,"",SUMIFS(tblDaily[Remaining],tblDaily[EntryDate],DATE(2026,8,17),tblDaily[WardCode],"BH")),"")</f>
        <v/>
      </c>
    </row>
    <row r="297">
      <c r="A297" s="12" t="n">
        <v>18</v>
      </c>
      <c r="B297" s="12">
        <f>IFERROR(IF(SUMIFS(tblDaily[Admissions],tblDaily[EntryDate],DATE(2026,8,18),tblDaily[WardCode],"BH")=0,"",SUMIFS(tblDaily[Admissions],tblDaily[EntryDate],DATE(2026,8,18),tblDaily[WardCode],"BH")),"")</f>
        <v/>
      </c>
      <c r="C297" s="12">
        <f>IFERROR(IF(SUMIFS(tblDaily[Discharges],tblDaily[EntryDate],DATE(2026,8,18),tblDaily[WardCode],"BH")=0,"",SUMIFS(tblDaily[Discharges],tblDaily[EntryDate],DATE(2026,8,18),tblDaily[WardCode],"BH")),"")</f>
        <v/>
      </c>
      <c r="D297" s="12">
        <f>IFERROR(IF(SUMIFS(tblDaily[Deaths],tblDaily[EntryDate],DATE(2026,8,18),tblDaily[WardCode],"BH")=0,"",SUMIFS(tblDaily[Deaths],tblDaily[EntryDate],DATE(2026,8,18),tblDaily[WardCode],"BH")),"")</f>
        <v/>
      </c>
      <c r="E297" s="12">
        <f>IFERROR(IF(SUMIFS(tblDaily[DeathsUnder24Hrs],tblDaily[EntryDate],DATE(2026,8,18),tblDaily[WardCode],"BH")=0,"",SUMIFS(tblDaily[DeathsUnder24Hrs],tblDaily[EntryDate],DATE(2026,8,18),tblDaily[WardCode],"BH")),"")</f>
        <v/>
      </c>
      <c r="F297" s="12">
        <f>IFERROR(IF(SUMIFS(tblDaily[TransfersIn],tblDaily[EntryDate],DATE(2026,8,18),tblDaily[WardCode],"BH")=0,"",SUMIFS(tblDaily[TransfersIn],tblDaily[EntryDate],DATE(2026,8,18),tblDaily[WardCode],"BH")),"")</f>
        <v/>
      </c>
      <c r="G297" s="12">
        <f>IFERROR(IF(SUMIFS(tblDaily[TransfersOut],tblDaily[EntryDate],DATE(2026,8,18),tblDaily[WardCode],"BH")=0,"",SUMIFS(tblDaily[TransfersOut],tblDaily[EntryDate],DATE(2026,8,18),tblDaily[WardCode],"BH")),"")</f>
        <v/>
      </c>
      <c r="H297" s="12">
        <f>IFERROR(IF(SUMIFS(tblDaily[Remaining],tblDaily[EntryDate],DATE(2026,8,18),tblDaily[WardCode],"BH")=0,"",SUMIFS(tblDaily[Remaining],tblDaily[EntryDate],DATE(2026,8,18),tblDaily[WardCode],"BH")),"")</f>
        <v/>
      </c>
    </row>
    <row r="298">
      <c r="A298" s="12" t="n">
        <v>19</v>
      </c>
      <c r="B298" s="12">
        <f>IFERROR(IF(SUMIFS(tblDaily[Admissions],tblDaily[EntryDate],DATE(2026,8,19),tblDaily[WardCode],"BH")=0,"",SUMIFS(tblDaily[Admissions],tblDaily[EntryDate],DATE(2026,8,19),tblDaily[WardCode],"BH")),"")</f>
        <v/>
      </c>
      <c r="C298" s="12">
        <f>IFERROR(IF(SUMIFS(tblDaily[Discharges],tblDaily[EntryDate],DATE(2026,8,19),tblDaily[WardCode],"BH")=0,"",SUMIFS(tblDaily[Discharges],tblDaily[EntryDate],DATE(2026,8,19),tblDaily[WardCode],"BH")),"")</f>
        <v/>
      </c>
      <c r="D298" s="12">
        <f>IFERROR(IF(SUMIFS(tblDaily[Deaths],tblDaily[EntryDate],DATE(2026,8,19),tblDaily[WardCode],"BH")=0,"",SUMIFS(tblDaily[Deaths],tblDaily[EntryDate],DATE(2026,8,19),tblDaily[WardCode],"BH")),"")</f>
        <v/>
      </c>
      <c r="E298" s="12">
        <f>IFERROR(IF(SUMIFS(tblDaily[DeathsUnder24Hrs],tblDaily[EntryDate],DATE(2026,8,19),tblDaily[WardCode],"BH")=0,"",SUMIFS(tblDaily[DeathsUnder24Hrs],tblDaily[EntryDate],DATE(2026,8,19),tblDaily[WardCode],"BH")),"")</f>
        <v/>
      </c>
      <c r="F298" s="12">
        <f>IFERROR(IF(SUMIFS(tblDaily[TransfersIn],tblDaily[EntryDate],DATE(2026,8,19),tblDaily[WardCode],"BH")=0,"",SUMIFS(tblDaily[TransfersIn],tblDaily[EntryDate],DATE(2026,8,19),tblDaily[WardCode],"BH")),"")</f>
        <v/>
      </c>
      <c r="G298" s="12">
        <f>IFERROR(IF(SUMIFS(tblDaily[TransfersOut],tblDaily[EntryDate],DATE(2026,8,19),tblDaily[WardCode],"BH")=0,"",SUMIFS(tblDaily[TransfersOut],tblDaily[EntryDate],DATE(2026,8,19),tblDaily[WardCode],"BH")),"")</f>
        <v/>
      </c>
      <c r="H298" s="12">
        <f>IFERROR(IF(SUMIFS(tblDaily[Remaining],tblDaily[EntryDate],DATE(2026,8,19),tblDaily[WardCode],"BH")=0,"",SUMIFS(tblDaily[Remaining],tblDaily[EntryDate],DATE(2026,8,19),tblDaily[WardCode],"BH")),"")</f>
        <v/>
      </c>
    </row>
    <row r="299">
      <c r="A299" s="12" t="n">
        <v>20</v>
      </c>
      <c r="B299" s="12">
        <f>IFERROR(IF(SUMIFS(tblDaily[Admissions],tblDaily[EntryDate],DATE(2026,8,20),tblDaily[WardCode],"BH")=0,"",SUMIFS(tblDaily[Admissions],tblDaily[EntryDate],DATE(2026,8,20),tblDaily[WardCode],"BH")),"")</f>
        <v/>
      </c>
      <c r="C299" s="12">
        <f>IFERROR(IF(SUMIFS(tblDaily[Discharges],tblDaily[EntryDate],DATE(2026,8,20),tblDaily[WardCode],"BH")=0,"",SUMIFS(tblDaily[Discharges],tblDaily[EntryDate],DATE(2026,8,20),tblDaily[WardCode],"BH")),"")</f>
        <v/>
      </c>
      <c r="D299" s="12">
        <f>IFERROR(IF(SUMIFS(tblDaily[Deaths],tblDaily[EntryDate],DATE(2026,8,20),tblDaily[WardCode],"BH")=0,"",SUMIFS(tblDaily[Deaths],tblDaily[EntryDate],DATE(2026,8,20),tblDaily[WardCode],"BH")),"")</f>
        <v/>
      </c>
      <c r="E299" s="12">
        <f>IFERROR(IF(SUMIFS(tblDaily[DeathsUnder24Hrs],tblDaily[EntryDate],DATE(2026,8,20),tblDaily[WardCode],"BH")=0,"",SUMIFS(tblDaily[DeathsUnder24Hrs],tblDaily[EntryDate],DATE(2026,8,20),tblDaily[WardCode],"BH")),"")</f>
        <v/>
      </c>
      <c r="F299" s="12">
        <f>IFERROR(IF(SUMIFS(tblDaily[TransfersIn],tblDaily[EntryDate],DATE(2026,8,20),tblDaily[WardCode],"BH")=0,"",SUMIFS(tblDaily[TransfersIn],tblDaily[EntryDate],DATE(2026,8,20),tblDaily[WardCode],"BH")),"")</f>
        <v/>
      </c>
      <c r="G299" s="12">
        <f>IFERROR(IF(SUMIFS(tblDaily[TransfersOut],tblDaily[EntryDate],DATE(2026,8,20),tblDaily[WardCode],"BH")=0,"",SUMIFS(tblDaily[TransfersOut],tblDaily[EntryDate],DATE(2026,8,20),tblDaily[WardCode],"BH")),"")</f>
        <v/>
      </c>
      <c r="H299" s="12">
        <f>IFERROR(IF(SUMIFS(tblDaily[Remaining],tblDaily[EntryDate],DATE(2026,8,20),tblDaily[WardCode],"BH")=0,"",SUMIFS(tblDaily[Remaining],tblDaily[EntryDate],DATE(2026,8,20),tblDaily[WardCode],"BH")),"")</f>
        <v/>
      </c>
    </row>
    <row r="300">
      <c r="A300" s="12" t="n">
        <v>21</v>
      </c>
      <c r="B300" s="12">
        <f>IFERROR(IF(SUMIFS(tblDaily[Admissions],tblDaily[EntryDate],DATE(2026,8,21),tblDaily[WardCode],"BH")=0,"",SUMIFS(tblDaily[Admissions],tblDaily[EntryDate],DATE(2026,8,21),tblDaily[WardCode],"BH")),"")</f>
        <v/>
      </c>
      <c r="C300" s="12">
        <f>IFERROR(IF(SUMIFS(tblDaily[Discharges],tblDaily[EntryDate],DATE(2026,8,21),tblDaily[WardCode],"BH")=0,"",SUMIFS(tblDaily[Discharges],tblDaily[EntryDate],DATE(2026,8,21),tblDaily[WardCode],"BH")),"")</f>
        <v/>
      </c>
      <c r="D300" s="12">
        <f>IFERROR(IF(SUMIFS(tblDaily[Deaths],tblDaily[EntryDate],DATE(2026,8,21),tblDaily[WardCode],"BH")=0,"",SUMIFS(tblDaily[Deaths],tblDaily[EntryDate],DATE(2026,8,21),tblDaily[WardCode],"BH")),"")</f>
        <v/>
      </c>
      <c r="E300" s="12">
        <f>IFERROR(IF(SUMIFS(tblDaily[DeathsUnder24Hrs],tblDaily[EntryDate],DATE(2026,8,21),tblDaily[WardCode],"BH")=0,"",SUMIFS(tblDaily[DeathsUnder24Hrs],tblDaily[EntryDate],DATE(2026,8,21),tblDaily[WardCode],"BH")),"")</f>
        <v/>
      </c>
      <c r="F300" s="12">
        <f>IFERROR(IF(SUMIFS(tblDaily[TransfersIn],tblDaily[EntryDate],DATE(2026,8,21),tblDaily[WardCode],"BH")=0,"",SUMIFS(tblDaily[TransfersIn],tblDaily[EntryDate],DATE(2026,8,21),tblDaily[WardCode],"BH")),"")</f>
        <v/>
      </c>
      <c r="G300" s="12">
        <f>IFERROR(IF(SUMIFS(tblDaily[TransfersOut],tblDaily[EntryDate],DATE(2026,8,21),tblDaily[WardCode],"BH")=0,"",SUMIFS(tblDaily[TransfersOut],tblDaily[EntryDate],DATE(2026,8,21),tblDaily[WardCode],"BH")),"")</f>
        <v/>
      </c>
      <c r="H300" s="12">
        <f>IFERROR(IF(SUMIFS(tblDaily[Remaining],tblDaily[EntryDate],DATE(2026,8,21),tblDaily[WardCode],"BH")=0,"",SUMIFS(tblDaily[Remaining],tblDaily[EntryDate],DATE(2026,8,21),tblDaily[WardCode],"BH")),"")</f>
        <v/>
      </c>
    </row>
    <row r="301">
      <c r="A301" s="12" t="n">
        <v>22</v>
      </c>
      <c r="B301" s="12">
        <f>IFERROR(IF(SUMIFS(tblDaily[Admissions],tblDaily[EntryDate],DATE(2026,8,22),tblDaily[WardCode],"BH")=0,"",SUMIFS(tblDaily[Admissions],tblDaily[EntryDate],DATE(2026,8,22),tblDaily[WardCode],"BH")),"")</f>
        <v/>
      </c>
      <c r="C301" s="12">
        <f>IFERROR(IF(SUMIFS(tblDaily[Discharges],tblDaily[EntryDate],DATE(2026,8,22),tblDaily[WardCode],"BH")=0,"",SUMIFS(tblDaily[Discharges],tblDaily[EntryDate],DATE(2026,8,22),tblDaily[WardCode],"BH")),"")</f>
        <v/>
      </c>
      <c r="D301" s="12">
        <f>IFERROR(IF(SUMIFS(tblDaily[Deaths],tblDaily[EntryDate],DATE(2026,8,22),tblDaily[WardCode],"BH")=0,"",SUMIFS(tblDaily[Deaths],tblDaily[EntryDate],DATE(2026,8,22),tblDaily[WardCode],"BH")),"")</f>
        <v/>
      </c>
      <c r="E301" s="12">
        <f>IFERROR(IF(SUMIFS(tblDaily[DeathsUnder24Hrs],tblDaily[EntryDate],DATE(2026,8,22),tblDaily[WardCode],"BH")=0,"",SUMIFS(tblDaily[DeathsUnder24Hrs],tblDaily[EntryDate],DATE(2026,8,22),tblDaily[WardCode],"BH")),"")</f>
        <v/>
      </c>
      <c r="F301" s="12">
        <f>IFERROR(IF(SUMIFS(tblDaily[TransfersIn],tblDaily[EntryDate],DATE(2026,8,22),tblDaily[WardCode],"BH")=0,"",SUMIFS(tblDaily[TransfersIn],tblDaily[EntryDate],DATE(2026,8,22),tblDaily[WardCode],"BH")),"")</f>
        <v/>
      </c>
      <c r="G301" s="12">
        <f>IFERROR(IF(SUMIFS(tblDaily[TransfersOut],tblDaily[EntryDate],DATE(2026,8,22),tblDaily[WardCode],"BH")=0,"",SUMIFS(tblDaily[TransfersOut],tblDaily[EntryDate],DATE(2026,8,22),tblDaily[WardCode],"BH")),"")</f>
        <v/>
      </c>
      <c r="H301" s="12">
        <f>IFERROR(IF(SUMIFS(tblDaily[Remaining],tblDaily[EntryDate],DATE(2026,8,22),tblDaily[WardCode],"BH")=0,"",SUMIFS(tblDaily[Remaining],tblDaily[EntryDate],DATE(2026,8,22),tblDaily[WardCode],"BH")),"")</f>
        <v/>
      </c>
    </row>
    <row r="302">
      <c r="A302" s="12" t="n">
        <v>23</v>
      </c>
      <c r="B302" s="12">
        <f>IFERROR(IF(SUMIFS(tblDaily[Admissions],tblDaily[EntryDate],DATE(2026,8,23),tblDaily[WardCode],"BH")=0,"",SUMIFS(tblDaily[Admissions],tblDaily[EntryDate],DATE(2026,8,23),tblDaily[WardCode],"BH")),"")</f>
        <v/>
      </c>
      <c r="C302" s="12">
        <f>IFERROR(IF(SUMIFS(tblDaily[Discharges],tblDaily[EntryDate],DATE(2026,8,23),tblDaily[WardCode],"BH")=0,"",SUMIFS(tblDaily[Discharges],tblDaily[EntryDate],DATE(2026,8,23),tblDaily[WardCode],"BH")),"")</f>
        <v/>
      </c>
      <c r="D302" s="12">
        <f>IFERROR(IF(SUMIFS(tblDaily[Deaths],tblDaily[EntryDate],DATE(2026,8,23),tblDaily[WardCode],"BH")=0,"",SUMIFS(tblDaily[Deaths],tblDaily[EntryDate],DATE(2026,8,23),tblDaily[WardCode],"BH")),"")</f>
        <v/>
      </c>
      <c r="E302" s="12">
        <f>IFERROR(IF(SUMIFS(tblDaily[DeathsUnder24Hrs],tblDaily[EntryDate],DATE(2026,8,23),tblDaily[WardCode],"BH")=0,"",SUMIFS(tblDaily[DeathsUnder24Hrs],tblDaily[EntryDate],DATE(2026,8,23),tblDaily[WardCode],"BH")),"")</f>
        <v/>
      </c>
      <c r="F302" s="12">
        <f>IFERROR(IF(SUMIFS(tblDaily[TransfersIn],tblDaily[EntryDate],DATE(2026,8,23),tblDaily[WardCode],"BH")=0,"",SUMIFS(tblDaily[TransfersIn],tblDaily[EntryDate],DATE(2026,8,23),tblDaily[WardCode],"BH")),"")</f>
        <v/>
      </c>
      <c r="G302" s="12">
        <f>IFERROR(IF(SUMIFS(tblDaily[TransfersOut],tblDaily[EntryDate],DATE(2026,8,23),tblDaily[WardCode],"BH")=0,"",SUMIFS(tblDaily[TransfersOut],tblDaily[EntryDate],DATE(2026,8,23),tblDaily[WardCode],"BH")),"")</f>
        <v/>
      </c>
      <c r="H302" s="12">
        <f>IFERROR(IF(SUMIFS(tblDaily[Remaining],tblDaily[EntryDate],DATE(2026,8,23),tblDaily[WardCode],"BH")=0,"",SUMIFS(tblDaily[Remaining],tblDaily[EntryDate],DATE(2026,8,23),tblDaily[WardCode],"BH")),"")</f>
        <v/>
      </c>
    </row>
    <row r="303">
      <c r="A303" s="12" t="n">
        <v>24</v>
      </c>
      <c r="B303" s="12">
        <f>IFERROR(IF(SUMIFS(tblDaily[Admissions],tblDaily[EntryDate],DATE(2026,8,24),tblDaily[WardCode],"BH")=0,"",SUMIFS(tblDaily[Admissions],tblDaily[EntryDate],DATE(2026,8,24),tblDaily[WardCode],"BH")),"")</f>
        <v/>
      </c>
      <c r="C303" s="12">
        <f>IFERROR(IF(SUMIFS(tblDaily[Discharges],tblDaily[EntryDate],DATE(2026,8,24),tblDaily[WardCode],"BH")=0,"",SUMIFS(tblDaily[Discharges],tblDaily[EntryDate],DATE(2026,8,24),tblDaily[WardCode],"BH")),"")</f>
        <v/>
      </c>
      <c r="D303" s="12">
        <f>IFERROR(IF(SUMIFS(tblDaily[Deaths],tblDaily[EntryDate],DATE(2026,8,24),tblDaily[WardCode],"BH")=0,"",SUMIFS(tblDaily[Deaths],tblDaily[EntryDate],DATE(2026,8,24),tblDaily[WardCode],"BH")),"")</f>
        <v/>
      </c>
      <c r="E303" s="12">
        <f>IFERROR(IF(SUMIFS(tblDaily[DeathsUnder24Hrs],tblDaily[EntryDate],DATE(2026,8,24),tblDaily[WardCode],"BH")=0,"",SUMIFS(tblDaily[DeathsUnder24Hrs],tblDaily[EntryDate],DATE(2026,8,24),tblDaily[WardCode],"BH")),"")</f>
        <v/>
      </c>
      <c r="F303" s="12">
        <f>IFERROR(IF(SUMIFS(tblDaily[TransfersIn],tblDaily[EntryDate],DATE(2026,8,24),tblDaily[WardCode],"BH")=0,"",SUMIFS(tblDaily[TransfersIn],tblDaily[EntryDate],DATE(2026,8,24),tblDaily[WardCode],"BH")),"")</f>
        <v/>
      </c>
      <c r="G303" s="12">
        <f>IFERROR(IF(SUMIFS(tblDaily[TransfersOut],tblDaily[EntryDate],DATE(2026,8,24),tblDaily[WardCode],"BH")=0,"",SUMIFS(tblDaily[TransfersOut],tblDaily[EntryDate],DATE(2026,8,24),tblDaily[WardCode],"BH")),"")</f>
        <v/>
      </c>
      <c r="H303" s="12">
        <f>IFERROR(IF(SUMIFS(tblDaily[Remaining],tblDaily[EntryDate],DATE(2026,8,24),tblDaily[WardCode],"BH")=0,"",SUMIFS(tblDaily[Remaining],tblDaily[EntryDate],DATE(2026,8,24),tblDaily[WardCode],"BH")),"")</f>
        <v/>
      </c>
    </row>
    <row r="304">
      <c r="A304" s="12" t="n">
        <v>25</v>
      </c>
      <c r="B304" s="12">
        <f>IFERROR(IF(SUMIFS(tblDaily[Admissions],tblDaily[EntryDate],DATE(2026,8,25),tblDaily[WardCode],"BH")=0,"",SUMIFS(tblDaily[Admissions],tblDaily[EntryDate],DATE(2026,8,25),tblDaily[WardCode],"BH")),"")</f>
        <v/>
      </c>
      <c r="C304" s="12">
        <f>IFERROR(IF(SUMIFS(tblDaily[Discharges],tblDaily[EntryDate],DATE(2026,8,25),tblDaily[WardCode],"BH")=0,"",SUMIFS(tblDaily[Discharges],tblDaily[EntryDate],DATE(2026,8,25),tblDaily[WardCode],"BH")),"")</f>
        <v/>
      </c>
      <c r="D304" s="12">
        <f>IFERROR(IF(SUMIFS(tblDaily[Deaths],tblDaily[EntryDate],DATE(2026,8,25),tblDaily[WardCode],"BH")=0,"",SUMIFS(tblDaily[Deaths],tblDaily[EntryDate],DATE(2026,8,25),tblDaily[WardCode],"BH")),"")</f>
        <v/>
      </c>
      <c r="E304" s="12">
        <f>IFERROR(IF(SUMIFS(tblDaily[DeathsUnder24Hrs],tblDaily[EntryDate],DATE(2026,8,25),tblDaily[WardCode],"BH")=0,"",SUMIFS(tblDaily[DeathsUnder24Hrs],tblDaily[EntryDate],DATE(2026,8,25),tblDaily[WardCode],"BH")),"")</f>
        <v/>
      </c>
      <c r="F304" s="12">
        <f>IFERROR(IF(SUMIFS(tblDaily[TransfersIn],tblDaily[EntryDate],DATE(2026,8,25),tblDaily[WardCode],"BH")=0,"",SUMIFS(tblDaily[TransfersIn],tblDaily[EntryDate],DATE(2026,8,25),tblDaily[WardCode],"BH")),"")</f>
        <v/>
      </c>
      <c r="G304" s="12">
        <f>IFERROR(IF(SUMIFS(tblDaily[TransfersOut],tblDaily[EntryDate],DATE(2026,8,25),tblDaily[WardCode],"BH")=0,"",SUMIFS(tblDaily[TransfersOut],tblDaily[EntryDate],DATE(2026,8,25),tblDaily[WardCode],"BH")),"")</f>
        <v/>
      </c>
      <c r="H304" s="12">
        <f>IFERROR(IF(SUMIFS(tblDaily[Remaining],tblDaily[EntryDate],DATE(2026,8,25),tblDaily[WardCode],"BH")=0,"",SUMIFS(tblDaily[Remaining],tblDaily[EntryDate],DATE(2026,8,25),tblDaily[WardCode],"BH")),"")</f>
        <v/>
      </c>
    </row>
    <row r="305">
      <c r="A305" s="12" t="n">
        <v>26</v>
      </c>
      <c r="B305" s="12">
        <f>IFERROR(IF(SUMIFS(tblDaily[Admissions],tblDaily[EntryDate],DATE(2026,8,26),tblDaily[WardCode],"BH")=0,"",SUMIFS(tblDaily[Admissions],tblDaily[EntryDate],DATE(2026,8,26),tblDaily[WardCode],"BH")),"")</f>
        <v/>
      </c>
      <c r="C305" s="12">
        <f>IFERROR(IF(SUMIFS(tblDaily[Discharges],tblDaily[EntryDate],DATE(2026,8,26),tblDaily[WardCode],"BH")=0,"",SUMIFS(tblDaily[Discharges],tblDaily[EntryDate],DATE(2026,8,26),tblDaily[WardCode],"BH")),"")</f>
        <v/>
      </c>
      <c r="D305" s="12">
        <f>IFERROR(IF(SUMIFS(tblDaily[Deaths],tblDaily[EntryDate],DATE(2026,8,26),tblDaily[WardCode],"BH")=0,"",SUMIFS(tblDaily[Deaths],tblDaily[EntryDate],DATE(2026,8,26),tblDaily[WardCode],"BH")),"")</f>
        <v/>
      </c>
      <c r="E305" s="12">
        <f>IFERROR(IF(SUMIFS(tblDaily[DeathsUnder24Hrs],tblDaily[EntryDate],DATE(2026,8,26),tblDaily[WardCode],"BH")=0,"",SUMIFS(tblDaily[DeathsUnder24Hrs],tblDaily[EntryDate],DATE(2026,8,26),tblDaily[WardCode],"BH")),"")</f>
        <v/>
      </c>
      <c r="F305" s="12">
        <f>IFERROR(IF(SUMIFS(tblDaily[TransfersIn],tblDaily[EntryDate],DATE(2026,8,26),tblDaily[WardCode],"BH")=0,"",SUMIFS(tblDaily[TransfersIn],tblDaily[EntryDate],DATE(2026,8,26),tblDaily[WardCode],"BH")),"")</f>
        <v/>
      </c>
      <c r="G305" s="12">
        <f>IFERROR(IF(SUMIFS(tblDaily[TransfersOut],tblDaily[EntryDate],DATE(2026,8,26),tblDaily[WardCode],"BH")=0,"",SUMIFS(tblDaily[TransfersOut],tblDaily[EntryDate],DATE(2026,8,26),tblDaily[WardCode],"BH")),"")</f>
        <v/>
      </c>
      <c r="H305" s="12">
        <f>IFERROR(IF(SUMIFS(tblDaily[Remaining],tblDaily[EntryDate],DATE(2026,8,26),tblDaily[WardCode],"BH")=0,"",SUMIFS(tblDaily[Remaining],tblDaily[EntryDate],DATE(2026,8,26),tblDaily[WardCode],"BH")),"")</f>
        <v/>
      </c>
    </row>
    <row r="306">
      <c r="A306" s="12" t="n">
        <v>27</v>
      </c>
      <c r="B306" s="12">
        <f>IFERROR(IF(SUMIFS(tblDaily[Admissions],tblDaily[EntryDate],DATE(2026,8,27),tblDaily[WardCode],"BH")=0,"",SUMIFS(tblDaily[Admissions],tblDaily[EntryDate],DATE(2026,8,27),tblDaily[WardCode],"BH")),"")</f>
        <v/>
      </c>
      <c r="C306" s="12">
        <f>IFERROR(IF(SUMIFS(tblDaily[Discharges],tblDaily[EntryDate],DATE(2026,8,27),tblDaily[WardCode],"BH")=0,"",SUMIFS(tblDaily[Discharges],tblDaily[EntryDate],DATE(2026,8,27),tblDaily[WardCode],"BH")),"")</f>
        <v/>
      </c>
      <c r="D306" s="12">
        <f>IFERROR(IF(SUMIFS(tblDaily[Deaths],tblDaily[EntryDate],DATE(2026,8,27),tblDaily[WardCode],"BH")=0,"",SUMIFS(tblDaily[Deaths],tblDaily[EntryDate],DATE(2026,8,27),tblDaily[WardCode],"BH")),"")</f>
        <v/>
      </c>
      <c r="E306" s="12">
        <f>IFERROR(IF(SUMIFS(tblDaily[DeathsUnder24Hrs],tblDaily[EntryDate],DATE(2026,8,27),tblDaily[WardCode],"BH")=0,"",SUMIFS(tblDaily[DeathsUnder24Hrs],tblDaily[EntryDate],DATE(2026,8,27),tblDaily[WardCode],"BH")),"")</f>
        <v/>
      </c>
      <c r="F306" s="12">
        <f>IFERROR(IF(SUMIFS(tblDaily[TransfersIn],tblDaily[EntryDate],DATE(2026,8,27),tblDaily[WardCode],"BH")=0,"",SUMIFS(tblDaily[TransfersIn],tblDaily[EntryDate],DATE(2026,8,27),tblDaily[WardCode],"BH")),"")</f>
        <v/>
      </c>
      <c r="G306" s="12">
        <f>IFERROR(IF(SUMIFS(tblDaily[TransfersOut],tblDaily[EntryDate],DATE(2026,8,27),tblDaily[WardCode],"BH")=0,"",SUMIFS(tblDaily[TransfersOut],tblDaily[EntryDate],DATE(2026,8,27),tblDaily[WardCode],"BH")),"")</f>
        <v/>
      </c>
      <c r="H306" s="12">
        <f>IFERROR(IF(SUMIFS(tblDaily[Remaining],tblDaily[EntryDate],DATE(2026,8,27),tblDaily[WardCode],"BH")=0,"",SUMIFS(tblDaily[Remaining],tblDaily[EntryDate],DATE(2026,8,27),tblDaily[WardCode],"BH")),"")</f>
        <v/>
      </c>
    </row>
    <row r="307">
      <c r="A307" s="12" t="n">
        <v>28</v>
      </c>
      <c r="B307" s="12">
        <f>IFERROR(IF(SUMIFS(tblDaily[Admissions],tblDaily[EntryDate],DATE(2026,8,28),tblDaily[WardCode],"BH")=0,"",SUMIFS(tblDaily[Admissions],tblDaily[EntryDate],DATE(2026,8,28),tblDaily[WardCode],"BH")),"")</f>
        <v/>
      </c>
      <c r="C307" s="12">
        <f>IFERROR(IF(SUMIFS(tblDaily[Discharges],tblDaily[EntryDate],DATE(2026,8,28),tblDaily[WardCode],"BH")=0,"",SUMIFS(tblDaily[Discharges],tblDaily[EntryDate],DATE(2026,8,28),tblDaily[WardCode],"BH")),"")</f>
        <v/>
      </c>
      <c r="D307" s="12">
        <f>IFERROR(IF(SUMIFS(tblDaily[Deaths],tblDaily[EntryDate],DATE(2026,8,28),tblDaily[WardCode],"BH")=0,"",SUMIFS(tblDaily[Deaths],tblDaily[EntryDate],DATE(2026,8,28),tblDaily[WardCode],"BH")),"")</f>
        <v/>
      </c>
      <c r="E307" s="12">
        <f>IFERROR(IF(SUMIFS(tblDaily[DeathsUnder24Hrs],tblDaily[EntryDate],DATE(2026,8,28),tblDaily[WardCode],"BH")=0,"",SUMIFS(tblDaily[DeathsUnder24Hrs],tblDaily[EntryDate],DATE(2026,8,28),tblDaily[WardCode],"BH")),"")</f>
        <v/>
      </c>
      <c r="F307" s="12">
        <f>IFERROR(IF(SUMIFS(tblDaily[TransfersIn],tblDaily[EntryDate],DATE(2026,8,28),tblDaily[WardCode],"BH")=0,"",SUMIFS(tblDaily[TransfersIn],tblDaily[EntryDate],DATE(2026,8,28),tblDaily[WardCode],"BH")),"")</f>
        <v/>
      </c>
      <c r="G307" s="12">
        <f>IFERROR(IF(SUMIFS(tblDaily[TransfersOut],tblDaily[EntryDate],DATE(2026,8,28),tblDaily[WardCode],"BH")=0,"",SUMIFS(tblDaily[TransfersOut],tblDaily[EntryDate],DATE(2026,8,28),tblDaily[WardCode],"BH")),"")</f>
        <v/>
      </c>
      <c r="H307" s="12">
        <f>IFERROR(IF(SUMIFS(tblDaily[Remaining],tblDaily[EntryDate],DATE(2026,8,28),tblDaily[WardCode],"BH")=0,"",SUMIFS(tblDaily[Remaining],tblDaily[EntryDate],DATE(2026,8,28),tblDaily[WardCode],"BH")),"")</f>
        <v/>
      </c>
    </row>
    <row r="308">
      <c r="A308" s="12" t="n">
        <v>29</v>
      </c>
      <c r="B308" s="12">
        <f>IFERROR(IF(SUMIFS(tblDaily[Admissions],tblDaily[EntryDate],DATE(2026,8,29),tblDaily[WardCode],"BH")=0,"",SUMIFS(tblDaily[Admissions],tblDaily[EntryDate],DATE(2026,8,29),tblDaily[WardCode],"BH")),"")</f>
        <v/>
      </c>
      <c r="C308" s="12">
        <f>IFERROR(IF(SUMIFS(tblDaily[Discharges],tblDaily[EntryDate],DATE(2026,8,29),tblDaily[WardCode],"BH")=0,"",SUMIFS(tblDaily[Discharges],tblDaily[EntryDate],DATE(2026,8,29),tblDaily[WardCode],"BH")),"")</f>
        <v/>
      </c>
      <c r="D308" s="12">
        <f>IFERROR(IF(SUMIFS(tblDaily[Deaths],tblDaily[EntryDate],DATE(2026,8,29),tblDaily[WardCode],"BH")=0,"",SUMIFS(tblDaily[Deaths],tblDaily[EntryDate],DATE(2026,8,29),tblDaily[WardCode],"BH")),"")</f>
        <v/>
      </c>
      <c r="E308" s="12">
        <f>IFERROR(IF(SUMIFS(tblDaily[DeathsUnder24Hrs],tblDaily[EntryDate],DATE(2026,8,29),tblDaily[WardCode],"BH")=0,"",SUMIFS(tblDaily[DeathsUnder24Hrs],tblDaily[EntryDate],DATE(2026,8,29),tblDaily[WardCode],"BH")),"")</f>
        <v/>
      </c>
      <c r="F308" s="12">
        <f>IFERROR(IF(SUMIFS(tblDaily[TransfersIn],tblDaily[EntryDate],DATE(2026,8,29),tblDaily[WardCode],"BH")=0,"",SUMIFS(tblDaily[TransfersIn],tblDaily[EntryDate],DATE(2026,8,29),tblDaily[WardCode],"BH")),"")</f>
        <v/>
      </c>
      <c r="G308" s="12">
        <f>IFERROR(IF(SUMIFS(tblDaily[TransfersOut],tblDaily[EntryDate],DATE(2026,8,29),tblDaily[WardCode],"BH")=0,"",SUMIFS(tblDaily[TransfersOut],tblDaily[EntryDate],DATE(2026,8,29),tblDaily[WardCode],"BH")),"")</f>
        <v/>
      </c>
      <c r="H308" s="12">
        <f>IFERROR(IF(SUMIFS(tblDaily[Remaining],tblDaily[EntryDate],DATE(2026,8,29),tblDaily[WardCode],"BH")=0,"",SUMIFS(tblDaily[Remaining],tblDaily[EntryDate],DATE(2026,8,29),tblDaily[WardCode],"BH")),"")</f>
        <v/>
      </c>
    </row>
    <row r="309">
      <c r="A309" s="12" t="n">
        <v>30</v>
      </c>
      <c r="B309" s="12">
        <f>IFERROR(IF(SUMIFS(tblDaily[Admissions],tblDaily[EntryDate],DATE(2026,8,30),tblDaily[WardCode],"BH")=0,"",SUMIFS(tblDaily[Admissions],tblDaily[EntryDate],DATE(2026,8,30),tblDaily[WardCode],"BH")),"")</f>
        <v/>
      </c>
      <c r="C309" s="12">
        <f>IFERROR(IF(SUMIFS(tblDaily[Discharges],tblDaily[EntryDate],DATE(2026,8,30),tblDaily[WardCode],"BH")=0,"",SUMIFS(tblDaily[Discharges],tblDaily[EntryDate],DATE(2026,8,30),tblDaily[WardCode],"BH")),"")</f>
        <v/>
      </c>
      <c r="D309" s="12">
        <f>IFERROR(IF(SUMIFS(tblDaily[Deaths],tblDaily[EntryDate],DATE(2026,8,30),tblDaily[WardCode],"BH")=0,"",SUMIFS(tblDaily[Deaths],tblDaily[EntryDate],DATE(2026,8,30),tblDaily[WardCode],"BH")),"")</f>
        <v/>
      </c>
      <c r="E309" s="12">
        <f>IFERROR(IF(SUMIFS(tblDaily[DeathsUnder24Hrs],tblDaily[EntryDate],DATE(2026,8,30),tblDaily[WardCode],"BH")=0,"",SUMIFS(tblDaily[DeathsUnder24Hrs],tblDaily[EntryDate],DATE(2026,8,30),tblDaily[WardCode],"BH")),"")</f>
        <v/>
      </c>
      <c r="F309" s="12">
        <f>IFERROR(IF(SUMIFS(tblDaily[TransfersIn],tblDaily[EntryDate],DATE(2026,8,30),tblDaily[WardCode],"BH")=0,"",SUMIFS(tblDaily[TransfersIn],tblDaily[EntryDate],DATE(2026,8,30),tblDaily[WardCode],"BH")),"")</f>
        <v/>
      </c>
      <c r="G309" s="12">
        <f>IFERROR(IF(SUMIFS(tblDaily[TransfersOut],tblDaily[EntryDate],DATE(2026,8,30),tblDaily[WardCode],"BH")=0,"",SUMIFS(tblDaily[TransfersOut],tblDaily[EntryDate],DATE(2026,8,30),tblDaily[WardCode],"BH")),"")</f>
        <v/>
      </c>
      <c r="H309" s="12">
        <f>IFERROR(IF(SUMIFS(tblDaily[Remaining],tblDaily[EntryDate],DATE(2026,8,30),tblDaily[WardCode],"BH")=0,"",SUMIFS(tblDaily[Remaining],tblDaily[EntryDate],DATE(2026,8,30),tblDaily[WardCode],"BH")),"")</f>
        <v/>
      </c>
    </row>
    <row r="310">
      <c r="A310" s="12" t="n">
        <v>31</v>
      </c>
      <c r="B310" s="12">
        <f>IFERROR(IF(SUMIFS(tblDaily[Admissions],tblDaily[EntryDate],DATE(2026,8,31),tblDaily[WardCode],"BH")=0,"",SUMIFS(tblDaily[Admissions],tblDaily[EntryDate],DATE(2026,8,31),tblDaily[WardCode],"BH")),"")</f>
        <v/>
      </c>
      <c r="C310" s="12">
        <f>IFERROR(IF(SUMIFS(tblDaily[Discharges],tblDaily[EntryDate],DATE(2026,8,31),tblDaily[WardCode],"BH")=0,"",SUMIFS(tblDaily[Discharges],tblDaily[EntryDate],DATE(2026,8,31),tblDaily[WardCode],"BH")),"")</f>
        <v/>
      </c>
      <c r="D310" s="12">
        <f>IFERROR(IF(SUMIFS(tblDaily[Deaths],tblDaily[EntryDate],DATE(2026,8,31),tblDaily[WardCode],"BH")=0,"",SUMIFS(tblDaily[Deaths],tblDaily[EntryDate],DATE(2026,8,31),tblDaily[WardCode],"BH")),"")</f>
        <v/>
      </c>
      <c r="E310" s="12">
        <f>IFERROR(IF(SUMIFS(tblDaily[DeathsUnder24Hrs],tblDaily[EntryDate],DATE(2026,8,31),tblDaily[WardCode],"BH")=0,"",SUMIFS(tblDaily[DeathsUnder24Hrs],tblDaily[EntryDate],DATE(2026,8,31),tblDaily[WardCode],"BH")),"")</f>
        <v/>
      </c>
      <c r="F310" s="12">
        <f>IFERROR(IF(SUMIFS(tblDaily[TransfersIn],tblDaily[EntryDate],DATE(2026,8,31),tblDaily[WardCode],"BH")=0,"",SUMIFS(tblDaily[TransfersIn],tblDaily[EntryDate],DATE(2026,8,31),tblDaily[WardCode],"BH")),"")</f>
        <v/>
      </c>
      <c r="G310" s="12">
        <f>IFERROR(IF(SUMIFS(tblDaily[TransfersOut],tblDaily[EntryDate],DATE(2026,8,31),tblDaily[WardCode],"BH")=0,"",SUMIFS(tblDaily[TransfersOut],tblDaily[EntryDate],DATE(2026,8,31),tblDaily[WardCode],"BH")),"")</f>
        <v/>
      </c>
      <c r="H310" s="12">
        <f>IFERROR(IF(SUMIFS(tblDaily[Remaining],tblDaily[EntryDate],DATE(2026,8,31),tblDaily[WardCode],"BH")=0,"",SUMIFS(tblDaily[Remaining],tblDaily[EntryDate],DATE(2026,8,31),tblDaily[WardCode],"BH")),"")</f>
        <v/>
      </c>
    </row>
    <row r="311">
      <c r="A311" s="17" t="inlineStr">
        <is>
          <t>TOTAL</t>
        </is>
      </c>
      <c r="B311" s="17">
        <f>SUMIFS(tblDaily[Admissions],tblDaily[Month],8,tblDaily[WardCode],"BH") - SUMIFS(tblDaily[DeathsUnder24Hrs],tblDaily[Month],8,tblDaily[WardCode],"BH")</f>
        <v/>
      </c>
      <c r="C311" s="17">
        <f>SUMIFS(tblDaily[Discharges],tblDaily[Month],8,tblDaily[WardCode],"BH")</f>
        <v/>
      </c>
      <c r="D311" s="17">
        <f>SUMIFS(tblDaily[Deaths],tblDaily[Month],8,tblDaily[WardCode],"BH")</f>
        <v/>
      </c>
      <c r="E311" s="17">
        <f>SUMIFS(tblDaily[DeathsUnder24Hrs],tblDaily[Month],8,tblDaily[WardCode],"BH")</f>
        <v/>
      </c>
      <c r="F311" s="17">
        <f>SUMIFS(tblDaily[TransfersIn],tblDaily[Month],8,tblDaily[WardCode],"BH")</f>
        <v/>
      </c>
      <c r="G311" s="17">
        <f>SUMIFS(tblDaily[TransfersOut],tblDaily[Month],8,tblDaily[WardCode],"BH")</f>
        <v/>
      </c>
      <c r="H311" s="17">
        <f>SUMIFS(tblDaily[Remaining],tblDaily[Month],8,tblDaily[WardCode],"BH")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BLOCK H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4">
        <f>IFERROR(SUMIFS(tblDaily[Remaining],tblDaily[EntryDate],DATE(2026,8,31),tblDaily[WardCode],"BH"),0)</f>
        <v/>
      </c>
    </row>
    <row r="317">
      <c r="A317" s="4" t="inlineStr">
        <is>
          <t>Bed complement</t>
        </is>
      </c>
      <c r="H317" s="15">
        <f>IFERROR(INDEX(tblWardConfig[BedComplement],MATCH("BH",tblWardConfig[WardCode],0)),0)</f>
        <v/>
      </c>
    </row>
    <row r="318">
      <c r="A318" s="16" t="inlineStr">
        <is>
          <t>Day of
the
Month</t>
        </is>
      </c>
      <c r="B318" s="16" t="inlineStr">
        <is>
          <t>Admissions</t>
        </is>
      </c>
      <c r="C318" s="16" t="inlineStr">
        <is>
          <t>Discharges</t>
        </is>
      </c>
      <c r="D318" s="16" t="inlineStr">
        <is>
          <t>Deaths</t>
        </is>
      </c>
      <c r="E318" s="16" t="inlineStr">
        <is>
          <t>Deaths
&lt;24Hrs</t>
        </is>
      </c>
      <c r="F318" s="16" t="inlineStr">
        <is>
          <t>Transfers-
In</t>
        </is>
      </c>
      <c r="G318" s="16" t="inlineStr">
        <is>
          <t>Transfers-
Out</t>
        </is>
      </c>
      <c r="H318" s="16" t="inlineStr">
        <is>
          <t>No. of Patients
Remaining In
Ward</t>
        </is>
      </c>
    </row>
    <row r="319">
      <c r="A319" s="12" t="n">
        <v>1</v>
      </c>
      <c r="B319" s="12">
        <f>IFERROR(IF(SUMIFS(tblDaily[Admissions],tblDaily[EntryDate],DATE(2026,9,1),tblDaily[WardCode],"BH")=0,"",SUMIFS(tblDaily[Admissions],tblDaily[EntryDate],DATE(2026,9,1),tblDaily[WardCode],"BH")),"")</f>
        <v/>
      </c>
      <c r="C319" s="12">
        <f>IFERROR(IF(SUMIFS(tblDaily[Discharges],tblDaily[EntryDate],DATE(2026,9,1),tblDaily[WardCode],"BH")=0,"",SUMIFS(tblDaily[Discharges],tblDaily[EntryDate],DATE(2026,9,1),tblDaily[WardCode],"BH")),"")</f>
        <v/>
      </c>
      <c r="D319" s="12">
        <f>IFERROR(IF(SUMIFS(tblDaily[Deaths],tblDaily[EntryDate],DATE(2026,9,1),tblDaily[WardCode],"BH")=0,"",SUMIFS(tblDaily[Deaths],tblDaily[EntryDate],DATE(2026,9,1),tblDaily[WardCode],"BH")),"")</f>
        <v/>
      </c>
      <c r="E319" s="12">
        <f>IFERROR(IF(SUMIFS(tblDaily[DeathsUnder24Hrs],tblDaily[EntryDate],DATE(2026,9,1),tblDaily[WardCode],"BH")=0,"",SUMIFS(tblDaily[DeathsUnder24Hrs],tblDaily[EntryDate],DATE(2026,9,1),tblDaily[WardCode],"BH")),"")</f>
        <v/>
      </c>
      <c r="F319" s="12">
        <f>IFERROR(IF(SUMIFS(tblDaily[TransfersIn],tblDaily[EntryDate],DATE(2026,9,1),tblDaily[WardCode],"BH")=0,"",SUMIFS(tblDaily[TransfersIn],tblDaily[EntryDate],DATE(2026,9,1),tblDaily[WardCode],"BH")),"")</f>
        <v/>
      </c>
      <c r="G319" s="12">
        <f>IFERROR(IF(SUMIFS(tblDaily[TransfersOut],tblDaily[EntryDate],DATE(2026,9,1),tblDaily[WardCode],"BH")=0,"",SUMIFS(tblDaily[TransfersOut],tblDaily[EntryDate],DATE(2026,9,1),tblDaily[WardCode],"BH")),"")</f>
        <v/>
      </c>
      <c r="H319" s="12">
        <f>IFERROR(IF(SUMIFS(tblDaily[Remaining],tblDaily[EntryDate],DATE(2026,9,1),tblDaily[WardCode],"BH")=0,"",SUMIFS(tblDaily[Remaining],tblDaily[EntryDate],DATE(2026,9,1),tblDaily[WardCode],"BH")),"")</f>
        <v/>
      </c>
    </row>
    <row r="320">
      <c r="A320" s="12" t="n">
        <v>2</v>
      </c>
      <c r="B320" s="12">
        <f>IFERROR(IF(SUMIFS(tblDaily[Admissions],tblDaily[EntryDate],DATE(2026,9,2),tblDaily[WardCode],"BH")=0,"",SUMIFS(tblDaily[Admissions],tblDaily[EntryDate],DATE(2026,9,2),tblDaily[WardCode],"BH")),"")</f>
        <v/>
      </c>
      <c r="C320" s="12">
        <f>IFERROR(IF(SUMIFS(tblDaily[Discharges],tblDaily[EntryDate],DATE(2026,9,2),tblDaily[WardCode],"BH")=0,"",SUMIFS(tblDaily[Discharges],tblDaily[EntryDate],DATE(2026,9,2),tblDaily[WardCode],"BH")),"")</f>
        <v/>
      </c>
      <c r="D320" s="12">
        <f>IFERROR(IF(SUMIFS(tblDaily[Deaths],tblDaily[EntryDate],DATE(2026,9,2),tblDaily[WardCode],"BH")=0,"",SUMIFS(tblDaily[Deaths],tblDaily[EntryDate],DATE(2026,9,2),tblDaily[WardCode],"BH")),"")</f>
        <v/>
      </c>
      <c r="E320" s="12">
        <f>IFERROR(IF(SUMIFS(tblDaily[DeathsUnder24Hrs],tblDaily[EntryDate],DATE(2026,9,2),tblDaily[WardCode],"BH")=0,"",SUMIFS(tblDaily[DeathsUnder24Hrs],tblDaily[EntryDate],DATE(2026,9,2),tblDaily[WardCode],"BH")),"")</f>
        <v/>
      </c>
      <c r="F320" s="12">
        <f>IFERROR(IF(SUMIFS(tblDaily[TransfersIn],tblDaily[EntryDate],DATE(2026,9,2),tblDaily[WardCode],"BH")=0,"",SUMIFS(tblDaily[TransfersIn],tblDaily[EntryDate],DATE(2026,9,2),tblDaily[WardCode],"BH")),"")</f>
        <v/>
      </c>
      <c r="G320" s="12">
        <f>IFERROR(IF(SUMIFS(tblDaily[TransfersOut],tblDaily[EntryDate],DATE(2026,9,2),tblDaily[WardCode],"BH")=0,"",SUMIFS(tblDaily[TransfersOut],tblDaily[EntryDate],DATE(2026,9,2),tblDaily[WardCode],"BH")),"")</f>
        <v/>
      </c>
      <c r="H320" s="12">
        <f>IFERROR(IF(SUMIFS(tblDaily[Remaining],tblDaily[EntryDate],DATE(2026,9,2),tblDaily[WardCode],"BH")=0,"",SUMIFS(tblDaily[Remaining],tblDaily[EntryDate],DATE(2026,9,2),tblDaily[WardCode],"BH")),"")</f>
        <v/>
      </c>
    </row>
    <row r="321">
      <c r="A321" s="12" t="n">
        <v>3</v>
      </c>
      <c r="B321" s="12">
        <f>IFERROR(IF(SUMIFS(tblDaily[Admissions],tblDaily[EntryDate],DATE(2026,9,3),tblDaily[WardCode],"BH")=0,"",SUMIFS(tblDaily[Admissions],tblDaily[EntryDate],DATE(2026,9,3),tblDaily[WardCode],"BH")),"")</f>
        <v/>
      </c>
      <c r="C321" s="12">
        <f>IFERROR(IF(SUMIFS(tblDaily[Discharges],tblDaily[EntryDate],DATE(2026,9,3),tblDaily[WardCode],"BH")=0,"",SUMIFS(tblDaily[Discharges],tblDaily[EntryDate],DATE(2026,9,3),tblDaily[WardCode],"BH")),"")</f>
        <v/>
      </c>
      <c r="D321" s="12">
        <f>IFERROR(IF(SUMIFS(tblDaily[Deaths],tblDaily[EntryDate],DATE(2026,9,3),tblDaily[WardCode],"BH")=0,"",SUMIFS(tblDaily[Deaths],tblDaily[EntryDate],DATE(2026,9,3),tblDaily[WardCode],"BH")),"")</f>
        <v/>
      </c>
      <c r="E321" s="12">
        <f>IFERROR(IF(SUMIFS(tblDaily[DeathsUnder24Hrs],tblDaily[EntryDate],DATE(2026,9,3),tblDaily[WardCode],"BH")=0,"",SUMIFS(tblDaily[DeathsUnder24Hrs],tblDaily[EntryDate],DATE(2026,9,3),tblDaily[WardCode],"BH")),"")</f>
        <v/>
      </c>
      <c r="F321" s="12">
        <f>IFERROR(IF(SUMIFS(tblDaily[TransfersIn],tblDaily[EntryDate],DATE(2026,9,3),tblDaily[WardCode],"BH")=0,"",SUMIFS(tblDaily[TransfersIn],tblDaily[EntryDate],DATE(2026,9,3),tblDaily[WardCode],"BH")),"")</f>
        <v/>
      </c>
      <c r="G321" s="12">
        <f>IFERROR(IF(SUMIFS(tblDaily[TransfersOut],tblDaily[EntryDate],DATE(2026,9,3),tblDaily[WardCode],"BH")=0,"",SUMIFS(tblDaily[TransfersOut],tblDaily[EntryDate],DATE(2026,9,3),tblDaily[WardCode],"BH")),"")</f>
        <v/>
      </c>
      <c r="H321" s="12">
        <f>IFERROR(IF(SUMIFS(tblDaily[Remaining],tblDaily[EntryDate],DATE(2026,9,3),tblDaily[WardCode],"BH")=0,"",SUMIFS(tblDaily[Remaining],tblDaily[EntryDate],DATE(2026,9,3),tblDaily[WardCode],"BH")),"")</f>
        <v/>
      </c>
    </row>
    <row r="322">
      <c r="A322" s="12" t="n">
        <v>4</v>
      </c>
      <c r="B322" s="12">
        <f>IFERROR(IF(SUMIFS(tblDaily[Admissions],tblDaily[EntryDate],DATE(2026,9,4),tblDaily[WardCode],"BH")=0,"",SUMIFS(tblDaily[Admissions],tblDaily[EntryDate],DATE(2026,9,4),tblDaily[WardCode],"BH")),"")</f>
        <v/>
      </c>
      <c r="C322" s="12">
        <f>IFERROR(IF(SUMIFS(tblDaily[Discharges],tblDaily[EntryDate],DATE(2026,9,4),tblDaily[WardCode],"BH")=0,"",SUMIFS(tblDaily[Discharges],tblDaily[EntryDate],DATE(2026,9,4),tblDaily[WardCode],"BH")),"")</f>
        <v/>
      </c>
      <c r="D322" s="12">
        <f>IFERROR(IF(SUMIFS(tblDaily[Deaths],tblDaily[EntryDate],DATE(2026,9,4),tblDaily[WardCode],"BH")=0,"",SUMIFS(tblDaily[Deaths],tblDaily[EntryDate],DATE(2026,9,4),tblDaily[WardCode],"BH")),"")</f>
        <v/>
      </c>
      <c r="E322" s="12">
        <f>IFERROR(IF(SUMIFS(tblDaily[DeathsUnder24Hrs],tblDaily[EntryDate],DATE(2026,9,4),tblDaily[WardCode],"BH")=0,"",SUMIFS(tblDaily[DeathsUnder24Hrs],tblDaily[EntryDate],DATE(2026,9,4),tblDaily[WardCode],"BH")),"")</f>
        <v/>
      </c>
      <c r="F322" s="12">
        <f>IFERROR(IF(SUMIFS(tblDaily[TransfersIn],tblDaily[EntryDate],DATE(2026,9,4),tblDaily[WardCode],"BH")=0,"",SUMIFS(tblDaily[TransfersIn],tblDaily[EntryDate],DATE(2026,9,4),tblDaily[WardCode],"BH")),"")</f>
        <v/>
      </c>
      <c r="G322" s="12">
        <f>IFERROR(IF(SUMIFS(tblDaily[TransfersOut],tblDaily[EntryDate],DATE(2026,9,4),tblDaily[WardCode],"BH")=0,"",SUMIFS(tblDaily[TransfersOut],tblDaily[EntryDate],DATE(2026,9,4),tblDaily[WardCode],"BH")),"")</f>
        <v/>
      </c>
      <c r="H322" s="12">
        <f>IFERROR(IF(SUMIFS(tblDaily[Remaining],tblDaily[EntryDate],DATE(2026,9,4),tblDaily[WardCode],"BH")=0,"",SUMIFS(tblDaily[Remaining],tblDaily[EntryDate],DATE(2026,9,4),tblDaily[WardCode],"BH")),"")</f>
        <v/>
      </c>
    </row>
    <row r="323">
      <c r="A323" s="12" t="n">
        <v>5</v>
      </c>
      <c r="B323" s="12">
        <f>IFERROR(IF(SUMIFS(tblDaily[Admissions],tblDaily[EntryDate],DATE(2026,9,5),tblDaily[WardCode],"BH")=0,"",SUMIFS(tblDaily[Admissions],tblDaily[EntryDate],DATE(2026,9,5),tblDaily[WardCode],"BH")),"")</f>
        <v/>
      </c>
      <c r="C323" s="12">
        <f>IFERROR(IF(SUMIFS(tblDaily[Discharges],tblDaily[EntryDate],DATE(2026,9,5),tblDaily[WardCode],"BH")=0,"",SUMIFS(tblDaily[Discharges],tblDaily[EntryDate],DATE(2026,9,5),tblDaily[WardCode],"BH")),"")</f>
        <v/>
      </c>
      <c r="D323" s="12">
        <f>IFERROR(IF(SUMIFS(tblDaily[Deaths],tblDaily[EntryDate],DATE(2026,9,5),tblDaily[WardCode],"BH")=0,"",SUMIFS(tblDaily[Deaths],tblDaily[EntryDate],DATE(2026,9,5),tblDaily[WardCode],"BH")),"")</f>
        <v/>
      </c>
      <c r="E323" s="12">
        <f>IFERROR(IF(SUMIFS(tblDaily[DeathsUnder24Hrs],tblDaily[EntryDate],DATE(2026,9,5),tblDaily[WardCode],"BH")=0,"",SUMIFS(tblDaily[DeathsUnder24Hrs],tblDaily[EntryDate],DATE(2026,9,5),tblDaily[WardCode],"BH")),"")</f>
        <v/>
      </c>
      <c r="F323" s="12">
        <f>IFERROR(IF(SUMIFS(tblDaily[TransfersIn],tblDaily[EntryDate],DATE(2026,9,5),tblDaily[WardCode],"BH")=0,"",SUMIFS(tblDaily[TransfersIn],tblDaily[EntryDate],DATE(2026,9,5),tblDaily[WardCode],"BH")),"")</f>
        <v/>
      </c>
      <c r="G323" s="12">
        <f>IFERROR(IF(SUMIFS(tblDaily[TransfersOut],tblDaily[EntryDate],DATE(2026,9,5),tblDaily[WardCode],"BH")=0,"",SUMIFS(tblDaily[TransfersOut],tblDaily[EntryDate],DATE(2026,9,5),tblDaily[WardCode],"BH")),"")</f>
        <v/>
      </c>
      <c r="H323" s="12">
        <f>IFERROR(IF(SUMIFS(tblDaily[Remaining],tblDaily[EntryDate],DATE(2026,9,5),tblDaily[WardCode],"BH")=0,"",SUMIFS(tblDaily[Remaining],tblDaily[EntryDate],DATE(2026,9,5),tblDaily[WardCode],"BH")),"")</f>
        <v/>
      </c>
    </row>
    <row r="324">
      <c r="A324" s="12" t="n">
        <v>6</v>
      </c>
      <c r="B324" s="12">
        <f>IFERROR(IF(SUMIFS(tblDaily[Admissions],tblDaily[EntryDate],DATE(2026,9,6),tblDaily[WardCode],"BH")=0,"",SUMIFS(tblDaily[Admissions],tblDaily[EntryDate],DATE(2026,9,6),tblDaily[WardCode],"BH")),"")</f>
        <v/>
      </c>
      <c r="C324" s="12">
        <f>IFERROR(IF(SUMIFS(tblDaily[Discharges],tblDaily[EntryDate],DATE(2026,9,6),tblDaily[WardCode],"BH")=0,"",SUMIFS(tblDaily[Discharges],tblDaily[EntryDate],DATE(2026,9,6),tblDaily[WardCode],"BH")),"")</f>
        <v/>
      </c>
      <c r="D324" s="12">
        <f>IFERROR(IF(SUMIFS(tblDaily[Deaths],tblDaily[EntryDate],DATE(2026,9,6),tblDaily[WardCode],"BH")=0,"",SUMIFS(tblDaily[Deaths],tblDaily[EntryDate],DATE(2026,9,6),tblDaily[WardCode],"BH")),"")</f>
        <v/>
      </c>
      <c r="E324" s="12">
        <f>IFERROR(IF(SUMIFS(tblDaily[DeathsUnder24Hrs],tblDaily[EntryDate],DATE(2026,9,6),tblDaily[WardCode],"BH")=0,"",SUMIFS(tblDaily[DeathsUnder24Hrs],tblDaily[EntryDate],DATE(2026,9,6),tblDaily[WardCode],"BH")),"")</f>
        <v/>
      </c>
      <c r="F324" s="12">
        <f>IFERROR(IF(SUMIFS(tblDaily[TransfersIn],tblDaily[EntryDate],DATE(2026,9,6),tblDaily[WardCode],"BH")=0,"",SUMIFS(tblDaily[TransfersIn],tblDaily[EntryDate],DATE(2026,9,6),tblDaily[WardCode],"BH")),"")</f>
        <v/>
      </c>
      <c r="G324" s="12">
        <f>IFERROR(IF(SUMIFS(tblDaily[TransfersOut],tblDaily[EntryDate],DATE(2026,9,6),tblDaily[WardCode],"BH")=0,"",SUMIFS(tblDaily[TransfersOut],tblDaily[EntryDate],DATE(2026,9,6),tblDaily[WardCode],"BH")),"")</f>
        <v/>
      </c>
      <c r="H324" s="12">
        <f>IFERROR(IF(SUMIFS(tblDaily[Remaining],tblDaily[EntryDate],DATE(2026,9,6),tblDaily[WardCode],"BH")=0,"",SUMIFS(tblDaily[Remaining],tblDaily[EntryDate],DATE(2026,9,6),tblDaily[WardCode],"BH")),"")</f>
        <v/>
      </c>
    </row>
    <row r="325">
      <c r="A325" s="12" t="n">
        <v>7</v>
      </c>
      <c r="B325" s="12">
        <f>IFERROR(IF(SUMIFS(tblDaily[Admissions],tblDaily[EntryDate],DATE(2026,9,7),tblDaily[WardCode],"BH")=0,"",SUMIFS(tblDaily[Admissions],tblDaily[EntryDate],DATE(2026,9,7),tblDaily[WardCode],"BH")),"")</f>
        <v/>
      </c>
      <c r="C325" s="12">
        <f>IFERROR(IF(SUMIFS(tblDaily[Discharges],tblDaily[EntryDate],DATE(2026,9,7),tblDaily[WardCode],"BH")=0,"",SUMIFS(tblDaily[Discharges],tblDaily[EntryDate],DATE(2026,9,7),tblDaily[WardCode],"BH")),"")</f>
        <v/>
      </c>
      <c r="D325" s="12">
        <f>IFERROR(IF(SUMIFS(tblDaily[Deaths],tblDaily[EntryDate],DATE(2026,9,7),tblDaily[WardCode],"BH")=0,"",SUMIFS(tblDaily[Deaths],tblDaily[EntryDate],DATE(2026,9,7),tblDaily[WardCode],"BH")),"")</f>
        <v/>
      </c>
      <c r="E325" s="12">
        <f>IFERROR(IF(SUMIFS(tblDaily[DeathsUnder24Hrs],tblDaily[EntryDate],DATE(2026,9,7),tblDaily[WardCode],"BH")=0,"",SUMIFS(tblDaily[DeathsUnder24Hrs],tblDaily[EntryDate],DATE(2026,9,7),tblDaily[WardCode],"BH")),"")</f>
        <v/>
      </c>
      <c r="F325" s="12">
        <f>IFERROR(IF(SUMIFS(tblDaily[TransfersIn],tblDaily[EntryDate],DATE(2026,9,7),tblDaily[WardCode],"BH")=0,"",SUMIFS(tblDaily[TransfersIn],tblDaily[EntryDate],DATE(2026,9,7),tblDaily[WardCode],"BH")),"")</f>
        <v/>
      </c>
      <c r="G325" s="12">
        <f>IFERROR(IF(SUMIFS(tblDaily[TransfersOut],tblDaily[EntryDate],DATE(2026,9,7),tblDaily[WardCode],"BH")=0,"",SUMIFS(tblDaily[TransfersOut],tblDaily[EntryDate],DATE(2026,9,7),tblDaily[WardCode],"BH")),"")</f>
        <v/>
      </c>
      <c r="H325" s="12">
        <f>IFERROR(IF(SUMIFS(tblDaily[Remaining],tblDaily[EntryDate],DATE(2026,9,7),tblDaily[WardCode],"BH")=0,"",SUMIFS(tblDaily[Remaining],tblDaily[EntryDate],DATE(2026,9,7),tblDaily[WardCode],"BH")),"")</f>
        <v/>
      </c>
    </row>
    <row r="326">
      <c r="A326" s="12" t="n">
        <v>8</v>
      </c>
      <c r="B326" s="12">
        <f>IFERROR(IF(SUMIFS(tblDaily[Admissions],tblDaily[EntryDate],DATE(2026,9,8),tblDaily[WardCode],"BH")=0,"",SUMIFS(tblDaily[Admissions],tblDaily[EntryDate],DATE(2026,9,8),tblDaily[WardCode],"BH")),"")</f>
        <v/>
      </c>
      <c r="C326" s="12">
        <f>IFERROR(IF(SUMIFS(tblDaily[Discharges],tblDaily[EntryDate],DATE(2026,9,8),tblDaily[WardCode],"BH")=0,"",SUMIFS(tblDaily[Discharges],tblDaily[EntryDate],DATE(2026,9,8),tblDaily[WardCode],"BH")),"")</f>
        <v/>
      </c>
      <c r="D326" s="12">
        <f>IFERROR(IF(SUMIFS(tblDaily[Deaths],tblDaily[EntryDate],DATE(2026,9,8),tblDaily[WardCode],"BH")=0,"",SUMIFS(tblDaily[Deaths],tblDaily[EntryDate],DATE(2026,9,8),tblDaily[WardCode],"BH")),"")</f>
        <v/>
      </c>
      <c r="E326" s="12">
        <f>IFERROR(IF(SUMIFS(tblDaily[DeathsUnder24Hrs],tblDaily[EntryDate],DATE(2026,9,8),tblDaily[WardCode],"BH")=0,"",SUMIFS(tblDaily[DeathsUnder24Hrs],tblDaily[EntryDate],DATE(2026,9,8),tblDaily[WardCode],"BH")),"")</f>
        <v/>
      </c>
      <c r="F326" s="12">
        <f>IFERROR(IF(SUMIFS(tblDaily[TransfersIn],tblDaily[EntryDate],DATE(2026,9,8),tblDaily[WardCode],"BH")=0,"",SUMIFS(tblDaily[TransfersIn],tblDaily[EntryDate],DATE(2026,9,8),tblDaily[WardCode],"BH")),"")</f>
        <v/>
      </c>
      <c r="G326" s="12">
        <f>IFERROR(IF(SUMIFS(tblDaily[TransfersOut],tblDaily[EntryDate],DATE(2026,9,8),tblDaily[WardCode],"BH")=0,"",SUMIFS(tblDaily[TransfersOut],tblDaily[EntryDate],DATE(2026,9,8),tblDaily[WardCode],"BH")),"")</f>
        <v/>
      </c>
      <c r="H326" s="12">
        <f>IFERROR(IF(SUMIFS(tblDaily[Remaining],tblDaily[EntryDate],DATE(2026,9,8),tblDaily[WardCode],"BH")=0,"",SUMIFS(tblDaily[Remaining],tblDaily[EntryDate],DATE(2026,9,8),tblDaily[WardCode],"BH")),"")</f>
        <v/>
      </c>
    </row>
    <row r="327">
      <c r="A327" s="12" t="n">
        <v>9</v>
      </c>
      <c r="B327" s="12">
        <f>IFERROR(IF(SUMIFS(tblDaily[Admissions],tblDaily[EntryDate],DATE(2026,9,9),tblDaily[WardCode],"BH")=0,"",SUMIFS(tblDaily[Admissions],tblDaily[EntryDate],DATE(2026,9,9),tblDaily[WardCode],"BH")),"")</f>
        <v/>
      </c>
      <c r="C327" s="12">
        <f>IFERROR(IF(SUMIFS(tblDaily[Discharges],tblDaily[EntryDate],DATE(2026,9,9),tblDaily[WardCode],"BH")=0,"",SUMIFS(tblDaily[Discharges],tblDaily[EntryDate],DATE(2026,9,9),tblDaily[WardCode],"BH")),"")</f>
        <v/>
      </c>
      <c r="D327" s="12">
        <f>IFERROR(IF(SUMIFS(tblDaily[Deaths],tblDaily[EntryDate],DATE(2026,9,9),tblDaily[WardCode],"BH")=0,"",SUMIFS(tblDaily[Deaths],tblDaily[EntryDate],DATE(2026,9,9),tblDaily[WardCode],"BH")),"")</f>
        <v/>
      </c>
      <c r="E327" s="12">
        <f>IFERROR(IF(SUMIFS(tblDaily[DeathsUnder24Hrs],tblDaily[EntryDate],DATE(2026,9,9),tblDaily[WardCode],"BH")=0,"",SUMIFS(tblDaily[DeathsUnder24Hrs],tblDaily[EntryDate],DATE(2026,9,9),tblDaily[WardCode],"BH")),"")</f>
        <v/>
      </c>
      <c r="F327" s="12">
        <f>IFERROR(IF(SUMIFS(tblDaily[TransfersIn],tblDaily[EntryDate],DATE(2026,9,9),tblDaily[WardCode],"BH")=0,"",SUMIFS(tblDaily[TransfersIn],tblDaily[EntryDate],DATE(2026,9,9),tblDaily[WardCode],"BH")),"")</f>
        <v/>
      </c>
      <c r="G327" s="12">
        <f>IFERROR(IF(SUMIFS(tblDaily[TransfersOut],tblDaily[EntryDate],DATE(2026,9,9),tblDaily[WardCode],"BH")=0,"",SUMIFS(tblDaily[TransfersOut],tblDaily[EntryDate],DATE(2026,9,9),tblDaily[WardCode],"BH")),"")</f>
        <v/>
      </c>
      <c r="H327" s="12">
        <f>IFERROR(IF(SUMIFS(tblDaily[Remaining],tblDaily[EntryDate],DATE(2026,9,9),tblDaily[WardCode],"BH")=0,"",SUMIFS(tblDaily[Remaining],tblDaily[EntryDate],DATE(2026,9,9),tblDaily[WardCode],"BH")),"")</f>
        <v/>
      </c>
    </row>
    <row r="328">
      <c r="A328" s="12" t="n">
        <v>10</v>
      </c>
      <c r="B328" s="12">
        <f>IFERROR(IF(SUMIFS(tblDaily[Admissions],tblDaily[EntryDate],DATE(2026,9,10),tblDaily[WardCode],"BH")=0,"",SUMIFS(tblDaily[Admissions],tblDaily[EntryDate],DATE(2026,9,10),tblDaily[WardCode],"BH")),"")</f>
        <v/>
      </c>
      <c r="C328" s="12">
        <f>IFERROR(IF(SUMIFS(tblDaily[Discharges],tblDaily[EntryDate],DATE(2026,9,10),tblDaily[WardCode],"BH")=0,"",SUMIFS(tblDaily[Discharges],tblDaily[EntryDate],DATE(2026,9,10),tblDaily[WardCode],"BH")),"")</f>
        <v/>
      </c>
      <c r="D328" s="12">
        <f>IFERROR(IF(SUMIFS(tblDaily[Deaths],tblDaily[EntryDate],DATE(2026,9,10),tblDaily[WardCode],"BH")=0,"",SUMIFS(tblDaily[Deaths],tblDaily[EntryDate],DATE(2026,9,10),tblDaily[WardCode],"BH")),"")</f>
        <v/>
      </c>
      <c r="E328" s="12">
        <f>IFERROR(IF(SUMIFS(tblDaily[DeathsUnder24Hrs],tblDaily[EntryDate],DATE(2026,9,10),tblDaily[WardCode],"BH")=0,"",SUMIFS(tblDaily[DeathsUnder24Hrs],tblDaily[EntryDate],DATE(2026,9,10),tblDaily[WardCode],"BH")),"")</f>
        <v/>
      </c>
      <c r="F328" s="12">
        <f>IFERROR(IF(SUMIFS(tblDaily[TransfersIn],tblDaily[EntryDate],DATE(2026,9,10),tblDaily[WardCode],"BH")=0,"",SUMIFS(tblDaily[TransfersIn],tblDaily[EntryDate],DATE(2026,9,10),tblDaily[WardCode],"BH")),"")</f>
        <v/>
      </c>
      <c r="G328" s="12">
        <f>IFERROR(IF(SUMIFS(tblDaily[TransfersOut],tblDaily[EntryDate],DATE(2026,9,10),tblDaily[WardCode],"BH")=0,"",SUMIFS(tblDaily[TransfersOut],tblDaily[EntryDate],DATE(2026,9,10),tblDaily[WardCode],"BH")),"")</f>
        <v/>
      </c>
      <c r="H328" s="12">
        <f>IFERROR(IF(SUMIFS(tblDaily[Remaining],tblDaily[EntryDate],DATE(2026,9,10),tblDaily[WardCode],"BH")=0,"",SUMIFS(tblDaily[Remaining],tblDaily[EntryDate],DATE(2026,9,10),tblDaily[WardCode],"BH")),"")</f>
        <v/>
      </c>
    </row>
    <row r="329">
      <c r="A329" s="12" t="n">
        <v>11</v>
      </c>
      <c r="B329" s="12">
        <f>IFERROR(IF(SUMIFS(tblDaily[Admissions],tblDaily[EntryDate],DATE(2026,9,11),tblDaily[WardCode],"BH")=0,"",SUMIFS(tblDaily[Admissions],tblDaily[EntryDate],DATE(2026,9,11),tblDaily[WardCode],"BH")),"")</f>
        <v/>
      </c>
      <c r="C329" s="12">
        <f>IFERROR(IF(SUMIFS(tblDaily[Discharges],tblDaily[EntryDate],DATE(2026,9,11),tblDaily[WardCode],"BH")=0,"",SUMIFS(tblDaily[Discharges],tblDaily[EntryDate],DATE(2026,9,11),tblDaily[WardCode],"BH")),"")</f>
        <v/>
      </c>
      <c r="D329" s="12">
        <f>IFERROR(IF(SUMIFS(tblDaily[Deaths],tblDaily[EntryDate],DATE(2026,9,11),tblDaily[WardCode],"BH")=0,"",SUMIFS(tblDaily[Deaths],tblDaily[EntryDate],DATE(2026,9,11),tblDaily[WardCode],"BH")),"")</f>
        <v/>
      </c>
      <c r="E329" s="12">
        <f>IFERROR(IF(SUMIFS(tblDaily[DeathsUnder24Hrs],tblDaily[EntryDate],DATE(2026,9,11),tblDaily[WardCode],"BH")=0,"",SUMIFS(tblDaily[DeathsUnder24Hrs],tblDaily[EntryDate],DATE(2026,9,11),tblDaily[WardCode],"BH")),"")</f>
        <v/>
      </c>
      <c r="F329" s="12">
        <f>IFERROR(IF(SUMIFS(tblDaily[TransfersIn],tblDaily[EntryDate],DATE(2026,9,11),tblDaily[WardCode],"BH")=0,"",SUMIFS(tblDaily[TransfersIn],tblDaily[EntryDate],DATE(2026,9,11),tblDaily[WardCode],"BH")),"")</f>
        <v/>
      </c>
      <c r="G329" s="12">
        <f>IFERROR(IF(SUMIFS(tblDaily[TransfersOut],tblDaily[EntryDate],DATE(2026,9,11),tblDaily[WardCode],"BH")=0,"",SUMIFS(tblDaily[TransfersOut],tblDaily[EntryDate],DATE(2026,9,11),tblDaily[WardCode],"BH")),"")</f>
        <v/>
      </c>
      <c r="H329" s="12">
        <f>IFERROR(IF(SUMIFS(tblDaily[Remaining],tblDaily[EntryDate],DATE(2026,9,11),tblDaily[WardCode],"BH")=0,"",SUMIFS(tblDaily[Remaining],tblDaily[EntryDate],DATE(2026,9,11),tblDaily[WardCode],"BH")),"")</f>
        <v/>
      </c>
    </row>
    <row r="330">
      <c r="A330" s="12" t="n">
        <v>12</v>
      </c>
      <c r="B330" s="12">
        <f>IFERROR(IF(SUMIFS(tblDaily[Admissions],tblDaily[EntryDate],DATE(2026,9,12),tblDaily[WardCode],"BH")=0,"",SUMIFS(tblDaily[Admissions],tblDaily[EntryDate],DATE(2026,9,12),tblDaily[WardCode],"BH")),"")</f>
        <v/>
      </c>
      <c r="C330" s="12">
        <f>IFERROR(IF(SUMIFS(tblDaily[Discharges],tblDaily[EntryDate],DATE(2026,9,12),tblDaily[WardCode],"BH")=0,"",SUMIFS(tblDaily[Discharges],tblDaily[EntryDate],DATE(2026,9,12),tblDaily[WardCode],"BH")),"")</f>
        <v/>
      </c>
      <c r="D330" s="12">
        <f>IFERROR(IF(SUMIFS(tblDaily[Deaths],tblDaily[EntryDate],DATE(2026,9,12),tblDaily[WardCode],"BH")=0,"",SUMIFS(tblDaily[Deaths],tblDaily[EntryDate],DATE(2026,9,12),tblDaily[WardCode],"BH")),"")</f>
        <v/>
      </c>
      <c r="E330" s="12">
        <f>IFERROR(IF(SUMIFS(tblDaily[DeathsUnder24Hrs],tblDaily[EntryDate],DATE(2026,9,12),tblDaily[WardCode],"BH")=0,"",SUMIFS(tblDaily[DeathsUnder24Hrs],tblDaily[EntryDate],DATE(2026,9,12),tblDaily[WardCode],"BH")),"")</f>
        <v/>
      </c>
      <c r="F330" s="12">
        <f>IFERROR(IF(SUMIFS(tblDaily[TransfersIn],tblDaily[EntryDate],DATE(2026,9,12),tblDaily[WardCode],"BH")=0,"",SUMIFS(tblDaily[TransfersIn],tblDaily[EntryDate],DATE(2026,9,12),tblDaily[WardCode],"BH")),"")</f>
        <v/>
      </c>
      <c r="G330" s="12">
        <f>IFERROR(IF(SUMIFS(tblDaily[TransfersOut],tblDaily[EntryDate],DATE(2026,9,12),tblDaily[WardCode],"BH")=0,"",SUMIFS(tblDaily[TransfersOut],tblDaily[EntryDate],DATE(2026,9,12),tblDaily[WardCode],"BH")),"")</f>
        <v/>
      </c>
      <c r="H330" s="12">
        <f>IFERROR(IF(SUMIFS(tblDaily[Remaining],tblDaily[EntryDate],DATE(2026,9,12),tblDaily[WardCode],"BH")=0,"",SUMIFS(tblDaily[Remaining],tblDaily[EntryDate],DATE(2026,9,12),tblDaily[WardCode],"BH")),"")</f>
        <v/>
      </c>
    </row>
    <row r="331">
      <c r="A331" s="12" t="n">
        <v>13</v>
      </c>
      <c r="B331" s="12">
        <f>IFERROR(IF(SUMIFS(tblDaily[Admissions],tblDaily[EntryDate],DATE(2026,9,13),tblDaily[WardCode],"BH")=0,"",SUMIFS(tblDaily[Admissions],tblDaily[EntryDate],DATE(2026,9,13),tblDaily[WardCode],"BH")),"")</f>
        <v/>
      </c>
      <c r="C331" s="12">
        <f>IFERROR(IF(SUMIFS(tblDaily[Discharges],tblDaily[EntryDate],DATE(2026,9,13),tblDaily[WardCode],"BH")=0,"",SUMIFS(tblDaily[Discharges],tblDaily[EntryDate],DATE(2026,9,13),tblDaily[WardCode],"BH")),"")</f>
        <v/>
      </c>
      <c r="D331" s="12">
        <f>IFERROR(IF(SUMIFS(tblDaily[Deaths],tblDaily[EntryDate],DATE(2026,9,13),tblDaily[WardCode],"BH")=0,"",SUMIFS(tblDaily[Deaths],tblDaily[EntryDate],DATE(2026,9,13),tblDaily[WardCode],"BH")),"")</f>
        <v/>
      </c>
      <c r="E331" s="12">
        <f>IFERROR(IF(SUMIFS(tblDaily[DeathsUnder24Hrs],tblDaily[EntryDate],DATE(2026,9,13),tblDaily[WardCode],"BH")=0,"",SUMIFS(tblDaily[DeathsUnder24Hrs],tblDaily[EntryDate],DATE(2026,9,13),tblDaily[WardCode],"BH")),"")</f>
        <v/>
      </c>
      <c r="F331" s="12">
        <f>IFERROR(IF(SUMIFS(tblDaily[TransfersIn],tblDaily[EntryDate],DATE(2026,9,13),tblDaily[WardCode],"BH")=0,"",SUMIFS(tblDaily[TransfersIn],tblDaily[EntryDate],DATE(2026,9,13),tblDaily[WardCode],"BH")),"")</f>
        <v/>
      </c>
      <c r="G331" s="12">
        <f>IFERROR(IF(SUMIFS(tblDaily[TransfersOut],tblDaily[EntryDate],DATE(2026,9,13),tblDaily[WardCode],"BH")=0,"",SUMIFS(tblDaily[TransfersOut],tblDaily[EntryDate],DATE(2026,9,13),tblDaily[WardCode],"BH")),"")</f>
        <v/>
      </c>
      <c r="H331" s="12">
        <f>IFERROR(IF(SUMIFS(tblDaily[Remaining],tblDaily[EntryDate],DATE(2026,9,13),tblDaily[WardCode],"BH")=0,"",SUMIFS(tblDaily[Remaining],tblDaily[EntryDate],DATE(2026,9,13),tblDaily[WardCode],"BH")),"")</f>
        <v/>
      </c>
    </row>
    <row r="332">
      <c r="A332" s="12" t="n">
        <v>14</v>
      </c>
      <c r="B332" s="12">
        <f>IFERROR(IF(SUMIFS(tblDaily[Admissions],tblDaily[EntryDate],DATE(2026,9,14),tblDaily[WardCode],"BH")=0,"",SUMIFS(tblDaily[Admissions],tblDaily[EntryDate],DATE(2026,9,14),tblDaily[WardCode],"BH")),"")</f>
        <v/>
      </c>
      <c r="C332" s="12">
        <f>IFERROR(IF(SUMIFS(tblDaily[Discharges],tblDaily[EntryDate],DATE(2026,9,14),tblDaily[WardCode],"BH")=0,"",SUMIFS(tblDaily[Discharges],tblDaily[EntryDate],DATE(2026,9,14),tblDaily[WardCode],"BH")),"")</f>
        <v/>
      </c>
      <c r="D332" s="12">
        <f>IFERROR(IF(SUMIFS(tblDaily[Deaths],tblDaily[EntryDate],DATE(2026,9,14),tblDaily[WardCode],"BH")=0,"",SUMIFS(tblDaily[Deaths],tblDaily[EntryDate],DATE(2026,9,14),tblDaily[WardCode],"BH")),"")</f>
        <v/>
      </c>
      <c r="E332" s="12">
        <f>IFERROR(IF(SUMIFS(tblDaily[DeathsUnder24Hrs],tblDaily[EntryDate],DATE(2026,9,14),tblDaily[WardCode],"BH")=0,"",SUMIFS(tblDaily[DeathsUnder24Hrs],tblDaily[EntryDate],DATE(2026,9,14),tblDaily[WardCode],"BH")),"")</f>
        <v/>
      </c>
      <c r="F332" s="12">
        <f>IFERROR(IF(SUMIFS(tblDaily[TransfersIn],tblDaily[EntryDate],DATE(2026,9,14),tblDaily[WardCode],"BH")=0,"",SUMIFS(tblDaily[TransfersIn],tblDaily[EntryDate],DATE(2026,9,14),tblDaily[WardCode],"BH")),"")</f>
        <v/>
      </c>
      <c r="G332" s="12">
        <f>IFERROR(IF(SUMIFS(tblDaily[TransfersOut],tblDaily[EntryDate],DATE(2026,9,14),tblDaily[WardCode],"BH")=0,"",SUMIFS(tblDaily[TransfersOut],tblDaily[EntryDate],DATE(2026,9,14),tblDaily[WardCode],"BH")),"")</f>
        <v/>
      </c>
      <c r="H332" s="12">
        <f>IFERROR(IF(SUMIFS(tblDaily[Remaining],tblDaily[EntryDate],DATE(2026,9,14),tblDaily[WardCode],"BH")=0,"",SUMIFS(tblDaily[Remaining],tblDaily[EntryDate],DATE(2026,9,14),tblDaily[WardCode],"BH")),"")</f>
        <v/>
      </c>
    </row>
    <row r="333">
      <c r="A333" s="12" t="n">
        <v>15</v>
      </c>
      <c r="B333" s="12">
        <f>IFERROR(IF(SUMIFS(tblDaily[Admissions],tblDaily[EntryDate],DATE(2026,9,15),tblDaily[WardCode],"BH")=0,"",SUMIFS(tblDaily[Admissions],tblDaily[EntryDate],DATE(2026,9,15),tblDaily[WardCode],"BH")),"")</f>
        <v/>
      </c>
      <c r="C333" s="12">
        <f>IFERROR(IF(SUMIFS(tblDaily[Discharges],tblDaily[EntryDate],DATE(2026,9,15),tblDaily[WardCode],"BH")=0,"",SUMIFS(tblDaily[Discharges],tblDaily[EntryDate],DATE(2026,9,15),tblDaily[WardCode],"BH")),"")</f>
        <v/>
      </c>
      <c r="D333" s="12">
        <f>IFERROR(IF(SUMIFS(tblDaily[Deaths],tblDaily[EntryDate],DATE(2026,9,15),tblDaily[WardCode],"BH")=0,"",SUMIFS(tblDaily[Deaths],tblDaily[EntryDate],DATE(2026,9,15),tblDaily[WardCode],"BH")),"")</f>
        <v/>
      </c>
      <c r="E333" s="12">
        <f>IFERROR(IF(SUMIFS(tblDaily[DeathsUnder24Hrs],tblDaily[EntryDate],DATE(2026,9,15),tblDaily[WardCode],"BH")=0,"",SUMIFS(tblDaily[DeathsUnder24Hrs],tblDaily[EntryDate],DATE(2026,9,15),tblDaily[WardCode],"BH")),"")</f>
        <v/>
      </c>
      <c r="F333" s="12">
        <f>IFERROR(IF(SUMIFS(tblDaily[TransfersIn],tblDaily[EntryDate],DATE(2026,9,15),tblDaily[WardCode],"BH")=0,"",SUMIFS(tblDaily[TransfersIn],tblDaily[EntryDate],DATE(2026,9,15),tblDaily[WardCode],"BH")),"")</f>
        <v/>
      </c>
      <c r="G333" s="12">
        <f>IFERROR(IF(SUMIFS(tblDaily[TransfersOut],tblDaily[EntryDate],DATE(2026,9,15),tblDaily[WardCode],"BH")=0,"",SUMIFS(tblDaily[TransfersOut],tblDaily[EntryDate],DATE(2026,9,15),tblDaily[WardCode],"BH")),"")</f>
        <v/>
      </c>
      <c r="H333" s="12">
        <f>IFERROR(IF(SUMIFS(tblDaily[Remaining],tblDaily[EntryDate],DATE(2026,9,15),tblDaily[WardCode],"BH")=0,"",SUMIFS(tblDaily[Remaining],tblDaily[EntryDate],DATE(2026,9,15),tblDaily[WardCode],"BH")),"")</f>
        <v/>
      </c>
    </row>
    <row r="334">
      <c r="A334" s="12" t="n">
        <v>16</v>
      </c>
      <c r="B334" s="12">
        <f>IFERROR(IF(SUMIFS(tblDaily[Admissions],tblDaily[EntryDate],DATE(2026,9,16),tblDaily[WardCode],"BH")=0,"",SUMIFS(tblDaily[Admissions],tblDaily[EntryDate],DATE(2026,9,16),tblDaily[WardCode],"BH")),"")</f>
        <v/>
      </c>
      <c r="C334" s="12">
        <f>IFERROR(IF(SUMIFS(tblDaily[Discharges],tblDaily[EntryDate],DATE(2026,9,16),tblDaily[WardCode],"BH")=0,"",SUMIFS(tblDaily[Discharges],tblDaily[EntryDate],DATE(2026,9,16),tblDaily[WardCode],"BH")),"")</f>
        <v/>
      </c>
      <c r="D334" s="12">
        <f>IFERROR(IF(SUMIFS(tblDaily[Deaths],tblDaily[EntryDate],DATE(2026,9,16),tblDaily[WardCode],"BH")=0,"",SUMIFS(tblDaily[Deaths],tblDaily[EntryDate],DATE(2026,9,16),tblDaily[WardCode],"BH")),"")</f>
        <v/>
      </c>
      <c r="E334" s="12">
        <f>IFERROR(IF(SUMIFS(tblDaily[DeathsUnder24Hrs],tblDaily[EntryDate],DATE(2026,9,16),tblDaily[WardCode],"BH")=0,"",SUMIFS(tblDaily[DeathsUnder24Hrs],tblDaily[EntryDate],DATE(2026,9,16),tblDaily[WardCode],"BH")),"")</f>
        <v/>
      </c>
      <c r="F334" s="12">
        <f>IFERROR(IF(SUMIFS(tblDaily[TransfersIn],tblDaily[EntryDate],DATE(2026,9,16),tblDaily[WardCode],"BH")=0,"",SUMIFS(tblDaily[TransfersIn],tblDaily[EntryDate],DATE(2026,9,16),tblDaily[WardCode],"BH")),"")</f>
        <v/>
      </c>
      <c r="G334" s="12">
        <f>IFERROR(IF(SUMIFS(tblDaily[TransfersOut],tblDaily[EntryDate],DATE(2026,9,16),tblDaily[WardCode],"BH")=0,"",SUMIFS(tblDaily[TransfersOut],tblDaily[EntryDate],DATE(2026,9,16),tblDaily[WardCode],"BH")),"")</f>
        <v/>
      </c>
      <c r="H334" s="12">
        <f>IFERROR(IF(SUMIFS(tblDaily[Remaining],tblDaily[EntryDate],DATE(2026,9,16),tblDaily[WardCode],"BH")=0,"",SUMIFS(tblDaily[Remaining],tblDaily[EntryDate],DATE(2026,9,16),tblDaily[WardCode],"BH")),"")</f>
        <v/>
      </c>
    </row>
    <row r="335">
      <c r="A335" s="12" t="n">
        <v>17</v>
      </c>
      <c r="B335" s="12">
        <f>IFERROR(IF(SUMIFS(tblDaily[Admissions],tblDaily[EntryDate],DATE(2026,9,17),tblDaily[WardCode],"BH")=0,"",SUMIFS(tblDaily[Admissions],tblDaily[EntryDate],DATE(2026,9,17),tblDaily[WardCode],"BH")),"")</f>
        <v/>
      </c>
      <c r="C335" s="12">
        <f>IFERROR(IF(SUMIFS(tblDaily[Discharges],tblDaily[EntryDate],DATE(2026,9,17),tblDaily[WardCode],"BH")=0,"",SUMIFS(tblDaily[Discharges],tblDaily[EntryDate],DATE(2026,9,17),tblDaily[WardCode],"BH")),"")</f>
        <v/>
      </c>
      <c r="D335" s="12">
        <f>IFERROR(IF(SUMIFS(tblDaily[Deaths],tblDaily[EntryDate],DATE(2026,9,17),tblDaily[WardCode],"BH")=0,"",SUMIFS(tblDaily[Deaths],tblDaily[EntryDate],DATE(2026,9,17),tblDaily[WardCode],"BH")),"")</f>
        <v/>
      </c>
      <c r="E335" s="12">
        <f>IFERROR(IF(SUMIFS(tblDaily[DeathsUnder24Hrs],tblDaily[EntryDate],DATE(2026,9,17),tblDaily[WardCode],"BH")=0,"",SUMIFS(tblDaily[DeathsUnder24Hrs],tblDaily[EntryDate],DATE(2026,9,17),tblDaily[WardCode],"BH")),"")</f>
        <v/>
      </c>
      <c r="F335" s="12">
        <f>IFERROR(IF(SUMIFS(tblDaily[TransfersIn],tblDaily[EntryDate],DATE(2026,9,17),tblDaily[WardCode],"BH")=0,"",SUMIFS(tblDaily[TransfersIn],tblDaily[EntryDate],DATE(2026,9,17),tblDaily[WardCode],"BH")),"")</f>
        <v/>
      </c>
      <c r="G335" s="12">
        <f>IFERROR(IF(SUMIFS(tblDaily[TransfersOut],tblDaily[EntryDate],DATE(2026,9,17),tblDaily[WardCode],"BH")=0,"",SUMIFS(tblDaily[TransfersOut],tblDaily[EntryDate],DATE(2026,9,17),tblDaily[WardCode],"BH")),"")</f>
        <v/>
      </c>
      <c r="H335" s="12">
        <f>IFERROR(IF(SUMIFS(tblDaily[Remaining],tblDaily[EntryDate],DATE(2026,9,17),tblDaily[WardCode],"BH")=0,"",SUMIFS(tblDaily[Remaining],tblDaily[EntryDate],DATE(2026,9,17),tblDaily[WardCode],"BH")),"")</f>
        <v/>
      </c>
    </row>
    <row r="336">
      <c r="A336" s="12" t="n">
        <v>18</v>
      </c>
      <c r="B336" s="12">
        <f>IFERROR(IF(SUMIFS(tblDaily[Admissions],tblDaily[EntryDate],DATE(2026,9,18),tblDaily[WardCode],"BH")=0,"",SUMIFS(tblDaily[Admissions],tblDaily[EntryDate],DATE(2026,9,18),tblDaily[WardCode],"BH")),"")</f>
        <v/>
      </c>
      <c r="C336" s="12">
        <f>IFERROR(IF(SUMIFS(tblDaily[Discharges],tblDaily[EntryDate],DATE(2026,9,18),tblDaily[WardCode],"BH")=0,"",SUMIFS(tblDaily[Discharges],tblDaily[EntryDate],DATE(2026,9,18),tblDaily[WardCode],"BH")),"")</f>
        <v/>
      </c>
      <c r="D336" s="12">
        <f>IFERROR(IF(SUMIFS(tblDaily[Deaths],tblDaily[EntryDate],DATE(2026,9,18),tblDaily[WardCode],"BH")=0,"",SUMIFS(tblDaily[Deaths],tblDaily[EntryDate],DATE(2026,9,18),tblDaily[WardCode],"BH")),"")</f>
        <v/>
      </c>
      <c r="E336" s="12">
        <f>IFERROR(IF(SUMIFS(tblDaily[DeathsUnder24Hrs],tblDaily[EntryDate],DATE(2026,9,18),tblDaily[WardCode],"BH")=0,"",SUMIFS(tblDaily[DeathsUnder24Hrs],tblDaily[EntryDate],DATE(2026,9,18),tblDaily[WardCode],"BH")),"")</f>
        <v/>
      </c>
      <c r="F336" s="12">
        <f>IFERROR(IF(SUMIFS(tblDaily[TransfersIn],tblDaily[EntryDate],DATE(2026,9,18),tblDaily[WardCode],"BH")=0,"",SUMIFS(tblDaily[TransfersIn],tblDaily[EntryDate],DATE(2026,9,18),tblDaily[WardCode],"BH")),"")</f>
        <v/>
      </c>
      <c r="G336" s="12">
        <f>IFERROR(IF(SUMIFS(tblDaily[TransfersOut],tblDaily[EntryDate],DATE(2026,9,18),tblDaily[WardCode],"BH")=0,"",SUMIFS(tblDaily[TransfersOut],tblDaily[EntryDate],DATE(2026,9,18),tblDaily[WardCode],"BH")),"")</f>
        <v/>
      </c>
      <c r="H336" s="12">
        <f>IFERROR(IF(SUMIFS(tblDaily[Remaining],tblDaily[EntryDate],DATE(2026,9,18),tblDaily[WardCode],"BH")=0,"",SUMIFS(tblDaily[Remaining],tblDaily[EntryDate],DATE(2026,9,18),tblDaily[WardCode],"BH")),"")</f>
        <v/>
      </c>
    </row>
    <row r="337">
      <c r="A337" s="12" t="n">
        <v>19</v>
      </c>
      <c r="B337" s="12">
        <f>IFERROR(IF(SUMIFS(tblDaily[Admissions],tblDaily[EntryDate],DATE(2026,9,19),tblDaily[WardCode],"BH")=0,"",SUMIFS(tblDaily[Admissions],tblDaily[EntryDate],DATE(2026,9,19),tblDaily[WardCode],"BH")),"")</f>
        <v/>
      </c>
      <c r="C337" s="12">
        <f>IFERROR(IF(SUMIFS(tblDaily[Discharges],tblDaily[EntryDate],DATE(2026,9,19),tblDaily[WardCode],"BH")=0,"",SUMIFS(tblDaily[Discharges],tblDaily[EntryDate],DATE(2026,9,19),tblDaily[WardCode],"BH")),"")</f>
        <v/>
      </c>
      <c r="D337" s="12">
        <f>IFERROR(IF(SUMIFS(tblDaily[Deaths],tblDaily[EntryDate],DATE(2026,9,19),tblDaily[WardCode],"BH")=0,"",SUMIFS(tblDaily[Deaths],tblDaily[EntryDate],DATE(2026,9,19),tblDaily[WardCode],"BH")),"")</f>
        <v/>
      </c>
      <c r="E337" s="12">
        <f>IFERROR(IF(SUMIFS(tblDaily[DeathsUnder24Hrs],tblDaily[EntryDate],DATE(2026,9,19),tblDaily[WardCode],"BH")=0,"",SUMIFS(tblDaily[DeathsUnder24Hrs],tblDaily[EntryDate],DATE(2026,9,19),tblDaily[WardCode],"BH")),"")</f>
        <v/>
      </c>
      <c r="F337" s="12">
        <f>IFERROR(IF(SUMIFS(tblDaily[TransfersIn],tblDaily[EntryDate],DATE(2026,9,19),tblDaily[WardCode],"BH")=0,"",SUMIFS(tblDaily[TransfersIn],tblDaily[EntryDate],DATE(2026,9,19),tblDaily[WardCode],"BH")),"")</f>
        <v/>
      </c>
      <c r="G337" s="12">
        <f>IFERROR(IF(SUMIFS(tblDaily[TransfersOut],tblDaily[EntryDate],DATE(2026,9,19),tblDaily[WardCode],"BH")=0,"",SUMIFS(tblDaily[TransfersOut],tblDaily[EntryDate],DATE(2026,9,19),tblDaily[WardCode],"BH")),"")</f>
        <v/>
      </c>
      <c r="H337" s="12">
        <f>IFERROR(IF(SUMIFS(tblDaily[Remaining],tblDaily[EntryDate],DATE(2026,9,19),tblDaily[WardCode],"BH")=0,"",SUMIFS(tblDaily[Remaining],tblDaily[EntryDate],DATE(2026,9,19),tblDaily[WardCode],"BH")),"")</f>
        <v/>
      </c>
    </row>
    <row r="338">
      <c r="A338" s="12" t="n">
        <v>20</v>
      </c>
      <c r="B338" s="12">
        <f>IFERROR(IF(SUMIFS(tblDaily[Admissions],tblDaily[EntryDate],DATE(2026,9,20),tblDaily[WardCode],"BH")=0,"",SUMIFS(tblDaily[Admissions],tblDaily[EntryDate],DATE(2026,9,20),tblDaily[WardCode],"BH")),"")</f>
        <v/>
      </c>
      <c r="C338" s="12">
        <f>IFERROR(IF(SUMIFS(tblDaily[Discharges],tblDaily[EntryDate],DATE(2026,9,20),tblDaily[WardCode],"BH")=0,"",SUMIFS(tblDaily[Discharges],tblDaily[EntryDate],DATE(2026,9,20),tblDaily[WardCode],"BH")),"")</f>
        <v/>
      </c>
      <c r="D338" s="12">
        <f>IFERROR(IF(SUMIFS(tblDaily[Deaths],tblDaily[EntryDate],DATE(2026,9,20),tblDaily[WardCode],"BH")=0,"",SUMIFS(tblDaily[Deaths],tblDaily[EntryDate],DATE(2026,9,20),tblDaily[WardCode],"BH")),"")</f>
        <v/>
      </c>
      <c r="E338" s="12">
        <f>IFERROR(IF(SUMIFS(tblDaily[DeathsUnder24Hrs],tblDaily[EntryDate],DATE(2026,9,20),tblDaily[WardCode],"BH")=0,"",SUMIFS(tblDaily[DeathsUnder24Hrs],tblDaily[EntryDate],DATE(2026,9,20),tblDaily[WardCode],"BH")),"")</f>
        <v/>
      </c>
      <c r="F338" s="12">
        <f>IFERROR(IF(SUMIFS(tblDaily[TransfersIn],tblDaily[EntryDate],DATE(2026,9,20),tblDaily[WardCode],"BH")=0,"",SUMIFS(tblDaily[TransfersIn],tblDaily[EntryDate],DATE(2026,9,20),tblDaily[WardCode],"BH")),"")</f>
        <v/>
      </c>
      <c r="G338" s="12">
        <f>IFERROR(IF(SUMIFS(tblDaily[TransfersOut],tblDaily[EntryDate],DATE(2026,9,20),tblDaily[WardCode],"BH")=0,"",SUMIFS(tblDaily[TransfersOut],tblDaily[EntryDate],DATE(2026,9,20),tblDaily[WardCode],"BH")),"")</f>
        <v/>
      </c>
      <c r="H338" s="12">
        <f>IFERROR(IF(SUMIFS(tblDaily[Remaining],tblDaily[EntryDate],DATE(2026,9,20),tblDaily[WardCode],"BH")=0,"",SUMIFS(tblDaily[Remaining],tblDaily[EntryDate],DATE(2026,9,20),tblDaily[WardCode],"BH")),"")</f>
        <v/>
      </c>
    </row>
    <row r="339">
      <c r="A339" s="12" t="n">
        <v>21</v>
      </c>
      <c r="B339" s="12">
        <f>IFERROR(IF(SUMIFS(tblDaily[Admissions],tblDaily[EntryDate],DATE(2026,9,21),tblDaily[WardCode],"BH")=0,"",SUMIFS(tblDaily[Admissions],tblDaily[EntryDate],DATE(2026,9,21),tblDaily[WardCode],"BH")),"")</f>
        <v/>
      </c>
      <c r="C339" s="12">
        <f>IFERROR(IF(SUMIFS(tblDaily[Discharges],tblDaily[EntryDate],DATE(2026,9,21),tblDaily[WardCode],"BH")=0,"",SUMIFS(tblDaily[Discharges],tblDaily[EntryDate],DATE(2026,9,21),tblDaily[WardCode],"BH")),"")</f>
        <v/>
      </c>
      <c r="D339" s="12">
        <f>IFERROR(IF(SUMIFS(tblDaily[Deaths],tblDaily[EntryDate],DATE(2026,9,21),tblDaily[WardCode],"BH")=0,"",SUMIFS(tblDaily[Deaths],tblDaily[EntryDate],DATE(2026,9,21),tblDaily[WardCode],"BH")),"")</f>
        <v/>
      </c>
      <c r="E339" s="12">
        <f>IFERROR(IF(SUMIFS(tblDaily[DeathsUnder24Hrs],tblDaily[EntryDate],DATE(2026,9,21),tblDaily[WardCode],"BH")=0,"",SUMIFS(tblDaily[DeathsUnder24Hrs],tblDaily[EntryDate],DATE(2026,9,21),tblDaily[WardCode],"BH")),"")</f>
        <v/>
      </c>
      <c r="F339" s="12">
        <f>IFERROR(IF(SUMIFS(tblDaily[TransfersIn],tblDaily[EntryDate],DATE(2026,9,21),tblDaily[WardCode],"BH")=0,"",SUMIFS(tblDaily[TransfersIn],tblDaily[EntryDate],DATE(2026,9,21),tblDaily[WardCode],"BH")),"")</f>
        <v/>
      </c>
      <c r="G339" s="12">
        <f>IFERROR(IF(SUMIFS(tblDaily[TransfersOut],tblDaily[EntryDate],DATE(2026,9,21),tblDaily[WardCode],"BH")=0,"",SUMIFS(tblDaily[TransfersOut],tblDaily[EntryDate],DATE(2026,9,21),tblDaily[WardCode],"BH")),"")</f>
        <v/>
      </c>
      <c r="H339" s="12">
        <f>IFERROR(IF(SUMIFS(tblDaily[Remaining],tblDaily[EntryDate],DATE(2026,9,21),tblDaily[WardCode],"BH")=0,"",SUMIFS(tblDaily[Remaining],tblDaily[EntryDate],DATE(2026,9,21),tblDaily[WardCode],"BH")),"")</f>
        <v/>
      </c>
    </row>
    <row r="340">
      <c r="A340" s="12" t="n">
        <v>22</v>
      </c>
      <c r="B340" s="12">
        <f>IFERROR(IF(SUMIFS(tblDaily[Admissions],tblDaily[EntryDate],DATE(2026,9,22),tblDaily[WardCode],"BH")=0,"",SUMIFS(tblDaily[Admissions],tblDaily[EntryDate],DATE(2026,9,22),tblDaily[WardCode],"BH")),"")</f>
        <v/>
      </c>
      <c r="C340" s="12">
        <f>IFERROR(IF(SUMIFS(tblDaily[Discharges],tblDaily[EntryDate],DATE(2026,9,22),tblDaily[WardCode],"BH")=0,"",SUMIFS(tblDaily[Discharges],tblDaily[EntryDate],DATE(2026,9,22),tblDaily[WardCode],"BH")),"")</f>
        <v/>
      </c>
      <c r="D340" s="12">
        <f>IFERROR(IF(SUMIFS(tblDaily[Deaths],tblDaily[EntryDate],DATE(2026,9,22),tblDaily[WardCode],"BH")=0,"",SUMIFS(tblDaily[Deaths],tblDaily[EntryDate],DATE(2026,9,22),tblDaily[WardCode],"BH")),"")</f>
        <v/>
      </c>
      <c r="E340" s="12">
        <f>IFERROR(IF(SUMIFS(tblDaily[DeathsUnder24Hrs],tblDaily[EntryDate],DATE(2026,9,22),tblDaily[WardCode],"BH")=0,"",SUMIFS(tblDaily[DeathsUnder24Hrs],tblDaily[EntryDate],DATE(2026,9,22),tblDaily[WardCode],"BH")),"")</f>
        <v/>
      </c>
      <c r="F340" s="12">
        <f>IFERROR(IF(SUMIFS(tblDaily[TransfersIn],tblDaily[EntryDate],DATE(2026,9,22),tblDaily[WardCode],"BH")=0,"",SUMIFS(tblDaily[TransfersIn],tblDaily[EntryDate],DATE(2026,9,22),tblDaily[WardCode],"BH")),"")</f>
        <v/>
      </c>
      <c r="G340" s="12">
        <f>IFERROR(IF(SUMIFS(tblDaily[TransfersOut],tblDaily[EntryDate],DATE(2026,9,22),tblDaily[WardCode],"BH")=0,"",SUMIFS(tblDaily[TransfersOut],tblDaily[EntryDate],DATE(2026,9,22),tblDaily[WardCode],"BH")),"")</f>
        <v/>
      </c>
      <c r="H340" s="12">
        <f>IFERROR(IF(SUMIFS(tblDaily[Remaining],tblDaily[EntryDate],DATE(2026,9,22),tblDaily[WardCode],"BH")=0,"",SUMIFS(tblDaily[Remaining],tblDaily[EntryDate],DATE(2026,9,22),tblDaily[WardCode],"BH")),"")</f>
        <v/>
      </c>
    </row>
    <row r="341">
      <c r="A341" s="12" t="n">
        <v>23</v>
      </c>
      <c r="B341" s="12">
        <f>IFERROR(IF(SUMIFS(tblDaily[Admissions],tblDaily[EntryDate],DATE(2026,9,23),tblDaily[WardCode],"BH")=0,"",SUMIFS(tblDaily[Admissions],tblDaily[EntryDate],DATE(2026,9,23),tblDaily[WardCode],"BH")),"")</f>
        <v/>
      </c>
      <c r="C341" s="12">
        <f>IFERROR(IF(SUMIFS(tblDaily[Discharges],tblDaily[EntryDate],DATE(2026,9,23),tblDaily[WardCode],"BH")=0,"",SUMIFS(tblDaily[Discharges],tblDaily[EntryDate],DATE(2026,9,23),tblDaily[WardCode],"BH")),"")</f>
        <v/>
      </c>
      <c r="D341" s="12">
        <f>IFERROR(IF(SUMIFS(tblDaily[Deaths],tblDaily[EntryDate],DATE(2026,9,23),tblDaily[WardCode],"BH")=0,"",SUMIFS(tblDaily[Deaths],tblDaily[EntryDate],DATE(2026,9,23),tblDaily[WardCode],"BH")),"")</f>
        <v/>
      </c>
      <c r="E341" s="12">
        <f>IFERROR(IF(SUMIFS(tblDaily[DeathsUnder24Hrs],tblDaily[EntryDate],DATE(2026,9,23),tblDaily[WardCode],"BH")=0,"",SUMIFS(tblDaily[DeathsUnder24Hrs],tblDaily[EntryDate],DATE(2026,9,23),tblDaily[WardCode],"BH")),"")</f>
        <v/>
      </c>
      <c r="F341" s="12">
        <f>IFERROR(IF(SUMIFS(tblDaily[TransfersIn],tblDaily[EntryDate],DATE(2026,9,23),tblDaily[WardCode],"BH")=0,"",SUMIFS(tblDaily[TransfersIn],tblDaily[EntryDate],DATE(2026,9,23),tblDaily[WardCode],"BH")),"")</f>
        <v/>
      </c>
      <c r="G341" s="12">
        <f>IFERROR(IF(SUMIFS(tblDaily[TransfersOut],tblDaily[EntryDate],DATE(2026,9,23),tblDaily[WardCode],"BH")=0,"",SUMIFS(tblDaily[TransfersOut],tblDaily[EntryDate],DATE(2026,9,23),tblDaily[WardCode],"BH")),"")</f>
        <v/>
      </c>
      <c r="H341" s="12">
        <f>IFERROR(IF(SUMIFS(tblDaily[Remaining],tblDaily[EntryDate],DATE(2026,9,23),tblDaily[WardCode],"BH")=0,"",SUMIFS(tblDaily[Remaining],tblDaily[EntryDate],DATE(2026,9,23),tblDaily[WardCode],"BH")),"")</f>
        <v/>
      </c>
    </row>
    <row r="342">
      <c r="A342" s="12" t="n">
        <v>24</v>
      </c>
      <c r="B342" s="12">
        <f>IFERROR(IF(SUMIFS(tblDaily[Admissions],tblDaily[EntryDate],DATE(2026,9,24),tblDaily[WardCode],"BH")=0,"",SUMIFS(tblDaily[Admissions],tblDaily[EntryDate],DATE(2026,9,24),tblDaily[WardCode],"BH")),"")</f>
        <v/>
      </c>
      <c r="C342" s="12">
        <f>IFERROR(IF(SUMIFS(tblDaily[Discharges],tblDaily[EntryDate],DATE(2026,9,24),tblDaily[WardCode],"BH")=0,"",SUMIFS(tblDaily[Discharges],tblDaily[EntryDate],DATE(2026,9,24),tblDaily[WardCode],"BH")),"")</f>
        <v/>
      </c>
      <c r="D342" s="12">
        <f>IFERROR(IF(SUMIFS(tblDaily[Deaths],tblDaily[EntryDate],DATE(2026,9,24),tblDaily[WardCode],"BH")=0,"",SUMIFS(tblDaily[Deaths],tblDaily[EntryDate],DATE(2026,9,24),tblDaily[WardCode],"BH")),"")</f>
        <v/>
      </c>
      <c r="E342" s="12">
        <f>IFERROR(IF(SUMIFS(tblDaily[DeathsUnder24Hrs],tblDaily[EntryDate],DATE(2026,9,24),tblDaily[WardCode],"BH")=0,"",SUMIFS(tblDaily[DeathsUnder24Hrs],tblDaily[EntryDate],DATE(2026,9,24),tblDaily[WardCode],"BH")),"")</f>
        <v/>
      </c>
      <c r="F342" s="12">
        <f>IFERROR(IF(SUMIFS(tblDaily[TransfersIn],tblDaily[EntryDate],DATE(2026,9,24),tblDaily[WardCode],"BH")=0,"",SUMIFS(tblDaily[TransfersIn],tblDaily[EntryDate],DATE(2026,9,24),tblDaily[WardCode],"BH")),"")</f>
        <v/>
      </c>
      <c r="G342" s="12">
        <f>IFERROR(IF(SUMIFS(tblDaily[TransfersOut],tblDaily[EntryDate],DATE(2026,9,24),tblDaily[WardCode],"BH")=0,"",SUMIFS(tblDaily[TransfersOut],tblDaily[EntryDate],DATE(2026,9,24),tblDaily[WardCode],"BH")),"")</f>
        <v/>
      </c>
      <c r="H342" s="12">
        <f>IFERROR(IF(SUMIFS(tblDaily[Remaining],tblDaily[EntryDate],DATE(2026,9,24),tblDaily[WardCode],"BH")=0,"",SUMIFS(tblDaily[Remaining],tblDaily[EntryDate],DATE(2026,9,24),tblDaily[WardCode],"BH")),"")</f>
        <v/>
      </c>
    </row>
    <row r="343">
      <c r="A343" s="12" t="n">
        <v>25</v>
      </c>
      <c r="B343" s="12">
        <f>IFERROR(IF(SUMIFS(tblDaily[Admissions],tblDaily[EntryDate],DATE(2026,9,25),tblDaily[WardCode],"BH")=0,"",SUMIFS(tblDaily[Admissions],tblDaily[EntryDate],DATE(2026,9,25),tblDaily[WardCode],"BH")),"")</f>
        <v/>
      </c>
      <c r="C343" s="12">
        <f>IFERROR(IF(SUMIFS(tblDaily[Discharges],tblDaily[EntryDate],DATE(2026,9,25),tblDaily[WardCode],"BH")=0,"",SUMIFS(tblDaily[Discharges],tblDaily[EntryDate],DATE(2026,9,25),tblDaily[WardCode],"BH")),"")</f>
        <v/>
      </c>
      <c r="D343" s="12">
        <f>IFERROR(IF(SUMIFS(tblDaily[Deaths],tblDaily[EntryDate],DATE(2026,9,25),tblDaily[WardCode],"BH")=0,"",SUMIFS(tblDaily[Deaths],tblDaily[EntryDate],DATE(2026,9,25),tblDaily[WardCode],"BH")),"")</f>
        <v/>
      </c>
      <c r="E343" s="12">
        <f>IFERROR(IF(SUMIFS(tblDaily[DeathsUnder24Hrs],tblDaily[EntryDate],DATE(2026,9,25),tblDaily[WardCode],"BH")=0,"",SUMIFS(tblDaily[DeathsUnder24Hrs],tblDaily[EntryDate],DATE(2026,9,25),tblDaily[WardCode],"BH")),"")</f>
        <v/>
      </c>
      <c r="F343" s="12">
        <f>IFERROR(IF(SUMIFS(tblDaily[TransfersIn],tblDaily[EntryDate],DATE(2026,9,25),tblDaily[WardCode],"BH")=0,"",SUMIFS(tblDaily[TransfersIn],tblDaily[EntryDate],DATE(2026,9,25),tblDaily[WardCode],"BH")),"")</f>
        <v/>
      </c>
      <c r="G343" s="12">
        <f>IFERROR(IF(SUMIFS(tblDaily[TransfersOut],tblDaily[EntryDate],DATE(2026,9,25),tblDaily[WardCode],"BH")=0,"",SUMIFS(tblDaily[TransfersOut],tblDaily[EntryDate],DATE(2026,9,25),tblDaily[WardCode],"BH")),"")</f>
        <v/>
      </c>
      <c r="H343" s="12">
        <f>IFERROR(IF(SUMIFS(tblDaily[Remaining],tblDaily[EntryDate],DATE(2026,9,25),tblDaily[WardCode],"BH")=0,"",SUMIFS(tblDaily[Remaining],tblDaily[EntryDate],DATE(2026,9,25),tblDaily[WardCode],"BH")),"")</f>
        <v/>
      </c>
    </row>
    <row r="344">
      <c r="A344" s="12" t="n">
        <v>26</v>
      </c>
      <c r="B344" s="12">
        <f>IFERROR(IF(SUMIFS(tblDaily[Admissions],tblDaily[EntryDate],DATE(2026,9,26),tblDaily[WardCode],"BH")=0,"",SUMIFS(tblDaily[Admissions],tblDaily[EntryDate],DATE(2026,9,26),tblDaily[WardCode],"BH")),"")</f>
        <v/>
      </c>
      <c r="C344" s="12">
        <f>IFERROR(IF(SUMIFS(tblDaily[Discharges],tblDaily[EntryDate],DATE(2026,9,26),tblDaily[WardCode],"BH")=0,"",SUMIFS(tblDaily[Discharges],tblDaily[EntryDate],DATE(2026,9,26),tblDaily[WardCode],"BH")),"")</f>
        <v/>
      </c>
      <c r="D344" s="12">
        <f>IFERROR(IF(SUMIFS(tblDaily[Deaths],tblDaily[EntryDate],DATE(2026,9,26),tblDaily[WardCode],"BH")=0,"",SUMIFS(tblDaily[Deaths],tblDaily[EntryDate],DATE(2026,9,26),tblDaily[WardCode],"BH")),"")</f>
        <v/>
      </c>
      <c r="E344" s="12">
        <f>IFERROR(IF(SUMIFS(tblDaily[DeathsUnder24Hrs],tblDaily[EntryDate],DATE(2026,9,26),tblDaily[WardCode],"BH")=0,"",SUMIFS(tblDaily[DeathsUnder24Hrs],tblDaily[EntryDate],DATE(2026,9,26),tblDaily[WardCode],"BH")),"")</f>
        <v/>
      </c>
      <c r="F344" s="12">
        <f>IFERROR(IF(SUMIFS(tblDaily[TransfersIn],tblDaily[EntryDate],DATE(2026,9,26),tblDaily[WardCode],"BH")=0,"",SUMIFS(tblDaily[TransfersIn],tblDaily[EntryDate],DATE(2026,9,26),tblDaily[WardCode],"BH")),"")</f>
        <v/>
      </c>
      <c r="G344" s="12">
        <f>IFERROR(IF(SUMIFS(tblDaily[TransfersOut],tblDaily[EntryDate],DATE(2026,9,26),tblDaily[WardCode],"BH")=0,"",SUMIFS(tblDaily[TransfersOut],tblDaily[EntryDate],DATE(2026,9,26),tblDaily[WardCode],"BH")),"")</f>
        <v/>
      </c>
      <c r="H344" s="12">
        <f>IFERROR(IF(SUMIFS(tblDaily[Remaining],tblDaily[EntryDate],DATE(2026,9,26),tblDaily[WardCode],"BH")=0,"",SUMIFS(tblDaily[Remaining],tblDaily[EntryDate],DATE(2026,9,26),tblDaily[WardCode],"BH")),"")</f>
        <v/>
      </c>
    </row>
    <row r="345">
      <c r="A345" s="12" t="n">
        <v>27</v>
      </c>
      <c r="B345" s="12">
        <f>IFERROR(IF(SUMIFS(tblDaily[Admissions],tblDaily[EntryDate],DATE(2026,9,27),tblDaily[WardCode],"BH")=0,"",SUMIFS(tblDaily[Admissions],tblDaily[EntryDate],DATE(2026,9,27),tblDaily[WardCode],"BH")),"")</f>
        <v/>
      </c>
      <c r="C345" s="12">
        <f>IFERROR(IF(SUMIFS(tblDaily[Discharges],tblDaily[EntryDate],DATE(2026,9,27),tblDaily[WardCode],"BH")=0,"",SUMIFS(tblDaily[Discharges],tblDaily[EntryDate],DATE(2026,9,27),tblDaily[WardCode],"BH")),"")</f>
        <v/>
      </c>
      <c r="D345" s="12">
        <f>IFERROR(IF(SUMIFS(tblDaily[Deaths],tblDaily[EntryDate],DATE(2026,9,27),tblDaily[WardCode],"BH")=0,"",SUMIFS(tblDaily[Deaths],tblDaily[EntryDate],DATE(2026,9,27),tblDaily[WardCode],"BH")),"")</f>
        <v/>
      </c>
      <c r="E345" s="12">
        <f>IFERROR(IF(SUMIFS(tblDaily[DeathsUnder24Hrs],tblDaily[EntryDate],DATE(2026,9,27),tblDaily[WardCode],"BH")=0,"",SUMIFS(tblDaily[DeathsUnder24Hrs],tblDaily[EntryDate],DATE(2026,9,27),tblDaily[WardCode],"BH")),"")</f>
        <v/>
      </c>
      <c r="F345" s="12">
        <f>IFERROR(IF(SUMIFS(tblDaily[TransfersIn],tblDaily[EntryDate],DATE(2026,9,27),tblDaily[WardCode],"BH")=0,"",SUMIFS(tblDaily[TransfersIn],tblDaily[EntryDate],DATE(2026,9,27),tblDaily[WardCode],"BH")),"")</f>
        <v/>
      </c>
      <c r="G345" s="12">
        <f>IFERROR(IF(SUMIFS(tblDaily[TransfersOut],tblDaily[EntryDate],DATE(2026,9,27),tblDaily[WardCode],"BH")=0,"",SUMIFS(tblDaily[TransfersOut],tblDaily[EntryDate],DATE(2026,9,27),tblDaily[WardCode],"BH")),"")</f>
        <v/>
      </c>
      <c r="H345" s="12">
        <f>IFERROR(IF(SUMIFS(tblDaily[Remaining],tblDaily[EntryDate],DATE(2026,9,27),tblDaily[WardCode],"BH")=0,"",SUMIFS(tblDaily[Remaining],tblDaily[EntryDate],DATE(2026,9,27),tblDaily[WardCode],"BH")),"")</f>
        <v/>
      </c>
    </row>
    <row r="346">
      <c r="A346" s="12" t="n">
        <v>28</v>
      </c>
      <c r="B346" s="12">
        <f>IFERROR(IF(SUMIFS(tblDaily[Admissions],tblDaily[EntryDate],DATE(2026,9,28),tblDaily[WardCode],"BH")=0,"",SUMIFS(tblDaily[Admissions],tblDaily[EntryDate],DATE(2026,9,28),tblDaily[WardCode],"BH")),"")</f>
        <v/>
      </c>
      <c r="C346" s="12">
        <f>IFERROR(IF(SUMIFS(tblDaily[Discharges],tblDaily[EntryDate],DATE(2026,9,28),tblDaily[WardCode],"BH")=0,"",SUMIFS(tblDaily[Discharges],tblDaily[EntryDate],DATE(2026,9,28),tblDaily[WardCode],"BH")),"")</f>
        <v/>
      </c>
      <c r="D346" s="12">
        <f>IFERROR(IF(SUMIFS(tblDaily[Deaths],tblDaily[EntryDate],DATE(2026,9,28),tblDaily[WardCode],"BH")=0,"",SUMIFS(tblDaily[Deaths],tblDaily[EntryDate],DATE(2026,9,28),tblDaily[WardCode],"BH")),"")</f>
        <v/>
      </c>
      <c r="E346" s="12">
        <f>IFERROR(IF(SUMIFS(tblDaily[DeathsUnder24Hrs],tblDaily[EntryDate],DATE(2026,9,28),tblDaily[WardCode],"BH")=0,"",SUMIFS(tblDaily[DeathsUnder24Hrs],tblDaily[EntryDate],DATE(2026,9,28),tblDaily[WardCode],"BH")),"")</f>
        <v/>
      </c>
      <c r="F346" s="12">
        <f>IFERROR(IF(SUMIFS(tblDaily[TransfersIn],tblDaily[EntryDate],DATE(2026,9,28),tblDaily[WardCode],"BH")=0,"",SUMIFS(tblDaily[TransfersIn],tblDaily[EntryDate],DATE(2026,9,28),tblDaily[WardCode],"BH")),"")</f>
        <v/>
      </c>
      <c r="G346" s="12">
        <f>IFERROR(IF(SUMIFS(tblDaily[TransfersOut],tblDaily[EntryDate],DATE(2026,9,28),tblDaily[WardCode],"BH")=0,"",SUMIFS(tblDaily[TransfersOut],tblDaily[EntryDate],DATE(2026,9,28),tblDaily[WardCode],"BH")),"")</f>
        <v/>
      </c>
      <c r="H346" s="12">
        <f>IFERROR(IF(SUMIFS(tblDaily[Remaining],tblDaily[EntryDate],DATE(2026,9,28),tblDaily[WardCode],"BH")=0,"",SUMIFS(tblDaily[Remaining],tblDaily[EntryDate],DATE(2026,9,28),tblDaily[WardCode],"BH")),"")</f>
        <v/>
      </c>
    </row>
    <row r="347">
      <c r="A347" s="12" t="n">
        <v>29</v>
      </c>
      <c r="B347" s="12">
        <f>IFERROR(IF(SUMIFS(tblDaily[Admissions],tblDaily[EntryDate],DATE(2026,9,29),tblDaily[WardCode],"BH")=0,"",SUMIFS(tblDaily[Admissions],tblDaily[EntryDate],DATE(2026,9,29),tblDaily[WardCode],"BH")),"")</f>
        <v/>
      </c>
      <c r="C347" s="12">
        <f>IFERROR(IF(SUMIFS(tblDaily[Discharges],tblDaily[EntryDate],DATE(2026,9,29),tblDaily[WardCode],"BH")=0,"",SUMIFS(tblDaily[Discharges],tblDaily[EntryDate],DATE(2026,9,29),tblDaily[WardCode],"BH")),"")</f>
        <v/>
      </c>
      <c r="D347" s="12">
        <f>IFERROR(IF(SUMIFS(tblDaily[Deaths],tblDaily[EntryDate],DATE(2026,9,29),tblDaily[WardCode],"BH")=0,"",SUMIFS(tblDaily[Deaths],tblDaily[EntryDate],DATE(2026,9,29),tblDaily[WardCode],"BH")),"")</f>
        <v/>
      </c>
      <c r="E347" s="12">
        <f>IFERROR(IF(SUMIFS(tblDaily[DeathsUnder24Hrs],tblDaily[EntryDate],DATE(2026,9,29),tblDaily[WardCode],"BH")=0,"",SUMIFS(tblDaily[DeathsUnder24Hrs],tblDaily[EntryDate],DATE(2026,9,29),tblDaily[WardCode],"BH")),"")</f>
        <v/>
      </c>
      <c r="F347" s="12">
        <f>IFERROR(IF(SUMIFS(tblDaily[TransfersIn],tblDaily[EntryDate],DATE(2026,9,29),tblDaily[WardCode],"BH")=0,"",SUMIFS(tblDaily[TransfersIn],tblDaily[EntryDate],DATE(2026,9,29),tblDaily[WardCode],"BH")),"")</f>
        <v/>
      </c>
      <c r="G347" s="12">
        <f>IFERROR(IF(SUMIFS(tblDaily[TransfersOut],tblDaily[EntryDate],DATE(2026,9,29),tblDaily[WardCode],"BH")=0,"",SUMIFS(tblDaily[TransfersOut],tblDaily[EntryDate],DATE(2026,9,29),tblDaily[WardCode],"BH")),"")</f>
        <v/>
      </c>
      <c r="H347" s="12">
        <f>IFERROR(IF(SUMIFS(tblDaily[Remaining],tblDaily[EntryDate],DATE(2026,9,29),tblDaily[WardCode],"BH")=0,"",SUMIFS(tblDaily[Remaining],tblDaily[EntryDate],DATE(2026,9,29),tblDaily[WardCode],"BH")),"")</f>
        <v/>
      </c>
    </row>
    <row r="348">
      <c r="A348" s="12" t="n">
        <v>30</v>
      </c>
      <c r="B348" s="12">
        <f>IFERROR(IF(SUMIFS(tblDaily[Admissions],tblDaily[EntryDate],DATE(2026,9,30),tblDaily[WardCode],"BH")=0,"",SUMIFS(tblDaily[Admissions],tblDaily[EntryDate],DATE(2026,9,30),tblDaily[WardCode],"BH")),"")</f>
        <v/>
      </c>
      <c r="C348" s="12">
        <f>IFERROR(IF(SUMIFS(tblDaily[Discharges],tblDaily[EntryDate],DATE(2026,9,30),tblDaily[WardCode],"BH")=0,"",SUMIFS(tblDaily[Discharges],tblDaily[EntryDate],DATE(2026,9,30),tblDaily[WardCode],"BH")),"")</f>
        <v/>
      </c>
      <c r="D348" s="12">
        <f>IFERROR(IF(SUMIFS(tblDaily[Deaths],tblDaily[EntryDate],DATE(2026,9,30),tblDaily[WardCode],"BH")=0,"",SUMIFS(tblDaily[Deaths],tblDaily[EntryDate],DATE(2026,9,30),tblDaily[WardCode],"BH")),"")</f>
        <v/>
      </c>
      <c r="E348" s="12">
        <f>IFERROR(IF(SUMIFS(tblDaily[DeathsUnder24Hrs],tblDaily[EntryDate],DATE(2026,9,30),tblDaily[WardCode],"BH")=0,"",SUMIFS(tblDaily[DeathsUnder24Hrs],tblDaily[EntryDate],DATE(2026,9,30),tblDaily[WardCode],"BH")),"")</f>
        <v/>
      </c>
      <c r="F348" s="12">
        <f>IFERROR(IF(SUMIFS(tblDaily[TransfersIn],tblDaily[EntryDate],DATE(2026,9,30),tblDaily[WardCode],"BH")=0,"",SUMIFS(tblDaily[TransfersIn],tblDaily[EntryDate],DATE(2026,9,30),tblDaily[WardCode],"BH")),"")</f>
        <v/>
      </c>
      <c r="G348" s="12">
        <f>IFERROR(IF(SUMIFS(tblDaily[TransfersOut],tblDaily[EntryDate],DATE(2026,9,30),tblDaily[WardCode],"BH")=0,"",SUMIFS(tblDaily[TransfersOut],tblDaily[EntryDate],DATE(2026,9,30),tblDaily[WardCode],"BH")),"")</f>
        <v/>
      </c>
      <c r="H348" s="12">
        <f>IFERROR(IF(SUMIFS(tblDaily[Remaining],tblDaily[EntryDate],DATE(2026,9,30),tblDaily[WardCode],"BH")=0,"",SUMIFS(tblDaily[Remaining],tblDaily[EntryDate],DATE(2026,9,30),tblDaily[WardCode],"BH")),"")</f>
        <v/>
      </c>
    </row>
    <row r="349">
      <c r="A349" s="12" t="n">
        <v>31</v>
      </c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7" t="inlineStr">
        <is>
          <t>TOTAL</t>
        </is>
      </c>
      <c r="B350" s="17">
        <f>SUMIFS(tblDaily[Admissions],tblDaily[Month],9,tblDaily[WardCode],"BH") - SUMIFS(tblDaily[DeathsUnder24Hrs],tblDaily[Month],9,tblDaily[WardCode],"BH")</f>
        <v/>
      </c>
      <c r="C350" s="17">
        <f>SUMIFS(tblDaily[Discharges],tblDaily[Month],9,tblDaily[WardCode],"BH")</f>
        <v/>
      </c>
      <c r="D350" s="17">
        <f>SUMIFS(tblDaily[Deaths],tblDaily[Month],9,tblDaily[WardCode],"BH")</f>
        <v/>
      </c>
      <c r="E350" s="17">
        <f>SUMIFS(tblDaily[DeathsUnder24Hrs],tblDaily[Month],9,tblDaily[WardCode],"BH")</f>
        <v/>
      </c>
      <c r="F350" s="17">
        <f>SUMIFS(tblDaily[TransfersIn],tblDaily[Month],9,tblDaily[WardCode],"BH")</f>
        <v/>
      </c>
      <c r="G350" s="17">
        <f>SUMIFS(tblDaily[TransfersOut],tblDaily[Month],9,tblDaily[WardCode],"BH")</f>
        <v/>
      </c>
      <c r="H350" s="17">
        <f>SUMIFS(tblDaily[Remaining],tblDaily[Month],9,tblDaily[WardCode],"BH")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BLOCK H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4">
        <f>IFERROR(SUMIFS(tblDaily[Remaining],tblDaily[EntryDate],DATE(2026,9,30),tblDaily[WardCode],"BH"),0)</f>
        <v/>
      </c>
    </row>
    <row r="356">
      <c r="A356" s="4" t="inlineStr">
        <is>
          <t>Bed complement</t>
        </is>
      </c>
      <c r="H356" s="15">
        <f>IFERROR(INDEX(tblWardConfig[BedComplement],MATCH("BH",tblWardConfig[WardCode],0)),0)</f>
        <v/>
      </c>
    </row>
    <row r="357">
      <c r="A357" s="16" t="inlineStr">
        <is>
          <t>Day of
the
Month</t>
        </is>
      </c>
      <c r="B357" s="16" t="inlineStr">
        <is>
          <t>Admissions</t>
        </is>
      </c>
      <c r="C357" s="16" t="inlineStr">
        <is>
          <t>Discharges</t>
        </is>
      </c>
      <c r="D357" s="16" t="inlineStr">
        <is>
          <t>Deaths</t>
        </is>
      </c>
      <c r="E357" s="16" t="inlineStr">
        <is>
          <t>Deaths
&lt;24Hrs</t>
        </is>
      </c>
      <c r="F357" s="16" t="inlineStr">
        <is>
          <t>Transfers-
In</t>
        </is>
      </c>
      <c r="G357" s="16" t="inlineStr">
        <is>
          <t>Transfers-
Out</t>
        </is>
      </c>
      <c r="H357" s="16" t="inlineStr">
        <is>
          <t>No. of Patients
Remaining In
Ward</t>
        </is>
      </c>
    </row>
    <row r="358">
      <c r="A358" s="12" t="n">
        <v>1</v>
      </c>
      <c r="B358" s="12">
        <f>IFERROR(IF(SUMIFS(tblDaily[Admissions],tblDaily[EntryDate],DATE(2026,10,1),tblDaily[WardCode],"BH")=0,"",SUMIFS(tblDaily[Admissions],tblDaily[EntryDate],DATE(2026,10,1),tblDaily[WardCode],"BH")),"")</f>
        <v/>
      </c>
      <c r="C358" s="12">
        <f>IFERROR(IF(SUMIFS(tblDaily[Discharges],tblDaily[EntryDate],DATE(2026,10,1),tblDaily[WardCode],"BH")=0,"",SUMIFS(tblDaily[Discharges],tblDaily[EntryDate],DATE(2026,10,1),tblDaily[WardCode],"BH")),"")</f>
        <v/>
      </c>
      <c r="D358" s="12">
        <f>IFERROR(IF(SUMIFS(tblDaily[Deaths],tblDaily[EntryDate],DATE(2026,10,1),tblDaily[WardCode],"BH")=0,"",SUMIFS(tblDaily[Deaths],tblDaily[EntryDate],DATE(2026,10,1),tblDaily[WardCode],"BH")),"")</f>
        <v/>
      </c>
      <c r="E358" s="12">
        <f>IFERROR(IF(SUMIFS(tblDaily[DeathsUnder24Hrs],tblDaily[EntryDate],DATE(2026,10,1),tblDaily[WardCode],"BH")=0,"",SUMIFS(tblDaily[DeathsUnder24Hrs],tblDaily[EntryDate],DATE(2026,10,1),tblDaily[WardCode],"BH")),"")</f>
        <v/>
      </c>
      <c r="F358" s="12">
        <f>IFERROR(IF(SUMIFS(tblDaily[TransfersIn],tblDaily[EntryDate],DATE(2026,10,1),tblDaily[WardCode],"BH")=0,"",SUMIFS(tblDaily[TransfersIn],tblDaily[EntryDate],DATE(2026,10,1),tblDaily[WardCode],"BH")),"")</f>
        <v/>
      </c>
      <c r="G358" s="12">
        <f>IFERROR(IF(SUMIFS(tblDaily[TransfersOut],tblDaily[EntryDate],DATE(2026,10,1),tblDaily[WardCode],"BH")=0,"",SUMIFS(tblDaily[TransfersOut],tblDaily[EntryDate],DATE(2026,10,1),tblDaily[WardCode],"BH")),"")</f>
        <v/>
      </c>
      <c r="H358" s="12">
        <f>IFERROR(IF(SUMIFS(tblDaily[Remaining],tblDaily[EntryDate],DATE(2026,10,1),tblDaily[WardCode],"BH")=0,"",SUMIFS(tblDaily[Remaining],tblDaily[EntryDate],DATE(2026,10,1),tblDaily[WardCode],"BH")),"")</f>
        <v/>
      </c>
    </row>
    <row r="359">
      <c r="A359" s="12" t="n">
        <v>2</v>
      </c>
      <c r="B359" s="12">
        <f>IFERROR(IF(SUMIFS(tblDaily[Admissions],tblDaily[EntryDate],DATE(2026,10,2),tblDaily[WardCode],"BH")=0,"",SUMIFS(tblDaily[Admissions],tblDaily[EntryDate],DATE(2026,10,2),tblDaily[WardCode],"BH")),"")</f>
        <v/>
      </c>
      <c r="C359" s="12">
        <f>IFERROR(IF(SUMIFS(tblDaily[Discharges],tblDaily[EntryDate],DATE(2026,10,2),tblDaily[WardCode],"BH")=0,"",SUMIFS(tblDaily[Discharges],tblDaily[EntryDate],DATE(2026,10,2),tblDaily[WardCode],"BH")),"")</f>
        <v/>
      </c>
      <c r="D359" s="12">
        <f>IFERROR(IF(SUMIFS(tblDaily[Deaths],tblDaily[EntryDate],DATE(2026,10,2),tblDaily[WardCode],"BH")=0,"",SUMIFS(tblDaily[Deaths],tblDaily[EntryDate],DATE(2026,10,2),tblDaily[WardCode],"BH")),"")</f>
        <v/>
      </c>
      <c r="E359" s="12">
        <f>IFERROR(IF(SUMIFS(tblDaily[DeathsUnder24Hrs],tblDaily[EntryDate],DATE(2026,10,2),tblDaily[WardCode],"BH")=0,"",SUMIFS(tblDaily[DeathsUnder24Hrs],tblDaily[EntryDate],DATE(2026,10,2),tblDaily[WardCode],"BH")),"")</f>
        <v/>
      </c>
      <c r="F359" s="12">
        <f>IFERROR(IF(SUMIFS(tblDaily[TransfersIn],tblDaily[EntryDate],DATE(2026,10,2),tblDaily[WardCode],"BH")=0,"",SUMIFS(tblDaily[TransfersIn],tblDaily[EntryDate],DATE(2026,10,2),tblDaily[WardCode],"BH")),"")</f>
        <v/>
      </c>
      <c r="G359" s="12">
        <f>IFERROR(IF(SUMIFS(tblDaily[TransfersOut],tblDaily[EntryDate],DATE(2026,10,2),tblDaily[WardCode],"BH")=0,"",SUMIFS(tblDaily[TransfersOut],tblDaily[EntryDate],DATE(2026,10,2),tblDaily[WardCode],"BH")),"")</f>
        <v/>
      </c>
      <c r="H359" s="12">
        <f>IFERROR(IF(SUMIFS(tblDaily[Remaining],tblDaily[EntryDate],DATE(2026,10,2),tblDaily[WardCode],"BH")=0,"",SUMIFS(tblDaily[Remaining],tblDaily[EntryDate],DATE(2026,10,2),tblDaily[WardCode],"BH")),"")</f>
        <v/>
      </c>
    </row>
    <row r="360">
      <c r="A360" s="12" t="n">
        <v>3</v>
      </c>
      <c r="B360" s="12">
        <f>IFERROR(IF(SUMIFS(tblDaily[Admissions],tblDaily[EntryDate],DATE(2026,10,3),tblDaily[WardCode],"BH")=0,"",SUMIFS(tblDaily[Admissions],tblDaily[EntryDate],DATE(2026,10,3),tblDaily[WardCode],"BH")),"")</f>
        <v/>
      </c>
      <c r="C360" s="12">
        <f>IFERROR(IF(SUMIFS(tblDaily[Discharges],tblDaily[EntryDate],DATE(2026,10,3),tblDaily[WardCode],"BH")=0,"",SUMIFS(tblDaily[Discharges],tblDaily[EntryDate],DATE(2026,10,3),tblDaily[WardCode],"BH")),"")</f>
        <v/>
      </c>
      <c r="D360" s="12">
        <f>IFERROR(IF(SUMIFS(tblDaily[Deaths],tblDaily[EntryDate],DATE(2026,10,3),tblDaily[WardCode],"BH")=0,"",SUMIFS(tblDaily[Deaths],tblDaily[EntryDate],DATE(2026,10,3),tblDaily[WardCode],"BH")),"")</f>
        <v/>
      </c>
      <c r="E360" s="12">
        <f>IFERROR(IF(SUMIFS(tblDaily[DeathsUnder24Hrs],tblDaily[EntryDate],DATE(2026,10,3),tblDaily[WardCode],"BH")=0,"",SUMIFS(tblDaily[DeathsUnder24Hrs],tblDaily[EntryDate],DATE(2026,10,3),tblDaily[WardCode],"BH")),"")</f>
        <v/>
      </c>
      <c r="F360" s="12">
        <f>IFERROR(IF(SUMIFS(tblDaily[TransfersIn],tblDaily[EntryDate],DATE(2026,10,3),tblDaily[WardCode],"BH")=0,"",SUMIFS(tblDaily[TransfersIn],tblDaily[EntryDate],DATE(2026,10,3),tblDaily[WardCode],"BH")),"")</f>
        <v/>
      </c>
      <c r="G360" s="12">
        <f>IFERROR(IF(SUMIFS(tblDaily[TransfersOut],tblDaily[EntryDate],DATE(2026,10,3),tblDaily[WardCode],"BH")=0,"",SUMIFS(tblDaily[TransfersOut],tblDaily[EntryDate],DATE(2026,10,3),tblDaily[WardCode],"BH")),"")</f>
        <v/>
      </c>
      <c r="H360" s="12">
        <f>IFERROR(IF(SUMIFS(tblDaily[Remaining],tblDaily[EntryDate],DATE(2026,10,3),tblDaily[WardCode],"BH")=0,"",SUMIFS(tblDaily[Remaining],tblDaily[EntryDate],DATE(2026,10,3),tblDaily[WardCode],"BH")),"")</f>
        <v/>
      </c>
    </row>
    <row r="361">
      <c r="A361" s="12" t="n">
        <v>4</v>
      </c>
      <c r="B361" s="12">
        <f>IFERROR(IF(SUMIFS(tblDaily[Admissions],tblDaily[EntryDate],DATE(2026,10,4),tblDaily[WardCode],"BH")=0,"",SUMIFS(tblDaily[Admissions],tblDaily[EntryDate],DATE(2026,10,4),tblDaily[WardCode],"BH")),"")</f>
        <v/>
      </c>
      <c r="C361" s="12">
        <f>IFERROR(IF(SUMIFS(tblDaily[Discharges],tblDaily[EntryDate],DATE(2026,10,4),tblDaily[WardCode],"BH")=0,"",SUMIFS(tblDaily[Discharges],tblDaily[EntryDate],DATE(2026,10,4),tblDaily[WardCode],"BH")),"")</f>
        <v/>
      </c>
      <c r="D361" s="12">
        <f>IFERROR(IF(SUMIFS(tblDaily[Deaths],tblDaily[EntryDate],DATE(2026,10,4),tblDaily[WardCode],"BH")=0,"",SUMIFS(tblDaily[Deaths],tblDaily[EntryDate],DATE(2026,10,4),tblDaily[WardCode],"BH")),"")</f>
        <v/>
      </c>
      <c r="E361" s="12">
        <f>IFERROR(IF(SUMIFS(tblDaily[DeathsUnder24Hrs],tblDaily[EntryDate],DATE(2026,10,4),tblDaily[WardCode],"BH")=0,"",SUMIFS(tblDaily[DeathsUnder24Hrs],tblDaily[EntryDate],DATE(2026,10,4),tblDaily[WardCode],"BH")),"")</f>
        <v/>
      </c>
      <c r="F361" s="12">
        <f>IFERROR(IF(SUMIFS(tblDaily[TransfersIn],tblDaily[EntryDate],DATE(2026,10,4),tblDaily[WardCode],"BH")=0,"",SUMIFS(tblDaily[TransfersIn],tblDaily[EntryDate],DATE(2026,10,4),tblDaily[WardCode],"BH")),"")</f>
        <v/>
      </c>
      <c r="G361" s="12">
        <f>IFERROR(IF(SUMIFS(tblDaily[TransfersOut],tblDaily[EntryDate],DATE(2026,10,4),tblDaily[WardCode],"BH")=0,"",SUMIFS(tblDaily[TransfersOut],tblDaily[EntryDate],DATE(2026,10,4),tblDaily[WardCode],"BH")),"")</f>
        <v/>
      </c>
      <c r="H361" s="12">
        <f>IFERROR(IF(SUMIFS(tblDaily[Remaining],tblDaily[EntryDate],DATE(2026,10,4),tblDaily[WardCode],"BH")=0,"",SUMIFS(tblDaily[Remaining],tblDaily[EntryDate],DATE(2026,10,4),tblDaily[WardCode],"BH")),"")</f>
        <v/>
      </c>
    </row>
    <row r="362">
      <c r="A362" s="12" t="n">
        <v>5</v>
      </c>
      <c r="B362" s="12">
        <f>IFERROR(IF(SUMIFS(tblDaily[Admissions],tblDaily[EntryDate],DATE(2026,10,5),tblDaily[WardCode],"BH")=0,"",SUMIFS(tblDaily[Admissions],tblDaily[EntryDate],DATE(2026,10,5),tblDaily[WardCode],"BH")),"")</f>
        <v/>
      </c>
      <c r="C362" s="12">
        <f>IFERROR(IF(SUMIFS(tblDaily[Discharges],tblDaily[EntryDate],DATE(2026,10,5),tblDaily[WardCode],"BH")=0,"",SUMIFS(tblDaily[Discharges],tblDaily[EntryDate],DATE(2026,10,5),tblDaily[WardCode],"BH")),"")</f>
        <v/>
      </c>
      <c r="D362" s="12">
        <f>IFERROR(IF(SUMIFS(tblDaily[Deaths],tblDaily[EntryDate],DATE(2026,10,5),tblDaily[WardCode],"BH")=0,"",SUMIFS(tblDaily[Deaths],tblDaily[EntryDate],DATE(2026,10,5),tblDaily[WardCode],"BH")),"")</f>
        <v/>
      </c>
      <c r="E362" s="12">
        <f>IFERROR(IF(SUMIFS(tblDaily[DeathsUnder24Hrs],tblDaily[EntryDate],DATE(2026,10,5),tblDaily[WardCode],"BH")=0,"",SUMIFS(tblDaily[DeathsUnder24Hrs],tblDaily[EntryDate],DATE(2026,10,5),tblDaily[WardCode],"BH")),"")</f>
        <v/>
      </c>
      <c r="F362" s="12">
        <f>IFERROR(IF(SUMIFS(tblDaily[TransfersIn],tblDaily[EntryDate],DATE(2026,10,5),tblDaily[WardCode],"BH")=0,"",SUMIFS(tblDaily[TransfersIn],tblDaily[EntryDate],DATE(2026,10,5),tblDaily[WardCode],"BH")),"")</f>
        <v/>
      </c>
      <c r="G362" s="12">
        <f>IFERROR(IF(SUMIFS(tblDaily[TransfersOut],tblDaily[EntryDate],DATE(2026,10,5),tblDaily[WardCode],"BH")=0,"",SUMIFS(tblDaily[TransfersOut],tblDaily[EntryDate],DATE(2026,10,5),tblDaily[WardCode],"BH")),"")</f>
        <v/>
      </c>
      <c r="H362" s="12">
        <f>IFERROR(IF(SUMIFS(tblDaily[Remaining],tblDaily[EntryDate],DATE(2026,10,5),tblDaily[WardCode],"BH")=0,"",SUMIFS(tblDaily[Remaining],tblDaily[EntryDate],DATE(2026,10,5),tblDaily[WardCode],"BH")),"")</f>
        <v/>
      </c>
    </row>
    <row r="363">
      <c r="A363" s="12" t="n">
        <v>6</v>
      </c>
      <c r="B363" s="12">
        <f>IFERROR(IF(SUMIFS(tblDaily[Admissions],tblDaily[EntryDate],DATE(2026,10,6),tblDaily[WardCode],"BH")=0,"",SUMIFS(tblDaily[Admissions],tblDaily[EntryDate],DATE(2026,10,6),tblDaily[WardCode],"BH")),"")</f>
        <v/>
      </c>
      <c r="C363" s="12">
        <f>IFERROR(IF(SUMIFS(tblDaily[Discharges],tblDaily[EntryDate],DATE(2026,10,6),tblDaily[WardCode],"BH")=0,"",SUMIFS(tblDaily[Discharges],tblDaily[EntryDate],DATE(2026,10,6),tblDaily[WardCode],"BH")),"")</f>
        <v/>
      </c>
      <c r="D363" s="12">
        <f>IFERROR(IF(SUMIFS(tblDaily[Deaths],tblDaily[EntryDate],DATE(2026,10,6),tblDaily[WardCode],"BH")=0,"",SUMIFS(tblDaily[Deaths],tblDaily[EntryDate],DATE(2026,10,6),tblDaily[WardCode],"BH")),"")</f>
        <v/>
      </c>
      <c r="E363" s="12">
        <f>IFERROR(IF(SUMIFS(tblDaily[DeathsUnder24Hrs],tblDaily[EntryDate],DATE(2026,10,6),tblDaily[WardCode],"BH")=0,"",SUMIFS(tblDaily[DeathsUnder24Hrs],tblDaily[EntryDate],DATE(2026,10,6),tblDaily[WardCode],"BH")),"")</f>
        <v/>
      </c>
      <c r="F363" s="12">
        <f>IFERROR(IF(SUMIFS(tblDaily[TransfersIn],tblDaily[EntryDate],DATE(2026,10,6),tblDaily[WardCode],"BH")=0,"",SUMIFS(tblDaily[TransfersIn],tblDaily[EntryDate],DATE(2026,10,6),tblDaily[WardCode],"BH")),"")</f>
        <v/>
      </c>
      <c r="G363" s="12">
        <f>IFERROR(IF(SUMIFS(tblDaily[TransfersOut],tblDaily[EntryDate],DATE(2026,10,6),tblDaily[WardCode],"BH")=0,"",SUMIFS(tblDaily[TransfersOut],tblDaily[EntryDate],DATE(2026,10,6),tblDaily[WardCode],"BH")),"")</f>
        <v/>
      </c>
      <c r="H363" s="12">
        <f>IFERROR(IF(SUMIFS(tblDaily[Remaining],tblDaily[EntryDate],DATE(2026,10,6),tblDaily[WardCode],"BH")=0,"",SUMIFS(tblDaily[Remaining],tblDaily[EntryDate],DATE(2026,10,6),tblDaily[WardCode],"BH")),"")</f>
        <v/>
      </c>
    </row>
    <row r="364">
      <c r="A364" s="12" t="n">
        <v>7</v>
      </c>
      <c r="B364" s="12">
        <f>IFERROR(IF(SUMIFS(tblDaily[Admissions],tblDaily[EntryDate],DATE(2026,10,7),tblDaily[WardCode],"BH")=0,"",SUMIFS(tblDaily[Admissions],tblDaily[EntryDate],DATE(2026,10,7),tblDaily[WardCode],"BH")),"")</f>
        <v/>
      </c>
      <c r="C364" s="12">
        <f>IFERROR(IF(SUMIFS(tblDaily[Discharges],tblDaily[EntryDate],DATE(2026,10,7),tblDaily[WardCode],"BH")=0,"",SUMIFS(tblDaily[Discharges],tblDaily[EntryDate],DATE(2026,10,7),tblDaily[WardCode],"BH")),"")</f>
        <v/>
      </c>
      <c r="D364" s="12">
        <f>IFERROR(IF(SUMIFS(tblDaily[Deaths],tblDaily[EntryDate],DATE(2026,10,7),tblDaily[WardCode],"BH")=0,"",SUMIFS(tblDaily[Deaths],tblDaily[EntryDate],DATE(2026,10,7),tblDaily[WardCode],"BH")),"")</f>
        <v/>
      </c>
      <c r="E364" s="12">
        <f>IFERROR(IF(SUMIFS(tblDaily[DeathsUnder24Hrs],tblDaily[EntryDate],DATE(2026,10,7),tblDaily[WardCode],"BH")=0,"",SUMIFS(tblDaily[DeathsUnder24Hrs],tblDaily[EntryDate],DATE(2026,10,7),tblDaily[WardCode],"BH")),"")</f>
        <v/>
      </c>
      <c r="F364" s="12">
        <f>IFERROR(IF(SUMIFS(tblDaily[TransfersIn],tblDaily[EntryDate],DATE(2026,10,7),tblDaily[WardCode],"BH")=0,"",SUMIFS(tblDaily[TransfersIn],tblDaily[EntryDate],DATE(2026,10,7),tblDaily[WardCode],"BH")),"")</f>
        <v/>
      </c>
      <c r="G364" s="12">
        <f>IFERROR(IF(SUMIFS(tblDaily[TransfersOut],tblDaily[EntryDate],DATE(2026,10,7),tblDaily[WardCode],"BH")=0,"",SUMIFS(tblDaily[TransfersOut],tblDaily[EntryDate],DATE(2026,10,7),tblDaily[WardCode],"BH")),"")</f>
        <v/>
      </c>
      <c r="H364" s="12">
        <f>IFERROR(IF(SUMIFS(tblDaily[Remaining],tblDaily[EntryDate],DATE(2026,10,7),tblDaily[WardCode],"BH")=0,"",SUMIFS(tblDaily[Remaining],tblDaily[EntryDate],DATE(2026,10,7),tblDaily[WardCode],"BH")),"")</f>
        <v/>
      </c>
    </row>
    <row r="365">
      <c r="A365" s="12" t="n">
        <v>8</v>
      </c>
      <c r="B365" s="12">
        <f>IFERROR(IF(SUMIFS(tblDaily[Admissions],tblDaily[EntryDate],DATE(2026,10,8),tblDaily[WardCode],"BH")=0,"",SUMIFS(tblDaily[Admissions],tblDaily[EntryDate],DATE(2026,10,8),tblDaily[WardCode],"BH")),"")</f>
        <v/>
      </c>
      <c r="C365" s="12">
        <f>IFERROR(IF(SUMIFS(tblDaily[Discharges],tblDaily[EntryDate],DATE(2026,10,8),tblDaily[WardCode],"BH")=0,"",SUMIFS(tblDaily[Discharges],tblDaily[EntryDate],DATE(2026,10,8),tblDaily[WardCode],"BH")),"")</f>
        <v/>
      </c>
      <c r="D365" s="12">
        <f>IFERROR(IF(SUMIFS(tblDaily[Deaths],tblDaily[EntryDate],DATE(2026,10,8),tblDaily[WardCode],"BH")=0,"",SUMIFS(tblDaily[Deaths],tblDaily[EntryDate],DATE(2026,10,8),tblDaily[WardCode],"BH")),"")</f>
        <v/>
      </c>
      <c r="E365" s="12">
        <f>IFERROR(IF(SUMIFS(tblDaily[DeathsUnder24Hrs],tblDaily[EntryDate],DATE(2026,10,8),tblDaily[WardCode],"BH")=0,"",SUMIFS(tblDaily[DeathsUnder24Hrs],tblDaily[EntryDate],DATE(2026,10,8),tblDaily[WardCode],"BH")),"")</f>
        <v/>
      </c>
      <c r="F365" s="12">
        <f>IFERROR(IF(SUMIFS(tblDaily[TransfersIn],tblDaily[EntryDate],DATE(2026,10,8),tblDaily[WardCode],"BH")=0,"",SUMIFS(tblDaily[TransfersIn],tblDaily[EntryDate],DATE(2026,10,8),tblDaily[WardCode],"BH")),"")</f>
        <v/>
      </c>
      <c r="G365" s="12">
        <f>IFERROR(IF(SUMIFS(tblDaily[TransfersOut],tblDaily[EntryDate],DATE(2026,10,8),tblDaily[WardCode],"BH")=0,"",SUMIFS(tblDaily[TransfersOut],tblDaily[EntryDate],DATE(2026,10,8),tblDaily[WardCode],"BH")),"")</f>
        <v/>
      </c>
      <c r="H365" s="12">
        <f>IFERROR(IF(SUMIFS(tblDaily[Remaining],tblDaily[EntryDate],DATE(2026,10,8),tblDaily[WardCode],"BH")=0,"",SUMIFS(tblDaily[Remaining],tblDaily[EntryDate],DATE(2026,10,8),tblDaily[WardCode],"BH")),"")</f>
        <v/>
      </c>
    </row>
    <row r="366">
      <c r="A366" s="12" t="n">
        <v>9</v>
      </c>
      <c r="B366" s="12">
        <f>IFERROR(IF(SUMIFS(tblDaily[Admissions],tblDaily[EntryDate],DATE(2026,10,9),tblDaily[WardCode],"BH")=0,"",SUMIFS(tblDaily[Admissions],tblDaily[EntryDate],DATE(2026,10,9),tblDaily[WardCode],"BH")),"")</f>
        <v/>
      </c>
      <c r="C366" s="12">
        <f>IFERROR(IF(SUMIFS(tblDaily[Discharges],tblDaily[EntryDate],DATE(2026,10,9),tblDaily[WardCode],"BH")=0,"",SUMIFS(tblDaily[Discharges],tblDaily[EntryDate],DATE(2026,10,9),tblDaily[WardCode],"BH")),"")</f>
        <v/>
      </c>
      <c r="D366" s="12">
        <f>IFERROR(IF(SUMIFS(tblDaily[Deaths],tblDaily[EntryDate],DATE(2026,10,9),tblDaily[WardCode],"BH")=0,"",SUMIFS(tblDaily[Deaths],tblDaily[EntryDate],DATE(2026,10,9),tblDaily[WardCode],"BH")),"")</f>
        <v/>
      </c>
      <c r="E366" s="12">
        <f>IFERROR(IF(SUMIFS(tblDaily[DeathsUnder24Hrs],tblDaily[EntryDate],DATE(2026,10,9),tblDaily[WardCode],"BH")=0,"",SUMIFS(tblDaily[DeathsUnder24Hrs],tblDaily[EntryDate],DATE(2026,10,9),tblDaily[WardCode],"BH")),"")</f>
        <v/>
      </c>
      <c r="F366" s="12">
        <f>IFERROR(IF(SUMIFS(tblDaily[TransfersIn],tblDaily[EntryDate],DATE(2026,10,9),tblDaily[WardCode],"BH")=0,"",SUMIFS(tblDaily[TransfersIn],tblDaily[EntryDate],DATE(2026,10,9),tblDaily[WardCode],"BH")),"")</f>
        <v/>
      </c>
      <c r="G366" s="12">
        <f>IFERROR(IF(SUMIFS(tblDaily[TransfersOut],tblDaily[EntryDate],DATE(2026,10,9),tblDaily[WardCode],"BH")=0,"",SUMIFS(tblDaily[TransfersOut],tblDaily[EntryDate],DATE(2026,10,9),tblDaily[WardCode],"BH")),"")</f>
        <v/>
      </c>
      <c r="H366" s="12">
        <f>IFERROR(IF(SUMIFS(tblDaily[Remaining],tblDaily[EntryDate],DATE(2026,10,9),tblDaily[WardCode],"BH")=0,"",SUMIFS(tblDaily[Remaining],tblDaily[EntryDate],DATE(2026,10,9),tblDaily[WardCode],"BH")),"")</f>
        <v/>
      </c>
    </row>
    <row r="367">
      <c r="A367" s="12" t="n">
        <v>10</v>
      </c>
      <c r="B367" s="12">
        <f>IFERROR(IF(SUMIFS(tblDaily[Admissions],tblDaily[EntryDate],DATE(2026,10,10),tblDaily[WardCode],"BH")=0,"",SUMIFS(tblDaily[Admissions],tblDaily[EntryDate],DATE(2026,10,10),tblDaily[WardCode],"BH")),"")</f>
        <v/>
      </c>
      <c r="C367" s="12">
        <f>IFERROR(IF(SUMIFS(tblDaily[Discharges],tblDaily[EntryDate],DATE(2026,10,10),tblDaily[WardCode],"BH")=0,"",SUMIFS(tblDaily[Discharges],tblDaily[EntryDate],DATE(2026,10,10),tblDaily[WardCode],"BH")),"")</f>
        <v/>
      </c>
      <c r="D367" s="12">
        <f>IFERROR(IF(SUMIFS(tblDaily[Deaths],tblDaily[EntryDate],DATE(2026,10,10),tblDaily[WardCode],"BH")=0,"",SUMIFS(tblDaily[Deaths],tblDaily[EntryDate],DATE(2026,10,10),tblDaily[WardCode],"BH")),"")</f>
        <v/>
      </c>
      <c r="E367" s="12">
        <f>IFERROR(IF(SUMIFS(tblDaily[DeathsUnder24Hrs],tblDaily[EntryDate],DATE(2026,10,10),tblDaily[WardCode],"BH")=0,"",SUMIFS(tblDaily[DeathsUnder24Hrs],tblDaily[EntryDate],DATE(2026,10,10),tblDaily[WardCode],"BH")),"")</f>
        <v/>
      </c>
      <c r="F367" s="12">
        <f>IFERROR(IF(SUMIFS(tblDaily[TransfersIn],tblDaily[EntryDate],DATE(2026,10,10),tblDaily[WardCode],"BH")=0,"",SUMIFS(tblDaily[TransfersIn],tblDaily[EntryDate],DATE(2026,10,10),tblDaily[WardCode],"BH")),"")</f>
        <v/>
      </c>
      <c r="G367" s="12">
        <f>IFERROR(IF(SUMIFS(tblDaily[TransfersOut],tblDaily[EntryDate],DATE(2026,10,10),tblDaily[WardCode],"BH")=0,"",SUMIFS(tblDaily[TransfersOut],tblDaily[EntryDate],DATE(2026,10,10),tblDaily[WardCode],"BH")),"")</f>
        <v/>
      </c>
      <c r="H367" s="12">
        <f>IFERROR(IF(SUMIFS(tblDaily[Remaining],tblDaily[EntryDate],DATE(2026,10,10),tblDaily[WardCode],"BH")=0,"",SUMIFS(tblDaily[Remaining],tblDaily[EntryDate],DATE(2026,10,10),tblDaily[WardCode],"BH")),"")</f>
        <v/>
      </c>
    </row>
    <row r="368">
      <c r="A368" s="12" t="n">
        <v>11</v>
      </c>
      <c r="B368" s="12">
        <f>IFERROR(IF(SUMIFS(tblDaily[Admissions],tblDaily[EntryDate],DATE(2026,10,11),tblDaily[WardCode],"BH")=0,"",SUMIFS(tblDaily[Admissions],tblDaily[EntryDate],DATE(2026,10,11),tblDaily[WardCode],"BH")),"")</f>
        <v/>
      </c>
      <c r="C368" s="12">
        <f>IFERROR(IF(SUMIFS(tblDaily[Discharges],tblDaily[EntryDate],DATE(2026,10,11),tblDaily[WardCode],"BH")=0,"",SUMIFS(tblDaily[Discharges],tblDaily[EntryDate],DATE(2026,10,11),tblDaily[WardCode],"BH")),"")</f>
        <v/>
      </c>
      <c r="D368" s="12">
        <f>IFERROR(IF(SUMIFS(tblDaily[Deaths],tblDaily[EntryDate],DATE(2026,10,11),tblDaily[WardCode],"BH")=0,"",SUMIFS(tblDaily[Deaths],tblDaily[EntryDate],DATE(2026,10,11),tblDaily[WardCode],"BH")),"")</f>
        <v/>
      </c>
      <c r="E368" s="12">
        <f>IFERROR(IF(SUMIFS(tblDaily[DeathsUnder24Hrs],tblDaily[EntryDate],DATE(2026,10,11),tblDaily[WardCode],"BH")=0,"",SUMIFS(tblDaily[DeathsUnder24Hrs],tblDaily[EntryDate],DATE(2026,10,11),tblDaily[WardCode],"BH")),"")</f>
        <v/>
      </c>
      <c r="F368" s="12">
        <f>IFERROR(IF(SUMIFS(tblDaily[TransfersIn],tblDaily[EntryDate],DATE(2026,10,11),tblDaily[WardCode],"BH")=0,"",SUMIFS(tblDaily[TransfersIn],tblDaily[EntryDate],DATE(2026,10,11),tblDaily[WardCode],"BH")),"")</f>
        <v/>
      </c>
      <c r="G368" s="12">
        <f>IFERROR(IF(SUMIFS(tblDaily[TransfersOut],tblDaily[EntryDate],DATE(2026,10,11),tblDaily[WardCode],"BH")=0,"",SUMIFS(tblDaily[TransfersOut],tblDaily[EntryDate],DATE(2026,10,11),tblDaily[WardCode],"BH")),"")</f>
        <v/>
      </c>
      <c r="H368" s="12">
        <f>IFERROR(IF(SUMIFS(tblDaily[Remaining],tblDaily[EntryDate],DATE(2026,10,11),tblDaily[WardCode],"BH")=0,"",SUMIFS(tblDaily[Remaining],tblDaily[EntryDate],DATE(2026,10,11),tblDaily[WardCode],"BH")),"")</f>
        <v/>
      </c>
    </row>
    <row r="369">
      <c r="A369" s="12" t="n">
        <v>12</v>
      </c>
      <c r="B369" s="12">
        <f>IFERROR(IF(SUMIFS(tblDaily[Admissions],tblDaily[EntryDate],DATE(2026,10,12),tblDaily[WardCode],"BH")=0,"",SUMIFS(tblDaily[Admissions],tblDaily[EntryDate],DATE(2026,10,12),tblDaily[WardCode],"BH")),"")</f>
        <v/>
      </c>
      <c r="C369" s="12">
        <f>IFERROR(IF(SUMIFS(tblDaily[Discharges],tblDaily[EntryDate],DATE(2026,10,12),tblDaily[WardCode],"BH")=0,"",SUMIFS(tblDaily[Discharges],tblDaily[EntryDate],DATE(2026,10,12),tblDaily[WardCode],"BH")),"")</f>
        <v/>
      </c>
      <c r="D369" s="12">
        <f>IFERROR(IF(SUMIFS(tblDaily[Deaths],tblDaily[EntryDate],DATE(2026,10,12),tblDaily[WardCode],"BH")=0,"",SUMIFS(tblDaily[Deaths],tblDaily[EntryDate],DATE(2026,10,12),tblDaily[WardCode],"BH")),"")</f>
        <v/>
      </c>
      <c r="E369" s="12">
        <f>IFERROR(IF(SUMIFS(tblDaily[DeathsUnder24Hrs],tblDaily[EntryDate],DATE(2026,10,12),tblDaily[WardCode],"BH")=0,"",SUMIFS(tblDaily[DeathsUnder24Hrs],tblDaily[EntryDate],DATE(2026,10,12),tblDaily[WardCode],"BH")),"")</f>
        <v/>
      </c>
      <c r="F369" s="12">
        <f>IFERROR(IF(SUMIFS(tblDaily[TransfersIn],tblDaily[EntryDate],DATE(2026,10,12),tblDaily[WardCode],"BH")=0,"",SUMIFS(tblDaily[TransfersIn],tblDaily[EntryDate],DATE(2026,10,12),tblDaily[WardCode],"BH")),"")</f>
        <v/>
      </c>
      <c r="G369" s="12">
        <f>IFERROR(IF(SUMIFS(tblDaily[TransfersOut],tblDaily[EntryDate],DATE(2026,10,12),tblDaily[WardCode],"BH")=0,"",SUMIFS(tblDaily[TransfersOut],tblDaily[EntryDate],DATE(2026,10,12),tblDaily[WardCode],"BH")),"")</f>
        <v/>
      </c>
      <c r="H369" s="12">
        <f>IFERROR(IF(SUMIFS(tblDaily[Remaining],tblDaily[EntryDate],DATE(2026,10,12),tblDaily[WardCode],"BH")=0,"",SUMIFS(tblDaily[Remaining],tblDaily[EntryDate],DATE(2026,10,12),tblDaily[WardCode],"BH")),"")</f>
        <v/>
      </c>
    </row>
    <row r="370">
      <c r="A370" s="12" t="n">
        <v>13</v>
      </c>
      <c r="B370" s="12">
        <f>IFERROR(IF(SUMIFS(tblDaily[Admissions],tblDaily[EntryDate],DATE(2026,10,13),tblDaily[WardCode],"BH")=0,"",SUMIFS(tblDaily[Admissions],tblDaily[EntryDate],DATE(2026,10,13),tblDaily[WardCode],"BH")),"")</f>
        <v/>
      </c>
      <c r="C370" s="12">
        <f>IFERROR(IF(SUMIFS(tblDaily[Discharges],tblDaily[EntryDate],DATE(2026,10,13),tblDaily[WardCode],"BH")=0,"",SUMIFS(tblDaily[Discharges],tblDaily[EntryDate],DATE(2026,10,13),tblDaily[WardCode],"BH")),"")</f>
        <v/>
      </c>
      <c r="D370" s="12">
        <f>IFERROR(IF(SUMIFS(tblDaily[Deaths],tblDaily[EntryDate],DATE(2026,10,13),tblDaily[WardCode],"BH")=0,"",SUMIFS(tblDaily[Deaths],tblDaily[EntryDate],DATE(2026,10,13),tblDaily[WardCode],"BH")),"")</f>
        <v/>
      </c>
      <c r="E370" s="12">
        <f>IFERROR(IF(SUMIFS(tblDaily[DeathsUnder24Hrs],tblDaily[EntryDate],DATE(2026,10,13),tblDaily[WardCode],"BH")=0,"",SUMIFS(tblDaily[DeathsUnder24Hrs],tblDaily[EntryDate],DATE(2026,10,13),tblDaily[WardCode],"BH")),"")</f>
        <v/>
      </c>
      <c r="F370" s="12">
        <f>IFERROR(IF(SUMIFS(tblDaily[TransfersIn],tblDaily[EntryDate],DATE(2026,10,13),tblDaily[WardCode],"BH")=0,"",SUMIFS(tblDaily[TransfersIn],tblDaily[EntryDate],DATE(2026,10,13),tblDaily[WardCode],"BH")),"")</f>
        <v/>
      </c>
      <c r="G370" s="12">
        <f>IFERROR(IF(SUMIFS(tblDaily[TransfersOut],tblDaily[EntryDate],DATE(2026,10,13),tblDaily[WardCode],"BH")=0,"",SUMIFS(tblDaily[TransfersOut],tblDaily[EntryDate],DATE(2026,10,13),tblDaily[WardCode],"BH")),"")</f>
        <v/>
      </c>
      <c r="H370" s="12">
        <f>IFERROR(IF(SUMIFS(tblDaily[Remaining],tblDaily[EntryDate],DATE(2026,10,13),tblDaily[WardCode],"BH")=0,"",SUMIFS(tblDaily[Remaining],tblDaily[EntryDate],DATE(2026,10,13),tblDaily[WardCode],"BH")),"")</f>
        <v/>
      </c>
    </row>
    <row r="371">
      <c r="A371" s="12" t="n">
        <v>14</v>
      </c>
      <c r="B371" s="12">
        <f>IFERROR(IF(SUMIFS(tblDaily[Admissions],tblDaily[EntryDate],DATE(2026,10,14),tblDaily[WardCode],"BH")=0,"",SUMIFS(tblDaily[Admissions],tblDaily[EntryDate],DATE(2026,10,14),tblDaily[WardCode],"BH")),"")</f>
        <v/>
      </c>
      <c r="C371" s="12">
        <f>IFERROR(IF(SUMIFS(tblDaily[Discharges],tblDaily[EntryDate],DATE(2026,10,14),tblDaily[WardCode],"BH")=0,"",SUMIFS(tblDaily[Discharges],tblDaily[EntryDate],DATE(2026,10,14),tblDaily[WardCode],"BH")),"")</f>
        <v/>
      </c>
      <c r="D371" s="12">
        <f>IFERROR(IF(SUMIFS(tblDaily[Deaths],tblDaily[EntryDate],DATE(2026,10,14),tblDaily[WardCode],"BH")=0,"",SUMIFS(tblDaily[Deaths],tblDaily[EntryDate],DATE(2026,10,14),tblDaily[WardCode],"BH")),"")</f>
        <v/>
      </c>
      <c r="E371" s="12">
        <f>IFERROR(IF(SUMIFS(tblDaily[DeathsUnder24Hrs],tblDaily[EntryDate],DATE(2026,10,14),tblDaily[WardCode],"BH")=0,"",SUMIFS(tblDaily[DeathsUnder24Hrs],tblDaily[EntryDate],DATE(2026,10,14),tblDaily[WardCode],"BH")),"")</f>
        <v/>
      </c>
      <c r="F371" s="12">
        <f>IFERROR(IF(SUMIFS(tblDaily[TransfersIn],tblDaily[EntryDate],DATE(2026,10,14),tblDaily[WardCode],"BH")=0,"",SUMIFS(tblDaily[TransfersIn],tblDaily[EntryDate],DATE(2026,10,14),tblDaily[WardCode],"BH")),"")</f>
        <v/>
      </c>
      <c r="G371" s="12">
        <f>IFERROR(IF(SUMIFS(tblDaily[TransfersOut],tblDaily[EntryDate],DATE(2026,10,14),tblDaily[WardCode],"BH")=0,"",SUMIFS(tblDaily[TransfersOut],tblDaily[EntryDate],DATE(2026,10,14),tblDaily[WardCode],"BH")),"")</f>
        <v/>
      </c>
      <c r="H371" s="12">
        <f>IFERROR(IF(SUMIFS(tblDaily[Remaining],tblDaily[EntryDate],DATE(2026,10,14),tblDaily[WardCode],"BH")=0,"",SUMIFS(tblDaily[Remaining],tblDaily[EntryDate],DATE(2026,10,14),tblDaily[WardCode],"BH")),"")</f>
        <v/>
      </c>
    </row>
    <row r="372">
      <c r="A372" s="12" t="n">
        <v>15</v>
      </c>
      <c r="B372" s="12">
        <f>IFERROR(IF(SUMIFS(tblDaily[Admissions],tblDaily[EntryDate],DATE(2026,10,15),tblDaily[WardCode],"BH")=0,"",SUMIFS(tblDaily[Admissions],tblDaily[EntryDate],DATE(2026,10,15),tblDaily[WardCode],"BH")),"")</f>
        <v/>
      </c>
      <c r="C372" s="12">
        <f>IFERROR(IF(SUMIFS(tblDaily[Discharges],tblDaily[EntryDate],DATE(2026,10,15),tblDaily[WardCode],"BH")=0,"",SUMIFS(tblDaily[Discharges],tblDaily[EntryDate],DATE(2026,10,15),tblDaily[WardCode],"BH")),"")</f>
        <v/>
      </c>
      <c r="D372" s="12">
        <f>IFERROR(IF(SUMIFS(tblDaily[Deaths],tblDaily[EntryDate],DATE(2026,10,15),tblDaily[WardCode],"BH")=0,"",SUMIFS(tblDaily[Deaths],tblDaily[EntryDate],DATE(2026,10,15),tblDaily[WardCode],"BH")),"")</f>
        <v/>
      </c>
      <c r="E372" s="12">
        <f>IFERROR(IF(SUMIFS(tblDaily[DeathsUnder24Hrs],tblDaily[EntryDate],DATE(2026,10,15),tblDaily[WardCode],"BH")=0,"",SUMIFS(tblDaily[DeathsUnder24Hrs],tblDaily[EntryDate],DATE(2026,10,15),tblDaily[WardCode],"BH")),"")</f>
        <v/>
      </c>
      <c r="F372" s="12">
        <f>IFERROR(IF(SUMIFS(tblDaily[TransfersIn],tblDaily[EntryDate],DATE(2026,10,15),tblDaily[WardCode],"BH")=0,"",SUMIFS(tblDaily[TransfersIn],tblDaily[EntryDate],DATE(2026,10,15),tblDaily[WardCode],"BH")),"")</f>
        <v/>
      </c>
      <c r="G372" s="12">
        <f>IFERROR(IF(SUMIFS(tblDaily[TransfersOut],tblDaily[EntryDate],DATE(2026,10,15),tblDaily[WardCode],"BH")=0,"",SUMIFS(tblDaily[TransfersOut],tblDaily[EntryDate],DATE(2026,10,15),tblDaily[WardCode],"BH")),"")</f>
        <v/>
      </c>
      <c r="H372" s="12">
        <f>IFERROR(IF(SUMIFS(tblDaily[Remaining],tblDaily[EntryDate],DATE(2026,10,15),tblDaily[WardCode],"BH")=0,"",SUMIFS(tblDaily[Remaining],tblDaily[EntryDate],DATE(2026,10,15),tblDaily[WardCode],"BH")),"")</f>
        <v/>
      </c>
    </row>
    <row r="373">
      <c r="A373" s="12" t="n">
        <v>16</v>
      </c>
      <c r="B373" s="12">
        <f>IFERROR(IF(SUMIFS(tblDaily[Admissions],tblDaily[EntryDate],DATE(2026,10,16),tblDaily[WardCode],"BH")=0,"",SUMIFS(tblDaily[Admissions],tblDaily[EntryDate],DATE(2026,10,16),tblDaily[WardCode],"BH")),"")</f>
        <v/>
      </c>
      <c r="C373" s="12">
        <f>IFERROR(IF(SUMIFS(tblDaily[Discharges],tblDaily[EntryDate],DATE(2026,10,16),tblDaily[WardCode],"BH")=0,"",SUMIFS(tblDaily[Discharges],tblDaily[EntryDate],DATE(2026,10,16),tblDaily[WardCode],"BH")),"")</f>
        <v/>
      </c>
      <c r="D373" s="12">
        <f>IFERROR(IF(SUMIFS(tblDaily[Deaths],tblDaily[EntryDate],DATE(2026,10,16),tblDaily[WardCode],"BH")=0,"",SUMIFS(tblDaily[Deaths],tblDaily[EntryDate],DATE(2026,10,16),tblDaily[WardCode],"BH")),"")</f>
        <v/>
      </c>
      <c r="E373" s="12">
        <f>IFERROR(IF(SUMIFS(tblDaily[DeathsUnder24Hrs],tblDaily[EntryDate],DATE(2026,10,16),tblDaily[WardCode],"BH")=0,"",SUMIFS(tblDaily[DeathsUnder24Hrs],tblDaily[EntryDate],DATE(2026,10,16),tblDaily[WardCode],"BH")),"")</f>
        <v/>
      </c>
      <c r="F373" s="12">
        <f>IFERROR(IF(SUMIFS(tblDaily[TransfersIn],tblDaily[EntryDate],DATE(2026,10,16),tblDaily[WardCode],"BH")=0,"",SUMIFS(tblDaily[TransfersIn],tblDaily[EntryDate],DATE(2026,10,16),tblDaily[WardCode],"BH")),"")</f>
        <v/>
      </c>
      <c r="G373" s="12">
        <f>IFERROR(IF(SUMIFS(tblDaily[TransfersOut],tblDaily[EntryDate],DATE(2026,10,16),tblDaily[WardCode],"BH")=0,"",SUMIFS(tblDaily[TransfersOut],tblDaily[EntryDate],DATE(2026,10,16),tblDaily[WardCode],"BH")),"")</f>
        <v/>
      </c>
      <c r="H373" s="12">
        <f>IFERROR(IF(SUMIFS(tblDaily[Remaining],tblDaily[EntryDate],DATE(2026,10,16),tblDaily[WardCode],"BH")=0,"",SUMIFS(tblDaily[Remaining],tblDaily[EntryDate],DATE(2026,10,16),tblDaily[WardCode],"BH")),"")</f>
        <v/>
      </c>
    </row>
    <row r="374">
      <c r="A374" s="12" t="n">
        <v>17</v>
      </c>
      <c r="B374" s="12">
        <f>IFERROR(IF(SUMIFS(tblDaily[Admissions],tblDaily[EntryDate],DATE(2026,10,17),tblDaily[WardCode],"BH")=0,"",SUMIFS(tblDaily[Admissions],tblDaily[EntryDate],DATE(2026,10,17),tblDaily[WardCode],"BH")),"")</f>
        <v/>
      </c>
      <c r="C374" s="12">
        <f>IFERROR(IF(SUMIFS(tblDaily[Discharges],tblDaily[EntryDate],DATE(2026,10,17),tblDaily[WardCode],"BH")=0,"",SUMIFS(tblDaily[Discharges],tblDaily[EntryDate],DATE(2026,10,17),tblDaily[WardCode],"BH")),"")</f>
        <v/>
      </c>
      <c r="D374" s="12">
        <f>IFERROR(IF(SUMIFS(tblDaily[Deaths],tblDaily[EntryDate],DATE(2026,10,17),tblDaily[WardCode],"BH")=0,"",SUMIFS(tblDaily[Deaths],tblDaily[EntryDate],DATE(2026,10,17),tblDaily[WardCode],"BH")),"")</f>
        <v/>
      </c>
      <c r="E374" s="12">
        <f>IFERROR(IF(SUMIFS(tblDaily[DeathsUnder24Hrs],tblDaily[EntryDate],DATE(2026,10,17),tblDaily[WardCode],"BH")=0,"",SUMIFS(tblDaily[DeathsUnder24Hrs],tblDaily[EntryDate],DATE(2026,10,17),tblDaily[WardCode],"BH")),"")</f>
        <v/>
      </c>
      <c r="F374" s="12">
        <f>IFERROR(IF(SUMIFS(tblDaily[TransfersIn],tblDaily[EntryDate],DATE(2026,10,17),tblDaily[WardCode],"BH")=0,"",SUMIFS(tblDaily[TransfersIn],tblDaily[EntryDate],DATE(2026,10,17),tblDaily[WardCode],"BH")),"")</f>
        <v/>
      </c>
      <c r="G374" s="12">
        <f>IFERROR(IF(SUMIFS(tblDaily[TransfersOut],tblDaily[EntryDate],DATE(2026,10,17),tblDaily[WardCode],"BH")=0,"",SUMIFS(tblDaily[TransfersOut],tblDaily[EntryDate],DATE(2026,10,17),tblDaily[WardCode],"BH")),"")</f>
        <v/>
      </c>
      <c r="H374" s="12">
        <f>IFERROR(IF(SUMIFS(tblDaily[Remaining],tblDaily[EntryDate],DATE(2026,10,17),tblDaily[WardCode],"BH")=0,"",SUMIFS(tblDaily[Remaining],tblDaily[EntryDate],DATE(2026,10,17),tblDaily[WardCode],"BH")),"")</f>
        <v/>
      </c>
    </row>
    <row r="375">
      <c r="A375" s="12" t="n">
        <v>18</v>
      </c>
      <c r="B375" s="12">
        <f>IFERROR(IF(SUMIFS(tblDaily[Admissions],tblDaily[EntryDate],DATE(2026,10,18),tblDaily[WardCode],"BH")=0,"",SUMIFS(tblDaily[Admissions],tblDaily[EntryDate],DATE(2026,10,18),tblDaily[WardCode],"BH")),"")</f>
        <v/>
      </c>
      <c r="C375" s="12">
        <f>IFERROR(IF(SUMIFS(tblDaily[Discharges],tblDaily[EntryDate],DATE(2026,10,18),tblDaily[WardCode],"BH")=0,"",SUMIFS(tblDaily[Discharges],tblDaily[EntryDate],DATE(2026,10,18),tblDaily[WardCode],"BH")),"")</f>
        <v/>
      </c>
      <c r="D375" s="12">
        <f>IFERROR(IF(SUMIFS(tblDaily[Deaths],tblDaily[EntryDate],DATE(2026,10,18),tblDaily[WardCode],"BH")=0,"",SUMIFS(tblDaily[Deaths],tblDaily[EntryDate],DATE(2026,10,18),tblDaily[WardCode],"BH")),"")</f>
        <v/>
      </c>
      <c r="E375" s="12">
        <f>IFERROR(IF(SUMIFS(tblDaily[DeathsUnder24Hrs],tblDaily[EntryDate],DATE(2026,10,18),tblDaily[WardCode],"BH")=0,"",SUMIFS(tblDaily[DeathsUnder24Hrs],tblDaily[EntryDate],DATE(2026,10,18),tblDaily[WardCode],"BH")),"")</f>
        <v/>
      </c>
      <c r="F375" s="12">
        <f>IFERROR(IF(SUMIFS(tblDaily[TransfersIn],tblDaily[EntryDate],DATE(2026,10,18),tblDaily[WardCode],"BH")=0,"",SUMIFS(tblDaily[TransfersIn],tblDaily[EntryDate],DATE(2026,10,18),tblDaily[WardCode],"BH")),"")</f>
        <v/>
      </c>
      <c r="G375" s="12">
        <f>IFERROR(IF(SUMIFS(tblDaily[TransfersOut],tblDaily[EntryDate],DATE(2026,10,18),tblDaily[WardCode],"BH")=0,"",SUMIFS(tblDaily[TransfersOut],tblDaily[EntryDate],DATE(2026,10,18),tblDaily[WardCode],"BH")),"")</f>
        <v/>
      </c>
      <c r="H375" s="12">
        <f>IFERROR(IF(SUMIFS(tblDaily[Remaining],tblDaily[EntryDate],DATE(2026,10,18),tblDaily[WardCode],"BH")=0,"",SUMIFS(tblDaily[Remaining],tblDaily[EntryDate],DATE(2026,10,18),tblDaily[WardCode],"BH")),"")</f>
        <v/>
      </c>
    </row>
    <row r="376">
      <c r="A376" s="12" t="n">
        <v>19</v>
      </c>
      <c r="B376" s="12">
        <f>IFERROR(IF(SUMIFS(tblDaily[Admissions],tblDaily[EntryDate],DATE(2026,10,19),tblDaily[WardCode],"BH")=0,"",SUMIFS(tblDaily[Admissions],tblDaily[EntryDate],DATE(2026,10,19),tblDaily[WardCode],"BH")),"")</f>
        <v/>
      </c>
      <c r="C376" s="12">
        <f>IFERROR(IF(SUMIFS(tblDaily[Discharges],tblDaily[EntryDate],DATE(2026,10,19),tblDaily[WardCode],"BH")=0,"",SUMIFS(tblDaily[Discharges],tblDaily[EntryDate],DATE(2026,10,19),tblDaily[WardCode],"BH")),"")</f>
        <v/>
      </c>
      <c r="D376" s="12">
        <f>IFERROR(IF(SUMIFS(tblDaily[Deaths],tblDaily[EntryDate],DATE(2026,10,19),tblDaily[WardCode],"BH")=0,"",SUMIFS(tblDaily[Deaths],tblDaily[EntryDate],DATE(2026,10,19),tblDaily[WardCode],"BH")),"")</f>
        <v/>
      </c>
      <c r="E376" s="12">
        <f>IFERROR(IF(SUMIFS(tblDaily[DeathsUnder24Hrs],tblDaily[EntryDate],DATE(2026,10,19),tblDaily[WardCode],"BH")=0,"",SUMIFS(tblDaily[DeathsUnder24Hrs],tblDaily[EntryDate],DATE(2026,10,19),tblDaily[WardCode],"BH")),"")</f>
        <v/>
      </c>
      <c r="F376" s="12">
        <f>IFERROR(IF(SUMIFS(tblDaily[TransfersIn],tblDaily[EntryDate],DATE(2026,10,19),tblDaily[WardCode],"BH")=0,"",SUMIFS(tblDaily[TransfersIn],tblDaily[EntryDate],DATE(2026,10,19),tblDaily[WardCode],"BH")),"")</f>
        <v/>
      </c>
      <c r="G376" s="12">
        <f>IFERROR(IF(SUMIFS(tblDaily[TransfersOut],tblDaily[EntryDate],DATE(2026,10,19),tblDaily[WardCode],"BH")=0,"",SUMIFS(tblDaily[TransfersOut],tblDaily[EntryDate],DATE(2026,10,19),tblDaily[WardCode],"BH")),"")</f>
        <v/>
      </c>
      <c r="H376" s="12">
        <f>IFERROR(IF(SUMIFS(tblDaily[Remaining],tblDaily[EntryDate],DATE(2026,10,19),tblDaily[WardCode],"BH")=0,"",SUMIFS(tblDaily[Remaining],tblDaily[EntryDate],DATE(2026,10,19),tblDaily[WardCode],"BH")),"")</f>
        <v/>
      </c>
    </row>
    <row r="377">
      <c r="A377" s="12" t="n">
        <v>20</v>
      </c>
      <c r="B377" s="12">
        <f>IFERROR(IF(SUMIFS(tblDaily[Admissions],tblDaily[EntryDate],DATE(2026,10,20),tblDaily[WardCode],"BH")=0,"",SUMIFS(tblDaily[Admissions],tblDaily[EntryDate],DATE(2026,10,20),tblDaily[WardCode],"BH")),"")</f>
        <v/>
      </c>
      <c r="C377" s="12">
        <f>IFERROR(IF(SUMIFS(tblDaily[Discharges],tblDaily[EntryDate],DATE(2026,10,20),tblDaily[WardCode],"BH")=0,"",SUMIFS(tblDaily[Discharges],tblDaily[EntryDate],DATE(2026,10,20),tblDaily[WardCode],"BH")),"")</f>
        <v/>
      </c>
      <c r="D377" s="12">
        <f>IFERROR(IF(SUMIFS(tblDaily[Deaths],tblDaily[EntryDate],DATE(2026,10,20),tblDaily[WardCode],"BH")=0,"",SUMIFS(tblDaily[Deaths],tblDaily[EntryDate],DATE(2026,10,20),tblDaily[WardCode],"BH")),"")</f>
        <v/>
      </c>
      <c r="E377" s="12">
        <f>IFERROR(IF(SUMIFS(tblDaily[DeathsUnder24Hrs],tblDaily[EntryDate],DATE(2026,10,20),tblDaily[WardCode],"BH")=0,"",SUMIFS(tblDaily[DeathsUnder24Hrs],tblDaily[EntryDate],DATE(2026,10,20),tblDaily[WardCode],"BH")),"")</f>
        <v/>
      </c>
      <c r="F377" s="12">
        <f>IFERROR(IF(SUMIFS(tblDaily[TransfersIn],tblDaily[EntryDate],DATE(2026,10,20),tblDaily[WardCode],"BH")=0,"",SUMIFS(tblDaily[TransfersIn],tblDaily[EntryDate],DATE(2026,10,20),tblDaily[WardCode],"BH")),"")</f>
        <v/>
      </c>
      <c r="G377" s="12">
        <f>IFERROR(IF(SUMIFS(tblDaily[TransfersOut],tblDaily[EntryDate],DATE(2026,10,20),tblDaily[WardCode],"BH")=0,"",SUMIFS(tblDaily[TransfersOut],tblDaily[EntryDate],DATE(2026,10,20),tblDaily[WardCode],"BH")),"")</f>
        <v/>
      </c>
      <c r="H377" s="12">
        <f>IFERROR(IF(SUMIFS(tblDaily[Remaining],tblDaily[EntryDate],DATE(2026,10,20),tblDaily[WardCode],"BH")=0,"",SUMIFS(tblDaily[Remaining],tblDaily[EntryDate],DATE(2026,10,20),tblDaily[WardCode],"BH")),"")</f>
        <v/>
      </c>
    </row>
    <row r="378">
      <c r="A378" s="12" t="n">
        <v>21</v>
      </c>
      <c r="B378" s="12">
        <f>IFERROR(IF(SUMIFS(tblDaily[Admissions],tblDaily[EntryDate],DATE(2026,10,21),tblDaily[WardCode],"BH")=0,"",SUMIFS(tblDaily[Admissions],tblDaily[EntryDate],DATE(2026,10,21),tblDaily[WardCode],"BH")),"")</f>
        <v/>
      </c>
      <c r="C378" s="12">
        <f>IFERROR(IF(SUMIFS(tblDaily[Discharges],tblDaily[EntryDate],DATE(2026,10,21),tblDaily[WardCode],"BH")=0,"",SUMIFS(tblDaily[Discharges],tblDaily[EntryDate],DATE(2026,10,21),tblDaily[WardCode],"BH")),"")</f>
        <v/>
      </c>
      <c r="D378" s="12">
        <f>IFERROR(IF(SUMIFS(tblDaily[Deaths],tblDaily[EntryDate],DATE(2026,10,21),tblDaily[WardCode],"BH")=0,"",SUMIFS(tblDaily[Deaths],tblDaily[EntryDate],DATE(2026,10,21),tblDaily[WardCode],"BH")),"")</f>
        <v/>
      </c>
      <c r="E378" s="12">
        <f>IFERROR(IF(SUMIFS(tblDaily[DeathsUnder24Hrs],tblDaily[EntryDate],DATE(2026,10,21),tblDaily[WardCode],"BH")=0,"",SUMIFS(tblDaily[DeathsUnder24Hrs],tblDaily[EntryDate],DATE(2026,10,21),tblDaily[WardCode],"BH")),"")</f>
        <v/>
      </c>
      <c r="F378" s="12">
        <f>IFERROR(IF(SUMIFS(tblDaily[TransfersIn],tblDaily[EntryDate],DATE(2026,10,21),tblDaily[WardCode],"BH")=0,"",SUMIFS(tblDaily[TransfersIn],tblDaily[EntryDate],DATE(2026,10,21),tblDaily[WardCode],"BH")),"")</f>
        <v/>
      </c>
      <c r="G378" s="12">
        <f>IFERROR(IF(SUMIFS(tblDaily[TransfersOut],tblDaily[EntryDate],DATE(2026,10,21),tblDaily[WardCode],"BH")=0,"",SUMIFS(tblDaily[TransfersOut],tblDaily[EntryDate],DATE(2026,10,21),tblDaily[WardCode],"BH")),"")</f>
        <v/>
      </c>
      <c r="H378" s="12">
        <f>IFERROR(IF(SUMIFS(tblDaily[Remaining],tblDaily[EntryDate],DATE(2026,10,21),tblDaily[WardCode],"BH")=0,"",SUMIFS(tblDaily[Remaining],tblDaily[EntryDate],DATE(2026,10,21),tblDaily[WardCode],"BH")),"")</f>
        <v/>
      </c>
    </row>
    <row r="379">
      <c r="A379" s="12" t="n">
        <v>22</v>
      </c>
      <c r="B379" s="12">
        <f>IFERROR(IF(SUMIFS(tblDaily[Admissions],tblDaily[EntryDate],DATE(2026,10,22),tblDaily[WardCode],"BH")=0,"",SUMIFS(tblDaily[Admissions],tblDaily[EntryDate],DATE(2026,10,22),tblDaily[WardCode],"BH")),"")</f>
        <v/>
      </c>
      <c r="C379" s="12">
        <f>IFERROR(IF(SUMIFS(tblDaily[Discharges],tblDaily[EntryDate],DATE(2026,10,22),tblDaily[WardCode],"BH")=0,"",SUMIFS(tblDaily[Discharges],tblDaily[EntryDate],DATE(2026,10,22),tblDaily[WardCode],"BH")),"")</f>
        <v/>
      </c>
      <c r="D379" s="12">
        <f>IFERROR(IF(SUMIFS(tblDaily[Deaths],tblDaily[EntryDate],DATE(2026,10,22),tblDaily[WardCode],"BH")=0,"",SUMIFS(tblDaily[Deaths],tblDaily[EntryDate],DATE(2026,10,22),tblDaily[WardCode],"BH")),"")</f>
        <v/>
      </c>
      <c r="E379" s="12">
        <f>IFERROR(IF(SUMIFS(tblDaily[DeathsUnder24Hrs],tblDaily[EntryDate],DATE(2026,10,22),tblDaily[WardCode],"BH")=0,"",SUMIFS(tblDaily[DeathsUnder24Hrs],tblDaily[EntryDate],DATE(2026,10,22),tblDaily[WardCode],"BH")),"")</f>
        <v/>
      </c>
      <c r="F379" s="12">
        <f>IFERROR(IF(SUMIFS(tblDaily[TransfersIn],tblDaily[EntryDate],DATE(2026,10,22),tblDaily[WardCode],"BH")=0,"",SUMIFS(tblDaily[TransfersIn],tblDaily[EntryDate],DATE(2026,10,22),tblDaily[WardCode],"BH")),"")</f>
        <v/>
      </c>
      <c r="G379" s="12">
        <f>IFERROR(IF(SUMIFS(tblDaily[TransfersOut],tblDaily[EntryDate],DATE(2026,10,22),tblDaily[WardCode],"BH")=0,"",SUMIFS(tblDaily[TransfersOut],tblDaily[EntryDate],DATE(2026,10,22),tblDaily[WardCode],"BH")),"")</f>
        <v/>
      </c>
      <c r="H379" s="12">
        <f>IFERROR(IF(SUMIFS(tblDaily[Remaining],tblDaily[EntryDate],DATE(2026,10,22),tblDaily[WardCode],"BH")=0,"",SUMIFS(tblDaily[Remaining],tblDaily[EntryDate],DATE(2026,10,22),tblDaily[WardCode],"BH")),"")</f>
        <v/>
      </c>
    </row>
    <row r="380">
      <c r="A380" s="12" t="n">
        <v>23</v>
      </c>
      <c r="B380" s="12">
        <f>IFERROR(IF(SUMIFS(tblDaily[Admissions],tblDaily[EntryDate],DATE(2026,10,23),tblDaily[WardCode],"BH")=0,"",SUMIFS(tblDaily[Admissions],tblDaily[EntryDate],DATE(2026,10,23),tblDaily[WardCode],"BH")),"")</f>
        <v/>
      </c>
      <c r="C380" s="12">
        <f>IFERROR(IF(SUMIFS(tblDaily[Discharges],tblDaily[EntryDate],DATE(2026,10,23),tblDaily[WardCode],"BH")=0,"",SUMIFS(tblDaily[Discharges],tblDaily[EntryDate],DATE(2026,10,23),tblDaily[WardCode],"BH")),"")</f>
        <v/>
      </c>
      <c r="D380" s="12">
        <f>IFERROR(IF(SUMIFS(tblDaily[Deaths],tblDaily[EntryDate],DATE(2026,10,23),tblDaily[WardCode],"BH")=0,"",SUMIFS(tblDaily[Deaths],tblDaily[EntryDate],DATE(2026,10,23),tblDaily[WardCode],"BH")),"")</f>
        <v/>
      </c>
      <c r="E380" s="12">
        <f>IFERROR(IF(SUMIFS(tblDaily[DeathsUnder24Hrs],tblDaily[EntryDate],DATE(2026,10,23),tblDaily[WardCode],"BH")=0,"",SUMIFS(tblDaily[DeathsUnder24Hrs],tblDaily[EntryDate],DATE(2026,10,23),tblDaily[WardCode],"BH")),"")</f>
        <v/>
      </c>
      <c r="F380" s="12">
        <f>IFERROR(IF(SUMIFS(tblDaily[TransfersIn],tblDaily[EntryDate],DATE(2026,10,23),tblDaily[WardCode],"BH")=0,"",SUMIFS(tblDaily[TransfersIn],tblDaily[EntryDate],DATE(2026,10,23),tblDaily[WardCode],"BH")),"")</f>
        <v/>
      </c>
      <c r="G380" s="12">
        <f>IFERROR(IF(SUMIFS(tblDaily[TransfersOut],tblDaily[EntryDate],DATE(2026,10,23),tblDaily[WardCode],"BH")=0,"",SUMIFS(tblDaily[TransfersOut],tblDaily[EntryDate],DATE(2026,10,23),tblDaily[WardCode],"BH")),"")</f>
        <v/>
      </c>
      <c r="H380" s="12">
        <f>IFERROR(IF(SUMIFS(tblDaily[Remaining],tblDaily[EntryDate],DATE(2026,10,23),tblDaily[WardCode],"BH")=0,"",SUMIFS(tblDaily[Remaining],tblDaily[EntryDate],DATE(2026,10,23),tblDaily[WardCode],"BH")),"")</f>
        <v/>
      </c>
    </row>
    <row r="381">
      <c r="A381" s="12" t="n">
        <v>24</v>
      </c>
      <c r="B381" s="12">
        <f>IFERROR(IF(SUMIFS(tblDaily[Admissions],tblDaily[EntryDate],DATE(2026,10,24),tblDaily[WardCode],"BH")=0,"",SUMIFS(tblDaily[Admissions],tblDaily[EntryDate],DATE(2026,10,24),tblDaily[WardCode],"BH")),"")</f>
        <v/>
      </c>
      <c r="C381" s="12">
        <f>IFERROR(IF(SUMIFS(tblDaily[Discharges],tblDaily[EntryDate],DATE(2026,10,24),tblDaily[WardCode],"BH")=0,"",SUMIFS(tblDaily[Discharges],tblDaily[EntryDate],DATE(2026,10,24),tblDaily[WardCode],"BH")),"")</f>
        <v/>
      </c>
      <c r="D381" s="12">
        <f>IFERROR(IF(SUMIFS(tblDaily[Deaths],tblDaily[EntryDate],DATE(2026,10,24),tblDaily[WardCode],"BH")=0,"",SUMIFS(tblDaily[Deaths],tblDaily[EntryDate],DATE(2026,10,24),tblDaily[WardCode],"BH")),"")</f>
        <v/>
      </c>
      <c r="E381" s="12">
        <f>IFERROR(IF(SUMIFS(tblDaily[DeathsUnder24Hrs],tblDaily[EntryDate],DATE(2026,10,24),tblDaily[WardCode],"BH")=0,"",SUMIFS(tblDaily[DeathsUnder24Hrs],tblDaily[EntryDate],DATE(2026,10,24),tblDaily[WardCode],"BH")),"")</f>
        <v/>
      </c>
      <c r="F381" s="12">
        <f>IFERROR(IF(SUMIFS(tblDaily[TransfersIn],tblDaily[EntryDate],DATE(2026,10,24),tblDaily[WardCode],"BH")=0,"",SUMIFS(tblDaily[TransfersIn],tblDaily[EntryDate],DATE(2026,10,24),tblDaily[WardCode],"BH")),"")</f>
        <v/>
      </c>
      <c r="G381" s="12">
        <f>IFERROR(IF(SUMIFS(tblDaily[TransfersOut],tblDaily[EntryDate],DATE(2026,10,24),tblDaily[WardCode],"BH")=0,"",SUMIFS(tblDaily[TransfersOut],tblDaily[EntryDate],DATE(2026,10,24),tblDaily[WardCode],"BH")),"")</f>
        <v/>
      </c>
      <c r="H381" s="12">
        <f>IFERROR(IF(SUMIFS(tblDaily[Remaining],tblDaily[EntryDate],DATE(2026,10,24),tblDaily[WardCode],"BH")=0,"",SUMIFS(tblDaily[Remaining],tblDaily[EntryDate],DATE(2026,10,24),tblDaily[WardCode],"BH")),"")</f>
        <v/>
      </c>
    </row>
    <row r="382">
      <c r="A382" s="12" t="n">
        <v>25</v>
      </c>
      <c r="B382" s="12">
        <f>IFERROR(IF(SUMIFS(tblDaily[Admissions],tblDaily[EntryDate],DATE(2026,10,25),tblDaily[WardCode],"BH")=0,"",SUMIFS(tblDaily[Admissions],tblDaily[EntryDate],DATE(2026,10,25),tblDaily[WardCode],"BH")),"")</f>
        <v/>
      </c>
      <c r="C382" s="12">
        <f>IFERROR(IF(SUMIFS(tblDaily[Discharges],tblDaily[EntryDate],DATE(2026,10,25),tblDaily[WardCode],"BH")=0,"",SUMIFS(tblDaily[Discharges],tblDaily[EntryDate],DATE(2026,10,25),tblDaily[WardCode],"BH")),"")</f>
        <v/>
      </c>
      <c r="D382" s="12">
        <f>IFERROR(IF(SUMIFS(tblDaily[Deaths],tblDaily[EntryDate],DATE(2026,10,25),tblDaily[WardCode],"BH")=0,"",SUMIFS(tblDaily[Deaths],tblDaily[EntryDate],DATE(2026,10,25),tblDaily[WardCode],"BH")),"")</f>
        <v/>
      </c>
      <c r="E382" s="12">
        <f>IFERROR(IF(SUMIFS(tblDaily[DeathsUnder24Hrs],tblDaily[EntryDate],DATE(2026,10,25),tblDaily[WardCode],"BH")=0,"",SUMIFS(tblDaily[DeathsUnder24Hrs],tblDaily[EntryDate],DATE(2026,10,25),tblDaily[WardCode],"BH")),"")</f>
        <v/>
      </c>
      <c r="F382" s="12">
        <f>IFERROR(IF(SUMIFS(tblDaily[TransfersIn],tblDaily[EntryDate],DATE(2026,10,25),tblDaily[WardCode],"BH")=0,"",SUMIFS(tblDaily[TransfersIn],tblDaily[EntryDate],DATE(2026,10,25),tblDaily[WardCode],"BH")),"")</f>
        <v/>
      </c>
      <c r="G382" s="12">
        <f>IFERROR(IF(SUMIFS(tblDaily[TransfersOut],tblDaily[EntryDate],DATE(2026,10,25),tblDaily[WardCode],"BH")=0,"",SUMIFS(tblDaily[TransfersOut],tblDaily[EntryDate],DATE(2026,10,25),tblDaily[WardCode],"BH")),"")</f>
        <v/>
      </c>
      <c r="H382" s="12">
        <f>IFERROR(IF(SUMIFS(tblDaily[Remaining],tblDaily[EntryDate],DATE(2026,10,25),tblDaily[WardCode],"BH")=0,"",SUMIFS(tblDaily[Remaining],tblDaily[EntryDate],DATE(2026,10,25),tblDaily[WardCode],"BH")),"")</f>
        <v/>
      </c>
    </row>
    <row r="383">
      <c r="A383" s="12" t="n">
        <v>26</v>
      </c>
      <c r="B383" s="12">
        <f>IFERROR(IF(SUMIFS(tblDaily[Admissions],tblDaily[EntryDate],DATE(2026,10,26),tblDaily[WardCode],"BH")=0,"",SUMIFS(tblDaily[Admissions],tblDaily[EntryDate],DATE(2026,10,26),tblDaily[WardCode],"BH")),"")</f>
        <v/>
      </c>
      <c r="C383" s="12">
        <f>IFERROR(IF(SUMIFS(tblDaily[Discharges],tblDaily[EntryDate],DATE(2026,10,26),tblDaily[WardCode],"BH")=0,"",SUMIFS(tblDaily[Discharges],tblDaily[EntryDate],DATE(2026,10,26),tblDaily[WardCode],"BH")),"")</f>
        <v/>
      </c>
      <c r="D383" s="12">
        <f>IFERROR(IF(SUMIFS(tblDaily[Deaths],tblDaily[EntryDate],DATE(2026,10,26),tblDaily[WardCode],"BH")=0,"",SUMIFS(tblDaily[Deaths],tblDaily[EntryDate],DATE(2026,10,26),tblDaily[WardCode],"BH")),"")</f>
        <v/>
      </c>
      <c r="E383" s="12">
        <f>IFERROR(IF(SUMIFS(tblDaily[DeathsUnder24Hrs],tblDaily[EntryDate],DATE(2026,10,26),tblDaily[WardCode],"BH")=0,"",SUMIFS(tblDaily[DeathsUnder24Hrs],tblDaily[EntryDate],DATE(2026,10,26),tblDaily[WardCode],"BH")),"")</f>
        <v/>
      </c>
      <c r="F383" s="12">
        <f>IFERROR(IF(SUMIFS(tblDaily[TransfersIn],tblDaily[EntryDate],DATE(2026,10,26),tblDaily[WardCode],"BH")=0,"",SUMIFS(tblDaily[TransfersIn],tblDaily[EntryDate],DATE(2026,10,26),tblDaily[WardCode],"BH")),"")</f>
        <v/>
      </c>
      <c r="G383" s="12">
        <f>IFERROR(IF(SUMIFS(tblDaily[TransfersOut],tblDaily[EntryDate],DATE(2026,10,26),tblDaily[WardCode],"BH")=0,"",SUMIFS(tblDaily[TransfersOut],tblDaily[EntryDate],DATE(2026,10,26),tblDaily[WardCode],"BH")),"")</f>
        <v/>
      </c>
      <c r="H383" s="12">
        <f>IFERROR(IF(SUMIFS(tblDaily[Remaining],tblDaily[EntryDate],DATE(2026,10,26),tblDaily[WardCode],"BH")=0,"",SUMIFS(tblDaily[Remaining],tblDaily[EntryDate],DATE(2026,10,26),tblDaily[WardCode],"BH")),"")</f>
        <v/>
      </c>
    </row>
    <row r="384">
      <c r="A384" s="12" t="n">
        <v>27</v>
      </c>
      <c r="B384" s="12">
        <f>IFERROR(IF(SUMIFS(tblDaily[Admissions],tblDaily[EntryDate],DATE(2026,10,27),tblDaily[WardCode],"BH")=0,"",SUMIFS(tblDaily[Admissions],tblDaily[EntryDate],DATE(2026,10,27),tblDaily[WardCode],"BH")),"")</f>
        <v/>
      </c>
      <c r="C384" s="12">
        <f>IFERROR(IF(SUMIFS(tblDaily[Discharges],tblDaily[EntryDate],DATE(2026,10,27),tblDaily[WardCode],"BH")=0,"",SUMIFS(tblDaily[Discharges],tblDaily[EntryDate],DATE(2026,10,27),tblDaily[WardCode],"BH")),"")</f>
        <v/>
      </c>
      <c r="D384" s="12">
        <f>IFERROR(IF(SUMIFS(tblDaily[Deaths],tblDaily[EntryDate],DATE(2026,10,27),tblDaily[WardCode],"BH")=0,"",SUMIFS(tblDaily[Deaths],tblDaily[EntryDate],DATE(2026,10,27),tblDaily[WardCode],"BH")),"")</f>
        <v/>
      </c>
      <c r="E384" s="12">
        <f>IFERROR(IF(SUMIFS(tblDaily[DeathsUnder24Hrs],tblDaily[EntryDate],DATE(2026,10,27),tblDaily[WardCode],"BH")=0,"",SUMIFS(tblDaily[DeathsUnder24Hrs],tblDaily[EntryDate],DATE(2026,10,27),tblDaily[WardCode],"BH")),"")</f>
        <v/>
      </c>
      <c r="F384" s="12">
        <f>IFERROR(IF(SUMIFS(tblDaily[TransfersIn],tblDaily[EntryDate],DATE(2026,10,27),tblDaily[WardCode],"BH")=0,"",SUMIFS(tblDaily[TransfersIn],tblDaily[EntryDate],DATE(2026,10,27),tblDaily[WardCode],"BH")),"")</f>
        <v/>
      </c>
      <c r="G384" s="12">
        <f>IFERROR(IF(SUMIFS(tblDaily[TransfersOut],tblDaily[EntryDate],DATE(2026,10,27),tblDaily[WardCode],"BH")=0,"",SUMIFS(tblDaily[TransfersOut],tblDaily[EntryDate],DATE(2026,10,27),tblDaily[WardCode],"BH")),"")</f>
        <v/>
      </c>
      <c r="H384" s="12">
        <f>IFERROR(IF(SUMIFS(tblDaily[Remaining],tblDaily[EntryDate],DATE(2026,10,27),tblDaily[WardCode],"BH")=0,"",SUMIFS(tblDaily[Remaining],tblDaily[EntryDate],DATE(2026,10,27),tblDaily[WardCode],"BH")),"")</f>
        <v/>
      </c>
    </row>
    <row r="385">
      <c r="A385" s="12" t="n">
        <v>28</v>
      </c>
      <c r="B385" s="12">
        <f>IFERROR(IF(SUMIFS(tblDaily[Admissions],tblDaily[EntryDate],DATE(2026,10,28),tblDaily[WardCode],"BH")=0,"",SUMIFS(tblDaily[Admissions],tblDaily[EntryDate],DATE(2026,10,28),tblDaily[WardCode],"BH")),"")</f>
        <v/>
      </c>
      <c r="C385" s="12">
        <f>IFERROR(IF(SUMIFS(tblDaily[Discharges],tblDaily[EntryDate],DATE(2026,10,28),tblDaily[WardCode],"BH")=0,"",SUMIFS(tblDaily[Discharges],tblDaily[EntryDate],DATE(2026,10,28),tblDaily[WardCode],"BH")),"")</f>
        <v/>
      </c>
      <c r="D385" s="12">
        <f>IFERROR(IF(SUMIFS(tblDaily[Deaths],tblDaily[EntryDate],DATE(2026,10,28),tblDaily[WardCode],"BH")=0,"",SUMIFS(tblDaily[Deaths],tblDaily[EntryDate],DATE(2026,10,28),tblDaily[WardCode],"BH")),"")</f>
        <v/>
      </c>
      <c r="E385" s="12">
        <f>IFERROR(IF(SUMIFS(tblDaily[DeathsUnder24Hrs],tblDaily[EntryDate],DATE(2026,10,28),tblDaily[WardCode],"BH")=0,"",SUMIFS(tblDaily[DeathsUnder24Hrs],tblDaily[EntryDate],DATE(2026,10,28),tblDaily[WardCode],"BH")),"")</f>
        <v/>
      </c>
      <c r="F385" s="12">
        <f>IFERROR(IF(SUMIFS(tblDaily[TransfersIn],tblDaily[EntryDate],DATE(2026,10,28),tblDaily[WardCode],"BH")=0,"",SUMIFS(tblDaily[TransfersIn],tblDaily[EntryDate],DATE(2026,10,28),tblDaily[WardCode],"BH")),"")</f>
        <v/>
      </c>
      <c r="G385" s="12">
        <f>IFERROR(IF(SUMIFS(tblDaily[TransfersOut],tblDaily[EntryDate],DATE(2026,10,28),tblDaily[WardCode],"BH")=0,"",SUMIFS(tblDaily[TransfersOut],tblDaily[EntryDate],DATE(2026,10,28),tblDaily[WardCode],"BH")),"")</f>
        <v/>
      </c>
      <c r="H385" s="12">
        <f>IFERROR(IF(SUMIFS(tblDaily[Remaining],tblDaily[EntryDate],DATE(2026,10,28),tblDaily[WardCode],"BH")=0,"",SUMIFS(tblDaily[Remaining],tblDaily[EntryDate],DATE(2026,10,28),tblDaily[WardCode],"BH")),"")</f>
        <v/>
      </c>
    </row>
    <row r="386">
      <c r="A386" s="12" t="n">
        <v>29</v>
      </c>
      <c r="B386" s="12">
        <f>IFERROR(IF(SUMIFS(tblDaily[Admissions],tblDaily[EntryDate],DATE(2026,10,29),tblDaily[WardCode],"BH")=0,"",SUMIFS(tblDaily[Admissions],tblDaily[EntryDate],DATE(2026,10,29),tblDaily[WardCode],"BH")),"")</f>
        <v/>
      </c>
      <c r="C386" s="12">
        <f>IFERROR(IF(SUMIFS(tblDaily[Discharges],tblDaily[EntryDate],DATE(2026,10,29),tblDaily[WardCode],"BH")=0,"",SUMIFS(tblDaily[Discharges],tblDaily[EntryDate],DATE(2026,10,29),tblDaily[WardCode],"BH")),"")</f>
        <v/>
      </c>
      <c r="D386" s="12">
        <f>IFERROR(IF(SUMIFS(tblDaily[Deaths],tblDaily[EntryDate],DATE(2026,10,29),tblDaily[WardCode],"BH")=0,"",SUMIFS(tblDaily[Deaths],tblDaily[EntryDate],DATE(2026,10,29),tblDaily[WardCode],"BH")),"")</f>
        <v/>
      </c>
      <c r="E386" s="12">
        <f>IFERROR(IF(SUMIFS(tblDaily[DeathsUnder24Hrs],tblDaily[EntryDate],DATE(2026,10,29),tblDaily[WardCode],"BH")=0,"",SUMIFS(tblDaily[DeathsUnder24Hrs],tblDaily[EntryDate],DATE(2026,10,29),tblDaily[WardCode],"BH")),"")</f>
        <v/>
      </c>
      <c r="F386" s="12">
        <f>IFERROR(IF(SUMIFS(tblDaily[TransfersIn],tblDaily[EntryDate],DATE(2026,10,29),tblDaily[WardCode],"BH")=0,"",SUMIFS(tblDaily[TransfersIn],tblDaily[EntryDate],DATE(2026,10,29),tblDaily[WardCode],"BH")),"")</f>
        <v/>
      </c>
      <c r="G386" s="12">
        <f>IFERROR(IF(SUMIFS(tblDaily[TransfersOut],tblDaily[EntryDate],DATE(2026,10,29),tblDaily[WardCode],"BH")=0,"",SUMIFS(tblDaily[TransfersOut],tblDaily[EntryDate],DATE(2026,10,29),tblDaily[WardCode],"BH")),"")</f>
        <v/>
      </c>
      <c r="H386" s="12">
        <f>IFERROR(IF(SUMIFS(tblDaily[Remaining],tblDaily[EntryDate],DATE(2026,10,29),tblDaily[WardCode],"BH")=0,"",SUMIFS(tblDaily[Remaining],tblDaily[EntryDate],DATE(2026,10,29),tblDaily[WardCode],"BH")),"")</f>
        <v/>
      </c>
    </row>
    <row r="387">
      <c r="A387" s="12" t="n">
        <v>30</v>
      </c>
      <c r="B387" s="12">
        <f>IFERROR(IF(SUMIFS(tblDaily[Admissions],tblDaily[EntryDate],DATE(2026,10,30),tblDaily[WardCode],"BH")=0,"",SUMIFS(tblDaily[Admissions],tblDaily[EntryDate],DATE(2026,10,30),tblDaily[WardCode],"BH")),"")</f>
        <v/>
      </c>
      <c r="C387" s="12">
        <f>IFERROR(IF(SUMIFS(tblDaily[Discharges],tblDaily[EntryDate],DATE(2026,10,30),tblDaily[WardCode],"BH")=0,"",SUMIFS(tblDaily[Discharges],tblDaily[EntryDate],DATE(2026,10,30),tblDaily[WardCode],"BH")),"")</f>
        <v/>
      </c>
      <c r="D387" s="12">
        <f>IFERROR(IF(SUMIFS(tblDaily[Deaths],tblDaily[EntryDate],DATE(2026,10,30),tblDaily[WardCode],"BH")=0,"",SUMIFS(tblDaily[Deaths],tblDaily[EntryDate],DATE(2026,10,30),tblDaily[WardCode],"BH")),"")</f>
        <v/>
      </c>
      <c r="E387" s="12">
        <f>IFERROR(IF(SUMIFS(tblDaily[DeathsUnder24Hrs],tblDaily[EntryDate],DATE(2026,10,30),tblDaily[WardCode],"BH")=0,"",SUMIFS(tblDaily[DeathsUnder24Hrs],tblDaily[EntryDate],DATE(2026,10,30),tblDaily[WardCode],"BH")),"")</f>
        <v/>
      </c>
      <c r="F387" s="12">
        <f>IFERROR(IF(SUMIFS(tblDaily[TransfersIn],tblDaily[EntryDate],DATE(2026,10,30),tblDaily[WardCode],"BH")=0,"",SUMIFS(tblDaily[TransfersIn],tblDaily[EntryDate],DATE(2026,10,30),tblDaily[WardCode],"BH")),"")</f>
        <v/>
      </c>
      <c r="G387" s="12">
        <f>IFERROR(IF(SUMIFS(tblDaily[TransfersOut],tblDaily[EntryDate],DATE(2026,10,30),tblDaily[WardCode],"BH")=0,"",SUMIFS(tblDaily[TransfersOut],tblDaily[EntryDate],DATE(2026,10,30),tblDaily[WardCode],"BH")),"")</f>
        <v/>
      </c>
      <c r="H387" s="12">
        <f>IFERROR(IF(SUMIFS(tblDaily[Remaining],tblDaily[EntryDate],DATE(2026,10,30),tblDaily[WardCode],"BH")=0,"",SUMIFS(tblDaily[Remaining],tblDaily[EntryDate],DATE(2026,10,30),tblDaily[WardCode],"BH")),"")</f>
        <v/>
      </c>
    </row>
    <row r="388">
      <c r="A388" s="12" t="n">
        <v>31</v>
      </c>
      <c r="B388" s="12">
        <f>IFERROR(IF(SUMIFS(tblDaily[Admissions],tblDaily[EntryDate],DATE(2026,10,31),tblDaily[WardCode],"BH")=0,"",SUMIFS(tblDaily[Admissions],tblDaily[EntryDate],DATE(2026,10,31),tblDaily[WardCode],"BH")),"")</f>
        <v/>
      </c>
      <c r="C388" s="12">
        <f>IFERROR(IF(SUMIFS(tblDaily[Discharges],tblDaily[EntryDate],DATE(2026,10,31),tblDaily[WardCode],"BH")=0,"",SUMIFS(tblDaily[Discharges],tblDaily[EntryDate],DATE(2026,10,31),tblDaily[WardCode],"BH")),"")</f>
        <v/>
      </c>
      <c r="D388" s="12">
        <f>IFERROR(IF(SUMIFS(tblDaily[Deaths],tblDaily[EntryDate],DATE(2026,10,31),tblDaily[WardCode],"BH")=0,"",SUMIFS(tblDaily[Deaths],tblDaily[EntryDate],DATE(2026,10,31),tblDaily[WardCode],"BH")),"")</f>
        <v/>
      </c>
      <c r="E388" s="12">
        <f>IFERROR(IF(SUMIFS(tblDaily[DeathsUnder24Hrs],tblDaily[EntryDate],DATE(2026,10,31),tblDaily[WardCode],"BH")=0,"",SUMIFS(tblDaily[DeathsUnder24Hrs],tblDaily[EntryDate],DATE(2026,10,31),tblDaily[WardCode],"BH")),"")</f>
        <v/>
      </c>
      <c r="F388" s="12">
        <f>IFERROR(IF(SUMIFS(tblDaily[TransfersIn],tblDaily[EntryDate],DATE(2026,10,31),tblDaily[WardCode],"BH")=0,"",SUMIFS(tblDaily[TransfersIn],tblDaily[EntryDate],DATE(2026,10,31),tblDaily[WardCode],"BH")),"")</f>
        <v/>
      </c>
      <c r="G388" s="12">
        <f>IFERROR(IF(SUMIFS(tblDaily[TransfersOut],tblDaily[EntryDate],DATE(2026,10,31),tblDaily[WardCode],"BH")=0,"",SUMIFS(tblDaily[TransfersOut],tblDaily[EntryDate],DATE(2026,10,31),tblDaily[WardCode],"BH")),"")</f>
        <v/>
      </c>
      <c r="H388" s="12">
        <f>IFERROR(IF(SUMIFS(tblDaily[Remaining],tblDaily[EntryDate],DATE(2026,10,31),tblDaily[WardCode],"BH")=0,"",SUMIFS(tblDaily[Remaining],tblDaily[EntryDate],DATE(2026,10,31),tblDaily[WardCode],"BH")),"")</f>
        <v/>
      </c>
    </row>
    <row r="389">
      <c r="A389" s="17" t="inlineStr">
        <is>
          <t>TOTAL</t>
        </is>
      </c>
      <c r="B389" s="17">
        <f>SUMIFS(tblDaily[Admissions],tblDaily[Month],10,tblDaily[WardCode],"BH") - SUMIFS(tblDaily[DeathsUnder24Hrs],tblDaily[Month],10,tblDaily[WardCode],"BH")</f>
        <v/>
      </c>
      <c r="C389" s="17">
        <f>SUMIFS(tblDaily[Discharges],tblDaily[Month],10,tblDaily[WardCode],"BH")</f>
        <v/>
      </c>
      <c r="D389" s="17">
        <f>SUMIFS(tblDaily[Deaths],tblDaily[Month],10,tblDaily[WardCode],"BH")</f>
        <v/>
      </c>
      <c r="E389" s="17">
        <f>SUMIFS(tblDaily[DeathsUnder24Hrs],tblDaily[Month],10,tblDaily[WardCode],"BH")</f>
        <v/>
      </c>
      <c r="F389" s="17">
        <f>SUMIFS(tblDaily[TransfersIn],tblDaily[Month],10,tblDaily[WardCode],"BH")</f>
        <v/>
      </c>
      <c r="G389" s="17">
        <f>SUMIFS(tblDaily[TransfersOut],tblDaily[Month],10,tblDaily[WardCode],"BH")</f>
        <v/>
      </c>
      <c r="H389" s="17">
        <f>SUMIFS(tblDaily[Remaining],tblDaily[Month],10,tblDaily[WardCode],"BH")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BLOCK H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4">
        <f>IFERROR(SUMIFS(tblDaily[Remaining],tblDaily[EntryDate],DATE(2026,10,31),tblDaily[WardCode],"BH"),0)</f>
        <v/>
      </c>
    </row>
    <row r="395">
      <c r="A395" s="4" t="inlineStr">
        <is>
          <t>Bed complement</t>
        </is>
      </c>
      <c r="H395" s="15">
        <f>IFERROR(INDEX(tblWardConfig[BedComplement],MATCH("BH",tblWardConfig[WardCode],0)),0)</f>
        <v/>
      </c>
    </row>
    <row r="396">
      <c r="A396" s="16" t="inlineStr">
        <is>
          <t>Day of
the
Month</t>
        </is>
      </c>
      <c r="B396" s="16" t="inlineStr">
        <is>
          <t>Admissions</t>
        </is>
      </c>
      <c r="C396" s="16" t="inlineStr">
        <is>
          <t>Discharges</t>
        </is>
      </c>
      <c r="D396" s="16" t="inlineStr">
        <is>
          <t>Deaths</t>
        </is>
      </c>
      <c r="E396" s="16" t="inlineStr">
        <is>
          <t>Deaths
&lt;24Hrs</t>
        </is>
      </c>
      <c r="F396" s="16" t="inlineStr">
        <is>
          <t>Transfers-
In</t>
        </is>
      </c>
      <c r="G396" s="16" t="inlineStr">
        <is>
          <t>Transfers-
Out</t>
        </is>
      </c>
      <c r="H396" s="16" t="inlineStr">
        <is>
          <t>No. of Patients
Remaining In
Ward</t>
        </is>
      </c>
    </row>
    <row r="397">
      <c r="A397" s="12" t="n">
        <v>1</v>
      </c>
      <c r="B397" s="12">
        <f>IFERROR(IF(SUMIFS(tblDaily[Admissions],tblDaily[EntryDate],DATE(2026,11,1),tblDaily[WardCode],"BH")=0,"",SUMIFS(tblDaily[Admissions],tblDaily[EntryDate],DATE(2026,11,1),tblDaily[WardCode],"BH")),"")</f>
        <v/>
      </c>
      <c r="C397" s="12">
        <f>IFERROR(IF(SUMIFS(tblDaily[Discharges],tblDaily[EntryDate],DATE(2026,11,1),tblDaily[WardCode],"BH")=0,"",SUMIFS(tblDaily[Discharges],tblDaily[EntryDate],DATE(2026,11,1),tblDaily[WardCode],"BH")),"")</f>
        <v/>
      </c>
      <c r="D397" s="12">
        <f>IFERROR(IF(SUMIFS(tblDaily[Deaths],tblDaily[EntryDate],DATE(2026,11,1),tblDaily[WardCode],"BH")=0,"",SUMIFS(tblDaily[Deaths],tblDaily[EntryDate],DATE(2026,11,1),tblDaily[WardCode],"BH")),"")</f>
        <v/>
      </c>
      <c r="E397" s="12">
        <f>IFERROR(IF(SUMIFS(tblDaily[DeathsUnder24Hrs],tblDaily[EntryDate],DATE(2026,11,1),tblDaily[WardCode],"BH")=0,"",SUMIFS(tblDaily[DeathsUnder24Hrs],tblDaily[EntryDate],DATE(2026,11,1),tblDaily[WardCode],"BH")),"")</f>
        <v/>
      </c>
      <c r="F397" s="12">
        <f>IFERROR(IF(SUMIFS(tblDaily[TransfersIn],tblDaily[EntryDate],DATE(2026,11,1),tblDaily[WardCode],"BH")=0,"",SUMIFS(tblDaily[TransfersIn],tblDaily[EntryDate],DATE(2026,11,1),tblDaily[WardCode],"BH")),"")</f>
        <v/>
      </c>
      <c r="G397" s="12">
        <f>IFERROR(IF(SUMIFS(tblDaily[TransfersOut],tblDaily[EntryDate],DATE(2026,11,1),tblDaily[WardCode],"BH")=0,"",SUMIFS(tblDaily[TransfersOut],tblDaily[EntryDate],DATE(2026,11,1),tblDaily[WardCode],"BH")),"")</f>
        <v/>
      </c>
      <c r="H397" s="12">
        <f>IFERROR(IF(SUMIFS(tblDaily[Remaining],tblDaily[EntryDate],DATE(2026,11,1),tblDaily[WardCode],"BH")=0,"",SUMIFS(tblDaily[Remaining],tblDaily[EntryDate],DATE(2026,11,1),tblDaily[WardCode],"BH")),"")</f>
        <v/>
      </c>
    </row>
    <row r="398">
      <c r="A398" s="12" t="n">
        <v>2</v>
      </c>
      <c r="B398" s="12">
        <f>IFERROR(IF(SUMIFS(tblDaily[Admissions],tblDaily[EntryDate],DATE(2026,11,2),tblDaily[WardCode],"BH")=0,"",SUMIFS(tblDaily[Admissions],tblDaily[EntryDate],DATE(2026,11,2),tblDaily[WardCode],"BH")),"")</f>
        <v/>
      </c>
      <c r="C398" s="12">
        <f>IFERROR(IF(SUMIFS(tblDaily[Discharges],tblDaily[EntryDate],DATE(2026,11,2),tblDaily[WardCode],"BH")=0,"",SUMIFS(tblDaily[Discharges],tblDaily[EntryDate],DATE(2026,11,2),tblDaily[WardCode],"BH")),"")</f>
        <v/>
      </c>
      <c r="D398" s="12">
        <f>IFERROR(IF(SUMIFS(tblDaily[Deaths],tblDaily[EntryDate],DATE(2026,11,2),tblDaily[WardCode],"BH")=0,"",SUMIFS(tblDaily[Deaths],tblDaily[EntryDate],DATE(2026,11,2),tblDaily[WardCode],"BH")),"")</f>
        <v/>
      </c>
      <c r="E398" s="12">
        <f>IFERROR(IF(SUMIFS(tblDaily[DeathsUnder24Hrs],tblDaily[EntryDate],DATE(2026,11,2),tblDaily[WardCode],"BH")=0,"",SUMIFS(tblDaily[DeathsUnder24Hrs],tblDaily[EntryDate],DATE(2026,11,2),tblDaily[WardCode],"BH")),"")</f>
        <v/>
      </c>
      <c r="F398" s="12">
        <f>IFERROR(IF(SUMIFS(tblDaily[TransfersIn],tblDaily[EntryDate],DATE(2026,11,2),tblDaily[WardCode],"BH")=0,"",SUMIFS(tblDaily[TransfersIn],tblDaily[EntryDate],DATE(2026,11,2),tblDaily[WardCode],"BH")),"")</f>
        <v/>
      </c>
      <c r="G398" s="12">
        <f>IFERROR(IF(SUMIFS(tblDaily[TransfersOut],tblDaily[EntryDate],DATE(2026,11,2),tblDaily[WardCode],"BH")=0,"",SUMIFS(tblDaily[TransfersOut],tblDaily[EntryDate],DATE(2026,11,2),tblDaily[WardCode],"BH")),"")</f>
        <v/>
      </c>
      <c r="H398" s="12">
        <f>IFERROR(IF(SUMIFS(tblDaily[Remaining],tblDaily[EntryDate],DATE(2026,11,2),tblDaily[WardCode],"BH")=0,"",SUMIFS(tblDaily[Remaining],tblDaily[EntryDate],DATE(2026,11,2),tblDaily[WardCode],"BH")),"")</f>
        <v/>
      </c>
    </row>
    <row r="399">
      <c r="A399" s="12" t="n">
        <v>3</v>
      </c>
      <c r="B399" s="12">
        <f>IFERROR(IF(SUMIFS(tblDaily[Admissions],tblDaily[EntryDate],DATE(2026,11,3),tblDaily[WardCode],"BH")=0,"",SUMIFS(tblDaily[Admissions],tblDaily[EntryDate],DATE(2026,11,3),tblDaily[WardCode],"BH")),"")</f>
        <v/>
      </c>
      <c r="C399" s="12">
        <f>IFERROR(IF(SUMIFS(tblDaily[Discharges],tblDaily[EntryDate],DATE(2026,11,3),tblDaily[WardCode],"BH")=0,"",SUMIFS(tblDaily[Discharges],tblDaily[EntryDate],DATE(2026,11,3),tblDaily[WardCode],"BH")),"")</f>
        <v/>
      </c>
      <c r="D399" s="12">
        <f>IFERROR(IF(SUMIFS(tblDaily[Deaths],tblDaily[EntryDate],DATE(2026,11,3),tblDaily[WardCode],"BH")=0,"",SUMIFS(tblDaily[Deaths],tblDaily[EntryDate],DATE(2026,11,3),tblDaily[WardCode],"BH")),"")</f>
        <v/>
      </c>
      <c r="E399" s="12">
        <f>IFERROR(IF(SUMIFS(tblDaily[DeathsUnder24Hrs],tblDaily[EntryDate],DATE(2026,11,3),tblDaily[WardCode],"BH")=0,"",SUMIFS(tblDaily[DeathsUnder24Hrs],tblDaily[EntryDate],DATE(2026,11,3),tblDaily[WardCode],"BH")),"")</f>
        <v/>
      </c>
      <c r="F399" s="12">
        <f>IFERROR(IF(SUMIFS(tblDaily[TransfersIn],tblDaily[EntryDate],DATE(2026,11,3),tblDaily[WardCode],"BH")=0,"",SUMIFS(tblDaily[TransfersIn],tblDaily[EntryDate],DATE(2026,11,3),tblDaily[WardCode],"BH")),"")</f>
        <v/>
      </c>
      <c r="G399" s="12">
        <f>IFERROR(IF(SUMIFS(tblDaily[TransfersOut],tblDaily[EntryDate],DATE(2026,11,3),tblDaily[WardCode],"BH")=0,"",SUMIFS(tblDaily[TransfersOut],tblDaily[EntryDate],DATE(2026,11,3),tblDaily[WardCode],"BH")),"")</f>
        <v/>
      </c>
      <c r="H399" s="12">
        <f>IFERROR(IF(SUMIFS(tblDaily[Remaining],tblDaily[EntryDate],DATE(2026,11,3),tblDaily[WardCode],"BH")=0,"",SUMIFS(tblDaily[Remaining],tblDaily[EntryDate],DATE(2026,11,3),tblDaily[WardCode],"BH")),"")</f>
        <v/>
      </c>
    </row>
    <row r="400">
      <c r="A400" s="12" t="n">
        <v>4</v>
      </c>
      <c r="B400" s="12">
        <f>IFERROR(IF(SUMIFS(tblDaily[Admissions],tblDaily[EntryDate],DATE(2026,11,4),tblDaily[WardCode],"BH")=0,"",SUMIFS(tblDaily[Admissions],tblDaily[EntryDate],DATE(2026,11,4),tblDaily[WardCode],"BH")),"")</f>
        <v/>
      </c>
      <c r="C400" s="12">
        <f>IFERROR(IF(SUMIFS(tblDaily[Discharges],tblDaily[EntryDate],DATE(2026,11,4),tblDaily[WardCode],"BH")=0,"",SUMIFS(tblDaily[Discharges],tblDaily[EntryDate],DATE(2026,11,4),tblDaily[WardCode],"BH")),"")</f>
        <v/>
      </c>
      <c r="D400" s="12">
        <f>IFERROR(IF(SUMIFS(tblDaily[Deaths],tblDaily[EntryDate],DATE(2026,11,4),tblDaily[WardCode],"BH")=0,"",SUMIFS(tblDaily[Deaths],tblDaily[EntryDate],DATE(2026,11,4),tblDaily[WardCode],"BH")),"")</f>
        <v/>
      </c>
      <c r="E400" s="12">
        <f>IFERROR(IF(SUMIFS(tblDaily[DeathsUnder24Hrs],tblDaily[EntryDate],DATE(2026,11,4),tblDaily[WardCode],"BH")=0,"",SUMIFS(tblDaily[DeathsUnder24Hrs],tblDaily[EntryDate],DATE(2026,11,4),tblDaily[WardCode],"BH")),"")</f>
        <v/>
      </c>
      <c r="F400" s="12">
        <f>IFERROR(IF(SUMIFS(tblDaily[TransfersIn],tblDaily[EntryDate],DATE(2026,11,4),tblDaily[WardCode],"BH")=0,"",SUMIFS(tblDaily[TransfersIn],tblDaily[EntryDate],DATE(2026,11,4),tblDaily[WardCode],"BH")),"")</f>
        <v/>
      </c>
      <c r="G400" s="12">
        <f>IFERROR(IF(SUMIFS(tblDaily[TransfersOut],tblDaily[EntryDate],DATE(2026,11,4),tblDaily[WardCode],"BH")=0,"",SUMIFS(tblDaily[TransfersOut],tblDaily[EntryDate],DATE(2026,11,4),tblDaily[WardCode],"BH")),"")</f>
        <v/>
      </c>
      <c r="H400" s="12">
        <f>IFERROR(IF(SUMIFS(tblDaily[Remaining],tblDaily[EntryDate],DATE(2026,11,4),tblDaily[WardCode],"BH")=0,"",SUMIFS(tblDaily[Remaining],tblDaily[EntryDate],DATE(2026,11,4),tblDaily[WardCode],"BH")),"")</f>
        <v/>
      </c>
    </row>
    <row r="401">
      <c r="A401" s="12" t="n">
        <v>5</v>
      </c>
      <c r="B401" s="12">
        <f>IFERROR(IF(SUMIFS(tblDaily[Admissions],tblDaily[EntryDate],DATE(2026,11,5),tblDaily[WardCode],"BH")=0,"",SUMIFS(tblDaily[Admissions],tblDaily[EntryDate],DATE(2026,11,5),tblDaily[WardCode],"BH")),"")</f>
        <v/>
      </c>
      <c r="C401" s="12">
        <f>IFERROR(IF(SUMIFS(tblDaily[Discharges],tblDaily[EntryDate],DATE(2026,11,5),tblDaily[WardCode],"BH")=0,"",SUMIFS(tblDaily[Discharges],tblDaily[EntryDate],DATE(2026,11,5),tblDaily[WardCode],"BH")),"")</f>
        <v/>
      </c>
      <c r="D401" s="12">
        <f>IFERROR(IF(SUMIFS(tblDaily[Deaths],tblDaily[EntryDate],DATE(2026,11,5),tblDaily[WardCode],"BH")=0,"",SUMIFS(tblDaily[Deaths],tblDaily[EntryDate],DATE(2026,11,5),tblDaily[WardCode],"BH")),"")</f>
        <v/>
      </c>
      <c r="E401" s="12">
        <f>IFERROR(IF(SUMIFS(tblDaily[DeathsUnder24Hrs],tblDaily[EntryDate],DATE(2026,11,5),tblDaily[WardCode],"BH")=0,"",SUMIFS(tblDaily[DeathsUnder24Hrs],tblDaily[EntryDate],DATE(2026,11,5),tblDaily[WardCode],"BH")),"")</f>
        <v/>
      </c>
      <c r="F401" s="12">
        <f>IFERROR(IF(SUMIFS(tblDaily[TransfersIn],tblDaily[EntryDate],DATE(2026,11,5),tblDaily[WardCode],"BH")=0,"",SUMIFS(tblDaily[TransfersIn],tblDaily[EntryDate],DATE(2026,11,5),tblDaily[WardCode],"BH")),"")</f>
        <v/>
      </c>
      <c r="G401" s="12">
        <f>IFERROR(IF(SUMIFS(tblDaily[TransfersOut],tblDaily[EntryDate],DATE(2026,11,5),tblDaily[WardCode],"BH")=0,"",SUMIFS(tblDaily[TransfersOut],tblDaily[EntryDate],DATE(2026,11,5),tblDaily[WardCode],"BH")),"")</f>
        <v/>
      </c>
      <c r="H401" s="12">
        <f>IFERROR(IF(SUMIFS(tblDaily[Remaining],tblDaily[EntryDate],DATE(2026,11,5),tblDaily[WardCode],"BH")=0,"",SUMIFS(tblDaily[Remaining],tblDaily[EntryDate],DATE(2026,11,5),tblDaily[WardCode],"BH")),"")</f>
        <v/>
      </c>
    </row>
    <row r="402">
      <c r="A402" s="12" t="n">
        <v>6</v>
      </c>
      <c r="B402" s="12">
        <f>IFERROR(IF(SUMIFS(tblDaily[Admissions],tblDaily[EntryDate],DATE(2026,11,6),tblDaily[WardCode],"BH")=0,"",SUMIFS(tblDaily[Admissions],tblDaily[EntryDate],DATE(2026,11,6),tblDaily[WardCode],"BH")),"")</f>
        <v/>
      </c>
      <c r="C402" s="12">
        <f>IFERROR(IF(SUMIFS(tblDaily[Discharges],tblDaily[EntryDate],DATE(2026,11,6),tblDaily[WardCode],"BH")=0,"",SUMIFS(tblDaily[Discharges],tblDaily[EntryDate],DATE(2026,11,6),tblDaily[WardCode],"BH")),"")</f>
        <v/>
      </c>
      <c r="D402" s="12">
        <f>IFERROR(IF(SUMIFS(tblDaily[Deaths],tblDaily[EntryDate],DATE(2026,11,6),tblDaily[WardCode],"BH")=0,"",SUMIFS(tblDaily[Deaths],tblDaily[EntryDate],DATE(2026,11,6),tblDaily[WardCode],"BH")),"")</f>
        <v/>
      </c>
      <c r="E402" s="12">
        <f>IFERROR(IF(SUMIFS(tblDaily[DeathsUnder24Hrs],tblDaily[EntryDate],DATE(2026,11,6),tblDaily[WardCode],"BH")=0,"",SUMIFS(tblDaily[DeathsUnder24Hrs],tblDaily[EntryDate],DATE(2026,11,6),tblDaily[WardCode],"BH")),"")</f>
        <v/>
      </c>
      <c r="F402" s="12">
        <f>IFERROR(IF(SUMIFS(tblDaily[TransfersIn],tblDaily[EntryDate],DATE(2026,11,6),tblDaily[WardCode],"BH")=0,"",SUMIFS(tblDaily[TransfersIn],tblDaily[EntryDate],DATE(2026,11,6),tblDaily[WardCode],"BH")),"")</f>
        <v/>
      </c>
      <c r="G402" s="12">
        <f>IFERROR(IF(SUMIFS(tblDaily[TransfersOut],tblDaily[EntryDate],DATE(2026,11,6),tblDaily[WardCode],"BH")=0,"",SUMIFS(tblDaily[TransfersOut],tblDaily[EntryDate],DATE(2026,11,6),tblDaily[WardCode],"BH")),"")</f>
        <v/>
      </c>
      <c r="H402" s="12">
        <f>IFERROR(IF(SUMIFS(tblDaily[Remaining],tblDaily[EntryDate],DATE(2026,11,6),tblDaily[WardCode],"BH")=0,"",SUMIFS(tblDaily[Remaining],tblDaily[EntryDate],DATE(2026,11,6),tblDaily[WardCode],"BH")),"")</f>
        <v/>
      </c>
    </row>
    <row r="403">
      <c r="A403" s="12" t="n">
        <v>7</v>
      </c>
      <c r="B403" s="12">
        <f>IFERROR(IF(SUMIFS(tblDaily[Admissions],tblDaily[EntryDate],DATE(2026,11,7),tblDaily[WardCode],"BH")=0,"",SUMIFS(tblDaily[Admissions],tblDaily[EntryDate],DATE(2026,11,7),tblDaily[WardCode],"BH")),"")</f>
        <v/>
      </c>
      <c r="C403" s="12">
        <f>IFERROR(IF(SUMIFS(tblDaily[Discharges],tblDaily[EntryDate],DATE(2026,11,7),tblDaily[WardCode],"BH")=0,"",SUMIFS(tblDaily[Discharges],tblDaily[EntryDate],DATE(2026,11,7),tblDaily[WardCode],"BH")),"")</f>
        <v/>
      </c>
      <c r="D403" s="12">
        <f>IFERROR(IF(SUMIFS(tblDaily[Deaths],tblDaily[EntryDate],DATE(2026,11,7),tblDaily[WardCode],"BH")=0,"",SUMIFS(tblDaily[Deaths],tblDaily[EntryDate],DATE(2026,11,7),tblDaily[WardCode],"BH")),"")</f>
        <v/>
      </c>
      <c r="E403" s="12">
        <f>IFERROR(IF(SUMIFS(tblDaily[DeathsUnder24Hrs],tblDaily[EntryDate],DATE(2026,11,7),tblDaily[WardCode],"BH")=0,"",SUMIFS(tblDaily[DeathsUnder24Hrs],tblDaily[EntryDate],DATE(2026,11,7),tblDaily[WardCode],"BH")),"")</f>
        <v/>
      </c>
      <c r="F403" s="12">
        <f>IFERROR(IF(SUMIFS(tblDaily[TransfersIn],tblDaily[EntryDate],DATE(2026,11,7),tblDaily[WardCode],"BH")=0,"",SUMIFS(tblDaily[TransfersIn],tblDaily[EntryDate],DATE(2026,11,7),tblDaily[WardCode],"BH")),"")</f>
        <v/>
      </c>
      <c r="G403" s="12">
        <f>IFERROR(IF(SUMIFS(tblDaily[TransfersOut],tblDaily[EntryDate],DATE(2026,11,7),tblDaily[WardCode],"BH")=0,"",SUMIFS(tblDaily[TransfersOut],tblDaily[EntryDate],DATE(2026,11,7),tblDaily[WardCode],"BH")),"")</f>
        <v/>
      </c>
      <c r="H403" s="12">
        <f>IFERROR(IF(SUMIFS(tblDaily[Remaining],tblDaily[EntryDate],DATE(2026,11,7),tblDaily[WardCode],"BH")=0,"",SUMIFS(tblDaily[Remaining],tblDaily[EntryDate],DATE(2026,11,7),tblDaily[WardCode],"BH")),"")</f>
        <v/>
      </c>
    </row>
    <row r="404">
      <c r="A404" s="12" t="n">
        <v>8</v>
      </c>
      <c r="B404" s="12">
        <f>IFERROR(IF(SUMIFS(tblDaily[Admissions],tblDaily[EntryDate],DATE(2026,11,8),tblDaily[WardCode],"BH")=0,"",SUMIFS(tblDaily[Admissions],tblDaily[EntryDate],DATE(2026,11,8),tblDaily[WardCode],"BH")),"")</f>
        <v/>
      </c>
      <c r="C404" s="12">
        <f>IFERROR(IF(SUMIFS(tblDaily[Discharges],tblDaily[EntryDate],DATE(2026,11,8),tblDaily[WardCode],"BH")=0,"",SUMIFS(tblDaily[Discharges],tblDaily[EntryDate],DATE(2026,11,8),tblDaily[WardCode],"BH")),"")</f>
        <v/>
      </c>
      <c r="D404" s="12">
        <f>IFERROR(IF(SUMIFS(tblDaily[Deaths],tblDaily[EntryDate],DATE(2026,11,8),tblDaily[WardCode],"BH")=0,"",SUMIFS(tblDaily[Deaths],tblDaily[EntryDate],DATE(2026,11,8),tblDaily[WardCode],"BH")),"")</f>
        <v/>
      </c>
      <c r="E404" s="12">
        <f>IFERROR(IF(SUMIFS(tblDaily[DeathsUnder24Hrs],tblDaily[EntryDate],DATE(2026,11,8),tblDaily[WardCode],"BH")=0,"",SUMIFS(tblDaily[DeathsUnder24Hrs],tblDaily[EntryDate],DATE(2026,11,8),tblDaily[WardCode],"BH")),"")</f>
        <v/>
      </c>
      <c r="F404" s="12">
        <f>IFERROR(IF(SUMIFS(tblDaily[TransfersIn],tblDaily[EntryDate],DATE(2026,11,8),tblDaily[WardCode],"BH")=0,"",SUMIFS(tblDaily[TransfersIn],tblDaily[EntryDate],DATE(2026,11,8),tblDaily[WardCode],"BH")),"")</f>
        <v/>
      </c>
      <c r="G404" s="12">
        <f>IFERROR(IF(SUMIFS(tblDaily[TransfersOut],tblDaily[EntryDate],DATE(2026,11,8),tblDaily[WardCode],"BH")=0,"",SUMIFS(tblDaily[TransfersOut],tblDaily[EntryDate],DATE(2026,11,8),tblDaily[WardCode],"BH")),"")</f>
        <v/>
      </c>
      <c r="H404" s="12">
        <f>IFERROR(IF(SUMIFS(tblDaily[Remaining],tblDaily[EntryDate],DATE(2026,11,8),tblDaily[WardCode],"BH")=0,"",SUMIFS(tblDaily[Remaining],tblDaily[EntryDate],DATE(2026,11,8),tblDaily[WardCode],"BH")),"")</f>
        <v/>
      </c>
    </row>
    <row r="405">
      <c r="A405" s="12" t="n">
        <v>9</v>
      </c>
      <c r="B405" s="12">
        <f>IFERROR(IF(SUMIFS(tblDaily[Admissions],tblDaily[EntryDate],DATE(2026,11,9),tblDaily[WardCode],"BH")=0,"",SUMIFS(tblDaily[Admissions],tblDaily[EntryDate],DATE(2026,11,9),tblDaily[WardCode],"BH")),"")</f>
        <v/>
      </c>
      <c r="C405" s="12">
        <f>IFERROR(IF(SUMIFS(tblDaily[Discharges],tblDaily[EntryDate],DATE(2026,11,9),tblDaily[WardCode],"BH")=0,"",SUMIFS(tblDaily[Discharges],tblDaily[EntryDate],DATE(2026,11,9),tblDaily[WardCode],"BH")),"")</f>
        <v/>
      </c>
      <c r="D405" s="12">
        <f>IFERROR(IF(SUMIFS(tblDaily[Deaths],tblDaily[EntryDate],DATE(2026,11,9),tblDaily[WardCode],"BH")=0,"",SUMIFS(tblDaily[Deaths],tblDaily[EntryDate],DATE(2026,11,9),tblDaily[WardCode],"BH")),"")</f>
        <v/>
      </c>
      <c r="E405" s="12">
        <f>IFERROR(IF(SUMIFS(tblDaily[DeathsUnder24Hrs],tblDaily[EntryDate],DATE(2026,11,9),tblDaily[WardCode],"BH")=0,"",SUMIFS(tblDaily[DeathsUnder24Hrs],tblDaily[EntryDate],DATE(2026,11,9),tblDaily[WardCode],"BH")),"")</f>
        <v/>
      </c>
      <c r="F405" s="12">
        <f>IFERROR(IF(SUMIFS(tblDaily[TransfersIn],tblDaily[EntryDate],DATE(2026,11,9),tblDaily[WardCode],"BH")=0,"",SUMIFS(tblDaily[TransfersIn],tblDaily[EntryDate],DATE(2026,11,9),tblDaily[WardCode],"BH")),"")</f>
        <v/>
      </c>
      <c r="G405" s="12">
        <f>IFERROR(IF(SUMIFS(tblDaily[TransfersOut],tblDaily[EntryDate],DATE(2026,11,9),tblDaily[WardCode],"BH")=0,"",SUMIFS(tblDaily[TransfersOut],tblDaily[EntryDate],DATE(2026,11,9),tblDaily[WardCode],"BH")),"")</f>
        <v/>
      </c>
      <c r="H405" s="12">
        <f>IFERROR(IF(SUMIFS(tblDaily[Remaining],tblDaily[EntryDate],DATE(2026,11,9),tblDaily[WardCode],"BH")=0,"",SUMIFS(tblDaily[Remaining],tblDaily[EntryDate],DATE(2026,11,9),tblDaily[WardCode],"BH")),"")</f>
        <v/>
      </c>
    </row>
    <row r="406">
      <c r="A406" s="12" t="n">
        <v>10</v>
      </c>
      <c r="B406" s="12">
        <f>IFERROR(IF(SUMIFS(tblDaily[Admissions],tblDaily[EntryDate],DATE(2026,11,10),tblDaily[WardCode],"BH")=0,"",SUMIFS(tblDaily[Admissions],tblDaily[EntryDate],DATE(2026,11,10),tblDaily[WardCode],"BH")),"")</f>
        <v/>
      </c>
      <c r="C406" s="12">
        <f>IFERROR(IF(SUMIFS(tblDaily[Discharges],tblDaily[EntryDate],DATE(2026,11,10),tblDaily[WardCode],"BH")=0,"",SUMIFS(tblDaily[Discharges],tblDaily[EntryDate],DATE(2026,11,10),tblDaily[WardCode],"BH")),"")</f>
        <v/>
      </c>
      <c r="D406" s="12">
        <f>IFERROR(IF(SUMIFS(tblDaily[Deaths],tblDaily[EntryDate],DATE(2026,11,10),tblDaily[WardCode],"BH")=0,"",SUMIFS(tblDaily[Deaths],tblDaily[EntryDate],DATE(2026,11,10),tblDaily[WardCode],"BH")),"")</f>
        <v/>
      </c>
      <c r="E406" s="12">
        <f>IFERROR(IF(SUMIFS(tblDaily[DeathsUnder24Hrs],tblDaily[EntryDate],DATE(2026,11,10),tblDaily[WardCode],"BH")=0,"",SUMIFS(tblDaily[DeathsUnder24Hrs],tblDaily[EntryDate],DATE(2026,11,10),tblDaily[WardCode],"BH")),"")</f>
        <v/>
      </c>
      <c r="F406" s="12">
        <f>IFERROR(IF(SUMIFS(tblDaily[TransfersIn],tblDaily[EntryDate],DATE(2026,11,10),tblDaily[WardCode],"BH")=0,"",SUMIFS(tblDaily[TransfersIn],tblDaily[EntryDate],DATE(2026,11,10),tblDaily[WardCode],"BH")),"")</f>
        <v/>
      </c>
      <c r="G406" s="12">
        <f>IFERROR(IF(SUMIFS(tblDaily[TransfersOut],tblDaily[EntryDate],DATE(2026,11,10),tblDaily[WardCode],"BH")=0,"",SUMIFS(tblDaily[TransfersOut],tblDaily[EntryDate],DATE(2026,11,10),tblDaily[WardCode],"BH")),"")</f>
        <v/>
      </c>
      <c r="H406" s="12">
        <f>IFERROR(IF(SUMIFS(tblDaily[Remaining],tblDaily[EntryDate],DATE(2026,11,10),tblDaily[WardCode],"BH")=0,"",SUMIFS(tblDaily[Remaining],tblDaily[EntryDate],DATE(2026,11,10),tblDaily[WardCode],"BH")),"")</f>
        <v/>
      </c>
    </row>
    <row r="407">
      <c r="A407" s="12" t="n">
        <v>11</v>
      </c>
      <c r="B407" s="12">
        <f>IFERROR(IF(SUMIFS(tblDaily[Admissions],tblDaily[EntryDate],DATE(2026,11,11),tblDaily[WardCode],"BH")=0,"",SUMIFS(tblDaily[Admissions],tblDaily[EntryDate],DATE(2026,11,11),tblDaily[WardCode],"BH")),"")</f>
        <v/>
      </c>
      <c r="C407" s="12">
        <f>IFERROR(IF(SUMIFS(tblDaily[Discharges],tblDaily[EntryDate],DATE(2026,11,11),tblDaily[WardCode],"BH")=0,"",SUMIFS(tblDaily[Discharges],tblDaily[EntryDate],DATE(2026,11,11),tblDaily[WardCode],"BH")),"")</f>
        <v/>
      </c>
      <c r="D407" s="12">
        <f>IFERROR(IF(SUMIFS(tblDaily[Deaths],tblDaily[EntryDate],DATE(2026,11,11),tblDaily[WardCode],"BH")=0,"",SUMIFS(tblDaily[Deaths],tblDaily[EntryDate],DATE(2026,11,11),tblDaily[WardCode],"BH")),"")</f>
        <v/>
      </c>
      <c r="E407" s="12">
        <f>IFERROR(IF(SUMIFS(tblDaily[DeathsUnder24Hrs],tblDaily[EntryDate],DATE(2026,11,11),tblDaily[WardCode],"BH")=0,"",SUMIFS(tblDaily[DeathsUnder24Hrs],tblDaily[EntryDate],DATE(2026,11,11),tblDaily[WardCode],"BH")),"")</f>
        <v/>
      </c>
      <c r="F407" s="12">
        <f>IFERROR(IF(SUMIFS(tblDaily[TransfersIn],tblDaily[EntryDate],DATE(2026,11,11),tblDaily[WardCode],"BH")=0,"",SUMIFS(tblDaily[TransfersIn],tblDaily[EntryDate],DATE(2026,11,11),tblDaily[WardCode],"BH")),"")</f>
        <v/>
      </c>
      <c r="G407" s="12">
        <f>IFERROR(IF(SUMIFS(tblDaily[TransfersOut],tblDaily[EntryDate],DATE(2026,11,11),tblDaily[WardCode],"BH")=0,"",SUMIFS(tblDaily[TransfersOut],tblDaily[EntryDate],DATE(2026,11,11),tblDaily[WardCode],"BH")),"")</f>
        <v/>
      </c>
      <c r="H407" s="12">
        <f>IFERROR(IF(SUMIFS(tblDaily[Remaining],tblDaily[EntryDate],DATE(2026,11,11),tblDaily[WardCode],"BH")=0,"",SUMIFS(tblDaily[Remaining],tblDaily[EntryDate],DATE(2026,11,11),tblDaily[WardCode],"BH")),"")</f>
        <v/>
      </c>
    </row>
    <row r="408">
      <c r="A408" s="12" t="n">
        <v>12</v>
      </c>
      <c r="B408" s="12">
        <f>IFERROR(IF(SUMIFS(tblDaily[Admissions],tblDaily[EntryDate],DATE(2026,11,12),tblDaily[WardCode],"BH")=0,"",SUMIFS(tblDaily[Admissions],tblDaily[EntryDate],DATE(2026,11,12),tblDaily[WardCode],"BH")),"")</f>
        <v/>
      </c>
      <c r="C408" s="12">
        <f>IFERROR(IF(SUMIFS(tblDaily[Discharges],tblDaily[EntryDate],DATE(2026,11,12),tblDaily[WardCode],"BH")=0,"",SUMIFS(tblDaily[Discharges],tblDaily[EntryDate],DATE(2026,11,12),tblDaily[WardCode],"BH")),"")</f>
        <v/>
      </c>
      <c r="D408" s="12">
        <f>IFERROR(IF(SUMIFS(tblDaily[Deaths],tblDaily[EntryDate],DATE(2026,11,12),tblDaily[WardCode],"BH")=0,"",SUMIFS(tblDaily[Deaths],tblDaily[EntryDate],DATE(2026,11,12),tblDaily[WardCode],"BH")),"")</f>
        <v/>
      </c>
      <c r="E408" s="12">
        <f>IFERROR(IF(SUMIFS(tblDaily[DeathsUnder24Hrs],tblDaily[EntryDate],DATE(2026,11,12),tblDaily[WardCode],"BH")=0,"",SUMIFS(tblDaily[DeathsUnder24Hrs],tblDaily[EntryDate],DATE(2026,11,12),tblDaily[WardCode],"BH")),"")</f>
        <v/>
      </c>
      <c r="F408" s="12">
        <f>IFERROR(IF(SUMIFS(tblDaily[TransfersIn],tblDaily[EntryDate],DATE(2026,11,12),tblDaily[WardCode],"BH")=0,"",SUMIFS(tblDaily[TransfersIn],tblDaily[EntryDate],DATE(2026,11,12),tblDaily[WardCode],"BH")),"")</f>
        <v/>
      </c>
      <c r="G408" s="12">
        <f>IFERROR(IF(SUMIFS(tblDaily[TransfersOut],tblDaily[EntryDate],DATE(2026,11,12),tblDaily[WardCode],"BH")=0,"",SUMIFS(tblDaily[TransfersOut],tblDaily[EntryDate],DATE(2026,11,12),tblDaily[WardCode],"BH")),"")</f>
        <v/>
      </c>
      <c r="H408" s="12">
        <f>IFERROR(IF(SUMIFS(tblDaily[Remaining],tblDaily[EntryDate],DATE(2026,11,12),tblDaily[WardCode],"BH")=0,"",SUMIFS(tblDaily[Remaining],tblDaily[EntryDate],DATE(2026,11,12),tblDaily[WardCode],"BH")),"")</f>
        <v/>
      </c>
    </row>
    <row r="409">
      <c r="A409" s="12" t="n">
        <v>13</v>
      </c>
      <c r="B409" s="12">
        <f>IFERROR(IF(SUMIFS(tblDaily[Admissions],tblDaily[EntryDate],DATE(2026,11,13),tblDaily[WardCode],"BH")=0,"",SUMIFS(tblDaily[Admissions],tblDaily[EntryDate],DATE(2026,11,13),tblDaily[WardCode],"BH")),"")</f>
        <v/>
      </c>
      <c r="C409" s="12">
        <f>IFERROR(IF(SUMIFS(tblDaily[Discharges],tblDaily[EntryDate],DATE(2026,11,13),tblDaily[WardCode],"BH")=0,"",SUMIFS(tblDaily[Discharges],tblDaily[EntryDate],DATE(2026,11,13),tblDaily[WardCode],"BH")),"")</f>
        <v/>
      </c>
      <c r="D409" s="12">
        <f>IFERROR(IF(SUMIFS(tblDaily[Deaths],tblDaily[EntryDate],DATE(2026,11,13),tblDaily[WardCode],"BH")=0,"",SUMIFS(tblDaily[Deaths],tblDaily[EntryDate],DATE(2026,11,13),tblDaily[WardCode],"BH")),"")</f>
        <v/>
      </c>
      <c r="E409" s="12">
        <f>IFERROR(IF(SUMIFS(tblDaily[DeathsUnder24Hrs],tblDaily[EntryDate],DATE(2026,11,13),tblDaily[WardCode],"BH")=0,"",SUMIFS(tblDaily[DeathsUnder24Hrs],tblDaily[EntryDate],DATE(2026,11,13),tblDaily[WardCode],"BH")),"")</f>
        <v/>
      </c>
      <c r="F409" s="12">
        <f>IFERROR(IF(SUMIFS(tblDaily[TransfersIn],tblDaily[EntryDate],DATE(2026,11,13),tblDaily[WardCode],"BH")=0,"",SUMIFS(tblDaily[TransfersIn],tblDaily[EntryDate],DATE(2026,11,13),tblDaily[WardCode],"BH")),"")</f>
        <v/>
      </c>
      <c r="G409" s="12">
        <f>IFERROR(IF(SUMIFS(tblDaily[TransfersOut],tblDaily[EntryDate],DATE(2026,11,13),tblDaily[WardCode],"BH")=0,"",SUMIFS(tblDaily[TransfersOut],tblDaily[EntryDate],DATE(2026,11,13),tblDaily[WardCode],"BH")),"")</f>
        <v/>
      </c>
      <c r="H409" s="12">
        <f>IFERROR(IF(SUMIFS(tblDaily[Remaining],tblDaily[EntryDate],DATE(2026,11,13),tblDaily[WardCode],"BH")=0,"",SUMIFS(tblDaily[Remaining],tblDaily[EntryDate],DATE(2026,11,13),tblDaily[WardCode],"BH")),"")</f>
        <v/>
      </c>
    </row>
    <row r="410">
      <c r="A410" s="12" t="n">
        <v>14</v>
      </c>
      <c r="B410" s="12">
        <f>IFERROR(IF(SUMIFS(tblDaily[Admissions],tblDaily[EntryDate],DATE(2026,11,14),tblDaily[WardCode],"BH")=0,"",SUMIFS(tblDaily[Admissions],tblDaily[EntryDate],DATE(2026,11,14),tblDaily[WardCode],"BH")),"")</f>
        <v/>
      </c>
      <c r="C410" s="12">
        <f>IFERROR(IF(SUMIFS(tblDaily[Discharges],tblDaily[EntryDate],DATE(2026,11,14),tblDaily[WardCode],"BH")=0,"",SUMIFS(tblDaily[Discharges],tblDaily[EntryDate],DATE(2026,11,14),tblDaily[WardCode],"BH")),"")</f>
        <v/>
      </c>
      <c r="D410" s="12">
        <f>IFERROR(IF(SUMIFS(tblDaily[Deaths],tblDaily[EntryDate],DATE(2026,11,14),tblDaily[WardCode],"BH")=0,"",SUMIFS(tblDaily[Deaths],tblDaily[EntryDate],DATE(2026,11,14),tblDaily[WardCode],"BH")),"")</f>
        <v/>
      </c>
      <c r="E410" s="12">
        <f>IFERROR(IF(SUMIFS(tblDaily[DeathsUnder24Hrs],tblDaily[EntryDate],DATE(2026,11,14),tblDaily[WardCode],"BH")=0,"",SUMIFS(tblDaily[DeathsUnder24Hrs],tblDaily[EntryDate],DATE(2026,11,14),tblDaily[WardCode],"BH")),"")</f>
        <v/>
      </c>
      <c r="F410" s="12">
        <f>IFERROR(IF(SUMIFS(tblDaily[TransfersIn],tblDaily[EntryDate],DATE(2026,11,14),tblDaily[WardCode],"BH")=0,"",SUMIFS(tblDaily[TransfersIn],tblDaily[EntryDate],DATE(2026,11,14),tblDaily[WardCode],"BH")),"")</f>
        <v/>
      </c>
      <c r="G410" s="12">
        <f>IFERROR(IF(SUMIFS(tblDaily[TransfersOut],tblDaily[EntryDate],DATE(2026,11,14),tblDaily[WardCode],"BH")=0,"",SUMIFS(tblDaily[TransfersOut],tblDaily[EntryDate],DATE(2026,11,14),tblDaily[WardCode],"BH")),"")</f>
        <v/>
      </c>
      <c r="H410" s="12">
        <f>IFERROR(IF(SUMIFS(tblDaily[Remaining],tblDaily[EntryDate],DATE(2026,11,14),tblDaily[WardCode],"BH")=0,"",SUMIFS(tblDaily[Remaining],tblDaily[EntryDate],DATE(2026,11,14),tblDaily[WardCode],"BH")),"")</f>
        <v/>
      </c>
    </row>
    <row r="411">
      <c r="A411" s="12" t="n">
        <v>15</v>
      </c>
      <c r="B411" s="12">
        <f>IFERROR(IF(SUMIFS(tblDaily[Admissions],tblDaily[EntryDate],DATE(2026,11,15),tblDaily[WardCode],"BH")=0,"",SUMIFS(tblDaily[Admissions],tblDaily[EntryDate],DATE(2026,11,15),tblDaily[WardCode],"BH")),"")</f>
        <v/>
      </c>
      <c r="C411" s="12">
        <f>IFERROR(IF(SUMIFS(tblDaily[Discharges],tblDaily[EntryDate],DATE(2026,11,15),tblDaily[WardCode],"BH")=0,"",SUMIFS(tblDaily[Discharges],tblDaily[EntryDate],DATE(2026,11,15),tblDaily[WardCode],"BH")),"")</f>
        <v/>
      </c>
      <c r="D411" s="12">
        <f>IFERROR(IF(SUMIFS(tblDaily[Deaths],tblDaily[EntryDate],DATE(2026,11,15),tblDaily[WardCode],"BH")=0,"",SUMIFS(tblDaily[Deaths],tblDaily[EntryDate],DATE(2026,11,15),tblDaily[WardCode],"BH")),"")</f>
        <v/>
      </c>
      <c r="E411" s="12">
        <f>IFERROR(IF(SUMIFS(tblDaily[DeathsUnder24Hrs],tblDaily[EntryDate],DATE(2026,11,15),tblDaily[WardCode],"BH")=0,"",SUMIFS(tblDaily[DeathsUnder24Hrs],tblDaily[EntryDate],DATE(2026,11,15),tblDaily[WardCode],"BH")),"")</f>
        <v/>
      </c>
      <c r="F411" s="12">
        <f>IFERROR(IF(SUMIFS(tblDaily[TransfersIn],tblDaily[EntryDate],DATE(2026,11,15),tblDaily[WardCode],"BH")=0,"",SUMIFS(tblDaily[TransfersIn],tblDaily[EntryDate],DATE(2026,11,15),tblDaily[WardCode],"BH")),"")</f>
        <v/>
      </c>
      <c r="G411" s="12">
        <f>IFERROR(IF(SUMIFS(tblDaily[TransfersOut],tblDaily[EntryDate],DATE(2026,11,15),tblDaily[WardCode],"BH")=0,"",SUMIFS(tblDaily[TransfersOut],tblDaily[EntryDate],DATE(2026,11,15),tblDaily[WardCode],"BH")),"")</f>
        <v/>
      </c>
      <c r="H411" s="12">
        <f>IFERROR(IF(SUMIFS(tblDaily[Remaining],tblDaily[EntryDate],DATE(2026,11,15),tblDaily[WardCode],"BH")=0,"",SUMIFS(tblDaily[Remaining],tblDaily[EntryDate],DATE(2026,11,15),tblDaily[WardCode],"BH")),"")</f>
        <v/>
      </c>
    </row>
    <row r="412">
      <c r="A412" s="12" t="n">
        <v>16</v>
      </c>
      <c r="B412" s="12">
        <f>IFERROR(IF(SUMIFS(tblDaily[Admissions],tblDaily[EntryDate],DATE(2026,11,16),tblDaily[WardCode],"BH")=0,"",SUMIFS(tblDaily[Admissions],tblDaily[EntryDate],DATE(2026,11,16),tblDaily[WardCode],"BH")),"")</f>
        <v/>
      </c>
      <c r="C412" s="12">
        <f>IFERROR(IF(SUMIFS(tblDaily[Discharges],tblDaily[EntryDate],DATE(2026,11,16),tblDaily[WardCode],"BH")=0,"",SUMIFS(tblDaily[Discharges],tblDaily[EntryDate],DATE(2026,11,16),tblDaily[WardCode],"BH")),"")</f>
        <v/>
      </c>
      <c r="D412" s="12">
        <f>IFERROR(IF(SUMIFS(tblDaily[Deaths],tblDaily[EntryDate],DATE(2026,11,16),tblDaily[WardCode],"BH")=0,"",SUMIFS(tblDaily[Deaths],tblDaily[EntryDate],DATE(2026,11,16),tblDaily[WardCode],"BH")),"")</f>
        <v/>
      </c>
      <c r="E412" s="12">
        <f>IFERROR(IF(SUMIFS(tblDaily[DeathsUnder24Hrs],tblDaily[EntryDate],DATE(2026,11,16),tblDaily[WardCode],"BH")=0,"",SUMIFS(tblDaily[DeathsUnder24Hrs],tblDaily[EntryDate],DATE(2026,11,16),tblDaily[WardCode],"BH")),"")</f>
        <v/>
      </c>
      <c r="F412" s="12">
        <f>IFERROR(IF(SUMIFS(tblDaily[TransfersIn],tblDaily[EntryDate],DATE(2026,11,16),tblDaily[WardCode],"BH")=0,"",SUMIFS(tblDaily[TransfersIn],tblDaily[EntryDate],DATE(2026,11,16),tblDaily[WardCode],"BH")),"")</f>
        <v/>
      </c>
      <c r="G412" s="12">
        <f>IFERROR(IF(SUMIFS(tblDaily[TransfersOut],tblDaily[EntryDate],DATE(2026,11,16),tblDaily[WardCode],"BH")=0,"",SUMIFS(tblDaily[TransfersOut],tblDaily[EntryDate],DATE(2026,11,16),tblDaily[WardCode],"BH")),"")</f>
        <v/>
      </c>
      <c r="H412" s="12">
        <f>IFERROR(IF(SUMIFS(tblDaily[Remaining],tblDaily[EntryDate],DATE(2026,11,16),tblDaily[WardCode],"BH")=0,"",SUMIFS(tblDaily[Remaining],tblDaily[EntryDate],DATE(2026,11,16),tblDaily[WardCode],"BH")),"")</f>
        <v/>
      </c>
    </row>
    <row r="413">
      <c r="A413" s="12" t="n">
        <v>17</v>
      </c>
      <c r="B413" s="12">
        <f>IFERROR(IF(SUMIFS(tblDaily[Admissions],tblDaily[EntryDate],DATE(2026,11,17),tblDaily[WardCode],"BH")=0,"",SUMIFS(tblDaily[Admissions],tblDaily[EntryDate],DATE(2026,11,17),tblDaily[WardCode],"BH")),"")</f>
        <v/>
      </c>
      <c r="C413" s="12">
        <f>IFERROR(IF(SUMIFS(tblDaily[Discharges],tblDaily[EntryDate],DATE(2026,11,17),tblDaily[WardCode],"BH")=0,"",SUMIFS(tblDaily[Discharges],tblDaily[EntryDate],DATE(2026,11,17),tblDaily[WardCode],"BH")),"")</f>
        <v/>
      </c>
      <c r="D413" s="12">
        <f>IFERROR(IF(SUMIFS(tblDaily[Deaths],tblDaily[EntryDate],DATE(2026,11,17),tblDaily[WardCode],"BH")=0,"",SUMIFS(tblDaily[Deaths],tblDaily[EntryDate],DATE(2026,11,17),tblDaily[WardCode],"BH")),"")</f>
        <v/>
      </c>
      <c r="E413" s="12">
        <f>IFERROR(IF(SUMIFS(tblDaily[DeathsUnder24Hrs],tblDaily[EntryDate],DATE(2026,11,17),tblDaily[WardCode],"BH")=0,"",SUMIFS(tblDaily[DeathsUnder24Hrs],tblDaily[EntryDate],DATE(2026,11,17),tblDaily[WardCode],"BH")),"")</f>
        <v/>
      </c>
      <c r="F413" s="12">
        <f>IFERROR(IF(SUMIFS(tblDaily[TransfersIn],tblDaily[EntryDate],DATE(2026,11,17),tblDaily[WardCode],"BH")=0,"",SUMIFS(tblDaily[TransfersIn],tblDaily[EntryDate],DATE(2026,11,17),tblDaily[WardCode],"BH")),"")</f>
        <v/>
      </c>
      <c r="G413" s="12">
        <f>IFERROR(IF(SUMIFS(tblDaily[TransfersOut],tblDaily[EntryDate],DATE(2026,11,17),tblDaily[WardCode],"BH")=0,"",SUMIFS(tblDaily[TransfersOut],tblDaily[EntryDate],DATE(2026,11,17),tblDaily[WardCode],"BH")),"")</f>
        <v/>
      </c>
      <c r="H413" s="12">
        <f>IFERROR(IF(SUMIFS(tblDaily[Remaining],tblDaily[EntryDate],DATE(2026,11,17),tblDaily[WardCode],"BH")=0,"",SUMIFS(tblDaily[Remaining],tblDaily[EntryDate],DATE(2026,11,17),tblDaily[WardCode],"BH")),"")</f>
        <v/>
      </c>
    </row>
    <row r="414">
      <c r="A414" s="12" t="n">
        <v>18</v>
      </c>
      <c r="B414" s="12">
        <f>IFERROR(IF(SUMIFS(tblDaily[Admissions],tblDaily[EntryDate],DATE(2026,11,18),tblDaily[WardCode],"BH")=0,"",SUMIFS(tblDaily[Admissions],tblDaily[EntryDate],DATE(2026,11,18),tblDaily[WardCode],"BH")),"")</f>
        <v/>
      </c>
      <c r="C414" s="12">
        <f>IFERROR(IF(SUMIFS(tblDaily[Discharges],tblDaily[EntryDate],DATE(2026,11,18),tblDaily[WardCode],"BH")=0,"",SUMIFS(tblDaily[Discharges],tblDaily[EntryDate],DATE(2026,11,18),tblDaily[WardCode],"BH")),"")</f>
        <v/>
      </c>
      <c r="D414" s="12">
        <f>IFERROR(IF(SUMIFS(tblDaily[Deaths],tblDaily[EntryDate],DATE(2026,11,18),tblDaily[WardCode],"BH")=0,"",SUMIFS(tblDaily[Deaths],tblDaily[EntryDate],DATE(2026,11,18),tblDaily[WardCode],"BH")),"")</f>
        <v/>
      </c>
      <c r="E414" s="12">
        <f>IFERROR(IF(SUMIFS(tblDaily[DeathsUnder24Hrs],tblDaily[EntryDate],DATE(2026,11,18),tblDaily[WardCode],"BH")=0,"",SUMIFS(tblDaily[DeathsUnder24Hrs],tblDaily[EntryDate],DATE(2026,11,18),tblDaily[WardCode],"BH")),"")</f>
        <v/>
      </c>
      <c r="F414" s="12">
        <f>IFERROR(IF(SUMIFS(tblDaily[TransfersIn],tblDaily[EntryDate],DATE(2026,11,18),tblDaily[WardCode],"BH")=0,"",SUMIFS(tblDaily[TransfersIn],tblDaily[EntryDate],DATE(2026,11,18),tblDaily[WardCode],"BH")),"")</f>
        <v/>
      </c>
      <c r="G414" s="12">
        <f>IFERROR(IF(SUMIFS(tblDaily[TransfersOut],tblDaily[EntryDate],DATE(2026,11,18),tblDaily[WardCode],"BH")=0,"",SUMIFS(tblDaily[TransfersOut],tblDaily[EntryDate],DATE(2026,11,18),tblDaily[WardCode],"BH")),"")</f>
        <v/>
      </c>
      <c r="H414" s="12">
        <f>IFERROR(IF(SUMIFS(tblDaily[Remaining],tblDaily[EntryDate],DATE(2026,11,18),tblDaily[WardCode],"BH")=0,"",SUMIFS(tblDaily[Remaining],tblDaily[EntryDate],DATE(2026,11,18),tblDaily[WardCode],"BH")),"")</f>
        <v/>
      </c>
    </row>
    <row r="415">
      <c r="A415" s="12" t="n">
        <v>19</v>
      </c>
      <c r="B415" s="12">
        <f>IFERROR(IF(SUMIFS(tblDaily[Admissions],tblDaily[EntryDate],DATE(2026,11,19),tblDaily[WardCode],"BH")=0,"",SUMIFS(tblDaily[Admissions],tblDaily[EntryDate],DATE(2026,11,19),tblDaily[WardCode],"BH")),"")</f>
        <v/>
      </c>
      <c r="C415" s="12">
        <f>IFERROR(IF(SUMIFS(tblDaily[Discharges],tblDaily[EntryDate],DATE(2026,11,19),tblDaily[WardCode],"BH")=0,"",SUMIFS(tblDaily[Discharges],tblDaily[EntryDate],DATE(2026,11,19),tblDaily[WardCode],"BH")),"")</f>
        <v/>
      </c>
      <c r="D415" s="12">
        <f>IFERROR(IF(SUMIFS(tblDaily[Deaths],tblDaily[EntryDate],DATE(2026,11,19),tblDaily[WardCode],"BH")=0,"",SUMIFS(tblDaily[Deaths],tblDaily[EntryDate],DATE(2026,11,19),tblDaily[WardCode],"BH")),"")</f>
        <v/>
      </c>
      <c r="E415" s="12">
        <f>IFERROR(IF(SUMIFS(tblDaily[DeathsUnder24Hrs],tblDaily[EntryDate],DATE(2026,11,19),tblDaily[WardCode],"BH")=0,"",SUMIFS(tblDaily[DeathsUnder24Hrs],tblDaily[EntryDate],DATE(2026,11,19),tblDaily[WardCode],"BH")),"")</f>
        <v/>
      </c>
      <c r="F415" s="12">
        <f>IFERROR(IF(SUMIFS(tblDaily[TransfersIn],tblDaily[EntryDate],DATE(2026,11,19),tblDaily[WardCode],"BH")=0,"",SUMIFS(tblDaily[TransfersIn],tblDaily[EntryDate],DATE(2026,11,19),tblDaily[WardCode],"BH")),"")</f>
        <v/>
      </c>
      <c r="G415" s="12">
        <f>IFERROR(IF(SUMIFS(tblDaily[TransfersOut],tblDaily[EntryDate],DATE(2026,11,19),tblDaily[WardCode],"BH")=0,"",SUMIFS(tblDaily[TransfersOut],tblDaily[EntryDate],DATE(2026,11,19),tblDaily[WardCode],"BH")),"")</f>
        <v/>
      </c>
      <c r="H415" s="12">
        <f>IFERROR(IF(SUMIFS(tblDaily[Remaining],tblDaily[EntryDate],DATE(2026,11,19),tblDaily[WardCode],"BH")=0,"",SUMIFS(tblDaily[Remaining],tblDaily[EntryDate],DATE(2026,11,19),tblDaily[WardCode],"BH")),"")</f>
        <v/>
      </c>
    </row>
    <row r="416">
      <c r="A416" s="12" t="n">
        <v>20</v>
      </c>
      <c r="B416" s="12">
        <f>IFERROR(IF(SUMIFS(tblDaily[Admissions],tblDaily[EntryDate],DATE(2026,11,20),tblDaily[WardCode],"BH")=0,"",SUMIFS(tblDaily[Admissions],tblDaily[EntryDate],DATE(2026,11,20),tblDaily[WardCode],"BH")),"")</f>
        <v/>
      </c>
      <c r="C416" s="12">
        <f>IFERROR(IF(SUMIFS(tblDaily[Discharges],tblDaily[EntryDate],DATE(2026,11,20),tblDaily[WardCode],"BH")=0,"",SUMIFS(tblDaily[Discharges],tblDaily[EntryDate],DATE(2026,11,20),tblDaily[WardCode],"BH")),"")</f>
        <v/>
      </c>
      <c r="D416" s="12">
        <f>IFERROR(IF(SUMIFS(tblDaily[Deaths],tblDaily[EntryDate],DATE(2026,11,20),tblDaily[WardCode],"BH")=0,"",SUMIFS(tblDaily[Deaths],tblDaily[EntryDate],DATE(2026,11,20),tblDaily[WardCode],"BH")),"")</f>
        <v/>
      </c>
      <c r="E416" s="12">
        <f>IFERROR(IF(SUMIFS(tblDaily[DeathsUnder24Hrs],tblDaily[EntryDate],DATE(2026,11,20),tblDaily[WardCode],"BH")=0,"",SUMIFS(tblDaily[DeathsUnder24Hrs],tblDaily[EntryDate],DATE(2026,11,20),tblDaily[WardCode],"BH")),"")</f>
        <v/>
      </c>
      <c r="F416" s="12">
        <f>IFERROR(IF(SUMIFS(tblDaily[TransfersIn],tblDaily[EntryDate],DATE(2026,11,20),tblDaily[WardCode],"BH")=0,"",SUMIFS(tblDaily[TransfersIn],tblDaily[EntryDate],DATE(2026,11,20),tblDaily[WardCode],"BH")),"")</f>
        <v/>
      </c>
      <c r="G416" s="12">
        <f>IFERROR(IF(SUMIFS(tblDaily[TransfersOut],tblDaily[EntryDate],DATE(2026,11,20),tblDaily[WardCode],"BH")=0,"",SUMIFS(tblDaily[TransfersOut],tblDaily[EntryDate],DATE(2026,11,20),tblDaily[WardCode],"BH")),"")</f>
        <v/>
      </c>
      <c r="H416" s="12">
        <f>IFERROR(IF(SUMIFS(tblDaily[Remaining],tblDaily[EntryDate],DATE(2026,11,20),tblDaily[WardCode],"BH")=0,"",SUMIFS(tblDaily[Remaining],tblDaily[EntryDate],DATE(2026,11,20),tblDaily[WardCode],"BH")),"")</f>
        <v/>
      </c>
    </row>
    <row r="417">
      <c r="A417" s="12" t="n">
        <v>21</v>
      </c>
      <c r="B417" s="12">
        <f>IFERROR(IF(SUMIFS(tblDaily[Admissions],tblDaily[EntryDate],DATE(2026,11,21),tblDaily[WardCode],"BH")=0,"",SUMIFS(tblDaily[Admissions],tblDaily[EntryDate],DATE(2026,11,21),tblDaily[WardCode],"BH")),"")</f>
        <v/>
      </c>
      <c r="C417" s="12">
        <f>IFERROR(IF(SUMIFS(tblDaily[Discharges],tblDaily[EntryDate],DATE(2026,11,21),tblDaily[WardCode],"BH")=0,"",SUMIFS(tblDaily[Discharges],tblDaily[EntryDate],DATE(2026,11,21),tblDaily[WardCode],"BH")),"")</f>
        <v/>
      </c>
      <c r="D417" s="12">
        <f>IFERROR(IF(SUMIFS(tblDaily[Deaths],tblDaily[EntryDate],DATE(2026,11,21),tblDaily[WardCode],"BH")=0,"",SUMIFS(tblDaily[Deaths],tblDaily[EntryDate],DATE(2026,11,21),tblDaily[WardCode],"BH")),"")</f>
        <v/>
      </c>
      <c r="E417" s="12">
        <f>IFERROR(IF(SUMIFS(tblDaily[DeathsUnder24Hrs],tblDaily[EntryDate],DATE(2026,11,21),tblDaily[WardCode],"BH")=0,"",SUMIFS(tblDaily[DeathsUnder24Hrs],tblDaily[EntryDate],DATE(2026,11,21),tblDaily[WardCode],"BH")),"")</f>
        <v/>
      </c>
      <c r="F417" s="12">
        <f>IFERROR(IF(SUMIFS(tblDaily[TransfersIn],tblDaily[EntryDate],DATE(2026,11,21),tblDaily[WardCode],"BH")=0,"",SUMIFS(tblDaily[TransfersIn],tblDaily[EntryDate],DATE(2026,11,21),tblDaily[WardCode],"BH")),"")</f>
        <v/>
      </c>
      <c r="G417" s="12">
        <f>IFERROR(IF(SUMIFS(tblDaily[TransfersOut],tblDaily[EntryDate],DATE(2026,11,21),tblDaily[WardCode],"BH")=0,"",SUMIFS(tblDaily[TransfersOut],tblDaily[EntryDate],DATE(2026,11,21),tblDaily[WardCode],"BH")),"")</f>
        <v/>
      </c>
      <c r="H417" s="12">
        <f>IFERROR(IF(SUMIFS(tblDaily[Remaining],tblDaily[EntryDate],DATE(2026,11,21),tblDaily[WardCode],"BH")=0,"",SUMIFS(tblDaily[Remaining],tblDaily[EntryDate],DATE(2026,11,21),tblDaily[WardCode],"BH")),"")</f>
        <v/>
      </c>
    </row>
    <row r="418">
      <c r="A418" s="12" t="n">
        <v>22</v>
      </c>
      <c r="B418" s="12">
        <f>IFERROR(IF(SUMIFS(tblDaily[Admissions],tblDaily[EntryDate],DATE(2026,11,22),tblDaily[WardCode],"BH")=0,"",SUMIFS(tblDaily[Admissions],tblDaily[EntryDate],DATE(2026,11,22),tblDaily[WardCode],"BH")),"")</f>
        <v/>
      </c>
      <c r="C418" s="12">
        <f>IFERROR(IF(SUMIFS(tblDaily[Discharges],tblDaily[EntryDate],DATE(2026,11,22),tblDaily[WardCode],"BH")=0,"",SUMIFS(tblDaily[Discharges],tblDaily[EntryDate],DATE(2026,11,22),tblDaily[WardCode],"BH")),"")</f>
        <v/>
      </c>
      <c r="D418" s="12">
        <f>IFERROR(IF(SUMIFS(tblDaily[Deaths],tblDaily[EntryDate],DATE(2026,11,22),tblDaily[WardCode],"BH")=0,"",SUMIFS(tblDaily[Deaths],tblDaily[EntryDate],DATE(2026,11,22),tblDaily[WardCode],"BH")),"")</f>
        <v/>
      </c>
      <c r="E418" s="12">
        <f>IFERROR(IF(SUMIFS(tblDaily[DeathsUnder24Hrs],tblDaily[EntryDate],DATE(2026,11,22),tblDaily[WardCode],"BH")=0,"",SUMIFS(tblDaily[DeathsUnder24Hrs],tblDaily[EntryDate],DATE(2026,11,22),tblDaily[WardCode],"BH")),"")</f>
        <v/>
      </c>
      <c r="F418" s="12">
        <f>IFERROR(IF(SUMIFS(tblDaily[TransfersIn],tblDaily[EntryDate],DATE(2026,11,22),tblDaily[WardCode],"BH")=0,"",SUMIFS(tblDaily[TransfersIn],tblDaily[EntryDate],DATE(2026,11,22),tblDaily[WardCode],"BH")),"")</f>
        <v/>
      </c>
      <c r="G418" s="12">
        <f>IFERROR(IF(SUMIFS(tblDaily[TransfersOut],tblDaily[EntryDate],DATE(2026,11,22),tblDaily[WardCode],"BH")=0,"",SUMIFS(tblDaily[TransfersOut],tblDaily[EntryDate],DATE(2026,11,22),tblDaily[WardCode],"BH")),"")</f>
        <v/>
      </c>
      <c r="H418" s="12">
        <f>IFERROR(IF(SUMIFS(tblDaily[Remaining],tblDaily[EntryDate],DATE(2026,11,22),tblDaily[WardCode],"BH")=0,"",SUMIFS(tblDaily[Remaining],tblDaily[EntryDate],DATE(2026,11,22),tblDaily[WardCode],"BH")),"")</f>
        <v/>
      </c>
    </row>
    <row r="419">
      <c r="A419" s="12" t="n">
        <v>23</v>
      </c>
      <c r="B419" s="12">
        <f>IFERROR(IF(SUMIFS(tblDaily[Admissions],tblDaily[EntryDate],DATE(2026,11,23),tblDaily[WardCode],"BH")=0,"",SUMIFS(tblDaily[Admissions],tblDaily[EntryDate],DATE(2026,11,23),tblDaily[WardCode],"BH")),"")</f>
        <v/>
      </c>
      <c r="C419" s="12">
        <f>IFERROR(IF(SUMIFS(tblDaily[Discharges],tblDaily[EntryDate],DATE(2026,11,23),tblDaily[WardCode],"BH")=0,"",SUMIFS(tblDaily[Discharges],tblDaily[EntryDate],DATE(2026,11,23),tblDaily[WardCode],"BH")),"")</f>
        <v/>
      </c>
      <c r="D419" s="12">
        <f>IFERROR(IF(SUMIFS(tblDaily[Deaths],tblDaily[EntryDate],DATE(2026,11,23),tblDaily[WardCode],"BH")=0,"",SUMIFS(tblDaily[Deaths],tblDaily[EntryDate],DATE(2026,11,23),tblDaily[WardCode],"BH")),"")</f>
        <v/>
      </c>
      <c r="E419" s="12">
        <f>IFERROR(IF(SUMIFS(tblDaily[DeathsUnder24Hrs],tblDaily[EntryDate],DATE(2026,11,23),tblDaily[WardCode],"BH")=0,"",SUMIFS(tblDaily[DeathsUnder24Hrs],tblDaily[EntryDate],DATE(2026,11,23),tblDaily[WardCode],"BH")),"")</f>
        <v/>
      </c>
      <c r="F419" s="12">
        <f>IFERROR(IF(SUMIFS(tblDaily[TransfersIn],tblDaily[EntryDate],DATE(2026,11,23),tblDaily[WardCode],"BH")=0,"",SUMIFS(tblDaily[TransfersIn],tblDaily[EntryDate],DATE(2026,11,23),tblDaily[WardCode],"BH")),"")</f>
        <v/>
      </c>
      <c r="G419" s="12">
        <f>IFERROR(IF(SUMIFS(tblDaily[TransfersOut],tblDaily[EntryDate],DATE(2026,11,23),tblDaily[WardCode],"BH")=0,"",SUMIFS(tblDaily[TransfersOut],tblDaily[EntryDate],DATE(2026,11,23),tblDaily[WardCode],"BH")),"")</f>
        <v/>
      </c>
      <c r="H419" s="12">
        <f>IFERROR(IF(SUMIFS(tblDaily[Remaining],tblDaily[EntryDate],DATE(2026,11,23),tblDaily[WardCode],"BH")=0,"",SUMIFS(tblDaily[Remaining],tblDaily[EntryDate],DATE(2026,11,23),tblDaily[WardCode],"BH")),"")</f>
        <v/>
      </c>
    </row>
    <row r="420">
      <c r="A420" s="12" t="n">
        <v>24</v>
      </c>
      <c r="B420" s="12">
        <f>IFERROR(IF(SUMIFS(tblDaily[Admissions],tblDaily[EntryDate],DATE(2026,11,24),tblDaily[WardCode],"BH")=0,"",SUMIFS(tblDaily[Admissions],tblDaily[EntryDate],DATE(2026,11,24),tblDaily[WardCode],"BH")),"")</f>
        <v/>
      </c>
      <c r="C420" s="12">
        <f>IFERROR(IF(SUMIFS(tblDaily[Discharges],tblDaily[EntryDate],DATE(2026,11,24),tblDaily[WardCode],"BH")=0,"",SUMIFS(tblDaily[Discharges],tblDaily[EntryDate],DATE(2026,11,24),tblDaily[WardCode],"BH")),"")</f>
        <v/>
      </c>
      <c r="D420" s="12">
        <f>IFERROR(IF(SUMIFS(tblDaily[Deaths],tblDaily[EntryDate],DATE(2026,11,24),tblDaily[WardCode],"BH")=0,"",SUMIFS(tblDaily[Deaths],tblDaily[EntryDate],DATE(2026,11,24),tblDaily[WardCode],"BH")),"")</f>
        <v/>
      </c>
      <c r="E420" s="12">
        <f>IFERROR(IF(SUMIFS(tblDaily[DeathsUnder24Hrs],tblDaily[EntryDate],DATE(2026,11,24),tblDaily[WardCode],"BH")=0,"",SUMIFS(tblDaily[DeathsUnder24Hrs],tblDaily[EntryDate],DATE(2026,11,24),tblDaily[WardCode],"BH")),"")</f>
        <v/>
      </c>
      <c r="F420" s="12">
        <f>IFERROR(IF(SUMIFS(tblDaily[TransfersIn],tblDaily[EntryDate],DATE(2026,11,24),tblDaily[WardCode],"BH")=0,"",SUMIFS(tblDaily[TransfersIn],tblDaily[EntryDate],DATE(2026,11,24),tblDaily[WardCode],"BH")),"")</f>
        <v/>
      </c>
      <c r="G420" s="12">
        <f>IFERROR(IF(SUMIFS(tblDaily[TransfersOut],tblDaily[EntryDate],DATE(2026,11,24),tblDaily[WardCode],"BH")=0,"",SUMIFS(tblDaily[TransfersOut],tblDaily[EntryDate],DATE(2026,11,24),tblDaily[WardCode],"BH")),"")</f>
        <v/>
      </c>
      <c r="H420" s="12">
        <f>IFERROR(IF(SUMIFS(tblDaily[Remaining],tblDaily[EntryDate],DATE(2026,11,24),tblDaily[WardCode],"BH")=0,"",SUMIFS(tblDaily[Remaining],tblDaily[EntryDate],DATE(2026,11,24),tblDaily[WardCode],"BH")),"")</f>
        <v/>
      </c>
    </row>
    <row r="421">
      <c r="A421" s="12" t="n">
        <v>25</v>
      </c>
      <c r="B421" s="12">
        <f>IFERROR(IF(SUMIFS(tblDaily[Admissions],tblDaily[EntryDate],DATE(2026,11,25),tblDaily[WardCode],"BH")=0,"",SUMIFS(tblDaily[Admissions],tblDaily[EntryDate],DATE(2026,11,25),tblDaily[WardCode],"BH")),"")</f>
        <v/>
      </c>
      <c r="C421" s="12">
        <f>IFERROR(IF(SUMIFS(tblDaily[Discharges],tblDaily[EntryDate],DATE(2026,11,25),tblDaily[WardCode],"BH")=0,"",SUMIFS(tblDaily[Discharges],tblDaily[EntryDate],DATE(2026,11,25),tblDaily[WardCode],"BH")),"")</f>
        <v/>
      </c>
      <c r="D421" s="12">
        <f>IFERROR(IF(SUMIFS(tblDaily[Deaths],tblDaily[EntryDate],DATE(2026,11,25),tblDaily[WardCode],"BH")=0,"",SUMIFS(tblDaily[Deaths],tblDaily[EntryDate],DATE(2026,11,25),tblDaily[WardCode],"BH")),"")</f>
        <v/>
      </c>
      <c r="E421" s="12">
        <f>IFERROR(IF(SUMIFS(tblDaily[DeathsUnder24Hrs],tblDaily[EntryDate],DATE(2026,11,25),tblDaily[WardCode],"BH")=0,"",SUMIFS(tblDaily[DeathsUnder24Hrs],tblDaily[EntryDate],DATE(2026,11,25),tblDaily[WardCode],"BH")),"")</f>
        <v/>
      </c>
      <c r="F421" s="12">
        <f>IFERROR(IF(SUMIFS(tblDaily[TransfersIn],tblDaily[EntryDate],DATE(2026,11,25),tblDaily[WardCode],"BH")=0,"",SUMIFS(tblDaily[TransfersIn],tblDaily[EntryDate],DATE(2026,11,25),tblDaily[WardCode],"BH")),"")</f>
        <v/>
      </c>
      <c r="G421" s="12">
        <f>IFERROR(IF(SUMIFS(tblDaily[TransfersOut],tblDaily[EntryDate],DATE(2026,11,25),tblDaily[WardCode],"BH")=0,"",SUMIFS(tblDaily[TransfersOut],tblDaily[EntryDate],DATE(2026,11,25),tblDaily[WardCode],"BH")),"")</f>
        <v/>
      </c>
      <c r="H421" s="12">
        <f>IFERROR(IF(SUMIFS(tblDaily[Remaining],tblDaily[EntryDate],DATE(2026,11,25),tblDaily[WardCode],"BH")=0,"",SUMIFS(tblDaily[Remaining],tblDaily[EntryDate],DATE(2026,11,25),tblDaily[WardCode],"BH")),"")</f>
        <v/>
      </c>
    </row>
    <row r="422">
      <c r="A422" s="12" t="n">
        <v>26</v>
      </c>
      <c r="B422" s="12">
        <f>IFERROR(IF(SUMIFS(tblDaily[Admissions],tblDaily[EntryDate],DATE(2026,11,26),tblDaily[WardCode],"BH")=0,"",SUMIFS(tblDaily[Admissions],tblDaily[EntryDate],DATE(2026,11,26),tblDaily[WardCode],"BH")),"")</f>
        <v/>
      </c>
      <c r="C422" s="12">
        <f>IFERROR(IF(SUMIFS(tblDaily[Discharges],tblDaily[EntryDate],DATE(2026,11,26),tblDaily[WardCode],"BH")=0,"",SUMIFS(tblDaily[Discharges],tblDaily[EntryDate],DATE(2026,11,26),tblDaily[WardCode],"BH")),"")</f>
        <v/>
      </c>
      <c r="D422" s="12">
        <f>IFERROR(IF(SUMIFS(tblDaily[Deaths],tblDaily[EntryDate],DATE(2026,11,26),tblDaily[WardCode],"BH")=0,"",SUMIFS(tblDaily[Deaths],tblDaily[EntryDate],DATE(2026,11,26),tblDaily[WardCode],"BH")),"")</f>
        <v/>
      </c>
      <c r="E422" s="12">
        <f>IFERROR(IF(SUMIFS(tblDaily[DeathsUnder24Hrs],tblDaily[EntryDate],DATE(2026,11,26),tblDaily[WardCode],"BH")=0,"",SUMIFS(tblDaily[DeathsUnder24Hrs],tblDaily[EntryDate],DATE(2026,11,26),tblDaily[WardCode],"BH")),"")</f>
        <v/>
      </c>
      <c r="F422" s="12">
        <f>IFERROR(IF(SUMIFS(tblDaily[TransfersIn],tblDaily[EntryDate],DATE(2026,11,26),tblDaily[WardCode],"BH")=0,"",SUMIFS(tblDaily[TransfersIn],tblDaily[EntryDate],DATE(2026,11,26),tblDaily[WardCode],"BH")),"")</f>
        <v/>
      </c>
      <c r="G422" s="12">
        <f>IFERROR(IF(SUMIFS(tblDaily[TransfersOut],tblDaily[EntryDate],DATE(2026,11,26),tblDaily[WardCode],"BH")=0,"",SUMIFS(tblDaily[TransfersOut],tblDaily[EntryDate],DATE(2026,11,26),tblDaily[WardCode],"BH")),"")</f>
        <v/>
      </c>
      <c r="H422" s="12">
        <f>IFERROR(IF(SUMIFS(tblDaily[Remaining],tblDaily[EntryDate],DATE(2026,11,26),tblDaily[WardCode],"BH")=0,"",SUMIFS(tblDaily[Remaining],tblDaily[EntryDate],DATE(2026,11,26),tblDaily[WardCode],"BH")),"")</f>
        <v/>
      </c>
    </row>
    <row r="423">
      <c r="A423" s="12" t="n">
        <v>27</v>
      </c>
      <c r="B423" s="12">
        <f>IFERROR(IF(SUMIFS(tblDaily[Admissions],tblDaily[EntryDate],DATE(2026,11,27),tblDaily[WardCode],"BH")=0,"",SUMIFS(tblDaily[Admissions],tblDaily[EntryDate],DATE(2026,11,27),tblDaily[WardCode],"BH")),"")</f>
        <v/>
      </c>
      <c r="C423" s="12">
        <f>IFERROR(IF(SUMIFS(tblDaily[Discharges],tblDaily[EntryDate],DATE(2026,11,27),tblDaily[WardCode],"BH")=0,"",SUMIFS(tblDaily[Discharges],tblDaily[EntryDate],DATE(2026,11,27),tblDaily[WardCode],"BH")),"")</f>
        <v/>
      </c>
      <c r="D423" s="12">
        <f>IFERROR(IF(SUMIFS(tblDaily[Deaths],tblDaily[EntryDate],DATE(2026,11,27),tblDaily[WardCode],"BH")=0,"",SUMIFS(tblDaily[Deaths],tblDaily[EntryDate],DATE(2026,11,27),tblDaily[WardCode],"BH")),"")</f>
        <v/>
      </c>
      <c r="E423" s="12">
        <f>IFERROR(IF(SUMIFS(tblDaily[DeathsUnder24Hrs],tblDaily[EntryDate],DATE(2026,11,27),tblDaily[WardCode],"BH")=0,"",SUMIFS(tblDaily[DeathsUnder24Hrs],tblDaily[EntryDate],DATE(2026,11,27),tblDaily[WardCode],"BH")),"")</f>
        <v/>
      </c>
      <c r="F423" s="12">
        <f>IFERROR(IF(SUMIFS(tblDaily[TransfersIn],tblDaily[EntryDate],DATE(2026,11,27),tblDaily[WardCode],"BH")=0,"",SUMIFS(tblDaily[TransfersIn],tblDaily[EntryDate],DATE(2026,11,27),tblDaily[WardCode],"BH")),"")</f>
        <v/>
      </c>
      <c r="G423" s="12">
        <f>IFERROR(IF(SUMIFS(tblDaily[TransfersOut],tblDaily[EntryDate],DATE(2026,11,27),tblDaily[WardCode],"BH")=0,"",SUMIFS(tblDaily[TransfersOut],tblDaily[EntryDate],DATE(2026,11,27),tblDaily[WardCode],"BH")),"")</f>
        <v/>
      </c>
      <c r="H423" s="12">
        <f>IFERROR(IF(SUMIFS(tblDaily[Remaining],tblDaily[EntryDate],DATE(2026,11,27),tblDaily[WardCode],"BH")=0,"",SUMIFS(tblDaily[Remaining],tblDaily[EntryDate],DATE(2026,11,27),tblDaily[WardCode],"BH")),"")</f>
        <v/>
      </c>
    </row>
    <row r="424">
      <c r="A424" s="12" t="n">
        <v>28</v>
      </c>
      <c r="B424" s="12">
        <f>IFERROR(IF(SUMIFS(tblDaily[Admissions],tblDaily[EntryDate],DATE(2026,11,28),tblDaily[WardCode],"BH")=0,"",SUMIFS(tblDaily[Admissions],tblDaily[EntryDate],DATE(2026,11,28),tblDaily[WardCode],"BH")),"")</f>
        <v/>
      </c>
      <c r="C424" s="12">
        <f>IFERROR(IF(SUMIFS(tblDaily[Discharges],tblDaily[EntryDate],DATE(2026,11,28),tblDaily[WardCode],"BH")=0,"",SUMIFS(tblDaily[Discharges],tblDaily[EntryDate],DATE(2026,11,28),tblDaily[WardCode],"BH")),"")</f>
        <v/>
      </c>
      <c r="D424" s="12">
        <f>IFERROR(IF(SUMIFS(tblDaily[Deaths],tblDaily[EntryDate],DATE(2026,11,28),tblDaily[WardCode],"BH")=0,"",SUMIFS(tblDaily[Deaths],tblDaily[EntryDate],DATE(2026,11,28),tblDaily[WardCode],"BH")),"")</f>
        <v/>
      </c>
      <c r="E424" s="12">
        <f>IFERROR(IF(SUMIFS(tblDaily[DeathsUnder24Hrs],tblDaily[EntryDate],DATE(2026,11,28),tblDaily[WardCode],"BH")=0,"",SUMIFS(tblDaily[DeathsUnder24Hrs],tblDaily[EntryDate],DATE(2026,11,28),tblDaily[WardCode],"BH")),"")</f>
        <v/>
      </c>
      <c r="F424" s="12">
        <f>IFERROR(IF(SUMIFS(tblDaily[TransfersIn],tblDaily[EntryDate],DATE(2026,11,28),tblDaily[WardCode],"BH")=0,"",SUMIFS(tblDaily[TransfersIn],tblDaily[EntryDate],DATE(2026,11,28),tblDaily[WardCode],"BH")),"")</f>
        <v/>
      </c>
      <c r="G424" s="12">
        <f>IFERROR(IF(SUMIFS(tblDaily[TransfersOut],tblDaily[EntryDate],DATE(2026,11,28),tblDaily[WardCode],"BH")=0,"",SUMIFS(tblDaily[TransfersOut],tblDaily[EntryDate],DATE(2026,11,28),tblDaily[WardCode],"BH")),"")</f>
        <v/>
      </c>
      <c r="H424" s="12">
        <f>IFERROR(IF(SUMIFS(tblDaily[Remaining],tblDaily[EntryDate],DATE(2026,11,28),tblDaily[WardCode],"BH")=0,"",SUMIFS(tblDaily[Remaining],tblDaily[EntryDate],DATE(2026,11,28),tblDaily[WardCode],"BH")),"")</f>
        <v/>
      </c>
    </row>
    <row r="425">
      <c r="A425" s="12" t="n">
        <v>29</v>
      </c>
      <c r="B425" s="12">
        <f>IFERROR(IF(SUMIFS(tblDaily[Admissions],tblDaily[EntryDate],DATE(2026,11,29),tblDaily[WardCode],"BH")=0,"",SUMIFS(tblDaily[Admissions],tblDaily[EntryDate],DATE(2026,11,29),tblDaily[WardCode],"BH")),"")</f>
        <v/>
      </c>
      <c r="C425" s="12">
        <f>IFERROR(IF(SUMIFS(tblDaily[Discharges],tblDaily[EntryDate],DATE(2026,11,29),tblDaily[WardCode],"BH")=0,"",SUMIFS(tblDaily[Discharges],tblDaily[EntryDate],DATE(2026,11,29),tblDaily[WardCode],"BH")),"")</f>
        <v/>
      </c>
      <c r="D425" s="12">
        <f>IFERROR(IF(SUMIFS(tblDaily[Deaths],tblDaily[EntryDate],DATE(2026,11,29),tblDaily[WardCode],"BH")=0,"",SUMIFS(tblDaily[Deaths],tblDaily[EntryDate],DATE(2026,11,29),tblDaily[WardCode],"BH")),"")</f>
        <v/>
      </c>
      <c r="E425" s="12">
        <f>IFERROR(IF(SUMIFS(tblDaily[DeathsUnder24Hrs],tblDaily[EntryDate],DATE(2026,11,29),tblDaily[WardCode],"BH")=0,"",SUMIFS(tblDaily[DeathsUnder24Hrs],tblDaily[EntryDate],DATE(2026,11,29),tblDaily[WardCode],"BH")),"")</f>
        <v/>
      </c>
      <c r="F425" s="12">
        <f>IFERROR(IF(SUMIFS(tblDaily[TransfersIn],tblDaily[EntryDate],DATE(2026,11,29),tblDaily[WardCode],"BH")=0,"",SUMIFS(tblDaily[TransfersIn],tblDaily[EntryDate],DATE(2026,11,29),tblDaily[WardCode],"BH")),"")</f>
        <v/>
      </c>
      <c r="G425" s="12">
        <f>IFERROR(IF(SUMIFS(tblDaily[TransfersOut],tblDaily[EntryDate],DATE(2026,11,29),tblDaily[WardCode],"BH")=0,"",SUMIFS(tblDaily[TransfersOut],tblDaily[EntryDate],DATE(2026,11,29),tblDaily[WardCode],"BH")),"")</f>
        <v/>
      </c>
      <c r="H425" s="12">
        <f>IFERROR(IF(SUMIFS(tblDaily[Remaining],tblDaily[EntryDate],DATE(2026,11,29),tblDaily[WardCode],"BH")=0,"",SUMIFS(tblDaily[Remaining],tblDaily[EntryDate],DATE(2026,11,29),tblDaily[WardCode],"BH")),"")</f>
        <v/>
      </c>
    </row>
    <row r="426">
      <c r="A426" s="12" t="n">
        <v>30</v>
      </c>
      <c r="B426" s="12">
        <f>IFERROR(IF(SUMIFS(tblDaily[Admissions],tblDaily[EntryDate],DATE(2026,11,30),tblDaily[WardCode],"BH")=0,"",SUMIFS(tblDaily[Admissions],tblDaily[EntryDate],DATE(2026,11,30),tblDaily[WardCode],"BH")),"")</f>
        <v/>
      </c>
      <c r="C426" s="12">
        <f>IFERROR(IF(SUMIFS(tblDaily[Discharges],tblDaily[EntryDate],DATE(2026,11,30),tblDaily[WardCode],"BH")=0,"",SUMIFS(tblDaily[Discharges],tblDaily[EntryDate],DATE(2026,11,30),tblDaily[WardCode],"BH")),"")</f>
        <v/>
      </c>
      <c r="D426" s="12">
        <f>IFERROR(IF(SUMIFS(tblDaily[Deaths],tblDaily[EntryDate],DATE(2026,11,30),tblDaily[WardCode],"BH")=0,"",SUMIFS(tblDaily[Deaths],tblDaily[EntryDate],DATE(2026,11,30),tblDaily[WardCode],"BH")),"")</f>
        <v/>
      </c>
      <c r="E426" s="12">
        <f>IFERROR(IF(SUMIFS(tblDaily[DeathsUnder24Hrs],tblDaily[EntryDate],DATE(2026,11,30),tblDaily[WardCode],"BH")=0,"",SUMIFS(tblDaily[DeathsUnder24Hrs],tblDaily[EntryDate],DATE(2026,11,30),tblDaily[WardCode],"BH")),"")</f>
        <v/>
      </c>
      <c r="F426" s="12">
        <f>IFERROR(IF(SUMIFS(tblDaily[TransfersIn],tblDaily[EntryDate],DATE(2026,11,30),tblDaily[WardCode],"BH")=0,"",SUMIFS(tblDaily[TransfersIn],tblDaily[EntryDate],DATE(2026,11,30),tblDaily[WardCode],"BH")),"")</f>
        <v/>
      </c>
      <c r="G426" s="12">
        <f>IFERROR(IF(SUMIFS(tblDaily[TransfersOut],tblDaily[EntryDate],DATE(2026,11,30),tblDaily[WardCode],"BH")=0,"",SUMIFS(tblDaily[TransfersOut],tblDaily[EntryDate],DATE(2026,11,30),tblDaily[WardCode],"BH")),"")</f>
        <v/>
      </c>
      <c r="H426" s="12">
        <f>IFERROR(IF(SUMIFS(tblDaily[Remaining],tblDaily[EntryDate],DATE(2026,11,30),tblDaily[WardCode],"BH")=0,"",SUMIFS(tblDaily[Remaining],tblDaily[EntryDate],DATE(2026,11,30),tblDaily[WardCode],"BH")),"")</f>
        <v/>
      </c>
    </row>
    <row r="427">
      <c r="A427" s="12" t="n">
        <v>31</v>
      </c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7" t="inlineStr">
        <is>
          <t>TOTAL</t>
        </is>
      </c>
      <c r="B428" s="17">
        <f>SUMIFS(tblDaily[Admissions],tblDaily[Month],11,tblDaily[WardCode],"BH") - SUMIFS(tblDaily[DeathsUnder24Hrs],tblDaily[Month],11,tblDaily[WardCode],"BH")</f>
        <v/>
      </c>
      <c r="C428" s="17">
        <f>SUMIFS(tblDaily[Discharges],tblDaily[Month],11,tblDaily[WardCode],"BH")</f>
        <v/>
      </c>
      <c r="D428" s="17">
        <f>SUMIFS(tblDaily[Deaths],tblDaily[Month],11,tblDaily[WardCode],"BH")</f>
        <v/>
      </c>
      <c r="E428" s="17">
        <f>SUMIFS(tblDaily[DeathsUnder24Hrs],tblDaily[Month],11,tblDaily[WardCode],"BH")</f>
        <v/>
      </c>
      <c r="F428" s="17">
        <f>SUMIFS(tblDaily[TransfersIn],tblDaily[Month],11,tblDaily[WardCode],"BH")</f>
        <v/>
      </c>
      <c r="G428" s="17">
        <f>SUMIFS(tblDaily[TransfersOut],tblDaily[Month],11,tblDaily[WardCode],"BH")</f>
        <v/>
      </c>
      <c r="H428" s="17">
        <f>SUMIFS(tblDaily[Remaining],tblDaily[Month],11,tblDaily[WardCode],"BH")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BLOCK H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4">
        <f>IFERROR(SUMIFS(tblDaily[Remaining],tblDaily[EntryDate],DATE(2026,11,30),tblDaily[WardCode],"BH"),0)</f>
        <v/>
      </c>
    </row>
    <row r="434">
      <c r="A434" s="4" t="inlineStr">
        <is>
          <t>Bed complement</t>
        </is>
      </c>
      <c r="H434" s="15">
        <f>IFERROR(INDEX(tblWardConfig[BedComplement],MATCH("BH",tblWardConfig[WardCode],0)),0)</f>
        <v/>
      </c>
    </row>
    <row r="435">
      <c r="A435" s="16" t="inlineStr">
        <is>
          <t>Day of
the
Month</t>
        </is>
      </c>
      <c r="B435" s="16" t="inlineStr">
        <is>
          <t>Admissions</t>
        </is>
      </c>
      <c r="C435" s="16" t="inlineStr">
        <is>
          <t>Discharges</t>
        </is>
      </c>
      <c r="D435" s="16" t="inlineStr">
        <is>
          <t>Deaths</t>
        </is>
      </c>
      <c r="E435" s="16" t="inlineStr">
        <is>
          <t>Deaths
&lt;24Hrs</t>
        </is>
      </c>
      <c r="F435" s="16" t="inlineStr">
        <is>
          <t>Transfers-
In</t>
        </is>
      </c>
      <c r="G435" s="16" t="inlineStr">
        <is>
          <t>Transfers-
Out</t>
        </is>
      </c>
      <c r="H435" s="16" t="inlineStr">
        <is>
          <t>No. of Patients
Remaining In
Ward</t>
        </is>
      </c>
    </row>
    <row r="436">
      <c r="A436" s="12" t="n">
        <v>1</v>
      </c>
      <c r="B436" s="12">
        <f>IFERROR(IF(SUMIFS(tblDaily[Admissions],tblDaily[EntryDate],DATE(2026,12,1),tblDaily[WardCode],"BH")=0,"",SUMIFS(tblDaily[Admissions],tblDaily[EntryDate],DATE(2026,12,1),tblDaily[WardCode],"BH")),"")</f>
        <v/>
      </c>
      <c r="C436" s="12">
        <f>IFERROR(IF(SUMIFS(tblDaily[Discharges],tblDaily[EntryDate],DATE(2026,12,1),tblDaily[WardCode],"BH")=0,"",SUMIFS(tblDaily[Discharges],tblDaily[EntryDate],DATE(2026,12,1),tblDaily[WardCode],"BH")),"")</f>
        <v/>
      </c>
      <c r="D436" s="12">
        <f>IFERROR(IF(SUMIFS(tblDaily[Deaths],tblDaily[EntryDate],DATE(2026,12,1),tblDaily[WardCode],"BH")=0,"",SUMIFS(tblDaily[Deaths],tblDaily[EntryDate],DATE(2026,12,1),tblDaily[WardCode],"BH")),"")</f>
        <v/>
      </c>
      <c r="E436" s="12">
        <f>IFERROR(IF(SUMIFS(tblDaily[DeathsUnder24Hrs],tblDaily[EntryDate],DATE(2026,12,1),tblDaily[WardCode],"BH")=0,"",SUMIFS(tblDaily[DeathsUnder24Hrs],tblDaily[EntryDate],DATE(2026,12,1),tblDaily[WardCode],"BH")),"")</f>
        <v/>
      </c>
      <c r="F436" s="12">
        <f>IFERROR(IF(SUMIFS(tblDaily[TransfersIn],tblDaily[EntryDate],DATE(2026,12,1),tblDaily[WardCode],"BH")=0,"",SUMIFS(tblDaily[TransfersIn],tblDaily[EntryDate],DATE(2026,12,1),tblDaily[WardCode],"BH")),"")</f>
        <v/>
      </c>
      <c r="G436" s="12">
        <f>IFERROR(IF(SUMIFS(tblDaily[TransfersOut],tblDaily[EntryDate],DATE(2026,12,1),tblDaily[WardCode],"BH")=0,"",SUMIFS(tblDaily[TransfersOut],tblDaily[EntryDate],DATE(2026,12,1),tblDaily[WardCode],"BH")),"")</f>
        <v/>
      </c>
      <c r="H436" s="12">
        <f>IFERROR(IF(SUMIFS(tblDaily[Remaining],tblDaily[EntryDate],DATE(2026,12,1),tblDaily[WardCode],"BH")=0,"",SUMIFS(tblDaily[Remaining],tblDaily[EntryDate],DATE(2026,12,1),tblDaily[WardCode],"BH")),"")</f>
        <v/>
      </c>
    </row>
    <row r="437">
      <c r="A437" s="12" t="n">
        <v>2</v>
      </c>
      <c r="B437" s="12">
        <f>IFERROR(IF(SUMIFS(tblDaily[Admissions],tblDaily[EntryDate],DATE(2026,12,2),tblDaily[WardCode],"BH")=0,"",SUMIFS(tblDaily[Admissions],tblDaily[EntryDate],DATE(2026,12,2),tblDaily[WardCode],"BH")),"")</f>
        <v/>
      </c>
      <c r="C437" s="12">
        <f>IFERROR(IF(SUMIFS(tblDaily[Discharges],tblDaily[EntryDate],DATE(2026,12,2),tblDaily[WardCode],"BH")=0,"",SUMIFS(tblDaily[Discharges],tblDaily[EntryDate],DATE(2026,12,2),tblDaily[WardCode],"BH")),"")</f>
        <v/>
      </c>
      <c r="D437" s="12">
        <f>IFERROR(IF(SUMIFS(tblDaily[Deaths],tblDaily[EntryDate],DATE(2026,12,2),tblDaily[WardCode],"BH")=0,"",SUMIFS(tblDaily[Deaths],tblDaily[EntryDate],DATE(2026,12,2),tblDaily[WardCode],"BH")),"")</f>
        <v/>
      </c>
      <c r="E437" s="12">
        <f>IFERROR(IF(SUMIFS(tblDaily[DeathsUnder24Hrs],tblDaily[EntryDate],DATE(2026,12,2),tblDaily[WardCode],"BH")=0,"",SUMIFS(tblDaily[DeathsUnder24Hrs],tblDaily[EntryDate],DATE(2026,12,2),tblDaily[WardCode],"BH")),"")</f>
        <v/>
      </c>
      <c r="F437" s="12">
        <f>IFERROR(IF(SUMIFS(tblDaily[TransfersIn],tblDaily[EntryDate],DATE(2026,12,2),tblDaily[WardCode],"BH")=0,"",SUMIFS(tblDaily[TransfersIn],tblDaily[EntryDate],DATE(2026,12,2),tblDaily[WardCode],"BH")),"")</f>
        <v/>
      </c>
      <c r="G437" s="12">
        <f>IFERROR(IF(SUMIFS(tblDaily[TransfersOut],tblDaily[EntryDate],DATE(2026,12,2),tblDaily[WardCode],"BH")=0,"",SUMIFS(tblDaily[TransfersOut],tblDaily[EntryDate],DATE(2026,12,2),tblDaily[WardCode],"BH")),"")</f>
        <v/>
      </c>
      <c r="H437" s="12">
        <f>IFERROR(IF(SUMIFS(tblDaily[Remaining],tblDaily[EntryDate],DATE(2026,12,2),tblDaily[WardCode],"BH")=0,"",SUMIFS(tblDaily[Remaining],tblDaily[EntryDate],DATE(2026,12,2),tblDaily[WardCode],"BH")),"")</f>
        <v/>
      </c>
    </row>
    <row r="438">
      <c r="A438" s="12" t="n">
        <v>3</v>
      </c>
      <c r="B438" s="12">
        <f>IFERROR(IF(SUMIFS(tblDaily[Admissions],tblDaily[EntryDate],DATE(2026,12,3),tblDaily[WardCode],"BH")=0,"",SUMIFS(tblDaily[Admissions],tblDaily[EntryDate],DATE(2026,12,3),tblDaily[WardCode],"BH")),"")</f>
        <v/>
      </c>
      <c r="C438" s="12">
        <f>IFERROR(IF(SUMIFS(tblDaily[Discharges],tblDaily[EntryDate],DATE(2026,12,3),tblDaily[WardCode],"BH")=0,"",SUMIFS(tblDaily[Discharges],tblDaily[EntryDate],DATE(2026,12,3),tblDaily[WardCode],"BH")),"")</f>
        <v/>
      </c>
      <c r="D438" s="12">
        <f>IFERROR(IF(SUMIFS(tblDaily[Deaths],tblDaily[EntryDate],DATE(2026,12,3),tblDaily[WardCode],"BH")=0,"",SUMIFS(tblDaily[Deaths],tblDaily[EntryDate],DATE(2026,12,3),tblDaily[WardCode],"BH")),"")</f>
        <v/>
      </c>
      <c r="E438" s="12">
        <f>IFERROR(IF(SUMIFS(tblDaily[DeathsUnder24Hrs],tblDaily[EntryDate],DATE(2026,12,3),tblDaily[WardCode],"BH")=0,"",SUMIFS(tblDaily[DeathsUnder24Hrs],tblDaily[EntryDate],DATE(2026,12,3),tblDaily[WardCode],"BH")),"")</f>
        <v/>
      </c>
      <c r="F438" s="12">
        <f>IFERROR(IF(SUMIFS(tblDaily[TransfersIn],tblDaily[EntryDate],DATE(2026,12,3),tblDaily[WardCode],"BH")=0,"",SUMIFS(tblDaily[TransfersIn],tblDaily[EntryDate],DATE(2026,12,3),tblDaily[WardCode],"BH")),"")</f>
        <v/>
      </c>
      <c r="G438" s="12">
        <f>IFERROR(IF(SUMIFS(tblDaily[TransfersOut],tblDaily[EntryDate],DATE(2026,12,3),tblDaily[WardCode],"BH")=0,"",SUMIFS(tblDaily[TransfersOut],tblDaily[EntryDate],DATE(2026,12,3),tblDaily[WardCode],"BH")),"")</f>
        <v/>
      </c>
      <c r="H438" s="12">
        <f>IFERROR(IF(SUMIFS(tblDaily[Remaining],tblDaily[EntryDate],DATE(2026,12,3),tblDaily[WardCode],"BH")=0,"",SUMIFS(tblDaily[Remaining],tblDaily[EntryDate],DATE(2026,12,3),tblDaily[WardCode],"BH")),"")</f>
        <v/>
      </c>
    </row>
    <row r="439">
      <c r="A439" s="12" t="n">
        <v>4</v>
      </c>
      <c r="B439" s="12">
        <f>IFERROR(IF(SUMIFS(tblDaily[Admissions],tblDaily[EntryDate],DATE(2026,12,4),tblDaily[WardCode],"BH")=0,"",SUMIFS(tblDaily[Admissions],tblDaily[EntryDate],DATE(2026,12,4),tblDaily[WardCode],"BH")),"")</f>
        <v/>
      </c>
      <c r="C439" s="12">
        <f>IFERROR(IF(SUMIFS(tblDaily[Discharges],tblDaily[EntryDate],DATE(2026,12,4),tblDaily[WardCode],"BH")=0,"",SUMIFS(tblDaily[Discharges],tblDaily[EntryDate],DATE(2026,12,4),tblDaily[WardCode],"BH")),"")</f>
        <v/>
      </c>
      <c r="D439" s="12">
        <f>IFERROR(IF(SUMIFS(tblDaily[Deaths],tblDaily[EntryDate],DATE(2026,12,4),tblDaily[WardCode],"BH")=0,"",SUMIFS(tblDaily[Deaths],tblDaily[EntryDate],DATE(2026,12,4),tblDaily[WardCode],"BH")),"")</f>
        <v/>
      </c>
      <c r="E439" s="12">
        <f>IFERROR(IF(SUMIFS(tblDaily[DeathsUnder24Hrs],tblDaily[EntryDate],DATE(2026,12,4),tblDaily[WardCode],"BH")=0,"",SUMIFS(tblDaily[DeathsUnder24Hrs],tblDaily[EntryDate],DATE(2026,12,4),tblDaily[WardCode],"BH")),"")</f>
        <v/>
      </c>
      <c r="F439" s="12">
        <f>IFERROR(IF(SUMIFS(tblDaily[TransfersIn],tblDaily[EntryDate],DATE(2026,12,4),tblDaily[WardCode],"BH")=0,"",SUMIFS(tblDaily[TransfersIn],tblDaily[EntryDate],DATE(2026,12,4),tblDaily[WardCode],"BH")),"")</f>
        <v/>
      </c>
      <c r="G439" s="12">
        <f>IFERROR(IF(SUMIFS(tblDaily[TransfersOut],tblDaily[EntryDate],DATE(2026,12,4),tblDaily[WardCode],"BH")=0,"",SUMIFS(tblDaily[TransfersOut],tblDaily[EntryDate],DATE(2026,12,4),tblDaily[WardCode],"BH")),"")</f>
        <v/>
      </c>
      <c r="H439" s="12">
        <f>IFERROR(IF(SUMIFS(tblDaily[Remaining],tblDaily[EntryDate],DATE(2026,12,4),tblDaily[WardCode],"BH")=0,"",SUMIFS(tblDaily[Remaining],tblDaily[EntryDate],DATE(2026,12,4),tblDaily[WardCode],"BH")),"")</f>
        <v/>
      </c>
    </row>
    <row r="440">
      <c r="A440" s="12" t="n">
        <v>5</v>
      </c>
      <c r="B440" s="12">
        <f>IFERROR(IF(SUMIFS(tblDaily[Admissions],tblDaily[EntryDate],DATE(2026,12,5),tblDaily[WardCode],"BH")=0,"",SUMIFS(tblDaily[Admissions],tblDaily[EntryDate],DATE(2026,12,5),tblDaily[WardCode],"BH")),"")</f>
        <v/>
      </c>
      <c r="C440" s="12">
        <f>IFERROR(IF(SUMIFS(tblDaily[Discharges],tblDaily[EntryDate],DATE(2026,12,5),tblDaily[WardCode],"BH")=0,"",SUMIFS(tblDaily[Discharges],tblDaily[EntryDate],DATE(2026,12,5),tblDaily[WardCode],"BH")),"")</f>
        <v/>
      </c>
      <c r="D440" s="12">
        <f>IFERROR(IF(SUMIFS(tblDaily[Deaths],tblDaily[EntryDate],DATE(2026,12,5),tblDaily[WardCode],"BH")=0,"",SUMIFS(tblDaily[Deaths],tblDaily[EntryDate],DATE(2026,12,5),tblDaily[WardCode],"BH")),"")</f>
        <v/>
      </c>
      <c r="E440" s="12">
        <f>IFERROR(IF(SUMIFS(tblDaily[DeathsUnder24Hrs],tblDaily[EntryDate],DATE(2026,12,5),tblDaily[WardCode],"BH")=0,"",SUMIFS(tblDaily[DeathsUnder24Hrs],tblDaily[EntryDate],DATE(2026,12,5),tblDaily[WardCode],"BH")),"")</f>
        <v/>
      </c>
      <c r="F440" s="12">
        <f>IFERROR(IF(SUMIFS(tblDaily[TransfersIn],tblDaily[EntryDate],DATE(2026,12,5),tblDaily[WardCode],"BH")=0,"",SUMIFS(tblDaily[TransfersIn],tblDaily[EntryDate],DATE(2026,12,5),tblDaily[WardCode],"BH")),"")</f>
        <v/>
      </c>
      <c r="G440" s="12">
        <f>IFERROR(IF(SUMIFS(tblDaily[TransfersOut],tblDaily[EntryDate],DATE(2026,12,5),tblDaily[WardCode],"BH")=0,"",SUMIFS(tblDaily[TransfersOut],tblDaily[EntryDate],DATE(2026,12,5),tblDaily[WardCode],"BH")),"")</f>
        <v/>
      </c>
      <c r="H440" s="12">
        <f>IFERROR(IF(SUMIFS(tblDaily[Remaining],tblDaily[EntryDate],DATE(2026,12,5),tblDaily[WardCode],"BH")=0,"",SUMIFS(tblDaily[Remaining],tblDaily[EntryDate],DATE(2026,12,5),tblDaily[WardCode],"BH")),"")</f>
        <v/>
      </c>
    </row>
    <row r="441">
      <c r="A441" s="12" t="n">
        <v>6</v>
      </c>
      <c r="B441" s="12">
        <f>IFERROR(IF(SUMIFS(tblDaily[Admissions],tblDaily[EntryDate],DATE(2026,12,6),tblDaily[WardCode],"BH")=0,"",SUMIFS(tblDaily[Admissions],tblDaily[EntryDate],DATE(2026,12,6),tblDaily[WardCode],"BH")),"")</f>
        <v/>
      </c>
      <c r="C441" s="12">
        <f>IFERROR(IF(SUMIFS(tblDaily[Discharges],tblDaily[EntryDate],DATE(2026,12,6),tblDaily[WardCode],"BH")=0,"",SUMIFS(tblDaily[Discharges],tblDaily[EntryDate],DATE(2026,12,6),tblDaily[WardCode],"BH")),"")</f>
        <v/>
      </c>
      <c r="D441" s="12">
        <f>IFERROR(IF(SUMIFS(tblDaily[Deaths],tblDaily[EntryDate],DATE(2026,12,6),tblDaily[WardCode],"BH")=0,"",SUMIFS(tblDaily[Deaths],tblDaily[EntryDate],DATE(2026,12,6),tblDaily[WardCode],"BH")),"")</f>
        <v/>
      </c>
      <c r="E441" s="12">
        <f>IFERROR(IF(SUMIFS(tblDaily[DeathsUnder24Hrs],tblDaily[EntryDate],DATE(2026,12,6),tblDaily[WardCode],"BH")=0,"",SUMIFS(tblDaily[DeathsUnder24Hrs],tblDaily[EntryDate],DATE(2026,12,6),tblDaily[WardCode],"BH")),"")</f>
        <v/>
      </c>
      <c r="F441" s="12">
        <f>IFERROR(IF(SUMIFS(tblDaily[TransfersIn],tblDaily[EntryDate],DATE(2026,12,6),tblDaily[WardCode],"BH")=0,"",SUMIFS(tblDaily[TransfersIn],tblDaily[EntryDate],DATE(2026,12,6),tblDaily[WardCode],"BH")),"")</f>
        <v/>
      </c>
      <c r="G441" s="12">
        <f>IFERROR(IF(SUMIFS(tblDaily[TransfersOut],tblDaily[EntryDate],DATE(2026,12,6),tblDaily[WardCode],"BH")=0,"",SUMIFS(tblDaily[TransfersOut],tblDaily[EntryDate],DATE(2026,12,6),tblDaily[WardCode],"BH")),"")</f>
        <v/>
      </c>
      <c r="H441" s="12">
        <f>IFERROR(IF(SUMIFS(tblDaily[Remaining],tblDaily[EntryDate],DATE(2026,12,6),tblDaily[WardCode],"BH")=0,"",SUMIFS(tblDaily[Remaining],tblDaily[EntryDate],DATE(2026,12,6),tblDaily[WardCode],"BH")),"")</f>
        <v/>
      </c>
    </row>
    <row r="442">
      <c r="A442" s="12" t="n">
        <v>7</v>
      </c>
      <c r="B442" s="12">
        <f>IFERROR(IF(SUMIFS(tblDaily[Admissions],tblDaily[EntryDate],DATE(2026,12,7),tblDaily[WardCode],"BH")=0,"",SUMIFS(tblDaily[Admissions],tblDaily[EntryDate],DATE(2026,12,7),tblDaily[WardCode],"BH")),"")</f>
        <v/>
      </c>
      <c r="C442" s="12">
        <f>IFERROR(IF(SUMIFS(tblDaily[Discharges],tblDaily[EntryDate],DATE(2026,12,7),tblDaily[WardCode],"BH")=0,"",SUMIFS(tblDaily[Discharges],tblDaily[EntryDate],DATE(2026,12,7),tblDaily[WardCode],"BH")),"")</f>
        <v/>
      </c>
      <c r="D442" s="12">
        <f>IFERROR(IF(SUMIFS(tblDaily[Deaths],tblDaily[EntryDate],DATE(2026,12,7),tblDaily[WardCode],"BH")=0,"",SUMIFS(tblDaily[Deaths],tblDaily[EntryDate],DATE(2026,12,7),tblDaily[WardCode],"BH")),"")</f>
        <v/>
      </c>
      <c r="E442" s="12">
        <f>IFERROR(IF(SUMIFS(tblDaily[DeathsUnder24Hrs],tblDaily[EntryDate],DATE(2026,12,7),tblDaily[WardCode],"BH")=0,"",SUMIFS(tblDaily[DeathsUnder24Hrs],tblDaily[EntryDate],DATE(2026,12,7),tblDaily[WardCode],"BH")),"")</f>
        <v/>
      </c>
      <c r="F442" s="12">
        <f>IFERROR(IF(SUMIFS(tblDaily[TransfersIn],tblDaily[EntryDate],DATE(2026,12,7),tblDaily[WardCode],"BH")=0,"",SUMIFS(tblDaily[TransfersIn],tblDaily[EntryDate],DATE(2026,12,7),tblDaily[WardCode],"BH")),"")</f>
        <v/>
      </c>
      <c r="G442" s="12">
        <f>IFERROR(IF(SUMIFS(tblDaily[TransfersOut],tblDaily[EntryDate],DATE(2026,12,7),tblDaily[WardCode],"BH")=0,"",SUMIFS(tblDaily[TransfersOut],tblDaily[EntryDate],DATE(2026,12,7),tblDaily[WardCode],"BH")),"")</f>
        <v/>
      </c>
      <c r="H442" s="12">
        <f>IFERROR(IF(SUMIFS(tblDaily[Remaining],tblDaily[EntryDate],DATE(2026,12,7),tblDaily[WardCode],"BH")=0,"",SUMIFS(tblDaily[Remaining],tblDaily[EntryDate],DATE(2026,12,7),tblDaily[WardCode],"BH")),"")</f>
        <v/>
      </c>
    </row>
    <row r="443">
      <c r="A443" s="12" t="n">
        <v>8</v>
      </c>
      <c r="B443" s="12">
        <f>IFERROR(IF(SUMIFS(tblDaily[Admissions],tblDaily[EntryDate],DATE(2026,12,8),tblDaily[WardCode],"BH")=0,"",SUMIFS(tblDaily[Admissions],tblDaily[EntryDate],DATE(2026,12,8),tblDaily[WardCode],"BH")),"")</f>
        <v/>
      </c>
      <c r="C443" s="12">
        <f>IFERROR(IF(SUMIFS(tblDaily[Discharges],tblDaily[EntryDate],DATE(2026,12,8),tblDaily[WardCode],"BH")=0,"",SUMIFS(tblDaily[Discharges],tblDaily[EntryDate],DATE(2026,12,8),tblDaily[WardCode],"BH")),"")</f>
        <v/>
      </c>
      <c r="D443" s="12">
        <f>IFERROR(IF(SUMIFS(tblDaily[Deaths],tblDaily[EntryDate],DATE(2026,12,8),tblDaily[WardCode],"BH")=0,"",SUMIFS(tblDaily[Deaths],tblDaily[EntryDate],DATE(2026,12,8),tblDaily[WardCode],"BH")),"")</f>
        <v/>
      </c>
      <c r="E443" s="12">
        <f>IFERROR(IF(SUMIFS(tblDaily[DeathsUnder24Hrs],tblDaily[EntryDate],DATE(2026,12,8),tblDaily[WardCode],"BH")=0,"",SUMIFS(tblDaily[DeathsUnder24Hrs],tblDaily[EntryDate],DATE(2026,12,8),tblDaily[WardCode],"BH")),"")</f>
        <v/>
      </c>
      <c r="F443" s="12">
        <f>IFERROR(IF(SUMIFS(tblDaily[TransfersIn],tblDaily[EntryDate],DATE(2026,12,8),tblDaily[WardCode],"BH")=0,"",SUMIFS(tblDaily[TransfersIn],tblDaily[EntryDate],DATE(2026,12,8),tblDaily[WardCode],"BH")),"")</f>
        <v/>
      </c>
      <c r="G443" s="12">
        <f>IFERROR(IF(SUMIFS(tblDaily[TransfersOut],tblDaily[EntryDate],DATE(2026,12,8),tblDaily[WardCode],"BH")=0,"",SUMIFS(tblDaily[TransfersOut],tblDaily[EntryDate],DATE(2026,12,8),tblDaily[WardCode],"BH")),"")</f>
        <v/>
      </c>
      <c r="H443" s="12">
        <f>IFERROR(IF(SUMIFS(tblDaily[Remaining],tblDaily[EntryDate],DATE(2026,12,8),tblDaily[WardCode],"BH")=0,"",SUMIFS(tblDaily[Remaining],tblDaily[EntryDate],DATE(2026,12,8),tblDaily[WardCode],"BH")),"")</f>
        <v/>
      </c>
    </row>
    <row r="444">
      <c r="A444" s="12" t="n">
        <v>9</v>
      </c>
      <c r="B444" s="12">
        <f>IFERROR(IF(SUMIFS(tblDaily[Admissions],tblDaily[EntryDate],DATE(2026,12,9),tblDaily[WardCode],"BH")=0,"",SUMIFS(tblDaily[Admissions],tblDaily[EntryDate],DATE(2026,12,9),tblDaily[WardCode],"BH")),"")</f>
        <v/>
      </c>
      <c r="C444" s="12">
        <f>IFERROR(IF(SUMIFS(tblDaily[Discharges],tblDaily[EntryDate],DATE(2026,12,9),tblDaily[WardCode],"BH")=0,"",SUMIFS(tblDaily[Discharges],tblDaily[EntryDate],DATE(2026,12,9),tblDaily[WardCode],"BH")),"")</f>
        <v/>
      </c>
      <c r="D444" s="12">
        <f>IFERROR(IF(SUMIFS(tblDaily[Deaths],tblDaily[EntryDate],DATE(2026,12,9),tblDaily[WardCode],"BH")=0,"",SUMIFS(tblDaily[Deaths],tblDaily[EntryDate],DATE(2026,12,9),tblDaily[WardCode],"BH")),"")</f>
        <v/>
      </c>
      <c r="E444" s="12">
        <f>IFERROR(IF(SUMIFS(tblDaily[DeathsUnder24Hrs],tblDaily[EntryDate],DATE(2026,12,9),tblDaily[WardCode],"BH")=0,"",SUMIFS(tblDaily[DeathsUnder24Hrs],tblDaily[EntryDate],DATE(2026,12,9),tblDaily[WardCode],"BH")),"")</f>
        <v/>
      </c>
      <c r="F444" s="12">
        <f>IFERROR(IF(SUMIFS(tblDaily[TransfersIn],tblDaily[EntryDate],DATE(2026,12,9),tblDaily[WardCode],"BH")=0,"",SUMIFS(tblDaily[TransfersIn],tblDaily[EntryDate],DATE(2026,12,9),tblDaily[WardCode],"BH")),"")</f>
        <v/>
      </c>
      <c r="G444" s="12">
        <f>IFERROR(IF(SUMIFS(tblDaily[TransfersOut],tblDaily[EntryDate],DATE(2026,12,9),tblDaily[WardCode],"BH")=0,"",SUMIFS(tblDaily[TransfersOut],tblDaily[EntryDate],DATE(2026,12,9),tblDaily[WardCode],"BH")),"")</f>
        <v/>
      </c>
      <c r="H444" s="12">
        <f>IFERROR(IF(SUMIFS(tblDaily[Remaining],tblDaily[EntryDate],DATE(2026,12,9),tblDaily[WardCode],"BH")=0,"",SUMIFS(tblDaily[Remaining],tblDaily[EntryDate],DATE(2026,12,9),tblDaily[WardCode],"BH")),"")</f>
        <v/>
      </c>
    </row>
    <row r="445">
      <c r="A445" s="12" t="n">
        <v>10</v>
      </c>
      <c r="B445" s="12">
        <f>IFERROR(IF(SUMIFS(tblDaily[Admissions],tblDaily[EntryDate],DATE(2026,12,10),tblDaily[WardCode],"BH")=0,"",SUMIFS(tblDaily[Admissions],tblDaily[EntryDate],DATE(2026,12,10),tblDaily[WardCode],"BH")),"")</f>
        <v/>
      </c>
      <c r="C445" s="12">
        <f>IFERROR(IF(SUMIFS(tblDaily[Discharges],tblDaily[EntryDate],DATE(2026,12,10),tblDaily[WardCode],"BH")=0,"",SUMIFS(tblDaily[Discharges],tblDaily[EntryDate],DATE(2026,12,10),tblDaily[WardCode],"BH")),"")</f>
        <v/>
      </c>
      <c r="D445" s="12">
        <f>IFERROR(IF(SUMIFS(tblDaily[Deaths],tblDaily[EntryDate],DATE(2026,12,10),tblDaily[WardCode],"BH")=0,"",SUMIFS(tblDaily[Deaths],tblDaily[EntryDate],DATE(2026,12,10),tblDaily[WardCode],"BH")),"")</f>
        <v/>
      </c>
      <c r="E445" s="12">
        <f>IFERROR(IF(SUMIFS(tblDaily[DeathsUnder24Hrs],tblDaily[EntryDate],DATE(2026,12,10),tblDaily[WardCode],"BH")=0,"",SUMIFS(tblDaily[DeathsUnder24Hrs],tblDaily[EntryDate],DATE(2026,12,10),tblDaily[WardCode],"BH")),"")</f>
        <v/>
      </c>
      <c r="F445" s="12">
        <f>IFERROR(IF(SUMIFS(tblDaily[TransfersIn],tblDaily[EntryDate],DATE(2026,12,10),tblDaily[WardCode],"BH")=0,"",SUMIFS(tblDaily[TransfersIn],tblDaily[EntryDate],DATE(2026,12,10),tblDaily[WardCode],"BH")),"")</f>
        <v/>
      </c>
      <c r="G445" s="12">
        <f>IFERROR(IF(SUMIFS(tblDaily[TransfersOut],tblDaily[EntryDate],DATE(2026,12,10),tblDaily[WardCode],"BH")=0,"",SUMIFS(tblDaily[TransfersOut],tblDaily[EntryDate],DATE(2026,12,10),tblDaily[WardCode],"BH")),"")</f>
        <v/>
      </c>
      <c r="H445" s="12">
        <f>IFERROR(IF(SUMIFS(tblDaily[Remaining],tblDaily[EntryDate],DATE(2026,12,10),tblDaily[WardCode],"BH")=0,"",SUMIFS(tblDaily[Remaining],tblDaily[EntryDate],DATE(2026,12,10),tblDaily[WardCode],"BH")),"")</f>
        <v/>
      </c>
    </row>
    <row r="446">
      <c r="A446" s="12" t="n">
        <v>11</v>
      </c>
      <c r="B446" s="12">
        <f>IFERROR(IF(SUMIFS(tblDaily[Admissions],tblDaily[EntryDate],DATE(2026,12,11),tblDaily[WardCode],"BH")=0,"",SUMIFS(tblDaily[Admissions],tblDaily[EntryDate],DATE(2026,12,11),tblDaily[WardCode],"BH")),"")</f>
        <v/>
      </c>
      <c r="C446" s="12">
        <f>IFERROR(IF(SUMIFS(tblDaily[Discharges],tblDaily[EntryDate],DATE(2026,12,11),tblDaily[WardCode],"BH")=0,"",SUMIFS(tblDaily[Discharges],tblDaily[EntryDate],DATE(2026,12,11),tblDaily[WardCode],"BH")),"")</f>
        <v/>
      </c>
      <c r="D446" s="12">
        <f>IFERROR(IF(SUMIFS(tblDaily[Deaths],tblDaily[EntryDate],DATE(2026,12,11),tblDaily[WardCode],"BH")=0,"",SUMIFS(tblDaily[Deaths],tblDaily[EntryDate],DATE(2026,12,11),tblDaily[WardCode],"BH")),"")</f>
        <v/>
      </c>
      <c r="E446" s="12">
        <f>IFERROR(IF(SUMIFS(tblDaily[DeathsUnder24Hrs],tblDaily[EntryDate],DATE(2026,12,11),tblDaily[WardCode],"BH")=0,"",SUMIFS(tblDaily[DeathsUnder24Hrs],tblDaily[EntryDate],DATE(2026,12,11),tblDaily[WardCode],"BH")),"")</f>
        <v/>
      </c>
      <c r="F446" s="12">
        <f>IFERROR(IF(SUMIFS(tblDaily[TransfersIn],tblDaily[EntryDate],DATE(2026,12,11),tblDaily[WardCode],"BH")=0,"",SUMIFS(tblDaily[TransfersIn],tblDaily[EntryDate],DATE(2026,12,11),tblDaily[WardCode],"BH")),"")</f>
        <v/>
      </c>
      <c r="G446" s="12">
        <f>IFERROR(IF(SUMIFS(tblDaily[TransfersOut],tblDaily[EntryDate],DATE(2026,12,11),tblDaily[WardCode],"BH")=0,"",SUMIFS(tblDaily[TransfersOut],tblDaily[EntryDate],DATE(2026,12,11),tblDaily[WardCode],"BH")),"")</f>
        <v/>
      </c>
      <c r="H446" s="12">
        <f>IFERROR(IF(SUMIFS(tblDaily[Remaining],tblDaily[EntryDate],DATE(2026,12,11),tblDaily[WardCode],"BH")=0,"",SUMIFS(tblDaily[Remaining],tblDaily[EntryDate],DATE(2026,12,11),tblDaily[WardCode],"BH")),"")</f>
        <v/>
      </c>
    </row>
    <row r="447">
      <c r="A447" s="12" t="n">
        <v>12</v>
      </c>
      <c r="B447" s="12">
        <f>IFERROR(IF(SUMIFS(tblDaily[Admissions],tblDaily[EntryDate],DATE(2026,12,12),tblDaily[WardCode],"BH")=0,"",SUMIFS(tblDaily[Admissions],tblDaily[EntryDate],DATE(2026,12,12),tblDaily[WardCode],"BH")),"")</f>
        <v/>
      </c>
      <c r="C447" s="12">
        <f>IFERROR(IF(SUMIFS(tblDaily[Discharges],tblDaily[EntryDate],DATE(2026,12,12),tblDaily[WardCode],"BH")=0,"",SUMIFS(tblDaily[Discharges],tblDaily[EntryDate],DATE(2026,12,12),tblDaily[WardCode],"BH")),"")</f>
        <v/>
      </c>
      <c r="D447" s="12">
        <f>IFERROR(IF(SUMIFS(tblDaily[Deaths],tblDaily[EntryDate],DATE(2026,12,12),tblDaily[WardCode],"BH")=0,"",SUMIFS(tblDaily[Deaths],tblDaily[EntryDate],DATE(2026,12,12),tblDaily[WardCode],"BH")),"")</f>
        <v/>
      </c>
      <c r="E447" s="12">
        <f>IFERROR(IF(SUMIFS(tblDaily[DeathsUnder24Hrs],tblDaily[EntryDate],DATE(2026,12,12),tblDaily[WardCode],"BH")=0,"",SUMIFS(tblDaily[DeathsUnder24Hrs],tblDaily[EntryDate],DATE(2026,12,12),tblDaily[WardCode],"BH")),"")</f>
        <v/>
      </c>
      <c r="F447" s="12">
        <f>IFERROR(IF(SUMIFS(tblDaily[TransfersIn],tblDaily[EntryDate],DATE(2026,12,12),tblDaily[WardCode],"BH")=0,"",SUMIFS(tblDaily[TransfersIn],tblDaily[EntryDate],DATE(2026,12,12),tblDaily[WardCode],"BH")),"")</f>
        <v/>
      </c>
      <c r="G447" s="12">
        <f>IFERROR(IF(SUMIFS(tblDaily[TransfersOut],tblDaily[EntryDate],DATE(2026,12,12),tblDaily[WardCode],"BH")=0,"",SUMIFS(tblDaily[TransfersOut],tblDaily[EntryDate],DATE(2026,12,12),tblDaily[WardCode],"BH")),"")</f>
        <v/>
      </c>
      <c r="H447" s="12">
        <f>IFERROR(IF(SUMIFS(tblDaily[Remaining],tblDaily[EntryDate],DATE(2026,12,12),tblDaily[WardCode],"BH")=0,"",SUMIFS(tblDaily[Remaining],tblDaily[EntryDate],DATE(2026,12,12),tblDaily[WardCode],"BH")),"")</f>
        <v/>
      </c>
    </row>
    <row r="448">
      <c r="A448" s="12" t="n">
        <v>13</v>
      </c>
      <c r="B448" s="12">
        <f>IFERROR(IF(SUMIFS(tblDaily[Admissions],tblDaily[EntryDate],DATE(2026,12,13),tblDaily[WardCode],"BH")=0,"",SUMIFS(tblDaily[Admissions],tblDaily[EntryDate],DATE(2026,12,13),tblDaily[WardCode],"BH")),"")</f>
        <v/>
      </c>
      <c r="C448" s="12">
        <f>IFERROR(IF(SUMIFS(tblDaily[Discharges],tblDaily[EntryDate],DATE(2026,12,13),tblDaily[WardCode],"BH")=0,"",SUMIFS(tblDaily[Discharges],tblDaily[EntryDate],DATE(2026,12,13),tblDaily[WardCode],"BH")),"")</f>
        <v/>
      </c>
      <c r="D448" s="12">
        <f>IFERROR(IF(SUMIFS(tblDaily[Deaths],tblDaily[EntryDate],DATE(2026,12,13),tblDaily[WardCode],"BH")=0,"",SUMIFS(tblDaily[Deaths],tblDaily[EntryDate],DATE(2026,12,13),tblDaily[WardCode],"BH")),"")</f>
        <v/>
      </c>
      <c r="E448" s="12">
        <f>IFERROR(IF(SUMIFS(tblDaily[DeathsUnder24Hrs],tblDaily[EntryDate],DATE(2026,12,13),tblDaily[WardCode],"BH")=0,"",SUMIFS(tblDaily[DeathsUnder24Hrs],tblDaily[EntryDate],DATE(2026,12,13),tblDaily[WardCode],"BH")),"")</f>
        <v/>
      </c>
      <c r="F448" s="12">
        <f>IFERROR(IF(SUMIFS(tblDaily[TransfersIn],tblDaily[EntryDate],DATE(2026,12,13),tblDaily[WardCode],"BH")=0,"",SUMIFS(tblDaily[TransfersIn],tblDaily[EntryDate],DATE(2026,12,13),tblDaily[WardCode],"BH")),"")</f>
        <v/>
      </c>
      <c r="G448" s="12">
        <f>IFERROR(IF(SUMIFS(tblDaily[TransfersOut],tblDaily[EntryDate],DATE(2026,12,13),tblDaily[WardCode],"BH")=0,"",SUMIFS(tblDaily[TransfersOut],tblDaily[EntryDate],DATE(2026,12,13),tblDaily[WardCode],"BH")),"")</f>
        <v/>
      </c>
      <c r="H448" s="12">
        <f>IFERROR(IF(SUMIFS(tblDaily[Remaining],tblDaily[EntryDate],DATE(2026,12,13),tblDaily[WardCode],"BH")=0,"",SUMIFS(tblDaily[Remaining],tblDaily[EntryDate],DATE(2026,12,13),tblDaily[WardCode],"BH")),"")</f>
        <v/>
      </c>
    </row>
    <row r="449">
      <c r="A449" s="12" t="n">
        <v>14</v>
      </c>
      <c r="B449" s="12">
        <f>IFERROR(IF(SUMIFS(tblDaily[Admissions],tblDaily[EntryDate],DATE(2026,12,14),tblDaily[WardCode],"BH")=0,"",SUMIFS(tblDaily[Admissions],tblDaily[EntryDate],DATE(2026,12,14),tblDaily[WardCode],"BH")),"")</f>
        <v/>
      </c>
      <c r="C449" s="12">
        <f>IFERROR(IF(SUMIFS(tblDaily[Discharges],tblDaily[EntryDate],DATE(2026,12,14),tblDaily[WardCode],"BH")=0,"",SUMIFS(tblDaily[Discharges],tblDaily[EntryDate],DATE(2026,12,14),tblDaily[WardCode],"BH")),"")</f>
        <v/>
      </c>
      <c r="D449" s="12">
        <f>IFERROR(IF(SUMIFS(tblDaily[Deaths],tblDaily[EntryDate],DATE(2026,12,14),tblDaily[WardCode],"BH")=0,"",SUMIFS(tblDaily[Deaths],tblDaily[EntryDate],DATE(2026,12,14),tblDaily[WardCode],"BH")),"")</f>
        <v/>
      </c>
      <c r="E449" s="12">
        <f>IFERROR(IF(SUMIFS(tblDaily[DeathsUnder24Hrs],tblDaily[EntryDate],DATE(2026,12,14),tblDaily[WardCode],"BH")=0,"",SUMIFS(tblDaily[DeathsUnder24Hrs],tblDaily[EntryDate],DATE(2026,12,14),tblDaily[WardCode],"BH")),"")</f>
        <v/>
      </c>
      <c r="F449" s="12">
        <f>IFERROR(IF(SUMIFS(tblDaily[TransfersIn],tblDaily[EntryDate],DATE(2026,12,14),tblDaily[WardCode],"BH")=0,"",SUMIFS(tblDaily[TransfersIn],tblDaily[EntryDate],DATE(2026,12,14),tblDaily[WardCode],"BH")),"")</f>
        <v/>
      </c>
      <c r="G449" s="12">
        <f>IFERROR(IF(SUMIFS(tblDaily[TransfersOut],tblDaily[EntryDate],DATE(2026,12,14),tblDaily[WardCode],"BH")=0,"",SUMIFS(tblDaily[TransfersOut],tblDaily[EntryDate],DATE(2026,12,14),tblDaily[WardCode],"BH")),"")</f>
        <v/>
      </c>
      <c r="H449" s="12">
        <f>IFERROR(IF(SUMIFS(tblDaily[Remaining],tblDaily[EntryDate],DATE(2026,12,14),tblDaily[WardCode],"BH")=0,"",SUMIFS(tblDaily[Remaining],tblDaily[EntryDate],DATE(2026,12,14),tblDaily[WardCode],"BH")),"")</f>
        <v/>
      </c>
    </row>
    <row r="450">
      <c r="A450" s="12" t="n">
        <v>15</v>
      </c>
      <c r="B450" s="12">
        <f>IFERROR(IF(SUMIFS(tblDaily[Admissions],tblDaily[EntryDate],DATE(2026,12,15),tblDaily[WardCode],"BH")=0,"",SUMIFS(tblDaily[Admissions],tblDaily[EntryDate],DATE(2026,12,15),tblDaily[WardCode],"BH")),"")</f>
        <v/>
      </c>
      <c r="C450" s="12">
        <f>IFERROR(IF(SUMIFS(tblDaily[Discharges],tblDaily[EntryDate],DATE(2026,12,15),tblDaily[WardCode],"BH")=0,"",SUMIFS(tblDaily[Discharges],tblDaily[EntryDate],DATE(2026,12,15),tblDaily[WardCode],"BH")),"")</f>
        <v/>
      </c>
      <c r="D450" s="12">
        <f>IFERROR(IF(SUMIFS(tblDaily[Deaths],tblDaily[EntryDate],DATE(2026,12,15),tblDaily[WardCode],"BH")=0,"",SUMIFS(tblDaily[Deaths],tblDaily[EntryDate],DATE(2026,12,15),tblDaily[WardCode],"BH")),"")</f>
        <v/>
      </c>
      <c r="E450" s="12">
        <f>IFERROR(IF(SUMIFS(tblDaily[DeathsUnder24Hrs],tblDaily[EntryDate],DATE(2026,12,15),tblDaily[WardCode],"BH")=0,"",SUMIFS(tblDaily[DeathsUnder24Hrs],tblDaily[EntryDate],DATE(2026,12,15),tblDaily[WardCode],"BH")),"")</f>
        <v/>
      </c>
      <c r="F450" s="12">
        <f>IFERROR(IF(SUMIFS(tblDaily[TransfersIn],tblDaily[EntryDate],DATE(2026,12,15),tblDaily[WardCode],"BH")=0,"",SUMIFS(tblDaily[TransfersIn],tblDaily[EntryDate],DATE(2026,12,15),tblDaily[WardCode],"BH")),"")</f>
        <v/>
      </c>
      <c r="G450" s="12">
        <f>IFERROR(IF(SUMIFS(tblDaily[TransfersOut],tblDaily[EntryDate],DATE(2026,12,15),tblDaily[WardCode],"BH")=0,"",SUMIFS(tblDaily[TransfersOut],tblDaily[EntryDate],DATE(2026,12,15),tblDaily[WardCode],"BH")),"")</f>
        <v/>
      </c>
      <c r="H450" s="12">
        <f>IFERROR(IF(SUMIFS(tblDaily[Remaining],tblDaily[EntryDate],DATE(2026,12,15),tblDaily[WardCode],"BH")=0,"",SUMIFS(tblDaily[Remaining],tblDaily[EntryDate],DATE(2026,12,15),tblDaily[WardCode],"BH")),"")</f>
        <v/>
      </c>
    </row>
    <row r="451">
      <c r="A451" s="12" t="n">
        <v>16</v>
      </c>
      <c r="B451" s="12">
        <f>IFERROR(IF(SUMIFS(tblDaily[Admissions],tblDaily[EntryDate],DATE(2026,12,16),tblDaily[WardCode],"BH")=0,"",SUMIFS(tblDaily[Admissions],tblDaily[EntryDate],DATE(2026,12,16),tblDaily[WardCode],"BH")),"")</f>
        <v/>
      </c>
      <c r="C451" s="12">
        <f>IFERROR(IF(SUMIFS(tblDaily[Discharges],tblDaily[EntryDate],DATE(2026,12,16),tblDaily[WardCode],"BH")=0,"",SUMIFS(tblDaily[Discharges],tblDaily[EntryDate],DATE(2026,12,16),tblDaily[WardCode],"BH")),"")</f>
        <v/>
      </c>
      <c r="D451" s="12">
        <f>IFERROR(IF(SUMIFS(tblDaily[Deaths],tblDaily[EntryDate],DATE(2026,12,16),tblDaily[WardCode],"BH")=0,"",SUMIFS(tblDaily[Deaths],tblDaily[EntryDate],DATE(2026,12,16),tblDaily[WardCode],"BH")),"")</f>
        <v/>
      </c>
      <c r="E451" s="12">
        <f>IFERROR(IF(SUMIFS(tblDaily[DeathsUnder24Hrs],tblDaily[EntryDate],DATE(2026,12,16),tblDaily[WardCode],"BH")=0,"",SUMIFS(tblDaily[DeathsUnder24Hrs],tblDaily[EntryDate],DATE(2026,12,16),tblDaily[WardCode],"BH")),"")</f>
        <v/>
      </c>
      <c r="F451" s="12">
        <f>IFERROR(IF(SUMIFS(tblDaily[TransfersIn],tblDaily[EntryDate],DATE(2026,12,16),tblDaily[WardCode],"BH")=0,"",SUMIFS(tblDaily[TransfersIn],tblDaily[EntryDate],DATE(2026,12,16),tblDaily[WardCode],"BH")),"")</f>
        <v/>
      </c>
      <c r="G451" s="12">
        <f>IFERROR(IF(SUMIFS(tblDaily[TransfersOut],tblDaily[EntryDate],DATE(2026,12,16),tblDaily[WardCode],"BH")=0,"",SUMIFS(tblDaily[TransfersOut],tblDaily[EntryDate],DATE(2026,12,16),tblDaily[WardCode],"BH")),"")</f>
        <v/>
      </c>
      <c r="H451" s="12">
        <f>IFERROR(IF(SUMIFS(tblDaily[Remaining],tblDaily[EntryDate],DATE(2026,12,16),tblDaily[WardCode],"BH")=0,"",SUMIFS(tblDaily[Remaining],tblDaily[EntryDate],DATE(2026,12,16),tblDaily[WardCode],"BH")),"")</f>
        <v/>
      </c>
    </row>
    <row r="452">
      <c r="A452" s="12" t="n">
        <v>17</v>
      </c>
      <c r="B452" s="12">
        <f>IFERROR(IF(SUMIFS(tblDaily[Admissions],tblDaily[EntryDate],DATE(2026,12,17),tblDaily[WardCode],"BH")=0,"",SUMIFS(tblDaily[Admissions],tblDaily[EntryDate],DATE(2026,12,17),tblDaily[WardCode],"BH")),"")</f>
        <v/>
      </c>
      <c r="C452" s="12">
        <f>IFERROR(IF(SUMIFS(tblDaily[Discharges],tblDaily[EntryDate],DATE(2026,12,17),tblDaily[WardCode],"BH")=0,"",SUMIFS(tblDaily[Discharges],tblDaily[EntryDate],DATE(2026,12,17),tblDaily[WardCode],"BH")),"")</f>
        <v/>
      </c>
      <c r="D452" s="12">
        <f>IFERROR(IF(SUMIFS(tblDaily[Deaths],tblDaily[EntryDate],DATE(2026,12,17),tblDaily[WardCode],"BH")=0,"",SUMIFS(tblDaily[Deaths],tblDaily[EntryDate],DATE(2026,12,17),tblDaily[WardCode],"BH")),"")</f>
        <v/>
      </c>
      <c r="E452" s="12">
        <f>IFERROR(IF(SUMIFS(tblDaily[DeathsUnder24Hrs],tblDaily[EntryDate],DATE(2026,12,17),tblDaily[WardCode],"BH")=0,"",SUMIFS(tblDaily[DeathsUnder24Hrs],tblDaily[EntryDate],DATE(2026,12,17),tblDaily[WardCode],"BH")),"")</f>
        <v/>
      </c>
      <c r="F452" s="12">
        <f>IFERROR(IF(SUMIFS(tblDaily[TransfersIn],tblDaily[EntryDate],DATE(2026,12,17),tblDaily[WardCode],"BH")=0,"",SUMIFS(tblDaily[TransfersIn],tblDaily[EntryDate],DATE(2026,12,17),tblDaily[WardCode],"BH")),"")</f>
        <v/>
      </c>
      <c r="G452" s="12">
        <f>IFERROR(IF(SUMIFS(tblDaily[TransfersOut],tblDaily[EntryDate],DATE(2026,12,17),tblDaily[WardCode],"BH")=0,"",SUMIFS(tblDaily[TransfersOut],tblDaily[EntryDate],DATE(2026,12,17),tblDaily[WardCode],"BH")),"")</f>
        <v/>
      </c>
      <c r="H452" s="12">
        <f>IFERROR(IF(SUMIFS(tblDaily[Remaining],tblDaily[EntryDate],DATE(2026,12,17),tblDaily[WardCode],"BH")=0,"",SUMIFS(tblDaily[Remaining],tblDaily[EntryDate],DATE(2026,12,17),tblDaily[WardCode],"BH")),"")</f>
        <v/>
      </c>
    </row>
    <row r="453">
      <c r="A453" s="12" t="n">
        <v>18</v>
      </c>
      <c r="B453" s="12">
        <f>IFERROR(IF(SUMIFS(tblDaily[Admissions],tblDaily[EntryDate],DATE(2026,12,18),tblDaily[WardCode],"BH")=0,"",SUMIFS(tblDaily[Admissions],tblDaily[EntryDate],DATE(2026,12,18),tblDaily[WardCode],"BH")),"")</f>
        <v/>
      </c>
      <c r="C453" s="12">
        <f>IFERROR(IF(SUMIFS(tblDaily[Discharges],tblDaily[EntryDate],DATE(2026,12,18),tblDaily[WardCode],"BH")=0,"",SUMIFS(tblDaily[Discharges],tblDaily[EntryDate],DATE(2026,12,18),tblDaily[WardCode],"BH")),"")</f>
        <v/>
      </c>
      <c r="D453" s="12">
        <f>IFERROR(IF(SUMIFS(tblDaily[Deaths],tblDaily[EntryDate],DATE(2026,12,18),tblDaily[WardCode],"BH")=0,"",SUMIFS(tblDaily[Deaths],tblDaily[EntryDate],DATE(2026,12,18),tblDaily[WardCode],"BH")),"")</f>
        <v/>
      </c>
      <c r="E453" s="12">
        <f>IFERROR(IF(SUMIFS(tblDaily[DeathsUnder24Hrs],tblDaily[EntryDate],DATE(2026,12,18),tblDaily[WardCode],"BH")=0,"",SUMIFS(tblDaily[DeathsUnder24Hrs],tblDaily[EntryDate],DATE(2026,12,18),tblDaily[WardCode],"BH")),"")</f>
        <v/>
      </c>
      <c r="F453" s="12">
        <f>IFERROR(IF(SUMIFS(tblDaily[TransfersIn],tblDaily[EntryDate],DATE(2026,12,18),tblDaily[WardCode],"BH")=0,"",SUMIFS(tblDaily[TransfersIn],tblDaily[EntryDate],DATE(2026,12,18),tblDaily[WardCode],"BH")),"")</f>
        <v/>
      </c>
      <c r="G453" s="12">
        <f>IFERROR(IF(SUMIFS(tblDaily[TransfersOut],tblDaily[EntryDate],DATE(2026,12,18),tblDaily[WardCode],"BH")=0,"",SUMIFS(tblDaily[TransfersOut],tblDaily[EntryDate],DATE(2026,12,18),tblDaily[WardCode],"BH")),"")</f>
        <v/>
      </c>
      <c r="H453" s="12">
        <f>IFERROR(IF(SUMIFS(tblDaily[Remaining],tblDaily[EntryDate],DATE(2026,12,18),tblDaily[WardCode],"BH")=0,"",SUMIFS(tblDaily[Remaining],tblDaily[EntryDate],DATE(2026,12,18),tblDaily[WardCode],"BH")),"")</f>
        <v/>
      </c>
    </row>
    <row r="454">
      <c r="A454" s="12" t="n">
        <v>19</v>
      </c>
      <c r="B454" s="12">
        <f>IFERROR(IF(SUMIFS(tblDaily[Admissions],tblDaily[EntryDate],DATE(2026,12,19),tblDaily[WardCode],"BH")=0,"",SUMIFS(tblDaily[Admissions],tblDaily[EntryDate],DATE(2026,12,19),tblDaily[WardCode],"BH")),"")</f>
        <v/>
      </c>
      <c r="C454" s="12">
        <f>IFERROR(IF(SUMIFS(tblDaily[Discharges],tblDaily[EntryDate],DATE(2026,12,19),tblDaily[WardCode],"BH")=0,"",SUMIFS(tblDaily[Discharges],tblDaily[EntryDate],DATE(2026,12,19),tblDaily[WardCode],"BH")),"")</f>
        <v/>
      </c>
      <c r="D454" s="12">
        <f>IFERROR(IF(SUMIFS(tblDaily[Deaths],tblDaily[EntryDate],DATE(2026,12,19),tblDaily[WardCode],"BH")=0,"",SUMIFS(tblDaily[Deaths],tblDaily[EntryDate],DATE(2026,12,19),tblDaily[WardCode],"BH")),"")</f>
        <v/>
      </c>
      <c r="E454" s="12">
        <f>IFERROR(IF(SUMIFS(tblDaily[DeathsUnder24Hrs],tblDaily[EntryDate],DATE(2026,12,19),tblDaily[WardCode],"BH")=0,"",SUMIFS(tblDaily[DeathsUnder24Hrs],tblDaily[EntryDate],DATE(2026,12,19),tblDaily[WardCode],"BH")),"")</f>
        <v/>
      </c>
      <c r="F454" s="12">
        <f>IFERROR(IF(SUMIFS(tblDaily[TransfersIn],tblDaily[EntryDate],DATE(2026,12,19),tblDaily[WardCode],"BH")=0,"",SUMIFS(tblDaily[TransfersIn],tblDaily[EntryDate],DATE(2026,12,19),tblDaily[WardCode],"BH")),"")</f>
        <v/>
      </c>
      <c r="G454" s="12">
        <f>IFERROR(IF(SUMIFS(tblDaily[TransfersOut],tblDaily[EntryDate],DATE(2026,12,19),tblDaily[WardCode],"BH")=0,"",SUMIFS(tblDaily[TransfersOut],tblDaily[EntryDate],DATE(2026,12,19),tblDaily[WardCode],"BH")),"")</f>
        <v/>
      </c>
      <c r="H454" s="12">
        <f>IFERROR(IF(SUMIFS(tblDaily[Remaining],tblDaily[EntryDate],DATE(2026,12,19),tblDaily[WardCode],"BH")=0,"",SUMIFS(tblDaily[Remaining],tblDaily[EntryDate],DATE(2026,12,19),tblDaily[WardCode],"BH")),"")</f>
        <v/>
      </c>
    </row>
    <row r="455">
      <c r="A455" s="12" t="n">
        <v>20</v>
      </c>
      <c r="B455" s="12">
        <f>IFERROR(IF(SUMIFS(tblDaily[Admissions],tblDaily[EntryDate],DATE(2026,12,20),tblDaily[WardCode],"BH")=0,"",SUMIFS(tblDaily[Admissions],tblDaily[EntryDate],DATE(2026,12,20),tblDaily[WardCode],"BH")),"")</f>
        <v/>
      </c>
      <c r="C455" s="12">
        <f>IFERROR(IF(SUMIFS(tblDaily[Discharges],tblDaily[EntryDate],DATE(2026,12,20),tblDaily[WardCode],"BH")=0,"",SUMIFS(tblDaily[Discharges],tblDaily[EntryDate],DATE(2026,12,20),tblDaily[WardCode],"BH")),"")</f>
        <v/>
      </c>
      <c r="D455" s="12">
        <f>IFERROR(IF(SUMIFS(tblDaily[Deaths],tblDaily[EntryDate],DATE(2026,12,20),tblDaily[WardCode],"BH")=0,"",SUMIFS(tblDaily[Deaths],tblDaily[EntryDate],DATE(2026,12,20),tblDaily[WardCode],"BH")),"")</f>
        <v/>
      </c>
      <c r="E455" s="12">
        <f>IFERROR(IF(SUMIFS(tblDaily[DeathsUnder24Hrs],tblDaily[EntryDate],DATE(2026,12,20),tblDaily[WardCode],"BH")=0,"",SUMIFS(tblDaily[DeathsUnder24Hrs],tblDaily[EntryDate],DATE(2026,12,20),tblDaily[WardCode],"BH")),"")</f>
        <v/>
      </c>
      <c r="F455" s="12">
        <f>IFERROR(IF(SUMIFS(tblDaily[TransfersIn],tblDaily[EntryDate],DATE(2026,12,20),tblDaily[WardCode],"BH")=0,"",SUMIFS(tblDaily[TransfersIn],tblDaily[EntryDate],DATE(2026,12,20),tblDaily[WardCode],"BH")),"")</f>
        <v/>
      </c>
      <c r="G455" s="12">
        <f>IFERROR(IF(SUMIFS(tblDaily[TransfersOut],tblDaily[EntryDate],DATE(2026,12,20),tblDaily[WardCode],"BH")=0,"",SUMIFS(tblDaily[TransfersOut],tblDaily[EntryDate],DATE(2026,12,20),tblDaily[WardCode],"BH")),"")</f>
        <v/>
      </c>
      <c r="H455" s="12">
        <f>IFERROR(IF(SUMIFS(tblDaily[Remaining],tblDaily[EntryDate],DATE(2026,12,20),tblDaily[WardCode],"BH")=0,"",SUMIFS(tblDaily[Remaining],tblDaily[EntryDate],DATE(2026,12,20),tblDaily[WardCode],"BH")),"")</f>
        <v/>
      </c>
    </row>
    <row r="456">
      <c r="A456" s="12" t="n">
        <v>21</v>
      </c>
      <c r="B456" s="12">
        <f>IFERROR(IF(SUMIFS(tblDaily[Admissions],tblDaily[EntryDate],DATE(2026,12,21),tblDaily[WardCode],"BH")=0,"",SUMIFS(tblDaily[Admissions],tblDaily[EntryDate],DATE(2026,12,21),tblDaily[WardCode],"BH")),"")</f>
        <v/>
      </c>
      <c r="C456" s="12">
        <f>IFERROR(IF(SUMIFS(tblDaily[Discharges],tblDaily[EntryDate],DATE(2026,12,21),tblDaily[WardCode],"BH")=0,"",SUMIFS(tblDaily[Discharges],tblDaily[EntryDate],DATE(2026,12,21),tblDaily[WardCode],"BH")),"")</f>
        <v/>
      </c>
      <c r="D456" s="12">
        <f>IFERROR(IF(SUMIFS(tblDaily[Deaths],tblDaily[EntryDate],DATE(2026,12,21),tblDaily[WardCode],"BH")=0,"",SUMIFS(tblDaily[Deaths],tblDaily[EntryDate],DATE(2026,12,21),tblDaily[WardCode],"BH")),"")</f>
        <v/>
      </c>
      <c r="E456" s="12">
        <f>IFERROR(IF(SUMIFS(tblDaily[DeathsUnder24Hrs],tblDaily[EntryDate],DATE(2026,12,21),tblDaily[WardCode],"BH")=0,"",SUMIFS(tblDaily[DeathsUnder24Hrs],tblDaily[EntryDate],DATE(2026,12,21),tblDaily[WardCode],"BH")),"")</f>
        <v/>
      </c>
      <c r="F456" s="12">
        <f>IFERROR(IF(SUMIFS(tblDaily[TransfersIn],tblDaily[EntryDate],DATE(2026,12,21),tblDaily[WardCode],"BH")=0,"",SUMIFS(tblDaily[TransfersIn],tblDaily[EntryDate],DATE(2026,12,21),tblDaily[WardCode],"BH")),"")</f>
        <v/>
      </c>
      <c r="G456" s="12">
        <f>IFERROR(IF(SUMIFS(tblDaily[TransfersOut],tblDaily[EntryDate],DATE(2026,12,21),tblDaily[WardCode],"BH")=0,"",SUMIFS(tblDaily[TransfersOut],tblDaily[EntryDate],DATE(2026,12,21),tblDaily[WardCode],"BH")),"")</f>
        <v/>
      </c>
      <c r="H456" s="12">
        <f>IFERROR(IF(SUMIFS(tblDaily[Remaining],tblDaily[EntryDate],DATE(2026,12,21),tblDaily[WardCode],"BH")=0,"",SUMIFS(tblDaily[Remaining],tblDaily[EntryDate],DATE(2026,12,21),tblDaily[WardCode],"BH")),"")</f>
        <v/>
      </c>
    </row>
    <row r="457">
      <c r="A457" s="12" t="n">
        <v>22</v>
      </c>
      <c r="B457" s="12">
        <f>IFERROR(IF(SUMIFS(tblDaily[Admissions],tblDaily[EntryDate],DATE(2026,12,22),tblDaily[WardCode],"BH")=0,"",SUMIFS(tblDaily[Admissions],tblDaily[EntryDate],DATE(2026,12,22),tblDaily[WardCode],"BH")),"")</f>
        <v/>
      </c>
      <c r="C457" s="12">
        <f>IFERROR(IF(SUMIFS(tblDaily[Discharges],tblDaily[EntryDate],DATE(2026,12,22),tblDaily[WardCode],"BH")=0,"",SUMIFS(tblDaily[Discharges],tblDaily[EntryDate],DATE(2026,12,22),tblDaily[WardCode],"BH")),"")</f>
        <v/>
      </c>
      <c r="D457" s="12">
        <f>IFERROR(IF(SUMIFS(tblDaily[Deaths],tblDaily[EntryDate],DATE(2026,12,22),tblDaily[WardCode],"BH")=0,"",SUMIFS(tblDaily[Deaths],tblDaily[EntryDate],DATE(2026,12,22),tblDaily[WardCode],"BH")),"")</f>
        <v/>
      </c>
      <c r="E457" s="12">
        <f>IFERROR(IF(SUMIFS(tblDaily[DeathsUnder24Hrs],tblDaily[EntryDate],DATE(2026,12,22),tblDaily[WardCode],"BH")=0,"",SUMIFS(tblDaily[DeathsUnder24Hrs],tblDaily[EntryDate],DATE(2026,12,22),tblDaily[WardCode],"BH")),"")</f>
        <v/>
      </c>
      <c r="F457" s="12">
        <f>IFERROR(IF(SUMIFS(tblDaily[TransfersIn],tblDaily[EntryDate],DATE(2026,12,22),tblDaily[WardCode],"BH")=0,"",SUMIFS(tblDaily[TransfersIn],tblDaily[EntryDate],DATE(2026,12,22),tblDaily[WardCode],"BH")),"")</f>
        <v/>
      </c>
      <c r="G457" s="12">
        <f>IFERROR(IF(SUMIFS(tblDaily[TransfersOut],tblDaily[EntryDate],DATE(2026,12,22),tblDaily[WardCode],"BH")=0,"",SUMIFS(tblDaily[TransfersOut],tblDaily[EntryDate],DATE(2026,12,22),tblDaily[WardCode],"BH")),"")</f>
        <v/>
      </c>
      <c r="H457" s="12">
        <f>IFERROR(IF(SUMIFS(tblDaily[Remaining],tblDaily[EntryDate],DATE(2026,12,22),tblDaily[WardCode],"BH")=0,"",SUMIFS(tblDaily[Remaining],tblDaily[EntryDate],DATE(2026,12,22),tblDaily[WardCode],"BH")),"")</f>
        <v/>
      </c>
    </row>
    <row r="458">
      <c r="A458" s="12" t="n">
        <v>23</v>
      </c>
      <c r="B458" s="12">
        <f>IFERROR(IF(SUMIFS(tblDaily[Admissions],tblDaily[EntryDate],DATE(2026,12,23),tblDaily[WardCode],"BH")=0,"",SUMIFS(tblDaily[Admissions],tblDaily[EntryDate],DATE(2026,12,23),tblDaily[WardCode],"BH")),"")</f>
        <v/>
      </c>
      <c r="C458" s="12">
        <f>IFERROR(IF(SUMIFS(tblDaily[Discharges],tblDaily[EntryDate],DATE(2026,12,23),tblDaily[WardCode],"BH")=0,"",SUMIFS(tblDaily[Discharges],tblDaily[EntryDate],DATE(2026,12,23),tblDaily[WardCode],"BH")),"")</f>
        <v/>
      </c>
      <c r="D458" s="12">
        <f>IFERROR(IF(SUMIFS(tblDaily[Deaths],tblDaily[EntryDate],DATE(2026,12,23),tblDaily[WardCode],"BH")=0,"",SUMIFS(tblDaily[Deaths],tblDaily[EntryDate],DATE(2026,12,23),tblDaily[WardCode],"BH")),"")</f>
        <v/>
      </c>
      <c r="E458" s="12">
        <f>IFERROR(IF(SUMIFS(tblDaily[DeathsUnder24Hrs],tblDaily[EntryDate],DATE(2026,12,23),tblDaily[WardCode],"BH")=0,"",SUMIFS(tblDaily[DeathsUnder24Hrs],tblDaily[EntryDate],DATE(2026,12,23),tblDaily[WardCode],"BH")),"")</f>
        <v/>
      </c>
      <c r="F458" s="12">
        <f>IFERROR(IF(SUMIFS(tblDaily[TransfersIn],tblDaily[EntryDate],DATE(2026,12,23),tblDaily[WardCode],"BH")=0,"",SUMIFS(tblDaily[TransfersIn],tblDaily[EntryDate],DATE(2026,12,23),tblDaily[WardCode],"BH")),"")</f>
        <v/>
      </c>
      <c r="G458" s="12">
        <f>IFERROR(IF(SUMIFS(tblDaily[TransfersOut],tblDaily[EntryDate],DATE(2026,12,23),tblDaily[WardCode],"BH")=0,"",SUMIFS(tblDaily[TransfersOut],tblDaily[EntryDate],DATE(2026,12,23),tblDaily[WardCode],"BH")),"")</f>
        <v/>
      </c>
      <c r="H458" s="12">
        <f>IFERROR(IF(SUMIFS(tblDaily[Remaining],tblDaily[EntryDate],DATE(2026,12,23),tblDaily[WardCode],"BH")=0,"",SUMIFS(tblDaily[Remaining],tblDaily[EntryDate],DATE(2026,12,23),tblDaily[WardCode],"BH")),"")</f>
        <v/>
      </c>
    </row>
    <row r="459">
      <c r="A459" s="12" t="n">
        <v>24</v>
      </c>
      <c r="B459" s="12">
        <f>IFERROR(IF(SUMIFS(tblDaily[Admissions],tblDaily[EntryDate],DATE(2026,12,24),tblDaily[WardCode],"BH")=0,"",SUMIFS(tblDaily[Admissions],tblDaily[EntryDate],DATE(2026,12,24),tblDaily[WardCode],"BH")),"")</f>
        <v/>
      </c>
      <c r="C459" s="12">
        <f>IFERROR(IF(SUMIFS(tblDaily[Discharges],tblDaily[EntryDate],DATE(2026,12,24),tblDaily[WardCode],"BH")=0,"",SUMIFS(tblDaily[Discharges],tblDaily[EntryDate],DATE(2026,12,24),tblDaily[WardCode],"BH")),"")</f>
        <v/>
      </c>
      <c r="D459" s="12">
        <f>IFERROR(IF(SUMIFS(tblDaily[Deaths],tblDaily[EntryDate],DATE(2026,12,24),tblDaily[WardCode],"BH")=0,"",SUMIFS(tblDaily[Deaths],tblDaily[EntryDate],DATE(2026,12,24),tblDaily[WardCode],"BH")),"")</f>
        <v/>
      </c>
      <c r="E459" s="12">
        <f>IFERROR(IF(SUMIFS(tblDaily[DeathsUnder24Hrs],tblDaily[EntryDate],DATE(2026,12,24),tblDaily[WardCode],"BH")=0,"",SUMIFS(tblDaily[DeathsUnder24Hrs],tblDaily[EntryDate],DATE(2026,12,24),tblDaily[WardCode],"BH")),"")</f>
        <v/>
      </c>
      <c r="F459" s="12">
        <f>IFERROR(IF(SUMIFS(tblDaily[TransfersIn],tblDaily[EntryDate],DATE(2026,12,24),tblDaily[WardCode],"BH")=0,"",SUMIFS(tblDaily[TransfersIn],tblDaily[EntryDate],DATE(2026,12,24),tblDaily[WardCode],"BH")),"")</f>
        <v/>
      </c>
      <c r="G459" s="12">
        <f>IFERROR(IF(SUMIFS(tblDaily[TransfersOut],tblDaily[EntryDate],DATE(2026,12,24),tblDaily[WardCode],"BH")=0,"",SUMIFS(tblDaily[TransfersOut],tblDaily[EntryDate],DATE(2026,12,24),tblDaily[WardCode],"BH")),"")</f>
        <v/>
      </c>
      <c r="H459" s="12">
        <f>IFERROR(IF(SUMIFS(tblDaily[Remaining],tblDaily[EntryDate],DATE(2026,12,24),tblDaily[WardCode],"BH")=0,"",SUMIFS(tblDaily[Remaining],tblDaily[EntryDate],DATE(2026,12,24),tblDaily[WardCode],"BH")),"")</f>
        <v/>
      </c>
    </row>
    <row r="460">
      <c r="A460" s="12" t="n">
        <v>25</v>
      </c>
      <c r="B460" s="12">
        <f>IFERROR(IF(SUMIFS(tblDaily[Admissions],tblDaily[EntryDate],DATE(2026,12,25),tblDaily[WardCode],"BH")=0,"",SUMIFS(tblDaily[Admissions],tblDaily[EntryDate],DATE(2026,12,25),tblDaily[WardCode],"BH")),"")</f>
        <v/>
      </c>
      <c r="C460" s="12">
        <f>IFERROR(IF(SUMIFS(tblDaily[Discharges],tblDaily[EntryDate],DATE(2026,12,25),tblDaily[WardCode],"BH")=0,"",SUMIFS(tblDaily[Discharges],tblDaily[EntryDate],DATE(2026,12,25),tblDaily[WardCode],"BH")),"")</f>
        <v/>
      </c>
      <c r="D460" s="12">
        <f>IFERROR(IF(SUMIFS(tblDaily[Deaths],tblDaily[EntryDate],DATE(2026,12,25),tblDaily[WardCode],"BH")=0,"",SUMIFS(tblDaily[Deaths],tblDaily[EntryDate],DATE(2026,12,25),tblDaily[WardCode],"BH")),"")</f>
        <v/>
      </c>
      <c r="E460" s="12">
        <f>IFERROR(IF(SUMIFS(tblDaily[DeathsUnder24Hrs],tblDaily[EntryDate],DATE(2026,12,25),tblDaily[WardCode],"BH")=0,"",SUMIFS(tblDaily[DeathsUnder24Hrs],tblDaily[EntryDate],DATE(2026,12,25),tblDaily[WardCode],"BH")),"")</f>
        <v/>
      </c>
      <c r="F460" s="12">
        <f>IFERROR(IF(SUMIFS(tblDaily[TransfersIn],tblDaily[EntryDate],DATE(2026,12,25),tblDaily[WardCode],"BH")=0,"",SUMIFS(tblDaily[TransfersIn],tblDaily[EntryDate],DATE(2026,12,25),tblDaily[WardCode],"BH")),"")</f>
        <v/>
      </c>
      <c r="G460" s="12">
        <f>IFERROR(IF(SUMIFS(tblDaily[TransfersOut],tblDaily[EntryDate],DATE(2026,12,25),tblDaily[WardCode],"BH")=0,"",SUMIFS(tblDaily[TransfersOut],tblDaily[EntryDate],DATE(2026,12,25),tblDaily[WardCode],"BH")),"")</f>
        <v/>
      </c>
      <c r="H460" s="12">
        <f>IFERROR(IF(SUMIFS(tblDaily[Remaining],tblDaily[EntryDate],DATE(2026,12,25),tblDaily[WardCode],"BH")=0,"",SUMIFS(tblDaily[Remaining],tblDaily[EntryDate],DATE(2026,12,25),tblDaily[WardCode],"BH")),"")</f>
        <v/>
      </c>
    </row>
    <row r="461">
      <c r="A461" s="12" t="n">
        <v>26</v>
      </c>
      <c r="B461" s="12">
        <f>IFERROR(IF(SUMIFS(tblDaily[Admissions],tblDaily[EntryDate],DATE(2026,12,26),tblDaily[WardCode],"BH")=0,"",SUMIFS(tblDaily[Admissions],tblDaily[EntryDate],DATE(2026,12,26),tblDaily[WardCode],"BH")),"")</f>
        <v/>
      </c>
      <c r="C461" s="12">
        <f>IFERROR(IF(SUMIFS(tblDaily[Discharges],tblDaily[EntryDate],DATE(2026,12,26),tblDaily[WardCode],"BH")=0,"",SUMIFS(tblDaily[Discharges],tblDaily[EntryDate],DATE(2026,12,26),tblDaily[WardCode],"BH")),"")</f>
        <v/>
      </c>
      <c r="D461" s="12">
        <f>IFERROR(IF(SUMIFS(tblDaily[Deaths],tblDaily[EntryDate],DATE(2026,12,26),tblDaily[WardCode],"BH")=0,"",SUMIFS(tblDaily[Deaths],tblDaily[EntryDate],DATE(2026,12,26),tblDaily[WardCode],"BH")),"")</f>
        <v/>
      </c>
      <c r="E461" s="12">
        <f>IFERROR(IF(SUMIFS(tblDaily[DeathsUnder24Hrs],tblDaily[EntryDate],DATE(2026,12,26),tblDaily[WardCode],"BH")=0,"",SUMIFS(tblDaily[DeathsUnder24Hrs],tblDaily[EntryDate],DATE(2026,12,26),tblDaily[WardCode],"BH")),"")</f>
        <v/>
      </c>
      <c r="F461" s="12">
        <f>IFERROR(IF(SUMIFS(tblDaily[TransfersIn],tblDaily[EntryDate],DATE(2026,12,26),tblDaily[WardCode],"BH")=0,"",SUMIFS(tblDaily[TransfersIn],tblDaily[EntryDate],DATE(2026,12,26),tblDaily[WardCode],"BH")),"")</f>
        <v/>
      </c>
      <c r="G461" s="12">
        <f>IFERROR(IF(SUMIFS(tblDaily[TransfersOut],tblDaily[EntryDate],DATE(2026,12,26),tblDaily[WardCode],"BH")=0,"",SUMIFS(tblDaily[TransfersOut],tblDaily[EntryDate],DATE(2026,12,26),tblDaily[WardCode],"BH")),"")</f>
        <v/>
      </c>
      <c r="H461" s="12">
        <f>IFERROR(IF(SUMIFS(tblDaily[Remaining],tblDaily[EntryDate],DATE(2026,12,26),tblDaily[WardCode],"BH")=0,"",SUMIFS(tblDaily[Remaining],tblDaily[EntryDate],DATE(2026,12,26),tblDaily[WardCode],"BH")),"")</f>
        <v/>
      </c>
    </row>
    <row r="462">
      <c r="A462" s="12" t="n">
        <v>27</v>
      </c>
      <c r="B462" s="12">
        <f>IFERROR(IF(SUMIFS(tblDaily[Admissions],tblDaily[EntryDate],DATE(2026,12,27),tblDaily[WardCode],"BH")=0,"",SUMIFS(tblDaily[Admissions],tblDaily[EntryDate],DATE(2026,12,27),tblDaily[WardCode],"BH")),"")</f>
        <v/>
      </c>
      <c r="C462" s="12">
        <f>IFERROR(IF(SUMIFS(tblDaily[Discharges],tblDaily[EntryDate],DATE(2026,12,27),tblDaily[WardCode],"BH")=0,"",SUMIFS(tblDaily[Discharges],tblDaily[EntryDate],DATE(2026,12,27),tblDaily[WardCode],"BH")),"")</f>
        <v/>
      </c>
      <c r="D462" s="12">
        <f>IFERROR(IF(SUMIFS(tblDaily[Deaths],tblDaily[EntryDate],DATE(2026,12,27),tblDaily[WardCode],"BH")=0,"",SUMIFS(tblDaily[Deaths],tblDaily[EntryDate],DATE(2026,12,27),tblDaily[WardCode],"BH")),"")</f>
        <v/>
      </c>
      <c r="E462" s="12">
        <f>IFERROR(IF(SUMIFS(tblDaily[DeathsUnder24Hrs],tblDaily[EntryDate],DATE(2026,12,27),tblDaily[WardCode],"BH")=0,"",SUMIFS(tblDaily[DeathsUnder24Hrs],tblDaily[EntryDate],DATE(2026,12,27),tblDaily[WardCode],"BH")),"")</f>
        <v/>
      </c>
      <c r="F462" s="12">
        <f>IFERROR(IF(SUMIFS(tblDaily[TransfersIn],tblDaily[EntryDate],DATE(2026,12,27),tblDaily[WardCode],"BH")=0,"",SUMIFS(tblDaily[TransfersIn],tblDaily[EntryDate],DATE(2026,12,27),tblDaily[WardCode],"BH")),"")</f>
        <v/>
      </c>
      <c r="G462" s="12">
        <f>IFERROR(IF(SUMIFS(tblDaily[TransfersOut],tblDaily[EntryDate],DATE(2026,12,27),tblDaily[WardCode],"BH")=0,"",SUMIFS(tblDaily[TransfersOut],tblDaily[EntryDate],DATE(2026,12,27),tblDaily[WardCode],"BH")),"")</f>
        <v/>
      </c>
      <c r="H462" s="12">
        <f>IFERROR(IF(SUMIFS(tblDaily[Remaining],tblDaily[EntryDate],DATE(2026,12,27),tblDaily[WardCode],"BH")=0,"",SUMIFS(tblDaily[Remaining],tblDaily[EntryDate],DATE(2026,12,27),tblDaily[WardCode],"BH")),"")</f>
        <v/>
      </c>
    </row>
    <row r="463">
      <c r="A463" s="12" t="n">
        <v>28</v>
      </c>
      <c r="B463" s="12">
        <f>IFERROR(IF(SUMIFS(tblDaily[Admissions],tblDaily[EntryDate],DATE(2026,12,28),tblDaily[WardCode],"BH")=0,"",SUMIFS(tblDaily[Admissions],tblDaily[EntryDate],DATE(2026,12,28),tblDaily[WardCode],"BH")),"")</f>
        <v/>
      </c>
      <c r="C463" s="12">
        <f>IFERROR(IF(SUMIFS(tblDaily[Discharges],tblDaily[EntryDate],DATE(2026,12,28),tblDaily[WardCode],"BH")=0,"",SUMIFS(tblDaily[Discharges],tblDaily[EntryDate],DATE(2026,12,28),tblDaily[WardCode],"BH")),"")</f>
        <v/>
      </c>
      <c r="D463" s="12">
        <f>IFERROR(IF(SUMIFS(tblDaily[Deaths],tblDaily[EntryDate],DATE(2026,12,28),tblDaily[WardCode],"BH")=0,"",SUMIFS(tblDaily[Deaths],tblDaily[EntryDate],DATE(2026,12,28),tblDaily[WardCode],"BH")),"")</f>
        <v/>
      </c>
      <c r="E463" s="12">
        <f>IFERROR(IF(SUMIFS(tblDaily[DeathsUnder24Hrs],tblDaily[EntryDate],DATE(2026,12,28),tblDaily[WardCode],"BH")=0,"",SUMIFS(tblDaily[DeathsUnder24Hrs],tblDaily[EntryDate],DATE(2026,12,28),tblDaily[WardCode],"BH")),"")</f>
        <v/>
      </c>
      <c r="F463" s="12">
        <f>IFERROR(IF(SUMIFS(tblDaily[TransfersIn],tblDaily[EntryDate],DATE(2026,12,28),tblDaily[WardCode],"BH")=0,"",SUMIFS(tblDaily[TransfersIn],tblDaily[EntryDate],DATE(2026,12,28),tblDaily[WardCode],"BH")),"")</f>
        <v/>
      </c>
      <c r="G463" s="12">
        <f>IFERROR(IF(SUMIFS(tblDaily[TransfersOut],tblDaily[EntryDate],DATE(2026,12,28),tblDaily[WardCode],"BH")=0,"",SUMIFS(tblDaily[TransfersOut],tblDaily[EntryDate],DATE(2026,12,28),tblDaily[WardCode],"BH")),"")</f>
        <v/>
      </c>
      <c r="H463" s="12">
        <f>IFERROR(IF(SUMIFS(tblDaily[Remaining],tblDaily[EntryDate],DATE(2026,12,28),tblDaily[WardCode],"BH")=0,"",SUMIFS(tblDaily[Remaining],tblDaily[EntryDate],DATE(2026,12,28),tblDaily[WardCode],"BH")),"")</f>
        <v/>
      </c>
    </row>
    <row r="464">
      <c r="A464" s="12" t="n">
        <v>29</v>
      </c>
      <c r="B464" s="12">
        <f>IFERROR(IF(SUMIFS(tblDaily[Admissions],tblDaily[EntryDate],DATE(2026,12,29),tblDaily[WardCode],"BH")=0,"",SUMIFS(tblDaily[Admissions],tblDaily[EntryDate],DATE(2026,12,29),tblDaily[WardCode],"BH")),"")</f>
        <v/>
      </c>
      <c r="C464" s="12">
        <f>IFERROR(IF(SUMIFS(tblDaily[Discharges],tblDaily[EntryDate],DATE(2026,12,29),tblDaily[WardCode],"BH")=0,"",SUMIFS(tblDaily[Discharges],tblDaily[EntryDate],DATE(2026,12,29),tblDaily[WardCode],"BH")),"")</f>
        <v/>
      </c>
      <c r="D464" s="12">
        <f>IFERROR(IF(SUMIFS(tblDaily[Deaths],tblDaily[EntryDate],DATE(2026,12,29),tblDaily[WardCode],"BH")=0,"",SUMIFS(tblDaily[Deaths],tblDaily[EntryDate],DATE(2026,12,29),tblDaily[WardCode],"BH")),"")</f>
        <v/>
      </c>
      <c r="E464" s="12">
        <f>IFERROR(IF(SUMIFS(tblDaily[DeathsUnder24Hrs],tblDaily[EntryDate],DATE(2026,12,29),tblDaily[WardCode],"BH")=0,"",SUMIFS(tblDaily[DeathsUnder24Hrs],tblDaily[EntryDate],DATE(2026,12,29),tblDaily[WardCode],"BH")),"")</f>
        <v/>
      </c>
      <c r="F464" s="12">
        <f>IFERROR(IF(SUMIFS(tblDaily[TransfersIn],tblDaily[EntryDate],DATE(2026,12,29),tblDaily[WardCode],"BH")=0,"",SUMIFS(tblDaily[TransfersIn],tblDaily[EntryDate],DATE(2026,12,29),tblDaily[WardCode],"BH")),"")</f>
        <v/>
      </c>
      <c r="G464" s="12">
        <f>IFERROR(IF(SUMIFS(tblDaily[TransfersOut],tblDaily[EntryDate],DATE(2026,12,29),tblDaily[WardCode],"BH")=0,"",SUMIFS(tblDaily[TransfersOut],tblDaily[EntryDate],DATE(2026,12,29),tblDaily[WardCode],"BH")),"")</f>
        <v/>
      </c>
      <c r="H464" s="12">
        <f>IFERROR(IF(SUMIFS(tblDaily[Remaining],tblDaily[EntryDate],DATE(2026,12,29),tblDaily[WardCode],"BH")=0,"",SUMIFS(tblDaily[Remaining],tblDaily[EntryDate],DATE(2026,12,29),tblDaily[WardCode],"BH")),"")</f>
        <v/>
      </c>
    </row>
    <row r="465">
      <c r="A465" s="12" t="n">
        <v>30</v>
      </c>
      <c r="B465" s="12">
        <f>IFERROR(IF(SUMIFS(tblDaily[Admissions],tblDaily[EntryDate],DATE(2026,12,30),tblDaily[WardCode],"BH")=0,"",SUMIFS(tblDaily[Admissions],tblDaily[EntryDate],DATE(2026,12,30),tblDaily[WardCode],"BH")),"")</f>
        <v/>
      </c>
      <c r="C465" s="12">
        <f>IFERROR(IF(SUMIFS(tblDaily[Discharges],tblDaily[EntryDate],DATE(2026,12,30),tblDaily[WardCode],"BH")=0,"",SUMIFS(tblDaily[Discharges],tblDaily[EntryDate],DATE(2026,12,30),tblDaily[WardCode],"BH")),"")</f>
        <v/>
      </c>
      <c r="D465" s="12">
        <f>IFERROR(IF(SUMIFS(tblDaily[Deaths],tblDaily[EntryDate],DATE(2026,12,30),tblDaily[WardCode],"BH")=0,"",SUMIFS(tblDaily[Deaths],tblDaily[EntryDate],DATE(2026,12,30),tblDaily[WardCode],"BH")),"")</f>
        <v/>
      </c>
      <c r="E465" s="12">
        <f>IFERROR(IF(SUMIFS(tblDaily[DeathsUnder24Hrs],tblDaily[EntryDate],DATE(2026,12,30),tblDaily[WardCode],"BH")=0,"",SUMIFS(tblDaily[DeathsUnder24Hrs],tblDaily[EntryDate],DATE(2026,12,30),tblDaily[WardCode],"BH")),"")</f>
        <v/>
      </c>
      <c r="F465" s="12">
        <f>IFERROR(IF(SUMIFS(tblDaily[TransfersIn],tblDaily[EntryDate],DATE(2026,12,30),tblDaily[WardCode],"BH")=0,"",SUMIFS(tblDaily[TransfersIn],tblDaily[EntryDate],DATE(2026,12,30),tblDaily[WardCode],"BH")),"")</f>
        <v/>
      </c>
      <c r="G465" s="12">
        <f>IFERROR(IF(SUMIFS(tblDaily[TransfersOut],tblDaily[EntryDate],DATE(2026,12,30),tblDaily[WardCode],"BH")=0,"",SUMIFS(tblDaily[TransfersOut],tblDaily[EntryDate],DATE(2026,12,30),tblDaily[WardCode],"BH")),"")</f>
        <v/>
      </c>
      <c r="H465" s="12">
        <f>IFERROR(IF(SUMIFS(tblDaily[Remaining],tblDaily[EntryDate],DATE(2026,12,30),tblDaily[WardCode],"BH")=0,"",SUMIFS(tblDaily[Remaining],tblDaily[EntryDate],DATE(2026,12,30),tblDaily[WardCode],"BH")),"")</f>
        <v/>
      </c>
    </row>
    <row r="466">
      <c r="A466" s="12" t="n">
        <v>31</v>
      </c>
      <c r="B466" s="12">
        <f>IFERROR(IF(SUMIFS(tblDaily[Admissions],tblDaily[EntryDate],DATE(2026,12,31),tblDaily[WardCode],"BH")=0,"",SUMIFS(tblDaily[Admissions],tblDaily[EntryDate],DATE(2026,12,31),tblDaily[WardCode],"BH")),"")</f>
        <v/>
      </c>
      <c r="C466" s="12">
        <f>IFERROR(IF(SUMIFS(tblDaily[Discharges],tblDaily[EntryDate],DATE(2026,12,31),tblDaily[WardCode],"BH")=0,"",SUMIFS(tblDaily[Discharges],tblDaily[EntryDate],DATE(2026,12,31),tblDaily[WardCode],"BH")),"")</f>
        <v/>
      </c>
      <c r="D466" s="12">
        <f>IFERROR(IF(SUMIFS(tblDaily[Deaths],tblDaily[EntryDate],DATE(2026,12,31),tblDaily[WardCode],"BH")=0,"",SUMIFS(tblDaily[Deaths],tblDaily[EntryDate],DATE(2026,12,31),tblDaily[WardCode],"BH")),"")</f>
        <v/>
      </c>
      <c r="E466" s="12">
        <f>IFERROR(IF(SUMIFS(tblDaily[DeathsUnder24Hrs],tblDaily[EntryDate],DATE(2026,12,31),tblDaily[WardCode],"BH")=0,"",SUMIFS(tblDaily[DeathsUnder24Hrs],tblDaily[EntryDate],DATE(2026,12,31),tblDaily[WardCode],"BH")),"")</f>
        <v/>
      </c>
      <c r="F466" s="12">
        <f>IFERROR(IF(SUMIFS(tblDaily[TransfersIn],tblDaily[EntryDate],DATE(2026,12,31),tblDaily[WardCode],"BH")=0,"",SUMIFS(tblDaily[TransfersIn],tblDaily[EntryDate],DATE(2026,12,31),tblDaily[WardCode],"BH")),"")</f>
        <v/>
      </c>
      <c r="G466" s="12">
        <f>IFERROR(IF(SUMIFS(tblDaily[TransfersOut],tblDaily[EntryDate],DATE(2026,12,31),tblDaily[WardCode],"BH")=0,"",SUMIFS(tblDaily[TransfersOut],tblDaily[EntryDate],DATE(2026,12,31),tblDaily[WardCode],"BH")),"")</f>
        <v/>
      </c>
      <c r="H466" s="12">
        <f>IFERROR(IF(SUMIFS(tblDaily[Remaining],tblDaily[EntryDate],DATE(2026,12,31),tblDaily[WardCode],"BH")=0,"",SUMIFS(tblDaily[Remaining],tblDaily[EntryDate],DATE(2026,12,31),tblDaily[WardCode],"BH")),"")</f>
        <v/>
      </c>
    </row>
    <row r="467">
      <c r="A467" s="17" t="inlineStr">
        <is>
          <t>TOTAL</t>
        </is>
      </c>
      <c r="B467" s="17">
        <f>SUMIFS(tblDaily[Admissions],tblDaily[Month],12,tblDaily[WardCode],"BH") - SUMIFS(tblDaily[DeathsUnder24Hrs],tblDaily[Month],12,tblDaily[WardCode],"BH")</f>
        <v/>
      </c>
      <c r="C467" s="17">
        <f>SUMIFS(tblDaily[Discharges],tblDaily[Month],12,tblDaily[WardCode],"BH")</f>
        <v/>
      </c>
      <c r="D467" s="17">
        <f>SUMIFS(tblDaily[Deaths],tblDaily[Month],12,tblDaily[WardCode],"BH")</f>
        <v/>
      </c>
      <c r="E467" s="17">
        <f>SUMIFS(tblDaily[DeathsUnder24Hrs],tblDaily[Month],12,tblDaily[WardCode],"BH")</f>
        <v/>
      </c>
      <c r="F467" s="17">
        <f>SUMIFS(tblDaily[TransfersIn],tblDaily[Month],12,tblDaily[WardCode],"BH")</f>
        <v/>
      </c>
      <c r="G467" s="17">
        <f>SUMIFS(tblDaily[TransfersOut],tblDaily[Month],12,tblDaily[WardCode],"BH")</f>
        <v/>
      </c>
      <c r="H467" s="17">
        <f>SUMIFS(tblDaily[Remaining],tblDaily[Month],12,tblDaily[WardCode],"BH")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NEONATAL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4">
        <f>IFERROR(INDEX(tblWardConfig[PrevYearRemaining],MATCH("NICU",tblWardConfig[WardCode],0)),0)</f>
        <v/>
      </c>
    </row>
    <row r="5">
      <c r="A5" s="4" t="inlineStr">
        <is>
          <t>Bed complement</t>
        </is>
      </c>
      <c r="H5" s="15">
        <f>IFERROR(INDEX(tblWardConfig[BedComplement],MATCH("NICU",tblWardConfig[WardCode],0)),0)</f>
        <v/>
      </c>
    </row>
    <row r="6">
      <c r="A6" s="16" t="inlineStr">
        <is>
          <t>Day of
the
Month</t>
        </is>
      </c>
      <c r="B6" s="16" t="inlineStr">
        <is>
          <t>Admissions</t>
        </is>
      </c>
      <c r="C6" s="16" t="inlineStr">
        <is>
          <t>Discharges</t>
        </is>
      </c>
      <c r="D6" s="16" t="inlineStr">
        <is>
          <t>Deaths</t>
        </is>
      </c>
      <c r="E6" s="16" t="inlineStr">
        <is>
          <t>Deaths
&lt;24Hrs</t>
        </is>
      </c>
      <c r="F6" s="16" t="inlineStr">
        <is>
          <t>Transfers-
In</t>
        </is>
      </c>
      <c r="G6" s="16" t="inlineStr">
        <is>
          <t>Transfers-
Out</t>
        </is>
      </c>
      <c r="H6" s="16" t="inlineStr">
        <is>
          <t>No. of Patients
Remaining In
Ward</t>
        </is>
      </c>
    </row>
    <row r="7">
      <c r="A7" s="12" t="n">
        <v>1</v>
      </c>
      <c r="B7" s="12">
        <f>IFERROR(IF(SUMIFS(tblDaily[Admissions],tblDaily[EntryDate],DATE(2026,1,1),tblDaily[WardCode],"NICU")=0,"",SUMIFS(tblDaily[Admissions],tblDaily[EntryDate],DATE(2026,1,1),tblDaily[WardCode],"NICU")),"")</f>
        <v/>
      </c>
      <c r="C7" s="12">
        <f>IFERROR(IF(SUMIFS(tblDaily[Discharges],tblDaily[EntryDate],DATE(2026,1,1),tblDaily[WardCode],"NICU")=0,"",SUMIFS(tblDaily[Discharges],tblDaily[EntryDate],DATE(2026,1,1),tblDaily[WardCode],"NICU")),"")</f>
        <v/>
      </c>
      <c r="D7" s="12">
        <f>IFERROR(IF(SUMIFS(tblDaily[Deaths],tblDaily[EntryDate],DATE(2026,1,1),tblDaily[WardCode],"NICU")=0,"",SUMIFS(tblDaily[Deaths],tblDaily[EntryDate],DATE(2026,1,1),tblDaily[WardCode],"NICU")),"")</f>
        <v/>
      </c>
      <c r="E7" s="12">
        <f>IFERROR(IF(SUMIFS(tblDaily[DeathsUnder24Hrs],tblDaily[EntryDate],DATE(2026,1,1),tblDaily[WardCode],"NICU")=0,"",SUMIFS(tblDaily[DeathsUnder24Hrs],tblDaily[EntryDate],DATE(2026,1,1),tblDaily[WardCode],"NICU")),"")</f>
        <v/>
      </c>
      <c r="F7" s="12">
        <f>IFERROR(IF(SUMIFS(tblDaily[TransfersIn],tblDaily[EntryDate],DATE(2026,1,1),tblDaily[WardCode],"NICU")=0,"",SUMIFS(tblDaily[TransfersIn],tblDaily[EntryDate],DATE(2026,1,1),tblDaily[WardCode],"NICU")),"")</f>
        <v/>
      </c>
      <c r="G7" s="12">
        <f>IFERROR(IF(SUMIFS(tblDaily[TransfersOut],tblDaily[EntryDate],DATE(2026,1,1),tblDaily[WardCode],"NICU")=0,"",SUMIFS(tblDaily[TransfersOut],tblDaily[EntryDate],DATE(2026,1,1),tblDaily[WardCode],"NICU")),"")</f>
        <v/>
      </c>
      <c r="H7" s="12">
        <f>IFERROR(IF(SUMIFS(tblDaily[Remaining],tblDaily[EntryDate],DATE(2026,1,1),tblDaily[WardCode],"NICU")=0,"",SUMIFS(tblDaily[Remaining],tblDaily[EntryDate],DATE(2026,1,1),tblDaily[WardCode],"NICU")),"")</f>
        <v/>
      </c>
    </row>
    <row r="8">
      <c r="A8" s="12" t="n">
        <v>2</v>
      </c>
      <c r="B8" s="12">
        <f>IFERROR(IF(SUMIFS(tblDaily[Admissions],tblDaily[EntryDate],DATE(2026,1,2),tblDaily[WardCode],"NICU")=0,"",SUMIFS(tblDaily[Admissions],tblDaily[EntryDate],DATE(2026,1,2),tblDaily[WardCode],"NICU")),"")</f>
        <v/>
      </c>
      <c r="C8" s="12">
        <f>IFERROR(IF(SUMIFS(tblDaily[Discharges],tblDaily[EntryDate],DATE(2026,1,2),tblDaily[WardCode],"NICU")=0,"",SUMIFS(tblDaily[Discharges],tblDaily[EntryDate],DATE(2026,1,2),tblDaily[WardCode],"NICU")),"")</f>
        <v/>
      </c>
      <c r="D8" s="12">
        <f>IFERROR(IF(SUMIFS(tblDaily[Deaths],tblDaily[EntryDate],DATE(2026,1,2),tblDaily[WardCode],"NICU")=0,"",SUMIFS(tblDaily[Deaths],tblDaily[EntryDate],DATE(2026,1,2),tblDaily[WardCode],"NICU")),"")</f>
        <v/>
      </c>
      <c r="E8" s="12">
        <f>IFERROR(IF(SUMIFS(tblDaily[DeathsUnder24Hrs],tblDaily[EntryDate],DATE(2026,1,2),tblDaily[WardCode],"NICU")=0,"",SUMIFS(tblDaily[DeathsUnder24Hrs],tblDaily[EntryDate],DATE(2026,1,2),tblDaily[WardCode],"NICU")),"")</f>
        <v/>
      </c>
      <c r="F8" s="12">
        <f>IFERROR(IF(SUMIFS(tblDaily[TransfersIn],tblDaily[EntryDate],DATE(2026,1,2),tblDaily[WardCode],"NICU")=0,"",SUMIFS(tblDaily[TransfersIn],tblDaily[EntryDate],DATE(2026,1,2),tblDaily[WardCode],"NICU")),"")</f>
        <v/>
      </c>
      <c r="G8" s="12">
        <f>IFERROR(IF(SUMIFS(tblDaily[TransfersOut],tblDaily[EntryDate],DATE(2026,1,2),tblDaily[WardCode],"NICU")=0,"",SUMIFS(tblDaily[TransfersOut],tblDaily[EntryDate],DATE(2026,1,2),tblDaily[WardCode],"NICU")),"")</f>
        <v/>
      </c>
      <c r="H8" s="12">
        <f>IFERROR(IF(SUMIFS(tblDaily[Remaining],tblDaily[EntryDate],DATE(2026,1,2),tblDaily[WardCode],"NICU")=0,"",SUMIFS(tblDaily[Remaining],tblDaily[EntryDate],DATE(2026,1,2),tblDaily[WardCode],"NICU")),"")</f>
        <v/>
      </c>
    </row>
    <row r="9">
      <c r="A9" s="12" t="n">
        <v>3</v>
      </c>
      <c r="B9" s="12">
        <f>IFERROR(IF(SUMIFS(tblDaily[Admissions],tblDaily[EntryDate],DATE(2026,1,3),tblDaily[WardCode],"NICU")=0,"",SUMIFS(tblDaily[Admissions],tblDaily[EntryDate],DATE(2026,1,3),tblDaily[WardCode],"NICU")),"")</f>
        <v/>
      </c>
      <c r="C9" s="12">
        <f>IFERROR(IF(SUMIFS(tblDaily[Discharges],tblDaily[EntryDate],DATE(2026,1,3),tblDaily[WardCode],"NICU")=0,"",SUMIFS(tblDaily[Discharges],tblDaily[EntryDate],DATE(2026,1,3),tblDaily[WardCode],"NICU")),"")</f>
        <v/>
      </c>
      <c r="D9" s="12">
        <f>IFERROR(IF(SUMIFS(tblDaily[Deaths],tblDaily[EntryDate],DATE(2026,1,3),tblDaily[WardCode],"NICU")=0,"",SUMIFS(tblDaily[Deaths],tblDaily[EntryDate],DATE(2026,1,3),tblDaily[WardCode],"NICU")),"")</f>
        <v/>
      </c>
      <c r="E9" s="12">
        <f>IFERROR(IF(SUMIFS(tblDaily[DeathsUnder24Hrs],tblDaily[EntryDate],DATE(2026,1,3),tblDaily[WardCode],"NICU")=0,"",SUMIFS(tblDaily[DeathsUnder24Hrs],tblDaily[EntryDate],DATE(2026,1,3),tblDaily[WardCode],"NICU")),"")</f>
        <v/>
      </c>
      <c r="F9" s="12">
        <f>IFERROR(IF(SUMIFS(tblDaily[TransfersIn],tblDaily[EntryDate],DATE(2026,1,3),tblDaily[WardCode],"NICU")=0,"",SUMIFS(tblDaily[TransfersIn],tblDaily[EntryDate],DATE(2026,1,3),tblDaily[WardCode],"NICU")),"")</f>
        <v/>
      </c>
      <c r="G9" s="12">
        <f>IFERROR(IF(SUMIFS(tblDaily[TransfersOut],tblDaily[EntryDate],DATE(2026,1,3),tblDaily[WardCode],"NICU")=0,"",SUMIFS(tblDaily[TransfersOut],tblDaily[EntryDate],DATE(2026,1,3),tblDaily[WardCode],"NICU")),"")</f>
        <v/>
      </c>
      <c r="H9" s="12">
        <f>IFERROR(IF(SUMIFS(tblDaily[Remaining],tblDaily[EntryDate],DATE(2026,1,3),tblDaily[WardCode],"NICU")=0,"",SUMIFS(tblDaily[Remaining],tblDaily[EntryDate],DATE(2026,1,3),tblDaily[WardCode],"NICU")),"")</f>
        <v/>
      </c>
    </row>
    <row r="10">
      <c r="A10" s="12" t="n">
        <v>4</v>
      </c>
      <c r="B10" s="12">
        <f>IFERROR(IF(SUMIFS(tblDaily[Admissions],tblDaily[EntryDate],DATE(2026,1,4),tblDaily[WardCode],"NICU")=0,"",SUMIFS(tblDaily[Admissions],tblDaily[EntryDate],DATE(2026,1,4),tblDaily[WardCode],"NICU")),"")</f>
        <v/>
      </c>
      <c r="C10" s="12">
        <f>IFERROR(IF(SUMIFS(tblDaily[Discharges],tblDaily[EntryDate],DATE(2026,1,4),tblDaily[WardCode],"NICU")=0,"",SUMIFS(tblDaily[Discharges],tblDaily[EntryDate],DATE(2026,1,4),tblDaily[WardCode],"NICU")),"")</f>
        <v/>
      </c>
      <c r="D10" s="12">
        <f>IFERROR(IF(SUMIFS(tblDaily[Deaths],tblDaily[EntryDate],DATE(2026,1,4),tblDaily[WardCode],"NICU")=0,"",SUMIFS(tblDaily[Deaths],tblDaily[EntryDate],DATE(2026,1,4),tblDaily[WardCode],"NICU")),"")</f>
        <v/>
      </c>
      <c r="E10" s="12">
        <f>IFERROR(IF(SUMIFS(tblDaily[DeathsUnder24Hrs],tblDaily[EntryDate],DATE(2026,1,4),tblDaily[WardCode],"NICU")=0,"",SUMIFS(tblDaily[DeathsUnder24Hrs],tblDaily[EntryDate],DATE(2026,1,4),tblDaily[WardCode],"NICU")),"")</f>
        <v/>
      </c>
      <c r="F10" s="12">
        <f>IFERROR(IF(SUMIFS(tblDaily[TransfersIn],tblDaily[EntryDate],DATE(2026,1,4),tblDaily[WardCode],"NICU")=0,"",SUMIFS(tblDaily[TransfersIn],tblDaily[EntryDate],DATE(2026,1,4),tblDaily[WardCode],"NICU")),"")</f>
        <v/>
      </c>
      <c r="G10" s="12">
        <f>IFERROR(IF(SUMIFS(tblDaily[TransfersOut],tblDaily[EntryDate],DATE(2026,1,4),tblDaily[WardCode],"NICU")=0,"",SUMIFS(tblDaily[TransfersOut],tblDaily[EntryDate],DATE(2026,1,4),tblDaily[WardCode],"NICU")),"")</f>
        <v/>
      </c>
      <c r="H10" s="12">
        <f>IFERROR(IF(SUMIFS(tblDaily[Remaining],tblDaily[EntryDate],DATE(2026,1,4),tblDaily[WardCode],"NICU")=0,"",SUMIFS(tblDaily[Remaining],tblDaily[EntryDate],DATE(2026,1,4),tblDaily[WardCode],"NICU")),"")</f>
        <v/>
      </c>
    </row>
    <row r="11">
      <c r="A11" s="12" t="n">
        <v>5</v>
      </c>
      <c r="B11" s="12">
        <f>IFERROR(IF(SUMIFS(tblDaily[Admissions],tblDaily[EntryDate],DATE(2026,1,5),tblDaily[WardCode],"NICU")=0,"",SUMIFS(tblDaily[Admissions],tblDaily[EntryDate],DATE(2026,1,5),tblDaily[WardCode],"NICU")),"")</f>
        <v/>
      </c>
      <c r="C11" s="12">
        <f>IFERROR(IF(SUMIFS(tblDaily[Discharges],tblDaily[EntryDate],DATE(2026,1,5),tblDaily[WardCode],"NICU")=0,"",SUMIFS(tblDaily[Discharges],tblDaily[EntryDate],DATE(2026,1,5),tblDaily[WardCode],"NICU")),"")</f>
        <v/>
      </c>
      <c r="D11" s="12">
        <f>IFERROR(IF(SUMIFS(tblDaily[Deaths],tblDaily[EntryDate],DATE(2026,1,5),tblDaily[WardCode],"NICU")=0,"",SUMIFS(tblDaily[Deaths],tblDaily[EntryDate],DATE(2026,1,5),tblDaily[WardCode],"NICU")),"")</f>
        <v/>
      </c>
      <c r="E11" s="12">
        <f>IFERROR(IF(SUMIFS(tblDaily[DeathsUnder24Hrs],tblDaily[EntryDate],DATE(2026,1,5),tblDaily[WardCode],"NICU")=0,"",SUMIFS(tblDaily[DeathsUnder24Hrs],tblDaily[EntryDate],DATE(2026,1,5),tblDaily[WardCode],"NICU")),"")</f>
        <v/>
      </c>
      <c r="F11" s="12">
        <f>IFERROR(IF(SUMIFS(tblDaily[TransfersIn],tblDaily[EntryDate],DATE(2026,1,5),tblDaily[WardCode],"NICU")=0,"",SUMIFS(tblDaily[TransfersIn],tblDaily[EntryDate],DATE(2026,1,5),tblDaily[WardCode],"NICU")),"")</f>
        <v/>
      </c>
      <c r="G11" s="12">
        <f>IFERROR(IF(SUMIFS(tblDaily[TransfersOut],tblDaily[EntryDate],DATE(2026,1,5),tblDaily[WardCode],"NICU")=0,"",SUMIFS(tblDaily[TransfersOut],tblDaily[EntryDate],DATE(2026,1,5),tblDaily[WardCode],"NICU")),"")</f>
        <v/>
      </c>
      <c r="H11" s="12">
        <f>IFERROR(IF(SUMIFS(tblDaily[Remaining],tblDaily[EntryDate],DATE(2026,1,5),tblDaily[WardCode],"NICU")=0,"",SUMIFS(tblDaily[Remaining],tblDaily[EntryDate],DATE(2026,1,5),tblDaily[WardCode],"NICU")),"")</f>
        <v/>
      </c>
    </row>
    <row r="12">
      <c r="A12" s="12" t="n">
        <v>6</v>
      </c>
      <c r="B12" s="12">
        <f>IFERROR(IF(SUMIFS(tblDaily[Admissions],tblDaily[EntryDate],DATE(2026,1,6),tblDaily[WardCode],"NICU")=0,"",SUMIFS(tblDaily[Admissions],tblDaily[EntryDate],DATE(2026,1,6),tblDaily[WardCode],"NICU")),"")</f>
        <v/>
      </c>
      <c r="C12" s="12">
        <f>IFERROR(IF(SUMIFS(tblDaily[Discharges],tblDaily[EntryDate],DATE(2026,1,6),tblDaily[WardCode],"NICU")=0,"",SUMIFS(tblDaily[Discharges],tblDaily[EntryDate],DATE(2026,1,6),tblDaily[WardCode],"NICU")),"")</f>
        <v/>
      </c>
      <c r="D12" s="12">
        <f>IFERROR(IF(SUMIFS(tblDaily[Deaths],tblDaily[EntryDate],DATE(2026,1,6),tblDaily[WardCode],"NICU")=0,"",SUMIFS(tblDaily[Deaths],tblDaily[EntryDate],DATE(2026,1,6),tblDaily[WardCode],"NICU")),"")</f>
        <v/>
      </c>
      <c r="E12" s="12">
        <f>IFERROR(IF(SUMIFS(tblDaily[DeathsUnder24Hrs],tblDaily[EntryDate],DATE(2026,1,6),tblDaily[WardCode],"NICU")=0,"",SUMIFS(tblDaily[DeathsUnder24Hrs],tblDaily[EntryDate],DATE(2026,1,6),tblDaily[WardCode],"NICU")),"")</f>
        <v/>
      </c>
      <c r="F12" s="12">
        <f>IFERROR(IF(SUMIFS(tblDaily[TransfersIn],tblDaily[EntryDate],DATE(2026,1,6),tblDaily[WardCode],"NICU")=0,"",SUMIFS(tblDaily[TransfersIn],tblDaily[EntryDate],DATE(2026,1,6),tblDaily[WardCode],"NICU")),"")</f>
        <v/>
      </c>
      <c r="G12" s="12">
        <f>IFERROR(IF(SUMIFS(tblDaily[TransfersOut],tblDaily[EntryDate],DATE(2026,1,6),tblDaily[WardCode],"NICU")=0,"",SUMIFS(tblDaily[TransfersOut],tblDaily[EntryDate],DATE(2026,1,6),tblDaily[WardCode],"NICU")),"")</f>
        <v/>
      </c>
      <c r="H12" s="12">
        <f>IFERROR(IF(SUMIFS(tblDaily[Remaining],tblDaily[EntryDate],DATE(2026,1,6),tblDaily[WardCode],"NICU")=0,"",SUMIFS(tblDaily[Remaining],tblDaily[EntryDate],DATE(2026,1,6),tblDaily[WardCode],"NICU")),"")</f>
        <v/>
      </c>
    </row>
    <row r="13">
      <c r="A13" s="12" t="n">
        <v>7</v>
      </c>
      <c r="B13" s="12">
        <f>IFERROR(IF(SUMIFS(tblDaily[Admissions],tblDaily[EntryDate],DATE(2026,1,7),tblDaily[WardCode],"NICU")=0,"",SUMIFS(tblDaily[Admissions],tblDaily[EntryDate],DATE(2026,1,7),tblDaily[WardCode],"NICU")),"")</f>
        <v/>
      </c>
      <c r="C13" s="12">
        <f>IFERROR(IF(SUMIFS(tblDaily[Discharges],tblDaily[EntryDate],DATE(2026,1,7),tblDaily[WardCode],"NICU")=0,"",SUMIFS(tblDaily[Discharges],tblDaily[EntryDate],DATE(2026,1,7),tblDaily[WardCode],"NICU")),"")</f>
        <v/>
      </c>
      <c r="D13" s="12">
        <f>IFERROR(IF(SUMIFS(tblDaily[Deaths],tblDaily[EntryDate],DATE(2026,1,7),tblDaily[WardCode],"NICU")=0,"",SUMIFS(tblDaily[Deaths],tblDaily[EntryDate],DATE(2026,1,7),tblDaily[WardCode],"NICU")),"")</f>
        <v/>
      </c>
      <c r="E13" s="12">
        <f>IFERROR(IF(SUMIFS(tblDaily[DeathsUnder24Hrs],tblDaily[EntryDate],DATE(2026,1,7),tblDaily[WardCode],"NICU")=0,"",SUMIFS(tblDaily[DeathsUnder24Hrs],tblDaily[EntryDate],DATE(2026,1,7),tblDaily[WardCode],"NICU")),"")</f>
        <v/>
      </c>
      <c r="F13" s="12">
        <f>IFERROR(IF(SUMIFS(tblDaily[TransfersIn],tblDaily[EntryDate],DATE(2026,1,7),tblDaily[WardCode],"NICU")=0,"",SUMIFS(tblDaily[TransfersIn],tblDaily[EntryDate],DATE(2026,1,7),tblDaily[WardCode],"NICU")),"")</f>
        <v/>
      </c>
      <c r="G13" s="12">
        <f>IFERROR(IF(SUMIFS(tblDaily[TransfersOut],tblDaily[EntryDate],DATE(2026,1,7),tblDaily[WardCode],"NICU")=0,"",SUMIFS(tblDaily[TransfersOut],tblDaily[EntryDate],DATE(2026,1,7),tblDaily[WardCode],"NICU")),"")</f>
        <v/>
      </c>
      <c r="H13" s="12">
        <f>IFERROR(IF(SUMIFS(tblDaily[Remaining],tblDaily[EntryDate],DATE(2026,1,7),tblDaily[WardCode],"NICU")=0,"",SUMIFS(tblDaily[Remaining],tblDaily[EntryDate],DATE(2026,1,7),tblDaily[WardCode],"NICU")),"")</f>
        <v/>
      </c>
    </row>
    <row r="14">
      <c r="A14" s="12" t="n">
        <v>8</v>
      </c>
      <c r="B14" s="12">
        <f>IFERROR(IF(SUMIFS(tblDaily[Admissions],tblDaily[EntryDate],DATE(2026,1,8),tblDaily[WardCode],"NICU")=0,"",SUMIFS(tblDaily[Admissions],tblDaily[EntryDate],DATE(2026,1,8),tblDaily[WardCode],"NICU")),"")</f>
        <v/>
      </c>
      <c r="C14" s="12">
        <f>IFERROR(IF(SUMIFS(tblDaily[Discharges],tblDaily[EntryDate],DATE(2026,1,8),tblDaily[WardCode],"NICU")=0,"",SUMIFS(tblDaily[Discharges],tblDaily[EntryDate],DATE(2026,1,8),tblDaily[WardCode],"NICU")),"")</f>
        <v/>
      </c>
      <c r="D14" s="12">
        <f>IFERROR(IF(SUMIFS(tblDaily[Deaths],tblDaily[EntryDate],DATE(2026,1,8),tblDaily[WardCode],"NICU")=0,"",SUMIFS(tblDaily[Deaths],tblDaily[EntryDate],DATE(2026,1,8),tblDaily[WardCode],"NICU")),"")</f>
        <v/>
      </c>
      <c r="E14" s="12">
        <f>IFERROR(IF(SUMIFS(tblDaily[DeathsUnder24Hrs],tblDaily[EntryDate],DATE(2026,1,8),tblDaily[WardCode],"NICU")=0,"",SUMIFS(tblDaily[DeathsUnder24Hrs],tblDaily[EntryDate],DATE(2026,1,8),tblDaily[WardCode],"NICU")),"")</f>
        <v/>
      </c>
      <c r="F14" s="12">
        <f>IFERROR(IF(SUMIFS(tblDaily[TransfersIn],tblDaily[EntryDate],DATE(2026,1,8),tblDaily[WardCode],"NICU")=0,"",SUMIFS(tblDaily[TransfersIn],tblDaily[EntryDate],DATE(2026,1,8),tblDaily[WardCode],"NICU")),"")</f>
        <v/>
      </c>
      <c r="G14" s="12">
        <f>IFERROR(IF(SUMIFS(tblDaily[TransfersOut],tblDaily[EntryDate],DATE(2026,1,8),tblDaily[WardCode],"NICU")=0,"",SUMIFS(tblDaily[TransfersOut],tblDaily[EntryDate],DATE(2026,1,8),tblDaily[WardCode],"NICU")),"")</f>
        <v/>
      </c>
      <c r="H14" s="12">
        <f>IFERROR(IF(SUMIFS(tblDaily[Remaining],tblDaily[EntryDate],DATE(2026,1,8),tblDaily[WardCode],"NICU")=0,"",SUMIFS(tblDaily[Remaining],tblDaily[EntryDate],DATE(2026,1,8),tblDaily[WardCode],"NICU")),"")</f>
        <v/>
      </c>
    </row>
    <row r="15">
      <c r="A15" s="12" t="n">
        <v>9</v>
      </c>
      <c r="B15" s="12">
        <f>IFERROR(IF(SUMIFS(tblDaily[Admissions],tblDaily[EntryDate],DATE(2026,1,9),tblDaily[WardCode],"NICU")=0,"",SUMIFS(tblDaily[Admissions],tblDaily[EntryDate],DATE(2026,1,9),tblDaily[WardCode],"NICU")),"")</f>
        <v/>
      </c>
      <c r="C15" s="12">
        <f>IFERROR(IF(SUMIFS(tblDaily[Discharges],tblDaily[EntryDate],DATE(2026,1,9),tblDaily[WardCode],"NICU")=0,"",SUMIFS(tblDaily[Discharges],tblDaily[EntryDate],DATE(2026,1,9),tblDaily[WardCode],"NICU")),"")</f>
        <v/>
      </c>
      <c r="D15" s="12">
        <f>IFERROR(IF(SUMIFS(tblDaily[Deaths],tblDaily[EntryDate],DATE(2026,1,9),tblDaily[WardCode],"NICU")=0,"",SUMIFS(tblDaily[Deaths],tblDaily[EntryDate],DATE(2026,1,9),tblDaily[WardCode],"NICU")),"")</f>
        <v/>
      </c>
      <c r="E15" s="12">
        <f>IFERROR(IF(SUMIFS(tblDaily[DeathsUnder24Hrs],tblDaily[EntryDate],DATE(2026,1,9),tblDaily[WardCode],"NICU")=0,"",SUMIFS(tblDaily[DeathsUnder24Hrs],tblDaily[EntryDate],DATE(2026,1,9),tblDaily[WardCode],"NICU")),"")</f>
        <v/>
      </c>
      <c r="F15" s="12">
        <f>IFERROR(IF(SUMIFS(tblDaily[TransfersIn],tblDaily[EntryDate],DATE(2026,1,9),tblDaily[WardCode],"NICU")=0,"",SUMIFS(tblDaily[TransfersIn],tblDaily[EntryDate],DATE(2026,1,9),tblDaily[WardCode],"NICU")),"")</f>
        <v/>
      </c>
      <c r="G15" s="12">
        <f>IFERROR(IF(SUMIFS(tblDaily[TransfersOut],tblDaily[EntryDate],DATE(2026,1,9),tblDaily[WardCode],"NICU")=0,"",SUMIFS(tblDaily[TransfersOut],tblDaily[EntryDate],DATE(2026,1,9),tblDaily[WardCode],"NICU")),"")</f>
        <v/>
      </c>
      <c r="H15" s="12">
        <f>IFERROR(IF(SUMIFS(tblDaily[Remaining],tblDaily[EntryDate],DATE(2026,1,9),tblDaily[WardCode],"NICU")=0,"",SUMIFS(tblDaily[Remaining],tblDaily[EntryDate],DATE(2026,1,9),tblDaily[WardCode],"NICU")),"")</f>
        <v/>
      </c>
    </row>
    <row r="16">
      <c r="A16" s="12" t="n">
        <v>10</v>
      </c>
      <c r="B16" s="12">
        <f>IFERROR(IF(SUMIFS(tblDaily[Admissions],tblDaily[EntryDate],DATE(2026,1,10),tblDaily[WardCode],"NICU")=0,"",SUMIFS(tblDaily[Admissions],tblDaily[EntryDate],DATE(2026,1,10),tblDaily[WardCode],"NICU")),"")</f>
        <v/>
      </c>
      <c r="C16" s="12">
        <f>IFERROR(IF(SUMIFS(tblDaily[Discharges],tblDaily[EntryDate],DATE(2026,1,10),tblDaily[WardCode],"NICU")=0,"",SUMIFS(tblDaily[Discharges],tblDaily[EntryDate],DATE(2026,1,10),tblDaily[WardCode],"NICU")),"")</f>
        <v/>
      </c>
      <c r="D16" s="12">
        <f>IFERROR(IF(SUMIFS(tblDaily[Deaths],tblDaily[EntryDate],DATE(2026,1,10),tblDaily[WardCode],"NICU")=0,"",SUMIFS(tblDaily[Deaths],tblDaily[EntryDate],DATE(2026,1,10),tblDaily[WardCode],"NICU")),"")</f>
        <v/>
      </c>
      <c r="E16" s="12">
        <f>IFERROR(IF(SUMIFS(tblDaily[DeathsUnder24Hrs],tblDaily[EntryDate],DATE(2026,1,10),tblDaily[WardCode],"NICU")=0,"",SUMIFS(tblDaily[DeathsUnder24Hrs],tblDaily[EntryDate],DATE(2026,1,10),tblDaily[WardCode],"NICU")),"")</f>
        <v/>
      </c>
      <c r="F16" s="12">
        <f>IFERROR(IF(SUMIFS(tblDaily[TransfersIn],tblDaily[EntryDate],DATE(2026,1,10),tblDaily[WardCode],"NICU")=0,"",SUMIFS(tblDaily[TransfersIn],tblDaily[EntryDate],DATE(2026,1,10),tblDaily[WardCode],"NICU")),"")</f>
        <v/>
      </c>
      <c r="G16" s="12">
        <f>IFERROR(IF(SUMIFS(tblDaily[TransfersOut],tblDaily[EntryDate],DATE(2026,1,10),tblDaily[WardCode],"NICU")=0,"",SUMIFS(tblDaily[TransfersOut],tblDaily[EntryDate],DATE(2026,1,10),tblDaily[WardCode],"NICU")),"")</f>
        <v/>
      </c>
      <c r="H16" s="12">
        <f>IFERROR(IF(SUMIFS(tblDaily[Remaining],tblDaily[EntryDate],DATE(2026,1,10),tblDaily[WardCode],"NICU")=0,"",SUMIFS(tblDaily[Remaining],tblDaily[EntryDate],DATE(2026,1,10),tblDaily[WardCode],"NICU")),"")</f>
        <v/>
      </c>
    </row>
    <row r="17">
      <c r="A17" s="12" t="n">
        <v>11</v>
      </c>
      <c r="B17" s="12">
        <f>IFERROR(IF(SUMIFS(tblDaily[Admissions],tblDaily[EntryDate],DATE(2026,1,11),tblDaily[WardCode],"NICU")=0,"",SUMIFS(tblDaily[Admissions],tblDaily[EntryDate],DATE(2026,1,11),tblDaily[WardCode],"NICU")),"")</f>
        <v/>
      </c>
      <c r="C17" s="12">
        <f>IFERROR(IF(SUMIFS(tblDaily[Discharges],tblDaily[EntryDate],DATE(2026,1,11),tblDaily[WardCode],"NICU")=0,"",SUMIFS(tblDaily[Discharges],tblDaily[EntryDate],DATE(2026,1,11),tblDaily[WardCode],"NICU")),"")</f>
        <v/>
      </c>
      <c r="D17" s="12">
        <f>IFERROR(IF(SUMIFS(tblDaily[Deaths],tblDaily[EntryDate],DATE(2026,1,11),tblDaily[WardCode],"NICU")=0,"",SUMIFS(tblDaily[Deaths],tblDaily[EntryDate],DATE(2026,1,11),tblDaily[WardCode],"NICU")),"")</f>
        <v/>
      </c>
      <c r="E17" s="12">
        <f>IFERROR(IF(SUMIFS(tblDaily[DeathsUnder24Hrs],tblDaily[EntryDate],DATE(2026,1,11),tblDaily[WardCode],"NICU")=0,"",SUMIFS(tblDaily[DeathsUnder24Hrs],tblDaily[EntryDate],DATE(2026,1,11),tblDaily[WardCode],"NICU")),"")</f>
        <v/>
      </c>
      <c r="F17" s="12">
        <f>IFERROR(IF(SUMIFS(tblDaily[TransfersIn],tblDaily[EntryDate],DATE(2026,1,11),tblDaily[WardCode],"NICU")=0,"",SUMIFS(tblDaily[TransfersIn],tblDaily[EntryDate],DATE(2026,1,11),tblDaily[WardCode],"NICU")),"")</f>
        <v/>
      </c>
      <c r="G17" s="12">
        <f>IFERROR(IF(SUMIFS(tblDaily[TransfersOut],tblDaily[EntryDate],DATE(2026,1,11),tblDaily[WardCode],"NICU")=0,"",SUMIFS(tblDaily[TransfersOut],tblDaily[EntryDate],DATE(2026,1,11),tblDaily[WardCode],"NICU")),"")</f>
        <v/>
      </c>
      <c r="H17" s="12">
        <f>IFERROR(IF(SUMIFS(tblDaily[Remaining],tblDaily[EntryDate],DATE(2026,1,11),tblDaily[WardCode],"NICU")=0,"",SUMIFS(tblDaily[Remaining],tblDaily[EntryDate],DATE(2026,1,11),tblDaily[WardCode],"NICU")),"")</f>
        <v/>
      </c>
    </row>
    <row r="18">
      <c r="A18" s="12" t="n">
        <v>12</v>
      </c>
      <c r="B18" s="12">
        <f>IFERROR(IF(SUMIFS(tblDaily[Admissions],tblDaily[EntryDate],DATE(2026,1,12),tblDaily[WardCode],"NICU")=0,"",SUMIFS(tblDaily[Admissions],tblDaily[EntryDate],DATE(2026,1,12),tblDaily[WardCode],"NICU")),"")</f>
        <v/>
      </c>
      <c r="C18" s="12">
        <f>IFERROR(IF(SUMIFS(tblDaily[Discharges],tblDaily[EntryDate],DATE(2026,1,12),tblDaily[WardCode],"NICU")=0,"",SUMIFS(tblDaily[Discharges],tblDaily[EntryDate],DATE(2026,1,12),tblDaily[WardCode],"NICU")),"")</f>
        <v/>
      </c>
      <c r="D18" s="12">
        <f>IFERROR(IF(SUMIFS(tblDaily[Deaths],tblDaily[EntryDate],DATE(2026,1,12),tblDaily[WardCode],"NICU")=0,"",SUMIFS(tblDaily[Deaths],tblDaily[EntryDate],DATE(2026,1,12),tblDaily[WardCode],"NICU")),"")</f>
        <v/>
      </c>
      <c r="E18" s="12">
        <f>IFERROR(IF(SUMIFS(tblDaily[DeathsUnder24Hrs],tblDaily[EntryDate],DATE(2026,1,12),tblDaily[WardCode],"NICU")=0,"",SUMIFS(tblDaily[DeathsUnder24Hrs],tblDaily[EntryDate],DATE(2026,1,12),tblDaily[WardCode],"NICU")),"")</f>
        <v/>
      </c>
      <c r="F18" s="12">
        <f>IFERROR(IF(SUMIFS(tblDaily[TransfersIn],tblDaily[EntryDate],DATE(2026,1,12),tblDaily[WardCode],"NICU")=0,"",SUMIFS(tblDaily[TransfersIn],tblDaily[EntryDate],DATE(2026,1,12),tblDaily[WardCode],"NICU")),"")</f>
        <v/>
      </c>
      <c r="G18" s="12">
        <f>IFERROR(IF(SUMIFS(tblDaily[TransfersOut],tblDaily[EntryDate],DATE(2026,1,12),tblDaily[WardCode],"NICU")=0,"",SUMIFS(tblDaily[TransfersOut],tblDaily[EntryDate],DATE(2026,1,12),tblDaily[WardCode],"NICU")),"")</f>
        <v/>
      </c>
      <c r="H18" s="12">
        <f>IFERROR(IF(SUMIFS(tblDaily[Remaining],tblDaily[EntryDate],DATE(2026,1,12),tblDaily[WardCode],"NICU")=0,"",SUMIFS(tblDaily[Remaining],tblDaily[EntryDate],DATE(2026,1,12),tblDaily[WardCode],"NICU")),"")</f>
        <v/>
      </c>
    </row>
    <row r="19">
      <c r="A19" s="12" t="n">
        <v>13</v>
      </c>
      <c r="B19" s="12">
        <f>IFERROR(IF(SUMIFS(tblDaily[Admissions],tblDaily[EntryDate],DATE(2026,1,13),tblDaily[WardCode],"NICU")=0,"",SUMIFS(tblDaily[Admissions],tblDaily[EntryDate],DATE(2026,1,13),tblDaily[WardCode],"NICU")),"")</f>
        <v/>
      </c>
      <c r="C19" s="12">
        <f>IFERROR(IF(SUMIFS(tblDaily[Discharges],tblDaily[EntryDate],DATE(2026,1,13),tblDaily[WardCode],"NICU")=0,"",SUMIFS(tblDaily[Discharges],tblDaily[EntryDate],DATE(2026,1,13),tblDaily[WardCode],"NICU")),"")</f>
        <v/>
      </c>
      <c r="D19" s="12">
        <f>IFERROR(IF(SUMIFS(tblDaily[Deaths],tblDaily[EntryDate],DATE(2026,1,13),tblDaily[WardCode],"NICU")=0,"",SUMIFS(tblDaily[Deaths],tblDaily[EntryDate],DATE(2026,1,13),tblDaily[WardCode],"NICU")),"")</f>
        <v/>
      </c>
      <c r="E19" s="12">
        <f>IFERROR(IF(SUMIFS(tblDaily[DeathsUnder24Hrs],tblDaily[EntryDate],DATE(2026,1,13),tblDaily[WardCode],"NICU")=0,"",SUMIFS(tblDaily[DeathsUnder24Hrs],tblDaily[EntryDate],DATE(2026,1,13),tblDaily[WardCode],"NICU")),"")</f>
        <v/>
      </c>
      <c r="F19" s="12">
        <f>IFERROR(IF(SUMIFS(tblDaily[TransfersIn],tblDaily[EntryDate],DATE(2026,1,13),tblDaily[WardCode],"NICU")=0,"",SUMIFS(tblDaily[TransfersIn],tblDaily[EntryDate],DATE(2026,1,13),tblDaily[WardCode],"NICU")),"")</f>
        <v/>
      </c>
      <c r="G19" s="12">
        <f>IFERROR(IF(SUMIFS(tblDaily[TransfersOut],tblDaily[EntryDate],DATE(2026,1,13),tblDaily[WardCode],"NICU")=0,"",SUMIFS(tblDaily[TransfersOut],tblDaily[EntryDate],DATE(2026,1,13),tblDaily[WardCode],"NICU")),"")</f>
        <v/>
      </c>
      <c r="H19" s="12">
        <f>IFERROR(IF(SUMIFS(tblDaily[Remaining],tblDaily[EntryDate],DATE(2026,1,13),tblDaily[WardCode],"NICU")=0,"",SUMIFS(tblDaily[Remaining],tblDaily[EntryDate],DATE(2026,1,13),tblDaily[WardCode],"NICU")),"")</f>
        <v/>
      </c>
    </row>
    <row r="20">
      <c r="A20" s="12" t="n">
        <v>14</v>
      </c>
      <c r="B20" s="12">
        <f>IFERROR(IF(SUMIFS(tblDaily[Admissions],tblDaily[EntryDate],DATE(2026,1,14),tblDaily[WardCode],"NICU")=0,"",SUMIFS(tblDaily[Admissions],tblDaily[EntryDate],DATE(2026,1,14),tblDaily[WardCode],"NICU")),"")</f>
        <v/>
      </c>
      <c r="C20" s="12">
        <f>IFERROR(IF(SUMIFS(tblDaily[Discharges],tblDaily[EntryDate],DATE(2026,1,14),tblDaily[WardCode],"NICU")=0,"",SUMIFS(tblDaily[Discharges],tblDaily[EntryDate],DATE(2026,1,14),tblDaily[WardCode],"NICU")),"")</f>
        <v/>
      </c>
      <c r="D20" s="12">
        <f>IFERROR(IF(SUMIFS(tblDaily[Deaths],tblDaily[EntryDate],DATE(2026,1,14),tblDaily[WardCode],"NICU")=0,"",SUMIFS(tblDaily[Deaths],tblDaily[EntryDate],DATE(2026,1,14),tblDaily[WardCode],"NICU")),"")</f>
        <v/>
      </c>
      <c r="E20" s="12">
        <f>IFERROR(IF(SUMIFS(tblDaily[DeathsUnder24Hrs],tblDaily[EntryDate],DATE(2026,1,14),tblDaily[WardCode],"NICU")=0,"",SUMIFS(tblDaily[DeathsUnder24Hrs],tblDaily[EntryDate],DATE(2026,1,14),tblDaily[WardCode],"NICU")),"")</f>
        <v/>
      </c>
      <c r="F20" s="12">
        <f>IFERROR(IF(SUMIFS(tblDaily[TransfersIn],tblDaily[EntryDate],DATE(2026,1,14),tblDaily[WardCode],"NICU")=0,"",SUMIFS(tblDaily[TransfersIn],tblDaily[EntryDate],DATE(2026,1,14),tblDaily[WardCode],"NICU")),"")</f>
        <v/>
      </c>
      <c r="G20" s="12">
        <f>IFERROR(IF(SUMIFS(tblDaily[TransfersOut],tblDaily[EntryDate],DATE(2026,1,14),tblDaily[WardCode],"NICU")=0,"",SUMIFS(tblDaily[TransfersOut],tblDaily[EntryDate],DATE(2026,1,14),tblDaily[WardCode],"NICU")),"")</f>
        <v/>
      </c>
      <c r="H20" s="12">
        <f>IFERROR(IF(SUMIFS(tblDaily[Remaining],tblDaily[EntryDate],DATE(2026,1,14),tblDaily[WardCode],"NICU")=0,"",SUMIFS(tblDaily[Remaining],tblDaily[EntryDate],DATE(2026,1,14),tblDaily[WardCode],"NICU")),"")</f>
        <v/>
      </c>
    </row>
    <row r="21">
      <c r="A21" s="12" t="n">
        <v>15</v>
      </c>
      <c r="B21" s="12">
        <f>IFERROR(IF(SUMIFS(tblDaily[Admissions],tblDaily[EntryDate],DATE(2026,1,15),tblDaily[WardCode],"NICU")=0,"",SUMIFS(tblDaily[Admissions],tblDaily[EntryDate],DATE(2026,1,15),tblDaily[WardCode],"NICU")),"")</f>
        <v/>
      </c>
      <c r="C21" s="12">
        <f>IFERROR(IF(SUMIFS(tblDaily[Discharges],tblDaily[EntryDate],DATE(2026,1,15),tblDaily[WardCode],"NICU")=0,"",SUMIFS(tblDaily[Discharges],tblDaily[EntryDate],DATE(2026,1,15),tblDaily[WardCode],"NICU")),"")</f>
        <v/>
      </c>
      <c r="D21" s="12">
        <f>IFERROR(IF(SUMIFS(tblDaily[Deaths],tblDaily[EntryDate],DATE(2026,1,15),tblDaily[WardCode],"NICU")=0,"",SUMIFS(tblDaily[Deaths],tblDaily[EntryDate],DATE(2026,1,15),tblDaily[WardCode],"NICU")),"")</f>
        <v/>
      </c>
      <c r="E21" s="12">
        <f>IFERROR(IF(SUMIFS(tblDaily[DeathsUnder24Hrs],tblDaily[EntryDate],DATE(2026,1,15),tblDaily[WardCode],"NICU")=0,"",SUMIFS(tblDaily[DeathsUnder24Hrs],tblDaily[EntryDate],DATE(2026,1,15),tblDaily[WardCode],"NICU")),"")</f>
        <v/>
      </c>
      <c r="F21" s="12">
        <f>IFERROR(IF(SUMIFS(tblDaily[TransfersIn],tblDaily[EntryDate],DATE(2026,1,15),tblDaily[WardCode],"NICU")=0,"",SUMIFS(tblDaily[TransfersIn],tblDaily[EntryDate],DATE(2026,1,15),tblDaily[WardCode],"NICU")),"")</f>
        <v/>
      </c>
      <c r="G21" s="12">
        <f>IFERROR(IF(SUMIFS(tblDaily[TransfersOut],tblDaily[EntryDate],DATE(2026,1,15),tblDaily[WardCode],"NICU")=0,"",SUMIFS(tblDaily[TransfersOut],tblDaily[EntryDate],DATE(2026,1,15),tblDaily[WardCode],"NICU")),"")</f>
        <v/>
      </c>
      <c r="H21" s="12">
        <f>IFERROR(IF(SUMIFS(tblDaily[Remaining],tblDaily[EntryDate],DATE(2026,1,15),tblDaily[WardCode],"NICU")=0,"",SUMIFS(tblDaily[Remaining],tblDaily[EntryDate],DATE(2026,1,15),tblDaily[WardCode],"NICU")),"")</f>
        <v/>
      </c>
    </row>
    <row r="22">
      <c r="A22" s="12" t="n">
        <v>16</v>
      </c>
      <c r="B22" s="12">
        <f>IFERROR(IF(SUMIFS(tblDaily[Admissions],tblDaily[EntryDate],DATE(2026,1,16),tblDaily[WardCode],"NICU")=0,"",SUMIFS(tblDaily[Admissions],tblDaily[EntryDate],DATE(2026,1,16),tblDaily[WardCode],"NICU")),"")</f>
        <v/>
      </c>
      <c r="C22" s="12">
        <f>IFERROR(IF(SUMIFS(tblDaily[Discharges],tblDaily[EntryDate],DATE(2026,1,16),tblDaily[WardCode],"NICU")=0,"",SUMIFS(tblDaily[Discharges],tblDaily[EntryDate],DATE(2026,1,16),tblDaily[WardCode],"NICU")),"")</f>
        <v/>
      </c>
      <c r="D22" s="12">
        <f>IFERROR(IF(SUMIFS(tblDaily[Deaths],tblDaily[EntryDate],DATE(2026,1,16),tblDaily[WardCode],"NICU")=0,"",SUMIFS(tblDaily[Deaths],tblDaily[EntryDate],DATE(2026,1,16),tblDaily[WardCode],"NICU")),"")</f>
        <v/>
      </c>
      <c r="E22" s="12">
        <f>IFERROR(IF(SUMIFS(tblDaily[DeathsUnder24Hrs],tblDaily[EntryDate],DATE(2026,1,16),tblDaily[WardCode],"NICU")=0,"",SUMIFS(tblDaily[DeathsUnder24Hrs],tblDaily[EntryDate],DATE(2026,1,16),tblDaily[WardCode],"NICU")),"")</f>
        <v/>
      </c>
      <c r="F22" s="12">
        <f>IFERROR(IF(SUMIFS(tblDaily[TransfersIn],tblDaily[EntryDate],DATE(2026,1,16),tblDaily[WardCode],"NICU")=0,"",SUMIFS(tblDaily[TransfersIn],tblDaily[EntryDate],DATE(2026,1,16),tblDaily[WardCode],"NICU")),"")</f>
        <v/>
      </c>
      <c r="G22" s="12">
        <f>IFERROR(IF(SUMIFS(tblDaily[TransfersOut],tblDaily[EntryDate],DATE(2026,1,16),tblDaily[WardCode],"NICU")=0,"",SUMIFS(tblDaily[TransfersOut],tblDaily[EntryDate],DATE(2026,1,16),tblDaily[WardCode],"NICU")),"")</f>
        <v/>
      </c>
      <c r="H22" s="12">
        <f>IFERROR(IF(SUMIFS(tblDaily[Remaining],tblDaily[EntryDate],DATE(2026,1,16),tblDaily[WardCode],"NICU")=0,"",SUMIFS(tblDaily[Remaining],tblDaily[EntryDate],DATE(2026,1,16),tblDaily[WardCode],"NICU")),"")</f>
        <v/>
      </c>
    </row>
    <row r="23">
      <c r="A23" s="12" t="n">
        <v>17</v>
      </c>
      <c r="B23" s="12">
        <f>IFERROR(IF(SUMIFS(tblDaily[Admissions],tblDaily[EntryDate],DATE(2026,1,17),tblDaily[WardCode],"NICU")=0,"",SUMIFS(tblDaily[Admissions],tblDaily[EntryDate],DATE(2026,1,17),tblDaily[WardCode],"NICU")),"")</f>
        <v/>
      </c>
      <c r="C23" s="12">
        <f>IFERROR(IF(SUMIFS(tblDaily[Discharges],tblDaily[EntryDate],DATE(2026,1,17),tblDaily[WardCode],"NICU")=0,"",SUMIFS(tblDaily[Discharges],tblDaily[EntryDate],DATE(2026,1,17),tblDaily[WardCode],"NICU")),"")</f>
        <v/>
      </c>
      <c r="D23" s="12">
        <f>IFERROR(IF(SUMIFS(tblDaily[Deaths],tblDaily[EntryDate],DATE(2026,1,17),tblDaily[WardCode],"NICU")=0,"",SUMIFS(tblDaily[Deaths],tblDaily[EntryDate],DATE(2026,1,17),tblDaily[WardCode],"NICU")),"")</f>
        <v/>
      </c>
      <c r="E23" s="12">
        <f>IFERROR(IF(SUMIFS(tblDaily[DeathsUnder24Hrs],tblDaily[EntryDate],DATE(2026,1,17),tblDaily[WardCode],"NICU")=0,"",SUMIFS(tblDaily[DeathsUnder24Hrs],tblDaily[EntryDate],DATE(2026,1,17),tblDaily[WardCode],"NICU")),"")</f>
        <v/>
      </c>
      <c r="F23" s="12">
        <f>IFERROR(IF(SUMIFS(tblDaily[TransfersIn],tblDaily[EntryDate],DATE(2026,1,17),tblDaily[WardCode],"NICU")=0,"",SUMIFS(tblDaily[TransfersIn],tblDaily[EntryDate],DATE(2026,1,17),tblDaily[WardCode],"NICU")),"")</f>
        <v/>
      </c>
      <c r="G23" s="12">
        <f>IFERROR(IF(SUMIFS(tblDaily[TransfersOut],tblDaily[EntryDate],DATE(2026,1,17),tblDaily[WardCode],"NICU")=0,"",SUMIFS(tblDaily[TransfersOut],tblDaily[EntryDate],DATE(2026,1,17),tblDaily[WardCode],"NICU")),"")</f>
        <v/>
      </c>
      <c r="H23" s="12">
        <f>IFERROR(IF(SUMIFS(tblDaily[Remaining],tblDaily[EntryDate],DATE(2026,1,17),tblDaily[WardCode],"NICU")=0,"",SUMIFS(tblDaily[Remaining],tblDaily[EntryDate],DATE(2026,1,17),tblDaily[WardCode],"NICU")),"")</f>
        <v/>
      </c>
    </row>
    <row r="24">
      <c r="A24" s="12" t="n">
        <v>18</v>
      </c>
      <c r="B24" s="12">
        <f>IFERROR(IF(SUMIFS(tblDaily[Admissions],tblDaily[EntryDate],DATE(2026,1,18),tblDaily[WardCode],"NICU")=0,"",SUMIFS(tblDaily[Admissions],tblDaily[EntryDate],DATE(2026,1,18),tblDaily[WardCode],"NICU")),"")</f>
        <v/>
      </c>
      <c r="C24" s="12">
        <f>IFERROR(IF(SUMIFS(tblDaily[Discharges],tblDaily[EntryDate],DATE(2026,1,18),tblDaily[WardCode],"NICU")=0,"",SUMIFS(tblDaily[Discharges],tblDaily[EntryDate],DATE(2026,1,18),tblDaily[WardCode],"NICU")),"")</f>
        <v/>
      </c>
      <c r="D24" s="12">
        <f>IFERROR(IF(SUMIFS(tblDaily[Deaths],tblDaily[EntryDate],DATE(2026,1,18),tblDaily[WardCode],"NICU")=0,"",SUMIFS(tblDaily[Deaths],tblDaily[EntryDate],DATE(2026,1,18),tblDaily[WardCode],"NICU")),"")</f>
        <v/>
      </c>
      <c r="E24" s="12">
        <f>IFERROR(IF(SUMIFS(tblDaily[DeathsUnder24Hrs],tblDaily[EntryDate],DATE(2026,1,18),tblDaily[WardCode],"NICU")=0,"",SUMIFS(tblDaily[DeathsUnder24Hrs],tblDaily[EntryDate],DATE(2026,1,18),tblDaily[WardCode],"NICU")),"")</f>
        <v/>
      </c>
      <c r="F24" s="12">
        <f>IFERROR(IF(SUMIFS(tblDaily[TransfersIn],tblDaily[EntryDate],DATE(2026,1,18),tblDaily[WardCode],"NICU")=0,"",SUMIFS(tblDaily[TransfersIn],tblDaily[EntryDate],DATE(2026,1,18),tblDaily[WardCode],"NICU")),"")</f>
        <v/>
      </c>
      <c r="G24" s="12">
        <f>IFERROR(IF(SUMIFS(tblDaily[TransfersOut],tblDaily[EntryDate],DATE(2026,1,18),tblDaily[WardCode],"NICU")=0,"",SUMIFS(tblDaily[TransfersOut],tblDaily[EntryDate],DATE(2026,1,18),tblDaily[WardCode],"NICU")),"")</f>
        <v/>
      </c>
      <c r="H24" s="12">
        <f>IFERROR(IF(SUMIFS(tblDaily[Remaining],tblDaily[EntryDate],DATE(2026,1,18),tblDaily[WardCode],"NICU")=0,"",SUMIFS(tblDaily[Remaining],tblDaily[EntryDate],DATE(2026,1,18),tblDaily[WardCode],"NICU")),"")</f>
        <v/>
      </c>
    </row>
    <row r="25">
      <c r="A25" s="12" t="n">
        <v>19</v>
      </c>
      <c r="B25" s="12">
        <f>IFERROR(IF(SUMIFS(tblDaily[Admissions],tblDaily[EntryDate],DATE(2026,1,19),tblDaily[WardCode],"NICU")=0,"",SUMIFS(tblDaily[Admissions],tblDaily[EntryDate],DATE(2026,1,19),tblDaily[WardCode],"NICU")),"")</f>
        <v/>
      </c>
      <c r="C25" s="12">
        <f>IFERROR(IF(SUMIFS(tblDaily[Discharges],tblDaily[EntryDate],DATE(2026,1,19),tblDaily[WardCode],"NICU")=0,"",SUMIFS(tblDaily[Discharges],tblDaily[EntryDate],DATE(2026,1,19),tblDaily[WardCode],"NICU")),"")</f>
        <v/>
      </c>
      <c r="D25" s="12">
        <f>IFERROR(IF(SUMIFS(tblDaily[Deaths],tblDaily[EntryDate],DATE(2026,1,19),tblDaily[WardCode],"NICU")=0,"",SUMIFS(tblDaily[Deaths],tblDaily[EntryDate],DATE(2026,1,19),tblDaily[WardCode],"NICU")),"")</f>
        <v/>
      </c>
      <c r="E25" s="12">
        <f>IFERROR(IF(SUMIFS(tblDaily[DeathsUnder24Hrs],tblDaily[EntryDate],DATE(2026,1,19),tblDaily[WardCode],"NICU")=0,"",SUMIFS(tblDaily[DeathsUnder24Hrs],tblDaily[EntryDate],DATE(2026,1,19),tblDaily[WardCode],"NICU")),"")</f>
        <v/>
      </c>
      <c r="F25" s="12">
        <f>IFERROR(IF(SUMIFS(tblDaily[TransfersIn],tblDaily[EntryDate],DATE(2026,1,19),tblDaily[WardCode],"NICU")=0,"",SUMIFS(tblDaily[TransfersIn],tblDaily[EntryDate],DATE(2026,1,19),tblDaily[WardCode],"NICU")),"")</f>
        <v/>
      </c>
      <c r="G25" s="12">
        <f>IFERROR(IF(SUMIFS(tblDaily[TransfersOut],tblDaily[EntryDate],DATE(2026,1,19),tblDaily[WardCode],"NICU")=0,"",SUMIFS(tblDaily[TransfersOut],tblDaily[EntryDate],DATE(2026,1,19),tblDaily[WardCode],"NICU")),"")</f>
        <v/>
      </c>
      <c r="H25" s="12">
        <f>IFERROR(IF(SUMIFS(tblDaily[Remaining],tblDaily[EntryDate],DATE(2026,1,19),tblDaily[WardCode],"NICU")=0,"",SUMIFS(tblDaily[Remaining],tblDaily[EntryDate],DATE(2026,1,19),tblDaily[WardCode],"NICU")),"")</f>
        <v/>
      </c>
    </row>
    <row r="26">
      <c r="A26" s="12" t="n">
        <v>20</v>
      </c>
      <c r="B26" s="12">
        <f>IFERROR(IF(SUMIFS(tblDaily[Admissions],tblDaily[EntryDate],DATE(2026,1,20),tblDaily[WardCode],"NICU")=0,"",SUMIFS(tblDaily[Admissions],tblDaily[EntryDate],DATE(2026,1,20),tblDaily[WardCode],"NICU")),"")</f>
        <v/>
      </c>
      <c r="C26" s="12">
        <f>IFERROR(IF(SUMIFS(tblDaily[Discharges],tblDaily[EntryDate],DATE(2026,1,20),tblDaily[WardCode],"NICU")=0,"",SUMIFS(tblDaily[Discharges],tblDaily[EntryDate],DATE(2026,1,20),tblDaily[WardCode],"NICU")),"")</f>
        <v/>
      </c>
      <c r="D26" s="12">
        <f>IFERROR(IF(SUMIFS(tblDaily[Deaths],tblDaily[EntryDate],DATE(2026,1,20),tblDaily[WardCode],"NICU")=0,"",SUMIFS(tblDaily[Deaths],tblDaily[EntryDate],DATE(2026,1,20),tblDaily[WardCode],"NICU")),"")</f>
        <v/>
      </c>
      <c r="E26" s="12">
        <f>IFERROR(IF(SUMIFS(tblDaily[DeathsUnder24Hrs],tblDaily[EntryDate],DATE(2026,1,20),tblDaily[WardCode],"NICU")=0,"",SUMIFS(tblDaily[DeathsUnder24Hrs],tblDaily[EntryDate],DATE(2026,1,20),tblDaily[WardCode],"NICU")),"")</f>
        <v/>
      </c>
      <c r="F26" s="12">
        <f>IFERROR(IF(SUMIFS(tblDaily[TransfersIn],tblDaily[EntryDate],DATE(2026,1,20),tblDaily[WardCode],"NICU")=0,"",SUMIFS(tblDaily[TransfersIn],tblDaily[EntryDate],DATE(2026,1,20),tblDaily[WardCode],"NICU")),"")</f>
        <v/>
      </c>
      <c r="G26" s="12">
        <f>IFERROR(IF(SUMIFS(tblDaily[TransfersOut],tblDaily[EntryDate],DATE(2026,1,20),tblDaily[WardCode],"NICU")=0,"",SUMIFS(tblDaily[TransfersOut],tblDaily[EntryDate],DATE(2026,1,20),tblDaily[WardCode],"NICU")),"")</f>
        <v/>
      </c>
      <c r="H26" s="12">
        <f>IFERROR(IF(SUMIFS(tblDaily[Remaining],tblDaily[EntryDate],DATE(2026,1,20),tblDaily[WardCode],"NICU")=0,"",SUMIFS(tblDaily[Remaining],tblDaily[EntryDate],DATE(2026,1,20),tblDaily[WardCode],"NICU")),"")</f>
        <v/>
      </c>
    </row>
    <row r="27">
      <c r="A27" s="12" t="n">
        <v>21</v>
      </c>
      <c r="B27" s="12">
        <f>IFERROR(IF(SUMIFS(tblDaily[Admissions],tblDaily[EntryDate],DATE(2026,1,21),tblDaily[WardCode],"NICU")=0,"",SUMIFS(tblDaily[Admissions],tblDaily[EntryDate],DATE(2026,1,21),tblDaily[WardCode],"NICU")),"")</f>
        <v/>
      </c>
      <c r="C27" s="12">
        <f>IFERROR(IF(SUMIFS(tblDaily[Discharges],tblDaily[EntryDate],DATE(2026,1,21),tblDaily[WardCode],"NICU")=0,"",SUMIFS(tblDaily[Discharges],tblDaily[EntryDate],DATE(2026,1,21),tblDaily[WardCode],"NICU")),"")</f>
        <v/>
      </c>
      <c r="D27" s="12">
        <f>IFERROR(IF(SUMIFS(tblDaily[Deaths],tblDaily[EntryDate],DATE(2026,1,21),tblDaily[WardCode],"NICU")=0,"",SUMIFS(tblDaily[Deaths],tblDaily[EntryDate],DATE(2026,1,21),tblDaily[WardCode],"NICU")),"")</f>
        <v/>
      </c>
      <c r="E27" s="12">
        <f>IFERROR(IF(SUMIFS(tblDaily[DeathsUnder24Hrs],tblDaily[EntryDate],DATE(2026,1,21),tblDaily[WardCode],"NICU")=0,"",SUMIFS(tblDaily[DeathsUnder24Hrs],tblDaily[EntryDate],DATE(2026,1,21),tblDaily[WardCode],"NICU")),"")</f>
        <v/>
      </c>
      <c r="F27" s="12">
        <f>IFERROR(IF(SUMIFS(tblDaily[TransfersIn],tblDaily[EntryDate],DATE(2026,1,21),tblDaily[WardCode],"NICU")=0,"",SUMIFS(tblDaily[TransfersIn],tblDaily[EntryDate],DATE(2026,1,21),tblDaily[WardCode],"NICU")),"")</f>
        <v/>
      </c>
      <c r="G27" s="12">
        <f>IFERROR(IF(SUMIFS(tblDaily[TransfersOut],tblDaily[EntryDate],DATE(2026,1,21),tblDaily[WardCode],"NICU")=0,"",SUMIFS(tblDaily[TransfersOut],tblDaily[EntryDate],DATE(2026,1,21),tblDaily[WardCode],"NICU")),"")</f>
        <v/>
      </c>
      <c r="H27" s="12">
        <f>IFERROR(IF(SUMIFS(tblDaily[Remaining],tblDaily[EntryDate],DATE(2026,1,21),tblDaily[WardCode],"NICU")=0,"",SUMIFS(tblDaily[Remaining],tblDaily[EntryDate],DATE(2026,1,21),tblDaily[WardCode],"NICU")),"")</f>
        <v/>
      </c>
    </row>
    <row r="28">
      <c r="A28" s="12" t="n">
        <v>22</v>
      </c>
      <c r="B28" s="12">
        <f>IFERROR(IF(SUMIFS(tblDaily[Admissions],tblDaily[EntryDate],DATE(2026,1,22),tblDaily[WardCode],"NICU")=0,"",SUMIFS(tblDaily[Admissions],tblDaily[EntryDate],DATE(2026,1,22),tblDaily[WardCode],"NICU")),"")</f>
        <v/>
      </c>
      <c r="C28" s="12">
        <f>IFERROR(IF(SUMIFS(tblDaily[Discharges],tblDaily[EntryDate],DATE(2026,1,22),tblDaily[WardCode],"NICU")=0,"",SUMIFS(tblDaily[Discharges],tblDaily[EntryDate],DATE(2026,1,22),tblDaily[WardCode],"NICU")),"")</f>
        <v/>
      </c>
      <c r="D28" s="12">
        <f>IFERROR(IF(SUMIFS(tblDaily[Deaths],tblDaily[EntryDate],DATE(2026,1,22),tblDaily[WardCode],"NICU")=0,"",SUMIFS(tblDaily[Deaths],tblDaily[EntryDate],DATE(2026,1,22),tblDaily[WardCode],"NICU")),"")</f>
        <v/>
      </c>
      <c r="E28" s="12">
        <f>IFERROR(IF(SUMIFS(tblDaily[DeathsUnder24Hrs],tblDaily[EntryDate],DATE(2026,1,22),tblDaily[WardCode],"NICU")=0,"",SUMIFS(tblDaily[DeathsUnder24Hrs],tblDaily[EntryDate],DATE(2026,1,22),tblDaily[WardCode],"NICU")),"")</f>
        <v/>
      </c>
      <c r="F28" s="12">
        <f>IFERROR(IF(SUMIFS(tblDaily[TransfersIn],tblDaily[EntryDate],DATE(2026,1,22),tblDaily[WardCode],"NICU")=0,"",SUMIFS(tblDaily[TransfersIn],tblDaily[EntryDate],DATE(2026,1,22),tblDaily[WardCode],"NICU")),"")</f>
        <v/>
      </c>
      <c r="G28" s="12">
        <f>IFERROR(IF(SUMIFS(tblDaily[TransfersOut],tblDaily[EntryDate],DATE(2026,1,22),tblDaily[WardCode],"NICU")=0,"",SUMIFS(tblDaily[TransfersOut],tblDaily[EntryDate],DATE(2026,1,22),tblDaily[WardCode],"NICU")),"")</f>
        <v/>
      </c>
      <c r="H28" s="12">
        <f>IFERROR(IF(SUMIFS(tblDaily[Remaining],tblDaily[EntryDate],DATE(2026,1,22),tblDaily[WardCode],"NICU")=0,"",SUMIFS(tblDaily[Remaining],tblDaily[EntryDate],DATE(2026,1,22),tblDaily[WardCode],"NICU")),"")</f>
        <v/>
      </c>
    </row>
    <row r="29">
      <c r="A29" s="12" t="n">
        <v>23</v>
      </c>
      <c r="B29" s="12">
        <f>IFERROR(IF(SUMIFS(tblDaily[Admissions],tblDaily[EntryDate],DATE(2026,1,23),tblDaily[WardCode],"NICU")=0,"",SUMIFS(tblDaily[Admissions],tblDaily[EntryDate],DATE(2026,1,23),tblDaily[WardCode],"NICU")),"")</f>
        <v/>
      </c>
      <c r="C29" s="12">
        <f>IFERROR(IF(SUMIFS(tblDaily[Discharges],tblDaily[EntryDate],DATE(2026,1,23),tblDaily[WardCode],"NICU")=0,"",SUMIFS(tblDaily[Discharges],tblDaily[EntryDate],DATE(2026,1,23),tblDaily[WardCode],"NICU")),"")</f>
        <v/>
      </c>
      <c r="D29" s="12">
        <f>IFERROR(IF(SUMIFS(tblDaily[Deaths],tblDaily[EntryDate],DATE(2026,1,23),tblDaily[WardCode],"NICU")=0,"",SUMIFS(tblDaily[Deaths],tblDaily[EntryDate],DATE(2026,1,23),tblDaily[WardCode],"NICU")),"")</f>
        <v/>
      </c>
      <c r="E29" s="12">
        <f>IFERROR(IF(SUMIFS(tblDaily[DeathsUnder24Hrs],tblDaily[EntryDate],DATE(2026,1,23),tblDaily[WardCode],"NICU")=0,"",SUMIFS(tblDaily[DeathsUnder24Hrs],tblDaily[EntryDate],DATE(2026,1,23),tblDaily[WardCode],"NICU")),"")</f>
        <v/>
      </c>
      <c r="F29" s="12">
        <f>IFERROR(IF(SUMIFS(tblDaily[TransfersIn],tblDaily[EntryDate],DATE(2026,1,23),tblDaily[WardCode],"NICU")=0,"",SUMIFS(tblDaily[TransfersIn],tblDaily[EntryDate],DATE(2026,1,23),tblDaily[WardCode],"NICU")),"")</f>
        <v/>
      </c>
      <c r="G29" s="12">
        <f>IFERROR(IF(SUMIFS(tblDaily[TransfersOut],tblDaily[EntryDate],DATE(2026,1,23),tblDaily[WardCode],"NICU")=0,"",SUMIFS(tblDaily[TransfersOut],tblDaily[EntryDate],DATE(2026,1,23),tblDaily[WardCode],"NICU")),"")</f>
        <v/>
      </c>
      <c r="H29" s="12">
        <f>IFERROR(IF(SUMIFS(tblDaily[Remaining],tblDaily[EntryDate],DATE(2026,1,23),tblDaily[WardCode],"NICU")=0,"",SUMIFS(tblDaily[Remaining],tblDaily[EntryDate],DATE(2026,1,23),tblDaily[WardCode],"NICU")),"")</f>
        <v/>
      </c>
    </row>
    <row r="30">
      <c r="A30" s="12" t="n">
        <v>24</v>
      </c>
      <c r="B30" s="12">
        <f>IFERROR(IF(SUMIFS(tblDaily[Admissions],tblDaily[EntryDate],DATE(2026,1,24),tblDaily[WardCode],"NICU")=0,"",SUMIFS(tblDaily[Admissions],tblDaily[EntryDate],DATE(2026,1,24),tblDaily[WardCode],"NICU")),"")</f>
        <v/>
      </c>
      <c r="C30" s="12">
        <f>IFERROR(IF(SUMIFS(tblDaily[Discharges],tblDaily[EntryDate],DATE(2026,1,24),tblDaily[WardCode],"NICU")=0,"",SUMIFS(tblDaily[Discharges],tblDaily[EntryDate],DATE(2026,1,24),tblDaily[WardCode],"NICU")),"")</f>
        <v/>
      </c>
      <c r="D30" s="12">
        <f>IFERROR(IF(SUMIFS(tblDaily[Deaths],tblDaily[EntryDate],DATE(2026,1,24),tblDaily[WardCode],"NICU")=0,"",SUMIFS(tblDaily[Deaths],tblDaily[EntryDate],DATE(2026,1,24),tblDaily[WardCode],"NICU")),"")</f>
        <v/>
      </c>
      <c r="E30" s="12">
        <f>IFERROR(IF(SUMIFS(tblDaily[DeathsUnder24Hrs],tblDaily[EntryDate],DATE(2026,1,24),tblDaily[WardCode],"NICU")=0,"",SUMIFS(tblDaily[DeathsUnder24Hrs],tblDaily[EntryDate],DATE(2026,1,24),tblDaily[WardCode],"NICU")),"")</f>
        <v/>
      </c>
      <c r="F30" s="12">
        <f>IFERROR(IF(SUMIFS(tblDaily[TransfersIn],tblDaily[EntryDate],DATE(2026,1,24),tblDaily[WardCode],"NICU")=0,"",SUMIFS(tblDaily[TransfersIn],tblDaily[EntryDate],DATE(2026,1,24),tblDaily[WardCode],"NICU")),"")</f>
        <v/>
      </c>
      <c r="G30" s="12">
        <f>IFERROR(IF(SUMIFS(tblDaily[TransfersOut],tblDaily[EntryDate],DATE(2026,1,24),tblDaily[WardCode],"NICU")=0,"",SUMIFS(tblDaily[TransfersOut],tblDaily[EntryDate],DATE(2026,1,24),tblDaily[WardCode],"NICU")),"")</f>
        <v/>
      </c>
      <c r="H30" s="12">
        <f>IFERROR(IF(SUMIFS(tblDaily[Remaining],tblDaily[EntryDate],DATE(2026,1,24),tblDaily[WardCode],"NICU")=0,"",SUMIFS(tblDaily[Remaining],tblDaily[EntryDate],DATE(2026,1,24),tblDaily[WardCode],"NICU")),"")</f>
        <v/>
      </c>
    </row>
    <row r="31">
      <c r="A31" s="12" t="n">
        <v>25</v>
      </c>
      <c r="B31" s="12">
        <f>IFERROR(IF(SUMIFS(tblDaily[Admissions],tblDaily[EntryDate],DATE(2026,1,25),tblDaily[WardCode],"NICU")=0,"",SUMIFS(tblDaily[Admissions],tblDaily[EntryDate],DATE(2026,1,25),tblDaily[WardCode],"NICU")),"")</f>
        <v/>
      </c>
      <c r="C31" s="12">
        <f>IFERROR(IF(SUMIFS(tblDaily[Discharges],tblDaily[EntryDate],DATE(2026,1,25),tblDaily[WardCode],"NICU")=0,"",SUMIFS(tblDaily[Discharges],tblDaily[EntryDate],DATE(2026,1,25),tblDaily[WardCode],"NICU")),"")</f>
        <v/>
      </c>
      <c r="D31" s="12">
        <f>IFERROR(IF(SUMIFS(tblDaily[Deaths],tblDaily[EntryDate],DATE(2026,1,25),tblDaily[WardCode],"NICU")=0,"",SUMIFS(tblDaily[Deaths],tblDaily[EntryDate],DATE(2026,1,25),tblDaily[WardCode],"NICU")),"")</f>
        <v/>
      </c>
      <c r="E31" s="12">
        <f>IFERROR(IF(SUMIFS(tblDaily[DeathsUnder24Hrs],tblDaily[EntryDate],DATE(2026,1,25),tblDaily[WardCode],"NICU")=0,"",SUMIFS(tblDaily[DeathsUnder24Hrs],tblDaily[EntryDate],DATE(2026,1,25),tblDaily[WardCode],"NICU")),"")</f>
        <v/>
      </c>
      <c r="F31" s="12">
        <f>IFERROR(IF(SUMIFS(tblDaily[TransfersIn],tblDaily[EntryDate],DATE(2026,1,25),tblDaily[WardCode],"NICU")=0,"",SUMIFS(tblDaily[TransfersIn],tblDaily[EntryDate],DATE(2026,1,25),tblDaily[WardCode],"NICU")),"")</f>
        <v/>
      </c>
      <c r="G31" s="12">
        <f>IFERROR(IF(SUMIFS(tblDaily[TransfersOut],tblDaily[EntryDate],DATE(2026,1,25),tblDaily[WardCode],"NICU")=0,"",SUMIFS(tblDaily[TransfersOut],tblDaily[EntryDate],DATE(2026,1,25),tblDaily[WardCode],"NICU")),"")</f>
        <v/>
      </c>
      <c r="H31" s="12">
        <f>IFERROR(IF(SUMIFS(tblDaily[Remaining],tblDaily[EntryDate],DATE(2026,1,25),tblDaily[WardCode],"NICU")=0,"",SUMIFS(tblDaily[Remaining],tblDaily[EntryDate],DATE(2026,1,25),tblDaily[WardCode],"NICU")),"")</f>
        <v/>
      </c>
    </row>
    <row r="32">
      <c r="A32" s="12" t="n">
        <v>26</v>
      </c>
      <c r="B32" s="12">
        <f>IFERROR(IF(SUMIFS(tblDaily[Admissions],tblDaily[EntryDate],DATE(2026,1,26),tblDaily[WardCode],"NICU")=0,"",SUMIFS(tblDaily[Admissions],tblDaily[EntryDate],DATE(2026,1,26),tblDaily[WardCode],"NICU")),"")</f>
        <v/>
      </c>
      <c r="C32" s="12">
        <f>IFERROR(IF(SUMIFS(tblDaily[Discharges],tblDaily[EntryDate],DATE(2026,1,26),tblDaily[WardCode],"NICU")=0,"",SUMIFS(tblDaily[Discharges],tblDaily[EntryDate],DATE(2026,1,26),tblDaily[WardCode],"NICU")),"")</f>
        <v/>
      </c>
      <c r="D32" s="12">
        <f>IFERROR(IF(SUMIFS(tblDaily[Deaths],tblDaily[EntryDate],DATE(2026,1,26),tblDaily[WardCode],"NICU")=0,"",SUMIFS(tblDaily[Deaths],tblDaily[EntryDate],DATE(2026,1,26),tblDaily[WardCode],"NICU")),"")</f>
        <v/>
      </c>
      <c r="E32" s="12">
        <f>IFERROR(IF(SUMIFS(tblDaily[DeathsUnder24Hrs],tblDaily[EntryDate],DATE(2026,1,26),tblDaily[WardCode],"NICU")=0,"",SUMIFS(tblDaily[DeathsUnder24Hrs],tblDaily[EntryDate],DATE(2026,1,26),tblDaily[WardCode],"NICU")),"")</f>
        <v/>
      </c>
      <c r="F32" s="12">
        <f>IFERROR(IF(SUMIFS(tblDaily[TransfersIn],tblDaily[EntryDate],DATE(2026,1,26),tblDaily[WardCode],"NICU")=0,"",SUMIFS(tblDaily[TransfersIn],tblDaily[EntryDate],DATE(2026,1,26),tblDaily[WardCode],"NICU")),"")</f>
        <v/>
      </c>
      <c r="G32" s="12">
        <f>IFERROR(IF(SUMIFS(tblDaily[TransfersOut],tblDaily[EntryDate],DATE(2026,1,26),tblDaily[WardCode],"NICU")=0,"",SUMIFS(tblDaily[TransfersOut],tblDaily[EntryDate],DATE(2026,1,26),tblDaily[WardCode],"NICU")),"")</f>
        <v/>
      </c>
      <c r="H32" s="12">
        <f>IFERROR(IF(SUMIFS(tblDaily[Remaining],tblDaily[EntryDate],DATE(2026,1,26),tblDaily[WardCode],"NICU")=0,"",SUMIFS(tblDaily[Remaining],tblDaily[EntryDate],DATE(2026,1,26),tblDaily[WardCode],"NICU")),"")</f>
        <v/>
      </c>
    </row>
    <row r="33">
      <c r="A33" s="12" t="n">
        <v>27</v>
      </c>
      <c r="B33" s="12">
        <f>IFERROR(IF(SUMIFS(tblDaily[Admissions],tblDaily[EntryDate],DATE(2026,1,27),tblDaily[WardCode],"NICU")=0,"",SUMIFS(tblDaily[Admissions],tblDaily[EntryDate],DATE(2026,1,27),tblDaily[WardCode],"NICU")),"")</f>
        <v/>
      </c>
      <c r="C33" s="12">
        <f>IFERROR(IF(SUMIFS(tblDaily[Discharges],tblDaily[EntryDate],DATE(2026,1,27),tblDaily[WardCode],"NICU")=0,"",SUMIFS(tblDaily[Discharges],tblDaily[EntryDate],DATE(2026,1,27),tblDaily[WardCode],"NICU")),"")</f>
        <v/>
      </c>
      <c r="D33" s="12">
        <f>IFERROR(IF(SUMIFS(tblDaily[Deaths],tblDaily[EntryDate],DATE(2026,1,27),tblDaily[WardCode],"NICU")=0,"",SUMIFS(tblDaily[Deaths],tblDaily[EntryDate],DATE(2026,1,27),tblDaily[WardCode],"NICU")),"")</f>
        <v/>
      </c>
      <c r="E33" s="12">
        <f>IFERROR(IF(SUMIFS(tblDaily[DeathsUnder24Hrs],tblDaily[EntryDate],DATE(2026,1,27),tblDaily[WardCode],"NICU")=0,"",SUMIFS(tblDaily[DeathsUnder24Hrs],tblDaily[EntryDate],DATE(2026,1,27),tblDaily[WardCode],"NICU")),"")</f>
        <v/>
      </c>
      <c r="F33" s="12">
        <f>IFERROR(IF(SUMIFS(tblDaily[TransfersIn],tblDaily[EntryDate],DATE(2026,1,27),tblDaily[WardCode],"NICU")=0,"",SUMIFS(tblDaily[TransfersIn],tblDaily[EntryDate],DATE(2026,1,27),tblDaily[WardCode],"NICU")),"")</f>
        <v/>
      </c>
      <c r="G33" s="12">
        <f>IFERROR(IF(SUMIFS(tblDaily[TransfersOut],tblDaily[EntryDate],DATE(2026,1,27),tblDaily[WardCode],"NICU")=0,"",SUMIFS(tblDaily[TransfersOut],tblDaily[EntryDate],DATE(2026,1,27),tblDaily[WardCode],"NICU")),"")</f>
        <v/>
      </c>
      <c r="H33" s="12">
        <f>IFERROR(IF(SUMIFS(tblDaily[Remaining],tblDaily[EntryDate],DATE(2026,1,27),tblDaily[WardCode],"NICU")=0,"",SUMIFS(tblDaily[Remaining],tblDaily[EntryDate],DATE(2026,1,27),tblDaily[WardCode],"NICU")),"")</f>
        <v/>
      </c>
    </row>
    <row r="34">
      <c r="A34" s="12" t="n">
        <v>28</v>
      </c>
      <c r="B34" s="12">
        <f>IFERROR(IF(SUMIFS(tblDaily[Admissions],tblDaily[EntryDate],DATE(2026,1,28),tblDaily[WardCode],"NICU")=0,"",SUMIFS(tblDaily[Admissions],tblDaily[EntryDate],DATE(2026,1,28),tblDaily[WardCode],"NICU")),"")</f>
        <v/>
      </c>
      <c r="C34" s="12">
        <f>IFERROR(IF(SUMIFS(tblDaily[Discharges],tblDaily[EntryDate],DATE(2026,1,28),tblDaily[WardCode],"NICU")=0,"",SUMIFS(tblDaily[Discharges],tblDaily[EntryDate],DATE(2026,1,28),tblDaily[WardCode],"NICU")),"")</f>
        <v/>
      </c>
      <c r="D34" s="12">
        <f>IFERROR(IF(SUMIFS(tblDaily[Deaths],tblDaily[EntryDate],DATE(2026,1,28),tblDaily[WardCode],"NICU")=0,"",SUMIFS(tblDaily[Deaths],tblDaily[EntryDate],DATE(2026,1,28),tblDaily[WardCode],"NICU")),"")</f>
        <v/>
      </c>
      <c r="E34" s="12">
        <f>IFERROR(IF(SUMIFS(tblDaily[DeathsUnder24Hrs],tblDaily[EntryDate],DATE(2026,1,28),tblDaily[WardCode],"NICU")=0,"",SUMIFS(tblDaily[DeathsUnder24Hrs],tblDaily[EntryDate],DATE(2026,1,28),tblDaily[WardCode],"NICU")),"")</f>
        <v/>
      </c>
      <c r="F34" s="12">
        <f>IFERROR(IF(SUMIFS(tblDaily[TransfersIn],tblDaily[EntryDate],DATE(2026,1,28),tblDaily[WardCode],"NICU")=0,"",SUMIFS(tblDaily[TransfersIn],tblDaily[EntryDate],DATE(2026,1,28),tblDaily[WardCode],"NICU")),"")</f>
        <v/>
      </c>
      <c r="G34" s="12">
        <f>IFERROR(IF(SUMIFS(tblDaily[TransfersOut],tblDaily[EntryDate],DATE(2026,1,28),tblDaily[WardCode],"NICU")=0,"",SUMIFS(tblDaily[TransfersOut],tblDaily[EntryDate],DATE(2026,1,28),tblDaily[WardCode],"NICU")),"")</f>
        <v/>
      </c>
      <c r="H34" s="12">
        <f>IFERROR(IF(SUMIFS(tblDaily[Remaining],tblDaily[EntryDate],DATE(2026,1,28),tblDaily[WardCode],"NICU")=0,"",SUMIFS(tblDaily[Remaining],tblDaily[EntryDate],DATE(2026,1,28),tblDaily[WardCode],"NICU")),"")</f>
        <v/>
      </c>
    </row>
    <row r="35">
      <c r="A35" s="12" t="n">
        <v>29</v>
      </c>
      <c r="B35" s="12">
        <f>IFERROR(IF(SUMIFS(tblDaily[Admissions],tblDaily[EntryDate],DATE(2026,1,29),tblDaily[WardCode],"NICU")=0,"",SUMIFS(tblDaily[Admissions],tblDaily[EntryDate],DATE(2026,1,29),tblDaily[WardCode],"NICU")),"")</f>
        <v/>
      </c>
      <c r="C35" s="12">
        <f>IFERROR(IF(SUMIFS(tblDaily[Discharges],tblDaily[EntryDate],DATE(2026,1,29),tblDaily[WardCode],"NICU")=0,"",SUMIFS(tblDaily[Discharges],tblDaily[EntryDate],DATE(2026,1,29),tblDaily[WardCode],"NICU")),"")</f>
        <v/>
      </c>
      <c r="D35" s="12">
        <f>IFERROR(IF(SUMIFS(tblDaily[Deaths],tblDaily[EntryDate],DATE(2026,1,29),tblDaily[WardCode],"NICU")=0,"",SUMIFS(tblDaily[Deaths],tblDaily[EntryDate],DATE(2026,1,29),tblDaily[WardCode],"NICU")),"")</f>
        <v/>
      </c>
      <c r="E35" s="12">
        <f>IFERROR(IF(SUMIFS(tblDaily[DeathsUnder24Hrs],tblDaily[EntryDate],DATE(2026,1,29),tblDaily[WardCode],"NICU")=0,"",SUMIFS(tblDaily[DeathsUnder24Hrs],tblDaily[EntryDate],DATE(2026,1,29),tblDaily[WardCode],"NICU")),"")</f>
        <v/>
      </c>
      <c r="F35" s="12">
        <f>IFERROR(IF(SUMIFS(tblDaily[TransfersIn],tblDaily[EntryDate],DATE(2026,1,29),tblDaily[WardCode],"NICU")=0,"",SUMIFS(tblDaily[TransfersIn],tblDaily[EntryDate],DATE(2026,1,29),tblDaily[WardCode],"NICU")),"")</f>
        <v/>
      </c>
      <c r="G35" s="12">
        <f>IFERROR(IF(SUMIFS(tblDaily[TransfersOut],tblDaily[EntryDate],DATE(2026,1,29),tblDaily[WardCode],"NICU")=0,"",SUMIFS(tblDaily[TransfersOut],tblDaily[EntryDate],DATE(2026,1,29),tblDaily[WardCode],"NICU")),"")</f>
        <v/>
      </c>
      <c r="H35" s="12">
        <f>IFERROR(IF(SUMIFS(tblDaily[Remaining],tblDaily[EntryDate],DATE(2026,1,29),tblDaily[WardCode],"NICU")=0,"",SUMIFS(tblDaily[Remaining],tblDaily[EntryDate],DATE(2026,1,29),tblDaily[WardCode],"NICU")),"")</f>
        <v/>
      </c>
    </row>
    <row r="36">
      <c r="A36" s="12" t="n">
        <v>30</v>
      </c>
      <c r="B36" s="12">
        <f>IFERROR(IF(SUMIFS(tblDaily[Admissions],tblDaily[EntryDate],DATE(2026,1,30),tblDaily[WardCode],"NICU")=0,"",SUMIFS(tblDaily[Admissions],tblDaily[EntryDate],DATE(2026,1,30),tblDaily[WardCode],"NICU")),"")</f>
        <v/>
      </c>
      <c r="C36" s="12">
        <f>IFERROR(IF(SUMIFS(tblDaily[Discharges],tblDaily[EntryDate],DATE(2026,1,30),tblDaily[WardCode],"NICU")=0,"",SUMIFS(tblDaily[Discharges],tblDaily[EntryDate],DATE(2026,1,30),tblDaily[WardCode],"NICU")),"")</f>
        <v/>
      </c>
      <c r="D36" s="12">
        <f>IFERROR(IF(SUMIFS(tblDaily[Deaths],tblDaily[EntryDate],DATE(2026,1,30),tblDaily[WardCode],"NICU")=0,"",SUMIFS(tblDaily[Deaths],tblDaily[EntryDate],DATE(2026,1,30),tblDaily[WardCode],"NICU")),"")</f>
        <v/>
      </c>
      <c r="E36" s="12">
        <f>IFERROR(IF(SUMIFS(tblDaily[DeathsUnder24Hrs],tblDaily[EntryDate],DATE(2026,1,30),tblDaily[WardCode],"NICU")=0,"",SUMIFS(tblDaily[DeathsUnder24Hrs],tblDaily[EntryDate],DATE(2026,1,30),tblDaily[WardCode],"NICU")),"")</f>
        <v/>
      </c>
      <c r="F36" s="12">
        <f>IFERROR(IF(SUMIFS(tblDaily[TransfersIn],tblDaily[EntryDate],DATE(2026,1,30),tblDaily[WardCode],"NICU")=0,"",SUMIFS(tblDaily[TransfersIn],tblDaily[EntryDate],DATE(2026,1,30),tblDaily[WardCode],"NICU")),"")</f>
        <v/>
      </c>
      <c r="G36" s="12">
        <f>IFERROR(IF(SUMIFS(tblDaily[TransfersOut],tblDaily[EntryDate],DATE(2026,1,30),tblDaily[WardCode],"NICU")=0,"",SUMIFS(tblDaily[TransfersOut],tblDaily[EntryDate],DATE(2026,1,30),tblDaily[WardCode],"NICU")),"")</f>
        <v/>
      </c>
      <c r="H36" s="12">
        <f>IFERROR(IF(SUMIFS(tblDaily[Remaining],tblDaily[EntryDate],DATE(2026,1,30),tblDaily[WardCode],"NICU")=0,"",SUMIFS(tblDaily[Remaining],tblDaily[EntryDate],DATE(2026,1,30),tblDaily[WardCode],"NICU")),"")</f>
        <v/>
      </c>
    </row>
    <row r="37">
      <c r="A37" s="12" t="n">
        <v>31</v>
      </c>
      <c r="B37" s="12">
        <f>IFERROR(IF(SUMIFS(tblDaily[Admissions],tblDaily[EntryDate],DATE(2026,1,31),tblDaily[WardCode],"NICU")=0,"",SUMIFS(tblDaily[Admissions],tblDaily[EntryDate],DATE(2026,1,31),tblDaily[WardCode],"NICU")),"")</f>
        <v/>
      </c>
      <c r="C37" s="12">
        <f>IFERROR(IF(SUMIFS(tblDaily[Discharges],tblDaily[EntryDate],DATE(2026,1,31),tblDaily[WardCode],"NICU")=0,"",SUMIFS(tblDaily[Discharges],tblDaily[EntryDate],DATE(2026,1,31),tblDaily[WardCode],"NICU")),"")</f>
        <v/>
      </c>
      <c r="D37" s="12">
        <f>IFERROR(IF(SUMIFS(tblDaily[Deaths],tblDaily[EntryDate],DATE(2026,1,31),tblDaily[WardCode],"NICU")=0,"",SUMIFS(tblDaily[Deaths],tblDaily[EntryDate],DATE(2026,1,31),tblDaily[WardCode],"NICU")),"")</f>
        <v/>
      </c>
      <c r="E37" s="12">
        <f>IFERROR(IF(SUMIFS(tblDaily[DeathsUnder24Hrs],tblDaily[EntryDate],DATE(2026,1,31),tblDaily[WardCode],"NICU")=0,"",SUMIFS(tblDaily[DeathsUnder24Hrs],tblDaily[EntryDate],DATE(2026,1,31),tblDaily[WardCode],"NICU")),"")</f>
        <v/>
      </c>
      <c r="F37" s="12">
        <f>IFERROR(IF(SUMIFS(tblDaily[TransfersIn],tblDaily[EntryDate],DATE(2026,1,31),tblDaily[WardCode],"NICU")=0,"",SUMIFS(tblDaily[TransfersIn],tblDaily[EntryDate],DATE(2026,1,31),tblDaily[WardCode],"NICU")),"")</f>
        <v/>
      </c>
      <c r="G37" s="12">
        <f>IFERROR(IF(SUMIFS(tblDaily[TransfersOut],tblDaily[EntryDate],DATE(2026,1,31),tblDaily[WardCode],"NICU")=0,"",SUMIFS(tblDaily[TransfersOut],tblDaily[EntryDate],DATE(2026,1,31),tblDaily[WardCode],"NICU")),"")</f>
        <v/>
      </c>
      <c r="H37" s="12">
        <f>IFERROR(IF(SUMIFS(tblDaily[Remaining],tblDaily[EntryDate],DATE(2026,1,31),tblDaily[WardCode],"NICU")=0,"",SUMIFS(tblDaily[Remaining],tblDaily[EntryDate],DATE(2026,1,31),tblDaily[WardCode],"NICU")),"")</f>
        <v/>
      </c>
    </row>
    <row r="38">
      <c r="A38" s="17" t="inlineStr">
        <is>
          <t>TOTAL</t>
        </is>
      </c>
      <c r="B38" s="17">
        <f>SUMIFS(tblDaily[Admissions],tblDaily[Month],1,tblDaily[WardCode],"NICU") - SUMIFS(tblDaily[DeathsUnder24Hrs],tblDaily[Month],1,tblDaily[WardCode],"NICU")</f>
        <v/>
      </c>
      <c r="C38" s="17">
        <f>SUMIFS(tblDaily[Discharges],tblDaily[Month],1,tblDaily[WardCode],"NICU")</f>
        <v/>
      </c>
      <c r="D38" s="17">
        <f>SUMIFS(tblDaily[Deaths],tblDaily[Month],1,tblDaily[WardCode],"NICU")</f>
        <v/>
      </c>
      <c r="E38" s="17">
        <f>SUMIFS(tblDaily[DeathsUnder24Hrs],tblDaily[Month],1,tblDaily[WardCode],"NICU")</f>
        <v/>
      </c>
      <c r="F38" s="17">
        <f>SUMIFS(tblDaily[TransfersIn],tblDaily[Month],1,tblDaily[WardCode],"NICU")</f>
        <v/>
      </c>
      <c r="G38" s="17">
        <f>SUMIFS(tblDaily[TransfersOut],tblDaily[Month],1,tblDaily[WardCode],"NICU")</f>
        <v/>
      </c>
      <c r="H38" s="17">
        <f>SUMIFS(tblDaily[Remaining],tblDaily[Month],1,tblDaily[WardCode],"NICU")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NEONATAL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4">
        <f>IFERROR(SUMIFS(tblDaily[Remaining],tblDaily[EntryDate],DATE(2026,1,31),tblDaily[WardCode],"NICU"),0)</f>
        <v/>
      </c>
    </row>
    <row r="44">
      <c r="A44" s="4" t="inlineStr">
        <is>
          <t>Bed complement</t>
        </is>
      </c>
      <c r="H44" s="15">
        <f>IFERROR(INDEX(tblWardConfig[BedComplement],MATCH("NICU",tblWardConfig[WardCode],0)),0)</f>
        <v/>
      </c>
    </row>
    <row r="45">
      <c r="A45" s="16" t="inlineStr">
        <is>
          <t>Day of
the
Month</t>
        </is>
      </c>
      <c r="B45" s="16" t="inlineStr">
        <is>
          <t>Admissions</t>
        </is>
      </c>
      <c r="C45" s="16" t="inlineStr">
        <is>
          <t>Discharges</t>
        </is>
      </c>
      <c r="D45" s="16" t="inlineStr">
        <is>
          <t>Deaths</t>
        </is>
      </c>
      <c r="E45" s="16" t="inlineStr">
        <is>
          <t>Deaths
&lt;24Hrs</t>
        </is>
      </c>
      <c r="F45" s="16" t="inlineStr">
        <is>
          <t>Transfers-
In</t>
        </is>
      </c>
      <c r="G45" s="16" t="inlineStr">
        <is>
          <t>Transfers-
Out</t>
        </is>
      </c>
      <c r="H45" s="16" t="inlineStr">
        <is>
          <t>No. of Patients
Remaining In
Ward</t>
        </is>
      </c>
    </row>
    <row r="46">
      <c r="A46" s="12" t="n">
        <v>1</v>
      </c>
      <c r="B46" s="12">
        <f>IFERROR(IF(SUMIFS(tblDaily[Admissions],tblDaily[EntryDate],DATE(2026,2,1),tblDaily[WardCode],"NICU")=0,"",SUMIFS(tblDaily[Admissions],tblDaily[EntryDate],DATE(2026,2,1),tblDaily[WardCode],"NICU")),"")</f>
        <v/>
      </c>
      <c r="C46" s="12">
        <f>IFERROR(IF(SUMIFS(tblDaily[Discharges],tblDaily[EntryDate],DATE(2026,2,1),tblDaily[WardCode],"NICU")=0,"",SUMIFS(tblDaily[Discharges],tblDaily[EntryDate],DATE(2026,2,1),tblDaily[WardCode],"NICU")),"")</f>
        <v/>
      </c>
      <c r="D46" s="12">
        <f>IFERROR(IF(SUMIFS(tblDaily[Deaths],tblDaily[EntryDate],DATE(2026,2,1),tblDaily[WardCode],"NICU")=0,"",SUMIFS(tblDaily[Deaths],tblDaily[EntryDate],DATE(2026,2,1),tblDaily[WardCode],"NICU")),"")</f>
        <v/>
      </c>
      <c r="E46" s="12">
        <f>IFERROR(IF(SUMIFS(tblDaily[DeathsUnder24Hrs],tblDaily[EntryDate],DATE(2026,2,1),tblDaily[WardCode],"NICU")=0,"",SUMIFS(tblDaily[DeathsUnder24Hrs],tblDaily[EntryDate],DATE(2026,2,1),tblDaily[WardCode],"NICU")),"")</f>
        <v/>
      </c>
      <c r="F46" s="12">
        <f>IFERROR(IF(SUMIFS(tblDaily[TransfersIn],tblDaily[EntryDate],DATE(2026,2,1),tblDaily[WardCode],"NICU")=0,"",SUMIFS(tblDaily[TransfersIn],tblDaily[EntryDate],DATE(2026,2,1),tblDaily[WardCode],"NICU")),"")</f>
        <v/>
      </c>
      <c r="G46" s="12">
        <f>IFERROR(IF(SUMIFS(tblDaily[TransfersOut],tblDaily[EntryDate],DATE(2026,2,1),tblDaily[WardCode],"NICU")=0,"",SUMIFS(tblDaily[TransfersOut],tblDaily[EntryDate],DATE(2026,2,1),tblDaily[WardCode],"NICU")),"")</f>
        <v/>
      </c>
      <c r="H46" s="12">
        <f>IFERROR(IF(SUMIFS(tblDaily[Remaining],tblDaily[EntryDate],DATE(2026,2,1),tblDaily[WardCode],"NICU")=0,"",SUMIFS(tblDaily[Remaining],tblDaily[EntryDate],DATE(2026,2,1),tblDaily[WardCode],"NICU")),"")</f>
        <v/>
      </c>
    </row>
    <row r="47">
      <c r="A47" s="12" t="n">
        <v>2</v>
      </c>
      <c r="B47" s="12">
        <f>IFERROR(IF(SUMIFS(tblDaily[Admissions],tblDaily[EntryDate],DATE(2026,2,2),tblDaily[WardCode],"NICU")=0,"",SUMIFS(tblDaily[Admissions],tblDaily[EntryDate],DATE(2026,2,2),tblDaily[WardCode],"NICU")),"")</f>
        <v/>
      </c>
      <c r="C47" s="12">
        <f>IFERROR(IF(SUMIFS(tblDaily[Discharges],tblDaily[EntryDate],DATE(2026,2,2),tblDaily[WardCode],"NICU")=0,"",SUMIFS(tblDaily[Discharges],tblDaily[EntryDate],DATE(2026,2,2),tblDaily[WardCode],"NICU")),"")</f>
        <v/>
      </c>
      <c r="D47" s="12">
        <f>IFERROR(IF(SUMIFS(tblDaily[Deaths],tblDaily[EntryDate],DATE(2026,2,2),tblDaily[WardCode],"NICU")=0,"",SUMIFS(tblDaily[Deaths],tblDaily[EntryDate],DATE(2026,2,2),tblDaily[WardCode],"NICU")),"")</f>
        <v/>
      </c>
      <c r="E47" s="12">
        <f>IFERROR(IF(SUMIFS(tblDaily[DeathsUnder24Hrs],tblDaily[EntryDate],DATE(2026,2,2),tblDaily[WardCode],"NICU")=0,"",SUMIFS(tblDaily[DeathsUnder24Hrs],tblDaily[EntryDate],DATE(2026,2,2),tblDaily[WardCode],"NICU")),"")</f>
        <v/>
      </c>
      <c r="F47" s="12">
        <f>IFERROR(IF(SUMIFS(tblDaily[TransfersIn],tblDaily[EntryDate],DATE(2026,2,2),tblDaily[WardCode],"NICU")=0,"",SUMIFS(tblDaily[TransfersIn],tblDaily[EntryDate],DATE(2026,2,2),tblDaily[WardCode],"NICU")),"")</f>
        <v/>
      </c>
      <c r="G47" s="12">
        <f>IFERROR(IF(SUMIFS(tblDaily[TransfersOut],tblDaily[EntryDate],DATE(2026,2,2),tblDaily[WardCode],"NICU")=0,"",SUMIFS(tblDaily[TransfersOut],tblDaily[EntryDate],DATE(2026,2,2),tblDaily[WardCode],"NICU")),"")</f>
        <v/>
      </c>
      <c r="H47" s="12">
        <f>IFERROR(IF(SUMIFS(tblDaily[Remaining],tblDaily[EntryDate],DATE(2026,2,2),tblDaily[WardCode],"NICU")=0,"",SUMIFS(tblDaily[Remaining],tblDaily[EntryDate],DATE(2026,2,2),tblDaily[WardCode],"NICU")),"")</f>
        <v/>
      </c>
    </row>
    <row r="48">
      <c r="A48" s="12" t="n">
        <v>3</v>
      </c>
      <c r="B48" s="12">
        <f>IFERROR(IF(SUMIFS(tblDaily[Admissions],tblDaily[EntryDate],DATE(2026,2,3),tblDaily[WardCode],"NICU")=0,"",SUMIFS(tblDaily[Admissions],tblDaily[EntryDate],DATE(2026,2,3),tblDaily[WardCode],"NICU")),"")</f>
        <v/>
      </c>
      <c r="C48" s="12">
        <f>IFERROR(IF(SUMIFS(tblDaily[Discharges],tblDaily[EntryDate],DATE(2026,2,3),tblDaily[WardCode],"NICU")=0,"",SUMIFS(tblDaily[Discharges],tblDaily[EntryDate],DATE(2026,2,3),tblDaily[WardCode],"NICU")),"")</f>
        <v/>
      </c>
      <c r="D48" s="12">
        <f>IFERROR(IF(SUMIFS(tblDaily[Deaths],tblDaily[EntryDate],DATE(2026,2,3),tblDaily[WardCode],"NICU")=0,"",SUMIFS(tblDaily[Deaths],tblDaily[EntryDate],DATE(2026,2,3),tblDaily[WardCode],"NICU")),"")</f>
        <v/>
      </c>
      <c r="E48" s="12">
        <f>IFERROR(IF(SUMIFS(tblDaily[DeathsUnder24Hrs],tblDaily[EntryDate],DATE(2026,2,3),tblDaily[WardCode],"NICU")=0,"",SUMIFS(tblDaily[DeathsUnder24Hrs],tblDaily[EntryDate],DATE(2026,2,3),tblDaily[WardCode],"NICU")),"")</f>
        <v/>
      </c>
      <c r="F48" s="12">
        <f>IFERROR(IF(SUMIFS(tblDaily[TransfersIn],tblDaily[EntryDate],DATE(2026,2,3),tblDaily[WardCode],"NICU")=0,"",SUMIFS(tblDaily[TransfersIn],tblDaily[EntryDate],DATE(2026,2,3),tblDaily[WardCode],"NICU")),"")</f>
        <v/>
      </c>
      <c r="G48" s="12">
        <f>IFERROR(IF(SUMIFS(tblDaily[TransfersOut],tblDaily[EntryDate],DATE(2026,2,3),tblDaily[WardCode],"NICU")=0,"",SUMIFS(tblDaily[TransfersOut],tblDaily[EntryDate],DATE(2026,2,3),tblDaily[WardCode],"NICU")),"")</f>
        <v/>
      </c>
      <c r="H48" s="12">
        <f>IFERROR(IF(SUMIFS(tblDaily[Remaining],tblDaily[EntryDate],DATE(2026,2,3),tblDaily[WardCode],"NICU")=0,"",SUMIFS(tblDaily[Remaining],tblDaily[EntryDate],DATE(2026,2,3),tblDaily[WardCode],"NICU")),"")</f>
        <v/>
      </c>
    </row>
    <row r="49">
      <c r="A49" s="12" t="n">
        <v>4</v>
      </c>
      <c r="B49" s="12">
        <f>IFERROR(IF(SUMIFS(tblDaily[Admissions],tblDaily[EntryDate],DATE(2026,2,4),tblDaily[WardCode],"NICU")=0,"",SUMIFS(tblDaily[Admissions],tblDaily[EntryDate],DATE(2026,2,4),tblDaily[WardCode],"NICU")),"")</f>
        <v/>
      </c>
      <c r="C49" s="12">
        <f>IFERROR(IF(SUMIFS(tblDaily[Discharges],tblDaily[EntryDate],DATE(2026,2,4),tblDaily[WardCode],"NICU")=0,"",SUMIFS(tblDaily[Discharges],tblDaily[EntryDate],DATE(2026,2,4),tblDaily[WardCode],"NICU")),"")</f>
        <v/>
      </c>
      <c r="D49" s="12">
        <f>IFERROR(IF(SUMIFS(tblDaily[Deaths],tblDaily[EntryDate],DATE(2026,2,4),tblDaily[WardCode],"NICU")=0,"",SUMIFS(tblDaily[Deaths],tblDaily[EntryDate],DATE(2026,2,4),tblDaily[WardCode],"NICU")),"")</f>
        <v/>
      </c>
      <c r="E49" s="12">
        <f>IFERROR(IF(SUMIFS(tblDaily[DeathsUnder24Hrs],tblDaily[EntryDate],DATE(2026,2,4),tblDaily[WardCode],"NICU")=0,"",SUMIFS(tblDaily[DeathsUnder24Hrs],tblDaily[EntryDate],DATE(2026,2,4),tblDaily[WardCode],"NICU")),"")</f>
        <v/>
      </c>
      <c r="F49" s="12">
        <f>IFERROR(IF(SUMIFS(tblDaily[TransfersIn],tblDaily[EntryDate],DATE(2026,2,4),tblDaily[WardCode],"NICU")=0,"",SUMIFS(tblDaily[TransfersIn],tblDaily[EntryDate],DATE(2026,2,4),tblDaily[WardCode],"NICU")),"")</f>
        <v/>
      </c>
      <c r="G49" s="12">
        <f>IFERROR(IF(SUMIFS(tblDaily[TransfersOut],tblDaily[EntryDate],DATE(2026,2,4),tblDaily[WardCode],"NICU")=0,"",SUMIFS(tblDaily[TransfersOut],tblDaily[EntryDate],DATE(2026,2,4),tblDaily[WardCode],"NICU")),"")</f>
        <v/>
      </c>
      <c r="H49" s="12">
        <f>IFERROR(IF(SUMIFS(tblDaily[Remaining],tblDaily[EntryDate],DATE(2026,2,4),tblDaily[WardCode],"NICU")=0,"",SUMIFS(tblDaily[Remaining],tblDaily[EntryDate],DATE(2026,2,4),tblDaily[WardCode],"NICU")),"")</f>
        <v/>
      </c>
    </row>
    <row r="50">
      <c r="A50" s="12" t="n">
        <v>5</v>
      </c>
      <c r="B50" s="12">
        <f>IFERROR(IF(SUMIFS(tblDaily[Admissions],tblDaily[EntryDate],DATE(2026,2,5),tblDaily[WardCode],"NICU")=0,"",SUMIFS(tblDaily[Admissions],tblDaily[EntryDate],DATE(2026,2,5),tblDaily[WardCode],"NICU")),"")</f>
        <v/>
      </c>
      <c r="C50" s="12">
        <f>IFERROR(IF(SUMIFS(tblDaily[Discharges],tblDaily[EntryDate],DATE(2026,2,5),tblDaily[WardCode],"NICU")=0,"",SUMIFS(tblDaily[Discharges],tblDaily[EntryDate],DATE(2026,2,5),tblDaily[WardCode],"NICU")),"")</f>
        <v/>
      </c>
      <c r="D50" s="12">
        <f>IFERROR(IF(SUMIFS(tblDaily[Deaths],tblDaily[EntryDate],DATE(2026,2,5),tblDaily[WardCode],"NICU")=0,"",SUMIFS(tblDaily[Deaths],tblDaily[EntryDate],DATE(2026,2,5),tblDaily[WardCode],"NICU")),"")</f>
        <v/>
      </c>
      <c r="E50" s="12">
        <f>IFERROR(IF(SUMIFS(tblDaily[DeathsUnder24Hrs],tblDaily[EntryDate],DATE(2026,2,5),tblDaily[WardCode],"NICU")=0,"",SUMIFS(tblDaily[DeathsUnder24Hrs],tblDaily[EntryDate],DATE(2026,2,5),tblDaily[WardCode],"NICU")),"")</f>
        <v/>
      </c>
      <c r="F50" s="12">
        <f>IFERROR(IF(SUMIFS(tblDaily[TransfersIn],tblDaily[EntryDate],DATE(2026,2,5),tblDaily[WardCode],"NICU")=0,"",SUMIFS(tblDaily[TransfersIn],tblDaily[EntryDate],DATE(2026,2,5),tblDaily[WardCode],"NICU")),"")</f>
        <v/>
      </c>
      <c r="G50" s="12">
        <f>IFERROR(IF(SUMIFS(tblDaily[TransfersOut],tblDaily[EntryDate],DATE(2026,2,5),tblDaily[WardCode],"NICU")=0,"",SUMIFS(tblDaily[TransfersOut],tblDaily[EntryDate],DATE(2026,2,5),tblDaily[WardCode],"NICU")),"")</f>
        <v/>
      </c>
      <c r="H50" s="12">
        <f>IFERROR(IF(SUMIFS(tblDaily[Remaining],tblDaily[EntryDate],DATE(2026,2,5),tblDaily[WardCode],"NICU")=0,"",SUMIFS(tblDaily[Remaining],tblDaily[EntryDate],DATE(2026,2,5),tblDaily[WardCode],"NICU")),"")</f>
        <v/>
      </c>
    </row>
    <row r="51">
      <c r="A51" s="12" t="n">
        <v>6</v>
      </c>
      <c r="B51" s="12">
        <f>IFERROR(IF(SUMIFS(tblDaily[Admissions],tblDaily[EntryDate],DATE(2026,2,6),tblDaily[WardCode],"NICU")=0,"",SUMIFS(tblDaily[Admissions],tblDaily[EntryDate],DATE(2026,2,6),tblDaily[WardCode],"NICU")),"")</f>
        <v/>
      </c>
      <c r="C51" s="12">
        <f>IFERROR(IF(SUMIFS(tblDaily[Discharges],tblDaily[EntryDate],DATE(2026,2,6),tblDaily[WardCode],"NICU")=0,"",SUMIFS(tblDaily[Discharges],tblDaily[EntryDate],DATE(2026,2,6),tblDaily[WardCode],"NICU")),"")</f>
        <v/>
      </c>
      <c r="D51" s="12">
        <f>IFERROR(IF(SUMIFS(tblDaily[Deaths],tblDaily[EntryDate],DATE(2026,2,6),tblDaily[WardCode],"NICU")=0,"",SUMIFS(tblDaily[Deaths],tblDaily[EntryDate],DATE(2026,2,6),tblDaily[WardCode],"NICU")),"")</f>
        <v/>
      </c>
      <c r="E51" s="12">
        <f>IFERROR(IF(SUMIFS(tblDaily[DeathsUnder24Hrs],tblDaily[EntryDate],DATE(2026,2,6),tblDaily[WardCode],"NICU")=0,"",SUMIFS(tblDaily[DeathsUnder24Hrs],tblDaily[EntryDate],DATE(2026,2,6),tblDaily[WardCode],"NICU")),"")</f>
        <v/>
      </c>
      <c r="F51" s="12">
        <f>IFERROR(IF(SUMIFS(tblDaily[TransfersIn],tblDaily[EntryDate],DATE(2026,2,6),tblDaily[WardCode],"NICU")=0,"",SUMIFS(tblDaily[TransfersIn],tblDaily[EntryDate],DATE(2026,2,6),tblDaily[WardCode],"NICU")),"")</f>
        <v/>
      </c>
      <c r="G51" s="12">
        <f>IFERROR(IF(SUMIFS(tblDaily[TransfersOut],tblDaily[EntryDate],DATE(2026,2,6),tblDaily[WardCode],"NICU")=0,"",SUMIFS(tblDaily[TransfersOut],tblDaily[EntryDate],DATE(2026,2,6),tblDaily[WardCode],"NICU")),"")</f>
        <v/>
      </c>
      <c r="H51" s="12">
        <f>IFERROR(IF(SUMIFS(tblDaily[Remaining],tblDaily[EntryDate],DATE(2026,2,6),tblDaily[WardCode],"NICU")=0,"",SUMIFS(tblDaily[Remaining],tblDaily[EntryDate],DATE(2026,2,6),tblDaily[WardCode],"NICU")),"")</f>
        <v/>
      </c>
    </row>
    <row r="52">
      <c r="A52" s="12" t="n">
        <v>7</v>
      </c>
      <c r="B52" s="12">
        <f>IFERROR(IF(SUMIFS(tblDaily[Admissions],tblDaily[EntryDate],DATE(2026,2,7),tblDaily[WardCode],"NICU")=0,"",SUMIFS(tblDaily[Admissions],tblDaily[EntryDate],DATE(2026,2,7),tblDaily[WardCode],"NICU")),"")</f>
        <v/>
      </c>
      <c r="C52" s="12">
        <f>IFERROR(IF(SUMIFS(tblDaily[Discharges],tblDaily[EntryDate],DATE(2026,2,7),tblDaily[WardCode],"NICU")=0,"",SUMIFS(tblDaily[Discharges],tblDaily[EntryDate],DATE(2026,2,7),tblDaily[WardCode],"NICU")),"")</f>
        <v/>
      </c>
      <c r="D52" s="12">
        <f>IFERROR(IF(SUMIFS(tblDaily[Deaths],tblDaily[EntryDate],DATE(2026,2,7),tblDaily[WardCode],"NICU")=0,"",SUMIFS(tblDaily[Deaths],tblDaily[EntryDate],DATE(2026,2,7),tblDaily[WardCode],"NICU")),"")</f>
        <v/>
      </c>
      <c r="E52" s="12">
        <f>IFERROR(IF(SUMIFS(tblDaily[DeathsUnder24Hrs],tblDaily[EntryDate],DATE(2026,2,7),tblDaily[WardCode],"NICU")=0,"",SUMIFS(tblDaily[DeathsUnder24Hrs],tblDaily[EntryDate],DATE(2026,2,7),tblDaily[WardCode],"NICU")),"")</f>
        <v/>
      </c>
      <c r="F52" s="12">
        <f>IFERROR(IF(SUMIFS(tblDaily[TransfersIn],tblDaily[EntryDate],DATE(2026,2,7),tblDaily[WardCode],"NICU")=0,"",SUMIFS(tblDaily[TransfersIn],tblDaily[EntryDate],DATE(2026,2,7),tblDaily[WardCode],"NICU")),"")</f>
        <v/>
      </c>
      <c r="G52" s="12">
        <f>IFERROR(IF(SUMIFS(tblDaily[TransfersOut],tblDaily[EntryDate],DATE(2026,2,7),tblDaily[WardCode],"NICU")=0,"",SUMIFS(tblDaily[TransfersOut],tblDaily[EntryDate],DATE(2026,2,7),tblDaily[WardCode],"NICU")),"")</f>
        <v/>
      </c>
      <c r="H52" s="12">
        <f>IFERROR(IF(SUMIFS(tblDaily[Remaining],tblDaily[EntryDate],DATE(2026,2,7),tblDaily[WardCode],"NICU")=0,"",SUMIFS(tblDaily[Remaining],tblDaily[EntryDate],DATE(2026,2,7),tblDaily[WardCode],"NICU")),"")</f>
        <v/>
      </c>
    </row>
    <row r="53">
      <c r="A53" s="12" t="n">
        <v>8</v>
      </c>
      <c r="B53" s="12">
        <f>IFERROR(IF(SUMIFS(tblDaily[Admissions],tblDaily[EntryDate],DATE(2026,2,8),tblDaily[WardCode],"NICU")=0,"",SUMIFS(tblDaily[Admissions],tblDaily[EntryDate],DATE(2026,2,8),tblDaily[WardCode],"NICU")),"")</f>
        <v/>
      </c>
      <c r="C53" s="12">
        <f>IFERROR(IF(SUMIFS(tblDaily[Discharges],tblDaily[EntryDate],DATE(2026,2,8),tblDaily[WardCode],"NICU")=0,"",SUMIFS(tblDaily[Discharges],tblDaily[EntryDate],DATE(2026,2,8),tblDaily[WardCode],"NICU")),"")</f>
        <v/>
      </c>
      <c r="D53" s="12">
        <f>IFERROR(IF(SUMIFS(tblDaily[Deaths],tblDaily[EntryDate],DATE(2026,2,8),tblDaily[WardCode],"NICU")=0,"",SUMIFS(tblDaily[Deaths],tblDaily[EntryDate],DATE(2026,2,8),tblDaily[WardCode],"NICU")),"")</f>
        <v/>
      </c>
      <c r="E53" s="12">
        <f>IFERROR(IF(SUMIFS(tblDaily[DeathsUnder24Hrs],tblDaily[EntryDate],DATE(2026,2,8),tblDaily[WardCode],"NICU")=0,"",SUMIFS(tblDaily[DeathsUnder24Hrs],tblDaily[EntryDate],DATE(2026,2,8),tblDaily[WardCode],"NICU")),"")</f>
        <v/>
      </c>
      <c r="F53" s="12">
        <f>IFERROR(IF(SUMIFS(tblDaily[TransfersIn],tblDaily[EntryDate],DATE(2026,2,8),tblDaily[WardCode],"NICU")=0,"",SUMIFS(tblDaily[TransfersIn],tblDaily[EntryDate],DATE(2026,2,8),tblDaily[WardCode],"NICU")),"")</f>
        <v/>
      </c>
      <c r="G53" s="12">
        <f>IFERROR(IF(SUMIFS(tblDaily[TransfersOut],tblDaily[EntryDate],DATE(2026,2,8),tblDaily[WardCode],"NICU")=0,"",SUMIFS(tblDaily[TransfersOut],tblDaily[EntryDate],DATE(2026,2,8),tblDaily[WardCode],"NICU")),"")</f>
        <v/>
      </c>
      <c r="H53" s="12">
        <f>IFERROR(IF(SUMIFS(tblDaily[Remaining],tblDaily[EntryDate],DATE(2026,2,8),tblDaily[WardCode],"NICU")=0,"",SUMIFS(tblDaily[Remaining],tblDaily[EntryDate],DATE(2026,2,8),tblDaily[WardCode],"NICU")),"")</f>
        <v/>
      </c>
    </row>
    <row r="54">
      <c r="A54" s="12" t="n">
        <v>9</v>
      </c>
      <c r="B54" s="12">
        <f>IFERROR(IF(SUMIFS(tblDaily[Admissions],tblDaily[EntryDate],DATE(2026,2,9),tblDaily[WardCode],"NICU")=0,"",SUMIFS(tblDaily[Admissions],tblDaily[EntryDate],DATE(2026,2,9),tblDaily[WardCode],"NICU")),"")</f>
        <v/>
      </c>
      <c r="C54" s="12">
        <f>IFERROR(IF(SUMIFS(tblDaily[Discharges],tblDaily[EntryDate],DATE(2026,2,9),tblDaily[WardCode],"NICU")=0,"",SUMIFS(tblDaily[Discharges],tblDaily[EntryDate],DATE(2026,2,9),tblDaily[WardCode],"NICU")),"")</f>
        <v/>
      </c>
      <c r="D54" s="12">
        <f>IFERROR(IF(SUMIFS(tblDaily[Deaths],tblDaily[EntryDate],DATE(2026,2,9),tblDaily[WardCode],"NICU")=0,"",SUMIFS(tblDaily[Deaths],tblDaily[EntryDate],DATE(2026,2,9),tblDaily[WardCode],"NICU")),"")</f>
        <v/>
      </c>
      <c r="E54" s="12">
        <f>IFERROR(IF(SUMIFS(tblDaily[DeathsUnder24Hrs],tblDaily[EntryDate],DATE(2026,2,9),tblDaily[WardCode],"NICU")=0,"",SUMIFS(tblDaily[DeathsUnder24Hrs],tblDaily[EntryDate],DATE(2026,2,9),tblDaily[WardCode],"NICU")),"")</f>
        <v/>
      </c>
      <c r="F54" s="12">
        <f>IFERROR(IF(SUMIFS(tblDaily[TransfersIn],tblDaily[EntryDate],DATE(2026,2,9),tblDaily[WardCode],"NICU")=0,"",SUMIFS(tblDaily[TransfersIn],tblDaily[EntryDate],DATE(2026,2,9),tblDaily[WardCode],"NICU")),"")</f>
        <v/>
      </c>
      <c r="G54" s="12">
        <f>IFERROR(IF(SUMIFS(tblDaily[TransfersOut],tblDaily[EntryDate],DATE(2026,2,9),tblDaily[WardCode],"NICU")=0,"",SUMIFS(tblDaily[TransfersOut],tblDaily[EntryDate],DATE(2026,2,9),tblDaily[WardCode],"NICU")),"")</f>
        <v/>
      </c>
      <c r="H54" s="12">
        <f>IFERROR(IF(SUMIFS(tblDaily[Remaining],tblDaily[EntryDate],DATE(2026,2,9),tblDaily[WardCode],"NICU")=0,"",SUMIFS(tblDaily[Remaining],tblDaily[EntryDate],DATE(2026,2,9),tblDaily[WardCode],"NICU")),"")</f>
        <v/>
      </c>
    </row>
    <row r="55">
      <c r="A55" s="12" t="n">
        <v>10</v>
      </c>
      <c r="B55" s="12">
        <f>IFERROR(IF(SUMIFS(tblDaily[Admissions],tblDaily[EntryDate],DATE(2026,2,10),tblDaily[WardCode],"NICU")=0,"",SUMIFS(tblDaily[Admissions],tblDaily[EntryDate],DATE(2026,2,10),tblDaily[WardCode],"NICU")),"")</f>
        <v/>
      </c>
      <c r="C55" s="12">
        <f>IFERROR(IF(SUMIFS(tblDaily[Discharges],tblDaily[EntryDate],DATE(2026,2,10),tblDaily[WardCode],"NICU")=0,"",SUMIFS(tblDaily[Discharges],tblDaily[EntryDate],DATE(2026,2,10),tblDaily[WardCode],"NICU")),"")</f>
        <v/>
      </c>
      <c r="D55" s="12">
        <f>IFERROR(IF(SUMIFS(tblDaily[Deaths],tblDaily[EntryDate],DATE(2026,2,10),tblDaily[WardCode],"NICU")=0,"",SUMIFS(tblDaily[Deaths],tblDaily[EntryDate],DATE(2026,2,10),tblDaily[WardCode],"NICU")),"")</f>
        <v/>
      </c>
      <c r="E55" s="12">
        <f>IFERROR(IF(SUMIFS(tblDaily[DeathsUnder24Hrs],tblDaily[EntryDate],DATE(2026,2,10),tblDaily[WardCode],"NICU")=0,"",SUMIFS(tblDaily[DeathsUnder24Hrs],tblDaily[EntryDate],DATE(2026,2,10),tblDaily[WardCode],"NICU")),"")</f>
        <v/>
      </c>
      <c r="F55" s="12">
        <f>IFERROR(IF(SUMIFS(tblDaily[TransfersIn],tblDaily[EntryDate],DATE(2026,2,10),tblDaily[WardCode],"NICU")=0,"",SUMIFS(tblDaily[TransfersIn],tblDaily[EntryDate],DATE(2026,2,10),tblDaily[WardCode],"NICU")),"")</f>
        <v/>
      </c>
      <c r="G55" s="12">
        <f>IFERROR(IF(SUMIFS(tblDaily[TransfersOut],tblDaily[EntryDate],DATE(2026,2,10),tblDaily[WardCode],"NICU")=0,"",SUMIFS(tblDaily[TransfersOut],tblDaily[EntryDate],DATE(2026,2,10),tblDaily[WardCode],"NICU")),"")</f>
        <v/>
      </c>
      <c r="H55" s="12">
        <f>IFERROR(IF(SUMIFS(tblDaily[Remaining],tblDaily[EntryDate],DATE(2026,2,10),tblDaily[WardCode],"NICU")=0,"",SUMIFS(tblDaily[Remaining],tblDaily[EntryDate],DATE(2026,2,10),tblDaily[WardCode],"NICU")),"")</f>
        <v/>
      </c>
    </row>
    <row r="56">
      <c r="A56" s="12" t="n">
        <v>11</v>
      </c>
      <c r="B56" s="12">
        <f>IFERROR(IF(SUMIFS(tblDaily[Admissions],tblDaily[EntryDate],DATE(2026,2,11),tblDaily[WardCode],"NICU")=0,"",SUMIFS(tblDaily[Admissions],tblDaily[EntryDate],DATE(2026,2,11),tblDaily[WardCode],"NICU")),"")</f>
        <v/>
      </c>
      <c r="C56" s="12">
        <f>IFERROR(IF(SUMIFS(tblDaily[Discharges],tblDaily[EntryDate],DATE(2026,2,11),tblDaily[WardCode],"NICU")=0,"",SUMIFS(tblDaily[Discharges],tblDaily[EntryDate],DATE(2026,2,11),tblDaily[WardCode],"NICU")),"")</f>
        <v/>
      </c>
      <c r="D56" s="12">
        <f>IFERROR(IF(SUMIFS(tblDaily[Deaths],tblDaily[EntryDate],DATE(2026,2,11),tblDaily[WardCode],"NICU")=0,"",SUMIFS(tblDaily[Deaths],tblDaily[EntryDate],DATE(2026,2,11),tblDaily[WardCode],"NICU")),"")</f>
        <v/>
      </c>
      <c r="E56" s="12">
        <f>IFERROR(IF(SUMIFS(tblDaily[DeathsUnder24Hrs],tblDaily[EntryDate],DATE(2026,2,11),tblDaily[WardCode],"NICU")=0,"",SUMIFS(tblDaily[DeathsUnder24Hrs],tblDaily[EntryDate],DATE(2026,2,11),tblDaily[WardCode],"NICU")),"")</f>
        <v/>
      </c>
      <c r="F56" s="12">
        <f>IFERROR(IF(SUMIFS(tblDaily[TransfersIn],tblDaily[EntryDate],DATE(2026,2,11),tblDaily[WardCode],"NICU")=0,"",SUMIFS(tblDaily[TransfersIn],tblDaily[EntryDate],DATE(2026,2,11),tblDaily[WardCode],"NICU")),"")</f>
        <v/>
      </c>
      <c r="G56" s="12">
        <f>IFERROR(IF(SUMIFS(tblDaily[TransfersOut],tblDaily[EntryDate],DATE(2026,2,11),tblDaily[WardCode],"NICU")=0,"",SUMIFS(tblDaily[TransfersOut],tblDaily[EntryDate],DATE(2026,2,11),tblDaily[WardCode],"NICU")),"")</f>
        <v/>
      </c>
      <c r="H56" s="12">
        <f>IFERROR(IF(SUMIFS(tblDaily[Remaining],tblDaily[EntryDate],DATE(2026,2,11),tblDaily[WardCode],"NICU")=0,"",SUMIFS(tblDaily[Remaining],tblDaily[EntryDate],DATE(2026,2,11),tblDaily[WardCode],"NICU")),"")</f>
        <v/>
      </c>
    </row>
    <row r="57">
      <c r="A57" s="12" t="n">
        <v>12</v>
      </c>
      <c r="B57" s="12">
        <f>IFERROR(IF(SUMIFS(tblDaily[Admissions],tblDaily[EntryDate],DATE(2026,2,12),tblDaily[WardCode],"NICU")=0,"",SUMIFS(tblDaily[Admissions],tblDaily[EntryDate],DATE(2026,2,12),tblDaily[WardCode],"NICU")),"")</f>
        <v/>
      </c>
      <c r="C57" s="12">
        <f>IFERROR(IF(SUMIFS(tblDaily[Discharges],tblDaily[EntryDate],DATE(2026,2,12),tblDaily[WardCode],"NICU")=0,"",SUMIFS(tblDaily[Discharges],tblDaily[EntryDate],DATE(2026,2,12),tblDaily[WardCode],"NICU")),"")</f>
        <v/>
      </c>
      <c r="D57" s="12">
        <f>IFERROR(IF(SUMIFS(tblDaily[Deaths],tblDaily[EntryDate],DATE(2026,2,12),tblDaily[WardCode],"NICU")=0,"",SUMIFS(tblDaily[Deaths],tblDaily[EntryDate],DATE(2026,2,12),tblDaily[WardCode],"NICU")),"")</f>
        <v/>
      </c>
      <c r="E57" s="12">
        <f>IFERROR(IF(SUMIFS(tblDaily[DeathsUnder24Hrs],tblDaily[EntryDate],DATE(2026,2,12),tblDaily[WardCode],"NICU")=0,"",SUMIFS(tblDaily[DeathsUnder24Hrs],tblDaily[EntryDate],DATE(2026,2,12),tblDaily[WardCode],"NICU")),"")</f>
        <v/>
      </c>
      <c r="F57" s="12">
        <f>IFERROR(IF(SUMIFS(tblDaily[TransfersIn],tblDaily[EntryDate],DATE(2026,2,12),tblDaily[WardCode],"NICU")=0,"",SUMIFS(tblDaily[TransfersIn],tblDaily[EntryDate],DATE(2026,2,12),tblDaily[WardCode],"NICU")),"")</f>
        <v/>
      </c>
      <c r="G57" s="12">
        <f>IFERROR(IF(SUMIFS(tblDaily[TransfersOut],tblDaily[EntryDate],DATE(2026,2,12),tblDaily[WardCode],"NICU")=0,"",SUMIFS(tblDaily[TransfersOut],tblDaily[EntryDate],DATE(2026,2,12),tblDaily[WardCode],"NICU")),"")</f>
        <v/>
      </c>
      <c r="H57" s="12">
        <f>IFERROR(IF(SUMIFS(tblDaily[Remaining],tblDaily[EntryDate],DATE(2026,2,12),tblDaily[WardCode],"NICU")=0,"",SUMIFS(tblDaily[Remaining],tblDaily[EntryDate],DATE(2026,2,12),tblDaily[WardCode],"NICU")),"")</f>
        <v/>
      </c>
    </row>
    <row r="58">
      <c r="A58" s="12" t="n">
        <v>13</v>
      </c>
      <c r="B58" s="12">
        <f>IFERROR(IF(SUMIFS(tblDaily[Admissions],tblDaily[EntryDate],DATE(2026,2,13),tblDaily[WardCode],"NICU")=0,"",SUMIFS(tblDaily[Admissions],tblDaily[EntryDate],DATE(2026,2,13),tblDaily[WardCode],"NICU")),"")</f>
        <v/>
      </c>
      <c r="C58" s="12">
        <f>IFERROR(IF(SUMIFS(tblDaily[Discharges],tblDaily[EntryDate],DATE(2026,2,13),tblDaily[WardCode],"NICU")=0,"",SUMIFS(tblDaily[Discharges],tblDaily[EntryDate],DATE(2026,2,13),tblDaily[WardCode],"NICU")),"")</f>
        <v/>
      </c>
      <c r="D58" s="12">
        <f>IFERROR(IF(SUMIFS(tblDaily[Deaths],tblDaily[EntryDate],DATE(2026,2,13),tblDaily[WardCode],"NICU")=0,"",SUMIFS(tblDaily[Deaths],tblDaily[EntryDate],DATE(2026,2,13),tblDaily[WardCode],"NICU")),"")</f>
        <v/>
      </c>
      <c r="E58" s="12">
        <f>IFERROR(IF(SUMIFS(tblDaily[DeathsUnder24Hrs],tblDaily[EntryDate],DATE(2026,2,13),tblDaily[WardCode],"NICU")=0,"",SUMIFS(tblDaily[DeathsUnder24Hrs],tblDaily[EntryDate],DATE(2026,2,13),tblDaily[WardCode],"NICU")),"")</f>
        <v/>
      </c>
      <c r="F58" s="12">
        <f>IFERROR(IF(SUMIFS(tblDaily[TransfersIn],tblDaily[EntryDate],DATE(2026,2,13),tblDaily[WardCode],"NICU")=0,"",SUMIFS(tblDaily[TransfersIn],tblDaily[EntryDate],DATE(2026,2,13),tblDaily[WardCode],"NICU")),"")</f>
        <v/>
      </c>
      <c r="G58" s="12">
        <f>IFERROR(IF(SUMIFS(tblDaily[TransfersOut],tblDaily[EntryDate],DATE(2026,2,13),tblDaily[WardCode],"NICU")=0,"",SUMIFS(tblDaily[TransfersOut],tblDaily[EntryDate],DATE(2026,2,13),tblDaily[WardCode],"NICU")),"")</f>
        <v/>
      </c>
      <c r="H58" s="12">
        <f>IFERROR(IF(SUMIFS(tblDaily[Remaining],tblDaily[EntryDate],DATE(2026,2,13),tblDaily[WardCode],"NICU")=0,"",SUMIFS(tblDaily[Remaining],tblDaily[EntryDate],DATE(2026,2,13),tblDaily[WardCode],"NICU")),"")</f>
        <v/>
      </c>
    </row>
    <row r="59">
      <c r="A59" s="12" t="n">
        <v>14</v>
      </c>
      <c r="B59" s="12">
        <f>IFERROR(IF(SUMIFS(tblDaily[Admissions],tblDaily[EntryDate],DATE(2026,2,14),tblDaily[WardCode],"NICU")=0,"",SUMIFS(tblDaily[Admissions],tblDaily[EntryDate],DATE(2026,2,14),tblDaily[WardCode],"NICU")),"")</f>
        <v/>
      </c>
      <c r="C59" s="12">
        <f>IFERROR(IF(SUMIFS(tblDaily[Discharges],tblDaily[EntryDate],DATE(2026,2,14),tblDaily[WardCode],"NICU")=0,"",SUMIFS(tblDaily[Discharges],tblDaily[EntryDate],DATE(2026,2,14),tblDaily[WardCode],"NICU")),"")</f>
        <v/>
      </c>
      <c r="D59" s="12">
        <f>IFERROR(IF(SUMIFS(tblDaily[Deaths],tblDaily[EntryDate],DATE(2026,2,14),tblDaily[WardCode],"NICU")=0,"",SUMIFS(tblDaily[Deaths],tblDaily[EntryDate],DATE(2026,2,14),tblDaily[WardCode],"NICU")),"")</f>
        <v/>
      </c>
      <c r="E59" s="12">
        <f>IFERROR(IF(SUMIFS(tblDaily[DeathsUnder24Hrs],tblDaily[EntryDate],DATE(2026,2,14),tblDaily[WardCode],"NICU")=0,"",SUMIFS(tblDaily[DeathsUnder24Hrs],tblDaily[EntryDate],DATE(2026,2,14),tblDaily[WardCode],"NICU")),"")</f>
        <v/>
      </c>
      <c r="F59" s="12">
        <f>IFERROR(IF(SUMIFS(tblDaily[TransfersIn],tblDaily[EntryDate],DATE(2026,2,14),tblDaily[WardCode],"NICU")=0,"",SUMIFS(tblDaily[TransfersIn],tblDaily[EntryDate],DATE(2026,2,14),tblDaily[WardCode],"NICU")),"")</f>
        <v/>
      </c>
      <c r="G59" s="12">
        <f>IFERROR(IF(SUMIFS(tblDaily[TransfersOut],tblDaily[EntryDate],DATE(2026,2,14),tblDaily[WardCode],"NICU")=0,"",SUMIFS(tblDaily[TransfersOut],tblDaily[EntryDate],DATE(2026,2,14),tblDaily[WardCode],"NICU")),"")</f>
        <v/>
      </c>
      <c r="H59" s="12">
        <f>IFERROR(IF(SUMIFS(tblDaily[Remaining],tblDaily[EntryDate],DATE(2026,2,14),tblDaily[WardCode],"NICU")=0,"",SUMIFS(tblDaily[Remaining],tblDaily[EntryDate],DATE(2026,2,14),tblDaily[WardCode],"NICU")),"")</f>
        <v/>
      </c>
    </row>
    <row r="60">
      <c r="A60" s="12" t="n">
        <v>15</v>
      </c>
      <c r="B60" s="12">
        <f>IFERROR(IF(SUMIFS(tblDaily[Admissions],tblDaily[EntryDate],DATE(2026,2,15),tblDaily[WardCode],"NICU")=0,"",SUMIFS(tblDaily[Admissions],tblDaily[EntryDate],DATE(2026,2,15),tblDaily[WardCode],"NICU")),"")</f>
        <v/>
      </c>
      <c r="C60" s="12">
        <f>IFERROR(IF(SUMIFS(tblDaily[Discharges],tblDaily[EntryDate],DATE(2026,2,15),tblDaily[WardCode],"NICU")=0,"",SUMIFS(tblDaily[Discharges],tblDaily[EntryDate],DATE(2026,2,15),tblDaily[WardCode],"NICU")),"")</f>
        <v/>
      </c>
      <c r="D60" s="12">
        <f>IFERROR(IF(SUMIFS(tblDaily[Deaths],tblDaily[EntryDate],DATE(2026,2,15),tblDaily[WardCode],"NICU")=0,"",SUMIFS(tblDaily[Deaths],tblDaily[EntryDate],DATE(2026,2,15),tblDaily[WardCode],"NICU")),"")</f>
        <v/>
      </c>
      <c r="E60" s="12">
        <f>IFERROR(IF(SUMIFS(tblDaily[DeathsUnder24Hrs],tblDaily[EntryDate],DATE(2026,2,15),tblDaily[WardCode],"NICU")=0,"",SUMIFS(tblDaily[DeathsUnder24Hrs],tblDaily[EntryDate],DATE(2026,2,15),tblDaily[WardCode],"NICU")),"")</f>
        <v/>
      </c>
      <c r="F60" s="12">
        <f>IFERROR(IF(SUMIFS(tblDaily[TransfersIn],tblDaily[EntryDate],DATE(2026,2,15),tblDaily[WardCode],"NICU")=0,"",SUMIFS(tblDaily[TransfersIn],tblDaily[EntryDate],DATE(2026,2,15),tblDaily[WardCode],"NICU")),"")</f>
        <v/>
      </c>
      <c r="G60" s="12">
        <f>IFERROR(IF(SUMIFS(tblDaily[TransfersOut],tblDaily[EntryDate],DATE(2026,2,15),tblDaily[WardCode],"NICU")=0,"",SUMIFS(tblDaily[TransfersOut],tblDaily[EntryDate],DATE(2026,2,15),tblDaily[WardCode],"NICU")),"")</f>
        <v/>
      </c>
      <c r="H60" s="12">
        <f>IFERROR(IF(SUMIFS(tblDaily[Remaining],tblDaily[EntryDate],DATE(2026,2,15),tblDaily[WardCode],"NICU")=0,"",SUMIFS(tblDaily[Remaining],tblDaily[EntryDate],DATE(2026,2,15),tblDaily[WardCode],"NICU")),"")</f>
        <v/>
      </c>
    </row>
    <row r="61">
      <c r="A61" s="12" t="n">
        <v>16</v>
      </c>
      <c r="B61" s="12">
        <f>IFERROR(IF(SUMIFS(tblDaily[Admissions],tblDaily[EntryDate],DATE(2026,2,16),tblDaily[WardCode],"NICU")=0,"",SUMIFS(tblDaily[Admissions],tblDaily[EntryDate],DATE(2026,2,16),tblDaily[WardCode],"NICU")),"")</f>
        <v/>
      </c>
      <c r="C61" s="12">
        <f>IFERROR(IF(SUMIFS(tblDaily[Discharges],tblDaily[EntryDate],DATE(2026,2,16),tblDaily[WardCode],"NICU")=0,"",SUMIFS(tblDaily[Discharges],tblDaily[EntryDate],DATE(2026,2,16),tblDaily[WardCode],"NICU")),"")</f>
        <v/>
      </c>
      <c r="D61" s="12">
        <f>IFERROR(IF(SUMIFS(tblDaily[Deaths],tblDaily[EntryDate],DATE(2026,2,16),tblDaily[WardCode],"NICU")=0,"",SUMIFS(tblDaily[Deaths],tblDaily[EntryDate],DATE(2026,2,16),tblDaily[WardCode],"NICU")),"")</f>
        <v/>
      </c>
      <c r="E61" s="12">
        <f>IFERROR(IF(SUMIFS(tblDaily[DeathsUnder24Hrs],tblDaily[EntryDate],DATE(2026,2,16),tblDaily[WardCode],"NICU")=0,"",SUMIFS(tblDaily[DeathsUnder24Hrs],tblDaily[EntryDate],DATE(2026,2,16),tblDaily[WardCode],"NICU")),"")</f>
        <v/>
      </c>
      <c r="F61" s="12">
        <f>IFERROR(IF(SUMIFS(tblDaily[TransfersIn],tblDaily[EntryDate],DATE(2026,2,16),tblDaily[WardCode],"NICU")=0,"",SUMIFS(tblDaily[TransfersIn],tblDaily[EntryDate],DATE(2026,2,16),tblDaily[WardCode],"NICU")),"")</f>
        <v/>
      </c>
      <c r="G61" s="12">
        <f>IFERROR(IF(SUMIFS(tblDaily[TransfersOut],tblDaily[EntryDate],DATE(2026,2,16),tblDaily[WardCode],"NICU")=0,"",SUMIFS(tblDaily[TransfersOut],tblDaily[EntryDate],DATE(2026,2,16),tblDaily[WardCode],"NICU")),"")</f>
        <v/>
      </c>
      <c r="H61" s="12">
        <f>IFERROR(IF(SUMIFS(tblDaily[Remaining],tblDaily[EntryDate],DATE(2026,2,16),tblDaily[WardCode],"NICU")=0,"",SUMIFS(tblDaily[Remaining],tblDaily[EntryDate],DATE(2026,2,16),tblDaily[WardCode],"NICU")),"")</f>
        <v/>
      </c>
    </row>
    <row r="62">
      <c r="A62" s="12" t="n">
        <v>17</v>
      </c>
      <c r="B62" s="12">
        <f>IFERROR(IF(SUMIFS(tblDaily[Admissions],tblDaily[EntryDate],DATE(2026,2,17),tblDaily[WardCode],"NICU")=0,"",SUMIFS(tblDaily[Admissions],tblDaily[EntryDate],DATE(2026,2,17),tblDaily[WardCode],"NICU")),"")</f>
        <v/>
      </c>
      <c r="C62" s="12">
        <f>IFERROR(IF(SUMIFS(tblDaily[Discharges],tblDaily[EntryDate],DATE(2026,2,17),tblDaily[WardCode],"NICU")=0,"",SUMIFS(tblDaily[Discharges],tblDaily[EntryDate],DATE(2026,2,17),tblDaily[WardCode],"NICU")),"")</f>
        <v/>
      </c>
      <c r="D62" s="12">
        <f>IFERROR(IF(SUMIFS(tblDaily[Deaths],tblDaily[EntryDate],DATE(2026,2,17),tblDaily[WardCode],"NICU")=0,"",SUMIFS(tblDaily[Deaths],tblDaily[EntryDate],DATE(2026,2,17),tblDaily[WardCode],"NICU")),"")</f>
        <v/>
      </c>
      <c r="E62" s="12">
        <f>IFERROR(IF(SUMIFS(tblDaily[DeathsUnder24Hrs],tblDaily[EntryDate],DATE(2026,2,17),tblDaily[WardCode],"NICU")=0,"",SUMIFS(tblDaily[DeathsUnder24Hrs],tblDaily[EntryDate],DATE(2026,2,17),tblDaily[WardCode],"NICU")),"")</f>
        <v/>
      </c>
      <c r="F62" s="12">
        <f>IFERROR(IF(SUMIFS(tblDaily[TransfersIn],tblDaily[EntryDate],DATE(2026,2,17),tblDaily[WardCode],"NICU")=0,"",SUMIFS(tblDaily[TransfersIn],tblDaily[EntryDate],DATE(2026,2,17),tblDaily[WardCode],"NICU")),"")</f>
        <v/>
      </c>
      <c r="G62" s="12">
        <f>IFERROR(IF(SUMIFS(tblDaily[TransfersOut],tblDaily[EntryDate],DATE(2026,2,17),tblDaily[WardCode],"NICU")=0,"",SUMIFS(tblDaily[TransfersOut],tblDaily[EntryDate],DATE(2026,2,17),tblDaily[WardCode],"NICU")),"")</f>
        <v/>
      </c>
      <c r="H62" s="12">
        <f>IFERROR(IF(SUMIFS(tblDaily[Remaining],tblDaily[EntryDate],DATE(2026,2,17),tblDaily[WardCode],"NICU")=0,"",SUMIFS(tblDaily[Remaining],tblDaily[EntryDate],DATE(2026,2,17),tblDaily[WardCode],"NICU")),"")</f>
        <v/>
      </c>
    </row>
    <row r="63">
      <c r="A63" s="12" t="n">
        <v>18</v>
      </c>
      <c r="B63" s="12">
        <f>IFERROR(IF(SUMIFS(tblDaily[Admissions],tblDaily[EntryDate],DATE(2026,2,18),tblDaily[WardCode],"NICU")=0,"",SUMIFS(tblDaily[Admissions],tblDaily[EntryDate],DATE(2026,2,18),tblDaily[WardCode],"NICU")),"")</f>
        <v/>
      </c>
      <c r="C63" s="12">
        <f>IFERROR(IF(SUMIFS(tblDaily[Discharges],tblDaily[EntryDate],DATE(2026,2,18),tblDaily[WardCode],"NICU")=0,"",SUMIFS(tblDaily[Discharges],tblDaily[EntryDate],DATE(2026,2,18),tblDaily[WardCode],"NICU")),"")</f>
        <v/>
      </c>
      <c r="D63" s="12">
        <f>IFERROR(IF(SUMIFS(tblDaily[Deaths],tblDaily[EntryDate],DATE(2026,2,18),tblDaily[WardCode],"NICU")=0,"",SUMIFS(tblDaily[Deaths],tblDaily[EntryDate],DATE(2026,2,18),tblDaily[WardCode],"NICU")),"")</f>
        <v/>
      </c>
      <c r="E63" s="12">
        <f>IFERROR(IF(SUMIFS(tblDaily[DeathsUnder24Hrs],tblDaily[EntryDate],DATE(2026,2,18),tblDaily[WardCode],"NICU")=0,"",SUMIFS(tblDaily[DeathsUnder24Hrs],tblDaily[EntryDate],DATE(2026,2,18),tblDaily[WardCode],"NICU")),"")</f>
        <v/>
      </c>
      <c r="F63" s="12">
        <f>IFERROR(IF(SUMIFS(tblDaily[TransfersIn],tblDaily[EntryDate],DATE(2026,2,18),tblDaily[WardCode],"NICU")=0,"",SUMIFS(tblDaily[TransfersIn],tblDaily[EntryDate],DATE(2026,2,18),tblDaily[WardCode],"NICU")),"")</f>
        <v/>
      </c>
      <c r="G63" s="12">
        <f>IFERROR(IF(SUMIFS(tblDaily[TransfersOut],tblDaily[EntryDate],DATE(2026,2,18),tblDaily[WardCode],"NICU")=0,"",SUMIFS(tblDaily[TransfersOut],tblDaily[EntryDate],DATE(2026,2,18),tblDaily[WardCode],"NICU")),"")</f>
        <v/>
      </c>
      <c r="H63" s="12">
        <f>IFERROR(IF(SUMIFS(tblDaily[Remaining],tblDaily[EntryDate],DATE(2026,2,18),tblDaily[WardCode],"NICU")=0,"",SUMIFS(tblDaily[Remaining],tblDaily[EntryDate],DATE(2026,2,18),tblDaily[WardCode],"NICU")),"")</f>
        <v/>
      </c>
    </row>
    <row r="64">
      <c r="A64" s="12" t="n">
        <v>19</v>
      </c>
      <c r="B64" s="12">
        <f>IFERROR(IF(SUMIFS(tblDaily[Admissions],tblDaily[EntryDate],DATE(2026,2,19),tblDaily[WardCode],"NICU")=0,"",SUMIFS(tblDaily[Admissions],tblDaily[EntryDate],DATE(2026,2,19),tblDaily[WardCode],"NICU")),"")</f>
        <v/>
      </c>
      <c r="C64" s="12">
        <f>IFERROR(IF(SUMIFS(tblDaily[Discharges],tblDaily[EntryDate],DATE(2026,2,19),tblDaily[WardCode],"NICU")=0,"",SUMIFS(tblDaily[Discharges],tblDaily[EntryDate],DATE(2026,2,19),tblDaily[WardCode],"NICU")),"")</f>
        <v/>
      </c>
      <c r="D64" s="12">
        <f>IFERROR(IF(SUMIFS(tblDaily[Deaths],tblDaily[EntryDate],DATE(2026,2,19),tblDaily[WardCode],"NICU")=0,"",SUMIFS(tblDaily[Deaths],tblDaily[EntryDate],DATE(2026,2,19),tblDaily[WardCode],"NICU")),"")</f>
        <v/>
      </c>
      <c r="E64" s="12">
        <f>IFERROR(IF(SUMIFS(tblDaily[DeathsUnder24Hrs],tblDaily[EntryDate],DATE(2026,2,19),tblDaily[WardCode],"NICU")=0,"",SUMIFS(tblDaily[DeathsUnder24Hrs],tblDaily[EntryDate],DATE(2026,2,19),tblDaily[WardCode],"NICU")),"")</f>
        <v/>
      </c>
      <c r="F64" s="12">
        <f>IFERROR(IF(SUMIFS(tblDaily[TransfersIn],tblDaily[EntryDate],DATE(2026,2,19),tblDaily[WardCode],"NICU")=0,"",SUMIFS(tblDaily[TransfersIn],tblDaily[EntryDate],DATE(2026,2,19),tblDaily[WardCode],"NICU")),"")</f>
        <v/>
      </c>
      <c r="G64" s="12">
        <f>IFERROR(IF(SUMIFS(tblDaily[TransfersOut],tblDaily[EntryDate],DATE(2026,2,19),tblDaily[WardCode],"NICU")=0,"",SUMIFS(tblDaily[TransfersOut],tblDaily[EntryDate],DATE(2026,2,19),tblDaily[WardCode],"NICU")),"")</f>
        <v/>
      </c>
      <c r="H64" s="12">
        <f>IFERROR(IF(SUMIFS(tblDaily[Remaining],tblDaily[EntryDate],DATE(2026,2,19),tblDaily[WardCode],"NICU")=0,"",SUMIFS(tblDaily[Remaining],tblDaily[EntryDate],DATE(2026,2,19),tblDaily[WardCode],"NICU")),"")</f>
        <v/>
      </c>
    </row>
    <row r="65">
      <c r="A65" s="12" t="n">
        <v>20</v>
      </c>
      <c r="B65" s="12">
        <f>IFERROR(IF(SUMIFS(tblDaily[Admissions],tblDaily[EntryDate],DATE(2026,2,20),tblDaily[WardCode],"NICU")=0,"",SUMIFS(tblDaily[Admissions],tblDaily[EntryDate],DATE(2026,2,20),tblDaily[WardCode],"NICU")),"")</f>
        <v/>
      </c>
      <c r="C65" s="12">
        <f>IFERROR(IF(SUMIFS(tblDaily[Discharges],tblDaily[EntryDate],DATE(2026,2,20),tblDaily[WardCode],"NICU")=0,"",SUMIFS(tblDaily[Discharges],tblDaily[EntryDate],DATE(2026,2,20),tblDaily[WardCode],"NICU")),"")</f>
        <v/>
      </c>
      <c r="D65" s="12">
        <f>IFERROR(IF(SUMIFS(tblDaily[Deaths],tblDaily[EntryDate],DATE(2026,2,20),tblDaily[WardCode],"NICU")=0,"",SUMIFS(tblDaily[Deaths],tblDaily[EntryDate],DATE(2026,2,20),tblDaily[WardCode],"NICU")),"")</f>
        <v/>
      </c>
      <c r="E65" s="12">
        <f>IFERROR(IF(SUMIFS(tblDaily[DeathsUnder24Hrs],tblDaily[EntryDate],DATE(2026,2,20),tblDaily[WardCode],"NICU")=0,"",SUMIFS(tblDaily[DeathsUnder24Hrs],tblDaily[EntryDate],DATE(2026,2,20),tblDaily[WardCode],"NICU")),"")</f>
        <v/>
      </c>
      <c r="F65" s="12">
        <f>IFERROR(IF(SUMIFS(tblDaily[TransfersIn],tblDaily[EntryDate],DATE(2026,2,20),tblDaily[WardCode],"NICU")=0,"",SUMIFS(tblDaily[TransfersIn],tblDaily[EntryDate],DATE(2026,2,20),tblDaily[WardCode],"NICU")),"")</f>
        <v/>
      </c>
      <c r="G65" s="12">
        <f>IFERROR(IF(SUMIFS(tblDaily[TransfersOut],tblDaily[EntryDate],DATE(2026,2,20),tblDaily[WardCode],"NICU")=0,"",SUMIFS(tblDaily[TransfersOut],tblDaily[EntryDate],DATE(2026,2,20),tblDaily[WardCode],"NICU")),"")</f>
        <v/>
      </c>
      <c r="H65" s="12">
        <f>IFERROR(IF(SUMIFS(tblDaily[Remaining],tblDaily[EntryDate],DATE(2026,2,20),tblDaily[WardCode],"NICU")=0,"",SUMIFS(tblDaily[Remaining],tblDaily[EntryDate],DATE(2026,2,20),tblDaily[WardCode],"NICU")),"")</f>
        <v/>
      </c>
    </row>
    <row r="66">
      <c r="A66" s="12" t="n">
        <v>21</v>
      </c>
      <c r="B66" s="12">
        <f>IFERROR(IF(SUMIFS(tblDaily[Admissions],tblDaily[EntryDate],DATE(2026,2,21),tblDaily[WardCode],"NICU")=0,"",SUMIFS(tblDaily[Admissions],tblDaily[EntryDate],DATE(2026,2,21),tblDaily[WardCode],"NICU")),"")</f>
        <v/>
      </c>
      <c r="C66" s="12">
        <f>IFERROR(IF(SUMIFS(tblDaily[Discharges],tblDaily[EntryDate],DATE(2026,2,21),tblDaily[WardCode],"NICU")=0,"",SUMIFS(tblDaily[Discharges],tblDaily[EntryDate],DATE(2026,2,21),tblDaily[WardCode],"NICU")),"")</f>
        <v/>
      </c>
      <c r="D66" s="12">
        <f>IFERROR(IF(SUMIFS(tblDaily[Deaths],tblDaily[EntryDate],DATE(2026,2,21),tblDaily[WardCode],"NICU")=0,"",SUMIFS(tblDaily[Deaths],tblDaily[EntryDate],DATE(2026,2,21),tblDaily[WardCode],"NICU")),"")</f>
        <v/>
      </c>
      <c r="E66" s="12">
        <f>IFERROR(IF(SUMIFS(tblDaily[DeathsUnder24Hrs],tblDaily[EntryDate],DATE(2026,2,21),tblDaily[WardCode],"NICU")=0,"",SUMIFS(tblDaily[DeathsUnder24Hrs],tblDaily[EntryDate],DATE(2026,2,21),tblDaily[WardCode],"NICU")),"")</f>
        <v/>
      </c>
      <c r="F66" s="12">
        <f>IFERROR(IF(SUMIFS(tblDaily[TransfersIn],tblDaily[EntryDate],DATE(2026,2,21),tblDaily[WardCode],"NICU")=0,"",SUMIFS(tblDaily[TransfersIn],tblDaily[EntryDate],DATE(2026,2,21),tblDaily[WardCode],"NICU")),"")</f>
        <v/>
      </c>
      <c r="G66" s="12">
        <f>IFERROR(IF(SUMIFS(tblDaily[TransfersOut],tblDaily[EntryDate],DATE(2026,2,21),tblDaily[WardCode],"NICU")=0,"",SUMIFS(tblDaily[TransfersOut],tblDaily[EntryDate],DATE(2026,2,21),tblDaily[WardCode],"NICU")),"")</f>
        <v/>
      </c>
      <c r="H66" s="12">
        <f>IFERROR(IF(SUMIFS(tblDaily[Remaining],tblDaily[EntryDate],DATE(2026,2,21),tblDaily[WardCode],"NICU")=0,"",SUMIFS(tblDaily[Remaining],tblDaily[EntryDate],DATE(2026,2,21),tblDaily[WardCode],"NICU")),"")</f>
        <v/>
      </c>
    </row>
    <row r="67">
      <c r="A67" s="12" t="n">
        <v>22</v>
      </c>
      <c r="B67" s="12">
        <f>IFERROR(IF(SUMIFS(tblDaily[Admissions],tblDaily[EntryDate],DATE(2026,2,22),tblDaily[WardCode],"NICU")=0,"",SUMIFS(tblDaily[Admissions],tblDaily[EntryDate],DATE(2026,2,22),tblDaily[WardCode],"NICU")),"")</f>
        <v/>
      </c>
      <c r="C67" s="12">
        <f>IFERROR(IF(SUMIFS(tblDaily[Discharges],tblDaily[EntryDate],DATE(2026,2,22),tblDaily[WardCode],"NICU")=0,"",SUMIFS(tblDaily[Discharges],tblDaily[EntryDate],DATE(2026,2,22),tblDaily[WardCode],"NICU")),"")</f>
        <v/>
      </c>
      <c r="D67" s="12">
        <f>IFERROR(IF(SUMIFS(tblDaily[Deaths],tblDaily[EntryDate],DATE(2026,2,22),tblDaily[WardCode],"NICU")=0,"",SUMIFS(tblDaily[Deaths],tblDaily[EntryDate],DATE(2026,2,22),tblDaily[WardCode],"NICU")),"")</f>
        <v/>
      </c>
      <c r="E67" s="12">
        <f>IFERROR(IF(SUMIFS(tblDaily[DeathsUnder24Hrs],tblDaily[EntryDate],DATE(2026,2,22),tblDaily[WardCode],"NICU")=0,"",SUMIFS(tblDaily[DeathsUnder24Hrs],tblDaily[EntryDate],DATE(2026,2,22),tblDaily[WardCode],"NICU")),"")</f>
        <v/>
      </c>
      <c r="F67" s="12">
        <f>IFERROR(IF(SUMIFS(tblDaily[TransfersIn],tblDaily[EntryDate],DATE(2026,2,22),tblDaily[WardCode],"NICU")=0,"",SUMIFS(tblDaily[TransfersIn],tblDaily[EntryDate],DATE(2026,2,22),tblDaily[WardCode],"NICU")),"")</f>
        <v/>
      </c>
      <c r="G67" s="12">
        <f>IFERROR(IF(SUMIFS(tblDaily[TransfersOut],tblDaily[EntryDate],DATE(2026,2,22),tblDaily[WardCode],"NICU")=0,"",SUMIFS(tblDaily[TransfersOut],tblDaily[EntryDate],DATE(2026,2,22),tblDaily[WardCode],"NICU")),"")</f>
        <v/>
      </c>
      <c r="H67" s="12">
        <f>IFERROR(IF(SUMIFS(tblDaily[Remaining],tblDaily[EntryDate],DATE(2026,2,22),tblDaily[WardCode],"NICU")=0,"",SUMIFS(tblDaily[Remaining],tblDaily[EntryDate],DATE(2026,2,22),tblDaily[WardCode],"NICU")),"")</f>
        <v/>
      </c>
    </row>
    <row r="68">
      <c r="A68" s="12" t="n">
        <v>23</v>
      </c>
      <c r="B68" s="12">
        <f>IFERROR(IF(SUMIFS(tblDaily[Admissions],tblDaily[EntryDate],DATE(2026,2,23),tblDaily[WardCode],"NICU")=0,"",SUMIFS(tblDaily[Admissions],tblDaily[EntryDate],DATE(2026,2,23),tblDaily[WardCode],"NICU")),"")</f>
        <v/>
      </c>
      <c r="C68" s="12">
        <f>IFERROR(IF(SUMIFS(tblDaily[Discharges],tblDaily[EntryDate],DATE(2026,2,23),tblDaily[WardCode],"NICU")=0,"",SUMIFS(tblDaily[Discharges],tblDaily[EntryDate],DATE(2026,2,23),tblDaily[WardCode],"NICU")),"")</f>
        <v/>
      </c>
      <c r="D68" s="12">
        <f>IFERROR(IF(SUMIFS(tblDaily[Deaths],tblDaily[EntryDate],DATE(2026,2,23),tblDaily[WardCode],"NICU")=0,"",SUMIFS(tblDaily[Deaths],tblDaily[EntryDate],DATE(2026,2,23),tblDaily[WardCode],"NICU")),"")</f>
        <v/>
      </c>
      <c r="E68" s="12">
        <f>IFERROR(IF(SUMIFS(tblDaily[DeathsUnder24Hrs],tblDaily[EntryDate],DATE(2026,2,23),tblDaily[WardCode],"NICU")=0,"",SUMIFS(tblDaily[DeathsUnder24Hrs],tblDaily[EntryDate],DATE(2026,2,23),tblDaily[WardCode],"NICU")),"")</f>
        <v/>
      </c>
      <c r="F68" s="12">
        <f>IFERROR(IF(SUMIFS(tblDaily[TransfersIn],tblDaily[EntryDate],DATE(2026,2,23),tblDaily[WardCode],"NICU")=0,"",SUMIFS(tblDaily[TransfersIn],tblDaily[EntryDate],DATE(2026,2,23),tblDaily[WardCode],"NICU")),"")</f>
        <v/>
      </c>
      <c r="G68" s="12">
        <f>IFERROR(IF(SUMIFS(tblDaily[TransfersOut],tblDaily[EntryDate],DATE(2026,2,23),tblDaily[WardCode],"NICU")=0,"",SUMIFS(tblDaily[TransfersOut],tblDaily[EntryDate],DATE(2026,2,23),tblDaily[WardCode],"NICU")),"")</f>
        <v/>
      </c>
      <c r="H68" s="12">
        <f>IFERROR(IF(SUMIFS(tblDaily[Remaining],tblDaily[EntryDate],DATE(2026,2,23),tblDaily[WardCode],"NICU")=0,"",SUMIFS(tblDaily[Remaining],tblDaily[EntryDate],DATE(2026,2,23),tblDaily[WardCode],"NICU")),"")</f>
        <v/>
      </c>
    </row>
    <row r="69">
      <c r="A69" s="12" t="n">
        <v>24</v>
      </c>
      <c r="B69" s="12">
        <f>IFERROR(IF(SUMIFS(tblDaily[Admissions],tblDaily[EntryDate],DATE(2026,2,24),tblDaily[WardCode],"NICU")=0,"",SUMIFS(tblDaily[Admissions],tblDaily[EntryDate],DATE(2026,2,24),tblDaily[WardCode],"NICU")),"")</f>
        <v/>
      </c>
      <c r="C69" s="12">
        <f>IFERROR(IF(SUMIFS(tblDaily[Discharges],tblDaily[EntryDate],DATE(2026,2,24),tblDaily[WardCode],"NICU")=0,"",SUMIFS(tblDaily[Discharges],tblDaily[EntryDate],DATE(2026,2,24),tblDaily[WardCode],"NICU")),"")</f>
        <v/>
      </c>
      <c r="D69" s="12">
        <f>IFERROR(IF(SUMIFS(tblDaily[Deaths],tblDaily[EntryDate],DATE(2026,2,24),tblDaily[WardCode],"NICU")=0,"",SUMIFS(tblDaily[Deaths],tblDaily[EntryDate],DATE(2026,2,24),tblDaily[WardCode],"NICU")),"")</f>
        <v/>
      </c>
      <c r="E69" s="12">
        <f>IFERROR(IF(SUMIFS(tblDaily[DeathsUnder24Hrs],tblDaily[EntryDate],DATE(2026,2,24),tblDaily[WardCode],"NICU")=0,"",SUMIFS(tblDaily[DeathsUnder24Hrs],tblDaily[EntryDate],DATE(2026,2,24),tblDaily[WardCode],"NICU")),"")</f>
        <v/>
      </c>
      <c r="F69" s="12">
        <f>IFERROR(IF(SUMIFS(tblDaily[TransfersIn],tblDaily[EntryDate],DATE(2026,2,24),tblDaily[WardCode],"NICU")=0,"",SUMIFS(tblDaily[TransfersIn],tblDaily[EntryDate],DATE(2026,2,24),tblDaily[WardCode],"NICU")),"")</f>
        <v/>
      </c>
      <c r="G69" s="12">
        <f>IFERROR(IF(SUMIFS(tblDaily[TransfersOut],tblDaily[EntryDate],DATE(2026,2,24),tblDaily[WardCode],"NICU")=0,"",SUMIFS(tblDaily[TransfersOut],tblDaily[EntryDate],DATE(2026,2,24),tblDaily[WardCode],"NICU")),"")</f>
        <v/>
      </c>
      <c r="H69" s="12">
        <f>IFERROR(IF(SUMIFS(tblDaily[Remaining],tblDaily[EntryDate],DATE(2026,2,24),tblDaily[WardCode],"NICU")=0,"",SUMIFS(tblDaily[Remaining],tblDaily[EntryDate],DATE(2026,2,24),tblDaily[WardCode],"NICU")),"")</f>
        <v/>
      </c>
    </row>
    <row r="70">
      <c r="A70" s="12" t="n">
        <v>25</v>
      </c>
      <c r="B70" s="12">
        <f>IFERROR(IF(SUMIFS(tblDaily[Admissions],tblDaily[EntryDate],DATE(2026,2,25),tblDaily[WardCode],"NICU")=0,"",SUMIFS(tblDaily[Admissions],tblDaily[EntryDate],DATE(2026,2,25),tblDaily[WardCode],"NICU")),"")</f>
        <v/>
      </c>
      <c r="C70" s="12">
        <f>IFERROR(IF(SUMIFS(tblDaily[Discharges],tblDaily[EntryDate],DATE(2026,2,25),tblDaily[WardCode],"NICU")=0,"",SUMIFS(tblDaily[Discharges],tblDaily[EntryDate],DATE(2026,2,25),tblDaily[WardCode],"NICU")),"")</f>
        <v/>
      </c>
      <c r="D70" s="12">
        <f>IFERROR(IF(SUMIFS(tblDaily[Deaths],tblDaily[EntryDate],DATE(2026,2,25),tblDaily[WardCode],"NICU")=0,"",SUMIFS(tblDaily[Deaths],tblDaily[EntryDate],DATE(2026,2,25),tblDaily[WardCode],"NICU")),"")</f>
        <v/>
      </c>
      <c r="E70" s="12">
        <f>IFERROR(IF(SUMIFS(tblDaily[DeathsUnder24Hrs],tblDaily[EntryDate],DATE(2026,2,25),tblDaily[WardCode],"NICU")=0,"",SUMIFS(tblDaily[DeathsUnder24Hrs],tblDaily[EntryDate],DATE(2026,2,25),tblDaily[WardCode],"NICU")),"")</f>
        <v/>
      </c>
      <c r="F70" s="12">
        <f>IFERROR(IF(SUMIFS(tblDaily[TransfersIn],tblDaily[EntryDate],DATE(2026,2,25),tblDaily[WardCode],"NICU")=0,"",SUMIFS(tblDaily[TransfersIn],tblDaily[EntryDate],DATE(2026,2,25),tblDaily[WardCode],"NICU")),"")</f>
        <v/>
      </c>
      <c r="G70" s="12">
        <f>IFERROR(IF(SUMIFS(tblDaily[TransfersOut],tblDaily[EntryDate],DATE(2026,2,25),tblDaily[WardCode],"NICU")=0,"",SUMIFS(tblDaily[TransfersOut],tblDaily[EntryDate],DATE(2026,2,25),tblDaily[WardCode],"NICU")),"")</f>
        <v/>
      </c>
      <c r="H70" s="12">
        <f>IFERROR(IF(SUMIFS(tblDaily[Remaining],tblDaily[EntryDate],DATE(2026,2,25),tblDaily[WardCode],"NICU")=0,"",SUMIFS(tblDaily[Remaining],tblDaily[EntryDate],DATE(2026,2,25),tblDaily[WardCode],"NICU")),"")</f>
        <v/>
      </c>
    </row>
    <row r="71">
      <c r="A71" s="12" t="n">
        <v>26</v>
      </c>
      <c r="B71" s="12">
        <f>IFERROR(IF(SUMIFS(tblDaily[Admissions],tblDaily[EntryDate],DATE(2026,2,26),tblDaily[WardCode],"NICU")=0,"",SUMIFS(tblDaily[Admissions],tblDaily[EntryDate],DATE(2026,2,26),tblDaily[WardCode],"NICU")),"")</f>
        <v/>
      </c>
      <c r="C71" s="12">
        <f>IFERROR(IF(SUMIFS(tblDaily[Discharges],tblDaily[EntryDate],DATE(2026,2,26),tblDaily[WardCode],"NICU")=0,"",SUMIFS(tblDaily[Discharges],tblDaily[EntryDate],DATE(2026,2,26),tblDaily[WardCode],"NICU")),"")</f>
        <v/>
      </c>
      <c r="D71" s="12">
        <f>IFERROR(IF(SUMIFS(tblDaily[Deaths],tblDaily[EntryDate],DATE(2026,2,26),tblDaily[WardCode],"NICU")=0,"",SUMIFS(tblDaily[Deaths],tblDaily[EntryDate],DATE(2026,2,26),tblDaily[WardCode],"NICU")),"")</f>
        <v/>
      </c>
      <c r="E71" s="12">
        <f>IFERROR(IF(SUMIFS(tblDaily[DeathsUnder24Hrs],tblDaily[EntryDate],DATE(2026,2,26),tblDaily[WardCode],"NICU")=0,"",SUMIFS(tblDaily[DeathsUnder24Hrs],tblDaily[EntryDate],DATE(2026,2,26),tblDaily[WardCode],"NICU")),"")</f>
        <v/>
      </c>
      <c r="F71" s="12">
        <f>IFERROR(IF(SUMIFS(tblDaily[TransfersIn],tblDaily[EntryDate],DATE(2026,2,26),tblDaily[WardCode],"NICU")=0,"",SUMIFS(tblDaily[TransfersIn],tblDaily[EntryDate],DATE(2026,2,26),tblDaily[WardCode],"NICU")),"")</f>
        <v/>
      </c>
      <c r="G71" s="12">
        <f>IFERROR(IF(SUMIFS(tblDaily[TransfersOut],tblDaily[EntryDate],DATE(2026,2,26),tblDaily[WardCode],"NICU")=0,"",SUMIFS(tblDaily[TransfersOut],tblDaily[EntryDate],DATE(2026,2,26),tblDaily[WardCode],"NICU")),"")</f>
        <v/>
      </c>
      <c r="H71" s="12">
        <f>IFERROR(IF(SUMIFS(tblDaily[Remaining],tblDaily[EntryDate],DATE(2026,2,26),tblDaily[WardCode],"NICU")=0,"",SUMIFS(tblDaily[Remaining],tblDaily[EntryDate],DATE(2026,2,26),tblDaily[WardCode],"NICU")),"")</f>
        <v/>
      </c>
    </row>
    <row r="72">
      <c r="A72" s="12" t="n">
        <v>27</v>
      </c>
      <c r="B72" s="12">
        <f>IFERROR(IF(SUMIFS(tblDaily[Admissions],tblDaily[EntryDate],DATE(2026,2,27),tblDaily[WardCode],"NICU")=0,"",SUMIFS(tblDaily[Admissions],tblDaily[EntryDate],DATE(2026,2,27),tblDaily[WardCode],"NICU")),"")</f>
        <v/>
      </c>
      <c r="C72" s="12">
        <f>IFERROR(IF(SUMIFS(tblDaily[Discharges],tblDaily[EntryDate],DATE(2026,2,27),tblDaily[WardCode],"NICU")=0,"",SUMIFS(tblDaily[Discharges],tblDaily[EntryDate],DATE(2026,2,27),tblDaily[WardCode],"NICU")),"")</f>
        <v/>
      </c>
      <c r="D72" s="12">
        <f>IFERROR(IF(SUMIFS(tblDaily[Deaths],tblDaily[EntryDate],DATE(2026,2,27),tblDaily[WardCode],"NICU")=0,"",SUMIFS(tblDaily[Deaths],tblDaily[EntryDate],DATE(2026,2,27),tblDaily[WardCode],"NICU")),"")</f>
        <v/>
      </c>
      <c r="E72" s="12">
        <f>IFERROR(IF(SUMIFS(tblDaily[DeathsUnder24Hrs],tblDaily[EntryDate],DATE(2026,2,27),tblDaily[WardCode],"NICU")=0,"",SUMIFS(tblDaily[DeathsUnder24Hrs],tblDaily[EntryDate],DATE(2026,2,27),tblDaily[WardCode],"NICU")),"")</f>
        <v/>
      </c>
      <c r="F72" s="12">
        <f>IFERROR(IF(SUMIFS(tblDaily[TransfersIn],tblDaily[EntryDate],DATE(2026,2,27),tblDaily[WardCode],"NICU")=0,"",SUMIFS(tblDaily[TransfersIn],tblDaily[EntryDate],DATE(2026,2,27),tblDaily[WardCode],"NICU")),"")</f>
        <v/>
      </c>
      <c r="G72" s="12">
        <f>IFERROR(IF(SUMIFS(tblDaily[TransfersOut],tblDaily[EntryDate],DATE(2026,2,27),tblDaily[WardCode],"NICU")=0,"",SUMIFS(tblDaily[TransfersOut],tblDaily[EntryDate],DATE(2026,2,27),tblDaily[WardCode],"NICU")),"")</f>
        <v/>
      </c>
      <c r="H72" s="12">
        <f>IFERROR(IF(SUMIFS(tblDaily[Remaining],tblDaily[EntryDate],DATE(2026,2,27),tblDaily[WardCode],"NICU")=0,"",SUMIFS(tblDaily[Remaining],tblDaily[EntryDate],DATE(2026,2,27),tblDaily[WardCode],"NICU")),"")</f>
        <v/>
      </c>
    </row>
    <row r="73">
      <c r="A73" s="12" t="n">
        <v>28</v>
      </c>
      <c r="B73" s="12">
        <f>IFERROR(IF(SUMIFS(tblDaily[Admissions],tblDaily[EntryDate],DATE(2026,2,28),tblDaily[WardCode],"NICU")=0,"",SUMIFS(tblDaily[Admissions],tblDaily[EntryDate],DATE(2026,2,28),tblDaily[WardCode],"NICU")),"")</f>
        <v/>
      </c>
      <c r="C73" s="12">
        <f>IFERROR(IF(SUMIFS(tblDaily[Discharges],tblDaily[EntryDate],DATE(2026,2,28),tblDaily[WardCode],"NICU")=0,"",SUMIFS(tblDaily[Discharges],tblDaily[EntryDate],DATE(2026,2,28),tblDaily[WardCode],"NICU")),"")</f>
        <v/>
      </c>
      <c r="D73" s="12">
        <f>IFERROR(IF(SUMIFS(tblDaily[Deaths],tblDaily[EntryDate],DATE(2026,2,28),tblDaily[WardCode],"NICU")=0,"",SUMIFS(tblDaily[Deaths],tblDaily[EntryDate],DATE(2026,2,28),tblDaily[WardCode],"NICU")),"")</f>
        <v/>
      </c>
      <c r="E73" s="12">
        <f>IFERROR(IF(SUMIFS(tblDaily[DeathsUnder24Hrs],tblDaily[EntryDate],DATE(2026,2,28),tblDaily[WardCode],"NICU")=0,"",SUMIFS(tblDaily[DeathsUnder24Hrs],tblDaily[EntryDate],DATE(2026,2,28),tblDaily[WardCode],"NICU")),"")</f>
        <v/>
      </c>
      <c r="F73" s="12">
        <f>IFERROR(IF(SUMIFS(tblDaily[TransfersIn],tblDaily[EntryDate],DATE(2026,2,28),tblDaily[WardCode],"NICU")=0,"",SUMIFS(tblDaily[TransfersIn],tblDaily[EntryDate],DATE(2026,2,28),tblDaily[WardCode],"NICU")),"")</f>
        <v/>
      </c>
      <c r="G73" s="12">
        <f>IFERROR(IF(SUMIFS(tblDaily[TransfersOut],tblDaily[EntryDate],DATE(2026,2,28),tblDaily[WardCode],"NICU")=0,"",SUMIFS(tblDaily[TransfersOut],tblDaily[EntryDate],DATE(2026,2,28),tblDaily[WardCode],"NICU")),"")</f>
        <v/>
      </c>
      <c r="H73" s="12">
        <f>IFERROR(IF(SUMIFS(tblDaily[Remaining],tblDaily[EntryDate],DATE(2026,2,28),tblDaily[WardCode],"NICU")=0,"",SUMIFS(tblDaily[Remaining],tblDaily[EntryDate],DATE(2026,2,28),tblDaily[WardCode],"NICU")),"")</f>
        <v/>
      </c>
    </row>
    <row r="74">
      <c r="A74" s="12" t="n">
        <v>29</v>
      </c>
      <c r="B74" s="18" t="n"/>
      <c r="C74" s="18" t="n"/>
      <c r="D74" s="18" t="n"/>
      <c r="E74" s="18" t="n"/>
      <c r="F74" s="18" t="n"/>
      <c r="G74" s="18" t="n"/>
      <c r="H74" s="18" t="n"/>
    </row>
    <row r="75">
      <c r="A75" s="12" t="n">
        <v>30</v>
      </c>
      <c r="B75" s="18" t="n"/>
      <c r="C75" s="18" t="n"/>
      <c r="D75" s="18" t="n"/>
      <c r="E75" s="18" t="n"/>
      <c r="F75" s="18" t="n"/>
      <c r="G75" s="18" t="n"/>
      <c r="H75" s="18" t="n"/>
    </row>
    <row r="76">
      <c r="A76" s="12" t="n">
        <v>31</v>
      </c>
      <c r="B76" s="18" t="n"/>
      <c r="C76" s="18" t="n"/>
      <c r="D76" s="18" t="n"/>
      <c r="E76" s="18" t="n"/>
      <c r="F76" s="18" t="n"/>
      <c r="G76" s="18" t="n"/>
      <c r="H76" s="18" t="n"/>
    </row>
    <row r="77">
      <c r="A77" s="17" t="inlineStr">
        <is>
          <t>TOTAL</t>
        </is>
      </c>
      <c r="B77" s="17">
        <f>SUMIFS(tblDaily[Admissions],tblDaily[Month],2,tblDaily[WardCode],"NICU") - SUMIFS(tblDaily[DeathsUnder24Hrs],tblDaily[Month],2,tblDaily[WardCode],"NICU")</f>
        <v/>
      </c>
      <c r="C77" s="17">
        <f>SUMIFS(tblDaily[Discharges],tblDaily[Month],2,tblDaily[WardCode],"NICU")</f>
        <v/>
      </c>
      <c r="D77" s="17">
        <f>SUMIFS(tblDaily[Deaths],tblDaily[Month],2,tblDaily[WardCode],"NICU")</f>
        <v/>
      </c>
      <c r="E77" s="17">
        <f>SUMIFS(tblDaily[DeathsUnder24Hrs],tblDaily[Month],2,tblDaily[WardCode],"NICU")</f>
        <v/>
      </c>
      <c r="F77" s="17">
        <f>SUMIFS(tblDaily[TransfersIn],tblDaily[Month],2,tblDaily[WardCode],"NICU")</f>
        <v/>
      </c>
      <c r="G77" s="17">
        <f>SUMIFS(tblDaily[TransfersOut],tblDaily[Month],2,tblDaily[WardCode],"NICU")</f>
        <v/>
      </c>
      <c r="H77" s="17">
        <f>SUMIFS(tblDaily[Remaining],tblDaily[Month],2,tblDaily[WardCode],"NICU")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NEONATAL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4">
        <f>IFERROR(SUMIFS(tblDaily[Remaining],tblDaily[EntryDate],DATE(2026,2,28),tblDaily[WardCode],"NICU"),0)</f>
        <v/>
      </c>
    </row>
    <row r="83">
      <c r="A83" s="4" t="inlineStr">
        <is>
          <t>Bed complement</t>
        </is>
      </c>
      <c r="H83" s="15">
        <f>IFERROR(INDEX(tblWardConfig[BedComplement],MATCH("NICU",tblWardConfig[WardCode],0)),0)</f>
        <v/>
      </c>
    </row>
    <row r="84">
      <c r="A84" s="16" t="inlineStr">
        <is>
          <t>Day of
the
Month</t>
        </is>
      </c>
      <c r="B84" s="16" t="inlineStr">
        <is>
          <t>Admissions</t>
        </is>
      </c>
      <c r="C84" s="16" t="inlineStr">
        <is>
          <t>Discharges</t>
        </is>
      </c>
      <c r="D84" s="16" t="inlineStr">
        <is>
          <t>Deaths</t>
        </is>
      </c>
      <c r="E84" s="16" t="inlineStr">
        <is>
          <t>Deaths
&lt;24Hrs</t>
        </is>
      </c>
      <c r="F84" s="16" t="inlineStr">
        <is>
          <t>Transfers-
In</t>
        </is>
      </c>
      <c r="G84" s="16" t="inlineStr">
        <is>
          <t>Transfers-
Out</t>
        </is>
      </c>
      <c r="H84" s="16" t="inlineStr">
        <is>
          <t>No. of Patients
Remaining In
Ward</t>
        </is>
      </c>
    </row>
    <row r="85">
      <c r="A85" s="12" t="n">
        <v>1</v>
      </c>
      <c r="B85" s="12">
        <f>IFERROR(IF(SUMIFS(tblDaily[Admissions],tblDaily[EntryDate],DATE(2026,3,1),tblDaily[WardCode],"NICU")=0,"",SUMIFS(tblDaily[Admissions],tblDaily[EntryDate],DATE(2026,3,1),tblDaily[WardCode],"NICU")),"")</f>
        <v/>
      </c>
      <c r="C85" s="12">
        <f>IFERROR(IF(SUMIFS(tblDaily[Discharges],tblDaily[EntryDate],DATE(2026,3,1),tblDaily[WardCode],"NICU")=0,"",SUMIFS(tblDaily[Discharges],tblDaily[EntryDate],DATE(2026,3,1),tblDaily[WardCode],"NICU")),"")</f>
        <v/>
      </c>
      <c r="D85" s="12">
        <f>IFERROR(IF(SUMIFS(tblDaily[Deaths],tblDaily[EntryDate],DATE(2026,3,1),tblDaily[WardCode],"NICU")=0,"",SUMIFS(tblDaily[Deaths],tblDaily[EntryDate],DATE(2026,3,1),tblDaily[WardCode],"NICU")),"")</f>
        <v/>
      </c>
      <c r="E85" s="12">
        <f>IFERROR(IF(SUMIFS(tblDaily[DeathsUnder24Hrs],tblDaily[EntryDate],DATE(2026,3,1),tblDaily[WardCode],"NICU")=0,"",SUMIFS(tblDaily[DeathsUnder24Hrs],tblDaily[EntryDate],DATE(2026,3,1),tblDaily[WardCode],"NICU")),"")</f>
        <v/>
      </c>
      <c r="F85" s="12">
        <f>IFERROR(IF(SUMIFS(tblDaily[TransfersIn],tblDaily[EntryDate],DATE(2026,3,1),tblDaily[WardCode],"NICU")=0,"",SUMIFS(tblDaily[TransfersIn],tblDaily[EntryDate],DATE(2026,3,1),tblDaily[WardCode],"NICU")),"")</f>
        <v/>
      </c>
      <c r="G85" s="12">
        <f>IFERROR(IF(SUMIFS(tblDaily[TransfersOut],tblDaily[EntryDate],DATE(2026,3,1),tblDaily[WardCode],"NICU")=0,"",SUMIFS(tblDaily[TransfersOut],tblDaily[EntryDate],DATE(2026,3,1),tblDaily[WardCode],"NICU")),"")</f>
        <v/>
      </c>
      <c r="H85" s="12">
        <f>IFERROR(IF(SUMIFS(tblDaily[Remaining],tblDaily[EntryDate],DATE(2026,3,1),tblDaily[WardCode],"NICU")=0,"",SUMIFS(tblDaily[Remaining],tblDaily[EntryDate],DATE(2026,3,1),tblDaily[WardCode],"NICU")),"")</f>
        <v/>
      </c>
    </row>
    <row r="86">
      <c r="A86" s="12" t="n">
        <v>2</v>
      </c>
      <c r="B86" s="12">
        <f>IFERROR(IF(SUMIFS(tblDaily[Admissions],tblDaily[EntryDate],DATE(2026,3,2),tblDaily[WardCode],"NICU")=0,"",SUMIFS(tblDaily[Admissions],tblDaily[EntryDate],DATE(2026,3,2),tblDaily[WardCode],"NICU")),"")</f>
        <v/>
      </c>
      <c r="C86" s="12">
        <f>IFERROR(IF(SUMIFS(tblDaily[Discharges],tblDaily[EntryDate],DATE(2026,3,2),tblDaily[WardCode],"NICU")=0,"",SUMIFS(tblDaily[Discharges],tblDaily[EntryDate],DATE(2026,3,2),tblDaily[WardCode],"NICU")),"")</f>
        <v/>
      </c>
      <c r="D86" s="12">
        <f>IFERROR(IF(SUMIFS(tblDaily[Deaths],tblDaily[EntryDate],DATE(2026,3,2),tblDaily[WardCode],"NICU")=0,"",SUMIFS(tblDaily[Deaths],tblDaily[EntryDate],DATE(2026,3,2),tblDaily[WardCode],"NICU")),"")</f>
        <v/>
      </c>
      <c r="E86" s="12">
        <f>IFERROR(IF(SUMIFS(tblDaily[DeathsUnder24Hrs],tblDaily[EntryDate],DATE(2026,3,2),tblDaily[WardCode],"NICU")=0,"",SUMIFS(tblDaily[DeathsUnder24Hrs],tblDaily[EntryDate],DATE(2026,3,2),tblDaily[WardCode],"NICU")),"")</f>
        <v/>
      </c>
      <c r="F86" s="12">
        <f>IFERROR(IF(SUMIFS(tblDaily[TransfersIn],tblDaily[EntryDate],DATE(2026,3,2),tblDaily[WardCode],"NICU")=0,"",SUMIFS(tblDaily[TransfersIn],tblDaily[EntryDate],DATE(2026,3,2),tblDaily[WardCode],"NICU")),"")</f>
        <v/>
      </c>
      <c r="G86" s="12">
        <f>IFERROR(IF(SUMIFS(tblDaily[TransfersOut],tblDaily[EntryDate],DATE(2026,3,2),tblDaily[WardCode],"NICU")=0,"",SUMIFS(tblDaily[TransfersOut],tblDaily[EntryDate],DATE(2026,3,2),tblDaily[WardCode],"NICU")),"")</f>
        <v/>
      </c>
      <c r="H86" s="12">
        <f>IFERROR(IF(SUMIFS(tblDaily[Remaining],tblDaily[EntryDate],DATE(2026,3,2),tblDaily[WardCode],"NICU")=0,"",SUMIFS(tblDaily[Remaining],tblDaily[EntryDate],DATE(2026,3,2),tblDaily[WardCode],"NICU")),"")</f>
        <v/>
      </c>
    </row>
    <row r="87">
      <c r="A87" s="12" t="n">
        <v>3</v>
      </c>
      <c r="B87" s="12">
        <f>IFERROR(IF(SUMIFS(tblDaily[Admissions],tblDaily[EntryDate],DATE(2026,3,3),tblDaily[WardCode],"NICU")=0,"",SUMIFS(tblDaily[Admissions],tblDaily[EntryDate],DATE(2026,3,3),tblDaily[WardCode],"NICU")),"")</f>
        <v/>
      </c>
      <c r="C87" s="12">
        <f>IFERROR(IF(SUMIFS(tblDaily[Discharges],tblDaily[EntryDate],DATE(2026,3,3),tblDaily[WardCode],"NICU")=0,"",SUMIFS(tblDaily[Discharges],tblDaily[EntryDate],DATE(2026,3,3),tblDaily[WardCode],"NICU")),"")</f>
        <v/>
      </c>
      <c r="D87" s="12">
        <f>IFERROR(IF(SUMIFS(tblDaily[Deaths],tblDaily[EntryDate],DATE(2026,3,3),tblDaily[WardCode],"NICU")=0,"",SUMIFS(tblDaily[Deaths],tblDaily[EntryDate],DATE(2026,3,3),tblDaily[WardCode],"NICU")),"")</f>
        <v/>
      </c>
      <c r="E87" s="12">
        <f>IFERROR(IF(SUMIFS(tblDaily[DeathsUnder24Hrs],tblDaily[EntryDate],DATE(2026,3,3),tblDaily[WardCode],"NICU")=0,"",SUMIFS(tblDaily[DeathsUnder24Hrs],tblDaily[EntryDate],DATE(2026,3,3),tblDaily[WardCode],"NICU")),"")</f>
        <v/>
      </c>
      <c r="F87" s="12">
        <f>IFERROR(IF(SUMIFS(tblDaily[TransfersIn],tblDaily[EntryDate],DATE(2026,3,3),tblDaily[WardCode],"NICU")=0,"",SUMIFS(tblDaily[TransfersIn],tblDaily[EntryDate],DATE(2026,3,3),tblDaily[WardCode],"NICU")),"")</f>
        <v/>
      </c>
      <c r="G87" s="12">
        <f>IFERROR(IF(SUMIFS(tblDaily[TransfersOut],tblDaily[EntryDate],DATE(2026,3,3),tblDaily[WardCode],"NICU")=0,"",SUMIFS(tblDaily[TransfersOut],tblDaily[EntryDate],DATE(2026,3,3),tblDaily[WardCode],"NICU")),"")</f>
        <v/>
      </c>
      <c r="H87" s="12">
        <f>IFERROR(IF(SUMIFS(tblDaily[Remaining],tblDaily[EntryDate],DATE(2026,3,3),tblDaily[WardCode],"NICU")=0,"",SUMIFS(tblDaily[Remaining],tblDaily[EntryDate],DATE(2026,3,3),tblDaily[WardCode],"NICU")),"")</f>
        <v/>
      </c>
    </row>
    <row r="88">
      <c r="A88" s="12" t="n">
        <v>4</v>
      </c>
      <c r="B88" s="12">
        <f>IFERROR(IF(SUMIFS(tblDaily[Admissions],tblDaily[EntryDate],DATE(2026,3,4),tblDaily[WardCode],"NICU")=0,"",SUMIFS(tblDaily[Admissions],tblDaily[EntryDate],DATE(2026,3,4),tblDaily[WardCode],"NICU")),"")</f>
        <v/>
      </c>
      <c r="C88" s="12">
        <f>IFERROR(IF(SUMIFS(tblDaily[Discharges],tblDaily[EntryDate],DATE(2026,3,4),tblDaily[WardCode],"NICU")=0,"",SUMIFS(tblDaily[Discharges],tblDaily[EntryDate],DATE(2026,3,4),tblDaily[WardCode],"NICU")),"")</f>
        <v/>
      </c>
      <c r="D88" s="12">
        <f>IFERROR(IF(SUMIFS(tblDaily[Deaths],tblDaily[EntryDate],DATE(2026,3,4),tblDaily[WardCode],"NICU")=0,"",SUMIFS(tblDaily[Deaths],tblDaily[EntryDate],DATE(2026,3,4),tblDaily[WardCode],"NICU")),"")</f>
        <v/>
      </c>
      <c r="E88" s="12">
        <f>IFERROR(IF(SUMIFS(tblDaily[DeathsUnder24Hrs],tblDaily[EntryDate],DATE(2026,3,4),tblDaily[WardCode],"NICU")=0,"",SUMIFS(tblDaily[DeathsUnder24Hrs],tblDaily[EntryDate],DATE(2026,3,4),tblDaily[WardCode],"NICU")),"")</f>
        <v/>
      </c>
      <c r="F88" s="12">
        <f>IFERROR(IF(SUMIFS(tblDaily[TransfersIn],tblDaily[EntryDate],DATE(2026,3,4),tblDaily[WardCode],"NICU")=0,"",SUMIFS(tblDaily[TransfersIn],tblDaily[EntryDate],DATE(2026,3,4),tblDaily[WardCode],"NICU")),"")</f>
        <v/>
      </c>
      <c r="G88" s="12">
        <f>IFERROR(IF(SUMIFS(tblDaily[TransfersOut],tblDaily[EntryDate],DATE(2026,3,4),tblDaily[WardCode],"NICU")=0,"",SUMIFS(tblDaily[TransfersOut],tblDaily[EntryDate],DATE(2026,3,4),tblDaily[WardCode],"NICU")),"")</f>
        <v/>
      </c>
      <c r="H88" s="12">
        <f>IFERROR(IF(SUMIFS(tblDaily[Remaining],tblDaily[EntryDate],DATE(2026,3,4),tblDaily[WardCode],"NICU")=0,"",SUMIFS(tblDaily[Remaining],tblDaily[EntryDate],DATE(2026,3,4),tblDaily[WardCode],"NICU")),"")</f>
        <v/>
      </c>
    </row>
    <row r="89">
      <c r="A89" s="12" t="n">
        <v>5</v>
      </c>
      <c r="B89" s="12">
        <f>IFERROR(IF(SUMIFS(tblDaily[Admissions],tblDaily[EntryDate],DATE(2026,3,5),tblDaily[WardCode],"NICU")=0,"",SUMIFS(tblDaily[Admissions],tblDaily[EntryDate],DATE(2026,3,5),tblDaily[WardCode],"NICU")),"")</f>
        <v/>
      </c>
      <c r="C89" s="12">
        <f>IFERROR(IF(SUMIFS(tblDaily[Discharges],tblDaily[EntryDate],DATE(2026,3,5),tblDaily[WardCode],"NICU")=0,"",SUMIFS(tblDaily[Discharges],tblDaily[EntryDate],DATE(2026,3,5),tblDaily[WardCode],"NICU")),"")</f>
        <v/>
      </c>
      <c r="D89" s="12">
        <f>IFERROR(IF(SUMIFS(tblDaily[Deaths],tblDaily[EntryDate],DATE(2026,3,5),tblDaily[WardCode],"NICU")=0,"",SUMIFS(tblDaily[Deaths],tblDaily[EntryDate],DATE(2026,3,5),tblDaily[WardCode],"NICU")),"")</f>
        <v/>
      </c>
      <c r="E89" s="12">
        <f>IFERROR(IF(SUMIFS(tblDaily[DeathsUnder24Hrs],tblDaily[EntryDate],DATE(2026,3,5),tblDaily[WardCode],"NICU")=0,"",SUMIFS(tblDaily[DeathsUnder24Hrs],tblDaily[EntryDate],DATE(2026,3,5),tblDaily[WardCode],"NICU")),"")</f>
        <v/>
      </c>
      <c r="F89" s="12">
        <f>IFERROR(IF(SUMIFS(tblDaily[TransfersIn],tblDaily[EntryDate],DATE(2026,3,5),tblDaily[WardCode],"NICU")=0,"",SUMIFS(tblDaily[TransfersIn],tblDaily[EntryDate],DATE(2026,3,5),tblDaily[WardCode],"NICU")),"")</f>
        <v/>
      </c>
      <c r="G89" s="12">
        <f>IFERROR(IF(SUMIFS(tblDaily[TransfersOut],tblDaily[EntryDate],DATE(2026,3,5),tblDaily[WardCode],"NICU")=0,"",SUMIFS(tblDaily[TransfersOut],tblDaily[EntryDate],DATE(2026,3,5),tblDaily[WardCode],"NICU")),"")</f>
        <v/>
      </c>
      <c r="H89" s="12">
        <f>IFERROR(IF(SUMIFS(tblDaily[Remaining],tblDaily[EntryDate],DATE(2026,3,5),tblDaily[WardCode],"NICU")=0,"",SUMIFS(tblDaily[Remaining],tblDaily[EntryDate],DATE(2026,3,5),tblDaily[WardCode],"NICU")),"")</f>
        <v/>
      </c>
    </row>
    <row r="90">
      <c r="A90" s="12" t="n">
        <v>6</v>
      </c>
      <c r="B90" s="12">
        <f>IFERROR(IF(SUMIFS(tblDaily[Admissions],tblDaily[EntryDate],DATE(2026,3,6),tblDaily[WardCode],"NICU")=0,"",SUMIFS(tblDaily[Admissions],tblDaily[EntryDate],DATE(2026,3,6),tblDaily[WardCode],"NICU")),"")</f>
        <v/>
      </c>
      <c r="C90" s="12">
        <f>IFERROR(IF(SUMIFS(tblDaily[Discharges],tblDaily[EntryDate],DATE(2026,3,6),tblDaily[WardCode],"NICU")=0,"",SUMIFS(tblDaily[Discharges],tblDaily[EntryDate],DATE(2026,3,6),tblDaily[WardCode],"NICU")),"")</f>
        <v/>
      </c>
      <c r="D90" s="12">
        <f>IFERROR(IF(SUMIFS(tblDaily[Deaths],tblDaily[EntryDate],DATE(2026,3,6),tblDaily[WardCode],"NICU")=0,"",SUMIFS(tblDaily[Deaths],tblDaily[EntryDate],DATE(2026,3,6),tblDaily[WardCode],"NICU")),"")</f>
        <v/>
      </c>
      <c r="E90" s="12">
        <f>IFERROR(IF(SUMIFS(tblDaily[DeathsUnder24Hrs],tblDaily[EntryDate],DATE(2026,3,6),tblDaily[WardCode],"NICU")=0,"",SUMIFS(tblDaily[DeathsUnder24Hrs],tblDaily[EntryDate],DATE(2026,3,6),tblDaily[WardCode],"NICU")),"")</f>
        <v/>
      </c>
      <c r="F90" s="12">
        <f>IFERROR(IF(SUMIFS(tblDaily[TransfersIn],tblDaily[EntryDate],DATE(2026,3,6),tblDaily[WardCode],"NICU")=0,"",SUMIFS(tblDaily[TransfersIn],tblDaily[EntryDate],DATE(2026,3,6),tblDaily[WardCode],"NICU")),"")</f>
        <v/>
      </c>
      <c r="G90" s="12">
        <f>IFERROR(IF(SUMIFS(tblDaily[TransfersOut],tblDaily[EntryDate],DATE(2026,3,6),tblDaily[WardCode],"NICU")=0,"",SUMIFS(tblDaily[TransfersOut],tblDaily[EntryDate],DATE(2026,3,6),tblDaily[WardCode],"NICU")),"")</f>
        <v/>
      </c>
      <c r="H90" s="12">
        <f>IFERROR(IF(SUMIFS(tblDaily[Remaining],tblDaily[EntryDate],DATE(2026,3,6),tblDaily[WardCode],"NICU")=0,"",SUMIFS(tblDaily[Remaining],tblDaily[EntryDate],DATE(2026,3,6),tblDaily[WardCode],"NICU")),"")</f>
        <v/>
      </c>
    </row>
    <row r="91">
      <c r="A91" s="12" t="n">
        <v>7</v>
      </c>
      <c r="B91" s="12">
        <f>IFERROR(IF(SUMIFS(tblDaily[Admissions],tblDaily[EntryDate],DATE(2026,3,7),tblDaily[WardCode],"NICU")=0,"",SUMIFS(tblDaily[Admissions],tblDaily[EntryDate],DATE(2026,3,7),tblDaily[WardCode],"NICU")),"")</f>
        <v/>
      </c>
      <c r="C91" s="12">
        <f>IFERROR(IF(SUMIFS(tblDaily[Discharges],tblDaily[EntryDate],DATE(2026,3,7),tblDaily[WardCode],"NICU")=0,"",SUMIFS(tblDaily[Discharges],tblDaily[EntryDate],DATE(2026,3,7),tblDaily[WardCode],"NICU")),"")</f>
        <v/>
      </c>
      <c r="D91" s="12">
        <f>IFERROR(IF(SUMIFS(tblDaily[Deaths],tblDaily[EntryDate],DATE(2026,3,7),tblDaily[WardCode],"NICU")=0,"",SUMIFS(tblDaily[Deaths],tblDaily[EntryDate],DATE(2026,3,7),tblDaily[WardCode],"NICU")),"")</f>
        <v/>
      </c>
      <c r="E91" s="12">
        <f>IFERROR(IF(SUMIFS(tblDaily[DeathsUnder24Hrs],tblDaily[EntryDate],DATE(2026,3,7),tblDaily[WardCode],"NICU")=0,"",SUMIFS(tblDaily[DeathsUnder24Hrs],tblDaily[EntryDate],DATE(2026,3,7),tblDaily[WardCode],"NICU")),"")</f>
        <v/>
      </c>
      <c r="F91" s="12">
        <f>IFERROR(IF(SUMIFS(tblDaily[TransfersIn],tblDaily[EntryDate],DATE(2026,3,7),tblDaily[WardCode],"NICU")=0,"",SUMIFS(tblDaily[TransfersIn],tblDaily[EntryDate],DATE(2026,3,7),tblDaily[WardCode],"NICU")),"")</f>
        <v/>
      </c>
      <c r="G91" s="12">
        <f>IFERROR(IF(SUMIFS(tblDaily[TransfersOut],tblDaily[EntryDate],DATE(2026,3,7),tblDaily[WardCode],"NICU")=0,"",SUMIFS(tblDaily[TransfersOut],tblDaily[EntryDate],DATE(2026,3,7),tblDaily[WardCode],"NICU")),"")</f>
        <v/>
      </c>
      <c r="H91" s="12">
        <f>IFERROR(IF(SUMIFS(tblDaily[Remaining],tblDaily[EntryDate],DATE(2026,3,7),tblDaily[WardCode],"NICU")=0,"",SUMIFS(tblDaily[Remaining],tblDaily[EntryDate],DATE(2026,3,7),tblDaily[WardCode],"NICU")),"")</f>
        <v/>
      </c>
    </row>
    <row r="92">
      <c r="A92" s="12" t="n">
        <v>8</v>
      </c>
      <c r="B92" s="12">
        <f>IFERROR(IF(SUMIFS(tblDaily[Admissions],tblDaily[EntryDate],DATE(2026,3,8),tblDaily[WardCode],"NICU")=0,"",SUMIFS(tblDaily[Admissions],tblDaily[EntryDate],DATE(2026,3,8),tblDaily[WardCode],"NICU")),"")</f>
        <v/>
      </c>
      <c r="C92" s="12">
        <f>IFERROR(IF(SUMIFS(tblDaily[Discharges],tblDaily[EntryDate],DATE(2026,3,8),tblDaily[WardCode],"NICU")=0,"",SUMIFS(tblDaily[Discharges],tblDaily[EntryDate],DATE(2026,3,8),tblDaily[WardCode],"NICU")),"")</f>
        <v/>
      </c>
      <c r="D92" s="12">
        <f>IFERROR(IF(SUMIFS(tblDaily[Deaths],tblDaily[EntryDate],DATE(2026,3,8),tblDaily[WardCode],"NICU")=0,"",SUMIFS(tblDaily[Deaths],tblDaily[EntryDate],DATE(2026,3,8),tblDaily[WardCode],"NICU")),"")</f>
        <v/>
      </c>
      <c r="E92" s="12">
        <f>IFERROR(IF(SUMIFS(tblDaily[DeathsUnder24Hrs],tblDaily[EntryDate],DATE(2026,3,8),tblDaily[WardCode],"NICU")=0,"",SUMIFS(tblDaily[DeathsUnder24Hrs],tblDaily[EntryDate],DATE(2026,3,8),tblDaily[WardCode],"NICU")),"")</f>
        <v/>
      </c>
      <c r="F92" s="12">
        <f>IFERROR(IF(SUMIFS(tblDaily[TransfersIn],tblDaily[EntryDate],DATE(2026,3,8),tblDaily[WardCode],"NICU")=0,"",SUMIFS(tblDaily[TransfersIn],tblDaily[EntryDate],DATE(2026,3,8),tblDaily[WardCode],"NICU")),"")</f>
        <v/>
      </c>
      <c r="G92" s="12">
        <f>IFERROR(IF(SUMIFS(tblDaily[TransfersOut],tblDaily[EntryDate],DATE(2026,3,8),tblDaily[WardCode],"NICU")=0,"",SUMIFS(tblDaily[TransfersOut],tblDaily[EntryDate],DATE(2026,3,8),tblDaily[WardCode],"NICU")),"")</f>
        <v/>
      </c>
      <c r="H92" s="12">
        <f>IFERROR(IF(SUMIFS(tblDaily[Remaining],tblDaily[EntryDate],DATE(2026,3,8),tblDaily[WardCode],"NICU")=0,"",SUMIFS(tblDaily[Remaining],tblDaily[EntryDate],DATE(2026,3,8),tblDaily[WardCode],"NICU")),"")</f>
        <v/>
      </c>
    </row>
    <row r="93">
      <c r="A93" s="12" t="n">
        <v>9</v>
      </c>
      <c r="B93" s="12">
        <f>IFERROR(IF(SUMIFS(tblDaily[Admissions],tblDaily[EntryDate],DATE(2026,3,9),tblDaily[WardCode],"NICU")=0,"",SUMIFS(tblDaily[Admissions],tblDaily[EntryDate],DATE(2026,3,9),tblDaily[WardCode],"NICU")),"")</f>
        <v/>
      </c>
      <c r="C93" s="12">
        <f>IFERROR(IF(SUMIFS(tblDaily[Discharges],tblDaily[EntryDate],DATE(2026,3,9),tblDaily[WardCode],"NICU")=0,"",SUMIFS(tblDaily[Discharges],tblDaily[EntryDate],DATE(2026,3,9),tblDaily[WardCode],"NICU")),"")</f>
        <v/>
      </c>
      <c r="D93" s="12">
        <f>IFERROR(IF(SUMIFS(tblDaily[Deaths],tblDaily[EntryDate],DATE(2026,3,9),tblDaily[WardCode],"NICU")=0,"",SUMIFS(tblDaily[Deaths],tblDaily[EntryDate],DATE(2026,3,9),tblDaily[WardCode],"NICU")),"")</f>
        <v/>
      </c>
      <c r="E93" s="12">
        <f>IFERROR(IF(SUMIFS(tblDaily[DeathsUnder24Hrs],tblDaily[EntryDate],DATE(2026,3,9),tblDaily[WardCode],"NICU")=0,"",SUMIFS(tblDaily[DeathsUnder24Hrs],tblDaily[EntryDate],DATE(2026,3,9),tblDaily[WardCode],"NICU")),"")</f>
        <v/>
      </c>
      <c r="F93" s="12">
        <f>IFERROR(IF(SUMIFS(tblDaily[TransfersIn],tblDaily[EntryDate],DATE(2026,3,9),tblDaily[WardCode],"NICU")=0,"",SUMIFS(tblDaily[TransfersIn],tblDaily[EntryDate],DATE(2026,3,9),tblDaily[WardCode],"NICU")),"")</f>
        <v/>
      </c>
      <c r="G93" s="12">
        <f>IFERROR(IF(SUMIFS(tblDaily[TransfersOut],tblDaily[EntryDate],DATE(2026,3,9),tblDaily[WardCode],"NICU")=0,"",SUMIFS(tblDaily[TransfersOut],tblDaily[EntryDate],DATE(2026,3,9),tblDaily[WardCode],"NICU")),"")</f>
        <v/>
      </c>
      <c r="H93" s="12">
        <f>IFERROR(IF(SUMIFS(tblDaily[Remaining],tblDaily[EntryDate],DATE(2026,3,9),tblDaily[WardCode],"NICU")=0,"",SUMIFS(tblDaily[Remaining],tblDaily[EntryDate],DATE(2026,3,9),tblDaily[WardCode],"NICU")),"")</f>
        <v/>
      </c>
    </row>
    <row r="94">
      <c r="A94" s="12" t="n">
        <v>10</v>
      </c>
      <c r="B94" s="12">
        <f>IFERROR(IF(SUMIFS(tblDaily[Admissions],tblDaily[EntryDate],DATE(2026,3,10),tblDaily[WardCode],"NICU")=0,"",SUMIFS(tblDaily[Admissions],tblDaily[EntryDate],DATE(2026,3,10),tblDaily[WardCode],"NICU")),"")</f>
        <v/>
      </c>
      <c r="C94" s="12">
        <f>IFERROR(IF(SUMIFS(tblDaily[Discharges],tblDaily[EntryDate],DATE(2026,3,10),tblDaily[WardCode],"NICU")=0,"",SUMIFS(tblDaily[Discharges],tblDaily[EntryDate],DATE(2026,3,10),tblDaily[WardCode],"NICU")),"")</f>
        <v/>
      </c>
      <c r="D94" s="12">
        <f>IFERROR(IF(SUMIFS(tblDaily[Deaths],tblDaily[EntryDate],DATE(2026,3,10),tblDaily[WardCode],"NICU")=0,"",SUMIFS(tblDaily[Deaths],tblDaily[EntryDate],DATE(2026,3,10),tblDaily[WardCode],"NICU")),"")</f>
        <v/>
      </c>
      <c r="E94" s="12">
        <f>IFERROR(IF(SUMIFS(tblDaily[DeathsUnder24Hrs],tblDaily[EntryDate],DATE(2026,3,10),tblDaily[WardCode],"NICU")=0,"",SUMIFS(tblDaily[DeathsUnder24Hrs],tblDaily[EntryDate],DATE(2026,3,10),tblDaily[WardCode],"NICU")),"")</f>
        <v/>
      </c>
      <c r="F94" s="12">
        <f>IFERROR(IF(SUMIFS(tblDaily[TransfersIn],tblDaily[EntryDate],DATE(2026,3,10),tblDaily[WardCode],"NICU")=0,"",SUMIFS(tblDaily[TransfersIn],tblDaily[EntryDate],DATE(2026,3,10),tblDaily[WardCode],"NICU")),"")</f>
        <v/>
      </c>
      <c r="G94" s="12">
        <f>IFERROR(IF(SUMIFS(tblDaily[TransfersOut],tblDaily[EntryDate],DATE(2026,3,10),tblDaily[WardCode],"NICU")=0,"",SUMIFS(tblDaily[TransfersOut],tblDaily[EntryDate],DATE(2026,3,10),tblDaily[WardCode],"NICU")),"")</f>
        <v/>
      </c>
      <c r="H94" s="12">
        <f>IFERROR(IF(SUMIFS(tblDaily[Remaining],tblDaily[EntryDate],DATE(2026,3,10),tblDaily[WardCode],"NICU")=0,"",SUMIFS(tblDaily[Remaining],tblDaily[EntryDate],DATE(2026,3,10),tblDaily[WardCode],"NICU")),"")</f>
        <v/>
      </c>
    </row>
    <row r="95">
      <c r="A95" s="12" t="n">
        <v>11</v>
      </c>
      <c r="B95" s="12">
        <f>IFERROR(IF(SUMIFS(tblDaily[Admissions],tblDaily[EntryDate],DATE(2026,3,11),tblDaily[WardCode],"NICU")=0,"",SUMIFS(tblDaily[Admissions],tblDaily[EntryDate],DATE(2026,3,11),tblDaily[WardCode],"NICU")),"")</f>
        <v/>
      </c>
      <c r="C95" s="12">
        <f>IFERROR(IF(SUMIFS(tblDaily[Discharges],tblDaily[EntryDate],DATE(2026,3,11),tblDaily[WardCode],"NICU")=0,"",SUMIFS(tblDaily[Discharges],tblDaily[EntryDate],DATE(2026,3,11),tblDaily[WardCode],"NICU")),"")</f>
        <v/>
      </c>
      <c r="D95" s="12">
        <f>IFERROR(IF(SUMIFS(tblDaily[Deaths],tblDaily[EntryDate],DATE(2026,3,11),tblDaily[WardCode],"NICU")=0,"",SUMIFS(tblDaily[Deaths],tblDaily[EntryDate],DATE(2026,3,11),tblDaily[WardCode],"NICU")),"")</f>
        <v/>
      </c>
      <c r="E95" s="12">
        <f>IFERROR(IF(SUMIFS(tblDaily[DeathsUnder24Hrs],tblDaily[EntryDate],DATE(2026,3,11),tblDaily[WardCode],"NICU")=0,"",SUMIFS(tblDaily[DeathsUnder24Hrs],tblDaily[EntryDate],DATE(2026,3,11),tblDaily[WardCode],"NICU")),"")</f>
        <v/>
      </c>
      <c r="F95" s="12">
        <f>IFERROR(IF(SUMIFS(tblDaily[TransfersIn],tblDaily[EntryDate],DATE(2026,3,11),tblDaily[WardCode],"NICU")=0,"",SUMIFS(tblDaily[TransfersIn],tblDaily[EntryDate],DATE(2026,3,11),tblDaily[WardCode],"NICU")),"")</f>
        <v/>
      </c>
      <c r="G95" s="12">
        <f>IFERROR(IF(SUMIFS(tblDaily[TransfersOut],tblDaily[EntryDate],DATE(2026,3,11),tblDaily[WardCode],"NICU")=0,"",SUMIFS(tblDaily[TransfersOut],tblDaily[EntryDate],DATE(2026,3,11),tblDaily[WardCode],"NICU")),"")</f>
        <v/>
      </c>
      <c r="H95" s="12">
        <f>IFERROR(IF(SUMIFS(tblDaily[Remaining],tblDaily[EntryDate],DATE(2026,3,11),tblDaily[WardCode],"NICU")=0,"",SUMIFS(tblDaily[Remaining],tblDaily[EntryDate],DATE(2026,3,11),tblDaily[WardCode],"NICU")),"")</f>
        <v/>
      </c>
    </row>
    <row r="96">
      <c r="A96" s="12" t="n">
        <v>12</v>
      </c>
      <c r="B96" s="12">
        <f>IFERROR(IF(SUMIFS(tblDaily[Admissions],tblDaily[EntryDate],DATE(2026,3,12),tblDaily[WardCode],"NICU")=0,"",SUMIFS(tblDaily[Admissions],tblDaily[EntryDate],DATE(2026,3,12),tblDaily[WardCode],"NICU")),"")</f>
        <v/>
      </c>
      <c r="C96" s="12">
        <f>IFERROR(IF(SUMIFS(tblDaily[Discharges],tblDaily[EntryDate],DATE(2026,3,12),tblDaily[WardCode],"NICU")=0,"",SUMIFS(tblDaily[Discharges],tblDaily[EntryDate],DATE(2026,3,12),tblDaily[WardCode],"NICU")),"")</f>
        <v/>
      </c>
      <c r="D96" s="12">
        <f>IFERROR(IF(SUMIFS(tblDaily[Deaths],tblDaily[EntryDate],DATE(2026,3,12),tblDaily[WardCode],"NICU")=0,"",SUMIFS(tblDaily[Deaths],tblDaily[EntryDate],DATE(2026,3,12),tblDaily[WardCode],"NICU")),"")</f>
        <v/>
      </c>
      <c r="E96" s="12">
        <f>IFERROR(IF(SUMIFS(tblDaily[DeathsUnder24Hrs],tblDaily[EntryDate],DATE(2026,3,12),tblDaily[WardCode],"NICU")=0,"",SUMIFS(tblDaily[DeathsUnder24Hrs],tblDaily[EntryDate],DATE(2026,3,12),tblDaily[WardCode],"NICU")),"")</f>
        <v/>
      </c>
      <c r="F96" s="12">
        <f>IFERROR(IF(SUMIFS(tblDaily[TransfersIn],tblDaily[EntryDate],DATE(2026,3,12),tblDaily[WardCode],"NICU")=0,"",SUMIFS(tblDaily[TransfersIn],tblDaily[EntryDate],DATE(2026,3,12),tblDaily[WardCode],"NICU")),"")</f>
        <v/>
      </c>
      <c r="G96" s="12">
        <f>IFERROR(IF(SUMIFS(tblDaily[TransfersOut],tblDaily[EntryDate],DATE(2026,3,12),tblDaily[WardCode],"NICU")=0,"",SUMIFS(tblDaily[TransfersOut],tblDaily[EntryDate],DATE(2026,3,12),tblDaily[WardCode],"NICU")),"")</f>
        <v/>
      </c>
      <c r="H96" s="12">
        <f>IFERROR(IF(SUMIFS(tblDaily[Remaining],tblDaily[EntryDate],DATE(2026,3,12),tblDaily[WardCode],"NICU")=0,"",SUMIFS(tblDaily[Remaining],tblDaily[EntryDate],DATE(2026,3,12),tblDaily[WardCode],"NICU")),"")</f>
        <v/>
      </c>
    </row>
    <row r="97">
      <c r="A97" s="12" t="n">
        <v>13</v>
      </c>
      <c r="B97" s="12">
        <f>IFERROR(IF(SUMIFS(tblDaily[Admissions],tblDaily[EntryDate],DATE(2026,3,13),tblDaily[WardCode],"NICU")=0,"",SUMIFS(tblDaily[Admissions],tblDaily[EntryDate],DATE(2026,3,13),tblDaily[WardCode],"NICU")),"")</f>
        <v/>
      </c>
      <c r="C97" s="12">
        <f>IFERROR(IF(SUMIFS(tblDaily[Discharges],tblDaily[EntryDate],DATE(2026,3,13),tblDaily[WardCode],"NICU")=0,"",SUMIFS(tblDaily[Discharges],tblDaily[EntryDate],DATE(2026,3,13),tblDaily[WardCode],"NICU")),"")</f>
        <v/>
      </c>
      <c r="D97" s="12">
        <f>IFERROR(IF(SUMIFS(tblDaily[Deaths],tblDaily[EntryDate],DATE(2026,3,13),tblDaily[WardCode],"NICU")=0,"",SUMIFS(tblDaily[Deaths],tblDaily[EntryDate],DATE(2026,3,13),tblDaily[WardCode],"NICU")),"")</f>
        <v/>
      </c>
      <c r="E97" s="12">
        <f>IFERROR(IF(SUMIFS(tblDaily[DeathsUnder24Hrs],tblDaily[EntryDate],DATE(2026,3,13),tblDaily[WardCode],"NICU")=0,"",SUMIFS(tblDaily[DeathsUnder24Hrs],tblDaily[EntryDate],DATE(2026,3,13),tblDaily[WardCode],"NICU")),"")</f>
        <v/>
      </c>
      <c r="F97" s="12">
        <f>IFERROR(IF(SUMIFS(tblDaily[TransfersIn],tblDaily[EntryDate],DATE(2026,3,13),tblDaily[WardCode],"NICU")=0,"",SUMIFS(tblDaily[TransfersIn],tblDaily[EntryDate],DATE(2026,3,13),tblDaily[WardCode],"NICU")),"")</f>
        <v/>
      </c>
      <c r="G97" s="12">
        <f>IFERROR(IF(SUMIFS(tblDaily[TransfersOut],tblDaily[EntryDate],DATE(2026,3,13),tblDaily[WardCode],"NICU")=0,"",SUMIFS(tblDaily[TransfersOut],tblDaily[EntryDate],DATE(2026,3,13),tblDaily[WardCode],"NICU")),"")</f>
        <v/>
      </c>
      <c r="H97" s="12">
        <f>IFERROR(IF(SUMIFS(tblDaily[Remaining],tblDaily[EntryDate],DATE(2026,3,13),tblDaily[WardCode],"NICU")=0,"",SUMIFS(tblDaily[Remaining],tblDaily[EntryDate],DATE(2026,3,13),tblDaily[WardCode],"NICU")),"")</f>
        <v/>
      </c>
    </row>
    <row r="98">
      <c r="A98" s="12" t="n">
        <v>14</v>
      </c>
      <c r="B98" s="12">
        <f>IFERROR(IF(SUMIFS(tblDaily[Admissions],tblDaily[EntryDate],DATE(2026,3,14),tblDaily[WardCode],"NICU")=0,"",SUMIFS(tblDaily[Admissions],tblDaily[EntryDate],DATE(2026,3,14),tblDaily[WardCode],"NICU")),"")</f>
        <v/>
      </c>
      <c r="C98" s="12">
        <f>IFERROR(IF(SUMIFS(tblDaily[Discharges],tblDaily[EntryDate],DATE(2026,3,14),tblDaily[WardCode],"NICU")=0,"",SUMIFS(tblDaily[Discharges],tblDaily[EntryDate],DATE(2026,3,14),tblDaily[WardCode],"NICU")),"")</f>
        <v/>
      </c>
      <c r="D98" s="12">
        <f>IFERROR(IF(SUMIFS(tblDaily[Deaths],tblDaily[EntryDate],DATE(2026,3,14),tblDaily[WardCode],"NICU")=0,"",SUMIFS(tblDaily[Deaths],tblDaily[EntryDate],DATE(2026,3,14),tblDaily[WardCode],"NICU")),"")</f>
        <v/>
      </c>
      <c r="E98" s="12">
        <f>IFERROR(IF(SUMIFS(tblDaily[DeathsUnder24Hrs],tblDaily[EntryDate],DATE(2026,3,14),tblDaily[WardCode],"NICU")=0,"",SUMIFS(tblDaily[DeathsUnder24Hrs],tblDaily[EntryDate],DATE(2026,3,14),tblDaily[WardCode],"NICU")),"")</f>
        <v/>
      </c>
      <c r="F98" s="12">
        <f>IFERROR(IF(SUMIFS(tblDaily[TransfersIn],tblDaily[EntryDate],DATE(2026,3,14),tblDaily[WardCode],"NICU")=0,"",SUMIFS(tblDaily[TransfersIn],tblDaily[EntryDate],DATE(2026,3,14),tblDaily[WardCode],"NICU")),"")</f>
        <v/>
      </c>
      <c r="G98" s="12">
        <f>IFERROR(IF(SUMIFS(tblDaily[TransfersOut],tblDaily[EntryDate],DATE(2026,3,14),tblDaily[WardCode],"NICU")=0,"",SUMIFS(tblDaily[TransfersOut],tblDaily[EntryDate],DATE(2026,3,14),tblDaily[WardCode],"NICU")),"")</f>
        <v/>
      </c>
      <c r="H98" s="12">
        <f>IFERROR(IF(SUMIFS(tblDaily[Remaining],tblDaily[EntryDate],DATE(2026,3,14),tblDaily[WardCode],"NICU")=0,"",SUMIFS(tblDaily[Remaining],tblDaily[EntryDate],DATE(2026,3,14),tblDaily[WardCode],"NICU")),"")</f>
        <v/>
      </c>
    </row>
    <row r="99">
      <c r="A99" s="12" t="n">
        <v>15</v>
      </c>
      <c r="B99" s="12">
        <f>IFERROR(IF(SUMIFS(tblDaily[Admissions],tblDaily[EntryDate],DATE(2026,3,15),tblDaily[WardCode],"NICU")=0,"",SUMIFS(tblDaily[Admissions],tblDaily[EntryDate],DATE(2026,3,15),tblDaily[WardCode],"NICU")),"")</f>
        <v/>
      </c>
      <c r="C99" s="12">
        <f>IFERROR(IF(SUMIFS(tblDaily[Discharges],tblDaily[EntryDate],DATE(2026,3,15),tblDaily[WardCode],"NICU")=0,"",SUMIFS(tblDaily[Discharges],tblDaily[EntryDate],DATE(2026,3,15),tblDaily[WardCode],"NICU")),"")</f>
        <v/>
      </c>
      <c r="D99" s="12">
        <f>IFERROR(IF(SUMIFS(tblDaily[Deaths],tblDaily[EntryDate],DATE(2026,3,15),tblDaily[WardCode],"NICU")=0,"",SUMIFS(tblDaily[Deaths],tblDaily[EntryDate],DATE(2026,3,15),tblDaily[WardCode],"NICU")),"")</f>
        <v/>
      </c>
      <c r="E99" s="12">
        <f>IFERROR(IF(SUMIFS(tblDaily[DeathsUnder24Hrs],tblDaily[EntryDate],DATE(2026,3,15),tblDaily[WardCode],"NICU")=0,"",SUMIFS(tblDaily[DeathsUnder24Hrs],tblDaily[EntryDate],DATE(2026,3,15),tblDaily[WardCode],"NICU")),"")</f>
        <v/>
      </c>
      <c r="F99" s="12">
        <f>IFERROR(IF(SUMIFS(tblDaily[TransfersIn],tblDaily[EntryDate],DATE(2026,3,15),tblDaily[WardCode],"NICU")=0,"",SUMIFS(tblDaily[TransfersIn],tblDaily[EntryDate],DATE(2026,3,15),tblDaily[WardCode],"NICU")),"")</f>
        <v/>
      </c>
      <c r="G99" s="12">
        <f>IFERROR(IF(SUMIFS(tblDaily[TransfersOut],tblDaily[EntryDate],DATE(2026,3,15),tblDaily[WardCode],"NICU")=0,"",SUMIFS(tblDaily[TransfersOut],tblDaily[EntryDate],DATE(2026,3,15),tblDaily[WardCode],"NICU")),"")</f>
        <v/>
      </c>
      <c r="H99" s="12">
        <f>IFERROR(IF(SUMIFS(tblDaily[Remaining],tblDaily[EntryDate],DATE(2026,3,15),tblDaily[WardCode],"NICU")=0,"",SUMIFS(tblDaily[Remaining],tblDaily[EntryDate],DATE(2026,3,15),tblDaily[WardCode],"NICU")),"")</f>
        <v/>
      </c>
    </row>
    <row r="100">
      <c r="A100" s="12" t="n">
        <v>16</v>
      </c>
      <c r="B100" s="12">
        <f>IFERROR(IF(SUMIFS(tblDaily[Admissions],tblDaily[EntryDate],DATE(2026,3,16),tblDaily[WardCode],"NICU")=0,"",SUMIFS(tblDaily[Admissions],tblDaily[EntryDate],DATE(2026,3,16),tblDaily[WardCode],"NICU")),"")</f>
        <v/>
      </c>
      <c r="C100" s="12">
        <f>IFERROR(IF(SUMIFS(tblDaily[Discharges],tblDaily[EntryDate],DATE(2026,3,16),tblDaily[WardCode],"NICU")=0,"",SUMIFS(tblDaily[Discharges],tblDaily[EntryDate],DATE(2026,3,16),tblDaily[WardCode],"NICU")),"")</f>
        <v/>
      </c>
      <c r="D100" s="12">
        <f>IFERROR(IF(SUMIFS(tblDaily[Deaths],tblDaily[EntryDate],DATE(2026,3,16),tblDaily[WardCode],"NICU")=0,"",SUMIFS(tblDaily[Deaths],tblDaily[EntryDate],DATE(2026,3,16),tblDaily[WardCode],"NICU")),"")</f>
        <v/>
      </c>
      <c r="E100" s="12">
        <f>IFERROR(IF(SUMIFS(tblDaily[DeathsUnder24Hrs],tblDaily[EntryDate],DATE(2026,3,16),tblDaily[WardCode],"NICU")=0,"",SUMIFS(tblDaily[DeathsUnder24Hrs],tblDaily[EntryDate],DATE(2026,3,16),tblDaily[WardCode],"NICU")),"")</f>
        <v/>
      </c>
      <c r="F100" s="12">
        <f>IFERROR(IF(SUMIFS(tblDaily[TransfersIn],tblDaily[EntryDate],DATE(2026,3,16),tblDaily[WardCode],"NICU")=0,"",SUMIFS(tblDaily[TransfersIn],tblDaily[EntryDate],DATE(2026,3,16),tblDaily[WardCode],"NICU")),"")</f>
        <v/>
      </c>
      <c r="G100" s="12">
        <f>IFERROR(IF(SUMIFS(tblDaily[TransfersOut],tblDaily[EntryDate],DATE(2026,3,16),tblDaily[WardCode],"NICU")=0,"",SUMIFS(tblDaily[TransfersOut],tblDaily[EntryDate],DATE(2026,3,16),tblDaily[WardCode],"NICU")),"")</f>
        <v/>
      </c>
      <c r="H100" s="12">
        <f>IFERROR(IF(SUMIFS(tblDaily[Remaining],tblDaily[EntryDate],DATE(2026,3,16),tblDaily[WardCode],"NICU")=0,"",SUMIFS(tblDaily[Remaining],tblDaily[EntryDate],DATE(2026,3,16),tblDaily[WardCode],"NICU")),"")</f>
        <v/>
      </c>
    </row>
    <row r="101">
      <c r="A101" s="12" t="n">
        <v>17</v>
      </c>
      <c r="B101" s="12">
        <f>IFERROR(IF(SUMIFS(tblDaily[Admissions],tblDaily[EntryDate],DATE(2026,3,17),tblDaily[WardCode],"NICU")=0,"",SUMIFS(tblDaily[Admissions],tblDaily[EntryDate],DATE(2026,3,17),tblDaily[WardCode],"NICU")),"")</f>
        <v/>
      </c>
      <c r="C101" s="12">
        <f>IFERROR(IF(SUMIFS(tblDaily[Discharges],tblDaily[EntryDate],DATE(2026,3,17),tblDaily[WardCode],"NICU")=0,"",SUMIFS(tblDaily[Discharges],tblDaily[EntryDate],DATE(2026,3,17),tblDaily[WardCode],"NICU")),"")</f>
        <v/>
      </c>
      <c r="D101" s="12">
        <f>IFERROR(IF(SUMIFS(tblDaily[Deaths],tblDaily[EntryDate],DATE(2026,3,17),tblDaily[WardCode],"NICU")=0,"",SUMIFS(tblDaily[Deaths],tblDaily[EntryDate],DATE(2026,3,17),tblDaily[WardCode],"NICU")),"")</f>
        <v/>
      </c>
      <c r="E101" s="12">
        <f>IFERROR(IF(SUMIFS(tblDaily[DeathsUnder24Hrs],tblDaily[EntryDate],DATE(2026,3,17),tblDaily[WardCode],"NICU")=0,"",SUMIFS(tblDaily[DeathsUnder24Hrs],tblDaily[EntryDate],DATE(2026,3,17),tblDaily[WardCode],"NICU")),"")</f>
        <v/>
      </c>
      <c r="F101" s="12">
        <f>IFERROR(IF(SUMIFS(tblDaily[TransfersIn],tblDaily[EntryDate],DATE(2026,3,17),tblDaily[WardCode],"NICU")=0,"",SUMIFS(tblDaily[TransfersIn],tblDaily[EntryDate],DATE(2026,3,17),tblDaily[WardCode],"NICU")),"")</f>
        <v/>
      </c>
      <c r="G101" s="12">
        <f>IFERROR(IF(SUMIFS(tblDaily[TransfersOut],tblDaily[EntryDate],DATE(2026,3,17),tblDaily[WardCode],"NICU")=0,"",SUMIFS(tblDaily[TransfersOut],tblDaily[EntryDate],DATE(2026,3,17),tblDaily[WardCode],"NICU")),"")</f>
        <v/>
      </c>
      <c r="H101" s="12">
        <f>IFERROR(IF(SUMIFS(tblDaily[Remaining],tblDaily[EntryDate],DATE(2026,3,17),tblDaily[WardCode],"NICU")=0,"",SUMIFS(tblDaily[Remaining],tblDaily[EntryDate],DATE(2026,3,17),tblDaily[WardCode],"NICU")),"")</f>
        <v/>
      </c>
    </row>
    <row r="102">
      <c r="A102" s="12" t="n">
        <v>18</v>
      </c>
      <c r="B102" s="12">
        <f>IFERROR(IF(SUMIFS(tblDaily[Admissions],tblDaily[EntryDate],DATE(2026,3,18),tblDaily[WardCode],"NICU")=0,"",SUMIFS(tblDaily[Admissions],tblDaily[EntryDate],DATE(2026,3,18),tblDaily[WardCode],"NICU")),"")</f>
        <v/>
      </c>
      <c r="C102" s="12">
        <f>IFERROR(IF(SUMIFS(tblDaily[Discharges],tblDaily[EntryDate],DATE(2026,3,18),tblDaily[WardCode],"NICU")=0,"",SUMIFS(tblDaily[Discharges],tblDaily[EntryDate],DATE(2026,3,18),tblDaily[WardCode],"NICU")),"")</f>
        <v/>
      </c>
      <c r="D102" s="12">
        <f>IFERROR(IF(SUMIFS(tblDaily[Deaths],tblDaily[EntryDate],DATE(2026,3,18),tblDaily[WardCode],"NICU")=0,"",SUMIFS(tblDaily[Deaths],tblDaily[EntryDate],DATE(2026,3,18),tblDaily[WardCode],"NICU")),"")</f>
        <v/>
      </c>
      <c r="E102" s="12">
        <f>IFERROR(IF(SUMIFS(tblDaily[DeathsUnder24Hrs],tblDaily[EntryDate],DATE(2026,3,18),tblDaily[WardCode],"NICU")=0,"",SUMIFS(tblDaily[DeathsUnder24Hrs],tblDaily[EntryDate],DATE(2026,3,18),tblDaily[WardCode],"NICU")),"")</f>
        <v/>
      </c>
      <c r="F102" s="12">
        <f>IFERROR(IF(SUMIFS(tblDaily[TransfersIn],tblDaily[EntryDate],DATE(2026,3,18),tblDaily[WardCode],"NICU")=0,"",SUMIFS(tblDaily[TransfersIn],tblDaily[EntryDate],DATE(2026,3,18),tblDaily[WardCode],"NICU")),"")</f>
        <v/>
      </c>
      <c r="G102" s="12">
        <f>IFERROR(IF(SUMIFS(tblDaily[TransfersOut],tblDaily[EntryDate],DATE(2026,3,18),tblDaily[WardCode],"NICU")=0,"",SUMIFS(tblDaily[TransfersOut],tblDaily[EntryDate],DATE(2026,3,18),tblDaily[WardCode],"NICU")),"")</f>
        <v/>
      </c>
      <c r="H102" s="12">
        <f>IFERROR(IF(SUMIFS(tblDaily[Remaining],tblDaily[EntryDate],DATE(2026,3,18),tblDaily[WardCode],"NICU")=0,"",SUMIFS(tblDaily[Remaining],tblDaily[EntryDate],DATE(2026,3,18),tblDaily[WardCode],"NICU")),"")</f>
        <v/>
      </c>
    </row>
    <row r="103">
      <c r="A103" s="12" t="n">
        <v>19</v>
      </c>
      <c r="B103" s="12">
        <f>IFERROR(IF(SUMIFS(tblDaily[Admissions],tblDaily[EntryDate],DATE(2026,3,19),tblDaily[WardCode],"NICU")=0,"",SUMIFS(tblDaily[Admissions],tblDaily[EntryDate],DATE(2026,3,19),tblDaily[WardCode],"NICU")),"")</f>
        <v/>
      </c>
      <c r="C103" s="12">
        <f>IFERROR(IF(SUMIFS(tblDaily[Discharges],tblDaily[EntryDate],DATE(2026,3,19),tblDaily[WardCode],"NICU")=0,"",SUMIFS(tblDaily[Discharges],tblDaily[EntryDate],DATE(2026,3,19),tblDaily[WardCode],"NICU")),"")</f>
        <v/>
      </c>
      <c r="D103" s="12">
        <f>IFERROR(IF(SUMIFS(tblDaily[Deaths],tblDaily[EntryDate],DATE(2026,3,19),tblDaily[WardCode],"NICU")=0,"",SUMIFS(tblDaily[Deaths],tblDaily[EntryDate],DATE(2026,3,19),tblDaily[WardCode],"NICU")),"")</f>
        <v/>
      </c>
      <c r="E103" s="12">
        <f>IFERROR(IF(SUMIFS(tblDaily[DeathsUnder24Hrs],tblDaily[EntryDate],DATE(2026,3,19),tblDaily[WardCode],"NICU")=0,"",SUMIFS(tblDaily[DeathsUnder24Hrs],tblDaily[EntryDate],DATE(2026,3,19),tblDaily[WardCode],"NICU")),"")</f>
        <v/>
      </c>
      <c r="F103" s="12">
        <f>IFERROR(IF(SUMIFS(tblDaily[TransfersIn],tblDaily[EntryDate],DATE(2026,3,19),tblDaily[WardCode],"NICU")=0,"",SUMIFS(tblDaily[TransfersIn],tblDaily[EntryDate],DATE(2026,3,19),tblDaily[WardCode],"NICU")),"")</f>
        <v/>
      </c>
      <c r="G103" s="12">
        <f>IFERROR(IF(SUMIFS(tblDaily[TransfersOut],tblDaily[EntryDate],DATE(2026,3,19),tblDaily[WardCode],"NICU")=0,"",SUMIFS(tblDaily[TransfersOut],tblDaily[EntryDate],DATE(2026,3,19),tblDaily[WardCode],"NICU")),"")</f>
        <v/>
      </c>
      <c r="H103" s="12">
        <f>IFERROR(IF(SUMIFS(tblDaily[Remaining],tblDaily[EntryDate],DATE(2026,3,19),tblDaily[WardCode],"NICU")=0,"",SUMIFS(tblDaily[Remaining],tblDaily[EntryDate],DATE(2026,3,19),tblDaily[WardCode],"NICU")),"")</f>
        <v/>
      </c>
    </row>
    <row r="104">
      <c r="A104" s="12" t="n">
        <v>20</v>
      </c>
      <c r="B104" s="12">
        <f>IFERROR(IF(SUMIFS(tblDaily[Admissions],tblDaily[EntryDate],DATE(2026,3,20),tblDaily[WardCode],"NICU")=0,"",SUMIFS(tblDaily[Admissions],tblDaily[EntryDate],DATE(2026,3,20),tblDaily[WardCode],"NICU")),"")</f>
        <v/>
      </c>
      <c r="C104" s="12">
        <f>IFERROR(IF(SUMIFS(tblDaily[Discharges],tblDaily[EntryDate],DATE(2026,3,20),tblDaily[WardCode],"NICU")=0,"",SUMIFS(tblDaily[Discharges],tblDaily[EntryDate],DATE(2026,3,20),tblDaily[WardCode],"NICU")),"")</f>
        <v/>
      </c>
      <c r="D104" s="12">
        <f>IFERROR(IF(SUMIFS(tblDaily[Deaths],tblDaily[EntryDate],DATE(2026,3,20),tblDaily[WardCode],"NICU")=0,"",SUMIFS(tblDaily[Deaths],tblDaily[EntryDate],DATE(2026,3,20),tblDaily[WardCode],"NICU")),"")</f>
        <v/>
      </c>
      <c r="E104" s="12">
        <f>IFERROR(IF(SUMIFS(tblDaily[DeathsUnder24Hrs],tblDaily[EntryDate],DATE(2026,3,20),tblDaily[WardCode],"NICU")=0,"",SUMIFS(tblDaily[DeathsUnder24Hrs],tblDaily[EntryDate],DATE(2026,3,20),tblDaily[WardCode],"NICU")),"")</f>
        <v/>
      </c>
      <c r="F104" s="12">
        <f>IFERROR(IF(SUMIFS(tblDaily[TransfersIn],tblDaily[EntryDate],DATE(2026,3,20),tblDaily[WardCode],"NICU")=0,"",SUMIFS(tblDaily[TransfersIn],tblDaily[EntryDate],DATE(2026,3,20),tblDaily[WardCode],"NICU")),"")</f>
        <v/>
      </c>
      <c r="G104" s="12">
        <f>IFERROR(IF(SUMIFS(tblDaily[TransfersOut],tblDaily[EntryDate],DATE(2026,3,20),tblDaily[WardCode],"NICU")=0,"",SUMIFS(tblDaily[TransfersOut],tblDaily[EntryDate],DATE(2026,3,20),tblDaily[WardCode],"NICU")),"")</f>
        <v/>
      </c>
      <c r="H104" s="12">
        <f>IFERROR(IF(SUMIFS(tblDaily[Remaining],tblDaily[EntryDate],DATE(2026,3,20),tblDaily[WardCode],"NICU")=0,"",SUMIFS(tblDaily[Remaining],tblDaily[EntryDate],DATE(2026,3,20),tblDaily[WardCode],"NICU")),"")</f>
        <v/>
      </c>
    </row>
    <row r="105">
      <c r="A105" s="12" t="n">
        <v>21</v>
      </c>
      <c r="B105" s="12">
        <f>IFERROR(IF(SUMIFS(tblDaily[Admissions],tblDaily[EntryDate],DATE(2026,3,21),tblDaily[WardCode],"NICU")=0,"",SUMIFS(tblDaily[Admissions],tblDaily[EntryDate],DATE(2026,3,21),tblDaily[WardCode],"NICU")),"")</f>
        <v/>
      </c>
      <c r="C105" s="12">
        <f>IFERROR(IF(SUMIFS(tblDaily[Discharges],tblDaily[EntryDate],DATE(2026,3,21),tblDaily[WardCode],"NICU")=0,"",SUMIFS(tblDaily[Discharges],tblDaily[EntryDate],DATE(2026,3,21),tblDaily[WardCode],"NICU")),"")</f>
        <v/>
      </c>
      <c r="D105" s="12">
        <f>IFERROR(IF(SUMIFS(tblDaily[Deaths],tblDaily[EntryDate],DATE(2026,3,21),tblDaily[WardCode],"NICU")=0,"",SUMIFS(tblDaily[Deaths],tblDaily[EntryDate],DATE(2026,3,21),tblDaily[WardCode],"NICU")),"")</f>
        <v/>
      </c>
      <c r="E105" s="12">
        <f>IFERROR(IF(SUMIFS(tblDaily[DeathsUnder24Hrs],tblDaily[EntryDate],DATE(2026,3,21),tblDaily[WardCode],"NICU")=0,"",SUMIFS(tblDaily[DeathsUnder24Hrs],tblDaily[EntryDate],DATE(2026,3,21),tblDaily[WardCode],"NICU")),"")</f>
        <v/>
      </c>
      <c r="F105" s="12">
        <f>IFERROR(IF(SUMIFS(tblDaily[TransfersIn],tblDaily[EntryDate],DATE(2026,3,21),tblDaily[WardCode],"NICU")=0,"",SUMIFS(tblDaily[TransfersIn],tblDaily[EntryDate],DATE(2026,3,21),tblDaily[WardCode],"NICU")),"")</f>
        <v/>
      </c>
      <c r="G105" s="12">
        <f>IFERROR(IF(SUMIFS(tblDaily[TransfersOut],tblDaily[EntryDate],DATE(2026,3,21),tblDaily[WardCode],"NICU")=0,"",SUMIFS(tblDaily[TransfersOut],tblDaily[EntryDate],DATE(2026,3,21),tblDaily[WardCode],"NICU")),"")</f>
        <v/>
      </c>
      <c r="H105" s="12">
        <f>IFERROR(IF(SUMIFS(tblDaily[Remaining],tblDaily[EntryDate],DATE(2026,3,21),tblDaily[WardCode],"NICU")=0,"",SUMIFS(tblDaily[Remaining],tblDaily[EntryDate],DATE(2026,3,21),tblDaily[WardCode],"NICU")),"")</f>
        <v/>
      </c>
    </row>
    <row r="106">
      <c r="A106" s="12" t="n">
        <v>22</v>
      </c>
      <c r="B106" s="12">
        <f>IFERROR(IF(SUMIFS(tblDaily[Admissions],tblDaily[EntryDate],DATE(2026,3,22),tblDaily[WardCode],"NICU")=0,"",SUMIFS(tblDaily[Admissions],tblDaily[EntryDate],DATE(2026,3,22),tblDaily[WardCode],"NICU")),"")</f>
        <v/>
      </c>
      <c r="C106" s="12">
        <f>IFERROR(IF(SUMIFS(tblDaily[Discharges],tblDaily[EntryDate],DATE(2026,3,22),tblDaily[WardCode],"NICU")=0,"",SUMIFS(tblDaily[Discharges],tblDaily[EntryDate],DATE(2026,3,22),tblDaily[WardCode],"NICU")),"")</f>
        <v/>
      </c>
      <c r="D106" s="12">
        <f>IFERROR(IF(SUMIFS(tblDaily[Deaths],tblDaily[EntryDate],DATE(2026,3,22),tblDaily[WardCode],"NICU")=0,"",SUMIFS(tblDaily[Deaths],tblDaily[EntryDate],DATE(2026,3,22),tblDaily[WardCode],"NICU")),"")</f>
        <v/>
      </c>
      <c r="E106" s="12">
        <f>IFERROR(IF(SUMIFS(tblDaily[DeathsUnder24Hrs],tblDaily[EntryDate],DATE(2026,3,22),tblDaily[WardCode],"NICU")=0,"",SUMIFS(tblDaily[DeathsUnder24Hrs],tblDaily[EntryDate],DATE(2026,3,22),tblDaily[WardCode],"NICU")),"")</f>
        <v/>
      </c>
      <c r="F106" s="12">
        <f>IFERROR(IF(SUMIFS(tblDaily[TransfersIn],tblDaily[EntryDate],DATE(2026,3,22),tblDaily[WardCode],"NICU")=0,"",SUMIFS(tblDaily[TransfersIn],tblDaily[EntryDate],DATE(2026,3,22),tblDaily[WardCode],"NICU")),"")</f>
        <v/>
      </c>
      <c r="G106" s="12">
        <f>IFERROR(IF(SUMIFS(tblDaily[TransfersOut],tblDaily[EntryDate],DATE(2026,3,22),tblDaily[WardCode],"NICU")=0,"",SUMIFS(tblDaily[TransfersOut],tblDaily[EntryDate],DATE(2026,3,22),tblDaily[WardCode],"NICU")),"")</f>
        <v/>
      </c>
      <c r="H106" s="12">
        <f>IFERROR(IF(SUMIFS(tblDaily[Remaining],tblDaily[EntryDate],DATE(2026,3,22),tblDaily[WardCode],"NICU")=0,"",SUMIFS(tblDaily[Remaining],tblDaily[EntryDate],DATE(2026,3,22),tblDaily[WardCode],"NICU")),"")</f>
        <v/>
      </c>
    </row>
    <row r="107">
      <c r="A107" s="12" t="n">
        <v>23</v>
      </c>
      <c r="B107" s="12">
        <f>IFERROR(IF(SUMIFS(tblDaily[Admissions],tblDaily[EntryDate],DATE(2026,3,23),tblDaily[WardCode],"NICU")=0,"",SUMIFS(tblDaily[Admissions],tblDaily[EntryDate],DATE(2026,3,23),tblDaily[WardCode],"NICU")),"")</f>
        <v/>
      </c>
      <c r="C107" s="12">
        <f>IFERROR(IF(SUMIFS(tblDaily[Discharges],tblDaily[EntryDate],DATE(2026,3,23),tblDaily[WardCode],"NICU")=0,"",SUMIFS(tblDaily[Discharges],tblDaily[EntryDate],DATE(2026,3,23),tblDaily[WardCode],"NICU")),"")</f>
        <v/>
      </c>
      <c r="D107" s="12">
        <f>IFERROR(IF(SUMIFS(tblDaily[Deaths],tblDaily[EntryDate],DATE(2026,3,23),tblDaily[WardCode],"NICU")=0,"",SUMIFS(tblDaily[Deaths],tblDaily[EntryDate],DATE(2026,3,23),tblDaily[WardCode],"NICU")),"")</f>
        <v/>
      </c>
      <c r="E107" s="12">
        <f>IFERROR(IF(SUMIFS(tblDaily[DeathsUnder24Hrs],tblDaily[EntryDate],DATE(2026,3,23),tblDaily[WardCode],"NICU")=0,"",SUMIFS(tblDaily[DeathsUnder24Hrs],tblDaily[EntryDate],DATE(2026,3,23),tblDaily[WardCode],"NICU")),"")</f>
        <v/>
      </c>
      <c r="F107" s="12">
        <f>IFERROR(IF(SUMIFS(tblDaily[TransfersIn],tblDaily[EntryDate],DATE(2026,3,23),tblDaily[WardCode],"NICU")=0,"",SUMIFS(tblDaily[TransfersIn],tblDaily[EntryDate],DATE(2026,3,23),tblDaily[WardCode],"NICU")),"")</f>
        <v/>
      </c>
      <c r="G107" s="12">
        <f>IFERROR(IF(SUMIFS(tblDaily[TransfersOut],tblDaily[EntryDate],DATE(2026,3,23),tblDaily[WardCode],"NICU")=0,"",SUMIFS(tblDaily[TransfersOut],tblDaily[EntryDate],DATE(2026,3,23),tblDaily[WardCode],"NICU")),"")</f>
        <v/>
      </c>
      <c r="H107" s="12">
        <f>IFERROR(IF(SUMIFS(tblDaily[Remaining],tblDaily[EntryDate],DATE(2026,3,23),tblDaily[WardCode],"NICU")=0,"",SUMIFS(tblDaily[Remaining],tblDaily[EntryDate],DATE(2026,3,23),tblDaily[WardCode],"NICU")),"")</f>
        <v/>
      </c>
    </row>
    <row r="108">
      <c r="A108" s="12" t="n">
        <v>24</v>
      </c>
      <c r="B108" s="12">
        <f>IFERROR(IF(SUMIFS(tblDaily[Admissions],tblDaily[EntryDate],DATE(2026,3,24),tblDaily[WardCode],"NICU")=0,"",SUMIFS(tblDaily[Admissions],tblDaily[EntryDate],DATE(2026,3,24),tblDaily[WardCode],"NICU")),"")</f>
        <v/>
      </c>
      <c r="C108" s="12">
        <f>IFERROR(IF(SUMIFS(tblDaily[Discharges],tblDaily[EntryDate],DATE(2026,3,24),tblDaily[WardCode],"NICU")=0,"",SUMIFS(tblDaily[Discharges],tblDaily[EntryDate],DATE(2026,3,24),tblDaily[WardCode],"NICU")),"")</f>
        <v/>
      </c>
      <c r="D108" s="12">
        <f>IFERROR(IF(SUMIFS(tblDaily[Deaths],tblDaily[EntryDate],DATE(2026,3,24),tblDaily[WardCode],"NICU")=0,"",SUMIFS(tblDaily[Deaths],tblDaily[EntryDate],DATE(2026,3,24),tblDaily[WardCode],"NICU")),"")</f>
        <v/>
      </c>
      <c r="E108" s="12">
        <f>IFERROR(IF(SUMIFS(tblDaily[DeathsUnder24Hrs],tblDaily[EntryDate],DATE(2026,3,24),tblDaily[WardCode],"NICU")=0,"",SUMIFS(tblDaily[DeathsUnder24Hrs],tblDaily[EntryDate],DATE(2026,3,24),tblDaily[WardCode],"NICU")),"")</f>
        <v/>
      </c>
      <c r="F108" s="12">
        <f>IFERROR(IF(SUMIFS(tblDaily[TransfersIn],tblDaily[EntryDate],DATE(2026,3,24),tblDaily[WardCode],"NICU")=0,"",SUMIFS(tblDaily[TransfersIn],tblDaily[EntryDate],DATE(2026,3,24),tblDaily[WardCode],"NICU")),"")</f>
        <v/>
      </c>
      <c r="G108" s="12">
        <f>IFERROR(IF(SUMIFS(tblDaily[TransfersOut],tblDaily[EntryDate],DATE(2026,3,24),tblDaily[WardCode],"NICU")=0,"",SUMIFS(tblDaily[TransfersOut],tblDaily[EntryDate],DATE(2026,3,24),tblDaily[WardCode],"NICU")),"")</f>
        <v/>
      </c>
      <c r="H108" s="12">
        <f>IFERROR(IF(SUMIFS(tblDaily[Remaining],tblDaily[EntryDate],DATE(2026,3,24),tblDaily[WardCode],"NICU")=0,"",SUMIFS(tblDaily[Remaining],tblDaily[EntryDate],DATE(2026,3,24),tblDaily[WardCode],"NICU")),"")</f>
        <v/>
      </c>
    </row>
    <row r="109">
      <c r="A109" s="12" t="n">
        <v>25</v>
      </c>
      <c r="B109" s="12">
        <f>IFERROR(IF(SUMIFS(tblDaily[Admissions],tblDaily[EntryDate],DATE(2026,3,25),tblDaily[WardCode],"NICU")=0,"",SUMIFS(tblDaily[Admissions],tblDaily[EntryDate],DATE(2026,3,25),tblDaily[WardCode],"NICU")),"")</f>
        <v/>
      </c>
      <c r="C109" s="12">
        <f>IFERROR(IF(SUMIFS(tblDaily[Discharges],tblDaily[EntryDate],DATE(2026,3,25),tblDaily[WardCode],"NICU")=0,"",SUMIFS(tblDaily[Discharges],tblDaily[EntryDate],DATE(2026,3,25),tblDaily[WardCode],"NICU")),"")</f>
        <v/>
      </c>
      <c r="D109" s="12">
        <f>IFERROR(IF(SUMIFS(tblDaily[Deaths],tblDaily[EntryDate],DATE(2026,3,25),tblDaily[WardCode],"NICU")=0,"",SUMIFS(tblDaily[Deaths],tblDaily[EntryDate],DATE(2026,3,25),tblDaily[WardCode],"NICU")),"")</f>
        <v/>
      </c>
      <c r="E109" s="12">
        <f>IFERROR(IF(SUMIFS(tblDaily[DeathsUnder24Hrs],tblDaily[EntryDate],DATE(2026,3,25),tblDaily[WardCode],"NICU")=0,"",SUMIFS(tblDaily[DeathsUnder24Hrs],tblDaily[EntryDate],DATE(2026,3,25),tblDaily[WardCode],"NICU")),"")</f>
        <v/>
      </c>
      <c r="F109" s="12">
        <f>IFERROR(IF(SUMIFS(tblDaily[TransfersIn],tblDaily[EntryDate],DATE(2026,3,25),tblDaily[WardCode],"NICU")=0,"",SUMIFS(tblDaily[TransfersIn],tblDaily[EntryDate],DATE(2026,3,25),tblDaily[WardCode],"NICU")),"")</f>
        <v/>
      </c>
      <c r="G109" s="12">
        <f>IFERROR(IF(SUMIFS(tblDaily[TransfersOut],tblDaily[EntryDate],DATE(2026,3,25),tblDaily[WardCode],"NICU")=0,"",SUMIFS(tblDaily[TransfersOut],tblDaily[EntryDate],DATE(2026,3,25),tblDaily[WardCode],"NICU")),"")</f>
        <v/>
      </c>
      <c r="H109" s="12">
        <f>IFERROR(IF(SUMIFS(tblDaily[Remaining],tblDaily[EntryDate],DATE(2026,3,25),tblDaily[WardCode],"NICU")=0,"",SUMIFS(tblDaily[Remaining],tblDaily[EntryDate],DATE(2026,3,25),tblDaily[WardCode],"NICU")),"")</f>
        <v/>
      </c>
    </row>
    <row r="110">
      <c r="A110" s="12" t="n">
        <v>26</v>
      </c>
      <c r="B110" s="12">
        <f>IFERROR(IF(SUMIFS(tblDaily[Admissions],tblDaily[EntryDate],DATE(2026,3,26),tblDaily[WardCode],"NICU")=0,"",SUMIFS(tblDaily[Admissions],tblDaily[EntryDate],DATE(2026,3,26),tblDaily[WardCode],"NICU")),"")</f>
        <v/>
      </c>
      <c r="C110" s="12">
        <f>IFERROR(IF(SUMIFS(tblDaily[Discharges],tblDaily[EntryDate],DATE(2026,3,26),tblDaily[WardCode],"NICU")=0,"",SUMIFS(tblDaily[Discharges],tblDaily[EntryDate],DATE(2026,3,26),tblDaily[WardCode],"NICU")),"")</f>
        <v/>
      </c>
      <c r="D110" s="12">
        <f>IFERROR(IF(SUMIFS(tblDaily[Deaths],tblDaily[EntryDate],DATE(2026,3,26),tblDaily[WardCode],"NICU")=0,"",SUMIFS(tblDaily[Deaths],tblDaily[EntryDate],DATE(2026,3,26),tblDaily[WardCode],"NICU")),"")</f>
        <v/>
      </c>
      <c r="E110" s="12">
        <f>IFERROR(IF(SUMIFS(tblDaily[DeathsUnder24Hrs],tblDaily[EntryDate],DATE(2026,3,26),tblDaily[WardCode],"NICU")=0,"",SUMIFS(tblDaily[DeathsUnder24Hrs],tblDaily[EntryDate],DATE(2026,3,26),tblDaily[WardCode],"NICU")),"")</f>
        <v/>
      </c>
      <c r="F110" s="12">
        <f>IFERROR(IF(SUMIFS(tblDaily[TransfersIn],tblDaily[EntryDate],DATE(2026,3,26),tblDaily[WardCode],"NICU")=0,"",SUMIFS(tblDaily[TransfersIn],tblDaily[EntryDate],DATE(2026,3,26),tblDaily[WardCode],"NICU")),"")</f>
        <v/>
      </c>
      <c r="G110" s="12">
        <f>IFERROR(IF(SUMIFS(tblDaily[TransfersOut],tblDaily[EntryDate],DATE(2026,3,26),tblDaily[WardCode],"NICU")=0,"",SUMIFS(tblDaily[TransfersOut],tblDaily[EntryDate],DATE(2026,3,26),tblDaily[WardCode],"NICU")),"")</f>
        <v/>
      </c>
      <c r="H110" s="12">
        <f>IFERROR(IF(SUMIFS(tblDaily[Remaining],tblDaily[EntryDate],DATE(2026,3,26),tblDaily[WardCode],"NICU")=0,"",SUMIFS(tblDaily[Remaining],tblDaily[EntryDate],DATE(2026,3,26),tblDaily[WardCode],"NICU")),"")</f>
        <v/>
      </c>
    </row>
    <row r="111">
      <c r="A111" s="12" t="n">
        <v>27</v>
      </c>
      <c r="B111" s="12">
        <f>IFERROR(IF(SUMIFS(tblDaily[Admissions],tblDaily[EntryDate],DATE(2026,3,27),tblDaily[WardCode],"NICU")=0,"",SUMIFS(tblDaily[Admissions],tblDaily[EntryDate],DATE(2026,3,27),tblDaily[WardCode],"NICU")),"")</f>
        <v/>
      </c>
      <c r="C111" s="12">
        <f>IFERROR(IF(SUMIFS(tblDaily[Discharges],tblDaily[EntryDate],DATE(2026,3,27),tblDaily[WardCode],"NICU")=0,"",SUMIFS(tblDaily[Discharges],tblDaily[EntryDate],DATE(2026,3,27),tblDaily[WardCode],"NICU")),"")</f>
        <v/>
      </c>
      <c r="D111" s="12">
        <f>IFERROR(IF(SUMIFS(tblDaily[Deaths],tblDaily[EntryDate],DATE(2026,3,27),tblDaily[WardCode],"NICU")=0,"",SUMIFS(tblDaily[Deaths],tblDaily[EntryDate],DATE(2026,3,27),tblDaily[WardCode],"NICU")),"")</f>
        <v/>
      </c>
      <c r="E111" s="12">
        <f>IFERROR(IF(SUMIFS(tblDaily[DeathsUnder24Hrs],tblDaily[EntryDate],DATE(2026,3,27),tblDaily[WardCode],"NICU")=0,"",SUMIFS(tblDaily[DeathsUnder24Hrs],tblDaily[EntryDate],DATE(2026,3,27),tblDaily[WardCode],"NICU")),"")</f>
        <v/>
      </c>
      <c r="F111" s="12">
        <f>IFERROR(IF(SUMIFS(tblDaily[TransfersIn],tblDaily[EntryDate],DATE(2026,3,27),tblDaily[WardCode],"NICU")=0,"",SUMIFS(tblDaily[TransfersIn],tblDaily[EntryDate],DATE(2026,3,27),tblDaily[WardCode],"NICU")),"")</f>
        <v/>
      </c>
      <c r="G111" s="12">
        <f>IFERROR(IF(SUMIFS(tblDaily[TransfersOut],tblDaily[EntryDate],DATE(2026,3,27),tblDaily[WardCode],"NICU")=0,"",SUMIFS(tblDaily[TransfersOut],tblDaily[EntryDate],DATE(2026,3,27),tblDaily[WardCode],"NICU")),"")</f>
        <v/>
      </c>
      <c r="H111" s="12">
        <f>IFERROR(IF(SUMIFS(tblDaily[Remaining],tblDaily[EntryDate],DATE(2026,3,27),tblDaily[WardCode],"NICU")=0,"",SUMIFS(tblDaily[Remaining],tblDaily[EntryDate],DATE(2026,3,27),tblDaily[WardCode],"NICU")),"")</f>
        <v/>
      </c>
    </row>
    <row r="112">
      <c r="A112" s="12" t="n">
        <v>28</v>
      </c>
      <c r="B112" s="12">
        <f>IFERROR(IF(SUMIFS(tblDaily[Admissions],tblDaily[EntryDate],DATE(2026,3,28),tblDaily[WardCode],"NICU")=0,"",SUMIFS(tblDaily[Admissions],tblDaily[EntryDate],DATE(2026,3,28),tblDaily[WardCode],"NICU")),"")</f>
        <v/>
      </c>
      <c r="C112" s="12">
        <f>IFERROR(IF(SUMIFS(tblDaily[Discharges],tblDaily[EntryDate],DATE(2026,3,28),tblDaily[WardCode],"NICU")=0,"",SUMIFS(tblDaily[Discharges],tblDaily[EntryDate],DATE(2026,3,28),tblDaily[WardCode],"NICU")),"")</f>
        <v/>
      </c>
      <c r="D112" s="12">
        <f>IFERROR(IF(SUMIFS(tblDaily[Deaths],tblDaily[EntryDate],DATE(2026,3,28),tblDaily[WardCode],"NICU")=0,"",SUMIFS(tblDaily[Deaths],tblDaily[EntryDate],DATE(2026,3,28),tblDaily[WardCode],"NICU")),"")</f>
        <v/>
      </c>
      <c r="E112" s="12">
        <f>IFERROR(IF(SUMIFS(tblDaily[DeathsUnder24Hrs],tblDaily[EntryDate],DATE(2026,3,28),tblDaily[WardCode],"NICU")=0,"",SUMIFS(tblDaily[DeathsUnder24Hrs],tblDaily[EntryDate],DATE(2026,3,28),tblDaily[WardCode],"NICU")),"")</f>
        <v/>
      </c>
      <c r="F112" s="12">
        <f>IFERROR(IF(SUMIFS(tblDaily[TransfersIn],tblDaily[EntryDate],DATE(2026,3,28),tblDaily[WardCode],"NICU")=0,"",SUMIFS(tblDaily[TransfersIn],tblDaily[EntryDate],DATE(2026,3,28),tblDaily[WardCode],"NICU")),"")</f>
        <v/>
      </c>
      <c r="G112" s="12">
        <f>IFERROR(IF(SUMIFS(tblDaily[TransfersOut],tblDaily[EntryDate],DATE(2026,3,28),tblDaily[WardCode],"NICU")=0,"",SUMIFS(tblDaily[TransfersOut],tblDaily[EntryDate],DATE(2026,3,28),tblDaily[WardCode],"NICU")),"")</f>
        <v/>
      </c>
      <c r="H112" s="12">
        <f>IFERROR(IF(SUMIFS(tblDaily[Remaining],tblDaily[EntryDate],DATE(2026,3,28),tblDaily[WardCode],"NICU")=0,"",SUMIFS(tblDaily[Remaining],tblDaily[EntryDate],DATE(2026,3,28),tblDaily[WardCode],"NICU")),"")</f>
        <v/>
      </c>
    </row>
    <row r="113">
      <c r="A113" s="12" t="n">
        <v>29</v>
      </c>
      <c r="B113" s="12">
        <f>IFERROR(IF(SUMIFS(tblDaily[Admissions],tblDaily[EntryDate],DATE(2026,3,29),tblDaily[WardCode],"NICU")=0,"",SUMIFS(tblDaily[Admissions],tblDaily[EntryDate],DATE(2026,3,29),tblDaily[WardCode],"NICU")),"")</f>
        <v/>
      </c>
      <c r="C113" s="12">
        <f>IFERROR(IF(SUMIFS(tblDaily[Discharges],tblDaily[EntryDate],DATE(2026,3,29),tblDaily[WardCode],"NICU")=0,"",SUMIFS(tblDaily[Discharges],tblDaily[EntryDate],DATE(2026,3,29),tblDaily[WardCode],"NICU")),"")</f>
        <v/>
      </c>
      <c r="D113" s="12">
        <f>IFERROR(IF(SUMIFS(tblDaily[Deaths],tblDaily[EntryDate],DATE(2026,3,29),tblDaily[WardCode],"NICU")=0,"",SUMIFS(tblDaily[Deaths],tblDaily[EntryDate],DATE(2026,3,29),tblDaily[WardCode],"NICU")),"")</f>
        <v/>
      </c>
      <c r="E113" s="12">
        <f>IFERROR(IF(SUMIFS(tblDaily[DeathsUnder24Hrs],tblDaily[EntryDate],DATE(2026,3,29),tblDaily[WardCode],"NICU")=0,"",SUMIFS(tblDaily[DeathsUnder24Hrs],tblDaily[EntryDate],DATE(2026,3,29),tblDaily[WardCode],"NICU")),"")</f>
        <v/>
      </c>
      <c r="F113" s="12">
        <f>IFERROR(IF(SUMIFS(tblDaily[TransfersIn],tblDaily[EntryDate],DATE(2026,3,29),tblDaily[WardCode],"NICU")=0,"",SUMIFS(tblDaily[TransfersIn],tblDaily[EntryDate],DATE(2026,3,29),tblDaily[WardCode],"NICU")),"")</f>
        <v/>
      </c>
      <c r="G113" s="12">
        <f>IFERROR(IF(SUMIFS(tblDaily[TransfersOut],tblDaily[EntryDate],DATE(2026,3,29),tblDaily[WardCode],"NICU")=0,"",SUMIFS(tblDaily[TransfersOut],tblDaily[EntryDate],DATE(2026,3,29),tblDaily[WardCode],"NICU")),"")</f>
        <v/>
      </c>
      <c r="H113" s="12">
        <f>IFERROR(IF(SUMIFS(tblDaily[Remaining],tblDaily[EntryDate],DATE(2026,3,29),tblDaily[WardCode],"NICU")=0,"",SUMIFS(tblDaily[Remaining],tblDaily[EntryDate],DATE(2026,3,29),tblDaily[WardCode],"NICU")),"")</f>
        <v/>
      </c>
    </row>
    <row r="114">
      <c r="A114" s="12" t="n">
        <v>30</v>
      </c>
      <c r="B114" s="12">
        <f>IFERROR(IF(SUMIFS(tblDaily[Admissions],tblDaily[EntryDate],DATE(2026,3,30),tblDaily[WardCode],"NICU")=0,"",SUMIFS(tblDaily[Admissions],tblDaily[EntryDate],DATE(2026,3,30),tblDaily[WardCode],"NICU")),"")</f>
        <v/>
      </c>
      <c r="C114" s="12">
        <f>IFERROR(IF(SUMIFS(tblDaily[Discharges],tblDaily[EntryDate],DATE(2026,3,30),tblDaily[WardCode],"NICU")=0,"",SUMIFS(tblDaily[Discharges],tblDaily[EntryDate],DATE(2026,3,30),tblDaily[WardCode],"NICU")),"")</f>
        <v/>
      </c>
      <c r="D114" s="12">
        <f>IFERROR(IF(SUMIFS(tblDaily[Deaths],tblDaily[EntryDate],DATE(2026,3,30),tblDaily[WardCode],"NICU")=0,"",SUMIFS(tblDaily[Deaths],tblDaily[EntryDate],DATE(2026,3,30),tblDaily[WardCode],"NICU")),"")</f>
        <v/>
      </c>
      <c r="E114" s="12">
        <f>IFERROR(IF(SUMIFS(tblDaily[DeathsUnder24Hrs],tblDaily[EntryDate],DATE(2026,3,30),tblDaily[WardCode],"NICU")=0,"",SUMIFS(tblDaily[DeathsUnder24Hrs],tblDaily[EntryDate],DATE(2026,3,30),tblDaily[WardCode],"NICU")),"")</f>
        <v/>
      </c>
      <c r="F114" s="12">
        <f>IFERROR(IF(SUMIFS(tblDaily[TransfersIn],tblDaily[EntryDate],DATE(2026,3,30),tblDaily[WardCode],"NICU")=0,"",SUMIFS(tblDaily[TransfersIn],tblDaily[EntryDate],DATE(2026,3,30),tblDaily[WardCode],"NICU")),"")</f>
        <v/>
      </c>
      <c r="G114" s="12">
        <f>IFERROR(IF(SUMIFS(tblDaily[TransfersOut],tblDaily[EntryDate],DATE(2026,3,30),tblDaily[WardCode],"NICU")=0,"",SUMIFS(tblDaily[TransfersOut],tblDaily[EntryDate],DATE(2026,3,30),tblDaily[WardCode],"NICU")),"")</f>
        <v/>
      </c>
      <c r="H114" s="12">
        <f>IFERROR(IF(SUMIFS(tblDaily[Remaining],tblDaily[EntryDate],DATE(2026,3,30),tblDaily[WardCode],"NICU")=0,"",SUMIFS(tblDaily[Remaining],tblDaily[EntryDate],DATE(2026,3,30),tblDaily[WardCode],"NICU")),"")</f>
        <v/>
      </c>
    </row>
    <row r="115">
      <c r="A115" s="12" t="n">
        <v>31</v>
      </c>
      <c r="B115" s="12">
        <f>IFERROR(IF(SUMIFS(tblDaily[Admissions],tblDaily[EntryDate],DATE(2026,3,31),tblDaily[WardCode],"NICU")=0,"",SUMIFS(tblDaily[Admissions],tblDaily[EntryDate],DATE(2026,3,31),tblDaily[WardCode],"NICU")),"")</f>
        <v/>
      </c>
      <c r="C115" s="12">
        <f>IFERROR(IF(SUMIFS(tblDaily[Discharges],tblDaily[EntryDate],DATE(2026,3,31),tblDaily[WardCode],"NICU")=0,"",SUMIFS(tblDaily[Discharges],tblDaily[EntryDate],DATE(2026,3,31),tblDaily[WardCode],"NICU")),"")</f>
        <v/>
      </c>
      <c r="D115" s="12">
        <f>IFERROR(IF(SUMIFS(tblDaily[Deaths],tblDaily[EntryDate],DATE(2026,3,31),tblDaily[WardCode],"NICU")=0,"",SUMIFS(tblDaily[Deaths],tblDaily[EntryDate],DATE(2026,3,31),tblDaily[WardCode],"NICU")),"")</f>
        <v/>
      </c>
      <c r="E115" s="12">
        <f>IFERROR(IF(SUMIFS(tblDaily[DeathsUnder24Hrs],tblDaily[EntryDate],DATE(2026,3,31),tblDaily[WardCode],"NICU")=0,"",SUMIFS(tblDaily[DeathsUnder24Hrs],tblDaily[EntryDate],DATE(2026,3,31),tblDaily[WardCode],"NICU")),"")</f>
        <v/>
      </c>
      <c r="F115" s="12">
        <f>IFERROR(IF(SUMIFS(tblDaily[TransfersIn],tblDaily[EntryDate],DATE(2026,3,31),tblDaily[WardCode],"NICU")=0,"",SUMIFS(tblDaily[TransfersIn],tblDaily[EntryDate],DATE(2026,3,31),tblDaily[WardCode],"NICU")),"")</f>
        <v/>
      </c>
      <c r="G115" s="12">
        <f>IFERROR(IF(SUMIFS(tblDaily[TransfersOut],tblDaily[EntryDate],DATE(2026,3,31),tblDaily[WardCode],"NICU")=0,"",SUMIFS(tblDaily[TransfersOut],tblDaily[EntryDate],DATE(2026,3,31),tblDaily[WardCode],"NICU")),"")</f>
        <v/>
      </c>
      <c r="H115" s="12">
        <f>IFERROR(IF(SUMIFS(tblDaily[Remaining],tblDaily[EntryDate],DATE(2026,3,31),tblDaily[WardCode],"NICU")=0,"",SUMIFS(tblDaily[Remaining],tblDaily[EntryDate],DATE(2026,3,31),tblDaily[WardCode],"NICU")),"")</f>
        <v/>
      </c>
    </row>
    <row r="116">
      <c r="A116" s="17" t="inlineStr">
        <is>
          <t>TOTAL</t>
        </is>
      </c>
      <c r="B116" s="17">
        <f>SUMIFS(tblDaily[Admissions],tblDaily[Month],3,tblDaily[WardCode],"NICU") - SUMIFS(tblDaily[DeathsUnder24Hrs],tblDaily[Month],3,tblDaily[WardCode],"NICU")</f>
        <v/>
      </c>
      <c r="C116" s="17">
        <f>SUMIFS(tblDaily[Discharges],tblDaily[Month],3,tblDaily[WardCode],"NICU")</f>
        <v/>
      </c>
      <c r="D116" s="17">
        <f>SUMIFS(tblDaily[Deaths],tblDaily[Month],3,tblDaily[WardCode],"NICU")</f>
        <v/>
      </c>
      <c r="E116" s="17">
        <f>SUMIFS(tblDaily[DeathsUnder24Hrs],tblDaily[Month],3,tblDaily[WardCode],"NICU")</f>
        <v/>
      </c>
      <c r="F116" s="17">
        <f>SUMIFS(tblDaily[TransfersIn],tblDaily[Month],3,tblDaily[WardCode],"NICU")</f>
        <v/>
      </c>
      <c r="G116" s="17">
        <f>SUMIFS(tblDaily[TransfersOut],tblDaily[Month],3,tblDaily[WardCode],"NICU")</f>
        <v/>
      </c>
      <c r="H116" s="17">
        <f>SUMIFS(tblDaily[Remaining],tblDaily[Month],3,tblDaily[WardCode],"NICU")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NEONATAL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4">
        <f>IFERROR(SUMIFS(tblDaily[Remaining],tblDaily[EntryDate],DATE(2026,3,31),tblDaily[WardCode],"NICU"),0)</f>
        <v/>
      </c>
    </row>
    <row r="122">
      <c r="A122" s="4" t="inlineStr">
        <is>
          <t>Bed complement</t>
        </is>
      </c>
      <c r="H122" s="15">
        <f>IFERROR(INDEX(tblWardConfig[BedComplement],MATCH("NICU",tblWardConfig[WardCode],0)),0)</f>
        <v/>
      </c>
    </row>
    <row r="123">
      <c r="A123" s="16" t="inlineStr">
        <is>
          <t>Day of
the
Month</t>
        </is>
      </c>
      <c r="B123" s="16" t="inlineStr">
        <is>
          <t>Admissions</t>
        </is>
      </c>
      <c r="C123" s="16" t="inlineStr">
        <is>
          <t>Discharges</t>
        </is>
      </c>
      <c r="D123" s="16" t="inlineStr">
        <is>
          <t>Deaths</t>
        </is>
      </c>
      <c r="E123" s="16" t="inlineStr">
        <is>
          <t>Deaths
&lt;24Hrs</t>
        </is>
      </c>
      <c r="F123" s="16" t="inlineStr">
        <is>
          <t>Transfers-
In</t>
        </is>
      </c>
      <c r="G123" s="16" t="inlineStr">
        <is>
          <t>Transfers-
Out</t>
        </is>
      </c>
      <c r="H123" s="16" t="inlineStr">
        <is>
          <t>No. of Patients
Remaining In
Ward</t>
        </is>
      </c>
    </row>
    <row r="124">
      <c r="A124" s="12" t="n">
        <v>1</v>
      </c>
      <c r="B124" s="12">
        <f>IFERROR(IF(SUMIFS(tblDaily[Admissions],tblDaily[EntryDate],DATE(2026,4,1),tblDaily[WardCode],"NICU")=0,"",SUMIFS(tblDaily[Admissions],tblDaily[EntryDate],DATE(2026,4,1),tblDaily[WardCode],"NICU")),"")</f>
        <v/>
      </c>
      <c r="C124" s="12">
        <f>IFERROR(IF(SUMIFS(tblDaily[Discharges],tblDaily[EntryDate],DATE(2026,4,1),tblDaily[WardCode],"NICU")=0,"",SUMIFS(tblDaily[Discharges],tblDaily[EntryDate],DATE(2026,4,1),tblDaily[WardCode],"NICU")),"")</f>
        <v/>
      </c>
      <c r="D124" s="12">
        <f>IFERROR(IF(SUMIFS(tblDaily[Deaths],tblDaily[EntryDate],DATE(2026,4,1),tblDaily[WardCode],"NICU")=0,"",SUMIFS(tblDaily[Deaths],tblDaily[EntryDate],DATE(2026,4,1),tblDaily[WardCode],"NICU")),"")</f>
        <v/>
      </c>
      <c r="E124" s="12">
        <f>IFERROR(IF(SUMIFS(tblDaily[DeathsUnder24Hrs],tblDaily[EntryDate],DATE(2026,4,1),tblDaily[WardCode],"NICU")=0,"",SUMIFS(tblDaily[DeathsUnder24Hrs],tblDaily[EntryDate],DATE(2026,4,1),tblDaily[WardCode],"NICU")),"")</f>
        <v/>
      </c>
      <c r="F124" s="12">
        <f>IFERROR(IF(SUMIFS(tblDaily[TransfersIn],tblDaily[EntryDate],DATE(2026,4,1),tblDaily[WardCode],"NICU")=0,"",SUMIFS(tblDaily[TransfersIn],tblDaily[EntryDate],DATE(2026,4,1),tblDaily[WardCode],"NICU")),"")</f>
        <v/>
      </c>
      <c r="G124" s="12">
        <f>IFERROR(IF(SUMIFS(tblDaily[TransfersOut],tblDaily[EntryDate],DATE(2026,4,1),tblDaily[WardCode],"NICU")=0,"",SUMIFS(tblDaily[TransfersOut],tblDaily[EntryDate],DATE(2026,4,1),tblDaily[WardCode],"NICU")),"")</f>
        <v/>
      </c>
      <c r="H124" s="12">
        <f>IFERROR(IF(SUMIFS(tblDaily[Remaining],tblDaily[EntryDate],DATE(2026,4,1),tblDaily[WardCode],"NICU")=0,"",SUMIFS(tblDaily[Remaining],tblDaily[EntryDate],DATE(2026,4,1),tblDaily[WardCode],"NICU")),"")</f>
        <v/>
      </c>
    </row>
    <row r="125">
      <c r="A125" s="12" t="n">
        <v>2</v>
      </c>
      <c r="B125" s="12">
        <f>IFERROR(IF(SUMIFS(tblDaily[Admissions],tblDaily[EntryDate],DATE(2026,4,2),tblDaily[WardCode],"NICU")=0,"",SUMIFS(tblDaily[Admissions],tblDaily[EntryDate],DATE(2026,4,2),tblDaily[WardCode],"NICU")),"")</f>
        <v/>
      </c>
      <c r="C125" s="12">
        <f>IFERROR(IF(SUMIFS(tblDaily[Discharges],tblDaily[EntryDate],DATE(2026,4,2),tblDaily[WardCode],"NICU")=0,"",SUMIFS(tblDaily[Discharges],tblDaily[EntryDate],DATE(2026,4,2),tblDaily[WardCode],"NICU")),"")</f>
        <v/>
      </c>
      <c r="D125" s="12">
        <f>IFERROR(IF(SUMIFS(tblDaily[Deaths],tblDaily[EntryDate],DATE(2026,4,2),tblDaily[WardCode],"NICU")=0,"",SUMIFS(tblDaily[Deaths],tblDaily[EntryDate],DATE(2026,4,2),tblDaily[WardCode],"NICU")),"")</f>
        <v/>
      </c>
      <c r="E125" s="12">
        <f>IFERROR(IF(SUMIFS(tblDaily[DeathsUnder24Hrs],tblDaily[EntryDate],DATE(2026,4,2),tblDaily[WardCode],"NICU")=0,"",SUMIFS(tblDaily[DeathsUnder24Hrs],tblDaily[EntryDate],DATE(2026,4,2),tblDaily[WardCode],"NICU")),"")</f>
        <v/>
      </c>
      <c r="F125" s="12">
        <f>IFERROR(IF(SUMIFS(tblDaily[TransfersIn],tblDaily[EntryDate],DATE(2026,4,2),tblDaily[WardCode],"NICU")=0,"",SUMIFS(tblDaily[TransfersIn],tblDaily[EntryDate],DATE(2026,4,2),tblDaily[WardCode],"NICU")),"")</f>
        <v/>
      </c>
      <c r="G125" s="12">
        <f>IFERROR(IF(SUMIFS(tblDaily[TransfersOut],tblDaily[EntryDate],DATE(2026,4,2),tblDaily[WardCode],"NICU")=0,"",SUMIFS(tblDaily[TransfersOut],tblDaily[EntryDate],DATE(2026,4,2),tblDaily[WardCode],"NICU")),"")</f>
        <v/>
      </c>
      <c r="H125" s="12">
        <f>IFERROR(IF(SUMIFS(tblDaily[Remaining],tblDaily[EntryDate],DATE(2026,4,2),tblDaily[WardCode],"NICU")=0,"",SUMIFS(tblDaily[Remaining],tblDaily[EntryDate],DATE(2026,4,2),tblDaily[WardCode],"NICU")),"")</f>
        <v/>
      </c>
    </row>
    <row r="126">
      <c r="A126" s="12" t="n">
        <v>3</v>
      </c>
      <c r="B126" s="12">
        <f>IFERROR(IF(SUMIFS(tblDaily[Admissions],tblDaily[EntryDate],DATE(2026,4,3),tblDaily[WardCode],"NICU")=0,"",SUMIFS(tblDaily[Admissions],tblDaily[EntryDate],DATE(2026,4,3),tblDaily[WardCode],"NICU")),"")</f>
        <v/>
      </c>
      <c r="C126" s="12">
        <f>IFERROR(IF(SUMIFS(tblDaily[Discharges],tblDaily[EntryDate],DATE(2026,4,3),tblDaily[WardCode],"NICU")=0,"",SUMIFS(tblDaily[Discharges],tblDaily[EntryDate],DATE(2026,4,3),tblDaily[WardCode],"NICU")),"")</f>
        <v/>
      </c>
      <c r="D126" s="12">
        <f>IFERROR(IF(SUMIFS(tblDaily[Deaths],tblDaily[EntryDate],DATE(2026,4,3),tblDaily[WardCode],"NICU")=0,"",SUMIFS(tblDaily[Deaths],tblDaily[EntryDate],DATE(2026,4,3),tblDaily[WardCode],"NICU")),"")</f>
        <v/>
      </c>
      <c r="E126" s="12">
        <f>IFERROR(IF(SUMIFS(tblDaily[DeathsUnder24Hrs],tblDaily[EntryDate],DATE(2026,4,3),tblDaily[WardCode],"NICU")=0,"",SUMIFS(tblDaily[DeathsUnder24Hrs],tblDaily[EntryDate],DATE(2026,4,3),tblDaily[WardCode],"NICU")),"")</f>
        <v/>
      </c>
      <c r="F126" s="12">
        <f>IFERROR(IF(SUMIFS(tblDaily[TransfersIn],tblDaily[EntryDate],DATE(2026,4,3),tblDaily[WardCode],"NICU")=0,"",SUMIFS(tblDaily[TransfersIn],tblDaily[EntryDate],DATE(2026,4,3),tblDaily[WardCode],"NICU")),"")</f>
        <v/>
      </c>
      <c r="G126" s="12">
        <f>IFERROR(IF(SUMIFS(tblDaily[TransfersOut],tblDaily[EntryDate],DATE(2026,4,3),tblDaily[WardCode],"NICU")=0,"",SUMIFS(tblDaily[TransfersOut],tblDaily[EntryDate],DATE(2026,4,3),tblDaily[WardCode],"NICU")),"")</f>
        <v/>
      </c>
      <c r="H126" s="12">
        <f>IFERROR(IF(SUMIFS(tblDaily[Remaining],tblDaily[EntryDate],DATE(2026,4,3),tblDaily[WardCode],"NICU")=0,"",SUMIFS(tblDaily[Remaining],tblDaily[EntryDate],DATE(2026,4,3),tblDaily[WardCode],"NICU")),"")</f>
        <v/>
      </c>
    </row>
    <row r="127">
      <c r="A127" s="12" t="n">
        <v>4</v>
      </c>
      <c r="B127" s="12">
        <f>IFERROR(IF(SUMIFS(tblDaily[Admissions],tblDaily[EntryDate],DATE(2026,4,4),tblDaily[WardCode],"NICU")=0,"",SUMIFS(tblDaily[Admissions],tblDaily[EntryDate],DATE(2026,4,4),tblDaily[WardCode],"NICU")),"")</f>
        <v/>
      </c>
      <c r="C127" s="12">
        <f>IFERROR(IF(SUMIFS(tblDaily[Discharges],tblDaily[EntryDate],DATE(2026,4,4),tblDaily[WardCode],"NICU")=0,"",SUMIFS(tblDaily[Discharges],tblDaily[EntryDate],DATE(2026,4,4),tblDaily[WardCode],"NICU")),"")</f>
        <v/>
      </c>
      <c r="D127" s="12">
        <f>IFERROR(IF(SUMIFS(tblDaily[Deaths],tblDaily[EntryDate],DATE(2026,4,4),tblDaily[WardCode],"NICU")=0,"",SUMIFS(tblDaily[Deaths],tblDaily[EntryDate],DATE(2026,4,4),tblDaily[WardCode],"NICU")),"")</f>
        <v/>
      </c>
      <c r="E127" s="12">
        <f>IFERROR(IF(SUMIFS(tblDaily[DeathsUnder24Hrs],tblDaily[EntryDate],DATE(2026,4,4),tblDaily[WardCode],"NICU")=0,"",SUMIFS(tblDaily[DeathsUnder24Hrs],tblDaily[EntryDate],DATE(2026,4,4),tblDaily[WardCode],"NICU")),"")</f>
        <v/>
      </c>
      <c r="F127" s="12">
        <f>IFERROR(IF(SUMIFS(tblDaily[TransfersIn],tblDaily[EntryDate],DATE(2026,4,4),tblDaily[WardCode],"NICU")=0,"",SUMIFS(tblDaily[TransfersIn],tblDaily[EntryDate],DATE(2026,4,4),tblDaily[WardCode],"NICU")),"")</f>
        <v/>
      </c>
      <c r="G127" s="12">
        <f>IFERROR(IF(SUMIFS(tblDaily[TransfersOut],tblDaily[EntryDate],DATE(2026,4,4),tblDaily[WardCode],"NICU")=0,"",SUMIFS(tblDaily[TransfersOut],tblDaily[EntryDate],DATE(2026,4,4),tblDaily[WardCode],"NICU")),"")</f>
        <v/>
      </c>
      <c r="H127" s="12">
        <f>IFERROR(IF(SUMIFS(tblDaily[Remaining],tblDaily[EntryDate],DATE(2026,4,4),tblDaily[WardCode],"NICU")=0,"",SUMIFS(tblDaily[Remaining],tblDaily[EntryDate],DATE(2026,4,4),tblDaily[WardCode],"NICU")),"")</f>
        <v/>
      </c>
    </row>
    <row r="128">
      <c r="A128" s="12" t="n">
        <v>5</v>
      </c>
      <c r="B128" s="12">
        <f>IFERROR(IF(SUMIFS(tblDaily[Admissions],tblDaily[EntryDate],DATE(2026,4,5),tblDaily[WardCode],"NICU")=0,"",SUMIFS(tblDaily[Admissions],tblDaily[EntryDate],DATE(2026,4,5),tblDaily[WardCode],"NICU")),"")</f>
        <v/>
      </c>
      <c r="C128" s="12">
        <f>IFERROR(IF(SUMIFS(tblDaily[Discharges],tblDaily[EntryDate],DATE(2026,4,5),tblDaily[WardCode],"NICU")=0,"",SUMIFS(tblDaily[Discharges],tblDaily[EntryDate],DATE(2026,4,5),tblDaily[WardCode],"NICU")),"")</f>
        <v/>
      </c>
      <c r="D128" s="12">
        <f>IFERROR(IF(SUMIFS(tblDaily[Deaths],tblDaily[EntryDate],DATE(2026,4,5),tblDaily[WardCode],"NICU")=0,"",SUMIFS(tblDaily[Deaths],tblDaily[EntryDate],DATE(2026,4,5),tblDaily[WardCode],"NICU")),"")</f>
        <v/>
      </c>
      <c r="E128" s="12">
        <f>IFERROR(IF(SUMIFS(tblDaily[DeathsUnder24Hrs],tblDaily[EntryDate],DATE(2026,4,5),tblDaily[WardCode],"NICU")=0,"",SUMIFS(tblDaily[DeathsUnder24Hrs],tblDaily[EntryDate],DATE(2026,4,5),tblDaily[WardCode],"NICU")),"")</f>
        <v/>
      </c>
      <c r="F128" s="12">
        <f>IFERROR(IF(SUMIFS(tblDaily[TransfersIn],tblDaily[EntryDate],DATE(2026,4,5),tblDaily[WardCode],"NICU")=0,"",SUMIFS(tblDaily[TransfersIn],tblDaily[EntryDate],DATE(2026,4,5),tblDaily[WardCode],"NICU")),"")</f>
        <v/>
      </c>
      <c r="G128" s="12">
        <f>IFERROR(IF(SUMIFS(tblDaily[TransfersOut],tblDaily[EntryDate],DATE(2026,4,5),tblDaily[WardCode],"NICU")=0,"",SUMIFS(tblDaily[TransfersOut],tblDaily[EntryDate],DATE(2026,4,5),tblDaily[WardCode],"NICU")),"")</f>
        <v/>
      </c>
      <c r="H128" s="12">
        <f>IFERROR(IF(SUMIFS(tblDaily[Remaining],tblDaily[EntryDate],DATE(2026,4,5),tblDaily[WardCode],"NICU")=0,"",SUMIFS(tblDaily[Remaining],tblDaily[EntryDate],DATE(2026,4,5),tblDaily[WardCode],"NICU")),"")</f>
        <v/>
      </c>
    </row>
    <row r="129">
      <c r="A129" s="12" t="n">
        <v>6</v>
      </c>
      <c r="B129" s="12">
        <f>IFERROR(IF(SUMIFS(tblDaily[Admissions],tblDaily[EntryDate],DATE(2026,4,6),tblDaily[WardCode],"NICU")=0,"",SUMIFS(tblDaily[Admissions],tblDaily[EntryDate],DATE(2026,4,6),tblDaily[WardCode],"NICU")),"")</f>
        <v/>
      </c>
      <c r="C129" s="12">
        <f>IFERROR(IF(SUMIFS(tblDaily[Discharges],tblDaily[EntryDate],DATE(2026,4,6),tblDaily[WardCode],"NICU")=0,"",SUMIFS(tblDaily[Discharges],tblDaily[EntryDate],DATE(2026,4,6),tblDaily[WardCode],"NICU")),"")</f>
        <v/>
      </c>
      <c r="D129" s="12">
        <f>IFERROR(IF(SUMIFS(tblDaily[Deaths],tblDaily[EntryDate],DATE(2026,4,6),tblDaily[WardCode],"NICU")=0,"",SUMIFS(tblDaily[Deaths],tblDaily[EntryDate],DATE(2026,4,6),tblDaily[WardCode],"NICU")),"")</f>
        <v/>
      </c>
      <c r="E129" s="12">
        <f>IFERROR(IF(SUMIFS(tblDaily[DeathsUnder24Hrs],tblDaily[EntryDate],DATE(2026,4,6),tblDaily[WardCode],"NICU")=0,"",SUMIFS(tblDaily[DeathsUnder24Hrs],tblDaily[EntryDate],DATE(2026,4,6),tblDaily[WardCode],"NICU")),"")</f>
        <v/>
      </c>
      <c r="F129" s="12">
        <f>IFERROR(IF(SUMIFS(tblDaily[TransfersIn],tblDaily[EntryDate],DATE(2026,4,6),tblDaily[WardCode],"NICU")=0,"",SUMIFS(tblDaily[TransfersIn],tblDaily[EntryDate],DATE(2026,4,6),tblDaily[WardCode],"NICU")),"")</f>
        <v/>
      </c>
      <c r="G129" s="12">
        <f>IFERROR(IF(SUMIFS(tblDaily[TransfersOut],tblDaily[EntryDate],DATE(2026,4,6),tblDaily[WardCode],"NICU")=0,"",SUMIFS(tblDaily[TransfersOut],tblDaily[EntryDate],DATE(2026,4,6),tblDaily[WardCode],"NICU")),"")</f>
        <v/>
      </c>
      <c r="H129" s="12">
        <f>IFERROR(IF(SUMIFS(tblDaily[Remaining],tblDaily[EntryDate],DATE(2026,4,6),tblDaily[WardCode],"NICU")=0,"",SUMIFS(tblDaily[Remaining],tblDaily[EntryDate],DATE(2026,4,6),tblDaily[WardCode],"NICU")),"")</f>
        <v/>
      </c>
    </row>
    <row r="130">
      <c r="A130" s="12" t="n">
        <v>7</v>
      </c>
      <c r="B130" s="12">
        <f>IFERROR(IF(SUMIFS(tblDaily[Admissions],tblDaily[EntryDate],DATE(2026,4,7),tblDaily[WardCode],"NICU")=0,"",SUMIFS(tblDaily[Admissions],tblDaily[EntryDate],DATE(2026,4,7),tblDaily[WardCode],"NICU")),"")</f>
        <v/>
      </c>
      <c r="C130" s="12">
        <f>IFERROR(IF(SUMIFS(tblDaily[Discharges],tblDaily[EntryDate],DATE(2026,4,7),tblDaily[WardCode],"NICU")=0,"",SUMIFS(tblDaily[Discharges],tblDaily[EntryDate],DATE(2026,4,7),tblDaily[WardCode],"NICU")),"")</f>
        <v/>
      </c>
      <c r="D130" s="12">
        <f>IFERROR(IF(SUMIFS(tblDaily[Deaths],tblDaily[EntryDate],DATE(2026,4,7),tblDaily[WardCode],"NICU")=0,"",SUMIFS(tblDaily[Deaths],tblDaily[EntryDate],DATE(2026,4,7),tblDaily[WardCode],"NICU")),"")</f>
        <v/>
      </c>
      <c r="E130" s="12">
        <f>IFERROR(IF(SUMIFS(tblDaily[DeathsUnder24Hrs],tblDaily[EntryDate],DATE(2026,4,7),tblDaily[WardCode],"NICU")=0,"",SUMIFS(tblDaily[DeathsUnder24Hrs],tblDaily[EntryDate],DATE(2026,4,7),tblDaily[WardCode],"NICU")),"")</f>
        <v/>
      </c>
      <c r="F130" s="12">
        <f>IFERROR(IF(SUMIFS(tblDaily[TransfersIn],tblDaily[EntryDate],DATE(2026,4,7),tblDaily[WardCode],"NICU")=0,"",SUMIFS(tblDaily[TransfersIn],tblDaily[EntryDate],DATE(2026,4,7),tblDaily[WardCode],"NICU")),"")</f>
        <v/>
      </c>
      <c r="G130" s="12">
        <f>IFERROR(IF(SUMIFS(tblDaily[TransfersOut],tblDaily[EntryDate],DATE(2026,4,7),tblDaily[WardCode],"NICU")=0,"",SUMIFS(tblDaily[TransfersOut],tblDaily[EntryDate],DATE(2026,4,7),tblDaily[WardCode],"NICU")),"")</f>
        <v/>
      </c>
      <c r="H130" s="12">
        <f>IFERROR(IF(SUMIFS(tblDaily[Remaining],tblDaily[EntryDate],DATE(2026,4,7),tblDaily[WardCode],"NICU")=0,"",SUMIFS(tblDaily[Remaining],tblDaily[EntryDate],DATE(2026,4,7),tblDaily[WardCode],"NICU")),"")</f>
        <v/>
      </c>
    </row>
    <row r="131">
      <c r="A131" s="12" t="n">
        <v>8</v>
      </c>
      <c r="B131" s="12">
        <f>IFERROR(IF(SUMIFS(tblDaily[Admissions],tblDaily[EntryDate],DATE(2026,4,8),tblDaily[WardCode],"NICU")=0,"",SUMIFS(tblDaily[Admissions],tblDaily[EntryDate],DATE(2026,4,8),tblDaily[WardCode],"NICU")),"")</f>
        <v/>
      </c>
      <c r="C131" s="12">
        <f>IFERROR(IF(SUMIFS(tblDaily[Discharges],tblDaily[EntryDate],DATE(2026,4,8),tblDaily[WardCode],"NICU")=0,"",SUMIFS(tblDaily[Discharges],tblDaily[EntryDate],DATE(2026,4,8),tblDaily[WardCode],"NICU")),"")</f>
        <v/>
      </c>
      <c r="D131" s="12">
        <f>IFERROR(IF(SUMIFS(tblDaily[Deaths],tblDaily[EntryDate],DATE(2026,4,8),tblDaily[WardCode],"NICU")=0,"",SUMIFS(tblDaily[Deaths],tblDaily[EntryDate],DATE(2026,4,8),tblDaily[WardCode],"NICU")),"")</f>
        <v/>
      </c>
      <c r="E131" s="12">
        <f>IFERROR(IF(SUMIFS(tblDaily[DeathsUnder24Hrs],tblDaily[EntryDate],DATE(2026,4,8),tblDaily[WardCode],"NICU")=0,"",SUMIFS(tblDaily[DeathsUnder24Hrs],tblDaily[EntryDate],DATE(2026,4,8),tblDaily[WardCode],"NICU")),"")</f>
        <v/>
      </c>
      <c r="F131" s="12">
        <f>IFERROR(IF(SUMIFS(tblDaily[TransfersIn],tblDaily[EntryDate],DATE(2026,4,8),tblDaily[WardCode],"NICU")=0,"",SUMIFS(tblDaily[TransfersIn],tblDaily[EntryDate],DATE(2026,4,8),tblDaily[WardCode],"NICU")),"")</f>
        <v/>
      </c>
      <c r="G131" s="12">
        <f>IFERROR(IF(SUMIFS(tblDaily[TransfersOut],tblDaily[EntryDate],DATE(2026,4,8),tblDaily[WardCode],"NICU")=0,"",SUMIFS(tblDaily[TransfersOut],tblDaily[EntryDate],DATE(2026,4,8),tblDaily[WardCode],"NICU")),"")</f>
        <v/>
      </c>
      <c r="H131" s="12">
        <f>IFERROR(IF(SUMIFS(tblDaily[Remaining],tblDaily[EntryDate],DATE(2026,4,8),tblDaily[WardCode],"NICU")=0,"",SUMIFS(tblDaily[Remaining],tblDaily[EntryDate],DATE(2026,4,8),tblDaily[WardCode],"NICU")),"")</f>
        <v/>
      </c>
    </row>
    <row r="132">
      <c r="A132" s="12" t="n">
        <v>9</v>
      </c>
      <c r="B132" s="12">
        <f>IFERROR(IF(SUMIFS(tblDaily[Admissions],tblDaily[EntryDate],DATE(2026,4,9),tblDaily[WardCode],"NICU")=0,"",SUMIFS(tblDaily[Admissions],tblDaily[EntryDate],DATE(2026,4,9),tblDaily[WardCode],"NICU")),"")</f>
        <v/>
      </c>
      <c r="C132" s="12">
        <f>IFERROR(IF(SUMIFS(tblDaily[Discharges],tblDaily[EntryDate],DATE(2026,4,9),tblDaily[WardCode],"NICU")=0,"",SUMIFS(tblDaily[Discharges],tblDaily[EntryDate],DATE(2026,4,9),tblDaily[WardCode],"NICU")),"")</f>
        <v/>
      </c>
      <c r="D132" s="12">
        <f>IFERROR(IF(SUMIFS(tblDaily[Deaths],tblDaily[EntryDate],DATE(2026,4,9),tblDaily[WardCode],"NICU")=0,"",SUMIFS(tblDaily[Deaths],tblDaily[EntryDate],DATE(2026,4,9),tblDaily[WardCode],"NICU")),"")</f>
        <v/>
      </c>
      <c r="E132" s="12">
        <f>IFERROR(IF(SUMIFS(tblDaily[DeathsUnder24Hrs],tblDaily[EntryDate],DATE(2026,4,9),tblDaily[WardCode],"NICU")=0,"",SUMIFS(tblDaily[DeathsUnder24Hrs],tblDaily[EntryDate],DATE(2026,4,9),tblDaily[WardCode],"NICU")),"")</f>
        <v/>
      </c>
      <c r="F132" s="12">
        <f>IFERROR(IF(SUMIFS(tblDaily[TransfersIn],tblDaily[EntryDate],DATE(2026,4,9),tblDaily[WardCode],"NICU")=0,"",SUMIFS(tblDaily[TransfersIn],tblDaily[EntryDate],DATE(2026,4,9),tblDaily[WardCode],"NICU")),"")</f>
        <v/>
      </c>
      <c r="G132" s="12">
        <f>IFERROR(IF(SUMIFS(tblDaily[TransfersOut],tblDaily[EntryDate],DATE(2026,4,9),tblDaily[WardCode],"NICU")=0,"",SUMIFS(tblDaily[TransfersOut],tblDaily[EntryDate],DATE(2026,4,9),tblDaily[WardCode],"NICU")),"")</f>
        <v/>
      </c>
      <c r="H132" s="12">
        <f>IFERROR(IF(SUMIFS(tblDaily[Remaining],tblDaily[EntryDate],DATE(2026,4,9),tblDaily[WardCode],"NICU")=0,"",SUMIFS(tblDaily[Remaining],tblDaily[EntryDate],DATE(2026,4,9),tblDaily[WardCode],"NICU")),"")</f>
        <v/>
      </c>
    </row>
    <row r="133">
      <c r="A133" s="12" t="n">
        <v>10</v>
      </c>
      <c r="B133" s="12">
        <f>IFERROR(IF(SUMIFS(tblDaily[Admissions],tblDaily[EntryDate],DATE(2026,4,10),tblDaily[WardCode],"NICU")=0,"",SUMIFS(tblDaily[Admissions],tblDaily[EntryDate],DATE(2026,4,10),tblDaily[WardCode],"NICU")),"")</f>
        <v/>
      </c>
      <c r="C133" s="12">
        <f>IFERROR(IF(SUMIFS(tblDaily[Discharges],tblDaily[EntryDate],DATE(2026,4,10),tblDaily[WardCode],"NICU")=0,"",SUMIFS(tblDaily[Discharges],tblDaily[EntryDate],DATE(2026,4,10),tblDaily[WardCode],"NICU")),"")</f>
        <v/>
      </c>
      <c r="D133" s="12">
        <f>IFERROR(IF(SUMIFS(tblDaily[Deaths],tblDaily[EntryDate],DATE(2026,4,10),tblDaily[WardCode],"NICU")=0,"",SUMIFS(tblDaily[Deaths],tblDaily[EntryDate],DATE(2026,4,10),tblDaily[WardCode],"NICU")),"")</f>
        <v/>
      </c>
      <c r="E133" s="12">
        <f>IFERROR(IF(SUMIFS(tblDaily[DeathsUnder24Hrs],tblDaily[EntryDate],DATE(2026,4,10),tblDaily[WardCode],"NICU")=0,"",SUMIFS(tblDaily[DeathsUnder24Hrs],tblDaily[EntryDate],DATE(2026,4,10),tblDaily[WardCode],"NICU")),"")</f>
        <v/>
      </c>
      <c r="F133" s="12">
        <f>IFERROR(IF(SUMIFS(tblDaily[TransfersIn],tblDaily[EntryDate],DATE(2026,4,10),tblDaily[WardCode],"NICU")=0,"",SUMIFS(tblDaily[TransfersIn],tblDaily[EntryDate],DATE(2026,4,10),tblDaily[WardCode],"NICU")),"")</f>
        <v/>
      </c>
      <c r="G133" s="12">
        <f>IFERROR(IF(SUMIFS(tblDaily[TransfersOut],tblDaily[EntryDate],DATE(2026,4,10),tblDaily[WardCode],"NICU")=0,"",SUMIFS(tblDaily[TransfersOut],tblDaily[EntryDate],DATE(2026,4,10),tblDaily[WardCode],"NICU")),"")</f>
        <v/>
      </c>
      <c r="H133" s="12">
        <f>IFERROR(IF(SUMIFS(tblDaily[Remaining],tblDaily[EntryDate],DATE(2026,4,10),tblDaily[WardCode],"NICU")=0,"",SUMIFS(tblDaily[Remaining],tblDaily[EntryDate],DATE(2026,4,10),tblDaily[WardCode],"NICU")),"")</f>
        <v/>
      </c>
    </row>
    <row r="134">
      <c r="A134" s="12" t="n">
        <v>11</v>
      </c>
      <c r="B134" s="12">
        <f>IFERROR(IF(SUMIFS(tblDaily[Admissions],tblDaily[EntryDate],DATE(2026,4,11),tblDaily[WardCode],"NICU")=0,"",SUMIFS(tblDaily[Admissions],tblDaily[EntryDate],DATE(2026,4,11),tblDaily[WardCode],"NICU")),"")</f>
        <v/>
      </c>
      <c r="C134" s="12">
        <f>IFERROR(IF(SUMIFS(tblDaily[Discharges],tblDaily[EntryDate],DATE(2026,4,11),tblDaily[WardCode],"NICU")=0,"",SUMIFS(tblDaily[Discharges],tblDaily[EntryDate],DATE(2026,4,11),tblDaily[WardCode],"NICU")),"")</f>
        <v/>
      </c>
      <c r="D134" s="12">
        <f>IFERROR(IF(SUMIFS(tblDaily[Deaths],tblDaily[EntryDate],DATE(2026,4,11),tblDaily[WardCode],"NICU")=0,"",SUMIFS(tblDaily[Deaths],tblDaily[EntryDate],DATE(2026,4,11),tblDaily[WardCode],"NICU")),"")</f>
        <v/>
      </c>
      <c r="E134" s="12">
        <f>IFERROR(IF(SUMIFS(tblDaily[DeathsUnder24Hrs],tblDaily[EntryDate],DATE(2026,4,11),tblDaily[WardCode],"NICU")=0,"",SUMIFS(tblDaily[DeathsUnder24Hrs],tblDaily[EntryDate],DATE(2026,4,11),tblDaily[WardCode],"NICU")),"")</f>
        <v/>
      </c>
      <c r="F134" s="12">
        <f>IFERROR(IF(SUMIFS(tblDaily[TransfersIn],tblDaily[EntryDate],DATE(2026,4,11),tblDaily[WardCode],"NICU")=0,"",SUMIFS(tblDaily[TransfersIn],tblDaily[EntryDate],DATE(2026,4,11),tblDaily[WardCode],"NICU")),"")</f>
        <v/>
      </c>
      <c r="G134" s="12">
        <f>IFERROR(IF(SUMIFS(tblDaily[TransfersOut],tblDaily[EntryDate],DATE(2026,4,11),tblDaily[WardCode],"NICU")=0,"",SUMIFS(tblDaily[TransfersOut],tblDaily[EntryDate],DATE(2026,4,11),tblDaily[WardCode],"NICU")),"")</f>
        <v/>
      </c>
      <c r="H134" s="12">
        <f>IFERROR(IF(SUMIFS(tblDaily[Remaining],tblDaily[EntryDate],DATE(2026,4,11),tblDaily[WardCode],"NICU")=0,"",SUMIFS(tblDaily[Remaining],tblDaily[EntryDate],DATE(2026,4,11),tblDaily[WardCode],"NICU")),"")</f>
        <v/>
      </c>
    </row>
    <row r="135">
      <c r="A135" s="12" t="n">
        <v>12</v>
      </c>
      <c r="B135" s="12">
        <f>IFERROR(IF(SUMIFS(tblDaily[Admissions],tblDaily[EntryDate],DATE(2026,4,12),tblDaily[WardCode],"NICU")=0,"",SUMIFS(tblDaily[Admissions],tblDaily[EntryDate],DATE(2026,4,12),tblDaily[WardCode],"NICU")),"")</f>
        <v/>
      </c>
      <c r="C135" s="12">
        <f>IFERROR(IF(SUMIFS(tblDaily[Discharges],tblDaily[EntryDate],DATE(2026,4,12),tblDaily[WardCode],"NICU")=0,"",SUMIFS(tblDaily[Discharges],tblDaily[EntryDate],DATE(2026,4,12),tblDaily[WardCode],"NICU")),"")</f>
        <v/>
      </c>
      <c r="D135" s="12">
        <f>IFERROR(IF(SUMIFS(tblDaily[Deaths],tblDaily[EntryDate],DATE(2026,4,12),tblDaily[WardCode],"NICU")=0,"",SUMIFS(tblDaily[Deaths],tblDaily[EntryDate],DATE(2026,4,12),tblDaily[WardCode],"NICU")),"")</f>
        <v/>
      </c>
      <c r="E135" s="12">
        <f>IFERROR(IF(SUMIFS(tblDaily[DeathsUnder24Hrs],tblDaily[EntryDate],DATE(2026,4,12),tblDaily[WardCode],"NICU")=0,"",SUMIFS(tblDaily[DeathsUnder24Hrs],tblDaily[EntryDate],DATE(2026,4,12),tblDaily[WardCode],"NICU")),"")</f>
        <v/>
      </c>
      <c r="F135" s="12">
        <f>IFERROR(IF(SUMIFS(tblDaily[TransfersIn],tblDaily[EntryDate],DATE(2026,4,12),tblDaily[WardCode],"NICU")=0,"",SUMIFS(tblDaily[TransfersIn],tblDaily[EntryDate],DATE(2026,4,12),tblDaily[WardCode],"NICU")),"")</f>
        <v/>
      </c>
      <c r="G135" s="12">
        <f>IFERROR(IF(SUMIFS(tblDaily[TransfersOut],tblDaily[EntryDate],DATE(2026,4,12),tblDaily[WardCode],"NICU")=0,"",SUMIFS(tblDaily[TransfersOut],tblDaily[EntryDate],DATE(2026,4,12),tblDaily[WardCode],"NICU")),"")</f>
        <v/>
      </c>
      <c r="H135" s="12">
        <f>IFERROR(IF(SUMIFS(tblDaily[Remaining],tblDaily[EntryDate],DATE(2026,4,12),tblDaily[WardCode],"NICU")=0,"",SUMIFS(tblDaily[Remaining],tblDaily[EntryDate],DATE(2026,4,12),tblDaily[WardCode],"NICU")),"")</f>
        <v/>
      </c>
    </row>
    <row r="136">
      <c r="A136" s="12" t="n">
        <v>13</v>
      </c>
      <c r="B136" s="12">
        <f>IFERROR(IF(SUMIFS(tblDaily[Admissions],tblDaily[EntryDate],DATE(2026,4,13),tblDaily[WardCode],"NICU")=0,"",SUMIFS(tblDaily[Admissions],tblDaily[EntryDate],DATE(2026,4,13),tblDaily[WardCode],"NICU")),"")</f>
        <v/>
      </c>
      <c r="C136" s="12">
        <f>IFERROR(IF(SUMIFS(tblDaily[Discharges],tblDaily[EntryDate],DATE(2026,4,13),tblDaily[WardCode],"NICU")=0,"",SUMIFS(tblDaily[Discharges],tblDaily[EntryDate],DATE(2026,4,13),tblDaily[WardCode],"NICU")),"")</f>
        <v/>
      </c>
      <c r="D136" s="12">
        <f>IFERROR(IF(SUMIFS(tblDaily[Deaths],tblDaily[EntryDate],DATE(2026,4,13),tblDaily[WardCode],"NICU")=0,"",SUMIFS(tblDaily[Deaths],tblDaily[EntryDate],DATE(2026,4,13),tblDaily[WardCode],"NICU")),"")</f>
        <v/>
      </c>
      <c r="E136" s="12">
        <f>IFERROR(IF(SUMIFS(tblDaily[DeathsUnder24Hrs],tblDaily[EntryDate],DATE(2026,4,13),tblDaily[WardCode],"NICU")=0,"",SUMIFS(tblDaily[DeathsUnder24Hrs],tblDaily[EntryDate],DATE(2026,4,13),tblDaily[WardCode],"NICU")),"")</f>
        <v/>
      </c>
      <c r="F136" s="12">
        <f>IFERROR(IF(SUMIFS(tblDaily[TransfersIn],tblDaily[EntryDate],DATE(2026,4,13),tblDaily[WardCode],"NICU")=0,"",SUMIFS(tblDaily[TransfersIn],tblDaily[EntryDate],DATE(2026,4,13),tblDaily[WardCode],"NICU")),"")</f>
        <v/>
      </c>
      <c r="G136" s="12">
        <f>IFERROR(IF(SUMIFS(tblDaily[TransfersOut],tblDaily[EntryDate],DATE(2026,4,13),tblDaily[WardCode],"NICU")=0,"",SUMIFS(tblDaily[TransfersOut],tblDaily[EntryDate],DATE(2026,4,13),tblDaily[WardCode],"NICU")),"")</f>
        <v/>
      </c>
      <c r="H136" s="12">
        <f>IFERROR(IF(SUMIFS(tblDaily[Remaining],tblDaily[EntryDate],DATE(2026,4,13),tblDaily[WardCode],"NICU")=0,"",SUMIFS(tblDaily[Remaining],tblDaily[EntryDate],DATE(2026,4,13),tblDaily[WardCode],"NICU")),"")</f>
        <v/>
      </c>
    </row>
    <row r="137">
      <c r="A137" s="12" t="n">
        <v>14</v>
      </c>
      <c r="B137" s="12">
        <f>IFERROR(IF(SUMIFS(tblDaily[Admissions],tblDaily[EntryDate],DATE(2026,4,14),tblDaily[WardCode],"NICU")=0,"",SUMIFS(tblDaily[Admissions],tblDaily[EntryDate],DATE(2026,4,14),tblDaily[WardCode],"NICU")),"")</f>
        <v/>
      </c>
      <c r="C137" s="12">
        <f>IFERROR(IF(SUMIFS(tblDaily[Discharges],tblDaily[EntryDate],DATE(2026,4,14),tblDaily[WardCode],"NICU")=0,"",SUMIFS(tblDaily[Discharges],tblDaily[EntryDate],DATE(2026,4,14),tblDaily[WardCode],"NICU")),"")</f>
        <v/>
      </c>
      <c r="D137" s="12">
        <f>IFERROR(IF(SUMIFS(tblDaily[Deaths],tblDaily[EntryDate],DATE(2026,4,14),tblDaily[WardCode],"NICU")=0,"",SUMIFS(tblDaily[Deaths],tblDaily[EntryDate],DATE(2026,4,14),tblDaily[WardCode],"NICU")),"")</f>
        <v/>
      </c>
      <c r="E137" s="12">
        <f>IFERROR(IF(SUMIFS(tblDaily[DeathsUnder24Hrs],tblDaily[EntryDate],DATE(2026,4,14),tblDaily[WardCode],"NICU")=0,"",SUMIFS(tblDaily[DeathsUnder24Hrs],tblDaily[EntryDate],DATE(2026,4,14),tblDaily[WardCode],"NICU")),"")</f>
        <v/>
      </c>
      <c r="F137" s="12">
        <f>IFERROR(IF(SUMIFS(tblDaily[TransfersIn],tblDaily[EntryDate],DATE(2026,4,14),tblDaily[WardCode],"NICU")=0,"",SUMIFS(tblDaily[TransfersIn],tblDaily[EntryDate],DATE(2026,4,14),tblDaily[WardCode],"NICU")),"")</f>
        <v/>
      </c>
      <c r="G137" s="12">
        <f>IFERROR(IF(SUMIFS(tblDaily[TransfersOut],tblDaily[EntryDate],DATE(2026,4,14),tblDaily[WardCode],"NICU")=0,"",SUMIFS(tblDaily[TransfersOut],tblDaily[EntryDate],DATE(2026,4,14),tblDaily[WardCode],"NICU")),"")</f>
        <v/>
      </c>
      <c r="H137" s="12">
        <f>IFERROR(IF(SUMIFS(tblDaily[Remaining],tblDaily[EntryDate],DATE(2026,4,14),tblDaily[WardCode],"NICU")=0,"",SUMIFS(tblDaily[Remaining],tblDaily[EntryDate],DATE(2026,4,14),tblDaily[WardCode],"NICU")),"")</f>
        <v/>
      </c>
    </row>
    <row r="138">
      <c r="A138" s="12" t="n">
        <v>15</v>
      </c>
      <c r="B138" s="12">
        <f>IFERROR(IF(SUMIFS(tblDaily[Admissions],tblDaily[EntryDate],DATE(2026,4,15),tblDaily[WardCode],"NICU")=0,"",SUMIFS(tblDaily[Admissions],tblDaily[EntryDate],DATE(2026,4,15),tblDaily[WardCode],"NICU")),"")</f>
        <v/>
      </c>
      <c r="C138" s="12">
        <f>IFERROR(IF(SUMIFS(tblDaily[Discharges],tblDaily[EntryDate],DATE(2026,4,15),tblDaily[WardCode],"NICU")=0,"",SUMIFS(tblDaily[Discharges],tblDaily[EntryDate],DATE(2026,4,15),tblDaily[WardCode],"NICU")),"")</f>
        <v/>
      </c>
      <c r="D138" s="12">
        <f>IFERROR(IF(SUMIFS(tblDaily[Deaths],tblDaily[EntryDate],DATE(2026,4,15),tblDaily[WardCode],"NICU")=0,"",SUMIFS(tblDaily[Deaths],tblDaily[EntryDate],DATE(2026,4,15),tblDaily[WardCode],"NICU")),"")</f>
        <v/>
      </c>
      <c r="E138" s="12">
        <f>IFERROR(IF(SUMIFS(tblDaily[DeathsUnder24Hrs],tblDaily[EntryDate],DATE(2026,4,15),tblDaily[WardCode],"NICU")=0,"",SUMIFS(tblDaily[DeathsUnder24Hrs],tblDaily[EntryDate],DATE(2026,4,15),tblDaily[WardCode],"NICU")),"")</f>
        <v/>
      </c>
      <c r="F138" s="12">
        <f>IFERROR(IF(SUMIFS(tblDaily[TransfersIn],tblDaily[EntryDate],DATE(2026,4,15),tblDaily[WardCode],"NICU")=0,"",SUMIFS(tblDaily[TransfersIn],tblDaily[EntryDate],DATE(2026,4,15),tblDaily[WardCode],"NICU")),"")</f>
        <v/>
      </c>
      <c r="G138" s="12">
        <f>IFERROR(IF(SUMIFS(tblDaily[TransfersOut],tblDaily[EntryDate],DATE(2026,4,15),tblDaily[WardCode],"NICU")=0,"",SUMIFS(tblDaily[TransfersOut],tblDaily[EntryDate],DATE(2026,4,15),tblDaily[WardCode],"NICU")),"")</f>
        <v/>
      </c>
      <c r="H138" s="12">
        <f>IFERROR(IF(SUMIFS(tblDaily[Remaining],tblDaily[EntryDate],DATE(2026,4,15),tblDaily[WardCode],"NICU")=0,"",SUMIFS(tblDaily[Remaining],tblDaily[EntryDate],DATE(2026,4,15),tblDaily[WardCode],"NICU")),"")</f>
        <v/>
      </c>
    </row>
    <row r="139">
      <c r="A139" s="12" t="n">
        <v>16</v>
      </c>
      <c r="B139" s="12">
        <f>IFERROR(IF(SUMIFS(tblDaily[Admissions],tblDaily[EntryDate],DATE(2026,4,16),tblDaily[WardCode],"NICU")=0,"",SUMIFS(tblDaily[Admissions],tblDaily[EntryDate],DATE(2026,4,16),tblDaily[WardCode],"NICU")),"")</f>
        <v/>
      </c>
      <c r="C139" s="12">
        <f>IFERROR(IF(SUMIFS(tblDaily[Discharges],tblDaily[EntryDate],DATE(2026,4,16),tblDaily[WardCode],"NICU")=0,"",SUMIFS(tblDaily[Discharges],tblDaily[EntryDate],DATE(2026,4,16),tblDaily[WardCode],"NICU")),"")</f>
        <v/>
      </c>
      <c r="D139" s="12">
        <f>IFERROR(IF(SUMIFS(tblDaily[Deaths],tblDaily[EntryDate],DATE(2026,4,16),tblDaily[WardCode],"NICU")=0,"",SUMIFS(tblDaily[Deaths],tblDaily[EntryDate],DATE(2026,4,16),tblDaily[WardCode],"NICU")),"")</f>
        <v/>
      </c>
      <c r="E139" s="12">
        <f>IFERROR(IF(SUMIFS(tblDaily[DeathsUnder24Hrs],tblDaily[EntryDate],DATE(2026,4,16),tblDaily[WardCode],"NICU")=0,"",SUMIFS(tblDaily[DeathsUnder24Hrs],tblDaily[EntryDate],DATE(2026,4,16),tblDaily[WardCode],"NICU")),"")</f>
        <v/>
      </c>
      <c r="F139" s="12">
        <f>IFERROR(IF(SUMIFS(tblDaily[TransfersIn],tblDaily[EntryDate],DATE(2026,4,16),tblDaily[WardCode],"NICU")=0,"",SUMIFS(tblDaily[TransfersIn],tblDaily[EntryDate],DATE(2026,4,16),tblDaily[WardCode],"NICU")),"")</f>
        <v/>
      </c>
      <c r="G139" s="12">
        <f>IFERROR(IF(SUMIFS(tblDaily[TransfersOut],tblDaily[EntryDate],DATE(2026,4,16),tblDaily[WardCode],"NICU")=0,"",SUMIFS(tblDaily[TransfersOut],tblDaily[EntryDate],DATE(2026,4,16),tblDaily[WardCode],"NICU")),"")</f>
        <v/>
      </c>
      <c r="H139" s="12">
        <f>IFERROR(IF(SUMIFS(tblDaily[Remaining],tblDaily[EntryDate],DATE(2026,4,16),tblDaily[WardCode],"NICU")=0,"",SUMIFS(tblDaily[Remaining],tblDaily[EntryDate],DATE(2026,4,16),tblDaily[WardCode],"NICU")),"")</f>
        <v/>
      </c>
    </row>
    <row r="140">
      <c r="A140" s="12" t="n">
        <v>17</v>
      </c>
      <c r="B140" s="12">
        <f>IFERROR(IF(SUMIFS(tblDaily[Admissions],tblDaily[EntryDate],DATE(2026,4,17),tblDaily[WardCode],"NICU")=0,"",SUMIFS(tblDaily[Admissions],tblDaily[EntryDate],DATE(2026,4,17),tblDaily[WardCode],"NICU")),"")</f>
        <v/>
      </c>
      <c r="C140" s="12">
        <f>IFERROR(IF(SUMIFS(tblDaily[Discharges],tblDaily[EntryDate],DATE(2026,4,17),tblDaily[WardCode],"NICU")=0,"",SUMIFS(tblDaily[Discharges],tblDaily[EntryDate],DATE(2026,4,17),tblDaily[WardCode],"NICU")),"")</f>
        <v/>
      </c>
      <c r="D140" s="12">
        <f>IFERROR(IF(SUMIFS(tblDaily[Deaths],tblDaily[EntryDate],DATE(2026,4,17),tblDaily[WardCode],"NICU")=0,"",SUMIFS(tblDaily[Deaths],tblDaily[EntryDate],DATE(2026,4,17),tblDaily[WardCode],"NICU")),"")</f>
        <v/>
      </c>
      <c r="E140" s="12">
        <f>IFERROR(IF(SUMIFS(tblDaily[DeathsUnder24Hrs],tblDaily[EntryDate],DATE(2026,4,17),tblDaily[WardCode],"NICU")=0,"",SUMIFS(tblDaily[DeathsUnder24Hrs],tblDaily[EntryDate],DATE(2026,4,17),tblDaily[WardCode],"NICU")),"")</f>
        <v/>
      </c>
      <c r="F140" s="12">
        <f>IFERROR(IF(SUMIFS(tblDaily[TransfersIn],tblDaily[EntryDate],DATE(2026,4,17),tblDaily[WardCode],"NICU")=0,"",SUMIFS(tblDaily[TransfersIn],tblDaily[EntryDate],DATE(2026,4,17),tblDaily[WardCode],"NICU")),"")</f>
        <v/>
      </c>
      <c r="G140" s="12">
        <f>IFERROR(IF(SUMIFS(tblDaily[TransfersOut],tblDaily[EntryDate],DATE(2026,4,17),tblDaily[WardCode],"NICU")=0,"",SUMIFS(tblDaily[TransfersOut],tblDaily[EntryDate],DATE(2026,4,17),tblDaily[WardCode],"NICU")),"")</f>
        <v/>
      </c>
      <c r="H140" s="12">
        <f>IFERROR(IF(SUMIFS(tblDaily[Remaining],tblDaily[EntryDate],DATE(2026,4,17),tblDaily[WardCode],"NICU")=0,"",SUMIFS(tblDaily[Remaining],tblDaily[EntryDate],DATE(2026,4,17),tblDaily[WardCode],"NICU")),"")</f>
        <v/>
      </c>
    </row>
    <row r="141">
      <c r="A141" s="12" t="n">
        <v>18</v>
      </c>
      <c r="B141" s="12">
        <f>IFERROR(IF(SUMIFS(tblDaily[Admissions],tblDaily[EntryDate],DATE(2026,4,18),tblDaily[WardCode],"NICU")=0,"",SUMIFS(tblDaily[Admissions],tblDaily[EntryDate],DATE(2026,4,18),tblDaily[WardCode],"NICU")),"")</f>
        <v/>
      </c>
      <c r="C141" s="12">
        <f>IFERROR(IF(SUMIFS(tblDaily[Discharges],tblDaily[EntryDate],DATE(2026,4,18),tblDaily[WardCode],"NICU")=0,"",SUMIFS(tblDaily[Discharges],tblDaily[EntryDate],DATE(2026,4,18),tblDaily[WardCode],"NICU")),"")</f>
        <v/>
      </c>
      <c r="D141" s="12">
        <f>IFERROR(IF(SUMIFS(tblDaily[Deaths],tblDaily[EntryDate],DATE(2026,4,18),tblDaily[WardCode],"NICU")=0,"",SUMIFS(tblDaily[Deaths],tblDaily[EntryDate],DATE(2026,4,18),tblDaily[WardCode],"NICU")),"")</f>
        <v/>
      </c>
      <c r="E141" s="12">
        <f>IFERROR(IF(SUMIFS(tblDaily[DeathsUnder24Hrs],tblDaily[EntryDate],DATE(2026,4,18),tblDaily[WardCode],"NICU")=0,"",SUMIFS(tblDaily[DeathsUnder24Hrs],tblDaily[EntryDate],DATE(2026,4,18),tblDaily[WardCode],"NICU")),"")</f>
        <v/>
      </c>
      <c r="F141" s="12">
        <f>IFERROR(IF(SUMIFS(tblDaily[TransfersIn],tblDaily[EntryDate],DATE(2026,4,18),tblDaily[WardCode],"NICU")=0,"",SUMIFS(tblDaily[TransfersIn],tblDaily[EntryDate],DATE(2026,4,18),tblDaily[WardCode],"NICU")),"")</f>
        <v/>
      </c>
      <c r="G141" s="12">
        <f>IFERROR(IF(SUMIFS(tblDaily[TransfersOut],tblDaily[EntryDate],DATE(2026,4,18),tblDaily[WardCode],"NICU")=0,"",SUMIFS(tblDaily[TransfersOut],tblDaily[EntryDate],DATE(2026,4,18),tblDaily[WardCode],"NICU")),"")</f>
        <v/>
      </c>
      <c r="H141" s="12">
        <f>IFERROR(IF(SUMIFS(tblDaily[Remaining],tblDaily[EntryDate],DATE(2026,4,18),tblDaily[WardCode],"NICU")=0,"",SUMIFS(tblDaily[Remaining],tblDaily[EntryDate],DATE(2026,4,18),tblDaily[WardCode],"NICU")),"")</f>
        <v/>
      </c>
    </row>
    <row r="142">
      <c r="A142" s="12" t="n">
        <v>19</v>
      </c>
      <c r="B142" s="12">
        <f>IFERROR(IF(SUMIFS(tblDaily[Admissions],tblDaily[EntryDate],DATE(2026,4,19),tblDaily[WardCode],"NICU")=0,"",SUMIFS(tblDaily[Admissions],tblDaily[EntryDate],DATE(2026,4,19),tblDaily[WardCode],"NICU")),"")</f>
        <v/>
      </c>
      <c r="C142" s="12">
        <f>IFERROR(IF(SUMIFS(tblDaily[Discharges],tblDaily[EntryDate],DATE(2026,4,19),tblDaily[WardCode],"NICU")=0,"",SUMIFS(tblDaily[Discharges],tblDaily[EntryDate],DATE(2026,4,19),tblDaily[WardCode],"NICU")),"")</f>
        <v/>
      </c>
      <c r="D142" s="12">
        <f>IFERROR(IF(SUMIFS(tblDaily[Deaths],tblDaily[EntryDate],DATE(2026,4,19),tblDaily[WardCode],"NICU")=0,"",SUMIFS(tblDaily[Deaths],tblDaily[EntryDate],DATE(2026,4,19),tblDaily[WardCode],"NICU")),"")</f>
        <v/>
      </c>
      <c r="E142" s="12">
        <f>IFERROR(IF(SUMIFS(tblDaily[DeathsUnder24Hrs],tblDaily[EntryDate],DATE(2026,4,19),tblDaily[WardCode],"NICU")=0,"",SUMIFS(tblDaily[DeathsUnder24Hrs],tblDaily[EntryDate],DATE(2026,4,19),tblDaily[WardCode],"NICU")),"")</f>
        <v/>
      </c>
      <c r="F142" s="12">
        <f>IFERROR(IF(SUMIFS(tblDaily[TransfersIn],tblDaily[EntryDate],DATE(2026,4,19),tblDaily[WardCode],"NICU")=0,"",SUMIFS(tblDaily[TransfersIn],tblDaily[EntryDate],DATE(2026,4,19),tblDaily[WardCode],"NICU")),"")</f>
        <v/>
      </c>
      <c r="G142" s="12">
        <f>IFERROR(IF(SUMIFS(tblDaily[TransfersOut],tblDaily[EntryDate],DATE(2026,4,19),tblDaily[WardCode],"NICU")=0,"",SUMIFS(tblDaily[TransfersOut],tblDaily[EntryDate],DATE(2026,4,19),tblDaily[WardCode],"NICU")),"")</f>
        <v/>
      </c>
      <c r="H142" s="12">
        <f>IFERROR(IF(SUMIFS(tblDaily[Remaining],tblDaily[EntryDate],DATE(2026,4,19),tblDaily[WardCode],"NICU")=0,"",SUMIFS(tblDaily[Remaining],tblDaily[EntryDate],DATE(2026,4,19),tblDaily[WardCode],"NICU")),"")</f>
        <v/>
      </c>
    </row>
    <row r="143">
      <c r="A143" s="12" t="n">
        <v>20</v>
      </c>
      <c r="B143" s="12">
        <f>IFERROR(IF(SUMIFS(tblDaily[Admissions],tblDaily[EntryDate],DATE(2026,4,20),tblDaily[WardCode],"NICU")=0,"",SUMIFS(tblDaily[Admissions],tblDaily[EntryDate],DATE(2026,4,20),tblDaily[WardCode],"NICU")),"")</f>
        <v/>
      </c>
      <c r="C143" s="12">
        <f>IFERROR(IF(SUMIFS(tblDaily[Discharges],tblDaily[EntryDate],DATE(2026,4,20),tblDaily[WardCode],"NICU")=0,"",SUMIFS(tblDaily[Discharges],tblDaily[EntryDate],DATE(2026,4,20),tblDaily[WardCode],"NICU")),"")</f>
        <v/>
      </c>
      <c r="D143" s="12">
        <f>IFERROR(IF(SUMIFS(tblDaily[Deaths],tblDaily[EntryDate],DATE(2026,4,20),tblDaily[WardCode],"NICU")=0,"",SUMIFS(tblDaily[Deaths],tblDaily[EntryDate],DATE(2026,4,20),tblDaily[WardCode],"NICU")),"")</f>
        <v/>
      </c>
      <c r="E143" s="12">
        <f>IFERROR(IF(SUMIFS(tblDaily[DeathsUnder24Hrs],tblDaily[EntryDate],DATE(2026,4,20),tblDaily[WardCode],"NICU")=0,"",SUMIFS(tblDaily[DeathsUnder24Hrs],tblDaily[EntryDate],DATE(2026,4,20),tblDaily[WardCode],"NICU")),"")</f>
        <v/>
      </c>
      <c r="F143" s="12">
        <f>IFERROR(IF(SUMIFS(tblDaily[TransfersIn],tblDaily[EntryDate],DATE(2026,4,20),tblDaily[WardCode],"NICU")=0,"",SUMIFS(tblDaily[TransfersIn],tblDaily[EntryDate],DATE(2026,4,20),tblDaily[WardCode],"NICU")),"")</f>
        <v/>
      </c>
      <c r="G143" s="12">
        <f>IFERROR(IF(SUMIFS(tblDaily[TransfersOut],tblDaily[EntryDate],DATE(2026,4,20),tblDaily[WardCode],"NICU")=0,"",SUMIFS(tblDaily[TransfersOut],tblDaily[EntryDate],DATE(2026,4,20),tblDaily[WardCode],"NICU")),"")</f>
        <v/>
      </c>
      <c r="H143" s="12">
        <f>IFERROR(IF(SUMIFS(tblDaily[Remaining],tblDaily[EntryDate],DATE(2026,4,20),tblDaily[WardCode],"NICU")=0,"",SUMIFS(tblDaily[Remaining],tblDaily[EntryDate],DATE(2026,4,20),tblDaily[WardCode],"NICU")),"")</f>
        <v/>
      </c>
    </row>
    <row r="144">
      <c r="A144" s="12" t="n">
        <v>21</v>
      </c>
      <c r="B144" s="12">
        <f>IFERROR(IF(SUMIFS(tblDaily[Admissions],tblDaily[EntryDate],DATE(2026,4,21),tblDaily[WardCode],"NICU")=0,"",SUMIFS(tblDaily[Admissions],tblDaily[EntryDate],DATE(2026,4,21),tblDaily[WardCode],"NICU")),"")</f>
        <v/>
      </c>
      <c r="C144" s="12">
        <f>IFERROR(IF(SUMIFS(tblDaily[Discharges],tblDaily[EntryDate],DATE(2026,4,21),tblDaily[WardCode],"NICU")=0,"",SUMIFS(tblDaily[Discharges],tblDaily[EntryDate],DATE(2026,4,21),tblDaily[WardCode],"NICU")),"")</f>
        <v/>
      </c>
      <c r="D144" s="12">
        <f>IFERROR(IF(SUMIFS(tblDaily[Deaths],tblDaily[EntryDate],DATE(2026,4,21),tblDaily[WardCode],"NICU")=0,"",SUMIFS(tblDaily[Deaths],tblDaily[EntryDate],DATE(2026,4,21),tblDaily[WardCode],"NICU")),"")</f>
        <v/>
      </c>
      <c r="E144" s="12">
        <f>IFERROR(IF(SUMIFS(tblDaily[DeathsUnder24Hrs],tblDaily[EntryDate],DATE(2026,4,21),tblDaily[WardCode],"NICU")=0,"",SUMIFS(tblDaily[DeathsUnder24Hrs],tblDaily[EntryDate],DATE(2026,4,21),tblDaily[WardCode],"NICU")),"")</f>
        <v/>
      </c>
      <c r="F144" s="12">
        <f>IFERROR(IF(SUMIFS(tblDaily[TransfersIn],tblDaily[EntryDate],DATE(2026,4,21),tblDaily[WardCode],"NICU")=0,"",SUMIFS(tblDaily[TransfersIn],tblDaily[EntryDate],DATE(2026,4,21),tblDaily[WardCode],"NICU")),"")</f>
        <v/>
      </c>
      <c r="G144" s="12">
        <f>IFERROR(IF(SUMIFS(tblDaily[TransfersOut],tblDaily[EntryDate],DATE(2026,4,21),tblDaily[WardCode],"NICU")=0,"",SUMIFS(tblDaily[TransfersOut],tblDaily[EntryDate],DATE(2026,4,21),tblDaily[WardCode],"NICU")),"")</f>
        <v/>
      </c>
      <c r="H144" s="12">
        <f>IFERROR(IF(SUMIFS(tblDaily[Remaining],tblDaily[EntryDate],DATE(2026,4,21),tblDaily[WardCode],"NICU")=0,"",SUMIFS(tblDaily[Remaining],tblDaily[EntryDate],DATE(2026,4,21),tblDaily[WardCode],"NICU")),"")</f>
        <v/>
      </c>
    </row>
    <row r="145">
      <c r="A145" s="12" t="n">
        <v>22</v>
      </c>
      <c r="B145" s="12">
        <f>IFERROR(IF(SUMIFS(tblDaily[Admissions],tblDaily[EntryDate],DATE(2026,4,22),tblDaily[WardCode],"NICU")=0,"",SUMIFS(tblDaily[Admissions],tblDaily[EntryDate],DATE(2026,4,22),tblDaily[WardCode],"NICU")),"")</f>
        <v/>
      </c>
      <c r="C145" s="12">
        <f>IFERROR(IF(SUMIFS(tblDaily[Discharges],tblDaily[EntryDate],DATE(2026,4,22),tblDaily[WardCode],"NICU")=0,"",SUMIFS(tblDaily[Discharges],tblDaily[EntryDate],DATE(2026,4,22),tblDaily[WardCode],"NICU")),"")</f>
        <v/>
      </c>
      <c r="D145" s="12">
        <f>IFERROR(IF(SUMIFS(tblDaily[Deaths],tblDaily[EntryDate],DATE(2026,4,22),tblDaily[WardCode],"NICU")=0,"",SUMIFS(tblDaily[Deaths],tblDaily[EntryDate],DATE(2026,4,22),tblDaily[WardCode],"NICU")),"")</f>
        <v/>
      </c>
      <c r="E145" s="12">
        <f>IFERROR(IF(SUMIFS(tblDaily[DeathsUnder24Hrs],tblDaily[EntryDate],DATE(2026,4,22),tblDaily[WardCode],"NICU")=0,"",SUMIFS(tblDaily[DeathsUnder24Hrs],tblDaily[EntryDate],DATE(2026,4,22),tblDaily[WardCode],"NICU")),"")</f>
        <v/>
      </c>
      <c r="F145" s="12">
        <f>IFERROR(IF(SUMIFS(tblDaily[TransfersIn],tblDaily[EntryDate],DATE(2026,4,22),tblDaily[WardCode],"NICU")=0,"",SUMIFS(tblDaily[TransfersIn],tblDaily[EntryDate],DATE(2026,4,22),tblDaily[WardCode],"NICU")),"")</f>
        <v/>
      </c>
      <c r="G145" s="12">
        <f>IFERROR(IF(SUMIFS(tblDaily[TransfersOut],tblDaily[EntryDate],DATE(2026,4,22),tblDaily[WardCode],"NICU")=0,"",SUMIFS(tblDaily[TransfersOut],tblDaily[EntryDate],DATE(2026,4,22),tblDaily[WardCode],"NICU")),"")</f>
        <v/>
      </c>
      <c r="H145" s="12">
        <f>IFERROR(IF(SUMIFS(tblDaily[Remaining],tblDaily[EntryDate],DATE(2026,4,22),tblDaily[WardCode],"NICU")=0,"",SUMIFS(tblDaily[Remaining],tblDaily[EntryDate],DATE(2026,4,22),tblDaily[WardCode],"NICU")),"")</f>
        <v/>
      </c>
    </row>
    <row r="146">
      <c r="A146" s="12" t="n">
        <v>23</v>
      </c>
      <c r="B146" s="12">
        <f>IFERROR(IF(SUMIFS(tblDaily[Admissions],tblDaily[EntryDate],DATE(2026,4,23),tblDaily[WardCode],"NICU")=0,"",SUMIFS(tblDaily[Admissions],tblDaily[EntryDate],DATE(2026,4,23),tblDaily[WardCode],"NICU")),"")</f>
        <v/>
      </c>
      <c r="C146" s="12">
        <f>IFERROR(IF(SUMIFS(tblDaily[Discharges],tblDaily[EntryDate],DATE(2026,4,23),tblDaily[WardCode],"NICU")=0,"",SUMIFS(tblDaily[Discharges],tblDaily[EntryDate],DATE(2026,4,23),tblDaily[WardCode],"NICU")),"")</f>
        <v/>
      </c>
      <c r="D146" s="12">
        <f>IFERROR(IF(SUMIFS(tblDaily[Deaths],tblDaily[EntryDate],DATE(2026,4,23),tblDaily[WardCode],"NICU")=0,"",SUMIFS(tblDaily[Deaths],tblDaily[EntryDate],DATE(2026,4,23),tblDaily[WardCode],"NICU")),"")</f>
        <v/>
      </c>
      <c r="E146" s="12">
        <f>IFERROR(IF(SUMIFS(tblDaily[DeathsUnder24Hrs],tblDaily[EntryDate],DATE(2026,4,23),tblDaily[WardCode],"NICU")=0,"",SUMIFS(tblDaily[DeathsUnder24Hrs],tblDaily[EntryDate],DATE(2026,4,23),tblDaily[WardCode],"NICU")),"")</f>
        <v/>
      </c>
      <c r="F146" s="12">
        <f>IFERROR(IF(SUMIFS(tblDaily[TransfersIn],tblDaily[EntryDate],DATE(2026,4,23),tblDaily[WardCode],"NICU")=0,"",SUMIFS(tblDaily[TransfersIn],tblDaily[EntryDate],DATE(2026,4,23),tblDaily[WardCode],"NICU")),"")</f>
        <v/>
      </c>
      <c r="G146" s="12">
        <f>IFERROR(IF(SUMIFS(tblDaily[TransfersOut],tblDaily[EntryDate],DATE(2026,4,23),tblDaily[WardCode],"NICU")=0,"",SUMIFS(tblDaily[TransfersOut],tblDaily[EntryDate],DATE(2026,4,23),tblDaily[WardCode],"NICU")),"")</f>
        <v/>
      </c>
      <c r="H146" s="12">
        <f>IFERROR(IF(SUMIFS(tblDaily[Remaining],tblDaily[EntryDate],DATE(2026,4,23),tblDaily[WardCode],"NICU")=0,"",SUMIFS(tblDaily[Remaining],tblDaily[EntryDate],DATE(2026,4,23),tblDaily[WardCode],"NICU")),"")</f>
        <v/>
      </c>
    </row>
    <row r="147">
      <c r="A147" s="12" t="n">
        <v>24</v>
      </c>
      <c r="B147" s="12">
        <f>IFERROR(IF(SUMIFS(tblDaily[Admissions],tblDaily[EntryDate],DATE(2026,4,24),tblDaily[WardCode],"NICU")=0,"",SUMIFS(tblDaily[Admissions],tblDaily[EntryDate],DATE(2026,4,24),tblDaily[WardCode],"NICU")),"")</f>
        <v/>
      </c>
      <c r="C147" s="12">
        <f>IFERROR(IF(SUMIFS(tblDaily[Discharges],tblDaily[EntryDate],DATE(2026,4,24),tblDaily[WardCode],"NICU")=0,"",SUMIFS(tblDaily[Discharges],tblDaily[EntryDate],DATE(2026,4,24),tblDaily[WardCode],"NICU")),"")</f>
        <v/>
      </c>
      <c r="D147" s="12">
        <f>IFERROR(IF(SUMIFS(tblDaily[Deaths],tblDaily[EntryDate],DATE(2026,4,24),tblDaily[WardCode],"NICU")=0,"",SUMIFS(tblDaily[Deaths],tblDaily[EntryDate],DATE(2026,4,24),tblDaily[WardCode],"NICU")),"")</f>
        <v/>
      </c>
      <c r="E147" s="12">
        <f>IFERROR(IF(SUMIFS(tblDaily[DeathsUnder24Hrs],tblDaily[EntryDate],DATE(2026,4,24),tblDaily[WardCode],"NICU")=0,"",SUMIFS(tblDaily[DeathsUnder24Hrs],tblDaily[EntryDate],DATE(2026,4,24),tblDaily[WardCode],"NICU")),"")</f>
        <v/>
      </c>
      <c r="F147" s="12">
        <f>IFERROR(IF(SUMIFS(tblDaily[TransfersIn],tblDaily[EntryDate],DATE(2026,4,24),tblDaily[WardCode],"NICU")=0,"",SUMIFS(tblDaily[TransfersIn],tblDaily[EntryDate],DATE(2026,4,24),tblDaily[WardCode],"NICU")),"")</f>
        <v/>
      </c>
      <c r="G147" s="12">
        <f>IFERROR(IF(SUMIFS(tblDaily[TransfersOut],tblDaily[EntryDate],DATE(2026,4,24),tblDaily[WardCode],"NICU")=0,"",SUMIFS(tblDaily[TransfersOut],tblDaily[EntryDate],DATE(2026,4,24),tblDaily[WardCode],"NICU")),"")</f>
        <v/>
      </c>
      <c r="H147" s="12">
        <f>IFERROR(IF(SUMIFS(tblDaily[Remaining],tblDaily[EntryDate],DATE(2026,4,24),tblDaily[WardCode],"NICU")=0,"",SUMIFS(tblDaily[Remaining],tblDaily[EntryDate],DATE(2026,4,24),tblDaily[WardCode],"NICU")),"")</f>
        <v/>
      </c>
    </row>
    <row r="148">
      <c r="A148" s="12" t="n">
        <v>25</v>
      </c>
      <c r="B148" s="12">
        <f>IFERROR(IF(SUMIFS(tblDaily[Admissions],tblDaily[EntryDate],DATE(2026,4,25),tblDaily[WardCode],"NICU")=0,"",SUMIFS(tblDaily[Admissions],tblDaily[EntryDate],DATE(2026,4,25),tblDaily[WardCode],"NICU")),"")</f>
        <v/>
      </c>
      <c r="C148" s="12">
        <f>IFERROR(IF(SUMIFS(tblDaily[Discharges],tblDaily[EntryDate],DATE(2026,4,25),tblDaily[WardCode],"NICU")=0,"",SUMIFS(tblDaily[Discharges],tblDaily[EntryDate],DATE(2026,4,25),tblDaily[WardCode],"NICU")),"")</f>
        <v/>
      </c>
      <c r="D148" s="12">
        <f>IFERROR(IF(SUMIFS(tblDaily[Deaths],tblDaily[EntryDate],DATE(2026,4,25),tblDaily[WardCode],"NICU")=0,"",SUMIFS(tblDaily[Deaths],tblDaily[EntryDate],DATE(2026,4,25),tblDaily[WardCode],"NICU")),"")</f>
        <v/>
      </c>
      <c r="E148" s="12">
        <f>IFERROR(IF(SUMIFS(tblDaily[DeathsUnder24Hrs],tblDaily[EntryDate],DATE(2026,4,25),tblDaily[WardCode],"NICU")=0,"",SUMIFS(tblDaily[DeathsUnder24Hrs],tblDaily[EntryDate],DATE(2026,4,25),tblDaily[WardCode],"NICU")),"")</f>
        <v/>
      </c>
      <c r="F148" s="12">
        <f>IFERROR(IF(SUMIFS(tblDaily[TransfersIn],tblDaily[EntryDate],DATE(2026,4,25),tblDaily[WardCode],"NICU")=0,"",SUMIFS(tblDaily[TransfersIn],tblDaily[EntryDate],DATE(2026,4,25),tblDaily[WardCode],"NICU")),"")</f>
        <v/>
      </c>
      <c r="G148" s="12">
        <f>IFERROR(IF(SUMIFS(tblDaily[TransfersOut],tblDaily[EntryDate],DATE(2026,4,25),tblDaily[WardCode],"NICU")=0,"",SUMIFS(tblDaily[TransfersOut],tblDaily[EntryDate],DATE(2026,4,25),tblDaily[WardCode],"NICU")),"")</f>
        <v/>
      </c>
      <c r="H148" s="12">
        <f>IFERROR(IF(SUMIFS(tblDaily[Remaining],tblDaily[EntryDate],DATE(2026,4,25),tblDaily[WardCode],"NICU")=0,"",SUMIFS(tblDaily[Remaining],tblDaily[EntryDate],DATE(2026,4,25),tblDaily[WardCode],"NICU")),"")</f>
        <v/>
      </c>
    </row>
    <row r="149">
      <c r="A149" s="12" t="n">
        <v>26</v>
      </c>
      <c r="B149" s="12">
        <f>IFERROR(IF(SUMIFS(tblDaily[Admissions],tblDaily[EntryDate],DATE(2026,4,26),tblDaily[WardCode],"NICU")=0,"",SUMIFS(tblDaily[Admissions],tblDaily[EntryDate],DATE(2026,4,26),tblDaily[WardCode],"NICU")),"")</f>
        <v/>
      </c>
      <c r="C149" s="12">
        <f>IFERROR(IF(SUMIFS(tblDaily[Discharges],tblDaily[EntryDate],DATE(2026,4,26),tblDaily[WardCode],"NICU")=0,"",SUMIFS(tblDaily[Discharges],tblDaily[EntryDate],DATE(2026,4,26),tblDaily[WardCode],"NICU")),"")</f>
        <v/>
      </c>
      <c r="D149" s="12">
        <f>IFERROR(IF(SUMIFS(tblDaily[Deaths],tblDaily[EntryDate],DATE(2026,4,26),tblDaily[WardCode],"NICU")=0,"",SUMIFS(tblDaily[Deaths],tblDaily[EntryDate],DATE(2026,4,26),tblDaily[WardCode],"NICU")),"")</f>
        <v/>
      </c>
      <c r="E149" s="12">
        <f>IFERROR(IF(SUMIFS(tblDaily[DeathsUnder24Hrs],tblDaily[EntryDate],DATE(2026,4,26),tblDaily[WardCode],"NICU")=0,"",SUMIFS(tblDaily[DeathsUnder24Hrs],tblDaily[EntryDate],DATE(2026,4,26),tblDaily[WardCode],"NICU")),"")</f>
        <v/>
      </c>
      <c r="F149" s="12">
        <f>IFERROR(IF(SUMIFS(tblDaily[TransfersIn],tblDaily[EntryDate],DATE(2026,4,26),tblDaily[WardCode],"NICU")=0,"",SUMIFS(tblDaily[TransfersIn],tblDaily[EntryDate],DATE(2026,4,26),tblDaily[WardCode],"NICU")),"")</f>
        <v/>
      </c>
      <c r="G149" s="12">
        <f>IFERROR(IF(SUMIFS(tblDaily[TransfersOut],tblDaily[EntryDate],DATE(2026,4,26),tblDaily[WardCode],"NICU")=0,"",SUMIFS(tblDaily[TransfersOut],tblDaily[EntryDate],DATE(2026,4,26),tblDaily[WardCode],"NICU")),"")</f>
        <v/>
      </c>
      <c r="H149" s="12">
        <f>IFERROR(IF(SUMIFS(tblDaily[Remaining],tblDaily[EntryDate],DATE(2026,4,26),tblDaily[WardCode],"NICU")=0,"",SUMIFS(tblDaily[Remaining],tblDaily[EntryDate],DATE(2026,4,26),tblDaily[WardCode],"NICU")),"")</f>
        <v/>
      </c>
    </row>
    <row r="150">
      <c r="A150" s="12" t="n">
        <v>27</v>
      </c>
      <c r="B150" s="12">
        <f>IFERROR(IF(SUMIFS(tblDaily[Admissions],tblDaily[EntryDate],DATE(2026,4,27),tblDaily[WardCode],"NICU")=0,"",SUMIFS(tblDaily[Admissions],tblDaily[EntryDate],DATE(2026,4,27),tblDaily[WardCode],"NICU")),"")</f>
        <v/>
      </c>
      <c r="C150" s="12">
        <f>IFERROR(IF(SUMIFS(tblDaily[Discharges],tblDaily[EntryDate],DATE(2026,4,27),tblDaily[WardCode],"NICU")=0,"",SUMIFS(tblDaily[Discharges],tblDaily[EntryDate],DATE(2026,4,27),tblDaily[WardCode],"NICU")),"")</f>
        <v/>
      </c>
      <c r="D150" s="12">
        <f>IFERROR(IF(SUMIFS(tblDaily[Deaths],tblDaily[EntryDate],DATE(2026,4,27),tblDaily[WardCode],"NICU")=0,"",SUMIFS(tblDaily[Deaths],tblDaily[EntryDate],DATE(2026,4,27),tblDaily[WardCode],"NICU")),"")</f>
        <v/>
      </c>
      <c r="E150" s="12">
        <f>IFERROR(IF(SUMIFS(tblDaily[DeathsUnder24Hrs],tblDaily[EntryDate],DATE(2026,4,27),tblDaily[WardCode],"NICU")=0,"",SUMIFS(tblDaily[DeathsUnder24Hrs],tblDaily[EntryDate],DATE(2026,4,27),tblDaily[WardCode],"NICU")),"")</f>
        <v/>
      </c>
      <c r="F150" s="12">
        <f>IFERROR(IF(SUMIFS(tblDaily[TransfersIn],tblDaily[EntryDate],DATE(2026,4,27),tblDaily[WardCode],"NICU")=0,"",SUMIFS(tblDaily[TransfersIn],tblDaily[EntryDate],DATE(2026,4,27),tblDaily[WardCode],"NICU")),"")</f>
        <v/>
      </c>
      <c r="G150" s="12">
        <f>IFERROR(IF(SUMIFS(tblDaily[TransfersOut],tblDaily[EntryDate],DATE(2026,4,27),tblDaily[WardCode],"NICU")=0,"",SUMIFS(tblDaily[TransfersOut],tblDaily[EntryDate],DATE(2026,4,27),tblDaily[WardCode],"NICU")),"")</f>
        <v/>
      </c>
      <c r="H150" s="12">
        <f>IFERROR(IF(SUMIFS(tblDaily[Remaining],tblDaily[EntryDate],DATE(2026,4,27),tblDaily[WardCode],"NICU")=0,"",SUMIFS(tblDaily[Remaining],tblDaily[EntryDate],DATE(2026,4,27),tblDaily[WardCode],"NICU")),"")</f>
        <v/>
      </c>
    </row>
    <row r="151">
      <c r="A151" s="12" t="n">
        <v>28</v>
      </c>
      <c r="B151" s="12">
        <f>IFERROR(IF(SUMIFS(tblDaily[Admissions],tblDaily[EntryDate],DATE(2026,4,28),tblDaily[WardCode],"NICU")=0,"",SUMIFS(tblDaily[Admissions],tblDaily[EntryDate],DATE(2026,4,28),tblDaily[WardCode],"NICU")),"")</f>
        <v/>
      </c>
      <c r="C151" s="12">
        <f>IFERROR(IF(SUMIFS(tblDaily[Discharges],tblDaily[EntryDate],DATE(2026,4,28),tblDaily[WardCode],"NICU")=0,"",SUMIFS(tblDaily[Discharges],tblDaily[EntryDate],DATE(2026,4,28),tblDaily[WardCode],"NICU")),"")</f>
        <v/>
      </c>
      <c r="D151" s="12">
        <f>IFERROR(IF(SUMIFS(tblDaily[Deaths],tblDaily[EntryDate],DATE(2026,4,28),tblDaily[WardCode],"NICU")=0,"",SUMIFS(tblDaily[Deaths],tblDaily[EntryDate],DATE(2026,4,28),tblDaily[WardCode],"NICU")),"")</f>
        <v/>
      </c>
      <c r="E151" s="12">
        <f>IFERROR(IF(SUMIFS(tblDaily[DeathsUnder24Hrs],tblDaily[EntryDate],DATE(2026,4,28),tblDaily[WardCode],"NICU")=0,"",SUMIFS(tblDaily[DeathsUnder24Hrs],tblDaily[EntryDate],DATE(2026,4,28),tblDaily[WardCode],"NICU")),"")</f>
        <v/>
      </c>
      <c r="F151" s="12">
        <f>IFERROR(IF(SUMIFS(tblDaily[TransfersIn],tblDaily[EntryDate],DATE(2026,4,28),tblDaily[WardCode],"NICU")=0,"",SUMIFS(tblDaily[TransfersIn],tblDaily[EntryDate],DATE(2026,4,28),tblDaily[WardCode],"NICU")),"")</f>
        <v/>
      </c>
      <c r="G151" s="12">
        <f>IFERROR(IF(SUMIFS(tblDaily[TransfersOut],tblDaily[EntryDate],DATE(2026,4,28),tblDaily[WardCode],"NICU")=0,"",SUMIFS(tblDaily[TransfersOut],tblDaily[EntryDate],DATE(2026,4,28),tblDaily[WardCode],"NICU")),"")</f>
        <v/>
      </c>
      <c r="H151" s="12">
        <f>IFERROR(IF(SUMIFS(tblDaily[Remaining],tblDaily[EntryDate],DATE(2026,4,28),tblDaily[WardCode],"NICU")=0,"",SUMIFS(tblDaily[Remaining],tblDaily[EntryDate],DATE(2026,4,28),tblDaily[WardCode],"NICU")),"")</f>
        <v/>
      </c>
    </row>
    <row r="152">
      <c r="A152" s="12" t="n">
        <v>29</v>
      </c>
      <c r="B152" s="12">
        <f>IFERROR(IF(SUMIFS(tblDaily[Admissions],tblDaily[EntryDate],DATE(2026,4,29),tblDaily[WardCode],"NICU")=0,"",SUMIFS(tblDaily[Admissions],tblDaily[EntryDate],DATE(2026,4,29),tblDaily[WardCode],"NICU")),"")</f>
        <v/>
      </c>
      <c r="C152" s="12">
        <f>IFERROR(IF(SUMIFS(tblDaily[Discharges],tblDaily[EntryDate],DATE(2026,4,29),tblDaily[WardCode],"NICU")=0,"",SUMIFS(tblDaily[Discharges],tblDaily[EntryDate],DATE(2026,4,29),tblDaily[WardCode],"NICU")),"")</f>
        <v/>
      </c>
      <c r="D152" s="12">
        <f>IFERROR(IF(SUMIFS(tblDaily[Deaths],tblDaily[EntryDate],DATE(2026,4,29),tblDaily[WardCode],"NICU")=0,"",SUMIFS(tblDaily[Deaths],tblDaily[EntryDate],DATE(2026,4,29),tblDaily[WardCode],"NICU")),"")</f>
        <v/>
      </c>
      <c r="E152" s="12">
        <f>IFERROR(IF(SUMIFS(tblDaily[DeathsUnder24Hrs],tblDaily[EntryDate],DATE(2026,4,29),tblDaily[WardCode],"NICU")=0,"",SUMIFS(tblDaily[DeathsUnder24Hrs],tblDaily[EntryDate],DATE(2026,4,29),tblDaily[WardCode],"NICU")),"")</f>
        <v/>
      </c>
      <c r="F152" s="12">
        <f>IFERROR(IF(SUMIFS(tblDaily[TransfersIn],tblDaily[EntryDate],DATE(2026,4,29),tblDaily[WardCode],"NICU")=0,"",SUMIFS(tblDaily[TransfersIn],tblDaily[EntryDate],DATE(2026,4,29),tblDaily[WardCode],"NICU")),"")</f>
        <v/>
      </c>
      <c r="G152" s="12">
        <f>IFERROR(IF(SUMIFS(tblDaily[TransfersOut],tblDaily[EntryDate],DATE(2026,4,29),tblDaily[WardCode],"NICU")=0,"",SUMIFS(tblDaily[TransfersOut],tblDaily[EntryDate],DATE(2026,4,29),tblDaily[WardCode],"NICU")),"")</f>
        <v/>
      </c>
      <c r="H152" s="12">
        <f>IFERROR(IF(SUMIFS(tblDaily[Remaining],tblDaily[EntryDate],DATE(2026,4,29),tblDaily[WardCode],"NICU")=0,"",SUMIFS(tblDaily[Remaining],tblDaily[EntryDate],DATE(2026,4,29),tblDaily[WardCode],"NICU")),"")</f>
        <v/>
      </c>
    </row>
    <row r="153">
      <c r="A153" s="12" t="n">
        <v>30</v>
      </c>
      <c r="B153" s="12">
        <f>IFERROR(IF(SUMIFS(tblDaily[Admissions],tblDaily[EntryDate],DATE(2026,4,30),tblDaily[WardCode],"NICU")=0,"",SUMIFS(tblDaily[Admissions],tblDaily[EntryDate],DATE(2026,4,30),tblDaily[WardCode],"NICU")),"")</f>
        <v/>
      </c>
      <c r="C153" s="12">
        <f>IFERROR(IF(SUMIFS(tblDaily[Discharges],tblDaily[EntryDate],DATE(2026,4,30),tblDaily[WardCode],"NICU")=0,"",SUMIFS(tblDaily[Discharges],tblDaily[EntryDate],DATE(2026,4,30),tblDaily[WardCode],"NICU")),"")</f>
        <v/>
      </c>
      <c r="D153" s="12">
        <f>IFERROR(IF(SUMIFS(tblDaily[Deaths],tblDaily[EntryDate],DATE(2026,4,30),tblDaily[WardCode],"NICU")=0,"",SUMIFS(tblDaily[Deaths],tblDaily[EntryDate],DATE(2026,4,30),tblDaily[WardCode],"NICU")),"")</f>
        <v/>
      </c>
      <c r="E153" s="12">
        <f>IFERROR(IF(SUMIFS(tblDaily[DeathsUnder24Hrs],tblDaily[EntryDate],DATE(2026,4,30),tblDaily[WardCode],"NICU")=0,"",SUMIFS(tblDaily[DeathsUnder24Hrs],tblDaily[EntryDate],DATE(2026,4,30),tblDaily[WardCode],"NICU")),"")</f>
        <v/>
      </c>
      <c r="F153" s="12">
        <f>IFERROR(IF(SUMIFS(tblDaily[TransfersIn],tblDaily[EntryDate],DATE(2026,4,30),tblDaily[WardCode],"NICU")=0,"",SUMIFS(tblDaily[TransfersIn],tblDaily[EntryDate],DATE(2026,4,30),tblDaily[WardCode],"NICU")),"")</f>
        <v/>
      </c>
      <c r="G153" s="12">
        <f>IFERROR(IF(SUMIFS(tblDaily[TransfersOut],tblDaily[EntryDate],DATE(2026,4,30),tblDaily[WardCode],"NICU")=0,"",SUMIFS(tblDaily[TransfersOut],tblDaily[EntryDate],DATE(2026,4,30),tblDaily[WardCode],"NICU")),"")</f>
        <v/>
      </c>
      <c r="H153" s="12">
        <f>IFERROR(IF(SUMIFS(tblDaily[Remaining],tblDaily[EntryDate],DATE(2026,4,30),tblDaily[WardCode],"NICU")=0,"",SUMIFS(tblDaily[Remaining],tblDaily[EntryDate],DATE(2026,4,30),tblDaily[WardCode],"NICU")),"")</f>
        <v/>
      </c>
    </row>
    <row r="154">
      <c r="A154" s="12" t="n">
        <v>31</v>
      </c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7" t="inlineStr">
        <is>
          <t>TOTAL</t>
        </is>
      </c>
      <c r="B155" s="17">
        <f>SUMIFS(tblDaily[Admissions],tblDaily[Month],4,tblDaily[WardCode],"NICU") - SUMIFS(tblDaily[DeathsUnder24Hrs],tblDaily[Month],4,tblDaily[WardCode],"NICU")</f>
        <v/>
      </c>
      <c r="C155" s="17">
        <f>SUMIFS(tblDaily[Discharges],tblDaily[Month],4,tblDaily[WardCode],"NICU")</f>
        <v/>
      </c>
      <c r="D155" s="17">
        <f>SUMIFS(tblDaily[Deaths],tblDaily[Month],4,tblDaily[WardCode],"NICU")</f>
        <v/>
      </c>
      <c r="E155" s="17">
        <f>SUMIFS(tblDaily[DeathsUnder24Hrs],tblDaily[Month],4,tblDaily[WardCode],"NICU")</f>
        <v/>
      </c>
      <c r="F155" s="17">
        <f>SUMIFS(tblDaily[TransfersIn],tblDaily[Month],4,tblDaily[WardCode],"NICU")</f>
        <v/>
      </c>
      <c r="G155" s="17">
        <f>SUMIFS(tblDaily[TransfersOut],tblDaily[Month],4,tblDaily[WardCode],"NICU")</f>
        <v/>
      </c>
      <c r="H155" s="17">
        <f>SUMIFS(tblDaily[Remaining],tblDaily[Month],4,tblDaily[WardCode],"NICU")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NEONATAL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4">
        <f>IFERROR(SUMIFS(tblDaily[Remaining],tblDaily[EntryDate],DATE(2026,4,30),tblDaily[WardCode],"NICU"),0)</f>
        <v/>
      </c>
    </row>
    <row r="161">
      <c r="A161" s="4" t="inlineStr">
        <is>
          <t>Bed complement</t>
        </is>
      </c>
      <c r="H161" s="15">
        <f>IFERROR(INDEX(tblWardConfig[BedComplement],MATCH("NICU",tblWardConfig[WardCode],0)),0)</f>
        <v/>
      </c>
    </row>
    <row r="162">
      <c r="A162" s="16" t="inlineStr">
        <is>
          <t>Day of
the
Month</t>
        </is>
      </c>
      <c r="B162" s="16" t="inlineStr">
        <is>
          <t>Admissions</t>
        </is>
      </c>
      <c r="C162" s="16" t="inlineStr">
        <is>
          <t>Discharges</t>
        </is>
      </c>
      <c r="D162" s="16" t="inlineStr">
        <is>
          <t>Deaths</t>
        </is>
      </c>
      <c r="E162" s="16" t="inlineStr">
        <is>
          <t>Deaths
&lt;24Hrs</t>
        </is>
      </c>
      <c r="F162" s="16" t="inlineStr">
        <is>
          <t>Transfers-
In</t>
        </is>
      </c>
      <c r="G162" s="16" t="inlineStr">
        <is>
          <t>Transfers-
Out</t>
        </is>
      </c>
      <c r="H162" s="16" t="inlineStr">
        <is>
          <t>No. of Patients
Remaining In
Ward</t>
        </is>
      </c>
    </row>
    <row r="163">
      <c r="A163" s="12" t="n">
        <v>1</v>
      </c>
      <c r="B163" s="12">
        <f>IFERROR(IF(SUMIFS(tblDaily[Admissions],tblDaily[EntryDate],DATE(2026,5,1),tblDaily[WardCode],"NICU")=0,"",SUMIFS(tblDaily[Admissions],tblDaily[EntryDate],DATE(2026,5,1),tblDaily[WardCode],"NICU")),"")</f>
        <v/>
      </c>
      <c r="C163" s="12">
        <f>IFERROR(IF(SUMIFS(tblDaily[Discharges],tblDaily[EntryDate],DATE(2026,5,1),tblDaily[WardCode],"NICU")=0,"",SUMIFS(tblDaily[Discharges],tblDaily[EntryDate],DATE(2026,5,1),tblDaily[WardCode],"NICU")),"")</f>
        <v/>
      </c>
      <c r="D163" s="12">
        <f>IFERROR(IF(SUMIFS(tblDaily[Deaths],tblDaily[EntryDate],DATE(2026,5,1),tblDaily[WardCode],"NICU")=0,"",SUMIFS(tblDaily[Deaths],tblDaily[EntryDate],DATE(2026,5,1),tblDaily[WardCode],"NICU")),"")</f>
        <v/>
      </c>
      <c r="E163" s="12">
        <f>IFERROR(IF(SUMIFS(tblDaily[DeathsUnder24Hrs],tblDaily[EntryDate],DATE(2026,5,1),tblDaily[WardCode],"NICU")=0,"",SUMIFS(tblDaily[DeathsUnder24Hrs],tblDaily[EntryDate],DATE(2026,5,1),tblDaily[WardCode],"NICU")),"")</f>
        <v/>
      </c>
      <c r="F163" s="12">
        <f>IFERROR(IF(SUMIFS(tblDaily[TransfersIn],tblDaily[EntryDate],DATE(2026,5,1),tblDaily[WardCode],"NICU")=0,"",SUMIFS(tblDaily[TransfersIn],tblDaily[EntryDate],DATE(2026,5,1),tblDaily[WardCode],"NICU")),"")</f>
        <v/>
      </c>
      <c r="G163" s="12">
        <f>IFERROR(IF(SUMIFS(tblDaily[TransfersOut],tblDaily[EntryDate],DATE(2026,5,1),tblDaily[WardCode],"NICU")=0,"",SUMIFS(tblDaily[TransfersOut],tblDaily[EntryDate],DATE(2026,5,1),tblDaily[WardCode],"NICU")),"")</f>
        <v/>
      </c>
      <c r="H163" s="12">
        <f>IFERROR(IF(SUMIFS(tblDaily[Remaining],tblDaily[EntryDate],DATE(2026,5,1),tblDaily[WardCode],"NICU")=0,"",SUMIFS(tblDaily[Remaining],tblDaily[EntryDate],DATE(2026,5,1),tblDaily[WardCode],"NICU")),"")</f>
        <v/>
      </c>
    </row>
    <row r="164">
      <c r="A164" s="12" t="n">
        <v>2</v>
      </c>
      <c r="B164" s="12">
        <f>IFERROR(IF(SUMIFS(tblDaily[Admissions],tblDaily[EntryDate],DATE(2026,5,2),tblDaily[WardCode],"NICU")=0,"",SUMIFS(tblDaily[Admissions],tblDaily[EntryDate],DATE(2026,5,2),tblDaily[WardCode],"NICU")),"")</f>
        <v/>
      </c>
      <c r="C164" s="12">
        <f>IFERROR(IF(SUMIFS(tblDaily[Discharges],tblDaily[EntryDate],DATE(2026,5,2),tblDaily[WardCode],"NICU")=0,"",SUMIFS(tblDaily[Discharges],tblDaily[EntryDate],DATE(2026,5,2),tblDaily[WardCode],"NICU")),"")</f>
        <v/>
      </c>
      <c r="D164" s="12">
        <f>IFERROR(IF(SUMIFS(tblDaily[Deaths],tblDaily[EntryDate],DATE(2026,5,2),tblDaily[WardCode],"NICU")=0,"",SUMIFS(tblDaily[Deaths],tblDaily[EntryDate],DATE(2026,5,2),tblDaily[WardCode],"NICU")),"")</f>
        <v/>
      </c>
      <c r="E164" s="12">
        <f>IFERROR(IF(SUMIFS(tblDaily[DeathsUnder24Hrs],tblDaily[EntryDate],DATE(2026,5,2),tblDaily[WardCode],"NICU")=0,"",SUMIFS(tblDaily[DeathsUnder24Hrs],tblDaily[EntryDate],DATE(2026,5,2),tblDaily[WardCode],"NICU")),"")</f>
        <v/>
      </c>
      <c r="F164" s="12">
        <f>IFERROR(IF(SUMIFS(tblDaily[TransfersIn],tblDaily[EntryDate],DATE(2026,5,2),tblDaily[WardCode],"NICU")=0,"",SUMIFS(tblDaily[TransfersIn],tblDaily[EntryDate],DATE(2026,5,2),tblDaily[WardCode],"NICU")),"")</f>
        <v/>
      </c>
      <c r="G164" s="12">
        <f>IFERROR(IF(SUMIFS(tblDaily[TransfersOut],tblDaily[EntryDate],DATE(2026,5,2),tblDaily[WardCode],"NICU")=0,"",SUMIFS(tblDaily[TransfersOut],tblDaily[EntryDate],DATE(2026,5,2),tblDaily[WardCode],"NICU")),"")</f>
        <v/>
      </c>
      <c r="H164" s="12">
        <f>IFERROR(IF(SUMIFS(tblDaily[Remaining],tblDaily[EntryDate],DATE(2026,5,2),tblDaily[WardCode],"NICU")=0,"",SUMIFS(tblDaily[Remaining],tblDaily[EntryDate],DATE(2026,5,2),tblDaily[WardCode],"NICU")),"")</f>
        <v/>
      </c>
    </row>
    <row r="165">
      <c r="A165" s="12" t="n">
        <v>3</v>
      </c>
      <c r="B165" s="12">
        <f>IFERROR(IF(SUMIFS(tblDaily[Admissions],tblDaily[EntryDate],DATE(2026,5,3),tblDaily[WardCode],"NICU")=0,"",SUMIFS(tblDaily[Admissions],tblDaily[EntryDate],DATE(2026,5,3),tblDaily[WardCode],"NICU")),"")</f>
        <v/>
      </c>
      <c r="C165" s="12">
        <f>IFERROR(IF(SUMIFS(tblDaily[Discharges],tblDaily[EntryDate],DATE(2026,5,3),tblDaily[WardCode],"NICU")=0,"",SUMIFS(tblDaily[Discharges],tblDaily[EntryDate],DATE(2026,5,3),tblDaily[WardCode],"NICU")),"")</f>
        <v/>
      </c>
      <c r="D165" s="12">
        <f>IFERROR(IF(SUMIFS(tblDaily[Deaths],tblDaily[EntryDate],DATE(2026,5,3),tblDaily[WardCode],"NICU")=0,"",SUMIFS(tblDaily[Deaths],tblDaily[EntryDate],DATE(2026,5,3),tblDaily[WardCode],"NICU")),"")</f>
        <v/>
      </c>
      <c r="E165" s="12">
        <f>IFERROR(IF(SUMIFS(tblDaily[DeathsUnder24Hrs],tblDaily[EntryDate],DATE(2026,5,3),tblDaily[WardCode],"NICU")=0,"",SUMIFS(tblDaily[DeathsUnder24Hrs],tblDaily[EntryDate],DATE(2026,5,3),tblDaily[WardCode],"NICU")),"")</f>
        <v/>
      </c>
      <c r="F165" s="12">
        <f>IFERROR(IF(SUMIFS(tblDaily[TransfersIn],tblDaily[EntryDate],DATE(2026,5,3),tblDaily[WardCode],"NICU")=0,"",SUMIFS(tblDaily[TransfersIn],tblDaily[EntryDate],DATE(2026,5,3),tblDaily[WardCode],"NICU")),"")</f>
        <v/>
      </c>
      <c r="G165" s="12">
        <f>IFERROR(IF(SUMIFS(tblDaily[TransfersOut],tblDaily[EntryDate],DATE(2026,5,3),tblDaily[WardCode],"NICU")=0,"",SUMIFS(tblDaily[TransfersOut],tblDaily[EntryDate],DATE(2026,5,3),tblDaily[WardCode],"NICU")),"")</f>
        <v/>
      </c>
      <c r="H165" s="12">
        <f>IFERROR(IF(SUMIFS(tblDaily[Remaining],tblDaily[EntryDate],DATE(2026,5,3),tblDaily[WardCode],"NICU")=0,"",SUMIFS(tblDaily[Remaining],tblDaily[EntryDate],DATE(2026,5,3),tblDaily[WardCode],"NICU")),"")</f>
        <v/>
      </c>
    </row>
    <row r="166">
      <c r="A166" s="12" t="n">
        <v>4</v>
      </c>
      <c r="B166" s="12">
        <f>IFERROR(IF(SUMIFS(tblDaily[Admissions],tblDaily[EntryDate],DATE(2026,5,4),tblDaily[WardCode],"NICU")=0,"",SUMIFS(tblDaily[Admissions],tblDaily[EntryDate],DATE(2026,5,4),tblDaily[WardCode],"NICU")),"")</f>
        <v/>
      </c>
      <c r="C166" s="12">
        <f>IFERROR(IF(SUMIFS(tblDaily[Discharges],tblDaily[EntryDate],DATE(2026,5,4),tblDaily[WardCode],"NICU")=0,"",SUMIFS(tblDaily[Discharges],tblDaily[EntryDate],DATE(2026,5,4),tblDaily[WardCode],"NICU")),"")</f>
        <v/>
      </c>
      <c r="D166" s="12">
        <f>IFERROR(IF(SUMIFS(tblDaily[Deaths],tblDaily[EntryDate],DATE(2026,5,4),tblDaily[WardCode],"NICU")=0,"",SUMIFS(tblDaily[Deaths],tblDaily[EntryDate],DATE(2026,5,4),tblDaily[WardCode],"NICU")),"")</f>
        <v/>
      </c>
      <c r="E166" s="12">
        <f>IFERROR(IF(SUMIFS(tblDaily[DeathsUnder24Hrs],tblDaily[EntryDate],DATE(2026,5,4),tblDaily[WardCode],"NICU")=0,"",SUMIFS(tblDaily[DeathsUnder24Hrs],tblDaily[EntryDate],DATE(2026,5,4),tblDaily[WardCode],"NICU")),"")</f>
        <v/>
      </c>
      <c r="F166" s="12">
        <f>IFERROR(IF(SUMIFS(tblDaily[TransfersIn],tblDaily[EntryDate],DATE(2026,5,4),tblDaily[WardCode],"NICU")=0,"",SUMIFS(tblDaily[TransfersIn],tblDaily[EntryDate],DATE(2026,5,4),tblDaily[WardCode],"NICU")),"")</f>
        <v/>
      </c>
      <c r="G166" s="12">
        <f>IFERROR(IF(SUMIFS(tblDaily[TransfersOut],tblDaily[EntryDate],DATE(2026,5,4),tblDaily[WardCode],"NICU")=0,"",SUMIFS(tblDaily[TransfersOut],tblDaily[EntryDate],DATE(2026,5,4),tblDaily[WardCode],"NICU")),"")</f>
        <v/>
      </c>
      <c r="H166" s="12">
        <f>IFERROR(IF(SUMIFS(tblDaily[Remaining],tblDaily[EntryDate],DATE(2026,5,4),tblDaily[WardCode],"NICU")=0,"",SUMIFS(tblDaily[Remaining],tblDaily[EntryDate],DATE(2026,5,4),tblDaily[WardCode],"NICU")),"")</f>
        <v/>
      </c>
    </row>
    <row r="167">
      <c r="A167" s="12" t="n">
        <v>5</v>
      </c>
      <c r="B167" s="12">
        <f>IFERROR(IF(SUMIFS(tblDaily[Admissions],tblDaily[EntryDate],DATE(2026,5,5),tblDaily[WardCode],"NICU")=0,"",SUMIFS(tblDaily[Admissions],tblDaily[EntryDate],DATE(2026,5,5),tblDaily[WardCode],"NICU")),"")</f>
        <v/>
      </c>
      <c r="C167" s="12">
        <f>IFERROR(IF(SUMIFS(tblDaily[Discharges],tblDaily[EntryDate],DATE(2026,5,5),tblDaily[WardCode],"NICU")=0,"",SUMIFS(tblDaily[Discharges],tblDaily[EntryDate],DATE(2026,5,5),tblDaily[WardCode],"NICU")),"")</f>
        <v/>
      </c>
      <c r="D167" s="12">
        <f>IFERROR(IF(SUMIFS(tblDaily[Deaths],tblDaily[EntryDate],DATE(2026,5,5),tblDaily[WardCode],"NICU")=0,"",SUMIFS(tblDaily[Deaths],tblDaily[EntryDate],DATE(2026,5,5),tblDaily[WardCode],"NICU")),"")</f>
        <v/>
      </c>
      <c r="E167" s="12">
        <f>IFERROR(IF(SUMIFS(tblDaily[DeathsUnder24Hrs],tblDaily[EntryDate],DATE(2026,5,5),tblDaily[WardCode],"NICU")=0,"",SUMIFS(tblDaily[DeathsUnder24Hrs],tblDaily[EntryDate],DATE(2026,5,5),tblDaily[WardCode],"NICU")),"")</f>
        <v/>
      </c>
      <c r="F167" s="12">
        <f>IFERROR(IF(SUMIFS(tblDaily[TransfersIn],tblDaily[EntryDate],DATE(2026,5,5),tblDaily[WardCode],"NICU")=0,"",SUMIFS(tblDaily[TransfersIn],tblDaily[EntryDate],DATE(2026,5,5),tblDaily[WardCode],"NICU")),"")</f>
        <v/>
      </c>
      <c r="G167" s="12">
        <f>IFERROR(IF(SUMIFS(tblDaily[TransfersOut],tblDaily[EntryDate],DATE(2026,5,5),tblDaily[WardCode],"NICU")=0,"",SUMIFS(tblDaily[TransfersOut],tblDaily[EntryDate],DATE(2026,5,5),tblDaily[WardCode],"NICU")),"")</f>
        <v/>
      </c>
      <c r="H167" s="12">
        <f>IFERROR(IF(SUMIFS(tblDaily[Remaining],tblDaily[EntryDate],DATE(2026,5,5),tblDaily[WardCode],"NICU")=0,"",SUMIFS(tblDaily[Remaining],tblDaily[EntryDate],DATE(2026,5,5),tblDaily[WardCode],"NICU")),"")</f>
        <v/>
      </c>
    </row>
    <row r="168">
      <c r="A168" s="12" t="n">
        <v>6</v>
      </c>
      <c r="B168" s="12">
        <f>IFERROR(IF(SUMIFS(tblDaily[Admissions],tblDaily[EntryDate],DATE(2026,5,6),tblDaily[WardCode],"NICU")=0,"",SUMIFS(tblDaily[Admissions],tblDaily[EntryDate],DATE(2026,5,6),tblDaily[WardCode],"NICU")),"")</f>
        <v/>
      </c>
      <c r="C168" s="12">
        <f>IFERROR(IF(SUMIFS(tblDaily[Discharges],tblDaily[EntryDate],DATE(2026,5,6),tblDaily[WardCode],"NICU")=0,"",SUMIFS(tblDaily[Discharges],tblDaily[EntryDate],DATE(2026,5,6),tblDaily[WardCode],"NICU")),"")</f>
        <v/>
      </c>
      <c r="D168" s="12">
        <f>IFERROR(IF(SUMIFS(tblDaily[Deaths],tblDaily[EntryDate],DATE(2026,5,6),tblDaily[WardCode],"NICU")=0,"",SUMIFS(tblDaily[Deaths],tblDaily[EntryDate],DATE(2026,5,6),tblDaily[WardCode],"NICU")),"")</f>
        <v/>
      </c>
      <c r="E168" s="12">
        <f>IFERROR(IF(SUMIFS(tblDaily[DeathsUnder24Hrs],tblDaily[EntryDate],DATE(2026,5,6),tblDaily[WardCode],"NICU")=0,"",SUMIFS(tblDaily[DeathsUnder24Hrs],tblDaily[EntryDate],DATE(2026,5,6),tblDaily[WardCode],"NICU")),"")</f>
        <v/>
      </c>
      <c r="F168" s="12">
        <f>IFERROR(IF(SUMIFS(tblDaily[TransfersIn],tblDaily[EntryDate],DATE(2026,5,6),tblDaily[WardCode],"NICU")=0,"",SUMIFS(tblDaily[TransfersIn],tblDaily[EntryDate],DATE(2026,5,6),tblDaily[WardCode],"NICU")),"")</f>
        <v/>
      </c>
      <c r="G168" s="12">
        <f>IFERROR(IF(SUMIFS(tblDaily[TransfersOut],tblDaily[EntryDate],DATE(2026,5,6),tblDaily[WardCode],"NICU")=0,"",SUMIFS(tblDaily[TransfersOut],tblDaily[EntryDate],DATE(2026,5,6),tblDaily[WardCode],"NICU")),"")</f>
        <v/>
      </c>
      <c r="H168" s="12">
        <f>IFERROR(IF(SUMIFS(tblDaily[Remaining],tblDaily[EntryDate],DATE(2026,5,6),tblDaily[WardCode],"NICU")=0,"",SUMIFS(tblDaily[Remaining],tblDaily[EntryDate],DATE(2026,5,6),tblDaily[WardCode],"NICU")),"")</f>
        <v/>
      </c>
    </row>
    <row r="169">
      <c r="A169" s="12" t="n">
        <v>7</v>
      </c>
      <c r="B169" s="12">
        <f>IFERROR(IF(SUMIFS(tblDaily[Admissions],tblDaily[EntryDate],DATE(2026,5,7),tblDaily[WardCode],"NICU")=0,"",SUMIFS(tblDaily[Admissions],tblDaily[EntryDate],DATE(2026,5,7),tblDaily[WardCode],"NICU")),"")</f>
        <v/>
      </c>
      <c r="C169" s="12">
        <f>IFERROR(IF(SUMIFS(tblDaily[Discharges],tblDaily[EntryDate],DATE(2026,5,7),tblDaily[WardCode],"NICU")=0,"",SUMIFS(tblDaily[Discharges],tblDaily[EntryDate],DATE(2026,5,7),tblDaily[WardCode],"NICU")),"")</f>
        <v/>
      </c>
      <c r="D169" s="12">
        <f>IFERROR(IF(SUMIFS(tblDaily[Deaths],tblDaily[EntryDate],DATE(2026,5,7),tblDaily[WardCode],"NICU")=0,"",SUMIFS(tblDaily[Deaths],tblDaily[EntryDate],DATE(2026,5,7),tblDaily[WardCode],"NICU")),"")</f>
        <v/>
      </c>
      <c r="E169" s="12">
        <f>IFERROR(IF(SUMIFS(tblDaily[DeathsUnder24Hrs],tblDaily[EntryDate],DATE(2026,5,7),tblDaily[WardCode],"NICU")=0,"",SUMIFS(tblDaily[DeathsUnder24Hrs],tblDaily[EntryDate],DATE(2026,5,7),tblDaily[WardCode],"NICU")),"")</f>
        <v/>
      </c>
      <c r="F169" s="12">
        <f>IFERROR(IF(SUMIFS(tblDaily[TransfersIn],tblDaily[EntryDate],DATE(2026,5,7),tblDaily[WardCode],"NICU")=0,"",SUMIFS(tblDaily[TransfersIn],tblDaily[EntryDate],DATE(2026,5,7),tblDaily[WardCode],"NICU")),"")</f>
        <v/>
      </c>
      <c r="G169" s="12">
        <f>IFERROR(IF(SUMIFS(tblDaily[TransfersOut],tblDaily[EntryDate],DATE(2026,5,7),tblDaily[WardCode],"NICU")=0,"",SUMIFS(tblDaily[TransfersOut],tblDaily[EntryDate],DATE(2026,5,7),tblDaily[WardCode],"NICU")),"")</f>
        <v/>
      </c>
      <c r="H169" s="12">
        <f>IFERROR(IF(SUMIFS(tblDaily[Remaining],tblDaily[EntryDate],DATE(2026,5,7),tblDaily[WardCode],"NICU")=0,"",SUMIFS(tblDaily[Remaining],tblDaily[EntryDate],DATE(2026,5,7),tblDaily[WardCode],"NICU")),"")</f>
        <v/>
      </c>
    </row>
    <row r="170">
      <c r="A170" s="12" t="n">
        <v>8</v>
      </c>
      <c r="B170" s="12">
        <f>IFERROR(IF(SUMIFS(tblDaily[Admissions],tblDaily[EntryDate],DATE(2026,5,8),tblDaily[WardCode],"NICU")=0,"",SUMIFS(tblDaily[Admissions],tblDaily[EntryDate],DATE(2026,5,8),tblDaily[WardCode],"NICU")),"")</f>
        <v/>
      </c>
      <c r="C170" s="12">
        <f>IFERROR(IF(SUMIFS(tblDaily[Discharges],tblDaily[EntryDate],DATE(2026,5,8),tblDaily[WardCode],"NICU")=0,"",SUMIFS(tblDaily[Discharges],tblDaily[EntryDate],DATE(2026,5,8),tblDaily[WardCode],"NICU")),"")</f>
        <v/>
      </c>
      <c r="D170" s="12">
        <f>IFERROR(IF(SUMIFS(tblDaily[Deaths],tblDaily[EntryDate],DATE(2026,5,8),tblDaily[WardCode],"NICU")=0,"",SUMIFS(tblDaily[Deaths],tblDaily[EntryDate],DATE(2026,5,8),tblDaily[WardCode],"NICU")),"")</f>
        <v/>
      </c>
      <c r="E170" s="12">
        <f>IFERROR(IF(SUMIFS(tblDaily[DeathsUnder24Hrs],tblDaily[EntryDate],DATE(2026,5,8),tblDaily[WardCode],"NICU")=0,"",SUMIFS(tblDaily[DeathsUnder24Hrs],tblDaily[EntryDate],DATE(2026,5,8),tblDaily[WardCode],"NICU")),"")</f>
        <v/>
      </c>
      <c r="F170" s="12">
        <f>IFERROR(IF(SUMIFS(tblDaily[TransfersIn],tblDaily[EntryDate],DATE(2026,5,8),tblDaily[WardCode],"NICU")=0,"",SUMIFS(tblDaily[TransfersIn],tblDaily[EntryDate],DATE(2026,5,8),tblDaily[WardCode],"NICU")),"")</f>
        <v/>
      </c>
      <c r="G170" s="12">
        <f>IFERROR(IF(SUMIFS(tblDaily[TransfersOut],tblDaily[EntryDate],DATE(2026,5,8),tblDaily[WardCode],"NICU")=0,"",SUMIFS(tblDaily[TransfersOut],tblDaily[EntryDate],DATE(2026,5,8),tblDaily[WardCode],"NICU")),"")</f>
        <v/>
      </c>
      <c r="H170" s="12">
        <f>IFERROR(IF(SUMIFS(tblDaily[Remaining],tblDaily[EntryDate],DATE(2026,5,8),tblDaily[WardCode],"NICU")=0,"",SUMIFS(tblDaily[Remaining],tblDaily[EntryDate],DATE(2026,5,8),tblDaily[WardCode],"NICU")),"")</f>
        <v/>
      </c>
    </row>
    <row r="171">
      <c r="A171" s="12" t="n">
        <v>9</v>
      </c>
      <c r="B171" s="12">
        <f>IFERROR(IF(SUMIFS(tblDaily[Admissions],tblDaily[EntryDate],DATE(2026,5,9),tblDaily[WardCode],"NICU")=0,"",SUMIFS(tblDaily[Admissions],tblDaily[EntryDate],DATE(2026,5,9),tblDaily[WardCode],"NICU")),"")</f>
        <v/>
      </c>
      <c r="C171" s="12">
        <f>IFERROR(IF(SUMIFS(tblDaily[Discharges],tblDaily[EntryDate],DATE(2026,5,9),tblDaily[WardCode],"NICU")=0,"",SUMIFS(tblDaily[Discharges],tblDaily[EntryDate],DATE(2026,5,9),tblDaily[WardCode],"NICU")),"")</f>
        <v/>
      </c>
      <c r="D171" s="12">
        <f>IFERROR(IF(SUMIFS(tblDaily[Deaths],tblDaily[EntryDate],DATE(2026,5,9),tblDaily[WardCode],"NICU")=0,"",SUMIFS(tblDaily[Deaths],tblDaily[EntryDate],DATE(2026,5,9),tblDaily[WardCode],"NICU")),"")</f>
        <v/>
      </c>
      <c r="E171" s="12">
        <f>IFERROR(IF(SUMIFS(tblDaily[DeathsUnder24Hrs],tblDaily[EntryDate],DATE(2026,5,9),tblDaily[WardCode],"NICU")=0,"",SUMIFS(tblDaily[DeathsUnder24Hrs],tblDaily[EntryDate],DATE(2026,5,9),tblDaily[WardCode],"NICU")),"")</f>
        <v/>
      </c>
      <c r="F171" s="12">
        <f>IFERROR(IF(SUMIFS(tblDaily[TransfersIn],tblDaily[EntryDate],DATE(2026,5,9),tblDaily[WardCode],"NICU")=0,"",SUMIFS(tblDaily[TransfersIn],tblDaily[EntryDate],DATE(2026,5,9),tblDaily[WardCode],"NICU")),"")</f>
        <v/>
      </c>
      <c r="G171" s="12">
        <f>IFERROR(IF(SUMIFS(tblDaily[TransfersOut],tblDaily[EntryDate],DATE(2026,5,9),tblDaily[WardCode],"NICU")=0,"",SUMIFS(tblDaily[TransfersOut],tblDaily[EntryDate],DATE(2026,5,9),tblDaily[WardCode],"NICU")),"")</f>
        <v/>
      </c>
      <c r="H171" s="12">
        <f>IFERROR(IF(SUMIFS(tblDaily[Remaining],tblDaily[EntryDate],DATE(2026,5,9),tblDaily[WardCode],"NICU")=0,"",SUMIFS(tblDaily[Remaining],tblDaily[EntryDate],DATE(2026,5,9),tblDaily[WardCode],"NICU")),"")</f>
        <v/>
      </c>
    </row>
    <row r="172">
      <c r="A172" s="12" t="n">
        <v>10</v>
      </c>
      <c r="B172" s="12">
        <f>IFERROR(IF(SUMIFS(tblDaily[Admissions],tblDaily[EntryDate],DATE(2026,5,10),tblDaily[WardCode],"NICU")=0,"",SUMIFS(tblDaily[Admissions],tblDaily[EntryDate],DATE(2026,5,10),tblDaily[WardCode],"NICU")),"")</f>
        <v/>
      </c>
      <c r="C172" s="12">
        <f>IFERROR(IF(SUMIFS(tblDaily[Discharges],tblDaily[EntryDate],DATE(2026,5,10),tblDaily[WardCode],"NICU")=0,"",SUMIFS(tblDaily[Discharges],tblDaily[EntryDate],DATE(2026,5,10),tblDaily[WardCode],"NICU")),"")</f>
        <v/>
      </c>
      <c r="D172" s="12">
        <f>IFERROR(IF(SUMIFS(tblDaily[Deaths],tblDaily[EntryDate],DATE(2026,5,10),tblDaily[WardCode],"NICU")=0,"",SUMIFS(tblDaily[Deaths],tblDaily[EntryDate],DATE(2026,5,10),tblDaily[WardCode],"NICU")),"")</f>
        <v/>
      </c>
      <c r="E172" s="12">
        <f>IFERROR(IF(SUMIFS(tblDaily[DeathsUnder24Hrs],tblDaily[EntryDate],DATE(2026,5,10),tblDaily[WardCode],"NICU")=0,"",SUMIFS(tblDaily[DeathsUnder24Hrs],tblDaily[EntryDate],DATE(2026,5,10),tblDaily[WardCode],"NICU")),"")</f>
        <v/>
      </c>
      <c r="F172" s="12">
        <f>IFERROR(IF(SUMIFS(tblDaily[TransfersIn],tblDaily[EntryDate],DATE(2026,5,10),tblDaily[WardCode],"NICU")=0,"",SUMIFS(tblDaily[TransfersIn],tblDaily[EntryDate],DATE(2026,5,10),tblDaily[WardCode],"NICU")),"")</f>
        <v/>
      </c>
      <c r="G172" s="12">
        <f>IFERROR(IF(SUMIFS(tblDaily[TransfersOut],tblDaily[EntryDate],DATE(2026,5,10),tblDaily[WardCode],"NICU")=0,"",SUMIFS(tblDaily[TransfersOut],tblDaily[EntryDate],DATE(2026,5,10),tblDaily[WardCode],"NICU")),"")</f>
        <v/>
      </c>
      <c r="H172" s="12">
        <f>IFERROR(IF(SUMIFS(tblDaily[Remaining],tblDaily[EntryDate],DATE(2026,5,10),tblDaily[WardCode],"NICU")=0,"",SUMIFS(tblDaily[Remaining],tblDaily[EntryDate],DATE(2026,5,10),tblDaily[WardCode],"NICU")),"")</f>
        <v/>
      </c>
    </row>
    <row r="173">
      <c r="A173" s="12" t="n">
        <v>11</v>
      </c>
      <c r="B173" s="12">
        <f>IFERROR(IF(SUMIFS(tblDaily[Admissions],tblDaily[EntryDate],DATE(2026,5,11),tblDaily[WardCode],"NICU")=0,"",SUMIFS(tblDaily[Admissions],tblDaily[EntryDate],DATE(2026,5,11),tblDaily[WardCode],"NICU")),"")</f>
        <v/>
      </c>
      <c r="C173" s="12">
        <f>IFERROR(IF(SUMIFS(tblDaily[Discharges],tblDaily[EntryDate],DATE(2026,5,11),tblDaily[WardCode],"NICU")=0,"",SUMIFS(tblDaily[Discharges],tblDaily[EntryDate],DATE(2026,5,11),tblDaily[WardCode],"NICU")),"")</f>
        <v/>
      </c>
      <c r="D173" s="12">
        <f>IFERROR(IF(SUMIFS(tblDaily[Deaths],tblDaily[EntryDate],DATE(2026,5,11),tblDaily[WardCode],"NICU")=0,"",SUMIFS(tblDaily[Deaths],tblDaily[EntryDate],DATE(2026,5,11),tblDaily[WardCode],"NICU")),"")</f>
        <v/>
      </c>
      <c r="E173" s="12">
        <f>IFERROR(IF(SUMIFS(tblDaily[DeathsUnder24Hrs],tblDaily[EntryDate],DATE(2026,5,11),tblDaily[WardCode],"NICU")=0,"",SUMIFS(tblDaily[DeathsUnder24Hrs],tblDaily[EntryDate],DATE(2026,5,11),tblDaily[WardCode],"NICU")),"")</f>
        <v/>
      </c>
      <c r="F173" s="12">
        <f>IFERROR(IF(SUMIFS(tblDaily[TransfersIn],tblDaily[EntryDate],DATE(2026,5,11),tblDaily[WardCode],"NICU")=0,"",SUMIFS(tblDaily[TransfersIn],tblDaily[EntryDate],DATE(2026,5,11),tblDaily[WardCode],"NICU")),"")</f>
        <v/>
      </c>
      <c r="G173" s="12">
        <f>IFERROR(IF(SUMIFS(tblDaily[TransfersOut],tblDaily[EntryDate],DATE(2026,5,11),tblDaily[WardCode],"NICU")=0,"",SUMIFS(tblDaily[TransfersOut],tblDaily[EntryDate],DATE(2026,5,11),tblDaily[WardCode],"NICU")),"")</f>
        <v/>
      </c>
      <c r="H173" s="12">
        <f>IFERROR(IF(SUMIFS(tblDaily[Remaining],tblDaily[EntryDate],DATE(2026,5,11),tblDaily[WardCode],"NICU")=0,"",SUMIFS(tblDaily[Remaining],tblDaily[EntryDate],DATE(2026,5,11),tblDaily[WardCode],"NICU")),"")</f>
        <v/>
      </c>
    </row>
    <row r="174">
      <c r="A174" s="12" t="n">
        <v>12</v>
      </c>
      <c r="B174" s="12">
        <f>IFERROR(IF(SUMIFS(tblDaily[Admissions],tblDaily[EntryDate],DATE(2026,5,12),tblDaily[WardCode],"NICU")=0,"",SUMIFS(tblDaily[Admissions],tblDaily[EntryDate],DATE(2026,5,12),tblDaily[WardCode],"NICU")),"")</f>
        <v/>
      </c>
      <c r="C174" s="12">
        <f>IFERROR(IF(SUMIFS(tblDaily[Discharges],tblDaily[EntryDate],DATE(2026,5,12),tblDaily[WardCode],"NICU")=0,"",SUMIFS(tblDaily[Discharges],tblDaily[EntryDate],DATE(2026,5,12),tblDaily[WardCode],"NICU")),"")</f>
        <v/>
      </c>
      <c r="D174" s="12">
        <f>IFERROR(IF(SUMIFS(tblDaily[Deaths],tblDaily[EntryDate],DATE(2026,5,12),tblDaily[WardCode],"NICU")=0,"",SUMIFS(tblDaily[Deaths],tblDaily[EntryDate],DATE(2026,5,12),tblDaily[WardCode],"NICU")),"")</f>
        <v/>
      </c>
      <c r="E174" s="12">
        <f>IFERROR(IF(SUMIFS(tblDaily[DeathsUnder24Hrs],tblDaily[EntryDate],DATE(2026,5,12),tblDaily[WardCode],"NICU")=0,"",SUMIFS(tblDaily[DeathsUnder24Hrs],tblDaily[EntryDate],DATE(2026,5,12),tblDaily[WardCode],"NICU")),"")</f>
        <v/>
      </c>
      <c r="F174" s="12">
        <f>IFERROR(IF(SUMIFS(tblDaily[TransfersIn],tblDaily[EntryDate],DATE(2026,5,12),tblDaily[WardCode],"NICU")=0,"",SUMIFS(tblDaily[TransfersIn],tblDaily[EntryDate],DATE(2026,5,12),tblDaily[WardCode],"NICU")),"")</f>
        <v/>
      </c>
      <c r="G174" s="12">
        <f>IFERROR(IF(SUMIFS(tblDaily[TransfersOut],tblDaily[EntryDate],DATE(2026,5,12),tblDaily[WardCode],"NICU")=0,"",SUMIFS(tblDaily[TransfersOut],tblDaily[EntryDate],DATE(2026,5,12),tblDaily[WardCode],"NICU")),"")</f>
        <v/>
      </c>
      <c r="H174" s="12">
        <f>IFERROR(IF(SUMIFS(tblDaily[Remaining],tblDaily[EntryDate],DATE(2026,5,12),tblDaily[WardCode],"NICU")=0,"",SUMIFS(tblDaily[Remaining],tblDaily[EntryDate],DATE(2026,5,12),tblDaily[WardCode],"NICU")),"")</f>
        <v/>
      </c>
    </row>
    <row r="175">
      <c r="A175" s="12" t="n">
        <v>13</v>
      </c>
      <c r="B175" s="12">
        <f>IFERROR(IF(SUMIFS(tblDaily[Admissions],tblDaily[EntryDate],DATE(2026,5,13),tblDaily[WardCode],"NICU")=0,"",SUMIFS(tblDaily[Admissions],tblDaily[EntryDate],DATE(2026,5,13),tblDaily[WardCode],"NICU")),"")</f>
        <v/>
      </c>
      <c r="C175" s="12">
        <f>IFERROR(IF(SUMIFS(tblDaily[Discharges],tblDaily[EntryDate],DATE(2026,5,13),tblDaily[WardCode],"NICU")=0,"",SUMIFS(tblDaily[Discharges],tblDaily[EntryDate],DATE(2026,5,13),tblDaily[WardCode],"NICU")),"")</f>
        <v/>
      </c>
      <c r="D175" s="12">
        <f>IFERROR(IF(SUMIFS(tblDaily[Deaths],tblDaily[EntryDate],DATE(2026,5,13),tblDaily[WardCode],"NICU")=0,"",SUMIFS(tblDaily[Deaths],tblDaily[EntryDate],DATE(2026,5,13),tblDaily[WardCode],"NICU")),"")</f>
        <v/>
      </c>
      <c r="E175" s="12">
        <f>IFERROR(IF(SUMIFS(tblDaily[DeathsUnder24Hrs],tblDaily[EntryDate],DATE(2026,5,13),tblDaily[WardCode],"NICU")=0,"",SUMIFS(tblDaily[DeathsUnder24Hrs],tblDaily[EntryDate],DATE(2026,5,13),tblDaily[WardCode],"NICU")),"")</f>
        <v/>
      </c>
      <c r="F175" s="12">
        <f>IFERROR(IF(SUMIFS(tblDaily[TransfersIn],tblDaily[EntryDate],DATE(2026,5,13),tblDaily[WardCode],"NICU")=0,"",SUMIFS(tblDaily[TransfersIn],tblDaily[EntryDate],DATE(2026,5,13),tblDaily[WardCode],"NICU")),"")</f>
        <v/>
      </c>
      <c r="G175" s="12">
        <f>IFERROR(IF(SUMIFS(tblDaily[TransfersOut],tblDaily[EntryDate],DATE(2026,5,13),tblDaily[WardCode],"NICU")=0,"",SUMIFS(tblDaily[TransfersOut],tblDaily[EntryDate],DATE(2026,5,13),tblDaily[WardCode],"NICU")),"")</f>
        <v/>
      </c>
      <c r="H175" s="12">
        <f>IFERROR(IF(SUMIFS(tblDaily[Remaining],tblDaily[EntryDate],DATE(2026,5,13),tblDaily[WardCode],"NICU")=0,"",SUMIFS(tblDaily[Remaining],tblDaily[EntryDate],DATE(2026,5,13),tblDaily[WardCode],"NICU")),"")</f>
        <v/>
      </c>
    </row>
    <row r="176">
      <c r="A176" s="12" t="n">
        <v>14</v>
      </c>
      <c r="B176" s="12">
        <f>IFERROR(IF(SUMIFS(tblDaily[Admissions],tblDaily[EntryDate],DATE(2026,5,14),tblDaily[WardCode],"NICU")=0,"",SUMIFS(tblDaily[Admissions],tblDaily[EntryDate],DATE(2026,5,14),tblDaily[WardCode],"NICU")),"")</f>
        <v/>
      </c>
      <c r="C176" s="12">
        <f>IFERROR(IF(SUMIFS(tblDaily[Discharges],tblDaily[EntryDate],DATE(2026,5,14),tblDaily[WardCode],"NICU")=0,"",SUMIFS(tblDaily[Discharges],tblDaily[EntryDate],DATE(2026,5,14),tblDaily[WardCode],"NICU")),"")</f>
        <v/>
      </c>
      <c r="D176" s="12">
        <f>IFERROR(IF(SUMIFS(tblDaily[Deaths],tblDaily[EntryDate],DATE(2026,5,14),tblDaily[WardCode],"NICU")=0,"",SUMIFS(tblDaily[Deaths],tblDaily[EntryDate],DATE(2026,5,14),tblDaily[WardCode],"NICU")),"")</f>
        <v/>
      </c>
      <c r="E176" s="12">
        <f>IFERROR(IF(SUMIFS(tblDaily[DeathsUnder24Hrs],tblDaily[EntryDate],DATE(2026,5,14),tblDaily[WardCode],"NICU")=0,"",SUMIFS(tblDaily[DeathsUnder24Hrs],tblDaily[EntryDate],DATE(2026,5,14),tblDaily[WardCode],"NICU")),"")</f>
        <v/>
      </c>
      <c r="F176" s="12">
        <f>IFERROR(IF(SUMIFS(tblDaily[TransfersIn],tblDaily[EntryDate],DATE(2026,5,14),tblDaily[WardCode],"NICU")=0,"",SUMIFS(tblDaily[TransfersIn],tblDaily[EntryDate],DATE(2026,5,14),tblDaily[WardCode],"NICU")),"")</f>
        <v/>
      </c>
      <c r="G176" s="12">
        <f>IFERROR(IF(SUMIFS(tblDaily[TransfersOut],tblDaily[EntryDate],DATE(2026,5,14),tblDaily[WardCode],"NICU")=0,"",SUMIFS(tblDaily[TransfersOut],tblDaily[EntryDate],DATE(2026,5,14),tblDaily[WardCode],"NICU")),"")</f>
        <v/>
      </c>
      <c r="H176" s="12">
        <f>IFERROR(IF(SUMIFS(tblDaily[Remaining],tblDaily[EntryDate],DATE(2026,5,14),tblDaily[WardCode],"NICU")=0,"",SUMIFS(tblDaily[Remaining],tblDaily[EntryDate],DATE(2026,5,14),tblDaily[WardCode],"NICU")),"")</f>
        <v/>
      </c>
    </row>
    <row r="177">
      <c r="A177" s="12" t="n">
        <v>15</v>
      </c>
      <c r="B177" s="12">
        <f>IFERROR(IF(SUMIFS(tblDaily[Admissions],tblDaily[EntryDate],DATE(2026,5,15),tblDaily[WardCode],"NICU")=0,"",SUMIFS(tblDaily[Admissions],tblDaily[EntryDate],DATE(2026,5,15),tblDaily[WardCode],"NICU")),"")</f>
        <v/>
      </c>
      <c r="C177" s="12">
        <f>IFERROR(IF(SUMIFS(tblDaily[Discharges],tblDaily[EntryDate],DATE(2026,5,15),tblDaily[WardCode],"NICU")=0,"",SUMIFS(tblDaily[Discharges],tblDaily[EntryDate],DATE(2026,5,15),tblDaily[WardCode],"NICU")),"")</f>
        <v/>
      </c>
      <c r="D177" s="12">
        <f>IFERROR(IF(SUMIFS(tblDaily[Deaths],tblDaily[EntryDate],DATE(2026,5,15),tblDaily[WardCode],"NICU")=0,"",SUMIFS(tblDaily[Deaths],tblDaily[EntryDate],DATE(2026,5,15),tblDaily[WardCode],"NICU")),"")</f>
        <v/>
      </c>
      <c r="E177" s="12">
        <f>IFERROR(IF(SUMIFS(tblDaily[DeathsUnder24Hrs],tblDaily[EntryDate],DATE(2026,5,15),tblDaily[WardCode],"NICU")=0,"",SUMIFS(tblDaily[DeathsUnder24Hrs],tblDaily[EntryDate],DATE(2026,5,15),tblDaily[WardCode],"NICU")),"")</f>
        <v/>
      </c>
      <c r="F177" s="12">
        <f>IFERROR(IF(SUMIFS(tblDaily[TransfersIn],tblDaily[EntryDate],DATE(2026,5,15),tblDaily[WardCode],"NICU")=0,"",SUMIFS(tblDaily[TransfersIn],tblDaily[EntryDate],DATE(2026,5,15),tblDaily[WardCode],"NICU")),"")</f>
        <v/>
      </c>
      <c r="G177" s="12">
        <f>IFERROR(IF(SUMIFS(tblDaily[TransfersOut],tblDaily[EntryDate],DATE(2026,5,15),tblDaily[WardCode],"NICU")=0,"",SUMIFS(tblDaily[TransfersOut],tblDaily[EntryDate],DATE(2026,5,15),tblDaily[WardCode],"NICU")),"")</f>
        <v/>
      </c>
      <c r="H177" s="12">
        <f>IFERROR(IF(SUMIFS(tblDaily[Remaining],tblDaily[EntryDate],DATE(2026,5,15),tblDaily[WardCode],"NICU")=0,"",SUMIFS(tblDaily[Remaining],tblDaily[EntryDate],DATE(2026,5,15),tblDaily[WardCode],"NICU")),"")</f>
        <v/>
      </c>
    </row>
    <row r="178">
      <c r="A178" s="12" t="n">
        <v>16</v>
      </c>
      <c r="B178" s="12">
        <f>IFERROR(IF(SUMIFS(tblDaily[Admissions],tblDaily[EntryDate],DATE(2026,5,16),tblDaily[WardCode],"NICU")=0,"",SUMIFS(tblDaily[Admissions],tblDaily[EntryDate],DATE(2026,5,16),tblDaily[WardCode],"NICU")),"")</f>
        <v/>
      </c>
      <c r="C178" s="12">
        <f>IFERROR(IF(SUMIFS(tblDaily[Discharges],tblDaily[EntryDate],DATE(2026,5,16),tblDaily[WardCode],"NICU")=0,"",SUMIFS(tblDaily[Discharges],tblDaily[EntryDate],DATE(2026,5,16),tblDaily[WardCode],"NICU")),"")</f>
        <v/>
      </c>
      <c r="D178" s="12">
        <f>IFERROR(IF(SUMIFS(tblDaily[Deaths],tblDaily[EntryDate],DATE(2026,5,16),tblDaily[WardCode],"NICU")=0,"",SUMIFS(tblDaily[Deaths],tblDaily[EntryDate],DATE(2026,5,16),tblDaily[WardCode],"NICU")),"")</f>
        <v/>
      </c>
      <c r="E178" s="12">
        <f>IFERROR(IF(SUMIFS(tblDaily[DeathsUnder24Hrs],tblDaily[EntryDate],DATE(2026,5,16),tblDaily[WardCode],"NICU")=0,"",SUMIFS(tblDaily[DeathsUnder24Hrs],tblDaily[EntryDate],DATE(2026,5,16),tblDaily[WardCode],"NICU")),"")</f>
        <v/>
      </c>
      <c r="F178" s="12">
        <f>IFERROR(IF(SUMIFS(tblDaily[TransfersIn],tblDaily[EntryDate],DATE(2026,5,16),tblDaily[WardCode],"NICU")=0,"",SUMIFS(tblDaily[TransfersIn],tblDaily[EntryDate],DATE(2026,5,16),tblDaily[WardCode],"NICU")),"")</f>
        <v/>
      </c>
      <c r="G178" s="12">
        <f>IFERROR(IF(SUMIFS(tblDaily[TransfersOut],tblDaily[EntryDate],DATE(2026,5,16),tblDaily[WardCode],"NICU")=0,"",SUMIFS(tblDaily[TransfersOut],tblDaily[EntryDate],DATE(2026,5,16),tblDaily[WardCode],"NICU")),"")</f>
        <v/>
      </c>
      <c r="H178" s="12">
        <f>IFERROR(IF(SUMIFS(tblDaily[Remaining],tblDaily[EntryDate],DATE(2026,5,16),tblDaily[WardCode],"NICU")=0,"",SUMIFS(tblDaily[Remaining],tblDaily[EntryDate],DATE(2026,5,16),tblDaily[WardCode],"NICU")),"")</f>
        <v/>
      </c>
    </row>
    <row r="179">
      <c r="A179" s="12" t="n">
        <v>17</v>
      </c>
      <c r="B179" s="12">
        <f>IFERROR(IF(SUMIFS(tblDaily[Admissions],tblDaily[EntryDate],DATE(2026,5,17),tblDaily[WardCode],"NICU")=0,"",SUMIFS(tblDaily[Admissions],tblDaily[EntryDate],DATE(2026,5,17),tblDaily[WardCode],"NICU")),"")</f>
        <v/>
      </c>
      <c r="C179" s="12">
        <f>IFERROR(IF(SUMIFS(tblDaily[Discharges],tblDaily[EntryDate],DATE(2026,5,17),tblDaily[WardCode],"NICU")=0,"",SUMIFS(tblDaily[Discharges],tblDaily[EntryDate],DATE(2026,5,17),tblDaily[WardCode],"NICU")),"")</f>
        <v/>
      </c>
      <c r="D179" s="12">
        <f>IFERROR(IF(SUMIFS(tblDaily[Deaths],tblDaily[EntryDate],DATE(2026,5,17),tblDaily[WardCode],"NICU")=0,"",SUMIFS(tblDaily[Deaths],tblDaily[EntryDate],DATE(2026,5,17),tblDaily[WardCode],"NICU")),"")</f>
        <v/>
      </c>
      <c r="E179" s="12">
        <f>IFERROR(IF(SUMIFS(tblDaily[DeathsUnder24Hrs],tblDaily[EntryDate],DATE(2026,5,17),tblDaily[WardCode],"NICU")=0,"",SUMIFS(tblDaily[DeathsUnder24Hrs],tblDaily[EntryDate],DATE(2026,5,17),tblDaily[WardCode],"NICU")),"")</f>
        <v/>
      </c>
      <c r="F179" s="12">
        <f>IFERROR(IF(SUMIFS(tblDaily[TransfersIn],tblDaily[EntryDate],DATE(2026,5,17),tblDaily[WardCode],"NICU")=0,"",SUMIFS(tblDaily[TransfersIn],tblDaily[EntryDate],DATE(2026,5,17),tblDaily[WardCode],"NICU")),"")</f>
        <v/>
      </c>
      <c r="G179" s="12">
        <f>IFERROR(IF(SUMIFS(tblDaily[TransfersOut],tblDaily[EntryDate],DATE(2026,5,17),tblDaily[WardCode],"NICU")=0,"",SUMIFS(tblDaily[TransfersOut],tblDaily[EntryDate],DATE(2026,5,17),tblDaily[WardCode],"NICU")),"")</f>
        <v/>
      </c>
      <c r="H179" s="12">
        <f>IFERROR(IF(SUMIFS(tblDaily[Remaining],tblDaily[EntryDate],DATE(2026,5,17),tblDaily[WardCode],"NICU")=0,"",SUMIFS(tblDaily[Remaining],tblDaily[EntryDate],DATE(2026,5,17),tblDaily[WardCode],"NICU")),"")</f>
        <v/>
      </c>
    </row>
    <row r="180">
      <c r="A180" s="12" t="n">
        <v>18</v>
      </c>
      <c r="B180" s="12">
        <f>IFERROR(IF(SUMIFS(tblDaily[Admissions],tblDaily[EntryDate],DATE(2026,5,18),tblDaily[WardCode],"NICU")=0,"",SUMIFS(tblDaily[Admissions],tblDaily[EntryDate],DATE(2026,5,18),tblDaily[WardCode],"NICU")),"")</f>
        <v/>
      </c>
      <c r="C180" s="12">
        <f>IFERROR(IF(SUMIFS(tblDaily[Discharges],tblDaily[EntryDate],DATE(2026,5,18),tblDaily[WardCode],"NICU")=0,"",SUMIFS(tblDaily[Discharges],tblDaily[EntryDate],DATE(2026,5,18),tblDaily[WardCode],"NICU")),"")</f>
        <v/>
      </c>
      <c r="D180" s="12">
        <f>IFERROR(IF(SUMIFS(tblDaily[Deaths],tblDaily[EntryDate],DATE(2026,5,18),tblDaily[WardCode],"NICU")=0,"",SUMIFS(tblDaily[Deaths],tblDaily[EntryDate],DATE(2026,5,18),tblDaily[WardCode],"NICU")),"")</f>
        <v/>
      </c>
      <c r="E180" s="12">
        <f>IFERROR(IF(SUMIFS(tblDaily[DeathsUnder24Hrs],tblDaily[EntryDate],DATE(2026,5,18),tblDaily[WardCode],"NICU")=0,"",SUMIFS(tblDaily[DeathsUnder24Hrs],tblDaily[EntryDate],DATE(2026,5,18),tblDaily[WardCode],"NICU")),"")</f>
        <v/>
      </c>
      <c r="F180" s="12">
        <f>IFERROR(IF(SUMIFS(tblDaily[TransfersIn],tblDaily[EntryDate],DATE(2026,5,18),tblDaily[WardCode],"NICU")=0,"",SUMIFS(tblDaily[TransfersIn],tblDaily[EntryDate],DATE(2026,5,18),tblDaily[WardCode],"NICU")),"")</f>
        <v/>
      </c>
      <c r="G180" s="12">
        <f>IFERROR(IF(SUMIFS(tblDaily[TransfersOut],tblDaily[EntryDate],DATE(2026,5,18),tblDaily[WardCode],"NICU")=0,"",SUMIFS(tblDaily[TransfersOut],tblDaily[EntryDate],DATE(2026,5,18),tblDaily[WardCode],"NICU")),"")</f>
        <v/>
      </c>
      <c r="H180" s="12">
        <f>IFERROR(IF(SUMIFS(tblDaily[Remaining],tblDaily[EntryDate],DATE(2026,5,18),tblDaily[WardCode],"NICU")=0,"",SUMIFS(tblDaily[Remaining],tblDaily[EntryDate],DATE(2026,5,18),tblDaily[WardCode],"NICU")),"")</f>
        <v/>
      </c>
    </row>
    <row r="181">
      <c r="A181" s="12" t="n">
        <v>19</v>
      </c>
      <c r="B181" s="12">
        <f>IFERROR(IF(SUMIFS(tblDaily[Admissions],tblDaily[EntryDate],DATE(2026,5,19),tblDaily[WardCode],"NICU")=0,"",SUMIFS(tblDaily[Admissions],tblDaily[EntryDate],DATE(2026,5,19),tblDaily[WardCode],"NICU")),"")</f>
        <v/>
      </c>
      <c r="C181" s="12">
        <f>IFERROR(IF(SUMIFS(tblDaily[Discharges],tblDaily[EntryDate],DATE(2026,5,19),tblDaily[WardCode],"NICU")=0,"",SUMIFS(tblDaily[Discharges],tblDaily[EntryDate],DATE(2026,5,19),tblDaily[WardCode],"NICU")),"")</f>
        <v/>
      </c>
      <c r="D181" s="12">
        <f>IFERROR(IF(SUMIFS(tblDaily[Deaths],tblDaily[EntryDate],DATE(2026,5,19),tblDaily[WardCode],"NICU")=0,"",SUMIFS(tblDaily[Deaths],tblDaily[EntryDate],DATE(2026,5,19),tblDaily[WardCode],"NICU")),"")</f>
        <v/>
      </c>
      <c r="E181" s="12">
        <f>IFERROR(IF(SUMIFS(tblDaily[DeathsUnder24Hrs],tblDaily[EntryDate],DATE(2026,5,19),tblDaily[WardCode],"NICU")=0,"",SUMIFS(tblDaily[DeathsUnder24Hrs],tblDaily[EntryDate],DATE(2026,5,19),tblDaily[WardCode],"NICU")),"")</f>
        <v/>
      </c>
      <c r="F181" s="12">
        <f>IFERROR(IF(SUMIFS(tblDaily[TransfersIn],tblDaily[EntryDate],DATE(2026,5,19),tblDaily[WardCode],"NICU")=0,"",SUMIFS(tblDaily[TransfersIn],tblDaily[EntryDate],DATE(2026,5,19),tblDaily[WardCode],"NICU")),"")</f>
        <v/>
      </c>
      <c r="G181" s="12">
        <f>IFERROR(IF(SUMIFS(tblDaily[TransfersOut],tblDaily[EntryDate],DATE(2026,5,19),tblDaily[WardCode],"NICU")=0,"",SUMIFS(tblDaily[TransfersOut],tblDaily[EntryDate],DATE(2026,5,19),tblDaily[WardCode],"NICU")),"")</f>
        <v/>
      </c>
      <c r="H181" s="12">
        <f>IFERROR(IF(SUMIFS(tblDaily[Remaining],tblDaily[EntryDate],DATE(2026,5,19),tblDaily[WardCode],"NICU")=0,"",SUMIFS(tblDaily[Remaining],tblDaily[EntryDate],DATE(2026,5,19),tblDaily[WardCode],"NICU")),"")</f>
        <v/>
      </c>
    </row>
    <row r="182">
      <c r="A182" s="12" t="n">
        <v>20</v>
      </c>
      <c r="B182" s="12">
        <f>IFERROR(IF(SUMIFS(tblDaily[Admissions],tblDaily[EntryDate],DATE(2026,5,20),tblDaily[WardCode],"NICU")=0,"",SUMIFS(tblDaily[Admissions],tblDaily[EntryDate],DATE(2026,5,20),tblDaily[WardCode],"NICU")),"")</f>
        <v/>
      </c>
      <c r="C182" s="12">
        <f>IFERROR(IF(SUMIFS(tblDaily[Discharges],tblDaily[EntryDate],DATE(2026,5,20),tblDaily[WardCode],"NICU")=0,"",SUMIFS(tblDaily[Discharges],tblDaily[EntryDate],DATE(2026,5,20),tblDaily[WardCode],"NICU")),"")</f>
        <v/>
      </c>
      <c r="D182" s="12">
        <f>IFERROR(IF(SUMIFS(tblDaily[Deaths],tblDaily[EntryDate],DATE(2026,5,20),tblDaily[WardCode],"NICU")=0,"",SUMIFS(tblDaily[Deaths],tblDaily[EntryDate],DATE(2026,5,20),tblDaily[WardCode],"NICU")),"")</f>
        <v/>
      </c>
      <c r="E182" s="12">
        <f>IFERROR(IF(SUMIFS(tblDaily[DeathsUnder24Hrs],tblDaily[EntryDate],DATE(2026,5,20),tblDaily[WardCode],"NICU")=0,"",SUMIFS(tblDaily[DeathsUnder24Hrs],tblDaily[EntryDate],DATE(2026,5,20),tblDaily[WardCode],"NICU")),"")</f>
        <v/>
      </c>
      <c r="F182" s="12">
        <f>IFERROR(IF(SUMIFS(tblDaily[TransfersIn],tblDaily[EntryDate],DATE(2026,5,20),tblDaily[WardCode],"NICU")=0,"",SUMIFS(tblDaily[TransfersIn],tblDaily[EntryDate],DATE(2026,5,20),tblDaily[WardCode],"NICU")),"")</f>
        <v/>
      </c>
      <c r="G182" s="12">
        <f>IFERROR(IF(SUMIFS(tblDaily[TransfersOut],tblDaily[EntryDate],DATE(2026,5,20),tblDaily[WardCode],"NICU")=0,"",SUMIFS(tblDaily[TransfersOut],tblDaily[EntryDate],DATE(2026,5,20),tblDaily[WardCode],"NICU")),"")</f>
        <v/>
      </c>
      <c r="H182" s="12">
        <f>IFERROR(IF(SUMIFS(tblDaily[Remaining],tblDaily[EntryDate],DATE(2026,5,20),tblDaily[WardCode],"NICU")=0,"",SUMIFS(tblDaily[Remaining],tblDaily[EntryDate],DATE(2026,5,20),tblDaily[WardCode],"NICU")),"")</f>
        <v/>
      </c>
    </row>
    <row r="183">
      <c r="A183" s="12" t="n">
        <v>21</v>
      </c>
      <c r="B183" s="12">
        <f>IFERROR(IF(SUMIFS(tblDaily[Admissions],tblDaily[EntryDate],DATE(2026,5,21),tblDaily[WardCode],"NICU")=0,"",SUMIFS(tblDaily[Admissions],tblDaily[EntryDate],DATE(2026,5,21),tblDaily[WardCode],"NICU")),"")</f>
        <v/>
      </c>
      <c r="C183" s="12">
        <f>IFERROR(IF(SUMIFS(tblDaily[Discharges],tblDaily[EntryDate],DATE(2026,5,21),tblDaily[WardCode],"NICU")=0,"",SUMIFS(tblDaily[Discharges],tblDaily[EntryDate],DATE(2026,5,21),tblDaily[WardCode],"NICU")),"")</f>
        <v/>
      </c>
      <c r="D183" s="12">
        <f>IFERROR(IF(SUMIFS(tblDaily[Deaths],tblDaily[EntryDate],DATE(2026,5,21),tblDaily[WardCode],"NICU")=0,"",SUMIFS(tblDaily[Deaths],tblDaily[EntryDate],DATE(2026,5,21),tblDaily[WardCode],"NICU")),"")</f>
        <v/>
      </c>
      <c r="E183" s="12">
        <f>IFERROR(IF(SUMIFS(tblDaily[DeathsUnder24Hrs],tblDaily[EntryDate],DATE(2026,5,21),tblDaily[WardCode],"NICU")=0,"",SUMIFS(tblDaily[DeathsUnder24Hrs],tblDaily[EntryDate],DATE(2026,5,21),tblDaily[WardCode],"NICU")),"")</f>
        <v/>
      </c>
      <c r="F183" s="12">
        <f>IFERROR(IF(SUMIFS(tblDaily[TransfersIn],tblDaily[EntryDate],DATE(2026,5,21),tblDaily[WardCode],"NICU")=0,"",SUMIFS(tblDaily[TransfersIn],tblDaily[EntryDate],DATE(2026,5,21),tblDaily[WardCode],"NICU")),"")</f>
        <v/>
      </c>
      <c r="G183" s="12">
        <f>IFERROR(IF(SUMIFS(tblDaily[TransfersOut],tblDaily[EntryDate],DATE(2026,5,21),tblDaily[WardCode],"NICU")=0,"",SUMIFS(tblDaily[TransfersOut],tblDaily[EntryDate],DATE(2026,5,21),tblDaily[WardCode],"NICU")),"")</f>
        <v/>
      </c>
      <c r="H183" s="12">
        <f>IFERROR(IF(SUMIFS(tblDaily[Remaining],tblDaily[EntryDate],DATE(2026,5,21),tblDaily[WardCode],"NICU")=0,"",SUMIFS(tblDaily[Remaining],tblDaily[EntryDate],DATE(2026,5,21),tblDaily[WardCode],"NICU")),"")</f>
        <v/>
      </c>
    </row>
    <row r="184">
      <c r="A184" s="12" t="n">
        <v>22</v>
      </c>
      <c r="B184" s="12">
        <f>IFERROR(IF(SUMIFS(tblDaily[Admissions],tblDaily[EntryDate],DATE(2026,5,22),tblDaily[WardCode],"NICU")=0,"",SUMIFS(tblDaily[Admissions],tblDaily[EntryDate],DATE(2026,5,22),tblDaily[WardCode],"NICU")),"")</f>
        <v/>
      </c>
      <c r="C184" s="12">
        <f>IFERROR(IF(SUMIFS(tblDaily[Discharges],tblDaily[EntryDate],DATE(2026,5,22),tblDaily[WardCode],"NICU")=0,"",SUMIFS(tblDaily[Discharges],tblDaily[EntryDate],DATE(2026,5,22),tblDaily[WardCode],"NICU")),"")</f>
        <v/>
      </c>
      <c r="D184" s="12">
        <f>IFERROR(IF(SUMIFS(tblDaily[Deaths],tblDaily[EntryDate],DATE(2026,5,22),tblDaily[WardCode],"NICU")=0,"",SUMIFS(tblDaily[Deaths],tblDaily[EntryDate],DATE(2026,5,22),tblDaily[WardCode],"NICU")),"")</f>
        <v/>
      </c>
      <c r="E184" s="12">
        <f>IFERROR(IF(SUMIFS(tblDaily[DeathsUnder24Hrs],tblDaily[EntryDate],DATE(2026,5,22),tblDaily[WardCode],"NICU")=0,"",SUMIFS(tblDaily[DeathsUnder24Hrs],tblDaily[EntryDate],DATE(2026,5,22),tblDaily[WardCode],"NICU")),"")</f>
        <v/>
      </c>
      <c r="F184" s="12">
        <f>IFERROR(IF(SUMIFS(tblDaily[TransfersIn],tblDaily[EntryDate],DATE(2026,5,22),tblDaily[WardCode],"NICU")=0,"",SUMIFS(tblDaily[TransfersIn],tblDaily[EntryDate],DATE(2026,5,22),tblDaily[WardCode],"NICU")),"")</f>
        <v/>
      </c>
      <c r="G184" s="12">
        <f>IFERROR(IF(SUMIFS(tblDaily[TransfersOut],tblDaily[EntryDate],DATE(2026,5,22),tblDaily[WardCode],"NICU")=0,"",SUMIFS(tblDaily[TransfersOut],tblDaily[EntryDate],DATE(2026,5,22),tblDaily[WardCode],"NICU")),"")</f>
        <v/>
      </c>
      <c r="H184" s="12">
        <f>IFERROR(IF(SUMIFS(tblDaily[Remaining],tblDaily[EntryDate],DATE(2026,5,22),tblDaily[WardCode],"NICU")=0,"",SUMIFS(tblDaily[Remaining],tblDaily[EntryDate],DATE(2026,5,22),tblDaily[WardCode],"NICU")),"")</f>
        <v/>
      </c>
    </row>
    <row r="185">
      <c r="A185" s="12" t="n">
        <v>23</v>
      </c>
      <c r="B185" s="12">
        <f>IFERROR(IF(SUMIFS(tblDaily[Admissions],tblDaily[EntryDate],DATE(2026,5,23),tblDaily[WardCode],"NICU")=0,"",SUMIFS(tblDaily[Admissions],tblDaily[EntryDate],DATE(2026,5,23),tblDaily[WardCode],"NICU")),"")</f>
        <v/>
      </c>
      <c r="C185" s="12">
        <f>IFERROR(IF(SUMIFS(tblDaily[Discharges],tblDaily[EntryDate],DATE(2026,5,23),tblDaily[WardCode],"NICU")=0,"",SUMIFS(tblDaily[Discharges],tblDaily[EntryDate],DATE(2026,5,23),tblDaily[WardCode],"NICU")),"")</f>
        <v/>
      </c>
      <c r="D185" s="12">
        <f>IFERROR(IF(SUMIFS(tblDaily[Deaths],tblDaily[EntryDate],DATE(2026,5,23),tblDaily[WardCode],"NICU")=0,"",SUMIFS(tblDaily[Deaths],tblDaily[EntryDate],DATE(2026,5,23),tblDaily[WardCode],"NICU")),"")</f>
        <v/>
      </c>
      <c r="E185" s="12">
        <f>IFERROR(IF(SUMIFS(tblDaily[DeathsUnder24Hrs],tblDaily[EntryDate],DATE(2026,5,23),tblDaily[WardCode],"NICU")=0,"",SUMIFS(tblDaily[DeathsUnder24Hrs],tblDaily[EntryDate],DATE(2026,5,23),tblDaily[WardCode],"NICU")),"")</f>
        <v/>
      </c>
      <c r="F185" s="12">
        <f>IFERROR(IF(SUMIFS(tblDaily[TransfersIn],tblDaily[EntryDate],DATE(2026,5,23),tblDaily[WardCode],"NICU")=0,"",SUMIFS(tblDaily[TransfersIn],tblDaily[EntryDate],DATE(2026,5,23),tblDaily[WardCode],"NICU")),"")</f>
        <v/>
      </c>
      <c r="G185" s="12">
        <f>IFERROR(IF(SUMIFS(tblDaily[TransfersOut],tblDaily[EntryDate],DATE(2026,5,23),tblDaily[WardCode],"NICU")=0,"",SUMIFS(tblDaily[TransfersOut],tblDaily[EntryDate],DATE(2026,5,23),tblDaily[WardCode],"NICU")),"")</f>
        <v/>
      </c>
      <c r="H185" s="12">
        <f>IFERROR(IF(SUMIFS(tblDaily[Remaining],tblDaily[EntryDate],DATE(2026,5,23),tblDaily[WardCode],"NICU")=0,"",SUMIFS(tblDaily[Remaining],tblDaily[EntryDate],DATE(2026,5,23),tblDaily[WardCode],"NICU")),"")</f>
        <v/>
      </c>
    </row>
    <row r="186">
      <c r="A186" s="12" t="n">
        <v>24</v>
      </c>
      <c r="B186" s="12">
        <f>IFERROR(IF(SUMIFS(tblDaily[Admissions],tblDaily[EntryDate],DATE(2026,5,24),tblDaily[WardCode],"NICU")=0,"",SUMIFS(tblDaily[Admissions],tblDaily[EntryDate],DATE(2026,5,24),tblDaily[WardCode],"NICU")),"")</f>
        <v/>
      </c>
      <c r="C186" s="12">
        <f>IFERROR(IF(SUMIFS(tblDaily[Discharges],tblDaily[EntryDate],DATE(2026,5,24),tblDaily[WardCode],"NICU")=0,"",SUMIFS(tblDaily[Discharges],tblDaily[EntryDate],DATE(2026,5,24),tblDaily[WardCode],"NICU")),"")</f>
        <v/>
      </c>
      <c r="D186" s="12">
        <f>IFERROR(IF(SUMIFS(tblDaily[Deaths],tblDaily[EntryDate],DATE(2026,5,24),tblDaily[WardCode],"NICU")=0,"",SUMIFS(tblDaily[Deaths],tblDaily[EntryDate],DATE(2026,5,24),tblDaily[WardCode],"NICU")),"")</f>
        <v/>
      </c>
      <c r="E186" s="12">
        <f>IFERROR(IF(SUMIFS(tblDaily[DeathsUnder24Hrs],tblDaily[EntryDate],DATE(2026,5,24),tblDaily[WardCode],"NICU")=0,"",SUMIFS(tblDaily[DeathsUnder24Hrs],tblDaily[EntryDate],DATE(2026,5,24),tblDaily[WardCode],"NICU")),"")</f>
        <v/>
      </c>
      <c r="F186" s="12">
        <f>IFERROR(IF(SUMIFS(tblDaily[TransfersIn],tblDaily[EntryDate],DATE(2026,5,24),tblDaily[WardCode],"NICU")=0,"",SUMIFS(tblDaily[TransfersIn],tblDaily[EntryDate],DATE(2026,5,24),tblDaily[WardCode],"NICU")),"")</f>
        <v/>
      </c>
      <c r="G186" s="12">
        <f>IFERROR(IF(SUMIFS(tblDaily[TransfersOut],tblDaily[EntryDate],DATE(2026,5,24),tblDaily[WardCode],"NICU")=0,"",SUMIFS(tblDaily[TransfersOut],tblDaily[EntryDate],DATE(2026,5,24),tblDaily[WardCode],"NICU")),"")</f>
        <v/>
      </c>
      <c r="H186" s="12">
        <f>IFERROR(IF(SUMIFS(tblDaily[Remaining],tblDaily[EntryDate],DATE(2026,5,24),tblDaily[WardCode],"NICU")=0,"",SUMIFS(tblDaily[Remaining],tblDaily[EntryDate],DATE(2026,5,24),tblDaily[WardCode],"NICU")),"")</f>
        <v/>
      </c>
    </row>
    <row r="187">
      <c r="A187" s="12" t="n">
        <v>25</v>
      </c>
      <c r="B187" s="12">
        <f>IFERROR(IF(SUMIFS(tblDaily[Admissions],tblDaily[EntryDate],DATE(2026,5,25),tblDaily[WardCode],"NICU")=0,"",SUMIFS(tblDaily[Admissions],tblDaily[EntryDate],DATE(2026,5,25),tblDaily[WardCode],"NICU")),"")</f>
        <v/>
      </c>
      <c r="C187" s="12">
        <f>IFERROR(IF(SUMIFS(tblDaily[Discharges],tblDaily[EntryDate],DATE(2026,5,25),tblDaily[WardCode],"NICU")=0,"",SUMIFS(tblDaily[Discharges],tblDaily[EntryDate],DATE(2026,5,25),tblDaily[WardCode],"NICU")),"")</f>
        <v/>
      </c>
      <c r="D187" s="12">
        <f>IFERROR(IF(SUMIFS(tblDaily[Deaths],tblDaily[EntryDate],DATE(2026,5,25),tblDaily[WardCode],"NICU")=0,"",SUMIFS(tblDaily[Deaths],tblDaily[EntryDate],DATE(2026,5,25),tblDaily[WardCode],"NICU")),"")</f>
        <v/>
      </c>
      <c r="E187" s="12">
        <f>IFERROR(IF(SUMIFS(tblDaily[DeathsUnder24Hrs],tblDaily[EntryDate],DATE(2026,5,25),tblDaily[WardCode],"NICU")=0,"",SUMIFS(tblDaily[DeathsUnder24Hrs],tblDaily[EntryDate],DATE(2026,5,25),tblDaily[WardCode],"NICU")),"")</f>
        <v/>
      </c>
      <c r="F187" s="12">
        <f>IFERROR(IF(SUMIFS(tblDaily[TransfersIn],tblDaily[EntryDate],DATE(2026,5,25),tblDaily[WardCode],"NICU")=0,"",SUMIFS(tblDaily[TransfersIn],tblDaily[EntryDate],DATE(2026,5,25),tblDaily[WardCode],"NICU")),"")</f>
        <v/>
      </c>
      <c r="G187" s="12">
        <f>IFERROR(IF(SUMIFS(tblDaily[TransfersOut],tblDaily[EntryDate],DATE(2026,5,25),tblDaily[WardCode],"NICU")=0,"",SUMIFS(tblDaily[TransfersOut],tblDaily[EntryDate],DATE(2026,5,25),tblDaily[WardCode],"NICU")),"")</f>
        <v/>
      </c>
      <c r="H187" s="12">
        <f>IFERROR(IF(SUMIFS(tblDaily[Remaining],tblDaily[EntryDate],DATE(2026,5,25),tblDaily[WardCode],"NICU")=0,"",SUMIFS(tblDaily[Remaining],tblDaily[EntryDate],DATE(2026,5,25),tblDaily[WardCode],"NICU")),"")</f>
        <v/>
      </c>
    </row>
    <row r="188">
      <c r="A188" s="12" t="n">
        <v>26</v>
      </c>
      <c r="B188" s="12">
        <f>IFERROR(IF(SUMIFS(tblDaily[Admissions],tblDaily[EntryDate],DATE(2026,5,26),tblDaily[WardCode],"NICU")=0,"",SUMIFS(tblDaily[Admissions],tblDaily[EntryDate],DATE(2026,5,26),tblDaily[WardCode],"NICU")),"")</f>
        <v/>
      </c>
      <c r="C188" s="12">
        <f>IFERROR(IF(SUMIFS(tblDaily[Discharges],tblDaily[EntryDate],DATE(2026,5,26),tblDaily[WardCode],"NICU")=0,"",SUMIFS(tblDaily[Discharges],tblDaily[EntryDate],DATE(2026,5,26),tblDaily[WardCode],"NICU")),"")</f>
        <v/>
      </c>
      <c r="D188" s="12">
        <f>IFERROR(IF(SUMIFS(tblDaily[Deaths],tblDaily[EntryDate],DATE(2026,5,26),tblDaily[WardCode],"NICU")=0,"",SUMIFS(tblDaily[Deaths],tblDaily[EntryDate],DATE(2026,5,26),tblDaily[WardCode],"NICU")),"")</f>
        <v/>
      </c>
      <c r="E188" s="12">
        <f>IFERROR(IF(SUMIFS(tblDaily[DeathsUnder24Hrs],tblDaily[EntryDate],DATE(2026,5,26),tblDaily[WardCode],"NICU")=0,"",SUMIFS(tblDaily[DeathsUnder24Hrs],tblDaily[EntryDate],DATE(2026,5,26),tblDaily[WardCode],"NICU")),"")</f>
        <v/>
      </c>
      <c r="F188" s="12">
        <f>IFERROR(IF(SUMIFS(tblDaily[TransfersIn],tblDaily[EntryDate],DATE(2026,5,26),tblDaily[WardCode],"NICU")=0,"",SUMIFS(tblDaily[TransfersIn],tblDaily[EntryDate],DATE(2026,5,26),tblDaily[WardCode],"NICU")),"")</f>
        <v/>
      </c>
      <c r="G188" s="12">
        <f>IFERROR(IF(SUMIFS(tblDaily[TransfersOut],tblDaily[EntryDate],DATE(2026,5,26),tblDaily[WardCode],"NICU")=0,"",SUMIFS(tblDaily[TransfersOut],tblDaily[EntryDate],DATE(2026,5,26),tblDaily[WardCode],"NICU")),"")</f>
        <v/>
      </c>
      <c r="H188" s="12">
        <f>IFERROR(IF(SUMIFS(tblDaily[Remaining],tblDaily[EntryDate],DATE(2026,5,26),tblDaily[WardCode],"NICU")=0,"",SUMIFS(tblDaily[Remaining],tblDaily[EntryDate],DATE(2026,5,26),tblDaily[WardCode],"NICU")),"")</f>
        <v/>
      </c>
    </row>
    <row r="189">
      <c r="A189" s="12" t="n">
        <v>27</v>
      </c>
      <c r="B189" s="12">
        <f>IFERROR(IF(SUMIFS(tblDaily[Admissions],tblDaily[EntryDate],DATE(2026,5,27),tblDaily[WardCode],"NICU")=0,"",SUMIFS(tblDaily[Admissions],tblDaily[EntryDate],DATE(2026,5,27),tblDaily[WardCode],"NICU")),"")</f>
        <v/>
      </c>
      <c r="C189" s="12">
        <f>IFERROR(IF(SUMIFS(tblDaily[Discharges],tblDaily[EntryDate],DATE(2026,5,27),tblDaily[WardCode],"NICU")=0,"",SUMIFS(tblDaily[Discharges],tblDaily[EntryDate],DATE(2026,5,27),tblDaily[WardCode],"NICU")),"")</f>
        <v/>
      </c>
      <c r="D189" s="12">
        <f>IFERROR(IF(SUMIFS(tblDaily[Deaths],tblDaily[EntryDate],DATE(2026,5,27),tblDaily[WardCode],"NICU")=0,"",SUMIFS(tblDaily[Deaths],tblDaily[EntryDate],DATE(2026,5,27),tblDaily[WardCode],"NICU")),"")</f>
        <v/>
      </c>
      <c r="E189" s="12">
        <f>IFERROR(IF(SUMIFS(tblDaily[DeathsUnder24Hrs],tblDaily[EntryDate],DATE(2026,5,27),tblDaily[WardCode],"NICU")=0,"",SUMIFS(tblDaily[DeathsUnder24Hrs],tblDaily[EntryDate],DATE(2026,5,27),tblDaily[WardCode],"NICU")),"")</f>
        <v/>
      </c>
      <c r="F189" s="12">
        <f>IFERROR(IF(SUMIFS(tblDaily[TransfersIn],tblDaily[EntryDate],DATE(2026,5,27),tblDaily[WardCode],"NICU")=0,"",SUMIFS(tblDaily[TransfersIn],tblDaily[EntryDate],DATE(2026,5,27),tblDaily[WardCode],"NICU")),"")</f>
        <v/>
      </c>
      <c r="G189" s="12">
        <f>IFERROR(IF(SUMIFS(tblDaily[TransfersOut],tblDaily[EntryDate],DATE(2026,5,27),tblDaily[WardCode],"NICU")=0,"",SUMIFS(tblDaily[TransfersOut],tblDaily[EntryDate],DATE(2026,5,27),tblDaily[WardCode],"NICU")),"")</f>
        <v/>
      </c>
      <c r="H189" s="12">
        <f>IFERROR(IF(SUMIFS(tblDaily[Remaining],tblDaily[EntryDate],DATE(2026,5,27),tblDaily[WardCode],"NICU")=0,"",SUMIFS(tblDaily[Remaining],tblDaily[EntryDate],DATE(2026,5,27),tblDaily[WardCode],"NICU")),"")</f>
        <v/>
      </c>
    </row>
    <row r="190">
      <c r="A190" s="12" t="n">
        <v>28</v>
      </c>
      <c r="B190" s="12">
        <f>IFERROR(IF(SUMIFS(tblDaily[Admissions],tblDaily[EntryDate],DATE(2026,5,28),tblDaily[WardCode],"NICU")=0,"",SUMIFS(tblDaily[Admissions],tblDaily[EntryDate],DATE(2026,5,28),tblDaily[WardCode],"NICU")),"")</f>
        <v/>
      </c>
      <c r="C190" s="12">
        <f>IFERROR(IF(SUMIFS(tblDaily[Discharges],tblDaily[EntryDate],DATE(2026,5,28),tblDaily[WardCode],"NICU")=0,"",SUMIFS(tblDaily[Discharges],tblDaily[EntryDate],DATE(2026,5,28),tblDaily[WardCode],"NICU")),"")</f>
        <v/>
      </c>
      <c r="D190" s="12">
        <f>IFERROR(IF(SUMIFS(tblDaily[Deaths],tblDaily[EntryDate],DATE(2026,5,28),tblDaily[WardCode],"NICU")=0,"",SUMIFS(tblDaily[Deaths],tblDaily[EntryDate],DATE(2026,5,28),tblDaily[WardCode],"NICU")),"")</f>
        <v/>
      </c>
      <c r="E190" s="12">
        <f>IFERROR(IF(SUMIFS(tblDaily[DeathsUnder24Hrs],tblDaily[EntryDate],DATE(2026,5,28),tblDaily[WardCode],"NICU")=0,"",SUMIFS(tblDaily[DeathsUnder24Hrs],tblDaily[EntryDate],DATE(2026,5,28),tblDaily[WardCode],"NICU")),"")</f>
        <v/>
      </c>
      <c r="F190" s="12">
        <f>IFERROR(IF(SUMIFS(tblDaily[TransfersIn],tblDaily[EntryDate],DATE(2026,5,28),tblDaily[WardCode],"NICU")=0,"",SUMIFS(tblDaily[TransfersIn],tblDaily[EntryDate],DATE(2026,5,28),tblDaily[WardCode],"NICU")),"")</f>
        <v/>
      </c>
      <c r="G190" s="12">
        <f>IFERROR(IF(SUMIFS(tblDaily[TransfersOut],tblDaily[EntryDate],DATE(2026,5,28),tblDaily[WardCode],"NICU")=0,"",SUMIFS(tblDaily[TransfersOut],tblDaily[EntryDate],DATE(2026,5,28),tblDaily[WardCode],"NICU")),"")</f>
        <v/>
      </c>
      <c r="H190" s="12">
        <f>IFERROR(IF(SUMIFS(tblDaily[Remaining],tblDaily[EntryDate],DATE(2026,5,28),tblDaily[WardCode],"NICU")=0,"",SUMIFS(tblDaily[Remaining],tblDaily[EntryDate],DATE(2026,5,28),tblDaily[WardCode],"NICU")),"")</f>
        <v/>
      </c>
    </row>
    <row r="191">
      <c r="A191" s="12" t="n">
        <v>29</v>
      </c>
      <c r="B191" s="12">
        <f>IFERROR(IF(SUMIFS(tblDaily[Admissions],tblDaily[EntryDate],DATE(2026,5,29),tblDaily[WardCode],"NICU")=0,"",SUMIFS(tblDaily[Admissions],tblDaily[EntryDate],DATE(2026,5,29),tblDaily[WardCode],"NICU")),"")</f>
        <v/>
      </c>
      <c r="C191" s="12">
        <f>IFERROR(IF(SUMIFS(tblDaily[Discharges],tblDaily[EntryDate],DATE(2026,5,29),tblDaily[WardCode],"NICU")=0,"",SUMIFS(tblDaily[Discharges],tblDaily[EntryDate],DATE(2026,5,29),tblDaily[WardCode],"NICU")),"")</f>
        <v/>
      </c>
      <c r="D191" s="12">
        <f>IFERROR(IF(SUMIFS(tblDaily[Deaths],tblDaily[EntryDate],DATE(2026,5,29),tblDaily[WardCode],"NICU")=0,"",SUMIFS(tblDaily[Deaths],tblDaily[EntryDate],DATE(2026,5,29),tblDaily[WardCode],"NICU")),"")</f>
        <v/>
      </c>
      <c r="E191" s="12">
        <f>IFERROR(IF(SUMIFS(tblDaily[DeathsUnder24Hrs],tblDaily[EntryDate],DATE(2026,5,29),tblDaily[WardCode],"NICU")=0,"",SUMIFS(tblDaily[DeathsUnder24Hrs],tblDaily[EntryDate],DATE(2026,5,29),tblDaily[WardCode],"NICU")),"")</f>
        <v/>
      </c>
      <c r="F191" s="12">
        <f>IFERROR(IF(SUMIFS(tblDaily[TransfersIn],tblDaily[EntryDate],DATE(2026,5,29),tblDaily[WardCode],"NICU")=0,"",SUMIFS(tblDaily[TransfersIn],tblDaily[EntryDate],DATE(2026,5,29),tblDaily[WardCode],"NICU")),"")</f>
        <v/>
      </c>
      <c r="G191" s="12">
        <f>IFERROR(IF(SUMIFS(tblDaily[TransfersOut],tblDaily[EntryDate],DATE(2026,5,29),tblDaily[WardCode],"NICU")=0,"",SUMIFS(tblDaily[TransfersOut],tblDaily[EntryDate],DATE(2026,5,29),tblDaily[WardCode],"NICU")),"")</f>
        <v/>
      </c>
      <c r="H191" s="12">
        <f>IFERROR(IF(SUMIFS(tblDaily[Remaining],tblDaily[EntryDate],DATE(2026,5,29),tblDaily[WardCode],"NICU")=0,"",SUMIFS(tblDaily[Remaining],tblDaily[EntryDate],DATE(2026,5,29),tblDaily[WardCode],"NICU")),"")</f>
        <v/>
      </c>
    </row>
    <row r="192">
      <c r="A192" s="12" t="n">
        <v>30</v>
      </c>
      <c r="B192" s="12">
        <f>IFERROR(IF(SUMIFS(tblDaily[Admissions],tblDaily[EntryDate],DATE(2026,5,30),tblDaily[WardCode],"NICU")=0,"",SUMIFS(tblDaily[Admissions],tblDaily[EntryDate],DATE(2026,5,30),tblDaily[WardCode],"NICU")),"")</f>
        <v/>
      </c>
      <c r="C192" s="12">
        <f>IFERROR(IF(SUMIFS(tblDaily[Discharges],tblDaily[EntryDate],DATE(2026,5,30),tblDaily[WardCode],"NICU")=0,"",SUMIFS(tblDaily[Discharges],tblDaily[EntryDate],DATE(2026,5,30),tblDaily[WardCode],"NICU")),"")</f>
        <v/>
      </c>
      <c r="D192" s="12">
        <f>IFERROR(IF(SUMIFS(tblDaily[Deaths],tblDaily[EntryDate],DATE(2026,5,30),tblDaily[WardCode],"NICU")=0,"",SUMIFS(tblDaily[Deaths],tblDaily[EntryDate],DATE(2026,5,30),tblDaily[WardCode],"NICU")),"")</f>
        <v/>
      </c>
      <c r="E192" s="12">
        <f>IFERROR(IF(SUMIFS(tblDaily[DeathsUnder24Hrs],tblDaily[EntryDate],DATE(2026,5,30),tblDaily[WardCode],"NICU")=0,"",SUMIFS(tblDaily[DeathsUnder24Hrs],tblDaily[EntryDate],DATE(2026,5,30),tblDaily[WardCode],"NICU")),"")</f>
        <v/>
      </c>
      <c r="F192" s="12">
        <f>IFERROR(IF(SUMIFS(tblDaily[TransfersIn],tblDaily[EntryDate],DATE(2026,5,30),tblDaily[WardCode],"NICU")=0,"",SUMIFS(tblDaily[TransfersIn],tblDaily[EntryDate],DATE(2026,5,30),tblDaily[WardCode],"NICU")),"")</f>
        <v/>
      </c>
      <c r="G192" s="12">
        <f>IFERROR(IF(SUMIFS(tblDaily[TransfersOut],tblDaily[EntryDate],DATE(2026,5,30),tblDaily[WardCode],"NICU")=0,"",SUMIFS(tblDaily[TransfersOut],tblDaily[EntryDate],DATE(2026,5,30),tblDaily[WardCode],"NICU")),"")</f>
        <v/>
      </c>
      <c r="H192" s="12">
        <f>IFERROR(IF(SUMIFS(tblDaily[Remaining],tblDaily[EntryDate],DATE(2026,5,30),tblDaily[WardCode],"NICU")=0,"",SUMIFS(tblDaily[Remaining],tblDaily[EntryDate],DATE(2026,5,30),tblDaily[WardCode],"NICU")),"")</f>
        <v/>
      </c>
    </row>
    <row r="193">
      <c r="A193" s="12" t="n">
        <v>31</v>
      </c>
      <c r="B193" s="12">
        <f>IFERROR(IF(SUMIFS(tblDaily[Admissions],tblDaily[EntryDate],DATE(2026,5,31),tblDaily[WardCode],"NICU")=0,"",SUMIFS(tblDaily[Admissions],tblDaily[EntryDate],DATE(2026,5,31),tblDaily[WardCode],"NICU")),"")</f>
        <v/>
      </c>
      <c r="C193" s="12">
        <f>IFERROR(IF(SUMIFS(tblDaily[Discharges],tblDaily[EntryDate],DATE(2026,5,31),tblDaily[WardCode],"NICU")=0,"",SUMIFS(tblDaily[Discharges],tblDaily[EntryDate],DATE(2026,5,31),tblDaily[WardCode],"NICU")),"")</f>
        <v/>
      </c>
      <c r="D193" s="12">
        <f>IFERROR(IF(SUMIFS(tblDaily[Deaths],tblDaily[EntryDate],DATE(2026,5,31),tblDaily[WardCode],"NICU")=0,"",SUMIFS(tblDaily[Deaths],tblDaily[EntryDate],DATE(2026,5,31),tblDaily[WardCode],"NICU")),"")</f>
        <v/>
      </c>
      <c r="E193" s="12">
        <f>IFERROR(IF(SUMIFS(tblDaily[DeathsUnder24Hrs],tblDaily[EntryDate],DATE(2026,5,31),tblDaily[WardCode],"NICU")=0,"",SUMIFS(tblDaily[DeathsUnder24Hrs],tblDaily[EntryDate],DATE(2026,5,31),tblDaily[WardCode],"NICU")),"")</f>
        <v/>
      </c>
      <c r="F193" s="12">
        <f>IFERROR(IF(SUMIFS(tblDaily[TransfersIn],tblDaily[EntryDate],DATE(2026,5,31),tblDaily[WardCode],"NICU")=0,"",SUMIFS(tblDaily[TransfersIn],tblDaily[EntryDate],DATE(2026,5,31),tblDaily[WardCode],"NICU")),"")</f>
        <v/>
      </c>
      <c r="G193" s="12">
        <f>IFERROR(IF(SUMIFS(tblDaily[TransfersOut],tblDaily[EntryDate],DATE(2026,5,31),tblDaily[WardCode],"NICU")=0,"",SUMIFS(tblDaily[TransfersOut],tblDaily[EntryDate],DATE(2026,5,31),tblDaily[WardCode],"NICU")),"")</f>
        <v/>
      </c>
      <c r="H193" s="12">
        <f>IFERROR(IF(SUMIFS(tblDaily[Remaining],tblDaily[EntryDate],DATE(2026,5,31),tblDaily[WardCode],"NICU")=0,"",SUMIFS(tblDaily[Remaining],tblDaily[EntryDate],DATE(2026,5,31),tblDaily[WardCode],"NICU")),"")</f>
        <v/>
      </c>
    </row>
    <row r="194">
      <c r="A194" s="17" t="inlineStr">
        <is>
          <t>TOTAL</t>
        </is>
      </c>
      <c r="B194" s="17">
        <f>SUMIFS(tblDaily[Admissions],tblDaily[Month],5,tblDaily[WardCode],"NICU") - SUMIFS(tblDaily[DeathsUnder24Hrs],tblDaily[Month],5,tblDaily[WardCode],"NICU")</f>
        <v/>
      </c>
      <c r="C194" s="17">
        <f>SUMIFS(tblDaily[Discharges],tblDaily[Month],5,tblDaily[WardCode],"NICU")</f>
        <v/>
      </c>
      <c r="D194" s="17">
        <f>SUMIFS(tblDaily[Deaths],tblDaily[Month],5,tblDaily[WardCode],"NICU")</f>
        <v/>
      </c>
      <c r="E194" s="17">
        <f>SUMIFS(tblDaily[DeathsUnder24Hrs],tblDaily[Month],5,tblDaily[WardCode],"NICU")</f>
        <v/>
      </c>
      <c r="F194" s="17">
        <f>SUMIFS(tblDaily[TransfersIn],tblDaily[Month],5,tblDaily[WardCode],"NICU")</f>
        <v/>
      </c>
      <c r="G194" s="17">
        <f>SUMIFS(tblDaily[TransfersOut],tblDaily[Month],5,tblDaily[WardCode],"NICU")</f>
        <v/>
      </c>
      <c r="H194" s="17">
        <f>SUMIFS(tblDaily[Remaining],tblDaily[Month],5,tblDaily[WardCode],"NICU")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NEONATAL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4">
        <f>IFERROR(SUMIFS(tblDaily[Remaining],tblDaily[EntryDate],DATE(2026,5,31),tblDaily[WardCode],"NICU"),0)</f>
        <v/>
      </c>
    </row>
    <row r="200">
      <c r="A200" s="4" t="inlineStr">
        <is>
          <t>Bed complement</t>
        </is>
      </c>
      <c r="H200" s="15">
        <f>IFERROR(INDEX(tblWardConfig[BedComplement],MATCH("NICU",tblWardConfig[WardCode],0)),0)</f>
        <v/>
      </c>
    </row>
    <row r="201">
      <c r="A201" s="16" t="inlineStr">
        <is>
          <t>Day of
the
Month</t>
        </is>
      </c>
      <c r="B201" s="16" t="inlineStr">
        <is>
          <t>Admissions</t>
        </is>
      </c>
      <c r="C201" s="16" t="inlineStr">
        <is>
          <t>Discharges</t>
        </is>
      </c>
      <c r="D201" s="16" t="inlineStr">
        <is>
          <t>Deaths</t>
        </is>
      </c>
      <c r="E201" s="16" t="inlineStr">
        <is>
          <t>Deaths
&lt;24Hrs</t>
        </is>
      </c>
      <c r="F201" s="16" t="inlineStr">
        <is>
          <t>Transfers-
In</t>
        </is>
      </c>
      <c r="G201" s="16" t="inlineStr">
        <is>
          <t>Transfers-
Out</t>
        </is>
      </c>
      <c r="H201" s="16" t="inlineStr">
        <is>
          <t>No. of Patients
Remaining In
Ward</t>
        </is>
      </c>
    </row>
    <row r="202">
      <c r="A202" s="12" t="n">
        <v>1</v>
      </c>
      <c r="B202" s="12">
        <f>IFERROR(IF(SUMIFS(tblDaily[Admissions],tblDaily[EntryDate],DATE(2026,6,1),tblDaily[WardCode],"NICU")=0,"",SUMIFS(tblDaily[Admissions],tblDaily[EntryDate],DATE(2026,6,1),tblDaily[WardCode],"NICU")),"")</f>
        <v/>
      </c>
      <c r="C202" s="12">
        <f>IFERROR(IF(SUMIFS(tblDaily[Discharges],tblDaily[EntryDate],DATE(2026,6,1),tblDaily[WardCode],"NICU")=0,"",SUMIFS(tblDaily[Discharges],tblDaily[EntryDate],DATE(2026,6,1),tblDaily[WardCode],"NICU")),"")</f>
        <v/>
      </c>
      <c r="D202" s="12">
        <f>IFERROR(IF(SUMIFS(tblDaily[Deaths],tblDaily[EntryDate],DATE(2026,6,1),tblDaily[WardCode],"NICU")=0,"",SUMIFS(tblDaily[Deaths],tblDaily[EntryDate],DATE(2026,6,1),tblDaily[WardCode],"NICU")),"")</f>
        <v/>
      </c>
      <c r="E202" s="12">
        <f>IFERROR(IF(SUMIFS(tblDaily[DeathsUnder24Hrs],tblDaily[EntryDate],DATE(2026,6,1),tblDaily[WardCode],"NICU")=0,"",SUMIFS(tblDaily[DeathsUnder24Hrs],tblDaily[EntryDate],DATE(2026,6,1),tblDaily[WardCode],"NICU")),"")</f>
        <v/>
      </c>
      <c r="F202" s="12">
        <f>IFERROR(IF(SUMIFS(tblDaily[TransfersIn],tblDaily[EntryDate],DATE(2026,6,1),tblDaily[WardCode],"NICU")=0,"",SUMIFS(tblDaily[TransfersIn],tblDaily[EntryDate],DATE(2026,6,1),tblDaily[WardCode],"NICU")),"")</f>
        <v/>
      </c>
      <c r="G202" s="12">
        <f>IFERROR(IF(SUMIFS(tblDaily[TransfersOut],tblDaily[EntryDate],DATE(2026,6,1),tblDaily[WardCode],"NICU")=0,"",SUMIFS(tblDaily[TransfersOut],tblDaily[EntryDate],DATE(2026,6,1),tblDaily[WardCode],"NICU")),"")</f>
        <v/>
      </c>
      <c r="H202" s="12">
        <f>IFERROR(IF(SUMIFS(tblDaily[Remaining],tblDaily[EntryDate],DATE(2026,6,1),tblDaily[WardCode],"NICU")=0,"",SUMIFS(tblDaily[Remaining],tblDaily[EntryDate],DATE(2026,6,1),tblDaily[WardCode],"NICU")),"")</f>
        <v/>
      </c>
    </row>
    <row r="203">
      <c r="A203" s="12" t="n">
        <v>2</v>
      </c>
      <c r="B203" s="12">
        <f>IFERROR(IF(SUMIFS(tblDaily[Admissions],tblDaily[EntryDate],DATE(2026,6,2),tblDaily[WardCode],"NICU")=0,"",SUMIFS(tblDaily[Admissions],tblDaily[EntryDate],DATE(2026,6,2),tblDaily[WardCode],"NICU")),"")</f>
        <v/>
      </c>
      <c r="C203" s="12">
        <f>IFERROR(IF(SUMIFS(tblDaily[Discharges],tblDaily[EntryDate],DATE(2026,6,2),tblDaily[WardCode],"NICU")=0,"",SUMIFS(tblDaily[Discharges],tblDaily[EntryDate],DATE(2026,6,2),tblDaily[WardCode],"NICU")),"")</f>
        <v/>
      </c>
      <c r="D203" s="12">
        <f>IFERROR(IF(SUMIFS(tblDaily[Deaths],tblDaily[EntryDate],DATE(2026,6,2),tblDaily[WardCode],"NICU")=0,"",SUMIFS(tblDaily[Deaths],tblDaily[EntryDate],DATE(2026,6,2),tblDaily[WardCode],"NICU")),"")</f>
        <v/>
      </c>
      <c r="E203" s="12">
        <f>IFERROR(IF(SUMIFS(tblDaily[DeathsUnder24Hrs],tblDaily[EntryDate],DATE(2026,6,2),tblDaily[WardCode],"NICU")=0,"",SUMIFS(tblDaily[DeathsUnder24Hrs],tblDaily[EntryDate],DATE(2026,6,2),tblDaily[WardCode],"NICU")),"")</f>
        <v/>
      </c>
      <c r="F203" s="12">
        <f>IFERROR(IF(SUMIFS(tblDaily[TransfersIn],tblDaily[EntryDate],DATE(2026,6,2),tblDaily[WardCode],"NICU")=0,"",SUMIFS(tblDaily[TransfersIn],tblDaily[EntryDate],DATE(2026,6,2),tblDaily[WardCode],"NICU")),"")</f>
        <v/>
      </c>
      <c r="G203" s="12">
        <f>IFERROR(IF(SUMIFS(tblDaily[TransfersOut],tblDaily[EntryDate],DATE(2026,6,2),tblDaily[WardCode],"NICU")=0,"",SUMIFS(tblDaily[TransfersOut],tblDaily[EntryDate],DATE(2026,6,2),tblDaily[WardCode],"NICU")),"")</f>
        <v/>
      </c>
      <c r="H203" s="12">
        <f>IFERROR(IF(SUMIFS(tblDaily[Remaining],tblDaily[EntryDate],DATE(2026,6,2),tblDaily[WardCode],"NICU")=0,"",SUMIFS(tblDaily[Remaining],tblDaily[EntryDate],DATE(2026,6,2),tblDaily[WardCode],"NICU")),"")</f>
        <v/>
      </c>
    </row>
    <row r="204">
      <c r="A204" s="12" t="n">
        <v>3</v>
      </c>
      <c r="B204" s="12">
        <f>IFERROR(IF(SUMIFS(tblDaily[Admissions],tblDaily[EntryDate],DATE(2026,6,3),tblDaily[WardCode],"NICU")=0,"",SUMIFS(tblDaily[Admissions],tblDaily[EntryDate],DATE(2026,6,3),tblDaily[WardCode],"NICU")),"")</f>
        <v/>
      </c>
      <c r="C204" s="12">
        <f>IFERROR(IF(SUMIFS(tblDaily[Discharges],tblDaily[EntryDate],DATE(2026,6,3),tblDaily[WardCode],"NICU")=0,"",SUMIFS(tblDaily[Discharges],tblDaily[EntryDate],DATE(2026,6,3),tblDaily[WardCode],"NICU")),"")</f>
        <v/>
      </c>
      <c r="D204" s="12">
        <f>IFERROR(IF(SUMIFS(tblDaily[Deaths],tblDaily[EntryDate],DATE(2026,6,3),tblDaily[WardCode],"NICU")=0,"",SUMIFS(tblDaily[Deaths],tblDaily[EntryDate],DATE(2026,6,3),tblDaily[WardCode],"NICU")),"")</f>
        <v/>
      </c>
      <c r="E204" s="12">
        <f>IFERROR(IF(SUMIFS(tblDaily[DeathsUnder24Hrs],tblDaily[EntryDate],DATE(2026,6,3),tblDaily[WardCode],"NICU")=0,"",SUMIFS(tblDaily[DeathsUnder24Hrs],tblDaily[EntryDate],DATE(2026,6,3),tblDaily[WardCode],"NICU")),"")</f>
        <v/>
      </c>
      <c r="F204" s="12">
        <f>IFERROR(IF(SUMIFS(tblDaily[TransfersIn],tblDaily[EntryDate],DATE(2026,6,3),tblDaily[WardCode],"NICU")=0,"",SUMIFS(tblDaily[TransfersIn],tblDaily[EntryDate],DATE(2026,6,3),tblDaily[WardCode],"NICU")),"")</f>
        <v/>
      </c>
      <c r="G204" s="12">
        <f>IFERROR(IF(SUMIFS(tblDaily[TransfersOut],tblDaily[EntryDate],DATE(2026,6,3),tblDaily[WardCode],"NICU")=0,"",SUMIFS(tblDaily[TransfersOut],tblDaily[EntryDate],DATE(2026,6,3),tblDaily[WardCode],"NICU")),"")</f>
        <v/>
      </c>
      <c r="H204" s="12">
        <f>IFERROR(IF(SUMIFS(tblDaily[Remaining],tblDaily[EntryDate],DATE(2026,6,3),tblDaily[WardCode],"NICU")=0,"",SUMIFS(tblDaily[Remaining],tblDaily[EntryDate],DATE(2026,6,3),tblDaily[WardCode],"NICU")),"")</f>
        <v/>
      </c>
    </row>
    <row r="205">
      <c r="A205" s="12" t="n">
        <v>4</v>
      </c>
      <c r="B205" s="12">
        <f>IFERROR(IF(SUMIFS(tblDaily[Admissions],tblDaily[EntryDate],DATE(2026,6,4),tblDaily[WardCode],"NICU")=0,"",SUMIFS(tblDaily[Admissions],tblDaily[EntryDate],DATE(2026,6,4),tblDaily[WardCode],"NICU")),"")</f>
        <v/>
      </c>
      <c r="C205" s="12">
        <f>IFERROR(IF(SUMIFS(tblDaily[Discharges],tblDaily[EntryDate],DATE(2026,6,4),tblDaily[WardCode],"NICU")=0,"",SUMIFS(tblDaily[Discharges],tblDaily[EntryDate],DATE(2026,6,4),tblDaily[WardCode],"NICU")),"")</f>
        <v/>
      </c>
      <c r="D205" s="12">
        <f>IFERROR(IF(SUMIFS(tblDaily[Deaths],tblDaily[EntryDate],DATE(2026,6,4),tblDaily[WardCode],"NICU")=0,"",SUMIFS(tblDaily[Deaths],tblDaily[EntryDate],DATE(2026,6,4),tblDaily[WardCode],"NICU")),"")</f>
        <v/>
      </c>
      <c r="E205" s="12">
        <f>IFERROR(IF(SUMIFS(tblDaily[DeathsUnder24Hrs],tblDaily[EntryDate],DATE(2026,6,4),tblDaily[WardCode],"NICU")=0,"",SUMIFS(tblDaily[DeathsUnder24Hrs],tblDaily[EntryDate],DATE(2026,6,4),tblDaily[WardCode],"NICU")),"")</f>
        <v/>
      </c>
      <c r="F205" s="12">
        <f>IFERROR(IF(SUMIFS(tblDaily[TransfersIn],tblDaily[EntryDate],DATE(2026,6,4),tblDaily[WardCode],"NICU")=0,"",SUMIFS(tblDaily[TransfersIn],tblDaily[EntryDate],DATE(2026,6,4),tblDaily[WardCode],"NICU")),"")</f>
        <v/>
      </c>
      <c r="G205" s="12">
        <f>IFERROR(IF(SUMIFS(tblDaily[TransfersOut],tblDaily[EntryDate],DATE(2026,6,4),tblDaily[WardCode],"NICU")=0,"",SUMIFS(tblDaily[TransfersOut],tblDaily[EntryDate],DATE(2026,6,4),tblDaily[WardCode],"NICU")),"")</f>
        <v/>
      </c>
      <c r="H205" s="12">
        <f>IFERROR(IF(SUMIFS(tblDaily[Remaining],tblDaily[EntryDate],DATE(2026,6,4),tblDaily[WardCode],"NICU")=0,"",SUMIFS(tblDaily[Remaining],tblDaily[EntryDate],DATE(2026,6,4),tblDaily[WardCode],"NICU")),"")</f>
        <v/>
      </c>
    </row>
    <row r="206">
      <c r="A206" s="12" t="n">
        <v>5</v>
      </c>
      <c r="B206" s="12">
        <f>IFERROR(IF(SUMIFS(tblDaily[Admissions],tblDaily[EntryDate],DATE(2026,6,5),tblDaily[WardCode],"NICU")=0,"",SUMIFS(tblDaily[Admissions],tblDaily[EntryDate],DATE(2026,6,5),tblDaily[WardCode],"NICU")),"")</f>
        <v/>
      </c>
      <c r="C206" s="12">
        <f>IFERROR(IF(SUMIFS(tblDaily[Discharges],tblDaily[EntryDate],DATE(2026,6,5),tblDaily[WardCode],"NICU")=0,"",SUMIFS(tblDaily[Discharges],tblDaily[EntryDate],DATE(2026,6,5),tblDaily[WardCode],"NICU")),"")</f>
        <v/>
      </c>
      <c r="D206" s="12">
        <f>IFERROR(IF(SUMIFS(tblDaily[Deaths],tblDaily[EntryDate],DATE(2026,6,5),tblDaily[WardCode],"NICU")=0,"",SUMIFS(tblDaily[Deaths],tblDaily[EntryDate],DATE(2026,6,5),tblDaily[WardCode],"NICU")),"")</f>
        <v/>
      </c>
      <c r="E206" s="12">
        <f>IFERROR(IF(SUMIFS(tblDaily[DeathsUnder24Hrs],tblDaily[EntryDate],DATE(2026,6,5),tblDaily[WardCode],"NICU")=0,"",SUMIFS(tblDaily[DeathsUnder24Hrs],tblDaily[EntryDate],DATE(2026,6,5),tblDaily[WardCode],"NICU")),"")</f>
        <v/>
      </c>
      <c r="F206" s="12">
        <f>IFERROR(IF(SUMIFS(tblDaily[TransfersIn],tblDaily[EntryDate],DATE(2026,6,5),tblDaily[WardCode],"NICU")=0,"",SUMIFS(tblDaily[TransfersIn],tblDaily[EntryDate],DATE(2026,6,5),tblDaily[WardCode],"NICU")),"")</f>
        <v/>
      </c>
      <c r="G206" s="12">
        <f>IFERROR(IF(SUMIFS(tblDaily[TransfersOut],tblDaily[EntryDate],DATE(2026,6,5),tblDaily[WardCode],"NICU")=0,"",SUMIFS(tblDaily[TransfersOut],tblDaily[EntryDate],DATE(2026,6,5),tblDaily[WardCode],"NICU")),"")</f>
        <v/>
      </c>
      <c r="H206" s="12">
        <f>IFERROR(IF(SUMIFS(tblDaily[Remaining],tblDaily[EntryDate],DATE(2026,6,5),tblDaily[WardCode],"NICU")=0,"",SUMIFS(tblDaily[Remaining],tblDaily[EntryDate],DATE(2026,6,5),tblDaily[WardCode],"NICU")),"")</f>
        <v/>
      </c>
    </row>
    <row r="207">
      <c r="A207" s="12" t="n">
        <v>6</v>
      </c>
      <c r="B207" s="12">
        <f>IFERROR(IF(SUMIFS(tblDaily[Admissions],tblDaily[EntryDate],DATE(2026,6,6),tblDaily[WardCode],"NICU")=0,"",SUMIFS(tblDaily[Admissions],tblDaily[EntryDate],DATE(2026,6,6),tblDaily[WardCode],"NICU")),"")</f>
        <v/>
      </c>
      <c r="C207" s="12">
        <f>IFERROR(IF(SUMIFS(tblDaily[Discharges],tblDaily[EntryDate],DATE(2026,6,6),tblDaily[WardCode],"NICU")=0,"",SUMIFS(tblDaily[Discharges],tblDaily[EntryDate],DATE(2026,6,6),tblDaily[WardCode],"NICU")),"")</f>
        <v/>
      </c>
      <c r="D207" s="12">
        <f>IFERROR(IF(SUMIFS(tblDaily[Deaths],tblDaily[EntryDate],DATE(2026,6,6),tblDaily[WardCode],"NICU")=0,"",SUMIFS(tblDaily[Deaths],tblDaily[EntryDate],DATE(2026,6,6),tblDaily[WardCode],"NICU")),"")</f>
        <v/>
      </c>
      <c r="E207" s="12">
        <f>IFERROR(IF(SUMIFS(tblDaily[DeathsUnder24Hrs],tblDaily[EntryDate],DATE(2026,6,6),tblDaily[WardCode],"NICU")=0,"",SUMIFS(tblDaily[DeathsUnder24Hrs],tblDaily[EntryDate],DATE(2026,6,6),tblDaily[WardCode],"NICU")),"")</f>
        <v/>
      </c>
      <c r="F207" s="12">
        <f>IFERROR(IF(SUMIFS(tblDaily[TransfersIn],tblDaily[EntryDate],DATE(2026,6,6),tblDaily[WardCode],"NICU")=0,"",SUMIFS(tblDaily[TransfersIn],tblDaily[EntryDate],DATE(2026,6,6),tblDaily[WardCode],"NICU")),"")</f>
        <v/>
      </c>
      <c r="G207" s="12">
        <f>IFERROR(IF(SUMIFS(tblDaily[TransfersOut],tblDaily[EntryDate],DATE(2026,6,6),tblDaily[WardCode],"NICU")=0,"",SUMIFS(tblDaily[TransfersOut],tblDaily[EntryDate],DATE(2026,6,6),tblDaily[WardCode],"NICU")),"")</f>
        <v/>
      </c>
      <c r="H207" s="12">
        <f>IFERROR(IF(SUMIFS(tblDaily[Remaining],tblDaily[EntryDate],DATE(2026,6,6),tblDaily[WardCode],"NICU")=0,"",SUMIFS(tblDaily[Remaining],tblDaily[EntryDate],DATE(2026,6,6),tblDaily[WardCode],"NICU")),"")</f>
        <v/>
      </c>
    </row>
    <row r="208">
      <c r="A208" s="12" t="n">
        <v>7</v>
      </c>
      <c r="B208" s="12">
        <f>IFERROR(IF(SUMIFS(tblDaily[Admissions],tblDaily[EntryDate],DATE(2026,6,7),tblDaily[WardCode],"NICU")=0,"",SUMIFS(tblDaily[Admissions],tblDaily[EntryDate],DATE(2026,6,7),tblDaily[WardCode],"NICU")),"")</f>
        <v/>
      </c>
      <c r="C208" s="12">
        <f>IFERROR(IF(SUMIFS(tblDaily[Discharges],tblDaily[EntryDate],DATE(2026,6,7),tblDaily[WardCode],"NICU")=0,"",SUMIFS(tblDaily[Discharges],tblDaily[EntryDate],DATE(2026,6,7),tblDaily[WardCode],"NICU")),"")</f>
        <v/>
      </c>
      <c r="D208" s="12">
        <f>IFERROR(IF(SUMIFS(tblDaily[Deaths],tblDaily[EntryDate],DATE(2026,6,7),tblDaily[WardCode],"NICU")=0,"",SUMIFS(tblDaily[Deaths],tblDaily[EntryDate],DATE(2026,6,7),tblDaily[WardCode],"NICU")),"")</f>
        <v/>
      </c>
      <c r="E208" s="12">
        <f>IFERROR(IF(SUMIFS(tblDaily[DeathsUnder24Hrs],tblDaily[EntryDate],DATE(2026,6,7),tblDaily[WardCode],"NICU")=0,"",SUMIFS(tblDaily[DeathsUnder24Hrs],tblDaily[EntryDate],DATE(2026,6,7),tblDaily[WardCode],"NICU")),"")</f>
        <v/>
      </c>
      <c r="F208" s="12">
        <f>IFERROR(IF(SUMIFS(tblDaily[TransfersIn],tblDaily[EntryDate],DATE(2026,6,7),tblDaily[WardCode],"NICU")=0,"",SUMIFS(tblDaily[TransfersIn],tblDaily[EntryDate],DATE(2026,6,7),tblDaily[WardCode],"NICU")),"")</f>
        <v/>
      </c>
      <c r="G208" s="12">
        <f>IFERROR(IF(SUMIFS(tblDaily[TransfersOut],tblDaily[EntryDate],DATE(2026,6,7),tblDaily[WardCode],"NICU")=0,"",SUMIFS(tblDaily[TransfersOut],tblDaily[EntryDate],DATE(2026,6,7),tblDaily[WardCode],"NICU")),"")</f>
        <v/>
      </c>
      <c r="H208" s="12">
        <f>IFERROR(IF(SUMIFS(tblDaily[Remaining],tblDaily[EntryDate],DATE(2026,6,7),tblDaily[WardCode],"NICU")=0,"",SUMIFS(tblDaily[Remaining],tblDaily[EntryDate],DATE(2026,6,7),tblDaily[WardCode],"NICU")),"")</f>
        <v/>
      </c>
    </row>
    <row r="209">
      <c r="A209" s="12" t="n">
        <v>8</v>
      </c>
      <c r="B209" s="12">
        <f>IFERROR(IF(SUMIFS(tblDaily[Admissions],tblDaily[EntryDate],DATE(2026,6,8),tblDaily[WardCode],"NICU")=0,"",SUMIFS(tblDaily[Admissions],tblDaily[EntryDate],DATE(2026,6,8),tblDaily[WardCode],"NICU")),"")</f>
        <v/>
      </c>
      <c r="C209" s="12">
        <f>IFERROR(IF(SUMIFS(tblDaily[Discharges],tblDaily[EntryDate],DATE(2026,6,8),tblDaily[WardCode],"NICU")=0,"",SUMIFS(tblDaily[Discharges],tblDaily[EntryDate],DATE(2026,6,8),tblDaily[WardCode],"NICU")),"")</f>
        <v/>
      </c>
      <c r="D209" s="12">
        <f>IFERROR(IF(SUMIFS(tblDaily[Deaths],tblDaily[EntryDate],DATE(2026,6,8),tblDaily[WardCode],"NICU")=0,"",SUMIFS(tblDaily[Deaths],tblDaily[EntryDate],DATE(2026,6,8),tblDaily[WardCode],"NICU")),"")</f>
        <v/>
      </c>
      <c r="E209" s="12">
        <f>IFERROR(IF(SUMIFS(tblDaily[DeathsUnder24Hrs],tblDaily[EntryDate],DATE(2026,6,8),tblDaily[WardCode],"NICU")=0,"",SUMIFS(tblDaily[DeathsUnder24Hrs],tblDaily[EntryDate],DATE(2026,6,8),tblDaily[WardCode],"NICU")),"")</f>
        <v/>
      </c>
      <c r="F209" s="12">
        <f>IFERROR(IF(SUMIFS(tblDaily[TransfersIn],tblDaily[EntryDate],DATE(2026,6,8),tblDaily[WardCode],"NICU")=0,"",SUMIFS(tblDaily[TransfersIn],tblDaily[EntryDate],DATE(2026,6,8),tblDaily[WardCode],"NICU")),"")</f>
        <v/>
      </c>
      <c r="G209" s="12">
        <f>IFERROR(IF(SUMIFS(tblDaily[TransfersOut],tblDaily[EntryDate],DATE(2026,6,8),tblDaily[WardCode],"NICU")=0,"",SUMIFS(tblDaily[TransfersOut],tblDaily[EntryDate],DATE(2026,6,8),tblDaily[WardCode],"NICU")),"")</f>
        <v/>
      </c>
      <c r="H209" s="12">
        <f>IFERROR(IF(SUMIFS(tblDaily[Remaining],tblDaily[EntryDate],DATE(2026,6,8),tblDaily[WardCode],"NICU")=0,"",SUMIFS(tblDaily[Remaining],tblDaily[EntryDate],DATE(2026,6,8),tblDaily[WardCode],"NICU")),"")</f>
        <v/>
      </c>
    </row>
    <row r="210">
      <c r="A210" s="12" t="n">
        <v>9</v>
      </c>
      <c r="B210" s="12">
        <f>IFERROR(IF(SUMIFS(tblDaily[Admissions],tblDaily[EntryDate],DATE(2026,6,9),tblDaily[WardCode],"NICU")=0,"",SUMIFS(tblDaily[Admissions],tblDaily[EntryDate],DATE(2026,6,9),tblDaily[WardCode],"NICU")),"")</f>
        <v/>
      </c>
      <c r="C210" s="12">
        <f>IFERROR(IF(SUMIFS(tblDaily[Discharges],tblDaily[EntryDate],DATE(2026,6,9),tblDaily[WardCode],"NICU")=0,"",SUMIFS(tblDaily[Discharges],tblDaily[EntryDate],DATE(2026,6,9),tblDaily[WardCode],"NICU")),"")</f>
        <v/>
      </c>
      <c r="D210" s="12">
        <f>IFERROR(IF(SUMIFS(tblDaily[Deaths],tblDaily[EntryDate],DATE(2026,6,9),tblDaily[WardCode],"NICU")=0,"",SUMIFS(tblDaily[Deaths],tblDaily[EntryDate],DATE(2026,6,9),tblDaily[WardCode],"NICU")),"")</f>
        <v/>
      </c>
      <c r="E210" s="12">
        <f>IFERROR(IF(SUMIFS(tblDaily[DeathsUnder24Hrs],tblDaily[EntryDate],DATE(2026,6,9),tblDaily[WardCode],"NICU")=0,"",SUMIFS(tblDaily[DeathsUnder24Hrs],tblDaily[EntryDate],DATE(2026,6,9),tblDaily[WardCode],"NICU")),"")</f>
        <v/>
      </c>
      <c r="F210" s="12">
        <f>IFERROR(IF(SUMIFS(tblDaily[TransfersIn],tblDaily[EntryDate],DATE(2026,6,9),tblDaily[WardCode],"NICU")=0,"",SUMIFS(tblDaily[TransfersIn],tblDaily[EntryDate],DATE(2026,6,9),tblDaily[WardCode],"NICU")),"")</f>
        <v/>
      </c>
      <c r="G210" s="12">
        <f>IFERROR(IF(SUMIFS(tblDaily[TransfersOut],tblDaily[EntryDate],DATE(2026,6,9),tblDaily[WardCode],"NICU")=0,"",SUMIFS(tblDaily[TransfersOut],tblDaily[EntryDate],DATE(2026,6,9),tblDaily[WardCode],"NICU")),"")</f>
        <v/>
      </c>
      <c r="H210" s="12">
        <f>IFERROR(IF(SUMIFS(tblDaily[Remaining],tblDaily[EntryDate],DATE(2026,6,9),tblDaily[WardCode],"NICU")=0,"",SUMIFS(tblDaily[Remaining],tblDaily[EntryDate],DATE(2026,6,9),tblDaily[WardCode],"NICU")),"")</f>
        <v/>
      </c>
    </row>
    <row r="211">
      <c r="A211" s="12" t="n">
        <v>10</v>
      </c>
      <c r="B211" s="12">
        <f>IFERROR(IF(SUMIFS(tblDaily[Admissions],tblDaily[EntryDate],DATE(2026,6,10),tblDaily[WardCode],"NICU")=0,"",SUMIFS(tblDaily[Admissions],tblDaily[EntryDate],DATE(2026,6,10),tblDaily[WardCode],"NICU")),"")</f>
        <v/>
      </c>
      <c r="C211" s="12">
        <f>IFERROR(IF(SUMIFS(tblDaily[Discharges],tblDaily[EntryDate],DATE(2026,6,10),tblDaily[WardCode],"NICU")=0,"",SUMIFS(tblDaily[Discharges],tblDaily[EntryDate],DATE(2026,6,10),tblDaily[WardCode],"NICU")),"")</f>
        <v/>
      </c>
      <c r="D211" s="12">
        <f>IFERROR(IF(SUMIFS(tblDaily[Deaths],tblDaily[EntryDate],DATE(2026,6,10),tblDaily[WardCode],"NICU")=0,"",SUMIFS(tblDaily[Deaths],tblDaily[EntryDate],DATE(2026,6,10),tblDaily[WardCode],"NICU")),"")</f>
        <v/>
      </c>
      <c r="E211" s="12">
        <f>IFERROR(IF(SUMIFS(tblDaily[DeathsUnder24Hrs],tblDaily[EntryDate],DATE(2026,6,10),tblDaily[WardCode],"NICU")=0,"",SUMIFS(tblDaily[DeathsUnder24Hrs],tblDaily[EntryDate],DATE(2026,6,10),tblDaily[WardCode],"NICU")),"")</f>
        <v/>
      </c>
      <c r="F211" s="12">
        <f>IFERROR(IF(SUMIFS(tblDaily[TransfersIn],tblDaily[EntryDate],DATE(2026,6,10),tblDaily[WardCode],"NICU")=0,"",SUMIFS(tblDaily[TransfersIn],tblDaily[EntryDate],DATE(2026,6,10),tblDaily[WardCode],"NICU")),"")</f>
        <v/>
      </c>
      <c r="G211" s="12">
        <f>IFERROR(IF(SUMIFS(tblDaily[TransfersOut],tblDaily[EntryDate],DATE(2026,6,10),tblDaily[WardCode],"NICU")=0,"",SUMIFS(tblDaily[TransfersOut],tblDaily[EntryDate],DATE(2026,6,10),tblDaily[WardCode],"NICU")),"")</f>
        <v/>
      </c>
      <c r="H211" s="12">
        <f>IFERROR(IF(SUMIFS(tblDaily[Remaining],tblDaily[EntryDate],DATE(2026,6,10),tblDaily[WardCode],"NICU")=0,"",SUMIFS(tblDaily[Remaining],tblDaily[EntryDate],DATE(2026,6,10),tblDaily[WardCode],"NICU")),"")</f>
        <v/>
      </c>
    </row>
    <row r="212">
      <c r="A212" s="12" t="n">
        <v>11</v>
      </c>
      <c r="B212" s="12">
        <f>IFERROR(IF(SUMIFS(tblDaily[Admissions],tblDaily[EntryDate],DATE(2026,6,11),tblDaily[WardCode],"NICU")=0,"",SUMIFS(tblDaily[Admissions],tblDaily[EntryDate],DATE(2026,6,11),tblDaily[WardCode],"NICU")),"")</f>
        <v/>
      </c>
      <c r="C212" s="12">
        <f>IFERROR(IF(SUMIFS(tblDaily[Discharges],tblDaily[EntryDate],DATE(2026,6,11),tblDaily[WardCode],"NICU")=0,"",SUMIFS(tblDaily[Discharges],tblDaily[EntryDate],DATE(2026,6,11),tblDaily[WardCode],"NICU")),"")</f>
        <v/>
      </c>
      <c r="D212" s="12">
        <f>IFERROR(IF(SUMIFS(tblDaily[Deaths],tblDaily[EntryDate],DATE(2026,6,11),tblDaily[WardCode],"NICU")=0,"",SUMIFS(tblDaily[Deaths],tblDaily[EntryDate],DATE(2026,6,11),tblDaily[WardCode],"NICU")),"")</f>
        <v/>
      </c>
      <c r="E212" s="12">
        <f>IFERROR(IF(SUMIFS(tblDaily[DeathsUnder24Hrs],tblDaily[EntryDate],DATE(2026,6,11),tblDaily[WardCode],"NICU")=0,"",SUMIFS(tblDaily[DeathsUnder24Hrs],tblDaily[EntryDate],DATE(2026,6,11),tblDaily[WardCode],"NICU")),"")</f>
        <v/>
      </c>
      <c r="F212" s="12">
        <f>IFERROR(IF(SUMIFS(tblDaily[TransfersIn],tblDaily[EntryDate],DATE(2026,6,11),tblDaily[WardCode],"NICU")=0,"",SUMIFS(tblDaily[TransfersIn],tblDaily[EntryDate],DATE(2026,6,11),tblDaily[WardCode],"NICU")),"")</f>
        <v/>
      </c>
      <c r="G212" s="12">
        <f>IFERROR(IF(SUMIFS(tblDaily[TransfersOut],tblDaily[EntryDate],DATE(2026,6,11),tblDaily[WardCode],"NICU")=0,"",SUMIFS(tblDaily[TransfersOut],tblDaily[EntryDate],DATE(2026,6,11),tblDaily[WardCode],"NICU")),"")</f>
        <v/>
      </c>
      <c r="H212" s="12">
        <f>IFERROR(IF(SUMIFS(tblDaily[Remaining],tblDaily[EntryDate],DATE(2026,6,11),tblDaily[WardCode],"NICU")=0,"",SUMIFS(tblDaily[Remaining],tblDaily[EntryDate],DATE(2026,6,11),tblDaily[WardCode],"NICU")),"")</f>
        <v/>
      </c>
    </row>
    <row r="213">
      <c r="A213" s="12" t="n">
        <v>12</v>
      </c>
      <c r="B213" s="12">
        <f>IFERROR(IF(SUMIFS(tblDaily[Admissions],tblDaily[EntryDate],DATE(2026,6,12),tblDaily[WardCode],"NICU")=0,"",SUMIFS(tblDaily[Admissions],tblDaily[EntryDate],DATE(2026,6,12),tblDaily[WardCode],"NICU")),"")</f>
        <v/>
      </c>
      <c r="C213" s="12">
        <f>IFERROR(IF(SUMIFS(tblDaily[Discharges],tblDaily[EntryDate],DATE(2026,6,12),tblDaily[WardCode],"NICU")=0,"",SUMIFS(tblDaily[Discharges],tblDaily[EntryDate],DATE(2026,6,12),tblDaily[WardCode],"NICU")),"")</f>
        <v/>
      </c>
      <c r="D213" s="12">
        <f>IFERROR(IF(SUMIFS(tblDaily[Deaths],tblDaily[EntryDate],DATE(2026,6,12),tblDaily[WardCode],"NICU")=0,"",SUMIFS(tblDaily[Deaths],tblDaily[EntryDate],DATE(2026,6,12),tblDaily[WardCode],"NICU")),"")</f>
        <v/>
      </c>
      <c r="E213" s="12">
        <f>IFERROR(IF(SUMIFS(tblDaily[DeathsUnder24Hrs],tblDaily[EntryDate],DATE(2026,6,12),tblDaily[WardCode],"NICU")=0,"",SUMIFS(tblDaily[DeathsUnder24Hrs],tblDaily[EntryDate],DATE(2026,6,12),tblDaily[WardCode],"NICU")),"")</f>
        <v/>
      </c>
      <c r="F213" s="12">
        <f>IFERROR(IF(SUMIFS(tblDaily[TransfersIn],tblDaily[EntryDate],DATE(2026,6,12),tblDaily[WardCode],"NICU")=0,"",SUMIFS(tblDaily[TransfersIn],tblDaily[EntryDate],DATE(2026,6,12),tblDaily[WardCode],"NICU")),"")</f>
        <v/>
      </c>
      <c r="G213" s="12">
        <f>IFERROR(IF(SUMIFS(tblDaily[TransfersOut],tblDaily[EntryDate],DATE(2026,6,12),tblDaily[WardCode],"NICU")=0,"",SUMIFS(tblDaily[TransfersOut],tblDaily[EntryDate],DATE(2026,6,12),tblDaily[WardCode],"NICU")),"")</f>
        <v/>
      </c>
      <c r="H213" s="12">
        <f>IFERROR(IF(SUMIFS(tblDaily[Remaining],tblDaily[EntryDate],DATE(2026,6,12),tblDaily[WardCode],"NICU")=0,"",SUMIFS(tblDaily[Remaining],tblDaily[EntryDate],DATE(2026,6,12),tblDaily[WardCode],"NICU")),"")</f>
        <v/>
      </c>
    </row>
    <row r="214">
      <c r="A214" s="12" t="n">
        <v>13</v>
      </c>
      <c r="B214" s="12">
        <f>IFERROR(IF(SUMIFS(tblDaily[Admissions],tblDaily[EntryDate],DATE(2026,6,13),tblDaily[WardCode],"NICU")=0,"",SUMIFS(tblDaily[Admissions],tblDaily[EntryDate],DATE(2026,6,13),tblDaily[WardCode],"NICU")),"")</f>
        <v/>
      </c>
      <c r="C214" s="12">
        <f>IFERROR(IF(SUMIFS(tblDaily[Discharges],tblDaily[EntryDate],DATE(2026,6,13),tblDaily[WardCode],"NICU")=0,"",SUMIFS(tblDaily[Discharges],tblDaily[EntryDate],DATE(2026,6,13),tblDaily[WardCode],"NICU")),"")</f>
        <v/>
      </c>
      <c r="D214" s="12">
        <f>IFERROR(IF(SUMIFS(tblDaily[Deaths],tblDaily[EntryDate],DATE(2026,6,13),tblDaily[WardCode],"NICU")=0,"",SUMIFS(tblDaily[Deaths],tblDaily[EntryDate],DATE(2026,6,13),tblDaily[WardCode],"NICU")),"")</f>
        <v/>
      </c>
      <c r="E214" s="12">
        <f>IFERROR(IF(SUMIFS(tblDaily[DeathsUnder24Hrs],tblDaily[EntryDate],DATE(2026,6,13),tblDaily[WardCode],"NICU")=0,"",SUMIFS(tblDaily[DeathsUnder24Hrs],tblDaily[EntryDate],DATE(2026,6,13),tblDaily[WardCode],"NICU")),"")</f>
        <v/>
      </c>
      <c r="F214" s="12">
        <f>IFERROR(IF(SUMIFS(tblDaily[TransfersIn],tblDaily[EntryDate],DATE(2026,6,13),tblDaily[WardCode],"NICU")=0,"",SUMIFS(tblDaily[TransfersIn],tblDaily[EntryDate],DATE(2026,6,13),tblDaily[WardCode],"NICU")),"")</f>
        <v/>
      </c>
      <c r="G214" s="12">
        <f>IFERROR(IF(SUMIFS(tblDaily[TransfersOut],tblDaily[EntryDate],DATE(2026,6,13),tblDaily[WardCode],"NICU")=0,"",SUMIFS(tblDaily[TransfersOut],tblDaily[EntryDate],DATE(2026,6,13),tblDaily[WardCode],"NICU")),"")</f>
        <v/>
      </c>
      <c r="H214" s="12">
        <f>IFERROR(IF(SUMIFS(tblDaily[Remaining],tblDaily[EntryDate],DATE(2026,6,13),tblDaily[WardCode],"NICU")=0,"",SUMIFS(tblDaily[Remaining],tblDaily[EntryDate],DATE(2026,6,13),tblDaily[WardCode],"NICU")),"")</f>
        <v/>
      </c>
    </row>
    <row r="215">
      <c r="A215" s="12" t="n">
        <v>14</v>
      </c>
      <c r="B215" s="12">
        <f>IFERROR(IF(SUMIFS(tblDaily[Admissions],tblDaily[EntryDate],DATE(2026,6,14),tblDaily[WardCode],"NICU")=0,"",SUMIFS(tblDaily[Admissions],tblDaily[EntryDate],DATE(2026,6,14),tblDaily[WardCode],"NICU")),"")</f>
        <v/>
      </c>
      <c r="C215" s="12">
        <f>IFERROR(IF(SUMIFS(tblDaily[Discharges],tblDaily[EntryDate],DATE(2026,6,14),tblDaily[WardCode],"NICU")=0,"",SUMIFS(tblDaily[Discharges],tblDaily[EntryDate],DATE(2026,6,14),tblDaily[WardCode],"NICU")),"")</f>
        <v/>
      </c>
      <c r="D215" s="12">
        <f>IFERROR(IF(SUMIFS(tblDaily[Deaths],tblDaily[EntryDate],DATE(2026,6,14),tblDaily[WardCode],"NICU")=0,"",SUMIFS(tblDaily[Deaths],tblDaily[EntryDate],DATE(2026,6,14),tblDaily[WardCode],"NICU")),"")</f>
        <v/>
      </c>
      <c r="E215" s="12">
        <f>IFERROR(IF(SUMIFS(tblDaily[DeathsUnder24Hrs],tblDaily[EntryDate],DATE(2026,6,14),tblDaily[WardCode],"NICU")=0,"",SUMIFS(tblDaily[DeathsUnder24Hrs],tblDaily[EntryDate],DATE(2026,6,14),tblDaily[WardCode],"NICU")),"")</f>
        <v/>
      </c>
      <c r="F215" s="12">
        <f>IFERROR(IF(SUMIFS(tblDaily[TransfersIn],tblDaily[EntryDate],DATE(2026,6,14),tblDaily[WardCode],"NICU")=0,"",SUMIFS(tblDaily[TransfersIn],tblDaily[EntryDate],DATE(2026,6,14),tblDaily[WardCode],"NICU")),"")</f>
        <v/>
      </c>
      <c r="G215" s="12">
        <f>IFERROR(IF(SUMIFS(tblDaily[TransfersOut],tblDaily[EntryDate],DATE(2026,6,14),tblDaily[WardCode],"NICU")=0,"",SUMIFS(tblDaily[TransfersOut],tblDaily[EntryDate],DATE(2026,6,14),tblDaily[WardCode],"NICU")),"")</f>
        <v/>
      </c>
      <c r="H215" s="12">
        <f>IFERROR(IF(SUMIFS(tblDaily[Remaining],tblDaily[EntryDate],DATE(2026,6,14),tblDaily[WardCode],"NICU")=0,"",SUMIFS(tblDaily[Remaining],tblDaily[EntryDate],DATE(2026,6,14),tblDaily[WardCode],"NICU")),"")</f>
        <v/>
      </c>
    </row>
    <row r="216">
      <c r="A216" s="12" t="n">
        <v>15</v>
      </c>
      <c r="B216" s="12">
        <f>IFERROR(IF(SUMIFS(tblDaily[Admissions],tblDaily[EntryDate],DATE(2026,6,15),tblDaily[WardCode],"NICU")=0,"",SUMIFS(tblDaily[Admissions],tblDaily[EntryDate],DATE(2026,6,15),tblDaily[WardCode],"NICU")),"")</f>
        <v/>
      </c>
      <c r="C216" s="12">
        <f>IFERROR(IF(SUMIFS(tblDaily[Discharges],tblDaily[EntryDate],DATE(2026,6,15),tblDaily[WardCode],"NICU")=0,"",SUMIFS(tblDaily[Discharges],tblDaily[EntryDate],DATE(2026,6,15),tblDaily[WardCode],"NICU")),"")</f>
        <v/>
      </c>
      <c r="D216" s="12">
        <f>IFERROR(IF(SUMIFS(tblDaily[Deaths],tblDaily[EntryDate],DATE(2026,6,15),tblDaily[WardCode],"NICU")=0,"",SUMIFS(tblDaily[Deaths],tblDaily[EntryDate],DATE(2026,6,15),tblDaily[WardCode],"NICU")),"")</f>
        <v/>
      </c>
      <c r="E216" s="12">
        <f>IFERROR(IF(SUMIFS(tblDaily[DeathsUnder24Hrs],tblDaily[EntryDate],DATE(2026,6,15),tblDaily[WardCode],"NICU")=0,"",SUMIFS(tblDaily[DeathsUnder24Hrs],tblDaily[EntryDate],DATE(2026,6,15),tblDaily[WardCode],"NICU")),"")</f>
        <v/>
      </c>
      <c r="F216" s="12">
        <f>IFERROR(IF(SUMIFS(tblDaily[TransfersIn],tblDaily[EntryDate],DATE(2026,6,15),tblDaily[WardCode],"NICU")=0,"",SUMIFS(tblDaily[TransfersIn],tblDaily[EntryDate],DATE(2026,6,15),tblDaily[WardCode],"NICU")),"")</f>
        <v/>
      </c>
      <c r="G216" s="12">
        <f>IFERROR(IF(SUMIFS(tblDaily[TransfersOut],tblDaily[EntryDate],DATE(2026,6,15),tblDaily[WardCode],"NICU")=0,"",SUMIFS(tblDaily[TransfersOut],tblDaily[EntryDate],DATE(2026,6,15),tblDaily[WardCode],"NICU")),"")</f>
        <v/>
      </c>
      <c r="H216" s="12">
        <f>IFERROR(IF(SUMIFS(tblDaily[Remaining],tblDaily[EntryDate],DATE(2026,6,15),tblDaily[WardCode],"NICU")=0,"",SUMIFS(tblDaily[Remaining],tblDaily[EntryDate],DATE(2026,6,15),tblDaily[WardCode],"NICU")),"")</f>
        <v/>
      </c>
    </row>
    <row r="217">
      <c r="A217" s="12" t="n">
        <v>16</v>
      </c>
      <c r="B217" s="12">
        <f>IFERROR(IF(SUMIFS(tblDaily[Admissions],tblDaily[EntryDate],DATE(2026,6,16),tblDaily[WardCode],"NICU")=0,"",SUMIFS(tblDaily[Admissions],tblDaily[EntryDate],DATE(2026,6,16),tblDaily[WardCode],"NICU")),"")</f>
        <v/>
      </c>
      <c r="C217" s="12">
        <f>IFERROR(IF(SUMIFS(tblDaily[Discharges],tblDaily[EntryDate],DATE(2026,6,16),tblDaily[WardCode],"NICU")=0,"",SUMIFS(tblDaily[Discharges],tblDaily[EntryDate],DATE(2026,6,16),tblDaily[WardCode],"NICU")),"")</f>
        <v/>
      </c>
      <c r="D217" s="12">
        <f>IFERROR(IF(SUMIFS(tblDaily[Deaths],tblDaily[EntryDate],DATE(2026,6,16),tblDaily[WardCode],"NICU")=0,"",SUMIFS(tblDaily[Deaths],tblDaily[EntryDate],DATE(2026,6,16),tblDaily[WardCode],"NICU")),"")</f>
        <v/>
      </c>
      <c r="E217" s="12">
        <f>IFERROR(IF(SUMIFS(tblDaily[DeathsUnder24Hrs],tblDaily[EntryDate],DATE(2026,6,16),tblDaily[WardCode],"NICU")=0,"",SUMIFS(tblDaily[DeathsUnder24Hrs],tblDaily[EntryDate],DATE(2026,6,16),tblDaily[WardCode],"NICU")),"")</f>
        <v/>
      </c>
      <c r="F217" s="12">
        <f>IFERROR(IF(SUMIFS(tblDaily[TransfersIn],tblDaily[EntryDate],DATE(2026,6,16),tblDaily[WardCode],"NICU")=0,"",SUMIFS(tblDaily[TransfersIn],tblDaily[EntryDate],DATE(2026,6,16),tblDaily[WardCode],"NICU")),"")</f>
        <v/>
      </c>
      <c r="G217" s="12">
        <f>IFERROR(IF(SUMIFS(tblDaily[TransfersOut],tblDaily[EntryDate],DATE(2026,6,16),tblDaily[WardCode],"NICU")=0,"",SUMIFS(tblDaily[TransfersOut],tblDaily[EntryDate],DATE(2026,6,16),tblDaily[WardCode],"NICU")),"")</f>
        <v/>
      </c>
      <c r="H217" s="12">
        <f>IFERROR(IF(SUMIFS(tblDaily[Remaining],tblDaily[EntryDate],DATE(2026,6,16),tblDaily[WardCode],"NICU")=0,"",SUMIFS(tblDaily[Remaining],tblDaily[EntryDate],DATE(2026,6,16),tblDaily[WardCode],"NICU")),"")</f>
        <v/>
      </c>
    </row>
    <row r="218">
      <c r="A218" s="12" t="n">
        <v>17</v>
      </c>
      <c r="B218" s="12">
        <f>IFERROR(IF(SUMIFS(tblDaily[Admissions],tblDaily[EntryDate],DATE(2026,6,17),tblDaily[WardCode],"NICU")=0,"",SUMIFS(tblDaily[Admissions],tblDaily[EntryDate],DATE(2026,6,17),tblDaily[WardCode],"NICU")),"")</f>
        <v/>
      </c>
      <c r="C218" s="12">
        <f>IFERROR(IF(SUMIFS(tblDaily[Discharges],tblDaily[EntryDate],DATE(2026,6,17),tblDaily[WardCode],"NICU")=0,"",SUMIFS(tblDaily[Discharges],tblDaily[EntryDate],DATE(2026,6,17),tblDaily[WardCode],"NICU")),"")</f>
        <v/>
      </c>
      <c r="D218" s="12">
        <f>IFERROR(IF(SUMIFS(tblDaily[Deaths],tblDaily[EntryDate],DATE(2026,6,17),tblDaily[WardCode],"NICU")=0,"",SUMIFS(tblDaily[Deaths],tblDaily[EntryDate],DATE(2026,6,17),tblDaily[WardCode],"NICU")),"")</f>
        <v/>
      </c>
      <c r="E218" s="12">
        <f>IFERROR(IF(SUMIFS(tblDaily[DeathsUnder24Hrs],tblDaily[EntryDate],DATE(2026,6,17),tblDaily[WardCode],"NICU")=0,"",SUMIFS(tblDaily[DeathsUnder24Hrs],tblDaily[EntryDate],DATE(2026,6,17),tblDaily[WardCode],"NICU")),"")</f>
        <v/>
      </c>
      <c r="F218" s="12">
        <f>IFERROR(IF(SUMIFS(tblDaily[TransfersIn],tblDaily[EntryDate],DATE(2026,6,17),tblDaily[WardCode],"NICU")=0,"",SUMIFS(tblDaily[TransfersIn],tblDaily[EntryDate],DATE(2026,6,17),tblDaily[WardCode],"NICU")),"")</f>
        <v/>
      </c>
      <c r="G218" s="12">
        <f>IFERROR(IF(SUMIFS(tblDaily[TransfersOut],tblDaily[EntryDate],DATE(2026,6,17),tblDaily[WardCode],"NICU")=0,"",SUMIFS(tblDaily[TransfersOut],tblDaily[EntryDate],DATE(2026,6,17),tblDaily[WardCode],"NICU")),"")</f>
        <v/>
      </c>
      <c r="H218" s="12">
        <f>IFERROR(IF(SUMIFS(tblDaily[Remaining],tblDaily[EntryDate],DATE(2026,6,17),tblDaily[WardCode],"NICU")=0,"",SUMIFS(tblDaily[Remaining],tblDaily[EntryDate],DATE(2026,6,17),tblDaily[WardCode],"NICU")),"")</f>
        <v/>
      </c>
    </row>
    <row r="219">
      <c r="A219" s="12" t="n">
        <v>18</v>
      </c>
      <c r="B219" s="12">
        <f>IFERROR(IF(SUMIFS(tblDaily[Admissions],tblDaily[EntryDate],DATE(2026,6,18),tblDaily[WardCode],"NICU")=0,"",SUMIFS(tblDaily[Admissions],tblDaily[EntryDate],DATE(2026,6,18),tblDaily[WardCode],"NICU")),"")</f>
        <v/>
      </c>
      <c r="C219" s="12">
        <f>IFERROR(IF(SUMIFS(tblDaily[Discharges],tblDaily[EntryDate],DATE(2026,6,18),tblDaily[WardCode],"NICU")=0,"",SUMIFS(tblDaily[Discharges],tblDaily[EntryDate],DATE(2026,6,18),tblDaily[WardCode],"NICU")),"")</f>
        <v/>
      </c>
      <c r="D219" s="12">
        <f>IFERROR(IF(SUMIFS(tblDaily[Deaths],tblDaily[EntryDate],DATE(2026,6,18),tblDaily[WardCode],"NICU")=0,"",SUMIFS(tblDaily[Deaths],tblDaily[EntryDate],DATE(2026,6,18),tblDaily[WardCode],"NICU")),"")</f>
        <v/>
      </c>
      <c r="E219" s="12">
        <f>IFERROR(IF(SUMIFS(tblDaily[DeathsUnder24Hrs],tblDaily[EntryDate],DATE(2026,6,18),tblDaily[WardCode],"NICU")=0,"",SUMIFS(tblDaily[DeathsUnder24Hrs],tblDaily[EntryDate],DATE(2026,6,18),tblDaily[WardCode],"NICU")),"")</f>
        <v/>
      </c>
      <c r="F219" s="12">
        <f>IFERROR(IF(SUMIFS(tblDaily[TransfersIn],tblDaily[EntryDate],DATE(2026,6,18),tblDaily[WardCode],"NICU")=0,"",SUMIFS(tblDaily[TransfersIn],tblDaily[EntryDate],DATE(2026,6,18),tblDaily[WardCode],"NICU")),"")</f>
        <v/>
      </c>
      <c r="G219" s="12">
        <f>IFERROR(IF(SUMIFS(tblDaily[TransfersOut],tblDaily[EntryDate],DATE(2026,6,18),tblDaily[WardCode],"NICU")=0,"",SUMIFS(tblDaily[TransfersOut],tblDaily[EntryDate],DATE(2026,6,18),tblDaily[WardCode],"NICU")),"")</f>
        <v/>
      </c>
      <c r="H219" s="12">
        <f>IFERROR(IF(SUMIFS(tblDaily[Remaining],tblDaily[EntryDate],DATE(2026,6,18),tblDaily[WardCode],"NICU")=0,"",SUMIFS(tblDaily[Remaining],tblDaily[EntryDate],DATE(2026,6,18),tblDaily[WardCode],"NICU")),"")</f>
        <v/>
      </c>
    </row>
    <row r="220">
      <c r="A220" s="12" t="n">
        <v>19</v>
      </c>
      <c r="B220" s="12">
        <f>IFERROR(IF(SUMIFS(tblDaily[Admissions],tblDaily[EntryDate],DATE(2026,6,19),tblDaily[WardCode],"NICU")=0,"",SUMIFS(tblDaily[Admissions],tblDaily[EntryDate],DATE(2026,6,19),tblDaily[WardCode],"NICU")),"")</f>
        <v/>
      </c>
      <c r="C220" s="12">
        <f>IFERROR(IF(SUMIFS(tblDaily[Discharges],tblDaily[EntryDate],DATE(2026,6,19),tblDaily[WardCode],"NICU")=0,"",SUMIFS(tblDaily[Discharges],tblDaily[EntryDate],DATE(2026,6,19),tblDaily[WardCode],"NICU")),"")</f>
        <v/>
      </c>
      <c r="D220" s="12">
        <f>IFERROR(IF(SUMIFS(tblDaily[Deaths],tblDaily[EntryDate],DATE(2026,6,19),tblDaily[WardCode],"NICU")=0,"",SUMIFS(tblDaily[Deaths],tblDaily[EntryDate],DATE(2026,6,19),tblDaily[WardCode],"NICU")),"")</f>
        <v/>
      </c>
      <c r="E220" s="12">
        <f>IFERROR(IF(SUMIFS(tblDaily[DeathsUnder24Hrs],tblDaily[EntryDate],DATE(2026,6,19),tblDaily[WardCode],"NICU")=0,"",SUMIFS(tblDaily[DeathsUnder24Hrs],tblDaily[EntryDate],DATE(2026,6,19),tblDaily[WardCode],"NICU")),"")</f>
        <v/>
      </c>
      <c r="F220" s="12">
        <f>IFERROR(IF(SUMIFS(tblDaily[TransfersIn],tblDaily[EntryDate],DATE(2026,6,19),tblDaily[WardCode],"NICU")=0,"",SUMIFS(tblDaily[TransfersIn],tblDaily[EntryDate],DATE(2026,6,19),tblDaily[WardCode],"NICU")),"")</f>
        <v/>
      </c>
      <c r="G220" s="12">
        <f>IFERROR(IF(SUMIFS(tblDaily[TransfersOut],tblDaily[EntryDate],DATE(2026,6,19),tblDaily[WardCode],"NICU")=0,"",SUMIFS(tblDaily[TransfersOut],tblDaily[EntryDate],DATE(2026,6,19),tblDaily[WardCode],"NICU")),"")</f>
        <v/>
      </c>
      <c r="H220" s="12">
        <f>IFERROR(IF(SUMIFS(tblDaily[Remaining],tblDaily[EntryDate],DATE(2026,6,19),tblDaily[WardCode],"NICU")=0,"",SUMIFS(tblDaily[Remaining],tblDaily[EntryDate],DATE(2026,6,19),tblDaily[WardCode],"NICU")),"")</f>
        <v/>
      </c>
    </row>
    <row r="221">
      <c r="A221" s="12" t="n">
        <v>20</v>
      </c>
      <c r="B221" s="12">
        <f>IFERROR(IF(SUMIFS(tblDaily[Admissions],tblDaily[EntryDate],DATE(2026,6,20),tblDaily[WardCode],"NICU")=0,"",SUMIFS(tblDaily[Admissions],tblDaily[EntryDate],DATE(2026,6,20),tblDaily[WardCode],"NICU")),"")</f>
        <v/>
      </c>
      <c r="C221" s="12">
        <f>IFERROR(IF(SUMIFS(tblDaily[Discharges],tblDaily[EntryDate],DATE(2026,6,20),tblDaily[WardCode],"NICU")=0,"",SUMIFS(tblDaily[Discharges],tblDaily[EntryDate],DATE(2026,6,20),tblDaily[WardCode],"NICU")),"")</f>
        <v/>
      </c>
      <c r="D221" s="12">
        <f>IFERROR(IF(SUMIFS(tblDaily[Deaths],tblDaily[EntryDate],DATE(2026,6,20),tblDaily[WardCode],"NICU")=0,"",SUMIFS(tblDaily[Deaths],tblDaily[EntryDate],DATE(2026,6,20),tblDaily[WardCode],"NICU")),"")</f>
        <v/>
      </c>
      <c r="E221" s="12">
        <f>IFERROR(IF(SUMIFS(tblDaily[DeathsUnder24Hrs],tblDaily[EntryDate],DATE(2026,6,20),tblDaily[WardCode],"NICU")=0,"",SUMIFS(tblDaily[DeathsUnder24Hrs],tblDaily[EntryDate],DATE(2026,6,20),tblDaily[WardCode],"NICU")),"")</f>
        <v/>
      </c>
      <c r="F221" s="12">
        <f>IFERROR(IF(SUMIFS(tblDaily[TransfersIn],tblDaily[EntryDate],DATE(2026,6,20),tblDaily[WardCode],"NICU")=0,"",SUMIFS(tblDaily[TransfersIn],tblDaily[EntryDate],DATE(2026,6,20),tblDaily[WardCode],"NICU")),"")</f>
        <v/>
      </c>
      <c r="G221" s="12">
        <f>IFERROR(IF(SUMIFS(tblDaily[TransfersOut],tblDaily[EntryDate],DATE(2026,6,20),tblDaily[WardCode],"NICU")=0,"",SUMIFS(tblDaily[TransfersOut],tblDaily[EntryDate],DATE(2026,6,20),tblDaily[WardCode],"NICU")),"")</f>
        <v/>
      </c>
      <c r="H221" s="12">
        <f>IFERROR(IF(SUMIFS(tblDaily[Remaining],tblDaily[EntryDate],DATE(2026,6,20),tblDaily[WardCode],"NICU")=0,"",SUMIFS(tblDaily[Remaining],tblDaily[EntryDate],DATE(2026,6,20),tblDaily[WardCode],"NICU")),"")</f>
        <v/>
      </c>
    </row>
    <row r="222">
      <c r="A222" s="12" t="n">
        <v>21</v>
      </c>
      <c r="B222" s="12">
        <f>IFERROR(IF(SUMIFS(tblDaily[Admissions],tblDaily[EntryDate],DATE(2026,6,21),tblDaily[WardCode],"NICU")=0,"",SUMIFS(tblDaily[Admissions],tblDaily[EntryDate],DATE(2026,6,21),tblDaily[WardCode],"NICU")),"")</f>
        <v/>
      </c>
      <c r="C222" s="12">
        <f>IFERROR(IF(SUMIFS(tblDaily[Discharges],tblDaily[EntryDate],DATE(2026,6,21),tblDaily[WardCode],"NICU")=0,"",SUMIFS(tblDaily[Discharges],tblDaily[EntryDate],DATE(2026,6,21),tblDaily[WardCode],"NICU")),"")</f>
        <v/>
      </c>
      <c r="D222" s="12">
        <f>IFERROR(IF(SUMIFS(tblDaily[Deaths],tblDaily[EntryDate],DATE(2026,6,21),tblDaily[WardCode],"NICU")=0,"",SUMIFS(tblDaily[Deaths],tblDaily[EntryDate],DATE(2026,6,21),tblDaily[WardCode],"NICU")),"")</f>
        <v/>
      </c>
      <c r="E222" s="12">
        <f>IFERROR(IF(SUMIFS(tblDaily[DeathsUnder24Hrs],tblDaily[EntryDate],DATE(2026,6,21),tblDaily[WardCode],"NICU")=0,"",SUMIFS(tblDaily[DeathsUnder24Hrs],tblDaily[EntryDate],DATE(2026,6,21),tblDaily[WardCode],"NICU")),"")</f>
        <v/>
      </c>
      <c r="F222" s="12">
        <f>IFERROR(IF(SUMIFS(tblDaily[TransfersIn],tblDaily[EntryDate],DATE(2026,6,21),tblDaily[WardCode],"NICU")=0,"",SUMIFS(tblDaily[TransfersIn],tblDaily[EntryDate],DATE(2026,6,21),tblDaily[WardCode],"NICU")),"")</f>
        <v/>
      </c>
      <c r="G222" s="12">
        <f>IFERROR(IF(SUMIFS(tblDaily[TransfersOut],tblDaily[EntryDate],DATE(2026,6,21),tblDaily[WardCode],"NICU")=0,"",SUMIFS(tblDaily[TransfersOut],tblDaily[EntryDate],DATE(2026,6,21),tblDaily[WardCode],"NICU")),"")</f>
        <v/>
      </c>
      <c r="H222" s="12">
        <f>IFERROR(IF(SUMIFS(tblDaily[Remaining],tblDaily[EntryDate],DATE(2026,6,21),tblDaily[WardCode],"NICU")=0,"",SUMIFS(tblDaily[Remaining],tblDaily[EntryDate],DATE(2026,6,21),tblDaily[WardCode],"NICU")),"")</f>
        <v/>
      </c>
    </row>
    <row r="223">
      <c r="A223" s="12" t="n">
        <v>22</v>
      </c>
      <c r="B223" s="12">
        <f>IFERROR(IF(SUMIFS(tblDaily[Admissions],tblDaily[EntryDate],DATE(2026,6,22),tblDaily[WardCode],"NICU")=0,"",SUMIFS(tblDaily[Admissions],tblDaily[EntryDate],DATE(2026,6,22),tblDaily[WardCode],"NICU")),"")</f>
        <v/>
      </c>
      <c r="C223" s="12">
        <f>IFERROR(IF(SUMIFS(tblDaily[Discharges],tblDaily[EntryDate],DATE(2026,6,22),tblDaily[WardCode],"NICU")=0,"",SUMIFS(tblDaily[Discharges],tblDaily[EntryDate],DATE(2026,6,22),tblDaily[WardCode],"NICU")),"")</f>
        <v/>
      </c>
      <c r="D223" s="12">
        <f>IFERROR(IF(SUMIFS(tblDaily[Deaths],tblDaily[EntryDate],DATE(2026,6,22),tblDaily[WardCode],"NICU")=0,"",SUMIFS(tblDaily[Deaths],tblDaily[EntryDate],DATE(2026,6,22),tblDaily[WardCode],"NICU")),"")</f>
        <v/>
      </c>
      <c r="E223" s="12">
        <f>IFERROR(IF(SUMIFS(tblDaily[DeathsUnder24Hrs],tblDaily[EntryDate],DATE(2026,6,22),tblDaily[WardCode],"NICU")=0,"",SUMIFS(tblDaily[DeathsUnder24Hrs],tblDaily[EntryDate],DATE(2026,6,22),tblDaily[WardCode],"NICU")),"")</f>
        <v/>
      </c>
      <c r="F223" s="12">
        <f>IFERROR(IF(SUMIFS(tblDaily[TransfersIn],tblDaily[EntryDate],DATE(2026,6,22),tblDaily[WardCode],"NICU")=0,"",SUMIFS(tblDaily[TransfersIn],tblDaily[EntryDate],DATE(2026,6,22),tblDaily[WardCode],"NICU")),"")</f>
        <v/>
      </c>
      <c r="G223" s="12">
        <f>IFERROR(IF(SUMIFS(tblDaily[TransfersOut],tblDaily[EntryDate],DATE(2026,6,22),tblDaily[WardCode],"NICU")=0,"",SUMIFS(tblDaily[TransfersOut],tblDaily[EntryDate],DATE(2026,6,22),tblDaily[WardCode],"NICU")),"")</f>
        <v/>
      </c>
      <c r="H223" s="12">
        <f>IFERROR(IF(SUMIFS(tblDaily[Remaining],tblDaily[EntryDate],DATE(2026,6,22),tblDaily[WardCode],"NICU")=0,"",SUMIFS(tblDaily[Remaining],tblDaily[EntryDate],DATE(2026,6,22),tblDaily[WardCode],"NICU")),"")</f>
        <v/>
      </c>
    </row>
    <row r="224">
      <c r="A224" s="12" t="n">
        <v>23</v>
      </c>
      <c r="B224" s="12">
        <f>IFERROR(IF(SUMIFS(tblDaily[Admissions],tblDaily[EntryDate],DATE(2026,6,23),tblDaily[WardCode],"NICU")=0,"",SUMIFS(tblDaily[Admissions],tblDaily[EntryDate],DATE(2026,6,23),tblDaily[WardCode],"NICU")),"")</f>
        <v/>
      </c>
      <c r="C224" s="12">
        <f>IFERROR(IF(SUMIFS(tblDaily[Discharges],tblDaily[EntryDate],DATE(2026,6,23),tblDaily[WardCode],"NICU")=0,"",SUMIFS(tblDaily[Discharges],tblDaily[EntryDate],DATE(2026,6,23),tblDaily[WardCode],"NICU")),"")</f>
        <v/>
      </c>
      <c r="D224" s="12">
        <f>IFERROR(IF(SUMIFS(tblDaily[Deaths],tblDaily[EntryDate],DATE(2026,6,23),tblDaily[WardCode],"NICU")=0,"",SUMIFS(tblDaily[Deaths],tblDaily[EntryDate],DATE(2026,6,23),tblDaily[WardCode],"NICU")),"")</f>
        <v/>
      </c>
      <c r="E224" s="12">
        <f>IFERROR(IF(SUMIFS(tblDaily[DeathsUnder24Hrs],tblDaily[EntryDate],DATE(2026,6,23),tblDaily[WardCode],"NICU")=0,"",SUMIFS(tblDaily[DeathsUnder24Hrs],tblDaily[EntryDate],DATE(2026,6,23),tblDaily[WardCode],"NICU")),"")</f>
        <v/>
      </c>
      <c r="F224" s="12">
        <f>IFERROR(IF(SUMIFS(tblDaily[TransfersIn],tblDaily[EntryDate],DATE(2026,6,23),tblDaily[WardCode],"NICU")=0,"",SUMIFS(tblDaily[TransfersIn],tblDaily[EntryDate],DATE(2026,6,23),tblDaily[WardCode],"NICU")),"")</f>
        <v/>
      </c>
      <c r="G224" s="12">
        <f>IFERROR(IF(SUMIFS(tblDaily[TransfersOut],tblDaily[EntryDate],DATE(2026,6,23),tblDaily[WardCode],"NICU")=0,"",SUMIFS(tblDaily[TransfersOut],tblDaily[EntryDate],DATE(2026,6,23),tblDaily[WardCode],"NICU")),"")</f>
        <v/>
      </c>
      <c r="H224" s="12">
        <f>IFERROR(IF(SUMIFS(tblDaily[Remaining],tblDaily[EntryDate],DATE(2026,6,23),tblDaily[WardCode],"NICU")=0,"",SUMIFS(tblDaily[Remaining],tblDaily[EntryDate],DATE(2026,6,23),tblDaily[WardCode],"NICU")),"")</f>
        <v/>
      </c>
    </row>
    <row r="225">
      <c r="A225" s="12" t="n">
        <v>24</v>
      </c>
      <c r="B225" s="12">
        <f>IFERROR(IF(SUMIFS(tblDaily[Admissions],tblDaily[EntryDate],DATE(2026,6,24),tblDaily[WardCode],"NICU")=0,"",SUMIFS(tblDaily[Admissions],tblDaily[EntryDate],DATE(2026,6,24),tblDaily[WardCode],"NICU")),"")</f>
        <v/>
      </c>
      <c r="C225" s="12">
        <f>IFERROR(IF(SUMIFS(tblDaily[Discharges],tblDaily[EntryDate],DATE(2026,6,24),tblDaily[WardCode],"NICU")=0,"",SUMIFS(tblDaily[Discharges],tblDaily[EntryDate],DATE(2026,6,24),tblDaily[WardCode],"NICU")),"")</f>
        <v/>
      </c>
      <c r="D225" s="12">
        <f>IFERROR(IF(SUMIFS(tblDaily[Deaths],tblDaily[EntryDate],DATE(2026,6,24),tblDaily[WardCode],"NICU")=0,"",SUMIFS(tblDaily[Deaths],tblDaily[EntryDate],DATE(2026,6,24),tblDaily[WardCode],"NICU")),"")</f>
        <v/>
      </c>
      <c r="E225" s="12">
        <f>IFERROR(IF(SUMIFS(tblDaily[DeathsUnder24Hrs],tblDaily[EntryDate],DATE(2026,6,24),tblDaily[WardCode],"NICU")=0,"",SUMIFS(tblDaily[DeathsUnder24Hrs],tblDaily[EntryDate],DATE(2026,6,24),tblDaily[WardCode],"NICU")),"")</f>
        <v/>
      </c>
      <c r="F225" s="12">
        <f>IFERROR(IF(SUMIFS(tblDaily[TransfersIn],tblDaily[EntryDate],DATE(2026,6,24),tblDaily[WardCode],"NICU")=0,"",SUMIFS(tblDaily[TransfersIn],tblDaily[EntryDate],DATE(2026,6,24),tblDaily[WardCode],"NICU")),"")</f>
        <v/>
      </c>
      <c r="G225" s="12">
        <f>IFERROR(IF(SUMIFS(tblDaily[TransfersOut],tblDaily[EntryDate],DATE(2026,6,24),tblDaily[WardCode],"NICU")=0,"",SUMIFS(tblDaily[TransfersOut],tblDaily[EntryDate],DATE(2026,6,24),tblDaily[WardCode],"NICU")),"")</f>
        <v/>
      </c>
      <c r="H225" s="12">
        <f>IFERROR(IF(SUMIFS(tblDaily[Remaining],tblDaily[EntryDate],DATE(2026,6,24),tblDaily[WardCode],"NICU")=0,"",SUMIFS(tblDaily[Remaining],tblDaily[EntryDate],DATE(2026,6,24),tblDaily[WardCode],"NICU")),"")</f>
        <v/>
      </c>
    </row>
    <row r="226">
      <c r="A226" s="12" t="n">
        <v>25</v>
      </c>
      <c r="B226" s="12">
        <f>IFERROR(IF(SUMIFS(tblDaily[Admissions],tblDaily[EntryDate],DATE(2026,6,25),tblDaily[WardCode],"NICU")=0,"",SUMIFS(tblDaily[Admissions],tblDaily[EntryDate],DATE(2026,6,25),tblDaily[WardCode],"NICU")),"")</f>
        <v/>
      </c>
      <c r="C226" s="12">
        <f>IFERROR(IF(SUMIFS(tblDaily[Discharges],tblDaily[EntryDate],DATE(2026,6,25),tblDaily[WardCode],"NICU")=0,"",SUMIFS(tblDaily[Discharges],tblDaily[EntryDate],DATE(2026,6,25),tblDaily[WardCode],"NICU")),"")</f>
        <v/>
      </c>
      <c r="D226" s="12">
        <f>IFERROR(IF(SUMIFS(tblDaily[Deaths],tblDaily[EntryDate],DATE(2026,6,25),tblDaily[WardCode],"NICU")=0,"",SUMIFS(tblDaily[Deaths],tblDaily[EntryDate],DATE(2026,6,25),tblDaily[WardCode],"NICU")),"")</f>
        <v/>
      </c>
      <c r="E226" s="12">
        <f>IFERROR(IF(SUMIFS(tblDaily[DeathsUnder24Hrs],tblDaily[EntryDate],DATE(2026,6,25),tblDaily[WardCode],"NICU")=0,"",SUMIFS(tblDaily[DeathsUnder24Hrs],tblDaily[EntryDate],DATE(2026,6,25),tblDaily[WardCode],"NICU")),"")</f>
        <v/>
      </c>
      <c r="F226" s="12">
        <f>IFERROR(IF(SUMIFS(tblDaily[TransfersIn],tblDaily[EntryDate],DATE(2026,6,25),tblDaily[WardCode],"NICU")=0,"",SUMIFS(tblDaily[TransfersIn],tblDaily[EntryDate],DATE(2026,6,25),tblDaily[WardCode],"NICU")),"")</f>
        <v/>
      </c>
      <c r="G226" s="12">
        <f>IFERROR(IF(SUMIFS(tblDaily[TransfersOut],tblDaily[EntryDate],DATE(2026,6,25),tblDaily[WardCode],"NICU")=0,"",SUMIFS(tblDaily[TransfersOut],tblDaily[EntryDate],DATE(2026,6,25),tblDaily[WardCode],"NICU")),"")</f>
        <v/>
      </c>
      <c r="H226" s="12">
        <f>IFERROR(IF(SUMIFS(tblDaily[Remaining],tblDaily[EntryDate],DATE(2026,6,25),tblDaily[WardCode],"NICU")=0,"",SUMIFS(tblDaily[Remaining],tblDaily[EntryDate],DATE(2026,6,25),tblDaily[WardCode],"NICU")),"")</f>
        <v/>
      </c>
    </row>
    <row r="227">
      <c r="A227" s="12" t="n">
        <v>26</v>
      </c>
      <c r="B227" s="12">
        <f>IFERROR(IF(SUMIFS(tblDaily[Admissions],tblDaily[EntryDate],DATE(2026,6,26),tblDaily[WardCode],"NICU")=0,"",SUMIFS(tblDaily[Admissions],tblDaily[EntryDate],DATE(2026,6,26),tblDaily[WardCode],"NICU")),"")</f>
        <v/>
      </c>
      <c r="C227" s="12">
        <f>IFERROR(IF(SUMIFS(tblDaily[Discharges],tblDaily[EntryDate],DATE(2026,6,26),tblDaily[WardCode],"NICU")=0,"",SUMIFS(tblDaily[Discharges],tblDaily[EntryDate],DATE(2026,6,26),tblDaily[WardCode],"NICU")),"")</f>
        <v/>
      </c>
      <c r="D227" s="12">
        <f>IFERROR(IF(SUMIFS(tblDaily[Deaths],tblDaily[EntryDate],DATE(2026,6,26),tblDaily[WardCode],"NICU")=0,"",SUMIFS(tblDaily[Deaths],tblDaily[EntryDate],DATE(2026,6,26),tblDaily[WardCode],"NICU")),"")</f>
        <v/>
      </c>
      <c r="E227" s="12">
        <f>IFERROR(IF(SUMIFS(tblDaily[DeathsUnder24Hrs],tblDaily[EntryDate],DATE(2026,6,26),tblDaily[WardCode],"NICU")=0,"",SUMIFS(tblDaily[DeathsUnder24Hrs],tblDaily[EntryDate],DATE(2026,6,26),tblDaily[WardCode],"NICU")),"")</f>
        <v/>
      </c>
      <c r="F227" s="12">
        <f>IFERROR(IF(SUMIFS(tblDaily[TransfersIn],tblDaily[EntryDate],DATE(2026,6,26),tblDaily[WardCode],"NICU")=0,"",SUMIFS(tblDaily[TransfersIn],tblDaily[EntryDate],DATE(2026,6,26),tblDaily[WardCode],"NICU")),"")</f>
        <v/>
      </c>
      <c r="G227" s="12">
        <f>IFERROR(IF(SUMIFS(tblDaily[TransfersOut],tblDaily[EntryDate],DATE(2026,6,26),tblDaily[WardCode],"NICU")=0,"",SUMIFS(tblDaily[TransfersOut],tblDaily[EntryDate],DATE(2026,6,26),tblDaily[WardCode],"NICU")),"")</f>
        <v/>
      </c>
      <c r="H227" s="12">
        <f>IFERROR(IF(SUMIFS(tblDaily[Remaining],tblDaily[EntryDate],DATE(2026,6,26),tblDaily[WardCode],"NICU")=0,"",SUMIFS(tblDaily[Remaining],tblDaily[EntryDate],DATE(2026,6,26),tblDaily[WardCode],"NICU")),"")</f>
        <v/>
      </c>
    </row>
    <row r="228">
      <c r="A228" s="12" t="n">
        <v>27</v>
      </c>
      <c r="B228" s="12">
        <f>IFERROR(IF(SUMIFS(tblDaily[Admissions],tblDaily[EntryDate],DATE(2026,6,27),tblDaily[WardCode],"NICU")=0,"",SUMIFS(tblDaily[Admissions],tblDaily[EntryDate],DATE(2026,6,27),tblDaily[WardCode],"NICU")),"")</f>
        <v/>
      </c>
      <c r="C228" s="12">
        <f>IFERROR(IF(SUMIFS(tblDaily[Discharges],tblDaily[EntryDate],DATE(2026,6,27),tblDaily[WardCode],"NICU")=0,"",SUMIFS(tblDaily[Discharges],tblDaily[EntryDate],DATE(2026,6,27),tblDaily[WardCode],"NICU")),"")</f>
        <v/>
      </c>
      <c r="D228" s="12">
        <f>IFERROR(IF(SUMIFS(tblDaily[Deaths],tblDaily[EntryDate],DATE(2026,6,27),tblDaily[WardCode],"NICU")=0,"",SUMIFS(tblDaily[Deaths],tblDaily[EntryDate],DATE(2026,6,27),tblDaily[WardCode],"NICU")),"")</f>
        <v/>
      </c>
      <c r="E228" s="12">
        <f>IFERROR(IF(SUMIFS(tblDaily[DeathsUnder24Hrs],tblDaily[EntryDate],DATE(2026,6,27),tblDaily[WardCode],"NICU")=0,"",SUMIFS(tblDaily[DeathsUnder24Hrs],tblDaily[EntryDate],DATE(2026,6,27),tblDaily[WardCode],"NICU")),"")</f>
        <v/>
      </c>
      <c r="F228" s="12">
        <f>IFERROR(IF(SUMIFS(tblDaily[TransfersIn],tblDaily[EntryDate],DATE(2026,6,27),tblDaily[WardCode],"NICU")=0,"",SUMIFS(tblDaily[TransfersIn],tblDaily[EntryDate],DATE(2026,6,27),tblDaily[WardCode],"NICU")),"")</f>
        <v/>
      </c>
      <c r="G228" s="12">
        <f>IFERROR(IF(SUMIFS(tblDaily[TransfersOut],tblDaily[EntryDate],DATE(2026,6,27),tblDaily[WardCode],"NICU")=0,"",SUMIFS(tblDaily[TransfersOut],tblDaily[EntryDate],DATE(2026,6,27),tblDaily[WardCode],"NICU")),"")</f>
        <v/>
      </c>
      <c r="H228" s="12">
        <f>IFERROR(IF(SUMIFS(tblDaily[Remaining],tblDaily[EntryDate],DATE(2026,6,27),tblDaily[WardCode],"NICU")=0,"",SUMIFS(tblDaily[Remaining],tblDaily[EntryDate],DATE(2026,6,27),tblDaily[WardCode],"NICU")),"")</f>
        <v/>
      </c>
    </row>
    <row r="229">
      <c r="A229" s="12" t="n">
        <v>28</v>
      </c>
      <c r="B229" s="12">
        <f>IFERROR(IF(SUMIFS(tblDaily[Admissions],tblDaily[EntryDate],DATE(2026,6,28),tblDaily[WardCode],"NICU")=0,"",SUMIFS(tblDaily[Admissions],tblDaily[EntryDate],DATE(2026,6,28),tblDaily[WardCode],"NICU")),"")</f>
        <v/>
      </c>
      <c r="C229" s="12">
        <f>IFERROR(IF(SUMIFS(tblDaily[Discharges],tblDaily[EntryDate],DATE(2026,6,28),tblDaily[WardCode],"NICU")=0,"",SUMIFS(tblDaily[Discharges],tblDaily[EntryDate],DATE(2026,6,28),tblDaily[WardCode],"NICU")),"")</f>
        <v/>
      </c>
      <c r="D229" s="12">
        <f>IFERROR(IF(SUMIFS(tblDaily[Deaths],tblDaily[EntryDate],DATE(2026,6,28),tblDaily[WardCode],"NICU")=0,"",SUMIFS(tblDaily[Deaths],tblDaily[EntryDate],DATE(2026,6,28),tblDaily[WardCode],"NICU")),"")</f>
        <v/>
      </c>
      <c r="E229" s="12">
        <f>IFERROR(IF(SUMIFS(tblDaily[DeathsUnder24Hrs],tblDaily[EntryDate],DATE(2026,6,28),tblDaily[WardCode],"NICU")=0,"",SUMIFS(tblDaily[DeathsUnder24Hrs],tblDaily[EntryDate],DATE(2026,6,28),tblDaily[WardCode],"NICU")),"")</f>
        <v/>
      </c>
      <c r="F229" s="12">
        <f>IFERROR(IF(SUMIFS(tblDaily[TransfersIn],tblDaily[EntryDate],DATE(2026,6,28),tblDaily[WardCode],"NICU")=0,"",SUMIFS(tblDaily[TransfersIn],tblDaily[EntryDate],DATE(2026,6,28),tblDaily[WardCode],"NICU")),"")</f>
        <v/>
      </c>
      <c r="G229" s="12">
        <f>IFERROR(IF(SUMIFS(tblDaily[TransfersOut],tblDaily[EntryDate],DATE(2026,6,28),tblDaily[WardCode],"NICU")=0,"",SUMIFS(tblDaily[TransfersOut],tblDaily[EntryDate],DATE(2026,6,28),tblDaily[WardCode],"NICU")),"")</f>
        <v/>
      </c>
      <c r="H229" s="12">
        <f>IFERROR(IF(SUMIFS(tblDaily[Remaining],tblDaily[EntryDate],DATE(2026,6,28),tblDaily[WardCode],"NICU")=0,"",SUMIFS(tblDaily[Remaining],tblDaily[EntryDate],DATE(2026,6,28),tblDaily[WardCode],"NICU")),"")</f>
        <v/>
      </c>
    </row>
    <row r="230">
      <c r="A230" s="12" t="n">
        <v>29</v>
      </c>
      <c r="B230" s="12">
        <f>IFERROR(IF(SUMIFS(tblDaily[Admissions],tblDaily[EntryDate],DATE(2026,6,29),tblDaily[WardCode],"NICU")=0,"",SUMIFS(tblDaily[Admissions],tblDaily[EntryDate],DATE(2026,6,29),tblDaily[WardCode],"NICU")),"")</f>
        <v/>
      </c>
      <c r="C230" s="12">
        <f>IFERROR(IF(SUMIFS(tblDaily[Discharges],tblDaily[EntryDate],DATE(2026,6,29),tblDaily[WardCode],"NICU")=0,"",SUMIFS(tblDaily[Discharges],tblDaily[EntryDate],DATE(2026,6,29),tblDaily[WardCode],"NICU")),"")</f>
        <v/>
      </c>
      <c r="D230" s="12">
        <f>IFERROR(IF(SUMIFS(tblDaily[Deaths],tblDaily[EntryDate],DATE(2026,6,29),tblDaily[WardCode],"NICU")=0,"",SUMIFS(tblDaily[Deaths],tblDaily[EntryDate],DATE(2026,6,29),tblDaily[WardCode],"NICU")),"")</f>
        <v/>
      </c>
      <c r="E230" s="12">
        <f>IFERROR(IF(SUMIFS(tblDaily[DeathsUnder24Hrs],tblDaily[EntryDate],DATE(2026,6,29),tblDaily[WardCode],"NICU")=0,"",SUMIFS(tblDaily[DeathsUnder24Hrs],tblDaily[EntryDate],DATE(2026,6,29),tblDaily[WardCode],"NICU")),"")</f>
        <v/>
      </c>
      <c r="F230" s="12">
        <f>IFERROR(IF(SUMIFS(tblDaily[TransfersIn],tblDaily[EntryDate],DATE(2026,6,29),tblDaily[WardCode],"NICU")=0,"",SUMIFS(tblDaily[TransfersIn],tblDaily[EntryDate],DATE(2026,6,29),tblDaily[WardCode],"NICU")),"")</f>
        <v/>
      </c>
      <c r="G230" s="12">
        <f>IFERROR(IF(SUMIFS(tblDaily[TransfersOut],tblDaily[EntryDate],DATE(2026,6,29),tblDaily[WardCode],"NICU")=0,"",SUMIFS(tblDaily[TransfersOut],tblDaily[EntryDate],DATE(2026,6,29),tblDaily[WardCode],"NICU")),"")</f>
        <v/>
      </c>
      <c r="H230" s="12">
        <f>IFERROR(IF(SUMIFS(tblDaily[Remaining],tblDaily[EntryDate],DATE(2026,6,29),tblDaily[WardCode],"NICU")=0,"",SUMIFS(tblDaily[Remaining],tblDaily[EntryDate],DATE(2026,6,29),tblDaily[WardCode],"NICU")),"")</f>
        <v/>
      </c>
    </row>
    <row r="231">
      <c r="A231" s="12" t="n">
        <v>30</v>
      </c>
      <c r="B231" s="12">
        <f>IFERROR(IF(SUMIFS(tblDaily[Admissions],tblDaily[EntryDate],DATE(2026,6,30),tblDaily[WardCode],"NICU")=0,"",SUMIFS(tblDaily[Admissions],tblDaily[EntryDate],DATE(2026,6,30),tblDaily[WardCode],"NICU")),"")</f>
        <v/>
      </c>
      <c r="C231" s="12">
        <f>IFERROR(IF(SUMIFS(tblDaily[Discharges],tblDaily[EntryDate],DATE(2026,6,30),tblDaily[WardCode],"NICU")=0,"",SUMIFS(tblDaily[Discharges],tblDaily[EntryDate],DATE(2026,6,30),tblDaily[WardCode],"NICU")),"")</f>
        <v/>
      </c>
      <c r="D231" s="12">
        <f>IFERROR(IF(SUMIFS(tblDaily[Deaths],tblDaily[EntryDate],DATE(2026,6,30),tblDaily[WardCode],"NICU")=0,"",SUMIFS(tblDaily[Deaths],tblDaily[EntryDate],DATE(2026,6,30),tblDaily[WardCode],"NICU")),"")</f>
        <v/>
      </c>
      <c r="E231" s="12">
        <f>IFERROR(IF(SUMIFS(tblDaily[DeathsUnder24Hrs],tblDaily[EntryDate],DATE(2026,6,30),tblDaily[WardCode],"NICU")=0,"",SUMIFS(tblDaily[DeathsUnder24Hrs],tblDaily[EntryDate],DATE(2026,6,30),tblDaily[WardCode],"NICU")),"")</f>
        <v/>
      </c>
      <c r="F231" s="12">
        <f>IFERROR(IF(SUMIFS(tblDaily[TransfersIn],tblDaily[EntryDate],DATE(2026,6,30),tblDaily[WardCode],"NICU")=0,"",SUMIFS(tblDaily[TransfersIn],tblDaily[EntryDate],DATE(2026,6,30),tblDaily[WardCode],"NICU")),"")</f>
        <v/>
      </c>
      <c r="G231" s="12">
        <f>IFERROR(IF(SUMIFS(tblDaily[TransfersOut],tblDaily[EntryDate],DATE(2026,6,30),tblDaily[WardCode],"NICU")=0,"",SUMIFS(tblDaily[TransfersOut],tblDaily[EntryDate],DATE(2026,6,30),tblDaily[WardCode],"NICU")),"")</f>
        <v/>
      </c>
      <c r="H231" s="12">
        <f>IFERROR(IF(SUMIFS(tblDaily[Remaining],tblDaily[EntryDate],DATE(2026,6,30),tblDaily[WardCode],"NICU")=0,"",SUMIFS(tblDaily[Remaining],tblDaily[EntryDate],DATE(2026,6,30),tblDaily[WardCode],"NICU")),"")</f>
        <v/>
      </c>
    </row>
    <row r="232">
      <c r="A232" s="12" t="n">
        <v>31</v>
      </c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7" t="inlineStr">
        <is>
          <t>TOTAL</t>
        </is>
      </c>
      <c r="B233" s="17">
        <f>SUMIFS(tblDaily[Admissions],tblDaily[Month],6,tblDaily[WardCode],"NICU") - SUMIFS(tblDaily[DeathsUnder24Hrs],tblDaily[Month],6,tblDaily[WardCode],"NICU")</f>
        <v/>
      </c>
      <c r="C233" s="17">
        <f>SUMIFS(tblDaily[Discharges],tblDaily[Month],6,tblDaily[WardCode],"NICU")</f>
        <v/>
      </c>
      <c r="D233" s="17">
        <f>SUMIFS(tblDaily[Deaths],tblDaily[Month],6,tblDaily[WardCode],"NICU")</f>
        <v/>
      </c>
      <c r="E233" s="17">
        <f>SUMIFS(tblDaily[DeathsUnder24Hrs],tblDaily[Month],6,tblDaily[WardCode],"NICU")</f>
        <v/>
      </c>
      <c r="F233" s="17">
        <f>SUMIFS(tblDaily[TransfersIn],tblDaily[Month],6,tblDaily[WardCode],"NICU")</f>
        <v/>
      </c>
      <c r="G233" s="17">
        <f>SUMIFS(tblDaily[TransfersOut],tblDaily[Month],6,tblDaily[WardCode],"NICU")</f>
        <v/>
      </c>
      <c r="H233" s="17">
        <f>SUMIFS(tblDaily[Remaining],tblDaily[Month],6,tblDaily[WardCode],"NICU")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NEONATAL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4">
        <f>IFERROR(SUMIFS(tblDaily[Remaining],tblDaily[EntryDate],DATE(2026,6,30),tblDaily[WardCode],"NICU"),0)</f>
        <v/>
      </c>
    </row>
    <row r="239">
      <c r="A239" s="4" t="inlineStr">
        <is>
          <t>Bed complement</t>
        </is>
      </c>
      <c r="H239" s="15">
        <f>IFERROR(INDEX(tblWardConfig[BedComplement],MATCH("NICU",tblWardConfig[WardCode],0)),0)</f>
        <v/>
      </c>
    </row>
    <row r="240">
      <c r="A240" s="16" t="inlineStr">
        <is>
          <t>Day of
the
Month</t>
        </is>
      </c>
      <c r="B240" s="16" t="inlineStr">
        <is>
          <t>Admissions</t>
        </is>
      </c>
      <c r="C240" s="16" t="inlineStr">
        <is>
          <t>Discharges</t>
        </is>
      </c>
      <c r="D240" s="16" t="inlineStr">
        <is>
          <t>Deaths</t>
        </is>
      </c>
      <c r="E240" s="16" t="inlineStr">
        <is>
          <t>Deaths
&lt;24Hrs</t>
        </is>
      </c>
      <c r="F240" s="16" t="inlineStr">
        <is>
          <t>Transfers-
In</t>
        </is>
      </c>
      <c r="G240" s="16" t="inlineStr">
        <is>
          <t>Transfers-
Out</t>
        </is>
      </c>
      <c r="H240" s="16" t="inlineStr">
        <is>
          <t>No. of Patients
Remaining In
Ward</t>
        </is>
      </c>
    </row>
    <row r="241">
      <c r="A241" s="12" t="n">
        <v>1</v>
      </c>
      <c r="B241" s="12">
        <f>IFERROR(IF(SUMIFS(tblDaily[Admissions],tblDaily[EntryDate],DATE(2026,7,1),tblDaily[WardCode],"NICU")=0,"",SUMIFS(tblDaily[Admissions],tblDaily[EntryDate],DATE(2026,7,1),tblDaily[WardCode],"NICU")),"")</f>
        <v/>
      </c>
      <c r="C241" s="12">
        <f>IFERROR(IF(SUMIFS(tblDaily[Discharges],tblDaily[EntryDate],DATE(2026,7,1),tblDaily[WardCode],"NICU")=0,"",SUMIFS(tblDaily[Discharges],tblDaily[EntryDate],DATE(2026,7,1),tblDaily[WardCode],"NICU")),"")</f>
        <v/>
      </c>
      <c r="D241" s="12">
        <f>IFERROR(IF(SUMIFS(tblDaily[Deaths],tblDaily[EntryDate],DATE(2026,7,1),tblDaily[WardCode],"NICU")=0,"",SUMIFS(tblDaily[Deaths],tblDaily[EntryDate],DATE(2026,7,1),tblDaily[WardCode],"NICU")),"")</f>
        <v/>
      </c>
      <c r="E241" s="12">
        <f>IFERROR(IF(SUMIFS(tblDaily[DeathsUnder24Hrs],tblDaily[EntryDate],DATE(2026,7,1),tblDaily[WardCode],"NICU")=0,"",SUMIFS(tblDaily[DeathsUnder24Hrs],tblDaily[EntryDate],DATE(2026,7,1),tblDaily[WardCode],"NICU")),"")</f>
        <v/>
      </c>
      <c r="F241" s="12">
        <f>IFERROR(IF(SUMIFS(tblDaily[TransfersIn],tblDaily[EntryDate],DATE(2026,7,1),tblDaily[WardCode],"NICU")=0,"",SUMIFS(tblDaily[TransfersIn],tblDaily[EntryDate],DATE(2026,7,1),tblDaily[WardCode],"NICU")),"")</f>
        <v/>
      </c>
      <c r="G241" s="12">
        <f>IFERROR(IF(SUMIFS(tblDaily[TransfersOut],tblDaily[EntryDate],DATE(2026,7,1),tblDaily[WardCode],"NICU")=0,"",SUMIFS(tblDaily[TransfersOut],tblDaily[EntryDate],DATE(2026,7,1),tblDaily[WardCode],"NICU")),"")</f>
        <v/>
      </c>
      <c r="H241" s="12">
        <f>IFERROR(IF(SUMIFS(tblDaily[Remaining],tblDaily[EntryDate],DATE(2026,7,1),tblDaily[WardCode],"NICU")=0,"",SUMIFS(tblDaily[Remaining],tblDaily[EntryDate],DATE(2026,7,1),tblDaily[WardCode],"NICU")),"")</f>
        <v/>
      </c>
    </row>
    <row r="242">
      <c r="A242" s="12" t="n">
        <v>2</v>
      </c>
      <c r="B242" s="12">
        <f>IFERROR(IF(SUMIFS(tblDaily[Admissions],tblDaily[EntryDate],DATE(2026,7,2),tblDaily[WardCode],"NICU")=0,"",SUMIFS(tblDaily[Admissions],tblDaily[EntryDate],DATE(2026,7,2),tblDaily[WardCode],"NICU")),"")</f>
        <v/>
      </c>
      <c r="C242" s="12">
        <f>IFERROR(IF(SUMIFS(tblDaily[Discharges],tblDaily[EntryDate],DATE(2026,7,2),tblDaily[WardCode],"NICU")=0,"",SUMIFS(tblDaily[Discharges],tblDaily[EntryDate],DATE(2026,7,2),tblDaily[WardCode],"NICU")),"")</f>
        <v/>
      </c>
      <c r="D242" s="12">
        <f>IFERROR(IF(SUMIFS(tblDaily[Deaths],tblDaily[EntryDate],DATE(2026,7,2),tblDaily[WardCode],"NICU")=0,"",SUMIFS(tblDaily[Deaths],tblDaily[EntryDate],DATE(2026,7,2),tblDaily[WardCode],"NICU")),"")</f>
        <v/>
      </c>
      <c r="E242" s="12">
        <f>IFERROR(IF(SUMIFS(tblDaily[DeathsUnder24Hrs],tblDaily[EntryDate],DATE(2026,7,2),tblDaily[WardCode],"NICU")=0,"",SUMIFS(tblDaily[DeathsUnder24Hrs],tblDaily[EntryDate],DATE(2026,7,2),tblDaily[WardCode],"NICU")),"")</f>
        <v/>
      </c>
      <c r="F242" s="12">
        <f>IFERROR(IF(SUMIFS(tblDaily[TransfersIn],tblDaily[EntryDate],DATE(2026,7,2),tblDaily[WardCode],"NICU")=0,"",SUMIFS(tblDaily[TransfersIn],tblDaily[EntryDate],DATE(2026,7,2),tblDaily[WardCode],"NICU")),"")</f>
        <v/>
      </c>
      <c r="G242" s="12">
        <f>IFERROR(IF(SUMIFS(tblDaily[TransfersOut],tblDaily[EntryDate],DATE(2026,7,2),tblDaily[WardCode],"NICU")=0,"",SUMIFS(tblDaily[TransfersOut],tblDaily[EntryDate],DATE(2026,7,2),tblDaily[WardCode],"NICU")),"")</f>
        <v/>
      </c>
      <c r="H242" s="12">
        <f>IFERROR(IF(SUMIFS(tblDaily[Remaining],tblDaily[EntryDate],DATE(2026,7,2),tblDaily[WardCode],"NICU")=0,"",SUMIFS(tblDaily[Remaining],tblDaily[EntryDate],DATE(2026,7,2),tblDaily[WardCode],"NICU")),"")</f>
        <v/>
      </c>
    </row>
    <row r="243">
      <c r="A243" s="12" t="n">
        <v>3</v>
      </c>
      <c r="B243" s="12">
        <f>IFERROR(IF(SUMIFS(tblDaily[Admissions],tblDaily[EntryDate],DATE(2026,7,3),tblDaily[WardCode],"NICU")=0,"",SUMIFS(tblDaily[Admissions],tblDaily[EntryDate],DATE(2026,7,3),tblDaily[WardCode],"NICU")),"")</f>
        <v/>
      </c>
      <c r="C243" s="12">
        <f>IFERROR(IF(SUMIFS(tblDaily[Discharges],tblDaily[EntryDate],DATE(2026,7,3),tblDaily[WardCode],"NICU")=0,"",SUMIFS(tblDaily[Discharges],tblDaily[EntryDate],DATE(2026,7,3),tblDaily[WardCode],"NICU")),"")</f>
        <v/>
      </c>
      <c r="D243" s="12">
        <f>IFERROR(IF(SUMIFS(tblDaily[Deaths],tblDaily[EntryDate],DATE(2026,7,3),tblDaily[WardCode],"NICU")=0,"",SUMIFS(tblDaily[Deaths],tblDaily[EntryDate],DATE(2026,7,3),tblDaily[WardCode],"NICU")),"")</f>
        <v/>
      </c>
      <c r="E243" s="12">
        <f>IFERROR(IF(SUMIFS(tblDaily[DeathsUnder24Hrs],tblDaily[EntryDate],DATE(2026,7,3),tblDaily[WardCode],"NICU")=0,"",SUMIFS(tblDaily[DeathsUnder24Hrs],tblDaily[EntryDate],DATE(2026,7,3),tblDaily[WardCode],"NICU")),"")</f>
        <v/>
      </c>
      <c r="F243" s="12">
        <f>IFERROR(IF(SUMIFS(tblDaily[TransfersIn],tblDaily[EntryDate],DATE(2026,7,3),tblDaily[WardCode],"NICU")=0,"",SUMIFS(tblDaily[TransfersIn],tblDaily[EntryDate],DATE(2026,7,3),tblDaily[WardCode],"NICU")),"")</f>
        <v/>
      </c>
      <c r="G243" s="12">
        <f>IFERROR(IF(SUMIFS(tblDaily[TransfersOut],tblDaily[EntryDate],DATE(2026,7,3),tblDaily[WardCode],"NICU")=0,"",SUMIFS(tblDaily[TransfersOut],tblDaily[EntryDate],DATE(2026,7,3),tblDaily[WardCode],"NICU")),"")</f>
        <v/>
      </c>
      <c r="H243" s="12">
        <f>IFERROR(IF(SUMIFS(tblDaily[Remaining],tblDaily[EntryDate],DATE(2026,7,3),tblDaily[WardCode],"NICU")=0,"",SUMIFS(tblDaily[Remaining],tblDaily[EntryDate],DATE(2026,7,3),tblDaily[WardCode],"NICU")),"")</f>
        <v/>
      </c>
    </row>
    <row r="244">
      <c r="A244" s="12" t="n">
        <v>4</v>
      </c>
      <c r="B244" s="12">
        <f>IFERROR(IF(SUMIFS(tblDaily[Admissions],tblDaily[EntryDate],DATE(2026,7,4),tblDaily[WardCode],"NICU")=0,"",SUMIFS(tblDaily[Admissions],tblDaily[EntryDate],DATE(2026,7,4),tblDaily[WardCode],"NICU")),"")</f>
        <v/>
      </c>
      <c r="C244" s="12">
        <f>IFERROR(IF(SUMIFS(tblDaily[Discharges],tblDaily[EntryDate],DATE(2026,7,4),tblDaily[WardCode],"NICU")=0,"",SUMIFS(tblDaily[Discharges],tblDaily[EntryDate],DATE(2026,7,4),tblDaily[WardCode],"NICU")),"")</f>
        <v/>
      </c>
      <c r="D244" s="12">
        <f>IFERROR(IF(SUMIFS(tblDaily[Deaths],tblDaily[EntryDate],DATE(2026,7,4),tblDaily[WardCode],"NICU")=0,"",SUMIFS(tblDaily[Deaths],tblDaily[EntryDate],DATE(2026,7,4),tblDaily[WardCode],"NICU")),"")</f>
        <v/>
      </c>
      <c r="E244" s="12">
        <f>IFERROR(IF(SUMIFS(tblDaily[DeathsUnder24Hrs],tblDaily[EntryDate],DATE(2026,7,4),tblDaily[WardCode],"NICU")=0,"",SUMIFS(tblDaily[DeathsUnder24Hrs],tblDaily[EntryDate],DATE(2026,7,4),tblDaily[WardCode],"NICU")),"")</f>
        <v/>
      </c>
      <c r="F244" s="12">
        <f>IFERROR(IF(SUMIFS(tblDaily[TransfersIn],tblDaily[EntryDate],DATE(2026,7,4),tblDaily[WardCode],"NICU")=0,"",SUMIFS(tblDaily[TransfersIn],tblDaily[EntryDate],DATE(2026,7,4),tblDaily[WardCode],"NICU")),"")</f>
        <v/>
      </c>
      <c r="G244" s="12">
        <f>IFERROR(IF(SUMIFS(tblDaily[TransfersOut],tblDaily[EntryDate],DATE(2026,7,4),tblDaily[WardCode],"NICU")=0,"",SUMIFS(tblDaily[TransfersOut],tblDaily[EntryDate],DATE(2026,7,4),tblDaily[WardCode],"NICU")),"")</f>
        <v/>
      </c>
      <c r="H244" s="12">
        <f>IFERROR(IF(SUMIFS(tblDaily[Remaining],tblDaily[EntryDate],DATE(2026,7,4),tblDaily[WardCode],"NICU")=0,"",SUMIFS(tblDaily[Remaining],tblDaily[EntryDate],DATE(2026,7,4),tblDaily[WardCode],"NICU")),"")</f>
        <v/>
      </c>
    </row>
    <row r="245">
      <c r="A245" s="12" t="n">
        <v>5</v>
      </c>
      <c r="B245" s="12">
        <f>IFERROR(IF(SUMIFS(tblDaily[Admissions],tblDaily[EntryDate],DATE(2026,7,5),tblDaily[WardCode],"NICU")=0,"",SUMIFS(tblDaily[Admissions],tblDaily[EntryDate],DATE(2026,7,5),tblDaily[WardCode],"NICU")),"")</f>
        <v/>
      </c>
      <c r="C245" s="12">
        <f>IFERROR(IF(SUMIFS(tblDaily[Discharges],tblDaily[EntryDate],DATE(2026,7,5),tblDaily[WardCode],"NICU")=0,"",SUMIFS(tblDaily[Discharges],tblDaily[EntryDate],DATE(2026,7,5),tblDaily[WardCode],"NICU")),"")</f>
        <v/>
      </c>
      <c r="D245" s="12">
        <f>IFERROR(IF(SUMIFS(tblDaily[Deaths],tblDaily[EntryDate],DATE(2026,7,5),tblDaily[WardCode],"NICU")=0,"",SUMIFS(tblDaily[Deaths],tblDaily[EntryDate],DATE(2026,7,5),tblDaily[WardCode],"NICU")),"")</f>
        <v/>
      </c>
      <c r="E245" s="12">
        <f>IFERROR(IF(SUMIFS(tblDaily[DeathsUnder24Hrs],tblDaily[EntryDate],DATE(2026,7,5),tblDaily[WardCode],"NICU")=0,"",SUMIFS(tblDaily[DeathsUnder24Hrs],tblDaily[EntryDate],DATE(2026,7,5),tblDaily[WardCode],"NICU")),"")</f>
        <v/>
      </c>
      <c r="F245" s="12">
        <f>IFERROR(IF(SUMIFS(tblDaily[TransfersIn],tblDaily[EntryDate],DATE(2026,7,5),tblDaily[WardCode],"NICU")=0,"",SUMIFS(tblDaily[TransfersIn],tblDaily[EntryDate],DATE(2026,7,5),tblDaily[WardCode],"NICU")),"")</f>
        <v/>
      </c>
      <c r="G245" s="12">
        <f>IFERROR(IF(SUMIFS(tblDaily[TransfersOut],tblDaily[EntryDate],DATE(2026,7,5),tblDaily[WardCode],"NICU")=0,"",SUMIFS(tblDaily[TransfersOut],tblDaily[EntryDate],DATE(2026,7,5),tblDaily[WardCode],"NICU")),"")</f>
        <v/>
      </c>
      <c r="H245" s="12">
        <f>IFERROR(IF(SUMIFS(tblDaily[Remaining],tblDaily[EntryDate],DATE(2026,7,5),tblDaily[WardCode],"NICU")=0,"",SUMIFS(tblDaily[Remaining],tblDaily[EntryDate],DATE(2026,7,5),tblDaily[WardCode],"NICU")),"")</f>
        <v/>
      </c>
    </row>
    <row r="246">
      <c r="A246" s="12" t="n">
        <v>6</v>
      </c>
      <c r="B246" s="12">
        <f>IFERROR(IF(SUMIFS(tblDaily[Admissions],tblDaily[EntryDate],DATE(2026,7,6),tblDaily[WardCode],"NICU")=0,"",SUMIFS(tblDaily[Admissions],tblDaily[EntryDate],DATE(2026,7,6),tblDaily[WardCode],"NICU")),"")</f>
        <v/>
      </c>
      <c r="C246" s="12">
        <f>IFERROR(IF(SUMIFS(tblDaily[Discharges],tblDaily[EntryDate],DATE(2026,7,6),tblDaily[WardCode],"NICU")=0,"",SUMIFS(tblDaily[Discharges],tblDaily[EntryDate],DATE(2026,7,6),tblDaily[WardCode],"NICU")),"")</f>
        <v/>
      </c>
      <c r="D246" s="12">
        <f>IFERROR(IF(SUMIFS(tblDaily[Deaths],tblDaily[EntryDate],DATE(2026,7,6),tblDaily[WardCode],"NICU")=0,"",SUMIFS(tblDaily[Deaths],tblDaily[EntryDate],DATE(2026,7,6),tblDaily[WardCode],"NICU")),"")</f>
        <v/>
      </c>
      <c r="E246" s="12">
        <f>IFERROR(IF(SUMIFS(tblDaily[DeathsUnder24Hrs],tblDaily[EntryDate],DATE(2026,7,6),tblDaily[WardCode],"NICU")=0,"",SUMIFS(tblDaily[DeathsUnder24Hrs],tblDaily[EntryDate],DATE(2026,7,6),tblDaily[WardCode],"NICU")),"")</f>
        <v/>
      </c>
      <c r="F246" s="12">
        <f>IFERROR(IF(SUMIFS(tblDaily[TransfersIn],tblDaily[EntryDate],DATE(2026,7,6),tblDaily[WardCode],"NICU")=0,"",SUMIFS(tblDaily[TransfersIn],tblDaily[EntryDate],DATE(2026,7,6),tblDaily[WardCode],"NICU")),"")</f>
        <v/>
      </c>
      <c r="G246" s="12">
        <f>IFERROR(IF(SUMIFS(tblDaily[TransfersOut],tblDaily[EntryDate],DATE(2026,7,6),tblDaily[WardCode],"NICU")=0,"",SUMIFS(tblDaily[TransfersOut],tblDaily[EntryDate],DATE(2026,7,6),tblDaily[WardCode],"NICU")),"")</f>
        <v/>
      </c>
      <c r="H246" s="12">
        <f>IFERROR(IF(SUMIFS(tblDaily[Remaining],tblDaily[EntryDate],DATE(2026,7,6),tblDaily[WardCode],"NICU")=0,"",SUMIFS(tblDaily[Remaining],tblDaily[EntryDate],DATE(2026,7,6),tblDaily[WardCode],"NICU")),"")</f>
        <v/>
      </c>
    </row>
    <row r="247">
      <c r="A247" s="12" t="n">
        <v>7</v>
      </c>
      <c r="B247" s="12">
        <f>IFERROR(IF(SUMIFS(tblDaily[Admissions],tblDaily[EntryDate],DATE(2026,7,7),tblDaily[WardCode],"NICU")=0,"",SUMIFS(tblDaily[Admissions],tblDaily[EntryDate],DATE(2026,7,7),tblDaily[WardCode],"NICU")),"")</f>
        <v/>
      </c>
      <c r="C247" s="12">
        <f>IFERROR(IF(SUMIFS(tblDaily[Discharges],tblDaily[EntryDate],DATE(2026,7,7),tblDaily[WardCode],"NICU")=0,"",SUMIFS(tblDaily[Discharges],tblDaily[EntryDate],DATE(2026,7,7),tblDaily[WardCode],"NICU")),"")</f>
        <v/>
      </c>
      <c r="D247" s="12">
        <f>IFERROR(IF(SUMIFS(tblDaily[Deaths],tblDaily[EntryDate],DATE(2026,7,7),tblDaily[WardCode],"NICU")=0,"",SUMIFS(tblDaily[Deaths],tblDaily[EntryDate],DATE(2026,7,7),tblDaily[WardCode],"NICU")),"")</f>
        <v/>
      </c>
      <c r="E247" s="12">
        <f>IFERROR(IF(SUMIFS(tblDaily[DeathsUnder24Hrs],tblDaily[EntryDate],DATE(2026,7,7),tblDaily[WardCode],"NICU")=0,"",SUMIFS(tblDaily[DeathsUnder24Hrs],tblDaily[EntryDate],DATE(2026,7,7),tblDaily[WardCode],"NICU")),"")</f>
        <v/>
      </c>
      <c r="F247" s="12">
        <f>IFERROR(IF(SUMIFS(tblDaily[TransfersIn],tblDaily[EntryDate],DATE(2026,7,7),tblDaily[WardCode],"NICU")=0,"",SUMIFS(tblDaily[TransfersIn],tblDaily[EntryDate],DATE(2026,7,7),tblDaily[WardCode],"NICU")),"")</f>
        <v/>
      </c>
      <c r="G247" s="12">
        <f>IFERROR(IF(SUMIFS(tblDaily[TransfersOut],tblDaily[EntryDate],DATE(2026,7,7),tblDaily[WardCode],"NICU")=0,"",SUMIFS(tblDaily[TransfersOut],tblDaily[EntryDate],DATE(2026,7,7),tblDaily[WardCode],"NICU")),"")</f>
        <v/>
      </c>
      <c r="H247" s="12">
        <f>IFERROR(IF(SUMIFS(tblDaily[Remaining],tblDaily[EntryDate],DATE(2026,7,7),tblDaily[WardCode],"NICU")=0,"",SUMIFS(tblDaily[Remaining],tblDaily[EntryDate],DATE(2026,7,7),tblDaily[WardCode],"NICU")),"")</f>
        <v/>
      </c>
    </row>
    <row r="248">
      <c r="A248" s="12" t="n">
        <v>8</v>
      </c>
      <c r="B248" s="12">
        <f>IFERROR(IF(SUMIFS(tblDaily[Admissions],tblDaily[EntryDate],DATE(2026,7,8),tblDaily[WardCode],"NICU")=0,"",SUMIFS(tblDaily[Admissions],tblDaily[EntryDate],DATE(2026,7,8),tblDaily[WardCode],"NICU")),"")</f>
        <v/>
      </c>
      <c r="C248" s="12">
        <f>IFERROR(IF(SUMIFS(tblDaily[Discharges],tblDaily[EntryDate],DATE(2026,7,8),tblDaily[WardCode],"NICU")=0,"",SUMIFS(tblDaily[Discharges],tblDaily[EntryDate],DATE(2026,7,8),tblDaily[WardCode],"NICU")),"")</f>
        <v/>
      </c>
      <c r="D248" s="12">
        <f>IFERROR(IF(SUMIFS(tblDaily[Deaths],tblDaily[EntryDate],DATE(2026,7,8),tblDaily[WardCode],"NICU")=0,"",SUMIFS(tblDaily[Deaths],tblDaily[EntryDate],DATE(2026,7,8),tblDaily[WardCode],"NICU")),"")</f>
        <v/>
      </c>
      <c r="E248" s="12">
        <f>IFERROR(IF(SUMIFS(tblDaily[DeathsUnder24Hrs],tblDaily[EntryDate],DATE(2026,7,8),tblDaily[WardCode],"NICU")=0,"",SUMIFS(tblDaily[DeathsUnder24Hrs],tblDaily[EntryDate],DATE(2026,7,8),tblDaily[WardCode],"NICU")),"")</f>
        <v/>
      </c>
      <c r="F248" s="12">
        <f>IFERROR(IF(SUMIFS(tblDaily[TransfersIn],tblDaily[EntryDate],DATE(2026,7,8),tblDaily[WardCode],"NICU")=0,"",SUMIFS(tblDaily[TransfersIn],tblDaily[EntryDate],DATE(2026,7,8),tblDaily[WardCode],"NICU")),"")</f>
        <v/>
      </c>
      <c r="G248" s="12">
        <f>IFERROR(IF(SUMIFS(tblDaily[TransfersOut],tblDaily[EntryDate],DATE(2026,7,8),tblDaily[WardCode],"NICU")=0,"",SUMIFS(tblDaily[TransfersOut],tblDaily[EntryDate],DATE(2026,7,8),tblDaily[WardCode],"NICU")),"")</f>
        <v/>
      </c>
      <c r="H248" s="12">
        <f>IFERROR(IF(SUMIFS(tblDaily[Remaining],tblDaily[EntryDate],DATE(2026,7,8),tblDaily[WardCode],"NICU")=0,"",SUMIFS(tblDaily[Remaining],tblDaily[EntryDate],DATE(2026,7,8),tblDaily[WardCode],"NICU")),"")</f>
        <v/>
      </c>
    </row>
    <row r="249">
      <c r="A249" s="12" t="n">
        <v>9</v>
      </c>
      <c r="B249" s="12">
        <f>IFERROR(IF(SUMIFS(tblDaily[Admissions],tblDaily[EntryDate],DATE(2026,7,9),tblDaily[WardCode],"NICU")=0,"",SUMIFS(tblDaily[Admissions],tblDaily[EntryDate],DATE(2026,7,9),tblDaily[WardCode],"NICU")),"")</f>
        <v/>
      </c>
      <c r="C249" s="12">
        <f>IFERROR(IF(SUMIFS(tblDaily[Discharges],tblDaily[EntryDate],DATE(2026,7,9),tblDaily[WardCode],"NICU")=0,"",SUMIFS(tblDaily[Discharges],tblDaily[EntryDate],DATE(2026,7,9),tblDaily[WardCode],"NICU")),"")</f>
        <v/>
      </c>
      <c r="D249" s="12">
        <f>IFERROR(IF(SUMIFS(tblDaily[Deaths],tblDaily[EntryDate],DATE(2026,7,9),tblDaily[WardCode],"NICU")=0,"",SUMIFS(tblDaily[Deaths],tblDaily[EntryDate],DATE(2026,7,9),tblDaily[WardCode],"NICU")),"")</f>
        <v/>
      </c>
      <c r="E249" s="12">
        <f>IFERROR(IF(SUMIFS(tblDaily[DeathsUnder24Hrs],tblDaily[EntryDate],DATE(2026,7,9),tblDaily[WardCode],"NICU")=0,"",SUMIFS(tblDaily[DeathsUnder24Hrs],tblDaily[EntryDate],DATE(2026,7,9),tblDaily[WardCode],"NICU")),"")</f>
        <v/>
      </c>
      <c r="F249" s="12">
        <f>IFERROR(IF(SUMIFS(tblDaily[TransfersIn],tblDaily[EntryDate],DATE(2026,7,9),tblDaily[WardCode],"NICU")=0,"",SUMIFS(tblDaily[TransfersIn],tblDaily[EntryDate],DATE(2026,7,9),tblDaily[WardCode],"NICU")),"")</f>
        <v/>
      </c>
      <c r="G249" s="12">
        <f>IFERROR(IF(SUMIFS(tblDaily[TransfersOut],tblDaily[EntryDate],DATE(2026,7,9),tblDaily[WardCode],"NICU")=0,"",SUMIFS(tblDaily[TransfersOut],tblDaily[EntryDate],DATE(2026,7,9),tblDaily[WardCode],"NICU")),"")</f>
        <v/>
      </c>
      <c r="H249" s="12">
        <f>IFERROR(IF(SUMIFS(tblDaily[Remaining],tblDaily[EntryDate],DATE(2026,7,9),tblDaily[WardCode],"NICU")=0,"",SUMIFS(tblDaily[Remaining],tblDaily[EntryDate],DATE(2026,7,9),tblDaily[WardCode],"NICU")),"")</f>
        <v/>
      </c>
    </row>
    <row r="250">
      <c r="A250" s="12" t="n">
        <v>10</v>
      </c>
      <c r="B250" s="12">
        <f>IFERROR(IF(SUMIFS(tblDaily[Admissions],tblDaily[EntryDate],DATE(2026,7,10),tblDaily[WardCode],"NICU")=0,"",SUMIFS(tblDaily[Admissions],tblDaily[EntryDate],DATE(2026,7,10),tblDaily[WardCode],"NICU")),"")</f>
        <v/>
      </c>
      <c r="C250" s="12">
        <f>IFERROR(IF(SUMIFS(tblDaily[Discharges],tblDaily[EntryDate],DATE(2026,7,10),tblDaily[WardCode],"NICU")=0,"",SUMIFS(tblDaily[Discharges],tblDaily[EntryDate],DATE(2026,7,10),tblDaily[WardCode],"NICU")),"")</f>
        <v/>
      </c>
      <c r="D250" s="12">
        <f>IFERROR(IF(SUMIFS(tblDaily[Deaths],tblDaily[EntryDate],DATE(2026,7,10),tblDaily[WardCode],"NICU")=0,"",SUMIFS(tblDaily[Deaths],tblDaily[EntryDate],DATE(2026,7,10),tblDaily[WardCode],"NICU")),"")</f>
        <v/>
      </c>
      <c r="E250" s="12">
        <f>IFERROR(IF(SUMIFS(tblDaily[DeathsUnder24Hrs],tblDaily[EntryDate],DATE(2026,7,10),tblDaily[WardCode],"NICU")=0,"",SUMIFS(tblDaily[DeathsUnder24Hrs],tblDaily[EntryDate],DATE(2026,7,10),tblDaily[WardCode],"NICU")),"")</f>
        <v/>
      </c>
      <c r="F250" s="12">
        <f>IFERROR(IF(SUMIFS(tblDaily[TransfersIn],tblDaily[EntryDate],DATE(2026,7,10),tblDaily[WardCode],"NICU")=0,"",SUMIFS(tblDaily[TransfersIn],tblDaily[EntryDate],DATE(2026,7,10),tblDaily[WardCode],"NICU")),"")</f>
        <v/>
      </c>
      <c r="G250" s="12">
        <f>IFERROR(IF(SUMIFS(tblDaily[TransfersOut],tblDaily[EntryDate],DATE(2026,7,10),tblDaily[WardCode],"NICU")=0,"",SUMIFS(tblDaily[TransfersOut],tblDaily[EntryDate],DATE(2026,7,10),tblDaily[WardCode],"NICU")),"")</f>
        <v/>
      </c>
      <c r="H250" s="12">
        <f>IFERROR(IF(SUMIFS(tblDaily[Remaining],tblDaily[EntryDate],DATE(2026,7,10),tblDaily[WardCode],"NICU")=0,"",SUMIFS(tblDaily[Remaining],tblDaily[EntryDate],DATE(2026,7,10),tblDaily[WardCode],"NICU")),"")</f>
        <v/>
      </c>
    </row>
    <row r="251">
      <c r="A251" s="12" t="n">
        <v>11</v>
      </c>
      <c r="B251" s="12">
        <f>IFERROR(IF(SUMIFS(tblDaily[Admissions],tblDaily[EntryDate],DATE(2026,7,11),tblDaily[WardCode],"NICU")=0,"",SUMIFS(tblDaily[Admissions],tblDaily[EntryDate],DATE(2026,7,11),tblDaily[WardCode],"NICU")),"")</f>
        <v/>
      </c>
      <c r="C251" s="12">
        <f>IFERROR(IF(SUMIFS(tblDaily[Discharges],tblDaily[EntryDate],DATE(2026,7,11),tblDaily[WardCode],"NICU")=0,"",SUMIFS(tblDaily[Discharges],tblDaily[EntryDate],DATE(2026,7,11),tblDaily[WardCode],"NICU")),"")</f>
        <v/>
      </c>
      <c r="D251" s="12">
        <f>IFERROR(IF(SUMIFS(tblDaily[Deaths],tblDaily[EntryDate],DATE(2026,7,11),tblDaily[WardCode],"NICU")=0,"",SUMIFS(tblDaily[Deaths],tblDaily[EntryDate],DATE(2026,7,11),tblDaily[WardCode],"NICU")),"")</f>
        <v/>
      </c>
      <c r="E251" s="12">
        <f>IFERROR(IF(SUMIFS(tblDaily[DeathsUnder24Hrs],tblDaily[EntryDate],DATE(2026,7,11),tblDaily[WardCode],"NICU")=0,"",SUMIFS(tblDaily[DeathsUnder24Hrs],tblDaily[EntryDate],DATE(2026,7,11),tblDaily[WardCode],"NICU")),"")</f>
        <v/>
      </c>
      <c r="F251" s="12">
        <f>IFERROR(IF(SUMIFS(tblDaily[TransfersIn],tblDaily[EntryDate],DATE(2026,7,11),tblDaily[WardCode],"NICU")=0,"",SUMIFS(tblDaily[TransfersIn],tblDaily[EntryDate],DATE(2026,7,11),tblDaily[WardCode],"NICU")),"")</f>
        <v/>
      </c>
      <c r="G251" s="12">
        <f>IFERROR(IF(SUMIFS(tblDaily[TransfersOut],tblDaily[EntryDate],DATE(2026,7,11),tblDaily[WardCode],"NICU")=0,"",SUMIFS(tblDaily[TransfersOut],tblDaily[EntryDate],DATE(2026,7,11),tblDaily[WardCode],"NICU")),"")</f>
        <v/>
      </c>
      <c r="H251" s="12">
        <f>IFERROR(IF(SUMIFS(tblDaily[Remaining],tblDaily[EntryDate],DATE(2026,7,11),tblDaily[WardCode],"NICU")=0,"",SUMIFS(tblDaily[Remaining],tblDaily[EntryDate],DATE(2026,7,11),tblDaily[WardCode],"NICU")),"")</f>
        <v/>
      </c>
    </row>
    <row r="252">
      <c r="A252" s="12" t="n">
        <v>12</v>
      </c>
      <c r="B252" s="12">
        <f>IFERROR(IF(SUMIFS(tblDaily[Admissions],tblDaily[EntryDate],DATE(2026,7,12),tblDaily[WardCode],"NICU")=0,"",SUMIFS(tblDaily[Admissions],tblDaily[EntryDate],DATE(2026,7,12),tblDaily[WardCode],"NICU")),"")</f>
        <v/>
      </c>
      <c r="C252" s="12">
        <f>IFERROR(IF(SUMIFS(tblDaily[Discharges],tblDaily[EntryDate],DATE(2026,7,12),tblDaily[WardCode],"NICU")=0,"",SUMIFS(tblDaily[Discharges],tblDaily[EntryDate],DATE(2026,7,12),tblDaily[WardCode],"NICU")),"")</f>
        <v/>
      </c>
      <c r="D252" s="12">
        <f>IFERROR(IF(SUMIFS(tblDaily[Deaths],tblDaily[EntryDate],DATE(2026,7,12),tblDaily[WardCode],"NICU")=0,"",SUMIFS(tblDaily[Deaths],tblDaily[EntryDate],DATE(2026,7,12),tblDaily[WardCode],"NICU")),"")</f>
        <v/>
      </c>
      <c r="E252" s="12">
        <f>IFERROR(IF(SUMIFS(tblDaily[DeathsUnder24Hrs],tblDaily[EntryDate],DATE(2026,7,12),tblDaily[WardCode],"NICU")=0,"",SUMIFS(tblDaily[DeathsUnder24Hrs],tblDaily[EntryDate],DATE(2026,7,12),tblDaily[WardCode],"NICU")),"")</f>
        <v/>
      </c>
      <c r="F252" s="12">
        <f>IFERROR(IF(SUMIFS(tblDaily[TransfersIn],tblDaily[EntryDate],DATE(2026,7,12),tblDaily[WardCode],"NICU")=0,"",SUMIFS(tblDaily[TransfersIn],tblDaily[EntryDate],DATE(2026,7,12),tblDaily[WardCode],"NICU")),"")</f>
        <v/>
      </c>
      <c r="G252" s="12">
        <f>IFERROR(IF(SUMIFS(tblDaily[TransfersOut],tblDaily[EntryDate],DATE(2026,7,12),tblDaily[WardCode],"NICU")=0,"",SUMIFS(tblDaily[TransfersOut],tblDaily[EntryDate],DATE(2026,7,12),tblDaily[WardCode],"NICU")),"")</f>
        <v/>
      </c>
      <c r="H252" s="12">
        <f>IFERROR(IF(SUMIFS(tblDaily[Remaining],tblDaily[EntryDate],DATE(2026,7,12),tblDaily[WardCode],"NICU")=0,"",SUMIFS(tblDaily[Remaining],tblDaily[EntryDate],DATE(2026,7,12),tblDaily[WardCode],"NICU")),"")</f>
        <v/>
      </c>
    </row>
    <row r="253">
      <c r="A253" s="12" t="n">
        <v>13</v>
      </c>
      <c r="B253" s="12">
        <f>IFERROR(IF(SUMIFS(tblDaily[Admissions],tblDaily[EntryDate],DATE(2026,7,13),tblDaily[WardCode],"NICU")=0,"",SUMIFS(tblDaily[Admissions],tblDaily[EntryDate],DATE(2026,7,13),tblDaily[WardCode],"NICU")),"")</f>
        <v/>
      </c>
      <c r="C253" s="12">
        <f>IFERROR(IF(SUMIFS(tblDaily[Discharges],tblDaily[EntryDate],DATE(2026,7,13),tblDaily[WardCode],"NICU")=0,"",SUMIFS(tblDaily[Discharges],tblDaily[EntryDate],DATE(2026,7,13),tblDaily[WardCode],"NICU")),"")</f>
        <v/>
      </c>
      <c r="D253" s="12">
        <f>IFERROR(IF(SUMIFS(tblDaily[Deaths],tblDaily[EntryDate],DATE(2026,7,13),tblDaily[WardCode],"NICU")=0,"",SUMIFS(tblDaily[Deaths],tblDaily[EntryDate],DATE(2026,7,13),tblDaily[WardCode],"NICU")),"")</f>
        <v/>
      </c>
      <c r="E253" s="12">
        <f>IFERROR(IF(SUMIFS(tblDaily[DeathsUnder24Hrs],tblDaily[EntryDate],DATE(2026,7,13),tblDaily[WardCode],"NICU")=0,"",SUMIFS(tblDaily[DeathsUnder24Hrs],tblDaily[EntryDate],DATE(2026,7,13),tblDaily[WardCode],"NICU")),"")</f>
        <v/>
      </c>
      <c r="F253" s="12">
        <f>IFERROR(IF(SUMIFS(tblDaily[TransfersIn],tblDaily[EntryDate],DATE(2026,7,13),tblDaily[WardCode],"NICU")=0,"",SUMIFS(tblDaily[TransfersIn],tblDaily[EntryDate],DATE(2026,7,13),tblDaily[WardCode],"NICU")),"")</f>
        <v/>
      </c>
      <c r="G253" s="12">
        <f>IFERROR(IF(SUMIFS(tblDaily[TransfersOut],tblDaily[EntryDate],DATE(2026,7,13),tblDaily[WardCode],"NICU")=0,"",SUMIFS(tblDaily[TransfersOut],tblDaily[EntryDate],DATE(2026,7,13),tblDaily[WardCode],"NICU")),"")</f>
        <v/>
      </c>
      <c r="H253" s="12">
        <f>IFERROR(IF(SUMIFS(tblDaily[Remaining],tblDaily[EntryDate],DATE(2026,7,13),tblDaily[WardCode],"NICU")=0,"",SUMIFS(tblDaily[Remaining],tblDaily[EntryDate],DATE(2026,7,13),tblDaily[WardCode],"NICU")),"")</f>
        <v/>
      </c>
    </row>
    <row r="254">
      <c r="A254" s="12" t="n">
        <v>14</v>
      </c>
      <c r="B254" s="12">
        <f>IFERROR(IF(SUMIFS(tblDaily[Admissions],tblDaily[EntryDate],DATE(2026,7,14),tblDaily[WardCode],"NICU")=0,"",SUMIFS(tblDaily[Admissions],tblDaily[EntryDate],DATE(2026,7,14),tblDaily[WardCode],"NICU")),"")</f>
        <v/>
      </c>
      <c r="C254" s="12">
        <f>IFERROR(IF(SUMIFS(tblDaily[Discharges],tblDaily[EntryDate],DATE(2026,7,14),tblDaily[WardCode],"NICU")=0,"",SUMIFS(tblDaily[Discharges],tblDaily[EntryDate],DATE(2026,7,14),tblDaily[WardCode],"NICU")),"")</f>
        <v/>
      </c>
      <c r="D254" s="12">
        <f>IFERROR(IF(SUMIFS(tblDaily[Deaths],tblDaily[EntryDate],DATE(2026,7,14),tblDaily[WardCode],"NICU")=0,"",SUMIFS(tblDaily[Deaths],tblDaily[EntryDate],DATE(2026,7,14),tblDaily[WardCode],"NICU")),"")</f>
        <v/>
      </c>
      <c r="E254" s="12">
        <f>IFERROR(IF(SUMIFS(tblDaily[DeathsUnder24Hrs],tblDaily[EntryDate],DATE(2026,7,14),tblDaily[WardCode],"NICU")=0,"",SUMIFS(tblDaily[DeathsUnder24Hrs],tblDaily[EntryDate],DATE(2026,7,14),tblDaily[WardCode],"NICU")),"")</f>
        <v/>
      </c>
      <c r="F254" s="12">
        <f>IFERROR(IF(SUMIFS(tblDaily[TransfersIn],tblDaily[EntryDate],DATE(2026,7,14),tblDaily[WardCode],"NICU")=0,"",SUMIFS(tblDaily[TransfersIn],tblDaily[EntryDate],DATE(2026,7,14),tblDaily[WardCode],"NICU")),"")</f>
        <v/>
      </c>
      <c r="G254" s="12">
        <f>IFERROR(IF(SUMIFS(tblDaily[TransfersOut],tblDaily[EntryDate],DATE(2026,7,14),tblDaily[WardCode],"NICU")=0,"",SUMIFS(tblDaily[TransfersOut],tblDaily[EntryDate],DATE(2026,7,14),tblDaily[WardCode],"NICU")),"")</f>
        <v/>
      </c>
      <c r="H254" s="12">
        <f>IFERROR(IF(SUMIFS(tblDaily[Remaining],tblDaily[EntryDate],DATE(2026,7,14),tblDaily[WardCode],"NICU")=0,"",SUMIFS(tblDaily[Remaining],tblDaily[EntryDate],DATE(2026,7,14),tblDaily[WardCode],"NICU")),"")</f>
        <v/>
      </c>
    </row>
    <row r="255">
      <c r="A255" s="12" t="n">
        <v>15</v>
      </c>
      <c r="B255" s="12">
        <f>IFERROR(IF(SUMIFS(tblDaily[Admissions],tblDaily[EntryDate],DATE(2026,7,15),tblDaily[WardCode],"NICU")=0,"",SUMIFS(tblDaily[Admissions],tblDaily[EntryDate],DATE(2026,7,15),tblDaily[WardCode],"NICU")),"")</f>
        <v/>
      </c>
      <c r="C255" s="12">
        <f>IFERROR(IF(SUMIFS(tblDaily[Discharges],tblDaily[EntryDate],DATE(2026,7,15),tblDaily[WardCode],"NICU")=0,"",SUMIFS(tblDaily[Discharges],tblDaily[EntryDate],DATE(2026,7,15),tblDaily[WardCode],"NICU")),"")</f>
        <v/>
      </c>
      <c r="D255" s="12">
        <f>IFERROR(IF(SUMIFS(tblDaily[Deaths],tblDaily[EntryDate],DATE(2026,7,15),tblDaily[WardCode],"NICU")=0,"",SUMIFS(tblDaily[Deaths],tblDaily[EntryDate],DATE(2026,7,15),tblDaily[WardCode],"NICU")),"")</f>
        <v/>
      </c>
      <c r="E255" s="12">
        <f>IFERROR(IF(SUMIFS(tblDaily[DeathsUnder24Hrs],tblDaily[EntryDate],DATE(2026,7,15),tblDaily[WardCode],"NICU")=0,"",SUMIFS(tblDaily[DeathsUnder24Hrs],tblDaily[EntryDate],DATE(2026,7,15),tblDaily[WardCode],"NICU")),"")</f>
        <v/>
      </c>
      <c r="F255" s="12">
        <f>IFERROR(IF(SUMIFS(tblDaily[TransfersIn],tblDaily[EntryDate],DATE(2026,7,15),tblDaily[WardCode],"NICU")=0,"",SUMIFS(tblDaily[TransfersIn],tblDaily[EntryDate],DATE(2026,7,15),tblDaily[WardCode],"NICU")),"")</f>
        <v/>
      </c>
      <c r="G255" s="12">
        <f>IFERROR(IF(SUMIFS(tblDaily[TransfersOut],tblDaily[EntryDate],DATE(2026,7,15),tblDaily[WardCode],"NICU")=0,"",SUMIFS(tblDaily[TransfersOut],tblDaily[EntryDate],DATE(2026,7,15),tblDaily[WardCode],"NICU")),"")</f>
        <v/>
      </c>
      <c r="H255" s="12">
        <f>IFERROR(IF(SUMIFS(tblDaily[Remaining],tblDaily[EntryDate],DATE(2026,7,15),tblDaily[WardCode],"NICU")=0,"",SUMIFS(tblDaily[Remaining],tblDaily[EntryDate],DATE(2026,7,15),tblDaily[WardCode],"NICU")),"")</f>
        <v/>
      </c>
    </row>
    <row r="256">
      <c r="A256" s="12" t="n">
        <v>16</v>
      </c>
      <c r="B256" s="12">
        <f>IFERROR(IF(SUMIFS(tblDaily[Admissions],tblDaily[EntryDate],DATE(2026,7,16),tblDaily[WardCode],"NICU")=0,"",SUMIFS(tblDaily[Admissions],tblDaily[EntryDate],DATE(2026,7,16),tblDaily[WardCode],"NICU")),"")</f>
        <v/>
      </c>
      <c r="C256" s="12">
        <f>IFERROR(IF(SUMIFS(tblDaily[Discharges],tblDaily[EntryDate],DATE(2026,7,16),tblDaily[WardCode],"NICU")=0,"",SUMIFS(tblDaily[Discharges],tblDaily[EntryDate],DATE(2026,7,16),tblDaily[WardCode],"NICU")),"")</f>
        <v/>
      </c>
      <c r="D256" s="12">
        <f>IFERROR(IF(SUMIFS(tblDaily[Deaths],tblDaily[EntryDate],DATE(2026,7,16),tblDaily[WardCode],"NICU")=0,"",SUMIFS(tblDaily[Deaths],tblDaily[EntryDate],DATE(2026,7,16),tblDaily[WardCode],"NICU")),"")</f>
        <v/>
      </c>
      <c r="E256" s="12">
        <f>IFERROR(IF(SUMIFS(tblDaily[DeathsUnder24Hrs],tblDaily[EntryDate],DATE(2026,7,16),tblDaily[WardCode],"NICU")=0,"",SUMIFS(tblDaily[DeathsUnder24Hrs],tblDaily[EntryDate],DATE(2026,7,16),tblDaily[WardCode],"NICU")),"")</f>
        <v/>
      </c>
      <c r="F256" s="12">
        <f>IFERROR(IF(SUMIFS(tblDaily[TransfersIn],tblDaily[EntryDate],DATE(2026,7,16),tblDaily[WardCode],"NICU")=0,"",SUMIFS(tblDaily[TransfersIn],tblDaily[EntryDate],DATE(2026,7,16),tblDaily[WardCode],"NICU")),"")</f>
        <v/>
      </c>
      <c r="G256" s="12">
        <f>IFERROR(IF(SUMIFS(tblDaily[TransfersOut],tblDaily[EntryDate],DATE(2026,7,16),tblDaily[WardCode],"NICU")=0,"",SUMIFS(tblDaily[TransfersOut],tblDaily[EntryDate],DATE(2026,7,16),tblDaily[WardCode],"NICU")),"")</f>
        <v/>
      </c>
      <c r="H256" s="12">
        <f>IFERROR(IF(SUMIFS(tblDaily[Remaining],tblDaily[EntryDate],DATE(2026,7,16),tblDaily[WardCode],"NICU")=0,"",SUMIFS(tblDaily[Remaining],tblDaily[EntryDate],DATE(2026,7,16),tblDaily[WardCode],"NICU")),"")</f>
        <v/>
      </c>
    </row>
    <row r="257">
      <c r="A257" s="12" t="n">
        <v>17</v>
      </c>
      <c r="B257" s="12">
        <f>IFERROR(IF(SUMIFS(tblDaily[Admissions],tblDaily[EntryDate],DATE(2026,7,17),tblDaily[WardCode],"NICU")=0,"",SUMIFS(tblDaily[Admissions],tblDaily[EntryDate],DATE(2026,7,17),tblDaily[WardCode],"NICU")),"")</f>
        <v/>
      </c>
      <c r="C257" s="12">
        <f>IFERROR(IF(SUMIFS(tblDaily[Discharges],tblDaily[EntryDate],DATE(2026,7,17),tblDaily[WardCode],"NICU")=0,"",SUMIFS(tblDaily[Discharges],tblDaily[EntryDate],DATE(2026,7,17),tblDaily[WardCode],"NICU")),"")</f>
        <v/>
      </c>
      <c r="D257" s="12">
        <f>IFERROR(IF(SUMIFS(tblDaily[Deaths],tblDaily[EntryDate],DATE(2026,7,17),tblDaily[WardCode],"NICU")=0,"",SUMIFS(tblDaily[Deaths],tblDaily[EntryDate],DATE(2026,7,17),tblDaily[WardCode],"NICU")),"")</f>
        <v/>
      </c>
      <c r="E257" s="12">
        <f>IFERROR(IF(SUMIFS(tblDaily[DeathsUnder24Hrs],tblDaily[EntryDate],DATE(2026,7,17),tblDaily[WardCode],"NICU")=0,"",SUMIFS(tblDaily[DeathsUnder24Hrs],tblDaily[EntryDate],DATE(2026,7,17),tblDaily[WardCode],"NICU")),"")</f>
        <v/>
      </c>
      <c r="F257" s="12">
        <f>IFERROR(IF(SUMIFS(tblDaily[TransfersIn],tblDaily[EntryDate],DATE(2026,7,17),tblDaily[WardCode],"NICU")=0,"",SUMIFS(tblDaily[TransfersIn],tblDaily[EntryDate],DATE(2026,7,17),tblDaily[WardCode],"NICU")),"")</f>
        <v/>
      </c>
      <c r="G257" s="12">
        <f>IFERROR(IF(SUMIFS(tblDaily[TransfersOut],tblDaily[EntryDate],DATE(2026,7,17),tblDaily[WardCode],"NICU")=0,"",SUMIFS(tblDaily[TransfersOut],tblDaily[EntryDate],DATE(2026,7,17),tblDaily[WardCode],"NICU")),"")</f>
        <v/>
      </c>
      <c r="H257" s="12">
        <f>IFERROR(IF(SUMIFS(tblDaily[Remaining],tblDaily[EntryDate],DATE(2026,7,17),tblDaily[WardCode],"NICU")=0,"",SUMIFS(tblDaily[Remaining],tblDaily[EntryDate],DATE(2026,7,17),tblDaily[WardCode],"NICU")),"")</f>
        <v/>
      </c>
    </row>
    <row r="258">
      <c r="A258" s="12" t="n">
        <v>18</v>
      </c>
      <c r="B258" s="12">
        <f>IFERROR(IF(SUMIFS(tblDaily[Admissions],tblDaily[EntryDate],DATE(2026,7,18),tblDaily[WardCode],"NICU")=0,"",SUMIFS(tblDaily[Admissions],tblDaily[EntryDate],DATE(2026,7,18),tblDaily[WardCode],"NICU")),"")</f>
        <v/>
      </c>
      <c r="C258" s="12">
        <f>IFERROR(IF(SUMIFS(tblDaily[Discharges],tblDaily[EntryDate],DATE(2026,7,18),tblDaily[WardCode],"NICU")=0,"",SUMIFS(tblDaily[Discharges],tblDaily[EntryDate],DATE(2026,7,18),tblDaily[WardCode],"NICU")),"")</f>
        <v/>
      </c>
      <c r="D258" s="12">
        <f>IFERROR(IF(SUMIFS(tblDaily[Deaths],tblDaily[EntryDate],DATE(2026,7,18),tblDaily[WardCode],"NICU")=0,"",SUMIFS(tblDaily[Deaths],tblDaily[EntryDate],DATE(2026,7,18),tblDaily[WardCode],"NICU")),"")</f>
        <v/>
      </c>
      <c r="E258" s="12">
        <f>IFERROR(IF(SUMIFS(tblDaily[DeathsUnder24Hrs],tblDaily[EntryDate],DATE(2026,7,18),tblDaily[WardCode],"NICU")=0,"",SUMIFS(tblDaily[DeathsUnder24Hrs],tblDaily[EntryDate],DATE(2026,7,18),tblDaily[WardCode],"NICU")),"")</f>
        <v/>
      </c>
      <c r="F258" s="12">
        <f>IFERROR(IF(SUMIFS(tblDaily[TransfersIn],tblDaily[EntryDate],DATE(2026,7,18),tblDaily[WardCode],"NICU")=0,"",SUMIFS(tblDaily[TransfersIn],tblDaily[EntryDate],DATE(2026,7,18),tblDaily[WardCode],"NICU")),"")</f>
        <v/>
      </c>
      <c r="G258" s="12">
        <f>IFERROR(IF(SUMIFS(tblDaily[TransfersOut],tblDaily[EntryDate],DATE(2026,7,18),tblDaily[WardCode],"NICU")=0,"",SUMIFS(tblDaily[TransfersOut],tblDaily[EntryDate],DATE(2026,7,18),tblDaily[WardCode],"NICU")),"")</f>
        <v/>
      </c>
      <c r="H258" s="12">
        <f>IFERROR(IF(SUMIFS(tblDaily[Remaining],tblDaily[EntryDate],DATE(2026,7,18),tblDaily[WardCode],"NICU")=0,"",SUMIFS(tblDaily[Remaining],tblDaily[EntryDate],DATE(2026,7,18),tblDaily[WardCode],"NICU")),"")</f>
        <v/>
      </c>
    </row>
    <row r="259">
      <c r="A259" s="12" t="n">
        <v>19</v>
      </c>
      <c r="B259" s="12">
        <f>IFERROR(IF(SUMIFS(tblDaily[Admissions],tblDaily[EntryDate],DATE(2026,7,19),tblDaily[WardCode],"NICU")=0,"",SUMIFS(tblDaily[Admissions],tblDaily[EntryDate],DATE(2026,7,19),tblDaily[WardCode],"NICU")),"")</f>
        <v/>
      </c>
      <c r="C259" s="12">
        <f>IFERROR(IF(SUMIFS(tblDaily[Discharges],tblDaily[EntryDate],DATE(2026,7,19),tblDaily[WardCode],"NICU")=0,"",SUMIFS(tblDaily[Discharges],tblDaily[EntryDate],DATE(2026,7,19),tblDaily[WardCode],"NICU")),"")</f>
        <v/>
      </c>
      <c r="D259" s="12">
        <f>IFERROR(IF(SUMIFS(tblDaily[Deaths],tblDaily[EntryDate],DATE(2026,7,19),tblDaily[WardCode],"NICU")=0,"",SUMIFS(tblDaily[Deaths],tblDaily[EntryDate],DATE(2026,7,19),tblDaily[WardCode],"NICU")),"")</f>
        <v/>
      </c>
      <c r="E259" s="12">
        <f>IFERROR(IF(SUMIFS(tblDaily[DeathsUnder24Hrs],tblDaily[EntryDate],DATE(2026,7,19),tblDaily[WardCode],"NICU")=0,"",SUMIFS(tblDaily[DeathsUnder24Hrs],tblDaily[EntryDate],DATE(2026,7,19),tblDaily[WardCode],"NICU")),"")</f>
        <v/>
      </c>
      <c r="F259" s="12">
        <f>IFERROR(IF(SUMIFS(tblDaily[TransfersIn],tblDaily[EntryDate],DATE(2026,7,19),tblDaily[WardCode],"NICU")=0,"",SUMIFS(tblDaily[TransfersIn],tblDaily[EntryDate],DATE(2026,7,19),tblDaily[WardCode],"NICU")),"")</f>
        <v/>
      </c>
      <c r="G259" s="12">
        <f>IFERROR(IF(SUMIFS(tblDaily[TransfersOut],tblDaily[EntryDate],DATE(2026,7,19),tblDaily[WardCode],"NICU")=0,"",SUMIFS(tblDaily[TransfersOut],tblDaily[EntryDate],DATE(2026,7,19),tblDaily[WardCode],"NICU")),"")</f>
        <v/>
      </c>
      <c r="H259" s="12">
        <f>IFERROR(IF(SUMIFS(tblDaily[Remaining],tblDaily[EntryDate],DATE(2026,7,19),tblDaily[WardCode],"NICU")=0,"",SUMIFS(tblDaily[Remaining],tblDaily[EntryDate],DATE(2026,7,19),tblDaily[WardCode],"NICU")),"")</f>
        <v/>
      </c>
    </row>
    <row r="260">
      <c r="A260" s="12" t="n">
        <v>20</v>
      </c>
      <c r="B260" s="12">
        <f>IFERROR(IF(SUMIFS(tblDaily[Admissions],tblDaily[EntryDate],DATE(2026,7,20),tblDaily[WardCode],"NICU")=0,"",SUMIFS(tblDaily[Admissions],tblDaily[EntryDate],DATE(2026,7,20),tblDaily[WardCode],"NICU")),"")</f>
        <v/>
      </c>
      <c r="C260" s="12">
        <f>IFERROR(IF(SUMIFS(tblDaily[Discharges],tblDaily[EntryDate],DATE(2026,7,20),tblDaily[WardCode],"NICU")=0,"",SUMIFS(tblDaily[Discharges],tblDaily[EntryDate],DATE(2026,7,20),tblDaily[WardCode],"NICU")),"")</f>
        <v/>
      </c>
      <c r="D260" s="12">
        <f>IFERROR(IF(SUMIFS(tblDaily[Deaths],tblDaily[EntryDate],DATE(2026,7,20),tblDaily[WardCode],"NICU")=0,"",SUMIFS(tblDaily[Deaths],tblDaily[EntryDate],DATE(2026,7,20),tblDaily[WardCode],"NICU")),"")</f>
        <v/>
      </c>
      <c r="E260" s="12">
        <f>IFERROR(IF(SUMIFS(tblDaily[DeathsUnder24Hrs],tblDaily[EntryDate],DATE(2026,7,20),tblDaily[WardCode],"NICU")=0,"",SUMIFS(tblDaily[DeathsUnder24Hrs],tblDaily[EntryDate],DATE(2026,7,20),tblDaily[WardCode],"NICU")),"")</f>
        <v/>
      </c>
      <c r="F260" s="12">
        <f>IFERROR(IF(SUMIFS(tblDaily[TransfersIn],tblDaily[EntryDate],DATE(2026,7,20),tblDaily[WardCode],"NICU")=0,"",SUMIFS(tblDaily[TransfersIn],tblDaily[EntryDate],DATE(2026,7,20),tblDaily[WardCode],"NICU")),"")</f>
        <v/>
      </c>
      <c r="G260" s="12">
        <f>IFERROR(IF(SUMIFS(tblDaily[TransfersOut],tblDaily[EntryDate],DATE(2026,7,20),tblDaily[WardCode],"NICU")=0,"",SUMIFS(tblDaily[TransfersOut],tblDaily[EntryDate],DATE(2026,7,20),tblDaily[WardCode],"NICU")),"")</f>
        <v/>
      </c>
      <c r="H260" s="12">
        <f>IFERROR(IF(SUMIFS(tblDaily[Remaining],tblDaily[EntryDate],DATE(2026,7,20),tblDaily[WardCode],"NICU")=0,"",SUMIFS(tblDaily[Remaining],tblDaily[EntryDate],DATE(2026,7,20),tblDaily[WardCode],"NICU")),"")</f>
        <v/>
      </c>
    </row>
    <row r="261">
      <c r="A261" s="12" t="n">
        <v>21</v>
      </c>
      <c r="B261" s="12">
        <f>IFERROR(IF(SUMIFS(tblDaily[Admissions],tblDaily[EntryDate],DATE(2026,7,21),tblDaily[WardCode],"NICU")=0,"",SUMIFS(tblDaily[Admissions],tblDaily[EntryDate],DATE(2026,7,21),tblDaily[WardCode],"NICU")),"")</f>
        <v/>
      </c>
      <c r="C261" s="12">
        <f>IFERROR(IF(SUMIFS(tblDaily[Discharges],tblDaily[EntryDate],DATE(2026,7,21),tblDaily[WardCode],"NICU")=0,"",SUMIFS(tblDaily[Discharges],tblDaily[EntryDate],DATE(2026,7,21),tblDaily[WardCode],"NICU")),"")</f>
        <v/>
      </c>
      <c r="D261" s="12">
        <f>IFERROR(IF(SUMIFS(tblDaily[Deaths],tblDaily[EntryDate],DATE(2026,7,21),tblDaily[WardCode],"NICU")=0,"",SUMIFS(tblDaily[Deaths],tblDaily[EntryDate],DATE(2026,7,21),tblDaily[WardCode],"NICU")),"")</f>
        <v/>
      </c>
      <c r="E261" s="12">
        <f>IFERROR(IF(SUMIFS(tblDaily[DeathsUnder24Hrs],tblDaily[EntryDate],DATE(2026,7,21),tblDaily[WardCode],"NICU")=0,"",SUMIFS(tblDaily[DeathsUnder24Hrs],tblDaily[EntryDate],DATE(2026,7,21),tblDaily[WardCode],"NICU")),"")</f>
        <v/>
      </c>
      <c r="F261" s="12">
        <f>IFERROR(IF(SUMIFS(tblDaily[TransfersIn],tblDaily[EntryDate],DATE(2026,7,21),tblDaily[WardCode],"NICU")=0,"",SUMIFS(tblDaily[TransfersIn],tblDaily[EntryDate],DATE(2026,7,21),tblDaily[WardCode],"NICU")),"")</f>
        <v/>
      </c>
      <c r="G261" s="12">
        <f>IFERROR(IF(SUMIFS(tblDaily[TransfersOut],tblDaily[EntryDate],DATE(2026,7,21),tblDaily[WardCode],"NICU")=0,"",SUMIFS(tblDaily[TransfersOut],tblDaily[EntryDate],DATE(2026,7,21),tblDaily[WardCode],"NICU")),"")</f>
        <v/>
      </c>
      <c r="H261" s="12">
        <f>IFERROR(IF(SUMIFS(tblDaily[Remaining],tblDaily[EntryDate],DATE(2026,7,21),tblDaily[WardCode],"NICU")=0,"",SUMIFS(tblDaily[Remaining],tblDaily[EntryDate],DATE(2026,7,21),tblDaily[WardCode],"NICU")),"")</f>
        <v/>
      </c>
    </row>
    <row r="262">
      <c r="A262" s="12" t="n">
        <v>22</v>
      </c>
      <c r="B262" s="12">
        <f>IFERROR(IF(SUMIFS(tblDaily[Admissions],tblDaily[EntryDate],DATE(2026,7,22),tblDaily[WardCode],"NICU")=0,"",SUMIFS(tblDaily[Admissions],tblDaily[EntryDate],DATE(2026,7,22),tblDaily[WardCode],"NICU")),"")</f>
        <v/>
      </c>
      <c r="C262" s="12">
        <f>IFERROR(IF(SUMIFS(tblDaily[Discharges],tblDaily[EntryDate],DATE(2026,7,22),tblDaily[WardCode],"NICU")=0,"",SUMIFS(tblDaily[Discharges],tblDaily[EntryDate],DATE(2026,7,22),tblDaily[WardCode],"NICU")),"")</f>
        <v/>
      </c>
      <c r="D262" s="12">
        <f>IFERROR(IF(SUMIFS(tblDaily[Deaths],tblDaily[EntryDate],DATE(2026,7,22),tblDaily[WardCode],"NICU")=0,"",SUMIFS(tblDaily[Deaths],tblDaily[EntryDate],DATE(2026,7,22),tblDaily[WardCode],"NICU")),"")</f>
        <v/>
      </c>
      <c r="E262" s="12">
        <f>IFERROR(IF(SUMIFS(tblDaily[DeathsUnder24Hrs],tblDaily[EntryDate],DATE(2026,7,22),tblDaily[WardCode],"NICU")=0,"",SUMIFS(tblDaily[DeathsUnder24Hrs],tblDaily[EntryDate],DATE(2026,7,22),tblDaily[WardCode],"NICU")),"")</f>
        <v/>
      </c>
      <c r="F262" s="12">
        <f>IFERROR(IF(SUMIFS(tblDaily[TransfersIn],tblDaily[EntryDate],DATE(2026,7,22),tblDaily[WardCode],"NICU")=0,"",SUMIFS(tblDaily[TransfersIn],tblDaily[EntryDate],DATE(2026,7,22),tblDaily[WardCode],"NICU")),"")</f>
        <v/>
      </c>
      <c r="G262" s="12">
        <f>IFERROR(IF(SUMIFS(tblDaily[TransfersOut],tblDaily[EntryDate],DATE(2026,7,22),tblDaily[WardCode],"NICU")=0,"",SUMIFS(tblDaily[TransfersOut],tblDaily[EntryDate],DATE(2026,7,22),tblDaily[WardCode],"NICU")),"")</f>
        <v/>
      </c>
      <c r="H262" s="12">
        <f>IFERROR(IF(SUMIFS(tblDaily[Remaining],tblDaily[EntryDate],DATE(2026,7,22),tblDaily[WardCode],"NICU")=0,"",SUMIFS(tblDaily[Remaining],tblDaily[EntryDate],DATE(2026,7,22),tblDaily[WardCode],"NICU")),"")</f>
        <v/>
      </c>
    </row>
    <row r="263">
      <c r="A263" s="12" t="n">
        <v>23</v>
      </c>
      <c r="B263" s="12">
        <f>IFERROR(IF(SUMIFS(tblDaily[Admissions],tblDaily[EntryDate],DATE(2026,7,23),tblDaily[WardCode],"NICU")=0,"",SUMIFS(tblDaily[Admissions],tblDaily[EntryDate],DATE(2026,7,23),tblDaily[WardCode],"NICU")),"")</f>
        <v/>
      </c>
      <c r="C263" s="12">
        <f>IFERROR(IF(SUMIFS(tblDaily[Discharges],tblDaily[EntryDate],DATE(2026,7,23),tblDaily[WardCode],"NICU")=0,"",SUMIFS(tblDaily[Discharges],tblDaily[EntryDate],DATE(2026,7,23),tblDaily[WardCode],"NICU")),"")</f>
        <v/>
      </c>
      <c r="D263" s="12">
        <f>IFERROR(IF(SUMIFS(tblDaily[Deaths],tblDaily[EntryDate],DATE(2026,7,23),tblDaily[WardCode],"NICU")=0,"",SUMIFS(tblDaily[Deaths],tblDaily[EntryDate],DATE(2026,7,23),tblDaily[WardCode],"NICU")),"")</f>
        <v/>
      </c>
      <c r="E263" s="12">
        <f>IFERROR(IF(SUMIFS(tblDaily[DeathsUnder24Hrs],tblDaily[EntryDate],DATE(2026,7,23),tblDaily[WardCode],"NICU")=0,"",SUMIFS(tblDaily[DeathsUnder24Hrs],tblDaily[EntryDate],DATE(2026,7,23),tblDaily[WardCode],"NICU")),"")</f>
        <v/>
      </c>
      <c r="F263" s="12">
        <f>IFERROR(IF(SUMIFS(tblDaily[TransfersIn],tblDaily[EntryDate],DATE(2026,7,23),tblDaily[WardCode],"NICU")=0,"",SUMIFS(tblDaily[TransfersIn],tblDaily[EntryDate],DATE(2026,7,23),tblDaily[WardCode],"NICU")),"")</f>
        <v/>
      </c>
      <c r="G263" s="12">
        <f>IFERROR(IF(SUMIFS(tblDaily[TransfersOut],tblDaily[EntryDate],DATE(2026,7,23),tblDaily[WardCode],"NICU")=0,"",SUMIFS(tblDaily[TransfersOut],tblDaily[EntryDate],DATE(2026,7,23),tblDaily[WardCode],"NICU")),"")</f>
        <v/>
      </c>
      <c r="H263" s="12">
        <f>IFERROR(IF(SUMIFS(tblDaily[Remaining],tblDaily[EntryDate],DATE(2026,7,23),tblDaily[WardCode],"NICU")=0,"",SUMIFS(tblDaily[Remaining],tblDaily[EntryDate],DATE(2026,7,23),tblDaily[WardCode],"NICU")),"")</f>
        <v/>
      </c>
    </row>
    <row r="264">
      <c r="A264" s="12" t="n">
        <v>24</v>
      </c>
      <c r="B264" s="12">
        <f>IFERROR(IF(SUMIFS(tblDaily[Admissions],tblDaily[EntryDate],DATE(2026,7,24),tblDaily[WardCode],"NICU")=0,"",SUMIFS(tblDaily[Admissions],tblDaily[EntryDate],DATE(2026,7,24),tblDaily[WardCode],"NICU")),"")</f>
        <v/>
      </c>
      <c r="C264" s="12">
        <f>IFERROR(IF(SUMIFS(tblDaily[Discharges],tblDaily[EntryDate],DATE(2026,7,24),tblDaily[WardCode],"NICU")=0,"",SUMIFS(tblDaily[Discharges],tblDaily[EntryDate],DATE(2026,7,24),tblDaily[WardCode],"NICU")),"")</f>
        <v/>
      </c>
      <c r="D264" s="12">
        <f>IFERROR(IF(SUMIFS(tblDaily[Deaths],tblDaily[EntryDate],DATE(2026,7,24),tblDaily[WardCode],"NICU")=0,"",SUMIFS(tblDaily[Deaths],tblDaily[EntryDate],DATE(2026,7,24),tblDaily[WardCode],"NICU")),"")</f>
        <v/>
      </c>
      <c r="E264" s="12">
        <f>IFERROR(IF(SUMIFS(tblDaily[DeathsUnder24Hrs],tblDaily[EntryDate],DATE(2026,7,24),tblDaily[WardCode],"NICU")=0,"",SUMIFS(tblDaily[DeathsUnder24Hrs],tblDaily[EntryDate],DATE(2026,7,24),tblDaily[WardCode],"NICU")),"")</f>
        <v/>
      </c>
      <c r="F264" s="12">
        <f>IFERROR(IF(SUMIFS(tblDaily[TransfersIn],tblDaily[EntryDate],DATE(2026,7,24),tblDaily[WardCode],"NICU")=0,"",SUMIFS(tblDaily[TransfersIn],tblDaily[EntryDate],DATE(2026,7,24),tblDaily[WardCode],"NICU")),"")</f>
        <v/>
      </c>
      <c r="G264" s="12">
        <f>IFERROR(IF(SUMIFS(tblDaily[TransfersOut],tblDaily[EntryDate],DATE(2026,7,24),tblDaily[WardCode],"NICU")=0,"",SUMIFS(tblDaily[TransfersOut],tblDaily[EntryDate],DATE(2026,7,24),tblDaily[WardCode],"NICU")),"")</f>
        <v/>
      </c>
      <c r="H264" s="12">
        <f>IFERROR(IF(SUMIFS(tblDaily[Remaining],tblDaily[EntryDate],DATE(2026,7,24),tblDaily[WardCode],"NICU")=0,"",SUMIFS(tblDaily[Remaining],tblDaily[EntryDate],DATE(2026,7,24),tblDaily[WardCode],"NICU")),"")</f>
        <v/>
      </c>
    </row>
    <row r="265">
      <c r="A265" s="12" t="n">
        <v>25</v>
      </c>
      <c r="B265" s="12">
        <f>IFERROR(IF(SUMIFS(tblDaily[Admissions],tblDaily[EntryDate],DATE(2026,7,25),tblDaily[WardCode],"NICU")=0,"",SUMIFS(tblDaily[Admissions],tblDaily[EntryDate],DATE(2026,7,25),tblDaily[WardCode],"NICU")),"")</f>
        <v/>
      </c>
      <c r="C265" s="12">
        <f>IFERROR(IF(SUMIFS(tblDaily[Discharges],tblDaily[EntryDate],DATE(2026,7,25),tblDaily[WardCode],"NICU")=0,"",SUMIFS(tblDaily[Discharges],tblDaily[EntryDate],DATE(2026,7,25),tblDaily[WardCode],"NICU")),"")</f>
        <v/>
      </c>
      <c r="D265" s="12">
        <f>IFERROR(IF(SUMIFS(tblDaily[Deaths],tblDaily[EntryDate],DATE(2026,7,25),tblDaily[WardCode],"NICU")=0,"",SUMIFS(tblDaily[Deaths],tblDaily[EntryDate],DATE(2026,7,25),tblDaily[WardCode],"NICU")),"")</f>
        <v/>
      </c>
      <c r="E265" s="12">
        <f>IFERROR(IF(SUMIFS(tblDaily[DeathsUnder24Hrs],tblDaily[EntryDate],DATE(2026,7,25),tblDaily[WardCode],"NICU")=0,"",SUMIFS(tblDaily[DeathsUnder24Hrs],tblDaily[EntryDate],DATE(2026,7,25),tblDaily[WardCode],"NICU")),"")</f>
        <v/>
      </c>
      <c r="F265" s="12">
        <f>IFERROR(IF(SUMIFS(tblDaily[TransfersIn],tblDaily[EntryDate],DATE(2026,7,25),tblDaily[WardCode],"NICU")=0,"",SUMIFS(tblDaily[TransfersIn],tblDaily[EntryDate],DATE(2026,7,25),tblDaily[WardCode],"NICU")),"")</f>
        <v/>
      </c>
      <c r="G265" s="12">
        <f>IFERROR(IF(SUMIFS(tblDaily[TransfersOut],tblDaily[EntryDate],DATE(2026,7,25),tblDaily[WardCode],"NICU")=0,"",SUMIFS(tblDaily[TransfersOut],tblDaily[EntryDate],DATE(2026,7,25),tblDaily[WardCode],"NICU")),"")</f>
        <v/>
      </c>
      <c r="H265" s="12">
        <f>IFERROR(IF(SUMIFS(tblDaily[Remaining],tblDaily[EntryDate],DATE(2026,7,25),tblDaily[WardCode],"NICU")=0,"",SUMIFS(tblDaily[Remaining],tblDaily[EntryDate],DATE(2026,7,25),tblDaily[WardCode],"NICU")),"")</f>
        <v/>
      </c>
    </row>
    <row r="266">
      <c r="A266" s="12" t="n">
        <v>26</v>
      </c>
      <c r="B266" s="12">
        <f>IFERROR(IF(SUMIFS(tblDaily[Admissions],tblDaily[EntryDate],DATE(2026,7,26),tblDaily[WardCode],"NICU")=0,"",SUMIFS(tblDaily[Admissions],tblDaily[EntryDate],DATE(2026,7,26),tblDaily[WardCode],"NICU")),"")</f>
        <v/>
      </c>
      <c r="C266" s="12">
        <f>IFERROR(IF(SUMIFS(tblDaily[Discharges],tblDaily[EntryDate],DATE(2026,7,26),tblDaily[WardCode],"NICU")=0,"",SUMIFS(tblDaily[Discharges],tblDaily[EntryDate],DATE(2026,7,26),tblDaily[WardCode],"NICU")),"")</f>
        <v/>
      </c>
      <c r="D266" s="12">
        <f>IFERROR(IF(SUMIFS(tblDaily[Deaths],tblDaily[EntryDate],DATE(2026,7,26),tblDaily[WardCode],"NICU")=0,"",SUMIFS(tblDaily[Deaths],tblDaily[EntryDate],DATE(2026,7,26),tblDaily[WardCode],"NICU")),"")</f>
        <v/>
      </c>
      <c r="E266" s="12">
        <f>IFERROR(IF(SUMIFS(tblDaily[DeathsUnder24Hrs],tblDaily[EntryDate],DATE(2026,7,26),tblDaily[WardCode],"NICU")=0,"",SUMIFS(tblDaily[DeathsUnder24Hrs],tblDaily[EntryDate],DATE(2026,7,26),tblDaily[WardCode],"NICU")),"")</f>
        <v/>
      </c>
      <c r="F266" s="12">
        <f>IFERROR(IF(SUMIFS(tblDaily[TransfersIn],tblDaily[EntryDate],DATE(2026,7,26),tblDaily[WardCode],"NICU")=0,"",SUMIFS(tblDaily[TransfersIn],tblDaily[EntryDate],DATE(2026,7,26),tblDaily[WardCode],"NICU")),"")</f>
        <v/>
      </c>
      <c r="G266" s="12">
        <f>IFERROR(IF(SUMIFS(tblDaily[TransfersOut],tblDaily[EntryDate],DATE(2026,7,26),tblDaily[WardCode],"NICU")=0,"",SUMIFS(tblDaily[TransfersOut],tblDaily[EntryDate],DATE(2026,7,26),tblDaily[WardCode],"NICU")),"")</f>
        <v/>
      </c>
      <c r="H266" s="12">
        <f>IFERROR(IF(SUMIFS(tblDaily[Remaining],tblDaily[EntryDate],DATE(2026,7,26),tblDaily[WardCode],"NICU")=0,"",SUMIFS(tblDaily[Remaining],tblDaily[EntryDate],DATE(2026,7,26),tblDaily[WardCode],"NICU")),"")</f>
        <v/>
      </c>
    </row>
    <row r="267">
      <c r="A267" s="12" t="n">
        <v>27</v>
      </c>
      <c r="B267" s="12">
        <f>IFERROR(IF(SUMIFS(tblDaily[Admissions],tblDaily[EntryDate],DATE(2026,7,27),tblDaily[WardCode],"NICU")=0,"",SUMIFS(tblDaily[Admissions],tblDaily[EntryDate],DATE(2026,7,27),tblDaily[WardCode],"NICU")),"")</f>
        <v/>
      </c>
      <c r="C267" s="12">
        <f>IFERROR(IF(SUMIFS(tblDaily[Discharges],tblDaily[EntryDate],DATE(2026,7,27),tblDaily[WardCode],"NICU")=0,"",SUMIFS(tblDaily[Discharges],tblDaily[EntryDate],DATE(2026,7,27),tblDaily[WardCode],"NICU")),"")</f>
        <v/>
      </c>
      <c r="D267" s="12">
        <f>IFERROR(IF(SUMIFS(tblDaily[Deaths],tblDaily[EntryDate],DATE(2026,7,27),tblDaily[WardCode],"NICU")=0,"",SUMIFS(tblDaily[Deaths],tblDaily[EntryDate],DATE(2026,7,27),tblDaily[WardCode],"NICU")),"")</f>
        <v/>
      </c>
      <c r="E267" s="12">
        <f>IFERROR(IF(SUMIFS(tblDaily[DeathsUnder24Hrs],tblDaily[EntryDate],DATE(2026,7,27),tblDaily[WardCode],"NICU")=0,"",SUMIFS(tblDaily[DeathsUnder24Hrs],tblDaily[EntryDate],DATE(2026,7,27),tblDaily[WardCode],"NICU")),"")</f>
        <v/>
      </c>
      <c r="F267" s="12">
        <f>IFERROR(IF(SUMIFS(tblDaily[TransfersIn],tblDaily[EntryDate],DATE(2026,7,27),tblDaily[WardCode],"NICU")=0,"",SUMIFS(tblDaily[TransfersIn],tblDaily[EntryDate],DATE(2026,7,27),tblDaily[WardCode],"NICU")),"")</f>
        <v/>
      </c>
      <c r="G267" s="12">
        <f>IFERROR(IF(SUMIFS(tblDaily[TransfersOut],tblDaily[EntryDate],DATE(2026,7,27),tblDaily[WardCode],"NICU")=0,"",SUMIFS(tblDaily[TransfersOut],tblDaily[EntryDate],DATE(2026,7,27),tblDaily[WardCode],"NICU")),"")</f>
        <v/>
      </c>
      <c r="H267" s="12">
        <f>IFERROR(IF(SUMIFS(tblDaily[Remaining],tblDaily[EntryDate],DATE(2026,7,27),tblDaily[WardCode],"NICU")=0,"",SUMIFS(tblDaily[Remaining],tblDaily[EntryDate],DATE(2026,7,27),tblDaily[WardCode],"NICU")),"")</f>
        <v/>
      </c>
    </row>
    <row r="268">
      <c r="A268" s="12" t="n">
        <v>28</v>
      </c>
      <c r="B268" s="12">
        <f>IFERROR(IF(SUMIFS(tblDaily[Admissions],tblDaily[EntryDate],DATE(2026,7,28),tblDaily[WardCode],"NICU")=0,"",SUMIFS(tblDaily[Admissions],tblDaily[EntryDate],DATE(2026,7,28),tblDaily[WardCode],"NICU")),"")</f>
        <v/>
      </c>
      <c r="C268" s="12">
        <f>IFERROR(IF(SUMIFS(tblDaily[Discharges],tblDaily[EntryDate],DATE(2026,7,28),tblDaily[WardCode],"NICU")=0,"",SUMIFS(tblDaily[Discharges],tblDaily[EntryDate],DATE(2026,7,28),tblDaily[WardCode],"NICU")),"")</f>
        <v/>
      </c>
      <c r="D268" s="12">
        <f>IFERROR(IF(SUMIFS(tblDaily[Deaths],tblDaily[EntryDate],DATE(2026,7,28),tblDaily[WardCode],"NICU")=0,"",SUMIFS(tblDaily[Deaths],tblDaily[EntryDate],DATE(2026,7,28),tblDaily[WardCode],"NICU")),"")</f>
        <v/>
      </c>
      <c r="E268" s="12">
        <f>IFERROR(IF(SUMIFS(tblDaily[DeathsUnder24Hrs],tblDaily[EntryDate],DATE(2026,7,28),tblDaily[WardCode],"NICU")=0,"",SUMIFS(tblDaily[DeathsUnder24Hrs],tblDaily[EntryDate],DATE(2026,7,28),tblDaily[WardCode],"NICU")),"")</f>
        <v/>
      </c>
      <c r="F268" s="12">
        <f>IFERROR(IF(SUMIFS(tblDaily[TransfersIn],tblDaily[EntryDate],DATE(2026,7,28),tblDaily[WardCode],"NICU")=0,"",SUMIFS(tblDaily[TransfersIn],tblDaily[EntryDate],DATE(2026,7,28),tblDaily[WardCode],"NICU")),"")</f>
        <v/>
      </c>
      <c r="G268" s="12">
        <f>IFERROR(IF(SUMIFS(tblDaily[TransfersOut],tblDaily[EntryDate],DATE(2026,7,28),tblDaily[WardCode],"NICU")=0,"",SUMIFS(tblDaily[TransfersOut],tblDaily[EntryDate],DATE(2026,7,28),tblDaily[WardCode],"NICU")),"")</f>
        <v/>
      </c>
      <c r="H268" s="12">
        <f>IFERROR(IF(SUMIFS(tblDaily[Remaining],tblDaily[EntryDate],DATE(2026,7,28),tblDaily[WardCode],"NICU")=0,"",SUMIFS(tblDaily[Remaining],tblDaily[EntryDate],DATE(2026,7,28),tblDaily[WardCode],"NICU")),"")</f>
        <v/>
      </c>
    </row>
    <row r="269">
      <c r="A269" s="12" t="n">
        <v>29</v>
      </c>
      <c r="B269" s="12">
        <f>IFERROR(IF(SUMIFS(tblDaily[Admissions],tblDaily[EntryDate],DATE(2026,7,29),tblDaily[WardCode],"NICU")=0,"",SUMIFS(tblDaily[Admissions],tblDaily[EntryDate],DATE(2026,7,29),tblDaily[WardCode],"NICU")),"")</f>
        <v/>
      </c>
      <c r="C269" s="12">
        <f>IFERROR(IF(SUMIFS(tblDaily[Discharges],tblDaily[EntryDate],DATE(2026,7,29),tblDaily[WardCode],"NICU")=0,"",SUMIFS(tblDaily[Discharges],tblDaily[EntryDate],DATE(2026,7,29),tblDaily[WardCode],"NICU")),"")</f>
        <v/>
      </c>
      <c r="D269" s="12">
        <f>IFERROR(IF(SUMIFS(tblDaily[Deaths],tblDaily[EntryDate],DATE(2026,7,29),tblDaily[WardCode],"NICU")=0,"",SUMIFS(tblDaily[Deaths],tblDaily[EntryDate],DATE(2026,7,29),tblDaily[WardCode],"NICU")),"")</f>
        <v/>
      </c>
      <c r="E269" s="12">
        <f>IFERROR(IF(SUMIFS(tblDaily[DeathsUnder24Hrs],tblDaily[EntryDate],DATE(2026,7,29),tblDaily[WardCode],"NICU")=0,"",SUMIFS(tblDaily[DeathsUnder24Hrs],tblDaily[EntryDate],DATE(2026,7,29),tblDaily[WardCode],"NICU")),"")</f>
        <v/>
      </c>
      <c r="F269" s="12">
        <f>IFERROR(IF(SUMIFS(tblDaily[TransfersIn],tblDaily[EntryDate],DATE(2026,7,29),tblDaily[WardCode],"NICU")=0,"",SUMIFS(tblDaily[TransfersIn],tblDaily[EntryDate],DATE(2026,7,29),tblDaily[WardCode],"NICU")),"")</f>
        <v/>
      </c>
      <c r="G269" s="12">
        <f>IFERROR(IF(SUMIFS(tblDaily[TransfersOut],tblDaily[EntryDate],DATE(2026,7,29),tblDaily[WardCode],"NICU")=0,"",SUMIFS(tblDaily[TransfersOut],tblDaily[EntryDate],DATE(2026,7,29),tblDaily[WardCode],"NICU")),"")</f>
        <v/>
      </c>
      <c r="H269" s="12">
        <f>IFERROR(IF(SUMIFS(tblDaily[Remaining],tblDaily[EntryDate],DATE(2026,7,29),tblDaily[WardCode],"NICU")=0,"",SUMIFS(tblDaily[Remaining],tblDaily[EntryDate],DATE(2026,7,29),tblDaily[WardCode],"NICU")),"")</f>
        <v/>
      </c>
    </row>
    <row r="270">
      <c r="A270" s="12" t="n">
        <v>30</v>
      </c>
      <c r="B270" s="12">
        <f>IFERROR(IF(SUMIFS(tblDaily[Admissions],tblDaily[EntryDate],DATE(2026,7,30),tblDaily[WardCode],"NICU")=0,"",SUMIFS(tblDaily[Admissions],tblDaily[EntryDate],DATE(2026,7,30),tblDaily[WardCode],"NICU")),"")</f>
        <v/>
      </c>
      <c r="C270" s="12">
        <f>IFERROR(IF(SUMIFS(tblDaily[Discharges],tblDaily[EntryDate],DATE(2026,7,30),tblDaily[WardCode],"NICU")=0,"",SUMIFS(tblDaily[Discharges],tblDaily[EntryDate],DATE(2026,7,30),tblDaily[WardCode],"NICU")),"")</f>
        <v/>
      </c>
      <c r="D270" s="12">
        <f>IFERROR(IF(SUMIFS(tblDaily[Deaths],tblDaily[EntryDate],DATE(2026,7,30),tblDaily[WardCode],"NICU")=0,"",SUMIFS(tblDaily[Deaths],tblDaily[EntryDate],DATE(2026,7,30),tblDaily[WardCode],"NICU")),"")</f>
        <v/>
      </c>
      <c r="E270" s="12">
        <f>IFERROR(IF(SUMIFS(tblDaily[DeathsUnder24Hrs],tblDaily[EntryDate],DATE(2026,7,30),tblDaily[WardCode],"NICU")=0,"",SUMIFS(tblDaily[DeathsUnder24Hrs],tblDaily[EntryDate],DATE(2026,7,30),tblDaily[WardCode],"NICU")),"")</f>
        <v/>
      </c>
      <c r="F270" s="12">
        <f>IFERROR(IF(SUMIFS(tblDaily[TransfersIn],tblDaily[EntryDate],DATE(2026,7,30),tblDaily[WardCode],"NICU")=0,"",SUMIFS(tblDaily[TransfersIn],tblDaily[EntryDate],DATE(2026,7,30),tblDaily[WardCode],"NICU")),"")</f>
        <v/>
      </c>
      <c r="G270" s="12">
        <f>IFERROR(IF(SUMIFS(tblDaily[TransfersOut],tblDaily[EntryDate],DATE(2026,7,30),tblDaily[WardCode],"NICU")=0,"",SUMIFS(tblDaily[TransfersOut],tblDaily[EntryDate],DATE(2026,7,30),tblDaily[WardCode],"NICU")),"")</f>
        <v/>
      </c>
      <c r="H270" s="12">
        <f>IFERROR(IF(SUMIFS(tblDaily[Remaining],tblDaily[EntryDate],DATE(2026,7,30),tblDaily[WardCode],"NICU")=0,"",SUMIFS(tblDaily[Remaining],tblDaily[EntryDate],DATE(2026,7,30),tblDaily[WardCode],"NICU")),"")</f>
        <v/>
      </c>
    </row>
    <row r="271">
      <c r="A271" s="12" t="n">
        <v>31</v>
      </c>
      <c r="B271" s="12">
        <f>IFERROR(IF(SUMIFS(tblDaily[Admissions],tblDaily[EntryDate],DATE(2026,7,31),tblDaily[WardCode],"NICU")=0,"",SUMIFS(tblDaily[Admissions],tblDaily[EntryDate],DATE(2026,7,31),tblDaily[WardCode],"NICU")),"")</f>
        <v/>
      </c>
      <c r="C271" s="12">
        <f>IFERROR(IF(SUMIFS(tblDaily[Discharges],tblDaily[EntryDate],DATE(2026,7,31),tblDaily[WardCode],"NICU")=0,"",SUMIFS(tblDaily[Discharges],tblDaily[EntryDate],DATE(2026,7,31),tblDaily[WardCode],"NICU")),"")</f>
        <v/>
      </c>
      <c r="D271" s="12">
        <f>IFERROR(IF(SUMIFS(tblDaily[Deaths],tblDaily[EntryDate],DATE(2026,7,31),tblDaily[WardCode],"NICU")=0,"",SUMIFS(tblDaily[Deaths],tblDaily[EntryDate],DATE(2026,7,31),tblDaily[WardCode],"NICU")),"")</f>
        <v/>
      </c>
      <c r="E271" s="12">
        <f>IFERROR(IF(SUMIFS(tblDaily[DeathsUnder24Hrs],tblDaily[EntryDate],DATE(2026,7,31),tblDaily[WardCode],"NICU")=0,"",SUMIFS(tblDaily[DeathsUnder24Hrs],tblDaily[EntryDate],DATE(2026,7,31),tblDaily[WardCode],"NICU")),"")</f>
        <v/>
      </c>
      <c r="F271" s="12">
        <f>IFERROR(IF(SUMIFS(tblDaily[TransfersIn],tblDaily[EntryDate],DATE(2026,7,31),tblDaily[WardCode],"NICU")=0,"",SUMIFS(tblDaily[TransfersIn],tblDaily[EntryDate],DATE(2026,7,31),tblDaily[WardCode],"NICU")),"")</f>
        <v/>
      </c>
      <c r="G271" s="12">
        <f>IFERROR(IF(SUMIFS(tblDaily[TransfersOut],tblDaily[EntryDate],DATE(2026,7,31),tblDaily[WardCode],"NICU")=0,"",SUMIFS(tblDaily[TransfersOut],tblDaily[EntryDate],DATE(2026,7,31),tblDaily[WardCode],"NICU")),"")</f>
        <v/>
      </c>
      <c r="H271" s="12">
        <f>IFERROR(IF(SUMIFS(tblDaily[Remaining],tblDaily[EntryDate],DATE(2026,7,31),tblDaily[WardCode],"NICU")=0,"",SUMIFS(tblDaily[Remaining],tblDaily[EntryDate],DATE(2026,7,31),tblDaily[WardCode],"NICU")),"")</f>
        <v/>
      </c>
    </row>
    <row r="272">
      <c r="A272" s="17" t="inlineStr">
        <is>
          <t>TOTAL</t>
        </is>
      </c>
      <c r="B272" s="17">
        <f>SUMIFS(tblDaily[Admissions],tblDaily[Month],7,tblDaily[WardCode],"NICU") - SUMIFS(tblDaily[DeathsUnder24Hrs],tblDaily[Month],7,tblDaily[WardCode],"NICU")</f>
        <v/>
      </c>
      <c r="C272" s="17">
        <f>SUMIFS(tblDaily[Discharges],tblDaily[Month],7,tblDaily[WardCode],"NICU")</f>
        <v/>
      </c>
      <c r="D272" s="17">
        <f>SUMIFS(tblDaily[Deaths],tblDaily[Month],7,tblDaily[WardCode],"NICU")</f>
        <v/>
      </c>
      <c r="E272" s="17">
        <f>SUMIFS(tblDaily[DeathsUnder24Hrs],tblDaily[Month],7,tblDaily[WardCode],"NICU")</f>
        <v/>
      </c>
      <c r="F272" s="17">
        <f>SUMIFS(tblDaily[TransfersIn],tblDaily[Month],7,tblDaily[WardCode],"NICU")</f>
        <v/>
      </c>
      <c r="G272" s="17">
        <f>SUMIFS(tblDaily[TransfersOut],tblDaily[Month],7,tblDaily[WardCode],"NICU")</f>
        <v/>
      </c>
      <c r="H272" s="17">
        <f>SUMIFS(tblDaily[Remaining],tblDaily[Month],7,tblDaily[WardCode],"NICU")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NEONATAL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4">
        <f>IFERROR(SUMIFS(tblDaily[Remaining],tblDaily[EntryDate],DATE(2026,7,31),tblDaily[WardCode],"NICU"),0)</f>
        <v/>
      </c>
    </row>
    <row r="278">
      <c r="A278" s="4" t="inlineStr">
        <is>
          <t>Bed complement</t>
        </is>
      </c>
      <c r="H278" s="15">
        <f>IFERROR(INDEX(tblWardConfig[BedComplement],MATCH("NICU",tblWardConfig[WardCode],0)),0)</f>
        <v/>
      </c>
    </row>
    <row r="279">
      <c r="A279" s="16" t="inlineStr">
        <is>
          <t>Day of
the
Month</t>
        </is>
      </c>
      <c r="B279" s="16" t="inlineStr">
        <is>
          <t>Admissions</t>
        </is>
      </c>
      <c r="C279" s="16" t="inlineStr">
        <is>
          <t>Discharges</t>
        </is>
      </c>
      <c r="D279" s="16" t="inlineStr">
        <is>
          <t>Deaths</t>
        </is>
      </c>
      <c r="E279" s="16" t="inlineStr">
        <is>
          <t>Deaths
&lt;24Hrs</t>
        </is>
      </c>
      <c r="F279" s="16" t="inlineStr">
        <is>
          <t>Transfers-
In</t>
        </is>
      </c>
      <c r="G279" s="16" t="inlineStr">
        <is>
          <t>Transfers-
Out</t>
        </is>
      </c>
      <c r="H279" s="16" t="inlineStr">
        <is>
          <t>No. of Patients
Remaining In
Ward</t>
        </is>
      </c>
    </row>
    <row r="280">
      <c r="A280" s="12" t="n">
        <v>1</v>
      </c>
      <c r="B280" s="12">
        <f>IFERROR(IF(SUMIFS(tblDaily[Admissions],tblDaily[EntryDate],DATE(2026,8,1),tblDaily[WardCode],"NICU")=0,"",SUMIFS(tblDaily[Admissions],tblDaily[EntryDate],DATE(2026,8,1),tblDaily[WardCode],"NICU")),"")</f>
        <v/>
      </c>
      <c r="C280" s="12">
        <f>IFERROR(IF(SUMIFS(tblDaily[Discharges],tblDaily[EntryDate],DATE(2026,8,1),tblDaily[WardCode],"NICU")=0,"",SUMIFS(tblDaily[Discharges],tblDaily[EntryDate],DATE(2026,8,1),tblDaily[WardCode],"NICU")),"")</f>
        <v/>
      </c>
      <c r="D280" s="12">
        <f>IFERROR(IF(SUMIFS(tblDaily[Deaths],tblDaily[EntryDate],DATE(2026,8,1),tblDaily[WardCode],"NICU")=0,"",SUMIFS(tblDaily[Deaths],tblDaily[EntryDate],DATE(2026,8,1),tblDaily[WardCode],"NICU")),"")</f>
        <v/>
      </c>
      <c r="E280" s="12">
        <f>IFERROR(IF(SUMIFS(tblDaily[DeathsUnder24Hrs],tblDaily[EntryDate],DATE(2026,8,1),tblDaily[WardCode],"NICU")=0,"",SUMIFS(tblDaily[DeathsUnder24Hrs],tblDaily[EntryDate],DATE(2026,8,1),tblDaily[WardCode],"NICU")),"")</f>
        <v/>
      </c>
      <c r="F280" s="12">
        <f>IFERROR(IF(SUMIFS(tblDaily[TransfersIn],tblDaily[EntryDate],DATE(2026,8,1),tblDaily[WardCode],"NICU")=0,"",SUMIFS(tblDaily[TransfersIn],tblDaily[EntryDate],DATE(2026,8,1),tblDaily[WardCode],"NICU")),"")</f>
        <v/>
      </c>
      <c r="G280" s="12">
        <f>IFERROR(IF(SUMIFS(tblDaily[TransfersOut],tblDaily[EntryDate],DATE(2026,8,1),tblDaily[WardCode],"NICU")=0,"",SUMIFS(tblDaily[TransfersOut],tblDaily[EntryDate],DATE(2026,8,1),tblDaily[WardCode],"NICU")),"")</f>
        <v/>
      </c>
      <c r="H280" s="12">
        <f>IFERROR(IF(SUMIFS(tblDaily[Remaining],tblDaily[EntryDate],DATE(2026,8,1),tblDaily[WardCode],"NICU")=0,"",SUMIFS(tblDaily[Remaining],tblDaily[EntryDate],DATE(2026,8,1),tblDaily[WardCode],"NICU")),"")</f>
        <v/>
      </c>
    </row>
    <row r="281">
      <c r="A281" s="12" t="n">
        <v>2</v>
      </c>
      <c r="B281" s="12">
        <f>IFERROR(IF(SUMIFS(tblDaily[Admissions],tblDaily[EntryDate],DATE(2026,8,2),tblDaily[WardCode],"NICU")=0,"",SUMIFS(tblDaily[Admissions],tblDaily[EntryDate],DATE(2026,8,2),tblDaily[WardCode],"NICU")),"")</f>
        <v/>
      </c>
      <c r="C281" s="12">
        <f>IFERROR(IF(SUMIFS(tblDaily[Discharges],tblDaily[EntryDate],DATE(2026,8,2),tblDaily[WardCode],"NICU")=0,"",SUMIFS(tblDaily[Discharges],tblDaily[EntryDate],DATE(2026,8,2),tblDaily[WardCode],"NICU")),"")</f>
        <v/>
      </c>
      <c r="D281" s="12">
        <f>IFERROR(IF(SUMIFS(tblDaily[Deaths],tblDaily[EntryDate],DATE(2026,8,2),tblDaily[WardCode],"NICU")=0,"",SUMIFS(tblDaily[Deaths],tblDaily[EntryDate],DATE(2026,8,2),tblDaily[WardCode],"NICU")),"")</f>
        <v/>
      </c>
      <c r="E281" s="12">
        <f>IFERROR(IF(SUMIFS(tblDaily[DeathsUnder24Hrs],tblDaily[EntryDate],DATE(2026,8,2),tblDaily[WardCode],"NICU")=0,"",SUMIFS(tblDaily[DeathsUnder24Hrs],tblDaily[EntryDate],DATE(2026,8,2),tblDaily[WardCode],"NICU")),"")</f>
        <v/>
      </c>
      <c r="F281" s="12">
        <f>IFERROR(IF(SUMIFS(tblDaily[TransfersIn],tblDaily[EntryDate],DATE(2026,8,2),tblDaily[WardCode],"NICU")=0,"",SUMIFS(tblDaily[TransfersIn],tblDaily[EntryDate],DATE(2026,8,2),tblDaily[WardCode],"NICU")),"")</f>
        <v/>
      </c>
      <c r="G281" s="12">
        <f>IFERROR(IF(SUMIFS(tblDaily[TransfersOut],tblDaily[EntryDate],DATE(2026,8,2),tblDaily[WardCode],"NICU")=0,"",SUMIFS(tblDaily[TransfersOut],tblDaily[EntryDate],DATE(2026,8,2),tblDaily[WardCode],"NICU")),"")</f>
        <v/>
      </c>
      <c r="H281" s="12">
        <f>IFERROR(IF(SUMIFS(tblDaily[Remaining],tblDaily[EntryDate],DATE(2026,8,2),tblDaily[WardCode],"NICU")=0,"",SUMIFS(tblDaily[Remaining],tblDaily[EntryDate],DATE(2026,8,2),tblDaily[WardCode],"NICU")),"")</f>
        <v/>
      </c>
    </row>
    <row r="282">
      <c r="A282" s="12" t="n">
        <v>3</v>
      </c>
      <c r="B282" s="12">
        <f>IFERROR(IF(SUMIFS(tblDaily[Admissions],tblDaily[EntryDate],DATE(2026,8,3),tblDaily[WardCode],"NICU")=0,"",SUMIFS(tblDaily[Admissions],tblDaily[EntryDate],DATE(2026,8,3),tblDaily[WardCode],"NICU")),"")</f>
        <v/>
      </c>
      <c r="C282" s="12">
        <f>IFERROR(IF(SUMIFS(tblDaily[Discharges],tblDaily[EntryDate],DATE(2026,8,3),tblDaily[WardCode],"NICU")=0,"",SUMIFS(tblDaily[Discharges],tblDaily[EntryDate],DATE(2026,8,3),tblDaily[WardCode],"NICU")),"")</f>
        <v/>
      </c>
      <c r="D282" s="12">
        <f>IFERROR(IF(SUMIFS(tblDaily[Deaths],tblDaily[EntryDate],DATE(2026,8,3),tblDaily[WardCode],"NICU")=0,"",SUMIFS(tblDaily[Deaths],tblDaily[EntryDate],DATE(2026,8,3),tblDaily[WardCode],"NICU")),"")</f>
        <v/>
      </c>
      <c r="E282" s="12">
        <f>IFERROR(IF(SUMIFS(tblDaily[DeathsUnder24Hrs],tblDaily[EntryDate],DATE(2026,8,3),tblDaily[WardCode],"NICU")=0,"",SUMIFS(tblDaily[DeathsUnder24Hrs],tblDaily[EntryDate],DATE(2026,8,3),tblDaily[WardCode],"NICU")),"")</f>
        <v/>
      </c>
      <c r="F282" s="12">
        <f>IFERROR(IF(SUMIFS(tblDaily[TransfersIn],tblDaily[EntryDate],DATE(2026,8,3),tblDaily[WardCode],"NICU")=0,"",SUMIFS(tblDaily[TransfersIn],tblDaily[EntryDate],DATE(2026,8,3),tblDaily[WardCode],"NICU")),"")</f>
        <v/>
      </c>
      <c r="G282" s="12">
        <f>IFERROR(IF(SUMIFS(tblDaily[TransfersOut],tblDaily[EntryDate],DATE(2026,8,3),tblDaily[WardCode],"NICU")=0,"",SUMIFS(tblDaily[TransfersOut],tblDaily[EntryDate],DATE(2026,8,3),tblDaily[WardCode],"NICU")),"")</f>
        <v/>
      </c>
      <c r="H282" s="12">
        <f>IFERROR(IF(SUMIFS(tblDaily[Remaining],tblDaily[EntryDate],DATE(2026,8,3),tblDaily[WardCode],"NICU")=0,"",SUMIFS(tblDaily[Remaining],tblDaily[EntryDate],DATE(2026,8,3),tblDaily[WardCode],"NICU")),"")</f>
        <v/>
      </c>
    </row>
    <row r="283">
      <c r="A283" s="12" t="n">
        <v>4</v>
      </c>
      <c r="B283" s="12">
        <f>IFERROR(IF(SUMIFS(tblDaily[Admissions],tblDaily[EntryDate],DATE(2026,8,4),tblDaily[WardCode],"NICU")=0,"",SUMIFS(tblDaily[Admissions],tblDaily[EntryDate],DATE(2026,8,4),tblDaily[WardCode],"NICU")),"")</f>
        <v/>
      </c>
      <c r="C283" s="12">
        <f>IFERROR(IF(SUMIFS(tblDaily[Discharges],tblDaily[EntryDate],DATE(2026,8,4),tblDaily[WardCode],"NICU")=0,"",SUMIFS(tblDaily[Discharges],tblDaily[EntryDate],DATE(2026,8,4),tblDaily[WardCode],"NICU")),"")</f>
        <v/>
      </c>
      <c r="D283" s="12">
        <f>IFERROR(IF(SUMIFS(tblDaily[Deaths],tblDaily[EntryDate],DATE(2026,8,4),tblDaily[WardCode],"NICU")=0,"",SUMIFS(tblDaily[Deaths],tblDaily[EntryDate],DATE(2026,8,4),tblDaily[WardCode],"NICU")),"")</f>
        <v/>
      </c>
      <c r="E283" s="12">
        <f>IFERROR(IF(SUMIFS(tblDaily[DeathsUnder24Hrs],tblDaily[EntryDate],DATE(2026,8,4),tblDaily[WardCode],"NICU")=0,"",SUMIFS(tblDaily[DeathsUnder24Hrs],tblDaily[EntryDate],DATE(2026,8,4),tblDaily[WardCode],"NICU")),"")</f>
        <v/>
      </c>
      <c r="F283" s="12">
        <f>IFERROR(IF(SUMIFS(tblDaily[TransfersIn],tblDaily[EntryDate],DATE(2026,8,4),tblDaily[WardCode],"NICU")=0,"",SUMIFS(tblDaily[TransfersIn],tblDaily[EntryDate],DATE(2026,8,4),tblDaily[WardCode],"NICU")),"")</f>
        <v/>
      </c>
      <c r="G283" s="12">
        <f>IFERROR(IF(SUMIFS(tblDaily[TransfersOut],tblDaily[EntryDate],DATE(2026,8,4),tblDaily[WardCode],"NICU")=0,"",SUMIFS(tblDaily[TransfersOut],tblDaily[EntryDate],DATE(2026,8,4),tblDaily[WardCode],"NICU")),"")</f>
        <v/>
      </c>
      <c r="H283" s="12">
        <f>IFERROR(IF(SUMIFS(tblDaily[Remaining],tblDaily[EntryDate],DATE(2026,8,4),tblDaily[WardCode],"NICU")=0,"",SUMIFS(tblDaily[Remaining],tblDaily[EntryDate],DATE(2026,8,4),tblDaily[WardCode],"NICU")),"")</f>
        <v/>
      </c>
    </row>
    <row r="284">
      <c r="A284" s="12" t="n">
        <v>5</v>
      </c>
      <c r="B284" s="12">
        <f>IFERROR(IF(SUMIFS(tblDaily[Admissions],tblDaily[EntryDate],DATE(2026,8,5),tblDaily[WardCode],"NICU")=0,"",SUMIFS(tblDaily[Admissions],tblDaily[EntryDate],DATE(2026,8,5),tblDaily[WardCode],"NICU")),"")</f>
        <v/>
      </c>
      <c r="C284" s="12">
        <f>IFERROR(IF(SUMIFS(tblDaily[Discharges],tblDaily[EntryDate],DATE(2026,8,5),tblDaily[WardCode],"NICU")=0,"",SUMIFS(tblDaily[Discharges],tblDaily[EntryDate],DATE(2026,8,5),tblDaily[WardCode],"NICU")),"")</f>
        <v/>
      </c>
      <c r="D284" s="12">
        <f>IFERROR(IF(SUMIFS(tblDaily[Deaths],tblDaily[EntryDate],DATE(2026,8,5),tblDaily[WardCode],"NICU")=0,"",SUMIFS(tblDaily[Deaths],tblDaily[EntryDate],DATE(2026,8,5),tblDaily[WardCode],"NICU")),"")</f>
        <v/>
      </c>
      <c r="E284" s="12">
        <f>IFERROR(IF(SUMIFS(tblDaily[DeathsUnder24Hrs],tblDaily[EntryDate],DATE(2026,8,5),tblDaily[WardCode],"NICU")=0,"",SUMIFS(tblDaily[DeathsUnder24Hrs],tblDaily[EntryDate],DATE(2026,8,5),tblDaily[WardCode],"NICU")),"")</f>
        <v/>
      </c>
      <c r="F284" s="12">
        <f>IFERROR(IF(SUMIFS(tblDaily[TransfersIn],tblDaily[EntryDate],DATE(2026,8,5),tblDaily[WardCode],"NICU")=0,"",SUMIFS(tblDaily[TransfersIn],tblDaily[EntryDate],DATE(2026,8,5),tblDaily[WardCode],"NICU")),"")</f>
        <v/>
      </c>
      <c r="G284" s="12">
        <f>IFERROR(IF(SUMIFS(tblDaily[TransfersOut],tblDaily[EntryDate],DATE(2026,8,5),tblDaily[WardCode],"NICU")=0,"",SUMIFS(tblDaily[TransfersOut],tblDaily[EntryDate],DATE(2026,8,5),tblDaily[WardCode],"NICU")),"")</f>
        <v/>
      </c>
      <c r="H284" s="12">
        <f>IFERROR(IF(SUMIFS(tblDaily[Remaining],tblDaily[EntryDate],DATE(2026,8,5),tblDaily[WardCode],"NICU")=0,"",SUMIFS(tblDaily[Remaining],tblDaily[EntryDate],DATE(2026,8,5),tblDaily[WardCode],"NICU")),"")</f>
        <v/>
      </c>
    </row>
    <row r="285">
      <c r="A285" s="12" t="n">
        <v>6</v>
      </c>
      <c r="B285" s="12">
        <f>IFERROR(IF(SUMIFS(tblDaily[Admissions],tblDaily[EntryDate],DATE(2026,8,6),tblDaily[WardCode],"NICU")=0,"",SUMIFS(tblDaily[Admissions],tblDaily[EntryDate],DATE(2026,8,6),tblDaily[WardCode],"NICU")),"")</f>
        <v/>
      </c>
      <c r="C285" s="12">
        <f>IFERROR(IF(SUMIFS(tblDaily[Discharges],tblDaily[EntryDate],DATE(2026,8,6),tblDaily[WardCode],"NICU")=0,"",SUMIFS(tblDaily[Discharges],tblDaily[EntryDate],DATE(2026,8,6),tblDaily[WardCode],"NICU")),"")</f>
        <v/>
      </c>
      <c r="D285" s="12">
        <f>IFERROR(IF(SUMIFS(tblDaily[Deaths],tblDaily[EntryDate],DATE(2026,8,6),tblDaily[WardCode],"NICU")=0,"",SUMIFS(tblDaily[Deaths],tblDaily[EntryDate],DATE(2026,8,6),tblDaily[WardCode],"NICU")),"")</f>
        <v/>
      </c>
      <c r="E285" s="12">
        <f>IFERROR(IF(SUMIFS(tblDaily[DeathsUnder24Hrs],tblDaily[EntryDate],DATE(2026,8,6),tblDaily[WardCode],"NICU")=0,"",SUMIFS(tblDaily[DeathsUnder24Hrs],tblDaily[EntryDate],DATE(2026,8,6),tblDaily[WardCode],"NICU")),"")</f>
        <v/>
      </c>
      <c r="F285" s="12">
        <f>IFERROR(IF(SUMIFS(tblDaily[TransfersIn],tblDaily[EntryDate],DATE(2026,8,6),tblDaily[WardCode],"NICU")=0,"",SUMIFS(tblDaily[TransfersIn],tblDaily[EntryDate],DATE(2026,8,6),tblDaily[WardCode],"NICU")),"")</f>
        <v/>
      </c>
      <c r="G285" s="12">
        <f>IFERROR(IF(SUMIFS(tblDaily[TransfersOut],tblDaily[EntryDate],DATE(2026,8,6),tblDaily[WardCode],"NICU")=0,"",SUMIFS(tblDaily[TransfersOut],tblDaily[EntryDate],DATE(2026,8,6),tblDaily[WardCode],"NICU")),"")</f>
        <v/>
      </c>
      <c r="H285" s="12">
        <f>IFERROR(IF(SUMIFS(tblDaily[Remaining],tblDaily[EntryDate],DATE(2026,8,6),tblDaily[WardCode],"NICU")=0,"",SUMIFS(tblDaily[Remaining],tblDaily[EntryDate],DATE(2026,8,6),tblDaily[WardCode],"NICU")),"")</f>
        <v/>
      </c>
    </row>
    <row r="286">
      <c r="A286" s="12" t="n">
        <v>7</v>
      </c>
      <c r="B286" s="12">
        <f>IFERROR(IF(SUMIFS(tblDaily[Admissions],tblDaily[EntryDate],DATE(2026,8,7),tblDaily[WardCode],"NICU")=0,"",SUMIFS(tblDaily[Admissions],tblDaily[EntryDate],DATE(2026,8,7),tblDaily[WardCode],"NICU")),"")</f>
        <v/>
      </c>
      <c r="C286" s="12">
        <f>IFERROR(IF(SUMIFS(tblDaily[Discharges],tblDaily[EntryDate],DATE(2026,8,7),tblDaily[WardCode],"NICU")=0,"",SUMIFS(tblDaily[Discharges],tblDaily[EntryDate],DATE(2026,8,7),tblDaily[WardCode],"NICU")),"")</f>
        <v/>
      </c>
      <c r="D286" s="12">
        <f>IFERROR(IF(SUMIFS(tblDaily[Deaths],tblDaily[EntryDate],DATE(2026,8,7),tblDaily[WardCode],"NICU")=0,"",SUMIFS(tblDaily[Deaths],tblDaily[EntryDate],DATE(2026,8,7),tblDaily[WardCode],"NICU")),"")</f>
        <v/>
      </c>
      <c r="E286" s="12">
        <f>IFERROR(IF(SUMIFS(tblDaily[DeathsUnder24Hrs],tblDaily[EntryDate],DATE(2026,8,7),tblDaily[WardCode],"NICU")=0,"",SUMIFS(tblDaily[DeathsUnder24Hrs],tblDaily[EntryDate],DATE(2026,8,7),tblDaily[WardCode],"NICU")),"")</f>
        <v/>
      </c>
      <c r="F286" s="12">
        <f>IFERROR(IF(SUMIFS(tblDaily[TransfersIn],tblDaily[EntryDate],DATE(2026,8,7),tblDaily[WardCode],"NICU")=0,"",SUMIFS(tblDaily[TransfersIn],tblDaily[EntryDate],DATE(2026,8,7),tblDaily[WardCode],"NICU")),"")</f>
        <v/>
      </c>
      <c r="G286" s="12">
        <f>IFERROR(IF(SUMIFS(tblDaily[TransfersOut],tblDaily[EntryDate],DATE(2026,8,7),tblDaily[WardCode],"NICU")=0,"",SUMIFS(tblDaily[TransfersOut],tblDaily[EntryDate],DATE(2026,8,7),tblDaily[WardCode],"NICU")),"")</f>
        <v/>
      </c>
      <c r="H286" s="12">
        <f>IFERROR(IF(SUMIFS(tblDaily[Remaining],tblDaily[EntryDate],DATE(2026,8,7),tblDaily[WardCode],"NICU")=0,"",SUMIFS(tblDaily[Remaining],tblDaily[EntryDate],DATE(2026,8,7),tblDaily[WardCode],"NICU")),"")</f>
        <v/>
      </c>
    </row>
    <row r="287">
      <c r="A287" s="12" t="n">
        <v>8</v>
      </c>
      <c r="B287" s="12">
        <f>IFERROR(IF(SUMIFS(tblDaily[Admissions],tblDaily[EntryDate],DATE(2026,8,8),tblDaily[WardCode],"NICU")=0,"",SUMIFS(tblDaily[Admissions],tblDaily[EntryDate],DATE(2026,8,8),tblDaily[WardCode],"NICU")),"")</f>
        <v/>
      </c>
      <c r="C287" s="12">
        <f>IFERROR(IF(SUMIFS(tblDaily[Discharges],tblDaily[EntryDate],DATE(2026,8,8),tblDaily[WardCode],"NICU")=0,"",SUMIFS(tblDaily[Discharges],tblDaily[EntryDate],DATE(2026,8,8),tblDaily[WardCode],"NICU")),"")</f>
        <v/>
      </c>
      <c r="D287" s="12">
        <f>IFERROR(IF(SUMIFS(tblDaily[Deaths],tblDaily[EntryDate],DATE(2026,8,8),tblDaily[WardCode],"NICU")=0,"",SUMIFS(tblDaily[Deaths],tblDaily[EntryDate],DATE(2026,8,8),tblDaily[WardCode],"NICU")),"")</f>
        <v/>
      </c>
      <c r="E287" s="12">
        <f>IFERROR(IF(SUMIFS(tblDaily[DeathsUnder24Hrs],tblDaily[EntryDate],DATE(2026,8,8),tblDaily[WardCode],"NICU")=0,"",SUMIFS(tblDaily[DeathsUnder24Hrs],tblDaily[EntryDate],DATE(2026,8,8),tblDaily[WardCode],"NICU")),"")</f>
        <v/>
      </c>
      <c r="F287" s="12">
        <f>IFERROR(IF(SUMIFS(tblDaily[TransfersIn],tblDaily[EntryDate],DATE(2026,8,8),tblDaily[WardCode],"NICU")=0,"",SUMIFS(tblDaily[TransfersIn],tblDaily[EntryDate],DATE(2026,8,8),tblDaily[WardCode],"NICU")),"")</f>
        <v/>
      </c>
      <c r="G287" s="12">
        <f>IFERROR(IF(SUMIFS(tblDaily[TransfersOut],tblDaily[EntryDate],DATE(2026,8,8),tblDaily[WardCode],"NICU")=0,"",SUMIFS(tblDaily[TransfersOut],tblDaily[EntryDate],DATE(2026,8,8),tblDaily[WardCode],"NICU")),"")</f>
        <v/>
      </c>
      <c r="H287" s="12">
        <f>IFERROR(IF(SUMIFS(tblDaily[Remaining],tblDaily[EntryDate],DATE(2026,8,8),tblDaily[WardCode],"NICU")=0,"",SUMIFS(tblDaily[Remaining],tblDaily[EntryDate],DATE(2026,8,8),tblDaily[WardCode],"NICU")),"")</f>
        <v/>
      </c>
    </row>
    <row r="288">
      <c r="A288" s="12" t="n">
        <v>9</v>
      </c>
      <c r="B288" s="12">
        <f>IFERROR(IF(SUMIFS(tblDaily[Admissions],tblDaily[EntryDate],DATE(2026,8,9),tblDaily[WardCode],"NICU")=0,"",SUMIFS(tblDaily[Admissions],tblDaily[EntryDate],DATE(2026,8,9),tblDaily[WardCode],"NICU")),"")</f>
        <v/>
      </c>
      <c r="C288" s="12">
        <f>IFERROR(IF(SUMIFS(tblDaily[Discharges],tblDaily[EntryDate],DATE(2026,8,9),tblDaily[WardCode],"NICU")=0,"",SUMIFS(tblDaily[Discharges],tblDaily[EntryDate],DATE(2026,8,9),tblDaily[WardCode],"NICU")),"")</f>
        <v/>
      </c>
      <c r="D288" s="12">
        <f>IFERROR(IF(SUMIFS(tblDaily[Deaths],tblDaily[EntryDate],DATE(2026,8,9),tblDaily[WardCode],"NICU")=0,"",SUMIFS(tblDaily[Deaths],tblDaily[EntryDate],DATE(2026,8,9),tblDaily[WardCode],"NICU")),"")</f>
        <v/>
      </c>
      <c r="E288" s="12">
        <f>IFERROR(IF(SUMIFS(tblDaily[DeathsUnder24Hrs],tblDaily[EntryDate],DATE(2026,8,9),tblDaily[WardCode],"NICU")=0,"",SUMIFS(tblDaily[DeathsUnder24Hrs],tblDaily[EntryDate],DATE(2026,8,9),tblDaily[WardCode],"NICU")),"")</f>
        <v/>
      </c>
      <c r="F288" s="12">
        <f>IFERROR(IF(SUMIFS(tblDaily[TransfersIn],tblDaily[EntryDate],DATE(2026,8,9),tblDaily[WardCode],"NICU")=0,"",SUMIFS(tblDaily[TransfersIn],tblDaily[EntryDate],DATE(2026,8,9),tblDaily[WardCode],"NICU")),"")</f>
        <v/>
      </c>
      <c r="G288" s="12">
        <f>IFERROR(IF(SUMIFS(tblDaily[TransfersOut],tblDaily[EntryDate],DATE(2026,8,9),tblDaily[WardCode],"NICU")=0,"",SUMIFS(tblDaily[TransfersOut],tblDaily[EntryDate],DATE(2026,8,9),tblDaily[WardCode],"NICU")),"")</f>
        <v/>
      </c>
      <c r="H288" s="12">
        <f>IFERROR(IF(SUMIFS(tblDaily[Remaining],tblDaily[EntryDate],DATE(2026,8,9),tblDaily[WardCode],"NICU")=0,"",SUMIFS(tblDaily[Remaining],tblDaily[EntryDate],DATE(2026,8,9),tblDaily[WardCode],"NICU")),"")</f>
        <v/>
      </c>
    </row>
    <row r="289">
      <c r="A289" s="12" t="n">
        <v>10</v>
      </c>
      <c r="B289" s="12">
        <f>IFERROR(IF(SUMIFS(tblDaily[Admissions],tblDaily[EntryDate],DATE(2026,8,10),tblDaily[WardCode],"NICU")=0,"",SUMIFS(tblDaily[Admissions],tblDaily[EntryDate],DATE(2026,8,10),tblDaily[WardCode],"NICU")),"")</f>
        <v/>
      </c>
      <c r="C289" s="12">
        <f>IFERROR(IF(SUMIFS(tblDaily[Discharges],tblDaily[EntryDate],DATE(2026,8,10),tblDaily[WardCode],"NICU")=0,"",SUMIFS(tblDaily[Discharges],tblDaily[EntryDate],DATE(2026,8,10),tblDaily[WardCode],"NICU")),"")</f>
        <v/>
      </c>
      <c r="D289" s="12">
        <f>IFERROR(IF(SUMIFS(tblDaily[Deaths],tblDaily[EntryDate],DATE(2026,8,10),tblDaily[WardCode],"NICU")=0,"",SUMIFS(tblDaily[Deaths],tblDaily[EntryDate],DATE(2026,8,10),tblDaily[WardCode],"NICU")),"")</f>
        <v/>
      </c>
      <c r="E289" s="12">
        <f>IFERROR(IF(SUMIFS(tblDaily[DeathsUnder24Hrs],tblDaily[EntryDate],DATE(2026,8,10),tblDaily[WardCode],"NICU")=0,"",SUMIFS(tblDaily[DeathsUnder24Hrs],tblDaily[EntryDate],DATE(2026,8,10),tblDaily[WardCode],"NICU")),"")</f>
        <v/>
      </c>
      <c r="F289" s="12">
        <f>IFERROR(IF(SUMIFS(tblDaily[TransfersIn],tblDaily[EntryDate],DATE(2026,8,10),tblDaily[WardCode],"NICU")=0,"",SUMIFS(tblDaily[TransfersIn],tblDaily[EntryDate],DATE(2026,8,10),tblDaily[WardCode],"NICU")),"")</f>
        <v/>
      </c>
      <c r="G289" s="12">
        <f>IFERROR(IF(SUMIFS(tblDaily[TransfersOut],tblDaily[EntryDate],DATE(2026,8,10),tblDaily[WardCode],"NICU")=0,"",SUMIFS(tblDaily[TransfersOut],tblDaily[EntryDate],DATE(2026,8,10),tblDaily[WardCode],"NICU")),"")</f>
        <v/>
      </c>
      <c r="H289" s="12">
        <f>IFERROR(IF(SUMIFS(tblDaily[Remaining],tblDaily[EntryDate],DATE(2026,8,10),tblDaily[WardCode],"NICU")=0,"",SUMIFS(tblDaily[Remaining],tblDaily[EntryDate],DATE(2026,8,10),tblDaily[WardCode],"NICU")),"")</f>
        <v/>
      </c>
    </row>
    <row r="290">
      <c r="A290" s="12" t="n">
        <v>11</v>
      </c>
      <c r="B290" s="12">
        <f>IFERROR(IF(SUMIFS(tblDaily[Admissions],tblDaily[EntryDate],DATE(2026,8,11),tblDaily[WardCode],"NICU")=0,"",SUMIFS(tblDaily[Admissions],tblDaily[EntryDate],DATE(2026,8,11),tblDaily[WardCode],"NICU")),"")</f>
        <v/>
      </c>
      <c r="C290" s="12">
        <f>IFERROR(IF(SUMIFS(tblDaily[Discharges],tblDaily[EntryDate],DATE(2026,8,11),tblDaily[WardCode],"NICU")=0,"",SUMIFS(tblDaily[Discharges],tblDaily[EntryDate],DATE(2026,8,11),tblDaily[WardCode],"NICU")),"")</f>
        <v/>
      </c>
      <c r="D290" s="12">
        <f>IFERROR(IF(SUMIFS(tblDaily[Deaths],tblDaily[EntryDate],DATE(2026,8,11),tblDaily[WardCode],"NICU")=0,"",SUMIFS(tblDaily[Deaths],tblDaily[EntryDate],DATE(2026,8,11),tblDaily[WardCode],"NICU")),"")</f>
        <v/>
      </c>
      <c r="E290" s="12">
        <f>IFERROR(IF(SUMIFS(tblDaily[DeathsUnder24Hrs],tblDaily[EntryDate],DATE(2026,8,11),tblDaily[WardCode],"NICU")=0,"",SUMIFS(tblDaily[DeathsUnder24Hrs],tblDaily[EntryDate],DATE(2026,8,11),tblDaily[WardCode],"NICU")),"")</f>
        <v/>
      </c>
      <c r="F290" s="12">
        <f>IFERROR(IF(SUMIFS(tblDaily[TransfersIn],tblDaily[EntryDate],DATE(2026,8,11),tblDaily[WardCode],"NICU")=0,"",SUMIFS(tblDaily[TransfersIn],tblDaily[EntryDate],DATE(2026,8,11),tblDaily[WardCode],"NICU")),"")</f>
        <v/>
      </c>
      <c r="G290" s="12">
        <f>IFERROR(IF(SUMIFS(tblDaily[TransfersOut],tblDaily[EntryDate],DATE(2026,8,11),tblDaily[WardCode],"NICU")=0,"",SUMIFS(tblDaily[TransfersOut],tblDaily[EntryDate],DATE(2026,8,11),tblDaily[WardCode],"NICU")),"")</f>
        <v/>
      </c>
      <c r="H290" s="12">
        <f>IFERROR(IF(SUMIFS(tblDaily[Remaining],tblDaily[EntryDate],DATE(2026,8,11),tblDaily[WardCode],"NICU")=0,"",SUMIFS(tblDaily[Remaining],tblDaily[EntryDate],DATE(2026,8,11),tblDaily[WardCode],"NICU")),"")</f>
        <v/>
      </c>
    </row>
    <row r="291">
      <c r="A291" s="12" t="n">
        <v>12</v>
      </c>
      <c r="B291" s="12">
        <f>IFERROR(IF(SUMIFS(tblDaily[Admissions],tblDaily[EntryDate],DATE(2026,8,12),tblDaily[WardCode],"NICU")=0,"",SUMIFS(tblDaily[Admissions],tblDaily[EntryDate],DATE(2026,8,12),tblDaily[WardCode],"NICU")),"")</f>
        <v/>
      </c>
      <c r="C291" s="12">
        <f>IFERROR(IF(SUMIFS(tblDaily[Discharges],tblDaily[EntryDate],DATE(2026,8,12),tblDaily[WardCode],"NICU")=0,"",SUMIFS(tblDaily[Discharges],tblDaily[EntryDate],DATE(2026,8,12),tblDaily[WardCode],"NICU")),"")</f>
        <v/>
      </c>
      <c r="D291" s="12">
        <f>IFERROR(IF(SUMIFS(tblDaily[Deaths],tblDaily[EntryDate],DATE(2026,8,12),tblDaily[WardCode],"NICU")=0,"",SUMIFS(tblDaily[Deaths],tblDaily[EntryDate],DATE(2026,8,12),tblDaily[WardCode],"NICU")),"")</f>
        <v/>
      </c>
      <c r="E291" s="12">
        <f>IFERROR(IF(SUMIFS(tblDaily[DeathsUnder24Hrs],tblDaily[EntryDate],DATE(2026,8,12),tblDaily[WardCode],"NICU")=0,"",SUMIFS(tblDaily[DeathsUnder24Hrs],tblDaily[EntryDate],DATE(2026,8,12),tblDaily[WardCode],"NICU")),"")</f>
        <v/>
      </c>
      <c r="F291" s="12">
        <f>IFERROR(IF(SUMIFS(tblDaily[TransfersIn],tblDaily[EntryDate],DATE(2026,8,12),tblDaily[WardCode],"NICU")=0,"",SUMIFS(tblDaily[TransfersIn],tblDaily[EntryDate],DATE(2026,8,12),tblDaily[WardCode],"NICU")),"")</f>
        <v/>
      </c>
      <c r="G291" s="12">
        <f>IFERROR(IF(SUMIFS(tblDaily[TransfersOut],tblDaily[EntryDate],DATE(2026,8,12),tblDaily[WardCode],"NICU")=0,"",SUMIFS(tblDaily[TransfersOut],tblDaily[EntryDate],DATE(2026,8,12),tblDaily[WardCode],"NICU")),"")</f>
        <v/>
      </c>
      <c r="H291" s="12">
        <f>IFERROR(IF(SUMIFS(tblDaily[Remaining],tblDaily[EntryDate],DATE(2026,8,12),tblDaily[WardCode],"NICU")=0,"",SUMIFS(tblDaily[Remaining],tblDaily[EntryDate],DATE(2026,8,12),tblDaily[WardCode],"NICU")),"")</f>
        <v/>
      </c>
    </row>
    <row r="292">
      <c r="A292" s="12" t="n">
        <v>13</v>
      </c>
      <c r="B292" s="12">
        <f>IFERROR(IF(SUMIFS(tblDaily[Admissions],tblDaily[EntryDate],DATE(2026,8,13),tblDaily[WardCode],"NICU")=0,"",SUMIFS(tblDaily[Admissions],tblDaily[EntryDate],DATE(2026,8,13),tblDaily[WardCode],"NICU")),"")</f>
        <v/>
      </c>
      <c r="C292" s="12">
        <f>IFERROR(IF(SUMIFS(tblDaily[Discharges],tblDaily[EntryDate],DATE(2026,8,13),tblDaily[WardCode],"NICU")=0,"",SUMIFS(tblDaily[Discharges],tblDaily[EntryDate],DATE(2026,8,13),tblDaily[WardCode],"NICU")),"")</f>
        <v/>
      </c>
      <c r="D292" s="12">
        <f>IFERROR(IF(SUMIFS(tblDaily[Deaths],tblDaily[EntryDate],DATE(2026,8,13),tblDaily[WardCode],"NICU")=0,"",SUMIFS(tblDaily[Deaths],tblDaily[EntryDate],DATE(2026,8,13),tblDaily[WardCode],"NICU")),"")</f>
        <v/>
      </c>
      <c r="E292" s="12">
        <f>IFERROR(IF(SUMIFS(tblDaily[DeathsUnder24Hrs],tblDaily[EntryDate],DATE(2026,8,13),tblDaily[WardCode],"NICU")=0,"",SUMIFS(tblDaily[DeathsUnder24Hrs],tblDaily[EntryDate],DATE(2026,8,13),tblDaily[WardCode],"NICU")),"")</f>
        <v/>
      </c>
      <c r="F292" s="12">
        <f>IFERROR(IF(SUMIFS(tblDaily[TransfersIn],tblDaily[EntryDate],DATE(2026,8,13),tblDaily[WardCode],"NICU")=0,"",SUMIFS(tblDaily[TransfersIn],tblDaily[EntryDate],DATE(2026,8,13),tblDaily[WardCode],"NICU")),"")</f>
        <v/>
      </c>
      <c r="G292" s="12">
        <f>IFERROR(IF(SUMIFS(tblDaily[TransfersOut],tblDaily[EntryDate],DATE(2026,8,13),tblDaily[WardCode],"NICU")=0,"",SUMIFS(tblDaily[TransfersOut],tblDaily[EntryDate],DATE(2026,8,13),tblDaily[WardCode],"NICU")),"")</f>
        <v/>
      </c>
      <c r="H292" s="12">
        <f>IFERROR(IF(SUMIFS(tblDaily[Remaining],tblDaily[EntryDate],DATE(2026,8,13),tblDaily[WardCode],"NICU")=0,"",SUMIFS(tblDaily[Remaining],tblDaily[EntryDate],DATE(2026,8,13),tblDaily[WardCode],"NICU")),"")</f>
        <v/>
      </c>
    </row>
    <row r="293">
      <c r="A293" s="12" t="n">
        <v>14</v>
      </c>
      <c r="B293" s="12">
        <f>IFERROR(IF(SUMIFS(tblDaily[Admissions],tblDaily[EntryDate],DATE(2026,8,14),tblDaily[WardCode],"NICU")=0,"",SUMIFS(tblDaily[Admissions],tblDaily[EntryDate],DATE(2026,8,14),tblDaily[WardCode],"NICU")),"")</f>
        <v/>
      </c>
      <c r="C293" s="12">
        <f>IFERROR(IF(SUMIFS(tblDaily[Discharges],tblDaily[EntryDate],DATE(2026,8,14),tblDaily[WardCode],"NICU")=0,"",SUMIFS(tblDaily[Discharges],tblDaily[EntryDate],DATE(2026,8,14),tblDaily[WardCode],"NICU")),"")</f>
        <v/>
      </c>
      <c r="D293" s="12">
        <f>IFERROR(IF(SUMIFS(tblDaily[Deaths],tblDaily[EntryDate],DATE(2026,8,14),tblDaily[WardCode],"NICU")=0,"",SUMIFS(tblDaily[Deaths],tblDaily[EntryDate],DATE(2026,8,14),tblDaily[WardCode],"NICU")),"")</f>
        <v/>
      </c>
      <c r="E293" s="12">
        <f>IFERROR(IF(SUMIFS(tblDaily[DeathsUnder24Hrs],tblDaily[EntryDate],DATE(2026,8,14),tblDaily[WardCode],"NICU")=0,"",SUMIFS(tblDaily[DeathsUnder24Hrs],tblDaily[EntryDate],DATE(2026,8,14),tblDaily[WardCode],"NICU")),"")</f>
        <v/>
      </c>
      <c r="F293" s="12">
        <f>IFERROR(IF(SUMIFS(tblDaily[TransfersIn],tblDaily[EntryDate],DATE(2026,8,14),tblDaily[WardCode],"NICU")=0,"",SUMIFS(tblDaily[TransfersIn],tblDaily[EntryDate],DATE(2026,8,14),tblDaily[WardCode],"NICU")),"")</f>
        <v/>
      </c>
      <c r="G293" s="12">
        <f>IFERROR(IF(SUMIFS(tblDaily[TransfersOut],tblDaily[EntryDate],DATE(2026,8,14),tblDaily[WardCode],"NICU")=0,"",SUMIFS(tblDaily[TransfersOut],tblDaily[EntryDate],DATE(2026,8,14),tblDaily[WardCode],"NICU")),"")</f>
        <v/>
      </c>
      <c r="H293" s="12">
        <f>IFERROR(IF(SUMIFS(tblDaily[Remaining],tblDaily[EntryDate],DATE(2026,8,14),tblDaily[WardCode],"NICU")=0,"",SUMIFS(tblDaily[Remaining],tblDaily[EntryDate],DATE(2026,8,14),tblDaily[WardCode],"NICU")),"")</f>
        <v/>
      </c>
    </row>
    <row r="294">
      <c r="A294" s="12" t="n">
        <v>15</v>
      </c>
      <c r="B294" s="12">
        <f>IFERROR(IF(SUMIFS(tblDaily[Admissions],tblDaily[EntryDate],DATE(2026,8,15),tblDaily[WardCode],"NICU")=0,"",SUMIFS(tblDaily[Admissions],tblDaily[EntryDate],DATE(2026,8,15),tblDaily[WardCode],"NICU")),"")</f>
        <v/>
      </c>
      <c r="C294" s="12">
        <f>IFERROR(IF(SUMIFS(tblDaily[Discharges],tblDaily[EntryDate],DATE(2026,8,15),tblDaily[WardCode],"NICU")=0,"",SUMIFS(tblDaily[Discharges],tblDaily[EntryDate],DATE(2026,8,15),tblDaily[WardCode],"NICU")),"")</f>
        <v/>
      </c>
      <c r="D294" s="12">
        <f>IFERROR(IF(SUMIFS(tblDaily[Deaths],tblDaily[EntryDate],DATE(2026,8,15),tblDaily[WardCode],"NICU")=0,"",SUMIFS(tblDaily[Deaths],tblDaily[EntryDate],DATE(2026,8,15),tblDaily[WardCode],"NICU")),"")</f>
        <v/>
      </c>
      <c r="E294" s="12">
        <f>IFERROR(IF(SUMIFS(tblDaily[DeathsUnder24Hrs],tblDaily[EntryDate],DATE(2026,8,15),tblDaily[WardCode],"NICU")=0,"",SUMIFS(tblDaily[DeathsUnder24Hrs],tblDaily[EntryDate],DATE(2026,8,15),tblDaily[WardCode],"NICU")),"")</f>
        <v/>
      </c>
      <c r="F294" s="12">
        <f>IFERROR(IF(SUMIFS(tblDaily[TransfersIn],tblDaily[EntryDate],DATE(2026,8,15),tblDaily[WardCode],"NICU")=0,"",SUMIFS(tblDaily[TransfersIn],tblDaily[EntryDate],DATE(2026,8,15),tblDaily[WardCode],"NICU")),"")</f>
        <v/>
      </c>
      <c r="G294" s="12">
        <f>IFERROR(IF(SUMIFS(tblDaily[TransfersOut],tblDaily[EntryDate],DATE(2026,8,15),tblDaily[WardCode],"NICU")=0,"",SUMIFS(tblDaily[TransfersOut],tblDaily[EntryDate],DATE(2026,8,15),tblDaily[WardCode],"NICU")),"")</f>
        <v/>
      </c>
      <c r="H294" s="12">
        <f>IFERROR(IF(SUMIFS(tblDaily[Remaining],tblDaily[EntryDate],DATE(2026,8,15),tblDaily[WardCode],"NICU")=0,"",SUMIFS(tblDaily[Remaining],tblDaily[EntryDate],DATE(2026,8,15),tblDaily[WardCode],"NICU")),"")</f>
        <v/>
      </c>
    </row>
    <row r="295">
      <c r="A295" s="12" t="n">
        <v>16</v>
      </c>
      <c r="B295" s="12">
        <f>IFERROR(IF(SUMIFS(tblDaily[Admissions],tblDaily[EntryDate],DATE(2026,8,16),tblDaily[WardCode],"NICU")=0,"",SUMIFS(tblDaily[Admissions],tblDaily[EntryDate],DATE(2026,8,16),tblDaily[WardCode],"NICU")),"")</f>
        <v/>
      </c>
      <c r="C295" s="12">
        <f>IFERROR(IF(SUMIFS(tblDaily[Discharges],tblDaily[EntryDate],DATE(2026,8,16),tblDaily[WardCode],"NICU")=0,"",SUMIFS(tblDaily[Discharges],tblDaily[EntryDate],DATE(2026,8,16),tblDaily[WardCode],"NICU")),"")</f>
        <v/>
      </c>
      <c r="D295" s="12">
        <f>IFERROR(IF(SUMIFS(tblDaily[Deaths],tblDaily[EntryDate],DATE(2026,8,16),tblDaily[WardCode],"NICU")=0,"",SUMIFS(tblDaily[Deaths],tblDaily[EntryDate],DATE(2026,8,16),tblDaily[WardCode],"NICU")),"")</f>
        <v/>
      </c>
      <c r="E295" s="12">
        <f>IFERROR(IF(SUMIFS(tblDaily[DeathsUnder24Hrs],tblDaily[EntryDate],DATE(2026,8,16),tblDaily[WardCode],"NICU")=0,"",SUMIFS(tblDaily[DeathsUnder24Hrs],tblDaily[EntryDate],DATE(2026,8,16),tblDaily[WardCode],"NICU")),"")</f>
        <v/>
      </c>
      <c r="F295" s="12">
        <f>IFERROR(IF(SUMIFS(tblDaily[TransfersIn],tblDaily[EntryDate],DATE(2026,8,16),tblDaily[WardCode],"NICU")=0,"",SUMIFS(tblDaily[TransfersIn],tblDaily[EntryDate],DATE(2026,8,16),tblDaily[WardCode],"NICU")),"")</f>
        <v/>
      </c>
      <c r="G295" s="12">
        <f>IFERROR(IF(SUMIFS(tblDaily[TransfersOut],tblDaily[EntryDate],DATE(2026,8,16),tblDaily[WardCode],"NICU")=0,"",SUMIFS(tblDaily[TransfersOut],tblDaily[EntryDate],DATE(2026,8,16),tblDaily[WardCode],"NICU")),"")</f>
        <v/>
      </c>
      <c r="H295" s="12">
        <f>IFERROR(IF(SUMIFS(tblDaily[Remaining],tblDaily[EntryDate],DATE(2026,8,16),tblDaily[WardCode],"NICU")=0,"",SUMIFS(tblDaily[Remaining],tblDaily[EntryDate],DATE(2026,8,16),tblDaily[WardCode],"NICU")),"")</f>
        <v/>
      </c>
    </row>
    <row r="296">
      <c r="A296" s="12" t="n">
        <v>17</v>
      </c>
      <c r="B296" s="12">
        <f>IFERROR(IF(SUMIFS(tblDaily[Admissions],tblDaily[EntryDate],DATE(2026,8,17),tblDaily[WardCode],"NICU")=0,"",SUMIFS(tblDaily[Admissions],tblDaily[EntryDate],DATE(2026,8,17),tblDaily[WardCode],"NICU")),"")</f>
        <v/>
      </c>
      <c r="C296" s="12">
        <f>IFERROR(IF(SUMIFS(tblDaily[Discharges],tblDaily[EntryDate],DATE(2026,8,17),tblDaily[WardCode],"NICU")=0,"",SUMIFS(tblDaily[Discharges],tblDaily[EntryDate],DATE(2026,8,17),tblDaily[WardCode],"NICU")),"")</f>
        <v/>
      </c>
      <c r="D296" s="12">
        <f>IFERROR(IF(SUMIFS(tblDaily[Deaths],tblDaily[EntryDate],DATE(2026,8,17),tblDaily[WardCode],"NICU")=0,"",SUMIFS(tblDaily[Deaths],tblDaily[EntryDate],DATE(2026,8,17),tblDaily[WardCode],"NICU")),"")</f>
        <v/>
      </c>
      <c r="E296" s="12">
        <f>IFERROR(IF(SUMIFS(tblDaily[DeathsUnder24Hrs],tblDaily[EntryDate],DATE(2026,8,17),tblDaily[WardCode],"NICU")=0,"",SUMIFS(tblDaily[DeathsUnder24Hrs],tblDaily[EntryDate],DATE(2026,8,17),tblDaily[WardCode],"NICU")),"")</f>
        <v/>
      </c>
      <c r="F296" s="12">
        <f>IFERROR(IF(SUMIFS(tblDaily[TransfersIn],tblDaily[EntryDate],DATE(2026,8,17),tblDaily[WardCode],"NICU")=0,"",SUMIFS(tblDaily[TransfersIn],tblDaily[EntryDate],DATE(2026,8,17),tblDaily[WardCode],"NICU")),"")</f>
        <v/>
      </c>
      <c r="G296" s="12">
        <f>IFERROR(IF(SUMIFS(tblDaily[TransfersOut],tblDaily[EntryDate],DATE(2026,8,17),tblDaily[WardCode],"NICU")=0,"",SUMIFS(tblDaily[TransfersOut],tblDaily[EntryDate],DATE(2026,8,17),tblDaily[WardCode],"NICU")),"")</f>
        <v/>
      </c>
      <c r="H296" s="12">
        <f>IFERROR(IF(SUMIFS(tblDaily[Remaining],tblDaily[EntryDate],DATE(2026,8,17),tblDaily[WardCode],"NICU")=0,"",SUMIFS(tblDaily[Remaining],tblDaily[EntryDate],DATE(2026,8,17),tblDaily[WardCode],"NICU")),"")</f>
        <v/>
      </c>
    </row>
    <row r="297">
      <c r="A297" s="12" t="n">
        <v>18</v>
      </c>
      <c r="B297" s="12">
        <f>IFERROR(IF(SUMIFS(tblDaily[Admissions],tblDaily[EntryDate],DATE(2026,8,18),tblDaily[WardCode],"NICU")=0,"",SUMIFS(tblDaily[Admissions],tblDaily[EntryDate],DATE(2026,8,18),tblDaily[WardCode],"NICU")),"")</f>
        <v/>
      </c>
      <c r="C297" s="12">
        <f>IFERROR(IF(SUMIFS(tblDaily[Discharges],tblDaily[EntryDate],DATE(2026,8,18),tblDaily[WardCode],"NICU")=0,"",SUMIFS(tblDaily[Discharges],tblDaily[EntryDate],DATE(2026,8,18),tblDaily[WardCode],"NICU")),"")</f>
        <v/>
      </c>
      <c r="D297" s="12">
        <f>IFERROR(IF(SUMIFS(tblDaily[Deaths],tblDaily[EntryDate],DATE(2026,8,18),tblDaily[WardCode],"NICU")=0,"",SUMIFS(tblDaily[Deaths],tblDaily[EntryDate],DATE(2026,8,18),tblDaily[WardCode],"NICU")),"")</f>
        <v/>
      </c>
      <c r="E297" s="12">
        <f>IFERROR(IF(SUMIFS(tblDaily[DeathsUnder24Hrs],tblDaily[EntryDate],DATE(2026,8,18),tblDaily[WardCode],"NICU")=0,"",SUMIFS(tblDaily[DeathsUnder24Hrs],tblDaily[EntryDate],DATE(2026,8,18),tblDaily[WardCode],"NICU")),"")</f>
        <v/>
      </c>
      <c r="F297" s="12">
        <f>IFERROR(IF(SUMIFS(tblDaily[TransfersIn],tblDaily[EntryDate],DATE(2026,8,18),tblDaily[WardCode],"NICU")=0,"",SUMIFS(tblDaily[TransfersIn],tblDaily[EntryDate],DATE(2026,8,18),tblDaily[WardCode],"NICU")),"")</f>
        <v/>
      </c>
      <c r="G297" s="12">
        <f>IFERROR(IF(SUMIFS(tblDaily[TransfersOut],tblDaily[EntryDate],DATE(2026,8,18),tblDaily[WardCode],"NICU")=0,"",SUMIFS(tblDaily[TransfersOut],tblDaily[EntryDate],DATE(2026,8,18),tblDaily[WardCode],"NICU")),"")</f>
        <v/>
      </c>
      <c r="H297" s="12">
        <f>IFERROR(IF(SUMIFS(tblDaily[Remaining],tblDaily[EntryDate],DATE(2026,8,18),tblDaily[WardCode],"NICU")=0,"",SUMIFS(tblDaily[Remaining],tblDaily[EntryDate],DATE(2026,8,18),tblDaily[WardCode],"NICU")),"")</f>
        <v/>
      </c>
    </row>
    <row r="298">
      <c r="A298" s="12" t="n">
        <v>19</v>
      </c>
      <c r="B298" s="12">
        <f>IFERROR(IF(SUMIFS(tblDaily[Admissions],tblDaily[EntryDate],DATE(2026,8,19),tblDaily[WardCode],"NICU")=0,"",SUMIFS(tblDaily[Admissions],tblDaily[EntryDate],DATE(2026,8,19),tblDaily[WardCode],"NICU")),"")</f>
        <v/>
      </c>
      <c r="C298" s="12">
        <f>IFERROR(IF(SUMIFS(tblDaily[Discharges],tblDaily[EntryDate],DATE(2026,8,19),tblDaily[WardCode],"NICU")=0,"",SUMIFS(tblDaily[Discharges],tblDaily[EntryDate],DATE(2026,8,19),tblDaily[WardCode],"NICU")),"")</f>
        <v/>
      </c>
      <c r="D298" s="12">
        <f>IFERROR(IF(SUMIFS(tblDaily[Deaths],tblDaily[EntryDate],DATE(2026,8,19),tblDaily[WardCode],"NICU")=0,"",SUMIFS(tblDaily[Deaths],tblDaily[EntryDate],DATE(2026,8,19),tblDaily[WardCode],"NICU")),"")</f>
        <v/>
      </c>
      <c r="E298" s="12">
        <f>IFERROR(IF(SUMIFS(tblDaily[DeathsUnder24Hrs],tblDaily[EntryDate],DATE(2026,8,19),tblDaily[WardCode],"NICU")=0,"",SUMIFS(tblDaily[DeathsUnder24Hrs],tblDaily[EntryDate],DATE(2026,8,19),tblDaily[WardCode],"NICU")),"")</f>
        <v/>
      </c>
      <c r="F298" s="12">
        <f>IFERROR(IF(SUMIFS(tblDaily[TransfersIn],tblDaily[EntryDate],DATE(2026,8,19),tblDaily[WardCode],"NICU")=0,"",SUMIFS(tblDaily[TransfersIn],tblDaily[EntryDate],DATE(2026,8,19),tblDaily[WardCode],"NICU")),"")</f>
        <v/>
      </c>
      <c r="G298" s="12">
        <f>IFERROR(IF(SUMIFS(tblDaily[TransfersOut],tblDaily[EntryDate],DATE(2026,8,19),tblDaily[WardCode],"NICU")=0,"",SUMIFS(tblDaily[TransfersOut],tblDaily[EntryDate],DATE(2026,8,19),tblDaily[WardCode],"NICU")),"")</f>
        <v/>
      </c>
      <c r="H298" s="12">
        <f>IFERROR(IF(SUMIFS(tblDaily[Remaining],tblDaily[EntryDate],DATE(2026,8,19),tblDaily[WardCode],"NICU")=0,"",SUMIFS(tblDaily[Remaining],tblDaily[EntryDate],DATE(2026,8,19),tblDaily[WardCode],"NICU")),"")</f>
        <v/>
      </c>
    </row>
    <row r="299">
      <c r="A299" s="12" t="n">
        <v>20</v>
      </c>
      <c r="B299" s="12">
        <f>IFERROR(IF(SUMIFS(tblDaily[Admissions],tblDaily[EntryDate],DATE(2026,8,20),tblDaily[WardCode],"NICU")=0,"",SUMIFS(tblDaily[Admissions],tblDaily[EntryDate],DATE(2026,8,20),tblDaily[WardCode],"NICU")),"")</f>
        <v/>
      </c>
      <c r="C299" s="12">
        <f>IFERROR(IF(SUMIFS(tblDaily[Discharges],tblDaily[EntryDate],DATE(2026,8,20),tblDaily[WardCode],"NICU")=0,"",SUMIFS(tblDaily[Discharges],tblDaily[EntryDate],DATE(2026,8,20),tblDaily[WardCode],"NICU")),"")</f>
        <v/>
      </c>
      <c r="D299" s="12">
        <f>IFERROR(IF(SUMIFS(tblDaily[Deaths],tblDaily[EntryDate],DATE(2026,8,20),tblDaily[WardCode],"NICU")=0,"",SUMIFS(tblDaily[Deaths],tblDaily[EntryDate],DATE(2026,8,20),tblDaily[WardCode],"NICU")),"")</f>
        <v/>
      </c>
      <c r="E299" s="12">
        <f>IFERROR(IF(SUMIFS(tblDaily[DeathsUnder24Hrs],tblDaily[EntryDate],DATE(2026,8,20),tblDaily[WardCode],"NICU")=0,"",SUMIFS(tblDaily[DeathsUnder24Hrs],tblDaily[EntryDate],DATE(2026,8,20),tblDaily[WardCode],"NICU")),"")</f>
        <v/>
      </c>
      <c r="F299" s="12">
        <f>IFERROR(IF(SUMIFS(tblDaily[TransfersIn],tblDaily[EntryDate],DATE(2026,8,20),tblDaily[WardCode],"NICU")=0,"",SUMIFS(tblDaily[TransfersIn],tblDaily[EntryDate],DATE(2026,8,20),tblDaily[WardCode],"NICU")),"")</f>
        <v/>
      </c>
      <c r="G299" s="12">
        <f>IFERROR(IF(SUMIFS(tblDaily[TransfersOut],tblDaily[EntryDate],DATE(2026,8,20),tblDaily[WardCode],"NICU")=0,"",SUMIFS(tblDaily[TransfersOut],tblDaily[EntryDate],DATE(2026,8,20),tblDaily[WardCode],"NICU")),"")</f>
        <v/>
      </c>
      <c r="H299" s="12">
        <f>IFERROR(IF(SUMIFS(tblDaily[Remaining],tblDaily[EntryDate],DATE(2026,8,20),tblDaily[WardCode],"NICU")=0,"",SUMIFS(tblDaily[Remaining],tblDaily[EntryDate],DATE(2026,8,20),tblDaily[WardCode],"NICU")),"")</f>
        <v/>
      </c>
    </row>
    <row r="300">
      <c r="A300" s="12" t="n">
        <v>21</v>
      </c>
      <c r="B300" s="12">
        <f>IFERROR(IF(SUMIFS(tblDaily[Admissions],tblDaily[EntryDate],DATE(2026,8,21),tblDaily[WardCode],"NICU")=0,"",SUMIFS(tblDaily[Admissions],tblDaily[EntryDate],DATE(2026,8,21),tblDaily[WardCode],"NICU")),"")</f>
        <v/>
      </c>
      <c r="C300" s="12">
        <f>IFERROR(IF(SUMIFS(tblDaily[Discharges],tblDaily[EntryDate],DATE(2026,8,21),tblDaily[WardCode],"NICU")=0,"",SUMIFS(tblDaily[Discharges],tblDaily[EntryDate],DATE(2026,8,21),tblDaily[WardCode],"NICU")),"")</f>
        <v/>
      </c>
      <c r="D300" s="12">
        <f>IFERROR(IF(SUMIFS(tblDaily[Deaths],tblDaily[EntryDate],DATE(2026,8,21),tblDaily[WardCode],"NICU")=0,"",SUMIFS(tblDaily[Deaths],tblDaily[EntryDate],DATE(2026,8,21),tblDaily[WardCode],"NICU")),"")</f>
        <v/>
      </c>
      <c r="E300" s="12">
        <f>IFERROR(IF(SUMIFS(tblDaily[DeathsUnder24Hrs],tblDaily[EntryDate],DATE(2026,8,21),tblDaily[WardCode],"NICU")=0,"",SUMIFS(tblDaily[DeathsUnder24Hrs],tblDaily[EntryDate],DATE(2026,8,21),tblDaily[WardCode],"NICU")),"")</f>
        <v/>
      </c>
      <c r="F300" s="12">
        <f>IFERROR(IF(SUMIFS(tblDaily[TransfersIn],tblDaily[EntryDate],DATE(2026,8,21),tblDaily[WardCode],"NICU")=0,"",SUMIFS(tblDaily[TransfersIn],tblDaily[EntryDate],DATE(2026,8,21),tblDaily[WardCode],"NICU")),"")</f>
        <v/>
      </c>
      <c r="G300" s="12">
        <f>IFERROR(IF(SUMIFS(tblDaily[TransfersOut],tblDaily[EntryDate],DATE(2026,8,21),tblDaily[WardCode],"NICU")=0,"",SUMIFS(tblDaily[TransfersOut],tblDaily[EntryDate],DATE(2026,8,21),tblDaily[WardCode],"NICU")),"")</f>
        <v/>
      </c>
      <c r="H300" s="12">
        <f>IFERROR(IF(SUMIFS(tblDaily[Remaining],tblDaily[EntryDate],DATE(2026,8,21),tblDaily[WardCode],"NICU")=0,"",SUMIFS(tblDaily[Remaining],tblDaily[EntryDate],DATE(2026,8,21),tblDaily[WardCode],"NICU")),"")</f>
        <v/>
      </c>
    </row>
    <row r="301">
      <c r="A301" s="12" t="n">
        <v>22</v>
      </c>
      <c r="B301" s="12">
        <f>IFERROR(IF(SUMIFS(tblDaily[Admissions],tblDaily[EntryDate],DATE(2026,8,22),tblDaily[WardCode],"NICU")=0,"",SUMIFS(tblDaily[Admissions],tblDaily[EntryDate],DATE(2026,8,22),tblDaily[WardCode],"NICU")),"")</f>
        <v/>
      </c>
      <c r="C301" s="12">
        <f>IFERROR(IF(SUMIFS(tblDaily[Discharges],tblDaily[EntryDate],DATE(2026,8,22),tblDaily[WardCode],"NICU")=0,"",SUMIFS(tblDaily[Discharges],tblDaily[EntryDate],DATE(2026,8,22),tblDaily[WardCode],"NICU")),"")</f>
        <v/>
      </c>
      <c r="D301" s="12">
        <f>IFERROR(IF(SUMIFS(tblDaily[Deaths],tblDaily[EntryDate],DATE(2026,8,22),tblDaily[WardCode],"NICU")=0,"",SUMIFS(tblDaily[Deaths],tblDaily[EntryDate],DATE(2026,8,22),tblDaily[WardCode],"NICU")),"")</f>
        <v/>
      </c>
      <c r="E301" s="12">
        <f>IFERROR(IF(SUMIFS(tblDaily[DeathsUnder24Hrs],tblDaily[EntryDate],DATE(2026,8,22),tblDaily[WardCode],"NICU")=0,"",SUMIFS(tblDaily[DeathsUnder24Hrs],tblDaily[EntryDate],DATE(2026,8,22),tblDaily[WardCode],"NICU")),"")</f>
        <v/>
      </c>
      <c r="F301" s="12">
        <f>IFERROR(IF(SUMIFS(tblDaily[TransfersIn],tblDaily[EntryDate],DATE(2026,8,22),tblDaily[WardCode],"NICU")=0,"",SUMIFS(tblDaily[TransfersIn],tblDaily[EntryDate],DATE(2026,8,22),tblDaily[WardCode],"NICU")),"")</f>
        <v/>
      </c>
      <c r="G301" s="12">
        <f>IFERROR(IF(SUMIFS(tblDaily[TransfersOut],tblDaily[EntryDate],DATE(2026,8,22),tblDaily[WardCode],"NICU")=0,"",SUMIFS(tblDaily[TransfersOut],tblDaily[EntryDate],DATE(2026,8,22),tblDaily[WardCode],"NICU")),"")</f>
        <v/>
      </c>
      <c r="H301" s="12">
        <f>IFERROR(IF(SUMIFS(tblDaily[Remaining],tblDaily[EntryDate],DATE(2026,8,22),tblDaily[WardCode],"NICU")=0,"",SUMIFS(tblDaily[Remaining],tblDaily[EntryDate],DATE(2026,8,22),tblDaily[WardCode],"NICU")),"")</f>
        <v/>
      </c>
    </row>
    <row r="302">
      <c r="A302" s="12" t="n">
        <v>23</v>
      </c>
      <c r="B302" s="12">
        <f>IFERROR(IF(SUMIFS(tblDaily[Admissions],tblDaily[EntryDate],DATE(2026,8,23),tblDaily[WardCode],"NICU")=0,"",SUMIFS(tblDaily[Admissions],tblDaily[EntryDate],DATE(2026,8,23),tblDaily[WardCode],"NICU")),"")</f>
        <v/>
      </c>
      <c r="C302" s="12">
        <f>IFERROR(IF(SUMIFS(tblDaily[Discharges],tblDaily[EntryDate],DATE(2026,8,23),tblDaily[WardCode],"NICU")=0,"",SUMIFS(tblDaily[Discharges],tblDaily[EntryDate],DATE(2026,8,23),tblDaily[WardCode],"NICU")),"")</f>
        <v/>
      </c>
      <c r="D302" s="12">
        <f>IFERROR(IF(SUMIFS(tblDaily[Deaths],tblDaily[EntryDate],DATE(2026,8,23),tblDaily[WardCode],"NICU")=0,"",SUMIFS(tblDaily[Deaths],tblDaily[EntryDate],DATE(2026,8,23),tblDaily[WardCode],"NICU")),"")</f>
        <v/>
      </c>
      <c r="E302" s="12">
        <f>IFERROR(IF(SUMIFS(tblDaily[DeathsUnder24Hrs],tblDaily[EntryDate],DATE(2026,8,23),tblDaily[WardCode],"NICU")=0,"",SUMIFS(tblDaily[DeathsUnder24Hrs],tblDaily[EntryDate],DATE(2026,8,23),tblDaily[WardCode],"NICU")),"")</f>
        <v/>
      </c>
      <c r="F302" s="12">
        <f>IFERROR(IF(SUMIFS(tblDaily[TransfersIn],tblDaily[EntryDate],DATE(2026,8,23),tblDaily[WardCode],"NICU")=0,"",SUMIFS(tblDaily[TransfersIn],tblDaily[EntryDate],DATE(2026,8,23),tblDaily[WardCode],"NICU")),"")</f>
        <v/>
      </c>
      <c r="G302" s="12">
        <f>IFERROR(IF(SUMIFS(tblDaily[TransfersOut],tblDaily[EntryDate],DATE(2026,8,23),tblDaily[WardCode],"NICU")=0,"",SUMIFS(tblDaily[TransfersOut],tblDaily[EntryDate],DATE(2026,8,23),tblDaily[WardCode],"NICU")),"")</f>
        <v/>
      </c>
      <c r="H302" s="12">
        <f>IFERROR(IF(SUMIFS(tblDaily[Remaining],tblDaily[EntryDate],DATE(2026,8,23),tblDaily[WardCode],"NICU")=0,"",SUMIFS(tblDaily[Remaining],tblDaily[EntryDate],DATE(2026,8,23),tblDaily[WardCode],"NICU")),"")</f>
        <v/>
      </c>
    </row>
    <row r="303">
      <c r="A303" s="12" t="n">
        <v>24</v>
      </c>
      <c r="B303" s="12">
        <f>IFERROR(IF(SUMIFS(tblDaily[Admissions],tblDaily[EntryDate],DATE(2026,8,24),tblDaily[WardCode],"NICU")=0,"",SUMIFS(tblDaily[Admissions],tblDaily[EntryDate],DATE(2026,8,24),tblDaily[WardCode],"NICU")),"")</f>
        <v/>
      </c>
      <c r="C303" s="12">
        <f>IFERROR(IF(SUMIFS(tblDaily[Discharges],tblDaily[EntryDate],DATE(2026,8,24),tblDaily[WardCode],"NICU")=0,"",SUMIFS(tblDaily[Discharges],tblDaily[EntryDate],DATE(2026,8,24),tblDaily[WardCode],"NICU")),"")</f>
        <v/>
      </c>
      <c r="D303" s="12">
        <f>IFERROR(IF(SUMIFS(tblDaily[Deaths],tblDaily[EntryDate],DATE(2026,8,24),tblDaily[WardCode],"NICU")=0,"",SUMIFS(tblDaily[Deaths],tblDaily[EntryDate],DATE(2026,8,24),tblDaily[WardCode],"NICU")),"")</f>
        <v/>
      </c>
      <c r="E303" s="12">
        <f>IFERROR(IF(SUMIFS(tblDaily[DeathsUnder24Hrs],tblDaily[EntryDate],DATE(2026,8,24),tblDaily[WardCode],"NICU")=0,"",SUMIFS(tblDaily[DeathsUnder24Hrs],tblDaily[EntryDate],DATE(2026,8,24),tblDaily[WardCode],"NICU")),"")</f>
        <v/>
      </c>
      <c r="F303" s="12">
        <f>IFERROR(IF(SUMIFS(tblDaily[TransfersIn],tblDaily[EntryDate],DATE(2026,8,24),tblDaily[WardCode],"NICU")=0,"",SUMIFS(tblDaily[TransfersIn],tblDaily[EntryDate],DATE(2026,8,24),tblDaily[WardCode],"NICU")),"")</f>
        <v/>
      </c>
      <c r="G303" s="12">
        <f>IFERROR(IF(SUMIFS(tblDaily[TransfersOut],tblDaily[EntryDate],DATE(2026,8,24),tblDaily[WardCode],"NICU")=0,"",SUMIFS(tblDaily[TransfersOut],tblDaily[EntryDate],DATE(2026,8,24),tblDaily[WardCode],"NICU")),"")</f>
        <v/>
      </c>
      <c r="H303" s="12">
        <f>IFERROR(IF(SUMIFS(tblDaily[Remaining],tblDaily[EntryDate],DATE(2026,8,24),tblDaily[WardCode],"NICU")=0,"",SUMIFS(tblDaily[Remaining],tblDaily[EntryDate],DATE(2026,8,24),tblDaily[WardCode],"NICU")),"")</f>
        <v/>
      </c>
    </row>
    <row r="304">
      <c r="A304" s="12" t="n">
        <v>25</v>
      </c>
      <c r="B304" s="12">
        <f>IFERROR(IF(SUMIFS(tblDaily[Admissions],tblDaily[EntryDate],DATE(2026,8,25),tblDaily[WardCode],"NICU")=0,"",SUMIFS(tblDaily[Admissions],tblDaily[EntryDate],DATE(2026,8,25),tblDaily[WardCode],"NICU")),"")</f>
        <v/>
      </c>
      <c r="C304" s="12">
        <f>IFERROR(IF(SUMIFS(tblDaily[Discharges],tblDaily[EntryDate],DATE(2026,8,25),tblDaily[WardCode],"NICU")=0,"",SUMIFS(tblDaily[Discharges],tblDaily[EntryDate],DATE(2026,8,25),tblDaily[WardCode],"NICU")),"")</f>
        <v/>
      </c>
      <c r="D304" s="12">
        <f>IFERROR(IF(SUMIFS(tblDaily[Deaths],tblDaily[EntryDate],DATE(2026,8,25),tblDaily[WardCode],"NICU")=0,"",SUMIFS(tblDaily[Deaths],tblDaily[EntryDate],DATE(2026,8,25),tblDaily[WardCode],"NICU")),"")</f>
        <v/>
      </c>
      <c r="E304" s="12">
        <f>IFERROR(IF(SUMIFS(tblDaily[DeathsUnder24Hrs],tblDaily[EntryDate],DATE(2026,8,25),tblDaily[WardCode],"NICU")=0,"",SUMIFS(tblDaily[DeathsUnder24Hrs],tblDaily[EntryDate],DATE(2026,8,25),tblDaily[WardCode],"NICU")),"")</f>
        <v/>
      </c>
      <c r="F304" s="12">
        <f>IFERROR(IF(SUMIFS(tblDaily[TransfersIn],tblDaily[EntryDate],DATE(2026,8,25),tblDaily[WardCode],"NICU")=0,"",SUMIFS(tblDaily[TransfersIn],tblDaily[EntryDate],DATE(2026,8,25),tblDaily[WardCode],"NICU")),"")</f>
        <v/>
      </c>
      <c r="G304" s="12">
        <f>IFERROR(IF(SUMIFS(tblDaily[TransfersOut],tblDaily[EntryDate],DATE(2026,8,25),tblDaily[WardCode],"NICU")=0,"",SUMIFS(tblDaily[TransfersOut],tblDaily[EntryDate],DATE(2026,8,25),tblDaily[WardCode],"NICU")),"")</f>
        <v/>
      </c>
      <c r="H304" s="12">
        <f>IFERROR(IF(SUMIFS(tblDaily[Remaining],tblDaily[EntryDate],DATE(2026,8,25),tblDaily[WardCode],"NICU")=0,"",SUMIFS(tblDaily[Remaining],tblDaily[EntryDate],DATE(2026,8,25),tblDaily[WardCode],"NICU")),"")</f>
        <v/>
      </c>
    </row>
    <row r="305">
      <c r="A305" s="12" t="n">
        <v>26</v>
      </c>
      <c r="B305" s="12">
        <f>IFERROR(IF(SUMIFS(tblDaily[Admissions],tblDaily[EntryDate],DATE(2026,8,26),tblDaily[WardCode],"NICU")=0,"",SUMIFS(tblDaily[Admissions],tblDaily[EntryDate],DATE(2026,8,26),tblDaily[WardCode],"NICU")),"")</f>
        <v/>
      </c>
      <c r="C305" s="12">
        <f>IFERROR(IF(SUMIFS(tblDaily[Discharges],tblDaily[EntryDate],DATE(2026,8,26),tblDaily[WardCode],"NICU")=0,"",SUMIFS(tblDaily[Discharges],tblDaily[EntryDate],DATE(2026,8,26),tblDaily[WardCode],"NICU")),"")</f>
        <v/>
      </c>
      <c r="D305" s="12">
        <f>IFERROR(IF(SUMIFS(tblDaily[Deaths],tblDaily[EntryDate],DATE(2026,8,26),tblDaily[WardCode],"NICU")=0,"",SUMIFS(tblDaily[Deaths],tblDaily[EntryDate],DATE(2026,8,26),tblDaily[WardCode],"NICU")),"")</f>
        <v/>
      </c>
      <c r="E305" s="12">
        <f>IFERROR(IF(SUMIFS(tblDaily[DeathsUnder24Hrs],tblDaily[EntryDate],DATE(2026,8,26),tblDaily[WardCode],"NICU")=0,"",SUMIFS(tblDaily[DeathsUnder24Hrs],tblDaily[EntryDate],DATE(2026,8,26),tblDaily[WardCode],"NICU")),"")</f>
        <v/>
      </c>
      <c r="F305" s="12">
        <f>IFERROR(IF(SUMIFS(tblDaily[TransfersIn],tblDaily[EntryDate],DATE(2026,8,26),tblDaily[WardCode],"NICU")=0,"",SUMIFS(tblDaily[TransfersIn],tblDaily[EntryDate],DATE(2026,8,26),tblDaily[WardCode],"NICU")),"")</f>
        <v/>
      </c>
      <c r="G305" s="12">
        <f>IFERROR(IF(SUMIFS(tblDaily[TransfersOut],tblDaily[EntryDate],DATE(2026,8,26),tblDaily[WardCode],"NICU")=0,"",SUMIFS(tblDaily[TransfersOut],tblDaily[EntryDate],DATE(2026,8,26),tblDaily[WardCode],"NICU")),"")</f>
        <v/>
      </c>
      <c r="H305" s="12">
        <f>IFERROR(IF(SUMIFS(tblDaily[Remaining],tblDaily[EntryDate],DATE(2026,8,26),tblDaily[WardCode],"NICU")=0,"",SUMIFS(tblDaily[Remaining],tblDaily[EntryDate],DATE(2026,8,26),tblDaily[WardCode],"NICU")),"")</f>
        <v/>
      </c>
    </row>
    <row r="306">
      <c r="A306" s="12" t="n">
        <v>27</v>
      </c>
      <c r="B306" s="12">
        <f>IFERROR(IF(SUMIFS(tblDaily[Admissions],tblDaily[EntryDate],DATE(2026,8,27),tblDaily[WardCode],"NICU")=0,"",SUMIFS(tblDaily[Admissions],tblDaily[EntryDate],DATE(2026,8,27),tblDaily[WardCode],"NICU")),"")</f>
        <v/>
      </c>
      <c r="C306" s="12">
        <f>IFERROR(IF(SUMIFS(tblDaily[Discharges],tblDaily[EntryDate],DATE(2026,8,27),tblDaily[WardCode],"NICU")=0,"",SUMIFS(tblDaily[Discharges],tblDaily[EntryDate],DATE(2026,8,27),tblDaily[WardCode],"NICU")),"")</f>
        <v/>
      </c>
      <c r="D306" s="12">
        <f>IFERROR(IF(SUMIFS(tblDaily[Deaths],tblDaily[EntryDate],DATE(2026,8,27),tblDaily[WardCode],"NICU")=0,"",SUMIFS(tblDaily[Deaths],tblDaily[EntryDate],DATE(2026,8,27),tblDaily[WardCode],"NICU")),"")</f>
        <v/>
      </c>
      <c r="E306" s="12">
        <f>IFERROR(IF(SUMIFS(tblDaily[DeathsUnder24Hrs],tblDaily[EntryDate],DATE(2026,8,27),tblDaily[WardCode],"NICU")=0,"",SUMIFS(tblDaily[DeathsUnder24Hrs],tblDaily[EntryDate],DATE(2026,8,27),tblDaily[WardCode],"NICU")),"")</f>
        <v/>
      </c>
      <c r="F306" s="12">
        <f>IFERROR(IF(SUMIFS(tblDaily[TransfersIn],tblDaily[EntryDate],DATE(2026,8,27),tblDaily[WardCode],"NICU")=0,"",SUMIFS(tblDaily[TransfersIn],tblDaily[EntryDate],DATE(2026,8,27),tblDaily[WardCode],"NICU")),"")</f>
        <v/>
      </c>
      <c r="G306" s="12">
        <f>IFERROR(IF(SUMIFS(tblDaily[TransfersOut],tblDaily[EntryDate],DATE(2026,8,27),tblDaily[WardCode],"NICU")=0,"",SUMIFS(tblDaily[TransfersOut],tblDaily[EntryDate],DATE(2026,8,27),tblDaily[WardCode],"NICU")),"")</f>
        <v/>
      </c>
      <c r="H306" s="12">
        <f>IFERROR(IF(SUMIFS(tblDaily[Remaining],tblDaily[EntryDate],DATE(2026,8,27),tblDaily[WardCode],"NICU")=0,"",SUMIFS(tblDaily[Remaining],tblDaily[EntryDate],DATE(2026,8,27),tblDaily[WardCode],"NICU")),"")</f>
        <v/>
      </c>
    </row>
    <row r="307">
      <c r="A307" s="12" t="n">
        <v>28</v>
      </c>
      <c r="B307" s="12">
        <f>IFERROR(IF(SUMIFS(tblDaily[Admissions],tblDaily[EntryDate],DATE(2026,8,28),tblDaily[WardCode],"NICU")=0,"",SUMIFS(tblDaily[Admissions],tblDaily[EntryDate],DATE(2026,8,28),tblDaily[WardCode],"NICU")),"")</f>
        <v/>
      </c>
      <c r="C307" s="12">
        <f>IFERROR(IF(SUMIFS(tblDaily[Discharges],tblDaily[EntryDate],DATE(2026,8,28),tblDaily[WardCode],"NICU")=0,"",SUMIFS(tblDaily[Discharges],tblDaily[EntryDate],DATE(2026,8,28),tblDaily[WardCode],"NICU")),"")</f>
        <v/>
      </c>
      <c r="D307" s="12">
        <f>IFERROR(IF(SUMIFS(tblDaily[Deaths],tblDaily[EntryDate],DATE(2026,8,28),tblDaily[WardCode],"NICU")=0,"",SUMIFS(tblDaily[Deaths],tblDaily[EntryDate],DATE(2026,8,28),tblDaily[WardCode],"NICU")),"")</f>
        <v/>
      </c>
      <c r="E307" s="12">
        <f>IFERROR(IF(SUMIFS(tblDaily[DeathsUnder24Hrs],tblDaily[EntryDate],DATE(2026,8,28),tblDaily[WardCode],"NICU")=0,"",SUMIFS(tblDaily[DeathsUnder24Hrs],tblDaily[EntryDate],DATE(2026,8,28),tblDaily[WardCode],"NICU")),"")</f>
        <v/>
      </c>
      <c r="F307" s="12">
        <f>IFERROR(IF(SUMIFS(tblDaily[TransfersIn],tblDaily[EntryDate],DATE(2026,8,28),tblDaily[WardCode],"NICU")=0,"",SUMIFS(tblDaily[TransfersIn],tblDaily[EntryDate],DATE(2026,8,28),tblDaily[WardCode],"NICU")),"")</f>
        <v/>
      </c>
      <c r="G307" s="12">
        <f>IFERROR(IF(SUMIFS(tblDaily[TransfersOut],tblDaily[EntryDate],DATE(2026,8,28),tblDaily[WardCode],"NICU")=0,"",SUMIFS(tblDaily[TransfersOut],tblDaily[EntryDate],DATE(2026,8,28),tblDaily[WardCode],"NICU")),"")</f>
        <v/>
      </c>
      <c r="H307" s="12">
        <f>IFERROR(IF(SUMIFS(tblDaily[Remaining],tblDaily[EntryDate],DATE(2026,8,28),tblDaily[WardCode],"NICU")=0,"",SUMIFS(tblDaily[Remaining],tblDaily[EntryDate],DATE(2026,8,28),tblDaily[WardCode],"NICU")),"")</f>
        <v/>
      </c>
    </row>
    <row r="308">
      <c r="A308" s="12" t="n">
        <v>29</v>
      </c>
      <c r="B308" s="12">
        <f>IFERROR(IF(SUMIFS(tblDaily[Admissions],tblDaily[EntryDate],DATE(2026,8,29),tblDaily[WardCode],"NICU")=0,"",SUMIFS(tblDaily[Admissions],tblDaily[EntryDate],DATE(2026,8,29),tblDaily[WardCode],"NICU")),"")</f>
        <v/>
      </c>
      <c r="C308" s="12">
        <f>IFERROR(IF(SUMIFS(tblDaily[Discharges],tblDaily[EntryDate],DATE(2026,8,29),tblDaily[WardCode],"NICU")=0,"",SUMIFS(tblDaily[Discharges],tblDaily[EntryDate],DATE(2026,8,29),tblDaily[WardCode],"NICU")),"")</f>
        <v/>
      </c>
      <c r="D308" s="12">
        <f>IFERROR(IF(SUMIFS(tblDaily[Deaths],tblDaily[EntryDate],DATE(2026,8,29),tblDaily[WardCode],"NICU")=0,"",SUMIFS(tblDaily[Deaths],tblDaily[EntryDate],DATE(2026,8,29),tblDaily[WardCode],"NICU")),"")</f>
        <v/>
      </c>
      <c r="E308" s="12">
        <f>IFERROR(IF(SUMIFS(tblDaily[DeathsUnder24Hrs],tblDaily[EntryDate],DATE(2026,8,29),tblDaily[WardCode],"NICU")=0,"",SUMIFS(tblDaily[DeathsUnder24Hrs],tblDaily[EntryDate],DATE(2026,8,29),tblDaily[WardCode],"NICU")),"")</f>
        <v/>
      </c>
      <c r="F308" s="12">
        <f>IFERROR(IF(SUMIFS(tblDaily[TransfersIn],tblDaily[EntryDate],DATE(2026,8,29),tblDaily[WardCode],"NICU")=0,"",SUMIFS(tblDaily[TransfersIn],tblDaily[EntryDate],DATE(2026,8,29),tblDaily[WardCode],"NICU")),"")</f>
        <v/>
      </c>
      <c r="G308" s="12">
        <f>IFERROR(IF(SUMIFS(tblDaily[TransfersOut],tblDaily[EntryDate],DATE(2026,8,29),tblDaily[WardCode],"NICU")=0,"",SUMIFS(tblDaily[TransfersOut],tblDaily[EntryDate],DATE(2026,8,29),tblDaily[WardCode],"NICU")),"")</f>
        <v/>
      </c>
      <c r="H308" s="12">
        <f>IFERROR(IF(SUMIFS(tblDaily[Remaining],tblDaily[EntryDate],DATE(2026,8,29),tblDaily[WardCode],"NICU")=0,"",SUMIFS(tblDaily[Remaining],tblDaily[EntryDate],DATE(2026,8,29),tblDaily[WardCode],"NICU")),"")</f>
        <v/>
      </c>
    </row>
    <row r="309">
      <c r="A309" s="12" t="n">
        <v>30</v>
      </c>
      <c r="B309" s="12">
        <f>IFERROR(IF(SUMIFS(tblDaily[Admissions],tblDaily[EntryDate],DATE(2026,8,30),tblDaily[WardCode],"NICU")=0,"",SUMIFS(tblDaily[Admissions],tblDaily[EntryDate],DATE(2026,8,30),tblDaily[WardCode],"NICU")),"")</f>
        <v/>
      </c>
      <c r="C309" s="12">
        <f>IFERROR(IF(SUMIFS(tblDaily[Discharges],tblDaily[EntryDate],DATE(2026,8,30),tblDaily[WardCode],"NICU")=0,"",SUMIFS(tblDaily[Discharges],tblDaily[EntryDate],DATE(2026,8,30),tblDaily[WardCode],"NICU")),"")</f>
        <v/>
      </c>
      <c r="D309" s="12">
        <f>IFERROR(IF(SUMIFS(tblDaily[Deaths],tblDaily[EntryDate],DATE(2026,8,30),tblDaily[WardCode],"NICU")=0,"",SUMIFS(tblDaily[Deaths],tblDaily[EntryDate],DATE(2026,8,30),tblDaily[WardCode],"NICU")),"")</f>
        <v/>
      </c>
      <c r="E309" s="12">
        <f>IFERROR(IF(SUMIFS(tblDaily[DeathsUnder24Hrs],tblDaily[EntryDate],DATE(2026,8,30),tblDaily[WardCode],"NICU")=0,"",SUMIFS(tblDaily[DeathsUnder24Hrs],tblDaily[EntryDate],DATE(2026,8,30),tblDaily[WardCode],"NICU")),"")</f>
        <v/>
      </c>
      <c r="F309" s="12">
        <f>IFERROR(IF(SUMIFS(tblDaily[TransfersIn],tblDaily[EntryDate],DATE(2026,8,30),tblDaily[WardCode],"NICU")=0,"",SUMIFS(tblDaily[TransfersIn],tblDaily[EntryDate],DATE(2026,8,30),tblDaily[WardCode],"NICU")),"")</f>
        <v/>
      </c>
      <c r="G309" s="12">
        <f>IFERROR(IF(SUMIFS(tblDaily[TransfersOut],tblDaily[EntryDate],DATE(2026,8,30),tblDaily[WardCode],"NICU")=0,"",SUMIFS(tblDaily[TransfersOut],tblDaily[EntryDate],DATE(2026,8,30),tblDaily[WardCode],"NICU")),"")</f>
        <v/>
      </c>
      <c r="H309" s="12">
        <f>IFERROR(IF(SUMIFS(tblDaily[Remaining],tblDaily[EntryDate],DATE(2026,8,30),tblDaily[WardCode],"NICU")=0,"",SUMIFS(tblDaily[Remaining],tblDaily[EntryDate],DATE(2026,8,30),tblDaily[WardCode],"NICU")),"")</f>
        <v/>
      </c>
    </row>
    <row r="310">
      <c r="A310" s="12" t="n">
        <v>31</v>
      </c>
      <c r="B310" s="12">
        <f>IFERROR(IF(SUMIFS(tblDaily[Admissions],tblDaily[EntryDate],DATE(2026,8,31),tblDaily[WardCode],"NICU")=0,"",SUMIFS(tblDaily[Admissions],tblDaily[EntryDate],DATE(2026,8,31),tblDaily[WardCode],"NICU")),"")</f>
        <v/>
      </c>
      <c r="C310" s="12">
        <f>IFERROR(IF(SUMIFS(tblDaily[Discharges],tblDaily[EntryDate],DATE(2026,8,31),tblDaily[WardCode],"NICU")=0,"",SUMIFS(tblDaily[Discharges],tblDaily[EntryDate],DATE(2026,8,31),tblDaily[WardCode],"NICU")),"")</f>
        <v/>
      </c>
      <c r="D310" s="12">
        <f>IFERROR(IF(SUMIFS(tblDaily[Deaths],tblDaily[EntryDate],DATE(2026,8,31),tblDaily[WardCode],"NICU")=0,"",SUMIFS(tblDaily[Deaths],tblDaily[EntryDate],DATE(2026,8,31),tblDaily[WardCode],"NICU")),"")</f>
        <v/>
      </c>
      <c r="E310" s="12">
        <f>IFERROR(IF(SUMIFS(tblDaily[DeathsUnder24Hrs],tblDaily[EntryDate],DATE(2026,8,31),tblDaily[WardCode],"NICU")=0,"",SUMIFS(tblDaily[DeathsUnder24Hrs],tblDaily[EntryDate],DATE(2026,8,31),tblDaily[WardCode],"NICU")),"")</f>
        <v/>
      </c>
      <c r="F310" s="12">
        <f>IFERROR(IF(SUMIFS(tblDaily[TransfersIn],tblDaily[EntryDate],DATE(2026,8,31),tblDaily[WardCode],"NICU")=0,"",SUMIFS(tblDaily[TransfersIn],tblDaily[EntryDate],DATE(2026,8,31),tblDaily[WardCode],"NICU")),"")</f>
        <v/>
      </c>
      <c r="G310" s="12">
        <f>IFERROR(IF(SUMIFS(tblDaily[TransfersOut],tblDaily[EntryDate],DATE(2026,8,31),tblDaily[WardCode],"NICU")=0,"",SUMIFS(tblDaily[TransfersOut],tblDaily[EntryDate],DATE(2026,8,31),tblDaily[WardCode],"NICU")),"")</f>
        <v/>
      </c>
      <c r="H310" s="12">
        <f>IFERROR(IF(SUMIFS(tblDaily[Remaining],tblDaily[EntryDate],DATE(2026,8,31),tblDaily[WardCode],"NICU")=0,"",SUMIFS(tblDaily[Remaining],tblDaily[EntryDate],DATE(2026,8,31),tblDaily[WardCode],"NICU")),"")</f>
        <v/>
      </c>
    </row>
    <row r="311">
      <c r="A311" s="17" t="inlineStr">
        <is>
          <t>TOTAL</t>
        </is>
      </c>
      <c r="B311" s="17">
        <f>SUMIFS(tblDaily[Admissions],tblDaily[Month],8,tblDaily[WardCode],"NICU") - SUMIFS(tblDaily[DeathsUnder24Hrs],tblDaily[Month],8,tblDaily[WardCode],"NICU")</f>
        <v/>
      </c>
      <c r="C311" s="17">
        <f>SUMIFS(tblDaily[Discharges],tblDaily[Month],8,tblDaily[WardCode],"NICU")</f>
        <v/>
      </c>
      <c r="D311" s="17">
        <f>SUMIFS(tblDaily[Deaths],tblDaily[Month],8,tblDaily[WardCode],"NICU")</f>
        <v/>
      </c>
      <c r="E311" s="17">
        <f>SUMIFS(tblDaily[DeathsUnder24Hrs],tblDaily[Month],8,tblDaily[WardCode],"NICU")</f>
        <v/>
      </c>
      <c r="F311" s="17">
        <f>SUMIFS(tblDaily[TransfersIn],tblDaily[Month],8,tblDaily[WardCode],"NICU")</f>
        <v/>
      </c>
      <c r="G311" s="17">
        <f>SUMIFS(tblDaily[TransfersOut],tblDaily[Month],8,tblDaily[WardCode],"NICU")</f>
        <v/>
      </c>
      <c r="H311" s="17">
        <f>SUMIFS(tblDaily[Remaining],tblDaily[Month],8,tblDaily[WardCode],"NICU")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NEONATAL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4">
        <f>IFERROR(SUMIFS(tblDaily[Remaining],tblDaily[EntryDate],DATE(2026,8,31),tblDaily[WardCode],"NICU"),0)</f>
        <v/>
      </c>
    </row>
    <row r="317">
      <c r="A317" s="4" t="inlineStr">
        <is>
          <t>Bed complement</t>
        </is>
      </c>
      <c r="H317" s="15">
        <f>IFERROR(INDEX(tblWardConfig[BedComplement],MATCH("NICU",tblWardConfig[WardCode],0)),0)</f>
        <v/>
      </c>
    </row>
    <row r="318">
      <c r="A318" s="16" t="inlineStr">
        <is>
          <t>Day of
the
Month</t>
        </is>
      </c>
      <c r="B318" s="16" t="inlineStr">
        <is>
          <t>Admissions</t>
        </is>
      </c>
      <c r="C318" s="16" t="inlineStr">
        <is>
          <t>Discharges</t>
        </is>
      </c>
      <c r="D318" s="16" t="inlineStr">
        <is>
          <t>Deaths</t>
        </is>
      </c>
      <c r="E318" s="16" t="inlineStr">
        <is>
          <t>Deaths
&lt;24Hrs</t>
        </is>
      </c>
      <c r="F318" s="16" t="inlineStr">
        <is>
          <t>Transfers-
In</t>
        </is>
      </c>
      <c r="G318" s="16" t="inlineStr">
        <is>
          <t>Transfers-
Out</t>
        </is>
      </c>
      <c r="H318" s="16" t="inlineStr">
        <is>
          <t>No. of Patients
Remaining In
Ward</t>
        </is>
      </c>
    </row>
    <row r="319">
      <c r="A319" s="12" t="n">
        <v>1</v>
      </c>
      <c r="B319" s="12">
        <f>IFERROR(IF(SUMIFS(tblDaily[Admissions],tblDaily[EntryDate],DATE(2026,9,1),tblDaily[WardCode],"NICU")=0,"",SUMIFS(tblDaily[Admissions],tblDaily[EntryDate],DATE(2026,9,1),tblDaily[WardCode],"NICU")),"")</f>
        <v/>
      </c>
      <c r="C319" s="12">
        <f>IFERROR(IF(SUMIFS(tblDaily[Discharges],tblDaily[EntryDate],DATE(2026,9,1),tblDaily[WardCode],"NICU")=0,"",SUMIFS(tblDaily[Discharges],tblDaily[EntryDate],DATE(2026,9,1),tblDaily[WardCode],"NICU")),"")</f>
        <v/>
      </c>
      <c r="D319" s="12">
        <f>IFERROR(IF(SUMIFS(tblDaily[Deaths],tblDaily[EntryDate],DATE(2026,9,1),tblDaily[WardCode],"NICU")=0,"",SUMIFS(tblDaily[Deaths],tblDaily[EntryDate],DATE(2026,9,1),tblDaily[WardCode],"NICU")),"")</f>
        <v/>
      </c>
      <c r="E319" s="12">
        <f>IFERROR(IF(SUMIFS(tblDaily[DeathsUnder24Hrs],tblDaily[EntryDate],DATE(2026,9,1),tblDaily[WardCode],"NICU")=0,"",SUMIFS(tblDaily[DeathsUnder24Hrs],tblDaily[EntryDate],DATE(2026,9,1),tblDaily[WardCode],"NICU")),"")</f>
        <v/>
      </c>
      <c r="F319" s="12">
        <f>IFERROR(IF(SUMIFS(tblDaily[TransfersIn],tblDaily[EntryDate],DATE(2026,9,1),tblDaily[WardCode],"NICU")=0,"",SUMIFS(tblDaily[TransfersIn],tblDaily[EntryDate],DATE(2026,9,1),tblDaily[WardCode],"NICU")),"")</f>
        <v/>
      </c>
      <c r="G319" s="12">
        <f>IFERROR(IF(SUMIFS(tblDaily[TransfersOut],tblDaily[EntryDate],DATE(2026,9,1),tblDaily[WardCode],"NICU")=0,"",SUMIFS(tblDaily[TransfersOut],tblDaily[EntryDate],DATE(2026,9,1),tblDaily[WardCode],"NICU")),"")</f>
        <v/>
      </c>
      <c r="H319" s="12">
        <f>IFERROR(IF(SUMIFS(tblDaily[Remaining],tblDaily[EntryDate],DATE(2026,9,1),tblDaily[WardCode],"NICU")=0,"",SUMIFS(tblDaily[Remaining],tblDaily[EntryDate],DATE(2026,9,1),tblDaily[WardCode],"NICU")),"")</f>
        <v/>
      </c>
    </row>
    <row r="320">
      <c r="A320" s="12" t="n">
        <v>2</v>
      </c>
      <c r="B320" s="12">
        <f>IFERROR(IF(SUMIFS(tblDaily[Admissions],tblDaily[EntryDate],DATE(2026,9,2),tblDaily[WardCode],"NICU")=0,"",SUMIFS(tblDaily[Admissions],tblDaily[EntryDate],DATE(2026,9,2),tblDaily[WardCode],"NICU")),"")</f>
        <v/>
      </c>
      <c r="C320" s="12">
        <f>IFERROR(IF(SUMIFS(tblDaily[Discharges],tblDaily[EntryDate],DATE(2026,9,2),tblDaily[WardCode],"NICU")=0,"",SUMIFS(tblDaily[Discharges],tblDaily[EntryDate],DATE(2026,9,2),tblDaily[WardCode],"NICU")),"")</f>
        <v/>
      </c>
      <c r="D320" s="12">
        <f>IFERROR(IF(SUMIFS(tblDaily[Deaths],tblDaily[EntryDate],DATE(2026,9,2),tblDaily[WardCode],"NICU")=0,"",SUMIFS(tblDaily[Deaths],tblDaily[EntryDate],DATE(2026,9,2),tblDaily[WardCode],"NICU")),"")</f>
        <v/>
      </c>
      <c r="E320" s="12">
        <f>IFERROR(IF(SUMIFS(tblDaily[DeathsUnder24Hrs],tblDaily[EntryDate],DATE(2026,9,2),tblDaily[WardCode],"NICU")=0,"",SUMIFS(tblDaily[DeathsUnder24Hrs],tblDaily[EntryDate],DATE(2026,9,2),tblDaily[WardCode],"NICU")),"")</f>
        <v/>
      </c>
      <c r="F320" s="12">
        <f>IFERROR(IF(SUMIFS(tblDaily[TransfersIn],tblDaily[EntryDate],DATE(2026,9,2),tblDaily[WardCode],"NICU")=0,"",SUMIFS(tblDaily[TransfersIn],tblDaily[EntryDate],DATE(2026,9,2),tblDaily[WardCode],"NICU")),"")</f>
        <v/>
      </c>
      <c r="G320" s="12">
        <f>IFERROR(IF(SUMIFS(tblDaily[TransfersOut],tblDaily[EntryDate],DATE(2026,9,2),tblDaily[WardCode],"NICU")=0,"",SUMIFS(tblDaily[TransfersOut],tblDaily[EntryDate],DATE(2026,9,2),tblDaily[WardCode],"NICU")),"")</f>
        <v/>
      </c>
      <c r="H320" s="12">
        <f>IFERROR(IF(SUMIFS(tblDaily[Remaining],tblDaily[EntryDate],DATE(2026,9,2),tblDaily[WardCode],"NICU")=0,"",SUMIFS(tblDaily[Remaining],tblDaily[EntryDate],DATE(2026,9,2),tblDaily[WardCode],"NICU")),"")</f>
        <v/>
      </c>
    </row>
    <row r="321">
      <c r="A321" s="12" t="n">
        <v>3</v>
      </c>
      <c r="B321" s="12">
        <f>IFERROR(IF(SUMIFS(tblDaily[Admissions],tblDaily[EntryDate],DATE(2026,9,3),tblDaily[WardCode],"NICU")=0,"",SUMIFS(tblDaily[Admissions],tblDaily[EntryDate],DATE(2026,9,3),tblDaily[WardCode],"NICU")),"")</f>
        <v/>
      </c>
      <c r="C321" s="12">
        <f>IFERROR(IF(SUMIFS(tblDaily[Discharges],tblDaily[EntryDate],DATE(2026,9,3),tblDaily[WardCode],"NICU")=0,"",SUMIFS(tblDaily[Discharges],tblDaily[EntryDate],DATE(2026,9,3),tblDaily[WardCode],"NICU")),"")</f>
        <v/>
      </c>
      <c r="D321" s="12">
        <f>IFERROR(IF(SUMIFS(tblDaily[Deaths],tblDaily[EntryDate],DATE(2026,9,3),tblDaily[WardCode],"NICU")=0,"",SUMIFS(tblDaily[Deaths],tblDaily[EntryDate],DATE(2026,9,3),tblDaily[WardCode],"NICU")),"")</f>
        <v/>
      </c>
      <c r="E321" s="12">
        <f>IFERROR(IF(SUMIFS(tblDaily[DeathsUnder24Hrs],tblDaily[EntryDate],DATE(2026,9,3),tblDaily[WardCode],"NICU")=0,"",SUMIFS(tblDaily[DeathsUnder24Hrs],tblDaily[EntryDate],DATE(2026,9,3),tblDaily[WardCode],"NICU")),"")</f>
        <v/>
      </c>
      <c r="F321" s="12">
        <f>IFERROR(IF(SUMIFS(tblDaily[TransfersIn],tblDaily[EntryDate],DATE(2026,9,3),tblDaily[WardCode],"NICU")=0,"",SUMIFS(tblDaily[TransfersIn],tblDaily[EntryDate],DATE(2026,9,3),tblDaily[WardCode],"NICU")),"")</f>
        <v/>
      </c>
      <c r="G321" s="12">
        <f>IFERROR(IF(SUMIFS(tblDaily[TransfersOut],tblDaily[EntryDate],DATE(2026,9,3),tblDaily[WardCode],"NICU")=0,"",SUMIFS(tblDaily[TransfersOut],tblDaily[EntryDate],DATE(2026,9,3),tblDaily[WardCode],"NICU")),"")</f>
        <v/>
      </c>
      <c r="H321" s="12">
        <f>IFERROR(IF(SUMIFS(tblDaily[Remaining],tblDaily[EntryDate],DATE(2026,9,3),tblDaily[WardCode],"NICU")=0,"",SUMIFS(tblDaily[Remaining],tblDaily[EntryDate],DATE(2026,9,3),tblDaily[WardCode],"NICU")),"")</f>
        <v/>
      </c>
    </row>
    <row r="322">
      <c r="A322" s="12" t="n">
        <v>4</v>
      </c>
      <c r="B322" s="12">
        <f>IFERROR(IF(SUMIFS(tblDaily[Admissions],tblDaily[EntryDate],DATE(2026,9,4),tblDaily[WardCode],"NICU")=0,"",SUMIFS(tblDaily[Admissions],tblDaily[EntryDate],DATE(2026,9,4),tblDaily[WardCode],"NICU")),"")</f>
        <v/>
      </c>
      <c r="C322" s="12">
        <f>IFERROR(IF(SUMIFS(tblDaily[Discharges],tblDaily[EntryDate],DATE(2026,9,4),tblDaily[WardCode],"NICU")=0,"",SUMIFS(tblDaily[Discharges],tblDaily[EntryDate],DATE(2026,9,4),tblDaily[WardCode],"NICU")),"")</f>
        <v/>
      </c>
      <c r="D322" s="12">
        <f>IFERROR(IF(SUMIFS(tblDaily[Deaths],tblDaily[EntryDate],DATE(2026,9,4),tblDaily[WardCode],"NICU")=0,"",SUMIFS(tblDaily[Deaths],tblDaily[EntryDate],DATE(2026,9,4),tblDaily[WardCode],"NICU")),"")</f>
        <v/>
      </c>
      <c r="E322" s="12">
        <f>IFERROR(IF(SUMIFS(tblDaily[DeathsUnder24Hrs],tblDaily[EntryDate],DATE(2026,9,4),tblDaily[WardCode],"NICU")=0,"",SUMIFS(tblDaily[DeathsUnder24Hrs],tblDaily[EntryDate],DATE(2026,9,4),tblDaily[WardCode],"NICU")),"")</f>
        <v/>
      </c>
      <c r="F322" s="12">
        <f>IFERROR(IF(SUMIFS(tblDaily[TransfersIn],tblDaily[EntryDate],DATE(2026,9,4),tblDaily[WardCode],"NICU")=0,"",SUMIFS(tblDaily[TransfersIn],tblDaily[EntryDate],DATE(2026,9,4),tblDaily[WardCode],"NICU")),"")</f>
        <v/>
      </c>
      <c r="G322" s="12">
        <f>IFERROR(IF(SUMIFS(tblDaily[TransfersOut],tblDaily[EntryDate],DATE(2026,9,4),tblDaily[WardCode],"NICU")=0,"",SUMIFS(tblDaily[TransfersOut],tblDaily[EntryDate],DATE(2026,9,4),tblDaily[WardCode],"NICU")),"")</f>
        <v/>
      </c>
      <c r="H322" s="12">
        <f>IFERROR(IF(SUMIFS(tblDaily[Remaining],tblDaily[EntryDate],DATE(2026,9,4),tblDaily[WardCode],"NICU")=0,"",SUMIFS(tblDaily[Remaining],tblDaily[EntryDate],DATE(2026,9,4),tblDaily[WardCode],"NICU")),"")</f>
        <v/>
      </c>
    </row>
    <row r="323">
      <c r="A323" s="12" t="n">
        <v>5</v>
      </c>
      <c r="B323" s="12">
        <f>IFERROR(IF(SUMIFS(tblDaily[Admissions],tblDaily[EntryDate],DATE(2026,9,5),tblDaily[WardCode],"NICU")=0,"",SUMIFS(tblDaily[Admissions],tblDaily[EntryDate],DATE(2026,9,5),tblDaily[WardCode],"NICU")),"")</f>
        <v/>
      </c>
      <c r="C323" s="12">
        <f>IFERROR(IF(SUMIFS(tblDaily[Discharges],tblDaily[EntryDate],DATE(2026,9,5),tblDaily[WardCode],"NICU")=0,"",SUMIFS(tblDaily[Discharges],tblDaily[EntryDate],DATE(2026,9,5),tblDaily[WardCode],"NICU")),"")</f>
        <v/>
      </c>
      <c r="D323" s="12">
        <f>IFERROR(IF(SUMIFS(tblDaily[Deaths],tblDaily[EntryDate],DATE(2026,9,5),tblDaily[WardCode],"NICU")=0,"",SUMIFS(tblDaily[Deaths],tblDaily[EntryDate],DATE(2026,9,5),tblDaily[WardCode],"NICU")),"")</f>
        <v/>
      </c>
      <c r="E323" s="12">
        <f>IFERROR(IF(SUMIFS(tblDaily[DeathsUnder24Hrs],tblDaily[EntryDate],DATE(2026,9,5),tblDaily[WardCode],"NICU")=0,"",SUMIFS(tblDaily[DeathsUnder24Hrs],tblDaily[EntryDate],DATE(2026,9,5),tblDaily[WardCode],"NICU")),"")</f>
        <v/>
      </c>
      <c r="F323" s="12">
        <f>IFERROR(IF(SUMIFS(tblDaily[TransfersIn],tblDaily[EntryDate],DATE(2026,9,5),tblDaily[WardCode],"NICU")=0,"",SUMIFS(tblDaily[TransfersIn],tblDaily[EntryDate],DATE(2026,9,5),tblDaily[WardCode],"NICU")),"")</f>
        <v/>
      </c>
      <c r="G323" s="12">
        <f>IFERROR(IF(SUMIFS(tblDaily[TransfersOut],tblDaily[EntryDate],DATE(2026,9,5),tblDaily[WardCode],"NICU")=0,"",SUMIFS(tblDaily[TransfersOut],tblDaily[EntryDate],DATE(2026,9,5),tblDaily[WardCode],"NICU")),"")</f>
        <v/>
      </c>
      <c r="H323" s="12">
        <f>IFERROR(IF(SUMIFS(tblDaily[Remaining],tblDaily[EntryDate],DATE(2026,9,5),tblDaily[WardCode],"NICU")=0,"",SUMIFS(tblDaily[Remaining],tblDaily[EntryDate],DATE(2026,9,5),tblDaily[WardCode],"NICU")),"")</f>
        <v/>
      </c>
    </row>
    <row r="324">
      <c r="A324" s="12" t="n">
        <v>6</v>
      </c>
      <c r="B324" s="12">
        <f>IFERROR(IF(SUMIFS(tblDaily[Admissions],tblDaily[EntryDate],DATE(2026,9,6),tblDaily[WardCode],"NICU")=0,"",SUMIFS(tblDaily[Admissions],tblDaily[EntryDate],DATE(2026,9,6),tblDaily[WardCode],"NICU")),"")</f>
        <v/>
      </c>
      <c r="C324" s="12">
        <f>IFERROR(IF(SUMIFS(tblDaily[Discharges],tblDaily[EntryDate],DATE(2026,9,6),tblDaily[WardCode],"NICU")=0,"",SUMIFS(tblDaily[Discharges],tblDaily[EntryDate],DATE(2026,9,6),tblDaily[WardCode],"NICU")),"")</f>
        <v/>
      </c>
      <c r="D324" s="12">
        <f>IFERROR(IF(SUMIFS(tblDaily[Deaths],tblDaily[EntryDate],DATE(2026,9,6),tblDaily[WardCode],"NICU")=0,"",SUMIFS(tblDaily[Deaths],tblDaily[EntryDate],DATE(2026,9,6),tblDaily[WardCode],"NICU")),"")</f>
        <v/>
      </c>
      <c r="E324" s="12">
        <f>IFERROR(IF(SUMIFS(tblDaily[DeathsUnder24Hrs],tblDaily[EntryDate],DATE(2026,9,6),tblDaily[WardCode],"NICU")=0,"",SUMIFS(tblDaily[DeathsUnder24Hrs],tblDaily[EntryDate],DATE(2026,9,6),tblDaily[WardCode],"NICU")),"")</f>
        <v/>
      </c>
      <c r="F324" s="12">
        <f>IFERROR(IF(SUMIFS(tblDaily[TransfersIn],tblDaily[EntryDate],DATE(2026,9,6),tblDaily[WardCode],"NICU")=0,"",SUMIFS(tblDaily[TransfersIn],tblDaily[EntryDate],DATE(2026,9,6),tblDaily[WardCode],"NICU")),"")</f>
        <v/>
      </c>
      <c r="G324" s="12">
        <f>IFERROR(IF(SUMIFS(tblDaily[TransfersOut],tblDaily[EntryDate],DATE(2026,9,6),tblDaily[WardCode],"NICU")=0,"",SUMIFS(tblDaily[TransfersOut],tblDaily[EntryDate],DATE(2026,9,6),tblDaily[WardCode],"NICU")),"")</f>
        <v/>
      </c>
      <c r="H324" s="12">
        <f>IFERROR(IF(SUMIFS(tblDaily[Remaining],tblDaily[EntryDate],DATE(2026,9,6),tblDaily[WardCode],"NICU")=0,"",SUMIFS(tblDaily[Remaining],tblDaily[EntryDate],DATE(2026,9,6),tblDaily[WardCode],"NICU")),"")</f>
        <v/>
      </c>
    </row>
    <row r="325">
      <c r="A325" s="12" t="n">
        <v>7</v>
      </c>
      <c r="B325" s="12">
        <f>IFERROR(IF(SUMIFS(tblDaily[Admissions],tblDaily[EntryDate],DATE(2026,9,7),tblDaily[WardCode],"NICU")=0,"",SUMIFS(tblDaily[Admissions],tblDaily[EntryDate],DATE(2026,9,7),tblDaily[WardCode],"NICU")),"")</f>
        <v/>
      </c>
      <c r="C325" s="12">
        <f>IFERROR(IF(SUMIFS(tblDaily[Discharges],tblDaily[EntryDate],DATE(2026,9,7),tblDaily[WardCode],"NICU")=0,"",SUMIFS(tblDaily[Discharges],tblDaily[EntryDate],DATE(2026,9,7),tblDaily[WardCode],"NICU")),"")</f>
        <v/>
      </c>
      <c r="D325" s="12">
        <f>IFERROR(IF(SUMIFS(tblDaily[Deaths],tblDaily[EntryDate],DATE(2026,9,7),tblDaily[WardCode],"NICU")=0,"",SUMIFS(tblDaily[Deaths],tblDaily[EntryDate],DATE(2026,9,7),tblDaily[WardCode],"NICU")),"")</f>
        <v/>
      </c>
      <c r="E325" s="12">
        <f>IFERROR(IF(SUMIFS(tblDaily[DeathsUnder24Hrs],tblDaily[EntryDate],DATE(2026,9,7),tblDaily[WardCode],"NICU")=0,"",SUMIFS(tblDaily[DeathsUnder24Hrs],tblDaily[EntryDate],DATE(2026,9,7),tblDaily[WardCode],"NICU")),"")</f>
        <v/>
      </c>
      <c r="F325" s="12">
        <f>IFERROR(IF(SUMIFS(tblDaily[TransfersIn],tblDaily[EntryDate],DATE(2026,9,7),tblDaily[WardCode],"NICU")=0,"",SUMIFS(tblDaily[TransfersIn],tblDaily[EntryDate],DATE(2026,9,7),tblDaily[WardCode],"NICU")),"")</f>
        <v/>
      </c>
      <c r="G325" s="12">
        <f>IFERROR(IF(SUMIFS(tblDaily[TransfersOut],tblDaily[EntryDate],DATE(2026,9,7),tblDaily[WardCode],"NICU")=0,"",SUMIFS(tblDaily[TransfersOut],tblDaily[EntryDate],DATE(2026,9,7),tblDaily[WardCode],"NICU")),"")</f>
        <v/>
      </c>
      <c r="H325" s="12">
        <f>IFERROR(IF(SUMIFS(tblDaily[Remaining],tblDaily[EntryDate],DATE(2026,9,7),tblDaily[WardCode],"NICU")=0,"",SUMIFS(tblDaily[Remaining],tblDaily[EntryDate],DATE(2026,9,7),tblDaily[WardCode],"NICU")),"")</f>
        <v/>
      </c>
    </row>
    <row r="326">
      <c r="A326" s="12" t="n">
        <v>8</v>
      </c>
      <c r="B326" s="12">
        <f>IFERROR(IF(SUMIFS(tblDaily[Admissions],tblDaily[EntryDate],DATE(2026,9,8),tblDaily[WardCode],"NICU")=0,"",SUMIFS(tblDaily[Admissions],tblDaily[EntryDate],DATE(2026,9,8),tblDaily[WardCode],"NICU")),"")</f>
        <v/>
      </c>
      <c r="C326" s="12">
        <f>IFERROR(IF(SUMIFS(tblDaily[Discharges],tblDaily[EntryDate],DATE(2026,9,8),tblDaily[WardCode],"NICU")=0,"",SUMIFS(tblDaily[Discharges],tblDaily[EntryDate],DATE(2026,9,8),tblDaily[WardCode],"NICU")),"")</f>
        <v/>
      </c>
      <c r="D326" s="12">
        <f>IFERROR(IF(SUMIFS(tblDaily[Deaths],tblDaily[EntryDate],DATE(2026,9,8),tblDaily[WardCode],"NICU")=0,"",SUMIFS(tblDaily[Deaths],tblDaily[EntryDate],DATE(2026,9,8),tblDaily[WardCode],"NICU")),"")</f>
        <v/>
      </c>
      <c r="E326" s="12">
        <f>IFERROR(IF(SUMIFS(tblDaily[DeathsUnder24Hrs],tblDaily[EntryDate],DATE(2026,9,8),tblDaily[WardCode],"NICU")=0,"",SUMIFS(tblDaily[DeathsUnder24Hrs],tblDaily[EntryDate],DATE(2026,9,8),tblDaily[WardCode],"NICU")),"")</f>
        <v/>
      </c>
      <c r="F326" s="12">
        <f>IFERROR(IF(SUMIFS(tblDaily[TransfersIn],tblDaily[EntryDate],DATE(2026,9,8),tblDaily[WardCode],"NICU")=0,"",SUMIFS(tblDaily[TransfersIn],tblDaily[EntryDate],DATE(2026,9,8),tblDaily[WardCode],"NICU")),"")</f>
        <v/>
      </c>
      <c r="G326" s="12">
        <f>IFERROR(IF(SUMIFS(tblDaily[TransfersOut],tblDaily[EntryDate],DATE(2026,9,8),tblDaily[WardCode],"NICU")=0,"",SUMIFS(tblDaily[TransfersOut],tblDaily[EntryDate],DATE(2026,9,8),tblDaily[WardCode],"NICU")),"")</f>
        <v/>
      </c>
      <c r="H326" s="12">
        <f>IFERROR(IF(SUMIFS(tblDaily[Remaining],tblDaily[EntryDate],DATE(2026,9,8),tblDaily[WardCode],"NICU")=0,"",SUMIFS(tblDaily[Remaining],tblDaily[EntryDate],DATE(2026,9,8),tblDaily[WardCode],"NICU")),"")</f>
        <v/>
      </c>
    </row>
    <row r="327">
      <c r="A327" s="12" t="n">
        <v>9</v>
      </c>
      <c r="B327" s="12">
        <f>IFERROR(IF(SUMIFS(tblDaily[Admissions],tblDaily[EntryDate],DATE(2026,9,9),tblDaily[WardCode],"NICU")=0,"",SUMIFS(tblDaily[Admissions],tblDaily[EntryDate],DATE(2026,9,9),tblDaily[WardCode],"NICU")),"")</f>
        <v/>
      </c>
      <c r="C327" s="12">
        <f>IFERROR(IF(SUMIFS(tblDaily[Discharges],tblDaily[EntryDate],DATE(2026,9,9),tblDaily[WardCode],"NICU")=0,"",SUMIFS(tblDaily[Discharges],tblDaily[EntryDate],DATE(2026,9,9),tblDaily[WardCode],"NICU")),"")</f>
        <v/>
      </c>
      <c r="D327" s="12">
        <f>IFERROR(IF(SUMIFS(tblDaily[Deaths],tblDaily[EntryDate],DATE(2026,9,9),tblDaily[WardCode],"NICU")=0,"",SUMIFS(tblDaily[Deaths],tblDaily[EntryDate],DATE(2026,9,9),tblDaily[WardCode],"NICU")),"")</f>
        <v/>
      </c>
      <c r="E327" s="12">
        <f>IFERROR(IF(SUMIFS(tblDaily[DeathsUnder24Hrs],tblDaily[EntryDate],DATE(2026,9,9),tblDaily[WardCode],"NICU")=0,"",SUMIFS(tblDaily[DeathsUnder24Hrs],tblDaily[EntryDate],DATE(2026,9,9),tblDaily[WardCode],"NICU")),"")</f>
        <v/>
      </c>
      <c r="F327" s="12">
        <f>IFERROR(IF(SUMIFS(tblDaily[TransfersIn],tblDaily[EntryDate],DATE(2026,9,9),tblDaily[WardCode],"NICU")=0,"",SUMIFS(tblDaily[TransfersIn],tblDaily[EntryDate],DATE(2026,9,9),tblDaily[WardCode],"NICU")),"")</f>
        <v/>
      </c>
      <c r="G327" s="12">
        <f>IFERROR(IF(SUMIFS(tblDaily[TransfersOut],tblDaily[EntryDate],DATE(2026,9,9),tblDaily[WardCode],"NICU")=0,"",SUMIFS(tblDaily[TransfersOut],tblDaily[EntryDate],DATE(2026,9,9),tblDaily[WardCode],"NICU")),"")</f>
        <v/>
      </c>
      <c r="H327" s="12">
        <f>IFERROR(IF(SUMIFS(tblDaily[Remaining],tblDaily[EntryDate],DATE(2026,9,9),tblDaily[WardCode],"NICU")=0,"",SUMIFS(tblDaily[Remaining],tblDaily[EntryDate],DATE(2026,9,9),tblDaily[WardCode],"NICU")),"")</f>
        <v/>
      </c>
    </row>
    <row r="328">
      <c r="A328" s="12" t="n">
        <v>10</v>
      </c>
      <c r="B328" s="12">
        <f>IFERROR(IF(SUMIFS(tblDaily[Admissions],tblDaily[EntryDate],DATE(2026,9,10),tblDaily[WardCode],"NICU")=0,"",SUMIFS(tblDaily[Admissions],tblDaily[EntryDate],DATE(2026,9,10),tblDaily[WardCode],"NICU")),"")</f>
        <v/>
      </c>
      <c r="C328" s="12">
        <f>IFERROR(IF(SUMIFS(tblDaily[Discharges],tblDaily[EntryDate],DATE(2026,9,10),tblDaily[WardCode],"NICU")=0,"",SUMIFS(tblDaily[Discharges],tblDaily[EntryDate],DATE(2026,9,10),tblDaily[WardCode],"NICU")),"")</f>
        <v/>
      </c>
      <c r="D328" s="12">
        <f>IFERROR(IF(SUMIFS(tblDaily[Deaths],tblDaily[EntryDate],DATE(2026,9,10),tblDaily[WardCode],"NICU")=0,"",SUMIFS(tblDaily[Deaths],tblDaily[EntryDate],DATE(2026,9,10),tblDaily[WardCode],"NICU")),"")</f>
        <v/>
      </c>
      <c r="E328" s="12">
        <f>IFERROR(IF(SUMIFS(tblDaily[DeathsUnder24Hrs],tblDaily[EntryDate],DATE(2026,9,10),tblDaily[WardCode],"NICU")=0,"",SUMIFS(tblDaily[DeathsUnder24Hrs],tblDaily[EntryDate],DATE(2026,9,10),tblDaily[WardCode],"NICU")),"")</f>
        <v/>
      </c>
      <c r="F328" s="12">
        <f>IFERROR(IF(SUMIFS(tblDaily[TransfersIn],tblDaily[EntryDate],DATE(2026,9,10),tblDaily[WardCode],"NICU")=0,"",SUMIFS(tblDaily[TransfersIn],tblDaily[EntryDate],DATE(2026,9,10),tblDaily[WardCode],"NICU")),"")</f>
        <v/>
      </c>
      <c r="G328" s="12">
        <f>IFERROR(IF(SUMIFS(tblDaily[TransfersOut],tblDaily[EntryDate],DATE(2026,9,10),tblDaily[WardCode],"NICU")=0,"",SUMIFS(tblDaily[TransfersOut],tblDaily[EntryDate],DATE(2026,9,10),tblDaily[WardCode],"NICU")),"")</f>
        <v/>
      </c>
      <c r="H328" s="12">
        <f>IFERROR(IF(SUMIFS(tblDaily[Remaining],tblDaily[EntryDate],DATE(2026,9,10),tblDaily[WardCode],"NICU")=0,"",SUMIFS(tblDaily[Remaining],tblDaily[EntryDate],DATE(2026,9,10),tblDaily[WardCode],"NICU")),"")</f>
        <v/>
      </c>
    </row>
    <row r="329">
      <c r="A329" s="12" t="n">
        <v>11</v>
      </c>
      <c r="B329" s="12">
        <f>IFERROR(IF(SUMIFS(tblDaily[Admissions],tblDaily[EntryDate],DATE(2026,9,11),tblDaily[WardCode],"NICU")=0,"",SUMIFS(tblDaily[Admissions],tblDaily[EntryDate],DATE(2026,9,11),tblDaily[WardCode],"NICU")),"")</f>
        <v/>
      </c>
      <c r="C329" s="12">
        <f>IFERROR(IF(SUMIFS(tblDaily[Discharges],tblDaily[EntryDate],DATE(2026,9,11),tblDaily[WardCode],"NICU")=0,"",SUMIFS(tblDaily[Discharges],tblDaily[EntryDate],DATE(2026,9,11),tblDaily[WardCode],"NICU")),"")</f>
        <v/>
      </c>
      <c r="D329" s="12">
        <f>IFERROR(IF(SUMIFS(tblDaily[Deaths],tblDaily[EntryDate],DATE(2026,9,11),tblDaily[WardCode],"NICU")=0,"",SUMIFS(tblDaily[Deaths],tblDaily[EntryDate],DATE(2026,9,11),tblDaily[WardCode],"NICU")),"")</f>
        <v/>
      </c>
      <c r="E329" s="12">
        <f>IFERROR(IF(SUMIFS(tblDaily[DeathsUnder24Hrs],tblDaily[EntryDate],DATE(2026,9,11),tblDaily[WardCode],"NICU")=0,"",SUMIFS(tblDaily[DeathsUnder24Hrs],tblDaily[EntryDate],DATE(2026,9,11),tblDaily[WardCode],"NICU")),"")</f>
        <v/>
      </c>
      <c r="F329" s="12">
        <f>IFERROR(IF(SUMIFS(tblDaily[TransfersIn],tblDaily[EntryDate],DATE(2026,9,11),tblDaily[WardCode],"NICU")=0,"",SUMIFS(tblDaily[TransfersIn],tblDaily[EntryDate],DATE(2026,9,11),tblDaily[WardCode],"NICU")),"")</f>
        <v/>
      </c>
      <c r="G329" s="12">
        <f>IFERROR(IF(SUMIFS(tblDaily[TransfersOut],tblDaily[EntryDate],DATE(2026,9,11),tblDaily[WardCode],"NICU")=0,"",SUMIFS(tblDaily[TransfersOut],tblDaily[EntryDate],DATE(2026,9,11),tblDaily[WardCode],"NICU")),"")</f>
        <v/>
      </c>
      <c r="H329" s="12">
        <f>IFERROR(IF(SUMIFS(tblDaily[Remaining],tblDaily[EntryDate],DATE(2026,9,11),tblDaily[WardCode],"NICU")=0,"",SUMIFS(tblDaily[Remaining],tblDaily[EntryDate],DATE(2026,9,11),tblDaily[WardCode],"NICU")),"")</f>
        <v/>
      </c>
    </row>
    <row r="330">
      <c r="A330" s="12" t="n">
        <v>12</v>
      </c>
      <c r="B330" s="12">
        <f>IFERROR(IF(SUMIFS(tblDaily[Admissions],tblDaily[EntryDate],DATE(2026,9,12),tblDaily[WardCode],"NICU")=0,"",SUMIFS(tblDaily[Admissions],tblDaily[EntryDate],DATE(2026,9,12),tblDaily[WardCode],"NICU")),"")</f>
        <v/>
      </c>
      <c r="C330" s="12">
        <f>IFERROR(IF(SUMIFS(tblDaily[Discharges],tblDaily[EntryDate],DATE(2026,9,12),tblDaily[WardCode],"NICU")=0,"",SUMIFS(tblDaily[Discharges],tblDaily[EntryDate],DATE(2026,9,12),tblDaily[WardCode],"NICU")),"")</f>
        <v/>
      </c>
      <c r="D330" s="12">
        <f>IFERROR(IF(SUMIFS(tblDaily[Deaths],tblDaily[EntryDate],DATE(2026,9,12),tblDaily[WardCode],"NICU")=0,"",SUMIFS(tblDaily[Deaths],tblDaily[EntryDate],DATE(2026,9,12),tblDaily[WardCode],"NICU")),"")</f>
        <v/>
      </c>
      <c r="E330" s="12">
        <f>IFERROR(IF(SUMIFS(tblDaily[DeathsUnder24Hrs],tblDaily[EntryDate],DATE(2026,9,12),tblDaily[WardCode],"NICU")=0,"",SUMIFS(tblDaily[DeathsUnder24Hrs],tblDaily[EntryDate],DATE(2026,9,12),tblDaily[WardCode],"NICU")),"")</f>
        <v/>
      </c>
      <c r="F330" s="12">
        <f>IFERROR(IF(SUMIFS(tblDaily[TransfersIn],tblDaily[EntryDate],DATE(2026,9,12),tblDaily[WardCode],"NICU")=0,"",SUMIFS(tblDaily[TransfersIn],tblDaily[EntryDate],DATE(2026,9,12),tblDaily[WardCode],"NICU")),"")</f>
        <v/>
      </c>
      <c r="G330" s="12">
        <f>IFERROR(IF(SUMIFS(tblDaily[TransfersOut],tblDaily[EntryDate],DATE(2026,9,12),tblDaily[WardCode],"NICU")=0,"",SUMIFS(tblDaily[TransfersOut],tblDaily[EntryDate],DATE(2026,9,12),tblDaily[WardCode],"NICU")),"")</f>
        <v/>
      </c>
      <c r="H330" s="12">
        <f>IFERROR(IF(SUMIFS(tblDaily[Remaining],tblDaily[EntryDate],DATE(2026,9,12),tblDaily[WardCode],"NICU")=0,"",SUMIFS(tblDaily[Remaining],tblDaily[EntryDate],DATE(2026,9,12),tblDaily[WardCode],"NICU")),"")</f>
        <v/>
      </c>
    </row>
    <row r="331">
      <c r="A331" s="12" t="n">
        <v>13</v>
      </c>
      <c r="B331" s="12">
        <f>IFERROR(IF(SUMIFS(tblDaily[Admissions],tblDaily[EntryDate],DATE(2026,9,13),tblDaily[WardCode],"NICU")=0,"",SUMIFS(tblDaily[Admissions],tblDaily[EntryDate],DATE(2026,9,13),tblDaily[WardCode],"NICU")),"")</f>
        <v/>
      </c>
      <c r="C331" s="12">
        <f>IFERROR(IF(SUMIFS(tblDaily[Discharges],tblDaily[EntryDate],DATE(2026,9,13),tblDaily[WardCode],"NICU")=0,"",SUMIFS(tblDaily[Discharges],tblDaily[EntryDate],DATE(2026,9,13),tblDaily[WardCode],"NICU")),"")</f>
        <v/>
      </c>
      <c r="D331" s="12">
        <f>IFERROR(IF(SUMIFS(tblDaily[Deaths],tblDaily[EntryDate],DATE(2026,9,13),tblDaily[WardCode],"NICU")=0,"",SUMIFS(tblDaily[Deaths],tblDaily[EntryDate],DATE(2026,9,13),tblDaily[WardCode],"NICU")),"")</f>
        <v/>
      </c>
      <c r="E331" s="12">
        <f>IFERROR(IF(SUMIFS(tblDaily[DeathsUnder24Hrs],tblDaily[EntryDate],DATE(2026,9,13),tblDaily[WardCode],"NICU")=0,"",SUMIFS(tblDaily[DeathsUnder24Hrs],tblDaily[EntryDate],DATE(2026,9,13),tblDaily[WardCode],"NICU")),"")</f>
        <v/>
      </c>
      <c r="F331" s="12">
        <f>IFERROR(IF(SUMIFS(tblDaily[TransfersIn],tblDaily[EntryDate],DATE(2026,9,13),tblDaily[WardCode],"NICU")=0,"",SUMIFS(tblDaily[TransfersIn],tblDaily[EntryDate],DATE(2026,9,13),tblDaily[WardCode],"NICU")),"")</f>
        <v/>
      </c>
      <c r="G331" s="12">
        <f>IFERROR(IF(SUMIFS(tblDaily[TransfersOut],tblDaily[EntryDate],DATE(2026,9,13),tblDaily[WardCode],"NICU")=0,"",SUMIFS(tblDaily[TransfersOut],tblDaily[EntryDate],DATE(2026,9,13),tblDaily[WardCode],"NICU")),"")</f>
        <v/>
      </c>
      <c r="H331" s="12">
        <f>IFERROR(IF(SUMIFS(tblDaily[Remaining],tblDaily[EntryDate],DATE(2026,9,13),tblDaily[WardCode],"NICU")=0,"",SUMIFS(tblDaily[Remaining],tblDaily[EntryDate],DATE(2026,9,13),tblDaily[WardCode],"NICU")),"")</f>
        <v/>
      </c>
    </row>
    <row r="332">
      <c r="A332" s="12" t="n">
        <v>14</v>
      </c>
      <c r="B332" s="12">
        <f>IFERROR(IF(SUMIFS(tblDaily[Admissions],tblDaily[EntryDate],DATE(2026,9,14),tblDaily[WardCode],"NICU")=0,"",SUMIFS(tblDaily[Admissions],tblDaily[EntryDate],DATE(2026,9,14),tblDaily[WardCode],"NICU")),"")</f>
        <v/>
      </c>
      <c r="C332" s="12">
        <f>IFERROR(IF(SUMIFS(tblDaily[Discharges],tblDaily[EntryDate],DATE(2026,9,14),tblDaily[WardCode],"NICU")=0,"",SUMIFS(tblDaily[Discharges],tblDaily[EntryDate],DATE(2026,9,14),tblDaily[WardCode],"NICU")),"")</f>
        <v/>
      </c>
      <c r="D332" s="12">
        <f>IFERROR(IF(SUMIFS(tblDaily[Deaths],tblDaily[EntryDate],DATE(2026,9,14),tblDaily[WardCode],"NICU")=0,"",SUMIFS(tblDaily[Deaths],tblDaily[EntryDate],DATE(2026,9,14),tblDaily[WardCode],"NICU")),"")</f>
        <v/>
      </c>
      <c r="E332" s="12">
        <f>IFERROR(IF(SUMIFS(tblDaily[DeathsUnder24Hrs],tblDaily[EntryDate],DATE(2026,9,14),tblDaily[WardCode],"NICU")=0,"",SUMIFS(tblDaily[DeathsUnder24Hrs],tblDaily[EntryDate],DATE(2026,9,14),tblDaily[WardCode],"NICU")),"")</f>
        <v/>
      </c>
      <c r="F332" s="12">
        <f>IFERROR(IF(SUMIFS(tblDaily[TransfersIn],tblDaily[EntryDate],DATE(2026,9,14),tblDaily[WardCode],"NICU")=0,"",SUMIFS(tblDaily[TransfersIn],tblDaily[EntryDate],DATE(2026,9,14),tblDaily[WardCode],"NICU")),"")</f>
        <v/>
      </c>
      <c r="G332" s="12">
        <f>IFERROR(IF(SUMIFS(tblDaily[TransfersOut],tblDaily[EntryDate],DATE(2026,9,14),tblDaily[WardCode],"NICU")=0,"",SUMIFS(tblDaily[TransfersOut],tblDaily[EntryDate],DATE(2026,9,14),tblDaily[WardCode],"NICU")),"")</f>
        <v/>
      </c>
      <c r="H332" s="12">
        <f>IFERROR(IF(SUMIFS(tblDaily[Remaining],tblDaily[EntryDate],DATE(2026,9,14),tblDaily[WardCode],"NICU")=0,"",SUMIFS(tblDaily[Remaining],tblDaily[EntryDate],DATE(2026,9,14),tblDaily[WardCode],"NICU")),"")</f>
        <v/>
      </c>
    </row>
    <row r="333">
      <c r="A333" s="12" t="n">
        <v>15</v>
      </c>
      <c r="B333" s="12">
        <f>IFERROR(IF(SUMIFS(tblDaily[Admissions],tblDaily[EntryDate],DATE(2026,9,15),tblDaily[WardCode],"NICU")=0,"",SUMIFS(tblDaily[Admissions],tblDaily[EntryDate],DATE(2026,9,15),tblDaily[WardCode],"NICU")),"")</f>
        <v/>
      </c>
      <c r="C333" s="12">
        <f>IFERROR(IF(SUMIFS(tblDaily[Discharges],tblDaily[EntryDate],DATE(2026,9,15),tblDaily[WardCode],"NICU")=0,"",SUMIFS(tblDaily[Discharges],tblDaily[EntryDate],DATE(2026,9,15),tblDaily[WardCode],"NICU")),"")</f>
        <v/>
      </c>
      <c r="D333" s="12">
        <f>IFERROR(IF(SUMIFS(tblDaily[Deaths],tblDaily[EntryDate],DATE(2026,9,15),tblDaily[WardCode],"NICU")=0,"",SUMIFS(tblDaily[Deaths],tblDaily[EntryDate],DATE(2026,9,15),tblDaily[WardCode],"NICU")),"")</f>
        <v/>
      </c>
      <c r="E333" s="12">
        <f>IFERROR(IF(SUMIFS(tblDaily[DeathsUnder24Hrs],tblDaily[EntryDate],DATE(2026,9,15),tblDaily[WardCode],"NICU")=0,"",SUMIFS(tblDaily[DeathsUnder24Hrs],tblDaily[EntryDate],DATE(2026,9,15),tblDaily[WardCode],"NICU")),"")</f>
        <v/>
      </c>
      <c r="F333" s="12">
        <f>IFERROR(IF(SUMIFS(tblDaily[TransfersIn],tblDaily[EntryDate],DATE(2026,9,15),tblDaily[WardCode],"NICU")=0,"",SUMIFS(tblDaily[TransfersIn],tblDaily[EntryDate],DATE(2026,9,15),tblDaily[WardCode],"NICU")),"")</f>
        <v/>
      </c>
      <c r="G333" s="12">
        <f>IFERROR(IF(SUMIFS(tblDaily[TransfersOut],tblDaily[EntryDate],DATE(2026,9,15),tblDaily[WardCode],"NICU")=0,"",SUMIFS(tblDaily[TransfersOut],tblDaily[EntryDate],DATE(2026,9,15),tblDaily[WardCode],"NICU")),"")</f>
        <v/>
      </c>
      <c r="H333" s="12">
        <f>IFERROR(IF(SUMIFS(tblDaily[Remaining],tblDaily[EntryDate],DATE(2026,9,15),tblDaily[WardCode],"NICU")=0,"",SUMIFS(tblDaily[Remaining],tblDaily[EntryDate],DATE(2026,9,15),tblDaily[WardCode],"NICU")),"")</f>
        <v/>
      </c>
    </row>
    <row r="334">
      <c r="A334" s="12" t="n">
        <v>16</v>
      </c>
      <c r="B334" s="12">
        <f>IFERROR(IF(SUMIFS(tblDaily[Admissions],tblDaily[EntryDate],DATE(2026,9,16),tblDaily[WardCode],"NICU")=0,"",SUMIFS(tblDaily[Admissions],tblDaily[EntryDate],DATE(2026,9,16),tblDaily[WardCode],"NICU")),"")</f>
        <v/>
      </c>
      <c r="C334" s="12">
        <f>IFERROR(IF(SUMIFS(tblDaily[Discharges],tblDaily[EntryDate],DATE(2026,9,16),tblDaily[WardCode],"NICU")=0,"",SUMIFS(tblDaily[Discharges],tblDaily[EntryDate],DATE(2026,9,16),tblDaily[WardCode],"NICU")),"")</f>
        <v/>
      </c>
      <c r="D334" s="12">
        <f>IFERROR(IF(SUMIFS(tblDaily[Deaths],tblDaily[EntryDate],DATE(2026,9,16),tblDaily[WardCode],"NICU")=0,"",SUMIFS(tblDaily[Deaths],tblDaily[EntryDate],DATE(2026,9,16),tblDaily[WardCode],"NICU")),"")</f>
        <v/>
      </c>
      <c r="E334" s="12">
        <f>IFERROR(IF(SUMIFS(tblDaily[DeathsUnder24Hrs],tblDaily[EntryDate],DATE(2026,9,16),tblDaily[WardCode],"NICU")=0,"",SUMIFS(tblDaily[DeathsUnder24Hrs],tblDaily[EntryDate],DATE(2026,9,16),tblDaily[WardCode],"NICU")),"")</f>
        <v/>
      </c>
      <c r="F334" s="12">
        <f>IFERROR(IF(SUMIFS(tblDaily[TransfersIn],tblDaily[EntryDate],DATE(2026,9,16),tblDaily[WardCode],"NICU")=0,"",SUMIFS(tblDaily[TransfersIn],tblDaily[EntryDate],DATE(2026,9,16),tblDaily[WardCode],"NICU")),"")</f>
        <v/>
      </c>
      <c r="G334" s="12">
        <f>IFERROR(IF(SUMIFS(tblDaily[TransfersOut],tblDaily[EntryDate],DATE(2026,9,16),tblDaily[WardCode],"NICU")=0,"",SUMIFS(tblDaily[TransfersOut],tblDaily[EntryDate],DATE(2026,9,16),tblDaily[WardCode],"NICU")),"")</f>
        <v/>
      </c>
      <c r="H334" s="12">
        <f>IFERROR(IF(SUMIFS(tblDaily[Remaining],tblDaily[EntryDate],DATE(2026,9,16),tblDaily[WardCode],"NICU")=0,"",SUMIFS(tblDaily[Remaining],tblDaily[EntryDate],DATE(2026,9,16),tblDaily[WardCode],"NICU")),"")</f>
        <v/>
      </c>
    </row>
    <row r="335">
      <c r="A335" s="12" t="n">
        <v>17</v>
      </c>
      <c r="B335" s="12">
        <f>IFERROR(IF(SUMIFS(tblDaily[Admissions],tblDaily[EntryDate],DATE(2026,9,17),tblDaily[WardCode],"NICU")=0,"",SUMIFS(tblDaily[Admissions],tblDaily[EntryDate],DATE(2026,9,17),tblDaily[WardCode],"NICU")),"")</f>
        <v/>
      </c>
      <c r="C335" s="12">
        <f>IFERROR(IF(SUMIFS(tblDaily[Discharges],tblDaily[EntryDate],DATE(2026,9,17),tblDaily[WardCode],"NICU")=0,"",SUMIFS(tblDaily[Discharges],tblDaily[EntryDate],DATE(2026,9,17),tblDaily[WardCode],"NICU")),"")</f>
        <v/>
      </c>
      <c r="D335" s="12">
        <f>IFERROR(IF(SUMIFS(tblDaily[Deaths],tblDaily[EntryDate],DATE(2026,9,17),tblDaily[WardCode],"NICU")=0,"",SUMIFS(tblDaily[Deaths],tblDaily[EntryDate],DATE(2026,9,17),tblDaily[WardCode],"NICU")),"")</f>
        <v/>
      </c>
      <c r="E335" s="12">
        <f>IFERROR(IF(SUMIFS(tblDaily[DeathsUnder24Hrs],tblDaily[EntryDate],DATE(2026,9,17),tblDaily[WardCode],"NICU")=0,"",SUMIFS(tblDaily[DeathsUnder24Hrs],tblDaily[EntryDate],DATE(2026,9,17),tblDaily[WardCode],"NICU")),"")</f>
        <v/>
      </c>
      <c r="F335" s="12">
        <f>IFERROR(IF(SUMIFS(tblDaily[TransfersIn],tblDaily[EntryDate],DATE(2026,9,17),tblDaily[WardCode],"NICU")=0,"",SUMIFS(tblDaily[TransfersIn],tblDaily[EntryDate],DATE(2026,9,17),tblDaily[WardCode],"NICU")),"")</f>
        <v/>
      </c>
      <c r="G335" s="12">
        <f>IFERROR(IF(SUMIFS(tblDaily[TransfersOut],tblDaily[EntryDate],DATE(2026,9,17),tblDaily[WardCode],"NICU")=0,"",SUMIFS(tblDaily[TransfersOut],tblDaily[EntryDate],DATE(2026,9,17),tblDaily[WardCode],"NICU")),"")</f>
        <v/>
      </c>
      <c r="H335" s="12">
        <f>IFERROR(IF(SUMIFS(tblDaily[Remaining],tblDaily[EntryDate],DATE(2026,9,17),tblDaily[WardCode],"NICU")=0,"",SUMIFS(tblDaily[Remaining],tblDaily[EntryDate],DATE(2026,9,17),tblDaily[WardCode],"NICU")),"")</f>
        <v/>
      </c>
    </row>
    <row r="336">
      <c r="A336" s="12" t="n">
        <v>18</v>
      </c>
      <c r="B336" s="12">
        <f>IFERROR(IF(SUMIFS(tblDaily[Admissions],tblDaily[EntryDate],DATE(2026,9,18),tblDaily[WardCode],"NICU")=0,"",SUMIFS(tblDaily[Admissions],tblDaily[EntryDate],DATE(2026,9,18),tblDaily[WardCode],"NICU")),"")</f>
        <v/>
      </c>
      <c r="C336" s="12">
        <f>IFERROR(IF(SUMIFS(tblDaily[Discharges],tblDaily[EntryDate],DATE(2026,9,18),tblDaily[WardCode],"NICU")=0,"",SUMIFS(tblDaily[Discharges],tblDaily[EntryDate],DATE(2026,9,18),tblDaily[WardCode],"NICU")),"")</f>
        <v/>
      </c>
      <c r="D336" s="12">
        <f>IFERROR(IF(SUMIFS(tblDaily[Deaths],tblDaily[EntryDate],DATE(2026,9,18),tblDaily[WardCode],"NICU")=0,"",SUMIFS(tblDaily[Deaths],tblDaily[EntryDate],DATE(2026,9,18),tblDaily[WardCode],"NICU")),"")</f>
        <v/>
      </c>
      <c r="E336" s="12">
        <f>IFERROR(IF(SUMIFS(tblDaily[DeathsUnder24Hrs],tblDaily[EntryDate],DATE(2026,9,18),tblDaily[WardCode],"NICU")=0,"",SUMIFS(tblDaily[DeathsUnder24Hrs],tblDaily[EntryDate],DATE(2026,9,18),tblDaily[WardCode],"NICU")),"")</f>
        <v/>
      </c>
      <c r="F336" s="12">
        <f>IFERROR(IF(SUMIFS(tblDaily[TransfersIn],tblDaily[EntryDate],DATE(2026,9,18),tblDaily[WardCode],"NICU")=0,"",SUMIFS(tblDaily[TransfersIn],tblDaily[EntryDate],DATE(2026,9,18),tblDaily[WardCode],"NICU")),"")</f>
        <v/>
      </c>
      <c r="G336" s="12">
        <f>IFERROR(IF(SUMIFS(tblDaily[TransfersOut],tblDaily[EntryDate],DATE(2026,9,18),tblDaily[WardCode],"NICU")=0,"",SUMIFS(tblDaily[TransfersOut],tblDaily[EntryDate],DATE(2026,9,18),tblDaily[WardCode],"NICU")),"")</f>
        <v/>
      </c>
      <c r="H336" s="12">
        <f>IFERROR(IF(SUMIFS(tblDaily[Remaining],tblDaily[EntryDate],DATE(2026,9,18),tblDaily[WardCode],"NICU")=0,"",SUMIFS(tblDaily[Remaining],tblDaily[EntryDate],DATE(2026,9,18),tblDaily[WardCode],"NICU")),"")</f>
        <v/>
      </c>
    </row>
    <row r="337">
      <c r="A337" s="12" t="n">
        <v>19</v>
      </c>
      <c r="B337" s="12">
        <f>IFERROR(IF(SUMIFS(tblDaily[Admissions],tblDaily[EntryDate],DATE(2026,9,19),tblDaily[WardCode],"NICU")=0,"",SUMIFS(tblDaily[Admissions],tblDaily[EntryDate],DATE(2026,9,19),tblDaily[WardCode],"NICU")),"")</f>
        <v/>
      </c>
      <c r="C337" s="12">
        <f>IFERROR(IF(SUMIFS(tblDaily[Discharges],tblDaily[EntryDate],DATE(2026,9,19),tblDaily[WardCode],"NICU")=0,"",SUMIFS(tblDaily[Discharges],tblDaily[EntryDate],DATE(2026,9,19),tblDaily[WardCode],"NICU")),"")</f>
        <v/>
      </c>
      <c r="D337" s="12">
        <f>IFERROR(IF(SUMIFS(tblDaily[Deaths],tblDaily[EntryDate],DATE(2026,9,19),tblDaily[WardCode],"NICU")=0,"",SUMIFS(tblDaily[Deaths],tblDaily[EntryDate],DATE(2026,9,19),tblDaily[WardCode],"NICU")),"")</f>
        <v/>
      </c>
      <c r="E337" s="12">
        <f>IFERROR(IF(SUMIFS(tblDaily[DeathsUnder24Hrs],tblDaily[EntryDate],DATE(2026,9,19),tblDaily[WardCode],"NICU")=0,"",SUMIFS(tblDaily[DeathsUnder24Hrs],tblDaily[EntryDate],DATE(2026,9,19),tblDaily[WardCode],"NICU")),"")</f>
        <v/>
      </c>
      <c r="F337" s="12">
        <f>IFERROR(IF(SUMIFS(tblDaily[TransfersIn],tblDaily[EntryDate],DATE(2026,9,19),tblDaily[WardCode],"NICU")=0,"",SUMIFS(tblDaily[TransfersIn],tblDaily[EntryDate],DATE(2026,9,19),tblDaily[WardCode],"NICU")),"")</f>
        <v/>
      </c>
      <c r="G337" s="12">
        <f>IFERROR(IF(SUMIFS(tblDaily[TransfersOut],tblDaily[EntryDate],DATE(2026,9,19),tblDaily[WardCode],"NICU")=0,"",SUMIFS(tblDaily[TransfersOut],tblDaily[EntryDate],DATE(2026,9,19),tblDaily[WardCode],"NICU")),"")</f>
        <v/>
      </c>
      <c r="H337" s="12">
        <f>IFERROR(IF(SUMIFS(tblDaily[Remaining],tblDaily[EntryDate],DATE(2026,9,19),tblDaily[WardCode],"NICU")=0,"",SUMIFS(tblDaily[Remaining],tblDaily[EntryDate],DATE(2026,9,19),tblDaily[WardCode],"NICU")),"")</f>
        <v/>
      </c>
    </row>
    <row r="338">
      <c r="A338" s="12" t="n">
        <v>20</v>
      </c>
      <c r="B338" s="12">
        <f>IFERROR(IF(SUMIFS(tblDaily[Admissions],tblDaily[EntryDate],DATE(2026,9,20),tblDaily[WardCode],"NICU")=0,"",SUMIFS(tblDaily[Admissions],tblDaily[EntryDate],DATE(2026,9,20),tblDaily[WardCode],"NICU")),"")</f>
        <v/>
      </c>
      <c r="C338" s="12">
        <f>IFERROR(IF(SUMIFS(tblDaily[Discharges],tblDaily[EntryDate],DATE(2026,9,20),tblDaily[WardCode],"NICU")=0,"",SUMIFS(tblDaily[Discharges],tblDaily[EntryDate],DATE(2026,9,20),tblDaily[WardCode],"NICU")),"")</f>
        <v/>
      </c>
      <c r="D338" s="12">
        <f>IFERROR(IF(SUMIFS(tblDaily[Deaths],tblDaily[EntryDate],DATE(2026,9,20),tblDaily[WardCode],"NICU")=0,"",SUMIFS(tblDaily[Deaths],tblDaily[EntryDate],DATE(2026,9,20),tblDaily[WardCode],"NICU")),"")</f>
        <v/>
      </c>
      <c r="E338" s="12">
        <f>IFERROR(IF(SUMIFS(tblDaily[DeathsUnder24Hrs],tblDaily[EntryDate],DATE(2026,9,20),tblDaily[WardCode],"NICU")=0,"",SUMIFS(tblDaily[DeathsUnder24Hrs],tblDaily[EntryDate],DATE(2026,9,20),tblDaily[WardCode],"NICU")),"")</f>
        <v/>
      </c>
      <c r="F338" s="12">
        <f>IFERROR(IF(SUMIFS(tblDaily[TransfersIn],tblDaily[EntryDate],DATE(2026,9,20),tblDaily[WardCode],"NICU")=0,"",SUMIFS(tblDaily[TransfersIn],tblDaily[EntryDate],DATE(2026,9,20),tblDaily[WardCode],"NICU")),"")</f>
        <v/>
      </c>
      <c r="G338" s="12">
        <f>IFERROR(IF(SUMIFS(tblDaily[TransfersOut],tblDaily[EntryDate],DATE(2026,9,20),tblDaily[WardCode],"NICU")=0,"",SUMIFS(tblDaily[TransfersOut],tblDaily[EntryDate],DATE(2026,9,20),tblDaily[WardCode],"NICU")),"")</f>
        <v/>
      </c>
      <c r="H338" s="12">
        <f>IFERROR(IF(SUMIFS(tblDaily[Remaining],tblDaily[EntryDate],DATE(2026,9,20),tblDaily[WardCode],"NICU")=0,"",SUMIFS(tblDaily[Remaining],tblDaily[EntryDate],DATE(2026,9,20),tblDaily[WardCode],"NICU")),"")</f>
        <v/>
      </c>
    </row>
    <row r="339">
      <c r="A339" s="12" t="n">
        <v>21</v>
      </c>
      <c r="B339" s="12">
        <f>IFERROR(IF(SUMIFS(tblDaily[Admissions],tblDaily[EntryDate],DATE(2026,9,21),tblDaily[WardCode],"NICU")=0,"",SUMIFS(tblDaily[Admissions],tblDaily[EntryDate],DATE(2026,9,21),tblDaily[WardCode],"NICU")),"")</f>
        <v/>
      </c>
      <c r="C339" s="12">
        <f>IFERROR(IF(SUMIFS(tblDaily[Discharges],tblDaily[EntryDate],DATE(2026,9,21),tblDaily[WardCode],"NICU")=0,"",SUMIFS(tblDaily[Discharges],tblDaily[EntryDate],DATE(2026,9,21),tblDaily[WardCode],"NICU")),"")</f>
        <v/>
      </c>
      <c r="D339" s="12">
        <f>IFERROR(IF(SUMIFS(tblDaily[Deaths],tblDaily[EntryDate],DATE(2026,9,21),tblDaily[WardCode],"NICU")=0,"",SUMIFS(tblDaily[Deaths],tblDaily[EntryDate],DATE(2026,9,21),tblDaily[WardCode],"NICU")),"")</f>
        <v/>
      </c>
      <c r="E339" s="12">
        <f>IFERROR(IF(SUMIFS(tblDaily[DeathsUnder24Hrs],tblDaily[EntryDate],DATE(2026,9,21),tblDaily[WardCode],"NICU")=0,"",SUMIFS(tblDaily[DeathsUnder24Hrs],tblDaily[EntryDate],DATE(2026,9,21),tblDaily[WardCode],"NICU")),"")</f>
        <v/>
      </c>
      <c r="F339" s="12">
        <f>IFERROR(IF(SUMIFS(tblDaily[TransfersIn],tblDaily[EntryDate],DATE(2026,9,21),tblDaily[WardCode],"NICU")=0,"",SUMIFS(tblDaily[TransfersIn],tblDaily[EntryDate],DATE(2026,9,21),tblDaily[WardCode],"NICU")),"")</f>
        <v/>
      </c>
      <c r="G339" s="12">
        <f>IFERROR(IF(SUMIFS(tblDaily[TransfersOut],tblDaily[EntryDate],DATE(2026,9,21),tblDaily[WardCode],"NICU")=0,"",SUMIFS(tblDaily[TransfersOut],tblDaily[EntryDate],DATE(2026,9,21),tblDaily[WardCode],"NICU")),"")</f>
        <v/>
      </c>
      <c r="H339" s="12">
        <f>IFERROR(IF(SUMIFS(tblDaily[Remaining],tblDaily[EntryDate],DATE(2026,9,21),tblDaily[WardCode],"NICU")=0,"",SUMIFS(tblDaily[Remaining],tblDaily[EntryDate],DATE(2026,9,21),tblDaily[WardCode],"NICU")),"")</f>
        <v/>
      </c>
    </row>
    <row r="340">
      <c r="A340" s="12" t="n">
        <v>22</v>
      </c>
      <c r="B340" s="12">
        <f>IFERROR(IF(SUMIFS(tblDaily[Admissions],tblDaily[EntryDate],DATE(2026,9,22),tblDaily[WardCode],"NICU")=0,"",SUMIFS(tblDaily[Admissions],tblDaily[EntryDate],DATE(2026,9,22),tblDaily[WardCode],"NICU")),"")</f>
        <v/>
      </c>
      <c r="C340" s="12">
        <f>IFERROR(IF(SUMIFS(tblDaily[Discharges],tblDaily[EntryDate],DATE(2026,9,22),tblDaily[WardCode],"NICU")=0,"",SUMIFS(tblDaily[Discharges],tblDaily[EntryDate],DATE(2026,9,22),tblDaily[WardCode],"NICU")),"")</f>
        <v/>
      </c>
      <c r="D340" s="12">
        <f>IFERROR(IF(SUMIFS(tblDaily[Deaths],tblDaily[EntryDate],DATE(2026,9,22),tblDaily[WardCode],"NICU")=0,"",SUMIFS(tblDaily[Deaths],tblDaily[EntryDate],DATE(2026,9,22),tblDaily[WardCode],"NICU")),"")</f>
        <v/>
      </c>
      <c r="E340" s="12">
        <f>IFERROR(IF(SUMIFS(tblDaily[DeathsUnder24Hrs],tblDaily[EntryDate],DATE(2026,9,22),tblDaily[WardCode],"NICU")=0,"",SUMIFS(tblDaily[DeathsUnder24Hrs],tblDaily[EntryDate],DATE(2026,9,22),tblDaily[WardCode],"NICU")),"")</f>
        <v/>
      </c>
      <c r="F340" s="12">
        <f>IFERROR(IF(SUMIFS(tblDaily[TransfersIn],tblDaily[EntryDate],DATE(2026,9,22),tblDaily[WardCode],"NICU")=0,"",SUMIFS(tblDaily[TransfersIn],tblDaily[EntryDate],DATE(2026,9,22),tblDaily[WardCode],"NICU")),"")</f>
        <v/>
      </c>
      <c r="G340" s="12">
        <f>IFERROR(IF(SUMIFS(tblDaily[TransfersOut],tblDaily[EntryDate],DATE(2026,9,22),tblDaily[WardCode],"NICU")=0,"",SUMIFS(tblDaily[TransfersOut],tblDaily[EntryDate],DATE(2026,9,22),tblDaily[WardCode],"NICU")),"")</f>
        <v/>
      </c>
      <c r="H340" s="12">
        <f>IFERROR(IF(SUMIFS(tblDaily[Remaining],tblDaily[EntryDate],DATE(2026,9,22),tblDaily[WardCode],"NICU")=0,"",SUMIFS(tblDaily[Remaining],tblDaily[EntryDate],DATE(2026,9,22),tblDaily[WardCode],"NICU")),"")</f>
        <v/>
      </c>
    </row>
    <row r="341">
      <c r="A341" s="12" t="n">
        <v>23</v>
      </c>
      <c r="B341" s="12">
        <f>IFERROR(IF(SUMIFS(tblDaily[Admissions],tblDaily[EntryDate],DATE(2026,9,23),tblDaily[WardCode],"NICU")=0,"",SUMIFS(tblDaily[Admissions],tblDaily[EntryDate],DATE(2026,9,23),tblDaily[WardCode],"NICU")),"")</f>
        <v/>
      </c>
      <c r="C341" s="12">
        <f>IFERROR(IF(SUMIFS(tblDaily[Discharges],tblDaily[EntryDate],DATE(2026,9,23),tblDaily[WardCode],"NICU")=0,"",SUMIFS(tblDaily[Discharges],tblDaily[EntryDate],DATE(2026,9,23),tblDaily[WardCode],"NICU")),"")</f>
        <v/>
      </c>
      <c r="D341" s="12">
        <f>IFERROR(IF(SUMIFS(tblDaily[Deaths],tblDaily[EntryDate],DATE(2026,9,23),tblDaily[WardCode],"NICU")=0,"",SUMIFS(tblDaily[Deaths],tblDaily[EntryDate],DATE(2026,9,23),tblDaily[WardCode],"NICU")),"")</f>
        <v/>
      </c>
      <c r="E341" s="12">
        <f>IFERROR(IF(SUMIFS(tblDaily[DeathsUnder24Hrs],tblDaily[EntryDate],DATE(2026,9,23),tblDaily[WardCode],"NICU")=0,"",SUMIFS(tblDaily[DeathsUnder24Hrs],tblDaily[EntryDate],DATE(2026,9,23),tblDaily[WardCode],"NICU")),"")</f>
        <v/>
      </c>
      <c r="F341" s="12">
        <f>IFERROR(IF(SUMIFS(tblDaily[TransfersIn],tblDaily[EntryDate],DATE(2026,9,23),tblDaily[WardCode],"NICU")=0,"",SUMIFS(tblDaily[TransfersIn],tblDaily[EntryDate],DATE(2026,9,23),tblDaily[WardCode],"NICU")),"")</f>
        <v/>
      </c>
      <c r="G341" s="12">
        <f>IFERROR(IF(SUMIFS(tblDaily[TransfersOut],tblDaily[EntryDate],DATE(2026,9,23),tblDaily[WardCode],"NICU")=0,"",SUMIFS(tblDaily[TransfersOut],tblDaily[EntryDate],DATE(2026,9,23),tblDaily[WardCode],"NICU")),"")</f>
        <v/>
      </c>
      <c r="H341" s="12">
        <f>IFERROR(IF(SUMIFS(tblDaily[Remaining],tblDaily[EntryDate],DATE(2026,9,23),tblDaily[WardCode],"NICU")=0,"",SUMIFS(tblDaily[Remaining],tblDaily[EntryDate],DATE(2026,9,23),tblDaily[WardCode],"NICU")),"")</f>
        <v/>
      </c>
    </row>
    <row r="342">
      <c r="A342" s="12" t="n">
        <v>24</v>
      </c>
      <c r="B342" s="12">
        <f>IFERROR(IF(SUMIFS(tblDaily[Admissions],tblDaily[EntryDate],DATE(2026,9,24),tblDaily[WardCode],"NICU")=0,"",SUMIFS(tblDaily[Admissions],tblDaily[EntryDate],DATE(2026,9,24),tblDaily[WardCode],"NICU")),"")</f>
        <v/>
      </c>
      <c r="C342" s="12">
        <f>IFERROR(IF(SUMIFS(tblDaily[Discharges],tblDaily[EntryDate],DATE(2026,9,24),tblDaily[WardCode],"NICU")=0,"",SUMIFS(tblDaily[Discharges],tblDaily[EntryDate],DATE(2026,9,24),tblDaily[WardCode],"NICU")),"")</f>
        <v/>
      </c>
      <c r="D342" s="12">
        <f>IFERROR(IF(SUMIFS(tblDaily[Deaths],tblDaily[EntryDate],DATE(2026,9,24),tblDaily[WardCode],"NICU")=0,"",SUMIFS(tblDaily[Deaths],tblDaily[EntryDate],DATE(2026,9,24),tblDaily[WardCode],"NICU")),"")</f>
        <v/>
      </c>
      <c r="E342" s="12">
        <f>IFERROR(IF(SUMIFS(tblDaily[DeathsUnder24Hrs],tblDaily[EntryDate],DATE(2026,9,24),tblDaily[WardCode],"NICU")=0,"",SUMIFS(tblDaily[DeathsUnder24Hrs],tblDaily[EntryDate],DATE(2026,9,24),tblDaily[WardCode],"NICU")),"")</f>
        <v/>
      </c>
      <c r="F342" s="12">
        <f>IFERROR(IF(SUMIFS(tblDaily[TransfersIn],tblDaily[EntryDate],DATE(2026,9,24),tblDaily[WardCode],"NICU")=0,"",SUMIFS(tblDaily[TransfersIn],tblDaily[EntryDate],DATE(2026,9,24),tblDaily[WardCode],"NICU")),"")</f>
        <v/>
      </c>
      <c r="G342" s="12">
        <f>IFERROR(IF(SUMIFS(tblDaily[TransfersOut],tblDaily[EntryDate],DATE(2026,9,24),tblDaily[WardCode],"NICU")=0,"",SUMIFS(tblDaily[TransfersOut],tblDaily[EntryDate],DATE(2026,9,24),tblDaily[WardCode],"NICU")),"")</f>
        <v/>
      </c>
      <c r="H342" s="12">
        <f>IFERROR(IF(SUMIFS(tblDaily[Remaining],tblDaily[EntryDate],DATE(2026,9,24),tblDaily[WardCode],"NICU")=0,"",SUMIFS(tblDaily[Remaining],tblDaily[EntryDate],DATE(2026,9,24),tblDaily[WardCode],"NICU")),"")</f>
        <v/>
      </c>
    </row>
    <row r="343">
      <c r="A343" s="12" t="n">
        <v>25</v>
      </c>
      <c r="B343" s="12">
        <f>IFERROR(IF(SUMIFS(tblDaily[Admissions],tblDaily[EntryDate],DATE(2026,9,25),tblDaily[WardCode],"NICU")=0,"",SUMIFS(tblDaily[Admissions],tblDaily[EntryDate],DATE(2026,9,25),tblDaily[WardCode],"NICU")),"")</f>
        <v/>
      </c>
      <c r="C343" s="12">
        <f>IFERROR(IF(SUMIFS(tblDaily[Discharges],tblDaily[EntryDate],DATE(2026,9,25),tblDaily[WardCode],"NICU")=0,"",SUMIFS(tblDaily[Discharges],tblDaily[EntryDate],DATE(2026,9,25),tblDaily[WardCode],"NICU")),"")</f>
        <v/>
      </c>
      <c r="D343" s="12">
        <f>IFERROR(IF(SUMIFS(tblDaily[Deaths],tblDaily[EntryDate],DATE(2026,9,25),tblDaily[WardCode],"NICU")=0,"",SUMIFS(tblDaily[Deaths],tblDaily[EntryDate],DATE(2026,9,25),tblDaily[WardCode],"NICU")),"")</f>
        <v/>
      </c>
      <c r="E343" s="12">
        <f>IFERROR(IF(SUMIFS(tblDaily[DeathsUnder24Hrs],tblDaily[EntryDate],DATE(2026,9,25),tblDaily[WardCode],"NICU")=0,"",SUMIFS(tblDaily[DeathsUnder24Hrs],tblDaily[EntryDate],DATE(2026,9,25),tblDaily[WardCode],"NICU")),"")</f>
        <v/>
      </c>
      <c r="F343" s="12">
        <f>IFERROR(IF(SUMIFS(tblDaily[TransfersIn],tblDaily[EntryDate],DATE(2026,9,25),tblDaily[WardCode],"NICU")=0,"",SUMIFS(tblDaily[TransfersIn],tblDaily[EntryDate],DATE(2026,9,25),tblDaily[WardCode],"NICU")),"")</f>
        <v/>
      </c>
      <c r="G343" s="12">
        <f>IFERROR(IF(SUMIFS(tblDaily[TransfersOut],tblDaily[EntryDate],DATE(2026,9,25),tblDaily[WardCode],"NICU")=0,"",SUMIFS(tblDaily[TransfersOut],tblDaily[EntryDate],DATE(2026,9,25),tblDaily[WardCode],"NICU")),"")</f>
        <v/>
      </c>
      <c r="H343" s="12">
        <f>IFERROR(IF(SUMIFS(tblDaily[Remaining],tblDaily[EntryDate],DATE(2026,9,25),tblDaily[WardCode],"NICU")=0,"",SUMIFS(tblDaily[Remaining],tblDaily[EntryDate],DATE(2026,9,25),tblDaily[WardCode],"NICU")),"")</f>
        <v/>
      </c>
    </row>
    <row r="344">
      <c r="A344" s="12" t="n">
        <v>26</v>
      </c>
      <c r="B344" s="12">
        <f>IFERROR(IF(SUMIFS(tblDaily[Admissions],tblDaily[EntryDate],DATE(2026,9,26),tblDaily[WardCode],"NICU")=0,"",SUMIFS(tblDaily[Admissions],tblDaily[EntryDate],DATE(2026,9,26),tblDaily[WardCode],"NICU")),"")</f>
        <v/>
      </c>
      <c r="C344" s="12">
        <f>IFERROR(IF(SUMIFS(tblDaily[Discharges],tblDaily[EntryDate],DATE(2026,9,26),tblDaily[WardCode],"NICU")=0,"",SUMIFS(tblDaily[Discharges],tblDaily[EntryDate],DATE(2026,9,26),tblDaily[WardCode],"NICU")),"")</f>
        <v/>
      </c>
      <c r="D344" s="12">
        <f>IFERROR(IF(SUMIFS(tblDaily[Deaths],tblDaily[EntryDate],DATE(2026,9,26),tblDaily[WardCode],"NICU")=0,"",SUMIFS(tblDaily[Deaths],tblDaily[EntryDate],DATE(2026,9,26),tblDaily[WardCode],"NICU")),"")</f>
        <v/>
      </c>
      <c r="E344" s="12">
        <f>IFERROR(IF(SUMIFS(tblDaily[DeathsUnder24Hrs],tblDaily[EntryDate],DATE(2026,9,26),tblDaily[WardCode],"NICU")=0,"",SUMIFS(tblDaily[DeathsUnder24Hrs],tblDaily[EntryDate],DATE(2026,9,26),tblDaily[WardCode],"NICU")),"")</f>
        <v/>
      </c>
      <c r="F344" s="12">
        <f>IFERROR(IF(SUMIFS(tblDaily[TransfersIn],tblDaily[EntryDate],DATE(2026,9,26),tblDaily[WardCode],"NICU")=0,"",SUMIFS(tblDaily[TransfersIn],tblDaily[EntryDate],DATE(2026,9,26),tblDaily[WardCode],"NICU")),"")</f>
        <v/>
      </c>
      <c r="G344" s="12">
        <f>IFERROR(IF(SUMIFS(tblDaily[TransfersOut],tblDaily[EntryDate],DATE(2026,9,26),tblDaily[WardCode],"NICU")=0,"",SUMIFS(tblDaily[TransfersOut],tblDaily[EntryDate],DATE(2026,9,26),tblDaily[WardCode],"NICU")),"")</f>
        <v/>
      </c>
      <c r="H344" s="12">
        <f>IFERROR(IF(SUMIFS(tblDaily[Remaining],tblDaily[EntryDate],DATE(2026,9,26),tblDaily[WardCode],"NICU")=0,"",SUMIFS(tblDaily[Remaining],tblDaily[EntryDate],DATE(2026,9,26),tblDaily[WardCode],"NICU")),"")</f>
        <v/>
      </c>
    </row>
    <row r="345">
      <c r="A345" s="12" t="n">
        <v>27</v>
      </c>
      <c r="B345" s="12">
        <f>IFERROR(IF(SUMIFS(tblDaily[Admissions],tblDaily[EntryDate],DATE(2026,9,27),tblDaily[WardCode],"NICU")=0,"",SUMIFS(tblDaily[Admissions],tblDaily[EntryDate],DATE(2026,9,27),tblDaily[WardCode],"NICU")),"")</f>
        <v/>
      </c>
      <c r="C345" s="12">
        <f>IFERROR(IF(SUMIFS(tblDaily[Discharges],tblDaily[EntryDate],DATE(2026,9,27),tblDaily[WardCode],"NICU")=0,"",SUMIFS(tblDaily[Discharges],tblDaily[EntryDate],DATE(2026,9,27),tblDaily[WardCode],"NICU")),"")</f>
        <v/>
      </c>
      <c r="D345" s="12">
        <f>IFERROR(IF(SUMIFS(tblDaily[Deaths],tblDaily[EntryDate],DATE(2026,9,27),tblDaily[WardCode],"NICU")=0,"",SUMIFS(tblDaily[Deaths],tblDaily[EntryDate],DATE(2026,9,27),tblDaily[WardCode],"NICU")),"")</f>
        <v/>
      </c>
      <c r="E345" s="12">
        <f>IFERROR(IF(SUMIFS(tblDaily[DeathsUnder24Hrs],tblDaily[EntryDate],DATE(2026,9,27),tblDaily[WardCode],"NICU")=0,"",SUMIFS(tblDaily[DeathsUnder24Hrs],tblDaily[EntryDate],DATE(2026,9,27),tblDaily[WardCode],"NICU")),"")</f>
        <v/>
      </c>
      <c r="F345" s="12">
        <f>IFERROR(IF(SUMIFS(tblDaily[TransfersIn],tblDaily[EntryDate],DATE(2026,9,27),tblDaily[WardCode],"NICU")=0,"",SUMIFS(tblDaily[TransfersIn],tblDaily[EntryDate],DATE(2026,9,27),tblDaily[WardCode],"NICU")),"")</f>
        <v/>
      </c>
      <c r="G345" s="12">
        <f>IFERROR(IF(SUMIFS(tblDaily[TransfersOut],tblDaily[EntryDate],DATE(2026,9,27),tblDaily[WardCode],"NICU")=0,"",SUMIFS(tblDaily[TransfersOut],tblDaily[EntryDate],DATE(2026,9,27),tblDaily[WardCode],"NICU")),"")</f>
        <v/>
      </c>
      <c r="H345" s="12">
        <f>IFERROR(IF(SUMIFS(tblDaily[Remaining],tblDaily[EntryDate],DATE(2026,9,27),tblDaily[WardCode],"NICU")=0,"",SUMIFS(tblDaily[Remaining],tblDaily[EntryDate],DATE(2026,9,27),tblDaily[WardCode],"NICU")),"")</f>
        <v/>
      </c>
    </row>
    <row r="346">
      <c r="A346" s="12" t="n">
        <v>28</v>
      </c>
      <c r="B346" s="12">
        <f>IFERROR(IF(SUMIFS(tblDaily[Admissions],tblDaily[EntryDate],DATE(2026,9,28),tblDaily[WardCode],"NICU")=0,"",SUMIFS(tblDaily[Admissions],tblDaily[EntryDate],DATE(2026,9,28),tblDaily[WardCode],"NICU")),"")</f>
        <v/>
      </c>
      <c r="C346" s="12">
        <f>IFERROR(IF(SUMIFS(tblDaily[Discharges],tblDaily[EntryDate],DATE(2026,9,28),tblDaily[WardCode],"NICU")=0,"",SUMIFS(tblDaily[Discharges],tblDaily[EntryDate],DATE(2026,9,28),tblDaily[WardCode],"NICU")),"")</f>
        <v/>
      </c>
      <c r="D346" s="12">
        <f>IFERROR(IF(SUMIFS(tblDaily[Deaths],tblDaily[EntryDate],DATE(2026,9,28),tblDaily[WardCode],"NICU")=0,"",SUMIFS(tblDaily[Deaths],tblDaily[EntryDate],DATE(2026,9,28),tblDaily[WardCode],"NICU")),"")</f>
        <v/>
      </c>
      <c r="E346" s="12">
        <f>IFERROR(IF(SUMIFS(tblDaily[DeathsUnder24Hrs],tblDaily[EntryDate],DATE(2026,9,28),tblDaily[WardCode],"NICU")=0,"",SUMIFS(tblDaily[DeathsUnder24Hrs],tblDaily[EntryDate],DATE(2026,9,28),tblDaily[WardCode],"NICU")),"")</f>
        <v/>
      </c>
      <c r="F346" s="12">
        <f>IFERROR(IF(SUMIFS(tblDaily[TransfersIn],tblDaily[EntryDate],DATE(2026,9,28),tblDaily[WardCode],"NICU")=0,"",SUMIFS(tblDaily[TransfersIn],tblDaily[EntryDate],DATE(2026,9,28),tblDaily[WardCode],"NICU")),"")</f>
        <v/>
      </c>
      <c r="G346" s="12">
        <f>IFERROR(IF(SUMIFS(tblDaily[TransfersOut],tblDaily[EntryDate],DATE(2026,9,28),tblDaily[WardCode],"NICU")=0,"",SUMIFS(tblDaily[TransfersOut],tblDaily[EntryDate],DATE(2026,9,28),tblDaily[WardCode],"NICU")),"")</f>
        <v/>
      </c>
      <c r="H346" s="12">
        <f>IFERROR(IF(SUMIFS(tblDaily[Remaining],tblDaily[EntryDate],DATE(2026,9,28),tblDaily[WardCode],"NICU")=0,"",SUMIFS(tblDaily[Remaining],tblDaily[EntryDate],DATE(2026,9,28),tblDaily[WardCode],"NICU")),"")</f>
        <v/>
      </c>
    </row>
    <row r="347">
      <c r="A347" s="12" t="n">
        <v>29</v>
      </c>
      <c r="B347" s="12">
        <f>IFERROR(IF(SUMIFS(tblDaily[Admissions],tblDaily[EntryDate],DATE(2026,9,29),tblDaily[WardCode],"NICU")=0,"",SUMIFS(tblDaily[Admissions],tblDaily[EntryDate],DATE(2026,9,29),tblDaily[WardCode],"NICU")),"")</f>
        <v/>
      </c>
      <c r="C347" s="12">
        <f>IFERROR(IF(SUMIFS(tblDaily[Discharges],tblDaily[EntryDate],DATE(2026,9,29),tblDaily[WardCode],"NICU")=0,"",SUMIFS(tblDaily[Discharges],tblDaily[EntryDate],DATE(2026,9,29),tblDaily[WardCode],"NICU")),"")</f>
        <v/>
      </c>
      <c r="D347" s="12">
        <f>IFERROR(IF(SUMIFS(tblDaily[Deaths],tblDaily[EntryDate],DATE(2026,9,29),tblDaily[WardCode],"NICU")=0,"",SUMIFS(tblDaily[Deaths],tblDaily[EntryDate],DATE(2026,9,29),tblDaily[WardCode],"NICU")),"")</f>
        <v/>
      </c>
      <c r="E347" s="12">
        <f>IFERROR(IF(SUMIFS(tblDaily[DeathsUnder24Hrs],tblDaily[EntryDate],DATE(2026,9,29),tblDaily[WardCode],"NICU")=0,"",SUMIFS(tblDaily[DeathsUnder24Hrs],tblDaily[EntryDate],DATE(2026,9,29),tblDaily[WardCode],"NICU")),"")</f>
        <v/>
      </c>
      <c r="F347" s="12">
        <f>IFERROR(IF(SUMIFS(tblDaily[TransfersIn],tblDaily[EntryDate],DATE(2026,9,29),tblDaily[WardCode],"NICU")=0,"",SUMIFS(tblDaily[TransfersIn],tblDaily[EntryDate],DATE(2026,9,29),tblDaily[WardCode],"NICU")),"")</f>
        <v/>
      </c>
      <c r="G347" s="12">
        <f>IFERROR(IF(SUMIFS(tblDaily[TransfersOut],tblDaily[EntryDate],DATE(2026,9,29),tblDaily[WardCode],"NICU")=0,"",SUMIFS(tblDaily[TransfersOut],tblDaily[EntryDate],DATE(2026,9,29),tblDaily[WardCode],"NICU")),"")</f>
        <v/>
      </c>
      <c r="H347" s="12">
        <f>IFERROR(IF(SUMIFS(tblDaily[Remaining],tblDaily[EntryDate],DATE(2026,9,29),tblDaily[WardCode],"NICU")=0,"",SUMIFS(tblDaily[Remaining],tblDaily[EntryDate],DATE(2026,9,29),tblDaily[WardCode],"NICU")),"")</f>
        <v/>
      </c>
    </row>
    <row r="348">
      <c r="A348" s="12" t="n">
        <v>30</v>
      </c>
      <c r="B348" s="12">
        <f>IFERROR(IF(SUMIFS(tblDaily[Admissions],tblDaily[EntryDate],DATE(2026,9,30),tblDaily[WardCode],"NICU")=0,"",SUMIFS(tblDaily[Admissions],tblDaily[EntryDate],DATE(2026,9,30),tblDaily[WardCode],"NICU")),"")</f>
        <v/>
      </c>
      <c r="C348" s="12">
        <f>IFERROR(IF(SUMIFS(tblDaily[Discharges],tblDaily[EntryDate],DATE(2026,9,30),tblDaily[WardCode],"NICU")=0,"",SUMIFS(tblDaily[Discharges],tblDaily[EntryDate],DATE(2026,9,30),tblDaily[WardCode],"NICU")),"")</f>
        <v/>
      </c>
      <c r="D348" s="12">
        <f>IFERROR(IF(SUMIFS(tblDaily[Deaths],tblDaily[EntryDate],DATE(2026,9,30),tblDaily[WardCode],"NICU")=0,"",SUMIFS(tblDaily[Deaths],tblDaily[EntryDate],DATE(2026,9,30),tblDaily[WardCode],"NICU")),"")</f>
        <v/>
      </c>
      <c r="E348" s="12">
        <f>IFERROR(IF(SUMIFS(tblDaily[DeathsUnder24Hrs],tblDaily[EntryDate],DATE(2026,9,30),tblDaily[WardCode],"NICU")=0,"",SUMIFS(tblDaily[DeathsUnder24Hrs],tblDaily[EntryDate],DATE(2026,9,30),tblDaily[WardCode],"NICU")),"")</f>
        <v/>
      </c>
      <c r="F348" s="12">
        <f>IFERROR(IF(SUMIFS(tblDaily[TransfersIn],tblDaily[EntryDate],DATE(2026,9,30),tblDaily[WardCode],"NICU")=0,"",SUMIFS(tblDaily[TransfersIn],tblDaily[EntryDate],DATE(2026,9,30),tblDaily[WardCode],"NICU")),"")</f>
        <v/>
      </c>
      <c r="G348" s="12">
        <f>IFERROR(IF(SUMIFS(tblDaily[TransfersOut],tblDaily[EntryDate],DATE(2026,9,30),tblDaily[WardCode],"NICU")=0,"",SUMIFS(tblDaily[TransfersOut],tblDaily[EntryDate],DATE(2026,9,30),tblDaily[WardCode],"NICU")),"")</f>
        <v/>
      </c>
      <c r="H348" s="12">
        <f>IFERROR(IF(SUMIFS(tblDaily[Remaining],tblDaily[EntryDate],DATE(2026,9,30),tblDaily[WardCode],"NICU")=0,"",SUMIFS(tblDaily[Remaining],tblDaily[EntryDate],DATE(2026,9,30),tblDaily[WardCode],"NICU")),"")</f>
        <v/>
      </c>
    </row>
    <row r="349">
      <c r="A349" s="12" t="n">
        <v>31</v>
      </c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7" t="inlineStr">
        <is>
          <t>TOTAL</t>
        </is>
      </c>
      <c r="B350" s="17">
        <f>SUMIFS(tblDaily[Admissions],tblDaily[Month],9,tblDaily[WardCode],"NICU") - SUMIFS(tblDaily[DeathsUnder24Hrs],tblDaily[Month],9,tblDaily[WardCode],"NICU")</f>
        <v/>
      </c>
      <c r="C350" s="17">
        <f>SUMIFS(tblDaily[Discharges],tblDaily[Month],9,tblDaily[WardCode],"NICU")</f>
        <v/>
      </c>
      <c r="D350" s="17">
        <f>SUMIFS(tblDaily[Deaths],tblDaily[Month],9,tblDaily[WardCode],"NICU")</f>
        <v/>
      </c>
      <c r="E350" s="17">
        <f>SUMIFS(tblDaily[DeathsUnder24Hrs],tblDaily[Month],9,tblDaily[WardCode],"NICU")</f>
        <v/>
      </c>
      <c r="F350" s="17">
        <f>SUMIFS(tblDaily[TransfersIn],tblDaily[Month],9,tblDaily[WardCode],"NICU")</f>
        <v/>
      </c>
      <c r="G350" s="17">
        <f>SUMIFS(tblDaily[TransfersOut],tblDaily[Month],9,tblDaily[WardCode],"NICU")</f>
        <v/>
      </c>
      <c r="H350" s="17">
        <f>SUMIFS(tblDaily[Remaining],tblDaily[Month],9,tblDaily[WardCode],"NICU")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NEONATAL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4">
        <f>IFERROR(SUMIFS(tblDaily[Remaining],tblDaily[EntryDate],DATE(2026,9,30),tblDaily[WardCode],"NICU"),0)</f>
        <v/>
      </c>
    </row>
    <row r="356">
      <c r="A356" s="4" t="inlineStr">
        <is>
          <t>Bed complement</t>
        </is>
      </c>
      <c r="H356" s="15">
        <f>IFERROR(INDEX(tblWardConfig[BedComplement],MATCH("NICU",tblWardConfig[WardCode],0)),0)</f>
        <v/>
      </c>
    </row>
    <row r="357">
      <c r="A357" s="16" t="inlineStr">
        <is>
          <t>Day of
the
Month</t>
        </is>
      </c>
      <c r="B357" s="16" t="inlineStr">
        <is>
          <t>Admissions</t>
        </is>
      </c>
      <c r="C357" s="16" t="inlineStr">
        <is>
          <t>Discharges</t>
        </is>
      </c>
      <c r="D357" s="16" t="inlineStr">
        <is>
          <t>Deaths</t>
        </is>
      </c>
      <c r="E357" s="16" t="inlineStr">
        <is>
          <t>Deaths
&lt;24Hrs</t>
        </is>
      </c>
      <c r="F357" s="16" t="inlineStr">
        <is>
          <t>Transfers-
In</t>
        </is>
      </c>
      <c r="G357" s="16" t="inlineStr">
        <is>
          <t>Transfers-
Out</t>
        </is>
      </c>
      <c r="H357" s="16" t="inlineStr">
        <is>
          <t>No. of Patients
Remaining In
Ward</t>
        </is>
      </c>
    </row>
    <row r="358">
      <c r="A358" s="12" t="n">
        <v>1</v>
      </c>
      <c r="B358" s="12">
        <f>IFERROR(IF(SUMIFS(tblDaily[Admissions],tblDaily[EntryDate],DATE(2026,10,1),tblDaily[WardCode],"NICU")=0,"",SUMIFS(tblDaily[Admissions],tblDaily[EntryDate],DATE(2026,10,1),tblDaily[WardCode],"NICU")),"")</f>
        <v/>
      </c>
      <c r="C358" s="12">
        <f>IFERROR(IF(SUMIFS(tblDaily[Discharges],tblDaily[EntryDate],DATE(2026,10,1),tblDaily[WardCode],"NICU")=0,"",SUMIFS(tblDaily[Discharges],tblDaily[EntryDate],DATE(2026,10,1),tblDaily[WardCode],"NICU")),"")</f>
        <v/>
      </c>
      <c r="D358" s="12">
        <f>IFERROR(IF(SUMIFS(tblDaily[Deaths],tblDaily[EntryDate],DATE(2026,10,1),tblDaily[WardCode],"NICU")=0,"",SUMIFS(tblDaily[Deaths],tblDaily[EntryDate],DATE(2026,10,1),tblDaily[WardCode],"NICU")),"")</f>
        <v/>
      </c>
      <c r="E358" s="12">
        <f>IFERROR(IF(SUMIFS(tblDaily[DeathsUnder24Hrs],tblDaily[EntryDate],DATE(2026,10,1),tblDaily[WardCode],"NICU")=0,"",SUMIFS(tblDaily[DeathsUnder24Hrs],tblDaily[EntryDate],DATE(2026,10,1),tblDaily[WardCode],"NICU")),"")</f>
        <v/>
      </c>
      <c r="F358" s="12">
        <f>IFERROR(IF(SUMIFS(tblDaily[TransfersIn],tblDaily[EntryDate],DATE(2026,10,1),tblDaily[WardCode],"NICU")=0,"",SUMIFS(tblDaily[TransfersIn],tblDaily[EntryDate],DATE(2026,10,1),tblDaily[WardCode],"NICU")),"")</f>
        <v/>
      </c>
      <c r="G358" s="12">
        <f>IFERROR(IF(SUMIFS(tblDaily[TransfersOut],tblDaily[EntryDate],DATE(2026,10,1),tblDaily[WardCode],"NICU")=0,"",SUMIFS(tblDaily[TransfersOut],tblDaily[EntryDate],DATE(2026,10,1),tblDaily[WardCode],"NICU")),"")</f>
        <v/>
      </c>
      <c r="H358" s="12">
        <f>IFERROR(IF(SUMIFS(tblDaily[Remaining],tblDaily[EntryDate],DATE(2026,10,1),tblDaily[WardCode],"NICU")=0,"",SUMIFS(tblDaily[Remaining],tblDaily[EntryDate],DATE(2026,10,1),tblDaily[WardCode],"NICU")),"")</f>
        <v/>
      </c>
    </row>
    <row r="359">
      <c r="A359" s="12" t="n">
        <v>2</v>
      </c>
      <c r="B359" s="12">
        <f>IFERROR(IF(SUMIFS(tblDaily[Admissions],tblDaily[EntryDate],DATE(2026,10,2),tblDaily[WardCode],"NICU")=0,"",SUMIFS(tblDaily[Admissions],tblDaily[EntryDate],DATE(2026,10,2),tblDaily[WardCode],"NICU")),"")</f>
        <v/>
      </c>
      <c r="C359" s="12">
        <f>IFERROR(IF(SUMIFS(tblDaily[Discharges],tblDaily[EntryDate],DATE(2026,10,2),tblDaily[WardCode],"NICU")=0,"",SUMIFS(tblDaily[Discharges],tblDaily[EntryDate],DATE(2026,10,2),tblDaily[WardCode],"NICU")),"")</f>
        <v/>
      </c>
      <c r="D359" s="12">
        <f>IFERROR(IF(SUMIFS(tblDaily[Deaths],tblDaily[EntryDate],DATE(2026,10,2),tblDaily[WardCode],"NICU")=0,"",SUMIFS(tblDaily[Deaths],tblDaily[EntryDate],DATE(2026,10,2),tblDaily[WardCode],"NICU")),"")</f>
        <v/>
      </c>
      <c r="E359" s="12">
        <f>IFERROR(IF(SUMIFS(tblDaily[DeathsUnder24Hrs],tblDaily[EntryDate],DATE(2026,10,2),tblDaily[WardCode],"NICU")=0,"",SUMIFS(tblDaily[DeathsUnder24Hrs],tblDaily[EntryDate],DATE(2026,10,2),tblDaily[WardCode],"NICU")),"")</f>
        <v/>
      </c>
      <c r="F359" s="12">
        <f>IFERROR(IF(SUMIFS(tblDaily[TransfersIn],tblDaily[EntryDate],DATE(2026,10,2),tblDaily[WardCode],"NICU")=0,"",SUMIFS(tblDaily[TransfersIn],tblDaily[EntryDate],DATE(2026,10,2),tblDaily[WardCode],"NICU")),"")</f>
        <v/>
      </c>
      <c r="G359" s="12">
        <f>IFERROR(IF(SUMIFS(tblDaily[TransfersOut],tblDaily[EntryDate],DATE(2026,10,2),tblDaily[WardCode],"NICU")=0,"",SUMIFS(tblDaily[TransfersOut],tblDaily[EntryDate],DATE(2026,10,2),tblDaily[WardCode],"NICU")),"")</f>
        <v/>
      </c>
      <c r="H359" s="12">
        <f>IFERROR(IF(SUMIFS(tblDaily[Remaining],tblDaily[EntryDate],DATE(2026,10,2),tblDaily[WardCode],"NICU")=0,"",SUMIFS(tblDaily[Remaining],tblDaily[EntryDate],DATE(2026,10,2),tblDaily[WardCode],"NICU")),"")</f>
        <v/>
      </c>
    </row>
    <row r="360">
      <c r="A360" s="12" t="n">
        <v>3</v>
      </c>
      <c r="B360" s="12">
        <f>IFERROR(IF(SUMIFS(tblDaily[Admissions],tblDaily[EntryDate],DATE(2026,10,3),tblDaily[WardCode],"NICU")=0,"",SUMIFS(tblDaily[Admissions],tblDaily[EntryDate],DATE(2026,10,3),tblDaily[WardCode],"NICU")),"")</f>
        <v/>
      </c>
      <c r="C360" s="12">
        <f>IFERROR(IF(SUMIFS(tblDaily[Discharges],tblDaily[EntryDate],DATE(2026,10,3),tblDaily[WardCode],"NICU")=0,"",SUMIFS(tblDaily[Discharges],tblDaily[EntryDate],DATE(2026,10,3),tblDaily[WardCode],"NICU")),"")</f>
        <v/>
      </c>
      <c r="D360" s="12">
        <f>IFERROR(IF(SUMIFS(tblDaily[Deaths],tblDaily[EntryDate],DATE(2026,10,3),tblDaily[WardCode],"NICU")=0,"",SUMIFS(tblDaily[Deaths],tblDaily[EntryDate],DATE(2026,10,3),tblDaily[WardCode],"NICU")),"")</f>
        <v/>
      </c>
      <c r="E360" s="12">
        <f>IFERROR(IF(SUMIFS(tblDaily[DeathsUnder24Hrs],tblDaily[EntryDate],DATE(2026,10,3),tblDaily[WardCode],"NICU")=0,"",SUMIFS(tblDaily[DeathsUnder24Hrs],tblDaily[EntryDate],DATE(2026,10,3),tblDaily[WardCode],"NICU")),"")</f>
        <v/>
      </c>
      <c r="F360" s="12">
        <f>IFERROR(IF(SUMIFS(tblDaily[TransfersIn],tblDaily[EntryDate],DATE(2026,10,3),tblDaily[WardCode],"NICU")=0,"",SUMIFS(tblDaily[TransfersIn],tblDaily[EntryDate],DATE(2026,10,3),tblDaily[WardCode],"NICU")),"")</f>
        <v/>
      </c>
      <c r="G360" s="12">
        <f>IFERROR(IF(SUMIFS(tblDaily[TransfersOut],tblDaily[EntryDate],DATE(2026,10,3),tblDaily[WardCode],"NICU")=0,"",SUMIFS(tblDaily[TransfersOut],tblDaily[EntryDate],DATE(2026,10,3),tblDaily[WardCode],"NICU")),"")</f>
        <v/>
      </c>
      <c r="H360" s="12">
        <f>IFERROR(IF(SUMIFS(tblDaily[Remaining],tblDaily[EntryDate],DATE(2026,10,3),tblDaily[WardCode],"NICU")=0,"",SUMIFS(tblDaily[Remaining],tblDaily[EntryDate],DATE(2026,10,3),tblDaily[WardCode],"NICU")),"")</f>
        <v/>
      </c>
    </row>
    <row r="361">
      <c r="A361" s="12" t="n">
        <v>4</v>
      </c>
      <c r="B361" s="12">
        <f>IFERROR(IF(SUMIFS(tblDaily[Admissions],tblDaily[EntryDate],DATE(2026,10,4),tblDaily[WardCode],"NICU")=0,"",SUMIFS(tblDaily[Admissions],tblDaily[EntryDate],DATE(2026,10,4),tblDaily[WardCode],"NICU")),"")</f>
        <v/>
      </c>
      <c r="C361" s="12">
        <f>IFERROR(IF(SUMIFS(tblDaily[Discharges],tblDaily[EntryDate],DATE(2026,10,4),tblDaily[WardCode],"NICU")=0,"",SUMIFS(tblDaily[Discharges],tblDaily[EntryDate],DATE(2026,10,4),tblDaily[WardCode],"NICU")),"")</f>
        <v/>
      </c>
      <c r="D361" s="12">
        <f>IFERROR(IF(SUMIFS(tblDaily[Deaths],tblDaily[EntryDate],DATE(2026,10,4),tblDaily[WardCode],"NICU")=0,"",SUMIFS(tblDaily[Deaths],tblDaily[EntryDate],DATE(2026,10,4),tblDaily[WardCode],"NICU")),"")</f>
        <v/>
      </c>
      <c r="E361" s="12">
        <f>IFERROR(IF(SUMIFS(tblDaily[DeathsUnder24Hrs],tblDaily[EntryDate],DATE(2026,10,4),tblDaily[WardCode],"NICU")=0,"",SUMIFS(tblDaily[DeathsUnder24Hrs],tblDaily[EntryDate],DATE(2026,10,4),tblDaily[WardCode],"NICU")),"")</f>
        <v/>
      </c>
      <c r="F361" s="12">
        <f>IFERROR(IF(SUMIFS(tblDaily[TransfersIn],tblDaily[EntryDate],DATE(2026,10,4),tblDaily[WardCode],"NICU")=0,"",SUMIFS(tblDaily[TransfersIn],tblDaily[EntryDate],DATE(2026,10,4),tblDaily[WardCode],"NICU")),"")</f>
        <v/>
      </c>
      <c r="G361" s="12">
        <f>IFERROR(IF(SUMIFS(tblDaily[TransfersOut],tblDaily[EntryDate],DATE(2026,10,4),tblDaily[WardCode],"NICU")=0,"",SUMIFS(tblDaily[TransfersOut],tblDaily[EntryDate],DATE(2026,10,4),tblDaily[WardCode],"NICU")),"")</f>
        <v/>
      </c>
      <c r="H361" s="12">
        <f>IFERROR(IF(SUMIFS(tblDaily[Remaining],tblDaily[EntryDate],DATE(2026,10,4),tblDaily[WardCode],"NICU")=0,"",SUMIFS(tblDaily[Remaining],tblDaily[EntryDate],DATE(2026,10,4),tblDaily[WardCode],"NICU")),"")</f>
        <v/>
      </c>
    </row>
    <row r="362">
      <c r="A362" s="12" t="n">
        <v>5</v>
      </c>
      <c r="B362" s="12">
        <f>IFERROR(IF(SUMIFS(tblDaily[Admissions],tblDaily[EntryDate],DATE(2026,10,5),tblDaily[WardCode],"NICU")=0,"",SUMIFS(tblDaily[Admissions],tblDaily[EntryDate],DATE(2026,10,5),tblDaily[WardCode],"NICU")),"")</f>
        <v/>
      </c>
      <c r="C362" s="12">
        <f>IFERROR(IF(SUMIFS(tblDaily[Discharges],tblDaily[EntryDate],DATE(2026,10,5),tblDaily[WardCode],"NICU")=0,"",SUMIFS(tblDaily[Discharges],tblDaily[EntryDate],DATE(2026,10,5),tblDaily[WardCode],"NICU")),"")</f>
        <v/>
      </c>
      <c r="D362" s="12">
        <f>IFERROR(IF(SUMIFS(tblDaily[Deaths],tblDaily[EntryDate],DATE(2026,10,5),tblDaily[WardCode],"NICU")=0,"",SUMIFS(tblDaily[Deaths],tblDaily[EntryDate],DATE(2026,10,5),tblDaily[WardCode],"NICU")),"")</f>
        <v/>
      </c>
      <c r="E362" s="12">
        <f>IFERROR(IF(SUMIFS(tblDaily[DeathsUnder24Hrs],tblDaily[EntryDate],DATE(2026,10,5),tblDaily[WardCode],"NICU")=0,"",SUMIFS(tblDaily[DeathsUnder24Hrs],tblDaily[EntryDate],DATE(2026,10,5),tblDaily[WardCode],"NICU")),"")</f>
        <v/>
      </c>
      <c r="F362" s="12">
        <f>IFERROR(IF(SUMIFS(tblDaily[TransfersIn],tblDaily[EntryDate],DATE(2026,10,5),tblDaily[WardCode],"NICU")=0,"",SUMIFS(tblDaily[TransfersIn],tblDaily[EntryDate],DATE(2026,10,5),tblDaily[WardCode],"NICU")),"")</f>
        <v/>
      </c>
      <c r="G362" s="12">
        <f>IFERROR(IF(SUMIFS(tblDaily[TransfersOut],tblDaily[EntryDate],DATE(2026,10,5),tblDaily[WardCode],"NICU")=0,"",SUMIFS(tblDaily[TransfersOut],tblDaily[EntryDate],DATE(2026,10,5),tblDaily[WardCode],"NICU")),"")</f>
        <v/>
      </c>
      <c r="H362" s="12">
        <f>IFERROR(IF(SUMIFS(tblDaily[Remaining],tblDaily[EntryDate],DATE(2026,10,5),tblDaily[WardCode],"NICU")=0,"",SUMIFS(tblDaily[Remaining],tblDaily[EntryDate],DATE(2026,10,5),tblDaily[WardCode],"NICU")),"")</f>
        <v/>
      </c>
    </row>
    <row r="363">
      <c r="A363" s="12" t="n">
        <v>6</v>
      </c>
      <c r="B363" s="12">
        <f>IFERROR(IF(SUMIFS(tblDaily[Admissions],tblDaily[EntryDate],DATE(2026,10,6),tblDaily[WardCode],"NICU")=0,"",SUMIFS(tblDaily[Admissions],tblDaily[EntryDate],DATE(2026,10,6),tblDaily[WardCode],"NICU")),"")</f>
        <v/>
      </c>
      <c r="C363" s="12">
        <f>IFERROR(IF(SUMIFS(tblDaily[Discharges],tblDaily[EntryDate],DATE(2026,10,6),tblDaily[WardCode],"NICU")=0,"",SUMIFS(tblDaily[Discharges],tblDaily[EntryDate],DATE(2026,10,6),tblDaily[WardCode],"NICU")),"")</f>
        <v/>
      </c>
      <c r="D363" s="12">
        <f>IFERROR(IF(SUMIFS(tblDaily[Deaths],tblDaily[EntryDate],DATE(2026,10,6),tblDaily[WardCode],"NICU")=0,"",SUMIFS(tblDaily[Deaths],tblDaily[EntryDate],DATE(2026,10,6),tblDaily[WardCode],"NICU")),"")</f>
        <v/>
      </c>
      <c r="E363" s="12">
        <f>IFERROR(IF(SUMIFS(tblDaily[DeathsUnder24Hrs],tblDaily[EntryDate],DATE(2026,10,6),tblDaily[WardCode],"NICU")=0,"",SUMIFS(tblDaily[DeathsUnder24Hrs],tblDaily[EntryDate],DATE(2026,10,6),tblDaily[WardCode],"NICU")),"")</f>
        <v/>
      </c>
      <c r="F363" s="12">
        <f>IFERROR(IF(SUMIFS(tblDaily[TransfersIn],tblDaily[EntryDate],DATE(2026,10,6),tblDaily[WardCode],"NICU")=0,"",SUMIFS(tblDaily[TransfersIn],tblDaily[EntryDate],DATE(2026,10,6),tblDaily[WardCode],"NICU")),"")</f>
        <v/>
      </c>
      <c r="G363" s="12">
        <f>IFERROR(IF(SUMIFS(tblDaily[TransfersOut],tblDaily[EntryDate],DATE(2026,10,6),tblDaily[WardCode],"NICU")=0,"",SUMIFS(tblDaily[TransfersOut],tblDaily[EntryDate],DATE(2026,10,6),tblDaily[WardCode],"NICU")),"")</f>
        <v/>
      </c>
      <c r="H363" s="12">
        <f>IFERROR(IF(SUMIFS(tblDaily[Remaining],tblDaily[EntryDate],DATE(2026,10,6),tblDaily[WardCode],"NICU")=0,"",SUMIFS(tblDaily[Remaining],tblDaily[EntryDate],DATE(2026,10,6),tblDaily[WardCode],"NICU")),"")</f>
        <v/>
      </c>
    </row>
    <row r="364">
      <c r="A364" s="12" t="n">
        <v>7</v>
      </c>
      <c r="B364" s="12">
        <f>IFERROR(IF(SUMIFS(tblDaily[Admissions],tblDaily[EntryDate],DATE(2026,10,7),tblDaily[WardCode],"NICU")=0,"",SUMIFS(tblDaily[Admissions],tblDaily[EntryDate],DATE(2026,10,7),tblDaily[WardCode],"NICU")),"")</f>
        <v/>
      </c>
      <c r="C364" s="12">
        <f>IFERROR(IF(SUMIFS(tblDaily[Discharges],tblDaily[EntryDate],DATE(2026,10,7),tblDaily[WardCode],"NICU")=0,"",SUMIFS(tblDaily[Discharges],tblDaily[EntryDate],DATE(2026,10,7),tblDaily[WardCode],"NICU")),"")</f>
        <v/>
      </c>
      <c r="D364" s="12">
        <f>IFERROR(IF(SUMIFS(tblDaily[Deaths],tblDaily[EntryDate],DATE(2026,10,7),tblDaily[WardCode],"NICU")=0,"",SUMIFS(tblDaily[Deaths],tblDaily[EntryDate],DATE(2026,10,7),tblDaily[WardCode],"NICU")),"")</f>
        <v/>
      </c>
      <c r="E364" s="12">
        <f>IFERROR(IF(SUMIFS(tblDaily[DeathsUnder24Hrs],tblDaily[EntryDate],DATE(2026,10,7),tblDaily[WardCode],"NICU")=0,"",SUMIFS(tblDaily[DeathsUnder24Hrs],tblDaily[EntryDate],DATE(2026,10,7),tblDaily[WardCode],"NICU")),"")</f>
        <v/>
      </c>
      <c r="F364" s="12">
        <f>IFERROR(IF(SUMIFS(tblDaily[TransfersIn],tblDaily[EntryDate],DATE(2026,10,7),tblDaily[WardCode],"NICU")=0,"",SUMIFS(tblDaily[TransfersIn],tblDaily[EntryDate],DATE(2026,10,7),tblDaily[WardCode],"NICU")),"")</f>
        <v/>
      </c>
      <c r="G364" s="12">
        <f>IFERROR(IF(SUMIFS(tblDaily[TransfersOut],tblDaily[EntryDate],DATE(2026,10,7),tblDaily[WardCode],"NICU")=0,"",SUMIFS(tblDaily[TransfersOut],tblDaily[EntryDate],DATE(2026,10,7),tblDaily[WardCode],"NICU")),"")</f>
        <v/>
      </c>
      <c r="H364" s="12">
        <f>IFERROR(IF(SUMIFS(tblDaily[Remaining],tblDaily[EntryDate],DATE(2026,10,7),tblDaily[WardCode],"NICU")=0,"",SUMIFS(tblDaily[Remaining],tblDaily[EntryDate],DATE(2026,10,7),tblDaily[WardCode],"NICU")),"")</f>
        <v/>
      </c>
    </row>
    <row r="365">
      <c r="A365" s="12" t="n">
        <v>8</v>
      </c>
      <c r="B365" s="12">
        <f>IFERROR(IF(SUMIFS(tblDaily[Admissions],tblDaily[EntryDate],DATE(2026,10,8),tblDaily[WardCode],"NICU")=0,"",SUMIFS(tblDaily[Admissions],tblDaily[EntryDate],DATE(2026,10,8),tblDaily[WardCode],"NICU")),"")</f>
        <v/>
      </c>
      <c r="C365" s="12">
        <f>IFERROR(IF(SUMIFS(tblDaily[Discharges],tblDaily[EntryDate],DATE(2026,10,8),tblDaily[WardCode],"NICU")=0,"",SUMIFS(tblDaily[Discharges],tblDaily[EntryDate],DATE(2026,10,8),tblDaily[WardCode],"NICU")),"")</f>
        <v/>
      </c>
      <c r="D365" s="12">
        <f>IFERROR(IF(SUMIFS(tblDaily[Deaths],tblDaily[EntryDate],DATE(2026,10,8),tblDaily[WardCode],"NICU")=0,"",SUMIFS(tblDaily[Deaths],tblDaily[EntryDate],DATE(2026,10,8),tblDaily[WardCode],"NICU")),"")</f>
        <v/>
      </c>
      <c r="E365" s="12">
        <f>IFERROR(IF(SUMIFS(tblDaily[DeathsUnder24Hrs],tblDaily[EntryDate],DATE(2026,10,8),tblDaily[WardCode],"NICU")=0,"",SUMIFS(tblDaily[DeathsUnder24Hrs],tblDaily[EntryDate],DATE(2026,10,8),tblDaily[WardCode],"NICU")),"")</f>
        <v/>
      </c>
      <c r="F365" s="12">
        <f>IFERROR(IF(SUMIFS(tblDaily[TransfersIn],tblDaily[EntryDate],DATE(2026,10,8),tblDaily[WardCode],"NICU")=0,"",SUMIFS(tblDaily[TransfersIn],tblDaily[EntryDate],DATE(2026,10,8),tblDaily[WardCode],"NICU")),"")</f>
        <v/>
      </c>
      <c r="G365" s="12">
        <f>IFERROR(IF(SUMIFS(tblDaily[TransfersOut],tblDaily[EntryDate],DATE(2026,10,8),tblDaily[WardCode],"NICU")=0,"",SUMIFS(tblDaily[TransfersOut],tblDaily[EntryDate],DATE(2026,10,8),tblDaily[WardCode],"NICU")),"")</f>
        <v/>
      </c>
      <c r="H365" s="12">
        <f>IFERROR(IF(SUMIFS(tblDaily[Remaining],tblDaily[EntryDate],DATE(2026,10,8),tblDaily[WardCode],"NICU")=0,"",SUMIFS(tblDaily[Remaining],tblDaily[EntryDate],DATE(2026,10,8),tblDaily[WardCode],"NICU")),"")</f>
        <v/>
      </c>
    </row>
    <row r="366">
      <c r="A366" s="12" t="n">
        <v>9</v>
      </c>
      <c r="B366" s="12">
        <f>IFERROR(IF(SUMIFS(tblDaily[Admissions],tblDaily[EntryDate],DATE(2026,10,9),tblDaily[WardCode],"NICU")=0,"",SUMIFS(tblDaily[Admissions],tblDaily[EntryDate],DATE(2026,10,9),tblDaily[WardCode],"NICU")),"")</f>
        <v/>
      </c>
      <c r="C366" s="12">
        <f>IFERROR(IF(SUMIFS(tblDaily[Discharges],tblDaily[EntryDate],DATE(2026,10,9),tblDaily[WardCode],"NICU")=0,"",SUMIFS(tblDaily[Discharges],tblDaily[EntryDate],DATE(2026,10,9),tblDaily[WardCode],"NICU")),"")</f>
        <v/>
      </c>
      <c r="D366" s="12">
        <f>IFERROR(IF(SUMIFS(tblDaily[Deaths],tblDaily[EntryDate],DATE(2026,10,9),tblDaily[WardCode],"NICU")=0,"",SUMIFS(tblDaily[Deaths],tblDaily[EntryDate],DATE(2026,10,9),tblDaily[WardCode],"NICU")),"")</f>
        <v/>
      </c>
      <c r="E366" s="12">
        <f>IFERROR(IF(SUMIFS(tblDaily[DeathsUnder24Hrs],tblDaily[EntryDate],DATE(2026,10,9),tblDaily[WardCode],"NICU")=0,"",SUMIFS(tblDaily[DeathsUnder24Hrs],tblDaily[EntryDate],DATE(2026,10,9),tblDaily[WardCode],"NICU")),"")</f>
        <v/>
      </c>
      <c r="F366" s="12">
        <f>IFERROR(IF(SUMIFS(tblDaily[TransfersIn],tblDaily[EntryDate],DATE(2026,10,9),tblDaily[WardCode],"NICU")=0,"",SUMIFS(tblDaily[TransfersIn],tblDaily[EntryDate],DATE(2026,10,9),tblDaily[WardCode],"NICU")),"")</f>
        <v/>
      </c>
      <c r="G366" s="12">
        <f>IFERROR(IF(SUMIFS(tblDaily[TransfersOut],tblDaily[EntryDate],DATE(2026,10,9),tblDaily[WardCode],"NICU")=0,"",SUMIFS(tblDaily[TransfersOut],tblDaily[EntryDate],DATE(2026,10,9),tblDaily[WardCode],"NICU")),"")</f>
        <v/>
      </c>
      <c r="H366" s="12">
        <f>IFERROR(IF(SUMIFS(tblDaily[Remaining],tblDaily[EntryDate],DATE(2026,10,9),tblDaily[WardCode],"NICU")=0,"",SUMIFS(tblDaily[Remaining],tblDaily[EntryDate],DATE(2026,10,9),tblDaily[WardCode],"NICU")),"")</f>
        <v/>
      </c>
    </row>
    <row r="367">
      <c r="A367" s="12" t="n">
        <v>10</v>
      </c>
      <c r="B367" s="12">
        <f>IFERROR(IF(SUMIFS(tblDaily[Admissions],tblDaily[EntryDate],DATE(2026,10,10),tblDaily[WardCode],"NICU")=0,"",SUMIFS(tblDaily[Admissions],tblDaily[EntryDate],DATE(2026,10,10),tblDaily[WardCode],"NICU")),"")</f>
        <v/>
      </c>
      <c r="C367" s="12">
        <f>IFERROR(IF(SUMIFS(tblDaily[Discharges],tblDaily[EntryDate],DATE(2026,10,10),tblDaily[WardCode],"NICU")=0,"",SUMIFS(tblDaily[Discharges],tblDaily[EntryDate],DATE(2026,10,10),tblDaily[WardCode],"NICU")),"")</f>
        <v/>
      </c>
      <c r="D367" s="12">
        <f>IFERROR(IF(SUMIFS(tblDaily[Deaths],tblDaily[EntryDate],DATE(2026,10,10),tblDaily[WardCode],"NICU")=0,"",SUMIFS(tblDaily[Deaths],tblDaily[EntryDate],DATE(2026,10,10),tblDaily[WardCode],"NICU")),"")</f>
        <v/>
      </c>
      <c r="E367" s="12">
        <f>IFERROR(IF(SUMIFS(tblDaily[DeathsUnder24Hrs],tblDaily[EntryDate],DATE(2026,10,10),tblDaily[WardCode],"NICU")=0,"",SUMIFS(tblDaily[DeathsUnder24Hrs],tblDaily[EntryDate],DATE(2026,10,10),tblDaily[WardCode],"NICU")),"")</f>
        <v/>
      </c>
      <c r="F367" s="12">
        <f>IFERROR(IF(SUMIFS(tblDaily[TransfersIn],tblDaily[EntryDate],DATE(2026,10,10),tblDaily[WardCode],"NICU")=0,"",SUMIFS(tblDaily[TransfersIn],tblDaily[EntryDate],DATE(2026,10,10),tblDaily[WardCode],"NICU")),"")</f>
        <v/>
      </c>
      <c r="G367" s="12">
        <f>IFERROR(IF(SUMIFS(tblDaily[TransfersOut],tblDaily[EntryDate],DATE(2026,10,10),tblDaily[WardCode],"NICU")=0,"",SUMIFS(tblDaily[TransfersOut],tblDaily[EntryDate],DATE(2026,10,10),tblDaily[WardCode],"NICU")),"")</f>
        <v/>
      </c>
      <c r="H367" s="12">
        <f>IFERROR(IF(SUMIFS(tblDaily[Remaining],tblDaily[EntryDate],DATE(2026,10,10),tblDaily[WardCode],"NICU")=0,"",SUMIFS(tblDaily[Remaining],tblDaily[EntryDate],DATE(2026,10,10),tblDaily[WardCode],"NICU")),"")</f>
        <v/>
      </c>
    </row>
    <row r="368">
      <c r="A368" s="12" t="n">
        <v>11</v>
      </c>
      <c r="B368" s="12">
        <f>IFERROR(IF(SUMIFS(tblDaily[Admissions],tblDaily[EntryDate],DATE(2026,10,11),tblDaily[WardCode],"NICU")=0,"",SUMIFS(tblDaily[Admissions],tblDaily[EntryDate],DATE(2026,10,11),tblDaily[WardCode],"NICU")),"")</f>
        <v/>
      </c>
      <c r="C368" s="12">
        <f>IFERROR(IF(SUMIFS(tblDaily[Discharges],tblDaily[EntryDate],DATE(2026,10,11),tblDaily[WardCode],"NICU")=0,"",SUMIFS(tblDaily[Discharges],tblDaily[EntryDate],DATE(2026,10,11),tblDaily[WardCode],"NICU")),"")</f>
        <v/>
      </c>
      <c r="D368" s="12">
        <f>IFERROR(IF(SUMIFS(tblDaily[Deaths],tblDaily[EntryDate],DATE(2026,10,11),tblDaily[WardCode],"NICU")=0,"",SUMIFS(tblDaily[Deaths],tblDaily[EntryDate],DATE(2026,10,11),tblDaily[WardCode],"NICU")),"")</f>
        <v/>
      </c>
      <c r="E368" s="12">
        <f>IFERROR(IF(SUMIFS(tblDaily[DeathsUnder24Hrs],tblDaily[EntryDate],DATE(2026,10,11),tblDaily[WardCode],"NICU")=0,"",SUMIFS(tblDaily[DeathsUnder24Hrs],tblDaily[EntryDate],DATE(2026,10,11),tblDaily[WardCode],"NICU")),"")</f>
        <v/>
      </c>
      <c r="F368" s="12">
        <f>IFERROR(IF(SUMIFS(tblDaily[TransfersIn],tblDaily[EntryDate],DATE(2026,10,11),tblDaily[WardCode],"NICU")=0,"",SUMIFS(tblDaily[TransfersIn],tblDaily[EntryDate],DATE(2026,10,11),tblDaily[WardCode],"NICU")),"")</f>
        <v/>
      </c>
      <c r="G368" s="12">
        <f>IFERROR(IF(SUMIFS(tblDaily[TransfersOut],tblDaily[EntryDate],DATE(2026,10,11),tblDaily[WardCode],"NICU")=0,"",SUMIFS(tblDaily[TransfersOut],tblDaily[EntryDate],DATE(2026,10,11),tblDaily[WardCode],"NICU")),"")</f>
        <v/>
      </c>
      <c r="H368" s="12">
        <f>IFERROR(IF(SUMIFS(tblDaily[Remaining],tblDaily[EntryDate],DATE(2026,10,11),tblDaily[WardCode],"NICU")=0,"",SUMIFS(tblDaily[Remaining],tblDaily[EntryDate],DATE(2026,10,11),tblDaily[WardCode],"NICU")),"")</f>
        <v/>
      </c>
    </row>
    <row r="369">
      <c r="A369" s="12" t="n">
        <v>12</v>
      </c>
      <c r="B369" s="12">
        <f>IFERROR(IF(SUMIFS(tblDaily[Admissions],tblDaily[EntryDate],DATE(2026,10,12),tblDaily[WardCode],"NICU")=0,"",SUMIFS(tblDaily[Admissions],tblDaily[EntryDate],DATE(2026,10,12),tblDaily[WardCode],"NICU")),"")</f>
        <v/>
      </c>
      <c r="C369" s="12">
        <f>IFERROR(IF(SUMIFS(tblDaily[Discharges],tblDaily[EntryDate],DATE(2026,10,12),tblDaily[WardCode],"NICU")=0,"",SUMIFS(tblDaily[Discharges],tblDaily[EntryDate],DATE(2026,10,12),tblDaily[WardCode],"NICU")),"")</f>
        <v/>
      </c>
      <c r="D369" s="12">
        <f>IFERROR(IF(SUMIFS(tblDaily[Deaths],tblDaily[EntryDate],DATE(2026,10,12),tblDaily[WardCode],"NICU")=0,"",SUMIFS(tblDaily[Deaths],tblDaily[EntryDate],DATE(2026,10,12),tblDaily[WardCode],"NICU")),"")</f>
        <v/>
      </c>
      <c r="E369" s="12">
        <f>IFERROR(IF(SUMIFS(tblDaily[DeathsUnder24Hrs],tblDaily[EntryDate],DATE(2026,10,12),tblDaily[WardCode],"NICU")=0,"",SUMIFS(tblDaily[DeathsUnder24Hrs],tblDaily[EntryDate],DATE(2026,10,12),tblDaily[WardCode],"NICU")),"")</f>
        <v/>
      </c>
      <c r="F369" s="12">
        <f>IFERROR(IF(SUMIFS(tblDaily[TransfersIn],tblDaily[EntryDate],DATE(2026,10,12),tblDaily[WardCode],"NICU")=0,"",SUMIFS(tblDaily[TransfersIn],tblDaily[EntryDate],DATE(2026,10,12),tblDaily[WardCode],"NICU")),"")</f>
        <v/>
      </c>
      <c r="G369" s="12">
        <f>IFERROR(IF(SUMIFS(tblDaily[TransfersOut],tblDaily[EntryDate],DATE(2026,10,12),tblDaily[WardCode],"NICU")=0,"",SUMIFS(tblDaily[TransfersOut],tblDaily[EntryDate],DATE(2026,10,12),tblDaily[WardCode],"NICU")),"")</f>
        <v/>
      </c>
      <c r="H369" s="12">
        <f>IFERROR(IF(SUMIFS(tblDaily[Remaining],tblDaily[EntryDate],DATE(2026,10,12),tblDaily[WardCode],"NICU")=0,"",SUMIFS(tblDaily[Remaining],tblDaily[EntryDate],DATE(2026,10,12),tblDaily[WardCode],"NICU")),"")</f>
        <v/>
      </c>
    </row>
    <row r="370">
      <c r="A370" s="12" t="n">
        <v>13</v>
      </c>
      <c r="B370" s="12">
        <f>IFERROR(IF(SUMIFS(tblDaily[Admissions],tblDaily[EntryDate],DATE(2026,10,13),tblDaily[WardCode],"NICU")=0,"",SUMIFS(tblDaily[Admissions],tblDaily[EntryDate],DATE(2026,10,13),tblDaily[WardCode],"NICU")),"")</f>
        <v/>
      </c>
      <c r="C370" s="12">
        <f>IFERROR(IF(SUMIFS(tblDaily[Discharges],tblDaily[EntryDate],DATE(2026,10,13),tblDaily[WardCode],"NICU")=0,"",SUMIFS(tblDaily[Discharges],tblDaily[EntryDate],DATE(2026,10,13),tblDaily[WardCode],"NICU")),"")</f>
        <v/>
      </c>
      <c r="D370" s="12">
        <f>IFERROR(IF(SUMIFS(tblDaily[Deaths],tblDaily[EntryDate],DATE(2026,10,13),tblDaily[WardCode],"NICU")=0,"",SUMIFS(tblDaily[Deaths],tblDaily[EntryDate],DATE(2026,10,13),tblDaily[WardCode],"NICU")),"")</f>
        <v/>
      </c>
      <c r="E370" s="12">
        <f>IFERROR(IF(SUMIFS(tblDaily[DeathsUnder24Hrs],tblDaily[EntryDate],DATE(2026,10,13),tblDaily[WardCode],"NICU")=0,"",SUMIFS(tblDaily[DeathsUnder24Hrs],tblDaily[EntryDate],DATE(2026,10,13),tblDaily[WardCode],"NICU")),"")</f>
        <v/>
      </c>
      <c r="F370" s="12">
        <f>IFERROR(IF(SUMIFS(tblDaily[TransfersIn],tblDaily[EntryDate],DATE(2026,10,13),tblDaily[WardCode],"NICU")=0,"",SUMIFS(tblDaily[TransfersIn],tblDaily[EntryDate],DATE(2026,10,13),tblDaily[WardCode],"NICU")),"")</f>
        <v/>
      </c>
      <c r="G370" s="12">
        <f>IFERROR(IF(SUMIFS(tblDaily[TransfersOut],tblDaily[EntryDate],DATE(2026,10,13),tblDaily[WardCode],"NICU")=0,"",SUMIFS(tblDaily[TransfersOut],tblDaily[EntryDate],DATE(2026,10,13),tblDaily[WardCode],"NICU")),"")</f>
        <v/>
      </c>
      <c r="H370" s="12">
        <f>IFERROR(IF(SUMIFS(tblDaily[Remaining],tblDaily[EntryDate],DATE(2026,10,13),tblDaily[WardCode],"NICU")=0,"",SUMIFS(tblDaily[Remaining],tblDaily[EntryDate],DATE(2026,10,13),tblDaily[WardCode],"NICU")),"")</f>
        <v/>
      </c>
    </row>
    <row r="371">
      <c r="A371" s="12" t="n">
        <v>14</v>
      </c>
      <c r="B371" s="12">
        <f>IFERROR(IF(SUMIFS(tblDaily[Admissions],tblDaily[EntryDate],DATE(2026,10,14),tblDaily[WardCode],"NICU")=0,"",SUMIFS(tblDaily[Admissions],tblDaily[EntryDate],DATE(2026,10,14),tblDaily[WardCode],"NICU")),"")</f>
        <v/>
      </c>
      <c r="C371" s="12">
        <f>IFERROR(IF(SUMIFS(tblDaily[Discharges],tblDaily[EntryDate],DATE(2026,10,14),tblDaily[WardCode],"NICU")=0,"",SUMIFS(tblDaily[Discharges],tblDaily[EntryDate],DATE(2026,10,14),tblDaily[WardCode],"NICU")),"")</f>
        <v/>
      </c>
      <c r="D371" s="12">
        <f>IFERROR(IF(SUMIFS(tblDaily[Deaths],tblDaily[EntryDate],DATE(2026,10,14),tblDaily[WardCode],"NICU")=0,"",SUMIFS(tblDaily[Deaths],tblDaily[EntryDate],DATE(2026,10,14),tblDaily[WardCode],"NICU")),"")</f>
        <v/>
      </c>
      <c r="E371" s="12">
        <f>IFERROR(IF(SUMIFS(tblDaily[DeathsUnder24Hrs],tblDaily[EntryDate],DATE(2026,10,14),tblDaily[WardCode],"NICU")=0,"",SUMIFS(tblDaily[DeathsUnder24Hrs],tblDaily[EntryDate],DATE(2026,10,14),tblDaily[WardCode],"NICU")),"")</f>
        <v/>
      </c>
      <c r="F371" s="12">
        <f>IFERROR(IF(SUMIFS(tblDaily[TransfersIn],tblDaily[EntryDate],DATE(2026,10,14),tblDaily[WardCode],"NICU")=0,"",SUMIFS(tblDaily[TransfersIn],tblDaily[EntryDate],DATE(2026,10,14),tblDaily[WardCode],"NICU")),"")</f>
        <v/>
      </c>
      <c r="G371" s="12">
        <f>IFERROR(IF(SUMIFS(tblDaily[TransfersOut],tblDaily[EntryDate],DATE(2026,10,14),tblDaily[WardCode],"NICU")=0,"",SUMIFS(tblDaily[TransfersOut],tblDaily[EntryDate],DATE(2026,10,14),tblDaily[WardCode],"NICU")),"")</f>
        <v/>
      </c>
      <c r="H371" s="12">
        <f>IFERROR(IF(SUMIFS(tblDaily[Remaining],tblDaily[EntryDate],DATE(2026,10,14),tblDaily[WardCode],"NICU")=0,"",SUMIFS(tblDaily[Remaining],tblDaily[EntryDate],DATE(2026,10,14),tblDaily[WardCode],"NICU")),"")</f>
        <v/>
      </c>
    </row>
    <row r="372">
      <c r="A372" s="12" t="n">
        <v>15</v>
      </c>
      <c r="B372" s="12">
        <f>IFERROR(IF(SUMIFS(tblDaily[Admissions],tblDaily[EntryDate],DATE(2026,10,15),tblDaily[WardCode],"NICU")=0,"",SUMIFS(tblDaily[Admissions],tblDaily[EntryDate],DATE(2026,10,15),tblDaily[WardCode],"NICU")),"")</f>
        <v/>
      </c>
      <c r="C372" s="12">
        <f>IFERROR(IF(SUMIFS(tblDaily[Discharges],tblDaily[EntryDate],DATE(2026,10,15),tblDaily[WardCode],"NICU")=0,"",SUMIFS(tblDaily[Discharges],tblDaily[EntryDate],DATE(2026,10,15),tblDaily[WardCode],"NICU")),"")</f>
        <v/>
      </c>
      <c r="D372" s="12">
        <f>IFERROR(IF(SUMIFS(tblDaily[Deaths],tblDaily[EntryDate],DATE(2026,10,15),tblDaily[WardCode],"NICU")=0,"",SUMIFS(tblDaily[Deaths],tblDaily[EntryDate],DATE(2026,10,15),tblDaily[WardCode],"NICU")),"")</f>
        <v/>
      </c>
      <c r="E372" s="12">
        <f>IFERROR(IF(SUMIFS(tblDaily[DeathsUnder24Hrs],tblDaily[EntryDate],DATE(2026,10,15),tblDaily[WardCode],"NICU")=0,"",SUMIFS(tblDaily[DeathsUnder24Hrs],tblDaily[EntryDate],DATE(2026,10,15),tblDaily[WardCode],"NICU")),"")</f>
        <v/>
      </c>
      <c r="F372" s="12">
        <f>IFERROR(IF(SUMIFS(tblDaily[TransfersIn],tblDaily[EntryDate],DATE(2026,10,15),tblDaily[WardCode],"NICU")=0,"",SUMIFS(tblDaily[TransfersIn],tblDaily[EntryDate],DATE(2026,10,15),tblDaily[WardCode],"NICU")),"")</f>
        <v/>
      </c>
      <c r="G372" s="12">
        <f>IFERROR(IF(SUMIFS(tblDaily[TransfersOut],tblDaily[EntryDate],DATE(2026,10,15),tblDaily[WardCode],"NICU")=0,"",SUMIFS(tblDaily[TransfersOut],tblDaily[EntryDate],DATE(2026,10,15),tblDaily[WardCode],"NICU")),"")</f>
        <v/>
      </c>
      <c r="H372" s="12">
        <f>IFERROR(IF(SUMIFS(tblDaily[Remaining],tblDaily[EntryDate],DATE(2026,10,15),tblDaily[WardCode],"NICU")=0,"",SUMIFS(tblDaily[Remaining],tblDaily[EntryDate],DATE(2026,10,15),tblDaily[WardCode],"NICU")),"")</f>
        <v/>
      </c>
    </row>
    <row r="373">
      <c r="A373" s="12" t="n">
        <v>16</v>
      </c>
      <c r="B373" s="12">
        <f>IFERROR(IF(SUMIFS(tblDaily[Admissions],tblDaily[EntryDate],DATE(2026,10,16),tblDaily[WardCode],"NICU")=0,"",SUMIFS(tblDaily[Admissions],tblDaily[EntryDate],DATE(2026,10,16),tblDaily[WardCode],"NICU")),"")</f>
        <v/>
      </c>
      <c r="C373" s="12">
        <f>IFERROR(IF(SUMIFS(tblDaily[Discharges],tblDaily[EntryDate],DATE(2026,10,16),tblDaily[WardCode],"NICU")=0,"",SUMIFS(tblDaily[Discharges],tblDaily[EntryDate],DATE(2026,10,16),tblDaily[WardCode],"NICU")),"")</f>
        <v/>
      </c>
      <c r="D373" s="12">
        <f>IFERROR(IF(SUMIFS(tblDaily[Deaths],tblDaily[EntryDate],DATE(2026,10,16),tblDaily[WardCode],"NICU")=0,"",SUMIFS(tblDaily[Deaths],tblDaily[EntryDate],DATE(2026,10,16),tblDaily[WardCode],"NICU")),"")</f>
        <v/>
      </c>
      <c r="E373" s="12">
        <f>IFERROR(IF(SUMIFS(tblDaily[DeathsUnder24Hrs],tblDaily[EntryDate],DATE(2026,10,16),tblDaily[WardCode],"NICU")=0,"",SUMIFS(tblDaily[DeathsUnder24Hrs],tblDaily[EntryDate],DATE(2026,10,16),tblDaily[WardCode],"NICU")),"")</f>
        <v/>
      </c>
      <c r="F373" s="12">
        <f>IFERROR(IF(SUMIFS(tblDaily[TransfersIn],tblDaily[EntryDate],DATE(2026,10,16),tblDaily[WardCode],"NICU")=0,"",SUMIFS(tblDaily[TransfersIn],tblDaily[EntryDate],DATE(2026,10,16),tblDaily[WardCode],"NICU")),"")</f>
        <v/>
      </c>
      <c r="G373" s="12">
        <f>IFERROR(IF(SUMIFS(tblDaily[TransfersOut],tblDaily[EntryDate],DATE(2026,10,16),tblDaily[WardCode],"NICU")=0,"",SUMIFS(tblDaily[TransfersOut],tblDaily[EntryDate],DATE(2026,10,16),tblDaily[WardCode],"NICU")),"")</f>
        <v/>
      </c>
      <c r="H373" s="12">
        <f>IFERROR(IF(SUMIFS(tblDaily[Remaining],tblDaily[EntryDate],DATE(2026,10,16),tblDaily[WardCode],"NICU")=0,"",SUMIFS(tblDaily[Remaining],tblDaily[EntryDate],DATE(2026,10,16),tblDaily[WardCode],"NICU")),"")</f>
        <v/>
      </c>
    </row>
    <row r="374">
      <c r="A374" s="12" t="n">
        <v>17</v>
      </c>
      <c r="B374" s="12">
        <f>IFERROR(IF(SUMIFS(tblDaily[Admissions],tblDaily[EntryDate],DATE(2026,10,17),tblDaily[WardCode],"NICU")=0,"",SUMIFS(tblDaily[Admissions],tblDaily[EntryDate],DATE(2026,10,17),tblDaily[WardCode],"NICU")),"")</f>
        <v/>
      </c>
      <c r="C374" s="12">
        <f>IFERROR(IF(SUMIFS(tblDaily[Discharges],tblDaily[EntryDate],DATE(2026,10,17),tblDaily[WardCode],"NICU")=0,"",SUMIFS(tblDaily[Discharges],tblDaily[EntryDate],DATE(2026,10,17),tblDaily[WardCode],"NICU")),"")</f>
        <v/>
      </c>
      <c r="D374" s="12">
        <f>IFERROR(IF(SUMIFS(tblDaily[Deaths],tblDaily[EntryDate],DATE(2026,10,17),tblDaily[WardCode],"NICU")=0,"",SUMIFS(tblDaily[Deaths],tblDaily[EntryDate],DATE(2026,10,17),tblDaily[WardCode],"NICU")),"")</f>
        <v/>
      </c>
      <c r="E374" s="12">
        <f>IFERROR(IF(SUMIFS(tblDaily[DeathsUnder24Hrs],tblDaily[EntryDate],DATE(2026,10,17),tblDaily[WardCode],"NICU")=0,"",SUMIFS(tblDaily[DeathsUnder24Hrs],tblDaily[EntryDate],DATE(2026,10,17),tblDaily[WardCode],"NICU")),"")</f>
        <v/>
      </c>
      <c r="F374" s="12">
        <f>IFERROR(IF(SUMIFS(tblDaily[TransfersIn],tblDaily[EntryDate],DATE(2026,10,17),tblDaily[WardCode],"NICU")=0,"",SUMIFS(tblDaily[TransfersIn],tblDaily[EntryDate],DATE(2026,10,17),tblDaily[WardCode],"NICU")),"")</f>
        <v/>
      </c>
      <c r="G374" s="12">
        <f>IFERROR(IF(SUMIFS(tblDaily[TransfersOut],tblDaily[EntryDate],DATE(2026,10,17),tblDaily[WardCode],"NICU")=0,"",SUMIFS(tblDaily[TransfersOut],tblDaily[EntryDate],DATE(2026,10,17),tblDaily[WardCode],"NICU")),"")</f>
        <v/>
      </c>
      <c r="H374" s="12">
        <f>IFERROR(IF(SUMIFS(tblDaily[Remaining],tblDaily[EntryDate],DATE(2026,10,17),tblDaily[WardCode],"NICU")=0,"",SUMIFS(tblDaily[Remaining],tblDaily[EntryDate],DATE(2026,10,17),tblDaily[WardCode],"NICU")),"")</f>
        <v/>
      </c>
    </row>
    <row r="375">
      <c r="A375" s="12" t="n">
        <v>18</v>
      </c>
      <c r="B375" s="12">
        <f>IFERROR(IF(SUMIFS(tblDaily[Admissions],tblDaily[EntryDate],DATE(2026,10,18),tblDaily[WardCode],"NICU")=0,"",SUMIFS(tblDaily[Admissions],tblDaily[EntryDate],DATE(2026,10,18),tblDaily[WardCode],"NICU")),"")</f>
        <v/>
      </c>
      <c r="C375" s="12">
        <f>IFERROR(IF(SUMIFS(tblDaily[Discharges],tblDaily[EntryDate],DATE(2026,10,18),tblDaily[WardCode],"NICU")=0,"",SUMIFS(tblDaily[Discharges],tblDaily[EntryDate],DATE(2026,10,18),tblDaily[WardCode],"NICU")),"")</f>
        <v/>
      </c>
      <c r="D375" s="12">
        <f>IFERROR(IF(SUMIFS(tblDaily[Deaths],tblDaily[EntryDate],DATE(2026,10,18),tblDaily[WardCode],"NICU")=0,"",SUMIFS(tblDaily[Deaths],tblDaily[EntryDate],DATE(2026,10,18),tblDaily[WardCode],"NICU")),"")</f>
        <v/>
      </c>
      <c r="E375" s="12">
        <f>IFERROR(IF(SUMIFS(tblDaily[DeathsUnder24Hrs],tblDaily[EntryDate],DATE(2026,10,18),tblDaily[WardCode],"NICU")=0,"",SUMIFS(tblDaily[DeathsUnder24Hrs],tblDaily[EntryDate],DATE(2026,10,18),tblDaily[WardCode],"NICU")),"")</f>
        <v/>
      </c>
      <c r="F375" s="12">
        <f>IFERROR(IF(SUMIFS(tblDaily[TransfersIn],tblDaily[EntryDate],DATE(2026,10,18),tblDaily[WardCode],"NICU")=0,"",SUMIFS(tblDaily[TransfersIn],tblDaily[EntryDate],DATE(2026,10,18),tblDaily[WardCode],"NICU")),"")</f>
        <v/>
      </c>
      <c r="G375" s="12">
        <f>IFERROR(IF(SUMIFS(tblDaily[TransfersOut],tblDaily[EntryDate],DATE(2026,10,18),tblDaily[WardCode],"NICU")=0,"",SUMIFS(tblDaily[TransfersOut],tblDaily[EntryDate],DATE(2026,10,18),tblDaily[WardCode],"NICU")),"")</f>
        <v/>
      </c>
      <c r="H375" s="12">
        <f>IFERROR(IF(SUMIFS(tblDaily[Remaining],tblDaily[EntryDate],DATE(2026,10,18),tblDaily[WardCode],"NICU")=0,"",SUMIFS(tblDaily[Remaining],tblDaily[EntryDate],DATE(2026,10,18),tblDaily[WardCode],"NICU")),"")</f>
        <v/>
      </c>
    </row>
    <row r="376">
      <c r="A376" s="12" t="n">
        <v>19</v>
      </c>
      <c r="B376" s="12">
        <f>IFERROR(IF(SUMIFS(tblDaily[Admissions],tblDaily[EntryDate],DATE(2026,10,19),tblDaily[WardCode],"NICU")=0,"",SUMIFS(tblDaily[Admissions],tblDaily[EntryDate],DATE(2026,10,19),tblDaily[WardCode],"NICU")),"")</f>
        <v/>
      </c>
      <c r="C376" s="12">
        <f>IFERROR(IF(SUMIFS(tblDaily[Discharges],tblDaily[EntryDate],DATE(2026,10,19),tblDaily[WardCode],"NICU")=0,"",SUMIFS(tblDaily[Discharges],tblDaily[EntryDate],DATE(2026,10,19),tblDaily[WardCode],"NICU")),"")</f>
        <v/>
      </c>
      <c r="D376" s="12">
        <f>IFERROR(IF(SUMIFS(tblDaily[Deaths],tblDaily[EntryDate],DATE(2026,10,19),tblDaily[WardCode],"NICU")=0,"",SUMIFS(tblDaily[Deaths],tblDaily[EntryDate],DATE(2026,10,19),tblDaily[WardCode],"NICU")),"")</f>
        <v/>
      </c>
      <c r="E376" s="12">
        <f>IFERROR(IF(SUMIFS(tblDaily[DeathsUnder24Hrs],tblDaily[EntryDate],DATE(2026,10,19),tblDaily[WardCode],"NICU")=0,"",SUMIFS(tblDaily[DeathsUnder24Hrs],tblDaily[EntryDate],DATE(2026,10,19),tblDaily[WardCode],"NICU")),"")</f>
        <v/>
      </c>
      <c r="F376" s="12">
        <f>IFERROR(IF(SUMIFS(tblDaily[TransfersIn],tblDaily[EntryDate],DATE(2026,10,19),tblDaily[WardCode],"NICU")=0,"",SUMIFS(tblDaily[TransfersIn],tblDaily[EntryDate],DATE(2026,10,19),tblDaily[WardCode],"NICU")),"")</f>
        <v/>
      </c>
      <c r="G376" s="12">
        <f>IFERROR(IF(SUMIFS(tblDaily[TransfersOut],tblDaily[EntryDate],DATE(2026,10,19),tblDaily[WardCode],"NICU")=0,"",SUMIFS(tblDaily[TransfersOut],tblDaily[EntryDate],DATE(2026,10,19),tblDaily[WardCode],"NICU")),"")</f>
        <v/>
      </c>
      <c r="H376" s="12">
        <f>IFERROR(IF(SUMIFS(tblDaily[Remaining],tblDaily[EntryDate],DATE(2026,10,19),tblDaily[WardCode],"NICU")=0,"",SUMIFS(tblDaily[Remaining],tblDaily[EntryDate],DATE(2026,10,19),tblDaily[WardCode],"NICU")),"")</f>
        <v/>
      </c>
    </row>
    <row r="377">
      <c r="A377" s="12" t="n">
        <v>20</v>
      </c>
      <c r="B377" s="12">
        <f>IFERROR(IF(SUMIFS(tblDaily[Admissions],tblDaily[EntryDate],DATE(2026,10,20),tblDaily[WardCode],"NICU")=0,"",SUMIFS(tblDaily[Admissions],tblDaily[EntryDate],DATE(2026,10,20),tblDaily[WardCode],"NICU")),"")</f>
        <v/>
      </c>
      <c r="C377" s="12">
        <f>IFERROR(IF(SUMIFS(tblDaily[Discharges],tblDaily[EntryDate],DATE(2026,10,20),tblDaily[WardCode],"NICU")=0,"",SUMIFS(tblDaily[Discharges],tblDaily[EntryDate],DATE(2026,10,20),tblDaily[WardCode],"NICU")),"")</f>
        <v/>
      </c>
      <c r="D377" s="12">
        <f>IFERROR(IF(SUMIFS(tblDaily[Deaths],tblDaily[EntryDate],DATE(2026,10,20),tblDaily[WardCode],"NICU")=0,"",SUMIFS(tblDaily[Deaths],tblDaily[EntryDate],DATE(2026,10,20),tblDaily[WardCode],"NICU")),"")</f>
        <v/>
      </c>
      <c r="E377" s="12">
        <f>IFERROR(IF(SUMIFS(tblDaily[DeathsUnder24Hrs],tblDaily[EntryDate],DATE(2026,10,20),tblDaily[WardCode],"NICU")=0,"",SUMIFS(tblDaily[DeathsUnder24Hrs],tblDaily[EntryDate],DATE(2026,10,20),tblDaily[WardCode],"NICU")),"")</f>
        <v/>
      </c>
      <c r="F377" s="12">
        <f>IFERROR(IF(SUMIFS(tblDaily[TransfersIn],tblDaily[EntryDate],DATE(2026,10,20),tblDaily[WardCode],"NICU")=0,"",SUMIFS(tblDaily[TransfersIn],tblDaily[EntryDate],DATE(2026,10,20),tblDaily[WardCode],"NICU")),"")</f>
        <v/>
      </c>
      <c r="G377" s="12">
        <f>IFERROR(IF(SUMIFS(tblDaily[TransfersOut],tblDaily[EntryDate],DATE(2026,10,20),tblDaily[WardCode],"NICU")=0,"",SUMIFS(tblDaily[TransfersOut],tblDaily[EntryDate],DATE(2026,10,20),tblDaily[WardCode],"NICU")),"")</f>
        <v/>
      </c>
      <c r="H377" s="12">
        <f>IFERROR(IF(SUMIFS(tblDaily[Remaining],tblDaily[EntryDate],DATE(2026,10,20),tblDaily[WardCode],"NICU")=0,"",SUMIFS(tblDaily[Remaining],tblDaily[EntryDate],DATE(2026,10,20),tblDaily[WardCode],"NICU")),"")</f>
        <v/>
      </c>
    </row>
    <row r="378">
      <c r="A378" s="12" t="n">
        <v>21</v>
      </c>
      <c r="B378" s="12">
        <f>IFERROR(IF(SUMIFS(tblDaily[Admissions],tblDaily[EntryDate],DATE(2026,10,21),tblDaily[WardCode],"NICU")=0,"",SUMIFS(tblDaily[Admissions],tblDaily[EntryDate],DATE(2026,10,21),tblDaily[WardCode],"NICU")),"")</f>
        <v/>
      </c>
      <c r="C378" s="12">
        <f>IFERROR(IF(SUMIFS(tblDaily[Discharges],tblDaily[EntryDate],DATE(2026,10,21),tblDaily[WardCode],"NICU")=0,"",SUMIFS(tblDaily[Discharges],tblDaily[EntryDate],DATE(2026,10,21),tblDaily[WardCode],"NICU")),"")</f>
        <v/>
      </c>
      <c r="D378" s="12">
        <f>IFERROR(IF(SUMIFS(tblDaily[Deaths],tblDaily[EntryDate],DATE(2026,10,21),tblDaily[WardCode],"NICU")=0,"",SUMIFS(tblDaily[Deaths],tblDaily[EntryDate],DATE(2026,10,21),tblDaily[WardCode],"NICU")),"")</f>
        <v/>
      </c>
      <c r="E378" s="12">
        <f>IFERROR(IF(SUMIFS(tblDaily[DeathsUnder24Hrs],tblDaily[EntryDate],DATE(2026,10,21),tblDaily[WardCode],"NICU")=0,"",SUMIFS(tblDaily[DeathsUnder24Hrs],tblDaily[EntryDate],DATE(2026,10,21),tblDaily[WardCode],"NICU")),"")</f>
        <v/>
      </c>
      <c r="F378" s="12">
        <f>IFERROR(IF(SUMIFS(tblDaily[TransfersIn],tblDaily[EntryDate],DATE(2026,10,21),tblDaily[WardCode],"NICU")=0,"",SUMIFS(tblDaily[TransfersIn],tblDaily[EntryDate],DATE(2026,10,21),tblDaily[WardCode],"NICU")),"")</f>
        <v/>
      </c>
      <c r="G378" s="12">
        <f>IFERROR(IF(SUMIFS(tblDaily[TransfersOut],tblDaily[EntryDate],DATE(2026,10,21),tblDaily[WardCode],"NICU")=0,"",SUMIFS(tblDaily[TransfersOut],tblDaily[EntryDate],DATE(2026,10,21),tblDaily[WardCode],"NICU")),"")</f>
        <v/>
      </c>
      <c r="H378" s="12">
        <f>IFERROR(IF(SUMIFS(tblDaily[Remaining],tblDaily[EntryDate],DATE(2026,10,21),tblDaily[WardCode],"NICU")=0,"",SUMIFS(tblDaily[Remaining],tblDaily[EntryDate],DATE(2026,10,21),tblDaily[WardCode],"NICU")),"")</f>
        <v/>
      </c>
    </row>
    <row r="379">
      <c r="A379" s="12" t="n">
        <v>22</v>
      </c>
      <c r="B379" s="12">
        <f>IFERROR(IF(SUMIFS(tblDaily[Admissions],tblDaily[EntryDate],DATE(2026,10,22),tblDaily[WardCode],"NICU")=0,"",SUMIFS(tblDaily[Admissions],tblDaily[EntryDate],DATE(2026,10,22),tblDaily[WardCode],"NICU")),"")</f>
        <v/>
      </c>
      <c r="C379" s="12">
        <f>IFERROR(IF(SUMIFS(tblDaily[Discharges],tblDaily[EntryDate],DATE(2026,10,22),tblDaily[WardCode],"NICU")=0,"",SUMIFS(tblDaily[Discharges],tblDaily[EntryDate],DATE(2026,10,22),tblDaily[WardCode],"NICU")),"")</f>
        <v/>
      </c>
      <c r="D379" s="12">
        <f>IFERROR(IF(SUMIFS(tblDaily[Deaths],tblDaily[EntryDate],DATE(2026,10,22),tblDaily[WardCode],"NICU")=0,"",SUMIFS(tblDaily[Deaths],tblDaily[EntryDate],DATE(2026,10,22),tblDaily[WardCode],"NICU")),"")</f>
        <v/>
      </c>
      <c r="E379" s="12">
        <f>IFERROR(IF(SUMIFS(tblDaily[DeathsUnder24Hrs],tblDaily[EntryDate],DATE(2026,10,22),tblDaily[WardCode],"NICU")=0,"",SUMIFS(tblDaily[DeathsUnder24Hrs],tblDaily[EntryDate],DATE(2026,10,22),tblDaily[WardCode],"NICU")),"")</f>
        <v/>
      </c>
      <c r="F379" s="12">
        <f>IFERROR(IF(SUMIFS(tblDaily[TransfersIn],tblDaily[EntryDate],DATE(2026,10,22),tblDaily[WardCode],"NICU")=0,"",SUMIFS(tblDaily[TransfersIn],tblDaily[EntryDate],DATE(2026,10,22),tblDaily[WardCode],"NICU")),"")</f>
        <v/>
      </c>
      <c r="G379" s="12">
        <f>IFERROR(IF(SUMIFS(tblDaily[TransfersOut],tblDaily[EntryDate],DATE(2026,10,22),tblDaily[WardCode],"NICU")=0,"",SUMIFS(tblDaily[TransfersOut],tblDaily[EntryDate],DATE(2026,10,22),tblDaily[WardCode],"NICU")),"")</f>
        <v/>
      </c>
      <c r="H379" s="12">
        <f>IFERROR(IF(SUMIFS(tblDaily[Remaining],tblDaily[EntryDate],DATE(2026,10,22),tblDaily[WardCode],"NICU")=0,"",SUMIFS(tblDaily[Remaining],tblDaily[EntryDate],DATE(2026,10,22),tblDaily[WardCode],"NICU")),"")</f>
        <v/>
      </c>
    </row>
    <row r="380">
      <c r="A380" s="12" t="n">
        <v>23</v>
      </c>
      <c r="B380" s="12">
        <f>IFERROR(IF(SUMIFS(tblDaily[Admissions],tblDaily[EntryDate],DATE(2026,10,23),tblDaily[WardCode],"NICU")=0,"",SUMIFS(tblDaily[Admissions],tblDaily[EntryDate],DATE(2026,10,23),tblDaily[WardCode],"NICU")),"")</f>
        <v/>
      </c>
      <c r="C380" s="12">
        <f>IFERROR(IF(SUMIFS(tblDaily[Discharges],tblDaily[EntryDate],DATE(2026,10,23),tblDaily[WardCode],"NICU")=0,"",SUMIFS(tblDaily[Discharges],tblDaily[EntryDate],DATE(2026,10,23),tblDaily[WardCode],"NICU")),"")</f>
        <v/>
      </c>
      <c r="D380" s="12">
        <f>IFERROR(IF(SUMIFS(tblDaily[Deaths],tblDaily[EntryDate],DATE(2026,10,23),tblDaily[WardCode],"NICU")=0,"",SUMIFS(tblDaily[Deaths],tblDaily[EntryDate],DATE(2026,10,23),tblDaily[WardCode],"NICU")),"")</f>
        <v/>
      </c>
      <c r="E380" s="12">
        <f>IFERROR(IF(SUMIFS(tblDaily[DeathsUnder24Hrs],tblDaily[EntryDate],DATE(2026,10,23),tblDaily[WardCode],"NICU")=0,"",SUMIFS(tblDaily[DeathsUnder24Hrs],tblDaily[EntryDate],DATE(2026,10,23),tblDaily[WardCode],"NICU")),"")</f>
        <v/>
      </c>
      <c r="F380" s="12">
        <f>IFERROR(IF(SUMIFS(tblDaily[TransfersIn],tblDaily[EntryDate],DATE(2026,10,23),tblDaily[WardCode],"NICU")=0,"",SUMIFS(tblDaily[TransfersIn],tblDaily[EntryDate],DATE(2026,10,23),tblDaily[WardCode],"NICU")),"")</f>
        <v/>
      </c>
      <c r="G380" s="12">
        <f>IFERROR(IF(SUMIFS(tblDaily[TransfersOut],tblDaily[EntryDate],DATE(2026,10,23),tblDaily[WardCode],"NICU")=0,"",SUMIFS(tblDaily[TransfersOut],tblDaily[EntryDate],DATE(2026,10,23),tblDaily[WardCode],"NICU")),"")</f>
        <v/>
      </c>
      <c r="H380" s="12">
        <f>IFERROR(IF(SUMIFS(tblDaily[Remaining],tblDaily[EntryDate],DATE(2026,10,23),tblDaily[WardCode],"NICU")=0,"",SUMIFS(tblDaily[Remaining],tblDaily[EntryDate],DATE(2026,10,23),tblDaily[WardCode],"NICU")),"")</f>
        <v/>
      </c>
    </row>
    <row r="381">
      <c r="A381" s="12" t="n">
        <v>24</v>
      </c>
      <c r="B381" s="12">
        <f>IFERROR(IF(SUMIFS(tblDaily[Admissions],tblDaily[EntryDate],DATE(2026,10,24),tblDaily[WardCode],"NICU")=0,"",SUMIFS(tblDaily[Admissions],tblDaily[EntryDate],DATE(2026,10,24),tblDaily[WardCode],"NICU")),"")</f>
        <v/>
      </c>
      <c r="C381" s="12">
        <f>IFERROR(IF(SUMIFS(tblDaily[Discharges],tblDaily[EntryDate],DATE(2026,10,24),tblDaily[WardCode],"NICU")=0,"",SUMIFS(tblDaily[Discharges],tblDaily[EntryDate],DATE(2026,10,24),tblDaily[WardCode],"NICU")),"")</f>
        <v/>
      </c>
      <c r="D381" s="12">
        <f>IFERROR(IF(SUMIFS(tblDaily[Deaths],tblDaily[EntryDate],DATE(2026,10,24),tblDaily[WardCode],"NICU")=0,"",SUMIFS(tblDaily[Deaths],tblDaily[EntryDate],DATE(2026,10,24),tblDaily[WardCode],"NICU")),"")</f>
        <v/>
      </c>
      <c r="E381" s="12">
        <f>IFERROR(IF(SUMIFS(tblDaily[DeathsUnder24Hrs],tblDaily[EntryDate],DATE(2026,10,24),tblDaily[WardCode],"NICU")=0,"",SUMIFS(tblDaily[DeathsUnder24Hrs],tblDaily[EntryDate],DATE(2026,10,24),tblDaily[WardCode],"NICU")),"")</f>
        <v/>
      </c>
      <c r="F381" s="12">
        <f>IFERROR(IF(SUMIFS(tblDaily[TransfersIn],tblDaily[EntryDate],DATE(2026,10,24),tblDaily[WardCode],"NICU")=0,"",SUMIFS(tblDaily[TransfersIn],tblDaily[EntryDate],DATE(2026,10,24),tblDaily[WardCode],"NICU")),"")</f>
        <v/>
      </c>
      <c r="G381" s="12">
        <f>IFERROR(IF(SUMIFS(tblDaily[TransfersOut],tblDaily[EntryDate],DATE(2026,10,24),tblDaily[WardCode],"NICU")=0,"",SUMIFS(tblDaily[TransfersOut],tblDaily[EntryDate],DATE(2026,10,24),tblDaily[WardCode],"NICU")),"")</f>
        <v/>
      </c>
      <c r="H381" s="12">
        <f>IFERROR(IF(SUMIFS(tblDaily[Remaining],tblDaily[EntryDate],DATE(2026,10,24),tblDaily[WardCode],"NICU")=0,"",SUMIFS(tblDaily[Remaining],tblDaily[EntryDate],DATE(2026,10,24),tblDaily[WardCode],"NICU")),"")</f>
        <v/>
      </c>
    </row>
    <row r="382">
      <c r="A382" s="12" t="n">
        <v>25</v>
      </c>
      <c r="B382" s="12">
        <f>IFERROR(IF(SUMIFS(tblDaily[Admissions],tblDaily[EntryDate],DATE(2026,10,25),tblDaily[WardCode],"NICU")=0,"",SUMIFS(tblDaily[Admissions],tblDaily[EntryDate],DATE(2026,10,25),tblDaily[WardCode],"NICU")),"")</f>
        <v/>
      </c>
      <c r="C382" s="12">
        <f>IFERROR(IF(SUMIFS(tblDaily[Discharges],tblDaily[EntryDate],DATE(2026,10,25),tblDaily[WardCode],"NICU")=0,"",SUMIFS(tblDaily[Discharges],tblDaily[EntryDate],DATE(2026,10,25),tblDaily[WardCode],"NICU")),"")</f>
        <v/>
      </c>
      <c r="D382" s="12">
        <f>IFERROR(IF(SUMIFS(tblDaily[Deaths],tblDaily[EntryDate],DATE(2026,10,25),tblDaily[WardCode],"NICU")=0,"",SUMIFS(tblDaily[Deaths],tblDaily[EntryDate],DATE(2026,10,25),tblDaily[WardCode],"NICU")),"")</f>
        <v/>
      </c>
      <c r="E382" s="12">
        <f>IFERROR(IF(SUMIFS(tblDaily[DeathsUnder24Hrs],tblDaily[EntryDate],DATE(2026,10,25),tblDaily[WardCode],"NICU")=0,"",SUMIFS(tblDaily[DeathsUnder24Hrs],tblDaily[EntryDate],DATE(2026,10,25),tblDaily[WardCode],"NICU")),"")</f>
        <v/>
      </c>
      <c r="F382" s="12">
        <f>IFERROR(IF(SUMIFS(tblDaily[TransfersIn],tblDaily[EntryDate],DATE(2026,10,25),tblDaily[WardCode],"NICU")=0,"",SUMIFS(tblDaily[TransfersIn],tblDaily[EntryDate],DATE(2026,10,25),tblDaily[WardCode],"NICU")),"")</f>
        <v/>
      </c>
      <c r="G382" s="12">
        <f>IFERROR(IF(SUMIFS(tblDaily[TransfersOut],tblDaily[EntryDate],DATE(2026,10,25),tblDaily[WardCode],"NICU")=0,"",SUMIFS(tblDaily[TransfersOut],tblDaily[EntryDate],DATE(2026,10,25),tblDaily[WardCode],"NICU")),"")</f>
        <v/>
      </c>
      <c r="H382" s="12">
        <f>IFERROR(IF(SUMIFS(tblDaily[Remaining],tblDaily[EntryDate],DATE(2026,10,25),tblDaily[WardCode],"NICU")=0,"",SUMIFS(tblDaily[Remaining],tblDaily[EntryDate],DATE(2026,10,25),tblDaily[WardCode],"NICU")),"")</f>
        <v/>
      </c>
    </row>
    <row r="383">
      <c r="A383" s="12" t="n">
        <v>26</v>
      </c>
      <c r="B383" s="12">
        <f>IFERROR(IF(SUMIFS(tblDaily[Admissions],tblDaily[EntryDate],DATE(2026,10,26),tblDaily[WardCode],"NICU")=0,"",SUMIFS(tblDaily[Admissions],tblDaily[EntryDate],DATE(2026,10,26),tblDaily[WardCode],"NICU")),"")</f>
        <v/>
      </c>
      <c r="C383" s="12">
        <f>IFERROR(IF(SUMIFS(tblDaily[Discharges],tblDaily[EntryDate],DATE(2026,10,26),tblDaily[WardCode],"NICU")=0,"",SUMIFS(tblDaily[Discharges],tblDaily[EntryDate],DATE(2026,10,26),tblDaily[WardCode],"NICU")),"")</f>
        <v/>
      </c>
      <c r="D383" s="12">
        <f>IFERROR(IF(SUMIFS(tblDaily[Deaths],tblDaily[EntryDate],DATE(2026,10,26),tblDaily[WardCode],"NICU")=0,"",SUMIFS(tblDaily[Deaths],tblDaily[EntryDate],DATE(2026,10,26),tblDaily[WardCode],"NICU")),"")</f>
        <v/>
      </c>
      <c r="E383" s="12">
        <f>IFERROR(IF(SUMIFS(tblDaily[DeathsUnder24Hrs],tblDaily[EntryDate],DATE(2026,10,26),tblDaily[WardCode],"NICU")=0,"",SUMIFS(tblDaily[DeathsUnder24Hrs],tblDaily[EntryDate],DATE(2026,10,26),tblDaily[WardCode],"NICU")),"")</f>
        <v/>
      </c>
      <c r="F383" s="12">
        <f>IFERROR(IF(SUMIFS(tblDaily[TransfersIn],tblDaily[EntryDate],DATE(2026,10,26),tblDaily[WardCode],"NICU")=0,"",SUMIFS(tblDaily[TransfersIn],tblDaily[EntryDate],DATE(2026,10,26),tblDaily[WardCode],"NICU")),"")</f>
        <v/>
      </c>
      <c r="G383" s="12">
        <f>IFERROR(IF(SUMIFS(tblDaily[TransfersOut],tblDaily[EntryDate],DATE(2026,10,26),tblDaily[WardCode],"NICU")=0,"",SUMIFS(tblDaily[TransfersOut],tblDaily[EntryDate],DATE(2026,10,26),tblDaily[WardCode],"NICU")),"")</f>
        <v/>
      </c>
      <c r="H383" s="12">
        <f>IFERROR(IF(SUMIFS(tblDaily[Remaining],tblDaily[EntryDate],DATE(2026,10,26),tblDaily[WardCode],"NICU")=0,"",SUMIFS(tblDaily[Remaining],tblDaily[EntryDate],DATE(2026,10,26),tblDaily[WardCode],"NICU")),"")</f>
        <v/>
      </c>
    </row>
    <row r="384">
      <c r="A384" s="12" t="n">
        <v>27</v>
      </c>
      <c r="B384" s="12">
        <f>IFERROR(IF(SUMIFS(tblDaily[Admissions],tblDaily[EntryDate],DATE(2026,10,27),tblDaily[WardCode],"NICU")=0,"",SUMIFS(tblDaily[Admissions],tblDaily[EntryDate],DATE(2026,10,27),tblDaily[WardCode],"NICU")),"")</f>
        <v/>
      </c>
      <c r="C384" s="12">
        <f>IFERROR(IF(SUMIFS(tblDaily[Discharges],tblDaily[EntryDate],DATE(2026,10,27),tblDaily[WardCode],"NICU")=0,"",SUMIFS(tblDaily[Discharges],tblDaily[EntryDate],DATE(2026,10,27),tblDaily[WardCode],"NICU")),"")</f>
        <v/>
      </c>
      <c r="D384" s="12">
        <f>IFERROR(IF(SUMIFS(tblDaily[Deaths],tblDaily[EntryDate],DATE(2026,10,27),tblDaily[WardCode],"NICU")=0,"",SUMIFS(tblDaily[Deaths],tblDaily[EntryDate],DATE(2026,10,27),tblDaily[WardCode],"NICU")),"")</f>
        <v/>
      </c>
      <c r="E384" s="12">
        <f>IFERROR(IF(SUMIFS(tblDaily[DeathsUnder24Hrs],tblDaily[EntryDate],DATE(2026,10,27),tblDaily[WardCode],"NICU")=0,"",SUMIFS(tblDaily[DeathsUnder24Hrs],tblDaily[EntryDate],DATE(2026,10,27),tblDaily[WardCode],"NICU")),"")</f>
        <v/>
      </c>
      <c r="F384" s="12">
        <f>IFERROR(IF(SUMIFS(tblDaily[TransfersIn],tblDaily[EntryDate],DATE(2026,10,27),tblDaily[WardCode],"NICU")=0,"",SUMIFS(tblDaily[TransfersIn],tblDaily[EntryDate],DATE(2026,10,27),tblDaily[WardCode],"NICU")),"")</f>
        <v/>
      </c>
      <c r="G384" s="12">
        <f>IFERROR(IF(SUMIFS(tblDaily[TransfersOut],tblDaily[EntryDate],DATE(2026,10,27),tblDaily[WardCode],"NICU")=0,"",SUMIFS(tblDaily[TransfersOut],tblDaily[EntryDate],DATE(2026,10,27),tblDaily[WardCode],"NICU")),"")</f>
        <v/>
      </c>
      <c r="H384" s="12">
        <f>IFERROR(IF(SUMIFS(tblDaily[Remaining],tblDaily[EntryDate],DATE(2026,10,27),tblDaily[WardCode],"NICU")=0,"",SUMIFS(tblDaily[Remaining],tblDaily[EntryDate],DATE(2026,10,27),tblDaily[WardCode],"NICU")),"")</f>
        <v/>
      </c>
    </row>
    <row r="385">
      <c r="A385" s="12" t="n">
        <v>28</v>
      </c>
      <c r="B385" s="12">
        <f>IFERROR(IF(SUMIFS(tblDaily[Admissions],tblDaily[EntryDate],DATE(2026,10,28),tblDaily[WardCode],"NICU")=0,"",SUMIFS(tblDaily[Admissions],tblDaily[EntryDate],DATE(2026,10,28),tblDaily[WardCode],"NICU")),"")</f>
        <v/>
      </c>
      <c r="C385" s="12">
        <f>IFERROR(IF(SUMIFS(tblDaily[Discharges],tblDaily[EntryDate],DATE(2026,10,28),tblDaily[WardCode],"NICU")=0,"",SUMIFS(tblDaily[Discharges],tblDaily[EntryDate],DATE(2026,10,28),tblDaily[WardCode],"NICU")),"")</f>
        <v/>
      </c>
      <c r="D385" s="12">
        <f>IFERROR(IF(SUMIFS(tblDaily[Deaths],tblDaily[EntryDate],DATE(2026,10,28),tblDaily[WardCode],"NICU")=0,"",SUMIFS(tblDaily[Deaths],tblDaily[EntryDate],DATE(2026,10,28),tblDaily[WardCode],"NICU")),"")</f>
        <v/>
      </c>
      <c r="E385" s="12">
        <f>IFERROR(IF(SUMIFS(tblDaily[DeathsUnder24Hrs],tblDaily[EntryDate],DATE(2026,10,28),tblDaily[WardCode],"NICU")=0,"",SUMIFS(tblDaily[DeathsUnder24Hrs],tblDaily[EntryDate],DATE(2026,10,28),tblDaily[WardCode],"NICU")),"")</f>
        <v/>
      </c>
      <c r="F385" s="12">
        <f>IFERROR(IF(SUMIFS(tblDaily[TransfersIn],tblDaily[EntryDate],DATE(2026,10,28),tblDaily[WardCode],"NICU")=0,"",SUMIFS(tblDaily[TransfersIn],tblDaily[EntryDate],DATE(2026,10,28),tblDaily[WardCode],"NICU")),"")</f>
        <v/>
      </c>
      <c r="G385" s="12">
        <f>IFERROR(IF(SUMIFS(tblDaily[TransfersOut],tblDaily[EntryDate],DATE(2026,10,28),tblDaily[WardCode],"NICU")=0,"",SUMIFS(tblDaily[TransfersOut],tblDaily[EntryDate],DATE(2026,10,28),tblDaily[WardCode],"NICU")),"")</f>
        <v/>
      </c>
      <c r="H385" s="12">
        <f>IFERROR(IF(SUMIFS(tblDaily[Remaining],tblDaily[EntryDate],DATE(2026,10,28),tblDaily[WardCode],"NICU")=0,"",SUMIFS(tblDaily[Remaining],tblDaily[EntryDate],DATE(2026,10,28),tblDaily[WardCode],"NICU")),"")</f>
        <v/>
      </c>
    </row>
    <row r="386">
      <c r="A386" s="12" t="n">
        <v>29</v>
      </c>
      <c r="B386" s="12">
        <f>IFERROR(IF(SUMIFS(tblDaily[Admissions],tblDaily[EntryDate],DATE(2026,10,29),tblDaily[WardCode],"NICU")=0,"",SUMIFS(tblDaily[Admissions],tblDaily[EntryDate],DATE(2026,10,29),tblDaily[WardCode],"NICU")),"")</f>
        <v/>
      </c>
      <c r="C386" s="12">
        <f>IFERROR(IF(SUMIFS(tblDaily[Discharges],tblDaily[EntryDate],DATE(2026,10,29),tblDaily[WardCode],"NICU")=0,"",SUMIFS(tblDaily[Discharges],tblDaily[EntryDate],DATE(2026,10,29),tblDaily[WardCode],"NICU")),"")</f>
        <v/>
      </c>
      <c r="D386" s="12">
        <f>IFERROR(IF(SUMIFS(tblDaily[Deaths],tblDaily[EntryDate],DATE(2026,10,29),tblDaily[WardCode],"NICU")=0,"",SUMIFS(tblDaily[Deaths],tblDaily[EntryDate],DATE(2026,10,29),tblDaily[WardCode],"NICU")),"")</f>
        <v/>
      </c>
      <c r="E386" s="12">
        <f>IFERROR(IF(SUMIFS(tblDaily[DeathsUnder24Hrs],tblDaily[EntryDate],DATE(2026,10,29),tblDaily[WardCode],"NICU")=0,"",SUMIFS(tblDaily[DeathsUnder24Hrs],tblDaily[EntryDate],DATE(2026,10,29),tblDaily[WardCode],"NICU")),"")</f>
        <v/>
      </c>
      <c r="F386" s="12">
        <f>IFERROR(IF(SUMIFS(tblDaily[TransfersIn],tblDaily[EntryDate],DATE(2026,10,29),tblDaily[WardCode],"NICU")=0,"",SUMIFS(tblDaily[TransfersIn],tblDaily[EntryDate],DATE(2026,10,29),tblDaily[WardCode],"NICU")),"")</f>
        <v/>
      </c>
      <c r="G386" s="12">
        <f>IFERROR(IF(SUMIFS(tblDaily[TransfersOut],tblDaily[EntryDate],DATE(2026,10,29),tblDaily[WardCode],"NICU")=0,"",SUMIFS(tblDaily[TransfersOut],tblDaily[EntryDate],DATE(2026,10,29),tblDaily[WardCode],"NICU")),"")</f>
        <v/>
      </c>
      <c r="H386" s="12">
        <f>IFERROR(IF(SUMIFS(tblDaily[Remaining],tblDaily[EntryDate],DATE(2026,10,29),tblDaily[WardCode],"NICU")=0,"",SUMIFS(tblDaily[Remaining],tblDaily[EntryDate],DATE(2026,10,29),tblDaily[WardCode],"NICU")),"")</f>
        <v/>
      </c>
    </row>
    <row r="387">
      <c r="A387" s="12" t="n">
        <v>30</v>
      </c>
      <c r="B387" s="12">
        <f>IFERROR(IF(SUMIFS(tblDaily[Admissions],tblDaily[EntryDate],DATE(2026,10,30),tblDaily[WardCode],"NICU")=0,"",SUMIFS(tblDaily[Admissions],tblDaily[EntryDate],DATE(2026,10,30),tblDaily[WardCode],"NICU")),"")</f>
        <v/>
      </c>
      <c r="C387" s="12">
        <f>IFERROR(IF(SUMIFS(tblDaily[Discharges],tblDaily[EntryDate],DATE(2026,10,30),tblDaily[WardCode],"NICU")=0,"",SUMIFS(tblDaily[Discharges],tblDaily[EntryDate],DATE(2026,10,30),tblDaily[WardCode],"NICU")),"")</f>
        <v/>
      </c>
      <c r="D387" s="12">
        <f>IFERROR(IF(SUMIFS(tblDaily[Deaths],tblDaily[EntryDate],DATE(2026,10,30),tblDaily[WardCode],"NICU")=0,"",SUMIFS(tblDaily[Deaths],tblDaily[EntryDate],DATE(2026,10,30),tblDaily[WardCode],"NICU")),"")</f>
        <v/>
      </c>
      <c r="E387" s="12">
        <f>IFERROR(IF(SUMIFS(tblDaily[DeathsUnder24Hrs],tblDaily[EntryDate],DATE(2026,10,30),tblDaily[WardCode],"NICU")=0,"",SUMIFS(tblDaily[DeathsUnder24Hrs],tblDaily[EntryDate],DATE(2026,10,30),tblDaily[WardCode],"NICU")),"")</f>
        <v/>
      </c>
      <c r="F387" s="12">
        <f>IFERROR(IF(SUMIFS(tblDaily[TransfersIn],tblDaily[EntryDate],DATE(2026,10,30),tblDaily[WardCode],"NICU")=0,"",SUMIFS(tblDaily[TransfersIn],tblDaily[EntryDate],DATE(2026,10,30),tblDaily[WardCode],"NICU")),"")</f>
        <v/>
      </c>
      <c r="G387" s="12">
        <f>IFERROR(IF(SUMIFS(tblDaily[TransfersOut],tblDaily[EntryDate],DATE(2026,10,30),tblDaily[WardCode],"NICU")=0,"",SUMIFS(tblDaily[TransfersOut],tblDaily[EntryDate],DATE(2026,10,30),tblDaily[WardCode],"NICU")),"")</f>
        <v/>
      </c>
      <c r="H387" s="12">
        <f>IFERROR(IF(SUMIFS(tblDaily[Remaining],tblDaily[EntryDate],DATE(2026,10,30),tblDaily[WardCode],"NICU")=0,"",SUMIFS(tblDaily[Remaining],tblDaily[EntryDate],DATE(2026,10,30),tblDaily[WardCode],"NICU")),"")</f>
        <v/>
      </c>
    </row>
    <row r="388">
      <c r="A388" s="12" t="n">
        <v>31</v>
      </c>
      <c r="B388" s="12">
        <f>IFERROR(IF(SUMIFS(tblDaily[Admissions],tblDaily[EntryDate],DATE(2026,10,31),tblDaily[WardCode],"NICU")=0,"",SUMIFS(tblDaily[Admissions],tblDaily[EntryDate],DATE(2026,10,31),tblDaily[WardCode],"NICU")),"")</f>
        <v/>
      </c>
      <c r="C388" s="12">
        <f>IFERROR(IF(SUMIFS(tblDaily[Discharges],tblDaily[EntryDate],DATE(2026,10,31),tblDaily[WardCode],"NICU")=0,"",SUMIFS(tblDaily[Discharges],tblDaily[EntryDate],DATE(2026,10,31),tblDaily[WardCode],"NICU")),"")</f>
        <v/>
      </c>
      <c r="D388" s="12">
        <f>IFERROR(IF(SUMIFS(tblDaily[Deaths],tblDaily[EntryDate],DATE(2026,10,31),tblDaily[WardCode],"NICU")=0,"",SUMIFS(tblDaily[Deaths],tblDaily[EntryDate],DATE(2026,10,31),tblDaily[WardCode],"NICU")),"")</f>
        <v/>
      </c>
      <c r="E388" s="12">
        <f>IFERROR(IF(SUMIFS(tblDaily[DeathsUnder24Hrs],tblDaily[EntryDate],DATE(2026,10,31),tblDaily[WardCode],"NICU")=0,"",SUMIFS(tblDaily[DeathsUnder24Hrs],tblDaily[EntryDate],DATE(2026,10,31),tblDaily[WardCode],"NICU")),"")</f>
        <v/>
      </c>
      <c r="F388" s="12">
        <f>IFERROR(IF(SUMIFS(tblDaily[TransfersIn],tblDaily[EntryDate],DATE(2026,10,31),tblDaily[WardCode],"NICU")=0,"",SUMIFS(tblDaily[TransfersIn],tblDaily[EntryDate],DATE(2026,10,31),tblDaily[WardCode],"NICU")),"")</f>
        <v/>
      </c>
      <c r="G388" s="12">
        <f>IFERROR(IF(SUMIFS(tblDaily[TransfersOut],tblDaily[EntryDate],DATE(2026,10,31),tblDaily[WardCode],"NICU")=0,"",SUMIFS(tblDaily[TransfersOut],tblDaily[EntryDate],DATE(2026,10,31),tblDaily[WardCode],"NICU")),"")</f>
        <v/>
      </c>
      <c r="H388" s="12">
        <f>IFERROR(IF(SUMIFS(tblDaily[Remaining],tblDaily[EntryDate],DATE(2026,10,31),tblDaily[WardCode],"NICU")=0,"",SUMIFS(tblDaily[Remaining],tblDaily[EntryDate],DATE(2026,10,31),tblDaily[WardCode],"NICU")),"")</f>
        <v/>
      </c>
    </row>
    <row r="389">
      <c r="A389" s="17" t="inlineStr">
        <is>
          <t>TOTAL</t>
        </is>
      </c>
      <c r="B389" s="17">
        <f>SUMIFS(tblDaily[Admissions],tblDaily[Month],10,tblDaily[WardCode],"NICU") - SUMIFS(tblDaily[DeathsUnder24Hrs],tblDaily[Month],10,tblDaily[WardCode],"NICU")</f>
        <v/>
      </c>
      <c r="C389" s="17">
        <f>SUMIFS(tblDaily[Discharges],tblDaily[Month],10,tblDaily[WardCode],"NICU")</f>
        <v/>
      </c>
      <c r="D389" s="17">
        <f>SUMIFS(tblDaily[Deaths],tblDaily[Month],10,tblDaily[WardCode],"NICU")</f>
        <v/>
      </c>
      <c r="E389" s="17">
        <f>SUMIFS(tblDaily[DeathsUnder24Hrs],tblDaily[Month],10,tblDaily[WardCode],"NICU")</f>
        <v/>
      </c>
      <c r="F389" s="17">
        <f>SUMIFS(tblDaily[TransfersIn],tblDaily[Month],10,tblDaily[WardCode],"NICU")</f>
        <v/>
      </c>
      <c r="G389" s="17">
        <f>SUMIFS(tblDaily[TransfersOut],tblDaily[Month],10,tblDaily[WardCode],"NICU")</f>
        <v/>
      </c>
      <c r="H389" s="17">
        <f>SUMIFS(tblDaily[Remaining],tblDaily[Month],10,tblDaily[WardCode],"NICU")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NEONATAL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4">
        <f>IFERROR(SUMIFS(tblDaily[Remaining],tblDaily[EntryDate],DATE(2026,10,31),tblDaily[WardCode],"NICU"),0)</f>
        <v/>
      </c>
    </row>
    <row r="395">
      <c r="A395" s="4" t="inlineStr">
        <is>
          <t>Bed complement</t>
        </is>
      </c>
      <c r="H395" s="15">
        <f>IFERROR(INDEX(tblWardConfig[BedComplement],MATCH("NICU",tblWardConfig[WardCode],0)),0)</f>
        <v/>
      </c>
    </row>
    <row r="396">
      <c r="A396" s="16" t="inlineStr">
        <is>
          <t>Day of
the
Month</t>
        </is>
      </c>
      <c r="B396" s="16" t="inlineStr">
        <is>
          <t>Admissions</t>
        </is>
      </c>
      <c r="C396" s="16" t="inlineStr">
        <is>
          <t>Discharges</t>
        </is>
      </c>
      <c r="D396" s="16" t="inlineStr">
        <is>
          <t>Deaths</t>
        </is>
      </c>
      <c r="E396" s="16" t="inlineStr">
        <is>
          <t>Deaths
&lt;24Hrs</t>
        </is>
      </c>
      <c r="F396" s="16" t="inlineStr">
        <is>
          <t>Transfers-
In</t>
        </is>
      </c>
      <c r="G396" s="16" t="inlineStr">
        <is>
          <t>Transfers-
Out</t>
        </is>
      </c>
      <c r="H396" s="16" t="inlineStr">
        <is>
          <t>No. of Patients
Remaining In
Ward</t>
        </is>
      </c>
    </row>
    <row r="397">
      <c r="A397" s="12" t="n">
        <v>1</v>
      </c>
      <c r="B397" s="12">
        <f>IFERROR(IF(SUMIFS(tblDaily[Admissions],tblDaily[EntryDate],DATE(2026,11,1),tblDaily[WardCode],"NICU")=0,"",SUMIFS(tblDaily[Admissions],tblDaily[EntryDate],DATE(2026,11,1),tblDaily[WardCode],"NICU")),"")</f>
        <v/>
      </c>
      <c r="C397" s="12">
        <f>IFERROR(IF(SUMIFS(tblDaily[Discharges],tblDaily[EntryDate],DATE(2026,11,1),tblDaily[WardCode],"NICU")=0,"",SUMIFS(tblDaily[Discharges],tblDaily[EntryDate],DATE(2026,11,1),tblDaily[WardCode],"NICU")),"")</f>
        <v/>
      </c>
      <c r="D397" s="12">
        <f>IFERROR(IF(SUMIFS(tblDaily[Deaths],tblDaily[EntryDate],DATE(2026,11,1),tblDaily[WardCode],"NICU")=0,"",SUMIFS(tblDaily[Deaths],tblDaily[EntryDate],DATE(2026,11,1),tblDaily[WardCode],"NICU")),"")</f>
        <v/>
      </c>
      <c r="E397" s="12">
        <f>IFERROR(IF(SUMIFS(tblDaily[DeathsUnder24Hrs],tblDaily[EntryDate],DATE(2026,11,1),tblDaily[WardCode],"NICU")=0,"",SUMIFS(tblDaily[DeathsUnder24Hrs],tblDaily[EntryDate],DATE(2026,11,1),tblDaily[WardCode],"NICU")),"")</f>
        <v/>
      </c>
      <c r="F397" s="12">
        <f>IFERROR(IF(SUMIFS(tblDaily[TransfersIn],tblDaily[EntryDate],DATE(2026,11,1),tblDaily[WardCode],"NICU")=0,"",SUMIFS(tblDaily[TransfersIn],tblDaily[EntryDate],DATE(2026,11,1),tblDaily[WardCode],"NICU")),"")</f>
        <v/>
      </c>
      <c r="G397" s="12">
        <f>IFERROR(IF(SUMIFS(tblDaily[TransfersOut],tblDaily[EntryDate],DATE(2026,11,1),tblDaily[WardCode],"NICU")=0,"",SUMIFS(tblDaily[TransfersOut],tblDaily[EntryDate],DATE(2026,11,1),tblDaily[WardCode],"NICU")),"")</f>
        <v/>
      </c>
      <c r="H397" s="12">
        <f>IFERROR(IF(SUMIFS(tblDaily[Remaining],tblDaily[EntryDate],DATE(2026,11,1),tblDaily[WardCode],"NICU")=0,"",SUMIFS(tblDaily[Remaining],tblDaily[EntryDate],DATE(2026,11,1),tblDaily[WardCode],"NICU")),"")</f>
        <v/>
      </c>
    </row>
    <row r="398">
      <c r="A398" s="12" t="n">
        <v>2</v>
      </c>
      <c r="B398" s="12">
        <f>IFERROR(IF(SUMIFS(tblDaily[Admissions],tblDaily[EntryDate],DATE(2026,11,2),tblDaily[WardCode],"NICU")=0,"",SUMIFS(tblDaily[Admissions],tblDaily[EntryDate],DATE(2026,11,2),tblDaily[WardCode],"NICU")),"")</f>
        <v/>
      </c>
      <c r="C398" s="12">
        <f>IFERROR(IF(SUMIFS(tblDaily[Discharges],tblDaily[EntryDate],DATE(2026,11,2),tblDaily[WardCode],"NICU")=0,"",SUMIFS(tblDaily[Discharges],tblDaily[EntryDate],DATE(2026,11,2),tblDaily[WardCode],"NICU")),"")</f>
        <v/>
      </c>
      <c r="D398" s="12">
        <f>IFERROR(IF(SUMIFS(tblDaily[Deaths],tblDaily[EntryDate],DATE(2026,11,2),tblDaily[WardCode],"NICU")=0,"",SUMIFS(tblDaily[Deaths],tblDaily[EntryDate],DATE(2026,11,2),tblDaily[WardCode],"NICU")),"")</f>
        <v/>
      </c>
      <c r="E398" s="12">
        <f>IFERROR(IF(SUMIFS(tblDaily[DeathsUnder24Hrs],tblDaily[EntryDate],DATE(2026,11,2),tblDaily[WardCode],"NICU")=0,"",SUMIFS(tblDaily[DeathsUnder24Hrs],tblDaily[EntryDate],DATE(2026,11,2),tblDaily[WardCode],"NICU")),"")</f>
        <v/>
      </c>
      <c r="F398" s="12">
        <f>IFERROR(IF(SUMIFS(tblDaily[TransfersIn],tblDaily[EntryDate],DATE(2026,11,2),tblDaily[WardCode],"NICU")=0,"",SUMIFS(tblDaily[TransfersIn],tblDaily[EntryDate],DATE(2026,11,2),tblDaily[WardCode],"NICU")),"")</f>
        <v/>
      </c>
      <c r="G398" s="12">
        <f>IFERROR(IF(SUMIFS(tblDaily[TransfersOut],tblDaily[EntryDate],DATE(2026,11,2),tblDaily[WardCode],"NICU")=0,"",SUMIFS(tblDaily[TransfersOut],tblDaily[EntryDate],DATE(2026,11,2),tblDaily[WardCode],"NICU")),"")</f>
        <v/>
      </c>
      <c r="H398" s="12">
        <f>IFERROR(IF(SUMIFS(tblDaily[Remaining],tblDaily[EntryDate],DATE(2026,11,2),tblDaily[WardCode],"NICU")=0,"",SUMIFS(tblDaily[Remaining],tblDaily[EntryDate],DATE(2026,11,2),tblDaily[WardCode],"NICU")),"")</f>
        <v/>
      </c>
    </row>
    <row r="399">
      <c r="A399" s="12" t="n">
        <v>3</v>
      </c>
      <c r="B399" s="12">
        <f>IFERROR(IF(SUMIFS(tblDaily[Admissions],tblDaily[EntryDate],DATE(2026,11,3),tblDaily[WardCode],"NICU")=0,"",SUMIFS(tblDaily[Admissions],tblDaily[EntryDate],DATE(2026,11,3),tblDaily[WardCode],"NICU")),"")</f>
        <v/>
      </c>
      <c r="C399" s="12">
        <f>IFERROR(IF(SUMIFS(tblDaily[Discharges],tblDaily[EntryDate],DATE(2026,11,3),tblDaily[WardCode],"NICU")=0,"",SUMIFS(tblDaily[Discharges],tblDaily[EntryDate],DATE(2026,11,3),tblDaily[WardCode],"NICU")),"")</f>
        <v/>
      </c>
      <c r="D399" s="12">
        <f>IFERROR(IF(SUMIFS(tblDaily[Deaths],tblDaily[EntryDate],DATE(2026,11,3),tblDaily[WardCode],"NICU")=0,"",SUMIFS(tblDaily[Deaths],tblDaily[EntryDate],DATE(2026,11,3),tblDaily[WardCode],"NICU")),"")</f>
        <v/>
      </c>
      <c r="E399" s="12">
        <f>IFERROR(IF(SUMIFS(tblDaily[DeathsUnder24Hrs],tblDaily[EntryDate],DATE(2026,11,3),tblDaily[WardCode],"NICU")=0,"",SUMIFS(tblDaily[DeathsUnder24Hrs],tblDaily[EntryDate],DATE(2026,11,3),tblDaily[WardCode],"NICU")),"")</f>
        <v/>
      </c>
      <c r="F399" s="12">
        <f>IFERROR(IF(SUMIFS(tblDaily[TransfersIn],tblDaily[EntryDate],DATE(2026,11,3),tblDaily[WardCode],"NICU")=0,"",SUMIFS(tblDaily[TransfersIn],tblDaily[EntryDate],DATE(2026,11,3),tblDaily[WardCode],"NICU")),"")</f>
        <v/>
      </c>
      <c r="G399" s="12">
        <f>IFERROR(IF(SUMIFS(tblDaily[TransfersOut],tblDaily[EntryDate],DATE(2026,11,3),tblDaily[WardCode],"NICU")=0,"",SUMIFS(tblDaily[TransfersOut],tblDaily[EntryDate],DATE(2026,11,3),tblDaily[WardCode],"NICU")),"")</f>
        <v/>
      </c>
      <c r="H399" s="12">
        <f>IFERROR(IF(SUMIFS(tblDaily[Remaining],tblDaily[EntryDate],DATE(2026,11,3),tblDaily[WardCode],"NICU")=0,"",SUMIFS(tblDaily[Remaining],tblDaily[EntryDate],DATE(2026,11,3),tblDaily[WardCode],"NICU")),"")</f>
        <v/>
      </c>
    </row>
    <row r="400">
      <c r="A400" s="12" t="n">
        <v>4</v>
      </c>
      <c r="B400" s="12">
        <f>IFERROR(IF(SUMIFS(tblDaily[Admissions],tblDaily[EntryDate],DATE(2026,11,4),tblDaily[WardCode],"NICU")=0,"",SUMIFS(tblDaily[Admissions],tblDaily[EntryDate],DATE(2026,11,4),tblDaily[WardCode],"NICU")),"")</f>
        <v/>
      </c>
      <c r="C400" s="12">
        <f>IFERROR(IF(SUMIFS(tblDaily[Discharges],tblDaily[EntryDate],DATE(2026,11,4),tblDaily[WardCode],"NICU")=0,"",SUMIFS(tblDaily[Discharges],tblDaily[EntryDate],DATE(2026,11,4),tblDaily[WardCode],"NICU")),"")</f>
        <v/>
      </c>
      <c r="D400" s="12">
        <f>IFERROR(IF(SUMIFS(tblDaily[Deaths],tblDaily[EntryDate],DATE(2026,11,4),tblDaily[WardCode],"NICU")=0,"",SUMIFS(tblDaily[Deaths],tblDaily[EntryDate],DATE(2026,11,4),tblDaily[WardCode],"NICU")),"")</f>
        <v/>
      </c>
      <c r="E400" s="12">
        <f>IFERROR(IF(SUMIFS(tblDaily[DeathsUnder24Hrs],tblDaily[EntryDate],DATE(2026,11,4),tblDaily[WardCode],"NICU")=0,"",SUMIFS(tblDaily[DeathsUnder24Hrs],tblDaily[EntryDate],DATE(2026,11,4),tblDaily[WardCode],"NICU")),"")</f>
        <v/>
      </c>
      <c r="F400" s="12">
        <f>IFERROR(IF(SUMIFS(tblDaily[TransfersIn],tblDaily[EntryDate],DATE(2026,11,4),tblDaily[WardCode],"NICU")=0,"",SUMIFS(tblDaily[TransfersIn],tblDaily[EntryDate],DATE(2026,11,4),tblDaily[WardCode],"NICU")),"")</f>
        <v/>
      </c>
      <c r="G400" s="12">
        <f>IFERROR(IF(SUMIFS(tblDaily[TransfersOut],tblDaily[EntryDate],DATE(2026,11,4),tblDaily[WardCode],"NICU")=0,"",SUMIFS(tblDaily[TransfersOut],tblDaily[EntryDate],DATE(2026,11,4),tblDaily[WardCode],"NICU")),"")</f>
        <v/>
      </c>
      <c r="H400" s="12">
        <f>IFERROR(IF(SUMIFS(tblDaily[Remaining],tblDaily[EntryDate],DATE(2026,11,4),tblDaily[WardCode],"NICU")=0,"",SUMIFS(tblDaily[Remaining],tblDaily[EntryDate],DATE(2026,11,4),tblDaily[WardCode],"NICU")),"")</f>
        <v/>
      </c>
    </row>
    <row r="401">
      <c r="A401" s="12" t="n">
        <v>5</v>
      </c>
      <c r="B401" s="12">
        <f>IFERROR(IF(SUMIFS(tblDaily[Admissions],tblDaily[EntryDate],DATE(2026,11,5),tblDaily[WardCode],"NICU")=0,"",SUMIFS(tblDaily[Admissions],tblDaily[EntryDate],DATE(2026,11,5),tblDaily[WardCode],"NICU")),"")</f>
        <v/>
      </c>
      <c r="C401" s="12">
        <f>IFERROR(IF(SUMIFS(tblDaily[Discharges],tblDaily[EntryDate],DATE(2026,11,5),tblDaily[WardCode],"NICU")=0,"",SUMIFS(tblDaily[Discharges],tblDaily[EntryDate],DATE(2026,11,5),tblDaily[WardCode],"NICU")),"")</f>
        <v/>
      </c>
      <c r="D401" s="12">
        <f>IFERROR(IF(SUMIFS(tblDaily[Deaths],tblDaily[EntryDate],DATE(2026,11,5),tblDaily[WardCode],"NICU")=0,"",SUMIFS(tblDaily[Deaths],tblDaily[EntryDate],DATE(2026,11,5),tblDaily[WardCode],"NICU")),"")</f>
        <v/>
      </c>
      <c r="E401" s="12">
        <f>IFERROR(IF(SUMIFS(tblDaily[DeathsUnder24Hrs],tblDaily[EntryDate],DATE(2026,11,5),tblDaily[WardCode],"NICU")=0,"",SUMIFS(tblDaily[DeathsUnder24Hrs],tblDaily[EntryDate],DATE(2026,11,5),tblDaily[WardCode],"NICU")),"")</f>
        <v/>
      </c>
      <c r="F401" s="12">
        <f>IFERROR(IF(SUMIFS(tblDaily[TransfersIn],tblDaily[EntryDate],DATE(2026,11,5),tblDaily[WardCode],"NICU")=0,"",SUMIFS(tblDaily[TransfersIn],tblDaily[EntryDate],DATE(2026,11,5),tblDaily[WardCode],"NICU")),"")</f>
        <v/>
      </c>
      <c r="G401" s="12">
        <f>IFERROR(IF(SUMIFS(tblDaily[TransfersOut],tblDaily[EntryDate],DATE(2026,11,5),tblDaily[WardCode],"NICU")=0,"",SUMIFS(tblDaily[TransfersOut],tblDaily[EntryDate],DATE(2026,11,5),tblDaily[WardCode],"NICU")),"")</f>
        <v/>
      </c>
      <c r="H401" s="12">
        <f>IFERROR(IF(SUMIFS(tblDaily[Remaining],tblDaily[EntryDate],DATE(2026,11,5),tblDaily[WardCode],"NICU")=0,"",SUMIFS(tblDaily[Remaining],tblDaily[EntryDate],DATE(2026,11,5),tblDaily[WardCode],"NICU")),"")</f>
        <v/>
      </c>
    </row>
    <row r="402">
      <c r="A402" s="12" t="n">
        <v>6</v>
      </c>
      <c r="B402" s="12">
        <f>IFERROR(IF(SUMIFS(tblDaily[Admissions],tblDaily[EntryDate],DATE(2026,11,6),tblDaily[WardCode],"NICU")=0,"",SUMIFS(tblDaily[Admissions],tblDaily[EntryDate],DATE(2026,11,6),tblDaily[WardCode],"NICU")),"")</f>
        <v/>
      </c>
      <c r="C402" s="12">
        <f>IFERROR(IF(SUMIFS(tblDaily[Discharges],tblDaily[EntryDate],DATE(2026,11,6),tblDaily[WardCode],"NICU")=0,"",SUMIFS(tblDaily[Discharges],tblDaily[EntryDate],DATE(2026,11,6),tblDaily[WardCode],"NICU")),"")</f>
        <v/>
      </c>
      <c r="D402" s="12">
        <f>IFERROR(IF(SUMIFS(tblDaily[Deaths],tblDaily[EntryDate],DATE(2026,11,6),tblDaily[WardCode],"NICU")=0,"",SUMIFS(tblDaily[Deaths],tblDaily[EntryDate],DATE(2026,11,6),tblDaily[WardCode],"NICU")),"")</f>
        <v/>
      </c>
      <c r="E402" s="12">
        <f>IFERROR(IF(SUMIFS(tblDaily[DeathsUnder24Hrs],tblDaily[EntryDate],DATE(2026,11,6),tblDaily[WardCode],"NICU")=0,"",SUMIFS(tblDaily[DeathsUnder24Hrs],tblDaily[EntryDate],DATE(2026,11,6),tblDaily[WardCode],"NICU")),"")</f>
        <v/>
      </c>
      <c r="F402" s="12">
        <f>IFERROR(IF(SUMIFS(tblDaily[TransfersIn],tblDaily[EntryDate],DATE(2026,11,6),tblDaily[WardCode],"NICU")=0,"",SUMIFS(tblDaily[TransfersIn],tblDaily[EntryDate],DATE(2026,11,6),tblDaily[WardCode],"NICU")),"")</f>
        <v/>
      </c>
      <c r="G402" s="12">
        <f>IFERROR(IF(SUMIFS(tblDaily[TransfersOut],tblDaily[EntryDate],DATE(2026,11,6),tblDaily[WardCode],"NICU")=0,"",SUMIFS(tblDaily[TransfersOut],tblDaily[EntryDate],DATE(2026,11,6),tblDaily[WardCode],"NICU")),"")</f>
        <v/>
      </c>
      <c r="H402" s="12">
        <f>IFERROR(IF(SUMIFS(tblDaily[Remaining],tblDaily[EntryDate],DATE(2026,11,6),tblDaily[WardCode],"NICU")=0,"",SUMIFS(tblDaily[Remaining],tblDaily[EntryDate],DATE(2026,11,6),tblDaily[WardCode],"NICU")),"")</f>
        <v/>
      </c>
    </row>
    <row r="403">
      <c r="A403" s="12" t="n">
        <v>7</v>
      </c>
      <c r="B403" s="12">
        <f>IFERROR(IF(SUMIFS(tblDaily[Admissions],tblDaily[EntryDate],DATE(2026,11,7),tblDaily[WardCode],"NICU")=0,"",SUMIFS(tblDaily[Admissions],tblDaily[EntryDate],DATE(2026,11,7),tblDaily[WardCode],"NICU")),"")</f>
        <v/>
      </c>
      <c r="C403" s="12">
        <f>IFERROR(IF(SUMIFS(tblDaily[Discharges],tblDaily[EntryDate],DATE(2026,11,7),tblDaily[WardCode],"NICU")=0,"",SUMIFS(tblDaily[Discharges],tblDaily[EntryDate],DATE(2026,11,7),tblDaily[WardCode],"NICU")),"")</f>
        <v/>
      </c>
      <c r="D403" s="12">
        <f>IFERROR(IF(SUMIFS(tblDaily[Deaths],tblDaily[EntryDate],DATE(2026,11,7),tblDaily[WardCode],"NICU")=0,"",SUMIFS(tblDaily[Deaths],tblDaily[EntryDate],DATE(2026,11,7),tblDaily[WardCode],"NICU")),"")</f>
        <v/>
      </c>
      <c r="E403" s="12">
        <f>IFERROR(IF(SUMIFS(tblDaily[DeathsUnder24Hrs],tblDaily[EntryDate],DATE(2026,11,7),tblDaily[WardCode],"NICU")=0,"",SUMIFS(tblDaily[DeathsUnder24Hrs],tblDaily[EntryDate],DATE(2026,11,7),tblDaily[WardCode],"NICU")),"")</f>
        <v/>
      </c>
      <c r="F403" s="12">
        <f>IFERROR(IF(SUMIFS(tblDaily[TransfersIn],tblDaily[EntryDate],DATE(2026,11,7),tblDaily[WardCode],"NICU")=0,"",SUMIFS(tblDaily[TransfersIn],tblDaily[EntryDate],DATE(2026,11,7),tblDaily[WardCode],"NICU")),"")</f>
        <v/>
      </c>
      <c r="G403" s="12">
        <f>IFERROR(IF(SUMIFS(tblDaily[TransfersOut],tblDaily[EntryDate],DATE(2026,11,7),tblDaily[WardCode],"NICU")=0,"",SUMIFS(tblDaily[TransfersOut],tblDaily[EntryDate],DATE(2026,11,7),tblDaily[WardCode],"NICU")),"")</f>
        <v/>
      </c>
      <c r="H403" s="12">
        <f>IFERROR(IF(SUMIFS(tblDaily[Remaining],tblDaily[EntryDate],DATE(2026,11,7),tblDaily[WardCode],"NICU")=0,"",SUMIFS(tblDaily[Remaining],tblDaily[EntryDate],DATE(2026,11,7),tblDaily[WardCode],"NICU")),"")</f>
        <v/>
      </c>
    </row>
    <row r="404">
      <c r="A404" s="12" t="n">
        <v>8</v>
      </c>
      <c r="B404" s="12">
        <f>IFERROR(IF(SUMIFS(tblDaily[Admissions],tblDaily[EntryDate],DATE(2026,11,8),tblDaily[WardCode],"NICU")=0,"",SUMIFS(tblDaily[Admissions],tblDaily[EntryDate],DATE(2026,11,8),tblDaily[WardCode],"NICU")),"")</f>
        <v/>
      </c>
      <c r="C404" s="12">
        <f>IFERROR(IF(SUMIFS(tblDaily[Discharges],tblDaily[EntryDate],DATE(2026,11,8),tblDaily[WardCode],"NICU")=0,"",SUMIFS(tblDaily[Discharges],tblDaily[EntryDate],DATE(2026,11,8),tblDaily[WardCode],"NICU")),"")</f>
        <v/>
      </c>
      <c r="D404" s="12">
        <f>IFERROR(IF(SUMIFS(tblDaily[Deaths],tblDaily[EntryDate],DATE(2026,11,8),tblDaily[WardCode],"NICU")=0,"",SUMIFS(tblDaily[Deaths],tblDaily[EntryDate],DATE(2026,11,8),tblDaily[WardCode],"NICU")),"")</f>
        <v/>
      </c>
      <c r="E404" s="12">
        <f>IFERROR(IF(SUMIFS(tblDaily[DeathsUnder24Hrs],tblDaily[EntryDate],DATE(2026,11,8),tblDaily[WardCode],"NICU")=0,"",SUMIFS(tblDaily[DeathsUnder24Hrs],tblDaily[EntryDate],DATE(2026,11,8),tblDaily[WardCode],"NICU")),"")</f>
        <v/>
      </c>
      <c r="F404" s="12">
        <f>IFERROR(IF(SUMIFS(tblDaily[TransfersIn],tblDaily[EntryDate],DATE(2026,11,8),tblDaily[WardCode],"NICU")=0,"",SUMIFS(tblDaily[TransfersIn],tblDaily[EntryDate],DATE(2026,11,8),tblDaily[WardCode],"NICU")),"")</f>
        <v/>
      </c>
      <c r="G404" s="12">
        <f>IFERROR(IF(SUMIFS(tblDaily[TransfersOut],tblDaily[EntryDate],DATE(2026,11,8),tblDaily[WardCode],"NICU")=0,"",SUMIFS(tblDaily[TransfersOut],tblDaily[EntryDate],DATE(2026,11,8),tblDaily[WardCode],"NICU")),"")</f>
        <v/>
      </c>
      <c r="H404" s="12">
        <f>IFERROR(IF(SUMIFS(tblDaily[Remaining],tblDaily[EntryDate],DATE(2026,11,8),tblDaily[WardCode],"NICU")=0,"",SUMIFS(tblDaily[Remaining],tblDaily[EntryDate],DATE(2026,11,8),tblDaily[WardCode],"NICU")),"")</f>
        <v/>
      </c>
    </row>
    <row r="405">
      <c r="A405" s="12" t="n">
        <v>9</v>
      </c>
      <c r="B405" s="12">
        <f>IFERROR(IF(SUMIFS(tblDaily[Admissions],tblDaily[EntryDate],DATE(2026,11,9),tblDaily[WardCode],"NICU")=0,"",SUMIFS(tblDaily[Admissions],tblDaily[EntryDate],DATE(2026,11,9),tblDaily[WardCode],"NICU")),"")</f>
        <v/>
      </c>
      <c r="C405" s="12">
        <f>IFERROR(IF(SUMIFS(tblDaily[Discharges],tblDaily[EntryDate],DATE(2026,11,9),tblDaily[WardCode],"NICU")=0,"",SUMIFS(tblDaily[Discharges],tblDaily[EntryDate],DATE(2026,11,9),tblDaily[WardCode],"NICU")),"")</f>
        <v/>
      </c>
      <c r="D405" s="12">
        <f>IFERROR(IF(SUMIFS(tblDaily[Deaths],tblDaily[EntryDate],DATE(2026,11,9),tblDaily[WardCode],"NICU")=0,"",SUMIFS(tblDaily[Deaths],tblDaily[EntryDate],DATE(2026,11,9),tblDaily[WardCode],"NICU")),"")</f>
        <v/>
      </c>
      <c r="E405" s="12">
        <f>IFERROR(IF(SUMIFS(tblDaily[DeathsUnder24Hrs],tblDaily[EntryDate],DATE(2026,11,9),tblDaily[WardCode],"NICU")=0,"",SUMIFS(tblDaily[DeathsUnder24Hrs],tblDaily[EntryDate],DATE(2026,11,9),tblDaily[WardCode],"NICU")),"")</f>
        <v/>
      </c>
      <c r="F405" s="12">
        <f>IFERROR(IF(SUMIFS(tblDaily[TransfersIn],tblDaily[EntryDate],DATE(2026,11,9),tblDaily[WardCode],"NICU")=0,"",SUMIFS(tblDaily[TransfersIn],tblDaily[EntryDate],DATE(2026,11,9),tblDaily[WardCode],"NICU")),"")</f>
        <v/>
      </c>
      <c r="G405" s="12">
        <f>IFERROR(IF(SUMIFS(tblDaily[TransfersOut],tblDaily[EntryDate],DATE(2026,11,9),tblDaily[WardCode],"NICU")=0,"",SUMIFS(tblDaily[TransfersOut],tblDaily[EntryDate],DATE(2026,11,9),tblDaily[WardCode],"NICU")),"")</f>
        <v/>
      </c>
      <c r="H405" s="12">
        <f>IFERROR(IF(SUMIFS(tblDaily[Remaining],tblDaily[EntryDate],DATE(2026,11,9),tblDaily[WardCode],"NICU")=0,"",SUMIFS(tblDaily[Remaining],tblDaily[EntryDate],DATE(2026,11,9),tblDaily[WardCode],"NICU")),"")</f>
        <v/>
      </c>
    </row>
    <row r="406">
      <c r="A406" s="12" t="n">
        <v>10</v>
      </c>
      <c r="B406" s="12">
        <f>IFERROR(IF(SUMIFS(tblDaily[Admissions],tblDaily[EntryDate],DATE(2026,11,10),tblDaily[WardCode],"NICU")=0,"",SUMIFS(tblDaily[Admissions],tblDaily[EntryDate],DATE(2026,11,10),tblDaily[WardCode],"NICU")),"")</f>
        <v/>
      </c>
      <c r="C406" s="12">
        <f>IFERROR(IF(SUMIFS(tblDaily[Discharges],tblDaily[EntryDate],DATE(2026,11,10),tblDaily[WardCode],"NICU")=0,"",SUMIFS(tblDaily[Discharges],tblDaily[EntryDate],DATE(2026,11,10),tblDaily[WardCode],"NICU")),"")</f>
        <v/>
      </c>
      <c r="D406" s="12">
        <f>IFERROR(IF(SUMIFS(tblDaily[Deaths],tblDaily[EntryDate],DATE(2026,11,10),tblDaily[WardCode],"NICU")=0,"",SUMIFS(tblDaily[Deaths],tblDaily[EntryDate],DATE(2026,11,10),tblDaily[WardCode],"NICU")),"")</f>
        <v/>
      </c>
      <c r="E406" s="12">
        <f>IFERROR(IF(SUMIFS(tblDaily[DeathsUnder24Hrs],tblDaily[EntryDate],DATE(2026,11,10),tblDaily[WardCode],"NICU")=0,"",SUMIFS(tblDaily[DeathsUnder24Hrs],tblDaily[EntryDate],DATE(2026,11,10),tblDaily[WardCode],"NICU")),"")</f>
        <v/>
      </c>
      <c r="F406" s="12">
        <f>IFERROR(IF(SUMIFS(tblDaily[TransfersIn],tblDaily[EntryDate],DATE(2026,11,10),tblDaily[WardCode],"NICU")=0,"",SUMIFS(tblDaily[TransfersIn],tblDaily[EntryDate],DATE(2026,11,10),tblDaily[WardCode],"NICU")),"")</f>
        <v/>
      </c>
      <c r="G406" s="12">
        <f>IFERROR(IF(SUMIFS(tblDaily[TransfersOut],tblDaily[EntryDate],DATE(2026,11,10),tblDaily[WardCode],"NICU")=0,"",SUMIFS(tblDaily[TransfersOut],tblDaily[EntryDate],DATE(2026,11,10),tblDaily[WardCode],"NICU")),"")</f>
        <v/>
      </c>
      <c r="H406" s="12">
        <f>IFERROR(IF(SUMIFS(tblDaily[Remaining],tblDaily[EntryDate],DATE(2026,11,10),tblDaily[WardCode],"NICU")=0,"",SUMIFS(tblDaily[Remaining],tblDaily[EntryDate],DATE(2026,11,10),tblDaily[WardCode],"NICU")),"")</f>
        <v/>
      </c>
    </row>
    <row r="407">
      <c r="A407" s="12" t="n">
        <v>11</v>
      </c>
      <c r="B407" s="12">
        <f>IFERROR(IF(SUMIFS(tblDaily[Admissions],tblDaily[EntryDate],DATE(2026,11,11),tblDaily[WardCode],"NICU")=0,"",SUMIFS(tblDaily[Admissions],tblDaily[EntryDate],DATE(2026,11,11),tblDaily[WardCode],"NICU")),"")</f>
        <v/>
      </c>
      <c r="C407" s="12">
        <f>IFERROR(IF(SUMIFS(tblDaily[Discharges],tblDaily[EntryDate],DATE(2026,11,11),tblDaily[WardCode],"NICU")=0,"",SUMIFS(tblDaily[Discharges],tblDaily[EntryDate],DATE(2026,11,11),tblDaily[WardCode],"NICU")),"")</f>
        <v/>
      </c>
      <c r="D407" s="12">
        <f>IFERROR(IF(SUMIFS(tblDaily[Deaths],tblDaily[EntryDate],DATE(2026,11,11),tblDaily[WardCode],"NICU")=0,"",SUMIFS(tblDaily[Deaths],tblDaily[EntryDate],DATE(2026,11,11),tblDaily[WardCode],"NICU")),"")</f>
        <v/>
      </c>
      <c r="E407" s="12">
        <f>IFERROR(IF(SUMIFS(tblDaily[DeathsUnder24Hrs],tblDaily[EntryDate],DATE(2026,11,11),tblDaily[WardCode],"NICU")=0,"",SUMIFS(tblDaily[DeathsUnder24Hrs],tblDaily[EntryDate],DATE(2026,11,11),tblDaily[WardCode],"NICU")),"")</f>
        <v/>
      </c>
      <c r="F407" s="12">
        <f>IFERROR(IF(SUMIFS(tblDaily[TransfersIn],tblDaily[EntryDate],DATE(2026,11,11),tblDaily[WardCode],"NICU")=0,"",SUMIFS(tblDaily[TransfersIn],tblDaily[EntryDate],DATE(2026,11,11),tblDaily[WardCode],"NICU")),"")</f>
        <v/>
      </c>
      <c r="G407" s="12">
        <f>IFERROR(IF(SUMIFS(tblDaily[TransfersOut],tblDaily[EntryDate],DATE(2026,11,11),tblDaily[WardCode],"NICU")=0,"",SUMIFS(tblDaily[TransfersOut],tblDaily[EntryDate],DATE(2026,11,11),tblDaily[WardCode],"NICU")),"")</f>
        <v/>
      </c>
      <c r="H407" s="12">
        <f>IFERROR(IF(SUMIFS(tblDaily[Remaining],tblDaily[EntryDate],DATE(2026,11,11),tblDaily[WardCode],"NICU")=0,"",SUMIFS(tblDaily[Remaining],tblDaily[EntryDate],DATE(2026,11,11),tblDaily[WardCode],"NICU")),"")</f>
        <v/>
      </c>
    </row>
    <row r="408">
      <c r="A408" s="12" t="n">
        <v>12</v>
      </c>
      <c r="B408" s="12">
        <f>IFERROR(IF(SUMIFS(tblDaily[Admissions],tblDaily[EntryDate],DATE(2026,11,12),tblDaily[WardCode],"NICU")=0,"",SUMIFS(tblDaily[Admissions],tblDaily[EntryDate],DATE(2026,11,12),tblDaily[WardCode],"NICU")),"")</f>
        <v/>
      </c>
      <c r="C408" s="12">
        <f>IFERROR(IF(SUMIFS(tblDaily[Discharges],tblDaily[EntryDate],DATE(2026,11,12),tblDaily[WardCode],"NICU")=0,"",SUMIFS(tblDaily[Discharges],tblDaily[EntryDate],DATE(2026,11,12),tblDaily[WardCode],"NICU")),"")</f>
        <v/>
      </c>
      <c r="D408" s="12">
        <f>IFERROR(IF(SUMIFS(tblDaily[Deaths],tblDaily[EntryDate],DATE(2026,11,12),tblDaily[WardCode],"NICU")=0,"",SUMIFS(tblDaily[Deaths],tblDaily[EntryDate],DATE(2026,11,12),tblDaily[WardCode],"NICU")),"")</f>
        <v/>
      </c>
      <c r="E408" s="12">
        <f>IFERROR(IF(SUMIFS(tblDaily[DeathsUnder24Hrs],tblDaily[EntryDate],DATE(2026,11,12),tblDaily[WardCode],"NICU")=0,"",SUMIFS(tblDaily[DeathsUnder24Hrs],tblDaily[EntryDate],DATE(2026,11,12),tblDaily[WardCode],"NICU")),"")</f>
        <v/>
      </c>
      <c r="F408" s="12">
        <f>IFERROR(IF(SUMIFS(tblDaily[TransfersIn],tblDaily[EntryDate],DATE(2026,11,12),tblDaily[WardCode],"NICU")=0,"",SUMIFS(tblDaily[TransfersIn],tblDaily[EntryDate],DATE(2026,11,12),tblDaily[WardCode],"NICU")),"")</f>
        <v/>
      </c>
      <c r="G408" s="12">
        <f>IFERROR(IF(SUMIFS(tblDaily[TransfersOut],tblDaily[EntryDate],DATE(2026,11,12),tblDaily[WardCode],"NICU")=0,"",SUMIFS(tblDaily[TransfersOut],tblDaily[EntryDate],DATE(2026,11,12),tblDaily[WardCode],"NICU")),"")</f>
        <v/>
      </c>
      <c r="H408" s="12">
        <f>IFERROR(IF(SUMIFS(tblDaily[Remaining],tblDaily[EntryDate],DATE(2026,11,12),tblDaily[WardCode],"NICU")=0,"",SUMIFS(tblDaily[Remaining],tblDaily[EntryDate],DATE(2026,11,12),tblDaily[WardCode],"NICU")),"")</f>
        <v/>
      </c>
    </row>
    <row r="409">
      <c r="A409" s="12" t="n">
        <v>13</v>
      </c>
      <c r="B409" s="12">
        <f>IFERROR(IF(SUMIFS(tblDaily[Admissions],tblDaily[EntryDate],DATE(2026,11,13),tblDaily[WardCode],"NICU")=0,"",SUMIFS(tblDaily[Admissions],tblDaily[EntryDate],DATE(2026,11,13),tblDaily[WardCode],"NICU")),"")</f>
        <v/>
      </c>
      <c r="C409" s="12">
        <f>IFERROR(IF(SUMIFS(tblDaily[Discharges],tblDaily[EntryDate],DATE(2026,11,13),tblDaily[WardCode],"NICU")=0,"",SUMIFS(tblDaily[Discharges],tblDaily[EntryDate],DATE(2026,11,13),tblDaily[WardCode],"NICU")),"")</f>
        <v/>
      </c>
      <c r="D409" s="12">
        <f>IFERROR(IF(SUMIFS(tblDaily[Deaths],tblDaily[EntryDate],DATE(2026,11,13),tblDaily[WardCode],"NICU")=0,"",SUMIFS(tblDaily[Deaths],tblDaily[EntryDate],DATE(2026,11,13),tblDaily[WardCode],"NICU")),"")</f>
        <v/>
      </c>
      <c r="E409" s="12">
        <f>IFERROR(IF(SUMIFS(tblDaily[DeathsUnder24Hrs],tblDaily[EntryDate],DATE(2026,11,13),tblDaily[WardCode],"NICU")=0,"",SUMIFS(tblDaily[DeathsUnder24Hrs],tblDaily[EntryDate],DATE(2026,11,13),tblDaily[WardCode],"NICU")),"")</f>
        <v/>
      </c>
      <c r="F409" s="12">
        <f>IFERROR(IF(SUMIFS(tblDaily[TransfersIn],tblDaily[EntryDate],DATE(2026,11,13),tblDaily[WardCode],"NICU")=0,"",SUMIFS(tblDaily[TransfersIn],tblDaily[EntryDate],DATE(2026,11,13),tblDaily[WardCode],"NICU")),"")</f>
        <v/>
      </c>
      <c r="G409" s="12">
        <f>IFERROR(IF(SUMIFS(tblDaily[TransfersOut],tblDaily[EntryDate],DATE(2026,11,13),tblDaily[WardCode],"NICU")=0,"",SUMIFS(tblDaily[TransfersOut],tblDaily[EntryDate],DATE(2026,11,13),tblDaily[WardCode],"NICU")),"")</f>
        <v/>
      </c>
      <c r="H409" s="12">
        <f>IFERROR(IF(SUMIFS(tblDaily[Remaining],tblDaily[EntryDate],DATE(2026,11,13),tblDaily[WardCode],"NICU")=0,"",SUMIFS(tblDaily[Remaining],tblDaily[EntryDate],DATE(2026,11,13),tblDaily[WardCode],"NICU")),"")</f>
        <v/>
      </c>
    </row>
    <row r="410">
      <c r="A410" s="12" t="n">
        <v>14</v>
      </c>
      <c r="B410" s="12">
        <f>IFERROR(IF(SUMIFS(tblDaily[Admissions],tblDaily[EntryDate],DATE(2026,11,14),tblDaily[WardCode],"NICU")=0,"",SUMIFS(tblDaily[Admissions],tblDaily[EntryDate],DATE(2026,11,14),tblDaily[WardCode],"NICU")),"")</f>
        <v/>
      </c>
      <c r="C410" s="12">
        <f>IFERROR(IF(SUMIFS(tblDaily[Discharges],tblDaily[EntryDate],DATE(2026,11,14),tblDaily[WardCode],"NICU")=0,"",SUMIFS(tblDaily[Discharges],tblDaily[EntryDate],DATE(2026,11,14),tblDaily[WardCode],"NICU")),"")</f>
        <v/>
      </c>
      <c r="D410" s="12">
        <f>IFERROR(IF(SUMIFS(tblDaily[Deaths],tblDaily[EntryDate],DATE(2026,11,14),tblDaily[WardCode],"NICU")=0,"",SUMIFS(tblDaily[Deaths],tblDaily[EntryDate],DATE(2026,11,14),tblDaily[WardCode],"NICU")),"")</f>
        <v/>
      </c>
      <c r="E410" s="12">
        <f>IFERROR(IF(SUMIFS(tblDaily[DeathsUnder24Hrs],tblDaily[EntryDate],DATE(2026,11,14),tblDaily[WardCode],"NICU")=0,"",SUMIFS(tblDaily[DeathsUnder24Hrs],tblDaily[EntryDate],DATE(2026,11,14),tblDaily[WardCode],"NICU")),"")</f>
        <v/>
      </c>
      <c r="F410" s="12">
        <f>IFERROR(IF(SUMIFS(tblDaily[TransfersIn],tblDaily[EntryDate],DATE(2026,11,14),tblDaily[WardCode],"NICU")=0,"",SUMIFS(tblDaily[TransfersIn],tblDaily[EntryDate],DATE(2026,11,14),tblDaily[WardCode],"NICU")),"")</f>
        <v/>
      </c>
      <c r="G410" s="12">
        <f>IFERROR(IF(SUMIFS(tblDaily[TransfersOut],tblDaily[EntryDate],DATE(2026,11,14),tblDaily[WardCode],"NICU")=0,"",SUMIFS(tblDaily[TransfersOut],tblDaily[EntryDate],DATE(2026,11,14),tblDaily[WardCode],"NICU")),"")</f>
        <v/>
      </c>
      <c r="H410" s="12">
        <f>IFERROR(IF(SUMIFS(tblDaily[Remaining],tblDaily[EntryDate],DATE(2026,11,14),tblDaily[WardCode],"NICU")=0,"",SUMIFS(tblDaily[Remaining],tblDaily[EntryDate],DATE(2026,11,14),tblDaily[WardCode],"NICU")),"")</f>
        <v/>
      </c>
    </row>
    <row r="411">
      <c r="A411" s="12" t="n">
        <v>15</v>
      </c>
      <c r="B411" s="12">
        <f>IFERROR(IF(SUMIFS(tblDaily[Admissions],tblDaily[EntryDate],DATE(2026,11,15),tblDaily[WardCode],"NICU")=0,"",SUMIFS(tblDaily[Admissions],tblDaily[EntryDate],DATE(2026,11,15),tblDaily[WardCode],"NICU")),"")</f>
        <v/>
      </c>
      <c r="C411" s="12">
        <f>IFERROR(IF(SUMIFS(tblDaily[Discharges],tblDaily[EntryDate],DATE(2026,11,15),tblDaily[WardCode],"NICU")=0,"",SUMIFS(tblDaily[Discharges],tblDaily[EntryDate],DATE(2026,11,15),tblDaily[WardCode],"NICU")),"")</f>
        <v/>
      </c>
      <c r="D411" s="12">
        <f>IFERROR(IF(SUMIFS(tblDaily[Deaths],tblDaily[EntryDate],DATE(2026,11,15),tblDaily[WardCode],"NICU")=0,"",SUMIFS(tblDaily[Deaths],tblDaily[EntryDate],DATE(2026,11,15),tblDaily[WardCode],"NICU")),"")</f>
        <v/>
      </c>
      <c r="E411" s="12">
        <f>IFERROR(IF(SUMIFS(tblDaily[DeathsUnder24Hrs],tblDaily[EntryDate],DATE(2026,11,15),tblDaily[WardCode],"NICU")=0,"",SUMIFS(tblDaily[DeathsUnder24Hrs],tblDaily[EntryDate],DATE(2026,11,15),tblDaily[WardCode],"NICU")),"")</f>
        <v/>
      </c>
      <c r="F411" s="12">
        <f>IFERROR(IF(SUMIFS(tblDaily[TransfersIn],tblDaily[EntryDate],DATE(2026,11,15),tblDaily[WardCode],"NICU")=0,"",SUMIFS(tblDaily[TransfersIn],tblDaily[EntryDate],DATE(2026,11,15),tblDaily[WardCode],"NICU")),"")</f>
        <v/>
      </c>
      <c r="G411" s="12">
        <f>IFERROR(IF(SUMIFS(tblDaily[TransfersOut],tblDaily[EntryDate],DATE(2026,11,15),tblDaily[WardCode],"NICU")=0,"",SUMIFS(tblDaily[TransfersOut],tblDaily[EntryDate],DATE(2026,11,15),tblDaily[WardCode],"NICU")),"")</f>
        <v/>
      </c>
      <c r="H411" s="12">
        <f>IFERROR(IF(SUMIFS(tblDaily[Remaining],tblDaily[EntryDate],DATE(2026,11,15),tblDaily[WardCode],"NICU")=0,"",SUMIFS(tblDaily[Remaining],tblDaily[EntryDate],DATE(2026,11,15),tblDaily[WardCode],"NICU")),"")</f>
        <v/>
      </c>
    </row>
    <row r="412">
      <c r="A412" s="12" t="n">
        <v>16</v>
      </c>
      <c r="B412" s="12">
        <f>IFERROR(IF(SUMIFS(tblDaily[Admissions],tblDaily[EntryDate],DATE(2026,11,16),tblDaily[WardCode],"NICU")=0,"",SUMIFS(tblDaily[Admissions],tblDaily[EntryDate],DATE(2026,11,16),tblDaily[WardCode],"NICU")),"")</f>
        <v/>
      </c>
      <c r="C412" s="12">
        <f>IFERROR(IF(SUMIFS(tblDaily[Discharges],tblDaily[EntryDate],DATE(2026,11,16),tblDaily[WardCode],"NICU")=0,"",SUMIFS(tblDaily[Discharges],tblDaily[EntryDate],DATE(2026,11,16),tblDaily[WardCode],"NICU")),"")</f>
        <v/>
      </c>
      <c r="D412" s="12">
        <f>IFERROR(IF(SUMIFS(tblDaily[Deaths],tblDaily[EntryDate],DATE(2026,11,16),tblDaily[WardCode],"NICU")=0,"",SUMIFS(tblDaily[Deaths],tblDaily[EntryDate],DATE(2026,11,16),tblDaily[WardCode],"NICU")),"")</f>
        <v/>
      </c>
      <c r="E412" s="12">
        <f>IFERROR(IF(SUMIFS(tblDaily[DeathsUnder24Hrs],tblDaily[EntryDate],DATE(2026,11,16),tblDaily[WardCode],"NICU")=0,"",SUMIFS(tblDaily[DeathsUnder24Hrs],tblDaily[EntryDate],DATE(2026,11,16),tblDaily[WardCode],"NICU")),"")</f>
        <v/>
      </c>
      <c r="F412" s="12">
        <f>IFERROR(IF(SUMIFS(tblDaily[TransfersIn],tblDaily[EntryDate],DATE(2026,11,16),tblDaily[WardCode],"NICU")=0,"",SUMIFS(tblDaily[TransfersIn],tblDaily[EntryDate],DATE(2026,11,16),tblDaily[WardCode],"NICU")),"")</f>
        <v/>
      </c>
      <c r="G412" s="12">
        <f>IFERROR(IF(SUMIFS(tblDaily[TransfersOut],tblDaily[EntryDate],DATE(2026,11,16),tblDaily[WardCode],"NICU")=0,"",SUMIFS(tblDaily[TransfersOut],tblDaily[EntryDate],DATE(2026,11,16),tblDaily[WardCode],"NICU")),"")</f>
        <v/>
      </c>
      <c r="H412" s="12">
        <f>IFERROR(IF(SUMIFS(tblDaily[Remaining],tblDaily[EntryDate],DATE(2026,11,16),tblDaily[WardCode],"NICU")=0,"",SUMIFS(tblDaily[Remaining],tblDaily[EntryDate],DATE(2026,11,16),tblDaily[WardCode],"NICU")),"")</f>
        <v/>
      </c>
    </row>
    <row r="413">
      <c r="A413" s="12" t="n">
        <v>17</v>
      </c>
      <c r="B413" s="12">
        <f>IFERROR(IF(SUMIFS(tblDaily[Admissions],tblDaily[EntryDate],DATE(2026,11,17),tblDaily[WardCode],"NICU")=0,"",SUMIFS(tblDaily[Admissions],tblDaily[EntryDate],DATE(2026,11,17),tblDaily[WardCode],"NICU")),"")</f>
        <v/>
      </c>
      <c r="C413" s="12">
        <f>IFERROR(IF(SUMIFS(tblDaily[Discharges],tblDaily[EntryDate],DATE(2026,11,17),tblDaily[WardCode],"NICU")=0,"",SUMIFS(tblDaily[Discharges],tblDaily[EntryDate],DATE(2026,11,17),tblDaily[WardCode],"NICU")),"")</f>
        <v/>
      </c>
      <c r="D413" s="12">
        <f>IFERROR(IF(SUMIFS(tblDaily[Deaths],tblDaily[EntryDate],DATE(2026,11,17),tblDaily[WardCode],"NICU")=0,"",SUMIFS(tblDaily[Deaths],tblDaily[EntryDate],DATE(2026,11,17),tblDaily[WardCode],"NICU")),"")</f>
        <v/>
      </c>
      <c r="E413" s="12">
        <f>IFERROR(IF(SUMIFS(tblDaily[DeathsUnder24Hrs],tblDaily[EntryDate],DATE(2026,11,17),tblDaily[WardCode],"NICU")=0,"",SUMIFS(tblDaily[DeathsUnder24Hrs],tblDaily[EntryDate],DATE(2026,11,17),tblDaily[WardCode],"NICU")),"")</f>
        <v/>
      </c>
      <c r="F413" s="12">
        <f>IFERROR(IF(SUMIFS(tblDaily[TransfersIn],tblDaily[EntryDate],DATE(2026,11,17),tblDaily[WardCode],"NICU")=0,"",SUMIFS(tblDaily[TransfersIn],tblDaily[EntryDate],DATE(2026,11,17),tblDaily[WardCode],"NICU")),"")</f>
        <v/>
      </c>
      <c r="G413" s="12">
        <f>IFERROR(IF(SUMIFS(tblDaily[TransfersOut],tblDaily[EntryDate],DATE(2026,11,17),tblDaily[WardCode],"NICU")=0,"",SUMIFS(tblDaily[TransfersOut],tblDaily[EntryDate],DATE(2026,11,17),tblDaily[WardCode],"NICU")),"")</f>
        <v/>
      </c>
      <c r="H413" s="12">
        <f>IFERROR(IF(SUMIFS(tblDaily[Remaining],tblDaily[EntryDate],DATE(2026,11,17),tblDaily[WardCode],"NICU")=0,"",SUMIFS(tblDaily[Remaining],tblDaily[EntryDate],DATE(2026,11,17),tblDaily[WardCode],"NICU")),"")</f>
        <v/>
      </c>
    </row>
    <row r="414">
      <c r="A414" s="12" t="n">
        <v>18</v>
      </c>
      <c r="B414" s="12">
        <f>IFERROR(IF(SUMIFS(tblDaily[Admissions],tblDaily[EntryDate],DATE(2026,11,18),tblDaily[WardCode],"NICU")=0,"",SUMIFS(tblDaily[Admissions],tblDaily[EntryDate],DATE(2026,11,18),tblDaily[WardCode],"NICU")),"")</f>
        <v/>
      </c>
      <c r="C414" s="12">
        <f>IFERROR(IF(SUMIFS(tblDaily[Discharges],tblDaily[EntryDate],DATE(2026,11,18),tblDaily[WardCode],"NICU")=0,"",SUMIFS(tblDaily[Discharges],tblDaily[EntryDate],DATE(2026,11,18),tblDaily[WardCode],"NICU")),"")</f>
        <v/>
      </c>
      <c r="D414" s="12">
        <f>IFERROR(IF(SUMIFS(tblDaily[Deaths],tblDaily[EntryDate],DATE(2026,11,18),tblDaily[WardCode],"NICU")=0,"",SUMIFS(tblDaily[Deaths],tblDaily[EntryDate],DATE(2026,11,18),tblDaily[WardCode],"NICU")),"")</f>
        <v/>
      </c>
      <c r="E414" s="12">
        <f>IFERROR(IF(SUMIFS(tblDaily[DeathsUnder24Hrs],tblDaily[EntryDate],DATE(2026,11,18),tblDaily[WardCode],"NICU")=0,"",SUMIFS(tblDaily[DeathsUnder24Hrs],tblDaily[EntryDate],DATE(2026,11,18),tblDaily[WardCode],"NICU")),"")</f>
        <v/>
      </c>
      <c r="F414" s="12">
        <f>IFERROR(IF(SUMIFS(tblDaily[TransfersIn],tblDaily[EntryDate],DATE(2026,11,18),tblDaily[WardCode],"NICU")=0,"",SUMIFS(tblDaily[TransfersIn],tblDaily[EntryDate],DATE(2026,11,18),tblDaily[WardCode],"NICU")),"")</f>
        <v/>
      </c>
      <c r="G414" s="12">
        <f>IFERROR(IF(SUMIFS(tblDaily[TransfersOut],tblDaily[EntryDate],DATE(2026,11,18),tblDaily[WardCode],"NICU")=0,"",SUMIFS(tblDaily[TransfersOut],tblDaily[EntryDate],DATE(2026,11,18),tblDaily[WardCode],"NICU")),"")</f>
        <v/>
      </c>
      <c r="H414" s="12">
        <f>IFERROR(IF(SUMIFS(tblDaily[Remaining],tblDaily[EntryDate],DATE(2026,11,18),tblDaily[WardCode],"NICU")=0,"",SUMIFS(tblDaily[Remaining],tblDaily[EntryDate],DATE(2026,11,18),tblDaily[WardCode],"NICU")),"")</f>
        <v/>
      </c>
    </row>
    <row r="415">
      <c r="A415" s="12" t="n">
        <v>19</v>
      </c>
      <c r="B415" s="12">
        <f>IFERROR(IF(SUMIFS(tblDaily[Admissions],tblDaily[EntryDate],DATE(2026,11,19),tblDaily[WardCode],"NICU")=0,"",SUMIFS(tblDaily[Admissions],tblDaily[EntryDate],DATE(2026,11,19),tblDaily[WardCode],"NICU")),"")</f>
        <v/>
      </c>
      <c r="C415" s="12">
        <f>IFERROR(IF(SUMIFS(tblDaily[Discharges],tblDaily[EntryDate],DATE(2026,11,19),tblDaily[WardCode],"NICU")=0,"",SUMIFS(tblDaily[Discharges],tblDaily[EntryDate],DATE(2026,11,19),tblDaily[WardCode],"NICU")),"")</f>
        <v/>
      </c>
      <c r="D415" s="12">
        <f>IFERROR(IF(SUMIFS(tblDaily[Deaths],tblDaily[EntryDate],DATE(2026,11,19),tblDaily[WardCode],"NICU")=0,"",SUMIFS(tblDaily[Deaths],tblDaily[EntryDate],DATE(2026,11,19),tblDaily[WardCode],"NICU")),"")</f>
        <v/>
      </c>
      <c r="E415" s="12">
        <f>IFERROR(IF(SUMIFS(tblDaily[DeathsUnder24Hrs],tblDaily[EntryDate],DATE(2026,11,19),tblDaily[WardCode],"NICU")=0,"",SUMIFS(tblDaily[DeathsUnder24Hrs],tblDaily[EntryDate],DATE(2026,11,19),tblDaily[WardCode],"NICU")),"")</f>
        <v/>
      </c>
      <c r="F415" s="12">
        <f>IFERROR(IF(SUMIFS(tblDaily[TransfersIn],tblDaily[EntryDate],DATE(2026,11,19),tblDaily[WardCode],"NICU")=0,"",SUMIFS(tblDaily[TransfersIn],tblDaily[EntryDate],DATE(2026,11,19),tblDaily[WardCode],"NICU")),"")</f>
        <v/>
      </c>
      <c r="G415" s="12">
        <f>IFERROR(IF(SUMIFS(tblDaily[TransfersOut],tblDaily[EntryDate],DATE(2026,11,19),tblDaily[WardCode],"NICU")=0,"",SUMIFS(tblDaily[TransfersOut],tblDaily[EntryDate],DATE(2026,11,19),tblDaily[WardCode],"NICU")),"")</f>
        <v/>
      </c>
      <c r="H415" s="12">
        <f>IFERROR(IF(SUMIFS(tblDaily[Remaining],tblDaily[EntryDate],DATE(2026,11,19),tblDaily[WardCode],"NICU")=0,"",SUMIFS(tblDaily[Remaining],tblDaily[EntryDate],DATE(2026,11,19),tblDaily[WardCode],"NICU")),"")</f>
        <v/>
      </c>
    </row>
    <row r="416">
      <c r="A416" s="12" t="n">
        <v>20</v>
      </c>
      <c r="B416" s="12">
        <f>IFERROR(IF(SUMIFS(tblDaily[Admissions],tblDaily[EntryDate],DATE(2026,11,20),tblDaily[WardCode],"NICU")=0,"",SUMIFS(tblDaily[Admissions],tblDaily[EntryDate],DATE(2026,11,20),tblDaily[WardCode],"NICU")),"")</f>
        <v/>
      </c>
      <c r="C416" s="12">
        <f>IFERROR(IF(SUMIFS(tblDaily[Discharges],tblDaily[EntryDate],DATE(2026,11,20),tblDaily[WardCode],"NICU")=0,"",SUMIFS(tblDaily[Discharges],tblDaily[EntryDate],DATE(2026,11,20),tblDaily[WardCode],"NICU")),"")</f>
        <v/>
      </c>
      <c r="D416" s="12">
        <f>IFERROR(IF(SUMIFS(tblDaily[Deaths],tblDaily[EntryDate],DATE(2026,11,20),tblDaily[WardCode],"NICU")=0,"",SUMIFS(tblDaily[Deaths],tblDaily[EntryDate],DATE(2026,11,20),tblDaily[WardCode],"NICU")),"")</f>
        <v/>
      </c>
      <c r="E416" s="12">
        <f>IFERROR(IF(SUMIFS(tblDaily[DeathsUnder24Hrs],tblDaily[EntryDate],DATE(2026,11,20),tblDaily[WardCode],"NICU")=0,"",SUMIFS(tblDaily[DeathsUnder24Hrs],tblDaily[EntryDate],DATE(2026,11,20),tblDaily[WardCode],"NICU")),"")</f>
        <v/>
      </c>
      <c r="F416" s="12">
        <f>IFERROR(IF(SUMIFS(tblDaily[TransfersIn],tblDaily[EntryDate],DATE(2026,11,20),tblDaily[WardCode],"NICU")=0,"",SUMIFS(tblDaily[TransfersIn],tblDaily[EntryDate],DATE(2026,11,20),tblDaily[WardCode],"NICU")),"")</f>
        <v/>
      </c>
      <c r="G416" s="12">
        <f>IFERROR(IF(SUMIFS(tblDaily[TransfersOut],tblDaily[EntryDate],DATE(2026,11,20),tblDaily[WardCode],"NICU")=0,"",SUMIFS(tblDaily[TransfersOut],tblDaily[EntryDate],DATE(2026,11,20),tblDaily[WardCode],"NICU")),"")</f>
        <v/>
      </c>
      <c r="H416" s="12">
        <f>IFERROR(IF(SUMIFS(tblDaily[Remaining],tblDaily[EntryDate],DATE(2026,11,20),tblDaily[WardCode],"NICU")=0,"",SUMIFS(tblDaily[Remaining],tblDaily[EntryDate],DATE(2026,11,20),tblDaily[WardCode],"NICU")),"")</f>
        <v/>
      </c>
    </row>
    <row r="417">
      <c r="A417" s="12" t="n">
        <v>21</v>
      </c>
      <c r="B417" s="12">
        <f>IFERROR(IF(SUMIFS(tblDaily[Admissions],tblDaily[EntryDate],DATE(2026,11,21),tblDaily[WardCode],"NICU")=0,"",SUMIFS(tblDaily[Admissions],tblDaily[EntryDate],DATE(2026,11,21),tblDaily[WardCode],"NICU")),"")</f>
        <v/>
      </c>
      <c r="C417" s="12">
        <f>IFERROR(IF(SUMIFS(tblDaily[Discharges],tblDaily[EntryDate],DATE(2026,11,21),tblDaily[WardCode],"NICU")=0,"",SUMIFS(tblDaily[Discharges],tblDaily[EntryDate],DATE(2026,11,21),tblDaily[WardCode],"NICU")),"")</f>
        <v/>
      </c>
      <c r="D417" s="12">
        <f>IFERROR(IF(SUMIFS(tblDaily[Deaths],tblDaily[EntryDate],DATE(2026,11,21),tblDaily[WardCode],"NICU")=0,"",SUMIFS(tblDaily[Deaths],tblDaily[EntryDate],DATE(2026,11,21),tblDaily[WardCode],"NICU")),"")</f>
        <v/>
      </c>
      <c r="E417" s="12">
        <f>IFERROR(IF(SUMIFS(tblDaily[DeathsUnder24Hrs],tblDaily[EntryDate],DATE(2026,11,21),tblDaily[WardCode],"NICU")=0,"",SUMIFS(tblDaily[DeathsUnder24Hrs],tblDaily[EntryDate],DATE(2026,11,21),tblDaily[WardCode],"NICU")),"")</f>
        <v/>
      </c>
      <c r="F417" s="12">
        <f>IFERROR(IF(SUMIFS(tblDaily[TransfersIn],tblDaily[EntryDate],DATE(2026,11,21),tblDaily[WardCode],"NICU")=0,"",SUMIFS(tblDaily[TransfersIn],tblDaily[EntryDate],DATE(2026,11,21),tblDaily[WardCode],"NICU")),"")</f>
        <v/>
      </c>
      <c r="G417" s="12">
        <f>IFERROR(IF(SUMIFS(tblDaily[TransfersOut],tblDaily[EntryDate],DATE(2026,11,21),tblDaily[WardCode],"NICU")=0,"",SUMIFS(tblDaily[TransfersOut],tblDaily[EntryDate],DATE(2026,11,21),tblDaily[WardCode],"NICU")),"")</f>
        <v/>
      </c>
      <c r="H417" s="12">
        <f>IFERROR(IF(SUMIFS(tblDaily[Remaining],tblDaily[EntryDate],DATE(2026,11,21),tblDaily[WardCode],"NICU")=0,"",SUMIFS(tblDaily[Remaining],tblDaily[EntryDate],DATE(2026,11,21),tblDaily[WardCode],"NICU")),"")</f>
        <v/>
      </c>
    </row>
    <row r="418">
      <c r="A418" s="12" t="n">
        <v>22</v>
      </c>
      <c r="B418" s="12">
        <f>IFERROR(IF(SUMIFS(tblDaily[Admissions],tblDaily[EntryDate],DATE(2026,11,22),tblDaily[WardCode],"NICU")=0,"",SUMIFS(tblDaily[Admissions],tblDaily[EntryDate],DATE(2026,11,22),tblDaily[WardCode],"NICU")),"")</f>
        <v/>
      </c>
      <c r="C418" s="12">
        <f>IFERROR(IF(SUMIFS(tblDaily[Discharges],tblDaily[EntryDate],DATE(2026,11,22),tblDaily[WardCode],"NICU")=0,"",SUMIFS(tblDaily[Discharges],tblDaily[EntryDate],DATE(2026,11,22),tblDaily[WardCode],"NICU")),"")</f>
        <v/>
      </c>
      <c r="D418" s="12">
        <f>IFERROR(IF(SUMIFS(tblDaily[Deaths],tblDaily[EntryDate],DATE(2026,11,22),tblDaily[WardCode],"NICU")=0,"",SUMIFS(tblDaily[Deaths],tblDaily[EntryDate],DATE(2026,11,22),tblDaily[WardCode],"NICU")),"")</f>
        <v/>
      </c>
      <c r="E418" s="12">
        <f>IFERROR(IF(SUMIFS(tblDaily[DeathsUnder24Hrs],tblDaily[EntryDate],DATE(2026,11,22),tblDaily[WardCode],"NICU")=0,"",SUMIFS(tblDaily[DeathsUnder24Hrs],tblDaily[EntryDate],DATE(2026,11,22),tblDaily[WardCode],"NICU")),"")</f>
        <v/>
      </c>
      <c r="F418" s="12">
        <f>IFERROR(IF(SUMIFS(tblDaily[TransfersIn],tblDaily[EntryDate],DATE(2026,11,22),tblDaily[WardCode],"NICU")=0,"",SUMIFS(tblDaily[TransfersIn],tblDaily[EntryDate],DATE(2026,11,22),tblDaily[WardCode],"NICU")),"")</f>
        <v/>
      </c>
      <c r="G418" s="12">
        <f>IFERROR(IF(SUMIFS(tblDaily[TransfersOut],tblDaily[EntryDate],DATE(2026,11,22),tblDaily[WardCode],"NICU")=0,"",SUMIFS(tblDaily[TransfersOut],tblDaily[EntryDate],DATE(2026,11,22),tblDaily[WardCode],"NICU")),"")</f>
        <v/>
      </c>
      <c r="H418" s="12">
        <f>IFERROR(IF(SUMIFS(tblDaily[Remaining],tblDaily[EntryDate],DATE(2026,11,22),tblDaily[WardCode],"NICU")=0,"",SUMIFS(tblDaily[Remaining],tblDaily[EntryDate],DATE(2026,11,22),tblDaily[WardCode],"NICU")),"")</f>
        <v/>
      </c>
    </row>
    <row r="419">
      <c r="A419" s="12" t="n">
        <v>23</v>
      </c>
      <c r="B419" s="12">
        <f>IFERROR(IF(SUMIFS(tblDaily[Admissions],tblDaily[EntryDate],DATE(2026,11,23),tblDaily[WardCode],"NICU")=0,"",SUMIFS(tblDaily[Admissions],tblDaily[EntryDate],DATE(2026,11,23),tblDaily[WardCode],"NICU")),"")</f>
        <v/>
      </c>
      <c r="C419" s="12">
        <f>IFERROR(IF(SUMIFS(tblDaily[Discharges],tblDaily[EntryDate],DATE(2026,11,23),tblDaily[WardCode],"NICU")=0,"",SUMIFS(tblDaily[Discharges],tblDaily[EntryDate],DATE(2026,11,23),tblDaily[WardCode],"NICU")),"")</f>
        <v/>
      </c>
      <c r="D419" s="12">
        <f>IFERROR(IF(SUMIFS(tblDaily[Deaths],tblDaily[EntryDate],DATE(2026,11,23),tblDaily[WardCode],"NICU")=0,"",SUMIFS(tblDaily[Deaths],tblDaily[EntryDate],DATE(2026,11,23),tblDaily[WardCode],"NICU")),"")</f>
        <v/>
      </c>
      <c r="E419" s="12">
        <f>IFERROR(IF(SUMIFS(tblDaily[DeathsUnder24Hrs],tblDaily[EntryDate],DATE(2026,11,23),tblDaily[WardCode],"NICU")=0,"",SUMIFS(tblDaily[DeathsUnder24Hrs],tblDaily[EntryDate],DATE(2026,11,23),tblDaily[WardCode],"NICU")),"")</f>
        <v/>
      </c>
      <c r="F419" s="12">
        <f>IFERROR(IF(SUMIFS(tblDaily[TransfersIn],tblDaily[EntryDate],DATE(2026,11,23),tblDaily[WardCode],"NICU")=0,"",SUMIFS(tblDaily[TransfersIn],tblDaily[EntryDate],DATE(2026,11,23),tblDaily[WardCode],"NICU")),"")</f>
        <v/>
      </c>
      <c r="G419" s="12">
        <f>IFERROR(IF(SUMIFS(tblDaily[TransfersOut],tblDaily[EntryDate],DATE(2026,11,23),tblDaily[WardCode],"NICU")=0,"",SUMIFS(tblDaily[TransfersOut],tblDaily[EntryDate],DATE(2026,11,23),tblDaily[WardCode],"NICU")),"")</f>
        <v/>
      </c>
      <c r="H419" s="12">
        <f>IFERROR(IF(SUMIFS(tblDaily[Remaining],tblDaily[EntryDate],DATE(2026,11,23),tblDaily[WardCode],"NICU")=0,"",SUMIFS(tblDaily[Remaining],tblDaily[EntryDate],DATE(2026,11,23),tblDaily[WardCode],"NICU")),"")</f>
        <v/>
      </c>
    </row>
    <row r="420">
      <c r="A420" s="12" t="n">
        <v>24</v>
      </c>
      <c r="B420" s="12">
        <f>IFERROR(IF(SUMIFS(tblDaily[Admissions],tblDaily[EntryDate],DATE(2026,11,24),tblDaily[WardCode],"NICU")=0,"",SUMIFS(tblDaily[Admissions],tblDaily[EntryDate],DATE(2026,11,24),tblDaily[WardCode],"NICU")),"")</f>
        <v/>
      </c>
      <c r="C420" s="12">
        <f>IFERROR(IF(SUMIFS(tblDaily[Discharges],tblDaily[EntryDate],DATE(2026,11,24),tblDaily[WardCode],"NICU")=0,"",SUMIFS(tblDaily[Discharges],tblDaily[EntryDate],DATE(2026,11,24),tblDaily[WardCode],"NICU")),"")</f>
        <v/>
      </c>
      <c r="D420" s="12">
        <f>IFERROR(IF(SUMIFS(tblDaily[Deaths],tblDaily[EntryDate],DATE(2026,11,24),tblDaily[WardCode],"NICU")=0,"",SUMIFS(tblDaily[Deaths],tblDaily[EntryDate],DATE(2026,11,24),tblDaily[WardCode],"NICU")),"")</f>
        <v/>
      </c>
      <c r="E420" s="12">
        <f>IFERROR(IF(SUMIFS(tblDaily[DeathsUnder24Hrs],tblDaily[EntryDate],DATE(2026,11,24),tblDaily[WardCode],"NICU")=0,"",SUMIFS(tblDaily[DeathsUnder24Hrs],tblDaily[EntryDate],DATE(2026,11,24),tblDaily[WardCode],"NICU")),"")</f>
        <v/>
      </c>
      <c r="F420" s="12">
        <f>IFERROR(IF(SUMIFS(tblDaily[TransfersIn],tblDaily[EntryDate],DATE(2026,11,24),tblDaily[WardCode],"NICU")=0,"",SUMIFS(tblDaily[TransfersIn],tblDaily[EntryDate],DATE(2026,11,24),tblDaily[WardCode],"NICU")),"")</f>
        <v/>
      </c>
      <c r="G420" s="12">
        <f>IFERROR(IF(SUMIFS(tblDaily[TransfersOut],tblDaily[EntryDate],DATE(2026,11,24),tblDaily[WardCode],"NICU")=0,"",SUMIFS(tblDaily[TransfersOut],tblDaily[EntryDate],DATE(2026,11,24),tblDaily[WardCode],"NICU")),"")</f>
        <v/>
      </c>
      <c r="H420" s="12">
        <f>IFERROR(IF(SUMIFS(tblDaily[Remaining],tblDaily[EntryDate],DATE(2026,11,24),tblDaily[WardCode],"NICU")=0,"",SUMIFS(tblDaily[Remaining],tblDaily[EntryDate],DATE(2026,11,24),tblDaily[WardCode],"NICU")),"")</f>
        <v/>
      </c>
    </row>
    <row r="421">
      <c r="A421" s="12" t="n">
        <v>25</v>
      </c>
      <c r="B421" s="12">
        <f>IFERROR(IF(SUMIFS(tblDaily[Admissions],tblDaily[EntryDate],DATE(2026,11,25),tblDaily[WardCode],"NICU")=0,"",SUMIFS(tblDaily[Admissions],tblDaily[EntryDate],DATE(2026,11,25),tblDaily[WardCode],"NICU")),"")</f>
        <v/>
      </c>
      <c r="C421" s="12">
        <f>IFERROR(IF(SUMIFS(tblDaily[Discharges],tblDaily[EntryDate],DATE(2026,11,25),tblDaily[WardCode],"NICU")=0,"",SUMIFS(tblDaily[Discharges],tblDaily[EntryDate],DATE(2026,11,25),tblDaily[WardCode],"NICU")),"")</f>
        <v/>
      </c>
      <c r="D421" s="12">
        <f>IFERROR(IF(SUMIFS(tblDaily[Deaths],tblDaily[EntryDate],DATE(2026,11,25),tblDaily[WardCode],"NICU")=0,"",SUMIFS(tblDaily[Deaths],tblDaily[EntryDate],DATE(2026,11,25),tblDaily[WardCode],"NICU")),"")</f>
        <v/>
      </c>
      <c r="E421" s="12">
        <f>IFERROR(IF(SUMIFS(tblDaily[DeathsUnder24Hrs],tblDaily[EntryDate],DATE(2026,11,25),tblDaily[WardCode],"NICU")=0,"",SUMIFS(tblDaily[DeathsUnder24Hrs],tblDaily[EntryDate],DATE(2026,11,25),tblDaily[WardCode],"NICU")),"")</f>
        <v/>
      </c>
      <c r="F421" s="12">
        <f>IFERROR(IF(SUMIFS(tblDaily[TransfersIn],tblDaily[EntryDate],DATE(2026,11,25),tblDaily[WardCode],"NICU")=0,"",SUMIFS(tblDaily[TransfersIn],tblDaily[EntryDate],DATE(2026,11,25),tblDaily[WardCode],"NICU")),"")</f>
        <v/>
      </c>
      <c r="G421" s="12">
        <f>IFERROR(IF(SUMIFS(tblDaily[TransfersOut],tblDaily[EntryDate],DATE(2026,11,25),tblDaily[WardCode],"NICU")=0,"",SUMIFS(tblDaily[TransfersOut],tblDaily[EntryDate],DATE(2026,11,25),tblDaily[WardCode],"NICU")),"")</f>
        <v/>
      </c>
      <c r="H421" s="12">
        <f>IFERROR(IF(SUMIFS(tblDaily[Remaining],tblDaily[EntryDate],DATE(2026,11,25),tblDaily[WardCode],"NICU")=0,"",SUMIFS(tblDaily[Remaining],tblDaily[EntryDate],DATE(2026,11,25),tblDaily[WardCode],"NICU")),"")</f>
        <v/>
      </c>
    </row>
    <row r="422">
      <c r="A422" s="12" t="n">
        <v>26</v>
      </c>
      <c r="B422" s="12">
        <f>IFERROR(IF(SUMIFS(tblDaily[Admissions],tblDaily[EntryDate],DATE(2026,11,26),tblDaily[WardCode],"NICU")=0,"",SUMIFS(tblDaily[Admissions],tblDaily[EntryDate],DATE(2026,11,26),tblDaily[WardCode],"NICU")),"")</f>
        <v/>
      </c>
      <c r="C422" s="12">
        <f>IFERROR(IF(SUMIFS(tblDaily[Discharges],tblDaily[EntryDate],DATE(2026,11,26),tblDaily[WardCode],"NICU")=0,"",SUMIFS(tblDaily[Discharges],tblDaily[EntryDate],DATE(2026,11,26),tblDaily[WardCode],"NICU")),"")</f>
        <v/>
      </c>
      <c r="D422" s="12">
        <f>IFERROR(IF(SUMIFS(tblDaily[Deaths],tblDaily[EntryDate],DATE(2026,11,26),tblDaily[WardCode],"NICU")=0,"",SUMIFS(tblDaily[Deaths],tblDaily[EntryDate],DATE(2026,11,26),tblDaily[WardCode],"NICU")),"")</f>
        <v/>
      </c>
      <c r="E422" s="12">
        <f>IFERROR(IF(SUMIFS(tblDaily[DeathsUnder24Hrs],tblDaily[EntryDate],DATE(2026,11,26),tblDaily[WardCode],"NICU")=0,"",SUMIFS(tblDaily[DeathsUnder24Hrs],tblDaily[EntryDate],DATE(2026,11,26),tblDaily[WardCode],"NICU")),"")</f>
        <v/>
      </c>
      <c r="F422" s="12">
        <f>IFERROR(IF(SUMIFS(tblDaily[TransfersIn],tblDaily[EntryDate],DATE(2026,11,26),tblDaily[WardCode],"NICU")=0,"",SUMIFS(tblDaily[TransfersIn],tblDaily[EntryDate],DATE(2026,11,26),tblDaily[WardCode],"NICU")),"")</f>
        <v/>
      </c>
      <c r="G422" s="12">
        <f>IFERROR(IF(SUMIFS(tblDaily[TransfersOut],tblDaily[EntryDate],DATE(2026,11,26),tblDaily[WardCode],"NICU")=0,"",SUMIFS(tblDaily[TransfersOut],tblDaily[EntryDate],DATE(2026,11,26),tblDaily[WardCode],"NICU")),"")</f>
        <v/>
      </c>
      <c r="H422" s="12">
        <f>IFERROR(IF(SUMIFS(tblDaily[Remaining],tblDaily[EntryDate],DATE(2026,11,26),tblDaily[WardCode],"NICU")=0,"",SUMIFS(tblDaily[Remaining],tblDaily[EntryDate],DATE(2026,11,26),tblDaily[WardCode],"NICU")),"")</f>
        <v/>
      </c>
    </row>
    <row r="423">
      <c r="A423" s="12" t="n">
        <v>27</v>
      </c>
      <c r="B423" s="12">
        <f>IFERROR(IF(SUMIFS(tblDaily[Admissions],tblDaily[EntryDate],DATE(2026,11,27),tblDaily[WardCode],"NICU")=0,"",SUMIFS(tblDaily[Admissions],tblDaily[EntryDate],DATE(2026,11,27),tblDaily[WardCode],"NICU")),"")</f>
        <v/>
      </c>
      <c r="C423" s="12">
        <f>IFERROR(IF(SUMIFS(tblDaily[Discharges],tblDaily[EntryDate],DATE(2026,11,27),tblDaily[WardCode],"NICU")=0,"",SUMIFS(tblDaily[Discharges],tblDaily[EntryDate],DATE(2026,11,27),tblDaily[WardCode],"NICU")),"")</f>
        <v/>
      </c>
      <c r="D423" s="12">
        <f>IFERROR(IF(SUMIFS(tblDaily[Deaths],tblDaily[EntryDate],DATE(2026,11,27),tblDaily[WardCode],"NICU")=0,"",SUMIFS(tblDaily[Deaths],tblDaily[EntryDate],DATE(2026,11,27),tblDaily[WardCode],"NICU")),"")</f>
        <v/>
      </c>
      <c r="E423" s="12">
        <f>IFERROR(IF(SUMIFS(tblDaily[DeathsUnder24Hrs],tblDaily[EntryDate],DATE(2026,11,27),tblDaily[WardCode],"NICU")=0,"",SUMIFS(tblDaily[DeathsUnder24Hrs],tblDaily[EntryDate],DATE(2026,11,27),tblDaily[WardCode],"NICU")),"")</f>
        <v/>
      </c>
      <c r="F423" s="12">
        <f>IFERROR(IF(SUMIFS(tblDaily[TransfersIn],tblDaily[EntryDate],DATE(2026,11,27),tblDaily[WardCode],"NICU")=0,"",SUMIFS(tblDaily[TransfersIn],tblDaily[EntryDate],DATE(2026,11,27),tblDaily[WardCode],"NICU")),"")</f>
        <v/>
      </c>
      <c r="G423" s="12">
        <f>IFERROR(IF(SUMIFS(tblDaily[TransfersOut],tblDaily[EntryDate],DATE(2026,11,27),tblDaily[WardCode],"NICU")=0,"",SUMIFS(tblDaily[TransfersOut],tblDaily[EntryDate],DATE(2026,11,27),tblDaily[WardCode],"NICU")),"")</f>
        <v/>
      </c>
      <c r="H423" s="12">
        <f>IFERROR(IF(SUMIFS(tblDaily[Remaining],tblDaily[EntryDate],DATE(2026,11,27),tblDaily[WardCode],"NICU")=0,"",SUMIFS(tblDaily[Remaining],tblDaily[EntryDate],DATE(2026,11,27),tblDaily[WardCode],"NICU")),"")</f>
        <v/>
      </c>
    </row>
    <row r="424">
      <c r="A424" s="12" t="n">
        <v>28</v>
      </c>
      <c r="B424" s="12">
        <f>IFERROR(IF(SUMIFS(tblDaily[Admissions],tblDaily[EntryDate],DATE(2026,11,28),tblDaily[WardCode],"NICU")=0,"",SUMIFS(tblDaily[Admissions],tblDaily[EntryDate],DATE(2026,11,28),tblDaily[WardCode],"NICU")),"")</f>
        <v/>
      </c>
      <c r="C424" s="12">
        <f>IFERROR(IF(SUMIFS(tblDaily[Discharges],tblDaily[EntryDate],DATE(2026,11,28),tblDaily[WardCode],"NICU")=0,"",SUMIFS(tblDaily[Discharges],tblDaily[EntryDate],DATE(2026,11,28),tblDaily[WardCode],"NICU")),"")</f>
        <v/>
      </c>
      <c r="D424" s="12">
        <f>IFERROR(IF(SUMIFS(tblDaily[Deaths],tblDaily[EntryDate],DATE(2026,11,28),tblDaily[WardCode],"NICU")=0,"",SUMIFS(tblDaily[Deaths],tblDaily[EntryDate],DATE(2026,11,28),tblDaily[WardCode],"NICU")),"")</f>
        <v/>
      </c>
      <c r="E424" s="12">
        <f>IFERROR(IF(SUMIFS(tblDaily[DeathsUnder24Hrs],tblDaily[EntryDate],DATE(2026,11,28),tblDaily[WardCode],"NICU")=0,"",SUMIFS(tblDaily[DeathsUnder24Hrs],tblDaily[EntryDate],DATE(2026,11,28),tblDaily[WardCode],"NICU")),"")</f>
        <v/>
      </c>
      <c r="F424" s="12">
        <f>IFERROR(IF(SUMIFS(tblDaily[TransfersIn],tblDaily[EntryDate],DATE(2026,11,28),tblDaily[WardCode],"NICU")=0,"",SUMIFS(tblDaily[TransfersIn],tblDaily[EntryDate],DATE(2026,11,28),tblDaily[WardCode],"NICU")),"")</f>
        <v/>
      </c>
      <c r="G424" s="12">
        <f>IFERROR(IF(SUMIFS(tblDaily[TransfersOut],tblDaily[EntryDate],DATE(2026,11,28),tblDaily[WardCode],"NICU")=0,"",SUMIFS(tblDaily[TransfersOut],tblDaily[EntryDate],DATE(2026,11,28),tblDaily[WardCode],"NICU")),"")</f>
        <v/>
      </c>
      <c r="H424" s="12">
        <f>IFERROR(IF(SUMIFS(tblDaily[Remaining],tblDaily[EntryDate],DATE(2026,11,28),tblDaily[WardCode],"NICU")=0,"",SUMIFS(tblDaily[Remaining],tblDaily[EntryDate],DATE(2026,11,28),tblDaily[WardCode],"NICU")),"")</f>
        <v/>
      </c>
    </row>
    <row r="425">
      <c r="A425" s="12" t="n">
        <v>29</v>
      </c>
      <c r="B425" s="12">
        <f>IFERROR(IF(SUMIFS(tblDaily[Admissions],tblDaily[EntryDate],DATE(2026,11,29),tblDaily[WardCode],"NICU")=0,"",SUMIFS(tblDaily[Admissions],tblDaily[EntryDate],DATE(2026,11,29),tblDaily[WardCode],"NICU")),"")</f>
        <v/>
      </c>
      <c r="C425" s="12">
        <f>IFERROR(IF(SUMIFS(tblDaily[Discharges],tblDaily[EntryDate],DATE(2026,11,29),tblDaily[WardCode],"NICU")=0,"",SUMIFS(tblDaily[Discharges],tblDaily[EntryDate],DATE(2026,11,29),tblDaily[WardCode],"NICU")),"")</f>
        <v/>
      </c>
      <c r="D425" s="12">
        <f>IFERROR(IF(SUMIFS(tblDaily[Deaths],tblDaily[EntryDate],DATE(2026,11,29),tblDaily[WardCode],"NICU")=0,"",SUMIFS(tblDaily[Deaths],tblDaily[EntryDate],DATE(2026,11,29),tblDaily[WardCode],"NICU")),"")</f>
        <v/>
      </c>
      <c r="E425" s="12">
        <f>IFERROR(IF(SUMIFS(tblDaily[DeathsUnder24Hrs],tblDaily[EntryDate],DATE(2026,11,29),tblDaily[WardCode],"NICU")=0,"",SUMIFS(tblDaily[DeathsUnder24Hrs],tblDaily[EntryDate],DATE(2026,11,29),tblDaily[WardCode],"NICU")),"")</f>
        <v/>
      </c>
      <c r="F425" s="12">
        <f>IFERROR(IF(SUMIFS(tblDaily[TransfersIn],tblDaily[EntryDate],DATE(2026,11,29),tblDaily[WardCode],"NICU")=0,"",SUMIFS(tblDaily[TransfersIn],tblDaily[EntryDate],DATE(2026,11,29),tblDaily[WardCode],"NICU")),"")</f>
        <v/>
      </c>
      <c r="G425" s="12">
        <f>IFERROR(IF(SUMIFS(tblDaily[TransfersOut],tblDaily[EntryDate],DATE(2026,11,29),tblDaily[WardCode],"NICU")=0,"",SUMIFS(tblDaily[TransfersOut],tblDaily[EntryDate],DATE(2026,11,29),tblDaily[WardCode],"NICU")),"")</f>
        <v/>
      </c>
      <c r="H425" s="12">
        <f>IFERROR(IF(SUMIFS(tblDaily[Remaining],tblDaily[EntryDate],DATE(2026,11,29),tblDaily[WardCode],"NICU")=0,"",SUMIFS(tblDaily[Remaining],tblDaily[EntryDate],DATE(2026,11,29),tblDaily[WardCode],"NICU")),"")</f>
        <v/>
      </c>
    </row>
    <row r="426">
      <c r="A426" s="12" t="n">
        <v>30</v>
      </c>
      <c r="B426" s="12">
        <f>IFERROR(IF(SUMIFS(tblDaily[Admissions],tblDaily[EntryDate],DATE(2026,11,30),tblDaily[WardCode],"NICU")=0,"",SUMIFS(tblDaily[Admissions],tblDaily[EntryDate],DATE(2026,11,30),tblDaily[WardCode],"NICU")),"")</f>
        <v/>
      </c>
      <c r="C426" s="12">
        <f>IFERROR(IF(SUMIFS(tblDaily[Discharges],tblDaily[EntryDate],DATE(2026,11,30),tblDaily[WardCode],"NICU")=0,"",SUMIFS(tblDaily[Discharges],tblDaily[EntryDate],DATE(2026,11,30),tblDaily[WardCode],"NICU")),"")</f>
        <v/>
      </c>
      <c r="D426" s="12">
        <f>IFERROR(IF(SUMIFS(tblDaily[Deaths],tblDaily[EntryDate],DATE(2026,11,30),tblDaily[WardCode],"NICU")=0,"",SUMIFS(tblDaily[Deaths],tblDaily[EntryDate],DATE(2026,11,30),tblDaily[WardCode],"NICU")),"")</f>
        <v/>
      </c>
      <c r="E426" s="12">
        <f>IFERROR(IF(SUMIFS(tblDaily[DeathsUnder24Hrs],tblDaily[EntryDate],DATE(2026,11,30),tblDaily[WardCode],"NICU")=0,"",SUMIFS(tblDaily[DeathsUnder24Hrs],tblDaily[EntryDate],DATE(2026,11,30),tblDaily[WardCode],"NICU")),"")</f>
        <v/>
      </c>
      <c r="F426" s="12">
        <f>IFERROR(IF(SUMIFS(tblDaily[TransfersIn],tblDaily[EntryDate],DATE(2026,11,30),tblDaily[WardCode],"NICU")=0,"",SUMIFS(tblDaily[TransfersIn],tblDaily[EntryDate],DATE(2026,11,30),tblDaily[WardCode],"NICU")),"")</f>
        <v/>
      </c>
      <c r="G426" s="12">
        <f>IFERROR(IF(SUMIFS(tblDaily[TransfersOut],tblDaily[EntryDate],DATE(2026,11,30),tblDaily[WardCode],"NICU")=0,"",SUMIFS(tblDaily[TransfersOut],tblDaily[EntryDate],DATE(2026,11,30),tblDaily[WardCode],"NICU")),"")</f>
        <v/>
      </c>
      <c r="H426" s="12">
        <f>IFERROR(IF(SUMIFS(tblDaily[Remaining],tblDaily[EntryDate],DATE(2026,11,30),tblDaily[WardCode],"NICU")=0,"",SUMIFS(tblDaily[Remaining],tblDaily[EntryDate],DATE(2026,11,30),tblDaily[WardCode],"NICU")),"")</f>
        <v/>
      </c>
    </row>
    <row r="427">
      <c r="A427" s="12" t="n">
        <v>31</v>
      </c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7" t="inlineStr">
        <is>
          <t>TOTAL</t>
        </is>
      </c>
      <c r="B428" s="17">
        <f>SUMIFS(tblDaily[Admissions],tblDaily[Month],11,tblDaily[WardCode],"NICU") - SUMIFS(tblDaily[DeathsUnder24Hrs],tblDaily[Month],11,tblDaily[WardCode],"NICU")</f>
        <v/>
      </c>
      <c r="C428" s="17">
        <f>SUMIFS(tblDaily[Discharges],tblDaily[Month],11,tblDaily[WardCode],"NICU")</f>
        <v/>
      </c>
      <c r="D428" s="17">
        <f>SUMIFS(tblDaily[Deaths],tblDaily[Month],11,tblDaily[WardCode],"NICU")</f>
        <v/>
      </c>
      <c r="E428" s="17">
        <f>SUMIFS(tblDaily[DeathsUnder24Hrs],tblDaily[Month],11,tblDaily[WardCode],"NICU")</f>
        <v/>
      </c>
      <c r="F428" s="17">
        <f>SUMIFS(tblDaily[TransfersIn],tblDaily[Month],11,tblDaily[WardCode],"NICU")</f>
        <v/>
      </c>
      <c r="G428" s="17">
        <f>SUMIFS(tblDaily[TransfersOut],tblDaily[Month],11,tblDaily[WardCode],"NICU")</f>
        <v/>
      </c>
      <c r="H428" s="17">
        <f>SUMIFS(tblDaily[Remaining],tblDaily[Month],11,tblDaily[WardCode],"NICU")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NEONATAL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4">
        <f>IFERROR(SUMIFS(tblDaily[Remaining],tblDaily[EntryDate],DATE(2026,11,30),tblDaily[WardCode],"NICU"),0)</f>
        <v/>
      </c>
    </row>
    <row r="434">
      <c r="A434" s="4" t="inlineStr">
        <is>
          <t>Bed complement</t>
        </is>
      </c>
      <c r="H434" s="15">
        <f>IFERROR(INDEX(tblWardConfig[BedComplement],MATCH("NICU",tblWardConfig[WardCode],0)),0)</f>
        <v/>
      </c>
    </row>
    <row r="435">
      <c r="A435" s="16" t="inlineStr">
        <is>
          <t>Day of
the
Month</t>
        </is>
      </c>
      <c r="B435" s="16" t="inlineStr">
        <is>
          <t>Admissions</t>
        </is>
      </c>
      <c r="C435" s="16" t="inlineStr">
        <is>
          <t>Discharges</t>
        </is>
      </c>
      <c r="D435" s="16" t="inlineStr">
        <is>
          <t>Deaths</t>
        </is>
      </c>
      <c r="E435" s="16" t="inlineStr">
        <is>
          <t>Deaths
&lt;24Hrs</t>
        </is>
      </c>
      <c r="F435" s="16" t="inlineStr">
        <is>
          <t>Transfers-
In</t>
        </is>
      </c>
      <c r="G435" s="16" t="inlineStr">
        <is>
          <t>Transfers-
Out</t>
        </is>
      </c>
      <c r="H435" s="16" t="inlineStr">
        <is>
          <t>No. of Patients
Remaining In
Ward</t>
        </is>
      </c>
    </row>
    <row r="436">
      <c r="A436" s="12" t="n">
        <v>1</v>
      </c>
      <c r="B436" s="12">
        <f>IFERROR(IF(SUMIFS(tblDaily[Admissions],tblDaily[EntryDate],DATE(2026,12,1),tblDaily[WardCode],"NICU")=0,"",SUMIFS(tblDaily[Admissions],tblDaily[EntryDate],DATE(2026,12,1),tblDaily[WardCode],"NICU")),"")</f>
        <v/>
      </c>
      <c r="C436" s="12">
        <f>IFERROR(IF(SUMIFS(tblDaily[Discharges],tblDaily[EntryDate],DATE(2026,12,1),tblDaily[WardCode],"NICU")=0,"",SUMIFS(tblDaily[Discharges],tblDaily[EntryDate],DATE(2026,12,1),tblDaily[WardCode],"NICU")),"")</f>
        <v/>
      </c>
      <c r="D436" s="12">
        <f>IFERROR(IF(SUMIFS(tblDaily[Deaths],tblDaily[EntryDate],DATE(2026,12,1),tblDaily[WardCode],"NICU")=0,"",SUMIFS(tblDaily[Deaths],tblDaily[EntryDate],DATE(2026,12,1),tblDaily[WardCode],"NICU")),"")</f>
        <v/>
      </c>
      <c r="E436" s="12">
        <f>IFERROR(IF(SUMIFS(tblDaily[DeathsUnder24Hrs],tblDaily[EntryDate],DATE(2026,12,1),tblDaily[WardCode],"NICU")=0,"",SUMIFS(tblDaily[DeathsUnder24Hrs],tblDaily[EntryDate],DATE(2026,12,1),tblDaily[WardCode],"NICU")),"")</f>
        <v/>
      </c>
      <c r="F436" s="12">
        <f>IFERROR(IF(SUMIFS(tblDaily[TransfersIn],tblDaily[EntryDate],DATE(2026,12,1),tblDaily[WardCode],"NICU")=0,"",SUMIFS(tblDaily[TransfersIn],tblDaily[EntryDate],DATE(2026,12,1),tblDaily[WardCode],"NICU")),"")</f>
        <v/>
      </c>
      <c r="G436" s="12">
        <f>IFERROR(IF(SUMIFS(tblDaily[TransfersOut],tblDaily[EntryDate],DATE(2026,12,1),tblDaily[WardCode],"NICU")=0,"",SUMIFS(tblDaily[TransfersOut],tblDaily[EntryDate],DATE(2026,12,1),tblDaily[WardCode],"NICU")),"")</f>
        <v/>
      </c>
      <c r="H436" s="12">
        <f>IFERROR(IF(SUMIFS(tblDaily[Remaining],tblDaily[EntryDate],DATE(2026,12,1),tblDaily[WardCode],"NICU")=0,"",SUMIFS(tblDaily[Remaining],tblDaily[EntryDate],DATE(2026,12,1),tblDaily[WardCode],"NICU")),"")</f>
        <v/>
      </c>
    </row>
    <row r="437">
      <c r="A437" s="12" t="n">
        <v>2</v>
      </c>
      <c r="B437" s="12">
        <f>IFERROR(IF(SUMIFS(tblDaily[Admissions],tblDaily[EntryDate],DATE(2026,12,2),tblDaily[WardCode],"NICU")=0,"",SUMIFS(tblDaily[Admissions],tblDaily[EntryDate],DATE(2026,12,2),tblDaily[WardCode],"NICU")),"")</f>
        <v/>
      </c>
      <c r="C437" s="12">
        <f>IFERROR(IF(SUMIFS(tblDaily[Discharges],tblDaily[EntryDate],DATE(2026,12,2),tblDaily[WardCode],"NICU")=0,"",SUMIFS(tblDaily[Discharges],tblDaily[EntryDate],DATE(2026,12,2),tblDaily[WardCode],"NICU")),"")</f>
        <v/>
      </c>
      <c r="D437" s="12">
        <f>IFERROR(IF(SUMIFS(tblDaily[Deaths],tblDaily[EntryDate],DATE(2026,12,2),tblDaily[WardCode],"NICU")=0,"",SUMIFS(tblDaily[Deaths],tblDaily[EntryDate],DATE(2026,12,2),tblDaily[WardCode],"NICU")),"")</f>
        <v/>
      </c>
      <c r="E437" s="12">
        <f>IFERROR(IF(SUMIFS(tblDaily[DeathsUnder24Hrs],tblDaily[EntryDate],DATE(2026,12,2),tblDaily[WardCode],"NICU")=0,"",SUMIFS(tblDaily[DeathsUnder24Hrs],tblDaily[EntryDate],DATE(2026,12,2),tblDaily[WardCode],"NICU")),"")</f>
        <v/>
      </c>
      <c r="F437" s="12">
        <f>IFERROR(IF(SUMIFS(tblDaily[TransfersIn],tblDaily[EntryDate],DATE(2026,12,2),tblDaily[WardCode],"NICU")=0,"",SUMIFS(tblDaily[TransfersIn],tblDaily[EntryDate],DATE(2026,12,2),tblDaily[WardCode],"NICU")),"")</f>
        <v/>
      </c>
      <c r="G437" s="12">
        <f>IFERROR(IF(SUMIFS(tblDaily[TransfersOut],tblDaily[EntryDate],DATE(2026,12,2),tblDaily[WardCode],"NICU")=0,"",SUMIFS(tblDaily[TransfersOut],tblDaily[EntryDate],DATE(2026,12,2),tblDaily[WardCode],"NICU")),"")</f>
        <v/>
      </c>
      <c r="H437" s="12">
        <f>IFERROR(IF(SUMIFS(tblDaily[Remaining],tblDaily[EntryDate],DATE(2026,12,2),tblDaily[WardCode],"NICU")=0,"",SUMIFS(tblDaily[Remaining],tblDaily[EntryDate],DATE(2026,12,2),tblDaily[WardCode],"NICU")),"")</f>
        <v/>
      </c>
    </row>
    <row r="438">
      <c r="A438" s="12" t="n">
        <v>3</v>
      </c>
      <c r="B438" s="12">
        <f>IFERROR(IF(SUMIFS(tblDaily[Admissions],tblDaily[EntryDate],DATE(2026,12,3),tblDaily[WardCode],"NICU")=0,"",SUMIFS(tblDaily[Admissions],tblDaily[EntryDate],DATE(2026,12,3),tblDaily[WardCode],"NICU")),"")</f>
        <v/>
      </c>
      <c r="C438" s="12">
        <f>IFERROR(IF(SUMIFS(tblDaily[Discharges],tblDaily[EntryDate],DATE(2026,12,3),tblDaily[WardCode],"NICU")=0,"",SUMIFS(tblDaily[Discharges],tblDaily[EntryDate],DATE(2026,12,3),tblDaily[WardCode],"NICU")),"")</f>
        <v/>
      </c>
      <c r="D438" s="12">
        <f>IFERROR(IF(SUMIFS(tblDaily[Deaths],tblDaily[EntryDate],DATE(2026,12,3),tblDaily[WardCode],"NICU")=0,"",SUMIFS(tblDaily[Deaths],tblDaily[EntryDate],DATE(2026,12,3),tblDaily[WardCode],"NICU")),"")</f>
        <v/>
      </c>
      <c r="E438" s="12">
        <f>IFERROR(IF(SUMIFS(tblDaily[DeathsUnder24Hrs],tblDaily[EntryDate],DATE(2026,12,3),tblDaily[WardCode],"NICU")=0,"",SUMIFS(tblDaily[DeathsUnder24Hrs],tblDaily[EntryDate],DATE(2026,12,3),tblDaily[WardCode],"NICU")),"")</f>
        <v/>
      </c>
      <c r="F438" s="12">
        <f>IFERROR(IF(SUMIFS(tblDaily[TransfersIn],tblDaily[EntryDate],DATE(2026,12,3),tblDaily[WardCode],"NICU")=0,"",SUMIFS(tblDaily[TransfersIn],tblDaily[EntryDate],DATE(2026,12,3),tblDaily[WardCode],"NICU")),"")</f>
        <v/>
      </c>
      <c r="G438" s="12">
        <f>IFERROR(IF(SUMIFS(tblDaily[TransfersOut],tblDaily[EntryDate],DATE(2026,12,3),tblDaily[WardCode],"NICU")=0,"",SUMIFS(tblDaily[TransfersOut],tblDaily[EntryDate],DATE(2026,12,3),tblDaily[WardCode],"NICU")),"")</f>
        <v/>
      </c>
      <c r="H438" s="12">
        <f>IFERROR(IF(SUMIFS(tblDaily[Remaining],tblDaily[EntryDate],DATE(2026,12,3),tblDaily[WardCode],"NICU")=0,"",SUMIFS(tblDaily[Remaining],tblDaily[EntryDate],DATE(2026,12,3),tblDaily[WardCode],"NICU")),"")</f>
        <v/>
      </c>
    </row>
    <row r="439">
      <c r="A439" s="12" t="n">
        <v>4</v>
      </c>
      <c r="B439" s="12">
        <f>IFERROR(IF(SUMIFS(tblDaily[Admissions],tblDaily[EntryDate],DATE(2026,12,4),tblDaily[WardCode],"NICU")=0,"",SUMIFS(tblDaily[Admissions],tblDaily[EntryDate],DATE(2026,12,4),tblDaily[WardCode],"NICU")),"")</f>
        <v/>
      </c>
      <c r="C439" s="12">
        <f>IFERROR(IF(SUMIFS(tblDaily[Discharges],tblDaily[EntryDate],DATE(2026,12,4),tblDaily[WardCode],"NICU")=0,"",SUMIFS(tblDaily[Discharges],tblDaily[EntryDate],DATE(2026,12,4),tblDaily[WardCode],"NICU")),"")</f>
        <v/>
      </c>
      <c r="D439" s="12">
        <f>IFERROR(IF(SUMIFS(tblDaily[Deaths],tblDaily[EntryDate],DATE(2026,12,4),tblDaily[WardCode],"NICU")=0,"",SUMIFS(tblDaily[Deaths],tblDaily[EntryDate],DATE(2026,12,4),tblDaily[WardCode],"NICU")),"")</f>
        <v/>
      </c>
      <c r="E439" s="12">
        <f>IFERROR(IF(SUMIFS(tblDaily[DeathsUnder24Hrs],tblDaily[EntryDate],DATE(2026,12,4),tblDaily[WardCode],"NICU")=0,"",SUMIFS(tblDaily[DeathsUnder24Hrs],tblDaily[EntryDate],DATE(2026,12,4),tblDaily[WardCode],"NICU")),"")</f>
        <v/>
      </c>
      <c r="F439" s="12">
        <f>IFERROR(IF(SUMIFS(tblDaily[TransfersIn],tblDaily[EntryDate],DATE(2026,12,4),tblDaily[WardCode],"NICU")=0,"",SUMIFS(tblDaily[TransfersIn],tblDaily[EntryDate],DATE(2026,12,4),tblDaily[WardCode],"NICU")),"")</f>
        <v/>
      </c>
      <c r="G439" s="12">
        <f>IFERROR(IF(SUMIFS(tblDaily[TransfersOut],tblDaily[EntryDate],DATE(2026,12,4),tblDaily[WardCode],"NICU")=0,"",SUMIFS(tblDaily[TransfersOut],tblDaily[EntryDate],DATE(2026,12,4),tblDaily[WardCode],"NICU")),"")</f>
        <v/>
      </c>
      <c r="H439" s="12">
        <f>IFERROR(IF(SUMIFS(tblDaily[Remaining],tblDaily[EntryDate],DATE(2026,12,4),tblDaily[WardCode],"NICU")=0,"",SUMIFS(tblDaily[Remaining],tblDaily[EntryDate],DATE(2026,12,4),tblDaily[WardCode],"NICU")),"")</f>
        <v/>
      </c>
    </row>
    <row r="440">
      <c r="A440" s="12" t="n">
        <v>5</v>
      </c>
      <c r="B440" s="12">
        <f>IFERROR(IF(SUMIFS(tblDaily[Admissions],tblDaily[EntryDate],DATE(2026,12,5),tblDaily[WardCode],"NICU")=0,"",SUMIFS(tblDaily[Admissions],tblDaily[EntryDate],DATE(2026,12,5),tblDaily[WardCode],"NICU")),"")</f>
        <v/>
      </c>
      <c r="C440" s="12">
        <f>IFERROR(IF(SUMIFS(tblDaily[Discharges],tblDaily[EntryDate],DATE(2026,12,5),tblDaily[WardCode],"NICU")=0,"",SUMIFS(tblDaily[Discharges],tblDaily[EntryDate],DATE(2026,12,5),tblDaily[WardCode],"NICU")),"")</f>
        <v/>
      </c>
      <c r="D440" s="12">
        <f>IFERROR(IF(SUMIFS(tblDaily[Deaths],tblDaily[EntryDate],DATE(2026,12,5),tblDaily[WardCode],"NICU")=0,"",SUMIFS(tblDaily[Deaths],tblDaily[EntryDate],DATE(2026,12,5),tblDaily[WardCode],"NICU")),"")</f>
        <v/>
      </c>
      <c r="E440" s="12">
        <f>IFERROR(IF(SUMIFS(tblDaily[DeathsUnder24Hrs],tblDaily[EntryDate],DATE(2026,12,5),tblDaily[WardCode],"NICU")=0,"",SUMIFS(tblDaily[DeathsUnder24Hrs],tblDaily[EntryDate],DATE(2026,12,5),tblDaily[WardCode],"NICU")),"")</f>
        <v/>
      </c>
      <c r="F440" s="12">
        <f>IFERROR(IF(SUMIFS(tblDaily[TransfersIn],tblDaily[EntryDate],DATE(2026,12,5),tblDaily[WardCode],"NICU")=0,"",SUMIFS(tblDaily[TransfersIn],tblDaily[EntryDate],DATE(2026,12,5),tblDaily[WardCode],"NICU")),"")</f>
        <v/>
      </c>
      <c r="G440" s="12">
        <f>IFERROR(IF(SUMIFS(tblDaily[TransfersOut],tblDaily[EntryDate],DATE(2026,12,5),tblDaily[WardCode],"NICU")=0,"",SUMIFS(tblDaily[TransfersOut],tblDaily[EntryDate],DATE(2026,12,5),tblDaily[WardCode],"NICU")),"")</f>
        <v/>
      </c>
      <c r="H440" s="12">
        <f>IFERROR(IF(SUMIFS(tblDaily[Remaining],tblDaily[EntryDate],DATE(2026,12,5),tblDaily[WardCode],"NICU")=0,"",SUMIFS(tblDaily[Remaining],tblDaily[EntryDate],DATE(2026,12,5),tblDaily[WardCode],"NICU")),"")</f>
        <v/>
      </c>
    </row>
    <row r="441">
      <c r="A441" s="12" t="n">
        <v>6</v>
      </c>
      <c r="B441" s="12">
        <f>IFERROR(IF(SUMIFS(tblDaily[Admissions],tblDaily[EntryDate],DATE(2026,12,6),tblDaily[WardCode],"NICU")=0,"",SUMIFS(tblDaily[Admissions],tblDaily[EntryDate],DATE(2026,12,6),tblDaily[WardCode],"NICU")),"")</f>
        <v/>
      </c>
      <c r="C441" s="12">
        <f>IFERROR(IF(SUMIFS(tblDaily[Discharges],tblDaily[EntryDate],DATE(2026,12,6),tblDaily[WardCode],"NICU")=0,"",SUMIFS(tblDaily[Discharges],tblDaily[EntryDate],DATE(2026,12,6),tblDaily[WardCode],"NICU")),"")</f>
        <v/>
      </c>
      <c r="D441" s="12">
        <f>IFERROR(IF(SUMIFS(tblDaily[Deaths],tblDaily[EntryDate],DATE(2026,12,6),tblDaily[WardCode],"NICU")=0,"",SUMIFS(tblDaily[Deaths],tblDaily[EntryDate],DATE(2026,12,6),tblDaily[WardCode],"NICU")),"")</f>
        <v/>
      </c>
      <c r="E441" s="12">
        <f>IFERROR(IF(SUMIFS(tblDaily[DeathsUnder24Hrs],tblDaily[EntryDate],DATE(2026,12,6),tblDaily[WardCode],"NICU")=0,"",SUMIFS(tblDaily[DeathsUnder24Hrs],tblDaily[EntryDate],DATE(2026,12,6),tblDaily[WardCode],"NICU")),"")</f>
        <v/>
      </c>
      <c r="F441" s="12">
        <f>IFERROR(IF(SUMIFS(tblDaily[TransfersIn],tblDaily[EntryDate],DATE(2026,12,6),tblDaily[WardCode],"NICU")=0,"",SUMIFS(tblDaily[TransfersIn],tblDaily[EntryDate],DATE(2026,12,6),tblDaily[WardCode],"NICU")),"")</f>
        <v/>
      </c>
      <c r="G441" s="12">
        <f>IFERROR(IF(SUMIFS(tblDaily[TransfersOut],tblDaily[EntryDate],DATE(2026,12,6),tblDaily[WardCode],"NICU")=0,"",SUMIFS(tblDaily[TransfersOut],tblDaily[EntryDate],DATE(2026,12,6),tblDaily[WardCode],"NICU")),"")</f>
        <v/>
      </c>
      <c r="H441" s="12">
        <f>IFERROR(IF(SUMIFS(tblDaily[Remaining],tblDaily[EntryDate],DATE(2026,12,6),tblDaily[WardCode],"NICU")=0,"",SUMIFS(tblDaily[Remaining],tblDaily[EntryDate],DATE(2026,12,6),tblDaily[WardCode],"NICU")),"")</f>
        <v/>
      </c>
    </row>
    <row r="442">
      <c r="A442" s="12" t="n">
        <v>7</v>
      </c>
      <c r="B442" s="12">
        <f>IFERROR(IF(SUMIFS(tblDaily[Admissions],tblDaily[EntryDate],DATE(2026,12,7),tblDaily[WardCode],"NICU")=0,"",SUMIFS(tblDaily[Admissions],tblDaily[EntryDate],DATE(2026,12,7),tblDaily[WardCode],"NICU")),"")</f>
        <v/>
      </c>
      <c r="C442" s="12">
        <f>IFERROR(IF(SUMIFS(tblDaily[Discharges],tblDaily[EntryDate],DATE(2026,12,7),tblDaily[WardCode],"NICU")=0,"",SUMIFS(tblDaily[Discharges],tblDaily[EntryDate],DATE(2026,12,7),tblDaily[WardCode],"NICU")),"")</f>
        <v/>
      </c>
      <c r="D442" s="12">
        <f>IFERROR(IF(SUMIFS(tblDaily[Deaths],tblDaily[EntryDate],DATE(2026,12,7),tblDaily[WardCode],"NICU")=0,"",SUMIFS(tblDaily[Deaths],tblDaily[EntryDate],DATE(2026,12,7),tblDaily[WardCode],"NICU")),"")</f>
        <v/>
      </c>
      <c r="E442" s="12">
        <f>IFERROR(IF(SUMIFS(tblDaily[DeathsUnder24Hrs],tblDaily[EntryDate],DATE(2026,12,7),tblDaily[WardCode],"NICU")=0,"",SUMIFS(tblDaily[DeathsUnder24Hrs],tblDaily[EntryDate],DATE(2026,12,7),tblDaily[WardCode],"NICU")),"")</f>
        <v/>
      </c>
      <c r="F442" s="12">
        <f>IFERROR(IF(SUMIFS(tblDaily[TransfersIn],tblDaily[EntryDate],DATE(2026,12,7),tblDaily[WardCode],"NICU")=0,"",SUMIFS(tblDaily[TransfersIn],tblDaily[EntryDate],DATE(2026,12,7),tblDaily[WardCode],"NICU")),"")</f>
        <v/>
      </c>
      <c r="G442" s="12">
        <f>IFERROR(IF(SUMIFS(tblDaily[TransfersOut],tblDaily[EntryDate],DATE(2026,12,7),tblDaily[WardCode],"NICU")=0,"",SUMIFS(tblDaily[TransfersOut],tblDaily[EntryDate],DATE(2026,12,7),tblDaily[WardCode],"NICU")),"")</f>
        <v/>
      </c>
      <c r="H442" s="12">
        <f>IFERROR(IF(SUMIFS(tblDaily[Remaining],tblDaily[EntryDate],DATE(2026,12,7),tblDaily[WardCode],"NICU")=0,"",SUMIFS(tblDaily[Remaining],tblDaily[EntryDate],DATE(2026,12,7),tblDaily[WardCode],"NICU")),"")</f>
        <v/>
      </c>
    </row>
    <row r="443">
      <c r="A443" s="12" t="n">
        <v>8</v>
      </c>
      <c r="B443" s="12">
        <f>IFERROR(IF(SUMIFS(tblDaily[Admissions],tblDaily[EntryDate],DATE(2026,12,8),tblDaily[WardCode],"NICU")=0,"",SUMIFS(tblDaily[Admissions],tblDaily[EntryDate],DATE(2026,12,8),tblDaily[WardCode],"NICU")),"")</f>
        <v/>
      </c>
      <c r="C443" s="12">
        <f>IFERROR(IF(SUMIFS(tblDaily[Discharges],tblDaily[EntryDate],DATE(2026,12,8),tblDaily[WardCode],"NICU")=0,"",SUMIFS(tblDaily[Discharges],tblDaily[EntryDate],DATE(2026,12,8),tblDaily[WardCode],"NICU")),"")</f>
        <v/>
      </c>
      <c r="D443" s="12">
        <f>IFERROR(IF(SUMIFS(tblDaily[Deaths],tblDaily[EntryDate],DATE(2026,12,8),tblDaily[WardCode],"NICU")=0,"",SUMIFS(tblDaily[Deaths],tblDaily[EntryDate],DATE(2026,12,8),tblDaily[WardCode],"NICU")),"")</f>
        <v/>
      </c>
      <c r="E443" s="12">
        <f>IFERROR(IF(SUMIFS(tblDaily[DeathsUnder24Hrs],tblDaily[EntryDate],DATE(2026,12,8),tblDaily[WardCode],"NICU")=0,"",SUMIFS(tblDaily[DeathsUnder24Hrs],tblDaily[EntryDate],DATE(2026,12,8),tblDaily[WardCode],"NICU")),"")</f>
        <v/>
      </c>
      <c r="F443" s="12">
        <f>IFERROR(IF(SUMIFS(tblDaily[TransfersIn],tblDaily[EntryDate],DATE(2026,12,8),tblDaily[WardCode],"NICU")=0,"",SUMIFS(tblDaily[TransfersIn],tblDaily[EntryDate],DATE(2026,12,8),tblDaily[WardCode],"NICU")),"")</f>
        <v/>
      </c>
      <c r="G443" s="12">
        <f>IFERROR(IF(SUMIFS(tblDaily[TransfersOut],tblDaily[EntryDate],DATE(2026,12,8),tblDaily[WardCode],"NICU")=0,"",SUMIFS(tblDaily[TransfersOut],tblDaily[EntryDate],DATE(2026,12,8),tblDaily[WardCode],"NICU")),"")</f>
        <v/>
      </c>
      <c r="H443" s="12">
        <f>IFERROR(IF(SUMIFS(tblDaily[Remaining],tblDaily[EntryDate],DATE(2026,12,8),tblDaily[WardCode],"NICU")=0,"",SUMIFS(tblDaily[Remaining],tblDaily[EntryDate],DATE(2026,12,8),tblDaily[WardCode],"NICU")),"")</f>
        <v/>
      </c>
    </row>
    <row r="444">
      <c r="A444" s="12" t="n">
        <v>9</v>
      </c>
      <c r="B444" s="12">
        <f>IFERROR(IF(SUMIFS(tblDaily[Admissions],tblDaily[EntryDate],DATE(2026,12,9),tblDaily[WardCode],"NICU")=0,"",SUMIFS(tblDaily[Admissions],tblDaily[EntryDate],DATE(2026,12,9),tblDaily[WardCode],"NICU")),"")</f>
        <v/>
      </c>
      <c r="C444" s="12">
        <f>IFERROR(IF(SUMIFS(tblDaily[Discharges],tblDaily[EntryDate],DATE(2026,12,9),tblDaily[WardCode],"NICU")=0,"",SUMIFS(tblDaily[Discharges],tblDaily[EntryDate],DATE(2026,12,9),tblDaily[WardCode],"NICU")),"")</f>
        <v/>
      </c>
      <c r="D444" s="12">
        <f>IFERROR(IF(SUMIFS(tblDaily[Deaths],tblDaily[EntryDate],DATE(2026,12,9),tblDaily[WardCode],"NICU")=0,"",SUMIFS(tblDaily[Deaths],tblDaily[EntryDate],DATE(2026,12,9),tblDaily[WardCode],"NICU")),"")</f>
        <v/>
      </c>
      <c r="E444" s="12">
        <f>IFERROR(IF(SUMIFS(tblDaily[DeathsUnder24Hrs],tblDaily[EntryDate],DATE(2026,12,9),tblDaily[WardCode],"NICU")=0,"",SUMIFS(tblDaily[DeathsUnder24Hrs],tblDaily[EntryDate],DATE(2026,12,9),tblDaily[WardCode],"NICU")),"")</f>
        <v/>
      </c>
      <c r="F444" s="12">
        <f>IFERROR(IF(SUMIFS(tblDaily[TransfersIn],tblDaily[EntryDate],DATE(2026,12,9),tblDaily[WardCode],"NICU")=0,"",SUMIFS(tblDaily[TransfersIn],tblDaily[EntryDate],DATE(2026,12,9),tblDaily[WardCode],"NICU")),"")</f>
        <v/>
      </c>
      <c r="G444" s="12">
        <f>IFERROR(IF(SUMIFS(tblDaily[TransfersOut],tblDaily[EntryDate],DATE(2026,12,9),tblDaily[WardCode],"NICU")=0,"",SUMIFS(tblDaily[TransfersOut],tblDaily[EntryDate],DATE(2026,12,9),tblDaily[WardCode],"NICU")),"")</f>
        <v/>
      </c>
      <c r="H444" s="12">
        <f>IFERROR(IF(SUMIFS(tblDaily[Remaining],tblDaily[EntryDate],DATE(2026,12,9),tblDaily[WardCode],"NICU")=0,"",SUMIFS(tblDaily[Remaining],tblDaily[EntryDate],DATE(2026,12,9),tblDaily[WardCode],"NICU")),"")</f>
        <v/>
      </c>
    </row>
    <row r="445">
      <c r="A445" s="12" t="n">
        <v>10</v>
      </c>
      <c r="B445" s="12">
        <f>IFERROR(IF(SUMIFS(tblDaily[Admissions],tblDaily[EntryDate],DATE(2026,12,10),tblDaily[WardCode],"NICU")=0,"",SUMIFS(tblDaily[Admissions],tblDaily[EntryDate],DATE(2026,12,10),tblDaily[WardCode],"NICU")),"")</f>
        <v/>
      </c>
      <c r="C445" s="12">
        <f>IFERROR(IF(SUMIFS(tblDaily[Discharges],tblDaily[EntryDate],DATE(2026,12,10),tblDaily[WardCode],"NICU")=0,"",SUMIFS(tblDaily[Discharges],tblDaily[EntryDate],DATE(2026,12,10),tblDaily[WardCode],"NICU")),"")</f>
        <v/>
      </c>
      <c r="D445" s="12">
        <f>IFERROR(IF(SUMIFS(tblDaily[Deaths],tblDaily[EntryDate],DATE(2026,12,10),tblDaily[WardCode],"NICU")=0,"",SUMIFS(tblDaily[Deaths],tblDaily[EntryDate],DATE(2026,12,10),tblDaily[WardCode],"NICU")),"")</f>
        <v/>
      </c>
      <c r="E445" s="12">
        <f>IFERROR(IF(SUMIFS(tblDaily[DeathsUnder24Hrs],tblDaily[EntryDate],DATE(2026,12,10),tblDaily[WardCode],"NICU")=0,"",SUMIFS(tblDaily[DeathsUnder24Hrs],tblDaily[EntryDate],DATE(2026,12,10),tblDaily[WardCode],"NICU")),"")</f>
        <v/>
      </c>
      <c r="F445" s="12">
        <f>IFERROR(IF(SUMIFS(tblDaily[TransfersIn],tblDaily[EntryDate],DATE(2026,12,10),tblDaily[WardCode],"NICU")=0,"",SUMIFS(tblDaily[TransfersIn],tblDaily[EntryDate],DATE(2026,12,10),tblDaily[WardCode],"NICU")),"")</f>
        <v/>
      </c>
      <c r="G445" s="12">
        <f>IFERROR(IF(SUMIFS(tblDaily[TransfersOut],tblDaily[EntryDate],DATE(2026,12,10),tblDaily[WardCode],"NICU")=0,"",SUMIFS(tblDaily[TransfersOut],tblDaily[EntryDate],DATE(2026,12,10),tblDaily[WardCode],"NICU")),"")</f>
        <v/>
      </c>
      <c r="H445" s="12">
        <f>IFERROR(IF(SUMIFS(tblDaily[Remaining],tblDaily[EntryDate],DATE(2026,12,10),tblDaily[WardCode],"NICU")=0,"",SUMIFS(tblDaily[Remaining],tblDaily[EntryDate],DATE(2026,12,10),tblDaily[WardCode],"NICU")),"")</f>
        <v/>
      </c>
    </row>
    <row r="446">
      <c r="A446" s="12" t="n">
        <v>11</v>
      </c>
      <c r="B446" s="12">
        <f>IFERROR(IF(SUMIFS(tblDaily[Admissions],tblDaily[EntryDate],DATE(2026,12,11),tblDaily[WardCode],"NICU")=0,"",SUMIFS(tblDaily[Admissions],tblDaily[EntryDate],DATE(2026,12,11),tblDaily[WardCode],"NICU")),"")</f>
        <v/>
      </c>
      <c r="C446" s="12">
        <f>IFERROR(IF(SUMIFS(tblDaily[Discharges],tblDaily[EntryDate],DATE(2026,12,11),tblDaily[WardCode],"NICU")=0,"",SUMIFS(tblDaily[Discharges],tblDaily[EntryDate],DATE(2026,12,11),tblDaily[WardCode],"NICU")),"")</f>
        <v/>
      </c>
      <c r="D446" s="12">
        <f>IFERROR(IF(SUMIFS(tblDaily[Deaths],tblDaily[EntryDate],DATE(2026,12,11),tblDaily[WardCode],"NICU")=0,"",SUMIFS(tblDaily[Deaths],tblDaily[EntryDate],DATE(2026,12,11),tblDaily[WardCode],"NICU")),"")</f>
        <v/>
      </c>
      <c r="E446" s="12">
        <f>IFERROR(IF(SUMIFS(tblDaily[DeathsUnder24Hrs],tblDaily[EntryDate],DATE(2026,12,11),tblDaily[WardCode],"NICU")=0,"",SUMIFS(tblDaily[DeathsUnder24Hrs],tblDaily[EntryDate],DATE(2026,12,11),tblDaily[WardCode],"NICU")),"")</f>
        <v/>
      </c>
      <c r="F446" s="12">
        <f>IFERROR(IF(SUMIFS(tblDaily[TransfersIn],tblDaily[EntryDate],DATE(2026,12,11),tblDaily[WardCode],"NICU")=0,"",SUMIFS(tblDaily[TransfersIn],tblDaily[EntryDate],DATE(2026,12,11),tblDaily[WardCode],"NICU")),"")</f>
        <v/>
      </c>
      <c r="G446" s="12">
        <f>IFERROR(IF(SUMIFS(tblDaily[TransfersOut],tblDaily[EntryDate],DATE(2026,12,11),tblDaily[WardCode],"NICU")=0,"",SUMIFS(tblDaily[TransfersOut],tblDaily[EntryDate],DATE(2026,12,11),tblDaily[WardCode],"NICU")),"")</f>
        <v/>
      </c>
      <c r="H446" s="12">
        <f>IFERROR(IF(SUMIFS(tblDaily[Remaining],tblDaily[EntryDate],DATE(2026,12,11),tblDaily[WardCode],"NICU")=0,"",SUMIFS(tblDaily[Remaining],tblDaily[EntryDate],DATE(2026,12,11),tblDaily[WardCode],"NICU")),"")</f>
        <v/>
      </c>
    </row>
    <row r="447">
      <c r="A447" s="12" t="n">
        <v>12</v>
      </c>
      <c r="B447" s="12">
        <f>IFERROR(IF(SUMIFS(tblDaily[Admissions],tblDaily[EntryDate],DATE(2026,12,12),tblDaily[WardCode],"NICU")=0,"",SUMIFS(tblDaily[Admissions],tblDaily[EntryDate],DATE(2026,12,12),tblDaily[WardCode],"NICU")),"")</f>
        <v/>
      </c>
      <c r="C447" s="12">
        <f>IFERROR(IF(SUMIFS(tblDaily[Discharges],tblDaily[EntryDate],DATE(2026,12,12),tblDaily[WardCode],"NICU")=0,"",SUMIFS(tblDaily[Discharges],tblDaily[EntryDate],DATE(2026,12,12),tblDaily[WardCode],"NICU")),"")</f>
        <v/>
      </c>
      <c r="D447" s="12">
        <f>IFERROR(IF(SUMIFS(tblDaily[Deaths],tblDaily[EntryDate],DATE(2026,12,12),tblDaily[WardCode],"NICU")=0,"",SUMIFS(tblDaily[Deaths],tblDaily[EntryDate],DATE(2026,12,12),tblDaily[WardCode],"NICU")),"")</f>
        <v/>
      </c>
      <c r="E447" s="12">
        <f>IFERROR(IF(SUMIFS(tblDaily[DeathsUnder24Hrs],tblDaily[EntryDate],DATE(2026,12,12),tblDaily[WardCode],"NICU")=0,"",SUMIFS(tblDaily[DeathsUnder24Hrs],tblDaily[EntryDate],DATE(2026,12,12),tblDaily[WardCode],"NICU")),"")</f>
        <v/>
      </c>
      <c r="F447" s="12">
        <f>IFERROR(IF(SUMIFS(tblDaily[TransfersIn],tblDaily[EntryDate],DATE(2026,12,12),tblDaily[WardCode],"NICU")=0,"",SUMIFS(tblDaily[TransfersIn],tblDaily[EntryDate],DATE(2026,12,12),tblDaily[WardCode],"NICU")),"")</f>
        <v/>
      </c>
      <c r="G447" s="12">
        <f>IFERROR(IF(SUMIFS(tblDaily[TransfersOut],tblDaily[EntryDate],DATE(2026,12,12),tblDaily[WardCode],"NICU")=0,"",SUMIFS(tblDaily[TransfersOut],tblDaily[EntryDate],DATE(2026,12,12),tblDaily[WardCode],"NICU")),"")</f>
        <v/>
      </c>
      <c r="H447" s="12">
        <f>IFERROR(IF(SUMIFS(tblDaily[Remaining],tblDaily[EntryDate],DATE(2026,12,12),tblDaily[WardCode],"NICU")=0,"",SUMIFS(tblDaily[Remaining],tblDaily[EntryDate],DATE(2026,12,12),tblDaily[WardCode],"NICU")),"")</f>
        <v/>
      </c>
    </row>
    <row r="448">
      <c r="A448" s="12" t="n">
        <v>13</v>
      </c>
      <c r="B448" s="12">
        <f>IFERROR(IF(SUMIFS(tblDaily[Admissions],tblDaily[EntryDate],DATE(2026,12,13),tblDaily[WardCode],"NICU")=0,"",SUMIFS(tblDaily[Admissions],tblDaily[EntryDate],DATE(2026,12,13),tblDaily[WardCode],"NICU")),"")</f>
        <v/>
      </c>
      <c r="C448" s="12">
        <f>IFERROR(IF(SUMIFS(tblDaily[Discharges],tblDaily[EntryDate],DATE(2026,12,13),tblDaily[WardCode],"NICU")=0,"",SUMIFS(tblDaily[Discharges],tblDaily[EntryDate],DATE(2026,12,13),tblDaily[WardCode],"NICU")),"")</f>
        <v/>
      </c>
      <c r="D448" s="12">
        <f>IFERROR(IF(SUMIFS(tblDaily[Deaths],tblDaily[EntryDate],DATE(2026,12,13),tblDaily[WardCode],"NICU")=0,"",SUMIFS(tblDaily[Deaths],tblDaily[EntryDate],DATE(2026,12,13),tblDaily[WardCode],"NICU")),"")</f>
        <v/>
      </c>
      <c r="E448" s="12">
        <f>IFERROR(IF(SUMIFS(tblDaily[DeathsUnder24Hrs],tblDaily[EntryDate],DATE(2026,12,13),tblDaily[WardCode],"NICU")=0,"",SUMIFS(tblDaily[DeathsUnder24Hrs],tblDaily[EntryDate],DATE(2026,12,13),tblDaily[WardCode],"NICU")),"")</f>
        <v/>
      </c>
      <c r="F448" s="12">
        <f>IFERROR(IF(SUMIFS(tblDaily[TransfersIn],tblDaily[EntryDate],DATE(2026,12,13),tblDaily[WardCode],"NICU")=0,"",SUMIFS(tblDaily[TransfersIn],tblDaily[EntryDate],DATE(2026,12,13),tblDaily[WardCode],"NICU")),"")</f>
        <v/>
      </c>
      <c r="G448" s="12">
        <f>IFERROR(IF(SUMIFS(tblDaily[TransfersOut],tblDaily[EntryDate],DATE(2026,12,13),tblDaily[WardCode],"NICU")=0,"",SUMIFS(tblDaily[TransfersOut],tblDaily[EntryDate],DATE(2026,12,13),tblDaily[WardCode],"NICU")),"")</f>
        <v/>
      </c>
      <c r="H448" s="12">
        <f>IFERROR(IF(SUMIFS(tblDaily[Remaining],tblDaily[EntryDate],DATE(2026,12,13),tblDaily[WardCode],"NICU")=0,"",SUMIFS(tblDaily[Remaining],tblDaily[EntryDate],DATE(2026,12,13),tblDaily[WardCode],"NICU")),"")</f>
        <v/>
      </c>
    </row>
    <row r="449">
      <c r="A449" s="12" t="n">
        <v>14</v>
      </c>
      <c r="B449" s="12">
        <f>IFERROR(IF(SUMIFS(tblDaily[Admissions],tblDaily[EntryDate],DATE(2026,12,14),tblDaily[WardCode],"NICU")=0,"",SUMIFS(tblDaily[Admissions],tblDaily[EntryDate],DATE(2026,12,14),tblDaily[WardCode],"NICU")),"")</f>
        <v/>
      </c>
      <c r="C449" s="12">
        <f>IFERROR(IF(SUMIFS(tblDaily[Discharges],tblDaily[EntryDate],DATE(2026,12,14),tblDaily[WardCode],"NICU")=0,"",SUMIFS(tblDaily[Discharges],tblDaily[EntryDate],DATE(2026,12,14),tblDaily[WardCode],"NICU")),"")</f>
        <v/>
      </c>
      <c r="D449" s="12">
        <f>IFERROR(IF(SUMIFS(tblDaily[Deaths],tblDaily[EntryDate],DATE(2026,12,14),tblDaily[WardCode],"NICU")=0,"",SUMIFS(tblDaily[Deaths],tblDaily[EntryDate],DATE(2026,12,14),tblDaily[WardCode],"NICU")),"")</f>
        <v/>
      </c>
      <c r="E449" s="12">
        <f>IFERROR(IF(SUMIFS(tblDaily[DeathsUnder24Hrs],tblDaily[EntryDate],DATE(2026,12,14),tblDaily[WardCode],"NICU")=0,"",SUMIFS(tblDaily[DeathsUnder24Hrs],tblDaily[EntryDate],DATE(2026,12,14),tblDaily[WardCode],"NICU")),"")</f>
        <v/>
      </c>
      <c r="F449" s="12">
        <f>IFERROR(IF(SUMIFS(tblDaily[TransfersIn],tblDaily[EntryDate],DATE(2026,12,14),tblDaily[WardCode],"NICU")=0,"",SUMIFS(tblDaily[TransfersIn],tblDaily[EntryDate],DATE(2026,12,14),tblDaily[WardCode],"NICU")),"")</f>
        <v/>
      </c>
      <c r="G449" s="12">
        <f>IFERROR(IF(SUMIFS(tblDaily[TransfersOut],tblDaily[EntryDate],DATE(2026,12,14),tblDaily[WardCode],"NICU")=0,"",SUMIFS(tblDaily[TransfersOut],tblDaily[EntryDate],DATE(2026,12,14),tblDaily[WardCode],"NICU")),"")</f>
        <v/>
      </c>
      <c r="H449" s="12">
        <f>IFERROR(IF(SUMIFS(tblDaily[Remaining],tblDaily[EntryDate],DATE(2026,12,14),tblDaily[WardCode],"NICU")=0,"",SUMIFS(tblDaily[Remaining],tblDaily[EntryDate],DATE(2026,12,14),tblDaily[WardCode],"NICU")),"")</f>
        <v/>
      </c>
    </row>
    <row r="450">
      <c r="A450" s="12" t="n">
        <v>15</v>
      </c>
      <c r="B450" s="12">
        <f>IFERROR(IF(SUMIFS(tblDaily[Admissions],tblDaily[EntryDate],DATE(2026,12,15),tblDaily[WardCode],"NICU")=0,"",SUMIFS(tblDaily[Admissions],tblDaily[EntryDate],DATE(2026,12,15),tblDaily[WardCode],"NICU")),"")</f>
        <v/>
      </c>
      <c r="C450" s="12">
        <f>IFERROR(IF(SUMIFS(tblDaily[Discharges],tblDaily[EntryDate],DATE(2026,12,15),tblDaily[WardCode],"NICU")=0,"",SUMIFS(tblDaily[Discharges],tblDaily[EntryDate],DATE(2026,12,15),tblDaily[WardCode],"NICU")),"")</f>
        <v/>
      </c>
      <c r="D450" s="12">
        <f>IFERROR(IF(SUMIFS(tblDaily[Deaths],tblDaily[EntryDate],DATE(2026,12,15),tblDaily[WardCode],"NICU")=0,"",SUMIFS(tblDaily[Deaths],tblDaily[EntryDate],DATE(2026,12,15),tblDaily[WardCode],"NICU")),"")</f>
        <v/>
      </c>
      <c r="E450" s="12">
        <f>IFERROR(IF(SUMIFS(tblDaily[DeathsUnder24Hrs],tblDaily[EntryDate],DATE(2026,12,15),tblDaily[WardCode],"NICU")=0,"",SUMIFS(tblDaily[DeathsUnder24Hrs],tblDaily[EntryDate],DATE(2026,12,15),tblDaily[WardCode],"NICU")),"")</f>
        <v/>
      </c>
      <c r="F450" s="12">
        <f>IFERROR(IF(SUMIFS(tblDaily[TransfersIn],tblDaily[EntryDate],DATE(2026,12,15),tblDaily[WardCode],"NICU")=0,"",SUMIFS(tblDaily[TransfersIn],tblDaily[EntryDate],DATE(2026,12,15),tblDaily[WardCode],"NICU")),"")</f>
        <v/>
      </c>
      <c r="G450" s="12">
        <f>IFERROR(IF(SUMIFS(tblDaily[TransfersOut],tblDaily[EntryDate],DATE(2026,12,15),tblDaily[WardCode],"NICU")=0,"",SUMIFS(tblDaily[TransfersOut],tblDaily[EntryDate],DATE(2026,12,15),tblDaily[WardCode],"NICU")),"")</f>
        <v/>
      </c>
      <c r="H450" s="12">
        <f>IFERROR(IF(SUMIFS(tblDaily[Remaining],tblDaily[EntryDate],DATE(2026,12,15),tblDaily[WardCode],"NICU")=0,"",SUMIFS(tblDaily[Remaining],tblDaily[EntryDate],DATE(2026,12,15),tblDaily[WardCode],"NICU")),"")</f>
        <v/>
      </c>
    </row>
    <row r="451">
      <c r="A451" s="12" t="n">
        <v>16</v>
      </c>
      <c r="B451" s="12">
        <f>IFERROR(IF(SUMIFS(tblDaily[Admissions],tblDaily[EntryDate],DATE(2026,12,16),tblDaily[WardCode],"NICU")=0,"",SUMIFS(tblDaily[Admissions],tblDaily[EntryDate],DATE(2026,12,16),tblDaily[WardCode],"NICU")),"")</f>
        <v/>
      </c>
      <c r="C451" s="12">
        <f>IFERROR(IF(SUMIFS(tblDaily[Discharges],tblDaily[EntryDate],DATE(2026,12,16),tblDaily[WardCode],"NICU")=0,"",SUMIFS(tblDaily[Discharges],tblDaily[EntryDate],DATE(2026,12,16),tblDaily[WardCode],"NICU")),"")</f>
        <v/>
      </c>
      <c r="D451" s="12">
        <f>IFERROR(IF(SUMIFS(tblDaily[Deaths],tblDaily[EntryDate],DATE(2026,12,16),tblDaily[WardCode],"NICU")=0,"",SUMIFS(tblDaily[Deaths],tblDaily[EntryDate],DATE(2026,12,16),tblDaily[WardCode],"NICU")),"")</f>
        <v/>
      </c>
      <c r="E451" s="12">
        <f>IFERROR(IF(SUMIFS(tblDaily[DeathsUnder24Hrs],tblDaily[EntryDate],DATE(2026,12,16),tblDaily[WardCode],"NICU")=0,"",SUMIFS(tblDaily[DeathsUnder24Hrs],tblDaily[EntryDate],DATE(2026,12,16),tblDaily[WardCode],"NICU")),"")</f>
        <v/>
      </c>
      <c r="F451" s="12">
        <f>IFERROR(IF(SUMIFS(tblDaily[TransfersIn],tblDaily[EntryDate],DATE(2026,12,16),tblDaily[WardCode],"NICU")=0,"",SUMIFS(tblDaily[TransfersIn],tblDaily[EntryDate],DATE(2026,12,16),tblDaily[WardCode],"NICU")),"")</f>
        <v/>
      </c>
      <c r="G451" s="12">
        <f>IFERROR(IF(SUMIFS(tblDaily[TransfersOut],tblDaily[EntryDate],DATE(2026,12,16),tblDaily[WardCode],"NICU")=0,"",SUMIFS(tblDaily[TransfersOut],tblDaily[EntryDate],DATE(2026,12,16),tblDaily[WardCode],"NICU")),"")</f>
        <v/>
      </c>
      <c r="H451" s="12">
        <f>IFERROR(IF(SUMIFS(tblDaily[Remaining],tblDaily[EntryDate],DATE(2026,12,16),tblDaily[WardCode],"NICU")=0,"",SUMIFS(tblDaily[Remaining],tblDaily[EntryDate],DATE(2026,12,16),tblDaily[WardCode],"NICU")),"")</f>
        <v/>
      </c>
    </row>
    <row r="452">
      <c r="A452" s="12" t="n">
        <v>17</v>
      </c>
      <c r="B452" s="12">
        <f>IFERROR(IF(SUMIFS(tblDaily[Admissions],tblDaily[EntryDate],DATE(2026,12,17),tblDaily[WardCode],"NICU")=0,"",SUMIFS(tblDaily[Admissions],tblDaily[EntryDate],DATE(2026,12,17),tblDaily[WardCode],"NICU")),"")</f>
        <v/>
      </c>
      <c r="C452" s="12">
        <f>IFERROR(IF(SUMIFS(tblDaily[Discharges],tblDaily[EntryDate],DATE(2026,12,17),tblDaily[WardCode],"NICU")=0,"",SUMIFS(tblDaily[Discharges],tblDaily[EntryDate],DATE(2026,12,17),tblDaily[WardCode],"NICU")),"")</f>
        <v/>
      </c>
      <c r="D452" s="12">
        <f>IFERROR(IF(SUMIFS(tblDaily[Deaths],tblDaily[EntryDate],DATE(2026,12,17),tblDaily[WardCode],"NICU")=0,"",SUMIFS(tblDaily[Deaths],tblDaily[EntryDate],DATE(2026,12,17),tblDaily[WardCode],"NICU")),"")</f>
        <v/>
      </c>
      <c r="E452" s="12">
        <f>IFERROR(IF(SUMIFS(tblDaily[DeathsUnder24Hrs],tblDaily[EntryDate],DATE(2026,12,17),tblDaily[WardCode],"NICU")=0,"",SUMIFS(tblDaily[DeathsUnder24Hrs],tblDaily[EntryDate],DATE(2026,12,17),tblDaily[WardCode],"NICU")),"")</f>
        <v/>
      </c>
      <c r="F452" s="12">
        <f>IFERROR(IF(SUMIFS(tblDaily[TransfersIn],tblDaily[EntryDate],DATE(2026,12,17),tblDaily[WardCode],"NICU")=0,"",SUMIFS(tblDaily[TransfersIn],tblDaily[EntryDate],DATE(2026,12,17),tblDaily[WardCode],"NICU")),"")</f>
        <v/>
      </c>
      <c r="G452" s="12">
        <f>IFERROR(IF(SUMIFS(tblDaily[TransfersOut],tblDaily[EntryDate],DATE(2026,12,17),tblDaily[WardCode],"NICU")=0,"",SUMIFS(tblDaily[TransfersOut],tblDaily[EntryDate],DATE(2026,12,17),tblDaily[WardCode],"NICU")),"")</f>
        <v/>
      </c>
      <c r="H452" s="12">
        <f>IFERROR(IF(SUMIFS(tblDaily[Remaining],tblDaily[EntryDate],DATE(2026,12,17),tblDaily[WardCode],"NICU")=0,"",SUMIFS(tblDaily[Remaining],tblDaily[EntryDate],DATE(2026,12,17),tblDaily[WardCode],"NICU")),"")</f>
        <v/>
      </c>
    </row>
    <row r="453">
      <c r="A453" s="12" t="n">
        <v>18</v>
      </c>
      <c r="B453" s="12">
        <f>IFERROR(IF(SUMIFS(tblDaily[Admissions],tblDaily[EntryDate],DATE(2026,12,18),tblDaily[WardCode],"NICU")=0,"",SUMIFS(tblDaily[Admissions],tblDaily[EntryDate],DATE(2026,12,18),tblDaily[WardCode],"NICU")),"")</f>
        <v/>
      </c>
      <c r="C453" s="12">
        <f>IFERROR(IF(SUMIFS(tblDaily[Discharges],tblDaily[EntryDate],DATE(2026,12,18),tblDaily[WardCode],"NICU")=0,"",SUMIFS(tblDaily[Discharges],tblDaily[EntryDate],DATE(2026,12,18),tblDaily[WardCode],"NICU")),"")</f>
        <v/>
      </c>
      <c r="D453" s="12">
        <f>IFERROR(IF(SUMIFS(tblDaily[Deaths],tblDaily[EntryDate],DATE(2026,12,18),tblDaily[WardCode],"NICU")=0,"",SUMIFS(tblDaily[Deaths],tblDaily[EntryDate],DATE(2026,12,18),tblDaily[WardCode],"NICU")),"")</f>
        <v/>
      </c>
      <c r="E453" s="12">
        <f>IFERROR(IF(SUMIFS(tblDaily[DeathsUnder24Hrs],tblDaily[EntryDate],DATE(2026,12,18),tblDaily[WardCode],"NICU")=0,"",SUMIFS(tblDaily[DeathsUnder24Hrs],tblDaily[EntryDate],DATE(2026,12,18),tblDaily[WardCode],"NICU")),"")</f>
        <v/>
      </c>
      <c r="F453" s="12">
        <f>IFERROR(IF(SUMIFS(tblDaily[TransfersIn],tblDaily[EntryDate],DATE(2026,12,18),tblDaily[WardCode],"NICU")=0,"",SUMIFS(tblDaily[TransfersIn],tblDaily[EntryDate],DATE(2026,12,18),tblDaily[WardCode],"NICU")),"")</f>
        <v/>
      </c>
      <c r="G453" s="12">
        <f>IFERROR(IF(SUMIFS(tblDaily[TransfersOut],tblDaily[EntryDate],DATE(2026,12,18),tblDaily[WardCode],"NICU")=0,"",SUMIFS(tblDaily[TransfersOut],tblDaily[EntryDate],DATE(2026,12,18),tblDaily[WardCode],"NICU")),"")</f>
        <v/>
      </c>
      <c r="H453" s="12">
        <f>IFERROR(IF(SUMIFS(tblDaily[Remaining],tblDaily[EntryDate],DATE(2026,12,18),tblDaily[WardCode],"NICU")=0,"",SUMIFS(tblDaily[Remaining],tblDaily[EntryDate],DATE(2026,12,18),tblDaily[WardCode],"NICU")),"")</f>
        <v/>
      </c>
    </row>
    <row r="454">
      <c r="A454" s="12" t="n">
        <v>19</v>
      </c>
      <c r="B454" s="12">
        <f>IFERROR(IF(SUMIFS(tblDaily[Admissions],tblDaily[EntryDate],DATE(2026,12,19),tblDaily[WardCode],"NICU")=0,"",SUMIFS(tblDaily[Admissions],tblDaily[EntryDate],DATE(2026,12,19),tblDaily[WardCode],"NICU")),"")</f>
        <v/>
      </c>
      <c r="C454" s="12">
        <f>IFERROR(IF(SUMIFS(tblDaily[Discharges],tblDaily[EntryDate],DATE(2026,12,19),tblDaily[WardCode],"NICU")=0,"",SUMIFS(tblDaily[Discharges],tblDaily[EntryDate],DATE(2026,12,19),tblDaily[WardCode],"NICU")),"")</f>
        <v/>
      </c>
      <c r="D454" s="12">
        <f>IFERROR(IF(SUMIFS(tblDaily[Deaths],tblDaily[EntryDate],DATE(2026,12,19),tblDaily[WardCode],"NICU")=0,"",SUMIFS(tblDaily[Deaths],tblDaily[EntryDate],DATE(2026,12,19),tblDaily[WardCode],"NICU")),"")</f>
        <v/>
      </c>
      <c r="E454" s="12">
        <f>IFERROR(IF(SUMIFS(tblDaily[DeathsUnder24Hrs],tblDaily[EntryDate],DATE(2026,12,19),tblDaily[WardCode],"NICU")=0,"",SUMIFS(tblDaily[DeathsUnder24Hrs],tblDaily[EntryDate],DATE(2026,12,19),tblDaily[WardCode],"NICU")),"")</f>
        <v/>
      </c>
      <c r="F454" s="12">
        <f>IFERROR(IF(SUMIFS(tblDaily[TransfersIn],tblDaily[EntryDate],DATE(2026,12,19),tblDaily[WardCode],"NICU")=0,"",SUMIFS(tblDaily[TransfersIn],tblDaily[EntryDate],DATE(2026,12,19),tblDaily[WardCode],"NICU")),"")</f>
        <v/>
      </c>
      <c r="G454" s="12">
        <f>IFERROR(IF(SUMIFS(tblDaily[TransfersOut],tblDaily[EntryDate],DATE(2026,12,19),tblDaily[WardCode],"NICU")=0,"",SUMIFS(tblDaily[TransfersOut],tblDaily[EntryDate],DATE(2026,12,19),tblDaily[WardCode],"NICU")),"")</f>
        <v/>
      </c>
      <c r="H454" s="12">
        <f>IFERROR(IF(SUMIFS(tblDaily[Remaining],tblDaily[EntryDate],DATE(2026,12,19),tblDaily[WardCode],"NICU")=0,"",SUMIFS(tblDaily[Remaining],tblDaily[EntryDate],DATE(2026,12,19),tblDaily[WardCode],"NICU")),"")</f>
        <v/>
      </c>
    </row>
    <row r="455">
      <c r="A455" s="12" t="n">
        <v>20</v>
      </c>
      <c r="B455" s="12">
        <f>IFERROR(IF(SUMIFS(tblDaily[Admissions],tblDaily[EntryDate],DATE(2026,12,20),tblDaily[WardCode],"NICU")=0,"",SUMIFS(tblDaily[Admissions],tblDaily[EntryDate],DATE(2026,12,20),tblDaily[WardCode],"NICU")),"")</f>
        <v/>
      </c>
      <c r="C455" s="12">
        <f>IFERROR(IF(SUMIFS(tblDaily[Discharges],tblDaily[EntryDate],DATE(2026,12,20),tblDaily[WardCode],"NICU")=0,"",SUMIFS(tblDaily[Discharges],tblDaily[EntryDate],DATE(2026,12,20),tblDaily[WardCode],"NICU")),"")</f>
        <v/>
      </c>
      <c r="D455" s="12">
        <f>IFERROR(IF(SUMIFS(tblDaily[Deaths],tblDaily[EntryDate],DATE(2026,12,20),tblDaily[WardCode],"NICU")=0,"",SUMIFS(tblDaily[Deaths],tblDaily[EntryDate],DATE(2026,12,20),tblDaily[WardCode],"NICU")),"")</f>
        <v/>
      </c>
      <c r="E455" s="12">
        <f>IFERROR(IF(SUMIFS(tblDaily[DeathsUnder24Hrs],tblDaily[EntryDate],DATE(2026,12,20),tblDaily[WardCode],"NICU")=0,"",SUMIFS(tblDaily[DeathsUnder24Hrs],tblDaily[EntryDate],DATE(2026,12,20),tblDaily[WardCode],"NICU")),"")</f>
        <v/>
      </c>
      <c r="F455" s="12">
        <f>IFERROR(IF(SUMIFS(tblDaily[TransfersIn],tblDaily[EntryDate],DATE(2026,12,20),tblDaily[WardCode],"NICU")=0,"",SUMIFS(tblDaily[TransfersIn],tblDaily[EntryDate],DATE(2026,12,20),tblDaily[WardCode],"NICU")),"")</f>
        <v/>
      </c>
      <c r="G455" s="12">
        <f>IFERROR(IF(SUMIFS(tblDaily[TransfersOut],tblDaily[EntryDate],DATE(2026,12,20),tblDaily[WardCode],"NICU")=0,"",SUMIFS(tblDaily[TransfersOut],tblDaily[EntryDate],DATE(2026,12,20),tblDaily[WardCode],"NICU")),"")</f>
        <v/>
      </c>
      <c r="H455" s="12">
        <f>IFERROR(IF(SUMIFS(tblDaily[Remaining],tblDaily[EntryDate],DATE(2026,12,20),tblDaily[WardCode],"NICU")=0,"",SUMIFS(tblDaily[Remaining],tblDaily[EntryDate],DATE(2026,12,20),tblDaily[WardCode],"NICU")),"")</f>
        <v/>
      </c>
    </row>
    <row r="456">
      <c r="A456" s="12" t="n">
        <v>21</v>
      </c>
      <c r="B456" s="12">
        <f>IFERROR(IF(SUMIFS(tblDaily[Admissions],tblDaily[EntryDate],DATE(2026,12,21),tblDaily[WardCode],"NICU")=0,"",SUMIFS(tblDaily[Admissions],tblDaily[EntryDate],DATE(2026,12,21),tblDaily[WardCode],"NICU")),"")</f>
        <v/>
      </c>
      <c r="C456" s="12">
        <f>IFERROR(IF(SUMIFS(tblDaily[Discharges],tblDaily[EntryDate],DATE(2026,12,21),tblDaily[WardCode],"NICU")=0,"",SUMIFS(tblDaily[Discharges],tblDaily[EntryDate],DATE(2026,12,21),tblDaily[WardCode],"NICU")),"")</f>
        <v/>
      </c>
      <c r="D456" s="12">
        <f>IFERROR(IF(SUMIFS(tblDaily[Deaths],tblDaily[EntryDate],DATE(2026,12,21),tblDaily[WardCode],"NICU")=0,"",SUMIFS(tblDaily[Deaths],tblDaily[EntryDate],DATE(2026,12,21),tblDaily[WardCode],"NICU")),"")</f>
        <v/>
      </c>
      <c r="E456" s="12">
        <f>IFERROR(IF(SUMIFS(tblDaily[DeathsUnder24Hrs],tblDaily[EntryDate],DATE(2026,12,21),tblDaily[WardCode],"NICU")=0,"",SUMIFS(tblDaily[DeathsUnder24Hrs],tblDaily[EntryDate],DATE(2026,12,21),tblDaily[WardCode],"NICU")),"")</f>
        <v/>
      </c>
      <c r="F456" s="12">
        <f>IFERROR(IF(SUMIFS(tblDaily[TransfersIn],tblDaily[EntryDate],DATE(2026,12,21),tblDaily[WardCode],"NICU")=0,"",SUMIFS(tblDaily[TransfersIn],tblDaily[EntryDate],DATE(2026,12,21),tblDaily[WardCode],"NICU")),"")</f>
        <v/>
      </c>
      <c r="G456" s="12">
        <f>IFERROR(IF(SUMIFS(tblDaily[TransfersOut],tblDaily[EntryDate],DATE(2026,12,21),tblDaily[WardCode],"NICU")=0,"",SUMIFS(tblDaily[TransfersOut],tblDaily[EntryDate],DATE(2026,12,21),tblDaily[WardCode],"NICU")),"")</f>
        <v/>
      </c>
      <c r="H456" s="12">
        <f>IFERROR(IF(SUMIFS(tblDaily[Remaining],tblDaily[EntryDate],DATE(2026,12,21),tblDaily[WardCode],"NICU")=0,"",SUMIFS(tblDaily[Remaining],tblDaily[EntryDate],DATE(2026,12,21),tblDaily[WardCode],"NICU")),"")</f>
        <v/>
      </c>
    </row>
    <row r="457">
      <c r="A457" s="12" t="n">
        <v>22</v>
      </c>
      <c r="B457" s="12">
        <f>IFERROR(IF(SUMIFS(tblDaily[Admissions],tblDaily[EntryDate],DATE(2026,12,22),tblDaily[WardCode],"NICU")=0,"",SUMIFS(tblDaily[Admissions],tblDaily[EntryDate],DATE(2026,12,22),tblDaily[WardCode],"NICU")),"")</f>
        <v/>
      </c>
      <c r="C457" s="12">
        <f>IFERROR(IF(SUMIFS(tblDaily[Discharges],tblDaily[EntryDate],DATE(2026,12,22),tblDaily[WardCode],"NICU")=0,"",SUMIFS(tblDaily[Discharges],tblDaily[EntryDate],DATE(2026,12,22),tblDaily[WardCode],"NICU")),"")</f>
        <v/>
      </c>
      <c r="D457" s="12">
        <f>IFERROR(IF(SUMIFS(tblDaily[Deaths],tblDaily[EntryDate],DATE(2026,12,22),tblDaily[WardCode],"NICU")=0,"",SUMIFS(tblDaily[Deaths],tblDaily[EntryDate],DATE(2026,12,22),tblDaily[WardCode],"NICU")),"")</f>
        <v/>
      </c>
      <c r="E457" s="12">
        <f>IFERROR(IF(SUMIFS(tblDaily[DeathsUnder24Hrs],tblDaily[EntryDate],DATE(2026,12,22),tblDaily[WardCode],"NICU")=0,"",SUMIFS(tblDaily[DeathsUnder24Hrs],tblDaily[EntryDate],DATE(2026,12,22),tblDaily[WardCode],"NICU")),"")</f>
        <v/>
      </c>
      <c r="F457" s="12">
        <f>IFERROR(IF(SUMIFS(tblDaily[TransfersIn],tblDaily[EntryDate],DATE(2026,12,22),tblDaily[WardCode],"NICU")=0,"",SUMIFS(tblDaily[TransfersIn],tblDaily[EntryDate],DATE(2026,12,22),tblDaily[WardCode],"NICU")),"")</f>
        <v/>
      </c>
      <c r="G457" s="12">
        <f>IFERROR(IF(SUMIFS(tblDaily[TransfersOut],tblDaily[EntryDate],DATE(2026,12,22),tblDaily[WardCode],"NICU")=0,"",SUMIFS(tblDaily[TransfersOut],tblDaily[EntryDate],DATE(2026,12,22),tblDaily[WardCode],"NICU")),"")</f>
        <v/>
      </c>
      <c r="H457" s="12">
        <f>IFERROR(IF(SUMIFS(tblDaily[Remaining],tblDaily[EntryDate],DATE(2026,12,22),tblDaily[WardCode],"NICU")=0,"",SUMIFS(tblDaily[Remaining],tblDaily[EntryDate],DATE(2026,12,22),tblDaily[WardCode],"NICU")),"")</f>
        <v/>
      </c>
    </row>
    <row r="458">
      <c r="A458" s="12" t="n">
        <v>23</v>
      </c>
      <c r="B458" s="12">
        <f>IFERROR(IF(SUMIFS(tblDaily[Admissions],tblDaily[EntryDate],DATE(2026,12,23),tblDaily[WardCode],"NICU")=0,"",SUMIFS(tblDaily[Admissions],tblDaily[EntryDate],DATE(2026,12,23),tblDaily[WardCode],"NICU")),"")</f>
        <v/>
      </c>
      <c r="C458" s="12">
        <f>IFERROR(IF(SUMIFS(tblDaily[Discharges],tblDaily[EntryDate],DATE(2026,12,23),tblDaily[WardCode],"NICU")=0,"",SUMIFS(tblDaily[Discharges],tblDaily[EntryDate],DATE(2026,12,23),tblDaily[WardCode],"NICU")),"")</f>
        <v/>
      </c>
      <c r="D458" s="12">
        <f>IFERROR(IF(SUMIFS(tblDaily[Deaths],tblDaily[EntryDate],DATE(2026,12,23),tblDaily[WardCode],"NICU")=0,"",SUMIFS(tblDaily[Deaths],tblDaily[EntryDate],DATE(2026,12,23),tblDaily[WardCode],"NICU")),"")</f>
        <v/>
      </c>
      <c r="E458" s="12">
        <f>IFERROR(IF(SUMIFS(tblDaily[DeathsUnder24Hrs],tblDaily[EntryDate],DATE(2026,12,23),tblDaily[WardCode],"NICU")=0,"",SUMIFS(tblDaily[DeathsUnder24Hrs],tblDaily[EntryDate],DATE(2026,12,23),tblDaily[WardCode],"NICU")),"")</f>
        <v/>
      </c>
      <c r="F458" s="12">
        <f>IFERROR(IF(SUMIFS(tblDaily[TransfersIn],tblDaily[EntryDate],DATE(2026,12,23),tblDaily[WardCode],"NICU")=0,"",SUMIFS(tblDaily[TransfersIn],tblDaily[EntryDate],DATE(2026,12,23),tblDaily[WardCode],"NICU")),"")</f>
        <v/>
      </c>
      <c r="G458" s="12">
        <f>IFERROR(IF(SUMIFS(tblDaily[TransfersOut],tblDaily[EntryDate],DATE(2026,12,23),tblDaily[WardCode],"NICU")=0,"",SUMIFS(tblDaily[TransfersOut],tblDaily[EntryDate],DATE(2026,12,23),tblDaily[WardCode],"NICU")),"")</f>
        <v/>
      </c>
      <c r="H458" s="12">
        <f>IFERROR(IF(SUMIFS(tblDaily[Remaining],tblDaily[EntryDate],DATE(2026,12,23),tblDaily[WardCode],"NICU")=0,"",SUMIFS(tblDaily[Remaining],tblDaily[EntryDate],DATE(2026,12,23),tblDaily[WardCode],"NICU")),"")</f>
        <v/>
      </c>
    </row>
    <row r="459">
      <c r="A459" s="12" t="n">
        <v>24</v>
      </c>
      <c r="B459" s="12">
        <f>IFERROR(IF(SUMIFS(tblDaily[Admissions],tblDaily[EntryDate],DATE(2026,12,24),tblDaily[WardCode],"NICU")=0,"",SUMIFS(tblDaily[Admissions],tblDaily[EntryDate],DATE(2026,12,24),tblDaily[WardCode],"NICU")),"")</f>
        <v/>
      </c>
      <c r="C459" s="12">
        <f>IFERROR(IF(SUMIFS(tblDaily[Discharges],tblDaily[EntryDate],DATE(2026,12,24),tblDaily[WardCode],"NICU")=0,"",SUMIFS(tblDaily[Discharges],tblDaily[EntryDate],DATE(2026,12,24),tblDaily[WardCode],"NICU")),"")</f>
        <v/>
      </c>
      <c r="D459" s="12">
        <f>IFERROR(IF(SUMIFS(tblDaily[Deaths],tblDaily[EntryDate],DATE(2026,12,24),tblDaily[WardCode],"NICU")=0,"",SUMIFS(tblDaily[Deaths],tblDaily[EntryDate],DATE(2026,12,24),tblDaily[WardCode],"NICU")),"")</f>
        <v/>
      </c>
      <c r="E459" s="12">
        <f>IFERROR(IF(SUMIFS(tblDaily[DeathsUnder24Hrs],tblDaily[EntryDate],DATE(2026,12,24),tblDaily[WardCode],"NICU")=0,"",SUMIFS(tblDaily[DeathsUnder24Hrs],tblDaily[EntryDate],DATE(2026,12,24),tblDaily[WardCode],"NICU")),"")</f>
        <v/>
      </c>
      <c r="F459" s="12">
        <f>IFERROR(IF(SUMIFS(tblDaily[TransfersIn],tblDaily[EntryDate],DATE(2026,12,24),tblDaily[WardCode],"NICU")=0,"",SUMIFS(tblDaily[TransfersIn],tblDaily[EntryDate],DATE(2026,12,24),tblDaily[WardCode],"NICU")),"")</f>
        <v/>
      </c>
      <c r="G459" s="12">
        <f>IFERROR(IF(SUMIFS(tblDaily[TransfersOut],tblDaily[EntryDate],DATE(2026,12,24),tblDaily[WardCode],"NICU")=0,"",SUMIFS(tblDaily[TransfersOut],tblDaily[EntryDate],DATE(2026,12,24),tblDaily[WardCode],"NICU")),"")</f>
        <v/>
      </c>
      <c r="H459" s="12">
        <f>IFERROR(IF(SUMIFS(tblDaily[Remaining],tblDaily[EntryDate],DATE(2026,12,24),tblDaily[WardCode],"NICU")=0,"",SUMIFS(tblDaily[Remaining],tblDaily[EntryDate],DATE(2026,12,24),tblDaily[WardCode],"NICU")),"")</f>
        <v/>
      </c>
    </row>
    <row r="460">
      <c r="A460" s="12" t="n">
        <v>25</v>
      </c>
      <c r="B460" s="12">
        <f>IFERROR(IF(SUMIFS(tblDaily[Admissions],tblDaily[EntryDate],DATE(2026,12,25),tblDaily[WardCode],"NICU")=0,"",SUMIFS(tblDaily[Admissions],tblDaily[EntryDate],DATE(2026,12,25),tblDaily[WardCode],"NICU")),"")</f>
        <v/>
      </c>
      <c r="C460" s="12">
        <f>IFERROR(IF(SUMIFS(tblDaily[Discharges],tblDaily[EntryDate],DATE(2026,12,25),tblDaily[WardCode],"NICU")=0,"",SUMIFS(tblDaily[Discharges],tblDaily[EntryDate],DATE(2026,12,25),tblDaily[WardCode],"NICU")),"")</f>
        <v/>
      </c>
      <c r="D460" s="12">
        <f>IFERROR(IF(SUMIFS(tblDaily[Deaths],tblDaily[EntryDate],DATE(2026,12,25),tblDaily[WardCode],"NICU")=0,"",SUMIFS(tblDaily[Deaths],tblDaily[EntryDate],DATE(2026,12,25),tblDaily[WardCode],"NICU")),"")</f>
        <v/>
      </c>
      <c r="E460" s="12">
        <f>IFERROR(IF(SUMIFS(tblDaily[DeathsUnder24Hrs],tblDaily[EntryDate],DATE(2026,12,25),tblDaily[WardCode],"NICU")=0,"",SUMIFS(tblDaily[DeathsUnder24Hrs],tblDaily[EntryDate],DATE(2026,12,25),tblDaily[WardCode],"NICU")),"")</f>
        <v/>
      </c>
      <c r="F460" s="12">
        <f>IFERROR(IF(SUMIFS(tblDaily[TransfersIn],tblDaily[EntryDate],DATE(2026,12,25),tblDaily[WardCode],"NICU")=0,"",SUMIFS(tblDaily[TransfersIn],tblDaily[EntryDate],DATE(2026,12,25),tblDaily[WardCode],"NICU")),"")</f>
        <v/>
      </c>
      <c r="G460" s="12">
        <f>IFERROR(IF(SUMIFS(tblDaily[TransfersOut],tblDaily[EntryDate],DATE(2026,12,25),tblDaily[WardCode],"NICU")=0,"",SUMIFS(tblDaily[TransfersOut],tblDaily[EntryDate],DATE(2026,12,25),tblDaily[WardCode],"NICU")),"")</f>
        <v/>
      </c>
      <c r="H460" s="12">
        <f>IFERROR(IF(SUMIFS(tblDaily[Remaining],tblDaily[EntryDate],DATE(2026,12,25),tblDaily[WardCode],"NICU")=0,"",SUMIFS(tblDaily[Remaining],tblDaily[EntryDate],DATE(2026,12,25),tblDaily[WardCode],"NICU")),"")</f>
        <v/>
      </c>
    </row>
    <row r="461">
      <c r="A461" s="12" t="n">
        <v>26</v>
      </c>
      <c r="B461" s="12">
        <f>IFERROR(IF(SUMIFS(tblDaily[Admissions],tblDaily[EntryDate],DATE(2026,12,26),tblDaily[WardCode],"NICU")=0,"",SUMIFS(tblDaily[Admissions],tblDaily[EntryDate],DATE(2026,12,26),tblDaily[WardCode],"NICU")),"")</f>
        <v/>
      </c>
      <c r="C461" s="12">
        <f>IFERROR(IF(SUMIFS(tblDaily[Discharges],tblDaily[EntryDate],DATE(2026,12,26),tblDaily[WardCode],"NICU")=0,"",SUMIFS(tblDaily[Discharges],tblDaily[EntryDate],DATE(2026,12,26),tblDaily[WardCode],"NICU")),"")</f>
        <v/>
      </c>
      <c r="D461" s="12">
        <f>IFERROR(IF(SUMIFS(tblDaily[Deaths],tblDaily[EntryDate],DATE(2026,12,26),tblDaily[WardCode],"NICU")=0,"",SUMIFS(tblDaily[Deaths],tblDaily[EntryDate],DATE(2026,12,26),tblDaily[WardCode],"NICU")),"")</f>
        <v/>
      </c>
      <c r="E461" s="12">
        <f>IFERROR(IF(SUMIFS(tblDaily[DeathsUnder24Hrs],tblDaily[EntryDate],DATE(2026,12,26),tblDaily[WardCode],"NICU")=0,"",SUMIFS(tblDaily[DeathsUnder24Hrs],tblDaily[EntryDate],DATE(2026,12,26),tblDaily[WardCode],"NICU")),"")</f>
        <v/>
      </c>
      <c r="F461" s="12">
        <f>IFERROR(IF(SUMIFS(tblDaily[TransfersIn],tblDaily[EntryDate],DATE(2026,12,26),tblDaily[WardCode],"NICU")=0,"",SUMIFS(tblDaily[TransfersIn],tblDaily[EntryDate],DATE(2026,12,26),tblDaily[WardCode],"NICU")),"")</f>
        <v/>
      </c>
      <c r="G461" s="12">
        <f>IFERROR(IF(SUMIFS(tblDaily[TransfersOut],tblDaily[EntryDate],DATE(2026,12,26),tblDaily[WardCode],"NICU")=0,"",SUMIFS(tblDaily[TransfersOut],tblDaily[EntryDate],DATE(2026,12,26),tblDaily[WardCode],"NICU")),"")</f>
        <v/>
      </c>
      <c r="H461" s="12">
        <f>IFERROR(IF(SUMIFS(tblDaily[Remaining],tblDaily[EntryDate],DATE(2026,12,26),tblDaily[WardCode],"NICU")=0,"",SUMIFS(tblDaily[Remaining],tblDaily[EntryDate],DATE(2026,12,26),tblDaily[WardCode],"NICU")),"")</f>
        <v/>
      </c>
    </row>
    <row r="462">
      <c r="A462" s="12" t="n">
        <v>27</v>
      </c>
      <c r="B462" s="12">
        <f>IFERROR(IF(SUMIFS(tblDaily[Admissions],tblDaily[EntryDate],DATE(2026,12,27),tblDaily[WardCode],"NICU")=0,"",SUMIFS(tblDaily[Admissions],tblDaily[EntryDate],DATE(2026,12,27),tblDaily[WardCode],"NICU")),"")</f>
        <v/>
      </c>
      <c r="C462" s="12">
        <f>IFERROR(IF(SUMIFS(tblDaily[Discharges],tblDaily[EntryDate],DATE(2026,12,27),tblDaily[WardCode],"NICU")=0,"",SUMIFS(tblDaily[Discharges],tblDaily[EntryDate],DATE(2026,12,27),tblDaily[WardCode],"NICU")),"")</f>
        <v/>
      </c>
      <c r="D462" s="12">
        <f>IFERROR(IF(SUMIFS(tblDaily[Deaths],tblDaily[EntryDate],DATE(2026,12,27),tblDaily[WardCode],"NICU")=0,"",SUMIFS(tblDaily[Deaths],tblDaily[EntryDate],DATE(2026,12,27),tblDaily[WardCode],"NICU")),"")</f>
        <v/>
      </c>
      <c r="E462" s="12">
        <f>IFERROR(IF(SUMIFS(tblDaily[DeathsUnder24Hrs],tblDaily[EntryDate],DATE(2026,12,27),tblDaily[WardCode],"NICU")=0,"",SUMIFS(tblDaily[DeathsUnder24Hrs],tblDaily[EntryDate],DATE(2026,12,27),tblDaily[WardCode],"NICU")),"")</f>
        <v/>
      </c>
      <c r="F462" s="12">
        <f>IFERROR(IF(SUMIFS(tblDaily[TransfersIn],tblDaily[EntryDate],DATE(2026,12,27),tblDaily[WardCode],"NICU")=0,"",SUMIFS(tblDaily[TransfersIn],tblDaily[EntryDate],DATE(2026,12,27),tblDaily[WardCode],"NICU")),"")</f>
        <v/>
      </c>
      <c r="G462" s="12">
        <f>IFERROR(IF(SUMIFS(tblDaily[TransfersOut],tblDaily[EntryDate],DATE(2026,12,27),tblDaily[WardCode],"NICU")=0,"",SUMIFS(tblDaily[TransfersOut],tblDaily[EntryDate],DATE(2026,12,27),tblDaily[WardCode],"NICU")),"")</f>
        <v/>
      </c>
      <c r="H462" s="12">
        <f>IFERROR(IF(SUMIFS(tblDaily[Remaining],tblDaily[EntryDate],DATE(2026,12,27),tblDaily[WardCode],"NICU")=0,"",SUMIFS(tblDaily[Remaining],tblDaily[EntryDate],DATE(2026,12,27),tblDaily[WardCode],"NICU")),"")</f>
        <v/>
      </c>
    </row>
    <row r="463">
      <c r="A463" s="12" t="n">
        <v>28</v>
      </c>
      <c r="B463" s="12">
        <f>IFERROR(IF(SUMIFS(tblDaily[Admissions],tblDaily[EntryDate],DATE(2026,12,28),tblDaily[WardCode],"NICU")=0,"",SUMIFS(tblDaily[Admissions],tblDaily[EntryDate],DATE(2026,12,28),tblDaily[WardCode],"NICU")),"")</f>
        <v/>
      </c>
      <c r="C463" s="12">
        <f>IFERROR(IF(SUMIFS(tblDaily[Discharges],tblDaily[EntryDate],DATE(2026,12,28),tblDaily[WardCode],"NICU")=0,"",SUMIFS(tblDaily[Discharges],tblDaily[EntryDate],DATE(2026,12,28),tblDaily[WardCode],"NICU")),"")</f>
        <v/>
      </c>
      <c r="D463" s="12">
        <f>IFERROR(IF(SUMIFS(tblDaily[Deaths],tblDaily[EntryDate],DATE(2026,12,28),tblDaily[WardCode],"NICU")=0,"",SUMIFS(tblDaily[Deaths],tblDaily[EntryDate],DATE(2026,12,28),tblDaily[WardCode],"NICU")),"")</f>
        <v/>
      </c>
      <c r="E463" s="12">
        <f>IFERROR(IF(SUMIFS(tblDaily[DeathsUnder24Hrs],tblDaily[EntryDate],DATE(2026,12,28),tblDaily[WardCode],"NICU")=0,"",SUMIFS(tblDaily[DeathsUnder24Hrs],tblDaily[EntryDate],DATE(2026,12,28),tblDaily[WardCode],"NICU")),"")</f>
        <v/>
      </c>
      <c r="F463" s="12">
        <f>IFERROR(IF(SUMIFS(tblDaily[TransfersIn],tblDaily[EntryDate],DATE(2026,12,28),tblDaily[WardCode],"NICU")=0,"",SUMIFS(tblDaily[TransfersIn],tblDaily[EntryDate],DATE(2026,12,28),tblDaily[WardCode],"NICU")),"")</f>
        <v/>
      </c>
      <c r="G463" s="12">
        <f>IFERROR(IF(SUMIFS(tblDaily[TransfersOut],tblDaily[EntryDate],DATE(2026,12,28),tblDaily[WardCode],"NICU")=0,"",SUMIFS(tblDaily[TransfersOut],tblDaily[EntryDate],DATE(2026,12,28),tblDaily[WardCode],"NICU")),"")</f>
        <v/>
      </c>
      <c r="H463" s="12">
        <f>IFERROR(IF(SUMIFS(tblDaily[Remaining],tblDaily[EntryDate],DATE(2026,12,28),tblDaily[WardCode],"NICU")=0,"",SUMIFS(tblDaily[Remaining],tblDaily[EntryDate],DATE(2026,12,28),tblDaily[WardCode],"NICU")),"")</f>
        <v/>
      </c>
    </row>
    <row r="464">
      <c r="A464" s="12" t="n">
        <v>29</v>
      </c>
      <c r="B464" s="12">
        <f>IFERROR(IF(SUMIFS(tblDaily[Admissions],tblDaily[EntryDate],DATE(2026,12,29),tblDaily[WardCode],"NICU")=0,"",SUMIFS(tblDaily[Admissions],tblDaily[EntryDate],DATE(2026,12,29),tblDaily[WardCode],"NICU")),"")</f>
        <v/>
      </c>
      <c r="C464" s="12">
        <f>IFERROR(IF(SUMIFS(tblDaily[Discharges],tblDaily[EntryDate],DATE(2026,12,29),tblDaily[WardCode],"NICU")=0,"",SUMIFS(tblDaily[Discharges],tblDaily[EntryDate],DATE(2026,12,29),tblDaily[WardCode],"NICU")),"")</f>
        <v/>
      </c>
      <c r="D464" s="12">
        <f>IFERROR(IF(SUMIFS(tblDaily[Deaths],tblDaily[EntryDate],DATE(2026,12,29),tblDaily[WardCode],"NICU")=0,"",SUMIFS(tblDaily[Deaths],tblDaily[EntryDate],DATE(2026,12,29),tblDaily[WardCode],"NICU")),"")</f>
        <v/>
      </c>
      <c r="E464" s="12">
        <f>IFERROR(IF(SUMIFS(tblDaily[DeathsUnder24Hrs],tblDaily[EntryDate],DATE(2026,12,29),tblDaily[WardCode],"NICU")=0,"",SUMIFS(tblDaily[DeathsUnder24Hrs],tblDaily[EntryDate],DATE(2026,12,29),tblDaily[WardCode],"NICU")),"")</f>
        <v/>
      </c>
      <c r="F464" s="12">
        <f>IFERROR(IF(SUMIFS(tblDaily[TransfersIn],tblDaily[EntryDate],DATE(2026,12,29),tblDaily[WardCode],"NICU")=0,"",SUMIFS(tblDaily[TransfersIn],tblDaily[EntryDate],DATE(2026,12,29),tblDaily[WardCode],"NICU")),"")</f>
        <v/>
      </c>
      <c r="G464" s="12">
        <f>IFERROR(IF(SUMIFS(tblDaily[TransfersOut],tblDaily[EntryDate],DATE(2026,12,29),tblDaily[WardCode],"NICU")=0,"",SUMIFS(tblDaily[TransfersOut],tblDaily[EntryDate],DATE(2026,12,29),tblDaily[WardCode],"NICU")),"")</f>
        <v/>
      </c>
      <c r="H464" s="12">
        <f>IFERROR(IF(SUMIFS(tblDaily[Remaining],tblDaily[EntryDate],DATE(2026,12,29),tblDaily[WardCode],"NICU")=0,"",SUMIFS(tblDaily[Remaining],tblDaily[EntryDate],DATE(2026,12,29),tblDaily[WardCode],"NICU")),"")</f>
        <v/>
      </c>
    </row>
    <row r="465">
      <c r="A465" s="12" t="n">
        <v>30</v>
      </c>
      <c r="B465" s="12">
        <f>IFERROR(IF(SUMIFS(tblDaily[Admissions],tblDaily[EntryDate],DATE(2026,12,30),tblDaily[WardCode],"NICU")=0,"",SUMIFS(tblDaily[Admissions],tblDaily[EntryDate],DATE(2026,12,30),tblDaily[WardCode],"NICU")),"")</f>
        <v/>
      </c>
      <c r="C465" s="12">
        <f>IFERROR(IF(SUMIFS(tblDaily[Discharges],tblDaily[EntryDate],DATE(2026,12,30),tblDaily[WardCode],"NICU")=0,"",SUMIFS(tblDaily[Discharges],tblDaily[EntryDate],DATE(2026,12,30),tblDaily[WardCode],"NICU")),"")</f>
        <v/>
      </c>
      <c r="D465" s="12">
        <f>IFERROR(IF(SUMIFS(tblDaily[Deaths],tblDaily[EntryDate],DATE(2026,12,30),tblDaily[WardCode],"NICU")=0,"",SUMIFS(tblDaily[Deaths],tblDaily[EntryDate],DATE(2026,12,30),tblDaily[WardCode],"NICU")),"")</f>
        <v/>
      </c>
      <c r="E465" s="12">
        <f>IFERROR(IF(SUMIFS(tblDaily[DeathsUnder24Hrs],tblDaily[EntryDate],DATE(2026,12,30),tblDaily[WardCode],"NICU")=0,"",SUMIFS(tblDaily[DeathsUnder24Hrs],tblDaily[EntryDate],DATE(2026,12,30),tblDaily[WardCode],"NICU")),"")</f>
        <v/>
      </c>
      <c r="F465" s="12">
        <f>IFERROR(IF(SUMIFS(tblDaily[TransfersIn],tblDaily[EntryDate],DATE(2026,12,30),tblDaily[WardCode],"NICU")=0,"",SUMIFS(tblDaily[TransfersIn],tblDaily[EntryDate],DATE(2026,12,30),tblDaily[WardCode],"NICU")),"")</f>
        <v/>
      </c>
      <c r="G465" s="12">
        <f>IFERROR(IF(SUMIFS(tblDaily[TransfersOut],tblDaily[EntryDate],DATE(2026,12,30),tblDaily[WardCode],"NICU")=0,"",SUMIFS(tblDaily[TransfersOut],tblDaily[EntryDate],DATE(2026,12,30),tblDaily[WardCode],"NICU")),"")</f>
        <v/>
      </c>
      <c r="H465" s="12">
        <f>IFERROR(IF(SUMIFS(tblDaily[Remaining],tblDaily[EntryDate],DATE(2026,12,30),tblDaily[WardCode],"NICU")=0,"",SUMIFS(tblDaily[Remaining],tblDaily[EntryDate],DATE(2026,12,30),tblDaily[WardCode],"NICU")),"")</f>
        <v/>
      </c>
    </row>
    <row r="466">
      <c r="A466" s="12" t="n">
        <v>31</v>
      </c>
      <c r="B466" s="12">
        <f>IFERROR(IF(SUMIFS(tblDaily[Admissions],tblDaily[EntryDate],DATE(2026,12,31),tblDaily[WardCode],"NICU")=0,"",SUMIFS(tblDaily[Admissions],tblDaily[EntryDate],DATE(2026,12,31),tblDaily[WardCode],"NICU")),"")</f>
        <v/>
      </c>
      <c r="C466" s="12">
        <f>IFERROR(IF(SUMIFS(tblDaily[Discharges],tblDaily[EntryDate],DATE(2026,12,31),tblDaily[WardCode],"NICU")=0,"",SUMIFS(tblDaily[Discharges],tblDaily[EntryDate],DATE(2026,12,31),tblDaily[WardCode],"NICU")),"")</f>
        <v/>
      </c>
      <c r="D466" s="12">
        <f>IFERROR(IF(SUMIFS(tblDaily[Deaths],tblDaily[EntryDate],DATE(2026,12,31),tblDaily[WardCode],"NICU")=0,"",SUMIFS(tblDaily[Deaths],tblDaily[EntryDate],DATE(2026,12,31),tblDaily[WardCode],"NICU")),"")</f>
        <v/>
      </c>
      <c r="E466" s="12">
        <f>IFERROR(IF(SUMIFS(tblDaily[DeathsUnder24Hrs],tblDaily[EntryDate],DATE(2026,12,31),tblDaily[WardCode],"NICU")=0,"",SUMIFS(tblDaily[DeathsUnder24Hrs],tblDaily[EntryDate],DATE(2026,12,31),tblDaily[WardCode],"NICU")),"")</f>
        <v/>
      </c>
      <c r="F466" s="12">
        <f>IFERROR(IF(SUMIFS(tblDaily[TransfersIn],tblDaily[EntryDate],DATE(2026,12,31),tblDaily[WardCode],"NICU")=0,"",SUMIFS(tblDaily[TransfersIn],tblDaily[EntryDate],DATE(2026,12,31),tblDaily[WardCode],"NICU")),"")</f>
        <v/>
      </c>
      <c r="G466" s="12">
        <f>IFERROR(IF(SUMIFS(tblDaily[TransfersOut],tblDaily[EntryDate],DATE(2026,12,31),tblDaily[WardCode],"NICU")=0,"",SUMIFS(tblDaily[TransfersOut],tblDaily[EntryDate],DATE(2026,12,31),tblDaily[WardCode],"NICU")),"")</f>
        <v/>
      </c>
      <c r="H466" s="12">
        <f>IFERROR(IF(SUMIFS(tblDaily[Remaining],tblDaily[EntryDate],DATE(2026,12,31),tblDaily[WardCode],"NICU")=0,"",SUMIFS(tblDaily[Remaining],tblDaily[EntryDate],DATE(2026,12,31),tblDaily[WardCode],"NICU")),"")</f>
        <v/>
      </c>
    </row>
    <row r="467">
      <c r="A467" s="17" t="inlineStr">
        <is>
          <t>TOTAL</t>
        </is>
      </c>
      <c r="B467" s="17">
        <f>SUMIFS(tblDaily[Admissions],tblDaily[Month],12,tblDaily[WardCode],"NICU") - SUMIFS(tblDaily[DeathsUnder24Hrs],tblDaily[Month],12,tblDaily[WardCode],"NICU")</f>
        <v/>
      </c>
      <c r="C467" s="17">
        <f>SUMIFS(tblDaily[Discharges],tblDaily[Month],12,tblDaily[WardCode],"NICU")</f>
        <v/>
      </c>
      <c r="D467" s="17">
        <f>SUMIFS(tblDaily[Deaths],tblDaily[Month],12,tblDaily[WardCode],"NICU")</f>
        <v/>
      </c>
      <c r="E467" s="17">
        <f>SUMIFS(tblDaily[DeathsUnder24Hrs],tblDaily[Month],12,tblDaily[WardCode],"NICU")</f>
        <v/>
      </c>
      <c r="F467" s="17">
        <f>SUMIFS(tblDaily[TransfersIn],tblDaily[Month],12,tblDaily[WardCode],"NICU")</f>
        <v/>
      </c>
      <c r="G467" s="17">
        <f>SUMIFS(tblDaily[TransfersOut],tblDaily[Month],12,tblDaily[WardCode],"NICU")</f>
        <v/>
      </c>
      <c r="H467" s="17">
        <f>SUMIFS(tblDaily[Remaining],tblDaily[Month],12,tblDaily[WardCode],"NICU")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3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MALE EMERGENCY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4">
        <f>IFERROR(INDEX(tblWardConfig[PrevYearRemaining],MATCH("MAE",tblWardConfig[WardCode],0)),0)</f>
        <v/>
      </c>
    </row>
    <row r="5">
      <c r="A5" s="4" t="inlineStr">
        <is>
          <t>Bed complement</t>
        </is>
      </c>
      <c r="H5" s="15">
        <f>IFERROR(INDEX(tblWardConfig[BedComplement],MATCH("MAE",tblWardConfig[WardCode],0)),0)</f>
        <v/>
      </c>
    </row>
    <row r="6">
      <c r="A6" s="16" t="inlineStr">
        <is>
          <t>Day of
the
Month</t>
        </is>
      </c>
      <c r="B6" s="16" t="inlineStr">
        <is>
          <t>Admissions</t>
        </is>
      </c>
      <c r="C6" s="16" t="inlineStr">
        <is>
          <t>Discharges</t>
        </is>
      </c>
      <c r="D6" s="16" t="inlineStr">
        <is>
          <t>Deaths</t>
        </is>
      </c>
      <c r="E6" s="16" t="inlineStr">
        <is>
          <t>Deaths
&lt;24Hrs</t>
        </is>
      </c>
      <c r="F6" s="16" t="inlineStr">
        <is>
          <t>Transfers-
In</t>
        </is>
      </c>
      <c r="G6" s="16" t="inlineStr">
        <is>
          <t>Transfers-
Out</t>
        </is>
      </c>
      <c r="H6" s="16" t="inlineStr">
        <is>
          <t>No. of Patients
Remaining In
Ward</t>
        </is>
      </c>
    </row>
    <row r="7">
      <c r="A7" s="12" t="n">
        <v>1</v>
      </c>
      <c r="B7" s="12">
        <f>IFERROR(IF(SUMIFS(tblDaily[Admissions],tblDaily[EntryDate],DATE(2026,1,1),tblDaily[WardCode],"MAE")=0,"",SUMIFS(tblDaily[Admissions],tblDaily[EntryDate],DATE(2026,1,1),tblDaily[WardCode],"MAE")),"")</f>
        <v/>
      </c>
      <c r="C7" s="12">
        <f>IFERROR(IF(SUMIFS(tblDaily[Discharges],tblDaily[EntryDate],DATE(2026,1,1),tblDaily[WardCode],"MAE")=0,"",SUMIFS(tblDaily[Discharges],tblDaily[EntryDate],DATE(2026,1,1),tblDaily[WardCode],"MAE")),"")</f>
        <v/>
      </c>
      <c r="D7" s="12">
        <f>IFERROR(IF(SUMIFS(tblDaily[Deaths],tblDaily[EntryDate],DATE(2026,1,1),tblDaily[WardCode],"MAE")=0,"",SUMIFS(tblDaily[Deaths],tblDaily[EntryDate],DATE(2026,1,1),tblDaily[WardCode],"MAE")),"")</f>
        <v/>
      </c>
      <c r="E7" s="12">
        <f>IFERROR(IF(SUMIFS(tblDaily[DeathsUnder24Hrs],tblDaily[EntryDate],DATE(2026,1,1),tblDaily[WardCode],"MAE")=0,"",SUMIFS(tblDaily[DeathsUnder24Hrs],tblDaily[EntryDate],DATE(2026,1,1),tblDaily[WardCode],"MAE")),"")</f>
        <v/>
      </c>
      <c r="F7" s="12">
        <f>IFERROR(IF(SUMIFS(tblDaily[TransfersIn],tblDaily[EntryDate],DATE(2026,1,1),tblDaily[WardCode],"MAE")=0,"",SUMIFS(tblDaily[TransfersIn],tblDaily[EntryDate],DATE(2026,1,1),tblDaily[WardCode],"MAE")),"")</f>
        <v/>
      </c>
      <c r="G7" s="12">
        <f>IFERROR(IF(SUMIFS(tblDaily[TransfersOut],tblDaily[EntryDate],DATE(2026,1,1),tblDaily[WardCode],"MAE")=0,"",SUMIFS(tblDaily[TransfersOut],tblDaily[EntryDate],DATE(2026,1,1),tblDaily[WardCode],"MAE")),"")</f>
        <v/>
      </c>
      <c r="H7" s="12">
        <f>IFERROR(IF(SUMIFS(tblDaily[Remaining],tblDaily[EntryDate],DATE(2026,1,1),tblDaily[WardCode],"MAE")=0,"",SUMIFS(tblDaily[Remaining],tblDaily[EntryDate],DATE(2026,1,1),tblDaily[WardCode],"MAE")),"")</f>
        <v/>
      </c>
    </row>
    <row r="8">
      <c r="A8" s="12" t="n">
        <v>2</v>
      </c>
      <c r="B8" s="12">
        <f>IFERROR(IF(SUMIFS(tblDaily[Admissions],tblDaily[EntryDate],DATE(2026,1,2),tblDaily[WardCode],"MAE")=0,"",SUMIFS(tblDaily[Admissions],tblDaily[EntryDate],DATE(2026,1,2),tblDaily[WardCode],"MAE")),"")</f>
        <v/>
      </c>
      <c r="C8" s="12">
        <f>IFERROR(IF(SUMIFS(tblDaily[Discharges],tblDaily[EntryDate],DATE(2026,1,2),tblDaily[WardCode],"MAE")=0,"",SUMIFS(tblDaily[Discharges],tblDaily[EntryDate],DATE(2026,1,2),tblDaily[WardCode],"MAE")),"")</f>
        <v/>
      </c>
      <c r="D8" s="12">
        <f>IFERROR(IF(SUMIFS(tblDaily[Deaths],tblDaily[EntryDate],DATE(2026,1,2),tblDaily[WardCode],"MAE")=0,"",SUMIFS(tblDaily[Deaths],tblDaily[EntryDate],DATE(2026,1,2),tblDaily[WardCode],"MAE")),"")</f>
        <v/>
      </c>
      <c r="E8" s="12">
        <f>IFERROR(IF(SUMIFS(tblDaily[DeathsUnder24Hrs],tblDaily[EntryDate],DATE(2026,1,2),tblDaily[WardCode],"MAE")=0,"",SUMIFS(tblDaily[DeathsUnder24Hrs],tblDaily[EntryDate],DATE(2026,1,2),tblDaily[WardCode],"MAE")),"")</f>
        <v/>
      </c>
      <c r="F8" s="12">
        <f>IFERROR(IF(SUMIFS(tblDaily[TransfersIn],tblDaily[EntryDate],DATE(2026,1,2),tblDaily[WardCode],"MAE")=0,"",SUMIFS(tblDaily[TransfersIn],tblDaily[EntryDate],DATE(2026,1,2),tblDaily[WardCode],"MAE")),"")</f>
        <v/>
      </c>
      <c r="G8" s="12">
        <f>IFERROR(IF(SUMIFS(tblDaily[TransfersOut],tblDaily[EntryDate],DATE(2026,1,2),tblDaily[WardCode],"MAE")=0,"",SUMIFS(tblDaily[TransfersOut],tblDaily[EntryDate],DATE(2026,1,2),tblDaily[WardCode],"MAE")),"")</f>
        <v/>
      </c>
      <c r="H8" s="12">
        <f>IFERROR(IF(SUMIFS(tblDaily[Remaining],tblDaily[EntryDate],DATE(2026,1,2),tblDaily[WardCode],"MAE")=0,"",SUMIFS(tblDaily[Remaining],tblDaily[EntryDate],DATE(2026,1,2),tblDaily[WardCode],"MAE")),"")</f>
        <v/>
      </c>
    </row>
    <row r="9">
      <c r="A9" s="12" t="n">
        <v>3</v>
      </c>
      <c r="B9" s="12">
        <f>IFERROR(IF(SUMIFS(tblDaily[Admissions],tblDaily[EntryDate],DATE(2026,1,3),tblDaily[WardCode],"MAE")=0,"",SUMIFS(tblDaily[Admissions],tblDaily[EntryDate],DATE(2026,1,3),tblDaily[WardCode],"MAE")),"")</f>
        <v/>
      </c>
      <c r="C9" s="12">
        <f>IFERROR(IF(SUMIFS(tblDaily[Discharges],tblDaily[EntryDate],DATE(2026,1,3),tblDaily[WardCode],"MAE")=0,"",SUMIFS(tblDaily[Discharges],tblDaily[EntryDate],DATE(2026,1,3),tblDaily[WardCode],"MAE")),"")</f>
        <v/>
      </c>
      <c r="D9" s="12">
        <f>IFERROR(IF(SUMIFS(tblDaily[Deaths],tblDaily[EntryDate],DATE(2026,1,3),tblDaily[WardCode],"MAE")=0,"",SUMIFS(tblDaily[Deaths],tblDaily[EntryDate],DATE(2026,1,3),tblDaily[WardCode],"MAE")),"")</f>
        <v/>
      </c>
      <c r="E9" s="12">
        <f>IFERROR(IF(SUMIFS(tblDaily[DeathsUnder24Hrs],tblDaily[EntryDate],DATE(2026,1,3),tblDaily[WardCode],"MAE")=0,"",SUMIFS(tblDaily[DeathsUnder24Hrs],tblDaily[EntryDate],DATE(2026,1,3),tblDaily[WardCode],"MAE")),"")</f>
        <v/>
      </c>
      <c r="F9" s="12">
        <f>IFERROR(IF(SUMIFS(tblDaily[TransfersIn],tblDaily[EntryDate],DATE(2026,1,3),tblDaily[WardCode],"MAE")=0,"",SUMIFS(tblDaily[TransfersIn],tblDaily[EntryDate],DATE(2026,1,3),tblDaily[WardCode],"MAE")),"")</f>
        <v/>
      </c>
      <c r="G9" s="12">
        <f>IFERROR(IF(SUMIFS(tblDaily[TransfersOut],tblDaily[EntryDate],DATE(2026,1,3),tblDaily[WardCode],"MAE")=0,"",SUMIFS(tblDaily[TransfersOut],tblDaily[EntryDate],DATE(2026,1,3),tblDaily[WardCode],"MAE")),"")</f>
        <v/>
      </c>
      <c r="H9" s="12">
        <f>IFERROR(IF(SUMIFS(tblDaily[Remaining],tblDaily[EntryDate],DATE(2026,1,3),tblDaily[WardCode],"MAE")=0,"",SUMIFS(tblDaily[Remaining],tblDaily[EntryDate],DATE(2026,1,3),tblDaily[WardCode],"MAE")),"")</f>
        <v/>
      </c>
    </row>
    <row r="10">
      <c r="A10" s="12" t="n">
        <v>4</v>
      </c>
      <c r="B10" s="12">
        <f>IFERROR(IF(SUMIFS(tblDaily[Admissions],tblDaily[EntryDate],DATE(2026,1,4),tblDaily[WardCode],"MAE")=0,"",SUMIFS(tblDaily[Admissions],tblDaily[EntryDate],DATE(2026,1,4),tblDaily[WardCode],"MAE")),"")</f>
        <v/>
      </c>
      <c r="C10" s="12">
        <f>IFERROR(IF(SUMIFS(tblDaily[Discharges],tblDaily[EntryDate],DATE(2026,1,4),tblDaily[WardCode],"MAE")=0,"",SUMIFS(tblDaily[Discharges],tblDaily[EntryDate],DATE(2026,1,4),tblDaily[WardCode],"MAE")),"")</f>
        <v/>
      </c>
      <c r="D10" s="12">
        <f>IFERROR(IF(SUMIFS(tblDaily[Deaths],tblDaily[EntryDate],DATE(2026,1,4),tblDaily[WardCode],"MAE")=0,"",SUMIFS(tblDaily[Deaths],tblDaily[EntryDate],DATE(2026,1,4),tblDaily[WardCode],"MAE")),"")</f>
        <v/>
      </c>
      <c r="E10" s="12">
        <f>IFERROR(IF(SUMIFS(tblDaily[DeathsUnder24Hrs],tblDaily[EntryDate],DATE(2026,1,4),tblDaily[WardCode],"MAE")=0,"",SUMIFS(tblDaily[DeathsUnder24Hrs],tblDaily[EntryDate],DATE(2026,1,4),tblDaily[WardCode],"MAE")),"")</f>
        <v/>
      </c>
      <c r="F10" s="12">
        <f>IFERROR(IF(SUMIFS(tblDaily[TransfersIn],tblDaily[EntryDate],DATE(2026,1,4),tblDaily[WardCode],"MAE")=0,"",SUMIFS(tblDaily[TransfersIn],tblDaily[EntryDate],DATE(2026,1,4),tblDaily[WardCode],"MAE")),"")</f>
        <v/>
      </c>
      <c r="G10" s="12">
        <f>IFERROR(IF(SUMIFS(tblDaily[TransfersOut],tblDaily[EntryDate],DATE(2026,1,4),tblDaily[WardCode],"MAE")=0,"",SUMIFS(tblDaily[TransfersOut],tblDaily[EntryDate],DATE(2026,1,4),tblDaily[WardCode],"MAE")),"")</f>
        <v/>
      </c>
      <c r="H10" s="12">
        <f>IFERROR(IF(SUMIFS(tblDaily[Remaining],tblDaily[EntryDate],DATE(2026,1,4),tblDaily[WardCode],"MAE")=0,"",SUMIFS(tblDaily[Remaining],tblDaily[EntryDate],DATE(2026,1,4),tblDaily[WardCode],"MAE")),"")</f>
        <v/>
      </c>
    </row>
    <row r="11">
      <c r="A11" s="12" t="n">
        <v>5</v>
      </c>
      <c r="B11" s="12">
        <f>IFERROR(IF(SUMIFS(tblDaily[Admissions],tblDaily[EntryDate],DATE(2026,1,5),tblDaily[WardCode],"MAE")=0,"",SUMIFS(tblDaily[Admissions],tblDaily[EntryDate],DATE(2026,1,5),tblDaily[WardCode],"MAE")),"")</f>
        <v/>
      </c>
      <c r="C11" s="12">
        <f>IFERROR(IF(SUMIFS(tblDaily[Discharges],tblDaily[EntryDate],DATE(2026,1,5),tblDaily[WardCode],"MAE")=0,"",SUMIFS(tblDaily[Discharges],tblDaily[EntryDate],DATE(2026,1,5),tblDaily[WardCode],"MAE")),"")</f>
        <v/>
      </c>
      <c r="D11" s="12">
        <f>IFERROR(IF(SUMIFS(tblDaily[Deaths],tblDaily[EntryDate],DATE(2026,1,5),tblDaily[WardCode],"MAE")=0,"",SUMIFS(tblDaily[Deaths],tblDaily[EntryDate],DATE(2026,1,5),tblDaily[WardCode],"MAE")),"")</f>
        <v/>
      </c>
      <c r="E11" s="12">
        <f>IFERROR(IF(SUMIFS(tblDaily[DeathsUnder24Hrs],tblDaily[EntryDate],DATE(2026,1,5),tblDaily[WardCode],"MAE")=0,"",SUMIFS(tblDaily[DeathsUnder24Hrs],tblDaily[EntryDate],DATE(2026,1,5),tblDaily[WardCode],"MAE")),"")</f>
        <v/>
      </c>
      <c r="F11" s="12">
        <f>IFERROR(IF(SUMIFS(tblDaily[TransfersIn],tblDaily[EntryDate],DATE(2026,1,5),tblDaily[WardCode],"MAE")=0,"",SUMIFS(tblDaily[TransfersIn],tblDaily[EntryDate],DATE(2026,1,5),tblDaily[WardCode],"MAE")),"")</f>
        <v/>
      </c>
      <c r="G11" s="12">
        <f>IFERROR(IF(SUMIFS(tblDaily[TransfersOut],tblDaily[EntryDate],DATE(2026,1,5),tblDaily[WardCode],"MAE")=0,"",SUMIFS(tblDaily[TransfersOut],tblDaily[EntryDate],DATE(2026,1,5),tblDaily[WardCode],"MAE")),"")</f>
        <v/>
      </c>
      <c r="H11" s="12">
        <f>IFERROR(IF(SUMIFS(tblDaily[Remaining],tblDaily[EntryDate],DATE(2026,1,5),tblDaily[WardCode],"MAE")=0,"",SUMIFS(tblDaily[Remaining],tblDaily[EntryDate],DATE(2026,1,5),tblDaily[WardCode],"MAE")),"")</f>
        <v/>
      </c>
    </row>
    <row r="12">
      <c r="A12" s="12" t="n">
        <v>6</v>
      </c>
      <c r="B12" s="12">
        <f>IFERROR(IF(SUMIFS(tblDaily[Admissions],tblDaily[EntryDate],DATE(2026,1,6),tblDaily[WardCode],"MAE")=0,"",SUMIFS(tblDaily[Admissions],tblDaily[EntryDate],DATE(2026,1,6),tblDaily[WardCode],"MAE")),"")</f>
        <v/>
      </c>
      <c r="C12" s="12">
        <f>IFERROR(IF(SUMIFS(tblDaily[Discharges],tblDaily[EntryDate],DATE(2026,1,6),tblDaily[WardCode],"MAE")=0,"",SUMIFS(tblDaily[Discharges],tblDaily[EntryDate],DATE(2026,1,6),tblDaily[WardCode],"MAE")),"")</f>
        <v/>
      </c>
      <c r="D12" s="12">
        <f>IFERROR(IF(SUMIFS(tblDaily[Deaths],tblDaily[EntryDate],DATE(2026,1,6),tblDaily[WardCode],"MAE")=0,"",SUMIFS(tblDaily[Deaths],tblDaily[EntryDate],DATE(2026,1,6),tblDaily[WardCode],"MAE")),"")</f>
        <v/>
      </c>
      <c r="E12" s="12">
        <f>IFERROR(IF(SUMIFS(tblDaily[DeathsUnder24Hrs],tblDaily[EntryDate],DATE(2026,1,6),tblDaily[WardCode],"MAE")=0,"",SUMIFS(tblDaily[DeathsUnder24Hrs],tblDaily[EntryDate],DATE(2026,1,6),tblDaily[WardCode],"MAE")),"")</f>
        <v/>
      </c>
      <c r="F12" s="12">
        <f>IFERROR(IF(SUMIFS(tblDaily[TransfersIn],tblDaily[EntryDate],DATE(2026,1,6),tblDaily[WardCode],"MAE")=0,"",SUMIFS(tblDaily[TransfersIn],tblDaily[EntryDate],DATE(2026,1,6),tblDaily[WardCode],"MAE")),"")</f>
        <v/>
      </c>
      <c r="G12" s="12">
        <f>IFERROR(IF(SUMIFS(tblDaily[TransfersOut],tblDaily[EntryDate],DATE(2026,1,6),tblDaily[WardCode],"MAE")=0,"",SUMIFS(tblDaily[TransfersOut],tblDaily[EntryDate],DATE(2026,1,6),tblDaily[WardCode],"MAE")),"")</f>
        <v/>
      </c>
      <c r="H12" s="12">
        <f>IFERROR(IF(SUMIFS(tblDaily[Remaining],tblDaily[EntryDate],DATE(2026,1,6),tblDaily[WardCode],"MAE")=0,"",SUMIFS(tblDaily[Remaining],tblDaily[EntryDate],DATE(2026,1,6),tblDaily[WardCode],"MAE")),"")</f>
        <v/>
      </c>
    </row>
    <row r="13">
      <c r="A13" s="12" t="n">
        <v>7</v>
      </c>
      <c r="B13" s="12">
        <f>IFERROR(IF(SUMIFS(tblDaily[Admissions],tblDaily[EntryDate],DATE(2026,1,7),tblDaily[WardCode],"MAE")=0,"",SUMIFS(tblDaily[Admissions],tblDaily[EntryDate],DATE(2026,1,7),tblDaily[WardCode],"MAE")),"")</f>
        <v/>
      </c>
      <c r="C13" s="12">
        <f>IFERROR(IF(SUMIFS(tblDaily[Discharges],tblDaily[EntryDate],DATE(2026,1,7),tblDaily[WardCode],"MAE")=0,"",SUMIFS(tblDaily[Discharges],tblDaily[EntryDate],DATE(2026,1,7),tblDaily[WardCode],"MAE")),"")</f>
        <v/>
      </c>
      <c r="D13" s="12">
        <f>IFERROR(IF(SUMIFS(tblDaily[Deaths],tblDaily[EntryDate],DATE(2026,1,7),tblDaily[WardCode],"MAE")=0,"",SUMIFS(tblDaily[Deaths],tblDaily[EntryDate],DATE(2026,1,7),tblDaily[WardCode],"MAE")),"")</f>
        <v/>
      </c>
      <c r="E13" s="12">
        <f>IFERROR(IF(SUMIFS(tblDaily[DeathsUnder24Hrs],tblDaily[EntryDate],DATE(2026,1,7),tblDaily[WardCode],"MAE")=0,"",SUMIFS(tblDaily[DeathsUnder24Hrs],tblDaily[EntryDate],DATE(2026,1,7),tblDaily[WardCode],"MAE")),"")</f>
        <v/>
      </c>
      <c r="F13" s="12">
        <f>IFERROR(IF(SUMIFS(tblDaily[TransfersIn],tblDaily[EntryDate],DATE(2026,1,7),tblDaily[WardCode],"MAE")=0,"",SUMIFS(tblDaily[TransfersIn],tblDaily[EntryDate],DATE(2026,1,7),tblDaily[WardCode],"MAE")),"")</f>
        <v/>
      </c>
      <c r="G13" s="12">
        <f>IFERROR(IF(SUMIFS(tblDaily[TransfersOut],tblDaily[EntryDate],DATE(2026,1,7),tblDaily[WardCode],"MAE")=0,"",SUMIFS(tblDaily[TransfersOut],tblDaily[EntryDate],DATE(2026,1,7),tblDaily[WardCode],"MAE")),"")</f>
        <v/>
      </c>
      <c r="H13" s="12">
        <f>IFERROR(IF(SUMIFS(tblDaily[Remaining],tblDaily[EntryDate],DATE(2026,1,7),tblDaily[WardCode],"MAE")=0,"",SUMIFS(tblDaily[Remaining],tblDaily[EntryDate],DATE(2026,1,7),tblDaily[WardCode],"MAE")),"")</f>
        <v/>
      </c>
    </row>
    <row r="14">
      <c r="A14" s="12" t="n">
        <v>8</v>
      </c>
      <c r="B14" s="12">
        <f>IFERROR(IF(SUMIFS(tblDaily[Admissions],tblDaily[EntryDate],DATE(2026,1,8),tblDaily[WardCode],"MAE")=0,"",SUMIFS(tblDaily[Admissions],tblDaily[EntryDate],DATE(2026,1,8),tblDaily[WardCode],"MAE")),"")</f>
        <v/>
      </c>
      <c r="C14" s="12">
        <f>IFERROR(IF(SUMIFS(tblDaily[Discharges],tblDaily[EntryDate],DATE(2026,1,8),tblDaily[WardCode],"MAE")=0,"",SUMIFS(tblDaily[Discharges],tblDaily[EntryDate],DATE(2026,1,8),tblDaily[WardCode],"MAE")),"")</f>
        <v/>
      </c>
      <c r="D14" s="12">
        <f>IFERROR(IF(SUMIFS(tblDaily[Deaths],tblDaily[EntryDate],DATE(2026,1,8),tblDaily[WardCode],"MAE")=0,"",SUMIFS(tblDaily[Deaths],tblDaily[EntryDate],DATE(2026,1,8),tblDaily[WardCode],"MAE")),"")</f>
        <v/>
      </c>
      <c r="E14" s="12">
        <f>IFERROR(IF(SUMIFS(tblDaily[DeathsUnder24Hrs],tblDaily[EntryDate],DATE(2026,1,8),tblDaily[WardCode],"MAE")=0,"",SUMIFS(tblDaily[DeathsUnder24Hrs],tblDaily[EntryDate],DATE(2026,1,8),tblDaily[WardCode],"MAE")),"")</f>
        <v/>
      </c>
      <c r="F14" s="12">
        <f>IFERROR(IF(SUMIFS(tblDaily[TransfersIn],tblDaily[EntryDate],DATE(2026,1,8),tblDaily[WardCode],"MAE")=0,"",SUMIFS(tblDaily[TransfersIn],tblDaily[EntryDate],DATE(2026,1,8),tblDaily[WardCode],"MAE")),"")</f>
        <v/>
      </c>
      <c r="G14" s="12">
        <f>IFERROR(IF(SUMIFS(tblDaily[TransfersOut],tblDaily[EntryDate],DATE(2026,1,8),tblDaily[WardCode],"MAE")=0,"",SUMIFS(tblDaily[TransfersOut],tblDaily[EntryDate],DATE(2026,1,8),tblDaily[WardCode],"MAE")),"")</f>
        <v/>
      </c>
      <c r="H14" s="12">
        <f>IFERROR(IF(SUMIFS(tblDaily[Remaining],tblDaily[EntryDate],DATE(2026,1,8),tblDaily[WardCode],"MAE")=0,"",SUMIFS(tblDaily[Remaining],tblDaily[EntryDate],DATE(2026,1,8),tblDaily[WardCode],"MAE")),"")</f>
        <v/>
      </c>
    </row>
    <row r="15">
      <c r="A15" s="12" t="n">
        <v>9</v>
      </c>
      <c r="B15" s="12">
        <f>IFERROR(IF(SUMIFS(tblDaily[Admissions],tblDaily[EntryDate],DATE(2026,1,9),tblDaily[WardCode],"MAE")=0,"",SUMIFS(tblDaily[Admissions],tblDaily[EntryDate],DATE(2026,1,9),tblDaily[WardCode],"MAE")),"")</f>
        <v/>
      </c>
      <c r="C15" s="12">
        <f>IFERROR(IF(SUMIFS(tblDaily[Discharges],tblDaily[EntryDate],DATE(2026,1,9),tblDaily[WardCode],"MAE")=0,"",SUMIFS(tblDaily[Discharges],tblDaily[EntryDate],DATE(2026,1,9),tblDaily[WardCode],"MAE")),"")</f>
        <v/>
      </c>
      <c r="D15" s="12">
        <f>IFERROR(IF(SUMIFS(tblDaily[Deaths],tblDaily[EntryDate],DATE(2026,1,9),tblDaily[WardCode],"MAE")=0,"",SUMIFS(tblDaily[Deaths],tblDaily[EntryDate],DATE(2026,1,9),tblDaily[WardCode],"MAE")),"")</f>
        <v/>
      </c>
      <c r="E15" s="12">
        <f>IFERROR(IF(SUMIFS(tblDaily[DeathsUnder24Hrs],tblDaily[EntryDate],DATE(2026,1,9),tblDaily[WardCode],"MAE")=0,"",SUMIFS(tblDaily[DeathsUnder24Hrs],tblDaily[EntryDate],DATE(2026,1,9),tblDaily[WardCode],"MAE")),"")</f>
        <v/>
      </c>
      <c r="F15" s="12">
        <f>IFERROR(IF(SUMIFS(tblDaily[TransfersIn],tblDaily[EntryDate],DATE(2026,1,9),tblDaily[WardCode],"MAE")=0,"",SUMIFS(tblDaily[TransfersIn],tblDaily[EntryDate],DATE(2026,1,9),tblDaily[WardCode],"MAE")),"")</f>
        <v/>
      </c>
      <c r="G15" s="12">
        <f>IFERROR(IF(SUMIFS(tblDaily[TransfersOut],tblDaily[EntryDate],DATE(2026,1,9),tblDaily[WardCode],"MAE")=0,"",SUMIFS(tblDaily[TransfersOut],tblDaily[EntryDate],DATE(2026,1,9),tblDaily[WardCode],"MAE")),"")</f>
        <v/>
      </c>
      <c r="H15" s="12">
        <f>IFERROR(IF(SUMIFS(tblDaily[Remaining],tblDaily[EntryDate],DATE(2026,1,9),tblDaily[WardCode],"MAE")=0,"",SUMIFS(tblDaily[Remaining],tblDaily[EntryDate],DATE(2026,1,9),tblDaily[WardCode],"MAE")),"")</f>
        <v/>
      </c>
    </row>
    <row r="16">
      <c r="A16" s="12" t="n">
        <v>10</v>
      </c>
      <c r="B16" s="12">
        <f>IFERROR(IF(SUMIFS(tblDaily[Admissions],tblDaily[EntryDate],DATE(2026,1,10),tblDaily[WardCode],"MAE")=0,"",SUMIFS(tblDaily[Admissions],tblDaily[EntryDate],DATE(2026,1,10),tblDaily[WardCode],"MAE")),"")</f>
        <v/>
      </c>
      <c r="C16" s="12">
        <f>IFERROR(IF(SUMIFS(tblDaily[Discharges],tblDaily[EntryDate],DATE(2026,1,10),tblDaily[WardCode],"MAE")=0,"",SUMIFS(tblDaily[Discharges],tblDaily[EntryDate],DATE(2026,1,10),tblDaily[WardCode],"MAE")),"")</f>
        <v/>
      </c>
      <c r="D16" s="12">
        <f>IFERROR(IF(SUMIFS(tblDaily[Deaths],tblDaily[EntryDate],DATE(2026,1,10),tblDaily[WardCode],"MAE")=0,"",SUMIFS(tblDaily[Deaths],tblDaily[EntryDate],DATE(2026,1,10),tblDaily[WardCode],"MAE")),"")</f>
        <v/>
      </c>
      <c r="E16" s="12">
        <f>IFERROR(IF(SUMIFS(tblDaily[DeathsUnder24Hrs],tblDaily[EntryDate],DATE(2026,1,10),tblDaily[WardCode],"MAE")=0,"",SUMIFS(tblDaily[DeathsUnder24Hrs],tblDaily[EntryDate],DATE(2026,1,10),tblDaily[WardCode],"MAE")),"")</f>
        <v/>
      </c>
      <c r="F16" s="12">
        <f>IFERROR(IF(SUMIFS(tblDaily[TransfersIn],tblDaily[EntryDate],DATE(2026,1,10),tblDaily[WardCode],"MAE")=0,"",SUMIFS(tblDaily[TransfersIn],tblDaily[EntryDate],DATE(2026,1,10),tblDaily[WardCode],"MAE")),"")</f>
        <v/>
      </c>
      <c r="G16" s="12">
        <f>IFERROR(IF(SUMIFS(tblDaily[TransfersOut],tblDaily[EntryDate],DATE(2026,1,10),tblDaily[WardCode],"MAE")=0,"",SUMIFS(tblDaily[TransfersOut],tblDaily[EntryDate],DATE(2026,1,10),tblDaily[WardCode],"MAE")),"")</f>
        <v/>
      </c>
      <c r="H16" s="12">
        <f>IFERROR(IF(SUMIFS(tblDaily[Remaining],tblDaily[EntryDate],DATE(2026,1,10),tblDaily[WardCode],"MAE")=0,"",SUMIFS(tblDaily[Remaining],tblDaily[EntryDate],DATE(2026,1,10),tblDaily[WardCode],"MAE")),"")</f>
        <v/>
      </c>
    </row>
    <row r="17">
      <c r="A17" s="12" t="n">
        <v>11</v>
      </c>
      <c r="B17" s="12">
        <f>IFERROR(IF(SUMIFS(tblDaily[Admissions],tblDaily[EntryDate],DATE(2026,1,11),tblDaily[WardCode],"MAE")=0,"",SUMIFS(tblDaily[Admissions],tblDaily[EntryDate],DATE(2026,1,11),tblDaily[WardCode],"MAE")),"")</f>
        <v/>
      </c>
      <c r="C17" s="12">
        <f>IFERROR(IF(SUMIFS(tblDaily[Discharges],tblDaily[EntryDate],DATE(2026,1,11),tblDaily[WardCode],"MAE")=0,"",SUMIFS(tblDaily[Discharges],tblDaily[EntryDate],DATE(2026,1,11),tblDaily[WardCode],"MAE")),"")</f>
        <v/>
      </c>
      <c r="D17" s="12">
        <f>IFERROR(IF(SUMIFS(tblDaily[Deaths],tblDaily[EntryDate],DATE(2026,1,11),tblDaily[WardCode],"MAE")=0,"",SUMIFS(tblDaily[Deaths],tblDaily[EntryDate],DATE(2026,1,11),tblDaily[WardCode],"MAE")),"")</f>
        <v/>
      </c>
      <c r="E17" s="12">
        <f>IFERROR(IF(SUMIFS(tblDaily[DeathsUnder24Hrs],tblDaily[EntryDate],DATE(2026,1,11),tblDaily[WardCode],"MAE")=0,"",SUMIFS(tblDaily[DeathsUnder24Hrs],tblDaily[EntryDate],DATE(2026,1,11),tblDaily[WardCode],"MAE")),"")</f>
        <v/>
      </c>
      <c r="F17" s="12">
        <f>IFERROR(IF(SUMIFS(tblDaily[TransfersIn],tblDaily[EntryDate],DATE(2026,1,11),tblDaily[WardCode],"MAE")=0,"",SUMIFS(tblDaily[TransfersIn],tblDaily[EntryDate],DATE(2026,1,11),tblDaily[WardCode],"MAE")),"")</f>
        <v/>
      </c>
      <c r="G17" s="12">
        <f>IFERROR(IF(SUMIFS(tblDaily[TransfersOut],tblDaily[EntryDate],DATE(2026,1,11),tblDaily[WardCode],"MAE")=0,"",SUMIFS(tblDaily[TransfersOut],tblDaily[EntryDate],DATE(2026,1,11),tblDaily[WardCode],"MAE")),"")</f>
        <v/>
      </c>
      <c r="H17" s="12">
        <f>IFERROR(IF(SUMIFS(tblDaily[Remaining],tblDaily[EntryDate],DATE(2026,1,11),tblDaily[WardCode],"MAE")=0,"",SUMIFS(tblDaily[Remaining],tblDaily[EntryDate],DATE(2026,1,11),tblDaily[WardCode],"MAE")),"")</f>
        <v/>
      </c>
    </row>
    <row r="18">
      <c r="A18" s="12" t="n">
        <v>12</v>
      </c>
      <c r="B18" s="12">
        <f>IFERROR(IF(SUMIFS(tblDaily[Admissions],tblDaily[EntryDate],DATE(2026,1,12),tblDaily[WardCode],"MAE")=0,"",SUMIFS(tblDaily[Admissions],tblDaily[EntryDate],DATE(2026,1,12),tblDaily[WardCode],"MAE")),"")</f>
        <v/>
      </c>
      <c r="C18" s="12">
        <f>IFERROR(IF(SUMIFS(tblDaily[Discharges],tblDaily[EntryDate],DATE(2026,1,12),tblDaily[WardCode],"MAE")=0,"",SUMIFS(tblDaily[Discharges],tblDaily[EntryDate],DATE(2026,1,12),tblDaily[WardCode],"MAE")),"")</f>
        <v/>
      </c>
      <c r="D18" s="12">
        <f>IFERROR(IF(SUMIFS(tblDaily[Deaths],tblDaily[EntryDate],DATE(2026,1,12),tblDaily[WardCode],"MAE")=0,"",SUMIFS(tblDaily[Deaths],tblDaily[EntryDate],DATE(2026,1,12),tblDaily[WardCode],"MAE")),"")</f>
        <v/>
      </c>
      <c r="E18" s="12">
        <f>IFERROR(IF(SUMIFS(tblDaily[DeathsUnder24Hrs],tblDaily[EntryDate],DATE(2026,1,12),tblDaily[WardCode],"MAE")=0,"",SUMIFS(tblDaily[DeathsUnder24Hrs],tblDaily[EntryDate],DATE(2026,1,12),tblDaily[WardCode],"MAE")),"")</f>
        <v/>
      </c>
      <c r="F18" s="12">
        <f>IFERROR(IF(SUMIFS(tblDaily[TransfersIn],tblDaily[EntryDate],DATE(2026,1,12),tblDaily[WardCode],"MAE")=0,"",SUMIFS(tblDaily[TransfersIn],tblDaily[EntryDate],DATE(2026,1,12),tblDaily[WardCode],"MAE")),"")</f>
        <v/>
      </c>
      <c r="G18" s="12">
        <f>IFERROR(IF(SUMIFS(tblDaily[TransfersOut],tblDaily[EntryDate],DATE(2026,1,12),tblDaily[WardCode],"MAE")=0,"",SUMIFS(tblDaily[TransfersOut],tblDaily[EntryDate],DATE(2026,1,12),tblDaily[WardCode],"MAE")),"")</f>
        <v/>
      </c>
      <c r="H18" s="12">
        <f>IFERROR(IF(SUMIFS(tblDaily[Remaining],tblDaily[EntryDate],DATE(2026,1,12),tblDaily[WardCode],"MAE")=0,"",SUMIFS(tblDaily[Remaining],tblDaily[EntryDate],DATE(2026,1,12),tblDaily[WardCode],"MAE")),"")</f>
        <v/>
      </c>
    </row>
    <row r="19">
      <c r="A19" s="12" t="n">
        <v>13</v>
      </c>
      <c r="B19" s="12">
        <f>IFERROR(IF(SUMIFS(tblDaily[Admissions],tblDaily[EntryDate],DATE(2026,1,13),tblDaily[WardCode],"MAE")=0,"",SUMIFS(tblDaily[Admissions],tblDaily[EntryDate],DATE(2026,1,13),tblDaily[WardCode],"MAE")),"")</f>
        <v/>
      </c>
      <c r="C19" s="12">
        <f>IFERROR(IF(SUMIFS(tblDaily[Discharges],tblDaily[EntryDate],DATE(2026,1,13),tblDaily[WardCode],"MAE")=0,"",SUMIFS(tblDaily[Discharges],tblDaily[EntryDate],DATE(2026,1,13),tblDaily[WardCode],"MAE")),"")</f>
        <v/>
      </c>
      <c r="D19" s="12">
        <f>IFERROR(IF(SUMIFS(tblDaily[Deaths],tblDaily[EntryDate],DATE(2026,1,13),tblDaily[WardCode],"MAE")=0,"",SUMIFS(tblDaily[Deaths],tblDaily[EntryDate],DATE(2026,1,13),tblDaily[WardCode],"MAE")),"")</f>
        <v/>
      </c>
      <c r="E19" s="12">
        <f>IFERROR(IF(SUMIFS(tblDaily[DeathsUnder24Hrs],tblDaily[EntryDate],DATE(2026,1,13),tblDaily[WardCode],"MAE")=0,"",SUMIFS(tblDaily[DeathsUnder24Hrs],tblDaily[EntryDate],DATE(2026,1,13),tblDaily[WardCode],"MAE")),"")</f>
        <v/>
      </c>
      <c r="F19" s="12">
        <f>IFERROR(IF(SUMIFS(tblDaily[TransfersIn],tblDaily[EntryDate],DATE(2026,1,13),tblDaily[WardCode],"MAE")=0,"",SUMIFS(tblDaily[TransfersIn],tblDaily[EntryDate],DATE(2026,1,13),tblDaily[WardCode],"MAE")),"")</f>
        <v/>
      </c>
      <c r="G19" s="12">
        <f>IFERROR(IF(SUMIFS(tblDaily[TransfersOut],tblDaily[EntryDate],DATE(2026,1,13),tblDaily[WardCode],"MAE")=0,"",SUMIFS(tblDaily[TransfersOut],tblDaily[EntryDate],DATE(2026,1,13),tblDaily[WardCode],"MAE")),"")</f>
        <v/>
      </c>
      <c r="H19" s="12">
        <f>IFERROR(IF(SUMIFS(tblDaily[Remaining],tblDaily[EntryDate],DATE(2026,1,13),tblDaily[WardCode],"MAE")=0,"",SUMIFS(tblDaily[Remaining],tblDaily[EntryDate],DATE(2026,1,13),tblDaily[WardCode],"MAE")),"")</f>
        <v/>
      </c>
    </row>
    <row r="20">
      <c r="A20" s="12" t="n">
        <v>14</v>
      </c>
      <c r="B20" s="12">
        <f>IFERROR(IF(SUMIFS(tblDaily[Admissions],tblDaily[EntryDate],DATE(2026,1,14),tblDaily[WardCode],"MAE")=0,"",SUMIFS(tblDaily[Admissions],tblDaily[EntryDate],DATE(2026,1,14),tblDaily[WardCode],"MAE")),"")</f>
        <v/>
      </c>
      <c r="C20" s="12">
        <f>IFERROR(IF(SUMIFS(tblDaily[Discharges],tblDaily[EntryDate],DATE(2026,1,14),tblDaily[WardCode],"MAE")=0,"",SUMIFS(tblDaily[Discharges],tblDaily[EntryDate],DATE(2026,1,14),tblDaily[WardCode],"MAE")),"")</f>
        <v/>
      </c>
      <c r="D20" s="12">
        <f>IFERROR(IF(SUMIFS(tblDaily[Deaths],tblDaily[EntryDate],DATE(2026,1,14),tblDaily[WardCode],"MAE")=0,"",SUMIFS(tblDaily[Deaths],tblDaily[EntryDate],DATE(2026,1,14),tblDaily[WardCode],"MAE")),"")</f>
        <v/>
      </c>
      <c r="E20" s="12">
        <f>IFERROR(IF(SUMIFS(tblDaily[DeathsUnder24Hrs],tblDaily[EntryDate],DATE(2026,1,14),tblDaily[WardCode],"MAE")=0,"",SUMIFS(tblDaily[DeathsUnder24Hrs],tblDaily[EntryDate],DATE(2026,1,14),tblDaily[WardCode],"MAE")),"")</f>
        <v/>
      </c>
      <c r="F20" s="12">
        <f>IFERROR(IF(SUMIFS(tblDaily[TransfersIn],tblDaily[EntryDate],DATE(2026,1,14),tblDaily[WardCode],"MAE")=0,"",SUMIFS(tblDaily[TransfersIn],tblDaily[EntryDate],DATE(2026,1,14),tblDaily[WardCode],"MAE")),"")</f>
        <v/>
      </c>
      <c r="G20" s="12">
        <f>IFERROR(IF(SUMIFS(tblDaily[TransfersOut],tblDaily[EntryDate],DATE(2026,1,14),tblDaily[WardCode],"MAE")=0,"",SUMIFS(tblDaily[TransfersOut],tblDaily[EntryDate],DATE(2026,1,14),tblDaily[WardCode],"MAE")),"")</f>
        <v/>
      </c>
      <c r="H20" s="12">
        <f>IFERROR(IF(SUMIFS(tblDaily[Remaining],tblDaily[EntryDate],DATE(2026,1,14),tblDaily[WardCode],"MAE")=0,"",SUMIFS(tblDaily[Remaining],tblDaily[EntryDate],DATE(2026,1,14),tblDaily[WardCode],"MAE")),"")</f>
        <v/>
      </c>
    </row>
    <row r="21">
      <c r="A21" s="12" t="n">
        <v>15</v>
      </c>
      <c r="B21" s="12">
        <f>IFERROR(IF(SUMIFS(tblDaily[Admissions],tblDaily[EntryDate],DATE(2026,1,15),tblDaily[WardCode],"MAE")=0,"",SUMIFS(tblDaily[Admissions],tblDaily[EntryDate],DATE(2026,1,15),tblDaily[WardCode],"MAE")),"")</f>
        <v/>
      </c>
      <c r="C21" s="12">
        <f>IFERROR(IF(SUMIFS(tblDaily[Discharges],tblDaily[EntryDate],DATE(2026,1,15),tblDaily[WardCode],"MAE")=0,"",SUMIFS(tblDaily[Discharges],tblDaily[EntryDate],DATE(2026,1,15),tblDaily[WardCode],"MAE")),"")</f>
        <v/>
      </c>
      <c r="D21" s="12">
        <f>IFERROR(IF(SUMIFS(tblDaily[Deaths],tblDaily[EntryDate],DATE(2026,1,15),tblDaily[WardCode],"MAE")=0,"",SUMIFS(tblDaily[Deaths],tblDaily[EntryDate],DATE(2026,1,15),tblDaily[WardCode],"MAE")),"")</f>
        <v/>
      </c>
      <c r="E21" s="12">
        <f>IFERROR(IF(SUMIFS(tblDaily[DeathsUnder24Hrs],tblDaily[EntryDate],DATE(2026,1,15),tblDaily[WardCode],"MAE")=0,"",SUMIFS(tblDaily[DeathsUnder24Hrs],tblDaily[EntryDate],DATE(2026,1,15),tblDaily[WardCode],"MAE")),"")</f>
        <v/>
      </c>
      <c r="F21" s="12">
        <f>IFERROR(IF(SUMIFS(tblDaily[TransfersIn],tblDaily[EntryDate],DATE(2026,1,15),tblDaily[WardCode],"MAE")=0,"",SUMIFS(tblDaily[TransfersIn],tblDaily[EntryDate],DATE(2026,1,15),tblDaily[WardCode],"MAE")),"")</f>
        <v/>
      </c>
      <c r="G21" s="12">
        <f>IFERROR(IF(SUMIFS(tblDaily[TransfersOut],tblDaily[EntryDate],DATE(2026,1,15),tblDaily[WardCode],"MAE")=0,"",SUMIFS(tblDaily[TransfersOut],tblDaily[EntryDate],DATE(2026,1,15),tblDaily[WardCode],"MAE")),"")</f>
        <v/>
      </c>
      <c r="H21" s="12">
        <f>IFERROR(IF(SUMIFS(tblDaily[Remaining],tblDaily[EntryDate],DATE(2026,1,15),tblDaily[WardCode],"MAE")=0,"",SUMIFS(tblDaily[Remaining],tblDaily[EntryDate],DATE(2026,1,15),tblDaily[WardCode],"MAE")),"")</f>
        <v/>
      </c>
    </row>
    <row r="22">
      <c r="A22" s="12" t="n">
        <v>16</v>
      </c>
      <c r="B22" s="12">
        <f>IFERROR(IF(SUMIFS(tblDaily[Admissions],tblDaily[EntryDate],DATE(2026,1,16),tblDaily[WardCode],"MAE")=0,"",SUMIFS(tblDaily[Admissions],tblDaily[EntryDate],DATE(2026,1,16),tblDaily[WardCode],"MAE")),"")</f>
        <v/>
      </c>
      <c r="C22" s="12">
        <f>IFERROR(IF(SUMIFS(tblDaily[Discharges],tblDaily[EntryDate],DATE(2026,1,16),tblDaily[WardCode],"MAE")=0,"",SUMIFS(tblDaily[Discharges],tblDaily[EntryDate],DATE(2026,1,16),tblDaily[WardCode],"MAE")),"")</f>
        <v/>
      </c>
      <c r="D22" s="12">
        <f>IFERROR(IF(SUMIFS(tblDaily[Deaths],tblDaily[EntryDate],DATE(2026,1,16),tblDaily[WardCode],"MAE")=0,"",SUMIFS(tblDaily[Deaths],tblDaily[EntryDate],DATE(2026,1,16),tblDaily[WardCode],"MAE")),"")</f>
        <v/>
      </c>
      <c r="E22" s="12">
        <f>IFERROR(IF(SUMIFS(tblDaily[DeathsUnder24Hrs],tblDaily[EntryDate],DATE(2026,1,16),tblDaily[WardCode],"MAE")=0,"",SUMIFS(tblDaily[DeathsUnder24Hrs],tblDaily[EntryDate],DATE(2026,1,16),tblDaily[WardCode],"MAE")),"")</f>
        <v/>
      </c>
      <c r="F22" s="12">
        <f>IFERROR(IF(SUMIFS(tblDaily[TransfersIn],tblDaily[EntryDate],DATE(2026,1,16),tblDaily[WardCode],"MAE")=0,"",SUMIFS(tblDaily[TransfersIn],tblDaily[EntryDate],DATE(2026,1,16),tblDaily[WardCode],"MAE")),"")</f>
        <v/>
      </c>
      <c r="G22" s="12">
        <f>IFERROR(IF(SUMIFS(tblDaily[TransfersOut],tblDaily[EntryDate],DATE(2026,1,16),tblDaily[WardCode],"MAE")=0,"",SUMIFS(tblDaily[TransfersOut],tblDaily[EntryDate],DATE(2026,1,16),tblDaily[WardCode],"MAE")),"")</f>
        <v/>
      </c>
      <c r="H22" s="12">
        <f>IFERROR(IF(SUMIFS(tblDaily[Remaining],tblDaily[EntryDate],DATE(2026,1,16),tblDaily[WardCode],"MAE")=0,"",SUMIFS(tblDaily[Remaining],tblDaily[EntryDate],DATE(2026,1,16),tblDaily[WardCode],"MAE")),"")</f>
        <v/>
      </c>
    </row>
    <row r="23">
      <c r="A23" s="12" t="n">
        <v>17</v>
      </c>
      <c r="B23" s="12">
        <f>IFERROR(IF(SUMIFS(tblDaily[Admissions],tblDaily[EntryDate],DATE(2026,1,17),tblDaily[WardCode],"MAE")=0,"",SUMIFS(tblDaily[Admissions],tblDaily[EntryDate],DATE(2026,1,17),tblDaily[WardCode],"MAE")),"")</f>
        <v/>
      </c>
      <c r="C23" s="12">
        <f>IFERROR(IF(SUMIFS(tblDaily[Discharges],tblDaily[EntryDate],DATE(2026,1,17),tblDaily[WardCode],"MAE")=0,"",SUMIFS(tblDaily[Discharges],tblDaily[EntryDate],DATE(2026,1,17),tblDaily[WardCode],"MAE")),"")</f>
        <v/>
      </c>
      <c r="D23" s="12">
        <f>IFERROR(IF(SUMIFS(tblDaily[Deaths],tblDaily[EntryDate],DATE(2026,1,17),tblDaily[WardCode],"MAE")=0,"",SUMIFS(tblDaily[Deaths],tblDaily[EntryDate],DATE(2026,1,17),tblDaily[WardCode],"MAE")),"")</f>
        <v/>
      </c>
      <c r="E23" s="12">
        <f>IFERROR(IF(SUMIFS(tblDaily[DeathsUnder24Hrs],tblDaily[EntryDate],DATE(2026,1,17),tblDaily[WardCode],"MAE")=0,"",SUMIFS(tblDaily[DeathsUnder24Hrs],tblDaily[EntryDate],DATE(2026,1,17),tblDaily[WardCode],"MAE")),"")</f>
        <v/>
      </c>
      <c r="F23" s="12">
        <f>IFERROR(IF(SUMIFS(tblDaily[TransfersIn],tblDaily[EntryDate],DATE(2026,1,17),tblDaily[WardCode],"MAE")=0,"",SUMIFS(tblDaily[TransfersIn],tblDaily[EntryDate],DATE(2026,1,17),tblDaily[WardCode],"MAE")),"")</f>
        <v/>
      </c>
      <c r="G23" s="12">
        <f>IFERROR(IF(SUMIFS(tblDaily[TransfersOut],tblDaily[EntryDate],DATE(2026,1,17),tblDaily[WardCode],"MAE")=0,"",SUMIFS(tblDaily[TransfersOut],tblDaily[EntryDate],DATE(2026,1,17),tblDaily[WardCode],"MAE")),"")</f>
        <v/>
      </c>
      <c r="H23" s="12">
        <f>IFERROR(IF(SUMIFS(tblDaily[Remaining],tblDaily[EntryDate],DATE(2026,1,17),tblDaily[WardCode],"MAE")=0,"",SUMIFS(tblDaily[Remaining],tblDaily[EntryDate],DATE(2026,1,17),tblDaily[WardCode],"MAE")),"")</f>
        <v/>
      </c>
    </row>
    <row r="24">
      <c r="A24" s="12" t="n">
        <v>18</v>
      </c>
      <c r="B24" s="12">
        <f>IFERROR(IF(SUMIFS(tblDaily[Admissions],tblDaily[EntryDate],DATE(2026,1,18),tblDaily[WardCode],"MAE")=0,"",SUMIFS(tblDaily[Admissions],tblDaily[EntryDate],DATE(2026,1,18),tblDaily[WardCode],"MAE")),"")</f>
        <v/>
      </c>
      <c r="C24" s="12">
        <f>IFERROR(IF(SUMIFS(tblDaily[Discharges],tblDaily[EntryDate],DATE(2026,1,18),tblDaily[WardCode],"MAE")=0,"",SUMIFS(tblDaily[Discharges],tblDaily[EntryDate],DATE(2026,1,18),tblDaily[WardCode],"MAE")),"")</f>
        <v/>
      </c>
      <c r="D24" s="12">
        <f>IFERROR(IF(SUMIFS(tblDaily[Deaths],tblDaily[EntryDate],DATE(2026,1,18),tblDaily[WardCode],"MAE")=0,"",SUMIFS(tblDaily[Deaths],tblDaily[EntryDate],DATE(2026,1,18),tblDaily[WardCode],"MAE")),"")</f>
        <v/>
      </c>
      <c r="E24" s="12">
        <f>IFERROR(IF(SUMIFS(tblDaily[DeathsUnder24Hrs],tblDaily[EntryDate],DATE(2026,1,18),tblDaily[WardCode],"MAE")=0,"",SUMIFS(tblDaily[DeathsUnder24Hrs],tblDaily[EntryDate],DATE(2026,1,18),tblDaily[WardCode],"MAE")),"")</f>
        <v/>
      </c>
      <c r="F24" s="12">
        <f>IFERROR(IF(SUMIFS(tblDaily[TransfersIn],tblDaily[EntryDate],DATE(2026,1,18),tblDaily[WardCode],"MAE")=0,"",SUMIFS(tblDaily[TransfersIn],tblDaily[EntryDate],DATE(2026,1,18),tblDaily[WardCode],"MAE")),"")</f>
        <v/>
      </c>
      <c r="G24" s="12">
        <f>IFERROR(IF(SUMIFS(tblDaily[TransfersOut],tblDaily[EntryDate],DATE(2026,1,18),tblDaily[WardCode],"MAE")=0,"",SUMIFS(tblDaily[TransfersOut],tblDaily[EntryDate],DATE(2026,1,18),tblDaily[WardCode],"MAE")),"")</f>
        <v/>
      </c>
      <c r="H24" s="12">
        <f>IFERROR(IF(SUMIFS(tblDaily[Remaining],tblDaily[EntryDate],DATE(2026,1,18),tblDaily[WardCode],"MAE")=0,"",SUMIFS(tblDaily[Remaining],tblDaily[EntryDate],DATE(2026,1,18),tblDaily[WardCode],"MAE")),"")</f>
        <v/>
      </c>
    </row>
    <row r="25">
      <c r="A25" s="12" t="n">
        <v>19</v>
      </c>
      <c r="B25" s="12">
        <f>IFERROR(IF(SUMIFS(tblDaily[Admissions],tblDaily[EntryDate],DATE(2026,1,19),tblDaily[WardCode],"MAE")=0,"",SUMIFS(tblDaily[Admissions],tblDaily[EntryDate],DATE(2026,1,19),tblDaily[WardCode],"MAE")),"")</f>
        <v/>
      </c>
      <c r="C25" s="12">
        <f>IFERROR(IF(SUMIFS(tblDaily[Discharges],tblDaily[EntryDate],DATE(2026,1,19),tblDaily[WardCode],"MAE")=0,"",SUMIFS(tblDaily[Discharges],tblDaily[EntryDate],DATE(2026,1,19),tblDaily[WardCode],"MAE")),"")</f>
        <v/>
      </c>
      <c r="D25" s="12">
        <f>IFERROR(IF(SUMIFS(tblDaily[Deaths],tblDaily[EntryDate],DATE(2026,1,19),tblDaily[WardCode],"MAE")=0,"",SUMIFS(tblDaily[Deaths],tblDaily[EntryDate],DATE(2026,1,19),tblDaily[WardCode],"MAE")),"")</f>
        <v/>
      </c>
      <c r="E25" s="12">
        <f>IFERROR(IF(SUMIFS(tblDaily[DeathsUnder24Hrs],tblDaily[EntryDate],DATE(2026,1,19),tblDaily[WardCode],"MAE")=0,"",SUMIFS(tblDaily[DeathsUnder24Hrs],tblDaily[EntryDate],DATE(2026,1,19),tblDaily[WardCode],"MAE")),"")</f>
        <v/>
      </c>
      <c r="F25" s="12">
        <f>IFERROR(IF(SUMIFS(tblDaily[TransfersIn],tblDaily[EntryDate],DATE(2026,1,19),tblDaily[WardCode],"MAE")=0,"",SUMIFS(tblDaily[TransfersIn],tblDaily[EntryDate],DATE(2026,1,19),tblDaily[WardCode],"MAE")),"")</f>
        <v/>
      </c>
      <c r="G25" s="12">
        <f>IFERROR(IF(SUMIFS(tblDaily[TransfersOut],tblDaily[EntryDate],DATE(2026,1,19),tblDaily[WardCode],"MAE")=0,"",SUMIFS(tblDaily[TransfersOut],tblDaily[EntryDate],DATE(2026,1,19),tblDaily[WardCode],"MAE")),"")</f>
        <v/>
      </c>
      <c r="H25" s="12">
        <f>IFERROR(IF(SUMIFS(tblDaily[Remaining],tblDaily[EntryDate],DATE(2026,1,19),tblDaily[WardCode],"MAE")=0,"",SUMIFS(tblDaily[Remaining],tblDaily[EntryDate],DATE(2026,1,19),tblDaily[WardCode],"MAE")),"")</f>
        <v/>
      </c>
    </row>
    <row r="26">
      <c r="A26" s="12" t="n">
        <v>20</v>
      </c>
      <c r="B26" s="12">
        <f>IFERROR(IF(SUMIFS(tblDaily[Admissions],tblDaily[EntryDate],DATE(2026,1,20),tblDaily[WardCode],"MAE")=0,"",SUMIFS(tblDaily[Admissions],tblDaily[EntryDate],DATE(2026,1,20),tblDaily[WardCode],"MAE")),"")</f>
        <v/>
      </c>
      <c r="C26" s="12">
        <f>IFERROR(IF(SUMIFS(tblDaily[Discharges],tblDaily[EntryDate],DATE(2026,1,20),tblDaily[WardCode],"MAE")=0,"",SUMIFS(tblDaily[Discharges],tblDaily[EntryDate],DATE(2026,1,20),tblDaily[WardCode],"MAE")),"")</f>
        <v/>
      </c>
      <c r="D26" s="12">
        <f>IFERROR(IF(SUMIFS(tblDaily[Deaths],tblDaily[EntryDate],DATE(2026,1,20),tblDaily[WardCode],"MAE")=0,"",SUMIFS(tblDaily[Deaths],tblDaily[EntryDate],DATE(2026,1,20),tblDaily[WardCode],"MAE")),"")</f>
        <v/>
      </c>
      <c r="E26" s="12">
        <f>IFERROR(IF(SUMIFS(tblDaily[DeathsUnder24Hrs],tblDaily[EntryDate],DATE(2026,1,20),tblDaily[WardCode],"MAE")=0,"",SUMIFS(tblDaily[DeathsUnder24Hrs],tblDaily[EntryDate],DATE(2026,1,20),tblDaily[WardCode],"MAE")),"")</f>
        <v/>
      </c>
      <c r="F26" s="12">
        <f>IFERROR(IF(SUMIFS(tblDaily[TransfersIn],tblDaily[EntryDate],DATE(2026,1,20),tblDaily[WardCode],"MAE")=0,"",SUMIFS(tblDaily[TransfersIn],tblDaily[EntryDate],DATE(2026,1,20),tblDaily[WardCode],"MAE")),"")</f>
        <v/>
      </c>
      <c r="G26" s="12">
        <f>IFERROR(IF(SUMIFS(tblDaily[TransfersOut],tblDaily[EntryDate],DATE(2026,1,20),tblDaily[WardCode],"MAE")=0,"",SUMIFS(tblDaily[TransfersOut],tblDaily[EntryDate],DATE(2026,1,20),tblDaily[WardCode],"MAE")),"")</f>
        <v/>
      </c>
      <c r="H26" s="12">
        <f>IFERROR(IF(SUMIFS(tblDaily[Remaining],tblDaily[EntryDate],DATE(2026,1,20),tblDaily[WardCode],"MAE")=0,"",SUMIFS(tblDaily[Remaining],tblDaily[EntryDate],DATE(2026,1,20),tblDaily[WardCode],"MAE")),"")</f>
        <v/>
      </c>
    </row>
    <row r="27">
      <c r="A27" s="12" t="n">
        <v>21</v>
      </c>
      <c r="B27" s="12">
        <f>IFERROR(IF(SUMIFS(tblDaily[Admissions],tblDaily[EntryDate],DATE(2026,1,21),tblDaily[WardCode],"MAE")=0,"",SUMIFS(tblDaily[Admissions],tblDaily[EntryDate],DATE(2026,1,21),tblDaily[WardCode],"MAE")),"")</f>
        <v/>
      </c>
      <c r="C27" s="12">
        <f>IFERROR(IF(SUMIFS(tblDaily[Discharges],tblDaily[EntryDate],DATE(2026,1,21),tblDaily[WardCode],"MAE")=0,"",SUMIFS(tblDaily[Discharges],tblDaily[EntryDate],DATE(2026,1,21),tblDaily[WardCode],"MAE")),"")</f>
        <v/>
      </c>
      <c r="D27" s="12">
        <f>IFERROR(IF(SUMIFS(tblDaily[Deaths],tblDaily[EntryDate],DATE(2026,1,21),tblDaily[WardCode],"MAE")=0,"",SUMIFS(tblDaily[Deaths],tblDaily[EntryDate],DATE(2026,1,21),tblDaily[WardCode],"MAE")),"")</f>
        <v/>
      </c>
      <c r="E27" s="12">
        <f>IFERROR(IF(SUMIFS(tblDaily[DeathsUnder24Hrs],tblDaily[EntryDate],DATE(2026,1,21),tblDaily[WardCode],"MAE")=0,"",SUMIFS(tblDaily[DeathsUnder24Hrs],tblDaily[EntryDate],DATE(2026,1,21),tblDaily[WardCode],"MAE")),"")</f>
        <v/>
      </c>
      <c r="F27" s="12">
        <f>IFERROR(IF(SUMIFS(tblDaily[TransfersIn],tblDaily[EntryDate],DATE(2026,1,21),tblDaily[WardCode],"MAE")=0,"",SUMIFS(tblDaily[TransfersIn],tblDaily[EntryDate],DATE(2026,1,21),tblDaily[WardCode],"MAE")),"")</f>
        <v/>
      </c>
      <c r="G27" s="12">
        <f>IFERROR(IF(SUMIFS(tblDaily[TransfersOut],tblDaily[EntryDate],DATE(2026,1,21),tblDaily[WardCode],"MAE")=0,"",SUMIFS(tblDaily[TransfersOut],tblDaily[EntryDate],DATE(2026,1,21),tblDaily[WardCode],"MAE")),"")</f>
        <v/>
      </c>
      <c r="H27" s="12">
        <f>IFERROR(IF(SUMIFS(tblDaily[Remaining],tblDaily[EntryDate],DATE(2026,1,21),tblDaily[WardCode],"MAE")=0,"",SUMIFS(tblDaily[Remaining],tblDaily[EntryDate],DATE(2026,1,21),tblDaily[WardCode],"MAE")),"")</f>
        <v/>
      </c>
    </row>
    <row r="28">
      <c r="A28" s="12" t="n">
        <v>22</v>
      </c>
      <c r="B28" s="12">
        <f>IFERROR(IF(SUMIFS(tblDaily[Admissions],tblDaily[EntryDate],DATE(2026,1,22),tblDaily[WardCode],"MAE")=0,"",SUMIFS(tblDaily[Admissions],tblDaily[EntryDate],DATE(2026,1,22),tblDaily[WardCode],"MAE")),"")</f>
        <v/>
      </c>
      <c r="C28" s="12">
        <f>IFERROR(IF(SUMIFS(tblDaily[Discharges],tblDaily[EntryDate],DATE(2026,1,22),tblDaily[WardCode],"MAE")=0,"",SUMIFS(tblDaily[Discharges],tblDaily[EntryDate],DATE(2026,1,22),tblDaily[WardCode],"MAE")),"")</f>
        <v/>
      </c>
      <c r="D28" s="12">
        <f>IFERROR(IF(SUMIFS(tblDaily[Deaths],tblDaily[EntryDate],DATE(2026,1,22),tblDaily[WardCode],"MAE")=0,"",SUMIFS(tblDaily[Deaths],tblDaily[EntryDate],DATE(2026,1,22),tblDaily[WardCode],"MAE")),"")</f>
        <v/>
      </c>
      <c r="E28" s="12">
        <f>IFERROR(IF(SUMIFS(tblDaily[DeathsUnder24Hrs],tblDaily[EntryDate],DATE(2026,1,22),tblDaily[WardCode],"MAE")=0,"",SUMIFS(tblDaily[DeathsUnder24Hrs],tblDaily[EntryDate],DATE(2026,1,22),tblDaily[WardCode],"MAE")),"")</f>
        <v/>
      </c>
      <c r="F28" s="12">
        <f>IFERROR(IF(SUMIFS(tblDaily[TransfersIn],tblDaily[EntryDate],DATE(2026,1,22),tblDaily[WardCode],"MAE")=0,"",SUMIFS(tblDaily[TransfersIn],tblDaily[EntryDate],DATE(2026,1,22),tblDaily[WardCode],"MAE")),"")</f>
        <v/>
      </c>
      <c r="G28" s="12">
        <f>IFERROR(IF(SUMIFS(tblDaily[TransfersOut],tblDaily[EntryDate],DATE(2026,1,22),tblDaily[WardCode],"MAE")=0,"",SUMIFS(tblDaily[TransfersOut],tblDaily[EntryDate],DATE(2026,1,22),tblDaily[WardCode],"MAE")),"")</f>
        <v/>
      </c>
      <c r="H28" s="12">
        <f>IFERROR(IF(SUMIFS(tblDaily[Remaining],tblDaily[EntryDate],DATE(2026,1,22),tblDaily[WardCode],"MAE")=0,"",SUMIFS(tblDaily[Remaining],tblDaily[EntryDate],DATE(2026,1,22),tblDaily[WardCode],"MAE")),"")</f>
        <v/>
      </c>
    </row>
    <row r="29">
      <c r="A29" s="12" t="n">
        <v>23</v>
      </c>
      <c r="B29" s="12">
        <f>IFERROR(IF(SUMIFS(tblDaily[Admissions],tblDaily[EntryDate],DATE(2026,1,23),tblDaily[WardCode],"MAE")=0,"",SUMIFS(tblDaily[Admissions],tblDaily[EntryDate],DATE(2026,1,23),tblDaily[WardCode],"MAE")),"")</f>
        <v/>
      </c>
      <c r="C29" s="12">
        <f>IFERROR(IF(SUMIFS(tblDaily[Discharges],tblDaily[EntryDate],DATE(2026,1,23),tblDaily[WardCode],"MAE")=0,"",SUMIFS(tblDaily[Discharges],tblDaily[EntryDate],DATE(2026,1,23),tblDaily[WardCode],"MAE")),"")</f>
        <v/>
      </c>
      <c r="D29" s="12">
        <f>IFERROR(IF(SUMIFS(tblDaily[Deaths],tblDaily[EntryDate],DATE(2026,1,23),tblDaily[WardCode],"MAE")=0,"",SUMIFS(tblDaily[Deaths],tblDaily[EntryDate],DATE(2026,1,23),tblDaily[WardCode],"MAE")),"")</f>
        <v/>
      </c>
      <c r="E29" s="12">
        <f>IFERROR(IF(SUMIFS(tblDaily[DeathsUnder24Hrs],tblDaily[EntryDate],DATE(2026,1,23),tblDaily[WardCode],"MAE")=0,"",SUMIFS(tblDaily[DeathsUnder24Hrs],tblDaily[EntryDate],DATE(2026,1,23),tblDaily[WardCode],"MAE")),"")</f>
        <v/>
      </c>
      <c r="F29" s="12">
        <f>IFERROR(IF(SUMIFS(tblDaily[TransfersIn],tblDaily[EntryDate],DATE(2026,1,23),tblDaily[WardCode],"MAE")=0,"",SUMIFS(tblDaily[TransfersIn],tblDaily[EntryDate],DATE(2026,1,23),tblDaily[WardCode],"MAE")),"")</f>
        <v/>
      </c>
      <c r="G29" s="12">
        <f>IFERROR(IF(SUMIFS(tblDaily[TransfersOut],tblDaily[EntryDate],DATE(2026,1,23),tblDaily[WardCode],"MAE")=0,"",SUMIFS(tblDaily[TransfersOut],tblDaily[EntryDate],DATE(2026,1,23),tblDaily[WardCode],"MAE")),"")</f>
        <v/>
      </c>
      <c r="H29" s="12">
        <f>IFERROR(IF(SUMIFS(tblDaily[Remaining],tblDaily[EntryDate],DATE(2026,1,23),tblDaily[WardCode],"MAE")=0,"",SUMIFS(tblDaily[Remaining],tblDaily[EntryDate],DATE(2026,1,23),tblDaily[WardCode],"MAE")),"")</f>
        <v/>
      </c>
    </row>
    <row r="30">
      <c r="A30" s="12" t="n">
        <v>24</v>
      </c>
      <c r="B30" s="12">
        <f>IFERROR(IF(SUMIFS(tblDaily[Admissions],tblDaily[EntryDate],DATE(2026,1,24),tblDaily[WardCode],"MAE")=0,"",SUMIFS(tblDaily[Admissions],tblDaily[EntryDate],DATE(2026,1,24),tblDaily[WardCode],"MAE")),"")</f>
        <v/>
      </c>
      <c r="C30" s="12">
        <f>IFERROR(IF(SUMIFS(tblDaily[Discharges],tblDaily[EntryDate],DATE(2026,1,24),tblDaily[WardCode],"MAE")=0,"",SUMIFS(tblDaily[Discharges],tblDaily[EntryDate],DATE(2026,1,24),tblDaily[WardCode],"MAE")),"")</f>
        <v/>
      </c>
      <c r="D30" s="12">
        <f>IFERROR(IF(SUMIFS(tblDaily[Deaths],tblDaily[EntryDate],DATE(2026,1,24),tblDaily[WardCode],"MAE")=0,"",SUMIFS(tblDaily[Deaths],tblDaily[EntryDate],DATE(2026,1,24),tblDaily[WardCode],"MAE")),"")</f>
        <v/>
      </c>
      <c r="E30" s="12">
        <f>IFERROR(IF(SUMIFS(tblDaily[DeathsUnder24Hrs],tblDaily[EntryDate],DATE(2026,1,24),tblDaily[WardCode],"MAE")=0,"",SUMIFS(tblDaily[DeathsUnder24Hrs],tblDaily[EntryDate],DATE(2026,1,24),tblDaily[WardCode],"MAE")),"")</f>
        <v/>
      </c>
      <c r="F30" s="12">
        <f>IFERROR(IF(SUMIFS(tblDaily[TransfersIn],tblDaily[EntryDate],DATE(2026,1,24),tblDaily[WardCode],"MAE")=0,"",SUMIFS(tblDaily[TransfersIn],tblDaily[EntryDate],DATE(2026,1,24),tblDaily[WardCode],"MAE")),"")</f>
        <v/>
      </c>
      <c r="G30" s="12">
        <f>IFERROR(IF(SUMIFS(tblDaily[TransfersOut],tblDaily[EntryDate],DATE(2026,1,24),tblDaily[WardCode],"MAE")=0,"",SUMIFS(tblDaily[TransfersOut],tblDaily[EntryDate],DATE(2026,1,24),tblDaily[WardCode],"MAE")),"")</f>
        <v/>
      </c>
      <c r="H30" s="12">
        <f>IFERROR(IF(SUMIFS(tblDaily[Remaining],tblDaily[EntryDate],DATE(2026,1,24),tblDaily[WardCode],"MAE")=0,"",SUMIFS(tblDaily[Remaining],tblDaily[EntryDate],DATE(2026,1,24),tblDaily[WardCode],"MAE")),"")</f>
        <v/>
      </c>
    </row>
    <row r="31">
      <c r="A31" s="12" t="n">
        <v>25</v>
      </c>
      <c r="B31" s="12">
        <f>IFERROR(IF(SUMIFS(tblDaily[Admissions],tblDaily[EntryDate],DATE(2026,1,25),tblDaily[WardCode],"MAE")=0,"",SUMIFS(tblDaily[Admissions],tblDaily[EntryDate],DATE(2026,1,25),tblDaily[WardCode],"MAE")),"")</f>
        <v/>
      </c>
      <c r="C31" s="12">
        <f>IFERROR(IF(SUMIFS(tblDaily[Discharges],tblDaily[EntryDate],DATE(2026,1,25),tblDaily[WardCode],"MAE")=0,"",SUMIFS(tblDaily[Discharges],tblDaily[EntryDate],DATE(2026,1,25),tblDaily[WardCode],"MAE")),"")</f>
        <v/>
      </c>
      <c r="D31" s="12">
        <f>IFERROR(IF(SUMIFS(tblDaily[Deaths],tblDaily[EntryDate],DATE(2026,1,25),tblDaily[WardCode],"MAE")=0,"",SUMIFS(tblDaily[Deaths],tblDaily[EntryDate],DATE(2026,1,25),tblDaily[WardCode],"MAE")),"")</f>
        <v/>
      </c>
      <c r="E31" s="12">
        <f>IFERROR(IF(SUMIFS(tblDaily[DeathsUnder24Hrs],tblDaily[EntryDate],DATE(2026,1,25),tblDaily[WardCode],"MAE")=0,"",SUMIFS(tblDaily[DeathsUnder24Hrs],tblDaily[EntryDate],DATE(2026,1,25),tblDaily[WardCode],"MAE")),"")</f>
        <v/>
      </c>
      <c r="F31" s="12">
        <f>IFERROR(IF(SUMIFS(tblDaily[TransfersIn],tblDaily[EntryDate],DATE(2026,1,25),tblDaily[WardCode],"MAE")=0,"",SUMIFS(tblDaily[TransfersIn],tblDaily[EntryDate],DATE(2026,1,25),tblDaily[WardCode],"MAE")),"")</f>
        <v/>
      </c>
      <c r="G31" s="12">
        <f>IFERROR(IF(SUMIFS(tblDaily[TransfersOut],tblDaily[EntryDate],DATE(2026,1,25),tblDaily[WardCode],"MAE")=0,"",SUMIFS(tblDaily[TransfersOut],tblDaily[EntryDate],DATE(2026,1,25),tblDaily[WardCode],"MAE")),"")</f>
        <v/>
      </c>
      <c r="H31" s="12">
        <f>IFERROR(IF(SUMIFS(tblDaily[Remaining],tblDaily[EntryDate],DATE(2026,1,25),tblDaily[WardCode],"MAE")=0,"",SUMIFS(tblDaily[Remaining],tblDaily[EntryDate],DATE(2026,1,25),tblDaily[WardCode],"MAE")),"")</f>
        <v/>
      </c>
    </row>
    <row r="32">
      <c r="A32" s="12" t="n">
        <v>26</v>
      </c>
      <c r="B32" s="12">
        <f>IFERROR(IF(SUMIFS(tblDaily[Admissions],tblDaily[EntryDate],DATE(2026,1,26),tblDaily[WardCode],"MAE")=0,"",SUMIFS(tblDaily[Admissions],tblDaily[EntryDate],DATE(2026,1,26),tblDaily[WardCode],"MAE")),"")</f>
        <v/>
      </c>
      <c r="C32" s="12">
        <f>IFERROR(IF(SUMIFS(tblDaily[Discharges],tblDaily[EntryDate],DATE(2026,1,26),tblDaily[WardCode],"MAE")=0,"",SUMIFS(tblDaily[Discharges],tblDaily[EntryDate],DATE(2026,1,26),tblDaily[WardCode],"MAE")),"")</f>
        <v/>
      </c>
      <c r="D32" s="12">
        <f>IFERROR(IF(SUMIFS(tblDaily[Deaths],tblDaily[EntryDate],DATE(2026,1,26),tblDaily[WardCode],"MAE")=0,"",SUMIFS(tblDaily[Deaths],tblDaily[EntryDate],DATE(2026,1,26),tblDaily[WardCode],"MAE")),"")</f>
        <v/>
      </c>
      <c r="E32" s="12">
        <f>IFERROR(IF(SUMIFS(tblDaily[DeathsUnder24Hrs],tblDaily[EntryDate],DATE(2026,1,26),tblDaily[WardCode],"MAE")=0,"",SUMIFS(tblDaily[DeathsUnder24Hrs],tblDaily[EntryDate],DATE(2026,1,26),tblDaily[WardCode],"MAE")),"")</f>
        <v/>
      </c>
      <c r="F32" s="12">
        <f>IFERROR(IF(SUMIFS(tblDaily[TransfersIn],tblDaily[EntryDate],DATE(2026,1,26),tblDaily[WardCode],"MAE")=0,"",SUMIFS(tblDaily[TransfersIn],tblDaily[EntryDate],DATE(2026,1,26),tblDaily[WardCode],"MAE")),"")</f>
        <v/>
      </c>
      <c r="G32" s="12">
        <f>IFERROR(IF(SUMIFS(tblDaily[TransfersOut],tblDaily[EntryDate],DATE(2026,1,26),tblDaily[WardCode],"MAE")=0,"",SUMIFS(tblDaily[TransfersOut],tblDaily[EntryDate],DATE(2026,1,26),tblDaily[WardCode],"MAE")),"")</f>
        <v/>
      </c>
      <c r="H32" s="12">
        <f>IFERROR(IF(SUMIFS(tblDaily[Remaining],tblDaily[EntryDate],DATE(2026,1,26),tblDaily[WardCode],"MAE")=0,"",SUMIFS(tblDaily[Remaining],tblDaily[EntryDate],DATE(2026,1,26),tblDaily[WardCode],"MAE")),"")</f>
        <v/>
      </c>
    </row>
    <row r="33">
      <c r="A33" s="12" t="n">
        <v>27</v>
      </c>
      <c r="B33" s="12">
        <f>IFERROR(IF(SUMIFS(tblDaily[Admissions],tblDaily[EntryDate],DATE(2026,1,27),tblDaily[WardCode],"MAE")=0,"",SUMIFS(tblDaily[Admissions],tblDaily[EntryDate],DATE(2026,1,27),tblDaily[WardCode],"MAE")),"")</f>
        <v/>
      </c>
      <c r="C33" s="12">
        <f>IFERROR(IF(SUMIFS(tblDaily[Discharges],tblDaily[EntryDate],DATE(2026,1,27),tblDaily[WardCode],"MAE")=0,"",SUMIFS(tblDaily[Discharges],tblDaily[EntryDate],DATE(2026,1,27),tblDaily[WardCode],"MAE")),"")</f>
        <v/>
      </c>
      <c r="D33" s="12">
        <f>IFERROR(IF(SUMIFS(tblDaily[Deaths],tblDaily[EntryDate],DATE(2026,1,27),tblDaily[WardCode],"MAE")=0,"",SUMIFS(tblDaily[Deaths],tblDaily[EntryDate],DATE(2026,1,27),tblDaily[WardCode],"MAE")),"")</f>
        <v/>
      </c>
      <c r="E33" s="12">
        <f>IFERROR(IF(SUMIFS(tblDaily[DeathsUnder24Hrs],tblDaily[EntryDate],DATE(2026,1,27),tblDaily[WardCode],"MAE")=0,"",SUMIFS(tblDaily[DeathsUnder24Hrs],tblDaily[EntryDate],DATE(2026,1,27),tblDaily[WardCode],"MAE")),"")</f>
        <v/>
      </c>
      <c r="F33" s="12">
        <f>IFERROR(IF(SUMIFS(tblDaily[TransfersIn],tblDaily[EntryDate],DATE(2026,1,27),tblDaily[WardCode],"MAE")=0,"",SUMIFS(tblDaily[TransfersIn],tblDaily[EntryDate],DATE(2026,1,27),tblDaily[WardCode],"MAE")),"")</f>
        <v/>
      </c>
      <c r="G33" s="12">
        <f>IFERROR(IF(SUMIFS(tblDaily[TransfersOut],tblDaily[EntryDate],DATE(2026,1,27),tblDaily[WardCode],"MAE")=0,"",SUMIFS(tblDaily[TransfersOut],tblDaily[EntryDate],DATE(2026,1,27),tblDaily[WardCode],"MAE")),"")</f>
        <v/>
      </c>
      <c r="H33" s="12">
        <f>IFERROR(IF(SUMIFS(tblDaily[Remaining],tblDaily[EntryDate],DATE(2026,1,27),tblDaily[WardCode],"MAE")=0,"",SUMIFS(tblDaily[Remaining],tblDaily[EntryDate],DATE(2026,1,27),tblDaily[WardCode],"MAE")),"")</f>
        <v/>
      </c>
    </row>
    <row r="34">
      <c r="A34" s="12" t="n">
        <v>28</v>
      </c>
      <c r="B34" s="12">
        <f>IFERROR(IF(SUMIFS(tblDaily[Admissions],tblDaily[EntryDate],DATE(2026,1,28),tblDaily[WardCode],"MAE")=0,"",SUMIFS(tblDaily[Admissions],tblDaily[EntryDate],DATE(2026,1,28),tblDaily[WardCode],"MAE")),"")</f>
        <v/>
      </c>
      <c r="C34" s="12">
        <f>IFERROR(IF(SUMIFS(tblDaily[Discharges],tblDaily[EntryDate],DATE(2026,1,28),tblDaily[WardCode],"MAE")=0,"",SUMIFS(tblDaily[Discharges],tblDaily[EntryDate],DATE(2026,1,28),tblDaily[WardCode],"MAE")),"")</f>
        <v/>
      </c>
      <c r="D34" s="12">
        <f>IFERROR(IF(SUMIFS(tblDaily[Deaths],tblDaily[EntryDate],DATE(2026,1,28),tblDaily[WardCode],"MAE")=0,"",SUMIFS(tblDaily[Deaths],tblDaily[EntryDate],DATE(2026,1,28),tblDaily[WardCode],"MAE")),"")</f>
        <v/>
      </c>
      <c r="E34" s="12">
        <f>IFERROR(IF(SUMIFS(tblDaily[DeathsUnder24Hrs],tblDaily[EntryDate],DATE(2026,1,28),tblDaily[WardCode],"MAE")=0,"",SUMIFS(tblDaily[DeathsUnder24Hrs],tblDaily[EntryDate],DATE(2026,1,28),tblDaily[WardCode],"MAE")),"")</f>
        <v/>
      </c>
      <c r="F34" s="12">
        <f>IFERROR(IF(SUMIFS(tblDaily[TransfersIn],tblDaily[EntryDate],DATE(2026,1,28),tblDaily[WardCode],"MAE")=0,"",SUMIFS(tblDaily[TransfersIn],tblDaily[EntryDate],DATE(2026,1,28),tblDaily[WardCode],"MAE")),"")</f>
        <v/>
      </c>
      <c r="G34" s="12">
        <f>IFERROR(IF(SUMIFS(tblDaily[TransfersOut],tblDaily[EntryDate],DATE(2026,1,28),tblDaily[WardCode],"MAE")=0,"",SUMIFS(tblDaily[TransfersOut],tblDaily[EntryDate],DATE(2026,1,28),tblDaily[WardCode],"MAE")),"")</f>
        <v/>
      </c>
      <c r="H34" s="12">
        <f>IFERROR(IF(SUMIFS(tblDaily[Remaining],tblDaily[EntryDate],DATE(2026,1,28),tblDaily[WardCode],"MAE")=0,"",SUMIFS(tblDaily[Remaining],tblDaily[EntryDate],DATE(2026,1,28),tblDaily[WardCode],"MAE")),"")</f>
        <v/>
      </c>
    </row>
    <row r="35">
      <c r="A35" s="12" t="n">
        <v>29</v>
      </c>
      <c r="B35" s="12">
        <f>IFERROR(IF(SUMIFS(tblDaily[Admissions],tblDaily[EntryDate],DATE(2026,1,29),tblDaily[WardCode],"MAE")=0,"",SUMIFS(tblDaily[Admissions],tblDaily[EntryDate],DATE(2026,1,29),tblDaily[WardCode],"MAE")),"")</f>
        <v/>
      </c>
      <c r="C35" s="12">
        <f>IFERROR(IF(SUMIFS(tblDaily[Discharges],tblDaily[EntryDate],DATE(2026,1,29),tblDaily[WardCode],"MAE")=0,"",SUMIFS(tblDaily[Discharges],tblDaily[EntryDate],DATE(2026,1,29),tblDaily[WardCode],"MAE")),"")</f>
        <v/>
      </c>
      <c r="D35" s="12">
        <f>IFERROR(IF(SUMIFS(tblDaily[Deaths],tblDaily[EntryDate],DATE(2026,1,29),tblDaily[WardCode],"MAE")=0,"",SUMIFS(tblDaily[Deaths],tblDaily[EntryDate],DATE(2026,1,29),tblDaily[WardCode],"MAE")),"")</f>
        <v/>
      </c>
      <c r="E35" s="12">
        <f>IFERROR(IF(SUMIFS(tblDaily[DeathsUnder24Hrs],tblDaily[EntryDate],DATE(2026,1,29),tblDaily[WardCode],"MAE")=0,"",SUMIFS(tblDaily[DeathsUnder24Hrs],tblDaily[EntryDate],DATE(2026,1,29),tblDaily[WardCode],"MAE")),"")</f>
        <v/>
      </c>
      <c r="F35" s="12">
        <f>IFERROR(IF(SUMIFS(tblDaily[TransfersIn],tblDaily[EntryDate],DATE(2026,1,29),tblDaily[WardCode],"MAE")=0,"",SUMIFS(tblDaily[TransfersIn],tblDaily[EntryDate],DATE(2026,1,29),tblDaily[WardCode],"MAE")),"")</f>
        <v/>
      </c>
      <c r="G35" s="12">
        <f>IFERROR(IF(SUMIFS(tblDaily[TransfersOut],tblDaily[EntryDate],DATE(2026,1,29),tblDaily[WardCode],"MAE")=0,"",SUMIFS(tblDaily[TransfersOut],tblDaily[EntryDate],DATE(2026,1,29),tblDaily[WardCode],"MAE")),"")</f>
        <v/>
      </c>
      <c r="H35" s="12">
        <f>IFERROR(IF(SUMIFS(tblDaily[Remaining],tblDaily[EntryDate],DATE(2026,1,29),tblDaily[WardCode],"MAE")=0,"",SUMIFS(tblDaily[Remaining],tblDaily[EntryDate],DATE(2026,1,29),tblDaily[WardCode],"MAE")),"")</f>
        <v/>
      </c>
    </row>
    <row r="36">
      <c r="A36" s="12" t="n">
        <v>30</v>
      </c>
      <c r="B36" s="12">
        <f>IFERROR(IF(SUMIFS(tblDaily[Admissions],tblDaily[EntryDate],DATE(2026,1,30),tblDaily[WardCode],"MAE")=0,"",SUMIFS(tblDaily[Admissions],tblDaily[EntryDate],DATE(2026,1,30),tblDaily[WardCode],"MAE")),"")</f>
        <v/>
      </c>
      <c r="C36" s="12">
        <f>IFERROR(IF(SUMIFS(tblDaily[Discharges],tblDaily[EntryDate],DATE(2026,1,30),tblDaily[WardCode],"MAE")=0,"",SUMIFS(tblDaily[Discharges],tblDaily[EntryDate],DATE(2026,1,30),tblDaily[WardCode],"MAE")),"")</f>
        <v/>
      </c>
      <c r="D36" s="12">
        <f>IFERROR(IF(SUMIFS(tblDaily[Deaths],tblDaily[EntryDate],DATE(2026,1,30),tblDaily[WardCode],"MAE")=0,"",SUMIFS(tblDaily[Deaths],tblDaily[EntryDate],DATE(2026,1,30),tblDaily[WardCode],"MAE")),"")</f>
        <v/>
      </c>
      <c r="E36" s="12">
        <f>IFERROR(IF(SUMIFS(tblDaily[DeathsUnder24Hrs],tblDaily[EntryDate],DATE(2026,1,30),tblDaily[WardCode],"MAE")=0,"",SUMIFS(tblDaily[DeathsUnder24Hrs],tblDaily[EntryDate],DATE(2026,1,30),tblDaily[WardCode],"MAE")),"")</f>
        <v/>
      </c>
      <c r="F36" s="12">
        <f>IFERROR(IF(SUMIFS(tblDaily[TransfersIn],tblDaily[EntryDate],DATE(2026,1,30),tblDaily[WardCode],"MAE")=0,"",SUMIFS(tblDaily[TransfersIn],tblDaily[EntryDate],DATE(2026,1,30),tblDaily[WardCode],"MAE")),"")</f>
        <v/>
      </c>
      <c r="G36" s="12">
        <f>IFERROR(IF(SUMIFS(tblDaily[TransfersOut],tblDaily[EntryDate],DATE(2026,1,30),tblDaily[WardCode],"MAE")=0,"",SUMIFS(tblDaily[TransfersOut],tblDaily[EntryDate],DATE(2026,1,30),tblDaily[WardCode],"MAE")),"")</f>
        <v/>
      </c>
      <c r="H36" s="12">
        <f>IFERROR(IF(SUMIFS(tblDaily[Remaining],tblDaily[EntryDate],DATE(2026,1,30),tblDaily[WardCode],"MAE")=0,"",SUMIFS(tblDaily[Remaining],tblDaily[EntryDate],DATE(2026,1,30),tblDaily[WardCode],"MAE")),"")</f>
        <v/>
      </c>
    </row>
    <row r="37">
      <c r="A37" s="12" t="n">
        <v>31</v>
      </c>
      <c r="B37" s="12">
        <f>IFERROR(IF(SUMIFS(tblDaily[Admissions],tblDaily[EntryDate],DATE(2026,1,31),tblDaily[WardCode],"MAE")=0,"",SUMIFS(tblDaily[Admissions],tblDaily[EntryDate],DATE(2026,1,31),tblDaily[WardCode],"MAE")),"")</f>
        <v/>
      </c>
      <c r="C37" s="12">
        <f>IFERROR(IF(SUMIFS(tblDaily[Discharges],tblDaily[EntryDate],DATE(2026,1,31),tblDaily[WardCode],"MAE")=0,"",SUMIFS(tblDaily[Discharges],tblDaily[EntryDate],DATE(2026,1,31),tblDaily[WardCode],"MAE")),"")</f>
        <v/>
      </c>
      <c r="D37" s="12">
        <f>IFERROR(IF(SUMIFS(tblDaily[Deaths],tblDaily[EntryDate],DATE(2026,1,31),tblDaily[WardCode],"MAE")=0,"",SUMIFS(tblDaily[Deaths],tblDaily[EntryDate],DATE(2026,1,31),tblDaily[WardCode],"MAE")),"")</f>
        <v/>
      </c>
      <c r="E37" s="12">
        <f>IFERROR(IF(SUMIFS(tblDaily[DeathsUnder24Hrs],tblDaily[EntryDate],DATE(2026,1,31),tblDaily[WardCode],"MAE")=0,"",SUMIFS(tblDaily[DeathsUnder24Hrs],tblDaily[EntryDate],DATE(2026,1,31),tblDaily[WardCode],"MAE")),"")</f>
        <v/>
      </c>
      <c r="F37" s="12">
        <f>IFERROR(IF(SUMIFS(tblDaily[TransfersIn],tblDaily[EntryDate],DATE(2026,1,31),tblDaily[WardCode],"MAE")=0,"",SUMIFS(tblDaily[TransfersIn],tblDaily[EntryDate],DATE(2026,1,31),tblDaily[WardCode],"MAE")),"")</f>
        <v/>
      </c>
      <c r="G37" s="12">
        <f>IFERROR(IF(SUMIFS(tblDaily[TransfersOut],tblDaily[EntryDate],DATE(2026,1,31),tblDaily[WardCode],"MAE")=0,"",SUMIFS(tblDaily[TransfersOut],tblDaily[EntryDate],DATE(2026,1,31),tblDaily[WardCode],"MAE")),"")</f>
        <v/>
      </c>
      <c r="H37" s="12">
        <f>IFERROR(IF(SUMIFS(tblDaily[Remaining],tblDaily[EntryDate],DATE(2026,1,31),tblDaily[WardCode],"MAE")=0,"",SUMIFS(tblDaily[Remaining],tblDaily[EntryDate],DATE(2026,1,31),tblDaily[WardCode],"MAE")),"")</f>
        <v/>
      </c>
    </row>
    <row r="38">
      <c r="A38" s="17" t="inlineStr">
        <is>
          <t>TOTAL</t>
        </is>
      </c>
      <c r="B38" s="17">
        <f>SUMIFS(tblDaily[Admissions],tblDaily[Month],1,tblDaily[WardCode],"MAE") - SUMIFS(tblDaily[DeathsUnder24Hrs],tblDaily[Month],1,tblDaily[WardCode],"MAE")</f>
        <v/>
      </c>
      <c r="C38" s="17">
        <f>SUMIFS(tblDaily[Discharges],tblDaily[Month],1,tblDaily[WardCode],"MAE")</f>
        <v/>
      </c>
      <c r="D38" s="17">
        <f>SUMIFS(tblDaily[Deaths],tblDaily[Month],1,tblDaily[WardCode],"MAE")</f>
        <v/>
      </c>
      <c r="E38" s="17">
        <f>SUMIFS(tblDaily[DeathsUnder24Hrs],tblDaily[Month],1,tblDaily[WardCode],"MAE")</f>
        <v/>
      </c>
      <c r="F38" s="17">
        <f>SUMIFS(tblDaily[TransfersIn],tblDaily[Month],1,tblDaily[WardCode],"MAE")</f>
        <v/>
      </c>
      <c r="G38" s="17">
        <f>SUMIFS(tblDaily[TransfersOut],tblDaily[Month],1,tblDaily[WardCode],"MAE")</f>
        <v/>
      </c>
      <c r="H38" s="17">
        <f>SUMIFS(tblDaily[Remaining],tblDaily[Month],1,tblDaily[WardCode],"MAE")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MALE EMERGENCY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4">
        <f>IFERROR(SUMIFS(tblDaily[Remaining],tblDaily[EntryDate],DATE(2026,1,31),tblDaily[WardCode],"MAE"),0)</f>
        <v/>
      </c>
    </row>
    <row r="44">
      <c r="A44" s="4" t="inlineStr">
        <is>
          <t>Bed complement</t>
        </is>
      </c>
      <c r="H44" s="15">
        <f>IFERROR(INDEX(tblWardConfig[BedComplement],MATCH("MAE",tblWardConfig[WardCode],0)),0)</f>
        <v/>
      </c>
    </row>
    <row r="45">
      <c r="A45" s="16" t="inlineStr">
        <is>
          <t>Day of
the
Month</t>
        </is>
      </c>
      <c r="B45" s="16" t="inlineStr">
        <is>
          <t>Admissions</t>
        </is>
      </c>
      <c r="C45" s="16" t="inlineStr">
        <is>
          <t>Discharges</t>
        </is>
      </c>
      <c r="D45" s="16" t="inlineStr">
        <is>
          <t>Deaths</t>
        </is>
      </c>
      <c r="E45" s="16" t="inlineStr">
        <is>
          <t>Deaths
&lt;24Hrs</t>
        </is>
      </c>
      <c r="F45" s="16" t="inlineStr">
        <is>
          <t>Transfers-
In</t>
        </is>
      </c>
      <c r="G45" s="16" t="inlineStr">
        <is>
          <t>Transfers-
Out</t>
        </is>
      </c>
      <c r="H45" s="16" t="inlineStr">
        <is>
          <t>No. of Patients
Remaining In
Ward</t>
        </is>
      </c>
    </row>
    <row r="46">
      <c r="A46" s="12" t="n">
        <v>1</v>
      </c>
      <c r="B46" s="12">
        <f>IFERROR(IF(SUMIFS(tblDaily[Admissions],tblDaily[EntryDate],DATE(2026,2,1),tblDaily[WardCode],"MAE")=0,"",SUMIFS(tblDaily[Admissions],tblDaily[EntryDate],DATE(2026,2,1),tblDaily[WardCode],"MAE")),"")</f>
        <v/>
      </c>
      <c r="C46" s="12">
        <f>IFERROR(IF(SUMIFS(tblDaily[Discharges],tblDaily[EntryDate],DATE(2026,2,1),tblDaily[WardCode],"MAE")=0,"",SUMIFS(tblDaily[Discharges],tblDaily[EntryDate],DATE(2026,2,1),tblDaily[WardCode],"MAE")),"")</f>
        <v/>
      </c>
      <c r="D46" s="12">
        <f>IFERROR(IF(SUMIFS(tblDaily[Deaths],tblDaily[EntryDate],DATE(2026,2,1),tblDaily[WardCode],"MAE")=0,"",SUMIFS(tblDaily[Deaths],tblDaily[EntryDate],DATE(2026,2,1),tblDaily[WardCode],"MAE")),"")</f>
        <v/>
      </c>
      <c r="E46" s="12">
        <f>IFERROR(IF(SUMIFS(tblDaily[DeathsUnder24Hrs],tblDaily[EntryDate],DATE(2026,2,1),tblDaily[WardCode],"MAE")=0,"",SUMIFS(tblDaily[DeathsUnder24Hrs],tblDaily[EntryDate],DATE(2026,2,1),tblDaily[WardCode],"MAE")),"")</f>
        <v/>
      </c>
      <c r="F46" s="12">
        <f>IFERROR(IF(SUMIFS(tblDaily[TransfersIn],tblDaily[EntryDate],DATE(2026,2,1),tblDaily[WardCode],"MAE")=0,"",SUMIFS(tblDaily[TransfersIn],tblDaily[EntryDate],DATE(2026,2,1),tblDaily[WardCode],"MAE")),"")</f>
        <v/>
      </c>
      <c r="G46" s="12">
        <f>IFERROR(IF(SUMIFS(tblDaily[TransfersOut],tblDaily[EntryDate],DATE(2026,2,1),tblDaily[WardCode],"MAE")=0,"",SUMIFS(tblDaily[TransfersOut],tblDaily[EntryDate],DATE(2026,2,1),tblDaily[WardCode],"MAE")),"")</f>
        <v/>
      </c>
      <c r="H46" s="12">
        <f>IFERROR(IF(SUMIFS(tblDaily[Remaining],tblDaily[EntryDate],DATE(2026,2,1),tblDaily[WardCode],"MAE")=0,"",SUMIFS(tblDaily[Remaining],tblDaily[EntryDate],DATE(2026,2,1),tblDaily[WardCode],"MAE")),"")</f>
        <v/>
      </c>
    </row>
    <row r="47">
      <c r="A47" s="12" t="n">
        <v>2</v>
      </c>
      <c r="B47" s="12">
        <f>IFERROR(IF(SUMIFS(tblDaily[Admissions],tblDaily[EntryDate],DATE(2026,2,2),tblDaily[WardCode],"MAE")=0,"",SUMIFS(tblDaily[Admissions],tblDaily[EntryDate],DATE(2026,2,2),tblDaily[WardCode],"MAE")),"")</f>
        <v/>
      </c>
      <c r="C47" s="12">
        <f>IFERROR(IF(SUMIFS(tblDaily[Discharges],tblDaily[EntryDate],DATE(2026,2,2),tblDaily[WardCode],"MAE")=0,"",SUMIFS(tblDaily[Discharges],tblDaily[EntryDate],DATE(2026,2,2),tblDaily[WardCode],"MAE")),"")</f>
        <v/>
      </c>
      <c r="D47" s="12">
        <f>IFERROR(IF(SUMIFS(tblDaily[Deaths],tblDaily[EntryDate],DATE(2026,2,2),tblDaily[WardCode],"MAE")=0,"",SUMIFS(tblDaily[Deaths],tblDaily[EntryDate],DATE(2026,2,2),tblDaily[WardCode],"MAE")),"")</f>
        <v/>
      </c>
      <c r="E47" s="12">
        <f>IFERROR(IF(SUMIFS(tblDaily[DeathsUnder24Hrs],tblDaily[EntryDate],DATE(2026,2,2),tblDaily[WardCode],"MAE")=0,"",SUMIFS(tblDaily[DeathsUnder24Hrs],tblDaily[EntryDate],DATE(2026,2,2),tblDaily[WardCode],"MAE")),"")</f>
        <v/>
      </c>
      <c r="F47" s="12">
        <f>IFERROR(IF(SUMIFS(tblDaily[TransfersIn],tblDaily[EntryDate],DATE(2026,2,2),tblDaily[WardCode],"MAE")=0,"",SUMIFS(tblDaily[TransfersIn],tblDaily[EntryDate],DATE(2026,2,2),tblDaily[WardCode],"MAE")),"")</f>
        <v/>
      </c>
      <c r="G47" s="12">
        <f>IFERROR(IF(SUMIFS(tblDaily[TransfersOut],tblDaily[EntryDate],DATE(2026,2,2),tblDaily[WardCode],"MAE")=0,"",SUMIFS(tblDaily[TransfersOut],tblDaily[EntryDate],DATE(2026,2,2),tblDaily[WardCode],"MAE")),"")</f>
        <v/>
      </c>
      <c r="H47" s="12">
        <f>IFERROR(IF(SUMIFS(tblDaily[Remaining],tblDaily[EntryDate],DATE(2026,2,2),tblDaily[WardCode],"MAE")=0,"",SUMIFS(tblDaily[Remaining],tblDaily[EntryDate],DATE(2026,2,2),tblDaily[WardCode],"MAE")),"")</f>
        <v/>
      </c>
    </row>
    <row r="48">
      <c r="A48" s="12" t="n">
        <v>3</v>
      </c>
      <c r="B48" s="12">
        <f>IFERROR(IF(SUMIFS(tblDaily[Admissions],tblDaily[EntryDate],DATE(2026,2,3),tblDaily[WardCode],"MAE")=0,"",SUMIFS(tblDaily[Admissions],tblDaily[EntryDate],DATE(2026,2,3),tblDaily[WardCode],"MAE")),"")</f>
        <v/>
      </c>
      <c r="C48" s="12">
        <f>IFERROR(IF(SUMIFS(tblDaily[Discharges],tblDaily[EntryDate],DATE(2026,2,3),tblDaily[WardCode],"MAE")=0,"",SUMIFS(tblDaily[Discharges],tblDaily[EntryDate],DATE(2026,2,3),tblDaily[WardCode],"MAE")),"")</f>
        <v/>
      </c>
      <c r="D48" s="12">
        <f>IFERROR(IF(SUMIFS(tblDaily[Deaths],tblDaily[EntryDate],DATE(2026,2,3),tblDaily[WardCode],"MAE")=0,"",SUMIFS(tblDaily[Deaths],tblDaily[EntryDate],DATE(2026,2,3),tblDaily[WardCode],"MAE")),"")</f>
        <v/>
      </c>
      <c r="E48" s="12">
        <f>IFERROR(IF(SUMIFS(tblDaily[DeathsUnder24Hrs],tblDaily[EntryDate],DATE(2026,2,3),tblDaily[WardCode],"MAE")=0,"",SUMIFS(tblDaily[DeathsUnder24Hrs],tblDaily[EntryDate],DATE(2026,2,3),tblDaily[WardCode],"MAE")),"")</f>
        <v/>
      </c>
      <c r="F48" s="12">
        <f>IFERROR(IF(SUMIFS(tblDaily[TransfersIn],tblDaily[EntryDate],DATE(2026,2,3),tblDaily[WardCode],"MAE")=0,"",SUMIFS(tblDaily[TransfersIn],tblDaily[EntryDate],DATE(2026,2,3),tblDaily[WardCode],"MAE")),"")</f>
        <v/>
      </c>
      <c r="G48" s="12">
        <f>IFERROR(IF(SUMIFS(tblDaily[TransfersOut],tblDaily[EntryDate],DATE(2026,2,3),tblDaily[WardCode],"MAE")=0,"",SUMIFS(tblDaily[TransfersOut],tblDaily[EntryDate],DATE(2026,2,3),tblDaily[WardCode],"MAE")),"")</f>
        <v/>
      </c>
      <c r="H48" s="12">
        <f>IFERROR(IF(SUMIFS(tblDaily[Remaining],tblDaily[EntryDate],DATE(2026,2,3),tblDaily[WardCode],"MAE")=0,"",SUMIFS(tblDaily[Remaining],tblDaily[EntryDate],DATE(2026,2,3),tblDaily[WardCode],"MAE")),"")</f>
        <v/>
      </c>
    </row>
    <row r="49">
      <c r="A49" s="12" t="n">
        <v>4</v>
      </c>
      <c r="B49" s="12">
        <f>IFERROR(IF(SUMIFS(tblDaily[Admissions],tblDaily[EntryDate],DATE(2026,2,4),tblDaily[WardCode],"MAE")=0,"",SUMIFS(tblDaily[Admissions],tblDaily[EntryDate],DATE(2026,2,4),tblDaily[WardCode],"MAE")),"")</f>
        <v/>
      </c>
      <c r="C49" s="12">
        <f>IFERROR(IF(SUMIFS(tblDaily[Discharges],tblDaily[EntryDate],DATE(2026,2,4),tblDaily[WardCode],"MAE")=0,"",SUMIFS(tblDaily[Discharges],tblDaily[EntryDate],DATE(2026,2,4),tblDaily[WardCode],"MAE")),"")</f>
        <v/>
      </c>
      <c r="D49" s="12">
        <f>IFERROR(IF(SUMIFS(tblDaily[Deaths],tblDaily[EntryDate],DATE(2026,2,4),tblDaily[WardCode],"MAE")=0,"",SUMIFS(tblDaily[Deaths],tblDaily[EntryDate],DATE(2026,2,4),tblDaily[WardCode],"MAE")),"")</f>
        <v/>
      </c>
      <c r="E49" s="12">
        <f>IFERROR(IF(SUMIFS(tblDaily[DeathsUnder24Hrs],tblDaily[EntryDate],DATE(2026,2,4),tblDaily[WardCode],"MAE")=0,"",SUMIFS(tblDaily[DeathsUnder24Hrs],tblDaily[EntryDate],DATE(2026,2,4),tblDaily[WardCode],"MAE")),"")</f>
        <v/>
      </c>
      <c r="F49" s="12">
        <f>IFERROR(IF(SUMIFS(tblDaily[TransfersIn],tblDaily[EntryDate],DATE(2026,2,4),tblDaily[WardCode],"MAE")=0,"",SUMIFS(tblDaily[TransfersIn],tblDaily[EntryDate],DATE(2026,2,4),tblDaily[WardCode],"MAE")),"")</f>
        <v/>
      </c>
      <c r="G49" s="12">
        <f>IFERROR(IF(SUMIFS(tblDaily[TransfersOut],tblDaily[EntryDate],DATE(2026,2,4),tblDaily[WardCode],"MAE")=0,"",SUMIFS(tblDaily[TransfersOut],tblDaily[EntryDate],DATE(2026,2,4),tblDaily[WardCode],"MAE")),"")</f>
        <v/>
      </c>
      <c r="H49" s="12">
        <f>IFERROR(IF(SUMIFS(tblDaily[Remaining],tblDaily[EntryDate],DATE(2026,2,4),tblDaily[WardCode],"MAE")=0,"",SUMIFS(tblDaily[Remaining],tblDaily[EntryDate],DATE(2026,2,4),tblDaily[WardCode],"MAE")),"")</f>
        <v/>
      </c>
    </row>
    <row r="50">
      <c r="A50" s="12" t="n">
        <v>5</v>
      </c>
      <c r="B50" s="12">
        <f>IFERROR(IF(SUMIFS(tblDaily[Admissions],tblDaily[EntryDate],DATE(2026,2,5),tblDaily[WardCode],"MAE")=0,"",SUMIFS(tblDaily[Admissions],tblDaily[EntryDate],DATE(2026,2,5),tblDaily[WardCode],"MAE")),"")</f>
        <v/>
      </c>
      <c r="C50" s="12">
        <f>IFERROR(IF(SUMIFS(tblDaily[Discharges],tblDaily[EntryDate],DATE(2026,2,5),tblDaily[WardCode],"MAE")=0,"",SUMIFS(tblDaily[Discharges],tblDaily[EntryDate],DATE(2026,2,5),tblDaily[WardCode],"MAE")),"")</f>
        <v/>
      </c>
      <c r="D50" s="12">
        <f>IFERROR(IF(SUMIFS(tblDaily[Deaths],tblDaily[EntryDate],DATE(2026,2,5),tblDaily[WardCode],"MAE")=0,"",SUMIFS(tblDaily[Deaths],tblDaily[EntryDate],DATE(2026,2,5),tblDaily[WardCode],"MAE")),"")</f>
        <v/>
      </c>
      <c r="E50" s="12">
        <f>IFERROR(IF(SUMIFS(tblDaily[DeathsUnder24Hrs],tblDaily[EntryDate],DATE(2026,2,5),tblDaily[WardCode],"MAE")=0,"",SUMIFS(tblDaily[DeathsUnder24Hrs],tblDaily[EntryDate],DATE(2026,2,5),tblDaily[WardCode],"MAE")),"")</f>
        <v/>
      </c>
      <c r="F50" s="12">
        <f>IFERROR(IF(SUMIFS(tblDaily[TransfersIn],tblDaily[EntryDate],DATE(2026,2,5),tblDaily[WardCode],"MAE")=0,"",SUMIFS(tblDaily[TransfersIn],tblDaily[EntryDate],DATE(2026,2,5),tblDaily[WardCode],"MAE")),"")</f>
        <v/>
      </c>
      <c r="G50" s="12">
        <f>IFERROR(IF(SUMIFS(tblDaily[TransfersOut],tblDaily[EntryDate],DATE(2026,2,5),tblDaily[WardCode],"MAE")=0,"",SUMIFS(tblDaily[TransfersOut],tblDaily[EntryDate],DATE(2026,2,5),tblDaily[WardCode],"MAE")),"")</f>
        <v/>
      </c>
      <c r="H50" s="12">
        <f>IFERROR(IF(SUMIFS(tblDaily[Remaining],tblDaily[EntryDate],DATE(2026,2,5),tblDaily[WardCode],"MAE")=0,"",SUMIFS(tblDaily[Remaining],tblDaily[EntryDate],DATE(2026,2,5),tblDaily[WardCode],"MAE")),"")</f>
        <v/>
      </c>
    </row>
    <row r="51">
      <c r="A51" s="12" t="n">
        <v>6</v>
      </c>
      <c r="B51" s="12">
        <f>IFERROR(IF(SUMIFS(tblDaily[Admissions],tblDaily[EntryDate],DATE(2026,2,6),tblDaily[WardCode],"MAE")=0,"",SUMIFS(tblDaily[Admissions],tblDaily[EntryDate],DATE(2026,2,6),tblDaily[WardCode],"MAE")),"")</f>
        <v/>
      </c>
      <c r="C51" s="12">
        <f>IFERROR(IF(SUMIFS(tblDaily[Discharges],tblDaily[EntryDate],DATE(2026,2,6),tblDaily[WardCode],"MAE")=0,"",SUMIFS(tblDaily[Discharges],tblDaily[EntryDate],DATE(2026,2,6),tblDaily[WardCode],"MAE")),"")</f>
        <v/>
      </c>
      <c r="D51" s="12">
        <f>IFERROR(IF(SUMIFS(tblDaily[Deaths],tblDaily[EntryDate],DATE(2026,2,6),tblDaily[WardCode],"MAE")=0,"",SUMIFS(tblDaily[Deaths],tblDaily[EntryDate],DATE(2026,2,6),tblDaily[WardCode],"MAE")),"")</f>
        <v/>
      </c>
      <c r="E51" s="12">
        <f>IFERROR(IF(SUMIFS(tblDaily[DeathsUnder24Hrs],tblDaily[EntryDate],DATE(2026,2,6),tblDaily[WardCode],"MAE")=0,"",SUMIFS(tblDaily[DeathsUnder24Hrs],tblDaily[EntryDate],DATE(2026,2,6),tblDaily[WardCode],"MAE")),"")</f>
        <v/>
      </c>
      <c r="F51" s="12">
        <f>IFERROR(IF(SUMIFS(tblDaily[TransfersIn],tblDaily[EntryDate],DATE(2026,2,6),tblDaily[WardCode],"MAE")=0,"",SUMIFS(tblDaily[TransfersIn],tblDaily[EntryDate],DATE(2026,2,6),tblDaily[WardCode],"MAE")),"")</f>
        <v/>
      </c>
      <c r="G51" s="12">
        <f>IFERROR(IF(SUMIFS(tblDaily[TransfersOut],tblDaily[EntryDate],DATE(2026,2,6),tblDaily[WardCode],"MAE")=0,"",SUMIFS(tblDaily[TransfersOut],tblDaily[EntryDate],DATE(2026,2,6),tblDaily[WardCode],"MAE")),"")</f>
        <v/>
      </c>
      <c r="H51" s="12">
        <f>IFERROR(IF(SUMIFS(tblDaily[Remaining],tblDaily[EntryDate],DATE(2026,2,6),tblDaily[WardCode],"MAE")=0,"",SUMIFS(tblDaily[Remaining],tblDaily[EntryDate],DATE(2026,2,6),tblDaily[WardCode],"MAE")),"")</f>
        <v/>
      </c>
    </row>
    <row r="52">
      <c r="A52" s="12" t="n">
        <v>7</v>
      </c>
      <c r="B52" s="12">
        <f>IFERROR(IF(SUMIFS(tblDaily[Admissions],tblDaily[EntryDate],DATE(2026,2,7),tblDaily[WardCode],"MAE")=0,"",SUMIFS(tblDaily[Admissions],tblDaily[EntryDate],DATE(2026,2,7),tblDaily[WardCode],"MAE")),"")</f>
        <v/>
      </c>
      <c r="C52" s="12">
        <f>IFERROR(IF(SUMIFS(tblDaily[Discharges],tblDaily[EntryDate],DATE(2026,2,7),tblDaily[WardCode],"MAE")=0,"",SUMIFS(tblDaily[Discharges],tblDaily[EntryDate],DATE(2026,2,7),tblDaily[WardCode],"MAE")),"")</f>
        <v/>
      </c>
      <c r="D52" s="12">
        <f>IFERROR(IF(SUMIFS(tblDaily[Deaths],tblDaily[EntryDate],DATE(2026,2,7),tblDaily[WardCode],"MAE")=0,"",SUMIFS(tblDaily[Deaths],tblDaily[EntryDate],DATE(2026,2,7),tblDaily[WardCode],"MAE")),"")</f>
        <v/>
      </c>
      <c r="E52" s="12">
        <f>IFERROR(IF(SUMIFS(tblDaily[DeathsUnder24Hrs],tblDaily[EntryDate],DATE(2026,2,7),tblDaily[WardCode],"MAE")=0,"",SUMIFS(tblDaily[DeathsUnder24Hrs],tblDaily[EntryDate],DATE(2026,2,7),tblDaily[WardCode],"MAE")),"")</f>
        <v/>
      </c>
      <c r="F52" s="12">
        <f>IFERROR(IF(SUMIFS(tblDaily[TransfersIn],tblDaily[EntryDate],DATE(2026,2,7),tblDaily[WardCode],"MAE")=0,"",SUMIFS(tblDaily[TransfersIn],tblDaily[EntryDate],DATE(2026,2,7),tblDaily[WardCode],"MAE")),"")</f>
        <v/>
      </c>
      <c r="G52" s="12">
        <f>IFERROR(IF(SUMIFS(tblDaily[TransfersOut],tblDaily[EntryDate],DATE(2026,2,7),tblDaily[WardCode],"MAE")=0,"",SUMIFS(tblDaily[TransfersOut],tblDaily[EntryDate],DATE(2026,2,7),tblDaily[WardCode],"MAE")),"")</f>
        <v/>
      </c>
      <c r="H52" s="12">
        <f>IFERROR(IF(SUMIFS(tblDaily[Remaining],tblDaily[EntryDate],DATE(2026,2,7),tblDaily[WardCode],"MAE")=0,"",SUMIFS(tblDaily[Remaining],tblDaily[EntryDate],DATE(2026,2,7),tblDaily[WardCode],"MAE")),"")</f>
        <v/>
      </c>
    </row>
    <row r="53">
      <c r="A53" s="12" t="n">
        <v>8</v>
      </c>
      <c r="B53" s="12">
        <f>IFERROR(IF(SUMIFS(tblDaily[Admissions],tblDaily[EntryDate],DATE(2026,2,8),tblDaily[WardCode],"MAE")=0,"",SUMIFS(tblDaily[Admissions],tblDaily[EntryDate],DATE(2026,2,8),tblDaily[WardCode],"MAE")),"")</f>
        <v/>
      </c>
      <c r="C53" s="12">
        <f>IFERROR(IF(SUMIFS(tblDaily[Discharges],tblDaily[EntryDate],DATE(2026,2,8),tblDaily[WardCode],"MAE")=0,"",SUMIFS(tblDaily[Discharges],tblDaily[EntryDate],DATE(2026,2,8),tblDaily[WardCode],"MAE")),"")</f>
        <v/>
      </c>
      <c r="D53" s="12">
        <f>IFERROR(IF(SUMIFS(tblDaily[Deaths],tblDaily[EntryDate],DATE(2026,2,8),tblDaily[WardCode],"MAE")=0,"",SUMIFS(tblDaily[Deaths],tblDaily[EntryDate],DATE(2026,2,8),tblDaily[WardCode],"MAE")),"")</f>
        <v/>
      </c>
      <c r="E53" s="12">
        <f>IFERROR(IF(SUMIFS(tblDaily[DeathsUnder24Hrs],tblDaily[EntryDate],DATE(2026,2,8),tblDaily[WardCode],"MAE")=0,"",SUMIFS(tblDaily[DeathsUnder24Hrs],tblDaily[EntryDate],DATE(2026,2,8),tblDaily[WardCode],"MAE")),"")</f>
        <v/>
      </c>
      <c r="F53" s="12">
        <f>IFERROR(IF(SUMIFS(tblDaily[TransfersIn],tblDaily[EntryDate],DATE(2026,2,8),tblDaily[WardCode],"MAE")=0,"",SUMIFS(tblDaily[TransfersIn],tblDaily[EntryDate],DATE(2026,2,8),tblDaily[WardCode],"MAE")),"")</f>
        <v/>
      </c>
      <c r="G53" s="12">
        <f>IFERROR(IF(SUMIFS(tblDaily[TransfersOut],tblDaily[EntryDate],DATE(2026,2,8),tblDaily[WardCode],"MAE")=0,"",SUMIFS(tblDaily[TransfersOut],tblDaily[EntryDate],DATE(2026,2,8),tblDaily[WardCode],"MAE")),"")</f>
        <v/>
      </c>
      <c r="H53" s="12">
        <f>IFERROR(IF(SUMIFS(tblDaily[Remaining],tblDaily[EntryDate],DATE(2026,2,8),tblDaily[WardCode],"MAE")=0,"",SUMIFS(tblDaily[Remaining],tblDaily[EntryDate],DATE(2026,2,8),tblDaily[WardCode],"MAE")),"")</f>
        <v/>
      </c>
    </row>
    <row r="54">
      <c r="A54" s="12" t="n">
        <v>9</v>
      </c>
      <c r="B54" s="12">
        <f>IFERROR(IF(SUMIFS(tblDaily[Admissions],tblDaily[EntryDate],DATE(2026,2,9),tblDaily[WardCode],"MAE")=0,"",SUMIFS(tblDaily[Admissions],tblDaily[EntryDate],DATE(2026,2,9),tblDaily[WardCode],"MAE")),"")</f>
        <v/>
      </c>
      <c r="C54" s="12">
        <f>IFERROR(IF(SUMIFS(tblDaily[Discharges],tblDaily[EntryDate],DATE(2026,2,9),tblDaily[WardCode],"MAE")=0,"",SUMIFS(tblDaily[Discharges],tblDaily[EntryDate],DATE(2026,2,9),tblDaily[WardCode],"MAE")),"")</f>
        <v/>
      </c>
      <c r="D54" s="12">
        <f>IFERROR(IF(SUMIFS(tblDaily[Deaths],tblDaily[EntryDate],DATE(2026,2,9),tblDaily[WardCode],"MAE")=0,"",SUMIFS(tblDaily[Deaths],tblDaily[EntryDate],DATE(2026,2,9),tblDaily[WardCode],"MAE")),"")</f>
        <v/>
      </c>
      <c r="E54" s="12">
        <f>IFERROR(IF(SUMIFS(tblDaily[DeathsUnder24Hrs],tblDaily[EntryDate],DATE(2026,2,9),tblDaily[WardCode],"MAE")=0,"",SUMIFS(tblDaily[DeathsUnder24Hrs],tblDaily[EntryDate],DATE(2026,2,9),tblDaily[WardCode],"MAE")),"")</f>
        <v/>
      </c>
      <c r="F54" s="12">
        <f>IFERROR(IF(SUMIFS(tblDaily[TransfersIn],tblDaily[EntryDate],DATE(2026,2,9),tblDaily[WardCode],"MAE")=0,"",SUMIFS(tblDaily[TransfersIn],tblDaily[EntryDate],DATE(2026,2,9),tblDaily[WardCode],"MAE")),"")</f>
        <v/>
      </c>
      <c r="G54" s="12">
        <f>IFERROR(IF(SUMIFS(tblDaily[TransfersOut],tblDaily[EntryDate],DATE(2026,2,9),tblDaily[WardCode],"MAE")=0,"",SUMIFS(tblDaily[TransfersOut],tblDaily[EntryDate],DATE(2026,2,9),tblDaily[WardCode],"MAE")),"")</f>
        <v/>
      </c>
      <c r="H54" s="12">
        <f>IFERROR(IF(SUMIFS(tblDaily[Remaining],tblDaily[EntryDate],DATE(2026,2,9),tblDaily[WardCode],"MAE")=0,"",SUMIFS(tblDaily[Remaining],tblDaily[EntryDate],DATE(2026,2,9),tblDaily[WardCode],"MAE")),"")</f>
        <v/>
      </c>
    </row>
    <row r="55">
      <c r="A55" s="12" t="n">
        <v>10</v>
      </c>
      <c r="B55" s="12">
        <f>IFERROR(IF(SUMIFS(tblDaily[Admissions],tblDaily[EntryDate],DATE(2026,2,10),tblDaily[WardCode],"MAE")=0,"",SUMIFS(tblDaily[Admissions],tblDaily[EntryDate],DATE(2026,2,10),tblDaily[WardCode],"MAE")),"")</f>
        <v/>
      </c>
      <c r="C55" s="12">
        <f>IFERROR(IF(SUMIFS(tblDaily[Discharges],tblDaily[EntryDate],DATE(2026,2,10),tblDaily[WardCode],"MAE")=0,"",SUMIFS(tblDaily[Discharges],tblDaily[EntryDate],DATE(2026,2,10),tblDaily[WardCode],"MAE")),"")</f>
        <v/>
      </c>
      <c r="D55" s="12">
        <f>IFERROR(IF(SUMIFS(tblDaily[Deaths],tblDaily[EntryDate],DATE(2026,2,10),tblDaily[WardCode],"MAE")=0,"",SUMIFS(tblDaily[Deaths],tblDaily[EntryDate],DATE(2026,2,10),tblDaily[WardCode],"MAE")),"")</f>
        <v/>
      </c>
      <c r="E55" s="12">
        <f>IFERROR(IF(SUMIFS(tblDaily[DeathsUnder24Hrs],tblDaily[EntryDate],DATE(2026,2,10),tblDaily[WardCode],"MAE")=0,"",SUMIFS(tblDaily[DeathsUnder24Hrs],tblDaily[EntryDate],DATE(2026,2,10),tblDaily[WardCode],"MAE")),"")</f>
        <v/>
      </c>
      <c r="F55" s="12">
        <f>IFERROR(IF(SUMIFS(tblDaily[TransfersIn],tblDaily[EntryDate],DATE(2026,2,10),tblDaily[WardCode],"MAE")=0,"",SUMIFS(tblDaily[TransfersIn],tblDaily[EntryDate],DATE(2026,2,10),tblDaily[WardCode],"MAE")),"")</f>
        <v/>
      </c>
      <c r="G55" s="12">
        <f>IFERROR(IF(SUMIFS(tblDaily[TransfersOut],tblDaily[EntryDate],DATE(2026,2,10),tblDaily[WardCode],"MAE")=0,"",SUMIFS(tblDaily[TransfersOut],tblDaily[EntryDate],DATE(2026,2,10),tblDaily[WardCode],"MAE")),"")</f>
        <v/>
      </c>
      <c r="H55" s="12">
        <f>IFERROR(IF(SUMIFS(tblDaily[Remaining],tblDaily[EntryDate],DATE(2026,2,10),tblDaily[WardCode],"MAE")=0,"",SUMIFS(tblDaily[Remaining],tblDaily[EntryDate],DATE(2026,2,10),tblDaily[WardCode],"MAE")),"")</f>
        <v/>
      </c>
    </row>
    <row r="56">
      <c r="A56" s="12" t="n">
        <v>11</v>
      </c>
      <c r="B56" s="12">
        <f>IFERROR(IF(SUMIFS(tblDaily[Admissions],tblDaily[EntryDate],DATE(2026,2,11),tblDaily[WardCode],"MAE")=0,"",SUMIFS(tblDaily[Admissions],tblDaily[EntryDate],DATE(2026,2,11),tblDaily[WardCode],"MAE")),"")</f>
        <v/>
      </c>
      <c r="C56" s="12">
        <f>IFERROR(IF(SUMIFS(tblDaily[Discharges],tblDaily[EntryDate],DATE(2026,2,11),tblDaily[WardCode],"MAE")=0,"",SUMIFS(tblDaily[Discharges],tblDaily[EntryDate],DATE(2026,2,11),tblDaily[WardCode],"MAE")),"")</f>
        <v/>
      </c>
      <c r="D56" s="12">
        <f>IFERROR(IF(SUMIFS(tblDaily[Deaths],tblDaily[EntryDate],DATE(2026,2,11),tblDaily[WardCode],"MAE")=0,"",SUMIFS(tblDaily[Deaths],tblDaily[EntryDate],DATE(2026,2,11),tblDaily[WardCode],"MAE")),"")</f>
        <v/>
      </c>
      <c r="E56" s="12">
        <f>IFERROR(IF(SUMIFS(tblDaily[DeathsUnder24Hrs],tblDaily[EntryDate],DATE(2026,2,11),tblDaily[WardCode],"MAE")=0,"",SUMIFS(tblDaily[DeathsUnder24Hrs],tblDaily[EntryDate],DATE(2026,2,11),tblDaily[WardCode],"MAE")),"")</f>
        <v/>
      </c>
      <c r="F56" s="12">
        <f>IFERROR(IF(SUMIFS(tblDaily[TransfersIn],tblDaily[EntryDate],DATE(2026,2,11),tblDaily[WardCode],"MAE")=0,"",SUMIFS(tblDaily[TransfersIn],tblDaily[EntryDate],DATE(2026,2,11),tblDaily[WardCode],"MAE")),"")</f>
        <v/>
      </c>
      <c r="G56" s="12">
        <f>IFERROR(IF(SUMIFS(tblDaily[TransfersOut],tblDaily[EntryDate],DATE(2026,2,11),tblDaily[WardCode],"MAE")=0,"",SUMIFS(tblDaily[TransfersOut],tblDaily[EntryDate],DATE(2026,2,11),tblDaily[WardCode],"MAE")),"")</f>
        <v/>
      </c>
      <c r="H56" s="12">
        <f>IFERROR(IF(SUMIFS(tblDaily[Remaining],tblDaily[EntryDate],DATE(2026,2,11),tblDaily[WardCode],"MAE")=0,"",SUMIFS(tblDaily[Remaining],tblDaily[EntryDate],DATE(2026,2,11),tblDaily[WardCode],"MAE")),"")</f>
        <v/>
      </c>
    </row>
    <row r="57">
      <c r="A57" s="12" t="n">
        <v>12</v>
      </c>
      <c r="B57" s="12">
        <f>IFERROR(IF(SUMIFS(tblDaily[Admissions],tblDaily[EntryDate],DATE(2026,2,12),tblDaily[WardCode],"MAE")=0,"",SUMIFS(tblDaily[Admissions],tblDaily[EntryDate],DATE(2026,2,12),tblDaily[WardCode],"MAE")),"")</f>
        <v/>
      </c>
      <c r="C57" s="12">
        <f>IFERROR(IF(SUMIFS(tblDaily[Discharges],tblDaily[EntryDate],DATE(2026,2,12),tblDaily[WardCode],"MAE")=0,"",SUMIFS(tblDaily[Discharges],tblDaily[EntryDate],DATE(2026,2,12),tblDaily[WardCode],"MAE")),"")</f>
        <v/>
      </c>
      <c r="D57" s="12">
        <f>IFERROR(IF(SUMIFS(tblDaily[Deaths],tblDaily[EntryDate],DATE(2026,2,12),tblDaily[WardCode],"MAE")=0,"",SUMIFS(tblDaily[Deaths],tblDaily[EntryDate],DATE(2026,2,12),tblDaily[WardCode],"MAE")),"")</f>
        <v/>
      </c>
      <c r="E57" s="12">
        <f>IFERROR(IF(SUMIFS(tblDaily[DeathsUnder24Hrs],tblDaily[EntryDate],DATE(2026,2,12),tblDaily[WardCode],"MAE")=0,"",SUMIFS(tblDaily[DeathsUnder24Hrs],tblDaily[EntryDate],DATE(2026,2,12),tblDaily[WardCode],"MAE")),"")</f>
        <v/>
      </c>
      <c r="F57" s="12">
        <f>IFERROR(IF(SUMIFS(tblDaily[TransfersIn],tblDaily[EntryDate],DATE(2026,2,12),tblDaily[WardCode],"MAE")=0,"",SUMIFS(tblDaily[TransfersIn],tblDaily[EntryDate],DATE(2026,2,12),tblDaily[WardCode],"MAE")),"")</f>
        <v/>
      </c>
      <c r="G57" s="12">
        <f>IFERROR(IF(SUMIFS(tblDaily[TransfersOut],tblDaily[EntryDate],DATE(2026,2,12),tblDaily[WardCode],"MAE")=0,"",SUMIFS(tblDaily[TransfersOut],tblDaily[EntryDate],DATE(2026,2,12),tblDaily[WardCode],"MAE")),"")</f>
        <v/>
      </c>
      <c r="H57" s="12">
        <f>IFERROR(IF(SUMIFS(tblDaily[Remaining],tblDaily[EntryDate],DATE(2026,2,12),tblDaily[WardCode],"MAE")=0,"",SUMIFS(tblDaily[Remaining],tblDaily[EntryDate],DATE(2026,2,12),tblDaily[WardCode],"MAE")),"")</f>
        <v/>
      </c>
    </row>
    <row r="58">
      <c r="A58" s="12" t="n">
        <v>13</v>
      </c>
      <c r="B58" s="12">
        <f>IFERROR(IF(SUMIFS(tblDaily[Admissions],tblDaily[EntryDate],DATE(2026,2,13),tblDaily[WardCode],"MAE")=0,"",SUMIFS(tblDaily[Admissions],tblDaily[EntryDate],DATE(2026,2,13),tblDaily[WardCode],"MAE")),"")</f>
        <v/>
      </c>
      <c r="C58" s="12">
        <f>IFERROR(IF(SUMIFS(tblDaily[Discharges],tblDaily[EntryDate],DATE(2026,2,13),tblDaily[WardCode],"MAE")=0,"",SUMIFS(tblDaily[Discharges],tblDaily[EntryDate],DATE(2026,2,13),tblDaily[WardCode],"MAE")),"")</f>
        <v/>
      </c>
      <c r="D58" s="12">
        <f>IFERROR(IF(SUMIFS(tblDaily[Deaths],tblDaily[EntryDate],DATE(2026,2,13),tblDaily[WardCode],"MAE")=0,"",SUMIFS(tblDaily[Deaths],tblDaily[EntryDate],DATE(2026,2,13),tblDaily[WardCode],"MAE")),"")</f>
        <v/>
      </c>
      <c r="E58" s="12">
        <f>IFERROR(IF(SUMIFS(tblDaily[DeathsUnder24Hrs],tblDaily[EntryDate],DATE(2026,2,13),tblDaily[WardCode],"MAE")=0,"",SUMIFS(tblDaily[DeathsUnder24Hrs],tblDaily[EntryDate],DATE(2026,2,13),tblDaily[WardCode],"MAE")),"")</f>
        <v/>
      </c>
      <c r="F58" s="12">
        <f>IFERROR(IF(SUMIFS(tblDaily[TransfersIn],tblDaily[EntryDate],DATE(2026,2,13),tblDaily[WardCode],"MAE")=0,"",SUMIFS(tblDaily[TransfersIn],tblDaily[EntryDate],DATE(2026,2,13),tblDaily[WardCode],"MAE")),"")</f>
        <v/>
      </c>
      <c r="G58" s="12">
        <f>IFERROR(IF(SUMIFS(tblDaily[TransfersOut],tblDaily[EntryDate],DATE(2026,2,13),tblDaily[WardCode],"MAE")=0,"",SUMIFS(tblDaily[TransfersOut],tblDaily[EntryDate],DATE(2026,2,13),tblDaily[WardCode],"MAE")),"")</f>
        <v/>
      </c>
      <c r="H58" s="12">
        <f>IFERROR(IF(SUMIFS(tblDaily[Remaining],tblDaily[EntryDate],DATE(2026,2,13),tblDaily[WardCode],"MAE")=0,"",SUMIFS(tblDaily[Remaining],tblDaily[EntryDate],DATE(2026,2,13),tblDaily[WardCode],"MAE")),"")</f>
        <v/>
      </c>
    </row>
    <row r="59">
      <c r="A59" s="12" t="n">
        <v>14</v>
      </c>
      <c r="B59" s="12">
        <f>IFERROR(IF(SUMIFS(tblDaily[Admissions],tblDaily[EntryDate],DATE(2026,2,14),tblDaily[WardCode],"MAE")=0,"",SUMIFS(tblDaily[Admissions],tblDaily[EntryDate],DATE(2026,2,14),tblDaily[WardCode],"MAE")),"")</f>
        <v/>
      </c>
      <c r="C59" s="12">
        <f>IFERROR(IF(SUMIFS(tblDaily[Discharges],tblDaily[EntryDate],DATE(2026,2,14),tblDaily[WardCode],"MAE")=0,"",SUMIFS(tblDaily[Discharges],tblDaily[EntryDate],DATE(2026,2,14),tblDaily[WardCode],"MAE")),"")</f>
        <v/>
      </c>
      <c r="D59" s="12">
        <f>IFERROR(IF(SUMIFS(tblDaily[Deaths],tblDaily[EntryDate],DATE(2026,2,14),tblDaily[WardCode],"MAE")=0,"",SUMIFS(tblDaily[Deaths],tblDaily[EntryDate],DATE(2026,2,14),tblDaily[WardCode],"MAE")),"")</f>
        <v/>
      </c>
      <c r="E59" s="12">
        <f>IFERROR(IF(SUMIFS(tblDaily[DeathsUnder24Hrs],tblDaily[EntryDate],DATE(2026,2,14),tblDaily[WardCode],"MAE")=0,"",SUMIFS(tblDaily[DeathsUnder24Hrs],tblDaily[EntryDate],DATE(2026,2,14),tblDaily[WardCode],"MAE")),"")</f>
        <v/>
      </c>
      <c r="F59" s="12">
        <f>IFERROR(IF(SUMIFS(tblDaily[TransfersIn],tblDaily[EntryDate],DATE(2026,2,14),tblDaily[WardCode],"MAE")=0,"",SUMIFS(tblDaily[TransfersIn],tblDaily[EntryDate],DATE(2026,2,14),tblDaily[WardCode],"MAE")),"")</f>
        <v/>
      </c>
      <c r="G59" s="12">
        <f>IFERROR(IF(SUMIFS(tblDaily[TransfersOut],tblDaily[EntryDate],DATE(2026,2,14),tblDaily[WardCode],"MAE")=0,"",SUMIFS(tblDaily[TransfersOut],tblDaily[EntryDate],DATE(2026,2,14),tblDaily[WardCode],"MAE")),"")</f>
        <v/>
      </c>
      <c r="H59" s="12">
        <f>IFERROR(IF(SUMIFS(tblDaily[Remaining],tblDaily[EntryDate],DATE(2026,2,14),tblDaily[WardCode],"MAE")=0,"",SUMIFS(tblDaily[Remaining],tblDaily[EntryDate],DATE(2026,2,14),tblDaily[WardCode],"MAE")),"")</f>
        <v/>
      </c>
    </row>
    <row r="60">
      <c r="A60" s="12" t="n">
        <v>15</v>
      </c>
      <c r="B60" s="12">
        <f>IFERROR(IF(SUMIFS(tblDaily[Admissions],tblDaily[EntryDate],DATE(2026,2,15),tblDaily[WardCode],"MAE")=0,"",SUMIFS(tblDaily[Admissions],tblDaily[EntryDate],DATE(2026,2,15),tblDaily[WardCode],"MAE")),"")</f>
        <v/>
      </c>
      <c r="C60" s="12">
        <f>IFERROR(IF(SUMIFS(tblDaily[Discharges],tblDaily[EntryDate],DATE(2026,2,15),tblDaily[WardCode],"MAE")=0,"",SUMIFS(tblDaily[Discharges],tblDaily[EntryDate],DATE(2026,2,15),tblDaily[WardCode],"MAE")),"")</f>
        <v/>
      </c>
      <c r="D60" s="12">
        <f>IFERROR(IF(SUMIFS(tblDaily[Deaths],tblDaily[EntryDate],DATE(2026,2,15),tblDaily[WardCode],"MAE")=0,"",SUMIFS(tblDaily[Deaths],tblDaily[EntryDate],DATE(2026,2,15),tblDaily[WardCode],"MAE")),"")</f>
        <v/>
      </c>
      <c r="E60" s="12">
        <f>IFERROR(IF(SUMIFS(tblDaily[DeathsUnder24Hrs],tblDaily[EntryDate],DATE(2026,2,15),tblDaily[WardCode],"MAE")=0,"",SUMIFS(tblDaily[DeathsUnder24Hrs],tblDaily[EntryDate],DATE(2026,2,15),tblDaily[WardCode],"MAE")),"")</f>
        <v/>
      </c>
      <c r="F60" s="12">
        <f>IFERROR(IF(SUMIFS(tblDaily[TransfersIn],tblDaily[EntryDate],DATE(2026,2,15),tblDaily[WardCode],"MAE")=0,"",SUMIFS(tblDaily[TransfersIn],tblDaily[EntryDate],DATE(2026,2,15),tblDaily[WardCode],"MAE")),"")</f>
        <v/>
      </c>
      <c r="G60" s="12">
        <f>IFERROR(IF(SUMIFS(tblDaily[TransfersOut],tblDaily[EntryDate],DATE(2026,2,15),tblDaily[WardCode],"MAE")=0,"",SUMIFS(tblDaily[TransfersOut],tblDaily[EntryDate],DATE(2026,2,15),tblDaily[WardCode],"MAE")),"")</f>
        <v/>
      </c>
      <c r="H60" s="12">
        <f>IFERROR(IF(SUMIFS(tblDaily[Remaining],tblDaily[EntryDate],DATE(2026,2,15),tblDaily[WardCode],"MAE")=0,"",SUMIFS(tblDaily[Remaining],tblDaily[EntryDate],DATE(2026,2,15),tblDaily[WardCode],"MAE")),"")</f>
        <v/>
      </c>
    </row>
    <row r="61">
      <c r="A61" s="12" t="n">
        <v>16</v>
      </c>
      <c r="B61" s="12">
        <f>IFERROR(IF(SUMIFS(tblDaily[Admissions],tblDaily[EntryDate],DATE(2026,2,16),tblDaily[WardCode],"MAE")=0,"",SUMIFS(tblDaily[Admissions],tblDaily[EntryDate],DATE(2026,2,16),tblDaily[WardCode],"MAE")),"")</f>
        <v/>
      </c>
      <c r="C61" s="12">
        <f>IFERROR(IF(SUMIFS(tblDaily[Discharges],tblDaily[EntryDate],DATE(2026,2,16),tblDaily[WardCode],"MAE")=0,"",SUMIFS(tblDaily[Discharges],tblDaily[EntryDate],DATE(2026,2,16),tblDaily[WardCode],"MAE")),"")</f>
        <v/>
      </c>
      <c r="D61" s="12">
        <f>IFERROR(IF(SUMIFS(tblDaily[Deaths],tblDaily[EntryDate],DATE(2026,2,16),tblDaily[WardCode],"MAE")=0,"",SUMIFS(tblDaily[Deaths],tblDaily[EntryDate],DATE(2026,2,16),tblDaily[WardCode],"MAE")),"")</f>
        <v/>
      </c>
      <c r="E61" s="12">
        <f>IFERROR(IF(SUMIFS(tblDaily[DeathsUnder24Hrs],tblDaily[EntryDate],DATE(2026,2,16),tblDaily[WardCode],"MAE")=0,"",SUMIFS(tblDaily[DeathsUnder24Hrs],tblDaily[EntryDate],DATE(2026,2,16),tblDaily[WardCode],"MAE")),"")</f>
        <v/>
      </c>
      <c r="F61" s="12">
        <f>IFERROR(IF(SUMIFS(tblDaily[TransfersIn],tblDaily[EntryDate],DATE(2026,2,16),tblDaily[WardCode],"MAE")=0,"",SUMIFS(tblDaily[TransfersIn],tblDaily[EntryDate],DATE(2026,2,16),tblDaily[WardCode],"MAE")),"")</f>
        <v/>
      </c>
      <c r="G61" s="12">
        <f>IFERROR(IF(SUMIFS(tblDaily[TransfersOut],tblDaily[EntryDate],DATE(2026,2,16),tblDaily[WardCode],"MAE")=0,"",SUMIFS(tblDaily[TransfersOut],tblDaily[EntryDate],DATE(2026,2,16),tblDaily[WardCode],"MAE")),"")</f>
        <v/>
      </c>
      <c r="H61" s="12">
        <f>IFERROR(IF(SUMIFS(tblDaily[Remaining],tblDaily[EntryDate],DATE(2026,2,16),tblDaily[WardCode],"MAE")=0,"",SUMIFS(tblDaily[Remaining],tblDaily[EntryDate],DATE(2026,2,16),tblDaily[WardCode],"MAE")),"")</f>
        <v/>
      </c>
    </row>
    <row r="62">
      <c r="A62" s="12" t="n">
        <v>17</v>
      </c>
      <c r="B62" s="12">
        <f>IFERROR(IF(SUMIFS(tblDaily[Admissions],tblDaily[EntryDate],DATE(2026,2,17),tblDaily[WardCode],"MAE")=0,"",SUMIFS(tblDaily[Admissions],tblDaily[EntryDate],DATE(2026,2,17),tblDaily[WardCode],"MAE")),"")</f>
        <v/>
      </c>
      <c r="C62" s="12">
        <f>IFERROR(IF(SUMIFS(tblDaily[Discharges],tblDaily[EntryDate],DATE(2026,2,17),tblDaily[WardCode],"MAE")=0,"",SUMIFS(tblDaily[Discharges],tblDaily[EntryDate],DATE(2026,2,17),tblDaily[WardCode],"MAE")),"")</f>
        <v/>
      </c>
      <c r="D62" s="12">
        <f>IFERROR(IF(SUMIFS(tblDaily[Deaths],tblDaily[EntryDate],DATE(2026,2,17),tblDaily[WardCode],"MAE")=0,"",SUMIFS(tblDaily[Deaths],tblDaily[EntryDate],DATE(2026,2,17),tblDaily[WardCode],"MAE")),"")</f>
        <v/>
      </c>
      <c r="E62" s="12">
        <f>IFERROR(IF(SUMIFS(tblDaily[DeathsUnder24Hrs],tblDaily[EntryDate],DATE(2026,2,17),tblDaily[WardCode],"MAE")=0,"",SUMIFS(tblDaily[DeathsUnder24Hrs],tblDaily[EntryDate],DATE(2026,2,17),tblDaily[WardCode],"MAE")),"")</f>
        <v/>
      </c>
      <c r="F62" s="12">
        <f>IFERROR(IF(SUMIFS(tblDaily[TransfersIn],tblDaily[EntryDate],DATE(2026,2,17),tblDaily[WardCode],"MAE")=0,"",SUMIFS(tblDaily[TransfersIn],tblDaily[EntryDate],DATE(2026,2,17),tblDaily[WardCode],"MAE")),"")</f>
        <v/>
      </c>
      <c r="G62" s="12">
        <f>IFERROR(IF(SUMIFS(tblDaily[TransfersOut],tblDaily[EntryDate],DATE(2026,2,17),tblDaily[WardCode],"MAE")=0,"",SUMIFS(tblDaily[TransfersOut],tblDaily[EntryDate],DATE(2026,2,17),tblDaily[WardCode],"MAE")),"")</f>
        <v/>
      </c>
      <c r="H62" s="12">
        <f>IFERROR(IF(SUMIFS(tblDaily[Remaining],tblDaily[EntryDate],DATE(2026,2,17),tblDaily[WardCode],"MAE")=0,"",SUMIFS(tblDaily[Remaining],tblDaily[EntryDate],DATE(2026,2,17),tblDaily[WardCode],"MAE")),"")</f>
        <v/>
      </c>
    </row>
    <row r="63">
      <c r="A63" s="12" t="n">
        <v>18</v>
      </c>
      <c r="B63" s="12">
        <f>IFERROR(IF(SUMIFS(tblDaily[Admissions],tblDaily[EntryDate],DATE(2026,2,18),tblDaily[WardCode],"MAE")=0,"",SUMIFS(tblDaily[Admissions],tblDaily[EntryDate],DATE(2026,2,18),tblDaily[WardCode],"MAE")),"")</f>
        <v/>
      </c>
      <c r="C63" s="12">
        <f>IFERROR(IF(SUMIFS(tblDaily[Discharges],tblDaily[EntryDate],DATE(2026,2,18),tblDaily[WardCode],"MAE")=0,"",SUMIFS(tblDaily[Discharges],tblDaily[EntryDate],DATE(2026,2,18),tblDaily[WardCode],"MAE")),"")</f>
        <v/>
      </c>
      <c r="D63" s="12">
        <f>IFERROR(IF(SUMIFS(tblDaily[Deaths],tblDaily[EntryDate],DATE(2026,2,18),tblDaily[WardCode],"MAE")=0,"",SUMIFS(tblDaily[Deaths],tblDaily[EntryDate],DATE(2026,2,18),tblDaily[WardCode],"MAE")),"")</f>
        <v/>
      </c>
      <c r="E63" s="12">
        <f>IFERROR(IF(SUMIFS(tblDaily[DeathsUnder24Hrs],tblDaily[EntryDate],DATE(2026,2,18),tblDaily[WardCode],"MAE")=0,"",SUMIFS(tblDaily[DeathsUnder24Hrs],tblDaily[EntryDate],DATE(2026,2,18),tblDaily[WardCode],"MAE")),"")</f>
        <v/>
      </c>
      <c r="F63" s="12">
        <f>IFERROR(IF(SUMIFS(tblDaily[TransfersIn],tblDaily[EntryDate],DATE(2026,2,18),tblDaily[WardCode],"MAE")=0,"",SUMIFS(tblDaily[TransfersIn],tblDaily[EntryDate],DATE(2026,2,18),tblDaily[WardCode],"MAE")),"")</f>
        <v/>
      </c>
      <c r="G63" s="12">
        <f>IFERROR(IF(SUMIFS(tblDaily[TransfersOut],tblDaily[EntryDate],DATE(2026,2,18),tblDaily[WardCode],"MAE")=0,"",SUMIFS(tblDaily[TransfersOut],tblDaily[EntryDate],DATE(2026,2,18),tblDaily[WardCode],"MAE")),"")</f>
        <v/>
      </c>
      <c r="H63" s="12">
        <f>IFERROR(IF(SUMIFS(tblDaily[Remaining],tblDaily[EntryDate],DATE(2026,2,18),tblDaily[WardCode],"MAE")=0,"",SUMIFS(tblDaily[Remaining],tblDaily[EntryDate],DATE(2026,2,18),tblDaily[WardCode],"MAE")),"")</f>
        <v/>
      </c>
    </row>
    <row r="64">
      <c r="A64" s="12" t="n">
        <v>19</v>
      </c>
      <c r="B64" s="12">
        <f>IFERROR(IF(SUMIFS(tblDaily[Admissions],tblDaily[EntryDate],DATE(2026,2,19),tblDaily[WardCode],"MAE")=0,"",SUMIFS(tblDaily[Admissions],tblDaily[EntryDate],DATE(2026,2,19),tblDaily[WardCode],"MAE")),"")</f>
        <v/>
      </c>
      <c r="C64" s="12">
        <f>IFERROR(IF(SUMIFS(tblDaily[Discharges],tblDaily[EntryDate],DATE(2026,2,19),tblDaily[WardCode],"MAE")=0,"",SUMIFS(tblDaily[Discharges],tblDaily[EntryDate],DATE(2026,2,19),tblDaily[WardCode],"MAE")),"")</f>
        <v/>
      </c>
      <c r="D64" s="12">
        <f>IFERROR(IF(SUMIFS(tblDaily[Deaths],tblDaily[EntryDate],DATE(2026,2,19),tblDaily[WardCode],"MAE")=0,"",SUMIFS(tblDaily[Deaths],tblDaily[EntryDate],DATE(2026,2,19),tblDaily[WardCode],"MAE")),"")</f>
        <v/>
      </c>
      <c r="E64" s="12">
        <f>IFERROR(IF(SUMIFS(tblDaily[DeathsUnder24Hrs],tblDaily[EntryDate],DATE(2026,2,19),tblDaily[WardCode],"MAE")=0,"",SUMIFS(tblDaily[DeathsUnder24Hrs],tblDaily[EntryDate],DATE(2026,2,19),tblDaily[WardCode],"MAE")),"")</f>
        <v/>
      </c>
      <c r="F64" s="12">
        <f>IFERROR(IF(SUMIFS(tblDaily[TransfersIn],tblDaily[EntryDate],DATE(2026,2,19),tblDaily[WardCode],"MAE")=0,"",SUMIFS(tblDaily[TransfersIn],tblDaily[EntryDate],DATE(2026,2,19),tblDaily[WardCode],"MAE")),"")</f>
        <v/>
      </c>
      <c r="G64" s="12">
        <f>IFERROR(IF(SUMIFS(tblDaily[TransfersOut],tblDaily[EntryDate],DATE(2026,2,19),tblDaily[WardCode],"MAE")=0,"",SUMIFS(tblDaily[TransfersOut],tblDaily[EntryDate],DATE(2026,2,19),tblDaily[WardCode],"MAE")),"")</f>
        <v/>
      </c>
      <c r="H64" s="12">
        <f>IFERROR(IF(SUMIFS(tblDaily[Remaining],tblDaily[EntryDate],DATE(2026,2,19),tblDaily[WardCode],"MAE")=0,"",SUMIFS(tblDaily[Remaining],tblDaily[EntryDate],DATE(2026,2,19),tblDaily[WardCode],"MAE")),"")</f>
        <v/>
      </c>
    </row>
    <row r="65">
      <c r="A65" s="12" t="n">
        <v>20</v>
      </c>
      <c r="B65" s="12">
        <f>IFERROR(IF(SUMIFS(tblDaily[Admissions],tblDaily[EntryDate],DATE(2026,2,20),tblDaily[WardCode],"MAE")=0,"",SUMIFS(tblDaily[Admissions],tblDaily[EntryDate],DATE(2026,2,20),tblDaily[WardCode],"MAE")),"")</f>
        <v/>
      </c>
      <c r="C65" s="12">
        <f>IFERROR(IF(SUMIFS(tblDaily[Discharges],tblDaily[EntryDate],DATE(2026,2,20),tblDaily[WardCode],"MAE")=0,"",SUMIFS(tblDaily[Discharges],tblDaily[EntryDate],DATE(2026,2,20),tblDaily[WardCode],"MAE")),"")</f>
        <v/>
      </c>
      <c r="D65" s="12">
        <f>IFERROR(IF(SUMIFS(tblDaily[Deaths],tblDaily[EntryDate],DATE(2026,2,20),tblDaily[WardCode],"MAE")=0,"",SUMIFS(tblDaily[Deaths],tblDaily[EntryDate],DATE(2026,2,20),tblDaily[WardCode],"MAE")),"")</f>
        <v/>
      </c>
      <c r="E65" s="12">
        <f>IFERROR(IF(SUMIFS(tblDaily[DeathsUnder24Hrs],tblDaily[EntryDate],DATE(2026,2,20),tblDaily[WardCode],"MAE")=0,"",SUMIFS(tblDaily[DeathsUnder24Hrs],tblDaily[EntryDate],DATE(2026,2,20),tblDaily[WardCode],"MAE")),"")</f>
        <v/>
      </c>
      <c r="F65" s="12">
        <f>IFERROR(IF(SUMIFS(tblDaily[TransfersIn],tblDaily[EntryDate],DATE(2026,2,20),tblDaily[WardCode],"MAE")=0,"",SUMIFS(tblDaily[TransfersIn],tblDaily[EntryDate],DATE(2026,2,20),tblDaily[WardCode],"MAE")),"")</f>
        <v/>
      </c>
      <c r="G65" s="12">
        <f>IFERROR(IF(SUMIFS(tblDaily[TransfersOut],tblDaily[EntryDate],DATE(2026,2,20),tblDaily[WardCode],"MAE")=0,"",SUMIFS(tblDaily[TransfersOut],tblDaily[EntryDate],DATE(2026,2,20),tblDaily[WardCode],"MAE")),"")</f>
        <v/>
      </c>
      <c r="H65" s="12">
        <f>IFERROR(IF(SUMIFS(tblDaily[Remaining],tblDaily[EntryDate],DATE(2026,2,20),tblDaily[WardCode],"MAE")=0,"",SUMIFS(tblDaily[Remaining],tblDaily[EntryDate],DATE(2026,2,20),tblDaily[WardCode],"MAE")),"")</f>
        <v/>
      </c>
    </row>
    <row r="66">
      <c r="A66" s="12" t="n">
        <v>21</v>
      </c>
      <c r="B66" s="12">
        <f>IFERROR(IF(SUMIFS(tblDaily[Admissions],tblDaily[EntryDate],DATE(2026,2,21),tblDaily[WardCode],"MAE")=0,"",SUMIFS(tblDaily[Admissions],tblDaily[EntryDate],DATE(2026,2,21),tblDaily[WardCode],"MAE")),"")</f>
        <v/>
      </c>
      <c r="C66" s="12">
        <f>IFERROR(IF(SUMIFS(tblDaily[Discharges],tblDaily[EntryDate],DATE(2026,2,21),tblDaily[WardCode],"MAE")=0,"",SUMIFS(tblDaily[Discharges],tblDaily[EntryDate],DATE(2026,2,21),tblDaily[WardCode],"MAE")),"")</f>
        <v/>
      </c>
      <c r="D66" s="12">
        <f>IFERROR(IF(SUMIFS(tblDaily[Deaths],tblDaily[EntryDate],DATE(2026,2,21),tblDaily[WardCode],"MAE")=0,"",SUMIFS(tblDaily[Deaths],tblDaily[EntryDate],DATE(2026,2,21),tblDaily[WardCode],"MAE")),"")</f>
        <v/>
      </c>
      <c r="E66" s="12">
        <f>IFERROR(IF(SUMIFS(tblDaily[DeathsUnder24Hrs],tblDaily[EntryDate],DATE(2026,2,21),tblDaily[WardCode],"MAE")=0,"",SUMIFS(tblDaily[DeathsUnder24Hrs],tblDaily[EntryDate],DATE(2026,2,21),tblDaily[WardCode],"MAE")),"")</f>
        <v/>
      </c>
      <c r="F66" s="12">
        <f>IFERROR(IF(SUMIFS(tblDaily[TransfersIn],tblDaily[EntryDate],DATE(2026,2,21),tblDaily[WardCode],"MAE")=0,"",SUMIFS(tblDaily[TransfersIn],tblDaily[EntryDate],DATE(2026,2,21),tblDaily[WardCode],"MAE")),"")</f>
        <v/>
      </c>
      <c r="G66" s="12">
        <f>IFERROR(IF(SUMIFS(tblDaily[TransfersOut],tblDaily[EntryDate],DATE(2026,2,21),tblDaily[WardCode],"MAE")=0,"",SUMIFS(tblDaily[TransfersOut],tblDaily[EntryDate],DATE(2026,2,21),tblDaily[WardCode],"MAE")),"")</f>
        <v/>
      </c>
      <c r="H66" s="12">
        <f>IFERROR(IF(SUMIFS(tblDaily[Remaining],tblDaily[EntryDate],DATE(2026,2,21),tblDaily[WardCode],"MAE")=0,"",SUMIFS(tblDaily[Remaining],tblDaily[EntryDate],DATE(2026,2,21),tblDaily[WardCode],"MAE")),"")</f>
        <v/>
      </c>
    </row>
    <row r="67">
      <c r="A67" s="12" t="n">
        <v>22</v>
      </c>
      <c r="B67" s="12">
        <f>IFERROR(IF(SUMIFS(tblDaily[Admissions],tblDaily[EntryDate],DATE(2026,2,22),tblDaily[WardCode],"MAE")=0,"",SUMIFS(tblDaily[Admissions],tblDaily[EntryDate],DATE(2026,2,22),tblDaily[WardCode],"MAE")),"")</f>
        <v/>
      </c>
      <c r="C67" s="12">
        <f>IFERROR(IF(SUMIFS(tblDaily[Discharges],tblDaily[EntryDate],DATE(2026,2,22),tblDaily[WardCode],"MAE")=0,"",SUMIFS(tblDaily[Discharges],tblDaily[EntryDate],DATE(2026,2,22),tblDaily[WardCode],"MAE")),"")</f>
        <v/>
      </c>
      <c r="D67" s="12">
        <f>IFERROR(IF(SUMIFS(tblDaily[Deaths],tblDaily[EntryDate],DATE(2026,2,22),tblDaily[WardCode],"MAE")=0,"",SUMIFS(tblDaily[Deaths],tblDaily[EntryDate],DATE(2026,2,22),tblDaily[WardCode],"MAE")),"")</f>
        <v/>
      </c>
      <c r="E67" s="12">
        <f>IFERROR(IF(SUMIFS(tblDaily[DeathsUnder24Hrs],tblDaily[EntryDate],DATE(2026,2,22),tblDaily[WardCode],"MAE")=0,"",SUMIFS(tblDaily[DeathsUnder24Hrs],tblDaily[EntryDate],DATE(2026,2,22),tblDaily[WardCode],"MAE")),"")</f>
        <v/>
      </c>
      <c r="F67" s="12">
        <f>IFERROR(IF(SUMIFS(tblDaily[TransfersIn],tblDaily[EntryDate],DATE(2026,2,22),tblDaily[WardCode],"MAE")=0,"",SUMIFS(tblDaily[TransfersIn],tblDaily[EntryDate],DATE(2026,2,22),tblDaily[WardCode],"MAE")),"")</f>
        <v/>
      </c>
      <c r="G67" s="12">
        <f>IFERROR(IF(SUMIFS(tblDaily[TransfersOut],tblDaily[EntryDate],DATE(2026,2,22),tblDaily[WardCode],"MAE")=0,"",SUMIFS(tblDaily[TransfersOut],tblDaily[EntryDate],DATE(2026,2,22),tblDaily[WardCode],"MAE")),"")</f>
        <v/>
      </c>
      <c r="H67" s="12">
        <f>IFERROR(IF(SUMIFS(tblDaily[Remaining],tblDaily[EntryDate],DATE(2026,2,22),tblDaily[WardCode],"MAE")=0,"",SUMIFS(tblDaily[Remaining],tblDaily[EntryDate],DATE(2026,2,22),tblDaily[WardCode],"MAE")),"")</f>
        <v/>
      </c>
    </row>
    <row r="68">
      <c r="A68" s="12" t="n">
        <v>23</v>
      </c>
      <c r="B68" s="12">
        <f>IFERROR(IF(SUMIFS(tblDaily[Admissions],tblDaily[EntryDate],DATE(2026,2,23),tblDaily[WardCode],"MAE")=0,"",SUMIFS(tblDaily[Admissions],tblDaily[EntryDate],DATE(2026,2,23),tblDaily[WardCode],"MAE")),"")</f>
        <v/>
      </c>
      <c r="C68" s="12">
        <f>IFERROR(IF(SUMIFS(tblDaily[Discharges],tblDaily[EntryDate],DATE(2026,2,23),tblDaily[WardCode],"MAE")=0,"",SUMIFS(tblDaily[Discharges],tblDaily[EntryDate],DATE(2026,2,23),tblDaily[WardCode],"MAE")),"")</f>
        <v/>
      </c>
      <c r="D68" s="12">
        <f>IFERROR(IF(SUMIFS(tblDaily[Deaths],tblDaily[EntryDate],DATE(2026,2,23),tblDaily[WardCode],"MAE")=0,"",SUMIFS(tblDaily[Deaths],tblDaily[EntryDate],DATE(2026,2,23),tblDaily[WardCode],"MAE")),"")</f>
        <v/>
      </c>
      <c r="E68" s="12">
        <f>IFERROR(IF(SUMIFS(tblDaily[DeathsUnder24Hrs],tblDaily[EntryDate],DATE(2026,2,23),tblDaily[WardCode],"MAE")=0,"",SUMIFS(tblDaily[DeathsUnder24Hrs],tblDaily[EntryDate],DATE(2026,2,23),tblDaily[WardCode],"MAE")),"")</f>
        <v/>
      </c>
      <c r="F68" s="12">
        <f>IFERROR(IF(SUMIFS(tblDaily[TransfersIn],tblDaily[EntryDate],DATE(2026,2,23),tblDaily[WardCode],"MAE")=0,"",SUMIFS(tblDaily[TransfersIn],tblDaily[EntryDate],DATE(2026,2,23),tblDaily[WardCode],"MAE")),"")</f>
        <v/>
      </c>
      <c r="G68" s="12">
        <f>IFERROR(IF(SUMIFS(tblDaily[TransfersOut],tblDaily[EntryDate],DATE(2026,2,23),tblDaily[WardCode],"MAE")=0,"",SUMIFS(tblDaily[TransfersOut],tblDaily[EntryDate],DATE(2026,2,23),tblDaily[WardCode],"MAE")),"")</f>
        <v/>
      </c>
      <c r="H68" s="12">
        <f>IFERROR(IF(SUMIFS(tblDaily[Remaining],tblDaily[EntryDate],DATE(2026,2,23),tblDaily[WardCode],"MAE")=0,"",SUMIFS(tblDaily[Remaining],tblDaily[EntryDate],DATE(2026,2,23),tblDaily[WardCode],"MAE")),"")</f>
        <v/>
      </c>
    </row>
    <row r="69">
      <c r="A69" s="12" t="n">
        <v>24</v>
      </c>
      <c r="B69" s="12">
        <f>IFERROR(IF(SUMIFS(tblDaily[Admissions],tblDaily[EntryDate],DATE(2026,2,24),tblDaily[WardCode],"MAE")=0,"",SUMIFS(tblDaily[Admissions],tblDaily[EntryDate],DATE(2026,2,24),tblDaily[WardCode],"MAE")),"")</f>
        <v/>
      </c>
      <c r="C69" s="12">
        <f>IFERROR(IF(SUMIFS(tblDaily[Discharges],tblDaily[EntryDate],DATE(2026,2,24),tblDaily[WardCode],"MAE")=0,"",SUMIFS(tblDaily[Discharges],tblDaily[EntryDate],DATE(2026,2,24),tblDaily[WardCode],"MAE")),"")</f>
        <v/>
      </c>
      <c r="D69" s="12">
        <f>IFERROR(IF(SUMIFS(tblDaily[Deaths],tblDaily[EntryDate],DATE(2026,2,24),tblDaily[WardCode],"MAE")=0,"",SUMIFS(tblDaily[Deaths],tblDaily[EntryDate],DATE(2026,2,24),tblDaily[WardCode],"MAE")),"")</f>
        <v/>
      </c>
      <c r="E69" s="12">
        <f>IFERROR(IF(SUMIFS(tblDaily[DeathsUnder24Hrs],tblDaily[EntryDate],DATE(2026,2,24),tblDaily[WardCode],"MAE")=0,"",SUMIFS(tblDaily[DeathsUnder24Hrs],tblDaily[EntryDate],DATE(2026,2,24),tblDaily[WardCode],"MAE")),"")</f>
        <v/>
      </c>
      <c r="F69" s="12">
        <f>IFERROR(IF(SUMIFS(tblDaily[TransfersIn],tblDaily[EntryDate],DATE(2026,2,24),tblDaily[WardCode],"MAE")=0,"",SUMIFS(tblDaily[TransfersIn],tblDaily[EntryDate],DATE(2026,2,24),tblDaily[WardCode],"MAE")),"")</f>
        <v/>
      </c>
      <c r="G69" s="12">
        <f>IFERROR(IF(SUMIFS(tblDaily[TransfersOut],tblDaily[EntryDate],DATE(2026,2,24),tblDaily[WardCode],"MAE")=0,"",SUMIFS(tblDaily[TransfersOut],tblDaily[EntryDate],DATE(2026,2,24),tblDaily[WardCode],"MAE")),"")</f>
        <v/>
      </c>
      <c r="H69" s="12">
        <f>IFERROR(IF(SUMIFS(tblDaily[Remaining],tblDaily[EntryDate],DATE(2026,2,24),tblDaily[WardCode],"MAE")=0,"",SUMIFS(tblDaily[Remaining],tblDaily[EntryDate],DATE(2026,2,24),tblDaily[WardCode],"MAE")),"")</f>
        <v/>
      </c>
    </row>
    <row r="70">
      <c r="A70" s="12" t="n">
        <v>25</v>
      </c>
      <c r="B70" s="12">
        <f>IFERROR(IF(SUMIFS(tblDaily[Admissions],tblDaily[EntryDate],DATE(2026,2,25),tblDaily[WardCode],"MAE")=0,"",SUMIFS(tblDaily[Admissions],tblDaily[EntryDate],DATE(2026,2,25),tblDaily[WardCode],"MAE")),"")</f>
        <v/>
      </c>
      <c r="C70" s="12">
        <f>IFERROR(IF(SUMIFS(tblDaily[Discharges],tblDaily[EntryDate],DATE(2026,2,25),tblDaily[WardCode],"MAE")=0,"",SUMIFS(tblDaily[Discharges],tblDaily[EntryDate],DATE(2026,2,25),tblDaily[WardCode],"MAE")),"")</f>
        <v/>
      </c>
      <c r="D70" s="12">
        <f>IFERROR(IF(SUMIFS(tblDaily[Deaths],tblDaily[EntryDate],DATE(2026,2,25),tblDaily[WardCode],"MAE")=0,"",SUMIFS(tblDaily[Deaths],tblDaily[EntryDate],DATE(2026,2,25),tblDaily[WardCode],"MAE")),"")</f>
        <v/>
      </c>
      <c r="E70" s="12">
        <f>IFERROR(IF(SUMIFS(tblDaily[DeathsUnder24Hrs],tblDaily[EntryDate],DATE(2026,2,25),tblDaily[WardCode],"MAE")=0,"",SUMIFS(tblDaily[DeathsUnder24Hrs],tblDaily[EntryDate],DATE(2026,2,25),tblDaily[WardCode],"MAE")),"")</f>
        <v/>
      </c>
      <c r="F70" s="12">
        <f>IFERROR(IF(SUMIFS(tblDaily[TransfersIn],tblDaily[EntryDate],DATE(2026,2,25),tblDaily[WardCode],"MAE")=0,"",SUMIFS(tblDaily[TransfersIn],tblDaily[EntryDate],DATE(2026,2,25),tblDaily[WardCode],"MAE")),"")</f>
        <v/>
      </c>
      <c r="G70" s="12">
        <f>IFERROR(IF(SUMIFS(tblDaily[TransfersOut],tblDaily[EntryDate],DATE(2026,2,25),tblDaily[WardCode],"MAE")=0,"",SUMIFS(tblDaily[TransfersOut],tblDaily[EntryDate],DATE(2026,2,25),tblDaily[WardCode],"MAE")),"")</f>
        <v/>
      </c>
      <c r="H70" s="12">
        <f>IFERROR(IF(SUMIFS(tblDaily[Remaining],tblDaily[EntryDate],DATE(2026,2,25),tblDaily[WardCode],"MAE")=0,"",SUMIFS(tblDaily[Remaining],tblDaily[EntryDate],DATE(2026,2,25),tblDaily[WardCode],"MAE")),"")</f>
        <v/>
      </c>
    </row>
    <row r="71">
      <c r="A71" s="12" t="n">
        <v>26</v>
      </c>
      <c r="B71" s="12">
        <f>IFERROR(IF(SUMIFS(tblDaily[Admissions],tblDaily[EntryDate],DATE(2026,2,26),tblDaily[WardCode],"MAE")=0,"",SUMIFS(tblDaily[Admissions],tblDaily[EntryDate],DATE(2026,2,26),tblDaily[WardCode],"MAE")),"")</f>
        <v/>
      </c>
      <c r="C71" s="12">
        <f>IFERROR(IF(SUMIFS(tblDaily[Discharges],tblDaily[EntryDate],DATE(2026,2,26),tblDaily[WardCode],"MAE")=0,"",SUMIFS(tblDaily[Discharges],tblDaily[EntryDate],DATE(2026,2,26),tblDaily[WardCode],"MAE")),"")</f>
        <v/>
      </c>
      <c r="D71" s="12">
        <f>IFERROR(IF(SUMIFS(tblDaily[Deaths],tblDaily[EntryDate],DATE(2026,2,26),tblDaily[WardCode],"MAE")=0,"",SUMIFS(tblDaily[Deaths],tblDaily[EntryDate],DATE(2026,2,26),tblDaily[WardCode],"MAE")),"")</f>
        <v/>
      </c>
      <c r="E71" s="12">
        <f>IFERROR(IF(SUMIFS(tblDaily[DeathsUnder24Hrs],tblDaily[EntryDate],DATE(2026,2,26),tblDaily[WardCode],"MAE")=0,"",SUMIFS(tblDaily[DeathsUnder24Hrs],tblDaily[EntryDate],DATE(2026,2,26),tblDaily[WardCode],"MAE")),"")</f>
        <v/>
      </c>
      <c r="F71" s="12">
        <f>IFERROR(IF(SUMIFS(tblDaily[TransfersIn],tblDaily[EntryDate],DATE(2026,2,26),tblDaily[WardCode],"MAE")=0,"",SUMIFS(tblDaily[TransfersIn],tblDaily[EntryDate],DATE(2026,2,26),tblDaily[WardCode],"MAE")),"")</f>
        <v/>
      </c>
      <c r="G71" s="12">
        <f>IFERROR(IF(SUMIFS(tblDaily[TransfersOut],tblDaily[EntryDate],DATE(2026,2,26),tblDaily[WardCode],"MAE")=0,"",SUMIFS(tblDaily[TransfersOut],tblDaily[EntryDate],DATE(2026,2,26),tblDaily[WardCode],"MAE")),"")</f>
        <v/>
      </c>
      <c r="H71" s="12">
        <f>IFERROR(IF(SUMIFS(tblDaily[Remaining],tblDaily[EntryDate],DATE(2026,2,26),tblDaily[WardCode],"MAE")=0,"",SUMIFS(tblDaily[Remaining],tblDaily[EntryDate],DATE(2026,2,26),tblDaily[WardCode],"MAE")),"")</f>
        <v/>
      </c>
    </row>
    <row r="72">
      <c r="A72" s="12" t="n">
        <v>27</v>
      </c>
      <c r="B72" s="12">
        <f>IFERROR(IF(SUMIFS(tblDaily[Admissions],tblDaily[EntryDate],DATE(2026,2,27),tblDaily[WardCode],"MAE")=0,"",SUMIFS(tblDaily[Admissions],tblDaily[EntryDate],DATE(2026,2,27),tblDaily[WardCode],"MAE")),"")</f>
        <v/>
      </c>
      <c r="C72" s="12">
        <f>IFERROR(IF(SUMIFS(tblDaily[Discharges],tblDaily[EntryDate],DATE(2026,2,27),tblDaily[WardCode],"MAE")=0,"",SUMIFS(tblDaily[Discharges],tblDaily[EntryDate],DATE(2026,2,27),tblDaily[WardCode],"MAE")),"")</f>
        <v/>
      </c>
      <c r="D72" s="12">
        <f>IFERROR(IF(SUMIFS(tblDaily[Deaths],tblDaily[EntryDate],DATE(2026,2,27),tblDaily[WardCode],"MAE")=0,"",SUMIFS(tblDaily[Deaths],tblDaily[EntryDate],DATE(2026,2,27),tblDaily[WardCode],"MAE")),"")</f>
        <v/>
      </c>
      <c r="E72" s="12">
        <f>IFERROR(IF(SUMIFS(tblDaily[DeathsUnder24Hrs],tblDaily[EntryDate],DATE(2026,2,27),tblDaily[WardCode],"MAE")=0,"",SUMIFS(tblDaily[DeathsUnder24Hrs],tblDaily[EntryDate],DATE(2026,2,27),tblDaily[WardCode],"MAE")),"")</f>
        <v/>
      </c>
      <c r="F72" s="12">
        <f>IFERROR(IF(SUMIFS(tblDaily[TransfersIn],tblDaily[EntryDate],DATE(2026,2,27),tblDaily[WardCode],"MAE")=0,"",SUMIFS(tblDaily[TransfersIn],tblDaily[EntryDate],DATE(2026,2,27),tblDaily[WardCode],"MAE")),"")</f>
        <v/>
      </c>
      <c r="G72" s="12">
        <f>IFERROR(IF(SUMIFS(tblDaily[TransfersOut],tblDaily[EntryDate],DATE(2026,2,27),tblDaily[WardCode],"MAE")=0,"",SUMIFS(tblDaily[TransfersOut],tblDaily[EntryDate],DATE(2026,2,27),tblDaily[WardCode],"MAE")),"")</f>
        <v/>
      </c>
      <c r="H72" s="12">
        <f>IFERROR(IF(SUMIFS(tblDaily[Remaining],tblDaily[EntryDate],DATE(2026,2,27),tblDaily[WardCode],"MAE")=0,"",SUMIFS(tblDaily[Remaining],tblDaily[EntryDate],DATE(2026,2,27),tblDaily[WardCode],"MAE")),"")</f>
        <v/>
      </c>
    </row>
    <row r="73">
      <c r="A73" s="12" t="n">
        <v>28</v>
      </c>
      <c r="B73" s="12">
        <f>IFERROR(IF(SUMIFS(tblDaily[Admissions],tblDaily[EntryDate],DATE(2026,2,28),tblDaily[WardCode],"MAE")=0,"",SUMIFS(tblDaily[Admissions],tblDaily[EntryDate],DATE(2026,2,28),tblDaily[WardCode],"MAE")),"")</f>
        <v/>
      </c>
      <c r="C73" s="12">
        <f>IFERROR(IF(SUMIFS(tblDaily[Discharges],tblDaily[EntryDate],DATE(2026,2,28),tblDaily[WardCode],"MAE")=0,"",SUMIFS(tblDaily[Discharges],tblDaily[EntryDate],DATE(2026,2,28),tblDaily[WardCode],"MAE")),"")</f>
        <v/>
      </c>
      <c r="D73" s="12">
        <f>IFERROR(IF(SUMIFS(tblDaily[Deaths],tblDaily[EntryDate],DATE(2026,2,28),tblDaily[WardCode],"MAE")=0,"",SUMIFS(tblDaily[Deaths],tblDaily[EntryDate],DATE(2026,2,28),tblDaily[WardCode],"MAE")),"")</f>
        <v/>
      </c>
      <c r="E73" s="12">
        <f>IFERROR(IF(SUMIFS(tblDaily[DeathsUnder24Hrs],tblDaily[EntryDate],DATE(2026,2,28),tblDaily[WardCode],"MAE")=0,"",SUMIFS(tblDaily[DeathsUnder24Hrs],tblDaily[EntryDate],DATE(2026,2,28),tblDaily[WardCode],"MAE")),"")</f>
        <v/>
      </c>
      <c r="F73" s="12">
        <f>IFERROR(IF(SUMIFS(tblDaily[TransfersIn],tblDaily[EntryDate],DATE(2026,2,28),tblDaily[WardCode],"MAE")=0,"",SUMIFS(tblDaily[TransfersIn],tblDaily[EntryDate],DATE(2026,2,28),tblDaily[WardCode],"MAE")),"")</f>
        <v/>
      </c>
      <c r="G73" s="12">
        <f>IFERROR(IF(SUMIFS(tblDaily[TransfersOut],tblDaily[EntryDate],DATE(2026,2,28),tblDaily[WardCode],"MAE")=0,"",SUMIFS(tblDaily[TransfersOut],tblDaily[EntryDate],DATE(2026,2,28),tblDaily[WardCode],"MAE")),"")</f>
        <v/>
      </c>
      <c r="H73" s="12">
        <f>IFERROR(IF(SUMIFS(tblDaily[Remaining],tblDaily[EntryDate],DATE(2026,2,28),tblDaily[WardCode],"MAE")=0,"",SUMIFS(tblDaily[Remaining],tblDaily[EntryDate],DATE(2026,2,28),tblDaily[WardCode],"MAE")),"")</f>
        <v/>
      </c>
    </row>
    <row r="74">
      <c r="A74" s="12" t="n">
        <v>29</v>
      </c>
      <c r="B74" s="18" t="n"/>
      <c r="C74" s="18" t="n"/>
      <c r="D74" s="18" t="n"/>
      <c r="E74" s="18" t="n"/>
      <c r="F74" s="18" t="n"/>
      <c r="G74" s="18" t="n"/>
      <c r="H74" s="18" t="n"/>
    </row>
    <row r="75">
      <c r="A75" s="12" t="n">
        <v>30</v>
      </c>
      <c r="B75" s="18" t="n"/>
      <c r="C75" s="18" t="n"/>
      <c r="D75" s="18" t="n"/>
      <c r="E75" s="18" t="n"/>
      <c r="F75" s="18" t="n"/>
      <c r="G75" s="18" t="n"/>
      <c r="H75" s="18" t="n"/>
    </row>
    <row r="76">
      <c r="A76" s="12" t="n">
        <v>31</v>
      </c>
      <c r="B76" s="18" t="n"/>
      <c r="C76" s="18" t="n"/>
      <c r="D76" s="18" t="n"/>
      <c r="E76" s="18" t="n"/>
      <c r="F76" s="18" t="n"/>
      <c r="G76" s="18" t="n"/>
      <c r="H76" s="18" t="n"/>
    </row>
    <row r="77">
      <c r="A77" s="17" t="inlineStr">
        <is>
          <t>TOTAL</t>
        </is>
      </c>
      <c r="B77" s="17">
        <f>SUMIFS(tblDaily[Admissions],tblDaily[Month],2,tblDaily[WardCode],"MAE") - SUMIFS(tblDaily[DeathsUnder24Hrs],tblDaily[Month],2,tblDaily[WardCode],"MAE")</f>
        <v/>
      </c>
      <c r="C77" s="17">
        <f>SUMIFS(tblDaily[Discharges],tblDaily[Month],2,tblDaily[WardCode],"MAE")</f>
        <v/>
      </c>
      <c r="D77" s="17">
        <f>SUMIFS(tblDaily[Deaths],tblDaily[Month],2,tblDaily[WardCode],"MAE")</f>
        <v/>
      </c>
      <c r="E77" s="17">
        <f>SUMIFS(tblDaily[DeathsUnder24Hrs],tblDaily[Month],2,tblDaily[WardCode],"MAE")</f>
        <v/>
      </c>
      <c r="F77" s="17">
        <f>SUMIFS(tblDaily[TransfersIn],tblDaily[Month],2,tblDaily[WardCode],"MAE")</f>
        <v/>
      </c>
      <c r="G77" s="17">
        <f>SUMIFS(tblDaily[TransfersOut],tblDaily[Month],2,tblDaily[WardCode],"MAE")</f>
        <v/>
      </c>
      <c r="H77" s="17">
        <f>SUMIFS(tblDaily[Remaining],tblDaily[Month],2,tblDaily[WardCode],"MAE")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MALE EMERGENCY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4">
        <f>IFERROR(SUMIFS(tblDaily[Remaining],tblDaily[EntryDate],DATE(2026,2,28),tblDaily[WardCode],"MAE"),0)</f>
        <v/>
      </c>
    </row>
    <row r="83">
      <c r="A83" s="4" t="inlineStr">
        <is>
          <t>Bed complement</t>
        </is>
      </c>
      <c r="H83" s="15">
        <f>IFERROR(INDEX(tblWardConfig[BedComplement],MATCH("MAE",tblWardConfig[WardCode],0)),0)</f>
        <v/>
      </c>
    </row>
    <row r="84">
      <c r="A84" s="16" t="inlineStr">
        <is>
          <t>Day of
the
Month</t>
        </is>
      </c>
      <c r="B84" s="16" t="inlineStr">
        <is>
          <t>Admissions</t>
        </is>
      </c>
      <c r="C84" s="16" t="inlineStr">
        <is>
          <t>Discharges</t>
        </is>
      </c>
      <c r="D84" s="16" t="inlineStr">
        <is>
          <t>Deaths</t>
        </is>
      </c>
      <c r="E84" s="16" t="inlineStr">
        <is>
          <t>Deaths
&lt;24Hrs</t>
        </is>
      </c>
      <c r="F84" s="16" t="inlineStr">
        <is>
          <t>Transfers-
In</t>
        </is>
      </c>
      <c r="G84" s="16" t="inlineStr">
        <is>
          <t>Transfers-
Out</t>
        </is>
      </c>
      <c r="H84" s="16" t="inlineStr">
        <is>
          <t>No. of Patients
Remaining In
Ward</t>
        </is>
      </c>
    </row>
    <row r="85">
      <c r="A85" s="12" t="n">
        <v>1</v>
      </c>
      <c r="B85" s="12">
        <f>IFERROR(IF(SUMIFS(tblDaily[Admissions],tblDaily[EntryDate],DATE(2026,3,1),tblDaily[WardCode],"MAE")=0,"",SUMIFS(tblDaily[Admissions],tblDaily[EntryDate],DATE(2026,3,1),tblDaily[WardCode],"MAE")),"")</f>
        <v/>
      </c>
      <c r="C85" s="12">
        <f>IFERROR(IF(SUMIFS(tblDaily[Discharges],tblDaily[EntryDate],DATE(2026,3,1),tblDaily[WardCode],"MAE")=0,"",SUMIFS(tblDaily[Discharges],tblDaily[EntryDate],DATE(2026,3,1),tblDaily[WardCode],"MAE")),"")</f>
        <v/>
      </c>
      <c r="D85" s="12">
        <f>IFERROR(IF(SUMIFS(tblDaily[Deaths],tblDaily[EntryDate],DATE(2026,3,1),tblDaily[WardCode],"MAE")=0,"",SUMIFS(tblDaily[Deaths],tblDaily[EntryDate],DATE(2026,3,1),tblDaily[WardCode],"MAE")),"")</f>
        <v/>
      </c>
      <c r="E85" s="12">
        <f>IFERROR(IF(SUMIFS(tblDaily[DeathsUnder24Hrs],tblDaily[EntryDate],DATE(2026,3,1),tblDaily[WardCode],"MAE")=0,"",SUMIFS(tblDaily[DeathsUnder24Hrs],tblDaily[EntryDate],DATE(2026,3,1),tblDaily[WardCode],"MAE")),"")</f>
        <v/>
      </c>
      <c r="F85" s="12">
        <f>IFERROR(IF(SUMIFS(tblDaily[TransfersIn],tblDaily[EntryDate],DATE(2026,3,1),tblDaily[WardCode],"MAE")=0,"",SUMIFS(tblDaily[TransfersIn],tblDaily[EntryDate],DATE(2026,3,1),tblDaily[WardCode],"MAE")),"")</f>
        <v/>
      </c>
      <c r="G85" s="12">
        <f>IFERROR(IF(SUMIFS(tblDaily[TransfersOut],tblDaily[EntryDate],DATE(2026,3,1),tblDaily[WardCode],"MAE")=0,"",SUMIFS(tblDaily[TransfersOut],tblDaily[EntryDate],DATE(2026,3,1),tblDaily[WardCode],"MAE")),"")</f>
        <v/>
      </c>
      <c r="H85" s="12">
        <f>IFERROR(IF(SUMIFS(tblDaily[Remaining],tblDaily[EntryDate],DATE(2026,3,1),tblDaily[WardCode],"MAE")=0,"",SUMIFS(tblDaily[Remaining],tblDaily[EntryDate],DATE(2026,3,1),tblDaily[WardCode],"MAE")),"")</f>
        <v/>
      </c>
    </row>
    <row r="86">
      <c r="A86" s="12" t="n">
        <v>2</v>
      </c>
      <c r="B86" s="12">
        <f>IFERROR(IF(SUMIFS(tblDaily[Admissions],tblDaily[EntryDate],DATE(2026,3,2),tblDaily[WardCode],"MAE")=0,"",SUMIFS(tblDaily[Admissions],tblDaily[EntryDate],DATE(2026,3,2),tblDaily[WardCode],"MAE")),"")</f>
        <v/>
      </c>
      <c r="C86" s="12">
        <f>IFERROR(IF(SUMIFS(tblDaily[Discharges],tblDaily[EntryDate],DATE(2026,3,2),tblDaily[WardCode],"MAE")=0,"",SUMIFS(tblDaily[Discharges],tblDaily[EntryDate],DATE(2026,3,2),tblDaily[WardCode],"MAE")),"")</f>
        <v/>
      </c>
      <c r="D86" s="12">
        <f>IFERROR(IF(SUMIFS(tblDaily[Deaths],tblDaily[EntryDate],DATE(2026,3,2),tblDaily[WardCode],"MAE")=0,"",SUMIFS(tblDaily[Deaths],tblDaily[EntryDate],DATE(2026,3,2),tblDaily[WardCode],"MAE")),"")</f>
        <v/>
      </c>
      <c r="E86" s="12">
        <f>IFERROR(IF(SUMIFS(tblDaily[DeathsUnder24Hrs],tblDaily[EntryDate],DATE(2026,3,2),tblDaily[WardCode],"MAE")=0,"",SUMIFS(tblDaily[DeathsUnder24Hrs],tblDaily[EntryDate],DATE(2026,3,2),tblDaily[WardCode],"MAE")),"")</f>
        <v/>
      </c>
      <c r="F86" s="12">
        <f>IFERROR(IF(SUMIFS(tblDaily[TransfersIn],tblDaily[EntryDate],DATE(2026,3,2),tblDaily[WardCode],"MAE")=0,"",SUMIFS(tblDaily[TransfersIn],tblDaily[EntryDate],DATE(2026,3,2),tblDaily[WardCode],"MAE")),"")</f>
        <v/>
      </c>
      <c r="G86" s="12">
        <f>IFERROR(IF(SUMIFS(tblDaily[TransfersOut],tblDaily[EntryDate],DATE(2026,3,2),tblDaily[WardCode],"MAE")=0,"",SUMIFS(tblDaily[TransfersOut],tblDaily[EntryDate],DATE(2026,3,2),tblDaily[WardCode],"MAE")),"")</f>
        <v/>
      </c>
      <c r="H86" s="12">
        <f>IFERROR(IF(SUMIFS(tblDaily[Remaining],tblDaily[EntryDate],DATE(2026,3,2),tblDaily[WardCode],"MAE")=0,"",SUMIFS(tblDaily[Remaining],tblDaily[EntryDate],DATE(2026,3,2),tblDaily[WardCode],"MAE")),"")</f>
        <v/>
      </c>
    </row>
    <row r="87">
      <c r="A87" s="12" t="n">
        <v>3</v>
      </c>
      <c r="B87" s="12">
        <f>IFERROR(IF(SUMIFS(tblDaily[Admissions],tblDaily[EntryDate],DATE(2026,3,3),tblDaily[WardCode],"MAE")=0,"",SUMIFS(tblDaily[Admissions],tblDaily[EntryDate],DATE(2026,3,3),tblDaily[WardCode],"MAE")),"")</f>
        <v/>
      </c>
      <c r="C87" s="12">
        <f>IFERROR(IF(SUMIFS(tblDaily[Discharges],tblDaily[EntryDate],DATE(2026,3,3),tblDaily[WardCode],"MAE")=0,"",SUMIFS(tblDaily[Discharges],tblDaily[EntryDate],DATE(2026,3,3),tblDaily[WardCode],"MAE")),"")</f>
        <v/>
      </c>
      <c r="D87" s="12">
        <f>IFERROR(IF(SUMIFS(tblDaily[Deaths],tblDaily[EntryDate],DATE(2026,3,3),tblDaily[WardCode],"MAE")=0,"",SUMIFS(tblDaily[Deaths],tblDaily[EntryDate],DATE(2026,3,3),tblDaily[WardCode],"MAE")),"")</f>
        <v/>
      </c>
      <c r="E87" s="12">
        <f>IFERROR(IF(SUMIFS(tblDaily[DeathsUnder24Hrs],tblDaily[EntryDate],DATE(2026,3,3),tblDaily[WardCode],"MAE")=0,"",SUMIFS(tblDaily[DeathsUnder24Hrs],tblDaily[EntryDate],DATE(2026,3,3),tblDaily[WardCode],"MAE")),"")</f>
        <v/>
      </c>
      <c r="F87" s="12">
        <f>IFERROR(IF(SUMIFS(tblDaily[TransfersIn],tblDaily[EntryDate],DATE(2026,3,3),tblDaily[WardCode],"MAE")=0,"",SUMIFS(tblDaily[TransfersIn],tblDaily[EntryDate],DATE(2026,3,3),tblDaily[WardCode],"MAE")),"")</f>
        <v/>
      </c>
      <c r="G87" s="12">
        <f>IFERROR(IF(SUMIFS(tblDaily[TransfersOut],tblDaily[EntryDate],DATE(2026,3,3),tblDaily[WardCode],"MAE")=0,"",SUMIFS(tblDaily[TransfersOut],tblDaily[EntryDate],DATE(2026,3,3),tblDaily[WardCode],"MAE")),"")</f>
        <v/>
      </c>
      <c r="H87" s="12">
        <f>IFERROR(IF(SUMIFS(tblDaily[Remaining],tblDaily[EntryDate],DATE(2026,3,3),tblDaily[WardCode],"MAE")=0,"",SUMIFS(tblDaily[Remaining],tblDaily[EntryDate],DATE(2026,3,3),tblDaily[WardCode],"MAE")),"")</f>
        <v/>
      </c>
    </row>
    <row r="88">
      <c r="A88" s="12" t="n">
        <v>4</v>
      </c>
      <c r="B88" s="12">
        <f>IFERROR(IF(SUMIFS(tblDaily[Admissions],tblDaily[EntryDate],DATE(2026,3,4),tblDaily[WardCode],"MAE")=0,"",SUMIFS(tblDaily[Admissions],tblDaily[EntryDate],DATE(2026,3,4),tblDaily[WardCode],"MAE")),"")</f>
        <v/>
      </c>
      <c r="C88" s="12">
        <f>IFERROR(IF(SUMIFS(tblDaily[Discharges],tblDaily[EntryDate],DATE(2026,3,4),tblDaily[WardCode],"MAE")=0,"",SUMIFS(tblDaily[Discharges],tblDaily[EntryDate],DATE(2026,3,4),tblDaily[WardCode],"MAE")),"")</f>
        <v/>
      </c>
      <c r="D88" s="12">
        <f>IFERROR(IF(SUMIFS(tblDaily[Deaths],tblDaily[EntryDate],DATE(2026,3,4),tblDaily[WardCode],"MAE")=0,"",SUMIFS(tblDaily[Deaths],tblDaily[EntryDate],DATE(2026,3,4),tblDaily[WardCode],"MAE")),"")</f>
        <v/>
      </c>
      <c r="E88" s="12">
        <f>IFERROR(IF(SUMIFS(tblDaily[DeathsUnder24Hrs],tblDaily[EntryDate],DATE(2026,3,4),tblDaily[WardCode],"MAE")=0,"",SUMIFS(tblDaily[DeathsUnder24Hrs],tblDaily[EntryDate],DATE(2026,3,4),tblDaily[WardCode],"MAE")),"")</f>
        <v/>
      </c>
      <c r="F88" s="12">
        <f>IFERROR(IF(SUMIFS(tblDaily[TransfersIn],tblDaily[EntryDate],DATE(2026,3,4),tblDaily[WardCode],"MAE")=0,"",SUMIFS(tblDaily[TransfersIn],tblDaily[EntryDate],DATE(2026,3,4),tblDaily[WardCode],"MAE")),"")</f>
        <v/>
      </c>
      <c r="G88" s="12">
        <f>IFERROR(IF(SUMIFS(tblDaily[TransfersOut],tblDaily[EntryDate],DATE(2026,3,4),tblDaily[WardCode],"MAE")=0,"",SUMIFS(tblDaily[TransfersOut],tblDaily[EntryDate],DATE(2026,3,4),tblDaily[WardCode],"MAE")),"")</f>
        <v/>
      </c>
      <c r="H88" s="12">
        <f>IFERROR(IF(SUMIFS(tblDaily[Remaining],tblDaily[EntryDate],DATE(2026,3,4),tblDaily[WardCode],"MAE")=0,"",SUMIFS(tblDaily[Remaining],tblDaily[EntryDate],DATE(2026,3,4),tblDaily[WardCode],"MAE")),"")</f>
        <v/>
      </c>
    </row>
    <row r="89">
      <c r="A89" s="12" t="n">
        <v>5</v>
      </c>
      <c r="B89" s="12">
        <f>IFERROR(IF(SUMIFS(tblDaily[Admissions],tblDaily[EntryDate],DATE(2026,3,5),tblDaily[WardCode],"MAE")=0,"",SUMIFS(tblDaily[Admissions],tblDaily[EntryDate],DATE(2026,3,5),tblDaily[WardCode],"MAE")),"")</f>
        <v/>
      </c>
      <c r="C89" s="12">
        <f>IFERROR(IF(SUMIFS(tblDaily[Discharges],tblDaily[EntryDate],DATE(2026,3,5),tblDaily[WardCode],"MAE")=0,"",SUMIFS(tblDaily[Discharges],tblDaily[EntryDate],DATE(2026,3,5),tblDaily[WardCode],"MAE")),"")</f>
        <v/>
      </c>
      <c r="D89" s="12">
        <f>IFERROR(IF(SUMIFS(tblDaily[Deaths],tblDaily[EntryDate],DATE(2026,3,5),tblDaily[WardCode],"MAE")=0,"",SUMIFS(tblDaily[Deaths],tblDaily[EntryDate],DATE(2026,3,5),tblDaily[WardCode],"MAE")),"")</f>
        <v/>
      </c>
      <c r="E89" s="12">
        <f>IFERROR(IF(SUMIFS(tblDaily[DeathsUnder24Hrs],tblDaily[EntryDate],DATE(2026,3,5),tblDaily[WardCode],"MAE")=0,"",SUMIFS(tblDaily[DeathsUnder24Hrs],tblDaily[EntryDate],DATE(2026,3,5),tblDaily[WardCode],"MAE")),"")</f>
        <v/>
      </c>
      <c r="F89" s="12">
        <f>IFERROR(IF(SUMIFS(tblDaily[TransfersIn],tblDaily[EntryDate],DATE(2026,3,5),tblDaily[WardCode],"MAE")=0,"",SUMIFS(tblDaily[TransfersIn],tblDaily[EntryDate],DATE(2026,3,5),tblDaily[WardCode],"MAE")),"")</f>
        <v/>
      </c>
      <c r="G89" s="12">
        <f>IFERROR(IF(SUMIFS(tblDaily[TransfersOut],tblDaily[EntryDate],DATE(2026,3,5),tblDaily[WardCode],"MAE")=0,"",SUMIFS(tblDaily[TransfersOut],tblDaily[EntryDate],DATE(2026,3,5),tblDaily[WardCode],"MAE")),"")</f>
        <v/>
      </c>
      <c r="H89" s="12">
        <f>IFERROR(IF(SUMIFS(tblDaily[Remaining],tblDaily[EntryDate],DATE(2026,3,5),tblDaily[WardCode],"MAE")=0,"",SUMIFS(tblDaily[Remaining],tblDaily[EntryDate],DATE(2026,3,5),tblDaily[WardCode],"MAE")),"")</f>
        <v/>
      </c>
    </row>
    <row r="90">
      <c r="A90" s="12" t="n">
        <v>6</v>
      </c>
      <c r="B90" s="12">
        <f>IFERROR(IF(SUMIFS(tblDaily[Admissions],tblDaily[EntryDate],DATE(2026,3,6),tblDaily[WardCode],"MAE")=0,"",SUMIFS(tblDaily[Admissions],tblDaily[EntryDate],DATE(2026,3,6),tblDaily[WardCode],"MAE")),"")</f>
        <v/>
      </c>
      <c r="C90" s="12">
        <f>IFERROR(IF(SUMIFS(tblDaily[Discharges],tblDaily[EntryDate],DATE(2026,3,6),tblDaily[WardCode],"MAE")=0,"",SUMIFS(tblDaily[Discharges],tblDaily[EntryDate],DATE(2026,3,6),tblDaily[WardCode],"MAE")),"")</f>
        <v/>
      </c>
      <c r="D90" s="12">
        <f>IFERROR(IF(SUMIFS(tblDaily[Deaths],tblDaily[EntryDate],DATE(2026,3,6),tblDaily[WardCode],"MAE")=0,"",SUMIFS(tblDaily[Deaths],tblDaily[EntryDate],DATE(2026,3,6),tblDaily[WardCode],"MAE")),"")</f>
        <v/>
      </c>
      <c r="E90" s="12">
        <f>IFERROR(IF(SUMIFS(tblDaily[DeathsUnder24Hrs],tblDaily[EntryDate],DATE(2026,3,6),tblDaily[WardCode],"MAE")=0,"",SUMIFS(tblDaily[DeathsUnder24Hrs],tblDaily[EntryDate],DATE(2026,3,6),tblDaily[WardCode],"MAE")),"")</f>
        <v/>
      </c>
      <c r="F90" s="12">
        <f>IFERROR(IF(SUMIFS(tblDaily[TransfersIn],tblDaily[EntryDate],DATE(2026,3,6),tblDaily[WardCode],"MAE")=0,"",SUMIFS(tblDaily[TransfersIn],tblDaily[EntryDate],DATE(2026,3,6),tblDaily[WardCode],"MAE")),"")</f>
        <v/>
      </c>
      <c r="G90" s="12">
        <f>IFERROR(IF(SUMIFS(tblDaily[TransfersOut],tblDaily[EntryDate],DATE(2026,3,6),tblDaily[WardCode],"MAE")=0,"",SUMIFS(tblDaily[TransfersOut],tblDaily[EntryDate],DATE(2026,3,6),tblDaily[WardCode],"MAE")),"")</f>
        <v/>
      </c>
      <c r="H90" s="12">
        <f>IFERROR(IF(SUMIFS(tblDaily[Remaining],tblDaily[EntryDate],DATE(2026,3,6),tblDaily[WardCode],"MAE")=0,"",SUMIFS(tblDaily[Remaining],tblDaily[EntryDate],DATE(2026,3,6),tblDaily[WardCode],"MAE")),"")</f>
        <v/>
      </c>
    </row>
    <row r="91">
      <c r="A91" s="12" t="n">
        <v>7</v>
      </c>
      <c r="B91" s="12">
        <f>IFERROR(IF(SUMIFS(tblDaily[Admissions],tblDaily[EntryDate],DATE(2026,3,7),tblDaily[WardCode],"MAE")=0,"",SUMIFS(tblDaily[Admissions],tblDaily[EntryDate],DATE(2026,3,7),tblDaily[WardCode],"MAE")),"")</f>
        <v/>
      </c>
      <c r="C91" s="12">
        <f>IFERROR(IF(SUMIFS(tblDaily[Discharges],tblDaily[EntryDate],DATE(2026,3,7),tblDaily[WardCode],"MAE")=0,"",SUMIFS(tblDaily[Discharges],tblDaily[EntryDate],DATE(2026,3,7),tblDaily[WardCode],"MAE")),"")</f>
        <v/>
      </c>
      <c r="D91" s="12">
        <f>IFERROR(IF(SUMIFS(tblDaily[Deaths],tblDaily[EntryDate],DATE(2026,3,7),tblDaily[WardCode],"MAE")=0,"",SUMIFS(tblDaily[Deaths],tblDaily[EntryDate],DATE(2026,3,7),tblDaily[WardCode],"MAE")),"")</f>
        <v/>
      </c>
      <c r="E91" s="12">
        <f>IFERROR(IF(SUMIFS(tblDaily[DeathsUnder24Hrs],tblDaily[EntryDate],DATE(2026,3,7),tblDaily[WardCode],"MAE")=0,"",SUMIFS(tblDaily[DeathsUnder24Hrs],tblDaily[EntryDate],DATE(2026,3,7),tblDaily[WardCode],"MAE")),"")</f>
        <v/>
      </c>
      <c r="F91" s="12">
        <f>IFERROR(IF(SUMIFS(tblDaily[TransfersIn],tblDaily[EntryDate],DATE(2026,3,7),tblDaily[WardCode],"MAE")=0,"",SUMIFS(tblDaily[TransfersIn],tblDaily[EntryDate],DATE(2026,3,7),tblDaily[WardCode],"MAE")),"")</f>
        <v/>
      </c>
      <c r="G91" s="12">
        <f>IFERROR(IF(SUMIFS(tblDaily[TransfersOut],tblDaily[EntryDate],DATE(2026,3,7),tblDaily[WardCode],"MAE")=0,"",SUMIFS(tblDaily[TransfersOut],tblDaily[EntryDate],DATE(2026,3,7),tblDaily[WardCode],"MAE")),"")</f>
        <v/>
      </c>
      <c r="H91" s="12">
        <f>IFERROR(IF(SUMIFS(tblDaily[Remaining],tblDaily[EntryDate],DATE(2026,3,7),tblDaily[WardCode],"MAE")=0,"",SUMIFS(tblDaily[Remaining],tblDaily[EntryDate],DATE(2026,3,7),tblDaily[WardCode],"MAE")),"")</f>
        <v/>
      </c>
    </row>
    <row r="92">
      <c r="A92" s="12" t="n">
        <v>8</v>
      </c>
      <c r="B92" s="12">
        <f>IFERROR(IF(SUMIFS(tblDaily[Admissions],tblDaily[EntryDate],DATE(2026,3,8),tblDaily[WardCode],"MAE")=0,"",SUMIFS(tblDaily[Admissions],tblDaily[EntryDate],DATE(2026,3,8),tblDaily[WardCode],"MAE")),"")</f>
        <v/>
      </c>
      <c r="C92" s="12">
        <f>IFERROR(IF(SUMIFS(tblDaily[Discharges],tblDaily[EntryDate],DATE(2026,3,8),tblDaily[WardCode],"MAE")=0,"",SUMIFS(tblDaily[Discharges],tblDaily[EntryDate],DATE(2026,3,8),tblDaily[WardCode],"MAE")),"")</f>
        <v/>
      </c>
      <c r="D92" s="12">
        <f>IFERROR(IF(SUMIFS(tblDaily[Deaths],tblDaily[EntryDate],DATE(2026,3,8),tblDaily[WardCode],"MAE")=0,"",SUMIFS(tblDaily[Deaths],tblDaily[EntryDate],DATE(2026,3,8),tblDaily[WardCode],"MAE")),"")</f>
        <v/>
      </c>
      <c r="E92" s="12">
        <f>IFERROR(IF(SUMIFS(tblDaily[DeathsUnder24Hrs],tblDaily[EntryDate],DATE(2026,3,8),tblDaily[WardCode],"MAE")=0,"",SUMIFS(tblDaily[DeathsUnder24Hrs],tblDaily[EntryDate],DATE(2026,3,8),tblDaily[WardCode],"MAE")),"")</f>
        <v/>
      </c>
      <c r="F92" s="12">
        <f>IFERROR(IF(SUMIFS(tblDaily[TransfersIn],tblDaily[EntryDate],DATE(2026,3,8),tblDaily[WardCode],"MAE")=0,"",SUMIFS(tblDaily[TransfersIn],tblDaily[EntryDate],DATE(2026,3,8),tblDaily[WardCode],"MAE")),"")</f>
        <v/>
      </c>
      <c r="G92" s="12">
        <f>IFERROR(IF(SUMIFS(tblDaily[TransfersOut],tblDaily[EntryDate],DATE(2026,3,8),tblDaily[WardCode],"MAE")=0,"",SUMIFS(tblDaily[TransfersOut],tblDaily[EntryDate],DATE(2026,3,8),tblDaily[WardCode],"MAE")),"")</f>
        <v/>
      </c>
      <c r="H92" s="12">
        <f>IFERROR(IF(SUMIFS(tblDaily[Remaining],tblDaily[EntryDate],DATE(2026,3,8),tblDaily[WardCode],"MAE")=0,"",SUMIFS(tblDaily[Remaining],tblDaily[EntryDate],DATE(2026,3,8),tblDaily[WardCode],"MAE")),"")</f>
        <v/>
      </c>
    </row>
    <row r="93">
      <c r="A93" s="12" t="n">
        <v>9</v>
      </c>
      <c r="B93" s="12">
        <f>IFERROR(IF(SUMIFS(tblDaily[Admissions],tblDaily[EntryDate],DATE(2026,3,9),tblDaily[WardCode],"MAE")=0,"",SUMIFS(tblDaily[Admissions],tblDaily[EntryDate],DATE(2026,3,9),tblDaily[WardCode],"MAE")),"")</f>
        <v/>
      </c>
      <c r="C93" s="12">
        <f>IFERROR(IF(SUMIFS(tblDaily[Discharges],tblDaily[EntryDate],DATE(2026,3,9),tblDaily[WardCode],"MAE")=0,"",SUMIFS(tblDaily[Discharges],tblDaily[EntryDate],DATE(2026,3,9),tblDaily[WardCode],"MAE")),"")</f>
        <v/>
      </c>
      <c r="D93" s="12">
        <f>IFERROR(IF(SUMIFS(tblDaily[Deaths],tblDaily[EntryDate],DATE(2026,3,9),tblDaily[WardCode],"MAE")=0,"",SUMIFS(tblDaily[Deaths],tblDaily[EntryDate],DATE(2026,3,9),tblDaily[WardCode],"MAE")),"")</f>
        <v/>
      </c>
      <c r="E93" s="12">
        <f>IFERROR(IF(SUMIFS(tblDaily[DeathsUnder24Hrs],tblDaily[EntryDate],DATE(2026,3,9),tblDaily[WardCode],"MAE")=0,"",SUMIFS(tblDaily[DeathsUnder24Hrs],tblDaily[EntryDate],DATE(2026,3,9),tblDaily[WardCode],"MAE")),"")</f>
        <v/>
      </c>
      <c r="F93" s="12">
        <f>IFERROR(IF(SUMIFS(tblDaily[TransfersIn],tblDaily[EntryDate],DATE(2026,3,9),tblDaily[WardCode],"MAE")=0,"",SUMIFS(tblDaily[TransfersIn],tblDaily[EntryDate],DATE(2026,3,9),tblDaily[WardCode],"MAE")),"")</f>
        <v/>
      </c>
      <c r="G93" s="12">
        <f>IFERROR(IF(SUMIFS(tblDaily[TransfersOut],tblDaily[EntryDate],DATE(2026,3,9),tblDaily[WardCode],"MAE")=0,"",SUMIFS(tblDaily[TransfersOut],tblDaily[EntryDate],DATE(2026,3,9),tblDaily[WardCode],"MAE")),"")</f>
        <v/>
      </c>
      <c r="H93" s="12">
        <f>IFERROR(IF(SUMIFS(tblDaily[Remaining],tblDaily[EntryDate],DATE(2026,3,9),tblDaily[WardCode],"MAE")=0,"",SUMIFS(tblDaily[Remaining],tblDaily[EntryDate],DATE(2026,3,9),tblDaily[WardCode],"MAE")),"")</f>
        <v/>
      </c>
    </row>
    <row r="94">
      <c r="A94" s="12" t="n">
        <v>10</v>
      </c>
      <c r="B94" s="12">
        <f>IFERROR(IF(SUMIFS(tblDaily[Admissions],tblDaily[EntryDate],DATE(2026,3,10),tblDaily[WardCode],"MAE")=0,"",SUMIFS(tblDaily[Admissions],tblDaily[EntryDate],DATE(2026,3,10),tblDaily[WardCode],"MAE")),"")</f>
        <v/>
      </c>
      <c r="C94" s="12">
        <f>IFERROR(IF(SUMIFS(tblDaily[Discharges],tblDaily[EntryDate],DATE(2026,3,10),tblDaily[WardCode],"MAE")=0,"",SUMIFS(tblDaily[Discharges],tblDaily[EntryDate],DATE(2026,3,10),tblDaily[WardCode],"MAE")),"")</f>
        <v/>
      </c>
      <c r="D94" s="12">
        <f>IFERROR(IF(SUMIFS(tblDaily[Deaths],tblDaily[EntryDate],DATE(2026,3,10),tblDaily[WardCode],"MAE")=0,"",SUMIFS(tblDaily[Deaths],tblDaily[EntryDate],DATE(2026,3,10),tblDaily[WardCode],"MAE")),"")</f>
        <v/>
      </c>
      <c r="E94" s="12">
        <f>IFERROR(IF(SUMIFS(tblDaily[DeathsUnder24Hrs],tblDaily[EntryDate],DATE(2026,3,10),tblDaily[WardCode],"MAE")=0,"",SUMIFS(tblDaily[DeathsUnder24Hrs],tblDaily[EntryDate],DATE(2026,3,10),tblDaily[WardCode],"MAE")),"")</f>
        <v/>
      </c>
      <c r="F94" s="12">
        <f>IFERROR(IF(SUMIFS(tblDaily[TransfersIn],tblDaily[EntryDate],DATE(2026,3,10),tblDaily[WardCode],"MAE")=0,"",SUMIFS(tblDaily[TransfersIn],tblDaily[EntryDate],DATE(2026,3,10),tblDaily[WardCode],"MAE")),"")</f>
        <v/>
      </c>
      <c r="G94" s="12">
        <f>IFERROR(IF(SUMIFS(tblDaily[TransfersOut],tblDaily[EntryDate],DATE(2026,3,10),tblDaily[WardCode],"MAE")=0,"",SUMIFS(tblDaily[TransfersOut],tblDaily[EntryDate],DATE(2026,3,10),tblDaily[WardCode],"MAE")),"")</f>
        <v/>
      </c>
      <c r="H94" s="12">
        <f>IFERROR(IF(SUMIFS(tblDaily[Remaining],tblDaily[EntryDate],DATE(2026,3,10),tblDaily[WardCode],"MAE")=0,"",SUMIFS(tblDaily[Remaining],tblDaily[EntryDate],DATE(2026,3,10),tblDaily[WardCode],"MAE")),"")</f>
        <v/>
      </c>
    </row>
    <row r="95">
      <c r="A95" s="12" t="n">
        <v>11</v>
      </c>
      <c r="B95" s="12">
        <f>IFERROR(IF(SUMIFS(tblDaily[Admissions],tblDaily[EntryDate],DATE(2026,3,11),tblDaily[WardCode],"MAE")=0,"",SUMIFS(tblDaily[Admissions],tblDaily[EntryDate],DATE(2026,3,11),tblDaily[WardCode],"MAE")),"")</f>
        <v/>
      </c>
      <c r="C95" s="12">
        <f>IFERROR(IF(SUMIFS(tblDaily[Discharges],tblDaily[EntryDate],DATE(2026,3,11),tblDaily[WardCode],"MAE")=0,"",SUMIFS(tblDaily[Discharges],tblDaily[EntryDate],DATE(2026,3,11),tblDaily[WardCode],"MAE")),"")</f>
        <v/>
      </c>
      <c r="D95" s="12">
        <f>IFERROR(IF(SUMIFS(tblDaily[Deaths],tblDaily[EntryDate],DATE(2026,3,11),tblDaily[WardCode],"MAE")=0,"",SUMIFS(tblDaily[Deaths],tblDaily[EntryDate],DATE(2026,3,11),tblDaily[WardCode],"MAE")),"")</f>
        <v/>
      </c>
      <c r="E95" s="12">
        <f>IFERROR(IF(SUMIFS(tblDaily[DeathsUnder24Hrs],tblDaily[EntryDate],DATE(2026,3,11),tblDaily[WardCode],"MAE")=0,"",SUMIFS(tblDaily[DeathsUnder24Hrs],tblDaily[EntryDate],DATE(2026,3,11),tblDaily[WardCode],"MAE")),"")</f>
        <v/>
      </c>
      <c r="F95" s="12">
        <f>IFERROR(IF(SUMIFS(tblDaily[TransfersIn],tblDaily[EntryDate],DATE(2026,3,11),tblDaily[WardCode],"MAE")=0,"",SUMIFS(tblDaily[TransfersIn],tblDaily[EntryDate],DATE(2026,3,11),tblDaily[WardCode],"MAE")),"")</f>
        <v/>
      </c>
      <c r="G95" s="12">
        <f>IFERROR(IF(SUMIFS(tblDaily[TransfersOut],tblDaily[EntryDate],DATE(2026,3,11),tblDaily[WardCode],"MAE")=0,"",SUMIFS(tblDaily[TransfersOut],tblDaily[EntryDate],DATE(2026,3,11),tblDaily[WardCode],"MAE")),"")</f>
        <v/>
      </c>
      <c r="H95" s="12">
        <f>IFERROR(IF(SUMIFS(tblDaily[Remaining],tblDaily[EntryDate],DATE(2026,3,11),tblDaily[WardCode],"MAE")=0,"",SUMIFS(tblDaily[Remaining],tblDaily[EntryDate],DATE(2026,3,11),tblDaily[WardCode],"MAE")),"")</f>
        <v/>
      </c>
    </row>
    <row r="96">
      <c r="A96" s="12" t="n">
        <v>12</v>
      </c>
      <c r="B96" s="12">
        <f>IFERROR(IF(SUMIFS(tblDaily[Admissions],tblDaily[EntryDate],DATE(2026,3,12),tblDaily[WardCode],"MAE")=0,"",SUMIFS(tblDaily[Admissions],tblDaily[EntryDate],DATE(2026,3,12),tblDaily[WardCode],"MAE")),"")</f>
        <v/>
      </c>
      <c r="C96" s="12">
        <f>IFERROR(IF(SUMIFS(tblDaily[Discharges],tblDaily[EntryDate],DATE(2026,3,12),tblDaily[WardCode],"MAE")=0,"",SUMIFS(tblDaily[Discharges],tblDaily[EntryDate],DATE(2026,3,12),tblDaily[WardCode],"MAE")),"")</f>
        <v/>
      </c>
      <c r="D96" s="12">
        <f>IFERROR(IF(SUMIFS(tblDaily[Deaths],tblDaily[EntryDate],DATE(2026,3,12),tblDaily[WardCode],"MAE")=0,"",SUMIFS(tblDaily[Deaths],tblDaily[EntryDate],DATE(2026,3,12),tblDaily[WardCode],"MAE")),"")</f>
        <v/>
      </c>
      <c r="E96" s="12">
        <f>IFERROR(IF(SUMIFS(tblDaily[DeathsUnder24Hrs],tblDaily[EntryDate],DATE(2026,3,12),tblDaily[WardCode],"MAE")=0,"",SUMIFS(tblDaily[DeathsUnder24Hrs],tblDaily[EntryDate],DATE(2026,3,12),tblDaily[WardCode],"MAE")),"")</f>
        <v/>
      </c>
      <c r="F96" s="12">
        <f>IFERROR(IF(SUMIFS(tblDaily[TransfersIn],tblDaily[EntryDate],DATE(2026,3,12),tblDaily[WardCode],"MAE")=0,"",SUMIFS(tblDaily[TransfersIn],tblDaily[EntryDate],DATE(2026,3,12),tblDaily[WardCode],"MAE")),"")</f>
        <v/>
      </c>
      <c r="G96" s="12">
        <f>IFERROR(IF(SUMIFS(tblDaily[TransfersOut],tblDaily[EntryDate],DATE(2026,3,12),tblDaily[WardCode],"MAE")=0,"",SUMIFS(tblDaily[TransfersOut],tblDaily[EntryDate],DATE(2026,3,12),tblDaily[WardCode],"MAE")),"")</f>
        <v/>
      </c>
      <c r="H96" s="12">
        <f>IFERROR(IF(SUMIFS(tblDaily[Remaining],tblDaily[EntryDate],DATE(2026,3,12),tblDaily[WardCode],"MAE")=0,"",SUMIFS(tblDaily[Remaining],tblDaily[EntryDate],DATE(2026,3,12),tblDaily[WardCode],"MAE")),"")</f>
        <v/>
      </c>
    </row>
    <row r="97">
      <c r="A97" s="12" t="n">
        <v>13</v>
      </c>
      <c r="B97" s="12">
        <f>IFERROR(IF(SUMIFS(tblDaily[Admissions],tblDaily[EntryDate],DATE(2026,3,13),tblDaily[WardCode],"MAE")=0,"",SUMIFS(tblDaily[Admissions],tblDaily[EntryDate],DATE(2026,3,13),tblDaily[WardCode],"MAE")),"")</f>
        <v/>
      </c>
      <c r="C97" s="12">
        <f>IFERROR(IF(SUMIFS(tblDaily[Discharges],tblDaily[EntryDate],DATE(2026,3,13),tblDaily[WardCode],"MAE")=0,"",SUMIFS(tblDaily[Discharges],tblDaily[EntryDate],DATE(2026,3,13),tblDaily[WardCode],"MAE")),"")</f>
        <v/>
      </c>
      <c r="D97" s="12">
        <f>IFERROR(IF(SUMIFS(tblDaily[Deaths],tblDaily[EntryDate],DATE(2026,3,13),tblDaily[WardCode],"MAE")=0,"",SUMIFS(tblDaily[Deaths],tblDaily[EntryDate],DATE(2026,3,13),tblDaily[WardCode],"MAE")),"")</f>
        <v/>
      </c>
      <c r="E97" s="12">
        <f>IFERROR(IF(SUMIFS(tblDaily[DeathsUnder24Hrs],tblDaily[EntryDate],DATE(2026,3,13),tblDaily[WardCode],"MAE")=0,"",SUMIFS(tblDaily[DeathsUnder24Hrs],tblDaily[EntryDate],DATE(2026,3,13),tblDaily[WardCode],"MAE")),"")</f>
        <v/>
      </c>
      <c r="F97" s="12">
        <f>IFERROR(IF(SUMIFS(tblDaily[TransfersIn],tblDaily[EntryDate],DATE(2026,3,13),tblDaily[WardCode],"MAE")=0,"",SUMIFS(tblDaily[TransfersIn],tblDaily[EntryDate],DATE(2026,3,13),tblDaily[WardCode],"MAE")),"")</f>
        <v/>
      </c>
      <c r="G97" s="12">
        <f>IFERROR(IF(SUMIFS(tblDaily[TransfersOut],tblDaily[EntryDate],DATE(2026,3,13),tblDaily[WardCode],"MAE")=0,"",SUMIFS(tblDaily[TransfersOut],tblDaily[EntryDate],DATE(2026,3,13),tblDaily[WardCode],"MAE")),"")</f>
        <v/>
      </c>
      <c r="H97" s="12">
        <f>IFERROR(IF(SUMIFS(tblDaily[Remaining],tblDaily[EntryDate],DATE(2026,3,13),tblDaily[WardCode],"MAE")=0,"",SUMIFS(tblDaily[Remaining],tblDaily[EntryDate],DATE(2026,3,13),tblDaily[WardCode],"MAE")),"")</f>
        <v/>
      </c>
    </row>
    <row r="98">
      <c r="A98" s="12" t="n">
        <v>14</v>
      </c>
      <c r="B98" s="12">
        <f>IFERROR(IF(SUMIFS(tblDaily[Admissions],tblDaily[EntryDate],DATE(2026,3,14),tblDaily[WardCode],"MAE")=0,"",SUMIFS(tblDaily[Admissions],tblDaily[EntryDate],DATE(2026,3,14),tblDaily[WardCode],"MAE")),"")</f>
        <v/>
      </c>
      <c r="C98" s="12">
        <f>IFERROR(IF(SUMIFS(tblDaily[Discharges],tblDaily[EntryDate],DATE(2026,3,14),tblDaily[WardCode],"MAE")=0,"",SUMIFS(tblDaily[Discharges],tblDaily[EntryDate],DATE(2026,3,14),tblDaily[WardCode],"MAE")),"")</f>
        <v/>
      </c>
      <c r="D98" s="12">
        <f>IFERROR(IF(SUMIFS(tblDaily[Deaths],tblDaily[EntryDate],DATE(2026,3,14),tblDaily[WardCode],"MAE")=0,"",SUMIFS(tblDaily[Deaths],tblDaily[EntryDate],DATE(2026,3,14),tblDaily[WardCode],"MAE")),"")</f>
        <v/>
      </c>
      <c r="E98" s="12">
        <f>IFERROR(IF(SUMIFS(tblDaily[DeathsUnder24Hrs],tblDaily[EntryDate],DATE(2026,3,14),tblDaily[WardCode],"MAE")=0,"",SUMIFS(tblDaily[DeathsUnder24Hrs],tblDaily[EntryDate],DATE(2026,3,14),tblDaily[WardCode],"MAE")),"")</f>
        <v/>
      </c>
      <c r="F98" s="12">
        <f>IFERROR(IF(SUMIFS(tblDaily[TransfersIn],tblDaily[EntryDate],DATE(2026,3,14),tblDaily[WardCode],"MAE")=0,"",SUMIFS(tblDaily[TransfersIn],tblDaily[EntryDate],DATE(2026,3,14),tblDaily[WardCode],"MAE")),"")</f>
        <v/>
      </c>
      <c r="G98" s="12">
        <f>IFERROR(IF(SUMIFS(tblDaily[TransfersOut],tblDaily[EntryDate],DATE(2026,3,14),tblDaily[WardCode],"MAE")=0,"",SUMIFS(tblDaily[TransfersOut],tblDaily[EntryDate],DATE(2026,3,14),tblDaily[WardCode],"MAE")),"")</f>
        <v/>
      </c>
      <c r="H98" s="12">
        <f>IFERROR(IF(SUMIFS(tblDaily[Remaining],tblDaily[EntryDate],DATE(2026,3,14),tblDaily[WardCode],"MAE")=0,"",SUMIFS(tblDaily[Remaining],tblDaily[EntryDate],DATE(2026,3,14),tblDaily[WardCode],"MAE")),"")</f>
        <v/>
      </c>
    </row>
    <row r="99">
      <c r="A99" s="12" t="n">
        <v>15</v>
      </c>
      <c r="B99" s="12">
        <f>IFERROR(IF(SUMIFS(tblDaily[Admissions],tblDaily[EntryDate],DATE(2026,3,15),tblDaily[WardCode],"MAE")=0,"",SUMIFS(tblDaily[Admissions],tblDaily[EntryDate],DATE(2026,3,15),tblDaily[WardCode],"MAE")),"")</f>
        <v/>
      </c>
      <c r="C99" s="12">
        <f>IFERROR(IF(SUMIFS(tblDaily[Discharges],tblDaily[EntryDate],DATE(2026,3,15),tblDaily[WardCode],"MAE")=0,"",SUMIFS(tblDaily[Discharges],tblDaily[EntryDate],DATE(2026,3,15),tblDaily[WardCode],"MAE")),"")</f>
        <v/>
      </c>
      <c r="D99" s="12">
        <f>IFERROR(IF(SUMIFS(tblDaily[Deaths],tblDaily[EntryDate],DATE(2026,3,15),tblDaily[WardCode],"MAE")=0,"",SUMIFS(tblDaily[Deaths],tblDaily[EntryDate],DATE(2026,3,15),tblDaily[WardCode],"MAE")),"")</f>
        <v/>
      </c>
      <c r="E99" s="12">
        <f>IFERROR(IF(SUMIFS(tblDaily[DeathsUnder24Hrs],tblDaily[EntryDate],DATE(2026,3,15),tblDaily[WardCode],"MAE")=0,"",SUMIFS(tblDaily[DeathsUnder24Hrs],tblDaily[EntryDate],DATE(2026,3,15),tblDaily[WardCode],"MAE")),"")</f>
        <v/>
      </c>
      <c r="F99" s="12">
        <f>IFERROR(IF(SUMIFS(tblDaily[TransfersIn],tblDaily[EntryDate],DATE(2026,3,15),tblDaily[WardCode],"MAE")=0,"",SUMIFS(tblDaily[TransfersIn],tblDaily[EntryDate],DATE(2026,3,15),tblDaily[WardCode],"MAE")),"")</f>
        <v/>
      </c>
      <c r="G99" s="12">
        <f>IFERROR(IF(SUMIFS(tblDaily[TransfersOut],tblDaily[EntryDate],DATE(2026,3,15),tblDaily[WardCode],"MAE")=0,"",SUMIFS(tblDaily[TransfersOut],tblDaily[EntryDate],DATE(2026,3,15),tblDaily[WardCode],"MAE")),"")</f>
        <v/>
      </c>
      <c r="H99" s="12">
        <f>IFERROR(IF(SUMIFS(tblDaily[Remaining],tblDaily[EntryDate],DATE(2026,3,15),tblDaily[WardCode],"MAE")=0,"",SUMIFS(tblDaily[Remaining],tblDaily[EntryDate],DATE(2026,3,15),tblDaily[WardCode],"MAE")),"")</f>
        <v/>
      </c>
    </row>
    <row r="100">
      <c r="A100" s="12" t="n">
        <v>16</v>
      </c>
      <c r="B100" s="12">
        <f>IFERROR(IF(SUMIFS(tblDaily[Admissions],tblDaily[EntryDate],DATE(2026,3,16),tblDaily[WardCode],"MAE")=0,"",SUMIFS(tblDaily[Admissions],tblDaily[EntryDate],DATE(2026,3,16),tblDaily[WardCode],"MAE")),"")</f>
        <v/>
      </c>
      <c r="C100" s="12">
        <f>IFERROR(IF(SUMIFS(tblDaily[Discharges],tblDaily[EntryDate],DATE(2026,3,16),tblDaily[WardCode],"MAE")=0,"",SUMIFS(tblDaily[Discharges],tblDaily[EntryDate],DATE(2026,3,16),tblDaily[WardCode],"MAE")),"")</f>
        <v/>
      </c>
      <c r="D100" s="12">
        <f>IFERROR(IF(SUMIFS(tblDaily[Deaths],tblDaily[EntryDate],DATE(2026,3,16),tblDaily[WardCode],"MAE")=0,"",SUMIFS(tblDaily[Deaths],tblDaily[EntryDate],DATE(2026,3,16),tblDaily[WardCode],"MAE")),"")</f>
        <v/>
      </c>
      <c r="E100" s="12">
        <f>IFERROR(IF(SUMIFS(tblDaily[DeathsUnder24Hrs],tblDaily[EntryDate],DATE(2026,3,16),tblDaily[WardCode],"MAE")=0,"",SUMIFS(tblDaily[DeathsUnder24Hrs],tblDaily[EntryDate],DATE(2026,3,16),tblDaily[WardCode],"MAE")),"")</f>
        <v/>
      </c>
      <c r="F100" s="12">
        <f>IFERROR(IF(SUMIFS(tblDaily[TransfersIn],tblDaily[EntryDate],DATE(2026,3,16),tblDaily[WardCode],"MAE")=0,"",SUMIFS(tblDaily[TransfersIn],tblDaily[EntryDate],DATE(2026,3,16),tblDaily[WardCode],"MAE")),"")</f>
        <v/>
      </c>
      <c r="G100" s="12">
        <f>IFERROR(IF(SUMIFS(tblDaily[TransfersOut],tblDaily[EntryDate],DATE(2026,3,16),tblDaily[WardCode],"MAE")=0,"",SUMIFS(tblDaily[TransfersOut],tblDaily[EntryDate],DATE(2026,3,16),tblDaily[WardCode],"MAE")),"")</f>
        <v/>
      </c>
      <c r="H100" s="12">
        <f>IFERROR(IF(SUMIFS(tblDaily[Remaining],tblDaily[EntryDate],DATE(2026,3,16),tblDaily[WardCode],"MAE")=0,"",SUMIFS(tblDaily[Remaining],tblDaily[EntryDate],DATE(2026,3,16),tblDaily[WardCode],"MAE")),"")</f>
        <v/>
      </c>
    </row>
    <row r="101">
      <c r="A101" s="12" t="n">
        <v>17</v>
      </c>
      <c r="B101" s="12">
        <f>IFERROR(IF(SUMIFS(tblDaily[Admissions],tblDaily[EntryDate],DATE(2026,3,17),tblDaily[WardCode],"MAE")=0,"",SUMIFS(tblDaily[Admissions],tblDaily[EntryDate],DATE(2026,3,17),tblDaily[WardCode],"MAE")),"")</f>
        <v/>
      </c>
      <c r="C101" s="12">
        <f>IFERROR(IF(SUMIFS(tblDaily[Discharges],tblDaily[EntryDate],DATE(2026,3,17),tblDaily[WardCode],"MAE")=0,"",SUMIFS(tblDaily[Discharges],tblDaily[EntryDate],DATE(2026,3,17),tblDaily[WardCode],"MAE")),"")</f>
        <v/>
      </c>
      <c r="D101" s="12">
        <f>IFERROR(IF(SUMIFS(tblDaily[Deaths],tblDaily[EntryDate],DATE(2026,3,17),tblDaily[WardCode],"MAE")=0,"",SUMIFS(tblDaily[Deaths],tblDaily[EntryDate],DATE(2026,3,17),tblDaily[WardCode],"MAE")),"")</f>
        <v/>
      </c>
      <c r="E101" s="12">
        <f>IFERROR(IF(SUMIFS(tblDaily[DeathsUnder24Hrs],tblDaily[EntryDate],DATE(2026,3,17),tblDaily[WardCode],"MAE")=0,"",SUMIFS(tblDaily[DeathsUnder24Hrs],tblDaily[EntryDate],DATE(2026,3,17),tblDaily[WardCode],"MAE")),"")</f>
        <v/>
      </c>
      <c r="F101" s="12">
        <f>IFERROR(IF(SUMIFS(tblDaily[TransfersIn],tblDaily[EntryDate],DATE(2026,3,17),tblDaily[WardCode],"MAE")=0,"",SUMIFS(tblDaily[TransfersIn],tblDaily[EntryDate],DATE(2026,3,17),tblDaily[WardCode],"MAE")),"")</f>
        <v/>
      </c>
      <c r="G101" s="12">
        <f>IFERROR(IF(SUMIFS(tblDaily[TransfersOut],tblDaily[EntryDate],DATE(2026,3,17),tblDaily[WardCode],"MAE")=0,"",SUMIFS(tblDaily[TransfersOut],tblDaily[EntryDate],DATE(2026,3,17),tblDaily[WardCode],"MAE")),"")</f>
        <v/>
      </c>
      <c r="H101" s="12">
        <f>IFERROR(IF(SUMIFS(tblDaily[Remaining],tblDaily[EntryDate],DATE(2026,3,17),tblDaily[WardCode],"MAE")=0,"",SUMIFS(tblDaily[Remaining],tblDaily[EntryDate],DATE(2026,3,17),tblDaily[WardCode],"MAE")),"")</f>
        <v/>
      </c>
    </row>
    <row r="102">
      <c r="A102" s="12" t="n">
        <v>18</v>
      </c>
      <c r="B102" s="12">
        <f>IFERROR(IF(SUMIFS(tblDaily[Admissions],tblDaily[EntryDate],DATE(2026,3,18),tblDaily[WardCode],"MAE")=0,"",SUMIFS(tblDaily[Admissions],tblDaily[EntryDate],DATE(2026,3,18),tblDaily[WardCode],"MAE")),"")</f>
        <v/>
      </c>
      <c r="C102" s="12">
        <f>IFERROR(IF(SUMIFS(tblDaily[Discharges],tblDaily[EntryDate],DATE(2026,3,18),tblDaily[WardCode],"MAE")=0,"",SUMIFS(tblDaily[Discharges],tblDaily[EntryDate],DATE(2026,3,18),tblDaily[WardCode],"MAE")),"")</f>
        <v/>
      </c>
      <c r="D102" s="12">
        <f>IFERROR(IF(SUMIFS(tblDaily[Deaths],tblDaily[EntryDate],DATE(2026,3,18),tblDaily[WardCode],"MAE")=0,"",SUMIFS(tblDaily[Deaths],tblDaily[EntryDate],DATE(2026,3,18),tblDaily[WardCode],"MAE")),"")</f>
        <v/>
      </c>
      <c r="E102" s="12">
        <f>IFERROR(IF(SUMIFS(tblDaily[DeathsUnder24Hrs],tblDaily[EntryDate],DATE(2026,3,18),tblDaily[WardCode],"MAE")=0,"",SUMIFS(tblDaily[DeathsUnder24Hrs],tblDaily[EntryDate],DATE(2026,3,18),tblDaily[WardCode],"MAE")),"")</f>
        <v/>
      </c>
      <c r="F102" s="12">
        <f>IFERROR(IF(SUMIFS(tblDaily[TransfersIn],tblDaily[EntryDate],DATE(2026,3,18),tblDaily[WardCode],"MAE")=0,"",SUMIFS(tblDaily[TransfersIn],tblDaily[EntryDate],DATE(2026,3,18),tblDaily[WardCode],"MAE")),"")</f>
        <v/>
      </c>
      <c r="G102" s="12">
        <f>IFERROR(IF(SUMIFS(tblDaily[TransfersOut],tblDaily[EntryDate],DATE(2026,3,18),tblDaily[WardCode],"MAE")=0,"",SUMIFS(tblDaily[TransfersOut],tblDaily[EntryDate],DATE(2026,3,18),tblDaily[WardCode],"MAE")),"")</f>
        <v/>
      </c>
      <c r="H102" s="12">
        <f>IFERROR(IF(SUMIFS(tblDaily[Remaining],tblDaily[EntryDate],DATE(2026,3,18),tblDaily[WardCode],"MAE")=0,"",SUMIFS(tblDaily[Remaining],tblDaily[EntryDate],DATE(2026,3,18),tblDaily[WardCode],"MAE")),"")</f>
        <v/>
      </c>
    </row>
    <row r="103">
      <c r="A103" s="12" t="n">
        <v>19</v>
      </c>
      <c r="B103" s="12">
        <f>IFERROR(IF(SUMIFS(tblDaily[Admissions],tblDaily[EntryDate],DATE(2026,3,19),tblDaily[WardCode],"MAE")=0,"",SUMIFS(tblDaily[Admissions],tblDaily[EntryDate],DATE(2026,3,19),tblDaily[WardCode],"MAE")),"")</f>
        <v/>
      </c>
      <c r="C103" s="12">
        <f>IFERROR(IF(SUMIFS(tblDaily[Discharges],tblDaily[EntryDate],DATE(2026,3,19),tblDaily[WardCode],"MAE")=0,"",SUMIFS(tblDaily[Discharges],tblDaily[EntryDate],DATE(2026,3,19),tblDaily[WardCode],"MAE")),"")</f>
        <v/>
      </c>
      <c r="D103" s="12">
        <f>IFERROR(IF(SUMIFS(tblDaily[Deaths],tblDaily[EntryDate],DATE(2026,3,19),tblDaily[WardCode],"MAE")=0,"",SUMIFS(tblDaily[Deaths],tblDaily[EntryDate],DATE(2026,3,19),tblDaily[WardCode],"MAE")),"")</f>
        <v/>
      </c>
      <c r="E103" s="12">
        <f>IFERROR(IF(SUMIFS(tblDaily[DeathsUnder24Hrs],tblDaily[EntryDate],DATE(2026,3,19),tblDaily[WardCode],"MAE")=0,"",SUMIFS(tblDaily[DeathsUnder24Hrs],tblDaily[EntryDate],DATE(2026,3,19),tblDaily[WardCode],"MAE")),"")</f>
        <v/>
      </c>
      <c r="F103" s="12">
        <f>IFERROR(IF(SUMIFS(tblDaily[TransfersIn],tblDaily[EntryDate],DATE(2026,3,19),tblDaily[WardCode],"MAE")=0,"",SUMIFS(tblDaily[TransfersIn],tblDaily[EntryDate],DATE(2026,3,19),tblDaily[WardCode],"MAE")),"")</f>
        <v/>
      </c>
      <c r="G103" s="12">
        <f>IFERROR(IF(SUMIFS(tblDaily[TransfersOut],tblDaily[EntryDate],DATE(2026,3,19),tblDaily[WardCode],"MAE")=0,"",SUMIFS(tblDaily[TransfersOut],tblDaily[EntryDate],DATE(2026,3,19),tblDaily[WardCode],"MAE")),"")</f>
        <v/>
      </c>
      <c r="H103" s="12">
        <f>IFERROR(IF(SUMIFS(tblDaily[Remaining],tblDaily[EntryDate],DATE(2026,3,19),tblDaily[WardCode],"MAE")=0,"",SUMIFS(tblDaily[Remaining],tblDaily[EntryDate],DATE(2026,3,19),tblDaily[WardCode],"MAE")),"")</f>
        <v/>
      </c>
    </row>
    <row r="104">
      <c r="A104" s="12" t="n">
        <v>20</v>
      </c>
      <c r="B104" s="12">
        <f>IFERROR(IF(SUMIFS(tblDaily[Admissions],tblDaily[EntryDate],DATE(2026,3,20),tblDaily[WardCode],"MAE")=0,"",SUMIFS(tblDaily[Admissions],tblDaily[EntryDate],DATE(2026,3,20),tblDaily[WardCode],"MAE")),"")</f>
        <v/>
      </c>
      <c r="C104" s="12">
        <f>IFERROR(IF(SUMIFS(tblDaily[Discharges],tblDaily[EntryDate],DATE(2026,3,20),tblDaily[WardCode],"MAE")=0,"",SUMIFS(tblDaily[Discharges],tblDaily[EntryDate],DATE(2026,3,20),tblDaily[WardCode],"MAE")),"")</f>
        <v/>
      </c>
      <c r="D104" s="12">
        <f>IFERROR(IF(SUMIFS(tblDaily[Deaths],tblDaily[EntryDate],DATE(2026,3,20),tblDaily[WardCode],"MAE")=0,"",SUMIFS(tblDaily[Deaths],tblDaily[EntryDate],DATE(2026,3,20),tblDaily[WardCode],"MAE")),"")</f>
        <v/>
      </c>
      <c r="E104" s="12">
        <f>IFERROR(IF(SUMIFS(tblDaily[DeathsUnder24Hrs],tblDaily[EntryDate],DATE(2026,3,20),tblDaily[WardCode],"MAE")=0,"",SUMIFS(tblDaily[DeathsUnder24Hrs],tblDaily[EntryDate],DATE(2026,3,20),tblDaily[WardCode],"MAE")),"")</f>
        <v/>
      </c>
      <c r="F104" s="12">
        <f>IFERROR(IF(SUMIFS(tblDaily[TransfersIn],tblDaily[EntryDate],DATE(2026,3,20),tblDaily[WardCode],"MAE")=0,"",SUMIFS(tblDaily[TransfersIn],tblDaily[EntryDate],DATE(2026,3,20),tblDaily[WardCode],"MAE")),"")</f>
        <v/>
      </c>
      <c r="G104" s="12">
        <f>IFERROR(IF(SUMIFS(tblDaily[TransfersOut],tblDaily[EntryDate],DATE(2026,3,20),tblDaily[WardCode],"MAE")=0,"",SUMIFS(tblDaily[TransfersOut],tblDaily[EntryDate],DATE(2026,3,20),tblDaily[WardCode],"MAE")),"")</f>
        <v/>
      </c>
      <c r="H104" s="12">
        <f>IFERROR(IF(SUMIFS(tblDaily[Remaining],tblDaily[EntryDate],DATE(2026,3,20),tblDaily[WardCode],"MAE")=0,"",SUMIFS(tblDaily[Remaining],tblDaily[EntryDate],DATE(2026,3,20),tblDaily[WardCode],"MAE")),"")</f>
        <v/>
      </c>
    </row>
    <row r="105">
      <c r="A105" s="12" t="n">
        <v>21</v>
      </c>
      <c r="B105" s="12">
        <f>IFERROR(IF(SUMIFS(tblDaily[Admissions],tblDaily[EntryDate],DATE(2026,3,21),tblDaily[WardCode],"MAE")=0,"",SUMIFS(tblDaily[Admissions],tblDaily[EntryDate],DATE(2026,3,21),tblDaily[WardCode],"MAE")),"")</f>
        <v/>
      </c>
      <c r="C105" s="12">
        <f>IFERROR(IF(SUMIFS(tblDaily[Discharges],tblDaily[EntryDate],DATE(2026,3,21),tblDaily[WardCode],"MAE")=0,"",SUMIFS(tblDaily[Discharges],tblDaily[EntryDate],DATE(2026,3,21),tblDaily[WardCode],"MAE")),"")</f>
        <v/>
      </c>
      <c r="D105" s="12">
        <f>IFERROR(IF(SUMIFS(tblDaily[Deaths],tblDaily[EntryDate],DATE(2026,3,21),tblDaily[WardCode],"MAE")=0,"",SUMIFS(tblDaily[Deaths],tblDaily[EntryDate],DATE(2026,3,21),tblDaily[WardCode],"MAE")),"")</f>
        <v/>
      </c>
      <c r="E105" s="12">
        <f>IFERROR(IF(SUMIFS(tblDaily[DeathsUnder24Hrs],tblDaily[EntryDate],DATE(2026,3,21),tblDaily[WardCode],"MAE")=0,"",SUMIFS(tblDaily[DeathsUnder24Hrs],tblDaily[EntryDate],DATE(2026,3,21),tblDaily[WardCode],"MAE")),"")</f>
        <v/>
      </c>
      <c r="F105" s="12">
        <f>IFERROR(IF(SUMIFS(tblDaily[TransfersIn],tblDaily[EntryDate],DATE(2026,3,21),tblDaily[WardCode],"MAE")=0,"",SUMIFS(tblDaily[TransfersIn],tblDaily[EntryDate],DATE(2026,3,21),tblDaily[WardCode],"MAE")),"")</f>
        <v/>
      </c>
      <c r="G105" s="12">
        <f>IFERROR(IF(SUMIFS(tblDaily[TransfersOut],tblDaily[EntryDate],DATE(2026,3,21),tblDaily[WardCode],"MAE")=0,"",SUMIFS(tblDaily[TransfersOut],tblDaily[EntryDate],DATE(2026,3,21),tblDaily[WardCode],"MAE")),"")</f>
        <v/>
      </c>
      <c r="H105" s="12">
        <f>IFERROR(IF(SUMIFS(tblDaily[Remaining],tblDaily[EntryDate],DATE(2026,3,21),tblDaily[WardCode],"MAE")=0,"",SUMIFS(tblDaily[Remaining],tblDaily[EntryDate],DATE(2026,3,21),tblDaily[WardCode],"MAE")),"")</f>
        <v/>
      </c>
    </row>
    <row r="106">
      <c r="A106" s="12" t="n">
        <v>22</v>
      </c>
      <c r="B106" s="12">
        <f>IFERROR(IF(SUMIFS(tblDaily[Admissions],tblDaily[EntryDate],DATE(2026,3,22),tblDaily[WardCode],"MAE")=0,"",SUMIFS(tblDaily[Admissions],tblDaily[EntryDate],DATE(2026,3,22),tblDaily[WardCode],"MAE")),"")</f>
        <v/>
      </c>
      <c r="C106" s="12">
        <f>IFERROR(IF(SUMIFS(tblDaily[Discharges],tblDaily[EntryDate],DATE(2026,3,22),tblDaily[WardCode],"MAE")=0,"",SUMIFS(tblDaily[Discharges],tblDaily[EntryDate],DATE(2026,3,22),tblDaily[WardCode],"MAE")),"")</f>
        <v/>
      </c>
      <c r="D106" s="12">
        <f>IFERROR(IF(SUMIFS(tblDaily[Deaths],tblDaily[EntryDate],DATE(2026,3,22),tblDaily[WardCode],"MAE")=0,"",SUMIFS(tblDaily[Deaths],tblDaily[EntryDate],DATE(2026,3,22),tblDaily[WardCode],"MAE")),"")</f>
        <v/>
      </c>
      <c r="E106" s="12">
        <f>IFERROR(IF(SUMIFS(tblDaily[DeathsUnder24Hrs],tblDaily[EntryDate],DATE(2026,3,22),tblDaily[WardCode],"MAE")=0,"",SUMIFS(tblDaily[DeathsUnder24Hrs],tblDaily[EntryDate],DATE(2026,3,22),tblDaily[WardCode],"MAE")),"")</f>
        <v/>
      </c>
      <c r="F106" s="12">
        <f>IFERROR(IF(SUMIFS(tblDaily[TransfersIn],tblDaily[EntryDate],DATE(2026,3,22),tblDaily[WardCode],"MAE")=0,"",SUMIFS(tblDaily[TransfersIn],tblDaily[EntryDate],DATE(2026,3,22),tblDaily[WardCode],"MAE")),"")</f>
        <v/>
      </c>
      <c r="G106" s="12">
        <f>IFERROR(IF(SUMIFS(tblDaily[TransfersOut],tblDaily[EntryDate],DATE(2026,3,22),tblDaily[WardCode],"MAE")=0,"",SUMIFS(tblDaily[TransfersOut],tblDaily[EntryDate],DATE(2026,3,22),tblDaily[WardCode],"MAE")),"")</f>
        <v/>
      </c>
      <c r="H106" s="12">
        <f>IFERROR(IF(SUMIFS(tblDaily[Remaining],tblDaily[EntryDate],DATE(2026,3,22),tblDaily[WardCode],"MAE")=0,"",SUMIFS(tblDaily[Remaining],tblDaily[EntryDate],DATE(2026,3,22),tblDaily[WardCode],"MAE")),"")</f>
        <v/>
      </c>
    </row>
    <row r="107">
      <c r="A107" s="12" t="n">
        <v>23</v>
      </c>
      <c r="B107" s="12">
        <f>IFERROR(IF(SUMIFS(tblDaily[Admissions],tblDaily[EntryDate],DATE(2026,3,23),tblDaily[WardCode],"MAE")=0,"",SUMIFS(tblDaily[Admissions],tblDaily[EntryDate],DATE(2026,3,23),tblDaily[WardCode],"MAE")),"")</f>
        <v/>
      </c>
      <c r="C107" s="12">
        <f>IFERROR(IF(SUMIFS(tblDaily[Discharges],tblDaily[EntryDate],DATE(2026,3,23),tblDaily[WardCode],"MAE")=0,"",SUMIFS(tblDaily[Discharges],tblDaily[EntryDate],DATE(2026,3,23),tblDaily[WardCode],"MAE")),"")</f>
        <v/>
      </c>
      <c r="D107" s="12">
        <f>IFERROR(IF(SUMIFS(tblDaily[Deaths],tblDaily[EntryDate],DATE(2026,3,23),tblDaily[WardCode],"MAE")=0,"",SUMIFS(tblDaily[Deaths],tblDaily[EntryDate],DATE(2026,3,23),tblDaily[WardCode],"MAE")),"")</f>
        <v/>
      </c>
      <c r="E107" s="12">
        <f>IFERROR(IF(SUMIFS(tblDaily[DeathsUnder24Hrs],tblDaily[EntryDate],DATE(2026,3,23),tblDaily[WardCode],"MAE")=0,"",SUMIFS(tblDaily[DeathsUnder24Hrs],tblDaily[EntryDate],DATE(2026,3,23),tblDaily[WardCode],"MAE")),"")</f>
        <v/>
      </c>
      <c r="F107" s="12">
        <f>IFERROR(IF(SUMIFS(tblDaily[TransfersIn],tblDaily[EntryDate],DATE(2026,3,23),tblDaily[WardCode],"MAE")=0,"",SUMIFS(tblDaily[TransfersIn],tblDaily[EntryDate],DATE(2026,3,23),tblDaily[WardCode],"MAE")),"")</f>
        <v/>
      </c>
      <c r="G107" s="12">
        <f>IFERROR(IF(SUMIFS(tblDaily[TransfersOut],tblDaily[EntryDate],DATE(2026,3,23),tblDaily[WardCode],"MAE")=0,"",SUMIFS(tblDaily[TransfersOut],tblDaily[EntryDate],DATE(2026,3,23),tblDaily[WardCode],"MAE")),"")</f>
        <v/>
      </c>
      <c r="H107" s="12">
        <f>IFERROR(IF(SUMIFS(tblDaily[Remaining],tblDaily[EntryDate],DATE(2026,3,23),tblDaily[WardCode],"MAE")=0,"",SUMIFS(tblDaily[Remaining],tblDaily[EntryDate],DATE(2026,3,23),tblDaily[WardCode],"MAE")),"")</f>
        <v/>
      </c>
    </row>
    <row r="108">
      <c r="A108" s="12" t="n">
        <v>24</v>
      </c>
      <c r="B108" s="12">
        <f>IFERROR(IF(SUMIFS(tblDaily[Admissions],tblDaily[EntryDate],DATE(2026,3,24),tblDaily[WardCode],"MAE")=0,"",SUMIFS(tblDaily[Admissions],tblDaily[EntryDate],DATE(2026,3,24),tblDaily[WardCode],"MAE")),"")</f>
        <v/>
      </c>
      <c r="C108" s="12">
        <f>IFERROR(IF(SUMIFS(tblDaily[Discharges],tblDaily[EntryDate],DATE(2026,3,24),tblDaily[WardCode],"MAE")=0,"",SUMIFS(tblDaily[Discharges],tblDaily[EntryDate],DATE(2026,3,24),tblDaily[WardCode],"MAE")),"")</f>
        <v/>
      </c>
      <c r="D108" s="12">
        <f>IFERROR(IF(SUMIFS(tblDaily[Deaths],tblDaily[EntryDate],DATE(2026,3,24),tblDaily[WardCode],"MAE")=0,"",SUMIFS(tblDaily[Deaths],tblDaily[EntryDate],DATE(2026,3,24),tblDaily[WardCode],"MAE")),"")</f>
        <v/>
      </c>
      <c r="E108" s="12">
        <f>IFERROR(IF(SUMIFS(tblDaily[DeathsUnder24Hrs],tblDaily[EntryDate],DATE(2026,3,24),tblDaily[WardCode],"MAE")=0,"",SUMIFS(tblDaily[DeathsUnder24Hrs],tblDaily[EntryDate],DATE(2026,3,24),tblDaily[WardCode],"MAE")),"")</f>
        <v/>
      </c>
      <c r="F108" s="12">
        <f>IFERROR(IF(SUMIFS(tblDaily[TransfersIn],tblDaily[EntryDate],DATE(2026,3,24),tblDaily[WardCode],"MAE")=0,"",SUMIFS(tblDaily[TransfersIn],tblDaily[EntryDate],DATE(2026,3,24),tblDaily[WardCode],"MAE")),"")</f>
        <v/>
      </c>
      <c r="G108" s="12">
        <f>IFERROR(IF(SUMIFS(tblDaily[TransfersOut],tblDaily[EntryDate],DATE(2026,3,24),tblDaily[WardCode],"MAE")=0,"",SUMIFS(tblDaily[TransfersOut],tblDaily[EntryDate],DATE(2026,3,24),tblDaily[WardCode],"MAE")),"")</f>
        <v/>
      </c>
      <c r="H108" s="12">
        <f>IFERROR(IF(SUMIFS(tblDaily[Remaining],tblDaily[EntryDate],DATE(2026,3,24),tblDaily[WardCode],"MAE")=0,"",SUMIFS(tblDaily[Remaining],tblDaily[EntryDate],DATE(2026,3,24),tblDaily[WardCode],"MAE")),"")</f>
        <v/>
      </c>
    </row>
    <row r="109">
      <c r="A109" s="12" t="n">
        <v>25</v>
      </c>
      <c r="B109" s="12">
        <f>IFERROR(IF(SUMIFS(tblDaily[Admissions],tblDaily[EntryDate],DATE(2026,3,25),tblDaily[WardCode],"MAE")=0,"",SUMIFS(tblDaily[Admissions],tblDaily[EntryDate],DATE(2026,3,25),tblDaily[WardCode],"MAE")),"")</f>
        <v/>
      </c>
      <c r="C109" s="12">
        <f>IFERROR(IF(SUMIFS(tblDaily[Discharges],tblDaily[EntryDate],DATE(2026,3,25),tblDaily[WardCode],"MAE")=0,"",SUMIFS(tblDaily[Discharges],tblDaily[EntryDate],DATE(2026,3,25),tblDaily[WardCode],"MAE")),"")</f>
        <v/>
      </c>
      <c r="D109" s="12">
        <f>IFERROR(IF(SUMIFS(tblDaily[Deaths],tblDaily[EntryDate],DATE(2026,3,25),tblDaily[WardCode],"MAE")=0,"",SUMIFS(tblDaily[Deaths],tblDaily[EntryDate],DATE(2026,3,25),tblDaily[WardCode],"MAE")),"")</f>
        <v/>
      </c>
      <c r="E109" s="12">
        <f>IFERROR(IF(SUMIFS(tblDaily[DeathsUnder24Hrs],tblDaily[EntryDate],DATE(2026,3,25),tblDaily[WardCode],"MAE")=0,"",SUMIFS(tblDaily[DeathsUnder24Hrs],tblDaily[EntryDate],DATE(2026,3,25),tblDaily[WardCode],"MAE")),"")</f>
        <v/>
      </c>
      <c r="F109" s="12">
        <f>IFERROR(IF(SUMIFS(tblDaily[TransfersIn],tblDaily[EntryDate],DATE(2026,3,25),tblDaily[WardCode],"MAE")=0,"",SUMIFS(tblDaily[TransfersIn],tblDaily[EntryDate],DATE(2026,3,25),tblDaily[WardCode],"MAE")),"")</f>
        <v/>
      </c>
      <c r="G109" s="12">
        <f>IFERROR(IF(SUMIFS(tblDaily[TransfersOut],tblDaily[EntryDate],DATE(2026,3,25),tblDaily[WardCode],"MAE")=0,"",SUMIFS(tblDaily[TransfersOut],tblDaily[EntryDate],DATE(2026,3,25),tblDaily[WardCode],"MAE")),"")</f>
        <v/>
      </c>
      <c r="H109" s="12">
        <f>IFERROR(IF(SUMIFS(tblDaily[Remaining],tblDaily[EntryDate],DATE(2026,3,25),tblDaily[WardCode],"MAE")=0,"",SUMIFS(tblDaily[Remaining],tblDaily[EntryDate],DATE(2026,3,25),tblDaily[WardCode],"MAE")),"")</f>
        <v/>
      </c>
    </row>
    <row r="110">
      <c r="A110" s="12" t="n">
        <v>26</v>
      </c>
      <c r="B110" s="12">
        <f>IFERROR(IF(SUMIFS(tblDaily[Admissions],tblDaily[EntryDate],DATE(2026,3,26),tblDaily[WardCode],"MAE")=0,"",SUMIFS(tblDaily[Admissions],tblDaily[EntryDate],DATE(2026,3,26),tblDaily[WardCode],"MAE")),"")</f>
        <v/>
      </c>
      <c r="C110" s="12">
        <f>IFERROR(IF(SUMIFS(tblDaily[Discharges],tblDaily[EntryDate],DATE(2026,3,26),tblDaily[WardCode],"MAE")=0,"",SUMIFS(tblDaily[Discharges],tblDaily[EntryDate],DATE(2026,3,26),tblDaily[WardCode],"MAE")),"")</f>
        <v/>
      </c>
      <c r="D110" s="12">
        <f>IFERROR(IF(SUMIFS(tblDaily[Deaths],tblDaily[EntryDate],DATE(2026,3,26),tblDaily[WardCode],"MAE")=0,"",SUMIFS(tblDaily[Deaths],tblDaily[EntryDate],DATE(2026,3,26),tblDaily[WardCode],"MAE")),"")</f>
        <v/>
      </c>
      <c r="E110" s="12">
        <f>IFERROR(IF(SUMIFS(tblDaily[DeathsUnder24Hrs],tblDaily[EntryDate],DATE(2026,3,26),tblDaily[WardCode],"MAE")=0,"",SUMIFS(tblDaily[DeathsUnder24Hrs],tblDaily[EntryDate],DATE(2026,3,26),tblDaily[WardCode],"MAE")),"")</f>
        <v/>
      </c>
      <c r="F110" s="12">
        <f>IFERROR(IF(SUMIFS(tblDaily[TransfersIn],tblDaily[EntryDate],DATE(2026,3,26),tblDaily[WardCode],"MAE")=0,"",SUMIFS(tblDaily[TransfersIn],tblDaily[EntryDate],DATE(2026,3,26),tblDaily[WardCode],"MAE")),"")</f>
        <v/>
      </c>
      <c r="G110" s="12">
        <f>IFERROR(IF(SUMIFS(tblDaily[TransfersOut],tblDaily[EntryDate],DATE(2026,3,26),tblDaily[WardCode],"MAE")=0,"",SUMIFS(tblDaily[TransfersOut],tblDaily[EntryDate],DATE(2026,3,26),tblDaily[WardCode],"MAE")),"")</f>
        <v/>
      </c>
      <c r="H110" s="12">
        <f>IFERROR(IF(SUMIFS(tblDaily[Remaining],tblDaily[EntryDate],DATE(2026,3,26),tblDaily[WardCode],"MAE")=0,"",SUMIFS(tblDaily[Remaining],tblDaily[EntryDate],DATE(2026,3,26),tblDaily[WardCode],"MAE")),"")</f>
        <v/>
      </c>
    </row>
    <row r="111">
      <c r="A111" s="12" t="n">
        <v>27</v>
      </c>
      <c r="B111" s="12">
        <f>IFERROR(IF(SUMIFS(tblDaily[Admissions],tblDaily[EntryDate],DATE(2026,3,27),tblDaily[WardCode],"MAE")=0,"",SUMIFS(tblDaily[Admissions],tblDaily[EntryDate],DATE(2026,3,27),tblDaily[WardCode],"MAE")),"")</f>
        <v/>
      </c>
      <c r="C111" s="12">
        <f>IFERROR(IF(SUMIFS(tblDaily[Discharges],tblDaily[EntryDate],DATE(2026,3,27),tblDaily[WardCode],"MAE")=0,"",SUMIFS(tblDaily[Discharges],tblDaily[EntryDate],DATE(2026,3,27),tblDaily[WardCode],"MAE")),"")</f>
        <v/>
      </c>
      <c r="D111" s="12">
        <f>IFERROR(IF(SUMIFS(tblDaily[Deaths],tblDaily[EntryDate],DATE(2026,3,27),tblDaily[WardCode],"MAE")=0,"",SUMIFS(tblDaily[Deaths],tblDaily[EntryDate],DATE(2026,3,27),tblDaily[WardCode],"MAE")),"")</f>
        <v/>
      </c>
      <c r="E111" s="12">
        <f>IFERROR(IF(SUMIFS(tblDaily[DeathsUnder24Hrs],tblDaily[EntryDate],DATE(2026,3,27),tblDaily[WardCode],"MAE")=0,"",SUMIFS(tblDaily[DeathsUnder24Hrs],tblDaily[EntryDate],DATE(2026,3,27),tblDaily[WardCode],"MAE")),"")</f>
        <v/>
      </c>
      <c r="F111" s="12">
        <f>IFERROR(IF(SUMIFS(tblDaily[TransfersIn],tblDaily[EntryDate],DATE(2026,3,27),tblDaily[WardCode],"MAE")=0,"",SUMIFS(tblDaily[TransfersIn],tblDaily[EntryDate],DATE(2026,3,27),tblDaily[WardCode],"MAE")),"")</f>
        <v/>
      </c>
      <c r="G111" s="12">
        <f>IFERROR(IF(SUMIFS(tblDaily[TransfersOut],tblDaily[EntryDate],DATE(2026,3,27),tblDaily[WardCode],"MAE")=0,"",SUMIFS(tblDaily[TransfersOut],tblDaily[EntryDate],DATE(2026,3,27),tblDaily[WardCode],"MAE")),"")</f>
        <v/>
      </c>
      <c r="H111" s="12">
        <f>IFERROR(IF(SUMIFS(tblDaily[Remaining],tblDaily[EntryDate],DATE(2026,3,27),tblDaily[WardCode],"MAE")=0,"",SUMIFS(tblDaily[Remaining],tblDaily[EntryDate],DATE(2026,3,27),tblDaily[WardCode],"MAE")),"")</f>
        <v/>
      </c>
    </row>
    <row r="112">
      <c r="A112" s="12" t="n">
        <v>28</v>
      </c>
      <c r="B112" s="12">
        <f>IFERROR(IF(SUMIFS(tblDaily[Admissions],tblDaily[EntryDate],DATE(2026,3,28),tblDaily[WardCode],"MAE")=0,"",SUMIFS(tblDaily[Admissions],tblDaily[EntryDate],DATE(2026,3,28),tblDaily[WardCode],"MAE")),"")</f>
        <v/>
      </c>
      <c r="C112" s="12">
        <f>IFERROR(IF(SUMIFS(tblDaily[Discharges],tblDaily[EntryDate],DATE(2026,3,28),tblDaily[WardCode],"MAE")=0,"",SUMIFS(tblDaily[Discharges],tblDaily[EntryDate],DATE(2026,3,28),tblDaily[WardCode],"MAE")),"")</f>
        <v/>
      </c>
      <c r="D112" s="12">
        <f>IFERROR(IF(SUMIFS(tblDaily[Deaths],tblDaily[EntryDate],DATE(2026,3,28),tblDaily[WardCode],"MAE")=0,"",SUMIFS(tblDaily[Deaths],tblDaily[EntryDate],DATE(2026,3,28),tblDaily[WardCode],"MAE")),"")</f>
        <v/>
      </c>
      <c r="E112" s="12">
        <f>IFERROR(IF(SUMIFS(tblDaily[DeathsUnder24Hrs],tblDaily[EntryDate],DATE(2026,3,28),tblDaily[WardCode],"MAE")=0,"",SUMIFS(tblDaily[DeathsUnder24Hrs],tblDaily[EntryDate],DATE(2026,3,28),tblDaily[WardCode],"MAE")),"")</f>
        <v/>
      </c>
      <c r="F112" s="12">
        <f>IFERROR(IF(SUMIFS(tblDaily[TransfersIn],tblDaily[EntryDate],DATE(2026,3,28),tblDaily[WardCode],"MAE")=0,"",SUMIFS(tblDaily[TransfersIn],tblDaily[EntryDate],DATE(2026,3,28),tblDaily[WardCode],"MAE")),"")</f>
        <v/>
      </c>
      <c r="G112" s="12">
        <f>IFERROR(IF(SUMIFS(tblDaily[TransfersOut],tblDaily[EntryDate],DATE(2026,3,28),tblDaily[WardCode],"MAE")=0,"",SUMIFS(tblDaily[TransfersOut],tblDaily[EntryDate],DATE(2026,3,28),tblDaily[WardCode],"MAE")),"")</f>
        <v/>
      </c>
      <c r="H112" s="12">
        <f>IFERROR(IF(SUMIFS(tblDaily[Remaining],tblDaily[EntryDate],DATE(2026,3,28),tblDaily[WardCode],"MAE")=0,"",SUMIFS(tblDaily[Remaining],tblDaily[EntryDate],DATE(2026,3,28),tblDaily[WardCode],"MAE")),"")</f>
        <v/>
      </c>
    </row>
    <row r="113">
      <c r="A113" s="12" t="n">
        <v>29</v>
      </c>
      <c r="B113" s="12">
        <f>IFERROR(IF(SUMIFS(tblDaily[Admissions],tblDaily[EntryDate],DATE(2026,3,29),tblDaily[WardCode],"MAE")=0,"",SUMIFS(tblDaily[Admissions],tblDaily[EntryDate],DATE(2026,3,29),tblDaily[WardCode],"MAE")),"")</f>
        <v/>
      </c>
      <c r="C113" s="12">
        <f>IFERROR(IF(SUMIFS(tblDaily[Discharges],tblDaily[EntryDate],DATE(2026,3,29),tblDaily[WardCode],"MAE")=0,"",SUMIFS(tblDaily[Discharges],tblDaily[EntryDate],DATE(2026,3,29),tblDaily[WardCode],"MAE")),"")</f>
        <v/>
      </c>
      <c r="D113" s="12">
        <f>IFERROR(IF(SUMIFS(tblDaily[Deaths],tblDaily[EntryDate],DATE(2026,3,29),tblDaily[WardCode],"MAE")=0,"",SUMIFS(tblDaily[Deaths],tblDaily[EntryDate],DATE(2026,3,29),tblDaily[WardCode],"MAE")),"")</f>
        <v/>
      </c>
      <c r="E113" s="12">
        <f>IFERROR(IF(SUMIFS(tblDaily[DeathsUnder24Hrs],tblDaily[EntryDate],DATE(2026,3,29),tblDaily[WardCode],"MAE")=0,"",SUMIFS(tblDaily[DeathsUnder24Hrs],tblDaily[EntryDate],DATE(2026,3,29),tblDaily[WardCode],"MAE")),"")</f>
        <v/>
      </c>
      <c r="F113" s="12">
        <f>IFERROR(IF(SUMIFS(tblDaily[TransfersIn],tblDaily[EntryDate],DATE(2026,3,29),tblDaily[WardCode],"MAE")=0,"",SUMIFS(tblDaily[TransfersIn],tblDaily[EntryDate],DATE(2026,3,29),tblDaily[WardCode],"MAE")),"")</f>
        <v/>
      </c>
      <c r="G113" s="12">
        <f>IFERROR(IF(SUMIFS(tblDaily[TransfersOut],tblDaily[EntryDate],DATE(2026,3,29),tblDaily[WardCode],"MAE")=0,"",SUMIFS(tblDaily[TransfersOut],tblDaily[EntryDate],DATE(2026,3,29),tblDaily[WardCode],"MAE")),"")</f>
        <v/>
      </c>
      <c r="H113" s="12">
        <f>IFERROR(IF(SUMIFS(tblDaily[Remaining],tblDaily[EntryDate],DATE(2026,3,29),tblDaily[WardCode],"MAE")=0,"",SUMIFS(tblDaily[Remaining],tblDaily[EntryDate],DATE(2026,3,29),tblDaily[WardCode],"MAE")),"")</f>
        <v/>
      </c>
    </row>
    <row r="114">
      <c r="A114" s="12" t="n">
        <v>30</v>
      </c>
      <c r="B114" s="12">
        <f>IFERROR(IF(SUMIFS(tblDaily[Admissions],tblDaily[EntryDate],DATE(2026,3,30),tblDaily[WardCode],"MAE")=0,"",SUMIFS(tblDaily[Admissions],tblDaily[EntryDate],DATE(2026,3,30),tblDaily[WardCode],"MAE")),"")</f>
        <v/>
      </c>
      <c r="C114" s="12">
        <f>IFERROR(IF(SUMIFS(tblDaily[Discharges],tblDaily[EntryDate],DATE(2026,3,30),tblDaily[WardCode],"MAE")=0,"",SUMIFS(tblDaily[Discharges],tblDaily[EntryDate],DATE(2026,3,30),tblDaily[WardCode],"MAE")),"")</f>
        <v/>
      </c>
      <c r="D114" s="12">
        <f>IFERROR(IF(SUMIFS(tblDaily[Deaths],tblDaily[EntryDate],DATE(2026,3,30),tblDaily[WardCode],"MAE")=0,"",SUMIFS(tblDaily[Deaths],tblDaily[EntryDate],DATE(2026,3,30),tblDaily[WardCode],"MAE")),"")</f>
        <v/>
      </c>
      <c r="E114" s="12">
        <f>IFERROR(IF(SUMIFS(tblDaily[DeathsUnder24Hrs],tblDaily[EntryDate],DATE(2026,3,30),tblDaily[WardCode],"MAE")=0,"",SUMIFS(tblDaily[DeathsUnder24Hrs],tblDaily[EntryDate],DATE(2026,3,30),tblDaily[WardCode],"MAE")),"")</f>
        <v/>
      </c>
      <c r="F114" s="12">
        <f>IFERROR(IF(SUMIFS(tblDaily[TransfersIn],tblDaily[EntryDate],DATE(2026,3,30),tblDaily[WardCode],"MAE")=0,"",SUMIFS(tblDaily[TransfersIn],tblDaily[EntryDate],DATE(2026,3,30),tblDaily[WardCode],"MAE")),"")</f>
        <v/>
      </c>
      <c r="G114" s="12">
        <f>IFERROR(IF(SUMIFS(tblDaily[TransfersOut],tblDaily[EntryDate],DATE(2026,3,30),tblDaily[WardCode],"MAE")=0,"",SUMIFS(tblDaily[TransfersOut],tblDaily[EntryDate],DATE(2026,3,30),tblDaily[WardCode],"MAE")),"")</f>
        <v/>
      </c>
      <c r="H114" s="12">
        <f>IFERROR(IF(SUMIFS(tblDaily[Remaining],tblDaily[EntryDate],DATE(2026,3,30),tblDaily[WardCode],"MAE")=0,"",SUMIFS(tblDaily[Remaining],tblDaily[EntryDate],DATE(2026,3,30),tblDaily[WardCode],"MAE")),"")</f>
        <v/>
      </c>
    </row>
    <row r="115">
      <c r="A115" s="12" t="n">
        <v>31</v>
      </c>
      <c r="B115" s="12">
        <f>IFERROR(IF(SUMIFS(tblDaily[Admissions],tblDaily[EntryDate],DATE(2026,3,31),tblDaily[WardCode],"MAE")=0,"",SUMIFS(tblDaily[Admissions],tblDaily[EntryDate],DATE(2026,3,31),tblDaily[WardCode],"MAE")),"")</f>
        <v/>
      </c>
      <c r="C115" s="12">
        <f>IFERROR(IF(SUMIFS(tblDaily[Discharges],tblDaily[EntryDate],DATE(2026,3,31),tblDaily[WardCode],"MAE")=0,"",SUMIFS(tblDaily[Discharges],tblDaily[EntryDate],DATE(2026,3,31),tblDaily[WardCode],"MAE")),"")</f>
        <v/>
      </c>
      <c r="D115" s="12">
        <f>IFERROR(IF(SUMIFS(tblDaily[Deaths],tblDaily[EntryDate],DATE(2026,3,31),tblDaily[WardCode],"MAE")=0,"",SUMIFS(tblDaily[Deaths],tblDaily[EntryDate],DATE(2026,3,31),tblDaily[WardCode],"MAE")),"")</f>
        <v/>
      </c>
      <c r="E115" s="12">
        <f>IFERROR(IF(SUMIFS(tblDaily[DeathsUnder24Hrs],tblDaily[EntryDate],DATE(2026,3,31),tblDaily[WardCode],"MAE")=0,"",SUMIFS(tblDaily[DeathsUnder24Hrs],tblDaily[EntryDate],DATE(2026,3,31),tblDaily[WardCode],"MAE")),"")</f>
        <v/>
      </c>
      <c r="F115" s="12">
        <f>IFERROR(IF(SUMIFS(tblDaily[TransfersIn],tblDaily[EntryDate],DATE(2026,3,31),tblDaily[WardCode],"MAE")=0,"",SUMIFS(tblDaily[TransfersIn],tblDaily[EntryDate],DATE(2026,3,31),tblDaily[WardCode],"MAE")),"")</f>
        <v/>
      </c>
      <c r="G115" s="12">
        <f>IFERROR(IF(SUMIFS(tblDaily[TransfersOut],tblDaily[EntryDate],DATE(2026,3,31),tblDaily[WardCode],"MAE")=0,"",SUMIFS(tblDaily[TransfersOut],tblDaily[EntryDate],DATE(2026,3,31),tblDaily[WardCode],"MAE")),"")</f>
        <v/>
      </c>
      <c r="H115" s="12">
        <f>IFERROR(IF(SUMIFS(tblDaily[Remaining],tblDaily[EntryDate],DATE(2026,3,31),tblDaily[WardCode],"MAE")=0,"",SUMIFS(tblDaily[Remaining],tblDaily[EntryDate],DATE(2026,3,31),tblDaily[WardCode],"MAE")),"")</f>
        <v/>
      </c>
    </row>
    <row r="116">
      <c r="A116" s="17" t="inlineStr">
        <is>
          <t>TOTAL</t>
        </is>
      </c>
      <c r="B116" s="17">
        <f>SUMIFS(tblDaily[Admissions],tblDaily[Month],3,tblDaily[WardCode],"MAE") - SUMIFS(tblDaily[DeathsUnder24Hrs],tblDaily[Month],3,tblDaily[WardCode],"MAE")</f>
        <v/>
      </c>
      <c r="C116" s="17">
        <f>SUMIFS(tblDaily[Discharges],tblDaily[Month],3,tblDaily[WardCode],"MAE")</f>
        <v/>
      </c>
      <c r="D116" s="17">
        <f>SUMIFS(tblDaily[Deaths],tblDaily[Month],3,tblDaily[WardCode],"MAE")</f>
        <v/>
      </c>
      <c r="E116" s="17">
        <f>SUMIFS(tblDaily[DeathsUnder24Hrs],tblDaily[Month],3,tblDaily[WardCode],"MAE")</f>
        <v/>
      </c>
      <c r="F116" s="17">
        <f>SUMIFS(tblDaily[TransfersIn],tblDaily[Month],3,tblDaily[WardCode],"MAE")</f>
        <v/>
      </c>
      <c r="G116" s="17">
        <f>SUMIFS(tblDaily[TransfersOut],tblDaily[Month],3,tblDaily[WardCode],"MAE")</f>
        <v/>
      </c>
      <c r="H116" s="17">
        <f>SUMIFS(tblDaily[Remaining],tblDaily[Month],3,tblDaily[WardCode],"MAE")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MALE EMERGENCY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4">
        <f>IFERROR(SUMIFS(tblDaily[Remaining],tblDaily[EntryDate],DATE(2026,3,31),tblDaily[WardCode],"MAE"),0)</f>
        <v/>
      </c>
    </row>
    <row r="122">
      <c r="A122" s="4" t="inlineStr">
        <is>
          <t>Bed complement</t>
        </is>
      </c>
      <c r="H122" s="15">
        <f>IFERROR(INDEX(tblWardConfig[BedComplement],MATCH("MAE",tblWardConfig[WardCode],0)),0)</f>
        <v/>
      </c>
    </row>
    <row r="123">
      <c r="A123" s="16" t="inlineStr">
        <is>
          <t>Day of
the
Month</t>
        </is>
      </c>
      <c r="B123" s="16" t="inlineStr">
        <is>
          <t>Admissions</t>
        </is>
      </c>
      <c r="C123" s="16" t="inlineStr">
        <is>
          <t>Discharges</t>
        </is>
      </c>
      <c r="D123" s="16" t="inlineStr">
        <is>
          <t>Deaths</t>
        </is>
      </c>
      <c r="E123" s="16" t="inlineStr">
        <is>
          <t>Deaths
&lt;24Hrs</t>
        </is>
      </c>
      <c r="F123" s="16" t="inlineStr">
        <is>
          <t>Transfers-
In</t>
        </is>
      </c>
      <c r="G123" s="16" t="inlineStr">
        <is>
          <t>Transfers-
Out</t>
        </is>
      </c>
      <c r="H123" s="16" t="inlineStr">
        <is>
          <t>No. of Patients
Remaining In
Ward</t>
        </is>
      </c>
    </row>
    <row r="124">
      <c r="A124" s="12" t="n">
        <v>1</v>
      </c>
      <c r="B124" s="12">
        <f>IFERROR(IF(SUMIFS(tblDaily[Admissions],tblDaily[EntryDate],DATE(2026,4,1),tblDaily[WardCode],"MAE")=0,"",SUMIFS(tblDaily[Admissions],tblDaily[EntryDate],DATE(2026,4,1),tblDaily[WardCode],"MAE")),"")</f>
        <v/>
      </c>
      <c r="C124" s="12">
        <f>IFERROR(IF(SUMIFS(tblDaily[Discharges],tblDaily[EntryDate],DATE(2026,4,1),tblDaily[WardCode],"MAE")=0,"",SUMIFS(tblDaily[Discharges],tblDaily[EntryDate],DATE(2026,4,1),tblDaily[WardCode],"MAE")),"")</f>
        <v/>
      </c>
      <c r="D124" s="12">
        <f>IFERROR(IF(SUMIFS(tblDaily[Deaths],tblDaily[EntryDate],DATE(2026,4,1),tblDaily[WardCode],"MAE")=0,"",SUMIFS(tblDaily[Deaths],tblDaily[EntryDate],DATE(2026,4,1),tblDaily[WardCode],"MAE")),"")</f>
        <v/>
      </c>
      <c r="E124" s="12">
        <f>IFERROR(IF(SUMIFS(tblDaily[DeathsUnder24Hrs],tblDaily[EntryDate],DATE(2026,4,1),tblDaily[WardCode],"MAE")=0,"",SUMIFS(tblDaily[DeathsUnder24Hrs],tblDaily[EntryDate],DATE(2026,4,1),tblDaily[WardCode],"MAE")),"")</f>
        <v/>
      </c>
      <c r="F124" s="12">
        <f>IFERROR(IF(SUMIFS(tblDaily[TransfersIn],tblDaily[EntryDate],DATE(2026,4,1),tblDaily[WardCode],"MAE")=0,"",SUMIFS(tblDaily[TransfersIn],tblDaily[EntryDate],DATE(2026,4,1),tblDaily[WardCode],"MAE")),"")</f>
        <v/>
      </c>
      <c r="G124" s="12">
        <f>IFERROR(IF(SUMIFS(tblDaily[TransfersOut],tblDaily[EntryDate],DATE(2026,4,1),tblDaily[WardCode],"MAE")=0,"",SUMIFS(tblDaily[TransfersOut],tblDaily[EntryDate],DATE(2026,4,1),tblDaily[WardCode],"MAE")),"")</f>
        <v/>
      </c>
      <c r="H124" s="12">
        <f>IFERROR(IF(SUMIFS(tblDaily[Remaining],tblDaily[EntryDate],DATE(2026,4,1),tblDaily[WardCode],"MAE")=0,"",SUMIFS(tblDaily[Remaining],tblDaily[EntryDate],DATE(2026,4,1),tblDaily[WardCode],"MAE")),"")</f>
        <v/>
      </c>
    </row>
    <row r="125">
      <c r="A125" s="12" t="n">
        <v>2</v>
      </c>
      <c r="B125" s="12">
        <f>IFERROR(IF(SUMIFS(tblDaily[Admissions],tblDaily[EntryDate],DATE(2026,4,2),tblDaily[WardCode],"MAE")=0,"",SUMIFS(tblDaily[Admissions],tblDaily[EntryDate],DATE(2026,4,2),tblDaily[WardCode],"MAE")),"")</f>
        <v/>
      </c>
      <c r="C125" s="12">
        <f>IFERROR(IF(SUMIFS(tblDaily[Discharges],tblDaily[EntryDate],DATE(2026,4,2),tblDaily[WardCode],"MAE")=0,"",SUMIFS(tblDaily[Discharges],tblDaily[EntryDate],DATE(2026,4,2),tblDaily[WardCode],"MAE")),"")</f>
        <v/>
      </c>
      <c r="D125" s="12">
        <f>IFERROR(IF(SUMIFS(tblDaily[Deaths],tblDaily[EntryDate],DATE(2026,4,2),tblDaily[WardCode],"MAE")=0,"",SUMIFS(tblDaily[Deaths],tblDaily[EntryDate],DATE(2026,4,2),tblDaily[WardCode],"MAE")),"")</f>
        <v/>
      </c>
      <c r="E125" s="12">
        <f>IFERROR(IF(SUMIFS(tblDaily[DeathsUnder24Hrs],tblDaily[EntryDate],DATE(2026,4,2),tblDaily[WardCode],"MAE")=0,"",SUMIFS(tblDaily[DeathsUnder24Hrs],tblDaily[EntryDate],DATE(2026,4,2),tblDaily[WardCode],"MAE")),"")</f>
        <v/>
      </c>
      <c r="F125" s="12">
        <f>IFERROR(IF(SUMIFS(tblDaily[TransfersIn],tblDaily[EntryDate],DATE(2026,4,2),tblDaily[WardCode],"MAE")=0,"",SUMIFS(tblDaily[TransfersIn],tblDaily[EntryDate],DATE(2026,4,2),tblDaily[WardCode],"MAE")),"")</f>
        <v/>
      </c>
      <c r="G125" s="12">
        <f>IFERROR(IF(SUMIFS(tblDaily[TransfersOut],tblDaily[EntryDate],DATE(2026,4,2),tblDaily[WardCode],"MAE")=0,"",SUMIFS(tblDaily[TransfersOut],tblDaily[EntryDate],DATE(2026,4,2),tblDaily[WardCode],"MAE")),"")</f>
        <v/>
      </c>
      <c r="H125" s="12">
        <f>IFERROR(IF(SUMIFS(tblDaily[Remaining],tblDaily[EntryDate],DATE(2026,4,2),tblDaily[WardCode],"MAE")=0,"",SUMIFS(tblDaily[Remaining],tblDaily[EntryDate],DATE(2026,4,2),tblDaily[WardCode],"MAE")),"")</f>
        <v/>
      </c>
    </row>
    <row r="126">
      <c r="A126" s="12" t="n">
        <v>3</v>
      </c>
      <c r="B126" s="12">
        <f>IFERROR(IF(SUMIFS(tblDaily[Admissions],tblDaily[EntryDate],DATE(2026,4,3),tblDaily[WardCode],"MAE")=0,"",SUMIFS(tblDaily[Admissions],tblDaily[EntryDate],DATE(2026,4,3),tblDaily[WardCode],"MAE")),"")</f>
        <v/>
      </c>
      <c r="C126" s="12">
        <f>IFERROR(IF(SUMIFS(tblDaily[Discharges],tblDaily[EntryDate],DATE(2026,4,3),tblDaily[WardCode],"MAE")=0,"",SUMIFS(tblDaily[Discharges],tblDaily[EntryDate],DATE(2026,4,3),tblDaily[WardCode],"MAE")),"")</f>
        <v/>
      </c>
      <c r="D126" s="12">
        <f>IFERROR(IF(SUMIFS(tblDaily[Deaths],tblDaily[EntryDate],DATE(2026,4,3),tblDaily[WardCode],"MAE")=0,"",SUMIFS(tblDaily[Deaths],tblDaily[EntryDate],DATE(2026,4,3),tblDaily[WardCode],"MAE")),"")</f>
        <v/>
      </c>
      <c r="E126" s="12">
        <f>IFERROR(IF(SUMIFS(tblDaily[DeathsUnder24Hrs],tblDaily[EntryDate],DATE(2026,4,3),tblDaily[WardCode],"MAE")=0,"",SUMIFS(tblDaily[DeathsUnder24Hrs],tblDaily[EntryDate],DATE(2026,4,3),tblDaily[WardCode],"MAE")),"")</f>
        <v/>
      </c>
      <c r="F126" s="12">
        <f>IFERROR(IF(SUMIFS(tblDaily[TransfersIn],tblDaily[EntryDate],DATE(2026,4,3),tblDaily[WardCode],"MAE")=0,"",SUMIFS(tblDaily[TransfersIn],tblDaily[EntryDate],DATE(2026,4,3),tblDaily[WardCode],"MAE")),"")</f>
        <v/>
      </c>
      <c r="G126" s="12">
        <f>IFERROR(IF(SUMIFS(tblDaily[TransfersOut],tblDaily[EntryDate],DATE(2026,4,3),tblDaily[WardCode],"MAE")=0,"",SUMIFS(tblDaily[TransfersOut],tblDaily[EntryDate],DATE(2026,4,3),tblDaily[WardCode],"MAE")),"")</f>
        <v/>
      </c>
      <c r="H126" s="12">
        <f>IFERROR(IF(SUMIFS(tblDaily[Remaining],tblDaily[EntryDate],DATE(2026,4,3),tblDaily[WardCode],"MAE")=0,"",SUMIFS(tblDaily[Remaining],tblDaily[EntryDate],DATE(2026,4,3),tblDaily[WardCode],"MAE")),"")</f>
        <v/>
      </c>
    </row>
    <row r="127">
      <c r="A127" s="12" t="n">
        <v>4</v>
      </c>
      <c r="B127" s="12">
        <f>IFERROR(IF(SUMIFS(tblDaily[Admissions],tblDaily[EntryDate],DATE(2026,4,4),tblDaily[WardCode],"MAE")=0,"",SUMIFS(tblDaily[Admissions],tblDaily[EntryDate],DATE(2026,4,4),tblDaily[WardCode],"MAE")),"")</f>
        <v/>
      </c>
      <c r="C127" s="12">
        <f>IFERROR(IF(SUMIFS(tblDaily[Discharges],tblDaily[EntryDate],DATE(2026,4,4),tblDaily[WardCode],"MAE")=0,"",SUMIFS(tblDaily[Discharges],tblDaily[EntryDate],DATE(2026,4,4),tblDaily[WardCode],"MAE")),"")</f>
        <v/>
      </c>
      <c r="D127" s="12">
        <f>IFERROR(IF(SUMIFS(tblDaily[Deaths],tblDaily[EntryDate],DATE(2026,4,4),tblDaily[WardCode],"MAE")=0,"",SUMIFS(tblDaily[Deaths],tblDaily[EntryDate],DATE(2026,4,4),tblDaily[WardCode],"MAE")),"")</f>
        <v/>
      </c>
      <c r="E127" s="12">
        <f>IFERROR(IF(SUMIFS(tblDaily[DeathsUnder24Hrs],tblDaily[EntryDate],DATE(2026,4,4),tblDaily[WardCode],"MAE")=0,"",SUMIFS(tblDaily[DeathsUnder24Hrs],tblDaily[EntryDate],DATE(2026,4,4),tblDaily[WardCode],"MAE")),"")</f>
        <v/>
      </c>
      <c r="F127" s="12">
        <f>IFERROR(IF(SUMIFS(tblDaily[TransfersIn],tblDaily[EntryDate],DATE(2026,4,4),tblDaily[WardCode],"MAE")=0,"",SUMIFS(tblDaily[TransfersIn],tblDaily[EntryDate],DATE(2026,4,4),tblDaily[WardCode],"MAE")),"")</f>
        <v/>
      </c>
      <c r="G127" s="12">
        <f>IFERROR(IF(SUMIFS(tblDaily[TransfersOut],tblDaily[EntryDate],DATE(2026,4,4),tblDaily[WardCode],"MAE")=0,"",SUMIFS(tblDaily[TransfersOut],tblDaily[EntryDate],DATE(2026,4,4),tblDaily[WardCode],"MAE")),"")</f>
        <v/>
      </c>
      <c r="H127" s="12">
        <f>IFERROR(IF(SUMIFS(tblDaily[Remaining],tblDaily[EntryDate],DATE(2026,4,4),tblDaily[WardCode],"MAE")=0,"",SUMIFS(tblDaily[Remaining],tblDaily[EntryDate],DATE(2026,4,4),tblDaily[WardCode],"MAE")),"")</f>
        <v/>
      </c>
    </row>
    <row r="128">
      <c r="A128" s="12" t="n">
        <v>5</v>
      </c>
      <c r="B128" s="12">
        <f>IFERROR(IF(SUMIFS(tblDaily[Admissions],tblDaily[EntryDate],DATE(2026,4,5),tblDaily[WardCode],"MAE")=0,"",SUMIFS(tblDaily[Admissions],tblDaily[EntryDate],DATE(2026,4,5),tblDaily[WardCode],"MAE")),"")</f>
        <v/>
      </c>
      <c r="C128" s="12">
        <f>IFERROR(IF(SUMIFS(tblDaily[Discharges],tblDaily[EntryDate],DATE(2026,4,5),tblDaily[WardCode],"MAE")=0,"",SUMIFS(tblDaily[Discharges],tblDaily[EntryDate],DATE(2026,4,5),tblDaily[WardCode],"MAE")),"")</f>
        <v/>
      </c>
      <c r="D128" s="12">
        <f>IFERROR(IF(SUMIFS(tblDaily[Deaths],tblDaily[EntryDate],DATE(2026,4,5),tblDaily[WardCode],"MAE")=0,"",SUMIFS(tblDaily[Deaths],tblDaily[EntryDate],DATE(2026,4,5),tblDaily[WardCode],"MAE")),"")</f>
        <v/>
      </c>
      <c r="E128" s="12">
        <f>IFERROR(IF(SUMIFS(tblDaily[DeathsUnder24Hrs],tblDaily[EntryDate],DATE(2026,4,5),tblDaily[WardCode],"MAE")=0,"",SUMIFS(tblDaily[DeathsUnder24Hrs],tblDaily[EntryDate],DATE(2026,4,5),tblDaily[WardCode],"MAE")),"")</f>
        <v/>
      </c>
      <c r="F128" s="12">
        <f>IFERROR(IF(SUMIFS(tblDaily[TransfersIn],tblDaily[EntryDate],DATE(2026,4,5),tblDaily[WardCode],"MAE")=0,"",SUMIFS(tblDaily[TransfersIn],tblDaily[EntryDate],DATE(2026,4,5),tblDaily[WardCode],"MAE")),"")</f>
        <v/>
      </c>
      <c r="G128" s="12">
        <f>IFERROR(IF(SUMIFS(tblDaily[TransfersOut],tblDaily[EntryDate],DATE(2026,4,5),tblDaily[WardCode],"MAE")=0,"",SUMIFS(tblDaily[TransfersOut],tblDaily[EntryDate],DATE(2026,4,5),tblDaily[WardCode],"MAE")),"")</f>
        <v/>
      </c>
      <c r="H128" s="12">
        <f>IFERROR(IF(SUMIFS(tblDaily[Remaining],tblDaily[EntryDate],DATE(2026,4,5),tblDaily[WardCode],"MAE")=0,"",SUMIFS(tblDaily[Remaining],tblDaily[EntryDate],DATE(2026,4,5),tblDaily[WardCode],"MAE")),"")</f>
        <v/>
      </c>
    </row>
    <row r="129">
      <c r="A129" s="12" t="n">
        <v>6</v>
      </c>
      <c r="B129" s="12">
        <f>IFERROR(IF(SUMIFS(tblDaily[Admissions],tblDaily[EntryDate],DATE(2026,4,6),tblDaily[WardCode],"MAE")=0,"",SUMIFS(tblDaily[Admissions],tblDaily[EntryDate],DATE(2026,4,6),tblDaily[WardCode],"MAE")),"")</f>
        <v/>
      </c>
      <c r="C129" s="12">
        <f>IFERROR(IF(SUMIFS(tblDaily[Discharges],tblDaily[EntryDate],DATE(2026,4,6),tblDaily[WardCode],"MAE")=0,"",SUMIFS(tblDaily[Discharges],tblDaily[EntryDate],DATE(2026,4,6),tblDaily[WardCode],"MAE")),"")</f>
        <v/>
      </c>
      <c r="D129" s="12">
        <f>IFERROR(IF(SUMIFS(tblDaily[Deaths],tblDaily[EntryDate],DATE(2026,4,6),tblDaily[WardCode],"MAE")=0,"",SUMIFS(tblDaily[Deaths],tblDaily[EntryDate],DATE(2026,4,6),tblDaily[WardCode],"MAE")),"")</f>
        <v/>
      </c>
      <c r="E129" s="12">
        <f>IFERROR(IF(SUMIFS(tblDaily[DeathsUnder24Hrs],tblDaily[EntryDate],DATE(2026,4,6),tblDaily[WardCode],"MAE")=0,"",SUMIFS(tblDaily[DeathsUnder24Hrs],tblDaily[EntryDate],DATE(2026,4,6),tblDaily[WardCode],"MAE")),"")</f>
        <v/>
      </c>
      <c r="F129" s="12">
        <f>IFERROR(IF(SUMIFS(tblDaily[TransfersIn],tblDaily[EntryDate],DATE(2026,4,6),tblDaily[WardCode],"MAE")=0,"",SUMIFS(tblDaily[TransfersIn],tblDaily[EntryDate],DATE(2026,4,6),tblDaily[WardCode],"MAE")),"")</f>
        <v/>
      </c>
      <c r="G129" s="12">
        <f>IFERROR(IF(SUMIFS(tblDaily[TransfersOut],tblDaily[EntryDate],DATE(2026,4,6),tblDaily[WardCode],"MAE")=0,"",SUMIFS(tblDaily[TransfersOut],tblDaily[EntryDate],DATE(2026,4,6),tblDaily[WardCode],"MAE")),"")</f>
        <v/>
      </c>
      <c r="H129" s="12">
        <f>IFERROR(IF(SUMIFS(tblDaily[Remaining],tblDaily[EntryDate],DATE(2026,4,6),tblDaily[WardCode],"MAE")=0,"",SUMIFS(tblDaily[Remaining],tblDaily[EntryDate],DATE(2026,4,6),tblDaily[WardCode],"MAE")),"")</f>
        <v/>
      </c>
    </row>
    <row r="130">
      <c r="A130" s="12" t="n">
        <v>7</v>
      </c>
      <c r="B130" s="12">
        <f>IFERROR(IF(SUMIFS(tblDaily[Admissions],tblDaily[EntryDate],DATE(2026,4,7),tblDaily[WardCode],"MAE")=0,"",SUMIFS(tblDaily[Admissions],tblDaily[EntryDate],DATE(2026,4,7),tblDaily[WardCode],"MAE")),"")</f>
        <v/>
      </c>
      <c r="C130" s="12">
        <f>IFERROR(IF(SUMIFS(tblDaily[Discharges],tblDaily[EntryDate],DATE(2026,4,7),tblDaily[WardCode],"MAE")=0,"",SUMIFS(tblDaily[Discharges],tblDaily[EntryDate],DATE(2026,4,7),tblDaily[WardCode],"MAE")),"")</f>
        <v/>
      </c>
      <c r="D130" s="12">
        <f>IFERROR(IF(SUMIFS(tblDaily[Deaths],tblDaily[EntryDate],DATE(2026,4,7),tblDaily[WardCode],"MAE")=0,"",SUMIFS(tblDaily[Deaths],tblDaily[EntryDate],DATE(2026,4,7),tblDaily[WardCode],"MAE")),"")</f>
        <v/>
      </c>
      <c r="E130" s="12">
        <f>IFERROR(IF(SUMIFS(tblDaily[DeathsUnder24Hrs],tblDaily[EntryDate],DATE(2026,4,7),tblDaily[WardCode],"MAE")=0,"",SUMIFS(tblDaily[DeathsUnder24Hrs],tblDaily[EntryDate],DATE(2026,4,7),tblDaily[WardCode],"MAE")),"")</f>
        <v/>
      </c>
      <c r="F130" s="12">
        <f>IFERROR(IF(SUMIFS(tblDaily[TransfersIn],tblDaily[EntryDate],DATE(2026,4,7),tblDaily[WardCode],"MAE")=0,"",SUMIFS(tblDaily[TransfersIn],tblDaily[EntryDate],DATE(2026,4,7),tblDaily[WardCode],"MAE")),"")</f>
        <v/>
      </c>
      <c r="G130" s="12">
        <f>IFERROR(IF(SUMIFS(tblDaily[TransfersOut],tblDaily[EntryDate],DATE(2026,4,7),tblDaily[WardCode],"MAE")=0,"",SUMIFS(tblDaily[TransfersOut],tblDaily[EntryDate],DATE(2026,4,7),tblDaily[WardCode],"MAE")),"")</f>
        <v/>
      </c>
      <c r="H130" s="12">
        <f>IFERROR(IF(SUMIFS(tblDaily[Remaining],tblDaily[EntryDate],DATE(2026,4,7),tblDaily[WardCode],"MAE")=0,"",SUMIFS(tblDaily[Remaining],tblDaily[EntryDate],DATE(2026,4,7),tblDaily[WardCode],"MAE")),"")</f>
        <v/>
      </c>
    </row>
    <row r="131">
      <c r="A131" s="12" t="n">
        <v>8</v>
      </c>
      <c r="B131" s="12">
        <f>IFERROR(IF(SUMIFS(tblDaily[Admissions],tblDaily[EntryDate],DATE(2026,4,8),tblDaily[WardCode],"MAE")=0,"",SUMIFS(tblDaily[Admissions],tblDaily[EntryDate],DATE(2026,4,8),tblDaily[WardCode],"MAE")),"")</f>
        <v/>
      </c>
      <c r="C131" s="12">
        <f>IFERROR(IF(SUMIFS(tblDaily[Discharges],tblDaily[EntryDate],DATE(2026,4,8),tblDaily[WardCode],"MAE")=0,"",SUMIFS(tblDaily[Discharges],tblDaily[EntryDate],DATE(2026,4,8),tblDaily[WardCode],"MAE")),"")</f>
        <v/>
      </c>
      <c r="D131" s="12">
        <f>IFERROR(IF(SUMIFS(tblDaily[Deaths],tblDaily[EntryDate],DATE(2026,4,8),tblDaily[WardCode],"MAE")=0,"",SUMIFS(tblDaily[Deaths],tblDaily[EntryDate],DATE(2026,4,8),tblDaily[WardCode],"MAE")),"")</f>
        <v/>
      </c>
      <c r="E131" s="12">
        <f>IFERROR(IF(SUMIFS(tblDaily[DeathsUnder24Hrs],tblDaily[EntryDate],DATE(2026,4,8),tblDaily[WardCode],"MAE")=0,"",SUMIFS(tblDaily[DeathsUnder24Hrs],tblDaily[EntryDate],DATE(2026,4,8),tblDaily[WardCode],"MAE")),"")</f>
        <v/>
      </c>
      <c r="F131" s="12">
        <f>IFERROR(IF(SUMIFS(tblDaily[TransfersIn],tblDaily[EntryDate],DATE(2026,4,8),tblDaily[WardCode],"MAE")=0,"",SUMIFS(tblDaily[TransfersIn],tblDaily[EntryDate],DATE(2026,4,8),tblDaily[WardCode],"MAE")),"")</f>
        <v/>
      </c>
      <c r="G131" s="12">
        <f>IFERROR(IF(SUMIFS(tblDaily[TransfersOut],tblDaily[EntryDate],DATE(2026,4,8),tblDaily[WardCode],"MAE")=0,"",SUMIFS(tblDaily[TransfersOut],tblDaily[EntryDate],DATE(2026,4,8),tblDaily[WardCode],"MAE")),"")</f>
        <v/>
      </c>
      <c r="H131" s="12">
        <f>IFERROR(IF(SUMIFS(tblDaily[Remaining],tblDaily[EntryDate],DATE(2026,4,8),tblDaily[WardCode],"MAE")=0,"",SUMIFS(tblDaily[Remaining],tblDaily[EntryDate],DATE(2026,4,8),tblDaily[WardCode],"MAE")),"")</f>
        <v/>
      </c>
    </row>
    <row r="132">
      <c r="A132" s="12" t="n">
        <v>9</v>
      </c>
      <c r="B132" s="12">
        <f>IFERROR(IF(SUMIFS(tblDaily[Admissions],tblDaily[EntryDate],DATE(2026,4,9),tblDaily[WardCode],"MAE")=0,"",SUMIFS(tblDaily[Admissions],tblDaily[EntryDate],DATE(2026,4,9),tblDaily[WardCode],"MAE")),"")</f>
        <v/>
      </c>
      <c r="C132" s="12">
        <f>IFERROR(IF(SUMIFS(tblDaily[Discharges],tblDaily[EntryDate],DATE(2026,4,9),tblDaily[WardCode],"MAE")=0,"",SUMIFS(tblDaily[Discharges],tblDaily[EntryDate],DATE(2026,4,9),tblDaily[WardCode],"MAE")),"")</f>
        <v/>
      </c>
      <c r="D132" s="12">
        <f>IFERROR(IF(SUMIFS(tblDaily[Deaths],tblDaily[EntryDate],DATE(2026,4,9),tblDaily[WardCode],"MAE")=0,"",SUMIFS(tblDaily[Deaths],tblDaily[EntryDate],DATE(2026,4,9),tblDaily[WardCode],"MAE")),"")</f>
        <v/>
      </c>
      <c r="E132" s="12">
        <f>IFERROR(IF(SUMIFS(tblDaily[DeathsUnder24Hrs],tblDaily[EntryDate],DATE(2026,4,9),tblDaily[WardCode],"MAE")=0,"",SUMIFS(tblDaily[DeathsUnder24Hrs],tblDaily[EntryDate],DATE(2026,4,9),tblDaily[WardCode],"MAE")),"")</f>
        <v/>
      </c>
      <c r="F132" s="12">
        <f>IFERROR(IF(SUMIFS(tblDaily[TransfersIn],tblDaily[EntryDate],DATE(2026,4,9),tblDaily[WardCode],"MAE")=0,"",SUMIFS(tblDaily[TransfersIn],tblDaily[EntryDate],DATE(2026,4,9),tblDaily[WardCode],"MAE")),"")</f>
        <v/>
      </c>
      <c r="G132" s="12">
        <f>IFERROR(IF(SUMIFS(tblDaily[TransfersOut],tblDaily[EntryDate],DATE(2026,4,9),tblDaily[WardCode],"MAE")=0,"",SUMIFS(tblDaily[TransfersOut],tblDaily[EntryDate],DATE(2026,4,9),tblDaily[WardCode],"MAE")),"")</f>
        <v/>
      </c>
      <c r="H132" s="12">
        <f>IFERROR(IF(SUMIFS(tblDaily[Remaining],tblDaily[EntryDate],DATE(2026,4,9),tblDaily[WardCode],"MAE")=0,"",SUMIFS(tblDaily[Remaining],tblDaily[EntryDate],DATE(2026,4,9),tblDaily[WardCode],"MAE")),"")</f>
        <v/>
      </c>
    </row>
    <row r="133">
      <c r="A133" s="12" t="n">
        <v>10</v>
      </c>
      <c r="B133" s="12">
        <f>IFERROR(IF(SUMIFS(tblDaily[Admissions],tblDaily[EntryDate],DATE(2026,4,10),tblDaily[WardCode],"MAE")=0,"",SUMIFS(tblDaily[Admissions],tblDaily[EntryDate],DATE(2026,4,10),tblDaily[WardCode],"MAE")),"")</f>
        <v/>
      </c>
      <c r="C133" s="12">
        <f>IFERROR(IF(SUMIFS(tblDaily[Discharges],tblDaily[EntryDate],DATE(2026,4,10),tblDaily[WardCode],"MAE")=0,"",SUMIFS(tblDaily[Discharges],tblDaily[EntryDate],DATE(2026,4,10),tblDaily[WardCode],"MAE")),"")</f>
        <v/>
      </c>
      <c r="D133" s="12">
        <f>IFERROR(IF(SUMIFS(tblDaily[Deaths],tblDaily[EntryDate],DATE(2026,4,10),tblDaily[WardCode],"MAE")=0,"",SUMIFS(tblDaily[Deaths],tblDaily[EntryDate],DATE(2026,4,10),tblDaily[WardCode],"MAE")),"")</f>
        <v/>
      </c>
      <c r="E133" s="12">
        <f>IFERROR(IF(SUMIFS(tblDaily[DeathsUnder24Hrs],tblDaily[EntryDate],DATE(2026,4,10),tblDaily[WardCode],"MAE")=0,"",SUMIFS(tblDaily[DeathsUnder24Hrs],tblDaily[EntryDate],DATE(2026,4,10),tblDaily[WardCode],"MAE")),"")</f>
        <v/>
      </c>
      <c r="F133" s="12">
        <f>IFERROR(IF(SUMIFS(tblDaily[TransfersIn],tblDaily[EntryDate],DATE(2026,4,10),tblDaily[WardCode],"MAE")=0,"",SUMIFS(tblDaily[TransfersIn],tblDaily[EntryDate],DATE(2026,4,10),tblDaily[WardCode],"MAE")),"")</f>
        <v/>
      </c>
      <c r="G133" s="12">
        <f>IFERROR(IF(SUMIFS(tblDaily[TransfersOut],tblDaily[EntryDate],DATE(2026,4,10),tblDaily[WardCode],"MAE")=0,"",SUMIFS(tblDaily[TransfersOut],tblDaily[EntryDate],DATE(2026,4,10),tblDaily[WardCode],"MAE")),"")</f>
        <v/>
      </c>
      <c r="H133" s="12">
        <f>IFERROR(IF(SUMIFS(tblDaily[Remaining],tblDaily[EntryDate],DATE(2026,4,10),tblDaily[WardCode],"MAE")=0,"",SUMIFS(tblDaily[Remaining],tblDaily[EntryDate],DATE(2026,4,10),tblDaily[WardCode],"MAE")),"")</f>
        <v/>
      </c>
    </row>
    <row r="134">
      <c r="A134" s="12" t="n">
        <v>11</v>
      </c>
      <c r="B134" s="12">
        <f>IFERROR(IF(SUMIFS(tblDaily[Admissions],tblDaily[EntryDate],DATE(2026,4,11),tblDaily[WardCode],"MAE")=0,"",SUMIFS(tblDaily[Admissions],tblDaily[EntryDate],DATE(2026,4,11),tblDaily[WardCode],"MAE")),"")</f>
        <v/>
      </c>
      <c r="C134" s="12">
        <f>IFERROR(IF(SUMIFS(tblDaily[Discharges],tblDaily[EntryDate],DATE(2026,4,11),tblDaily[WardCode],"MAE")=0,"",SUMIFS(tblDaily[Discharges],tblDaily[EntryDate],DATE(2026,4,11),tblDaily[WardCode],"MAE")),"")</f>
        <v/>
      </c>
      <c r="D134" s="12">
        <f>IFERROR(IF(SUMIFS(tblDaily[Deaths],tblDaily[EntryDate],DATE(2026,4,11),tblDaily[WardCode],"MAE")=0,"",SUMIFS(tblDaily[Deaths],tblDaily[EntryDate],DATE(2026,4,11),tblDaily[WardCode],"MAE")),"")</f>
        <v/>
      </c>
      <c r="E134" s="12">
        <f>IFERROR(IF(SUMIFS(tblDaily[DeathsUnder24Hrs],tblDaily[EntryDate],DATE(2026,4,11),tblDaily[WardCode],"MAE")=0,"",SUMIFS(tblDaily[DeathsUnder24Hrs],tblDaily[EntryDate],DATE(2026,4,11),tblDaily[WardCode],"MAE")),"")</f>
        <v/>
      </c>
      <c r="F134" s="12">
        <f>IFERROR(IF(SUMIFS(tblDaily[TransfersIn],tblDaily[EntryDate],DATE(2026,4,11),tblDaily[WardCode],"MAE")=0,"",SUMIFS(tblDaily[TransfersIn],tblDaily[EntryDate],DATE(2026,4,11),tblDaily[WardCode],"MAE")),"")</f>
        <v/>
      </c>
      <c r="G134" s="12">
        <f>IFERROR(IF(SUMIFS(tblDaily[TransfersOut],tblDaily[EntryDate],DATE(2026,4,11),tblDaily[WardCode],"MAE")=0,"",SUMIFS(tblDaily[TransfersOut],tblDaily[EntryDate],DATE(2026,4,11),tblDaily[WardCode],"MAE")),"")</f>
        <v/>
      </c>
      <c r="H134" s="12">
        <f>IFERROR(IF(SUMIFS(tblDaily[Remaining],tblDaily[EntryDate],DATE(2026,4,11),tblDaily[WardCode],"MAE")=0,"",SUMIFS(tblDaily[Remaining],tblDaily[EntryDate],DATE(2026,4,11),tblDaily[WardCode],"MAE")),"")</f>
        <v/>
      </c>
    </row>
    <row r="135">
      <c r="A135" s="12" t="n">
        <v>12</v>
      </c>
      <c r="B135" s="12">
        <f>IFERROR(IF(SUMIFS(tblDaily[Admissions],tblDaily[EntryDate],DATE(2026,4,12),tblDaily[WardCode],"MAE")=0,"",SUMIFS(tblDaily[Admissions],tblDaily[EntryDate],DATE(2026,4,12),tblDaily[WardCode],"MAE")),"")</f>
        <v/>
      </c>
      <c r="C135" s="12">
        <f>IFERROR(IF(SUMIFS(tblDaily[Discharges],tblDaily[EntryDate],DATE(2026,4,12),tblDaily[WardCode],"MAE")=0,"",SUMIFS(tblDaily[Discharges],tblDaily[EntryDate],DATE(2026,4,12),tblDaily[WardCode],"MAE")),"")</f>
        <v/>
      </c>
      <c r="D135" s="12">
        <f>IFERROR(IF(SUMIFS(tblDaily[Deaths],tblDaily[EntryDate],DATE(2026,4,12),tblDaily[WardCode],"MAE")=0,"",SUMIFS(tblDaily[Deaths],tblDaily[EntryDate],DATE(2026,4,12),tblDaily[WardCode],"MAE")),"")</f>
        <v/>
      </c>
      <c r="E135" s="12">
        <f>IFERROR(IF(SUMIFS(tblDaily[DeathsUnder24Hrs],tblDaily[EntryDate],DATE(2026,4,12),tblDaily[WardCode],"MAE")=0,"",SUMIFS(tblDaily[DeathsUnder24Hrs],tblDaily[EntryDate],DATE(2026,4,12),tblDaily[WardCode],"MAE")),"")</f>
        <v/>
      </c>
      <c r="F135" s="12">
        <f>IFERROR(IF(SUMIFS(tblDaily[TransfersIn],tblDaily[EntryDate],DATE(2026,4,12),tblDaily[WardCode],"MAE")=0,"",SUMIFS(tblDaily[TransfersIn],tblDaily[EntryDate],DATE(2026,4,12),tblDaily[WardCode],"MAE")),"")</f>
        <v/>
      </c>
      <c r="G135" s="12">
        <f>IFERROR(IF(SUMIFS(tblDaily[TransfersOut],tblDaily[EntryDate],DATE(2026,4,12),tblDaily[WardCode],"MAE")=0,"",SUMIFS(tblDaily[TransfersOut],tblDaily[EntryDate],DATE(2026,4,12),tblDaily[WardCode],"MAE")),"")</f>
        <v/>
      </c>
      <c r="H135" s="12">
        <f>IFERROR(IF(SUMIFS(tblDaily[Remaining],tblDaily[EntryDate],DATE(2026,4,12),tblDaily[WardCode],"MAE")=0,"",SUMIFS(tblDaily[Remaining],tblDaily[EntryDate],DATE(2026,4,12),tblDaily[WardCode],"MAE")),"")</f>
        <v/>
      </c>
    </row>
    <row r="136">
      <c r="A136" s="12" t="n">
        <v>13</v>
      </c>
      <c r="B136" s="12">
        <f>IFERROR(IF(SUMIFS(tblDaily[Admissions],tblDaily[EntryDate],DATE(2026,4,13),tblDaily[WardCode],"MAE")=0,"",SUMIFS(tblDaily[Admissions],tblDaily[EntryDate],DATE(2026,4,13),tblDaily[WardCode],"MAE")),"")</f>
        <v/>
      </c>
      <c r="C136" s="12">
        <f>IFERROR(IF(SUMIFS(tblDaily[Discharges],tblDaily[EntryDate],DATE(2026,4,13),tblDaily[WardCode],"MAE")=0,"",SUMIFS(tblDaily[Discharges],tblDaily[EntryDate],DATE(2026,4,13),tblDaily[WardCode],"MAE")),"")</f>
        <v/>
      </c>
      <c r="D136" s="12">
        <f>IFERROR(IF(SUMIFS(tblDaily[Deaths],tblDaily[EntryDate],DATE(2026,4,13),tblDaily[WardCode],"MAE")=0,"",SUMIFS(tblDaily[Deaths],tblDaily[EntryDate],DATE(2026,4,13),tblDaily[WardCode],"MAE")),"")</f>
        <v/>
      </c>
      <c r="E136" s="12">
        <f>IFERROR(IF(SUMIFS(tblDaily[DeathsUnder24Hrs],tblDaily[EntryDate],DATE(2026,4,13),tblDaily[WardCode],"MAE")=0,"",SUMIFS(tblDaily[DeathsUnder24Hrs],tblDaily[EntryDate],DATE(2026,4,13),tblDaily[WardCode],"MAE")),"")</f>
        <v/>
      </c>
      <c r="F136" s="12">
        <f>IFERROR(IF(SUMIFS(tblDaily[TransfersIn],tblDaily[EntryDate],DATE(2026,4,13),tblDaily[WardCode],"MAE")=0,"",SUMIFS(tblDaily[TransfersIn],tblDaily[EntryDate],DATE(2026,4,13),tblDaily[WardCode],"MAE")),"")</f>
        <v/>
      </c>
      <c r="G136" s="12">
        <f>IFERROR(IF(SUMIFS(tblDaily[TransfersOut],tblDaily[EntryDate],DATE(2026,4,13),tblDaily[WardCode],"MAE")=0,"",SUMIFS(tblDaily[TransfersOut],tblDaily[EntryDate],DATE(2026,4,13),tblDaily[WardCode],"MAE")),"")</f>
        <v/>
      </c>
      <c r="H136" s="12">
        <f>IFERROR(IF(SUMIFS(tblDaily[Remaining],tblDaily[EntryDate],DATE(2026,4,13),tblDaily[WardCode],"MAE")=0,"",SUMIFS(tblDaily[Remaining],tblDaily[EntryDate],DATE(2026,4,13),tblDaily[WardCode],"MAE")),"")</f>
        <v/>
      </c>
    </row>
    <row r="137">
      <c r="A137" s="12" t="n">
        <v>14</v>
      </c>
      <c r="B137" s="12">
        <f>IFERROR(IF(SUMIFS(tblDaily[Admissions],tblDaily[EntryDate],DATE(2026,4,14),tblDaily[WardCode],"MAE")=0,"",SUMIFS(tblDaily[Admissions],tblDaily[EntryDate],DATE(2026,4,14),tblDaily[WardCode],"MAE")),"")</f>
        <v/>
      </c>
      <c r="C137" s="12">
        <f>IFERROR(IF(SUMIFS(tblDaily[Discharges],tblDaily[EntryDate],DATE(2026,4,14),tblDaily[WardCode],"MAE")=0,"",SUMIFS(tblDaily[Discharges],tblDaily[EntryDate],DATE(2026,4,14),tblDaily[WardCode],"MAE")),"")</f>
        <v/>
      </c>
      <c r="D137" s="12">
        <f>IFERROR(IF(SUMIFS(tblDaily[Deaths],tblDaily[EntryDate],DATE(2026,4,14),tblDaily[WardCode],"MAE")=0,"",SUMIFS(tblDaily[Deaths],tblDaily[EntryDate],DATE(2026,4,14),tblDaily[WardCode],"MAE")),"")</f>
        <v/>
      </c>
      <c r="E137" s="12">
        <f>IFERROR(IF(SUMIFS(tblDaily[DeathsUnder24Hrs],tblDaily[EntryDate],DATE(2026,4,14),tblDaily[WardCode],"MAE")=0,"",SUMIFS(tblDaily[DeathsUnder24Hrs],tblDaily[EntryDate],DATE(2026,4,14),tblDaily[WardCode],"MAE")),"")</f>
        <v/>
      </c>
      <c r="F137" s="12">
        <f>IFERROR(IF(SUMIFS(tblDaily[TransfersIn],tblDaily[EntryDate],DATE(2026,4,14),tblDaily[WardCode],"MAE")=0,"",SUMIFS(tblDaily[TransfersIn],tblDaily[EntryDate],DATE(2026,4,14),tblDaily[WardCode],"MAE")),"")</f>
        <v/>
      </c>
      <c r="G137" s="12">
        <f>IFERROR(IF(SUMIFS(tblDaily[TransfersOut],tblDaily[EntryDate],DATE(2026,4,14),tblDaily[WardCode],"MAE")=0,"",SUMIFS(tblDaily[TransfersOut],tblDaily[EntryDate],DATE(2026,4,14),tblDaily[WardCode],"MAE")),"")</f>
        <v/>
      </c>
      <c r="H137" s="12">
        <f>IFERROR(IF(SUMIFS(tblDaily[Remaining],tblDaily[EntryDate],DATE(2026,4,14),tblDaily[WardCode],"MAE")=0,"",SUMIFS(tblDaily[Remaining],tblDaily[EntryDate],DATE(2026,4,14),tblDaily[WardCode],"MAE")),"")</f>
        <v/>
      </c>
    </row>
    <row r="138">
      <c r="A138" s="12" t="n">
        <v>15</v>
      </c>
      <c r="B138" s="12">
        <f>IFERROR(IF(SUMIFS(tblDaily[Admissions],tblDaily[EntryDate],DATE(2026,4,15),tblDaily[WardCode],"MAE")=0,"",SUMIFS(tblDaily[Admissions],tblDaily[EntryDate],DATE(2026,4,15),tblDaily[WardCode],"MAE")),"")</f>
        <v/>
      </c>
      <c r="C138" s="12">
        <f>IFERROR(IF(SUMIFS(tblDaily[Discharges],tblDaily[EntryDate],DATE(2026,4,15),tblDaily[WardCode],"MAE")=0,"",SUMIFS(tblDaily[Discharges],tblDaily[EntryDate],DATE(2026,4,15),tblDaily[WardCode],"MAE")),"")</f>
        <v/>
      </c>
      <c r="D138" s="12">
        <f>IFERROR(IF(SUMIFS(tblDaily[Deaths],tblDaily[EntryDate],DATE(2026,4,15),tblDaily[WardCode],"MAE")=0,"",SUMIFS(tblDaily[Deaths],tblDaily[EntryDate],DATE(2026,4,15),tblDaily[WardCode],"MAE")),"")</f>
        <v/>
      </c>
      <c r="E138" s="12">
        <f>IFERROR(IF(SUMIFS(tblDaily[DeathsUnder24Hrs],tblDaily[EntryDate],DATE(2026,4,15),tblDaily[WardCode],"MAE")=0,"",SUMIFS(tblDaily[DeathsUnder24Hrs],tblDaily[EntryDate],DATE(2026,4,15),tblDaily[WardCode],"MAE")),"")</f>
        <v/>
      </c>
      <c r="F138" s="12">
        <f>IFERROR(IF(SUMIFS(tblDaily[TransfersIn],tblDaily[EntryDate],DATE(2026,4,15),tblDaily[WardCode],"MAE")=0,"",SUMIFS(tblDaily[TransfersIn],tblDaily[EntryDate],DATE(2026,4,15),tblDaily[WardCode],"MAE")),"")</f>
        <v/>
      </c>
      <c r="G138" s="12">
        <f>IFERROR(IF(SUMIFS(tblDaily[TransfersOut],tblDaily[EntryDate],DATE(2026,4,15),tblDaily[WardCode],"MAE")=0,"",SUMIFS(tblDaily[TransfersOut],tblDaily[EntryDate],DATE(2026,4,15),tblDaily[WardCode],"MAE")),"")</f>
        <v/>
      </c>
      <c r="H138" s="12">
        <f>IFERROR(IF(SUMIFS(tblDaily[Remaining],tblDaily[EntryDate],DATE(2026,4,15),tblDaily[WardCode],"MAE")=0,"",SUMIFS(tblDaily[Remaining],tblDaily[EntryDate],DATE(2026,4,15),tblDaily[WardCode],"MAE")),"")</f>
        <v/>
      </c>
    </row>
    <row r="139">
      <c r="A139" s="12" t="n">
        <v>16</v>
      </c>
      <c r="B139" s="12">
        <f>IFERROR(IF(SUMIFS(tblDaily[Admissions],tblDaily[EntryDate],DATE(2026,4,16),tblDaily[WardCode],"MAE")=0,"",SUMIFS(tblDaily[Admissions],tblDaily[EntryDate],DATE(2026,4,16),tblDaily[WardCode],"MAE")),"")</f>
        <v/>
      </c>
      <c r="C139" s="12">
        <f>IFERROR(IF(SUMIFS(tblDaily[Discharges],tblDaily[EntryDate],DATE(2026,4,16),tblDaily[WardCode],"MAE")=0,"",SUMIFS(tblDaily[Discharges],tblDaily[EntryDate],DATE(2026,4,16),tblDaily[WardCode],"MAE")),"")</f>
        <v/>
      </c>
      <c r="D139" s="12">
        <f>IFERROR(IF(SUMIFS(tblDaily[Deaths],tblDaily[EntryDate],DATE(2026,4,16),tblDaily[WardCode],"MAE")=0,"",SUMIFS(tblDaily[Deaths],tblDaily[EntryDate],DATE(2026,4,16),tblDaily[WardCode],"MAE")),"")</f>
        <v/>
      </c>
      <c r="E139" s="12">
        <f>IFERROR(IF(SUMIFS(tblDaily[DeathsUnder24Hrs],tblDaily[EntryDate],DATE(2026,4,16),tblDaily[WardCode],"MAE")=0,"",SUMIFS(tblDaily[DeathsUnder24Hrs],tblDaily[EntryDate],DATE(2026,4,16),tblDaily[WardCode],"MAE")),"")</f>
        <v/>
      </c>
      <c r="F139" s="12">
        <f>IFERROR(IF(SUMIFS(tblDaily[TransfersIn],tblDaily[EntryDate],DATE(2026,4,16),tblDaily[WardCode],"MAE")=0,"",SUMIFS(tblDaily[TransfersIn],tblDaily[EntryDate],DATE(2026,4,16),tblDaily[WardCode],"MAE")),"")</f>
        <v/>
      </c>
      <c r="G139" s="12">
        <f>IFERROR(IF(SUMIFS(tblDaily[TransfersOut],tblDaily[EntryDate],DATE(2026,4,16),tblDaily[WardCode],"MAE")=0,"",SUMIFS(tblDaily[TransfersOut],tblDaily[EntryDate],DATE(2026,4,16),tblDaily[WardCode],"MAE")),"")</f>
        <v/>
      </c>
      <c r="H139" s="12">
        <f>IFERROR(IF(SUMIFS(tblDaily[Remaining],tblDaily[EntryDate],DATE(2026,4,16),tblDaily[WardCode],"MAE")=0,"",SUMIFS(tblDaily[Remaining],tblDaily[EntryDate],DATE(2026,4,16),tblDaily[WardCode],"MAE")),"")</f>
        <v/>
      </c>
    </row>
    <row r="140">
      <c r="A140" s="12" t="n">
        <v>17</v>
      </c>
      <c r="B140" s="12">
        <f>IFERROR(IF(SUMIFS(tblDaily[Admissions],tblDaily[EntryDate],DATE(2026,4,17),tblDaily[WardCode],"MAE")=0,"",SUMIFS(tblDaily[Admissions],tblDaily[EntryDate],DATE(2026,4,17),tblDaily[WardCode],"MAE")),"")</f>
        <v/>
      </c>
      <c r="C140" s="12">
        <f>IFERROR(IF(SUMIFS(tblDaily[Discharges],tblDaily[EntryDate],DATE(2026,4,17),tblDaily[WardCode],"MAE")=0,"",SUMIFS(tblDaily[Discharges],tblDaily[EntryDate],DATE(2026,4,17),tblDaily[WardCode],"MAE")),"")</f>
        <v/>
      </c>
      <c r="D140" s="12">
        <f>IFERROR(IF(SUMIFS(tblDaily[Deaths],tblDaily[EntryDate],DATE(2026,4,17),tblDaily[WardCode],"MAE")=0,"",SUMIFS(tblDaily[Deaths],tblDaily[EntryDate],DATE(2026,4,17),tblDaily[WardCode],"MAE")),"")</f>
        <v/>
      </c>
      <c r="E140" s="12">
        <f>IFERROR(IF(SUMIFS(tblDaily[DeathsUnder24Hrs],tblDaily[EntryDate],DATE(2026,4,17),tblDaily[WardCode],"MAE")=0,"",SUMIFS(tblDaily[DeathsUnder24Hrs],tblDaily[EntryDate],DATE(2026,4,17),tblDaily[WardCode],"MAE")),"")</f>
        <v/>
      </c>
      <c r="F140" s="12">
        <f>IFERROR(IF(SUMIFS(tblDaily[TransfersIn],tblDaily[EntryDate],DATE(2026,4,17),tblDaily[WardCode],"MAE")=0,"",SUMIFS(tblDaily[TransfersIn],tblDaily[EntryDate],DATE(2026,4,17),tblDaily[WardCode],"MAE")),"")</f>
        <v/>
      </c>
      <c r="G140" s="12">
        <f>IFERROR(IF(SUMIFS(tblDaily[TransfersOut],tblDaily[EntryDate],DATE(2026,4,17),tblDaily[WardCode],"MAE")=0,"",SUMIFS(tblDaily[TransfersOut],tblDaily[EntryDate],DATE(2026,4,17),tblDaily[WardCode],"MAE")),"")</f>
        <v/>
      </c>
      <c r="H140" s="12">
        <f>IFERROR(IF(SUMIFS(tblDaily[Remaining],tblDaily[EntryDate],DATE(2026,4,17),tblDaily[WardCode],"MAE")=0,"",SUMIFS(tblDaily[Remaining],tblDaily[EntryDate],DATE(2026,4,17),tblDaily[WardCode],"MAE")),"")</f>
        <v/>
      </c>
    </row>
    <row r="141">
      <c r="A141" s="12" t="n">
        <v>18</v>
      </c>
      <c r="B141" s="12">
        <f>IFERROR(IF(SUMIFS(tblDaily[Admissions],tblDaily[EntryDate],DATE(2026,4,18),tblDaily[WardCode],"MAE")=0,"",SUMIFS(tblDaily[Admissions],tblDaily[EntryDate],DATE(2026,4,18),tblDaily[WardCode],"MAE")),"")</f>
        <v/>
      </c>
      <c r="C141" s="12">
        <f>IFERROR(IF(SUMIFS(tblDaily[Discharges],tblDaily[EntryDate],DATE(2026,4,18),tblDaily[WardCode],"MAE")=0,"",SUMIFS(tblDaily[Discharges],tblDaily[EntryDate],DATE(2026,4,18),tblDaily[WardCode],"MAE")),"")</f>
        <v/>
      </c>
      <c r="D141" s="12">
        <f>IFERROR(IF(SUMIFS(tblDaily[Deaths],tblDaily[EntryDate],DATE(2026,4,18),tblDaily[WardCode],"MAE")=0,"",SUMIFS(tblDaily[Deaths],tblDaily[EntryDate],DATE(2026,4,18),tblDaily[WardCode],"MAE")),"")</f>
        <v/>
      </c>
      <c r="E141" s="12">
        <f>IFERROR(IF(SUMIFS(tblDaily[DeathsUnder24Hrs],tblDaily[EntryDate],DATE(2026,4,18),tblDaily[WardCode],"MAE")=0,"",SUMIFS(tblDaily[DeathsUnder24Hrs],tblDaily[EntryDate],DATE(2026,4,18),tblDaily[WardCode],"MAE")),"")</f>
        <v/>
      </c>
      <c r="F141" s="12">
        <f>IFERROR(IF(SUMIFS(tblDaily[TransfersIn],tblDaily[EntryDate],DATE(2026,4,18),tblDaily[WardCode],"MAE")=0,"",SUMIFS(tblDaily[TransfersIn],tblDaily[EntryDate],DATE(2026,4,18),tblDaily[WardCode],"MAE")),"")</f>
        <v/>
      </c>
      <c r="G141" s="12">
        <f>IFERROR(IF(SUMIFS(tblDaily[TransfersOut],tblDaily[EntryDate],DATE(2026,4,18),tblDaily[WardCode],"MAE")=0,"",SUMIFS(tblDaily[TransfersOut],tblDaily[EntryDate],DATE(2026,4,18),tblDaily[WardCode],"MAE")),"")</f>
        <v/>
      </c>
      <c r="H141" s="12">
        <f>IFERROR(IF(SUMIFS(tblDaily[Remaining],tblDaily[EntryDate],DATE(2026,4,18),tblDaily[WardCode],"MAE")=0,"",SUMIFS(tblDaily[Remaining],tblDaily[EntryDate],DATE(2026,4,18),tblDaily[WardCode],"MAE")),"")</f>
        <v/>
      </c>
    </row>
    <row r="142">
      <c r="A142" s="12" t="n">
        <v>19</v>
      </c>
      <c r="B142" s="12">
        <f>IFERROR(IF(SUMIFS(tblDaily[Admissions],tblDaily[EntryDate],DATE(2026,4,19),tblDaily[WardCode],"MAE")=0,"",SUMIFS(tblDaily[Admissions],tblDaily[EntryDate],DATE(2026,4,19),tblDaily[WardCode],"MAE")),"")</f>
        <v/>
      </c>
      <c r="C142" s="12">
        <f>IFERROR(IF(SUMIFS(tblDaily[Discharges],tblDaily[EntryDate],DATE(2026,4,19),tblDaily[WardCode],"MAE")=0,"",SUMIFS(tblDaily[Discharges],tblDaily[EntryDate],DATE(2026,4,19),tblDaily[WardCode],"MAE")),"")</f>
        <v/>
      </c>
      <c r="D142" s="12">
        <f>IFERROR(IF(SUMIFS(tblDaily[Deaths],tblDaily[EntryDate],DATE(2026,4,19),tblDaily[WardCode],"MAE")=0,"",SUMIFS(tblDaily[Deaths],tblDaily[EntryDate],DATE(2026,4,19),tblDaily[WardCode],"MAE")),"")</f>
        <v/>
      </c>
      <c r="E142" s="12">
        <f>IFERROR(IF(SUMIFS(tblDaily[DeathsUnder24Hrs],tblDaily[EntryDate],DATE(2026,4,19),tblDaily[WardCode],"MAE")=0,"",SUMIFS(tblDaily[DeathsUnder24Hrs],tblDaily[EntryDate],DATE(2026,4,19),tblDaily[WardCode],"MAE")),"")</f>
        <v/>
      </c>
      <c r="F142" s="12">
        <f>IFERROR(IF(SUMIFS(tblDaily[TransfersIn],tblDaily[EntryDate],DATE(2026,4,19),tblDaily[WardCode],"MAE")=0,"",SUMIFS(tblDaily[TransfersIn],tblDaily[EntryDate],DATE(2026,4,19),tblDaily[WardCode],"MAE")),"")</f>
        <v/>
      </c>
      <c r="G142" s="12">
        <f>IFERROR(IF(SUMIFS(tblDaily[TransfersOut],tblDaily[EntryDate],DATE(2026,4,19),tblDaily[WardCode],"MAE")=0,"",SUMIFS(tblDaily[TransfersOut],tblDaily[EntryDate],DATE(2026,4,19),tblDaily[WardCode],"MAE")),"")</f>
        <v/>
      </c>
      <c r="H142" s="12">
        <f>IFERROR(IF(SUMIFS(tblDaily[Remaining],tblDaily[EntryDate],DATE(2026,4,19),tblDaily[WardCode],"MAE")=0,"",SUMIFS(tblDaily[Remaining],tblDaily[EntryDate],DATE(2026,4,19),tblDaily[WardCode],"MAE")),"")</f>
        <v/>
      </c>
    </row>
    <row r="143">
      <c r="A143" s="12" t="n">
        <v>20</v>
      </c>
      <c r="B143" s="12">
        <f>IFERROR(IF(SUMIFS(tblDaily[Admissions],tblDaily[EntryDate],DATE(2026,4,20),tblDaily[WardCode],"MAE")=0,"",SUMIFS(tblDaily[Admissions],tblDaily[EntryDate],DATE(2026,4,20),tblDaily[WardCode],"MAE")),"")</f>
        <v/>
      </c>
      <c r="C143" s="12">
        <f>IFERROR(IF(SUMIFS(tblDaily[Discharges],tblDaily[EntryDate],DATE(2026,4,20),tblDaily[WardCode],"MAE")=0,"",SUMIFS(tblDaily[Discharges],tblDaily[EntryDate],DATE(2026,4,20),tblDaily[WardCode],"MAE")),"")</f>
        <v/>
      </c>
      <c r="D143" s="12">
        <f>IFERROR(IF(SUMIFS(tblDaily[Deaths],tblDaily[EntryDate],DATE(2026,4,20),tblDaily[WardCode],"MAE")=0,"",SUMIFS(tblDaily[Deaths],tblDaily[EntryDate],DATE(2026,4,20),tblDaily[WardCode],"MAE")),"")</f>
        <v/>
      </c>
      <c r="E143" s="12">
        <f>IFERROR(IF(SUMIFS(tblDaily[DeathsUnder24Hrs],tblDaily[EntryDate],DATE(2026,4,20),tblDaily[WardCode],"MAE")=0,"",SUMIFS(tblDaily[DeathsUnder24Hrs],tblDaily[EntryDate],DATE(2026,4,20),tblDaily[WardCode],"MAE")),"")</f>
        <v/>
      </c>
      <c r="F143" s="12">
        <f>IFERROR(IF(SUMIFS(tblDaily[TransfersIn],tblDaily[EntryDate],DATE(2026,4,20),tblDaily[WardCode],"MAE")=0,"",SUMIFS(tblDaily[TransfersIn],tblDaily[EntryDate],DATE(2026,4,20),tblDaily[WardCode],"MAE")),"")</f>
        <v/>
      </c>
      <c r="G143" s="12">
        <f>IFERROR(IF(SUMIFS(tblDaily[TransfersOut],tblDaily[EntryDate],DATE(2026,4,20),tblDaily[WardCode],"MAE")=0,"",SUMIFS(tblDaily[TransfersOut],tblDaily[EntryDate],DATE(2026,4,20),tblDaily[WardCode],"MAE")),"")</f>
        <v/>
      </c>
      <c r="H143" s="12">
        <f>IFERROR(IF(SUMIFS(tblDaily[Remaining],tblDaily[EntryDate],DATE(2026,4,20),tblDaily[WardCode],"MAE")=0,"",SUMIFS(tblDaily[Remaining],tblDaily[EntryDate],DATE(2026,4,20),tblDaily[WardCode],"MAE")),"")</f>
        <v/>
      </c>
    </row>
    <row r="144">
      <c r="A144" s="12" t="n">
        <v>21</v>
      </c>
      <c r="B144" s="12">
        <f>IFERROR(IF(SUMIFS(tblDaily[Admissions],tblDaily[EntryDate],DATE(2026,4,21),tblDaily[WardCode],"MAE")=0,"",SUMIFS(tblDaily[Admissions],tblDaily[EntryDate],DATE(2026,4,21),tblDaily[WardCode],"MAE")),"")</f>
        <v/>
      </c>
      <c r="C144" s="12">
        <f>IFERROR(IF(SUMIFS(tblDaily[Discharges],tblDaily[EntryDate],DATE(2026,4,21),tblDaily[WardCode],"MAE")=0,"",SUMIFS(tblDaily[Discharges],tblDaily[EntryDate],DATE(2026,4,21),tblDaily[WardCode],"MAE")),"")</f>
        <v/>
      </c>
      <c r="D144" s="12">
        <f>IFERROR(IF(SUMIFS(tblDaily[Deaths],tblDaily[EntryDate],DATE(2026,4,21),tblDaily[WardCode],"MAE")=0,"",SUMIFS(tblDaily[Deaths],tblDaily[EntryDate],DATE(2026,4,21),tblDaily[WardCode],"MAE")),"")</f>
        <v/>
      </c>
      <c r="E144" s="12">
        <f>IFERROR(IF(SUMIFS(tblDaily[DeathsUnder24Hrs],tblDaily[EntryDate],DATE(2026,4,21),tblDaily[WardCode],"MAE")=0,"",SUMIFS(tblDaily[DeathsUnder24Hrs],tblDaily[EntryDate],DATE(2026,4,21),tblDaily[WardCode],"MAE")),"")</f>
        <v/>
      </c>
      <c r="F144" s="12">
        <f>IFERROR(IF(SUMIFS(tblDaily[TransfersIn],tblDaily[EntryDate],DATE(2026,4,21),tblDaily[WardCode],"MAE")=0,"",SUMIFS(tblDaily[TransfersIn],tblDaily[EntryDate],DATE(2026,4,21),tblDaily[WardCode],"MAE")),"")</f>
        <v/>
      </c>
      <c r="G144" s="12">
        <f>IFERROR(IF(SUMIFS(tblDaily[TransfersOut],tblDaily[EntryDate],DATE(2026,4,21),tblDaily[WardCode],"MAE")=0,"",SUMIFS(tblDaily[TransfersOut],tblDaily[EntryDate],DATE(2026,4,21),tblDaily[WardCode],"MAE")),"")</f>
        <v/>
      </c>
      <c r="H144" s="12">
        <f>IFERROR(IF(SUMIFS(tblDaily[Remaining],tblDaily[EntryDate],DATE(2026,4,21),tblDaily[WardCode],"MAE")=0,"",SUMIFS(tblDaily[Remaining],tblDaily[EntryDate],DATE(2026,4,21),tblDaily[WardCode],"MAE")),"")</f>
        <v/>
      </c>
    </row>
    <row r="145">
      <c r="A145" s="12" t="n">
        <v>22</v>
      </c>
      <c r="B145" s="12">
        <f>IFERROR(IF(SUMIFS(tblDaily[Admissions],tblDaily[EntryDate],DATE(2026,4,22),tblDaily[WardCode],"MAE")=0,"",SUMIFS(tblDaily[Admissions],tblDaily[EntryDate],DATE(2026,4,22),tblDaily[WardCode],"MAE")),"")</f>
        <v/>
      </c>
      <c r="C145" s="12">
        <f>IFERROR(IF(SUMIFS(tblDaily[Discharges],tblDaily[EntryDate],DATE(2026,4,22),tblDaily[WardCode],"MAE")=0,"",SUMIFS(tblDaily[Discharges],tblDaily[EntryDate],DATE(2026,4,22),tblDaily[WardCode],"MAE")),"")</f>
        <v/>
      </c>
      <c r="D145" s="12">
        <f>IFERROR(IF(SUMIFS(tblDaily[Deaths],tblDaily[EntryDate],DATE(2026,4,22),tblDaily[WardCode],"MAE")=0,"",SUMIFS(tblDaily[Deaths],tblDaily[EntryDate],DATE(2026,4,22),tblDaily[WardCode],"MAE")),"")</f>
        <v/>
      </c>
      <c r="E145" s="12">
        <f>IFERROR(IF(SUMIFS(tblDaily[DeathsUnder24Hrs],tblDaily[EntryDate],DATE(2026,4,22),tblDaily[WardCode],"MAE")=0,"",SUMIFS(tblDaily[DeathsUnder24Hrs],tblDaily[EntryDate],DATE(2026,4,22),tblDaily[WardCode],"MAE")),"")</f>
        <v/>
      </c>
      <c r="F145" s="12">
        <f>IFERROR(IF(SUMIFS(tblDaily[TransfersIn],tblDaily[EntryDate],DATE(2026,4,22),tblDaily[WardCode],"MAE")=0,"",SUMIFS(tblDaily[TransfersIn],tblDaily[EntryDate],DATE(2026,4,22),tblDaily[WardCode],"MAE")),"")</f>
        <v/>
      </c>
      <c r="G145" s="12">
        <f>IFERROR(IF(SUMIFS(tblDaily[TransfersOut],tblDaily[EntryDate],DATE(2026,4,22),tblDaily[WardCode],"MAE")=0,"",SUMIFS(tblDaily[TransfersOut],tblDaily[EntryDate],DATE(2026,4,22),tblDaily[WardCode],"MAE")),"")</f>
        <v/>
      </c>
      <c r="H145" s="12">
        <f>IFERROR(IF(SUMIFS(tblDaily[Remaining],tblDaily[EntryDate],DATE(2026,4,22),tblDaily[WardCode],"MAE")=0,"",SUMIFS(tblDaily[Remaining],tblDaily[EntryDate],DATE(2026,4,22),tblDaily[WardCode],"MAE")),"")</f>
        <v/>
      </c>
    </row>
    <row r="146">
      <c r="A146" s="12" t="n">
        <v>23</v>
      </c>
      <c r="B146" s="12">
        <f>IFERROR(IF(SUMIFS(tblDaily[Admissions],tblDaily[EntryDate],DATE(2026,4,23),tblDaily[WardCode],"MAE")=0,"",SUMIFS(tblDaily[Admissions],tblDaily[EntryDate],DATE(2026,4,23),tblDaily[WardCode],"MAE")),"")</f>
        <v/>
      </c>
      <c r="C146" s="12">
        <f>IFERROR(IF(SUMIFS(tblDaily[Discharges],tblDaily[EntryDate],DATE(2026,4,23),tblDaily[WardCode],"MAE")=0,"",SUMIFS(tblDaily[Discharges],tblDaily[EntryDate],DATE(2026,4,23),tblDaily[WardCode],"MAE")),"")</f>
        <v/>
      </c>
      <c r="D146" s="12">
        <f>IFERROR(IF(SUMIFS(tblDaily[Deaths],tblDaily[EntryDate],DATE(2026,4,23),tblDaily[WardCode],"MAE")=0,"",SUMIFS(tblDaily[Deaths],tblDaily[EntryDate],DATE(2026,4,23),tblDaily[WardCode],"MAE")),"")</f>
        <v/>
      </c>
      <c r="E146" s="12">
        <f>IFERROR(IF(SUMIFS(tblDaily[DeathsUnder24Hrs],tblDaily[EntryDate],DATE(2026,4,23),tblDaily[WardCode],"MAE")=0,"",SUMIFS(tblDaily[DeathsUnder24Hrs],tblDaily[EntryDate],DATE(2026,4,23),tblDaily[WardCode],"MAE")),"")</f>
        <v/>
      </c>
      <c r="F146" s="12">
        <f>IFERROR(IF(SUMIFS(tblDaily[TransfersIn],tblDaily[EntryDate],DATE(2026,4,23),tblDaily[WardCode],"MAE")=0,"",SUMIFS(tblDaily[TransfersIn],tblDaily[EntryDate],DATE(2026,4,23),tblDaily[WardCode],"MAE")),"")</f>
        <v/>
      </c>
      <c r="G146" s="12">
        <f>IFERROR(IF(SUMIFS(tblDaily[TransfersOut],tblDaily[EntryDate],DATE(2026,4,23),tblDaily[WardCode],"MAE")=0,"",SUMIFS(tblDaily[TransfersOut],tblDaily[EntryDate],DATE(2026,4,23),tblDaily[WardCode],"MAE")),"")</f>
        <v/>
      </c>
      <c r="H146" s="12">
        <f>IFERROR(IF(SUMIFS(tblDaily[Remaining],tblDaily[EntryDate],DATE(2026,4,23),tblDaily[WardCode],"MAE")=0,"",SUMIFS(tblDaily[Remaining],tblDaily[EntryDate],DATE(2026,4,23),tblDaily[WardCode],"MAE")),"")</f>
        <v/>
      </c>
    </row>
    <row r="147">
      <c r="A147" s="12" t="n">
        <v>24</v>
      </c>
      <c r="B147" s="12">
        <f>IFERROR(IF(SUMIFS(tblDaily[Admissions],tblDaily[EntryDate],DATE(2026,4,24),tblDaily[WardCode],"MAE")=0,"",SUMIFS(tblDaily[Admissions],tblDaily[EntryDate],DATE(2026,4,24),tblDaily[WardCode],"MAE")),"")</f>
        <v/>
      </c>
      <c r="C147" s="12">
        <f>IFERROR(IF(SUMIFS(tblDaily[Discharges],tblDaily[EntryDate],DATE(2026,4,24),tblDaily[WardCode],"MAE")=0,"",SUMIFS(tblDaily[Discharges],tblDaily[EntryDate],DATE(2026,4,24),tblDaily[WardCode],"MAE")),"")</f>
        <v/>
      </c>
      <c r="D147" s="12">
        <f>IFERROR(IF(SUMIFS(tblDaily[Deaths],tblDaily[EntryDate],DATE(2026,4,24),tblDaily[WardCode],"MAE")=0,"",SUMIFS(tblDaily[Deaths],tblDaily[EntryDate],DATE(2026,4,24),tblDaily[WardCode],"MAE")),"")</f>
        <v/>
      </c>
      <c r="E147" s="12">
        <f>IFERROR(IF(SUMIFS(tblDaily[DeathsUnder24Hrs],tblDaily[EntryDate],DATE(2026,4,24),tblDaily[WardCode],"MAE")=0,"",SUMIFS(tblDaily[DeathsUnder24Hrs],tblDaily[EntryDate],DATE(2026,4,24),tblDaily[WardCode],"MAE")),"")</f>
        <v/>
      </c>
      <c r="F147" s="12">
        <f>IFERROR(IF(SUMIFS(tblDaily[TransfersIn],tblDaily[EntryDate],DATE(2026,4,24),tblDaily[WardCode],"MAE")=0,"",SUMIFS(tblDaily[TransfersIn],tblDaily[EntryDate],DATE(2026,4,24),tblDaily[WardCode],"MAE")),"")</f>
        <v/>
      </c>
      <c r="G147" s="12">
        <f>IFERROR(IF(SUMIFS(tblDaily[TransfersOut],tblDaily[EntryDate],DATE(2026,4,24),tblDaily[WardCode],"MAE")=0,"",SUMIFS(tblDaily[TransfersOut],tblDaily[EntryDate],DATE(2026,4,24),tblDaily[WardCode],"MAE")),"")</f>
        <v/>
      </c>
      <c r="H147" s="12">
        <f>IFERROR(IF(SUMIFS(tblDaily[Remaining],tblDaily[EntryDate],DATE(2026,4,24),tblDaily[WardCode],"MAE")=0,"",SUMIFS(tblDaily[Remaining],tblDaily[EntryDate],DATE(2026,4,24),tblDaily[WardCode],"MAE")),"")</f>
        <v/>
      </c>
    </row>
    <row r="148">
      <c r="A148" s="12" t="n">
        <v>25</v>
      </c>
      <c r="B148" s="12">
        <f>IFERROR(IF(SUMIFS(tblDaily[Admissions],tblDaily[EntryDate],DATE(2026,4,25),tblDaily[WardCode],"MAE")=0,"",SUMIFS(tblDaily[Admissions],tblDaily[EntryDate],DATE(2026,4,25),tblDaily[WardCode],"MAE")),"")</f>
        <v/>
      </c>
      <c r="C148" s="12">
        <f>IFERROR(IF(SUMIFS(tblDaily[Discharges],tblDaily[EntryDate],DATE(2026,4,25),tblDaily[WardCode],"MAE")=0,"",SUMIFS(tblDaily[Discharges],tblDaily[EntryDate],DATE(2026,4,25),tblDaily[WardCode],"MAE")),"")</f>
        <v/>
      </c>
      <c r="D148" s="12">
        <f>IFERROR(IF(SUMIFS(tblDaily[Deaths],tblDaily[EntryDate],DATE(2026,4,25),tblDaily[WardCode],"MAE")=0,"",SUMIFS(tblDaily[Deaths],tblDaily[EntryDate],DATE(2026,4,25),tblDaily[WardCode],"MAE")),"")</f>
        <v/>
      </c>
      <c r="E148" s="12">
        <f>IFERROR(IF(SUMIFS(tblDaily[DeathsUnder24Hrs],tblDaily[EntryDate],DATE(2026,4,25),tblDaily[WardCode],"MAE")=0,"",SUMIFS(tblDaily[DeathsUnder24Hrs],tblDaily[EntryDate],DATE(2026,4,25),tblDaily[WardCode],"MAE")),"")</f>
        <v/>
      </c>
      <c r="F148" s="12">
        <f>IFERROR(IF(SUMIFS(tblDaily[TransfersIn],tblDaily[EntryDate],DATE(2026,4,25),tblDaily[WardCode],"MAE")=0,"",SUMIFS(tblDaily[TransfersIn],tblDaily[EntryDate],DATE(2026,4,25),tblDaily[WardCode],"MAE")),"")</f>
        <v/>
      </c>
      <c r="G148" s="12">
        <f>IFERROR(IF(SUMIFS(tblDaily[TransfersOut],tblDaily[EntryDate],DATE(2026,4,25),tblDaily[WardCode],"MAE")=0,"",SUMIFS(tblDaily[TransfersOut],tblDaily[EntryDate],DATE(2026,4,25),tblDaily[WardCode],"MAE")),"")</f>
        <v/>
      </c>
      <c r="H148" s="12">
        <f>IFERROR(IF(SUMIFS(tblDaily[Remaining],tblDaily[EntryDate],DATE(2026,4,25),tblDaily[WardCode],"MAE")=0,"",SUMIFS(tblDaily[Remaining],tblDaily[EntryDate],DATE(2026,4,25),tblDaily[WardCode],"MAE")),"")</f>
        <v/>
      </c>
    </row>
    <row r="149">
      <c r="A149" s="12" t="n">
        <v>26</v>
      </c>
      <c r="B149" s="12">
        <f>IFERROR(IF(SUMIFS(tblDaily[Admissions],tblDaily[EntryDate],DATE(2026,4,26),tblDaily[WardCode],"MAE")=0,"",SUMIFS(tblDaily[Admissions],tblDaily[EntryDate],DATE(2026,4,26),tblDaily[WardCode],"MAE")),"")</f>
        <v/>
      </c>
      <c r="C149" s="12">
        <f>IFERROR(IF(SUMIFS(tblDaily[Discharges],tblDaily[EntryDate],DATE(2026,4,26),tblDaily[WardCode],"MAE")=0,"",SUMIFS(tblDaily[Discharges],tblDaily[EntryDate],DATE(2026,4,26),tblDaily[WardCode],"MAE")),"")</f>
        <v/>
      </c>
      <c r="D149" s="12">
        <f>IFERROR(IF(SUMIFS(tblDaily[Deaths],tblDaily[EntryDate],DATE(2026,4,26),tblDaily[WardCode],"MAE")=0,"",SUMIFS(tblDaily[Deaths],tblDaily[EntryDate],DATE(2026,4,26),tblDaily[WardCode],"MAE")),"")</f>
        <v/>
      </c>
      <c r="E149" s="12">
        <f>IFERROR(IF(SUMIFS(tblDaily[DeathsUnder24Hrs],tblDaily[EntryDate],DATE(2026,4,26),tblDaily[WardCode],"MAE")=0,"",SUMIFS(tblDaily[DeathsUnder24Hrs],tblDaily[EntryDate],DATE(2026,4,26),tblDaily[WardCode],"MAE")),"")</f>
        <v/>
      </c>
      <c r="F149" s="12">
        <f>IFERROR(IF(SUMIFS(tblDaily[TransfersIn],tblDaily[EntryDate],DATE(2026,4,26),tblDaily[WardCode],"MAE")=0,"",SUMIFS(tblDaily[TransfersIn],tblDaily[EntryDate],DATE(2026,4,26),tblDaily[WardCode],"MAE")),"")</f>
        <v/>
      </c>
      <c r="G149" s="12">
        <f>IFERROR(IF(SUMIFS(tblDaily[TransfersOut],tblDaily[EntryDate],DATE(2026,4,26),tblDaily[WardCode],"MAE")=0,"",SUMIFS(tblDaily[TransfersOut],tblDaily[EntryDate],DATE(2026,4,26),tblDaily[WardCode],"MAE")),"")</f>
        <v/>
      </c>
      <c r="H149" s="12">
        <f>IFERROR(IF(SUMIFS(tblDaily[Remaining],tblDaily[EntryDate],DATE(2026,4,26),tblDaily[WardCode],"MAE")=0,"",SUMIFS(tblDaily[Remaining],tblDaily[EntryDate],DATE(2026,4,26),tblDaily[WardCode],"MAE")),"")</f>
        <v/>
      </c>
    </row>
    <row r="150">
      <c r="A150" s="12" t="n">
        <v>27</v>
      </c>
      <c r="B150" s="12">
        <f>IFERROR(IF(SUMIFS(tblDaily[Admissions],tblDaily[EntryDate],DATE(2026,4,27),tblDaily[WardCode],"MAE")=0,"",SUMIFS(tblDaily[Admissions],tblDaily[EntryDate],DATE(2026,4,27),tblDaily[WardCode],"MAE")),"")</f>
        <v/>
      </c>
      <c r="C150" s="12">
        <f>IFERROR(IF(SUMIFS(tblDaily[Discharges],tblDaily[EntryDate],DATE(2026,4,27),tblDaily[WardCode],"MAE")=0,"",SUMIFS(tblDaily[Discharges],tblDaily[EntryDate],DATE(2026,4,27),tblDaily[WardCode],"MAE")),"")</f>
        <v/>
      </c>
      <c r="D150" s="12">
        <f>IFERROR(IF(SUMIFS(tblDaily[Deaths],tblDaily[EntryDate],DATE(2026,4,27),tblDaily[WardCode],"MAE")=0,"",SUMIFS(tblDaily[Deaths],tblDaily[EntryDate],DATE(2026,4,27),tblDaily[WardCode],"MAE")),"")</f>
        <v/>
      </c>
      <c r="E150" s="12">
        <f>IFERROR(IF(SUMIFS(tblDaily[DeathsUnder24Hrs],tblDaily[EntryDate],DATE(2026,4,27),tblDaily[WardCode],"MAE")=0,"",SUMIFS(tblDaily[DeathsUnder24Hrs],tblDaily[EntryDate],DATE(2026,4,27),tblDaily[WardCode],"MAE")),"")</f>
        <v/>
      </c>
      <c r="F150" s="12">
        <f>IFERROR(IF(SUMIFS(tblDaily[TransfersIn],tblDaily[EntryDate],DATE(2026,4,27),tblDaily[WardCode],"MAE")=0,"",SUMIFS(tblDaily[TransfersIn],tblDaily[EntryDate],DATE(2026,4,27),tblDaily[WardCode],"MAE")),"")</f>
        <v/>
      </c>
      <c r="G150" s="12">
        <f>IFERROR(IF(SUMIFS(tblDaily[TransfersOut],tblDaily[EntryDate],DATE(2026,4,27),tblDaily[WardCode],"MAE")=0,"",SUMIFS(tblDaily[TransfersOut],tblDaily[EntryDate],DATE(2026,4,27),tblDaily[WardCode],"MAE")),"")</f>
        <v/>
      </c>
      <c r="H150" s="12">
        <f>IFERROR(IF(SUMIFS(tblDaily[Remaining],tblDaily[EntryDate],DATE(2026,4,27),tblDaily[WardCode],"MAE")=0,"",SUMIFS(tblDaily[Remaining],tblDaily[EntryDate],DATE(2026,4,27),tblDaily[WardCode],"MAE")),"")</f>
        <v/>
      </c>
    </row>
    <row r="151">
      <c r="A151" s="12" t="n">
        <v>28</v>
      </c>
      <c r="B151" s="12">
        <f>IFERROR(IF(SUMIFS(tblDaily[Admissions],tblDaily[EntryDate],DATE(2026,4,28),tblDaily[WardCode],"MAE")=0,"",SUMIFS(tblDaily[Admissions],tblDaily[EntryDate],DATE(2026,4,28),tblDaily[WardCode],"MAE")),"")</f>
        <v/>
      </c>
      <c r="C151" s="12">
        <f>IFERROR(IF(SUMIFS(tblDaily[Discharges],tblDaily[EntryDate],DATE(2026,4,28),tblDaily[WardCode],"MAE")=0,"",SUMIFS(tblDaily[Discharges],tblDaily[EntryDate],DATE(2026,4,28),tblDaily[WardCode],"MAE")),"")</f>
        <v/>
      </c>
      <c r="D151" s="12">
        <f>IFERROR(IF(SUMIFS(tblDaily[Deaths],tblDaily[EntryDate],DATE(2026,4,28),tblDaily[WardCode],"MAE")=0,"",SUMIFS(tblDaily[Deaths],tblDaily[EntryDate],DATE(2026,4,28),tblDaily[WardCode],"MAE")),"")</f>
        <v/>
      </c>
      <c r="E151" s="12">
        <f>IFERROR(IF(SUMIFS(tblDaily[DeathsUnder24Hrs],tblDaily[EntryDate],DATE(2026,4,28),tblDaily[WardCode],"MAE")=0,"",SUMIFS(tblDaily[DeathsUnder24Hrs],tblDaily[EntryDate],DATE(2026,4,28),tblDaily[WardCode],"MAE")),"")</f>
        <v/>
      </c>
      <c r="F151" s="12">
        <f>IFERROR(IF(SUMIFS(tblDaily[TransfersIn],tblDaily[EntryDate],DATE(2026,4,28),tblDaily[WardCode],"MAE")=0,"",SUMIFS(tblDaily[TransfersIn],tblDaily[EntryDate],DATE(2026,4,28),tblDaily[WardCode],"MAE")),"")</f>
        <v/>
      </c>
      <c r="G151" s="12">
        <f>IFERROR(IF(SUMIFS(tblDaily[TransfersOut],tblDaily[EntryDate],DATE(2026,4,28),tblDaily[WardCode],"MAE")=0,"",SUMIFS(tblDaily[TransfersOut],tblDaily[EntryDate],DATE(2026,4,28),tblDaily[WardCode],"MAE")),"")</f>
        <v/>
      </c>
      <c r="H151" s="12">
        <f>IFERROR(IF(SUMIFS(tblDaily[Remaining],tblDaily[EntryDate],DATE(2026,4,28),tblDaily[WardCode],"MAE")=0,"",SUMIFS(tblDaily[Remaining],tblDaily[EntryDate],DATE(2026,4,28),tblDaily[WardCode],"MAE")),"")</f>
        <v/>
      </c>
    </row>
    <row r="152">
      <c r="A152" s="12" t="n">
        <v>29</v>
      </c>
      <c r="B152" s="12">
        <f>IFERROR(IF(SUMIFS(tblDaily[Admissions],tblDaily[EntryDate],DATE(2026,4,29),tblDaily[WardCode],"MAE")=0,"",SUMIFS(tblDaily[Admissions],tblDaily[EntryDate],DATE(2026,4,29),tblDaily[WardCode],"MAE")),"")</f>
        <v/>
      </c>
      <c r="C152" s="12">
        <f>IFERROR(IF(SUMIFS(tblDaily[Discharges],tblDaily[EntryDate],DATE(2026,4,29),tblDaily[WardCode],"MAE")=0,"",SUMIFS(tblDaily[Discharges],tblDaily[EntryDate],DATE(2026,4,29),tblDaily[WardCode],"MAE")),"")</f>
        <v/>
      </c>
      <c r="D152" s="12">
        <f>IFERROR(IF(SUMIFS(tblDaily[Deaths],tblDaily[EntryDate],DATE(2026,4,29),tblDaily[WardCode],"MAE")=0,"",SUMIFS(tblDaily[Deaths],tblDaily[EntryDate],DATE(2026,4,29),tblDaily[WardCode],"MAE")),"")</f>
        <v/>
      </c>
      <c r="E152" s="12">
        <f>IFERROR(IF(SUMIFS(tblDaily[DeathsUnder24Hrs],tblDaily[EntryDate],DATE(2026,4,29),tblDaily[WardCode],"MAE")=0,"",SUMIFS(tblDaily[DeathsUnder24Hrs],tblDaily[EntryDate],DATE(2026,4,29),tblDaily[WardCode],"MAE")),"")</f>
        <v/>
      </c>
      <c r="F152" s="12">
        <f>IFERROR(IF(SUMIFS(tblDaily[TransfersIn],tblDaily[EntryDate],DATE(2026,4,29),tblDaily[WardCode],"MAE")=0,"",SUMIFS(tblDaily[TransfersIn],tblDaily[EntryDate],DATE(2026,4,29),tblDaily[WardCode],"MAE")),"")</f>
        <v/>
      </c>
      <c r="G152" s="12">
        <f>IFERROR(IF(SUMIFS(tblDaily[TransfersOut],tblDaily[EntryDate],DATE(2026,4,29),tblDaily[WardCode],"MAE")=0,"",SUMIFS(tblDaily[TransfersOut],tblDaily[EntryDate],DATE(2026,4,29),tblDaily[WardCode],"MAE")),"")</f>
        <v/>
      </c>
      <c r="H152" s="12">
        <f>IFERROR(IF(SUMIFS(tblDaily[Remaining],tblDaily[EntryDate],DATE(2026,4,29),tblDaily[WardCode],"MAE")=0,"",SUMIFS(tblDaily[Remaining],tblDaily[EntryDate],DATE(2026,4,29),tblDaily[WardCode],"MAE")),"")</f>
        <v/>
      </c>
    </row>
    <row r="153">
      <c r="A153" s="12" t="n">
        <v>30</v>
      </c>
      <c r="B153" s="12">
        <f>IFERROR(IF(SUMIFS(tblDaily[Admissions],tblDaily[EntryDate],DATE(2026,4,30),tblDaily[WardCode],"MAE")=0,"",SUMIFS(tblDaily[Admissions],tblDaily[EntryDate],DATE(2026,4,30),tblDaily[WardCode],"MAE")),"")</f>
        <v/>
      </c>
      <c r="C153" s="12">
        <f>IFERROR(IF(SUMIFS(tblDaily[Discharges],tblDaily[EntryDate],DATE(2026,4,30),tblDaily[WardCode],"MAE")=0,"",SUMIFS(tblDaily[Discharges],tblDaily[EntryDate],DATE(2026,4,30),tblDaily[WardCode],"MAE")),"")</f>
        <v/>
      </c>
      <c r="D153" s="12">
        <f>IFERROR(IF(SUMIFS(tblDaily[Deaths],tblDaily[EntryDate],DATE(2026,4,30),tblDaily[WardCode],"MAE")=0,"",SUMIFS(tblDaily[Deaths],tblDaily[EntryDate],DATE(2026,4,30),tblDaily[WardCode],"MAE")),"")</f>
        <v/>
      </c>
      <c r="E153" s="12">
        <f>IFERROR(IF(SUMIFS(tblDaily[DeathsUnder24Hrs],tblDaily[EntryDate],DATE(2026,4,30),tblDaily[WardCode],"MAE")=0,"",SUMIFS(tblDaily[DeathsUnder24Hrs],tblDaily[EntryDate],DATE(2026,4,30),tblDaily[WardCode],"MAE")),"")</f>
        <v/>
      </c>
      <c r="F153" s="12">
        <f>IFERROR(IF(SUMIFS(tblDaily[TransfersIn],tblDaily[EntryDate],DATE(2026,4,30),tblDaily[WardCode],"MAE")=0,"",SUMIFS(tblDaily[TransfersIn],tblDaily[EntryDate],DATE(2026,4,30),tblDaily[WardCode],"MAE")),"")</f>
        <v/>
      </c>
      <c r="G153" s="12">
        <f>IFERROR(IF(SUMIFS(tblDaily[TransfersOut],tblDaily[EntryDate],DATE(2026,4,30),tblDaily[WardCode],"MAE")=0,"",SUMIFS(tblDaily[TransfersOut],tblDaily[EntryDate],DATE(2026,4,30),tblDaily[WardCode],"MAE")),"")</f>
        <v/>
      </c>
      <c r="H153" s="12">
        <f>IFERROR(IF(SUMIFS(tblDaily[Remaining],tblDaily[EntryDate],DATE(2026,4,30),tblDaily[WardCode],"MAE")=0,"",SUMIFS(tblDaily[Remaining],tblDaily[EntryDate],DATE(2026,4,30),tblDaily[WardCode],"MAE")),"")</f>
        <v/>
      </c>
    </row>
    <row r="154">
      <c r="A154" s="12" t="n">
        <v>31</v>
      </c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7" t="inlineStr">
        <is>
          <t>TOTAL</t>
        </is>
      </c>
      <c r="B155" s="17">
        <f>SUMIFS(tblDaily[Admissions],tblDaily[Month],4,tblDaily[WardCode],"MAE") - SUMIFS(tblDaily[DeathsUnder24Hrs],tblDaily[Month],4,tblDaily[WardCode],"MAE")</f>
        <v/>
      </c>
      <c r="C155" s="17">
        <f>SUMIFS(tblDaily[Discharges],tblDaily[Month],4,tblDaily[WardCode],"MAE")</f>
        <v/>
      </c>
      <c r="D155" s="17">
        <f>SUMIFS(tblDaily[Deaths],tblDaily[Month],4,tblDaily[WardCode],"MAE")</f>
        <v/>
      </c>
      <c r="E155" s="17">
        <f>SUMIFS(tblDaily[DeathsUnder24Hrs],tblDaily[Month],4,tblDaily[WardCode],"MAE")</f>
        <v/>
      </c>
      <c r="F155" s="17">
        <f>SUMIFS(tblDaily[TransfersIn],tblDaily[Month],4,tblDaily[WardCode],"MAE")</f>
        <v/>
      </c>
      <c r="G155" s="17">
        <f>SUMIFS(tblDaily[TransfersOut],tblDaily[Month],4,tblDaily[WardCode],"MAE")</f>
        <v/>
      </c>
      <c r="H155" s="17">
        <f>SUMIFS(tblDaily[Remaining],tblDaily[Month],4,tblDaily[WardCode],"MAE")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MALE EMERGENCY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4">
        <f>IFERROR(SUMIFS(tblDaily[Remaining],tblDaily[EntryDate],DATE(2026,4,30),tblDaily[WardCode],"MAE"),0)</f>
        <v/>
      </c>
    </row>
    <row r="161">
      <c r="A161" s="4" t="inlineStr">
        <is>
          <t>Bed complement</t>
        </is>
      </c>
      <c r="H161" s="15">
        <f>IFERROR(INDEX(tblWardConfig[BedComplement],MATCH("MAE",tblWardConfig[WardCode],0)),0)</f>
        <v/>
      </c>
    </row>
    <row r="162">
      <c r="A162" s="16" t="inlineStr">
        <is>
          <t>Day of
the
Month</t>
        </is>
      </c>
      <c r="B162" s="16" t="inlineStr">
        <is>
          <t>Admissions</t>
        </is>
      </c>
      <c r="C162" s="16" t="inlineStr">
        <is>
          <t>Discharges</t>
        </is>
      </c>
      <c r="D162" s="16" t="inlineStr">
        <is>
          <t>Deaths</t>
        </is>
      </c>
      <c r="E162" s="16" t="inlineStr">
        <is>
          <t>Deaths
&lt;24Hrs</t>
        </is>
      </c>
      <c r="F162" s="16" t="inlineStr">
        <is>
          <t>Transfers-
In</t>
        </is>
      </c>
      <c r="G162" s="16" t="inlineStr">
        <is>
          <t>Transfers-
Out</t>
        </is>
      </c>
      <c r="H162" s="16" t="inlineStr">
        <is>
          <t>No. of Patients
Remaining In
Ward</t>
        </is>
      </c>
    </row>
    <row r="163">
      <c r="A163" s="12" t="n">
        <v>1</v>
      </c>
      <c r="B163" s="12">
        <f>IFERROR(IF(SUMIFS(tblDaily[Admissions],tblDaily[EntryDate],DATE(2026,5,1),tblDaily[WardCode],"MAE")=0,"",SUMIFS(tblDaily[Admissions],tblDaily[EntryDate],DATE(2026,5,1),tblDaily[WardCode],"MAE")),"")</f>
        <v/>
      </c>
      <c r="C163" s="12">
        <f>IFERROR(IF(SUMIFS(tblDaily[Discharges],tblDaily[EntryDate],DATE(2026,5,1),tblDaily[WardCode],"MAE")=0,"",SUMIFS(tblDaily[Discharges],tblDaily[EntryDate],DATE(2026,5,1),tblDaily[WardCode],"MAE")),"")</f>
        <v/>
      </c>
      <c r="D163" s="12">
        <f>IFERROR(IF(SUMIFS(tblDaily[Deaths],tblDaily[EntryDate],DATE(2026,5,1),tblDaily[WardCode],"MAE")=0,"",SUMIFS(tblDaily[Deaths],tblDaily[EntryDate],DATE(2026,5,1),tblDaily[WardCode],"MAE")),"")</f>
        <v/>
      </c>
      <c r="E163" s="12">
        <f>IFERROR(IF(SUMIFS(tblDaily[DeathsUnder24Hrs],tblDaily[EntryDate],DATE(2026,5,1),tblDaily[WardCode],"MAE")=0,"",SUMIFS(tblDaily[DeathsUnder24Hrs],tblDaily[EntryDate],DATE(2026,5,1),tblDaily[WardCode],"MAE")),"")</f>
        <v/>
      </c>
      <c r="F163" s="12">
        <f>IFERROR(IF(SUMIFS(tblDaily[TransfersIn],tblDaily[EntryDate],DATE(2026,5,1),tblDaily[WardCode],"MAE")=0,"",SUMIFS(tblDaily[TransfersIn],tblDaily[EntryDate],DATE(2026,5,1),tblDaily[WardCode],"MAE")),"")</f>
        <v/>
      </c>
      <c r="G163" s="12">
        <f>IFERROR(IF(SUMIFS(tblDaily[TransfersOut],tblDaily[EntryDate],DATE(2026,5,1),tblDaily[WardCode],"MAE")=0,"",SUMIFS(tblDaily[TransfersOut],tblDaily[EntryDate],DATE(2026,5,1),tblDaily[WardCode],"MAE")),"")</f>
        <v/>
      </c>
      <c r="H163" s="12">
        <f>IFERROR(IF(SUMIFS(tblDaily[Remaining],tblDaily[EntryDate],DATE(2026,5,1),tblDaily[WardCode],"MAE")=0,"",SUMIFS(tblDaily[Remaining],tblDaily[EntryDate],DATE(2026,5,1),tblDaily[WardCode],"MAE")),"")</f>
        <v/>
      </c>
    </row>
    <row r="164">
      <c r="A164" s="12" t="n">
        <v>2</v>
      </c>
      <c r="B164" s="12">
        <f>IFERROR(IF(SUMIFS(tblDaily[Admissions],tblDaily[EntryDate],DATE(2026,5,2),tblDaily[WardCode],"MAE")=0,"",SUMIFS(tblDaily[Admissions],tblDaily[EntryDate],DATE(2026,5,2),tblDaily[WardCode],"MAE")),"")</f>
        <v/>
      </c>
      <c r="C164" s="12">
        <f>IFERROR(IF(SUMIFS(tblDaily[Discharges],tblDaily[EntryDate],DATE(2026,5,2),tblDaily[WardCode],"MAE")=0,"",SUMIFS(tblDaily[Discharges],tblDaily[EntryDate],DATE(2026,5,2),tblDaily[WardCode],"MAE")),"")</f>
        <v/>
      </c>
      <c r="D164" s="12">
        <f>IFERROR(IF(SUMIFS(tblDaily[Deaths],tblDaily[EntryDate],DATE(2026,5,2),tblDaily[WardCode],"MAE")=0,"",SUMIFS(tblDaily[Deaths],tblDaily[EntryDate],DATE(2026,5,2),tblDaily[WardCode],"MAE")),"")</f>
        <v/>
      </c>
      <c r="E164" s="12">
        <f>IFERROR(IF(SUMIFS(tblDaily[DeathsUnder24Hrs],tblDaily[EntryDate],DATE(2026,5,2),tblDaily[WardCode],"MAE")=0,"",SUMIFS(tblDaily[DeathsUnder24Hrs],tblDaily[EntryDate],DATE(2026,5,2),tblDaily[WardCode],"MAE")),"")</f>
        <v/>
      </c>
      <c r="F164" s="12">
        <f>IFERROR(IF(SUMIFS(tblDaily[TransfersIn],tblDaily[EntryDate],DATE(2026,5,2),tblDaily[WardCode],"MAE")=0,"",SUMIFS(tblDaily[TransfersIn],tblDaily[EntryDate],DATE(2026,5,2),tblDaily[WardCode],"MAE")),"")</f>
        <v/>
      </c>
      <c r="G164" s="12">
        <f>IFERROR(IF(SUMIFS(tblDaily[TransfersOut],tblDaily[EntryDate],DATE(2026,5,2),tblDaily[WardCode],"MAE")=0,"",SUMIFS(tblDaily[TransfersOut],tblDaily[EntryDate],DATE(2026,5,2),tblDaily[WardCode],"MAE")),"")</f>
        <v/>
      </c>
      <c r="H164" s="12">
        <f>IFERROR(IF(SUMIFS(tblDaily[Remaining],tblDaily[EntryDate],DATE(2026,5,2),tblDaily[WardCode],"MAE")=0,"",SUMIFS(tblDaily[Remaining],tblDaily[EntryDate],DATE(2026,5,2),tblDaily[WardCode],"MAE")),"")</f>
        <v/>
      </c>
    </row>
    <row r="165">
      <c r="A165" s="12" t="n">
        <v>3</v>
      </c>
      <c r="B165" s="12">
        <f>IFERROR(IF(SUMIFS(tblDaily[Admissions],tblDaily[EntryDate],DATE(2026,5,3),tblDaily[WardCode],"MAE")=0,"",SUMIFS(tblDaily[Admissions],tblDaily[EntryDate],DATE(2026,5,3),tblDaily[WardCode],"MAE")),"")</f>
        <v/>
      </c>
      <c r="C165" s="12">
        <f>IFERROR(IF(SUMIFS(tblDaily[Discharges],tblDaily[EntryDate],DATE(2026,5,3),tblDaily[WardCode],"MAE")=0,"",SUMIFS(tblDaily[Discharges],tblDaily[EntryDate],DATE(2026,5,3),tblDaily[WardCode],"MAE")),"")</f>
        <v/>
      </c>
      <c r="D165" s="12">
        <f>IFERROR(IF(SUMIFS(tblDaily[Deaths],tblDaily[EntryDate],DATE(2026,5,3),tblDaily[WardCode],"MAE")=0,"",SUMIFS(tblDaily[Deaths],tblDaily[EntryDate],DATE(2026,5,3),tblDaily[WardCode],"MAE")),"")</f>
        <v/>
      </c>
      <c r="E165" s="12">
        <f>IFERROR(IF(SUMIFS(tblDaily[DeathsUnder24Hrs],tblDaily[EntryDate],DATE(2026,5,3),tblDaily[WardCode],"MAE")=0,"",SUMIFS(tblDaily[DeathsUnder24Hrs],tblDaily[EntryDate],DATE(2026,5,3),tblDaily[WardCode],"MAE")),"")</f>
        <v/>
      </c>
      <c r="F165" s="12">
        <f>IFERROR(IF(SUMIFS(tblDaily[TransfersIn],tblDaily[EntryDate],DATE(2026,5,3),tblDaily[WardCode],"MAE")=0,"",SUMIFS(tblDaily[TransfersIn],tblDaily[EntryDate],DATE(2026,5,3),tblDaily[WardCode],"MAE")),"")</f>
        <v/>
      </c>
      <c r="G165" s="12">
        <f>IFERROR(IF(SUMIFS(tblDaily[TransfersOut],tblDaily[EntryDate],DATE(2026,5,3),tblDaily[WardCode],"MAE")=0,"",SUMIFS(tblDaily[TransfersOut],tblDaily[EntryDate],DATE(2026,5,3),tblDaily[WardCode],"MAE")),"")</f>
        <v/>
      </c>
      <c r="H165" s="12">
        <f>IFERROR(IF(SUMIFS(tblDaily[Remaining],tblDaily[EntryDate],DATE(2026,5,3),tblDaily[WardCode],"MAE")=0,"",SUMIFS(tblDaily[Remaining],tblDaily[EntryDate],DATE(2026,5,3),tblDaily[WardCode],"MAE")),"")</f>
        <v/>
      </c>
    </row>
    <row r="166">
      <c r="A166" s="12" t="n">
        <v>4</v>
      </c>
      <c r="B166" s="12">
        <f>IFERROR(IF(SUMIFS(tblDaily[Admissions],tblDaily[EntryDate],DATE(2026,5,4),tblDaily[WardCode],"MAE")=0,"",SUMIFS(tblDaily[Admissions],tblDaily[EntryDate],DATE(2026,5,4),tblDaily[WardCode],"MAE")),"")</f>
        <v/>
      </c>
      <c r="C166" s="12">
        <f>IFERROR(IF(SUMIFS(tblDaily[Discharges],tblDaily[EntryDate],DATE(2026,5,4),tblDaily[WardCode],"MAE")=0,"",SUMIFS(tblDaily[Discharges],tblDaily[EntryDate],DATE(2026,5,4),tblDaily[WardCode],"MAE")),"")</f>
        <v/>
      </c>
      <c r="D166" s="12">
        <f>IFERROR(IF(SUMIFS(tblDaily[Deaths],tblDaily[EntryDate],DATE(2026,5,4),tblDaily[WardCode],"MAE")=0,"",SUMIFS(tblDaily[Deaths],tblDaily[EntryDate],DATE(2026,5,4),tblDaily[WardCode],"MAE")),"")</f>
        <v/>
      </c>
      <c r="E166" s="12">
        <f>IFERROR(IF(SUMIFS(tblDaily[DeathsUnder24Hrs],tblDaily[EntryDate],DATE(2026,5,4),tblDaily[WardCode],"MAE")=0,"",SUMIFS(tblDaily[DeathsUnder24Hrs],tblDaily[EntryDate],DATE(2026,5,4),tblDaily[WardCode],"MAE")),"")</f>
        <v/>
      </c>
      <c r="F166" s="12">
        <f>IFERROR(IF(SUMIFS(tblDaily[TransfersIn],tblDaily[EntryDate],DATE(2026,5,4),tblDaily[WardCode],"MAE")=0,"",SUMIFS(tblDaily[TransfersIn],tblDaily[EntryDate],DATE(2026,5,4),tblDaily[WardCode],"MAE")),"")</f>
        <v/>
      </c>
      <c r="G166" s="12">
        <f>IFERROR(IF(SUMIFS(tblDaily[TransfersOut],tblDaily[EntryDate],DATE(2026,5,4),tblDaily[WardCode],"MAE")=0,"",SUMIFS(tblDaily[TransfersOut],tblDaily[EntryDate],DATE(2026,5,4),tblDaily[WardCode],"MAE")),"")</f>
        <v/>
      </c>
      <c r="H166" s="12">
        <f>IFERROR(IF(SUMIFS(tblDaily[Remaining],tblDaily[EntryDate],DATE(2026,5,4),tblDaily[WardCode],"MAE")=0,"",SUMIFS(tblDaily[Remaining],tblDaily[EntryDate],DATE(2026,5,4),tblDaily[WardCode],"MAE")),"")</f>
        <v/>
      </c>
    </row>
    <row r="167">
      <c r="A167" s="12" t="n">
        <v>5</v>
      </c>
      <c r="B167" s="12">
        <f>IFERROR(IF(SUMIFS(tblDaily[Admissions],tblDaily[EntryDate],DATE(2026,5,5),tblDaily[WardCode],"MAE")=0,"",SUMIFS(tblDaily[Admissions],tblDaily[EntryDate],DATE(2026,5,5),tblDaily[WardCode],"MAE")),"")</f>
        <v/>
      </c>
      <c r="C167" s="12">
        <f>IFERROR(IF(SUMIFS(tblDaily[Discharges],tblDaily[EntryDate],DATE(2026,5,5),tblDaily[WardCode],"MAE")=0,"",SUMIFS(tblDaily[Discharges],tblDaily[EntryDate],DATE(2026,5,5),tblDaily[WardCode],"MAE")),"")</f>
        <v/>
      </c>
      <c r="D167" s="12">
        <f>IFERROR(IF(SUMIFS(tblDaily[Deaths],tblDaily[EntryDate],DATE(2026,5,5),tblDaily[WardCode],"MAE")=0,"",SUMIFS(tblDaily[Deaths],tblDaily[EntryDate],DATE(2026,5,5),tblDaily[WardCode],"MAE")),"")</f>
        <v/>
      </c>
      <c r="E167" s="12">
        <f>IFERROR(IF(SUMIFS(tblDaily[DeathsUnder24Hrs],tblDaily[EntryDate],DATE(2026,5,5),tblDaily[WardCode],"MAE")=0,"",SUMIFS(tblDaily[DeathsUnder24Hrs],tblDaily[EntryDate],DATE(2026,5,5),tblDaily[WardCode],"MAE")),"")</f>
        <v/>
      </c>
      <c r="F167" s="12">
        <f>IFERROR(IF(SUMIFS(tblDaily[TransfersIn],tblDaily[EntryDate],DATE(2026,5,5),tblDaily[WardCode],"MAE")=0,"",SUMIFS(tblDaily[TransfersIn],tblDaily[EntryDate],DATE(2026,5,5),tblDaily[WardCode],"MAE")),"")</f>
        <v/>
      </c>
      <c r="G167" s="12">
        <f>IFERROR(IF(SUMIFS(tblDaily[TransfersOut],tblDaily[EntryDate],DATE(2026,5,5),tblDaily[WardCode],"MAE")=0,"",SUMIFS(tblDaily[TransfersOut],tblDaily[EntryDate],DATE(2026,5,5),tblDaily[WardCode],"MAE")),"")</f>
        <v/>
      </c>
      <c r="H167" s="12">
        <f>IFERROR(IF(SUMIFS(tblDaily[Remaining],tblDaily[EntryDate],DATE(2026,5,5),tblDaily[WardCode],"MAE")=0,"",SUMIFS(tblDaily[Remaining],tblDaily[EntryDate],DATE(2026,5,5),tblDaily[WardCode],"MAE")),"")</f>
        <v/>
      </c>
    </row>
    <row r="168">
      <c r="A168" s="12" t="n">
        <v>6</v>
      </c>
      <c r="B168" s="12">
        <f>IFERROR(IF(SUMIFS(tblDaily[Admissions],tblDaily[EntryDate],DATE(2026,5,6),tblDaily[WardCode],"MAE")=0,"",SUMIFS(tblDaily[Admissions],tblDaily[EntryDate],DATE(2026,5,6),tblDaily[WardCode],"MAE")),"")</f>
        <v/>
      </c>
      <c r="C168" s="12">
        <f>IFERROR(IF(SUMIFS(tblDaily[Discharges],tblDaily[EntryDate],DATE(2026,5,6),tblDaily[WardCode],"MAE")=0,"",SUMIFS(tblDaily[Discharges],tblDaily[EntryDate],DATE(2026,5,6),tblDaily[WardCode],"MAE")),"")</f>
        <v/>
      </c>
      <c r="D168" s="12">
        <f>IFERROR(IF(SUMIFS(tblDaily[Deaths],tblDaily[EntryDate],DATE(2026,5,6),tblDaily[WardCode],"MAE")=0,"",SUMIFS(tblDaily[Deaths],tblDaily[EntryDate],DATE(2026,5,6),tblDaily[WardCode],"MAE")),"")</f>
        <v/>
      </c>
      <c r="E168" s="12">
        <f>IFERROR(IF(SUMIFS(tblDaily[DeathsUnder24Hrs],tblDaily[EntryDate],DATE(2026,5,6),tblDaily[WardCode],"MAE")=0,"",SUMIFS(tblDaily[DeathsUnder24Hrs],tblDaily[EntryDate],DATE(2026,5,6),tblDaily[WardCode],"MAE")),"")</f>
        <v/>
      </c>
      <c r="F168" s="12">
        <f>IFERROR(IF(SUMIFS(tblDaily[TransfersIn],tblDaily[EntryDate],DATE(2026,5,6),tblDaily[WardCode],"MAE")=0,"",SUMIFS(tblDaily[TransfersIn],tblDaily[EntryDate],DATE(2026,5,6),tblDaily[WardCode],"MAE")),"")</f>
        <v/>
      </c>
      <c r="G168" s="12">
        <f>IFERROR(IF(SUMIFS(tblDaily[TransfersOut],tblDaily[EntryDate],DATE(2026,5,6),tblDaily[WardCode],"MAE")=0,"",SUMIFS(tblDaily[TransfersOut],tblDaily[EntryDate],DATE(2026,5,6),tblDaily[WardCode],"MAE")),"")</f>
        <v/>
      </c>
      <c r="H168" s="12">
        <f>IFERROR(IF(SUMIFS(tblDaily[Remaining],tblDaily[EntryDate],DATE(2026,5,6),tblDaily[WardCode],"MAE")=0,"",SUMIFS(tblDaily[Remaining],tblDaily[EntryDate],DATE(2026,5,6),tblDaily[WardCode],"MAE")),"")</f>
        <v/>
      </c>
    </row>
    <row r="169">
      <c r="A169" s="12" t="n">
        <v>7</v>
      </c>
      <c r="B169" s="12">
        <f>IFERROR(IF(SUMIFS(tblDaily[Admissions],tblDaily[EntryDate],DATE(2026,5,7),tblDaily[WardCode],"MAE")=0,"",SUMIFS(tblDaily[Admissions],tblDaily[EntryDate],DATE(2026,5,7),tblDaily[WardCode],"MAE")),"")</f>
        <v/>
      </c>
      <c r="C169" s="12">
        <f>IFERROR(IF(SUMIFS(tblDaily[Discharges],tblDaily[EntryDate],DATE(2026,5,7),tblDaily[WardCode],"MAE")=0,"",SUMIFS(tblDaily[Discharges],tblDaily[EntryDate],DATE(2026,5,7),tblDaily[WardCode],"MAE")),"")</f>
        <v/>
      </c>
      <c r="D169" s="12">
        <f>IFERROR(IF(SUMIFS(tblDaily[Deaths],tblDaily[EntryDate],DATE(2026,5,7),tblDaily[WardCode],"MAE")=0,"",SUMIFS(tblDaily[Deaths],tblDaily[EntryDate],DATE(2026,5,7),tblDaily[WardCode],"MAE")),"")</f>
        <v/>
      </c>
      <c r="E169" s="12">
        <f>IFERROR(IF(SUMIFS(tblDaily[DeathsUnder24Hrs],tblDaily[EntryDate],DATE(2026,5,7),tblDaily[WardCode],"MAE")=0,"",SUMIFS(tblDaily[DeathsUnder24Hrs],tblDaily[EntryDate],DATE(2026,5,7),tblDaily[WardCode],"MAE")),"")</f>
        <v/>
      </c>
      <c r="F169" s="12">
        <f>IFERROR(IF(SUMIFS(tblDaily[TransfersIn],tblDaily[EntryDate],DATE(2026,5,7),tblDaily[WardCode],"MAE")=0,"",SUMIFS(tblDaily[TransfersIn],tblDaily[EntryDate],DATE(2026,5,7),tblDaily[WardCode],"MAE")),"")</f>
        <v/>
      </c>
      <c r="G169" s="12">
        <f>IFERROR(IF(SUMIFS(tblDaily[TransfersOut],tblDaily[EntryDate],DATE(2026,5,7),tblDaily[WardCode],"MAE")=0,"",SUMIFS(tblDaily[TransfersOut],tblDaily[EntryDate],DATE(2026,5,7),tblDaily[WardCode],"MAE")),"")</f>
        <v/>
      </c>
      <c r="H169" s="12">
        <f>IFERROR(IF(SUMIFS(tblDaily[Remaining],tblDaily[EntryDate],DATE(2026,5,7),tblDaily[WardCode],"MAE")=0,"",SUMIFS(tblDaily[Remaining],tblDaily[EntryDate],DATE(2026,5,7),tblDaily[WardCode],"MAE")),"")</f>
        <v/>
      </c>
    </row>
    <row r="170">
      <c r="A170" s="12" t="n">
        <v>8</v>
      </c>
      <c r="B170" s="12">
        <f>IFERROR(IF(SUMIFS(tblDaily[Admissions],tblDaily[EntryDate],DATE(2026,5,8),tblDaily[WardCode],"MAE")=0,"",SUMIFS(tblDaily[Admissions],tblDaily[EntryDate],DATE(2026,5,8),tblDaily[WardCode],"MAE")),"")</f>
        <v/>
      </c>
      <c r="C170" s="12">
        <f>IFERROR(IF(SUMIFS(tblDaily[Discharges],tblDaily[EntryDate],DATE(2026,5,8),tblDaily[WardCode],"MAE")=0,"",SUMIFS(tblDaily[Discharges],tblDaily[EntryDate],DATE(2026,5,8),tblDaily[WardCode],"MAE")),"")</f>
        <v/>
      </c>
      <c r="D170" s="12">
        <f>IFERROR(IF(SUMIFS(tblDaily[Deaths],tblDaily[EntryDate],DATE(2026,5,8),tblDaily[WardCode],"MAE")=0,"",SUMIFS(tblDaily[Deaths],tblDaily[EntryDate],DATE(2026,5,8),tblDaily[WardCode],"MAE")),"")</f>
        <v/>
      </c>
      <c r="E170" s="12">
        <f>IFERROR(IF(SUMIFS(tblDaily[DeathsUnder24Hrs],tblDaily[EntryDate],DATE(2026,5,8),tblDaily[WardCode],"MAE")=0,"",SUMIFS(tblDaily[DeathsUnder24Hrs],tblDaily[EntryDate],DATE(2026,5,8),tblDaily[WardCode],"MAE")),"")</f>
        <v/>
      </c>
      <c r="F170" s="12">
        <f>IFERROR(IF(SUMIFS(tblDaily[TransfersIn],tblDaily[EntryDate],DATE(2026,5,8),tblDaily[WardCode],"MAE")=0,"",SUMIFS(tblDaily[TransfersIn],tblDaily[EntryDate],DATE(2026,5,8),tblDaily[WardCode],"MAE")),"")</f>
        <v/>
      </c>
      <c r="G170" s="12">
        <f>IFERROR(IF(SUMIFS(tblDaily[TransfersOut],tblDaily[EntryDate],DATE(2026,5,8),tblDaily[WardCode],"MAE")=0,"",SUMIFS(tblDaily[TransfersOut],tblDaily[EntryDate],DATE(2026,5,8),tblDaily[WardCode],"MAE")),"")</f>
        <v/>
      </c>
      <c r="H170" s="12">
        <f>IFERROR(IF(SUMIFS(tblDaily[Remaining],tblDaily[EntryDate],DATE(2026,5,8),tblDaily[WardCode],"MAE")=0,"",SUMIFS(tblDaily[Remaining],tblDaily[EntryDate],DATE(2026,5,8),tblDaily[WardCode],"MAE")),"")</f>
        <v/>
      </c>
    </row>
    <row r="171">
      <c r="A171" s="12" t="n">
        <v>9</v>
      </c>
      <c r="B171" s="12">
        <f>IFERROR(IF(SUMIFS(tblDaily[Admissions],tblDaily[EntryDate],DATE(2026,5,9),tblDaily[WardCode],"MAE")=0,"",SUMIFS(tblDaily[Admissions],tblDaily[EntryDate],DATE(2026,5,9),tblDaily[WardCode],"MAE")),"")</f>
        <v/>
      </c>
      <c r="C171" s="12">
        <f>IFERROR(IF(SUMIFS(tblDaily[Discharges],tblDaily[EntryDate],DATE(2026,5,9),tblDaily[WardCode],"MAE")=0,"",SUMIFS(tblDaily[Discharges],tblDaily[EntryDate],DATE(2026,5,9),tblDaily[WardCode],"MAE")),"")</f>
        <v/>
      </c>
      <c r="D171" s="12">
        <f>IFERROR(IF(SUMIFS(tblDaily[Deaths],tblDaily[EntryDate],DATE(2026,5,9),tblDaily[WardCode],"MAE")=0,"",SUMIFS(tblDaily[Deaths],tblDaily[EntryDate],DATE(2026,5,9),tblDaily[WardCode],"MAE")),"")</f>
        <v/>
      </c>
      <c r="E171" s="12">
        <f>IFERROR(IF(SUMIFS(tblDaily[DeathsUnder24Hrs],tblDaily[EntryDate],DATE(2026,5,9),tblDaily[WardCode],"MAE")=0,"",SUMIFS(tblDaily[DeathsUnder24Hrs],tblDaily[EntryDate],DATE(2026,5,9),tblDaily[WardCode],"MAE")),"")</f>
        <v/>
      </c>
      <c r="F171" s="12">
        <f>IFERROR(IF(SUMIFS(tblDaily[TransfersIn],tblDaily[EntryDate],DATE(2026,5,9),tblDaily[WardCode],"MAE")=0,"",SUMIFS(tblDaily[TransfersIn],tblDaily[EntryDate],DATE(2026,5,9),tblDaily[WardCode],"MAE")),"")</f>
        <v/>
      </c>
      <c r="G171" s="12">
        <f>IFERROR(IF(SUMIFS(tblDaily[TransfersOut],tblDaily[EntryDate],DATE(2026,5,9),tblDaily[WardCode],"MAE")=0,"",SUMIFS(tblDaily[TransfersOut],tblDaily[EntryDate],DATE(2026,5,9),tblDaily[WardCode],"MAE")),"")</f>
        <v/>
      </c>
      <c r="H171" s="12">
        <f>IFERROR(IF(SUMIFS(tblDaily[Remaining],tblDaily[EntryDate],DATE(2026,5,9),tblDaily[WardCode],"MAE")=0,"",SUMIFS(tblDaily[Remaining],tblDaily[EntryDate],DATE(2026,5,9),tblDaily[WardCode],"MAE")),"")</f>
        <v/>
      </c>
    </row>
    <row r="172">
      <c r="A172" s="12" t="n">
        <v>10</v>
      </c>
      <c r="B172" s="12">
        <f>IFERROR(IF(SUMIFS(tblDaily[Admissions],tblDaily[EntryDate],DATE(2026,5,10),tblDaily[WardCode],"MAE")=0,"",SUMIFS(tblDaily[Admissions],tblDaily[EntryDate],DATE(2026,5,10),tblDaily[WardCode],"MAE")),"")</f>
        <v/>
      </c>
      <c r="C172" s="12">
        <f>IFERROR(IF(SUMIFS(tblDaily[Discharges],tblDaily[EntryDate],DATE(2026,5,10),tblDaily[WardCode],"MAE")=0,"",SUMIFS(tblDaily[Discharges],tblDaily[EntryDate],DATE(2026,5,10),tblDaily[WardCode],"MAE")),"")</f>
        <v/>
      </c>
      <c r="D172" s="12">
        <f>IFERROR(IF(SUMIFS(tblDaily[Deaths],tblDaily[EntryDate],DATE(2026,5,10),tblDaily[WardCode],"MAE")=0,"",SUMIFS(tblDaily[Deaths],tblDaily[EntryDate],DATE(2026,5,10),tblDaily[WardCode],"MAE")),"")</f>
        <v/>
      </c>
      <c r="E172" s="12">
        <f>IFERROR(IF(SUMIFS(tblDaily[DeathsUnder24Hrs],tblDaily[EntryDate],DATE(2026,5,10),tblDaily[WardCode],"MAE")=0,"",SUMIFS(tblDaily[DeathsUnder24Hrs],tblDaily[EntryDate],DATE(2026,5,10),tblDaily[WardCode],"MAE")),"")</f>
        <v/>
      </c>
      <c r="F172" s="12">
        <f>IFERROR(IF(SUMIFS(tblDaily[TransfersIn],tblDaily[EntryDate],DATE(2026,5,10),tblDaily[WardCode],"MAE")=0,"",SUMIFS(tblDaily[TransfersIn],tblDaily[EntryDate],DATE(2026,5,10),tblDaily[WardCode],"MAE")),"")</f>
        <v/>
      </c>
      <c r="G172" s="12">
        <f>IFERROR(IF(SUMIFS(tblDaily[TransfersOut],tblDaily[EntryDate],DATE(2026,5,10),tblDaily[WardCode],"MAE")=0,"",SUMIFS(tblDaily[TransfersOut],tblDaily[EntryDate],DATE(2026,5,10),tblDaily[WardCode],"MAE")),"")</f>
        <v/>
      </c>
      <c r="H172" s="12">
        <f>IFERROR(IF(SUMIFS(tblDaily[Remaining],tblDaily[EntryDate],DATE(2026,5,10),tblDaily[WardCode],"MAE")=0,"",SUMIFS(tblDaily[Remaining],tblDaily[EntryDate],DATE(2026,5,10),tblDaily[WardCode],"MAE")),"")</f>
        <v/>
      </c>
    </row>
    <row r="173">
      <c r="A173" s="12" t="n">
        <v>11</v>
      </c>
      <c r="B173" s="12">
        <f>IFERROR(IF(SUMIFS(tblDaily[Admissions],tblDaily[EntryDate],DATE(2026,5,11),tblDaily[WardCode],"MAE")=0,"",SUMIFS(tblDaily[Admissions],tblDaily[EntryDate],DATE(2026,5,11),tblDaily[WardCode],"MAE")),"")</f>
        <v/>
      </c>
      <c r="C173" s="12">
        <f>IFERROR(IF(SUMIFS(tblDaily[Discharges],tblDaily[EntryDate],DATE(2026,5,11),tblDaily[WardCode],"MAE")=0,"",SUMIFS(tblDaily[Discharges],tblDaily[EntryDate],DATE(2026,5,11),tblDaily[WardCode],"MAE")),"")</f>
        <v/>
      </c>
      <c r="D173" s="12">
        <f>IFERROR(IF(SUMIFS(tblDaily[Deaths],tblDaily[EntryDate],DATE(2026,5,11),tblDaily[WardCode],"MAE")=0,"",SUMIFS(tblDaily[Deaths],tblDaily[EntryDate],DATE(2026,5,11),tblDaily[WardCode],"MAE")),"")</f>
        <v/>
      </c>
      <c r="E173" s="12">
        <f>IFERROR(IF(SUMIFS(tblDaily[DeathsUnder24Hrs],tblDaily[EntryDate],DATE(2026,5,11),tblDaily[WardCode],"MAE")=0,"",SUMIFS(tblDaily[DeathsUnder24Hrs],tblDaily[EntryDate],DATE(2026,5,11),tblDaily[WardCode],"MAE")),"")</f>
        <v/>
      </c>
      <c r="F173" s="12">
        <f>IFERROR(IF(SUMIFS(tblDaily[TransfersIn],tblDaily[EntryDate],DATE(2026,5,11),tblDaily[WardCode],"MAE")=0,"",SUMIFS(tblDaily[TransfersIn],tblDaily[EntryDate],DATE(2026,5,11),tblDaily[WardCode],"MAE")),"")</f>
        <v/>
      </c>
      <c r="G173" s="12">
        <f>IFERROR(IF(SUMIFS(tblDaily[TransfersOut],tblDaily[EntryDate],DATE(2026,5,11),tblDaily[WardCode],"MAE")=0,"",SUMIFS(tblDaily[TransfersOut],tblDaily[EntryDate],DATE(2026,5,11),tblDaily[WardCode],"MAE")),"")</f>
        <v/>
      </c>
      <c r="H173" s="12">
        <f>IFERROR(IF(SUMIFS(tblDaily[Remaining],tblDaily[EntryDate],DATE(2026,5,11),tblDaily[WardCode],"MAE")=0,"",SUMIFS(tblDaily[Remaining],tblDaily[EntryDate],DATE(2026,5,11),tblDaily[WardCode],"MAE")),"")</f>
        <v/>
      </c>
    </row>
    <row r="174">
      <c r="A174" s="12" t="n">
        <v>12</v>
      </c>
      <c r="B174" s="12">
        <f>IFERROR(IF(SUMIFS(tblDaily[Admissions],tblDaily[EntryDate],DATE(2026,5,12),tblDaily[WardCode],"MAE")=0,"",SUMIFS(tblDaily[Admissions],tblDaily[EntryDate],DATE(2026,5,12),tblDaily[WardCode],"MAE")),"")</f>
        <v/>
      </c>
      <c r="C174" s="12">
        <f>IFERROR(IF(SUMIFS(tblDaily[Discharges],tblDaily[EntryDate],DATE(2026,5,12),tblDaily[WardCode],"MAE")=0,"",SUMIFS(tblDaily[Discharges],tblDaily[EntryDate],DATE(2026,5,12),tblDaily[WardCode],"MAE")),"")</f>
        <v/>
      </c>
      <c r="D174" s="12">
        <f>IFERROR(IF(SUMIFS(tblDaily[Deaths],tblDaily[EntryDate],DATE(2026,5,12),tblDaily[WardCode],"MAE")=0,"",SUMIFS(tblDaily[Deaths],tblDaily[EntryDate],DATE(2026,5,12),tblDaily[WardCode],"MAE")),"")</f>
        <v/>
      </c>
      <c r="E174" s="12">
        <f>IFERROR(IF(SUMIFS(tblDaily[DeathsUnder24Hrs],tblDaily[EntryDate],DATE(2026,5,12),tblDaily[WardCode],"MAE")=0,"",SUMIFS(tblDaily[DeathsUnder24Hrs],tblDaily[EntryDate],DATE(2026,5,12),tblDaily[WardCode],"MAE")),"")</f>
        <v/>
      </c>
      <c r="F174" s="12">
        <f>IFERROR(IF(SUMIFS(tblDaily[TransfersIn],tblDaily[EntryDate],DATE(2026,5,12),tblDaily[WardCode],"MAE")=0,"",SUMIFS(tblDaily[TransfersIn],tblDaily[EntryDate],DATE(2026,5,12),tblDaily[WardCode],"MAE")),"")</f>
        <v/>
      </c>
      <c r="G174" s="12">
        <f>IFERROR(IF(SUMIFS(tblDaily[TransfersOut],tblDaily[EntryDate],DATE(2026,5,12),tblDaily[WardCode],"MAE")=0,"",SUMIFS(tblDaily[TransfersOut],tblDaily[EntryDate],DATE(2026,5,12),tblDaily[WardCode],"MAE")),"")</f>
        <v/>
      </c>
      <c r="H174" s="12">
        <f>IFERROR(IF(SUMIFS(tblDaily[Remaining],tblDaily[EntryDate],DATE(2026,5,12),tblDaily[WardCode],"MAE")=0,"",SUMIFS(tblDaily[Remaining],tblDaily[EntryDate],DATE(2026,5,12),tblDaily[WardCode],"MAE")),"")</f>
        <v/>
      </c>
    </row>
    <row r="175">
      <c r="A175" s="12" t="n">
        <v>13</v>
      </c>
      <c r="B175" s="12">
        <f>IFERROR(IF(SUMIFS(tblDaily[Admissions],tblDaily[EntryDate],DATE(2026,5,13),tblDaily[WardCode],"MAE")=0,"",SUMIFS(tblDaily[Admissions],tblDaily[EntryDate],DATE(2026,5,13),tblDaily[WardCode],"MAE")),"")</f>
        <v/>
      </c>
      <c r="C175" s="12">
        <f>IFERROR(IF(SUMIFS(tblDaily[Discharges],tblDaily[EntryDate],DATE(2026,5,13),tblDaily[WardCode],"MAE")=0,"",SUMIFS(tblDaily[Discharges],tblDaily[EntryDate],DATE(2026,5,13),tblDaily[WardCode],"MAE")),"")</f>
        <v/>
      </c>
      <c r="D175" s="12">
        <f>IFERROR(IF(SUMIFS(tblDaily[Deaths],tblDaily[EntryDate],DATE(2026,5,13),tblDaily[WardCode],"MAE")=0,"",SUMIFS(tblDaily[Deaths],tblDaily[EntryDate],DATE(2026,5,13),tblDaily[WardCode],"MAE")),"")</f>
        <v/>
      </c>
      <c r="E175" s="12">
        <f>IFERROR(IF(SUMIFS(tblDaily[DeathsUnder24Hrs],tblDaily[EntryDate],DATE(2026,5,13),tblDaily[WardCode],"MAE")=0,"",SUMIFS(tblDaily[DeathsUnder24Hrs],tblDaily[EntryDate],DATE(2026,5,13),tblDaily[WardCode],"MAE")),"")</f>
        <v/>
      </c>
      <c r="F175" s="12">
        <f>IFERROR(IF(SUMIFS(tblDaily[TransfersIn],tblDaily[EntryDate],DATE(2026,5,13),tblDaily[WardCode],"MAE")=0,"",SUMIFS(tblDaily[TransfersIn],tblDaily[EntryDate],DATE(2026,5,13),tblDaily[WardCode],"MAE")),"")</f>
        <v/>
      </c>
      <c r="G175" s="12">
        <f>IFERROR(IF(SUMIFS(tblDaily[TransfersOut],tblDaily[EntryDate],DATE(2026,5,13),tblDaily[WardCode],"MAE")=0,"",SUMIFS(tblDaily[TransfersOut],tblDaily[EntryDate],DATE(2026,5,13),tblDaily[WardCode],"MAE")),"")</f>
        <v/>
      </c>
      <c r="H175" s="12">
        <f>IFERROR(IF(SUMIFS(tblDaily[Remaining],tblDaily[EntryDate],DATE(2026,5,13),tblDaily[WardCode],"MAE")=0,"",SUMIFS(tblDaily[Remaining],tblDaily[EntryDate],DATE(2026,5,13),tblDaily[WardCode],"MAE")),"")</f>
        <v/>
      </c>
    </row>
    <row r="176">
      <c r="A176" s="12" t="n">
        <v>14</v>
      </c>
      <c r="B176" s="12">
        <f>IFERROR(IF(SUMIFS(tblDaily[Admissions],tblDaily[EntryDate],DATE(2026,5,14),tblDaily[WardCode],"MAE")=0,"",SUMIFS(tblDaily[Admissions],tblDaily[EntryDate],DATE(2026,5,14),tblDaily[WardCode],"MAE")),"")</f>
        <v/>
      </c>
      <c r="C176" s="12">
        <f>IFERROR(IF(SUMIFS(tblDaily[Discharges],tblDaily[EntryDate],DATE(2026,5,14),tblDaily[WardCode],"MAE")=0,"",SUMIFS(tblDaily[Discharges],tblDaily[EntryDate],DATE(2026,5,14),tblDaily[WardCode],"MAE")),"")</f>
        <v/>
      </c>
      <c r="D176" s="12">
        <f>IFERROR(IF(SUMIFS(tblDaily[Deaths],tblDaily[EntryDate],DATE(2026,5,14),tblDaily[WardCode],"MAE")=0,"",SUMIFS(tblDaily[Deaths],tblDaily[EntryDate],DATE(2026,5,14),tblDaily[WardCode],"MAE")),"")</f>
        <v/>
      </c>
      <c r="E176" s="12">
        <f>IFERROR(IF(SUMIFS(tblDaily[DeathsUnder24Hrs],tblDaily[EntryDate],DATE(2026,5,14),tblDaily[WardCode],"MAE")=0,"",SUMIFS(tblDaily[DeathsUnder24Hrs],tblDaily[EntryDate],DATE(2026,5,14),tblDaily[WardCode],"MAE")),"")</f>
        <v/>
      </c>
      <c r="F176" s="12">
        <f>IFERROR(IF(SUMIFS(tblDaily[TransfersIn],tblDaily[EntryDate],DATE(2026,5,14),tblDaily[WardCode],"MAE")=0,"",SUMIFS(tblDaily[TransfersIn],tblDaily[EntryDate],DATE(2026,5,14),tblDaily[WardCode],"MAE")),"")</f>
        <v/>
      </c>
      <c r="G176" s="12">
        <f>IFERROR(IF(SUMIFS(tblDaily[TransfersOut],tblDaily[EntryDate],DATE(2026,5,14),tblDaily[WardCode],"MAE")=0,"",SUMIFS(tblDaily[TransfersOut],tblDaily[EntryDate],DATE(2026,5,14),tblDaily[WardCode],"MAE")),"")</f>
        <v/>
      </c>
      <c r="H176" s="12">
        <f>IFERROR(IF(SUMIFS(tblDaily[Remaining],tblDaily[EntryDate],DATE(2026,5,14),tblDaily[WardCode],"MAE")=0,"",SUMIFS(tblDaily[Remaining],tblDaily[EntryDate],DATE(2026,5,14),tblDaily[WardCode],"MAE")),"")</f>
        <v/>
      </c>
    </row>
    <row r="177">
      <c r="A177" s="12" t="n">
        <v>15</v>
      </c>
      <c r="B177" s="12">
        <f>IFERROR(IF(SUMIFS(tblDaily[Admissions],tblDaily[EntryDate],DATE(2026,5,15),tblDaily[WardCode],"MAE")=0,"",SUMIFS(tblDaily[Admissions],tblDaily[EntryDate],DATE(2026,5,15),tblDaily[WardCode],"MAE")),"")</f>
        <v/>
      </c>
      <c r="C177" s="12">
        <f>IFERROR(IF(SUMIFS(tblDaily[Discharges],tblDaily[EntryDate],DATE(2026,5,15),tblDaily[WardCode],"MAE")=0,"",SUMIFS(tblDaily[Discharges],tblDaily[EntryDate],DATE(2026,5,15),tblDaily[WardCode],"MAE")),"")</f>
        <v/>
      </c>
      <c r="D177" s="12">
        <f>IFERROR(IF(SUMIFS(tblDaily[Deaths],tblDaily[EntryDate],DATE(2026,5,15),tblDaily[WardCode],"MAE")=0,"",SUMIFS(tblDaily[Deaths],tblDaily[EntryDate],DATE(2026,5,15),tblDaily[WardCode],"MAE")),"")</f>
        <v/>
      </c>
      <c r="E177" s="12">
        <f>IFERROR(IF(SUMIFS(tblDaily[DeathsUnder24Hrs],tblDaily[EntryDate],DATE(2026,5,15),tblDaily[WardCode],"MAE")=0,"",SUMIFS(tblDaily[DeathsUnder24Hrs],tblDaily[EntryDate],DATE(2026,5,15),tblDaily[WardCode],"MAE")),"")</f>
        <v/>
      </c>
      <c r="F177" s="12">
        <f>IFERROR(IF(SUMIFS(tblDaily[TransfersIn],tblDaily[EntryDate],DATE(2026,5,15),tblDaily[WardCode],"MAE")=0,"",SUMIFS(tblDaily[TransfersIn],tblDaily[EntryDate],DATE(2026,5,15),tblDaily[WardCode],"MAE")),"")</f>
        <v/>
      </c>
      <c r="G177" s="12">
        <f>IFERROR(IF(SUMIFS(tblDaily[TransfersOut],tblDaily[EntryDate],DATE(2026,5,15),tblDaily[WardCode],"MAE")=0,"",SUMIFS(tblDaily[TransfersOut],tblDaily[EntryDate],DATE(2026,5,15),tblDaily[WardCode],"MAE")),"")</f>
        <v/>
      </c>
      <c r="H177" s="12">
        <f>IFERROR(IF(SUMIFS(tblDaily[Remaining],tblDaily[EntryDate],DATE(2026,5,15),tblDaily[WardCode],"MAE")=0,"",SUMIFS(tblDaily[Remaining],tblDaily[EntryDate],DATE(2026,5,15),tblDaily[WardCode],"MAE")),"")</f>
        <v/>
      </c>
    </row>
    <row r="178">
      <c r="A178" s="12" t="n">
        <v>16</v>
      </c>
      <c r="B178" s="12">
        <f>IFERROR(IF(SUMIFS(tblDaily[Admissions],tblDaily[EntryDate],DATE(2026,5,16),tblDaily[WardCode],"MAE")=0,"",SUMIFS(tblDaily[Admissions],tblDaily[EntryDate],DATE(2026,5,16),tblDaily[WardCode],"MAE")),"")</f>
        <v/>
      </c>
      <c r="C178" s="12">
        <f>IFERROR(IF(SUMIFS(tblDaily[Discharges],tblDaily[EntryDate],DATE(2026,5,16),tblDaily[WardCode],"MAE")=0,"",SUMIFS(tblDaily[Discharges],tblDaily[EntryDate],DATE(2026,5,16),tblDaily[WardCode],"MAE")),"")</f>
        <v/>
      </c>
      <c r="D178" s="12">
        <f>IFERROR(IF(SUMIFS(tblDaily[Deaths],tblDaily[EntryDate],DATE(2026,5,16),tblDaily[WardCode],"MAE")=0,"",SUMIFS(tblDaily[Deaths],tblDaily[EntryDate],DATE(2026,5,16),tblDaily[WardCode],"MAE")),"")</f>
        <v/>
      </c>
      <c r="E178" s="12">
        <f>IFERROR(IF(SUMIFS(tblDaily[DeathsUnder24Hrs],tblDaily[EntryDate],DATE(2026,5,16),tblDaily[WardCode],"MAE")=0,"",SUMIFS(tblDaily[DeathsUnder24Hrs],tblDaily[EntryDate],DATE(2026,5,16),tblDaily[WardCode],"MAE")),"")</f>
        <v/>
      </c>
      <c r="F178" s="12">
        <f>IFERROR(IF(SUMIFS(tblDaily[TransfersIn],tblDaily[EntryDate],DATE(2026,5,16),tblDaily[WardCode],"MAE")=0,"",SUMIFS(tblDaily[TransfersIn],tblDaily[EntryDate],DATE(2026,5,16),tblDaily[WardCode],"MAE")),"")</f>
        <v/>
      </c>
      <c r="G178" s="12">
        <f>IFERROR(IF(SUMIFS(tblDaily[TransfersOut],tblDaily[EntryDate],DATE(2026,5,16),tblDaily[WardCode],"MAE")=0,"",SUMIFS(tblDaily[TransfersOut],tblDaily[EntryDate],DATE(2026,5,16),tblDaily[WardCode],"MAE")),"")</f>
        <v/>
      </c>
      <c r="H178" s="12">
        <f>IFERROR(IF(SUMIFS(tblDaily[Remaining],tblDaily[EntryDate],DATE(2026,5,16),tblDaily[WardCode],"MAE")=0,"",SUMIFS(tblDaily[Remaining],tblDaily[EntryDate],DATE(2026,5,16),tblDaily[WardCode],"MAE")),"")</f>
        <v/>
      </c>
    </row>
    <row r="179">
      <c r="A179" s="12" t="n">
        <v>17</v>
      </c>
      <c r="B179" s="12">
        <f>IFERROR(IF(SUMIFS(tblDaily[Admissions],tblDaily[EntryDate],DATE(2026,5,17),tblDaily[WardCode],"MAE")=0,"",SUMIFS(tblDaily[Admissions],tblDaily[EntryDate],DATE(2026,5,17),tblDaily[WardCode],"MAE")),"")</f>
        <v/>
      </c>
      <c r="C179" s="12">
        <f>IFERROR(IF(SUMIFS(tblDaily[Discharges],tblDaily[EntryDate],DATE(2026,5,17),tblDaily[WardCode],"MAE")=0,"",SUMIFS(tblDaily[Discharges],tblDaily[EntryDate],DATE(2026,5,17),tblDaily[WardCode],"MAE")),"")</f>
        <v/>
      </c>
      <c r="D179" s="12">
        <f>IFERROR(IF(SUMIFS(tblDaily[Deaths],tblDaily[EntryDate],DATE(2026,5,17),tblDaily[WardCode],"MAE")=0,"",SUMIFS(tblDaily[Deaths],tblDaily[EntryDate],DATE(2026,5,17),tblDaily[WardCode],"MAE")),"")</f>
        <v/>
      </c>
      <c r="E179" s="12">
        <f>IFERROR(IF(SUMIFS(tblDaily[DeathsUnder24Hrs],tblDaily[EntryDate],DATE(2026,5,17),tblDaily[WardCode],"MAE")=0,"",SUMIFS(tblDaily[DeathsUnder24Hrs],tblDaily[EntryDate],DATE(2026,5,17),tblDaily[WardCode],"MAE")),"")</f>
        <v/>
      </c>
      <c r="F179" s="12">
        <f>IFERROR(IF(SUMIFS(tblDaily[TransfersIn],tblDaily[EntryDate],DATE(2026,5,17),tblDaily[WardCode],"MAE")=0,"",SUMIFS(tblDaily[TransfersIn],tblDaily[EntryDate],DATE(2026,5,17),tblDaily[WardCode],"MAE")),"")</f>
        <v/>
      </c>
      <c r="G179" s="12">
        <f>IFERROR(IF(SUMIFS(tblDaily[TransfersOut],tblDaily[EntryDate],DATE(2026,5,17),tblDaily[WardCode],"MAE")=0,"",SUMIFS(tblDaily[TransfersOut],tblDaily[EntryDate],DATE(2026,5,17),tblDaily[WardCode],"MAE")),"")</f>
        <v/>
      </c>
      <c r="H179" s="12">
        <f>IFERROR(IF(SUMIFS(tblDaily[Remaining],tblDaily[EntryDate],DATE(2026,5,17),tblDaily[WardCode],"MAE")=0,"",SUMIFS(tblDaily[Remaining],tblDaily[EntryDate],DATE(2026,5,17),tblDaily[WardCode],"MAE")),"")</f>
        <v/>
      </c>
    </row>
    <row r="180">
      <c r="A180" s="12" t="n">
        <v>18</v>
      </c>
      <c r="B180" s="12">
        <f>IFERROR(IF(SUMIFS(tblDaily[Admissions],tblDaily[EntryDate],DATE(2026,5,18),tblDaily[WardCode],"MAE")=0,"",SUMIFS(tblDaily[Admissions],tblDaily[EntryDate],DATE(2026,5,18),tblDaily[WardCode],"MAE")),"")</f>
        <v/>
      </c>
      <c r="C180" s="12">
        <f>IFERROR(IF(SUMIFS(tblDaily[Discharges],tblDaily[EntryDate],DATE(2026,5,18),tblDaily[WardCode],"MAE")=0,"",SUMIFS(tblDaily[Discharges],tblDaily[EntryDate],DATE(2026,5,18),tblDaily[WardCode],"MAE")),"")</f>
        <v/>
      </c>
      <c r="D180" s="12">
        <f>IFERROR(IF(SUMIFS(tblDaily[Deaths],tblDaily[EntryDate],DATE(2026,5,18),tblDaily[WardCode],"MAE")=0,"",SUMIFS(tblDaily[Deaths],tblDaily[EntryDate],DATE(2026,5,18),tblDaily[WardCode],"MAE")),"")</f>
        <v/>
      </c>
      <c r="E180" s="12">
        <f>IFERROR(IF(SUMIFS(tblDaily[DeathsUnder24Hrs],tblDaily[EntryDate],DATE(2026,5,18),tblDaily[WardCode],"MAE")=0,"",SUMIFS(tblDaily[DeathsUnder24Hrs],tblDaily[EntryDate],DATE(2026,5,18),tblDaily[WardCode],"MAE")),"")</f>
        <v/>
      </c>
      <c r="F180" s="12">
        <f>IFERROR(IF(SUMIFS(tblDaily[TransfersIn],tblDaily[EntryDate],DATE(2026,5,18),tblDaily[WardCode],"MAE")=0,"",SUMIFS(tblDaily[TransfersIn],tblDaily[EntryDate],DATE(2026,5,18),tblDaily[WardCode],"MAE")),"")</f>
        <v/>
      </c>
      <c r="G180" s="12">
        <f>IFERROR(IF(SUMIFS(tblDaily[TransfersOut],tblDaily[EntryDate],DATE(2026,5,18),tblDaily[WardCode],"MAE")=0,"",SUMIFS(tblDaily[TransfersOut],tblDaily[EntryDate],DATE(2026,5,18),tblDaily[WardCode],"MAE")),"")</f>
        <v/>
      </c>
      <c r="H180" s="12">
        <f>IFERROR(IF(SUMIFS(tblDaily[Remaining],tblDaily[EntryDate],DATE(2026,5,18),tblDaily[WardCode],"MAE")=0,"",SUMIFS(tblDaily[Remaining],tblDaily[EntryDate],DATE(2026,5,18),tblDaily[WardCode],"MAE")),"")</f>
        <v/>
      </c>
    </row>
    <row r="181">
      <c r="A181" s="12" t="n">
        <v>19</v>
      </c>
      <c r="B181" s="12">
        <f>IFERROR(IF(SUMIFS(tblDaily[Admissions],tblDaily[EntryDate],DATE(2026,5,19),tblDaily[WardCode],"MAE")=0,"",SUMIFS(tblDaily[Admissions],tblDaily[EntryDate],DATE(2026,5,19),tblDaily[WardCode],"MAE")),"")</f>
        <v/>
      </c>
      <c r="C181" s="12">
        <f>IFERROR(IF(SUMIFS(tblDaily[Discharges],tblDaily[EntryDate],DATE(2026,5,19),tblDaily[WardCode],"MAE")=0,"",SUMIFS(tblDaily[Discharges],tblDaily[EntryDate],DATE(2026,5,19),tblDaily[WardCode],"MAE")),"")</f>
        <v/>
      </c>
      <c r="D181" s="12">
        <f>IFERROR(IF(SUMIFS(tblDaily[Deaths],tblDaily[EntryDate],DATE(2026,5,19),tblDaily[WardCode],"MAE")=0,"",SUMIFS(tblDaily[Deaths],tblDaily[EntryDate],DATE(2026,5,19),tblDaily[WardCode],"MAE")),"")</f>
        <v/>
      </c>
      <c r="E181" s="12">
        <f>IFERROR(IF(SUMIFS(tblDaily[DeathsUnder24Hrs],tblDaily[EntryDate],DATE(2026,5,19),tblDaily[WardCode],"MAE")=0,"",SUMIFS(tblDaily[DeathsUnder24Hrs],tblDaily[EntryDate],DATE(2026,5,19),tblDaily[WardCode],"MAE")),"")</f>
        <v/>
      </c>
      <c r="F181" s="12">
        <f>IFERROR(IF(SUMIFS(tblDaily[TransfersIn],tblDaily[EntryDate],DATE(2026,5,19),tblDaily[WardCode],"MAE")=0,"",SUMIFS(tblDaily[TransfersIn],tblDaily[EntryDate],DATE(2026,5,19),tblDaily[WardCode],"MAE")),"")</f>
        <v/>
      </c>
      <c r="G181" s="12">
        <f>IFERROR(IF(SUMIFS(tblDaily[TransfersOut],tblDaily[EntryDate],DATE(2026,5,19),tblDaily[WardCode],"MAE")=0,"",SUMIFS(tblDaily[TransfersOut],tblDaily[EntryDate],DATE(2026,5,19),tblDaily[WardCode],"MAE")),"")</f>
        <v/>
      </c>
      <c r="H181" s="12">
        <f>IFERROR(IF(SUMIFS(tblDaily[Remaining],tblDaily[EntryDate],DATE(2026,5,19),tblDaily[WardCode],"MAE")=0,"",SUMIFS(tblDaily[Remaining],tblDaily[EntryDate],DATE(2026,5,19),tblDaily[WardCode],"MAE")),"")</f>
        <v/>
      </c>
    </row>
    <row r="182">
      <c r="A182" s="12" t="n">
        <v>20</v>
      </c>
      <c r="B182" s="12">
        <f>IFERROR(IF(SUMIFS(tblDaily[Admissions],tblDaily[EntryDate],DATE(2026,5,20),tblDaily[WardCode],"MAE")=0,"",SUMIFS(tblDaily[Admissions],tblDaily[EntryDate],DATE(2026,5,20),tblDaily[WardCode],"MAE")),"")</f>
        <v/>
      </c>
      <c r="C182" s="12">
        <f>IFERROR(IF(SUMIFS(tblDaily[Discharges],tblDaily[EntryDate],DATE(2026,5,20),tblDaily[WardCode],"MAE")=0,"",SUMIFS(tblDaily[Discharges],tblDaily[EntryDate],DATE(2026,5,20),tblDaily[WardCode],"MAE")),"")</f>
        <v/>
      </c>
      <c r="D182" s="12">
        <f>IFERROR(IF(SUMIFS(tblDaily[Deaths],tblDaily[EntryDate],DATE(2026,5,20),tblDaily[WardCode],"MAE")=0,"",SUMIFS(tblDaily[Deaths],tblDaily[EntryDate],DATE(2026,5,20),tblDaily[WardCode],"MAE")),"")</f>
        <v/>
      </c>
      <c r="E182" s="12">
        <f>IFERROR(IF(SUMIFS(tblDaily[DeathsUnder24Hrs],tblDaily[EntryDate],DATE(2026,5,20),tblDaily[WardCode],"MAE")=0,"",SUMIFS(tblDaily[DeathsUnder24Hrs],tblDaily[EntryDate],DATE(2026,5,20),tblDaily[WardCode],"MAE")),"")</f>
        <v/>
      </c>
      <c r="F182" s="12">
        <f>IFERROR(IF(SUMIFS(tblDaily[TransfersIn],tblDaily[EntryDate],DATE(2026,5,20),tblDaily[WardCode],"MAE")=0,"",SUMIFS(tblDaily[TransfersIn],tblDaily[EntryDate],DATE(2026,5,20),tblDaily[WardCode],"MAE")),"")</f>
        <v/>
      </c>
      <c r="G182" s="12">
        <f>IFERROR(IF(SUMIFS(tblDaily[TransfersOut],tblDaily[EntryDate],DATE(2026,5,20),tblDaily[WardCode],"MAE")=0,"",SUMIFS(tblDaily[TransfersOut],tblDaily[EntryDate],DATE(2026,5,20),tblDaily[WardCode],"MAE")),"")</f>
        <v/>
      </c>
      <c r="H182" s="12">
        <f>IFERROR(IF(SUMIFS(tblDaily[Remaining],tblDaily[EntryDate],DATE(2026,5,20),tblDaily[WardCode],"MAE")=0,"",SUMIFS(tblDaily[Remaining],tblDaily[EntryDate],DATE(2026,5,20),tblDaily[WardCode],"MAE")),"")</f>
        <v/>
      </c>
    </row>
    <row r="183">
      <c r="A183" s="12" t="n">
        <v>21</v>
      </c>
      <c r="B183" s="12">
        <f>IFERROR(IF(SUMIFS(tblDaily[Admissions],tblDaily[EntryDate],DATE(2026,5,21),tblDaily[WardCode],"MAE")=0,"",SUMIFS(tblDaily[Admissions],tblDaily[EntryDate],DATE(2026,5,21),tblDaily[WardCode],"MAE")),"")</f>
        <v/>
      </c>
      <c r="C183" s="12">
        <f>IFERROR(IF(SUMIFS(tblDaily[Discharges],tblDaily[EntryDate],DATE(2026,5,21),tblDaily[WardCode],"MAE")=0,"",SUMIFS(tblDaily[Discharges],tblDaily[EntryDate],DATE(2026,5,21),tblDaily[WardCode],"MAE")),"")</f>
        <v/>
      </c>
      <c r="D183" s="12">
        <f>IFERROR(IF(SUMIFS(tblDaily[Deaths],tblDaily[EntryDate],DATE(2026,5,21),tblDaily[WardCode],"MAE")=0,"",SUMIFS(tblDaily[Deaths],tblDaily[EntryDate],DATE(2026,5,21),tblDaily[WardCode],"MAE")),"")</f>
        <v/>
      </c>
      <c r="E183" s="12">
        <f>IFERROR(IF(SUMIFS(tblDaily[DeathsUnder24Hrs],tblDaily[EntryDate],DATE(2026,5,21),tblDaily[WardCode],"MAE")=0,"",SUMIFS(tblDaily[DeathsUnder24Hrs],tblDaily[EntryDate],DATE(2026,5,21),tblDaily[WardCode],"MAE")),"")</f>
        <v/>
      </c>
      <c r="F183" s="12">
        <f>IFERROR(IF(SUMIFS(tblDaily[TransfersIn],tblDaily[EntryDate],DATE(2026,5,21),tblDaily[WardCode],"MAE")=0,"",SUMIFS(tblDaily[TransfersIn],tblDaily[EntryDate],DATE(2026,5,21),tblDaily[WardCode],"MAE")),"")</f>
        <v/>
      </c>
      <c r="G183" s="12">
        <f>IFERROR(IF(SUMIFS(tblDaily[TransfersOut],tblDaily[EntryDate],DATE(2026,5,21),tblDaily[WardCode],"MAE")=0,"",SUMIFS(tblDaily[TransfersOut],tblDaily[EntryDate],DATE(2026,5,21),tblDaily[WardCode],"MAE")),"")</f>
        <v/>
      </c>
      <c r="H183" s="12">
        <f>IFERROR(IF(SUMIFS(tblDaily[Remaining],tblDaily[EntryDate],DATE(2026,5,21),tblDaily[WardCode],"MAE")=0,"",SUMIFS(tblDaily[Remaining],tblDaily[EntryDate],DATE(2026,5,21),tblDaily[WardCode],"MAE")),"")</f>
        <v/>
      </c>
    </row>
    <row r="184">
      <c r="A184" s="12" t="n">
        <v>22</v>
      </c>
      <c r="B184" s="12">
        <f>IFERROR(IF(SUMIFS(tblDaily[Admissions],tblDaily[EntryDate],DATE(2026,5,22),tblDaily[WardCode],"MAE")=0,"",SUMIFS(tblDaily[Admissions],tblDaily[EntryDate],DATE(2026,5,22),tblDaily[WardCode],"MAE")),"")</f>
        <v/>
      </c>
      <c r="C184" s="12">
        <f>IFERROR(IF(SUMIFS(tblDaily[Discharges],tblDaily[EntryDate],DATE(2026,5,22),tblDaily[WardCode],"MAE")=0,"",SUMIFS(tblDaily[Discharges],tblDaily[EntryDate],DATE(2026,5,22),tblDaily[WardCode],"MAE")),"")</f>
        <v/>
      </c>
      <c r="D184" s="12">
        <f>IFERROR(IF(SUMIFS(tblDaily[Deaths],tblDaily[EntryDate],DATE(2026,5,22),tblDaily[WardCode],"MAE")=0,"",SUMIFS(tblDaily[Deaths],tblDaily[EntryDate],DATE(2026,5,22),tblDaily[WardCode],"MAE")),"")</f>
        <v/>
      </c>
      <c r="E184" s="12">
        <f>IFERROR(IF(SUMIFS(tblDaily[DeathsUnder24Hrs],tblDaily[EntryDate],DATE(2026,5,22),tblDaily[WardCode],"MAE")=0,"",SUMIFS(tblDaily[DeathsUnder24Hrs],tblDaily[EntryDate],DATE(2026,5,22),tblDaily[WardCode],"MAE")),"")</f>
        <v/>
      </c>
      <c r="F184" s="12">
        <f>IFERROR(IF(SUMIFS(tblDaily[TransfersIn],tblDaily[EntryDate],DATE(2026,5,22),tblDaily[WardCode],"MAE")=0,"",SUMIFS(tblDaily[TransfersIn],tblDaily[EntryDate],DATE(2026,5,22),tblDaily[WardCode],"MAE")),"")</f>
        <v/>
      </c>
      <c r="G184" s="12">
        <f>IFERROR(IF(SUMIFS(tblDaily[TransfersOut],tblDaily[EntryDate],DATE(2026,5,22),tblDaily[WardCode],"MAE")=0,"",SUMIFS(tblDaily[TransfersOut],tblDaily[EntryDate],DATE(2026,5,22),tblDaily[WardCode],"MAE")),"")</f>
        <v/>
      </c>
      <c r="H184" s="12">
        <f>IFERROR(IF(SUMIFS(tblDaily[Remaining],tblDaily[EntryDate],DATE(2026,5,22),tblDaily[WardCode],"MAE")=0,"",SUMIFS(tblDaily[Remaining],tblDaily[EntryDate],DATE(2026,5,22),tblDaily[WardCode],"MAE")),"")</f>
        <v/>
      </c>
    </row>
    <row r="185">
      <c r="A185" s="12" t="n">
        <v>23</v>
      </c>
      <c r="B185" s="12">
        <f>IFERROR(IF(SUMIFS(tblDaily[Admissions],tblDaily[EntryDate],DATE(2026,5,23),tblDaily[WardCode],"MAE")=0,"",SUMIFS(tblDaily[Admissions],tblDaily[EntryDate],DATE(2026,5,23),tblDaily[WardCode],"MAE")),"")</f>
        <v/>
      </c>
      <c r="C185" s="12">
        <f>IFERROR(IF(SUMIFS(tblDaily[Discharges],tblDaily[EntryDate],DATE(2026,5,23),tblDaily[WardCode],"MAE")=0,"",SUMIFS(tblDaily[Discharges],tblDaily[EntryDate],DATE(2026,5,23),tblDaily[WardCode],"MAE")),"")</f>
        <v/>
      </c>
      <c r="D185" s="12">
        <f>IFERROR(IF(SUMIFS(tblDaily[Deaths],tblDaily[EntryDate],DATE(2026,5,23),tblDaily[WardCode],"MAE")=0,"",SUMIFS(tblDaily[Deaths],tblDaily[EntryDate],DATE(2026,5,23),tblDaily[WardCode],"MAE")),"")</f>
        <v/>
      </c>
      <c r="E185" s="12">
        <f>IFERROR(IF(SUMIFS(tblDaily[DeathsUnder24Hrs],tblDaily[EntryDate],DATE(2026,5,23),tblDaily[WardCode],"MAE")=0,"",SUMIFS(tblDaily[DeathsUnder24Hrs],tblDaily[EntryDate],DATE(2026,5,23),tblDaily[WardCode],"MAE")),"")</f>
        <v/>
      </c>
      <c r="F185" s="12">
        <f>IFERROR(IF(SUMIFS(tblDaily[TransfersIn],tblDaily[EntryDate],DATE(2026,5,23),tblDaily[WardCode],"MAE")=0,"",SUMIFS(tblDaily[TransfersIn],tblDaily[EntryDate],DATE(2026,5,23),tblDaily[WardCode],"MAE")),"")</f>
        <v/>
      </c>
      <c r="G185" s="12">
        <f>IFERROR(IF(SUMIFS(tblDaily[TransfersOut],tblDaily[EntryDate],DATE(2026,5,23),tblDaily[WardCode],"MAE")=0,"",SUMIFS(tblDaily[TransfersOut],tblDaily[EntryDate],DATE(2026,5,23),tblDaily[WardCode],"MAE")),"")</f>
        <v/>
      </c>
      <c r="H185" s="12">
        <f>IFERROR(IF(SUMIFS(tblDaily[Remaining],tblDaily[EntryDate],DATE(2026,5,23),tblDaily[WardCode],"MAE")=0,"",SUMIFS(tblDaily[Remaining],tblDaily[EntryDate],DATE(2026,5,23),tblDaily[WardCode],"MAE")),"")</f>
        <v/>
      </c>
    </row>
    <row r="186">
      <c r="A186" s="12" t="n">
        <v>24</v>
      </c>
      <c r="B186" s="12">
        <f>IFERROR(IF(SUMIFS(tblDaily[Admissions],tblDaily[EntryDate],DATE(2026,5,24),tblDaily[WardCode],"MAE")=0,"",SUMIFS(tblDaily[Admissions],tblDaily[EntryDate],DATE(2026,5,24),tblDaily[WardCode],"MAE")),"")</f>
        <v/>
      </c>
      <c r="C186" s="12">
        <f>IFERROR(IF(SUMIFS(tblDaily[Discharges],tblDaily[EntryDate],DATE(2026,5,24),tblDaily[WardCode],"MAE")=0,"",SUMIFS(tblDaily[Discharges],tblDaily[EntryDate],DATE(2026,5,24),tblDaily[WardCode],"MAE")),"")</f>
        <v/>
      </c>
      <c r="D186" s="12">
        <f>IFERROR(IF(SUMIFS(tblDaily[Deaths],tblDaily[EntryDate],DATE(2026,5,24),tblDaily[WardCode],"MAE")=0,"",SUMIFS(tblDaily[Deaths],tblDaily[EntryDate],DATE(2026,5,24),tblDaily[WardCode],"MAE")),"")</f>
        <v/>
      </c>
      <c r="E186" s="12">
        <f>IFERROR(IF(SUMIFS(tblDaily[DeathsUnder24Hrs],tblDaily[EntryDate],DATE(2026,5,24),tblDaily[WardCode],"MAE")=0,"",SUMIFS(tblDaily[DeathsUnder24Hrs],tblDaily[EntryDate],DATE(2026,5,24),tblDaily[WardCode],"MAE")),"")</f>
        <v/>
      </c>
      <c r="F186" s="12">
        <f>IFERROR(IF(SUMIFS(tblDaily[TransfersIn],tblDaily[EntryDate],DATE(2026,5,24),tblDaily[WardCode],"MAE")=0,"",SUMIFS(tblDaily[TransfersIn],tblDaily[EntryDate],DATE(2026,5,24),tblDaily[WardCode],"MAE")),"")</f>
        <v/>
      </c>
      <c r="G186" s="12">
        <f>IFERROR(IF(SUMIFS(tblDaily[TransfersOut],tblDaily[EntryDate],DATE(2026,5,24),tblDaily[WardCode],"MAE")=0,"",SUMIFS(tblDaily[TransfersOut],tblDaily[EntryDate],DATE(2026,5,24),tblDaily[WardCode],"MAE")),"")</f>
        <v/>
      </c>
      <c r="H186" s="12">
        <f>IFERROR(IF(SUMIFS(tblDaily[Remaining],tblDaily[EntryDate],DATE(2026,5,24),tblDaily[WardCode],"MAE")=0,"",SUMIFS(tblDaily[Remaining],tblDaily[EntryDate],DATE(2026,5,24),tblDaily[WardCode],"MAE")),"")</f>
        <v/>
      </c>
    </row>
    <row r="187">
      <c r="A187" s="12" t="n">
        <v>25</v>
      </c>
      <c r="B187" s="12">
        <f>IFERROR(IF(SUMIFS(tblDaily[Admissions],tblDaily[EntryDate],DATE(2026,5,25),tblDaily[WardCode],"MAE")=0,"",SUMIFS(tblDaily[Admissions],tblDaily[EntryDate],DATE(2026,5,25),tblDaily[WardCode],"MAE")),"")</f>
        <v/>
      </c>
      <c r="C187" s="12">
        <f>IFERROR(IF(SUMIFS(tblDaily[Discharges],tblDaily[EntryDate],DATE(2026,5,25),tblDaily[WardCode],"MAE")=0,"",SUMIFS(tblDaily[Discharges],tblDaily[EntryDate],DATE(2026,5,25),tblDaily[WardCode],"MAE")),"")</f>
        <v/>
      </c>
      <c r="D187" s="12">
        <f>IFERROR(IF(SUMIFS(tblDaily[Deaths],tblDaily[EntryDate],DATE(2026,5,25),tblDaily[WardCode],"MAE")=0,"",SUMIFS(tblDaily[Deaths],tblDaily[EntryDate],DATE(2026,5,25),tblDaily[WardCode],"MAE")),"")</f>
        <v/>
      </c>
      <c r="E187" s="12">
        <f>IFERROR(IF(SUMIFS(tblDaily[DeathsUnder24Hrs],tblDaily[EntryDate],DATE(2026,5,25),tblDaily[WardCode],"MAE")=0,"",SUMIFS(tblDaily[DeathsUnder24Hrs],tblDaily[EntryDate],DATE(2026,5,25),tblDaily[WardCode],"MAE")),"")</f>
        <v/>
      </c>
      <c r="F187" s="12">
        <f>IFERROR(IF(SUMIFS(tblDaily[TransfersIn],tblDaily[EntryDate],DATE(2026,5,25),tblDaily[WardCode],"MAE")=0,"",SUMIFS(tblDaily[TransfersIn],tblDaily[EntryDate],DATE(2026,5,25),tblDaily[WardCode],"MAE")),"")</f>
        <v/>
      </c>
      <c r="G187" s="12">
        <f>IFERROR(IF(SUMIFS(tblDaily[TransfersOut],tblDaily[EntryDate],DATE(2026,5,25),tblDaily[WardCode],"MAE")=0,"",SUMIFS(tblDaily[TransfersOut],tblDaily[EntryDate],DATE(2026,5,25),tblDaily[WardCode],"MAE")),"")</f>
        <v/>
      </c>
      <c r="H187" s="12">
        <f>IFERROR(IF(SUMIFS(tblDaily[Remaining],tblDaily[EntryDate],DATE(2026,5,25),tblDaily[WardCode],"MAE")=0,"",SUMIFS(tblDaily[Remaining],tblDaily[EntryDate],DATE(2026,5,25),tblDaily[WardCode],"MAE")),"")</f>
        <v/>
      </c>
    </row>
    <row r="188">
      <c r="A188" s="12" t="n">
        <v>26</v>
      </c>
      <c r="B188" s="12">
        <f>IFERROR(IF(SUMIFS(tblDaily[Admissions],tblDaily[EntryDate],DATE(2026,5,26),tblDaily[WardCode],"MAE")=0,"",SUMIFS(tblDaily[Admissions],tblDaily[EntryDate],DATE(2026,5,26),tblDaily[WardCode],"MAE")),"")</f>
        <v/>
      </c>
      <c r="C188" s="12">
        <f>IFERROR(IF(SUMIFS(tblDaily[Discharges],tblDaily[EntryDate],DATE(2026,5,26),tblDaily[WardCode],"MAE")=0,"",SUMIFS(tblDaily[Discharges],tblDaily[EntryDate],DATE(2026,5,26),tblDaily[WardCode],"MAE")),"")</f>
        <v/>
      </c>
      <c r="D188" s="12">
        <f>IFERROR(IF(SUMIFS(tblDaily[Deaths],tblDaily[EntryDate],DATE(2026,5,26),tblDaily[WardCode],"MAE")=0,"",SUMIFS(tblDaily[Deaths],tblDaily[EntryDate],DATE(2026,5,26),tblDaily[WardCode],"MAE")),"")</f>
        <v/>
      </c>
      <c r="E188" s="12">
        <f>IFERROR(IF(SUMIFS(tblDaily[DeathsUnder24Hrs],tblDaily[EntryDate],DATE(2026,5,26),tblDaily[WardCode],"MAE")=0,"",SUMIFS(tblDaily[DeathsUnder24Hrs],tblDaily[EntryDate],DATE(2026,5,26),tblDaily[WardCode],"MAE")),"")</f>
        <v/>
      </c>
      <c r="F188" s="12">
        <f>IFERROR(IF(SUMIFS(tblDaily[TransfersIn],tblDaily[EntryDate],DATE(2026,5,26),tblDaily[WardCode],"MAE")=0,"",SUMIFS(tblDaily[TransfersIn],tblDaily[EntryDate],DATE(2026,5,26),tblDaily[WardCode],"MAE")),"")</f>
        <v/>
      </c>
      <c r="G188" s="12">
        <f>IFERROR(IF(SUMIFS(tblDaily[TransfersOut],tblDaily[EntryDate],DATE(2026,5,26),tblDaily[WardCode],"MAE")=0,"",SUMIFS(tblDaily[TransfersOut],tblDaily[EntryDate],DATE(2026,5,26),tblDaily[WardCode],"MAE")),"")</f>
        <v/>
      </c>
      <c r="H188" s="12">
        <f>IFERROR(IF(SUMIFS(tblDaily[Remaining],tblDaily[EntryDate],DATE(2026,5,26),tblDaily[WardCode],"MAE")=0,"",SUMIFS(tblDaily[Remaining],tblDaily[EntryDate],DATE(2026,5,26),tblDaily[WardCode],"MAE")),"")</f>
        <v/>
      </c>
    </row>
    <row r="189">
      <c r="A189" s="12" t="n">
        <v>27</v>
      </c>
      <c r="B189" s="12">
        <f>IFERROR(IF(SUMIFS(tblDaily[Admissions],tblDaily[EntryDate],DATE(2026,5,27),tblDaily[WardCode],"MAE")=0,"",SUMIFS(tblDaily[Admissions],tblDaily[EntryDate],DATE(2026,5,27),tblDaily[WardCode],"MAE")),"")</f>
        <v/>
      </c>
      <c r="C189" s="12">
        <f>IFERROR(IF(SUMIFS(tblDaily[Discharges],tblDaily[EntryDate],DATE(2026,5,27),tblDaily[WardCode],"MAE")=0,"",SUMIFS(tblDaily[Discharges],tblDaily[EntryDate],DATE(2026,5,27),tblDaily[WardCode],"MAE")),"")</f>
        <v/>
      </c>
      <c r="D189" s="12">
        <f>IFERROR(IF(SUMIFS(tblDaily[Deaths],tblDaily[EntryDate],DATE(2026,5,27),tblDaily[WardCode],"MAE")=0,"",SUMIFS(tblDaily[Deaths],tblDaily[EntryDate],DATE(2026,5,27),tblDaily[WardCode],"MAE")),"")</f>
        <v/>
      </c>
      <c r="E189" s="12">
        <f>IFERROR(IF(SUMIFS(tblDaily[DeathsUnder24Hrs],tblDaily[EntryDate],DATE(2026,5,27),tblDaily[WardCode],"MAE")=0,"",SUMIFS(tblDaily[DeathsUnder24Hrs],tblDaily[EntryDate],DATE(2026,5,27),tblDaily[WardCode],"MAE")),"")</f>
        <v/>
      </c>
      <c r="F189" s="12">
        <f>IFERROR(IF(SUMIFS(tblDaily[TransfersIn],tblDaily[EntryDate],DATE(2026,5,27),tblDaily[WardCode],"MAE")=0,"",SUMIFS(tblDaily[TransfersIn],tblDaily[EntryDate],DATE(2026,5,27),tblDaily[WardCode],"MAE")),"")</f>
        <v/>
      </c>
      <c r="G189" s="12">
        <f>IFERROR(IF(SUMIFS(tblDaily[TransfersOut],tblDaily[EntryDate],DATE(2026,5,27),tblDaily[WardCode],"MAE")=0,"",SUMIFS(tblDaily[TransfersOut],tblDaily[EntryDate],DATE(2026,5,27),tblDaily[WardCode],"MAE")),"")</f>
        <v/>
      </c>
      <c r="H189" s="12">
        <f>IFERROR(IF(SUMIFS(tblDaily[Remaining],tblDaily[EntryDate],DATE(2026,5,27),tblDaily[WardCode],"MAE")=0,"",SUMIFS(tblDaily[Remaining],tblDaily[EntryDate],DATE(2026,5,27),tblDaily[WardCode],"MAE")),"")</f>
        <v/>
      </c>
    </row>
    <row r="190">
      <c r="A190" s="12" t="n">
        <v>28</v>
      </c>
      <c r="B190" s="12">
        <f>IFERROR(IF(SUMIFS(tblDaily[Admissions],tblDaily[EntryDate],DATE(2026,5,28),tblDaily[WardCode],"MAE")=0,"",SUMIFS(tblDaily[Admissions],tblDaily[EntryDate],DATE(2026,5,28),tblDaily[WardCode],"MAE")),"")</f>
        <v/>
      </c>
      <c r="C190" s="12">
        <f>IFERROR(IF(SUMIFS(tblDaily[Discharges],tblDaily[EntryDate],DATE(2026,5,28),tblDaily[WardCode],"MAE")=0,"",SUMIFS(tblDaily[Discharges],tblDaily[EntryDate],DATE(2026,5,28),tblDaily[WardCode],"MAE")),"")</f>
        <v/>
      </c>
      <c r="D190" s="12">
        <f>IFERROR(IF(SUMIFS(tblDaily[Deaths],tblDaily[EntryDate],DATE(2026,5,28),tblDaily[WardCode],"MAE")=0,"",SUMIFS(tblDaily[Deaths],tblDaily[EntryDate],DATE(2026,5,28),tblDaily[WardCode],"MAE")),"")</f>
        <v/>
      </c>
      <c r="E190" s="12">
        <f>IFERROR(IF(SUMIFS(tblDaily[DeathsUnder24Hrs],tblDaily[EntryDate],DATE(2026,5,28),tblDaily[WardCode],"MAE")=0,"",SUMIFS(tblDaily[DeathsUnder24Hrs],tblDaily[EntryDate],DATE(2026,5,28),tblDaily[WardCode],"MAE")),"")</f>
        <v/>
      </c>
      <c r="F190" s="12">
        <f>IFERROR(IF(SUMIFS(tblDaily[TransfersIn],tblDaily[EntryDate],DATE(2026,5,28),tblDaily[WardCode],"MAE")=0,"",SUMIFS(tblDaily[TransfersIn],tblDaily[EntryDate],DATE(2026,5,28),tblDaily[WardCode],"MAE")),"")</f>
        <v/>
      </c>
      <c r="G190" s="12">
        <f>IFERROR(IF(SUMIFS(tblDaily[TransfersOut],tblDaily[EntryDate],DATE(2026,5,28),tblDaily[WardCode],"MAE")=0,"",SUMIFS(tblDaily[TransfersOut],tblDaily[EntryDate],DATE(2026,5,28),tblDaily[WardCode],"MAE")),"")</f>
        <v/>
      </c>
      <c r="H190" s="12">
        <f>IFERROR(IF(SUMIFS(tblDaily[Remaining],tblDaily[EntryDate],DATE(2026,5,28),tblDaily[WardCode],"MAE")=0,"",SUMIFS(tblDaily[Remaining],tblDaily[EntryDate],DATE(2026,5,28),tblDaily[WardCode],"MAE")),"")</f>
        <v/>
      </c>
    </row>
    <row r="191">
      <c r="A191" s="12" t="n">
        <v>29</v>
      </c>
      <c r="B191" s="12">
        <f>IFERROR(IF(SUMIFS(tblDaily[Admissions],tblDaily[EntryDate],DATE(2026,5,29),tblDaily[WardCode],"MAE")=0,"",SUMIFS(tblDaily[Admissions],tblDaily[EntryDate],DATE(2026,5,29),tblDaily[WardCode],"MAE")),"")</f>
        <v/>
      </c>
      <c r="C191" s="12">
        <f>IFERROR(IF(SUMIFS(tblDaily[Discharges],tblDaily[EntryDate],DATE(2026,5,29),tblDaily[WardCode],"MAE")=0,"",SUMIFS(tblDaily[Discharges],tblDaily[EntryDate],DATE(2026,5,29),tblDaily[WardCode],"MAE")),"")</f>
        <v/>
      </c>
      <c r="D191" s="12">
        <f>IFERROR(IF(SUMIFS(tblDaily[Deaths],tblDaily[EntryDate],DATE(2026,5,29),tblDaily[WardCode],"MAE")=0,"",SUMIFS(tblDaily[Deaths],tblDaily[EntryDate],DATE(2026,5,29),tblDaily[WardCode],"MAE")),"")</f>
        <v/>
      </c>
      <c r="E191" s="12">
        <f>IFERROR(IF(SUMIFS(tblDaily[DeathsUnder24Hrs],tblDaily[EntryDate],DATE(2026,5,29),tblDaily[WardCode],"MAE")=0,"",SUMIFS(tblDaily[DeathsUnder24Hrs],tblDaily[EntryDate],DATE(2026,5,29),tblDaily[WardCode],"MAE")),"")</f>
        <v/>
      </c>
      <c r="F191" s="12">
        <f>IFERROR(IF(SUMIFS(tblDaily[TransfersIn],tblDaily[EntryDate],DATE(2026,5,29),tblDaily[WardCode],"MAE")=0,"",SUMIFS(tblDaily[TransfersIn],tblDaily[EntryDate],DATE(2026,5,29),tblDaily[WardCode],"MAE")),"")</f>
        <v/>
      </c>
      <c r="G191" s="12">
        <f>IFERROR(IF(SUMIFS(tblDaily[TransfersOut],tblDaily[EntryDate],DATE(2026,5,29),tblDaily[WardCode],"MAE")=0,"",SUMIFS(tblDaily[TransfersOut],tblDaily[EntryDate],DATE(2026,5,29),tblDaily[WardCode],"MAE")),"")</f>
        <v/>
      </c>
      <c r="H191" s="12">
        <f>IFERROR(IF(SUMIFS(tblDaily[Remaining],tblDaily[EntryDate],DATE(2026,5,29),tblDaily[WardCode],"MAE")=0,"",SUMIFS(tblDaily[Remaining],tblDaily[EntryDate],DATE(2026,5,29),tblDaily[WardCode],"MAE")),"")</f>
        <v/>
      </c>
    </row>
    <row r="192">
      <c r="A192" s="12" t="n">
        <v>30</v>
      </c>
      <c r="B192" s="12">
        <f>IFERROR(IF(SUMIFS(tblDaily[Admissions],tblDaily[EntryDate],DATE(2026,5,30),tblDaily[WardCode],"MAE")=0,"",SUMIFS(tblDaily[Admissions],tblDaily[EntryDate],DATE(2026,5,30),tblDaily[WardCode],"MAE")),"")</f>
        <v/>
      </c>
      <c r="C192" s="12">
        <f>IFERROR(IF(SUMIFS(tblDaily[Discharges],tblDaily[EntryDate],DATE(2026,5,30),tblDaily[WardCode],"MAE")=0,"",SUMIFS(tblDaily[Discharges],tblDaily[EntryDate],DATE(2026,5,30),tblDaily[WardCode],"MAE")),"")</f>
        <v/>
      </c>
      <c r="D192" s="12">
        <f>IFERROR(IF(SUMIFS(tblDaily[Deaths],tblDaily[EntryDate],DATE(2026,5,30),tblDaily[WardCode],"MAE")=0,"",SUMIFS(tblDaily[Deaths],tblDaily[EntryDate],DATE(2026,5,30),tblDaily[WardCode],"MAE")),"")</f>
        <v/>
      </c>
      <c r="E192" s="12">
        <f>IFERROR(IF(SUMIFS(tblDaily[DeathsUnder24Hrs],tblDaily[EntryDate],DATE(2026,5,30),tblDaily[WardCode],"MAE")=0,"",SUMIFS(tblDaily[DeathsUnder24Hrs],tblDaily[EntryDate],DATE(2026,5,30),tblDaily[WardCode],"MAE")),"")</f>
        <v/>
      </c>
      <c r="F192" s="12">
        <f>IFERROR(IF(SUMIFS(tblDaily[TransfersIn],tblDaily[EntryDate],DATE(2026,5,30),tblDaily[WardCode],"MAE")=0,"",SUMIFS(tblDaily[TransfersIn],tblDaily[EntryDate],DATE(2026,5,30),tblDaily[WardCode],"MAE")),"")</f>
        <v/>
      </c>
      <c r="G192" s="12">
        <f>IFERROR(IF(SUMIFS(tblDaily[TransfersOut],tblDaily[EntryDate],DATE(2026,5,30),tblDaily[WardCode],"MAE")=0,"",SUMIFS(tblDaily[TransfersOut],tblDaily[EntryDate],DATE(2026,5,30),tblDaily[WardCode],"MAE")),"")</f>
        <v/>
      </c>
      <c r="H192" s="12">
        <f>IFERROR(IF(SUMIFS(tblDaily[Remaining],tblDaily[EntryDate],DATE(2026,5,30),tblDaily[WardCode],"MAE")=0,"",SUMIFS(tblDaily[Remaining],tblDaily[EntryDate],DATE(2026,5,30),tblDaily[WardCode],"MAE")),"")</f>
        <v/>
      </c>
    </row>
    <row r="193">
      <c r="A193" s="12" t="n">
        <v>31</v>
      </c>
      <c r="B193" s="12">
        <f>IFERROR(IF(SUMIFS(tblDaily[Admissions],tblDaily[EntryDate],DATE(2026,5,31),tblDaily[WardCode],"MAE")=0,"",SUMIFS(tblDaily[Admissions],tblDaily[EntryDate],DATE(2026,5,31),tblDaily[WardCode],"MAE")),"")</f>
        <v/>
      </c>
      <c r="C193" s="12">
        <f>IFERROR(IF(SUMIFS(tblDaily[Discharges],tblDaily[EntryDate],DATE(2026,5,31),tblDaily[WardCode],"MAE")=0,"",SUMIFS(tblDaily[Discharges],tblDaily[EntryDate],DATE(2026,5,31),tblDaily[WardCode],"MAE")),"")</f>
        <v/>
      </c>
      <c r="D193" s="12">
        <f>IFERROR(IF(SUMIFS(tblDaily[Deaths],tblDaily[EntryDate],DATE(2026,5,31),tblDaily[WardCode],"MAE")=0,"",SUMIFS(tblDaily[Deaths],tblDaily[EntryDate],DATE(2026,5,31),tblDaily[WardCode],"MAE")),"")</f>
        <v/>
      </c>
      <c r="E193" s="12">
        <f>IFERROR(IF(SUMIFS(tblDaily[DeathsUnder24Hrs],tblDaily[EntryDate],DATE(2026,5,31),tblDaily[WardCode],"MAE")=0,"",SUMIFS(tblDaily[DeathsUnder24Hrs],tblDaily[EntryDate],DATE(2026,5,31),tblDaily[WardCode],"MAE")),"")</f>
        <v/>
      </c>
      <c r="F193" s="12">
        <f>IFERROR(IF(SUMIFS(tblDaily[TransfersIn],tblDaily[EntryDate],DATE(2026,5,31),tblDaily[WardCode],"MAE")=0,"",SUMIFS(tblDaily[TransfersIn],tblDaily[EntryDate],DATE(2026,5,31),tblDaily[WardCode],"MAE")),"")</f>
        <v/>
      </c>
      <c r="G193" s="12">
        <f>IFERROR(IF(SUMIFS(tblDaily[TransfersOut],tblDaily[EntryDate],DATE(2026,5,31),tblDaily[WardCode],"MAE")=0,"",SUMIFS(tblDaily[TransfersOut],tblDaily[EntryDate],DATE(2026,5,31),tblDaily[WardCode],"MAE")),"")</f>
        <v/>
      </c>
      <c r="H193" s="12">
        <f>IFERROR(IF(SUMIFS(tblDaily[Remaining],tblDaily[EntryDate],DATE(2026,5,31),tblDaily[WardCode],"MAE")=0,"",SUMIFS(tblDaily[Remaining],tblDaily[EntryDate],DATE(2026,5,31),tblDaily[WardCode],"MAE")),"")</f>
        <v/>
      </c>
    </row>
    <row r="194">
      <c r="A194" s="17" t="inlineStr">
        <is>
          <t>TOTAL</t>
        </is>
      </c>
      <c r="B194" s="17">
        <f>SUMIFS(tblDaily[Admissions],tblDaily[Month],5,tblDaily[WardCode],"MAE") - SUMIFS(tblDaily[DeathsUnder24Hrs],tblDaily[Month],5,tblDaily[WardCode],"MAE")</f>
        <v/>
      </c>
      <c r="C194" s="17">
        <f>SUMIFS(tblDaily[Discharges],tblDaily[Month],5,tblDaily[WardCode],"MAE")</f>
        <v/>
      </c>
      <c r="D194" s="17">
        <f>SUMIFS(tblDaily[Deaths],tblDaily[Month],5,tblDaily[WardCode],"MAE")</f>
        <v/>
      </c>
      <c r="E194" s="17">
        <f>SUMIFS(tblDaily[DeathsUnder24Hrs],tblDaily[Month],5,tblDaily[WardCode],"MAE")</f>
        <v/>
      </c>
      <c r="F194" s="17">
        <f>SUMIFS(tblDaily[TransfersIn],tblDaily[Month],5,tblDaily[WardCode],"MAE")</f>
        <v/>
      </c>
      <c r="G194" s="17">
        <f>SUMIFS(tblDaily[TransfersOut],tblDaily[Month],5,tblDaily[WardCode],"MAE")</f>
        <v/>
      </c>
      <c r="H194" s="17">
        <f>SUMIFS(tblDaily[Remaining],tblDaily[Month],5,tblDaily[WardCode],"MAE")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MALE EMERGENCY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4">
        <f>IFERROR(SUMIFS(tblDaily[Remaining],tblDaily[EntryDate],DATE(2026,5,31),tblDaily[WardCode],"MAE"),0)</f>
        <v/>
      </c>
    </row>
    <row r="200">
      <c r="A200" s="4" t="inlineStr">
        <is>
          <t>Bed complement</t>
        </is>
      </c>
      <c r="H200" s="15">
        <f>IFERROR(INDEX(tblWardConfig[BedComplement],MATCH("MAE",tblWardConfig[WardCode],0)),0)</f>
        <v/>
      </c>
    </row>
    <row r="201">
      <c r="A201" s="16" t="inlineStr">
        <is>
          <t>Day of
the
Month</t>
        </is>
      </c>
      <c r="B201" s="16" t="inlineStr">
        <is>
          <t>Admissions</t>
        </is>
      </c>
      <c r="C201" s="16" t="inlineStr">
        <is>
          <t>Discharges</t>
        </is>
      </c>
      <c r="D201" s="16" t="inlineStr">
        <is>
          <t>Deaths</t>
        </is>
      </c>
      <c r="E201" s="16" t="inlineStr">
        <is>
          <t>Deaths
&lt;24Hrs</t>
        </is>
      </c>
      <c r="F201" s="16" t="inlineStr">
        <is>
          <t>Transfers-
In</t>
        </is>
      </c>
      <c r="G201" s="16" t="inlineStr">
        <is>
          <t>Transfers-
Out</t>
        </is>
      </c>
      <c r="H201" s="16" t="inlineStr">
        <is>
          <t>No. of Patients
Remaining In
Ward</t>
        </is>
      </c>
    </row>
    <row r="202">
      <c r="A202" s="12" t="n">
        <v>1</v>
      </c>
      <c r="B202" s="12">
        <f>IFERROR(IF(SUMIFS(tblDaily[Admissions],tblDaily[EntryDate],DATE(2026,6,1),tblDaily[WardCode],"MAE")=0,"",SUMIFS(tblDaily[Admissions],tblDaily[EntryDate],DATE(2026,6,1),tblDaily[WardCode],"MAE")),"")</f>
        <v/>
      </c>
      <c r="C202" s="12">
        <f>IFERROR(IF(SUMIFS(tblDaily[Discharges],tblDaily[EntryDate],DATE(2026,6,1),tblDaily[WardCode],"MAE")=0,"",SUMIFS(tblDaily[Discharges],tblDaily[EntryDate],DATE(2026,6,1),tblDaily[WardCode],"MAE")),"")</f>
        <v/>
      </c>
      <c r="D202" s="12">
        <f>IFERROR(IF(SUMIFS(tblDaily[Deaths],tblDaily[EntryDate],DATE(2026,6,1),tblDaily[WardCode],"MAE")=0,"",SUMIFS(tblDaily[Deaths],tblDaily[EntryDate],DATE(2026,6,1),tblDaily[WardCode],"MAE")),"")</f>
        <v/>
      </c>
      <c r="E202" s="12">
        <f>IFERROR(IF(SUMIFS(tblDaily[DeathsUnder24Hrs],tblDaily[EntryDate],DATE(2026,6,1),tblDaily[WardCode],"MAE")=0,"",SUMIFS(tblDaily[DeathsUnder24Hrs],tblDaily[EntryDate],DATE(2026,6,1),tblDaily[WardCode],"MAE")),"")</f>
        <v/>
      </c>
      <c r="F202" s="12">
        <f>IFERROR(IF(SUMIFS(tblDaily[TransfersIn],tblDaily[EntryDate],DATE(2026,6,1),tblDaily[WardCode],"MAE")=0,"",SUMIFS(tblDaily[TransfersIn],tblDaily[EntryDate],DATE(2026,6,1),tblDaily[WardCode],"MAE")),"")</f>
        <v/>
      </c>
      <c r="G202" s="12">
        <f>IFERROR(IF(SUMIFS(tblDaily[TransfersOut],tblDaily[EntryDate],DATE(2026,6,1),tblDaily[WardCode],"MAE")=0,"",SUMIFS(tblDaily[TransfersOut],tblDaily[EntryDate],DATE(2026,6,1),tblDaily[WardCode],"MAE")),"")</f>
        <v/>
      </c>
      <c r="H202" s="12">
        <f>IFERROR(IF(SUMIFS(tblDaily[Remaining],tblDaily[EntryDate],DATE(2026,6,1),tblDaily[WardCode],"MAE")=0,"",SUMIFS(tblDaily[Remaining],tblDaily[EntryDate],DATE(2026,6,1),tblDaily[WardCode],"MAE")),"")</f>
        <v/>
      </c>
    </row>
    <row r="203">
      <c r="A203" s="12" t="n">
        <v>2</v>
      </c>
      <c r="B203" s="12">
        <f>IFERROR(IF(SUMIFS(tblDaily[Admissions],tblDaily[EntryDate],DATE(2026,6,2),tblDaily[WardCode],"MAE")=0,"",SUMIFS(tblDaily[Admissions],tblDaily[EntryDate],DATE(2026,6,2),tblDaily[WardCode],"MAE")),"")</f>
        <v/>
      </c>
      <c r="C203" s="12">
        <f>IFERROR(IF(SUMIFS(tblDaily[Discharges],tblDaily[EntryDate],DATE(2026,6,2),tblDaily[WardCode],"MAE")=0,"",SUMIFS(tblDaily[Discharges],tblDaily[EntryDate],DATE(2026,6,2),tblDaily[WardCode],"MAE")),"")</f>
        <v/>
      </c>
      <c r="D203" s="12">
        <f>IFERROR(IF(SUMIFS(tblDaily[Deaths],tblDaily[EntryDate],DATE(2026,6,2),tblDaily[WardCode],"MAE")=0,"",SUMIFS(tblDaily[Deaths],tblDaily[EntryDate],DATE(2026,6,2),tblDaily[WardCode],"MAE")),"")</f>
        <v/>
      </c>
      <c r="E203" s="12">
        <f>IFERROR(IF(SUMIFS(tblDaily[DeathsUnder24Hrs],tblDaily[EntryDate],DATE(2026,6,2),tblDaily[WardCode],"MAE")=0,"",SUMIFS(tblDaily[DeathsUnder24Hrs],tblDaily[EntryDate],DATE(2026,6,2),tblDaily[WardCode],"MAE")),"")</f>
        <v/>
      </c>
      <c r="F203" s="12">
        <f>IFERROR(IF(SUMIFS(tblDaily[TransfersIn],tblDaily[EntryDate],DATE(2026,6,2),tblDaily[WardCode],"MAE")=0,"",SUMIFS(tblDaily[TransfersIn],tblDaily[EntryDate],DATE(2026,6,2),tblDaily[WardCode],"MAE")),"")</f>
        <v/>
      </c>
      <c r="G203" s="12">
        <f>IFERROR(IF(SUMIFS(tblDaily[TransfersOut],tblDaily[EntryDate],DATE(2026,6,2),tblDaily[WardCode],"MAE")=0,"",SUMIFS(tblDaily[TransfersOut],tblDaily[EntryDate],DATE(2026,6,2),tblDaily[WardCode],"MAE")),"")</f>
        <v/>
      </c>
      <c r="H203" s="12">
        <f>IFERROR(IF(SUMIFS(tblDaily[Remaining],tblDaily[EntryDate],DATE(2026,6,2),tblDaily[WardCode],"MAE")=0,"",SUMIFS(tblDaily[Remaining],tblDaily[EntryDate],DATE(2026,6,2),tblDaily[WardCode],"MAE")),"")</f>
        <v/>
      </c>
    </row>
    <row r="204">
      <c r="A204" s="12" t="n">
        <v>3</v>
      </c>
      <c r="B204" s="12">
        <f>IFERROR(IF(SUMIFS(tblDaily[Admissions],tblDaily[EntryDate],DATE(2026,6,3),tblDaily[WardCode],"MAE")=0,"",SUMIFS(tblDaily[Admissions],tblDaily[EntryDate],DATE(2026,6,3),tblDaily[WardCode],"MAE")),"")</f>
        <v/>
      </c>
      <c r="C204" s="12">
        <f>IFERROR(IF(SUMIFS(tblDaily[Discharges],tblDaily[EntryDate],DATE(2026,6,3),tblDaily[WardCode],"MAE")=0,"",SUMIFS(tblDaily[Discharges],tblDaily[EntryDate],DATE(2026,6,3),tblDaily[WardCode],"MAE")),"")</f>
        <v/>
      </c>
      <c r="D204" s="12">
        <f>IFERROR(IF(SUMIFS(tblDaily[Deaths],tblDaily[EntryDate],DATE(2026,6,3),tblDaily[WardCode],"MAE")=0,"",SUMIFS(tblDaily[Deaths],tblDaily[EntryDate],DATE(2026,6,3),tblDaily[WardCode],"MAE")),"")</f>
        <v/>
      </c>
      <c r="E204" s="12">
        <f>IFERROR(IF(SUMIFS(tblDaily[DeathsUnder24Hrs],tblDaily[EntryDate],DATE(2026,6,3),tblDaily[WardCode],"MAE")=0,"",SUMIFS(tblDaily[DeathsUnder24Hrs],tblDaily[EntryDate],DATE(2026,6,3),tblDaily[WardCode],"MAE")),"")</f>
        <v/>
      </c>
      <c r="F204" s="12">
        <f>IFERROR(IF(SUMIFS(tblDaily[TransfersIn],tblDaily[EntryDate],DATE(2026,6,3),tblDaily[WardCode],"MAE")=0,"",SUMIFS(tblDaily[TransfersIn],tblDaily[EntryDate],DATE(2026,6,3),tblDaily[WardCode],"MAE")),"")</f>
        <v/>
      </c>
      <c r="G204" s="12">
        <f>IFERROR(IF(SUMIFS(tblDaily[TransfersOut],tblDaily[EntryDate],DATE(2026,6,3),tblDaily[WardCode],"MAE")=0,"",SUMIFS(tblDaily[TransfersOut],tblDaily[EntryDate],DATE(2026,6,3),tblDaily[WardCode],"MAE")),"")</f>
        <v/>
      </c>
      <c r="H204" s="12">
        <f>IFERROR(IF(SUMIFS(tblDaily[Remaining],tblDaily[EntryDate],DATE(2026,6,3),tblDaily[WardCode],"MAE")=0,"",SUMIFS(tblDaily[Remaining],tblDaily[EntryDate],DATE(2026,6,3),tblDaily[WardCode],"MAE")),"")</f>
        <v/>
      </c>
    </row>
    <row r="205">
      <c r="A205" s="12" t="n">
        <v>4</v>
      </c>
      <c r="B205" s="12">
        <f>IFERROR(IF(SUMIFS(tblDaily[Admissions],tblDaily[EntryDate],DATE(2026,6,4),tblDaily[WardCode],"MAE")=0,"",SUMIFS(tblDaily[Admissions],tblDaily[EntryDate],DATE(2026,6,4),tblDaily[WardCode],"MAE")),"")</f>
        <v/>
      </c>
      <c r="C205" s="12">
        <f>IFERROR(IF(SUMIFS(tblDaily[Discharges],tblDaily[EntryDate],DATE(2026,6,4),tblDaily[WardCode],"MAE")=0,"",SUMIFS(tblDaily[Discharges],tblDaily[EntryDate],DATE(2026,6,4),tblDaily[WardCode],"MAE")),"")</f>
        <v/>
      </c>
      <c r="D205" s="12">
        <f>IFERROR(IF(SUMIFS(tblDaily[Deaths],tblDaily[EntryDate],DATE(2026,6,4),tblDaily[WardCode],"MAE")=0,"",SUMIFS(tblDaily[Deaths],tblDaily[EntryDate],DATE(2026,6,4),tblDaily[WardCode],"MAE")),"")</f>
        <v/>
      </c>
      <c r="E205" s="12">
        <f>IFERROR(IF(SUMIFS(tblDaily[DeathsUnder24Hrs],tblDaily[EntryDate],DATE(2026,6,4),tblDaily[WardCode],"MAE")=0,"",SUMIFS(tblDaily[DeathsUnder24Hrs],tblDaily[EntryDate],DATE(2026,6,4),tblDaily[WardCode],"MAE")),"")</f>
        <v/>
      </c>
      <c r="F205" s="12">
        <f>IFERROR(IF(SUMIFS(tblDaily[TransfersIn],tblDaily[EntryDate],DATE(2026,6,4),tblDaily[WardCode],"MAE")=0,"",SUMIFS(tblDaily[TransfersIn],tblDaily[EntryDate],DATE(2026,6,4),tblDaily[WardCode],"MAE")),"")</f>
        <v/>
      </c>
      <c r="G205" s="12">
        <f>IFERROR(IF(SUMIFS(tblDaily[TransfersOut],tblDaily[EntryDate],DATE(2026,6,4),tblDaily[WardCode],"MAE")=0,"",SUMIFS(tblDaily[TransfersOut],tblDaily[EntryDate],DATE(2026,6,4),tblDaily[WardCode],"MAE")),"")</f>
        <v/>
      </c>
      <c r="H205" s="12">
        <f>IFERROR(IF(SUMIFS(tblDaily[Remaining],tblDaily[EntryDate],DATE(2026,6,4),tblDaily[WardCode],"MAE")=0,"",SUMIFS(tblDaily[Remaining],tblDaily[EntryDate],DATE(2026,6,4),tblDaily[WardCode],"MAE")),"")</f>
        <v/>
      </c>
    </row>
    <row r="206">
      <c r="A206" s="12" t="n">
        <v>5</v>
      </c>
      <c r="B206" s="12">
        <f>IFERROR(IF(SUMIFS(tblDaily[Admissions],tblDaily[EntryDate],DATE(2026,6,5),tblDaily[WardCode],"MAE")=0,"",SUMIFS(tblDaily[Admissions],tblDaily[EntryDate],DATE(2026,6,5),tblDaily[WardCode],"MAE")),"")</f>
        <v/>
      </c>
      <c r="C206" s="12">
        <f>IFERROR(IF(SUMIFS(tblDaily[Discharges],tblDaily[EntryDate],DATE(2026,6,5),tblDaily[WardCode],"MAE")=0,"",SUMIFS(tblDaily[Discharges],tblDaily[EntryDate],DATE(2026,6,5),tblDaily[WardCode],"MAE")),"")</f>
        <v/>
      </c>
      <c r="D206" s="12">
        <f>IFERROR(IF(SUMIFS(tblDaily[Deaths],tblDaily[EntryDate],DATE(2026,6,5),tblDaily[WardCode],"MAE")=0,"",SUMIFS(tblDaily[Deaths],tblDaily[EntryDate],DATE(2026,6,5),tblDaily[WardCode],"MAE")),"")</f>
        <v/>
      </c>
      <c r="E206" s="12">
        <f>IFERROR(IF(SUMIFS(tblDaily[DeathsUnder24Hrs],tblDaily[EntryDate],DATE(2026,6,5),tblDaily[WardCode],"MAE")=0,"",SUMIFS(tblDaily[DeathsUnder24Hrs],tblDaily[EntryDate],DATE(2026,6,5),tblDaily[WardCode],"MAE")),"")</f>
        <v/>
      </c>
      <c r="F206" s="12">
        <f>IFERROR(IF(SUMIFS(tblDaily[TransfersIn],tblDaily[EntryDate],DATE(2026,6,5),tblDaily[WardCode],"MAE")=0,"",SUMIFS(tblDaily[TransfersIn],tblDaily[EntryDate],DATE(2026,6,5),tblDaily[WardCode],"MAE")),"")</f>
        <v/>
      </c>
      <c r="G206" s="12">
        <f>IFERROR(IF(SUMIFS(tblDaily[TransfersOut],tblDaily[EntryDate],DATE(2026,6,5),tblDaily[WardCode],"MAE")=0,"",SUMIFS(tblDaily[TransfersOut],tblDaily[EntryDate],DATE(2026,6,5),tblDaily[WardCode],"MAE")),"")</f>
        <v/>
      </c>
      <c r="H206" s="12">
        <f>IFERROR(IF(SUMIFS(tblDaily[Remaining],tblDaily[EntryDate],DATE(2026,6,5),tblDaily[WardCode],"MAE")=0,"",SUMIFS(tblDaily[Remaining],tblDaily[EntryDate],DATE(2026,6,5),tblDaily[WardCode],"MAE")),"")</f>
        <v/>
      </c>
    </row>
    <row r="207">
      <c r="A207" s="12" t="n">
        <v>6</v>
      </c>
      <c r="B207" s="12">
        <f>IFERROR(IF(SUMIFS(tblDaily[Admissions],tblDaily[EntryDate],DATE(2026,6,6),tblDaily[WardCode],"MAE")=0,"",SUMIFS(tblDaily[Admissions],tblDaily[EntryDate],DATE(2026,6,6),tblDaily[WardCode],"MAE")),"")</f>
        <v/>
      </c>
      <c r="C207" s="12">
        <f>IFERROR(IF(SUMIFS(tblDaily[Discharges],tblDaily[EntryDate],DATE(2026,6,6),tblDaily[WardCode],"MAE")=0,"",SUMIFS(tblDaily[Discharges],tblDaily[EntryDate],DATE(2026,6,6),tblDaily[WardCode],"MAE")),"")</f>
        <v/>
      </c>
      <c r="D207" s="12">
        <f>IFERROR(IF(SUMIFS(tblDaily[Deaths],tblDaily[EntryDate],DATE(2026,6,6),tblDaily[WardCode],"MAE")=0,"",SUMIFS(tblDaily[Deaths],tblDaily[EntryDate],DATE(2026,6,6),tblDaily[WardCode],"MAE")),"")</f>
        <v/>
      </c>
      <c r="E207" s="12">
        <f>IFERROR(IF(SUMIFS(tblDaily[DeathsUnder24Hrs],tblDaily[EntryDate],DATE(2026,6,6),tblDaily[WardCode],"MAE")=0,"",SUMIFS(tblDaily[DeathsUnder24Hrs],tblDaily[EntryDate],DATE(2026,6,6),tblDaily[WardCode],"MAE")),"")</f>
        <v/>
      </c>
      <c r="F207" s="12">
        <f>IFERROR(IF(SUMIFS(tblDaily[TransfersIn],tblDaily[EntryDate],DATE(2026,6,6),tblDaily[WardCode],"MAE")=0,"",SUMIFS(tblDaily[TransfersIn],tblDaily[EntryDate],DATE(2026,6,6),tblDaily[WardCode],"MAE")),"")</f>
        <v/>
      </c>
      <c r="G207" s="12">
        <f>IFERROR(IF(SUMIFS(tblDaily[TransfersOut],tblDaily[EntryDate],DATE(2026,6,6),tblDaily[WardCode],"MAE")=0,"",SUMIFS(tblDaily[TransfersOut],tblDaily[EntryDate],DATE(2026,6,6),tblDaily[WardCode],"MAE")),"")</f>
        <v/>
      </c>
      <c r="H207" s="12">
        <f>IFERROR(IF(SUMIFS(tblDaily[Remaining],tblDaily[EntryDate],DATE(2026,6,6),tblDaily[WardCode],"MAE")=0,"",SUMIFS(tblDaily[Remaining],tblDaily[EntryDate],DATE(2026,6,6),tblDaily[WardCode],"MAE")),"")</f>
        <v/>
      </c>
    </row>
    <row r="208">
      <c r="A208" s="12" t="n">
        <v>7</v>
      </c>
      <c r="B208" s="12">
        <f>IFERROR(IF(SUMIFS(tblDaily[Admissions],tblDaily[EntryDate],DATE(2026,6,7),tblDaily[WardCode],"MAE")=0,"",SUMIFS(tblDaily[Admissions],tblDaily[EntryDate],DATE(2026,6,7),tblDaily[WardCode],"MAE")),"")</f>
        <v/>
      </c>
      <c r="C208" s="12">
        <f>IFERROR(IF(SUMIFS(tblDaily[Discharges],tblDaily[EntryDate],DATE(2026,6,7),tblDaily[WardCode],"MAE")=0,"",SUMIFS(tblDaily[Discharges],tblDaily[EntryDate],DATE(2026,6,7),tblDaily[WardCode],"MAE")),"")</f>
        <v/>
      </c>
      <c r="D208" s="12">
        <f>IFERROR(IF(SUMIFS(tblDaily[Deaths],tblDaily[EntryDate],DATE(2026,6,7),tblDaily[WardCode],"MAE")=0,"",SUMIFS(tblDaily[Deaths],tblDaily[EntryDate],DATE(2026,6,7),tblDaily[WardCode],"MAE")),"")</f>
        <v/>
      </c>
      <c r="E208" s="12">
        <f>IFERROR(IF(SUMIFS(tblDaily[DeathsUnder24Hrs],tblDaily[EntryDate],DATE(2026,6,7),tblDaily[WardCode],"MAE")=0,"",SUMIFS(tblDaily[DeathsUnder24Hrs],tblDaily[EntryDate],DATE(2026,6,7),tblDaily[WardCode],"MAE")),"")</f>
        <v/>
      </c>
      <c r="F208" s="12">
        <f>IFERROR(IF(SUMIFS(tblDaily[TransfersIn],tblDaily[EntryDate],DATE(2026,6,7),tblDaily[WardCode],"MAE")=0,"",SUMIFS(tblDaily[TransfersIn],tblDaily[EntryDate],DATE(2026,6,7),tblDaily[WardCode],"MAE")),"")</f>
        <v/>
      </c>
      <c r="G208" s="12">
        <f>IFERROR(IF(SUMIFS(tblDaily[TransfersOut],tblDaily[EntryDate],DATE(2026,6,7),tblDaily[WardCode],"MAE")=0,"",SUMIFS(tblDaily[TransfersOut],tblDaily[EntryDate],DATE(2026,6,7),tblDaily[WardCode],"MAE")),"")</f>
        <v/>
      </c>
      <c r="H208" s="12">
        <f>IFERROR(IF(SUMIFS(tblDaily[Remaining],tblDaily[EntryDate],DATE(2026,6,7),tblDaily[WardCode],"MAE")=0,"",SUMIFS(tblDaily[Remaining],tblDaily[EntryDate],DATE(2026,6,7),tblDaily[WardCode],"MAE")),"")</f>
        <v/>
      </c>
    </row>
    <row r="209">
      <c r="A209" s="12" t="n">
        <v>8</v>
      </c>
      <c r="B209" s="12">
        <f>IFERROR(IF(SUMIFS(tblDaily[Admissions],tblDaily[EntryDate],DATE(2026,6,8),tblDaily[WardCode],"MAE")=0,"",SUMIFS(tblDaily[Admissions],tblDaily[EntryDate],DATE(2026,6,8),tblDaily[WardCode],"MAE")),"")</f>
        <v/>
      </c>
      <c r="C209" s="12">
        <f>IFERROR(IF(SUMIFS(tblDaily[Discharges],tblDaily[EntryDate],DATE(2026,6,8),tblDaily[WardCode],"MAE")=0,"",SUMIFS(tblDaily[Discharges],tblDaily[EntryDate],DATE(2026,6,8),tblDaily[WardCode],"MAE")),"")</f>
        <v/>
      </c>
      <c r="D209" s="12">
        <f>IFERROR(IF(SUMIFS(tblDaily[Deaths],tblDaily[EntryDate],DATE(2026,6,8),tblDaily[WardCode],"MAE")=0,"",SUMIFS(tblDaily[Deaths],tblDaily[EntryDate],DATE(2026,6,8),tblDaily[WardCode],"MAE")),"")</f>
        <v/>
      </c>
      <c r="E209" s="12">
        <f>IFERROR(IF(SUMIFS(tblDaily[DeathsUnder24Hrs],tblDaily[EntryDate],DATE(2026,6,8),tblDaily[WardCode],"MAE")=0,"",SUMIFS(tblDaily[DeathsUnder24Hrs],tblDaily[EntryDate],DATE(2026,6,8),tblDaily[WardCode],"MAE")),"")</f>
        <v/>
      </c>
      <c r="F209" s="12">
        <f>IFERROR(IF(SUMIFS(tblDaily[TransfersIn],tblDaily[EntryDate],DATE(2026,6,8),tblDaily[WardCode],"MAE")=0,"",SUMIFS(tblDaily[TransfersIn],tblDaily[EntryDate],DATE(2026,6,8),tblDaily[WardCode],"MAE")),"")</f>
        <v/>
      </c>
      <c r="G209" s="12">
        <f>IFERROR(IF(SUMIFS(tblDaily[TransfersOut],tblDaily[EntryDate],DATE(2026,6,8),tblDaily[WardCode],"MAE")=0,"",SUMIFS(tblDaily[TransfersOut],tblDaily[EntryDate],DATE(2026,6,8),tblDaily[WardCode],"MAE")),"")</f>
        <v/>
      </c>
      <c r="H209" s="12">
        <f>IFERROR(IF(SUMIFS(tblDaily[Remaining],tblDaily[EntryDate],DATE(2026,6,8),tblDaily[WardCode],"MAE")=0,"",SUMIFS(tblDaily[Remaining],tblDaily[EntryDate],DATE(2026,6,8),tblDaily[WardCode],"MAE")),"")</f>
        <v/>
      </c>
    </row>
    <row r="210">
      <c r="A210" s="12" t="n">
        <v>9</v>
      </c>
      <c r="B210" s="12">
        <f>IFERROR(IF(SUMIFS(tblDaily[Admissions],tblDaily[EntryDate],DATE(2026,6,9),tblDaily[WardCode],"MAE")=0,"",SUMIFS(tblDaily[Admissions],tblDaily[EntryDate],DATE(2026,6,9),tblDaily[WardCode],"MAE")),"")</f>
        <v/>
      </c>
      <c r="C210" s="12">
        <f>IFERROR(IF(SUMIFS(tblDaily[Discharges],tblDaily[EntryDate],DATE(2026,6,9),tblDaily[WardCode],"MAE")=0,"",SUMIFS(tblDaily[Discharges],tblDaily[EntryDate],DATE(2026,6,9),tblDaily[WardCode],"MAE")),"")</f>
        <v/>
      </c>
      <c r="D210" s="12">
        <f>IFERROR(IF(SUMIFS(tblDaily[Deaths],tblDaily[EntryDate],DATE(2026,6,9),tblDaily[WardCode],"MAE")=0,"",SUMIFS(tblDaily[Deaths],tblDaily[EntryDate],DATE(2026,6,9),tblDaily[WardCode],"MAE")),"")</f>
        <v/>
      </c>
      <c r="E210" s="12">
        <f>IFERROR(IF(SUMIFS(tblDaily[DeathsUnder24Hrs],tblDaily[EntryDate],DATE(2026,6,9),tblDaily[WardCode],"MAE")=0,"",SUMIFS(tblDaily[DeathsUnder24Hrs],tblDaily[EntryDate],DATE(2026,6,9),tblDaily[WardCode],"MAE")),"")</f>
        <v/>
      </c>
      <c r="F210" s="12">
        <f>IFERROR(IF(SUMIFS(tblDaily[TransfersIn],tblDaily[EntryDate],DATE(2026,6,9),tblDaily[WardCode],"MAE")=0,"",SUMIFS(tblDaily[TransfersIn],tblDaily[EntryDate],DATE(2026,6,9),tblDaily[WardCode],"MAE")),"")</f>
        <v/>
      </c>
      <c r="G210" s="12">
        <f>IFERROR(IF(SUMIFS(tblDaily[TransfersOut],tblDaily[EntryDate],DATE(2026,6,9),tblDaily[WardCode],"MAE")=0,"",SUMIFS(tblDaily[TransfersOut],tblDaily[EntryDate],DATE(2026,6,9),tblDaily[WardCode],"MAE")),"")</f>
        <v/>
      </c>
      <c r="H210" s="12">
        <f>IFERROR(IF(SUMIFS(tblDaily[Remaining],tblDaily[EntryDate],DATE(2026,6,9),tblDaily[WardCode],"MAE")=0,"",SUMIFS(tblDaily[Remaining],tblDaily[EntryDate],DATE(2026,6,9),tblDaily[WardCode],"MAE")),"")</f>
        <v/>
      </c>
    </row>
    <row r="211">
      <c r="A211" s="12" t="n">
        <v>10</v>
      </c>
      <c r="B211" s="12">
        <f>IFERROR(IF(SUMIFS(tblDaily[Admissions],tblDaily[EntryDate],DATE(2026,6,10),tblDaily[WardCode],"MAE")=0,"",SUMIFS(tblDaily[Admissions],tblDaily[EntryDate],DATE(2026,6,10),tblDaily[WardCode],"MAE")),"")</f>
        <v/>
      </c>
      <c r="C211" s="12">
        <f>IFERROR(IF(SUMIFS(tblDaily[Discharges],tblDaily[EntryDate],DATE(2026,6,10),tblDaily[WardCode],"MAE")=0,"",SUMIFS(tblDaily[Discharges],tblDaily[EntryDate],DATE(2026,6,10),tblDaily[WardCode],"MAE")),"")</f>
        <v/>
      </c>
      <c r="D211" s="12">
        <f>IFERROR(IF(SUMIFS(tblDaily[Deaths],tblDaily[EntryDate],DATE(2026,6,10),tblDaily[WardCode],"MAE")=0,"",SUMIFS(tblDaily[Deaths],tblDaily[EntryDate],DATE(2026,6,10),tblDaily[WardCode],"MAE")),"")</f>
        <v/>
      </c>
      <c r="E211" s="12">
        <f>IFERROR(IF(SUMIFS(tblDaily[DeathsUnder24Hrs],tblDaily[EntryDate],DATE(2026,6,10),tblDaily[WardCode],"MAE")=0,"",SUMIFS(tblDaily[DeathsUnder24Hrs],tblDaily[EntryDate],DATE(2026,6,10),tblDaily[WardCode],"MAE")),"")</f>
        <v/>
      </c>
      <c r="F211" s="12">
        <f>IFERROR(IF(SUMIFS(tblDaily[TransfersIn],tblDaily[EntryDate],DATE(2026,6,10),tblDaily[WardCode],"MAE")=0,"",SUMIFS(tblDaily[TransfersIn],tblDaily[EntryDate],DATE(2026,6,10),tblDaily[WardCode],"MAE")),"")</f>
        <v/>
      </c>
      <c r="G211" s="12">
        <f>IFERROR(IF(SUMIFS(tblDaily[TransfersOut],tblDaily[EntryDate],DATE(2026,6,10),tblDaily[WardCode],"MAE")=0,"",SUMIFS(tblDaily[TransfersOut],tblDaily[EntryDate],DATE(2026,6,10),tblDaily[WardCode],"MAE")),"")</f>
        <v/>
      </c>
      <c r="H211" s="12">
        <f>IFERROR(IF(SUMIFS(tblDaily[Remaining],tblDaily[EntryDate],DATE(2026,6,10),tblDaily[WardCode],"MAE")=0,"",SUMIFS(tblDaily[Remaining],tblDaily[EntryDate],DATE(2026,6,10),tblDaily[WardCode],"MAE")),"")</f>
        <v/>
      </c>
    </row>
    <row r="212">
      <c r="A212" s="12" t="n">
        <v>11</v>
      </c>
      <c r="B212" s="12">
        <f>IFERROR(IF(SUMIFS(tblDaily[Admissions],tblDaily[EntryDate],DATE(2026,6,11),tblDaily[WardCode],"MAE")=0,"",SUMIFS(tblDaily[Admissions],tblDaily[EntryDate],DATE(2026,6,11),tblDaily[WardCode],"MAE")),"")</f>
        <v/>
      </c>
      <c r="C212" s="12">
        <f>IFERROR(IF(SUMIFS(tblDaily[Discharges],tblDaily[EntryDate],DATE(2026,6,11),tblDaily[WardCode],"MAE")=0,"",SUMIFS(tblDaily[Discharges],tblDaily[EntryDate],DATE(2026,6,11),tblDaily[WardCode],"MAE")),"")</f>
        <v/>
      </c>
      <c r="D212" s="12">
        <f>IFERROR(IF(SUMIFS(tblDaily[Deaths],tblDaily[EntryDate],DATE(2026,6,11),tblDaily[WardCode],"MAE")=0,"",SUMIFS(tblDaily[Deaths],tblDaily[EntryDate],DATE(2026,6,11),tblDaily[WardCode],"MAE")),"")</f>
        <v/>
      </c>
      <c r="E212" s="12">
        <f>IFERROR(IF(SUMIFS(tblDaily[DeathsUnder24Hrs],tblDaily[EntryDate],DATE(2026,6,11),tblDaily[WardCode],"MAE")=0,"",SUMIFS(tblDaily[DeathsUnder24Hrs],tblDaily[EntryDate],DATE(2026,6,11),tblDaily[WardCode],"MAE")),"")</f>
        <v/>
      </c>
      <c r="F212" s="12">
        <f>IFERROR(IF(SUMIFS(tblDaily[TransfersIn],tblDaily[EntryDate],DATE(2026,6,11),tblDaily[WardCode],"MAE")=0,"",SUMIFS(tblDaily[TransfersIn],tblDaily[EntryDate],DATE(2026,6,11),tblDaily[WardCode],"MAE")),"")</f>
        <v/>
      </c>
      <c r="G212" s="12">
        <f>IFERROR(IF(SUMIFS(tblDaily[TransfersOut],tblDaily[EntryDate],DATE(2026,6,11),tblDaily[WardCode],"MAE")=0,"",SUMIFS(tblDaily[TransfersOut],tblDaily[EntryDate],DATE(2026,6,11),tblDaily[WardCode],"MAE")),"")</f>
        <v/>
      </c>
      <c r="H212" s="12">
        <f>IFERROR(IF(SUMIFS(tblDaily[Remaining],tblDaily[EntryDate],DATE(2026,6,11),tblDaily[WardCode],"MAE")=0,"",SUMIFS(tblDaily[Remaining],tblDaily[EntryDate],DATE(2026,6,11),tblDaily[WardCode],"MAE")),"")</f>
        <v/>
      </c>
    </row>
    <row r="213">
      <c r="A213" s="12" t="n">
        <v>12</v>
      </c>
      <c r="B213" s="12">
        <f>IFERROR(IF(SUMIFS(tblDaily[Admissions],tblDaily[EntryDate],DATE(2026,6,12),tblDaily[WardCode],"MAE")=0,"",SUMIFS(tblDaily[Admissions],tblDaily[EntryDate],DATE(2026,6,12),tblDaily[WardCode],"MAE")),"")</f>
        <v/>
      </c>
      <c r="C213" s="12">
        <f>IFERROR(IF(SUMIFS(tblDaily[Discharges],tblDaily[EntryDate],DATE(2026,6,12),tblDaily[WardCode],"MAE")=0,"",SUMIFS(tblDaily[Discharges],tblDaily[EntryDate],DATE(2026,6,12),tblDaily[WardCode],"MAE")),"")</f>
        <v/>
      </c>
      <c r="D213" s="12">
        <f>IFERROR(IF(SUMIFS(tblDaily[Deaths],tblDaily[EntryDate],DATE(2026,6,12),tblDaily[WardCode],"MAE")=0,"",SUMIFS(tblDaily[Deaths],tblDaily[EntryDate],DATE(2026,6,12),tblDaily[WardCode],"MAE")),"")</f>
        <v/>
      </c>
      <c r="E213" s="12">
        <f>IFERROR(IF(SUMIFS(tblDaily[DeathsUnder24Hrs],tblDaily[EntryDate],DATE(2026,6,12),tblDaily[WardCode],"MAE")=0,"",SUMIFS(tblDaily[DeathsUnder24Hrs],tblDaily[EntryDate],DATE(2026,6,12),tblDaily[WardCode],"MAE")),"")</f>
        <v/>
      </c>
      <c r="F213" s="12">
        <f>IFERROR(IF(SUMIFS(tblDaily[TransfersIn],tblDaily[EntryDate],DATE(2026,6,12),tblDaily[WardCode],"MAE")=0,"",SUMIFS(tblDaily[TransfersIn],tblDaily[EntryDate],DATE(2026,6,12),tblDaily[WardCode],"MAE")),"")</f>
        <v/>
      </c>
      <c r="G213" s="12">
        <f>IFERROR(IF(SUMIFS(tblDaily[TransfersOut],tblDaily[EntryDate],DATE(2026,6,12),tblDaily[WardCode],"MAE")=0,"",SUMIFS(tblDaily[TransfersOut],tblDaily[EntryDate],DATE(2026,6,12),tblDaily[WardCode],"MAE")),"")</f>
        <v/>
      </c>
      <c r="H213" s="12">
        <f>IFERROR(IF(SUMIFS(tblDaily[Remaining],tblDaily[EntryDate],DATE(2026,6,12),tblDaily[WardCode],"MAE")=0,"",SUMIFS(tblDaily[Remaining],tblDaily[EntryDate],DATE(2026,6,12),tblDaily[WardCode],"MAE")),"")</f>
        <v/>
      </c>
    </row>
    <row r="214">
      <c r="A214" s="12" t="n">
        <v>13</v>
      </c>
      <c r="B214" s="12">
        <f>IFERROR(IF(SUMIFS(tblDaily[Admissions],tblDaily[EntryDate],DATE(2026,6,13),tblDaily[WardCode],"MAE")=0,"",SUMIFS(tblDaily[Admissions],tblDaily[EntryDate],DATE(2026,6,13),tblDaily[WardCode],"MAE")),"")</f>
        <v/>
      </c>
      <c r="C214" s="12">
        <f>IFERROR(IF(SUMIFS(tblDaily[Discharges],tblDaily[EntryDate],DATE(2026,6,13),tblDaily[WardCode],"MAE")=0,"",SUMIFS(tblDaily[Discharges],tblDaily[EntryDate],DATE(2026,6,13),tblDaily[WardCode],"MAE")),"")</f>
        <v/>
      </c>
      <c r="D214" s="12">
        <f>IFERROR(IF(SUMIFS(tblDaily[Deaths],tblDaily[EntryDate],DATE(2026,6,13),tblDaily[WardCode],"MAE")=0,"",SUMIFS(tblDaily[Deaths],tblDaily[EntryDate],DATE(2026,6,13),tblDaily[WardCode],"MAE")),"")</f>
        <v/>
      </c>
      <c r="E214" s="12">
        <f>IFERROR(IF(SUMIFS(tblDaily[DeathsUnder24Hrs],tblDaily[EntryDate],DATE(2026,6,13),tblDaily[WardCode],"MAE")=0,"",SUMIFS(tblDaily[DeathsUnder24Hrs],tblDaily[EntryDate],DATE(2026,6,13),tblDaily[WardCode],"MAE")),"")</f>
        <v/>
      </c>
      <c r="F214" s="12">
        <f>IFERROR(IF(SUMIFS(tblDaily[TransfersIn],tblDaily[EntryDate],DATE(2026,6,13),tblDaily[WardCode],"MAE")=0,"",SUMIFS(tblDaily[TransfersIn],tblDaily[EntryDate],DATE(2026,6,13),tblDaily[WardCode],"MAE")),"")</f>
        <v/>
      </c>
      <c r="G214" s="12">
        <f>IFERROR(IF(SUMIFS(tblDaily[TransfersOut],tblDaily[EntryDate],DATE(2026,6,13),tblDaily[WardCode],"MAE")=0,"",SUMIFS(tblDaily[TransfersOut],tblDaily[EntryDate],DATE(2026,6,13),tblDaily[WardCode],"MAE")),"")</f>
        <v/>
      </c>
      <c r="H214" s="12">
        <f>IFERROR(IF(SUMIFS(tblDaily[Remaining],tblDaily[EntryDate],DATE(2026,6,13),tblDaily[WardCode],"MAE")=0,"",SUMIFS(tblDaily[Remaining],tblDaily[EntryDate],DATE(2026,6,13),tblDaily[WardCode],"MAE")),"")</f>
        <v/>
      </c>
    </row>
    <row r="215">
      <c r="A215" s="12" t="n">
        <v>14</v>
      </c>
      <c r="B215" s="12">
        <f>IFERROR(IF(SUMIFS(tblDaily[Admissions],tblDaily[EntryDate],DATE(2026,6,14),tblDaily[WardCode],"MAE")=0,"",SUMIFS(tblDaily[Admissions],tblDaily[EntryDate],DATE(2026,6,14),tblDaily[WardCode],"MAE")),"")</f>
        <v/>
      </c>
      <c r="C215" s="12">
        <f>IFERROR(IF(SUMIFS(tblDaily[Discharges],tblDaily[EntryDate],DATE(2026,6,14),tblDaily[WardCode],"MAE")=0,"",SUMIFS(tblDaily[Discharges],tblDaily[EntryDate],DATE(2026,6,14),tblDaily[WardCode],"MAE")),"")</f>
        <v/>
      </c>
      <c r="D215" s="12">
        <f>IFERROR(IF(SUMIFS(tblDaily[Deaths],tblDaily[EntryDate],DATE(2026,6,14),tblDaily[WardCode],"MAE")=0,"",SUMIFS(tblDaily[Deaths],tblDaily[EntryDate],DATE(2026,6,14),tblDaily[WardCode],"MAE")),"")</f>
        <v/>
      </c>
      <c r="E215" s="12">
        <f>IFERROR(IF(SUMIFS(tblDaily[DeathsUnder24Hrs],tblDaily[EntryDate],DATE(2026,6,14),tblDaily[WardCode],"MAE")=0,"",SUMIFS(tblDaily[DeathsUnder24Hrs],tblDaily[EntryDate],DATE(2026,6,14),tblDaily[WardCode],"MAE")),"")</f>
        <v/>
      </c>
      <c r="F215" s="12">
        <f>IFERROR(IF(SUMIFS(tblDaily[TransfersIn],tblDaily[EntryDate],DATE(2026,6,14),tblDaily[WardCode],"MAE")=0,"",SUMIFS(tblDaily[TransfersIn],tblDaily[EntryDate],DATE(2026,6,14),tblDaily[WardCode],"MAE")),"")</f>
        <v/>
      </c>
      <c r="G215" s="12">
        <f>IFERROR(IF(SUMIFS(tblDaily[TransfersOut],tblDaily[EntryDate],DATE(2026,6,14),tblDaily[WardCode],"MAE")=0,"",SUMIFS(tblDaily[TransfersOut],tblDaily[EntryDate],DATE(2026,6,14),tblDaily[WardCode],"MAE")),"")</f>
        <v/>
      </c>
      <c r="H215" s="12">
        <f>IFERROR(IF(SUMIFS(tblDaily[Remaining],tblDaily[EntryDate],DATE(2026,6,14),tblDaily[WardCode],"MAE")=0,"",SUMIFS(tblDaily[Remaining],tblDaily[EntryDate],DATE(2026,6,14),tblDaily[WardCode],"MAE")),"")</f>
        <v/>
      </c>
    </row>
    <row r="216">
      <c r="A216" s="12" t="n">
        <v>15</v>
      </c>
      <c r="B216" s="12">
        <f>IFERROR(IF(SUMIFS(tblDaily[Admissions],tblDaily[EntryDate],DATE(2026,6,15),tblDaily[WardCode],"MAE")=0,"",SUMIFS(tblDaily[Admissions],tblDaily[EntryDate],DATE(2026,6,15),tblDaily[WardCode],"MAE")),"")</f>
        <v/>
      </c>
      <c r="C216" s="12">
        <f>IFERROR(IF(SUMIFS(tblDaily[Discharges],tblDaily[EntryDate],DATE(2026,6,15),tblDaily[WardCode],"MAE")=0,"",SUMIFS(tblDaily[Discharges],tblDaily[EntryDate],DATE(2026,6,15),tblDaily[WardCode],"MAE")),"")</f>
        <v/>
      </c>
      <c r="D216" s="12">
        <f>IFERROR(IF(SUMIFS(tblDaily[Deaths],tblDaily[EntryDate],DATE(2026,6,15),tblDaily[WardCode],"MAE")=0,"",SUMIFS(tblDaily[Deaths],tblDaily[EntryDate],DATE(2026,6,15),tblDaily[WardCode],"MAE")),"")</f>
        <v/>
      </c>
      <c r="E216" s="12">
        <f>IFERROR(IF(SUMIFS(tblDaily[DeathsUnder24Hrs],tblDaily[EntryDate],DATE(2026,6,15),tblDaily[WardCode],"MAE")=0,"",SUMIFS(tblDaily[DeathsUnder24Hrs],tblDaily[EntryDate],DATE(2026,6,15),tblDaily[WardCode],"MAE")),"")</f>
        <v/>
      </c>
      <c r="F216" s="12">
        <f>IFERROR(IF(SUMIFS(tblDaily[TransfersIn],tblDaily[EntryDate],DATE(2026,6,15),tblDaily[WardCode],"MAE")=0,"",SUMIFS(tblDaily[TransfersIn],tblDaily[EntryDate],DATE(2026,6,15),tblDaily[WardCode],"MAE")),"")</f>
        <v/>
      </c>
      <c r="G216" s="12">
        <f>IFERROR(IF(SUMIFS(tblDaily[TransfersOut],tblDaily[EntryDate],DATE(2026,6,15),tblDaily[WardCode],"MAE")=0,"",SUMIFS(tblDaily[TransfersOut],tblDaily[EntryDate],DATE(2026,6,15),tblDaily[WardCode],"MAE")),"")</f>
        <v/>
      </c>
      <c r="H216" s="12">
        <f>IFERROR(IF(SUMIFS(tblDaily[Remaining],tblDaily[EntryDate],DATE(2026,6,15),tblDaily[WardCode],"MAE")=0,"",SUMIFS(tblDaily[Remaining],tblDaily[EntryDate],DATE(2026,6,15),tblDaily[WardCode],"MAE")),"")</f>
        <v/>
      </c>
    </row>
    <row r="217">
      <c r="A217" s="12" t="n">
        <v>16</v>
      </c>
      <c r="B217" s="12">
        <f>IFERROR(IF(SUMIFS(tblDaily[Admissions],tblDaily[EntryDate],DATE(2026,6,16),tblDaily[WardCode],"MAE")=0,"",SUMIFS(tblDaily[Admissions],tblDaily[EntryDate],DATE(2026,6,16),tblDaily[WardCode],"MAE")),"")</f>
        <v/>
      </c>
      <c r="C217" s="12">
        <f>IFERROR(IF(SUMIFS(tblDaily[Discharges],tblDaily[EntryDate],DATE(2026,6,16),tblDaily[WardCode],"MAE")=0,"",SUMIFS(tblDaily[Discharges],tblDaily[EntryDate],DATE(2026,6,16),tblDaily[WardCode],"MAE")),"")</f>
        <v/>
      </c>
      <c r="D217" s="12">
        <f>IFERROR(IF(SUMIFS(tblDaily[Deaths],tblDaily[EntryDate],DATE(2026,6,16),tblDaily[WardCode],"MAE")=0,"",SUMIFS(tblDaily[Deaths],tblDaily[EntryDate],DATE(2026,6,16),tblDaily[WardCode],"MAE")),"")</f>
        <v/>
      </c>
      <c r="E217" s="12">
        <f>IFERROR(IF(SUMIFS(tblDaily[DeathsUnder24Hrs],tblDaily[EntryDate],DATE(2026,6,16),tblDaily[WardCode],"MAE")=0,"",SUMIFS(tblDaily[DeathsUnder24Hrs],tblDaily[EntryDate],DATE(2026,6,16),tblDaily[WardCode],"MAE")),"")</f>
        <v/>
      </c>
      <c r="F217" s="12">
        <f>IFERROR(IF(SUMIFS(tblDaily[TransfersIn],tblDaily[EntryDate],DATE(2026,6,16),tblDaily[WardCode],"MAE")=0,"",SUMIFS(tblDaily[TransfersIn],tblDaily[EntryDate],DATE(2026,6,16),tblDaily[WardCode],"MAE")),"")</f>
        <v/>
      </c>
      <c r="G217" s="12">
        <f>IFERROR(IF(SUMIFS(tblDaily[TransfersOut],tblDaily[EntryDate],DATE(2026,6,16),tblDaily[WardCode],"MAE")=0,"",SUMIFS(tblDaily[TransfersOut],tblDaily[EntryDate],DATE(2026,6,16),tblDaily[WardCode],"MAE")),"")</f>
        <v/>
      </c>
      <c r="H217" s="12">
        <f>IFERROR(IF(SUMIFS(tblDaily[Remaining],tblDaily[EntryDate],DATE(2026,6,16),tblDaily[WardCode],"MAE")=0,"",SUMIFS(tblDaily[Remaining],tblDaily[EntryDate],DATE(2026,6,16),tblDaily[WardCode],"MAE")),"")</f>
        <v/>
      </c>
    </row>
    <row r="218">
      <c r="A218" s="12" t="n">
        <v>17</v>
      </c>
      <c r="B218" s="12">
        <f>IFERROR(IF(SUMIFS(tblDaily[Admissions],tblDaily[EntryDate],DATE(2026,6,17),tblDaily[WardCode],"MAE")=0,"",SUMIFS(tblDaily[Admissions],tblDaily[EntryDate],DATE(2026,6,17),tblDaily[WardCode],"MAE")),"")</f>
        <v/>
      </c>
      <c r="C218" s="12">
        <f>IFERROR(IF(SUMIFS(tblDaily[Discharges],tblDaily[EntryDate],DATE(2026,6,17),tblDaily[WardCode],"MAE")=0,"",SUMIFS(tblDaily[Discharges],tblDaily[EntryDate],DATE(2026,6,17),tblDaily[WardCode],"MAE")),"")</f>
        <v/>
      </c>
      <c r="D218" s="12">
        <f>IFERROR(IF(SUMIFS(tblDaily[Deaths],tblDaily[EntryDate],DATE(2026,6,17),tblDaily[WardCode],"MAE")=0,"",SUMIFS(tblDaily[Deaths],tblDaily[EntryDate],DATE(2026,6,17),tblDaily[WardCode],"MAE")),"")</f>
        <v/>
      </c>
      <c r="E218" s="12">
        <f>IFERROR(IF(SUMIFS(tblDaily[DeathsUnder24Hrs],tblDaily[EntryDate],DATE(2026,6,17),tblDaily[WardCode],"MAE")=0,"",SUMIFS(tblDaily[DeathsUnder24Hrs],tblDaily[EntryDate],DATE(2026,6,17),tblDaily[WardCode],"MAE")),"")</f>
        <v/>
      </c>
      <c r="F218" s="12">
        <f>IFERROR(IF(SUMIFS(tblDaily[TransfersIn],tblDaily[EntryDate],DATE(2026,6,17),tblDaily[WardCode],"MAE")=0,"",SUMIFS(tblDaily[TransfersIn],tblDaily[EntryDate],DATE(2026,6,17),tblDaily[WardCode],"MAE")),"")</f>
        <v/>
      </c>
      <c r="G218" s="12">
        <f>IFERROR(IF(SUMIFS(tblDaily[TransfersOut],tblDaily[EntryDate],DATE(2026,6,17),tblDaily[WardCode],"MAE")=0,"",SUMIFS(tblDaily[TransfersOut],tblDaily[EntryDate],DATE(2026,6,17),tblDaily[WardCode],"MAE")),"")</f>
        <v/>
      </c>
      <c r="H218" s="12">
        <f>IFERROR(IF(SUMIFS(tblDaily[Remaining],tblDaily[EntryDate],DATE(2026,6,17),tblDaily[WardCode],"MAE")=0,"",SUMIFS(tblDaily[Remaining],tblDaily[EntryDate],DATE(2026,6,17),tblDaily[WardCode],"MAE")),"")</f>
        <v/>
      </c>
    </row>
    <row r="219">
      <c r="A219" s="12" t="n">
        <v>18</v>
      </c>
      <c r="B219" s="12">
        <f>IFERROR(IF(SUMIFS(tblDaily[Admissions],tblDaily[EntryDate],DATE(2026,6,18),tblDaily[WardCode],"MAE")=0,"",SUMIFS(tblDaily[Admissions],tblDaily[EntryDate],DATE(2026,6,18),tblDaily[WardCode],"MAE")),"")</f>
        <v/>
      </c>
      <c r="C219" s="12">
        <f>IFERROR(IF(SUMIFS(tblDaily[Discharges],tblDaily[EntryDate],DATE(2026,6,18),tblDaily[WardCode],"MAE")=0,"",SUMIFS(tblDaily[Discharges],tblDaily[EntryDate],DATE(2026,6,18),tblDaily[WardCode],"MAE")),"")</f>
        <v/>
      </c>
      <c r="D219" s="12">
        <f>IFERROR(IF(SUMIFS(tblDaily[Deaths],tblDaily[EntryDate],DATE(2026,6,18),tblDaily[WardCode],"MAE")=0,"",SUMIFS(tblDaily[Deaths],tblDaily[EntryDate],DATE(2026,6,18),tblDaily[WardCode],"MAE")),"")</f>
        <v/>
      </c>
      <c r="E219" s="12">
        <f>IFERROR(IF(SUMIFS(tblDaily[DeathsUnder24Hrs],tblDaily[EntryDate],DATE(2026,6,18),tblDaily[WardCode],"MAE")=0,"",SUMIFS(tblDaily[DeathsUnder24Hrs],tblDaily[EntryDate],DATE(2026,6,18),tblDaily[WardCode],"MAE")),"")</f>
        <v/>
      </c>
      <c r="F219" s="12">
        <f>IFERROR(IF(SUMIFS(tblDaily[TransfersIn],tblDaily[EntryDate],DATE(2026,6,18),tblDaily[WardCode],"MAE")=0,"",SUMIFS(tblDaily[TransfersIn],tblDaily[EntryDate],DATE(2026,6,18),tblDaily[WardCode],"MAE")),"")</f>
        <v/>
      </c>
      <c r="G219" s="12">
        <f>IFERROR(IF(SUMIFS(tblDaily[TransfersOut],tblDaily[EntryDate],DATE(2026,6,18),tblDaily[WardCode],"MAE")=0,"",SUMIFS(tblDaily[TransfersOut],tblDaily[EntryDate],DATE(2026,6,18),tblDaily[WardCode],"MAE")),"")</f>
        <v/>
      </c>
      <c r="H219" s="12">
        <f>IFERROR(IF(SUMIFS(tblDaily[Remaining],tblDaily[EntryDate],DATE(2026,6,18),tblDaily[WardCode],"MAE")=0,"",SUMIFS(tblDaily[Remaining],tblDaily[EntryDate],DATE(2026,6,18),tblDaily[WardCode],"MAE")),"")</f>
        <v/>
      </c>
    </row>
    <row r="220">
      <c r="A220" s="12" t="n">
        <v>19</v>
      </c>
      <c r="B220" s="12">
        <f>IFERROR(IF(SUMIFS(tblDaily[Admissions],tblDaily[EntryDate],DATE(2026,6,19),tblDaily[WardCode],"MAE")=0,"",SUMIFS(tblDaily[Admissions],tblDaily[EntryDate],DATE(2026,6,19),tblDaily[WardCode],"MAE")),"")</f>
        <v/>
      </c>
      <c r="C220" s="12">
        <f>IFERROR(IF(SUMIFS(tblDaily[Discharges],tblDaily[EntryDate],DATE(2026,6,19),tblDaily[WardCode],"MAE")=0,"",SUMIFS(tblDaily[Discharges],tblDaily[EntryDate],DATE(2026,6,19),tblDaily[WardCode],"MAE")),"")</f>
        <v/>
      </c>
      <c r="D220" s="12">
        <f>IFERROR(IF(SUMIFS(tblDaily[Deaths],tblDaily[EntryDate],DATE(2026,6,19),tblDaily[WardCode],"MAE")=0,"",SUMIFS(tblDaily[Deaths],tblDaily[EntryDate],DATE(2026,6,19),tblDaily[WardCode],"MAE")),"")</f>
        <v/>
      </c>
      <c r="E220" s="12">
        <f>IFERROR(IF(SUMIFS(tblDaily[DeathsUnder24Hrs],tblDaily[EntryDate],DATE(2026,6,19),tblDaily[WardCode],"MAE")=0,"",SUMIFS(tblDaily[DeathsUnder24Hrs],tblDaily[EntryDate],DATE(2026,6,19),tblDaily[WardCode],"MAE")),"")</f>
        <v/>
      </c>
      <c r="F220" s="12">
        <f>IFERROR(IF(SUMIFS(tblDaily[TransfersIn],tblDaily[EntryDate],DATE(2026,6,19),tblDaily[WardCode],"MAE")=0,"",SUMIFS(tblDaily[TransfersIn],tblDaily[EntryDate],DATE(2026,6,19),tblDaily[WardCode],"MAE")),"")</f>
        <v/>
      </c>
      <c r="G220" s="12">
        <f>IFERROR(IF(SUMIFS(tblDaily[TransfersOut],tblDaily[EntryDate],DATE(2026,6,19),tblDaily[WardCode],"MAE")=0,"",SUMIFS(tblDaily[TransfersOut],tblDaily[EntryDate],DATE(2026,6,19),tblDaily[WardCode],"MAE")),"")</f>
        <v/>
      </c>
      <c r="H220" s="12">
        <f>IFERROR(IF(SUMIFS(tblDaily[Remaining],tblDaily[EntryDate],DATE(2026,6,19),tblDaily[WardCode],"MAE")=0,"",SUMIFS(tblDaily[Remaining],tblDaily[EntryDate],DATE(2026,6,19),tblDaily[WardCode],"MAE")),"")</f>
        <v/>
      </c>
    </row>
    <row r="221">
      <c r="A221" s="12" t="n">
        <v>20</v>
      </c>
      <c r="B221" s="12">
        <f>IFERROR(IF(SUMIFS(tblDaily[Admissions],tblDaily[EntryDate],DATE(2026,6,20),tblDaily[WardCode],"MAE")=0,"",SUMIFS(tblDaily[Admissions],tblDaily[EntryDate],DATE(2026,6,20),tblDaily[WardCode],"MAE")),"")</f>
        <v/>
      </c>
      <c r="C221" s="12">
        <f>IFERROR(IF(SUMIFS(tblDaily[Discharges],tblDaily[EntryDate],DATE(2026,6,20),tblDaily[WardCode],"MAE")=0,"",SUMIFS(tblDaily[Discharges],tblDaily[EntryDate],DATE(2026,6,20),tblDaily[WardCode],"MAE")),"")</f>
        <v/>
      </c>
      <c r="D221" s="12">
        <f>IFERROR(IF(SUMIFS(tblDaily[Deaths],tblDaily[EntryDate],DATE(2026,6,20),tblDaily[WardCode],"MAE")=0,"",SUMIFS(tblDaily[Deaths],tblDaily[EntryDate],DATE(2026,6,20),tblDaily[WardCode],"MAE")),"")</f>
        <v/>
      </c>
      <c r="E221" s="12">
        <f>IFERROR(IF(SUMIFS(tblDaily[DeathsUnder24Hrs],tblDaily[EntryDate],DATE(2026,6,20),tblDaily[WardCode],"MAE")=0,"",SUMIFS(tblDaily[DeathsUnder24Hrs],tblDaily[EntryDate],DATE(2026,6,20),tblDaily[WardCode],"MAE")),"")</f>
        <v/>
      </c>
      <c r="F221" s="12">
        <f>IFERROR(IF(SUMIFS(tblDaily[TransfersIn],tblDaily[EntryDate],DATE(2026,6,20),tblDaily[WardCode],"MAE")=0,"",SUMIFS(tblDaily[TransfersIn],tblDaily[EntryDate],DATE(2026,6,20),tblDaily[WardCode],"MAE")),"")</f>
        <v/>
      </c>
      <c r="G221" s="12">
        <f>IFERROR(IF(SUMIFS(tblDaily[TransfersOut],tblDaily[EntryDate],DATE(2026,6,20),tblDaily[WardCode],"MAE")=0,"",SUMIFS(tblDaily[TransfersOut],tblDaily[EntryDate],DATE(2026,6,20),tblDaily[WardCode],"MAE")),"")</f>
        <v/>
      </c>
      <c r="H221" s="12">
        <f>IFERROR(IF(SUMIFS(tblDaily[Remaining],tblDaily[EntryDate],DATE(2026,6,20),tblDaily[WardCode],"MAE")=0,"",SUMIFS(tblDaily[Remaining],tblDaily[EntryDate],DATE(2026,6,20),tblDaily[WardCode],"MAE")),"")</f>
        <v/>
      </c>
    </row>
    <row r="222">
      <c r="A222" s="12" t="n">
        <v>21</v>
      </c>
      <c r="B222" s="12">
        <f>IFERROR(IF(SUMIFS(tblDaily[Admissions],tblDaily[EntryDate],DATE(2026,6,21),tblDaily[WardCode],"MAE")=0,"",SUMIFS(tblDaily[Admissions],tblDaily[EntryDate],DATE(2026,6,21),tblDaily[WardCode],"MAE")),"")</f>
        <v/>
      </c>
      <c r="C222" s="12">
        <f>IFERROR(IF(SUMIFS(tblDaily[Discharges],tblDaily[EntryDate],DATE(2026,6,21),tblDaily[WardCode],"MAE")=0,"",SUMIFS(tblDaily[Discharges],tblDaily[EntryDate],DATE(2026,6,21),tblDaily[WardCode],"MAE")),"")</f>
        <v/>
      </c>
      <c r="D222" s="12">
        <f>IFERROR(IF(SUMIFS(tblDaily[Deaths],tblDaily[EntryDate],DATE(2026,6,21),tblDaily[WardCode],"MAE")=0,"",SUMIFS(tblDaily[Deaths],tblDaily[EntryDate],DATE(2026,6,21),tblDaily[WardCode],"MAE")),"")</f>
        <v/>
      </c>
      <c r="E222" s="12">
        <f>IFERROR(IF(SUMIFS(tblDaily[DeathsUnder24Hrs],tblDaily[EntryDate],DATE(2026,6,21),tblDaily[WardCode],"MAE")=0,"",SUMIFS(tblDaily[DeathsUnder24Hrs],tblDaily[EntryDate],DATE(2026,6,21),tblDaily[WardCode],"MAE")),"")</f>
        <v/>
      </c>
      <c r="F222" s="12">
        <f>IFERROR(IF(SUMIFS(tblDaily[TransfersIn],tblDaily[EntryDate],DATE(2026,6,21),tblDaily[WardCode],"MAE")=0,"",SUMIFS(tblDaily[TransfersIn],tblDaily[EntryDate],DATE(2026,6,21),tblDaily[WardCode],"MAE")),"")</f>
        <v/>
      </c>
      <c r="G222" s="12">
        <f>IFERROR(IF(SUMIFS(tblDaily[TransfersOut],tblDaily[EntryDate],DATE(2026,6,21),tblDaily[WardCode],"MAE")=0,"",SUMIFS(tblDaily[TransfersOut],tblDaily[EntryDate],DATE(2026,6,21),tblDaily[WardCode],"MAE")),"")</f>
        <v/>
      </c>
      <c r="H222" s="12">
        <f>IFERROR(IF(SUMIFS(tblDaily[Remaining],tblDaily[EntryDate],DATE(2026,6,21),tblDaily[WardCode],"MAE")=0,"",SUMIFS(tblDaily[Remaining],tblDaily[EntryDate],DATE(2026,6,21),tblDaily[WardCode],"MAE")),"")</f>
        <v/>
      </c>
    </row>
    <row r="223">
      <c r="A223" s="12" t="n">
        <v>22</v>
      </c>
      <c r="B223" s="12">
        <f>IFERROR(IF(SUMIFS(tblDaily[Admissions],tblDaily[EntryDate],DATE(2026,6,22),tblDaily[WardCode],"MAE")=0,"",SUMIFS(tblDaily[Admissions],tblDaily[EntryDate],DATE(2026,6,22),tblDaily[WardCode],"MAE")),"")</f>
        <v/>
      </c>
      <c r="C223" s="12">
        <f>IFERROR(IF(SUMIFS(tblDaily[Discharges],tblDaily[EntryDate],DATE(2026,6,22),tblDaily[WardCode],"MAE")=0,"",SUMIFS(tblDaily[Discharges],tblDaily[EntryDate],DATE(2026,6,22),tblDaily[WardCode],"MAE")),"")</f>
        <v/>
      </c>
      <c r="D223" s="12">
        <f>IFERROR(IF(SUMIFS(tblDaily[Deaths],tblDaily[EntryDate],DATE(2026,6,22),tblDaily[WardCode],"MAE")=0,"",SUMIFS(tblDaily[Deaths],tblDaily[EntryDate],DATE(2026,6,22),tblDaily[WardCode],"MAE")),"")</f>
        <v/>
      </c>
      <c r="E223" s="12">
        <f>IFERROR(IF(SUMIFS(tblDaily[DeathsUnder24Hrs],tblDaily[EntryDate],DATE(2026,6,22),tblDaily[WardCode],"MAE")=0,"",SUMIFS(tblDaily[DeathsUnder24Hrs],tblDaily[EntryDate],DATE(2026,6,22),tblDaily[WardCode],"MAE")),"")</f>
        <v/>
      </c>
      <c r="F223" s="12">
        <f>IFERROR(IF(SUMIFS(tblDaily[TransfersIn],tblDaily[EntryDate],DATE(2026,6,22),tblDaily[WardCode],"MAE")=0,"",SUMIFS(tblDaily[TransfersIn],tblDaily[EntryDate],DATE(2026,6,22),tblDaily[WardCode],"MAE")),"")</f>
        <v/>
      </c>
      <c r="G223" s="12">
        <f>IFERROR(IF(SUMIFS(tblDaily[TransfersOut],tblDaily[EntryDate],DATE(2026,6,22),tblDaily[WardCode],"MAE")=0,"",SUMIFS(tblDaily[TransfersOut],tblDaily[EntryDate],DATE(2026,6,22),tblDaily[WardCode],"MAE")),"")</f>
        <v/>
      </c>
      <c r="H223" s="12">
        <f>IFERROR(IF(SUMIFS(tblDaily[Remaining],tblDaily[EntryDate],DATE(2026,6,22),tblDaily[WardCode],"MAE")=0,"",SUMIFS(tblDaily[Remaining],tblDaily[EntryDate],DATE(2026,6,22),tblDaily[WardCode],"MAE")),"")</f>
        <v/>
      </c>
    </row>
    <row r="224">
      <c r="A224" s="12" t="n">
        <v>23</v>
      </c>
      <c r="B224" s="12">
        <f>IFERROR(IF(SUMIFS(tblDaily[Admissions],tblDaily[EntryDate],DATE(2026,6,23),tblDaily[WardCode],"MAE")=0,"",SUMIFS(tblDaily[Admissions],tblDaily[EntryDate],DATE(2026,6,23),tblDaily[WardCode],"MAE")),"")</f>
        <v/>
      </c>
      <c r="C224" s="12">
        <f>IFERROR(IF(SUMIFS(tblDaily[Discharges],tblDaily[EntryDate],DATE(2026,6,23),tblDaily[WardCode],"MAE")=0,"",SUMIFS(tblDaily[Discharges],tblDaily[EntryDate],DATE(2026,6,23),tblDaily[WardCode],"MAE")),"")</f>
        <v/>
      </c>
      <c r="D224" s="12">
        <f>IFERROR(IF(SUMIFS(tblDaily[Deaths],tblDaily[EntryDate],DATE(2026,6,23),tblDaily[WardCode],"MAE")=0,"",SUMIFS(tblDaily[Deaths],tblDaily[EntryDate],DATE(2026,6,23),tblDaily[WardCode],"MAE")),"")</f>
        <v/>
      </c>
      <c r="E224" s="12">
        <f>IFERROR(IF(SUMIFS(tblDaily[DeathsUnder24Hrs],tblDaily[EntryDate],DATE(2026,6,23),tblDaily[WardCode],"MAE")=0,"",SUMIFS(tblDaily[DeathsUnder24Hrs],tblDaily[EntryDate],DATE(2026,6,23),tblDaily[WardCode],"MAE")),"")</f>
        <v/>
      </c>
      <c r="F224" s="12">
        <f>IFERROR(IF(SUMIFS(tblDaily[TransfersIn],tblDaily[EntryDate],DATE(2026,6,23),tblDaily[WardCode],"MAE")=0,"",SUMIFS(tblDaily[TransfersIn],tblDaily[EntryDate],DATE(2026,6,23),tblDaily[WardCode],"MAE")),"")</f>
        <v/>
      </c>
      <c r="G224" s="12">
        <f>IFERROR(IF(SUMIFS(tblDaily[TransfersOut],tblDaily[EntryDate],DATE(2026,6,23),tblDaily[WardCode],"MAE")=0,"",SUMIFS(tblDaily[TransfersOut],tblDaily[EntryDate],DATE(2026,6,23),tblDaily[WardCode],"MAE")),"")</f>
        <v/>
      </c>
      <c r="H224" s="12">
        <f>IFERROR(IF(SUMIFS(tblDaily[Remaining],tblDaily[EntryDate],DATE(2026,6,23),tblDaily[WardCode],"MAE")=0,"",SUMIFS(tblDaily[Remaining],tblDaily[EntryDate],DATE(2026,6,23),tblDaily[WardCode],"MAE")),"")</f>
        <v/>
      </c>
    </row>
    <row r="225">
      <c r="A225" s="12" t="n">
        <v>24</v>
      </c>
      <c r="B225" s="12">
        <f>IFERROR(IF(SUMIFS(tblDaily[Admissions],tblDaily[EntryDate],DATE(2026,6,24),tblDaily[WardCode],"MAE")=0,"",SUMIFS(tblDaily[Admissions],tblDaily[EntryDate],DATE(2026,6,24),tblDaily[WardCode],"MAE")),"")</f>
        <v/>
      </c>
      <c r="C225" s="12">
        <f>IFERROR(IF(SUMIFS(tblDaily[Discharges],tblDaily[EntryDate],DATE(2026,6,24),tblDaily[WardCode],"MAE")=0,"",SUMIFS(tblDaily[Discharges],tblDaily[EntryDate],DATE(2026,6,24),tblDaily[WardCode],"MAE")),"")</f>
        <v/>
      </c>
      <c r="D225" s="12">
        <f>IFERROR(IF(SUMIFS(tblDaily[Deaths],tblDaily[EntryDate],DATE(2026,6,24),tblDaily[WardCode],"MAE")=0,"",SUMIFS(tblDaily[Deaths],tblDaily[EntryDate],DATE(2026,6,24),tblDaily[WardCode],"MAE")),"")</f>
        <v/>
      </c>
      <c r="E225" s="12">
        <f>IFERROR(IF(SUMIFS(tblDaily[DeathsUnder24Hrs],tblDaily[EntryDate],DATE(2026,6,24),tblDaily[WardCode],"MAE")=0,"",SUMIFS(tblDaily[DeathsUnder24Hrs],tblDaily[EntryDate],DATE(2026,6,24),tblDaily[WardCode],"MAE")),"")</f>
        <v/>
      </c>
      <c r="F225" s="12">
        <f>IFERROR(IF(SUMIFS(tblDaily[TransfersIn],tblDaily[EntryDate],DATE(2026,6,24),tblDaily[WardCode],"MAE")=0,"",SUMIFS(tblDaily[TransfersIn],tblDaily[EntryDate],DATE(2026,6,24),tblDaily[WardCode],"MAE")),"")</f>
        <v/>
      </c>
      <c r="G225" s="12">
        <f>IFERROR(IF(SUMIFS(tblDaily[TransfersOut],tblDaily[EntryDate],DATE(2026,6,24),tblDaily[WardCode],"MAE")=0,"",SUMIFS(tblDaily[TransfersOut],tblDaily[EntryDate],DATE(2026,6,24),tblDaily[WardCode],"MAE")),"")</f>
        <v/>
      </c>
      <c r="H225" s="12">
        <f>IFERROR(IF(SUMIFS(tblDaily[Remaining],tblDaily[EntryDate],DATE(2026,6,24),tblDaily[WardCode],"MAE")=0,"",SUMIFS(tblDaily[Remaining],tblDaily[EntryDate],DATE(2026,6,24),tblDaily[WardCode],"MAE")),"")</f>
        <v/>
      </c>
    </row>
    <row r="226">
      <c r="A226" s="12" t="n">
        <v>25</v>
      </c>
      <c r="B226" s="12">
        <f>IFERROR(IF(SUMIFS(tblDaily[Admissions],tblDaily[EntryDate],DATE(2026,6,25),tblDaily[WardCode],"MAE")=0,"",SUMIFS(tblDaily[Admissions],tblDaily[EntryDate],DATE(2026,6,25),tblDaily[WardCode],"MAE")),"")</f>
        <v/>
      </c>
      <c r="C226" s="12">
        <f>IFERROR(IF(SUMIFS(tblDaily[Discharges],tblDaily[EntryDate],DATE(2026,6,25),tblDaily[WardCode],"MAE")=0,"",SUMIFS(tblDaily[Discharges],tblDaily[EntryDate],DATE(2026,6,25),tblDaily[WardCode],"MAE")),"")</f>
        <v/>
      </c>
      <c r="D226" s="12">
        <f>IFERROR(IF(SUMIFS(tblDaily[Deaths],tblDaily[EntryDate],DATE(2026,6,25),tblDaily[WardCode],"MAE")=0,"",SUMIFS(tblDaily[Deaths],tblDaily[EntryDate],DATE(2026,6,25),tblDaily[WardCode],"MAE")),"")</f>
        <v/>
      </c>
      <c r="E226" s="12">
        <f>IFERROR(IF(SUMIFS(tblDaily[DeathsUnder24Hrs],tblDaily[EntryDate],DATE(2026,6,25),tblDaily[WardCode],"MAE")=0,"",SUMIFS(tblDaily[DeathsUnder24Hrs],tblDaily[EntryDate],DATE(2026,6,25),tblDaily[WardCode],"MAE")),"")</f>
        <v/>
      </c>
      <c r="F226" s="12">
        <f>IFERROR(IF(SUMIFS(tblDaily[TransfersIn],tblDaily[EntryDate],DATE(2026,6,25),tblDaily[WardCode],"MAE")=0,"",SUMIFS(tblDaily[TransfersIn],tblDaily[EntryDate],DATE(2026,6,25),tblDaily[WardCode],"MAE")),"")</f>
        <v/>
      </c>
      <c r="G226" s="12">
        <f>IFERROR(IF(SUMIFS(tblDaily[TransfersOut],tblDaily[EntryDate],DATE(2026,6,25),tblDaily[WardCode],"MAE")=0,"",SUMIFS(tblDaily[TransfersOut],tblDaily[EntryDate],DATE(2026,6,25),tblDaily[WardCode],"MAE")),"")</f>
        <v/>
      </c>
      <c r="H226" s="12">
        <f>IFERROR(IF(SUMIFS(tblDaily[Remaining],tblDaily[EntryDate],DATE(2026,6,25),tblDaily[WardCode],"MAE")=0,"",SUMIFS(tblDaily[Remaining],tblDaily[EntryDate],DATE(2026,6,25),tblDaily[WardCode],"MAE")),"")</f>
        <v/>
      </c>
    </row>
    <row r="227">
      <c r="A227" s="12" t="n">
        <v>26</v>
      </c>
      <c r="B227" s="12">
        <f>IFERROR(IF(SUMIFS(tblDaily[Admissions],tblDaily[EntryDate],DATE(2026,6,26),tblDaily[WardCode],"MAE")=0,"",SUMIFS(tblDaily[Admissions],tblDaily[EntryDate],DATE(2026,6,26),tblDaily[WardCode],"MAE")),"")</f>
        <v/>
      </c>
      <c r="C227" s="12">
        <f>IFERROR(IF(SUMIFS(tblDaily[Discharges],tblDaily[EntryDate],DATE(2026,6,26),tblDaily[WardCode],"MAE")=0,"",SUMIFS(tblDaily[Discharges],tblDaily[EntryDate],DATE(2026,6,26),tblDaily[WardCode],"MAE")),"")</f>
        <v/>
      </c>
      <c r="D227" s="12">
        <f>IFERROR(IF(SUMIFS(tblDaily[Deaths],tblDaily[EntryDate],DATE(2026,6,26),tblDaily[WardCode],"MAE")=0,"",SUMIFS(tblDaily[Deaths],tblDaily[EntryDate],DATE(2026,6,26),tblDaily[WardCode],"MAE")),"")</f>
        <v/>
      </c>
      <c r="E227" s="12">
        <f>IFERROR(IF(SUMIFS(tblDaily[DeathsUnder24Hrs],tblDaily[EntryDate],DATE(2026,6,26),tblDaily[WardCode],"MAE")=0,"",SUMIFS(tblDaily[DeathsUnder24Hrs],tblDaily[EntryDate],DATE(2026,6,26),tblDaily[WardCode],"MAE")),"")</f>
        <v/>
      </c>
      <c r="F227" s="12">
        <f>IFERROR(IF(SUMIFS(tblDaily[TransfersIn],tblDaily[EntryDate],DATE(2026,6,26),tblDaily[WardCode],"MAE")=0,"",SUMIFS(tblDaily[TransfersIn],tblDaily[EntryDate],DATE(2026,6,26),tblDaily[WardCode],"MAE")),"")</f>
        <v/>
      </c>
      <c r="G227" s="12">
        <f>IFERROR(IF(SUMIFS(tblDaily[TransfersOut],tblDaily[EntryDate],DATE(2026,6,26),tblDaily[WardCode],"MAE")=0,"",SUMIFS(tblDaily[TransfersOut],tblDaily[EntryDate],DATE(2026,6,26),tblDaily[WardCode],"MAE")),"")</f>
        <v/>
      </c>
      <c r="H227" s="12">
        <f>IFERROR(IF(SUMIFS(tblDaily[Remaining],tblDaily[EntryDate],DATE(2026,6,26),tblDaily[WardCode],"MAE")=0,"",SUMIFS(tblDaily[Remaining],tblDaily[EntryDate],DATE(2026,6,26),tblDaily[WardCode],"MAE")),"")</f>
        <v/>
      </c>
    </row>
    <row r="228">
      <c r="A228" s="12" t="n">
        <v>27</v>
      </c>
      <c r="B228" s="12">
        <f>IFERROR(IF(SUMIFS(tblDaily[Admissions],tblDaily[EntryDate],DATE(2026,6,27),tblDaily[WardCode],"MAE")=0,"",SUMIFS(tblDaily[Admissions],tblDaily[EntryDate],DATE(2026,6,27),tblDaily[WardCode],"MAE")),"")</f>
        <v/>
      </c>
      <c r="C228" s="12">
        <f>IFERROR(IF(SUMIFS(tblDaily[Discharges],tblDaily[EntryDate],DATE(2026,6,27),tblDaily[WardCode],"MAE")=0,"",SUMIFS(tblDaily[Discharges],tblDaily[EntryDate],DATE(2026,6,27),tblDaily[WardCode],"MAE")),"")</f>
        <v/>
      </c>
      <c r="D228" s="12">
        <f>IFERROR(IF(SUMIFS(tblDaily[Deaths],tblDaily[EntryDate],DATE(2026,6,27),tblDaily[WardCode],"MAE")=0,"",SUMIFS(tblDaily[Deaths],tblDaily[EntryDate],DATE(2026,6,27),tblDaily[WardCode],"MAE")),"")</f>
        <v/>
      </c>
      <c r="E228" s="12">
        <f>IFERROR(IF(SUMIFS(tblDaily[DeathsUnder24Hrs],tblDaily[EntryDate],DATE(2026,6,27),tblDaily[WardCode],"MAE")=0,"",SUMIFS(tblDaily[DeathsUnder24Hrs],tblDaily[EntryDate],DATE(2026,6,27),tblDaily[WardCode],"MAE")),"")</f>
        <v/>
      </c>
      <c r="F228" s="12">
        <f>IFERROR(IF(SUMIFS(tblDaily[TransfersIn],tblDaily[EntryDate],DATE(2026,6,27),tblDaily[WardCode],"MAE")=0,"",SUMIFS(tblDaily[TransfersIn],tblDaily[EntryDate],DATE(2026,6,27),tblDaily[WardCode],"MAE")),"")</f>
        <v/>
      </c>
      <c r="G228" s="12">
        <f>IFERROR(IF(SUMIFS(tblDaily[TransfersOut],tblDaily[EntryDate],DATE(2026,6,27),tblDaily[WardCode],"MAE")=0,"",SUMIFS(tblDaily[TransfersOut],tblDaily[EntryDate],DATE(2026,6,27),tblDaily[WardCode],"MAE")),"")</f>
        <v/>
      </c>
      <c r="H228" s="12">
        <f>IFERROR(IF(SUMIFS(tblDaily[Remaining],tblDaily[EntryDate],DATE(2026,6,27),tblDaily[WardCode],"MAE")=0,"",SUMIFS(tblDaily[Remaining],tblDaily[EntryDate],DATE(2026,6,27),tblDaily[WardCode],"MAE")),"")</f>
        <v/>
      </c>
    </row>
    <row r="229">
      <c r="A229" s="12" t="n">
        <v>28</v>
      </c>
      <c r="B229" s="12">
        <f>IFERROR(IF(SUMIFS(tblDaily[Admissions],tblDaily[EntryDate],DATE(2026,6,28),tblDaily[WardCode],"MAE")=0,"",SUMIFS(tblDaily[Admissions],tblDaily[EntryDate],DATE(2026,6,28),tblDaily[WardCode],"MAE")),"")</f>
        <v/>
      </c>
      <c r="C229" s="12">
        <f>IFERROR(IF(SUMIFS(tblDaily[Discharges],tblDaily[EntryDate],DATE(2026,6,28),tblDaily[WardCode],"MAE")=0,"",SUMIFS(tblDaily[Discharges],tblDaily[EntryDate],DATE(2026,6,28),tblDaily[WardCode],"MAE")),"")</f>
        <v/>
      </c>
      <c r="D229" s="12">
        <f>IFERROR(IF(SUMIFS(tblDaily[Deaths],tblDaily[EntryDate],DATE(2026,6,28),tblDaily[WardCode],"MAE")=0,"",SUMIFS(tblDaily[Deaths],tblDaily[EntryDate],DATE(2026,6,28),tblDaily[WardCode],"MAE")),"")</f>
        <v/>
      </c>
      <c r="E229" s="12">
        <f>IFERROR(IF(SUMIFS(tblDaily[DeathsUnder24Hrs],tblDaily[EntryDate],DATE(2026,6,28),tblDaily[WardCode],"MAE")=0,"",SUMIFS(tblDaily[DeathsUnder24Hrs],tblDaily[EntryDate],DATE(2026,6,28),tblDaily[WardCode],"MAE")),"")</f>
        <v/>
      </c>
      <c r="F229" s="12">
        <f>IFERROR(IF(SUMIFS(tblDaily[TransfersIn],tblDaily[EntryDate],DATE(2026,6,28),tblDaily[WardCode],"MAE")=0,"",SUMIFS(tblDaily[TransfersIn],tblDaily[EntryDate],DATE(2026,6,28),tblDaily[WardCode],"MAE")),"")</f>
        <v/>
      </c>
      <c r="G229" s="12">
        <f>IFERROR(IF(SUMIFS(tblDaily[TransfersOut],tblDaily[EntryDate],DATE(2026,6,28),tblDaily[WardCode],"MAE")=0,"",SUMIFS(tblDaily[TransfersOut],tblDaily[EntryDate],DATE(2026,6,28),tblDaily[WardCode],"MAE")),"")</f>
        <v/>
      </c>
      <c r="H229" s="12">
        <f>IFERROR(IF(SUMIFS(tblDaily[Remaining],tblDaily[EntryDate],DATE(2026,6,28),tblDaily[WardCode],"MAE")=0,"",SUMIFS(tblDaily[Remaining],tblDaily[EntryDate],DATE(2026,6,28),tblDaily[WardCode],"MAE")),"")</f>
        <v/>
      </c>
    </row>
    <row r="230">
      <c r="A230" s="12" t="n">
        <v>29</v>
      </c>
      <c r="B230" s="12">
        <f>IFERROR(IF(SUMIFS(tblDaily[Admissions],tblDaily[EntryDate],DATE(2026,6,29),tblDaily[WardCode],"MAE")=0,"",SUMIFS(tblDaily[Admissions],tblDaily[EntryDate],DATE(2026,6,29),tblDaily[WardCode],"MAE")),"")</f>
        <v/>
      </c>
      <c r="C230" s="12">
        <f>IFERROR(IF(SUMIFS(tblDaily[Discharges],tblDaily[EntryDate],DATE(2026,6,29),tblDaily[WardCode],"MAE")=0,"",SUMIFS(tblDaily[Discharges],tblDaily[EntryDate],DATE(2026,6,29),tblDaily[WardCode],"MAE")),"")</f>
        <v/>
      </c>
      <c r="D230" s="12">
        <f>IFERROR(IF(SUMIFS(tblDaily[Deaths],tblDaily[EntryDate],DATE(2026,6,29),tblDaily[WardCode],"MAE")=0,"",SUMIFS(tblDaily[Deaths],tblDaily[EntryDate],DATE(2026,6,29),tblDaily[WardCode],"MAE")),"")</f>
        <v/>
      </c>
      <c r="E230" s="12">
        <f>IFERROR(IF(SUMIFS(tblDaily[DeathsUnder24Hrs],tblDaily[EntryDate],DATE(2026,6,29),tblDaily[WardCode],"MAE")=0,"",SUMIFS(tblDaily[DeathsUnder24Hrs],tblDaily[EntryDate],DATE(2026,6,29),tblDaily[WardCode],"MAE")),"")</f>
        <v/>
      </c>
      <c r="F230" s="12">
        <f>IFERROR(IF(SUMIFS(tblDaily[TransfersIn],tblDaily[EntryDate],DATE(2026,6,29),tblDaily[WardCode],"MAE")=0,"",SUMIFS(tblDaily[TransfersIn],tblDaily[EntryDate],DATE(2026,6,29),tblDaily[WardCode],"MAE")),"")</f>
        <v/>
      </c>
      <c r="G230" s="12">
        <f>IFERROR(IF(SUMIFS(tblDaily[TransfersOut],tblDaily[EntryDate],DATE(2026,6,29),tblDaily[WardCode],"MAE")=0,"",SUMIFS(tblDaily[TransfersOut],tblDaily[EntryDate],DATE(2026,6,29),tblDaily[WardCode],"MAE")),"")</f>
        <v/>
      </c>
      <c r="H230" s="12">
        <f>IFERROR(IF(SUMIFS(tblDaily[Remaining],tblDaily[EntryDate],DATE(2026,6,29),tblDaily[WardCode],"MAE")=0,"",SUMIFS(tblDaily[Remaining],tblDaily[EntryDate],DATE(2026,6,29),tblDaily[WardCode],"MAE")),"")</f>
        <v/>
      </c>
    </row>
    <row r="231">
      <c r="A231" s="12" t="n">
        <v>30</v>
      </c>
      <c r="B231" s="12">
        <f>IFERROR(IF(SUMIFS(tblDaily[Admissions],tblDaily[EntryDate],DATE(2026,6,30),tblDaily[WardCode],"MAE")=0,"",SUMIFS(tblDaily[Admissions],tblDaily[EntryDate],DATE(2026,6,30),tblDaily[WardCode],"MAE")),"")</f>
        <v/>
      </c>
      <c r="C231" s="12">
        <f>IFERROR(IF(SUMIFS(tblDaily[Discharges],tblDaily[EntryDate],DATE(2026,6,30),tblDaily[WardCode],"MAE")=0,"",SUMIFS(tblDaily[Discharges],tblDaily[EntryDate],DATE(2026,6,30),tblDaily[WardCode],"MAE")),"")</f>
        <v/>
      </c>
      <c r="D231" s="12">
        <f>IFERROR(IF(SUMIFS(tblDaily[Deaths],tblDaily[EntryDate],DATE(2026,6,30),tblDaily[WardCode],"MAE")=0,"",SUMIFS(tblDaily[Deaths],tblDaily[EntryDate],DATE(2026,6,30),tblDaily[WardCode],"MAE")),"")</f>
        <v/>
      </c>
      <c r="E231" s="12">
        <f>IFERROR(IF(SUMIFS(tblDaily[DeathsUnder24Hrs],tblDaily[EntryDate],DATE(2026,6,30),tblDaily[WardCode],"MAE")=0,"",SUMIFS(tblDaily[DeathsUnder24Hrs],tblDaily[EntryDate],DATE(2026,6,30),tblDaily[WardCode],"MAE")),"")</f>
        <v/>
      </c>
      <c r="F231" s="12">
        <f>IFERROR(IF(SUMIFS(tblDaily[TransfersIn],tblDaily[EntryDate],DATE(2026,6,30),tblDaily[WardCode],"MAE")=0,"",SUMIFS(tblDaily[TransfersIn],tblDaily[EntryDate],DATE(2026,6,30),tblDaily[WardCode],"MAE")),"")</f>
        <v/>
      </c>
      <c r="G231" s="12">
        <f>IFERROR(IF(SUMIFS(tblDaily[TransfersOut],tblDaily[EntryDate],DATE(2026,6,30),tblDaily[WardCode],"MAE")=0,"",SUMIFS(tblDaily[TransfersOut],tblDaily[EntryDate],DATE(2026,6,30),tblDaily[WardCode],"MAE")),"")</f>
        <v/>
      </c>
      <c r="H231" s="12">
        <f>IFERROR(IF(SUMIFS(tblDaily[Remaining],tblDaily[EntryDate],DATE(2026,6,30),tblDaily[WardCode],"MAE")=0,"",SUMIFS(tblDaily[Remaining],tblDaily[EntryDate],DATE(2026,6,30),tblDaily[WardCode],"MAE")),"")</f>
        <v/>
      </c>
    </row>
    <row r="232">
      <c r="A232" s="12" t="n">
        <v>31</v>
      </c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7" t="inlineStr">
        <is>
          <t>TOTAL</t>
        </is>
      </c>
      <c r="B233" s="17">
        <f>SUMIFS(tblDaily[Admissions],tblDaily[Month],6,tblDaily[WardCode],"MAE") - SUMIFS(tblDaily[DeathsUnder24Hrs],tblDaily[Month],6,tblDaily[WardCode],"MAE")</f>
        <v/>
      </c>
      <c r="C233" s="17">
        <f>SUMIFS(tblDaily[Discharges],tblDaily[Month],6,tblDaily[WardCode],"MAE")</f>
        <v/>
      </c>
      <c r="D233" s="17">
        <f>SUMIFS(tblDaily[Deaths],tblDaily[Month],6,tblDaily[WardCode],"MAE")</f>
        <v/>
      </c>
      <c r="E233" s="17">
        <f>SUMIFS(tblDaily[DeathsUnder24Hrs],tblDaily[Month],6,tblDaily[WardCode],"MAE")</f>
        <v/>
      </c>
      <c r="F233" s="17">
        <f>SUMIFS(tblDaily[TransfersIn],tblDaily[Month],6,tblDaily[WardCode],"MAE")</f>
        <v/>
      </c>
      <c r="G233" s="17">
        <f>SUMIFS(tblDaily[TransfersOut],tblDaily[Month],6,tblDaily[WardCode],"MAE")</f>
        <v/>
      </c>
      <c r="H233" s="17">
        <f>SUMIFS(tblDaily[Remaining],tblDaily[Month],6,tblDaily[WardCode],"MAE")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MALE EMERGENCY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4">
        <f>IFERROR(SUMIFS(tblDaily[Remaining],tblDaily[EntryDate],DATE(2026,6,30),tblDaily[WardCode],"MAE"),0)</f>
        <v/>
      </c>
    </row>
    <row r="239">
      <c r="A239" s="4" t="inlineStr">
        <is>
          <t>Bed complement</t>
        </is>
      </c>
      <c r="H239" s="15">
        <f>IFERROR(INDEX(tblWardConfig[BedComplement],MATCH("MAE",tblWardConfig[WardCode],0)),0)</f>
        <v/>
      </c>
    </row>
    <row r="240">
      <c r="A240" s="16" t="inlineStr">
        <is>
          <t>Day of
the
Month</t>
        </is>
      </c>
      <c r="B240" s="16" t="inlineStr">
        <is>
          <t>Admissions</t>
        </is>
      </c>
      <c r="C240" s="16" t="inlineStr">
        <is>
          <t>Discharges</t>
        </is>
      </c>
      <c r="D240" s="16" t="inlineStr">
        <is>
          <t>Deaths</t>
        </is>
      </c>
      <c r="E240" s="16" t="inlineStr">
        <is>
          <t>Deaths
&lt;24Hrs</t>
        </is>
      </c>
      <c r="F240" s="16" t="inlineStr">
        <is>
          <t>Transfers-
In</t>
        </is>
      </c>
      <c r="G240" s="16" t="inlineStr">
        <is>
          <t>Transfers-
Out</t>
        </is>
      </c>
      <c r="H240" s="16" t="inlineStr">
        <is>
          <t>No. of Patients
Remaining In
Ward</t>
        </is>
      </c>
    </row>
    <row r="241">
      <c r="A241" s="12" t="n">
        <v>1</v>
      </c>
      <c r="B241" s="12">
        <f>IFERROR(IF(SUMIFS(tblDaily[Admissions],tblDaily[EntryDate],DATE(2026,7,1),tblDaily[WardCode],"MAE")=0,"",SUMIFS(tblDaily[Admissions],tblDaily[EntryDate],DATE(2026,7,1),tblDaily[WardCode],"MAE")),"")</f>
        <v/>
      </c>
      <c r="C241" s="12">
        <f>IFERROR(IF(SUMIFS(tblDaily[Discharges],tblDaily[EntryDate],DATE(2026,7,1),tblDaily[WardCode],"MAE")=0,"",SUMIFS(tblDaily[Discharges],tblDaily[EntryDate],DATE(2026,7,1),tblDaily[WardCode],"MAE")),"")</f>
        <v/>
      </c>
      <c r="D241" s="12">
        <f>IFERROR(IF(SUMIFS(tblDaily[Deaths],tblDaily[EntryDate],DATE(2026,7,1),tblDaily[WardCode],"MAE")=0,"",SUMIFS(tblDaily[Deaths],tblDaily[EntryDate],DATE(2026,7,1),tblDaily[WardCode],"MAE")),"")</f>
        <v/>
      </c>
      <c r="E241" s="12">
        <f>IFERROR(IF(SUMIFS(tblDaily[DeathsUnder24Hrs],tblDaily[EntryDate],DATE(2026,7,1),tblDaily[WardCode],"MAE")=0,"",SUMIFS(tblDaily[DeathsUnder24Hrs],tblDaily[EntryDate],DATE(2026,7,1),tblDaily[WardCode],"MAE")),"")</f>
        <v/>
      </c>
      <c r="F241" s="12">
        <f>IFERROR(IF(SUMIFS(tblDaily[TransfersIn],tblDaily[EntryDate],DATE(2026,7,1),tblDaily[WardCode],"MAE")=0,"",SUMIFS(tblDaily[TransfersIn],tblDaily[EntryDate],DATE(2026,7,1),tblDaily[WardCode],"MAE")),"")</f>
        <v/>
      </c>
      <c r="G241" s="12">
        <f>IFERROR(IF(SUMIFS(tblDaily[TransfersOut],tblDaily[EntryDate],DATE(2026,7,1),tblDaily[WardCode],"MAE")=0,"",SUMIFS(tblDaily[TransfersOut],tblDaily[EntryDate],DATE(2026,7,1),tblDaily[WardCode],"MAE")),"")</f>
        <v/>
      </c>
      <c r="H241" s="12">
        <f>IFERROR(IF(SUMIFS(tblDaily[Remaining],tblDaily[EntryDate],DATE(2026,7,1),tblDaily[WardCode],"MAE")=0,"",SUMIFS(tblDaily[Remaining],tblDaily[EntryDate],DATE(2026,7,1),tblDaily[WardCode],"MAE")),"")</f>
        <v/>
      </c>
    </row>
    <row r="242">
      <c r="A242" s="12" t="n">
        <v>2</v>
      </c>
      <c r="B242" s="12">
        <f>IFERROR(IF(SUMIFS(tblDaily[Admissions],tblDaily[EntryDate],DATE(2026,7,2),tblDaily[WardCode],"MAE")=0,"",SUMIFS(tblDaily[Admissions],tblDaily[EntryDate],DATE(2026,7,2),tblDaily[WardCode],"MAE")),"")</f>
        <v/>
      </c>
      <c r="C242" s="12">
        <f>IFERROR(IF(SUMIFS(tblDaily[Discharges],tblDaily[EntryDate],DATE(2026,7,2),tblDaily[WardCode],"MAE")=0,"",SUMIFS(tblDaily[Discharges],tblDaily[EntryDate],DATE(2026,7,2),tblDaily[WardCode],"MAE")),"")</f>
        <v/>
      </c>
      <c r="D242" s="12">
        <f>IFERROR(IF(SUMIFS(tblDaily[Deaths],tblDaily[EntryDate],DATE(2026,7,2),tblDaily[WardCode],"MAE")=0,"",SUMIFS(tblDaily[Deaths],tblDaily[EntryDate],DATE(2026,7,2),tblDaily[WardCode],"MAE")),"")</f>
        <v/>
      </c>
      <c r="E242" s="12">
        <f>IFERROR(IF(SUMIFS(tblDaily[DeathsUnder24Hrs],tblDaily[EntryDate],DATE(2026,7,2),tblDaily[WardCode],"MAE")=0,"",SUMIFS(tblDaily[DeathsUnder24Hrs],tblDaily[EntryDate],DATE(2026,7,2),tblDaily[WardCode],"MAE")),"")</f>
        <v/>
      </c>
      <c r="F242" s="12">
        <f>IFERROR(IF(SUMIFS(tblDaily[TransfersIn],tblDaily[EntryDate],DATE(2026,7,2),tblDaily[WardCode],"MAE")=0,"",SUMIFS(tblDaily[TransfersIn],tblDaily[EntryDate],DATE(2026,7,2),tblDaily[WardCode],"MAE")),"")</f>
        <v/>
      </c>
      <c r="G242" s="12">
        <f>IFERROR(IF(SUMIFS(tblDaily[TransfersOut],tblDaily[EntryDate],DATE(2026,7,2),tblDaily[WardCode],"MAE")=0,"",SUMIFS(tblDaily[TransfersOut],tblDaily[EntryDate],DATE(2026,7,2),tblDaily[WardCode],"MAE")),"")</f>
        <v/>
      </c>
      <c r="H242" s="12">
        <f>IFERROR(IF(SUMIFS(tblDaily[Remaining],tblDaily[EntryDate],DATE(2026,7,2),tblDaily[WardCode],"MAE")=0,"",SUMIFS(tblDaily[Remaining],tblDaily[EntryDate],DATE(2026,7,2),tblDaily[WardCode],"MAE")),"")</f>
        <v/>
      </c>
    </row>
    <row r="243">
      <c r="A243" s="12" t="n">
        <v>3</v>
      </c>
      <c r="B243" s="12">
        <f>IFERROR(IF(SUMIFS(tblDaily[Admissions],tblDaily[EntryDate],DATE(2026,7,3),tblDaily[WardCode],"MAE")=0,"",SUMIFS(tblDaily[Admissions],tblDaily[EntryDate],DATE(2026,7,3),tblDaily[WardCode],"MAE")),"")</f>
        <v/>
      </c>
      <c r="C243" s="12">
        <f>IFERROR(IF(SUMIFS(tblDaily[Discharges],tblDaily[EntryDate],DATE(2026,7,3),tblDaily[WardCode],"MAE")=0,"",SUMIFS(tblDaily[Discharges],tblDaily[EntryDate],DATE(2026,7,3),tblDaily[WardCode],"MAE")),"")</f>
        <v/>
      </c>
      <c r="D243" s="12">
        <f>IFERROR(IF(SUMIFS(tblDaily[Deaths],tblDaily[EntryDate],DATE(2026,7,3),tblDaily[WardCode],"MAE")=0,"",SUMIFS(tblDaily[Deaths],tblDaily[EntryDate],DATE(2026,7,3),tblDaily[WardCode],"MAE")),"")</f>
        <v/>
      </c>
      <c r="E243" s="12">
        <f>IFERROR(IF(SUMIFS(tblDaily[DeathsUnder24Hrs],tblDaily[EntryDate],DATE(2026,7,3),tblDaily[WardCode],"MAE")=0,"",SUMIFS(tblDaily[DeathsUnder24Hrs],tblDaily[EntryDate],DATE(2026,7,3),tblDaily[WardCode],"MAE")),"")</f>
        <v/>
      </c>
      <c r="F243" s="12">
        <f>IFERROR(IF(SUMIFS(tblDaily[TransfersIn],tblDaily[EntryDate],DATE(2026,7,3),tblDaily[WardCode],"MAE")=0,"",SUMIFS(tblDaily[TransfersIn],tblDaily[EntryDate],DATE(2026,7,3),tblDaily[WardCode],"MAE")),"")</f>
        <v/>
      </c>
      <c r="G243" s="12">
        <f>IFERROR(IF(SUMIFS(tblDaily[TransfersOut],tblDaily[EntryDate],DATE(2026,7,3),tblDaily[WardCode],"MAE")=0,"",SUMIFS(tblDaily[TransfersOut],tblDaily[EntryDate],DATE(2026,7,3),tblDaily[WardCode],"MAE")),"")</f>
        <v/>
      </c>
      <c r="H243" s="12">
        <f>IFERROR(IF(SUMIFS(tblDaily[Remaining],tblDaily[EntryDate],DATE(2026,7,3),tblDaily[WardCode],"MAE")=0,"",SUMIFS(tblDaily[Remaining],tblDaily[EntryDate],DATE(2026,7,3),tblDaily[WardCode],"MAE")),"")</f>
        <v/>
      </c>
    </row>
    <row r="244">
      <c r="A244" s="12" t="n">
        <v>4</v>
      </c>
      <c r="B244" s="12">
        <f>IFERROR(IF(SUMIFS(tblDaily[Admissions],tblDaily[EntryDate],DATE(2026,7,4),tblDaily[WardCode],"MAE")=0,"",SUMIFS(tblDaily[Admissions],tblDaily[EntryDate],DATE(2026,7,4),tblDaily[WardCode],"MAE")),"")</f>
        <v/>
      </c>
      <c r="C244" s="12">
        <f>IFERROR(IF(SUMIFS(tblDaily[Discharges],tblDaily[EntryDate],DATE(2026,7,4),tblDaily[WardCode],"MAE")=0,"",SUMIFS(tblDaily[Discharges],tblDaily[EntryDate],DATE(2026,7,4),tblDaily[WardCode],"MAE")),"")</f>
        <v/>
      </c>
      <c r="D244" s="12">
        <f>IFERROR(IF(SUMIFS(tblDaily[Deaths],tblDaily[EntryDate],DATE(2026,7,4),tblDaily[WardCode],"MAE")=0,"",SUMIFS(tblDaily[Deaths],tblDaily[EntryDate],DATE(2026,7,4),tblDaily[WardCode],"MAE")),"")</f>
        <v/>
      </c>
      <c r="E244" s="12">
        <f>IFERROR(IF(SUMIFS(tblDaily[DeathsUnder24Hrs],tblDaily[EntryDate],DATE(2026,7,4),tblDaily[WardCode],"MAE")=0,"",SUMIFS(tblDaily[DeathsUnder24Hrs],tblDaily[EntryDate],DATE(2026,7,4),tblDaily[WardCode],"MAE")),"")</f>
        <v/>
      </c>
      <c r="F244" s="12">
        <f>IFERROR(IF(SUMIFS(tblDaily[TransfersIn],tblDaily[EntryDate],DATE(2026,7,4),tblDaily[WardCode],"MAE")=0,"",SUMIFS(tblDaily[TransfersIn],tblDaily[EntryDate],DATE(2026,7,4),tblDaily[WardCode],"MAE")),"")</f>
        <v/>
      </c>
      <c r="G244" s="12">
        <f>IFERROR(IF(SUMIFS(tblDaily[TransfersOut],tblDaily[EntryDate],DATE(2026,7,4),tblDaily[WardCode],"MAE")=0,"",SUMIFS(tblDaily[TransfersOut],tblDaily[EntryDate],DATE(2026,7,4),tblDaily[WardCode],"MAE")),"")</f>
        <v/>
      </c>
      <c r="H244" s="12">
        <f>IFERROR(IF(SUMIFS(tblDaily[Remaining],tblDaily[EntryDate],DATE(2026,7,4),tblDaily[WardCode],"MAE")=0,"",SUMIFS(tblDaily[Remaining],tblDaily[EntryDate],DATE(2026,7,4),tblDaily[WardCode],"MAE")),"")</f>
        <v/>
      </c>
    </row>
    <row r="245">
      <c r="A245" s="12" t="n">
        <v>5</v>
      </c>
      <c r="B245" s="12">
        <f>IFERROR(IF(SUMIFS(tblDaily[Admissions],tblDaily[EntryDate],DATE(2026,7,5),tblDaily[WardCode],"MAE")=0,"",SUMIFS(tblDaily[Admissions],tblDaily[EntryDate],DATE(2026,7,5),tblDaily[WardCode],"MAE")),"")</f>
        <v/>
      </c>
      <c r="C245" s="12">
        <f>IFERROR(IF(SUMIFS(tblDaily[Discharges],tblDaily[EntryDate],DATE(2026,7,5),tblDaily[WardCode],"MAE")=0,"",SUMIFS(tblDaily[Discharges],tblDaily[EntryDate],DATE(2026,7,5),tblDaily[WardCode],"MAE")),"")</f>
        <v/>
      </c>
      <c r="D245" s="12">
        <f>IFERROR(IF(SUMIFS(tblDaily[Deaths],tblDaily[EntryDate],DATE(2026,7,5),tblDaily[WardCode],"MAE")=0,"",SUMIFS(tblDaily[Deaths],tblDaily[EntryDate],DATE(2026,7,5),tblDaily[WardCode],"MAE")),"")</f>
        <v/>
      </c>
      <c r="E245" s="12">
        <f>IFERROR(IF(SUMIFS(tblDaily[DeathsUnder24Hrs],tblDaily[EntryDate],DATE(2026,7,5),tblDaily[WardCode],"MAE")=0,"",SUMIFS(tblDaily[DeathsUnder24Hrs],tblDaily[EntryDate],DATE(2026,7,5),tblDaily[WardCode],"MAE")),"")</f>
        <v/>
      </c>
      <c r="F245" s="12">
        <f>IFERROR(IF(SUMIFS(tblDaily[TransfersIn],tblDaily[EntryDate],DATE(2026,7,5),tblDaily[WardCode],"MAE")=0,"",SUMIFS(tblDaily[TransfersIn],tblDaily[EntryDate],DATE(2026,7,5),tblDaily[WardCode],"MAE")),"")</f>
        <v/>
      </c>
      <c r="G245" s="12">
        <f>IFERROR(IF(SUMIFS(tblDaily[TransfersOut],tblDaily[EntryDate],DATE(2026,7,5),tblDaily[WardCode],"MAE")=0,"",SUMIFS(tblDaily[TransfersOut],tblDaily[EntryDate],DATE(2026,7,5),tblDaily[WardCode],"MAE")),"")</f>
        <v/>
      </c>
      <c r="H245" s="12">
        <f>IFERROR(IF(SUMIFS(tblDaily[Remaining],tblDaily[EntryDate],DATE(2026,7,5),tblDaily[WardCode],"MAE")=0,"",SUMIFS(tblDaily[Remaining],tblDaily[EntryDate],DATE(2026,7,5),tblDaily[WardCode],"MAE")),"")</f>
        <v/>
      </c>
    </row>
    <row r="246">
      <c r="A246" s="12" t="n">
        <v>6</v>
      </c>
      <c r="B246" s="12">
        <f>IFERROR(IF(SUMIFS(tblDaily[Admissions],tblDaily[EntryDate],DATE(2026,7,6),tblDaily[WardCode],"MAE")=0,"",SUMIFS(tblDaily[Admissions],tblDaily[EntryDate],DATE(2026,7,6),tblDaily[WardCode],"MAE")),"")</f>
        <v/>
      </c>
      <c r="C246" s="12">
        <f>IFERROR(IF(SUMIFS(tblDaily[Discharges],tblDaily[EntryDate],DATE(2026,7,6),tblDaily[WardCode],"MAE")=0,"",SUMIFS(tblDaily[Discharges],tblDaily[EntryDate],DATE(2026,7,6),tblDaily[WardCode],"MAE")),"")</f>
        <v/>
      </c>
      <c r="D246" s="12">
        <f>IFERROR(IF(SUMIFS(tblDaily[Deaths],tblDaily[EntryDate],DATE(2026,7,6),tblDaily[WardCode],"MAE")=0,"",SUMIFS(tblDaily[Deaths],tblDaily[EntryDate],DATE(2026,7,6),tblDaily[WardCode],"MAE")),"")</f>
        <v/>
      </c>
      <c r="E246" s="12">
        <f>IFERROR(IF(SUMIFS(tblDaily[DeathsUnder24Hrs],tblDaily[EntryDate],DATE(2026,7,6),tblDaily[WardCode],"MAE")=0,"",SUMIFS(tblDaily[DeathsUnder24Hrs],tblDaily[EntryDate],DATE(2026,7,6),tblDaily[WardCode],"MAE")),"")</f>
        <v/>
      </c>
      <c r="F246" s="12">
        <f>IFERROR(IF(SUMIFS(tblDaily[TransfersIn],tblDaily[EntryDate],DATE(2026,7,6),tblDaily[WardCode],"MAE")=0,"",SUMIFS(tblDaily[TransfersIn],tblDaily[EntryDate],DATE(2026,7,6),tblDaily[WardCode],"MAE")),"")</f>
        <v/>
      </c>
      <c r="G246" s="12">
        <f>IFERROR(IF(SUMIFS(tblDaily[TransfersOut],tblDaily[EntryDate],DATE(2026,7,6),tblDaily[WardCode],"MAE")=0,"",SUMIFS(tblDaily[TransfersOut],tblDaily[EntryDate],DATE(2026,7,6),tblDaily[WardCode],"MAE")),"")</f>
        <v/>
      </c>
      <c r="H246" s="12">
        <f>IFERROR(IF(SUMIFS(tblDaily[Remaining],tblDaily[EntryDate],DATE(2026,7,6),tblDaily[WardCode],"MAE")=0,"",SUMIFS(tblDaily[Remaining],tblDaily[EntryDate],DATE(2026,7,6),tblDaily[WardCode],"MAE")),"")</f>
        <v/>
      </c>
    </row>
    <row r="247">
      <c r="A247" s="12" t="n">
        <v>7</v>
      </c>
      <c r="B247" s="12">
        <f>IFERROR(IF(SUMIFS(tblDaily[Admissions],tblDaily[EntryDate],DATE(2026,7,7),tblDaily[WardCode],"MAE")=0,"",SUMIFS(tblDaily[Admissions],tblDaily[EntryDate],DATE(2026,7,7),tblDaily[WardCode],"MAE")),"")</f>
        <v/>
      </c>
      <c r="C247" s="12">
        <f>IFERROR(IF(SUMIFS(tblDaily[Discharges],tblDaily[EntryDate],DATE(2026,7,7),tblDaily[WardCode],"MAE")=0,"",SUMIFS(tblDaily[Discharges],tblDaily[EntryDate],DATE(2026,7,7),tblDaily[WardCode],"MAE")),"")</f>
        <v/>
      </c>
      <c r="D247" s="12">
        <f>IFERROR(IF(SUMIFS(tblDaily[Deaths],tblDaily[EntryDate],DATE(2026,7,7),tblDaily[WardCode],"MAE")=0,"",SUMIFS(tblDaily[Deaths],tblDaily[EntryDate],DATE(2026,7,7),tblDaily[WardCode],"MAE")),"")</f>
        <v/>
      </c>
      <c r="E247" s="12">
        <f>IFERROR(IF(SUMIFS(tblDaily[DeathsUnder24Hrs],tblDaily[EntryDate],DATE(2026,7,7),tblDaily[WardCode],"MAE")=0,"",SUMIFS(tblDaily[DeathsUnder24Hrs],tblDaily[EntryDate],DATE(2026,7,7),tblDaily[WardCode],"MAE")),"")</f>
        <v/>
      </c>
      <c r="F247" s="12">
        <f>IFERROR(IF(SUMIFS(tblDaily[TransfersIn],tblDaily[EntryDate],DATE(2026,7,7),tblDaily[WardCode],"MAE")=0,"",SUMIFS(tblDaily[TransfersIn],tblDaily[EntryDate],DATE(2026,7,7),tblDaily[WardCode],"MAE")),"")</f>
        <v/>
      </c>
      <c r="G247" s="12">
        <f>IFERROR(IF(SUMIFS(tblDaily[TransfersOut],tblDaily[EntryDate],DATE(2026,7,7),tblDaily[WardCode],"MAE")=0,"",SUMIFS(tblDaily[TransfersOut],tblDaily[EntryDate],DATE(2026,7,7),tblDaily[WardCode],"MAE")),"")</f>
        <v/>
      </c>
      <c r="H247" s="12">
        <f>IFERROR(IF(SUMIFS(tblDaily[Remaining],tblDaily[EntryDate],DATE(2026,7,7),tblDaily[WardCode],"MAE")=0,"",SUMIFS(tblDaily[Remaining],tblDaily[EntryDate],DATE(2026,7,7),tblDaily[WardCode],"MAE")),"")</f>
        <v/>
      </c>
    </row>
    <row r="248">
      <c r="A248" s="12" t="n">
        <v>8</v>
      </c>
      <c r="B248" s="12">
        <f>IFERROR(IF(SUMIFS(tblDaily[Admissions],tblDaily[EntryDate],DATE(2026,7,8),tblDaily[WardCode],"MAE")=0,"",SUMIFS(tblDaily[Admissions],tblDaily[EntryDate],DATE(2026,7,8),tblDaily[WardCode],"MAE")),"")</f>
        <v/>
      </c>
      <c r="C248" s="12">
        <f>IFERROR(IF(SUMIFS(tblDaily[Discharges],tblDaily[EntryDate],DATE(2026,7,8),tblDaily[WardCode],"MAE")=0,"",SUMIFS(tblDaily[Discharges],tblDaily[EntryDate],DATE(2026,7,8),tblDaily[WardCode],"MAE")),"")</f>
        <v/>
      </c>
      <c r="D248" s="12">
        <f>IFERROR(IF(SUMIFS(tblDaily[Deaths],tblDaily[EntryDate],DATE(2026,7,8),tblDaily[WardCode],"MAE")=0,"",SUMIFS(tblDaily[Deaths],tblDaily[EntryDate],DATE(2026,7,8),tblDaily[WardCode],"MAE")),"")</f>
        <v/>
      </c>
      <c r="E248" s="12">
        <f>IFERROR(IF(SUMIFS(tblDaily[DeathsUnder24Hrs],tblDaily[EntryDate],DATE(2026,7,8),tblDaily[WardCode],"MAE")=0,"",SUMIFS(tblDaily[DeathsUnder24Hrs],tblDaily[EntryDate],DATE(2026,7,8),tblDaily[WardCode],"MAE")),"")</f>
        <v/>
      </c>
      <c r="F248" s="12">
        <f>IFERROR(IF(SUMIFS(tblDaily[TransfersIn],tblDaily[EntryDate],DATE(2026,7,8),tblDaily[WardCode],"MAE")=0,"",SUMIFS(tblDaily[TransfersIn],tblDaily[EntryDate],DATE(2026,7,8),tblDaily[WardCode],"MAE")),"")</f>
        <v/>
      </c>
      <c r="G248" s="12">
        <f>IFERROR(IF(SUMIFS(tblDaily[TransfersOut],tblDaily[EntryDate],DATE(2026,7,8),tblDaily[WardCode],"MAE")=0,"",SUMIFS(tblDaily[TransfersOut],tblDaily[EntryDate],DATE(2026,7,8),tblDaily[WardCode],"MAE")),"")</f>
        <v/>
      </c>
      <c r="H248" s="12">
        <f>IFERROR(IF(SUMIFS(tblDaily[Remaining],tblDaily[EntryDate],DATE(2026,7,8),tblDaily[WardCode],"MAE")=0,"",SUMIFS(tblDaily[Remaining],tblDaily[EntryDate],DATE(2026,7,8),tblDaily[WardCode],"MAE")),"")</f>
        <v/>
      </c>
    </row>
    <row r="249">
      <c r="A249" s="12" t="n">
        <v>9</v>
      </c>
      <c r="B249" s="12">
        <f>IFERROR(IF(SUMIFS(tblDaily[Admissions],tblDaily[EntryDate],DATE(2026,7,9),tblDaily[WardCode],"MAE")=0,"",SUMIFS(tblDaily[Admissions],tblDaily[EntryDate],DATE(2026,7,9),tblDaily[WardCode],"MAE")),"")</f>
        <v/>
      </c>
      <c r="C249" s="12">
        <f>IFERROR(IF(SUMIFS(tblDaily[Discharges],tblDaily[EntryDate],DATE(2026,7,9),tblDaily[WardCode],"MAE")=0,"",SUMIFS(tblDaily[Discharges],tblDaily[EntryDate],DATE(2026,7,9),tblDaily[WardCode],"MAE")),"")</f>
        <v/>
      </c>
      <c r="D249" s="12">
        <f>IFERROR(IF(SUMIFS(tblDaily[Deaths],tblDaily[EntryDate],DATE(2026,7,9),tblDaily[WardCode],"MAE")=0,"",SUMIFS(tblDaily[Deaths],tblDaily[EntryDate],DATE(2026,7,9),tblDaily[WardCode],"MAE")),"")</f>
        <v/>
      </c>
      <c r="E249" s="12">
        <f>IFERROR(IF(SUMIFS(tblDaily[DeathsUnder24Hrs],tblDaily[EntryDate],DATE(2026,7,9),tblDaily[WardCode],"MAE")=0,"",SUMIFS(tblDaily[DeathsUnder24Hrs],tblDaily[EntryDate],DATE(2026,7,9),tblDaily[WardCode],"MAE")),"")</f>
        <v/>
      </c>
      <c r="F249" s="12">
        <f>IFERROR(IF(SUMIFS(tblDaily[TransfersIn],tblDaily[EntryDate],DATE(2026,7,9),tblDaily[WardCode],"MAE")=0,"",SUMIFS(tblDaily[TransfersIn],tblDaily[EntryDate],DATE(2026,7,9),tblDaily[WardCode],"MAE")),"")</f>
        <v/>
      </c>
      <c r="G249" s="12">
        <f>IFERROR(IF(SUMIFS(tblDaily[TransfersOut],tblDaily[EntryDate],DATE(2026,7,9),tblDaily[WardCode],"MAE")=0,"",SUMIFS(tblDaily[TransfersOut],tblDaily[EntryDate],DATE(2026,7,9),tblDaily[WardCode],"MAE")),"")</f>
        <v/>
      </c>
      <c r="H249" s="12">
        <f>IFERROR(IF(SUMIFS(tblDaily[Remaining],tblDaily[EntryDate],DATE(2026,7,9),tblDaily[WardCode],"MAE")=0,"",SUMIFS(tblDaily[Remaining],tblDaily[EntryDate],DATE(2026,7,9),tblDaily[WardCode],"MAE")),"")</f>
        <v/>
      </c>
    </row>
    <row r="250">
      <c r="A250" s="12" t="n">
        <v>10</v>
      </c>
      <c r="B250" s="12">
        <f>IFERROR(IF(SUMIFS(tblDaily[Admissions],tblDaily[EntryDate],DATE(2026,7,10),tblDaily[WardCode],"MAE")=0,"",SUMIFS(tblDaily[Admissions],tblDaily[EntryDate],DATE(2026,7,10),tblDaily[WardCode],"MAE")),"")</f>
        <v/>
      </c>
      <c r="C250" s="12">
        <f>IFERROR(IF(SUMIFS(tblDaily[Discharges],tblDaily[EntryDate],DATE(2026,7,10),tblDaily[WardCode],"MAE")=0,"",SUMIFS(tblDaily[Discharges],tblDaily[EntryDate],DATE(2026,7,10),tblDaily[WardCode],"MAE")),"")</f>
        <v/>
      </c>
      <c r="D250" s="12">
        <f>IFERROR(IF(SUMIFS(tblDaily[Deaths],tblDaily[EntryDate],DATE(2026,7,10),tblDaily[WardCode],"MAE")=0,"",SUMIFS(tblDaily[Deaths],tblDaily[EntryDate],DATE(2026,7,10),tblDaily[WardCode],"MAE")),"")</f>
        <v/>
      </c>
      <c r="E250" s="12">
        <f>IFERROR(IF(SUMIFS(tblDaily[DeathsUnder24Hrs],tblDaily[EntryDate],DATE(2026,7,10),tblDaily[WardCode],"MAE")=0,"",SUMIFS(tblDaily[DeathsUnder24Hrs],tblDaily[EntryDate],DATE(2026,7,10),tblDaily[WardCode],"MAE")),"")</f>
        <v/>
      </c>
      <c r="F250" s="12">
        <f>IFERROR(IF(SUMIFS(tblDaily[TransfersIn],tblDaily[EntryDate],DATE(2026,7,10),tblDaily[WardCode],"MAE")=0,"",SUMIFS(tblDaily[TransfersIn],tblDaily[EntryDate],DATE(2026,7,10),tblDaily[WardCode],"MAE")),"")</f>
        <v/>
      </c>
      <c r="G250" s="12">
        <f>IFERROR(IF(SUMIFS(tblDaily[TransfersOut],tblDaily[EntryDate],DATE(2026,7,10),tblDaily[WardCode],"MAE")=0,"",SUMIFS(tblDaily[TransfersOut],tblDaily[EntryDate],DATE(2026,7,10),tblDaily[WardCode],"MAE")),"")</f>
        <v/>
      </c>
      <c r="H250" s="12">
        <f>IFERROR(IF(SUMIFS(tblDaily[Remaining],tblDaily[EntryDate],DATE(2026,7,10),tblDaily[WardCode],"MAE")=0,"",SUMIFS(tblDaily[Remaining],tblDaily[EntryDate],DATE(2026,7,10),tblDaily[WardCode],"MAE")),"")</f>
        <v/>
      </c>
    </row>
    <row r="251">
      <c r="A251" s="12" t="n">
        <v>11</v>
      </c>
      <c r="B251" s="12">
        <f>IFERROR(IF(SUMIFS(tblDaily[Admissions],tblDaily[EntryDate],DATE(2026,7,11),tblDaily[WardCode],"MAE")=0,"",SUMIFS(tblDaily[Admissions],tblDaily[EntryDate],DATE(2026,7,11),tblDaily[WardCode],"MAE")),"")</f>
        <v/>
      </c>
      <c r="C251" s="12">
        <f>IFERROR(IF(SUMIFS(tblDaily[Discharges],tblDaily[EntryDate],DATE(2026,7,11),tblDaily[WardCode],"MAE")=0,"",SUMIFS(tblDaily[Discharges],tblDaily[EntryDate],DATE(2026,7,11),tblDaily[WardCode],"MAE")),"")</f>
        <v/>
      </c>
      <c r="D251" s="12">
        <f>IFERROR(IF(SUMIFS(tblDaily[Deaths],tblDaily[EntryDate],DATE(2026,7,11),tblDaily[WardCode],"MAE")=0,"",SUMIFS(tblDaily[Deaths],tblDaily[EntryDate],DATE(2026,7,11),tblDaily[WardCode],"MAE")),"")</f>
        <v/>
      </c>
      <c r="E251" s="12">
        <f>IFERROR(IF(SUMIFS(tblDaily[DeathsUnder24Hrs],tblDaily[EntryDate],DATE(2026,7,11),tblDaily[WardCode],"MAE")=0,"",SUMIFS(tblDaily[DeathsUnder24Hrs],tblDaily[EntryDate],DATE(2026,7,11),tblDaily[WardCode],"MAE")),"")</f>
        <v/>
      </c>
      <c r="F251" s="12">
        <f>IFERROR(IF(SUMIFS(tblDaily[TransfersIn],tblDaily[EntryDate],DATE(2026,7,11),tblDaily[WardCode],"MAE")=0,"",SUMIFS(tblDaily[TransfersIn],tblDaily[EntryDate],DATE(2026,7,11),tblDaily[WardCode],"MAE")),"")</f>
        <v/>
      </c>
      <c r="G251" s="12">
        <f>IFERROR(IF(SUMIFS(tblDaily[TransfersOut],tblDaily[EntryDate],DATE(2026,7,11),tblDaily[WardCode],"MAE")=0,"",SUMIFS(tblDaily[TransfersOut],tblDaily[EntryDate],DATE(2026,7,11),tblDaily[WardCode],"MAE")),"")</f>
        <v/>
      </c>
      <c r="H251" s="12">
        <f>IFERROR(IF(SUMIFS(tblDaily[Remaining],tblDaily[EntryDate],DATE(2026,7,11),tblDaily[WardCode],"MAE")=0,"",SUMIFS(tblDaily[Remaining],tblDaily[EntryDate],DATE(2026,7,11),tblDaily[WardCode],"MAE")),"")</f>
        <v/>
      </c>
    </row>
    <row r="252">
      <c r="A252" s="12" t="n">
        <v>12</v>
      </c>
      <c r="B252" s="12">
        <f>IFERROR(IF(SUMIFS(tblDaily[Admissions],tblDaily[EntryDate],DATE(2026,7,12),tblDaily[WardCode],"MAE")=0,"",SUMIFS(tblDaily[Admissions],tblDaily[EntryDate],DATE(2026,7,12),tblDaily[WardCode],"MAE")),"")</f>
        <v/>
      </c>
      <c r="C252" s="12">
        <f>IFERROR(IF(SUMIFS(tblDaily[Discharges],tblDaily[EntryDate],DATE(2026,7,12),tblDaily[WardCode],"MAE")=0,"",SUMIFS(tblDaily[Discharges],tblDaily[EntryDate],DATE(2026,7,12),tblDaily[WardCode],"MAE")),"")</f>
        <v/>
      </c>
      <c r="D252" s="12">
        <f>IFERROR(IF(SUMIFS(tblDaily[Deaths],tblDaily[EntryDate],DATE(2026,7,12),tblDaily[WardCode],"MAE")=0,"",SUMIFS(tblDaily[Deaths],tblDaily[EntryDate],DATE(2026,7,12),tblDaily[WardCode],"MAE")),"")</f>
        <v/>
      </c>
      <c r="E252" s="12">
        <f>IFERROR(IF(SUMIFS(tblDaily[DeathsUnder24Hrs],tblDaily[EntryDate],DATE(2026,7,12),tblDaily[WardCode],"MAE")=0,"",SUMIFS(tblDaily[DeathsUnder24Hrs],tblDaily[EntryDate],DATE(2026,7,12),tblDaily[WardCode],"MAE")),"")</f>
        <v/>
      </c>
      <c r="F252" s="12">
        <f>IFERROR(IF(SUMIFS(tblDaily[TransfersIn],tblDaily[EntryDate],DATE(2026,7,12),tblDaily[WardCode],"MAE")=0,"",SUMIFS(tblDaily[TransfersIn],tblDaily[EntryDate],DATE(2026,7,12),tblDaily[WardCode],"MAE")),"")</f>
        <v/>
      </c>
      <c r="G252" s="12">
        <f>IFERROR(IF(SUMIFS(tblDaily[TransfersOut],tblDaily[EntryDate],DATE(2026,7,12),tblDaily[WardCode],"MAE")=0,"",SUMIFS(tblDaily[TransfersOut],tblDaily[EntryDate],DATE(2026,7,12),tblDaily[WardCode],"MAE")),"")</f>
        <v/>
      </c>
      <c r="H252" s="12">
        <f>IFERROR(IF(SUMIFS(tblDaily[Remaining],tblDaily[EntryDate],DATE(2026,7,12),tblDaily[WardCode],"MAE")=0,"",SUMIFS(tblDaily[Remaining],tblDaily[EntryDate],DATE(2026,7,12),tblDaily[WardCode],"MAE")),"")</f>
        <v/>
      </c>
    </row>
    <row r="253">
      <c r="A253" s="12" t="n">
        <v>13</v>
      </c>
      <c r="B253" s="12">
        <f>IFERROR(IF(SUMIFS(tblDaily[Admissions],tblDaily[EntryDate],DATE(2026,7,13),tblDaily[WardCode],"MAE")=0,"",SUMIFS(tblDaily[Admissions],tblDaily[EntryDate],DATE(2026,7,13),tblDaily[WardCode],"MAE")),"")</f>
        <v/>
      </c>
      <c r="C253" s="12">
        <f>IFERROR(IF(SUMIFS(tblDaily[Discharges],tblDaily[EntryDate],DATE(2026,7,13),tblDaily[WardCode],"MAE")=0,"",SUMIFS(tblDaily[Discharges],tblDaily[EntryDate],DATE(2026,7,13),tblDaily[WardCode],"MAE")),"")</f>
        <v/>
      </c>
      <c r="D253" s="12">
        <f>IFERROR(IF(SUMIFS(tblDaily[Deaths],tblDaily[EntryDate],DATE(2026,7,13),tblDaily[WardCode],"MAE")=0,"",SUMIFS(tblDaily[Deaths],tblDaily[EntryDate],DATE(2026,7,13),tblDaily[WardCode],"MAE")),"")</f>
        <v/>
      </c>
      <c r="E253" s="12">
        <f>IFERROR(IF(SUMIFS(tblDaily[DeathsUnder24Hrs],tblDaily[EntryDate],DATE(2026,7,13),tblDaily[WardCode],"MAE")=0,"",SUMIFS(tblDaily[DeathsUnder24Hrs],tblDaily[EntryDate],DATE(2026,7,13),tblDaily[WardCode],"MAE")),"")</f>
        <v/>
      </c>
      <c r="F253" s="12">
        <f>IFERROR(IF(SUMIFS(tblDaily[TransfersIn],tblDaily[EntryDate],DATE(2026,7,13),tblDaily[WardCode],"MAE")=0,"",SUMIFS(tblDaily[TransfersIn],tblDaily[EntryDate],DATE(2026,7,13),tblDaily[WardCode],"MAE")),"")</f>
        <v/>
      </c>
      <c r="G253" s="12">
        <f>IFERROR(IF(SUMIFS(tblDaily[TransfersOut],tblDaily[EntryDate],DATE(2026,7,13),tblDaily[WardCode],"MAE")=0,"",SUMIFS(tblDaily[TransfersOut],tblDaily[EntryDate],DATE(2026,7,13),tblDaily[WardCode],"MAE")),"")</f>
        <v/>
      </c>
      <c r="H253" s="12">
        <f>IFERROR(IF(SUMIFS(tblDaily[Remaining],tblDaily[EntryDate],DATE(2026,7,13),tblDaily[WardCode],"MAE")=0,"",SUMIFS(tblDaily[Remaining],tblDaily[EntryDate],DATE(2026,7,13),tblDaily[WardCode],"MAE")),"")</f>
        <v/>
      </c>
    </row>
    <row r="254">
      <c r="A254" s="12" t="n">
        <v>14</v>
      </c>
      <c r="B254" s="12">
        <f>IFERROR(IF(SUMIFS(tblDaily[Admissions],tblDaily[EntryDate],DATE(2026,7,14),tblDaily[WardCode],"MAE")=0,"",SUMIFS(tblDaily[Admissions],tblDaily[EntryDate],DATE(2026,7,14),tblDaily[WardCode],"MAE")),"")</f>
        <v/>
      </c>
      <c r="C254" s="12">
        <f>IFERROR(IF(SUMIFS(tblDaily[Discharges],tblDaily[EntryDate],DATE(2026,7,14),tblDaily[WardCode],"MAE")=0,"",SUMIFS(tblDaily[Discharges],tblDaily[EntryDate],DATE(2026,7,14),tblDaily[WardCode],"MAE")),"")</f>
        <v/>
      </c>
      <c r="D254" s="12">
        <f>IFERROR(IF(SUMIFS(tblDaily[Deaths],tblDaily[EntryDate],DATE(2026,7,14),tblDaily[WardCode],"MAE")=0,"",SUMIFS(tblDaily[Deaths],tblDaily[EntryDate],DATE(2026,7,14),tblDaily[WardCode],"MAE")),"")</f>
        <v/>
      </c>
      <c r="E254" s="12">
        <f>IFERROR(IF(SUMIFS(tblDaily[DeathsUnder24Hrs],tblDaily[EntryDate],DATE(2026,7,14),tblDaily[WardCode],"MAE")=0,"",SUMIFS(tblDaily[DeathsUnder24Hrs],tblDaily[EntryDate],DATE(2026,7,14),tblDaily[WardCode],"MAE")),"")</f>
        <v/>
      </c>
      <c r="F254" s="12">
        <f>IFERROR(IF(SUMIFS(tblDaily[TransfersIn],tblDaily[EntryDate],DATE(2026,7,14),tblDaily[WardCode],"MAE")=0,"",SUMIFS(tblDaily[TransfersIn],tblDaily[EntryDate],DATE(2026,7,14),tblDaily[WardCode],"MAE")),"")</f>
        <v/>
      </c>
      <c r="G254" s="12">
        <f>IFERROR(IF(SUMIFS(tblDaily[TransfersOut],tblDaily[EntryDate],DATE(2026,7,14),tblDaily[WardCode],"MAE")=0,"",SUMIFS(tblDaily[TransfersOut],tblDaily[EntryDate],DATE(2026,7,14),tblDaily[WardCode],"MAE")),"")</f>
        <v/>
      </c>
      <c r="H254" s="12">
        <f>IFERROR(IF(SUMIFS(tblDaily[Remaining],tblDaily[EntryDate],DATE(2026,7,14),tblDaily[WardCode],"MAE")=0,"",SUMIFS(tblDaily[Remaining],tblDaily[EntryDate],DATE(2026,7,14),tblDaily[WardCode],"MAE")),"")</f>
        <v/>
      </c>
    </row>
    <row r="255">
      <c r="A255" s="12" t="n">
        <v>15</v>
      </c>
      <c r="B255" s="12">
        <f>IFERROR(IF(SUMIFS(tblDaily[Admissions],tblDaily[EntryDate],DATE(2026,7,15),tblDaily[WardCode],"MAE")=0,"",SUMIFS(tblDaily[Admissions],tblDaily[EntryDate],DATE(2026,7,15),tblDaily[WardCode],"MAE")),"")</f>
        <v/>
      </c>
      <c r="C255" s="12">
        <f>IFERROR(IF(SUMIFS(tblDaily[Discharges],tblDaily[EntryDate],DATE(2026,7,15),tblDaily[WardCode],"MAE")=0,"",SUMIFS(tblDaily[Discharges],tblDaily[EntryDate],DATE(2026,7,15),tblDaily[WardCode],"MAE")),"")</f>
        <v/>
      </c>
      <c r="D255" s="12">
        <f>IFERROR(IF(SUMIFS(tblDaily[Deaths],tblDaily[EntryDate],DATE(2026,7,15),tblDaily[WardCode],"MAE")=0,"",SUMIFS(tblDaily[Deaths],tblDaily[EntryDate],DATE(2026,7,15),tblDaily[WardCode],"MAE")),"")</f>
        <v/>
      </c>
      <c r="E255" s="12">
        <f>IFERROR(IF(SUMIFS(tblDaily[DeathsUnder24Hrs],tblDaily[EntryDate],DATE(2026,7,15),tblDaily[WardCode],"MAE")=0,"",SUMIFS(tblDaily[DeathsUnder24Hrs],tblDaily[EntryDate],DATE(2026,7,15),tblDaily[WardCode],"MAE")),"")</f>
        <v/>
      </c>
      <c r="F255" s="12">
        <f>IFERROR(IF(SUMIFS(tblDaily[TransfersIn],tblDaily[EntryDate],DATE(2026,7,15),tblDaily[WardCode],"MAE")=0,"",SUMIFS(tblDaily[TransfersIn],tblDaily[EntryDate],DATE(2026,7,15),tblDaily[WardCode],"MAE")),"")</f>
        <v/>
      </c>
      <c r="G255" s="12">
        <f>IFERROR(IF(SUMIFS(tblDaily[TransfersOut],tblDaily[EntryDate],DATE(2026,7,15),tblDaily[WardCode],"MAE")=0,"",SUMIFS(tblDaily[TransfersOut],tblDaily[EntryDate],DATE(2026,7,15),tblDaily[WardCode],"MAE")),"")</f>
        <v/>
      </c>
      <c r="H255" s="12">
        <f>IFERROR(IF(SUMIFS(tblDaily[Remaining],tblDaily[EntryDate],DATE(2026,7,15),tblDaily[WardCode],"MAE")=0,"",SUMIFS(tblDaily[Remaining],tblDaily[EntryDate],DATE(2026,7,15),tblDaily[WardCode],"MAE")),"")</f>
        <v/>
      </c>
    </row>
    <row r="256">
      <c r="A256" s="12" t="n">
        <v>16</v>
      </c>
      <c r="B256" s="12">
        <f>IFERROR(IF(SUMIFS(tblDaily[Admissions],tblDaily[EntryDate],DATE(2026,7,16),tblDaily[WardCode],"MAE")=0,"",SUMIFS(tblDaily[Admissions],tblDaily[EntryDate],DATE(2026,7,16),tblDaily[WardCode],"MAE")),"")</f>
        <v/>
      </c>
      <c r="C256" s="12">
        <f>IFERROR(IF(SUMIFS(tblDaily[Discharges],tblDaily[EntryDate],DATE(2026,7,16),tblDaily[WardCode],"MAE")=0,"",SUMIFS(tblDaily[Discharges],tblDaily[EntryDate],DATE(2026,7,16),tblDaily[WardCode],"MAE")),"")</f>
        <v/>
      </c>
      <c r="D256" s="12">
        <f>IFERROR(IF(SUMIFS(tblDaily[Deaths],tblDaily[EntryDate],DATE(2026,7,16),tblDaily[WardCode],"MAE")=0,"",SUMIFS(tblDaily[Deaths],tblDaily[EntryDate],DATE(2026,7,16),tblDaily[WardCode],"MAE")),"")</f>
        <v/>
      </c>
      <c r="E256" s="12">
        <f>IFERROR(IF(SUMIFS(tblDaily[DeathsUnder24Hrs],tblDaily[EntryDate],DATE(2026,7,16),tblDaily[WardCode],"MAE")=0,"",SUMIFS(tblDaily[DeathsUnder24Hrs],tblDaily[EntryDate],DATE(2026,7,16),tblDaily[WardCode],"MAE")),"")</f>
        <v/>
      </c>
      <c r="F256" s="12">
        <f>IFERROR(IF(SUMIFS(tblDaily[TransfersIn],tblDaily[EntryDate],DATE(2026,7,16),tblDaily[WardCode],"MAE")=0,"",SUMIFS(tblDaily[TransfersIn],tblDaily[EntryDate],DATE(2026,7,16),tblDaily[WardCode],"MAE")),"")</f>
        <v/>
      </c>
      <c r="G256" s="12">
        <f>IFERROR(IF(SUMIFS(tblDaily[TransfersOut],tblDaily[EntryDate],DATE(2026,7,16),tblDaily[WardCode],"MAE")=0,"",SUMIFS(tblDaily[TransfersOut],tblDaily[EntryDate],DATE(2026,7,16),tblDaily[WardCode],"MAE")),"")</f>
        <v/>
      </c>
      <c r="H256" s="12">
        <f>IFERROR(IF(SUMIFS(tblDaily[Remaining],tblDaily[EntryDate],DATE(2026,7,16),tblDaily[WardCode],"MAE")=0,"",SUMIFS(tblDaily[Remaining],tblDaily[EntryDate],DATE(2026,7,16),tblDaily[WardCode],"MAE")),"")</f>
        <v/>
      </c>
    </row>
    <row r="257">
      <c r="A257" s="12" t="n">
        <v>17</v>
      </c>
      <c r="B257" s="12">
        <f>IFERROR(IF(SUMIFS(tblDaily[Admissions],tblDaily[EntryDate],DATE(2026,7,17),tblDaily[WardCode],"MAE")=0,"",SUMIFS(tblDaily[Admissions],tblDaily[EntryDate],DATE(2026,7,17),tblDaily[WardCode],"MAE")),"")</f>
        <v/>
      </c>
      <c r="C257" s="12">
        <f>IFERROR(IF(SUMIFS(tblDaily[Discharges],tblDaily[EntryDate],DATE(2026,7,17),tblDaily[WardCode],"MAE")=0,"",SUMIFS(tblDaily[Discharges],tblDaily[EntryDate],DATE(2026,7,17),tblDaily[WardCode],"MAE")),"")</f>
        <v/>
      </c>
      <c r="D257" s="12">
        <f>IFERROR(IF(SUMIFS(tblDaily[Deaths],tblDaily[EntryDate],DATE(2026,7,17),tblDaily[WardCode],"MAE")=0,"",SUMIFS(tblDaily[Deaths],tblDaily[EntryDate],DATE(2026,7,17),tblDaily[WardCode],"MAE")),"")</f>
        <v/>
      </c>
      <c r="E257" s="12">
        <f>IFERROR(IF(SUMIFS(tblDaily[DeathsUnder24Hrs],tblDaily[EntryDate],DATE(2026,7,17),tblDaily[WardCode],"MAE")=0,"",SUMIFS(tblDaily[DeathsUnder24Hrs],tblDaily[EntryDate],DATE(2026,7,17),tblDaily[WardCode],"MAE")),"")</f>
        <v/>
      </c>
      <c r="F257" s="12">
        <f>IFERROR(IF(SUMIFS(tblDaily[TransfersIn],tblDaily[EntryDate],DATE(2026,7,17),tblDaily[WardCode],"MAE")=0,"",SUMIFS(tblDaily[TransfersIn],tblDaily[EntryDate],DATE(2026,7,17),tblDaily[WardCode],"MAE")),"")</f>
        <v/>
      </c>
      <c r="G257" s="12">
        <f>IFERROR(IF(SUMIFS(tblDaily[TransfersOut],tblDaily[EntryDate],DATE(2026,7,17),tblDaily[WardCode],"MAE")=0,"",SUMIFS(tblDaily[TransfersOut],tblDaily[EntryDate],DATE(2026,7,17),tblDaily[WardCode],"MAE")),"")</f>
        <v/>
      </c>
      <c r="H257" s="12">
        <f>IFERROR(IF(SUMIFS(tblDaily[Remaining],tblDaily[EntryDate],DATE(2026,7,17),tblDaily[WardCode],"MAE")=0,"",SUMIFS(tblDaily[Remaining],tblDaily[EntryDate],DATE(2026,7,17),tblDaily[WardCode],"MAE")),"")</f>
        <v/>
      </c>
    </row>
    <row r="258">
      <c r="A258" s="12" t="n">
        <v>18</v>
      </c>
      <c r="B258" s="12">
        <f>IFERROR(IF(SUMIFS(tblDaily[Admissions],tblDaily[EntryDate],DATE(2026,7,18),tblDaily[WardCode],"MAE")=0,"",SUMIFS(tblDaily[Admissions],tblDaily[EntryDate],DATE(2026,7,18),tblDaily[WardCode],"MAE")),"")</f>
        <v/>
      </c>
      <c r="C258" s="12">
        <f>IFERROR(IF(SUMIFS(tblDaily[Discharges],tblDaily[EntryDate],DATE(2026,7,18),tblDaily[WardCode],"MAE")=0,"",SUMIFS(tblDaily[Discharges],tblDaily[EntryDate],DATE(2026,7,18),tblDaily[WardCode],"MAE")),"")</f>
        <v/>
      </c>
      <c r="D258" s="12">
        <f>IFERROR(IF(SUMIFS(tblDaily[Deaths],tblDaily[EntryDate],DATE(2026,7,18),tblDaily[WardCode],"MAE")=0,"",SUMIFS(tblDaily[Deaths],tblDaily[EntryDate],DATE(2026,7,18),tblDaily[WardCode],"MAE")),"")</f>
        <v/>
      </c>
      <c r="E258" s="12">
        <f>IFERROR(IF(SUMIFS(tblDaily[DeathsUnder24Hrs],tblDaily[EntryDate],DATE(2026,7,18),tblDaily[WardCode],"MAE")=0,"",SUMIFS(tblDaily[DeathsUnder24Hrs],tblDaily[EntryDate],DATE(2026,7,18),tblDaily[WardCode],"MAE")),"")</f>
        <v/>
      </c>
      <c r="F258" s="12">
        <f>IFERROR(IF(SUMIFS(tblDaily[TransfersIn],tblDaily[EntryDate],DATE(2026,7,18),tblDaily[WardCode],"MAE")=0,"",SUMIFS(tblDaily[TransfersIn],tblDaily[EntryDate],DATE(2026,7,18),tblDaily[WardCode],"MAE")),"")</f>
        <v/>
      </c>
      <c r="G258" s="12">
        <f>IFERROR(IF(SUMIFS(tblDaily[TransfersOut],tblDaily[EntryDate],DATE(2026,7,18),tblDaily[WardCode],"MAE")=0,"",SUMIFS(tblDaily[TransfersOut],tblDaily[EntryDate],DATE(2026,7,18),tblDaily[WardCode],"MAE")),"")</f>
        <v/>
      </c>
      <c r="H258" s="12">
        <f>IFERROR(IF(SUMIFS(tblDaily[Remaining],tblDaily[EntryDate],DATE(2026,7,18),tblDaily[WardCode],"MAE")=0,"",SUMIFS(tblDaily[Remaining],tblDaily[EntryDate],DATE(2026,7,18),tblDaily[WardCode],"MAE")),"")</f>
        <v/>
      </c>
    </row>
    <row r="259">
      <c r="A259" s="12" t="n">
        <v>19</v>
      </c>
      <c r="B259" s="12">
        <f>IFERROR(IF(SUMIFS(tblDaily[Admissions],tblDaily[EntryDate],DATE(2026,7,19),tblDaily[WardCode],"MAE")=0,"",SUMIFS(tblDaily[Admissions],tblDaily[EntryDate],DATE(2026,7,19),tblDaily[WardCode],"MAE")),"")</f>
        <v/>
      </c>
      <c r="C259" s="12">
        <f>IFERROR(IF(SUMIFS(tblDaily[Discharges],tblDaily[EntryDate],DATE(2026,7,19),tblDaily[WardCode],"MAE")=0,"",SUMIFS(tblDaily[Discharges],tblDaily[EntryDate],DATE(2026,7,19),tblDaily[WardCode],"MAE")),"")</f>
        <v/>
      </c>
      <c r="D259" s="12">
        <f>IFERROR(IF(SUMIFS(tblDaily[Deaths],tblDaily[EntryDate],DATE(2026,7,19),tblDaily[WardCode],"MAE")=0,"",SUMIFS(tblDaily[Deaths],tblDaily[EntryDate],DATE(2026,7,19),tblDaily[WardCode],"MAE")),"")</f>
        <v/>
      </c>
      <c r="E259" s="12">
        <f>IFERROR(IF(SUMIFS(tblDaily[DeathsUnder24Hrs],tblDaily[EntryDate],DATE(2026,7,19),tblDaily[WardCode],"MAE")=0,"",SUMIFS(tblDaily[DeathsUnder24Hrs],tblDaily[EntryDate],DATE(2026,7,19),tblDaily[WardCode],"MAE")),"")</f>
        <v/>
      </c>
      <c r="F259" s="12">
        <f>IFERROR(IF(SUMIFS(tblDaily[TransfersIn],tblDaily[EntryDate],DATE(2026,7,19),tblDaily[WardCode],"MAE")=0,"",SUMIFS(tblDaily[TransfersIn],tblDaily[EntryDate],DATE(2026,7,19),tblDaily[WardCode],"MAE")),"")</f>
        <v/>
      </c>
      <c r="G259" s="12">
        <f>IFERROR(IF(SUMIFS(tblDaily[TransfersOut],tblDaily[EntryDate],DATE(2026,7,19),tblDaily[WardCode],"MAE")=0,"",SUMIFS(tblDaily[TransfersOut],tblDaily[EntryDate],DATE(2026,7,19),tblDaily[WardCode],"MAE")),"")</f>
        <v/>
      </c>
      <c r="H259" s="12">
        <f>IFERROR(IF(SUMIFS(tblDaily[Remaining],tblDaily[EntryDate],DATE(2026,7,19),tblDaily[WardCode],"MAE")=0,"",SUMIFS(tblDaily[Remaining],tblDaily[EntryDate],DATE(2026,7,19),tblDaily[WardCode],"MAE")),"")</f>
        <v/>
      </c>
    </row>
    <row r="260">
      <c r="A260" s="12" t="n">
        <v>20</v>
      </c>
      <c r="B260" s="12">
        <f>IFERROR(IF(SUMIFS(tblDaily[Admissions],tblDaily[EntryDate],DATE(2026,7,20),tblDaily[WardCode],"MAE")=0,"",SUMIFS(tblDaily[Admissions],tblDaily[EntryDate],DATE(2026,7,20),tblDaily[WardCode],"MAE")),"")</f>
        <v/>
      </c>
      <c r="C260" s="12">
        <f>IFERROR(IF(SUMIFS(tblDaily[Discharges],tblDaily[EntryDate],DATE(2026,7,20),tblDaily[WardCode],"MAE")=0,"",SUMIFS(tblDaily[Discharges],tblDaily[EntryDate],DATE(2026,7,20),tblDaily[WardCode],"MAE")),"")</f>
        <v/>
      </c>
      <c r="D260" s="12">
        <f>IFERROR(IF(SUMIFS(tblDaily[Deaths],tblDaily[EntryDate],DATE(2026,7,20),tblDaily[WardCode],"MAE")=0,"",SUMIFS(tblDaily[Deaths],tblDaily[EntryDate],DATE(2026,7,20),tblDaily[WardCode],"MAE")),"")</f>
        <v/>
      </c>
      <c r="E260" s="12">
        <f>IFERROR(IF(SUMIFS(tblDaily[DeathsUnder24Hrs],tblDaily[EntryDate],DATE(2026,7,20),tblDaily[WardCode],"MAE")=0,"",SUMIFS(tblDaily[DeathsUnder24Hrs],tblDaily[EntryDate],DATE(2026,7,20),tblDaily[WardCode],"MAE")),"")</f>
        <v/>
      </c>
      <c r="F260" s="12">
        <f>IFERROR(IF(SUMIFS(tblDaily[TransfersIn],tblDaily[EntryDate],DATE(2026,7,20),tblDaily[WardCode],"MAE")=0,"",SUMIFS(tblDaily[TransfersIn],tblDaily[EntryDate],DATE(2026,7,20),tblDaily[WardCode],"MAE")),"")</f>
        <v/>
      </c>
      <c r="G260" s="12">
        <f>IFERROR(IF(SUMIFS(tblDaily[TransfersOut],tblDaily[EntryDate],DATE(2026,7,20),tblDaily[WardCode],"MAE")=0,"",SUMIFS(tblDaily[TransfersOut],tblDaily[EntryDate],DATE(2026,7,20),tblDaily[WardCode],"MAE")),"")</f>
        <v/>
      </c>
      <c r="H260" s="12">
        <f>IFERROR(IF(SUMIFS(tblDaily[Remaining],tblDaily[EntryDate],DATE(2026,7,20),tblDaily[WardCode],"MAE")=0,"",SUMIFS(tblDaily[Remaining],tblDaily[EntryDate],DATE(2026,7,20),tblDaily[WardCode],"MAE")),"")</f>
        <v/>
      </c>
    </row>
    <row r="261">
      <c r="A261" s="12" t="n">
        <v>21</v>
      </c>
      <c r="B261" s="12">
        <f>IFERROR(IF(SUMIFS(tblDaily[Admissions],tblDaily[EntryDate],DATE(2026,7,21),tblDaily[WardCode],"MAE")=0,"",SUMIFS(tblDaily[Admissions],tblDaily[EntryDate],DATE(2026,7,21),tblDaily[WardCode],"MAE")),"")</f>
        <v/>
      </c>
      <c r="C261" s="12">
        <f>IFERROR(IF(SUMIFS(tblDaily[Discharges],tblDaily[EntryDate],DATE(2026,7,21),tblDaily[WardCode],"MAE")=0,"",SUMIFS(tblDaily[Discharges],tblDaily[EntryDate],DATE(2026,7,21),tblDaily[WardCode],"MAE")),"")</f>
        <v/>
      </c>
      <c r="D261" s="12">
        <f>IFERROR(IF(SUMIFS(tblDaily[Deaths],tblDaily[EntryDate],DATE(2026,7,21),tblDaily[WardCode],"MAE")=0,"",SUMIFS(tblDaily[Deaths],tblDaily[EntryDate],DATE(2026,7,21),tblDaily[WardCode],"MAE")),"")</f>
        <v/>
      </c>
      <c r="E261" s="12">
        <f>IFERROR(IF(SUMIFS(tblDaily[DeathsUnder24Hrs],tblDaily[EntryDate],DATE(2026,7,21),tblDaily[WardCode],"MAE")=0,"",SUMIFS(tblDaily[DeathsUnder24Hrs],tblDaily[EntryDate],DATE(2026,7,21),tblDaily[WardCode],"MAE")),"")</f>
        <v/>
      </c>
      <c r="F261" s="12">
        <f>IFERROR(IF(SUMIFS(tblDaily[TransfersIn],tblDaily[EntryDate],DATE(2026,7,21),tblDaily[WardCode],"MAE")=0,"",SUMIFS(tblDaily[TransfersIn],tblDaily[EntryDate],DATE(2026,7,21),tblDaily[WardCode],"MAE")),"")</f>
        <v/>
      </c>
      <c r="G261" s="12">
        <f>IFERROR(IF(SUMIFS(tblDaily[TransfersOut],tblDaily[EntryDate],DATE(2026,7,21),tblDaily[WardCode],"MAE")=0,"",SUMIFS(tblDaily[TransfersOut],tblDaily[EntryDate],DATE(2026,7,21),tblDaily[WardCode],"MAE")),"")</f>
        <v/>
      </c>
      <c r="H261" s="12">
        <f>IFERROR(IF(SUMIFS(tblDaily[Remaining],tblDaily[EntryDate],DATE(2026,7,21),tblDaily[WardCode],"MAE")=0,"",SUMIFS(tblDaily[Remaining],tblDaily[EntryDate],DATE(2026,7,21),tblDaily[WardCode],"MAE")),"")</f>
        <v/>
      </c>
    </row>
    <row r="262">
      <c r="A262" s="12" t="n">
        <v>22</v>
      </c>
      <c r="B262" s="12">
        <f>IFERROR(IF(SUMIFS(tblDaily[Admissions],tblDaily[EntryDate],DATE(2026,7,22),tblDaily[WardCode],"MAE")=0,"",SUMIFS(tblDaily[Admissions],tblDaily[EntryDate],DATE(2026,7,22),tblDaily[WardCode],"MAE")),"")</f>
        <v/>
      </c>
      <c r="C262" s="12">
        <f>IFERROR(IF(SUMIFS(tblDaily[Discharges],tblDaily[EntryDate],DATE(2026,7,22),tblDaily[WardCode],"MAE")=0,"",SUMIFS(tblDaily[Discharges],tblDaily[EntryDate],DATE(2026,7,22),tblDaily[WardCode],"MAE")),"")</f>
        <v/>
      </c>
      <c r="D262" s="12">
        <f>IFERROR(IF(SUMIFS(tblDaily[Deaths],tblDaily[EntryDate],DATE(2026,7,22),tblDaily[WardCode],"MAE")=0,"",SUMIFS(tblDaily[Deaths],tblDaily[EntryDate],DATE(2026,7,22),tblDaily[WardCode],"MAE")),"")</f>
        <v/>
      </c>
      <c r="E262" s="12">
        <f>IFERROR(IF(SUMIFS(tblDaily[DeathsUnder24Hrs],tblDaily[EntryDate],DATE(2026,7,22),tblDaily[WardCode],"MAE")=0,"",SUMIFS(tblDaily[DeathsUnder24Hrs],tblDaily[EntryDate],DATE(2026,7,22),tblDaily[WardCode],"MAE")),"")</f>
        <v/>
      </c>
      <c r="F262" s="12">
        <f>IFERROR(IF(SUMIFS(tblDaily[TransfersIn],tblDaily[EntryDate],DATE(2026,7,22),tblDaily[WardCode],"MAE")=0,"",SUMIFS(tblDaily[TransfersIn],tblDaily[EntryDate],DATE(2026,7,22),tblDaily[WardCode],"MAE")),"")</f>
        <v/>
      </c>
      <c r="G262" s="12">
        <f>IFERROR(IF(SUMIFS(tblDaily[TransfersOut],tblDaily[EntryDate],DATE(2026,7,22),tblDaily[WardCode],"MAE")=0,"",SUMIFS(tblDaily[TransfersOut],tblDaily[EntryDate],DATE(2026,7,22),tblDaily[WardCode],"MAE")),"")</f>
        <v/>
      </c>
      <c r="H262" s="12">
        <f>IFERROR(IF(SUMIFS(tblDaily[Remaining],tblDaily[EntryDate],DATE(2026,7,22),tblDaily[WardCode],"MAE")=0,"",SUMIFS(tblDaily[Remaining],tblDaily[EntryDate],DATE(2026,7,22),tblDaily[WardCode],"MAE")),"")</f>
        <v/>
      </c>
    </row>
    <row r="263">
      <c r="A263" s="12" t="n">
        <v>23</v>
      </c>
      <c r="B263" s="12">
        <f>IFERROR(IF(SUMIFS(tblDaily[Admissions],tblDaily[EntryDate],DATE(2026,7,23),tblDaily[WardCode],"MAE")=0,"",SUMIFS(tblDaily[Admissions],tblDaily[EntryDate],DATE(2026,7,23),tblDaily[WardCode],"MAE")),"")</f>
        <v/>
      </c>
      <c r="C263" s="12">
        <f>IFERROR(IF(SUMIFS(tblDaily[Discharges],tblDaily[EntryDate],DATE(2026,7,23),tblDaily[WardCode],"MAE")=0,"",SUMIFS(tblDaily[Discharges],tblDaily[EntryDate],DATE(2026,7,23),tblDaily[WardCode],"MAE")),"")</f>
        <v/>
      </c>
      <c r="D263" s="12">
        <f>IFERROR(IF(SUMIFS(tblDaily[Deaths],tblDaily[EntryDate],DATE(2026,7,23),tblDaily[WardCode],"MAE")=0,"",SUMIFS(tblDaily[Deaths],tblDaily[EntryDate],DATE(2026,7,23),tblDaily[WardCode],"MAE")),"")</f>
        <v/>
      </c>
      <c r="E263" s="12">
        <f>IFERROR(IF(SUMIFS(tblDaily[DeathsUnder24Hrs],tblDaily[EntryDate],DATE(2026,7,23),tblDaily[WardCode],"MAE")=0,"",SUMIFS(tblDaily[DeathsUnder24Hrs],tblDaily[EntryDate],DATE(2026,7,23),tblDaily[WardCode],"MAE")),"")</f>
        <v/>
      </c>
      <c r="F263" s="12">
        <f>IFERROR(IF(SUMIFS(tblDaily[TransfersIn],tblDaily[EntryDate],DATE(2026,7,23),tblDaily[WardCode],"MAE")=0,"",SUMIFS(tblDaily[TransfersIn],tblDaily[EntryDate],DATE(2026,7,23),tblDaily[WardCode],"MAE")),"")</f>
        <v/>
      </c>
      <c r="G263" s="12">
        <f>IFERROR(IF(SUMIFS(tblDaily[TransfersOut],tblDaily[EntryDate],DATE(2026,7,23),tblDaily[WardCode],"MAE")=0,"",SUMIFS(tblDaily[TransfersOut],tblDaily[EntryDate],DATE(2026,7,23),tblDaily[WardCode],"MAE")),"")</f>
        <v/>
      </c>
      <c r="H263" s="12">
        <f>IFERROR(IF(SUMIFS(tblDaily[Remaining],tblDaily[EntryDate],DATE(2026,7,23),tblDaily[WardCode],"MAE")=0,"",SUMIFS(tblDaily[Remaining],tblDaily[EntryDate],DATE(2026,7,23),tblDaily[WardCode],"MAE")),"")</f>
        <v/>
      </c>
    </row>
    <row r="264">
      <c r="A264" s="12" t="n">
        <v>24</v>
      </c>
      <c r="B264" s="12">
        <f>IFERROR(IF(SUMIFS(tblDaily[Admissions],tblDaily[EntryDate],DATE(2026,7,24),tblDaily[WardCode],"MAE")=0,"",SUMIFS(tblDaily[Admissions],tblDaily[EntryDate],DATE(2026,7,24),tblDaily[WardCode],"MAE")),"")</f>
        <v/>
      </c>
      <c r="C264" s="12">
        <f>IFERROR(IF(SUMIFS(tblDaily[Discharges],tblDaily[EntryDate],DATE(2026,7,24),tblDaily[WardCode],"MAE")=0,"",SUMIFS(tblDaily[Discharges],tblDaily[EntryDate],DATE(2026,7,24),tblDaily[WardCode],"MAE")),"")</f>
        <v/>
      </c>
      <c r="D264" s="12">
        <f>IFERROR(IF(SUMIFS(tblDaily[Deaths],tblDaily[EntryDate],DATE(2026,7,24),tblDaily[WardCode],"MAE")=0,"",SUMIFS(tblDaily[Deaths],tblDaily[EntryDate],DATE(2026,7,24),tblDaily[WardCode],"MAE")),"")</f>
        <v/>
      </c>
      <c r="E264" s="12">
        <f>IFERROR(IF(SUMIFS(tblDaily[DeathsUnder24Hrs],tblDaily[EntryDate],DATE(2026,7,24),tblDaily[WardCode],"MAE")=0,"",SUMIFS(tblDaily[DeathsUnder24Hrs],tblDaily[EntryDate],DATE(2026,7,24),tblDaily[WardCode],"MAE")),"")</f>
        <v/>
      </c>
      <c r="F264" s="12">
        <f>IFERROR(IF(SUMIFS(tblDaily[TransfersIn],tblDaily[EntryDate],DATE(2026,7,24),tblDaily[WardCode],"MAE")=0,"",SUMIFS(tblDaily[TransfersIn],tblDaily[EntryDate],DATE(2026,7,24),tblDaily[WardCode],"MAE")),"")</f>
        <v/>
      </c>
      <c r="G264" s="12">
        <f>IFERROR(IF(SUMIFS(tblDaily[TransfersOut],tblDaily[EntryDate],DATE(2026,7,24),tblDaily[WardCode],"MAE")=0,"",SUMIFS(tblDaily[TransfersOut],tblDaily[EntryDate],DATE(2026,7,24),tblDaily[WardCode],"MAE")),"")</f>
        <v/>
      </c>
      <c r="H264" s="12">
        <f>IFERROR(IF(SUMIFS(tblDaily[Remaining],tblDaily[EntryDate],DATE(2026,7,24),tblDaily[WardCode],"MAE")=0,"",SUMIFS(tblDaily[Remaining],tblDaily[EntryDate],DATE(2026,7,24),tblDaily[WardCode],"MAE")),"")</f>
        <v/>
      </c>
    </row>
    <row r="265">
      <c r="A265" s="12" t="n">
        <v>25</v>
      </c>
      <c r="B265" s="12">
        <f>IFERROR(IF(SUMIFS(tblDaily[Admissions],tblDaily[EntryDate],DATE(2026,7,25),tblDaily[WardCode],"MAE")=0,"",SUMIFS(tblDaily[Admissions],tblDaily[EntryDate],DATE(2026,7,25),tblDaily[WardCode],"MAE")),"")</f>
        <v/>
      </c>
      <c r="C265" s="12">
        <f>IFERROR(IF(SUMIFS(tblDaily[Discharges],tblDaily[EntryDate],DATE(2026,7,25),tblDaily[WardCode],"MAE")=0,"",SUMIFS(tblDaily[Discharges],tblDaily[EntryDate],DATE(2026,7,25),tblDaily[WardCode],"MAE")),"")</f>
        <v/>
      </c>
      <c r="D265" s="12">
        <f>IFERROR(IF(SUMIFS(tblDaily[Deaths],tblDaily[EntryDate],DATE(2026,7,25),tblDaily[WardCode],"MAE")=0,"",SUMIFS(tblDaily[Deaths],tblDaily[EntryDate],DATE(2026,7,25),tblDaily[WardCode],"MAE")),"")</f>
        <v/>
      </c>
      <c r="E265" s="12">
        <f>IFERROR(IF(SUMIFS(tblDaily[DeathsUnder24Hrs],tblDaily[EntryDate],DATE(2026,7,25),tblDaily[WardCode],"MAE")=0,"",SUMIFS(tblDaily[DeathsUnder24Hrs],tblDaily[EntryDate],DATE(2026,7,25),tblDaily[WardCode],"MAE")),"")</f>
        <v/>
      </c>
      <c r="F265" s="12">
        <f>IFERROR(IF(SUMIFS(tblDaily[TransfersIn],tblDaily[EntryDate],DATE(2026,7,25),tblDaily[WardCode],"MAE")=0,"",SUMIFS(tblDaily[TransfersIn],tblDaily[EntryDate],DATE(2026,7,25),tblDaily[WardCode],"MAE")),"")</f>
        <v/>
      </c>
      <c r="G265" s="12">
        <f>IFERROR(IF(SUMIFS(tblDaily[TransfersOut],tblDaily[EntryDate],DATE(2026,7,25),tblDaily[WardCode],"MAE")=0,"",SUMIFS(tblDaily[TransfersOut],tblDaily[EntryDate],DATE(2026,7,25),tblDaily[WardCode],"MAE")),"")</f>
        <v/>
      </c>
      <c r="H265" s="12">
        <f>IFERROR(IF(SUMIFS(tblDaily[Remaining],tblDaily[EntryDate],DATE(2026,7,25),tblDaily[WardCode],"MAE")=0,"",SUMIFS(tblDaily[Remaining],tblDaily[EntryDate],DATE(2026,7,25),tblDaily[WardCode],"MAE")),"")</f>
        <v/>
      </c>
    </row>
    <row r="266">
      <c r="A266" s="12" t="n">
        <v>26</v>
      </c>
      <c r="B266" s="12">
        <f>IFERROR(IF(SUMIFS(tblDaily[Admissions],tblDaily[EntryDate],DATE(2026,7,26),tblDaily[WardCode],"MAE")=0,"",SUMIFS(tblDaily[Admissions],tblDaily[EntryDate],DATE(2026,7,26),tblDaily[WardCode],"MAE")),"")</f>
        <v/>
      </c>
      <c r="C266" s="12">
        <f>IFERROR(IF(SUMIFS(tblDaily[Discharges],tblDaily[EntryDate],DATE(2026,7,26),tblDaily[WardCode],"MAE")=0,"",SUMIFS(tblDaily[Discharges],tblDaily[EntryDate],DATE(2026,7,26),tblDaily[WardCode],"MAE")),"")</f>
        <v/>
      </c>
      <c r="D266" s="12">
        <f>IFERROR(IF(SUMIFS(tblDaily[Deaths],tblDaily[EntryDate],DATE(2026,7,26),tblDaily[WardCode],"MAE")=0,"",SUMIFS(tblDaily[Deaths],tblDaily[EntryDate],DATE(2026,7,26),tblDaily[WardCode],"MAE")),"")</f>
        <v/>
      </c>
      <c r="E266" s="12">
        <f>IFERROR(IF(SUMIFS(tblDaily[DeathsUnder24Hrs],tblDaily[EntryDate],DATE(2026,7,26),tblDaily[WardCode],"MAE")=0,"",SUMIFS(tblDaily[DeathsUnder24Hrs],tblDaily[EntryDate],DATE(2026,7,26),tblDaily[WardCode],"MAE")),"")</f>
        <v/>
      </c>
      <c r="F266" s="12">
        <f>IFERROR(IF(SUMIFS(tblDaily[TransfersIn],tblDaily[EntryDate],DATE(2026,7,26),tblDaily[WardCode],"MAE")=0,"",SUMIFS(tblDaily[TransfersIn],tblDaily[EntryDate],DATE(2026,7,26),tblDaily[WardCode],"MAE")),"")</f>
        <v/>
      </c>
      <c r="G266" s="12">
        <f>IFERROR(IF(SUMIFS(tblDaily[TransfersOut],tblDaily[EntryDate],DATE(2026,7,26),tblDaily[WardCode],"MAE")=0,"",SUMIFS(tblDaily[TransfersOut],tblDaily[EntryDate],DATE(2026,7,26),tblDaily[WardCode],"MAE")),"")</f>
        <v/>
      </c>
      <c r="H266" s="12">
        <f>IFERROR(IF(SUMIFS(tblDaily[Remaining],tblDaily[EntryDate],DATE(2026,7,26),tblDaily[WardCode],"MAE")=0,"",SUMIFS(tblDaily[Remaining],tblDaily[EntryDate],DATE(2026,7,26),tblDaily[WardCode],"MAE")),"")</f>
        <v/>
      </c>
    </row>
    <row r="267">
      <c r="A267" s="12" t="n">
        <v>27</v>
      </c>
      <c r="B267" s="12">
        <f>IFERROR(IF(SUMIFS(tblDaily[Admissions],tblDaily[EntryDate],DATE(2026,7,27),tblDaily[WardCode],"MAE")=0,"",SUMIFS(tblDaily[Admissions],tblDaily[EntryDate],DATE(2026,7,27),tblDaily[WardCode],"MAE")),"")</f>
        <v/>
      </c>
      <c r="C267" s="12">
        <f>IFERROR(IF(SUMIFS(tblDaily[Discharges],tblDaily[EntryDate],DATE(2026,7,27),tblDaily[WardCode],"MAE")=0,"",SUMIFS(tblDaily[Discharges],tblDaily[EntryDate],DATE(2026,7,27),tblDaily[WardCode],"MAE")),"")</f>
        <v/>
      </c>
      <c r="D267" s="12">
        <f>IFERROR(IF(SUMIFS(tblDaily[Deaths],tblDaily[EntryDate],DATE(2026,7,27),tblDaily[WardCode],"MAE")=0,"",SUMIFS(tblDaily[Deaths],tblDaily[EntryDate],DATE(2026,7,27),tblDaily[WardCode],"MAE")),"")</f>
        <v/>
      </c>
      <c r="E267" s="12">
        <f>IFERROR(IF(SUMIFS(tblDaily[DeathsUnder24Hrs],tblDaily[EntryDate],DATE(2026,7,27),tblDaily[WardCode],"MAE")=0,"",SUMIFS(tblDaily[DeathsUnder24Hrs],tblDaily[EntryDate],DATE(2026,7,27),tblDaily[WardCode],"MAE")),"")</f>
        <v/>
      </c>
      <c r="F267" s="12">
        <f>IFERROR(IF(SUMIFS(tblDaily[TransfersIn],tblDaily[EntryDate],DATE(2026,7,27),tblDaily[WardCode],"MAE")=0,"",SUMIFS(tblDaily[TransfersIn],tblDaily[EntryDate],DATE(2026,7,27),tblDaily[WardCode],"MAE")),"")</f>
        <v/>
      </c>
      <c r="G267" s="12">
        <f>IFERROR(IF(SUMIFS(tblDaily[TransfersOut],tblDaily[EntryDate],DATE(2026,7,27),tblDaily[WardCode],"MAE")=0,"",SUMIFS(tblDaily[TransfersOut],tblDaily[EntryDate],DATE(2026,7,27),tblDaily[WardCode],"MAE")),"")</f>
        <v/>
      </c>
      <c r="H267" s="12">
        <f>IFERROR(IF(SUMIFS(tblDaily[Remaining],tblDaily[EntryDate],DATE(2026,7,27),tblDaily[WardCode],"MAE")=0,"",SUMIFS(tblDaily[Remaining],tblDaily[EntryDate],DATE(2026,7,27),tblDaily[WardCode],"MAE")),"")</f>
        <v/>
      </c>
    </row>
    <row r="268">
      <c r="A268" s="12" t="n">
        <v>28</v>
      </c>
      <c r="B268" s="12">
        <f>IFERROR(IF(SUMIFS(tblDaily[Admissions],tblDaily[EntryDate],DATE(2026,7,28),tblDaily[WardCode],"MAE")=0,"",SUMIFS(tblDaily[Admissions],tblDaily[EntryDate],DATE(2026,7,28),tblDaily[WardCode],"MAE")),"")</f>
        <v/>
      </c>
      <c r="C268" s="12">
        <f>IFERROR(IF(SUMIFS(tblDaily[Discharges],tblDaily[EntryDate],DATE(2026,7,28),tblDaily[WardCode],"MAE")=0,"",SUMIFS(tblDaily[Discharges],tblDaily[EntryDate],DATE(2026,7,28),tblDaily[WardCode],"MAE")),"")</f>
        <v/>
      </c>
      <c r="D268" s="12">
        <f>IFERROR(IF(SUMIFS(tblDaily[Deaths],tblDaily[EntryDate],DATE(2026,7,28),tblDaily[WardCode],"MAE")=0,"",SUMIFS(tblDaily[Deaths],tblDaily[EntryDate],DATE(2026,7,28),tblDaily[WardCode],"MAE")),"")</f>
        <v/>
      </c>
      <c r="E268" s="12">
        <f>IFERROR(IF(SUMIFS(tblDaily[DeathsUnder24Hrs],tblDaily[EntryDate],DATE(2026,7,28),tblDaily[WardCode],"MAE")=0,"",SUMIFS(tblDaily[DeathsUnder24Hrs],tblDaily[EntryDate],DATE(2026,7,28),tblDaily[WardCode],"MAE")),"")</f>
        <v/>
      </c>
      <c r="F268" s="12">
        <f>IFERROR(IF(SUMIFS(tblDaily[TransfersIn],tblDaily[EntryDate],DATE(2026,7,28),tblDaily[WardCode],"MAE")=0,"",SUMIFS(tblDaily[TransfersIn],tblDaily[EntryDate],DATE(2026,7,28),tblDaily[WardCode],"MAE")),"")</f>
        <v/>
      </c>
      <c r="G268" s="12">
        <f>IFERROR(IF(SUMIFS(tblDaily[TransfersOut],tblDaily[EntryDate],DATE(2026,7,28),tblDaily[WardCode],"MAE")=0,"",SUMIFS(tblDaily[TransfersOut],tblDaily[EntryDate],DATE(2026,7,28),tblDaily[WardCode],"MAE")),"")</f>
        <v/>
      </c>
      <c r="H268" s="12">
        <f>IFERROR(IF(SUMIFS(tblDaily[Remaining],tblDaily[EntryDate],DATE(2026,7,28),tblDaily[WardCode],"MAE")=0,"",SUMIFS(tblDaily[Remaining],tblDaily[EntryDate],DATE(2026,7,28),tblDaily[WardCode],"MAE")),"")</f>
        <v/>
      </c>
    </row>
    <row r="269">
      <c r="A269" s="12" t="n">
        <v>29</v>
      </c>
      <c r="B269" s="12">
        <f>IFERROR(IF(SUMIFS(tblDaily[Admissions],tblDaily[EntryDate],DATE(2026,7,29),tblDaily[WardCode],"MAE")=0,"",SUMIFS(tblDaily[Admissions],tblDaily[EntryDate],DATE(2026,7,29),tblDaily[WardCode],"MAE")),"")</f>
        <v/>
      </c>
      <c r="C269" s="12">
        <f>IFERROR(IF(SUMIFS(tblDaily[Discharges],tblDaily[EntryDate],DATE(2026,7,29),tblDaily[WardCode],"MAE")=0,"",SUMIFS(tblDaily[Discharges],tblDaily[EntryDate],DATE(2026,7,29),tblDaily[WardCode],"MAE")),"")</f>
        <v/>
      </c>
      <c r="D269" s="12">
        <f>IFERROR(IF(SUMIFS(tblDaily[Deaths],tblDaily[EntryDate],DATE(2026,7,29),tblDaily[WardCode],"MAE")=0,"",SUMIFS(tblDaily[Deaths],tblDaily[EntryDate],DATE(2026,7,29),tblDaily[WardCode],"MAE")),"")</f>
        <v/>
      </c>
      <c r="E269" s="12">
        <f>IFERROR(IF(SUMIFS(tblDaily[DeathsUnder24Hrs],tblDaily[EntryDate],DATE(2026,7,29),tblDaily[WardCode],"MAE")=0,"",SUMIFS(tblDaily[DeathsUnder24Hrs],tblDaily[EntryDate],DATE(2026,7,29),tblDaily[WardCode],"MAE")),"")</f>
        <v/>
      </c>
      <c r="F269" s="12">
        <f>IFERROR(IF(SUMIFS(tblDaily[TransfersIn],tblDaily[EntryDate],DATE(2026,7,29),tblDaily[WardCode],"MAE")=0,"",SUMIFS(tblDaily[TransfersIn],tblDaily[EntryDate],DATE(2026,7,29),tblDaily[WardCode],"MAE")),"")</f>
        <v/>
      </c>
      <c r="G269" s="12">
        <f>IFERROR(IF(SUMIFS(tblDaily[TransfersOut],tblDaily[EntryDate],DATE(2026,7,29),tblDaily[WardCode],"MAE")=0,"",SUMIFS(tblDaily[TransfersOut],tblDaily[EntryDate],DATE(2026,7,29),tblDaily[WardCode],"MAE")),"")</f>
        <v/>
      </c>
      <c r="H269" s="12">
        <f>IFERROR(IF(SUMIFS(tblDaily[Remaining],tblDaily[EntryDate],DATE(2026,7,29),tblDaily[WardCode],"MAE")=0,"",SUMIFS(tblDaily[Remaining],tblDaily[EntryDate],DATE(2026,7,29),tblDaily[WardCode],"MAE")),"")</f>
        <v/>
      </c>
    </row>
    <row r="270">
      <c r="A270" s="12" t="n">
        <v>30</v>
      </c>
      <c r="B270" s="12">
        <f>IFERROR(IF(SUMIFS(tblDaily[Admissions],tblDaily[EntryDate],DATE(2026,7,30),tblDaily[WardCode],"MAE")=0,"",SUMIFS(tblDaily[Admissions],tblDaily[EntryDate],DATE(2026,7,30),tblDaily[WardCode],"MAE")),"")</f>
        <v/>
      </c>
      <c r="C270" s="12">
        <f>IFERROR(IF(SUMIFS(tblDaily[Discharges],tblDaily[EntryDate],DATE(2026,7,30),tblDaily[WardCode],"MAE")=0,"",SUMIFS(tblDaily[Discharges],tblDaily[EntryDate],DATE(2026,7,30),tblDaily[WardCode],"MAE")),"")</f>
        <v/>
      </c>
      <c r="D270" s="12">
        <f>IFERROR(IF(SUMIFS(tblDaily[Deaths],tblDaily[EntryDate],DATE(2026,7,30),tblDaily[WardCode],"MAE")=0,"",SUMIFS(tblDaily[Deaths],tblDaily[EntryDate],DATE(2026,7,30),tblDaily[WardCode],"MAE")),"")</f>
        <v/>
      </c>
      <c r="E270" s="12">
        <f>IFERROR(IF(SUMIFS(tblDaily[DeathsUnder24Hrs],tblDaily[EntryDate],DATE(2026,7,30),tblDaily[WardCode],"MAE")=0,"",SUMIFS(tblDaily[DeathsUnder24Hrs],tblDaily[EntryDate],DATE(2026,7,30),tblDaily[WardCode],"MAE")),"")</f>
        <v/>
      </c>
      <c r="F270" s="12">
        <f>IFERROR(IF(SUMIFS(tblDaily[TransfersIn],tblDaily[EntryDate],DATE(2026,7,30),tblDaily[WardCode],"MAE")=0,"",SUMIFS(tblDaily[TransfersIn],tblDaily[EntryDate],DATE(2026,7,30),tblDaily[WardCode],"MAE")),"")</f>
        <v/>
      </c>
      <c r="G270" s="12">
        <f>IFERROR(IF(SUMIFS(tblDaily[TransfersOut],tblDaily[EntryDate],DATE(2026,7,30),tblDaily[WardCode],"MAE")=0,"",SUMIFS(tblDaily[TransfersOut],tblDaily[EntryDate],DATE(2026,7,30),tblDaily[WardCode],"MAE")),"")</f>
        <v/>
      </c>
      <c r="H270" s="12">
        <f>IFERROR(IF(SUMIFS(tblDaily[Remaining],tblDaily[EntryDate],DATE(2026,7,30),tblDaily[WardCode],"MAE")=0,"",SUMIFS(tblDaily[Remaining],tblDaily[EntryDate],DATE(2026,7,30),tblDaily[WardCode],"MAE")),"")</f>
        <v/>
      </c>
    </row>
    <row r="271">
      <c r="A271" s="12" t="n">
        <v>31</v>
      </c>
      <c r="B271" s="12">
        <f>IFERROR(IF(SUMIFS(tblDaily[Admissions],tblDaily[EntryDate],DATE(2026,7,31),tblDaily[WardCode],"MAE")=0,"",SUMIFS(tblDaily[Admissions],tblDaily[EntryDate],DATE(2026,7,31),tblDaily[WardCode],"MAE")),"")</f>
        <v/>
      </c>
      <c r="C271" s="12">
        <f>IFERROR(IF(SUMIFS(tblDaily[Discharges],tblDaily[EntryDate],DATE(2026,7,31),tblDaily[WardCode],"MAE")=0,"",SUMIFS(tblDaily[Discharges],tblDaily[EntryDate],DATE(2026,7,31),tblDaily[WardCode],"MAE")),"")</f>
        <v/>
      </c>
      <c r="D271" s="12">
        <f>IFERROR(IF(SUMIFS(tblDaily[Deaths],tblDaily[EntryDate],DATE(2026,7,31),tblDaily[WardCode],"MAE")=0,"",SUMIFS(tblDaily[Deaths],tblDaily[EntryDate],DATE(2026,7,31),tblDaily[WardCode],"MAE")),"")</f>
        <v/>
      </c>
      <c r="E271" s="12">
        <f>IFERROR(IF(SUMIFS(tblDaily[DeathsUnder24Hrs],tblDaily[EntryDate],DATE(2026,7,31),tblDaily[WardCode],"MAE")=0,"",SUMIFS(tblDaily[DeathsUnder24Hrs],tblDaily[EntryDate],DATE(2026,7,31),tblDaily[WardCode],"MAE")),"")</f>
        <v/>
      </c>
      <c r="F271" s="12">
        <f>IFERROR(IF(SUMIFS(tblDaily[TransfersIn],tblDaily[EntryDate],DATE(2026,7,31),tblDaily[WardCode],"MAE")=0,"",SUMIFS(tblDaily[TransfersIn],tblDaily[EntryDate],DATE(2026,7,31),tblDaily[WardCode],"MAE")),"")</f>
        <v/>
      </c>
      <c r="G271" s="12">
        <f>IFERROR(IF(SUMIFS(tblDaily[TransfersOut],tblDaily[EntryDate],DATE(2026,7,31),tblDaily[WardCode],"MAE")=0,"",SUMIFS(tblDaily[TransfersOut],tblDaily[EntryDate],DATE(2026,7,31),tblDaily[WardCode],"MAE")),"")</f>
        <v/>
      </c>
      <c r="H271" s="12">
        <f>IFERROR(IF(SUMIFS(tblDaily[Remaining],tblDaily[EntryDate],DATE(2026,7,31),tblDaily[WardCode],"MAE")=0,"",SUMIFS(tblDaily[Remaining],tblDaily[EntryDate],DATE(2026,7,31),tblDaily[WardCode],"MAE")),"")</f>
        <v/>
      </c>
    </row>
    <row r="272">
      <c r="A272" s="17" t="inlineStr">
        <is>
          <t>TOTAL</t>
        </is>
      </c>
      <c r="B272" s="17">
        <f>SUMIFS(tblDaily[Admissions],tblDaily[Month],7,tblDaily[WardCode],"MAE") - SUMIFS(tblDaily[DeathsUnder24Hrs],tblDaily[Month],7,tblDaily[WardCode],"MAE")</f>
        <v/>
      </c>
      <c r="C272" s="17">
        <f>SUMIFS(tblDaily[Discharges],tblDaily[Month],7,tblDaily[WardCode],"MAE")</f>
        <v/>
      </c>
      <c r="D272" s="17">
        <f>SUMIFS(tblDaily[Deaths],tblDaily[Month],7,tblDaily[WardCode],"MAE")</f>
        <v/>
      </c>
      <c r="E272" s="17">
        <f>SUMIFS(tblDaily[DeathsUnder24Hrs],tblDaily[Month],7,tblDaily[WardCode],"MAE")</f>
        <v/>
      </c>
      <c r="F272" s="17">
        <f>SUMIFS(tblDaily[TransfersIn],tblDaily[Month],7,tblDaily[WardCode],"MAE")</f>
        <v/>
      </c>
      <c r="G272" s="17">
        <f>SUMIFS(tblDaily[TransfersOut],tblDaily[Month],7,tblDaily[WardCode],"MAE")</f>
        <v/>
      </c>
      <c r="H272" s="17">
        <f>SUMIFS(tblDaily[Remaining],tblDaily[Month],7,tblDaily[WardCode],"MAE")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MALE EMERGENCY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4">
        <f>IFERROR(SUMIFS(tblDaily[Remaining],tblDaily[EntryDate],DATE(2026,7,31),tblDaily[WardCode],"MAE"),0)</f>
        <v/>
      </c>
    </row>
    <row r="278">
      <c r="A278" s="4" t="inlineStr">
        <is>
          <t>Bed complement</t>
        </is>
      </c>
      <c r="H278" s="15">
        <f>IFERROR(INDEX(tblWardConfig[BedComplement],MATCH("MAE",tblWardConfig[WardCode],0)),0)</f>
        <v/>
      </c>
    </row>
    <row r="279">
      <c r="A279" s="16" t="inlineStr">
        <is>
          <t>Day of
the
Month</t>
        </is>
      </c>
      <c r="B279" s="16" t="inlineStr">
        <is>
          <t>Admissions</t>
        </is>
      </c>
      <c r="C279" s="16" t="inlineStr">
        <is>
          <t>Discharges</t>
        </is>
      </c>
      <c r="D279" s="16" t="inlineStr">
        <is>
          <t>Deaths</t>
        </is>
      </c>
      <c r="E279" s="16" t="inlineStr">
        <is>
          <t>Deaths
&lt;24Hrs</t>
        </is>
      </c>
      <c r="F279" s="16" t="inlineStr">
        <is>
          <t>Transfers-
In</t>
        </is>
      </c>
      <c r="G279" s="16" t="inlineStr">
        <is>
          <t>Transfers-
Out</t>
        </is>
      </c>
      <c r="H279" s="16" t="inlineStr">
        <is>
          <t>No. of Patients
Remaining In
Ward</t>
        </is>
      </c>
    </row>
    <row r="280">
      <c r="A280" s="12" t="n">
        <v>1</v>
      </c>
      <c r="B280" s="12">
        <f>IFERROR(IF(SUMIFS(tblDaily[Admissions],tblDaily[EntryDate],DATE(2026,8,1),tblDaily[WardCode],"MAE")=0,"",SUMIFS(tblDaily[Admissions],tblDaily[EntryDate],DATE(2026,8,1),tblDaily[WardCode],"MAE")),"")</f>
        <v/>
      </c>
      <c r="C280" s="12">
        <f>IFERROR(IF(SUMIFS(tblDaily[Discharges],tblDaily[EntryDate],DATE(2026,8,1),tblDaily[WardCode],"MAE")=0,"",SUMIFS(tblDaily[Discharges],tblDaily[EntryDate],DATE(2026,8,1),tblDaily[WardCode],"MAE")),"")</f>
        <v/>
      </c>
      <c r="D280" s="12">
        <f>IFERROR(IF(SUMIFS(tblDaily[Deaths],tblDaily[EntryDate],DATE(2026,8,1),tblDaily[WardCode],"MAE")=0,"",SUMIFS(tblDaily[Deaths],tblDaily[EntryDate],DATE(2026,8,1),tblDaily[WardCode],"MAE")),"")</f>
        <v/>
      </c>
      <c r="E280" s="12">
        <f>IFERROR(IF(SUMIFS(tblDaily[DeathsUnder24Hrs],tblDaily[EntryDate],DATE(2026,8,1),tblDaily[WardCode],"MAE")=0,"",SUMIFS(tblDaily[DeathsUnder24Hrs],tblDaily[EntryDate],DATE(2026,8,1),tblDaily[WardCode],"MAE")),"")</f>
        <v/>
      </c>
      <c r="F280" s="12">
        <f>IFERROR(IF(SUMIFS(tblDaily[TransfersIn],tblDaily[EntryDate],DATE(2026,8,1),tblDaily[WardCode],"MAE")=0,"",SUMIFS(tblDaily[TransfersIn],tblDaily[EntryDate],DATE(2026,8,1),tblDaily[WardCode],"MAE")),"")</f>
        <v/>
      </c>
      <c r="G280" s="12">
        <f>IFERROR(IF(SUMIFS(tblDaily[TransfersOut],tblDaily[EntryDate],DATE(2026,8,1),tblDaily[WardCode],"MAE")=0,"",SUMIFS(tblDaily[TransfersOut],tblDaily[EntryDate],DATE(2026,8,1),tblDaily[WardCode],"MAE")),"")</f>
        <v/>
      </c>
      <c r="H280" s="12">
        <f>IFERROR(IF(SUMIFS(tblDaily[Remaining],tblDaily[EntryDate],DATE(2026,8,1),tblDaily[WardCode],"MAE")=0,"",SUMIFS(tblDaily[Remaining],tblDaily[EntryDate],DATE(2026,8,1),tblDaily[WardCode],"MAE")),"")</f>
        <v/>
      </c>
    </row>
    <row r="281">
      <c r="A281" s="12" t="n">
        <v>2</v>
      </c>
      <c r="B281" s="12">
        <f>IFERROR(IF(SUMIFS(tblDaily[Admissions],tblDaily[EntryDate],DATE(2026,8,2),tblDaily[WardCode],"MAE")=0,"",SUMIFS(tblDaily[Admissions],tblDaily[EntryDate],DATE(2026,8,2),tblDaily[WardCode],"MAE")),"")</f>
        <v/>
      </c>
      <c r="C281" s="12">
        <f>IFERROR(IF(SUMIFS(tblDaily[Discharges],tblDaily[EntryDate],DATE(2026,8,2),tblDaily[WardCode],"MAE")=0,"",SUMIFS(tblDaily[Discharges],tblDaily[EntryDate],DATE(2026,8,2),tblDaily[WardCode],"MAE")),"")</f>
        <v/>
      </c>
      <c r="D281" s="12">
        <f>IFERROR(IF(SUMIFS(tblDaily[Deaths],tblDaily[EntryDate],DATE(2026,8,2),tblDaily[WardCode],"MAE")=0,"",SUMIFS(tblDaily[Deaths],tblDaily[EntryDate],DATE(2026,8,2),tblDaily[WardCode],"MAE")),"")</f>
        <v/>
      </c>
      <c r="E281" s="12">
        <f>IFERROR(IF(SUMIFS(tblDaily[DeathsUnder24Hrs],tblDaily[EntryDate],DATE(2026,8,2),tblDaily[WardCode],"MAE")=0,"",SUMIFS(tblDaily[DeathsUnder24Hrs],tblDaily[EntryDate],DATE(2026,8,2),tblDaily[WardCode],"MAE")),"")</f>
        <v/>
      </c>
      <c r="F281" s="12">
        <f>IFERROR(IF(SUMIFS(tblDaily[TransfersIn],tblDaily[EntryDate],DATE(2026,8,2),tblDaily[WardCode],"MAE")=0,"",SUMIFS(tblDaily[TransfersIn],tblDaily[EntryDate],DATE(2026,8,2),tblDaily[WardCode],"MAE")),"")</f>
        <v/>
      </c>
      <c r="G281" s="12">
        <f>IFERROR(IF(SUMIFS(tblDaily[TransfersOut],tblDaily[EntryDate],DATE(2026,8,2),tblDaily[WardCode],"MAE")=0,"",SUMIFS(tblDaily[TransfersOut],tblDaily[EntryDate],DATE(2026,8,2),tblDaily[WardCode],"MAE")),"")</f>
        <v/>
      </c>
      <c r="H281" s="12">
        <f>IFERROR(IF(SUMIFS(tblDaily[Remaining],tblDaily[EntryDate],DATE(2026,8,2),tblDaily[WardCode],"MAE")=0,"",SUMIFS(tblDaily[Remaining],tblDaily[EntryDate],DATE(2026,8,2),tblDaily[WardCode],"MAE")),"")</f>
        <v/>
      </c>
    </row>
    <row r="282">
      <c r="A282" s="12" t="n">
        <v>3</v>
      </c>
      <c r="B282" s="12">
        <f>IFERROR(IF(SUMIFS(tblDaily[Admissions],tblDaily[EntryDate],DATE(2026,8,3),tblDaily[WardCode],"MAE")=0,"",SUMIFS(tblDaily[Admissions],tblDaily[EntryDate],DATE(2026,8,3),tblDaily[WardCode],"MAE")),"")</f>
        <v/>
      </c>
      <c r="C282" s="12">
        <f>IFERROR(IF(SUMIFS(tblDaily[Discharges],tblDaily[EntryDate],DATE(2026,8,3),tblDaily[WardCode],"MAE")=0,"",SUMIFS(tblDaily[Discharges],tblDaily[EntryDate],DATE(2026,8,3),tblDaily[WardCode],"MAE")),"")</f>
        <v/>
      </c>
      <c r="D282" s="12">
        <f>IFERROR(IF(SUMIFS(tblDaily[Deaths],tblDaily[EntryDate],DATE(2026,8,3),tblDaily[WardCode],"MAE")=0,"",SUMIFS(tblDaily[Deaths],tblDaily[EntryDate],DATE(2026,8,3),tblDaily[WardCode],"MAE")),"")</f>
        <v/>
      </c>
      <c r="E282" s="12">
        <f>IFERROR(IF(SUMIFS(tblDaily[DeathsUnder24Hrs],tblDaily[EntryDate],DATE(2026,8,3),tblDaily[WardCode],"MAE")=0,"",SUMIFS(tblDaily[DeathsUnder24Hrs],tblDaily[EntryDate],DATE(2026,8,3),tblDaily[WardCode],"MAE")),"")</f>
        <v/>
      </c>
      <c r="F282" s="12">
        <f>IFERROR(IF(SUMIFS(tblDaily[TransfersIn],tblDaily[EntryDate],DATE(2026,8,3),tblDaily[WardCode],"MAE")=0,"",SUMIFS(tblDaily[TransfersIn],tblDaily[EntryDate],DATE(2026,8,3),tblDaily[WardCode],"MAE")),"")</f>
        <v/>
      </c>
      <c r="G282" s="12">
        <f>IFERROR(IF(SUMIFS(tblDaily[TransfersOut],tblDaily[EntryDate],DATE(2026,8,3),tblDaily[WardCode],"MAE")=0,"",SUMIFS(tblDaily[TransfersOut],tblDaily[EntryDate],DATE(2026,8,3),tblDaily[WardCode],"MAE")),"")</f>
        <v/>
      </c>
      <c r="H282" s="12">
        <f>IFERROR(IF(SUMIFS(tblDaily[Remaining],tblDaily[EntryDate],DATE(2026,8,3),tblDaily[WardCode],"MAE")=0,"",SUMIFS(tblDaily[Remaining],tblDaily[EntryDate],DATE(2026,8,3),tblDaily[WardCode],"MAE")),"")</f>
        <v/>
      </c>
    </row>
    <row r="283">
      <c r="A283" s="12" t="n">
        <v>4</v>
      </c>
      <c r="B283" s="12">
        <f>IFERROR(IF(SUMIFS(tblDaily[Admissions],tblDaily[EntryDate],DATE(2026,8,4),tblDaily[WardCode],"MAE")=0,"",SUMIFS(tblDaily[Admissions],tblDaily[EntryDate],DATE(2026,8,4),tblDaily[WardCode],"MAE")),"")</f>
        <v/>
      </c>
      <c r="C283" s="12">
        <f>IFERROR(IF(SUMIFS(tblDaily[Discharges],tblDaily[EntryDate],DATE(2026,8,4),tblDaily[WardCode],"MAE")=0,"",SUMIFS(tblDaily[Discharges],tblDaily[EntryDate],DATE(2026,8,4),tblDaily[WardCode],"MAE")),"")</f>
        <v/>
      </c>
      <c r="D283" s="12">
        <f>IFERROR(IF(SUMIFS(tblDaily[Deaths],tblDaily[EntryDate],DATE(2026,8,4),tblDaily[WardCode],"MAE")=0,"",SUMIFS(tblDaily[Deaths],tblDaily[EntryDate],DATE(2026,8,4),tblDaily[WardCode],"MAE")),"")</f>
        <v/>
      </c>
      <c r="E283" s="12">
        <f>IFERROR(IF(SUMIFS(tblDaily[DeathsUnder24Hrs],tblDaily[EntryDate],DATE(2026,8,4),tblDaily[WardCode],"MAE")=0,"",SUMIFS(tblDaily[DeathsUnder24Hrs],tblDaily[EntryDate],DATE(2026,8,4),tblDaily[WardCode],"MAE")),"")</f>
        <v/>
      </c>
      <c r="F283" s="12">
        <f>IFERROR(IF(SUMIFS(tblDaily[TransfersIn],tblDaily[EntryDate],DATE(2026,8,4),tblDaily[WardCode],"MAE")=0,"",SUMIFS(tblDaily[TransfersIn],tblDaily[EntryDate],DATE(2026,8,4),tblDaily[WardCode],"MAE")),"")</f>
        <v/>
      </c>
      <c r="G283" s="12">
        <f>IFERROR(IF(SUMIFS(tblDaily[TransfersOut],tblDaily[EntryDate],DATE(2026,8,4),tblDaily[WardCode],"MAE")=0,"",SUMIFS(tblDaily[TransfersOut],tblDaily[EntryDate],DATE(2026,8,4),tblDaily[WardCode],"MAE")),"")</f>
        <v/>
      </c>
      <c r="H283" s="12">
        <f>IFERROR(IF(SUMIFS(tblDaily[Remaining],tblDaily[EntryDate],DATE(2026,8,4),tblDaily[WardCode],"MAE")=0,"",SUMIFS(tblDaily[Remaining],tblDaily[EntryDate],DATE(2026,8,4),tblDaily[WardCode],"MAE")),"")</f>
        <v/>
      </c>
    </row>
    <row r="284">
      <c r="A284" s="12" t="n">
        <v>5</v>
      </c>
      <c r="B284" s="12">
        <f>IFERROR(IF(SUMIFS(tblDaily[Admissions],tblDaily[EntryDate],DATE(2026,8,5),tblDaily[WardCode],"MAE")=0,"",SUMIFS(tblDaily[Admissions],tblDaily[EntryDate],DATE(2026,8,5),tblDaily[WardCode],"MAE")),"")</f>
        <v/>
      </c>
      <c r="C284" s="12">
        <f>IFERROR(IF(SUMIFS(tblDaily[Discharges],tblDaily[EntryDate],DATE(2026,8,5),tblDaily[WardCode],"MAE")=0,"",SUMIFS(tblDaily[Discharges],tblDaily[EntryDate],DATE(2026,8,5),tblDaily[WardCode],"MAE")),"")</f>
        <v/>
      </c>
      <c r="D284" s="12">
        <f>IFERROR(IF(SUMIFS(tblDaily[Deaths],tblDaily[EntryDate],DATE(2026,8,5),tblDaily[WardCode],"MAE")=0,"",SUMIFS(tblDaily[Deaths],tblDaily[EntryDate],DATE(2026,8,5),tblDaily[WardCode],"MAE")),"")</f>
        <v/>
      </c>
      <c r="E284" s="12">
        <f>IFERROR(IF(SUMIFS(tblDaily[DeathsUnder24Hrs],tblDaily[EntryDate],DATE(2026,8,5),tblDaily[WardCode],"MAE")=0,"",SUMIFS(tblDaily[DeathsUnder24Hrs],tblDaily[EntryDate],DATE(2026,8,5),tblDaily[WardCode],"MAE")),"")</f>
        <v/>
      </c>
      <c r="F284" s="12">
        <f>IFERROR(IF(SUMIFS(tblDaily[TransfersIn],tblDaily[EntryDate],DATE(2026,8,5),tblDaily[WardCode],"MAE")=0,"",SUMIFS(tblDaily[TransfersIn],tblDaily[EntryDate],DATE(2026,8,5),tblDaily[WardCode],"MAE")),"")</f>
        <v/>
      </c>
      <c r="G284" s="12">
        <f>IFERROR(IF(SUMIFS(tblDaily[TransfersOut],tblDaily[EntryDate],DATE(2026,8,5),tblDaily[WardCode],"MAE")=0,"",SUMIFS(tblDaily[TransfersOut],tblDaily[EntryDate],DATE(2026,8,5),tblDaily[WardCode],"MAE")),"")</f>
        <v/>
      </c>
      <c r="H284" s="12">
        <f>IFERROR(IF(SUMIFS(tblDaily[Remaining],tblDaily[EntryDate],DATE(2026,8,5),tblDaily[WardCode],"MAE")=0,"",SUMIFS(tblDaily[Remaining],tblDaily[EntryDate],DATE(2026,8,5),tblDaily[WardCode],"MAE")),"")</f>
        <v/>
      </c>
    </row>
    <row r="285">
      <c r="A285" s="12" t="n">
        <v>6</v>
      </c>
      <c r="B285" s="12">
        <f>IFERROR(IF(SUMIFS(tblDaily[Admissions],tblDaily[EntryDate],DATE(2026,8,6),tblDaily[WardCode],"MAE")=0,"",SUMIFS(tblDaily[Admissions],tblDaily[EntryDate],DATE(2026,8,6),tblDaily[WardCode],"MAE")),"")</f>
        <v/>
      </c>
      <c r="C285" s="12">
        <f>IFERROR(IF(SUMIFS(tblDaily[Discharges],tblDaily[EntryDate],DATE(2026,8,6),tblDaily[WardCode],"MAE")=0,"",SUMIFS(tblDaily[Discharges],tblDaily[EntryDate],DATE(2026,8,6),tblDaily[WardCode],"MAE")),"")</f>
        <v/>
      </c>
      <c r="D285" s="12">
        <f>IFERROR(IF(SUMIFS(tblDaily[Deaths],tblDaily[EntryDate],DATE(2026,8,6),tblDaily[WardCode],"MAE")=0,"",SUMIFS(tblDaily[Deaths],tblDaily[EntryDate],DATE(2026,8,6),tblDaily[WardCode],"MAE")),"")</f>
        <v/>
      </c>
      <c r="E285" s="12">
        <f>IFERROR(IF(SUMIFS(tblDaily[DeathsUnder24Hrs],tblDaily[EntryDate],DATE(2026,8,6),tblDaily[WardCode],"MAE")=0,"",SUMIFS(tblDaily[DeathsUnder24Hrs],tblDaily[EntryDate],DATE(2026,8,6),tblDaily[WardCode],"MAE")),"")</f>
        <v/>
      </c>
      <c r="F285" s="12">
        <f>IFERROR(IF(SUMIFS(tblDaily[TransfersIn],tblDaily[EntryDate],DATE(2026,8,6),tblDaily[WardCode],"MAE")=0,"",SUMIFS(tblDaily[TransfersIn],tblDaily[EntryDate],DATE(2026,8,6),tblDaily[WardCode],"MAE")),"")</f>
        <v/>
      </c>
      <c r="G285" s="12">
        <f>IFERROR(IF(SUMIFS(tblDaily[TransfersOut],tblDaily[EntryDate],DATE(2026,8,6),tblDaily[WardCode],"MAE")=0,"",SUMIFS(tblDaily[TransfersOut],tblDaily[EntryDate],DATE(2026,8,6),tblDaily[WardCode],"MAE")),"")</f>
        <v/>
      </c>
      <c r="H285" s="12">
        <f>IFERROR(IF(SUMIFS(tblDaily[Remaining],tblDaily[EntryDate],DATE(2026,8,6),tblDaily[WardCode],"MAE")=0,"",SUMIFS(tblDaily[Remaining],tblDaily[EntryDate],DATE(2026,8,6),tblDaily[WardCode],"MAE")),"")</f>
        <v/>
      </c>
    </row>
    <row r="286">
      <c r="A286" s="12" t="n">
        <v>7</v>
      </c>
      <c r="B286" s="12">
        <f>IFERROR(IF(SUMIFS(tblDaily[Admissions],tblDaily[EntryDate],DATE(2026,8,7),tblDaily[WardCode],"MAE")=0,"",SUMIFS(tblDaily[Admissions],tblDaily[EntryDate],DATE(2026,8,7),tblDaily[WardCode],"MAE")),"")</f>
        <v/>
      </c>
      <c r="C286" s="12">
        <f>IFERROR(IF(SUMIFS(tblDaily[Discharges],tblDaily[EntryDate],DATE(2026,8,7),tblDaily[WardCode],"MAE")=0,"",SUMIFS(tblDaily[Discharges],tblDaily[EntryDate],DATE(2026,8,7),tblDaily[WardCode],"MAE")),"")</f>
        <v/>
      </c>
      <c r="D286" s="12">
        <f>IFERROR(IF(SUMIFS(tblDaily[Deaths],tblDaily[EntryDate],DATE(2026,8,7),tblDaily[WardCode],"MAE")=0,"",SUMIFS(tblDaily[Deaths],tblDaily[EntryDate],DATE(2026,8,7),tblDaily[WardCode],"MAE")),"")</f>
        <v/>
      </c>
      <c r="E286" s="12">
        <f>IFERROR(IF(SUMIFS(tblDaily[DeathsUnder24Hrs],tblDaily[EntryDate],DATE(2026,8,7),tblDaily[WardCode],"MAE")=0,"",SUMIFS(tblDaily[DeathsUnder24Hrs],tblDaily[EntryDate],DATE(2026,8,7),tblDaily[WardCode],"MAE")),"")</f>
        <v/>
      </c>
      <c r="F286" s="12">
        <f>IFERROR(IF(SUMIFS(tblDaily[TransfersIn],tblDaily[EntryDate],DATE(2026,8,7),tblDaily[WardCode],"MAE")=0,"",SUMIFS(tblDaily[TransfersIn],tblDaily[EntryDate],DATE(2026,8,7),tblDaily[WardCode],"MAE")),"")</f>
        <v/>
      </c>
      <c r="G286" s="12">
        <f>IFERROR(IF(SUMIFS(tblDaily[TransfersOut],tblDaily[EntryDate],DATE(2026,8,7),tblDaily[WardCode],"MAE")=0,"",SUMIFS(tblDaily[TransfersOut],tblDaily[EntryDate],DATE(2026,8,7),tblDaily[WardCode],"MAE")),"")</f>
        <v/>
      </c>
      <c r="H286" s="12">
        <f>IFERROR(IF(SUMIFS(tblDaily[Remaining],tblDaily[EntryDate],DATE(2026,8,7),tblDaily[WardCode],"MAE")=0,"",SUMIFS(tblDaily[Remaining],tblDaily[EntryDate],DATE(2026,8,7),tblDaily[WardCode],"MAE")),"")</f>
        <v/>
      </c>
    </row>
    <row r="287">
      <c r="A287" s="12" t="n">
        <v>8</v>
      </c>
      <c r="B287" s="12">
        <f>IFERROR(IF(SUMIFS(tblDaily[Admissions],tblDaily[EntryDate],DATE(2026,8,8),tblDaily[WardCode],"MAE")=0,"",SUMIFS(tblDaily[Admissions],tblDaily[EntryDate],DATE(2026,8,8),tblDaily[WardCode],"MAE")),"")</f>
        <v/>
      </c>
      <c r="C287" s="12">
        <f>IFERROR(IF(SUMIFS(tblDaily[Discharges],tblDaily[EntryDate],DATE(2026,8,8),tblDaily[WardCode],"MAE")=0,"",SUMIFS(tblDaily[Discharges],tblDaily[EntryDate],DATE(2026,8,8),tblDaily[WardCode],"MAE")),"")</f>
        <v/>
      </c>
      <c r="D287" s="12">
        <f>IFERROR(IF(SUMIFS(tblDaily[Deaths],tblDaily[EntryDate],DATE(2026,8,8),tblDaily[WardCode],"MAE")=0,"",SUMIFS(tblDaily[Deaths],tblDaily[EntryDate],DATE(2026,8,8),tblDaily[WardCode],"MAE")),"")</f>
        <v/>
      </c>
      <c r="E287" s="12">
        <f>IFERROR(IF(SUMIFS(tblDaily[DeathsUnder24Hrs],tblDaily[EntryDate],DATE(2026,8,8),tblDaily[WardCode],"MAE")=0,"",SUMIFS(tblDaily[DeathsUnder24Hrs],tblDaily[EntryDate],DATE(2026,8,8),tblDaily[WardCode],"MAE")),"")</f>
        <v/>
      </c>
      <c r="F287" s="12">
        <f>IFERROR(IF(SUMIFS(tblDaily[TransfersIn],tblDaily[EntryDate],DATE(2026,8,8),tblDaily[WardCode],"MAE")=0,"",SUMIFS(tblDaily[TransfersIn],tblDaily[EntryDate],DATE(2026,8,8),tblDaily[WardCode],"MAE")),"")</f>
        <v/>
      </c>
      <c r="G287" s="12">
        <f>IFERROR(IF(SUMIFS(tblDaily[TransfersOut],tblDaily[EntryDate],DATE(2026,8,8),tblDaily[WardCode],"MAE")=0,"",SUMIFS(tblDaily[TransfersOut],tblDaily[EntryDate],DATE(2026,8,8),tblDaily[WardCode],"MAE")),"")</f>
        <v/>
      </c>
      <c r="H287" s="12">
        <f>IFERROR(IF(SUMIFS(tblDaily[Remaining],tblDaily[EntryDate],DATE(2026,8,8),tblDaily[WardCode],"MAE")=0,"",SUMIFS(tblDaily[Remaining],tblDaily[EntryDate],DATE(2026,8,8),tblDaily[WardCode],"MAE")),"")</f>
        <v/>
      </c>
    </row>
    <row r="288">
      <c r="A288" s="12" t="n">
        <v>9</v>
      </c>
      <c r="B288" s="12">
        <f>IFERROR(IF(SUMIFS(tblDaily[Admissions],tblDaily[EntryDate],DATE(2026,8,9),tblDaily[WardCode],"MAE")=0,"",SUMIFS(tblDaily[Admissions],tblDaily[EntryDate],DATE(2026,8,9),tblDaily[WardCode],"MAE")),"")</f>
        <v/>
      </c>
      <c r="C288" s="12">
        <f>IFERROR(IF(SUMIFS(tblDaily[Discharges],tblDaily[EntryDate],DATE(2026,8,9),tblDaily[WardCode],"MAE")=0,"",SUMIFS(tblDaily[Discharges],tblDaily[EntryDate],DATE(2026,8,9),tblDaily[WardCode],"MAE")),"")</f>
        <v/>
      </c>
      <c r="D288" s="12">
        <f>IFERROR(IF(SUMIFS(tblDaily[Deaths],tblDaily[EntryDate],DATE(2026,8,9),tblDaily[WardCode],"MAE")=0,"",SUMIFS(tblDaily[Deaths],tblDaily[EntryDate],DATE(2026,8,9),tblDaily[WardCode],"MAE")),"")</f>
        <v/>
      </c>
      <c r="E288" s="12">
        <f>IFERROR(IF(SUMIFS(tblDaily[DeathsUnder24Hrs],tblDaily[EntryDate],DATE(2026,8,9),tblDaily[WardCode],"MAE")=0,"",SUMIFS(tblDaily[DeathsUnder24Hrs],tblDaily[EntryDate],DATE(2026,8,9),tblDaily[WardCode],"MAE")),"")</f>
        <v/>
      </c>
      <c r="F288" s="12">
        <f>IFERROR(IF(SUMIFS(tblDaily[TransfersIn],tblDaily[EntryDate],DATE(2026,8,9),tblDaily[WardCode],"MAE")=0,"",SUMIFS(tblDaily[TransfersIn],tblDaily[EntryDate],DATE(2026,8,9),tblDaily[WardCode],"MAE")),"")</f>
        <v/>
      </c>
      <c r="G288" s="12">
        <f>IFERROR(IF(SUMIFS(tblDaily[TransfersOut],tblDaily[EntryDate],DATE(2026,8,9),tblDaily[WardCode],"MAE")=0,"",SUMIFS(tblDaily[TransfersOut],tblDaily[EntryDate],DATE(2026,8,9),tblDaily[WardCode],"MAE")),"")</f>
        <v/>
      </c>
      <c r="H288" s="12">
        <f>IFERROR(IF(SUMIFS(tblDaily[Remaining],tblDaily[EntryDate],DATE(2026,8,9),tblDaily[WardCode],"MAE")=0,"",SUMIFS(tblDaily[Remaining],tblDaily[EntryDate],DATE(2026,8,9),tblDaily[WardCode],"MAE")),"")</f>
        <v/>
      </c>
    </row>
    <row r="289">
      <c r="A289" s="12" t="n">
        <v>10</v>
      </c>
      <c r="B289" s="12">
        <f>IFERROR(IF(SUMIFS(tblDaily[Admissions],tblDaily[EntryDate],DATE(2026,8,10),tblDaily[WardCode],"MAE")=0,"",SUMIFS(tblDaily[Admissions],tblDaily[EntryDate],DATE(2026,8,10),tblDaily[WardCode],"MAE")),"")</f>
        <v/>
      </c>
      <c r="C289" s="12">
        <f>IFERROR(IF(SUMIFS(tblDaily[Discharges],tblDaily[EntryDate],DATE(2026,8,10),tblDaily[WardCode],"MAE")=0,"",SUMIFS(tblDaily[Discharges],tblDaily[EntryDate],DATE(2026,8,10),tblDaily[WardCode],"MAE")),"")</f>
        <v/>
      </c>
      <c r="D289" s="12">
        <f>IFERROR(IF(SUMIFS(tblDaily[Deaths],tblDaily[EntryDate],DATE(2026,8,10),tblDaily[WardCode],"MAE")=0,"",SUMIFS(tblDaily[Deaths],tblDaily[EntryDate],DATE(2026,8,10),tblDaily[WardCode],"MAE")),"")</f>
        <v/>
      </c>
      <c r="E289" s="12">
        <f>IFERROR(IF(SUMIFS(tblDaily[DeathsUnder24Hrs],tblDaily[EntryDate],DATE(2026,8,10),tblDaily[WardCode],"MAE")=0,"",SUMIFS(tblDaily[DeathsUnder24Hrs],tblDaily[EntryDate],DATE(2026,8,10),tblDaily[WardCode],"MAE")),"")</f>
        <v/>
      </c>
      <c r="F289" s="12">
        <f>IFERROR(IF(SUMIFS(tblDaily[TransfersIn],tblDaily[EntryDate],DATE(2026,8,10),tblDaily[WardCode],"MAE")=0,"",SUMIFS(tblDaily[TransfersIn],tblDaily[EntryDate],DATE(2026,8,10),tblDaily[WardCode],"MAE")),"")</f>
        <v/>
      </c>
      <c r="G289" s="12">
        <f>IFERROR(IF(SUMIFS(tblDaily[TransfersOut],tblDaily[EntryDate],DATE(2026,8,10),tblDaily[WardCode],"MAE")=0,"",SUMIFS(tblDaily[TransfersOut],tblDaily[EntryDate],DATE(2026,8,10),tblDaily[WardCode],"MAE")),"")</f>
        <v/>
      </c>
      <c r="H289" s="12">
        <f>IFERROR(IF(SUMIFS(tblDaily[Remaining],tblDaily[EntryDate],DATE(2026,8,10),tblDaily[WardCode],"MAE")=0,"",SUMIFS(tblDaily[Remaining],tblDaily[EntryDate],DATE(2026,8,10),tblDaily[WardCode],"MAE")),"")</f>
        <v/>
      </c>
    </row>
    <row r="290">
      <c r="A290" s="12" t="n">
        <v>11</v>
      </c>
      <c r="B290" s="12">
        <f>IFERROR(IF(SUMIFS(tblDaily[Admissions],tblDaily[EntryDate],DATE(2026,8,11),tblDaily[WardCode],"MAE")=0,"",SUMIFS(tblDaily[Admissions],tblDaily[EntryDate],DATE(2026,8,11),tblDaily[WardCode],"MAE")),"")</f>
        <v/>
      </c>
      <c r="C290" s="12">
        <f>IFERROR(IF(SUMIFS(tblDaily[Discharges],tblDaily[EntryDate],DATE(2026,8,11),tblDaily[WardCode],"MAE")=0,"",SUMIFS(tblDaily[Discharges],tblDaily[EntryDate],DATE(2026,8,11),tblDaily[WardCode],"MAE")),"")</f>
        <v/>
      </c>
      <c r="D290" s="12">
        <f>IFERROR(IF(SUMIFS(tblDaily[Deaths],tblDaily[EntryDate],DATE(2026,8,11),tblDaily[WardCode],"MAE")=0,"",SUMIFS(tblDaily[Deaths],tblDaily[EntryDate],DATE(2026,8,11),tblDaily[WardCode],"MAE")),"")</f>
        <v/>
      </c>
      <c r="E290" s="12">
        <f>IFERROR(IF(SUMIFS(tblDaily[DeathsUnder24Hrs],tblDaily[EntryDate],DATE(2026,8,11),tblDaily[WardCode],"MAE")=0,"",SUMIFS(tblDaily[DeathsUnder24Hrs],tblDaily[EntryDate],DATE(2026,8,11),tblDaily[WardCode],"MAE")),"")</f>
        <v/>
      </c>
      <c r="F290" s="12">
        <f>IFERROR(IF(SUMIFS(tblDaily[TransfersIn],tblDaily[EntryDate],DATE(2026,8,11),tblDaily[WardCode],"MAE")=0,"",SUMIFS(tblDaily[TransfersIn],tblDaily[EntryDate],DATE(2026,8,11),tblDaily[WardCode],"MAE")),"")</f>
        <v/>
      </c>
      <c r="G290" s="12">
        <f>IFERROR(IF(SUMIFS(tblDaily[TransfersOut],tblDaily[EntryDate],DATE(2026,8,11),tblDaily[WardCode],"MAE")=0,"",SUMIFS(tblDaily[TransfersOut],tblDaily[EntryDate],DATE(2026,8,11),tblDaily[WardCode],"MAE")),"")</f>
        <v/>
      </c>
      <c r="H290" s="12">
        <f>IFERROR(IF(SUMIFS(tblDaily[Remaining],tblDaily[EntryDate],DATE(2026,8,11),tblDaily[WardCode],"MAE")=0,"",SUMIFS(tblDaily[Remaining],tblDaily[EntryDate],DATE(2026,8,11),tblDaily[WardCode],"MAE")),"")</f>
        <v/>
      </c>
    </row>
    <row r="291">
      <c r="A291" s="12" t="n">
        <v>12</v>
      </c>
      <c r="B291" s="12">
        <f>IFERROR(IF(SUMIFS(tblDaily[Admissions],tblDaily[EntryDate],DATE(2026,8,12),tblDaily[WardCode],"MAE")=0,"",SUMIFS(tblDaily[Admissions],tblDaily[EntryDate],DATE(2026,8,12),tblDaily[WardCode],"MAE")),"")</f>
        <v/>
      </c>
      <c r="C291" s="12">
        <f>IFERROR(IF(SUMIFS(tblDaily[Discharges],tblDaily[EntryDate],DATE(2026,8,12),tblDaily[WardCode],"MAE")=0,"",SUMIFS(tblDaily[Discharges],tblDaily[EntryDate],DATE(2026,8,12),tblDaily[WardCode],"MAE")),"")</f>
        <v/>
      </c>
      <c r="D291" s="12">
        <f>IFERROR(IF(SUMIFS(tblDaily[Deaths],tblDaily[EntryDate],DATE(2026,8,12),tblDaily[WardCode],"MAE")=0,"",SUMIFS(tblDaily[Deaths],tblDaily[EntryDate],DATE(2026,8,12),tblDaily[WardCode],"MAE")),"")</f>
        <v/>
      </c>
      <c r="E291" s="12">
        <f>IFERROR(IF(SUMIFS(tblDaily[DeathsUnder24Hrs],tblDaily[EntryDate],DATE(2026,8,12),tblDaily[WardCode],"MAE")=0,"",SUMIFS(tblDaily[DeathsUnder24Hrs],tblDaily[EntryDate],DATE(2026,8,12),tblDaily[WardCode],"MAE")),"")</f>
        <v/>
      </c>
      <c r="F291" s="12">
        <f>IFERROR(IF(SUMIFS(tblDaily[TransfersIn],tblDaily[EntryDate],DATE(2026,8,12),tblDaily[WardCode],"MAE")=0,"",SUMIFS(tblDaily[TransfersIn],tblDaily[EntryDate],DATE(2026,8,12),tblDaily[WardCode],"MAE")),"")</f>
        <v/>
      </c>
      <c r="G291" s="12">
        <f>IFERROR(IF(SUMIFS(tblDaily[TransfersOut],tblDaily[EntryDate],DATE(2026,8,12),tblDaily[WardCode],"MAE")=0,"",SUMIFS(tblDaily[TransfersOut],tblDaily[EntryDate],DATE(2026,8,12),tblDaily[WardCode],"MAE")),"")</f>
        <v/>
      </c>
      <c r="H291" s="12">
        <f>IFERROR(IF(SUMIFS(tblDaily[Remaining],tblDaily[EntryDate],DATE(2026,8,12),tblDaily[WardCode],"MAE")=0,"",SUMIFS(tblDaily[Remaining],tblDaily[EntryDate],DATE(2026,8,12),tblDaily[WardCode],"MAE")),"")</f>
        <v/>
      </c>
    </row>
    <row r="292">
      <c r="A292" s="12" t="n">
        <v>13</v>
      </c>
      <c r="B292" s="12">
        <f>IFERROR(IF(SUMIFS(tblDaily[Admissions],tblDaily[EntryDate],DATE(2026,8,13),tblDaily[WardCode],"MAE")=0,"",SUMIFS(tblDaily[Admissions],tblDaily[EntryDate],DATE(2026,8,13),tblDaily[WardCode],"MAE")),"")</f>
        <v/>
      </c>
      <c r="C292" s="12">
        <f>IFERROR(IF(SUMIFS(tblDaily[Discharges],tblDaily[EntryDate],DATE(2026,8,13),tblDaily[WardCode],"MAE")=0,"",SUMIFS(tblDaily[Discharges],tblDaily[EntryDate],DATE(2026,8,13),tblDaily[WardCode],"MAE")),"")</f>
        <v/>
      </c>
      <c r="D292" s="12">
        <f>IFERROR(IF(SUMIFS(tblDaily[Deaths],tblDaily[EntryDate],DATE(2026,8,13),tblDaily[WardCode],"MAE")=0,"",SUMIFS(tblDaily[Deaths],tblDaily[EntryDate],DATE(2026,8,13),tblDaily[WardCode],"MAE")),"")</f>
        <v/>
      </c>
      <c r="E292" s="12">
        <f>IFERROR(IF(SUMIFS(tblDaily[DeathsUnder24Hrs],tblDaily[EntryDate],DATE(2026,8,13),tblDaily[WardCode],"MAE")=0,"",SUMIFS(tblDaily[DeathsUnder24Hrs],tblDaily[EntryDate],DATE(2026,8,13),tblDaily[WardCode],"MAE")),"")</f>
        <v/>
      </c>
      <c r="F292" s="12">
        <f>IFERROR(IF(SUMIFS(tblDaily[TransfersIn],tblDaily[EntryDate],DATE(2026,8,13),tblDaily[WardCode],"MAE")=0,"",SUMIFS(tblDaily[TransfersIn],tblDaily[EntryDate],DATE(2026,8,13),tblDaily[WardCode],"MAE")),"")</f>
        <v/>
      </c>
      <c r="G292" s="12">
        <f>IFERROR(IF(SUMIFS(tblDaily[TransfersOut],tblDaily[EntryDate],DATE(2026,8,13),tblDaily[WardCode],"MAE")=0,"",SUMIFS(tblDaily[TransfersOut],tblDaily[EntryDate],DATE(2026,8,13),tblDaily[WardCode],"MAE")),"")</f>
        <v/>
      </c>
      <c r="H292" s="12">
        <f>IFERROR(IF(SUMIFS(tblDaily[Remaining],tblDaily[EntryDate],DATE(2026,8,13),tblDaily[WardCode],"MAE")=0,"",SUMIFS(tblDaily[Remaining],tblDaily[EntryDate],DATE(2026,8,13),tblDaily[WardCode],"MAE")),"")</f>
        <v/>
      </c>
    </row>
    <row r="293">
      <c r="A293" s="12" t="n">
        <v>14</v>
      </c>
      <c r="B293" s="12">
        <f>IFERROR(IF(SUMIFS(tblDaily[Admissions],tblDaily[EntryDate],DATE(2026,8,14),tblDaily[WardCode],"MAE")=0,"",SUMIFS(tblDaily[Admissions],tblDaily[EntryDate],DATE(2026,8,14),tblDaily[WardCode],"MAE")),"")</f>
        <v/>
      </c>
      <c r="C293" s="12">
        <f>IFERROR(IF(SUMIFS(tblDaily[Discharges],tblDaily[EntryDate],DATE(2026,8,14),tblDaily[WardCode],"MAE")=0,"",SUMIFS(tblDaily[Discharges],tblDaily[EntryDate],DATE(2026,8,14),tblDaily[WardCode],"MAE")),"")</f>
        <v/>
      </c>
      <c r="D293" s="12">
        <f>IFERROR(IF(SUMIFS(tblDaily[Deaths],tblDaily[EntryDate],DATE(2026,8,14),tblDaily[WardCode],"MAE")=0,"",SUMIFS(tblDaily[Deaths],tblDaily[EntryDate],DATE(2026,8,14),tblDaily[WardCode],"MAE")),"")</f>
        <v/>
      </c>
      <c r="E293" s="12">
        <f>IFERROR(IF(SUMIFS(tblDaily[DeathsUnder24Hrs],tblDaily[EntryDate],DATE(2026,8,14),tblDaily[WardCode],"MAE")=0,"",SUMIFS(tblDaily[DeathsUnder24Hrs],tblDaily[EntryDate],DATE(2026,8,14),tblDaily[WardCode],"MAE")),"")</f>
        <v/>
      </c>
      <c r="F293" s="12">
        <f>IFERROR(IF(SUMIFS(tblDaily[TransfersIn],tblDaily[EntryDate],DATE(2026,8,14),tblDaily[WardCode],"MAE")=0,"",SUMIFS(tblDaily[TransfersIn],tblDaily[EntryDate],DATE(2026,8,14),tblDaily[WardCode],"MAE")),"")</f>
        <v/>
      </c>
      <c r="G293" s="12">
        <f>IFERROR(IF(SUMIFS(tblDaily[TransfersOut],tblDaily[EntryDate],DATE(2026,8,14),tblDaily[WardCode],"MAE")=0,"",SUMIFS(tblDaily[TransfersOut],tblDaily[EntryDate],DATE(2026,8,14),tblDaily[WardCode],"MAE")),"")</f>
        <v/>
      </c>
      <c r="H293" s="12">
        <f>IFERROR(IF(SUMIFS(tblDaily[Remaining],tblDaily[EntryDate],DATE(2026,8,14),tblDaily[WardCode],"MAE")=0,"",SUMIFS(tblDaily[Remaining],tblDaily[EntryDate],DATE(2026,8,14),tblDaily[WardCode],"MAE")),"")</f>
        <v/>
      </c>
    </row>
    <row r="294">
      <c r="A294" s="12" t="n">
        <v>15</v>
      </c>
      <c r="B294" s="12">
        <f>IFERROR(IF(SUMIFS(tblDaily[Admissions],tblDaily[EntryDate],DATE(2026,8,15),tblDaily[WardCode],"MAE")=0,"",SUMIFS(tblDaily[Admissions],tblDaily[EntryDate],DATE(2026,8,15),tblDaily[WardCode],"MAE")),"")</f>
        <v/>
      </c>
      <c r="C294" s="12">
        <f>IFERROR(IF(SUMIFS(tblDaily[Discharges],tblDaily[EntryDate],DATE(2026,8,15),tblDaily[WardCode],"MAE")=0,"",SUMIFS(tblDaily[Discharges],tblDaily[EntryDate],DATE(2026,8,15),tblDaily[WardCode],"MAE")),"")</f>
        <v/>
      </c>
      <c r="D294" s="12">
        <f>IFERROR(IF(SUMIFS(tblDaily[Deaths],tblDaily[EntryDate],DATE(2026,8,15),tblDaily[WardCode],"MAE")=0,"",SUMIFS(tblDaily[Deaths],tblDaily[EntryDate],DATE(2026,8,15),tblDaily[WardCode],"MAE")),"")</f>
        <v/>
      </c>
      <c r="E294" s="12">
        <f>IFERROR(IF(SUMIFS(tblDaily[DeathsUnder24Hrs],tblDaily[EntryDate],DATE(2026,8,15),tblDaily[WardCode],"MAE")=0,"",SUMIFS(tblDaily[DeathsUnder24Hrs],tblDaily[EntryDate],DATE(2026,8,15),tblDaily[WardCode],"MAE")),"")</f>
        <v/>
      </c>
      <c r="F294" s="12">
        <f>IFERROR(IF(SUMIFS(tblDaily[TransfersIn],tblDaily[EntryDate],DATE(2026,8,15),tblDaily[WardCode],"MAE")=0,"",SUMIFS(tblDaily[TransfersIn],tblDaily[EntryDate],DATE(2026,8,15),tblDaily[WardCode],"MAE")),"")</f>
        <v/>
      </c>
      <c r="G294" s="12">
        <f>IFERROR(IF(SUMIFS(tblDaily[TransfersOut],tblDaily[EntryDate],DATE(2026,8,15),tblDaily[WardCode],"MAE")=0,"",SUMIFS(tblDaily[TransfersOut],tblDaily[EntryDate],DATE(2026,8,15),tblDaily[WardCode],"MAE")),"")</f>
        <v/>
      </c>
      <c r="H294" s="12">
        <f>IFERROR(IF(SUMIFS(tblDaily[Remaining],tblDaily[EntryDate],DATE(2026,8,15),tblDaily[WardCode],"MAE")=0,"",SUMIFS(tblDaily[Remaining],tblDaily[EntryDate],DATE(2026,8,15),tblDaily[WardCode],"MAE")),"")</f>
        <v/>
      </c>
    </row>
    <row r="295">
      <c r="A295" s="12" t="n">
        <v>16</v>
      </c>
      <c r="B295" s="12">
        <f>IFERROR(IF(SUMIFS(tblDaily[Admissions],tblDaily[EntryDate],DATE(2026,8,16),tblDaily[WardCode],"MAE")=0,"",SUMIFS(tblDaily[Admissions],tblDaily[EntryDate],DATE(2026,8,16),tblDaily[WardCode],"MAE")),"")</f>
        <v/>
      </c>
      <c r="C295" s="12">
        <f>IFERROR(IF(SUMIFS(tblDaily[Discharges],tblDaily[EntryDate],DATE(2026,8,16),tblDaily[WardCode],"MAE")=0,"",SUMIFS(tblDaily[Discharges],tblDaily[EntryDate],DATE(2026,8,16),tblDaily[WardCode],"MAE")),"")</f>
        <v/>
      </c>
      <c r="D295" s="12">
        <f>IFERROR(IF(SUMIFS(tblDaily[Deaths],tblDaily[EntryDate],DATE(2026,8,16),tblDaily[WardCode],"MAE")=0,"",SUMIFS(tblDaily[Deaths],tblDaily[EntryDate],DATE(2026,8,16),tblDaily[WardCode],"MAE")),"")</f>
        <v/>
      </c>
      <c r="E295" s="12">
        <f>IFERROR(IF(SUMIFS(tblDaily[DeathsUnder24Hrs],tblDaily[EntryDate],DATE(2026,8,16),tblDaily[WardCode],"MAE")=0,"",SUMIFS(tblDaily[DeathsUnder24Hrs],tblDaily[EntryDate],DATE(2026,8,16),tblDaily[WardCode],"MAE")),"")</f>
        <v/>
      </c>
      <c r="F295" s="12">
        <f>IFERROR(IF(SUMIFS(tblDaily[TransfersIn],tblDaily[EntryDate],DATE(2026,8,16),tblDaily[WardCode],"MAE")=0,"",SUMIFS(tblDaily[TransfersIn],tblDaily[EntryDate],DATE(2026,8,16),tblDaily[WardCode],"MAE")),"")</f>
        <v/>
      </c>
      <c r="G295" s="12">
        <f>IFERROR(IF(SUMIFS(tblDaily[TransfersOut],tblDaily[EntryDate],DATE(2026,8,16),tblDaily[WardCode],"MAE")=0,"",SUMIFS(tblDaily[TransfersOut],tblDaily[EntryDate],DATE(2026,8,16),tblDaily[WardCode],"MAE")),"")</f>
        <v/>
      </c>
      <c r="H295" s="12">
        <f>IFERROR(IF(SUMIFS(tblDaily[Remaining],tblDaily[EntryDate],DATE(2026,8,16),tblDaily[WardCode],"MAE")=0,"",SUMIFS(tblDaily[Remaining],tblDaily[EntryDate],DATE(2026,8,16),tblDaily[WardCode],"MAE")),"")</f>
        <v/>
      </c>
    </row>
    <row r="296">
      <c r="A296" s="12" t="n">
        <v>17</v>
      </c>
      <c r="B296" s="12">
        <f>IFERROR(IF(SUMIFS(tblDaily[Admissions],tblDaily[EntryDate],DATE(2026,8,17),tblDaily[WardCode],"MAE")=0,"",SUMIFS(tblDaily[Admissions],tblDaily[EntryDate],DATE(2026,8,17),tblDaily[WardCode],"MAE")),"")</f>
        <v/>
      </c>
      <c r="C296" s="12">
        <f>IFERROR(IF(SUMIFS(tblDaily[Discharges],tblDaily[EntryDate],DATE(2026,8,17),tblDaily[WardCode],"MAE")=0,"",SUMIFS(tblDaily[Discharges],tblDaily[EntryDate],DATE(2026,8,17),tblDaily[WardCode],"MAE")),"")</f>
        <v/>
      </c>
      <c r="D296" s="12">
        <f>IFERROR(IF(SUMIFS(tblDaily[Deaths],tblDaily[EntryDate],DATE(2026,8,17),tblDaily[WardCode],"MAE")=0,"",SUMIFS(tblDaily[Deaths],tblDaily[EntryDate],DATE(2026,8,17),tblDaily[WardCode],"MAE")),"")</f>
        <v/>
      </c>
      <c r="E296" s="12">
        <f>IFERROR(IF(SUMIFS(tblDaily[DeathsUnder24Hrs],tblDaily[EntryDate],DATE(2026,8,17),tblDaily[WardCode],"MAE")=0,"",SUMIFS(tblDaily[DeathsUnder24Hrs],tblDaily[EntryDate],DATE(2026,8,17),tblDaily[WardCode],"MAE")),"")</f>
        <v/>
      </c>
      <c r="F296" s="12">
        <f>IFERROR(IF(SUMIFS(tblDaily[TransfersIn],tblDaily[EntryDate],DATE(2026,8,17),tblDaily[WardCode],"MAE")=0,"",SUMIFS(tblDaily[TransfersIn],tblDaily[EntryDate],DATE(2026,8,17),tblDaily[WardCode],"MAE")),"")</f>
        <v/>
      </c>
      <c r="G296" s="12">
        <f>IFERROR(IF(SUMIFS(tblDaily[TransfersOut],tblDaily[EntryDate],DATE(2026,8,17),tblDaily[WardCode],"MAE")=0,"",SUMIFS(tblDaily[TransfersOut],tblDaily[EntryDate],DATE(2026,8,17),tblDaily[WardCode],"MAE")),"")</f>
        <v/>
      </c>
      <c r="H296" s="12">
        <f>IFERROR(IF(SUMIFS(tblDaily[Remaining],tblDaily[EntryDate],DATE(2026,8,17),tblDaily[WardCode],"MAE")=0,"",SUMIFS(tblDaily[Remaining],tblDaily[EntryDate],DATE(2026,8,17),tblDaily[WardCode],"MAE")),"")</f>
        <v/>
      </c>
    </row>
    <row r="297">
      <c r="A297" s="12" t="n">
        <v>18</v>
      </c>
      <c r="B297" s="12">
        <f>IFERROR(IF(SUMIFS(tblDaily[Admissions],tblDaily[EntryDate],DATE(2026,8,18),tblDaily[WardCode],"MAE")=0,"",SUMIFS(tblDaily[Admissions],tblDaily[EntryDate],DATE(2026,8,18),tblDaily[WardCode],"MAE")),"")</f>
        <v/>
      </c>
      <c r="C297" s="12">
        <f>IFERROR(IF(SUMIFS(tblDaily[Discharges],tblDaily[EntryDate],DATE(2026,8,18),tblDaily[WardCode],"MAE")=0,"",SUMIFS(tblDaily[Discharges],tblDaily[EntryDate],DATE(2026,8,18),tblDaily[WardCode],"MAE")),"")</f>
        <v/>
      </c>
      <c r="D297" s="12">
        <f>IFERROR(IF(SUMIFS(tblDaily[Deaths],tblDaily[EntryDate],DATE(2026,8,18),tblDaily[WardCode],"MAE")=0,"",SUMIFS(tblDaily[Deaths],tblDaily[EntryDate],DATE(2026,8,18),tblDaily[WardCode],"MAE")),"")</f>
        <v/>
      </c>
      <c r="E297" s="12">
        <f>IFERROR(IF(SUMIFS(tblDaily[DeathsUnder24Hrs],tblDaily[EntryDate],DATE(2026,8,18),tblDaily[WardCode],"MAE")=0,"",SUMIFS(tblDaily[DeathsUnder24Hrs],tblDaily[EntryDate],DATE(2026,8,18),tblDaily[WardCode],"MAE")),"")</f>
        <v/>
      </c>
      <c r="F297" s="12">
        <f>IFERROR(IF(SUMIFS(tblDaily[TransfersIn],tblDaily[EntryDate],DATE(2026,8,18),tblDaily[WardCode],"MAE")=0,"",SUMIFS(tblDaily[TransfersIn],tblDaily[EntryDate],DATE(2026,8,18),tblDaily[WardCode],"MAE")),"")</f>
        <v/>
      </c>
      <c r="G297" s="12">
        <f>IFERROR(IF(SUMIFS(tblDaily[TransfersOut],tblDaily[EntryDate],DATE(2026,8,18),tblDaily[WardCode],"MAE")=0,"",SUMIFS(tblDaily[TransfersOut],tblDaily[EntryDate],DATE(2026,8,18),tblDaily[WardCode],"MAE")),"")</f>
        <v/>
      </c>
      <c r="H297" s="12">
        <f>IFERROR(IF(SUMIFS(tblDaily[Remaining],tblDaily[EntryDate],DATE(2026,8,18),tblDaily[WardCode],"MAE")=0,"",SUMIFS(tblDaily[Remaining],tblDaily[EntryDate],DATE(2026,8,18),tblDaily[WardCode],"MAE")),"")</f>
        <v/>
      </c>
    </row>
    <row r="298">
      <c r="A298" s="12" t="n">
        <v>19</v>
      </c>
      <c r="B298" s="12">
        <f>IFERROR(IF(SUMIFS(tblDaily[Admissions],tblDaily[EntryDate],DATE(2026,8,19),tblDaily[WardCode],"MAE")=0,"",SUMIFS(tblDaily[Admissions],tblDaily[EntryDate],DATE(2026,8,19),tblDaily[WardCode],"MAE")),"")</f>
        <v/>
      </c>
      <c r="C298" s="12">
        <f>IFERROR(IF(SUMIFS(tblDaily[Discharges],tblDaily[EntryDate],DATE(2026,8,19),tblDaily[WardCode],"MAE")=0,"",SUMIFS(tblDaily[Discharges],tblDaily[EntryDate],DATE(2026,8,19),tblDaily[WardCode],"MAE")),"")</f>
        <v/>
      </c>
      <c r="D298" s="12">
        <f>IFERROR(IF(SUMIFS(tblDaily[Deaths],tblDaily[EntryDate],DATE(2026,8,19),tblDaily[WardCode],"MAE")=0,"",SUMIFS(tblDaily[Deaths],tblDaily[EntryDate],DATE(2026,8,19),tblDaily[WardCode],"MAE")),"")</f>
        <v/>
      </c>
      <c r="E298" s="12">
        <f>IFERROR(IF(SUMIFS(tblDaily[DeathsUnder24Hrs],tblDaily[EntryDate],DATE(2026,8,19),tblDaily[WardCode],"MAE")=0,"",SUMIFS(tblDaily[DeathsUnder24Hrs],tblDaily[EntryDate],DATE(2026,8,19),tblDaily[WardCode],"MAE")),"")</f>
        <v/>
      </c>
      <c r="F298" s="12">
        <f>IFERROR(IF(SUMIFS(tblDaily[TransfersIn],tblDaily[EntryDate],DATE(2026,8,19),tblDaily[WardCode],"MAE")=0,"",SUMIFS(tblDaily[TransfersIn],tblDaily[EntryDate],DATE(2026,8,19),tblDaily[WardCode],"MAE")),"")</f>
        <v/>
      </c>
      <c r="G298" s="12">
        <f>IFERROR(IF(SUMIFS(tblDaily[TransfersOut],tblDaily[EntryDate],DATE(2026,8,19),tblDaily[WardCode],"MAE")=0,"",SUMIFS(tblDaily[TransfersOut],tblDaily[EntryDate],DATE(2026,8,19),tblDaily[WardCode],"MAE")),"")</f>
        <v/>
      </c>
      <c r="H298" s="12">
        <f>IFERROR(IF(SUMIFS(tblDaily[Remaining],tblDaily[EntryDate],DATE(2026,8,19),tblDaily[WardCode],"MAE")=0,"",SUMIFS(tblDaily[Remaining],tblDaily[EntryDate],DATE(2026,8,19),tblDaily[WardCode],"MAE")),"")</f>
        <v/>
      </c>
    </row>
    <row r="299">
      <c r="A299" s="12" t="n">
        <v>20</v>
      </c>
      <c r="B299" s="12">
        <f>IFERROR(IF(SUMIFS(tblDaily[Admissions],tblDaily[EntryDate],DATE(2026,8,20),tblDaily[WardCode],"MAE")=0,"",SUMIFS(tblDaily[Admissions],tblDaily[EntryDate],DATE(2026,8,20),tblDaily[WardCode],"MAE")),"")</f>
        <v/>
      </c>
      <c r="C299" s="12">
        <f>IFERROR(IF(SUMIFS(tblDaily[Discharges],tblDaily[EntryDate],DATE(2026,8,20),tblDaily[WardCode],"MAE")=0,"",SUMIFS(tblDaily[Discharges],tblDaily[EntryDate],DATE(2026,8,20),tblDaily[WardCode],"MAE")),"")</f>
        <v/>
      </c>
      <c r="D299" s="12">
        <f>IFERROR(IF(SUMIFS(tblDaily[Deaths],tblDaily[EntryDate],DATE(2026,8,20),tblDaily[WardCode],"MAE")=0,"",SUMIFS(tblDaily[Deaths],tblDaily[EntryDate],DATE(2026,8,20),tblDaily[WardCode],"MAE")),"")</f>
        <v/>
      </c>
      <c r="E299" s="12">
        <f>IFERROR(IF(SUMIFS(tblDaily[DeathsUnder24Hrs],tblDaily[EntryDate],DATE(2026,8,20),tblDaily[WardCode],"MAE")=0,"",SUMIFS(tblDaily[DeathsUnder24Hrs],tblDaily[EntryDate],DATE(2026,8,20),tblDaily[WardCode],"MAE")),"")</f>
        <v/>
      </c>
      <c r="F299" s="12">
        <f>IFERROR(IF(SUMIFS(tblDaily[TransfersIn],tblDaily[EntryDate],DATE(2026,8,20),tblDaily[WardCode],"MAE")=0,"",SUMIFS(tblDaily[TransfersIn],tblDaily[EntryDate],DATE(2026,8,20),tblDaily[WardCode],"MAE")),"")</f>
        <v/>
      </c>
      <c r="G299" s="12">
        <f>IFERROR(IF(SUMIFS(tblDaily[TransfersOut],tblDaily[EntryDate],DATE(2026,8,20),tblDaily[WardCode],"MAE")=0,"",SUMIFS(tblDaily[TransfersOut],tblDaily[EntryDate],DATE(2026,8,20),tblDaily[WardCode],"MAE")),"")</f>
        <v/>
      </c>
      <c r="H299" s="12">
        <f>IFERROR(IF(SUMIFS(tblDaily[Remaining],tblDaily[EntryDate],DATE(2026,8,20),tblDaily[WardCode],"MAE")=0,"",SUMIFS(tblDaily[Remaining],tblDaily[EntryDate],DATE(2026,8,20),tblDaily[WardCode],"MAE")),"")</f>
        <v/>
      </c>
    </row>
    <row r="300">
      <c r="A300" s="12" t="n">
        <v>21</v>
      </c>
      <c r="B300" s="12">
        <f>IFERROR(IF(SUMIFS(tblDaily[Admissions],tblDaily[EntryDate],DATE(2026,8,21),tblDaily[WardCode],"MAE")=0,"",SUMIFS(tblDaily[Admissions],tblDaily[EntryDate],DATE(2026,8,21),tblDaily[WardCode],"MAE")),"")</f>
        <v/>
      </c>
      <c r="C300" s="12">
        <f>IFERROR(IF(SUMIFS(tblDaily[Discharges],tblDaily[EntryDate],DATE(2026,8,21),tblDaily[WardCode],"MAE")=0,"",SUMIFS(tblDaily[Discharges],tblDaily[EntryDate],DATE(2026,8,21),tblDaily[WardCode],"MAE")),"")</f>
        <v/>
      </c>
      <c r="D300" s="12">
        <f>IFERROR(IF(SUMIFS(tblDaily[Deaths],tblDaily[EntryDate],DATE(2026,8,21),tblDaily[WardCode],"MAE")=0,"",SUMIFS(tblDaily[Deaths],tblDaily[EntryDate],DATE(2026,8,21),tblDaily[WardCode],"MAE")),"")</f>
        <v/>
      </c>
      <c r="E300" s="12">
        <f>IFERROR(IF(SUMIFS(tblDaily[DeathsUnder24Hrs],tblDaily[EntryDate],DATE(2026,8,21),tblDaily[WardCode],"MAE")=0,"",SUMIFS(tblDaily[DeathsUnder24Hrs],tblDaily[EntryDate],DATE(2026,8,21),tblDaily[WardCode],"MAE")),"")</f>
        <v/>
      </c>
      <c r="F300" s="12">
        <f>IFERROR(IF(SUMIFS(tblDaily[TransfersIn],tblDaily[EntryDate],DATE(2026,8,21),tblDaily[WardCode],"MAE")=0,"",SUMIFS(tblDaily[TransfersIn],tblDaily[EntryDate],DATE(2026,8,21),tblDaily[WardCode],"MAE")),"")</f>
        <v/>
      </c>
      <c r="G300" s="12">
        <f>IFERROR(IF(SUMIFS(tblDaily[TransfersOut],tblDaily[EntryDate],DATE(2026,8,21),tblDaily[WardCode],"MAE")=0,"",SUMIFS(tblDaily[TransfersOut],tblDaily[EntryDate],DATE(2026,8,21),tblDaily[WardCode],"MAE")),"")</f>
        <v/>
      </c>
      <c r="H300" s="12">
        <f>IFERROR(IF(SUMIFS(tblDaily[Remaining],tblDaily[EntryDate],DATE(2026,8,21),tblDaily[WardCode],"MAE")=0,"",SUMIFS(tblDaily[Remaining],tblDaily[EntryDate],DATE(2026,8,21),tblDaily[WardCode],"MAE")),"")</f>
        <v/>
      </c>
    </row>
    <row r="301">
      <c r="A301" s="12" t="n">
        <v>22</v>
      </c>
      <c r="B301" s="12">
        <f>IFERROR(IF(SUMIFS(tblDaily[Admissions],tblDaily[EntryDate],DATE(2026,8,22),tblDaily[WardCode],"MAE")=0,"",SUMIFS(tblDaily[Admissions],tblDaily[EntryDate],DATE(2026,8,22),tblDaily[WardCode],"MAE")),"")</f>
        <v/>
      </c>
      <c r="C301" s="12">
        <f>IFERROR(IF(SUMIFS(tblDaily[Discharges],tblDaily[EntryDate],DATE(2026,8,22),tblDaily[WardCode],"MAE")=0,"",SUMIFS(tblDaily[Discharges],tblDaily[EntryDate],DATE(2026,8,22),tblDaily[WardCode],"MAE")),"")</f>
        <v/>
      </c>
      <c r="D301" s="12">
        <f>IFERROR(IF(SUMIFS(tblDaily[Deaths],tblDaily[EntryDate],DATE(2026,8,22),tblDaily[WardCode],"MAE")=0,"",SUMIFS(tblDaily[Deaths],tblDaily[EntryDate],DATE(2026,8,22),tblDaily[WardCode],"MAE")),"")</f>
        <v/>
      </c>
      <c r="E301" s="12">
        <f>IFERROR(IF(SUMIFS(tblDaily[DeathsUnder24Hrs],tblDaily[EntryDate],DATE(2026,8,22),tblDaily[WardCode],"MAE")=0,"",SUMIFS(tblDaily[DeathsUnder24Hrs],tblDaily[EntryDate],DATE(2026,8,22),tblDaily[WardCode],"MAE")),"")</f>
        <v/>
      </c>
      <c r="F301" s="12">
        <f>IFERROR(IF(SUMIFS(tblDaily[TransfersIn],tblDaily[EntryDate],DATE(2026,8,22),tblDaily[WardCode],"MAE")=0,"",SUMIFS(tblDaily[TransfersIn],tblDaily[EntryDate],DATE(2026,8,22),tblDaily[WardCode],"MAE")),"")</f>
        <v/>
      </c>
      <c r="G301" s="12">
        <f>IFERROR(IF(SUMIFS(tblDaily[TransfersOut],tblDaily[EntryDate],DATE(2026,8,22),tblDaily[WardCode],"MAE")=0,"",SUMIFS(tblDaily[TransfersOut],tblDaily[EntryDate],DATE(2026,8,22),tblDaily[WardCode],"MAE")),"")</f>
        <v/>
      </c>
      <c r="H301" s="12">
        <f>IFERROR(IF(SUMIFS(tblDaily[Remaining],tblDaily[EntryDate],DATE(2026,8,22),tblDaily[WardCode],"MAE")=0,"",SUMIFS(tblDaily[Remaining],tblDaily[EntryDate],DATE(2026,8,22),tblDaily[WardCode],"MAE")),"")</f>
        <v/>
      </c>
    </row>
    <row r="302">
      <c r="A302" s="12" t="n">
        <v>23</v>
      </c>
      <c r="B302" s="12">
        <f>IFERROR(IF(SUMIFS(tblDaily[Admissions],tblDaily[EntryDate],DATE(2026,8,23),tblDaily[WardCode],"MAE")=0,"",SUMIFS(tblDaily[Admissions],tblDaily[EntryDate],DATE(2026,8,23),tblDaily[WardCode],"MAE")),"")</f>
        <v/>
      </c>
      <c r="C302" s="12">
        <f>IFERROR(IF(SUMIFS(tblDaily[Discharges],tblDaily[EntryDate],DATE(2026,8,23),tblDaily[WardCode],"MAE")=0,"",SUMIFS(tblDaily[Discharges],tblDaily[EntryDate],DATE(2026,8,23),tblDaily[WardCode],"MAE")),"")</f>
        <v/>
      </c>
      <c r="D302" s="12">
        <f>IFERROR(IF(SUMIFS(tblDaily[Deaths],tblDaily[EntryDate],DATE(2026,8,23),tblDaily[WardCode],"MAE")=0,"",SUMIFS(tblDaily[Deaths],tblDaily[EntryDate],DATE(2026,8,23),tblDaily[WardCode],"MAE")),"")</f>
        <v/>
      </c>
      <c r="E302" s="12">
        <f>IFERROR(IF(SUMIFS(tblDaily[DeathsUnder24Hrs],tblDaily[EntryDate],DATE(2026,8,23),tblDaily[WardCode],"MAE")=0,"",SUMIFS(tblDaily[DeathsUnder24Hrs],tblDaily[EntryDate],DATE(2026,8,23),tblDaily[WardCode],"MAE")),"")</f>
        <v/>
      </c>
      <c r="F302" s="12">
        <f>IFERROR(IF(SUMIFS(tblDaily[TransfersIn],tblDaily[EntryDate],DATE(2026,8,23),tblDaily[WardCode],"MAE")=0,"",SUMIFS(tblDaily[TransfersIn],tblDaily[EntryDate],DATE(2026,8,23),tblDaily[WardCode],"MAE")),"")</f>
        <v/>
      </c>
      <c r="G302" s="12">
        <f>IFERROR(IF(SUMIFS(tblDaily[TransfersOut],tblDaily[EntryDate],DATE(2026,8,23),tblDaily[WardCode],"MAE")=0,"",SUMIFS(tblDaily[TransfersOut],tblDaily[EntryDate],DATE(2026,8,23),tblDaily[WardCode],"MAE")),"")</f>
        <v/>
      </c>
      <c r="H302" s="12">
        <f>IFERROR(IF(SUMIFS(tblDaily[Remaining],tblDaily[EntryDate],DATE(2026,8,23),tblDaily[WardCode],"MAE")=0,"",SUMIFS(tblDaily[Remaining],tblDaily[EntryDate],DATE(2026,8,23),tblDaily[WardCode],"MAE")),"")</f>
        <v/>
      </c>
    </row>
    <row r="303">
      <c r="A303" s="12" t="n">
        <v>24</v>
      </c>
      <c r="B303" s="12">
        <f>IFERROR(IF(SUMIFS(tblDaily[Admissions],tblDaily[EntryDate],DATE(2026,8,24),tblDaily[WardCode],"MAE")=0,"",SUMIFS(tblDaily[Admissions],tblDaily[EntryDate],DATE(2026,8,24),tblDaily[WardCode],"MAE")),"")</f>
        <v/>
      </c>
      <c r="C303" s="12">
        <f>IFERROR(IF(SUMIFS(tblDaily[Discharges],tblDaily[EntryDate],DATE(2026,8,24),tblDaily[WardCode],"MAE")=0,"",SUMIFS(tblDaily[Discharges],tblDaily[EntryDate],DATE(2026,8,24),tblDaily[WardCode],"MAE")),"")</f>
        <v/>
      </c>
      <c r="D303" s="12">
        <f>IFERROR(IF(SUMIFS(tblDaily[Deaths],tblDaily[EntryDate],DATE(2026,8,24),tblDaily[WardCode],"MAE")=0,"",SUMIFS(tblDaily[Deaths],tblDaily[EntryDate],DATE(2026,8,24),tblDaily[WardCode],"MAE")),"")</f>
        <v/>
      </c>
      <c r="E303" s="12">
        <f>IFERROR(IF(SUMIFS(tblDaily[DeathsUnder24Hrs],tblDaily[EntryDate],DATE(2026,8,24),tblDaily[WardCode],"MAE")=0,"",SUMIFS(tblDaily[DeathsUnder24Hrs],tblDaily[EntryDate],DATE(2026,8,24),tblDaily[WardCode],"MAE")),"")</f>
        <v/>
      </c>
      <c r="F303" s="12">
        <f>IFERROR(IF(SUMIFS(tblDaily[TransfersIn],tblDaily[EntryDate],DATE(2026,8,24),tblDaily[WardCode],"MAE")=0,"",SUMIFS(tblDaily[TransfersIn],tblDaily[EntryDate],DATE(2026,8,24),tblDaily[WardCode],"MAE")),"")</f>
        <v/>
      </c>
      <c r="G303" s="12">
        <f>IFERROR(IF(SUMIFS(tblDaily[TransfersOut],tblDaily[EntryDate],DATE(2026,8,24),tblDaily[WardCode],"MAE")=0,"",SUMIFS(tblDaily[TransfersOut],tblDaily[EntryDate],DATE(2026,8,24),tblDaily[WardCode],"MAE")),"")</f>
        <v/>
      </c>
      <c r="H303" s="12">
        <f>IFERROR(IF(SUMIFS(tblDaily[Remaining],tblDaily[EntryDate],DATE(2026,8,24),tblDaily[WardCode],"MAE")=0,"",SUMIFS(tblDaily[Remaining],tblDaily[EntryDate],DATE(2026,8,24),tblDaily[WardCode],"MAE")),"")</f>
        <v/>
      </c>
    </row>
    <row r="304">
      <c r="A304" s="12" t="n">
        <v>25</v>
      </c>
      <c r="B304" s="12">
        <f>IFERROR(IF(SUMIFS(tblDaily[Admissions],tblDaily[EntryDate],DATE(2026,8,25),tblDaily[WardCode],"MAE")=0,"",SUMIFS(tblDaily[Admissions],tblDaily[EntryDate],DATE(2026,8,25),tblDaily[WardCode],"MAE")),"")</f>
        <v/>
      </c>
      <c r="C304" s="12">
        <f>IFERROR(IF(SUMIFS(tblDaily[Discharges],tblDaily[EntryDate],DATE(2026,8,25),tblDaily[WardCode],"MAE")=0,"",SUMIFS(tblDaily[Discharges],tblDaily[EntryDate],DATE(2026,8,25),tblDaily[WardCode],"MAE")),"")</f>
        <v/>
      </c>
      <c r="D304" s="12">
        <f>IFERROR(IF(SUMIFS(tblDaily[Deaths],tblDaily[EntryDate],DATE(2026,8,25),tblDaily[WardCode],"MAE")=0,"",SUMIFS(tblDaily[Deaths],tblDaily[EntryDate],DATE(2026,8,25),tblDaily[WardCode],"MAE")),"")</f>
        <v/>
      </c>
      <c r="E304" s="12">
        <f>IFERROR(IF(SUMIFS(tblDaily[DeathsUnder24Hrs],tblDaily[EntryDate],DATE(2026,8,25),tblDaily[WardCode],"MAE")=0,"",SUMIFS(tblDaily[DeathsUnder24Hrs],tblDaily[EntryDate],DATE(2026,8,25),tblDaily[WardCode],"MAE")),"")</f>
        <v/>
      </c>
      <c r="F304" s="12">
        <f>IFERROR(IF(SUMIFS(tblDaily[TransfersIn],tblDaily[EntryDate],DATE(2026,8,25),tblDaily[WardCode],"MAE")=0,"",SUMIFS(tblDaily[TransfersIn],tblDaily[EntryDate],DATE(2026,8,25),tblDaily[WardCode],"MAE")),"")</f>
        <v/>
      </c>
      <c r="G304" s="12">
        <f>IFERROR(IF(SUMIFS(tblDaily[TransfersOut],tblDaily[EntryDate],DATE(2026,8,25),tblDaily[WardCode],"MAE")=0,"",SUMIFS(tblDaily[TransfersOut],tblDaily[EntryDate],DATE(2026,8,25),tblDaily[WardCode],"MAE")),"")</f>
        <v/>
      </c>
      <c r="H304" s="12">
        <f>IFERROR(IF(SUMIFS(tblDaily[Remaining],tblDaily[EntryDate],DATE(2026,8,25),tblDaily[WardCode],"MAE")=0,"",SUMIFS(tblDaily[Remaining],tblDaily[EntryDate],DATE(2026,8,25),tblDaily[WardCode],"MAE")),"")</f>
        <v/>
      </c>
    </row>
    <row r="305">
      <c r="A305" s="12" t="n">
        <v>26</v>
      </c>
      <c r="B305" s="12">
        <f>IFERROR(IF(SUMIFS(tblDaily[Admissions],tblDaily[EntryDate],DATE(2026,8,26),tblDaily[WardCode],"MAE")=0,"",SUMIFS(tblDaily[Admissions],tblDaily[EntryDate],DATE(2026,8,26),tblDaily[WardCode],"MAE")),"")</f>
        <v/>
      </c>
      <c r="C305" s="12">
        <f>IFERROR(IF(SUMIFS(tblDaily[Discharges],tblDaily[EntryDate],DATE(2026,8,26),tblDaily[WardCode],"MAE")=0,"",SUMIFS(tblDaily[Discharges],tblDaily[EntryDate],DATE(2026,8,26),tblDaily[WardCode],"MAE")),"")</f>
        <v/>
      </c>
      <c r="D305" s="12">
        <f>IFERROR(IF(SUMIFS(tblDaily[Deaths],tblDaily[EntryDate],DATE(2026,8,26),tblDaily[WardCode],"MAE")=0,"",SUMIFS(tblDaily[Deaths],tblDaily[EntryDate],DATE(2026,8,26),tblDaily[WardCode],"MAE")),"")</f>
        <v/>
      </c>
      <c r="E305" s="12">
        <f>IFERROR(IF(SUMIFS(tblDaily[DeathsUnder24Hrs],tblDaily[EntryDate],DATE(2026,8,26),tblDaily[WardCode],"MAE")=0,"",SUMIFS(tblDaily[DeathsUnder24Hrs],tblDaily[EntryDate],DATE(2026,8,26),tblDaily[WardCode],"MAE")),"")</f>
        <v/>
      </c>
      <c r="F305" s="12">
        <f>IFERROR(IF(SUMIFS(tblDaily[TransfersIn],tblDaily[EntryDate],DATE(2026,8,26),tblDaily[WardCode],"MAE")=0,"",SUMIFS(tblDaily[TransfersIn],tblDaily[EntryDate],DATE(2026,8,26),tblDaily[WardCode],"MAE")),"")</f>
        <v/>
      </c>
      <c r="G305" s="12">
        <f>IFERROR(IF(SUMIFS(tblDaily[TransfersOut],tblDaily[EntryDate],DATE(2026,8,26),tblDaily[WardCode],"MAE")=0,"",SUMIFS(tblDaily[TransfersOut],tblDaily[EntryDate],DATE(2026,8,26),tblDaily[WardCode],"MAE")),"")</f>
        <v/>
      </c>
      <c r="H305" s="12">
        <f>IFERROR(IF(SUMIFS(tblDaily[Remaining],tblDaily[EntryDate],DATE(2026,8,26),tblDaily[WardCode],"MAE")=0,"",SUMIFS(tblDaily[Remaining],tblDaily[EntryDate],DATE(2026,8,26),tblDaily[WardCode],"MAE")),"")</f>
        <v/>
      </c>
    </row>
    <row r="306">
      <c r="A306" s="12" t="n">
        <v>27</v>
      </c>
      <c r="B306" s="12">
        <f>IFERROR(IF(SUMIFS(tblDaily[Admissions],tblDaily[EntryDate],DATE(2026,8,27),tblDaily[WardCode],"MAE")=0,"",SUMIFS(tblDaily[Admissions],tblDaily[EntryDate],DATE(2026,8,27),tblDaily[WardCode],"MAE")),"")</f>
        <v/>
      </c>
      <c r="C306" s="12">
        <f>IFERROR(IF(SUMIFS(tblDaily[Discharges],tblDaily[EntryDate],DATE(2026,8,27),tblDaily[WardCode],"MAE")=0,"",SUMIFS(tblDaily[Discharges],tblDaily[EntryDate],DATE(2026,8,27),tblDaily[WardCode],"MAE")),"")</f>
        <v/>
      </c>
      <c r="D306" s="12">
        <f>IFERROR(IF(SUMIFS(tblDaily[Deaths],tblDaily[EntryDate],DATE(2026,8,27),tblDaily[WardCode],"MAE")=0,"",SUMIFS(tblDaily[Deaths],tblDaily[EntryDate],DATE(2026,8,27),tblDaily[WardCode],"MAE")),"")</f>
        <v/>
      </c>
      <c r="E306" s="12">
        <f>IFERROR(IF(SUMIFS(tblDaily[DeathsUnder24Hrs],tblDaily[EntryDate],DATE(2026,8,27),tblDaily[WardCode],"MAE")=0,"",SUMIFS(tblDaily[DeathsUnder24Hrs],tblDaily[EntryDate],DATE(2026,8,27),tblDaily[WardCode],"MAE")),"")</f>
        <v/>
      </c>
      <c r="F306" s="12">
        <f>IFERROR(IF(SUMIFS(tblDaily[TransfersIn],tblDaily[EntryDate],DATE(2026,8,27),tblDaily[WardCode],"MAE")=0,"",SUMIFS(tblDaily[TransfersIn],tblDaily[EntryDate],DATE(2026,8,27),tblDaily[WardCode],"MAE")),"")</f>
        <v/>
      </c>
      <c r="G306" s="12">
        <f>IFERROR(IF(SUMIFS(tblDaily[TransfersOut],tblDaily[EntryDate],DATE(2026,8,27),tblDaily[WardCode],"MAE")=0,"",SUMIFS(tblDaily[TransfersOut],tblDaily[EntryDate],DATE(2026,8,27),tblDaily[WardCode],"MAE")),"")</f>
        <v/>
      </c>
      <c r="H306" s="12">
        <f>IFERROR(IF(SUMIFS(tblDaily[Remaining],tblDaily[EntryDate],DATE(2026,8,27),tblDaily[WardCode],"MAE")=0,"",SUMIFS(tblDaily[Remaining],tblDaily[EntryDate],DATE(2026,8,27),tblDaily[WardCode],"MAE")),"")</f>
        <v/>
      </c>
    </row>
    <row r="307">
      <c r="A307" s="12" t="n">
        <v>28</v>
      </c>
      <c r="B307" s="12">
        <f>IFERROR(IF(SUMIFS(tblDaily[Admissions],tblDaily[EntryDate],DATE(2026,8,28),tblDaily[WardCode],"MAE")=0,"",SUMIFS(tblDaily[Admissions],tblDaily[EntryDate],DATE(2026,8,28),tblDaily[WardCode],"MAE")),"")</f>
        <v/>
      </c>
      <c r="C307" s="12">
        <f>IFERROR(IF(SUMIFS(tblDaily[Discharges],tblDaily[EntryDate],DATE(2026,8,28),tblDaily[WardCode],"MAE")=0,"",SUMIFS(tblDaily[Discharges],tblDaily[EntryDate],DATE(2026,8,28),tblDaily[WardCode],"MAE")),"")</f>
        <v/>
      </c>
      <c r="D307" s="12">
        <f>IFERROR(IF(SUMIFS(tblDaily[Deaths],tblDaily[EntryDate],DATE(2026,8,28),tblDaily[WardCode],"MAE")=0,"",SUMIFS(tblDaily[Deaths],tblDaily[EntryDate],DATE(2026,8,28),tblDaily[WardCode],"MAE")),"")</f>
        <v/>
      </c>
      <c r="E307" s="12">
        <f>IFERROR(IF(SUMIFS(tblDaily[DeathsUnder24Hrs],tblDaily[EntryDate],DATE(2026,8,28),tblDaily[WardCode],"MAE")=0,"",SUMIFS(tblDaily[DeathsUnder24Hrs],tblDaily[EntryDate],DATE(2026,8,28),tblDaily[WardCode],"MAE")),"")</f>
        <v/>
      </c>
      <c r="F307" s="12">
        <f>IFERROR(IF(SUMIFS(tblDaily[TransfersIn],tblDaily[EntryDate],DATE(2026,8,28),tblDaily[WardCode],"MAE")=0,"",SUMIFS(tblDaily[TransfersIn],tblDaily[EntryDate],DATE(2026,8,28),tblDaily[WardCode],"MAE")),"")</f>
        <v/>
      </c>
      <c r="G307" s="12">
        <f>IFERROR(IF(SUMIFS(tblDaily[TransfersOut],tblDaily[EntryDate],DATE(2026,8,28),tblDaily[WardCode],"MAE")=0,"",SUMIFS(tblDaily[TransfersOut],tblDaily[EntryDate],DATE(2026,8,28),tblDaily[WardCode],"MAE")),"")</f>
        <v/>
      </c>
      <c r="H307" s="12">
        <f>IFERROR(IF(SUMIFS(tblDaily[Remaining],tblDaily[EntryDate],DATE(2026,8,28),tblDaily[WardCode],"MAE")=0,"",SUMIFS(tblDaily[Remaining],tblDaily[EntryDate],DATE(2026,8,28),tblDaily[WardCode],"MAE")),"")</f>
        <v/>
      </c>
    </row>
    <row r="308">
      <c r="A308" s="12" t="n">
        <v>29</v>
      </c>
      <c r="B308" s="12">
        <f>IFERROR(IF(SUMIFS(tblDaily[Admissions],tblDaily[EntryDate],DATE(2026,8,29),tblDaily[WardCode],"MAE")=0,"",SUMIFS(tblDaily[Admissions],tblDaily[EntryDate],DATE(2026,8,29),tblDaily[WardCode],"MAE")),"")</f>
        <v/>
      </c>
      <c r="C308" s="12">
        <f>IFERROR(IF(SUMIFS(tblDaily[Discharges],tblDaily[EntryDate],DATE(2026,8,29),tblDaily[WardCode],"MAE")=0,"",SUMIFS(tblDaily[Discharges],tblDaily[EntryDate],DATE(2026,8,29),tblDaily[WardCode],"MAE")),"")</f>
        <v/>
      </c>
      <c r="D308" s="12">
        <f>IFERROR(IF(SUMIFS(tblDaily[Deaths],tblDaily[EntryDate],DATE(2026,8,29),tblDaily[WardCode],"MAE")=0,"",SUMIFS(tblDaily[Deaths],tblDaily[EntryDate],DATE(2026,8,29),tblDaily[WardCode],"MAE")),"")</f>
        <v/>
      </c>
      <c r="E308" s="12">
        <f>IFERROR(IF(SUMIFS(tblDaily[DeathsUnder24Hrs],tblDaily[EntryDate],DATE(2026,8,29),tblDaily[WardCode],"MAE")=0,"",SUMIFS(tblDaily[DeathsUnder24Hrs],tblDaily[EntryDate],DATE(2026,8,29),tblDaily[WardCode],"MAE")),"")</f>
        <v/>
      </c>
      <c r="F308" s="12">
        <f>IFERROR(IF(SUMIFS(tblDaily[TransfersIn],tblDaily[EntryDate],DATE(2026,8,29),tblDaily[WardCode],"MAE")=0,"",SUMIFS(tblDaily[TransfersIn],tblDaily[EntryDate],DATE(2026,8,29),tblDaily[WardCode],"MAE")),"")</f>
        <v/>
      </c>
      <c r="G308" s="12">
        <f>IFERROR(IF(SUMIFS(tblDaily[TransfersOut],tblDaily[EntryDate],DATE(2026,8,29),tblDaily[WardCode],"MAE")=0,"",SUMIFS(tblDaily[TransfersOut],tblDaily[EntryDate],DATE(2026,8,29),tblDaily[WardCode],"MAE")),"")</f>
        <v/>
      </c>
      <c r="H308" s="12">
        <f>IFERROR(IF(SUMIFS(tblDaily[Remaining],tblDaily[EntryDate],DATE(2026,8,29),tblDaily[WardCode],"MAE")=0,"",SUMIFS(tblDaily[Remaining],tblDaily[EntryDate],DATE(2026,8,29),tblDaily[WardCode],"MAE")),"")</f>
        <v/>
      </c>
    </row>
    <row r="309">
      <c r="A309" s="12" t="n">
        <v>30</v>
      </c>
      <c r="B309" s="12">
        <f>IFERROR(IF(SUMIFS(tblDaily[Admissions],tblDaily[EntryDate],DATE(2026,8,30),tblDaily[WardCode],"MAE")=0,"",SUMIFS(tblDaily[Admissions],tblDaily[EntryDate],DATE(2026,8,30),tblDaily[WardCode],"MAE")),"")</f>
        <v/>
      </c>
      <c r="C309" s="12">
        <f>IFERROR(IF(SUMIFS(tblDaily[Discharges],tblDaily[EntryDate],DATE(2026,8,30),tblDaily[WardCode],"MAE")=0,"",SUMIFS(tblDaily[Discharges],tblDaily[EntryDate],DATE(2026,8,30),tblDaily[WardCode],"MAE")),"")</f>
        <v/>
      </c>
      <c r="D309" s="12">
        <f>IFERROR(IF(SUMIFS(tblDaily[Deaths],tblDaily[EntryDate],DATE(2026,8,30),tblDaily[WardCode],"MAE")=0,"",SUMIFS(tblDaily[Deaths],tblDaily[EntryDate],DATE(2026,8,30),tblDaily[WardCode],"MAE")),"")</f>
        <v/>
      </c>
      <c r="E309" s="12">
        <f>IFERROR(IF(SUMIFS(tblDaily[DeathsUnder24Hrs],tblDaily[EntryDate],DATE(2026,8,30),tblDaily[WardCode],"MAE")=0,"",SUMIFS(tblDaily[DeathsUnder24Hrs],tblDaily[EntryDate],DATE(2026,8,30),tblDaily[WardCode],"MAE")),"")</f>
        <v/>
      </c>
      <c r="F309" s="12">
        <f>IFERROR(IF(SUMIFS(tblDaily[TransfersIn],tblDaily[EntryDate],DATE(2026,8,30),tblDaily[WardCode],"MAE")=0,"",SUMIFS(tblDaily[TransfersIn],tblDaily[EntryDate],DATE(2026,8,30),tblDaily[WardCode],"MAE")),"")</f>
        <v/>
      </c>
      <c r="G309" s="12">
        <f>IFERROR(IF(SUMIFS(tblDaily[TransfersOut],tblDaily[EntryDate],DATE(2026,8,30),tblDaily[WardCode],"MAE")=0,"",SUMIFS(tblDaily[TransfersOut],tblDaily[EntryDate],DATE(2026,8,30),tblDaily[WardCode],"MAE")),"")</f>
        <v/>
      </c>
      <c r="H309" s="12">
        <f>IFERROR(IF(SUMIFS(tblDaily[Remaining],tblDaily[EntryDate],DATE(2026,8,30),tblDaily[WardCode],"MAE")=0,"",SUMIFS(tblDaily[Remaining],tblDaily[EntryDate],DATE(2026,8,30),tblDaily[WardCode],"MAE")),"")</f>
        <v/>
      </c>
    </row>
    <row r="310">
      <c r="A310" s="12" t="n">
        <v>31</v>
      </c>
      <c r="B310" s="12">
        <f>IFERROR(IF(SUMIFS(tblDaily[Admissions],tblDaily[EntryDate],DATE(2026,8,31),tblDaily[WardCode],"MAE")=0,"",SUMIFS(tblDaily[Admissions],tblDaily[EntryDate],DATE(2026,8,31),tblDaily[WardCode],"MAE")),"")</f>
        <v/>
      </c>
      <c r="C310" s="12">
        <f>IFERROR(IF(SUMIFS(tblDaily[Discharges],tblDaily[EntryDate],DATE(2026,8,31),tblDaily[WardCode],"MAE")=0,"",SUMIFS(tblDaily[Discharges],tblDaily[EntryDate],DATE(2026,8,31),tblDaily[WardCode],"MAE")),"")</f>
        <v/>
      </c>
      <c r="D310" s="12">
        <f>IFERROR(IF(SUMIFS(tblDaily[Deaths],tblDaily[EntryDate],DATE(2026,8,31),tblDaily[WardCode],"MAE")=0,"",SUMIFS(tblDaily[Deaths],tblDaily[EntryDate],DATE(2026,8,31),tblDaily[WardCode],"MAE")),"")</f>
        <v/>
      </c>
      <c r="E310" s="12">
        <f>IFERROR(IF(SUMIFS(tblDaily[DeathsUnder24Hrs],tblDaily[EntryDate],DATE(2026,8,31),tblDaily[WardCode],"MAE")=0,"",SUMIFS(tblDaily[DeathsUnder24Hrs],tblDaily[EntryDate],DATE(2026,8,31),tblDaily[WardCode],"MAE")),"")</f>
        <v/>
      </c>
      <c r="F310" s="12">
        <f>IFERROR(IF(SUMIFS(tblDaily[TransfersIn],tblDaily[EntryDate],DATE(2026,8,31),tblDaily[WardCode],"MAE")=0,"",SUMIFS(tblDaily[TransfersIn],tblDaily[EntryDate],DATE(2026,8,31),tblDaily[WardCode],"MAE")),"")</f>
        <v/>
      </c>
      <c r="G310" s="12">
        <f>IFERROR(IF(SUMIFS(tblDaily[TransfersOut],tblDaily[EntryDate],DATE(2026,8,31),tblDaily[WardCode],"MAE")=0,"",SUMIFS(tblDaily[TransfersOut],tblDaily[EntryDate],DATE(2026,8,31),tblDaily[WardCode],"MAE")),"")</f>
        <v/>
      </c>
      <c r="H310" s="12">
        <f>IFERROR(IF(SUMIFS(tblDaily[Remaining],tblDaily[EntryDate],DATE(2026,8,31),tblDaily[WardCode],"MAE")=0,"",SUMIFS(tblDaily[Remaining],tblDaily[EntryDate],DATE(2026,8,31),tblDaily[WardCode],"MAE")),"")</f>
        <v/>
      </c>
    </row>
    <row r="311">
      <c r="A311" s="17" t="inlineStr">
        <is>
          <t>TOTAL</t>
        </is>
      </c>
      <c r="B311" s="17">
        <f>SUMIFS(tblDaily[Admissions],tblDaily[Month],8,tblDaily[WardCode],"MAE") - SUMIFS(tblDaily[DeathsUnder24Hrs],tblDaily[Month],8,tblDaily[WardCode],"MAE")</f>
        <v/>
      </c>
      <c r="C311" s="17">
        <f>SUMIFS(tblDaily[Discharges],tblDaily[Month],8,tblDaily[WardCode],"MAE")</f>
        <v/>
      </c>
      <c r="D311" s="17">
        <f>SUMIFS(tblDaily[Deaths],tblDaily[Month],8,tblDaily[WardCode],"MAE")</f>
        <v/>
      </c>
      <c r="E311" s="17">
        <f>SUMIFS(tblDaily[DeathsUnder24Hrs],tblDaily[Month],8,tblDaily[WardCode],"MAE")</f>
        <v/>
      </c>
      <c r="F311" s="17">
        <f>SUMIFS(tblDaily[TransfersIn],tblDaily[Month],8,tblDaily[WardCode],"MAE")</f>
        <v/>
      </c>
      <c r="G311" s="17">
        <f>SUMIFS(tblDaily[TransfersOut],tblDaily[Month],8,tblDaily[WardCode],"MAE")</f>
        <v/>
      </c>
      <c r="H311" s="17">
        <f>SUMIFS(tblDaily[Remaining],tblDaily[Month],8,tblDaily[WardCode],"MAE")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MALE EMERGENCY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4">
        <f>IFERROR(SUMIFS(tblDaily[Remaining],tblDaily[EntryDate],DATE(2026,8,31),tblDaily[WardCode],"MAE"),0)</f>
        <v/>
      </c>
    </row>
    <row r="317">
      <c r="A317" s="4" t="inlineStr">
        <is>
          <t>Bed complement</t>
        </is>
      </c>
      <c r="H317" s="15">
        <f>IFERROR(INDEX(tblWardConfig[BedComplement],MATCH("MAE",tblWardConfig[WardCode],0)),0)</f>
        <v/>
      </c>
    </row>
    <row r="318">
      <c r="A318" s="16" t="inlineStr">
        <is>
          <t>Day of
the
Month</t>
        </is>
      </c>
      <c r="B318" s="16" t="inlineStr">
        <is>
          <t>Admissions</t>
        </is>
      </c>
      <c r="C318" s="16" t="inlineStr">
        <is>
          <t>Discharges</t>
        </is>
      </c>
      <c r="D318" s="16" t="inlineStr">
        <is>
          <t>Deaths</t>
        </is>
      </c>
      <c r="E318" s="16" t="inlineStr">
        <is>
          <t>Deaths
&lt;24Hrs</t>
        </is>
      </c>
      <c r="F318" s="16" t="inlineStr">
        <is>
          <t>Transfers-
In</t>
        </is>
      </c>
      <c r="G318" s="16" t="inlineStr">
        <is>
          <t>Transfers-
Out</t>
        </is>
      </c>
      <c r="H318" s="16" t="inlineStr">
        <is>
          <t>No. of Patients
Remaining In
Ward</t>
        </is>
      </c>
    </row>
    <row r="319">
      <c r="A319" s="12" t="n">
        <v>1</v>
      </c>
      <c r="B319" s="12">
        <f>IFERROR(IF(SUMIFS(tblDaily[Admissions],tblDaily[EntryDate],DATE(2026,9,1),tblDaily[WardCode],"MAE")=0,"",SUMIFS(tblDaily[Admissions],tblDaily[EntryDate],DATE(2026,9,1),tblDaily[WardCode],"MAE")),"")</f>
        <v/>
      </c>
      <c r="C319" s="12">
        <f>IFERROR(IF(SUMIFS(tblDaily[Discharges],tblDaily[EntryDate],DATE(2026,9,1),tblDaily[WardCode],"MAE")=0,"",SUMIFS(tblDaily[Discharges],tblDaily[EntryDate],DATE(2026,9,1),tblDaily[WardCode],"MAE")),"")</f>
        <v/>
      </c>
      <c r="D319" s="12">
        <f>IFERROR(IF(SUMIFS(tblDaily[Deaths],tblDaily[EntryDate],DATE(2026,9,1),tblDaily[WardCode],"MAE")=0,"",SUMIFS(tblDaily[Deaths],tblDaily[EntryDate],DATE(2026,9,1),tblDaily[WardCode],"MAE")),"")</f>
        <v/>
      </c>
      <c r="E319" s="12">
        <f>IFERROR(IF(SUMIFS(tblDaily[DeathsUnder24Hrs],tblDaily[EntryDate],DATE(2026,9,1),tblDaily[WardCode],"MAE")=0,"",SUMIFS(tblDaily[DeathsUnder24Hrs],tblDaily[EntryDate],DATE(2026,9,1),tblDaily[WardCode],"MAE")),"")</f>
        <v/>
      </c>
      <c r="F319" s="12">
        <f>IFERROR(IF(SUMIFS(tblDaily[TransfersIn],tblDaily[EntryDate],DATE(2026,9,1),tblDaily[WardCode],"MAE")=0,"",SUMIFS(tblDaily[TransfersIn],tblDaily[EntryDate],DATE(2026,9,1),tblDaily[WardCode],"MAE")),"")</f>
        <v/>
      </c>
      <c r="G319" s="12">
        <f>IFERROR(IF(SUMIFS(tblDaily[TransfersOut],tblDaily[EntryDate],DATE(2026,9,1),tblDaily[WardCode],"MAE")=0,"",SUMIFS(tblDaily[TransfersOut],tblDaily[EntryDate],DATE(2026,9,1),tblDaily[WardCode],"MAE")),"")</f>
        <v/>
      </c>
      <c r="H319" s="12">
        <f>IFERROR(IF(SUMIFS(tblDaily[Remaining],tblDaily[EntryDate],DATE(2026,9,1),tblDaily[WardCode],"MAE")=0,"",SUMIFS(tblDaily[Remaining],tblDaily[EntryDate],DATE(2026,9,1),tblDaily[WardCode],"MAE")),"")</f>
        <v/>
      </c>
    </row>
    <row r="320">
      <c r="A320" s="12" t="n">
        <v>2</v>
      </c>
      <c r="B320" s="12">
        <f>IFERROR(IF(SUMIFS(tblDaily[Admissions],tblDaily[EntryDate],DATE(2026,9,2),tblDaily[WardCode],"MAE")=0,"",SUMIFS(tblDaily[Admissions],tblDaily[EntryDate],DATE(2026,9,2),tblDaily[WardCode],"MAE")),"")</f>
        <v/>
      </c>
      <c r="C320" s="12">
        <f>IFERROR(IF(SUMIFS(tblDaily[Discharges],tblDaily[EntryDate],DATE(2026,9,2),tblDaily[WardCode],"MAE")=0,"",SUMIFS(tblDaily[Discharges],tblDaily[EntryDate],DATE(2026,9,2),tblDaily[WardCode],"MAE")),"")</f>
        <v/>
      </c>
      <c r="D320" s="12">
        <f>IFERROR(IF(SUMIFS(tblDaily[Deaths],tblDaily[EntryDate],DATE(2026,9,2),tblDaily[WardCode],"MAE")=0,"",SUMIFS(tblDaily[Deaths],tblDaily[EntryDate],DATE(2026,9,2),tblDaily[WardCode],"MAE")),"")</f>
        <v/>
      </c>
      <c r="E320" s="12">
        <f>IFERROR(IF(SUMIFS(tblDaily[DeathsUnder24Hrs],tblDaily[EntryDate],DATE(2026,9,2),tblDaily[WardCode],"MAE")=0,"",SUMIFS(tblDaily[DeathsUnder24Hrs],tblDaily[EntryDate],DATE(2026,9,2),tblDaily[WardCode],"MAE")),"")</f>
        <v/>
      </c>
      <c r="F320" s="12">
        <f>IFERROR(IF(SUMIFS(tblDaily[TransfersIn],tblDaily[EntryDate],DATE(2026,9,2),tblDaily[WardCode],"MAE")=0,"",SUMIFS(tblDaily[TransfersIn],tblDaily[EntryDate],DATE(2026,9,2),tblDaily[WardCode],"MAE")),"")</f>
        <v/>
      </c>
      <c r="G320" s="12">
        <f>IFERROR(IF(SUMIFS(tblDaily[TransfersOut],tblDaily[EntryDate],DATE(2026,9,2),tblDaily[WardCode],"MAE")=0,"",SUMIFS(tblDaily[TransfersOut],tblDaily[EntryDate],DATE(2026,9,2),tblDaily[WardCode],"MAE")),"")</f>
        <v/>
      </c>
      <c r="H320" s="12">
        <f>IFERROR(IF(SUMIFS(tblDaily[Remaining],tblDaily[EntryDate],DATE(2026,9,2),tblDaily[WardCode],"MAE")=0,"",SUMIFS(tblDaily[Remaining],tblDaily[EntryDate],DATE(2026,9,2),tblDaily[WardCode],"MAE")),"")</f>
        <v/>
      </c>
    </row>
    <row r="321">
      <c r="A321" s="12" t="n">
        <v>3</v>
      </c>
      <c r="B321" s="12">
        <f>IFERROR(IF(SUMIFS(tblDaily[Admissions],tblDaily[EntryDate],DATE(2026,9,3),tblDaily[WardCode],"MAE")=0,"",SUMIFS(tblDaily[Admissions],tblDaily[EntryDate],DATE(2026,9,3),tblDaily[WardCode],"MAE")),"")</f>
        <v/>
      </c>
      <c r="C321" s="12">
        <f>IFERROR(IF(SUMIFS(tblDaily[Discharges],tblDaily[EntryDate],DATE(2026,9,3),tblDaily[WardCode],"MAE")=0,"",SUMIFS(tblDaily[Discharges],tblDaily[EntryDate],DATE(2026,9,3),tblDaily[WardCode],"MAE")),"")</f>
        <v/>
      </c>
      <c r="D321" s="12">
        <f>IFERROR(IF(SUMIFS(tblDaily[Deaths],tblDaily[EntryDate],DATE(2026,9,3),tblDaily[WardCode],"MAE")=0,"",SUMIFS(tblDaily[Deaths],tblDaily[EntryDate],DATE(2026,9,3),tblDaily[WardCode],"MAE")),"")</f>
        <v/>
      </c>
      <c r="E321" s="12">
        <f>IFERROR(IF(SUMIFS(tblDaily[DeathsUnder24Hrs],tblDaily[EntryDate],DATE(2026,9,3),tblDaily[WardCode],"MAE")=0,"",SUMIFS(tblDaily[DeathsUnder24Hrs],tblDaily[EntryDate],DATE(2026,9,3),tblDaily[WardCode],"MAE")),"")</f>
        <v/>
      </c>
      <c r="F321" s="12">
        <f>IFERROR(IF(SUMIFS(tblDaily[TransfersIn],tblDaily[EntryDate],DATE(2026,9,3),tblDaily[WardCode],"MAE")=0,"",SUMIFS(tblDaily[TransfersIn],tblDaily[EntryDate],DATE(2026,9,3),tblDaily[WardCode],"MAE")),"")</f>
        <v/>
      </c>
      <c r="G321" s="12">
        <f>IFERROR(IF(SUMIFS(tblDaily[TransfersOut],tblDaily[EntryDate],DATE(2026,9,3),tblDaily[WardCode],"MAE")=0,"",SUMIFS(tblDaily[TransfersOut],tblDaily[EntryDate],DATE(2026,9,3),tblDaily[WardCode],"MAE")),"")</f>
        <v/>
      </c>
      <c r="H321" s="12">
        <f>IFERROR(IF(SUMIFS(tblDaily[Remaining],tblDaily[EntryDate],DATE(2026,9,3),tblDaily[WardCode],"MAE")=0,"",SUMIFS(tblDaily[Remaining],tblDaily[EntryDate],DATE(2026,9,3),tblDaily[WardCode],"MAE")),"")</f>
        <v/>
      </c>
    </row>
    <row r="322">
      <c r="A322" s="12" t="n">
        <v>4</v>
      </c>
      <c r="B322" s="12">
        <f>IFERROR(IF(SUMIFS(tblDaily[Admissions],tblDaily[EntryDate],DATE(2026,9,4),tblDaily[WardCode],"MAE")=0,"",SUMIFS(tblDaily[Admissions],tblDaily[EntryDate],DATE(2026,9,4),tblDaily[WardCode],"MAE")),"")</f>
        <v/>
      </c>
      <c r="C322" s="12">
        <f>IFERROR(IF(SUMIFS(tblDaily[Discharges],tblDaily[EntryDate],DATE(2026,9,4),tblDaily[WardCode],"MAE")=0,"",SUMIFS(tblDaily[Discharges],tblDaily[EntryDate],DATE(2026,9,4),tblDaily[WardCode],"MAE")),"")</f>
        <v/>
      </c>
      <c r="D322" s="12">
        <f>IFERROR(IF(SUMIFS(tblDaily[Deaths],tblDaily[EntryDate],DATE(2026,9,4),tblDaily[WardCode],"MAE")=0,"",SUMIFS(tblDaily[Deaths],tblDaily[EntryDate],DATE(2026,9,4),tblDaily[WardCode],"MAE")),"")</f>
        <v/>
      </c>
      <c r="E322" s="12">
        <f>IFERROR(IF(SUMIFS(tblDaily[DeathsUnder24Hrs],tblDaily[EntryDate],DATE(2026,9,4),tblDaily[WardCode],"MAE")=0,"",SUMIFS(tblDaily[DeathsUnder24Hrs],tblDaily[EntryDate],DATE(2026,9,4),tblDaily[WardCode],"MAE")),"")</f>
        <v/>
      </c>
      <c r="F322" s="12">
        <f>IFERROR(IF(SUMIFS(tblDaily[TransfersIn],tblDaily[EntryDate],DATE(2026,9,4),tblDaily[WardCode],"MAE")=0,"",SUMIFS(tblDaily[TransfersIn],tblDaily[EntryDate],DATE(2026,9,4),tblDaily[WardCode],"MAE")),"")</f>
        <v/>
      </c>
      <c r="G322" s="12">
        <f>IFERROR(IF(SUMIFS(tblDaily[TransfersOut],tblDaily[EntryDate],DATE(2026,9,4),tblDaily[WardCode],"MAE")=0,"",SUMIFS(tblDaily[TransfersOut],tblDaily[EntryDate],DATE(2026,9,4),tblDaily[WardCode],"MAE")),"")</f>
        <v/>
      </c>
      <c r="H322" s="12">
        <f>IFERROR(IF(SUMIFS(tblDaily[Remaining],tblDaily[EntryDate],DATE(2026,9,4),tblDaily[WardCode],"MAE")=0,"",SUMIFS(tblDaily[Remaining],tblDaily[EntryDate],DATE(2026,9,4),tblDaily[WardCode],"MAE")),"")</f>
        <v/>
      </c>
    </row>
    <row r="323">
      <c r="A323" s="12" t="n">
        <v>5</v>
      </c>
      <c r="B323" s="12">
        <f>IFERROR(IF(SUMIFS(tblDaily[Admissions],tblDaily[EntryDate],DATE(2026,9,5),tblDaily[WardCode],"MAE")=0,"",SUMIFS(tblDaily[Admissions],tblDaily[EntryDate],DATE(2026,9,5),tblDaily[WardCode],"MAE")),"")</f>
        <v/>
      </c>
      <c r="C323" s="12">
        <f>IFERROR(IF(SUMIFS(tblDaily[Discharges],tblDaily[EntryDate],DATE(2026,9,5),tblDaily[WardCode],"MAE")=0,"",SUMIFS(tblDaily[Discharges],tblDaily[EntryDate],DATE(2026,9,5),tblDaily[WardCode],"MAE")),"")</f>
        <v/>
      </c>
      <c r="D323" s="12">
        <f>IFERROR(IF(SUMIFS(tblDaily[Deaths],tblDaily[EntryDate],DATE(2026,9,5),tblDaily[WardCode],"MAE")=0,"",SUMIFS(tblDaily[Deaths],tblDaily[EntryDate],DATE(2026,9,5),tblDaily[WardCode],"MAE")),"")</f>
        <v/>
      </c>
      <c r="E323" s="12">
        <f>IFERROR(IF(SUMIFS(tblDaily[DeathsUnder24Hrs],tblDaily[EntryDate],DATE(2026,9,5),tblDaily[WardCode],"MAE")=0,"",SUMIFS(tblDaily[DeathsUnder24Hrs],tblDaily[EntryDate],DATE(2026,9,5),tblDaily[WardCode],"MAE")),"")</f>
        <v/>
      </c>
      <c r="F323" s="12">
        <f>IFERROR(IF(SUMIFS(tblDaily[TransfersIn],tblDaily[EntryDate],DATE(2026,9,5),tblDaily[WardCode],"MAE")=0,"",SUMIFS(tblDaily[TransfersIn],tblDaily[EntryDate],DATE(2026,9,5),tblDaily[WardCode],"MAE")),"")</f>
        <v/>
      </c>
      <c r="G323" s="12">
        <f>IFERROR(IF(SUMIFS(tblDaily[TransfersOut],tblDaily[EntryDate],DATE(2026,9,5),tblDaily[WardCode],"MAE")=0,"",SUMIFS(tblDaily[TransfersOut],tblDaily[EntryDate],DATE(2026,9,5),tblDaily[WardCode],"MAE")),"")</f>
        <v/>
      </c>
      <c r="H323" s="12">
        <f>IFERROR(IF(SUMIFS(tblDaily[Remaining],tblDaily[EntryDate],DATE(2026,9,5),tblDaily[WardCode],"MAE")=0,"",SUMIFS(tblDaily[Remaining],tblDaily[EntryDate],DATE(2026,9,5),tblDaily[WardCode],"MAE")),"")</f>
        <v/>
      </c>
    </row>
    <row r="324">
      <c r="A324" s="12" t="n">
        <v>6</v>
      </c>
      <c r="B324" s="12">
        <f>IFERROR(IF(SUMIFS(tblDaily[Admissions],tblDaily[EntryDate],DATE(2026,9,6),tblDaily[WardCode],"MAE")=0,"",SUMIFS(tblDaily[Admissions],tblDaily[EntryDate],DATE(2026,9,6),tblDaily[WardCode],"MAE")),"")</f>
        <v/>
      </c>
      <c r="C324" s="12">
        <f>IFERROR(IF(SUMIFS(tblDaily[Discharges],tblDaily[EntryDate],DATE(2026,9,6),tblDaily[WardCode],"MAE")=0,"",SUMIFS(tblDaily[Discharges],tblDaily[EntryDate],DATE(2026,9,6),tblDaily[WardCode],"MAE")),"")</f>
        <v/>
      </c>
      <c r="D324" s="12">
        <f>IFERROR(IF(SUMIFS(tblDaily[Deaths],tblDaily[EntryDate],DATE(2026,9,6),tblDaily[WardCode],"MAE")=0,"",SUMIFS(tblDaily[Deaths],tblDaily[EntryDate],DATE(2026,9,6),tblDaily[WardCode],"MAE")),"")</f>
        <v/>
      </c>
      <c r="E324" s="12">
        <f>IFERROR(IF(SUMIFS(tblDaily[DeathsUnder24Hrs],tblDaily[EntryDate],DATE(2026,9,6),tblDaily[WardCode],"MAE")=0,"",SUMIFS(tblDaily[DeathsUnder24Hrs],tblDaily[EntryDate],DATE(2026,9,6),tblDaily[WardCode],"MAE")),"")</f>
        <v/>
      </c>
      <c r="F324" s="12">
        <f>IFERROR(IF(SUMIFS(tblDaily[TransfersIn],tblDaily[EntryDate],DATE(2026,9,6),tblDaily[WardCode],"MAE")=0,"",SUMIFS(tblDaily[TransfersIn],tblDaily[EntryDate],DATE(2026,9,6),tblDaily[WardCode],"MAE")),"")</f>
        <v/>
      </c>
      <c r="G324" s="12">
        <f>IFERROR(IF(SUMIFS(tblDaily[TransfersOut],tblDaily[EntryDate],DATE(2026,9,6),tblDaily[WardCode],"MAE")=0,"",SUMIFS(tblDaily[TransfersOut],tblDaily[EntryDate],DATE(2026,9,6),tblDaily[WardCode],"MAE")),"")</f>
        <v/>
      </c>
      <c r="H324" s="12">
        <f>IFERROR(IF(SUMIFS(tblDaily[Remaining],tblDaily[EntryDate],DATE(2026,9,6),tblDaily[WardCode],"MAE")=0,"",SUMIFS(tblDaily[Remaining],tblDaily[EntryDate],DATE(2026,9,6),tblDaily[WardCode],"MAE")),"")</f>
        <v/>
      </c>
    </row>
    <row r="325">
      <c r="A325" s="12" t="n">
        <v>7</v>
      </c>
      <c r="B325" s="12">
        <f>IFERROR(IF(SUMIFS(tblDaily[Admissions],tblDaily[EntryDate],DATE(2026,9,7),tblDaily[WardCode],"MAE")=0,"",SUMIFS(tblDaily[Admissions],tblDaily[EntryDate],DATE(2026,9,7),tblDaily[WardCode],"MAE")),"")</f>
        <v/>
      </c>
      <c r="C325" s="12">
        <f>IFERROR(IF(SUMIFS(tblDaily[Discharges],tblDaily[EntryDate],DATE(2026,9,7),tblDaily[WardCode],"MAE")=0,"",SUMIFS(tblDaily[Discharges],tblDaily[EntryDate],DATE(2026,9,7),tblDaily[WardCode],"MAE")),"")</f>
        <v/>
      </c>
      <c r="D325" s="12">
        <f>IFERROR(IF(SUMIFS(tblDaily[Deaths],tblDaily[EntryDate],DATE(2026,9,7),tblDaily[WardCode],"MAE")=0,"",SUMIFS(tblDaily[Deaths],tblDaily[EntryDate],DATE(2026,9,7),tblDaily[WardCode],"MAE")),"")</f>
        <v/>
      </c>
      <c r="E325" s="12">
        <f>IFERROR(IF(SUMIFS(tblDaily[DeathsUnder24Hrs],tblDaily[EntryDate],DATE(2026,9,7),tblDaily[WardCode],"MAE")=0,"",SUMIFS(tblDaily[DeathsUnder24Hrs],tblDaily[EntryDate],DATE(2026,9,7),tblDaily[WardCode],"MAE")),"")</f>
        <v/>
      </c>
      <c r="F325" s="12">
        <f>IFERROR(IF(SUMIFS(tblDaily[TransfersIn],tblDaily[EntryDate],DATE(2026,9,7),tblDaily[WardCode],"MAE")=0,"",SUMIFS(tblDaily[TransfersIn],tblDaily[EntryDate],DATE(2026,9,7),tblDaily[WardCode],"MAE")),"")</f>
        <v/>
      </c>
      <c r="G325" s="12">
        <f>IFERROR(IF(SUMIFS(tblDaily[TransfersOut],tblDaily[EntryDate],DATE(2026,9,7),tblDaily[WardCode],"MAE")=0,"",SUMIFS(tblDaily[TransfersOut],tblDaily[EntryDate],DATE(2026,9,7),tblDaily[WardCode],"MAE")),"")</f>
        <v/>
      </c>
      <c r="H325" s="12">
        <f>IFERROR(IF(SUMIFS(tblDaily[Remaining],tblDaily[EntryDate],DATE(2026,9,7),tblDaily[WardCode],"MAE")=0,"",SUMIFS(tblDaily[Remaining],tblDaily[EntryDate],DATE(2026,9,7),tblDaily[WardCode],"MAE")),"")</f>
        <v/>
      </c>
    </row>
    <row r="326">
      <c r="A326" s="12" t="n">
        <v>8</v>
      </c>
      <c r="B326" s="12">
        <f>IFERROR(IF(SUMIFS(tblDaily[Admissions],tblDaily[EntryDate],DATE(2026,9,8),tblDaily[WardCode],"MAE")=0,"",SUMIFS(tblDaily[Admissions],tblDaily[EntryDate],DATE(2026,9,8),tblDaily[WardCode],"MAE")),"")</f>
        <v/>
      </c>
      <c r="C326" s="12">
        <f>IFERROR(IF(SUMIFS(tblDaily[Discharges],tblDaily[EntryDate],DATE(2026,9,8),tblDaily[WardCode],"MAE")=0,"",SUMIFS(tblDaily[Discharges],tblDaily[EntryDate],DATE(2026,9,8),tblDaily[WardCode],"MAE")),"")</f>
        <v/>
      </c>
      <c r="D326" s="12">
        <f>IFERROR(IF(SUMIFS(tblDaily[Deaths],tblDaily[EntryDate],DATE(2026,9,8),tblDaily[WardCode],"MAE")=0,"",SUMIFS(tblDaily[Deaths],tblDaily[EntryDate],DATE(2026,9,8),tblDaily[WardCode],"MAE")),"")</f>
        <v/>
      </c>
      <c r="E326" s="12">
        <f>IFERROR(IF(SUMIFS(tblDaily[DeathsUnder24Hrs],tblDaily[EntryDate],DATE(2026,9,8),tblDaily[WardCode],"MAE")=0,"",SUMIFS(tblDaily[DeathsUnder24Hrs],tblDaily[EntryDate],DATE(2026,9,8),tblDaily[WardCode],"MAE")),"")</f>
        <v/>
      </c>
      <c r="F326" s="12">
        <f>IFERROR(IF(SUMIFS(tblDaily[TransfersIn],tblDaily[EntryDate],DATE(2026,9,8),tblDaily[WardCode],"MAE")=0,"",SUMIFS(tblDaily[TransfersIn],tblDaily[EntryDate],DATE(2026,9,8),tblDaily[WardCode],"MAE")),"")</f>
        <v/>
      </c>
      <c r="G326" s="12">
        <f>IFERROR(IF(SUMIFS(tblDaily[TransfersOut],tblDaily[EntryDate],DATE(2026,9,8),tblDaily[WardCode],"MAE")=0,"",SUMIFS(tblDaily[TransfersOut],tblDaily[EntryDate],DATE(2026,9,8),tblDaily[WardCode],"MAE")),"")</f>
        <v/>
      </c>
      <c r="H326" s="12">
        <f>IFERROR(IF(SUMIFS(tblDaily[Remaining],tblDaily[EntryDate],DATE(2026,9,8),tblDaily[WardCode],"MAE")=0,"",SUMIFS(tblDaily[Remaining],tblDaily[EntryDate],DATE(2026,9,8),tblDaily[WardCode],"MAE")),"")</f>
        <v/>
      </c>
    </row>
    <row r="327">
      <c r="A327" s="12" t="n">
        <v>9</v>
      </c>
      <c r="B327" s="12">
        <f>IFERROR(IF(SUMIFS(tblDaily[Admissions],tblDaily[EntryDate],DATE(2026,9,9),tblDaily[WardCode],"MAE")=0,"",SUMIFS(tblDaily[Admissions],tblDaily[EntryDate],DATE(2026,9,9),tblDaily[WardCode],"MAE")),"")</f>
        <v/>
      </c>
      <c r="C327" s="12">
        <f>IFERROR(IF(SUMIFS(tblDaily[Discharges],tblDaily[EntryDate],DATE(2026,9,9),tblDaily[WardCode],"MAE")=0,"",SUMIFS(tblDaily[Discharges],tblDaily[EntryDate],DATE(2026,9,9),tblDaily[WardCode],"MAE")),"")</f>
        <v/>
      </c>
      <c r="D327" s="12">
        <f>IFERROR(IF(SUMIFS(tblDaily[Deaths],tblDaily[EntryDate],DATE(2026,9,9),tblDaily[WardCode],"MAE")=0,"",SUMIFS(tblDaily[Deaths],tblDaily[EntryDate],DATE(2026,9,9),tblDaily[WardCode],"MAE")),"")</f>
        <v/>
      </c>
      <c r="E327" s="12">
        <f>IFERROR(IF(SUMIFS(tblDaily[DeathsUnder24Hrs],tblDaily[EntryDate],DATE(2026,9,9),tblDaily[WardCode],"MAE")=0,"",SUMIFS(tblDaily[DeathsUnder24Hrs],tblDaily[EntryDate],DATE(2026,9,9),tblDaily[WardCode],"MAE")),"")</f>
        <v/>
      </c>
      <c r="F327" s="12">
        <f>IFERROR(IF(SUMIFS(tblDaily[TransfersIn],tblDaily[EntryDate],DATE(2026,9,9),tblDaily[WardCode],"MAE")=0,"",SUMIFS(tblDaily[TransfersIn],tblDaily[EntryDate],DATE(2026,9,9),tblDaily[WardCode],"MAE")),"")</f>
        <v/>
      </c>
      <c r="G327" s="12">
        <f>IFERROR(IF(SUMIFS(tblDaily[TransfersOut],tblDaily[EntryDate],DATE(2026,9,9),tblDaily[WardCode],"MAE")=0,"",SUMIFS(tblDaily[TransfersOut],tblDaily[EntryDate],DATE(2026,9,9),tblDaily[WardCode],"MAE")),"")</f>
        <v/>
      </c>
      <c r="H327" s="12">
        <f>IFERROR(IF(SUMIFS(tblDaily[Remaining],tblDaily[EntryDate],DATE(2026,9,9),tblDaily[WardCode],"MAE")=0,"",SUMIFS(tblDaily[Remaining],tblDaily[EntryDate],DATE(2026,9,9),tblDaily[WardCode],"MAE")),"")</f>
        <v/>
      </c>
    </row>
    <row r="328">
      <c r="A328" s="12" t="n">
        <v>10</v>
      </c>
      <c r="B328" s="12">
        <f>IFERROR(IF(SUMIFS(tblDaily[Admissions],tblDaily[EntryDate],DATE(2026,9,10),tblDaily[WardCode],"MAE")=0,"",SUMIFS(tblDaily[Admissions],tblDaily[EntryDate],DATE(2026,9,10),tblDaily[WardCode],"MAE")),"")</f>
        <v/>
      </c>
      <c r="C328" s="12">
        <f>IFERROR(IF(SUMIFS(tblDaily[Discharges],tblDaily[EntryDate],DATE(2026,9,10),tblDaily[WardCode],"MAE")=0,"",SUMIFS(tblDaily[Discharges],tblDaily[EntryDate],DATE(2026,9,10),tblDaily[WardCode],"MAE")),"")</f>
        <v/>
      </c>
      <c r="D328" s="12">
        <f>IFERROR(IF(SUMIFS(tblDaily[Deaths],tblDaily[EntryDate],DATE(2026,9,10),tblDaily[WardCode],"MAE")=0,"",SUMIFS(tblDaily[Deaths],tblDaily[EntryDate],DATE(2026,9,10),tblDaily[WardCode],"MAE")),"")</f>
        <v/>
      </c>
      <c r="E328" s="12">
        <f>IFERROR(IF(SUMIFS(tblDaily[DeathsUnder24Hrs],tblDaily[EntryDate],DATE(2026,9,10),tblDaily[WardCode],"MAE")=0,"",SUMIFS(tblDaily[DeathsUnder24Hrs],tblDaily[EntryDate],DATE(2026,9,10),tblDaily[WardCode],"MAE")),"")</f>
        <v/>
      </c>
      <c r="F328" s="12">
        <f>IFERROR(IF(SUMIFS(tblDaily[TransfersIn],tblDaily[EntryDate],DATE(2026,9,10),tblDaily[WardCode],"MAE")=0,"",SUMIFS(tblDaily[TransfersIn],tblDaily[EntryDate],DATE(2026,9,10),tblDaily[WardCode],"MAE")),"")</f>
        <v/>
      </c>
      <c r="G328" s="12">
        <f>IFERROR(IF(SUMIFS(tblDaily[TransfersOut],tblDaily[EntryDate],DATE(2026,9,10),tblDaily[WardCode],"MAE")=0,"",SUMIFS(tblDaily[TransfersOut],tblDaily[EntryDate],DATE(2026,9,10),tblDaily[WardCode],"MAE")),"")</f>
        <v/>
      </c>
      <c r="H328" s="12">
        <f>IFERROR(IF(SUMIFS(tblDaily[Remaining],tblDaily[EntryDate],DATE(2026,9,10),tblDaily[WardCode],"MAE")=0,"",SUMIFS(tblDaily[Remaining],tblDaily[EntryDate],DATE(2026,9,10),tblDaily[WardCode],"MAE")),"")</f>
        <v/>
      </c>
    </row>
    <row r="329">
      <c r="A329" s="12" t="n">
        <v>11</v>
      </c>
      <c r="B329" s="12">
        <f>IFERROR(IF(SUMIFS(tblDaily[Admissions],tblDaily[EntryDate],DATE(2026,9,11),tblDaily[WardCode],"MAE")=0,"",SUMIFS(tblDaily[Admissions],tblDaily[EntryDate],DATE(2026,9,11),tblDaily[WardCode],"MAE")),"")</f>
        <v/>
      </c>
      <c r="C329" s="12">
        <f>IFERROR(IF(SUMIFS(tblDaily[Discharges],tblDaily[EntryDate],DATE(2026,9,11),tblDaily[WardCode],"MAE")=0,"",SUMIFS(tblDaily[Discharges],tblDaily[EntryDate],DATE(2026,9,11),tblDaily[WardCode],"MAE")),"")</f>
        <v/>
      </c>
      <c r="D329" s="12">
        <f>IFERROR(IF(SUMIFS(tblDaily[Deaths],tblDaily[EntryDate],DATE(2026,9,11),tblDaily[WardCode],"MAE")=0,"",SUMIFS(tblDaily[Deaths],tblDaily[EntryDate],DATE(2026,9,11),tblDaily[WardCode],"MAE")),"")</f>
        <v/>
      </c>
      <c r="E329" s="12">
        <f>IFERROR(IF(SUMIFS(tblDaily[DeathsUnder24Hrs],tblDaily[EntryDate],DATE(2026,9,11),tblDaily[WardCode],"MAE")=0,"",SUMIFS(tblDaily[DeathsUnder24Hrs],tblDaily[EntryDate],DATE(2026,9,11),tblDaily[WardCode],"MAE")),"")</f>
        <v/>
      </c>
      <c r="F329" s="12">
        <f>IFERROR(IF(SUMIFS(tblDaily[TransfersIn],tblDaily[EntryDate],DATE(2026,9,11),tblDaily[WardCode],"MAE")=0,"",SUMIFS(tblDaily[TransfersIn],tblDaily[EntryDate],DATE(2026,9,11),tblDaily[WardCode],"MAE")),"")</f>
        <v/>
      </c>
      <c r="G329" s="12">
        <f>IFERROR(IF(SUMIFS(tblDaily[TransfersOut],tblDaily[EntryDate],DATE(2026,9,11),tblDaily[WardCode],"MAE")=0,"",SUMIFS(tblDaily[TransfersOut],tblDaily[EntryDate],DATE(2026,9,11),tblDaily[WardCode],"MAE")),"")</f>
        <v/>
      </c>
      <c r="H329" s="12">
        <f>IFERROR(IF(SUMIFS(tblDaily[Remaining],tblDaily[EntryDate],DATE(2026,9,11),tblDaily[WardCode],"MAE")=0,"",SUMIFS(tblDaily[Remaining],tblDaily[EntryDate],DATE(2026,9,11),tblDaily[WardCode],"MAE")),"")</f>
        <v/>
      </c>
    </row>
    <row r="330">
      <c r="A330" s="12" t="n">
        <v>12</v>
      </c>
      <c r="B330" s="12">
        <f>IFERROR(IF(SUMIFS(tblDaily[Admissions],tblDaily[EntryDate],DATE(2026,9,12),tblDaily[WardCode],"MAE")=0,"",SUMIFS(tblDaily[Admissions],tblDaily[EntryDate],DATE(2026,9,12),tblDaily[WardCode],"MAE")),"")</f>
        <v/>
      </c>
      <c r="C330" s="12">
        <f>IFERROR(IF(SUMIFS(tblDaily[Discharges],tblDaily[EntryDate],DATE(2026,9,12),tblDaily[WardCode],"MAE")=0,"",SUMIFS(tblDaily[Discharges],tblDaily[EntryDate],DATE(2026,9,12),tblDaily[WardCode],"MAE")),"")</f>
        <v/>
      </c>
      <c r="D330" s="12">
        <f>IFERROR(IF(SUMIFS(tblDaily[Deaths],tblDaily[EntryDate],DATE(2026,9,12),tblDaily[WardCode],"MAE")=0,"",SUMIFS(tblDaily[Deaths],tblDaily[EntryDate],DATE(2026,9,12),tblDaily[WardCode],"MAE")),"")</f>
        <v/>
      </c>
      <c r="E330" s="12">
        <f>IFERROR(IF(SUMIFS(tblDaily[DeathsUnder24Hrs],tblDaily[EntryDate],DATE(2026,9,12),tblDaily[WardCode],"MAE")=0,"",SUMIFS(tblDaily[DeathsUnder24Hrs],tblDaily[EntryDate],DATE(2026,9,12),tblDaily[WardCode],"MAE")),"")</f>
        <v/>
      </c>
      <c r="F330" s="12">
        <f>IFERROR(IF(SUMIFS(tblDaily[TransfersIn],tblDaily[EntryDate],DATE(2026,9,12),tblDaily[WardCode],"MAE")=0,"",SUMIFS(tblDaily[TransfersIn],tblDaily[EntryDate],DATE(2026,9,12),tblDaily[WardCode],"MAE")),"")</f>
        <v/>
      </c>
      <c r="G330" s="12">
        <f>IFERROR(IF(SUMIFS(tblDaily[TransfersOut],tblDaily[EntryDate],DATE(2026,9,12),tblDaily[WardCode],"MAE")=0,"",SUMIFS(tblDaily[TransfersOut],tblDaily[EntryDate],DATE(2026,9,12),tblDaily[WardCode],"MAE")),"")</f>
        <v/>
      </c>
      <c r="H330" s="12">
        <f>IFERROR(IF(SUMIFS(tblDaily[Remaining],tblDaily[EntryDate],DATE(2026,9,12),tblDaily[WardCode],"MAE")=0,"",SUMIFS(tblDaily[Remaining],tblDaily[EntryDate],DATE(2026,9,12),tblDaily[WardCode],"MAE")),"")</f>
        <v/>
      </c>
    </row>
    <row r="331">
      <c r="A331" s="12" t="n">
        <v>13</v>
      </c>
      <c r="B331" s="12">
        <f>IFERROR(IF(SUMIFS(tblDaily[Admissions],tblDaily[EntryDate],DATE(2026,9,13),tblDaily[WardCode],"MAE")=0,"",SUMIFS(tblDaily[Admissions],tblDaily[EntryDate],DATE(2026,9,13),tblDaily[WardCode],"MAE")),"")</f>
        <v/>
      </c>
      <c r="C331" s="12">
        <f>IFERROR(IF(SUMIFS(tblDaily[Discharges],tblDaily[EntryDate],DATE(2026,9,13),tblDaily[WardCode],"MAE")=0,"",SUMIFS(tblDaily[Discharges],tblDaily[EntryDate],DATE(2026,9,13),tblDaily[WardCode],"MAE")),"")</f>
        <v/>
      </c>
      <c r="D331" s="12">
        <f>IFERROR(IF(SUMIFS(tblDaily[Deaths],tblDaily[EntryDate],DATE(2026,9,13),tblDaily[WardCode],"MAE")=0,"",SUMIFS(tblDaily[Deaths],tblDaily[EntryDate],DATE(2026,9,13),tblDaily[WardCode],"MAE")),"")</f>
        <v/>
      </c>
      <c r="E331" s="12">
        <f>IFERROR(IF(SUMIFS(tblDaily[DeathsUnder24Hrs],tblDaily[EntryDate],DATE(2026,9,13),tblDaily[WardCode],"MAE")=0,"",SUMIFS(tblDaily[DeathsUnder24Hrs],tblDaily[EntryDate],DATE(2026,9,13),tblDaily[WardCode],"MAE")),"")</f>
        <v/>
      </c>
      <c r="F331" s="12">
        <f>IFERROR(IF(SUMIFS(tblDaily[TransfersIn],tblDaily[EntryDate],DATE(2026,9,13),tblDaily[WardCode],"MAE")=0,"",SUMIFS(tblDaily[TransfersIn],tblDaily[EntryDate],DATE(2026,9,13),tblDaily[WardCode],"MAE")),"")</f>
        <v/>
      </c>
      <c r="G331" s="12">
        <f>IFERROR(IF(SUMIFS(tblDaily[TransfersOut],tblDaily[EntryDate],DATE(2026,9,13),tblDaily[WardCode],"MAE")=0,"",SUMIFS(tblDaily[TransfersOut],tblDaily[EntryDate],DATE(2026,9,13),tblDaily[WardCode],"MAE")),"")</f>
        <v/>
      </c>
      <c r="H331" s="12">
        <f>IFERROR(IF(SUMIFS(tblDaily[Remaining],tblDaily[EntryDate],DATE(2026,9,13),tblDaily[WardCode],"MAE")=0,"",SUMIFS(tblDaily[Remaining],tblDaily[EntryDate],DATE(2026,9,13),tblDaily[WardCode],"MAE")),"")</f>
        <v/>
      </c>
    </row>
    <row r="332">
      <c r="A332" s="12" t="n">
        <v>14</v>
      </c>
      <c r="B332" s="12">
        <f>IFERROR(IF(SUMIFS(tblDaily[Admissions],tblDaily[EntryDate],DATE(2026,9,14),tblDaily[WardCode],"MAE")=0,"",SUMIFS(tblDaily[Admissions],tblDaily[EntryDate],DATE(2026,9,14),tblDaily[WardCode],"MAE")),"")</f>
        <v/>
      </c>
      <c r="C332" s="12">
        <f>IFERROR(IF(SUMIFS(tblDaily[Discharges],tblDaily[EntryDate],DATE(2026,9,14),tblDaily[WardCode],"MAE")=0,"",SUMIFS(tblDaily[Discharges],tblDaily[EntryDate],DATE(2026,9,14),tblDaily[WardCode],"MAE")),"")</f>
        <v/>
      </c>
      <c r="D332" s="12">
        <f>IFERROR(IF(SUMIFS(tblDaily[Deaths],tblDaily[EntryDate],DATE(2026,9,14),tblDaily[WardCode],"MAE")=0,"",SUMIFS(tblDaily[Deaths],tblDaily[EntryDate],DATE(2026,9,14),tblDaily[WardCode],"MAE")),"")</f>
        <v/>
      </c>
      <c r="E332" s="12">
        <f>IFERROR(IF(SUMIFS(tblDaily[DeathsUnder24Hrs],tblDaily[EntryDate],DATE(2026,9,14),tblDaily[WardCode],"MAE")=0,"",SUMIFS(tblDaily[DeathsUnder24Hrs],tblDaily[EntryDate],DATE(2026,9,14),tblDaily[WardCode],"MAE")),"")</f>
        <v/>
      </c>
      <c r="F332" s="12">
        <f>IFERROR(IF(SUMIFS(tblDaily[TransfersIn],tblDaily[EntryDate],DATE(2026,9,14),tblDaily[WardCode],"MAE")=0,"",SUMIFS(tblDaily[TransfersIn],tblDaily[EntryDate],DATE(2026,9,14),tblDaily[WardCode],"MAE")),"")</f>
        <v/>
      </c>
      <c r="G332" s="12">
        <f>IFERROR(IF(SUMIFS(tblDaily[TransfersOut],tblDaily[EntryDate],DATE(2026,9,14),tblDaily[WardCode],"MAE")=0,"",SUMIFS(tblDaily[TransfersOut],tblDaily[EntryDate],DATE(2026,9,14),tblDaily[WardCode],"MAE")),"")</f>
        <v/>
      </c>
      <c r="H332" s="12">
        <f>IFERROR(IF(SUMIFS(tblDaily[Remaining],tblDaily[EntryDate],DATE(2026,9,14),tblDaily[WardCode],"MAE")=0,"",SUMIFS(tblDaily[Remaining],tblDaily[EntryDate],DATE(2026,9,14),tblDaily[WardCode],"MAE")),"")</f>
        <v/>
      </c>
    </row>
    <row r="333">
      <c r="A333" s="12" t="n">
        <v>15</v>
      </c>
      <c r="B333" s="12">
        <f>IFERROR(IF(SUMIFS(tblDaily[Admissions],tblDaily[EntryDate],DATE(2026,9,15),tblDaily[WardCode],"MAE")=0,"",SUMIFS(tblDaily[Admissions],tblDaily[EntryDate],DATE(2026,9,15),tblDaily[WardCode],"MAE")),"")</f>
        <v/>
      </c>
      <c r="C333" s="12">
        <f>IFERROR(IF(SUMIFS(tblDaily[Discharges],tblDaily[EntryDate],DATE(2026,9,15),tblDaily[WardCode],"MAE")=0,"",SUMIFS(tblDaily[Discharges],tblDaily[EntryDate],DATE(2026,9,15),tblDaily[WardCode],"MAE")),"")</f>
        <v/>
      </c>
      <c r="D333" s="12">
        <f>IFERROR(IF(SUMIFS(tblDaily[Deaths],tblDaily[EntryDate],DATE(2026,9,15),tblDaily[WardCode],"MAE")=0,"",SUMIFS(tblDaily[Deaths],tblDaily[EntryDate],DATE(2026,9,15),tblDaily[WardCode],"MAE")),"")</f>
        <v/>
      </c>
      <c r="E333" s="12">
        <f>IFERROR(IF(SUMIFS(tblDaily[DeathsUnder24Hrs],tblDaily[EntryDate],DATE(2026,9,15),tblDaily[WardCode],"MAE")=0,"",SUMIFS(tblDaily[DeathsUnder24Hrs],tblDaily[EntryDate],DATE(2026,9,15),tblDaily[WardCode],"MAE")),"")</f>
        <v/>
      </c>
      <c r="F333" s="12">
        <f>IFERROR(IF(SUMIFS(tblDaily[TransfersIn],tblDaily[EntryDate],DATE(2026,9,15),tblDaily[WardCode],"MAE")=0,"",SUMIFS(tblDaily[TransfersIn],tblDaily[EntryDate],DATE(2026,9,15),tblDaily[WardCode],"MAE")),"")</f>
        <v/>
      </c>
      <c r="G333" s="12">
        <f>IFERROR(IF(SUMIFS(tblDaily[TransfersOut],tblDaily[EntryDate],DATE(2026,9,15),tblDaily[WardCode],"MAE")=0,"",SUMIFS(tblDaily[TransfersOut],tblDaily[EntryDate],DATE(2026,9,15),tblDaily[WardCode],"MAE")),"")</f>
        <v/>
      </c>
      <c r="H333" s="12">
        <f>IFERROR(IF(SUMIFS(tblDaily[Remaining],tblDaily[EntryDate],DATE(2026,9,15),tblDaily[WardCode],"MAE")=0,"",SUMIFS(tblDaily[Remaining],tblDaily[EntryDate],DATE(2026,9,15),tblDaily[WardCode],"MAE")),"")</f>
        <v/>
      </c>
    </row>
    <row r="334">
      <c r="A334" s="12" t="n">
        <v>16</v>
      </c>
      <c r="B334" s="12">
        <f>IFERROR(IF(SUMIFS(tblDaily[Admissions],tblDaily[EntryDate],DATE(2026,9,16),tblDaily[WardCode],"MAE")=0,"",SUMIFS(tblDaily[Admissions],tblDaily[EntryDate],DATE(2026,9,16),tblDaily[WardCode],"MAE")),"")</f>
        <v/>
      </c>
      <c r="C334" s="12">
        <f>IFERROR(IF(SUMIFS(tblDaily[Discharges],tblDaily[EntryDate],DATE(2026,9,16),tblDaily[WardCode],"MAE")=0,"",SUMIFS(tblDaily[Discharges],tblDaily[EntryDate],DATE(2026,9,16),tblDaily[WardCode],"MAE")),"")</f>
        <v/>
      </c>
      <c r="D334" s="12">
        <f>IFERROR(IF(SUMIFS(tblDaily[Deaths],tblDaily[EntryDate],DATE(2026,9,16),tblDaily[WardCode],"MAE")=0,"",SUMIFS(tblDaily[Deaths],tblDaily[EntryDate],DATE(2026,9,16),tblDaily[WardCode],"MAE")),"")</f>
        <v/>
      </c>
      <c r="E334" s="12">
        <f>IFERROR(IF(SUMIFS(tblDaily[DeathsUnder24Hrs],tblDaily[EntryDate],DATE(2026,9,16),tblDaily[WardCode],"MAE")=0,"",SUMIFS(tblDaily[DeathsUnder24Hrs],tblDaily[EntryDate],DATE(2026,9,16),tblDaily[WardCode],"MAE")),"")</f>
        <v/>
      </c>
      <c r="F334" s="12">
        <f>IFERROR(IF(SUMIFS(tblDaily[TransfersIn],tblDaily[EntryDate],DATE(2026,9,16),tblDaily[WardCode],"MAE")=0,"",SUMIFS(tblDaily[TransfersIn],tblDaily[EntryDate],DATE(2026,9,16),tblDaily[WardCode],"MAE")),"")</f>
        <v/>
      </c>
      <c r="G334" s="12">
        <f>IFERROR(IF(SUMIFS(tblDaily[TransfersOut],tblDaily[EntryDate],DATE(2026,9,16),tblDaily[WardCode],"MAE")=0,"",SUMIFS(tblDaily[TransfersOut],tblDaily[EntryDate],DATE(2026,9,16),tblDaily[WardCode],"MAE")),"")</f>
        <v/>
      </c>
      <c r="H334" s="12">
        <f>IFERROR(IF(SUMIFS(tblDaily[Remaining],tblDaily[EntryDate],DATE(2026,9,16),tblDaily[WardCode],"MAE")=0,"",SUMIFS(tblDaily[Remaining],tblDaily[EntryDate],DATE(2026,9,16),tblDaily[WardCode],"MAE")),"")</f>
        <v/>
      </c>
    </row>
    <row r="335">
      <c r="A335" s="12" t="n">
        <v>17</v>
      </c>
      <c r="B335" s="12">
        <f>IFERROR(IF(SUMIFS(tblDaily[Admissions],tblDaily[EntryDate],DATE(2026,9,17),tblDaily[WardCode],"MAE")=0,"",SUMIFS(tblDaily[Admissions],tblDaily[EntryDate],DATE(2026,9,17),tblDaily[WardCode],"MAE")),"")</f>
        <v/>
      </c>
      <c r="C335" s="12">
        <f>IFERROR(IF(SUMIFS(tblDaily[Discharges],tblDaily[EntryDate],DATE(2026,9,17),tblDaily[WardCode],"MAE")=0,"",SUMIFS(tblDaily[Discharges],tblDaily[EntryDate],DATE(2026,9,17),tblDaily[WardCode],"MAE")),"")</f>
        <v/>
      </c>
      <c r="D335" s="12">
        <f>IFERROR(IF(SUMIFS(tblDaily[Deaths],tblDaily[EntryDate],DATE(2026,9,17),tblDaily[WardCode],"MAE")=0,"",SUMIFS(tblDaily[Deaths],tblDaily[EntryDate],DATE(2026,9,17),tblDaily[WardCode],"MAE")),"")</f>
        <v/>
      </c>
      <c r="E335" s="12">
        <f>IFERROR(IF(SUMIFS(tblDaily[DeathsUnder24Hrs],tblDaily[EntryDate],DATE(2026,9,17),tblDaily[WardCode],"MAE")=0,"",SUMIFS(tblDaily[DeathsUnder24Hrs],tblDaily[EntryDate],DATE(2026,9,17),tblDaily[WardCode],"MAE")),"")</f>
        <v/>
      </c>
      <c r="F335" s="12">
        <f>IFERROR(IF(SUMIFS(tblDaily[TransfersIn],tblDaily[EntryDate],DATE(2026,9,17),tblDaily[WardCode],"MAE")=0,"",SUMIFS(tblDaily[TransfersIn],tblDaily[EntryDate],DATE(2026,9,17),tblDaily[WardCode],"MAE")),"")</f>
        <v/>
      </c>
      <c r="G335" s="12">
        <f>IFERROR(IF(SUMIFS(tblDaily[TransfersOut],tblDaily[EntryDate],DATE(2026,9,17),tblDaily[WardCode],"MAE")=0,"",SUMIFS(tblDaily[TransfersOut],tblDaily[EntryDate],DATE(2026,9,17),tblDaily[WardCode],"MAE")),"")</f>
        <v/>
      </c>
      <c r="H335" s="12">
        <f>IFERROR(IF(SUMIFS(tblDaily[Remaining],tblDaily[EntryDate],DATE(2026,9,17),tblDaily[WardCode],"MAE")=0,"",SUMIFS(tblDaily[Remaining],tblDaily[EntryDate],DATE(2026,9,17),tblDaily[WardCode],"MAE")),"")</f>
        <v/>
      </c>
    </row>
    <row r="336">
      <c r="A336" s="12" t="n">
        <v>18</v>
      </c>
      <c r="B336" s="12">
        <f>IFERROR(IF(SUMIFS(tblDaily[Admissions],tblDaily[EntryDate],DATE(2026,9,18),tblDaily[WardCode],"MAE")=0,"",SUMIFS(tblDaily[Admissions],tblDaily[EntryDate],DATE(2026,9,18),tblDaily[WardCode],"MAE")),"")</f>
        <v/>
      </c>
      <c r="C336" s="12">
        <f>IFERROR(IF(SUMIFS(tblDaily[Discharges],tblDaily[EntryDate],DATE(2026,9,18),tblDaily[WardCode],"MAE")=0,"",SUMIFS(tblDaily[Discharges],tblDaily[EntryDate],DATE(2026,9,18),tblDaily[WardCode],"MAE")),"")</f>
        <v/>
      </c>
      <c r="D336" s="12">
        <f>IFERROR(IF(SUMIFS(tblDaily[Deaths],tblDaily[EntryDate],DATE(2026,9,18),tblDaily[WardCode],"MAE")=0,"",SUMIFS(tblDaily[Deaths],tblDaily[EntryDate],DATE(2026,9,18),tblDaily[WardCode],"MAE")),"")</f>
        <v/>
      </c>
      <c r="E336" s="12">
        <f>IFERROR(IF(SUMIFS(tblDaily[DeathsUnder24Hrs],tblDaily[EntryDate],DATE(2026,9,18),tblDaily[WardCode],"MAE")=0,"",SUMIFS(tblDaily[DeathsUnder24Hrs],tblDaily[EntryDate],DATE(2026,9,18),tblDaily[WardCode],"MAE")),"")</f>
        <v/>
      </c>
      <c r="F336" s="12">
        <f>IFERROR(IF(SUMIFS(tblDaily[TransfersIn],tblDaily[EntryDate],DATE(2026,9,18),tblDaily[WardCode],"MAE")=0,"",SUMIFS(tblDaily[TransfersIn],tblDaily[EntryDate],DATE(2026,9,18),tblDaily[WardCode],"MAE")),"")</f>
        <v/>
      </c>
      <c r="G336" s="12">
        <f>IFERROR(IF(SUMIFS(tblDaily[TransfersOut],tblDaily[EntryDate],DATE(2026,9,18),tblDaily[WardCode],"MAE")=0,"",SUMIFS(tblDaily[TransfersOut],tblDaily[EntryDate],DATE(2026,9,18),tblDaily[WardCode],"MAE")),"")</f>
        <v/>
      </c>
      <c r="H336" s="12">
        <f>IFERROR(IF(SUMIFS(tblDaily[Remaining],tblDaily[EntryDate],DATE(2026,9,18),tblDaily[WardCode],"MAE")=0,"",SUMIFS(tblDaily[Remaining],tblDaily[EntryDate],DATE(2026,9,18),tblDaily[WardCode],"MAE")),"")</f>
        <v/>
      </c>
    </row>
    <row r="337">
      <c r="A337" s="12" t="n">
        <v>19</v>
      </c>
      <c r="B337" s="12">
        <f>IFERROR(IF(SUMIFS(tblDaily[Admissions],tblDaily[EntryDate],DATE(2026,9,19),tblDaily[WardCode],"MAE")=0,"",SUMIFS(tblDaily[Admissions],tblDaily[EntryDate],DATE(2026,9,19),tblDaily[WardCode],"MAE")),"")</f>
        <v/>
      </c>
      <c r="C337" s="12">
        <f>IFERROR(IF(SUMIFS(tblDaily[Discharges],tblDaily[EntryDate],DATE(2026,9,19),tblDaily[WardCode],"MAE")=0,"",SUMIFS(tblDaily[Discharges],tblDaily[EntryDate],DATE(2026,9,19),tblDaily[WardCode],"MAE")),"")</f>
        <v/>
      </c>
      <c r="D337" s="12">
        <f>IFERROR(IF(SUMIFS(tblDaily[Deaths],tblDaily[EntryDate],DATE(2026,9,19),tblDaily[WardCode],"MAE")=0,"",SUMIFS(tblDaily[Deaths],tblDaily[EntryDate],DATE(2026,9,19),tblDaily[WardCode],"MAE")),"")</f>
        <v/>
      </c>
      <c r="E337" s="12">
        <f>IFERROR(IF(SUMIFS(tblDaily[DeathsUnder24Hrs],tblDaily[EntryDate],DATE(2026,9,19),tblDaily[WardCode],"MAE")=0,"",SUMIFS(tblDaily[DeathsUnder24Hrs],tblDaily[EntryDate],DATE(2026,9,19),tblDaily[WardCode],"MAE")),"")</f>
        <v/>
      </c>
      <c r="F337" s="12">
        <f>IFERROR(IF(SUMIFS(tblDaily[TransfersIn],tblDaily[EntryDate],DATE(2026,9,19),tblDaily[WardCode],"MAE")=0,"",SUMIFS(tblDaily[TransfersIn],tblDaily[EntryDate],DATE(2026,9,19),tblDaily[WardCode],"MAE")),"")</f>
        <v/>
      </c>
      <c r="G337" s="12">
        <f>IFERROR(IF(SUMIFS(tblDaily[TransfersOut],tblDaily[EntryDate],DATE(2026,9,19),tblDaily[WardCode],"MAE")=0,"",SUMIFS(tblDaily[TransfersOut],tblDaily[EntryDate],DATE(2026,9,19),tblDaily[WardCode],"MAE")),"")</f>
        <v/>
      </c>
      <c r="H337" s="12">
        <f>IFERROR(IF(SUMIFS(tblDaily[Remaining],tblDaily[EntryDate],DATE(2026,9,19),tblDaily[WardCode],"MAE")=0,"",SUMIFS(tblDaily[Remaining],tblDaily[EntryDate],DATE(2026,9,19),tblDaily[WardCode],"MAE")),"")</f>
        <v/>
      </c>
    </row>
    <row r="338">
      <c r="A338" s="12" t="n">
        <v>20</v>
      </c>
      <c r="B338" s="12">
        <f>IFERROR(IF(SUMIFS(tblDaily[Admissions],tblDaily[EntryDate],DATE(2026,9,20),tblDaily[WardCode],"MAE")=0,"",SUMIFS(tblDaily[Admissions],tblDaily[EntryDate],DATE(2026,9,20),tblDaily[WardCode],"MAE")),"")</f>
        <v/>
      </c>
      <c r="C338" s="12">
        <f>IFERROR(IF(SUMIFS(tblDaily[Discharges],tblDaily[EntryDate],DATE(2026,9,20),tblDaily[WardCode],"MAE")=0,"",SUMIFS(tblDaily[Discharges],tblDaily[EntryDate],DATE(2026,9,20),tblDaily[WardCode],"MAE")),"")</f>
        <v/>
      </c>
      <c r="D338" s="12">
        <f>IFERROR(IF(SUMIFS(tblDaily[Deaths],tblDaily[EntryDate],DATE(2026,9,20),tblDaily[WardCode],"MAE")=0,"",SUMIFS(tblDaily[Deaths],tblDaily[EntryDate],DATE(2026,9,20),tblDaily[WardCode],"MAE")),"")</f>
        <v/>
      </c>
      <c r="E338" s="12">
        <f>IFERROR(IF(SUMIFS(tblDaily[DeathsUnder24Hrs],tblDaily[EntryDate],DATE(2026,9,20),tblDaily[WardCode],"MAE")=0,"",SUMIFS(tblDaily[DeathsUnder24Hrs],tblDaily[EntryDate],DATE(2026,9,20),tblDaily[WardCode],"MAE")),"")</f>
        <v/>
      </c>
      <c r="F338" s="12">
        <f>IFERROR(IF(SUMIFS(tblDaily[TransfersIn],tblDaily[EntryDate],DATE(2026,9,20),tblDaily[WardCode],"MAE")=0,"",SUMIFS(tblDaily[TransfersIn],tblDaily[EntryDate],DATE(2026,9,20),tblDaily[WardCode],"MAE")),"")</f>
        <v/>
      </c>
      <c r="G338" s="12">
        <f>IFERROR(IF(SUMIFS(tblDaily[TransfersOut],tblDaily[EntryDate],DATE(2026,9,20),tblDaily[WardCode],"MAE")=0,"",SUMIFS(tblDaily[TransfersOut],tblDaily[EntryDate],DATE(2026,9,20),tblDaily[WardCode],"MAE")),"")</f>
        <v/>
      </c>
      <c r="H338" s="12">
        <f>IFERROR(IF(SUMIFS(tblDaily[Remaining],tblDaily[EntryDate],DATE(2026,9,20),tblDaily[WardCode],"MAE")=0,"",SUMIFS(tblDaily[Remaining],tblDaily[EntryDate],DATE(2026,9,20),tblDaily[WardCode],"MAE")),"")</f>
        <v/>
      </c>
    </row>
    <row r="339">
      <c r="A339" s="12" t="n">
        <v>21</v>
      </c>
      <c r="B339" s="12">
        <f>IFERROR(IF(SUMIFS(tblDaily[Admissions],tblDaily[EntryDate],DATE(2026,9,21),tblDaily[WardCode],"MAE")=0,"",SUMIFS(tblDaily[Admissions],tblDaily[EntryDate],DATE(2026,9,21),tblDaily[WardCode],"MAE")),"")</f>
        <v/>
      </c>
      <c r="C339" s="12">
        <f>IFERROR(IF(SUMIFS(tblDaily[Discharges],tblDaily[EntryDate],DATE(2026,9,21),tblDaily[WardCode],"MAE")=0,"",SUMIFS(tblDaily[Discharges],tblDaily[EntryDate],DATE(2026,9,21),tblDaily[WardCode],"MAE")),"")</f>
        <v/>
      </c>
      <c r="D339" s="12">
        <f>IFERROR(IF(SUMIFS(tblDaily[Deaths],tblDaily[EntryDate],DATE(2026,9,21),tblDaily[WardCode],"MAE")=0,"",SUMIFS(tblDaily[Deaths],tblDaily[EntryDate],DATE(2026,9,21),tblDaily[WardCode],"MAE")),"")</f>
        <v/>
      </c>
      <c r="E339" s="12">
        <f>IFERROR(IF(SUMIFS(tblDaily[DeathsUnder24Hrs],tblDaily[EntryDate],DATE(2026,9,21),tblDaily[WardCode],"MAE")=0,"",SUMIFS(tblDaily[DeathsUnder24Hrs],tblDaily[EntryDate],DATE(2026,9,21),tblDaily[WardCode],"MAE")),"")</f>
        <v/>
      </c>
      <c r="F339" s="12">
        <f>IFERROR(IF(SUMIFS(tblDaily[TransfersIn],tblDaily[EntryDate],DATE(2026,9,21),tblDaily[WardCode],"MAE")=0,"",SUMIFS(tblDaily[TransfersIn],tblDaily[EntryDate],DATE(2026,9,21),tblDaily[WardCode],"MAE")),"")</f>
        <v/>
      </c>
      <c r="G339" s="12">
        <f>IFERROR(IF(SUMIFS(tblDaily[TransfersOut],tblDaily[EntryDate],DATE(2026,9,21),tblDaily[WardCode],"MAE")=0,"",SUMIFS(tblDaily[TransfersOut],tblDaily[EntryDate],DATE(2026,9,21),tblDaily[WardCode],"MAE")),"")</f>
        <v/>
      </c>
      <c r="H339" s="12">
        <f>IFERROR(IF(SUMIFS(tblDaily[Remaining],tblDaily[EntryDate],DATE(2026,9,21),tblDaily[WardCode],"MAE")=0,"",SUMIFS(tblDaily[Remaining],tblDaily[EntryDate],DATE(2026,9,21),tblDaily[WardCode],"MAE")),"")</f>
        <v/>
      </c>
    </row>
    <row r="340">
      <c r="A340" s="12" t="n">
        <v>22</v>
      </c>
      <c r="B340" s="12">
        <f>IFERROR(IF(SUMIFS(tblDaily[Admissions],tblDaily[EntryDate],DATE(2026,9,22),tblDaily[WardCode],"MAE")=0,"",SUMIFS(tblDaily[Admissions],tblDaily[EntryDate],DATE(2026,9,22),tblDaily[WardCode],"MAE")),"")</f>
        <v/>
      </c>
      <c r="C340" s="12">
        <f>IFERROR(IF(SUMIFS(tblDaily[Discharges],tblDaily[EntryDate],DATE(2026,9,22),tblDaily[WardCode],"MAE")=0,"",SUMIFS(tblDaily[Discharges],tblDaily[EntryDate],DATE(2026,9,22),tblDaily[WardCode],"MAE")),"")</f>
        <v/>
      </c>
      <c r="D340" s="12">
        <f>IFERROR(IF(SUMIFS(tblDaily[Deaths],tblDaily[EntryDate],DATE(2026,9,22),tblDaily[WardCode],"MAE")=0,"",SUMIFS(tblDaily[Deaths],tblDaily[EntryDate],DATE(2026,9,22),tblDaily[WardCode],"MAE")),"")</f>
        <v/>
      </c>
      <c r="E340" s="12">
        <f>IFERROR(IF(SUMIFS(tblDaily[DeathsUnder24Hrs],tblDaily[EntryDate],DATE(2026,9,22),tblDaily[WardCode],"MAE")=0,"",SUMIFS(tblDaily[DeathsUnder24Hrs],tblDaily[EntryDate],DATE(2026,9,22),tblDaily[WardCode],"MAE")),"")</f>
        <v/>
      </c>
      <c r="F340" s="12">
        <f>IFERROR(IF(SUMIFS(tblDaily[TransfersIn],tblDaily[EntryDate],DATE(2026,9,22),tblDaily[WardCode],"MAE")=0,"",SUMIFS(tblDaily[TransfersIn],tblDaily[EntryDate],DATE(2026,9,22),tblDaily[WardCode],"MAE")),"")</f>
        <v/>
      </c>
      <c r="G340" s="12">
        <f>IFERROR(IF(SUMIFS(tblDaily[TransfersOut],tblDaily[EntryDate],DATE(2026,9,22),tblDaily[WardCode],"MAE")=0,"",SUMIFS(tblDaily[TransfersOut],tblDaily[EntryDate],DATE(2026,9,22),tblDaily[WardCode],"MAE")),"")</f>
        <v/>
      </c>
      <c r="H340" s="12">
        <f>IFERROR(IF(SUMIFS(tblDaily[Remaining],tblDaily[EntryDate],DATE(2026,9,22),tblDaily[WardCode],"MAE")=0,"",SUMIFS(tblDaily[Remaining],tblDaily[EntryDate],DATE(2026,9,22),tblDaily[WardCode],"MAE")),"")</f>
        <v/>
      </c>
    </row>
    <row r="341">
      <c r="A341" s="12" t="n">
        <v>23</v>
      </c>
      <c r="B341" s="12">
        <f>IFERROR(IF(SUMIFS(tblDaily[Admissions],tblDaily[EntryDate],DATE(2026,9,23),tblDaily[WardCode],"MAE")=0,"",SUMIFS(tblDaily[Admissions],tblDaily[EntryDate],DATE(2026,9,23),tblDaily[WardCode],"MAE")),"")</f>
        <v/>
      </c>
      <c r="C341" s="12">
        <f>IFERROR(IF(SUMIFS(tblDaily[Discharges],tblDaily[EntryDate],DATE(2026,9,23),tblDaily[WardCode],"MAE")=0,"",SUMIFS(tblDaily[Discharges],tblDaily[EntryDate],DATE(2026,9,23),tblDaily[WardCode],"MAE")),"")</f>
        <v/>
      </c>
      <c r="D341" s="12">
        <f>IFERROR(IF(SUMIFS(tblDaily[Deaths],tblDaily[EntryDate],DATE(2026,9,23),tblDaily[WardCode],"MAE")=0,"",SUMIFS(tblDaily[Deaths],tblDaily[EntryDate],DATE(2026,9,23),tblDaily[WardCode],"MAE")),"")</f>
        <v/>
      </c>
      <c r="E341" s="12">
        <f>IFERROR(IF(SUMIFS(tblDaily[DeathsUnder24Hrs],tblDaily[EntryDate],DATE(2026,9,23),tblDaily[WardCode],"MAE")=0,"",SUMIFS(tblDaily[DeathsUnder24Hrs],tblDaily[EntryDate],DATE(2026,9,23),tblDaily[WardCode],"MAE")),"")</f>
        <v/>
      </c>
      <c r="F341" s="12">
        <f>IFERROR(IF(SUMIFS(tblDaily[TransfersIn],tblDaily[EntryDate],DATE(2026,9,23),tblDaily[WardCode],"MAE")=0,"",SUMIFS(tblDaily[TransfersIn],tblDaily[EntryDate],DATE(2026,9,23),tblDaily[WardCode],"MAE")),"")</f>
        <v/>
      </c>
      <c r="G341" s="12">
        <f>IFERROR(IF(SUMIFS(tblDaily[TransfersOut],tblDaily[EntryDate],DATE(2026,9,23),tblDaily[WardCode],"MAE")=0,"",SUMIFS(tblDaily[TransfersOut],tblDaily[EntryDate],DATE(2026,9,23),tblDaily[WardCode],"MAE")),"")</f>
        <v/>
      </c>
      <c r="H341" s="12">
        <f>IFERROR(IF(SUMIFS(tblDaily[Remaining],tblDaily[EntryDate],DATE(2026,9,23),tblDaily[WardCode],"MAE")=0,"",SUMIFS(tblDaily[Remaining],tblDaily[EntryDate],DATE(2026,9,23),tblDaily[WardCode],"MAE")),"")</f>
        <v/>
      </c>
    </row>
    <row r="342">
      <c r="A342" s="12" t="n">
        <v>24</v>
      </c>
      <c r="B342" s="12">
        <f>IFERROR(IF(SUMIFS(tblDaily[Admissions],tblDaily[EntryDate],DATE(2026,9,24),tblDaily[WardCode],"MAE")=0,"",SUMIFS(tblDaily[Admissions],tblDaily[EntryDate],DATE(2026,9,24),tblDaily[WardCode],"MAE")),"")</f>
        <v/>
      </c>
      <c r="C342" s="12">
        <f>IFERROR(IF(SUMIFS(tblDaily[Discharges],tblDaily[EntryDate],DATE(2026,9,24),tblDaily[WardCode],"MAE")=0,"",SUMIFS(tblDaily[Discharges],tblDaily[EntryDate],DATE(2026,9,24),tblDaily[WardCode],"MAE")),"")</f>
        <v/>
      </c>
      <c r="D342" s="12">
        <f>IFERROR(IF(SUMIFS(tblDaily[Deaths],tblDaily[EntryDate],DATE(2026,9,24),tblDaily[WardCode],"MAE")=0,"",SUMIFS(tblDaily[Deaths],tblDaily[EntryDate],DATE(2026,9,24),tblDaily[WardCode],"MAE")),"")</f>
        <v/>
      </c>
      <c r="E342" s="12">
        <f>IFERROR(IF(SUMIFS(tblDaily[DeathsUnder24Hrs],tblDaily[EntryDate],DATE(2026,9,24),tblDaily[WardCode],"MAE")=0,"",SUMIFS(tblDaily[DeathsUnder24Hrs],tblDaily[EntryDate],DATE(2026,9,24),tblDaily[WardCode],"MAE")),"")</f>
        <v/>
      </c>
      <c r="F342" s="12">
        <f>IFERROR(IF(SUMIFS(tblDaily[TransfersIn],tblDaily[EntryDate],DATE(2026,9,24),tblDaily[WardCode],"MAE")=0,"",SUMIFS(tblDaily[TransfersIn],tblDaily[EntryDate],DATE(2026,9,24),tblDaily[WardCode],"MAE")),"")</f>
        <v/>
      </c>
      <c r="G342" s="12">
        <f>IFERROR(IF(SUMIFS(tblDaily[TransfersOut],tblDaily[EntryDate],DATE(2026,9,24),tblDaily[WardCode],"MAE")=0,"",SUMIFS(tblDaily[TransfersOut],tblDaily[EntryDate],DATE(2026,9,24),tblDaily[WardCode],"MAE")),"")</f>
        <v/>
      </c>
      <c r="H342" s="12">
        <f>IFERROR(IF(SUMIFS(tblDaily[Remaining],tblDaily[EntryDate],DATE(2026,9,24),tblDaily[WardCode],"MAE")=0,"",SUMIFS(tblDaily[Remaining],tblDaily[EntryDate],DATE(2026,9,24),tblDaily[WardCode],"MAE")),"")</f>
        <v/>
      </c>
    </row>
    <row r="343">
      <c r="A343" s="12" t="n">
        <v>25</v>
      </c>
      <c r="B343" s="12">
        <f>IFERROR(IF(SUMIFS(tblDaily[Admissions],tblDaily[EntryDate],DATE(2026,9,25),tblDaily[WardCode],"MAE")=0,"",SUMIFS(tblDaily[Admissions],tblDaily[EntryDate],DATE(2026,9,25),tblDaily[WardCode],"MAE")),"")</f>
        <v/>
      </c>
      <c r="C343" s="12">
        <f>IFERROR(IF(SUMIFS(tblDaily[Discharges],tblDaily[EntryDate],DATE(2026,9,25),tblDaily[WardCode],"MAE")=0,"",SUMIFS(tblDaily[Discharges],tblDaily[EntryDate],DATE(2026,9,25),tblDaily[WardCode],"MAE")),"")</f>
        <v/>
      </c>
      <c r="D343" s="12">
        <f>IFERROR(IF(SUMIFS(tblDaily[Deaths],tblDaily[EntryDate],DATE(2026,9,25),tblDaily[WardCode],"MAE")=0,"",SUMIFS(tblDaily[Deaths],tblDaily[EntryDate],DATE(2026,9,25),tblDaily[WardCode],"MAE")),"")</f>
        <v/>
      </c>
      <c r="E343" s="12">
        <f>IFERROR(IF(SUMIFS(tblDaily[DeathsUnder24Hrs],tblDaily[EntryDate],DATE(2026,9,25),tblDaily[WardCode],"MAE")=0,"",SUMIFS(tblDaily[DeathsUnder24Hrs],tblDaily[EntryDate],DATE(2026,9,25),tblDaily[WardCode],"MAE")),"")</f>
        <v/>
      </c>
      <c r="F343" s="12">
        <f>IFERROR(IF(SUMIFS(tblDaily[TransfersIn],tblDaily[EntryDate],DATE(2026,9,25),tblDaily[WardCode],"MAE")=0,"",SUMIFS(tblDaily[TransfersIn],tblDaily[EntryDate],DATE(2026,9,25),tblDaily[WardCode],"MAE")),"")</f>
        <v/>
      </c>
      <c r="G343" s="12">
        <f>IFERROR(IF(SUMIFS(tblDaily[TransfersOut],tblDaily[EntryDate],DATE(2026,9,25),tblDaily[WardCode],"MAE")=0,"",SUMIFS(tblDaily[TransfersOut],tblDaily[EntryDate],DATE(2026,9,25),tblDaily[WardCode],"MAE")),"")</f>
        <v/>
      </c>
      <c r="H343" s="12">
        <f>IFERROR(IF(SUMIFS(tblDaily[Remaining],tblDaily[EntryDate],DATE(2026,9,25),tblDaily[WardCode],"MAE")=0,"",SUMIFS(tblDaily[Remaining],tblDaily[EntryDate],DATE(2026,9,25),tblDaily[WardCode],"MAE")),"")</f>
        <v/>
      </c>
    </row>
    <row r="344">
      <c r="A344" s="12" t="n">
        <v>26</v>
      </c>
      <c r="B344" s="12">
        <f>IFERROR(IF(SUMIFS(tblDaily[Admissions],tblDaily[EntryDate],DATE(2026,9,26),tblDaily[WardCode],"MAE")=0,"",SUMIFS(tblDaily[Admissions],tblDaily[EntryDate],DATE(2026,9,26),tblDaily[WardCode],"MAE")),"")</f>
        <v/>
      </c>
      <c r="C344" s="12">
        <f>IFERROR(IF(SUMIFS(tblDaily[Discharges],tblDaily[EntryDate],DATE(2026,9,26),tblDaily[WardCode],"MAE")=0,"",SUMIFS(tblDaily[Discharges],tblDaily[EntryDate],DATE(2026,9,26),tblDaily[WardCode],"MAE")),"")</f>
        <v/>
      </c>
      <c r="D344" s="12">
        <f>IFERROR(IF(SUMIFS(tblDaily[Deaths],tblDaily[EntryDate],DATE(2026,9,26),tblDaily[WardCode],"MAE")=0,"",SUMIFS(tblDaily[Deaths],tblDaily[EntryDate],DATE(2026,9,26),tblDaily[WardCode],"MAE")),"")</f>
        <v/>
      </c>
      <c r="E344" s="12">
        <f>IFERROR(IF(SUMIFS(tblDaily[DeathsUnder24Hrs],tblDaily[EntryDate],DATE(2026,9,26),tblDaily[WardCode],"MAE")=0,"",SUMIFS(tblDaily[DeathsUnder24Hrs],tblDaily[EntryDate],DATE(2026,9,26),tblDaily[WardCode],"MAE")),"")</f>
        <v/>
      </c>
      <c r="F344" s="12">
        <f>IFERROR(IF(SUMIFS(tblDaily[TransfersIn],tblDaily[EntryDate],DATE(2026,9,26),tblDaily[WardCode],"MAE")=0,"",SUMIFS(tblDaily[TransfersIn],tblDaily[EntryDate],DATE(2026,9,26),tblDaily[WardCode],"MAE")),"")</f>
        <v/>
      </c>
      <c r="G344" s="12">
        <f>IFERROR(IF(SUMIFS(tblDaily[TransfersOut],tblDaily[EntryDate],DATE(2026,9,26),tblDaily[WardCode],"MAE")=0,"",SUMIFS(tblDaily[TransfersOut],tblDaily[EntryDate],DATE(2026,9,26),tblDaily[WardCode],"MAE")),"")</f>
        <v/>
      </c>
      <c r="H344" s="12">
        <f>IFERROR(IF(SUMIFS(tblDaily[Remaining],tblDaily[EntryDate],DATE(2026,9,26),tblDaily[WardCode],"MAE")=0,"",SUMIFS(tblDaily[Remaining],tblDaily[EntryDate],DATE(2026,9,26),tblDaily[WardCode],"MAE")),"")</f>
        <v/>
      </c>
    </row>
    <row r="345">
      <c r="A345" s="12" t="n">
        <v>27</v>
      </c>
      <c r="B345" s="12">
        <f>IFERROR(IF(SUMIFS(tblDaily[Admissions],tblDaily[EntryDate],DATE(2026,9,27),tblDaily[WardCode],"MAE")=0,"",SUMIFS(tblDaily[Admissions],tblDaily[EntryDate],DATE(2026,9,27),tblDaily[WardCode],"MAE")),"")</f>
        <v/>
      </c>
      <c r="C345" s="12">
        <f>IFERROR(IF(SUMIFS(tblDaily[Discharges],tblDaily[EntryDate],DATE(2026,9,27),tblDaily[WardCode],"MAE")=0,"",SUMIFS(tblDaily[Discharges],tblDaily[EntryDate],DATE(2026,9,27),tblDaily[WardCode],"MAE")),"")</f>
        <v/>
      </c>
      <c r="D345" s="12">
        <f>IFERROR(IF(SUMIFS(tblDaily[Deaths],tblDaily[EntryDate],DATE(2026,9,27),tblDaily[WardCode],"MAE")=0,"",SUMIFS(tblDaily[Deaths],tblDaily[EntryDate],DATE(2026,9,27),tblDaily[WardCode],"MAE")),"")</f>
        <v/>
      </c>
      <c r="E345" s="12">
        <f>IFERROR(IF(SUMIFS(tblDaily[DeathsUnder24Hrs],tblDaily[EntryDate],DATE(2026,9,27),tblDaily[WardCode],"MAE")=0,"",SUMIFS(tblDaily[DeathsUnder24Hrs],tblDaily[EntryDate],DATE(2026,9,27),tblDaily[WardCode],"MAE")),"")</f>
        <v/>
      </c>
      <c r="F345" s="12">
        <f>IFERROR(IF(SUMIFS(tblDaily[TransfersIn],tblDaily[EntryDate],DATE(2026,9,27),tblDaily[WardCode],"MAE")=0,"",SUMIFS(tblDaily[TransfersIn],tblDaily[EntryDate],DATE(2026,9,27),tblDaily[WardCode],"MAE")),"")</f>
        <v/>
      </c>
      <c r="G345" s="12">
        <f>IFERROR(IF(SUMIFS(tblDaily[TransfersOut],tblDaily[EntryDate],DATE(2026,9,27),tblDaily[WardCode],"MAE")=0,"",SUMIFS(tblDaily[TransfersOut],tblDaily[EntryDate],DATE(2026,9,27),tblDaily[WardCode],"MAE")),"")</f>
        <v/>
      </c>
      <c r="H345" s="12">
        <f>IFERROR(IF(SUMIFS(tblDaily[Remaining],tblDaily[EntryDate],DATE(2026,9,27),tblDaily[WardCode],"MAE")=0,"",SUMIFS(tblDaily[Remaining],tblDaily[EntryDate],DATE(2026,9,27),tblDaily[WardCode],"MAE")),"")</f>
        <v/>
      </c>
    </row>
    <row r="346">
      <c r="A346" s="12" t="n">
        <v>28</v>
      </c>
      <c r="B346" s="12">
        <f>IFERROR(IF(SUMIFS(tblDaily[Admissions],tblDaily[EntryDate],DATE(2026,9,28),tblDaily[WardCode],"MAE")=0,"",SUMIFS(tblDaily[Admissions],tblDaily[EntryDate],DATE(2026,9,28),tblDaily[WardCode],"MAE")),"")</f>
        <v/>
      </c>
      <c r="C346" s="12">
        <f>IFERROR(IF(SUMIFS(tblDaily[Discharges],tblDaily[EntryDate],DATE(2026,9,28),tblDaily[WardCode],"MAE")=0,"",SUMIFS(tblDaily[Discharges],tblDaily[EntryDate],DATE(2026,9,28),tblDaily[WardCode],"MAE")),"")</f>
        <v/>
      </c>
      <c r="D346" s="12">
        <f>IFERROR(IF(SUMIFS(tblDaily[Deaths],tblDaily[EntryDate],DATE(2026,9,28),tblDaily[WardCode],"MAE")=0,"",SUMIFS(tblDaily[Deaths],tblDaily[EntryDate],DATE(2026,9,28),tblDaily[WardCode],"MAE")),"")</f>
        <v/>
      </c>
      <c r="E346" s="12">
        <f>IFERROR(IF(SUMIFS(tblDaily[DeathsUnder24Hrs],tblDaily[EntryDate],DATE(2026,9,28),tblDaily[WardCode],"MAE")=0,"",SUMIFS(tblDaily[DeathsUnder24Hrs],tblDaily[EntryDate],DATE(2026,9,28),tblDaily[WardCode],"MAE")),"")</f>
        <v/>
      </c>
      <c r="F346" s="12">
        <f>IFERROR(IF(SUMIFS(tblDaily[TransfersIn],tblDaily[EntryDate],DATE(2026,9,28),tblDaily[WardCode],"MAE")=0,"",SUMIFS(tblDaily[TransfersIn],tblDaily[EntryDate],DATE(2026,9,28),tblDaily[WardCode],"MAE")),"")</f>
        <v/>
      </c>
      <c r="G346" s="12">
        <f>IFERROR(IF(SUMIFS(tblDaily[TransfersOut],tblDaily[EntryDate],DATE(2026,9,28),tblDaily[WardCode],"MAE")=0,"",SUMIFS(tblDaily[TransfersOut],tblDaily[EntryDate],DATE(2026,9,28),tblDaily[WardCode],"MAE")),"")</f>
        <v/>
      </c>
      <c r="H346" s="12">
        <f>IFERROR(IF(SUMIFS(tblDaily[Remaining],tblDaily[EntryDate],DATE(2026,9,28),tblDaily[WardCode],"MAE")=0,"",SUMIFS(tblDaily[Remaining],tblDaily[EntryDate],DATE(2026,9,28),tblDaily[WardCode],"MAE")),"")</f>
        <v/>
      </c>
    </row>
    <row r="347">
      <c r="A347" s="12" t="n">
        <v>29</v>
      </c>
      <c r="B347" s="12">
        <f>IFERROR(IF(SUMIFS(tblDaily[Admissions],tblDaily[EntryDate],DATE(2026,9,29),tblDaily[WardCode],"MAE")=0,"",SUMIFS(tblDaily[Admissions],tblDaily[EntryDate],DATE(2026,9,29),tblDaily[WardCode],"MAE")),"")</f>
        <v/>
      </c>
      <c r="C347" s="12">
        <f>IFERROR(IF(SUMIFS(tblDaily[Discharges],tblDaily[EntryDate],DATE(2026,9,29),tblDaily[WardCode],"MAE")=0,"",SUMIFS(tblDaily[Discharges],tblDaily[EntryDate],DATE(2026,9,29),tblDaily[WardCode],"MAE")),"")</f>
        <v/>
      </c>
      <c r="D347" s="12">
        <f>IFERROR(IF(SUMIFS(tblDaily[Deaths],tblDaily[EntryDate],DATE(2026,9,29),tblDaily[WardCode],"MAE")=0,"",SUMIFS(tblDaily[Deaths],tblDaily[EntryDate],DATE(2026,9,29),tblDaily[WardCode],"MAE")),"")</f>
        <v/>
      </c>
      <c r="E347" s="12">
        <f>IFERROR(IF(SUMIFS(tblDaily[DeathsUnder24Hrs],tblDaily[EntryDate],DATE(2026,9,29),tblDaily[WardCode],"MAE")=0,"",SUMIFS(tblDaily[DeathsUnder24Hrs],tblDaily[EntryDate],DATE(2026,9,29),tblDaily[WardCode],"MAE")),"")</f>
        <v/>
      </c>
      <c r="F347" s="12">
        <f>IFERROR(IF(SUMIFS(tblDaily[TransfersIn],tblDaily[EntryDate],DATE(2026,9,29),tblDaily[WardCode],"MAE")=0,"",SUMIFS(tblDaily[TransfersIn],tblDaily[EntryDate],DATE(2026,9,29),tblDaily[WardCode],"MAE")),"")</f>
        <v/>
      </c>
      <c r="G347" s="12">
        <f>IFERROR(IF(SUMIFS(tblDaily[TransfersOut],tblDaily[EntryDate],DATE(2026,9,29),tblDaily[WardCode],"MAE")=0,"",SUMIFS(tblDaily[TransfersOut],tblDaily[EntryDate],DATE(2026,9,29),tblDaily[WardCode],"MAE")),"")</f>
        <v/>
      </c>
      <c r="H347" s="12">
        <f>IFERROR(IF(SUMIFS(tblDaily[Remaining],tblDaily[EntryDate],DATE(2026,9,29),tblDaily[WardCode],"MAE")=0,"",SUMIFS(tblDaily[Remaining],tblDaily[EntryDate],DATE(2026,9,29),tblDaily[WardCode],"MAE")),"")</f>
        <v/>
      </c>
    </row>
    <row r="348">
      <c r="A348" s="12" t="n">
        <v>30</v>
      </c>
      <c r="B348" s="12">
        <f>IFERROR(IF(SUMIFS(tblDaily[Admissions],tblDaily[EntryDate],DATE(2026,9,30),tblDaily[WardCode],"MAE")=0,"",SUMIFS(tblDaily[Admissions],tblDaily[EntryDate],DATE(2026,9,30),tblDaily[WardCode],"MAE")),"")</f>
        <v/>
      </c>
      <c r="C348" s="12">
        <f>IFERROR(IF(SUMIFS(tblDaily[Discharges],tblDaily[EntryDate],DATE(2026,9,30),tblDaily[WardCode],"MAE")=0,"",SUMIFS(tblDaily[Discharges],tblDaily[EntryDate],DATE(2026,9,30),tblDaily[WardCode],"MAE")),"")</f>
        <v/>
      </c>
      <c r="D348" s="12">
        <f>IFERROR(IF(SUMIFS(tblDaily[Deaths],tblDaily[EntryDate],DATE(2026,9,30),tblDaily[WardCode],"MAE")=0,"",SUMIFS(tblDaily[Deaths],tblDaily[EntryDate],DATE(2026,9,30),tblDaily[WardCode],"MAE")),"")</f>
        <v/>
      </c>
      <c r="E348" s="12">
        <f>IFERROR(IF(SUMIFS(tblDaily[DeathsUnder24Hrs],tblDaily[EntryDate],DATE(2026,9,30),tblDaily[WardCode],"MAE")=0,"",SUMIFS(tblDaily[DeathsUnder24Hrs],tblDaily[EntryDate],DATE(2026,9,30),tblDaily[WardCode],"MAE")),"")</f>
        <v/>
      </c>
      <c r="F348" s="12">
        <f>IFERROR(IF(SUMIFS(tblDaily[TransfersIn],tblDaily[EntryDate],DATE(2026,9,30),tblDaily[WardCode],"MAE")=0,"",SUMIFS(tblDaily[TransfersIn],tblDaily[EntryDate],DATE(2026,9,30),tblDaily[WardCode],"MAE")),"")</f>
        <v/>
      </c>
      <c r="G348" s="12">
        <f>IFERROR(IF(SUMIFS(tblDaily[TransfersOut],tblDaily[EntryDate],DATE(2026,9,30),tblDaily[WardCode],"MAE")=0,"",SUMIFS(tblDaily[TransfersOut],tblDaily[EntryDate],DATE(2026,9,30),tblDaily[WardCode],"MAE")),"")</f>
        <v/>
      </c>
      <c r="H348" s="12">
        <f>IFERROR(IF(SUMIFS(tblDaily[Remaining],tblDaily[EntryDate],DATE(2026,9,30),tblDaily[WardCode],"MAE")=0,"",SUMIFS(tblDaily[Remaining],tblDaily[EntryDate],DATE(2026,9,30),tblDaily[WardCode],"MAE")),"")</f>
        <v/>
      </c>
    </row>
    <row r="349">
      <c r="A349" s="12" t="n">
        <v>31</v>
      </c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7" t="inlineStr">
        <is>
          <t>TOTAL</t>
        </is>
      </c>
      <c r="B350" s="17">
        <f>SUMIFS(tblDaily[Admissions],tblDaily[Month],9,tblDaily[WardCode],"MAE") - SUMIFS(tblDaily[DeathsUnder24Hrs],tblDaily[Month],9,tblDaily[WardCode],"MAE")</f>
        <v/>
      </c>
      <c r="C350" s="17">
        <f>SUMIFS(tblDaily[Discharges],tblDaily[Month],9,tblDaily[WardCode],"MAE")</f>
        <v/>
      </c>
      <c r="D350" s="17">
        <f>SUMIFS(tblDaily[Deaths],tblDaily[Month],9,tblDaily[WardCode],"MAE")</f>
        <v/>
      </c>
      <c r="E350" s="17">
        <f>SUMIFS(tblDaily[DeathsUnder24Hrs],tblDaily[Month],9,tblDaily[WardCode],"MAE")</f>
        <v/>
      </c>
      <c r="F350" s="17">
        <f>SUMIFS(tblDaily[TransfersIn],tblDaily[Month],9,tblDaily[WardCode],"MAE")</f>
        <v/>
      </c>
      <c r="G350" s="17">
        <f>SUMIFS(tblDaily[TransfersOut],tblDaily[Month],9,tblDaily[WardCode],"MAE")</f>
        <v/>
      </c>
      <c r="H350" s="17">
        <f>SUMIFS(tblDaily[Remaining],tblDaily[Month],9,tblDaily[WardCode],"MAE")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MALE EMERGENCY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4">
        <f>IFERROR(SUMIFS(tblDaily[Remaining],tblDaily[EntryDate],DATE(2026,9,30),tblDaily[WardCode],"MAE"),0)</f>
        <v/>
      </c>
    </row>
    <row r="356">
      <c r="A356" s="4" t="inlineStr">
        <is>
          <t>Bed complement</t>
        </is>
      </c>
      <c r="H356" s="15">
        <f>IFERROR(INDEX(tblWardConfig[BedComplement],MATCH("MAE",tblWardConfig[WardCode],0)),0)</f>
        <v/>
      </c>
    </row>
    <row r="357">
      <c r="A357" s="16" t="inlineStr">
        <is>
          <t>Day of
the
Month</t>
        </is>
      </c>
      <c r="B357" s="16" t="inlineStr">
        <is>
          <t>Admissions</t>
        </is>
      </c>
      <c r="C357" s="16" t="inlineStr">
        <is>
          <t>Discharges</t>
        </is>
      </c>
      <c r="D357" s="16" t="inlineStr">
        <is>
          <t>Deaths</t>
        </is>
      </c>
      <c r="E357" s="16" t="inlineStr">
        <is>
          <t>Deaths
&lt;24Hrs</t>
        </is>
      </c>
      <c r="F357" s="16" t="inlineStr">
        <is>
          <t>Transfers-
In</t>
        </is>
      </c>
      <c r="G357" s="16" t="inlineStr">
        <is>
          <t>Transfers-
Out</t>
        </is>
      </c>
      <c r="H357" s="16" t="inlineStr">
        <is>
          <t>No. of Patients
Remaining In
Ward</t>
        </is>
      </c>
    </row>
    <row r="358">
      <c r="A358" s="12" t="n">
        <v>1</v>
      </c>
      <c r="B358" s="12">
        <f>IFERROR(IF(SUMIFS(tblDaily[Admissions],tblDaily[EntryDate],DATE(2026,10,1),tblDaily[WardCode],"MAE")=0,"",SUMIFS(tblDaily[Admissions],tblDaily[EntryDate],DATE(2026,10,1),tblDaily[WardCode],"MAE")),"")</f>
        <v/>
      </c>
      <c r="C358" s="12">
        <f>IFERROR(IF(SUMIFS(tblDaily[Discharges],tblDaily[EntryDate],DATE(2026,10,1),tblDaily[WardCode],"MAE")=0,"",SUMIFS(tblDaily[Discharges],tblDaily[EntryDate],DATE(2026,10,1),tblDaily[WardCode],"MAE")),"")</f>
        <v/>
      </c>
      <c r="D358" s="12">
        <f>IFERROR(IF(SUMIFS(tblDaily[Deaths],tblDaily[EntryDate],DATE(2026,10,1),tblDaily[WardCode],"MAE")=0,"",SUMIFS(tblDaily[Deaths],tblDaily[EntryDate],DATE(2026,10,1),tblDaily[WardCode],"MAE")),"")</f>
        <v/>
      </c>
      <c r="E358" s="12">
        <f>IFERROR(IF(SUMIFS(tblDaily[DeathsUnder24Hrs],tblDaily[EntryDate],DATE(2026,10,1),tblDaily[WardCode],"MAE")=0,"",SUMIFS(tblDaily[DeathsUnder24Hrs],tblDaily[EntryDate],DATE(2026,10,1),tblDaily[WardCode],"MAE")),"")</f>
        <v/>
      </c>
      <c r="F358" s="12">
        <f>IFERROR(IF(SUMIFS(tblDaily[TransfersIn],tblDaily[EntryDate],DATE(2026,10,1),tblDaily[WardCode],"MAE")=0,"",SUMIFS(tblDaily[TransfersIn],tblDaily[EntryDate],DATE(2026,10,1),tblDaily[WardCode],"MAE")),"")</f>
        <v/>
      </c>
      <c r="G358" s="12">
        <f>IFERROR(IF(SUMIFS(tblDaily[TransfersOut],tblDaily[EntryDate],DATE(2026,10,1),tblDaily[WardCode],"MAE")=0,"",SUMIFS(tblDaily[TransfersOut],tblDaily[EntryDate],DATE(2026,10,1),tblDaily[WardCode],"MAE")),"")</f>
        <v/>
      </c>
      <c r="H358" s="12">
        <f>IFERROR(IF(SUMIFS(tblDaily[Remaining],tblDaily[EntryDate],DATE(2026,10,1),tblDaily[WardCode],"MAE")=0,"",SUMIFS(tblDaily[Remaining],tblDaily[EntryDate],DATE(2026,10,1),tblDaily[WardCode],"MAE")),"")</f>
        <v/>
      </c>
    </row>
    <row r="359">
      <c r="A359" s="12" t="n">
        <v>2</v>
      </c>
      <c r="B359" s="12">
        <f>IFERROR(IF(SUMIFS(tblDaily[Admissions],tblDaily[EntryDate],DATE(2026,10,2),tblDaily[WardCode],"MAE")=0,"",SUMIFS(tblDaily[Admissions],tblDaily[EntryDate],DATE(2026,10,2),tblDaily[WardCode],"MAE")),"")</f>
        <v/>
      </c>
      <c r="C359" s="12">
        <f>IFERROR(IF(SUMIFS(tblDaily[Discharges],tblDaily[EntryDate],DATE(2026,10,2),tblDaily[WardCode],"MAE")=0,"",SUMIFS(tblDaily[Discharges],tblDaily[EntryDate],DATE(2026,10,2),tblDaily[WardCode],"MAE")),"")</f>
        <v/>
      </c>
      <c r="D359" s="12">
        <f>IFERROR(IF(SUMIFS(tblDaily[Deaths],tblDaily[EntryDate],DATE(2026,10,2),tblDaily[WardCode],"MAE")=0,"",SUMIFS(tblDaily[Deaths],tblDaily[EntryDate],DATE(2026,10,2),tblDaily[WardCode],"MAE")),"")</f>
        <v/>
      </c>
      <c r="E359" s="12">
        <f>IFERROR(IF(SUMIFS(tblDaily[DeathsUnder24Hrs],tblDaily[EntryDate],DATE(2026,10,2),tblDaily[WardCode],"MAE")=0,"",SUMIFS(tblDaily[DeathsUnder24Hrs],tblDaily[EntryDate],DATE(2026,10,2),tblDaily[WardCode],"MAE")),"")</f>
        <v/>
      </c>
      <c r="F359" s="12">
        <f>IFERROR(IF(SUMIFS(tblDaily[TransfersIn],tblDaily[EntryDate],DATE(2026,10,2),tblDaily[WardCode],"MAE")=0,"",SUMIFS(tblDaily[TransfersIn],tblDaily[EntryDate],DATE(2026,10,2),tblDaily[WardCode],"MAE")),"")</f>
        <v/>
      </c>
      <c r="G359" s="12">
        <f>IFERROR(IF(SUMIFS(tblDaily[TransfersOut],tblDaily[EntryDate],DATE(2026,10,2),tblDaily[WardCode],"MAE")=0,"",SUMIFS(tblDaily[TransfersOut],tblDaily[EntryDate],DATE(2026,10,2),tblDaily[WardCode],"MAE")),"")</f>
        <v/>
      </c>
      <c r="H359" s="12">
        <f>IFERROR(IF(SUMIFS(tblDaily[Remaining],tblDaily[EntryDate],DATE(2026,10,2),tblDaily[WardCode],"MAE")=0,"",SUMIFS(tblDaily[Remaining],tblDaily[EntryDate],DATE(2026,10,2),tblDaily[WardCode],"MAE")),"")</f>
        <v/>
      </c>
    </row>
    <row r="360">
      <c r="A360" s="12" t="n">
        <v>3</v>
      </c>
      <c r="B360" s="12">
        <f>IFERROR(IF(SUMIFS(tblDaily[Admissions],tblDaily[EntryDate],DATE(2026,10,3),tblDaily[WardCode],"MAE")=0,"",SUMIFS(tblDaily[Admissions],tblDaily[EntryDate],DATE(2026,10,3),tblDaily[WardCode],"MAE")),"")</f>
        <v/>
      </c>
      <c r="C360" s="12">
        <f>IFERROR(IF(SUMIFS(tblDaily[Discharges],tblDaily[EntryDate],DATE(2026,10,3),tblDaily[WardCode],"MAE")=0,"",SUMIFS(tblDaily[Discharges],tblDaily[EntryDate],DATE(2026,10,3),tblDaily[WardCode],"MAE")),"")</f>
        <v/>
      </c>
      <c r="D360" s="12">
        <f>IFERROR(IF(SUMIFS(tblDaily[Deaths],tblDaily[EntryDate],DATE(2026,10,3),tblDaily[WardCode],"MAE")=0,"",SUMIFS(tblDaily[Deaths],tblDaily[EntryDate],DATE(2026,10,3),tblDaily[WardCode],"MAE")),"")</f>
        <v/>
      </c>
      <c r="E360" s="12">
        <f>IFERROR(IF(SUMIFS(tblDaily[DeathsUnder24Hrs],tblDaily[EntryDate],DATE(2026,10,3),tblDaily[WardCode],"MAE")=0,"",SUMIFS(tblDaily[DeathsUnder24Hrs],tblDaily[EntryDate],DATE(2026,10,3),tblDaily[WardCode],"MAE")),"")</f>
        <v/>
      </c>
      <c r="F360" s="12">
        <f>IFERROR(IF(SUMIFS(tblDaily[TransfersIn],tblDaily[EntryDate],DATE(2026,10,3),tblDaily[WardCode],"MAE")=0,"",SUMIFS(tblDaily[TransfersIn],tblDaily[EntryDate],DATE(2026,10,3),tblDaily[WardCode],"MAE")),"")</f>
        <v/>
      </c>
      <c r="G360" s="12">
        <f>IFERROR(IF(SUMIFS(tblDaily[TransfersOut],tblDaily[EntryDate],DATE(2026,10,3),tblDaily[WardCode],"MAE")=0,"",SUMIFS(tblDaily[TransfersOut],tblDaily[EntryDate],DATE(2026,10,3),tblDaily[WardCode],"MAE")),"")</f>
        <v/>
      </c>
      <c r="H360" s="12">
        <f>IFERROR(IF(SUMIFS(tblDaily[Remaining],tblDaily[EntryDate],DATE(2026,10,3),tblDaily[WardCode],"MAE")=0,"",SUMIFS(tblDaily[Remaining],tblDaily[EntryDate],DATE(2026,10,3),tblDaily[WardCode],"MAE")),"")</f>
        <v/>
      </c>
    </row>
    <row r="361">
      <c r="A361" s="12" t="n">
        <v>4</v>
      </c>
      <c r="B361" s="12">
        <f>IFERROR(IF(SUMIFS(tblDaily[Admissions],tblDaily[EntryDate],DATE(2026,10,4),tblDaily[WardCode],"MAE")=0,"",SUMIFS(tblDaily[Admissions],tblDaily[EntryDate],DATE(2026,10,4),tblDaily[WardCode],"MAE")),"")</f>
        <v/>
      </c>
      <c r="C361" s="12">
        <f>IFERROR(IF(SUMIFS(tblDaily[Discharges],tblDaily[EntryDate],DATE(2026,10,4),tblDaily[WardCode],"MAE")=0,"",SUMIFS(tblDaily[Discharges],tblDaily[EntryDate],DATE(2026,10,4),tblDaily[WardCode],"MAE")),"")</f>
        <v/>
      </c>
      <c r="D361" s="12">
        <f>IFERROR(IF(SUMIFS(tblDaily[Deaths],tblDaily[EntryDate],DATE(2026,10,4),tblDaily[WardCode],"MAE")=0,"",SUMIFS(tblDaily[Deaths],tblDaily[EntryDate],DATE(2026,10,4),tblDaily[WardCode],"MAE")),"")</f>
        <v/>
      </c>
      <c r="E361" s="12">
        <f>IFERROR(IF(SUMIFS(tblDaily[DeathsUnder24Hrs],tblDaily[EntryDate],DATE(2026,10,4),tblDaily[WardCode],"MAE")=0,"",SUMIFS(tblDaily[DeathsUnder24Hrs],tblDaily[EntryDate],DATE(2026,10,4),tblDaily[WardCode],"MAE")),"")</f>
        <v/>
      </c>
      <c r="F361" s="12">
        <f>IFERROR(IF(SUMIFS(tblDaily[TransfersIn],tblDaily[EntryDate],DATE(2026,10,4),tblDaily[WardCode],"MAE")=0,"",SUMIFS(tblDaily[TransfersIn],tblDaily[EntryDate],DATE(2026,10,4),tblDaily[WardCode],"MAE")),"")</f>
        <v/>
      </c>
      <c r="G361" s="12">
        <f>IFERROR(IF(SUMIFS(tblDaily[TransfersOut],tblDaily[EntryDate],DATE(2026,10,4),tblDaily[WardCode],"MAE")=0,"",SUMIFS(tblDaily[TransfersOut],tblDaily[EntryDate],DATE(2026,10,4),tblDaily[WardCode],"MAE")),"")</f>
        <v/>
      </c>
      <c r="H361" s="12">
        <f>IFERROR(IF(SUMIFS(tblDaily[Remaining],tblDaily[EntryDate],DATE(2026,10,4),tblDaily[WardCode],"MAE")=0,"",SUMIFS(tblDaily[Remaining],tblDaily[EntryDate],DATE(2026,10,4),tblDaily[WardCode],"MAE")),"")</f>
        <v/>
      </c>
    </row>
    <row r="362">
      <c r="A362" s="12" t="n">
        <v>5</v>
      </c>
      <c r="B362" s="12">
        <f>IFERROR(IF(SUMIFS(tblDaily[Admissions],tblDaily[EntryDate],DATE(2026,10,5),tblDaily[WardCode],"MAE")=0,"",SUMIFS(tblDaily[Admissions],tblDaily[EntryDate],DATE(2026,10,5),tblDaily[WardCode],"MAE")),"")</f>
        <v/>
      </c>
      <c r="C362" s="12">
        <f>IFERROR(IF(SUMIFS(tblDaily[Discharges],tblDaily[EntryDate],DATE(2026,10,5),tblDaily[WardCode],"MAE")=0,"",SUMIFS(tblDaily[Discharges],tblDaily[EntryDate],DATE(2026,10,5),tblDaily[WardCode],"MAE")),"")</f>
        <v/>
      </c>
      <c r="D362" s="12">
        <f>IFERROR(IF(SUMIFS(tblDaily[Deaths],tblDaily[EntryDate],DATE(2026,10,5),tblDaily[WardCode],"MAE")=0,"",SUMIFS(tblDaily[Deaths],tblDaily[EntryDate],DATE(2026,10,5),tblDaily[WardCode],"MAE")),"")</f>
        <v/>
      </c>
      <c r="E362" s="12">
        <f>IFERROR(IF(SUMIFS(tblDaily[DeathsUnder24Hrs],tblDaily[EntryDate],DATE(2026,10,5),tblDaily[WardCode],"MAE")=0,"",SUMIFS(tblDaily[DeathsUnder24Hrs],tblDaily[EntryDate],DATE(2026,10,5),tblDaily[WardCode],"MAE")),"")</f>
        <v/>
      </c>
      <c r="F362" s="12">
        <f>IFERROR(IF(SUMIFS(tblDaily[TransfersIn],tblDaily[EntryDate],DATE(2026,10,5),tblDaily[WardCode],"MAE")=0,"",SUMIFS(tblDaily[TransfersIn],tblDaily[EntryDate],DATE(2026,10,5),tblDaily[WardCode],"MAE")),"")</f>
        <v/>
      </c>
      <c r="G362" s="12">
        <f>IFERROR(IF(SUMIFS(tblDaily[TransfersOut],tblDaily[EntryDate],DATE(2026,10,5),tblDaily[WardCode],"MAE")=0,"",SUMIFS(tblDaily[TransfersOut],tblDaily[EntryDate],DATE(2026,10,5),tblDaily[WardCode],"MAE")),"")</f>
        <v/>
      </c>
      <c r="H362" s="12">
        <f>IFERROR(IF(SUMIFS(tblDaily[Remaining],tblDaily[EntryDate],DATE(2026,10,5),tblDaily[WardCode],"MAE")=0,"",SUMIFS(tblDaily[Remaining],tblDaily[EntryDate],DATE(2026,10,5),tblDaily[WardCode],"MAE")),"")</f>
        <v/>
      </c>
    </row>
    <row r="363">
      <c r="A363" s="12" t="n">
        <v>6</v>
      </c>
      <c r="B363" s="12">
        <f>IFERROR(IF(SUMIFS(tblDaily[Admissions],tblDaily[EntryDate],DATE(2026,10,6),tblDaily[WardCode],"MAE")=0,"",SUMIFS(tblDaily[Admissions],tblDaily[EntryDate],DATE(2026,10,6),tblDaily[WardCode],"MAE")),"")</f>
        <v/>
      </c>
      <c r="C363" s="12">
        <f>IFERROR(IF(SUMIFS(tblDaily[Discharges],tblDaily[EntryDate],DATE(2026,10,6),tblDaily[WardCode],"MAE")=0,"",SUMIFS(tblDaily[Discharges],tblDaily[EntryDate],DATE(2026,10,6),tblDaily[WardCode],"MAE")),"")</f>
        <v/>
      </c>
      <c r="D363" s="12">
        <f>IFERROR(IF(SUMIFS(tblDaily[Deaths],tblDaily[EntryDate],DATE(2026,10,6),tblDaily[WardCode],"MAE")=0,"",SUMIFS(tblDaily[Deaths],tblDaily[EntryDate],DATE(2026,10,6),tblDaily[WardCode],"MAE")),"")</f>
        <v/>
      </c>
      <c r="E363" s="12">
        <f>IFERROR(IF(SUMIFS(tblDaily[DeathsUnder24Hrs],tblDaily[EntryDate],DATE(2026,10,6),tblDaily[WardCode],"MAE")=0,"",SUMIFS(tblDaily[DeathsUnder24Hrs],tblDaily[EntryDate],DATE(2026,10,6),tblDaily[WardCode],"MAE")),"")</f>
        <v/>
      </c>
      <c r="F363" s="12">
        <f>IFERROR(IF(SUMIFS(tblDaily[TransfersIn],tblDaily[EntryDate],DATE(2026,10,6),tblDaily[WardCode],"MAE")=0,"",SUMIFS(tblDaily[TransfersIn],tblDaily[EntryDate],DATE(2026,10,6),tblDaily[WardCode],"MAE")),"")</f>
        <v/>
      </c>
      <c r="G363" s="12">
        <f>IFERROR(IF(SUMIFS(tblDaily[TransfersOut],tblDaily[EntryDate],DATE(2026,10,6),tblDaily[WardCode],"MAE")=0,"",SUMIFS(tblDaily[TransfersOut],tblDaily[EntryDate],DATE(2026,10,6),tblDaily[WardCode],"MAE")),"")</f>
        <v/>
      </c>
      <c r="H363" s="12">
        <f>IFERROR(IF(SUMIFS(tblDaily[Remaining],tblDaily[EntryDate],DATE(2026,10,6),tblDaily[WardCode],"MAE")=0,"",SUMIFS(tblDaily[Remaining],tblDaily[EntryDate],DATE(2026,10,6),tblDaily[WardCode],"MAE")),"")</f>
        <v/>
      </c>
    </row>
    <row r="364">
      <c r="A364" s="12" t="n">
        <v>7</v>
      </c>
      <c r="B364" s="12">
        <f>IFERROR(IF(SUMIFS(tblDaily[Admissions],tblDaily[EntryDate],DATE(2026,10,7),tblDaily[WardCode],"MAE")=0,"",SUMIFS(tblDaily[Admissions],tblDaily[EntryDate],DATE(2026,10,7),tblDaily[WardCode],"MAE")),"")</f>
        <v/>
      </c>
      <c r="C364" s="12">
        <f>IFERROR(IF(SUMIFS(tblDaily[Discharges],tblDaily[EntryDate],DATE(2026,10,7),tblDaily[WardCode],"MAE")=0,"",SUMIFS(tblDaily[Discharges],tblDaily[EntryDate],DATE(2026,10,7),tblDaily[WardCode],"MAE")),"")</f>
        <v/>
      </c>
      <c r="D364" s="12">
        <f>IFERROR(IF(SUMIFS(tblDaily[Deaths],tblDaily[EntryDate],DATE(2026,10,7),tblDaily[WardCode],"MAE")=0,"",SUMIFS(tblDaily[Deaths],tblDaily[EntryDate],DATE(2026,10,7),tblDaily[WardCode],"MAE")),"")</f>
        <v/>
      </c>
      <c r="E364" s="12">
        <f>IFERROR(IF(SUMIFS(tblDaily[DeathsUnder24Hrs],tblDaily[EntryDate],DATE(2026,10,7),tblDaily[WardCode],"MAE")=0,"",SUMIFS(tblDaily[DeathsUnder24Hrs],tblDaily[EntryDate],DATE(2026,10,7),tblDaily[WardCode],"MAE")),"")</f>
        <v/>
      </c>
      <c r="F364" s="12">
        <f>IFERROR(IF(SUMIFS(tblDaily[TransfersIn],tblDaily[EntryDate],DATE(2026,10,7),tblDaily[WardCode],"MAE")=0,"",SUMIFS(tblDaily[TransfersIn],tblDaily[EntryDate],DATE(2026,10,7),tblDaily[WardCode],"MAE")),"")</f>
        <v/>
      </c>
      <c r="G364" s="12">
        <f>IFERROR(IF(SUMIFS(tblDaily[TransfersOut],tblDaily[EntryDate],DATE(2026,10,7),tblDaily[WardCode],"MAE")=0,"",SUMIFS(tblDaily[TransfersOut],tblDaily[EntryDate],DATE(2026,10,7),tblDaily[WardCode],"MAE")),"")</f>
        <v/>
      </c>
      <c r="H364" s="12">
        <f>IFERROR(IF(SUMIFS(tblDaily[Remaining],tblDaily[EntryDate],DATE(2026,10,7),tblDaily[WardCode],"MAE")=0,"",SUMIFS(tblDaily[Remaining],tblDaily[EntryDate],DATE(2026,10,7),tblDaily[WardCode],"MAE")),"")</f>
        <v/>
      </c>
    </row>
    <row r="365">
      <c r="A365" s="12" t="n">
        <v>8</v>
      </c>
      <c r="B365" s="12">
        <f>IFERROR(IF(SUMIFS(tblDaily[Admissions],tblDaily[EntryDate],DATE(2026,10,8),tblDaily[WardCode],"MAE")=0,"",SUMIFS(tblDaily[Admissions],tblDaily[EntryDate],DATE(2026,10,8),tblDaily[WardCode],"MAE")),"")</f>
        <v/>
      </c>
      <c r="C365" s="12">
        <f>IFERROR(IF(SUMIFS(tblDaily[Discharges],tblDaily[EntryDate],DATE(2026,10,8),tblDaily[WardCode],"MAE")=0,"",SUMIFS(tblDaily[Discharges],tblDaily[EntryDate],DATE(2026,10,8),tblDaily[WardCode],"MAE")),"")</f>
        <v/>
      </c>
      <c r="D365" s="12">
        <f>IFERROR(IF(SUMIFS(tblDaily[Deaths],tblDaily[EntryDate],DATE(2026,10,8),tblDaily[WardCode],"MAE")=0,"",SUMIFS(tblDaily[Deaths],tblDaily[EntryDate],DATE(2026,10,8),tblDaily[WardCode],"MAE")),"")</f>
        <v/>
      </c>
      <c r="E365" s="12">
        <f>IFERROR(IF(SUMIFS(tblDaily[DeathsUnder24Hrs],tblDaily[EntryDate],DATE(2026,10,8),tblDaily[WardCode],"MAE")=0,"",SUMIFS(tblDaily[DeathsUnder24Hrs],tblDaily[EntryDate],DATE(2026,10,8),tblDaily[WardCode],"MAE")),"")</f>
        <v/>
      </c>
      <c r="F365" s="12">
        <f>IFERROR(IF(SUMIFS(tblDaily[TransfersIn],tblDaily[EntryDate],DATE(2026,10,8),tblDaily[WardCode],"MAE")=0,"",SUMIFS(tblDaily[TransfersIn],tblDaily[EntryDate],DATE(2026,10,8),tblDaily[WardCode],"MAE")),"")</f>
        <v/>
      </c>
      <c r="G365" s="12">
        <f>IFERROR(IF(SUMIFS(tblDaily[TransfersOut],tblDaily[EntryDate],DATE(2026,10,8),tblDaily[WardCode],"MAE")=0,"",SUMIFS(tblDaily[TransfersOut],tblDaily[EntryDate],DATE(2026,10,8),tblDaily[WardCode],"MAE")),"")</f>
        <v/>
      </c>
      <c r="H365" s="12">
        <f>IFERROR(IF(SUMIFS(tblDaily[Remaining],tblDaily[EntryDate],DATE(2026,10,8),tblDaily[WardCode],"MAE")=0,"",SUMIFS(tblDaily[Remaining],tblDaily[EntryDate],DATE(2026,10,8),tblDaily[WardCode],"MAE")),"")</f>
        <v/>
      </c>
    </row>
    <row r="366">
      <c r="A366" s="12" t="n">
        <v>9</v>
      </c>
      <c r="B366" s="12">
        <f>IFERROR(IF(SUMIFS(tblDaily[Admissions],tblDaily[EntryDate],DATE(2026,10,9),tblDaily[WardCode],"MAE")=0,"",SUMIFS(tblDaily[Admissions],tblDaily[EntryDate],DATE(2026,10,9),tblDaily[WardCode],"MAE")),"")</f>
        <v/>
      </c>
      <c r="C366" s="12">
        <f>IFERROR(IF(SUMIFS(tblDaily[Discharges],tblDaily[EntryDate],DATE(2026,10,9),tblDaily[WardCode],"MAE")=0,"",SUMIFS(tblDaily[Discharges],tblDaily[EntryDate],DATE(2026,10,9),tblDaily[WardCode],"MAE")),"")</f>
        <v/>
      </c>
      <c r="D366" s="12">
        <f>IFERROR(IF(SUMIFS(tblDaily[Deaths],tblDaily[EntryDate],DATE(2026,10,9),tblDaily[WardCode],"MAE")=0,"",SUMIFS(tblDaily[Deaths],tblDaily[EntryDate],DATE(2026,10,9),tblDaily[WardCode],"MAE")),"")</f>
        <v/>
      </c>
      <c r="E366" s="12">
        <f>IFERROR(IF(SUMIFS(tblDaily[DeathsUnder24Hrs],tblDaily[EntryDate],DATE(2026,10,9),tblDaily[WardCode],"MAE")=0,"",SUMIFS(tblDaily[DeathsUnder24Hrs],tblDaily[EntryDate],DATE(2026,10,9),tblDaily[WardCode],"MAE")),"")</f>
        <v/>
      </c>
      <c r="F366" s="12">
        <f>IFERROR(IF(SUMIFS(tblDaily[TransfersIn],tblDaily[EntryDate],DATE(2026,10,9),tblDaily[WardCode],"MAE")=0,"",SUMIFS(tblDaily[TransfersIn],tblDaily[EntryDate],DATE(2026,10,9),tblDaily[WardCode],"MAE")),"")</f>
        <v/>
      </c>
      <c r="G366" s="12">
        <f>IFERROR(IF(SUMIFS(tblDaily[TransfersOut],tblDaily[EntryDate],DATE(2026,10,9),tblDaily[WardCode],"MAE")=0,"",SUMIFS(tblDaily[TransfersOut],tblDaily[EntryDate],DATE(2026,10,9),tblDaily[WardCode],"MAE")),"")</f>
        <v/>
      </c>
      <c r="H366" s="12">
        <f>IFERROR(IF(SUMIFS(tblDaily[Remaining],tblDaily[EntryDate],DATE(2026,10,9),tblDaily[WardCode],"MAE")=0,"",SUMIFS(tblDaily[Remaining],tblDaily[EntryDate],DATE(2026,10,9),tblDaily[WardCode],"MAE")),"")</f>
        <v/>
      </c>
    </row>
    <row r="367">
      <c r="A367" s="12" t="n">
        <v>10</v>
      </c>
      <c r="B367" s="12">
        <f>IFERROR(IF(SUMIFS(tblDaily[Admissions],tblDaily[EntryDate],DATE(2026,10,10),tblDaily[WardCode],"MAE")=0,"",SUMIFS(tblDaily[Admissions],tblDaily[EntryDate],DATE(2026,10,10),tblDaily[WardCode],"MAE")),"")</f>
        <v/>
      </c>
      <c r="C367" s="12">
        <f>IFERROR(IF(SUMIFS(tblDaily[Discharges],tblDaily[EntryDate],DATE(2026,10,10),tblDaily[WardCode],"MAE")=0,"",SUMIFS(tblDaily[Discharges],tblDaily[EntryDate],DATE(2026,10,10),tblDaily[WardCode],"MAE")),"")</f>
        <v/>
      </c>
      <c r="D367" s="12">
        <f>IFERROR(IF(SUMIFS(tblDaily[Deaths],tblDaily[EntryDate],DATE(2026,10,10),tblDaily[WardCode],"MAE")=0,"",SUMIFS(tblDaily[Deaths],tblDaily[EntryDate],DATE(2026,10,10),tblDaily[WardCode],"MAE")),"")</f>
        <v/>
      </c>
      <c r="E367" s="12">
        <f>IFERROR(IF(SUMIFS(tblDaily[DeathsUnder24Hrs],tblDaily[EntryDate],DATE(2026,10,10),tblDaily[WardCode],"MAE")=0,"",SUMIFS(tblDaily[DeathsUnder24Hrs],tblDaily[EntryDate],DATE(2026,10,10),tblDaily[WardCode],"MAE")),"")</f>
        <v/>
      </c>
      <c r="F367" s="12">
        <f>IFERROR(IF(SUMIFS(tblDaily[TransfersIn],tblDaily[EntryDate],DATE(2026,10,10),tblDaily[WardCode],"MAE")=0,"",SUMIFS(tblDaily[TransfersIn],tblDaily[EntryDate],DATE(2026,10,10),tblDaily[WardCode],"MAE")),"")</f>
        <v/>
      </c>
      <c r="G367" s="12">
        <f>IFERROR(IF(SUMIFS(tblDaily[TransfersOut],tblDaily[EntryDate],DATE(2026,10,10),tblDaily[WardCode],"MAE")=0,"",SUMIFS(tblDaily[TransfersOut],tblDaily[EntryDate],DATE(2026,10,10),tblDaily[WardCode],"MAE")),"")</f>
        <v/>
      </c>
      <c r="H367" s="12">
        <f>IFERROR(IF(SUMIFS(tblDaily[Remaining],tblDaily[EntryDate],DATE(2026,10,10),tblDaily[WardCode],"MAE")=0,"",SUMIFS(tblDaily[Remaining],tblDaily[EntryDate],DATE(2026,10,10),tblDaily[WardCode],"MAE")),"")</f>
        <v/>
      </c>
    </row>
    <row r="368">
      <c r="A368" s="12" t="n">
        <v>11</v>
      </c>
      <c r="B368" s="12">
        <f>IFERROR(IF(SUMIFS(tblDaily[Admissions],tblDaily[EntryDate],DATE(2026,10,11),tblDaily[WardCode],"MAE")=0,"",SUMIFS(tblDaily[Admissions],tblDaily[EntryDate],DATE(2026,10,11),tblDaily[WardCode],"MAE")),"")</f>
        <v/>
      </c>
      <c r="C368" s="12">
        <f>IFERROR(IF(SUMIFS(tblDaily[Discharges],tblDaily[EntryDate],DATE(2026,10,11),tblDaily[WardCode],"MAE")=0,"",SUMIFS(tblDaily[Discharges],tblDaily[EntryDate],DATE(2026,10,11),tblDaily[WardCode],"MAE")),"")</f>
        <v/>
      </c>
      <c r="D368" s="12">
        <f>IFERROR(IF(SUMIFS(tblDaily[Deaths],tblDaily[EntryDate],DATE(2026,10,11),tblDaily[WardCode],"MAE")=0,"",SUMIFS(tblDaily[Deaths],tblDaily[EntryDate],DATE(2026,10,11),tblDaily[WardCode],"MAE")),"")</f>
        <v/>
      </c>
      <c r="E368" s="12">
        <f>IFERROR(IF(SUMIFS(tblDaily[DeathsUnder24Hrs],tblDaily[EntryDate],DATE(2026,10,11),tblDaily[WardCode],"MAE")=0,"",SUMIFS(tblDaily[DeathsUnder24Hrs],tblDaily[EntryDate],DATE(2026,10,11),tblDaily[WardCode],"MAE")),"")</f>
        <v/>
      </c>
      <c r="F368" s="12">
        <f>IFERROR(IF(SUMIFS(tblDaily[TransfersIn],tblDaily[EntryDate],DATE(2026,10,11),tblDaily[WardCode],"MAE")=0,"",SUMIFS(tblDaily[TransfersIn],tblDaily[EntryDate],DATE(2026,10,11),tblDaily[WardCode],"MAE")),"")</f>
        <v/>
      </c>
      <c r="G368" s="12">
        <f>IFERROR(IF(SUMIFS(tblDaily[TransfersOut],tblDaily[EntryDate],DATE(2026,10,11),tblDaily[WardCode],"MAE")=0,"",SUMIFS(tblDaily[TransfersOut],tblDaily[EntryDate],DATE(2026,10,11),tblDaily[WardCode],"MAE")),"")</f>
        <v/>
      </c>
      <c r="H368" s="12">
        <f>IFERROR(IF(SUMIFS(tblDaily[Remaining],tblDaily[EntryDate],DATE(2026,10,11),tblDaily[WardCode],"MAE")=0,"",SUMIFS(tblDaily[Remaining],tblDaily[EntryDate],DATE(2026,10,11),tblDaily[WardCode],"MAE")),"")</f>
        <v/>
      </c>
    </row>
    <row r="369">
      <c r="A369" s="12" t="n">
        <v>12</v>
      </c>
      <c r="B369" s="12">
        <f>IFERROR(IF(SUMIFS(tblDaily[Admissions],tblDaily[EntryDate],DATE(2026,10,12),tblDaily[WardCode],"MAE")=0,"",SUMIFS(tblDaily[Admissions],tblDaily[EntryDate],DATE(2026,10,12),tblDaily[WardCode],"MAE")),"")</f>
        <v/>
      </c>
      <c r="C369" s="12">
        <f>IFERROR(IF(SUMIFS(tblDaily[Discharges],tblDaily[EntryDate],DATE(2026,10,12),tblDaily[WardCode],"MAE")=0,"",SUMIFS(tblDaily[Discharges],tblDaily[EntryDate],DATE(2026,10,12),tblDaily[WardCode],"MAE")),"")</f>
        <v/>
      </c>
      <c r="D369" s="12">
        <f>IFERROR(IF(SUMIFS(tblDaily[Deaths],tblDaily[EntryDate],DATE(2026,10,12),tblDaily[WardCode],"MAE")=0,"",SUMIFS(tblDaily[Deaths],tblDaily[EntryDate],DATE(2026,10,12),tblDaily[WardCode],"MAE")),"")</f>
        <v/>
      </c>
      <c r="E369" s="12">
        <f>IFERROR(IF(SUMIFS(tblDaily[DeathsUnder24Hrs],tblDaily[EntryDate],DATE(2026,10,12),tblDaily[WardCode],"MAE")=0,"",SUMIFS(tblDaily[DeathsUnder24Hrs],tblDaily[EntryDate],DATE(2026,10,12),tblDaily[WardCode],"MAE")),"")</f>
        <v/>
      </c>
      <c r="F369" s="12">
        <f>IFERROR(IF(SUMIFS(tblDaily[TransfersIn],tblDaily[EntryDate],DATE(2026,10,12),tblDaily[WardCode],"MAE")=0,"",SUMIFS(tblDaily[TransfersIn],tblDaily[EntryDate],DATE(2026,10,12),tblDaily[WardCode],"MAE")),"")</f>
        <v/>
      </c>
      <c r="G369" s="12">
        <f>IFERROR(IF(SUMIFS(tblDaily[TransfersOut],tblDaily[EntryDate],DATE(2026,10,12),tblDaily[WardCode],"MAE")=0,"",SUMIFS(tblDaily[TransfersOut],tblDaily[EntryDate],DATE(2026,10,12),tblDaily[WardCode],"MAE")),"")</f>
        <v/>
      </c>
      <c r="H369" s="12">
        <f>IFERROR(IF(SUMIFS(tblDaily[Remaining],tblDaily[EntryDate],DATE(2026,10,12),tblDaily[WardCode],"MAE")=0,"",SUMIFS(tblDaily[Remaining],tblDaily[EntryDate],DATE(2026,10,12),tblDaily[WardCode],"MAE")),"")</f>
        <v/>
      </c>
    </row>
    <row r="370">
      <c r="A370" s="12" t="n">
        <v>13</v>
      </c>
      <c r="B370" s="12">
        <f>IFERROR(IF(SUMIFS(tblDaily[Admissions],tblDaily[EntryDate],DATE(2026,10,13),tblDaily[WardCode],"MAE")=0,"",SUMIFS(tblDaily[Admissions],tblDaily[EntryDate],DATE(2026,10,13),tblDaily[WardCode],"MAE")),"")</f>
        <v/>
      </c>
      <c r="C370" s="12">
        <f>IFERROR(IF(SUMIFS(tblDaily[Discharges],tblDaily[EntryDate],DATE(2026,10,13),tblDaily[WardCode],"MAE")=0,"",SUMIFS(tblDaily[Discharges],tblDaily[EntryDate],DATE(2026,10,13),tblDaily[WardCode],"MAE")),"")</f>
        <v/>
      </c>
      <c r="D370" s="12">
        <f>IFERROR(IF(SUMIFS(tblDaily[Deaths],tblDaily[EntryDate],DATE(2026,10,13),tblDaily[WardCode],"MAE")=0,"",SUMIFS(tblDaily[Deaths],tblDaily[EntryDate],DATE(2026,10,13),tblDaily[WardCode],"MAE")),"")</f>
        <v/>
      </c>
      <c r="E370" s="12">
        <f>IFERROR(IF(SUMIFS(tblDaily[DeathsUnder24Hrs],tblDaily[EntryDate],DATE(2026,10,13),tblDaily[WardCode],"MAE")=0,"",SUMIFS(tblDaily[DeathsUnder24Hrs],tblDaily[EntryDate],DATE(2026,10,13),tblDaily[WardCode],"MAE")),"")</f>
        <v/>
      </c>
      <c r="F370" s="12">
        <f>IFERROR(IF(SUMIFS(tblDaily[TransfersIn],tblDaily[EntryDate],DATE(2026,10,13),tblDaily[WardCode],"MAE")=0,"",SUMIFS(tblDaily[TransfersIn],tblDaily[EntryDate],DATE(2026,10,13),tblDaily[WardCode],"MAE")),"")</f>
        <v/>
      </c>
      <c r="G370" s="12">
        <f>IFERROR(IF(SUMIFS(tblDaily[TransfersOut],tblDaily[EntryDate],DATE(2026,10,13),tblDaily[WardCode],"MAE")=0,"",SUMIFS(tblDaily[TransfersOut],tblDaily[EntryDate],DATE(2026,10,13),tblDaily[WardCode],"MAE")),"")</f>
        <v/>
      </c>
      <c r="H370" s="12">
        <f>IFERROR(IF(SUMIFS(tblDaily[Remaining],tblDaily[EntryDate],DATE(2026,10,13),tblDaily[WardCode],"MAE")=0,"",SUMIFS(tblDaily[Remaining],tblDaily[EntryDate],DATE(2026,10,13),tblDaily[WardCode],"MAE")),"")</f>
        <v/>
      </c>
    </row>
    <row r="371">
      <c r="A371" s="12" t="n">
        <v>14</v>
      </c>
      <c r="B371" s="12">
        <f>IFERROR(IF(SUMIFS(tblDaily[Admissions],tblDaily[EntryDate],DATE(2026,10,14),tblDaily[WardCode],"MAE")=0,"",SUMIFS(tblDaily[Admissions],tblDaily[EntryDate],DATE(2026,10,14),tblDaily[WardCode],"MAE")),"")</f>
        <v/>
      </c>
      <c r="C371" s="12">
        <f>IFERROR(IF(SUMIFS(tblDaily[Discharges],tblDaily[EntryDate],DATE(2026,10,14),tblDaily[WardCode],"MAE")=0,"",SUMIFS(tblDaily[Discharges],tblDaily[EntryDate],DATE(2026,10,14),tblDaily[WardCode],"MAE")),"")</f>
        <v/>
      </c>
      <c r="D371" s="12">
        <f>IFERROR(IF(SUMIFS(tblDaily[Deaths],tblDaily[EntryDate],DATE(2026,10,14),tblDaily[WardCode],"MAE")=0,"",SUMIFS(tblDaily[Deaths],tblDaily[EntryDate],DATE(2026,10,14),tblDaily[WardCode],"MAE")),"")</f>
        <v/>
      </c>
      <c r="E371" s="12">
        <f>IFERROR(IF(SUMIFS(tblDaily[DeathsUnder24Hrs],tblDaily[EntryDate],DATE(2026,10,14),tblDaily[WardCode],"MAE")=0,"",SUMIFS(tblDaily[DeathsUnder24Hrs],tblDaily[EntryDate],DATE(2026,10,14),tblDaily[WardCode],"MAE")),"")</f>
        <v/>
      </c>
      <c r="F371" s="12">
        <f>IFERROR(IF(SUMIFS(tblDaily[TransfersIn],tblDaily[EntryDate],DATE(2026,10,14),tblDaily[WardCode],"MAE")=0,"",SUMIFS(tblDaily[TransfersIn],tblDaily[EntryDate],DATE(2026,10,14),tblDaily[WardCode],"MAE")),"")</f>
        <v/>
      </c>
      <c r="G371" s="12">
        <f>IFERROR(IF(SUMIFS(tblDaily[TransfersOut],tblDaily[EntryDate],DATE(2026,10,14),tblDaily[WardCode],"MAE")=0,"",SUMIFS(tblDaily[TransfersOut],tblDaily[EntryDate],DATE(2026,10,14),tblDaily[WardCode],"MAE")),"")</f>
        <v/>
      </c>
      <c r="H371" s="12">
        <f>IFERROR(IF(SUMIFS(tblDaily[Remaining],tblDaily[EntryDate],DATE(2026,10,14),tblDaily[WardCode],"MAE")=0,"",SUMIFS(tblDaily[Remaining],tblDaily[EntryDate],DATE(2026,10,14),tblDaily[WardCode],"MAE")),"")</f>
        <v/>
      </c>
    </row>
    <row r="372">
      <c r="A372" s="12" t="n">
        <v>15</v>
      </c>
      <c r="B372" s="12">
        <f>IFERROR(IF(SUMIFS(tblDaily[Admissions],tblDaily[EntryDate],DATE(2026,10,15),tblDaily[WardCode],"MAE")=0,"",SUMIFS(tblDaily[Admissions],tblDaily[EntryDate],DATE(2026,10,15),tblDaily[WardCode],"MAE")),"")</f>
        <v/>
      </c>
      <c r="C372" s="12">
        <f>IFERROR(IF(SUMIFS(tblDaily[Discharges],tblDaily[EntryDate],DATE(2026,10,15),tblDaily[WardCode],"MAE")=0,"",SUMIFS(tblDaily[Discharges],tblDaily[EntryDate],DATE(2026,10,15),tblDaily[WardCode],"MAE")),"")</f>
        <v/>
      </c>
      <c r="D372" s="12">
        <f>IFERROR(IF(SUMIFS(tblDaily[Deaths],tblDaily[EntryDate],DATE(2026,10,15),tblDaily[WardCode],"MAE")=0,"",SUMIFS(tblDaily[Deaths],tblDaily[EntryDate],DATE(2026,10,15),tblDaily[WardCode],"MAE")),"")</f>
        <v/>
      </c>
      <c r="E372" s="12">
        <f>IFERROR(IF(SUMIFS(tblDaily[DeathsUnder24Hrs],tblDaily[EntryDate],DATE(2026,10,15),tblDaily[WardCode],"MAE")=0,"",SUMIFS(tblDaily[DeathsUnder24Hrs],tblDaily[EntryDate],DATE(2026,10,15),tblDaily[WardCode],"MAE")),"")</f>
        <v/>
      </c>
      <c r="F372" s="12">
        <f>IFERROR(IF(SUMIFS(tblDaily[TransfersIn],tblDaily[EntryDate],DATE(2026,10,15),tblDaily[WardCode],"MAE")=0,"",SUMIFS(tblDaily[TransfersIn],tblDaily[EntryDate],DATE(2026,10,15),tblDaily[WardCode],"MAE")),"")</f>
        <v/>
      </c>
      <c r="G372" s="12">
        <f>IFERROR(IF(SUMIFS(tblDaily[TransfersOut],tblDaily[EntryDate],DATE(2026,10,15),tblDaily[WardCode],"MAE")=0,"",SUMIFS(tblDaily[TransfersOut],tblDaily[EntryDate],DATE(2026,10,15),tblDaily[WardCode],"MAE")),"")</f>
        <v/>
      </c>
      <c r="H372" s="12">
        <f>IFERROR(IF(SUMIFS(tblDaily[Remaining],tblDaily[EntryDate],DATE(2026,10,15),tblDaily[WardCode],"MAE")=0,"",SUMIFS(tblDaily[Remaining],tblDaily[EntryDate],DATE(2026,10,15),tblDaily[WardCode],"MAE")),"")</f>
        <v/>
      </c>
    </row>
    <row r="373">
      <c r="A373" s="12" t="n">
        <v>16</v>
      </c>
      <c r="B373" s="12">
        <f>IFERROR(IF(SUMIFS(tblDaily[Admissions],tblDaily[EntryDate],DATE(2026,10,16),tblDaily[WardCode],"MAE")=0,"",SUMIFS(tblDaily[Admissions],tblDaily[EntryDate],DATE(2026,10,16),tblDaily[WardCode],"MAE")),"")</f>
        <v/>
      </c>
      <c r="C373" s="12">
        <f>IFERROR(IF(SUMIFS(tblDaily[Discharges],tblDaily[EntryDate],DATE(2026,10,16),tblDaily[WardCode],"MAE")=0,"",SUMIFS(tblDaily[Discharges],tblDaily[EntryDate],DATE(2026,10,16),tblDaily[WardCode],"MAE")),"")</f>
        <v/>
      </c>
      <c r="D373" s="12">
        <f>IFERROR(IF(SUMIFS(tblDaily[Deaths],tblDaily[EntryDate],DATE(2026,10,16),tblDaily[WardCode],"MAE")=0,"",SUMIFS(tblDaily[Deaths],tblDaily[EntryDate],DATE(2026,10,16),tblDaily[WardCode],"MAE")),"")</f>
        <v/>
      </c>
      <c r="E373" s="12">
        <f>IFERROR(IF(SUMIFS(tblDaily[DeathsUnder24Hrs],tblDaily[EntryDate],DATE(2026,10,16),tblDaily[WardCode],"MAE")=0,"",SUMIFS(tblDaily[DeathsUnder24Hrs],tblDaily[EntryDate],DATE(2026,10,16),tblDaily[WardCode],"MAE")),"")</f>
        <v/>
      </c>
      <c r="F373" s="12">
        <f>IFERROR(IF(SUMIFS(tblDaily[TransfersIn],tblDaily[EntryDate],DATE(2026,10,16),tblDaily[WardCode],"MAE")=0,"",SUMIFS(tblDaily[TransfersIn],tblDaily[EntryDate],DATE(2026,10,16),tblDaily[WardCode],"MAE")),"")</f>
        <v/>
      </c>
      <c r="G373" s="12">
        <f>IFERROR(IF(SUMIFS(tblDaily[TransfersOut],tblDaily[EntryDate],DATE(2026,10,16),tblDaily[WardCode],"MAE")=0,"",SUMIFS(tblDaily[TransfersOut],tblDaily[EntryDate],DATE(2026,10,16),tblDaily[WardCode],"MAE")),"")</f>
        <v/>
      </c>
      <c r="H373" s="12">
        <f>IFERROR(IF(SUMIFS(tblDaily[Remaining],tblDaily[EntryDate],DATE(2026,10,16),tblDaily[WardCode],"MAE")=0,"",SUMIFS(tblDaily[Remaining],tblDaily[EntryDate],DATE(2026,10,16),tblDaily[WardCode],"MAE")),"")</f>
        <v/>
      </c>
    </row>
    <row r="374">
      <c r="A374" s="12" t="n">
        <v>17</v>
      </c>
      <c r="B374" s="12">
        <f>IFERROR(IF(SUMIFS(tblDaily[Admissions],tblDaily[EntryDate],DATE(2026,10,17),tblDaily[WardCode],"MAE")=0,"",SUMIFS(tblDaily[Admissions],tblDaily[EntryDate],DATE(2026,10,17),tblDaily[WardCode],"MAE")),"")</f>
        <v/>
      </c>
      <c r="C374" s="12">
        <f>IFERROR(IF(SUMIFS(tblDaily[Discharges],tblDaily[EntryDate],DATE(2026,10,17),tblDaily[WardCode],"MAE")=0,"",SUMIFS(tblDaily[Discharges],tblDaily[EntryDate],DATE(2026,10,17),tblDaily[WardCode],"MAE")),"")</f>
        <v/>
      </c>
      <c r="D374" s="12">
        <f>IFERROR(IF(SUMIFS(tblDaily[Deaths],tblDaily[EntryDate],DATE(2026,10,17),tblDaily[WardCode],"MAE")=0,"",SUMIFS(tblDaily[Deaths],tblDaily[EntryDate],DATE(2026,10,17),tblDaily[WardCode],"MAE")),"")</f>
        <v/>
      </c>
      <c r="E374" s="12">
        <f>IFERROR(IF(SUMIFS(tblDaily[DeathsUnder24Hrs],tblDaily[EntryDate],DATE(2026,10,17),tblDaily[WardCode],"MAE")=0,"",SUMIFS(tblDaily[DeathsUnder24Hrs],tblDaily[EntryDate],DATE(2026,10,17),tblDaily[WardCode],"MAE")),"")</f>
        <v/>
      </c>
      <c r="F374" s="12">
        <f>IFERROR(IF(SUMIFS(tblDaily[TransfersIn],tblDaily[EntryDate],DATE(2026,10,17),tblDaily[WardCode],"MAE")=0,"",SUMIFS(tblDaily[TransfersIn],tblDaily[EntryDate],DATE(2026,10,17),tblDaily[WardCode],"MAE")),"")</f>
        <v/>
      </c>
      <c r="G374" s="12">
        <f>IFERROR(IF(SUMIFS(tblDaily[TransfersOut],tblDaily[EntryDate],DATE(2026,10,17),tblDaily[WardCode],"MAE")=0,"",SUMIFS(tblDaily[TransfersOut],tblDaily[EntryDate],DATE(2026,10,17),tblDaily[WardCode],"MAE")),"")</f>
        <v/>
      </c>
      <c r="H374" s="12">
        <f>IFERROR(IF(SUMIFS(tblDaily[Remaining],tblDaily[EntryDate],DATE(2026,10,17),tblDaily[WardCode],"MAE")=0,"",SUMIFS(tblDaily[Remaining],tblDaily[EntryDate],DATE(2026,10,17),tblDaily[WardCode],"MAE")),"")</f>
        <v/>
      </c>
    </row>
    <row r="375">
      <c r="A375" s="12" t="n">
        <v>18</v>
      </c>
      <c r="B375" s="12">
        <f>IFERROR(IF(SUMIFS(tblDaily[Admissions],tblDaily[EntryDate],DATE(2026,10,18),tblDaily[WardCode],"MAE")=0,"",SUMIFS(tblDaily[Admissions],tblDaily[EntryDate],DATE(2026,10,18),tblDaily[WardCode],"MAE")),"")</f>
        <v/>
      </c>
      <c r="C375" s="12">
        <f>IFERROR(IF(SUMIFS(tblDaily[Discharges],tblDaily[EntryDate],DATE(2026,10,18),tblDaily[WardCode],"MAE")=0,"",SUMIFS(tblDaily[Discharges],tblDaily[EntryDate],DATE(2026,10,18),tblDaily[WardCode],"MAE")),"")</f>
        <v/>
      </c>
      <c r="D375" s="12">
        <f>IFERROR(IF(SUMIFS(tblDaily[Deaths],tblDaily[EntryDate],DATE(2026,10,18),tblDaily[WardCode],"MAE")=0,"",SUMIFS(tblDaily[Deaths],tblDaily[EntryDate],DATE(2026,10,18),tblDaily[WardCode],"MAE")),"")</f>
        <v/>
      </c>
      <c r="E375" s="12">
        <f>IFERROR(IF(SUMIFS(tblDaily[DeathsUnder24Hrs],tblDaily[EntryDate],DATE(2026,10,18),tblDaily[WardCode],"MAE")=0,"",SUMIFS(tblDaily[DeathsUnder24Hrs],tblDaily[EntryDate],DATE(2026,10,18),tblDaily[WardCode],"MAE")),"")</f>
        <v/>
      </c>
      <c r="F375" s="12">
        <f>IFERROR(IF(SUMIFS(tblDaily[TransfersIn],tblDaily[EntryDate],DATE(2026,10,18),tblDaily[WardCode],"MAE")=0,"",SUMIFS(tblDaily[TransfersIn],tblDaily[EntryDate],DATE(2026,10,18),tblDaily[WardCode],"MAE")),"")</f>
        <v/>
      </c>
      <c r="G375" s="12">
        <f>IFERROR(IF(SUMIFS(tblDaily[TransfersOut],tblDaily[EntryDate],DATE(2026,10,18),tblDaily[WardCode],"MAE")=0,"",SUMIFS(tblDaily[TransfersOut],tblDaily[EntryDate],DATE(2026,10,18),tblDaily[WardCode],"MAE")),"")</f>
        <v/>
      </c>
      <c r="H375" s="12">
        <f>IFERROR(IF(SUMIFS(tblDaily[Remaining],tblDaily[EntryDate],DATE(2026,10,18),tblDaily[WardCode],"MAE")=0,"",SUMIFS(tblDaily[Remaining],tblDaily[EntryDate],DATE(2026,10,18),tblDaily[WardCode],"MAE")),"")</f>
        <v/>
      </c>
    </row>
    <row r="376">
      <c r="A376" s="12" t="n">
        <v>19</v>
      </c>
      <c r="B376" s="12">
        <f>IFERROR(IF(SUMIFS(tblDaily[Admissions],tblDaily[EntryDate],DATE(2026,10,19),tblDaily[WardCode],"MAE")=0,"",SUMIFS(tblDaily[Admissions],tblDaily[EntryDate],DATE(2026,10,19),tblDaily[WardCode],"MAE")),"")</f>
        <v/>
      </c>
      <c r="C376" s="12">
        <f>IFERROR(IF(SUMIFS(tblDaily[Discharges],tblDaily[EntryDate],DATE(2026,10,19),tblDaily[WardCode],"MAE")=0,"",SUMIFS(tblDaily[Discharges],tblDaily[EntryDate],DATE(2026,10,19),tblDaily[WardCode],"MAE")),"")</f>
        <v/>
      </c>
      <c r="D376" s="12">
        <f>IFERROR(IF(SUMIFS(tblDaily[Deaths],tblDaily[EntryDate],DATE(2026,10,19),tblDaily[WardCode],"MAE")=0,"",SUMIFS(tblDaily[Deaths],tblDaily[EntryDate],DATE(2026,10,19),tblDaily[WardCode],"MAE")),"")</f>
        <v/>
      </c>
      <c r="E376" s="12">
        <f>IFERROR(IF(SUMIFS(tblDaily[DeathsUnder24Hrs],tblDaily[EntryDate],DATE(2026,10,19),tblDaily[WardCode],"MAE")=0,"",SUMIFS(tblDaily[DeathsUnder24Hrs],tblDaily[EntryDate],DATE(2026,10,19),tblDaily[WardCode],"MAE")),"")</f>
        <v/>
      </c>
      <c r="F376" s="12">
        <f>IFERROR(IF(SUMIFS(tblDaily[TransfersIn],tblDaily[EntryDate],DATE(2026,10,19),tblDaily[WardCode],"MAE")=0,"",SUMIFS(tblDaily[TransfersIn],tblDaily[EntryDate],DATE(2026,10,19),tblDaily[WardCode],"MAE")),"")</f>
        <v/>
      </c>
      <c r="G376" s="12">
        <f>IFERROR(IF(SUMIFS(tblDaily[TransfersOut],tblDaily[EntryDate],DATE(2026,10,19),tblDaily[WardCode],"MAE")=0,"",SUMIFS(tblDaily[TransfersOut],tblDaily[EntryDate],DATE(2026,10,19),tblDaily[WardCode],"MAE")),"")</f>
        <v/>
      </c>
      <c r="H376" s="12">
        <f>IFERROR(IF(SUMIFS(tblDaily[Remaining],tblDaily[EntryDate],DATE(2026,10,19),tblDaily[WardCode],"MAE")=0,"",SUMIFS(tblDaily[Remaining],tblDaily[EntryDate],DATE(2026,10,19),tblDaily[WardCode],"MAE")),"")</f>
        <v/>
      </c>
    </row>
    <row r="377">
      <c r="A377" s="12" t="n">
        <v>20</v>
      </c>
      <c r="B377" s="12">
        <f>IFERROR(IF(SUMIFS(tblDaily[Admissions],tblDaily[EntryDate],DATE(2026,10,20),tblDaily[WardCode],"MAE")=0,"",SUMIFS(tblDaily[Admissions],tblDaily[EntryDate],DATE(2026,10,20),tblDaily[WardCode],"MAE")),"")</f>
        <v/>
      </c>
      <c r="C377" s="12">
        <f>IFERROR(IF(SUMIFS(tblDaily[Discharges],tblDaily[EntryDate],DATE(2026,10,20),tblDaily[WardCode],"MAE")=0,"",SUMIFS(tblDaily[Discharges],tblDaily[EntryDate],DATE(2026,10,20),tblDaily[WardCode],"MAE")),"")</f>
        <v/>
      </c>
      <c r="D377" s="12">
        <f>IFERROR(IF(SUMIFS(tblDaily[Deaths],tblDaily[EntryDate],DATE(2026,10,20),tblDaily[WardCode],"MAE")=0,"",SUMIFS(tblDaily[Deaths],tblDaily[EntryDate],DATE(2026,10,20),tblDaily[WardCode],"MAE")),"")</f>
        <v/>
      </c>
      <c r="E377" s="12">
        <f>IFERROR(IF(SUMIFS(tblDaily[DeathsUnder24Hrs],tblDaily[EntryDate],DATE(2026,10,20),tblDaily[WardCode],"MAE")=0,"",SUMIFS(tblDaily[DeathsUnder24Hrs],tblDaily[EntryDate],DATE(2026,10,20),tblDaily[WardCode],"MAE")),"")</f>
        <v/>
      </c>
      <c r="F377" s="12">
        <f>IFERROR(IF(SUMIFS(tblDaily[TransfersIn],tblDaily[EntryDate],DATE(2026,10,20),tblDaily[WardCode],"MAE")=0,"",SUMIFS(tblDaily[TransfersIn],tblDaily[EntryDate],DATE(2026,10,20),tblDaily[WardCode],"MAE")),"")</f>
        <v/>
      </c>
      <c r="G377" s="12">
        <f>IFERROR(IF(SUMIFS(tblDaily[TransfersOut],tblDaily[EntryDate],DATE(2026,10,20),tblDaily[WardCode],"MAE")=0,"",SUMIFS(tblDaily[TransfersOut],tblDaily[EntryDate],DATE(2026,10,20),tblDaily[WardCode],"MAE")),"")</f>
        <v/>
      </c>
      <c r="H377" s="12">
        <f>IFERROR(IF(SUMIFS(tblDaily[Remaining],tblDaily[EntryDate],DATE(2026,10,20),tblDaily[WardCode],"MAE")=0,"",SUMIFS(tblDaily[Remaining],tblDaily[EntryDate],DATE(2026,10,20),tblDaily[WardCode],"MAE")),"")</f>
        <v/>
      </c>
    </row>
    <row r="378">
      <c r="A378" s="12" t="n">
        <v>21</v>
      </c>
      <c r="B378" s="12">
        <f>IFERROR(IF(SUMIFS(tblDaily[Admissions],tblDaily[EntryDate],DATE(2026,10,21),tblDaily[WardCode],"MAE")=0,"",SUMIFS(tblDaily[Admissions],tblDaily[EntryDate],DATE(2026,10,21),tblDaily[WardCode],"MAE")),"")</f>
        <v/>
      </c>
      <c r="C378" s="12">
        <f>IFERROR(IF(SUMIFS(tblDaily[Discharges],tblDaily[EntryDate],DATE(2026,10,21),tblDaily[WardCode],"MAE")=0,"",SUMIFS(tblDaily[Discharges],tblDaily[EntryDate],DATE(2026,10,21),tblDaily[WardCode],"MAE")),"")</f>
        <v/>
      </c>
      <c r="D378" s="12">
        <f>IFERROR(IF(SUMIFS(tblDaily[Deaths],tblDaily[EntryDate],DATE(2026,10,21),tblDaily[WardCode],"MAE")=0,"",SUMIFS(tblDaily[Deaths],tblDaily[EntryDate],DATE(2026,10,21),tblDaily[WardCode],"MAE")),"")</f>
        <v/>
      </c>
      <c r="E378" s="12">
        <f>IFERROR(IF(SUMIFS(tblDaily[DeathsUnder24Hrs],tblDaily[EntryDate],DATE(2026,10,21),tblDaily[WardCode],"MAE")=0,"",SUMIFS(tblDaily[DeathsUnder24Hrs],tblDaily[EntryDate],DATE(2026,10,21),tblDaily[WardCode],"MAE")),"")</f>
        <v/>
      </c>
      <c r="F378" s="12">
        <f>IFERROR(IF(SUMIFS(tblDaily[TransfersIn],tblDaily[EntryDate],DATE(2026,10,21),tblDaily[WardCode],"MAE")=0,"",SUMIFS(tblDaily[TransfersIn],tblDaily[EntryDate],DATE(2026,10,21),tblDaily[WardCode],"MAE")),"")</f>
        <v/>
      </c>
      <c r="G378" s="12">
        <f>IFERROR(IF(SUMIFS(tblDaily[TransfersOut],tblDaily[EntryDate],DATE(2026,10,21),tblDaily[WardCode],"MAE")=0,"",SUMIFS(tblDaily[TransfersOut],tblDaily[EntryDate],DATE(2026,10,21),tblDaily[WardCode],"MAE")),"")</f>
        <v/>
      </c>
      <c r="H378" s="12">
        <f>IFERROR(IF(SUMIFS(tblDaily[Remaining],tblDaily[EntryDate],DATE(2026,10,21),tblDaily[WardCode],"MAE")=0,"",SUMIFS(tblDaily[Remaining],tblDaily[EntryDate],DATE(2026,10,21),tblDaily[WardCode],"MAE")),"")</f>
        <v/>
      </c>
    </row>
    <row r="379">
      <c r="A379" s="12" t="n">
        <v>22</v>
      </c>
      <c r="B379" s="12">
        <f>IFERROR(IF(SUMIFS(tblDaily[Admissions],tblDaily[EntryDate],DATE(2026,10,22),tblDaily[WardCode],"MAE")=0,"",SUMIFS(tblDaily[Admissions],tblDaily[EntryDate],DATE(2026,10,22),tblDaily[WardCode],"MAE")),"")</f>
        <v/>
      </c>
      <c r="C379" s="12">
        <f>IFERROR(IF(SUMIFS(tblDaily[Discharges],tblDaily[EntryDate],DATE(2026,10,22),tblDaily[WardCode],"MAE")=0,"",SUMIFS(tblDaily[Discharges],tblDaily[EntryDate],DATE(2026,10,22),tblDaily[WardCode],"MAE")),"")</f>
        <v/>
      </c>
      <c r="D379" s="12">
        <f>IFERROR(IF(SUMIFS(tblDaily[Deaths],tblDaily[EntryDate],DATE(2026,10,22),tblDaily[WardCode],"MAE")=0,"",SUMIFS(tblDaily[Deaths],tblDaily[EntryDate],DATE(2026,10,22),tblDaily[WardCode],"MAE")),"")</f>
        <v/>
      </c>
      <c r="E379" s="12">
        <f>IFERROR(IF(SUMIFS(tblDaily[DeathsUnder24Hrs],tblDaily[EntryDate],DATE(2026,10,22),tblDaily[WardCode],"MAE")=0,"",SUMIFS(tblDaily[DeathsUnder24Hrs],tblDaily[EntryDate],DATE(2026,10,22),tblDaily[WardCode],"MAE")),"")</f>
        <v/>
      </c>
      <c r="F379" s="12">
        <f>IFERROR(IF(SUMIFS(tblDaily[TransfersIn],tblDaily[EntryDate],DATE(2026,10,22),tblDaily[WardCode],"MAE")=0,"",SUMIFS(tblDaily[TransfersIn],tblDaily[EntryDate],DATE(2026,10,22),tblDaily[WardCode],"MAE")),"")</f>
        <v/>
      </c>
      <c r="G379" s="12">
        <f>IFERROR(IF(SUMIFS(tblDaily[TransfersOut],tblDaily[EntryDate],DATE(2026,10,22),tblDaily[WardCode],"MAE")=0,"",SUMIFS(tblDaily[TransfersOut],tblDaily[EntryDate],DATE(2026,10,22),tblDaily[WardCode],"MAE")),"")</f>
        <v/>
      </c>
      <c r="H379" s="12">
        <f>IFERROR(IF(SUMIFS(tblDaily[Remaining],tblDaily[EntryDate],DATE(2026,10,22),tblDaily[WardCode],"MAE")=0,"",SUMIFS(tblDaily[Remaining],tblDaily[EntryDate],DATE(2026,10,22),tblDaily[WardCode],"MAE")),"")</f>
        <v/>
      </c>
    </row>
    <row r="380">
      <c r="A380" s="12" t="n">
        <v>23</v>
      </c>
      <c r="B380" s="12">
        <f>IFERROR(IF(SUMIFS(tblDaily[Admissions],tblDaily[EntryDate],DATE(2026,10,23),tblDaily[WardCode],"MAE")=0,"",SUMIFS(tblDaily[Admissions],tblDaily[EntryDate],DATE(2026,10,23),tblDaily[WardCode],"MAE")),"")</f>
        <v/>
      </c>
      <c r="C380" s="12">
        <f>IFERROR(IF(SUMIFS(tblDaily[Discharges],tblDaily[EntryDate],DATE(2026,10,23),tblDaily[WardCode],"MAE")=0,"",SUMIFS(tblDaily[Discharges],tblDaily[EntryDate],DATE(2026,10,23),tblDaily[WardCode],"MAE")),"")</f>
        <v/>
      </c>
      <c r="D380" s="12">
        <f>IFERROR(IF(SUMIFS(tblDaily[Deaths],tblDaily[EntryDate],DATE(2026,10,23),tblDaily[WardCode],"MAE")=0,"",SUMIFS(tblDaily[Deaths],tblDaily[EntryDate],DATE(2026,10,23),tblDaily[WardCode],"MAE")),"")</f>
        <v/>
      </c>
      <c r="E380" s="12">
        <f>IFERROR(IF(SUMIFS(tblDaily[DeathsUnder24Hrs],tblDaily[EntryDate],DATE(2026,10,23),tblDaily[WardCode],"MAE")=0,"",SUMIFS(tblDaily[DeathsUnder24Hrs],tblDaily[EntryDate],DATE(2026,10,23),tblDaily[WardCode],"MAE")),"")</f>
        <v/>
      </c>
      <c r="F380" s="12">
        <f>IFERROR(IF(SUMIFS(tblDaily[TransfersIn],tblDaily[EntryDate],DATE(2026,10,23),tblDaily[WardCode],"MAE")=0,"",SUMIFS(tblDaily[TransfersIn],tblDaily[EntryDate],DATE(2026,10,23),tblDaily[WardCode],"MAE")),"")</f>
        <v/>
      </c>
      <c r="G380" s="12">
        <f>IFERROR(IF(SUMIFS(tblDaily[TransfersOut],tblDaily[EntryDate],DATE(2026,10,23),tblDaily[WardCode],"MAE")=0,"",SUMIFS(tblDaily[TransfersOut],tblDaily[EntryDate],DATE(2026,10,23),tblDaily[WardCode],"MAE")),"")</f>
        <v/>
      </c>
      <c r="H380" s="12">
        <f>IFERROR(IF(SUMIFS(tblDaily[Remaining],tblDaily[EntryDate],DATE(2026,10,23),tblDaily[WardCode],"MAE")=0,"",SUMIFS(tblDaily[Remaining],tblDaily[EntryDate],DATE(2026,10,23),tblDaily[WardCode],"MAE")),"")</f>
        <v/>
      </c>
    </row>
    <row r="381">
      <c r="A381" s="12" t="n">
        <v>24</v>
      </c>
      <c r="B381" s="12">
        <f>IFERROR(IF(SUMIFS(tblDaily[Admissions],tblDaily[EntryDate],DATE(2026,10,24),tblDaily[WardCode],"MAE")=0,"",SUMIFS(tblDaily[Admissions],tblDaily[EntryDate],DATE(2026,10,24),tblDaily[WardCode],"MAE")),"")</f>
        <v/>
      </c>
      <c r="C381" s="12">
        <f>IFERROR(IF(SUMIFS(tblDaily[Discharges],tblDaily[EntryDate],DATE(2026,10,24),tblDaily[WardCode],"MAE")=0,"",SUMIFS(tblDaily[Discharges],tblDaily[EntryDate],DATE(2026,10,24),tblDaily[WardCode],"MAE")),"")</f>
        <v/>
      </c>
      <c r="D381" s="12">
        <f>IFERROR(IF(SUMIFS(tblDaily[Deaths],tblDaily[EntryDate],DATE(2026,10,24),tblDaily[WardCode],"MAE")=0,"",SUMIFS(tblDaily[Deaths],tblDaily[EntryDate],DATE(2026,10,24),tblDaily[WardCode],"MAE")),"")</f>
        <v/>
      </c>
      <c r="E381" s="12">
        <f>IFERROR(IF(SUMIFS(tblDaily[DeathsUnder24Hrs],tblDaily[EntryDate],DATE(2026,10,24),tblDaily[WardCode],"MAE")=0,"",SUMIFS(tblDaily[DeathsUnder24Hrs],tblDaily[EntryDate],DATE(2026,10,24),tblDaily[WardCode],"MAE")),"")</f>
        <v/>
      </c>
      <c r="F381" s="12">
        <f>IFERROR(IF(SUMIFS(tblDaily[TransfersIn],tblDaily[EntryDate],DATE(2026,10,24),tblDaily[WardCode],"MAE")=0,"",SUMIFS(tblDaily[TransfersIn],tblDaily[EntryDate],DATE(2026,10,24),tblDaily[WardCode],"MAE")),"")</f>
        <v/>
      </c>
      <c r="G381" s="12">
        <f>IFERROR(IF(SUMIFS(tblDaily[TransfersOut],tblDaily[EntryDate],DATE(2026,10,24),tblDaily[WardCode],"MAE")=0,"",SUMIFS(tblDaily[TransfersOut],tblDaily[EntryDate],DATE(2026,10,24),tblDaily[WardCode],"MAE")),"")</f>
        <v/>
      </c>
      <c r="H381" s="12">
        <f>IFERROR(IF(SUMIFS(tblDaily[Remaining],tblDaily[EntryDate],DATE(2026,10,24),tblDaily[WardCode],"MAE")=0,"",SUMIFS(tblDaily[Remaining],tblDaily[EntryDate],DATE(2026,10,24),tblDaily[WardCode],"MAE")),"")</f>
        <v/>
      </c>
    </row>
    <row r="382">
      <c r="A382" s="12" t="n">
        <v>25</v>
      </c>
      <c r="B382" s="12">
        <f>IFERROR(IF(SUMIFS(tblDaily[Admissions],tblDaily[EntryDate],DATE(2026,10,25),tblDaily[WardCode],"MAE")=0,"",SUMIFS(tblDaily[Admissions],tblDaily[EntryDate],DATE(2026,10,25),tblDaily[WardCode],"MAE")),"")</f>
        <v/>
      </c>
      <c r="C382" s="12">
        <f>IFERROR(IF(SUMIFS(tblDaily[Discharges],tblDaily[EntryDate],DATE(2026,10,25),tblDaily[WardCode],"MAE")=0,"",SUMIFS(tblDaily[Discharges],tblDaily[EntryDate],DATE(2026,10,25),tblDaily[WardCode],"MAE")),"")</f>
        <v/>
      </c>
      <c r="D382" s="12">
        <f>IFERROR(IF(SUMIFS(tblDaily[Deaths],tblDaily[EntryDate],DATE(2026,10,25),tblDaily[WardCode],"MAE")=0,"",SUMIFS(tblDaily[Deaths],tblDaily[EntryDate],DATE(2026,10,25),tblDaily[WardCode],"MAE")),"")</f>
        <v/>
      </c>
      <c r="E382" s="12">
        <f>IFERROR(IF(SUMIFS(tblDaily[DeathsUnder24Hrs],tblDaily[EntryDate],DATE(2026,10,25),tblDaily[WardCode],"MAE")=0,"",SUMIFS(tblDaily[DeathsUnder24Hrs],tblDaily[EntryDate],DATE(2026,10,25),tblDaily[WardCode],"MAE")),"")</f>
        <v/>
      </c>
      <c r="F382" s="12">
        <f>IFERROR(IF(SUMIFS(tblDaily[TransfersIn],tblDaily[EntryDate],DATE(2026,10,25),tblDaily[WardCode],"MAE")=0,"",SUMIFS(tblDaily[TransfersIn],tblDaily[EntryDate],DATE(2026,10,25),tblDaily[WardCode],"MAE")),"")</f>
        <v/>
      </c>
      <c r="G382" s="12">
        <f>IFERROR(IF(SUMIFS(tblDaily[TransfersOut],tblDaily[EntryDate],DATE(2026,10,25),tblDaily[WardCode],"MAE")=0,"",SUMIFS(tblDaily[TransfersOut],tblDaily[EntryDate],DATE(2026,10,25),tblDaily[WardCode],"MAE")),"")</f>
        <v/>
      </c>
      <c r="H382" s="12">
        <f>IFERROR(IF(SUMIFS(tblDaily[Remaining],tblDaily[EntryDate],DATE(2026,10,25),tblDaily[WardCode],"MAE")=0,"",SUMIFS(tblDaily[Remaining],tblDaily[EntryDate],DATE(2026,10,25),tblDaily[WardCode],"MAE")),"")</f>
        <v/>
      </c>
    </row>
    <row r="383">
      <c r="A383" s="12" t="n">
        <v>26</v>
      </c>
      <c r="B383" s="12">
        <f>IFERROR(IF(SUMIFS(tblDaily[Admissions],tblDaily[EntryDate],DATE(2026,10,26),tblDaily[WardCode],"MAE")=0,"",SUMIFS(tblDaily[Admissions],tblDaily[EntryDate],DATE(2026,10,26),tblDaily[WardCode],"MAE")),"")</f>
        <v/>
      </c>
      <c r="C383" s="12">
        <f>IFERROR(IF(SUMIFS(tblDaily[Discharges],tblDaily[EntryDate],DATE(2026,10,26),tblDaily[WardCode],"MAE")=0,"",SUMIFS(tblDaily[Discharges],tblDaily[EntryDate],DATE(2026,10,26),tblDaily[WardCode],"MAE")),"")</f>
        <v/>
      </c>
      <c r="D383" s="12">
        <f>IFERROR(IF(SUMIFS(tblDaily[Deaths],tblDaily[EntryDate],DATE(2026,10,26),tblDaily[WardCode],"MAE")=0,"",SUMIFS(tblDaily[Deaths],tblDaily[EntryDate],DATE(2026,10,26),tblDaily[WardCode],"MAE")),"")</f>
        <v/>
      </c>
      <c r="E383" s="12">
        <f>IFERROR(IF(SUMIFS(tblDaily[DeathsUnder24Hrs],tblDaily[EntryDate],DATE(2026,10,26),tblDaily[WardCode],"MAE")=0,"",SUMIFS(tblDaily[DeathsUnder24Hrs],tblDaily[EntryDate],DATE(2026,10,26),tblDaily[WardCode],"MAE")),"")</f>
        <v/>
      </c>
      <c r="F383" s="12">
        <f>IFERROR(IF(SUMIFS(tblDaily[TransfersIn],tblDaily[EntryDate],DATE(2026,10,26),tblDaily[WardCode],"MAE")=0,"",SUMIFS(tblDaily[TransfersIn],tblDaily[EntryDate],DATE(2026,10,26),tblDaily[WardCode],"MAE")),"")</f>
        <v/>
      </c>
      <c r="G383" s="12">
        <f>IFERROR(IF(SUMIFS(tblDaily[TransfersOut],tblDaily[EntryDate],DATE(2026,10,26),tblDaily[WardCode],"MAE")=0,"",SUMIFS(tblDaily[TransfersOut],tblDaily[EntryDate],DATE(2026,10,26),tblDaily[WardCode],"MAE")),"")</f>
        <v/>
      </c>
      <c r="H383" s="12">
        <f>IFERROR(IF(SUMIFS(tblDaily[Remaining],tblDaily[EntryDate],DATE(2026,10,26),tblDaily[WardCode],"MAE")=0,"",SUMIFS(tblDaily[Remaining],tblDaily[EntryDate],DATE(2026,10,26),tblDaily[WardCode],"MAE")),"")</f>
        <v/>
      </c>
    </row>
    <row r="384">
      <c r="A384" s="12" t="n">
        <v>27</v>
      </c>
      <c r="B384" s="12">
        <f>IFERROR(IF(SUMIFS(tblDaily[Admissions],tblDaily[EntryDate],DATE(2026,10,27),tblDaily[WardCode],"MAE")=0,"",SUMIFS(tblDaily[Admissions],tblDaily[EntryDate],DATE(2026,10,27),tblDaily[WardCode],"MAE")),"")</f>
        <v/>
      </c>
      <c r="C384" s="12">
        <f>IFERROR(IF(SUMIFS(tblDaily[Discharges],tblDaily[EntryDate],DATE(2026,10,27),tblDaily[WardCode],"MAE")=0,"",SUMIFS(tblDaily[Discharges],tblDaily[EntryDate],DATE(2026,10,27),tblDaily[WardCode],"MAE")),"")</f>
        <v/>
      </c>
      <c r="D384" s="12">
        <f>IFERROR(IF(SUMIFS(tblDaily[Deaths],tblDaily[EntryDate],DATE(2026,10,27),tblDaily[WardCode],"MAE")=0,"",SUMIFS(tblDaily[Deaths],tblDaily[EntryDate],DATE(2026,10,27),tblDaily[WardCode],"MAE")),"")</f>
        <v/>
      </c>
      <c r="E384" s="12">
        <f>IFERROR(IF(SUMIFS(tblDaily[DeathsUnder24Hrs],tblDaily[EntryDate],DATE(2026,10,27),tblDaily[WardCode],"MAE")=0,"",SUMIFS(tblDaily[DeathsUnder24Hrs],tblDaily[EntryDate],DATE(2026,10,27),tblDaily[WardCode],"MAE")),"")</f>
        <v/>
      </c>
      <c r="F384" s="12">
        <f>IFERROR(IF(SUMIFS(tblDaily[TransfersIn],tblDaily[EntryDate],DATE(2026,10,27),tblDaily[WardCode],"MAE")=0,"",SUMIFS(tblDaily[TransfersIn],tblDaily[EntryDate],DATE(2026,10,27),tblDaily[WardCode],"MAE")),"")</f>
        <v/>
      </c>
      <c r="G384" s="12">
        <f>IFERROR(IF(SUMIFS(tblDaily[TransfersOut],tblDaily[EntryDate],DATE(2026,10,27),tblDaily[WardCode],"MAE")=0,"",SUMIFS(tblDaily[TransfersOut],tblDaily[EntryDate],DATE(2026,10,27),tblDaily[WardCode],"MAE")),"")</f>
        <v/>
      </c>
      <c r="H384" s="12">
        <f>IFERROR(IF(SUMIFS(tblDaily[Remaining],tblDaily[EntryDate],DATE(2026,10,27),tblDaily[WardCode],"MAE")=0,"",SUMIFS(tblDaily[Remaining],tblDaily[EntryDate],DATE(2026,10,27),tblDaily[WardCode],"MAE")),"")</f>
        <v/>
      </c>
    </row>
    <row r="385">
      <c r="A385" s="12" t="n">
        <v>28</v>
      </c>
      <c r="B385" s="12">
        <f>IFERROR(IF(SUMIFS(tblDaily[Admissions],tblDaily[EntryDate],DATE(2026,10,28),tblDaily[WardCode],"MAE")=0,"",SUMIFS(tblDaily[Admissions],tblDaily[EntryDate],DATE(2026,10,28),tblDaily[WardCode],"MAE")),"")</f>
        <v/>
      </c>
      <c r="C385" s="12">
        <f>IFERROR(IF(SUMIFS(tblDaily[Discharges],tblDaily[EntryDate],DATE(2026,10,28),tblDaily[WardCode],"MAE")=0,"",SUMIFS(tblDaily[Discharges],tblDaily[EntryDate],DATE(2026,10,28),tblDaily[WardCode],"MAE")),"")</f>
        <v/>
      </c>
      <c r="D385" s="12">
        <f>IFERROR(IF(SUMIFS(tblDaily[Deaths],tblDaily[EntryDate],DATE(2026,10,28),tblDaily[WardCode],"MAE")=0,"",SUMIFS(tblDaily[Deaths],tblDaily[EntryDate],DATE(2026,10,28),tblDaily[WardCode],"MAE")),"")</f>
        <v/>
      </c>
      <c r="E385" s="12">
        <f>IFERROR(IF(SUMIFS(tblDaily[DeathsUnder24Hrs],tblDaily[EntryDate],DATE(2026,10,28),tblDaily[WardCode],"MAE")=0,"",SUMIFS(tblDaily[DeathsUnder24Hrs],tblDaily[EntryDate],DATE(2026,10,28),tblDaily[WardCode],"MAE")),"")</f>
        <v/>
      </c>
      <c r="F385" s="12">
        <f>IFERROR(IF(SUMIFS(tblDaily[TransfersIn],tblDaily[EntryDate],DATE(2026,10,28),tblDaily[WardCode],"MAE")=0,"",SUMIFS(tblDaily[TransfersIn],tblDaily[EntryDate],DATE(2026,10,28),tblDaily[WardCode],"MAE")),"")</f>
        <v/>
      </c>
      <c r="G385" s="12">
        <f>IFERROR(IF(SUMIFS(tblDaily[TransfersOut],tblDaily[EntryDate],DATE(2026,10,28),tblDaily[WardCode],"MAE")=0,"",SUMIFS(tblDaily[TransfersOut],tblDaily[EntryDate],DATE(2026,10,28),tblDaily[WardCode],"MAE")),"")</f>
        <v/>
      </c>
      <c r="H385" s="12">
        <f>IFERROR(IF(SUMIFS(tblDaily[Remaining],tblDaily[EntryDate],DATE(2026,10,28),tblDaily[WardCode],"MAE")=0,"",SUMIFS(tblDaily[Remaining],tblDaily[EntryDate],DATE(2026,10,28),tblDaily[WardCode],"MAE")),"")</f>
        <v/>
      </c>
    </row>
    <row r="386">
      <c r="A386" s="12" t="n">
        <v>29</v>
      </c>
      <c r="B386" s="12">
        <f>IFERROR(IF(SUMIFS(tblDaily[Admissions],tblDaily[EntryDate],DATE(2026,10,29),tblDaily[WardCode],"MAE")=0,"",SUMIFS(tblDaily[Admissions],tblDaily[EntryDate],DATE(2026,10,29),tblDaily[WardCode],"MAE")),"")</f>
        <v/>
      </c>
      <c r="C386" s="12">
        <f>IFERROR(IF(SUMIFS(tblDaily[Discharges],tblDaily[EntryDate],DATE(2026,10,29),tblDaily[WardCode],"MAE")=0,"",SUMIFS(tblDaily[Discharges],tblDaily[EntryDate],DATE(2026,10,29),tblDaily[WardCode],"MAE")),"")</f>
        <v/>
      </c>
      <c r="D386" s="12">
        <f>IFERROR(IF(SUMIFS(tblDaily[Deaths],tblDaily[EntryDate],DATE(2026,10,29),tblDaily[WardCode],"MAE")=0,"",SUMIFS(tblDaily[Deaths],tblDaily[EntryDate],DATE(2026,10,29),tblDaily[WardCode],"MAE")),"")</f>
        <v/>
      </c>
      <c r="E386" s="12">
        <f>IFERROR(IF(SUMIFS(tblDaily[DeathsUnder24Hrs],tblDaily[EntryDate],DATE(2026,10,29),tblDaily[WardCode],"MAE")=0,"",SUMIFS(tblDaily[DeathsUnder24Hrs],tblDaily[EntryDate],DATE(2026,10,29),tblDaily[WardCode],"MAE")),"")</f>
        <v/>
      </c>
      <c r="F386" s="12">
        <f>IFERROR(IF(SUMIFS(tblDaily[TransfersIn],tblDaily[EntryDate],DATE(2026,10,29),tblDaily[WardCode],"MAE")=0,"",SUMIFS(tblDaily[TransfersIn],tblDaily[EntryDate],DATE(2026,10,29),tblDaily[WardCode],"MAE")),"")</f>
        <v/>
      </c>
      <c r="G386" s="12">
        <f>IFERROR(IF(SUMIFS(tblDaily[TransfersOut],tblDaily[EntryDate],DATE(2026,10,29),tblDaily[WardCode],"MAE")=0,"",SUMIFS(tblDaily[TransfersOut],tblDaily[EntryDate],DATE(2026,10,29),tblDaily[WardCode],"MAE")),"")</f>
        <v/>
      </c>
      <c r="H386" s="12">
        <f>IFERROR(IF(SUMIFS(tblDaily[Remaining],tblDaily[EntryDate],DATE(2026,10,29),tblDaily[WardCode],"MAE")=0,"",SUMIFS(tblDaily[Remaining],tblDaily[EntryDate],DATE(2026,10,29),tblDaily[WardCode],"MAE")),"")</f>
        <v/>
      </c>
    </row>
    <row r="387">
      <c r="A387" s="12" t="n">
        <v>30</v>
      </c>
      <c r="B387" s="12">
        <f>IFERROR(IF(SUMIFS(tblDaily[Admissions],tblDaily[EntryDate],DATE(2026,10,30),tblDaily[WardCode],"MAE")=0,"",SUMIFS(tblDaily[Admissions],tblDaily[EntryDate],DATE(2026,10,30),tblDaily[WardCode],"MAE")),"")</f>
        <v/>
      </c>
      <c r="C387" s="12">
        <f>IFERROR(IF(SUMIFS(tblDaily[Discharges],tblDaily[EntryDate],DATE(2026,10,30),tblDaily[WardCode],"MAE")=0,"",SUMIFS(tblDaily[Discharges],tblDaily[EntryDate],DATE(2026,10,30),tblDaily[WardCode],"MAE")),"")</f>
        <v/>
      </c>
      <c r="D387" s="12">
        <f>IFERROR(IF(SUMIFS(tblDaily[Deaths],tblDaily[EntryDate],DATE(2026,10,30),tblDaily[WardCode],"MAE")=0,"",SUMIFS(tblDaily[Deaths],tblDaily[EntryDate],DATE(2026,10,30),tblDaily[WardCode],"MAE")),"")</f>
        <v/>
      </c>
      <c r="E387" s="12">
        <f>IFERROR(IF(SUMIFS(tblDaily[DeathsUnder24Hrs],tblDaily[EntryDate],DATE(2026,10,30),tblDaily[WardCode],"MAE")=0,"",SUMIFS(tblDaily[DeathsUnder24Hrs],tblDaily[EntryDate],DATE(2026,10,30),tblDaily[WardCode],"MAE")),"")</f>
        <v/>
      </c>
      <c r="F387" s="12">
        <f>IFERROR(IF(SUMIFS(tblDaily[TransfersIn],tblDaily[EntryDate],DATE(2026,10,30),tblDaily[WardCode],"MAE")=0,"",SUMIFS(tblDaily[TransfersIn],tblDaily[EntryDate],DATE(2026,10,30),tblDaily[WardCode],"MAE")),"")</f>
        <v/>
      </c>
      <c r="G387" s="12">
        <f>IFERROR(IF(SUMIFS(tblDaily[TransfersOut],tblDaily[EntryDate],DATE(2026,10,30),tblDaily[WardCode],"MAE")=0,"",SUMIFS(tblDaily[TransfersOut],tblDaily[EntryDate],DATE(2026,10,30),tblDaily[WardCode],"MAE")),"")</f>
        <v/>
      </c>
      <c r="H387" s="12">
        <f>IFERROR(IF(SUMIFS(tblDaily[Remaining],tblDaily[EntryDate],DATE(2026,10,30),tblDaily[WardCode],"MAE")=0,"",SUMIFS(tblDaily[Remaining],tblDaily[EntryDate],DATE(2026,10,30),tblDaily[WardCode],"MAE")),"")</f>
        <v/>
      </c>
    </row>
    <row r="388">
      <c r="A388" s="12" t="n">
        <v>31</v>
      </c>
      <c r="B388" s="12">
        <f>IFERROR(IF(SUMIFS(tblDaily[Admissions],tblDaily[EntryDate],DATE(2026,10,31),tblDaily[WardCode],"MAE")=0,"",SUMIFS(tblDaily[Admissions],tblDaily[EntryDate],DATE(2026,10,31),tblDaily[WardCode],"MAE")),"")</f>
        <v/>
      </c>
      <c r="C388" s="12">
        <f>IFERROR(IF(SUMIFS(tblDaily[Discharges],tblDaily[EntryDate],DATE(2026,10,31),tblDaily[WardCode],"MAE")=0,"",SUMIFS(tblDaily[Discharges],tblDaily[EntryDate],DATE(2026,10,31),tblDaily[WardCode],"MAE")),"")</f>
        <v/>
      </c>
      <c r="D388" s="12">
        <f>IFERROR(IF(SUMIFS(tblDaily[Deaths],tblDaily[EntryDate],DATE(2026,10,31),tblDaily[WardCode],"MAE")=0,"",SUMIFS(tblDaily[Deaths],tblDaily[EntryDate],DATE(2026,10,31),tblDaily[WardCode],"MAE")),"")</f>
        <v/>
      </c>
      <c r="E388" s="12">
        <f>IFERROR(IF(SUMIFS(tblDaily[DeathsUnder24Hrs],tblDaily[EntryDate],DATE(2026,10,31),tblDaily[WardCode],"MAE")=0,"",SUMIFS(tblDaily[DeathsUnder24Hrs],tblDaily[EntryDate],DATE(2026,10,31),tblDaily[WardCode],"MAE")),"")</f>
        <v/>
      </c>
      <c r="F388" s="12">
        <f>IFERROR(IF(SUMIFS(tblDaily[TransfersIn],tblDaily[EntryDate],DATE(2026,10,31),tblDaily[WardCode],"MAE")=0,"",SUMIFS(tblDaily[TransfersIn],tblDaily[EntryDate],DATE(2026,10,31),tblDaily[WardCode],"MAE")),"")</f>
        <v/>
      </c>
      <c r="G388" s="12">
        <f>IFERROR(IF(SUMIFS(tblDaily[TransfersOut],tblDaily[EntryDate],DATE(2026,10,31),tblDaily[WardCode],"MAE")=0,"",SUMIFS(tblDaily[TransfersOut],tblDaily[EntryDate],DATE(2026,10,31),tblDaily[WardCode],"MAE")),"")</f>
        <v/>
      </c>
      <c r="H388" s="12">
        <f>IFERROR(IF(SUMIFS(tblDaily[Remaining],tblDaily[EntryDate],DATE(2026,10,31),tblDaily[WardCode],"MAE")=0,"",SUMIFS(tblDaily[Remaining],tblDaily[EntryDate],DATE(2026,10,31),tblDaily[WardCode],"MAE")),"")</f>
        <v/>
      </c>
    </row>
    <row r="389">
      <c r="A389" s="17" t="inlineStr">
        <is>
          <t>TOTAL</t>
        </is>
      </c>
      <c r="B389" s="17">
        <f>SUMIFS(tblDaily[Admissions],tblDaily[Month],10,tblDaily[WardCode],"MAE") - SUMIFS(tblDaily[DeathsUnder24Hrs],tblDaily[Month],10,tblDaily[WardCode],"MAE")</f>
        <v/>
      </c>
      <c r="C389" s="17">
        <f>SUMIFS(tblDaily[Discharges],tblDaily[Month],10,tblDaily[WardCode],"MAE")</f>
        <v/>
      </c>
      <c r="D389" s="17">
        <f>SUMIFS(tblDaily[Deaths],tblDaily[Month],10,tblDaily[WardCode],"MAE")</f>
        <v/>
      </c>
      <c r="E389" s="17">
        <f>SUMIFS(tblDaily[DeathsUnder24Hrs],tblDaily[Month],10,tblDaily[WardCode],"MAE")</f>
        <v/>
      </c>
      <c r="F389" s="17">
        <f>SUMIFS(tblDaily[TransfersIn],tblDaily[Month],10,tblDaily[WardCode],"MAE")</f>
        <v/>
      </c>
      <c r="G389" s="17">
        <f>SUMIFS(tblDaily[TransfersOut],tblDaily[Month],10,tblDaily[WardCode],"MAE")</f>
        <v/>
      </c>
      <c r="H389" s="17">
        <f>SUMIFS(tblDaily[Remaining],tblDaily[Month],10,tblDaily[WardCode],"MAE")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MALE EMERGENCY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4">
        <f>IFERROR(SUMIFS(tblDaily[Remaining],tblDaily[EntryDate],DATE(2026,10,31),tblDaily[WardCode],"MAE"),0)</f>
        <v/>
      </c>
    </row>
    <row r="395">
      <c r="A395" s="4" t="inlineStr">
        <is>
          <t>Bed complement</t>
        </is>
      </c>
      <c r="H395" s="15">
        <f>IFERROR(INDEX(tblWardConfig[BedComplement],MATCH("MAE",tblWardConfig[WardCode],0)),0)</f>
        <v/>
      </c>
    </row>
    <row r="396">
      <c r="A396" s="16" t="inlineStr">
        <is>
          <t>Day of
the
Month</t>
        </is>
      </c>
      <c r="B396" s="16" t="inlineStr">
        <is>
          <t>Admissions</t>
        </is>
      </c>
      <c r="C396" s="16" t="inlineStr">
        <is>
          <t>Discharges</t>
        </is>
      </c>
      <c r="D396" s="16" t="inlineStr">
        <is>
          <t>Deaths</t>
        </is>
      </c>
      <c r="E396" s="16" t="inlineStr">
        <is>
          <t>Deaths
&lt;24Hrs</t>
        </is>
      </c>
      <c r="F396" s="16" t="inlineStr">
        <is>
          <t>Transfers-
In</t>
        </is>
      </c>
      <c r="G396" s="16" t="inlineStr">
        <is>
          <t>Transfers-
Out</t>
        </is>
      </c>
      <c r="H396" s="16" t="inlineStr">
        <is>
          <t>No. of Patients
Remaining In
Ward</t>
        </is>
      </c>
    </row>
    <row r="397">
      <c r="A397" s="12" t="n">
        <v>1</v>
      </c>
      <c r="B397" s="12">
        <f>IFERROR(IF(SUMIFS(tblDaily[Admissions],tblDaily[EntryDate],DATE(2026,11,1),tblDaily[WardCode],"MAE")=0,"",SUMIFS(tblDaily[Admissions],tblDaily[EntryDate],DATE(2026,11,1),tblDaily[WardCode],"MAE")),"")</f>
        <v/>
      </c>
      <c r="C397" s="12">
        <f>IFERROR(IF(SUMIFS(tblDaily[Discharges],tblDaily[EntryDate],DATE(2026,11,1),tblDaily[WardCode],"MAE")=0,"",SUMIFS(tblDaily[Discharges],tblDaily[EntryDate],DATE(2026,11,1),tblDaily[WardCode],"MAE")),"")</f>
        <v/>
      </c>
      <c r="D397" s="12">
        <f>IFERROR(IF(SUMIFS(tblDaily[Deaths],tblDaily[EntryDate],DATE(2026,11,1),tblDaily[WardCode],"MAE")=0,"",SUMIFS(tblDaily[Deaths],tblDaily[EntryDate],DATE(2026,11,1),tblDaily[WardCode],"MAE")),"")</f>
        <v/>
      </c>
      <c r="E397" s="12">
        <f>IFERROR(IF(SUMIFS(tblDaily[DeathsUnder24Hrs],tblDaily[EntryDate],DATE(2026,11,1),tblDaily[WardCode],"MAE")=0,"",SUMIFS(tblDaily[DeathsUnder24Hrs],tblDaily[EntryDate],DATE(2026,11,1),tblDaily[WardCode],"MAE")),"")</f>
        <v/>
      </c>
      <c r="F397" s="12">
        <f>IFERROR(IF(SUMIFS(tblDaily[TransfersIn],tblDaily[EntryDate],DATE(2026,11,1),tblDaily[WardCode],"MAE")=0,"",SUMIFS(tblDaily[TransfersIn],tblDaily[EntryDate],DATE(2026,11,1),tblDaily[WardCode],"MAE")),"")</f>
        <v/>
      </c>
      <c r="G397" s="12">
        <f>IFERROR(IF(SUMIFS(tblDaily[TransfersOut],tblDaily[EntryDate],DATE(2026,11,1),tblDaily[WardCode],"MAE")=0,"",SUMIFS(tblDaily[TransfersOut],tblDaily[EntryDate],DATE(2026,11,1),tblDaily[WardCode],"MAE")),"")</f>
        <v/>
      </c>
      <c r="H397" s="12">
        <f>IFERROR(IF(SUMIFS(tblDaily[Remaining],tblDaily[EntryDate],DATE(2026,11,1),tblDaily[WardCode],"MAE")=0,"",SUMIFS(tblDaily[Remaining],tblDaily[EntryDate],DATE(2026,11,1),tblDaily[WardCode],"MAE")),"")</f>
        <v/>
      </c>
    </row>
    <row r="398">
      <c r="A398" s="12" t="n">
        <v>2</v>
      </c>
      <c r="B398" s="12">
        <f>IFERROR(IF(SUMIFS(tblDaily[Admissions],tblDaily[EntryDate],DATE(2026,11,2),tblDaily[WardCode],"MAE")=0,"",SUMIFS(tblDaily[Admissions],tblDaily[EntryDate],DATE(2026,11,2),tblDaily[WardCode],"MAE")),"")</f>
        <v/>
      </c>
      <c r="C398" s="12">
        <f>IFERROR(IF(SUMIFS(tblDaily[Discharges],tblDaily[EntryDate],DATE(2026,11,2),tblDaily[WardCode],"MAE")=0,"",SUMIFS(tblDaily[Discharges],tblDaily[EntryDate],DATE(2026,11,2),tblDaily[WardCode],"MAE")),"")</f>
        <v/>
      </c>
      <c r="D398" s="12">
        <f>IFERROR(IF(SUMIFS(tblDaily[Deaths],tblDaily[EntryDate],DATE(2026,11,2),tblDaily[WardCode],"MAE")=0,"",SUMIFS(tblDaily[Deaths],tblDaily[EntryDate],DATE(2026,11,2),tblDaily[WardCode],"MAE")),"")</f>
        <v/>
      </c>
      <c r="E398" s="12">
        <f>IFERROR(IF(SUMIFS(tblDaily[DeathsUnder24Hrs],tblDaily[EntryDate],DATE(2026,11,2),tblDaily[WardCode],"MAE")=0,"",SUMIFS(tblDaily[DeathsUnder24Hrs],tblDaily[EntryDate],DATE(2026,11,2),tblDaily[WardCode],"MAE")),"")</f>
        <v/>
      </c>
      <c r="F398" s="12">
        <f>IFERROR(IF(SUMIFS(tblDaily[TransfersIn],tblDaily[EntryDate],DATE(2026,11,2),tblDaily[WardCode],"MAE")=0,"",SUMIFS(tblDaily[TransfersIn],tblDaily[EntryDate],DATE(2026,11,2),tblDaily[WardCode],"MAE")),"")</f>
        <v/>
      </c>
      <c r="G398" s="12">
        <f>IFERROR(IF(SUMIFS(tblDaily[TransfersOut],tblDaily[EntryDate],DATE(2026,11,2),tblDaily[WardCode],"MAE")=0,"",SUMIFS(tblDaily[TransfersOut],tblDaily[EntryDate],DATE(2026,11,2),tblDaily[WardCode],"MAE")),"")</f>
        <v/>
      </c>
      <c r="H398" s="12">
        <f>IFERROR(IF(SUMIFS(tblDaily[Remaining],tblDaily[EntryDate],DATE(2026,11,2),tblDaily[WardCode],"MAE")=0,"",SUMIFS(tblDaily[Remaining],tblDaily[EntryDate],DATE(2026,11,2),tblDaily[WardCode],"MAE")),"")</f>
        <v/>
      </c>
    </row>
    <row r="399">
      <c r="A399" s="12" t="n">
        <v>3</v>
      </c>
      <c r="B399" s="12">
        <f>IFERROR(IF(SUMIFS(tblDaily[Admissions],tblDaily[EntryDate],DATE(2026,11,3),tblDaily[WardCode],"MAE")=0,"",SUMIFS(tblDaily[Admissions],tblDaily[EntryDate],DATE(2026,11,3),tblDaily[WardCode],"MAE")),"")</f>
        <v/>
      </c>
      <c r="C399" s="12">
        <f>IFERROR(IF(SUMIFS(tblDaily[Discharges],tblDaily[EntryDate],DATE(2026,11,3),tblDaily[WardCode],"MAE")=0,"",SUMIFS(tblDaily[Discharges],tblDaily[EntryDate],DATE(2026,11,3),tblDaily[WardCode],"MAE")),"")</f>
        <v/>
      </c>
      <c r="D399" s="12">
        <f>IFERROR(IF(SUMIFS(tblDaily[Deaths],tblDaily[EntryDate],DATE(2026,11,3),tblDaily[WardCode],"MAE")=0,"",SUMIFS(tblDaily[Deaths],tblDaily[EntryDate],DATE(2026,11,3),tblDaily[WardCode],"MAE")),"")</f>
        <v/>
      </c>
      <c r="E399" s="12">
        <f>IFERROR(IF(SUMIFS(tblDaily[DeathsUnder24Hrs],tblDaily[EntryDate],DATE(2026,11,3),tblDaily[WardCode],"MAE")=0,"",SUMIFS(tblDaily[DeathsUnder24Hrs],tblDaily[EntryDate],DATE(2026,11,3),tblDaily[WardCode],"MAE")),"")</f>
        <v/>
      </c>
      <c r="F399" s="12">
        <f>IFERROR(IF(SUMIFS(tblDaily[TransfersIn],tblDaily[EntryDate],DATE(2026,11,3),tblDaily[WardCode],"MAE")=0,"",SUMIFS(tblDaily[TransfersIn],tblDaily[EntryDate],DATE(2026,11,3),tblDaily[WardCode],"MAE")),"")</f>
        <v/>
      </c>
      <c r="G399" s="12">
        <f>IFERROR(IF(SUMIFS(tblDaily[TransfersOut],tblDaily[EntryDate],DATE(2026,11,3),tblDaily[WardCode],"MAE")=0,"",SUMIFS(tblDaily[TransfersOut],tblDaily[EntryDate],DATE(2026,11,3),tblDaily[WardCode],"MAE")),"")</f>
        <v/>
      </c>
      <c r="H399" s="12">
        <f>IFERROR(IF(SUMIFS(tblDaily[Remaining],tblDaily[EntryDate],DATE(2026,11,3),tblDaily[WardCode],"MAE")=0,"",SUMIFS(tblDaily[Remaining],tblDaily[EntryDate],DATE(2026,11,3),tblDaily[WardCode],"MAE")),"")</f>
        <v/>
      </c>
    </row>
    <row r="400">
      <c r="A400" s="12" t="n">
        <v>4</v>
      </c>
      <c r="B400" s="12">
        <f>IFERROR(IF(SUMIFS(tblDaily[Admissions],tblDaily[EntryDate],DATE(2026,11,4),tblDaily[WardCode],"MAE")=0,"",SUMIFS(tblDaily[Admissions],tblDaily[EntryDate],DATE(2026,11,4),tblDaily[WardCode],"MAE")),"")</f>
        <v/>
      </c>
      <c r="C400" s="12">
        <f>IFERROR(IF(SUMIFS(tblDaily[Discharges],tblDaily[EntryDate],DATE(2026,11,4),tblDaily[WardCode],"MAE")=0,"",SUMIFS(tblDaily[Discharges],tblDaily[EntryDate],DATE(2026,11,4),tblDaily[WardCode],"MAE")),"")</f>
        <v/>
      </c>
      <c r="D400" s="12">
        <f>IFERROR(IF(SUMIFS(tblDaily[Deaths],tblDaily[EntryDate],DATE(2026,11,4),tblDaily[WardCode],"MAE")=0,"",SUMIFS(tblDaily[Deaths],tblDaily[EntryDate],DATE(2026,11,4),tblDaily[WardCode],"MAE")),"")</f>
        <v/>
      </c>
      <c r="E400" s="12">
        <f>IFERROR(IF(SUMIFS(tblDaily[DeathsUnder24Hrs],tblDaily[EntryDate],DATE(2026,11,4),tblDaily[WardCode],"MAE")=0,"",SUMIFS(tblDaily[DeathsUnder24Hrs],tblDaily[EntryDate],DATE(2026,11,4),tblDaily[WardCode],"MAE")),"")</f>
        <v/>
      </c>
      <c r="F400" s="12">
        <f>IFERROR(IF(SUMIFS(tblDaily[TransfersIn],tblDaily[EntryDate],DATE(2026,11,4),tblDaily[WardCode],"MAE")=0,"",SUMIFS(tblDaily[TransfersIn],tblDaily[EntryDate],DATE(2026,11,4),tblDaily[WardCode],"MAE")),"")</f>
        <v/>
      </c>
      <c r="G400" s="12">
        <f>IFERROR(IF(SUMIFS(tblDaily[TransfersOut],tblDaily[EntryDate],DATE(2026,11,4),tblDaily[WardCode],"MAE")=0,"",SUMIFS(tblDaily[TransfersOut],tblDaily[EntryDate],DATE(2026,11,4),tblDaily[WardCode],"MAE")),"")</f>
        <v/>
      </c>
      <c r="H400" s="12">
        <f>IFERROR(IF(SUMIFS(tblDaily[Remaining],tblDaily[EntryDate],DATE(2026,11,4),tblDaily[WardCode],"MAE")=0,"",SUMIFS(tblDaily[Remaining],tblDaily[EntryDate],DATE(2026,11,4),tblDaily[WardCode],"MAE")),"")</f>
        <v/>
      </c>
    </row>
    <row r="401">
      <c r="A401" s="12" t="n">
        <v>5</v>
      </c>
      <c r="B401" s="12">
        <f>IFERROR(IF(SUMIFS(tblDaily[Admissions],tblDaily[EntryDate],DATE(2026,11,5),tblDaily[WardCode],"MAE")=0,"",SUMIFS(tblDaily[Admissions],tblDaily[EntryDate],DATE(2026,11,5),tblDaily[WardCode],"MAE")),"")</f>
        <v/>
      </c>
      <c r="C401" s="12">
        <f>IFERROR(IF(SUMIFS(tblDaily[Discharges],tblDaily[EntryDate],DATE(2026,11,5),tblDaily[WardCode],"MAE")=0,"",SUMIFS(tblDaily[Discharges],tblDaily[EntryDate],DATE(2026,11,5),tblDaily[WardCode],"MAE")),"")</f>
        <v/>
      </c>
      <c r="D401" s="12">
        <f>IFERROR(IF(SUMIFS(tblDaily[Deaths],tblDaily[EntryDate],DATE(2026,11,5),tblDaily[WardCode],"MAE")=0,"",SUMIFS(tblDaily[Deaths],tblDaily[EntryDate],DATE(2026,11,5),tblDaily[WardCode],"MAE")),"")</f>
        <v/>
      </c>
      <c r="E401" s="12">
        <f>IFERROR(IF(SUMIFS(tblDaily[DeathsUnder24Hrs],tblDaily[EntryDate],DATE(2026,11,5),tblDaily[WardCode],"MAE")=0,"",SUMIFS(tblDaily[DeathsUnder24Hrs],tblDaily[EntryDate],DATE(2026,11,5),tblDaily[WardCode],"MAE")),"")</f>
        <v/>
      </c>
      <c r="F401" s="12">
        <f>IFERROR(IF(SUMIFS(tblDaily[TransfersIn],tblDaily[EntryDate],DATE(2026,11,5),tblDaily[WardCode],"MAE")=0,"",SUMIFS(tblDaily[TransfersIn],tblDaily[EntryDate],DATE(2026,11,5),tblDaily[WardCode],"MAE")),"")</f>
        <v/>
      </c>
      <c r="G401" s="12">
        <f>IFERROR(IF(SUMIFS(tblDaily[TransfersOut],tblDaily[EntryDate],DATE(2026,11,5),tblDaily[WardCode],"MAE")=0,"",SUMIFS(tblDaily[TransfersOut],tblDaily[EntryDate],DATE(2026,11,5),tblDaily[WardCode],"MAE")),"")</f>
        <v/>
      </c>
      <c r="H401" s="12">
        <f>IFERROR(IF(SUMIFS(tblDaily[Remaining],tblDaily[EntryDate],DATE(2026,11,5),tblDaily[WardCode],"MAE")=0,"",SUMIFS(tblDaily[Remaining],tblDaily[EntryDate],DATE(2026,11,5),tblDaily[WardCode],"MAE")),"")</f>
        <v/>
      </c>
    </row>
    <row r="402">
      <c r="A402" s="12" t="n">
        <v>6</v>
      </c>
      <c r="B402" s="12">
        <f>IFERROR(IF(SUMIFS(tblDaily[Admissions],tblDaily[EntryDate],DATE(2026,11,6),tblDaily[WardCode],"MAE")=0,"",SUMIFS(tblDaily[Admissions],tblDaily[EntryDate],DATE(2026,11,6),tblDaily[WardCode],"MAE")),"")</f>
        <v/>
      </c>
      <c r="C402" s="12">
        <f>IFERROR(IF(SUMIFS(tblDaily[Discharges],tblDaily[EntryDate],DATE(2026,11,6),tblDaily[WardCode],"MAE")=0,"",SUMIFS(tblDaily[Discharges],tblDaily[EntryDate],DATE(2026,11,6),tblDaily[WardCode],"MAE")),"")</f>
        <v/>
      </c>
      <c r="D402" s="12">
        <f>IFERROR(IF(SUMIFS(tblDaily[Deaths],tblDaily[EntryDate],DATE(2026,11,6),tblDaily[WardCode],"MAE")=0,"",SUMIFS(tblDaily[Deaths],tblDaily[EntryDate],DATE(2026,11,6),tblDaily[WardCode],"MAE")),"")</f>
        <v/>
      </c>
      <c r="E402" s="12">
        <f>IFERROR(IF(SUMIFS(tblDaily[DeathsUnder24Hrs],tblDaily[EntryDate],DATE(2026,11,6),tblDaily[WardCode],"MAE")=0,"",SUMIFS(tblDaily[DeathsUnder24Hrs],tblDaily[EntryDate],DATE(2026,11,6),tblDaily[WardCode],"MAE")),"")</f>
        <v/>
      </c>
      <c r="F402" s="12">
        <f>IFERROR(IF(SUMIFS(tblDaily[TransfersIn],tblDaily[EntryDate],DATE(2026,11,6),tblDaily[WardCode],"MAE")=0,"",SUMIFS(tblDaily[TransfersIn],tblDaily[EntryDate],DATE(2026,11,6),tblDaily[WardCode],"MAE")),"")</f>
        <v/>
      </c>
      <c r="G402" s="12">
        <f>IFERROR(IF(SUMIFS(tblDaily[TransfersOut],tblDaily[EntryDate],DATE(2026,11,6),tblDaily[WardCode],"MAE")=0,"",SUMIFS(tblDaily[TransfersOut],tblDaily[EntryDate],DATE(2026,11,6),tblDaily[WardCode],"MAE")),"")</f>
        <v/>
      </c>
      <c r="H402" s="12">
        <f>IFERROR(IF(SUMIFS(tblDaily[Remaining],tblDaily[EntryDate],DATE(2026,11,6),tblDaily[WardCode],"MAE")=0,"",SUMIFS(tblDaily[Remaining],tblDaily[EntryDate],DATE(2026,11,6),tblDaily[WardCode],"MAE")),"")</f>
        <v/>
      </c>
    </row>
    <row r="403">
      <c r="A403" s="12" t="n">
        <v>7</v>
      </c>
      <c r="B403" s="12">
        <f>IFERROR(IF(SUMIFS(tblDaily[Admissions],tblDaily[EntryDate],DATE(2026,11,7),tblDaily[WardCode],"MAE")=0,"",SUMIFS(tblDaily[Admissions],tblDaily[EntryDate],DATE(2026,11,7),tblDaily[WardCode],"MAE")),"")</f>
        <v/>
      </c>
      <c r="C403" s="12">
        <f>IFERROR(IF(SUMIFS(tblDaily[Discharges],tblDaily[EntryDate],DATE(2026,11,7),tblDaily[WardCode],"MAE")=0,"",SUMIFS(tblDaily[Discharges],tblDaily[EntryDate],DATE(2026,11,7),tblDaily[WardCode],"MAE")),"")</f>
        <v/>
      </c>
      <c r="D403" s="12">
        <f>IFERROR(IF(SUMIFS(tblDaily[Deaths],tblDaily[EntryDate],DATE(2026,11,7),tblDaily[WardCode],"MAE")=0,"",SUMIFS(tblDaily[Deaths],tblDaily[EntryDate],DATE(2026,11,7),tblDaily[WardCode],"MAE")),"")</f>
        <v/>
      </c>
      <c r="E403" s="12">
        <f>IFERROR(IF(SUMIFS(tblDaily[DeathsUnder24Hrs],tblDaily[EntryDate],DATE(2026,11,7),tblDaily[WardCode],"MAE")=0,"",SUMIFS(tblDaily[DeathsUnder24Hrs],tblDaily[EntryDate],DATE(2026,11,7),tblDaily[WardCode],"MAE")),"")</f>
        <v/>
      </c>
      <c r="F403" s="12">
        <f>IFERROR(IF(SUMIFS(tblDaily[TransfersIn],tblDaily[EntryDate],DATE(2026,11,7),tblDaily[WardCode],"MAE")=0,"",SUMIFS(tblDaily[TransfersIn],tblDaily[EntryDate],DATE(2026,11,7),tblDaily[WardCode],"MAE")),"")</f>
        <v/>
      </c>
      <c r="G403" s="12">
        <f>IFERROR(IF(SUMIFS(tblDaily[TransfersOut],tblDaily[EntryDate],DATE(2026,11,7),tblDaily[WardCode],"MAE")=0,"",SUMIFS(tblDaily[TransfersOut],tblDaily[EntryDate],DATE(2026,11,7),tblDaily[WardCode],"MAE")),"")</f>
        <v/>
      </c>
      <c r="H403" s="12">
        <f>IFERROR(IF(SUMIFS(tblDaily[Remaining],tblDaily[EntryDate],DATE(2026,11,7),tblDaily[WardCode],"MAE")=0,"",SUMIFS(tblDaily[Remaining],tblDaily[EntryDate],DATE(2026,11,7),tblDaily[WardCode],"MAE")),"")</f>
        <v/>
      </c>
    </row>
    <row r="404">
      <c r="A404" s="12" t="n">
        <v>8</v>
      </c>
      <c r="B404" s="12">
        <f>IFERROR(IF(SUMIFS(tblDaily[Admissions],tblDaily[EntryDate],DATE(2026,11,8),tblDaily[WardCode],"MAE")=0,"",SUMIFS(tblDaily[Admissions],tblDaily[EntryDate],DATE(2026,11,8),tblDaily[WardCode],"MAE")),"")</f>
        <v/>
      </c>
      <c r="C404" s="12">
        <f>IFERROR(IF(SUMIFS(tblDaily[Discharges],tblDaily[EntryDate],DATE(2026,11,8),tblDaily[WardCode],"MAE")=0,"",SUMIFS(tblDaily[Discharges],tblDaily[EntryDate],DATE(2026,11,8),tblDaily[WardCode],"MAE")),"")</f>
        <v/>
      </c>
      <c r="D404" s="12">
        <f>IFERROR(IF(SUMIFS(tblDaily[Deaths],tblDaily[EntryDate],DATE(2026,11,8),tblDaily[WardCode],"MAE")=0,"",SUMIFS(tblDaily[Deaths],tblDaily[EntryDate],DATE(2026,11,8),tblDaily[WardCode],"MAE")),"")</f>
        <v/>
      </c>
      <c r="E404" s="12">
        <f>IFERROR(IF(SUMIFS(tblDaily[DeathsUnder24Hrs],tblDaily[EntryDate],DATE(2026,11,8),tblDaily[WardCode],"MAE")=0,"",SUMIFS(tblDaily[DeathsUnder24Hrs],tblDaily[EntryDate],DATE(2026,11,8),tblDaily[WardCode],"MAE")),"")</f>
        <v/>
      </c>
      <c r="F404" s="12">
        <f>IFERROR(IF(SUMIFS(tblDaily[TransfersIn],tblDaily[EntryDate],DATE(2026,11,8),tblDaily[WardCode],"MAE")=0,"",SUMIFS(tblDaily[TransfersIn],tblDaily[EntryDate],DATE(2026,11,8),tblDaily[WardCode],"MAE")),"")</f>
        <v/>
      </c>
      <c r="G404" s="12">
        <f>IFERROR(IF(SUMIFS(tblDaily[TransfersOut],tblDaily[EntryDate],DATE(2026,11,8),tblDaily[WardCode],"MAE")=0,"",SUMIFS(tblDaily[TransfersOut],tblDaily[EntryDate],DATE(2026,11,8),tblDaily[WardCode],"MAE")),"")</f>
        <v/>
      </c>
      <c r="H404" s="12">
        <f>IFERROR(IF(SUMIFS(tblDaily[Remaining],tblDaily[EntryDate],DATE(2026,11,8),tblDaily[WardCode],"MAE")=0,"",SUMIFS(tblDaily[Remaining],tblDaily[EntryDate],DATE(2026,11,8),tblDaily[WardCode],"MAE")),"")</f>
        <v/>
      </c>
    </row>
    <row r="405">
      <c r="A405" s="12" t="n">
        <v>9</v>
      </c>
      <c r="B405" s="12">
        <f>IFERROR(IF(SUMIFS(tblDaily[Admissions],tblDaily[EntryDate],DATE(2026,11,9),tblDaily[WardCode],"MAE")=0,"",SUMIFS(tblDaily[Admissions],tblDaily[EntryDate],DATE(2026,11,9),tblDaily[WardCode],"MAE")),"")</f>
        <v/>
      </c>
      <c r="C405" s="12">
        <f>IFERROR(IF(SUMIFS(tblDaily[Discharges],tblDaily[EntryDate],DATE(2026,11,9),tblDaily[WardCode],"MAE")=0,"",SUMIFS(tblDaily[Discharges],tblDaily[EntryDate],DATE(2026,11,9),tblDaily[WardCode],"MAE")),"")</f>
        <v/>
      </c>
      <c r="D405" s="12">
        <f>IFERROR(IF(SUMIFS(tblDaily[Deaths],tblDaily[EntryDate],DATE(2026,11,9),tblDaily[WardCode],"MAE")=0,"",SUMIFS(tblDaily[Deaths],tblDaily[EntryDate],DATE(2026,11,9),tblDaily[WardCode],"MAE")),"")</f>
        <v/>
      </c>
      <c r="E405" s="12">
        <f>IFERROR(IF(SUMIFS(tblDaily[DeathsUnder24Hrs],tblDaily[EntryDate],DATE(2026,11,9),tblDaily[WardCode],"MAE")=0,"",SUMIFS(tblDaily[DeathsUnder24Hrs],tblDaily[EntryDate],DATE(2026,11,9),tblDaily[WardCode],"MAE")),"")</f>
        <v/>
      </c>
      <c r="F405" s="12">
        <f>IFERROR(IF(SUMIFS(tblDaily[TransfersIn],tblDaily[EntryDate],DATE(2026,11,9),tblDaily[WardCode],"MAE")=0,"",SUMIFS(tblDaily[TransfersIn],tblDaily[EntryDate],DATE(2026,11,9),tblDaily[WardCode],"MAE")),"")</f>
        <v/>
      </c>
      <c r="G405" s="12">
        <f>IFERROR(IF(SUMIFS(tblDaily[TransfersOut],tblDaily[EntryDate],DATE(2026,11,9),tblDaily[WardCode],"MAE")=0,"",SUMIFS(tblDaily[TransfersOut],tblDaily[EntryDate],DATE(2026,11,9),tblDaily[WardCode],"MAE")),"")</f>
        <v/>
      </c>
      <c r="H405" s="12">
        <f>IFERROR(IF(SUMIFS(tblDaily[Remaining],tblDaily[EntryDate],DATE(2026,11,9),tblDaily[WardCode],"MAE")=0,"",SUMIFS(tblDaily[Remaining],tblDaily[EntryDate],DATE(2026,11,9),tblDaily[WardCode],"MAE")),"")</f>
        <v/>
      </c>
    </row>
    <row r="406">
      <c r="A406" s="12" t="n">
        <v>10</v>
      </c>
      <c r="B406" s="12">
        <f>IFERROR(IF(SUMIFS(tblDaily[Admissions],tblDaily[EntryDate],DATE(2026,11,10),tblDaily[WardCode],"MAE")=0,"",SUMIFS(tblDaily[Admissions],tblDaily[EntryDate],DATE(2026,11,10),tblDaily[WardCode],"MAE")),"")</f>
        <v/>
      </c>
      <c r="C406" s="12">
        <f>IFERROR(IF(SUMIFS(tblDaily[Discharges],tblDaily[EntryDate],DATE(2026,11,10),tblDaily[WardCode],"MAE")=0,"",SUMIFS(tblDaily[Discharges],tblDaily[EntryDate],DATE(2026,11,10),tblDaily[WardCode],"MAE")),"")</f>
        <v/>
      </c>
      <c r="D406" s="12">
        <f>IFERROR(IF(SUMIFS(tblDaily[Deaths],tblDaily[EntryDate],DATE(2026,11,10),tblDaily[WardCode],"MAE")=0,"",SUMIFS(tblDaily[Deaths],tblDaily[EntryDate],DATE(2026,11,10),tblDaily[WardCode],"MAE")),"")</f>
        <v/>
      </c>
      <c r="E406" s="12">
        <f>IFERROR(IF(SUMIFS(tblDaily[DeathsUnder24Hrs],tblDaily[EntryDate],DATE(2026,11,10),tblDaily[WardCode],"MAE")=0,"",SUMIFS(tblDaily[DeathsUnder24Hrs],tblDaily[EntryDate],DATE(2026,11,10),tblDaily[WardCode],"MAE")),"")</f>
        <v/>
      </c>
      <c r="F406" s="12">
        <f>IFERROR(IF(SUMIFS(tblDaily[TransfersIn],tblDaily[EntryDate],DATE(2026,11,10),tblDaily[WardCode],"MAE")=0,"",SUMIFS(tblDaily[TransfersIn],tblDaily[EntryDate],DATE(2026,11,10),tblDaily[WardCode],"MAE")),"")</f>
        <v/>
      </c>
      <c r="G406" s="12">
        <f>IFERROR(IF(SUMIFS(tblDaily[TransfersOut],tblDaily[EntryDate],DATE(2026,11,10),tblDaily[WardCode],"MAE")=0,"",SUMIFS(tblDaily[TransfersOut],tblDaily[EntryDate],DATE(2026,11,10),tblDaily[WardCode],"MAE")),"")</f>
        <v/>
      </c>
      <c r="H406" s="12">
        <f>IFERROR(IF(SUMIFS(tblDaily[Remaining],tblDaily[EntryDate],DATE(2026,11,10),tblDaily[WardCode],"MAE")=0,"",SUMIFS(tblDaily[Remaining],tblDaily[EntryDate],DATE(2026,11,10),tblDaily[WardCode],"MAE")),"")</f>
        <v/>
      </c>
    </row>
    <row r="407">
      <c r="A407" s="12" t="n">
        <v>11</v>
      </c>
      <c r="B407" s="12">
        <f>IFERROR(IF(SUMIFS(tblDaily[Admissions],tblDaily[EntryDate],DATE(2026,11,11),tblDaily[WardCode],"MAE")=0,"",SUMIFS(tblDaily[Admissions],tblDaily[EntryDate],DATE(2026,11,11),tblDaily[WardCode],"MAE")),"")</f>
        <v/>
      </c>
      <c r="C407" s="12">
        <f>IFERROR(IF(SUMIFS(tblDaily[Discharges],tblDaily[EntryDate],DATE(2026,11,11),tblDaily[WardCode],"MAE")=0,"",SUMIFS(tblDaily[Discharges],tblDaily[EntryDate],DATE(2026,11,11),tblDaily[WardCode],"MAE")),"")</f>
        <v/>
      </c>
      <c r="D407" s="12">
        <f>IFERROR(IF(SUMIFS(tblDaily[Deaths],tblDaily[EntryDate],DATE(2026,11,11),tblDaily[WardCode],"MAE")=0,"",SUMIFS(tblDaily[Deaths],tblDaily[EntryDate],DATE(2026,11,11),tblDaily[WardCode],"MAE")),"")</f>
        <v/>
      </c>
      <c r="E407" s="12">
        <f>IFERROR(IF(SUMIFS(tblDaily[DeathsUnder24Hrs],tblDaily[EntryDate],DATE(2026,11,11),tblDaily[WardCode],"MAE")=0,"",SUMIFS(tblDaily[DeathsUnder24Hrs],tblDaily[EntryDate],DATE(2026,11,11),tblDaily[WardCode],"MAE")),"")</f>
        <v/>
      </c>
      <c r="F407" s="12">
        <f>IFERROR(IF(SUMIFS(tblDaily[TransfersIn],tblDaily[EntryDate],DATE(2026,11,11),tblDaily[WardCode],"MAE")=0,"",SUMIFS(tblDaily[TransfersIn],tblDaily[EntryDate],DATE(2026,11,11),tblDaily[WardCode],"MAE")),"")</f>
        <v/>
      </c>
      <c r="G407" s="12">
        <f>IFERROR(IF(SUMIFS(tblDaily[TransfersOut],tblDaily[EntryDate],DATE(2026,11,11),tblDaily[WardCode],"MAE")=0,"",SUMIFS(tblDaily[TransfersOut],tblDaily[EntryDate],DATE(2026,11,11),tblDaily[WardCode],"MAE")),"")</f>
        <v/>
      </c>
      <c r="H407" s="12">
        <f>IFERROR(IF(SUMIFS(tblDaily[Remaining],tblDaily[EntryDate],DATE(2026,11,11),tblDaily[WardCode],"MAE")=0,"",SUMIFS(tblDaily[Remaining],tblDaily[EntryDate],DATE(2026,11,11),tblDaily[WardCode],"MAE")),"")</f>
        <v/>
      </c>
    </row>
    <row r="408">
      <c r="A408" s="12" t="n">
        <v>12</v>
      </c>
      <c r="B408" s="12">
        <f>IFERROR(IF(SUMIFS(tblDaily[Admissions],tblDaily[EntryDate],DATE(2026,11,12),tblDaily[WardCode],"MAE")=0,"",SUMIFS(tblDaily[Admissions],tblDaily[EntryDate],DATE(2026,11,12),tblDaily[WardCode],"MAE")),"")</f>
        <v/>
      </c>
      <c r="C408" s="12">
        <f>IFERROR(IF(SUMIFS(tblDaily[Discharges],tblDaily[EntryDate],DATE(2026,11,12),tblDaily[WardCode],"MAE")=0,"",SUMIFS(tblDaily[Discharges],tblDaily[EntryDate],DATE(2026,11,12),tblDaily[WardCode],"MAE")),"")</f>
        <v/>
      </c>
      <c r="D408" s="12">
        <f>IFERROR(IF(SUMIFS(tblDaily[Deaths],tblDaily[EntryDate],DATE(2026,11,12),tblDaily[WardCode],"MAE")=0,"",SUMIFS(tblDaily[Deaths],tblDaily[EntryDate],DATE(2026,11,12),tblDaily[WardCode],"MAE")),"")</f>
        <v/>
      </c>
      <c r="E408" s="12">
        <f>IFERROR(IF(SUMIFS(tblDaily[DeathsUnder24Hrs],tblDaily[EntryDate],DATE(2026,11,12),tblDaily[WardCode],"MAE")=0,"",SUMIFS(tblDaily[DeathsUnder24Hrs],tblDaily[EntryDate],DATE(2026,11,12),tblDaily[WardCode],"MAE")),"")</f>
        <v/>
      </c>
      <c r="F408" s="12">
        <f>IFERROR(IF(SUMIFS(tblDaily[TransfersIn],tblDaily[EntryDate],DATE(2026,11,12),tblDaily[WardCode],"MAE")=0,"",SUMIFS(tblDaily[TransfersIn],tblDaily[EntryDate],DATE(2026,11,12),tblDaily[WardCode],"MAE")),"")</f>
        <v/>
      </c>
      <c r="G408" s="12">
        <f>IFERROR(IF(SUMIFS(tblDaily[TransfersOut],tblDaily[EntryDate],DATE(2026,11,12),tblDaily[WardCode],"MAE")=0,"",SUMIFS(tblDaily[TransfersOut],tblDaily[EntryDate],DATE(2026,11,12),tblDaily[WardCode],"MAE")),"")</f>
        <v/>
      </c>
      <c r="H408" s="12">
        <f>IFERROR(IF(SUMIFS(tblDaily[Remaining],tblDaily[EntryDate],DATE(2026,11,12),tblDaily[WardCode],"MAE")=0,"",SUMIFS(tblDaily[Remaining],tblDaily[EntryDate],DATE(2026,11,12),tblDaily[WardCode],"MAE")),"")</f>
        <v/>
      </c>
    </row>
    <row r="409">
      <c r="A409" s="12" t="n">
        <v>13</v>
      </c>
      <c r="B409" s="12">
        <f>IFERROR(IF(SUMIFS(tblDaily[Admissions],tblDaily[EntryDate],DATE(2026,11,13),tblDaily[WardCode],"MAE")=0,"",SUMIFS(tblDaily[Admissions],tblDaily[EntryDate],DATE(2026,11,13),tblDaily[WardCode],"MAE")),"")</f>
        <v/>
      </c>
      <c r="C409" s="12">
        <f>IFERROR(IF(SUMIFS(tblDaily[Discharges],tblDaily[EntryDate],DATE(2026,11,13),tblDaily[WardCode],"MAE")=0,"",SUMIFS(tblDaily[Discharges],tblDaily[EntryDate],DATE(2026,11,13),tblDaily[WardCode],"MAE")),"")</f>
        <v/>
      </c>
      <c r="D409" s="12">
        <f>IFERROR(IF(SUMIFS(tblDaily[Deaths],tblDaily[EntryDate],DATE(2026,11,13),tblDaily[WardCode],"MAE")=0,"",SUMIFS(tblDaily[Deaths],tblDaily[EntryDate],DATE(2026,11,13),tblDaily[WardCode],"MAE")),"")</f>
        <v/>
      </c>
      <c r="E409" s="12">
        <f>IFERROR(IF(SUMIFS(tblDaily[DeathsUnder24Hrs],tblDaily[EntryDate],DATE(2026,11,13),tblDaily[WardCode],"MAE")=0,"",SUMIFS(tblDaily[DeathsUnder24Hrs],tblDaily[EntryDate],DATE(2026,11,13),tblDaily[WardCode],"MAE")),"")</f>
        <v/>
      </c>
      <c r="F409" s="12">
        <f>IFERROR(IF(SUMIFS(tblDaily[TransfersIn],tblDaily[EntryDate],DATE(2026,11,13),tblDaily[WardCode],"MAE")=0,"",SUMIFS(tblDaily[TransfersIn],tblDaily[EntryDate],DATE(2026,11,13),tblDaily[WardCode],"MAE")),"")</f>
        <v/>
      </c>
      <c r="G409" s="12">
        <f>IFERROR(IF(SUMIFS(tblDaily[TransfersOut],tblDaily[EntryDate],DATE(2026,11,13),tblDaily[WardCode],"MAE")=0,"",SUMIFS(tblDaily[TransfersOut],tblDaily[EntryDate],DATE(2026,11,13),tblDaily[WardCode],"MAE")),"")</f>
        <v/>
      </c>
      <c r="H409" s="12">
        <f>IFERROR(IF(SUMIFS(tblDaily[Remaining],tblDaily[EntryDate],DATE(2026,11,13),tblDaily[WardCode],"MAE")=0,"",SUMIFS(tblDaily[Remaining],tblDaily[EntryDate],DATE(2026,11,13),tblDaily[WardCode],"MAE")),"")</f>
        <v/>
      </c>
    </row>
    <row r="410">
      <c r="A410" s="12" t="n">
        <v>14</v>
      </c>
      <c r="B410" s="12">
        <f>IFERROR(IF(SUMIFS(tblDaily[Admissions],tblDaily[EntryDate],DATE(2026,11,14),tblDaily[WardCode],"MAE")=0,"",SUMIFS(tblDaily[Admissions],tblDaily[EntryDate],DATE(2026,11,14),tblDaily[WardCode],"MAE")),"")</f>
        <v/>
      </c>
      <c r="C410" s="12">
        <f>IFERROR(IF(SUMIFS(tblDaily[Discharges],tblDaily[EntryDate],DATE(2026,11,14),tblDaily[WardCode],"MAE")=0,"",SUMIFS(tblDaily[Discharges],tblDaily[EntryDate],DATE(2026,11,14),tblDaily[WardCode],"MAE")),"")</f>
        <v/>
      </c>
      <c r="D410" s="12">
        <f>IFERROR(IF(SUMIFS(tblDaily[Deaths],tblDaily[EntryDate],DATE(2026,11,14),tblDaily[WardCode],"MAE")=0,"",SUMIFS(tblDaily[Deaths],tblDaily[EntryDate],DATE(2026,11,14),tblDaily[WardCode],"MAE")),"")</f>
        <v/>
      </c>
      <c r="E410" s="12">
        <f>IFERROR(IF(SUMIFS(tblDaily[DeathsUnder24Hrs],tblDaily[EntryDate],DATE(2026,11,14),tblDaily[WardCode],"MAE")=0,"",SUMIFS(tblDaily[DeathsUnder24Hrs],tblDaily[EntryDate],DATE(2026,11,14),tblDaily[WardCode],"MAE")),"")</f>
        <v/>
      </c>
      <c r="F410" s="12">
        <f>IFERROR(IF(SUMIFS(tblDaily[TransfersIn],tblDaily[EntryDate],DATE(2026,11,14),tblDaily[WardCode],"MAE")=0,"",SUMIFS(tblDaily[TransfersIn],tblDaily[EntryDate],DATE(2026,11,14),tblDaily[WardCode],"MAE")),"")</f>
        <v/>
      </c>
      <c r="G410" s="12">
        <f>IFERROR(IF(SUMIFS(tblDaily[TransfersOut],tblDaily[EntryDate],DATE(2026,11,14),tblDaily[WardCode],"MAE")=0,"",SUMIFS(tblDaily[TransfersOut],tblDaily[EntryDate],DATE(2026,11,14),tblDaily[WardCode],"MAE")),"")</f>
        <v/>
      </c>
      <c r="H410" s="12">
        <f>IFERROR(IF(SUMIFS(tblDaily[Remaining],tblDaily[EntryDate],DATE(2026,11,14),tblDaily[WardCode],"MAE")=0,"",SUMIFS(tblDaily[Remaining],tblDaily[EntryDate],DATE(2026,11,14),tblDaily[WardCode],"MAE")),"")</f>
        <v/>
      </c>
    </row>
    <row r="411">
      <c r="A411" s="12" t="n">
        <v>15</v>
      </c>
      <c r="B411" s="12">
        <f>IFERROR(IF(SUMIFS(tblDaily[Admissions],tblDaily[EntryDate],DATE(2026,11,15),tblDaily[WardCode],"MAE")=0,"",SUMIFS(tblDaily[Admissions],tblDaily[EntryDate],DATE(2026,11,15),tblDaily[WardCode],"MAE")),"")</f>
        <v/>
      </c>
      <c r="C411" s="12">
        <f>IFERROR(IF(SUMIFS(tblDaily[Discharges],tblDaily[EntryDate],DATE(2026,11,15),tblDaily[WardCode],"MAE")=0,"",SUMIFS(tblDaily[Discharges],tblDaily[EntryDate],DATE(2026,11,15),tblDaily[WardCode],"MAE")),"")</f>
        <v/>
      </c>
      <c r="D411" s="12">
        <f>IFERROR(IF(SUMIFS(tblDaily[Deaths],tblDaily[EntryDate],DATE(2026,11,15),tblDaily[WardCode],"MAE")=0,"",SUMIFS(tblDaily[Deaths],tblDaily[EntryDate],DATE(2026,11,15),tblDaily[WardCode],"MAE")),"")</f>
        <v/>
      </c>
      <c r="E411" s="12">
        <f>IFERROR(IF(SUMIFS(tblDaily[DeathsUnder24Hrs],tblDaily[EntryDate],DATE(2026,11,15),tblDaily[WardCode],"MAE")=0,"",SUMIFS(tblDaily[DeathsUnder24Hrs],tblDaily[EntryDate],DATE(2026,11,15),tblDaily[WardCode],"MAE")),"")</f>
        <v/>
      </c>
      <c r="F411" s="12">
        <f>IFERROR(IF(SUMIFS(tblDaily[TransfersIn],tblDaily[EntryDate],DATE(2026,11,15),tblDaily[WardCode],"MAE")=0,"",SUMIFS(tblDaily[TransfersIn],tblDaily[EntryDate],DATE(2026,11,15),tblDaily[WardCode],"MAE")),"")</f>
        <v/>
      </c>
      <c r="G411" s="12">
        <f>IFERROR(IF(SUMIFS(tblDaily[TransfersOut],tblDaily[EntryDate],DATE(2026,11,15),tblDaily[WardCode],"MAE")=0,"",SUMIFS(tblDaily[TransfersOut],tblDaily[EntryDate],DATE(2026,11,15),tblDaily[WardCode],"MAE")),"")</f>
        <v/>
      </c>
      <c r="H411" s="12">
        <f>IFERROR(IF(SUMIFS(tblDaily[Remaining],tblDaily[EntryDate],DATE(2026,11,15),tblDaily[WardCode],"MAE")=0,"",SUMIFS(tblDaily[Remaining],tblDaily[EntryDate],DATE(2026,11,15),tblDaily[WardCode],"MAE")),"")</f>
        <v/>
      </c>
    </row>
    <row r="412">
      <c r="A412" s="12" t="n">
        <v>16</v>
      </c>
      <c r="B412" s="12">
        <f>IFERROR(IF(SUMIFS(tblDaily[Admissions],tblDaily[EntryDate],DATE(2026,11,16),tblDaily[WardCode],"MAE")=0,"",SUMIFS(tblDaily[Admissions],tblDaily[EntryDate],DATE(2026,11,16),tblDaily[WardCode],"MAE")),"")</f>
        <v/>
      </c>
      <c r="C412" s="12">
        <f>IFERROR(IF(SUMIFS(tblDaily[Discharges],tblDaily[EntryDate],DATE(2026,11,16),tblDaily[WardCode],"MAE")=0,"",SUMIFS(tblDaily[Discharges],tblDaily[EntryDate],DATE(2026,11,16),tblDaily[WardCode],"MAE")),"")</f>
        <v/>
      </c>
      <c r="D412" s="12">
        <f>IFERROR(IF(SUMIFS(tblDaily[Deaths],tblDaily[EntryDate],DATE(2026,11,16),tblDaily[WardCode],"MAE")=0,"",SUMIFS(tblDaily[Deaths],tblDaily[EntryDate],DATE(2026,11,16),tblDaily[WardCode],"MAE")),"")</f>
        <v/>
      </c>
      <c r="E412" s="12">
        <f>IFERROR(IF(SUMIFS(tblDaily[DeathsUnder24Hrs],tblDaily[EntryDate],DATE(2026,11,16),tblDaily[WardCode],"MAE")=0,"",SUMIFS(tblDaily[DeathsUnder24Hrs],tblDaily[EntryDate],DATE(2026,11,16),tblDaily[WardCode],"MAE")),"")</f>
        <v/>
      </c>
      <c r="F412" s="12">
        <f>IFERROR(IF(SUMIFS(tblDaily[TransfersIn],tblDaily[EntryDate],DATE(2026,11,16),tblDaily[WardCode],"MAE")=0,"",SUMIFS(tblDaily[TransfersIn],tblDaily[EntryDate],DATE(2026,11,16),tblDaily[WardCode],"MAE")),"")</f>
        <v/>
      </c>
      <c r="G412" s="12">
        <f>IFERROR(IF(SUMIFS(tblDaily[TransfersOut],tblDaily[EntryDate],DATE(2026,11,16),tblDaily[WardCode],"MAE")=0,"",SUMIFS(tblDaily[TransfersOut],tblDaily[EntryDate],DATE(2026,11,16),tblDaily[WardCode],"MAE")),"")</f>
        <v/>
      </c>
      <c r="H412" s="12">
        <f>IFERROR(IF(SUMIFS(tblDaily[Remaining],tblDaily[EntryDate],DATE(2026,11,16),tblDaily[WardCode],"MAE")=0,"",SUMIFS(tblDaily[Remaining],tblDaily[EntryDate],DATE(2026,11,16),tblDaily[WardCode],"MAE")),"")</f>
        <v/>
      </c>
    </row>
    <row r="413">
      <c r="A413" s="12" t="n">
        <v>17</v>
      </c>
      <c r="B413" s="12">
        <f>IFERROR(IF(SUMIFS(tblDaily[Admissions],tblDaily[EntryDate],DATE(2026,11,17),tblDaily[WardCode],"MAE")=0,"",SUMIFS(tblDaily[Admissions],tblDaily[EntryDate],DATE(2026,11,17),tblDaily[WardCode],"MAE")),"")</f>
        <v/>
      </c>
      <c r="C413" s="12">
        <f>IFERROR(IF(SUMIFS(tblDaily[Discharges],tblDaily[EntryDate],DATE(2026,11,17),tblDaily[WardCode],"MAE")=0,"",SUMIFS(tblDaily[Discharges],tblDaily[EntryDate],DATE(2026,11,17),tblDaily[WardCode],"MAE")),"")</f>
        <v/>
      </c>
      <c r="D413" s="12">
        <f>IFERROR(IF(SUMIFS(tblDaily[Deaths],tblDaily[EntryDate],DATE(2026,11,17),tblDaily[WardCode],"MAE")=0,"",SUMIFS(tblDaily[Deaths],tblDaily[EntryDate],DATE(2026,11,17),tblDaily[WardCode],"MAE")),"")</f>
        <v/>
      </c>
      <c r="E413" s="12">
        <f>IFERROR(IF(SUMIFS(tblDaily[DeathsUnder24Hrs],tblDaily[EntryDate],DATE(2026,11,17),tblDaily[WardCode],"MAE")=0,"",SUMIFS(tblDaily[DeathsUnder24Hrs],tblDaily[EntryDate],DATE(2026,11,17),tblDaily[WardCode],"MAE")),"")</f>
        <v/>
      </c>
      <c r="F413" s="12">
        <f>IFERROR(IF(SUMIFS(tblDaily[TransfersIn],tblDaily[EntryDate],DATE(2026,11,17),tblDaily[WardCode],"MAE")=0,"",SUMIFS(tblDaily[TransfersIn],tblDaily[EntryDate],DATE(2026,11,17),tblDaily[WardCode],"MAE")),"")</f>
        <v/>
      </c>
      <c r="G413" s="12">
        <f>IFERROR(IF(SUMIFS(tblDaily[TransfersOut],tblDaily[EntryDate],DATE(2026,11,17),tblDaily[WardCode],"MAE")=0,"",SUMIFS(tblDaily[TransfersOut],tblDaily[EntryDate],DATE(2026,11,17),tblDaily[WardCode],"MAE")),"")</f>
        <v/>
      </c>
      <c r="H413" s="12">
        <f>IFERROR(IF(SUMIFS(tblDaily[Remaining],tblDaily[EntryDate],DATE(2026,11,17),tblDaily[WardCode],"MAE")=0,"",SUMIFS(tblDaily[Remaining],tblDaily[EntryDate],DATE(2026,11,17),tblDaily[WardCode],"MAE")),"")</f>
        <v/>
      </c>
    </row>
    <row r="414">
      <c r="A414" s="12" t="n">
        <v>18</v>
      </c>
      <c r="B414" s="12">
        <f>IFERROR(IF(SUMIFS(tblDaily[Admissions],tblDaily[EntryDate],DATE(2026,11,18),tblDaily[WardCode],"MAE")=0,"",SUMIFS(tblDaily[Admissions],tblDaily[EntryDate],DATE(2026,11,18),tblDaily[WardCode],"MAE")),"")</f>
        <v/>
      </c>
      <c r="C414" s="12">
        <f>IFERROR(IF(SUMIFS(tblDaily[Discharges],tblDaily[EntryDate],DATE(2026,11,18),tblDaily[WardCode],"MAE")=0,"",SUMIFS(tblDaily[Discharges],tblDaily[EntryDate],DATE(2026,11,18),tblDaily[WardCode],"MAE")),"")</f>
        <v/>
      </c>
      <c r="D414" s="12">
        <f>IFERROR(IF(SUMIFS(tblDaily[Deaths],tblDaily[EntryDate],DATE(2026,11,18),tblDaily[WardCode],"MAE")=0,"",SUMIFS(tblDaily[Deaths],tblDaily[EntryDate],DATE(2026,11,18),tblDaily[WardCode],"MAE")),"")</f>
        <v/>
      </c>
      <c r="E414" s="12">
        <f>IFERROR(IF(SUMIFS(tblDaily[DeathsUnder24Hrs],tblDaily[EntryDate],DATE(2026,11,18),tblDaily[WardCode],"MAE")=0,"",SUMIFS(tblDaily[DeathsUnder24Hrs],tblDaily[EntryDate],DATE(2026,11,18),tblDaily[WardCode],"MAE")),"")</f>
        <v/>
      </c>
      <c r="F414" s="12">
        <f>IFERROR(IF(SUMIFS(tblDaily[TransfersIn],tblDaily[EntryDate],DATE(2026,11,18),tblDaily[WardCode],"MAE")=0,"",SUMIFS(tblDaily[TransfersIn],tblDaily[EntryDate],DATE(2026,11,18),tblDaily[WardCode],"MAE")),"")</f>
        <v/>
      </c>
      <c r="G414" s="12">
        <f>IFERROR(IF(SUMIFS(tblDaily[TransfersOut],tblDaily[EntryDate],DATE(2026,11,18),tblDaily[WardCode],"MAE")=0,"",SUMIFS(tblDaily[TransfersOut],tblDaily[EntryDate],DATE(2026,11,18),tblDaily[WardCode],"MAE")),"")</f>
        <v/>
      </c>
      <c r="H414" s="12">
        <f>IFERROR(IF(SUMIFS(tblDaily[Remaining],tblDaily[EntryDate],DATE(2026,11,18),tblDaily[WardCode],"MAE")=0,"",SUMIFS(tblDaily[Remaining],tblDaily[EntryDate],DATE(2026,11,18),tblDaily[WardCode],"MAE")),"")</f>
        <v/>
      </c>
    </row>
    <row r="415">
      <c r="A415" s="12" t="n">
        <v>19</v>
      </c>
      <c r="B415" s="12">
        <f>IFERROR(IF(SUMIFS(tblDaily[Admissions],tblDaily[EntryDate],DATE(2026,11,19),tblDaily[WardCode],"MAE")=0,"",SUMIFS(tblDaily[Admissions],tblDaily[EntryDate],DATE(2026,11,19),tblDaily[WardCode],"MAE")),"")</f>
        <v/>
      </c>
      <c r="C415" s="12">
        <f>IFERROR(IF(SUMIFS(tblDaily[Discharges],tblDaily[EntryDate],DATE(2026,11,19),tblDaily[WardCode],"MAE")=0,"",SUMIFS(tblDaily[Discharges],tblDaily[EntryDate],DATE(2026,11,19),tblDaily[WardCode],"MAE")),"")</f>
        <v/>
      </c>
      <c r="D415" s="12">
        <f>IFERROR(IF(SUMIFS(tblDaily[Deaths],tblDaily[EntryDate],DATE(2026,11,19),tblDaily[WardCode],"MAE")=0,"",SUMIFS(tblDaily[Deaths],tblDaily[EntryDate],DATE(2026,11,19),tblDaily[WardCode],"MAE")),"")</f>
        <v/>
      </c>
      <c r="E415" s="12">
        <f>IFERROR(IF(SUMIFS(tblDaily[DeathsUnder24Hrs],tblDaily[EntryDate],DATE(2026,11,19),tblDaily[WardCode],"MAE")=0,"",SUMIFS(tblDaily[DeathsUnder24Hrs],tblDaily[EntryDate],DATE(2026,11,19),tblDaily[WardCode],"MAE")),"")</f>
        <v/>
      </c>
      <c r="F415" s="12">
        <f>IFERROR(IF(SUMIFS(tblDaily[TransfersIn],tblDaily[EntryDate],DATE(2026,11,19),tblDaily[WardCode],"MAE")=0,"",SUMIFS(tblDaily[TransfersIn],tblDaily[EntryDate],DATE(2026,11,19),tblDaily[WardCode],"MAE")),"")</f>
        <v/>
      </c>
      <c r="G415" s="12">
        <f>IFERROR(IF(SUMIFS(tblDaily[TransfersOut],tblDaily[EntryDate],DATE(2026,11,19),tblDaily[WardCode],"MAE")=0,"",SUMIFS(tblDaily[TransfersOut],tblDaily[EntryDate],DATE(2026,11,19),tblDaily[WardCode],"MAE")),"")</f>
        <v/>
      </c>
      <c r="H415" s="12">
        <f>IFERROR(IF(SUMIFS(tblDaily[Remaining],tblDaily[EntryDate],DATE(2026,11,19),tblDaily[WardCode],"MAE")=0,"",SUMIFS(tblDaily[Remaining],tblDaily[EntryDate],DATE(2026,11,19),tblDaily[WardCode],"MAE")),"")</f>
        <v/>
      </c>
    </row>
    <row r="416">
      <c r="A416" s="12" t="n">
        <v>20</v>
      </c>
      <c r="B416" s="12">
        <f>IFERROR(IF(SUMIFS(tblDaily[Admissions],tblDaily[EntryDate],DATE(2026,11,20),tblDaily[WardCode],"MAE")=0,"",SUMIFS(tblDaily[Admissions],tblDaily[EntryDate],DATE(2026,11,20),tblDaily[WardCode],"MAE")),"")</f>
        <v/>
      </c>
      <c r="C416" s="12">
        <f>IFERROR(IF(SUMIFS(tblDaily[Discharges],tblDaily[EntryDate],DATE(2026,11,20),tblDaily[WardCode],"MAE")=0,"",SUMIFS(tblDaily[Discharges],tblDaily[EntryDate],DATE(2026,11,20),tblDaily[WardCode],"MAE")),"")</f>
        <v/>
      </c>
      <c r="D416" s="12">
        <f>IFERROR(IF(SUMIFS(tblDaily[Deaths],tblDaily[EntryDate],DATE(2026,11,20),tblDaily[WardCode],"MAE")=0,"",SUMIFS(tblDaily[Deaths],tblDaily[EntryDate],DATE(2026,11,20),tblDaily[WardCode],"MAE")),"")</f>
        <v/>
      </c>
      <c r="E416" s="12">
        <f>IFERROR(IF(SUMIFS(tblDaily[DeathsUnder24Hrs],tblDaily[EntryDate],DATE(2026,11,20),tblDaily[WardCode],"MAE")=0,"",SUMIFS(tblDaily[DeathsUnder24Hrs],tblDaily[EntryDate],DATE(2026,11,20),tblDaily[WardCode],"MAE")),"")</f>
        <v/>
      </c>
      <c r="F416" s="12">
        <f>IFERROR(IF(SUMIFS(tblDaily[TransfersIn],tblDaily[EntryDate],DATE(2026,11,20),tblDaily[WardCode],"MAE")=0,"",SUMIFS(tblDaily[TransfersIn],tblDaily[EntryDate],DATE(2026,11,20),tblDaily[WardCode],"MAE")),"")</f>
        <v/>
      </c>
      <c r="G416" s="12">
        <f>IFERROR(IF(SUMIFS(tblDaily[TransfersOut],tblDaily[EntryDate],DATE(2026,11,20),tblDaily[WardCode],"MAE")=0,"",SUMIFS(tblDaily[TransfersOut],tblDaily[EntryDate],DATE(2026,11,20),tblDaily[WardCode],"MAE")),"")</f>
        <v/>
      </c>
      <c r="H416" s="12">
        <f>IFERROR(IF(SUMIFS(tblDaily[Remaining],tblDaily[EntryDate],DATE(2026,11,20),tblDaily[WardCode],"MAE")=0,"",SUMIFS(tblDaily[Remaining],tblDaily[EntryDate],DATE(2026,11,20),tblDaily[WardCode],"MAE")),"")</f>
        <v/>
      </c>
    </row>
    <row r="417">
      <c r="A417" s="12" t="n">
        <v>21</v>
      </c>
      <c r="B417" s="12">
        <f>IFERROR(IF(SUMIFS(tblDaily[Admissions],tblDaily[EntryDate],DATE(2026,11,21),tblDaily[WardCode],"MAE")=0,"",SUMIFS(tblDaily[Admissions],tblDaily[EntryDate],DATE(2026,11,21),tblDaily[WardCode],"MAE")),"")</f>
        <v/>
      </c>
      <c r="C417" s="12">
        <f>IFERROR(IF(SUMIFS(tblDaily[Discharges],tblDaily[EntryDate],DATE(2026,11,21),tblDaily[WardCode],"MAE")=0,"",SUMIFS(tblDaily[Discharges],tblDaily[EntryDate],DATE(2026,11,21),tblDaily[WardCode],"MAE")),"")</f>
        <v/>
      </c>
      <c r="D417" s="12">
        <f>IFERROR(IF(SUMIFS(tblDaily[Deaths],tblDaily[EntryDate],DATE(2026,11,21),tblDaily[WardCode],"MAE")=0,"",SUMIFS(tblDaily[Deaths],tblDaily[EntryDate],DATE(2026,11,21),tblDaily[WardCode],"MAE")),"")</f>
        <v/>
      </c>
      <c r="E417" s="12">
        <f>IFERROR(IF(SUMIFS(tblDaily[DeathsUnder24Hrs],tblDaily[EntryDate],DATE(2026,11,21),tblDaily[WardCode],"MAE")=0,"",SUMIFS(tblDaily[DeathsUnder24Hrs],tblDaily[EntryDate],DATE(2026,11,21),tblDaily[WardCode],"MAE")),"")</f>
        <v/>
      </c>
      <c r="F417" s="12">
        <f>IFERROR(IF(SUMIFS(tblDaily[TransfersIn],tblDaily[EntryDate],DATE(2026,11,21),tblDaily[WardCode],"MAE")=0,"",SUMIFS(tblDaily[TransfersIn],tblDaily[EntryDate],DATE(2026,11,21),tblDaily[WardCode],"MAE")),"")</f>
        <v/>
      </c>
      <c r="G417" s="12">
        <f>IFERROR(IF(SUMIFS(tblDaily[TransfersOut],tblDaily[EntryDate],DATE(2026,11,21),tblDaily[WardCode],"MAE")=0,"",SUMIFS(tblDaily[TransfersOut],tblDaily[EntryDate],DATE(2026,11,21),tblDaily[WardCode],"MAE")),"")</f>
        <v/>
      </c>
      <c r="H417" s="12">
        <f>IFERROR(IF(SUMIFS(tblDaily[Remaining],tblDaily[EntryDate],DATE(2026,11,21),tblDaily[WardCode],"MAE")=0,"",SUMIFS(tblDaily[Remaining],tblDaily[EntryDate],DATE(2026,11,21),tblDaily[WardCode],"MAE")),"")</f>
        <v/>
      </c>
    </row>
    <row r="418">
      <c r="A418" s="12" t="n">
        <v>22</v>
      </c>
      <c r="B418" s="12">
        <f>IFERROR(IF(SUMIFS(tblDaily[Admissions],tblDaily[EntryDate],DATE(2026,11,22),tblDaily[WardCode],"MAE")=0,"",SUMIFS(tblDaily[Admissions],tblDaily[EntryDate],DATE(2026,11,22),tblDaily[WardCode],"MAE")),"")</f>
        <v/>
      </c>
      <c r="C418" s="12">
        <f>IFERROR(IF(SUMIFS(tblDaily[Discharges],tblDaily[EntryDate],DATE(2026,11,22),tblDaily[WardCode],"MAE")=0,"",SUMIFS(tblDaily[Discharges],tblDaily[EntryDate],DATE(2026,11,22),tblDaily[WardCode],"MAE")),"")</f>
        <v/>
      </c>
      <c r="D418" s="12">
        <f>IFERROR(IF(SUMIFS(tblDaily[Deaths],tblDaily[EntryDate],DATE(2026,11,22),tblDaily[WardCode],"MAE")=0,"",SUMIFS(tblDaily[Deaths],tblDaily[EntryDate],DATE(2026,11,22),tblDaily[WardCode],"MAE")),"")</f>
        <v/>
      </c>
      <c r="E418" s="12">
        <f>IFERROR(IF(SUMIFS(tblDaily[DeathsUnder24Hrs],tblDaily[EntryDate],DATE(2026,11,22),tblDaily[WardCode],"MAE")=0,"",SUMIFS(tblDaily[DeathsUnder24Hrs],tblDaily[EntryDate],DATE(2026,11,22),tblDaily[WardCode],"MAE")),"")</f>
        <v/>
      </c>
      <c r="F418" s="12">
        <f>IFERROR(IF(SUMIFS(tblDaily[TransfersIn],tblDaily[EntryDate],DATE(2026,11,22),tblDaily[WardCode],"MAE")=0,"",SUMIFS(tblDaily[TransfersIn],tblDaily[EntryDate],DATE(2026,11,22),tblDaily[WardCode],"MAE")),"")</f>
        <v/>
      </c>
      <c r="G418" s="12">
        <f>IFERROR(IF(SUMIFS(tblDaily[TransfersOut],tblDaily[EntryDate],DATE(2026,11,22),tblDaily[WardCode],"MAE")=0,"",SUMIFS(tblDaily[TransfersOut],tblDaily[EntryDate],DATE(2026,11,22),tblDaily[WardCode],"MAE")),"")</f>
        <v/>
      </c>
      <c r="H418" s="12">
        <f>IFERROR(IF(SUMIFS(tblDaily[Remaining],tblDaily[EntryDate],DATE(2026,11,22),tblDaily[WardCode],"MAE")=0,"",SUMIFS(tblDaily[Remaining],tblDaily[EntryDate],DATE(2026,11,22),tblDaily[WardCode],"MAE")),"")</f>
        <v/>
      </c>
    </row>
    <row r="419">
      <c r="A419" s="12" t="n">
        <v>23</v>
      </c>
      <c r="B419" s="12">
        <f>IFERROR(IF(SUMIFS(tblDaily[Admissions],tblDaily[EntryDate],DATE(2026,11,23),tblDaily[WardCode],"MAE")=0,"",SUMIFS(tblDaily[Admissions],tblDaily[EntryDate],DATE(2026,11,23),tblDaily[WardCode],"MAE")),"")</f>
        <v/>
      </c>
      <c r="C419" s="12">
        <f>IFERROR(IF(SUMIFS(tblDaily[Discharges],tblDaily[EntryDate],DATE(2026,11,23),tblDaily[WardCode],"MAE")=0,"",SUMIFS(tblDaily[Discharges],tblDaily[EntryDate],DATE(2026,11,23),tblDaily[WardCode],"MAE")),"")</f>
        <v/>
      </c>
      <c r="D419" s="12">
        <f>IFERROR(IF(SUMIFS(tblDaily[Deaths],tblDaily[EntryDate],DATE(2026,11,23),tblDaily[WardCode],"MAE")=0,"",SUMIFS(tblDaily[Deaths],tblDaily[EntryDate],DATE(2026,11,23),tblDaily[WardCode],"MAE")),"")</f>
        <v/>
      </c>
      <c r="E419" s="12">
        <f>IFERROR(IF(SUMIFS(tblDaily[DeathsUnder24Hrs],tblDaily[EntryDate],DATE(2026,11,23),tblDaily[WardCode],"MAE")=0,"",SUMIFS(tblDaily[DeathsUnder24Hrs],tblDaily[EntryDate],DATE(2026,11,23),tblDaily[WardCode],"MAE")),"")</f>
        <v/>
      </c>
      <c r="F419" s="12">
        <f>IFERROR(IF(SUMIFS(tblDaily[TransfersIn],tblDaily[EntryDate],DATE(2026,11,23),tblDaily[WardCode],"MAE")=0,"",SUMIFS(tblDaily[TransfersIn],tblDaily[EntryDate],DATE(2026,11,23),tblDaily[WardCode],"MAE")),"")</f>
        <v/>
      </c>
      <c r="G419" s="12">
        <f>IFERROR(IF(SUMIFS(tblDaily[TransfersOut],tblDaily[EntryDate],DATE(2026,11,23),tblDaily[WardCode],"MAE")=0,"",SUMIFS(tblDaily[TransfersOut],tblDaily[EntryDate],DATE(2026,11,23),tblDaily[WardCode],"MAE")),"")</f>
        <v/>
      </c>
      <c r="H419" s="12">
        <f>IFERROR(IF(SUMIFS(tblDaily[Remaining],tblDaily[EntryDate],DATE(2026,11,23),tblDaily[WardCode],"MAE")=0,"",SUMIFS(tblDaily[Remaining],tblDaily[EntryDate],DATE(2026,11,23),tblDaily[WardCode],"MAE")),"")</f>
        <v/>
      </c>
    </row>
    <row r="420">
      <c r="A420" s="12" t="n">
        <v>24</v>
      </c>
      <c r="B420" s="12">
        <f>IFERROR(IF(SUMIFS(tblDaily[Admissions],tblDaily[EntryDate],DATE(2026,11,24),tblDaily[WardCode],"MAE")=0,"",SUMIFS(tblDaily[Admissions],tblDaily[EntryDate],DATE(2026,11,24),tblDaily[WardCode],"MAE")),"")</f>
        <v/>
      </c>
      <c r="C420" s="12">
        <f>IFERROR(IF(SUMIFS(tblDaily[Discharges],tblDaily[EntryDate],DATE(2026,11,24),tblDaily[WardCode],"MAE")=0,"",SUMIFS(tblDaily[Discharges],tblDaily[EntryDate],DATE(2026,11,24),tblDaily[WardCode],"MAE")),"")</f>
        <v/>
      </c>
      <c r="D420" s="12">
        <f>IFERROR(IF(SUMIFS(tblDaily[Deaths],tblDaily[EntryDate],DATE(2026,11,24),tblDaily[WardCode],"MAE")=0,"",SUMIFS(tblDaily[Deaths],tblDaily[EntryDate],DATE(2026,11,24),tblDaily[WardCode],"MAE")),"")</f>
        <v/>
      </c>
      <c r="E420" s="12">
        <f>IFERROR(IF(SUMIFS(tblDaily[DeathsUnder24Hrs],tblDaily[EntryDate],DATE(2026,11,24),tblDaily[WardCode],"MAE")=0,"",SUMIFS(tblDaily[DeathsUnder24Hrs],tblDaily[EntryDate],DATE(2026,11,24),tblDaily[WardCode],"MAE")),"")</f>
        <v/>
      </c>
      <c r="F420" s="12">
        <f>IFERROR(IF(SUMIFS(tblDaily[TransfersIn],tblDaily[EntryDate],DATE(2026,11,24),tblDaily[WardCode],"MAE")=0,"",SUMIFS(tblDaily[TransfersIn],tblDaily[EntryDate],DATE(2026,11,24),tblDaily[WardCode],"MAE")),"")</f>
        <v/>
      </c>
      <c r="G420" s="12">
        <f>IFERROR(IF(SUMIFS(tblDaily[TransfersOut],tblDaily[EntryDate],DATE(2026,11,24),tblDaily[WardCode],"MAE")=0,"",SUMIFS(tblDaily[TransfersOut],tblDaily[EntryDate],DATE(2026,11,24),tblDaily[WardCode],"MAE")),"")</f>
        <v/>
      </c>
      <c r="H420" s="12">
        <f>IFERROR(IF(SUMIFS(tblDaily[Remaining],tblDaily[EntryDate],DATE(2026,11,24),tblDaily[WardCode],"MAE")=0,"",SUMIFS(tblDaily[Remaining],tblDaily[EntryDate],DATE(2026,11,24),tblDaily[WardCode],"MAE")),"")</f>
        <v/>
      </c>
    </row>
    <row r="421">
      <c r="A421" s="12" t="n">
        <v>25</v>
      </c>
      <c r="B421" s="12">
        <f>IFERROR(IF(SUMIFS(tblDaily[Admissions],tblDaily[EntryDate],DATE(2026,11,25),tblDaily[WardCode],"MAE")=0,"",SUMIFS(tblDaily[Admissions],tblDaily[EntryDate],DATE(2026,11,25),tblDaily[WardCode],"MAE")),"")</f>
        <v/>
      </c>
      <c r="C421" s="12">
        <f>IFERROR(IF(SUMIFS(tblDaily[Discharges],tblDaily[EntryDate],DATE(2026,11,25),tblDaily[WardCode],"MAE")=0,"",SUMIFS(tblDaily[Discharges],tblDaily[EntryDate],DATE(2026,11,25),tblDaily[WardCode],"MAE")),"")</f>
        <v/>
      </c>
      <c r="D421" s="12">
        <f>IFERROR(IF(SUMIFS(tblDaily[Deaths],tblDaily[EntryDate],DATE(2026,11,25),tblDaily[WardCode],"MAE")=0,"",SUMIFS(tblDaily[Deaths],tblDaily[EntryDate],DATE(2026,11,25),tblDaily[WardCode],"MAE")),"")</f>
        <v/>
      </c>
      <c r="E421" s="12">
        <f>IFERROR(IF(SUMIFS(tblDaily[DeathsUnder24Hrs],tblDaily[EntryDate],DATE(2026,11,25),tblDaily[WardCode],"MAE")=0,"",SUMIFS(tblDaily[DeathsUnder24Hrs],tblDaily[EntryDate],DATE(2026,11,25),tblDaily[WardCode],"MAE")),"")</f>
        <v/>
      </c>
      <c r="F421" s="12">
        <f>IFERROR(IF(SUMIFS(tblDaily[TransfersIn],tblDaily[EntryDate],DATE(2026,11,25),tblDaily[WardCode],"MAE")=0,"",SUMIFS(tblDaily[TransfersIn],tblDaily[EntryDate],DATE(2026,11,25),tblDaily[WardCode],"MAE")),"")</f>
        <v/>
      </c>
      <c r="G421" s="12">
        <f>IFERROR(IF(SUMIFS(tblDaily[TransfersOut],tblDaily[EntryDate],DATE(2026,11,25),tblDaily[WardCode],"MAE")=0,"",SUMIFS(tblDaily[TransfersOut],tblDaily[EntryDate],DATE(2026,11,25),tblDaily[WardCode],"MAE")),"")</f>
        <v/>
      </c>
      <c r="H421" s="12">
        <f>IFERROR(IF(SUMIFS(tblDaily[Remaining],tblDaily[EntryDate],DATE(2026,11,25),tblDaily[WardCode],"MAE")=0,"",SUMIFS(tblDaily[Remaining],tblDaily[EntryDate],DATE(2026,11,25),tblDaily[WardCode],"MAE")),"")</f>
        <v/>
      </c>
    </row>
    <row r="422">
      <c r="A422" s="12" t="n">
        <v>26</v>
      </c>
      <c r="B422" s="12">
        <f>IFERROR(IF(SUMIFS(tblDaily[Admissions],tblDaily[EntryDate],DATE(2026,11,26),tblDaily[WardCode],"MAE")=0,"",SUMIFS(tblDaily[Admissions],tblDaily[EntryDate],DATE(2026,11,26),tblDaily[WardCode],"MAE")),"")</f>
        <v/>
      </c>
      <c r="C422" s="12">
        <f>IFERROR(IF(SUMIFS(tblDaily[Discharges],tblDaily[EntryDate],DATE(2026,11,26),tblDaily[WardCode],"MAE")=0,"",SUMIFS(tblDaily[Discharges],tblDaily[EntryDate],DATE(2026,11,26),tblDaily[WardCode],"MAE")),"")</f>
        <v/>
      </c>
      <c r="D422" s="12">
        <f>IFERROR(IF(SUMIFS(tblDaily[Deaths],tblDaily[EntryDate],DATE(2026,11,26),tblDaily[WardCode],"MAE")=0,"",SUMIFS(tblDaily[Deaths],tblDaily[EntryDate],DATE(2026,11,26),tblDaily[WardCode],"MAE")),"")</f>
        <v/>
      </c>
      <c r="E422" s="12">
        <f>IFERROR(IF(SUMIFS(tblDaily[DeathsUnder24Hrs],tblDaily[EntryDate],DATE(2026,11,26),tblDaily[WardCode],"MAE")=0,"",SUMIFS(tblDaily[DeathsUnder24Hrs],tblDaily[EntryDate],DATE(2026,11,26),tblDaily[WardCode],"MAE")),"")</f>
        <v/>
      </c>
      <c r="F422" s="12">
        <f>IFERROR(IF(SUMIFS(tblDaily[TransfersIn],tblDaily[EntryDate],DATE(2026,11,26),tblDaily[WardCode],"MAE")=0,"",SUMIFS(tblDaily[TransfersIn],tblDaily[EntryDate],DATE(2026,11,26),tblDaily[WardCode],"MAE")),"")</f>
        <v/>
      </c>
      <c r="G422" s="12">
        <f>IFERROR(IF(SUMIFS(tblDaily[TransfersOut],tblDaily[EntryDate],DATE(2026,11,26),tblDaily[WardCode],"MAE")=0,"",SUMIFS(tblDaily[TransfersOut],tblDaily[EntryDate],DATE(2026,11,26),tblDaily[WardCode],"MAE")),"")</f>
        <v/>
      </c>
      <c r="H422" s="12">
        <f>IFERROR(IF(SUMIFS(tblDaily[Remaining],tblDaily[EntryDate],DATE(2026,11,26),tblDaily[WardCode],"MAE")=0,"",SUMIFS(tblDaily[Remaining],tblDaily[EntryDate],DATE(2026,11,26),tblDaily[WardCode],"MAE")),"")</f>
        <v/>
      </c>
    </row>
    <row r="423">
      <c r="A423" s="12" t="n">
        <v>27</v>
      </c>
      <c r="B423" s="12">
        <f>IFERROR(IF(SUMIFS(tblDaily[Admissions],tblDaily[EntryDate],DATE(2026,11,27),tblDaily[WardCode],"MAE")=0,"",SUMIFS(tblDaily[Admissions],tblDaily[EntryDate],DATE(2026,11,27),tblDaily[WardCode],"MAE")),"")</f>
        <v/>
      </c>
      <c r="C423" s="12">
        <f>IFERROR(IF(SUMIFS(tblDaily[Discharges],tblDaily[EntryDate],DATE(2026,11,27),tblDaily[WardCode],"MAE")=0,"",SUMIFS(tblDaily[Discharges],tblDaily[EntryDate],DATE(2026,11,27),tblDaily[WardCode],"MAE")),"")</f>
        <v/>
      </c>
      <c r="D423" s="12">
        <f>IFERROR(IF(SUMIFS(tblDaily[Deaths],tblDaily[EntryDate],DATE(2026,11,27),tblDaily[WardCode],"MAE")=0,"",SUMIFS(tblDaily[Deaths],tblDaily[EntryDate],DATE(2026,11,27),tblDaily[WardCode],"MAE")),"")</f>
        <v/>
      </c>
      <c r="E423" s="12">
        <f>IFERROR(IF(SUMIFS(tblDaily[DeathsUnder24Hrs],tblDaily[EntryDate],DATE(2026,11,27),tblDaily[WardCode],"MAE")=0,"",SUMIFS(tblDaily[DeathsUnder24Hrs],tblDaily[EntryDate],DATE(2026,11,27),tblDaily[WardCode],"MAE")),"")</f>
        <v/>
      </c>
      <c r="F423" s="12">
        <f>IFERROR(IF(SUMIFS(tblDaily[TransfersIn],tblDaily[EntryDate],DATE(2026,11,27),tblDaily[WardCode],"MAE")=0,"",SUMIFS(tblDaily[TransfersIn],tblDaily[EntryDate],DATE(2026,11,27),tblDaily[WardCode],"MAE")),"")</f>
        <v/>
      </c>
      <c r="G423" s="12">
        <f>IFERROR(IF(SUMIFS(tblDaily[TransfersOut],tblDaily[EntryDate],DATE(2026,11,27),tblDaily[WardCode],"MAE")=0,"",SUMIFS(tblDaily[TransfersOut],tblDaily[EntryDate],DATE(2026,11,27),tblDaily[WardCode],"MAE")),"")</f>
        <v/>
      </c>
      <c r="H423" s="12">
        <f>IFERROR(IF(SUMIFS(tblDaily[Remaining],tblDaily[EntryDate],DATE(2026,11,27),tblDaily[WardCode],"MAE")=0,"",SUMIFS(tblDaily[Remaining],tblDaily[EntryDate],DATE(2026,11,27),tblDaily[WardCode],"MAE")),"")</f>
        <v/>
      </c>
    </row>
    <row r="424">
      <c r="A424" s="12" t="n">
        <v>28</v>
      </c>
      <c r="B424" s="12">
        <f>IFERROR(IF(SUMIFS(tblDaily[Admissions],tblDaily[EntryDate],DATE(2026,11,28),tblDaily[WardCode],"MAE")=0,"",SUMIFS(tblDaily[Admissions],tblDaily[EntryDate],DATE(2026,11,28),tblDaily[WardCode],"MAE")),"")</f>
        <v/>
      </c>
      <c r="C424" s="12">
        <f>IFERROR(IF(SUMIFS(tblDaily[Discharges],tblDaily[EntryDate],DATE(2026,11,28),tblDaily[WardCode],"MAE")=0,"",SUMIFS(tblDaily[Discharges],tblDaily[EntryDate],DATE(2026,11,28),tblDaily[WardCode],"MAE")),"")</f>
        <v/>
      </c>
      <c r="D424" s="12">
        <f>IFERROR(IF(SUMIFS(tblDaily[Deaths],tblDaily[EntryDate],DATE(2026,11,28),tblDaily[WardCode],"MAE")=0,"",SUMIFS(tblDaily[Deaths],tblDaily[EntryDate],DATE(2026,11,28),tblDaily[WardCode],"MAE")),"")</f>
        <v/>
      </c>
      <c r="E424" s="12">
        <f>IFERROR(IF(SUMIFS(tblDaily[DeathsUnder24Hrs],tblDaily[EntryDate],DATE(2026,11,28),tblDaily[WardCode],"MAE")=0,"",SUMIFS(tblDaily[DeathsUnder24Hrs],tblDaily[EntryDate],DATE(2026,11,28),tblDaily[WardCode],"MAE")),"")</f>
        <v/>
      </c>
      <c r="F424" s="12">
        <f>IFERROR(IF(SUMIFS(tblDaily[TransfersIn],tblDaily[EntryDate],DATE(2026,11,28),tblDaily[WardCode],"MAE")=0,"",SUMIFS(tblDaily[TransfersIn],tblDaily[EntryDate],DATE(2026,11,28),tblDaily[WardCode],"MAE")),"")</f>
        <v/>
      </c>
      <c r="G424" s="12">
        <f>IFERROR(IF(SUMIFS(tblDaily[TransfersOut],tblDaily[EntryDate],DATE(2026,11,28),tblDaily[WardCode],"MAE")=0,"",SUMIFS(tblDaily[TransfersOut],tblDaily[EntryDate],DATE(2026,11,28),tblDaily[WardCode],"MAE")),"")</f>
        <v/>
      </c>
      <c r="H424" s="12">
        <f>IFERROR(IF(SUMIFS(tblDaily[Remaining],tblDaily[EntryDate],DATE(2026,11,28),tblDaily[WardCode],"MAE")=0,"",SUMIFS(tblDaily[Remaining],tblDaily[EntryDate],DATE(2026,11,28),tblDaily[WardCode],"MAE")),"")</f>
        <v/>
      </c>
    </row>
    <row r="425">
      <c r="A425" s="12" t="n">
        <v>29</v>
      </c>
      <c r="B425" s="12">
        <f>IFERROR(IF(SUMIFS(tblDaily[Admissions],tblDaily[EntryDate],DATE(2026,11,29),tblDaily[WardCode],"MAE")=0,"",SUMIFS(tblDaily[Admissions],tblDaily[EntryDate],DATE(2026,11,29),tblDaily[WardCode],"MAE")),"")</f>
        <v/>
      </c>
      <c r="C425" s="12">
        <f>IFERROR(IF(SUMIFS(tblDaily[Discharges],tblDaily[EntryDate],DATE(2026,11,29),tblDaily[WardCode],"MAE")=0,"",SUMIFS(tblDaily[Discharges],tblDaily[EntryDate],DATE(2026,11,29),tblDaily[WardCode],"MAE")),"")</f>
        <v/>
      </c>
      <c r="D425" s="12">
        <f>IFERROR(IF(SUMIFS(tblDaily[Deaths],tblDaily[EntryDate],DATE(2026,11,29),tblDaily[WardCode],"MAE")=0,"",SUMIFS(tblDaily[Deaths],tblDaily[EntryDate],DATE(2026,11,29),tblDaily[WardCode],"MAE")),"")</f>
        <v/>
      </c>
      <c r="E425" s="12">
        <f>IFERROR(IF(SUMIFS(tblDaily[DeathsUnder24Hrs],tblDaily[EntryDate],DATE(2026,11,29),tblDaily[WardCode],"MAE")=0,"",SUMIFS(tblDaily[DeathsUnder24Hrs],tblDaily[EntryDate],DATE(2026,11,29),tblDaily[WardCode],"MAE")),"")</f>
        <v/>
      </c>
      <c r="F425" s="12">
        <f>IFERROR(IF(SUMIFS(tblDaily[TransfersIn],tblDaily[EntryDate],DATE(2026,11,29),tblDaily[WardCode],"MAE")=0,"",SUMIFS(tblDaily[TransfersIn],tblDaily[EntryDate],DATE(2026,11,29),tblDaily[WardCode],"MAE")),"")</f>
        <v/>
      </c>
      <c r="G425" s="12">
        <f>IFERROR(IF(SUMIFS(tblDaily[TransfersOut],tblDaily[EntryDate],DATE(2026,11,29),tblDaily[WardCode],"MAE")=0,"",SUMIFS(tblDaily[TransfersOut],tblDaily[EntryDate],DATE(2026,11,29),tblDaily[WardCode],"MAE")),"")</f>
        <v/>
      </c>
      <c r="H425" s="12">
        <f>IFERROR(IF(SUMIFS(tblDaily[Remaining],tblDaily[EntryDate],DATE(2026,11,29),tblDaily[WardCode],"MAE")=0,"",SUMIFS(tblDaily[Remaining],tblDaily[EntryDate],DATE(2026,11,29),tblDaily[WardCode],"MAE")),"")</f>
        <v/>
      </c>
    </row>
    <row r="426">
      <c r="A426" s="12" t="n">
        <v>30</v>
      </c>
      <c r="B426" s="12">
        <f>IFERROR(IF(SUMIFS(tblDaily[Admissions],tblDaily[EntryDate],DATE(2026,11,30),tblDaily[WardCode],"MAE")=0,"",SUMIFS(tblDaily[Admissions],tblDaily[EntryDate],DATE(2026,11,30),tblDaily[WardCode],"MAE")),"")</f>
        <v/>
      </c>
      <c r="C426" s="12">
        <f>IFERROR(IF(SUMIFS(tblDaily[Discharges],tblDaily[EntryDate],DATE(2026,11,30),tblDaily[WardCode],"MAE")=0,"",SUMIFS(tblDaily[Discharges],tblDaily[EntryDate],DATE(2026,11,30),tblDaily[WardCode],"MAE")),"")</f>
        <v/>
      </c>
      <c r="D426" s="12">
        <f>IFERROR(IF(SUMIFS(tblDaily[Deaths],tblDaily[EntryDate],DATE(2026,11,30),tblDaily[WardCode],"MAE")=0,"",SUMIFS(tblDaily[Deaths],tblDaily[EntryDate],DATE(2026,11,30),tblDaily[WardCode],"MAE")),"")</f>
        <v/>
      </c>
      <c r="E426" s="12">
        <f>IFERROR(IF(SUMIFS(tblDaily[DeathsUnder24Hrs],tblDaily[EntryDate],DATE(2026,11,30),tblDaily[WardCode],"MAE")=0,"",SUMIFS(tblDaily[DeathsUnder24Hrs],tblDaily[EntryDate],DATE(2026,11,30),tblDaily[WardCode],"MAE")),"")</f>
        <v/>
      </c>
      <c r="F426" s="12">
        <f>IFERROR(IF(SUMIFS(tblDaily[TransfersIn],tblDaily[EntryDate],DATE(2026,11,30),tblDaily[WardCode],"MAE")=0,"",SUMIFS(tblDaily[TransfersIn],tblDaily[EntryDate],DATE(2026,11,30),tblDaily[WardCode],"MAE")),"")</f>
        <v/>
      </c>
      <c r="G426" s="12">
        <f>IFERROR(IF(SUMIFS(tblDaily[TransfersOut],tblDaily[EntryDate],DATE(2026,11,30),tblDaily[WardCode],"MAE")=0,"",SUMIFS(tblDaily[TransfersOut],tblDaily[EntryDate],DATE(2026,11,30),tblDaily[WardCode],"MAE")),"")</f>
        <v/>
      </c>
      <c r="H426" s="12">
        <f>IFERROR(IF(SUMIFS(tblDaily[Remaining],tblDaily[EntryDate],DATE(2026,11,30),tblDaily[WardCode],"MAE")=0,"",SUMIFS(tblDaily[Remaining],tblDaily[EntryDate],DATE(2026,11,30),tblDaily[WardCode],"MAE")),"")</f>
        <v/>
      </c>
    </row>
    <row r="427">
      <c r="A427" s="12" t="n">
        <v>31</v>
      </c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7" t="inlineStr">
        <is>
          <t>TOTAL</t>
        </is>
      </c>
      <c r="B428" s="17">
        <f>SUMIFS(tblDaily[Admissions],tblDaily[Month],11,tblDaily[WardCode],"MAE") - SUMIFS(tblDaily[DeathsUnder24Hrs],tblDaily[Month],11,tblDaily[WardCode],"MAE")</f>
        <v/>
      </c>
      <c r="C428" s="17">
        <f>SUMIFS(tblDaily[Discharges],tblDaily[Month],11,tblDaily[WardCode],"MAE")</f>
        <v/>
      </c>
      <c r="D428" s="17">
        <f>SUMIFS(tblDaily[Deaths],tblDaily[Month],11,tblDaily[WardCode],"MAE")</f>
        <v/>
      </c>
      <c r="E428" s="17">
        <f>SUMIFS(tblDaily[DeathsUnder24Hrs],tblDaily[Month],11,tblDaily[WardCode],"MAE")</f>
        <v/>
      </c>
      <c r="F428" s="17">
        <f>SUMIFS(tblDaily[TransfersIn],tblDaily[Month],11,tblDaily[WardCode],"MAE")</f>
        <v/>
      </c>
      <c r="G428" s="17">
        <f>SUMIFS(tblDaily[TransfersOut],tblDaily[Month],11,tblDaily[WardCode],"MAE")</f>
        <v/>
      </c>
      <c r="H428" s="17">
        <f>SUMIFS(tblDaily[Remaining],tblDaily[Month],11,tblDaily[WardCode],"MAE")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MALE EMERGENCY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4">
        <f>IFERROR(SUMIFS(tblDaily[Remaining],tblDaily[EntryDate],DATE(2026,11,30),tblDaily[WardCode],"MAE"),0)</f>
        <v/>
      </c>
    </row>
    <row r="434">
      <c r="A434" s="4" t="inlineStr">
        <is>
          <t>Bed complement</t>
        </is>
      </c>
      <c r="H434" s="15">
        <f>IFERROR(INDEX(tblWardConfig[BedComplement],MATCH("MAE",tblWardConfig[WardCode],0)),0)</f>
        <v/>
      </c>
    </row>
    <row r="435">
      <c r="A435" s="16" t="inlineStr">
        <is>
          <t>Day of
the
Month</t>
        </is>
      </c>
      <c r="B435" s="16" t="inlineStr">
        <is>
          <t>Admissions</t>
        </is>
      </c>
      <c r="C435" s="16" t="inlineStr">
        <is>
          <t>Discharges</t>
        </is>
      </c>
      <c r="D435" s="16" t="inlineStr">
        <is>
          <t>Deaths</t>
        </is>
      </c>
      <c r="E435" s="16" t="inlineStr">
        <is>
          <t>Deaths
&lt;24Hrs</t>
        </is>
      </c>
      <c r="F435" s="16" t="inlineStr">
        <is>
          <t>Transfers-
In</t>
        </is>
      </c>
      <c r="G435" s="16" t="inlineStr">
        <is>
          <t>Transfers-
Out</t>
        </is>
      </c>
      <c r="H435" s="16" t="inlineStr">
        <is>
          <t>No. of Patients
Remaining In
Ward</t>
        </is>
      </c>
    </row>
    <row r="436">
      <c r="A436" s="12" t="n">
        <v>1</v>
      </c>
      <c r="B436" s="12">
        <f>IFERROR(IF(SUMIFS(tblDaily[Admissions],tblDaily[EntryDate],DATE(2026,12,1),tblDaily[WardCode],"MAE")=0,"",SUMIFS(tblDaily[Admissions],tblDaily[EntryDate],DATE(2026,12,1),tblDaily[WardCode],"MAE")),"")</f>
        <v/>
      </c>
      <c r="C436" s="12">
        <f>IFERROR(IF(SUMIFS(tblDaily[Discharges],tblDaily[EntryDate],DATE(2026,12,1),tblDaily[WardCode],"MAE")=0,"",SUMIFS(tblDaily[Discharges],tblDaily[EntryDate],DATE(2026,12,1),tblDaily[WardCode],"MAE")),"")</f>
        <v/>
      </c>
      <c r="D436" s="12">
        <f>IFERROR(IF(SUMIFS(tblDaily[Deaths],tblDaily[EntryDate],DATE(2026,12,1),tblDaily[WardCode],"MAE")=0,"",SUMIFS(tblDaily[Deaths],tblDaily[EntryDate],DATE(2026,12,1),tblDaily[WardCode],"MAE")),"")</f>
        <v/>
      </c>
      <c r="E436" s="12">
        <f>IFERROR(IF(SUMIFS(tblDaily[DeathsUnder24Hrs],tblDaily[EntryDate],DATE(2026,12,1),tblDaily[WardCode],"MAE")=0,"",SUMIFS(tblDaily[DeathsUnder24Hrs],tblDaily[EntryDate],DATE(2026,12,1),tblDaily[WardCode],"MAE")),"")</f>
        <v/>
      </c>
      <c r="F436" s="12">
        <f>IFERROR(IF(SUMIFS(tblDaily[TransfersIn],tblDaily[EntryDate],DATE(2026,12,1),tblDaily[WardCode],"MAE")=0,"",SUMIFS(tblDaily[TransfersIn],tblDaily[EntryDate],DATE(2026,12,1),tblDaily[WardCode],"MAE")),"")</f>
        <v/>
      </c>
      <c r="G436" s="12">
        <f>IFERROR(IF(SUMIFS(tblDaily[TransfersOut],tblDaily[EntryDate],DATE(2026,12,1),tblDaily[WardCode],"MAE")=0,"",SUMIFS(tblDaily[TransfersOut],tblDaily[EntryDate],DATE(2026,12,1),tblDaily[WardCode],"MAE")),"")</f>
        <v/>
      </c>
      <c r="H436" s="12">
        <f>IFERROR(IF(SUMIFS(tblDaily[Remaining],tblDaily[EntryDate],DATE(2026,12,1),tblDaily[WardCode],"MAE")=0,"",SUMIFS(tblDaily[Remaining],tblDaily[EntryDate],DATE(2026,12,1),tblDaily[WardCode],"MAE")),"")</f>
        <v/>
      </c>
    </row>
    <row r="437">
      <c r="A437" s="12" t="n">
        <v>2</v>
      </c>
      <c r="B437" s="12">
        <f>IFERROR(IF(SUMIFS(tblDaily[Admissions],tblDaily[EntryDate],DATE(2026,12,2),tblDaily[WardCode],"MAE")=0,"",SUMIFS(tblDaily[Admissions],tblDaily[EntryDate],DATE(2026,12,2),tblDaily[WardCode],"MAE")),"")</f>
        <v/>
      </c>
      <c r="C437" s="12">
        <f>IFERROR(IF(SUMIFS(tblDaily[Discharges],tblDaily[EntryDate],DATE(2026,12,2),tblDaily[WardCode],"MAE")=0,"",SUMIFS(tblDaily[Discharges],tblDaily[EntryDate],DATE(2026,12,2),tblDaily[WardCode],"MAE")),"")</f>
        <v/>
      </c>
      <c r="D437" s="12">
        <f>IFERROR(IF(SUMIFS(tblDaily[Deaths],tblDaily[EntryDate],DATE(2026,12,2),tblDaily[WardCode],"MAE")=0,"",SUMIFS(tblDaily[Deaths],tblDaily[EntryDate],DATE(2026,12,2),tblDaily[WardCode],"MAE")),"")</f>
        <v/>
      </c>
      <c r="E437" s="12">
        <f>IFERROR(IF(SUMIFS(tblDaily[DeathsUnder24Hrs],tblDaily[EntryDate],DATE(2026,12,2),tblDaily[WardCode],"MAE")=0,"",SUMIFS(tblDaily[DeathsUnder24Hrs],tblDaily[EntryDate],DATE(2026,12,2),tblDaily[WardCode],"MAE")),"")</f>
        <v/>
      </c>
      <c r="F437" s="12">
        <f>IFERROR(IF(SUMIFS(tblDaily[TransfersIn],tblDaily[EntryDate],DATE(2026,12,2),tblDaily[WardCode],"MAE")=0,"",SUMIFS(tblDaily[TransfersIn],tblDaily[EntryDate],DATE(2026,12,2),tblDaily[WardCode],"MAE")),"")</f>
        <v/>
      </c>
      <c r="G437" s="12">
        <f>IFERROR(IF(SUMIFS(tblDaily[TransfersOut],tblDaily[EntryDate],DATE(2026,12,2),tblDaily[WardCode],"MAE")=0,"",SUMIFS(tblDaily[TransfersOut],tblDaily[EntryDate],DATE(2026,12,2),tblDaily[WardCode],"MAE")),"")</f>
        <v/>
      </c>
      <c r="H437" s="12">
        <f>IFERROR(IF(SUMIFS(tblDaily[Remaining],tblDaily[EntryDate],DATE(2026,12,2),tblDaily[WardCode],"MAE")=0,"",SUMIFS(tblDaily[Remaining],tblDaily[EntryDate],DATE(2026,12,2),tblDaily[WardCode],"MAE")),"")</f>
        <v/>
      </c>
    </row>
    <row r="438">
      <c r="A438" s="12" t="n">
        <v>3</v>
      </c>
      <c r="B438" s="12">
        <f>IFERROR(IF(SUMIFS(tblDaily[Admissions],tblDaily[EntryDate],DATE(2026,12,3),tblDaily[WardCode],"MAE")=0,"",SUMIFS(tblDaily[Admissions],tblDaily[EntryDate],DATE(2026,12,3),tblDaily[WardCode],"MAE")),"")</f>
        <v/>
      </c>
      <c r="C438" s="12">
        <f>IFERROR(IF(SUMIFS(tblDaily[Discharges],tblDaily[EntryDate],DATE(2026,12,3),tblDaily[WardCode],"MAE")=0,"",SUMIFS(tblDaily[Discharges],tblDaily[EntryDate],DATE(2026,12,3),tblDaily[WardCode],"MAE")),"")</f>
        <v/>
      </c>
      <c r="D438" s="12">
        <f>IFERROR(IF(SUMIFS(tblDaily[Deaths],tblDaily[EntryDate],DATE(2026,12,3),tblDaily[WardCode],"MAE")=0,"",SUMIFS(tblDaily[Deaths],tblDaily[EntryDate],DATE(2026,12,3),tblDaily[WardCode],"MAE")),"")</f>
        <v/>
      </c>
      <c r="E438" s="12">
        <f>IFERROR(IF(SUMIFS(tblDaily[DeathsUnder24Hrs],tblDaily[EntryDate],DATE(2026,12,3),tblDaily[WardCode],"MAE")=0,"",SUMIFS(tblDaily[DeathsUnder24Hrs],tblDaily[EntryDate],DATE(2026,12,3),tblDaily[WardCode],"MAE")),"")</f>
        <v/>
      </c>
      <c r="F438" s="12">
        <f>IFERROR(IF(SUMIFS(tblDaily[TransfersIn],tblDaily[EntryDate],DATE(2026,12,3),tblDaily[WardCode],"MAE")=0,"",SUMIFS(tblDaily[TransfersIn],tblDaily[EntryDate],DATE(2026,12,3),tblDaily[WardCode],"MAE")),"")</f>
        <v/>
      </c>
      <c r="G438" s="12">
        <f>IFERROR(IF(SUMIFS(tblDaily[TransfersOut],tblDaily[EntryDate],DATE(2026,12,3),tblDaily[WardCode],"MAE")=0,"",SUMIFS(tblDaily[TransfersOut],tblDaily[EntryDate],DATE(2026,12,3),tblDaily[WardCode],"MAE")),"")</f>
        <v/>
      </c>
      <c r="H438" s="12">
        <f>IFERROR(IF(SUMIFS(tblDaily[Remaining],tblDaily[EntryDate],DATE(2026,12,3),tblDaily[WardCode],"MAE")=0,"",SUMIFS(tblDaily[Remaining],tblDaily[EntryDate],DATE(2026,12,3),tblDaily[WardCode],"MAE")),"")</f>
        <v/>
      </c>
    </row>
    <row r="439">
      <c r="A439" s="12" t="n">
        <v>4</v>
      </c>
      <c r="B439" s="12">
        <f>IFERROR(IF(SUMIFS(tblDaily[Admissions],tblDaily[EntryDate],DATE(2026,12,4),tblDaily[WardCode],"MAE")=0,"",SUMIFS(tblDaily[Admissions],tblDaily[EntryDate],DATE(2026,12,4),tblDaily[WardCode],"MAE")),"")</f>
        <v/>
      </c>
      <c r="C439" s="12">
        <f>IFERROR(IF(SUMIFS(tblDaily[Discharges],tblDaily[EntryDate],DATE(2026,12,4),tblDaily[WardCode],"MAE")=0,"",SUMIFS(tblDaily[Discharges],tblDaily[EntryDate],DATE(2026,12,4),tblDaily[WardCode],"MAE")),"")</f>
        <v/>
      </c>
      <c r="D439" s="12">
        <f>IFERROR(IF(SUMIFS(tblDaily[Deaths],tblDaily[EntryDate],DATE(2026,12,4),tblDaily[WardCode],"MAE")=0,"",SUMIFS(tblDaily[Deaths],tblDaily[EntryDate],DATE(2026,12,4),tblDaily[WardCode],"MAE")),"")</f>
        <v/>
      </c>
      <c r="E439" s="12">
        <f>IFERROR(IF(SUMIFS(tblDaily[DeathsUnder24Hrs],tblDaily[EntryDate],DATE(2026,12,4),tblDaily[WardCode],"MAE")=0,"",SUMIFS(tblDaily[DeathsUnder24Hrs],tblDaily[EntryDate],DATE(2026,12,4),tblDaily[WardCode],"MAE")),"")</f>
        <v/>
      </c>
      <c r="F439" s="12">
        <f>IFERROR(IF(SUMIFS(tblDaily[TransfersIn],tblDaily[EntryDate],DATE(2026,12,4),tblDaily[WardCode],"MAE")=0,"",SUMIFS(tblDaily[TransfersIn],tblDaily[EntryDate],DATE(2026,12,4),tblDaily[WardCode],"MAE")),"")</f>
        <v/>
      </c>
      <c r="G439" s="12">
        <f>IFERROR(IF(SUMIFS(tblDaily[TransfersOut],tblDaily[EntryDate],DATE(2026,12,4),tblDaily[WardCode],"MAE")=0,"",SUMIFS(tblDaily[TransfersOut],tblDaily[EntryDate],DATE(2026,12,4),tblDaily[WardCode],"MAE")),"")</f>
        <v/>
      </c>
      <c r="H439" s="12">
        <f>IFERROR(IF(SUMIFS(tblDaily[Remaining],tblDaily[EntryDate],DATE(2026,12,4),tblDaily[WardCode],"MAE")=0,"",SUMIFS(tblDaily[Remaining],tblDaily[EntryDate],DATE(2026,12,4),tblDaily[WardCode],"MAE")),"")</f>
        <v/>
      </c>
    </row>
    <row r="440">
      <c r="A440" s="12" t="n">
        <v>5</v>
      </c>
      <c r="B440" s="12">
        <f>IFERROR(IF(SUMIFS(tblDaily[Admissions],tblDaily[EntryDate],DATE(2026,12,5),tblDaily[WardCode],"MAE")=0,"",SUMIFS(tblDaily[Admissions],tblDaily[EntryDate],DATE(2026,12,5),tblDaily[WardCode],"MAE")),"")</f>
        <v/>
      </c>
      <c r="C440" s="12">
        <f>IFERROR(IF(SUMIFS(tblDaily[Discharges],tblDaily[EntryDate],DATE(2026,12,5),tblDaily[WardCode],"MAE")=0,"",SUMIFS(tblDaily[Discharges],tblDaily[EntryDate],DATE(2026,12,5),tblDaily[WardCode],"MAE")),"")</f>
        <v/>
      </c>
      <c r="D440" s="12">
        <f>IFERROR(IF(SUMIFS(tblDaily[Deaths],tblDaily[EntryDate],DATE(2026,12,5),tblDaily[WardCode],"MAE")=0,"",SUMIFS(tblDaily[Deaths],tblDaily[EntryDate],DATE(2026,12,5),tblDaily[WardCode],"MAE")),"")</f>
        <v/>
      </c>
      <c r="E440" s="12">
        <f>IFERROR(IF(SUMIFS(tblDaily[DeathsUnder24Hrs],tblDaily[EntryDate],DATE(2026,12,5),tblDaily[WardCode],"MAE")=0,"",SUMIFS(tblDaily[DeathsUnder24Hrs],tblDaily[EntryDate],DATE(2026,12,5),tblDaily[WardCode],"MAE")),"")</f>
        <v/>
      </c>
      <c r="F440" s="12">
        <f>IFERROR(IF(SUMIFS(tblDaily[TransfersIn],tblDaily[EntryDate],DATE(2026,12,5),tblDaily[WardCode],"MAE")=0,"",SUMIFS(tblDaily[TransfersIn],tblDaily[EntryDate],DATE(2026,12,5),tblDaily[WardCode],"MAE")),"")</f>
        <v/>
      </c>
      <c r="G440" s="12">
        <f>IFERROR(IF(SUMIFS(tblDaily[TransfersOut],tblDaily[EntryDate],DATE(2026,12,5),tblDaily[WardCode],"MAE")=0,"",SUMIFS(tblDaily[TransfersOut],tblDaily[EntryDate],DATE(2026,12,5),tblDaily[WardCode],"MAE")),"")</f>
        <v/>
      </c>
      <c r="H440" s="12">
        <f>IFERROR(IF(SUMIFS(tblDaily[Remaining],tblDaily[EntryDate],DATE(2026,12,5),tblDaily[WardCode],"MAE")=0,"",SUMIFS(tblDaily[Remaining],tblDaily[EntryDate],DATE(2026,12,5),tblDaily[WardCode],"MAE")),"")</f>
        <v/>
      </c>
    </row>
    <row r="441">
      <c r="A441" s="12" t="n">
        <v>6</v>
      </c>
      <c r="B441" s="12">
        <f>IFERROR(IF(SUMIFS(tblDaily[Admissions],tblDaily[EntryDate],DATE(2026,12,6),tblDaily[WardCode],"MAE")=0,"",SUMIFS(tblDaily[Admissions],tblDaily[EntryDate],DATE(2026,12,6),tblDaily[WardCode],"MAE")),"")</f>
        <v/>
      </c>
      <c r="C441" s="12">
        <f>IFERROR(IF(SUMIFS(tblDaily[Discharges],tblDaily[EntryDate],DATE(2026,12,6),tblDaily[WardCode],"MAE")=0,"",SUMIFS(tblDaily[Discharges],tblDaily[EntryDate],DATE(2026,12,6),tblDaily[WardCode],"MAE")),"")</f>
        <v/>
      </c>
      <c r="D441" s="12">
        <f>IFERROR(IF(SUMIFS(tblDaily[Deaths],tblDaily[EntryDate],DATE(2026,12,6),tblDaily[WardCode],"MAE")=0,"",SUMIFS(tblDaily[Deaths],tblDaily[EntryDate],DATE(2026,12,6),tblDaily[WardCode],"MAE")),"")</f>
        <v/>
      </c>
      <c r="E441" s="12">
        <f>IFERROR(IF(SUMIFS(tblDaily[DeathsUnder24Hrs],tblDaily[EntryDate],DATE(2026,12,6),tblDaily[WardCode],"MAE")=0,"",SUMIFS(tblDaily[DeathsUnder24Hrs],tblDaily[EntryDate],DATE(2026,12,6),tblDaily[WardCode],"MAE")),"")</f>
        <v/>
      </c>
      <c r="F441" s="12">
        <f>IFERROR(IF(SUMIFS(tblDaily[TransfersIn],tblDaily[EntryDate],DATE(2026,12,6),tblDaily[WardCode],"MAE")=0,"",SUMIFS(tblDaily[TransfersIn],tblDaily[EntryDate],DATE(2026,12,6),tblDaily[WardCode],"MAE")),"")</f>
        <v/>
      </c>
      <c r="G441" s="12">
        <f>IFERROR(IF(SUMIFS(tblDaily[TransfersOut],tblDaily[EntryDate],DATE(2026,12,6),tblDaily[WardCode],"MAE")=0,"",SUMIFS(tblDaily[TransfersOut],tblDaily[EntryDate],DATE(2026,12,6),tblDaily[WardCode],"MAE")),"")</f>
        <v/>
      </c>
      <c r="H441" s="12">
        <f>IFERROR(IF(SUMIFS(tblDaily[Remaining],tblDaily[EntryDate],DATE(2026,12,6),tblDaily[WardCode],"MAE")=0,"",SUMIFS(tblDaily[Remaining],tblDaily[EntryDate],DATE(2026,12,6),tblDaily[WardCode],"MAE")),"")</f>
        <v/>
      </c>
    </row>
    <row r="442">
      <c r="A442" s="12" t="n">
        <v>7</v>
      </c>
      <c r="B442" s="12">
        <f>IFERROR(IF(SUMIFS(tblDaily[Admissions],tblDaily[EntryDate],DATE(2026,12,7),tblDaily[WardCode],"MAE")=0,"",SUMIFS(tblDaily[Admissions],tblDaily[EntryDate],DATE(2026,12,7),tblDaily[WardCode],"MAE")),"")</f>
        <v/>
      </c>
      <c r="C442" s="12">
        <f>IFERROR(IF(SUMIFS(tblDaily[Discharges],tblDaily[EntryDate],DATE(2026,12,7),tblDaily[WardCode],"MAE")=0,"",SUMIFS(tblDaily[Discharges],tblDaily[EntryDate],DATE(2026,12,7),tblDaily[WardCode],"MAE")),"")</f>
        <v/>
      </c>
      <c r="D442" s="12">
        <f>IFERROR(IF(SUMIFS(tblDaily[Deaths],tblDaily[EntryDate],DATE(2026,12,7),tblDaily[WardCode],"MAE")=0,"",SUMIFS(tblDaily[Deaths],tblDaily[EntryDate],DATE(2026,12,7),tblDaily[WardCode],"MAE")),"")</f>
        <v/>
      </c>
      <c r="E442" s="12">
        <f>IFERROR(IF(SUMIFS(tblDaily[DeathsUnder24Hrs],tblDaily[EntryDate],DATE(2026,12,7),tblDaily[WardCode],"MAE")=0,"",SUMIFS(tblDaily[DeathsUnder24Hrs],tblDaily[EntryDate],DATE(2026,12,7),tblDaily[WardCode],"MAE")),"")</f>
        <v/>
      </c>
      <c r="F442" s="12">
        <f>IFERROR(IF(SUMIFS(tblDaily[TransfersIn],tblDaily[EntryDate],DATE(2026,12,7),tblDaily[WardCode],"MAE")=0,"",SUMIFS(tblDaily[TransfersIn],tblDaily[EntryDate],DATE(2026,12,7),tblDaily[WardCode],"MAE")),"")</f>
        <v/>
      </c>
      <c r="G442" s="12">
        <f>IFERROR(IF(SUMIFS(tblDaily[TransfersOut],tblDaily[EntryDate],DATE(2026,12,7),tblDaily[WardCode],"MAE")=0,"",SUMIFS(tblDaily[TransfersOut],tblDaily[EntryDate],DATE(2026,12,7),tblDaily[WardCode],"MAE")),"")</f>
        <v/>
      </c>
      <c r="H442" s="12">
        <f>IFERROR(IF(SUMIFS(tblDaily[Remaining],tblDaily[EntryDate],DATE(2026,12,7),tblDaily[WardCode],"MAE")=0,"",SUMIFS(tblDaily[Remaining],tblDaily[EntryDate],DATE(2026,12,7),tblDaily[WardCode],"MAE")),"")</f>
        <v/>
      </c>
    </row>
    <row r="443">
      <c r="A443" s="12" t="n">
        <v>8</v>
      </c>
      <c r="B443" s="12">
        <f>IFERROR(IF(SUMIFS(tblDaily[Admissions],tblDaily[EntryDate],DATE(2026,12,8),tblDaily[WardCode],"MAE")=0,"",SUMIFS(tblDaily[Admissions],tblDaily[EntryDate],DATE(2026,12,8),tblDaily[WardCode],"MAE")),"")</f>
        <v/>
      </c>
      <c r="C443" s="12">
        <f>IFERROR(IF(SUMIFS(tblDaily[Discharges],tblDaily[EntryDate],DATE(2026,12,8),tblDaily[WardCode],"MAE")=0,"",SUMIFS(tblDaily[Discharges],tblDaily[EntryDate],DATE(2026,12,8),tblDaily[WardCode],"MAE")),"")</f>
        <v/>
      </c>
      <c r="D443" s="12">
        <f>IFERROR(IF(SUMIFS(tblDaily[Deaths],tblDaily[EntryDate],DATE(2026,12,8),tblDaily[WardCode],"MAE")=0,"",SUMIFS(tblDaily[Deaths],tblDaily[EntryDate],DATE(2026,12,8),tblDaily[WardCode],"MAE")),"")</f>
        <v/>
      </c>
      <c r="E443" s="12">
        <f>IFERROR(IF(SUMIFS(tblDaily[DeathsUnder24Hrs],tblDaily[EntryDate],DATE(2026,12,8),tblDaily[WardCode],"MAE")=0,"",SUMIFS(tblDaily[DeathsUnder24Hrs],tblDaily[EntryDate],DATE(2026,12,8),tblDaily[WardCode],"MAE")),"")</f>
        <v/>
      </c>
      <c r="F443" s="12">
        <f>IFERROR(IF(SUMIFS(tblDaily[TransfersIn],tblDaily[EntryDate],DATE(2026,12,8),tblDaily[WardCode],"MAE")=0,"",SUMIFS(tblDaily[TransfersIn],tblDaily[EntryDate],DATE(2026,12,8),tblDaily[WardCode],"MAE")),"")</f>
        <v/>
      </c>
      <c r="G443" s="12">
        <f>IFERROR(IF(SUMIFS(tblDaily[TransfersOut],tblDaily[EntryDate],DATE(2026,12,8),tblDaily[WardCode],"MAE")=0,"",SUMIFS(tblDaily[TransfersOut],tblDaily[EntryDate],DATE(2026,12,8),tblDaily[WardCode],"MAE")),"")</f>
        <v/>
      </c>
      <c r="H443" s="12">
        <f>IFERROR(IF(SUMIFS(tblDaily[Remaining],tblDaily[EntryDate],DATE(2026,12,8),tblDaily[WardCode],"MAE")=0,"",SUMIFS(tblDaily[Remaining],tblDaily[EntryDate],DATE(2026,12,8),tblDaily[WardCode],"MAE")),"")</f>
        <v/>
      </c>
    </row>
    <row r="444">
      <c r="A444" s="12" t="n">
        <v>9</v>
      </c>
      <c r="B444" s="12">
        <f>IFERROR(IF(SUMIFS(tblDaily[Admissions],tblDaily[EntryDate],DATE(2026,12,9),tblDaily[WardCode],"MAE")=0,"",SUMIFS(tblDaily[Admissions],tblDaily[EntryDate],DATE(2026,12,9),tblDaily[WardCode],"MAE")),"")</f>
        <v/>
      </c>
      <c r="C444" s="12">
        <f>IFERROR(IF(SUMIFS(tblDaily[Discharges],tblDaily[EntryDate],DATE(2026,12,9),tblDaily[WardCode],"MAE")=0,"",SUMIFS(tblDaily[Discharges],tblDaily[EntryDate],DATE(2026,12,9),tblDaily[WardCode],"MAE")),"")</f>
        <v/>
      </c>
      <c r="D444" s="12">
        <f>IFERROR(IF(SUMIFS(tblDaily[Deaths],tblDaily[EntryDate],DATE(2026,12,9),tblDaily[WardCode],"MAE")=0,"",SUMIFS(tblDaily[Deaths],tblDaily[EntryDate],DATE(2026,12,9),tblDaily[WardCode],"MAE")),"")</f>
        <v/>
      </c>
      <c r="E444" s="12">
        <f>IFERROR(IF(SUMIFS(tblDaily[DeathsUnder24Hrs],tblDaily[EntryDate],DATE(2026,12,9),tblDaily[WardCode],"MAE")=0,"",SUMIFS(tblDaily[DeathsUnder24Hrs],tblDaily[EntryDate],DATE(2026,12,9),tblDaily[WardCode],"MAE")),"")</f>
        <v/>
      </c>
      <c r="F444" s="12">
        <f>IFERROR(IF(SUMIFS(tblDaily[TransfersIn],tblDaily[EntryDate],DATE(2026,12,9),tblDaily[WardCode],"MAE")=0,"",SUMIFS(tblDaily[TransfersIn],tblDaily[EntryDate],DATE(2026,12,9),tblDaily[WardCode],"MAE")),"")</f>
        <v/>
      </c>
      <c r="G444" s="12">
        <f>IFERROR(IF(SUMIFS(tblDaily[TransfersOut],tblDaily[EntryDate],DATE(2026,12,9),tblDaily[WardCode],"MAE")=0,"",SUMIFS(tblDaily[TransfersOut],tblDaily[EntryDate],DATE(2026,12,9),tblDaily[WardCode],"MAE")),"")</f>
        <v/>
      </c>
      <c r="H444" s="12">
        <f>IFERROR(IF(SUMIFS(tblDaily[Remaining],tblDaily[EntryDate],DATE(2026,12,9),tblDaily[WardCode],"MAE")=0,"",SUMIFS(tblDaily[Remaining],tblDaily[EntryDate],DATE(2026,12,9),tblDaily[WardCode],"MAE")),"")</f>
        <v/>
      </c>
    </row>
    <row r="445">
      <c r="A445" s="12" t="n">
        <v>10</v>
      </c>
      <c r="B445" s="12">
        <f>IFERROR(IF(SUMIFS(tblDaily[Admissions],tblDaily[EntryDate],DATE(2026,12,10),tblDaily[WardCode],"MAE")=0,"",SUMIFS(tblDaily[Admissions],tblDaily[EntryDate],DATE(2026,12,10),tblDaily[WardCode],"MAE")),"")</f>
        <v/>
      </c>
      <c r="C445" s="12">
        <f>IFERROR(IF(SUMIFS(tblDaily[Discharges],tblDaily[EntryDate],DATE(2026,12,10),tblDaily[WardCode],"MAE")=0,"",SUMIFS(tblDaily[Discharges],tblDaily[EntryDate],DATE(2026,12,10),tblDaily[WardCode],"MAE")),"")</f>
        <v/>
      </c>
      <c r="D445" s="12">
        <f>IFERROR(IF(SUMIFS(tblDaily[Deaths],tblDaily[EntryDate],DATE(2026,12,10),tblDaily[WardCode],"MAE")=0,"",SUMIFS(tblDaily[Deaths],tblDaily[EntryDate],DATE(2026,12,10),tblDaily[WardCode],"MAE")),"")</f>
        <v/>
      </c>
      <c r="E445" s="12">
        <f>IFERROR(IF(SUMIFS(tblDaily[DeathsUnder24Hrs],tblDaily[EntryDate],DATE(2026,12,10),tblDaily[WardCode],"MAE")=0,"",SUMIFS(tblDaily[DeathsUnder24Hrs],tblDaily[EntryDate],DATE(2026,12,10),tblDaily[WardCode],"MAE")),"")</f>
        <v/>
      </c>
      <c r="F445" s="12">
        <f>IFERROR(IF(SUMIFS(tblDaily[TransfersIn],tblDaily[EntryDate],DATE(2026,12,10),tblDaily[WardCode],"MAE")=0,"",SUMIFS(tblDaily[TransfersIn],tblDaily[EntryDate],DATE(2026,12,10),tblDaily[WardCode],"MAE")),"")</f>
        <v/>
      </c>
      <c r="G445" s="12">
        <f>IFERROR(IF(SUMIFS(tblDaily[TransfersOut],tblDaily[EntryDate],DATE(2026,12,10),tblDaily[WardCode],"MAE")=0,"",SUMIFS(tblDaily[TransfersOut],tblDaily[EntryDate],DATE(2026,12,10),tblDaily[WardCode],"MAE")),"")</f>
        <v/>
      </c>
      <c r="H445" s="12">
        <f>IFERROR(IF(SUMIFS(tblDaily[Remaining],tblDaily[EntryDate],DATE(2026,12,10),tblDaily[WardCode],"MAE")=0,"",SUMIFS(tblDaily[Remaining],tblDaily[EntryDate],DATE(2026,12,10),tblDaily[WardCode],"MAE")),"")</f>
        <v/>
      </c>
    </row>
    <row r="446">
      <c r="A446" s="12" t="n">
        <v>11</v>
      </c>
      <c r="B446" s="12">
        <f>IFERROR(IF(SUMIFS(tblDaily[Admissions],tblDaily[EntryDate],DATE(2026,12,11),tblDaily[WardCode],"MAE")=0,"",SUMIFS(tblDaily[Admissions],tblDaily[EntryDate],DATE(2026,12,11),tblDaily[WardCode],"MAE")),"")</f>
        <v/>
      </c>
      <c r="C446" s="12">
        <f>IFERROR(IF(SUMIFS(tblDaily[Discharges],tblDaily[EntryDate],DATE(2026,12,11),tblDaily[WardCode],"MAE")=0,"",SUMIFS(tblDaily[Discharges],tblDaily[EntryDate],DATE(2026,12,11),tblDaily[WardCode],"MAE")),"")</f>
        <v/>
      </c>
      <c r="D446" s="12">
        <f>IFERROR(IF(SUMIFS(tblDaily[Deaths],tblDaily[EntryDate],DATE(2026,12,11),tblDaily[WardCode],"MAE")=0,"",SUMIFS(tblDaily[Deaths],tblDaily[EntryDate],DATE(2026,12,11),tblDaily[WardCode],"MAE")),"")</f>
        <v/>
      </c>
      <c r="E446" s="12">
        <f>IFERROR(IF(SUMIFS(tblDaily[DeathsUnder24Hrs],tblDaily[EntryDate],DATE(2026,12,11),tblDaily[WardCode],"MAE")=0,"",SUMIFS(tblDaily[DeathsUnder24Hrs],tblDaily[EntryDate],DATE(2026,12,11),tblDaily[WardCode],"MAE")),"")</f>
        <v/>
      </c>
      <c r="F446" s="12">
        <f>IFERROR(IF(SUMIFS(tblDaily[TransfersIn],tblDaily[EntryDate],DATE(2026,12,11),tblDaily[WardCode],"MAE")=0,"",SUMIFS(tblDaily[TransfersIn],tblDaily[EntryDate],DATE(2026,12,11),tblDaily[WardCode],"MAE")),"")</f>
        <v/>
      </c>
      <c r="G446" s="12">
        <f>IFERROR(IF(SUMIFS(tblDaily[TransfersOut],tblDaily[EntryDate],DATE(2026,12,11),tblDaily[WardCode],"MAE")=0,"",SUMIFS(tblDaily[TransfersOut],tblDaily[EntryDate],DATE(2026,12,11),tblDaily[WardCode],"MAE")),"")</f>
        <v/>
      </c>
      <c r="H446" s="12">
        <f>IFERROR(IF(SUMIFS(tblDaily[Remaining],tblDaily[EntryDate],DATE(2026,12,11),tblDaily[WardCode],"MAE")=0,"",SUMIFS(tblDaily[Remaining],tblDaily[EntryDate],DATE(2026,12,11),tblDaily[WardCode],"MAE")),"")</f>
        <v/>
      </c>
    </row>
    <row r="447">
      <c r="A447" s="12" t="n">
        <v>12</v>
      </c>
      <c r="B447" s="12">
        <f>IFERROR(IF(SUMIFS(tblDaily[Admissions],tblDaily[EntryDate],DATE(2026,12,12),tblDaily[WardCode],"MAE")=0,"",SUMIFS(tblDaily[Admissions],tblDaily[EntryDate],DATE(2026,12,12),tblDaily[WardCode],"MAE")),"")</f>
        <v/>
      </c>
      <c r="C447" s="12">
        <f>IFERROR(IF(SUMIFS(tblDaily[Discharges],tblDaily[EntryDate],DATE(2026,12,12),tblDaily[WardCode],"MAE")=0,"",SUMIFS(tblDaily[Discharges],tblDaily[EntryDate],DATE(2026,12,12),tblDaily[WardCode],"MAE")),"")</f>
        <v/>
      </c>
      <c r="D447" s="12">
        <f>IFERROR(IF(SUMIFS(tblDaily[Deaths],tblDaily[EntryDate],DATE(2026,12,12),tblDaily[WardCode],"MAE")=0,"",SUMIFS(tblDaily[Deaths],tblDaily[EntryDate],DATE(2026,12,12),tblDaily[WardCode],"MAE")),"")</f>
        <v/>
      </c>
      <c r="E447" s="12">
        <f>IFERROR(IF(SUMIFS(tblDaily[DeathsUnder24Hrs],tblDaily[EntryDate],DATE(2026,12,12),tblDaily[WardCode],"MAE")=0,"",SUMIFS(tblDaily[DeathsUnder24Hrs],tblDaily[EntryDate],DATE(2026,12,12),tblDaily[WardCode],"MAE")),"")</f>
        <v/>
      </c>
      <c r="F447" s="12">
        <f>IFERROR(IF(SUMIFS(tblDaily[TransfersIn],tblDaily[EntryDate],DATE(2026,12,12),tblDaily[WardCode],"MAE")=0,"",SUMIFS(tblDaily[TransfersIn],tblDaily[EntryDate],DATE(2026,12,12),tblDaily[WardCode],"MAE")),"")</f>
        <v/>
      </c>
      <c r="G447" s="12">
        <f>IFERROR(IF(SUMIFS(tblDaily[TransfersOut],tblDaily[EntryDate],DATE(2026,12,12),tblDaily[WardCode],"MAE")=0,"",SUMIFS(tblDaily[TransfersOut],tblDaily[EntryDate],DATE(2026,12,12),tblDaily[WardCode],"MAE")),"")</f>
        <v/>
      </c>
      <c r="H447" s="12">
        <f>IFERROR(IF(SUMIFS(tblDaily[Remaining],tblDaily[EntryDate],DATE(2026,12,12),tblDaily[WardCode],"MAE")=0,"",SUMIFS(tblDaily[Remaining],tblDaily[EntryDate],DATE(2026,12,12),tblDaily[WardCode],"MAE")),"")</f>
        <v/>
      </c>
    </row>
    <row r="448">
      <c r="A448" s="12" t="n">
        <v>13</v>
      </c>
      <c r="B448" s="12">
        <f>IFERROR(IF(SUMIFS(tblDaily[Admissions],tblDaily[EntryDate],DATE(2026,12,13),tblDaily[WardCode],"MAE")=0,"",SUMIFS(tblDaily[Admissions],tblDaily[EntryDate],DATE(2026,12,13),tblDaily[WardCode],"MAE")),"")</f>
        <v/>
      </c>
      <c r="C448" s="12">
        <f>IFERROR(IF(SUMIFS(tblDaily[Discharges],tblDaily[EntryDate],DATE(2026,12,13),tblDaily[WardCode],"MAE")=0,"",SUMIFS(tblDaily[Discharges],tblDaily[EntryDate],DATE(2026,12,13),tblDaily[WardCode],"MAE")),"")</f>
        <v/>
      </c>
      <c r="D448" s="12">
        <f>IFERROR(IF(SUMIFS(tblDaily[Deaths],tblDaily[EntryDate],DATE(2026,12,13),tblDaily[WardCode],"MAE")=0,"",SUMIFS(tblDaily[Deaths],tblDaily[EntryDate],DATE(2026,12,13),tblDaily[WardCode],"MAE")),"")</f>
        <v/>
      </c>
      <c r="E448" s="12">
        <f>IFERROR(IF(SUMIFS(tblDaily[DeathsUnder24Hrs],tblDaily[EntryDate],DATE(2026,12,13),tblDaily[WardCode],"MAE")=0,"",SUMIFS(tblDaily[DeathsUnder24Hrs],tblDaily[EntryDate],DATE(2026,12,13),tblDaily[WardCode],"MAE")),"")</f>
        <v/>
      </c>
      <c r="F448" s="12">
        <f>IFERROR(IF(SUMIFS(tblDaily[TransfersIn],tblDaily[EntryDate],DATE(2026,12,13),tblDaily[WardCode],"MAE")=0,"",SUMIFS(tblDaily[TransfersIn],tblDaily[EntryDate],DATE(2026,12,13),tblDaily[WardCode],"MAE")),"")</f>
        <v/>
      </c>
      <c r="G448" s="12">
        <f>IFERROR(IF(SUMIFS(tblDaily[TransfersOut],tblDaily[EntryDate],DATE(2026,12,13),tblDaily[WardCode],"MAE")=0,"",SUMIFS(tblDaily[TransfersOut],tblDaily[EntryDate],DATE(2026,12,13),tblDaily[WardCode],"MAE")),"")</f>
        <v/>
      </c>
      <c r="H448" s="12">
        <f>IFERROR(IF(SUMIFS(tblDaily[Remaining],tblDaily[EntryDate],DATE(2026,12,13),tblDaily[WardCode],"MAE")=0,"",SUMIFS(tblDaily[Remaining],tblDaily[EntryDate],DATE(2026,12,13),tblDaily[WardCode],"MAE")),"")</f>
        <v/>
      </c>
    </row>
    <row r="449">
      <c r="A449" s="12" t="n">
        <v>14</v>
      </c>
      <c r="B449" s="12">
        <f>IFERROR(IF(SUMIFS(tblDaily[Admissions],tblDaily[EntryDate],DATE(2026,12,14),tblDaily[WardCode],"MAE")=0,"",SUMIFS(tblDaily[Admissions],tblDaily[EntryDate],DATE(2026,12,14),tblDaily[WardCode],"MAE")),"")</f>
        <v/>
      </c>
      <c r="C449" s="12">
        <f>IFERROR(IF(SUMIFS(tblDaily[Discharges],tblDaily[EntryDate],DATE(2026,12,14),tblDaily[WardCode],"MAE")=0,"",SUMIFS(tblDaily[Discharges],tblDaily[EntryDate],DATE(2026,12,14),tblDaily[WardCode],"MAE")),"")</f>
        <v/>
      </c>
      <c r="D449" s="12">
        <f>IFERROR(IF(SUMIFS(tblDaily[Deaths],tblDaily[EntryDate],DATE(2026,12,14),tblDaily[WardCode],"MAE")=0,"",SUMIFS(tblDaily[Deaths],tblDaily[EntryDate],DATE(2026,12,14),tblDaily[WardCode],"MAE")),"")</f>
        <v/>
      </c>
      <c r="E449" s="12">
        <f>IFERROR(IF(SUMIFS(tblDaily[DeathsUnder24Hrs],tblDaily[EntryDate],DATE(2026,12,14),tblDaily[WardCode],"MAE")=0,"",SUMIFS(tblDaily[DeathsUnder24Hrs],tblDaily[EntryDate],DATE(2026,12,14),tblDaily[WardCode],"MAE")),"")</f>
        <v/>
      </c>
      <c r="F449" s="12">
        <f>IFERROR(IF(SUMIFS(tblDaily[TransfersIn],tblDaily[EntryDate],DATE(2026,12,14),tblDaily[WardCode],"MAE")=0,"",SUMIFS(tblDaily[TransfersIn],tblDaily[EntryDate],DATE(2026,12,14),tblDaily[WardCode],"MAE")),"")</f>
        <v/>
      </c>
      <c r="G449" s="12">
        <f>IFERROR(IF(SUMIFS(tblDaily[TransfersOut],tblDaily[EntryDate],DATE(2026,12,14),tblDaily[WardCode],"MAE")=0,"",SUMIFS(tblDaily[TransfersOut],tblDaily[EntryDate],DATE(2026,12,14),tblDaily[WardCode],"MAE")),"")</f>
        <v/>
      </c>
      <c r="H449" s="12">
        <f>IFERROR(IF(SUMIFS(tblDaily[Remaining],tblDaily[EntryDate],DATE(2026,12,14),tblDaily[WardCode],"MAE")=0,"",SUMIFS(tblDaily[Remaining],tblDaily[EntryDate],DATE(2026,12,14),tblDaily[WardCode],"MAE")),"")</f>
        <v/>
      </c>
    </row>
    <row r="450">
      <c r="A450" s="12" t="n">
        <v>15</v>
      </c>
      <c r="B450" s="12">
        <f>IFERROR(IF(SUMIFS(tblDaily[Admissions],tblDaily[EntryDate],DATE(2026,12,15),tblDaily[WardCode],"MAE")=0,"",SUMIFS(tblDaily[Admissions],tblDaily[EntryDate],DATE(2026,12,15),tblDaily[WardCode],"MAE")),"")</f>
        <v/>
      </c>
      <c r="C450" s="12">
        <f>IFERROR(IF(SUMIFS(tblDaily[Discharges],tblDaily[EntryDate],DATE(2026,12,15),tblDaily[WardCode],"MAE")=0,"",SUMIFS(tblDaily[Discharges],tblDaily[EntryDate],DATE(2026,12,15),tblDaily[WardCode],"MAE")),"")</f>
        <v/>
      </c>
      <c r="D450" s="12">
        <f>IFERROR(IF(SUMIFS(tblDaily[Deaths],tblDaily[EntryDate],DATE(2026,12,15),tblDaily[WardCode],"MAE")=0,"",SUMIFS(tblDaily[Deaths],tblDaily[EntryDate],DATE(2026,12,15),tblDaily[WardCode],"MAE")),"")</f>
        <v/>
      </c>
      <c r="E450" s="12">
        <f>IFERROR(IF(SUMIFS(tblDaily[DeathsUnder24Hrs],tblDaily[EntryDate],DATE(2026,12,15),tblDaily[WardCode],"MAE")=0,"",SUMIFS(tblDaily[DeathsUnder24Hrs],tblDaily[EntryDate],DATE(2026,12,15),tblDaily[WardCode],"MAE")),"")</f>
        <v/>
      </c>
      <c r="F450" s="12">
        <f>IFERROR(IF(SUMIFS(tblDaily[TransfersIn],tblDaily[EntryDate],DATE(2026,12,15),tblDaily[WardCode],"MAE")=0,"",SUMIFS(tblDaily[TransfersIn],tblDaily[EntryDate],DATE(2026,12,15),tblDaily[WardCode],"MAE")),"")</f>
        <v/>
      </c>
      <c r="G450" s="12">
        <f>IFERROR(IF(SUMIFS(tblDaily[TransfersOut],tblDaily[EntryDate],DATE(2026,12,15),tblDaily[WardCode],"MAE")=0,"",SUMIFS(tblDaily[TransfersOut],tblDaily[EntryDate],DATE(2026,12,15),tblDaily[WardCode],"MAE")),"")</f>
        <v/>
      </c>
      <c r="H450" s="12">
        <f>IFERROR(IF(SUMIFS(tblDaily[Remaining],tblDaily[EntryDate],DATE(2026,12,15),tblDaily[WardCode],"MAE")=0,"",SUMIFS(tblDaily[Remaining],tblDaily[EntryDate],DATE(2026,12,15),tblDaily[WardCode],"MAE")),"")</f>
        <v/>
      </c>
    </row>
    <row r="451">
      <c r="A451" s="12" t="n">
        <v>16</v>
      </c>
      <c r="B451" s="12">
        <f>IFERROR(IF(SUMIFS(tblDaily[Admissions],tblDaily[EntryDate],DATE(2026,12,16),tblDaily[WardCode],"MAE")=0,"",SUMIFS(tblDaily[Admissions],tblDaily[EntryDate],DATE(2026,12,16),tblDaily[WardCode],"MAE")),"")</f>
        <v/>
      </c>
      <c r="C451" s="12">
        <f>IFERROR(IF(SUMIFS(tblDaily[Discharges],tblDaily[EntryDate],DATE(2026,12,16),tblDaily[WardCode],"MAE")=0,"",SUMIFS(tblDaily[Discharges],tblDaily[EntryDate],DATE(2026,12,16),tblDaily[WardCode],"MAE")),"")</f>
        <v/>
      </c>
      <c r="D451" s="12">
        <f>IFERROR(IF(SUMIFS(tblDaily[Deaths],tblDaily[EntryDate],DATE(2026,12,16),tblDaily[WardCode],"MAE")=0,"",SUMIFS(tblDaily[Deaths],tblDaily[EntryDate],DATE(2026,12,16),tblDaily[WardCode],"MAE")),"")</f>
        <v/>
      </c>
      <c r="E451" s="12">
        <f>IFERROR(IF(SUMIFS(tblDaily[DeathsUnder24Hrs],tblDaily[EntryDate],DATE(2026,12,16),tblDaily[WardCode],"MAE")=0,"",SUMIFS(tblDaily[DeathsUnder24Hrs],tblDaily[EntryDate],DATE(2026,12,16),tblDaily[WardCode],"MAE")),"")</f>
        <v/>
      </c>
      <c r="F451" s="12">
        <f>IFERROR(IF(SUMIFS(tblDaily[TransfersIn],tblDaily[EntryDate],DATE(2026,12,16),tblDaily[WardCode],"MAE")=0,"",SUMIFS(tblDaily[TransfersIn],tblDaily[EntryDate],DATE(2026,12,16),tblDaily[WardCode],"MAE")),"")</f>
        <v/>
      </c>
      <c r="G451" s="12">
        <f>IFERROR(IF(SUMIFS(tblDaily[TransfersOut],tblDaily[EntryDate],DATE(2026,12,16),tblDaily[WardCode],"MAE")=0,"",SUMIFS(tblDaily[TransfersOut],tblDaily[EntryDate],DATE(2026,12,16),tblDaily[WardCode],"MAE")),"")</f>
        <v/>
      </c>
      <c r="H451" s="12">
        <f>IFERROR(IF(SUMIFS(tblDaily[Remaining],tblDaily[EntryDate],DATE(2026,12,16),tblDaily[WardCode],"MAE")=0,"",SUMIFS(tblDaily[Remaining],tblDaily[EntryDate],DATE(2026,12,16),tblDaily[WardCode],"MAE")),"")</f>
        <v/>
      </c>
    </row>
    <row r="452">
      <c r="A452" s="12" t="n">
        <v>17</v>
      </c>
      <c r="B452" s="12">
        <f>IFERROR(IF(SUMIFS(tblDaily[Admissions],tblDaily[EntryDate],DATE(2026,12,17),tblDaily[WardCode],"MAE")=0,"",SUMIFS(tblDaily[Admissions],tblDaily[EntryDate],DATE(2026,12,17),tblDaily[WardCode],"MAE")),"")</f>
        <v/>
      </c>
      <c r="C452" s="12">
        <f>IFERROR(IF(SUMIFS(tblDaily[Discharges],tblDaily[EntryDate],DATE(2026,12,17),tblDaily[WardCode],"MAE")=0,"",SUMIFS(tblDaily[Discharges],tblDaily[EntryDate],DATE(2026,12,17),tblDaily[WardCode],"MAE")),"")</f>
        <v/>
      </c>
      <c r="D452" s="12">
        <f>IFERROR(IF(SUMIFS(tblDaily[Deaths],tblDaily[EntryDate],DATE(2026,12,17),tblDaily[WardCode],"MAE")=0,"",SUMIFS(tblDaily[Deaths],tblDaily[EntryDate],DATE(2026,12,17),tblDaily[WardCode],"MAE")),"")</f>
        <v/>
      </c>
      <c r="E452" s="12">
        <f>IFERROR(IF(SUMIFS(tblDaily[DeathsUnder24Hrs],tblDaily[EntryDate],DATE(2026,12,17),tblDaily[WardCode],"MAE")=0,"",SUMIFS(tblDaily[DeathsUnder24Hrs],tblDaily[EntryDate],DATE(2026,12,17),tblDaily[WardCode],"MAE")),"")</f>
        <v/>
      </c>
      <c r="F452" s="12">
        <f>IFERROR(IF(SUMIFS(tblDaily[TransfersIn],tblDaily[EntryDate],DATE(2026,12,17),tblDaily[WardCode],"MAE")=0,"",SUMIFS(tblDaily[TransfersIn],tblDaily[EntryDate],DATE(2026,12,17),tblDaily[WardCode],"MAE")),"")</f>
        <v/>
      </c>
      <c r="G452" s="12">
        <f>IFERROR(IF(SUMIFS(tblDaily[TransfersOut],tblDaily[EntryDate],DATE(2026,12,17),tblDaily[WardCode],"MAE")=0,"",SUMIFS(tblDaily[TransfersOut],tblDaily[EntryDate],DATE(2026,12,17),tblDaily[WardCode],"MAE")),"")</f>
        <v/>
      </c>
      <c r="H452" s="12">
        <f>IFERROR(IF(SUMIFS(tblDaily[Remaining],tblDaily[EntryDate],DATE(2026,12,17),tblDaily[WardCode],"MAE")=0,"",SUMIFS(tblDaily[Remaining],tblDaily[EntryDate],DATE(2026,12,17),tblDaily[WardCode],"MAE")),"")</f>
        <v/>
      </c>
    </row>
    <row r="453">
      <c r="A453" s="12" t="n">
        <v>18</v>
      </c>
      <c r="B453" s="12">
        <f>IFERROR(IF(SUMIFS(tblDaily[Admissions],tblDaily[EntryDate],DATE(2026,12,18),tblDaily[WardCode],"MAE")=0,"",SUMIFS(tblDaily[Admissions],tblDaily[EntryDate],DATE(2026,12,18),tblDaily[WardCode],"MAE")),"")</f>
        <v/>
      </c>
      <c r="C453" s="12">
        <f>IFERROR(IF(SUMIFS(tblDaily[Discharges],tblDaily[EntryDate],DATE(2026,12,18),tblDaily[WardCode],"MAE")=0,"",SUMIFS(tblDaily[Discharges],tblDaily[EntryDate],DATE(2026,12,18),tblDaily[WardCode],"MAE")),"")</f>
        <v/>
      </c>
      <c r="D453" s="12">
        <f>IFERROR(IF(SUMIFS(tblDaily[Deaths],tblDaily[EntryDate],DATE(2026,12,18),tblDaily[WardCode],"MAE")=0,"",SUMIFS(tblDaily[Deaths],tblDaily[EntryDate],DATE(2026,12,18),tblDaily[WardCode],"MAE")),"")</f>
        <v/>
      </c>
      <c r="E453" s="12">
        <f>IFERROR(IF(SUMIFS(tblDaily[DeathsUnder24Hrs],tblDaily[EntryDate],DATE(2026,12,18),tblDaily[WardCode],"MAE")=0,"",SUMIFS(tblDaily[DeathsUnder24Hrs],tblDaily[EntryDate],DATE(2026,12,18),tblDaily[WardCode],"MAE")),"")</f>
        <v/>
      </c>
      <c r="F453" s="12">
        <f>IFERROR(IF(SUMIFS(tblDaily[TransfersIn],tblDaily[EntryDate],DATE(2026,12,18),tblDaily[WardCode],"MAE")=0,"",SUMIFS(tblDaily[TransfersIn],tblDaily[EntryDate],DATE(2026,12,18),tblDaily[WardCode],"MAE")),"")</f>
        <v/>
      </c>
      <c r="G453" s="12">
        <f>IFERROR(IF(SUMIFS(tblDaily[TransfersOut],tblDaily[EntryDate],DATE(2026,12,18),tblDaily[WardCode],"MAE")=0,"",SUMIFS(tblDaily[TransfersOut],tblDaily[EntryDate],DATE(2026,12,18),tblDaily[WardCode],"MAE")),"")</f>
        <v/>
      </c>
      <c r="H453" s="12">
        <f>IFERROR(IF(SUMIFS(tblDaily[Remaining],tblDaily[EntryDate],DATE(2026,12,18),tblDaily[WardCode],"MAE")=0,"",SUMIFS(tblDaily[Remaining],tblDaily[EntryDate],DATE(2026,12,18),tblDaily[WardCode],"MAE")),"")</f>
        <v/>
      </c>
    </row>
    <row r="454">
      <c r="A454" s="12" t="n">
        <v>19</v>
      </c>
      <c r="B454" s="12">
        <f>IFERROR(IF(SUMIFS(tblDaily[Admissions],tblDaily[EntryDate],DATE(2026,12,19),tblDaily[WardCode],"MAE")=0,"",SUMIFS(tblDaily[Admissions],tblDaily[EntryDate],DATE(2026,12,19),tblDaily[WardCode],"MAE")),"")</f>
        <v/>
      </c>
      <c r="C454" s="12">
        <f>IFERROR(IF(SUMIFS(tblDaily[Discharges],tblDaily[EntryDate],DATE(2026,12,19),tblDaily[WardCode],"MAE")=0,"",SUMIFS(tblDaily[Discharges],tblDaily[EntryDate],DATE(2026,12,19),tblDaily[WardCode],"MAE")),"")</f>
        <v/>
      </c>
      <c r="D454" s="12">
        <f>IFERROR(IF(SUMIFS(tblDaily[Deaths],tblDaily[EntryDate],DATE(2026,12,19),tblDaily[WardCode],"MAE")=0,"",SUMIFS(tblDaily[Deaths],tblDaily[EntryDate],DATE(2026,12,19),tblDaily[WardCode],"MAE")),"")</f>
        <v/>
      </c>
      <c r="E454" s="12">
        <f>IFERROR(IF(SUMIFS(tblDaily[DeathsUnder24Hrs],tblDaily[EntryDate],DATE(2026,12,19),tblDaily[WardCode],"MAE")=0,"",SUMIFS(tblDaily[DeathsUnder24Hrs],tblDaily[EntryDate],DATE(2026,12,19),tblDaily[WardCode],"MAE")),"")</f>
        <v/>
      </c>
      <c r="F454" s="12">
        <f>IFERROR(IF(SUMIFS(tblDaily[TransfersIn],tblDaily[EntryDate],DATE(2026,12,19),tblDaily[WardCode],"MAE")=0,"",SUMIFS(tblDaily[TransfersIn],tblDaily[EntryDate],DATE(2026,12,19),tblDaily[WardCode],"MAE")),"")</f>
        <v/>
      </c>
      <c r="G454" s="12">
        <f>IFERROR(IF(SUMIFS(tblDaily[TransfersOut],tblDaily[EntryDate],DATE(2026,12,19),tblDaily[WardCode],"MAE")=0,"",SUMIFS(tblDaily[TransfersOut],tblDaily[EntryDate],DATE(2026,12,19),tblDaily[WardCode],"MAE")),"")</f>
        <v/>
      </c>
      <c r="H454" s="12">
        <f>IFERROR(IF(SUMIFS(tblDaily[Remaining],tblDaily[EntryDate],DATE(2026,12,19),tblDaily[WardCode],"MAE")=0,"",SUMIFS(tblDaily[Remaining],tblDaily[EntryDate],DATE(2026,12,19),tblDaily[WardCode],"MAE")),"")</f>
        <v/>
      </c>
    </row>
    <row r="455">
      <c r="A455" s="12" t="n">
        <v>20</v>
      </c>
      <c r="B455" s="12">
        <f>IFERROR(IF(SUMIFS(tblDaily[Admissions],tblDaily[EntryDate],DATE(2026,12,20),tblDaily[WardCode],"MAE")=0,"",SUMIFS(tblDaily[Admissions],tblDaily[EntryDate],DATE(2026,12,20),tblDaily[WardCode],"MAE")),"")</f>
        <v/>
      </c>
      <c r="C455" s="12">
        <f>IFERROR(IF(SUMIFS(tblDaily[Discharges],tblDaily[EntryDate],DATE(2026,12,20),tblDaily[WardCode],"MAE")=0,"",SUMIFS(tblDaily[Discharges],tblDaily[EntryDate],DATE(2026,12,20),tblDaily[WardCode],"MAE")),"")</f>
        <v/>
      </c>
      <c r="D455" s="12">
        <f>IFERROR(IF(SUMIFS(tblDaily[Deaths],tblDaily[EntryDate],DATE(2026,12,20),tblDaily[WardCode],"MAE")=0,"",SUMIFS(tblDaily[Deaths],tblDaily[EntryDate],DATE(2026,12,20),tblDaily[WardCode],"MAE")),"")</f>
        <v/>
      </c>
      <c r="E455" s="12">
        <f>IFERROR(IF(SUMIFS(tblDaily[DeathsUnder24Hrs],tblDaily[EntryDate],DATE(2026,12,20),tblDaily[WardCode],"MAE")=0,"",SUMIFS(tblDaily[DeathsUnder24Hrs],tblDaily[EntryDate],DATE(2026,12,20),tblDaily[WardCode],"MAE")),"")</f>
        <v/>
      </c>
      <c r="F455" s="12">
        <f>IFERROR(IF(SUMIFS(tblDaily[TransfersIn],tblDaily[EntryDate],DATE(2026,12,20),tblDaily[WardCode],"MAE")=0,"",SUMIFS(tblDaily[TransfersIn],tblDaily[EntryDate],DATE(2026,12,20),tblDaily[WardCode],"MAE")),"")</f>
        <v/>
      </c>
      <c r="G455" s="12">
        <f>IFERROR(IF(SUMIFS(tblDaily[TransfersOut],tblDaily[EntryDate],DATE(2026,12,20),tblDaily[WardCode],"MAE")=0,"",SUMIFS(tblDaily[TransfersOut],tblDaily[EntryDate],DATE(2026,12,20),tblDaily[WardCode],"MAE")),"")</f>
        <v/>
      </c>
      <c r="H455" s="12">
        <f>IFERROR(IF(SUMIFS(tblDaily[Remaining],tblDaily[EntryDate],DATE(2026,12,20),tblDaily[WardCode],"MAE")=0,"",SUMIFS(tblDaily[Remaining],tblDaily[EntryDate],DATE(2026,12,20),tblDaily[WardCode],"MAE")),"")</f>
        <v/>
      </c>
    </row>
    <row r="456">
      <c r="A456" s="12" t="n">
        <v>21</v>
      </c>
      <c r="B456" s="12">
        <f>IFERROR(IF(SUMIFS(tblDaily[Admissions],tblDaily[EntryDate],DATE(2026,12,21),tblDaily[WardCode],"MAE")=0,"",SUMIFS(tblDaily[Admissions],tblDaily[EntryDate],DATE(2026,12,21),tblDaily[WardCode],"MAE")),"")</f>
        <v/>
      </c>
      <c r="C456" s="12">
        <f>IFERROR(IF(SUMIFS(tblDaily[Discharges],tblDaily[EntryDate],DATE(2026,12,21),tblDaily[WardCode],"MAE")=0,"",SUMIFS(tblDaily[Discharges],tblDaily[EntryDate],DATE(2026,12,21),tblDaily[WardCode],"MAE")),"")</f>
        <v/>
      </c>
      <c r="D456" s="12">
        <f>IFERROR(IF(SUMIFS(tblDaily[Deaths],tblDaily[EntryDate],DATE(2026,12,21),tblDaily[WardCode],"MAE")=0,"",SUMIFS(tblDaily[Deaths],tblDaily[EntryDate],DATE(2026,12,21),tblDaily[WardCode],"MAE")),"")</f>
        <v/>
      </c>
      <c r="E456" s="12">
        <f>IFERROR(IF(SUMIFS(tblDaily[DeathsUnder24Hrs],tblDaily[EntryDate],DATE(2026,12,21),tblDaily[WardCode],"MAE")=0,"",SUMIFS(tblDaily[DeathsUnder24Hrs],tblDaily[EntryDate],DATE(2026,12,21),tblDaily[WardCode],"MAE")),"")</f>
        <v/>
      </c>
      <c r="F456" s="12">
        <f>IFERROR(IF(SUMIFS(tblDaily[TransfersIn],tblDaily[EntryDate],DATE(2026,12,21),tblDaily[WardCode],"MAE")=0,"",SUMIFS(tblDaily[TransfersIn],tblDaily[EntryDate],DATE(2026,12,21),tblDaily[WardCode],"MAE")),"")</f>
        <v/>
      </c>
      <c r="G456" s="12">
        <f>IFERROR(IF(SUMIFS(tblDaily[TransfersOut],tblDaily[EntryDate],DATE(2026,12,21),tblDaily[WardCode],"MAE")=0,"",SUMIFS(tblDaily[TransfersOut],tblDaily[EntryDate],DATE(2026,12,21),tblDaily[WardCode],"MAE")),"")</f>
        <v/>
      </c>
      <c r="H456" s="12">
        <f>IFERROR(IF(SUMIFS(tblDaily[Remaining],tblDaily[EntryDate],DATE(2026,12,21),tblDaily[WardCode],"MAE")=0,"",SUMIFS(tblDaily[Remaining],tblDaily[EntryDate],DATE(2026,12,21),tblDaily[WardCode],"MAE")),"")</f>
        <v/>
      </c>
    </row>
    <row r="457">
      <c r="A457" s="12" t="n">
        <v>22</v>
      </c>
      <c r="B457" s="12">
        <f>IFERROR(IF(SUMIFS(tblDaily[Admissions],tblDaily[EntryDate],DATE(2026,12,22),tblDaily[WardCode],"MAE")=0,"",SUMIFS(tblDaily[Admissions],tblDaily[EntryDate],DATE(2026,12,22),tblDaily[WardCode],"MAE")),"")</f>
        <v/>
      </c>
      <c r="C457" s="12">
        <f>IFERROR(IF(SUMIFS(tblDaily[Discharges],tblDaily[EntryDate],DATE(2026,12,22),tblDaily[WardCode],"MAE")=0,"",SUMIFS(tblDaily[Discharges],tblDaily[EntryDate],DATE(2026,12,22),tblDaily[WardCode],"MAE")),"")</f>
        <v/>
      </c>
      <c r="D457" s="12">
        <f>IFERROR(IF(SUMIFS(tblDaily[Deaths],tblDaily[EntryDate],DATE(2026,12,22),tblDaily[WardCode],"MAE")=0,"",SUMIFS(tblDaily[Deaths],tblDaily[EntryDate],DATE(2026,12,22),tblDaily[WardCode],"MAE")),"")</f>
        <v/>
      </c>
      <c r="E457" s="12">
        <f>IFERROR(IF(SUMIFS(tblDaily[DeathsUnder24Hrs],tblDaily[EntryDate],DATE(2026,12,22),tblDaily[WardCode],"MAE")=0,"",SUMIFS(tblDaily[DeathsUnder24Hrs],tblDaily[EntryDate],DATE(2026,12,22),tblDaily[WardCode],"MAE")),"")</f>
        <v/>
      </c>
      <c r="F457" s="12">
        <f>IFERROR(IF(SUMIFS(tblDaily[TransfersIn],tblDaily[EntryDate],DATE(2026,12,22),tblDaily[WardCode],"MAE")=0,"",SUMIFS(tblDaily[TransfersIn],tblDaily[EntryDate],DATE(2026,12,22),tblDaily[WardCode],"MAE")),"")</f>
        <v/>
      </c>
      <c r="G457" s="12">
        <f>IFERROR(IF(SUMIFS(tblDaily[TransfersOut],tblDaily[EntryDate],DATE(2026,12,22),tblDaily[WardCode],"MAE")=0,"",SUMIFS(tblDaily[TransfersOut],tblDaily[EntryDate],DATE(2026,12,22),tblDaily[WardCode],"MAE")),"")</f>
        <v/>
      </c>
      <c r="H457" s="12">
        <f>IFERROR(IF(SUMIFS(tblDaily[Remaining],tblDaily[EntryDate],DATE(2026,12,22),tblDaily[WardCode],"MAE")=0,"",SUMIFS(tblDaily[Remaining],tblDaily[EntryDate],DATE(2026,12,22),tblDaily[WardCode],"MAE")),"")</f>
        <v/>
      </c>
    </row>
    <row r="458">
      <c r="A458" s="12" t="n">
        <v>23</v>
      </c>
      <c r="B458" s="12">
        <f>IFERROR(IF(SUMIFS(tblDaily[Admissions],tblDaily[EntryDate],DATE(2026,12,23),tblDaily[WardCode],"MAE")=0,"",SUMIFS(tblDaily[Admissions],tblDaily[EntryDate],DATE(2026,12,23),tblDaily[WardCode],"MAE")),"")</f>
        <v/>
      </c>
      <c r="C458" s="12">
        <f>IFERROR(IF(SUMIFS(tblDaily[Discharges],tblDaily[EntryDate],DATE(2026,12,23),tblDaily[WardCode],"MAE")=0,"",SUMIFS(tblDaily[Discharges],tblDaily[EntryDate],DATE(2026,12,23),tblDaily[WardCode],"MAE")),"")</f>
        <v/>
      </c>
      <c r="D458" s="12">
        <f>IFERROR(IF(SUMIFS(tblDaily[Deaths],tblDaily[EntryDate],DATE(2026,12,23),tblDaily[WardCode],"MAE")=0,"",SUMIFS(tblDaily[Deaths],tblDaily[EntryDate],DATE(2026,12,23),tblDaily[WardCode],"MAE")),"")</f>
        <v/>
      </c>
      <c r="E458" s="12">
        <f>IFERROR(IF(SUMIFS(tblDaily[DeathsUnder24Hrs],tblDaily[EntryDate],DATE(2026,12,23),tblDaily[WardCode],"MAE")=0,"",SUMIFS(tblDaily[DeathsUnder24Hrs],tblDaily[EntryDate],DATE(2026,12,23),tblDaily[WardCode],"MAE")),"")</f>
        <v/>
      </c>
      <c r="F458" s="12">
        <f>IFERROR(IF(SUMIFS(tblDaily[TransfersIn],tblDaily[EntryDate],DATE(2026,12,23),tblDaily[WardCode],"MAE")=0,"",SUMIFS(tblDaily[TransfersIn],tblDaily[EntryDate],DATE(2026,12,23),tblDaily[WardCode],"MAE")),"")</f>
        <v/>
      </c>
      <c r="G458" s="12">
        <f>IFERROR(IF(SUMIFS(tblDaily[TransfersOut],tblDaily[EntryDate],DATE(2026,12,23),tblDaily[WardCode],"MAE")=0,"",SUMIFS(tblDaily[TransfersOut],tblDaily[EntryDate],DATE(2026,12,23),tblDaily[WardCode],"MAE")),"")</f>
        <v/>
      </c>
      <c r="H458" s="12">
        <f>IFERROR(IF(SUMIFS(tblDaily[Remaining],tblDaily[EntryDate],DATE(2026,12,23),tblDaily[WardCode],"MAE")=0,"",SUMIFS(tblDaily[Remaining],tblDaily[EntryDate],DATE(2026,12,23),tblDaily[WardCode],"MAE")),"")</f>
        <v/>
      </c>
    </row>
    <row r="459">
      <c r="A459" s="12" t="n">
        <v>24</v>
      </c>
      <c r="B459" s="12">
        <f>IFERROR(IF(SUMIFS(tblDaily[Admissions],tblDaily[EntryDate],DATE(2026,12,24),tblDaily[WardCode],"MAE")=0,"",SUMIFS(tblDaily[Admissions],tblDaily[EntryDate],DATE(2026,12,24),tblDaily[WardCode],"MAE")),"")</f>
        <v/>
      </c>
      <c r="C459" s="12">
        <f>IFERROR(IF(SUMIFS(tblDaily[Discharges],tblDaily[EntryDate],DATE(2026,12,24),tblDaily[WardCode],"MAE")=0,"",SUMIFS(tblDaily[Discharges],tblDaily[EntryDate],DATE(2026,12,24),tblDaily[WardCode],"MAE")),"")</f>
        <v/>
      </c>
      <c r="D459" s="12">
        <f>IFERROR(IF(SUMIFS(tblDaily[Deaths],tblDaily[EntryDate],DATE(2026,12,24),tblDaily[WardCode],"MAE")=0,"",SUMIFS(tblDaily[Deaths],tblDaily[EntryDate],DATE(2026,12,24),tblDaily[WardCode],"MAE")),"")</f>
        <v/>
      </c>
      <c r="E459" s="12">
        <f>IFERROR(IF(SUMIFS(tblDaily[DeathsUnder24Hrs],tblDaily[EntryDate],DATE(2026,12,24),tblDaily[WardCode],"MAE")=0,"",SUMIFS(tblDaily[DeathsUnder24Hrs],tblDaily[EntryDate],DATE(2026,12,24),tblDaily[WardCode],"MAE")),"")</f>
        <v/>
      </c>
      <c r="F459" s="12">
        <f>IFERROR(IF(SUMIFS(tblDaily[TransfersIn],tblDaily[EntryDate],DATE(2026,12,24),tblDaily[WardCode],"MAE")=0,"",SUMIFS(tblDaily[TransfersIn],tblDaily[EntryDate],DATE(2026,12,24),tblDaily[WardCode],"MAE")),"")</f>
        <v/>
      </c>
      <c r="G459" s="12">
        <f>IFERROR(IF(SUMIFS(tblDaily[TransfersOut],tblDaily[EntryDate],DATE(2026,12,24),tblDaily[WardCode],"MAE")=0,"",SUMIFS(tblDaily[TransfersOut],tblDaily[EntryDate],DATE(2026,12,24),tblDaily[WardCode],"MAE")),"")</f>
        <v/>
      </c>
      <c r="H459" s="12">
        <f>IFERROR(IF(SUMIFS(tblDaily[Remaining],tblDaily[EntryDate],DATE(2026,12,24),tblDaily[WardCode],"MAE")=0,"",SUMIFS(tblDaily[Remaining],tblDaily[EntryDate],DATE(2026,12,24),tblDaily[WardCode],"MAE")),"")</f>
        <v/>
      </c>
    </row>
    <row r="460">
      <c r="A460" s="12" t="n">
        <v>25</v>
      </c>
      <c r="B460" s="12">
        <f>IFERROR(IF(SUMIFS(tblDaily[Admissions],tblDaily[EntryDate],DATE(2026,12,25),tblDaily[WardCode],"MAE")=0,"",SUMIFS(tblDaily[Admissions],tblDaily[EntryDate],DATE(2026,12,25),tblDaily[WardCode],"MAE")),"")</f>
        <v/>
      </c>
      <c r="C460" s="12">
        <f>IFERROR(IF(SUMIFS(tblDaily[Discharges],tblDaily[EntryDate],DATE(2026,12,25),tblDaily[WardCode],"MAE")=0,"",SUMIFS(tblDaily[Discharges],tblDaily[EntryDate],DATE(2026,12,25),tblDaily[WardCode],"MAE")),"")</f>
        <v/>
      </c>
      <c r="D460" s="12">
        <f>IFERROR(IF(SUMIFS(tblDaily[Deaths],tblDaily[EntryDate],DATE(2026,12,25),tblDaily[WardCode],"MAE")=0,"",SUMIFS(tblDaily[Deaths],tblDaily[EntryDate],DATE(2026,12,25),tblDaily[WardCode],"MAE")),"")</f>
        <v/>
      </c>
      <c r="E460" s="12">
        <f>IFERROR(IF(SUMIFS(tblDaily[DeathsUnder24Hrs],tblDaily[EntryDate],DATE(2026,12,25),tblDaily[WardCode],"MAE")=0,"",SUMIFS(tblDaily[DeathsUnder24Hrs],tblDaily[EntryDate],DATE(2026,12,25),tblDaily[WardCode],"MAE")),"")</f>
        <v/>
      </c>
      <c r="F460" s="12">
        <f>IFERROR(IF(SUMIFS(tblDaily[TransfersIn],tblDaily[EntryDate],DATE(2026,12,25),tblDaily[WardCode],"MAE")=0,"",SUMIFS(tblDaily[TransfersIn],tblDaily[EntryDate],DATE(2026,12,25),tblDaily[WardCode],"MAE")),"")</f>
        <v/>
      </c>
      <c r="G460" s="12">
        <f>IFERROR(IF(SUMIFS(tblDaily[TransfersOut],tblDaily[EntryDate],DATE(2026,12,25),tblDaily[WardCode],"MAE")=0,"",SUMIFS(tblDaily[TransfersOut],tblDaily[EntryDate],DATE(2026,12,25),tblDaily[WardCode],"MAE")),"")</f>
        <v/>
      </c>
      <c r="H460" s="12">
        <f>IFERROR(IF(SUMIFS(tblDaily[Remaining],tblDaily[EntryDate],DATE(2026,12,25),tblDaily[WardCode],"MAE")=0,"",SUMIFS(tblDaily[Remaining],tblDaily[EntryDate],DATE(2026,12,25),tblDaily[WardCode],"MAE")),"")</f>
        <v/>
      </c>
    </row>
    <row r="461">
      <c r="A461" s="12" t="n">
        <v>26</v>
      </c>
      <c r="B461" s="12">
        <f>IFERROR(IF(SUMIFS(tblDaily[Admissions],tblDaily[EntryDate],DATE(2026,12,26),tblDaily[WardCode],"MAE")=0,"",SUMIFS(tblDaily[Admissions],tblDaily[EntryDate],DATE(2026,12,26),tblDaily[WardCode],"MAE")),"")</f>
        <v/>
      </c>
      <c r="C461" s="12">
        <f>IFERROR(IF(SUMIFS(tblDaily[Discharges],tblDaily[EntryDate],DATE(2026,12,26),tblDaily[WardCode],"MAE")=0,"",SUMIFS(tblDaily[Discharges],tblDaily[EntryDate],DATE(2026,12,26),tblDaily[WardCode],"MAE")),"")</f>
        <v/>
      </c>
      <c r="D461" s="12">
        <f>IFERROR(IF(SUMIFS(tblDaily[Deaths],tblDaily[EntryDate],DATE(2026,12,26),tblDaily[WardCode],"MAE")=0,"",SUMIFS(tblDaily[Deaths],tblDaily[EntryDate],DATE(2026,12,26),tblDaily[WardCode],"MAE")),"")</f>
        <v/>
      </c>
      <c r="E461" s="12">
        <f>IFERROR(IF(SUMIFS(tblDaily[DeathsUnder24Hrs],tblDaily[EntryDate],DATE(2026,12,26),tblDaily[WardCode],"MAE")=0,"",SUMIFS(tblDaily[DeathsUnder24Hrs],tblDaily[EntryDate],DATE(2026,12,26),tblDaily[WardCode],"MAE")),"")</f>
        <v/>
      </c>
      <c r="F461" s="12">
        <f>IFERROR(IF(SUMIFS(tblDaily[TransfersIn],tblDaily[EntryDate],DATE(2026,12,26),tblDaily[WardCode],"MAE")=0,"",SUMIFS(tblDaily[TransfersIn],tblDaily[EntryDate],DATE(2026,12,26),tblDaily[WardCode],"MAE")),"")</f>
        <v/>
      </c>
      <c r="G461" s="12">
        <f>IFERROR(IF(SUMIFS(tblDaily[TransfersOut],tblDaily[EntryDate],DATE(2026,12,26),tblDaily[WardCode],"MAE")=0,"",SUMIFS(tblDaily[TransfersOut],tblDaily[EntryDate],DATE(2026,12,26),tblDaily[WardCode],"MAE")),"")</f>
        <v/>
      </c>
      <c r="H461" s="12">
        <f>IFERROR(IF(SUMIFS(tblDaily[Remaining],tblDaily[EntryDate],DATE(2026,12,26),tblDaily[WardCode],"MAE")=0,"",SUMIFS(tblDaily[Remaining],tblDaily[EntryDate],DATE(2026,12,26),tblDaily[WardCode],"MAE")),"")</f>
        <v/>
      </c>
    </row>
    <row r="462">
      <c r="A462" s="12" t="n">
        <v>27</v>
      </c>
      <c r="B462" s="12">
        <f>IFERROR(IF(SUMIFS(tblDaily[Admissions],tblDaily[EntryDate],DATE(2026,12,27),tblDaily[WardCode],"MAE")=0,"",SUMIFS(tblDaily[Admissions],tblDaily[EntryDate],DATE(2026,12,27),tblDaily[WardCode],"MAE")),"")</f>
        <v/>
      </c>
      <c r="C462" s="12">
        <f>IFERROR(IF(SUMIFS(tblDaily[Discharges],tblDaily[EntryDate],DATE(2026,12,27),tblDaily[WardCode],"MAE")=0,"",SUMIFS(tblDaily[Discharges],tblDaily[EntryDate],DATE(2026,12,27),tblDaily[WardCode],"MAE")),"")</f>
        <v/>
      </c>
      <c r="D462" s="12">
        <f>IFERROR(IF(SUMIFS(tblDaily[Deaths],tblDaily[EntryDate],DATE(2026,12,27),tblDaily[WardCode],"MAE")=0,"",SUMIFS(tblDaily[Deaths],tblDaily[EntryDate],DATE(2026,12,27),tblDaily[WardCode],"MAE")),"")</f>
        <v/>
      </c>
      <c r="E462" s="12">
        <f>IFERROR(IF(SUMIFS(tblDaily[DeathsUnder24Hrs],tblDaily[EntryDate],DATE(2026,12,27),tblDaily[WardCode],"MAE")=0,"",SUMIFS(tblDaily[DeathsUnder24Hrs],tblDaily[EntryDate],DATE(2026,12,27),tblDaily[WardCode],"MAE")),"")</f>
        <v/>
      </c>
      <c r="F462" s="12">
        <f>IFERROR(IF(SUMIFS(tblDaily[TransfersIn],tblDaily[EntryDate],DATE(2026,12,27),tblDaily[WardCode],"MAE")=0,"",SUMIFS(tblDaily[TransfersIn],tblDaily[EntryDate],DATE(2026,12,27),tblDaily[WardCode],"MAE")),"")</f>
        <v/>
      </c>
      <c r="G462" s="12">
        <f>IFERROR(IF(SUMIFS(tblDaily[TransfersOut],tblDaily[EntryDate],DATE(2026,12,27),tblDaily[WardCode],"MAE")=0,"",SUMIFS(tblDaily[TransfersOut],tblDaily[EntryDate],DATE(2026,12,27),tblDaily[WardCode],"MAE")),"")</f>
        <v/>
      </c>
      <c r="H462" s="12">
        <f>IFERROR(IF(SUMIFS(tblDaily[Remaining],tblDaily[EntryDate],DATE(2026,12,27),tblDaily[WardCode],"MAE")=0,"",SUMIFS(tblDaily[Remaining],tblDaily[EntryDate],DATE(2026,12,27),tblDaily[WardCode],"MAE")),"")</f>
        <v/>
      </c>
    </row>
    <row r="463">
      <c r="A463" s="12" t="n">
        <v>28</v>
      </c>
      <c r="B463" s="12">
        <f>IFERROR(IF(SUMIFS(tblDaily[Admissions],tblDaily[EntryDate],DATE(2026,12,28),tblDaily[WardCode],"MAE")=0,"",SUMIFS(tblDaily[Admissions],tblDaily[EntryDate],DATE(2026,12,28),tblDaily[WardCode],"MAE")),"")</f>
        <v/>
      </c>
      <c r="C463" s="12">
        <f>IFERROR(IF(SUMIFS(tblDaily[Discharges],tblDaily[EntryDate],DATE(2026,12,28),tblDaily[WardCode],"MAE")=0,"",SUMIFS(tblDaily[Discharges],tblDaily[EntryDate],DATE(2026,12,28),tblDaily[WardCode],"MAE")),"")</f>
        <v/>
      </c>
      <c r="D463" s="12">
        <f>IFERROR(IF(SUMIFS(tblDaily[Deaths],tblDaily[EntryDate],DATE(2026,12,28),tblDaily[WardCode],"MAE")=0,"",SUMIFS(tblDaily[Deaths],tblDaily[EntryDate],DATE(2026,12,28),tblDaily[WardCode],"MAE")),"")</f>
        <v/>
      </c>
      <c r="E463" s="12">
        <f>IFERROR(IF(SUMIFS(tblDaily[DeathsUnder24Hrs],tblDaily[EntryDate],DATE(2026,12,28),tblDaily[WardCode],"MAE")=0,"",SUMIFS(tblDaily[DeathsUnder24Hrs],tblDaily[EntryDate],DATE(2026,12,28),tblDaily[WardCode],"MAE")),"")</f>
        <v/>
      </c>
      <c r="F463" s="12">
        <f>IFERROR(IF(SUMIFS(tblDaily[TransfersIn],tblDaily[EntryDate],DATE(2026,12,28),tblDaily[WardCode],"MAE")=0,"",SUMIFS(tblDaily[TransfersIn],tblDaily[EntryDate],DATE(2026,12,28),tblDaily[WardCode],"MAE")),"")</f>
        <v/>
      </c>
      <c r="G463" s="12">
        <f>IFERROR(IF(SUMIFS(tblDaily[TransfersOut],tblDaily[EntryDate],DATE(2026,12,28),tblDaily[WardCode],"MAE")=0,"",SUMIFS(tblDaily[TransfersOut],tblDaily[EntryDate],DATE(2026,12,28),tblDaily[WardCode],"MAE")),"")</f>
        <v/>
      </c>
      <c r="H463" s="12">
        <f>IFERROR(IF(SUMIFS(tblDaily[Remaining],tblDaily[EntryDate],DATE(2026,12,28),tblDaily[WardCode],"MAE")=0,"",SUMIFS(tblDaily[Remaining],tblDaily[EntryDate],DATE(2026,12,28),tblDaily[WardCode],"MAE")),"")</f>
        <v/>
      </c>
    </row>
    <row r="464">
      <c r="A464" s="12" t="n">
        <v>29</v>
      </c>
      <c r="B464" s="12">
        <f>IFERROR(IF(SUMIFS(tblDaily[Admissions],tblDaily[EntryDate],DATE(2026,12,29),tblDaily[WardCode],"MAE")=0,"",SUMIFS(tblDaily[Admissions],tblDaily[EntryDate],DATE(2026,12,29),tblDaily[WardCode],"MAE")),"")</f>
        <v/>
      </c>
      <c r="C464" s="12">
        <f>IFERROR(IF(SUMIFS(tblDaily[Discharges],tblDaily[EntryDate],DATE(2026,12,29),tblDaily[WardCode],"MAE")=0,"",SUMIFS(tblDaily[Discharges],tblDaily[EntryDate],DATE(2026,12,29),tblDaily[WardCode],"MAE")),"")</f>
        <v/>
      </c>
      <c r="D464" s="12">
        <f>IFERROR(IF(SUMIFS(tblDaily[Deaths],tblDaily[EntryDate],DATE(2026,12,29),tblDaily[WardCode],"MAE")=0,"",SUMIFS(tblDaily[Deaths],tblDaily[EntryDate],DATE(2026,12,29),tblDaily[WardCode],"MAE")),"")</f>
        <v/>
      </c>
      <c r="E464" s="12">
        <f>IFERROR(IF(SUMIFS(tblDaily[DeathsUnder24Hrs],tblDaily[EntryDate],DATE(2026,12,29),tblDaily[WardCode],"MAE")=0,"",SUMIFS(tblDaily[DeathsUnder24Hrs],tblDaily[EntryDate],DATE(2026,12,29),tblDaily[WardCode],"MAE")),"")</f>
        <v/>
      </c>
      <c r="F464" s="12">
        <f>IFERROR(IF(SUMIFS(tblDaily[TransfersIn],tblDaily[EntryDate],DATE(2026,12,29),tblDaily[WardCode],"MAE")=0,"",SUMIFS(tblDaily[TransfersIn],tblDaily[EntryDate],DATE(2026,12,29),tblDaily[WardCode],"MAE")),"")</f>
        <v/>
      </c>
      <c r="G464" s="12">
        <f>IFERROR(IF(SUMIFS(tblDaily[TransfersOut],tblDaily[EntryDate],DATE(2026,12,29),tblDaily[WardCode],"MAE")=0,"",SUMIFS(tblDaily[TransfersOut],tblDaily[EntryDate],DATE(2026,12,29),tblDaily[WardCode],"MAE")),"")</f>
        <v/>
      </c>
      <c r="H464" s="12">
        <f>IFERROR(IF(SUMIFS(tblDaily[Remaining],tblDaily[EntryDate],DATE(2026,12,29),tblDaily[WardCode],"MAE")=0,"",SUMIFS(tblDaily[Remaining],tblDaily[EntryDate],DATE(2026,12,29),tblDaily[WardCode],"MAE")),"")</f>
        <v/>
      </c>
    </row>
    <row r="465">
      <c r="A465" s="12" t="n">
        <v>30</v>
      </c>
      <c r="B465" s="12">
        <f>IFERROR(IF(SUMIFS(tblDaily[Admissions],tblDaily[EntryDate],DATE(2026,12,30),tblDaily[WardCode],"MAE")=0,"",SUMIFS(tblDaily[Admissions],tblDaily[EntryDate],DATE(2026,12,30),tblDaily[WardCode],"MAE")),"")</f>
        <v/>
      </c>
      <c r="C465" s="12">
        <f>IFERROR(IF(SUMIFS(tblDaily[Discharges],tblDaily[EntryDate],DATE(2026,12,30),tblDaily[WardCode],"MAE")=0,"",SUMIFS(tblDaily[Discharges],tblDaily[EntryDate],DATE(2026,12,30),tblDaily[WardCode],"MAE")),"")</f>
        <v/>
      </c>
      <c r="D465" s="12">
        <f>IFERROR(IF(SUMIFS(tblDaily[Deaths],tblDaily[EntryDate],DATE(2026,12,30),tblDaily[WardCode],"MAE")=0,"",SUMIFS(tblDaily[Deaths],tblDaily[EntryDate],DATE(2026,12,30),tblDaily[WardCode],"MAE")),"")</f>
        <v/>
      </c>
      <c r="E465" s="12">
        <f>IFERROR(IF(SUMIFS(tblDaily[DeathsUnder24Hrs],tblDaily[EntryDate],DATE(2026,12,30),tblDaily[WardCode],"MAE")=0,"",SUMIFS(tblDaily[DeathsUnder24Hrs],tblDaily[EntryDate],DATE(2026,12,30),tblDaily[WardCode],"MAE")),"")</f>
        <v/>
      </c>
      <c r="F465" s="12">
        <f>IFERROR(IF(SUMIFS(tblDaily[TransfersIn],tblDaily[EntryDate],DATE(2026,12,30),tblDaily[WardCode],"MAE")=0,"",SUMIFS(tblDaily[TransfersIn],tblDaily[EntryDate],DATE(2026,12,30),tblDaily[WardCode],"MAE")),"")</f>
        <v/>
      </c>
      <c r="G465" s="12">
        <f>IFERROR(IF(SUMIFS(tblDaily[TransfersOut],tblDaily[EntryDate],DATE(2026,12,30),tblDaily[WardCode],"MAE")=0,"",SUMIFS(tblDaily[TransfersOut],tblDaily[EntryDate],DATE(2026,12,30),tblDaily[WardCode],"MAE")),"")</f>
        <v/>
      </c>
      <c r="H465" s="12">
        <f>IFERROR(IF(SUMIFS(tblDaily[Remaining],tblDaily[EntryDate],DATE(2026,12,30),tblDaily[WardCode],"MAE")=0,"",SUMIFS(tblDaily[Remaining],tblDaily[EntryDate],DATE(2026,12,30),tblDaily[WardCode],"MAE")),"")</f>
        <v/>
      </c>
    </row>
    <row r="466">
      <c r="A466" s="12" t="n">
        <v>31</v>
      </c>
      <c r="B466" s="12">
        <f>IFERROR(IF(SUMIFS(tblDaily[Admissions],tblDaily[EntryDate],DATE(2026,12,31),tblDaily[WardCode],"MAE")=0,"",SUMIFS(tblDaily[Admissions],tblDaily[EntryDate],DATE(2026,12,31),tblDaily[WardCode],"MAE")),"")</f>
        <v/>
      </c>
      <c r="C466" s="12">
        <f>IFERROR(IF(SUMIFS(tblDaily[Discharges],tblDaily[EntryDate],DATE(2026,12,31),tblDaily[WardCode],"MAE")=0,"",SUMIFS(tblDaily[Discharges],tblDaily[EntryDate],DATE(2026,12,31),tblDaily[WardCode],"MAE")),"")</f>
        <v/>
      </c>
      <c r="D466" s="12">
        <f>IFERROR(IF(SUMIFS(tblDaily[Deaths],tblDaily[EntryDate],DATE(2026,12,31),tblDaily[WardCode],"MAE")=0,"",SUMIFS(tblDaily[Deaths],tblDaily[EntryDate],DATE(2026,12,31),tblDaily[WardCode],"MAE")),"")</f>
        <v/>
      </c>
      <c r="E466" s="12">
        <f>IFERROR(IF(SUMIFS(tblDaily[DeathsUnder24Hrs],tblDaily[EntryDate],DATE(2026,12,31),tblDaily[WardCode],"MAE")=0,"",SUMIFS(tblDaily[DeathsUnder24Hrs],tblDaily[EntryDate],DATE(2026,12,31),tblDaily[WardCode],"MAE")),"")</f>
        <v/>
      </c>
      <c r="F466" s="12">
        <f>IFERROR(IF(SUMIFS(tblDaily[TransfersIn],tblDaily[EntryDate],DATE(2026,12,31),tblDaily[WardCode],"MAE")=0,"",SUMIFS(tblDaily[TransfersIn],tblDaily[EntryDate],DATE(2026,12,31),tblDaily[WardCode],"MAE")),"")</f>
        <v/>
      </c>
      <c r="G466" s="12">
        <f>IFERROR(IF(SUMIFS(tblDaily[TransfersOut],tblDaily[EntryDate],DATE(2026,12,31),tblDaily[WardCode],"MAE")=0,"",SUMIFS(tblDaily[TransfersOut],tblDaily[EntryDate],DATE(2026,12,31),tblDaily[WardCode],"MAE")),"")</f>
        <v/>
      </c>
      <c r="H466" s="12">
        <f>IFERROR(IF(SUMIFS(tblDaily[Remaining],tblDaily[EntryDate],DATE(2026,12,31),tblDaily[WardCode],"MAE")=0,"",SUMIFS(tblDaily[Remaining],tblDaily[EntryDate],DATE(2026,12,31),tblDaily[WardCode],"MAE")),"")</f>
        <v/>
      </c>
    </row>
    <row r="467">
      <c r="A467" s="17" t="inlineStr">
        <is>
          <t>TOTAL</t>
        </is>
      </c>
      <c r="B467" s="17">
        <f>SUMIFS(tblDaily[Admissions],tblDaily[Month],12,tblDaily[WardCode],"MAE") - SUMIFS(tblDaily[DeathsUnder24Hrs],tblDaily[Month],12,tblDaily[WardCode],"MAE")</f>
        <v/>
      </c>
      <c r="C467" s="17">
        <f>SUMIFS(tblDaily[Discharges],tblDaily[Month],12,tblDaily[WardCode],"MAE")</f>
        <v/>
      </c>
      <c r="D467" s="17">
        <f>SUMIFS(tblDaily[Deaths],tblDaily[Month],12,tblDaily[WardCode],"MAE")</f>
        <v/>
      </c>
      <c r="E467" s="17">
        <f>SUMIFS(tblDaily[DeathsUnder24Hrs],tblDaily[Month],12,tblDaily[WardCode],"MAE")</f>
        <v/>
      </c>
      <c r="F467" s="17">
        <f>SUMIFS(tblDaily[TransfersIn],tblDaily[Month],12,tblDaily[WardCode],"MAE")</f>
        <v/>
      </c>
      <c r="G467" s="17">
        <f>SUMIFS(tblDaily[TransfersOut],tblDaily[Month],12,tblDaily[WardCode],"MAE")</f>
        <v/>
      </c>
      <c r="H467" s="17">
        <f>SUMIFS(tblDaily[Remaining],tblDaily[Month],12,tblDaily[WardCode],"MAE")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4.xml><?xml version="1.0" encoding="utf-8"?>
<worksheet xmlns="http://schemas.openxmlformats.org/spreadsheetml/2006/main">
  <sheetPr>
    <tabColor rgb="00FF69B4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FEMALE EMERGENCY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4">
        <f>IFERROR(INDEX(tblWardConfig[PrevYearRemaining],MATCH("FAE",tblWardConfig[WardCode],0)),0)</f>
        <v/>
      </c>
    </row>
    <row r="5">
      <c r="A5" s="4" t="inlineStr">
        <is>
          <t>Bed complement</t>
        </is>
      </c>
      <c r="H5" s="15">
        <f>IFERROR(INDEX(tblWardConfig[BedComplement],MATCH("FAE",tblWardConfig[WardCode],0)),0)</f>
        <v/>
      </c>
    </row>
    <row r="6">
      <c r="A6" s="16" t="inlineStr">
        <is>
          <t>Day of
the
Month</t>
        </is>
      </c>
      <c r="B6" s="16" t="inlineStr">
        <is>
          <t>Admissions</t>
        </is>
      </c>
      <c r="C6" s="16" t="inlineStr">
        <is>
          <t>Discharges</t>
        </is>
      </c>
      <c r="D6" s="16" t="inlineStr">
        <is>
          <t>Deaths</t>
        </is>
      </c>
      <c r="E6" s="16" t="inlineStr">
        <is>
          <t>Deaths
&lt;24Hrs</t>
        </is>
      </c>
      <c r="F6" s="16" t="inlineStr">
        <is>
          <t>Transfers-
In</t>
        </is>
      </c>
      <c r="G6" s="16" t="inlineStr">
        <is>
          <t>Transfers-
Out</t>
        </is>
      </c>
      <c r="H6" s="16" t="inlineStr">
        <is>
          <t>No. of Patients
Remaining In
Ward</t>
        </is>
      </c>
    </row>
    <row r="7">
      <c r="A7" s="12" t="n">
        <v>1</v>
      </c>
      <c r="B7" s="12">
        <f>IFERROR(IF(SUMIFS(tblDaily[Admissions],tblDaily[EntryDate],DATE(2026,1,1),tblDaily[WardCode],"FAE")=0,"",SUMIFS(tblDaily[Admissions],tblDaily[EntryDate],DATE(2026,1,1),tblDaily[WardCode],"FAE")),"")</f>
        <v/>
      </c>
      <c r="C7" s="12">
        <f>IFERROR(IF(SUMIFS(tblDaily[Discharges],tblDaily[EntryDate],DATE(2026,1,1),tblDaily[WardCode],"FAE")=0,"",SUMIFS(tblDaily[Discharges],tblDaily[EntryDate],DATE(2026,1,1),tblDaily[WardCode],"FAE")),"")</f>
        <v/>
      </c>
      <c r="D7" s="12">
        <f>IFERROR(IF(SUMIFS(tblDaily[Deaths],tblDaily[EntryDate],DATE(2026,1,1),tblDaily[WardCode],"FAE")=0,"",SUMIFS(tblDaily[Deaths],tblDaily[EntryDate],DATE(2026,1,1),tblDaily[WardCode],"FAE")),"")</f>
        <v/>
      </c>
      <c r="E7" s="12">
        <f>IFERROR(IF(SUMIFS(tblDaily[DeathsUnder24Hrs],tblDaily[EntryDate],DATE(2026,1,1),tblDaily[WardCode],"FAE")=0,"",SUMIFS(tblDaily[DeathsUnder24Hrs],tblDaily[EntryDate],DATE(2026,1,1),tblDaily[WardCode],"FAE")),"")</f>
        <v/>
      </c>
      <c r="F7" s="12">
        <f>IFERROR(IF(SUMIFS(tblDaily[TransfersIn],tblDaily[EntryDate],DATE(2026,1,1),tblDaily[WardCode],"FAE")=0,"",SUMIFS(tblDaily[TransfersIn],tblDaily[EntryDate],DATE(2026,1,1),tblDaily[WardCode],"FAE")),"")</f>
        <v/>
      </c>
      <c r="G7" s="12">
        <f>IFERROR(IF(SUMIFS(tblDaily[TransfersOut],tblDaily[EntryDate],DATE(2026,1,1),tblDaily[WardCode],"FAE")=0,"",SUMIFS(tblDaily[TransfersOut],tblDaily[EntryDate],DATE(2026,1,1),tblDaily[WardCode],"FAE")),"")</f>
        <v/>
      </c>
      <c r="H7" s="12">
        <f>IFERROR(IF(SUMIFS(tblDaily[Remaining],tblDaily[EntryDate],DATE(2026,1,1),tblDaily[WardCode],"FAE")=0,"",SUMIFS(tblDaily[Remaining],tblDaily[EntryDate],DATE(2026,1,1),tblDaily[WardCode],"FAE")),"")</f>
        <v/>
      </c>
    </row>
    <row r="8">
      <c r="A8" s="12" t="n">
        <v>2</v>
      </c>
      <c r="B8" s="12">
        <f>IFERROR(IF(SUMIFS(tblDaily[Admissions],tblDaily[EntryDate],DATE(2026,1,2),tblDaily[WardCode],"FAE")=0,"",SUMIFS(tblDaily[Admissions],tblDaily[EntryDate],DATE(2026,1,2),tblDaily[WardCode],"FAE")),"")</f>
        <v/>
      </c>
      <c r="C8" s="12">
        <f>IFERROR(IF(SUMIFS(tblDaily[Discharges],tblDaily[EntryDate],DATE(2026,1,2),tblDaily[WardCode],"FAE")=0,"",SUMIFS(tblDaily[Discharges],tblDaily[EntryDate],DATE(2026,1,2),tblDaily[WardCode],"FAE")),"")</f>
        <v/>
      </c>
      <c r="D8" s="12">
        <f>IFERROR(IF(SUMIFS(tblDaily[Deaths],tblDaily[EntryDate],DATE(2026,1,2),tblDaily[WardCode],"FAE")=0,"",SUMIFS(tblDaily[Deaths],tblDaily[EntryDate],DATE(2026,1,2),tblDaily[WardCode],"FAE")),"")</f>
        <v/>
      </c>
      <c r="E8" s="12">
        <f>IFERROR(IF(SUMIFS(tblDaily[DeathsUnder24Hrs],tblDaily[EntryDate],DATE(2026,1,2),tblDaily[WardCode],"FAE")=0,"",SUMIFS(tblDaily[DeathsUnder24Hrs],tblDaily[EntryDate],DATE(2026,1,2),tblDaily[WardCode],"FAE")),"")</f>
        <v/>
      </c>
      <c r="F8" s="12">
        <f>IFERROR(IF(SUMIFS(tblDaily[TransfersIn],tblDaily[EntryDate],DATE(2026,1,2),tblDaily[WardCode],"FAE")=0,"",SUMIFS(tblDaily[TransfersIn],tblDaily[EntryDate],DATE(2026,1,2),tblDaily[WardCode],"FAE")),"")</f>
        <v/>
      </c>
      <c r="G8" s="12">
        <f>IFERROR(IF(SUMIFS(tblDaily[TransfersOut],tblDaily[EntryDate],DATE(2026,1,2),tblDaily[WardCode],"FAE")=0,"",SUMIFS(tblDaily[TransfersOut],tblDaily[EntryDate],DATE(2026,1,2),tblDaily[WardCode],"FAE")),"")</f>
        <v/>
      </c>
      <c r="H8" s="12">
        <f>IFERROR(IF(SUMIFS(tblDaily[Remaining],tblDaily[EntryDate],DATE(2026,1,2),tblDaily[WardCode],"FAE")=0,"",SUMIFS(tblDaily[Remaining],tblDaily[EntryDate],DATE(2026,1,2),tblDaily[WardCode],"FAE")),"")</f>
        <v/>
      </c>
    </row>
    <row r="9">
      <c r="A9" s="12" t="n">
        <v>3</v>
      </c>
      <c r="B9" s="12">
        <f>IFERROR(IF(SUMIFS(tblDaily[Admissions],tblDaily[EntryDate],DATE(2026,1,3),tblDaily[WardCode],"FAE")=0,"",SUMIFS(tblDaily[Admissions],tblDaily[EntryDate],DATE(2026,1,3),tblDaily[WardCode],"FAE")),"")</f>
        <v/>
      </c>
      <c r="C9" s="12">
        <f>IFERROR(IF(SUMIFS(tblDaily[Discharges],tblDaily[EntryDate],DATE(2026,1,3),tblDaily[WardCode],"FAE")=0,"",SUMIFS(tblDaily[Discharges],tblDaily[EntryDate],DATE(2026,1,3),tblDaily[WardCode],"FAE")),"")</f>
        <v/>
      </c>
      <c r="D9" s="12">
        <f>IFERROR(IF(SUMIFS(tblDaily[Deaths],tblDaily[EntryDate],DATE(2026,1,3),tblDaily[WardCode],"FAE")=0,"",SUMIFS(tblDaily[Deaths],tblDaily[EntryDate],DATE(2026,1,3),tblDaily[WardCode],"FAE")),"")</f>
        <v/>
      </c>
      <c r="E9" s="12">
        <f>IFERROR(IF(SUMIFS(tblDaily[DeathsUnder24Hrs],tblDaily[EntryDate],DATE(2026,1,3),tblDaily[WardCode],"FAE")=0,"",SUMIFS(tblDaily[DeathsUnder24Hrs],tblDaily[EntryDate],DATE(2026,1,3),tblDaily[WardCode],"FAE")),"")</f>
        <v/>
      </c>
      <c r="F9" s="12">
        <f>IFERROR(IF(SUMIFS(tblDaily[TransfersIn],tblDaily[EntryDate],DATE(2026,1,3),tblDaily[WardCode],"FAE")=0,"",SUMIFS(tblDaily[TransfersIn],tblDaily[EntryDate],DATE(2026,1,3),tblDaily[WardCode],"FAE")),"")</f>
        <v/>
      </c>
      <c r="G9" s="12">
        <f>IFERROR(IF(SUMIFS(tblDaily[TransfersOut],tblDaily[EntryDate],DATE(2026,1,3),tblDaily[WardCode],"FAE")=0,"",SUMIFS(tblDaily[TransfersOut],tblDaily[EntryDate],DATE(2026,1,3),tblDaily[WardCode],"FAE")),"")</f>
        <v/>
      </c>
      <c r="H9" s="12">
        <f>IFERROR(IF(SUMIFS(tblDaily[Remaining],tblDaily[EntryDate],DATE(2026,1,3),tblDaily[WardCode],"FAE")=0,"",SUMIFS(tblDaily[Remaining],tblDaily[EntryDate],DATE(2026,1,3),tblDaily[WardCode],"FAE")),"")</f>
        <v/>
      </c>
    </row>
    <row r="10">
      <c r="A10" s="12" t="n">
        <v>4</v>
      </c>
      <c r="B10" s="12">
        <f>IFERROR(IF(SUMIFS(tblDaily[Admissions],tblDaily[EntryDate],DATE(2026,1,4),tblDaily[WardCode],"FAE")=0,"",SUMIFS(tblDaily[Admissions],tblDaily[EntryDate],DATE(2026,1,4),tblDaily[WardCode],"FAE")),"")</f>
        <v/>
      </c>
      <c r="C10" s="12">
        <f>IFERROR(IF(SUMIFS(tblDaily[Discharges],tblDaily[EntryDate],DATE(2026,1,4),tblDaily[WardCode],"FAE")=0,"",SUMIFS(tblDaily[Discharges],tblDaily[EntryDate],DATE(2026,1,4),tblDaily[WardCode],"FAE")),"")</f>
        <v/>
      </c>
      <c r="D10" s="12">
        <f>IFERROR(IF(SUMIFS(tblDaily[Deaths],tblDaily[EntryDate],DATE(2026,1,4),tblDaily[WardCode],"FAE")=0,"",SUMIFS(tblDaily[Deaths],tblDaily[EntryDate],DATE(2026,1,4),tblDaily[WardCode],"FAE")),"")</f>
        <v/>
      </c>
      <c r="E10" s="12">
        <f>IFERROR(IF(SUMIFS(tblDaily[DeathsUnder24Hrs],tblDaily[EntryDate],DATE(2026,1,4),tblDaily[WardCode],"FAE")=0,"",SUMIFS(tblDaily[DeathsUnder24Hrs],tblDaily[EntryDate],DATE(2026,1,4),tblDaily[WardCode],"FAE")),"")</f>
        <v/>
      </c>
      <c r="F10" s="12">
        <f>IFERROR(IF(SUMIFS(tblDaily[TransfersIn],tblDaily[EntryDate],DATE(2026,1,4),tblDaily[WardCode],"FAE")=0,"",SUMIFS(tblDaily[TransfersIn],tblDaily[EntryDate],DATE(2026,1,4),tblDaily[WardCode],"FAE")),"")</f>
        <v/>
      </c>
      <c r="G10" s="12">
        <f>IFERROR(IF(SUMIFS(tblDaily[TransfersOut],tblDaily[EntryDate],DATE(2026,1,4),tblDaily[WardCode],"FAE")=0,"",SUMIFS(tblDaily[TransfersOut],tblDaily[EntryDate],DATE(2026,1,4),tblDaily[WardCode],"FAE")),"")</f>
        <v/>
      </c>
      <c r="H10" s="12">
        <f>IFERROR(IF(SUMIFS(tblDaily[Remaining],tblDaily[EntryDate],DATE(2026,1,4),tblDaily[WardCode],"FAE")=0,"",SUMIFS(tblDaily[Remaining],tblDaily[EntryDate],DATE(2026,1,4),tblDaily[WardCode],"FAE")),"")</f>
        <v/>
      </c>
    </row>
    <row r="11">
      <c r="A11" s="12" t="n">
        <v>5</v>
      </c>
      <c r="B11" s="12">
        <f>IFERROR(IF(SUMIFS(tblDaily[Admissions],tblDaily[EntryDate],DATE(2026,1,5),tblDaily[WardCode],"FAE")=0,"",SUMIFS(tblDaily[Admissions],tblDaily[EntryDate],DATE(2026,1,5),tblDaily[WardCode],"FAE")),"")</f>
        <v/>
      </c>
      <c r="C11" s="12">
        <f>IFERROR(IF(SUMIFS(tblDaily[Discharges],tblDaily[EntryDate],DATE(2026,1,5),tblDaily[WardCode],"FAE")=0,"",SUMIFS(tblDaily[Discharges],tblDaily[EntryDate],DATE(2026,1,5),tblDaily[WardCode],"FAE")),"")</f>
        <v/>
      </c>
      <c r="D11" s="12">
        <f>IFERROR(IF(SUMIFS(tblDaily[Deaths],tblDaily[EntryDate],DATE(2026,1,5),tblDaily[WardCode],"FAE")=0,"",SUMIFS(tblDaily[Deaths],tblDaily[EntryDate],DATE(2026,1,5),tblDaily[WardCode],"FAE")),"")</f>
        <v/>
      </c>
      <c r="E11" s="12">
        <f>IFERROR(IF(SUMIFS(tblDaily[DeathsUnder24Hrs],tblDaily[EntryDate],DATE(2026,1,5),tblDaily[WardCode],"FAE")=0,"",SUMIFS(tblDaily[DeathsUnder24Hrs],tblDaily[EntryDate],DATE(2026,1,5),tblDaily[WardCode],"FAE")),"")</f>
        <v/>
      </c>
      <c r="F11" s="12">
        <f>IFERROR(IF(SUMIFS(tblDaily[TransfersIn],tblDaily[EntryDate],DATE(2026,1,5),tblDaily[WardCode],"FAE")=0,"",SUMIFS(tblDaily[TransfersIn],tblDaily[EntryDate],DATE(2026,1,5),tblDaily[WardCode],"FAE")),"")</f>
        <v/>
      </c>
      <c r="G11" s="12">
        <f>IFERROR(IF(SUMIFS(tblDaily[TransfersOut],tblDaily[EntryDate],DATE(2026,1,5),tblDaily[WardCode],"FAE")=0,"",SUMIFS(tblDaily[TransfersOut],tblDaily[EntryDate],DATE(2026,1,5),tblDaily[WardCode],"FAE")),"")</f>
        <v/>
      </c>
      <c r="H11" s="12">
        <f>IFERROR(IF(SUMIFS(tblDaily[Remaining],tblDaily[EntryDate],DATE(2026,1,5),tblDaily[WardCode],"FAE")=0,"",SUMIFS(tblDaily[Remaining],tblDaily[EntryDate],DATE(2026,1,5),tblDaily[WardCode],"FAE")),"")</f>
        <v/>
      </c>
    </row>
    <row r="12">
      <c r="A12" s="12" t="n">
        <v>6</v>
      </c>
      <c r="B12" s="12">
        <f>IFERROR(IF(SUMIFS(tblDaily[Admissions],tblDaily[EntryDate],DATE(2026,1,6),tblDaily[WardCode],"FAE")=0,"",SUMIFS(tblDaily[Admissions],tblDaily[EntryDate],DATE(2026,1,6),tblDaily[WardCode],"FAE")),"")</f>
        <v/>
      </c>
      <c r="C12" s="12">
        <f>IFERROR(IF(SUMIFS(tblDaily[Discharges],tblDaily[EntryDate],DATE(2026,1,6),tblDaily[WardCode],"FAE")=0,"",SUMIFS(tblDaily[Discharges],tblDaily[EntryDate],DATE(2026,1,6),tblDaily[WardCode],"FAE")),"")</f>
        <v/>
      </c>
      <c r="D12" s="12">
        <f>IFERROR(IF(SUMIFS(tblDaily[Deaths],tblDaily[EntryDate],DATE(2026,1,6),tblDaily[WardCode],"FAE")=0,"",SUMIFS(tblDaily[Deaths],tblDaily[EntryDate],DATE(2026,1,6),tblDaily[WardCode],"FAE")),"")</f>
        <v/>
      </c>
      <c r="E12" s="12">
        <f>IFERROR(IF(SUMIFS(tblDaily[DeathsUnder24Hrs],tblDaily[EntryDate],DATE(2026,1,6),tblDaily[WardCode],"FAE")=0,"",SUMIFS(tblDaily[DeathsUnder24Hrs],tblDaily[EntryDate],DATE(2026,1,6),tblDaily[WardCode],"FAE")),"")</f>
        <v/>
      </c>
      <c r="F12" s="12">
        <f>IFERROR(IF(SUMIFS(tblDaily[TransfersIn],tblDaily[EntryDate],DATE(2026,1,6),tblDaily[WardCode],"FAE")=0,"",SUMIFS(tblDaily[TransfersIn],tblDaily[EntryDate],DATE(2026,1,6),tblDaily[WardCode],"FAE")),"")</f>
        <v/>
      </c>
      <c r="G12" s="12">
        <f>IFERROR(IF(SUMIFS(tblDaily[TransfersOut],tblDaily[EntryDate],DATE(2026,1,6),tblDaily[WardCode],"FAE")=0,"",SUMIFS(tblDaily[TransfersOut],tblDaily[EntryDate],DATE(2026,1,6),tblDaily[WardCode],"FAE")),"")</f>
        <v/>
      </c>
      <c r="H12" s="12">
        <f>IFERROR(IF(SUMIFS(tblDaily[Remaining],tblDaily[EntryDate],DATE(2026,1,6),tblDaily[WardCode],"FAE")=0,"",SUMIFS(tblDaily[Remaining],tblDaily[EntryDate],DATE(2026,1,6),tblDaily[WardCode],"FAE")),"")</f>
        <v/>
      </c>
    </row>
    <row r="13">
      <c r="A13" s="12" t="n">
        <v>7</v>
      </c>
      <c r="B13" s="12">
        <f>IFERROR(IF(SUMIFS(tblDaily[Admissions],tblDaily[EntryDate],DATE(2026,1,7),tblDaily[WardCode],"FAE")=0,"",SUMIFS(tblDaily[Admissions],tblDaily[EntryDate],DATE(2026,1,7),tblDaily[WardCode],"FAE")),"")</f>
        <v/>
      </c>
      <c r="C13" s="12">
        <f>IFERROR(IF(SUMIFS(tblDaily[Discharges],tblDaily[EntryDate],DATE(2026,1,7),tblDaily[WardCode],"FAE")=0,"",SUMIFS(tblDaily[Discharges],tblDaily[EntryDate],DATE(2026,1,7),tblDaily[WardCode],"FAE")),"")</f>
        <v/>
      </c>
      <c r="D13" s="12">
        <f>IFERROR(IF(SUMIFS(tblDaily[Deaths],tblDaily[EntryDate],DATE(2026,1,7),tblDaily[WardCode],"FAE")=0,"",SUMIFS(tblDaily[Deaths],tblDaily[EntryDate],DATE(2026,1,7),tblDaily[WardCode],"FAE")),"")</f>
        <v/>
      </c>
      <c r="E13" s="12">
        <f>IFERROR(IF(SUMIFS(tblDaily[DeathsUnder24Hrs],tblDaily[EntryDate],DATE(2026,1,7),tblDaily[WardCode],"FAE")=0,"",SUMIFS(tblDaily[DeathsUnder24Hrs],tblDaily[EntryDate],DATE(2026,1,7),tblDaily[WardCode],"FAE")),"")</f>
        <v/>
      </c>
      <c r="F13" s="12">
        <f>IFERROR(IF(SUMIFS(tblDaily[TransfersIn],tblDaily[EntryDate],DATE(2026,1,7),tblDaily[WardCode],"FAE")=0,"",SUMIFS(tblDaily[TransfersIn],tblDaily[EntryDate],DATE(2026,1,7),tblDaily[WardCode],"FAE")),"")</f>
        <v/>
      </c>
      <c r="G13" s="12">
        <f>IFERROR(IF(SUMIFS(tblDaily[TransfersOut],tblDaily[EntryDate],DATE(2026,1,7),tblDaily[WardCode],"FAE")=0,"",SUMIFS(tblDaily[TransfersOut],tblDaily[EntryDate],DATE(2026,1,7),tblDaily[WardCode],"FAE")),"")</f>
        <v/>
      </c>
      <c r="H13" s="12">
        <f>IFERROR(IF(SUMIFS(tblDaily[Remaining],tblDaily[EntryDate],DATE(2026,1,7),tblDaily[WardCode],"FAE")=0,"",SUMIFS(tblDaily[Remaining],tblDaily[EntryDate],DATE(2026,1,7),tblDaily[WardCode],"FAE")),"")</f>
        <v/>
      </c>
    </row>
    <row r="14">
      <c r="A14" s="12" t="n">
        <v>8</v>
      </c>
      <c r="B14" s="12">
        <f>IFERROR(IF(SUMIFS(tblDaily[Admissions],tblDaily[EntryDate],DATE(2026,1,8),tblDaily[WardCode],"FAE")=0,"",SUMIFS(tblDaily[Admissions],tblDaily[EntryDate],DATE(2026,1,8),tblDaily[WardCode],"FAE")),"")</f>
        <v/>
      </c>
      <c r="C14" s="12">
        <f>IFERROR(IF(SUMIFS(tblDaily[Discharges],tblDaily[EntryDate],DATE(2026,1,8),tblDaily[WardCode],"FAE")=0,"",SUMIFS(tblDaily[Discharges],tblDaily[EntryDate],DATE(2026,1,8),tblDaily[WardCode],"FAE")),"")</f>
        <v/>
      </c>
      <c r="D14" s="12">
        <f>IFERROR(IF(SUMIFS(tblDaily[Deaths],tblDaily[EntryDate],DATE(2026,1,8),tblDaily[WardCode],"FAE")=0,"",SUMIFS(tblDaily[Deaths],tblDaily[EntryDate],DATE(2026,1,8),tblDaily[WardCode],"FAE")),"")</f>
        <v/>
      </c>
      <c r="E14" s="12">
        <f>IFERROR(IF(SUMIFS(tblDaily[DeathsUnder24Hrs],tblDaily[EntryDate],DATE(2026,1,8),tblDaily[WardCode],"FAE")=0,"",SUMIFS(tblDaily[DeathsUnder24Hrs],tblDaily[EntryDate],DATE(2026,1,8),tblDaily[WardCode],"FAE")),"")</f>
        <v/>
      </c>
      <c r="F14" s="12">
        <f>IFERROR(IF(SUMIFS(tblDaily[TransfersIn],tblDaily[EntryDate],DATE(2026,1,8),tblDaily[WardCode],"FAE")=0,"",SUMIFS(tblDaily[TransfersIn],tblDaily[EntryDate],DATE(2026,1,8),tblDaily[WardCode],"FAE")),"")</f>
        <v/>
      </c>
      <c r="G14" s="12">
        <f>IFERROR(IF(SUMIFS(tblDaily[TransfersOut],tblDaily[EntryDate],DATE(2026,1,8),tblDaily[WardCode],"FAE")=0,"",SUMIFS(tblDaily[TransfersOut],tblDaily[EntryDate],DATE(2026,1,8),tblDaily[WardCode],"FAE")),"")</f>
        <v/>
      </c>
      <c r="H14" s="12">
        <f>IFERROR(IF(SUMIFS(tblDaily[Remaining],tblDaily[EntryDate],DATE(2026,1,8),tblDaily[WardCode],"FAE")=0,"",SUMIFS(tblDaily[Remaining],tblDaily[EntryDate],DATE(2026,1,8),tblDaily[WardCode],"FAE")),"")</f>
        <v/>
      </c>
    </row>
    <row r="15">
      <c r="A15" s="12" t="n">
        <v>9</v>
      </c>
      <c r="B15" s="12">
        <f>IFERROR(IF(SUMIFS(tblDaily[Admissions],tblDaily[EntryDate],DATE(2026,1,9),tblDaily[WardCode],"FAE")=0,"",SUMIFS(tblDaily[Admissions],tblDaily[EntryDate],DATE(2026,1,9),tblDaily[WardCode],"FAE")),"")</f>
        <v/>
      </c>
      <c r="C15" s="12">
        <f>IFERROR(IF(SUMIFS(tblDaily[Discharges],tblDaily[EntryDate],DATE(2026,1,9),tblDaily[WardCode],"FAE")=0,"",SUMIFS(tblDaily[Discharges],tblDaily[EntryDate],DATE(2026,1,9),tblDaily[WardCode],"FAE")),"")</f>
        <v/>
      </c>
      <c r="D15" s="12">
        <f>IFERROR(IF(SUMIFS(tblDaily[Deaths],tblDaily[EntryDate],DATE(2026,1,9),tblDaily[WardCode],"FAE")=0,"",SUMIFS(tblDaily[Deaths],tblDaily[EntryDate],DATE(2026,1,9),tblDaily[WardCode],"FAE")),"")</f>
        <v/>
      </c>
      <c r="E15" s="12">
        <f>IFERROR(IF(SUMIFS(tblDaily[DeathsUnder24Hrs],tblDaily[EntryDate],DATE(2026,1,9),tblDaily[WardCode],"FAE")=0,"",SUMIFS(tblDaily[DeathsUnder24Hrs],tblDaily[EntryDate],DATE(2026,1,9),tblDaily[WardCode],"FAE")),"")</f>
        <v/>
      </c>
      <c r="F15" s="12">
        <f>IFERROR(IF(SUMIFS(tblDaily[TransfersIn],tblDaily[EntryDate],DATE(2026,1,9),tblDaily[WardCode],"FAE")=0,"",SUMIFS(tblDaily[TransfersIn],tblDaily[EntryDate],DATE(2026,1,9),tblDaily[WardCode],"FAE")),"")</f>
        <v/>
      </c>
      <c r="G15" s="12">
        <f>IFERROR(IF(SUMIFS(tblDaily[TransfersOut],tblDaily[EntryDate],DATE(2026,1,9),tblDaily[WardCode],"FAE")=0,"",SUMIFS(tblDaily[TransfersOut],tblDaily[EntryDate],DATE(2026,1,9),tblDaily[WardCode],"FAE")),"")</f>
        <v/>
      </c>
      <c r="H15" s="12">
        <f>IFERROR(IF(SUMIFS(tblDaily[Remaining],tblDaily[EntryDate],DATE(2026,1,9),tblDaily[WardCode],"FAE")=0,"",SUMIFS(tblDaily[Remaining],tblDaily[EntryDate],DATE(2026,1,9),tblDaily[WardCode],"FAE")),"")</f>
        <v/>
      </c>
    </row>
    <row r="16">
      <c r="A16" s="12" t="n">
        <v>10</v>
      </c>
      <c r="B16" s="12">
        <f>IFERROR(IF(SUMIFS(tblDaily[Admissions],tblDaily[EntryDate],DATE(2026,1,10),tblDaily[WardCode],"FAE")=0,"",SUMIFS(tblDaily[Admissions],tblDaily[EntryDate],DATE(2026,1,10),tblDaily[WardCode],"FAE")),"")</f>
        <v/>
      </c>
      <c r="C16" s="12">
        <f>IFERROR(IF(SUMIFS(tblDaily[Discharges],tblDaily[EntryDate],DATE(2026,1,10),tblDaily[WardCode],"FAE")=0,"",SUMIFS(tblDaily[Discharges],tblDaily[EntryDate],DATE(2026,1,10),tblDaily[WardCode],"FAE")),"")</f>
        <v/>
      </c>
      <c r="D16" s="12">
        <f>IFERROR(IF(SUMIFS(tblDaily[Deaths],tblDaily[EntryDate],DATE(2026,1,10),tblDaily[WardCode],"FAE")=0,"",SUMIFS(tblDaily[Deaths],tblDaily[EntryDate],DATE(2026,1,10),tblDaily[WardCode],"FAE")),"")</f>
        <v/>
      </c>
      <c r="E16" s="12">
        <f>IFERROR(IF(SUMIFS(tblDaily[DeathsUnder24Hrs],tblDaily[EntryDate],DATE(2026,1,10),tblDaily[WardCode],"FAE")=0,"",SUMIFS(tblDaily[DeathsUnder24Hrs],tblDaily[EntryDate],DATE(2026,1,10),tblDaily[WardCode],"FAE")),"")</f>
        <v/>
      </c>
      <c r="F16" s="12">
        <f>IFERROR(IF(SUMIFS(tblDaily[TransfersIn],tblDaily[EntryDate],DATE(2026,1,10),tblDaily[WardCode],"FAE")=0,"",SUMIFS(tblDaily[TransfersIn],tblDaily[EntryDate],DATE(2026,1,10),tblDaily[WardCode],"FAE")),"")</f>
        <v/>
      </c>
      <c r="G16" s="12">
        <f>IFERROR(IF(SUMIFS(tblDaily[TransfersOut],tblDaily[EntryDate],DATE(2026,1,10),tblDaily[WardCode],"FAE")=0,"",SUMIFS(tblDaily[TransfersOut],tblDaily[EntryDate],DATE(2026,1,10),tblDaily[WardCode],"FAE")),"")</f>
        <v/>
      </c>
      <c r="H16" s="12">
        <f>IFERROR(IF(SUMIFS(tblDaily[Remaining],tblDaily[EntryDate],DATE(2026,1,10),tblDaily[WardCode],"FAE")=0,"",SUMIFS(tblDaily[Remaining],tblDaily[EntryDate],DATE(2026,1,10),tblDaily[WardCode],"FAE")),"")</f>
        <v/>
      </c>
    </row>
    <row r="17">
      <c r="A17" s="12" t="n">
        <v>11</v>
      </c>
      <c r="B17" s="12">
        <f>IFERROR(IF(SUMIFS(tblDaily[Admissions],tblDaily[EntryDate],DATE(2026,1,11),tblDaily[WardCode],"FAE")=0,"",SUMIFS(tblDaily[Admissions],tblDaily[EntryDate],DATE(2026,1,11),tblDaily[WardCode],"FAE")),"")</f>
        <v/>
      </c>
      <c r="C17" s="12">
        <f>IFERROR(IF(SUMIFS(tblDaily[Discharges],tblDaily[EntryDate],DATE(2026,1,11),tblDaily[WardCode],"FAE")=0,"",SUMIFS(tblDaily[Discharges],tblDaily[EntryDate],DATE(2026,1,11),tblDaily[WardCode],"FAE")),"")</f>
        <v/>
      </c>
      <c r="D17" s="12">
        <f>IFERROR(IF(SUMIFS(tblDaily[Deaths],tblDaily[EntryDate],DATE(2026,1,11),tblDaily[WardCode],"FAE")=0,"",SUMIFS(tblDaily[Deaths],tblDaily[EntryDate],DATE(2026,1,11),tblDaily[WardCode],"FAE")),"")</f>
        <v/>
      </c>
      <c r="E17" s="12">
        <f>IFERROR(IF(SUMIFS(tblDaily[DeathsUnder24Hrs],tblDaily[EntryDate],DATE(2026,1,11),tblDaily[WardCode],"FAE")=0,"",SUMIFS(tblDaily[DeathsUnder24Hrs],tblDaily[EntryDate],DATE(2026,1,11),tblDaily[WardCode],"FAE")),"")</f>
        <v/>
      </c>
      <c r="F17" s="12">
        <f>IFERROR(IF(SUMIFS(tblDaily[TransfersIn],tblDaily[EntryDate],DATE(2026,1,11),tblDaily[WardCode],"FAE")=0,"",SUMIFS(tblDaily[TransfersIn],tblDaily[EntryDate],DATE(2026,1,11),tblDaily[WardCode],"FAE")),"")</f>
        <v/>
      </c>
      <c r="G17" s="12">
        <f>IFERROR(IF(SUMIFS(tblDaily[TransfersOut],tblDaily[EntryDate],DATE(2026,1,11),tblDaily[WardCode],"FAE")=0,"",SUMIFS(tblDaily[TransfersOut],tblDaily[EntryDate],DATE(2026,1,11),tblDaily[WardCode],"FAE")),"")</f>
        <v/>
      </c>
      <c r="H17" s="12">
        <f>IFERROR(IF(SUMIFS(tblDaily[Remaining],tblDaily[EntryDate],DATE(2026,1,11),tblDaily[WardCode],"FAE")=0,"",SUMIFS(tblDaily[Remaining],tblDaily[EntryDate],DATE(2026,1,11),tblDaily[WardCode],"FAE")),"")</f>
        <v/>
      </c>
    </row>
    <row r="18">
      <c r="A18" s="12" t="n">
        <v>12</v>
      </c>
      <c r="B18" s="12">
        <f>IFERROR(IF(SUMIFS(tblDaily[Admissions],tblDaily[EntryDate],DATE(2026,1,12),tblDaily[WardCode],"FAE")=0,"",SUMIFS(tblDaily[Admissions],tblDaily[EntryDate],DATE(2026,1,12),tblDaily[WardCode],"FAE")),"")</f>
        <v/>
      </c>
      <c r="C18" s="12">
        <f>IFERROR(IF(SUMIFS(tblDaily[Discharges],tblDaily[EntryDate],DATE(2026,1,12),tblDaily[WardCode],"FAE")=0,"",SUMIFS(tblDaily[Discharges],tblDaily[EntryDate],DATE(2026,1,12),tblDaily[WardCode],"FAE")),"")</f>
        <v/>
      </c>
      <c r="D18" s="12">
        <f>IFERROR(IF(SUMIFS(tblDaily[Deaths],tblDaily[EntryDate],DATE(2026,1,12),tblDaily[WardCode],"FAE")=0,"",SUMIFS(tblDaily[Deaths],tblDaily[EntryDate],DATE(2026,1,12),tblDaily[WardCode],"FAE")),"")</f>
        <v/>
      </c>
      <c r="E18" s="12">
        <f>IFERROR(IF(SUMIFS(tblDaily[DeathsUnder24Hrs],tblDaily[EntryDate],DATE(2026,1,12),tblDaily[WardCode],"FAE")=0,"",SUMIFS(tblDaily[DeathsUnder24Hrs],tblDaily[EntryDate],DATE(2026,1,12),tblDaily[WardCode],"FAE")),"")</f>
        <v/>
      </c>
      <c r="F18" s="12">
        <f>IFERROR(IF(SUMIFS(tblDaily[TransfersIn],tblDaily[EntryDate],DATE(2026,1,12),tblDaily[WardCode],"FAE")=0,"",SUMIFS(tblDaily[TransfersIn],tblDaily[EntryDate],DATE(2026,1,12),tblDaily[WardCode],"FAE")),"")</f>
        <v/>
      </c>
      <c r="G18" s="12">
        <f>IFERROR(IF(SUMIFS(tblDaily[TransfersOut],tblDaily[EntryDate],DATE(2026,1,12),tblDaily[WardCode],"FAE")=0,"",SUMIFS(tblDaily[TransfersOut],tblDaily[EntryDate],DATE(2026,1,12),tblDaily[WardCode],"FAE")),"")</f>
        <v/>
      </c>
      <c r="H18" s="12">
        <f>IFERROR(IF(SUMIFS(tblDaily[Remaining],tblDaily[EntryDate],DATE(2026,1,12),tblDaily[WardCode],"FAE")=0,"",SUMIFS(tblDaily[Remaining],tblDaily[EntryDate],DATE(2026,1,12),tblDaily[WardCode],"FAE")),"")</f>
        <v/>
      </c>
    </row>
    <row r="19">
      <c r="A19" s="12" t="n">
        <v>13</v>
      </c>
      <c r="B19" s="12">
        <f>IFERROR(IF(SUMIFS(tblDaily[Admissions],tblDaily[EntryDate],DATE(2026,1,13),tblDaily[WardCode],"FAE")=0,"",SUMIFS(tblDaily[Admissions],tblDaily[EntryDate],DATE(2026,1,13),tblDaily[WardCode],"FAE")),"")</f>
        <v/>
      </c>
      <c r="C19" s="12">
        <f>IFERROR(IF(SUMIFS(tblDaily[Discharges],tblDaily[EntryDate],DATE(2026,1,13),tblDaily[WardCode],"FAE")=0,"",SUMIFS(tblDaily[Discharges],tblDaily[EntryDate],DATE(2026,1,13),tblDaily[WardCode],"FAE")),"")</f>
        <v/>
      </c>
      <c r="D19" s="12">
        <f>IFERROR(IF(SUMIFS(tblDaily[Deaths],tblDaily[EntryDate],DATE(2026,1,13),tblDaily[WardCode],"FAE")=0,"",SUMIFS(tblDaily[Deaths],tblDaily[EntryDate],DATE(2026,1,13),tblDaily[WardCode],"FAE")),"")</f>
        <v/>
      </c>
      <c r="E19" s="12">
        <f>IFERROR(IF(SUMIFS(tblDaily[DeathsUnder24Hrs],tblDaily[EntryDate],DATE(2026,1,13),tblDaily[WardCode],"FAE")=0,"",SUMIFS(tblDaily[DeathsUnder24Hrs],tblDaily[EntryDate],DATE(2026,1,13),tblDaily[WardCode],"FAE")),"")</f>
        <v/>
      </c>
      <c r="F19" s="12">
        <f>IFERROR(IF(SUMIFS(tblDaily[TransfersIn],tblDaily[EntryDate],DATE(2026,1,13),tblDaily[WardCode],"FAE")=0,"",SUMIFS(tblDaily[TransfersIn],tblDaily[EntryDate],DATE(2026,1,13),tblDaily[WardCode],"FAE")),"")</f>
        <v/>
      </c>
      <c r="G19" s="12">
        <f>IFERROR(IF(SUMIFS(tblDaily[TransfersOut],tblDaily[EntryDate],DATE(2026,1,13),tblDaily[WardCode],"FAE")=0,"",SUMIFS(tblDaily[TransfersOut],tblDaily[EntryDate],DATE(2026,1,13),tblDaily[WardCode],"FAE")),"")</f>
        <v/>
      </c>
      <c r="H19" s="12">
        <f>IFERROR(IF(SUMIFS(tblDaily[Remaining],tblDaily[EntryDate],DATE(2026,1,13),tblDaily[WardCode],"FAE")=0,"",SUMIFS(tblDaily[Remaining],tblDaily[EntryDate],DATE(2026,1,13),tblDaily[WardCode],"FAE")),"")</f>
        <v/>
      </c>
    </row>
    <row r="20">
      <c r="A20" s="12" t="n">
        <v>14</v>
      </c>
      <c r="B20" s="12">
        <f>IFERROR(IF(SUMIFS(tblDaily[Admissions],tblDaily[EntryDate],DATE(2026,1,14),tblDaily[WardCode],"FAE")=0,"",SUMIFS(tblDaily[Admissions],tblDaily[EntryDate],DATE(2026,1,14),tblDaily[WardCode],"FAE")),"")</f>
        <v/>
      </c>
      <c r="C20" s="12">
        <f>IFERROR(IF(SUMIFS(tblDaily[Discharges],tblDaily[EntryDate],DATE(2026,1,14),tblDaily[WardCode],"FAE")=0,"",SUMIFS(tblDaily[Discharges],tblDaily[EntryDate],DATE(2026,1,14),tblDaily[WardCode],"FAE")),"")</f>
        <v/>
      </c>
      <c r="D20" s="12">
        <f>IFERROR(IF(SUMIFS(tblDaily[Deaths],tblDaily[EntryDate],DATE(2026,1,14),tblDaily[WardCode],"FAE")=0,"",SUMIFS(tblDaily[Deaths],tblDaily[EntryDate],DATE(2026,1,14),tblDaily[WardCode],"FAE")),"")</f>
        <v/>
      </c>
      <c r="E20" s="12">
        <f>IFERROR(IF(SUMIFS(tblDaily[DeathsUnder24Hrs],tblDaily[EntryDate],DATE(2026,1,14),tblDaily[WardCode],"FAE")=0,"",SUMIFS(tblDaily[DeathsUnder24Hrs],tblDaily[EntryDate],DATE(2026,1,14),tblDaily[WardCode],"FAE")),"")</f>
        <v/>
      </c>
      <c r="F20" s="12">
        <f>IFERROR(IF(SUMIFS(tblDaily[TransfersIn],tblDaily[EntryDate],DATE(2026,1,14),tblDaily[WardCode],"FAE")=0,"",SUMIFS(tblDaily[TransfersIn],tblDaily[EntryDate],DATE(2026,1,14),tblDaily[WardCode],"FAE")),"")</f>
        <v/>
      </c>
      <c r="G20" s="12">
        <f>IFERROR(IF(SUMIFS(tblDaily[TransfersOut],tblDaily[EntryDate],DATE(2026,1,14),tblDaily[WardCode],"FAE")=0,"",SUMIFS(tblDaily[TransfersOut],tblDaily[EntryDate],DATE(2026,1,14),tblDaily[WardCode],"FAE")),"")</f>
        <v/>
      </c>
      <c r="H20" s="12">
        <f>IFERROR(IF(SUMIFS(tblDaily[Remaining],tblDaily[EntryDate],DATE(2026,1,14),tblDaily[WardCode],"FAE")=0,"",SUMIFS(tblDaily[Remaining],tblDaily[EntryDate],DATE(2026,1,14),tblDaily[WardCode],"FAE")),"")</f>
        <v/>
      </c>
    </row>
    <row r="21">
      <c r="A21" s="12" t="n">
        <v>15</v>
      </c>
      <c r="B21" s="12">
        <f>IFERROR(IF(SUMIFS(tblDaily[Admissions],tblDaily[EntryDate],DATE(2026,1,15),tblDaily[WardCode],"FAE")=0,"",SUMIFS(tblDaily[Admissions],tblDaily[EntryDate],DATE(2026,1,15),tblDaily[WardCode],"FAE")),"")</f>
        <v/>
      </c>
      <c r="C21" s="12">
        <f>IFERROR(IF(SUMIFS(tblDaily[Discharges],tblDaily[EntryDate],DATE(2026,1,15),tblDaily[WardCode],"FAE")=0,"",SUMIFS(tblDaily[Discharges],tblDaily[EntryDate],DATE(2026,1,15),tblDaily[WardCode],"FAE")),"")</f>
        <v/>
      </c>
      <c r="D21" s="12">
        <f>IFERROR(IF(SUMIFS(tblDaily[Deaths],tblDaily[EntryDate],DATE(2026,1,15),tblDaily[WardCode],"FAE")=0,"",SUMIFS(tblDaily[Deaths],tblDaily[EntryDate],DATE(2026,1,15),tblDaily[WardCode],"FAE")),"")</f>
        <v/>
      </c>
      <c r="E21" s="12">
        <f>IFERROR(IF(SUMIFS(tblDaily[DeathsUnder24Hrs],tblDaily[EntryDate],DATE(2026,1,15),tblDaily[WardCode],"FAE")=0,"",SUMIFS(tblDaily[DeathsUnder24Hrs],tblDaily[EntryDate],DATE(2026,1,15),tblDaily[WardCode],"FAE")),"")</f>
        <v/>
      </c>
      <c r="F21" s="12">
        <f>IFERROR(IF(SUMIFS(tblDaily[TransfersIn],tblDaily[EntryDate],DATE(2026,1,15),tblDaily[WardCode],"FAE")=0,"",SUMIFS(tblDaily[TransfersIn],tblDaily[EntryDate],DATE(2026,1,15),tblDaily[WardCode],"FAE")),"")</f>
        <v/>
      </c>
      <c r="G21" s="12">
        <f>IFERROR(IF(SUMIFS(tblDaily[TransfersOut],tblDaily[EntryDate],DATE(2026,1,15),tblDaily[WardCode],"FAE")=0,"",SUMIFS(tblDaily[TransfersOut],tblDaily[EntryDate],DATE(2026,1,15),tblDaily[WardCode],"FAE")),"")</f>
        <v/>
      </c>
      <c r="H21" s="12">
        <f>IFERROR(IF(SUMIFS(tblDaily[Remaining],tblDaily[EntryDate],DATE(2026,1,15),tblDaily[WardCode],"FAE")=0,"",SUMIFS(tblDaily[Remaining],tblDaily[EntryDate],DATE(2026,1,15),tblDaily[WardCode],"FAE")),"")</f>
        <v/>
      </c>
    </row>
    <row r="22">
      <c r="A22" s="12" t="n">
        <v>16</v>
      </c>
      <c r="B22" s="12">
        <f>IFERROR(IF(SUMIFS(tblDaily[Admissions],tblDaily[EntryDate],DATE(2026,1,16),tblDaily[WardCode],"FAE")=0,"",SUMIFS(tblDaily[Admissions],tblDaily[EntryDate],DATE(2026,1,16),tblDaily[WardCode],"FAE")),"")</f>
        <v/>
      </c>
      <c r="C22" s="12">
        <f>IFERROR(IF(SUMIFS(tblDaily[Discharges],tblDaily[EntryDate],DATE(2026,1,16),tblDaily[WardCode],"FAE")=0,"",SUMIFS(tblDaily[Discharges],tblDaily[EntryDate],DATE(2026,1,16),tblDaily[WardCode],"FAE")),"")</f>
        <v/>
      </c>
      <c r="D22" s="12">
        <f>IFERROR(IF(SUMIFS(tblDaily[Deaths],tblDaily[EntryDate],DATE(2026,1,16),tblDaily[WardCode],"FAE")=0,"",SUMIFS(tblDaily[Deaths],tblDaily[EntryDate],DATE(2026,1,16),tblDaily[WardCode],"FAE")),"")</f>
        <v/>
      </c>
      <c r="E22" s="12">
        <f>IFERROR(IF(SUMIFS(tblDaily[DeathsUnder24Hrs],tblDaily[EntryDate],DATE(2026,1,16),tblDaily[WardCode],"FAE")=0,"",SUMIFS(tblDaily[DeathsUnder24Hrs],tblDaily[EntryDate],DATE(2026,1,16),tblDaily[WardCode],"FAE")),"")</f>
        <v/>
      </c>
      <c r="F22" s="12">
        <f>IFERROR(IF(SUMIFS(tblDaily[TransfersIn],tblDaily[EntryDate],DATE(2026,1,16),tblDaily[WardCode],"FAE")=0,"",SUMIFS(tblDaily[TransfersIn],tblDaily[EntryDate],DATE(2026,1,16),tblDaily[WardCode],"FAE")),"")</f>
        <v/>
      </c>
      <c r="G22" s="12">
        <f>IFERROR(IF(SUMIFS(tblDaily[TransfersOut],tblDaily[EntryDate],DATE(2026,1,16),tblDaily[WardCode],"FAE")=0,"",SUMIFS(tblDaily[TransfersOut],tblDaily[EntryDate],DATE(2026,1,16),tblDaily[WardCode],"FAE")),"")</f>
        <v/>
      </c>
      <c r="H22" s="12">
        <f>IFERROR(IF(SUMIFS(tblDaily[Remaining],tblDaily[EntryDate],DATE(2026,1,16),tblDaily[WardCode],"FAE")=0,"",SUMIFS(tblDaily[Remaining],tblDaily[EntryDate],DATE(2026,1,16),tblDaily[WardCode],"FAE")),"")</f>
        <v/>
      </c>
    </row>
    <row r="23">
      <c r="A23" s="12" t="n">
        <v>17</v>
      </c>
      <c r="B23" s="12">
        <f>IFERROR(IF(SUMIFS(tblDaily[Admissions],tblDaily[EntryDate],DATE(2026,1,17),tblDaily[WardCode],"FAE")=0,"",SUMIFS(tblDaily[Admissions],tblDaily[EntryDate],DATE(2026,1,17),tblDaily[WardCode],"FAE")),"")</f>
        <v/>
      </c>
      <c r="C23" s="12">
        <f>IFERROR(IF(SUMIFS(tblDaily[Discharges],tblDaily[EntryDate],DATE(2026,1,17),tblDaily[WardCode],"FAE")=0,"",SUMIFS(tblDaily[Discharges],tblDaily[EntryDate],DATE(2026,1,17),tblDaily[WardCode],"FAE")),"")</f>
        <v/>
      </c>
      <c r="D23" s="12">
        <f>IFERROR(IF(SUMIFS(tblDaily[Deaths],tblDaily[EntryDate],DATE(2026,1,17),tblDaily[WardCode],"FAE")=0,"",SUMIFS(tblDaily[Deaths],tblDaily[EntryDate],DATE(2026,1,17),tblDaily[WardCode],"FAE")),"")</f>
        <v/>
      </c>
      <c r="E23" s="12">
        <f>IFERROR(IF(SUMIFS(tblDaily[DeathsUnder24Hrs],tblDaily[EntryDate],DATE(2026,1,17),tblDaily[WardCode],"FAE")=0,"",SUMIFS(tblDaily[DeathsUnder24Hrs],tblDaily[EntryDate],DATE(2026,1,17),tblDaily[WardCode],"FAE")),"")</f>
        <v/>
      </c>
      <c r="F23" s="12">
        <f>IFERROR(IF(SUMIFS(tblDaily[TransfersIn],tblDaily[EntryDate],DATE(2026,1,17),tblDaily[WardCode],"FAE")=0,"",SUMIFS(tblDaily[TransfersIn],tblDaily[EntryDate],DATE(2026,1,17),tblDaily[WardCode],"FAE")),"")</f>
        <v/>
      </c>
      <c r="G23" s="12">
        <f>IFERROR(IF(SUMIFS(tblDaily[TransfersOut],tblDaily[EntryDate],DATE(2026,1,17),tblDaily[WardCode],"FAE")=0,"",SUMIFS(tblDaily[TransfersOut],tblDaily[EntryDate],DATE(2026,1,17),tblDaily[WardCode],"FAE")),"")</f>
        <v/>
      </c>
      <c r="H23" s="12">
        <f>IFERROR(IF(SUMIFS(tblDaily[Remaining],tblDaily[EntryDate],DATE(2026,1,17),tblDaily[WardCode],"FAE")=0,"",SUMIFS(tblDaily[Remaining],tblDaily[EntryDate],DATE(2026,1,17),tblDaily[WardCode],"FAE")),"")</f>
        <v/>
      </c>
    </row>
    <row r="24">
      <c r="A24" s="12" t="n">
        <v>18</v>
      </c>
      <c r="B24" s="12">
        <f>IFERROR(IF(SUMIFS(tblDaily[Admissions],tblDaily[EntryDate],DATE(2026,1,18),tblDaily[WardCode],"FAE")=0,"",SUMIFS(tblDaily[Admissions],tblDaily[EntryDate],DATE(2026,1,18),tblDaily[WardCode],"FAE")),"")</f>
        <v/>
      </c>
      <c r="C24" s="12">
        <f>IFERROR(IF(SUMIFS(tblDaily[Discharges],tblDaily[EntryDate],DATE(2026,1,18),tblDaily[WardCode],"FAE")=0,"",SUMIFS(tblDaily[Discharges],tblDaily[EntryDate],DATE(2026,1,18),tblDaily[WardCode],"FAE")),"")</f>
        <v/>
      </c>
      <c r="D24" s="12">
        <f>IFERROR(IF(SUMIFS(tblDaily[Deaths],tblDaily[EntryDate],DATE(2026,1,18),tblDaily[WardCode],"FAE")=0,"",SUMIFS(tblDaily[Deaths],tblDaily[EntryDate],DATE(2026,1,18),tblDaily[WardCode],"FAE")),"")</f>
        <v/>
      </c>
      <c r="E24" s="12">
        <f>IFERROR(IF(SUMIFS(tblDaily[DeathsUnder24Hrs],tblDaily[EntryDate],DATE(2026,1,18),tblDaily[WardCode],"FAE")=0,"",SUMIFS(tblDaily[DeathsUnder24Hrs],tblDaily[EntryDate],DATE(2026,1,18),tblDaily[WardCode],"FAE")),"")</f>
        <v/>
      </c>
      <c r="F24" s="12">
        <f>IFERROR(IF(SUMIFS(tblDaily[TransfersIn],tblDaily[EntryDate],DATE(2026,1,18),tblDaily[WardCode],"FAE")=0,"",SUMIFS(tblDaily[TransfersIn],tblDaily[EntryDate],DATE(2026,1,18),tblDaily[WardCode],"FAE")),"")</f>
        <v/>
      </c>
      <c r="G24" s="12">
        <f>IFERROR(IF(SUMIFS(tblDaily[TransfersOut],tblDaily[EntryDate],DATE(2026,1,18),tblDaily[WardCode],"FAE")=0,"",SUMIFS(tblDaily[TransfersOut],tblDaily[EntryDate],DATE(2026,1,18),tblDaily[WardCode],"FAE")),"")</f>
        <v/>
      </c>
      <c r="H24" s="12">
        <f>IFERROR(IF(SUMIFS(tblDaily[Remaining],tblDaily[EntryDate],DATE(2026,1,18),tblDaily[WardCode],"FAE")=0,"",SUMIFS(tblDaily[Remaining],tblDaily[EntryDate],DATE(2026,1,18),tblDaily[WardCode],"FAE")),"")</f>
        <v/>
      </c>
    </row>
    <row r="25">
      <c r="A25" s="12" t="n">
        <v>19</v>
      </c>
      <c r="B25" s="12">
        <f>IFERROR(IF(SUMIFS(tblDaily[Admissions],tblDaily[EntryDate],DATE(2026,1,19),tblDaily[WardCode],"FAE")=0,"",SUMIFS(tblDaily[Admissions],tblDaily[EntryDate],DATE(2026,1,19),tblDaily[WardCode],"FAE")),"")</f>
        <v/>
      </c>
      <c r="C25" s="12">
        <f>IFERROR(IF(SUMIFS(tblDaily[Discharges],tblDaily[EntryDate],DATE(2026,1,19),tblDaily[WardCode],"FAE")=0,"",SUMIFS(tblDaily[Discharges],tblDaily[EntryDate],DATE(2026,1,19),tblDaily[WardCode],"FAE")),"")</f>
        <v/>
      </c>
      <c r="D25" s="12">
        <f>IFERROR(IF(SUMIFS(tblDaily[Deaths],tblDaily[EntryDate],DATE(2026,1,19),tblDaily[WardCode],"FAE")=0,"",SUMIFS(tblDaily[Deaths],tblDaily[EntryDate],DATE(2026,1,19),tblDaily[WardCode],"FAE")),"")</f>
        <v/>
      </c>
      <c r="E25" s="12">
        <f>IFERROR(IF(SUMIFS(tblDaily[DeathsUnder24Hrs],tblDaily[EntryDate],DATE(2026,1,19),tblDaily[WardCode],"FAE")=0,"",SUMIFS(tblDaily[DeathsUnder24Hrs],tblDaily[EntryDate],DATE(2026,1,19),tblDaily[WardCode],"FAE")),"")</f>
        <v/>
      </c>
      <c r="F25" s="12">
        <f>IFERROR(IF(SUMIFS(tblDaily[TransfersIn],tblDaily[EntryDate],DATE(2026,1,19),tblDaily[WardCode],"FAE")=0,"",SUMIFS(tblDaily[TransfersIn],tblDaily[EntryDate],DATE(2026,1,19),tblDaily[WardCode],"FAE")),"")</f>
        <v/>
      </c>
      <c r="G25" s="12">
        <f>IFERROR(IF(SUMIFS(tblDaily[TransfersOut],tblDaily[EntryDate],DATE(2026,1,19),tblDaily[WardCode],"FAE")=0,"",SUMIFS(tblDaily[TransfersOut],tblDaily[EntryDate],DATE(2026,1,19),tblDaily[WardCode],"FAE")),"")</f>
        <v/>
      </c>
      <c r="H25" s="12">
        <f>IFERROR(IF(SUMIFS(tblDaily[Remaining],tblDaily[EntryDate],DATE(2026,1,19),tblDaily[WardCode],"FAE")=0,"",SUMIFS(tblDaily[Remaining],tblDaily[EntryDate],DATE(2026,1,19),tblDaily[WardCode],"FAE")),"")</f>
        <v/>
      </c>
    </row>
    <row r="26">
      <c r="A26" s="12" t="n">
        <v>20</v>
      </c>
      <c r="B26" s="12">
        <f>IFERROR(IF(SUMIFS(tblDaily[Admissions],tblDaily[EntryDate],DATE(2026,1,20),tblDaily[WardCode],"FAE")=0,"",SUMIFS(tblDaily[Admissions],tblDaily[EntryDate],DATE(2026,1,20),tblDaily[WardCode],"FAE")),"")</f>
        <v/>
      </c>
      <c r="C26" s="12">
        <f>IFERROR(IF(SUMIFS(tblDaily[Discharges],tblDaily[EntryDate],DATE(2026,1,20),tblDaily[WardCode],"FAE")=0,"",SUMIFS(tblDaily[Discharges],tblDaily[EntryDate],DATE(2026,1,20),tblDaily[WardCode],"FAE")),"")</f>
        <v/>
      </c>
      <c r="D26" s="12">
        <f>IFERROR(IF(SUMIFS(tblDaily[Deaths],tblDaily[EntryDate],DATE(2026,1,20),tblDaily[WardCode],"FAE")=0,"",SUMIFS(tblDaily[Deaths],tblDaily[EntryDate],DATE(2026,1,20),tblDaily[WardCode],"FAE")),"")</f>
        <v/>
      </c>
      <c r="E26" s="12">
        <f>IFERROR(IF(SUMIFS(tblDaily[DeathsUnder24Hrs],tblDaily[EntryDate],DATE(2026,1,20),tblDaily[WardCode],"FAE")=0,"",SUMIFS(tblDaily[DeathsUnder24Hrs],tblDaily[EntryDate],DATE(2026,1,20),tblDaily[WardCode],"FAE")),"")</f>
        <v/>
      </c>
      <c r="F26" s="12">
        <f>IFERROR(IF(SUMIFS(tblDaily[TransfersIn],tblDaily[EntryDate],DATE(2026,1,20),tblDaily[WardCode],"FAE")=0,"",SUMIFS(tblDaily[TransfersIn],tblDaily[EntryDate],DATE(2026,1,20),tblDaily[WardCode],"FAE")),"")</f>
        <v/>
      </c>
      <c r="G26" s="12">
        <f>IFERROR(IF(SUMIFS(tblDaily[TransfersOut],tblDaily[EntryDate],DATE(2026,1,20),tblDaily[WardCode],"FAE")=0,"",SUMIFS(tblDaily[TransfersOut],tblDaily[EntryDate],DATE(2026,1,20),tblDaily[WardCode],"FAE")),"")</f>
        <v/>
      </c>
      <c r="H26" s="12">
        <f>IFERROR(IF(SUMIFS(tblDaily[Remaining],tblDaily[EntryDate],DATE(2026,1,20),tblDaily[WardCode],"FAE")=0,"",SUMIFS(tblDaily[Remaining],tblDaily[EntryDate],DATE(2026,1,20),tblDaily[WardCode],"FAE")),"")</f>
        <v/>
      </c>
    </row>
    <row r="27">
      <c r="A27" s="12" t="n">
        <v>21</v>
      </c>
      <c r="B27" s="12">
        <f>IFERROR(IF(SUMIFS(tblDaily[Admissions],tblDaily[EntryDate],DATE(2026,1,21),tblDaily[WardCode],"FAE")=0,"",SUMIFS(tblDaily[Admissions],tblDaily[EntryDate],DATE(2026,1,21),tblDaily[WardCode],"FAE")),"")</f>
        <v/>
      </c>
      <c r="C27" s="12">
        <f>IFERROR(IF(SUMIFS(tblDaily[Discharges],tblDaily[EntryDate],DATE(2026,1,21),tblDaily[WardCode],"FAE")=0,"",SUMIFS(tblDaily[Discharges],tblDaily[EntryDate],DATE(2026,1,21),tblDaily[WardCode],"FAE")),"")</f>
        <v/>
      </c>
      <c r="D27" s="12">
        <f>IFERROR(IF(SUMIFS(tblDaily[Deaths],tblDaily[EntryDate],DATE(2026,1,21),tblDaily[WardCode],"FAE")=0,"",SUMIFS(tblDaily[Deaths],tblDaily[EntryDate],DATE(2026,1,21),tblDaily[WardCode],"FAE")),"")</f>
        <v/>
      </c>
      <c r="E27" s="12">
        <f>IFERROR(IF(SUMIFS(tblDaily[DeathsUnder24Hrs],tblDaily[EntryDate],DATE(2026,1,21),tblDaily[WardCode],"FAE")=0,"",SUMIFS(tblDaily[DeathsUnder24Hrs],tblDaily[EntryDate],DATE(2026,1,21),tblDaily[WardCode],"FAE")),"")</f>
        <v/>
      </c>
      <c r="F27" s="12">
        <f>IFERROR(IF(SUMIFS(tblDaily[TransfersIn],tblDaily[EntryDate],DATE(2026,1,21),tblDaily[WardCode],"FAE")=0,"",SUMIFS(tblDaily[TransfersIn],tblDaily[EntryDate],DATE(2026,1,21),tblDaily[WardCode],"FAE")),"")</f>
        <v/>
      </c>
      <c r="G27" s="12">
        <f>IFERROR(IF(SUMIFS(tblDaily[TransfersOut],tblDaily[EntryDate],DATE(2026,1,21),tblDaily[WardCode],"FAE")=0,"",SUMIFS(tblDaily[TransfersOut],tblDaily[EntryDate],DATE(2026,1,21),tblDaily[WardCode],"FAE")),"")</f>
        <v/>
      </c>
      <c r="H27" s="12">
        <f>IFERROR(IF(SUMIFS(tblDaily[Remaining],tblDaily[EntryDate],DATE(2026,1,21),tblDaily[WardCode],"FAE")=0,"",SUMIFS(tblDaily[Remaining],tblDaily[EntryDate],DATE(2026,1,21),tblDaily[WardCode],"FAE")),"")</f>
        <v/>
      </c>
    </row>
    <row r="28">
      <c r="A28" s="12" t="n">
        <v>22</v>
      </c>
      <c r="B28" s="12">
        <f>IFERROR(IF(SUMIFS(tblDaily[Admissions],tblDaily[EntryDate],DATE(2026,1,22),tblDaily[WardCode],"FAE")=0,"",SUMIFS(tblDaily[Admissions],tblDaily[EntryDate],DATE(2026,1,22),tblDaily[WardCode],"FAE")),"")</f>
        <v/>
      </c>
      <c r="C28" s="12">
        <f>IFERROR(IF(SUMIFS(tblDaily[Discharges],tblDaily[EntryDate],DATE(2026,1,22),tblDaily[WardCode],"FAE")=0,"",SUMIFS(tblDaily[Discharges],tblDaily[EntryDate],DATE(2026,1,22),tblDaily[WardCode],"FAE")),"")</f>
        <v/>
      </c>
      <c r="D28" s="12">
        <f>IFERROR(IF(SUMIFS(tblDaily[Deaths],tblDaily[EntryDate],DATE(2026,1,22),tblDaily[WardCode],"FAE")=0,"",SUMIFS(tblDaily[Deaths],tblDaily[EntryDate],DATE(2026,1,22),tblDaily[WardCode],"FAE")),"")</f>
        <v/>
      </c>
      <c r="E28" s="12">
        <f>IFERROR(IF(SUMIFS(tblDaily[DeathsUnder24Hrs],tblDaily[EntryDate],DATE(2026,1,22),tblDaily[WardCode],"FAE")=0,"",SUMIFS(tblDaily[DeathsUnder24Hrs],tblDaily[EntryDate],DATE(2026,1,22),tblDaily[WardCode],"FAE")),"")</f>
        <v/>
      </c>
      <c r="F28" s="12">
        <f>IFERROR(IF(SUMIFS(tblDaily[TransfersIn],tblDaily[EntryDate],DATE(2026,1,22),tblDaily[WardCode],"FAE")=0,"",SUMIFS(tblDaily[TransfersIn],tblDaily[EntryDate],DATE(2026,1,22),tblDaily[WardCode],"FAE")),"")</f>
        <v/>
      </c>
      <c r="G28" s="12">
        <f>IFERROR(IF(SUMIFS(tblDaily[TransfersOut],tblDaily[EntryDate],DATE(2026,1,22),tblDaily[WardCode],"FAE")=0,"",SUMIFS(tblDaily[TransfersOut],tblDaily[EntryDate],DATE(2026,1,22),tblDaily[WardCode],"FAE")),"")</f>
        <v/>
      </c>
      <c r="H28" s="12">
        <f>IFERROR(IF(SUMIFS(tblDaily[Remaining],tblDaily[EntryDate],DATE(2026,1,22),tblDaily[WardCode],"FAE")=0,"",SUMIFS(tblDaily[Remaining],tblDaily[EntryDate],DATE(2026,1,22),tblDaily[WardCode],"FAE")),"")</f>
        <v/>
      </c>
    </row>
    <row r="29">
      <c r="A29" s="12" t="n">
        <v>23</v>
      </c>
      <c r="B29" s="12">
        <f>IFERROR(IF(SUMIFS(tblDaily[Admissions],tblDaily[EntryDate],DATE(2026,1,23),tblDaily[WardCode],"FAE")=0,"",SUMIFS(tblDaily[Admissions],tblDaily[EntryDate],DATE(2026,1,23),tblDaily[WardCode],"FAE")),"")</f>
        <v/>
      </c>
      <c r="C29" s="12">
        <f>IFERROR(IF(SUMIFS(tblDaily[Discharges],tblDaily[EntryDate],DATE(2026,1,23),tblDaily[WardCode],"FAE")=0,"",SUMIFS(tblDaily[Discharges],tblDaily[EntryDate],DATE(2026,1,23),tblDaily[WardCode],"FAE")),"")</f>
        <v/>
      </c>
      <c r="D29" s="12">
        <f>IFERROR(IF(SUMIFS(tblDaily[Deaths],tblDaily[EntryDate],DATE(2026,1,23),tblDaily[WardCode],"FAE")=0,"",SUMIFS(tblDaily[Deaths],tblDaily[EntryDate],DATE(2026,1,23),tblDaily[WardCode],"FAE")),"")</f>
        <v/>
      </c>
      <c r="E29" s="12">
        <f>IFERROR(IF(SUMIFS(tblDaily[DeathsUnder24Hrs],tblDaily[EntryDate],DATE(2026,1,23),tblDaily[WardCode],"FAE")=0,"",SUMIFS(tblDaily[DeathsUnder24Hrs],tblDaily[EntryDate],DATE(2026,1,23),tblDaily[WardCode],"FAE")),"")</f>
        <v/>
      </c>
      <c r="F29" s="12">
        <f>IFERROR(IF(SUMIFS(tblDaily[TransfersIn],tblDaily[EntryDate],DATE(2026,1,23),tblDaily[WardCode],"FAE")=0,"",SUMIFS(tblDaily[TransfersIn],tblDaily[EntryDate],DATE(2026,1,23),tblDaily[WardCode],"FAE")),"")</f>
        <v/>
      </c>
      <c r="G29" s="12">
        <f>IFERROR(IF(SUMIFS(tblDaily[TransfersOut],tblDaily[EntryDate],DATE(2026,1,23),tblDaily[WardCode],"FAE")=0,"",SUMIFS(tblDaily[TransfersOut],tblDaily[EntryDate],DATE(2026,1,23),tblDaily[WardCode],"FAE")),"")</f>
        <v/>
      </c>
      <c r="H29" s="12">
        <f>IFERROR(IF(SUMIFS(tblDaily[Remaining],tblDaily[EntryDate],DATE(2026,1,23),tblDaily[WardCode],"FAE")=0,"",SUMIFS(tblDaily[Remaining],tblDaily[EntryDate],DATE(2026,1,23),tblDaily[WardCode],"FAE")),"")</f>
        <v/>
      </c>
    </row>
    <row r="30">
      <c r="A30" s="12" t="n">
        <v>24</v>
      </c>
      <c r="B30" s="12">
        <f>IFERROR(IF(SUMIFS(tblDaily[Admissions],tblDaily[EntryDate],DATE(2026,1,24),tblDaily[WardCode],"FAE")=0,"",SUMIFS(tblDaily[Admissions],tblDaily[EntryDate],DATE(2026,1,24),tblDaily[WardCode],"FAE")),"")</f>
        <v/>
      </c>
      <c r="C30" s="12">
        <f>IFERROR(IF(SUMIFS(tblDaily[Discharges],tblDaily[EntryDate],DATE(2026,1,24),tblDaily[WardCode],"FAE")=0,"",SUMIFS(tblDaily[Discharges],tblDaily[EntryDate],DATE(2026,1,24),tblDaily[WardCode],"FAE")),"")</f>
        <v/>
      </c>
      <c r="D30" s="12">
        <f>IFERROR(IF(SUMIFS(tblDaily[Deaths],tblDaily[EntryDate],DATE(2026,1,24),tblDaily[WardCode],"FAE")=0,"",SUMIFS(tblDaily[Deaths],tblDaily[EntryDate],DATE(2026,1,24),tblDaily[WardCode],"FAE")),"")</f>
        <v/>
      </c>
      <c r="E30" s="12">
        <f>IFERROR(IF(SUMIFS(tblDaily[DeathsUnder24Hrs],tblDaily[EntryDate],DATE(2026,1,24),tblDaily[WardCode],"FAE")=0,"",SUMIFS(tblDaily[DeathsUnder24Hrs],tblDaily[EntryDate],DATE(2026,1,24),tblDaily[WardCode],"FAE")),"")</f>
        <v/>
      </c>
      <c r="F30" s="12">
        <f>IFERROR(IF(SUMIFS(tblDaily[TransfersIn],tblDaily[EntryDate],DATE(2026,1,24),tblDaily[WardCode],"FAE")=0,"",SUMIFS(tblDaily[TransfersIn],tblDaily[EntryDate],DATE(2026,1,24),tblDaily[WardCode],"FAE")),"")</f>
        <v/>
      </c>
      <c r="G30" s="12">
        <f>IFERROR(IF(SUMIFS(tblDaily[TransfersOut],tblDaily[EntryDate],DATE(2026,1,24),tblDaily[WardCode],"FAE")=0,"",SUMIFS(tblDaily[TransfersOut],tblDaily[EntryDate],DATE(2026,1,24),tblDaily[WardCode],"FAE")),"")</f>
        <v/>
      </c>
      <c r="H30" s="12">
        <f>IFERROR(IF(SUMIFS(tblDaily[Remaining],tblDaily[EntryDate],DATE(2026,1,24),tblDaily[WardCode],"FAE")=0,"",SUMIFS(tblDaily[Remaining],tblDaily[EntryDate],DATE(2026,1,24),tblDaily[WardCode],"FAE")),"")</f>
        <v/>
      </c>
    </row>
    <row r="31">
      <c r="A31" s="12" t="n">
        <v>25</v>
      </c>
      <c r="B31" s="12">
        <f>IFERROR(IF(SUMIFS(tblDaily[Admissions],tblDaily[EntryDate],DATE(2026,1,25),tblDaily[WardCode],"FAE")=0,"",SUMIFS(tblDaily[Admissions],tblDaily[EntryDate],DATE(2026,1,25),tblDaily[WardCode],"FAE")),"")</f>
        <v/>
      </c>
      <c r="C31" s="12">
        <f>IFERROR(IF(SUMIFS(tblDaily[Discharges],tblDaily[EntryDate],DATE(2026,1,25),tblDaily[WardCode],"FAE")=0,"",SUMIFS(tblDaily[Discharges],tblDaily[EntryDate],DATE(2026,1,25),tblDaily[WardCode],"FAE")),"")</f>
        <v/>
      </c>
      <c r="D31" s="12">
        <f>IFERROR(IF(SUMIFS(tblDaily[Deaths],tblDaily[EntryDate],DATE(2026,1,25),tblDaily[WardCode],"FAE")=0,"",SUMIFS(tblDaily[Deaths],tblDaily[EntryDate],DATE(2026,1,25),tblDaily[WardCode],"FAE")),"")</f>
        <v/>
      </c>
      <c r="E31" s="12">
        <f>IFERROR(IF(SUMIFS(tblDaily[DeathsUnder24Hrs],tblDaily[EntryDate],DATE(2026,1,25),tblDaily[WardCode],"FAE")=0,"",SUMIFS(tblDaily[DeathsUnder24Hrs],tblDaily[EntryDate],DATE(2026,1,25),tblDaily[WardCode],"FAE")),"")</f>
        <v/>
      </c>
      <c r="F31" s="12">
        <f>IFERROR(IF(SUMIFS(tblDaily[TransfersIn],tblDaily[EntryDate],DATE(2026,1,25),tblDaily[WardCode],"FAE")=0,"",SUMIFS(tblDaily[TransfersIn],tblDaily[EntryDate],DATE(2026,1,25),tblDaily[WardCode],"FAE")),"")</f>
        <v/>
      </c>
      <c r="G31" s="12">
        <f>IFERROR(IF(SUMIFS(tblDaily[TransfersOut],tblDaily[EntryDate],DATE(2026,1,25),tblDaily[WardCode],"FAE")=0,"",SUMIFS(tblDaily[TransfersOut],tblDaily[EntryDate],DATE(2026,1,25),tblDaily[WardCode],"FAE")),"")</f>
        <v/>
      </c>
      <c r="H31" s="12">
        <f>IFERROR(IF(SUMIFS(tblDaily[Remaining],tblDaily[EntryDate],DATE(2026,1,25),tblDaily[WardCode],"FAE")=0,"",SUMIFS(tblDaily[Remaining],tblDaily[EntryDate],DATE(2026,1,25),tblDaily[WardCode],"FAE")),"")</f>
        <v/>
      </c>
    </row>
    <row r="32">
      <c r="A32" s="12" t="n">
        <v>26</v>
      </c>
      <c r="B32" s="12">
        <f>IFERROR(IF(SUMIFS(tblDaily[Admissions],tblDaily[EntryDate],DATE(2026,1,26),tblDaily[WardCode],"FAE")=0,"",SUMIFS(tblDaily[Admissions],tblDaily[EntryDate],DATE(2026,1,26),tblDaily[WardCode],"FAE")),"")</f>
        <v/>
      </c>
      <c r="C32" s="12">
        <f>IFERROR(IF(SUMIFS(tblDaily[Discharges],tblDaily[EntryDate],DATE(2026,1,26),tblDaily[WardCode],"FAE")=0,"",SUMIFS(tblDaily[Discharges],tblDaily[EntryDate],DATE(2026,1,26),tblDaily[WardCode],"FAE")),"")</f>
        <v/>
      </c>
      <c r="D32" s="12">
        <f>IFERROR(IF(SUMIFS(tblDaily[Deaths],tblDaily[EntryDate],DATE(2026,1,26),tblDaily[WardCode],"FAE")=0,"",SUMIFS(tblDaily[Deaths],tblDaily[EntryDate],DATE(2026,1,26),tblDaily[WardCode],"FAE")),"")</f>
        <v/>
      </c>
      <c r="E32" s="12">
        <f>IFERROR(IF(SUMIFS(tblDaily[DeathsUnder24Hrs],tblDaily[EntryDate],DATE(2026,1,26),tblDaily[WardCode],"FAE")=0,"",SUMIFS(tblDaily[DeathsUnder24Hrs],tblDaily[EntryDate],DATE(2026,1,26),tblDaily[WardCode],"FAE")),"")</f>
        <v/>
      </c>
      <c r="F32" s="12">
        <f>IFERROR(IF(SUMIFS(tblDaily[TransfersIn],tblDaily[EntryDate],DATE(2026,1,26),tblDaily[WardCode],"FAE")=0,"",SUMIFS(tblDaily[TransfersIn],tblDaily[EntryDate],DATE(2026,1,26),tblDaily[WardCode],"FAE")),"")</f>
        <v/>
      </c>
      <c r="G32" s="12">
        <f>IFERROR(IF(SUMIFS(tblDaily[TransfersOut],tblDaily[EntryDate],DATE(2026,1,26),tblDaily[WardCode],"FAE")=0,"",SUMIFS(tblDaily[TransfersOut],tblDaily[EntryDate],DATE(2026,1,26),tblDaily[WardCode],"FAE")),"")</f>
        <v/>
      </c>
      <c r="H32" s="12">
        <f>IFERROR(IF(SUMIFS(tblDaily[Remaining],tblDaily[EntryDate],DATE(2026,1,26),tblDaily[WardCode],"FAE")=0,"",SUMIFS(tblDaily[Remaining],tblDaily[EntryDate],DATE(2026,1,26),tblDaily[WardCode],"FAE")),"")</f>
        <v/>
      </c>
    </row>
    <row r="33">
      <c r="A33" s="12" t="n">
        <v>27</v>
      </c>
      <c r="B33" s="12">
        <f>IFERROR(IF(SUMIFS(tblDaily[Admissions],tblDaily[EntryDate],DATE(2026,1,27),tblDaily[WardCode],"FAE")=0,"",SUMIFS(tblDaily[Admissions],tblDaily[EntryDate],DATE(2026,1,27),tblDaily[WardCode],"FAE")),"")</f>
        <v/>
      </c>
      <c r="C33" s="12">
        <f>IFERROR(IF(SUMIFS(tblDaily[Discharges],tblDaily[EntryDate],DATE(2026,1,27),tblDaily[WardCode],"FAE")=0,"",SUMIFS(tblDaily[Discharges],tblDaily[EntryDate],DATE(2026,1,27),tblDaily[WardCode],"FAE")),"")</f>
        <v/>
      </c>
      <c r="D33" s="12">
        <f>IFERROR(IF(SUMIFS(tblDaily[Deaths],tblDaily[EntryDate],DATE(2026,1,27),tblDaily[WardCode],"FAE")=0,"",SUMIFS(tblDaily[Deaths],tblDaily[EntryDate],DATE(2026,1,27),tblDaily[WardCode],"FAE")),"")</f>
        <v/>
      </c>
      <c r="E33" s="12">
        <f>IFERROR(IF(SUMIFS(tblDaily[DeathsUnder24Hrs],tblDaily[EntryDate],DATE(2026,1,27),tblDaily[WardCode],"FAE")=0,"",SUMIFS(tblDaily[DeathsUnder24Hrs],tblDaily[EntryDate],DATE(2026,1,27),tblDaily[WardCode],"FAE")),"")</f>
        <v/>
      </c>
      <c r="F33" s="12">
        <f>IFERROR(IF(SUMIFS(tblDaily[TransfersIn],tblDaily[EntryDate],DATE(2026,1,27),tblDaily[WardCode],"FAE")=0,"",SUMIFS(tblDaily[TransfersIn],tblDaily[EntryDate],DATE(2026,1,27),tblDaily[WardCode],"FAE")),"")</f>
        <v/>
      </c>
      <c r="G33" s="12">
        <f>IFERROR(IF(SUMIFS(tblDaily[TransfersOut],tblDaily[EntryDate],DATE(2026,1,27),tblDaily[WardCode],"FAE")=0,"",SUMIFS(tblDaily[TransfersOut],tblDaily[EntryDate],DATE(2026,1,27),tblDaily[WardCode],"FAE")),"")</f>
        <v/>
      </c>
      <c r="H33" s="12">
        <f>IFERROR(IF(SUMIFS(tblDaily[Remaining],tblDaily[EntryDate],DATE(2026,1,27),tblDaily[WardCode],"FAE")=0,"",SUMIFS(tblDaily[Remaining],tblDaily[EntryDate],DATE(2026,1,27),tblDaily[WardCode],"FAE")),"")</f>
        <v/>
      </c>
    </row>
    <row r="34">
      <c r="A34" s="12" t="n">
        <v>28</v>
      </c>
      <c r="B34" s="12">
        <f>IFERROR(IF(SUMIFS(tblDaily[Admissions],tblDaily[EntryDate],DATE(2026,1,28),tblDaily[WardCode],"FAE")=0,"",SUMIFS(tblDaily[Admissions],tblDaily[EntryDate],DATE(2026,1,28),tblDaily[WardCode],"FAE")),"")</f>
        <v/>
      </c>
      <c r="C34" s="12">
        <f>IFERROR(IF(SUMIFS(tblDaily[Discharges],tblDaily[EntryDate],DATE(2026,1,28),tblDaily[WardCode],"FAE")=0,"",SUMIFS(tblDaily[Discharges],tblDaily[EntryDate],DATE(2026,1,28),tblDaily[WardCode],"FAE")),"")</f>
        <v/>
      </c>
      <c r="D34" s="12">
        <f>IFERROR(IF(SUMIFS(tblDaily[Deaths],tblDaily[EntryDate],DATE(2026,1,28),tblDaily[WardCode],"FAE")=0,"",SUMIFS(tblDaily[Deaths],tblDaily[EntryDate],DATE(2026,1,28),tblDaily[WardCode],"FAE")),"")</f>
        <v/>
      </c>
      <c r="E34" s="12">
        <f>IFERROR(IF(SUMIFS(tblDaily[DeathsUnder24Hrs],tblDaily[EntryDate],DATE(2026,1,28),tblDaily[WardCode],"FAE")=0,"",SUMIFS(tblDaily[DeathsUnder24Hrs],tblDaily[EntryDate],DATE(2026,1,28),tblDaily[WardCode],"FAE")),"")</f>
        <v/>
      </c>
      <c r="F34" s="12">
        <f>IFERROR(IF(SUMIFS(tblDaily[TransfersIn],tblDaily[EntryDate],DATE(2026,1,28),tblDaily[WardCode],"FAE")=0,"",SUMIFS(tblDaily[TransfersIn],tblDaily[EntryDate],DATE(2026,1,28),tblDaily[WardCode],"FAE")),"")</f>
        <v/>
      </c>
      <c r="G34" s="12">
        <f>IFERROR(IF(SUMIFS(tblDaily[TransfersOut],tblDaily[EntryDate],DATE(2026,1,28),tblDaily[WardCode],"FAE")=0,"",SUMIFS(tblDaily[TransfersOut],tblDaily[EntryDate],DATE(2026,1,28),tblDaily[WardCode],"FAE")),"")</f>
        <v/>
      </c>
      <c r="H34" s="12">
        <f>IFERROR(IF(SUMIFS(tblDaily[Remaining],tblDaily[EntryDate],DATE(2026,1,28),tblDaily[WardCode],"FAE")=0,"",SUMIFS(tblDaily[Remaining],tblDaily[EntryDate],DATE(2026,1,28),tblDaily[WardCode],"FAE")),"")</f>
        <v/>
      </c>
    </row>
    <row r="35">
      <c r="A35" s="12" t="n">
        <v>29</v>
      </c>
      <c r="B35" s="12">
        <f>IFERROR(IF(SUMIFS(tblDaily[Admissions],tblDaily[EntryDate],DATE(2026,1,29),tblDaily[WardCode],"FAE")=0,"",SUMIFS(tblDaily[Admissions],tblDaily[EntryDate],DATE(2026,1,29),tblDaily[WardCode],"FAE")),"")</f>
        <v/>
      </c>
      <c r="C35" s="12">
        <f>IFERROR(IF(SUMIFS(tblDaily[Discharges],tblDaily[EntryDate],DATE(2026,1,29),tblDaily[WardCode],"FAE")=0,"",SUMIFS(tblDaily[Discharges],tblDaily[EntryDate],DATE(2026,1,29),tblDaily[WardCode],"FAE")),"")</f>
        <v/>
      </c>
      <c r="D35" s="12">
        <f>IFERROR(IF(SUMIFS(tblDaily[Deaths],tblDaily[EntryDate],DATE(2026,1,29),tblDaily[WardCode],"FAE")=0,"",SUMIFS(tblDaily[Deaths],tblDaily[EntryDate],DATE(2026,1,29),tblDaily[WardCode],"FAE")),"")</f>
        <v/>
      </c>
      <c r="E35" s="12">
        <f>IFERROR(IF(SUMIFS(tblDaily[DeathsUnder24Hrs],tblDaily[EntryDate],DATE(2026,1,29),tblDaily[WardCode],"FAE")=0,"",SUMIFS(tblDaily[DeathsUnder24Hrs],tblDaily[EntryDate],DATE(2026,1,29),tblDaily[WardCode],"FAE")),"")</f>
        <v/>
      </c>
      <c r="F35" s="12">
        <f>IFERROR(IF(SUMIFS(tblDaily[TransfersIn],tblDaily[EntryDate],DATE(2026,1,29),tblDaily[WardCode],"FAE")=0,"",SUMIFS(tblDaily[TransfersIn],tblDaily[EntryDate],DATE(2026,1,29),tblDaily[WardCode],"FAE")),"")</f>
        <v/>
      </c>
      <c r="G35" s="12">
        <f>IFERROR(IF(SUMIFS(tblDaily[TransfersOut],tblDaily[EntryDate],DATE(2026,1,29),tblDaily[WardCode],"FAE")=0,"",SUMIFS(tblDaily[TransfersOut],tblDaily[EntryDate],DATE(2026,1,29),tblDaily[WardCode],"FAE")),"")</f>
        <v/>
      </c>
      <c r="H35" s="12">
        <f>IFERROR(IF(SUMIFS(tblDaily[Remaining],tblDaily[EntryDate],DATE(2026,1,29),tblDaily[WardCode],"FAE")=0,"",SUMIFS(tblDaily[Remaining],tblDaily[EntryDate],DATE(2026,1,29),tblDaily[WardCode],"FAE")),"")</f>
        <v/>
      </c>
    </row>
    <row r="36">
      <c r="A36" s="12" t="n">
        <v>30</v>
      </c>
      <c r="B36" s="12">
        <f>IFERROR(IF(SUMIFS(tblDaily[Admissions],tblDaily[EntryDate],DATE(2026,1,30),tblDaily[WardCode],"FAE")=0,"",SUMIFS(tblDaily[Admissions],tblDaily[EntryDate],DATE(2026,1,30),tblDaily[WardCode],"FAE")),"")</f>
        <v/>
      </c>
      <c r="C36" s="12">
        <f>IFERROR(IF(SUMIFS(tblDaily[Discharges],tblDaily[EntryDate],DATE(2026,1,30),tblDaily[WardCode],"FAE")=0,"",SUMIFS(tblDaily[Discharges],tblDaily[EntryDate],DATE(2026,1,30),tblDaily[WardCode],"FAE")),"")</f>
        <v/>
      </c>
      <c r="D36" s="12">
        <f>IFERROR(IF(SUMIFS(tblDaily[Deaths],tblDaily[EntryDate],DATE(2026,1,30),tblDaily[WardCode],"FAE")=0,"",SUMIFS(tblDaily[Deaths],tblDaily[EntryDate],DATE(2026,1,30),tblDaily[WardCode],"FAE")),"")</f>
        <v/>
      </c>
      <c r="E36" s="12">
        <f>IFERROR(IF(SUMIFS(tblDaily[DeathsUnder24Hrs],tblDaily[EntryDate],DATE(2026,1,30),tblDaily[WardCode],"FAE")=0,"",SUMIFS(tblDaily[DeathsUnder24Hrs],tblDaily[EntryDate],DATE(2026,1,30),tblDaily[WardCode],"FAE")),"")</f>
        <v/>
      </c>
      <c r="F36" s="12">
        <f>IFERROR(IF(SUMIFS(tblDaily[TransfersIn],tblDaily[EntryDate],DATE(2026,1,30),tblDaily[WardCode],"FAE")=0,"",SUMIFS(tblDaily[TransfersIn],tblDaily[EntryDate],DATE(2026,1,30),tblDaily[WardCode],"FAE")),"")</f>
        <v/>
      </c>
      <c r="G36" s="12">
        <f>IFERROR(IF(SUMIFS(tblDaily[TransfersOut],tblDaily[EntryDate],DATE(2026,1,30),tblDaily[WardCode],"FAE")=0,"",SUMIFS(tblDaily[TransfersOut],tblDaily[EntryDate],DATE(2026,1,30),tblDaily[WardCode],"FAE")),"")</f>
        <v/>
      </c>
      <c r="H36" s="12">
        <f>IFERROR(IF(SUMIFS(tblDaily[Remaining],tblDaily[EntryDate],DATE(2026,1,30),tblDaily[WardCode],"FAE")=0,"",SUMIFS(tblDaily[Remaining],tblDaily[EntryDate],DATE(2026,1,30),tblDaily[WardCode],"FAE")),"")</f>
        <v/>
      </c>
    </row>
    <row r="37">
      <c r="A37" s="12" t="n">
        <v>31</v>
      </c>
      <c r="B37" s="12">
        <f>IFERROR(IF(SUMIFS(tblDaily[Admissions],tblDaily[EntryDate],DATE(2026,1,31),tblDaily[WardCode],"FAE")=0,"",SUMIFS(tblDaily[Admissions],tblDaily[EntryDate],DATE(2026,1,31),tblDaily[WardCode],"FAE")),"")</f>
        <v/>
      </c>
      <c r="C37" s="12">
        <f>IFERROR(IF(SUMIFS(tblDaily[Discharges],tblDaily[EntryDate],DATE(2026,1,31),tblDaily[WardCode],"FAE")=0,"",SUMIFS(tblDaily[Discharges],tblDaily[EntryDate],DATE(2026,1,31),tblDaily[WardCode],"FAE")),"")</f>
        <v/>
      </c>
      <c r="D37" s="12">
        <f>IFERROR(IF(SUMIFS(tblDaily[Deaths],tblDaily[EntryDate],DATE(2026,1,31),tblDaily[WardCode],"FAE")=0,"",SUMIFS(tblDaily[Deaths],tblDaily[EntryDate],DATE(2026,1,31),tblDaily[WardCode],"FAE")),"")</f>
        <v/>
      </c>
      <c r="E37" s="12">
        <f>IFERROR(IF(SUMIFS(tblDaily[DeathsUnder24Hrs],tblDaily[EntryDate],DATE(2026,1,31),tblDaily[WardCode],"FAE")=0,"",SUMIFS(tblDaily[DeathsUnder24Hrs],tblDaily[EntryDate],DATE(2026,1,31),tblDaily[WardCode],"FAE")),"")</f>
        <v/>
      </c>
      <c r="F37" s="12">
        <f>IFERROR(IF(SUMIFS(tblDaily[TransfersIn],tblDaily[EntryDate],DATE(2026,1,31),tblDaily[WardCode],"FAE")=0,"",SUMIFS(tblDaily[TransfersIn],tblDaily[EntryDate],DATE(2026,1,31),tblDaily[WardCode],"FAE")),"")</f>
        <v/>
      </c>
      <c r="G37" s="12">
        <f>IFERROR(IF(SUMIFS(tblDaily[TransfersOut],tblDaily[EntryDate],DATE(2026,1,31),tblDaily[WardCode],"FAE")=0,"",SUMIFS(tblDaily[TransfersOut],tblDaily[EntryDate],DATE(2026,1,31),tblDaily[WardCode],"FAE")),"")</f>
        <v/>
      </c>
      <c r="H37" s="12">
        <f>IFERROR(IF(SUMIFS(tblDaily[Remaining],tblDaily[EntryDate],DATE(2026,1,31),tblDaily[WardCode],"FAE")=0,"",SUMIFS(tblDaily[Remaining],tblDaily[EntryDate],DATE(2026,1,31),tblDaily[WardCode],"FAE")),"")</f>
        <v/>
      </c>
    </row>
    <row r="38">
      <c r="A38" s="17" t="inlineStr">
        <is>
          <t>TOTAL</t>
        </is>
      </c>
      <c r="B38" s="17">
        <f>SUMIFS(tblDaily[Admissions],tblDaily[Month],1,tblDaily[WardCode],"FAE") - SUMIFS(tblDaily[DeathsUnder24Hrs],tblDaily[Month],1,tblDaily[WardCode],"FAE")</f>
        <v/>
      </c>
      <c r="C38" s="17">
        <f>SUMIFS(tblDaily[Discharges],tblDaily[Month],1,tblDaily[WardCode],"FAE")</f>
        <v/>
      </c>
      <c r="D38" s="17">
        <f>SUMIFS(tblDaily[Deaths],tblDaily[Month],1,tblDaily[WardCode],"FAE")</f>
        <v/>
      </c>
      <c r="E38" s="17">
        <f>SUMIFS(tblDaily[DeathsUnder24Hrs],tblDaily[Month],1,tblDaily[WardCode],"FAE")</f>
        <v/>
      </c>
      <c r="F38" s="17">
        <f>SUMIFS(tblDaily[TransfersIn],tblDaily[Month],1,tblDaily[WardCode],"FAE")</f>
        <v/>
      </c>
      <c r="G38" s="17">
        <f>SUMIFS(tblDaily[TransfersOut],tblDaily[Month],1,tblDaily[WardCode],"FAE")</f>
        <v/>
      </c>
      <c r="H38" s="17">
        <f>SUMIFS(tblDaily[Remaining],tblDaily[Month],1,tblDaily[WardCode],"FAE")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FEMALE EMERGENCY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4">
        <f>IFERROR(SUMIFS(tblDaily[Remaining],tblDaily[EntryDate],DATE(2026,1,31),tblDaily[WardCode],"FAE"),0)</f>
        <v/>
      </c>
    </row>
    <row r="44">
      <c r="A44" s="4" t="inlineStr">
        <is>
          <t>Bed complement</t>
        </is>
      </c>
      <c r="H44" s="15">
        <f>IFERROR(INDEX(tblWardConfig[BedComplement],MATCH("FAE",tblWardConfig[WardCode],0)),0)</f>
        <v/>
      </c>
    </row>
    <row r="45">
      <c r="A45" s="16" t="inlineStr">
        <is>
          <t>Day of
the
Month</t>
        </is>
      </c>
      <c r="B45" s="16" t="inlineStr">
        <is>
          <t>Admissions</t>
        </is>
      </c>
      <c r="C45" s="16" t="inlineStr">
        <is>
          <t>Discharges</t>
        </is>
      </c>
      <c r="D45" s="16" t="inlineStr">
        <is>
          <t>Deaths</t>
        </is>
      </c>
      <c r="E45" s="16" t="inlineStr">
        <is>
          <t>Deaths
&lt;24Hrs</t>
        </is>
      </c>
      <c r="F45" s="16" t="inlineStr">
        <is>
          <t>Transfers-
In</t>
        </is>
      </c>
      <c r="G45" s="16" t="inlineStr">
        <is>
          <t>Transfers-
Out</t>
        </is>
      </c>
      <c r="H45" s="16" t="inlineStr">
        <is>
          <t>No. of Patients
Remaining In
Ward</t>
        </is>
      </c>
    </row>
    <row r="46">
      <c r="A46" s="12" t="n">
        <v>1</v>
      </c>
      <c r="B46" s="12">
        <f>IFERROR(IF(SUMIFS(tblDaily[Admissions],tblDaily[EntryDate],DATE(2026,2,1),tblDaily[WardCode],"FAE")=0,"",SUMIFS(tblDaily[Admissions],tblDaily[EntryDate],DATE(2026,2,1),tblDaily[WardCode],"FAE")),"")</f>
        <v/>
      </c>
      <c r="C46" s="12">
        <f>IFERROR(IF(SUMIFS(tblDaily[Discharges],tblDaily[EntryDate],DATE(2026,2,1),tblDaily[WardCode],"FAE")=0,"",SUMIFS(tblDaily[Discharges],tblDaily[EntryDate],DATE(2026,2,1),tblDaily[WardCode],"FAE")),"")</f>
        <v/>
      </c>
      <c r="D46" s="12">
        <f>IFERROR(IF(SUMIFS(tblDaily[Deaths],tblDaily[EntryDate],DATE(2026,2,1),tblDaily[WardCode],"FAE")=0,"",SUMIFS(tblDaily[Deaths],tblDaily[EntryDate],DATE(2026,2,1),tblDaily[WardCode],"FAE")),"")</f>
        <v/>
      </c>
      <c r="E46" s="12">
        <f>IFERROR(IF(SUMIFS(tblDaily[DeathsUnder24Hrs],tblDaily[EntryDate],DATE(2026,2,1),tblDaily[WardCode],"FAE")=0,"",SUMIFS(tblDaily[DeathsUnder24Hrs],tblDaily[EntryDate],DATE(2026,2,1),tblDaily[WardCode],"FAE")),"")</f>
        <v/>
      </c>
      <c r="F46" s="12">
        <f>IFERROR(IF(SUMIFS(tblDaily[TransfersIn],tblDaily[EntryDate],DATE(2026,2,1),tblDaily[WardCode],"FAE")=0,"",SUMIFS(tblDaily[TransfersIn],tblDaily[EntryDate],DATE(2026,2,1),tblDaily[WardCode],"FAE")),"")</f>
        <v/>
      </c>
      <c r="G46" s="12">
        <f>IFERROR(IF(SUMIFS(tblDaily[TransfersOut],tblDaily[EntryDate],DATE(2026,2,1),tblDaily[WardCode],"FAE")=0,"",SUMIFS(tblDaily[TransfersOut],tblDaily[EntryDate],DATE(2026,2,1),tblDaily[WardCode],"FAE")),"")</f>
        <v/>
      </c>
      <c r="H46" s="12">
        <f>IFERROR(IF(SUMIFS(tblDaily[Remaining],tblDaily[EntryDate],DATE(2026,2,1),tblDaily[WardCode],"FAE")=0,"",SUMIFS(tblDaily[Remaining],tblDaily[EntryDate],DATE(2026,2,1),tblDaily[WardCode],"FAE")),"")</f>
        <v/>
      </c>
    </row>
    <row r="47">
      <c r="A47" s="12" t="n">
        <v>2</v>
      </c>
      <c r="B47" s="12">
        <f>IFERROR(IF(SUMIFS(tblDaily[Admissions],tblDaily[EntryDate],DATE(2026,2,2),tblDaily[WardCode],"FAE")=0,"",SUMIFS(tblDaily[Admissions],tblDaily[EntryDate],DATE(2026,2,2),tblDaily[WardCode],"FAE")),"")</f>
        <v/>
      </c>
      <c r="C47" s="12">
        <f>IFERROR(IF(SUMIFS(tblDaily[Discharges],tblDaily[EntryDate],DATE(2026,2,2),tblDaily[WardCode],"FAE")=0,"",SUMIFS(tblDaily[Discharges],tblDaily[EntryDate],DATE(2026,2,2),tblDaily[WardCode],"FAE")),"")</f>
        <v/>
      </c>
      <c r="D47" s="12">
        <f>IFERROR(IF(SUMIFS(tblDaily[Deaths],tblDaily[EntryDate],DATE(2026,2,2),tblDaily[WardCode],"FAE")=0,"",SUMIFS(tblDaily[Deaths],tblDaily[EntryDate],DATE(2026,2,2),tblDaily[WardCode],"FAE")),"")</f>
        <v/>
      </c>
      <c r="E47" s="12">
        <f>IFERROR(IF(SUMIFS(tblDaily[DeathsUnder24Hrs],tblDaily[EntryDate],DATE(2026,2,2),tblDaily[WardCode],"FAE")=0,"",SUMIFS(tblDaily[DeathsUnder24Hrs],tblDaily[EntryDate],DATE(2026,2,2),tblDaily[WardCode],"FAE")),"")</f>
        <v/>
      </c>
      <c r="F47" s="12">
        <f>IFERROR(IF(SUMIFS(tblDaily[TransfersIn],tblDaily[EntryDate],DATE(2026,2,2),tblDaily[WardCode],"FAE")=0,"",SUMIFS(tblDaily[TransfersIn],tblDaily[EntryDate],DATE(2026,2,2),tblDaily[WardCode],"FAE")),"")</f>
        <v/>
      </c>
      <c r="G47" s="12">
        <f>IFERROR(IF(SUMIFS(tblDaily[TransfersOut],tblDaily[EntryDate],DATE(2026,2,2),tblDaily[WardCode],"FAE")=0,"",SUMIFS(tblDaily[TransfersOut],tblDaily[EntryDate],DATE(2026,2,2),tblDaily[WardCode],"FAE")),"")</f>
        <v/>
      </c>
      <c r="H47" s="12">
        <f>IFERROR(IF(SUMIFS(tblDaily[Remaining],tblDaily[EntryDate],DATE(2026,2,2),tblDaily[WardCode],"FAE")=0,"",SUMIFS(tblDaily[Remaining],tblDaily[EntryDate],DATE(2026,2,2),tblDaily[WardCode],"FAE")),"")</f>
        <v/>
      </c>
    </row>
    <row r="48">
      <c r="A48" s="12" t="n">
        <v>3</v>
      </c>
      <c r="B48" s="12">
        <f>IFERROR(IF(SUMIFS(tblDaily[Admissions],tblDaily[EntryDate],DATE(2026,2,3),tblDaily[WardCode],"FAE")=0,"",SUMIFS(tblDaily[Admissions],tblDaily[EntryDate],DATE(2026,2,3),tblDaily[WardCode],"FAE")),"")</f>
        <v/>
      </c>
      <c r="C48" s="12">
        <f>IFERROR(IF(SUMIFS(tblDaily[Discharges],tblDaily[EntryDate],DATE(2026,2,3),tblDaily[WardCode],"FAE")=0,"",SUMIFS(tblDaily[Discharges],tblDaily[EntryDate],DATE(2026,2,3),tblDaily[WardCode],"FAE")),"")</f>
        <v/>
      </c>
      <c r="D48" s="12">
        <f>IFERROR(IF(SUMIFS(tblDaily[Deaths],tblDaily[EntryDate],DATE(2026,2,3),tblDaily[WardCode],"FAE")=0,"",SUMIFS(tblDaily[Deaths],tblDaily[EntryDate],DATE(2026,2,3),tblDaily[WardCode],"FAE")),"")</f>
        <v/>
      </c>
      <c r="E48" s="12">
        <f>IFERROR(IF(SUMIFS(tblDaily[DeathsUnder24Hrs],tblDaily[EntryDate],DATE(2026,2,3),tblDaily[WardCode],"FAE")=0,"",SUMIFS(tblDaily[DeathsUnder24Hrs],tblDaily[EntryDate],DATE(2026,2,3),tblDaily[WardCode],"FAE")),"")</f>
        <v/>
      </c>
      <c r="F48" s="12">
        <f>IFERROR(IF(SUMIFS(tblDaily[TransfersIn],tblDaily[EntryDate],DATE(2026,2,3),tblDaily[WardCode],"FAE")=0,"",SUMIFS(tblDaily[TransfersIn],tblDaily[EntryDate],DATE(2026,2,3),tblDaily[WardCode],"FAE")),"")</f>
        <v/>
      </c>
      <c r="G48" s="12">
        <f>IFERROR(IF(SUMIFS(tblDaily[TransfersOut],tblDaily[EntryDate],DATE(2026,2,3),tblDaily[WardCode],"FAE")=0,"",SUMIFS(tblDaily[TransfersOut],tblDaily[EntryDate],DATE(2026,2,3),tblDaily[WardCode],"FAE")),"")</f>
        <v/>
      </c>
      <c r="H48" s="12">
        <f>IFERROR(IF(SUMIFS(tblDaily[Remaining],tblDaily[EntryDate],DATE(2026,2,3),tblDaily[WardCode],"FAE")=0,"",SUMIFS(tblDaily[Remaining],tblDaily[EntryDate],DATE(2026,2,3),tblDaily[WardCode],"FAE")),"")</f>
        <v/>
      </c>
    </row>
    <row r="49">
      <c r="A49" s="12" t="n">
        <v>4</v>
      </c>
      <c r="B49" s="12">
        <f>IFERROR(IF(SUMIFS(tblDaily[Admissions],tblDaily[EntryDate],DATE(2026,2,4),tblDaily[WardCode],"FAE")=0,"",SUMIFS(tblDaily[Admissions],tblDaily[EntryDate],DATE(2026,2,4),tblDaily[WardCode],"FAE")),"")</f>
        <v/>
      </c>
      <c r="C49" s="12">
        <f>IFERROR(IF(SUMIFS(tblDaily[Discharges],tblDaily[EntryDate],DATE(2026,2,4),tblDaily[WardCode],"FAE")=0,"",SUMIFS(tblDaily[Discharges],tblDaily[EntryDate],DATE(2026,2,4),tblDaily[WardCode],"FAE")),"")</f>
        <v/>
      </c>
      <c r="D49" s="12">
        <f>IFERROR(IF(SUMIFS(tblDaily[Deaths],tblDaily[EntryDate],DATE(2026,2,4),tblDaily[WardCode],"FAE")=0,"",SUMIFS(tblDaily[Deaths],tblDaily[EntryDate],DATE(2026,2,4),tblDaily[WardCode],"FAE")),"")</f>
        <v/>
      </c>
      <c r="E49" s="12">
        <f>IFERROR(IF(SUMIFS(tblDaily[DeathsUnder24Hrs],tblDaily[EntryDate],DATE(2026,2,4),tblDaily[WardCode],"FAE")=0,"",SUMIFS(tblDaily[DeathsUnder24Hrs],tblDaily[EntryDate],DATE(2026,2,4),tblDaily[WardCode],"FAE")),"")</f>
        <v/>
      </c>
      <c r="F49" s="12">
        <f>IFERROR(IF(SUMIFS(tblDaily[TransfersIn],tblDaily[EntryDate],DATE(2026,2,4),tblDaily[WardCode],"FAE")=0,"",SUMIFS(tblDaily[TransfersIn],tblDaily[EntryDate],DATE(2026,2,4),tblDaily[WardCode],"FAE")),"")</f>
        <v/>
      </c>
      <c r="G49" s="12">
        <f>IFERROR(IF(SUMIFS(tblDaily[TransfersOut],tblDaily[EntryDate],DATE(2026,2,4),tblDaily[WardCode],"FAE")=0,"",SUMIFS(tblDaily[TransfersOut],tblDaily[EntryDate],DATE(2026,2,4),tblDaily[WardCode],"FAE")),"")</f>
        <v/>
      </c>
      <c r="H49" s="12">
        <f>IFERROR(IF(SUMIFS(tblDaily[Remaining],tblDaily[EntryDate],DATE(2026,2,4),tblDaily[WardCode],"FAE")=0,"",SUMIFS(tblDaily[Remaining],tblDaily[EntryDate],DATE(2026,2,4),tblDaily[WardCode],"FAE")),"")</f>
        <v/>
      </c>
    </row>
    <row r="50">
      <c r="A50" s="12" t="n">
        <v>5</v>
      </c>
      <c r="B50" s="12">
        <f>IFERROR(IF(SUMIFS(tblDaily[Admissions],tblDaily[EntryDate],DATE(2026,2,5),tblDaily[WardCode],"FAE")=0,"",SUMIFS(tblDaily[Admissions],tblDaily[EntryDate],DATE(2026,2,5),tblDaily[WardCode],"FAE")),"")</f>
        <v/>
      </c>
      <c r="C50" s="12">
        <f>IFERROR(IF(SUMIFS(tblDaily[Discharges],tblDaily[EntryDate],DATE(2026,2,5),tblDaily[WardCode],"FAE")=0,"",SUMIFS(tblDaily[Discharges],tblDaily[EntryDate],DATE(2026,2,5),tblDaily[WardCode],"FAE")),"")</f>
        <v/>
      </c>
      <c r="D50" s="12">
        <f>IFERROR(IF(SUMIFS(tblDaily[Deaths],tblDaily[EntryDate],DATE(2026,2,5),tblDaily[WardCode],"FAE")=0,"",SUMIFS(tblDaily[Deaths],tblDaily[EntryDate],DATE(2026,2,5),tblDaily[WardCode],"FAE")),"")</f>
        <v/>
      </c>
      <c r="E50" s="12">
        <f>IFERROR(IF(SUMIFS(tblDaily[DeathsUnder24Hrs],tblDaily[EntryDate],DATE(2026,2,5),tblDaily[WardCode],"FAE")=0,"",SUMIFS(tblDaily[DeathsUnder24Hrs],tblDaily[EntryDate],DATE(2026,2,5),tblDaily[WardCode],"FAE")),"")</f>
        <v/>
      </c>
      <c r="F50" s="12">
        <f>IFERROR(IF(SUMIFS(tblDaily[TransfersIn],tblDaily[EntryDate],DATE(2026,2,5),tblDaily[WardCode],"FAE")=0,"",SUMIFS(tblDaily[TransfersIn],tblDaily[EntryDate],DATE(2026,2,5),tblDaily[WardCode],"FAE")),"")</f>
        <v/>
      </c>
      <c r="G50" s="12">
        <f>IFERROR(IF(SUMIFS(tblDaily[TransfersOut],tblDaily[EntryDate],DATE(2026,2,5),tblDaily[WardCode],"FAE")=0,"",SUMIFS(tblDaily[TransfersOut],tblDaily[EntryDate],DATE(2026,2,5),tblDaily[WardCode],"FAE")),"")</f>
        <v/>
      </c>
      <c r="H50" s="12">
        <f>IFERROR(IF(SUMIFS(tblDaily[Remaining],tblDaily[EntryDate],DATE(2026,2,5),tblDaily[WardCode],"FAE")=0,"",SUMIFS(tblDaily[Remaining],tblDaily[EntryDate],DATE(2026,2,5),tblDaily[WardCode],"FAE")),"")</f>
        <v/>
      </c>
    </row>
    <row r="51">
      <c r="A51" s="12" t="n">
        <v>6</v>
      </c>
      <c r="B51" s="12">
        <f>IFERROR(IF(SUMIFS(tblDaily[Admissions],tblDaily[EntryDate],DATE(2026,2,6),tblDaily[WardCode],"FAE")=0,"",SUMIFS(tblDaily[Admissions],tblDaily[EntryDate],DATE(2026,2,6),tblDaily[WardCode],"FAE")),"")</f>
        <v/>
      </c>
      <c r="C51" s="12">
        <f>IFERROR(IF(SUMIFS(tblDaily[Discharges],tblDaily[EntryDate],DATE(2026,2,6),tblDaily[WardCode],"FAE")=0,"",SUMIFS(tblDaily[Discharges],tblDaily[EntryDate],DATE(2026,2,6),tblDaily[WardCode],"FAE")),"")</f>
        <v/>
      </c>
      <c r="D51" s="12">
        <f>IFERROR(IF(SUMIFS(tblDaily[Deaths],tblDaily[EntryDate],DATE(2026,2,6),tblDaily[WardCode],"FAE")=0,"",SUMIFS(tblDaily[Deaths],tblDaily[EntryDate],DATE(2026,2,6),tblDaily[WardCode],"FAE")),"")</f>
        <v/>
      </c>
      <c r="E51" s="12">
        <f>IFERROR(IF(SUMIFS(tblDaily[DeathsUnder24Hrs],tblDaily[EntryDate],DATE(2026,2,6),tblDaily[WardCode],"FAE")=0,"",SUMIFS(tblDaily[DeathsUnder24Hrs],tblDaily[EntryDate],DATE(2026,2,6),tblDaily[WardCode],"FAE")),"")</f>
        <v/>
      </c>
      <c r="F51" s="12">
        <f>IFERROR(IF(SUMIFS(tblDaily[TransfersIn],tblDaily[EntryDate],DATE(2026,2,6),tblDaily[WardCode],"FAE")=0,"",SUMIFS(tblDaily[TransfersIn],tblDaily[EntryDate],DATE(2026,2,6),tblDaily[WardCode],"FAE")),"")</f>
        <v/>
      </c>
      <c r="G51" s="12">
        <f>IFERROR(IF(SUMIFS(tblDaily[TransfersOut],tblDaily[EntryDate],DATE(2026,2,6),tblDaily[WardCode],"FAE")=0,"",SUMIFS(tblDaily[TransfersOut],tblDaily[EntryDate],DATE(2026,2,6),tblDaily[WardCode],"FAE")),"")</f>
        <v/>
      </c>
      <c r="H51" s="12">
        <f>IFERROR(IF(SUMIFS(tblDaily[Remaining],tblDaily[EntryDate],DATE(2026,2,6),tblDaily[WardCode],"FAE")=0,"",SUMIFS(tblDaily[Remaining],tblDaily[EntryDate],DATE(2026,2,6),tblDaily[WardCode],"FAE")),"")</f>
        <v/>
      </c>
    </row>
    <row r="52">
      <c r="A52" s="12" t="n">
        <v>7</v>
      </c>
      <c r="B52" s="12">
        <f>IFERROR(IF(SUMIFS(tblDaily[Admissions],tblDaily[EntryDate],DATE(2026,2,7),tblDaily[WardCode],"FAE")=0,"",SUMIFS(tblDaily[Admissions],tblDaily[EntryDate],DATE(2026,2,7),tblDaily[WardCode],"FAE")),"")</f>
        <v/>
      </c>
      <c r="C52" s="12">
        <f>IFERROR(IF(SUMIFS(tblDaily[Discharges],tblDaily[EntryDate],DATE(2026,2,7),tblDaily[WardCode],"FAE")=0,"",SUMIFS(tblDaily[Discharges],tblDaily[EntryDate],DATE(2026,2,7),tblDaily[WardCode],"FAE")),"")</f>
        <v/>
      </c>
      <c r="D52" s="12">
        <f>IFERROR(IF(SUMIFS(tblDaily[Deaths],tblDaily[EntryDate],DATE(2026,2,7),tblDaily[WardCode],"FAE")=0,"",SUMIFS(tblDaily[Deaths],tblDaily[EntryDate],DATE(2026,2,7),tblDaily[WardCode],"FAE")),"")</f>
        <v/>
      </c>
      <c r="E52" s="12">
        <f>IFERROR(IF(SUMIFS(tblDaily[DeathsUnder24Hrs],tblDaily[EntryDate],DATE(2026,2,7),tblDaily[WardCode],"FAE")=0,"",SUMIFS(tblDaily[DeathsUnder24Hrs],tblDaily[EntryDate],DATE(2026,2,7),tblDaily[WardCode],"FAE")),"")</f>
        <v/>
      </c>
      <c r="F52" s="12">
        <f>IFERROR(IF(SUMIFS(tblDaily[TransfersIn],tblDaily[EntryDate],DATE(2026,2,7),tblDaily[WardCode],"FAE")=0,"",SUMIFS(tblDaily[TransfersIn],tblDaily[EntryDate],DATE(2026,2,7),tblDaily[WardCode],"FAE")),"")</f>
        <v/>
      </c>
      <c r="G52" s="12">
        <f>IFERROR(IF(SUMIFS(tblDaily[TransfersOut],tblDaily[EntryDate],DATE(2026,2,7),tblDaily[WardCode],"FAE")=0,"",SUMIFS(tblDaily[TransfersOut],tblDaily[EntryDate],DATE(2026,2,7),tblDaily[WardCode],"FAE")),"")</f>
        <v/>
      </c>
      <c r="H52" s="12">
        <f>IFERROR(IF(SUMIFS(tblDaily[Remaining],tblDaily[EntryDate],DATE(2026,2,7),tblDaily[WardCode],"FAE")=0,"",SUMIFS(tblDaily[Remaining],tblDaily[EntryDate],DATE(2026,2,7),tblDaily[WardCode],"FAE")),"")</f>
        <v/>
      </c>
    </row>
    <row r="53">
      <c r="A53" s="12" t="n">
        <v>8</v>
      </c>
      <c r="B53" s="12">
        <f>IFERROR(IF(SUMIFS(tblDaily[Admissions],tblDaily[EntryDate],DATE(2026,2,8),tblDaily[WardCode],"FAE")=0,"",SUMIFS(tblDaily[Admissions],tblDaily[EntryDate],DATE(2026,2,8),tblDaily[WardCode],"FAE")),"")</f>
        <v/>
      </c>
      <c r="C53" s="12">
        <f>IFERROR(IF(SUMIFS(tblDaily[Discharges],tblDaily[EntryDate],DATE(2026,2,8),tblDaily[WardCode],"FAE")=0,"",SUMIFS(tblDaily[Discharges],tblDaily[EntryDate],DATE(2026,2,8),tblDaily[WardCode],"FAE")),"")</f>
        <v/>
      </c>
      <c r="D53" s="12">
        <f>IFERROR(IF(SUMIFS(tblDaily[Deaths],tblDaily[EntryDate],DATE(2026,2,8),tblDaily[WardCode],"FAE")=0,"",SUMIFS(tblDaily[Deaths],tblDaily[EntryDate],DATE(2026,2,8),tblDaily[WardCode],"FAE")),"")</f>
        <v/>
      </c>
      <c r="E53" s="12">
        <f>IFERROR(IF(SUMIFS(tblDaily[DeathsUnder24Hrs],tblDaily[EntryDate],DATE(2026,2,8),tblDaily[WardCode],"FAE")=0,"",SUMIFS(tblDaily[DeathsUnder24Hrs],tblDaily[EntryDate],DATE(2026,2,8),tblDaily[WardCode],"FAE")),"")</f>
        <v/>
      </c>
      <c r="F53" s="12">
        <f>IFERROR(IF(SUMIFS(tblDaily[TransfersIn],tblDaily[EntryDate],DATE(2026,2,8),tblDaily[WardCode],"FAE")=0,"",SUMIFS(tblDaily[TransfersIn],tblDaily[EntryDate],DATE(2026,2,8),tblDaily[WardCode],"FAE")),"")</f>
        <v/>
      </c>
      <c r="G53" s="12">
        <f>IFERROR(IF(SUMIFS(tblDaily[TransfersOut],tblDaily[EntryDate],DATE(2026,2,8),tblDaily[WardCode],"FAE")=0,"",SUMIFS(tblDaily[TransfersOut],tblDaily[EntryDate],DATE(2026,2,8),tblDaily[WardCode],"FAE")),"")</f>
        <v/>
      </c>
      <c r="H53" s="12">
        <f>IFERROR(IF(SUMIFS(tblDaily[Remaining],tblDaily[EntryDate],DATE(2026,2,8),tblDaily[WardCode],"FAE")=0,"",SUMIFS(tblDaily[Remaining],tblDaily[EntryDate],DATE(2026,2,8),tblDaily[WardCode],"FAE")),"")</f>
        <v/>
      </c>
    </row>
    <row r="54">
      <c r="A54" s="12" t="n">
        <v>9</v>
      </c>
      <c r="B54" s="12">
        <f>IFERROR(IF(SUMIFS(tblDaily[Admissions],tblDaily[EntryDate],DATE(2026,2,9),tblDaily[WardCode],"FAE")=0,"",SUMIFS(tblDaily[Admissions],tblDaily[EntryDate],DATE(2026,2,9),tblDaily[WardCode],"FAE")),"")</f>
        <v/>
      </c>
      <c r="C54" s="12">
        <f>IFERROR(IF(SUMIFS(tblDaily[Discharges],tblDaily[EntryDate],DATE(2026,2,9),tblDaily[WardCode],"FAE")=0,"",SUMIFS(tblDaily[Discharges],tblDaily[EntryDate],DATE(2026,2,9),tblDaily[WardCode],"FAE")),"")</f>
        <v/>
      </c>
      <c r="D54" s="12">
        <f>IFERROR(IF(SUMIFS(tblDaily[Deaths],tblDaily[EntryDate],DATE(2026,2,9),tblDaily[WardCode],"FAE")=0,"",SUMIFS(tblDaily[Deaths],tblDaily[EntryDate],DATE(2026,2,9),tblDaily[WardCode],"FAE")),"")</f>
        <v/>
      </c>
      <c r="E54" s="12">
        <f>IFERROR(IF(SUMIFS(tblDaily[DeathsUnder24Hrs],tblDaily[EntryDate],DATE(2026,2,9),tblDaily[WardCode],"FAE")=0,"",SUMIFS(tblDaily[DeathsUnder24Hrs],tblDaily[EntryDate],DATE(2026,2,9),tblDaily[WardCode],"FAE")),"")</f>
        <v/>
      </c>
      <c r="F54" s="12">
        <f>IFERROR(IF(SUMIFS(tblDaily[TransfersIn],tblDaily[EntryDate],DATE(2026,2,9),tblDaily[WardCode],"FAE")=0,"",SUMIFS(tblDaily[TransfersIn],tblDaily[EntryDate],DATE(2026,2,9),tblDaily[WardCode],"FAE")),"")</f>
        <v/>
      </c>
      <c r="G54" s="12">
        <f>IFERROR(IF(SUMIFS(tblDaily[TransfersOut],tblDaily[EntryDate],DATE(2026,2,9),tblDaily[WardCode],"FAE")=0,"",SUMIFS(tblDaily[TransfersOut],tblDaily[EntryDate],DATE(2026,2,9),tblDaily[WardCode],"FAE")),"")</f>
        <v/>
      </c>
      <c r="H54" s="12">
        <f>IFERROR(IF(SUMIFS(tblDaily[Remaining],tblDaily[EntryDate],DATE(2026,2,9),tblDaily[WardCode],"FAE")=0,"",SUMIFS(tblDaily[Remaining],tblDaily[EntryDate],DATE(2026,2,9),tblDaily[WardCode],"FAE")),"")</f>
        <v/>
      </c>
    </row>
    <row r="55">
      <c r="A55" s="12" t="n">
        <v>10</v>
      </c>
      <c r="B55" s="12">
        <f>IFERROR(IF(SUMIFS(tblDaily[Admissions],tblDaily[EntryDate],DATE(2026,2,10),tblDaily[WardCode],"FAE")=0,"",SUMIFS(tblDaily[Admissions],tblDaily[EntryDate],DATE(2026,2,10),tblDaily[WardCode],"FAE")),"")</f>
        <v/>
      </c>
      <c r="C55" s="12">
        <f>IFERROR(IF(SUMIFS(tblDaily[Discharges],tblDaily[EntryDate],DATE(2026,2,10),tblDaily[WardCode],"FAE")=0,"",SUMIFS(tblDaily[Discharges],tblDaily[EntryDate],DATE(2026,2,10),tblDaily[WardCode],"FAE")),"")</f>
        <v/>
      </c>
      <c r="D55" s="12">
        <f>IFERROR(IF(SUMIFS(tblDaily[Deaths],tblDaily[EntryDate],DATE(2026,2,10),tblDaily[WardCode],"FAE")=0,"",SUMIFS(tblDaily[Deaths],tblDaily[EntryDate],DATE(2026,2,10),tblDaily[WardCode],"FAE")),"")</f>
        <v/>
      </c>
      <c r="E55" s="12">
        <f>IFERROR(IF(SUMIFS(tblDaily[DeathsUnder24Hrs],tblDaily[EntryDate],DATE(2026,2,10),tblDaily[WardCode],"FAE")=0,"",SUMIFS(tblDaily[DeathsUnder24Hrs],tblDaily[EntryDate],DATE(2026,2,10),tblDaily[WardCode],"FAE")),"")</f>
        <v/>
      </c>
      <c r="F55" s="12">
        <f>IFERROR(IF(SUMIFS(tblDaily[TransfersIn],tblDaily[EntryDate],DATE(2026,2,10),tblDaily[WardCode],"FAE")=0,"",SUMIFS(tblDaily[TransfersIn],tblDaily[EntryDate],DATE(2026,2,10),tblDaily[WardCode],"FAE")),"")</f>
        <v/>
      </c>
      <c r="G55" s="12">
        <f>IFERROR(IF(SUMIFS(tblDaily[TransfersOut],tblDaily[EntryDate],DATE(2026,2,10),tblDaily[WardCode],"FAE")=0,"",SUMIFS(tblDaily[TransfersOut],tblDaily[EntryDate],DATE(2026,2,10),tblDaily[WardCode],"FAE")),"")</f>
        <v/>
      </c>
      <c r="H55" s="12">
        <f>IFERROR(IF(SUMIFS(tblDaily[Remaining],tblDaily[EntryDate],DATE(2026,2,10),tblDaily[WardCode],"FAE")=0,"",SUMIFS(tblDaily[Remaining],tblDaily[EntryDate],DATE(2026,2,10),tblDaily[WardCode],"FAE")),"")</f>
        <v/>
      </c>
    </row>
    <row r="56">
      <c r="A56" s="12" t="n">
        <v>11</v>
      </c>
      <c r="B56" s="12">
        <f>IFERROR(IF(SUMIFS(tblDaily[Admissions],tblDaily[EntryDate],DATE(2026,2,11),tblDaily[WardCode],"FAE")=0,"",SUMIFS(tblDaily[Admissions],tblDaily[EntryDate],DATE(2026,2,11),tblDaily[WardCode],"FAE")),"")</f>
        <v/>
      </c>
      <c r="C56" s="12">
        <f>IFERROR(IF(SUMIFS(tblDaily[Discharges],tblDaily[EntryDate],DATE(2026,2,11),tblDaily[WardCode],"FAE")=0,"",SUMIFS(tblDaily[Discharges],tblDaily[EntryDate],DATE(2026,2,11),tblDaily[WardCode],"FAE")),"")</f>
        <v/>
      </c>
      <c r="D56" s="12">
        <f>IFERROR(IF(SUMIFS(tblDaily[Deaths],tblDaily[EntryDate],DATE(2026,2,11),tblDaily[WardCode],"FAE")=0,"",SUMIFS(tblDaily[Deaths],tblDaily[EntryDate],DATE(2026,2,11),tblDaily[WardCode],"FAE")),"")</f>
        <v/>
      </c>
      <c r="E56" s="12">
        <f>IFERROR(IF(SUMIFS(tblDaily[DeathsUnder24Hrs],tblDaily[EntryDate],DATE(2026,2,11),tblDaily[WardCode],"FAE")=0,"",SUMIFS(tblDaily[DeathsUnder24Hrs],tblDaily[EntryDate],DATE(2026,2,11),tblDaily[WardCode],"FAE")),"")</f>
        <v/>
      </c>
      <c r="F56" s="12">
        <f>IFERROR(IF(SUMIFS(tblDaily[TransfersIn],tblDaily[EntryDate],DATE(2026,2,11),tblDaily[WardCode],"FAE")=0,"",SUMIFS(tblDaily[TransfersIn],tblDaily[EntryDate],DATE(2026,2,11),tblDaily[WardCode],"FAE")),"")</f>
        <v/>
      </c>
      <c r="G56" s="12">
        <f>IFERROR(IF(SUMIFS(tblDaily[TransfersOut],tblDaily[EntryDate],DATE(2026,2,11),tblDaily[WardCode],"FAE")=0,"",SUMIFS(tblDaily[TransfersOut],tblDaily[EntryDate],DATE(2026,2,11),tblDaily[WardCode],"FAE")),"")</f>
        <v/>
      </c>
      <c r="H56" s="12">
        <f>IFERROR(IF(SUMIFS(tblDaily[Remaining],tblDaily[EntryDate],DATE(2026,2,11),tblDaily[WardCode],"FAE")=0,"",SUMIFS(tblDaily[Remaining],tblDaily[EntryDate],DATE(2026,2,11),tblDaily[WardCode],"FAE")),"")</f>
        <v/>
      </c>
    </row>
    <row r="57">
      <c r="A57" s="12" t="n">
        <v>12</v>
      </c>
      <c r="B57" s="12">
        <f>IFERROR(IF(SUMIFS(tblDaily[Admissions],tblDaily[EntryDate],DATE(2026,2,12),tblDaily[WardCode],"FAE")=0,"",SUMIFS(tblDaily[Admissions],tblDaily[EntryDate],DATE(2026,2,12),tblDaily[WardCode],"FAE")),"")</f>
        <v/>
      </c>
      <c r="C57" s="12">
        <f>IFERROR(IF(SUMIFS(tblDaily[Discharges],tblDaily[EntryDate],DATE(2026,2,12),tblDaily[WardCode],"FAE")=0,"",SUMIFS(tblDaily[Discharges],tblDaily[EntryDate],DATE(2026,2,12),tblDaily[WardCode],"FAE")),"")</f>
        <v/>
      </c>
      <c r="D57" s="12">
        <f>IFERROR(IF(SUMIFS(tblDaily[Deaths],tblDaily[EntryDate],DATE(2026,2,12),tblDaily[WardCode],"FAE")=0,"",SUMIFS(tblDaily[Deaths],tblDaily[EntryDate],DATE(2026,2,12),tblDaily[WardCode],"FAE")),"")</f>
        <v/>
      </c>
      <c r="E57" s="12">
        <f>IFERROR(IF(SUMIFS(tblDaily[DeathsUnder24Hrs],tblDaily[EntryDate],DATE(2026,2,12),tblDaily[WardCode],"FAE")=0,"",SUMIFS(tblDaily[DeathsUnder24Hrs],tblDaily[EntryDate],DATE(2026,2,12),tblDaily[WardCode],"FAE")),"")</f>
        <v/>
      </c>
      <c r="F57" s="12">
        <f>IFERROR(IF(SUMIFS(tblDaily[TransfersIn],tblDaily[EntryDate],DATE(2026,2,12),tblDaily[WardCode],"FAE")=0,"",SUMIFS(tblDaily[TransfersIn],tblDaily[EntryDate],DATE(2026,2,12),tblDaily[WardCode],"FAE")),"")</f>
        <v/>
      </c>
      <c r="G57" s="12">
        <f>IFERROR(IF(SUMIFS(tblDaily[TransfersOut],tblDaily[EntryDate],DATE(2026,2,12),tblDaily[WardCode],"FAE")=0,"",SUMIFS(tblDaily[TransfersOut],tblDaily[EntryDate],DATE(2026,2,12),tblDaily[WardCode],"FAE")),"")</f>
        <v/>
      </c>
      <c r="H57" s="12">
        <f>IFERROR(IF(SUMIFS(tblDaily[Remaining],tblDaily[EntryDate],DATE(2026,2,12),tblDaily[WardCode],"FAE")=0,"",SUMIFS(tblDaily[Remaining],tblDaily[EntryDate],DATE(2026,2,12),tblDaily[WardCode],"FAE")),"")</f>
        <v/>
      </c>
    </row>
    <row r="58">
      <c r="A58" s="12" t="n">
        <v>13</v>
      </c>
      <c r="B58" s="12">
        <f>IFERROR(IF(SUMIFS(tblDaily[Admissions],tblDaily[EntryDate],DATE(2026,2,13),tblDaily[WardCode],"FAE")=0,"",SUMIFS(tblDaily[Admissions],tblDaily[EntryDate],DATE(2026,2,13),tblDaily[WardCode],"FAE")),"")</f>
        <v/>
      </c>
      <c r="C58" s="12">
        <f>IFERROR(IF(SUMIFS(tblDaily[Discharges],tblDaily[EntryDate],DATE(2026,2,13),tblDaily[WardCode],"FAE")=0,"",SUMIFS(tblDaily[Discharges],tblDaily[EntryDate],DATE(2026,2,13),tblDaily[WardCode],"FAE")),"")</f>
        <v/>
      </c>
      <c r="D58" s="12">
        <f>IFERROR(IF(SUMIFS(tblDaily[Deaths],tblDaily[EntryDate],DATE(2026,2,13),tblDaily[WardCode],"FAE")=0,"",SUMIFS(tblDaily[Deaths],tblDaily[EntryDate],DATE(2026,2,13),tblDaily[WardCode],"FAE")),"")</f>
        <v/>
      </c>
      <c r="E58" s="12">
        <f>IFERROR(IF(SUMIFS(tblDaily[DeathsUnder24Hrs],tblDaily[EntryDate],DATE(2026,2,13),tblDaily[WardCode],"FAE")=0,"",SUMIFS(tblDaily[DeathsUnder24Hrs],tblDaily[EntryDate],DATE(2026,2,13),tblDaily[WardCode],"FAE")),"")</f>
        <v/>
      </c>
      <c r="F58" s="12">
        <f>IFERROR(IF(SUMIFS(tblDaily[TransfersIn],tblDaily[EntryDate],DATE(2026,2,13),tblDaily[WardCode],"FAE")=0,"",SUMIFS(tblDaily[TransfersIn],tblDaily[EntryDate],DATE(2026,2,13),tblDaily[WardCode],"FAE")),"")</f>
        <v/>
      </c>
      <c r="G58" s="12">
        <f>IFERROR(IF(SUMIFS(tblDaily[TransfersOut],tblDaily[EntryDate],DATE(2026,2,13),tblDaily[WardCode],"FAE")=0,"",SUMIFS(tblDaily[TransfersOut],tblDaily[EntryDate],DATE(2026,2,13),tblDaily[WardCode],"FAE")),"")</f>
        <v/>
      </c>
      <c r="H58" s="12">
        <f>IFERROR(IF(SUMIFS(tblDaily[Remaining],tblDaily[EntryDate],DATE(2026,2,13),tblDaily[WardCode],"FAE")=0,"",SUMIFS(tblDaily[Remaining],tblDaily[EntryDate],DATE(2026,2,13),tblDaily[WardCode],"FAE")),"")</f>
        <v/>
      </c>
    </row>
    <row r="59">
      <c r="A59" s="12" t="n">
        <v>14</v>
      </c>
      <c r="B59" s="12">
        <f>IFERROR(IF(SUMIFS(tblDaily[Admissions],tblDaily[EntryDate],DATE(2026,2,14),tblDaily[WardCode],"FAE")=0,"",SUMIFS(tblDaily[Admissions],tblDaily[EntryDate],DATE(2026,2,14),tblDaily[WardCode],"FAE")),"")</f>
        <v/>
      </c>
      <c r="C59" s="12">
        <f>IFERROR(IF(SUMIFS(tblDaily[Discharges],tblDaily[EntryDate],DATE(2026,2,14),tblDaily[WardCode],"FAE")=0,"",SUMIFS(tblDaily[Discharges],tblDaily[EntryDate],DATE(2026,2,14),tblDaily[WardCode],"FAE")),"")</f>
        <v/>
      </c>
      <c r="D59" s="12">
        <f>IFERROR(IF(SUMIFS(tblDaily[Deaths],tblDaily[EntryDate],DATE(2026,2,14),tblDaily[WardCode],"FAE")=0,"",SUMIFS(tblDaily[Deaths],tblDaily[EntryDate],DATE(2026,2,14),tblDaily[WardCode],"FAE")),"")</f>
        <v/>
      </c>
      <c r="E59" s="12">
        <f>IFERROR(IF(SUMIFS(tblDaily[DeathsUnder24Hrs],tblDaily[EntryDate],DATE(2026,2,14),tblDaily[WardCode],"FAE")=0,"",SUMIFS(tblDaily[DeathsUnder24Hrs],tblDaily[EntryDate],DATE(2026,2,14),tblDaily[WardCode],"FAE")),"")</f>
        <v/>
      </c>
      <c r="F59" s="12">
        <f>IFERROR(IF(SUMIFS(tblDaily[TransfersIn],tblDaily[EntryDate],DATE(2026,2,14),tblDaily[WardCode],"FAE")=0,"",SUMIFS(tblDaily[TransfersIn],tblDaily[EntryDate],DATE(2026,2,14),tblDaily[WardCode],"FAE")),"")</f>
        <v/>
      </c>
      <c r="G59" s="12">
        <f>IFERROR(IF(SUMIFS(tblDaily[TransfersOut],tblDaily[EntryDate],DATE(2026,2,14),tblDaily[WardCode],"FAE")=0,"",SUMIFS(tblDaily[TransfersOut],tblDaily[EntryDate],DATE(2026,2,14),tblDaily[WardCode],"FAE")),"")</f>
        <v/>
      </c>
      <c r="H59" s="12">
        <f>IFERROR(IF(SUMIFS(tblDaily[Remaining],tblDaily[EntryDate],DATE(2026,2,14),tblDaily[WardCode],"FAE")=0,"",SUMIFS(tblDaily[Remaining],tblDaily[EntryDate],DATE(2026,2,14),tblDaily[WardCode],"FAE")),"")</f>
        <v/>
      </c>
    </row>
    <row r="60">
      <c r="A60" s="12" t="n">
        <v>15</v>
      </c>
      <c r="B60" s="12">
        <f>IFERROR(IF(SUMIFS(tblDaily[Admissions],tblDaily[EntryDate],DATE(2026,2,15),tblDaily[WardCode],"FAE")=0,"",SUMIFS(tblDaily[Admissions],tblDaily[EntryDate],DATE(2026,2,15),tblDaily[WardCode],"FAE")),"")</f>
        <v/>
      </c>
      <c r="C60" s="12">
        <f>IFERROR(IF(SUMIFS(tblDaily[Discharges],tblDaily[EntryDate],DATE(2026,2,15),tblDaily[WardCode],"FAE")=0,"",SUMIFS(tblDaily[Discharges],tblDaily[EntryDate],DATE(2026,2,15),tblDaily[WardCode],"FAE")),"")</f>
        <v/>
      </c>
      <c r="D60" s="12">
        <f>IFERROR(IF(SUMIFS(tblDaily[Deaths],tblDaily[EntryDate],DATE(2026,2,15),tblDaily[WardCode],"FAE")=0,"",SUMIFS(tblDaily[Deaths],tblDaily[EntryDate],DATE(2026,2,15),tblDaily[WardCode],"FAE")),"")</f>
        <v/>
      </c>
      <c r="E60" s="12">
        <f>IFERROR(IF(SUMIFS(tblDaily[DeathsUnder24Hrs],tblDaily[EntryDate],DATE(2026,2,15),tblDaily[WardCode],"FAE")=0,"",SUMIFS(tblDaily[DeathsUnder24Hrs],tblDaily[EntryDate],DATE(2026,2,15),tblDaily[WardCode],"FAE")),"")</f>
        <v/>
      </c>
      <c r="F60" s="12">
        <f>IFERROR(IF(SUMIFS(tblDaily[TransfersIn],tblDaily[EntryDate],DATE(2026,2,15),tblDaily[WardCode],"FAE")=0,"",SUMIFS(tblDaily[TransfersIn],tblDaily[EntryDate],DATE(2026,2,15),tblDaily[WardCode],"FAE")),"")</f>
        <v/>
      </c>
      <c r="G60" s="12">
        <f>IFERROR(IF(SUMIFS(tblDaily[TransfersOut],tblDaily[EntryDate],DATE(2026,2,15),tblDaily[WardCode],"FAE")=0,"",SUMIFS(tblDaily[TransfersOut],tblDaily[EntryDate],DATE(2026,2,15),tblDaily[WardCode],"FAE")),"")</f>
        <v/>
      </c>
      <c r="H60" s="12">
        <f>IFERROR(IF(SUMIFS(tblDaily[Remaining],tblDaily[EntryDate],DATE(2026,2,15),tblDaily[WardCode],"FAE")=0,"",SUMIFS(tblDaily[Remaining],tblDaily[EntryDate],DATE(2026,2,15),tblDaily[WardCode],"FAE")),"")</f>
        <v/>
      </c>
    </row>
    <row r="61">
      <c r="A61" s="12" t="n">
        <v>16</v>
      </c>
      <c r="B61" s="12">
        <f>IFERROR(IF(SUMIFS(tblDaily[Admissions],tblDaily[EntryDate],DATE(2026,2,16),tblDaily[WardCode],"FAE")=0,"",SUMIFS(tblDaily[Admissions],tblDaily[EntryDate],DATE(2026,2,16),tblDaily[WardCode],"FAE")),"")</f>
        <v/>
      </c>
      <c r="C61" s="12">
        <f>IFERROR(IF(SUMIFS(tblDaily[Discharges],tblDaily[EntryDate],DATE(2026,2,16),tblDaily[WardCode],"FAE")=0,"",SUMIFS(tblDaily[Discharges],tblDaily[EntryDate],DATE(2026,2,16),tblDaily[WardCode],"FAE")),"")</f>
        <v/>
      </c>
      <c r="D61" s="12">
        <f>IFERROR(IF(SUMIFS(tblDaily[Deaths],tblDaily[EntryDate],DATE(2026,2,16),tblDaily[WardCode],"FAE")=0,"",SUMIFS(tblDaily[Deaths],tblDaily[EntryDate],DATE(2026,2,16),tblDaily[WardCode],"FAE")),"")</f>
        <v/>
      </c>
      <c r="E61" s="12">
        <f>IFERROR(IF(SUMIFS(tblDaily[DeathsUnder24Hrs],tblDaily[EntryDate],DATE(2026,2,16),tblDaily[WardCode],"FAE")=0,"",SUMIFS(tblDaily[DeathsUnder24Hrs],tblDaily[EntryDate],DATE(2026,2,16),tblDaily[WardCode],"FAE")),"")</f>
        <v/>
      </c>
      <c r="F61" s="12">
        <f>IFERROR(IF(SUMIFS(tblDaily[TransfersIn],tblDaily[EntryDate],DATE(2026,2,16),tblDaily[WardCode],"FAE")=0,"",SUMIFS(tblDaily[TransfersIn],tblDaily[EntryDate],DATE(2026,2,16),tblDaily[WardCode],"FAE")),"")</f>
        <v/>
      </c>
      <c r="G61" s="12">
        <f>IFERROR(IF(SUMIFS(tblDaily[TransfersOut],tblDaily[EntryDate],DATE(2026,2,16),tblDaily[WardCode],"FAE")=0,"",SUMIFS(tblDaily[TransfersOut],tblDaily[EntryDate],DATE(2026,2,16),tblDaily[WardCode],"FAE")),"")</f>
        <v/>
      </c>
      <c r="H61" s="12">
        <f>IFERROR(IF(SUMIFS(tblDaily[Remaining],tblDaily[EntryDate],DATE(2026,2,16),tblDaily[WardCode],"FAE")=0,"",SUMIFS(tblDaily[Remaining],tblDaily[EntryDate],DATE(2026,2,16),tblDaily[WardCode],"FAE")),"")</f>
        <v/>
      </c>
    </row>
    <row r="62">
      <c r="A62" s="12" t="n">
        <v>17</v>
      </c>
      <c r="B62" s="12">
        <f>IFERROR(IF(SUMIFS(tblDaily[Admissions],tblDaily[EntryDate],DATE(2026,2,17),tblDaily[WardCode],"FAE")=0,"",SUMIFS(tblDaily[Admissions],tblDaily[EntryDate],DATE(2026,2,17),tblDaily[WardCode],"FAE")),"")</f>
        <v/>
      </c>
      <c r="C62" s="12">
        <f>IFERROR(IF(SUMIFS(tblDaily[Discharges],tblDaily[EntryDate],DATE(2026,2,17),tblDaily[WardCode],"FAE")=0,"",SUMIFS(tblDaily[Discharges],tblDaily[EntryDate],DATE(2026,2,17),tblDaily[WardCode],"FAE")),"")</f>
        <v/>
      </c>
      <c r="D62" s="12">
        <f>IFERROR(IF(SUMIFS(tblDaily[Deaths],tblDaily[EntryDate],DATE(2026,2,17),tblDaily[WardCode],"FAE")=0,"",SUMIFS(tblDaily[Deaths],tblDaily[EntryDate],DATE(2026,2,17),tblDaily[WardCode],"FAE")),"")</f>
        <v/>
      </c>
      <c r="E62" s="12">
        <f>IFERROR(IF(SUMIFS(tblDaily[DeathsUnder24Hrs],tblDaily[EntryDate],DATE(2026,2,17),tblDaily[WardCode],"FAE")=0,"",SUMIFS(tblDaily[DeathsUnder24Hrs],tblDaily[EntryDate],DATE(2026,2,17),tblDaily[WardCode],"FAE")),"")</f>
        <v/>
      </c>
      <c r="F62" s="12">
        <f>IFERROR(IF(SUMIFS(tblDaily[TransfersIn],tblDaily[EntryDate],DATE(2026,2,17),tblDaily[WardCode],"FAE")=0,"",SUMIFS(tblDaily[TransfersIn],tblDaily[EntryDate],DATE(2026,2,17),tblDaily[WardCode],"FAE")),"")</f>
        <v/>
      </c>
      <c r="G62" s="12">
        <f>IFERROR(IF(SUMIFS(tblDaily[TransfersOut],tblDaily[EntryDate],DATE(2026,2,17),tblDaily[WardCode],"FAE")=0,"",SUMIFS(tblDaily[TransfersOut],tblDaily[EntryDate],DATE(2026,2,17),tblDaily[WardCode],"FAE")),"")</f>
        <v/>
      </c>
      <c r="H62" s="12">
        <f>IFERROR(IF(SUMIFS(tblDaily[Remaining],tblDaily[EntryDate],DATE(2026,2,17),tblDaily[WardCode],"FAE")=0,"",SUMIFS(tblDaily[Remaining],tblDaily[EntryDate],DATE(2026,2,17),tblDaily[WardCode],"FAE")),"")</f>
        <v/>
      </c>
    </row>
    <row r="63">
      <c r="A63" s="12" t="n">
        <v>18</v>
      </c>
      <c r="B63" s="12">
        <f>IFERROR(IF(SUMIFS(tblDaily[Admissions],tblDaily[EntryDate],DATE(2026,2,18),tblDaily[WardCode],"FAE")=0,"",SUMIFS(tblDaily[Admissions],tblDaily[EntryDate],DATE(2026,2,18),tblDaily[WardCode],"FAE")),"")</f>
        <v/>
      </c>
      <c r="C63" s="12">
        <f>IFERROR(IF(SUMIFS(tblDaily[Discharges],tblDaily[EntryDate],DATE(2026,2,18),tblDaily[WardCode],"FAE")=0,"",SUMIFS(tblDaily[Discharges],tblDaily[EntryDate],DATE(2026,2,18),tblDaily[WardCode],"FAE")),"")</f>
        <v/>
      </c>
      <c r="D63" s="12">
        <f>IFERROR(IF(SUMIFS(tblDaily[Deaths],tblDaily[EntryDate],DATE(2026,2,18),tblDaily[WardCode],"FAE")=0,"",SUMIFS(tblDaily[Deaths],tblDaily[EntryDate],DATE(2026,2,18),tblDaily[WardCode],"FAE")),"")</f>
        <v/>
      </c>
      <c r="E63" s="12">
        <f>IFERROR(IF(SUMIFS(tblDaily[DeathsUnder24Hrs],tblDaily[EntryDate],DATE(2026,2,18),tblDaily[WardCode],"FAE")=0,"",SUMIFS(tblDaily[DeathsUnder24Hrs],tblDaily[EntryDate],DATE(2026,2,18),tblDaily[WardCode],"FAE")),"")</f>
        <v/>
      </c>
      <c r="F63" s="12">
        <f>IFERROR(IF(SUMIFS(tblDaily[TransfersIn],tblDaily[EntryDate],DATE(2026,2,18),tblDaily[WardCode],"FAE")=0,"",SUMIFS(tblDaily[TransfersIn],tblDaily[EntryDate],DATE(2026,2,18),tblDaily[WardCode],"FAE")),"")</f>
        <v/>
      </c>
      <c r="G63" s="12">
        <f>IFERROR(IF(SUMIFS(tblDaily[TransfersOut],tblDaily[EntryDate],DATE(2026,2,18),tblDaily[WardCode],"FAE")=0,"",SUMIFS(tblDaily[TransfersOut],tblDaily[EntryDate],DATE(2026,2,18),tblDaily[WardCode],"FAE")),"")</f>
        <v/>
      </c>
      <c r="H63" s="12">
        <f>IFERROR(IF(SUMIFS(tblDaily[Remaining],tblDaily[EntryDate],DATE(2026,2,18),tblDaily[WardCode],"FAE")=0,"",SUMIFS(tblDaily[Remaining],tblDaily[EntryDate],DATE(2026,2,18),tblDaily[WardCode],"FAE")),"")</f>
        <v/>
      </c>
    </row>
    <row r="64">
      <c r="A64" s="12" t="n">
        <v>19</v>
      </c>
      <c r="B64" s="12">
        <f>IFERROR(IF(SUMIFS(tblDaily[Admissions],tblDaily[EntryDate],DATE(2026,2,19),tblDaily[WardCode],"FAE")=0,"",SUMIFS(tblDaily[Admissions],tblDaily[EntryDate],DATE(2026,2,19),tblDaily[WardCode],"FAE")),"")</f>
        <v/>
      </c>
      <c r="C64" s="12">
        <f>IFERROR(IF(SUMIFS(tblDaily[Discharges],tblDaily[EntryDate],DATE(2026,2,19),tblDaily[WardCode],"FAE")=0,"",SUMIFS(tblDaily[Discharges],tblDaily[EntryDate],DATE(2026,2,19),tblDaily[WardCode],"FAE")),"")</f>
        <v/>
      </c>
      <c r="D64" s="12">
        <f>IFERROR(IF(SUMIFS(tblDaily[Deaths],tblDaily[EntryDate],DATE(2026,2,19),tblDaily[WardCode],"FAE")=0,"",SUMIFS(tblDaily[Deaths],tblDaily[EntryDate],DATE(2026,2,19),tblDaily[WardCode],"FAE")),"")</f>
        <v/>
      </c>
      <c r="E64" s="12">
        <f>IFERROR(IF(SUMIFS(tblDaily[DeathsUnder24Hrs],tblDaily[EntryDate],DATE(2026,2,19),tblDaily[WardCode],"FAE")=0,"",SUMIFS(tblDaily[DeathsUnder24Hrs],tblDaily[EntryDate],DATE(2026,2,19),tblDaily[WardCode],"FAE")),"")</f>
        <v/>
      </c>
      <c r="F64" s="12">
        <f>IFERROR(IF(SUMIFS(tblDaily[TransfersIn],tblDaily[EntryDate],DATE(2026,2,19),tblDaily[WardCode],"FAE")=0,"",SUMIFS(tblDaily[TransfersIn],tblDaily[EntryDate],DATE(2026,2,19),tblDaily[WardCode],"FAE")),"")</f>
        <v/>
      </c>
      <c r="G64" s="12">
        <f>IFERROR(IF(SUMIFS(tblDaily[TransfersOut],tblDaily[EntryDate],DATE(2026,2,19),tblDaily[WardCode],"FAE")=0,"",SUMIFS(tblDaily[TransfersOut],tblDaily[EntryDate],DATE(2026,2,19),tblDaily[WardCode],"FAE")),"")</f>
        <v/>
      </c>
      <c r="H64" s="12">
        <f>IFERROR(IF(SUMIFS(tblDaily[Remaining],tblDaily[EntryDate],DATE(2026,2,19),tblDaily[WardCode],"FAE")=0,"",SUMIFS(tblDaily[Remaining],tblDaily[EntryDate],DATE(2026,2,19),tblDaily[WardCode],"FAE")),"")</f>
        <v/>
      </c>
    </row>
    <row r="65">
      <c r="A65" s="12" t="n">
        <v>20</v>
      </c>
      <c r="B65" s="12">
        <f>IFERROR(IF(SUMIFS(tblDaily[Admissions],tblDaily[EntryDate],DATE(2026,2,20),tblDaily[WardCode],"FAE")=0,"",SUMIFS(tblDaily[Admissions],tblDaily[EntryDate],DATE(2026,2,20),tblDaily[WardCode],"FAE")),"")</f>
        <v/>
      </c>
      <c r="C65" s="12">
        <f>IFERROR(IF(SUMIFS(tblDaily[Discharges],tblDaily[EntryDate],DATE(2026,2,20),tblDaily[WardCode],"FAE")=0,"",SUMIFS(tblDaily[Discharges],tblDaily[EntryDate],DATE(2026,2,20),tblDaily[WardCode],"FAE")),"")</f>
        <v/>
      </c>
      <c r="D65" s="12">
        <f>IFERROR(IF(SUMIFS(tblDaily[Deaths],tblDaily[EntryDate],DATE(2026,2,20),tblDaily[WardCode],"FAE")=0,"",SUMIFS(tblDaily[Deaths],tblDaily[EntryDate],DATE(2026,2,20),tblDaily[WardCode],"FAE")),"")</f>
        <v/>
      </c>
      <c r="E65" s="12">
        <f>IFERROR(IF(SUMIFS(tblDaily[DeathsUnder24Hrs],tblDaily[EntryDate],DATE(2026,2,20),tblDaily[WardCode],"FAE")=0,"",SUMIFS(tblDaily[DeathsUnder24Hrs],tblDaily[EntryDate],DATE(2026,2,20),tblDaily[WardCode],"FAE")),"")</f>
        <v/>
      </c>
      <c r="F65" s="12">
        <f>IFERROR(IF(SUMIFS(tblDaily[TransfersIn],tblDaily[EntryDate],DATE(2026,2,20),tblDaily[WardCode],"FAE")=0,"",SUMIFS(tblDaily[TransfersIn],tblDaily[EntryDate],DATE(2026,2,20),tblDaily[WardCode],"FAE")),"")</f>
        <v/>
      </c>
      <c r="G65" s="12">
        <f>IFERROR(IF(SUMIFS(tblDaily[TransfersOut],tblDaily[EntryDate],DATE(2026,2,20),tblDaily[WardCode],"FAE")=0,"",SUMIFS(tblDaily[TransfersOut],tblDaily[EntryDate],DATE(2026,2,20),tblDaily[WardCode],"FAE")),"")</f>
        <v/>
      </c>
      <c r="H65" s="12">
        <f>IFERROR(IF(SUMIFS(tblDaily[Remaining],tblDaily[EntryDate],DATE(2026,2,20),tblDaily[WardCode],"FAE")=0,"",SUMIFS(tblDaily[Remaining],tblDaily[EntryDate],DATE(2026,2,20),tblDaily[WardCode],"FAE")),"")</f>
        <v/>
      </c>
    </row>
    <row r="66">
      <c r="A66" s="12" t="n">
        <v>21</v>
      </c>
      <c r="B66" s="12">
        <f>IFERROR(IF(SUMIFS(tblDaily[Admissions],tblDaily[EntryDate],DATE(2026,2,21),tblDaily[WardCode],"FAE")=0,"",SUMIFS(tblDaily[Admissions],tblDaily[EntryDate],DATE(2026,2,21),tblDaily[WardCode],"FAE")),"")</f>
        <v/>
      </c>
      <c r="C66" s="12">
        <f>IFERROR(IF(SUMIFS(tblDaily[Discharges],tblDaily[EntryDate],DATE(2026,2,21),tblDaily[WardCode],"FAE")=0,"",SUMIFS(tblDaily[Discharges],tblDaily[EntryDate],DATE(2026,2,21),tblDaily[WardCode],"FAE")),"")</f>
        <v/>
      </c>
      <c r="D66" s="12">
        <f>IFERROR(IF(SUMIFS(tblDaily[Deaths],tblDaily[EntryDate],DATE(2026,2,21),tblDaily[WardCode],"FAE")=0,"",SUMIFS(tblDaily[Deaths],tblDaily[EntryDate],DATE(2026,2,21),tblDaily[WardCode],"FAE")),"")</f>
        <v/>
      </c>
      <c r="E66" s="12">
        <f>IFERROR(IF(SUMIFS(tblDaily[DeathsUnder24Hrs],tblDaily[EntryDate],DATE(2026,2,21),tblDaily[WardCode],"FAE")=0,"",SUMIFS(tblDaily[DeathsUnder24Hrs],tblDaily[EntryDate],DATE(2026,2,21),tblDaily[WardCode],"FAE")),"")</f>
        <v/>
      </c>
      <c r="F66" s="12">
        <f>IFERROR(IF(SUMIFS(tblDaily[TransfersIn],tblDaily[EntryDate],DATE(2026,2,21),tblDaily[WardCode],"FAE")=0,"",SUMIFS(tblDaily[TransfersIn],tblDaily[EntryDate],DATE(2026,2,21),tblDaily[WardCode],"FAE")),"")</f>
        <v/>
      </c>
      <c r="G66" s="12">
        <f>IFERROR(IF(SUMIFS(tblDaily[TransfersOut],tblDaily[EntryDate],DATE(2026,2,21),tblDaily[WardCode],"FAE")=0,"",SUMIFS(tblDaily[TransfersOut],tblDaily[EntryDate],DATE(2026,2,21),tblDaily[WardCode],"FAE")),"")</f>
        <v/>
      </c>
      <c r="H66" s="12">
        <f>IFERROR(IF(SUMIFS(tblDaily[Remaining],tblDaily[EntryDate],DATE(2026,2,21),tblDaily[WardCode],"FAE")=0,"",SUMIFS(tblDaily[Remaining],tblDaily[EntryDate],DATE(2026,2,21),tblDaily[WardCode],"FAE")),"")</f>
        <v/>
      </c>
    </row>
    <row r="67">
      <c r="A67" s="12" t="n">
        <v>22</v>
      </c>
      <c r="B67" s="12">
        <f>IFERROR(IF(SUMIFS(tblDaily[Admissions],tblDaily[EntryDate],DATE(2026,2,22),tblDaily[WardCode],"FAE")=0,"",SUMIFS(tblDaily[Admissions],tblDaily[EntryDate],DATE(2026,2,22),tblDaily[WardCode],"FAE")),"")</f>
        <v/>
      </c>
      <c r="C67" s="12">
        <f>IFERROR(IF(SUMIFS(tblDaily[Discharges],tblDaily[EntryDate],DATE(2026,2,22),tblDaily[WardCode],"FAE")=0,"",SUMIFS(tblDaily[Discharges],tblDaily[EntryDate],DATE(2026,2,22),tblDaily[WardCode],"FAE")),"")</f>
        <v/>
      </c>
      <c r="D67" s="12">
        <f>IFERROR(IF(SUMIFS(tblDaily[Deaths],tblDaily[EntryDate],DATE(2026,2,22),tblDaily[WardCode],"FAE")=0,"",SUMIFS(tblDaily[Deaths],tblDaily[EntryDate],DATE(2026,2,22),tblDaily[WardCode],"FAE")),"")</f>
        <v/>
      </c>
      <c r="E67" s="12">
        <f>IFERROR(IF(SUMIFS(tblDaily[DeathsUnder24Hrs],tblDaily[EntryDate],DATE(2026,2,22),tblDaily[WardCode],"FAE")=0,"",SUMIFS(tblDaily[DeathsUnder24Hrs],tblDaily[EntryDate],DATE(2026,2,22),tblDaily[WardCode],"FAE")),"")</f>
        <v/>
      </c>
      <c r="F67" s="12">
        <f>IFERROR(IF(SUMIFS(tblDaily[TransfersIn],tblDaily[EntryDate],DATE(2026,2,22),tblDaily[WardCode],"FAE")=0,"",SUMIFS(tblDaily[TransfersIn],tblDaily[EntryDate],DATE(2026,2,22),tblDaily[WardCode],"FAE")),"")</f>
        <v/>
      </c>
      <c r="G67" s="12">
        <f>IFERROR(IF(SUMIFS(tblDaily[TransfersOut],tblDaily[EntryDate],DATE(2026,2,22),tblDaily[WardCode],"FAE")=0,"",SUMIFS(tblDaily[TransfersOut],tblDaily[EntryDate],DATE(2026,2,22),tblDaily[WardCode],"FAE")),"")</f>
        <v/>
      </c>
      <c r="H67" s="12">
        <f>IFERROR(IF(SUMIFS(tblDaily[Remaining],tblDaily[EntryDate],DATE(2026,2,22),tblDaily[WardCode],"FAE")=0,"",SUMIFS(tblDaily[Remaining],tblDaily[EntryDate],DATE(2026,2,22),tblDaily[WardCode],"FAE")),"")</f>
        <v/>
      </c>
    </row>
    <row r="68">
      <c r="A68" s="12" t="n">
        <v>23</v>
      </c>
      <c r="B68" s="12">
        <f>IFERROR(IF(SUMIFS(tblDaily[Admissions],tblDaily[EntryDate],DATE(2026,2,23),tblDaily[WardCode],"FAE")=0,"",SUMIFS(tblDaily[Admissions],tblDaily[EntryDate],DATE(2026,2,23),tblDaily[WardCode],"FAE")),"")</f>
        <v/>
      </c>
      <c r="C68" s="12">
        <f>IFERROR(IF(SUMIFS(tblDaily[Discharges],tblDaily[EntryDate],DATE(2026,2,23),tblDaily[WardCode],"FAE")=0,"",SUMIFS(tblDaily[Discharges],tblDaily[EntryDate],DATE(2026,2,23),tblDaily[WardCode],"FAE")),"")</f>
        <v/>
      </c>
      <c r="D68" s="12">
        <f>IFERROR(IF(SUMIFS(tblDaily[Deaths],tblDaily[EntryDate],DATE(2026,2,23),tblDaily[WardCode],"FAE")=0,"",SUMIFS(tblDaily[Deaths],tblDaily[EntryDate],DATE(2026,2,23),tblDaily[WardCode],"FAE")),"")</f>
        <v/>
      </c>
      <c r="E68" s="12">
        <f>IFERROR(IF(SUMIFS(tblDaily[DeathsUnder24Hrs],tblDaily[EntryDate],DATE(2026,2,23),tblDaily[WardCode],"FAE")=0,"",SUMIFS(tblDaily[DeathsUnder24Hrs],tblDaily[EntryDate],DATE(2026,2,23),tblDaily[WardCode],"FAE")),"")</f>
        <v/>
      </c>
      <c r="F68" s="12">
        <f>IFERROR(IF(SUMIFS(tblDaily[TransfersIn],tblDaily[EntryDate],DATE(2026,2,23),tblDaily[WardCode],"FAE")=0,"",SUMIFS(tblDaily[TransfersIn],tblDaily[EntryDate],DATE(2026,2,23),tblDaily[WardCode],"FAE")),"")</f>
        <v/>
      </c>
      <c r="G68" s="12">
        <f>IFERROR(IF(SUMIFS(tblDaily[TransfersOut],tblDaily[EntryDate],DATE(2026,2,23),tblDaily[WardCode],"FAE")=0,"",SUMIFS(tblDaily[TransfersOut],tblDaily[EntryDate],DATE(2026,2,23),tblDaily[WardCode],"FAE")),"")</f>
        <v/>
      </c>
      <c r="H68" s="12">
        <f>IFERROR(IF(SUMIFS(tblDaily[Remaining],tblDaily[EntryDate],DATE(2026,2,23),tblDaily[WardCode],"FAE")=0,"",SUMIFS(tblDaily[Remaining],tblDaily[EntryDate],DATE(2026,2,23),tblDaily[WardCode],"FAE")),"")</f>
        <v/>
      </c>
    </row>
    <row r="69">
      <c r="A69" s="12" t="n">
        <v>24</v>
      </c>
      <c r="B69" s="12">
        <f>IFERROR(IF(SUMIFS(tblDaily[Admissions],tblDaily[EntryDate],DATE(2026,2,24),tblDaily[WardCode],"FAE")=0,"",SUMIFS(tblDaily[Admissions],tblDaily[EntryDate],DATE(2026,2,24),tblDaily[WardCode],"FAE")),"")</f>
        <v/>
      </c>
      <c r="C69" s="12">
        <f>IFERROR(IF(SUMIFS(tblDaily[Discharges],tblDaily[EntryDate],DATE(2026,2,24),tblDaily[WardCode],"FAE")=0,"",SUMIFS(tblDaily[Discharges],tblDaily[EntryDate],DATE(2026,2,24),tblDaily[WardCode],"FAE")),"")</f>
        <v/>
      </c>
      <c r="D69" s="12">
        <f>IFERROR(IF(SUMIFS(tblDaily[Deaths],tblDaily[EntryDate],DATE(2026,2,24),tblDaily[WardCode],"FAE")=0,"",SUMIFS(tblDaily[Deaths],tblDaily[EntryDate],DATE(2026,2,24),tblDaily[WardCode],"FAE")),"")</f>
        <v/>
      </c>
      <c r="E69" s="12">
        <f>IFERROR(IF(SUMIFS(tblDaily[DeathsUnder24Hrs],tblDaily[EntryDate],DATE(2026,2,24),tblDaily[WardCode],"FAE")=0,"",SUMIFS(tblDaily[DeathsUnder24Hrs],tblDaily[EntryDate],DATE(2026,2,24),tblDaily[WardCode],"FAE")),"")</f>
        <v/>
      </c>
      <c r="F69" s="12">
        <f>IFERROR(IF(SUMIFS(tblDaily[TransfersIn],tblDaily[EntryDate],DATE(2026,2,24),tblDaily[WardCode],"FAE")=0,"",SUMIFS(tblDaily[TransfersIn],tblDaily[EntryDate],DATE(2026,2,24),tblDaily[WardCode],"FAE")),"")</f>
        <v/>
      </c>
      <c r="G69" s="12">
        <f>IFERROR(IF(SUMIFS(tblDaily[TransfersOut],tblDaily[EntryDate],DATE(2026,2,24),tblDaily[WardCode],"FAE")=0,"",SUMIFS(tblDaily[TransfersOut],tblDaily[EntryDate],DATE(2026,2,24),tblDaily[WardCode],"FAE")),"")</f>
        <v/>
      </c>
      <c r="H69" s="12">
        <f>IFERROR(IF(SUMIFS(tblDaily[Remaining],tblDaily[EntryDate],DATE(2026,2,24),tblDaily[WardCode],"FAE")=0,"",SUMIFS(tblDaily[Remaining],tblDaily[EntryDate],DATE(2026,2,24),tblDaily[WardCode],"FAE")),"")</f>
        <v/>
      </c>
    </row>
    <row r="70">
      <c r="A70" s="12" t="n">
        <v>25</v>
      </c>
      <c r="B70" s="12">
        <f>IFERROR(IF(SUMIFS(tblDaily[Admissions],tblDaily[EntryDate],DATE(2026,2,25),tblDaily[WardCode],"FAE")=0,"",SUMIFS(tblDaily[Admissions],tblDaily[EntryDate],DATE(2026,2,25),tblDaily[WardCode],"FAE")),"")</f>
        <v/>
      </c>
      <c r="C70" s="12">
        <f>IFERROR(IF(SUMIFS(tblDaily[Discharges],tblDaily[EntryDate],DATE(2026,2,25),tblDaily[WardCode],"FAE")=0,"",SUMIFS(tblDaily[Discharges],tblDaily[EntryDate],DATE(2026,2,25),tblDaily[WardCode],"FAE")),"")</f>
        <v/>
      </c>
      <c r="D70" s="12">
        <f>IFERROR(IF(SUMIFS(tblDaily[Deaths],tblDaily[EntryDate],DATE(2026,2,25),tblDaily[WardCode],"FAE")=0,"",SUMIFS(tblDaily[Deaths],tblDaily[EntryDate],DATE(2026,2,25),tblDaily[WardCode],"FAE")),"")</f>
        <v/>
      </c>
      <c r="E70" s="12">
        <f>IFERROR(IF(SUMIFS(tblDaily[DeathsUnder24Hrs],tblDaily[EntryDate],DATE(2026,2,25),tblDaily[WardCode],"FAE")=0,"",SUMIFS(tblDaily[DeathsUnder24Hrs],tblDaily[EntryDate],DATE(2026,2,25),tblDaily[WardCode],"FAE")),"")</f>
        <v/>
      </c>
      <c r="F70" s="12">
        <f>IFERROR(IF(SUMIFS(tblDaily[TransfersIn],tblDaily[EntryDate],DATE(2026,2,25),tblDaily[WardCode],"FAE")=0,"",SUMIFS(tblDaily[TransfersIn],tblDaily[EntryDate],DATE(2026,2,25),tblDaily[WardCode],"FAE")),"")</f>
        <v/>
      </c>
      <c r="G70" s="12">
        <f>IFERROR(IF(SUMIFS(tblDaily[TransfersOut],tblDaily[EntryDate],DATE(2026,2,25),tblDaily[WardCode],"FAE")=0,"",SUMIFS(tblDaily[TransfersOut],tblDaily[EntryDate],DATE(2026,2,25),tblDaily[WardCode],"FAE")),"")</f>
        <v/>
      </c>
      <c r="H70" s="12">
        <f>IFERROR(IF(SUMIFS(tblDaily[Remaining],tblDaily[EntryDate],DATE(2026,2,25),tblDaily[WardCode],"FAE")=0,"",SUMIFS(tblDaily[Remaining],tblDaily[EntryDate],DATE(2026,2,25),tblDaily[WardCode],"FAE")),"")</f>
        <v/>
      </c>
    </row>
    <row r="71">
      <c r="A71" s="12" t="n">
        <v>26</v>
      </c>
      <c r="B71" s="12">
        <f>IFERROR(IF(SUMIFS(tblDaily[Admissions],tblDaily[EntryDate],DATE(2026,2,26),tblDaily[WardCode],"FAE")=0,"",SUMIFS(tblDaily[Admissions],tblDaily[EntryDate],DATE(2026,2,26),tblDaily[WardCode],"FAE")),"")</f>
        <v/>
      </c>
      <c r="C71" s="12">
        <f>IFERROR(IF(SUMIFS(tblDaily[Discharges],tblDaily[EntryDate],DATE(2026,2,26),tblDaily[WardCode],"FAE")=0,"",SUMIFS(tblDaily[Discharges],tblDaily[EntryDate],DATE(2026,2,26),tblDaily[WardCode],"FAE")),"")</f>
        <v/>
      </c>
      <c r="D71" s="12">
        <f>IFERROR(IF(SUMIFS(tblDaily[Deaths],tblDaily[EntryDate],DATE(2026,2,26),tblDaily[WardCode],"FAE")=0,"",SUMIFS(tblDaily[Deaths],tblDaily[EntryDate],DATE(2026,2,26),tblDaily[WardCode],"FAE")),"")</f>
        <v/>
      </c>
      <c r="E71" s="12">
        <f>IFERROR(IF(SUMIFS(tblDaily[DeathsUnder24Hrs],tblDaily[EntryDate],DATE(2026,2,26),tblDaily[WardCode],"FAE")=0,"",SUMIFS(tblDaily[DeathsUnder24Hrs],tblDaily[EntryDate],DATE(2026,2,26),tblDaily[WardCode],"FAE")),"")</f>
        <v/>
      </c>
      <c r="F71" s="12">
        <f>IFERROR(IF(SUMIFS(tblDaily[TransfersIn],tblDaily[EntryDate],DATE(2026,2,26),tblDaily[WardCode],"FAE")=0,"",SUMIFS(tblDaily[TransfersIn],tblDaily[EntryDate],DATE(2026,2,26),tblDaily[WardCode],"FAE")),"")</f>
        <v/>
      </c>
      <c r="G71" s="12">
        <f>IFERROR(IF(SUMIFS(tblDaily[TransfersOut],tblDaily[EntryDate],DATE(2026,2,26),tblDaily[WardCode],"FAE")=0,"",SUMIFS(tblDaily[TransfersOut],tblDaily[EntryDate],DATE(2026,2,26),tblDaily[WardCode],"FAE")),"")</f>
        <v/>
      </c>
      <c r="H71" s="12">
        <f>IFERROR(IF(SUMIFS(tblDaily[Remaining],tblDaily[EntryDate],DATE(2026,2,26),tblDaily[WardCode],"FAE")=0,"",SUMIFS(tblDaily[Remaining],tblDaily[EntryDate],DATE(2026,2,26),tblDaily[WardCode],"FAE")),"")</f>
        <v/>
      </c>
    </row>
    <row r="72">
      <c r="A72" s="12" t="n">
        <v>27</v>
      </c>
      <c r="B72" s="12">
        <f>IFERROR(IF(SUMIFS(tblDaily[Admissions],tblDaily[EntryDate],DATE(2026,2,27),tblDaily[WardCode],"FAE")=0,"",SUMIFS(tblDaily[Admissions],tblDaily[EntryDate],DATE(2026,2,27),tblDaily[WardCode],"FAE")),"")</f>
        <v/>
      </c>
      <c r="C72" s="12">
        <f>IFERROR(IF(SUMIFS(tblDaily[Discharges],tblDaily[EntryDate],DATE(2026,2,27),tblDaily[WardCode],"FAE")=0,"",SUMIFS(tblDaily[Discharges],tblDaily[EntryDate],DATE(2026,2,27),tblDaily[WardCode],"FAE")),"")</f>
        <v/>
      </c>
      <c r="D72" s="12">
        <f>IFERROR(IF(SUMIFS(tblDaily[Deaths],tblDaily[EntryDate],DATE(2026,2,27),tblDaily[WardCode],"FAE")=0,"",SUMIFS(tblDaily[Deaths],tblDaily[EntryDate],DATE(2026,2,27),tblDaily[WardCode],"FAE")),"")</f>
        <v/>
      </c>
      <c r="E72" s="12">
        <f>IFERROR(IF(SUMIFS(tblDaily[DeathsUnder24Hrs],tblDaily[EntryDate],DATE(2026,2,27),tblDaily[WardCode],"FAE")=0,"",SUMIFS(tblDaily[DeathsUnder24Hrs],tblDaily[EntryDate],DATE(2026,2,27),tblDaily[WardCode],"FAE")),"")</f>
        <v/>
      </c>
      <c r="F72" s="12">
        <f>IFERROR(IF(SUMIFS(tblDaily[TransfersIn],tblDaily[EntryDate],DATE(2026,2,27),tblDaily[WardCode],"FAE")=0,"",SUMIFS(tblDaily[TransfersIn],tblDaily[EntryDate],DATE(2026,2,27),tblDaily[WardCode],"FAE")),"")</f>
        <v/>
      </c>
      <c r="G72" s="12">
        <f>IFERROR(IF(SUMIFS(tblDaily[TransfersOut],tblDaily[EntryDate],DATE(2026,2,27),tblDaily[WardCode],"FAE")=0,"",SUMIFS(tblDaily[TransfersOut],tblDaily[EntryDate],DATE(2026,2,27),tblDaily[WardCode],"FAE")),"")</f>
        <v/>
      </c>
      <c r="H72" s="12">
        <f>IFERROR(IF(SUMIFS(tblDaily[Remaining],tblDaily[EntryDate],DATE(2026,2,27),tblDaily[WardCode],"FAE")=0,"",SUMIFS(tblDaily[Remaining],tblDaily[EntryDate],DATE(2026,2,27),tblDaily[WardCode],"FAE")),"")</f>
        <v/>
      </c>
    </row>
    <row r="73">
      <c r="A73" s="12" t="n">
        <v>28</v>
      </c>
      <c r="B73" s="12">
        <f>IFERROR(IF(SUMIFS(tblDaily[Admissions],tblDaily[EntryDate],DATE(2026,2,28),tblDaily[WardCode],"FAE")=0,"",SUMIFS(tblDaily[Admissions],tblDaily[EntryDate],DATE(2026,2,28),tblDaily[WardCode],"FAE")),"")</f>
        <v/>
      </c>
      <c r="C73" s="12">
        <f>IFERROR(IF(SUMIFS(tblDaily[Discharges],tblDaily[EntryDate],DATE(2026,2,28),tblDaily[WardCode],"FAE")=0,"",SUMIFS(tblDaily[Discharges],tblDaily[EntryDate],DATE(2026,2,28),tblDaily[WardCode],"FAE")),"")</f>
        <v/>
      </c>
      <c r="D73" s="12">
        <f>IFERROR(IF(SUMIFS(tblDaily[Deaths],tblDaily[EntryDate],DATE(2026,2,28),tblDaily[WardCode],"FAE")=0,"",SUMIFS(tblDaily[Deaths],tblDaily[EntryDate],DATE(2026,2,28),tblDaily[WardCode],"FAE")),"")</f>
        <v/>
      </c>
      <c r="E73" s="12">
        <f>IFERROR(IF(SUMIFS(tblDaily[DeathsUnder24Hrs],tblDaily[EntryDate],DATE(2026,2,28),tblDaily[WardCode],"FAE")=0,"",SUMIFS(tblDaily[DeathsUnder24Hrs],tblDaily[EntryDate],DATE(2026,2,28),tblDaily[WardCode],"FAE")),"")</f>
        <v/>
      </c>
      <c r="F73" s="12">
        <f>IFERROR(IF(SUMIFS(tblDaily[TransfersIn],tblDaily[EntryDate],DATE(2026,2,28),tblDaily[WardCode],"FAE")=0,"",SUMIFS(tblDaily[TransfersIn],tblDaily[EntryDate],DATE(2026,2,28),tblDaily[WardCode],"FAE")),"")</f>
        <v/>
      </c>
      <c r="G73" s="12">
        <f>IFERROR(IF(SUMIFS(tblDaily[TransfersOut],tblDaily[EntryDate],DATE(2026,2,28),tblDaily[WardCode],"FAE")=0,"",SUMIFS(tblDaily[TransfersOut],tblDaily[EntryDate],DATE(2026,2,28),tblDaily[WardCode],"FAE")),"")</f>
        <v/>
      </c>
      <c r="H73" s="12">
        <f>IFERROR(IF(SUMIFS(tblDaily[Remaining],tblDaily[EntryDate],DATE(2026,2,28),tblDaily[WardCode],"FAE")=0,"",SUMIFS(tblDaily[Remaining],tblDaily[EntryDate],DATE(2026,2,28),tblDaily[WardCode],"FAE")),"")</f>
        <v/>
      </c>
    </row>
    <row r="74">
      <c r="A74" s="12" t="n">
        <v>29</v>
      </c>
      <c r="B74" s="18" t="n"/>
      <c r="C74" s="18" t="n"/>
      <c r="D74" s="18" t="n"/>
      <c r="E74" s="18" t="n"/>
      <c r="F74" s="18" t="n"/>
      <c r="G74" s="18" t="n"/>
      <c r="H74" s="18" t="n"/>
    </row>
    <row r="75">
      <c r="A75" s="12" t="n">
        <v>30</v>
      </c>
      <c r="B75" s="18" t="n"/>
      <c r="C75" s="18" t="n"/>
      <c r="D75" s="18" t="n"/>
      <c r="E75" s="18" t="n"/>
      <c r="F75" s="18" t="n"/>
      <c r="G75" s="18" t="n"/>
      <c r="H75" s="18" t="n"/>
    </row>
    <row r="76">
      <c r="A76" s="12" t="n">
        <v>31</v>
      </c>
      <c r="B76" s="18" t="n"/>
      <c r="C76" s="18" t="n"/>
      <c r="D76" s="18" t="n"/>
      <c r="E76" s="18" t="n"/>
      <c r="F76" s="18" t="n"/>
      <c r="G76" s="18" t="n"/>
      <c r="H76" s="18" t="n"/>
    </row>
    <row r="77">
      <c r="A77" s="17" t="inlineStr">
        <is>
          <t>TOTAL</t>
        </is>
      </c>
      <c r="B77" s="17">
        <f>SUMIFS(tblDaily[Admissions],tblDaily[Month],2,tblDaily[WardCode],"FAE") - SUMIFS(tblDaily[DeathsUnder24Hrs],tblDaily[Month],2,tblDaily[WardCode],"FAE")</f>
        <v/>
      </c>
      <c r="C77" s="17">
        <f>SUMIFS(tblDaily[Discharges],tblDaily[Month],2,tblDaily[WardCode],"FAE")</f>
        <v/>
      </c>
      <c r="D77" s="17">
        <f>SUMIFS(tblDaily[Deaths],tblDaily[Month],2,tblDaily[WardCode],"FAE")</f>
        <v/>
      </c>
      <c r="E77" s="17">
        <f>SUMIFS(tblDaily[DeathsUnder24Hrs],tblDaily[Month],2,tblDaily[WardCode],"FAE")</f>
        <v/>
      </c>
      <c r="F77" s="17">
        <f>SUMIFS(tblDaily[TransfersIn],tblDaily[Month],2,tblDaily[WardCode],"FAE")</f>
        <v/>
      </c>
      <c r="G77" s="17">
        <f>SUMIFS(tblDaily[TransfersOut],tblDaily[Month],2,tblDaily[WardCode],"FAE")</f>
        <v/>
      </c>
      <c r="H77" s="17">
        <f>SUMIFS(tblDaily[Remaining],tblDaily[Month],2,tblDaily[WardCode],"FAE")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FEMALE EMERGENCY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4">
        <f>IFERROR(SUMIFS(tblDaily[Remaining],tblDaily[EntryDate],DATE(2026,2,28),tblDaily[WardCode],"FAE"),0)</f>
        <v/>
      </c>
    </row>
    <row r="83">
      <c r="A83" s="4" t="inlineStr">
        <is>
          <t>Bed complement</t>
        </is>
      </c>
      <c r="H83" s="15">
        <f>IFERROR(INDEX(tblWardConfig[BedComplement],MATCH("FAE",tblWardConfig[WardCode],0)),0)</f>
        <v/>
      </c>
    </row>
    <row r="84">
      <c r="A84" s="16" t="inlineStr">
        <is>
          <t>Day of
the
Month</t>
        </is>
      </c>
      <c r="B84" s="16" t="inlineStr">
        <is>
          <t>Admissions</t>
        </is>
      </c>
      <c r="C84" s="16" t="inlineStr">
        <is>
          <t>Discharges</t>
        </is>
      </c>
      <c r="D84" s="16" t="inlineStr">
        <is>
          <t>Deaths</t>
        </is>
      </c>
      <c r="E84" s="16" t="inlineStr">
        <is>
          <t>Deaths
&lt;24Hrs</t>
        </is>
      </c>
      <c r="F84" s="16" t="inlineStr">
        <is>
          <t>Transfers-
In</t>
        </is>
      </c>
      <c r="G84" s="16" t="inlineStr">
        <is>
          <t>Transfers-
Out</t>
        </is>
      </c>
      <c r="H84" s="16" t="inlineStr">
        <is>
          <t>No. of Patients
Remaining In
Ward</t>
        </is>
      </c>
    </row>
    <row r="85">
      <c r="A85" s="12" t="n">
        <v>1</v>
      </c>
      <c r="B85" s="12">
        <f>IFERROR(IF(SUMIFS(tblDaily[Admissions],tblDaily[EntryDate],DATE(2026,3,1),tblDaily[WardCode],"FAE")=0,"",SUMIFS(tblDaily[Admissions],tblDaily[EntryDate],DATE(2026,3,1),tblDaily[WardCode],"FAE")),"")</f>
        <v/>
      </c>
      <c r="C85" s="12">
        <f>IFERROR(IF(SUMIFS(tblDaily[Discharges],tblDaily[EntryDate],DATE(2026,3,1),tblDaily[WardCode],"FAE")=0,"",SUMIFS(tblDaily[Discharges],tblDaily[EntryDate],DATE(2026,3,1),tblDaily[WardCode],"FAE")),"")</f>
        <v/>
      </c>
      <c r="D85" s="12">
        <f>IFERROR(IF(SUMIFS(tblDaily[Deaths],tblDaily[EntryDate],DATE(2026,3,1),tblDaily[WardCode],"FAE")=0,"",SUMIFS(tblDaily[Deaths],tblDaily[EntryDate],DATE(2026,3,1),tblDaily[WardCode],"FAE")),"")</f>
        <v/>
      </c>
      <c r="E85" s="12">
        <f>IFERROR(IF(SUMIFS(tblDaily[DeathsUnder24Hrs],tblDaily[EntryDate],DATE(2026,3,1),tblDaily[WardCode],"FAE")=0,"",SUMIFS(tblDaily[DeathsUnder24Hrs],tblDaily[EntryDate],DATE(2026,3,1),tblDaily[WardCode],"FAE")),"")</f>
        <v/>
      </c>
      <c r="F85" s="12">
        <f>IFERROR(IF(SUMIFS(tblDaily[TransfersIn],tblDaily[EntryDate],DATE(2026,3,1),tblDaily[WardCode],"FAE")=0,"",SUMIFS(tblDaily[TransfersIn],tblDaily[EntryDate],DATE(2026,3,1),tblDaily[WardCode],"FAE")),"")</f>
        <v/>
      </c>
      <c r="G85" s="12">
        <f>IFERROR(IF(SUMIFS(tblDaily[TransfersOut],tblDaily[EntryDate],DATE(2026,3,1),tblDaily[WardCode],"FAE")=0,"",SUMIFS(tblDaily[TransfersOut],tblDaily[EntryDate],DATE(2026,3,1),tblDaily[WardCode],"FAE")),"")</f>
        <v/>
      </c>
      <c r="H85" s="12">
        <f>IFERROR(IF(SUMIFS(tblDaily[Remaining],tblDaily[EntryDate],DATE(2026,3,1),tblDaily[WardCode],"FAE")=0,"",SUMIFS(tblDaily[Remaining],tblDaily[EntryDate],DATE(2026,3,1),tblDaily[WardCode],"FAE")),"")</f>
        <v/>
      </c>
    </row>
    <row r="86">
      <c r="A86" s="12" t="n">
        <v>2</v>
      </c>
      <c r="B86" s="12">
        <f>IFERROR(IF(SUMIFS(tblDaily[Admissions],tblDaily[EntryDate],DATE(2026,3,2),tblDaily[WardCode],"FAE")=0,"",SUMIFS(tblDaily[Admissions],tblDaily[EntryDate],DATE(2026,3,2),tblDaily[WardCode],"FAE")),"")</f>
        <v/>
      </c>
      <c r="C86" s="12">
        <f>IFERROR(IF(SUMIFS(tblDaily[Discharges],tblDaily[EntryDate],DATE(2026,3,2),tblDaily[WardCode],"FAE")=0,"",SUMIFS(tblDaily[Discharges],tblDaily[EntryDate],DATE(2026,3,2),tblDaily[WardCode],"FAE")),"")</f>
        <v/>
      </c>
      <c r="D86" s="12">
        <f>IFERROR(IF(SUMIFS(tblDaily[Deaths],tblDaily[EntryDate],DATE(2026,3,2),tblDaily[WardCode],"FAE")=0,"",SUMIFS(tblDaily[Deaths],tblDaily[EntryDate],DATE(2026,3,2),tblDaily[WardCode],"FAE")),"")</f>
        <v/>
      </c>
      <c r="E86" s="12">
        <f>IFERROR(IF(SUMIFS(tblDaily[DeathsUnder24Hrs],tblDaily[EntryDate],DATE(2026,3,2),tblDaily[WardCode],"FAE")=0,"",SUMIFS(tblDaily[DeathsUnder24Hrs],tblDaily[EntryDate],DATE(2026,3,2),tblDaily[WardCode],"FAE")),"")</f>
        <v/>
      </c>
      <c r="F86" s="12">
        <f>IFERROR(IF(SUMIFS(tblDaily[TransfersIn],tblDaily[EntryDate],DATE(2026,3,2),tblDaily[WardCode],"FAE")=0,"",SUMIFS(tblDaily[TransfersIn],tblDaily[EntryDate],DATE(2026,3,2),tblDaily[WardCode],"FAE")),"")</f>
        <v/>
      </c>
      <c r="G86" s="12">
        <f>IFERROR(IF(SUMIFS(tblDaily[TransfersOut],tblDaily[EntryDate],DATE(2026,3,2),tblDaily[WardCode],"FAE")=0,"",SUMIFS(tblDaily[TransfersOut],tblDaily[EntryDate],DATE(2026,3,2),tblDaily[WardCode],"FAE")),"")</f>
        <v/>
      </c>
      <c r="H86" s="12">
        <f>IFERROR(IF(SUMIFS(tblDaily[Remaining],tblDaily[EntryDate],DATE(2026,3,2),tblDaily[WardCode],"FAE")=0,"",SUMIFS(tblDaily[Remaining],tblDaily[EntryDate],DATE(2026,3,2),tblDaily[WardCode],"FAE")),"")</f>
        <v/>
      </c>
    </row>
    <row r="87">
      <c r="A87" s="12" t="n">
        <v>3</v>
      </c>
      <c r="B87" s="12">
        <f>IFERROR(IF(SUMIFS(tblDaily[Admissions],tblDaily[EntryDate],DATE(2026,3,3),tblDaily[WardCode],"FAE")=0,"",SUMIFS(tblDaily[Admissions],tblDaily[EntryDate],DATE(2026,3,3),tblDaily[WardCode],"FAE")),"")</f>
        <v/>
      </c>
      <c r="C87" s="12">
        <f>IFERROR(IF(SUMIFS(tblDaily[Discharges],tblDaily[EntryDate],DATE(2026,3,3),tblDaily[WardCode],"FAE")=0,"",SUMIFS(tblDaily[Discharges],tblDaily[EntryDate],DATE(2026,3,3),tblDaily[WardCode],"FAE")),"")</f>
        <v/>
      </c>
      <c r="D87" s="12">
        <f>IFERROR(IF(SUMIFS(tblDaily[Deaths],tblDaily[EntryDate],DATE(2026,3,3),tblDaily[WardCode],"FAE")=0,"",SUMIFS(tblDaily[Deaths],tblDaily[EntryDate],DATE(2026,3,3),tblDaily[WardCode],"FAE")),"")</f>
        <v/>
      </c>
      <c r="E87" s="12">
        <f>IFERROR(IF(SUMIFS(tblDaily[DeathsUnder24Hrs],tblDaily[EntryDate],DATE(2026,3,3),tblDaily[WardCode],"FAE")=0,"",SUMIFS(tblDaily[DeathsUnder24Hrs],tblDaily[EntryDate],DATE(2026,3,3),tblDaily[WardCode],"FAE")),"")</f>
        <v/>
      </c>
      <c r="F87" s="12">
        <f>IFERROR(IF(SUMIFS(tblDaily[TransfersIn],tblDaily[EntryDate],DATE(2026,3,3),tblDaily[WardCode],"FAE")=0,"",SUMIFS(tblDaily[TransfersIn],tblDaily[EntryDate],DATE(2026,3,3),tblDaily[WardCode],"FAE")),"")</f>
        <v/>
      </c>
      <c r="G87" s="12">
        <f>IFERROR(IF(SUMIFS(tblDaily[TransfersOut],tblDaily[EntryDate],DATE(2026,3,3),tblDaily[WardCode],"FAE")=0,"",SUMIFS(tblDaily[TransfersOut],tblDaily[EntryDate],DATE(2026,3,3),tblDaily[WardCode],"FAE")),"")</f>
        <v/>
      </c>
      <c r="H87" s="12">
        <f>IFERROR(IF(SUMIFS(tblDaily[Remaining],tblDaily[EntryDate],DATE(2026,3,3),tblDaily[WardCode],"FAE")=0,"",SUMIFS(tblDaily[Remaining],tblDaily[EntryDate],DATE(2026,3,3),tblDaily[WardCode],"FAE")),"")</f>
        <v/>
      </c>
    </row>
    <row r="88">
      <c r="A88" s="12" t="n">
        <v>4</v>
      </c>
      <c r="B88" s="12">
        <f>IFERROR(IF(SUMIFS(tblDaily[Admissions],tblDaily[EntryDate],DATE(2026,3,4),tblDaily[WardCode],"FAE")=0,"",SUMIFS(tblDaily[Admissions],tblDaily[EntryDate],DATE(2026,3,4),tblDaily[WardCode],"FAE")),"")</f>
        <v/>
      </c>
      <c r="C88" s="12">
        <f>IFERROR(IF(SUMIFS(tblDaily[Discharges],tblDaily[EntryDate],DATE(2026,3,4),tblDaily[WardCode],"FAE")=0,"",SUMIFS(tblDaily[Discharges],tblDaily[EntryDate],DATE(2026,3,4),tblDaily[WardCode],"FAE")),"")</f>
        <v/>
      </c>
      <c r="D88" s="12">
        <f>IFERROR(IF(SUMIFS(tblDaily[Deaths],tblDaily[EntryDate],DATE(2026,3,4),tblDaily[WardCode],"FAE")=0,"",SUMIFS(tblDaily[Deaths],tblDaily[EntryDate],DATE(2026,3,4),tblDaily[WardCode],"FAE")),"")</f>
        <v/>
      </c>
      <c r="E88" s="12">
        <f>IFERROR(IF(SUMIFS(tblDaily[DeathsUnder24Hrs],tblDaily[EntryDate],DATE(2026,3,4),tblDaily[WardCode],"FAE")=0,"",SUMIFS(tblDaily[DeathsUnder24Hrs],tblDaily[EntryDate],DATE(2026,3,4),tblDaily[WardCode],"FAE")),"")</f>
        <v/>
      </c>
      <c r="F88" s="12">
        <f>IFERROR(IF(SUMIFS(tblDaily[TransfersIn],tblDaily[EntryDate],DATE(2026,3,4),tblDaily[WardCode],"FAE")=0,"",SUMIFS(tblDaily[TransfersIn],tblDaily[EntryDate],DATE(2026,3,4),tblDaily[WardCode],"FAE")),"")</f>
        <v/>
      </c>
      <c r="G88" s="12">
        <f>IFERROR(IF(SUMIFS(tblDaily[TransfersOut],tblDaily[EntryDate],DATE(2026,3,4),tblDaily[WardCode],"FAE")=0,"",SUMIFS(tblDaily[TransfersOut],tblDaily[EntryDate],DATE(2026,3,4),tblDaily[WardCode],"FAE")),"")</f>
        <v/>
      </c>
      <c r="H88" s="12">
        <f>IFERROR(IF(SUMIFS(tblDaily[Remaining],tblDaily[EntryDate],DATE(2026,3,4),tblDaily[WardCode],"FAE")=0,"",SUMIFS(tblDaily[Remaining],tblDaily[EntryDate],DATE(2026,3,4),tblDaily[WardCode],"FAE")),"")</f>
        <v/>
      </c>
    </row>
    <row r="89">
      <c r="A89" s="12" t="n">
        <v>5</v>
      </c>
      <c r="B89" s="12">
        <f>IFERROR(IF(SUMIFS(tblDaily[Admissions],tblDaily[EntryDate],DATE(2026,3,5),tblDaily[WardCode],"FAE")=0,"",SUMIFS(tblDaily[Admissions],tblDaily[EntryDate],DATE(2026,3,5),tblDaily[WardCode],"FAE")),"")</f>
        <v/>
      </c>
      <c r="C89" s="12">
        <f>IFERROR(IF(SUMIFS(tblDaily[Discharges],tblDaily[EntryDate],DATE(2026,3,5),tblDaily[WardCode],"FAE")=0,"",SUMIFS(tblDaily[Discharges],tblDaily[EntryDate],DATE(2026,3,5),tblDaily[WardCode],"FAE")),"")</f>
        <v/>
      </c>
      <c r="D89" s="12">
        <f>IFERROR(IF(SUMIFS(tblDaily[Deaths],tblDaily[EntryDate],DATE(2026,3,5),tblDaily[WardCode],"FAE")=0,"",SUMIFS(tblDaily[Deaths],tblDaily[EntryDate],DATE(2026,3,5),tblDaily[WardCode],"FAE")),"")</f>
        <v/>
      </c>
      <c r="E89" s="12">
        <f>IFERROR(IF(SUMIFS(tblDaily[DeathsUnder24Hrs],tblDaily[EntryDate],DATE(2026,3,5),tblDaily[WardCode],"FAE")=0,"",SUMIFS(tblDaily[DeathsUnder24Hrs],tblDaily[EntryDate],DATE(2026,3,5),tblDaily[WardCode],"FAE")),"")</f>
        <v/>
      </c>
      <c r="F89" s="12">
        <f>IFERROR(IF(SUMIFS(tblDaily[TransfersIn],tblDaily[EntryDate],DATE(2026,3,5),tblDaily[WardCode],"FAE")=0,"",SUMIFS(tblDaily[TransfersIn],tblDaily[EntryDate],DATE(2026,3,5),tblDaily[WardCode],"FAE")),"")</f>
        <v/>
      </c>
      <c r="G89" s="12">
        <f>IFERROR(IF(SUMIFS(tblDaily[TransfersOut],tblDaily[EntryDate],DATE(2026,3,5),tblDaily[WardCode],"FAE")=0,"",SUMIFS(tblDaily[TransfersOut],tblDaily[EntryDate],DATE(2026,3,5),tblDaily[WardCode],"FAE")),"")</f>
        <v/>
      </c>
      <c r="H89" s="12">
        <f>IFERROR(IF(SUMIFS(tblDaily[Remaining],tblDaily[EntryDate],DATE(2026,3,5),tblDaily[WardCode],"FAE")=0,"",SUMIFS(tblDaily[Remaining],tblDaily[EntryDate],DATE(2026,3,5),tblDaily[WardCode],"FAE")),"")</f>
        <v/>
      </c>
    </row>
    <row r="90">
      <c r="A90" s="12" t="n">
        <v>6</v>
      </c>
      <c r="B90" s="12">
        <f>IFERROR(IF(SUMIFS(tblDaily[Admissions],tblDaily[EntryDate],DATE(2026,3,6),tblDaily[WardCode],"FAE")=0,"",SUMIFS(tblDaily[Admissions],tblDaily[EntryDate],DATE(2026,3,6),tblDaily[WardCode],"FAE")),"")</f>
        <v/>
      </c>
      <c r="C90" s="12">
        <f>IFERROR(IF(SUMIFS(tblDaily[Discharges],tblDaily[EntryDate],DATE(2026,3,6),tblDaily[WardCode],"FAE")=0,"",SUMIFS(tblDaily[Discharges],tblDaily[EntryDate],DATE(2026,3,6),tblDaily[WardCode],"FAE")),"")</f>
        <v/>
      </c>
      <c r="D90" s="12">
        <f>IFERROR(IF(SUMIFS(tblDaily[Deaths],tblDaily[EntryDate],DATE(2026,3,6),tblDaily[WardCode],"FAE")=0,"",SUMIFS(tblDaily[Deaths],tblDaily[EntryDate],DATE(2026,3,6),tblDaily[WardCode],"FAE")),"")</f>
        <v/>
      </c>
      <c r="E90" s="12">
        <f>IFERROR(IF(SUMIFS(tblDaily[DeathsUnder24Hrs],tblDaily[EntryDate],DATE(2026,3,6),tblDaily[WardCode],"FAE")=0,"",SUMIFS(tblDaily[DeathsUnder24Hrs],tblDaily[EntryDate],DATE(2026,3,6),tblDaily[WardCode],"FAE")),"")</f>
        <v/>
      </c>
      <c r="F90" s="12">
        <f>IFERROR(IF(SUMIFS(tblDaily[TransfersIn],tblDaily[EntryDate],DATE(2026,3,6),tblDaily[WardCode],"FAE")=0,"",SUMIFS(tblDaily[TransfersIn],tblDaily[EntryDate],DATE(2026,3,6),tblDaily[WardCode],"FAE")),"")</f>
        <v/>
      </c>
      <c r="G90" s="12">
        <f>IFERROR(IF(SUMIFS(tblDaily[TransfersOut],tblDaily[EntryDate],DATE(2026,3,6),tblDaily[WardCode],"FAE")=0,"",SUMIFS(tblDaily[TransfersOut],tblDaily[EntryDate],DATE(2026,3,6),tblDaily[WardCode],"FAE")),"")</f>
        <v/>
      </c>
      <c r="H90" s="12">
        <f>IFERROR(IF(SUMIFS(tblDaily[Remaining],tblDaily[EntryDate],DATE(2026,3,6),tblDaily[WardCode],"FAE")=0,"",SUMIFS(tblDaily[Remaining],tblDaily[EntryDate],DATE(2026,3,6),tblDaily[WardCode],"FAE")),"")</f>
        <v/>
      </c>
    </row>
    <row r="91">
      <c r="A91" s="12" t="n">
        <v>7</v>
      </c>
      <c r="B91" s="12">
        <f>IFERROR(IF(SUMIFS(tblDaily[Admissions],tblDaily[EntryDate],DATE(2026,3,7),tblDaily[WardCode],"FAE")=0,"",SUMIFS(tblDaily[Admissions],tblDaily[EntryDate],DATE(2026,3,7),tblDaily[WardCode],"FAE")),"")</f>
        <v/>
      </c>
      <c r="C91" s="12">
        <f>IFERROR(IF(SUMIFS(tblDaily[Discharges],tblDaily[EntryDate],DATE(2026,3,7),tblDaily[WardCode],"FAE")=0,"",SUMIFS(tblDaily[Discharges],tblDaily[EntryDate],DATE(2026,3,7),tblDaily[WardCode],"FAE")),"")</f>
        <v/>
      </c>
      <c r="D91" s="12">
        <f>IFERROR(IF(SUMIFS(tblDaily[Deaths],tblDaily[EntryDate],DATE(2026,3,7),tblDaily[WardCode],"FAE")=0,"",SUMIFS(tblDaily[Deaths],tblDaily[EntryDate],DATE(2026,3,7),tblDaily[WardCode],"FAE")),"")</f>
        <v/>
      </c>
      <c r="E91" s="12">
        <f>IFERROR(IF(SUMIFS(tblDaily[DeathsUnder24Hrs],tblDaily[EntryDate],DATE(2026,3,7),tblDaily[WardCode],"FAE")=0,"",SUMIFS(tblDaily[DeathsUnder24Hrs],tblDaily[EntryDate],DATE(2026,3,7),tblDaily[WardCode],"FAE")),"")</f>
        <v/>
      </c>
      <c r="F91" s="12">
        <f>IFERROR(IF(SUMIFS(tblDaily[TransfersIn],tblDaily[EntryDate],DATE(2026,3,7),tblDaily[WardCode],"FAE")=0,"",SUMIFS(tblDaily[TransfersIn],tblDaily[EntryDate],DATE(2026,3,7),tblDaily[WardCode],"FAE")),"")</f>
        <v/>
      </c>
      <c r="G91" s="12">
        <f>IFERROR(IF(SUMIFS(tblDaily[TransfersOut],tblDaily[EntryDate],DATE(2026,3,7),tblDaily[WardCode],"FAE")=0,"",SUMIFS(tblDaily[TransfersOut],tblDaily[EntryDate],DATE(2026,3,7),tblDaily[WardCode],"FAE")),"")</f>
        <v/>
      </c>
      <c r="H91" s="12">
        <f>IFERROR(IF(SUMIFS(tblDaily[Remaining],tblDaily[EntryDate],DATE(2026,3,7),tblDaily[WardCode],"FAE")=0,"",SUMIFS(tblDaily[Remaining],tblDaily[EntryDate],DATE(2026,3,7),tblDaily[WardCode],"FAE")),"")</f>
        <v/>
      </c>
    </row>
    <row r="92">
      <c r="A92" s="12" t="n">
        <v>8</v>
      </c>
      <c r="B92" s="12">
        <f>IFERROR(IF(SUMIFS(tblDaily[Admissions],tblDaily[EntryDate],DATE(2026,3,8),tblDaily[WardCode],"FAE")=0,"",SUMIFS(tblDaily[Admissions],tblDaily[EntryDate],DATE(2026,3,8),tblDaily[WardCode],"FAE")),"")</f>
        <v/>
      </c>
      <c r="C92" s="12">
        <f>IFERROR(IF(SUMIFS(tblDaily[Discharges],tblDaily[EntryDate],DATE(2026,3,8),tblDaily[WardCode],"FAE")=0,"",SUMIFS(tblDaily[Discharges],tblDaily[EntryDate],DATE(2026,3,8),tblDaily[WardCode],"FAE")),"")</f>
        <v/>
      </c>
      <c r="D92" s="12">
        <f>IFERROR(IF(SUMIFS(tblDaily[Deaths],tblDaily[EntryDate],DATE(2026,3,8),tblDaily[WardCode],"FAE")=0,"",SUMIFS(tblDaily[Deaths],tblDaily[EntryDate],DATE(2026,3,8),tblDaily[WardCode],"FAE")),"")</f>
        <v/>
      </c>
      <c r="E92" s="12">
        <f>IFERROR(IF(SUMIFS(tblDaily[DeathsUnder24Hrs],tblDaily[EntryDate],DATE(2026,3,8),tblDaily[WardCode],"FAE")=0,"",SUMIFS(tblDaily[DeathsUnder24Hrs],tblDaily[EntryDate],DATE(2026,3,8),tblDaily[WardCode],"FAE")),"")</f>
        <v/>
      </c>
      <c r="F92" s="12">
        <f>IFERROR(IF(SUMIFS(tblDaily[TransfersIn],tblDaily[EntryDate],DATE(2026,3,8),tblDaily[WardCode],"FAE")=0,"",SUMIFS(tblDaily[TransfersIn],tblDaily[EntryDate],DATE(2026,3,8),tblDaily[WardCode],"FAE")),"")</f>
        <v/>
      </c>
      <c r="G92" s="12">
        <f>IFERROR(IF(SUMIFS(tblDaily[TransfersOut],tblDaily[EntryDate],DATE(2026,3,8),tblDaily[WardCode],"FAE")=0,"",SUMIFS(tblDaily[TransfersOut],tblDaily[EntryDate],DATE(2026,3,8),tblDaily[WardCode],"FAE")),"")</f>
        <v/>
      </c>
      <c r="H92" s="12">
        <f>IFERROR(IF(SUMIFS(tblDaily[Remaining],tblDaily[EntryDate],DATE(2026,3,8),tblDaily[WardCode],"FAE")=0,"",SUMIFS(tblDaily[Remaining],tblDaily[EntryDate],DATE(2026,3,8),tblDaily[WardCode],"FAE")),"")</f>
        <v/>
      </c>
    </row>
    <row r="93">
      <c r="A93" s="12" t="n">
        <v>9</v>
      </c>
      <c r="B93" s="12">
        <f>IFERROR(IF(SUMIFS(tblDaily[Admissions],tblDaily[EntryDate],DATE(2026,3,9),tblDaily[WardCode],"FAE")=0,"",SUMIFS(tblDaily[Admissions],tblDaily[EntryDate],DATE(2026,3,9),tblDaily[WardCode],"FAE")),"")</f>
        <v/>
      </c>
      <c r="C93" s="12">
        <f>IFERROR(IF(SUMIFS(tblDaily[Discharges],tblDaily[EntryDate],DATE(2026,3,9),tblDaily[WardCode],"FAE")=0,"",SUMIFS(tblDaily[Discharges],tblDaily[EntryDate],DATE(2026,3,9),tblDaily[WardCode],"FAE")),"")</f>
        <v/>
      </c>
      <c r="D93" s="12">
        <f>IFERROR(IF(SUMIFS(tblDaily[Deaths],tblDaily[EntryDate],DATE(2026,3,9),tblDaily[WardCode],"FAE")=0,"",SUMIFS(tblDaily[Deaths],tblDaily[EntryDate],DATE(2026,3,9),tblDaily[WardCode],"FAE")),"")</f>
        <v/>
      </c>
      <c r="E93" s="12">
        <f>IFERROR(IF(SUMIFS(tblDaily[DeathsUnder24Hrs],tblDaily[EntryDate],DATE(2026,3,9),tblDaily[WardCode],"FAE")=0,"",SUMIFS(tblDaily[DeathsUnder24Hrs],tblDaily[EntryDate],DATE(2026,3,9),tblDaily[WardCode],"FAE")),"")</f>
        <v/>
      </c>
      <c r="F93" s="12">
        <f>IFERROR(IF(SUMIFS(tblDaily[TransfersIn],tblDaily[EntryDate],DATE(2026,3,9),tblDaily[WardCode],"FAE")=0,"",SUMIFS(tblDaily[TransfersIn],tblDaily[EntryDate],DATE(2026,3,9),tblDaily[WardCode],"FAE")),"")</f>
        <v/>
      </c>
      <c r="G93" s="12">
        <f>IFERROR(IF(SUMIFS(tblDaily[TransfersOut],tblDaily[EntryDate],DATE(2026,3,9),tblDaily[WardCode],"FAE")=0,"",SUMIFS(tblDaily[TransfersOut],tblDaily[EntryDate],DATE(2026,3,9),tblDaily[WardCode],"FAE")),"")</f>
        <v/>
      </c>
      <c r="H93" s="12">
        <f>IFERROR(IF(SUMIFS(tblDaily[Remaining],tblDaily[EntryDate],DATE(2026,3,9),tblDaily[WardCode],"FAE")=0,"",SUMIFS(tblDaily[Remaining],tblDaily[EntryDate],DATE(2026,3,9),tblDaily[WardCode],"FAE")),"")</f>
        <v/>
      </c>
    </row>
    <row r="94">
      <c r="A94" s="12" t="n">
        <v>10</v>
      </c>
      <c r="B94" s="12">
        <f>IFERROR(IF(SUMIFS(tblDaily[Admissions],tblDaily[EntryDate],DATE(2026,3,10),tblDaily[WardCode],"FAE")=0,"",SUMIFS(tblDaily[Admissions],tblDaily[EntryDate],DATE(2026,3,10),tblDaily[WardCode],"FAE")),"")</f>
        <v/>
      </c>
      <c r="C94" s="12">
        <f>IFERROR(IF(SUMIFS(tblDaily[Discharges],tblDaily[EntryDate],DATE(2026,3,10),tblDaily[WardCode],"FAE")=0,"",SUMIFS(tblDaily[Discharges],tblDaily[EntryDate],DATE(2026,3,10),tblDaily[WardCode],"FAE")),"")</f>
        <v/>
      </c>
      <c r="D94" s="12">
        <f>IFERROR(IF(SUMIFS(tblDaily[Deaths],tblDaily[EntryDate],DATE(2026,3,10),tblDaily[WardCode],"FAE")=0,"",SUMIFS(tblDaily[Deaths],tblDaily[EntryDate],DATE(2026,3,10),tblDaily[WardCode],"FAE")),"")</f>
        <v/>
      </c>
      <c r="E94" s="12">
        <f>IFERROR(IF(SUMIFS(tblDaily[DeathsUnder24Hrs],tblDaily[EntryDate],DATE(2026,3,10),tblDaily[WardCode],"FAE")=0,"",SUMIFS(tblDaily[DeathsUnder24Hrs],tblDaily[EntryDate],DATE(2026,3,10),tblDaily[WardCode],"FAE")),"")</f>
        <v/>
      </c>
      <c r="F94" s="12">
        <f>IFERROR(IF(SUMIFS(tblDaily[TransfersIn],tblDaily[EntryDate],DATE(2026,3,10),tblDaily[WardCode],"FAE")=0,"",SUMIFS(tblDaily[TransfersIn],tblDaily[EntryDate],DATE(2026,3,10),tblDaily[WardCode],"FAE")),"")</f>
        <v/>
      </c>
      <c r="G94" s="12">
        <f>IFERROR(IF(SUMIFS(tblDaily[TransfersOut],tblDaily[EntryDate],DATE(2026,3,10),tblDaily[WardCode],"FAE")=0,"",SUMIFS(tblDaily[TransfersOut],tblDaily[EntryDate],DATE(2026,3,10),tblDaily[WardCode],"FAE")),"")</f>
        <v/>
      </c>
      <c r="H94" s="12">
        <f>IFERROR(IF(SUMIFS(tblDaily[Remaining],tblDaily[EntryDate],DATE(2026,3,10),tblDaily[WardCode],"FAE")=0,"",SUMIFS(tblDaily[Remaining],tblDaily[EntryDate],DATE(2026,3,10),tblDaily[WardCode],"FAE")),"")</f>
        <v/>
      </c>
    </row>
    <row r="95">
      <c r="A95" s="12" t="n">
        <v>11</v>
      </c>
      <c r="B95" s="12">
        <f>IFERROR(IF(SUMIFS(tblDaily[Admissions],tblDaily[EntryDate],DATE(2026,3,11),tblDaily[WardCode],"FAE")=0,"",SUMIFS(tblDaily[Admissions],tblDaily[EntryDate],DATE(2026,3,11),tblDaily[WardCode],"FAE")),"")</f>
        <v/>
      </c>
      <c r="C95" s="12">
        <f>IFERROR(IF(SUMIFS(tblDaily[Discharges],tblDaily[EntryDate],DATE(2026,3,11),tblDaily[WardCode],"FAE")=0,"",SUMIFS(tblDaily[Discharges],tblDaily[EntryDate],DATE(2026,3,11),tblDaily[WardCode],"FAE")),"")</f>
        <v/>
      </c>
      <c r="D95" s="12">
        <f>IFERROR(IF(SUMIFS(tblDaily[Deaths],tblDaily[EntryDate],DATE(2026,3,11),tblDaily[WardCode],"FAE")=0,"",SUMIFS(tblDaily[Deaths],tblDaily[EntryDate],DATE(2026,3,11),tblDaily[WardCode],"FAE")),"")</f>
        <v/>
      </c>
      <c r="E95" s="12">
        <f>IFERROR(IF(SUMIFS(tblDaily[DeathsUnder24Hrs],tblDaily[EntryDate],DATE(2026,3,11),tblDaily[WardCode],"FAE")=0,"",SUMIFS(tblDaily[DeathsUnder24Hrs],tblDaily[EntryDate],DATE(2026,3,11),tblDaily[WardCode],"FAE")),"")</f>
        <v/>
      </c>
      <c r="F95" s="12">
        <f>IFERROR(IF(SUMIFS(tblDaily[TransfersIn],tblDaily[EntryDate],DATE(2026,3,11),tblDaily[WardCode],"FAE")=0,"",SUMIFS(tblDaily[TransfersIn],tblDaily[EntryDate],DATE(2026,3,11),tblDaily[WardCode],"FAE")),"")</f>
        <v/>
      </c>
      <c r="G95" s="12">
        <f>IFERROR(IF(SUMIFS(tblDaily[TransfersOut],tblDaily[EntryDate],DATE(2026,3,11),tblDaily[WardCode],"FAE")=0,"",SUMIFS(tblDaily[TransfersOut],tblDaily[EntryDate],DATE(2026,3,11),tblDaily[WardCode],"FAE")),"")</f>
        <v/>
      </c>
      <c r="H95" s="12">
        <f>IFERROR(IF(SUMIFS(tblDaily[Remaining],tblDaily[EntryDate],DATE(2026,3,11),tblDaily[WardCode],"FAE")=0,"",SUMIFS(tblDaily[Remaining],tblDaily[EntryDate],DATE(2026,3,11),tblDaily[WardCode],"FAE")),"")</f>
        <v/>
      </c>
    </row>
    <row r="96">
      <c r="A96" s="12" t="n">
        <v>12</v>
      </c>
      <c r="B96" s="12">
        <f>IFERROR(IF(SUMIFS(tblDaily[Admissions],tblDaily[EntryDate],DATE(2026,3,12),tblDaily[WardCode],"FAE")=0,"",SUMIFS(tblDaily[Admissions],tblDaily[EntryDate],DATE(2026,3,12),tblDaily[WardCode],"FAE")),"")</f>
        <v/>
      </c>
      <c r="C96" s="12">
        <f>IFERROR(IF(SUMIFS(tblDaily[Discharges],tblDaily[EntryDate],DATE(2026,3,12),tblDaily[WardCode],"FAE")=0,"",SUMIFS(tblDaily[Discharges],tblDaily[EntryDate],DATE(2026,3,12),tblDaily[WardCode],"FAE")),"")</f>
        <v/>
      </c>
      <c r="D96" s="12">
        <f>IFERROR(IF(SUMIFS(tblDaily[Deaths],tblDaily[EntryDate],DATE(2026,3,12),tblDaily[WardCode],"FAE")=0,"",SUMIFS(tblDaily[Deaths],tblDaily[EntryDate],DATE(2026,3,12),tblDaily[WardCode],"FAE")),"")</f>
        <v/>
      </c>
      <c r="E96" s="12">
        <f>IFERROR(IF(SUMIFS(tblDaily[DeathsUnder24Hrs],tblDaily[EntryDate],DATE(2026,3,12),tblDaily[WardCode],"FAE")=0,"",SUMIFS(tblDaily[DeathsUnder24Hrs],tblDaily[EntryDate],DATE(2026,3,12),tblDaily[WardCode],"FAE")),"")</f>
        <v/>
      </c>
      <c r="F96" s="12">
        <f>IFERROR(IF(SUMIFS(tblDaily[TransfersIn],tblDaily[EntryDate],DATE(2026,3,12),tblDaily[WardCode],"FAE")=0,"",SUMIFS(tblDaily[TransfersIn],tblDaily[EntryDate],DATE(2026,3,12),tblDaily[WardCode],"FAE")),"")</f>
        <v/>
      </c>
      <c r="G96" s="12">
        <f>IFERROR(IF(SUMIFS(tblDaily[TransfersOut],tblDaily[EntryDate],DATE(2026,3,12),tblDaily[WardCode],"FAE")=0,"",SUMIFS(tblDaily[TransfersOut],tblDaily[EntryDate],DATE(2026,3,12),tblDaily[WardCode],"FAE")),"")</f>
        <v/>
      </c>
      <c r="H96" s="12">
        <f>IFERROR(IF(SUMIFS(tblDaily[Remaining],tblDaily[EntryDate],DATE(2026,3,12),tblDaily[WardCode],"FAE")=0,"",SUMIFS(tblDaily[Remaining],tblDaily[EntryDate],DATE(2026,3,12),tblDaily[WardCode],"FAE")),"")</f>
        <v/>
      </c>
    </row>
    <row r="97">
      <c r="A97" s="12" t="n">
        <v>13</v>
      </c>
      <c r="B97" s="12">
        <f>IFERROR(IF(SUMIFS(tblDaily[Admissions],tblDaily[EntryDate],DATE(2026,3,13),tblDaily[WardCode],"FAE")=0,"",SUMIFS(tblDaily[Admissions],tblDaily[EntryDate],DATE(2026,3,13),tblDaily[WardCode],"FAE")),"")</f>
        <v/>
      </c>
      <c r="C97" s="12">
        <f>IFERROR(IF(SUMIFS(tblDaily[Discharges],tblDaily[EntryDate],DATE(2026,3,13),tblDaily[WardCode],"FAE")=0,"",SUMIFS(tblDaily[Discharges],tblDaily[EntryDate],DATE(2026,3,13),tblDaily[WardCode],"FAE")),"")</f>
        <v/>
      </c>
      <c r="D97" s="12">
        <f>IFERROR(IF(SUMIFS(tblDaily[Deaths],tblDaily[EntryDate],DATE(2026,3,13),tblDaily[WardCode],"FAE")=0,"",SUMIFS(tblDaily[Deaths],tblDaily[EntryDate],DATE(2026,3,13),tblDaily[WardCode],"FAE")),"")</f>
        <v/>
      </c>
      <c r="E97" s="12">
        <f>IFERROR(IF(SUMIFS(tblDaily[DeathsUnder24Hrs],tblDaily[EntryDate],DATE(2026,3,13),tblDaily[WardCode],"FAE")=0,"",SUMIFS(tblDaily[DeathsUnder24Hrs],tblDaily[EntryDate],DATE(2026,3,13),tblDaily[WardCode],"FAE")),"")</f>
        <v/>
      </c>
      <c r="F97" s="12">
        <f>IFERROR(IF(SUMIFS(tblDaily[TransfersIn],tblDaily[EntryDate],DATE(2026,3,13),tblDaily[WardCode],"FAE")=0,"",SUMIFS(tblDaily[TransfersIn],tblDaily[EntryDate],DATE(2026,3,13),tblDaily[WardCode],"FAE")),"")</f>
        <v/>
      </c>
      <c r="G97" s="12">
        <f>IFERROR(IF(SUMIFS(tblDaily[TransfersOut],tblDaily[EntryDate],DATE(2026,3,13),tblDaily[WardCode],"FAE")=0,"",SUMIFS(tblDaily[TransfersOut],tblDaily[EntryDate],DATE(2026,3,13),tblDaily[WardCode],"FAE")),"")</f>
        <v/>
      </c>
      <c r="H97" s="12">
        <f>IFERROR(IF(SUMIFS(tblDaily[Remaining],tblDaily[EntryDate],DATE(2026,3,13),tblDaily[WardCode],"FAE")=0,"",SUMIFS(tblDaily[Remaining],tblDaily[EntryDate],DATE(2026,3,13),tblDaily[WardCode],"FAE")),"")</f>
        <v/>
      </c>
    </row>
    <row r="98">
      <c r="A98" s="12" t="n">
        <v>14</v>
      </c>
      <c r="B98" s="12">
        <f>IFERROR(IF(SUMIFS(tblDaily[Admissions],tblDaily[EntryDate],DATE(2026,3,14),tblDaily[WardCode],"FAE")=0,"",SUMIFS(tblDaily[Admissions],tblDaily[EntryDate],DATE(2026,3,14),tblDaily[WardCode],"FAE")),"")</f>
        <v/>
      </c>
      <c r="C98" s="12">
        <f>IFERROR(IF(SUMIFS(tblDaily[Discharges],tblDaily[EntryDate],DATE(2026,3,14),tblDaily[WardCode],"FAE")=0,"",SUMIFS(tblDaily[Discharges],tblDaily[EntryDate],DATE(2026,3,14),tblDaily[WardCode],"FAE")),"")</f>
        <v/>
      </c>
      <c r="D98" s="12">
        <f>IFERROR(IF(SUMIFS(tblDaily[Deaths],tblDaily[EntryDate],DATE(2026,3,14),tblDaily[WardCode],"FAE")=0,"",SUMIFS(tblDaily[Deaths],tblDaily[EntryDate],DATE(2026,3,14),tblDaily[WardCode],"FAE")),"")</f>
        <v/>
      </c>
      <c r="E98" s="12">
        <f>IFERROR(IF(SUMIFS(tblDaily[DeathsUnder24Hrs],tblDaily[EntryDate],DATE(2026,3,14),tblDaily[WardCode],"FAE")=0,"",SUMIFS(tblDaily[DeathsUnder24Hrs],tblDaily[EntryDate],DATE(2026,3,14),tblDaily[WardCode],"FAE")),"")</f>
        <v/>
      </c>
      <c r="F98" s="12">
        <f>IFERROR(IF(SUMIFS(tblDaily[TransfersIn],tblDaily[EntryDate],DATE(2026,3,14),tblDaily[WardCode],"FAE")=0,"",SUMIFS(tblDaily[TransfersIn],tblDaily[EntryDate],DATE(2026,3,14),tblDaily[WardCode],"FAE")),"")</f>
        <v/>
      </c>
      <c r="G98" s="12">
        <f>IFERROR(IF(SUMIFS(tblDaily[TransfersOut],tblDaily[EntryDate],DATE(2026,3,14),tblDaily[WardCode],"FAE")=0,"",SUMIFS(tblDaily[TransfersOut],tblDaily[EntryDate],DATE(2026,3,14),tblDaily[WardCode],"FAE")),"")</f>
        <v/>
      </c>
      <c r="H98" s="12">
        <f>IFERROR(IF(SUMIFS(tblDaily[Remaining],tblDaily[EntryDate],DATE(2026,3,14),tblDaily[WardCode],"FAE")=0,"",SUMIFS(tblDaily[Remaining],tblDaily[EntryDate],DATE(2026,3,14),tblDaily[WardCode],"FAE")),"")</f>
        <v/>
      </c>
    </row>
    <row r="99">
      <c r="A99" s="12" t="n">
        <v>15</v>
      </c>
      <c r="B99" s="12">
        <f>IFERROR(IF(SUMIFS(tblDaily[Admissions],tblDaily[EntryDate],DATE(2026,3,15),tblDaily[WardCode],"FAE")=0,"",SUMIFS(tblDaily[Admissions],tblDaily[EntryDate],DATE(2026,3,15),tblDaily[WardCode],"FAE")),"")</f>
        <v/>
      </c>
      <c r="C99" s="12">
        <f>IFERROR(IF(SUMIFS(tblDaily[Discharges],tblDaily[EntryDate],DATE(2026,3,15),tblDaily[WardCode],"FAE")=0,"",SUMIFS(tblDaily[Discharges],tblDaily[EntryDate],DATE(2026,3,15),tblDaily[WardCode],"FAE")),"")</f>
        <v/>
      </c>
      <c r="D99" s="12">
        <f>IFERROR(IF(SUMIFS(tblDaily[Deaths],tblDaily[EntryDate],DATE(2026,3,15),tblDaily[WardCode],"FAE")=0,"",SUMIFS(tblDaily[Deaths],tblDaily[EntryDate],DATE(2026,3,15),tblDaily[WardCode],"FAE")),"")</f>
        <v/>
      </c>
      <c r="E99" s="12">
        <f>IFERROR(IF(SUMIFS(tblDaily[DeathsUnder24Hrs],tblDaily[EntryDate],DATE(2026,3,15),tblDaily[WardCode],"FAE")=0,"",SUMIFS(tblDaily[DeathsUnder24Hrs],tblDaily[EntryDate],DATE(2026,3,15),tblDaily[WardCode],"FAE")),"")</f>
        <v/>
      </c>
      <c r="F99" s="12">
        <f>IFERROR(IF(SUMIFS(tblDaily[TransfersIn],tblDaily[EntryDate],DATE(2026,3,15),tblDaily[WardCode],"FAE")=0,"",SUMIFS(tblDaily[TransfersIn],tblDaily[EntryDate],DATE(2026,3,15),tblDaily[WardCode],"FAE")),"")</f>
        <v/>
      </c>
      <c r="G99" s="12">
        <f>IFERROR(IF(SUMIFS(tblDaily[TransfersOut],tblDaily[EntryDate],DATE(2026,3,15),tblDaily[WardCode],"FAE")=0,"",SUMIFS(tblDaily[TransfersOut],tblDaily[EntryDate],DATE(2026,3,15),tblDaily[WardCode],"FAE")),"")</f>
        <v/>
      </c>
      <c r="H99" s="12">
        <f>IFERROR(IF(SUMIFS(tblDaily[Remaining],tblDaily[EntryDate],DATE(2026,3,15),tblDaily[WardCode],"FAE")=0,"",SUMIFS(tblDaily[Remaining],tblDaily[EntryDate],DATE(2026,3,15),tblDaily[WardCode],"FAE")),"")</f>
        <v/>
      </c>
    </row>
    <row r="100">
      <c r="A100" s="12" t="n">
        <v>16</v>
      </c>
      <c r="B100" s="12">
        <f>IFERROR(IF(SUMIFS(tblDaily[Admissions],tblDaily[EntryDate],DATE(2026,3,16),tblDaily[WardCode],"FAE")=0,"",SUMIFS(tblDaily[Admissions],tblDaily[EntryDate],DATE(2026,3,16),tblDaily[WardCode],"FAE")),"")</f>
        <v/>
      </c>
      <c r="C100" s="12">
        <f>IFERROR(IF(SUMIFS(tblDaily[Discharges],tblDaily[EntryDate],DATE(2026,3,16),tblDaily[WardCode],"FAE")=0,"",SUMIFS(tblDaily[Discharges],tblDaily[EntryDate],DATE(2026,3,16),tblDaily[WardCode],"FAE")),"")</f>
        <v/>
      </c>
      <c r="D100" s="12">
        <f>IFERROR(IF(SUMIFS(tblDaily[Deaths],tblDaily[EntryDate],DATE(2026,3,16),tblDaily[WardCode],"FAE")=0,"",SUMIFS(tblDaily[Deaths],tblDaily[EntryDate],DATE(2026,3,16),tblDaily[WardCode],"FAE")),"")</f>
        <v/>
      </c>
      <c r="E100" s="12">
        <f>IFERROR(IF(SUMIFS(tblDaily[DeathsUnder24Hrs],tblDaily[EntryDate],DATE(2026,3,16),tblDaily[WardCode],"FAE")=0,"",SUMIFS(tblDaily[DeathsUnder24Hrs],tblDaily[EntryDate],DATE(2026,3,16),tblDaily[WardCode],"FAE")),"")</f>
        <v/>
      </c>
      <c r="F100" s="12">
        <f>IFERROR(IF(SUMIFS(tblDaily[TransfersIn],tblDaily[EntryDate],DATE(2026,3,16),tblDaily[WardCode],"FAE")=0,"",SUMIFS(tblDaily[TransfersIn],tblDaily[EntryDate],DATE(2026,3,16),tblDaily[WardCode],"FAE")),"")</f>
        <v/>
      </c>
      <c r="G100" s="12">
        <f>IFERROR(IF(SUMIFS(tblDaily[TransfersOut],tblDaily[EntryDate],DATE(2026,3,16),tblDaily[WardCode],"FAE")=0,"",SUMIFS(tblDaily[TransfersOut],tblDaily[EntryDate],DATE(2026,3,16),tblDaily[WardCode],"FAE")),"")</f>
        <v/>
      </c>
      <c r="H100" s="12">
        <f>IFERROR(IF(SUMIFS(tblDaily[Remaining],tblDaily[EntryDate],DATE(2026,3,16),tblDaily[WardCode],"FAE")=0,"",SUMIFS(tblDaily[Remaining],tblDaily[EntryDate],DATE(2026,3,16),tblDaily[WardCode],"FAE")),"")</f>
        <v/>
      </c>
    </row>
    <row r="101">
      <c r="A101" s="12" t="n">
        <v>17</v>
      </c>
      <c r="B101" s="12">
        <f>IFERROR(IF(SUMIFS(tblDaily[Admissions],tblDaily[EntryDate],DATE(2026,3,17),tblDaily[WardCode],"FAE")=0,"",SUMIFS(tblDaily[Admissions],tblDaily[EntryDate],DATE(2026,3,17),tblDaily[WardCode],"FAE")),"")</f>
        <v/>
      </c>
      <c r="C101" s="12">
        <f>IFERROR(IF(SUMIFS(tblDaily[Discharges],tblDaily[EntryDate],DATE(2026,3,17),tblDaily[WardCode],"FAE")=0,"",SUMIFS(tblDaily[Discharges],tblDaily[EntryDate],DATE(2026,3,17),tblDaily[WardCode],"FAE")),"")</f>
        <v/>
      </c>
      <c r="D101" s="12">
        <f>IFERROR(IF(SUMIFS(tblDaily[Deaths],tblDaily[EntryDate],DATE(2026,3,17),tblDaily[WardCode],"FAE")=0,"",SUMIFS(tblDaily[Deaths],tblDaily[EntryDate],DATE(2026,3,17),tblDaily[WardCode],"FAE")),"")</f>
        <v/>
      </c>
      <c r="E101" s="12">
        <f>IFERROR(IF(SUMIFS(tblDaily[DeathsUnder24Hrs],tblDaily[EntryDate],DATE(2026,3,17),tblDaily[WardCode],"FAE")=0,"",SUMIFS(tblDaily[DeathsUnder24Hrs],tblDaily[EntryDate],DATE(2026,3,17),tblDaily[WardCode],"FAE")),"")</f>
        <v/>
      </c>
      <c r="F101" s="12">
        <f>IFERROR(IF(SUMIFS(tblDaily[TransfersIn],tblDaily[EntryDate],DATE(2026,3,17),tblDaily[WardCode],"FAE")=0,"",SUMIFS(tblDaily[TransfersIn],tblDaily[EntryDate],DATE(2026,3,17),tblDaily[WardCode],"FAE")),"")</f>
        <v/>
      </c>
      <c r="G101" s="12">
        <f>IFERROR(IF(SUMIFS(tblDaily[TransfersOut],tblDaily[EntryDate],DATE(2026,3,17),tblDaily[WardCode],"FAE")=0,"",SUMIFS(tblDaily[TransfersOut],tblDaily[EntryDate],DATE(2026,3,17),tblDaily[WardCode],"FAE")),"")</f>
        <v/>
      </c>
      <c r="H101" s="12">
        <f>IFERROR(IF(SUMIFS(tblDaily[Remaining],tblDaily[EntryDate],DATE(2026,3,17),tblDaily[WardCode],"FAE")=0,"",SUMIFS(tblDaily[Remaining],tblDaily[EntryDate],DATE(2026,3,17),tblDaily[WardCode],"FAE")),"")</f>
        <v/>
      </c>
    </row>
    <row r="102">
      <c r="A102" s="12" t="n">
        <v>18</v>
      </c>
      <c r="B102" s="12">
        <f>IFERROR(IF(SUMIFS(tblDaily[Admissions],tblDaily[EntryDate],DATE(2026,3,18),tblDaily[WardCode],"FAE")=0,"",SUMIFS(tblDaily[Admissions],tblDaily[EntryDate],DATE(2026,3,18),tblDaily[WardCode],"FAE")),"")</f>
        <v/>
      </c>
      <c r="C102" s="12">
        <f>IFERROR(IF(SUMIFS(tblDaily[Discharges],tblDaily[EntryDate],DATE(2026,3,18),tblDaily[WardCode],"FAE")=0,"",SUMIFS(tblDaily[Discharges],tblDaily[EntryDate],DATE(2026,3,18),tblDaily[WardCode],"FAE")),"")</f>
        <v/>
      </c>
      <c r="D102" s="12">
        <f>IFERROR(IF(SUMIFS(tblDaily[Deaths],tblDaily[EntryDate],DATE(2026,3,18),tblDaily[WardCode],"FAE")=0,"",SUMIFS(tblDaily[Deaths],tblDaily[EntryDate],DATE(2026,3,18),tblDaily[WardCode],"FAE")),"")</f>
        <v/>
      </c>
      <c r="E102" s="12">
        <f>IFERROR(IF(SUMIFS(tblDaily[DeathsUnder24Hrs],tblDaily[EntryDate],DATE(2026,3,18),tblDaily[WardCode],"FAE")=0,"",SUMIFS(tblDaily[DeathsUnder24Hrs],tblDaily[EntryDate],DATE(2026,3,18),tblDaily[WardCode],"FAE")),"")</f>
        <v/>
      </c>
      <c r="F102" s="12">
        <f>IFERROR(IF(SUMIFS(tblDaily[TransfersIn],tblDaily[EntryDate],DATE(2026,3,18),tblDaily[WardCode],"FAE")=0,"",SUMIFS(tblDaily[TransfersIn],tblDaily[EntryDate],DATE(2026,3,18),tblDaily[WardCode],"FAE")),"")</f>
        <v/>
      </c>
      <c r="G102" s="12">
        <f>IFERROR(IF(SUMIFS(tblDaily[TransfersOut],tblDaily[EntryDate],DATE(2026,3,18),tblDaily[WardCode],"FAE")=0,"",SUMIFS(tblDaily[TransfersOut],tblDaily[EntryDate],DATE(2026,3,18),tblDaily[WardCode],"FAE")),"")</f>
        <v/>
      </c>
      <c r="H102" s="12">
        <f>IFERROR(IF(SUMIFS(tblDaily[Remaining],tblDaily[EntryDate],DATE(2026,3,18),tblDaily[WardCode],"FAE")=0,"",SUMIFS(tblDaily[Remaining],tblDaily[EntryDate],DATE(2026,3,18),tblDaily[WardCode],"FAE")),"")</f>
        <v/>
      </c>
    </row>
    <row r="103">
      <c r="A103" s="12" t="n">
        <v>19</v>
      </c>
      <c r="B103" s="12">
        <f>IFERROR(IF(SUMIFS(tblDaily[Admissions],tblDaily[EntryDate],DATE(2026,3,19),tblDaily[WardCode],"FAE")=0,"",SUMIFS(tblDaily[Admissions],tblDaily[EntryDate],DATE(2026,3,19),tblDaily[WardCode],"FAE")),"")</f>
        <v/>
      </c>
      <c r="C103" s="12">
        <f>IFERROR(IF(SUMIFS(tblDaily[Discharges],tblDaily[EntryDate],DATE(2026,3,19),tblDaily[WardCode],"FAE")=0,"",SUMIFS(tblDaily[Discharges],tblDaily[EntryDate],DATE(2026,3,19),tblDaily[WardCode],"FAE")),"")</f>
        <v/>
      </c>
      <c r="D103" s="12">
        <f>IFERROR(IF(SUMIFS(tblDaily[Deaths],tblDaily[EntryDate],DATE(2026,3,19),tblDaily[WardCode],"FAE")=0,"",SUMIFS(tblDaily[Deaths],tblDaily[EntryDate],DATE(2026,3,19),tblDaily[WardCode],"FAE")),"")</f>
        <v/>
      </c>
      <c r="E103" s="12">
        <f>IFERROR(IF(SUMIFS(tblDaily[DeathsUnder24Hrs],tblDaily[EntryDate],DATE(2026,3,19),tblDaily[WardCode],"FAE")=0,"",SUMIFS(tblDaily[DeathsUnder24Hrs],tblDaily[EntryDate],DATE(2026,3,19),tblDaily[WardCode],"FAE")),"")</f>
        <v/>
      </c>
      <c r="F103" s="12">
        <f>IFERROR(IF(SUMIFS(tblDaily[TransfersIn],tblDaily[EntryDate],DATE(2026,3,19),tblDaily[WardCode],"FAE")=0,"",SUMIFS(tblDaily[TransfersIn],tblDaily[EntryDate],DATE(2026,3,19),tblDaily[WardCode],"FAE")),"")</f>
        <v/>
      </c>
      <c r="G103" s="12">
        <f>IFERROR(IF(SUMIFS(tblDaily[TransfersOut],tblDaily[EntryDate],DATE(2026,3,19),tblDaily[WardCode],"FAE")=0,"",SUMIFS(tblDaily[TransfersOut],tblDaily[EntryDate],DATE(2026,3,19),tblDaily[WardCode],"FAE")),"")</f>
        <v/>
      </c>
      <c r="H103" s="12">
        <f>IFERROR(IF(SUMIFS(tblDaily[Remaining],tblDaily[EntryDate],DATE(2026,3,19),tblDaily[WardCode],"FAE")=0,"",SUMIFS(tblDaily[Remaining],tblDaily[EntryDate],DATE(2026,3,19),tblDaily[WardCode],"FAE")),"")</f>
        <v/>
      </c>
    </row>
    <row r="104">
      <c r="A104" s="12" t="n">
        <v>20</v>
      </c>
      <c r="B104" s="12">
        <f>IFERROR(IF(SUMIFS(tblDaily[Admissions],tblDaily[EntryDate],DATE(2026,3,20),tblDaily[WardCode],"FAE")=0,"",SUMIFS(tblDaily[Admissions],tblDaily[EntryDate],DATE(2026,3,20),tblDaily[WardCode],"FAE")),"")</f>
        <v/>
      </c>
      <c r="C104" s="12">
        <f>IFERROR(IF(SUMIFS(tblDaily[Discharges],tblDaily[EntryDate],DATE(2026,3,20),tblDaily[WardCode],"FAE")=0,"",SUMIFS(tblDaily[Discharges],tblDaily[EntryDate],DATE(2026,3,20),tblDaily[WardCode],"FAE")),"")</f>
        <v/>
      </c>
      <c r="D104" s="12">
        <f>IFERROR(IF(SUMIFS(tblDaily[Deaths],tblDaily[EntryDate],DATE(2026,3,20),tblDaily[WardCode],"FAE")=0,"",SUMIFS(tblDaily[Deaths],tblDaily[EntryDate],DATE(2026,3,20),tblDaily[WardCode],"FAE")),"")</f>
        <v/>
      </c>
      <c r="E104" s="12">
        <f>IFERROR(IF(SUMIFS(tblDaily[DeathsUnder24Hrs],tblDaily[EntryDate],DATE(2026,3,20),tblDaily[WardCode],"FAE")=0,"",SUMIFS(tblDaily[DeathsUnder24Hrs],tblDaily[EntryDate],DATE(2026,3,20),tblDaily[WardCode],"FAE")),"")</f>
        <v/>
      </c>
      <c r="F104" s="12">
        <f>IFERROR(IF(SUMIFS(tblDaily[TransfersIn],tblDaily[EntryDate],DATE(2026,3,20),tblDaily[WardCode],"FAE")=0,"",SUMIFS(tblDaily[TransfersIn],tblDaily[EntryDate],DATE(2026,3,20),tblDaily[WardCode],"FAE")),"")</f>
        <v/>
      </c>
      <c r="G104" s="12">
        <f>IFERROR(IF(SUMIFS(tblDaily[TransfersOut],tblDaily[EntryDate],DATE(2026,3,20),tblDaily[WardCode],"FAE")=0,"",SUMIFS(tblDaily[TransfersOut],tblDaily[EntryDate],DATE(2026,3,20),tblDaily[WardCode],"FAE")),"")</f>
        <v/>
      </c>
      <c r="H104" s="12">
        <f>IFERROR(IF(SUMIFS(tblDaily[Remaining],tblDaily[EntryDate],DATE(2026,3,20),tblDaily[WardCode],"FAE")=0,"",SUMIFS(tblDaily[Remaining],tblDaily[EntryDate],DATE(2026,3,20),tblDaily[WardCode],"FAE")),"")</f>
        <v/>
      </c>
    </row>
    <row r="105">
      <c r="A105" s="12" t="n">
        <v>21</v>
      </c>
      <c r="B105" s="12">
        <f>IFERROR(IF(SUMIFS(tblDaily[Admissions],tblDaily[EntryDate],DATE(2026,3,21),tblDaily[WardCode],"FAE")=0,"",SUMIFS(tblDaily[Admissions],tblDaily[EntryDate],DATE(2026,3,21),tblDaily[WardCode],"FAE")),"")</f>
        <v/>
      </c>
      <c r="C105" s="12">
        <f>IFERROR(IF(SUMIFS(tblDaily[Discharges],tblDaily[EntryDate],DATE(2026,3,21),tblDaily[WardCode],"FAE")=0,"",SUMIFS(tblDaily[Discharges],tblDaily[EntryDate],DATE(2026,3,21),tblDaily[WardCode],"FAE")),"")</f>
        <v/>
      </c>
      <c r="D105" s="12">
        <f>IFERROR(IF(SUMIFS(tblDaily[Deaths],tblDaily[EntryDate],DATE(2026,3,21),tblDaily[WardCode],"FAE")=0,"",SUMIFS(tblDaily[Deaths],tblDaily[EntryDate],DATE(2026,3,21),tblDaily[WardCode],"FAE")),"")</f>
        <v/>
      </c>
      <c r="E105" s="12">
        <f>IFERROR(IF(SUMIFS(tblDaily[DeathsUnder24Hrs],tblDaily[EntryDate],DATE(2026,3,21),tblDaily[WardCode],"FAE")=0,"",SUMIFS(tblDaily[DeathsUnder24Hrs],tblDaily[EntryDate],DATE(2026,3,21),tblDaily[WardCode],"FAE")),"")</f>
        <v/>
      </c>
      <c r="F105" s="12">
        <f>IFERROR(IF(SUMIFS(tblDaily[TransfersIn],tblDaily[EntryDate],DATE(2026,3,21),tblDaily[WardCode],"FAE")=0,"",SUMIFS(tblDaily[TransfersIn],tblDaily[EntryDate],DATE(2026,3,21),tblDaily[WardCode],"FAE")),"")</f>
        <v/>
      </c>
      <c r="G105" s="12">
        <f>IFERROR(IF(SUMIFS(tblDaily[TransfersOut],tblDaily[EntryDate],DATE(2026,3,21),tblDaily[WardCode],"FAE")=0,"",SUMIFS(tblDaily[TransfersOut],tblDaily[EntryDate],DATE(2026,3,21),tblDaily[WardCode],"FAE")),"")</f>
        <v/>
      </c>
      <c r="H105" s="12">
        <f>IFERROR(IF(SUMIFS(tblDaily[Remaining],tblDaily[EntryDate],DATE(2026,3,21),tblDaily[WardCode],"FAE")=0,"",SUMIFS(tblDaily[Remaining],tblDaily[EntryDate],DATE(2026,3,21),tblDaily[WardCode],"FAE")),"")</f>
        <v/>
      </c>
    </row>
    <row r="106">
      <c r="A106" s="12" t="n">
        <v>22</v>
      </c>
      <c r="B106" s="12">
        <f>IFERROR(IF(SUMIFS(tblDaily[Admissions],tblDaily[EntryDate],DATE(2026,3,22),tblDaily[WardCode],"FAE")=0,"",SUMIFS(tblDaily[Admissions],tblDaily[EntryDate],DATE(2026,3,22),tblDaily[WardCode],"FAE")),"")</f>
        <v/>
      </c>
      <c r="C106" s="12">
        <f>IFERROR(IF(SUMIFS(tblDaily[Discharges],tblDaily[EntryDate],DATE(2026,3,22),tblDaily[WardCode],"FAE")=0,"",SUMIFS(tblDaily[Discharges],tblDaily[EntryDate],DATE(2026,3,22),tblDaily[WardCode],"FAE")),"")</f>
        <v/>
      </c>
      <c r="D106" s="12">
        <f>IFERROR(IF(SUMIFS(tblDaily[Deaths],tblDaily[EntryDate],DATE(2026,3,22),tblDaily[WardCode],"FAE")=0,"",SUMIFS(tblDaily[Deaths],tblDaily[EntryDate],DATE(2026,3,22),tblDaily[WardCode],"FAE")),"")</f>
        <v/>
      </c>
      <c r="E106" s="12">
        <f>IFERROR(IF(SUMIFS(tblDaily[DeathsUnder24Hrs],tblDaily[EntryDate],DATE(2026,3,22),tblDaily[WardCode],"FAE")=0,"",SUMIFS(tblDaily[DeathsUnder24Hrs],tblDaily[EntryDate],DATE(2026,3,22),tblDaily[WardCode],"FAE")),"")</f>
        <v/>
      </c>
      <c r="F106" s="12">
        <f>IFERROR(IF(SUMIFS(tblDaily[TransfersIn],tblDaily[EntryDate],DATE(2026,3,22),tblDaily[WardCode],"FAE")=0,"",SUMIFS(tblDaily[TransfersIn],tblDaily[EntryDate],DATE(2026,3,22),tblDaily[WardCode],"FAE")),"")</f>
        <v/>
      </c>
      <c r="G106" s="12">
        <f>IFERROR(IF(SUMIFS(tblDaily[TransfersOut],tblDaily[EntryDate],DATE(2026,3,22),tblDaily[WardCode],"FAE")=0,"",SUMIFS(tblDaily[TransfersOut],tblDaily[EntryDate],DATE(2026,3,22),tblDaily[WardCode],"FAE")),"")</f>
        <v/>
      </c>
      <c r="H106" s="12">
        <f>IFERROR(IF(SUMIFS(tblDaily[Remaining],tblDaily[EntryDate],DATE(2026,3,22),tblDaily[WardCode],"FAE")=0,"",SUMIFS(tblDaily[Remaining],tblDaily[EntryDate],DATE(2026,3,22),tblDaily[WardCode],"FAE")),"")</f>
        <v/>
      </c>
    </row>
    <row r="107">
      <c r="A107" s="12" t="n">
        <v>23</v>
      </c>
      <c r="B107" s="12">
        <f>IFERROR(IF(SUMIFS(tblDaily[Admissions],tblDaily[EntryDate],DATE(2026,3,23),tblDaily[WardCode],"FAE")=0,"",SUMIFS(tblDaily[Admissions],tblDaily[EntryDate],DATE(2026,3,23),tblDaily[WardCode],"FAE")),"")</f>
        <v/>
      </c>
      <c r="C107" s="12">
        <f>IFERROR(IF(SUMIFS(tblDaily[Discharges],tblDaily[EntryDate],DATE(2026,3,23),tblDaily[WardCode],"FAE")=0,"",SUMIFS(tblDaily[Discharges],tblDaily[EntryDate],DATE(2026,3,23),tblDaily[WardCode],"FAE")),"")</f>
        <v/>
      </c>
      <c r="D107" s="12">
        <f>IFERROR(IF(SUMIFS(tblDaily[Deaths],tblDaily[EntryDate],DATE(2026,3,23),tblDaily[WardCode],"FAE")=0,"",SUMIFS(tblDaily[Deaths],tblDaily[EntryDate],DATE(2026,3,23),tblDaily[WardCode],"FAE")),"")</f>
        <v/>
      </c>
      <c r="E107" s="12">
        <f>IFERROR(IF(SUMIFS(tblDaily[DeathsUnder24Hrs],tblDaily[EntryDate],DATE(2026,3,23),tblDaily[WardCode],"FAE")=0,"",SUMIFS(tblDaily[DeathsUnder24Hrs],tblDaily[EntryDate],DATE(2026,3,23),tblDaily[WardCode],"FAE")),"")</f>
        <v/>
      </c>
      <c r="F107" s="12">
        <f>IFERROR(IF(SUMIFS(tblDaily[TransfersIn],tblDaily[EntryDate],DATE(2026,3,23),tblDaily[WardCode],"FAE")=0,"",SUMIFS(tblDaily[TransfersIn],tblDaily[EntryDate],DATE(2026,3,23),tblDaily[WardCode],"FAE")),"")</f>
        <v/>
      </c>
      <c r="G107" s="12">
        <f>IFERROR(IF(SUMIFS(tblDaily[TransfersOut],tblDaily[EntryDate],DATE(2026,3,23),tblDaily[WardCode],"FAE")=0,"",SUMIFS(tblDaily[TransfersOut],tblDaily[EntryDate],DATE(2026,3,23),tblDaily[WardCode],"FAE")),"")</f>
        <v/>
      </c>
      <c r="H107" s="12">
        <f>IFERROR(IF(SUMIFS(tblDaily[Remaining],tblDaily[EntryDate],DATE(2026,3,23),tblDaily[WardCode],"FAE")=0,"",SUMIFS(tblDaily[Remaining],tblDaily[EntryDate],DATE(2026,3,23),tblDaily[WardCode],"FAE")),"")</f>
        <v/>
      </c>
    </row>
    <row r="108">
      <c r="A108" s="12" t="n">
        <v>24</v>
      </c>
      <c r="B108" s="12">
        <f>IFERROR(IF(SUMIFS(tblDaily[Admissions],tblDaily[EntryDate],DATE(2026,3,24),tblDaily[WardCode],"FAE")=0,"",SUMIFS(tblDaily[Admissions],tblDaily[EntryDate],DATE(2026,3,24),tblDaily[WardCode],"FAE")),"")</f>
        <v/>
      </c>
      <c r="C108" s="12">
        <f>IFERROR(IF(SUMIFS(tblDaily[Discharges],tblDaily[EntryDate],DATE(2026,3,24),tblDaily[WardCode],"FAE")=0,"",SUMIFS(tblDaily[Discharges],tblDaily[EntryDate],DATE(2026,3,24),tblDaily[WardCode],"FAE")),"")</f>
        <v/>
      </c>
      <c r="D108" s="12">
        <f>IFERROR(IF(SUMIFS(tblDaily[Deaths],tblDaily[EntryDate],DATE(2026,3,24),tblDaily[WardCode],"FAE")=0,"",SUMIFS(tblDaily[Deaths],tblDaily[EntryDate],DATE(2026,3,24),tblDaily[WardCode],"FAE")),"")</f>
        <v/>
      </c>
      <c r="E108" s="12">
        <f>IFERROR(IF(SUMIFS(tblDaily[DeathsUnder24Hrs],tblDaily[EntryDate],DATE(2026,3,24),tblDaily[WardCode],"FAE")=0,"",SUMIFS(tblDaily[DeathsUnder24Hrs],tblDaily[EntryDate],DATE(2026,3,24),tblDaily[WardCode],"FAE")),"")</f>
        <v/>
      </c>
      <c r="F108" s="12">
        <f>IFERROR(IF(SUMIFS(tblDaily[TransfersIn],tblDaily[EntryDate],DATE(2026,3,24),tblDaily[WardCode],"FAE")=0,"",SUMIFS(tblDaily[TransfersIn],tblDaily[EntryDate],DATE(2026,3,24),tblDaily[WardCode],"FAE")),"")</f>
        <v/>
      </c>
      <c r="G108" s="12">
        <f>IFERROR(IF(SUMIFS(tblDaily[TransfersOut],tblDaily[EntryDate],DATE(2026,3,24),tblDaily[WardCode],"FAE")=0,"",SUMIFS(tblDaily[TransfersOut],tblDaily[EntryDate],DATE(2026,3,24),tblDaily[WardCode],"FAE")),"")</f>
        <v/>
      </c>
      <c r="H108" s="12">
        <f>IFERROR(IF(SUMIFS(tblDaily[Remaining],tblDaily[EntryDate],DATE(2026,3,24),tblDaily[WardCode],"FAE")=0,"",SUMIFS(tblDaily[Remaining],tblDaily[EntryDate],DATE(2026,3,24),tblDaily[WardCode],"FAE")),"")</f>
        <v/>
      </c>
    </row>
    <row r="109">
      <c r="A109" s="12" t="n">
        <v>25</v>
      </c>
      <c r="B109" s="12">
        <f>IFERROR(IF(SUMIFS(tblDaily[Admissions],tblDaily[EntryDate],DATE(2026,3,25),tblDaily[WardCode],"FAE")=0,"",SUMIFS(tblDaily[Admissions],tblDaily[EntryDate],DATE(2026,3,25),tblDaily[WardCode],"FAE")),"")</f>
        <v/>
      </c>
      <c r="C109" s="12">
        <f>IFERROR(IF(SUMIFS(tblDaily[Discharges],tblDaily[EntryDate],DATE(2026,3,25),tblDaily[WardCode],"FAE")=0,"",SUMIFS(tblDaily[Discharges],tblDaily[EntryDate],DATE(2026,3,25),tblDaily[WardCode],"FAE")),"")</f>
        <v/>
      </c>
      <c r="D109" s="12">
        <f>IFERROR(IF(SUMIFS(tblDaily[Deaths],tblDaily[EntryDate],DATE(2026,3,25),tblDaily[WardCode],"FAE")=0,"",SUMIFS(tblDaily[Deaths],tblDaily[EntryDate],DATE(2026,3,25),tblDaily[WardCode],"FAE")),"")</f>
        <v/>
      </c>
      <c r="E109" s="12">
        <f>IFERROR(IF(SUMIFS(tblDaily[DeathsUnder24Hrs],tblDaily[EntryDate],DATE(2026,3,25),tblDaily[WardCode],"FAE")=0,"",SUMIFS(tblDaily[DeathsUnder24Hrs],tblDaily[EntryDate],DATE(2026,3,25),tblDaily[WardCode],"FAE")),"")</f>
        <v/>
      </c>
      <c r="F109" s="12">
        <f>IFERROR(IF(SUMIFS(tblDaily[TransfersIn],tblDaily[EntryDate],DATE(2026,3,25),tblDaily[WardCode],"FAE")=0,"",SUMIFS(tblDaily[TransfersIn],tblDaily[EntryDate],DATE(2026,3,25),tblDaily[WardCode],"FAE")),"")</f>
        <v/>
      </c>
      <c r="G109" s="12">
        <f>IFERROR(IF(SUMIFS(tblDaily[TransfersOut],tblDaily[EntryDate],DATE(2026,3,25),tblDaily[WardCode],"FAE")=0,"",SUMIFS(tblDaily[TransfersOut],tblDaily[EntryDate],DATE(2026,3,25),tblDaily[WardCode],"FAE")),"")</f>
        <v/>
      </c>
      <c r="H109" s="12">
        <f>IFERROR(IF(SUMIFS(tblDaily[Remaining],tblDaily[EntryDate],DATE(2026,3,25),tblDaily[WardCode],"FAE")=0,"",SUMIFS(tblDaily[Remaining],tblDaily[EntryDate],DATE(2026,3,25),tblDaily[WardCode],"FAE")),"")</f>
        <v/>
      </c>
    </row>
    <row r="110">
      <c r="A110" s="12" t="n">
        <v>26</v>
      </c>
      <c r="B110" s="12">
        <f>IFERROR(IF(SUMIFS(tblDaily[Admissions],tblDaily[EntryDate],DATE(2026,3,26),tblDaily[WardCode],"FAE")=0,"",SUMIFS(tblDaily[Admissions],tblDaily[EntryDate],DATE(2026,3,26),tblDaily[WardCode],"FAE")),"")</f>
        <v/>
      </c>
      <c r="C110" s="12">
        <f>IFERROR(IF(SUMIFS(tblDaily[Discharges],tblDaily[EntryDate],DATE(2026,3,26),tblDaily[WardCode],"FAE")=0,"",SUMIFS(tblDaily[Discharges],tblDaily[EntryDate],DATE(2026,3,26),tblDaily[WardCode],"FAE")),"")</f>
        <v/>
      </c>
      <c r="D110" s="12">
        <f>IFERROR(IF(SUMIFS(tblDaily[Deaths],tblDaily[EntryDate],DATE(2026,3,26),tblDaily[WardCode],"FAE")=0,"",SUMIFS(tblDaily[Deaths],tblDaily[EntryDate],DATE(2026,3,26),tblDaily[WardCode],"FAE")),"")</f>
        <v/>
      </c>
      <c r="E110" s="12">
        <f>IFERROR(IF(SUMIFS(tblDaily[DeathsUnder24Hrs],tblDaily[EntryDate],DATE(2026,3,26),tblDaily[WardCode],"FAE")=0,"",SUMIFS(tblDaily[DeathsUnder24Hrs],tblDaily[EntryDate],DATE(2026,3,26),tblDaily[WardCode],"FAE")),"")</f>
        <v/>
      </c>
      <c r="F110" s="12">
        <f>IFERROR(IF(SUMIFS(tblDaily[TransfersIn],tblDaily[EntryDate],DATE(2026,3,26),tblDaily[WardCode],"FAE")=0,"",SUMIFS(tblDaily[TransfersIn],tblDaily[EntryDate],DATE(2026,3,26),tblDaily[WardCode],"FAE")),"")</f>
        <v/>
      </c>
      <c r="G110" s="12">
        <f>IFERROR(IF(SUMIFS(tblDaily[TransfersOut],tblDaily[EntryDate],DATE(2026,3,26),tblDaily[WardCode],"FAE")=0,"",SUMIFS(tblDaily[TransfersOut],tblDaily[EntryDate],DATE(2026,3,26),tblDaily[WardCode],"FAE")),"")</f>
        <v/>
      </c>
      <c r="H110" s="12">
        <f>IFERROR(IF(SUMIFS(tblDaily[Remaining],tblDaily[EntryDate],DATE(2026,3,26),tblDaily[WardCode],"FAE")=0,"",SUMIFS(tblDaily[Remaining],tblDaily[EntryDate],DATE(2026,3,26),tblDaily[WardCode],"FAE")),"")</f>
        <v/>
      </c>
    </row>
    <row r="111">
      <c r="A111" s="12" t="n">
        <v>27</v>
      </c>
      <c r="B111" s="12">
        <f>IFERROR(IF(SUMIFS(tblDaily[Admissions],tblDaily[EntryDate],DATE(2026,3,27),tblDaily[WardCode],"FAE")=0,"",SUMIFS(tblDaily[Admissions],tblDaily[EntryDate],DATE(2026,3,27),tblDaily[WardCode],"FAE")),"")</f>
        <v/>
      </c>
      <c r="C111" s="12">
        <f>IFERROR(IF(SUMIFS(tblDaily[Discharges],tblDaily[EntryDate],DATE(2026,3,27),tblDaily[WardCode],"FAE")=0,"",SUMIFS(tblDaily[Discharges],tblDaily[EntryDate],DATE(2026,3,27),tblDaily[WardCode],"FAE")),"")</f>
        <v/>
      </c>
      <c r="D111" s="12">
        <f>IFERROR(IF(SUMIFS(tblDaily[Deaths],tblDaily[EntryDate],DATE(2026,3,27),tblDaily[WardCode],"FAE")=0,"",SUMIFS(tblDaily[Deaths],tblDaily[EntryDate],DATE(2026,3,27),tblDaily[WardCode],"FAE")),"")</f>
        <v/>
      </c>
      <c r="E111" s="12">
        <f>IFERROR(IF(SUMIFS(tblDaily[DeathsUnder24Hrs],tblDaily[EntryDate],DATE(2026,3,27),tblDaily[WardCode],"FAE")=0,"",SUMIFS(tblDaily[DeathsUnder24Hrs],tblDaily[EntryDate],DATE(2026,3,27),tblDaily[WardCode],"FAE")),"")</f>
        <v/>
      </c>
      <c r="F111" s="12">
        <f>IFERROR(IF(SUMIFS(tblDaily[TransfersIn],tblDaily[EntryDate],DATE(2026,3,27),tblDaily[WardCode],"FAE")=0,"",SUMIFS(tblDaily[TransfersIn],tblDaily[EntryDate],DATE(2026,3,27),tblDaily[WardCode],"FAE")),"")</f>
        <v/>
      </c>
      <c r="G111" s="12">
        <f>IFERROR(IF(SUMIFS(tblDaily[TransfersOut],tblDaily[EntryDate],DATE(2026,3,27),tblDaily[WardCode],"FAE")=0,"",SUMIFS(tblDaily[TransfersOut],tblDaily[EntryDate],DATE(2026,3,27),tblDaily[WardCode],"FAE")),"")</f>
        <v/>
      </c>
      <c r="H111" s="12">
        <f>IFERROR(IF(SUMIFS(tblDaily[Remaining],tblDaily[EntryDate],DATE(2026,3,27),tblDaily[WardCode],"FAE")=0,"",SUMIFS(tblDaily[Remaining],tblDaily[EntryDate],DATE(2026,3,27),tblDaily[WardCode],"FAE")),"")</f>
        <v/>
      </c>
    </row>
    <row r="112">
      <c r="A112" s="12" t="n">
        <v>28</v>
      </c>
      <c r="B112" s="12">
        <f>IFERROR(IF(SUMIFS(tblDaily[Admissions],tblDaily[EntryDate],DATE(2026,3,28),tblDaily[WardCode],"FAE")=0,"",SUMIFS(tblDaily[Admissions],tblDaily[EntryDate],DATE(2026,3,28),tblDaily[WardCode],"FAE")),"")</f>
        <v/>
      </c>
      <c r="C112" s="12">
        <f>IFERROR(IF(SUMIFS(tblDaily[Discharges],tblDaily[EntryDate],DATE(2026,3,28),tblDaily[WardCode],"FAE")=0,"",SUMIFS(tblDaily[Discharges],tblDaily[EntryDate],DATE(2026,3,28),tblDaily[WardCode],"FAE")),"")</f>
        <v/>
      </c>
      <c r="D112" s="12">
        <f>IFERROR(IF(SUMIFS(tblDaily[Deaths],tblDaily[EntryDate],DATE(2026,3,28),tblDaily[WardCode],"FAE")=0,"",SUMIFS(tblDaily[Deaths],tblDaily[EntryDate],DATE(2026,3,28),tblDaily[WardCode],"FAE")),"")</f>
        <v/>
      </c>
      <c r="E112" s="12">
        <f>IFERROR(IF(SUMIFS(tblDaily[DeathsUnder24Hrs],tblDaily[EntryDate],DATE(2026,3,28),tblDaily[WardCode],"FAE")=0,"",SUMIFS(tblDaily[DeathsUnder24Hrs],tblDaily[EntryDate],DATE(2026,3,28),tblDaily[WardCode],"FAE")),"")</f>
        <v/>
      </c>
      <c r="F112" s="12">
        <f>IFERROR(IF(SUMIFS(tblDaily[TransfersIn],tblDaily[EntryDate],DATE(2026,3,28),tblDaily[WardCode],"FAE")=0,"",SUMIFS(tblDaily[TransfersIn],tblDaily[EntryDate],DATE(2026,3,28),tblDaily[WardCode],"FAE")),"")</f>
        <v/>
      </c>
      <c r="G112" s="12">
        <f>IFERROR(IF(SUMIFS(tblDaily[TransfersOut],tblDaily[EntryDate],DATE(2026,3,28),tblDaily[WardCode],"FAE")=0,"",SUMIFS(tblDaily[TransfersOut],tblDaily[EntryDate],DATE(2026,3,28),tblDaily[WardCode],"FAE")),"")</f>
        <v/>
      </c>
      <c r="H112" s="12">
        <f>IFERROR(IF(SUMIFS(tblDaily[Remaining],tblDaily[EntryDate],DATE(2026,3,28),tblDaily[WardCode],"FAE")=0,"",SUMIFS(tblDaily[Remaining],tblDaily[EntryDate],DATE(2026,3,28),tblDaily[WardCode],"FAE")),"")</f>
        <v/>
      </c>
    </row>
    <row r="113">
      <c r="A113" s="12" t="n">
        <v>29</v>
      </c>
      <c r="B113" s="12">
        <f>IFERROR(IF(SUMIFS(tblDaily[Admissions],tblDaily[EntryDate],DATE(2026,3,29),tblDaily[WardCode],"FAE")=0,"",SUMIFS(tblDaily[Admissions],tblDaily[EntryDate],DATE(2026,3,29),tblDaily[WardCode],"FAE")),"")</f>
        <v/>
      </c>
      <c r="C113" s="12">
        <f>IFERROR(IF(SUMIFS(tblDaily[Discharges],tblDaily[EntryDate],DATE(2026,3,29),tblDaily[WardCode],"FAE")=0,"",SUMIFS(tblDaily[Discharges],tblDaily[EntryDate],DATE(2026,3,29),tblDaily[WardCode],"FAE")),"")</f>
        <v/>
      </c>
      <c r="D113" s="12">
        <f>IFERROR(IF(SUMIFS(tblDaily[Deaths],tblDaily[EntryDate],DATE(2026,3,29),tblDaily[WardCode],"FAE")=0,"",SUMIFS(tblDaily[Deaths],tblDaily[EntryDate],DATE(2026,3,29),tblDaily[WardCode],"FAE")),"")</f>
        <v/>
      </c>
      <c r="E113" s="12">
        <f>IFERROR(IF(SUMIFS(tblDaily[DeathsUnder24Hrs],tblDaily[EntryDate],DATE(2026,3,29),tblDaily[WardCode],"FAE")=0,"",SUMIFS(tblDaily[DeathsUnder24Hrs],tblDaily[EntryDate],DATE(2026,3,29),tblDaily[WardCode],"FAE")),"")</f>
        <v/>
      </c>
      <c r="F113" s="12">
        <f>IFERROR(IF(SUMIFS(tblDaily[TransfersIn],tblDaily[EntryDate],DATE(2026,3,29),tblDaily[WardCode],"FAE")=0,"",SUMIFS(tblDaily[TransfersIn],tblDaily[EntryDate],DATE(2026,3,29),tblDaily[WardCode],"FAE")),"")</f>
        <v/>
      </c>
      <c r="G113" s="12">
        <f>IFERROR(IF(SUMIFS(tblDaily[TransfersOut],tblDaily[EntryDate],DATE(2026,3,29),tblDaily[WardCode],"FAE")=0,"",SUMIFS(tblDaily[TransfersOut],tblDaily[EntryDate],DATE(2026,3,29),tblDaily[WardCode],"FAE")),"")</f>
        <v/>
      </c>
      <c r="H113" s="12">
        <f>IFERROR(IF(SUMIFS(tblDaily[Remaining],tblDaily[EntryDate],DATE(2026,3,29),tblDaily[WardCode],"FAE")=0,"",SUMIFS(tblDaily[Remaining],tblDaily[EntryDate],DATE(2026,3,29),tblDaily[WardCode],"FAE")),"")</f>
        <v/>
      </c>
    </row>
    <row r="114">
      <c r="A114" s="12" t="n">
        <v>30</v>
      </c>
      <c r="B114" s="12">
        <f>IFERROR(IF(SUMIFS(tblDaily[Admissions],tblDaily[EntryDate],DATE(2026,3,30),tblDaily[WardCode],"FAE")=0,"",SUMIFS(tblDaily[Admissions],tblDaily[EntryDate],DATE(2026,3,30),tblDaily[WardCode],"FAE")),"")</f>
        <v/>
      </c>
      <c r="C114" s="12">
        <f>IFERROR(IF(SUMIFS(tblDaily[Discharges],tblDaily[EntryDate],DATE(2026,3,30),tblDaily[WardCode],"FAE")=0,"",SUMIFS(tblDaily[Discharges],tblDaily[EntryDate],DATE(2026,3,30),tblDaily[WardCode],"FAE")),"")</f>
        <v/>
      </c>
      <c r="D114" s="12">
        <f>IFERROR(IF(SUMIFS(tblDaily[Deaths],tblDaily[EntryDate],DATE(2026,3,30),tblDaily[WardCode],"FAE")=0,"",SUMIFS(tblDaily[Deaths],tblDaily[EntryDate],DATE(2026,3,30),tblDaily[WardCode],"FAE")),"")</f>
        <v/>
      </c>
      <c r="E114" s="12">
        <f>IFERROR(IF(SUMIFS(tblDaily[DeathsUnder24Hrs],tblDaily[EntryDate],DATE(2026,3,30),tblDaily[WardCode],"FAE")=0,"",SUMIFS(tblDaily[DeathsUnder24Hrs],tblDaily[EntryDate],DATE(2026,3,30),tblDaily[WardCode],"FAE")),"")</f>
        <v/>
      </c>
      <c r="F114" s="12">
        <f>IFERROR(IF(SUMIFS(tblDaily[TransfersIn],tblDaily[EntryDate],DATE(2026,3,30),tblDaily[WardCode],"FAE")=0,"",SUMIFS(tblDaily[TransfersIn],tblDaily[EntryDate],DATE(2026,3,30),tblDaily[WardCode],"FAE")),"")</f>
        <v/>
      </c>
      <c r="G114" s="12">
        <f>IFERROR(IF(SUMIFS(tblDaily[TransfersOut],tblDaily[EntryDate],DATE(2026,3,30),tblDaily[WardCode],"FAE")=0,"",SUMIFS(tblDaily[TransfersOut],tblDaily[EntryDate],DATE(2026,3,30),tblDaily[WardCode],"FAE")),"")</f>
        <v/>
      </c>
      <c r="H114" s="12">
        <f>IFERROR(IF(SUMIFS(tblDaily[Remaining],tblDaily[EntryDate],DATE(2026,3,30),tblDaily[WardCode],"FAE")=0,"",SUMIFS(tblDaily[Remaining],tblDaily[EntryDate],DATE(2026,3,30),tblDaily[WardCode],"FAE")),"")</f>
        <v/>
      </c>
    </row>
    <row r="115">
      <c r="A115" s="12" t="n">
        <v>31</v>
      </c>
      <c r="B115" s="12">
        <f>IFERROR(IF(SUMIFS(tblDaily[Admissions],tblDaily[EntryDate],DATE(2026,3,31),tblDaily[WardCode],"FAE")=0,"",SUMIFS(tblDaily[Admissions],tblDaily[EntryDate],DATE(2026,3,31),tblDaily[WardCode],"FAE")),"")</f>
        <v/>
      </c>
      <c r="C115" s="12">
        <f>IFERROR(IF(SUMIFS(tblDaily[Discharges],tblDaily[EntryDate],DATE(2026,3,31),tblDaily[WardCode],"FAE")=0,"",SUMIFS(tblDaily[Discharges],tblDaily[EntryDate],DATE(2026,3,31),tblDaily[WardCode],"FAE")),"")</f>
        <v/>
      </c>
      <c r="D115" s="12">
        <f>IFERROR(IF(SUMIFS(tblDaily[Deaths],tblDaily[EntryDate],DATE(2026,3,31),tblDaily[WardCode],"FAE")=0,"",SUMIFS(tblDaily[Deaths],tblDaily[EntryDate],DATE(2026,3,31),tblDaily[WardCode],"FAE")),"")</f>
        <v/>
      </c>
      <c r="E115" s="12">
        <f>IFERROR(IF(SUMIFS(tblDaily[DeathsUnder24Hrs],tblDaily[EntryDate],DATE(2026,3,31),tblDaily[WardCode],"FAE")=0,"",SUMIFS(tblDaily[DeathsUnder24Hrs],tblDaily[EntryDate],DATE(2026,3,31),tblDaily[WardCode],"FAE")),"")</f>
        <v/>
      </c>
      <c r="F115" s="12">
        <f>IFERROR(IF(SUMIFS(tblDaily[TransfersIn],tblDaily[EntryDate],DATE(2026,3,31),tblDaily[WardCode],"FAE")=0,"",SUMIFS(tblDaily[TransfersIn],tblDaily[EntryDate],DATE(2026,3,31),tblDaily[WardCode],"FAE")),"")</f>
        <v/>
      </c>
      <c r="G115" s="12">
        <f>IFERROR(IF(SUMIFS(tblDaily[TransfersOut],tblDaily[EntryDate],DATE(2026,3,31),tblDaily[WardCode],"FAE")=0,"",SUMIFS(tblDaily[TransfersOut],tblDaily[EntryDate],DATE(2026,3,31),tblDaily[WardCode],"FAE")),"")</f>
        <v/>
      </c>
      <c r="H115" s="12">
        <f>IFERROR(IF(SUMIFS(tblDaily[Remaining],tblDaily[EntryDate],DATE(2026,3,31),tblDaily[WardCode],"FAE")=0,"",SUMIFS(tblDaily[Remaining],tblDaily[EntryDate],DATE(2026,3,31),tblDaily[WardCode],"FAE")),"")</f>
        <v/>
      </c>
    </row>
    <row r="116">
      <c r="A116" s="17" t="inlineStr">
        <is>
          <t>TOTAL</t>
        </is>
      </c>
      <c r="B116" s="17">
        <f>SUMIFS(tblDaily[Admissions],tblDaily[Month],3,tblDaily[WardCode],"FAE") - SUMIFS(tblDaily[DeathsUnder24Hrs],tblDaily[Month],3,tblDaily[WardCode],"FAE")</f>
        <v/>
      </c>
      <c r="C116" s="17">
        <f>SUMIFS(tblDaily[Discharges],tblDaily[Month],3,tblDaily[WardCode],"FAE")</f>
        <v/>
      </c>
      <c r="D116" s="17">
        <f>SUMIFS(tblDaily[Deaths],tblDaily[Month],3,tblDaily[WardCode],"FAE")</f>
        <v/>
      </c>
      <c r="E116" s="17">
        <f>SUMIFS(tblDaily[DeathsUnder24Hrs],tblDaily[Month],3,tblDaily[WardCode],"FAE")</f>
        <v/>
      </c>
      <c r="F116" s="17">
        <f>SUMIFS(tblDaily[TransfersIn],tblDaily[Month],3,tblDaily[WardCode],"FAE")</f>
        <v/>
      </c>
      <c r="G116" s="17">
        <f>SUMIFS(tblDaily[TransfersOut],tblDaily[Month],3,tblDaily[WardCode],"FAE")</f>
        <v/>
      </c>
      <c r="H116" s="17">
        <f>SUMIFS(tblDaily[Remaining],tblDaily[Month],3,tblDaily[WardCode],"FAE")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FEMALE EMERGENCY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4">
        <f>IFERROR(SUMIFS(tblDaily[Remaining],tblDaily[EntryDate],DATE(2026,3,31),tblDaily[WardCode],"FAE"),0)</f>
        <v/>
      </c>
    </row>
    <row r="122">
      <c r="A122" s="4" t="inlineStr">
        <is>
          <t>Bed complement</t>
        </is>
      </c>
      <c r="H122" s="15">
        <f>IFERROR(INDEX(tblWardConfig[BedComplement],MATCH("FAE",tblWardConfig[WardCode],0)),0)</f>
        <v/>
      </c>
    </row>
    <row r="123">
      <c r="A123" s="16" t="inlineStr">
        <is>
          <t>Day of
the
Month</t>
        </is>
      </c>
      <c r="B123" s="16" t="inlineStr">
        <is>
          <t>Admissions</t>
        </is>
      </c>
      <c r="C123" s="16" t="inlineStr">
        <is>
          <t>Discharges</t>
        </is>
      </c>
      <c r="D123" s="16" t="inlineStr">
        <is>
          <t>Deaths</t>
        </is>
      </c>
      <c r="E123" s="16" t="inlineStr">
        <is>
          <t>Deaths
&lt;24Hrs</t>
        </is>
      </c>
      <c r="F123" s="16" t="inlineStr">
        <is>
          <t>Transfers-
In</t>
        </is>
      </c>
      <c r="G123" s="16" t="inlineStr">
        <is>
          <t>Transfers-
Out</t>
        </is>
      </c>
      <c r="H123" s="16" t="inlineStr">
        <is>
          <t>No. of Patients
Remaining In
Ward</t>
        </is>
      </c>
    </row>
    <row r="124">
      <c r="A124" s="12" t="n">
        <v>1</v>
      </c>
      <c r="B124" s="12">
        <f>IFERROR(IF(SUMIFS(tblDaily[Admissions],tblDaily[EntryDate],DATE(2026,4,1),tblDaily[WardCode],"FAE")=0,"",SUMIFS(tblDaily[Admissions],tblDaily[EntryDate],DATE(2026,4,1),tblDaily[WardCode],"FAE")),"")</f>
        <v/>
      </c>
      <c r="C124" s="12">
        <f>IFERROR(IF(SUMIFS(tblDaily[Discharges],tblDaily[EntryDate],DATE(2026,4,1),tblDaily[WardCode],"FAE")=0,"",SUMIFS(tblDaily[Discharges],tblDaily[EntryDate],DATE(2026,4,1),tblDaily[WardCode],"FAE")),"")</f>
        <v/>
      </c>
      <c r="D124" s="12">
        <f>IFERROR(IF(SUMIFS(tblDaily[Deaths],tblDaily[EntryDate],DATE(2026,4,1),tblDaily[WardCode],"FAE")=0,"",SUMIFS(tblDaily[Deaths],tblDaily[EntryDate],DATE(2026,4,1),tblDaily[WardCode],"FAE")),"")</f>
        <v/>
      </c>
      <c r="E124" s="12">
        <f>IFERROR(IF(SUMIFS(tblDaily[DeathsUnder24Hrs],tblDaily[EntryDate],DATE(2026,4,1),tblDaily[WardCode],"FAE")=0,"",SUMIFS(tblDaily[DeathsUnder24Hrs],tblDaily[EntryDate],DATE(2026,4,1),tblDaily[WardCode],"FAE")),"")</f>
        <v/>
      </c>
      <c r="F124" s="12">
        <f>IFERROR(IF(SUMIFS(tblDaily[TransfersIn],tblDaily[EntryDate],DATE(2026,4,1),tblDaily[WardCode],"FAE")=0,"",SUMIFS(tblDaily[TransfersIn],tblDaily[EntryDate],DATE(2026,4,1),tblDaily[WardCode],"FAE")),"")</f>
        <v/>
      </c>
      <c r="G124" s="12">
        <f>IFERROR(IF(SUMIFS(tblDaily[TransfersOut],tblDaily[EntryDate],DATE(2026,4,1),tblDaily[WardCode],"FAE")=0,"",SUMIFS(tblDaily[TransfersOut],tblDaily[EntryDate],DATE(2026,4,1),tblDaily[WardCode],"FAE")),"")</f>
        <v/>
      </c>
      <c r="H124" s="12">
        <f>IFERROR(IF(SUMIFS(tblDaily[Remaining],tblDaily[EntryDate],DATE(2026,4,1),tblDaily[WardCode],"FAE")=0,"",SUMIFS(tblDaily[Remaining],tblDaily[EntryDate],DATE(2026,4,1),tblDaily[WardCode],"FAE")),"")</f>
        <v/>
      </c>
    </row>
    <row r="125">
      <c r="A125" s="12" t="n">
        <v>2</v>
      </c>
      <c r="B125" s="12">
        <f>IFERROR(IF(SUMIFS(tblDaily[Admissions],tblDaily[EntryDate],DATE(2026,4,2),tblDaily[WardCode],"FAE")=0,"",SUMIFS(tblDaily[Admissions],tblDaily[EntryDate],DATE(2026,4,2),tblDaily[WardCode],"FAE")),"")</f>
        <v/>
      </c>
      <c r="C125" s="12">
        <f>IFERROR(IF(SUMIFS(tblDaily[Discharges],tblDaily[EntryDate],DATE(2026,4,2),tblDaily[WardCode],"FAE")=0,"",SUMIFS(tblDaily[Discharges],tblDaily[EntryDate],DATE(2026,4,2),tblDaily[WardCode],"FAE")),"")</f>
        <v/>
      </c>
      <c r="D125" s="12">
        <f>IFERROR(IF(SUMIFS(tblDaily[Deaths],tblDaily[EntryDate],DATE(2026,4,2),tblDaily[WardCode],"FAE")=0,"",SUMIFS(tblDaily[Deaths],tblDaily[EntryDate],DATE(2026,4,2),tblDaily[WardCode],"FAE")),"")</f>
        <v/>
      </c>
      <c r="E125" s="12">
        <f>IFERROR(IF(SUMIFS(tblDaily[DeathsUnder24Hrs],tblDaily[EntryDate],DATE(2026,4,2),tblDaily[WardCode],"FAE")=0,"",SUMIFS(tblDaily[DeathsUnder24Hrs],tblDaily[EntryDate],DATE(2026,4,2),tblDaily[WardCode],"FAE")),"")</f>
        <v/>
      </c>
      <c r="F125" s="12">
        <f>IFERROR(IF(SUMIFS(tblDaily[TransfersIn],tblDaily[EntryDate],DATE(2026,4,2),tblDaily[WardCode],"FAE")=0,"",SUMIFS(tblDaily[TransfersIn],tblDaily[EntryDate],DATE(2026,4,2),tblDaily[WardCode],"FAE")),"")</f>
        <v/>
      </c>
      <c r="G125" s="12">
        <f>IFERROR(IF(SUMIFS(tblDaily[TransfersOut],tblDaily[EntryDate],DATE(2026,4,2),tblDaily[WardCode],"FAE")=0,"",SUMIFS(tblDaily[TransfersOut],tblDaily[EntryDate],DATE(2026,4,2),tblDaily[WardCode],"FAE")),"")</f>
        <v/>
      </c>
      <c r="H125" s="12">
        <f>IFERROR(IF(SUMIFS(tblDaily[Remaining],tblDaily[EntryDate],DATE(2026,4,2),tblDaily[WardCode],"FAE")=0,"",SUMIFS(tblDaily[Remaining],tblDaily[EntryDate],DATE(2026,4,2),tblDaily[WardCode],"FAE")),"")</f>
        <v/>
      </c>
    </row>
    <row r="126">
      <c r="A126" s="12" t="n">
        <v>3</v>
      </c>
      <c r="B126" s="12">
        <f>IFERROR(IF(SUMIFS(tblDaily[Admissions],tblDaily[EntryDate],DATE(2026,4,3),tblDaily[WardCode],"FAE")=0,"",SUMIFS(tblDaily[Admissions],tblDaily[EntryDate],DATE(2026,4,3),tblDaily[WardCode],"FAE")),"")</f>
        <v/>
      </c>
      <c r="C126" s="12">
        <f>IFERROR(IF(SUMIFS(tblDaily[Discharges],tblDaily[EntryDate],DATE(2026,4,3),tblDaily[WardCode],"FAE")=0,"",SUMIFS(tblDaily[Discharges],tblDaily[EntryDate],DATE(2026,4,3),tblDaily[WardCode],"FAE")),"")</f>
        <v/>
      </c>
      <c r="D126" s="12">
        <f>IFERROR(IF(SUMIFS(tblDaily[Deaths],tblDaily[EntryDate],DATE(2026,4,3),tblDaily[WardCode],"FAE")=0,"",SUMIFS(tblDaily[Deaths],tblDaily[EntryDate],DATE(2026,4,3),tblDaily[WardCode],"FAE")),"")</f>
        <v/>
      </c>
      <c r="E126" s="12">
        <f>IFERROR(IF(SUMIFS(tblDaily[DeathsUnder24Hrs],tblDaily[EntryDate],DATE(2026,4,3),tblDaily[WardCode],"FAE")=0,"",SUMIFS(tblDaily[DeathsUnder24Hrs],tblDaily[EntryDate],DATE(2026,4,3),tblDaily[WardCode],"FAE")),"")</f>
        <v/>
      </c>
      <c r="F126" s="12">
        <f>IFERROR(IF(SUMIFS(tblDaily[TransfersIn],tblDaily[EntryDate],DATE(2026,4,3),tblDaily[WardCode],"FAE")=0,"",SUMIFS(tblDaily[TransfersIn],tblDaily[EntryDate],DATE(2026,4,3),tblDaily[WardCode],"FAE")),"")</f>
        <v/>
      </c>
      <c r="G126" s="12">
        <f>IFERROR(IF(SUMIFS(tblDaily[TransfersOut],tblDaily[EntryDate],DATE(2026,4,3),tblDaily[WardCode],"FAE")=0,"",SUMIFS(tblDaily[TransfersOut],tblDaily[EntryDate],DATE(2026,4,3),tblDaily[WardCode],"FAE")),"")</f>
        <v/>
      </c>
      <c r="H126" s="12">
        <f>IFERROR(IF(SUMIFS(tblDaily[Remaining],tblDaily[EntryDate],DATE(2026,4,3),tblDaily[WardCode],"FAE")=0,"",SUMIFS(tblDaily[Remaining],tblDaily[EntryDate],DATE(2026,4,3),tblDaily[WardCode],"FAE")),"")</f>
        <v/>
      </c>
    </row>
    <row r="127">
      <c r="A127" s="12" t="n">
        <v>4</v>
      </c>
      <c r="B127" s="12">
        <f>IFERROR(IF(SUMIFS(tblDaily[Admissions],tblDaily[EntryDate],DATE(2026,4,4),tblDaily[WardCode],"FAE")=0,"",SUMIFS(tblDaily[Admissions],tblDaily[EntryDate],DATE(2026,4,4),tblDaily[WardCode],"FAE")),"")</f>
        <v/>
      </c>
      <c r="C127" s="12">
        <f>IFERROR(IF(SUMIFS(tblDaily[Discharges],tblDaily[EntryDate],DATE(2026,4,4),tblDaily[WardCode],"FAE")=0,"",SUMIFS(tblDaily[Discharges],tblDaily[EntryDate],DATE(2026,4,4),tblDaily[WardCode],"FAE")),"")</f>
        <v/>
      </c>
      <c r="D127" s="12">
        <f>IFERROR(IF(SUMIFS(tblDaily[Deaths],tblDaily[EntryDate],DATE(2026,4,4),tblDaily[WardCode],"FAE")=0,"",SUMIFS(tblDaily[Deaths],tblDaily[EntryDate],DATE(2026,4,4),tblDaily[WardCode],"FAE")),"")</f>
        <v/>
      </c>
      <c r="E127" s="12">
        <f>IFERROR(IF(SUMIFS(tblDaily[DeathsUnder24Hrs],tblDaily[EntryDate],DATE(2026,4,4),tblDaily[WardCode],"FAE")=0,"",SUMIFS(tblDaily[DeathsUnder24Hrs],tblDaily[EntryDate],DATE(2026,4,4),tblDaily[WardCode],"FAE")),"")</f>
        <v/>
      </c>
      <c r="F127" s="12">
        <f>IFERROR(IF(SUMIFS(tblDaily[TransfersIn],tblDaily[EntryDate],DATE(2026,4,4),tblDaily[WardCode],"FAE")=0,"",SUMIFS(tblDaily[TransfersIn],tblDaily[EntryDate],DATE(2026,4,4),tblDaily[WardCode],"FAE")),"")</f>
        <v/>
      </c>
      <c r="G127" s="12">
        <f>IFERROR(IF(SUMIFS(tblDaily[TransfersOut],tblDaily[EntryDate],DATE(2026,4,4),tblDaily[WardCode],"FAE")=0,"",SUMIFS(tblDaily[TransfersOut],tblDaily[EntryDate],DATE(2026,4,4),tblDaily[WardCode],"FAE")),"")</f>
        <v/>
      </c>
      <c r="H127" s="12">
        <f>IFERROR(IF(SUMIFS(tblDaily[Remaining],tblDaily[EntryDate],DATE(2026,4,4),tblDaily[WardCode],"FAE")=0,"",SUMIFS(tblDaily[Remaining],tblDaily[EntryDate],DATE(2026,4,4),tblDaily[WardCode],"FAE")),"")</f>
        <v/>
      </c>
    </row>
    <row r="128">
      <c r="A128" s="12" t="n">
        <v>5</v>
      </c>
      <c r="B128" s="12">
        <f>IFERROR(IF(SUMIFS(tblDaily[Admissions],tblDaily[EntryDate],DATE(2026,4,5),tblDaily[WardCode],"FAE")=0,"",SUMIFS(tblDaily[Admissions],tblDaily[EntryDate],DATE(2026,4,5),tblDaily[WardCode],"FAE")),"")</f>
        <v/>
      </c>
      <c r="C128" s="12">
        <f>IFERROR(IF(SUMIFS(tblDaily[Discharges],tblDaily[EntryDate],DATE(2026,4,5),tblDaily[WardCode],"FAE")=0,"",SUMIFS(tblDaily[Discharges],tblDaily[EntryDate],DATE(2026,4,5),tblDaily[WardCode],"FAE")),"")</f>
        <v/>
      </c>
      <c r="D128" s="12">
        <f>IFERROR(IF(SUMIFS(tblDaily[Deaths],tblDaily[EntryDate],DATE(2026,4,5),tblDaily[WardCode],"FAE")=0,"",SUMIFS(tblDaily[Deaths],tblDaily[EntryDate],DATE(2026,4,5),tblDaily[WardCode],"FAE")),"")</f>
        <v/>
      </c>
      <c r="E128" s="12">
        <f>IFERROR(IF(SUMIFS(tblDaily[DeathsUnder24Hrs],tblDaily[EntryDate],DATE(2026,4,5),tblDaily[WardCode],"FAE")=0,"",SUMIFS(tblDaily[DeathsUnder24Hrs],tblDaily[EntryDate],DATE(2026,4,5),tblDaily[WardCode],"FAE")),"")</f>
        <v/>
      </c>
      <c r="F128" s="12">
        <f>IFERROR(IF(SUMIFS(tblDaily[TransfersIn],tblDaily[EntryDate],DATE(2026,4,5),tblDaily[WardCode],"FAE")=0,"",SUMIFS(tblDaily[TransfersIn],tblDaily[EntryDate],DATE(2026,4,5),tblDaily[WardCode],"FAE")),"")</f>
        <v/>
      </c>
      <c r="G128" s="12">
        <f>IFERROR(IF(SUMIFS(tblDaily[TransfersOut],tblDaily[EntryDate],DATE(2026,4,5),tblDaily[WardCode],"FAE")=0,"",SUMIFS(tblDaily[TransfersOut],tblDaily[EntryDate],DATE(2026,4,5),tblDaily[WardCode],"FAE")),"")</f>
        <v/>
      </c>
      <c r="H128" s="12">
        <f>IFERROR(IF(SUMIFS(tblDaily[Remaining],tblDaily[EntryDate],DATE(2026,4,5),tblDaily[WardCode],"FAE")=0,"",SUMIFS(tblDaily[Remaining],tblDaily[EntryDate],DATE(2026,4,5),tblDaily[WardCode],"FAE")),"")</f>
        <v/>
      </c>
    </row>
    <row r="129">
      <c r="A129" s="12" t="n">
        <v>6</v>
      </c>
      <c r="B129" s="12">
        <f>IFERROR(IF(SUMIFS(tblDaily[Admissions],tblDaily[EntryDate],DATE(2026,4,6),tblDaily[WardCode],"FAE")=0,"",SUMIFS(tblDaily[Admissions],tblDaily[EntryDate],DATE(2026,4,6),tblDaily[WardCode],"FAE")),"")</f>
        <v/>
      </c>
      <c r="C129" s="12">
        <f>IFERROR(IF(SUMIFS(tblDaily[Discharges],tblDaily[EntryDate],DATE(2026,4,6),tblDaily[WardCode],"FAE")=0,"",SUMIFS(tblDaily[Discharges],tblDaily[EntryDate],DATE(2026,4,6),tblDaily[WardCode],"FAE")),"")</f>
        <v/>
      </c>
      <c r="D129" s="12">
        <f>IFERROR(IF(SUMIFS(tblDaily[Deaths],tblDaily[EntryDate],DATE(2026,4,6),tblDaily[WardCode],"FAE")=0,"",SUMIFS(tblDaily[Deaths],tblDaily[EntryDate],DATE(2026,4,6),tblDaily[WardCode],"FAE")),"")</f>
        <v/>
      </c>
      <c r="E129" s="12">
        <f>IFERROR(IF(SUMIFS(tblDaily[DeathsUnder24Hrs],tblDaily[EntryDate],DATE(2026,4,6),tblDaily[WardCode],"FAE")=0,"",SUMIFS(tblDaily[DeathsUnder24Hrs],tblDaily[EntryDate],DATE(2026,4,6),tblDaily[WardCode],"FAE")),"")</f>
        <v/>
      </c>
      <c r="F129" s="12">
        <f>IFERROR(IF(SUMIFS(tblDaily[TransfersIn],tblDaily[EntryDate],DATE(2026,4,6),tblDaily[WardCode],"FAE")=0,"",SUMIFS(tblDaily[TransfersIn],tblDaily[EntryDate],DATE(2026,4,6),tblDaily[WardCode],"FAE")),"")</f>
        <v/>
      </c>
      <c r="G129" s="12">
        <f>IFERROR(IF(SUMIFS(tblDaily[TransfersOut],tblDaily[EntryDate],DATE(2026,4,6),tblDaily[WardCode],"FAE")=0,"",SUMIFS(tblDaily[TransfersOut],tblDaily[EntryDate],DATE(2026,4,6),tblDaily[WardCode],"FAE")),"")</f>
        <v/>
      </c>
      <c r="H129" s="12">
        <f>IFERROR(IF(SUMIFS(tblDaily[Remaining],tblDaily[EntryDate],DATE(2026,4,6),tblDaily[WardCode],"FAE")=0,"",SUMIFS(tblDaily[Remaining],tblDaily[EntryDate],DATE(2026,4,6),tblDaily[WardCode],"FAE")),"")</f>
        <v/>
      </c>
    </row>
    <row r="130">
      <c r="A130" s="12" t="n">
        <v>7</v>
      </c>
      <c r="B130" s="12">
        <f>IFERROR(IF(SUMIFS(tblDaily[Admissions],tblDaily[EntryDate],DATE(2026,4,7),tblDaily[WardCode],"FAE")=0,"",SUMIFS(tblDaily[Admissions],tblDaily[EntryDate],DATE(2026,4,7),tblDaily[WardCode],"FAE")),"")</f>
        <v/>
      </c>
      <c r="C130" s="12">
        <f>IFERROR(IF(SUMIFS(tblDaily[Discharges],tblDaily[EntryDate],DATE(2026,4,7),tblDaily[WardCode],"FAE")=0,"",SUMIFS(tblDaily[Discharges],tblDaily[EntryDate],DATE(2026,4,7),tblDaily[WardCode],"FAE")),"")</f>
        <v/>
      </c>
      <c r="D130" s="12">
        <f>IFERROR(IF(SUMIFS(tblDaily[Deaths],tblDaily[EntryDate],DATE(2026,4,7),tblDaily[WardCode],"FAE")=0,"",SUMIFS(tblDaily[Deaths],tblDaily[EntryDate],DATE(2026,4,7),tblDaily[WardCode],"FAE")),"")</f>
        <v/>
      </c>
      <c r="E130" s="12">
        <f>IFERROR(IF(SUMIFS(tblDaily[DeathsUnder24Hrs],tblDaily[EntryDate],DATE(2026,4,7),tblDaily[WardCode],"FAE")=0,"",SUMIFS(tblDaily[DeathsUnder24Hrs],tblDaily[EntryDate],DATE(2026,4,7),tblDaily[WardCode],"FAE")),"")</f>
        <v/>
      </c>
      <c r="F130" s="12">
        <f>IFERROR(IF(SUMIFS(tblDaily[TransfersIn],tblDaily[EntryDate],DATE(2026,4,7),tblDaily[WardCode],"FAE")=0,"",SUMIFS(tblDaily[TransfersIn],tblDaily[EntryDate],DATE(2026,4,7),tblDaily[WardCode],"FAE")),"")</f>
        <v/>
      </c>
      <c r="G130" s="12">
        <f>IFERROR(IF(SUMIFS(tblDaily[TransfersOut],tblDaily[EntryDate],DATE(2026,4,7),tblDaily[WardCode],"FAE")=0,"",SUMIFS(tblDaily[TransfersOut],tblDaily[EntryDate],DATE(2026,4,7),tblDaily[WardCode],"FAE")),"")</f>
        <v/>
      </c>
      <c r="H130" s="12">
        <f>IFERROR(IF(SUMIFS(tblDaily[Remaining],tblDaily[EntryDate],DATE(2026,4,7),tblDaily[WardCode],"FAE")=0,"",SUMIFS(tblDaily[Remaining],tblDaily[EntryDate],DATE(2026,4,7),tblDaily[WardCode],"FAE")),"")</f>
        <v/>
      </c>
    </row>
    <row r="131">
      <c r="A131" s="12" t="n">
        <v>8</v>
      </c>
      <c r="B131" s="12">
        <f>IFERROR(IF(SUMIFS(tblDaily[Admissions],tblDaily[EntryDate],DATE(2026,4,8),tblDaily[WardCode],"FAE")=0,"",SUMIFS(tblDaily[Admissions],tblDaily[EntryDate],DATE(2026,4,8),tblDaily[WardCode],"FAE")),"")</f>
        <v/>
      </c>
      <c r="C131" s="12">
        <f>IFERROR(IF(SUMIFS(tblDaily[Discharges],tblDaily[EntryDate],DATE(2026,4,8),tblDaily[WardCode],"FAE")=0,"",SUMIFS(tblDaily[Discharges],tblDaily[EntryDate],DATE(2026,4,8),tblDaily[WardCode],"FAE")),"")</f>
        <v/>
      </c>
      <c r="D131" s="12">
        <f>IFERROR(IF(SUMIFS(tblDaily[Deaths],tblDaily[EntryDate],DATE(2026,4,8),tblDaily[WardCode],"FAE")=0,"",SUMIFS(tblDaily[Deaths],tblDaily[EntryDate],DATE(2026,4,8),tblDaily[WardCode],"FAE")),"")</f>
        <v/>
      </c>
      <c r="E131" s="12">
        <f>IFERROR(IF(SUMIFS(tblDaily[DeathsUnder24Hrs],tblDaily[EntryDate],DATE(2026,4,8),tblDaily[WardCode],"FAE")=0,"",SUMIFS(tblDaily[DeathsUnder24Hrs],tblDaily[EntryDate],DATE(2026,4,8),tblDaily[WardCode],"FAE")),"")</f>
        <v/>
      </c>
      <c r="F131" s="12">
        <f>IFERROR(IF(SUMIFS(tblDaily[TransfersIn],tblDaily[EntryDate],DATE(2026,4,8),tblDaily[WardCode],"FAE")=0,"",SUMIFS(tblDaily[TransfersIn],tblDaily[EntryDate],DATE(2026,4,8),tblDaily[WardCode],"FAE")),"")</f>
        <v/>
      </c>
      <c r="G131" s="12">
        <f>IFERROR(IF(SUMIFS(tblDaily[TransfersOut],tblDaily[EntryDate],DATE(2026,4,8),tblDaily[WardCode],"FAE")=0,"",SUMIFS(tblDaily[TransfersOut],tblDaily[EntryDate],DATE(2026,4,8),tblDaily[WardCode],"FAE")),"")</f>
        <v/>
      </c>
      <c r="H131" s="12">
        <f>IFERROR(IF(SUMIFS(tblDaily[Remaining],tblDaily[EntryDate],DATE(2026,4,8),tblDaily[WardCode],"FAE")=0,"",SUMIFS(tblDaily[Remaining],tblDaily[EntryDate],DATE(2026,4,8),tblDaily[WardCode],"FAE")),"")</f>
        <v/>
      </c>
    </row>
    <row r="132">
      <c r="A132" s="12" t="n">
        <v>9</v>
      </c>
      <c r="B132" s="12">
        <f>IFERROR(IF(SUMIFS(tblDaily[Admissions],tblDaily[EntryDate],DATE(2026,4,9),tblDaily[WardCode],"FAE")=0,"",SUMIFS(tblDaily[Admissions],tblDaily[EntryDate],DATE(2026,4,9),tblDaily[WardCode],"FAE")),"")</f>
        <v/>
      </c>
      <c r="C132" s="12">
        <f>IFERROR(IF(SUMIFS(tblDaily[Discharges],tblDaily[EntryDate],DATE(2026,4,9),tblDaily[WardCode],"FAE")=0,"",SUMIFS(tblDaily[Discharges],tblDaily[EntryDate],DATE(2026,4,9),tblDaily[WardCode],"FAE")),"")</f>
        <v/>
      </c>
      <c r="D132" s="12">
        <f>IFERROR(IF(SUMIFS(tblDaily[Deaths],tblDaily[EntryDate],DATE(2026,4,9),tblDaily[WardCode],"FAE")=0,"",SUMIFS(tblDaily[Deaths],tblDaily[EntryDate],DATE(2026,4,9),tblDaily[WardCode],"FAE")),"")</f>
        <v/>
      </c>
      <c r="E132" s="12">
        <f>IFERROR(IF(SUMIFS(tblDaily[DeathsUnder24Hrs],tblDaily[EntryDate],DATE(2026,4,9),tblDaily[WardCode],"FAE")=0,"",SUMIFS(tblDaily[DeathsUnder24Hrs],tblDaily[EntryDate],DATE(2026,4,9),tblDaily[WardCode],"FAE")),"")</f>
        <v/>
      </c>
      <c r="F132" s="12">
        <f>IFERROR(IF(SUMIFS(tblDaily[TransfersIn],tblDaily[EntryDate],DATE(2026,4,9),tblDaily[WardCode],"FAE")=0,"",SUMIFS(tblDaily[TransfersIn],tblDaily[EntryDate],DATE(2026,4,9),tblDaily[WardCode],"FAE")),"")</f>
        <v/>
      </c>
      <c r="G132" s="12">
        <f>IFERROR(IF(SUMIFS(tblDaily[TransfersOut],tblDaily[EntryDate],DATE(2026,4,9),tblDaily[WardCode],"FAE")=0,"",SUMIFS(tblDaily[TransfersOut],tblDaily[EntryDate],DATE(2026,4,9),tblDaily[WardCode],"FAE")),"")</f>
        <v/>
      </c>
      <c r="H132" s="12">
        <f>IFERROR(IF(SUMIFS(tblDaily[Remaining],tblDaily[EntryDate],DATE(2026,4,9),tblDaily[WardCode],"FAE")=0,"",SUMIFS(tblDaily[Remaining],tblDaily[EntryDate],DATE(2026,4,9),tblDaily[WardCode],"FAE")),"")</f>
        <v/>
      </c>
    </row>
    <row r="133">
      <c r="A133" s="12" t="n">
        <v>10</v>
      </c>
      <c r="B133" s="12">
        <f>IFERROR(IF(SUMIFS(tblDaily[Admissions],tblDaily[EntryDate],DATE(2026,4,10),tblDaily[WardCode],"FAE")=0,"",SUMIFS(tblDaily[Admissions],tblDaily[EntryDate],DATE(2026,4,10),tblDaily[WardCode],"FAE")),"")</f>
        <v/>
      </c>
      <c r="C133" s="12">
        <f>IFERROR(IF(SUMIFS(tblDaily[Discharges],tblDaily[EntryDate],DATE(2026,4,10),tblDaily[WardCode],"FAE")=0,"",SUMIFS(tblDaily[Discharges],tblDaily[EntryDate],DATE(2026,4,10),tblDaily[WardCode],"FAE")),"")</f>
        <v/>
      </c>
      <c r="D133" s="12">
        <f>IFERROR(IF(SUMIFS(tblDaily[Deaths],tblDaily[EntryDate],DATE(2026,4,10),tblDaily[WardCode],"FAE")=0,"",SUMIFS(tblDaily[Deaths],tblDaily[EntryDate],DATE(2026,4,10),tblDaily[WardCode],"FAE")),"")</f>
        <v/>
      </c>
      <c r="E133" s="12">
        <f>IFERROR(IF(SUMIFS(tblDaily[DeathsUnder24Hrs],tblDaily[EntryDate],DATE(2026,4,10),tblDaily[WardCode],"FAE")=0,"",SUMIFS(tblDaily[DeathsUnder24Hrs],tblDaily[EntryDate],DATE(2026,4,10),tblDaily[WardCode],"FAE")),"")</f>
        <v/>
      </c>
      <c r="F133" s="12">
        <f>IFERROR(IF(SUMIFS(tblDaily[TransfersIn],tblDaily[EntryDate],DATE(2026,4,10),tblDaily[WardCode],"FAE")=0,"",SUMIFS(tblDaily[TransfersIn],tblDaily[EntryDate],DATE(2026,4,10),tblDaily[WardCode],"FAE")),"")</f>
        <v/>
      </c>
      <c r="G133" s="12">
        <f>IFERROR(IF(SUMIFS(tblDaily[TransfersOut],tblDaily[EntryDate],DATE(2026,4,10),tblDaily[WardCode],"FAE")=0,"",SUMIFS(tblDaily[TransfersOut],tblDaily[EntryDate],DATE(2026,4,10),tblDaily[WardCode],"FAE")),"")</f>
        <v/>
      </c>
      <c r="H133" s="12">
        <f>IFERROR(IF(SUMIFS(tblDaily[Remaining],tblDaily[EntryDate],DATE(2026,4,10),tblDaily[WardCode],"FAE")=0,"",SUMIFS(tblDaily[Remaining],tblDaily[EntryDate],DATE(2026,4,10),tblDaily[WardCode],"FAE")),"")</f>
        <v/>
      </c>
    </row>
    <row r="134">
      <c r="A134" s="12" t="n">
        <v>11</v>
      </c>
      <c r="B134" s="12">
        <f>IFERROR(IF(SUMIFS(tblDaily[Admissions],tblDaily[EntryDate],DATE(2026,4,11),tblDaily[WardCode],"FAE")=0,"",SUMIFS(tblDaily[Admissions],tblDaily[EntryDate],DATE(2026,4,11),tblDaily[WardCode],"FAE")),"")</f>
        <v/>
      </c>
      <c r="C134" s="12">
        <f>IFERROR(IF(SUMIFS(tblDaily[Discharges],tblDaily[EntryDate],DATE(2026,4,11),tblDaily[WardCode],"FAE")=0,"",SUMIFS(tblDaily[Discharges],tblDaily[EntryDate],DATE(2026,4,11),tblDaily[WardCode],"FAE")),"")</f>
        <v/>
      </c>
      <c r="D134" s="12">
        <f>IFERROR(IF(SUMIFS(tblDaily[Deaths],tblDaily[EntryDate],DATE(2026,4,11),tblDaily[WardCode],"FAE")=0,"",SUMIFS(tblDaily[Deaths],tblDaily[EntryDate],DATE(2026,4,11),tblDaily[WardCode],"FAE")),"")</f>
        <v/>
      </c>
      <c r="E134" s="12">
        <f>IFERROR(IF(SUMIFS(tblDaily[DeathsUnder24Hrs],tblDaily[EntryDate],DATE(2026,4,11),tblDaily[WardCode],"FAE")=0,"",SUMIFS(tblDaily[DeathsUnder24Hrs],tblDaily[EntryDate],DATE(2026,4,11),tblDaily[WardCode],"FAE")),"")</f>
        <v/>
      </c>
      <c r="F134" s="12">
        <f>IFERROR(IF(SUMIFS(tblDaily[TransfersIn],tblDaily[EntryDate],DATE(2026,4,11),tblDaily[WardCode],"FAE")=0,"",SUMIFS(tblDaily[TransfersIn],tblDaily[EntryDate],DATE(2026,4,11),tblDaily[WardCode],"FAE")),"")</f>
        <v/>
      </c>
      <c r="G134" s="12">
        <f>IFERROR(IF(SUMIFS(tblDaily[TransfersOut],tblDaily[EntryDate],DATE(2026,4,11),tblDaily[WardCode],"FAE")=0,"",SUMIFS(tblDaily[TransfersOut],tblDaily[EntryDate],DATE(2026,4,11),tblDaily[WardCode],"FAE")),"")</f>
        <v/>
      </c>
      <c r="H134" s="12">
        <f>IFERROR(IF(SUMIFS(tblDaily[Remaining],tblDaily[EntryDate],DATE(2026,4,11),tblDaily[WardCode],"FAE")=0,"",SUMIFS(tblDaily[Remaining],tblDaily[EntryDate],DATE(2026,4,11),tblDaily[WardCode],"FAE")),"")</f>
        <v/>
      </c>
    </row>
    <row r="135">
      <c r="A135" s="12" t="n">
        <v>12</v>
      </c>
      <c r="B135" s="12">
        <f>IFERROR(IF(SUMIFS(tblDaily[Admissions],tblDaily[EntryDate],DATE(2026,4,12),tblDaily[WardCode],"FAE")=0,"",SUMIFS(tblDaily[Admissions],tblDaily[EntryDate],DATE(2026,4,12),tblDaily[WardCode],"FAE")),"")</f>
        <v/>
      </c>
      <c r="C135" s="12">
        <f>IFERROR(IF(SUMIFS(tblDaily[Discharges],tblDaily[EntryDate],DATE(2026,4,12),tblDaily[WardCode],"FAE")=0,"",SUMIFS(tblDaily[Discharges],tblDaily[EntryDate],DATE(2026,4,12),tblDaily[WardCode],"FAE")),"")</f>
        <v/>
      </c>
      <c r="D135" s="12">
        <f>IFERROR(IF(SUMIFS(tblDaily[Deaths],tblDaily[EntryDate],DATE(2026,4,12),tblDaily[WardCode],"FAE")=0,"",SUMIFS(tblDaily[Deaths],tblDaily[EntryDate],DATE(2026,4,12),tblDaily[WardCode],"FAE")),"")</f>
        <v/>
      </c>
      <c r="E135" s="12">
        <f>IFERROR(IF(SUMIFS(tblDaily[DeathsUnder24Hrs],tblDaily[EntryDate],DATE(2026,4,12),tblDaily[WardCode],"FAE")=0,"",SUMIFS(tblDaily[DeathsUnder24Hrs],tblDaily[EntryDate],DATE(2026,4,12),tblDaily[WardCode],"FAE")),"")</f>
        <v/>
      </c>
      <c r="F135" s="12">
        <f>IFERROR(IF(SUMIFS(tblDaily[TransfersIn],tblDaily[EntryDate],DATE(2026,4,12),tblDaily[WardCode],"FAE")=0,"",SUMIFS(tblDaily[TransfersIn],tblDaily[EntryDate],DATE(2026,4,12),tblDaily[WardCode],"FAE")),"")</f>
        <v/>
      </c>
      <c r="G135" s="12">
        <f>IFERROR(IF(SUMIFS(tblDaily[TransfersOut],tblDaily[EntryDate],DATE(2026,4,12),tblDaily[WardCode],"FAE")=0,"",SUMIFS(tblDaily[TransfersOut],tblDaily[EntryDate],DATE(2026,4,12),tblDaily[WardCode],"FAE")),"")</f>
        <v/>
      </c>
      <c r="H135" s="12">
        <f>IFERROR(IF(SUMIFS(tblDaily[Remaining],tblDaily[EntryDate],DATE(2026,4,12),tblDaily[WardCode],"FAE")=0,"",SUMIFS(tblDaily[Remaining],tblDaily[EntryDate],DATE(2026,4,12),tblDaily[WardCode],"FAE")),"")</f>
        <v/>
      </c>
    </row>
    <row r="136">
      <c r="A136" s="12" t="n">
        <v>13</v>
      </c>
      <c r="B136" s="12">
        <f>IFERROR(IF(SUMIFS(tblDaily[Admissions],tblDaily[EntryDate],DATE(2026,4,13),tblDaily[WardCode],"FAE")=0,"",SUMIFS(tblDaily[Admissions],tblDaily[EntryDate],DATE(2026,4,13),tblDaily[WardCode],"FAE")),"")</f>
        <v/>
      </c>
      <c r="C136" s="12">
        <f>IFERROR(IF(SUMIFS(tblDaily[Discharges],tblDaily[EntryDate],DATE(2026,4,13),tblDaily[WardCode],"FAE")=0,"",SUMIFS(tblDaily[Discharges],tblDaily[EntryDate],DATE(2026,4,13),tblDaily[WardCode],"FAE")),"")</f>
        <v/>
      </c>
      <c r="D136" s="12">
        <f>IFERROR(IF(SUMIFS(tblDaily[Deaths],tblDaily[EntryDate],DATE(2026,4,13),tblDaily[WardCode],"FAE")=0,"",SUMIFS(tblDaily[Deaths],tblDaily[EntryDate],DATE(2026,4,13),tblDaily[WardCode],"FAE")),"")</f>
        <v/>
      </c>
      <c r="E136" s="12">
        <f>IFERROR(IF(SUMIFS(tblDaily[DeathsUnder24Hrs],tblDaily[EntryDate],DATE(2026,4,13),tblDaily[WardCode],"FAE")=0,"",SUMIFS(tblDaily[DeathsUnder24Hrs],tblDaily[EntryDate],DATE(2026,4,13),tblDaily[WardCode],"FAE")),"")</f>
        <v/>
      </c>
      <c r="F136" s="12">
        <f>IFERROR(IF(SUMIFS(tblDaily[TransfersIn],tblDaily[EntryDate],DATE(2026,4,13),tblDaily[WardCode],"FAE")=0,"",SUMIFS(tblDaily[TransfersIn],tblDaily[EntryDate],DATE(2026,4,13),tblDaily[WardCode],"FAE")),"")</f>
        <v/>
      </c>
      <c r="G136" s="12">
        <f>IFERROR(IF(SUMIFS(tblDaily[TransfersOut],tblDaily[EntryDate],DATE(2026,4,13),tblDaily[WardCode],"FAE")=0,"",SUMIFS(tblDaily[TransfersOut],tblDaily[EntryDate],DATE(2026,4,13),tblDaily[WardCode],"FAE")),"")</f>
        <v/>
      </c>
      <c r="H136" s="12">
        <f>IFERROR(IF(SUMIFS(tblDaily[Remaining],tblDaily[EntryDate],DATE(2026,4,13),tblDaily[WardCode],"FAE")=0,"",SUMIFS(tblDaily[Remaining],tblDaily[EntryDate],DATE(2026,4,13),tblDaily[WardCode],"FAE")),"")</f>
        <v/>
      </c>
    </row>
    <row r="137">
      <c r="A137" s="12" t="n">
        <v>14</v>
      </c>
      <c r="B137" s="12">
        <f>IFERROR(IF(SUMIFS(tblDaily[Admissions],tblDaily[EntryDate],DATE(2026,4,14),tblDaily[WardCode],"FAE")=0,"",SUMIFS(tblDaily[Admissions],tblDaily[EntryDate],DATE(2026,4,14),tblDaily[WardCode],"FAE")),"")</f>
        <v/>
      </c>
      <c r="C137" s="12">
        <f>IFERROR(IF(SUMIFS(tblDaily[Discharges],tblDaily[EntryDate],DATE(2026,4,14),tblDaily[WardCode],"FAE")=0,"",SUMIFS(tblDaily[Discharges],tblDaily[EntryDate],DATE(2026,4,14),tblDaily[WardCode],"FAE")),"")</f>
        <v/>
      </c>
      <c r="D137" s="12">
        <f>IFERROR(IF(SUMIFS(tblDaily[Deaths],tblDaily[EntryDate],DATE(2026,4,14),tblDaily[WardCode],"FAE")=0,"",SUMIFS(tblDaily[Deaths],tblDaily[EntryDate],DATE(2026,4,14),tblDaily[WardCode],"FAE")),"")</f>
        <v/>
      </c>
      <c r="E137" s="12">
        <f>IFERROR(IF(SUMIFS(tblDaily[DeathsUnder24Hrs],tblDaily[EntryDate],DATE(2026,4,14),tblDaily[WardCode],"FAE")=0,"",SUMIFS(tblDaily[DeathsUnder24Hrs],tblDaily[EntryDate],DATE(2026,4,14),tblDaily[WardCode],"FAE")),"")</f>
        <v/>
      </c>
      <c r="F137" s="12">
        <f>IFERROR(IF(SUMIFS(tblDaily[TransfersIn],tblDaily[EntryDate],DATE(2026,4,14),tblDaily[WardCode],"FAE")=0,"",SUMIFS(tblDaily[TransfersIn],tblDaily[EntryDate],DATE(2026,4,14),tblDaily[WardCode],"FAE")),"")</f>
        <v/>
      </c>
      <c r="G137" s="12">
        <f>IFERROR(IF(SUMIFS(tblDaily[TransfersOut],tblDaily[EntryDate],DATE(2026,4,14),tblDaily[WardCode],"FAE")=0,"",SUMIFS(tblDaily[TransfersOut],tblDaily[EntryDate],DATE(2026,4,14),tblDaily[WardCode],"FAE")),"")</f>
        <v/>
      </c>
      <c r="H137" s="12">
        <f>IFERROR(IF(SUMIFS(tblDaily[Remaining],tblDaily[EntryDate],DATE(2026,4,14),tblDaily[WardCode],"FAE")=0,"",SUMIFS(tblDaily[Remaining],tblDaily[EntryDate],DATE(2026,4,14),tblDaily[WardCode],"FAE")),"")</f>
        <v/>
      </c>
    </row>
    <row r="138">
      <c r="A138" s="12" t="n">
        <v>15</v>
      </c>
      <c r="B138" s="12">
        <f>IFERROR(IF(SUMIFS(tblDaily[Admissions],tblDaily[EntryDate],DATE(2026,4,15),tblDaily[WardCode],"FAE")=0,"",SUMIFS(tblDaily[Admissions],tblDaily[EntryDate],DATE(2026,4,15),tblDaily[WardCode],"FAE")),"")</f>
        <v/>
      </c>
      <c r="C138" s="12">
        <f>IFERROR(IF(SUMIFS(tblDaily[Discharges],tblDaily[EntryDate],DATE(2026,4,15),tblDaily[WardCode],"FAE")=0,"",SUMIFS(tblDaily[Discharges],tblDaily[EntryDate],DATE(2026,4,15),tblDaily[WardCode],"FAE")),"")</f>
        <v/>
      </c>
      <c r="D138" s="12">
        <f>IFERROR(IF(SUMIFS(tblDaily[Deaths],tblDaily[EntryDate],DATE(2026,4,15),tblDaily[WardCode],"FAE")=0,"",SUMIFS(tblDaily[Deaths],tblDaily[EntryDate],DATE(2026,4,15),tblDaily[WardCode],"FAE")),"")</f>
        <v/>
      </c>
      <c r="E138" s="12">
        <f>IFERROR(IF(SUMIFS(tblDaily[DeathsUnder24Hrs],tblDaily[EntryDate],DATE(2026,4,15),tblDaily[WardCode],"FAE")=0,"",SUMIFS(tblDaily[DeathsUnder24Hrs],tblDaily[EntryDate],DATE(2026,4,15),tblDaily[WardCode],"FAE")),"")</f>
        <v/>
      </c>
      <c r="F138" s="12">
        <f>IFERROR(IF(SUMIFS(tblDaily[TransfersIn],tblDaily[EntryDate],DATE(2026,4,15),tblDaily[WardCode],"FAE")=0,"",SUMIFS(tblDaily[TransfersIn],tblDaily[EntryDate],DATE(2026,4,15),tblDaily[WardCode],"FAE")),"")</f>
        <v/>
      </c>
      <c r="G138" s="12">
        <f>IFERROR(IF(SUMIFS(tblDaily[TransfersOut],tblDaily[EntryDate],DATE(2026,4,15),tblDaily[WardCode],"FAE")=0,"",SUMIFS(tblDaily[TransfersOut],tblDaily[EntryDate],DATE(2026,4,15),tblDaily[WardCode],"FAE")),"")</f>
        <v/>
      </c>
      <c r="H138" s="12">
        <f>IFERROR(IF(SUMIFS(tblDaily[Remaining],tblDaily[EntryDate],DATE(2026,4,15),tblDaily[WardCode],"FAE")=0,"",SUMIFS(tblDaily[Remaining],tblDaily[EntryDate],DATE(2026,4,15),tblDaily[WardCode],"FAE")),"")</f>
        <v/>
      </c>
    </row>
    <row r="139">
      <c r="A139" s="12" t="n">
        <v>16</v>
      </c>
      <c r="B139" s="12">
        <f>IFERROR(IF(SUMIFS(tblDaily[Admissions],tblDaily[EntryDate],DATE(2026,4,16),tblDaily[WardCode],"FAE")=0,"",SUMIFS(tblDaily[Admissions],tblDaily[EntryDate],DATE(2026,4,16),tblDaily[WardCode],"FAE")),"")</f>
        <v/>
      </c>
      <c r="C139" s="12">
        <f>IFERROR(IF(SUMIFS(tblDaily[Discharges],tblDaily[EntryDate],DATE(2026,4,16),tblDaily[WardCode],"FAE")=0,"",SUMIFS(tblDaily[Discharges],tblDaily[EntryDate],DATE(2026,4,16),tblDaily[WardCode],"FAE")),"")</f>
        <v/>
      </c>
      <c r="D139" s="12">
        <f>IFERROR(IF(SUMIFS(tblDaily[Deaths],tblDaily[EntryDate],DATE(2026,4,16),tblDaily[WardCode],"FAE")=0,"",SUMIFS(tblDaily[Deaths],tblDaily[EntryDate],DATE(2026,4,16),tblDaily[WardCode],"FAE")),"")</f>
        <v/>
      </c>
      <c r="E139" s="12">
        <f>IFERROR(IF(SUMIFS(tblDaily[DeathsUnder24Hrs],tblDaily[EntryDate],DATE(2026,4,16),tblDaily[WardCode],"FAE")=0,"",SUMIFS(tblDaily[DeathsUnder24Hrs],tblDaily[EntryDate],DATE(2026,4,16),tblDaily[WardCode],"FAE")),"")</f>
        <v/>
      </c>
      <c r="F139" s="12">
        <f>IFERROR(IF(SUMIFS(tblDaily[TransfersIn],tblDaily[EntryDate],DATE(2026,4,16),tblDaily[WardCode],"FAE")=0,"",SUMIFS(tblDaily[TransfersIn],tblDaily[EntryDate],DATE(2026,4,16),tblDaily[WardCode],"FAE")),"")</f>
        <v/>
      </c>
      <c r="G139" s="12">
        <f>IFERROR(IF(SUMIFS(tblDaily[TransfersOut],tblDaily[EntryDate],DATE(2026,4,16),tblDaily[WardCode],"FAE")=0,"",SUMIFS(tblDaily[TransfersOut],tblDaily[EntryDate],DATE(2026,4,16),tblDaily[WardCode],"FAE")),"")</f>
        <v/>
      </c>
      <c r="H139" s="12">
        <f>IFERROR(IF(SUMIFS(tblDaily[Remaining],tblDaily[EntryDate],DATE(2026,4,16),tblDaily[WardCode],"FAE")=0,"",SUMIFS(tblDaily[Remaining],tblDaily[EntryDate],DATE(2026,4,16),tblDaily[WardCode],"FAE")),"")</f>
        <v/>
      </c>
    </row>
    <row r="140">
      <c r="A140" s="12" t="n">
        <v>17</v>
      </c>
      <c r="B140" s="12">
        <f>IFERROR(IF(SUMIFS(tblDaily[Admissions],tblDaily[EntryDate],DATE(2026,4,17),tblDaily[WardCode],"FAE")=0,"",SUMIFS(tblDaily[Admissions],tblDaily[EntryDate],DATE(2026,4,17),tblDaily[WardCode],"FAE")),"")</f>
        <v/>
      </c>
      <c r="C140" s="12">
        <f>IFERROR(IF(SUMIFS(tblDaily[Discharges],tblDaily[EntryDate],DATE(2026,4,17),tblDaily[WardCode],"FAE")=0,"",SUMIFS(tblDaily[Discharges],tblDaily[EntryDate],DATE(2026,4,17),tblDaily[WardCode],"FAE")),"")</f>
        <v/>
      </c>
      <c r="D140" s="12">
        <f>IFERROR(IF(SUMIFS(tblDaily[Deaths],tblDaily[EntryDate],DATE(2026,4,17),tblDaily[WardCode],"FAE")=0,"",SUMIFS(tblDaily[Deaths],tblDaily[EntryDate],DATE(2026,4,17),tblDaily[WardCode],"FAE")),"")</f>
        <v/>
      </c>
      <c r="E140" s="12">
        <f>IFERROR(IF(SUMIFS(tblDaily[DeathsUnder24Hrs],tblDaily[EntryDate],DATE(2026,4,17),tblDaily[WardCode],"FAE")=0,"",SUMIFS(tblDaily[DeathsUnder24Hrs],tblDaily[EntryDate],DATE(2026,4,17),tblDaily[WardCode],"FAE")),"")</f>
        <v/>
      </c>
      <c r="F140" s="12">
        <f>IFERROR(IF(SUMIFS(tblDaily[TransfersIn],tblDaily[EntryDate],DATE(2026,4,17),tblDaily[WardCode],"FAE")=0,"",SUMIFS(tblDaily[TransfersIn],tblDaily[EntryDate],DATE(2026,4,17),tblDaily[WardCode],"FAE")),"")</f>
        <v/>
      </c>
      <c r="G140" s="12">
        <f>IFERROR(IF(SUMIFS(tblDaily[TransfersOut],tblDaily[EntryDate],DATE(2026,4,17),tblDaily[WardCode],"FAE")=0,"",SUMIFS(tblDaily[TransfersOut],tblDaily[EntryDate],DATE(2026,4,17),tblDaily[WardCode],"FAE")),"")</f>
        <v/>
      </c>
      <c r="H140" s="12">
        <f>IFERROR(IF(SUMIFS(tblDaily[Remaining],tblDaily[EntryDate],DATE(2026,4,17),tblDaily[WardCode],"FAE")=0,"",SUMIFS(tblDaily[Remaining],tblDaily[EntryDate],DATE(2026,4,17),tblDaily[WardCode],"FAE")),"")</f>
        <v/>
      </c>
    </row>
    <row r="141">
      <c r="A141" s="12" t="n">
        <v>18</v>
      </c>
      <c r="B141" s="12">
        <f>IFERROR(IF(SUMIFS(tblDaily[Admissions],tblDaily[EntryDate],DATE(2026,4,18),tblDaily[WardCode],"FAE")=0,"",SUMIFS(tblDaily[Admissions],tblDaily[EntryDate],DATE(2026,4,18),tblDaily[WardCode],"FAE")),"")</f>
        <v/>
      </c>
      <c r="C141" s="12">
        <f>IFERROR(IF(SUMIFS(tblDaily[Discharges],tblDaily[EntryDate],DATE(2026,4,18),tblDaily[WardCode],"FAE")=0,"",SUMIFS(tblDaily[Discharges],tblDaily[EntryDate],DATE(2026,4,18),tblDaily[WardCode],"FAE")),"")</f>
        <v/>
      </c>
      <c r="D141" s="12">
        <f>IFERROR(IF(SUMIFS(tblDaily[Deaths],tblDaily[EntryDate],DATE(2026,4,18),tblDaily[WardCode],"FAE")=0,"",SUMIFS(tblDaily[Deaths],tblDaily[EntryDate],DATE(2026,4,18),tblDaily[WardCode],"FAE")),"")</f>
        <v/>
      </c>
      <c r="E141" s="12">
        <f>IFERROR(IF(SUMIFS(tblDaily[DeathsUnder24Hrs],tblDaily[EntryDate],DATE(2026,4,18),tblDaily[WardCode],"FAE")=0,"",SUMIFS(tblDaily[DeathsUnder24Hrs],tblDaily[EntryDate],DATE(2026,4,18),tblDaily[WardCode],"FAE")),"")</f>
        <v/>
      </c>
      <c r="F141" s="12">
        <f>IFERROR(IF(SUMIFS(tblDaily[TransfersIn],tblDaily[EntryDate],DATE(2026,4,18),tblDaily[WardCode],"FAE")=0,"",SUMIFS(tblDaily[TransfersIn],tblDaily[EntryDate],DATE(2026,4,18),tblDaily[WardCode],"FAE")),"")</f>
        <v/>
      </c>
      <c r="G141" s="12">
        <f>IFERROR(IF(SUMIFS(tblDaily[TransfersOut],tblDaily[EntryDate],DATE(2026,4,18),tblDaily[WardCode],"FAE")=0,"",SUMIFS(tblDaily[TransfersOut],tblDaily[EntryDate],DATE(2026,4,18),tblDaily[WardCode],"FAE")),"")</f>
        <v/>
      </c>
      <c r="H141" s="12">
        <f>IFERROR(IF(SUMIFS(tblDaily[Remaining],tblDaily[EntryDate],DATE(2026,4,18),tblDaily[WardCode],"FAE")=0,"",SUMIFS(tblDaily[Remaining],tblDaily[EntryDate],DATE(2026,4,18),tblDaily[WardCode],"FAE")),"")</f>
        <v/>
      </c>
    </row>
    <row r="142">
      <c r="A142" s="12" t="n">
        <v>19</v>
      </c>
      <c r="B142" s="12">
        <f>IFERROR(IF(SUMIFS(tblDaily[Admissions],tblDaily[EntryDate],DATE(2026,4,19),tblDaily[WardCode],"FAE")=0,"",SUMIFS(tblDaily[Admissions],tblDaily[EntryDate],DATE(2026,4,19),tblDaily[WardCode],"FAE")),"")</f>
        <v/>
      </c>
      <c r="C142" s="12">
        <f>IFERROR(IF(SUMIFS(tblDaily[Discharges],tblDaily[EntryDate],DATE(2026,4,19),tblDaily[WardCode],"FAE")=0,"",SUMIFS(tblDaily[Discharges],tblDaily[EntryDate],DATE(2026,4,19),tblDaily[WardCode],"FAE")),"")</f>
        <v/>
      </c>
      <c r="D142" s="12">
        <f>IFERROR(IF(SUMIFS(tblDaily[Deaths],tblDaily[EntryDate],DATE(2026,4,19),tblDaily[WardCode],"FAE")=0,"",SUMIFS(tblDaily[Deaths],tblDaily[EntryDate],DATE(2026,4,19),tblDaily[WardCode],"FAE")),"")</f>
        <v/>
      </c>
      <c r="E142" s="12">
        <f>IFERROR(IF(SUMIFS(tblDaily[DeathsUnder24Hrs],tblDaily[EntryDate],DATE(2026,4,19),tblDaily[WardCode],"FAE")=0,"",SUMIFS(tblDaily[DeathsUnder24Hrs],tblDaily[EntryDate],DATE(2026,4,19),tblDaily[WardCode],"FAE")),"")</f>
        <v/>
      </c>
      <c r="F142" s="12">
        <f>IFERROR(IF(SUMIFS(tblDaily[TransfersIn],tblDaily[EntryDate],DATE(2026,4,19),tblDaily[WardCode],"FAE")=0,"",SUMIFS(tblDaily[TransfersIn],tblDaily[EntryDate],DATE(2026,4,19),tblDaily[WardCode],"FAE")),"")</f>
        <v/>
      </c>
      <c r="G142" s="12">
        <f>IFERROR(IF(SUMIFS(tblDaily[TransfersOut],tblDaily[EntryDate],DATE(2026,4,19),tblDaily[WardCode],"FAE")=0,"",SUMIFS(tblDaily[TransfersOut],tblDaily[EntryDate],DATE(2026,4,19),tblDaily[WardCode],"FAE")),"")</f>
        <v/>
      </c>
      <c r="H142" s="12">
        <f>IFERROR(IF(SUMIFS(tblDaily[Remaining],tblDaily[EntryDate],DATE(2026,4,19),tblDaily[WardCode],"FAE")=0,"",SUMIFS(tblDaily[Remaining],tblDaily[EntryDate],DATE(2026,4,19),tblDaily[WardCode],"FAE")),"")</f>
        <v/>
      </c>
    </row>
    <row r="143">
      <c r="A143" s="12" t="n">
        <v>20</v>
      </c>
      <c r="B143" s="12">
        <f>IFERROR(IF(SUMIFS(tblDaily[Admissions],tblDaily[EntryDate],DATE(2026,4,20),tblDaily[WardCode],"FAE")=0,"",SUMIFS(tblDaily[Admissions],tblDaily[EntryDate],DATE(2026,4,20),tblDaily[WardCode],"FAE")),"")</f>
        <v/>
      </c>
      <c r="C143" s="12">
        <f>IFERROR(IF(SUMIFS(tblDaily[Discharges],tblDaily[EntryDate],DATE(2026,4,20),tblDaily[WardCode],"FAE")=0,"",SUMIFS(tblDaily[Discharges],tblDaily[EntryDate],DATE(2026,4,20),tblDaily[WardCode],"FAE")),"")</f>
        <v/>
      </c>
      <c r="D143" s="12">
        <f>IFERROR(IF(SUMIFS(tblDaily[Deaths],tblDaily[EntryDate],DATE(2026,4,20),tblDaily[WardCode],"FAE")=0,"",SUMIFS(tblDaily[Deaths],tblDaily[EntryDate],DATE(2026,4,20),tblDaily[WardCode],"FAE")),"")</f>
        <v/>
      </c>
      <c r="E143" s="12">
        <f>IFERROR(IF(SUMIFS(tblDaily[DeathsUnder24Hrs],tblDaily[EntryDate],DATE(2026,4,20),tblDaily[WardCode],"FAE")=0,"",SUMIFS(tblDaily[DeathsUnder24Hrs],tblDaily[EntryDate],DATE(2026,4,20),tblDaily[WardCode],"FAE")),"")</f>
        <v/>
      </c>
      <c r="F143" s="12">
        <f>IFERROR(IF(SUMIFS(tblDaily[TransfersIn],tblDaily[EntryDate],DATE(2026,4,20),tblDaily[WardCode],"FAE")=0,"",SUMIFS(tblDaily[TransfersIn],tblDaily[EntryDate],DATE(2026,4,20),tblDaily[WardCode],"FAE")),"")</f>
        <v/>
      </c>
      <c r="G143" s="12">
        <f>IFERROR(IF(SUMIFS(tblDaily[TransfersOut],tblDaily[EntryDate],DATE(2026,4,20),tblDaily[WardCode],"FAE")=0,"",SUMIFS(tblDaily[TransfersOut],tblDaily[EntryDate],DATE(2026,4,20),tblDaily[WardCode],"FAE")),"")</f>
        <v/>
      </c>
      <c r="H143" s="12">
        <f>IFERROR(IF(SUMIFS(tblDaily[Remaining],tblDaily[EntryDate],DATE(2026,4,20),tblDaily[WardCode],"FAE")=0,"",SUMIFS(tblDaily[Remaining],tblDaily[EntryDate],DATE(2026,4,20),tblDaily[WardCode],"FAE")),"")</f>
        <v/>
      </c>
    </row>
    <row r="144">
      <c r="A144" s="12" t="n">
        <v>21</v>
      </c>
      <c r="B144" s="12">
        <f>IFERROR(IF(SUMIFS(tblDaily[Admissions],tblDaily[EntryDate],DATE(2026,4,21),tblDaily[WardCode],"FAE")=0,"",SUMIFS(tblDaily[Admissions],tblDaily[EntryDate],DATE(2026,4,21),tblDaily[WardCode],"FAE")),"")</f>
        <v/>
      </c>
      <c r="C144" s="12">
        <f>IFERROR(IF(SUMIFS(tblDaily[Discharges],tblDaily[EntryDate],DATE(2026,4,21),tblDaily[WardCode],"FAE")=0,"",SUMIFS(tblDaily[Discharges],tblDaily[EntryDate],DATE(2026,4,21),tblDaily[WardCode],"FAE")),"")</f>
        <v/>
      </c>
      <c r="D144" s="12">
        <f>IFERROR(IF(SUMIFS(tblDaily[Deaths],tblDaily[EntryDate],DATE(2026,4,21),tblDaily[WardCode],"FAE")=0,"",SUMIFS(tblDaily[Deaths],tblDaily[EntryDate],DATE(2026,4,21),tblDaily[WardCode],"FAE")),"")</f>
        <v/>
      </c>
      <c r="E144" s="12">
        <f>IFERROR(IF(SUMIFS(tblDaily[DeathsUnder24Hrs],tblDaily[EntryDate],DATE(2026,4,21),tblDaily[WardCode],"FAE")=0,"",SUMIFS(tblDaily[DeathsUnder24Hrs],tblDaily[EntryDate],DATE(2026,4,21),tblDaily[WardCode],"FAE")),"")</f>
        <v/>
      </c>
      <c r="F144" s="12">
        <f>IFERROR(IF(SUMIFS(tblDaily[TransfersIn],tblDaily[EntryDate],DATE(2026,4,21),tblDaily[WardCode],"FAE")=0,"",SUMIFS(tblDaily[TransfersIn],tblDaily[EntryDate],DATE(2026,4,21),tblDaily[WardCode],"FAE")),"")</f>
        <v/>
      </c>
      <c r="G144" s="12">
        <f>IFERROR(IF(SUMIFS(tblDaily[TransfersOut],tblDaily[EntryDate],DATE(2026,4,21),tblDaily[WardCode],"FAE")=0,"",SUMIFS(tblDaily[TransfersOut],tblDaily[EntryDate],DATE(2026,4,21),tblDaily[WardCode],"FAE")),"")</f>
        <v/>
      </c>
      <c r="H144" s="12">
        <f>IFERROR(IF(SUMIFS(tblDaily[Remaining],tblDaily[EntryDate],DATE(2026,4,21),tblDaily[WardCode],"FAE")=0,"",SUMIFS(tblDaily[Remaining],tblDaily[EntryDate],DATE(2026,4,21),tblDaily[WardCode],"FAE")),"")</f>
        <v/>
      </c>
    </row>
    <row r="145">
      <c r="A145" s="12" t="n">
        <v>22</v>
      </c>
      <c r="B145" s="12">
        <f>IFERROR(IF(SUMIFS(tblDaily[Admissions],tblDaily[EntryDate],DATE(2026,4,22),tblDaily[WardCode],"FAE")=0,"",SUMIFS(tblDaily[Admissions],tblDaily[EntryDate],DATE(2026,4,22),tblDaily[WardCode],"FAE")),"")</f>
        <v/>
      </c>
      <c r="C145" s="12">
        <f>IFERROR(IF(SUMIFS(tblDaily[Discharges],tblDaily[EntryDate],DATE(2026,4,22),tblDaily[WardCode],"FAE")=0,"",SUMIFS(tblDaily[Discharges],tblDaily[EntryDate],DATE(2026,4,22),tblDaily[WardCode],"FAE")),"")</f>
        <v/>
      </c>
      <c r="D145" s="12">
        <f>IFERROR(IF(SUMIFS(tblDaily[Deaths],tblDaily[EntryDate],DATE(2026,4,22),tblDaily[WardCode],"FAE")=0,"",SUMIFS(tblDaily[Deaths],tblDaily[EntryDate],DATE(2026,4,22),tblDaily[WardCode],"FAE")),"")</f>
        <v/>
      </c>
      <c r="E145" s="12">
        <f>IFERROR(IF(SUMIFS(tblDaily[DeathsUnder24Hrs],tblDaily[EntryDate],DATE(2026,4,22),tblDaily[WardCode],"FAE")=0,"",SUMIFS(tblDaily[DeathsUnder24Hrs],tblDaily[EntryDate],DATE(2026,4,22),tblDaily[WardCode],"FAE")),"")</f>
        <v/>
      </c>
      <c r="F145" s="12">
        <f>IFERROR(IF(SUMIFS(tblDaily[TransfersIn],tblDaily[EntryDate],DATE(2026,4,22),tblDaily[WardCode],"FAE")=0,"",SUMIFS(tblDaily[TransfersIn],tblDaily[EntryDate],DATE(2026,4,22),tblDaily[WardCode],"FAE")),"")</f>
        <v/>
      </c>
      <c r="G145" s="12">
        <f>IFERROR(IF(SUMIFS(tblDaily[TransfersOut],tblDaily[EntryDate],DATE(2026,4,22),tblDaily[WardCode],"FAE")=0,"",SUMIFS(tblDaily[TransfersOut],tblDaily[EntryDate],DATE(2026,4,22),tblDaily[WardCode],"FAE")),"")</f>
        <v/>
      </c>
      <c r="H145" s="12">
        <f>IFERROR(IF(SUMIFS(tblDaily[Remaining],tblDaily[EntryDate],DATE(2026,4,22),tblDaily[WardCode],"FAE")=0,"",SUMIFS(tblDaily[Remaining],tblDaily[EntryDate],DATE(2026,4,22),tblDaily[WardCode],"FAE")),"")</f>
        <v/>
      </c>
    </row>
    <row r="146">
      <c r="A146" s="12" t="n">
        <v>23</v>
      </c>
      <c r="B146" s="12">
        <f>IFERROR(IF(SUMIFS(tblDaily[Admissions],tblDaily[EntryDate],DATE(2026,4,23),tblDaily[WardCode],"FAE")=0,"",SUMIFS(tblDaily[Admissions],tblDaily[EntryDate],DATE(2026,4,23),tblDaily[WardCode],"FAE")),"")</f>
        <v/>
      </c>
      <c r="C146" s="12">
        <f>IFERROR(IF(SUMIFS(tblDaily[Discharges],tblDaily[EntryDate],DATE(2026,4,23),tblDaily[WardCode],"FAE")=0,"",SUMIFS(tblDaily[Discharges],tblDaily[EntryDate],DATE(2026,4,23),tblDaily[WardCode],"FAE")),"")</f>
        <v/>
      </c>
      <c r="D146" s="12">
        <f>IFERROR(IF(SUMIFS(tblDaily[Deaths],tblDaily[EntryDate],DATE(2026,4,23),tblDaily[WardCode],"FAE")=0,"",SUMIFS(tblDaily[Deaths],tblDaily[EntryDate],DATE(2026,4,23),tblDaily[WardCode],"FAE")),"")</f>
        <v/>
      </c>
      <c r="E146" s="12">
        <f>IFERROR(IF(SUMIFS(tblDaily[DeathsUnder24Hrs],tblDaily[EntryDate],DATE(2026,4,23),tblDaily[WardCode],"FAE")=0,"",SUMIFS(tblDaily[DeathsUnder24Hrs],tblDaily[EntryDate],DATE(2026,4,23),tblDaily[WardCode],"FAE")),"")</f>
        <v/>
      </c>
      <c r="F146" s="12">
        <f>IFERROR(IF(SUMIFS(tblDaily[TransfersIn],tblDaily[EntryDate],DATE(2026,4,23),tblDaily[WardCode],"FAE")=0,"",SUMIFS(tblDaily[TransfersIn],tblDaily[EntryDate],DATE(2026,4,23),tblDaily[WardCode],"FAE")),"")</f>
        <v/>
      </c>
      <c r="G146" s="12">
        <f>IFERROR(IF(SUMIFS(tblDaily[TransfersOut],tblDaily[EntryDate],DATE(2026,4,23),tblDaily[WardCode],"FAE")=0,"",SUMIFS(tblDaily[TransfersOut],tblDaily[EntryDate],DATE(2026,4,23),tblDaily[WardCode],"FAE")),"")</f>
        <v/>
      </c>
      <c r="H146" s="12">
        <f>IFERROR(IF(SUMIFS(tblDaily[Remaining],tblDaily[EntryDate],DATE(2026,4,23),tblDaily[WardCode],"FAE")=0,"",SUMIFS(tblDaily[Remaining],tblDaily[EntryDate],DATE(2026,4,23),tblDaily[WardCode],"FAE")),"")</f>
        <v/>
      </c>
    </row>
    <row r="147">
      <c r="A147" s="12" t="n">
        <v>24</v>
      </c>
      <c r="B147" s="12">
        <f>IFERROR(IF(SUMIFS(tblDaily[Admissions],tblDaily[EntryDate],DATE(2026,4,24),tblDaily[WardCode],"FAE")=0,"",SUMIFS(tblDaily[Admissions],tblDaily[EntryDate],DATE(2026,4,24),tblDaily[WardCode],"FAE")),"")</f>
        <v/>
      </c>
      <c r="C147" s="12">
        <f>IFERROR(IF(SUMIFS(tblDaily[Discharges],tblDaily[EntryDate],DATE(2026,4,24),tblDaily[WardCode],"FAE")=0,"",SUMIFS(tblDaily[Discharges],tblDaily[EntryDate],DATE(2026,4,24),tblDaily[WardCode],"FAE")),"")</f>
        <v/>
      </c>
      <c r="D147" s="12">
        <f>IFERROR(IF(SUMIFS(tblDaily[Deaths],tblDaily[EntryDate],DATE(2026,4,24),tblDaily[WardCode],"FAE")=0,"",SUMIFS(tblDaily[Deaths],tblDaily[EntryDate],DATE(2026,4,24),tblDaily[WardCode],"FAE")),"")</f>
        <v/>
      </c>
      <c r="E147" s="12">
        <f>IFERROR(IF(SUMIFS(tblDaily[DeathsUnder24Hrs],tblDaily[EntryDate],DATE(2026,4,24),tblDaily[WardCode],"FAE")=0,"",SUMIFS(tblDaily[DeathsUnder24Hrs],tblDaily[EntryDate],DATE(2026,4,24),tblDaily[WardCode],"FAE")),"")</f>
        <v/>
      </c>
      <c r="F147" s="12">
        <f>IFERROR(IF(SUMIFS(tblDaily[TransfersIn],tblDaily[EntryDate],DATE(2026,4,24),tblDaily[WardCode],"FAE")=0,"",SUMIFS(tblDaily[TransfersIn],tblDaily[EntryDate],DATE(2026,4,24),tblDaily[WardCode],"FAE")),"")</f>
        <v/>
      </c>
      <c r="G147" s="12">
        <f>IFERROR(IF(SUMIFS(tblDaily[TransfersOut],tblDaily[EntryDate],DATE(2026,4,24),tblDaily[WardCode],"FAE")=0,"",SUMIFS(tblDaily[TransfersOut],tblDaily[EntryDate],DATE(2026,4,24),tblDaily[WardCode],"FAE")),"")</f>
        <v/>
      </c>
      <c r="H147" s="12">
        <f>IFERROR(IF(SUMIFS(tblDaily[Remaining],tblDaily[EntryDate],DATE(2026,4,24),tblDaily[WardCode],"FAE")=0,"",SUMIFS(tblDaily[Remaining],tblDaily[EntryDate],DATE(2026,4,24),tblDaily[WardCode],"FAE")),"")</f>
        <v/>
      </c>
    </row>
    <row r="148">
      <c r="A148" s="12" t="n">
        <v>25</v>
      </c>
      <c r="B148" s="12">
        <f>IFERROR(IF(SUMIFS(tblDaily[Admissions],tblDaily[EntryDate],DATE(2026,4,25),tblDaily[WardCode],"FAE")=0,"",SUMIFS(tblDaily[Admissions],tblDaily[EntryDate],DATE(2026,4,25),tblDaily[WardCode],"FAE")),"")</f>
        <v/>
      </c>
      <c r="C148" s="12">
        <f>IFERROR(IF(SUMIFS(tblDaily[Discharges],tblDaily[EntryDate],DATE(2026,4,25),tblDaily[WardCode],"FAE")=0,"",SUMIFS(tblDaily[Discharges],tblDaily[EntryDate],DATE(2026,4,25),tblDaily[WardCode],"FAE")),"")</f>
        <v/>
      </c>
      <c r="D148" s="12">
        <f>IFERROR(IF(SUMIFS(tblDaily[Deaths],tblDaily[EntryDate],DATE(2026,4,25),tblDaily[WardCode],"FAE")=0,"",SUMIFS(tblDaily[Deaths],tblDaily[EntryDate],DATE(2026,4,25),tblDaily[WardCode],"FAE")),"")</f>
        <v/>
      </c>
      <c r="E148" s="12">
        <f>IFERROR(IF(SUMIFS(tblDaily[DeathsUnder24Hrs],tblDaily[EntryDate],DATE(2026,4,25),tblDaily[WardCode],"FAE")=0,"",SUMIFS(tblDaily[DeathsUnder24Hrs],tblDaily[EntryDate],DATE(2026,4,25),tblDaily[WardCode],"FAE")),"")</f>
        <v/>
      </c>
      <c r="F148" s="12">
        <f>IFERROR(IF(SUMIFS(tblDaily[TransfersIn],tblDaily[EntryDate],DATE(2026,4,25),tblDaily[WardCode],"FAE")=0,"",SUMIFS(tblDaily[TransfersIn],tblDaily[EntryDate],DATE(2026,4,25),tblDaily[WardCode],"FAE")),"")</f>
        <v/>
      </c>
      <c r="G148" s="12">
        <f>IFERROR(IF(SUMIFS(tblDaily[TransfersOut],tblDaily[EntryDate],DATE(2026,4,25),tblDaily[WardCode],"FAE")=0,"",SUMIFS(tblDaily[TransfersOut],tblDaily[EntryDate],DATE(2026,4,25),tblDaily[WardCode],"FAE")),"")</f>
        <v/>
      </c>
      <c r="H148" s="12">
        <f>IFERROR(IF(SUMIFS(tblDaily[Remaining],tblDaily[EntryDate],DATE(2026,4,25),tblDaily[WardCode],"FAE")=0,"",SUMIFS(tblDaily[Remaining],tblDaily[EntryDate],DATE(2026,4,25),tblDaily[WardCode],"FAE")),"")</f>
        <v/>
      </c>
    </row>
    <row r="149">
      <c r="A149" s="12" t="n">
        <v>26</v>
      </c>
      <c r="B149" s="12">
        <f>IFERROR(IF(SUMIFS(tblDaily[Admissions],tblDaily[EntryDate],DATE(2026,4,26),tblDaily[WardCode],"FAE")=0,"",SUMIFS(tblDaily[Admissions],tblDaily[EntryDate],DATE(2026,4,26),tblDaily[WardCode],"FAE")),"")</f>
        <v/>
      </c>
      <c r="C149" s="12">
        <f>IFERROR(IF(SUMIFS(tblDaily[Discharges],tblDaily[EntryDate],DATE(2026,4,26),tblDaily[WardCode],"FAE")=0,"",SUMIFS(tblDaily[Discharges],tblDaily[EntryDate],DATE(2026,4,26),tblDaily[WardCode],"FAE")),"")</f>
        <v/>
      </c>
      <c r="D149" s="12">
        <f>IFERROR(IF(SUMIFS(tblDaily[Deaths],tblDaily[EntryDate],DATE(2026,4,26),tblDaily[WardCode],"FAE")=0,"",SUMIFS(tblDaily[Deaths],tblDaily[EntryDate],DATE(2026,4,26),tblDaily[WardCode],"FAE")),"")</f>
        <v/>
      </c>
      <c r="E149" s="12">
        <f>IFERROR(IF(SUMIFS(tblDaily[DeathsUnder24Hrs],tblDaily[EntryDate],DATE(2026,4,26),tblDaily[WardCode],"FAE")=0,"",SUMIFS(tblDaily[DeathsUnder24Hrs],tblDaily[EntryDate],DATE(2026,4,26),tblDaily[WardCode],"FAE")),"")</f>
        <v/>
      </c>
      <c r="F149" s="12">
        <f>IFERROR(IF(SUMIFS(tblDaily[TransfersIn],tblDaily[EntryDate],DATE(2026,4,26),tblDaily[WardCode],"FAE")=0,"",SUMIFS(tblDaily[TransfersIn],tblDaily[EntryDate],DATE(2026,4,26),tblDaily[WardCode],"FAE")),"")</f>
        <v/>
      </c>
      <c r="G149" s="12">
        <f>IFERROR(IF(SUMIFS(tblDaily[TransfersOut],tblDaily[EntryDate],DATE(2026,4,26),tblDaily[WardCode],"FAE")=0,"",SUMIFS(tblDaily[TransfersOut],tblDaily[EntryDate],DATE(2026,4,26),tblDaily[WardCode],"FAE")),"")</f>
        <v/>
      </c>
      <c r="H149" s="12">
        <f>IFERROR(IF(SUMIFS(tblDaily[Remaining],tblDaily[EntryDate],DATE(2026,4,26),tblDaily[WardCode],"FAE")=0,"",SUMIFS(tblDaily[Remaining],tblDaily[EntryDate],DATE(2026,4,26),tblDaily[WardCode],"FAE")),"")</f>
        <v/>
      </c>
    </row>
    <row r="150">
      <c r="A150" s="12" t="n">
        <v>27</v>
      </c>
      <c r="B150" s="12">
        <f>IFERROR(IF(SUMIFS(tblDaily[Admissions],tblDaily[EntryDate],DATE(2026,4,27),tblDaily[WardCode],"FAE")=0,"",SUMIFS(tblDaily[Admissions],tblDaily[EntryDate],DATE(2026,4,27),tblDaily[WardCode],"FAE")),"")</f>
        <v/>
      </c>
      <c r="C150" s="12">
        <f>IFERROR(IF(SUMIFS(tblDaily[Discharges],tblDaily[EntryDate],DATE(2026,4,27),tblDaily[WardCode],"FAE")=0,"",SUMIFS(tblDaily[Discharges],tblDaily[EntryDate],DATE(2026,4,27),tblDaily[WardCode],"FAE")),"")</f>
        <v/>
      </c>
      <c r="D150" s="12">
        <f>IFERROR(IF(SUMIFS(tblDaily[Deaths],tblDaily[EntryDate],DATE(2026,4,27),tblDaily[WardCode],"FAE")=0,"",SUMIFS(tblDaily[Deaths],tblDaily[EntryDate],DATE(2026,4,27),tblDaily[WardCode],"FAE")),"")</f>
        <v/>
      </c>
      <c r="E150" s="12">
        <f>IFERROR(IF(SUMIFS(tblDaily[DeathsUnder24Hrs],tblDaily[EntryDate],DATE(2026,4,27),tblDaily[WardCode],"FAE")=0,"",SUMIFS(tblDaily[DeathsUnder24Hrs],tblDaily[EntryDate],DATE(2026,4,27),tblDaily[WardCode],"FAE")),"")</f>
        <v/>
      </c>
      <c r="F150" s="12">
        <f>IFERROR(IF(SUMIFS(tblDaily[TransfersIn],tblDaily[EntryDate],DATE(2026,4,27),tblDaily[WardCode],"FAE")=0,"",SUMIFS(tblDaily[TransfersIn],tblDaily[EntryDate],DATE(2026,4,27),tblDaily[WardCode],"FAE")),"")</f>
        <v/>
      </c>
      <c r="G150" s="12">
        <f>IFERROR(IF(SUMIFS(tblDaily[TransfersOut],tblDaily[EntryDate],DATE(2026,4,27),tblDaily[WardCode],"FAE")=0,"",SUMIFS(tblDaily[TransfersOut],tblDaily[EntryDate],DATE(2026,4,27),tblDaily[WardCode],"FAE")),"")</f>
        <v/>
      </c>
      <c r="H150" s="12">
        <f>IFERROR(IF(SUMIFS(tblDaily[Remaining],tblDaily[EntryDate],DATE(2026,4,27),tblDaily[WardCode],"FAE")=0,"",SUMIFS(tblDaily[Remaining],tblDaily[EntryDate],DATE(2026,4,27),tblDaily[WardCode],"FAE")),"")</f>
        <v/>
      </c>
    </row>
    <row r="151">
      <c r="A151" s="12" t="n">
        <v>28</v>
      </c>
      <c r="B151" s="12">
        <f>IFERROR(IF(SUMIFS(tblDaily[Admissions],tblDaily[EntryDate],DATE(2026,4,28),tblDaily[WardCode],"FAE")=0,"",SUMIFS(tblDaily[Admissions],tblDaily[EntryDate],DATE(2026,4,28),tblDaily[WardCode],"FAE")),"")</f>
        <v/>
      </c>
      <c r="C151" s="12">
        <f>IFERROR(IF(SUMIFS(tblDaily[Discharges],tblDaily[EntryDate],DATE(2026,4,28),tblDaily[WardCode],"FAE")=0,"",SUMIFS(tblDaily[Discharges],tblDaily[EntryDate],DATE(2026,4,28),tblDaily[WardCode],"FAE")),"")</f>
        <v/>
      </c>
      <c r="D151" s="12">
        <f>IFERROR(IF(SUMIFS(tblDaily[Deaths],tblDaily[EntryDate],DATE(2026,4,28),tblDaily[WardCode],"FAE")=0,"",SUMIFS(tblDaily[Deaths],tblDaily[EntryDate],DATE(2026,4,28),tblDaily[WardCode],"FAE")),"")</f>
        <v/>
      </c>
      <c r="E151" s="12">
        <f>IFERROR(IF(SUMIFS(tblDaily[DeathsUnder24Hrs],tblDaily[EntryDate],DATE(2026,4,28),tblDaily[WardCode],"FAE")=0,"",SUMIFS(tblDaily[DeathsUnder24Hrs],tblDaily[EntryDate],DATE(2026,4,28),tblDaily[WardCode],"FAE")),"")</f>
        <v/>
      </c>
      <c r="F151" s="12">
        <f>IFERROR(IF(SUMIFS(tblDaily[TransfersIn],tblDaily[EntryDate],DATE(2026,4,28),tblDaily[WardCode],"FAE")=0,"",SUMIFS(tblDaily[TransfersIn],tblDaily[EntryDate],DATE(2026,4,28),tblDaily[WardCode],"FAE")),"")</f>
        <v/>
      </c>
      <c r="G151" s="12">
        <f>IFERROR(IF(SUMIFS(tblDaily[TransfersOut],tblDaily[EntryDate],DATE(2026,4,28),tblDaily[WardCode],"FAE")=0,"",SUMIFS(tblDaily[TransfersOut],tblDaily[EntryDate],DATE(2026,4,28),tblDaily[WardCode],"FAE")),"")</f>
        <v/>
      </c>
      <c r="H151" s="12">
        <f>IFERROR(IF(SUMIFS(tblDaily[Remaining],tblDaily[EntryDate],DATE(2026,4,28),tblDaily[WardCode],"FAE")=0,"",SUMIFS(tblDaily[Remaining],tblDaily[EntryDate],DATE(2026,4,28),tblDaily[WardCode],"FAE")),"")</f>
        <v/>
      </c>
    </row>
    <row r="152">
      <c r="A152" s="12" t="n">
        <v>29</v>
      </c>
      <c r="B152" s="12">
        <f>IFERROR(IF(SUMIFS(tblDaily[Admissions],tblDaily[EntryDate],DATE(2026,4,29),tblDaily[WardCode],"FAE")=0,"",SUMIFS(tblDaily[Admissions],tblDaily[EntryDate],DATE(2026,4,29),tblDaily[WardCode],"FAE")),"")</f>
        <v/>
      </c>
      <c r="C152" s="12">
        <f>IFERROR(IF(SUMIFS(tblDaily[Discharges],tblDaily[EntryDate],DATE(2026,4,29),tblDaily[WardCode],"FAE")=0,"",SUMIFS(tblDaily[Discharges],tblDaily[EntryDate],DATE(2026,4,29),tblDaily[WardCode],"FAE")),"")</f>
        <v/>
      </c>
      <c r="D152" s="12">
        <f>IFERROR(IF(SUMIFS(tblDaily[Deaths],tblDaily[EntryDate],DATE(2026,4,29),tblDaily[WardCode],"FAE")=0,"",SUMIFS(tblDaily[Deaths],tblDaily[EntryDate],DATE(2026,4,29),tblDaily[WardCode],"FAE")),"")</f>
        <v/>
      </c>
      <c r="E152" s="12">
        <f>IFERROR(IF(SUMIFS(tblDaily[DeathsUnder24Hrs],tblDaily[EntryDate],DATE(2026,4,29),tblDaily[WardCode],"FAE")=0,"",SUMIFS(tblDaily[DeathsUnder24Hrs],tblDaily[EntryDate],DATE(2026,4,29),tblDaily[WardCode],"FAE")),"")</f>
        <v/>
      </c>
      <c r="F152" s="12">
        <f>IFERROR(IF(SUMIFS(tblDaily[TransfersIn],tblDaily[EntryDate],DATE(2026,4,29),tblDaily[WardCode],"FAE")=0,"",SUMIFS(tblDaily[TransfersIn],tblDaily[EntryDate],DATE(2026,4,29),tblDaily[WardCode],"FAE")),"")</f>
        <v/>
      </c>
      <c r="G152" s="12">
        <f>IFERROR(IF(SUMIFS(tblDaily[TransfersOut],tblDaily[EntryDate],DATE(2026,4,29),tblDaily[WardCode],"FAE")=0,"",SUMIFS(tblDaily[TransfersOut],tblDaily[EntryDate],DATE(2026,4,29),tblDaily[WardCode],"FAE")),"")</f>
        <v/>
      </c>
      <c r="H152" s="12">
        <f>IFERROR(IF(SUMIFS(tblDaily[Remaining],tblDaily[EntryDate],DATE(2026,4,29),tblDaily[WardCode],"FAE")=0,"",SUMIFS(tblDaily[Remaining],tblDaily[EntryDate],DATE(2026,4,29),tblDaily[WardCode],"FAE")),"")</f>
        <v/>
      </c>
    </row>
    <row r="153">
      <c r="A153" s="12" t="n">
        <v>30</v>
      </c>
      <c r="B153" s="12">
        <f>IFERROR(IF(SUMIFS(tblDaily[Admissions],tblDaily[EntryDate],DATE(2026,4,30),tblDaily[WardCode],"FAE")=0,"",SUMIFS(tblDaily[Admissions],tblDaily[EntryDate],DATE(2026,4,30),tblDaily[WardCode],"FAE")),"")</f>
        <v/>
      </c>
      <c r="C153" s="12">
        <f>IFERROR(IF(SUMIFS(tblDaily[Discharges],tblDaily[EntryDate],DATE(2026,4,30),tblDaily[WardCode],"FAE")=0,"",SUMIFS(tblDaily[Discharges],tblDaily[EntryDate],DATE(2026,4,30),tblDaily[WardCode],"FAE")),"")</f>
        <v/>
      </c>
      <c r="D153" s="12">
        <f>IFERROR(IF(SUMIFS(tblDaily[Deaths],tblDaily[EntryDate],DATE(2026,4,30),tblDaily[WardCode],"FAE")=0,"",SUMIFS(tblDaily[Deaths],tblDaily[EntryDate],DATE(2026,4,30),tblDaily[WardCode],"FAE")),"")</f>
        <v/>
      </c>
      <c r="E153" s="12">
        <f>IFERROR(IF(SUMIFS(tblDaily[DeathsUnder24Hrs],tblDaily[EntryDate],DATE(2026,4,30),tblDaily[WardCode],"FAE")=0,"",SUMIFS(tblDaily[DeathsUnder24Hrs],tblDaily[EntryDate],DATE(2026,4,30),tblDaily[WardCode],"FAE")),"")</f>
        <v/>
      </c>
      <c r="F153" s="12">
        <f>IFERROR(IF(SUMIFS(tblDaily[TransfersIn],tblDaily[EntryDate],DATE(2026,4,30),tblDaily[WardCode],"FAE")=0,"",SUMIFS(tblDaily[TransfersIn],tblDaily[EntryDate],DATE(2026,4,30),tblDaily[WardCode],"FAE")),"")</f>
        <v/>
      </c>
      <c r="G153" s="12">
        <f>IFERROR(IF(SUMIFS(tblDaily[TransfersOut],tblDaily[EntryDate],DATE(2026,4,30),tblDaily[WardCode],"FAE")=0,"",SUMIFS(tblDaily[TransfersOut],tblDaily[EntryDate],DATE(2026,4,30),tblDaily[WardCode],"FAE")),"")</f>
        <v/>
      </c>
      <c r="H153" s="12">
        <f>IFERROR(IF(SUMIFS(tblDaily[Remaining],tblDaily[EntryDate],DATE(2026,4,30),tblDaily[WardCode],"FAE")=0,"",SUMIFS(tblDaily[Remaining],tblDaily[EntryDate],DATE(2026,4,30),tblDaily[WardCode],"FAE")),"")</f>
        <v/>
      </c>
    </row>
    <row r="154">
      <c r="A154" s="12" t="n">
        <v>31</v>
      </c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7" t="inlineStr">
        <is>
          <t>TOTAL</t>
        </is>
      </c>
      <c r="B155" s="17">
        <f>SUMIFS(tblDaily[Admissions],tblDaily[Month],4,tblDaily[WardCode],"FAE") - SUMIFS(tblDaily[DeathsUnder24Hrs],tblDaily[Month],4,tblDaily[WardCode],"FAE")</f>
        <v/>
      </c>
      <c r="C155" s="17">
        <f>SUMIFS(tblDaily[Discharges],tblDaily[Month],4,tblDaily[WardCode],"FAE")</f>
        <v/>
      </c>
      <c r="D155" s="17">
        <f>SUMIFS(tblDaily[Deaths],tblDaily[Month],4,tblDaily[WardCode],"FAE")</f>
        <v/>
      </c>
      <c r="E155" s="17">
        <f>SUMIFS(tblDaily[DeathsUnder24Hrs],tblDaily[Month],4,tblDaily[WardCode],"FAE")</f>
        <v/>
      </c>
      <c r="F155" s="17">
        <f>SUMIFS(tblDaily[TransfersIn],tblDaily[Month],4,tblDaily[WardCode],"FAE")</f>
        <v/>
      </c>
      <c r="G155" s="17">
        <f>SUMIFS(tblDaily[TransfersOut],tblDaily[Month],4,tblDaily[WardCode],"FAE")</f>
        <v/>
      </c>
      <c r="H155" s="17">
        <f>SUMIFS(tblDaily[Remaining],tblDaily[Month],4,tblDaily[WardCode],"FAE")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FEMALE EMERGENCY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4">
        <f>IFERROR(SUMIFS(tblDaily[Remaining],tblDaily[EntryDate],DATE(2026,4,30),tblDaily[WardCode],"FAE"),0)</f>
        <v/>
      </c>
    </row>
    <row r="161">
      <c r="A161" s="4" t="inlineStr">
        <is>
          <t>Bed complement</t>
        </is>
      </c>
      <c r="H161" s="15">
        <f>IFERROR(INDEX(tblWardConfig[BedComplement],MATCH("FAE",tblWardConfig[WardCode],0)),0)</f>
        <v/>
      </c>
    </row>
    <row r="162">
      <c r="A162" s="16" t="inlineStr">
        <is>
          <t>Day of
the
Month</t>
        </is>
      </c>
      <c r="B162" s="16" t="inlineStr">
        <is>
          <t>Admissions</t>
        </is>
      </c>
      <c r="C162" s="16" t="inlineStr">
        <is>
          <t>Discharges</t>
        </is>
      </c>
      <c r="D162" s="16" t="inlineStr">
        <is>
          <t>Deaths</t>
        </is>
      </c>
      <c r="E162" s="16" t="inlineStr">
        <is>
          <t>Deaths
&lt;24Hrs</t>
        </is>
      </c>
      <c r="F162" s="16" t="inlineStr">
        <is>
          <t>Transfers-
In</t>
        </is>
      </c>
      <c r="G162" s="16" t="inlineStr">
        <is>
          <t>Transfers-
Out</t>
        </is>
      </c>
      <c r="H162" s="16" t="inlineStr">
        <is>
          <t>No. of Patients
Remaining In
Ward</t>
        </is>
      </c>
    </row>
    <row r="163">
      <c r="A163" s="12" t="n">
        <v>1</v>
      </c>
      <c r="B163" s="12">
        <f>IFERROR(IF(SUMIFS(tblDaily[Admissions],tblDaily[EntryDate],DATE(2026,5,1),tblDaily[WardCode],"FAE")=0,"",SUMIFS(tblDaily[Admissions],tblDaily[EntryDate],DATE(2026,5,1),tblDaily[WardCode],"FAE")),"")</f>
        <v/>
      </c>
      <c r="C163" s="12">
        <f>IFERROR(IF(SUMIFS(tblDaily[Discharges],tblDaily[EntryDate],DATE(2026,5,1),tblDaily[WardCode],"FAE")=0,"",SUMIFS(tblDaily[Discharges],tblDaily[EntryDate],DATE(2026,5,1),tblDaily[WardCode],"FAE")),"")</f>
        <v/>
      </c>
      <c r="D163" s="12">
        <f>IFERROR(IF(SUMIFS(tblDaily[Deaths],tblDaily[EntryDate],DATE(2026,5,1),tblDaily[WardCode],"FAE")=0,"",SUMIFS(tblDaily[Deaths],tblDaily[EntryDate],DATE(2026,5,1),tblDaily[WardCode],"FAE")),"")</f>
        <v/>
      </c>
      <c r="E163" s="12">
        <f>IFERROR(IF(SUMIFS(tblDaily[DeathsUnder24Hrs],tblDaily[EntryDate],DATE(2026,5,1),tblDaily[WardCode],"FAE")=0,"",SUMIFS(tblDaily[DeathsUnder24Hrs],tblDaily[EntryDate],DATE(2026,5,1),tblDaily[WardCode],"FAE")),"")</f>
        <v/>
      </c>
      <c r="F163" s="12">
        <f>IFERROR(IF(SUMIFS(tblDaily[TransfersIn],tblDaily[EntryDate],DATE(2026,5,1),tblDaily[WardCode],"FAE")=0,"",SUMIFS(tblDaily[TransfersIn],tblDaily[EntryDate],DATE(2026,5,1),tblDaily[WardCode],"FAE")),"")</f>
        <v/>
      </c>
      <c r="G163" s="12">
        <f>IFERROR(IF(SUMIFS(tblDaily[TransfersOut],tblDaily[EntryDate],DATE(2026,5,1),tblDaily[WardCode],"FAE")=0,"",SUMIFS(tblDaily[TransfersOut],tblDaily[EntryDate],DATE(2026,5,1),tblDaily[WardCode],"FAE")),"")</f>
        <v/>
      </c>
      <c r="H163" s="12">
        <f>IFERROR(IF(SUMIFS(tblDaily[Remaining],tblDaily[EntryDate],DATE(2026,5,1),tblDaily[WardCode],"FAE")=0,"",SUMIFS(tblDaily[Remaining],tblDaily[EntryDate],DATE(2026,5,1),tblDaily[WardCode],"FAE")),"")</f>
        <v/>
      </c>
    </row>
    <row r="164">
      <c r="A164" s="12" t="n">
        <v>2</v>
      </c>
      <c r="B164" s="12">
        <f>IFERROR(IF(SUMIFS(tblDaily[Admissions],tblDaily[EntryDate],DATE(2026,5,2),tblDaily[WardCode],"FAE")=0,"",SUMIFS(tblDaily[Admissions],tblDaily[EntryDate],DATE(2026,5,2),tblDaily[WardCode],"FAE")),"")</f>
        <v/>
      </c>
      <c r="C164" s="12">
        <f>IFERROR(IF(SUMIFS(tblDaily[Discharges],tblDaily[EntryDate],DATE(2026,5,2),tblDaily[WardCode],"FAE")=0,"",SUMIFS(tblDaily[Discharges],tblDaily[EntryDate],DATE(2026,5,2),tblDaily[WardCode],"FAE")),"")</f>
        <v/>
      </c>
      <c r="D164" s="12">
        <f>IFERROR(IF(SUMIFS(tblDaily[Deaths],tblDaily[EntryDate],DATE(2026,5,2),tblDaily[WardCode],"FAE")=0,"",SUMIFS(tblDaily[Deaths],tblDaily[EntryDate],DATE(2026,5,2),tblDaily[WardCode],"FAE")),"")</f>
        <v/>
      </c>
      <c r="E164" s="12">
        <f>IFERROR(IF(SUMIFS(tblDaily[DeathsUnder24Hrs],tblDaily[EntryDate],DATE(2026,5,2),tblDaily[WardCode],"FAE")=0,"",SUMIFS(tblDaily[DeathsUnder24Hrs],tblDaily[EntryDate],DATE(2026,5,2),tblDaily[WardCode],"FAE")),"")</f>
        <v/>
      </c>
      <c r="F164" s="12">
        <f>IFERROR(IF(SUMIFS(tblDaily[TransfersIn],tblDaily[EntryDate],DATE(2026,5,2),tblDaily[WardCode],"FAE")=0,"",SUMIFS(tblDaily[TransfersIn],tblDaily[EntryDate],DATE(2026,5,2),tblDaily[WardCode],"FAE")),"")</f>
        <v/>
      </c>
      <c r="G164" s="12">
        <f>IFERROR(IF(SUMIFS(tblDaily[TransfersOut],tblDaily[EntryDate],DATE(2026,5,2),tblDaily[WardCode],"FAE")=0,"",SUMIFS(tblDaily[TransfersOut],tblDaily[EntryDate],DATE(2026,5,2),tblDaily[WardCode],"FAE")),"")</f>
        <v/>
      </c>
      <c r="H164" s="12">
        <f>IFERROR(IF(SUMIFS(tblDaily[Remaining],tblDaily[EntryDate],DATE(2026,5,2),tblDaily[WardCode],"FAE")=0,"",SUMIFS(tblDaily[Remaining],tblDaily[EntryDate],DATE(2026,5,2),tblDaily[WardCode],"FAE")),"")</f>
        <v/>
      </c>
    </row>
    <row r="165">
      <c r="A165" s="12" t="n">
        <v>3</v>
      </c>
      <c r="B165" s="12">
        <f>IFERROR(IF(SUMIFS(tblDaily[Admissions],tblDaily[EntryDate],DATE(2026,5,3),tblDaily[WardCode],"FAE")=0,"",SUMIFS(tblDaily[Admissions],tblDaily[EntryDate],DATE(2026,5,3),tblDaily[WardCode],"FAE")),"")</f>
        <v/>
      </c>
      <c r="C165" s="12">
        <f>IFERROR(IF(SUMIFS(tblDaily[Discharges],tblDaily[EntryDate],DATE(2026,5,3),tblDaily[WardCode],"FAE")=0,"",SUMIFS(tblDaily[Discharges],tblDaily[EntryDate],DATE(2026,5,3),tblDaily[WardCode],"FAE")),"")</f>
        <v/>
      </c>
      <c r="D165" s="12">
        <f>IFERROR(IF(SUMIFS(tblDaily[Deaths],tblDaily[EntryDate],DATE(2026,5,3),tblDaily[WardCode],"FAE")=0,"",SUMIFS(tblDaily[Deaths],tblDaily[EntryDate],DATE(2026,5,3),tblDaily[WardCode],"FAE")),"")</f>
        <v/>
      </c>
      <c r="E165" s="12">
        <f>IFERROR(IF(SUMIFS(tblDaily[DeathsUnder24Hrs],tblDaily[EntryDate],DATE(2026,5,3),tblDaily[WardCode],"FAE")=0,"",SUMIFS(tblDaily[DeathsUnder24Hrs],tblDaily[EntryDate],DATE(2026,5,3),tblDaily[WardCode],"FAE")),"")</f>
        <v/>
      </c>
      <c r="F165" s="12">
        <f>IFERROR(IF(SUMIFS(tblDaily[TransfersIn],tblDaily[EntryDate],DATE(2026,5,3),tblDaily[WardCode],"FAE")=0,"",SUMIFS(tblDaily[TransfersIn],tblDaily[EntryDate],DATE(2026,5,3),tblDaily[WardCode],"FAE")),"")</f>
        <v/>
      </c>
      <c r="G165" s="12">
        <f>IFERROR(IF(SUMIFS(tblDaily[TransfersOut],tblDaily[EntryDate],DATE(2026,5,3),tblDaily[WardCode],"FAE")=0,"",SUMIFS(tblDaily[TransfersOut],tblDaily[EntryDate],DATE(2026,5,3),tblDaily[WardCode],"FAE")),"")</f>
        <v/>
      </c>
      <c r="H165" s="12">
        <f>IFERROR(IF(SUMIFS(tblDaily[Remaining],tblDaily[EntryDate],DATE(2026,5,3),tblDaily[WardCode],"FAE")=0,"",SUMIFS(tblDaily[Remaining],tblDaily[EntryDate],DATE(2026,5,3),tblDaily[WardCode],"FAE")),"")</f>
        <v/>
      </c>
    </row>
    <row r="166">
      <c r="A166" s="12" t="n">
        <v>4</v>
      </c>
      <c r="B166" s="12">
        <f>IFERROR(IF(SUMIFS(tblDaily[Admissions],tblDaily[EntryDate],DATE(2026,5,4),tblDaily[WardCode],"FAE")=0,"",SUMIFS(tblDaily[Admissions],tblDaily[EntryDate],DATE(2026,5,4),tblDaily[WardCode],"FAE")),"")</f>
        <v/>
      </c>
      <c r="C166" s="12">
        <f>IFERROR(IF(SUMIFS(tblDaily[Discharges],tblDaily[EntryDate],DATE(2026,5,4),tblDaily[WardCode],"FAE")=0,"",SUMIFS(tblDaily[Discharges],tblDaily[EntryDate],DATE(2026,5,4),tblDaily[WardCode],"FAE")),"")</f>
        <v/>
      </c>
      <c r="D166" s="12">
        <f>IFERROR(IF(SUMIFS(tblDaily[Deaths],tblDaily[EntryDate],DATE(2026,5,4),tblDaily[WardCode],"FAE")=0,"",SUMIFS(tblDaily[Deaths],tblDaily[EntryDate],DATE(2026,5,4),tblDaily[WardCode],"FAE")),"")</f>
        <v/>
      </c>
      <c r="E166" s="12">
        <f>IFERROR(IF(SUMIFS(tblDaily[DeathsUnder24Hrs],tblDaily[EntryDate],DATE(2026,5,4),tblDaily[WardCode],"FAE")=0,"",SUMIFS(tblDaily[DeathsUnder24Hrs],tblDaily[EntryDate],DATE(2026,5,4),tblDaily[WardCode],"FAE")),"")</f>
        <v/>
      </c>
      <c r="F166" s="12">
        <f>IFERROR(IF(SUMIFS(tblDaily[TransfersIn],tblDaily[EntryDate],DATE(2026,5,4),tblDaily[WardCode],"FAE")=0,"",SUMIFS(tblDaily[TransfersIn],tblDaily[EntryDate],DATE(2026,5,4),tblDaily[WardCode],"FAE")),"")</f>
        <v/>
      </c>
      <c r="G166" s="12">
        <f>IFERROR(IF(SUMIFS(tblDaily[TransfersOut],tblDaily[EntryDate],DATE(2026,5,4),tblDaily[WardCode],"FAE")=0,"",SUMIFS(tblDaily[TransfersOut],tblDaily[EntryDate],DATE(2026,5,4),tblDaily[WardCode],"FAE")),"")</f>
        <v/>
      </c>
      <c r="H166" s="12">
        <f>IFERROR(IF(SUMIFS(tblDaily[Remaining],tblDaily[EntryDate],DATE(2026,5,4),tblDaily[WardCode],"FAE")=0,"",SUMIFS(tblDaily[Remaining],tblDaily[EntryDate],DATE(2026,5,4),tblDaily[WardCode],"FAE")),"")</f>
        <v/>
      </c>
    </row>
    <row r="167">
      <c r="A167" s="12" t="n">
        <v>5</v>
      </c>
      <c r="B167" s="12">
        <f>IFERROR(IF(SUMIFS(tblDaily[Admissions],tblDaily[EntryDate],DATE(2026,5,5),tblDaily[WardCode],"FAE")=0,"",SUMIFS(tblDaily[Admissions],tblDaily[EntryDate],DATE(2026,5,5),tblDaily[WardCode],"FAE")),"")</f>
        <v/>
      </c>
      <c r="C167" s="12">
        <f>IFERROR(IF(SUMIFS(tblDaily[Discharges],tblDaily[EntryDate],DATE(2026,5,5),tblDaily[WardCode],"FAE")=0,"",SUMIFS(tblDaily[Discharges],tblDaily[EntryDate],DATE(2026,5,5),tblDaily[WardCode],"FAE")),"")</f>
        <v/>
      </c>
      <c r="D167" s="12">
        <f>IFERROR(IF(SUMIFS(tblDaily[Deaths],tblDaily[EntryDate],DATE(2026,5,5),tblDaily[WardCode],"FAE")=0,"",SUMIFS(tblDaily[Deaths],tblDaily[EntryDate],DATE(2026,5,5),tblDaily[WardCode],"FAE")),"")</f>
        <v/>
      </c>
      <c r="E167" s="12">
        <f>IFERROR(IF(SUMIFS(tblDaily[DeathsUnder24Hrs],tblDaily[EntryDate],DATE(2026,5,5),tblDaily[WardCode],"FAE")=0,"",SUMIFS(tblDaily[DeathsUnder24Hrs],tblDaily[EntryDate],DATE(2026,5,5),tblDaily[WardCode],"FAE")),"")</f>
        <v/>
      </c>
      <c r="F167" s="12">
        <f>IFERROR(IF(SUMIFS(tblDaily[TransfersIn],tblDaily[EntryDate],DATE(2026,5,5),tblDaily[WardCode],"FAE")=0,"",SUMIFS(tblDaily[TransfersIn],tblDaily[EntryDate],DATE(2026,5,5),tblDaily[WardCode],"FAE")),"")</f>
        <v/>
      </c>
      <c r="G167" s="12">
        <f>IFERROR(IF(SUMIFS(tblDaily[TransfersOut],tblDaily[EntryDate],DATE(2026,5,5),tblDaily[WardCode],"FAE")=0,"",SUMIFS(tblDaily[TransfersOut],tblDaily[EntryDate],DATE(2026,5,5),tblDaily[WardCode],"FAE")),"")</f>
        <v/>
      </c>
      <c r="H167" s="12">
        <f>IFERROR(IF(SUMIFS(tblDaily[Remaining],tblDaily[EntryDate],DATE(2026,5,5),tblDaily[WardCode],"FAE")=0,"",SUMIFS(tblDaily[Remaining],tblDaily[EntryDate],DATE(2026,5,5),tblDaily[WardCode],"FAE")),"")</f>
        <v/>
      </c>
    </row>
    <row r="168">
      <c r="A168" s="12" t="n">
        <v>6</v>
      </c>
      <c r="B168" s="12">
        <f>IFERROR(IF(SUMIFS(tblDaily[Admissions],tblDaily[EntryDate],DATE(2026,5,6),tblDaily[WardCode],"FAE")=0,"",SUMIFS(tblDaily[Admissions],tblDaily[EntryDate],DATE(2026,5,6),tblDaily[WardCode],"FAE")),"")</f>
        <v/>
      </c>
      <c r="C168" s="12">
        <f>IFERROR(IF(SUMIFS(tblDaily[Discharges],tblDaily[EntryDate],DATE(2026,5,6),tblDaily[WardCode],"FAE")=0,"",SUMIFS(tblDaily[Discharges],tblDaily[EntryDate],DATE(2026,5,6),tblDaily[WardCode],"FAE")),"")</f>
        <v/>
      </c>
      <c r="D168" s="12">
        <f>IFERROR(IF(SUMIFS(tblDaily[Deaths],tblDaily[EntryDate],DATE(2026,5,6),tblDaily[WardCode],"FAE")=0,"",SUMIFS(tblDaily[Deaths],tblDaily[EntryDate],DATE(2026,5,6),tblDaily[WardCode],"FAE")),"")</f>
        <v/>
      </c>
      <c r="E168" s="12">
        <f>IFERROR(IF(SUMIFS(tblDaily[DeathsUnder24Hrs],tblDaily[EntryDate],DATE(2026,5,6),tblDaily[WardCode],"FAE")=0,"",SUMIFS(tblDaily[DeathsUnder24Hrs],tblDaily[EntryDate],DATE(2026,5,6),tblDaily[WardCode],"FAE")),"")</f>
        <v/>
      </c>
      <c r="F168" s="12">
        <f>IFERROR(IF(SUMIFS(tblDaily[TransfersIn],tblDaily[EntryDate],DATE(2026,5,6),tblDaily[WardCode],"FAE")=0,"",SUMIFS(tblDaily[TransfersIn],tblDaily[EntryDate],DATE(2026,5,6),tblDaily[WardCode],"FAE")),"")</f>
        <v/>
      </c>
      <c r="G168" s="12">
        <f>IFERROR(IF(SUMIFS(tblDaily[TransfersOut],tblDaily[EntryDate],DATE(2026,5,6),tblDaily[WardCode],"FAE")=0,"",SUMIFS(tblDaily[TransfersOut],tblDaily[EntryDate],DATE(2026,5,6),tblDaily[WardCode],"FAE")),"")</f>
        <v/>
      </c>
      <c r="H168" s="12">
        <f>IFERROR(IF(SUMIFS(tblDaily[Remaining],tblDaily[EntryDate],DATE(2026,5,6),tblDaily[WardCode],"FAE")=0,"",SUMIFS(tblDaily[Remaining],tblDaily[EntryDate],DATE(2026,5,6),tblDaily[WardCode],"FAE")),"")</f>
        <v/>
      </c>
    </row>
    <row r="169">
      <c r="A169" s="12" t="n">
        <v>7</v>
      </c>
      <c r="B169" s="12">
        <f>IFERROR(IF(SUMIFS(tblDaily[Admissions],tblDaily[EntryDate],DATE(2026,5,7),tblDaily[WardCode],"FAE")=0,"",SUMIFS(tblDaily[Admissions],tblDaily[EntryDate],DATE(2026,5,7),tblDaily[WardCode],"FAE")),"")</f>
        <v/>
      </c>
      <c r="C169" s="12">
        <f>IFERROR(IF(SUMIFS(tblDaily[Discharges],tblDaily[EntryDate],DATE(2026,5,7),tblDaily[WardCode],"FAE")=0,"",SUMIFS(tblDaily[Discharges],tblDaily[EntryDate],DATE(2026,5,7),tblDaily[WardCode],"FAE")),"")</f>
        <v/>
      </c>
      <c r="D169" s="12">
        <f>IFERROR(IF(SUMIFS(tblDaily[Deaths],tblDaily[EntryDate],DATE(2026,5,7),tblDaily[WardCode],"FAE")=0,"",SUMIFS(tblDaily[Deaths],tblDaily[EntryDate],DATE(2026,5,7),tblDaily[WardCode],"FAE")),"")</f>
        <v/>
      </c>
      <c r="E169" s="12">
        <f>IFERROR(IF(SUMIFS(tblDaily[DeathsUnder24Hrs],tblDaily[EntryDate],DATE(2026,5,7),tblDaily[WardCode],"FAE")=0,"",SUMIFS(tblDaily[DeathsUnder24Hrs],tblDaily[EntryDate],DATE(2026,5,7),tblDaily[WardCode],"FAE")),"")</f>
        <v/>
      </c>
      <c r="F169" s="12">
        <f>IFERROR(IF(SUMIFS(tblDaily[TransfersIn],tblDaily[EntryDate],DATE(2026,5,7),tblDaily[WardCode],"FAE")=0,"",SUMIFS(tblDaily[TransfersIn],tblDaily[EntryDate],DATE(2026,5,7),tblDaily[WardCode],"FAE")),"")</f>
        <v/>
      </c>
      <c r="G169" s="12">
        <f>IFERROR(IF(SUMIFS(tblDaily[TransfersOut],tblDaily[EntryDate],DATE(2026,5,7),tblDaily[WardCode],"FAE")=0,"",SUMIFS(tblDaily[TransfersOut],tblDaily[EntryDate],DATE(2026,5,7),tblDaily[WardCode],"FAE")),"")</f>
        <v/>
      </c>
      <c r="H169" s="12">
        <f>IFERROR(IF(SUMIFS(tblDaily[Remaining],tblDaily[EntryDate],DATE(2026,5,7),tblDaily[WardCode],"FAE")=0,"",SUMIFS(tblDaily[Remaining],tblDaily[EntryDate],DATE(2026,5,7),tblDaily[WardCode],"FAE")),"")</f>
        <v/>
      </c>
    </row>
    <row r="170">
      <c r="A170" s="12" t="n">
        <v>8</v>
      </c>
      <c r="B170" s="12">
        <f>IFERROR(IF(SUMIFS(tblDaily[Admissions],tblDaily[EntryDate],DATE(2026,5,8),tblDaily[WardCode],"FAE")=0,"",SUMIFS(tblDaily[Admissions],tblDaily[EntryDate],DATE(2026,5,8),tblDaily[WardCode],"FAE")),"")</f>
        <v/>
      </c>
      <c r="C170" s="12">
        <f>IFERROR(IF(SUMIFS(tblDaily[Discharges],tblDaily[EntryDate],DATE(2026,5,8),tblDaily[WardCode],"FAE")=0,"",SUMIFS(tblDaily[Discharges],tblDaily[EntryDate],DATE(2026,5,8),tblDaily[WardCode],"FAE")),"")</f>
        <v/>
      </c>
      <c r="D170" s="12">
        <f>IFERROR(IF(SUMIFS(tblDaily[Deaths],tblDaily[EntryDate],DATE(2026,5,8),tblDaily[WardCode],"FAE")=0,"",SUMIFS(tblDaily[Deaths],tblDaily[EntryDate],DATE(2026,5,8),tblDaily[WardCode],"FAE")),"")</f>
        <v/>
      </c>
      <c r="E170" s="12">
        <f>IFERROR(IF(SUMIFS(tblDaily[DeathsUnder24Hrs],tblDaily[EntryDate],DATE(2026,5,8),tblDaily[WardCode],"FAE")=0,"",SUMIFS(tblDaily[DeathsUnder24Hrs],tblDaily[EntryDate],DATE(2026,5,8),tblDaily[WardCode],"FAE")),"")</f>
        <v/>
      </c>
      <c r="F170" s="12">
        <f>IFERROR(IF(SUMIFS(tblDaily[TransfersIn],tblDaily[EntryDate],DATE(2026,5,8),tblDaily[WardCode],"FAE")=0,"",SUMIFS(tblDaily[TransfersIn],tblDaily[EntryDate],DATE(2026,5,8),tblDaily[WardCode],"FAE")),"")</f>
        <v/>
      </c>
      <c r="G170" s="12">
        <f>IFERROR(IF(SUMIFS(tblDaily[TransfersOut],tblDaily[EntryDate],DATE(2026,5,8),tblDaily[WardCode],"FAE")=0,"",SUMIFS(tblDaily[TransfersOut],tblDaily[EntryDate],DATE(2026,5,8),tblDaily[WardCode],"FAE")),"")</f>
        <v/>
      </c>
      <c r="H170" s="12">
        <f>IFERROR(IF(SUMIFS(tblDaily[Remaining],tblDaily[EntryDate],DATE(2026,5,8),tblDaily[WardCode],"FAE")=0,"",SUMIFS(tblDaily[Remaining],tblDaily[EntryDate],DATE(2026,5,8),tblDaily[WardCode],"FAE")),"")</f>
        <v/>
      </c>
    </row>
    <row r="171">
      <c r="A171" s="12" t="n">
        <v>9</v>
      </c>
      <c r="B171" s="12">
        <f>IFERROR(IF(SUMIFS(tblDaily[Admissions],tblDaily[EntryDate],DATE(2026,5,9),tblDaily[WardCode],"FAE")=0,"",SUMIFS(tblDaily[Admissions],tblDaily[EntryDate],DATE(2026,5,9),tblDaily[WardCode],"FAE")),"")</f>
        <v/>
      </c>
      <c r="C171" s="12">
        <f>IFERROR(IF(SUMIFS(tblDaily[Discharges],tblDaily[EntryDate],DATE(2026,5,9),tblDaily[WardCode],"FAE")=0,"",SUMIFS(tblDaily[Discharges],tblDaily[EntryDate],DATE(2026,5,9),tblDaily[WardCode],"FAE")),"")</f>
        <v/>
      </c>
      <c r="D171" s="12">
        <f>IFERROR(IF(SUMIFS(tblDaily[Deaths],tblDaily[EntryDate],DATE(2026,5,9),tblDaily[WardCode],"FAE")=0,"",SUMIFS(tblDaily[Deaths],tblDaily[EntryDate],DATE(2026,5,9),tblDaily[WardCode],"FAE")),"")</f>
        <v/>
      </c>
      <c r="E171" s="12">
        <f>IFERROR(IF(SUMIFS(tblDaily[DeathsUnder24Hrs],tblDaily[EntryDate],DATE(2026,5,9),tblDaily[WardCode],"FAE")=0,"",SUMIFS(tblDaily[DeathsUnder24Hrs],tblDaily[EntryDate],DATE(2026,5,9),tblDaily[WardCode],"FAE")),"")</f>
        <v/>
      </c>
      <c r="F171" s="12">
        <f>IFERROR(IF(SUMIFS(tblDaily[TransfersIn],tblDaily[EntryDate],DATE(2026,5,9),tblDaily[WardCode],"FAE")=0,"",SUMIFS(tblDaily[TransfersIn],tblDaily[EntryDate],DATE(2026,5,9),tblDaily[WardCode],"FAE")),"")</f>
        <v/>
      </c>
      <c r="G171" s="12">
        <f>IFERROR(IF(SUMIFS(tblDaily[TransfersOut],tblDaily[EntryDate],DATE(2026,5,9),tblDaily[WardCode],"FAE")=0,"",SUMIFS(tblDaily[TransfersOut],tblDaily[EntryDate],DATE(2026,5,9),tblDaily[WardCode],"FAE")),"")</f>
        <v/>
      </c>
      <c r="H171" s="12">
        <f>IFERROR(IF(SUMIFS(tblDaily[Remaining],tblDaily[EntryDate],DATE(2026,5,9),tblDaily[WardCode],"FAE")=0,"",SUMIFS(tblDaily[Remaining],tblDaily[EntryDate],DATE(2026,5,9),tblDaily[WardCode],"FAE")),"")</f>
        <v/>
      </c>
    </row>
    <row r="172">
      <c r="A172" s="12" t="n">
        <v>10</v>
      </c>
      <c r="B172" s="12">
        <f>IFERROR(IF(SUMIFS(tblDaily[Admissions],tblDaily[EntryDate],DATE(2026,5,10),tblDaily[WardCode],"FAE")=0,"",SUMIFS(tblDaily[Admissions],tblDaily[EntryDate],DATE(2026,5,10),tblDaily[WardCode],"FAE")),"")</f>
        <v/>
      </c>
      <c r="C172" s="12">
        <f>IFERROR(IF(SUMIFS(tblDaily[Discharges],tblDaily[EntryDate],DATE(2026,5,10),tblDaily[WardCode],"FAE")=0,"",SUMIFS(tblDaily[Discharges],tblDaily[EntryDate],DATE(2026,5,10),tblDaily[WardCode],"FAE")),"")</f>
        <v/>
      </c>
      <c r="D172" s="12">
        <f>IFERROR(IF(SUMIFS(tblDaily[Deaths],tblDaily[EntryDate],DATE(2026,5,10),tblDaily[WardCode],"FAE")=0,"",SUMIFS(tblDaily[Deaths],tblDaily[EntryDate],DATE(2026,5,10),tblDaily[WardCode],"FAE")),"")</f>
        <v/>
      </c>
      <c r="E172" s="12">
        <f>IFERROR(IF(SUMIFS(tblDaily[DeathsUnder24Hrs],tblDaily[EntryDate],DATE(2026,5,10),tblDaily[WardCode],"FAE")=0,"",SUMIFS(tblDaily[DeathsUnder24Hrs],tblDaily[EntryDate],DATE(2026,5,10),tblDaily[WardCode],"FAE")),"")</f>
        <v/>
      </c>
      <c r="F172" s="12">
        <f>IFERROR(IF(SUMIFS(tblDaily[TransfersIn],tblDaily[EntryDate],DATE(2026,5,10),tblDaily[WardCode],"FAE")=0,"",SUMIFS(tblDaily[TransfersIn],tblDaily[EntryDate],DATE(2026,5,10),tblDaily[WardCode],"FAE")),"")</f>
        <v/>
      </c>
      <c r="G172" s="12">
        <f>IFERROR(IF(SUMIFS(tblDaily[TransfersOut],tblDaily[EntryDate],DATE(2026,5,10),tblDaily[WardCode],"FAE")=0,"",SUMIFS(tblDaily[TransfersOut],tblDaily[EntryDate],DATE(2026,5,10),tblDaily[WardCode],"FAE")),"")</f>
        <v/>
      </c>
      <c r="H172" s="12">
        <f>IFERROR(IF(SUMIFS(tblDaily[Remaining],tblDaily[EntryDate],DATE(2026,5,10),tblDaily[WardCode],"FAE")=0,"",SUMIFS(tblDaily[Remaining],tblDaily[EntryDate],DATE(2026,5,10),tblDaily[WardCode],"FAE")),"")</f>
        <v/>
      </c>
    </row>
    <row r="173">
      <c r="A173" s="12" t="n">
        <v>11</v>
      </c>
      <c r="B173" s="12">
        <f>IFERROR(IF(SUMIFS(tblDaily[Admissions],tblDaily[EntryDate],DATE(2026,5,11),tblDaily[WardCode],"FAE")=0,"",SUMIFS(tblDaily[Admissions],tblDaily[EntryDate],DATE(2026,5,11),tblDaily[WardCode],"FAE")),"")</f>
        <v/>
      </c>
      <c r="C173" s="12">
        <f>IFERROR(IF(SUMIFS(tblDaily[Discharges],tblDaily[EntryDate],DATE(2026,5,11),tblDaily[WardCode],"FAE")=0,"",SUMIFS(tblDaily[Discharges],tblDaily[EntryDate],DATE(2026,5,11),tblDaily[WardCode],"FAE")),"")</f>
        <v/>
      </c>
      <c r="D173" s="12">
        <f>IFERROR(IF(SUMIFS(tblDaily[Deaths],tblDaily[EntryDate],DATE(2026,5,11),tblDaily[WardCode],"FAE")=0,"",SUMIFS(tblDaily[Deaths],tblDaily[EntryDate],DATE(2026,5,11),tblDaily[WardCode],"FAE")),"")</f>
        <v/>
      </c>
      <c r="E173" s="12">
        <f>IFERROR(IF(SUMIFS(tblDaily[DeathsUnder24Hrs],tblDaily[EntryDate],DATE(2026,5,11),tblDaily[WardCode],"FAE")=0,"",SUMIFS(tblDaily[DeathsUnder24Hrs],tblDaily[EntryDate],DATE(2026,5,11),tblDaily[WardCode],"FAE")),"")</f>
        <v/>
      </c>
      <c r="F173" s="12">
        <f>IFERROR(IF(SUMIFS(tblDaily[TransfersIn],tblDaily[EntryDate],DATE(2026,5,11),tblDaily[WardCode],"FAE")=0,"",SUMIFS(tblDaily[TransfersIn],tblDaily[EntryDate],DATE(2026,5,11),tblDaily[WardCode],"FAE")),"")</f>
        <v/>
      </c>
      <c r="G173" s="12">
        <f>IFERROR(IF(SUMIFS(tblDaily[TransfersOut],tblDaily[EntryDate],DATE(2026,5,11),tblDaily[WardCode],"FAE")=0,"",SUMIFS(tblDaily[TransfersOut],tblDaily[EntryDate],DATE(2026,5,11),tblDaily[WardCode],"FAE")),"")</f>
        <v/>
      </c>
      <c r="H173" s="12">
        <f>IFERROR(IF(SUMIFS(tblDaily[Remaining],tblDaily[EntryDate],DATE(2026,5,11),tblDaily[WardCode],"FAE")=0,"",SUMIFS(tblDaily[Remaining],tblDaily[EntryDate],DATE(2026,5,11),tblDaily[WardCode],"FAE")),"")</f>
        <v/>
      </c>
    </row>
    <row r="174">
      <c r="A174" s="12" t="n">
        <v>12</v>
      </c>
      <c r="B174" s="12">
        <f>IFERROR(IF(SUMIFS(tblDaily[Admissions],tblDaily[EntryDate],DATE(2026,5,12),tblDaily[WardCode],"FAE")=0,"",SUMIFS(tblDaily[Admissions],tblDaily[EntryDate],DATE(2026,5,12),tblDaily[WardCode],"FAE")),"")</f>
        <v/>
      </c>
      <c r="C174" s="12">
        <f>IFERROR(IF(SUMIFS(tblDaily[Discharges],tblDaily[EntryDate],DATE(2026,5,12),tblDaily[WardCode],"FAE")=0,"",SUMIFS(tblDaily[Discharges],tblDaily[EntryDate],DATE(2026,5,12),tblDaily[WardCode],"FAE")),"")</f>
        <v/>
      </c>
      <c r="D174" s="12">
        <f>IFERROR(IF(SUMIFS(tblDaily[Deaths],tblDaily[EntryDate],DATE(2026,5,12),tblDaily[WardCode],"FAE")=0,"",SUMIFS(tblDaily[Deaths],tblDaily[EntryDate],DATE(2026,5,12),tblDaily[WardCode],"FAE")),"")</f>
        <v/>
      </c>
      <c r="E174" s="12">
        <f>IFERROR(IF(SUMIFS(tblDaily[DeathsUnder24Hrs],tblDaily[EntryDate],DATE(2026,5,12),tblDaily[WardCode],"FAE")=0,"",SUMIFS(tblDaily[DeathsUnder24Hrs],tblDaily[EntryDate],DATE(2026,5,12),tblDaily[WardCode],"FAE")),"")</f>
        <v/>
      </c>
      <c r="F174" s="12">
        <f>IFERROR(IF(SUMIFS(tblDaily[TransfersIn],tblDaily[EntryDate],DATE(2026,5,12),tblDaily[WardCode],"FAE")=0,"",SUMIFS(tblDaily[TransfersIn],tblDaily[EntryDate],DATE(2026,5,12),tblDaily[WardCode],"FAE")),"")</f>
        <v/>
      </c>
      <c r="G174" s="12">
        <f>IFERROR(IF(SUMIFS(tblDaily[TransfersOut],tblDaily[EntryDate],DATE(2026,5,12),tblDaily[WardCode],"FAE")=0,"",SUMIFS(tblDaily[TransfersOut],tblDaily[EntryDate],DATE(2026,5,12),tblDaily[WardCode],"FAE")),"")</f>
        <v/>
      </c>
      <c r="H174" s="12">
        <f>IFERROR(IF(SUMIFS(tblDaily[Remaining],tblDaily[EntryDate],DATE(2026,5,12),tblDaily[WardCode],"FAE")=0,"",SUMIFS(tblDaily[Remaining],tblDaily[EntryDate],DATE(2026,5,12),tblDaily[WardCode],"FAE")),"")</f>
        <v/>
      </c>
    </row>
    <row r="175">
      <c r="A175" s="12" t="n">
        <v>13</v>
      </c>
      <c r="B175" s="12">
        <f>IFERROR(IF(SUMIFS(tblDaily[Admissions],tblDaily[EntryDate],DATE(2026,5,13),tblDaily[WardCode],"FAE")=0,"",SUMIFS(tblDaily[Admissions],tblDaily[EntryDate],DATE(2026,5,13),tblDaily[WardCode],"FAE")),"")</f>
        <v/>
      </c>
      <c r="C175" s="12">
        <f>IFERROR(IF(SUMIFS(tblDaily[Discharges],tblDaily[EntryDate],DATE(2026,5,13),tblDaily[WardCode],"FAE")=0,"",SUMIFS(tblDaily[Discharges],tblDaily[EntryDate],DATE(2026,5,13),tblDaily[WardCode],"FAE")),"")</f>
        <v/>
      </c>
      <c r="D175" s="12">
        <f>IFERROR(IF(SUMIFS(tblDaily[Deaths],tblDaily[EntryDate],DATE(2026,5,13),tblDaily[WardCode],"FAE")=0,"",SUMIFS(tblDaily[Deaths],tblDaily[EntryDate],DATE(2026,5,13),tblDaily[WardCode],"FAE")),"")</f>
        <v/>
      </c>
      <c r="E175" s="12">
        <f>IFERROR(IF(SUMIFS(tblDaily[DeathsUnder24Hrs],tblDaily[EntryDate],DATE(2026,5,13),tblDaily[WardCode],"FAE")=0,"",SUMIFS(tblDaily[DeathsUnder24Hrs],tblDaily[EntryDate],DATE(2026,5,13),tblDaily[WardCode],"FAE")),"")</f>
        <v/>
      </c>
      <c r="F175" s="12">
        <f>IFERROR(IF(SUMIFS(tblDaily[TransfersIn],tblDaily[EntryDate],DATE(2026,5,13),tblDaily[WardCode],"FAE")=0,"",SUMIFS(tblDaily[TransfersIn],tblDaily[EntryDate],DATE(2026,5,13),tblDaily[WardCode],"FAE")),"")</f>
        <v/>
      </c>
      <c r="G175" s="12">
        <f>IFERROR(IF(SUMIFS(tblDaily[TransfersOut],tblDaily[EntryDate],DATE(2026,5,13),tblDaily[WardCode],"FAE")=0,"",SUMIFS(tblDaily[TransfersOut],tblDaily[EntryDate],DATE(2026,5,13),tblDaily[WardCode],"FAE")),"")</f>
        <v/>
      </c>
      <c r="H175" s="12">
        <f>IFERROR(IF(SUMIFS(tblDaily[Remaining],tblDaily[EntryDate],DATE(2026,5,13),tblDaily[WardCode],"FAE")=0,"",SUMIFS(tblDaily[Remaining],tblDaily[EntryDate],DATE(2026,5,13),tblDaily[WardCode],"FAE")),"")</f>
        <v/>
      </c>
    </row>
    <row r="176">
      <c r="A176" s="12" t="n">
        <v>14</v>
      </c>
      <c r="B176" s="12">
        <f>IFERROR(IF(SUMIFS(tblDaily[Admissions],tblDaily[EntryDate],DATE(2026,5,14),tblDaily[WardCode],"FAE")=0,"",SUMIFS(tblDaily[Admissions],tblDaily[EntryDate],DATE(2026,5,14),tblDaily[WardCode],"FAE")),"")</f>
        <v/>
      </c>
      <c r="C176" s="12">
        <f>IFERROR(IF(SUMIFS(tblDaily[Discharges],tblDaily[EntryDate],DATE(2026,5,14),tblDaily[WardCode],"FAE")=0,"",SUMIFS(tblDaily[Discharges],tblDaily[EntryDate],DATE(2026,5,14),tblDaily[WardCode],"FAE")),"")</f>
        <v/>
      </c>
      <c r="D176" s="12">
        <f>IFERROR(IF(SUMIFS(tblDaily[Deaths],tblDaily[EntryDate],DATE(2026,5,14),tblDaily[WardCode],"FAE")=0,"",SUMIFS(tblDaily[Deaths],tblDaily[EntryDate],DATE(2026,5,14),tblDaily[WardCode],"FAE")),"")</f>
        <v/>
      </c>
      <c r="E176" s="12">
        <f>IFERROR(IF(SUMIFS(tblDaily[DeathsUnder24Hrs],tblDaily[EntryDate],DATE(2026,5,14),tblDaily[WardCode],"FAE")=0,"",SUMIFS(tblDaily[DeathsUnder24Hrs],tblDaily[EntryDate],DATE(2026,5,14),tblDaily[WardCode],"FAE")),"")</f>
        <v/>
      </c>
      <c r="F176" s="12">
        <f>IFERROR(IF(SUMIFS(tblDaily[TransfersIn],tblDaily[EntryDate],DATE(2026,5,14),tblDaily[WardCode],"FAE")=0,"",SUMIFS(tblDaily[TransfersIn],tblDaily[EntryDate],DATE(2026,5,14),tblDaily[WardCode],"FAE")),"")</f>
        <v/>
      </c>
      <c r="G176" s="12">
        <f>IFERROR(IF(SUMIFS(tblDaily[TransfersOut],tblDaily[EntryDate],DATE(2026,5,14),tblDaily[WardCode],"FAE")=0,"",SUMIFS(tblDaily[TransfersOut],tblDaily[EntryDate],DATE(2026,5,14),tblDaily[WardCode],"FAE")),"")</f>
        <v/>
      </c>
      <c r="H176" s="12">
        <f>IFERROR(IF(SUMIFS(tblDaily[Remaining],tblDaily[EntryDate],DATE(2026,5,14),tblDaily[WardCode],"FAE")=0,"",SUMIFS(tblDaily[Remaining],tblDaily[EntryDate],DATE(2026,5,14),tblDaily[WardCode],"FAE")),"")</f>
        <v/>
      </c>
    </row>
    <row r="177">
      <c r="A177" s="12" t="n">
        <v>15</v>
      </c>
      <c r="B177" s="12">
        <f>IFERROR(IF(SUMIFS(tblDaily[Admissions],tblDaily[EntryDate],DATE(2026,5,15),tblDaily[WardCode],"FAE")=0,"",SUMIFS(tblDaily[Admissions],tblDaily[EntryDate],DATE(2026,5,15),tblDaily[WardCode],"FAE")),"")</f>
        <v/>
      </c>
      <c r="C177" s="12">
        <f>IFERROR(IF(SUMIFS(tblDaily[Discharges],tblDaily[EntryDate],DATE(2026,5,15),tblDaily[WardCode],"FAE")=0,"",SUMIFS(tblDaily[Discharges],tblDaily[EntryDate],DATE(2026,5,15),tblDaily[WardCode],"FAE")),"")</f>
        <v/>
      </c>
      <c r="D177" s="12">
        <f>IFERROR(IF(SUMIFS(tblDaily[Deaths],tblDaily[EntryDate],DATE(2026,5,15),tblDaily[WardCode],"FAE")=0,"",SUMIFS(tblDaily[Deaths],tblDaily[EntryDate],DATE(2026,5,15),tblDaily[WardCode],"FAE")),"")</f>
        <v/>
      </c>
      <c r="E177" s="12">
        <f>IFERROR(IF(SUMIFS(tblDaily[DeathsUnder24Hrs],tblDaily[EntryDate],DATE(2026,5,15),tblDaily[WardCode],"FAE")=0,"",SUMIFS(tblDaily[DeathsUnder24Hrs],tblDaily[EntryDate],DATE(2026,5,15),tblDaily[WardCode],"FAE")),"")</f>
        <v/>
      </c>
      <c r="F177" s="12">
        <f>IFERROR(IF(SUMIFS(tblDaily[TransfersIn],tblDaily[EntryDate],DATE(2026,5,15),tblDaily[WardCode],"FAE")=0,"",SUMIFS(tblDaily[TransfersIn],tblDaily[EntryDate],DATE(2026,5,15),tblDaily[WardCode],"FAE")),"")</f>
        <v/>
      </c>
      <c r="G177" s="12">
        <f>IFERROR(IF(SUMIFS(tblDaily[TransfersOut],tblDaily[EntryDate],DATE(2026,5,15),tblDaily[WardCode],"FAE")=0,"",SUMIFS(tblDaily[TransfersOut],tblDaily[EntryDate],DATE(2026,5,15),tblDaily[WardCode],"FAE")),"")</f>
        <v/>
      </c>
      <c r="H177" s="12">
        <f>IFERROR(IF(SUMIFS(tblDaily[Remaining],tblDaily[EntryDate],DATE(2026,5,15),tblDaily[WardCode],"FAE")=0,"",SUMIFS(tblDaily[Remaining],tblDaily[EntryDate],DATE(2026,5,15),tblDaily[WardCode],"FAE")),"")</f>
        <v/>
      </c>
    </row>
    <row r="178">
      <c r="A178" s="12" t="n">
        <v>16</v>
      </c>
      <c r="B178" s="12">
        <f>IFERROR(IF(SUMIFS(tblDaily[Admissions],tblDaily[EntryDate],DATE(2026,5,16),tblDaily[WardCode],"FAE")=0,"",SUMIFS(tblDaily[Admissions],tblDaily[EntryDate],DATE(2026,5,16),tblDaily[WardCode],"FAE")),"")</f>
        <v/>
      </c>
      <c r="C178" s="12">
        <f>IFERROR(IF(SUMIFS(tblDaily[Discharges],tblDaily[EntryDate],DATE(2026,5,16),tblDaily[WardCode],"FAE")=0,"",SUMIFS(tblDaily[Discharges],tblDaily[EntryDate],DATE(2026,5,16),tblDaily[WardCode],"FAE")),"")</f>
        <v/>
      </c>
      <c r="D178" s="12">
        <f>IFERROR(IF(SUMIFS(tblDaily[Deaths],tblDaily[EntryDate],DATE(2026,5,16),tblDaily[WardCode],"FAE")=0,"",SUMIFS(tblDaily[Deaths],tblDaily[EntryDate],DATE(2026,5,16),tblDaily[WardCode],"FAE")),"")</f>
        <v/>
      </c>
      <c r="E178" s="12">
        <f>IFERROR(IF(SUMIFS(tblDaily[DeathsUnder24Hrs],tblDaily[EntryDate],DATE(2026,5,16),tblDaily[WardCode],"FAE")=0,"",SUMIFS(tblDaily[DeathsUnder24Hrs],tblDaily[EntryDate],DATE(2026,5,16),tblDaily[WardCode],"FAE")),"")</f>
        <v/>
      </c>
      <c r="F178" s="12">
        <f>IFERROR(IF(SUMIFS(tblDaily[TransfersIn],tblDaily[EntryDate],DATE(2026,5,16),tblDaily[WardCode],"FAE")=0,"",SUMIFS(tblDaily[TransfersIn],tblDaily[EntryDate],DATE(2026,5,16),tblDaily[WardCode],"FAE")),"")</f>
        <v/>
      </c>
      <c r="G178" s="12">
        <f>IFERROR(IF(SUMIFS(tblDaily[TransfersOut],tblDaily[EntryDate],DATE(2026,5,16),tblDaily[WardCode],"FAE")=0,"",SUMIFS(tblDaily[TransfersOut],tblDaily[EntryDate],DATE(2026,5,16),tblDaily[WardCode],"FAE")),"")</f>
        <v/>
      </c>
      <c r="H178" s="12">
        <f>IFERROR(IF(SUMIFS(tblDaily[Remaining],tblDaily[EntryDate],DATE(2026,5,16),tblDaily[WardCode],"FAE")=0,"",SUMIFS(tblDaily[Remaining],tblDaily[EntryDate],DATE(2026,5,16),tblDaily[WardCode],"FAE")),"")</f>
        <v/>
      </c>
    </row>
    <row r="179">
      <c r="A179" s="12" t="n">
        <v>17</v>
      </c>
      <c r="B179" s="12">
        <f>IFERROR(IF(SUMIFS(tblDaily[Admissions],tblDaily[EntryDate],DATE(2026,5,17),tblDaily[WardCode],"FAE")=0,"",SUMIFS(tblDaily[Admissions],tblDaily[EntryDate],DATE(2026,5,17),tblDaily[WardCode],"FAE")),"")</f>
        <v/>
      </c>
      <c r="C179" s="12">
        <f>IFERROR(IF(SUMIFS(tblDaily[Discharges],tblDaily[EntryDate],DATE(2026,5,17),tblDaily[WardCode],"FAE")=0,"",SUMIFS(tblDaily[Discharges],tblDaily[EntryDate],DATE(2026,5,17),tblDaily[WardCode],"FAE")),"")</f>
        <v/>
      </c>
      <c r="D179" s="12">
        <f>IFERROR(IF(SUMIFS(tblDaily[Deaths],tblDaily[EntryDate],DATE(2026,5,17),tblDaily[WardCode],"FAE")=0,"",SUMIFS(tblDaily[Deaths],tblDaily[EntryDate],DATE(2026,5,17),tblDaily[WardCode],"FAE")),"")</f>
        <v/>
      </c>
      <c r="E179" s="12">
        <f>IFERROR(IF(SUMIFS(tblDaily[DeathsUnder24Hrs],tblDaily[EntryDate],DATE(2026,5,17),tblDaily[WardCode],"FAE")=0,"",SUMIFS(tblDaily[DeathsUnder24Hrs],tblDaily[EntryDate],DATE(2026,5,17),tblDaily[WardCode],"FAE")),"")</f>
        <v/>
      </c>
      <c r="F179" s="12">
        <f>IFERROR(IF(SUMIFS(tblDaily[TransfersIn],tblDaily[EntryDate],DATE(2026,5,17),tblDaily[WardCode],"FAE")=0,"",SUMIFS(tblDaily[TransfersIn],tblDaily[EntryDate],DATE(2026,5,17),tblDaily[WardCode],"FAE")),"")</f>
        <v/>
      </c>
      <c r="G179" s="12">
        <f>IFERROR(IF(SUMIFS(tblDaily[TransfersOut],tblDaily[EntryDate],DATE(2026,5,17),tblDaily[WardCode],"FAE")=0,"",SUMIFS(tblDaily[TransfersOut],tblDaily[EntryDate],DATE(2026,5,17),tblDaily[WardCode],"FAE")),"")</f>
        <v/>
      </c>
      <c r="H179" s="12">
        <f>IFERROR(IF(SUMIFS(tblDaily[Remaining],tblDaily[EntryDate],DATE(2026,5,17),tblDaily[WardCode],"FAE")=0,"",SUMIFS(tblDaily[Remaining],tblDaily[EntryDate],DATE(2026,5,17),tblDaily[WardCode],"FAE")),"")</f>
        <v/>
      </c>
    </row>
    <row r="180">
      <c r="A180" s="12" t="n">
        <v>18</v>
      </c>
      <c r="B180" s="12">
        <f>IFERROR(IF(SUMIFS(tblDaily[Admissions],tblDaily[EntryDate],DATE(2026,5,18),tblDaily[WardCode],"FAE")=0,"",SUMIFS(tblDaily[Admissions],tblDaily[EntryDate],DATE(2026,5,18),tblDaily[WardCode],"FAE")),"")</f>
        <v/>
      </c>
      <c r="C180" s="12">
        <f>IFERROR(IF(SUMIFS(tblDaily[Discharges],tblDaily[EntryDate],DATE(2026,5,18),tblDaily[WardCode],"FAE")=0,"",SUMIFS(tblDaily[Discharges],tblDaily[EntryDate],DATE(2026,5,18),tblDaily[WardCode],"FAE")),"")</f>
        <v/>
      </c>
      <c r="D180" s="12">
        <f>IFERROR(IF(SUMIFS(tblDaily[Deaths],tblDaily[EntryDate],DATE(2026,5,18),tblDaily[WardCode],"FAE")=0,"",SUMIFS(tblDaily[Deaths],tblDaily[EntryDate],DATE(2026,5,18),tblDaily[WardCode],"FAE")),"")</f>
        <v/>
      </c>
      <c r="E180" s="12">
        <f>IFERROR(IF(SUMIFS(tblDaily[DeathsUnder24Hrs],tblDaily[EntryDate],DATE(2026,5,18),tblDaily[WardCode],"FAE")=0,"",SUMIFS(tblDaily[DeathsUnder24Hrs],tblDaily[EntryDate],DATE(2026,5,18),tblDaily[WardCode],"FAE")),"")</f>
        <v/>
      </c>
      <c r="F180" s="12">
        <f>IFERROR(IF(SUMIFS(tblDaily[TransfersIn],tblDaily[EntryDate],DATE(2026,5,18),tblDaily[WardCode],"FAE")=0,"",SUMIFS(tblDaily[TransfersIn],tblDaily[EntryDate],DATE(2026,5,18),tblDaily[WardCode],"FAE")),"")</f>
        <v/>
      </c>
      <c r="G180" s="12">
        <f>IFERROR(IF(SUMIFS(tblDaily[TransfersOut],tblDaily[EntryDate],DATE(2026,5,18),tblDaily[WardCode],"FAE")=0,"",SUMIFS(tblDaily[TransfersOut],tblDaily[EntryDate],DATE(2026,5,18),tblDaily[WardCode],"FAE")),"")</f>
        <v/>
      </c>
      <c r="H180" s="12">
        <f>IFERROR(IF(SUMIFS(tblDaily[Remaining],tblDaily[EntryDate],DATE(2026,5,18),tblDaily[WardCode],"FAE")=0,"",SUMIFS(tblDaily[Remaining],tblDaily[EntryDate],DATE(2026,5,18),tblDaily[WardCode],"FAE")),"")</f>
        <v/>
      </c>
    </row>
    <row r="181">
      <c r="A181" s="12" t="n">
        <v>19</v>
      </c>
      <c r="B181" s="12">
        <f>IFERROR(IF(SUMIFS(tblDaily[Admissions],tblDaily[EntryDate],DATE(2026,5,19),tblDaily[WardCode],"FAE")=0,"",SUMIFS(tblDaily[Admissions],tblDaily[EntryDate],DATE(2026,5,19),tblDaily[WardCode],"FAE")),"")</f>
        <v/>
      </c>
      <c r="C181" s="12">
        <f>IFERROR(IF(SUMIFS(tblDaily[Discharges],tblDaily[EntryDate],DATE(2026,5,19),tblDaily[WardCode],"FAE")=0,"",SUMIFS(tblDaily[Discharges],tblDaily[EntryDate],DATE(2026,5,19),tblDaily[WardCode],"FAE")),"")</f>
        <v/>
      </c>
      <c r="D181" s="12">
        <f>IFERROR(IF(SUMIFS(tblDaily[Deaths],tblDaily[EntryDate],DATE(2026,5,19),tblDaily[WardCode],"FAE")=0,"",SUMIFS(tblDaily[Deaths],tblDaily[EntryDate],DATE(2026,5,19),tblDaily[WardCode],"FAE")),"")</f>
        <v/>
      </c>
      <c r="E181" s="12">
        <f>IFERROR(IF(SUMIFS(tblDaily[DeathsUnder24Hrs],tblDaily[EntryDate],DATE(2026,5,19),tblDaily[WardCode],"FAE")=0,"",SUMIFS(tblDaily[DeathsUnder24Hrs],tblDaily[EntryDate],DATE(2026,5,19),tblDaily[WardCode],"FAE")),"")</f>
        <v/>
      </c>
      <c r="F181" s="12">
        <f>IFERROR(IF(SUMIFS(tblDaily[TransfersIn],tblDaily[EntryDate],DATE(2026,5,19),tblDaily[WardCode],"FAE")=0,"",SUMIFS(tblDaily[TransfersIn],tblDaily[EntryDate],DATE(2026,5,19),tblDaily[WardCode],"FAE")),"")</f>
        <v/>
      </c>
      <c r="G181" s="12">
        <f>IFERROR(IF(SUMIFS(tblDaily[TransfersOut],tblDaily[EntryDate],DATE(2026,5,19),tblDaily[WardCode],"FAE")=0,"",SUMIFS(tblDaily[TransfersOut],tblDaily[EntryDate],DATE(2026,5,19),tblDaily[WardCode],"FAE")),"")</f>
        <v/>
      </c>
      <c r="H181" s="12">
        <f>IFERROR(IF(SUMIFS(tblDaily[Remaining],tblDaily[EntryDate],DATE(2026,5,19),tblDaily[WardCode],"FAE")=0,"",SUMIFS(tblDaily[Remaining],tblDaily[EntryDate],DATE(2026,5,19),tblDaily[WardCode],"FAE")),"")</f>
        <v/>
      </c>
    </row>
    <row r="182">
      <c r="A182" s="12" t="n">
        <v>20</v>
      </c>
      <c r="B182" s="12">
        <f>IFERROR(IF(SUMIFS(tblDaily[Admissions],tblDaily[EntryDate],DATE(2026,5,20),tblDaily[WardCode],"FAE")=0,"",SUMIFS(tblDaily[Admissions],tblDaily[EntryDate],DATE(2026,5,20),tblDaily[WardCode],"FAE")),"")</f>
        <v/>
      </c>
      <c r="C182" s="12">
        <f>IFERROR(IF(SUMIFS(tblDaily[Discharges],tblDaily[EntryDate],DATE(2026,5,20),tblDaily[WardCode],"FAE")=0,"",SUMIFS(tblDaily[Discharges],tblDaily[EntryDate],DATE(2026,5,20),tblDaily[WardCode],"FAE")),"")</f>
        <v/>
      </c>
      <c r="D182" s="12">
        <f>IFERROR(IF(SUMIFS(tblDaily[Deaths],tblDaily[EntryDate],DATE(2026,5,20),tblDaily[WardCode],"FAE")=0,"",SUMIFS(tblDaily[Deaths],tblDaily[EntryDate],DATE(2026,5,20),tblDaily[WardCode],"FAE")),"")</f>
        <v/>
      </c>
      <c r="E182" s="12">
        <f>IFERROR(IF(SUMIFS(tblDaily[DeathsUnder24Hrs],tblDaily[EntryDate],DATE(2026,5,20),tblDaily[WardCode],"FAE")=0,"",SUMIFS(tblDaily[DeathsUnder24Hrs],tblDaily[EntryDate],DATE(2026,5,20),tblDaily[WardCode],"FAE")),"")</f>
        <v/>
      </c>
      <c r="F182" s="12">
        <f>IFERROR(IF(SUMIFS(tblDaily[TransfersIn],tblDaily[EntryDate],DATE(2026,5,20),tblDaily[WardCode],"FAE")=0,"",SUMIFS(tblDaily[TransfersIn],tblDaily[EntryDate],DATE(2026,5,20),tblDaily[WardCode],"FAE")),"")</f>
        <v/>
      </c>
      <c r="G182" s="12">
        <f>IFERROR(IF(SUMIFS(tblDaily[TransfersOut],tblDaily[EntryDate],DATE(2026,5,20),tblDaily[WardCode],"FAE")=0,"",SUMIFS(tblDaily[TransfersOut],tblDaily[EntryDate],DATE(2026,5,20),tblDaily[WardCode],"FAE")),"")</f>
        <v/>
      </c>
      <c r="H182" s="12">
        <f>IFERROR(IF(SUMIFS(tblDaily[Remaining],tblDaily[EntryDate],DATE(2026,5,20),tblDaily[WardCode],"FAE")=0,"",SUMIFS(tblDaily[Remaining],tblDaily[EntryDate],DATE(2026,5,20),tblDaily[WardCode],"FAE")),"")</f>
        <v/>
      </c>
    </row>
    <row r="183">
      <c r="A183" s="12" t="n">
        <v>21</v>
      </c>
      <c r="B183" s="12">
        <f>IFERROR(IF(SUMIFS(tblDaily[Admissions],tblDaily[EntryDate],DATE(2026,5,21),tblDaily[WardCode],"FAE")=0,"",SUMIFS(tblDaily[Admissions],tblDaily[EntryDate],DATE(2026,5,21),tblDaily[WardCode],"FAE")),"")</f>
        <v/>
      </c>
      <c r="C183" s="12">
        <f>IFERROR(IF(SUMIFS(tblDaily[Discharges],tblDaily[EntryDate],DATE(2026,5,21),tblDaily[WardCode],"FAE")=0,"",SUMIFS(tblDaily[Discharges],tblDaily[EntryDate],DATE(2026,5,21),tblDaily[WardCode],"FAE")),"")</f>
        <v/>
      </c>
      <c r="D183" s="12">
        <f>IFERROR(IF(SUMIFS(tblDaily[Deaths],tblDaily[EntryDate],DATE(2026,5,21),tblDaily[WardCode],"FAE")=0,"",SUMIFS(tblDaily[Deaths],tblDaily[EntryDate],DATE(2026,5,21),tblDaily[WardCode],"FAE")),"")</f>
        <v/>
      </c>
      <c r="E183" s="12">
        <f>IFERROR(IF(SUMIFS(tblDaily[DeathsUnder24Hrs],tblDaily[EntryDate],DATE(2026,5,21),tblDaily[WardCode],"FAE")=0,"",SUMIFS(tblDaily[DeathsUnder24Hrs],tblDaily[EntryDate],DATE(2026,5,21),tblDaily[WardCode],"FAE")),"")</f>
        <v/>
      </c>
      <c r="F183" s="12">
        <f>IFERROR(IF(SUMIFS(tblDaily[TransfersIn],tblDaily[EntryDate],DATE(2026,5,21),tblDaily[WardCode],"FAE")=0,"",SUMIFS(tblDaily[TransfersIn],tblDaily[EntryDate],DATE(2026,5,21),tblDaily[WardCode],"FAE")),"")</f>
        <v/>
      </c>
      <c r="G183" s="12">
        <f>IFERROR(IF(SUMIFS(tblDaily[TransfersOut],tblDaily[EntryDate],DATE(2026,5,21),tblDaily[WardCode],"FAE")=0,"",SUMIFS(tblDaily[TransfersOut],tblDaily[EntryDate],DATE(2026,5,21),tblDaily[WardCode],"FAE")),"")</f>
        <v/>
      </c>
      <c r="H183" s="12">
        <f>IFERROR(IF(SUMIFS(tblDaily[Remaining],tblDaily[EntryDate],DATE(2026,5,21),tblDaily[WardCode],"FAE")=0,"",SUMIFS(tblDaily[Remaining],tblDaily[EntryDate],DATE(2026,5,21),tblDaily[WardCode],"FAE")),"")</f>
        <v/>
      </c>
    </row>
    <row r="184">
      <c r="A184" s="12" t="n">
        <v>22</v>
      </c>
      <c r="B184" s="12">
        <f>IFERROR(IF(SUMIFS(tblDaily[Admissions],tblDaily[EntryDate],DATE(2026,5,22),tblDaily[WardCode],"FAE")=0,"",SUMIFS(tblDaily[Admissions],tblDaily[EntryDate],DATE(2026,5,22),tblDaily[WardCode],"FAE")),"")</f>
        <v/>
      </c>
      <c r="C184" s="12">
        <f>IFERROR(IF(SUMIFS(tblDaily[Discharges],tblDaily[EntryDate],DATE(2026,5,22),tblDaily[WardCode],"FAE")=0,"",SUMIFS(tblDaily[Discharges],tblDaily[EntryDate],DATE(2026,5,22),tblDaily[WardCode],"FAE")),"")</f>
        <v/>
      </c>
      <c r="D184" s="12">
        <f>IFERROR(IF(SUMIFS(tblDaily[Deaths],tblDaily[EntryDate],DATE(2026,5,22),tblDaily[WardCode],"FAE")=0,"",SUMIFS(tblDaily[Deaths],tblDaily[EntryDate],DATE(2026,5,22),tblDaily[WardCode],"FAE")),"")</f>
        <v/>
      </c>
      <c r="E184" s="12">
        <f>IFERROR(IF(SUMIFS(tblDaily[DeathsUnder24Hrs],tblDaily[EntryDate],DATE(2026,5,22),tblDaily[WardCode],"FAE")=0,"",SUMIFS(tblDaily[DeathsUnder24Hrs],tblDaily[EntryDate],DATE(2026,5,22),tblDaily[WardCode],"FAE")),"")</f>
        <v/>
      </c>
      <c r="F184" s="12">
        <f>IFERROR(IF(SUMIFS(tblDaily[TransfersIn],tblDaily[EntryDate],DATE(2026,5,22),tblDaily[WardCode],"FAE")=0,"",SUMIFS(tblDaily[TransfersIn],tblDaily[EntryDate],DATE(2026,5,22),tblDaily[WardCode],"FAE")),"")</f>
        <v/>
      </c>
      <c r="G184" s="12">
        <f>IFERROR(IF(SUMIFS(tblDaily[TransfersOut],tblDaily[EntryDate],DATE(2026,5,22),tblDaily[WardCode],"FAE")=0,"",SUMIFS(tblDaily[TransfersOut],tblDaily[EntryDate],DATE(2026,5,22),tblDaily[WardCode],"FAE")),"")</f>
        <v/>
      </c>
      <c r="H184" s="12">
        <f>IFERROR(IF(SUMIFS(tblDaily[Remaining],tblDaily[EntryDate],DATE(2026,5,22),tblDaily[WardCode],"FAE")=0,"",SUMIFS(tblDaily[Remaining],tblDaily[EntryDate],DATE(2026,5,22),tblDaily[WardCode],"FAE")),"")</f>
        <v/>
      </c>
    </row>
    <row r="185">
      <c r="A185" s="12" t="n">
        <v>23</v>
      </c>
      <c r="B185" s="12">
        <f>IFERROR(IF(SUMIFS(tblDaily[Admissions],tblDaily[EntryDate],DATE(2026,5,23),tblDaily[WardCode],"FAE")=0,"",SUMIFS(tblDaily[Admissions],tblDaily[EntryDate],DATE(2026,5,23),tblDaily[WardCode],"FAE")),"")</f>
        <v/>
      </c>
      <c r="C185" s="12">
        <f>IFERROR(IF(SUMIFS(tblDaily[Discharges],tblDaily[EntryDate],DATE(2026,5,23),tblDaily[WardCode],"FAE")=0,"",SUMIFS(tblDaily[Discharges],tblDaily[EntryDate],DATE(2026,5,23),tblDaily[WardCode],"FAE")),"")</f>
        <v/>
      </c>
      <c r="D185" s="12">
        <f>IFERROR(IF(SUMIFS(tblDaily[Deaths],tblDaily[EntryDate],DATE(2026,5,23),tblDaily[WardCode],"FAE")=0,"",SUMIFS(tblDaily[Deaths],tblDaily[EntryDate],DATE(2026,5,23),tblDaily[WardCode],"FAE")),"")</f>
        <v/>
      </c>
      <c r="E185" s="12">
        <f>IFERROR(IF(SUMIFS(tblDaily[DeathsUnder24Hrs],tblDaily[EntryDate],DATE(2026,5,23),tblDaily[WardCode],"FAE")=0,"",SUMIFS(tblDaily[DeathsUnder24Hrs],tblDaily[EntryDate],DATE(2026,5,23),tblDaily[WardCode],"FAE")),"")</f>
        <v/>
      </c>
      <c r="F185" s="12">
        <f>IFERROR(IF(SUMIFS(tblDaily[TransfersIn],tblDaily[EntryDate],DATE(2026,5,23),tblDaily[WardCode],"FAE")=0,"",SUMIFS(tblDaily[TransfersIn],tblDaily[EntryDate],DATE(2026,5,23),tblDaily[WardCode],"FAE")),"")</f>
        <v/>
      </c>
      <c r="G185" s="12">
        <f>IFERROR(IF(SUMIFS(tblDaily[TransfersOut],tblDaily[EntryDate],DATE(2026,5,23),tblDaily[WardCode],"FAE")=0,"",SUMIFS(tblDaily[TransfersOut],tblDaily[EntryDate],DATE(2026,5,23),tblDaily[WardCode],"FAE")),"")</f>
        <v/>
      </c>
      <c r="H185" s="12">
        <f>IFERROR(IF(SUMIFS(tblDaily[Remaining],tblDaily[EntryDate],DATE(2026,5,23),tblDaily[WardCode],"FAE")=0,"",SUMIFS(tblDaily[Remaining],tblDaily[EntryDate],DATE(2026,5,23),tblDaily[WardCode],"FAE")),"")</f>
        <v/>
      </c>
    </row>
    <row r="186">
      <c r="A186" s="12" t="n">
        <v>24</v>
      </c>
      <c r="B186" s="12">
        <f>IFERROR(IF(SUMIFS(tblDaily[Admissions],tblDaily[EntryDate],DATE(2026,5,24),tblDaily[WardCode],"FAE")=0,"",SUMIFS(tblDaily[Admissions],tblDaily[EntryDate],DATE(2026,5,24),tblDaily[WardCode],"FAE")),"")</f>
        <v/>
      </c>
      <c r="C186" s="12">
        <f>IFERROR(IF(SUMIFS(tblDaily[Discharges],tblDaily[EntryDate],DATE(2026,5,24),tblDaily[WardCode],"FAE")=0,"",SUMIFS(tblDaily[Discharges],tblDaily[EntryDate],DATE(2026,5,24),tblDaily[WardCode],"FAE")),"")</f>
        <v/>
      </c>
      <c r="D186" s="12">
        <f>IFERROR(IF(SUMIFS(tblDaily[Deaths],tblDaily[EntryDate],DATE(2026,5,24),tblDaily[WardCode],"FAE")=0,"",SUMIFS(tblDaily[Deaths],tblDaily[EntryDate],DATE(2026,5,24),tblDaily[WardCode],"FAE")),"")</f>
        <v/>
      </c>
      <c r="E186" s="12">
        <f>IFERROR(IF(SUMIFS(tblDaily[DeathsUnder24Hrs],tblDaily[EntryDate],DATE(2026,5,24),tblDaily[WardCode],"FAE")=0,"",SUMIFS(tblDaily[DeathsUnder24Hrs],tblDaily[EntryDate],DATE(2026,5,24),tblDaily[WardCode],"FAE")),"")</f>
        <v/>
      </c>
      <c r="F186" s="12">
        <f>IFERROR(IF(SUMIFS(tblDaily[TransfersIn],tblDaily[EntryDate],DATE(2026,5,24),tblDaily[WardCode],"FAE")=0,"",SUMIFS(tblDaily[TransfersIn],tblDaily[EntryDate],DATE(2026,5,24),tblDaily[WardCode],"FAE")),"")</f>
        <v/>
      </c>
      <c r="G186" s="12">
        <f>IFERROR(IF(SUMIFS(tblDaily[TransfersOut],tblDaily[EntryDate],DATE(2026,5,24),tblDaily[WardCode],"FAE")=0,"",SUMIFS(tblDaily[TransfersOut],tblDaily[EntryDate],DATE(2026,5,24),tblDaily[WardCode],"FAE")),"")</f>
        <v/>
      </c>
      <c r="H186" s="12">
        <f>IFERROR(IF(SUMIFS(tblDaily[Remaining],tblDaily[EntryDate],DATE(2026,5,24),tblDaily[WardCode],"FAE")=0,"",SUMIFS(tblDaily[Remaining],tblDaily[EntryDate],DATE(2026,5,24),tblDaily[WardCode],"FAE")),"")</f>
        <v/>
      </c>
    </row>
    <row r="187">
      <c r="A187" s="12" t="n">
        <v>25</v>
      </c>
      <c r="B187" s="12">
        <f>IFERROR(IF(SUMIFS(tblDaily[Admissions],tblDaily[EntryDate],DATE(2026,5,25),tblDaily[WardCode],"FAE")=0,"",SUMIFS(tblDaily[Admissions],tblDaily[EntryDate],DATE(2026,5,25),tblDaily[WardCode],"FAE")),"")</f>
        <v/>
      </c>
      <c r="C187" s="12">
        <f>IFERROR(IF(SUMIFS(tblDaily[Discharges],tblDaily[EntryDate],DATE(2026,5,25),tblDaily[WardCode],"FAE")=0,"",SUMIFS(tblDaily[Discharges],tblDaily[EntryDate],DATE(2026,5,25),tblDaily[WardCode],"FAE")),"")</f>
        <v/>
      </c>
      <c r="D187" s="12">
        <f>IFERROR(IF(SUMIFS(tblDaily[Deaths],tblDaily[EntryDate],DATE(2026,5,25),tblDaily[WardCode],"FAE")=0,"",SUMIFS(tblDaily[Deaths],tblDaily[EntryDate],DATE(2026,5,25),tblDaily[WardCode],"FAE")),"")</f>
        <v/>
      </c>
      <c r="E187" s="12">
        <f>IFERROR(IF(SUMIFS(tblDaily[DeathsUnder24Hrs],tblDaily[EntryDate],DATE(2026,5,25),tblDaily[WardCode],"FAE")=0,"",SUMIFS(tblDaily[DeathsUnder24Hrs],tblDaily[EntryDate],DATE(2026,5,25),tblDaily[WardCode],"FAE")),"")</f>
        <v/>
      </c>
      <c r="F187" s="12">
        <f>IFERROR(IF(SUMIFS(tblDaily[TransfersIn],tblDaily[EntryDate],DATE(2026,5,25),tblDaily[WardCode],"FAE")=0,"",SUMIFS(tblDaily[TransfersIn],tblDaily[EntryDate],DATE(2026,5,25),tblDaily[WardCode],"FAE")),"")</f>
        <v/>
      </c>
      <c r="G187" s="12">
        <f>IFERROR(IF(SUMIFS(tblDaily[TransfersOut],tblDaily[EntryDate],DATE(2026,5,25),tblDaily[WardCode],"FAE")=0,"",SUMIFS(tblDaily[TransfersOut],tblDaily[EntryDate],DATE(2026,5,25),tblDaily[WardCode],"FAE")),"")</f>
        <v/>
      </c>
      <c r="H187" s="12">
        <f>IFERROR(IF(SUMIFS(tblDaily[Remaining],tblDaily[EntryDate],DATE(2026,5,25),tblDaily[WardCode],"FAE")=0,"",SUMIFS(tblDaily[Remaining],tblDaily[EntryDate],DATE(2026,5,25),tblDaily[WardCode],"FAE")),"")</f>
        <v/>
      </c>
    </row>
    <row r="188">
      <c r="A188" s="12" t="n">
        <v>26</v>
      </c>
      <c r="B188" s="12">
        <f>IFERROR(IF(SUMIFS(tblDaily[Admissions],tblDaily[EntryDate],DATE(2026,5,26),tblDaily[WardCode],"FAE")=0,"",SUMIFS(tblDaily[Admissions],tblDaily[EntryDate],DATE(2026,5,26),tblDaily[WardCode],"FAE")),"")</f>
        <v/>
      </c>
      <c r="C188" s="12">
        <f>IFERROR(IF(SUMIFS(tblDaily[Discharges],tblDaily[EntryDate],DATE(2026,5,26),tblDaily[WardCode],"FAE")=0,"",SUMIFS(tblDaily[Discharges],tblDaily[EntryDate],DATE(2026,5,26),tblDaily[WardCode],"FAE")),"")</f>
        <v/>
      </c>
      <c r="D188" s="12">
        <f>IFERROR(IF(SUMIFS(tblDaily[Deaths],tblDaily[EntryDate],DATE(2026,5,26),tblDaily[WardCode],"FAE")=0,"",SUMIFS(tblDaily[Deaths],tblDaily[EntryDate],DATE(2026,5,26),tblDaily[WardCode],"FAE")),"")</f>
        <v/>
      </c>
      <c r="E188" s="12">
        <f>IFERROR(IF(SUMIFS(tblDaily[DeathsUnder24Hrs],tblDaily[EntryDate],DATE(2026,5,26),tblDaily[WardCode],"FAE")=0,"",SUMIFS(tblDaily[DeathsUnder24Hrs],tblDaily[EntryDate],DATE(2026,5,26),tblDaily[WardCode],"FAE")),"")</f>
        <v/>
      </c>
      <c r="F188" s="12">
        <f>IFERROR(IF(SUMIFS(tblDaily[TransfersIn],tblDaily[EntryDate],DATE(2026,5,26),tblDaily[WardCode],"FAE")=0,"",SUMIFS(tblDaily[TransfersIn],tblDaily[EntryDate],DATE(2026,5,26),tblDaily[WardCode],"FAE")),"")</f>
        <v/>
      </c>
      <c r="G188" s="12">
        <f>IFERROR(IF(SUMIFS(tblDaily[TransfersOut],tblDaily[EntryDate],DATE(2026,5,26),tblDaily[WardCode],"FAE")=0,"",SUMIFS(tblDaily[TransfersOut],tblDaily[EntryDate],DATE(2026,5,26),tblDaily[WardCode],"FAE")),"")</f>
        <v/>
      </c>
      <c r="H188" s="12">
        <f>IFERROR(IF(SUMIFS(tblDaily[Remaining],tblDaily[EntryDate],DATE(2026,5,26),tblDaily[WardCode],"FAE")=0,"",SUMIFS(tblDaily[Remaining],tblDaily[EntryDate],DATE(2026,5,26),tblDaily[WardCode],"FAE")),"")</f>
        <v/>
      </c>
    </row>
    <row r="189">
      <c r="A189" s="12" t="n">
        <v>27</v>
      </c>
      <c r="B189" s="12">
        <f>IFERROR(IF(SUMIFS(tblDaily[Admissions],tblDaily[EntryDate],DATE(2026,5,27),tblDaily[WardCode],"FAE")=0,"",SUMIFS(tblDaily[Admissions],tblDaily[EntryDate],DATE(2026,5,27),tblDaily[WardCode],"FAE")),"")</f>
        <v/>
      </c>
      <c r="C189" s="12">
        <f>IFERROR(IF(SUMIFS(tblDaily[Discharges],tblDaily[EntryDate],DATE(2026,5,27),tblDaily[WardCode],"FAE")=0,"",SUMIFS(tblDaily[Discharges],tblDaily[EntryDate],DATE(2026,5,27),tblDaily[WardCode],"FAE")),"")</f>
        <v/>
      </c>
      <c r="D189" s="12">
        <f>IFERROR(IF(SUMIFS(tblDaily[Deaths],tblDaily[EntryDate],DATE(2026,5,27),tblDaily[WardCode],"FAE")=0,"",SUMIFS(tblDaily[Deaths],tblDaily[EntryDate],DATE(2026,5,27),tblDaily[WardCode],"FAE")),"")</f>
        <v/>
      </c>
      <c r="E189" s="12">
        <f>IFERROR(IF(SUMIFS(tblDaily[DeathsUnder24Hrs],tblDaily[EntryDate],DATE(2026,5,27),tblDaily[WardCode],"FAE")=0,"",SUMIFS(tblDaily[DeathsUnder24Hrs],tblDaily[EntryDate],DATE(2026,5,27),tblDaily[WardCode],"FAE")),"")</f>
        <v/>
      </c>
      <c r="F189" s="12">
        <f>IFERROR(IF(SUMIFS(tblDaily[TransfersIn],tblDaily[EntryDate],DATE(2026,5,27),tblDaily[WardCode],"FAE")=0,"",SUMIFS(tblDaily[TransfersIn],tblDaily[EntryDate],DATE(2026,5,27),tblDaily[WardCode],"FAE")),"")</f>
        <v/>
      </c>
      <c r="G189" s="12">
        <f>IFERROR(IF(SUMIFS(tblDaily[TransfersOut],tblDaily[EntryDate],DATE(2026,5,27),tblDaily[WardCode],"FAE")=0,"",SUMIFS(tblDaily[TransfersOut],tblDaily[EntryDate],DATE(2026,5,27),tblDaily[WardCode],"FAE")),"")</f>
        <v/>
      </c>
      <c r="H189" s="12">
        <f>IFERROR(IF(SUMIFS(tblDaily[Remaining],tblDaily[EntryDate],DATE(2026,5,27),tblDaily[WardCode],"FAE")=0,"",SUMIFS(tblDaily[Remaining],tblDaily[EntryDate],DATE(2026,5,27),tblDaily[WardCode],"FAE")),"")</f>
        <v/>
      </c>
    </row>
    <row r="190">
      <c r="A190" s="12" t="n">
        <v>28</v>
      </c>
      <c r="B190" s="12">
        <f>IFERROR(IF(SUMIFS(tblDaily[Admissions],tblDaily[EntryDate],DATE(2026,5,28),tblDaily[WardCode],"FAE")=0,"",SUMIFS(tblDaily[Admissions],tblDaily[EntryDate],DATE(2026,5,28),tblDaily[WardCode],"FAE")),"")</f>
        <v/>
      </c>
      <c r="C190" s="12">
        <f>IFERROR(IF(SUMIFS(tblDaily[Discharges],tblDaily[EntryDate],DATE(2026,5,28),tblDaily[WardCode],"FAE")=0,"",SUMIFS(tblDaily[Discharges],tblDaily[EntryDate],DATE(2026,5,28),tblDaily[WardCode],"FAE")),"")</f>
        <v/>
      </c>
      <c r="D190" s="12">
        <f>IFERROR(IF(SUMIFS(tblDaily[Deaths],tblDaily[EntryDate],DATE(2026,5,28),tblDaily[WardCode],"FAE")=0,"",SUMIFS(tblDaily[Deaths],tblDaily[EntryDate],DATE(2026,5,28),tblDaily[WardCode],"FAE")),"")</f>
        <v/>
      </c>
      <c r="E190" s="12">
        <f>IFERROR(IF(SUMIFS(tblDaily[DeathsUnder24Hrs],tblDaily[EntryDate],DATE(2026,5,28),tblDaily[WardCode],"FAE")=0,"",SUMIFS(tblDaily[DeathsUnder24Hrs],tblDaily[EntryDate],DATE(2026,5,28),tblDaily[WardCode],"FAE")),"")</f>
        <v/>
      </c>
      <c r="F190" s="12">
        <f>IFERROR(IF(SUMIFS(tblDaily[TransfersIn],tblDaily[EntryDate],DATE(2026,5,28),tblDaily[WardCode],"FAE")=0,"",SUMIFS(tblDaily[TransfersIn],tblDaily[EntryDate],DATE(2026,5,28),tblDaily[WardCode],"FAE")),"")</f>
        <v/>
      </c>
      <c r="G190" s="12">
        <f>IFERROR(IF(SUMIFS(tblDaily[TransfersOut],tblDaily[EntryDate],DATE(2026,5,28),tblDaily[WardCode],"FAE")=0,"",SUMIFS(tblDaily[TransfersOut],tblDaily[EntryDate],DATE(2026,5,28),tblDaily[WardCode],"FAE")),"")</f>
        <v/>
      </c>
      <c r="H190" s="12">
        <f>IFERROR(IF(SUMIFS(tblDaily[Remaining],tblDaily[EntryDate],DATE(2026,5,28),tblDaily[WardCode],"FAE")=0,"",SUMIFS(tblDaily[Remaining],tblDaily[EntryDate],DATE(2026,5,28),tblDaily[WardCode],"FAE")),"")</f>
        <v/>
      </c>
    </row>
    <row r="191">
      <c r="A191" s="12" t="n">
        <v>29</v>
      </c>
      <c r="B191" s="12">
        <f>IFERROR(IF(SUMIFS(tblDaily[Admissions],tblDaily[EntryDate],DATE(2026,5,29),tblDaily[WardCode],"FAE")=0,"",SUMIFS(tblDaily[Admissions],tblDaily[EntryDate],DATE(2026,5,29),tblDaily[WardCode],"FAE")),"")</f>
        <v/>
      </c>
      <c r="C191" s="12">
        <f>IFERROR(IF(SUMIFS(tblDaily[Discharges],tblDaily[EntryDate],DATE(2026,5,29),tblDaily[WardCode],"FAE")=0,"",SUMIFS(tblDaily[Discharges],tblDaily[EntryDate],DATE(2026,5,29),tblDaily[WardCode],"FAE")),"")</f>
        <v/>
      </c>
      <c r="D191" s="12">
        <f>IFERROR(IF(SUMIFS(tblDaily[Deaths],tblDaily[EntryDate],DATE(2026,5,29),tblDaily[WardCode],"FAE")=0,"",SUMIFS(tblDaily[Deaths],tblDaily[EntryDate],DATE(2026,5,29),tblDaily[WardCode],"FAE")),"")</f>
        <v/>
      </c>
      <c r="E191" s="12">
        <f>IFERROR(IF(SUMIFS(tblDaily[DeathsUnder24Hrs],tblDaily[EntryDate],DATE(2026,5,29),tblDaily[WardCode],"FAE")=0,"",SUMIFS(tblDaily[DeathsUnder24Hrs],tblDaily[EntryDate],DATE(2026,5,29),tblDaily[WardCode],"FAE")),"")</f>
        <v/>
      </c>
      <c r="F191" s="12">
        <f>IFERROR(IF(SUMIFS(tblDaily[TransfersIn],tblDaily[EntryDate],DATE(2026,5,29),tblDaily[WardCode],"FAE")=0,"",SUMIFS(tblDaily[TransfersIn],tblDaily[EntryDate],DATE(2026,5,29),tblDaily[WardCode],"FAE")),"")</f>
        <v/>
      </c>
      <c r="G191" s="12">
        <f>IFERROR(IF(SUMIFS(tblDaily[TransfersOut],tblDaily[EntryDate],DATE(2026,5,29),tblDaily[WardCode],"FAE")=0,"",SUMIFS(tblDaily[TransfersOut],tblDaily[EntryDate],DATE(2026,5,29),tblDaily[WardCode],"FAE")),"")</f>
        <v/>
      </c>
      <c r="H191" s="12">
        <f>IFERROR(IF(SUMIFS(tblDaily[Remaining],tblDaily[EntryDate],DATE(2026,5,29),tblDaily[WardCode],"FAE")=0,"",SUMIFS(tblDaily[Remaining],tblDaily[EntryDate],DATE(2026,5,29),tblDaily[WardCode],"FAE")),"")</f>
        <v/>
      </c>
    </row>
    <row r="192">
      <c r="A192" s="12" t="n">
        <v>30</v>
      </c>
      <c r="B192" s="12">
        <f>IFERROR(IF(SUMIFS(tblDaily[Admissions],tblDaily[EntryDate],DATE(2026,5,30),tblDaily[WardCode],"FAE")=0,"",SUMIFS(tblDaily[Admissions],tblDaily[EntryDate],DATE(2026,5,30),tblDaily[WardCode],"FAE")),"")</f>
        <v/>
      </c>
      <c r="C192" s="12">
        <f>IFERROR(IF(SUMIFS(tblDaily[Discharges],tblDaily[EntryDate],DATE(2026,5,30),tblDaily[WardCode],"FAE")=0,"",SUMIFS(tblDaily[Discharges],tblDaily[EntryDate],DATE(2026,5,30),tblDaily[WardCode],"FAE")),"")</f>
        <v/>
      </c>
      <c r="D192" s="12">
        <f>IFERROR(IF(SUMIFS(tblDaily[Deaths],tblDaily[EntryDate],DATE(2026,5,30),tblDaily[WardCode],"FAE")=0,"",SUMIFS(tblDaily[Deaths],tblDaily[EntryDate],DATE(2026,5,30),tblDaily[WardCode],"FAE")),"")</f>
        <v/>
      </c>
      <c r="E192" s="12">
        <f>IFERROR(IF(SUMIFS(tblDaily[DeathsUnder24Hrs],tblDaily[EntryDate],DATE(2026,5,30),tblDaily[WardCode],"FAE")=0,"",SUMIFS(tblDaily[DeathsUnder24Hrs],tblDaily[EntryDate],DATE(2026,5,30),tblDaily[WardCode],"FAE")),"")</f>
        <v/>
      </c>
      <c r="F192" s="12">
        <f>IFERROR(IF(SUMIFS(tblDaily[TransfersIn],tblDaily[EntryDate],DATE(2026,5,30),tblDaily[WardCode],"FAE")=0,"",SUMIFS(tblDaily[TransfersIn],tblDaily[EntryDate],DATE(2026,5,30),tblDaily[WardCode],"FAE")),"")</f>
        <v/>
      </c>
      <c r="G192" s="12">
        <f>IFERROR(IF(SUMIFS(tblDaily[TransfersOut],tblDaily[EntryDate],DATE(2026,5,30),tblDaily[WardCode],"FAE")=0,"",SUMIFS(tblDaily[TransfersOut],tblDaily[EntryDate],DATE(2026,5,30),tblDaily[WardCode],"FAE")),"")</f>
        <v/>
      </c>
      <c r="H192" s="12">
        <f>IFERROR(IF(SUMIFS(tblDaily[Remaining],tblDaily[EntryDate],DATE(2026,5,30),tblDaily[WardCode],"FAE")=0,"",SUMIFS(tblDaily[Remaining],tblDaily[EntryDate],DATE(2026,5,30),tblDaily[WardCode],"FAE")),"")</f>
        <v/>
      </c>
    </row>
    <row r="193">
      <c r="A193" s="12" t="n">
        <v>31</v>
      </c>
      <c r="B193" s="12">
        <f>IFERROR(IF(SUMIFS(tblDaily[Admissions],tblDaily[EntryDate],DATE(2026,5,31),tblDaily[WardCode],"FAE")=0,"",SUMIFS(tblDaily[Admissions],tblDaily[EntryDate],DATE(2026,5,31),tblDaily[WardCode],"FAE")),"")</f>
        <v/>
      </c>
      <c r="C193" s="12">
        <f>IFERROR(IF(SUMIFS(tblDaily[Discharges],tblDaily[EntryDate],DATE(2026,5,31),tblDaily[WardCode],"FAE")=0,"",SUMIFS(tblDaily[Discharges],tblDaily[EntryDate],DATE(2026,5,31),tblDaily[WardCode],"FAE")),"")</f>
        <v/>
      </c>
      <c r="D193" s="12">
        <f>IFERROR(IF(SUMIFS(tblDaily[Deaths],tblDaily[EntryDate],DATE(2026,5,31),tblDaily[WardCode],"FAE")=0,"",SUMIFS(tblDaily[Deaths],tblDaily[EntryDate],DATE(2026,5,31),tblDaily[WardCode],"FAE")),"")</f>
        <v/>
      </c>
      <c r="E193" s="12">
        <f>IFERROR(IF(SUMIFS(tblDaily[DeathsUnder24Hrs],tblDaily[EntryDate],DATE(2026,5,31),tblDaily[WardCode],"FAE")=0,"",SUMIFS(tblDaily[DeathsUnder24Hrs],tblDaily[EntryDate],DATE(2026,5,31),tblDaily[WardCode],"FAE")),"")</f>
        <v/>
      </c>
      <c r="F193" s="12">
        <f>IFERROR(IF(SUMIFS(tblDaily[TransfersIn],tblDaily[EntryDate],DATE(2026,5,31),tblDaily[WardCode],"FAE")=0,"",SUMIFS(tblDaily[TransfersIn],tblDaily[EntryDate],DATE(2026,5,31),tblDaily[WardCode],"FAE")),"")</f>
        <v/>
      </c>
      <c r="G193" s="12">
        <f>IFERROR(IF(SUMIFS(tblDaily[TransfersOut],tblDaily[EntryDate],DATE(2026,5,31),tblDaily[WardCode],"FAE")=0,"",SUMIFS(tblDaily[TransfersOut],tblDaily[EntryDate],DATE(2026,5,31),tblDaily[WardCode],"FAE")),"")</f>
        <v/>
      </c>
      <c r="H193" s="12">
        <f>IFERROR(IF(SUMIFS(tblDaily[Remaining],tblDaily[EntryDate],DATE(2026,5,31),tblDaily[WardCode],"FAE")=0,"",SUMIFS(tblDaily[Remaining],tblDaily[EntryDate],DATE(2026,5,31),tblDaily[WardCode],"FAE")),"")</f>
        <v/>
      </c>
    </row>
    <row r="194">
      <c r="A194" s="17" t="inlineStr">
        <is>
          <t>TOTAL</t>
        </is>
      </c>
      <c r="B194" s="17">
        <f>SUMIFS(tblDaily[Admissions],tblDaily[Month],5,tblDaily[WardCode],"FAE") - SUMIFS(tblDaily[DeathsUnder24Hrs],tblDaily[Month],5,tblDaily[WardCode],"FAE")</f>
        <v/>
      </c>
      <c r="C194" s="17">
        <f>SUMIFS(tblDaily[Discharges],tblDaily[Month],5,tblDaily[WardCode],"FAE")</f>
        <v/>
      </c>
      <c r="D194" s="17">
        <f>SUMIFS(tblDaily[Deaths],tblDaily[Month],5,tblDaily[WardCode],"FAE")</f>
        <v/>
      </c>
      <c r="E194" s="17">
        <f>SUMIFS(tblDaily[DeathsUnder24Hrs],tblDaily[Month],5,tblDaily[WardCode],"FAE")</f>
        <v/>
      </c>
      <c r="F194" s="17">
        <f>SUMIFS(tblDaily[TransfersIn],tblDaily[Month],5,tblDaily[WardCode],"FAE")</f>
        <v/>
      </c>
      <c r="G194" s="17">
        <f>SUMIFS(tblDaily[TransfersOut],tblDaily[Month],5,tblDaily[WardCode],"FAE")</f>
        <v/>
      </c>
      <c r="H194" s="17">
        <f>SUMIFS(tblDaily[Remaining],tblDaily[Month],5,tblDaily[WardCode],"FAE")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FEMALE EMERGENCY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4">
        <f>IFERROR(SUMIFS(tblDaily[Remaining],tblDaily[EntryDate],DATE(2026,5,31),tblDaily[WardCode],"FAE"),0)</f>
        <v/>
      </c>
    </row>
    <row r="200">
      <c r="A200" s="4" t="inlineStr">
        <is>
          <t>Bed complement</t>
        </is>
      </c>
      <c r="H200" s="15">
        <f>IFERROR(INDEX(tblWardConfig[BedComplement],MATCH("FAE",tblWardConfig[WardCode],0)),0)</f>
        <v/>
      </c>
    </row>
    <row r="201">
      <c r="A201" s="16" t="inlineStr">
        <is>
          <t>Day of
the
Month</t>
        </is>
      </c>
      <c r="B201" s="16" t="inlineStr">
        <is>
          <t>Admissions</t>
        </is>
      </c>
      <c r="C201" s="16" t="inlineStr">
        <is>
          <t>Discharges</t>
        </is>
      </c>
      <c r="D201" s="16" t="inlineStr">
        <is>
          <t>Deaths</t>
        </is>
      </c>
      <c r="E201" s="16" t="inlineStr">
        <is>
          <t>Deaths
&lt;24Hrs</t>
        </is>
      </c>
      <c r="F201" s="16" t="inlineStr">
        <is>
          <t>Transfers-
In</t>
        </is>
      </c>
      <c r="G201" s="16" t="inlineStr">
        <is>
          <t>Transfers-
Out</t>
        </is>
      </c>
      <c r="H201" s="16" t="inlineStr">
        <is>
          <t>No. of Patients
Remaining In
Ward</t>
        </is>
      </c>
    </row>
    <row r="202">
      <c r="A202" s="12" t="n">
        <v>1</v>
      </c>
      <c r="B202" s="12">
        <f>IFERROR(IF(SUMIFS(tblDaily[Admissions],tblDaily[EntryDate],DATE(2026,6,1),tblDaily[WardCode],"FAE")=0,"",SUMIFS(tblDaily[Admissions],tblDaily[EntryDate],DATE(2026,6,1),tblDaily[WardCode],"FAE")),"")</f>
        <v/>
      </c>
      <c r="C202" s="12">
        <f>IFERROR(IF(SUMIFS(tblDaily[Discharges],tblDaily[EntryDate],DATE(2026,6,1),tblDaily[WardCode],"FAE")=0,"",SUMIFS(tblDaily[Discharges],tblDaily[EntryDate],DATE(2026,6,1),tblDaily[WardCode],"FAE")),"")</f>
        <v/>
      </c>
      <c r="D202" s="12">
        <f>IFERROR(IF(SUMIFS(tblDaily[Deaths],tblDaily[EntryDate],DATE(2026,6,1),tblDaily[WardCode],"FAE")=0,"",SUMIFS(tblDaily[Deaths],tblDaily[EntryDate],DATE(2026,6,1),tblDaily[WardCode],"FAE")),"")</f>
        <v/>
      </c>
      <c r="E202" s="12">
        <f>IFERROR(IF(SUMIFS(tblDaily[DeathsUnder24Hrs],tblDaily[EntryDate],DATE(2026,6,1),tblDaily[WardCode],"FAE")=0,"",SUMIFS(tblDaily[DeathsUnder24Hrs],tblDaily[EntryDate],DATE(2026,6,1),tblDaily[WardCode],"FAE")),"")</f>
        <v/>
      </c>
      <c r="F202" s="12">
        <f>IFERROR(IF(SUMIFS(tblDaily[TransfersIn],tblDaily[EntryDate],DATE(2026,6,1),tblDaily[WardCode],"FAE")=0,"",SUMIFS(tblDaily[TransfersIn],tblDaily[EntryDate],DATE(2026,6,1),tblDaily[WardCode],"FAE")),"")</f>
        <v/>
      </c>
      <c r="G202" s="12">
        <f>IFERROR(IF(SUMIFS(tblDaily[TransfersOut],tblDaily[EntryDate],DATE(2026,6,1),tblDaily[WardCode],"FAE")=0,"",SUMIFS(tblDaily[TransfersOut],tblDaily[EntryDate],DATE(2026,6,1),tblDaily[WardCode],"FAE")),"")</f>
        <v/>
      </c>
      <c r="H202" s="12">
        <f>IFERROR(IF(SUMIFS(tblDaily[Remaining],tblDaily[EntryDate],DATE(2026,6,1),tblDaily[WardCode],"FAE")=0,"",SUMIFS(tblDaily[Remaining],tblDaily[EntryDate],DATE(2026,6,1),tblDaily[WardCode],"FAE")),"")</f>
        <v/>
      </c>
    </row>
    <row r="203">
      <c r="A203" s="12" t="n">
        <v>2</v>
      </c>
      <c r="B203" s="12">
        <f>IFERROR(IF(SUMIFS(tblDaily[Admissions],tblDaily[EntryDate],DATE(2026,6,2),tblDaily[WardCode],"FAE")=0,"",SUMIFS(tblDaily[Admissions],tblDaily[EntryDate],DATE(2026,6,2),tblDaily[WardCode],"FAE")),"")</f>
        <v/>
      </c>
      <c r="C203" s="12">
        <f>IFERROR(IF(SUMIFS(tblDaily[Discharges],tblDaily[EntryDate],DATE(2026,6,2),tblDaily[WardCode],"FAE")=0,"",SUMIFS(tblDaily[Discharges],tblDaily[EntryDate],DATE(2026,6,2),tblDaily[WardCode],"FAE")),"")</f>
        <v/>
      </c>
      <c r="D203" s="12">
        <f>IFERROR(IF(SUMIFS(tblDaily[Deaths],tblDaily[EntryDate],DATE(2026,6,2),tblDaily[WardCode],"FAE")=0,"",SUMIFS(tblDaily[Deaths],tblDaily[EntryDate],DATE(2026,6,2),tblDaily[WardCode],"FAE")),"")</f>
        <v/>
      </c>
      <c r="E203" s="12">
        <f>IFERROR(IF(SUMIFS(tblDaily[DeathsUnder24Hrs],tblDaily[EntryDate],DATE(2026,6,2),tblDaily[WardCode],"FAE")=0,"",SUMIFS(tblDaily[DeathsUnder24Hrs],tblDaily[EntryDate],DATE(2026,6,2),tblDaily[WardCode],"FAE")),"")</f>
        <v/>
      </c>
      <c r="F203" s="12">
        <f>IFERROR(IF(SUMIFS(tblDaily[TransfersIn],tblDaily[EntryDate],DATE(2026,6,2),tblDaily[WardCode],"FAE")=0,"",SUMIFS(tblDaily[TransfersIn],tblDaily[EntryDate],DATE(2026,6,2),tblDaily[WardCode],"FAE")),"")</f>
        <v/>
      </c>
      <c r="G203" s="12">
        <f>IFERROR(IF(SUMIFS(tblDaily[TransfersOut],tblDaily[EntryDate],DATE(2026,6,2),tblDaily[WardCode],"FAE")=0,"",SUMIFS(tblDaily[TransfersOut],tblDaily[EntryDate],DATE(2026,6,2),tblDaily[WardCode],"FAE")),"")</f>
        <v/>
      </c>
      <c r="H203" s="12">
        <f>IFERROR(IF(SUMIFS(tblDaily[Remaining],tblDaily[EntryDate],DATE(2026,6,2),tblDaily[WardCode],"FAE")=0,"",SUMIFS(tblDaily[Remaining],tblDaily[EntryDate],DATE(2026,6,2),tblDaily[WardCode],"FAE")),"")</f>
        <v/>
      </c>
    </row>
    <row r="204">
      <c r="A204" s="12" t="n">
        <v>3</v>
      </c>
      <c r="B204" s="12">
        <f>IFERROR(IF(SUMIFS(tblDaily[Admissions],tblDaily[EntryDate],DATE(2026,6,3),tblDaily[WardCode],"FAE")=0,"",SUMIFS(tblDaily[Admissions],tblDaily[EntryDate],DATE(2026,6,3),tblDaily[WardCode],"FAE")),"")</f>
        <v/>
      </c>
      <c r="C204" s="12">
        <f>IFERROR(IF(SUMIFS(tblDaily[Discharges],tblDaily[EntryDate],DATE(2026,6,3),tblDaily[WardCode],"FAE")=0,"",SUMIFS(tblDaily[Discharges],tblDaily[EntryDate],DATE(2026,6,3),tblDaily[WardCode],"FAE")),"")</f>
        <v/>
      </c>
      <c r="D204" s="12">
        <f>IFERROR(IF(SUMIFS(tblDaily[Deaths],tblDaily[EntryDate],DATE(2026,6,3),tblDaily[WardCode],"FAE")=0,"",SUMIFS(tblDaily[Deaths],tblDaily[EntryDate],DATE(2026,6,3),tblDaily[WardCode],"FAE")),"")</f>
        <v/>
      </c>
      <c r="E204" s="12">
        <f>IFERROR(IF(SUMIFS(tblDaily[DeathsUnder24Hrs],tblDaily[EntryDate],DATE(2026,6,3),tblDaily[WardCode],"FAE")=0,"",SUMIFS(tblDaily[DeathsUnder24Hrs],tblDaily[EntryDate],DATE(2026,6,3),tblDaily[WardCode],"FAE")),"")</f>
        <v/>
      </c>
      <c r="F204" s="12">
        <f>IFERROR(IF(SUMIFS(tblDaily[TransfersIn],tblDaily[EntryDate],DATE(2026,6,3),tblDaily[WardCode],"FAE")=0,"",SUMIFS(tblDaily[TransfersIn],tblDaily[EntryDate],DATE(2026,6,3),tblDaily[WardCode],"FAE")),"")</f>
        <v/>
      </c>
      <c r="G204" s="12">
        <f>IFERROR(IF(SUMIFS(tblDaily[TransfersOut],tblDaily[EntryDate],DATE(2026,6,3),tblDaily[WardCode],"FAE")=0,"",SUMIFS(tblDaily[TransfersOut],tblDaily[EntryDate],DATE(2026,6,3),tblDaily[WardCode],"FAE")),"")</f>
        <v/>
      </c>
      <c r="H204" s="12">
        <f>IFERROR(IF(SUMIFS(tblDaily[Remaining],tblDaily[EntryDate],DATE(2026,6,3),tblDaily[WardCode],"FAE")=0,"",SUMIFS(tblDaily[Remaining],tblDaily[EntryDate],DATE(2026,6,3),tblDaily[WardCode],"FAE")),"")</f>
        <v/>
      </c>
    </row>
    <row r="205">
      <c r="A205" s="12" t="n">
        <v>4</v>
      </c>
      <c r="B205" s="12">
        <f>IFERROR(IF(SUMIFS(tblDaily[Admissions],tblDaily[EntryDate],DATE(2026,6,4),tblDaily[WardCode],"FAE")=0,"",SUMIFS(tblDaily[Admissions],tblDaily[EntryDate],DATE(2026,6,4),tblDaily[WardCode],"FAE")),"")</f>
        <v/>
      </c>
      <c r="C205" s="12">
        <f>IFERROR(IF(SUMIFS(tblDaily[Discharges],tblDaily[EntryDate],DATE(2026,6,4),tblDaily[WardCode],"FAE")=0,"",SUMIFS(tblDaily[Discharges],tblDaily[EntryDate],DATE(2026,6,4),tblDaily[WardCode],"FAE")),"")</f>
        <v/>
      </c>
      <c r="D205" s="12">
        <f>IFERROR(IF(SUMIFS(tblDaily[Deaths],tblDaily[EntryDate],DATE(2026,6,4),tblDaily[WardCode],"FAE")=0,"",SUMIFS(tblDaily[Deaths],tblDaily[EntryDate],DATE(2026,6,4),tblDaily[WardCode],"FAE")),"")</f>
        <v/>
      </c>
      <c r="E205" s="12">
        <f>IFERROR(IF(SUMIFS(tblDaily[DeathsUnder24Hrs],tblDaily[EntryDate],DATE(2026,6,4),tblDaily[WardCode],"FAE")=0,"",SUMIFS(tblDaily[DeathsUnder24Hrs],tblDaily[EntryDate],DATE(2026,6,4),tblDaily[WardCode],"FAE")),"")</f>
        <v/>
      </c>
      <c r="F205" s="12">
        <f>IFERROR(IF(SUMIFS(tblDaily[TransfersIn],tblDaily[EntryDate],DATE(2026,6,4),tblDaily[WardCode],"FAE")=0,"",SUMIFS(tblDaily[TransfersIn],tblDaily[EntryDate],DATE(2026,6,4),tblDaily[WardCode],"FAE")),"")</f>
        <v/>
      </c>
      <c r="G205" s="12">
        <f>IFERROR(IF(SUMIFS(tblDaily[TransfersOut],tblDaily[EntryDate],DATE(2026,6,4),tblDaily[WardCode],"FAE")=0,"",SUMIFS(tblDaily[TransfersOut],tblDaily[EntryDate],DATE(2026,6,4),tblDaily[WardCode],"FAE")),"")</f>
        <v/>
      </c>
      <c r="H205" s="12">
        <f>IFERROR(IF(SUMIFS(tblDaily[Remaining],tblDaily[EntryDate],DATE(2026,6,4),tblDaily[WardCode],"FAE")=0,"",SUMIFS(tblDaily[Remaining],tblDaily[EntryDate],DATE(2026,6,4),tblDaily[WardCode],"FAE")),"")</f>
        <v/>
      </c>
    </row>
    <row r="206">
      <c r="A206" s="12" t="n">
        <v>5</v>
      </c>
      <c r="B206" s="12">
        <f>IFERROR(IF(SUMIFS(tblDaily[Admissions],tblDaily[EntryDate],DATE(2026,6,5),tblDaily[WardCode],"FAE")=0,"",SUMIFS(tblDaily[Admissions],tblDaily[EntryDate],DATE(2026,6,5),tblDaily[WardCode],"FAE")),"")</f>
        <v/>
      </c>
      <c r="C206" s="12">
        <f>IFERROR(IF(SUMIFS(tblDaily[Discharges],tblDaily[EntryDate],DATE(2026,6,5),tblDaily[WardCode],"FAE")=0,"",SUMIFS(tblDaily[Discharges],tblDaily[EntryDate],DATE(2026,6,5),tblDaily[WardCode],"FAE")),"")</f>
        <v/>
      </c>
      <c r="D206" s="12">
        <f>IFERROR(IF(SUMIFS(tblDaily[Deaths],tblDaily[EntryDate],DATE(2026,6,5),tblDaily[WardCode],"FAE")=0,"",SUMIFS(tblDaily[Deaths],tblDaily[EntryDate],DATE(2026,6,5),tblDaily[WardCode],"FAE")),"")</f>
        <v/>
      </c>
      <c r="E206" s="12">
        <f>IFERROR(IF(SUMIFS(tblDaily[DeathsUnder24Hrs],tblDaily[EntryDate],DATE(2026,6,5),tblDaily[WardCode],"FAE")=0,"",SUMIFS(tblDaily[DeathsUnder24Hrs],tblDaily[EntryDate],DATE(2026,6,5),tblDaily[WardCode],"FAE")),"")</f>
        <v/>
      </c>
      <c r="F206" s="12">
        <f>IFERROR(IF(SUMIFS(tblDaily[TransfersIn],tblDaily[EntryDate],DATE(2026,6,5),tblDaily[WardCode],"FAE")=0,"",SUMIFS(tblDaily[TransfersIn],tblDaily[EntryDate],DATE(2026,6,5),tblDaily[WardCode],"FAE")),"")</f>
        <v/>
      </c>
      <c r="G206" s="12">
        <f>IFERROR(IF(SUMIFS(tblDaily[TransfersOut],tblDaily[EntryDate],DATE(2026,6,5),tblDaily[WardCode],"FAE")=0,"",SUMIFS(tblDaily[TransfersOut],tblDaily[EntryDate],DATE(2026,6,5),tblDaily[WardCode],"FAE")),"")</f>
        <v/>
      </c>
      <c r="H206" s="12">
        <f>IFERROR(IF(SUMIFS(tblDaily[Remaining],tblDaily[EntryDate],DATE(2026,6,5),tblDaily[WardCode],"FAE")=0,"",SUMIFS(tblDaily[Remaining],tblDaily[EntryDate],DATE(2026,6,5),tblDaily[WardCode],"FAE")),"")</f>
        <v/>
      </c>
    </row>
    <row r="207">
      <c r="A207" s="12" t="n">
        <v>6</v>
      </c>
      <c r="B207" s="12">
        <f>IFERROR(IF(SUMIFS(tblDaily[Admissions],tblDaily[EntryDate],DATE(2026,6,6),tblDaily[WardCode],"FAE")=0,"",SUMIFS(tblDaily[Admissions],tblDaily[EntryDate],DATE(2026,6,6),tblDaily[WardCode],"FAE")),"")</f>
        <v/>
      </c>
      <c r="C207" s="12">
        <f>IFERROR(IF(SUMIFS(tblDaily[Discharges],tblDaily[EntryDate],DATE(2026,6,6),tblDaily[WardCode],"FAE")=0,"",SUMIFS(tblDaily[Discharges],tblDaily[EntryDate],DATE(2026,6,6),tblDaily[WardCode],"FAE")),"")</f>
        <v/>
      </c>
      <c r="D207" s="12">
        <f>IFERROR(IF(SUMIFS(tblDaily[Deaths],tblDaily[EntryDate],DATE(2026,6,6),tblDaily[WardCode],"FAE")=0,"",SUMIFS(tblDaily[Deaths],tblDaily[EntryDate],DATE(2026,6,6),tblDaily[WardCode],"FAE")),"")</f>
        <v/>
      </c>
      <c r="E207" s="12">
        <f>IFERROR(IF(SUMIFS(tblDaily[DeathsUnder24Hrs],tblDaily[EntryDate],DATE(2026,6,6),tblDaily[WardCode],"FAE")=0,"",SUMIFS(tblDaily[DeathsUnder24Hrs],tblDaily[EntryDate],DATE(2026,6,6),tblDaily[WardCode],"FAE")),"")</f>
        <v/>
      </c>
      <c r="F207" s="12">
        <f>IFERROR(IF(SUMIFS(tblDaily[TransfersIn],tblDaily[EntryDate],DATE(2026,6,6),tblDaily[WardCode],"FAE")=0,"",SUMIFS(tblDaily[TransfersIn],tblDaily[EntryDate],DATE(2026,6,6),tblDaily[WardCode],"FAE")),"")</f>
        <v/>
      </c>
      <c r="G207" s="12">
        <f>IFERROR(IF(SUMIFS(tblDaily[TransfersOut],tblDaily[EntryDate],DATE(2026,6,6),tblDaily[WardCode],"FAE")=0,"",SUMIFS(tblDaily[TransfersOut],tblDaily[EntryDate],DATE(2026,6,6),tblDaily[WardCode],"FAE")),"")</f>
        <v/>
      </c>
      <c r="H207" s="12">
        <f>IFERROR(IF(SUMIFS(tblDaily[Remaining],tblDaily[EntryDate],DATE(2026,6,6),tblDaily[WardCode],"FAE")=0,"",SUMIFS(tblDaily[Remaining],tblDaily[EntryDate],DATE(2026,6,6),tblDaily[WardCode],"FAE")),"")</f>
        <v/>
      </c>
    </row>
    <row r="208">
      <c r="A208" s="12" t="n">
        <v>7</v>
      </c>
      <c r="B208" s="12">
        <f>IFERROR(IF(SUMIFS(tblDaily[Admissions],tblDaily[EntryDate],DATE(2026,6,7),tblDaily[WardCode],"FAE")=0,"",SUMIFS(tblDaily[Admissions],tblDaily[EntryDate],DATE(2026,6,7),tblDaily[WardCode],"FAE")),"")</f>
        <v/>
      </c>
      <c r="C208" s="12">
        <f>IFERROR(IF(SUMIFS(tblDaily[Discharges],tblDaily[EntryDate],DATE(2026,6,7),tblDaily[WardCode],"FAE")=0,"",SUMIFS(tblDaily[Discharges],tblDaily[EntryDate],DATE(2026,6,7),tblDaily[WardCode],"FAE")),"")</f>
        <v/>
      </c>
      <c r="D208" s="12">
        <f>IFERROR(IF(SUMIFS(tblDaily[Deaths],tblDaily[EntryDate],DATE(2026,6,7),tblDaily[WardCode],"FAE")=0,"",SUMIFS(tblDaily[Deaths],tblDaily[EntryDate],DATE(2026,6,7),tblDaily[WardCode],"FAE")),"")</f>
        <v/>
      </c>
      <c r="E208" s="12">
        <f>IFERROR(IF(SUMIFS(tblDaily[DeathsUnder24Hrs],tblDaily[EntryDate],DATE(2026,6,7),tblDaily[WardCode],"FAE")=0,"",SUMIFS(tblDaily[DeathsUnder24Hrs],tblDaily[EntryDate],DATE(2026,6,7),tblDaily[WardCode],"FAE")),"")</f>
        <v/>
      </c>
      <c r="F208" s="12">
        <f>IFERROR(IF(SUMIFS(tblDaily[TransfersIn],tblDaily[EntryDate],DATE(2026,6,7),tblDaily[WardCode],"FAE")=0,"",SUMIFS(tblDaily[TransfersIn],tblDaily[EntryDate],DATE(2026,6,7),tblDaily[WardCode],"FAE")),"")</f>
        <v/>
      </c>
      <c r="G208" s="12">
        <f>IFERROR(IF(SUMIFS(tblDaily[TransfersOut],tblDaily[EntryDate],DATE(2026,6,7),tblDaily[WardCode],"FAE")=0,"",SUMIFS(tblDaily[TransfersOut],tblDaily[EntryDate],DATE(2026,6,7),tblDaily[WardCode],"FAE")),"")</f>
        <v/>
      </c>
      <c r="H208" s="12">
        <f>IFERROR(IF(SUMIFS(tblDaily[Remaining],tblDaily[EntryDate],DATE(2026,6,7),tblDaily[WardCode],"FAE")=0,"",SUMIFS(tblDaily[Remaining],tblDaily[EntryDate],DATE(2026,6,7),tblDaily[WardCode],"FAE")),"")</f>
        <v/>
      </c>
    </row>
    <row r="209">
      <c r="A209" s="12" t="n">
        <v>8</v>
      </c>
      <c r="B209" s="12">
        <f>IFERROR(IF(SUMIFS(tblDaily[Admissions],tblDaily[EntryDate],DATE(2026,6,8),tblDaily[WardCode],"FAE")=0,"",SUMIFS(tblDaily[Admissions],tblDaily[EntryDate],DATE(2026,6,8),tblDaily[WardCode],"FAE")),"")</f>
        <v/>
      </c>
      <c r="C209" s="12">
        <f>IFERROR(IF(SUMIFS(tblDaily[Discharges],tblDaily[EntryDate],DATE(2026,6,8),tblDaily[WardCode],"FAE")=0,"",SUMIFS(tblDaily[Discharges],tblDaily[EntryDate],DATE(2026,6,8),tblDaily[WardCode],"FAE")),"")</f>
        <v/>
      </c>
      <c r="D209" s="12">
        <f>IFERROR(IF(SUMIFS(tblDaily[Deaths],tblDaily[EntryDate],DATE(2026,6,8),tblDaily[WardCode],"FAE")=0,"",SUMIFS(tblDaily[Deaths],tblDaily[EntryDate],DATE(2026,6,8),tblDaily[WardCode],"FAE")),"")</f>
        <v/>
      </c>
      <c r="E209" s="12">
        <f>IFERROR(IF(SUMIFS(tblDaily[DeathsUnder24Hrs],tblDaily[EntryDate],DATE(2026,6,8),tblDaily[WardCode],"FAE")=0,"",SUMIFS(tblDaily[DeathsUnder24Hrs],tblDaily[EntryDate],DATE(2026,6,8),tblDaily[WardCode],"FAE")),"")</f>
        <v/>
      </c>
      <c r="F209" s="12">
        <f>IFERROR(IF(SUMIFS(tblDaily[TransfersIn],tblDaily[EntryDate],DATE(2026,6,8),tblDaily[WardCode],"FAE")=0,"",SUMIFS(tblDaily[TransfersIn],tblDaily[EntryDate],DATE(2026,6,8),tblDaily[WardCode],"FAE")),"")</f>
        <v/>
      </c>
      <c r="G209" s="12">
        <f>IFERROR(IF(SUMIFS(tblDaily[TransfersOut],tblDaily[EntryDate],DATE(2026,6,8),tblDaily[WardCode],"FAE")=0,"",SUMIFS(tblDaily[TransfersOut],tblDaily[EntryDate],DATE(2026,6,8),tblDaily[WardCode],"FAE")),"")</f>
        <v/>
      </c>
      <c r="H209" s="12">
        <f>IFERROR(IF(SUMIFS(tblDaily[Remaining],tblDaily[EntryDate],DATE(2026,6,8),tblDaily[WardCode],"FAE")=0,"",SUMIFS(tblDaily[Remaining],tblDaily[EntryDate],DATE(2026,6,8),tblDaily[WardCode],"FAE")),"")</f>
        <v/>
      </c>
    </row>
    <row r="210">
      <c r="A210" s="12" t="n">
        <v>9</v>
      </c>
      <c r="B210" s="12">
        <f>IFERROR(IF(SUMIFS(tblDaily[Admissions],tblDaily[EntryDate],DATE(2026,6,9),tblDaily[WardCode],"FAE")=0,"",SUMIFS(tblDaily[Admissions],tblDaily[EntryDate],DATE(2026,6,9),tblDaily[WardCode],"FAE")),"")</f>
        <v/>
      </c>
      <c r="C210" s="12">
        <f>IFERROR(IF(SUMIFS(tblDaily[Discharges],tblDaily[EntryDate],DATE(2026,6,9),tblDaily[WardCode],"FAE")=0,"",SUMIFS(tblDaily[Discharges],tblDaily[EntryDate],DATE(2026,6,9),tblDaily[WardCode],"FAE")),"")</f>
        <v/>
      </c>
      <c r="D210" s="12">
        <f>IFERROR(IF(SUMIFS(tblDaily[Deaths],tblDaily[EntryDate],DATE(2026,6,9),tblDaily[WardCode],"FAE")=0,"",SUMIFS(tblDaily[Deaths],tblDaily[EntryDate],DATE(2026,6,9),tblDaily[WardCode],"FAE")),"")</f>
        <v/>
      </c>
      <c r="E210" s="12">
        <f>IFERROR(IF(SUMIFS(tblDaily[DeathsUnder24Hrs],tblDaily[EntryDate],DATE(2026,6,9),tblDaily[WardCode],"FAE")=0,"",SUMIFS(tblDaily[DeathsUnder24Hrs],tblDaily[EntryDate],DATE(2026,6,9),tblDaily[WardCode],"FAE")),"")</f>
        <v/>
      </c>
      <c r="F210" s="12">
        <f>IFERROR(IF(SUMIFS(tblDaily[TransfersIn],tblDaily[EntryDate],DATE(2026,6,9),tblDaily[WardCode],"FAE")=0,"",SUMIFS(tblDaily[TransfersIn],tblDaily[EntryDate],DATE(2026,6,9),tblDaily[WardCode],"FAE")),"")</f>
        <v/>
      </c>
      <c r="G210" s="12">
        <f>IFERROR(IF(SUMIFS(tblDaily[TransfersOut],tblDaily[EntryDate],DATE(2026,6,9),tblDaily[WardCode],"FAE")=0,"",SUMIFS(tblDaily[TransfersOut],tblDaily[EntryDate],DATE(2026,6,9),tblDaily[WardCode],"FAE")),"")</f>
        <v/>
      </c>
      <c r="H210" s="12">
        <f>IFERROR(IF(SUMIFS(tblDaily[Remaining],tblDaily[EntryDate],DATE(2026,6,9),tblDaily[WardCode],"FAE")=0,"",SUMIFS(tblDaily[Remaining],tblDaily[EntryDate],DATE(2026,6,9),tblDaily[WardCode],"FAE")),"")</f>
        <v/>
      </c>
    </row>
    <row r="211">
      <c r="A211" s="12" t="n">
        <v>10</v>
      </c>
      <c r="B211" s="12">
        <f>IFERROR(IF(SUMIFS(tblDaily[Admissions],tblDaily[EntryDate],DATE(2026,6,10),tblDaily[WardCode],"FAE")=0,"",SUMIFS(tblDaily[Admissions],tblDaily[EntryDate],DATE(2026,6,10),tblDaily[WardCode],"FAE")),"")</f>
        <v/>
      </c>
      <c r="C211" s="12">
        <f>IFERROR(IF(SUMIFS(tblDaily[Discharges],tblDaily[EntryDate],DATE(2026,6,10),tblDaily[WardCode],"FAE")=0,"",SUMIFS(tblDaily[Discharges],tblDaily[EntryDate],DATE(2026,6,10),tblDaily[WardCode],"FAE")),"")</f>
        <v/>
      </c>
      <c r="D211" s="12">
        <f>IFERROR(IF(SUMIFS(tblDaily[Deaths],tblDaily[EntryDate],DATE(2026,6,10),tblDaily[WardCode],"FAE")=0,"",SUMIFS(tblDaily[Deaths],tblDaily[EntryDate],DATE(2026,6,10),tblDaily[WardCode],"FAE")),"")</f>
        <v/>
      </c>
      <c r="E211" s="12">
        <f>IFERROR(IF(SUMIFS(tblDaily[DeathsUnder24Hrs],tblDaily[EntryDate],DATE(2026,6,10),tblDaily[WardCode],"FAE")=0,"",SUMIFS(tblDaily[DeathsUnder24Hrs],tblDaily[EntryDate],DATE(2026,6,10),tblDaily[WardCode],"FAE")),"")</f>
        <v/>
      </c>
      <c r="F211" s="12">
        <f>IFERROR(IF(SUMIFS(tblDaily[TransfersIn],tblDaily[EntryDate],DATE(2026,6,10),tblDaily[WardCode],"FAE")=0,"",SUMIFS(tblDaily[TransfersIn],tblDaily[EntryDate],DATE(2026,6,10),tblDaily[WardCode],"FAE")),"")</f>
        <v/>
      </c>
      <c r="G211" s="12">
        <f>IFERROR(IF(SUMIFS(tblDaily[TransfersOut],tblDaily[EntryDate],DATE(2026,6,10),tblDaily[WardCode],"FAE")=0,"",SUMIFS(tblDaily[TransfersOut],tblDaily[EntryDate],DATE(2026,6,10),tblDaily[WardCode],"FAE")),"")</f>
        <v/>
      </c>
      <c r="H211" s="12">
        <f>IFERROR(IF(SUMIFS(tblDaily[Remaining],tblDaily[EntryDate],DATE(2026,6,10),tblDaily[WardCode],"FAE")=0,"",SUMIFS(tblDaily[Remaining],tblDaily[EntryDate],DATE(2026,6,10),tblDaily[WardCode],"FAE")),"")</f>
        <v/>
      </c>
    </row>
    <row r="212">
      <c r="A212" s="12" t="n">
        <v>11</v>
      </c>
      <c r="B212" s="12">
        <f>IFERROR(IF(SUMIFS(tblDaily[Admissions],tblDaily[EntryDate],DATE(2026,6,11),tblDaily[WardCode],"FAE")=0,"",SUMIFS(tblDaily[Admissions],tblDaily[EntryDate],DATE(2026,6,11),tblDaily[WardCode],"FAE")),"")</f>
        <v/>
      </c>
      <c r="C212" s="12">
        <f>IFERROR(IF(SUMIFS(tblDaily[Discharges],tblDaily[EntryDate],DATE(2026,6,11),tblDaily[WardCode],"FAE")=0,"",SUMIFS(tblDaily[Discharges],tblDaily[EntryDate],DATE(2026,6,11),tblDaily[WardCode],"FAE")),"")</f>
        <v/>
      </c>
      <c r="D212" s="12">
        <f>IFERROR(IF(SUMIFS(tblDaily[Deaths],tblDaily[EntryDate],DATE(2026,6,11),tblDaily[WardCode],"FAE")=0,"",SUMIFS(tblDaily[Deaths],tblDaily[EntryDate],DATE(2026,6,11),tblDaily[WardCode],"FAE")),"")</f>
        <v/>
      </c>
      <c r="E212" s="12">
        <f>IFERROR(IF(SUMIFS(tblDaily[DeathsUnder24Hrs],tblDaily[EntryDate],DATE(2026,6,11),tblDaily[WardCode],"FAE")=0,"",SUMIFS(tblDaily[DeathsUnder24Hrs],tblDaily[EntryDate],DATE(2026,6,11),tblDaily[WardCode],"FAE")),"")</f>
        <v/>
      </c>
      <c r="F212" s="12">
        <f>IFERROR(IF(SUMIFS(tblDaily[TransfersIn],tblDaily[EntryDate],DATE(2026,6,11),tblDaily[WardCode],"FAE")=0,"",SUMIFS(tblDaily[TransfersIn],tblDaily[EntryDate],DATE(2026,6,11),tblDaily[WardCode],"FAE")),"")</f>
        <v/>
      </c>
      <c r="G212" s="12">
        <f>IFERROR(IF(SUMIFS(tblDaily[TransfersOut],tblDaily[EntryDate],DATE(2026,6,11),tblDaily[WardCode],"FAE")=0,"",SUMIFS(tblDaily[TransfersOut],tblDaily[EntryDate],DATE(2026,6,11),tblDaily[WardCode],"FAE")),"")</f>
        <v/>
      </c>
      <c r="H212" s="12">
        <f>IFERROR(IF(SUMIFS(tblDaily[Remaining],tblDaily[EntryDate],DATE(2026,6,11),tblDaily[WardCode],"FAE")=0,"",SUMIFS(tblDaily[Remaining],tblDaily[EntryDate],DATE(2026,6,11),tblDaily[WardCode],"FAE")),"")</f>
        <v/>
      </c>
    </row>
    <row r="213">
      <c r="A213" s="12" t="n">
        <v>12</v>
      </c>
      <c r="B213" s="12">
        <f>IFERROR(IF(SUMIFS(tblDaily[Admissions],tblDaily[EntryDate],DATE(2026,6,12),tblDaily[WardCode],"FAE")=0,"",SUMIFS(tblDaily[Admissions],tblDaily[EntryDate],DATE(2026,6,12),tblDaily[WardCode],"FAE")),"")</f>
        <v/>
      </c>
      <c r="C213" s="12">
        <f>IFERROR(IF(SUMIFS(tblDaily[Discharges],tblDaily[EntryDate],DATE(2026,6,12),tblDaily[WardCode],"FAE")=0,"",SUMIFS(tblDaily[Discharges],tblDaily[EntryDate],DATE(2026,6,12),tblDaily[WardCode],"FAE")),"")</f>
        <v/>
      </c>
      <c r="D213" s="12">
        <f>IFERROR(IF(SUMIFS(tblDaily[Deaths],tblDaily[EntryDate],DATE(2026,6,12),tblDaily[WardCode],"FAE")=0,"",SUMIFS(tblDaily[Deaths],tblDaily[EntryDate],DATE(2026,6,12),tblDaily[WardCode],"FAE")),"")</f>
        <v/>
      </c>
      <c r="E213" s="12">
        <f>IFERROR(IF(SUMIFS(tblDaily[DeathsUnder24Hrs],tblDaily[EntryDate],DATE(2026,6,12),tblDaily[WardCode],"FAE")=0,"",SUMIFS(tblDaily[DeathsUnder24Hrs],tblDaily[EntryDate],DATE(2026,6,12),tblDaily[WardCode],"FAE")),"")</f>
        <v/>
      </c>
      <c r="F213" s="12">
        <f>IFERROR(IF(SUMIFS(tblDaily[TransfersIn],tblDaily[EntryDate],DATE(2026,6,12),tblDaily[WardCode],"FAE")=0,"",SUMIFS(tblDaily[TransfersIn],tblDaily[EntryDate],DATE(2026,6,12),tblDaily[WardCode],"FAE")),"")</f>
        <v/>
      </c>
      <c r="G213" s="12">
        <f>IFERROR(IF(SUMIFS(tblDaily[TransfersOut],tblDaily[EntryDate],DATE(2026,6,12),tblDaily[WardCode],"FAE")=0,"",SUMIFS(tblDaily[TransfersOut],tblDaily[EntryDate],DATE(2026,6,12),tblDaily[WardCode],"FAE")),"")</f>
        <v/>
      </c>
      <c r="H213" s="12">
        <f>IFERROR(IF(SUMIFS(tblDaily[Remaining],tblDaily[EntryDate],DATE(2026,6,12),tblDaily[WardCode],"FAE")=0,"",SUMIFS(tblDaily[Remaining],tblDaily[EntryDate],DATE(2026,6,12),tblDaily[WardCode],"FAE")),"")</f>
        <v/>
      </c>
    </row>
    <row r="214">
      <c r="A214" s="12" t="n">
        <v>13</v>
      </c>
      <c r="B214" s="12">
        <f>IFERROR(IF(SUMIFS(tblDaily[Admissions],tblDaily[EntryDate],DATE(2026,6,13),tblDaily[WardCode],"FAE")=0,"",SUMIFS(tblDaily[Admissions],tblDaily[EntryDate],DATE(2026,6,13),tblDaily[WardCode],"FAE")),"")</f>
        <v/>
      </c>
      <c r="C214" s="12">
        <f>IFERROR(IF(SUMIFS(tblDaily[Discharges],tblDaily[EntryDate],DATE(2026,6,13),tblDaily[WardCode],"FAE")=0,"",SUMIFS(tblDaily[Discharges],tblDaily[EntryDate],DATE(2026,6,13),tblDaily[WardCode],"FAE")),"")</f>
        <v/>
      </c>
      <c r="D214" s="12">
        <f>IFERROR(IF(SUMIFS(tblDaily[Deaths],tblDaily[EntryDate],DATE(2026,6,13),tblDaily[WardCode],"FAE")=0,"",SUMIFS(tblDaily[Deaths],tblDaily[EntryDate],DATE(2026,6,13),tblDaily[WardCode],"FAE")),"")</f>
        <v/>
      </c>
      <c r="E214" s="12">
        <f>IFERROR(IF(SUMIFS(tblDaily[DeathsUnder24Hrs],tblDaily[EntryDate],DATE(2026,6,13),tblDaily[WardCode],"FAE")=0,"",SUMIFS(tblDaily[DeathsUnder24Hrs],tblDaily[EntryDate],DATE(2026,6,13),tblDaily[WardCode],"FAE")),"")</f>
        <v/>
      </c>
      <c r="F214" s="12">
        <f>IFERROR(IF(SUMIFS(tblDaily[TransfersIn],tblDaily[EntryDate],DATE(2026,6,13),tblDaily[WardCode],"FAE")=0,"",SUMIFS(tblDaily[TransfersIn],tblDaily[EntryDate],DATE(2026,6,13),tblDaily[WardCode],"FAE")),"")</f>
        <v/>
      </c>
      <c r="G214" s="12">
        <f>IFERROR(IF(SUMIFS(tblDaily[TransfersOut],tblDaily[EntryDate],DATE(2026,6,13),tblDaily[WardCode],"FAE")=0,"",SUMIFS(tblDaily[TransfersOut],tblDaily[EntryDate],DATE(2026,6,13),tblDaily[WardCode],"FAE")),"")</f>
        <v/>
      </c>
      <c r="H214" s="12">
        <f>IFERROR(IF(SUMIFS(tblDaily[Remaining],tblDaily[EntryDate],DATE(2026,6,13),tblDaily[WardCode],"FAE")=0,"",SUMIFS(tblDaily[Remaining],tblDaily[EntryDate],DATE(2026,6,13),tblDaily[WardCode],"FAE")),"")</f>
        <v/>
      </c>
    </row>
    <row r="215">
      <c r="A215" s="12" t="n">
        <v>14</v>
      </c>
      <c r="B215" s="12">
        <f>IFERROR(IF(SUMIFS(tblDaily[Admissions],tblDaily[EntryDate],DATE(2026,6,14),tblDaily[WardCode],"FAE")=0,"",SUMIFS(tblDaily[Admissions],tblDaily[EntryDate],DATE(2026,6,14),tblDaily[WardCode],"FAE")),"")</f>
        <v/>
      </c>
      <c r="C215" s="12">
        <f>IFERROR(IF(SUMIFS(tblDaily[Discharges],tblDaily[EntryDate],DATE(2026,6,14),tblDaily[WardCode],"FAE")=0,"",SUMIFS(tblDaily[Discharges],tblDaily[EntryDate],DATE(2026,6,14),tblDaily[WardCode],"FAE")),"")</f>
        <v/>
      </c>
      <c r="D215" s="12">
        <f>IFERROR(IF(SUMIFS(tblDaily[Deaths],tblDaily[EntryDate],DATE(2026,6,14),tblDaily[WardCode],"FAE")=0,"",SUMIFS(tblDaily[Deaths],tblDaily[EntryDate],DATE(2026,6,14),tblDaily[WardCode],"FAE")),"")</f>
        <v/>
      </c>
      <c r="E215" s="12">
        <f>IFERROR(IF(SUMIFS(tblDaily[DeathsUnder24Hrs],tblDaily[EntryDate],DATE(2026,6,14),tblDaily[WardCode],"FAE")=0,"",SUMIFS(tblDaily[DeathsUnder24Hrs],tblDaily[EntryDate],DATE(2026,6,14),tblDaily[WardCode],"FAE")),"")</f>
        <v/>
      </c>
      <c r="F215" s="12">
        <f>IFERROR(IF(SUMIFS(tblDaily[TransfersIn],tblDaily[EntryDate],DATE(2026,6,14),tblDaily[WardCode],"FAE")=0,"",SUMIFS(tblDaily[TransfersIn],tblDaily[EntryDate],DATE(2026,6,14),tblDaily[WardCode],"FAE")),"")</f>
        <v/>
      </c>
      <c r="G215" s="12">
        <f>IFERROR(IF(SUMIFS(tblDaily[TransfersOut],tblDaily[EntryDate],DATE(2026,6,14),tblDaily[WardCode],"FAE")=0,"",SUMIFS(tblDaily[TransfersOut],tblDaily[EntryDate],DATE(2026,6,14),tblDaily[WardCode],"FAE")),"")</f>
        <v/>
      </c>
      <c r="H215" s="12">
        <f>IFERROR(IF(SUMIFS(tblDaily[Remaining],tblDaily[EntryDate],DATE(2026,6,14),tblDaily[WardCode],"FAE")=0,"",SUMIFS(tblDaily[Remaining],tblDaily[EntryDate],DATE(2026,6,14),tblDaily[WardCode],"FAE")),"")</f>
        <v/>
      </c>
    </row>
    <row r="216">
      <c r="A216" s="12" t="n">
        <v>15</v>
      </c>
      <c r="B216" s="12">
        <f>IFERROR(IF(SUMIFS(tblDaily[Admissions],tblDaily[EntryDate],DATE(2026,6,15),tblDaily[WardCode],"FAE")=0,"",SUMIFS(tblDaily[Admissions],tblDaily[EntryDate],DATE(2026,6,15),tblDaily[WardCode],"FAE")),"")</f>
        <v/>
      </c>
      <c r="C216" s="12">
        <f>IFERROR(IF(SUMIFS(tblDaily[Discharges],tblDaily[EntryDate],DATE(2026,6,15),tblDaily[WardCode],"FAE")=0,"",SUMIFS(tblDaily[Discharges],tblDaily[EntryDate],DATE(2026,6,15),tblDaily[WardCode],"FAE")),"")</f>
        <v/>
      </c>
      <c r="D216" s="12">
        <f>IFERROR(IF(SUMIFS(tblDaily[Deaths],tblDaily[EntryDate],DATE(2026,6,15),tblDaily[WardCode],"FAE")=0,"",SUMIFS(tblDaily[Deaths],tblDaily[EntryDate],DATE(2026,6,15),tblDaily[WardCode],"FAE")),"")</f>
        <v/>
      </c>
      <c r="E216" s="12">
        <f>IFERROR(IF(SUMIFS(tblDaily[DeathsUnder24Hrs],tblDaily[EntryDate],DATE(2026,6,15),tblDaily[WardCode],"FAE")=0,"",SUMIFS(tblDaily[DeathsUnder24Hrs],tblDaily[EntryDate],DATE(2026,6,15),tblDaily[WardCode],"FAE")),"")</f>
        <v/>
      </c>
      <c r="F216" s="12">
        <f>IFERROR(IF(SUMIFS(tblDaily[TransfersIn],tblDaily[EntryDate],DATE(2026,6,15),tblDaily[WardCode],"FAE")=0,"",SUMIFS(tblDaily[TransfersIn],tblDaily[EntryDate],DATE(2026,6,15),tblDaily[WardCode],"FAE")),"")</f>
        <v/>
      </c>
      <c r="G216" s="12">
        <f>IFERROR(IF(SUMIFS(tblDaily[TransfersOut],tblDaily[EntryDate],DATE(2026,6,15),tblDaily[WardCode],"FAE")=0,"",SUMIFS(tblDaily[TransfersOut],tblDaily[EntryDate],DATE(2026,6,15),tblDaily[WardCode],"FAE")),"")</f>
        <v/>
      </c>
      <c r="H216" s="12">
        <f>IFERROR(IF(SUMIFS(tblDaily[Remaining],tblDaily[EntryDate],DATE(2026,6,15),tblDaily[WardCode],"FAE")=0,"",SUMIFS(tblDaily[Remaining],tblDaily[EntryDate],DATE(2026,6,15),tblDaily[WardCode],"FAE")),"")</f>
        <v/>
      </c>
    </row>
    <row r="217">
      <c r="A217" s="12" t="n">
        <v>16</v>
      </c>
      <c r="B217" s="12">
        <f>IFERROR(IF(SUMIFS(tblDaily[Admissions],tblDaily[EntryDate],DATE(2026,6,16),tblDaily[WardCode],"FAE")=0,"",SUMIFS(tblDaily[Admissions],tblDaily[EntryDate],DATE(2026,6,16),tblDaily[WardCode],"FAE")),"")</f>
        <v/>
      </c>
      <c r="C217" s="12">
        <f>IFERROR(IF(SUMIFS(tblDaily[Discharges],tblDaily[EntryDate],DATE(2026,6,16),tblDaily[WardCode],"FAE")=0,"",SUMIFS(tblDaily[Discharges],tblDaily[EntryDate],DATE(2026,6,16),tblDaily[WardCode],"FAE")),"")</f>
        <v/>
      </c>
      <c r="D217" s="12">
        <f>IFERROR(IF(SUMIFS(tblDaily[Deaths],tblDaily[EntryDate],DATE(2026,6,16),tblDaily[WardCode],"FAE")=0,"",SUMIFS(tblDaily[Deaths],tblDaily[EntryDate],DATE(2026,6,16),tblDaily[WardCode],"FAE")),"")</f>
        <v/>
      </c>
      <c r="E217" s="12">
        <f>IFERROR(IF(SUMIFS(tblDaily[DeathsUnder24Hrs],tblDaily[EntryDate],DATE(2026,6,16),tblDaily[WardCode],"FAE")=0,"",SUMIFS(tblDaily[DeathsUnder24Hrs],tblDaily[EntryDate],DATE(2026,6,16),tblDaily[WardCode],"FAE")),"")</f>
        <v/>
      </c>
      <c r="F217" s="12">
        <f>IFERROR(IF(SUMIFS(tblDaily[TransfersIn],tblDaily[EntryDate],DATE(2026,6,16),tblDaily[WardCode],"FAE")=0,"",SUMIFS(tblDaily[TransfersIn],tblDaily[EntryDate],DATE(2026,6,16),tblDaily[WardCode],"FAE")),"")</f>
        <v/>
      </c>
      <c r="G217" s="12">
        <f>IFERROR(IF(SUMIFS(tblDaily[TransfersOut],tblDaily[EntryDate],DATE(2026,6,16),tblDaily[WardCode],"FAE")=0,"",SUMIFS(tblDaily[TransfersOut],tblDaily[EntryDate],DATE(2026,6,16),tblDaily[WardCode],"FAE")),"")</f>
        <v/>
      </c>
      <c r="H217" s="12">
        <f>IFERROR(IF(SUMIFS(tblDaily[Remaining],tblDaily[EntryDate],DATE(2026,6,16),tblDaily[WardCode],"FAE")=0,"",SUMIFS(tblDaily[Remaining],tblDaily[EntryDate],DATE(2026,6,16),tblDaily[WardCode],"FAE")),"")</f>
        <v/>
      </c>
    </row>
    <row r="218">
      <c r="A218" s="12" t="n">
        <v>17</v>
      </c>
      <c r="B218" s="12">
        <f>IFERROR(IF(SUMIFS(tblDaily[Admissions],tblDaily[EntryDate],DATE(2026,6,17),tblDaily[WardCode],"FAE")=0,"",SUMIFS(tblDaily[Admissions],tblDaily[EntryDate],DATE(2026,6,17),tblDaily[WardCode],"FAE")),"")</f>
        <v/>
      </c>
      <c r="C218" s="12">
        <f>IFERROR(IF(SUMIFS(tblDaily[Discharges],tblDaily[EntryDate],DATE(2026,6,17),tblDaily[WardCode],"FAE")=0,"",SUMIFS(tblDaily[Discharges],tblDaily[EntryDate],DATE(2026,6,17),tblDaily[WardCode],"FAE")),"")</f>
        <v/>
      </c>
      <c r="D218" s="12">
        <f>IFERROR(IF(SUMIFS(tblDaily[Deaths],tblDaily[EntryDate],DATE(2026,6,17),tblDaily[WardCode],"FAE")=0,"",SUMIFS(tblDaily[Deaths],tblDaily[EntryDate],DATE(2026,6,17),tblDaily[WardCode],"FAE")),"")</f>
        <v/>
      </c>
      <c r="E218" s="12">
        <f>IFERROR(IF(SUMIFS(tblDaily[DeathsUnder24Hrs],tblDaily[EntryDate],DATE(2026,6,17),tblDaily[WardCode],"FAE")=0,"",SUMIFS(tblDaily[DeathsUnder24Hrs],tblDaily[EntryDate],DATE(2026,6,17),tblDaily[WardCode],"FAE")),"")</f>
        <v/>
      </c>
      <c r="F218" s="12">
        <f>IFERROR(IF(SUMIFS(tblDaily[TransfersIn],tblDaily[EntryDate],DATE(2026,6,17),tblDaily[WardCode],"FAE")=0,"",SUMIFS(tblDaily[TransfersIn],tblDaily[EntryDate],DATE(2026,6,17),tblDaily[WardCode],"FAE")),"")</f>
        <v/>
      </c>
      <c r="G218" s="12">
        <f>IFERROR(IF(SUMIFS(tblDaily[TransfersOut],tblDaily[EntryDate],DATE(2026,6,17),tblDaily[WardCode],"FAE")=0,"",SUMIFS(tblDaily[TransfersOut],tblDaily[EntryDate],DATE(2026,6,17),tblDaily[WardCode],"FAE")),"")</f>
        <v/>
      </c>
      <c r="H218" s="12">
        <f>IFERROR(IF(SUMIFS(tblDaily[Remaining],tblDaily[EntryDate],DATE(2026,6,17),tblDaily[WardCode],"FAE")=0,"",SUMIFS(tblDaily[Remaining],tblDaily[EntryDate],DATE(2026,6,17),tblDaily[WardCode],"FAE")),"")</f>
        <v/>
      </c>
    </row>
    <row r="219">
      <c r="A219" s="12" t="n">
        <v>18</v>
      </c>
      <c r="B219" s="12">
        <f>IFERROR(IF(SUMIFS(tblDaily[Admissions],tblDaily[EntryDate],DATE(2026,6,18),tblDaily[WardCode],"FAE")=0,"",SUMIFS(tblDaily[Admissions],tblDaily[EntryDate],DATE(2026,6,18),tblDaily[WardCode],"FAE")),"")</f>
        <v/>
      </c>
      <c r="C219" s="12">
        <f>IFERROR(IF(SUMIFS(tblDaily[Discharges],tblDaily[EntryDate],DATE(2026,6,18),tblDaily[WardCode],"FAE")=0,"",SUMIFS(tblDaily[Discharges],tblDaily[EntryDate],DATE(2026,6,18),tblDaily[WardCode],"FAE")),"")</f>
        <v/>
      </c>
      <c r="D219" s="12">
        <f>IFERROR(IF(SUMIFS(tblDaily[Deaths],tblDaily[EntryDate],DATE(2026,6,18),tblDaily[WardCode],"FAE")=0,"",SUMIFS(tblDaily[Deaths],tblDaily[EntryDate],DATE(2026,6,18),tblDaily[WardCode],"FAE")),"")</f>
        <v/>
      </c>
      <c r="E219" s="12">
        <f>IFERROR(IF(SUMIFS(tblDaily[DeathsUnder24Hrs],tblDaily[EntryDate],DATE(2026,6,18),tblDaily[WardCode],"FAE")=0,"",SUMIFS(tblDaily[DeathsUnder24Hrs],tblDaily[EntryDate],DATE(2026,6,18),tblDaily[WardCode],"FAE")),"")</f>
        <v/>
      </c>
      <c r="F219" s="12">
        <f>IFERROR(IF(SUMIFS(tblDaily[TransfersIn],tblDaily[EntryDate],DATE(2026,6,18),tblDaily[WardCode],"FAE")=0,"",SUMIFS(tblDaily[TransfersIn],tblDaily[EntryDate],DATE(2026,6,18),tblDaily[WardCode],"FAE")),"")</f>
        <v/>
      </c>
      <c r="G219" s="12">
        <f>IFERROR(IF(SUMIFS(tblDaily[TransfersOut],tblDaily[EntryDate],DATE(2026,6,18),tblDaily[WardCode],"FAE")=0,"",SUMIFS(tblDaily[TransfersOut],tblDaily[EntryDate],DATE(2026,6,18),tblDaily[WardCode],"FAE")),"")</f>
        <v/>
      </c>
      <c r="H219" s="12">
        <f>IFERROR(IF(SUMIFS(tblDaily[Remaining],tblDaily[EntryDate],DATE(2026,6,18),tblDaily[WardCode],"FAE")=0,"",SUMIFS(tblDaily[Remaining],tblDaily[EntryDate],DATE(2026,6,18),tblDaily[WardCode],"FAE")),"")</f>
        <v/>
      </c>
    </row>
    <row r="220">
      <c r="A220" s="12" t="n">
        <v>19</v>
      </c>
      <c r="B220" s="12">
        <f>IFERROR(IF(SUMIFS(tblDaily[Admissions],tblDaily[EntryDate],DATE(2026,6,19),tblDaily[WardCode],"FAE")=0,"",SUMIFS(tblDaily[Admissions],tblDaily[EntryDate],DATE(2026,6,19),tblDaily[WardCode],"FAE")),"")</f>
        <v/>
      </c>
      <c r="C220" s="12">
        <f>IFERROR(IF(SUMIFS(tblDaily[Discharges],tblDaily[EntryDate],DATE(2026,6,19),tblDaily[WardCode],"FAE")=0,"",SUMIFS(tblDaily[Discharges],tblDaily[EntryDate],DATE(2026,6,19),tblDaily[WardCode],"FAE")),"")</f>
        <v/>
      </c>
      <c r="D220" s="12">
        <f>IFERROR(IF(SUMIFS(tblDaily[Deaths],tblDaily[EntryDate],DATE(2026,6,19),tblDaily[WardCode],"FAE")=0,"",SUMIFS(tblDaily[Deaths],tblDaily[EntryDate],DATE(2026,6,19),tblDaily[WardCode],"FAE")),"")</f>
        <v/>
      </c>
      <c r="E220" s="12">
        <f>IFERROR(IF(SUMIFS(tblDaily[DeathsUnder24Hrs],tblDaily[EntryDate],DATE(2026,6,19),tblDaily[WardCode],"FAE")=0,"",SUMIFS(tblDaily[DeathsUnder24Hrs],tblDaily[EntryDate],DATE(2026,6,19),tblDaily[WardCode],"FAE")),"")</f>
        <v/>
      </c>
      <c r="F220" s="12">
        <f>IFERROR(IF(SUMIFS(tblDaily[TransfersIn],tblDaily[EntryDate],DATE(2026,6,19),tblDaily[WardCode],"FAE")=0,"",SUMIFS(tblDaily[TransfersIn],tblDaily[EntryDate],DATE(2026,6,19),tblDaily[WardCode],"FAE")),"")</f>
        <v/>
      </c>
      <c r="G220" s="12">
        <f>IFERROR(IF(SUMIFS(tblDaily[TransfersOut],tblDaily[EntryDate],DATE(2026,6,19),tblDaily[WardCode],"FAE")=0,"",SUMIFS(tblDaily[TransfersOut],tblDaily[EntryDate],DATE(2026,6,19),tblDaily[WardCode],"FAE")),"")</f>
        <v/>
      </c>
      <c r="H220" s="12">
        <f>IFERROR(IF(SUMIFS(tblDaily[Remaining],tblDaily[EntryDate],DATE(2026,6,19),tblDaily[WardCode],"FAE")=0,"",SUMIFS(tblDaily[Remaining],tblDaily[EntryDate],DATE(2026,6,19),tblDaily[WardCode],"FAE")),"")</f>
        <v/>
      </c>
    </row>
    <row r="221">
      <c r="A221" s="12" t="n">
        <v>20</v>
      </c>
      <c r="B221" s="12">
        <f>IFERROR(IF(SUMIFS(tblDaily[Admissions],tblDaily[EntryDate],DATE(2026,6,20),tblDaily[WardCode],"FAE")=0,"",SUMIFS(tblDaily[Admissions],tblDaily[EntryDate],DATE(2026,6,20),tblDaily[WardCode],"FAE")),"")</f>
        <v/>
      </c>
      <c r="C221" s="12">
        <f>IFERROR(IF(SUMIFS(tblDaily[Discharges],tblDaily[EntryDate],DATE(2026,6,20),tblDaily[WardCode],"FAE")=0,"",SUMIFS(tblDaily[Discharges],tblDaily[EntryDate],DATE(2026,6,20),tblDaily[WardCode],"FAE")),"")</f>
        <v/>
      </c>
      <c r="D221" s="12">
        <f>IFERROR(IF(SUMIFS(tblDaily[Deaths],tblDaily[EntryDate],DATE(2026,6,20),tblDaily[WardCode],"FAE")=0,"",SUMIFS(tblDaily[Deaths],tblDaily[EntryDate],DATE(2026,6,20),tblDaily[WardCode],"FAE")),"")</f>
        <v/>
      </c>
      <c r="E221" s="12">
        <f>IFERROR(IF(SUMIFS(tblDaily[DeathsUnder24Hrs],tblDaily[EntryDate],DATE(2026,6,20),tblDaily[WardCode],"FAE")=0,"",SUMIFS(tblDaily[DeathsUnder24Hrs],tblDaily[EntryDate],DATE(2026,6,20),tblDaily[WardCode],"FAE")),"")</f>
        <v/>
      </c>
      <c r="F221" s="12">
        <f>IFERROR(IF(SUMIFS(tblDaily[TransfersIn],tblDaily[EntryDate],DATE(2026,6,20),tblDaily[WardCode],"FAE")=0,"",SUMIFS(tblDaily[TransfersIn],tblDaily[EntryDate],DATE(2026,6,20),tblDaily[WardCode],"FAE")),"")</f>
        <v/>
      </c>
      <c r="G221" s="12">
        <f>IFERROR(IF(SUMIFS(tblDaily[TransfersOut],tblDaily[EntryDate],DATE(2026,6,20),tblDaily[WardCode],"FAE")=0,"",SUMIFS(tblDaily[TransfersOut],tblDaily[EntryDate],DATE(2026,6,20),tblDaily[WardCode],"FAE")),"")</f>
        <v/>
      </c>
      <c r="H221" s="12">
        <f>IFERROR(IF(SUMIFS(tblDaily[Remaining],tblDaily[EntryDate],DATE(2026,6,20),tblDaily[WardCode],"FAE")=0,"",SUMIFS(tblDaily[Remaining],tblDaily[EntryDate],DATE(2026,6,20),tblDaily[WardCode],"FAE")),"")</f>
        <v/>
      </c>
    </row>
    <row r="222">
      <c r="A222" s="12" t="n">
        <v>21</v>
      </c>
      <c r="B222" s="12">
        <f>IFERROR(IF(SUMIFS(tblDaily[Admissions],tblDaily[EntryDate],DATE(2026,6,21),tblDaily[WardCode],"FAE")=0,"",SUMIFS(tblDaily[Admissions],tblDaily[EntryDate],DATE(2026,6,21),tblDaily[WardCode],"FAE")),"")</f>
        <v/>
      </c>
      <c r="C222" s="12">
        <f>IFERROR(IF(SUMIFS(tblDaily[Discharges],tblDaily[EntryDate],DATE(2026,6,21),tblDaily[WardCode],"FAE")=0,"",SUMIFS(tblDaily[Discharges],tblDaily[EntryDate],DATE(2026,6,21),tblDaily[WardCode],"FAE")),"")</f>
        <v/>
      </c>
      <c r="D222" s="12">
        <f>IFERROR(IF(SUMIFS(tblDaily[Deaths],tblDaily[EntryDate],DATE(2026,6,21),tblDaily[WardCode],"FAE")=0,"",SUMIFS(tblDaily[Deaths],tblDaily[EntryDate],DATE(2026,6,21),tblDaily[WardCode],"FAE")),"")</f>
        <v/>
      </c>
      <c r="E222" s="12">
        <f>IFERROR(IF(SUMIFS(tblDaily[DeathsUnder24Hrs],tblDaily[EntryDate],DATE(2026,6,21),tblDaily[WardCode],"FAE")=0,"",SUMIFS(tblDaily[DeathsUnder24Hrs],tblDaily[EntryDate],DATE(2026,6,21),tblDaily[WardCode],"FAE")),"")</f>
        <v/>
      </c>
      <c r="F222" s="12">
        <f>IFERROR(IF(SUMIFS(tblDaily[TransfersIn],tblDaily[EntryDate],DATE(2026,6,21),tblDaily[WardCode],"FAE")=0,"",SUMIFS(tblDaily[TransfersIn],tblDaily[EntryDate],DATE(2026,6,21),tblDaily[WardCode],"FAE")),"")</f>
        <v/>
      </c>
      <c r="G222" s="12">
        <f>IFERROR(IF(SUMIFS(tblDaily[TransfersOut],tblDaily[EntryDate],DATE(2026,6,21),tblDaily[WardCode],"FAE")=0,"",SUMIFS(tblDaily[TransfersOut],tblDaily[EntryDate],DATE(2026,6,21),tblDaily[WardCode],"FAE")),"")</f>
        <v/>
      </c>
      <c r="H222" s="12">
        <f>IFERROR(IF(SUMIFS(tblDaily[Remaining],tblDaily[EntryDate],DATE(2026,6,21),tblDaily[WardCode],"FAE")=0,"",SUMIFS(tblDaily[Remaining],tblDaily[EntryDate],DATE(2026,6,21),tblDaily[WardCode],"FAE")),"")</f>
        <v/>
      </c>
    </row>
    <row r="223">
      <c r="A223" s="12" t="n">
        <v>22</v>
      </c>
      <c r="B223" s="12">
        <f>IFERROR(IF(SUMIFS(tblDaily[Admissions],tblDaily[EntryDate],DATE(2026,6,22),tblDaily[WardCode],"FAE")=0,"",SUMIFS(tblDaily[Admissions],tblDaily[EntryDate],DATE(2026,6,22),tblDaily[WardCode],"FAE")),"")</f>
        <v/>
      </c>
      <c r="C223" s="12">
        <f>IFERROR(IF(SUMIFS(tblDaily[Discharges],tblDaily[EntryDate],DATE(2026,6,22),tblDaily[WardCode],"FAE")=0,"",SUMIFS(tblDaily[Discharges],tblDaily[EntryDate],DATE(2026,6,22),tblDaily[WardCode],"FAE")),"")</f>
        <v/>
      </c>
      <c r="D223" s="12">
        <f>IFERROR(IF(SUMIFS(tblDaily[Deaths],tblDaily[EntryDate],DATE(2026,6,22),tblDaily[WardCode],"FAE")=0,"",SUMIFS(tblDaily[Deaths],tblDaily[EntryDate],DATE(2026,6,22),tblDaily[WardCode],"FAE")),"")</f>
        <v/>
      </c>
      <c r="E223" s="12">
        <f>IFERROR(IF(SUMIFS(tblDaily[DeathsUnder24Hrs],tblDaily[EntryDate],DATE(2026,6,22),tblDaily[WardCode],"FAE")=0,"",SUMIFS(tblDaily[DeathsUnder24Hrs],tblDaily[EntryDate],DATE(2026,6,22),tblDaily[WardCode],"FAE")),"")</f>
        <v/>
      </c>
      <c r="F223" s="12">
        <f>IFERROR(IF(SUMIFS(tblDaily[TransfersIn],tblDaily[EntryDate],DATE(2026,6,22),tblDaily[WardCode],"FAE")=0,"",SUMIFS(tblDaily[TransfersIn],tblDaily[EntryDate],DATE(2026,6,22),tblDaily[WardCode],"FAE")),"")</f>
        <v/>
      </c>
      <c r="G223" s="12">
        <f>IFERROR(IF(SUMIFS(tblDaily[TransfersOut],tblDaily[EntryDate],DATE(2026,6,22),tblDaily[WardCode],"FAE")=0,"",SUMIFS(tblDaily[TransfersOut],tblDaily[EntryDate],DATE(2026,6,22),tblDaily[WardCode],"FAE")),"")</f>
        <v/>
      </c>
      <c r="H223" s="12">
        <f>IFERROR(IF(SUMIFS(tblDaily[Remaining],tblDaily[EntryDate],DATE(2026,6,22),tblDaily[WardCode],"FAE")=0,"",SUMIFS(tblDaily[Remaining],tblDaily[EntryDate],DATE(2026,6,22),tblDaily[WardCode],"FAE")),"")</f>
        <v/>
      </c>
    </row>
    <row r="224">
      <c r="A224" s="12" t="n">
        <v>23</v>
      </c>
      <c r="B224" s="12">
        <f>IFERROR(IF(SUMIFS(tblDaily[Admissions],tblDaily[EntryDate],DATE(2026,6,23),tblDaily[WardCode],"FAE")=0,"",SUMIFS(tblDaily[Admissions],tblDaily[EntryDate],DATE(2026,6,23),tblDaily[WardCode],"FAE")),"")</f>
        <v/>
      </c>
      <c r="C224" s="12">
        <f>IFERROR(IF(SUMIFS(tblDaily[Discharges],tblDaily[EntryDate],DATE(2026,6,23),tblDaily[WardCode],"FAE")=0,"",SUMIFS(tblDaily[Discharges],tblDaily[EntryDate],DATE(2026,6,23),tblDaily[WardCode],"FAE")),"")</f>
        <v/>
      </c>
      <c r="D224" s="12">
        <f>IFERROR(IF(SUMIFS(tblDaily[Deaths],tblDaily[EntryDate],DATE(2026,6,23),tblDaily[WardCode],"FAE")=0,"",SUMIFS(tblDaily[Deaths],tblDaily[EntryDate],DATE(2026,6,23),tblDaily[WardCode],"FAE")),"")</f>
        <v/>
      </c>
      <c r="E224" s="12">
        <f>IFERROR(IF(SUMIFS(tblDaily[DeathsUnder24Hrs],tblDaily[EntryDate],DATE(2026,6,23),tblDaily[WardCode],"FAE")=0,"",SUMIFS(tblDaily[DeathsUnder24Hrs],tblDaily[EntryDate],DATE(2026,6,23),tblDaily[WardCode],"FAE")),"")</f>
        <v/>
      </c>
      <c r="F224" s="12">
        <f>IFERROR(IF(SUMIFS(tblDaily[TransfersIn],tblDaily[EntryDate],DATE(2026,6,23),tblDaily[WardCode],"FAE")=0,"",SUMIFS(tblDaily[TransfersIn],tblDaily[EntryDate],DATE(2026,6,23),tblDaily[WardCode],"FAE")),"")</f>
        <v/>
      </c>
      <c r="G224" s="12">
        <f>IFERROR(IF(SUMIFS(tblDaily[TransfersOut],tblDaily[EntryDate],DATE(2026,6,23),tblDaily[WardCode],"FAE")=0,"",SUMIFS(tblDaily[TransfersOut],tblDaily[EntryDate],DATE(2026,6,23),tblDaily[WardCode],"FAE")),"")</f>
        <v/>
      </c>
      <c r="H224" s="12">
        <f>IFERROR(IF(SUMIFS(tblDaily[Remaining],tblDaily[EntryDate],DATE(2026,6,23),tblDaily[WardCode],"FAE")=0,"",SUMIFS(tblDaily[Remaining],tblDaily[EntryDate],DATE(2026,6,23),tblDaily[WardCode],"FAE")),"")</f>
        <v/>
      </c>
    </row>
    <row r="225">
      <c r="A225" s="12" t="n">
        <v>24</v>
      </c>
      <c r="B225" s="12">
        <f>IFERROR(IF(SUMIFS(tblDaily[Admissions],tblDaily[EntryDate],DATE(2026,6,24),tblDaily[WardCode],"FAE")=0,"",SUMIFS(tblDaily[Admissions],tblDaily[EntryDate],DATE(2026,6,24),tblDaily[WardCode],"FAE")),"")</f>
        <v/>
      </c>
      <c r="C225" s="12">
        <f>IFERROR(IF(SUMIFS(tblDaily[Discharges],tblDaily[EntryDate],DATE(2026,6,24),tblDaily[WardCode],"FAE")=0,"",SUMIFS(tblDaily[Discharges],tblDaily[EntryDate],DATE(2026,6,24),tblDaily[WardCode],"FAE")),"")</f>
        <v/>
      </c>
      <c r="D225" s="12">
        <f>IFERROR(IF(SUMIFS(tblDaily[Deaths],tblDaily[EntryDate],DATE(2026,6,24),tblDaily[WardCode],"FAE")=0,"",SUMIFS(tblDaily[Deaths],tblDaily[EntryDate],DATE(2026,6,24),tblDaily[WardCode],"FAE")),"")</f>
        <v/>
      </c>
      <c r="E225" s="12">
        <f>IFERROR(IF(SUMIFS(tblDaily[DeathsUnder24Hrs],tblDaily[EntryDate],DATE(2026,6,24),tblDaily[WardCode],"FAE")=0,"",SUMIFS(tblDaily[DeathsUnder24Hrs],tblDaily[EntryDate],DATE(2026,6,24),tblDaily[WardCode],"FAE")),"")</f>
        <v/>
      </c>
      <c r="F225" s="12">
        <f>IFERROR(IF(SUMIFS(tblDaily[TransfersIn],tblDaily[EntryDate],DATE(2026,6,24),tblDaily[WardCode],"FAE")=0,"",SUMIFS(tblDaily[TransfersIn],tblDaily[EntryDate],DATE(2026,6,24),tblDaily[WardCode],"FAE")),"")</f>
        <v/>
      </c>
      <c r="G225" s="12">
        <f>IFERROR(IF(SUMIFS(tblDaily[TransfersOut],tblDaily[EntryDate],DATE(2026,6,24),tblDaily[WardCode],"FAE")=0,"",SUMIFS(tblDaily[TransfersOut],tblDaily[EntryDate],DATE(2026,6,24),tblDaily[WardCode],"FAE")),"")</f>
        <v/>
      </c>
      <c r="H225" s="12">
        <f>IFERROR(IF(SUMIFS(tblDaily[Remaining],tblDaily[EntryDate],DATE(2026,6,24),tblDaily[WardCode],"FAE")=0,"",SUMIFS(tblDaily[Remaining],tblDaily[EntryDate],DATE(2026,6,24),tblDaily[WardCode],"FAE")),"")</f>
        <v/>
      </c>
    </row>
    <row r="226">
      <c r="A226" s="12" t="n">
        <v>25</v>
      </c>
      <c r="B226" s="12">
        <f>IFERROR(IF(SUMIFS(tblDaily[Admissions],tblDaily[EntryDate],DATE(2026,6,25),tblDaily[WardCode],"FAE")=0,"",SUMIFS(tblDaily[Admissions],tblDaily[EntryDate],DATE(2026,6,25),tblDaily[WardCode],"FAE")),"")</f>
        <v/>
      </c>
      <c r="C226" s="12">
        <f>IFERROR(IF(SUMIFS(tblDaily[Discharges],tblDaily[EntryDate],DATE(2026,6,25),tblDaily[WardCode],"FAE")=0,"",SUMIFS(tblDaily[Discharges],tblDaily[EntryDate],DATE(2026,6,25),tblDaily[WardCode],"FAE")),"")</f>
        <v/>
      </c>
      <c r="D226" s="12">
        <f>IFERROR(IF(SUMIFS(tblDaily[Deaths],tblDaily[EntryDate],DATE(2026,6,25),tblDaily[WardCode],"FAE")=0,"",SUMIFS(tblDaily[Deaths],tblDaily[EntryDate],DATE(2026,6,25),tblDaily[WardCode],"FAE")),"")</f>
        <v/>
      </c>
      <c r="E226" s="12">
        <f>IFERROR(IF(SUMIFS(tblDaily[DeathsUnder24Hrs],tblDaily[EntryDate],DATE(2026,6,25),tblDaily[WardCode],"FAE")=0,"",SUMIFS(tblDaily[DeathsUnder24Hrs],tblDaily[EntryDate],DATE(2026,6,25),tblDaily[WardCode],"FAE")),"")</f>
        <v/>
      </c>
      <c r="F226" s="12">
        <f>IFERROR(IF(SUMIFS(tblDaily[TransfersIn],tblDaily[EntryDate],DATE(2026,6,25),tblDaily[WardCode],"FAE")=0,"",SUMIFS(tblDaily[TransfersIn],tblDaily[EntryDate],DATE(2026,6,25),tblDaily[WardCode],"FAE")),"")</f>
        <v/>
      </c>
      <c r="G226" s="12">
        <f>IFERROR(IF(SUMIFS(tblDaily[TransfersOut],tblDaily[EntryDate],DATE(2026,6,25),tblDaily[WardCode],"FAE")=0,"",SUMIFS(tblDaily[TransfersOut],tblDaily[EntryDate],DATE(2026,6,25),tblDaily[WardCode],"FAE")),"")</f>
        <v/>
      </c>
      <c r="H226" s="12">
        <f>IFERROR(IF(SUMIFS(tblDaily[Remaining],tblDaily[EntryDate],DATE(2026,6,25),tblDaily[WardCode],"FAE")=0,"",SUMIFS(tblDaily[Remaining],tblDaily[EntryDate],DATE(2026,6,25),tblDaily[WardCode],"FAE")),"")</f>
        <v/>
      </c>
    </row>
    <row r="227">
      <c r="A227" s="12" t="n">
        <v>26</v>
      </c>
      <c r="B227" s="12">
        <f>IFERROR(IF(SUMIFS(tblDaily[Admissions],tblDaily[EntryDate],DATE(2026,6,26),tblDaily[WardCode],"FAE")=0,"",SUMIFS(tblDaily[Admissions],tblDaily[EntryDate],DATE(2026,6,26),tblDaily[WardCode],"FAE")),"")</f>
        <v/>
      </c>
      <c r="C227" s="12">
        <f>IFERROR(IF(SUMIFS(tblDaily[Discharges],tblDaily[EntryDate],DATE(2026,6,26),tblDaily[WardCode],"FAE")=0,"",SUMIFS(tblDaily[Discharges],tblDaily[EntryDate],DATE(2026,6,26),tblDaily[WardCode],"FAE")),"")</f>
        <v/>
      </c>
      <c r="D227" s="12">
        <f>IFERROR(IF(SUMIFS(tblDaily[Deaths],tblDaily[EntryDate],DATE(2026,6,26),tblDaily[WardCode],"FAE")=0,"",SUMIFS(tblDaily[Deaths],tblDaily[EntryDate],DATE(2026,6,26),tblDaily[WardCode],"FAE")),"")</f>
        <v/>
      </c>
      <c r="E227" s="12">
        <f>IFERROR(IF(SUMIFS(tblDaily[DeathsUnder24Hrs],tblDaily[EntryDate],DATE(2026,6,26),tblDaily[WardCode],"FAE")=0,"",SUMIFS(tblDaily[DeathsUnder24Hrs],tblDaily[EntryDate],DATE(2026,6,26),tblDaily[WardCode],"FAE")),"")</f>
        <v/>
      </c>
      <c r="F227" s="12">
        <f>IFERROR(IF(SUMIFS(tblDaily[TransfersIn],tblDaily[EntryDate],DATE(2026,6,26),tblDaily[WardCode],"FAE")=0,"",SUMIFS(tblDaily[TransfersIn],tblDaily[EntryDate],DATE(2026,6,26),tblDaily[WardCode],"FAE")),"")</f>
        <v/>
      </c>
      <c r="G227" s="12">
        <f>IFERROR(IF(SUMIFS(tblDaily[TransfersOut],tblDaily[EntryDate],DATE(2026,6,26),tblDaily[WardCode],"FAE")=0,"",SUMIFS(tblDaily[TransfersOut],tblDaily[EntryDate],DATE(2026,6,26),tblDaily[WardCode],"FAE")),"")</f>
        <v/>
      </c>
      <c r="H227" s="12">
        <f>IFERROR(IF(SUMIFS(tblDaily[Remaining],tblDaily[EntryDate],DATE(2026,6,26),tblDaily[WardCode],"FAE")=0,"",SUMIFS(tblDaily[Remaining],tblDaily[EntryDate],DATE(2026,6,26),tblDaily[WardCode],"FAE")),"")</f>
        <v/>
      </c>
    </row>
    <row r="228">
      <c r="A228" s="12" t="n">
        <v>27</v>
      </c>
      <c r="B228" s="12">
        <f>IFERROR(IF(SUMIFS(tblDaily[Admissions],tblDaily[EntryDate],DATE(2026,6,27),tblDaily[WardCode],"FAE")=0,"",SUMIFS(tblDaily[Admissions],tblDaily[EntryDate],DATE(2026,6,27),tblDaily[WardCode],"FAE")),"")</f>
        <v/>
      </c>
      <c r="C228" s="12">
        <f>IFERROR(IF(SUMIFS(tblDaily[Discharges],tblDaily[EntryDate],DATE(2026,6,27),tblDaily[WardCode],"FAE")=0,"",SUMIFS(tblDaily[Discharges],tblDaily[EntryDate],DATE(2026,6,27),tblDaily[WardCode],"FAE")),"")</f>
        <v/>
      </c>
      <c r="D228" s="12">
        <f>IFERROR(IF(SUMIFS(tblDaily[Deaths],tblDaily[EntryDate],DATE(2026,6,27),tblDaily[WardCode],"FAE")=0,"",SUMIFS(tblDaily[Deaths],tblDaily[EntryDate],DATE(2026,6,27),tblDaily[WardCode],"FAE")),"")</f>
        <v/>
      </c>
      <c r="E228" s="12">
        <f>IFERROR(IF(SUMIFS(tblDaily[DeathsUnder24Hrs],tblDaily[EntryDate],DATE(2026,6,27),tblDaily[WardCode],"FAE")=0,"",SUMIFS(tblDaily[DeathsUnder24Hrs],tblDaily[EntryDate],DATE(2026,6,27),tblDaily[WardCode],"FAE")),"")</f>
        <v/>
      </c>
      <c r="F228" s="12">
        <f>IFERROR(IF(SUMIFS(tblDaily[TransfersIn],tblDaily[EntryDate],DATE(2026,6,27),tblDaily[WardCode],"FAE")=0,"",SUMIFS(tblDaily[TransfersIn],tblDaily[EntryDate],DATE(2026,6,27),tblDaily[WardCode],"FAE")),"")</f>
        <v/>
      </c>
      <c r="G228" s="12">
        <f>IFERROR(IF(SUMIFS(tblDaily[TransfersOut],tblDaily[EntryDate],DATE(2026,6,27),tblDaily[WardCode],"FAE")=0,"",SUMIFS(tblDaily[TransfersOut],tblDaily[EntryDate],DATE(2026,6,27),tblDaily[WardCode],"FAE")),"")</f>
        <v/>
      </c>
      <c r="H228" s="12">
        <f>IFERROR(IF(SUMIFS(tblDaily[Remaining],tblDaily[EntryDate],DATE(2026,6,27),tblDaily[WardCode],"FAE")=0,"",SUMIFS(tblDaily[Remaining],tblDaily[EntryDate],DATE(2026,6,27),tblDaily[WardCode],"FAE")),"")</f>
        <v/>
      </c>
    </row>
    <row r="229">
      <c r="A229" s="12" t="n">
        <v>28</v>
      </c>
      <c r="B229" s="12">
        <f>IFERROR(IF(SUMIFS(tblDaily[Admissions],tblDaily[EntryDate],DATE(2026,6,28),tblDaily[WardCode],"FAE")=0,"",SUMIFS(tblDaily[Admissions],tblDaily[EntryDate],DATE(2026,6,28),tblDaily[WardCode],"FAE")),"")</f>
        <v/>
      </c>
      <c r="C229" s="12">
        <f>IFERROR(IF(SUMIFS(tblDaily[Discharges],tblDaily[EntryDate],DATE(2026,6,28),tblDaily[WardCode],"FAE")=0,"",SUMIFS(tblDaily[Discharges],tblDaily[EntryDate],DATE(2026,6,28),tblDaily[WardCode],"FAE")),"")</f>
        <v/>
      </c>
      <c r="D229" s="12">
        <f>IFERROR(IF(SUMIFS(tblDaily[Deaths],tblDaily[EntryDate],DATE(2026,6,28),tblDaily[WardCode],"FAE")=0,"",SUMIFS(tblDaily[Deaths],tblDaily[EntryDate],DATE(2026,6,28),tblDaily[WardCode],"FAE")),"")</f>
        <v/>
      </c>
      <c r="E229" s="12">
        <f>IFERROR(IF(SUMIFS(tblDaily[DeathsUnder24Hrs],tblDaily[EntryDate],DATE(2026,6,28),tblDaily[WardCode],"FAE")=0,"",SUMIFS(tblDaily[DeathsUnder24Hrs],tblDaily[EntryDate],DATE(2026,6,28),tblDaily[WardCode],"FAE")),"")</f>
        <v/>
      </c>
      <c r="F229" s="12">
        <f>IFERROR(IF(SUMIFS(tblDaily[TransfersIn],tblDaily[EntryDate],DATE(2026,6,28),tblDaily[WardCode],"FAE")=0,"",SUMIFS(tblDaily[TransfersIn],tblDaily[EntryDate],DATE(2026,6,28),tblDaily[WardCode],"FAE")),"")</f>
        <v/>
      </c>
      <c r="G229" s="12">
        <f>IFERROR(IF(SUMIFS(tblDaily[TransfersOut],tblDaily[EntryDate],DATE(2026,6,28),tblDaily[WardCode],"FAE")=0,"",SUMIFS(tblDaily[TransfersOut],tblDaily[EntryDate],DATE(2026,6,28),tblDaily[WardCode],"FAE")),"")</f>
        <v/>
      </c>
      <c r="H229" s="12">
        <f>IFERROR(IF(SUMIFS(tblDaily[Remaining],tblDaily[EntryDate],DATE(2026,6,28),tblDaily[WardCode],"FAE")=0,"",SUMIFS(tblDaily[Remaining],tblDaily[EntryDate],DATE(2026,6,28),tblDaily[WardCode],"FAE")),"")</f>
        <v/>
      </c>
    </row>
    <row r="230">
      <c r="A230" s="12" t="n">
        <v>29</v>
      </c>
      <c r="B230" s="12">
        <f>IFERROR(IF(SUMIFS(tblDaily[Admissions],tblDaily[EntryDate],DATE(2026,6,29),tblDaily[WardCode],"FAE")=0,"",SUMIFS(tblDaily[Admissions],tblDaily[EntryDate],DATE(2026,6,29),tblDaily[WardCode],"FAE")),"")</f>
        <v/>
      </c>
      <c r="C230" s="12">
        <f>IFERROR(IF(SUMIFS(tblDaily[Discharges],tblDaily[EntryDate],DATE(2026,6,29),tblDaily[WardCode],"FAE")=0,"",SUMIFS(tblDaily[Discharges],tblDaily[EntryDate],DATE(2026,6,29),tblDaily[WardCode],"FAE")),"")</f>
        <v/>
      </c>
      <c r="D230" s="12">
        <f>IFERROR(IF(SUMIFS(tblDaily[Deaths],tblDaily[EntryDate],DATE(2026,6,29),tblDaily[WardCode],"FAE")=0,"",SUMIFS(tblDaily[Deaths],tblDaily[EntryDate],DATE(2026,6,29),tblDaily[WardCode],"FAE")),"")</f>
        <v/>
      </c>
      <c r="E230" s="12">
        <f>IFERROR(IF(SUMIFS(tblDaily[DeathsUnder24Hrs],tblDaily[EntryDate],DATE(2026,6,29),tblDaily[WardCode],"FAE")=0,"",SUMIFS(tblDaily[DeathsUnder24Hrs],tblDaily[EntryDate],DATE(2026,6,29),tblDaily[WardCode],"FAE")),"")</f>
        <v/>
      </c>
      <c r="F230" s="12">
        <f>IFERROR(IF(SUMIFS(tblDaily[TransfersIn],tblDaily[EntryDate],DATE(2026,6,29),tblDaily[WardCode],"FAE")=0,"",SUMIFS(tblDaily[TransfersIn],tblDaily[EntryDate],DATE(2026,6,29),tblDaily[WardCode],"FAE")),"")</f>
        <v/>
      </c>
      <c r="G230" s="12">
        <f>IFERROR(IF(SUMIFS(tblDaily[TransfersOut],tblDaily[EntryDate],DATE(2026,6,29),tblDaily[WardCode],"FAE")=0,"",SUMIFS(tblDaily[TransfersOut],tblDaily[EntryDate],DATE(2026,6,29),tblDaily[WardCode],"FAE")),"")</f>
        <v/>
      </c>
      <c r="H230" s="12">
        <f>IFERROR(IF(SUMIFS(tblDaily[Remaining],tblDaily[EntryDate],DATE(2026,6,29),tblDaily[WardCode],"FAE")=0,"",SUMIFS(tblDaily[Remaining],tblDaily[EntryDate],DATE(2026,6,29),tblDaily[WardCode],"FAE")),"")</f>
        <v/>
      </c>
    </row>
    <row r="231">
      <c r="A231" s="12" t="n">
        <v>30</v>
      </c>
      <c r="B231" s="12">
        <f>IFERROR(IF(SUMIFS(tblDaily[Admissions],tblDaily[EntryDate],DATE(2026,6,30),tblDaily[WardCode],"FAE")=0,"",SUMIFS(tblDaily[Admissions],tblDaily[EntryDate],DATE(2026,6,30),tblDaily[WardCode],"FAE")),"")</f>
        <v/>
      </c>
      <c r="C231" s="12">
        <f>IFERROR(IF(SUMIFS(tblDaily[Discharges],tblDaily[EntryDate],DATE(2026,6,30),tblDaily[WardCode],"FAE")=0,"",SUMIFS(tblDaily[Discharges],tblDaily[EntryDate],DATE(2026,6,30),tblDaily[WardCode],"FAE")),"")</f>
        <v/>
      </c>
      <c r="D231" s="12">
        <f>IFERROR(IF(SUMIFS(tblDaily[Deaths],tblDaily[EntryDate],DATE(2026,6,30),tblDaily[WardCode],"FAE")=0,"",SUMIFS(tblDaily[Deaths],tblDaily[EntryDate],DATE(2026,6,30),tblDaily[WardCode],"FAE")),"")</f>
        <v/>
      </c>
      <c r="E231" s="12">
        <f>IFERROR(IF(SUMIFS(tblDaily[DeathsUnder24Hrs],tblDaily[EntryDate],DATE(2026,6,30),tblDaily[WardCode],"FAE")=0,"",SUMIFS(tblDaily[DeathsUnder24Hrs],tblDaily[EntryDate],DATE(2026,6,30),tblDaily[WardCode],"FAE")),"")</f>
        <v/>
      </c>
      <c r="F231" s="12">
        <f>IFERROR(IF(SUMIFS(tblDaily[TransfersIn],tblDaily[EntryDate],DATE(2026,6,30),tblDaily[WardCode],"FAE")=0,"",SUMIFS(tblDaily[TransfersIn],tblDaily[EntryDate],DATE(2026,6,30),tblDaily[WardCode],"FAE")),"")</f>
        <v/>
      </c>
      <c r="G231" s="12">
        <f>IFERROR(IF(SUMIFS(tblDaily[TransfersOut],tblDaily[EntryDate],DATE(2026,6,30),tblDaily[WardCode],"FAE")=0,"",SUMIFS(tblDaily[TransfersOut],tblDaily[EntryDate],DATE(2026,6,30),tblDaily[WardCode],"FAE")),"")</f>
        <v/>
      </c>
      <c r="H231" s="12">
        <f>IFERROR(IF(SUMIFS(tblDaily[Remaining],tblDaily[EntryDate],DATE(2026,6,30),tblDaily[WardCode],"FAE")=0,"",SUMIFS(tblDaily[Remaining],tblDaily[EntryDate],DATE(2026,6,30),tblDaily[WardCode],"FAE")),"")</f>
        <v/>
      </c>
    </row>
    <row r="232">
      <c r="A232" s="12" t="n">
        <v>31</v>
      </c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7" t="inlineStr">
        <is>
          <t>TOTAL</t>
        </is>
      </c>
      <c r="B233" s="17">
        <f>SUMIFS(tblDaily[Admissions],tblDaily[Month],6,tblDaily[WardCode],"FAE") - SUMIFS(tblDaily[DeathsUnder24Hrs],tblDaily[Month],6,tblDaily[WardCode],"FAE")</f>
        <v/>
      </c>
      <c r="C233" s="17">
        <f>SUMIFS(tblDaily[Discharges],tblDaily[Month],6,tblDaily[WardCode],"FAE")</f>
        <v/>
      </c>
      <c r="D233" s="17">
        <f>SUMIFS(tblDaily[Deaths],tblDaily[Month],6,tblDaily[WardCode],"FAE")</f>
        <v/>
      </c>
      <c r="E233" s="17">
        <f>SUMIFS(tblDaily[DeathsUnder24Hrs],tblDaily[Month],6,tblDaily[WardCode],"FAE")</f>
        <v/>
      </c>
      <c r="F233" s="17">
        <f>SUMIFS(tblDaily[TransfersIn],tblDaily[Month],6,tblDaily[WardCode],"FAE")</f>
        <v/>
      </c>
      <c r="G233" s="17">
        <f>SUMIFS(tblDaily[TransfersOut],tblDaily[Month],6,tblDaily[WardCode],"FAE")</f>
        <v/>
      </c>
      <c r="H233" s="17">
        <f>SUMIFS(tblDaily[Remaining],tblDaily[Month],6,tblDaily[WardCode],"FAE")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FEMALE EMERGENCY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4">
        <f>IFERROR(SUMIFS(tblDaily[Remaining],tblDaily[EntryDate],DATE(2026,6,30),tblDaily[WardCode],"FAE"),0)</f>
        <v/>
      </c>
    </row>
    <row r="239">
      <c r="A239" s="4" t="inlineStr">
        <is>
          <t>Bed complement</t>
        </is>
      </c>
      <c r="H239" s="15">
        <f>IFERROR(INDEX(tblWardConfig[BedComplement],MATCH("FAE",tblWardConfig[WardCode],0)),0)</f>
        <v/>
      </c>
    </row>
    <row r="240">
      <c r="A240" s="16" t="inlineStr">
        <is>
          <t>Day of
the
Month</t>
        </is>
      </c>
      <c r="B240" s="16" t="inlineStr">
        <is>
          <t>Admissions</t>
        </is>
      </c>
      <c r="C240" s="16" t="inlineStr">
        <is>
          <t>Discharges</t>
        </is>
      </c>
      <c r="D240" s="16" t="inlineStr">
        <is>
          <t>Deaths</t>
        </is>
      </c>
      <c r="E240" s="16" t="inlineStr">
        <is>
          <t>Deaths
&lt;24Hrs</t>
        </is>
      </c>
      <c r="F240" s="16" t="inlineStr">
        <is>
          <t>Transfers-
In</t>
        </is>
      </c>
      <c r="G240" s="16" t="inlineStr">
        <is>
          <t>Transfers-
Out</t>
        </is>
      </c>
      <c r="H240" s="16" t="inlineStr">
        <is>
          <t>No. of Patients
Remaining In
Ward</t>
        </is>
      </c>
    </row>
    <row r="241">
      <c r="A241" s="12" t="n">
        <v>1</v>
      </c>
      <c r="B241" s="12">
        <f>IFERROR(IF(SUMIFS(tblDaily[Admissions],tblDaily[EntryDate],DATE(2026,7,1),tblDaily[WardCode],"FAE")=0,"",SUMIFS(tblDaily[Admissions],tblDaily[EntryDate],DATE(2026,7,1),tblDaily[WardCode],"FAE")),"")</f>
        <v/>
      </c>
      <c r="C241" s="12">
        <f>IFERROR(IF(SUMIFS(tblDaily[Discharges],tblDaily[EntryDate],DATE(2026,7,1),tblDaily[WardCode],"FAE")=0,"",SUMIFS(tblDaily[Discharges],tblDaily[EntryDate],DATE(2026,7,1),tblDaily[WardCode],"FAE")),"")</f>
        <v/>
      </c>
      <c r="D241" s="12">
        <f>IFERROR(IF(SUMIFS(tblDaily[Deaths],tblDaily[EntryDate],DATE(2026,7,1),tblDaily[WardCode],"FAE")=0,"",SUMIFS(tblDaily[Deaths],tblDaily[EntryDate],DATE(2026,7,1),tblDaily[WardCode],"FAE")),"")</f>
        <v/>
      </c>
      <c r="E241" s="12">
        <f>IFERROR(IF(SUMIFS(tblDaily[DeathsUnder24Hrs],tblDaily[EntryDate],DATE(2026,7,1),tblDaily[WardCode],"FAE")=0,"",SUMIFS(tblDaily[DeathsUnder24Hrs],tblDaily[EntryDate],DATE(2026,7,1),tblDaily[WardCode],"FAE")),"")</f>
        <v/>
      </c>
      <c r="F241" s="12">
        <f>IFERROR(IF(SUMIFS(tblDaily[TransfersIn],tblDaily[EntryDate],DATE(2026,7,1),tblDaily[WardCode],"FAE")=0,"",SUMIFS(tblDaily[TransfersIn],tblDaily[EntryDate],DATE(2026,7,1),tblDaily[WardCode],"FAE")),"")</f>
        <v/>
      </c>
      <c r="G241" s="12">
        <f>IFERROR(IF(SUMIFS(tblDaily[TransfersOut],tblDaily[EntryDate],DATE(2026,7,1),tblDaily[WardCode],"FAE")=0,"",SUMIFS(tblDaily[TransfersOut],tblDaily[EntryDate],DATE(2026,7,1),tblDaily[WardCode],"FAE")),"")</f>
        <v/>
      </c>
      <c r="H241" s="12">
        <f>IFERROR(IF(SUMIFS(tblDaily[Remaining],tblDaily[EntryDate],DATE(2026,7,1),tblDaily[WardCode],"FAE")=0,"",SUMIFS(tblDaily[Remaining],tblDaily[EntryDate],DATE(2026,7,1),tblDaily[WardCode],"FAE")),"")</f>
        <v/>
      </c>
    </row>
    <row r="242">
      <c r="A242" s="12" t="n">
        <v>2</v>
      </c>
      <c r="B242" s="12">
        <f>IFERROR(IF(SUMIFS(tblDaily[Admissions],tblDaily[EntryDate],DATE(2026,7,2),tblDaily[WardCode],"FAE")=0,"",SUMIFS(tblDaily[Admissions],tblDaily[EntryDate],DATE(2026,7,2),tblDaily[WardCode],"FAE")),"")</f>
        <v/>
      </c>
      <c r="C242" s="12">
        <f>IFERROR(IF(SUMIFS(tblDaily[Discharges],tblDaily[EntryDate],DATE(2026,7,2),tblDaily[WardCode],"FAE")=0,"",SUMIFS(tblDaily[Discharges],tblDaily[EntryDate],DATE(2026,7,2),tblDaily[WardCode],"FAE")),"")</f>
        <v/>
      </c>
      <c r="D242" s="12">
        <f>IFERROR(IF(SUMIFS(tblDaily[Deaths],tblDaily[EntryDate],DATE(2026,7,2),tblDaily[WardCode],"FAE")=0,"",SUMIFS(tblDaily[Deaths],tblDaily[EntryDate],DATE(2026,7,2),tblDaily[WardCode],"FAE")),"")</f>
        <v/>
      </c>
      <c r="E242" s="12">
        <f>IFERROR(IF(SUMIFS(tblDaily[DeathsUnder24Hrs],tblDaily[EntryDate],DATE(2026,7,2),tblDaily[WardCode],"FAE")=0,"",SUMIFS(tblDaily[DeathsUnder24Hrs],tblDaily[EntryDate],DATE(2026,7,2),tblDaily[WardCode],"FAE")),"")</f>
        <v/>
      </c>
      <c r="F242" s="12">
        <f>IFERROR(IF(SUMIFS(tblDaily[TransfersIn],tblDaily[EntryDate],DATE(2026,7,2),tblDaily[WardCode],"FAE")=0,"",SUMIFS(tblDaily[TransfersIn],tblDaily[EntryDate],DATE(2026,7,2),tblDaily[WardCode],"FAE")),"")</f>
        <v/>
      </c>
      <c r="G242" s="12">
        <f>IFERROR(IF(SUMIFS(tblDaily[TransfersOut],tblDaily[EntryDate],DATE(2026,7,2),tblDaily[WardCode],"FAE")=0,"",SUMIFS(tblDaily[TransfersOut],tblDaily[EntryDate],DATE(2026,7,2),tblDaily[WardCode],"FAE")),"")</f>
        <v/>
      </c>
      <c r="H242" s="12">
        <f>IFERROR(IF(SUMIFS(tblDaily[Remaining],tblDaily[EntryDate],DATE(2026,7,2),tblDaily[WardCode],"FAE")=0,"",SUMIFS(tblDaily[Remaining],tblDaily[EntryDate],DATE(2026,7,2),tblDaily[WardCode],"FAE")),"")</f>
        <v/>
      </c>
    </row>
    <row r="243">
      <c r="A243" s="12" t="n">
        <v>3</v>
      </c>
      <c r="B243" s="12">
        <f>IFERROR(IF(SUMIFS(tblDaily[Admissions],tblDaily[EntryDate],DATE(2026,7,3),tblDaily[WardCode],"FAE")=0,"",SUMIFS(tblDaily[Admissions],tblDaily[EntryDate],DATE(2026,7,3),tblDaily[WardCode],"FAE")),"")</f>
        <v/>
      </c>
      <c r="C243" s="12">
        <f>IFERROR(IF(SUMIFS(tblDaily[Discharges],tblDaily[EntryDate],DATE(2026,7,3),tblDaily[WardCode],"FAE")=0,"",SUMIFS(tblDaily[Discharges],tblDaily[EntryDate],DATE(2026,7,3),tblDaily[WardCode],"FAE")),"")</f>
        <v/>
      </c>
      <c r="D243" s="12">
        <f>IFERROR(IF(SUMIFS(tblDaily[Deaths],tblDaily[EntryDate],DATE(2026,7,3),tblDaily[WardCode],"FAE")=0,"",SUMIFS(tblDaily[Deaths],tblDaily[EntryDate],DATE(2026,7,3),tblDaily[WardCode],"FAE")),"")</f>
        <v/>
      </c>
      <c r="E243" s="12">
        <f>IFERROR(IF(SUMIFS(tblDaily[DeathsUnder24Hrs],tblDaily[EntryDate],DATE(2026,7,3),tblDaily[WardCode],"FAE")=0,"",SUMIFS(tblDaily[DeathsUnder24Hrs],tblDaily[EntryDate],DATE(2026,7,3),tblDaily[WardCode],"FAE")),"")</f>
        <v/>
      </c>
      <c r="F243" s="12">
        <f>IFERROR(IF(SUMIFS(tblDaily[TransfersIn],tblDaily[EntryDate],DATE(2026,7,3),tblDaily[WardCode],"FAE")=0,"",SUMIFS(tblDaily[TransfersIn],tblDaily[EntryDate],DATE(2026,7,3),tblDaily[WardCode],"FAE")),"")</f>
        <v/>
      </c>
      <c r="G243" s="12">
        <f>IFERROR(IF(SUMIFS(tblDaily[TransfersOut],tblDaily[EntryDate],DATE(2026,7,3),tblDaily[WardCode],"FAE")=0,"",SUMIFS(tblDaily[TransfersOut],tblDaily[EntryDate],DATE(2026,7,3),tblDaily[WardCode],"FAE")),"")</f>
        <v/>
      </c>
      <c r="H243" s="12">
        <f>IFERROR(IF(SUMIFS(tblDaily[Remaining],tblDaily[EntryDate],DATE(2026,7,3),tblDaily[WardCode],"FAE")=0,"",SUMIFS(tblDaily[Remaining],tblDaily[EntryDate],DATE(2026,7,3),tblDaily[WardCode],"FAE")),"")</f>
        <v/>
      </c>
    </row>
    <row r="244">
      <c r="A244" s="12" t="n">
        <v>4</v>
      </c>
      <c r="B244" s="12">
        <f>IFERROR(IF(SUMIFS(tblDaily[Admissions],tblDaily[EntryDate],DATE(2026,7,4),tblDaily[WardCode],"FAE")=0,"",SUMIFS(tblDaily[Admissions],tblDaily[EntryDate],DATE(2026,7,4),tblDaily[WardCode],"FAE")),"")</f>
        <v/>
      </c>
      <c r="C244" s="12">
        <f>IFERROR(IF(SUMIFS(tblDaily[Discharges],tblDaily[EntryDate],DATE(2026,7,4),tblDaily[WardCode],"FAE")=0,"",SUMIFS(tblDaily[Discharges],tblDaily[EntryDate],DATE(2026,7,4),tblDaily[WardCode],"FAE")),"")</f>
        <v/>
      </c>
      <c r="D244" s="12">
        <f>IFERROR(IF(SUMIFS(tblDaily[Deaths],tblDaily[EntryDate],DATE(2026,7,4),tblDaily[WardCode],"FAE")=0,"",SUMIFS(tblDaily[Deaths],tblDaily[EntryDate],DATE(2026,7,4),tblDaily[WardCode],"FAE")),"")</f>
        <v/>
      </c>
      <c r="E244" s="12">
        <f>IFERROR(IF(SUMIFS(tblDaily[DeathsUnder24Hrs],tblDaily[EntryDate],DATE(2026,7,4),tblDaily[WardCode],"FAE")=0,"",SUMIFS(tblDaily[DeathsUnder24Hrs],tblDaily[EntryDate],DATE(2026,7,4),tblDaily[WardCode],"FAE")),"")</f>
        <v/>
      </c>
      <c r="F244" s="12">
        <f>IFERROR(IF(SUMIFS(tblDaily[TransfersIn],tblDaily[EntryDate],DATE(2026,7,4),tblDaily[WardCode],"FAE")=0,"",SUMIFS(tblDaily[TransfersIn],tblDaily[EntryDate],DATE(2026,7,4),tblDaily[WardCode],"FAE")),"")</f>
        <v/>
      </c>
      <c r="G244" s="12">
        <f>IFERROR(IF(SUMIFS(tblDaily[TransfersOut],tblDaily[EntryDate],DATE(2026,7,4),tblDaily[WardCode],"FAE")=0,"",SUMIFS(tblDaily[TransfersOut],tblDaily[EntryDate],DATE(2026,7,4),tblDaily[WardCode],"FAE")),"")</f>
        <v/>
      </c>
      <c r="H244" s="12">
        <f>IFERROR(IF(SUMIFS(tblDaily[Remaining],tblDaily[EntryDate],DATE(2026,7,4),tblDaily[WardCode],"FAE")=0,"",SUMIFS(tblDaily[Remaining],tblDaily[EntryDate],DATE(2026,7,4),tblDaily[WardCode],"FAE")),"")</f>
        <v/>
      </c>
    </row>
    <row r="245">
      <c r="A245" s="12" t="n">
        <v>5</v>
      </c>
      <c r="B245" s="12">
        <f>IFERROR(IF(SUMIFS(tblDaily[Admissions],tblDaily[EntryDate],DATE(2026,7,5),tblDaily[WardCode],"FAE")=0,"",SUMIFS(tblDaily[Admissions],tblDaily[EntryDate],DATE(2026,7,5),tblDaily[WardCode],"FAE")),"")</f>
        <v/>
      </c>
      <c r="C245" s="12">
        <f>IFERROR(IF(SUMIFS(tblDaily[Discharges],tblDaily[EntryDate],DATE(2026,7,5),tblDaily[WardCode],"FAE")=0,"",SUMIFS(tblDaily[Discharges],tblDaily[EntryDate],DATE(2026,7,5),tblDaily[WardCode],"FAE")),"")</f>
        <v/>
      </c>
      <c r="D245" s="12">
        <f>IFERROR(IF(SUMIFS(tblDaily[Deaths],tblDaily[EntryDate],DATE(2026,7,5),tblDaily[WardCode],"FAE")=0,"",SUMIFS(tblDaily[Deaths],tblDaily[EntryDate],DATE(2026,7,5),tblDaily[WardCode],"FAE")),"")</f>
        <v/>
      </c>
      <c r="E245" s="12">
        <f>IFERROR(IF(SUMIFS(tblDaily[DeathsUnder24Hrs],tblDaily[EntryDate],DATE(2026,7,5),tblDaily[WardCode],"FAE")=0,"",SUMIFS(tblDaily[DeathsUnder24Hrs],tblDaily[EntryDate],DATE(2026,7,5),tblDaily[WardCode],"FAE")),"")</f>
        <v/>
      </c>
      <c r="F245" s="12">
        <f>IFERROR(IF(SUMIFS(tblDaily[TransfersIn],tblDaily[EntryDate],DATE(2026,7,5),tblDaily[WardCode],"FAE")=0,"",SUMIFS(tblDaily[TransfersIn],tblDaily[EntryDate],DATE(2026,7,5),tblDaily[WardCode],"FAE")),"")</f>
        <v/>
      </c>
      <c r="G245" s="12">
        <f>IFERROR(IF(SUMIFS(tblDaily[TransfersOut],tblDaily[EntryDate],DATE(2026,7,5),tblDaily[WardCode],"FAE")=0,"",SUMIFS(tblDaily[TransfersOut],tblDaily[EntryDate],DATE(2026,7,5),tblDaily[WardCode],"FAE")),"")</f>
        <v/>
      </c>
      <c r="H245" s="12">
        <f>IFERROR(IF(SUMIFS(tblDaily[Remaining],tblDaily[EntryDate],DATE(2026,7,5),tblDaily[WardCode],"FAE")=0,"",SUMIFS(tblDaily[Remaining],tblDaily[EntryDate],DATE(2026,7,5),tblDaily[WardCode],"FAE")),"")</f>
        <v/>
      </c>
    </row>
    <row r="246">
      <c r="A246" s="12" t="n">
        <v>6</v>
      </c>
      <c r="B246" s="12">
        <f>IFERROR(IF(SUMIFS(tblDaily[Admissions],tblDaily[EntryDate],DATE(2026,7,6),tblDaily[WardCode],"FAE")=0,"",SUMIFS(tblDaily[Admissions],tblDaily[EntryDate],DATE(2026,7,6),tblDaily[WardCode],"FAE")),"")</f>
        <v/>
      </c>
      <c r="C246" s="12">
        <f>IFERROR(IF(SUMIFS(tblDaily[Discharges],tblDaily[EntryDate],DATE(2026,7,6),tblDaily[WardCode],"FAE")=0,"",SUMIFS(tblDaily[Discharges],tblDaily[EntryDate],DATE(2026,7,6),tblDaily[WardCode],"FAE")),"")</f>
        <v/>
      </c>
      <c r="D246" s="12">
        <f>IFERROR(IF(SUMIFS(tblDaily[Deaths],tblDaily[EntryDate],DATE(2026,7,6),tblDaily[WardCode],"FAE")=0,"",SUMIFS(tblDaily[Deaths],tblDaily[EntryDate],DATE(2026,7,6),tblDaily[WardCode],"FAE")),"")</f>
        <v/>
      </c>
      <c r="E246" s="12">
        <f>IFERROR(IF(SUMIFS(tblDaily[DeathsUnder24Hrs],tblDaily[EntryDate],DATE(2026,7,6),tblDaily[WardCode],"FAE")=0,"",SUMIFS(tblDaily[DeathsUnder24Hrs],tblDaily[EntryDate],DATE(2026,7,6),tblDaily[WardCode],"FAE")),"")</f>
        <v/>
      </c>
      <c r="F246" s="12">
        <f>IFERROR(IF(SUMIFS(tblDaily[TransfersIn],tblDaily[EntryDate],DATE(2026,7,6),tblDaily[WardCode],"FAE")=0,"",SUMIFS(tblDaily[TransfersIn],tblDaily[EntryDate],DATE(2026,7,6),tblDaily[WardCode],"FAE")),"")</f>
        <v/>
      </c>
      <c r="G246" s="12">
        <f>IFERROR(IF(SUMIFS(tblDaily[TransfersOut],tblDaily[EntryDate],DATE(2026,7,6),tblDaily[WardCode],"FAE")=0,"",SUMIFS(tblDaily[TransfersOut],tblDaily[EntryDate],DATE(2026,7,6),tblDaily[WardCode],"FAE")),"")</f>
        <v/>
      </c>
      <c r="H246" s="12">
        <f>IFERROR(IF(SUMIFS(tblDaily[Remaining],tblDaily[EntryDate],DATE(2026,7,6),tblDaily[WardCode],"FAE")=0,"",SUMIFS(tblDaily[Remaining],tblDaily[EntryDate],DATE(2026,7,6),tblDaily[WardCode],"FAE")),"")</f>
        <v/>
      </c>
    </row>
    <row r="247">
      <c r="A247" s="12" t="n">
        <v>7</v>
      </c>
      <c r="B247" s="12">
        <f>IFERROR(IF(SUMIFS(tblDaily[Admissions],tblDaily[EntryDate],DATE(2026,7,7),tblDaily[WardCode],"FAE")=0,"",SUMIFS(tblDaily[Admissions],tblDaily[EntryDate],DATE(2026,7,7),tblDaily[WardCode],"FAE")),"")</f>
        <v/>
      </c>
      <c r="C247" s="12">
        <f>IFERROR(IF(SUMIFS(tblDaily[Discharges],tblDaily[EntryDate],DATE(2026,7,7),tblDaily[WardCode],"FAE")=0,"",SUMIFS(tblDaily[Discharges],tblDaily[EntryDate],DATE(2026,7,7),tblDaily[WardCode],"FAE")),"")</f>
        <v/>
      </c>
      <c r="D247" s="12">
        <f>IFERROR(IF(SUMIFS(tblDaily[Deaths],tblDaily[EntryDate],DATE(2026,7,7),tblDaily[WardCode],"FAE")=0,"",SUMIFS(tblDaily[Deaths],tblDaily[EntryDate],DATE(2026,7,7),tblDaily[WardCode],"FAE")),"")</f>
        <v/>
      </c>
      <c r="E247" s="12">
        <f>IFERROR(IF(SUMIFS(tblDaily[DeathsUnder24Hrs],tblDaily[EntryDate],DATE(2026,7,7),tblDaily[WardCode],"FAE")=0,"",SUMIFS(tblDaily[DeathsUnder24Hrs],tblDaily[EntryDate],DATE(2026,7,7),tblDaily[WardCode],"FAE")),"")</f>
        <v/>
      </c>
      <c r="F247" s="12">
        <f>IFERROR(IF(SUMIFS(tblDaily[TransfersIn],tblDaily[EntryDate],DATE(2026,7,7),tblDaily[WardCode],"FAE")=0,"",SUMIFS(tblDaily[TransfersIn],tblDaily[EntryDate],DATE(2026,7,7),tblDaily[WardCode],"FAE")),"")</f>
        <v/>
      </c>
      <c r="G247" s="12">
        <f>IFERROR(IF(SUMIFS(tblDaily[TransfersOut],tblDaily[EntryDate],DATE(2026,7,7),tblDaily[WardCode],"FAE")=0,"",SUMIFS(tblDaily[TransfersOut],tblDaily[EntryDate],DATE(2026,7,7),tblDaily[WardCode],"FAE")),"")</f>
        <v/>
      </c>
      <c r="H247" s="12">
        <f>IFERROR(IF(SUMIFS(tblDaily[Remaining],tblDaily[EntryDate],DATE(2026,7,7),tblDaily[WardCode],"FAE")=0,"",SUMIFS(tblDaily[Remaining],tblDaily[EntryDate],DATE(2026,7,7),tblDaily[WardCode],"FAE")),"")</f>
        <v/>
      </c>
    </row>
    <row r="248">
      <c r="A248" s="12" t="n">
        <v>8</v>
      </c>
      <c r="B248" s="12">
        <f>IFERROR(IF(SUMIFS(tblDaily[Admissions],tblDaily[EntryDate],DATE(2026,7,8),tblDaily[WardCode],"FAE")=0,"",SUMIFS(tblDaily[Admissions],tblDaily[EntryDate],DATE(2026,7,8),tblDaily[WardCode],"FAE")),"")</f>
        <v/>
      </c>
      <c r="C248" s="12">
        <f>IFERROR(IF(SUMIFS(tblDaily[Discharges],tblDaily[EntryDate],DATE(2026,7,8),tblDaily[WardCode],"FAE")=0,"",SUMIFS(tblDaily[Discharges],tblDaily[EntryDate],DATE(2026,7,8),tblDaily[WardCode],"FAE")),"")</f>
        <v/>
      </c>
      <c r="D248" s="12">
        <f>IFERROR(IF(SUMIFS(tblDaily[Deaths],tblDaily[EntryDate],DATE(2026,7,8),tblDaily[WardCode],"FAE")=0,"",SUMIFS(tblDaily[Deaths],tblDaily[EntryDate],DATE(2026,7,8),tblDaily[WardCode],"FAE")),"")</f>
        <v/>
      </c>
      <c r="E248" s="12">
        <f>IFERROR(IF(SUMIFS(tblDaily[DeathsUnder24Hrs],tblDaily[EntryDate],DATE(2026,7,8),tblDaily[WardCode],"FAE")=0,"",SUMIFS(tblDaily[DeathsUnder24Hrs],tblDaily[EntryDate],DATE(2026,7,8),tblDaily[WardCode],"FAE")),"")</f>
        <v/>
      </c>
      <c r="F248" s="12">
        <f>IFERROR(IF(SUMIFS(tblDaily[TransfersIn],tblDaily[EntryDate],DATE(2026,7,8),tblDaily[WardCode],"FAE")=0,"",SUMIFS(tblDaily[TransfersIn],tblDaily[EntryDate],DATE(2026,7,8),tblDaily[WardCode],"FAE")),"")</f>
        <v/>
      </c>
      <c r="G248" s="12">
        <f>IFERROR(IF(SUMIFS(tblDaily[TransfersOut],tblDaily[EntryDate],DATE(2026,7,8),tblDaily[WardCode],"FAE")=0,"",SUMIFS(tblDaily[TransfersOut],tblDaily[EntryDate],DATE(2026,7,8),tblDaily[WardCode],"FAE")),"")</f>
        <v/>
      </c>
      <c r="H248" s="12">
        <f>IFERROR(IF(SUMIFS(tblDaily[Remaining],tblDaily[EntryDate],DATE(2026,7,8),tblDaily[WardCode],"FAE")=0,"",SUMIFS(tblDaily[Remaining],tblDaily[EntryDate],DATE(2026,7,8),tblDaily[WardCode],"FAE")),"")</f>
        <v/>
      </c>
    </row>
    <row r="249">
      <c r="A249" s="12" t="n">
        <v>9</v>
      </c>
      <c r="B249" s="12">
        <f>IFERROR(IF(SUMIFS(tblDaily[Admissions],tblDaily[EntryDate],DATE(2026,7,9),tblDaily[WardCode],"FAE")=0,"",SUMIFS(tblDaily[Admissions],tblDaily[EntryDate],DATE(2026,7,9),tblDaily[WardCode],"FAE")),"")</f>
        <v/>
      </c>
      <c r="C249" s="12">
        <f>IFERROR(IF(SUMIFS(tblDaily[Discharges],tblDaily[EntryDate],DATE(2026,7,9),tblDaily[WardCode],"FAE")=0,"",SUMIFS(tblDaily[Discharges],tblDaily[EntryDate],DATE(2026,7,9),tblDaily[WardCode],"FAE")),"")</f>
        <v/>
      </c>
      <c r="D249" s="12">
        <f>IFERROR(IF(SUMIFS(tblDaily[Deaths],tblDaily[EntryDate],DATE(2026,7,9),tblDaily[WardCode],"FAE")=0,"",SUMIFS(tblDaily[Deaths],tblDaily[EntryDate],DATE(2026,7,9),tblDaily[WardCode],"FAE")),"")</f>
        <v/>
      </c>
      <c r="E249" s="12">
        <f>IFERROR(IF(SUMIFS(tblDaily[DeathsUnder24Hrs],tblDaily[EntryDate],DATE(2026,7,9),tblDaily[WardCode],"FAE")=0,"",SUMIFS(tblDaily[DeathsUnder24Hrs],tblDaily[EntryDate],DATE(2026,7,9),tblDaily[WardCode],"FAE")),"")</f>
        <v/>
      </c>
      <c r="F249" s="12">
        <f>IFERROR(IF(SUMIFS(tblDaily[TransfersIn],tblDaily[EntryDate],DATE(2026,7,9),tblDaily[WardCode],"FAE")=0,"",SUMIFS(tblDaily[TransfersIn],tblDaily[EntryDate],DATE(2026,7,9),tblDaily[WardCode],"FAE")),"")</f>
        <v/>
      </c>
      <c r="G249" s="12">
        <f>IFERROR(IF(SUMIFS(tblDaily[TransfersOut],tblDaily[EntryDate],DATE(2026,7,9),tblDaily[WardCode],"FAE")=0,"",SUMIFS(tblDaily[TransfersOut],tblDaily[EntryDate],DATE(2026,7,9),tblDaily[WardCode],"FAE")),"")</f>
        <v/>
      </c>
      <c r="H249" s="12">
        <f>IFERROR(IF(SUMIFS(tblDaily[Remaining],tblDaily[EntryDate],DATE(2026,7,9),tblDaily[WardCode],"FAE")=0,"",SUMIFS(tblDaily[Remaining],tblDaily[EntryDate],DATE(2026,7,9),tblDaily[WardCode],"FAE")),"")</f>
        <v/>
      </c>
    </row>
    <row r="250">
      <c r="A250" s="12" t="n">
        <v>10</v>
      </c>
      <c r="B250" s="12">
        <f>IFERROR(IF(SUMIFS(tblDaily[Admissions],tblDaily[EntryDate],DATE(2026,7,10),tblDaily[WardCode],"FAE")=0,"",SUMIFS(tblDaily[Admissions],tblDaily[EntryDate],DATE(2026,7,10),tblDaily[WardCode],"FAE")),"")</f>
        <v/>
      </c>
      <c r="C250" s="12">
        <f>IFERROR(IF(SUMIFS(tblDaily[Discharges],tblDaily[EntryDate],DATE(2026,7,10),tblDaily[WardCode],"FAE")=0,"",SUMIFS(tblDaily[Discharges],tblDaily[EntryDate],DATE(2026,7,10),tblDaily[WardCode],"FAE")),"")</f>
        <v/>
      </c>
      <c r="D250" s="12">
        <f>IFERROR(IF(SUMIFS(tblDaily[Deaths],tblDaily[EntryDate],DATE(2026,7,10),tblDaily[WardCode],"FAE")=0,"",SUMIFS(tblDaily[Deaths],tblDaily[EntryDate],DATE(2026,7,10),tblDaily[WardCode],"FAE")),"")</f>
        <v/>
      </c>
      <c r="E250" s="12">
        <f>IFERROR(IF(SUMIFS(tblDaily[DeathsUnder24Hrs],tblDaily[EntryDate],DATE(2026,7,10),tblDaily[WardCode],"FAE")=0,"",SUMIFS(tblDaily[DeathsUnder24Hrs],tblDaily[EntryDate],DATE(2026,7,10),tblDaily[WardCode],"FAE")),"")</f>
        <v/>
      </c>
      <c r="F250" s="12">
        <f>IFERROR(IF(SUMIFS(tblDaily[TransfersIn],tblDaily[EntryDate],DATE(2026,7,10),tblDaily[WardCode],"FAE")=0,"",SUMIFS(tblDaily[TransfersIn],tblDaily[EntryDate],DATE(2026,7,10),tblDaily[WardCode],"FAE")),"")</f>
        <v/>
      </c>
      <c r="G250" s="12">
        <f>IFERROR(IF(SUMIFS(tblDaily[TransfersOut],tblDaily[EntryDate],DATE(2026,7,10),tblDaily[WardCode],"FAE")=0,"",SUMIFS(tblDaily[TransfersOut],tblDaily[EntryDate],DATE(2026,7,10),tblDaily[WardCode],"FAE")),"")</f>
        <v/>
      </c>
      <c r="H250" s="12">
        <f>IFERROR(IF(SUMIFS(tblDaily[Remaining],tblDaily[EntryDate],DATE(2026,7,10),tblDaily[WardCode],"FAE")=0,"",SUMIFS(tblDaily[Remaining],tblDaily[EntryDate],DATE(2026,7,10),tblDaily[WardCode],"FAE")),"")</f>
        <v/>
      </c>
    </row>
    <row r="251">
      <c r="A251" s="12" t="n">
        <v>11</v>
      </c>
      <c r="B251" s="12">
        <f>IFERROR(IF(SUMIFS(tblDaily[Admissions],tblDaily[EntryDate],DATE(2026,7,11),tblDaily[WardCode],"FAE")=0,"",SUMIFS(tblDaily[Admissions],tblDaily[EntryDate],DATE(2026,7,11),tblDaily[WardCode],"FAE")),"")</f>
        <v/>
      </c>
      <c r="C251" s="12">
        <f>IFERROR(IF(SUMIFS(tblDaily[Discharges],tblDaily[EntryDate],DATE(2026,7,11),tblDaily[WardCode],"FAE")=0,"",SUMIFS(tblDaily[Discharges],tblDaily[EntryDate],DATE(2026,7,11),tblDaily[WardCode],"FAE")),"")</f>
        <v/>
      </c>
      <c r="D251" s="12">
        <f>IFERROR(IF(SUMIFS(tblDaily[Deaths],tblDaily[EntryDate],DATE(2026,7,11),tblDaily[WardCode],"FAE")=0,"",SUMIFS(tblDaily[Deaths],tblDaily[EntryDate],DATE(2026,7,11),tblDaily[WardCode],"FAE")),"")</f>
        <v/>
      </c>
      <c r="E251" s="12">
        <f>IFERROR(IF(SUMIFS(tblDaily[DeathsUnder24Hrs],tblDaily[EntryDate],DATE(2026,7,11),tblDaily[WardCode],"FAE")=0,"",SUMIFS(tblDaily[DeathsUnder24Hrs],tblDaily[EntryDate],DATE(2026,7,11),tblDaily[WardCode],"FAE")),"")</f>
        <v/>
      </c>
      <c r="F251" s="12">
        <f>IFERROR(IF(SUMIFS(tblDaily[TransfersIn],tblDaily[EntryDate],DATE(2026,7,11),tblDaily[WardCode],"FAE")=0,"",SUMIFS(tblDaily[TransfersIn],tblDaily[EntryDate],DATE(2026,7,11),tblDaily[WardCode],"FAE")),"")</f>
        <v/>
      </c>
      <c r="G251" s="12">
        <f>IFERROR(IF(SUMIFS(tblDaily[TransfersOut],tblDaily[EntryDate],DATE(2026,7,11),tblDaily[WardCode],"FAE")=0,"",SUMIFS(tblDaily[TransfersOut],tblDaily[EntryDate],DATE(2026,7,11),tblDaily[WardCode],"FAE")),"")</f>
        <v/>
      </c>
      <c r="H251" s="12">
        <f>IFERROR(IF(SUMIFS(tblDaily[Remaining],tblDaily[EntryDate],DATE(2026,7,11),tblDaily[WardCode],"FAE")=0,"",SUMIFS(tblDaily[Remaining],tblDaily[EntryDate],DATE(2026,7,11),tblDaily[WardCode],"FAE")),"")</f>
        <v/>
      </c>
    </row>
    <row r="252">
      <c r="A252" s="12" t="n">
        <v>12</v>
      </c>
      <c r="B252" s="12">
        <f>IFERROR(IF(SUMIFS(tblDaily[Admissions],tblDaily[EntryDate],DATE(2026,7,12),tblDaily[WardCode],"FAE")=0,"",SUMIFS(tblDaily[Admissions],tblDaily[EntryDate],DATE(2026,7,12),tblDaily[WardCode],"FAE")),"")</f>
        <v/>
      </c>
      <c r="C252" s="12">
        <f>IFERROR(IF(SUMIFS(tblDaily[Discharges],tblDaily[EntryDate],DATE(2026,7,12),tblDaily[WardCode],"FAE")=0,"",SUMIFS(tblDaily[Discharges],tblDaily[EntryDate],DATE(2026,7,12),tblDaily[WardCode],"FAE")),"")</f>
        <v/>
      </c>
      <c r="D252" s="12">
        <f>IFERROR(IF(SUMIFS(tblDaily[Deaths],tblDaily[EntryDate],DATE(2026,7,12),tblDaily[WardCode],"FAE")=0,"",SUMIFS(tblDaily[Deaths],tblDaily[EntryDate],DATE(2026,7,12),tblDaily[WardCode],"FAE")),"")</f>
        <v/>
      </c>
      <c r="E252" s="12">
        <f>IFERROR(IF(SUMIFS(tblDaily[DeathsUnder24Hrs],tblDaily[EntryDate],DATE(2026,7,12),tblDaily[WardCode],"FAE")=0,"",SUMIFS(tblDaily[DeathsUnder24Hrs],tblDaily[EntryDate],DATE(2026,7,12),tblDaily[WardCode],"FAE")),"")</f>
        <v/>
      </c>
      <c r="F252" s="12">
        <f>IFERROR(IF(SUMIFS(tblDaily[TransfersIn],tblDaily[EntryDate],DATE(2026,7,12),tblDaily[WardCode],"FAE")=0,"",SUMIFS(tblDaily[TransfersIn],tblDaily[EntryDate],DATE(2026,7,12),tblDaily[WardCode],"FAE")),"")</f>
        <v/>
      </c>
      <c r="G252" s="12">
        <f>IFERROR(IF(SUMIFS(tblDaily[TransfersOut],tblDaily[EntryDate],DATE(2026,7,12),tblDaily[WardCode],"FAE")=0,"",SUMIFS(tblDaily[TransfersOut],tblDaily[EntryDate],DATE(2026,7,12),tblDaily[WardCode],"FAE")),"")</f>
        <v/>
      </c>
      <c r="H252" s="12">
        <f>IFERROR(IF(SUMIFS(tblDaily[Remaining],tblDaily[EntryDate],DATE(2026,7,12),tblDaily[WardCode],"FAE")=0,"",SUMIFS(tblDaily[Remaining],tblDaily[EntryDate],DATE(2026,7,12),tblDaily[WardCode],"FAE")),"")</f>
        <v/>
      </c>
    </row>
    <row r="253">
      <c r="A253" s="12" t="n">
        <v>13</v>
      </c>
      <c r="B253" s="12">
        <f>IFERROR(IF(SUMIFS(tblDaily[Admissions],tblDaily[EntryDate],DATE(2026,7,13),tblDaily[WardCode],"FAE")=0,"",SUMIFS(tblDaily[Admissions],tblDaily[EntryDate],DATE(2026,7,13),tblDaily[WardCode],"FAE")),"")</f>
        <v/>
      </c>
      <c r="C253" s="12">
        <f>IFERROR(IF(SUMIFS(tblDaily[Discharges],tblDaily[EntryDate],DATE(2026,7,13),tblDaily[WardCode],"FAE")=0,"",SUMIFS(tblDaily[Discharges],tblDaily[EntryDate],DATE(2026,7,13),tblDaily[WardCode],"FAE")),"")</f>
        <v/>
      </c>
      <c r="D253" s="12">
        <f>IFERROR(IF(SUMIFS(tblDaily[Deaths],tblDaily[EntryDate],DATE(2026,7,13),tblDaily[WardCode],"FAE")=0,"",SUMIFS(tblDaily[Deaths],tblDaily[EntryDate],DATE(2026,7,13),tblDaily[WardCode],"FAE")),"")</f>
        <v/>
      </c>
      <c r="E253" s="12">
        <f>IFERROR(IF(SUMIFS(tblDaily[DeathsUnder24Hrs],tblDaily[EntryDate],DATE(2026,7,13),tblDaily[WardCode],"FAE")=0,"",SUMIFS(tblDaily[DeathsUnder24Hrs],tblDaily[EntryDate],DATE(2026,7,13),tblDaily[WardCode],"FAE")),"")</f>
        <v/>
      </c>
      <c r="F253" s="12">
        <f>IFERROR(IF(SUMIFS(tblDaily[TransfersIn],tblDaily[EntryDate],DATE(2026,7,13),tblDaily[WardCode],"FAE")=0,"",SUMIFS(tblDaily[TransfersIn],tblDaily[EntryDate],DATE(2026,7,13),tblDaily[WardCode],"FAE")),"")</f>
        <v/>
      </c>
      <c r="G253" s="12">
        <f>IFERROR(IF(SUMIFS(tblDaily[TransfersOut],tblDaily[EntryDate],DATE(2026,7,13),tblDaily[WardCode],"FAE")=0,"",SUMIFS(tblDaily[TransfersOut],tblDaily[EntryDate],DATE(2026,7,13),tblDaily[WardCode],"FAE")),"")</f>
        <v/>
      </c>
      <c r="H253" s="12">
        <f>IFERROR(IF(SUMIFS(tblDaily[Remaining],tblDaily[EntryDate],DATE(2026,7,13),tblDaily[WardCode],"FAE")=0,"",SUMIFS(tblDaily[Remaining],tblDaily[EntryDate],DATE(2026,7,13),tblDaily[WardCode],"FAE")),"")</f>
        <v/>
      </c>
    </row>
    <row r="254">
      <c r="A254" s="12" t="n">
        <v>14</v>
      </c>
      <c r="B254" s="12">
        <f>IFERROR(IF(SUMIFS(tblDaily[Admissions],tblDaily[EntryDate],DATE(2026,7,14),tblDaily[WardCode],"FAE")=0,"",SUMIFS(tblDaily[Admissions],tblDaily[EntryDate],DATE(2026,7,14),tblDaily[WardCode],"FAE")),"")</f>
        <v/>
      </c>
      <c r="C254" s="12">
        <f>IFERROR(IF(SUMIFS(tblDaily[Discharges],tblDaily[EntryDate],DATE(2026,7,14),tblDaily[WardCode],"FAE")=0,"",SUMIFS(tblDaily[Discharges],tblDaily[EntryDate],DATE(2026,7,14),tblDaily[WardCode],"FAE")),"")</f>
        <v/>
      </c>
      <c r="D254" s="12">
        <f>IFERROR(IF(SUMIFS(tblDaily[Deaths],tblDaily[EntryDate],DATE(2026,7,14),tblDaily[WardCode],"FAE")=0,"",SUMIFS(tblDaily[Deaths],tblDaily[EntryDate],DATE(2026,7,14),tblDaily[WardCode],"FAE")),"")</f>
        <v/>
      </c>
      <c r="E254" s="12">
        <f>IFERROR(IF(SUMIFS(tblDaily[DeathsUnder24Hrs],tblDaily[EntryDate],DATE(2026,7,14),tblDaily[WardCode],"FAE")=0,"",SUMIFS(tblDaily[DeathsUnder24Hrs],tblDaily[EntryDate],DATE(2026,7,14),tblDaily[WardCode],"FAE")),"")</f>
        <v/>
      </c>
      <c r="F254" s="12">
        <f>IFERROR(IF(SUMIFS(tblDaily[TransfersIn],tblDaily[EntryDate],DATE(2026,7,14),tblDaily[WardCode],"FAE")=0,"",SUMIFS(tblDaily[TransfersIn],tblDaily[EntryDate],DATE(2026,7,14),tblDaily[WardCode],"FAE")),"")</f>
        <v/>
      </c>
      <c r="G254" s="12">
        <f>IFERROR(IF(SUMIFS(tblDaily[TransfersOut],tblDaily[EntryDate],DATE(2026,7,14),tblDaily[WardCode],"FAE")=0,"",SUMIFS(tblDaily[TransfersOut],tblDaily[EntryDate],DATE(2026,7,14),tblDaily[WardCode],"FAE")),"")</f>
        <v/>
      </c>
      <c r="H254" s="12">
        <f>IFERROR(IF(SUMIFS(tblDaily[Remaining],tblDaily[EntryDate],DATE(2026,7,14),tblDaily[WardCode],"FAE")=0,"",SUMIFS(tblDaily[Remaining],tblDaily[EntryDate],DATE(2026,7,14),tblDaily[WardCode],"FAE")),"")</f>
        <v/>
      </c>
    </row>
    <row r="255">
      <c r="A255" s="12" t="n">
        <v>15</v>
      </c>
      <c r="B255" s="12">
        <f>IFERROR(IF(SUMIFS(tblDaily[Admissions],tblDaily[EntryDate],DATE(2026,7,15),tblDaily[WardCode],"FAE")=0,"",SUMIFS(tblDaily[Admissions],tblDaily[EntryDate],DATE(2026,7,15),tblDaily[WardCode],"FAE")),"")</f>
        <v/>
      </c>
      <c r="C255" s="12">
        <f>IFERROR(IF(SUMIFS(tblDaily[Discharges],tblDaily[EntryDate],DATE(2026,7,15),tblDaily[WardCode],"FAE")=0,"",SUMIFS(tblDaily[Discharges],tblDaily[EntryDate],DATE(2026,7,15),tblDaily[WardCode],"FAE")),"")</f>
        <v/>
      </c>
      <c r="D255" s="12">
        <f>IFERROR(IF(SUMIFS(tblDaily[Deaths],tblDaily[EntryDate],DATE(2026,7,15),tblDaily[WardCode],"FAE")=0,"",SUMIFS(tblDaily[Deaths],tblDaily[EntryDate],DATE(2026,7,15),tblDaily[WardCode],"FAE")),"")</f>
        <v/>
      </c>
      <c r="E255" s="12">
        <f>IFERROR(IF(SUMIFS(tblDaily[DeathsUnder24Hrs],tblDaily[EntryDate],DATE(2026,7,15),tblDaily[WardCode],"FAE")=0,"",SUMIFS(tblDaily[DeathsUnder24Hrs],tblDaily[EntryDate],DATE(2026,7,15),tblDaily[WardCode],"FAE")),"")</f>
        <v/>
      </c>
      <c r="F255" s="12">
        <f>IFERROR(IF(SUMIFS(tblDaily[TransfersIn],tblDaily[EntryDate],DATE(2026,7,15),tblDaily[WardCode],"FAE")=0,"",SUMIFS(tblDaily[TransfersIn],tblDaily[EntryDate],DATE(2026,7,15),tblDaily[WardCode],"FAE")),"")</f>
        <v/>
      </c>
      <c r="G255" s="12">
        <f>IFERROR(IF(SUMIFS(tblDaily[TransfersOut],tblDaily[EntryDate],DATE(2026,7,15),tblDaily[WardCode],"FAE")=0,"",SUMIFS(tblDaily[TransfersOut],tblDaily[EntryDate],DATE(2026,7,15),tblDaily[WardCode],"FAE")),"")</f>
        <v/>
      </c>
      <c r="H255" s="12">
        <f>IFERROR(IF(SUMIFS(tblDaily[Remaining],tblDaily[EntryDate],DATE(2026,7,15),tblDaily[WardCode],"FAE")=0,"",SUMIFS(tblDaily[Remaining],tblDaily[EntryDate],DATE(2026,7,15),tblDaily[WardCode],"FAE")),"")</f>
        <v/>
      </c>
    </row>
    <row r="256">
      <c r="A256" s="12" t="n">
        <v>16</v>
      </c>
      <c r="B256" s="12">
        <f>IFERROR(IF(SUMIFS(tblDaily[Admissions],tblDaily[EntryDate],DATE(2026,7,16),tblDaily[WardCode],"FAE")=0,"",SUMIFS(tblDaily[Admissions],tblDaily[EntryDate],DATE(2026,7,16),tblDaily[WardCode],"FAE")),"")</f>
        <v/>
      </c>
      <c r="C256" s="12">
        <f>IFERROR(IF(SUMIFS(tblDaily[Discharges],tblDaily[EntryDate],DATE(2026,7,16),tblDaily[WardCode],"FAE")=0,"",SUMIFS(tblDaily[Discharges],tblDaily[EntryDate],DATE(2026,7,16),tblDaily[WardCode],"FAE")),"")</f>
        <v/>
      </c>
      <c r="D256" s="12">
        <f>IFERROR(IF(SUMIFS(tblDaily[Deaths],tblDaily[EntryDate],DATE(2026,7,16),tblDaily[WardCode],"FAE")=0,"",SUMIFS(tblDaily[Deaths],tblDaily[EntryDate],DATE(2026,7,16),tblDaily[WardCode],"FAE")),"")</f>
        <v/>
      </c>
      <c r="E256" s="12">
        <f>IFERROR(IF(SUMIFS(tblDaily[DeathsUnder24Hrs],tblDaily[EntryDate],DATE(2026,7,16),tblDaily[WardCode],"FAE")=0,"",SUMIFS(tblDaily[DeathsUnder24Hrs],tblDaily[EntryDate],DATE(2026,7,16),tblDaily[WardCode],"FAE")),"")</f>
        <v/>
      </c>
      <c r="F256" s="12">
        <f>IFERROR(IF(SUMIFS(tblDaily[TransfersIn],tblDaily[EntryDate],DATE(2026,7,16),tblDaily[WardCode],"FAE")=0,"",SUMIFS(tblDaily[TransfersIn],tblDaily[EntryDate],DATE(2026,7,16),tblDaily[WardCode],"FAE")),"")</f>
        <v/>
      </c>
      <c r="G256" s="12">
        <f>IFERROR(IF(SUMIFS(tblDaily[TransfersOut],tblDaily[EntryDate],DATE(2026,7,16),tblDaily[WardCode],"FAE")=0,"",SUMIFS(tblDaily[TransfersOut],tblDaily[EntryDate],DATE(2026,7,16),tblDaily[WardCode],"FAE")),"")</f>
        <v/>
      </c>
      <c r="H256" s="12">
        <f>IFERROR(IF(SUMIFS(tblDaily[Remaining],tblDaily[EntryDate],DATE(2026,7,16),tblDaily[WardCode],"FAE")=0,"",SUMIFS(tblDaily[Remaining],tblDaily[EntryDate],DATE(2026,7,16),tblDaily[WardCode],"FAE")),"")</f>
        <v/>
      </c>
    </row>
    <row r="257">
      <c r="A257" s="12" t="n">
        <v>17</v>
      </c>
      <c r="B257" s="12">
        <f>IFERROR(IF(SUMIFS(tblDaily[Admissions],tblDaily[EntryDate],DATE(2026,7,17),tblDaily[WardCode],"FAE")=0,"",SUMIFS(tblDaily[Admissions],tblDaily[EntryDate],DATE(2026,7,17),tblDaily[WardCode],"FAE")),"")</f>
        <v/>
      </c>
      <c r="C257" s="12">
        <f>IFERROR(IF(SUMIFS(tblDaily[Discharges],tblDaily[EntryDate],DATE(2026,7,17),tblDaily[WardCode],"FAE")=0,"",SUMIFS(tblDaily[Discharges],tblDaily[EntryDate],DATE(2026,7,17),tblDaily[WardCode],"FAE")),"")</f>
        <v/>
      </c>
      <c r="D257" s="12">
        <f>IFERROR(IF(SUMIFS(tblDaily[Deaths],tblDaily[EntryDate],DATE(2026,7,17),tblDaily[WardCode],"FAE")=0,"",SUMIFS(tblDaily[Deaths],tblDaily[EntryDate],DATE(2026,7,17),tblDaily[WardCode],"FAE")),"")</f>
        <v/>
      </c>
      <c r="E257" s="12">
        <f>IFERROR(IF(SUMIFS(tblDaily[DeathsUnder24Hrs],tblDaily[EntryDate],DATE(2026,7,17),tblDaily[WardCode],"FAE")=0,"",SUMIFS(tblDaily[DeathsUnder24Hrs],tblDaily[EntryDate],DATE(2026,7,17),tblDaily[WardCode],"FAE")),"")</f>
        <v/>
      </c>
      <c r="F257" s="12">
        <f>IFERROR(IF(SUMIFS(tblDaily[TransfersIn],tblDaily[EntryDate],DATE(2026,7,17),tblDaily[WardCode],"FAE")=0,"",SUMIFS(tblDaily[TransfersIn],tblDaily[EntryDate],DATE(2026,7,17),tblDaily[WardCode],"FAE")),"")</f>
        <v/>
      </c>
      <c r="G257" s="12">
        <f>IFERROR(IF(SUMIFS(tblDaily[TransfersOut],tblDaily[EntryDate],DATE(2026,7,17),tblDaily[WardCode],"FAE")=0,"",SUMIFS(tblDaily[TransfersOut],tblDaily[EntryDate],DATE(2026,7,17),tblDaily[WardCode],"FAE")),"")</f>
        <v/>
      </c>
      <c r="H257" s="12">
        <f>IFERROR(IF(SUMIFS(tblDaily[Remaining],tblDaily[EntryDate],DATE(2026,7,17),tblDaily[WardCode],"FAE")=0,"",SUMIFS(tblDaily[Remaining],tblDaily[EntryDate],DATE(2026,7,17),tblDaily[WardCode],"FAE")),"")</f>
        <v/>
      </c>
    </row>
    <row r="258">
      <c r="A258" s="12" t="n">
        <v>18</v>
      </c>
      <c r="B258" s="12">
        <f>IFERROR(IF(SUMIFS(tblDaily[Admissions],tblDaily[EntryDate],DATE(2026,7,18),tblDaily[WardCode],"FAE")=0,"",SUMIFS(tblDaily[Admissions],tblDaily[EntryDate],DATE(2026,7,18),tblDaily[WardCode],"FAE")),"")</f>
        <v/>
      </c>
      <c r="C258" s="12">
        <f>IFERROR(IF(SUMIFS(tblDaily[Discharges],tblDaily[EntryDate],DATE(2026,7,18),tblDaily[WardCode],"FAE")=0,"",SUMIFS(tblDaily[Discharges],tblDaily[EntryDate],DATE(2026,7,18),tblDaily[WardCode],"FAE")),"")</f>
        <v/>
      </c>
      <c r="D258" s="12">
        <f>IFERROR(IF(SUMIFS(tblDaily[Deaths],tblDaily[EntryDate],DATE(2026,7,18),tblDaily[WardCode],"FAE")=0,"",SUMIFS(tblDaily[Deaths],tblDaily[EntryDate],DATE(2026,7,18),tblDaily[WardCode],"FAE")),"")</f>
        <v/>
      </c>
      <c r="E258" s="12">
        <f>IFERROR(IF(SUMIFS(tblDaily[DeathsUnder24Hrs],tblDaily[EntryDate],DATE(2026,7,18),tblDaily[WardCode],"FAE")=0,"",SUMIFS(tblDaily[DeathsUnder24Hrs],tblDaily[EntryDate],DATE(2026,7,18),tblDaily[WardCode],"FAE")),"")</f>
        <v/>
      </c>
      <c r="F258" s="12">
        <f>IFERROR(IF(SUMIFS(tblDaily[TransfersIn],tblDaily[EntryDate],DATE(2026,7,18),tblDaily[WardCode],"FAE")=0,"",SUMIFS(tblDaily[TransfersIn],tblDaily[EntryDate],DATE(2026,7,18),tblDaily[WardCode],"FAE")),"")</f>
        <v/>
      </c>
      <c r="G258" s="12">
        <f>IFERROR(IF(SUMIFS(tblDaily[TransfersOut],tblDaily[EntryDate],DATE(2026,7,18),tblDaily[WardCode],"FAE")=0,"",SUMIFS(tblDaily[TransfersOut],tblDaily[EntryDate],DATE(2026,7,18),tblDaily[WardCode],"FAE")),"")</f>
        <v/>
      </c>
      <c r="H258" s="12">
        <f>IFERROR(IF(SUMIFS(tblDaily[Remaining],tblDaily[EntryDate],DATE(2026,7,18),tblDaily[WardCode],"FAE")=0,"",SUMIFS(tblDaily[Remaining],tblDaily[EntryDate],DATE(2026,7,18),tblDaily[WardCode],"FAE")),"")</f>
        <v/>
      </c>
    </row>
    <row r="259">
      <c r="A259" s="12" t="n">
        <v>19</v>
      </c>
      <c r="B259" s="12">
        <f>IFERROR(IF(SUMIFS(tblDaily[Admissions],tblDaily[EntryDate],DATE(2026,7,19),tblDaily[WardCode],"FAE")=0,"",SUMIFS(tblDaily[Admissions],tblDaily[EntryDate],DATE(2026,7,19),tblDaily[WardCode],"FAE")),"")</f>
        <v/>
      </c>
      <c r="C259" s="12">
        <f>IFERROR(IF(SUMIFS(tblDaily[Discharges],tblDaily[EntryDate],DATE(2026,7,19),tblDaily[WardCode],"FAE")=0,"",SUMIFS(tblDaily[Discharges],tblDaily[EntryDate],DATE(2026,7,19),tblDaily[WardCode],"FAE")),"")</f>
        <v/>
      </c>
      <c r="D259" s="12">
        <f>IFERROR(IF(SUMIFS(tblDaily[Deaths],tblDaily[EntryDate],DATE(2026,7,19),tblDaily[WardCode],"FAE")=0,"",SUMIFS(tblDaily[Deaths],tblDaily[EntryDate],DATE(2026,7,19),tblDaily[WardCode],"FAE")),"")</f>
        <v/>
      </c>
      <c r="E259" s="12">
        <f>IFERROR(IF(SUMIFS(tblDaily[DeathsUnder24Hrs],tblDaily[EntryDate],DATE(2026,7,19),tblDaily[WardCode],"FAE")=0,"",SUMIFS(tblDaily[DeathsUnder24Hrs],tblDaily[EntryDate],DATE(2026,7,19),tblDaily[WardCode],"FAE")),"")</f>
        <v/>
      </c>
      <c r="F259" s="12">
        <f>IFERROR(IF(SUMIFS(tblDaily[TransfersIn],tblDaily[EntryDate],DATE(2026,7,19),tblDaily[WardCode],"FAE")=0,"",SUMIFS(tblDaily[TransfersIn],tblDaily[EntryDate],DATE(2026,7,19),tblDaily[WardCode],"FAE")),"")</f>
        <v/>
      </c>
      <c r="G259" s="12">
        <f>IFERROR(IF(SUMIFS(tblDaily[TransfersOut],tblDaily[EntryDate],DATE(2026,7,19),tblDaily[WardCode],"FAE")=0,"",SUMIFS(tblDaily[TransfersOut],tblDaily[EntryDate],DATE(2026,7,19),tblDaily[WardCode],"FAE")),"")</f>
        <v/>
      </c>
      <c r="H259" s="12">
        <f>IFERROR(IF(SUMIFS(tblDaily[Remaining],tblDaily[EntryDate],DATE(2026,7,19),tblDaily[WardCode],"FAE")=0,"",SUMIFS(tblDaily[Remaining],tblDaily[EntryDate],DATE(2026,7,19),tblDaily[WardCode],"FAE")),"")</f>
        <v/>
      </c>
    </row>
    <row r="260">
      <c r="A260" s="12" t="n">
        <v>20</v>
      </c>
      <c r="B260" s="12">
        <f>IFERROR(IF(SUMIFS(tblDaily[Admissions],tblDaily[EntryDate],DATE(2026,7,20),tblDaily[WardCode],"FAE")=0,"",SUMIFS(tblDaily[Admissions],tblDaily[EntryDate],DATE(2026,7,20),tblDaily[WardCode],"FAE")),"")</f>
        <v/>
      </c>
      <c r="C260" s="12">
        <f>IFERROR(IF(SUMIFS(tblDaily[Discharges],tblDaily[EntryDate],DATE(2026,7,20),tblDaily[WardCode],"FAE")=0,"",SUMIFS(tblDaily[Discharges],tblDaily[EntryDate],DATE(2026,7,20),tblDaily[WardCode],"FAE")),"")</f>
        <v/>
      </c>
      <c r="D260" s="12">
        <f>IFERROR(IF(SUMIFS(tblDaily[Deaths],tblDaily[EntryDate],DATE(2026,7,20),tblDaily[WardCode],"FAE")=0,"",SUMIFS(tblDaily[Deaths],tblDaily[EntryDate],DATE(2026,7,20),tblDaily[WardCode],"FAE")),"")</f>
        <v/>
      </c>
      <c r="E260" s="12">
        <f>IFERROR(IF(SUMIFS(tblDaily[DeathsUnder24Hrs],tblDaily[EntryDate],DATE(2026,7,20),tblDaily[WardCode],"FAE")=0,"",SUMIFS(tblDaily[DeathsUnder24Hrs],tblDaily[EntryDate],DATE(2026,7,20),tblDaily[WardCode],"FAE")),"")</f>
        <v/>
      </c>
      <c r="F260" s="12">
        <f>IFERROR(IF(SUMIFS(tblDaily[TransfersIn],tblDaily[EntryDate],DATE(2026,7,20),tblDaily[WardCode],"FAE")=0,"",SUMIFS(tblDaily[TransfersIn],tblDaily[EntryDate],DATE(2026,7,20),tblDaily[WardCode],"FAE")),"")</f>
        <v/>
      </c>
      <c r="G260" s="12">
        <f>IFERROR(IF(SUMIFS(tblDaily[TransfersOut],tblDaily[EntryDate],DATE(2026,7,20),tblDaily[WardCode],"FAE")=0,"",SUMIFS(tblDaily[TransfersOut],tblDaily[EntryDate],DATE(2026,7,20),tblDaily[WardCode],"FAE")),"")</f>
        <v/>
      </c>
      <c r="H260" s="12">
        <f>IFERROR(IF(SUMIFS(tblDaily[Remaining],tblDaily[EntryDate],DATE(2026,7,20),tblDaily[WardCode],"FAE")=0,"",SUMIFS(tblDaily[Remaining],tblDaily[EntryDate],DATE(2026,7,20),tblDaily[WardCode],"FAE")),"")</f>
        <v/>
      </c>
    </row>
    <row r="261">
      <c r="A261" s="12" t="n">
        <v>21</v>
      </c>
      <c r="B261" s="12">
        <f>IFERROR(IF(SUMIFS(tblDaily[Admissions],tblDaily[EntryDate],DATE(2026,7,21),tblDaily[WardCode],"FAE")=0,"",SUMIFS(tblDaily[Admissions],tblDaily[EntryDate],DATE(2026,7,21),tblDaily[WardCode],"FAE")),"")</f>
        <v/>
      </c>
      <c r="C261" s="12">
        <f>IFERROR(IF(SUMIFS(tblDaily[Discharges],tblDaily[EntryDate],DATE(2026,7,21),tblDaily[WardCode],"FAE")=0,"",SUMIFS(tblDaily[Discharges],tblDaily[EntryDate],DATE(2026,7,21),tblDaily[WardCode],"FAE")),"")</f>
        <v/>
      </c>
      <c r="D261" s="12">
        <f>IFERROR(IF(SUMIFS(tblDaily[Deaths],tblDaily[EntryDate],DATE(2026,7,21),tblDaily[WardCode],"FAE")=0,"",SUMIFS(tblDaily[Deaths],tblDaily[EntryDate],DATE(2026,7,21),tblDaily[WardCode],"FAE")),"")</f>
        <v/>
      </c>
      <c r="E261" s="12">
        <f>IFERROR(IF(SUMIFS(tblDaily[DeathsUnder24Hrs],tblDaily[EntryDate],DATE(2026,7,21),tblDaily[WardCode],"FAE")=0,"",SUMIFS(tblDaily[DeathsUnder24Hrs],tblDaily[EntryDate],DATE(2026,7,21),tblDaily[WardCode],"FAE")),"")</f>
        <v/>
      </c>
      <c r="F261" s="12">
        <f>IFERROR(IF(SUMIFS(tblDaily[TransfersIn],tblDaily[EntryDate],DATE(2026,7,21),tblDaily[WardCode],"FAE")=0,"",SUMIFS(tblDaily[TransfersIn],tblDaily[EntryDate],DATE(2026,7,21),tblDaily[WardCode],"FAE")),"")</f>
        <v/>
      </c>
      <c r="G261" s="12">
        <f>IFERROR(IF(SUMIFS(tblDaily[TransfersOut],tblDaily[EntryDate],DATE(2026,7,21),tblDaily[WardCode],"FAE")=0,"",SUMIFS(tblDaily[TransfersOut],tblDaily[EntryDate],DATE(2026,7,21),tblDaily[WardCode],"FAE")),"")</f>
        <v/>
      </c>
      <c r="H261" s="12">
        <f>IFERROR(IF(SUMIFS(tblDaily[Remaining],tblDaily[EntryDate],DATE(2026,7,21),tblDaily[WardCode],"FAE")=0,"",SUMIFS(tblDaily[Remaining],tblDaily[EntryDate],DATE(2026,7,21),tblDaily[WardCode],"FAE")),"")</f>
        <v/>
      </c>
    </row>
    <row r="262">
      <c r="A262" s="12" t="n">
        <v>22</v>
      </c>
      <c r="B262" s="12">
        <f>IFERROR(IF(SUMIFS(tblDaily[Admissions],tblDaily[EntryDate],DATE(2026,7,22),tblDaily[WardCode],"FAE")=0,"",SUMIFS(tblDaily[Admissions],tblDaily[EntryDate],DATE(2026,7,22),tblDaily[WardCode],"FAE")),"")</f>
        <v/>
      </c>
      <c r="C262" s="12">
        <f>IFERROR(IF(SUMIFS(tblDaily[Discharges],tblDaily[EntryDate],DATE(2026,7,22),tblDaily[WardCode],"FAE")=0,"",SUMIFS(tblDaily[Discharges],tblDaily[EntryDate],DATE(2026,7,22),tblDaily[WardCode],"FAE")),"")</f>
        <v/>
      </c>
      <c r="D262" s="12">
        <f>IFERROR(IF(SUMIFS(tblDaily[Deaths],tblDaily[EntryDate],DATE(2026,7,22),tblDaily[WardCode],"FAE")=0,"",SUMIFS(tblDaily[Deaths],tblDaily[EntryDate],DATE(2026,7,22),tblDaily[WardCode],"FAE")),"")</f>
        <v/>
      </c>
      <c r="E262" s="12">
        <f>IFERROR(IF(SUMIFS(tblDaily[DeathsUnder24Hrs],tblDaily[EntryDate],DATE(2026,7,22),tblDaily[WardCode],"FAE")=0,"",SUMIFS(tblDaily[DeathsUnder24Hrs],tblDaily[EntryDate],DATE(2026,7,22),tblDaily[WardCode],"FAE")),"")</f>
        <v/>
      </c>
      <c r="F262" s="12">
        <f>IFERROR(IF(SUMIFS(tblDaily[TransfersIn],tblDaily[EntryDate],DATE(2026,7,22),tblDaily[WardCode],"FAE")=0,"",SUMIFS(tblDaily[TransfersIn],tblDaily[EntryDate],DATE(2026,7,22),tblDaily[WardCode],"FAE")),"")</f>
        <v/>
      </c>
      <c r="G262" s="12">
        <f>IFERROR(IF(SUMIFS(tblDaily[TransfersOut],tblDaily[EntryDate],DATE(2026,7,22),tblDaily[WardCode],"FAE")=0,"",SUMIFS(tblDaily[TransfersOut],tblDaily[EntryDate],DATE(2026,7,22),tblDaily[WardCode],"FAE")),"")</f>
        <v/>
      </c>
      <c r="H262" s="12">
        <f>IFERROR(IF(SUMIFS(tblDaily[Remaining],tblDaily[EntryDate],DATE(2026,7,22),tblDaily[WardCode],"FAE")=0,"",SUMIFS(tblDaily[Remaining],tblDaily[EntryDate],DATE(2026,7,22),tblDaily[WardCode],"FAE")),"")</f>
        <v/>
      </c>
    </row>
    <row r="263">
      <c r="A263" s="12" t="n">
        <v>23</v>
      </c>
      <c r="B263" s="12">
        <f>IFERROR(IF(SUMIFS(tblDaily[Admissions],tblDaily[EntryDate],DATE(2026,7,23),tblDaily[WardCode],"FAE")=0,"",SUMIFS(tblDaily[Admissions],tblDaily[EntryDate],DATE(2026,7,23),tblDaily[WardCode],"FAE")),"")</f>
        <v/>
      </c>
      <c r="C263" s="12">
        <f>IFERROR(IF(SUMIFS(tblDaily[Discharges],tblDaily[EntryDate],DATE(2026,7,23),tblDaily[WardCode],"FAE")=0,"",SUMIFS(tblDaily[Discharges],tblDaily[EntryDate],DATE(2026,7,23),tblDaily[WardCode],"FAE")),"")</f>
        <v/>
      </c>
      <c r="D263" s="12">
        <f>IFERROR(IF(SUMIFS(tblDaily[Deaths],tblDaily[EntryDate],DATE(2026,7,23),tblDaily[WardCode],"FAE")=0,"",SUMIFS(tblDaily[Deaths],tblDaily[EntryDate],DATE(2026,7,23),tblDaily[WardCode],"FAE")),"")</f>
        <v/>
      </c>
      <c r="E263" s="12">
        <f>IFERROR(IF(SUMIFS(tblDaily[DeathsUnder24Hrs],tblDaily[EntryDate],DATE(2026,7,23),tblDaily[WardCode],"FAE")=0,"",SUMIFS(tblDaily[DeathsUnder24Hrs],tblDaily[EntryDate],DATE(2026,7,23),tblDaily[WardCode],"FAE")),"")</f>
        <v/>
      </c>
      <c r="F263" s="12">
        <f>IFERROR(IF(SUMIFS(tblDaily[TransfersIn],tblDaily[EntryDate],DATE(2026,7,23),tblDaily[WardCode],"FAE")=0,"",SUMIFS(tblDaily[TransfersIn],tblDaily[EntryDate],DATE(2026,7,23),tblDaily[WardCode],"FAE")),"")</f>
        <v/>
      </c>
      <c r="G263" s="12">
        <f>IFERROR(IF(SUMIFS(tblDaily[TransfersOut],tblDaily[EntryDate],DATE(2026,7,23),tblDaily[WardCode],"FAE")=0,"",SUMIFS(tblDaily[TransfersOut],tblDaily[EntryDate],DATE(2026,7,23),tblDaily[WardCode],"FAE")),"")</f>
        <v/>
      </c>
      <c r="H263" s="12">
        <f>IFERROR(IF(SUMIFS(tblDaily[Remaining],tblDaily[EntryDate],DATE(2026,7,23),tblDaily[WardCode],"FAE")=0,"",SUMIFS(tblDaily[Remaining],tblDaily[EntryDate],DATE(2026,7,23),tblDaily[WardCode],"FAE")),"")</f>
        <v/>
      </c>
    </row>
    <row r="264">
      <c r="A264" s="12" t="n">
        <v>24</v>
      </c>
      <c r="B264" s="12">
        <f>IFERROR(IF(SUMIFS(tblDaily[Admissions],tblDaily[EntryDate],DATE(2026,7,24),tblDaily[WardCode],"FAE")=0,"",SUMIFS(tblDaily[Admissions],tblDaily[EntryDate],DATE(2026,7,24),tblDaily[WardCode],"FAE")),"")</f>
        <v/>
      </c>
      <c r="C264" s="12">
        <f>IFERROR(IF(SUMIFS(tblDaily[Discharges],tblDaily[EntryDate],DATE(2026,7,24),tblDaily[WardCode],"FAE")=0,"",SUMIFS(tblDaily[Discharges],tblDaily[EntryDate],DATE(2026,7,24),tblDaily[WardCode],"FAE")),"")</f>
        <v/>
      </c>
      <c r="D264" s="12">
        <f>IFERROR(IF(SUMIFS(tblDaily[Deaths],tblDaily[EntryDate],DATE(2026,7,24),tblDaily[WardCode],"FAE")=0,"",SUMIFS(tblDaily[Deaths],tblDaily[EntryDate],DATE(2026,7,24),tblDaily[WardCode],"FAE")),"")</f>
        <v/>
      </c>
      <c r="E264" s="12">
        <f>IFERROR(IF(SUMIFS(tblDaily[DeathsUnder24Hrs],tblDaily[EntryDate],DATE(2026,7,24),tblDaily[WardCode],"FAE")=0,"",SUMIFS(tblDaily[DeathsUnder24Hrs],tblDaily[EntryDate],DATE(2026,7,24),tblDaily[WardCode],"FAE")),"")</f>
        <v/>
      </c>
      <c r="F264" s="12">
        <f>IFERROR(IF(SUMIFS(tblDaily[TransfersIn],tblDaily[EntryDate],DATE(2026,7,24),tblDaily[WardCode],"FAE")=0,"",SUMIFS(tblDaily[TransfersIn],tblDaily[EntryDate],DATE(2026,7,24),tblDaily[WardCode],"FAE")),"")</f>
        <v/>
      </c>
      <c r="G264" s="12">
        <f>IFERROR(IF(SUMIFS(tblDaily[TransfersOut],tblDaily[EntryDate],DATE(2026,7,24),tblDaily[WardCode],"FAE")=0,"",SUMIFS(tblDaily[TransfersOut],tblDaily[EntryDate],DATE(2026,7,24),tblDaily[WardCode],"FAE")),"")</f>
        <v/>
      </c>
      <c r="H264" s="12">
        <f>IFERROR(IF(SUMIFS(tblDaily[Remaining],tblDaily[EntryDate],DATE(2026,7,24),tblDaily[WardCode],"FAE")=0,"",SUMIFS(tblDaily[Remaining],tblDaily[EntryDate],DATE(2026,7,24),tblDaily[WardCode],"FAE")),"")</f>
        <v/>
      </c>
    </row>
    <row r="265">
      <c r="A265" s="12" t="n">
        <v>25</v>
      </c>
      <c r="B265" s="12">
        <f>IFERROR(IF(SUMIFS(tblDaily[Admissions],tblDaily[EntryDate],DATE(2026,7,25),tblDaily[WardCode],"FAE")=0,"",SUMIFS(tblDaily[Admissions],tblDaily[EntryDate],DATE(2026,7,25),tblDaily[WardCode],"FAE")),"")</f>
        <v/>
      </c>
      <c r="C265" s="12">
        <f>IFERROR(IF(SUMIFS(tblDaily[Discharges],tblDaily[EntryDate],DATE(2026,7,25),tblDaily[WardCode],"FAE")=0,"",SUMIFS(tblDaily[Discharges],tblDaily[EntryDate],DATE(2026,7,25),tblDaily[WardCode],"FAE")),"")</f>
        <v/>
      </c>
      <c r="D265" s="12">
        <f>IFERROR(IF(SUMIFS(tblDaily[Deaths],tblDaily[EntryDate],DATE(2026,7,25),tblDaily[WardCode],"FAE")=0,"",SUMIFS(tblDaily[Deaths],tblDaily[EntryDate],DATE(2026,7,25),tblDaily[WardCode],"FAE")),"")</f>
        <v/>
      </c>
      <c r="E265" s="12">
        <f>IFERROR(IF(SUMIFS(tblDaily[DeathsUnder24Hrs],tblDaily[EntryDate],DATE(2026,7,25),tblDaily[WardCode],"FAE")=0,"",SUMIFS(tblDaily[DeathsUnder24Hrs],tblDaily[EntryDate],DATE(2026,7,25),tblDaily[WardCode],"FAE")),"")</f>
        <v/>
      </c>
      <c r="F265" s="12">
        <f>IFERROR(IF(SUMIFS(tblDaily[TransfersIn],tblDaily[EntryDate],DATE(2026,7,25),tblDaily[WardCode],"FAE")=0,"",SUMIFS(tblDaily[TransfersIn],tblDaily[EntryDate],DATE(2026,7,25),tblDaily[WardCode],"FAE")),"")</f>
        <v/>
      </c>
      <c r="G265" s="12">
        <f>IFERROR(IF(SUMIFS(tblDaily[TransfersOut],tblDaily[EntryDate],DATE(2026,7,25),tblDaily[WardCode],"FAE")=0,"",SUMIFS(tblDaily[TransfersOut],tblDaily[EntryDate],DATE(2026,7,25),tblDaily[WardCode],"FAE")),"")</f>
        <v/>
      </c>
      <c r="H265" s="12">
        <f>IFERROR(IF(SUMIFS(tblDaily[Remaining],tblDaily[EntryDate],DATE(2026,7,25),tblDaily[WardCode],"FAE")=0,"",SUMIFS(tblDaily[Remaining],tblDaily[EntryDate],DATE(2026,7,25),tblDaily[WardCode],"FAE")),"")</f>
        <v/>
      </c>
    </row>
    <row r="266">
      <c r="A266" s="12" t="n">
        <v>26</v>
      </c>
      <c r="B266" s="12">
        <f>IFERROR(IF(SUMIFS(tblDaily[Admissions],tblDaily[EntryDate],DATE(2026,7,26),tblDaily[WardCode],"FAE")=0,"",SUMIFS(tblDaily[Admissions],tblDaily[EntryDate],DATE(2026,7,26),tblDaily[WardCode],"FAE")),"")</f>
        <v/>
      </c>
      <c r="C266" s="12">
        <f>IFERROR(IF(SUMIFS(tblDaily[Discharges],tblDaily[EntryDate],DATE(2026,7,26),tblDaily[WardCode],"FAE")=0,"",SUMIFS(tblDaily[Discharges],tblDaily[EntryDate],DATE(2026,7,26),tblDaily[WardCode],"FAE")),"")</f>
        <v/>
      </c>
      <c r="D266" s="12">
        <f>IFERROR(IF(SUMIFS(tblDaily[Deaths],tblDaily[EntryDate],DATE(2026,7,26),tblDaily[WardCode],"FAE")=0,"",SUMIFS(tblDaily[Deaths],tblDaily[EntryDate],DATE(2026,7,26),tblDaily[WardCode],"FAE")),"")</f>
        <v/>
      </c>
      <c r="E266" s="12">
        <f>IFERROR(IF(SUMIFS(tblDaily[DeathsUnder24Hrs],tblDaily[EntryDate],DATE(2026,7,26),tblDaily[WardCode],"FAE")=0,"",SUMIFS(tblDaily[DeathsUnder24Hrs],tblDaily[EntryDate],DATE(2026,7,26),tblDaily[WardCode],"FAE")),"")</f>
        <v/>
      </c>
      <c r="F266" s="12">
        <f>IFERROR(IF(SUMIFS(tblDaily[TransfersIn],tblDaily[EntryDate],DATE(2026,7,26),tblDaily[WardCode],"FAE")=0,"",SUMIFS(tblDaily[TransfersIn],tblDaily[EntryDate],DATE(2026,7,26),tblDaily[WardCode],"FAE")),"")</f>
        <v/>
      </c>
      <c r="G266" s="12">
        <f>IFERROR(IF(SUMIFS(tblDaily[TransfersOut],tblDaily[EntryDate],DATE(2026,7,26),tblDaily[WardCode],"FAE")=0,"",SUMIFS(tblDaily[TransfersOut],tblDaily[EntryDate],DATE(2026,7,26),tblDaily[WardCode],"FAE")),"")</f>
        <v/>
      </c>
      <c r="H266" s="12">
        <f>IFERROR(IF(SUMIFS(tblDaily[Remaining],tblDaily[EntryDate],DATE(2026,7,26),tblDaily[WardCode],"FAE")=0,"",SUMIFS(tblDaily[Remaining],tblDaily[EntryDate],DATE(2026,7,26),tblDaily[WardCode],"FAE")),"")</f>
        <v/>
      </c>
    </row>
    <row r="267">
      <c r="A267" s="12" t="n">
        <v>27</v>
      </c>
      <c r="B267" s="12">
        <f>IFERROR(IF(SUMIFS(tblDaily[Admissions],tblDaily[EntryDate],DATE(2026,7,27),tblDaily[WardCode],"FAE")=0,"",SUMIFS(tblDaily[Admissions],tblDaily[EntryDate],DATE(2026,7,27),tblDaily[WardCode],"FAE")),"")</f>
        <v/>
      </c>
      <c r="C267" s="12">
        <f>IFERROR(IF(SUMIFS(tblDaily[Discharges],tblDaily[EntryDate],DATE(2026,7,27),tblDaily[WardCode],"FAE")=0,"",SUMIFS(tblDaily[Discharges],tblDaily[EntryDate],DATE(2026,7,27),tblDaily[WardCode],"FAE")),"")</f>
        <v/>
      </c>
      <c r="D267" s="12">
        <f>IFERROR(IF(SUMIFS(tblDaily[Deaths],tblDaily[EntryDate],DATE(2026,7,27),tblDaily[WardCode],"FAE")=0,"",SUMIFS(tblDaily[Deaths],tblDaily[EntryDate],DATE(2026,7,27),tblDaily[WardCode],"FAE")),"")</f>
        <v/>
      </c>
      <c r="E267" s="12">
        <f>IFERROR(IF(SUMIFS(tblDaily[DeathsUnder24Hrs],tblDaily[EntryDate],DATE(2026,7,27),tblDaily[WardCode],"FAE")=0,"",SUMIFS(tblDaily[DeathsUnder24Hrs],tblDaily[EntryDate],DATE(2026,7,27),tblDaily[WardCode],"FAE")),"")</f>
        <v/>
      </c>
      <c r="F267" s="12">
        <f>IFERROR(IF(SUMIFS(tblDaily[TransfersIn],tblDaily[EntryDate],DATE(2026,7,27),tblDaily[WardCode],"FAE")=0,"",SUMIFS(tblDaily[TransfersIn],tblDaily[EntryDate],DATE(2026,7,27),tblDaily[WardCode],"FAE")),"")</f>
        <v/>
      </c>
      <c r="G267" s="12">
        <f>IFERROR(IF(SUMIFS(tblDaily[TransfersOut],tblDaily[EntryDate],DATE(2026,7,27),tblDaily[WardCode],"FAE")=0,"",SUMIFS(tblDaily[TransfersOut],tblDaily[EntryDate],DATE(2026,7,27),tblDaily[WardCode],"FAE")),"")</f>
        <v/>
      </c>
      <c r="H267" s="12">
        <f>IFERROR(IF(SUMIFS(tblDaily[Remaining],tblDaily[EntryDate],DATE(2026,7,27),tblDaily[WardCode],"FAE")=0,"",SUMIFS(tblDaily[Remaining],tblDaily[EntryDate],DATE(2026,7,27),tblDaily[WardCode],"FAE")),"")</f>
        <v/>
      </c>
    </row>
    <row r="268">
      <c r="A268" s="12" t="n">
        <v>28</v>
      </c>
      <c r="B268" s="12">
        <f>IFERROR(IF(SUMIFS(tblDaily[Admissions],tblDaily[EntryDate],DATE(2026,7,28),tblDaily[WardCode],"FAE")=0,"",SUMIFS(tblDaily[Admissions],tblDaily[EntryDate],DATE(2026,7,28),tblDaily[WardCode],"FAE")),"")</f>
        <v/>
      </c>
      <c r="C268" s="12">
        <f>IFERROR(IF(SUMIFS(tblDaily[Discharges],tblDaily[EntryDate],DATE(2026,7,28),tblDaily[WardCode],"FAE")=0,"",SUMIFS(tblDaily[Discharges],tblDaily[EntryDate],DATE(2026,7,28),tblDaily[WardCode],"FAE")),"")</f>
        <v/>
      </c>
      <c r="D268" s="12">
        <f>IFERROR(IF(SUMIFS(tblDaily[Deaths],tblDaily[EntryDate],DATE(2026,7,28),tblDaily[WardCode],"FAE")=0,"",SUMIFS(tblDaily[Deaths],tblDaily[EntryDate],DATE(2026,7,28),tblDaily[WardCode],"FAE")),"")</f>
        <v/>
      </c>
      <c r="E268" s="12">
        <f>IFERROR(IF(SUMIFS(tblDaily[DeathsUnder24Hrs],tblDaily[EntryDate],DATE(2026,7,28),tblDaily[WardCode],"FAE")=0,"",SUMIFS(tblDaily[DeathsUnder24Hrs],tblDaily[EntryDate],DATE(2026,7,28),tblDaily[WardCode],"FAE")),"")</f>
        <v/>
      </c>
      <c r="F268" s="12">
        <f>IFERROR(IF(SUMIFS(tblDaily[TransfersIn],tblDaily[EntryDate],DATE(2026,7,28),tblDaily[WardCode],"FAE")=0,"",SUMIFS(tblDaily[TransfersIn],tblDaily[EntryDate],DATE(2026,7,28),tblDaily[WardCode],"FAE")),"")</f>
        <v/>
      </c>
      <c r="G268" s="12">
        <f>IFERROR(IF(SUMIFS(tblDaily[TransfersOut],tblDaily[EntryDate],DATE(2026,7,28),tblDaily[WardCode],"FAE")=0,"",SUMIFS(tblDaily[TransfersOut],tblDaily[EntryDate],DATE(2026,7,28),tblDaily[WardCode],"FAE")),"")</f>
        <v/>
      </c>
      <c r="H268" s="12">
        <f>IFERROR(IF(SUMIFS(tblDaily[Remaining],tblDaily[EntryDate],DATE(2026,7,28),tblDaily[WardCode],"FAE")=0,"",SUMIFS(tblDaily[Remaining],tblDaily[EntryDate],DATE(2026,7,28),tblDaily[WardCode],"FAE")),"")</f>
        <v/>
      </c>
    </row>
    <row r="269">
      <c r="A269" s="12" t="n">
        <v>29</v>
      </c>
      <c r="B269" s="12">
        <f>IFERROR(IF(SUMIFS(tblDaily[Admissions],tblDaily[EntryDate],DATE(2026,7,29),tblDaily[WardCode],"FAE")=0,"",SUMIFS(tblDaily[Admissions],tblDaily[EntryDate],DATE(2026,7,29),tblDaily[WardCode],"FAE")),"")</f>
        <v/>
      </c>
      <c r="C269" s="12">
        <f>IFERROR(IF(SUMIFS(tblDaily[Discharges],tblDaily[EntryDate],DATE(2026,7,29),tblDaily[WardCode],"FAE")=0,"",SUMIFS(tblDaily[Discharges],tblDaily[EntryDate],DATE(2026,7,29),tblDaily[WardCode],"FAE")),"")</f>
        <v/>
      </c>
      <c r="D269" s="12">
        <f>IFERROR(IF(SUMIFS(tblDaily[Deaths],tblDaily[EntryDate],DATE(2026,7,29),tblDaily[WardCode],"FAE")=0,"",SUMIFS(tblDaily[Deaths],tblDaily[EntryDate],DATE(2026,7,29),tblDaily[WardCode],"FAE")),"")</f>
        <v/>
      </c>
      <c r="E269" s="12">
        <f>IFERROR(IF(SUMIFS(tblDaily[DeathsUnder24Hrs],tblDaily[EntryDate],DATE(2026,7,29),tblDaily[WardCode],"FAE")=0,"",SUMIFS(tblDaily[DeathsUnder24Hrs],tblDaily[EntryDate],DATE(2026,7,29),tblDaily[WardCode],"FAE")),"")</f>
        <v/>
      </c>
      <c r="F269" s="12">
        <f>IFERROR(IF(SUMIFS(tblDaily[TransfersIn],tblDaily[EntryDate],DATE(2026,7,29),tblDaily[WardCode],"FAE")=0,"",SUMIFS(tblDaily[TransfersIn],tblDaily[EntryDate],DATE(2026,7,29),tblDaily[WardCode],"FAE")),"")</f>
        <v/>
      </c>
      <c r="G269" s="12">
        <f>IFERROR(IF(SUMIFS(tblDaily[TransfersOut],tblDaily[EntryDate],DATE(2026,7,29),tblDaily[WardCode],"FAE")=0,"",SUMIFS(tblDaily[TransfersOut],tblDaily[EntryDate],DATE(2026,7,29),tblDaily[WardCode],"FAE")),"")</f>
        <v/>
      </c>
      <c r="H269" s="12">
        <f>IFERROR(IF(SUMIFS(tblDaily[Remaining],tblDaily[EntryDate],DATE(2026,7,29),tblDaily[WardCode],"FAE")=0,"",SUMIFS(tblDaily[Remaining],tblDaily[EntryDate],DATE(2026,7,29),tblDaily[WardCode],"FAE")),"")</f>
        <v/>
      </c>
    </row>
    <row r="270">
      <c r="A270" s="12" t="n">
        <v>30</v>
      </c>
      <c r="B270" s="12">
        <f>IFERROR(IF(SUMIFS(tblDaily[Admissions],tblDaily[EntryDate],DATE(2026,7,30),tblDaily[WardCode],"FAE")=0,"",SUMIFS(tblDaily[Admissions],tblDaily[EntryDate],DATE(2026,7,30),tblDaily[WardCode],"FAE")),"")</f>
        <v/>
      </c>
      <c r="C270" s="12">
        <f>IFERROR(IF(SUMIFS(tblDaily[Discharges],tblDaily[EntryDate],DATE(2026,7,30),tblDaily[WardCode],"FAE")=0,"",SUMIFS(tblDaily[Discharges],tblDaily[EntryDate],DATE(2026,7,30),tblDaily[WardCode],"FAE")),"")</f>
        <v/>
      </c>
      <c r="D270" s="12">
        <f>IFERROR(IF(SUMIFS(tblDaily[Deaths],tblDaily[EntryDate],DATE(2026,7,30),tblDaily[WardCode],"FAE")=0,"",SUMIFS(tblDaily[Deaths],tblDaily[EntryDate],DATE(2026,7,30),tblDaily[WardCode],"FAE")),"")</f>
        <v/>
      </c>
      <c r="E270" s="12">
        <f>IFERROR(IF(SUMIFS(tblDaily[DeathsUnder24Hrs],tblDaily[EntryDate],DATE(2026,7,30),tblDaily[WardCode],"FAE")=0,"",SUMIFS(tblDaily[DeathsUnder24Hrs],tblDaily[EntryDate],DATE(2026,7,30),tblDaily[WardCode],"FAE")),"")</f>
        <v/>
      </c>
      <c r="F270" s="12">
        <f>IFERROR(IF(SUMIFS(tblDaily[TransfersIn],tblDaily[EntryDate],DATE(2026,7,30),tblDaily[WardCode],"FAE")=0,"",SUMIFS(tblDaily[TransfersIn],tblDaily[EntryDate],DATE(2026,7,30),tblDaily[WardCode],"FAE")),"")</f>
        <v/>
      </c>
      <c r="G270" s="12">
        <f>IFERROR(IF(SUMIFS(tblDaily[TransfersOut],tblDaily[EntryDate],DATE(2026,7,30),tblDaily[WardCode],"FAE")=0,"",SUMIFS(tblDaily[TransfersOut],tblDaily[EntryDate],DATE(2026,7,30),tblDaily[WardCode],"FAE")),"")</f>
        <v/>
      </c>
      <c r="H270" s="12">
        <f>IFERROR(IF(SUMIFS(tblDaily[Remaining],tblDaily[EntryDate],DATE(2026,7,30),tblDaily[WardCode],"FAE")=0,"",SUMIFS(tblDaily[Remaining],tblDaily[EntryDate],DATE(2026,7,30),tblDaily[WardCode],"FAE")),"")</f>
        <v/>
      </c>
    </row>
    <row r="271">
      <c r="A271" s="12" t="n">
        <v>31</v>
      </c>
      <c r="B271" s="12">
        <f>IFERROR(IF(SUMIFS(tblDaily[Admissions],tblDaily[EntryDate],DATE(2026,7,31),tblDaily[WardCode],"FAE")=0,"",SUMIFS(tblDaily[Admissions],tblDaily[EntryDate],DATE(2026,7,31),tblDaily[WardCode],"FAE")),"")</f>
        <v/>
      </c>
      <c r="C271" s="12">
        <f>IFERROR(IF(SUMIFS(tblDaily[Discharges],tblDaily[EntryDate],DATE(2026,7,31),tblDaily[WardCode],"FAE")=0,"",SUMIFS(tblDaily[Discharges],tblDaily[EntryDate],DATE(2026,7,31),tblDaily[WardCode],"FAE")),"")</f>
        <v/>
      </c>
      <c r="D271" s="12">
        <f>IFERROR(IF(SUMIFS(tblDaily[Deaths],tblDaily[EntryDate],DATE(2026,7,31),tblDaily[WardCode],"FAE")=0,"",SUMIFS(tblDaily[Deaths],tblDaily[EntryDate],DATE(2026,7,31),tblDaily[WardCode],"FAE")),"")</f>
        <v/>
      </c>
      <c r="E271" s="12">
        <f>IFERROR(IF(SUMIFS(tblDaily[DeathsUnder24Hrs],tblDaily[EntryDate],DATE(2026,7,31),tblDaily[WardCode],"FAE")=0,"",SUMIFS(tblDaily[DeathsUnder24Hrs],tblDaily[EntryDate],DATE(2026,7,31),tblDaily[WardCode],"FAE")),"")</f>
        <v/>
      </c>
      <c r="F271" s="12">
        <f>IFERROR(IF(SUMIFS(tblDaily[TransfersIn],tblDaily[EntryDate],DATE(2026,7,31),tblDaily[WardCode],"FAE")=0,"",SUMIFS(tblDaily[TransfersIn],tblDaily[EntryDate],DATE(2026,7,31),tblDaily[WardCode],"FAE")),"")</f>
        <v/>
      </c>
      <c r="G271" s="12">
        <f>IFERROR(IF(SUMIFS(tblDaily[TransfersOut],tblDaily[EntryDate],DATE(2026,7,31),tblDaily[WardCode],"FAE")=0,"",SUMIFS(tblDaily[TransfersOut],tblDaily[EntryDate],DATE(2026,7,31),tblDaily[WardCode],"FAE")),"")</f>
        <v/>
      </c>
      <c r="H271" s="12">
        <f>IFERROR(IF(SUMIFS(tblDaily[Remaining],tblDaily[EntryDate],DATE(2026,7,31),tblDaily[WardCode],"FAE")=0,"",SUMIFS(tblDaily[Remaining],tblDaily[EntryDate],DATE(2026,7,31),tblDaily[WardCode],"FAE")),"")</f>
        <v/>
      </c>
    </row>
    <row r="272">
      <c r="A272" s="17" t="inlineStr">
        <is>
          <t>TOTAL</t>
        </is>
      </c>
      <c r="B272" s="17">
        <f>SUMIFS(tblDaily[Admissions],tblDaily[Month],7,tblDaily[WardCode],"FAE") - SUMIFS(tblDaily[DeathsUnder24Hrs],tblDaily[Month],7,tblDaily[WardCode],"FAE")</f>
        <v/>
      </c>
      <c r="C272" s="17">
        <f>SUMIFS(tblDaily[Discharges],tblDaily[Month],7,tblDaily[WardCode],"FAE")</f>
        <v/>
      </c>
      <c r="D272" s="17">
        <f>SUMIFS(tblDaily[Deaths],tblDaily[Month],7,tblDaily[WardCode],"FAE")</f>
        <v/>
      </c>
      <c r="E272" s="17">
        <f>SUMIFS(tblDaily[DeathsUnder24Hrs],tblDaily[Month],7,tblDaily[WardCode],"FAE")</f>
        <v/>
      </c>
      <c r="F272" s="17">
        <f>SUMIFS(tblDaily[TransfersIn],tblDaily[Month],7,tblDaily[WardCode],"FAE")</f>
        <v/>
      </c>
      <c r="G272" s="17">
        <f>SUMIFS(tblDaily[TransfersOut],tblDaily[Month],7,tblDaily[WardCode],"FAE")</f>
        <v/>
      </c>
      <c r="H272" s="17">
        <f>SUMIFS(tblDaily[Remaining],tblDaily[Month],7,tblDaily[WardCode],"FAE")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FEMALE EMERGENCY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4">
        <f>IFERROR(SUMIFS(tblDaily[Remaining],tblDaily[EntryDate],DATE(2026,7,31),tblDaily[WardCode],"FAE"),0)</f>
        <v/>
      </c>
    </row>
    <row r="278">
      <c r="A278" s="4" t="inlineStr">
        <is>
          <t>Bed complement</t>
        </is>
      </c>
      <c r="H278" s="15">
        <f>IFERROR(INDEX(tblWardConfig[BedComplement],MATCH("FAE",tblWardConfig[WardCode],0)),0)</f>
        <v/>
      </c>
    </row>
    <row r="279">
      <c r="A279" s="16" t="inlineStr">
        <is>
          <t>Day of
the
Month</t>
        </is>
      </c>
      <c r="B279" s="16" t="inlineStr">
        <is>
          <t>Admissions</t>
        </is>
      </c>
      <c r="C279" s="16" t="inlineStr">
        <is>
          <t>Discharges</t>
        </is>
      </c>
      <c r="D279" s="16" t="inlineStr">
        <is>
          <t>Deaths</t>
        </is>
      </c>
      <c r="E279" s="16" t="inlineStr">
        <is>
          <t>Deaths
&lt;24Hrs</t>
        </is>
      </c>
      <c r="F279" s="16" t="inlineStr">
        <is>
          <t>Transfers-
In</t>
        </is>
      </c>
      <c r="G279" s="16" t="inlineStr">
        <is>
          <t>Transfers-
Out</t>
        </is>
      </c>
      <c r="H279" s="16" t="inlineStr">
        <is>
          <t>No. of Patients
Remaining In
Ward</t>
        </is>
      </c>
    </row>
    <row r="280">
      <c r="A280" s="12" t="n">
        <v>1</v>
      </c>
      <c r="B280" s="12">
        <f>IFERROR(IF(SUMIFS(tblDaily[Admissions],tblDaily[EntryDate],DATE(2026,8,1),tblDaily[WardCode],"FAE")=0,"",SUMIFS(tblDaily[Admissions],tblDaily[EntryDate],DATE(2026,8,1),tblDaily[WardCode],"FAE")),"")</f>
        <v/>
      </c>
      <c r="C280" s="12">
        <f>IFERROR(IF(SUMIFS(tblDaily[Discharges],tblDaily[EntryDate],DATE(2026,8,1),tblDaily[WardCode],"FAE")=0,"",SUMIFS(tblDaily[Discharges],tblDaily[EntryDate],DATE(2026,8,1),tblDaily[WardCode],"FAE")),"")</f>
        <v/>
      </c>
      <c r="D280" s="12">
        <f>IFERROR(IF(SUMIFS(tblDaily[Deaths],tblDaily[EntryDate],DATE(2026,8,1),tblDaily[WardCode],"FAE")=0,"",SUMIFS(tblDaily[Deaths],tblDaily[EntryDate],DATE(2026,8,1),tblDaily[WardCode],"FAE")),"")</f>
        <v/>
      </c>
      <c r="E280" s="12">
        <f>IFERROR(IF(SUMIFS(tblDaily[DeathsUnder24Hrs],tblDaily[EntryDate],DATE(2026,8,1),tblDaily[WardCode],"FAE")=0,"",SUMIFS(tblDaily[DeathsUnder24Hrs],tblDaily[EntryDate],DATE(2026,8,1),tblDaily[WardCode],"FAE")),"")</f>
        <v/>
      </c>
      <c r="F280" s="12">
        <f>IFERROR(IF(SUMIFS(tblDaily[TransfersIn],tblDaily[EntryDate],DATE(2026,8,1),tblDaily[WardCode],"FAE")=0,"",SUMIFS(tblDaily[TransfersIn],tblDaily[EntryDate],DATE(2026,8,1),tblDaily[WardCode],"FAE")),"")</f>
        <v/>
      </c>
      <c r="G280" s="12">
        <f>IFERROR(IF(SUMIFS(tblDaily[TransfersOut],tblDaily[EntryDate],DATE(2026,8,1),tblDaily[WardCode],"FAE")=0,"",SUMIFS(tblDaily[TransfersOut],tblDaily[EntryDate],DATE(2026,8,1),tblDaily[WardCode],"FAE")),"")</f>
        <v/>
      </c>
      <c r="H280" s="12">
        <f>IFERROR(IF(SUMIFS(tblDaily[Remaining],tblDaily[EntryDate],DATE(2026,8,1),tblDaily[WardCode],"FAE")=0,"",SUMIFS(tblDaily[Remaining],tblDaily[EntryDate],DATE(2026,8,1),tblDaily[WardCode],"FAE")),"")</f>
        <v/>
      </c>
    </row>
    <row r="281">
      <c r="A281" s="12" t="n">
        <v>2</v>
      </c>
      <c r="B281" s="12">
        <f>IFERROR(IF(SUMIFS(tblDaily[Admissions],tblDaily[EntryDate],DATE(2026,8,2),tblDaily[WardCode],"FAE")=0,"",SUMIFS(tblDaily[Admissions],tblDaily[EntryDate],DATE(2026,8,2),tblDaily[WardCode],"FAE")),"")</f>
        <v/>
      </c>
      <c r="C281" s="12">
        <f>IFERROR(IF(SUMIFS(tblDaily[Discharges],tblDaily[EntryDate],DATE(2026,8,2),tblDaily[WardCode],"FAE")=0,"",SUMIFS(tblDaily[Discharges],tblDaily[EntryDate],DATE(2026,8,2),tblDaily[WardCode],"FAE")),"")</f>
        <v/>
      </c>
      <c r="D281" s="12">
        <f>IFERROR(IF(SUMIFS(tblDaily[Deaths],tblDaily[EntryDate],DATE(2026,8,2),tblDaily[WardCode],"FAE")=0,"",SUMIFS(tblDaily[Deaths],tblDaily[EntryDate],DATE(2026,8,2),tblDaily[WardCode],"FAE")),"")</f>
        <v/>
      </c>
      <c r="E281" s="12">
        <f>IFERROR(IF(SUMIFS(tblDaily[DeathsUnder24Hrs],tblDaily[EntryDate],DATE(2026,8,2),tblDaily[WardCode],"FAE")=0,"",SUMIFS(tblDaily[DeathsUnder24Hrs],tblDaily[EntryDate],DATE(2026,8,2),tblDaily[WardCode],"FAE")),"")</f>
        <v/>
      </c>
      <c r="F281" s="12">
        <f>IFERROR(IF(SUMIFS(tblDaily[TransfersIn],tblDaily[EntryDate],DATE(2026,8,2),tblDaily[WardCode],"FAE")=0,"",SUMIFS(tblDaily[TransfersIn],tblDaily[EntryDate],DATE(2026,8,2),tblDaily[WardCode],"FAE")),"")</f>
        <v/>
      </c>
      <c r="G281" s="12">
        <f>IFERROR(IF(SUMIFS(tblDaily[TransfersOut],tblDaily[EntryDate],DATE(2026,8,2),tblDaily[WardCode],"FAE")=0,"",SUMIFS(tblDaily[TransfersOut],tblDaily[EntryDate],DATE(2026,8,2),tblDaily[WardCode],"FAE")),"")</f>
        <v/>
      </c>
      <c r="H281" s="12">
        <f>IFERROR(IF(SUMIFS(tblDaily[Remaining],tblDaily[EntryDate],DATE(2026,8,2),tblDaily[WardCode],"FAE")=0,"",SUMIFS(tblDaily[Remaining],tblDaily[EntryDate],DATE(2026,8,2),tblDaily[WardCode],"FAE")),"")</f>
        <v/>
      </c>
    </row>
    <row r="282">
      <c r="A282" s="12" t="n">
        <v>3</v>
      </c>
      <c r="B282" s="12">
        <f>IFERROR(IF(SUMIFS(tblDaily[Admissions],tblDaily[EntryDate],DATE(2026,8,3),tblDaily[WardCode],"FAE")=0,"",SUMIFS(tblDaily[Admissions],tblDaily[EntryDate],DATE(2026,8,3),tblDaily[WardCode],"FAE")),"")</f>
        <v/>
      </c>
      <c r="C282" s="12">
        <f>IFERROR(IF(SUMIFS(tblDaily[Discharges],tblDaily[EntryDate],DATE(2026,8,3),tblDaily[WardCode],"FAE")=0,"",SUMIFS(tblDaily[Discharges],tblDaily[EntryDate],DATE(2026,8,3),tblDaily[WardCode],"FAE")),"")</f>
        <v/>
      </c>
      <c r="D282" s="12">
        <f>IFERROR(IF(SUMIFS(tblDaily[Deaths],tblDaily[EntryDate],DATE(2026,8,3),tblDaily[WardCode],"FAE")=0,"",SUMIFS(tblDaily[Deaths],tblDaily[EntryDate],DATE(2026,8,3),tblDaily[WardCode],"FAE")),"")</f>
        <v/>
      </c>
      <c r="E282" s="12">
        <f>IFERROR(IF(SUMIFS(tblDaily[DeathsUnder24Hrs],tblDaily[EntryDate],DATE(2026,8,3),tblDaily[WardCode],"FAE")=0,"",SUMIFS(tblDaily[DeathsUnder24Hrs],tblDaily[EntryDate],DATE(2026,8,3),tblDaily[WardCode],"FAE")),"")</f>
        <v/>
      </c>
      <c r="F282" s="12">
        <f>IFERROR(IF(SUMIFS(tblDaily[TransfersIn],tblDaily[EntryDate],DATE(2026,8,3),tblDaily[WardCode],"FAE")=0,"",SUMIFS(tblDaily[TransfersIn],tblDaily[EntryDate],DATE(2026,8,3),tblDaily[WardCode],"FAE")),"")</f>
        <v/>
      </c>
      <c r="G282" s="12">
        <f>IFERROR(IF(SUMIFS(tblDaily[TransfersOut],tblDaily[EntryDate],DATE(2026,8,3),tblDaily[WardCode],"FAE")=0,"",SUMIFS(tblDaily[TransfersOut],tblDaily[EntryDate],DATE(2026,8,3),tblDaily[WardCode],"FAE")),"")</f>
        <v/>
      </c>
      <c r="H282" s="12">
        <f>IFERROR(IF(SUMIFS(tblDaily[Remaining],tblDaily[EntryDate],DATE(2026,8,3),tblDaily[WardCode],"FAE")=0,"",SUMIFS(tblDaily[Remaining],tblDaily[EntryDate],DATE(2026,8,3),tblDaily[WardCode],"FAE")),"")</f>
        <v/>
      </c>
    </row>
    <row r="283">
      <c r="A283" s="12" t="n">
        <v>4</v>
      </c>
      <c r="B283" s="12">
        <f>IFERROR(IF(SUMIFS(tblDaily[Admissions],tblDaily[EntryDate],DATE(2026,8,4),tblDaily[WardCode],"FAE")=0,"",SUMIFS(tblDaily[Admissions],tblDaily[EntryDate],DATE(2026,8,4),tblDaily[WardCode],"FAE")),"")</f>
        <v/>
      </c>
      <c r="C283" s="12">
        <f>IFERROR(IF(SUMIFS(tblDaily[Discharges],tblDaily[EntryDate],DATE(2026,8,4),tblDaily[WardCode],"FAE")=0,"",SUMIFS(tblDaily[Discharges],tblDaily[EntryDate],DATE(2026,8,4),tblDaily[WardCode],"FAE")),"")</f>
        <v/>
      </c>
      <c r="D283" s="12">
        <f>IFERROR(IF(SUMIFS(tblDaily[Deaths],tblDaily[EntryDate],DATE(2026,8,4),tblDaily[WardCode],"FAE")=0,"",SUMIFS(tblDaily[Deaths],tblDaily[EntryDate],DATE(2026,8,4),tblDaily[WardCode],"FAE")),"")</f>
        <v/>
      </c>
      <c r="E283" s="12">
        <f>IFERROR(IF(SUMIFS(tblDaily[DeathsUnder24Hrs],tblDaily[EntryDate],DATE(2026,8,4),tblDaily[WardCode],"FAE")=0,"",SUMIFS(tblDaily[DeathsUnder24Hrs],tblDaily[EntryDate],DATE(2026,8,4),tblDaily[WardCode],"FAE")),"")</f>
        <v/>
      </c>
      <c r="F283" s="12">
        <f>IFERROR(IF(SUMIFS(tblDaily[TransfersIn],tblDaily[EntryDate],DATE(2026,8,4),tblDaily[WardCode],"FAE")=0,"",SUMIFS(tblDaily[TransfersIn],tblDaily[EntryDate],DATE(2026,8,4),tblDaily[WardCode],"FAE")),"")</f>
        <v/>
      </c>
      <c r="G283" s="12">
        <f>IFERROR(IF(SUMIFS(tblDaily[TransfersOut],tblDaily[EntryDate],DATE(2026,8,4),tblDaily[WardCode],"FAE")=0,"",SUMIFS(tblDaily[TransfersOut],tblDaily[EntryDate],DATE(2026,8,4),tblDaily[WardCode],"FAE")),"")</f>
        <v/>
      </c>
      <c r="H283" s="12">
        <f>IFERROR(IF(SUMIFS(tblDaily[Remaining],tblDaily[EntryDate],DATE(2026,8,4),tblDaily[WardCode],"FAE")=0,"",SUMIFS(tblDaily[Remaining],tblDaily[EntryDate],DATE(2026,8,4),tblDaily[WardCode],"FAE")),"")</f>
        <v/>
      </c>
    </row>
    <row r="284">
      <c r="A284" s="12" t="n">
        <v>5</v>
      </c>
      <c r="B284" s="12">
        <f>IFERROR(IF(SUMIFS(tblDaily[Admissions],tblDaily[EntryDate],DATE(2026,8,5),tblDaily[WardCode],"FAE")=0,"",SUMIFS(tblDaily[Admissions],tblDaily[EntryDate],DATE(2026,8,5),tblDaily[WardCode],"FAE")),"")</f>
        <v/>
      </c>
      <c r="C284" s="12">
        <f>IFERROR(IF(SUMIFS(tblDaily[Discharges],tblDaily[EntryDate],DATE(2026,8,5),tblDaily[WardCode],"FAE")=0,"",SUMIFS(tblDaily[Discharges],tblDaily[EntryDate],DATE(2026,8,5),tblDaily[WardCode],"FAE")),"")</f>
        <v/>
      </c>
      <c r="D284" s="12">
        <f>IFERROR(IF(SUMIFS(tblDaily[Deaths],tblDaily[EntryDate],DATE(2026,8,5),tblDaily[WardCode],"FAE")=0,"",SUMIFS(tblDaily[Deaths],tblDaily[EntryDate],DATE(2026,8,5),tblDaily[WardCode],"FAE")),"")</f>
        <v/>
      </c>
      <c r="E284" s="12">
        <f>IFERROR(IF(SUMIFS(tblDaily[DeathsUnder24Hrs],tblDaily[EntryDate],DATE(2026,8,5),tblDaily[WardCode],"FAE")=0,"",SUMIFS(tblDaily[DeathsUnder24Hrs],tblDaily[EntryDate],DATE(2026,8,5),tblDaily[WardCode],"FAE")),"")</f>
        <v/>
      </c>
      <c r="F284" s="12">
        <f>IFERROR(IF(SUMIFS(tblDaily[TransfersIn],tblDaily[EntryDate],DATE(2026,8,5),tblDaily[WardCode],"FAE")=0,"",SUMIFS(tblDaily[TransfersIn],tblDaily[EntryDate],DATE(2026,8,5),tblDaily[WardCode],"FAE")),"")</f>
        <v/>
      </c>
      <c r="G284" s="12">
        <f>IFERROR(IF(SUMIFS(tblDaily[TransfersOut],tblDaily[EntryDate],DATE(2026,8,5),tblDaily[WardCode],"FAE")=0,"",SUMIFS(tblDaily[TransfersOut],tblDaily[EntryDate],DATE(2026,8,5),tblDaily[WardCode],"FAE")),"")</f>
        <v/>
      </c>
      <c r="H284" s="12">
        <f>IFERROR(IF(SUMIFS(tblDaily[Remaining],tblDaily[EntryDate],DATE(2026,8,5),tblDaily[WardCode],"FAE")=0,"",SUMIFS(tblDaily[Remaining],tblDaily[EntryDate],DATE(2026,8,5),tblDaily[WardCode],"FAE")),"")</f>
        <v/>
      </c>
    </row>
    <row r="285">
      <c r="A285" s="12" t="n">
        <v>6</v>
      </c>
      <c r="B285" s="12">
        <f>IFERROR(IF(SUMIFS(tblDaily[Admissions],tblDaily[EntryDate],DATE(2026,8,6),tblDaily[WardCode],"FAE")=0,"",SUMIFS(tblDaily[Admissions],tblDaily[EntryDate],DATE(2026,8,6),tblDaily[WardCode],"FAE")),"")</f>
        <v/>
      </c>
      <c r="C285" s="12">
        <f>IFERROR(IF(SUMIFS(tblDaily[Discharges],tblDaily[EntryDate],DATE(2026,8,6),tblDaily[WardCode],"FAE")=0,"",SUMIFS(tblDaily[Discharges],tblDaily[EntryDate],DATE(2026,8,6),tblDaily[WardCode],"FAE")),"")</f>
        <v/>
      </c>
      <c r="D285" s="12">
        <f>IFERROR(IF(SUMIFS(tblDaily[Deaths],tblDaily[EntryDate],DATE(2026,8,6),tblDaily[WardCode],"FAE")=0,"",SUMIFS(tblDaily[Deaths],tblDaily[EntryDate],DATE(2026,8,6),tblDaily[WardCode],"FAE")),"")</f>
        <v/>
      </c>
      <c r="E285" s="12">
        <f>IFERROR(IF(SUMIFS(tblDaily[DeathsUnder24Hrs],tblDaily[EntryDate],DATE(2026,8,6),tblDaily[WardCode],"FAE")=0,"",SUMIFS(tblDaily[DeathsUnder24Hrs],tblDaily[EntryDate],DATE(2026,8,6),tblDaily[WardCode],"FAE")),"")</f>
        <v/>
      </c>
      <c r="F285" s="12">
        <f>IFERROR(IF(SUMIFS(tblDaily[TransfersIn],tblDaily[EntryDate],DATE(2026,8,6),tblDaily[WardCode],"FAE")=0,"",SUMIFS(tblDaily[TransfersIn],tblDaily[EntryDate],DATE(2026,8,6),tblDaily[WardCode],"FAE")),"")</f>
        <v/>
      </c>
      <c r="G285" s="12">
        <f>IFERROR(IF(SUMIFS(tblDaily[TransfersOut],tblDaily[EntryDate],DATE(2026,8,6),tblDaily[WardCode],"FAE")=0,"",SUMIFS(tblDaily[TransfersOut],tblDaily[EntryDate],DATE(2026,8,6),tblDaily[WardCode],"FAE")),"")</f>
        <v/>
      </c>
      <c r="H285" s="12">
        <f>IFERROR(IF(SUMIFS(tblDaily[Remaining],tblDaily[EntryDate],DATE(2026,8,6),tblDaily[WardCode],"FAE")=0,"",SUMIFS(tblDaily[Remaining],tblDaily[EntryDate],DATE(2026,8,6),tblDaily[WardCode],"FAE")),"")</f>
        <v/>
      </c>
    </row>
    <row r="286">
      <c r="A286" s="12" t="n">
        <v>7</v>
      </c>
      <c r="B286" s="12">
        <f>IFERROR(IF(SUMIFS(tblDaily[Admissions],tblDaily[EntryDate],DATE(2026,8,7),tblDaily[WardCode],"FAE")=0,"",SUMIFS(tblDaily[Admissions],tblDaily[EntryDate],DATE(2026,8,7),tblDaily[WardCode],"FAE")),"")</f>
        <v/>
      </c>
      <c r="C286" s="12">
        <f>IFERROR(IF(SUMIFS(tblDaily[Discharges],tblDaily[EntryDate],DATE(2026,8,7),tblDaily[WardCode],"FAE")=0,"",SUMIFS(tblDaily[Discharges],tblDaily[EntryDate],DATE(2026,8,7),tblDaily[WardCode],"FAE")),"")</f>
        <v/>
      </c>
      <c r="D286" s="12">
        <f>IFERROR(IF(SUMIFS(tblDaily[Deaths],tblDaily[EntryDate],DATE(2026,8,7),tblDaily[WardCode],"FAE")=0,"",SUMIFS(tblDaily[Deaths],tblDaily[EntryDate],DATE(2026,8,7),tblDaily[WardCode],"FAE")),"")</f>
        <v/>
      </c>
      <c r="E286" s="12">
        <f>IFERROR(IF(SUMIFS(tblDaily[DeathsUnder24Hrs],tblDaily[EntryDate],DATE(2026,8,7),tblDaily[WardCode],"FAE")=0,"",SUMIFS(tblDaily[DeathsUnder24Hrs],tblDaily[EntryDate],DATE(2026,8,7),tblDaily[WardCode],"FAE")),"")</f>
        <v/>
      </c>
      <c r="F286" s="12">
        <f>IFERROR(IF(SUMIFS(tblDaily[TransfersIn],tblDaily[EntryDate],DATE(2026,8,7),tblDaily[WardCode],"FAE")=0,"",SUMIFS(tblDaily[TransfersIn],tblDaily[EntryDate],DATE(2026,8,7),tblDaily[WardCode],"FAE")),"")</f>
        <v/>
      </c>
      <c r="G286" s="12">
        <f>IFERROR(IF(SUMIFS(tblDaily[TransfersOut],tblDaily[EntryDate],DATE(2026,8,7),tblDaily[WardCode],"FAE")=0,"",SUMIFS(tblDaily[TransfersOut],tblDaily[EntryDate],DATE(2026,8,7),tblDaily[WardCode],"FAE")),"")</f>
        <v/>
      </c>
      <c r="H286" s="12">
        <f>IFERROR(IF(SUMIFS(tblDaily[Remaining],tblDaily[EntryDate],DATE(2026,8,7),tblDaily[WardCode],"FAE")=0,"",SUMIFS(tblDaily[Remaining],tblDaily[EntryDate],DATE(2026,8,7),tblDaily[WardCode],"FAE")),"")</f>
        <v/>
      </c>
    </row>
    <row r="287">
      <c r="A287" s="12" t="n">
        <v>8</v>
      </c>
      <c r="B287" s="12">
        <f>IFERROR(IF(SUMIFS(tblDaily[Admissions],tblDaily[EntryDate],DATE(2026,8,8),tblDaily[WardCode],"FAE")=0,"",SUMIFS(tblDaily[Admissions],tblDaily[EntryDate],DATE(2026,8,8),tblDaily[WardCode],"FAE")),"")</f>
        <v/>
      </c>
      <c r="C287" s="12">
        <f>IFERROR(IF(SUMIFS(tblDaily[Discharges],tblDaily[EntryDate],DATE(2026,8,8),tblDaily[WardCode],"FAE")=0,"",SUMIFS(tblDaily[Discharges],tblDaily[EntryDate],DATE(2026,8,8),tblDaily[WardCode],"FAE")),"")</f>
        <v/>
      </c>
      <c r="D287" s="12">
        <f>IFERROR(IF(SUMIFS(tblDaily[Deaths],tblDaily[EntryDate],DATE(2026,8,8),tblDaily[WardCode],"FAE")=0,"",SUMIFS(tblDaily[Deaths],tblDaily[EntryDate],DATE(2026,8,8),tblDaily[WardCode],"FAE")),"")</f>
        <v/>
      </c>
      <c r="E287" s="12">
        <f>IFERROR(IF(SUMIFS(tblDaily[DeathsUnder24Hrs],tblDaily[EntryDate],DATE(2026,8,8),tblDaily[WardCode],"FAE")=0,"",SUMIFS(tblDaily[DeathsUnder24Hrs],tblDaily[EntryDate],DATE(2026,8,8),tblDaily[WardCode],"FAE")),"")</f>
        <v/>
      </c>
      <c r="F287" s="12">
        <f>IFERROR(IF(SUMIFS(tblDaily[TransfersIn],tblDaily[EntryDate],DATE(2026,8,8),tblDaily[WardCode],"FAE")=0,"",SUMIFS(tblDaily[TransfersIn],tblDaily[EntryDate],DATE(2026,8,8),tblDaily[WardCode],"FAE")),"")</f>
        <v/>
      </c>
      <c r="G287" s="12">
        <f>IFERROR(IF(SUMIFS(tblDaily[TransfersOut],tblDaily[EntryDate],DATE(2026,8,8),tblDaily[WardCode],"FAE")=0,"",SUMIFS(tblDaily[TransfersOut],tblDaily[EntryDate],DATE(2026,8,8),tblDaily[WardCode],"FAE")),"")</f>
        <v/>
      </c>
      <c r="H287" s="12">
        <f>IFERROR(IF(SUMIFS(tblDaily[Remaining],tblDaily[EntryDate],DATE(2026,8,8),tblDaily[WardCode],"FAE")=0,"",SUMIFS(tblDaily[Remaining],tblDaily[EntryDate],DATE(2026,8,8),tblDaily[WardCode],"FAE")),"")</f>
        <v/>
      </c>
    </row>
    <row r="288">
      <c r="A288" s="12" t="n">
        <v>9</v>
      </c>
      <c r="B288" s="12">
        <f>IFERROR(IF(SUMIFS(tblDaily[Admissions],tblDaily[EntryDate],DATE(2026,8,9),tblDaily[WardCode],"FAE")=0,"",SUMIFS(tblDaily[Admissions],tblDaily[EntryDate],DATE(2026,8,9),tblDaily[WardCode],"FAE")),"")</f>
        <v/>
      </c>
      <c r="C288" s="12">
        <f>IFERROR(IF(SUMIFS(tblDaily[Discharges],tblDaily[EntryDate],DATE(2026,8,9),tblDaily[WardCode],"FAE")=0,"",SUMIFS(tblDaily[Discharges],tblDaily[EntryDate],DATE(2026,8,9),tblDaily[WardCode],"FAE")),"")</f>
        <v/>
      </c>
      <c r="D288" s="12">
        <f>IFERROR(IF(SUMIFS(tblDaily[Deaths],tblDaily[EntryDate],DATE(2026,8,9),tblDaily[WardCode],"FAE")=0,"",SUMIFS(tblDaily[Deaths],tblDaily[EntryDate],DATE(2026,8,9),tblDaily[WardCode],"FAE")),"")</f>
        <v/>
      </c>
      <c r="E288" s="12">
        <f>IFERROR(IF(SUMIFS(tblDaily[DeathsUnder24Hrs],tblDaily[EntryDate],DATE(2026,8,9),tblDaily[WardCode],"FAE")=0,"",SUMIFS(tblDaily[DeathsUnder24Hrs],tblDaily[EntryDate],DATE(2026,8,9),tblDaily[WardCode],"FAE")),"")</f>
        <v/>
      </c>
      <c r="F288" s="12">
        <f>IFERROR(IF(SUMIFS(tblDaily[TransfersIn],tblDaily[EntryDate],DATE(2026,8,9),tblDaily[WardCode],"FAE")=0,"",SUMIFS(tblDaily[TransfersIn],tblDaily[EntryDate],DATE(2026,8,9),tblDaily[WardCode],"FAE")),"")</f>
        <v/>
      </c>
      <c r="G288" s="12">
        <f>IFERROR(IF(SUMIFS(tblDaily[TransfersOut],tblDaily[EntryDate],DATE(2026,8,9),tblDaily[WardCode],"FAE")=0,"",SUMIFS(tblDaily[TransfersOut],tblDaily[EntryDate],DATE(2026,8,9),tblDaily[WardCode],"FAE")),"")</f>
        <v/>
      </c>
      <c r="H288" s="12">
        <f>IFERROR(IF(SUMIFS(tblDaily[Remaining],tblDaily[EntryDate],DATE(2026,8,9),tblDaily[WardCode],"FAE")=0,"",SUMIFS(tblDaily[Remaining],tblDaily[EntryDate],DATE(2026,8,9),tblDaily[WardCode],"FAE")),"")</f>
        <v/>
      </c>
    </row>
    <row r="289">
      <c r="A289" s="12" t="n">
        <v>10</v>
      </c>
      <c r="B289" s="12">
        <f>IFERROR(IF(SUMIFS(tblDaily[Admissions],tblDaily[EntryDate],DATE(2026,8,10),tblDaily[WardCode],"FAE")=0,"",SUMIFS(tblDaily[Admissions],tblDaily[EntryDate],DATE(2026,8,10),tblDaily[WardCode],"FAE")),"")</f>
        <v/>
      </c>
      <c r="C289" s="12">
        <f>IFERROR(IF(SUMIFS(tblDaily[Discharges],tblDaily[EntryDate],DATE(2026,8,10),tblDaily[WardCode],"FAE")=0,"",SUMIFS(tblDaily[Discharges],tblDaily[EntryDate],DATE(2026,8,10),tblDaily[WardCode],"FAE")),"")</f>
        <v/>
      </c>
      <c r="D289" s="12">
        <f>IFERROR(IF(SUMIFS(tblDaily[Deaths],tblDaily[EntryDate],DATE(2026,8,10),tblDaily[WardCode],"FAE")=0,"",SUMIFS(tblDaily[Deaths],tblDaily[EntryDate],DATE(2026,8,10),tblDaily[WardCode],"FAE")),"")</f>
        <v/>
      </c>
      <c r="E289" s="12">
        <f>IFERROR(IF(SUMIFS(tblDaily[DeathsUnder24Hrs],tblDaily[EntryDate],DATE(2026,8,10),tblDaily[WardCode],"FAE")=0,"",SUMIFS(tblDaily[DeathsUnder24Hrs],tblDaily[EntryDate],DATE(2026,8,10),tblDaily[WardCode],"FAE")),"")</f>
        <v/>
      </c>
      <c r="F289" s="12">
        <f>IFERROR(IF(SUMIFS(tblDaily[TransfersIn],tblDaily[EntryDate],DATE(2026,8,10),tblDaily[WardCode],"FAE")=0,"",SUMIFS(tblDaily[TransfersIn],tblDaily[EntryDate],DATE(2026,8,10),tblDaily[WardCode],"FAE")),"")</f>
        <v/>
      </c>
      <c r="G289" s="12">
        <f>IFERROR(IF(SUMIFS(tblDaily[TransfersOut],tblDaily[EntryDate],DATE(2026,8,10),tblDaily[WardCode],"FAE")=0,"",SUMIFS(tblDaily[TransfersOut],tblDaily[EntryDate],DATE(2026,8,10),tblDaily[WardCode],"FAE")),"")</f>
        <v/>
      </c>
      <c r="H289" s="12">
        <f>IFERROR(IF(SUMIFS(tblDaily[Remaining],tblDaily[EntryDate],DATE(2026,8,10),tblDaily[WardCode],"FAE")=0,"",SUMIFS(tblDaily[Remaining],tblDaily[EntryDate],DATE(2026,8,10),tblDaily[WardCode],"FAE")),"")</f>
        <v/>
      </c>
    </row>
    <row r="290">
      <c r="A290" s="12" t="n">
        <v>11</v>
      </c>
      <c r="B290" s="12">
        <f>IFERROR(IF(SUMIFS(tblDaily[Admissions],tblDaily[EntryDate],DATE(2026,8,11),tblDaily[WardCode],"FAE")=0,"",SUMIFS(tblDaily[Admissions],tblDaily[EntryDate],DATE(2026,8,11),tblDaily[WardCode],"FAE")),"")</f>
        <v/>
      </c>
      <c r="C290" s="12">
        <f>IFERROR(IF(SUMIFS(tblDaily[Discharges],tblDaily[EntryDate],DATE(2026,8,11),tblDaily[WardCode],"FAE")=0,"",SUMIFS(tblDaily[Discharges],tblDaily[EntryDate],DATE(2026,8,11),tblDaily[WardCode],"FAE")),"")</f>
        <v/>
      </c>
      <c r="D290" s="12">
        <f>IFERROR(IF(SUMIFS(tblDaily[Deaths],tblDaily[EntryDate],DATE(2026,8,11),tblDaily[WardCode],"FAE")=0,"",SUMIFS(tblDaily[Deaths],tblDaily[EntryDate],DATE(2026,8,11),tblDaily[WardCode],"FAE")),"")</f>
        <v/>
      </c>
      <c r="E290" s="12">
        <f>IFERROR(IF(SUMIFS(tblDaily[DeathsUnder24Hrs],tblDaily[EntryDate],DATE(2026,8,11),tblDaily[WardCode],"FAE")=0,"",SUMIFS(tblDaily[DeathsUnder24Hrs],tblDaily[EntryDate],DATE(2026,8,11),tblDaily[WardCode],"FAE")),"")</f>
        <v/>
      </c>
      <c r="F290" s="12">
        <f>IFERROR(IF(SUMIFS(tblDaily[TransfersIn],tblDaily[EntryDate],DATE(2026,8,11),tblDaily[WardCode],"FAE")=0,"",SUMIFS(tblDaily[TransfersIn],tblDaily[EntryDate],DATE(2026,8,11),tblDaily[WardCode],"FAE")),"")</f>
        <v/>
      </c>
      <c r="G290" s="12">
        <f>IFERROR(IF(SUMIFS(tblDaily[TransfersOut],tblDaily[EntryDate],DATE(2026,8,11),tblDaily[WardCode],"FAE")=0,"",SUMIFS(tblDaily[TransfersOut],tblDaily[EntryDate],DATE(2026,8,11),tblDaily[WardCode],"FAE")),"")</f>
        <v/>
      </c>
      <c r="H290" s="12">
        <f>IFERROR(IF(SUMIFS(tblDaily[Remaining],tblDaily[EntryDate],DATE(2026,8,11),tblDaily[WardCode],"FAE")=0,"",SUMIFS(tblDaily[Remaining],tblDaily[EntryDate],DATE(2026,8,11),tblDaily[WardCode],"FAE")),"")</f>
        <v/>
      </c>
    </row>
    <row r="291">
      <c r="A291" s="12" t="n">
        <v>12</v>
      </c>
      <c r="B291" s="12">
        <f>IFERROR(IF(SUMIFS(tblDaily[Admissions],tblDaily[EntryDate],DATE(2026,8,12),tblDaily[WardCode],"FAE")=0,"",SUMIFS(tblDaily[Admissions],tblDaily[EntryDate],DATE(2026,8,12),tblDaily[WardCode],"FAE")),"")</f>
        <v/>
      </c>
      <c r="C291" s="12">
        <f>IFERROR(IF(SUMIFS(tblDaily[Discharges],tblDaily[EntryDate],DATE(2026,8,12),tblDaily[WardCode],"FAE")=0,"",SUMIFS(tblDaily[Discharges],tblDaily[EntryDate],DATE(2026,8,12),tblDaily[WardCode],"FAE")),"")</f>
        <v/>
      </c>
      <c r="D291" s="12">
        <f>IFERROR(IF(SUMIFS(tblDaily[Deaths],tblDaily[EntryDate],DATE(2026,8,12),tblDaily[WardCode],"FAE")=0,"",SUMIFS(tblDaily[Deaths],tblDaily[EntryDate],DATE(2026,8,12),tblDaily[WardCode],"FAE")),"")</f>
        <v/>
      </c>
      <c r="E291" s="12">
        <f>IFERROR(IF(SUMIFS(tblDaily[DeathsUnder24Hrs],tblDaily[EntryDate],DATE(2026,8,12),tblDaily[WardCode],"FAE")=0,"",SUMIFS(tblDaily[DeathsUnder24Hrs],tblDaily[EntryDate],DATE(2026,8,12),tblDaily[WardCode],"FAE")),"")</f>
        <v/>
      </c>
      <c r="F291" s="12">
        <f>IFERROR(IF(SUMIFS(tblDaily[TransfersIn],tblDaily[EntryDate],DATE(2026,8,12),tblDaily[WardCode],"FAE")=0,"",SUMIFS(tblDaily[TransfersIn],tblDaily[EntryDate],DATE(2026,8,12),tblDaily[WardCode],"FAE")),"")</f>
        <v/>
      </c>
      <c r="G291" s="12">
        <f>IFERROR(IF(SUMIFS(tblDaily[TransfersOut],tblDaily[EntryDate],DATE(2026,8,12),tblDaily[WardCode],"FAE")=0,"",SUMIFS(tblDaily[TransfersOut],tblDaily[EntryDate],DATE(2026,8,12),tblDaily[WardCode],"FAE")),"")</f>
        <v/>
      </c>
      <c r="H291" s="12">
        <f>IFERROR(IF(SUMIFS(tblDaily[Remaining],tblDaily[EntryDate],DATE(2026,8,12),tblDaily[WardCode],"FAE")=0,"",SUMIFS(tblDaily[Remaining],tblDaily[EntryDate],DATE(2026,8,12),tblDaily[WardCode],"FAE")),"")</f>
        <v/>
      </c>
    </row>
    <row r="292">
      <c r="A292" s="12" t="n">
        <v>13</v>
      </c>
      <c r="B292" s="12">
        <f>IFERROR(IF(SUMIFS(tblDaily[Admissions],tblDaily[EntryDate],DATE(2026,8,13),tblDaily[WardCode],"FAE")=0,"",SUMIFS(tblDaily[Admissions],tblDaily[EntryDate],DATE(2026,8,13),tblDaily[WardCode],"FAE")),"")</f>
        <v/>
      </c>
      <c r="C292" s="12">
        <f>IFERROR(IF(SUMIFS(tblDaily[Discharges],tblDaily[EntryDate],DATE(2026,8,13),tblDaily[WardCode],"FAE")=0,"",SUMIFS(tblDaily[Discharges],tblDaily[EntryDate],DATE(2026,8,13),tblDaily[WardCode],"FAE")),"")</f>
        <v/>
      </c>
      <c r="D292" s="12">
        <f>IFERROR(IF(SUMIFS(tblDaily[Deaths],tblDaily[EntryDate],DATE(2026,8,13),tblDaily[WardCode],"FAE")=0,"",SUMIFS(tblDaily[Deaths],tblDaily[EntryDate],DATE(2026,8,13),tblDaily[WardCode],"FAE")),"")</f>
        <v/>
      </c>
      <c r="E292" s="12">
        <f>IFERROR(IF(SUMIFS(tblDaily[DeathsUnder24Hrs],tblDaily[EntryDate],DATE(2026,8,13),tblDaily[WardCode],"FAE")=0,"",SUMIFS(tblDaily[DeathsUnder24Hrs],tblDaily[EntryDate],DATE(2026,8,13),tblDaily[WardCode],"FAE")),"")</f>
        <v/>
      </c>
      <c r="F292" s="12">
        <f>IFERROR(IF(SUMIFS(tblDaily[TransfersIn],tblDaily[EntryDate],DATE(2026,8,13),tblDaily[WardCode],"FAE")=0,"",SUMIFS(tblDaily[TransfersIn],tblDaily[EntryDate],DATE(2026,8,13),tblDaily[WardCode],"FAE")),"")</f>
        <v/>
      </c>
      <c r="G292" s="12">
        <f>IFERROR(IF(SUMIFS(tblDaily[TransfersOut],tblDaily[EntryDate],DATE(2026,8,13),tblDaily[WardCode],"FAE")=0,"",SUMIFS(tblDaily[TransfersOut],tblDaily[EntryDate],DATE(2026,8,13),tblDaily[WardCode],"FAE")),"")</f>
        <v/>
      </c>
      <c r="H292" s="12">
        <f>IFERROR(IF(SUMIFS(tblDaily[Remaining],tblDaily[EntryDate],DATE(2026,8,13),tblDaily[WardCode],"FAE")=0,"",SUMIFS(tblDaily[Remaining],tblDaily[EntryDate],DATE(2026,8,13),tblDaily[WardCode],"FAE")),"")</f>
        <v/>
      </c>
    </row>
    <row r="293">
      <c r="A293" s="12" t="n">
        <v>14</v>
      </c>
      <c r="B293" s="12">
        <f>IFERROR(IF(SUMIFS(tblDaily[Admissions],tblDaily[EntryDate],DATE(2026,8,14),tblDaily[WardCode],"FAE")=0,"",SUMIFS(tblDaily[Admissions],tblDaily[EntryDate],DATE(2026,8,14),tblDaily[WardCode],"FAE")),"")</f>
        <v/>
      </c>
      <c r="C293" s="12">
        <f>IFERROR(IF(SUMIFS(tblDaily[Discharges],tblDaily[EntryDate],DATE(2026,8,14),tblDaily[WardCode],"FAE")=0,"",SUMIFS(tblDaily[Discharges],tblDaily[EntryDate],DATE(2026,8,14),tblDaily[WardCode],"FAE")),"")</f>
        <v/>
      </c>
      <c r="D293" s="12">
        <f>IFERROR(IF(SUMIFS(tblDaily[Deaths],tblDaily[EntryDate],DATE(2026,8,14),tblDaily[WardCode],"FAE")=0,"",SUMIFS(tblDaily[Deaths],tblDaily[EntryDate],DATE(2026,8,14),tblDaily[WardCode],"FAE")),"")</f>
        <v/>
      </c>
      <c r="E293" s="12">
        <f>IFERROR(IF(SUMIFS(tblDaily[DeathsUnder24Hrs],tblDaily[EntryDate],DATE(2026,8,14),tblDaily[WardCode],"FAE")=0,"",SUMIFS(tblDaily[DeathsUnder24Hrs],tblDaily[EntryDate],DATE(2026,8,14),tblDaily[WardCode],"FAE")),"")</f>
        <v/>
      </c>
      <c r="F293" s="12">
        <f>IFERROR(IF(SUMIFS(tblDaily[TransfersIn],tblDaily[EntryDate],DATE(2026,8,14),tblDaily[WardCode],"FAE")=0,"",SUMIFS(tblDaily[TransfersIn],tblDaily[EntryDate],DATE(2026,8,14),tblDaily[WardCode],"FAE")),"")</f>
        <v/>
      </c>
      <c r="G293" s="12">
        <f>IFERROR(IF(SUMIFS(tblDaily[TransfersOut],tblDaily[EntryDate],DATE(2026,8,14),tblDaily[WardCode],"FAE")=0,"",SUMIFS(tblDaily[TransfersOut],tblDaily[EntryDate],DATE(2026,8,14),tblDaily[WardCode],"FAE")),"")</f>
        <v/>
      </c>
      <c r="H293" s="12">
        <f>IFERROR(IF(SUMIFS(tblDaily[Remaining],tblDaily[EntryDate],DATE(2026,8,14),tblDaily[WardCode],"FAE")=0,"",SUMIFS(tblDaily[Remaining],tblDaily[EntryDate],DATE(2026,8,14),tblDaily[WardCode],"FAE")),"")</f>
        <v/>
      </c>
    </row>
    <row r="294">
      <c r="A294" s="12" t="n">
        <v>15</v>
      </c>
      <c r="B294" s="12">
        <f>IFERROR(IF(SUMIFS(tblDaily[Admissions],tblDaily[EntryDate],DATE(2026,8,15),tblDaily[WardCode],"FAE")=0,"",SUMIFS(tblDaily[Admissions],tblDaily[EntryDate],DATE(2026,8,15),tblDaily[WardCode],"FAE")),"")</f>
        <v/>
      </c>
      <c r="C294" s="12">
        <f>IFERROR(IF(SUMIFS(tblDaily[Discharges],tblDaily[EntryDate],DATE(2026,8,15),tblDaily[WardCode],"FAE")=0,"",SUMIFS(tblDaily[Discharges],tblDaily[EntryDate],DATE(2026,8,15),tblDaily[WardCode],"FAE")),"")</f>
        <v/>
      </c>
      <c r="D294" s="12">
        <f>IFERROR(IF(SUMIFS(tblDaily[Deaths],tblDaily[EntryDate],DATE(2026,8,15),tblDaily[WardCode],"FAE")=0,"",SUMIFS(tblDaily[Deaths],tblDaily[EntryDate],DATE(2026,8,15),tblDaily[WardCode],"FAE")),"")</f>
        <v/>
      </c>
      <c r="E294" s="12">
        <f>IFERROR(IF(SUMIFS(tblDaily[DeathsUnder24Hrs],tblDaily[EntryDate],DATE(2026,8,15),tblDaily[WardCode],"FAE")=0,"",SUMIFS(tblDaily[DeathsUnder24Hrs],tblDaily[EntryDate],DATE(2026,8,15),tblDaily[WardCode],"FAE")),"")</f>
        <v/>
      </c>
      <c r="F294" s="12">
        <f>IFERROR(IF(SUMIFS(tblDaily[TransfersIn],tblDaily[EntryDate],DATE(2026,8,15),tblDaily[WardCode],"FAE")=0,"",SUMIFS(tblDaily[TransfersIn],tblDaily[EntryDate],DATE(2026,8,15),tblDaily[WardCode],"FAE")),"")</f>
        <v/>
      </c>
      <c r="G294" s="12">
        <f>IFERROR(IF(SUMIFS(tblDaily[TransfersOut],tblDaily[EntryDate],DATE(2026,8,15),tblDaily[WardCode],"FAE")=0,"",SUMIFS(tblDaily[TransfersOut],tblDaily[EntryDate],DATE(2026,8,15),tblDaily[WardCode],"FAE")),"")</f>
        <v/>
      </c>
      <c r="H294" s="12">
        <f>IFERROR(IF(SUMIFS(tblDaily[Remaining],tblDaily[EntryDate],DATE(2026,8,15),tblDaily[WardCode],"FAE")=0,"",SUMIFS(tblDaily[Remaining],tblDaily[EntryDate],DATE(2026,8,15),tblDaily[WardCode],"FAE")),"")</f>
        <v/>
      </c>
    </row>
    <row r="295">
      <c r="A295" s="12" t="n">
        <v>16</v>
      </c>
      <c r="B295" s="12">
        <f>IFERROR(IF(SUMIFS(tblDaily[Admissions],tblDaily[EntryDate],DATE(2026,8,16),tblDaily[WardCode],"FAE")=0,"",SUMIFS(tblDaily[Admissions],tblDaily[EntryDate],DATE(2026,8,16),tblDaily[WardCode],"FAE")),"")</f>
        <v/>
      </c>
      <c r="C295" s="12">
        <f>IFERROR(IF(SUMIFS(tblDaily[Discharges],tblDaily[EntryDate],DATE(2026,8,16),tblDaily[WardCode],"FAE")=0,"",SUMIFS(tblDaily[Discharges],tblDaily[EntryDate],DATE(2026,8,16),tblDaily[WardCode],"FAE")),"")</f>
        <v/>
      </c>
      <c r="D295" s="12">
        <f>IFERROR(IF(SUMIFS(tblDaily[Deaths],tblDaily[EntryDate],DATE(2026,8,16),tblDaily[WardCode],"FAE")=0,"",SUMIFS(tblDaily[Deaths],tblDaily[EntryDate],DATE(2026,8,16),tblDaily[WardCode],"FAE")),"")</f>
        <v/>
      </c>
      <c r="E295" s="12">
        <f>IFERROR(IF(SUMIFS(tblDaily[DeathsUnder24Hrs],tblDaily[EntryDate],DATE(2026,8,16),tblDaily[WardCode],"FAE")=0,"",SUMIFS(tblDaily[DeathsUnder24Hrs],tblDaily[EntryDate],DATE(2026,8,16),tblDaily[WardCode],"FAE")),"")</f>
        <v/>
      </c>
      <c r="F295" s="12">
        <f>IFERROR(IF(SUMIFS(tblDaily[TransfersIn],tblDaily[EntryDate],DATE(2026,8,16),tblDaily[WardCode],"FAE")=0,"",SUMIFS(tblDaily[TransfersIn],tblDaily[EntryDate],DATE(2026,8,16),tblDaily[WardCode],"FAE")),"")</f>
        <v/>
      </c>
      <c r="G295" s="12">
        <f>IFERROR(IF(SUMIFS(tblDaily[TransfersOut],tblDaily[EntryDate],DATE(2026,8,16),tblDaily[WardCode],"FAE")=0,"",SUMIFS(tblDaily[TransfersOut],tblDaily[EntryDate],DATE(2026,8,16),tblDaily[WardCode],"FAE")),"")</f>
        <v/>
      </c>
      <c r="H295" s="12">
        <f>IFERROR(IF(SUMIFS(tblDaily[Remaining],tblDaily[EntryDate],DATE(2026,8,16),tblDaily[WardCode],"FAE")=0,"",SUMIFS(tblDaily[Remaining],tblDaily[EntryDate],DATE(2026,8,16),tblDaily[WardCode],"FAE")),"")</f>
        <v/>
      </c>
    </row>
    <row r="296">
      <c r="A296" s="12" t="n">
        <v>17</v>
      </c>
      <c r="B296" s="12">
        <f>IFERROR(IF(SUMIFS(tblDaily[Admissions],tblDaily[EntryDate],DATE(2026,8,17),tblDaily[WardCode],"FAE")=0,"",SUMIFS(tblDaily[Admissions],tblDaily[EntryDate],DATE(2026,8,17),tblDaily[WardCode],"FAE")),"")</f>
        <v/>
      </c>
      <c r="C296" s="12">
        <f>IFERROR(IF(SUMIFS(tblDaily[Discharges],tblDaily[EntryDate],DATE(2026,8,17),tblDaily[WardCode],"FAE")=0,"",SUMIFS(tblDaily[Discharges],tblDaily[EntryDate],DATE(2026,8,17),tblDaily[WardCode],"FAE")),"")</f>
        <v/>
      </c>
      <c r="D296" s="12">
        <f>IFERROR(IF(SUMIFS(tblDaily[Deaths],tblDaily[EntryDate],DATE(2026,8,17),tblDaily[WardCode],"FAE")=0,"",SUMIFS(tblDaily[Deaths],tblDaily[EntryDate],DATE(2026,8,17),tblDaily[WardCode],"FAE")),"")</f>
        <v/>
      </c>
      <c r="E296" s="12">
        <f>IFERROR(IF(SUMIFS(tblDaily[DeathsUnder24Hrs],tblDaily[EntryDate],DATE(2026,8,17),tblDaily[WardCode],"FAE")=0,"",SUMIFS(tblDaily[DeathsUnder24Hrs],tblDaily[EntryDate],DATE(2026,8,17),tblDaily[WardCode],"FAE")),"")</f>
        <v/>
      </c>
      <c r="F296" s="12">
        <f>IFERROR(IF(SUMIFS(tblDaily[TransfersIn],tblDaily[EntryDate],DATE(2026,8,17),tblDaily[WardCode],"FAE")=0,"",SUMIFS(tblDaily[TransfersIn],tblDaily[EntryDate],DATE(2026,8,17),tblDaily[WardCode],"FAE")),"")</f>
        <v/>
      </c>
      <c r="G296" s="12">
        <f>IFERROR(IF(SUMIFS(tblDaily[TransfersOut],tblDaily[EntryDate],DATE(2026,8,17),tblDaily[WardCode],"FAE")=0,"",SUMIFS(tblDaily[TransfersOut],tblDaily[EntryDate],DATE(2026,8,17),tblDaily[WardCode],"FAE")),"")</f>
        <v/>
      </c>
      <c r="H296" s="12">
        <f>IFERROR(IF(SUMIFS(tblDaily[Remaining],tblDaily[EntryDate],DATE(2026,8,17),tblDaily[WardCode],"FAE")=0,"",SUMIFS(tblDaily[Remaining],tblDaily[EntryDate],DATE(2026,8,17),tblDaily[WardCode],"FAE")),"")</f>
        <v/>
      </c>
    </row>
    <row r="297">
      <c r="A297" s="12" t="n">
        <v>18</v>
      </c>
      <c r="B297" s="12">
        <f>IFERROR(IF(SUMIFS(tblDaily[Admissions],tblDaily[EntryDate],DATE(2026,8,18),tblDaily[WardCode],"FAE")=0,"",SUMIFS(tblDaily[Admissions],tblDaily[EntryDate],DATE(2026,8,18),tblDaily[WardCode],"FAE")),"")</f>
        <v/>
      </c>
      <c r="C297" s="12">
        <f>IFERROR(IF(SUMIFS(tblDaily[Discharges],tblDaily[EntryDate],DATE(2026,8,18),tblDaily[WardCode],"FAE")=0,"",SUMIFS(tblDaily[Discharges],tblDaily[EntryDate],DATE(2026,8,18),tblDaily[WardCode],"FAE")),"")</f>
        <v/>
      </c>
      <c r="D297" s="12">
        <f>IFERROR(IF(SUMIFS(tblDaily[Deaths],tblDaily[EntryDate],DATE(2026,8,18),tblDaily[WardCode],"FAE")=0,"",SUMIFS(tblDaily[Deaths],tblDaily[EntryDate],DATE(2026,8,18),tblDaily[WardCode],"FAE")),"")</f>
        <v/>
      </c>
      <c r="E297" s="12">
        <f>IFERROR(IF(SUMIFS(tblDaily[DeathsUnder24Hrs],tblDaily[EntryDate],DATE(2026,8,18),tblDaily[WardCode],"FAE")=0,"",SUMIFS(tblDaily[DeathsUnder24Hrs],tblDaily[EntryDate],DATE(2026,8,18),tblDaily[WardCode],"FAE")),"")</f>
        <v/>
      </c>
      <c r="F297" s="12">
        <f>IFERROR(IF(SUMIFS(tblDaily[TransfersIn],tblDaily[EntryDate],DATE(2026,8,18),tblDaily[WardCode],"FAE")=0,"",SUMIFS(tblDaily[TransfersIn],tblDaily[EntryDate],DATE(2026,8,18),tblDaily[WardCode],"FAE")),"")</f>
        <v/>
      </c>
      <c r="G297" s="12">
        <f>IFERROR(IF(SUMIFS(tblDaily[TransfersOut],tblDaily[EntryDate],DATE(2026,8,18),tblDaily[WardCode],"FAE")=0,"",SUMIFS(tblDaily[TransfersOut],tblDaily[EntryDate],DATE(2026,8,18),tblDaily[WardCode],"FAE")),"")</f>
        <v/>
      </c>
      <c r="H297" s="12">
        <f>IFERROR(IF(SUMIFS(tblDaily[Remaining],tblDaily[EntryDate],DATE(2026,8,18),tblDaily[WardCode],"FAE")=0,"",SUMIFS(tblDaily[Remaining],tblDaily[EntryDate],DATE(2026,8,18),tblDaily[WardCode],"FAE")),"")</f>
        <v/>
      </c>
    </row>
    <row r="298">
      <c r="A298" s="12" t="n">
        <v>19</v>
      </c>
      <c r="B298" s="12">
        <f>IFERROR(IF(SUMIFS(tblDaily[Admissions],tblDaily[EntryDate],DATE(2026,8,19),tblDaily[WardCode],"FAE")=0,"",SUMIFS(tblDaily[Admissions],tblDaily[EntryDate],DATE(2026,8,19),tblDaily[WardCode],"FAE")),"")</f>
        <v/>
      </c>
      <c r="C298" s="12">
        <f>IFERROR(IF(SUMIFS(tblDaily[Discharges],tblDaily[EntryDate],DATE(2026,8,19),tblDaily[WardCode],"FAE")=0,"",SUMIFS(tblDaily[Discharges],tblDaily[EntryDate],DATE(2026,8,19),tblDaily[WardCode],"FAE")),"")</f>
        <v/>
      </c>
      <c r="D298" s="12">
        <f>IFERROR(IF(SUMIFS(tblDaily[Deaths],tblDaily[EntryDate],DATE(2026,8,19),tblDaily[WardCode],"FAE")=0,"",SUMIFS(tblDaily[Deaths],tblDaily[EntryDate],DATE(2026,8,19),tblDaily[WardCode],"FAE")),"")</f>
        <v/>
      </c>
      <c r="E298" s="12">
        <f>IFERROR(IF(SUMIFS(tblDaily[DeathsUnder24Hrs],tblDaily[EntryDate],DATE(2026,8,19),tblDaily[WardCode],"FAE")=0,"",SUMIFS(tblDaily[DeathsUnder24Hrs],tblDaily[EntryDate],DATE(2026,8,19),tblDaily[WardCode],"FAE")),"")</f>
        <v/>
      </c>
      <c r="F298" s="12">
        <f>IFERROR(IF(SUMIFS(tblDaily[TransfersIn],tblDaily[EntryDate],DATE(2026,8,19),tblDaily[WardCode],"FAE")=0,"",SUMIFS(tblDaily[TransfersIn],tblDaily[EntryDate],DATE(2026,8,19),tblDaily[WardCode],"FAE")),"")</f>
        <v/>
      </c>
      <c r="G298" s="12">
        <f>IFERROR(IF(SUMIFS(tblDaily[TransfersOut],tblDaily[EntryDate],DATE(2026,8,19),tblDaily[WardCode],"FAE")=0,"",SUMIFS(tblDaily[TransfersOut],tblDaily[EntryDate],DATE(2026,8,19),tblDaily[WardCode],"FAE")),"")</f>
        <v/>
      </c>
      <c r="H298" s="12">
        <f>IFERROR(IF(SUMIFS(tblDaily[Remaining],tblDaily[EntryDate],DATE(2026,8,19),tblDaily[WardCode],"FAE")=0,"",SUMIFS(tblDaily[Remaining],tblDaily[EntryDate],DATE(2026,8,19),tblDaily[WardCode],"FAE")),"")</f>
        <v/>
      </c>
    </row>
    <row r="299">
      <c r="A299" s="12" t="n">
        <v>20</v>
      </c>
      <c r="B299" s="12">
        <f>IFERROR(IF(SUMIFS(tblDaily[Admissions],tblDaily[EntryDate],DATE(2026,8,20),tblDaily[WardCode],"FAE")=0,"",SUMIFS(tblDaily[Admissions],tblDaily[EntryDate],DATE(2026,8,20),tblDaily[WardCode],"FAE")),"")</f>
        <v/>
      </c>
      <c r="C299" s="12">
        <f>IFERROR(IF(SUMIFS(tblDaily[Discharges],tblDaily[EntryDate],DATE(2026,8,20),tblDaily[WardCode],"FAE")=0,"",SUMIFS(tblDaily[Discharges],tblDaily[EntryDate],DATE(2026,8,20),tblDaily[WardCode],"FAE")),"")</f>
        <v/>
      </c>
      <c r="D299" s="12">
        <f>IFERROR(IF(SUMIFS(tblDaily[Deaths],tblDaily[EntryDate],DATE(2026,8,20),tblDaily[WardCode],"FAE")=0,"",SUMIFS(tblDaily[Deaths],tblDaily[EntryDate],DATE(2026,8,20),tblDaily[WardCode],"FAE")),"")</f>
        <v/>
      </c>
      <c r="E299" s="12">
        <f>IFERROR(IF(SUMIFS(tblDaily[DeathsUnder24Hrs],tblDaily[EntryDate],DATE(2026,8,20),tblDaily[WardCode],"FAE")=0,"",SUMIFS(tblDaily[DeathsUnder24Hrs],tblDaily[EntryDate],DATE(2026,8,20),tblDaily[WardCode],"FAE")),"")</f>
        <v/>
      </c>
      <c r="F299" s="12">
        <f>IFERROR(IF(SUMIFS(tblDaily[TransfersIn],tblDaily[EntryDate],DATE(2026,8,20),tblDaily[WardCode],"FAE")=0,"",SUMIFS(tblDaily[TransfersIn],tblDaily[EntryDate],DATE(2026,8,20),tblDaily[WardCode],"FAE")),"")</f>
        <v/>
      </c>
      <c r="G299" s="12">
        <f>IFERROR(IF(SUMIFS(tblDaily[TransfersOut],tblDaily[EntryDate],DATE(2026,8,20),tblDaily[WardCode],"FAE")=0,"",SUMIFS(tblDaily[TransfersOut],tblDaily[EntryDate],DATE(2026,8,20),tblDaily[WardCode],"FAE")),"")</f>
        <v/>
      </c>
      <c r="H299" s="12">
        <f>IFERROR(IF(SUMIFS(tblDaily[Remaining],tblDaily[EntryDate],DATE(2026,8,20),tblDaily[WardCode],"FAE")=0,"",SUMIFS(tblDaily[Remaining],tblDaily[EntryDate],DATE(2026,8,20),tblDaily[WardCode],"FAE")),"")</f>
        <v/>
      </c>
    </row>
    <row r="300">
      <c r="A300" s="12" t="n">
        <v>21</v>
      </c>
      <c r="B300" s="12">
        <f>IFERROR(IF(SUMIFS(tblDaily[Admissions],tblDaily[EntryDate],DATE(2026,8,21),tblDaily[WardCode],"FAE")=0,"",SUMIFS(tblDaily[Admissions],tblDaily[EntryDate],DATE(2026,8,21),tblDaily[WardCode],"FAE")),"")</f>
        <v/>
      </c>
      <c r="C300" s="12">
        <f>IFERROR(IF(SUMIFS(tblDaily[Discharges],tblDaily[EntryDate],DATE(2026,8,21),tblDaily[WardCode],"FAE")=0,"",SUMIFS(tblDaily[Discharges],tblDaily[EntryDate],DATE(2026,8,21),tblDaily[WardCode],"FAE")),"")</f>
        <v/>
      </c>
      <c r="D300" s="12">
        <f>IFERROR(IF(SUMIFS(tblDaily[Deaths],tblDaily[EntryDate],DATE(2026,8,21),tblDaily[WardCode],"FAE")=0,"",SUMIFS(tblDaily[Deaths],tblDaily[EntryDate],DATE(2026,8,21),tblDaily[WardCode],"FAE")),"")</f>
        <v/>
      </c>
      <c r="E300" s="12">
        <f>IFERROR(IF(SUMIFS(tblDaily[DeathsUnder24Hrs],tblDaily[EntryDate],DATE(2026,8,21),tblDaily[WardCode],"FAE")=0,"",SUMIFS(tblDaily[DeathsUnder24Hrs],tblDaily[EntryDate],DATE(2026,8,21),tblDaily[WardCode],"FAE")),"")</f>
        <v/>
      </c>
      <c r="F300" s="12">
        <f>IFERROR(IF(SUMIFS(tblDaily[TransfersIn],tblDaily[EntryDate],DATE(2026,8,21),tblDaily[WardCode],"FAE")=0,"",SUMIFS(tblDaily[TransfersIn],tblDaily[EntryDate],DATE(2026,8,21),tblDaily[WardCode],"FAE")),"")</f>
        <v/>
      </c>
      <c r="G300" s="12">
        <f>IFERROR(IF(SUMIFS(tblDaily[TransfersOut],tblDaily[EntryDate],DATE(2026,8,21),tblDaily[WardCode],"FAE")=0,"",SUMIFS(tblDaily[TransfersOut],tblDaily[EntryDate],DATE(2026,8,21),tblDaily[WardCode],"FAE")),"")</f>
        <v/>
      </c>
      <c r="H300" s="12">
        <f>IFERROR(IF(SUMIFS(tblDaily[Remaining],tblDaily[EntryDate],DATE(2026,8,21),tblDaily[WardCode],"FAE")=0,"",SUMIFS(tblDaily[Remaining],tblDaily[EntryDate],DATE(2026,8,21),tblDaily[WardCode],"FAE")),"")</f>
        <v/>
      </c>
    </row>
    <row r="301">
      <c r="A301" s="12" t="n">
        <v>22</v>
      </c>
      <c r="B301" s="12">
        <f>IFERROR(IF(SUMIFS(tblDaily[Admissions],tblDaily[EntryDate],DATE(2026,8,22),tblDaily[WardCode],"FAE")=0,"",SUMIFS(tblDaily[Admissions],tblDaily[EntryDate],DATE(2026,8,22),tblDaily[WardCode],"FAE")),"")</f>
        <v/>
      </c>
      <c r="C301" s="12">
        <f>IFERROR(IF(SUMIFS(tblDaily[Discharges],tblDaily[EntryDate],DATE(2026,8,22),tblDaily[WardCode],"FAE")=0,"",SUMIFS(tblDaily[Discharges],tblDaily[EntryDate],DATE(2026,8,22),tblDaily[WardCode],"FAE")),"")</f>
        <v/>
      </c>
      <c r="D301" s="12">
        <f>IFERROR(IF(SUMIFS(tblDaily[Deaths],tblDaily[EntryDate],DATE(2026,8,22),tblDaily[WardCode],"FAE")=0,"",SUMIFS(tblDaily[Deaths],tblDaily[EntryDate],DATE(2026,8,22),tblDaily[WardCode],"FAE")),"")</f>
        <v/>
      </c>
      <c r="E301" s="12">
        <f>IFERROR(IF(SUMIFS(tblDaily[DeathsUnder24Hrs],tblDaily[EntryDate],DATE(2026,8,22),tblDaily[WardCode],"FAE")=0,"",SUMIFS(tblDaily[DeathsUnder24Hrs],tblDaily[EntryDate],DATE(2026,8,22),tblDaily[WardCode],"FAE")),"")</f>
        <v/>
      </c>
      <c r="F301" s="12">
        <f>IFERROR(IF(SUMIFS(tblDaily[TransfersIn],tblDaily[EntryDate],DATE(2026,8,22),tblDaily[WardCode],"FAE")=0,"",SUMIFS(tblDaily[TransfersIn],tblDaily[EntryDate],DATE(2026,8,22),tblDaily[WardCode],"FAE")),"")</f>
        <v/>
      </c>
      <c r="G301" s="12">
        <f>IFERROR(IF(SUMIFS(tblDaily[TransfersOut],tblDaily[EntryDate],DATE(2026,8,22),tblDaily[WardCode],"FAE")=0,"",SUMIFS(tblDaily[TransfersOut],tblDaily[EntryDate],DATE(2026,8,22),tblDaily[WardCode],"FAE")),"")</f>
        <v/>
      </c>
      <c r="H301" s="12">
        <f>IFERROR(IF(SUMIFS(tblDaily[Remaining],tblDaily[EntryDate],DATE(2026,8,22),tblDaily[WardCode],"FAE")=0,"",SUMIFS(tblDaily[Remaining],tblDaily[EntryDate],DATE(2026,8,22),tblDaily[WardCode],"FAE")),"")</f>
        <v/>
      </c>
    </row>
    <row r="302">
      <c r="A302" s="12" t="n">
        <v>23</v>
      </c>
      <c r="B302" s="12">
        <f>IFERROR(IF(SUMIFS(tblDaily[Admissions],tblDaily[EntryDate],DATE(2026,8,23),tblDaily[WardCode],"FAE")=0,"",SUMIFS(tblDaily[Admissions],tblDaily[EntryDate],DATE(2026,8,23),tblDaily[WardCode],"FAE")),"")</f>
        <v/>
      </c>
      <c r="C302" s="12">
        <f>IFERROR(IF(SUMIFS(tblDaily[Discharges],tblDaily[EntryDate],DATE(2026,8,23),tblDaily[WardCode],"FAE")=0,"",SUMIFS(tblDaily[Discharges],tblDaily[EntryDate],DATE(2026,8,23),tblDaily[WardCode],"FAE")),"")</f>
        <v/>
      </c>
      <c r="D302" s="12">
        <f>IFERROR(IF(SUMIFS(tblDaily[Deaths],tblDaily[EntryDate],DATE(2026,8,23),tblDaily[WardCode],"FAE")=0,"",SUMIFS(tblDaily[Deaths],tblDaily[EntryDate],DATE(2026,8,23),tblDaily[WardCode],"FAE")),"")</f>
        <v/>
      </c>
      <c r="E302" s="12">
        <f>IFERROR(IF(SUMIFS(tblDaily[DeathsUnder24Hrs],tblDaily[EntryDate],DATE(2026,8,23),tblDaily[WardCode],"FAE")=0,"",SUMIFS(tblDaily[DeathsUnder24Hrs],tblDaily[EntryDate],DATE(2026,8,23),tblDaily[WardCode],"FAE")),"")</f>
        <v/>
      </c>
      <c r="F302" s="12">
        <f>IFERROR(IF(SUMIFS(tblDaily[TransfersIn],tblDaily[EntryDate],DATE(2026,8,23),tblDaily[WardCode],"FAE")=0,"",SUMIFS(tblDaily[TransfersIn],tblDaily[EntryDate],DATE(2026,8,23),tblDaily[WardCode],"FAE")),"")</f>
        <v/>
      </c>
      <c r="G302" s="12">
        <f>IFERROR(IF(SUMIFS(tblDaily[TransfersOut],tblDaily[EntryDate],DATE(2026,8,23),tblDaily[WardCode],"FAE")=0,"",SUMIFS(tblDaily[TransfersOut],tblDaily[EntryDate],DATE(2026,8,23),tblDaily[WardCode],"FAE")),"")</f>
        <v/>
      </c>
      <c r="H302" s="12">
        <f>IFERROR(IF(SUMIFS(tblDaily[Remaining],tblDaily[EntryDate],DATE(2026,8,23),tblDaily[WardCode],"FAE")=0,"",SUMIFS(tblDaily[Remaining],tblDaily[EntryDate],DATE(2026,8,23),tblDaily[WardCode],"FAE")),"")</f>
        <v/>
      </c>
    </row>
    <row r="303">
      <c r="A303" s="12" t="n">
        <v>24</v>
      </c>
      <c r="B303" s="12">
        <f>IFERROR(IF(SUMIFS(tblDaily[Admissions],tblDaily[EntryDate],DATE(2026,8,24),tblDaily[WardCode],"FAE")=0,"",SUMIFS(tblDaily[Admissions],tblDaily[EntryDate],DATE(2026,8,24),tblDaily[WardCode],"FAE")),"")</f>
        <v/>
      </c>
      <c r="C303" s="12">
        <f>IFERROR(IF(SUMIFS(tblDaily[Discharges],tblDaily[EntryDate],DATE(2026,8,24),tblDaily[WardCode],"FAE")=0,"",SUMIFS(tblDaily[Discharges],tblDaily[EntryDate],DATE(2026,8,24),tblDaily[WardCode],"FAE")),"")</f>
        <v/>
      </c>
      <c r="D303" s="12">
        <f>IFERROR(IF(SUMIFS(tblDaily[Deaths],tblDaily[EntryDate],DATE(2026,8,24),tblDaily[WardCode],"FAE")=0,"",SUMIFS(tblDaily[Deaths],tblDaily[EntryDate],DATE(2026,8,24),tblDaily[WardCode],"FAE")),"")</f>
        <v/>
      </c>
      <c r="E303" s="12">
        <f>IFERROR(IF(SUMIFS(tblDaily[DeathsUnder24Hrs],tblDaily[EntryDate],DATE(2026,8,24),tblDaily[WardCode],"FAE")=0,"",SUMIFS(tblDaily[DeathsUnder24Hrs],tblDaily[EntryDate],DATE(2026,8,24),tblDaily[WardCode],"FAE")),"")</f>
        <v/>
      </c>
      <c r="F303" s="12">
        <f>IFERROR(IF(SUMIFS(tblDaily[TransfersIn],tblDaily[EntryDate],DATE(2026,8,24),tblDaily[WardCode],"FAE")=0,"",SUMIFS(tblDaily[TransfersIn],tblDaily[EntryDate],DATE(2026,8,24),tblDaily[WardCode],"FAE")),"")</f>
        <v/>
      </c>
      <c r="G303" s="12">
        <f>IFERROR(IF(SUMIFS(tblDaily[TransfersOut],tblDaily[EntryDate],DATE(2026,8,24),tblDaily[WardCode],"FAE")=0,"",SUMIFS(tblDaily[TransfersOut],tblDaily[EntryDate],DATE(2026,8,24),tblDaily[WardCode],"FAE")),"")</f>
        <v/>
      </c>
      <c r="H303" s="12">
        <f>IFERROR(IF(SUMIFS(tblDaily[Remaining],tblDaily[EntryDate],DATE(2026,8,24),tblDaily[WardCode],"FAE")=0,"",SUMIFS(tblDaily[Remaining],tblDaily[EntryDate],DATE(2026,8,24),tblDaily[WardCode],"FAE")),"")</f>
        <v/>
      </c>
    </row>
    <row r="304">
      <c r="A304" s="12" t="n">
        <v>25</v>
      </c>
      <c r="B304" s="12">
        <f>IFERROR(IF(SUMIFS(tblDaily[Admissions],tblDaily[EntryDate],DATE(2026,8,25),tblDaily[WardCode],"FAE")=0,"",SUMIFS(tblDaily[Admissions],tblDaily[EntryDate],DATE(2026,8,25),tblDaily[WardCode],"FAE")),"")</f>
        <v/>
      </c>
      <c r="C304" s="12">
        <f>IFERROR(IF(SUMIFS(tblDaily[Discharges],tblDaily[EntryDate],DATE(2026,8,25),tblDaily[WardCode],"FAE")=0,"",SUMIFS(tblDaily[Discharges],tblDaily[EntryDate],DATE(2026,8,25),tblDaily[WardCode],"FAE")),"")</f>
        <v/>
      </c>
      <c r="D304" s="12">
        <f>IFERROR(IF(SUMIFS(tblDaily[Deaths],tblDaily[EntryDate],DATE(2026,8,25),tblDaily[WardCode],"FAE")=0,"",SUMIFS(tblDaily[Deaths],tblDaily[EntryDate],DATE(2026,8,25),tblDaily[WardCode],"FAE")),"")</f>
        <v/>
      </c>
      <c r="E304" s="12">
        <f>IFERROR(IF(SUMIFS(tblDaily[DeathsUnder24Hrs],tblDaily[EntryDate],DATE(2026,8,25),tblDaily[WardCode],"FAE")=0,"",SUMIFS(tblDaily[DeathsUnder24Hrs],tblDaily[EntryDate],DATE(2026,8,25),tblDaily[WardCode],"FAE")),"")</f>
        <v/>
      </c>
      <c r="F304" s="12">
        <f>IFERROR(IF(SUMIFS(tblDaily[TransfersIn],tblDaily[EntryDate],DATE(2026,8,25),tblDaily[WardCode],"FAE")=0,"",SUMIFS(tblDaily[TransfersIn],tblDaily[EntryDate],DATE(2026,8,25),tblDaily[WardCode],"FAE")),"")</f>
        <v/>
      </c>
      <c r="G304" s="12">
        <f>IFERROR(IF(SUMIFS(tblDaily[TransfersOut],tblDaily[EntryDate],DATE(2026,8,25),tblDaily[WardCode],"FAE")=0,"",SUMIFS(tblDaily[TransfersOut],tblDaily[EntryDate],DATE(2026,8,25),tblDaily[WardCode],"FAE")),"")</f>
        <v/>
      </c>
      <c r="H304" s="12">
        <f>IFERROR(IF(SUMIFS(tblDaily[Remaining],tblDaily[EntryDate],DATE(2026,8,25),tblDaily[WardCode],"FAE")=0,"",SUMIFS(tblDaily[Remaining],tblDaily[EntryDate],DATE(2026,8,25),tblDaily[WardCode],"FAE")),"")</f>
        <v/>
      </c>
    </row>
    <row r="305">
      <c r="A305" s="12" t="n">
        <v>26</v>
      </c>
      <c r="B305" s="12">
        <f>IFERROR(IF(SUMIFS(tblDaily[Admissions],tblDaily[EntryDate],DATE(2026,8,26),tblDaily[WardCode],"FAE")=0,"",SUMIFS(tblDaily[Admissions],tblDaily[EntryDate],DATE(2026,8,26),tblDaily[WardCode],"FAE")),"")</f>
        <v/>
      </c>
      <c r="C305" s="12">
        <f>IFERROR(IF(SUMIFS(tblDaily[Discharges],tblDaily[EntryDate],DATE(2026,8,26),tblDaily[WardCode],"FAE")=0,"",SUMIFS(tblDaily[Discharges],tblDaily[EntryDate],DATE(2026,8,26),tblDaily[WardCode],"FAE")),"")</f>
        <v/>
      </c>
      <c r="D305" s="12">
        <f>IFERROR(IF(SUMIFS(tblDaily[Deaths],tblDaily[EntryDate],DATE(2026,8,26),tblDaily[WardCode],"FAE")=0,"",SUMIFS(tblDaily[Deaths],tblDaily[EntryDate],DATE(2026,8,26),tblDaily[WardCode],"FAE")),"")</f>
        <v/>
      </c>
      <c r="E305" s="12">
        <f>IFERROR(IF(SUMIFS(tblDaily[DeathsUnder24Hrs],tblDaily[EntryDate],DATE(2026,8,26),tblDaily[WardCode],"FAE")=0,"",SUMIFS(tblDaily[DeathsUnder24Hrs],tblDaily[EntryDate],DATE(2026,8,26),tblDaily[WardCode],"FAE")),"")</f>
        <v/>
      </c>
      <c r="F305" s="12">
        <f>IFERROR(IF(SUMIFS(tblDaily[TransfersIn],tblDaily[EntryDate],DATE(2026,8,26),tblDaily[WardCode],"FAE")=0,"",SUMIFS(tblDaily[TransfersIn],tblDaily[EntryDate],DATE(2026,8,26),tblDaily[WardCode],"FAE")),"")</f>
        <v/>
      </c>
      <c r="G305" s="12">
        <f>IFERROR(IF(SUMIFS(tblDaily[TransfersOut],tblDaily[EntryDate],DATE(2026,8,26),tblDaily[WardCode],"FAE")=0,"",SUMIFS(tblDaily[TransfersOut],tblDaily[EntryDate],DATE(2026,8,26),tblDaily[WardCode],"FAE")),"")</f>
        <v/>
      </c>
      <c r="H305" s="12">
        <f>IFERROR(IF(SUMIFS(tblDaily[Remaining],tblDaily[EntryDate],DATE(2026,8,26),tblDaily[WardCode],"FAE")=0,"",SUMIFS(tblDaily[Remaining],tblDaily[EntryDate],DATE(2026,8,26),tblDaily[WardCode],"FAE")),"")</f>
        <v/>
      </c>
    </row>
    <row r="306">
      <c r="A306" s="12" t="n">
        <v>27</v>
      </c>
      <c r="B306" s="12">
        <f>IFERROR(IF(SUMIFS(tblDaily[Admissions],tblDaily[EntryDate],DATE(2026,8,27),tblDaily[WardCode],"FAE")=0,"",SUMIFS(tblDaily[Admissions],tblDaily[EntryDate],DATE(2026,8,27),tblDaily[WardCode],"FAE")),"")</f>
        <v/>
      </c>
      <c r="C306" s="12">
        <f>IFERROR(IF(SUMIFS(tblDaily[Discharges],tblDaily[EntryDate],DATE(2026,8,27),tblDaily[WardCode],"FAE")=0,"",SUMIFS(tblDaily[Discharges],tblDaily[EntryDate],DATE(2026,8,27),tblDaily[WardCode],"FAE")),"")</f>
        <v/>
      </c>
      <c r="D306" s="12">
        <f>IFERROR(IF(SUMIFS(tblDaily[Deaths],tblDaily[EntryDate],DATE(2026,8,27),tblDaily[WardCode],"FAE")=0,"",SUMIFS(tblDaily[Deaths],tblDaily[EntryDate],DATE(2026,8,27),tblDaily[WardCode],"FAE")),"")</f>
        <v/>
      </c>
      <c r="E306" s="12">
        <f>IFERROR(IF(SUMIFS(tblDaily[DeathsUnder24Hrs],tblDaily[EntryDate],DATE(2026,8,27),tblDaily[WardCode],"FAE")=0,"",SUMIFS(tblDaily[DeathsUnder24Hrs],tblDaily[EntryDate],DATE(2026,8,27),tblDaily[WardCode],"FAE")),"")</f>
        <v/>
      </c>
      <c r="F306" s="12">
        <f>IFERROR(IF(SUMIFS(tblDaily[TransfersIn],tblDaily[EntryDate],DATE(2026,8,27),tblDaily[WardCode],"FAE")=0,"",SUMIFS(tblDaily[TransfersIn],tblDaily[EntryDate],DATE(2026,8,27),tblDaily[WardCode],"FAE")),"")</f>
        <v/>
      </c>
      <c r="G306" s="12">
        <f>IFERROR(IF(SUMIFS(tblDaily[TransfersOut],tblDaily[EntryDate],DATE(2026,8,27),tblDaily[WardCode],"FAE")=0,"",SUMIFS(tblDaily[TransfersOut],tblDaily[EntryDate],DATE(2026,8,27),tblDaily[WardCode],"FAE")),"")</f>
        <v/>
      </c>
      <c r="H306" s="12">
        <f>IFERROR(IF(SUMIFS(tblDaily[Remaining],tblDaily[EntryDate],DATE(2026,8,27),tblDaily[WardCode],"FAE")=0,"",SUMIFS(tblDaily[Remaining],tblDaily[EntryDate],DATE(2026,8,27),tblDaily[WardCode],"FAE")),"")</f>
        <v/>
      </c>
    </row>
    <row r="307">
      <c r="A307" s="12" t="n">
        <v>28</v>
      </c>
      <c r="B307" s="12">
        <f>IFERROR(IF(SUMIFS(tblDaily[Admissions],tblDaily[EntryDate],DATE(2026,8,28),tblDaily[WardCode],"FAE")=0,"",SUMIFS(tblDaily[Admissions],tblDaily[EntryDate],DATE(2026,8,28),tblDaily[WardCode],"FAE")),"")</f>
        <v/>
      </c>
      <c r="C307" s="12">
        <f>IFERROR(IF(SUMIFS(tblDaily[Discharges],tblDaily[EntryDate],DATE(2026,8,28),tblDaily[WardCode],"FAE")=0,"",SUMIFS(tblDaily[Discharges],tblDaily[EntryDate],DATE(2026,8,28),tblDaily[WardCode],"FAE")),"")</f>
        <v/>
      </c>
      <c r="D307" s="12">
        <f>IFERROR(IF(SUMIFS(tblDaily[Deaths],tblDaily[EntryDate],DATE(2026,8,28),tblDaily[WardCode],"FAE")=0,"",SUMIFS(tblDaily[Deaths],tblDaily[EntryDate],DATE(2026,8,28),tblDaily[WardCode],"FAE")),"")</f>
        <v/>
      </c>
      <c r="E307" s="12">
        <f>IFERROR(IF(SUMIFS(tblDaily[DeathsUnder24Hrs],tblDaily[EntryDate],DATE(2026,8,28),tblDaily[WardCode],"FAE")=0,"",SUMIFS(tblDaily[DeathsUnder24Hrs],tblDaily[EntryDate],DATE(2026,8,28),tblDaily[WardCode],"FAE")),"")</f>
        <v/>
      </c>
      <c r="F307" s="12">
        <f>IFERROR(IF(SUMIFS(tblDaily[TransfersIn],tblDaily[EntryDate],DATE(2026,8,28),tblDaily[WardCode],"FAE")=0,"",SUMIFS(tblDaily[TransfersIn],tblDaily[EntryDate],DATE(2026,8,28),tblDaily[WardCode],"FAE")),"")</f>
        <v/>
      </c>
      <c r="G307" s="12">
        <f>IFERROR(IF(SUMIFS(tblDaily[TransfersOut],tblDaily[EntryDate],DATE(2026,8,28),tblDaily[WardCode],"FAE")=0,"",SUMIFS(tblDaily[TransfersOut],tblDaily[EntryDate],DATE(2026,8,28),tblDaily[WardCode],"FAE")),"")</f>
        <v/>
      </c>
      <c r="H307" s="12">
        <f>IFERROR(IF(SUMIFS(tblDaily[Remaining],tblDaily[EntryDate],DATE(2026,8,28),tblDaily[WardCode],"FAE")=0,"",SUMIFS(tblDaily[Remaining],tblDaily[EntryDate],DATE(2026,8,28),tblDaily[WardCode],"FAE")),"")</f>
        <v/>
      </c>
    </row>
    <row r="308">
      <c r="A308" s="12" t="n">
        <v>29</v>
      </c>
      <c r="B308" s="12">
        <f>IFERROR(IF(SUMIFS(tblDaily[Admissions],tblDaily[EntryDate],DATE(2026,8,29),tblDaily[WardCode],"FAE")=0,"",SUMIFS(tblDaily[Admissions],tblDaily[EntryDate],DATE(2026,8,29),tblDaily[WardCode],"FAE")),"")</f>
        <v/>
      </c>
      <c r="C308" s="12">
        <f>IFERROR(IF(SUMIFS(tblDaily[Discharges],tblDaily[EntryDate],DATE(2026,8,29),tblDaily[WardCode],"FAE")=0,"",SUMIFS(tblDaily[Discharges],tblDaily[EntryDate],DATE(2026,8,29),tblDaily[WardCode],"FAE")),"")</f>
        <v/>
      </c>
      <c r="D308" s="12">
        <f>IFERROR(IF(SUMIFS(tblDaily[Deaths],tblDaily[EntryDate],DATE(2026,8,29),tblDaily[WardCode],"FAE")=0,"",SUMIFS(tblDaily[Deaths],tblDaily[EntryDate],DATE(2026,8,29),tblDaily[WardCode],"FAE")),"")</f>
        <v/>
      </c>
      <c r="E308" s="12">
        <f>IFERROR(IF(SUMIFS(tblDaily[DeathsUnder24Hrs],tblDaily[EntryDate],DATE(2026,8,29),tblDaily[WardCode],"FAE")=0,"",SUMIFS(tblDaily[DeathsUnder24Hrs],tblDaily[EntryDate],DATE(2026,8,29),tblDaily[WardCode],"FAE")),"")</f>
        <v/>
      </c>
      <c r="F308" s="12">
        <f>IFERROR(IF(SUMIFS(tblDaily[TransfersIn],tblDaily[EntryDate],DATE(2026,8,29),tblDaily[WardCode],"FAE")=0,"",SUMIFS(tblDaily[TransfersIn],tblDaily[EntryDate],DATE(2026,8,29),tblDaily[WardCode],"FAE")),"")</f>
        <v/>
      </c>
      <c r="G308" s="12">
        <f>IFERROR(IF(SUMIFS(tblDaily[TransfersOut],tblDaily[EntryDate],DATE(2026,8,29),tblDaily[WardCode],"FAE")=0,"",SUMIFS(tblDaily[TransfersOut],tblDaily[EntryDate],DATE(2026,8,29),tblDaily[WardCode],"FAE")),"")</f>
        <v/>
      </c>
      <c r="H308" s="12">
        <f>IFERROR(IF(SUMIFS(tblDaily[Remaining],tblDaily[EntryDate],DATE(2026,8,29),tblDaily[WardCode],"FAE")=0,"",SUMIFS(tblDaily[Remaining],tblDaily[EntryDate],DATE(2026,8,29),tblDaily[WardCode],"FAE")),"")</f>
        <v/>
      </c>
    </row>
    <row r="309">
      <c r="A309" s="12" t="n">
        <v>30</v>
      </c>
      <c r="B309" s="12">
        <f>IFERROR(IF(SUMIFS(tblDaily[Admissions],tblDaily[EntryDate],DATE(2026,8,30),tblDaily[WardCode],"FAE")=0,"",SUMIFS(tblDaily[Admissions],tblDaily[EntryDate],DATE(2026,8,30),tblDaily[WardCode],"FAE")),"")</f>
        <v/>
      </c>
      <c r="C309" s="12">
        <f>IFERROR(IF(SUMIFS(tblDaily[Discharges],tblDaily[EntryDate],DATE(2026,8,30),tblDaily[WardCode],"FAE")=0,"",SUMIFS(tblDaily[Discharges],tblDaily[EntryDate],DATE(2026,8,30),tblDaily[WardCode],"FAE")),"")</f>
        <v/>
      </c>
      <c r="D309" s="12">
        <f>IFERROR(IF(SUMIFS(tblDaily[Deaths],tblDaily[EntryDate],DATE(2026,8,30),tblDaily[WardCode],"FAE")=0,"",SUMIFS(tblDaily[Deaths],tblDaily[EntryDate],DATE(2026,8,30),tblDaily[WardCode],"FAE")),"")</f>
        <v/>
      </c>
      <c r="E309" s="12">
        <f>IFERROR(IF(SUMIFS(tblDaily[DeathsUnder24Hrs],tblDaily[EntryDate],DATE(2026,8,30),tblDaily[WardCode],"FAE")=0,"",SUMIFS(tblDaily[DeathsUnder24Hrs],tblDaily[EntryDate],DATE(2026,8,30),tblDaily[WardCode],"FAE")),"")</f>
        <v/>
      </c>
      <c r="F309" s="12">
        <f>IFERROR(IF(SUMIFS(tblDaily[TransfersIn],tblDaily[EntryDate],DATE(2026,8,30),tblDaily[WardCode],"FAE")=0,"",SUMIFS(tblDaily[TransfersIn],tblDaily[EntryDate],DATE(2026,8,30),tblDaily[WardCode],"FAE")),"")</f>
        <v/>
      </c>
      <c r="G309" s="12">
        <f>IFERROR(IF(SUMIFS(tblDaily[TransfersOut],tblDaily[EntryDate],DATE(2026,8,30),tblDaily[WardCode],"FAE")=0,"",SUMIFS(tblDaily[TransfersOut],tblDaily[EntryDate],DATE(2026,8,30),tblDaily[WardCode],"FAE")),"")</f>
        <v/>
      </c>
      <c r="H309" s="12">
        <f>IFERROR(IF(SUMIFS(tblDaily[Remaining],tblDaily[EntryDate],DATE(2026,8,30),tblDaily[WardCode],"FAE")=0,"",SUMIFS(tblDaily[Remaining],tblDaily[EntryDate],DATE(2026,8,30),tblDaily[WardCode],"FAE")),"")</f>
        <v/>
      </c>
    </row>
    <row r="310">
      <c r="A310" s="12" t="n">
        <v>31</v>
      </c>
      <c r="B310" s="12">
        <f>IFERROR(IF(SUMIFS(tblDaily[Admissions],tblDaily[EntryDate],DATE(2026,8,31),tblDaily[WardCode],"FAE")=0,"",SUMIFS(tblDaily[Admissions],tblDaily[EntryDate],DATE(2026,8,31),tblDaily[WardCode],"FAE")),"")</f>
        <v/>
      </c>
      <c r="C310" s="12">
        <f>IFERROR(IF(SUMIFS(tblDaily[Discharges],tblDaily[EntryDate],DATE(2026,8,31),tblDaily[WardCode],"FAE")=0,"",SUMIFS(tblDaily[Discharges],tblDaily[EntryDate],DATE(2026,8,31),tblDaily[WardCode],"FAE")),"")</f>
        <v/>
      </c>
      <c r="D310" s="12">
        <f>IFERROR(IF(SUMIFS(tblDaily[Deaths],tblDaily[EntryDate],DATE(2026,8,31),tblDaily[WardCode],"FAE")=0,"",SUMIFS(tblDaily[Deaths],tblDaily[EntryDate],DATE(2026,8,31),tblDaily[WardCode],"FAE")),"")</f>
        <v/>
      </c>
      <c r="E310" s="12">
        <f>IFERROR(IF(SUMIFS(tblDaily[DeathsUnder24Hrs],tblDaily[EntryDate],DATE(2026,8,31),tblDaily[WardCode],"FAE")=0,"",SUMIFS(tblDaily[DeathsUnder24Hrs],tblDaily[EntryDate],DATE(2026,8,31),tblDaily[WardCode],"FAE")),"")</f>
        <v/>
      </c>
      <c r="F310" s="12">
        <f>IFERROR(IF(SUMIFS(tblDaily[TransfersIn],tblDaily[EntryDate],DATE(2026,8,31),tblDaily[WardCode],"FAE")=0,"",SUMIFS(tblDaily[TransfersIn],tblDaily[EntryDate],DATE(2026,8,31),tblDaily[WardCode],"FAE")),"")</f>
        <v/>
      </c>
      <c r="G310" s="12">
        <f>IFERROR(IF(SUMIFS(tblDaily[TransfersOut],tblDaily[EntryDate],DATE(2026,8,31),tblDaily[WardCode],"FAE")=0,"",SUMIFS(tblDaily[TransfersOut],tblDaily[EntryDate],DATE(2026,8,31),tblDaily[WardCode],"FAE")),"")</f>
        <v/>
      </c>
      <c r="H310" s="12">
        <f>IFERROR(IF(SUMIFS(tblDaily[Remaining],tblDaily[EntryDate],DATE(2026,8,31),tblDaily[WardCode],"FAE")=0,"",SUMIFS(tblDaily[Remaining],tblDaily[EntryDate],DATE(2026,8,31),tblDaily[WardCode],"FAE")),"")</f>
        <v/>
      </c>
    </row>
    <row r="311">
      <c r="A311" s="17" t="inlineStr">
        <is>
          <t>TOTAL</t>
        </is>
      </c>
      <c r="B311" s="17">
        <f>SUMIFS(tblDaily[Admissions],tblDaily[Month],8,tblDaily[WardCode],"FAE") - SUMIFS(tblDaily[DeathsUnder24Hrs],tblDaily[Month],8,tblDaily[WardCode],"FAE")</f>
        <v/>
      </c>
      <c r="C311" s="17">
        <f>SUMIFS(tblDaily[Discharges],tblDaily[Month],8,tblDaily[WardCode],"FAE")</f>
        <v/>
      </c>
      <c r="D311" s="17">
        <f>SUMIFS(tblDaily[Deaths],tblDaily[Month],8,tblDaily[WardCode],"FAE")</f>
        <v/>
      </c>
      <c r="E311" s="17">
        <f>SUMIFS(tblDaily[DeathsUnder24Hrs],tblDaily[Month],8,tblDaily[WardCode],"FAE")</f>
        <v/>
      </c>
      <c r="F311" s="17">
        <f>SUMIFS(tblDaily[TransfersIn],tblDaily[Month],8,tblDaily[WardCode],"FAE")</f>
        <v/>
      </c>
      <c r="G311" s="17">
        <f>SUMIFS(tblDaily[TransfersOut],tblDaily[Month],8,tblDaily[WardCode],"FAE")</f>
        <v/>
      </c>
      <c r="H311" s="17">
        <f>SUMIFS(tblDaily[Remaining],tblDaily[Month],8,tblDaily[WardCode],"FAE")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FEMALE EMERGENCY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4">
        <f>IFERROR(SUMIFS(tblDaily[Remaining],tblDaily[EntryDate],DATE(2026,8,31),tblDaily[WardCode],"FAE"),0)</f>
        <v/>
      </c>
    </row>
    <row r="317">
      <c r="A317" s="4" t="inlineStr">
        <is>
          <t>Bed complement</t>
        </is>
      </c>
      <c r="H317" s="15">
        <f>IFERROR(INDEX(tblWardConfig[BedComplement],MATCH("FAE",tblWardConfig[WardCode],0)),0)</f>
        <v/>
      </c>
    </row>
    <row r="318">
      <c r="A318" s="16" t="inlineStr">
        <is>
          <t>Day of
the
Month</t>
        </is>
      </c>
      <c r="B318" s="16" t="inlineStr">
        <is>
          <t>Admissions</t>
        </is>
      </c>
      <c r="C318" s="16" t="inlineStr">
        <is>
          <t>Discharges</t>
        </is>
      </c>
      <c r="D318" s="16" t="inlineStr">
        <is>
          <t>Deaths</t>
        </is>
      </c>
      <c r="E318" s="16" t="inlineStr">
        <is>
          <t>Deaths
&lt;24Hrs</t>
        </is>
      </c>
      <c r="F318" s="16" t="inlineStr">
        <is>
          <t>Transfers-
In</t>
        </is>
      </c>
      <c r="G318" s="16" t="inlineStr">
        <is>
          <t>Transfers-
Out</t>
        </is>
      </c>
      <c r="H318" s="16" t="inlineStr">
        <is>
          <t>No. of Patients
Remaining In
Ward</t>
        </is>
      </c>
    </row>
    <row r="319">
      <c r="A319" s="12" t="n">
        <v>1</v>
      </c>
      <c r="B319" s="12">
        <f>IFERROR(IF(SUMIFS(tblDaily[Admissions],tblDaily[EntryDate],DATE(2026,9,1),tblDaily[WardCode],"FAE")=0,"",SUMIFS(tblDaily[Admissions],tblDaily[EntryDate],DATE(2026,9,1),tblDaily[WardCode],"FAE")),"")</f>
        <v/>
      </c>
      <c r="C319" s="12">
        <f>IFERROR(IF(SUMIFS(tblDaily[Discharges],tblDaily[EntryDate],DATE(2026,9,1),tblDaily[WardCode],"FAE")=0,"",SUMIFS(tblDaily[Discharges],tblDaily[EntryDate],DATE(2026,9,1),tblDaily[WardCode],"FAE")),"")</f>
        <v/>
      </c>
      <c r="D319" s="12">
        <f>IFERROR(IF(SUMIFS(tblDaily[Deaths],tblDaily[EntryDate],DATE(2026,9,1),tblDaily[WardCode],"FAE")=0,"",SUMIFS(tblDaily[Deaths],tblDaily[EntryDate],DATE(2026,9,1),tblDaily[WardCode],"FAE")),"")</f>
        <v/>
      </c>
      <c r="E319" s="12">
        <f>IFERROR(IF(SUMIFS(tblDaily[DeathsUnder24Hrs],tblDaily[EntryDate],DATE(2026,9,1),tblDaily[WardCode],"FAE")=0,"",SUMIFS(tblDaily[DeathsUnder24Hrs],tblDaily[EntryDate],DATE(2026,9,1),tblDaily[WardCode],"FAE")),"")</f>
        <v/>
      </c>
      <c r="F319" s="12">
        <f>IFERROR(IF(SUMIFS(tblDaily[TransfersIn],tblDaily[EntryDate],DATE(2026,9,1),tblDaily[WardCode],"FAE")=0,"",SUMIFS(tblDaily[TransfersIn],tblDaily[EntryDate],DATE(2026,9,1),tblDaily[WardCode],"FAE")),"")</f>
        <v/>
      </c>
      <c r="G319" s="12">
        <f>IFERROR(IF(SUMIFS(tblDaily[TransfersOut],tblDaily[EntryDate],DATE(2026,9,1),tblDaily[WardCode],"FAE")=0,"",SUMIFS(tblDaily[TransfersOut],tblDaily[EntryDate],DATE(2026,9,1),tblDaily[WardCode],"FAE")),"")</f>
        <v/>
      </c>
      <c r="H319" s="12">
        <f>IFERROR(IF(SUMIFS(tblDaily[Remaining],tblDaily[EntryDate],DATE(2026,9,1),tblDaily[WardCode],"FAE")=0,"",SUMIFS(tblDaily[Remaining],tblDaily[EntryDate],DATE(2026,9,1),tblDaily[WardCode],"FAE")),"")</f>
        <v/>
      </c>
    </row>
    <row r="320">
      <c r="A320" s="12" t="n">
        <v>2</v>
      </c>
      <c r="B320" s="12">
        <f>IFERROR(IF(SUMIFS(tblDaily[Admissions],tblDaily[EntryDate],DATE(2026,9,2),tblDaily[WardCode],"FAE")=0,"",SUMIFS(tblDaily[Admissions],tblDaily[EntryDate],DATE(2026,9,2),tblDaily[WardCode],"FAE")),"")</f>
        <v/>
      </c>
      <c r="C320" s="12">
        <f>IFERROR(IF(SUMIFS(tblDaily[Discharges],tblDaily[EntryDate],DATE(2026,9,2),tblDaily[WardCode],"FAE")=0,"",SUMIFS(tblDaily[Discharges],tblDaily[EntryDate],DATE(2026,9,2),tblDaily[WardCode],"FAE")),"")</f>
        <v/>
      </c>
      <c r="D320" s="12">
        <f>IFERROR(IF(SUMIFS(tblDaily[Deaths],tblDaily[EntryDate],DATE(2026,9,2),tblDaily[WardCode],"FAE")=0,"",SUMIFS(tblDaily[Deaths],tblDaily[EntryDate],DATE(2026,9,2),tblDaily[WardCode],"FAE")),"")</f>
        <v/>
      </c>
      <c r="E320" s="12">
        <f>IFERROR(IF(SUMIFS(tblDaily[DeathsUnder24Hrs],tblDaily[EntryDate],DATE(2026,9,2),tblDaily[WardCode],"FAE")=0,"",SUMIFS(tblDaily[DeathsUnder24Hrs],tblDaily[EntryDate],DATE(2026,9,2),tblDaily[WardCode],"FAE")),"")</f>
        <v/>
      </c>
      <c r="F320" s="12">
        <f>IFERROR(IF(SUMIFS(tblDaily[TransfersIn],tblDaily[EntryDate],DATE(2026,9,2),tblDaily[WardCode],"FAE")=0,"",SUMIFS(tblDaily[TransfersIn],tblDaily[EntryDate],DATE(2026,9,2),tblDaily[WardCode],"FAE")),"")</f>
        <v/>
      </c>
      <c r="G320" s="12">
        <f>IFERROR(IF(SUMIFS(tblDaily[TransfersOut],tblDaily[EntryDate],DATE(2026,9,2),tblDaily[WardCode],"FAE")=0,"",SUMIFS(tblDaily[TransfersOut],tblDaily[EntryDate],DATE(2026,9,2),tblDaily[WardCode],"FAE")),"")</f>
        <v/>
      </c>
      <c r="H320" s="12">
        <f>IFERROR(IF(SUMIFS(tblDaily[Remaining],tblDaily[EntryDate],DATE(2026,9,2),tblDaily[WardCode],"FAE")=0,"",SUMIFS(tblDaily[Remaining],tblDaily[EntryDate],DATE(2026,9,2),tblDaily[WardCode],"FAE")),"")</f>
        <v/>
      </c>
    </row>
    <row r="321">
      <c r="A321" s="12" t="n">
        <v>3</v>
      </c>
      <c r="B321" s="12">
        <f>IFERROR(IF(SUMIFS(tblDaily[Admissions],tblDaily[EntryDate],DATE(2026,9,3),tblDaily[WardCode],"FAE")=0,"",SUMIFS(tblDaily[Admissions],tblDaily[EntryDate],DATE(2026,9,3),tblDaily[WardCode],"FAE")),"")</f>
        <v/>
      </c>
      <c r="C321" s="12">
        <f>IFERROR(IF(SUMIFS(tblDaily[Discharges],tblDaily[EntryDate],DATE(2026,9,3),tblDaily[WardCode],"FAE")=0,"",SUMIFS(tblDaily[Discharges],tblDaily[EntryDate],DATE(2026,9,3),tblDaily[WardCode],"FAE")),"")</f>
        <v/>
      </c>
      <c r="D321" s="12">
        <f>IFERROR(IF(SUMIFS(tblDaily[Deaths],tblDaily[EntryDate],DATE(2026,9,3),tblDaily[WardCode],"FAE")=0,"",SUMIFS(tblDaily[Deaths],tblDaily[EntryDate],DATE(2026,9,3),tblDaily[WardCode],"FAE")),"")</f>
        <v/>
      </c>
      <c r="E321" s="12">
        <f>IFERROR(IF(SUMIFS(tblDaily[DeathsUnder24Hrs],tblDaily[EntryDate],DATE(2026,9,3),tblDaily[WardCode],"FAE")=0,"",SUMIFS(tblDaily[DeathsUnder24Hrs],tblDaily[EntryDate],DATE(2026,9,3),tblDaily[WardCode],"FAE")),"")</f>
        <v/>
      </c>
      <c r="F321" s="12">
        <f>IFERROR(IF(SUMIFS(tblDaily[TransfersIn],tblDaily[EntryDate],DATE(2026,9,3),tblDaily[WardCode],"FAE")=0,"",SUMIFS(tblDaily[TransfersIn],tblDaily[EntryDate],DATE(2026,9,3),tblDaily[WardCode],"FAE")),"")</f>
        <v/>
      </c>
      <c r="G321" s="12">
        <f>IFERROR(IF(SUMIFS(tblDaily[TransfersOut],tblDaily[EntryDate],DATE(2026,9,3),tblDaily[WardCode],"FAE")=0,"",SUMIFS(tblDaily[TransfersOut],tblDaily[EntryDate],DATE(2026,9,3),tblDaily[WardCode],"FAE")),"")</f>
        <v/>
      </c>
      <c r="H321" s="12">
        <f>IFERROR(IF(SUMIFS(tblDaily[Remaining],tblDaily[EntryDate],DATE(2026,9,3),tblDaily[WardCode],"FAE")=0,"",SUMIFS(tblDaily[Remaining],tblDaily[EntryDate],DATE(2026,9,3),tblDaily[WardCode],"FAE")),"")</f>
        <v/>
      </c>
    </row>
    <row r="322">
      <c r="A322" s="12" t="n">
        <v>4</v>
      </c>
      <c r="B322" s="12">
        <f>IFERROR(IF(SUMIFS(tblDaily[Admissions],tblDaily[EntryDate],DATE(2026,9,4),tblDaily[WardCode],"FAE")=0,"",SUMIFS(tblDaily[Admissions],tblDaily[EntryDate],DATE(2026,9,4),tblDaily[WardCode],"FAE")),"")</f>
        <v/>
      </c>
      <c r="C322" s="12">
        <f>IFERROR(IF(SUMIFS(tblDaily[Discharges],tblDaily[EntryDate],DATE(2026,9,4),tblDaily[WardCode],"FAE")=0,"",SUMIFS(tblDaily[Discharges],tblDaily[EntryDate],DATE(2026,9,4),tblDaily[WardCode],"FAE")),"")</f>
        <v/>
      </c>
      <c r="D322" s="12">
        <f>IFERROR(IF(SUMIFS(tblDaily[Deaths],tblDaily[EntryDate],DATE(2026,9,4),tblDaily[WardCode],"FAE")=0,"",SUMIFS(tblDaily[Deaths],tblDaily[EntryDate],DATE(2026,9,4),tblDaily[WardCode],"FAE")),"")</f>
        <v/>
      </c>
      <c r="E322" s="12">
        <f>IFERROR(IF(SUMIFS(tblDaily[DeathsUnder24Hrs],tblDaily[EntryDate],DATE(2026,9,4),tblDaily[WardCode],"FAE")=0,"",SUMIFS(tblDaily[DeathsUnder24Hrs],tblDaily[EntryDate],DATE(2026,9,4),tblDaily[WardCode],"FAE")),"")</f>
        <v/>
      </c>
      <c r="F322" s="12">
        <f>IFERROR(IF(SUMIFS(tblDaily[TransfersIn],tblDaily[EntryDate],DATE(2026,9,4),tblDaily[WardCode],"FAE")=0,"",SUMIFS(tblDaily[TransfersIn],tblDaily[EntryDate],DATE(2026,9,4),tblDaily[WardCode],"FAE")),"")</f>
        <v/>
      </c>
      <c r="G322" s="12">
        <f>IFERROR(IF(SUMIFS(tblDaily[TransfersOut],tblDaily[EntryDate],DATE(2026,9,4),tblDaily[WardCode],"FAE")=0,"",SUMIFS(tblDaily[TransfersOut],tblDaily[EntryDate],DATE(2026,9,4),tblDaily[WardCode],"FAE")),"")</f>
        <v/>
      </c>
      <c r="H322" s="12">
        <f>IFERROR(IF(SUMIFS(tblDaily[Remaining],tblDaily[EntryDate],DATE(2026,9,4),tblDaily[WardCode],"FAE")=0,"",SUMIFS(tblDaily[Remaining],tblDaily[EntryDate],DATE(2026,9,4),tblDaily[WardCode],"FAE")),"")</f>
        <v/>
      </c>
    </row>
    <row r="323">
      <c r="A323" s="12" t="n">
        <v>5</v>
      </c>
      <c r="B323" s="12">
        <f>IFERROR(IF(SUMIFS(tblDaily[Admissions],tblDaily[EntryDate],DATE(2026,9,5),tblDaily[WardCode],"FAE")=0,"",SUMIFS(tblDaily[Admissions],tblDaily[EntryDate],DATE(2026,9,5),tblDaily[WardCode],"FAE")),"")</f>
        <v/>
      </c>
      <c r="C323" s="12">
        <f>IFERROR(IF(SUMIFS(tblDaily[Discharges],tblDaily[EntryDate],DATE(2026,9,5),tblDaily[WardCode],"FAE")=0,"",SUMIFS(tblDaily[Discharges],tblDaily[EntryDate],DATE(2026,9,5),tblDaily[WardCode],"FAE")),"")</f>
        <v/>
      </c>
      <c r="D323" s="12">
        <f>IFERROR(IF(SUMIFS(tblDaily[Deaths],tblDaily[EntryDate],DATE(2026,9,5),tblDaily[WardCode],"FAE")=0,"",SUMIFS(tblDaily[Deaths],tblDaily[EntryDate],DATE(2026,9,5),tblDaily[WardCode],"FAE")),"")</f>
        <v/>
      </c>
      <c r="E323" s="12">
        <f>IFERROR(IF(SUMIFS(tblDaily[DeathsUnder24Hrs],tblDaily[EntryDate],DATE(2026,9,5),tblDaily[WardCode],"FAE")=0,"",SUMIFS(tblDaily[DeathsUnder24Hrs],tblDaily[EntryDate],DATE(2026,9,5),tblDaily[WardCode],"FAE")),"")</f>
        <v/>
      </c>
      <c r="F323" s="12">
        <f>IFERROR(IF(SUMIFS(tblDaily[TransfersIn],tblDaily[EntryDate],DATE(2026,9,5),tblDaily[WardCode],"FAE")=0,"",SUMIFS(tblDaily[TransfersIn],tblDaily[EntryDate],DATE(2026,9,5),tblDaily[WardCode],"FAE")),"")</f>
        <v/>
      </c>
      <c r="G323" s="12">
        <f>IFERROR(IF(SUMIFS(tblDaily[TransfersOut],tblDaily[EntryDate],DATE(2026,9,5),tblDaily[WardCode],"FAE")=0,"",SUMIFS(tblDaily[TransfersOut],tblDaily[EntryDate],DATE(2026,9,5),tblDaily[WardCode],"FAE")),"")</f>
        <v/>
      </c>
      <c r="H323" s="12">
        <f>IFERROR(IF(SUMIFS(tblDaily[Remaining],tblDaily[EntryDate],DATE(2026,9,5),tblDaily[WardCode],"FAE")=0,"",SUMIFS(tblDaily[Remaining],tblDaily[EntryDate],DATE(2026,9,5),tblDaily[WardCode],"FAE")),"")</f>
        <v/>
      </c>
    </row>
    <row r="324">
      <c r="A324" s="12" t="n">
        <v>6</v>
      </c>
      <c r="B324" s="12">
        <f>IFERROR(IF(SUMIFS(tblDaily[Admissions],tblDaily[EntryDate],DATE(2026,9,6),tblDaily[WardCode],"FAE")=0,"",SUMIFS(tblDaily[Admissions],tblDaily[EntryDate],DATE(2026,9,6),tblDaily[WardCode],"FAE")),"")</f>
        <v/>
      </c>
      <c r="C324" s="12">
        <f>IFERROR(IF(SUMIFS(tblDaily[Discharges],tblDaily[EntryDate],DATE(2026,9,6),tblDaily[WardCode],"FAE")=0,"",SUMIFS(tblDaily[Discharges],tblDaily[EntryDate],DATE(2026,9,6),tblDaily[WardCode],"FAE")),"")</f>
        <v/>
      </c>
      <c r="D324" s="12">
        <f>IFERROR(IF(SUMIFS(tblDaily[Deaths],tblDaily[EntryDate],DATE(2026,9,6),tblDaily[WardCode],"FAE")=0,"",SUMIFS(tblDaily[Deaths],tblDaily[EntryDate],DATE(2026,9,6),tblDaily[WardCode],"FAE")),"")</f>
        <v/>
      </c>
      <c r="E324" s="12">
        <f>IFERROR(IF(SUMIFS(tblDaily[DeathsUnder24Hrs],tblDaily[EntryDate],DATE(2026,9,6),tblDaily[WardCode],"FAE")=0,"",SUMIFS(tblDaily[DeathsUnder24Hrs],tblDaily[EntryDate],DATE(2026,9,6),tblDaily[WardCode],"FAE")),"")</f>
        <v/>
      </c>
      <c r="F324" s="12">
        <f>IFERROR(IF(SUMIFS(tblDaily[TransfersIn],tblDaily[EntryDate],DATE(2026,9,6),tblDaily[WardCode],"FAE")=0,"",SUMIFS(tblDaily[TransfersIn],tblDaily[EntryDate],DATE(2026,9,6),tblDaily[WardCode],"FAE")),"")</f>
        <v/>
      </c>
      <c r="G324" s="12">
        <f>IFERROR(IF(SUMIFS(tblDaily[TransfersOut],tblDaily[EntryDate],DATE(2026,9,6),tblDaily[WardCode],"FAE")=0,"",SUMIFS(tblDaily[TransfersOut],tblDaily[EntryDate],DATE(2026,9,6),tblDaily[WardCode],"FAE")),"")</f>
        <v/>
      </c>
      <c r="H324" s="12">
        <f>IFERROR(IF(SUMIFS(tblDaily[Remaining],tblDaily[EntryDate],DATE(2026,9,6),tblDaily[WardCode],"FAE")=0,"",SUMIFS(tblDaily[Remaining],tblDaily[EntryDate],DATE(2026,9,6),tblDaily[WardCode],"FAE")),"")</f>
        <v/>
      </c>
    </row>
    <row r="325">
      <c r="A325" s="12" t="n">
        <v>7</v>
      </c>
      <c r="B325" s="12">
        <f>IFERROR(IF(SUMIFS(tblDaily[Admissions],tblDaily[EntryDate],DATE(2026,9,7),tblDaily[WardCode],"FAE")=0,"",SUMIFS(tblDaily[Admissions],tblDaily[EntryDate],DATE(2026,9,7),tblDaily[WardCode],"FAE")),"")</f>
        <v/>
      </c>
      <c r="C325" s="12">
        <f>IFERROR(IF(SUMIFS(tblDaily[Discharges],tblDaily[EntryDate],DATE(2026,9,7),tblDaily[WardCode],"FAE")=0,"",SUMIFS(tblDaily[Discharges],tblDaily[EntryDate],DATE(2026,9,7),tblDaily[WardCode],"FAE")),"")</f>
        <v/>
      </c>
      <c r="D325" s="12">
        <f>IFERROR(IF(SUMIFS(tblDaily[Deaths],tblDaily[EntryDate],DATE(2026,9,7),tblDaily[WardCode],"FAE")=0,"",SUMIFS(tblDaily[Deaths],tblDaily[EntryDate],DATE(2026,9,7),tblDaily[WardCode],"FAE")),"")</f>
        <v/>
      </c>
      <c r="E325" s="12">
        <f>IFERROR(IF(SUMIFS(tblDaily[DeathsUnder24Hrs],tblDaily[EntryDate],DATE(2026,9,7),tblDaily[WardCode],"FAE")=0,"",SUMIFS(tblDaily[DeathsUnder24Hrs],tblDaily[EntryDate],DATE(2026,9,7),tblDaily[WardCode],"FAE")),"")</f>
        <v/>
      </c>
      <c r="F325" s="12">
        <f>IFERROR(IF(SUMIFS(tblDaily[TransfersIn],tblDaily[EntryDate],DATE(2026,9,7),tblDaily[WardCode],"FAE")=0,"",SUMIFS(tblDaily[TransfersIn],tblDaily[EntryDate],DATE(2026,9,7),tblDaily[WardCode],"FAE")),"")</f>
        <v/>
      </c>
      <c r="G325" s="12">
        <f>IFERROR(IF(SUMIFS(tblDaily[TransfersOut],tblDaily[EntryDate],DATE(2026,9,7),tblDaily[WardCode],"FAE")=0,"",SUMIFS(tblDaily[TransfersOut],tblDaily[EntryDate],DATE(2026,9,7),tblDaily[WardCode],"FAE")),"")</f>
        <v/>
      </c>
      <c r="H325" s="12">
        <f>IFERROR(IF(SUMIFS(tblDaily[Remaining],tblDaily[EntryDate],DATE(2026,9,7),tblDaily[WardCode],"FAE")=0,"",SUMIFS(tblDaily[Remaining],tblDaily[EntryDate],DATE(2026,9,7),tblDaily[WardCode],"FAE")),"")</f>
        <v/>
      </c>
    </row>
    <row r="326">
      <c r="A326" s="12" t="n">
        <v>8</v>
      </c>
      <c r="B326" s="12">
        <f>IFERROR(IF(SUMIFS(tblDaily[Admissions],tblDaily[EntryDate],DATE(2026,9,8),tblDaily[WardCode],"FAE")=0,"",SUMIFS(tblDaily[Admissions],tblDaily[EntryDate],DATE(2026,9,8),tblDaily[WardCode],"FAE")),"")</f>
        <v/>
      </c>
      <c r="C326" s="12">
        <f>IFERROR(IF(SUMIFS(tblDaily[Discharges],tblDaily[EntryDate],DATE(2026,9,8),tblDaily[WardCode],"FAE")=0,"",SUMIFS(tblDaily[Discharges],tblDaily[EntryDate],DATE(2026,9,8),tblDaily[WardCode],"FAE")),"")</f>
        <v/>
      </c>
      <c r="D326" s="12">
        <f>IFERROR(IF(SUMIFS(tblDaily[Deaths],tblDaily[EntryDate],DATE(2026,9,8),tblDaily[WardCode],"FAE")=0,"",SUMIFS(tblDaily[Deaths],tblDaily[EntryDate],DATE(2026,9,8),tblDaily[WardCode],"FAE")),"")</f>
        <v/>
      </c>
      <c r="E326" s="12">
        <f>IFERROR(IF(SUMIFS(tblDaily[DeathsUnder24Hrs],tblDaily[EntryDate],DATE(2026,9,8),tblDaily[WardCode],"FAE")=0,"",SUMIFS(tblDaily[DeathsUnder24Hrs],tblDaily[EntryDate],DATE(2026,9,8),tblDaily[WardCode],"FAE")),"")</f>
        <v/>
      </c>
      <c r="F326" s="12">
        <f>IFERROR(IF(SUMIFS(tblDaily[TransfersIn],tblDaily[EntryDate],DATE(2026,9,8),tblDaily[WardCode],"FAE")=0,"",SUMIFS(tblDaily[TransfersIn],tblDaily[EntryDate],DATE(2026,9,8),tblDaily[WardCode],"FAE")),"")</f>
        <v/>
      </c>
      <c r="G326" s="12">
        <f>IFERROR(IF(SUMIFS(tblDaily[TransfersOut],tblDaily[EntryDate],DATE(2026,9,8),tblDaily[WardCode],"FAE")=0,"",SUMIFS(tblDaily[TransfersOut],tblDaily[EntryDate],DATE(2026,9,8),tblDaily[WardCode],"FAE")),"")</f>
        <v/>
      </c>
      <c r="H326" s="12">
        <f>IFERROR(IF(SUMIFS(tblDaily[Remaining],tblDaily[EntryDate],DATE(2026,9,8),tblDaily[WardCode],"FAE")=0,"",SUMIFS(tblDaily[Remaining],tblDaily[EntryDate],DATE(2026,9,8),tblDaily[WardCode],"FAE")),"")</f>
        <v/>
      </c>
    </row>
    <row r="327">
      <c r="A327" s="12" t="n">
        <v>9</v>
      </c>
      <c r="B327" s="12">
        <f>IFERROR(IF(SUMIFS(tblDaily[Admissions],tblDaily[EntryDate],DATE(2026,9,9),tblDaily[WardCode],"FAE")=0,"",SUMIFS(tblDaily[Admissions],tblDaily[EntryDate],DATE(2026,9,9),tblDaily[WardCode],"FAE")),"")</f>
        <v/>
      </c>
      <c r="C327" s="12">
        <f>IFERROR(IF(SUMIFS(tblDaily[Discharges],tblDaily[EntryDate],DATE(2026,9,9),tblDaily[WardCode],"FAE")=0,"",SUMIFS(tblDaily[Discharges],tblDaily[EntryDate],DATE(2026,9,9),tblDaily[WardCode],"FAE")),"")</f>
        <v/>
      </c>
      <c r="D327" s="12">
        <f>IFERROR(IF(SUMIFS(tblDaily[Deaths],tblDaily[EntryDate],DATE(2026,9,9),tblDaily[WardCode],"FAE")=0,"",SUMIFS(tblDaily[Deaths],tblDaily[EntryDate],DATE(2026,9,9),tblDaily[WardCode],"FAE")),"")</f>
        <v/>
      </c>
      <c r="E327" s="12">
        <f>IFERROR(IF(SUMIFS(tblDaily[DeathsUnder24Hrs],tblDaily[EntryDate],DATE(2026,9,9),tblDaily[WardCode],"FAE")=0,"",SUMIFS(tblDaily[DeathsUnder24Hrs],tblDaily[EntryDate],DATE(2026,9,9),tblDaily[WardCode],"FAE")),"")</f>
        <v/>
      </c>
      <c r="F327" s="12">
        <f>IFERROR(IF(SUMIFS(tblDaily[TransfersIn],tblDaily[EntryDate],DATE(2026,9,9),tblDaily[WardCode],"FAE")=0,"",SUMIFS(tblDaily[TransfersIn],tblDaily[EntryDate],DATE(2026,9,9),tblDaily[WardCode],"FAE")),"")</f>
        <v/>
      </c>
      <c r="G327" s="12">
        <f>IFERROR(IF(SUMIFS(tblDaily[TransfersOut],tblDaily[EntryDate],DATE(2026,9,9),tblDaily[WardCode],"FAE")=0,"",SUMIFS(tblDaily[TransfersOut],tblDaily[EntryDate],DATE(2026,9,9),tblDaily[WardCode],"FAE")),"")</f>
        <v/>
      </c>
      <c r="H327" s="12">
        <f>IFERROR(IF(SUMIFS(tblDaily[Remaining],tblDaily[EntryDate],DATE(2026,9,9),tblDaily[WardCode],"FAE")=0,"",SUMIFS(tblDaily[Remaining],tblDaily[EntryDate],DATE(2026,9,9),tblDaily[WardCode],"FAE")),"")</f>
        <v/>
      </c>
    </row>
    <row r="328">
      <c r="A328" s="12" t="n">
        <v>10</v>
      </c>
      <c r="B328" s="12">
        <f>IFERROR(IF(SUMIFS(tblDaily[Admissions],tblDaily[EntryDate],DATE(2026,9,10),tblDaily[WardCode],"FAE")=0,"",SUMIFS(tblDaily[Admissions],tblDaily[EntryDate],DATE(2026,9,10),tblDaily[WardCode],"FAE")),"")</f>
        <v/>
      </c>
      <c r="C328" s="12">
        <f>IFERROR(IF(SUMIFS(tblDaily[Discharges],tblDaily[EntryDate],DATE(2026,9,10),tblDaily[WardCode],"FAE")=0,"",SUMIFS(tblDaily[Discharges],tblDaily[EntryDate],DATE(2026,9,10),tblDaily[WardCode],"FAE")),"")</f>
        <v/>
      </c>
      <c r="D328" s="12">
        <f>IFERROR(IF(SUMIFS(tblDaily[Deaths],tblDaily[EntryDate],DATE(2026,9,10),tblDaily[WardCode],"FAE")=0,"",SUMIFS(tblDaily[Deaths],tblDaily[EntryDate],DATE(2026,9,10),tblDaily[WardCode],"FAE")),"")</f>
        <v/>
      </c>
      <c r="E328" s="12">
        <f>IFERROR(IF(SUMIFS(tblDaily[DeathsUnder24Hrs],tblDaily[EntryDate],DATE(2026,9,10),tblDaily[WardCode],"FAE")=0,"",SUMIFS(tblDaily[DeathsUnder24Hrs],tblDaily[EntryDate],DATE(2026,9,10),tblDaily[WardCode],"FAE")),"")</f>
        <v/>
      </c>
      <c r="F328" s="12">
        <f>IFERROR(IF(SUMIFS(tblDaily[TransfersIn],tblDaily[EntryDate],DATE(2026,9,10),tblDaily[WardCode],"FAE")=0,"",SUMIFS(tblDaily[TransfersIn],tblDaily[EntryDate],DATE(2026,9,10),tblDaily[WardCode],"FAE")),"")</f>
        <v/>
      </c>
      <c r="G328" s="12">
        <f>IFERROR(IF(SUMIFS(tblDaily[TransfersOut],tblDaily[EntryDate],DATE(2026,9,10),tblDaily[WardCode],"FAE")=0,"",SUMIFS(tblDaily[TransfersOut],tblDaily[EntryDate],DATE(2026,9,10),tblDaily[WardCode],"FAE")),"")</f>
        <v/>
      </c>
      <c r="H328" s="12">
        <f>IFERROR(IF(SUMIFS(tblDaily[Remaining],tblDaily[EntryDate],DATE(2026,9,10),tblDaily[WardCode],"FAE")=0,"",SUMIFS(tblDaily[Remaining],tblDaily[EntryDate],DATE(2026,9,10),tblDaily[WardCode],"FAE")),"")</f>
        <v/>
      </c>
    </row>
    <row r="329">
      <c r="A329" s="12" t="n">
        <v>11</v>
      </c>
      <c r="B329" s="12">
        <f>IFERROR(IF(SUMIFS(tblDaily[Admissions],tblDaily[EntryDate],DATE(2026,9,11),tblDaily[WardCode],"FAE")=0,"",SUMIFS(tblDaily[Admissions],tblDaily[EntryDate],DATE(2026,9,11),tblDaily[WardCode],"FAE")),"")</f>
        <v/>
      </c>
      <c r="C329" s="12">
        <f>IFERROR(IF(SUMIFS(tblDaily[Discharges],tblDaily[EntryDate],DATE(2026,9,11),tblDaily[WardCode],"FAE")=0,"",SUMIFS(tblDaily[Discharges],tblDaily[EntryDate],DATE(2026,9,11),tblDaily[WardCode],"FAE")),"")</f>
        <v/>
      </c>
      <c r="D329" s="12">
        <f>IFERROR(IF(SUMIFS(tblDaily[Deaths],tblDaily[EntryDate],DATE(2026,9,11),tblDaily[WardCode],"FAE")=0,"",SUMIFS(tblDaily[Deaths],tblDaily[EntryDate],DATE(2026,9,11),tblDaily[WardCode],"FAE")),"")</f>
        <v/>
      </c>
      <c r="E329" s="12">
        <f>IFERROR(IF(SUMIFS(tblDaily[DeathsUnder24Hrs],tblDaily[EntryDate],DATE(2026,9,11),tblDaily[WardCode],"FAE")=0,"",SUMIFS(tblDaily[DeathsUnder24Hrs],tblDaily[EntryDate],DATE(2026,9,11),tblDaily[WardCode],"FAE")),"")</f>
        <v/>
      </c>
      <c r="F329" s="12">
        <f>IFERROR(IF(SUMIFS(tblDaily[TransfersIn],tblDaily[EntryDate],DATE(2026,9,11),tblDaily[WardCode],"FAE")=0,"",SUMIFS(tblDaily[TransfersIn],tblDaily[EntryDate],DATE(2026,9,11),tblDaily[WardCode],"FAE")),"")</f>
        <v/>
      </c>
      <c r="G329" s="12">
        <f>IFERROR(IF(SUMIFS(tblDaily[TransfersOut],tblDaily[EntryDate],DATE(2026,9,11),tblDaily[WardCode],"FAE")=0,"",SUMIFS(tblDaily[TransfersOut],tblDaily[EntryDate],DATE(2026,9,11),tblDaily[WardCode],"FAE")),"")</f>
        <v/>
      </c>
      <c r="H329" s="12">
        <f>IFERROR(IF(SUMIFS(tblDaily[Remaining],tblDaily[EntryDate],DATE(2026,9,11),tblDaily[WardCode],"FAE")=0,"",SUMIFS(tblDaily[Remaining],tblDaily[EntryDate],DATE(2026,9,11),tblDaily[WardCode],"FAE")),"")</f>
        <v/>
      </c>
    </row>
    <row r="330">
      <c r="A330" s="12" t="n">
        <v>12</v>
      </c>
      <c r="B330" s="12">
        <f>IFERROR(IF(SUMIFS(tblDaily[Admissions],tblDaily[EntryDate],DATE(2026,9,12),tblDaily[WardCode],"FAE")=0,"",SUMIFS(tblDaily[Admissions],tblDaily[EntryDate],DATE(2026,9,12),tblDaily[WardCode],"FAE")),"")</f>
        <v/>
      </c>
      <c r="C330" s="12">
        <f>IFERROR(IF(SUMIFS(tblDaily[Discharges],tblDaily[EntryDate],DATE(2026,9,12),tblDaily[WardCode],"FAE")=0,"",SUMIFS(tblDaily[Discharges],tblDaily[EntryDate],DATE(2026,9,12),tblDaily[WardCode],"FAE")),"")</f>
        <v/>
      </c>
      <c r="D330" s="12">
        <f>IFERROR(IF(SUMIFS(tblDaily[Deaths],tblDaily[EntryDate],DATE(2026,9,12),tblDaily[WardCode],"FAE")=0,"",SUMIFS(tblDaily[Deaths],tblDaily[EntryDate],DATE(2026,9,12),tblDaily[WardCode],"FAE")),"")</f>
        <v/>
      </c>
      <c r="E330" s="12">
        <f>IFERROR(IF(SUMIFS(tblDaily[DeathsUnder24Hrs],tblDaily[EntryDate],DATE(2026,9,12),tblDaily[WardCode],"FAE")=0,"",SUMIFS(tblDaily[DeathsUnder24Hrs],tblDaily[EntryDate],DATE(2026,9,12),tblDaily[WardCode],"FAE")),"")</f>
        <v/>
      </c>
      <c r="F330" s="12">
        <f>IFERROR(IF(SUMIFS(tblDaily[TransfersIn],tblDaily[EntryDate],DATE(2026,9,12),tblDaily[WardCode],"FAE")=0,"",SUMIFS(tblDaily[TransfersIn],tblDaily[EntryDate],DATE(2026,9,12),tblDaily[WardCode],"FAE")),"")</f>
        <v/>
      </c>
      <c r="G330" s="12">
        <f>IFERROR(IF(SUMIFS(tblDaily[TransfersOut],tblDaily[EntryDate],DATE(2026,9,12),tblDaily[WardCode],"FAE")=0,"",SUMIFS(tblDaily[TransfersOut],tblDaily[EntryDate],DATE(2026,9,12),tblDaily[WardCode],"FAE")),"")</f>
        <v/>
      </c>
      <c r="H330" s="12">
        <f>IFERROR(IF(SUMIFS(tblDaily[Remaining],tblDaily[EntryDate],DATE(2026,9,12),tblDaily[WardCode],"FAE")=0,"",SUMIFS(tblDaily[Remaining],tblDaily[EntryDate],DATE(2026,9,12),tblDaily[WardCode],"FAE")),"")</f>
        <v/>
      </c>
    </row>
    <row r="331">
      <c r="A331" s="12" t="n">
        <v>13</v>
      </c>
      <c r="B331" s="12">
        <f>IFERROR(IF(SUMIFS(tblDaily[Admissions],tblDaily[EntryDate],DATE(2026,9,13),tblDaily[WardCode],"FAE")=0,"",SUMIFS(tblDaily[Admissions],tblDaily[EntryDate],DATE(2026,9,13),tblDaily[WardCode],"FAE")),"")</f>
        <v/>
      </c>
      <c r="C331" s="12">
        <f>IFERROR(IF(SUMIFS(tblDaily[Discharges],tblDaily[EntryDate],DATE(2026,9,13),tblDaily[WardCode],"FAE")=0,"",SUMIFS(tblDaily[Discharges],tblDaily[EntryDate],DATE(2026,9,13),tblDaily[WardCode],"FAE")),"")</f>
        <v/>
      </c>
      <c r="D331" s="12">
        <f>IFERROR(IF(SUMIFS(tblDaily[Deaths],tblDaily[EntryDate],DATE(2026,9,13),tblDaily[WardCode],"FAE")=0,"",SUMIFS(tblDaily[Deaths],tblDaily[EntryDate],DATE(2026,9,13),tblDaily[WardCode],"FAE")),"")</f>
        <v/>
      </c>
      <c r="E331" s="12">
        <f>IFERROR(IF(SUMIFS(tblDaily[DeathsUnder24Hrs],tblDaily[EntryDate],DATE(2026,9,13),tblDaily[WardCode],"FAE")=0,"",SUMIFS(tblDaily[DeathsUnder24Hrs],tblDaily[EntryDate],DATE(2026,9,13),tblDaily[WardCode],"FAE")),"")</f>
        <v/>
      </c>
      <c r="F331" s="12">
        <f>IFERROR(IF(SUMIFS(tblDaily[TransfersIn],tblDaily[EntryDate],DATE(2026,9,13),tblDaily[WardCode],"FAE")=0,"",SUMIFS(tblDaily[TransfersIn],tblDaily[EntryDate],DATE(2026,9,13),tblDaily[WardCode],"FAE")),"")</f>
        <v/>
      </c>
      <c r="G331" s="12">
        <f>IFERROR(IF(SUMIFS(tblDaily[TransfersOut],tblDaily[EntryDate],DATE(2026,9,13),tblDaily[WardCode],"FAE")=0,"",SUMIFS(tblDaily[TransfersOut],tblDaily[EntryDate],DATE(2026,9,13),tblDaily[WardCode],"FAE")),"")</f>
        <v/>
      </c>
      <c r="H331" s="12">
        <f>IFERROR(IF(SUMIFS(tblDaily[Remaining],tblDaily[EntryDate],DATE(2026,9,13),tblDaily[WardCode],"FAE")=0,"",SUMIFS(tblDaily[Remaining],tblDaily[EntryDate],DATE(2026,9,13),tblDaily[WardCode],"FAE")),"")</f>
        <v/>
      </c>
    </row>
    <row r="332">
      <c r="A332" s="12" t="n">
        <v>14</v>
      </c>
      <c r="B332" s="12">
        <f>IFERROR(IF(SUMIFS(tblDaily[Admissions],tblDaily[EntryDate],DATE(2026,9,14),tblDaily[WardCode],"FAE")=0,"",SUMIFS(tblDaily[Admissions],tblDaily[EntryDate],DATE(2026,9,14),tblDaily[WardCode],"FAE")),"")</f>
        <v/>
      </c>
      <c r="C332" s="12">
        <f>IFERROR(IF(SUMIFS(tblDaily[Discharges],tblDaily[EntryDate],DATE(2026,9,14),tblDaily[WardCode],"FAE")=0,"",SUMIFS(tblDaily[Discharges],tblDaily[EntryDate],DATE(2026,9,14),tblDaily[WardCode],"FAE")),"")</f>
        <v/>
      </c>
      <c r="D332" s="12">
        <f>IFERROR(IF(SUMIFS(tblDaily[Deaths],tblDaily[EntryDate],DATE(2026,9,14),tblDaily[WardCode],"FAE")=0,"",SUMIFS(tblDaily[Deaths],tblDaily[EntryDate],DATE(2026,9,14),tblDaily[WardCode],"FAE")),"")</f>
        <v/>
      </c>
      <c r="E332" s="12">
        <f>IFERROR(IF(SUMIFS(tblDaily[DeathsUnder24Hrs],tblDaily[EntryDate],DATE(2026,9,14),tblDaily[WardCode],"FAE")=0,"",SUMIFS(tblDaily[DeathsUnder24Hrs],tblDaily[EntryDate],DATE(2026,9,14),tblDaily[WardCode],"FAE")),"")</f>
        <v/>
      </c>
      <c r="F332" s="12">
        <f>IFERROR(IF(SUMIFS(tblDaily[TransfersIn],tblDaily[EntryDate],DATE(2026,9,14),tblDaily[WardCode],"FAE")=0,"",SUMIFS(tblDaily[TransfersIn],tblDaily[EntryDate],DATE(2026,9,14),tblDaily[WardCode],"FAE")),"")</f>
        <v/>
      </c>
      <c r="G332" s="12">
        <f>IFERROR(IF(SUMIFS(tblDaily[TransfersOut],tblDaily[EntryDate],DATE(2026,9,14),tblDaily[WardCode],"FAE")=0,"",SUMIFS(tblDaily[TransfersOut],tblDaily[EntryDate],DATE(2026,9,14),tblDaily[WardCode],"FAE")),"")</f>
        <v/>
      </c>
      <c r="H332" s="12">
        <f>IFERROR(IF(SUMIFS(tblDaily[Remaining],tblDaily[EntryDate],DATE(2026,9,14),tblDaily[WardCode],"FAE")=0,"",SUMIFS(tblDaily[Remaining],tblDaily[EntryDate],DATE(2026,9,14),tblDaily[WardCode],"FAE")),"")</f>
        <v/>
      </c>
    </row>
    <row r="333">
      <c r="A333" s="12" t="n">
        <v>15</v>
      </c>
      <c r="B333" s="12">
        <f>IFERROR(IF(SUMIFS(tblDaily[Admissions],tblDaily[EntryDate],DATE(2026,9,15),tblDaily[WardCode],"FAE")=0,"",SUMIFS(tblDaily[Admissions],tblDaily[EntryDate],DATE(2026,9,15),tblDaily[WardCode],"FAE")),"")</f>
        <v/>
      </c>
      <c r="C333" s="12">
        <f>IFERROR(IF(SUMIFS(tblDaily[Discharges],tblDaily[EntryDate],DATE(2026,9,15),tblDaily[WardCode],"FAE")=0,"",SUMIFS(tblDaily[Discharges],tblDaily[EntryDate],DATE(2026,9,15),tblDaily[WardCode],"FAE")),"")</f>
        <v/>
      </c>
      <c r="D333" s="12">
        <f>IFERROR(IF(SUMIFS(tblDaily[Deaths],tblDaily[EntryDate],DATE(2026,9,15),tblDaily[WardCode],"FAE")=0,"",SUMIFS(tblDaily[Deaths],tblDaily[EntryDate],DATE(2026,9,15),tblDaily[WardCode],"FAE")),"")</f>
        <v/>
      </c>
      <c r="E333" s="12">
        <f>IFERROR(IF(SUMIFS(tblDaily[DeathsUnder24Hrs],tblDaily[EntryDate],DATE(2026,9,15),tblDaily[WardCode],"FAE")=0,"",SUMIFS(tblDaily[DeathsUnder24Hrs],tblDaily[EntryDate],DATE(2026,9,15),tblDaily[WardCode],"FAE")),"")</f>
        <v/>
      </c>
      <c r="F333" s="12">
        <f>IFERROR(IF(SUMIFS(tblDaily[TransfersIn],tblDaily[EntryDate],DATE(2026,9,15),tblDaily[WardCode],"FAE")=0,"",SUMIFS(tblDaily[TransfersIn],tblDaily[EntryDate],DATE(2026,9,15),tblDaily[WardCode],"FAE")),"")</f>
        <v/>
      </c>
      <c r="G333" s="12">
        <f>IFERROR(IF(SUMIFS(tblDaily[TransfersOut],tblDaily[EntryDate],DATE(2026,9,15),tblDaily[WardCode],"FAE")=0,"",SUMIFS(tblDaily[TransfersOut],tblDaily[EntryDate],DATE(2026,9,15),tblDaily[WardCode],"FAE")),"")</f>
        <v/>
      </c>
      <c r="H333" s="12">
        <f>IFERROR(IF(SUMIFS(tblDaily[Remaining],tblDaily[EntryDate],DATE(2026,9,15),tblDaily[WardCode],"FAE")=0,"",SUMIFS(tblDaily[Remaining],tblDaily[EntryDate],DATE(2026,9,15),tblDaily[WardCode],"FAE")),"")</f>
        <v/>
      </c>
    </row>
    <row r="334">
      <c r="A334" s="12" t="n">
        <v>16</v>
      </c>
      <c r="B334" s="12">
        <f>IFERROR(IF(SUMIFS(tblDaily[Admissions],tblDaily[EntryDate],DATE(2026,9,16),tblDaily[WardCode],"FAE")=0,"",SUMIFS(tblDaily[Admissions],tblDaily[EntryDate],DATE(2026,9,16),tblDaily[WardCode],"FAE")),"")</f>
        <v/>
      </c>
      <c r="C334" s="12">
        <f>IFERROR(IF(SUMIFS(tblDaily[Discharges],tblDaily[EntryDate],DATE(2026,9,16),tblDaily[WardCode],"FAE")=0,"",SUMIFS(tblDaily[Discharges],tblDaily[EntryDate],DATE(2026,9,16),tblDaily[WardCode],"FAE")),"")</f>
        <v/>
      </c>
      <c r="D334" s="12">
        <f>IFERROR(IF(SUMIFS(tblDaily[Deaths],tblDaily[EntryDate],DATE(2026,9,16),tblDaily[WardCode],"FAE")=0,"",SUMIFS(tblDaily[Deaths],tblDaily[EntryDate],DATE(2026,9,16),tblDaily[WardCode],"FAE")),"")</f>
        <v/>
      </c>
      <c r="E334" s="12">
        <f>IFERROR(IF(SUMIFS(tblDaily[DeathsUnder24Hrs],tblDaily[EntryDate],DATE(2026,9,16),tblDaily[WardCode],"FAE")=0,"",SUMIFS(tblDaily[DeathsUnder24Hrs],tblDaily[EntryDate],DATE(2026,9,16),tblDaily[WardCode],"FAE")),"")</f>
        <v/>
      </c>
      <c r="F334" s="12">
        <f>IFERROR(IF(SUMIFS(tblDaily[TransfersIn],tblDaily[EntryDate],DATE(2026,9,16),tblDaily[WardCode],"FAE")=0,"",SUMIFS(tblDaily[TransfersIn],tblDaily[EntryDate],DATE(2026,9,16),tblDaily[WardCode],"FAE")),"")</f>
        <v/>
      </c>
      <c r="G334" s="12">
        <f>IFERROR(IF(SUMIFS(tblDaily[TransfersOut],tblDaily[EntryDate],DATE(2026,9,16),tblDaily[WardCode],"FAE")=0,"",SUMIFS(tblDaily[TransfersOut],tblDaily[EntryDate],DATE(2026,9,16),tblDaily[WardCode],"FAE")),"")</f>
        <v/>
      </c>
      <c r="H334" s="12">
        <f>IFERROR(IF(SUMIFS(tblDaily[Remaining],tblDaily[EntryDate],DATE(2026,9,16),tblDaily[WardCode],"FAE")=0,"",SUMIFS(tblDaily[Remaining],tblDaily[EntryDate],DATE(2026,9,16),tblDaily[WardCode],"FAE")),"")</f>
        <v/>
      </c>
    </row>
    <row r="335">
      <c r="A335" s="12" t="n">
        <v>17</v>
      </c>
      <c r="B335" s="12">
        <f>IFERROR(IF(SUMIFS(tblDaily[Admissions],tblDaily[EntryDate],DATE(2026,9,17),tblDaily[WardCode],"FAE")=0,"",SUMIFS(tblDaily[Admissions],tblDaily[EntryDate],DATE(2026,9,17),tblDaily[WardCode],"FAE")),"")</f>
        <v/>
      </c>
      <c r="C335" s="12">
        <f>IFERROR(IF(SUMIFS(tblDaily[Discharges],tblDaily[EntryDate],DATE(2026,9,17),tblDaily[WardCode],"FAE")=0,"",SUMIFS(tblDaily[Discharges],tblDaily[EntryDate],DATE(2026,9,17),tblDaily[WardCode],"FAE")),"")</f>
        <v/>
      </c>
      <c r="D335" s="12">
        <f>IFERROR(IF(SUMIFS(tblDaily[Deaths],tblDaily[EntryDate],DATE(2026,9,17),tblDaily[WardCode],"FAE")=0,"",SUMIFS(tblDaily[Deaths],tblDaily[EntryDate],DATE(2026,9,17),tblDaily[WardCode],"FAE")),"")</f>
        <v/>
      </c>
      <c r="E335" s="12">
        <f>IFERROR(IF(SUMIFS(tblDaily[DeathsUnder24Hrs],tblDaily[EntryDate],DATE(2026,9,17),tblDaily[WardCode],"FAE")=0,"",SUMIFS(tblDaily[DeathsUnder24Hrs],tblDaily[EntryDate],DATE(2026,9,17),tblDaily[WardCode],"FAE")),"")</f>
        <v/>
      </c>
      <c r="F335" s="12">
        <f>IFERROR(IF(SUMIFS(tblDaily[TransfersIn],tblDaily[EntryDate],DATE(2026,9,17),tblDaily[WardCode],"FAE")=0,"",SUMIFS(tblDaily[TransfersIn],tblDaily[EntryDate],DATE(2026,9,17),tblDaily[WardCode],"FAE")),"")</f>
        <v/>
      </c>
      <c r="G335" s="12">
        <f>IFERROR(IF(SUMIFS(tblDaily[TransfersOut],tblDaily[EntryDate],DATE(2026,9,17),tblDaily[WardCode],"FAE")=0,"",SUMIFS(tblDaily[TransfersOut],tblDaily[EntryDate],DATE(2026,9,17),tblDaily[WardCode],"FAE")),"")</f>
        <v/>
      </c>
      <c r="H335" s="12">
        <f>IFERROR(IF(SUMIFS(tblDaily[Remaining],tblDaily[EntryDate],DATE(2026,9,17),tblDaily[WardCode],"FAE")=0,"",SUMIFS(tblDaily[Remaining],tblDaily[EntryDate],DATE(2026,9,17),tblDaily[WardCode],"FAE")),"")</f>
        <v/>
      </c>
    </row>
    <row r="336">
      <c r="A336" s="12" t="n">
        <v>18</v>
      </c>
      <c r="B336" s="12">
        <f>IFERROR(IF(SUMIFS(tblDaily[Admissions],tblDaily[EntryDate],DATE(2026,9,18),tblDaily[WardCode],"FAE")=0,"",SUMIFS(tblDaily[Admissions],tblDaily[EntryDate],DATE(2026,9,18),tblDaily[WardCode],"FAE")),"")</f>
        <v/>
      </c>
      <c r="C336" s="12">
        <f>IFERROR(IF(SUMIFS(tblDaily[Discharges],tblDaily[EntryDate],DATE(2026,9,18),tblDaily[WardCode],"FAE")=0,"",SUMIFS(tblDaily[Discharges],tblDaily[EntryDate],DATE(2026,9,18),tblDaily[WardCode],"FAE")),"")</f>
        <v/>
      </c>
      <c r="D336" s="12">
        <f>IFERROR(IF(SUMIFS(tblDaily[Deaths],tblDaily[EntryDate],DATE(2026,9,18),tblDaily[WardCode],"FAE")=0,"",SUMIFS(tblDaily[Deaths],tblDaily[EntryDate],DATE(2026,9,18),tblDaily[WardCode],"FAE")),"")</f>
        <v/>
      </c>
      <c r="E336" s="12">
        <f>IFERROR(IF(SUMIFS(tblDaily[DeathsUnder24Hrs],tblDaily[EntryDate],DATE(2026,9,18),tblDaily[WardCode],"FAE")=0,"",SUMIFS(tblDaily[DeathsUnder24Hrs],tblDaily[EntryDate],DATE(2026,9,18),tblDaily[WardCode],"FAE")),"")</f>
        <v/>
      </c>
      <c r="F336" s="12">
        <f>IFERROR(IF(SUMIFS(tblDaily[TransfersIn],tblDaily[EntryDate],DATE(2026,9,18),tblDaily[WardCode],"FAE")=0,"",SUMIFS(tblDaily[TransfersIn],tblDaily[EntryDate],DATE(2026,9,18),tblDaily[WardCode],"FAE")),"")</f>
        <v/>
      </c>
      <c r="G336" s="12">
        <f>IFERROR(IF(SUMIFS(tblDaily[TransfersOut],tblDaily[EntryDate],DATE(2026,9,18),tblDaily[WardCode],"FAE")=0,"",SUMIFS(tblDaily[TransfersOut],tblDaily[EntryDate],DATE(2026,9,18),tblDaily[WardCode],"FAE")),"")</f>
        <v/>
      </c>
      <c r="H336" s="12">
        <f>IFERROR(IF(SUMIFS(tblDaily[Remaining],tblDaily[EntryDate],DATE(2026,9,18),tblDaily[WardCode],"FAE")=0,"",SUMIFS(tblDaily[Remaining],tblDaily[EntryDate],DATE(2026,9,18),tblDaily[WardCode],"FAE")),"")</f>
        <v/>
      </c>
    </row>
    <row r="337">
      <c r="A337" s="12" t="n">
        <v>19</v>
      </c>
      <c r="B337" s="12">
        <f>IFERROR(IF(SUMIFS(tblDaily[Admissions],tblDaily[EntryDate],DATE(2026,9,19),tblDaily[WardCode],"FAE")=0,"",SUMIFS(tblDaily[Admissions],tblDaily[EntryDate],DATE(2026,9,19),tblDaily[WardCode],"FAE")),"")</f>
        <v/>
      </c>
      <c r="C337" s="12">
        <f>IFERROR(IF(SUMIFS(tblDaily[Discharges],tblDaily[EntryDate],DATE(2026,9,19),tblDaily[WardCode],"FAE")=0,"",SUMIFS(tblDaily[Discharges],tblDaily[EntryDate],DATE(2026,9,19),tblDaily[WardCode],"FAE")),"")</f>
        <v/>
      </c>
      <c r="D337" s="12">
        <f>IFERROR(IF(SUMIFS(tblDaily[Deaths],tblDaily[EntryDate],DATE(2026,9,19),tblDaily[WardCode],"FAE")=0,"",SUMIFS(tblDaily[Deaths],tblDaily[EntryDate],DATE(2026,9,19),tblDaily[WardCode],"FAE")),"")</f>
        <v/>
      </c>
      <c r="E337" s="12">
        <f>IFERROR(IF(SUMIFS(tblDaily[DeathsUnder24Hrs],tblDaily[EntryDate],DATE(2026,9,19),tblDaily[WardCode],"FAE")=0,"",SUMIFS(tblDaily[DeathsUnder24Hrs],tblDaily[EntryDate],DATE(2026,9,19),tblDaily[WardCode],"FAE")),"")</f>
        <v/>
      </c>
      <c r="F337" s="12">
        <f>IFERROR(IF(SUMIFS(tblDaily[TransfersIn],tblDaily[EntryDate],DATE(2026,9,19),tblDaily[WardCode],"FAE")=0,"",SUMIFS(tblDaily[TransfersIn],tblDaily[EntryDate],DATE(2026,9,19),tblDaily[WardCode],"FAE")),"")</f>
        <v/>
      </c>
      <c r="G337" s="12">
        <f>IFERROR(IF(SUMIFS(tblDaily[TransfersOut],tblDaily[EntryDate],DATE(2026,9,19),tblDaily[WardCode],"FAE")=0,"",SUMIFS(tblDaily[TransfersOut],tblDaily[EntryDate],DATE(2026,9,19),tblDaily[WardCode],"FAE")),"")</f>
        <v/>
      </c>
      <c r="H337" s="12">
        <f>IFERROR(IF(SUMIFS(tblDaily[Remaining],tblDaily[EntryDate],DATE(2026,9,19),tblDaily[WardCode],"FAE")=0,"",SUMIFS(tblDaily[Remaining],tblDaily[EntryDate],DATE(2026,9,19),tblDaily[WardCode],"FAE")),"")</f>
        <v/>
      </c>
    </row>
    <row r="338">
      <c r="A338" s="12" t="n">
        <v>20</v>
      </c>
      <c r="B338" s="12">
        <f>IFERROR(IF(SUMIFS(tblDaily[Admissions],tblDaily[EntryDate],DATE(2026,9,20),tblDaily[WardCode],"FAE")=0,"",SUMIFS(tblDaily[Admissions],tblDaily[EntryDate],DATE(2026,9,20),tblDaily[WardCode],"FAE")),"")</f>
        <v/>
      </c>
      <c r="C338" s="12">
        <f>IFERROR(IF(SUMIFS(tblDaily[Discharges],tblDaily[EntryDate],DATE(2026,9,20),tblDaily[WardCode],"FAE")=0,"",SUMIFS(tblDaily[Discharges],tblDaily[EntryDate],DATE(2026,9,20),tblDaily[WardCode],"FAE")),"")</f>
        <v/>
      </c>
      <c r="D338" s="12">
        <f>IFERROR(IF(SUMIFS(tblDaily[Deaths],tblDaily[EntryDate],DATE(2026,9,20),tblDaily[WardCode],"FAE")=0,"",SUMIFS(tblDaily[Deaths],tblDaily[EntryDate],DATE(2026,9,20),tblDaily[WardCode],"FAE")),"")</f>
        <v/>
      </c>
      <c r="E338" s="12">
        <f>IFERROR(IF(SUMIFS(tblDaily[DeathsUnder24Hrs],tblDaily[EntryDate],DATE(2026,9,20),tblDaily[WardCode],"FAE")=0,"",SUMIFS(tblDaily[DeathsUnder24Hrs],tblDaily[EntryDate],DATE(2026,9,20),tblDaily[WardCode],"FAE")),"")</f>
        <v/>
      </c>
      <c r="F338" s="12">
        <f>IFERROR(IF(SUMIFS(tblDaily[TransfersIn],tblDaily[EntryDate],DATE(2026,9,20),tblDaily[WardCode],"FAE")=0,"",SUMIFS(tblDaily[TransfersIn],tblDaily[EntryDate],DATE(2026,9,20),tblDaily[WardCode],"FAE")),"")</f>
        <v/>
      </c>
      <c r="G338" s="12">
        <f>IFERROR(IF(SUMIFS(tblDaily[TransfersOut],tblDaily[EntryDate],DATE(2026,9,20),tblDaily[WardCode],"FAE")=0,"",SUMIFS(tblDaily[TransfersOut],tblDaily[EntryDate],DATE(2026,9,20),tblDaily[WardCode],"FAE")),"")</f>
        <v/>
      </c>
      <c r="H338" s="12">
        <f>IFERROR(IF(SUMIFS(tblDaily[Remaining],tblDaily[EntryDate],DATE(2026,9,20),tblDaily[WardCode],"FAE")=0,"",SUMIFS(tblDaily[Remaining],tblDaily[EntryDate],DATE(2026,9,20),tblDaily[WardCode],"FAE")),"")</f>
        <v/>
      </c>
    </row>
    <row r="339">
      <c r="A339" s="12" t="n">
        <v>21</v>
      </c>
      <c r="B339" s="12">
        <f>IFERROR(IF(SUMIFS(tblDaily[Admissions],tblDaily[EntryDate],DATE(2026,9,21),tblDaily[WardCode],"FAE")=0,"",SUMIFS(tblDaily[Admissions],tblDaily[EntryDate],DATE(2026,9,21),tblDaily[WardCode],"FAE")),"")</f>
        <v/>
      </c>
      <c r="C339" s="12">
        <f>IFERROR(IF(SUMIFS(tblDaily[Discharges],tblDaily[EntryDate],DATE(2026,9,21),tblDaily[WardCode],"FAE")=0,"",SUMIFS(tblDaily[Discharges],tblDaily[EntryDate],DATE(2026,9,21),tblDaily[WardCode],"FAE")),"")</f>
        <v/>
      </c>
      <c r="D339" s="12">
        <f>IFERROR(IF(SUMIFS(tblDaily[Deaths],tblDaily[EntryDate],DATE(2026,9,21),tblDaily[WardCode],"FAE")=0,"",SUMIFS(tblDaily[Deaths],tblDaily[EntryDate],DATE(2026,9,21),tblDaily[WardCode],"FAE")),"")</f>
        <v/>
      </c>
      <c r="E339" s="12">
        <f>IFERROR(IF(SUMIFS(tblDaily[DeathsUnder24Hrs],tblDaily[EntryDate],DATE(2026,9,21),tblDaily[WardCode],"FAE")=0,"",SUMIFS(tblDaily[DeathsUnder24Hrs],tblDaily[EntryDate],DATE(2026,9,21),tblDaily[WardCode],"FAE")),"")</f>
        <v/>
      </c>
      <c r="F339" s="12">
        <f>IFERROR(IF(SUMIFS(tblDaily[TransfersIn],tblDaily[EntryDate],DATE(2026,9,21),tblDaily[WardCode],"FAE")=0,"",SUMIFS(tblDaily[TransfersIn],tblDaily[EntryDate],DATE(2026,9,21),tblDaily[WardCode],"FAE")),"")</f>
        <v/>
      </c>
      <c r="G339" s="12">
        <f>IFERROR(IF(SUMIFS(tblDaily[TransfersOut],tblDaily[EntryDate],DATE(2026,9,21),tblDaily[WardCode],"FAE")=0,"",SUMIFS(tblDaily[TransfersOut],tblDaily[EntryDate],DATE(2026,9,21),tblDaily[WardCode],"FAE")),"")</f>
        <v/>
      </c>
      <c r="H339" s="12">
        <f>IFERROR(IF(SUMIFS(tblDaily[Remaining],tblDaily[EntryDate],DATE(2026,9,21),tblDaily[WardCode],"FAE")=0,"",SUMIFS(tblDaily[Remaining],tblDaily[EntryDate],DATE(2026,9,21),tblDaily[WardCode],"FAE")),"")</f>
        <v/>
      </c>
    </row>
    <row r="340">
      <c r="A340" s="12" t="n">
        <v>22</v>
      </c>
      <c r="B340" s="12">
        <f>IFERROR(IF(SUMIFS(tblDaily[Admissions],tblDaily[EntryDate],DATE(2026,9,22),tblDaily[WardCode],"FAE")=0,"",SUMIFS(tblDaily[Admissions],tblDaily[EntryDate],DATE(2026,9,22),tblDaily[WardCode],"FAE")),"")</f>
        <v/>
      </c>
      <c r="C340" s="12">
        <f>IFERROR(IF(SUMIFS(tblDaily[Discharges],tblDaily[EntryDate],DATE(2026,9,22),tblDaily[WardCode],"FAE")=0,"",SUMIFS(tblDaily[Discharges],tblDaily[EntryDate],DATE(2026,9,22),tblDaily[WardCode],"FAE")),"")</f>
        <v/>
      </c>
      <c r="D340" s="12">
        <f>IFERROR(IF(SUMIFS(tblDaily[Deaths],tblDaily[EntryDate],DATE(2026,9,22),tblDaily[WardCode],"FAE")=0,"",SUMIFS(tblDaily[Deaths],tblDaily[EntryDate],DATE(2026,9,22),tblDaily[WardCode],"FAE")),"")</f>
        <v/>
      </c>
      <c r="E340" s="12">
        <f>IFERROR(IF(SUMIFS(tblDaily[DeathsUnder24Hrs],tblDaily[EntryDate],DATE(2026,9,22),tblDaily[WardCode],"FAE")=0,"",SUMIFS(tblDaily[DeathsUnder24Hrs],tblDaily[EntryDate],DATE(2026,9,22),tblDaily[WardCode],"FAE")),"")</f>
        <v/>
      </c>
      <c r="F340" s="12">
        <f>IFERROR(IF(SUMIFS(tblDaily[TransfersIn],tblDaily[EntryDate],DATE(2026,9,22),tblDaily[WardCode],"FAE")=0,"",SUMIFS(tblDaily[TransfersIn],tblDaily[EntryDate],DATE(2026,9,22),tblDaily[WardCode],"FAE")),"")</f>
        <v/>
      </c>
      <c r="G340" s="12">
        <f>IFERROR(IF(SUMIFS(tblDaily[TransfersOut],tblDaily[EntryDate],DATE(2026,9,22),tblDaily[WardCode],"FAE")=0,"",SUMIFS(tblDaily[TransfersOut],tblDaily[EntryDate],DATE(2026,9,22),tblDaily[WardCode],"FAE")),"")</f>
        <v/>
      </c>
      <c r="H340" s="12">
        <f>IFERROR(IF(SUMIFS(tblDaily[Remaining],tblDaily[EntryDate],DATE(2026,9,22),tblDaily[WardCode],"FAE")=0,"",SUMIFS(tblDaily[Remaining],tblDaily[EntryDate],DATE(2026,9,22),tblDaily[WardCode],"FAE")),"")</f>
        <v/>
      </c>
    </row>
    <row r="341">
      <c r="A341" s="12" t="n">
        <v>23</v>
      </c>
      <c r="B341" s="12">
        <f>IFERROR(IF(SUMIFS(tblDaily[Admissions],tblDaily[EntryDate],DATE(2026,9,23),tblDaily[WardCode],"FAE")=0,"",SUMIFS(tblDaily[Admissions],tblDaily[EntryDate],DATE(2026,9,23),tblDaily[WardCode],"FAE")),"")</f>
        <v/>
      </c>
      <c r="C341" s="12">
        <f>IFERROR(IF(SUMIFS(tblDaily[Discharges],tblDaily[EntryDate],DATE(2026,9,23),tblDaily[WardCode],"FAE")=0,"",SUMIFS(tblDaily[Discharges],tblDaily[EntryDate],DATE(2026,9,23),tblDaily[WardCode],"FAE")),"")</f>
        <v/>
      </c>
      <c r="D341" s="12">
        <f>IFERROR(IF(SUMIFS(tblDaily[Deaths],tblDaily[EntryDate],DATE(2026,9,23),tblDaily[WardCode],"FAE")=0,"",SUMIFS(tblDaily[Deaths],tblDaily[EntryDate],DATE(2026,9,23),tblDaily[WardCode],"FAE")),"")</f>
        <v/>
      </c>
      <c r="E341" s="12">
        <f>IFERROR(IF(SUMIFS(tblDaily[DeathsUnder24Hrs],tblDaily[EntryDate],DATE(2026,9,23),tblDaily[WardCode],"FAE")=0,"",SUMIFS(tblDaily[DeathsUnder24Hrs],tblDaily[EntryDate],DATE(2026,9,23),tblDaily[WardCode],"FAE")),"")</f>
        <v/>
      </c>
      <c r="F341" s="12">
        <f>IFERROR(IF(SUMIFS(tblDaily[TransfersIn],tblDaily[EntryDate],DATE(2026,9,23),tblDaily[WardCode],"FAE")=0,"",SUMIFS(tblDaily[TransfersIn],tblDaily[EntryDate],DATE(2026,9,23),tblDaily[WardCode],"FAE")),"")</f>
        <v/>
      </c>
      <c r="G341" s="12">
        <f>IFERROR(IF(SUMIFS(tblDaily[TransfersOut],tblDaily[EntryDate],DATE(2026,9,23),tblDaily[WardCode],"FAE")=0,"",SUMIFS(tblDaily[TransfersOut],tblDaily[EntryDate],DATE(2026,9,23),tblDaily[WardCode],"FAE")),"")</f>
        <v/>
      </c>
      <c r="H341" s="12">
        <f>IFERROR(IF(SUMIFS(tblDaily[Remaining],tblDaily[EntryDate],DATE(2026,9,23),tblDaily[WardCode],"FAE")=0,"",SUMIFS(tblDaily[Remaining],tblDaily[EntryDate],DATE(2026,9,23),tblDaily[WardCode],"FAE")),"")</f>
        <v/>
      </c>
    </row>
    <row r="342">
      <c r="A342" s="12" t="n">
        <v>24</v>
      </c>
      <c r="B342" s="12">
        <f>IFERROR(IF(SUMIFS(tblDaily[Admissions],tblDaily[EntryDate],DATE(2026,9,24),tblDaily[WardCode],"FAE")=0,"",SUMIFS(tblDaily[Admissions],tblDaily[EntryDate],DATE(2026,9,24),tblDaily[WardCode],"FAE")),"")</f>
        <v/>
      </c>
      <c r="C342" s="12">
        <f>IFERROR(IF(SUMIFS(tblDaily[Discharges],tblDaily[EntryDate],DATE(2026,9,24),tblDaily[WardCode],"FAE")=0,"",SUMIFS(tblDaily[Discharges],tblDaily[EntryDate],DATE(2026,9,24),tblDaily[WardCode],"FAE")),"")</f>
        <v/>
      </c>
      <c r="D342" s="12">
        <f>IFERROR(IF(SUMIFS(tblDaily[Deaths],tblDaily[EntryDate],DATE(2026,9,24),tblDaily[WardCode],"FAE")=0,"",SUMIFS(tblDaily[Deaths],tblDaily[EntryDate],DATE(2026,9,24),tblDaily[WardCode],"FAE")),"")</f>
        <v/>
      </c>
      <c r="E342" s="12">
        <f>IFERROR(IF(SUMIFS(tblDaily[DeathsUnder24Hrs],tblDaily[EntryDate],DATE(2026,9,24),tblDaily[WardCode],"FAE")=0,"",SUMIFS(tblDaily[DeathsUnder24Hrs],tblDaily[EntryDate],DATE(2026,9,24),tblDaily[WardCode],"FAE")),"")</f>
        <v/>
      </c>
      <c r="F342" s="12">
        <f>IFERROR(IF(SUMIFS(tblDaily[TransfersIn],tblDaily[EntryDate],DATE(2026,9,24),tblDaily[WardCode],"FAE")=0,"",SUMIFS(tblDaily[TransfersIn],tblDaily[EntryDate],DATE(2026,9,24),tblDaily[WardCode],"FAE")),"")</f>
        <v/>
      </c>
      <c r="G342" s="12">
        <f>IFERROR(IF(SUMIFS(tblDaily[TransfersOut],tblDaily[EntryDate],DATE(2026,9,24),tblDaily[WardCode],"FAE")=0,"",SUMIFS(tblDaily[TransfersOut],tblDaily[EntryDate],DATE(2026,9,24),tblDaily[WardCode],"FAE")),"")</f>
        <v/>
      </c>
      <c r="H342" s="12">
        <f>IFERROR(IF(SUMIFS(tblDaily[Remaining],tblDaily[EntryDate],DATE(2026,9,24),tblDaily[WardCode],"FAE")=0,"",SUMIFS(tblDaily[Remaining],tblDaily[EntryDate],DATE(2026,9,24),tblDaily[WardCode],"FAE")),"")</f>
        <v/>
      </c>
    </row>
    <row r="343">
      <c r="A343" s="12" t="n">
        <v>25</v>
      </c>
      <c r="B343" s="12">
        <f>IFERROR(IF(SUMIFS(tblDaily[Admissions],tblDaily[EntryDate],DATE(2026,9,25),tblDaily[WardCode],"FAE")=0,"",SUMIFS(tblDaily[Admissions],tblDaily[EntryDate],DATE(2026,9,25),tblDaily[WardCode],"FAE")),"")</f>
        <v/>
      </c>
      <c r="C343" s="12">
        <f>IFERROR(IF(SUMIFS(tblDaily[Discharges],tblDaily[EntryDate],DATE(2026,9,25),tblDaily[WardCode],"FAE")=0,"",SUMIFS(tblDaily[Discharges],tblDaily[EntryDate],DATE(2026,9,25),tblDaily[WardCode],"FAE")),"")</f>
        <v/>
      </c>
      <c r="D343" s="12">
        <f>IFERROR(IF(SUMIFS(tblDaily[Deaths],tblDaily[EntryDate],DATE(2026,9,25),tblDaily[WardCode],"FAE")=0,"",SUMIFS(tblDaily[Deaths],tblDaily[EntryDate],DATE(2026,9,25),tblDaily[WardCode],"FAE")),"")</f>
        <v/>
      </c>
      <c r="E343" s="12">
        <f>IFERROR(IF(SUMIFS(tblDaily[DeathsUnder24Hrs],tblDaily[EntryDate],DATE(2026,9,25),tblDaily[WardCode],"FAE")=0,"",SUMIFS(tblDaily[DeathsUnder24Hrs],tblDaily[EntryDate],DATE(2026,9,25),tblDaily[WardCode],"FAE")),"")</f>
        <v/>
      </c>
      <c r="F343" s="12">
        <f>IFERROR(IF(SUMIFS(tblDaily[TransfersIn],tblDaily[EntryDate],DATE(2026,9,25),tblDaily[WardCode],"FAE")=0,"",SUMIFS(tblDaily[TransfersIn],tblDaily[EntryDate],DATE(2026,9,25),tblDaily[WardCode],"FAE")),"")</f>
        <v/>
      </c>
      <c r="G343" s="12">
        <f>IFERROR(IF(SUMIFS(tblDaily[TransfersOut],tblDaily[EntryDate],DATE(2026,9,25),tblDaily[WardCode],"FAE")=0,"",SUMIFS(tblDaily[TransfersOut],tblDaily[EntryDate],DATE(2026,9,25),tblDaily[WardCode],"FAE")),"")</f>
        <v/>
      </c>
      <c r="H343" s="12">
        <f>IFERROR(IF(SUMIFS(tblDaily[Remaining],tblDaily[EntryDate],DATE(2026,9,25),tblDaily[WardCode],"FAE")=0,"",SUMIFS(tblDaily[Remaining],tblDaily[EntryDate],DATE(2026,9,25),tblDaily[WardCode],"FAE")),"")</f>
        <v/>
      </c>
    </row>
    <row r="344">
      <c r="A344" s="12" t="n">
        <v>26</v>
      </c>
      <c r="B344" s="12">
        <f>IFERROR(IF(SUMIFS(tblDaily[Admissions],tblDaily[EntryDate],DATE(2026,9,26),tblDaily[WardCode],"FAE")=0,"",SUMIFS(tblDaily[Admissions],tblDaily[EntryDate],DATE(2026,9,26),tblDaily[WardCode],"FAE")),"")</f>
        <v/>
      </c>
      <c r="C344" s="12">
        <f>IFERROR(IF(SUMIFS(tblDaily[Discharges],tblDaily[EntryDate],DATE(2026,9,26),tblDaily[WardCode],"FAE")=0,"",SUMIFS(tblDaily[Discharges],tblDaily[EntryDate],DATE(2026,9,26),tblDaily[WardCode],"FAE")),"")</f>
        <v/>
      </c>
      <c r="D344" s="12">
        <f>IFERROR(IF(SUMIFS(tblDaily[Deaths],tblDaily[EntryDate],DATE(2026,9,26),tblDaily[WardCode],"FAE")=0,"",SUMIFS(tblDaily[Deaths],tblDaily[EntryDate],DATE(2026,9,26),tblDaily[WardCode],"FAE")),"")</f>
        <v/>
      </c>
      <c r="E344" s="12">
        <f>IFERROR(IF(SUMIFS(tblDaily[DeathsUnder24Hrs],tblDaily[EntryDate],DATE(2026,9,26),tblDaily[WardCode],"FAE")=0,"",SUMIFS(tblDaily[DeathsUnder24Hrs],tblDaily[EntryDate],DATE(2026,9,26),tblDaily[WardCode],"FAE")),"")</f>
        <v/>
      </c>
      <c r="F344" s="12">
        <f>IFERROR(IF(SUMIFS(tblDaily[TransfersIn],tblDaily[EntryDate],DATE(2026,9,26),tblDaily[WardCode],"FAE")=0,"",SUMIFS(tblDaily[TransfersIn],tblDaily[EntryDate],DATE(2026,9,26),tblDaily[WardCode],"FAE")),"")</f>
        <v/>
      </c>
      <c r="G344" s="12">
        <f>IFERROR(IF(SUMIFS(tblDaily[TransfersOut],tblDaily[EntryDate],DATE(2026,9,26),tblDaily[WardCode],"FAE")=0,"",SUMIFS(tblDaily[TransfersOut],tblDaily[EntryDate],DATE(2026,9,26),tblDaily[WardCode],"FAE")),"")</f>
        <v/>
      </c>
      <c r="H344" s="12">
        <f>IFERROR(IF(SUMIFS(tblDaily[Remaining],tblDaily[EntryDate],DATE(2026,9,26),tblDaily[WardCode],"FAE")=0,"",SUMIFS(tblDaily[Remaining],tblDaily[EntryDate],DATE(2026,9,26),tblDaily[WardCode],"FAE")),"")</f>
        <v/>
      </c>
    </row>
    <row r="345">
      <c r="A345" s="12" t="n">
        <v>27</v>
      </c>
      <c r="B345" s="12">
        <f>IFERROR(IF(SUMIFS(tblDaily[Admissions],tblDaily[EntryDate],DATE(2026,9,27),tblDaily[WardCode],"FAE")=0,"",SUMIFS(tblDaily[Admissions],tblDaily[EntryDate],DATE(2026,9,27),tblDaily[WardCode],"FAE")),"")</f>
        <v/>
      </c>
      <c r="C345" s="12">
        <f>IFERROR(IF(SUMIFS(tblDaily[Discharges],tblDaily[EntryDate],DATE(2026,9,27),tblDaily[WardCode],"FAE")=0,"",SUMIFS(tblDaily[Discharges],tblDaily[EntryDate],DATE(2026,9,27),tblDaily[WardCode],"FAE")),"")</f>
        <v/>
      </c>
      <c r="D345" s="12">
        <f>IFERROR(IF(SUMIFS(tblDaily[Deaths],tblDaily[EntryDate],DATE(2026,9,27),tblDaily[WardCode],"FAE")=0,"",SUMIFS(tblDaily[Deaths],tblDaily[EntryDate],DATE(2026,9,27),tblDaily[WardCode],"FAE")),"")</f>
        <v/>
      </c>
      <c r="E345" s="12">
        <f>IFERROR(IF(SUMIFS(tblDaily[DeathsUnder24Hrs],tblDaily[EntryDate],DATE(2026,9,27),tblDaily[WardCode],"FAE")=0,"",SUMIFS(tblDaily[DeathsUnder24Hrs],tblDaily[EntryDate],DATE(2026,9,27),tblDaily[WardCode],"FAE")),"")</f>
        <v/>
      </c>
      <c r="F345" s="12">
        <f>IFERROR(IF(SUMIFS(tblDaily[TransfersIn],tblDaily[EntryDate],DATE(2026,9,27),tblDaily[WardCode],"FAE")=0,"",SUMIFS(tblDaily[TransfersIn],tblDaily[EntryDate],DATE(2026,9,27),tblDaily[WardCode],"FAE")),"")</f>
        <v/>
      </c>
      <c r="G345" s="12">
        <f>IFERROR(IF(SUMIFS(tblDaily[TransfersOut],tblDaily[EntryDate],DATE(2026,9,27),tblDaily[WardCode],"FAE")=0,"",SUMIFS(tblDaily[TransfersOut],tblDaily[EntryDate],DATE(2026,9,27),tblDaily[WardCode],"FAE")),"")</f>
        <v/>
      </c>
      <c r="H345" s="12">
        <f>IFERROR(IF(SUMIFS(tblDaily[Remaining],tblDaily[EntryDate],DATE(2026,9,27),tblDaily[WardCode],"FAE")=0,"",SUMIFS(tblDaily[Remaining],tblDaily[EntryDate],DATE(2026,9,27),tblDaily[WardCode],"FAE")),"")</f>
        <v/>
      </c>
    </row>
    <row r="346">
      <c r="A346" s="12" t="n">
        <v>28</v>
      </c>
      <c r="B346" s="12">
        <f>IFERROR(IF(SUMIFS(tblDaily[Admissions],tblDaily[EntryDate],DATE(2026,9,28),tblDaily[WardCode],"FAE")=0,"",SUMIFS(tblDaily[Admissions],tblDaily[EntryDate],DATE(2026,9,28),tblDaily[WardCode],"FAE")),"")</f>
        <v/>
      </c>
      <c r="C346" s="12">
        <f>IFERROR(IF(SUMIFS(tblDaily[Discharges],tblDaily[EntryDate],DATE(2026,9,28),tblDaily[WardCode],"FAE")=0,"",SUMIFS(tblDaily[Discharges],tblDaily[EntryDate],DATE(2026,9,28),tblDaily[WardCode],"FAE")),"")</f>
        <v/>
      </c>
      <c r="D346" s="12">
        <f>IFERROR(IF(SUMIFS(tblDaily[Deaths],tblDaily[EntryDate],DATE(2026,9,28),tblDaily[WardCode],"FAE")=0,"",SUMIFS(tblDaily[Deaths],tblDaily[EntryDate],DATE(2026,9,28),tblDaily[WardCode],"FAE")),"")</f>
        <v/>
      </c>
      <c r="E346" s="12">
        <f>IFERROR(IF(SUMIFS(tblDaily[DeathsUnder24Hrs],tblDaily[EntryDate],DATE(2026,9,28),tblDaily[WardCode],"FAE")=0,"",SUMIFS(tblDaily[DeathsUnder24Hrs],tblDaily[EntryDate],DATE(2026,9,28),tblDaily[WardCode],"FAE")),"")</f>
        <v/>
      </c>
      <c r="F346" s="12">
        <f>IFERROR(IF(SUMIFS(tblDaily[TransfersIn],tblDaily[EntryDate],DATE(2026,9,28),tblDaily[WardCode],"FAE")=0,"",SUMIFS(tblDaily[TransfersIn],tblDaily[EntryDate],DATE(2026,9,28),tblDaily[WardCode],"FAE")),"")</f>
        <v/>
      </c>
      <c r="G346" s="12">
        <f>IFERROR(IF(SUMIFS(tblDaily[TransfersOut],tblDaily[EntryDate],DATE(2026,9,28),tblDaily[WardCode],"FAE")=0,"",SUMIFS(tblDaily[TransfersOut],tblDaily[EntryDate],DATE(2026,9,28),tblDaily[WardCode],"FAE")),"")</f>
        <v/>
      </c>
      <c r="H346" s="12">
        <f>IFERROR(IF(SUMIFS(tblDaily[Remaining],tblDaily[EntryDate],DATE(2026,9,28),tblDaily[WardCode],"FAE")=0,"",SUMIFS(tblDaily[Remaining],tblDaily[EntryDate],DATE(2026,9,28),tblDaily[WardCode],"FAE")),"")</f>
        <v/>
      </c>
    </row>
    <row r="347">
      <c r="A347" s="12" t="n">
        <v>29</v>
      </c>
      <c r="B347" s="12">
        <f>IFERROR(IF(SUMIFS(tblDaily[Admissions],tblDaily[EntryDate],DATE(2026,9,29),tblDaily[WardCode],"FAE")=0,"",SUMIFS(tblDaily[Admissions],tblDaily[EntryDate],DATE(2026,9,29),tblDaily[WardCode],"FAE")),"")</f>
        <v/>
      </c>
      <c r="C347" s="12">
        <f>IFERROR(IF(SUMIFS(tblDaily[Discharges],tblDaily[EntryDate],DATE(2026,9,29),tblDaily[WardCode],"FAE")=0,"",SUMIFS(tblDaily[Discharges],tblDaily[EntryDate],DATE(2026,9,29),tblDaily[WardCode],"FAE")),"")</f>
        <v/>
      </c>
      <c r="D347" s="12">
        <f>IFERROR(IF(SUMIFS(tblDaily[Deaths],tblDaily[EntryDate],DATE(2026,9,29),tblDaily[WardCode],"FAE")=0,"",SUMIFS(tblDaily[Deaths],tblDaily[EntryDate],DATE(2026,9,29),tblDaily[WardCode],"FAE")),"")</f>
        <v/>
      </c>
      <c r="E347" s="12">
        <f>IFERROR(IF(SUMIFS(tblDaily[DeathsUnder24Hrs],tblDaily[EntryDate],DATE(2026,9,29),tblDaily[WardCode],"FAE")=0,"",SUMIFS(tblDaily[DeathsUnder24Hrs],tblDaily[EntryDate],DATE(2026,9,29),tblDaily[WardCode],"FAE")),"")</f>
        <v/>
      </c>
      <c r="F347" s="12">
        <f>IFERROR(IF(SUMIFS(tblDaily[TransfersIn],tblDaily[EntryDate],DATE(2026,9,29),tblDaily[WardCode],"FAE")=0,"",SUMIFS(tblDaily[TransfersIn],tblDaily[EntryDate],DATE(2026,9,29),tblDaily[WardCode],"FAE")),"")</f>
        <v/>
      </c>
      <c r="G347" s="12">
        <f>IFERROR(IF(SUMIFS(tblDaily[TransfersOut],tblDaily[EntryDate],DATE(2026,9,29),tblDaily[WardCode],"FAE")=0,"",SUMIFS(tblDaily[TransfersOut],tblDaily[EntryDate],DATE(2026,9,29),tblDaily[WardCode],"FAE")),"")</f>
        <v/>
      </c>
      <c r="H347" s="12">
        <f>IFERROR(IF(SUMIFS(tblDaily[Remaining],tblDaily[EntryDate],DATE(2026,9,29),tblDaily[WardCode],"FAE")=0,"",SUMIFS(tblDaily[Remaining],tblDaily[EntryDate],DATE(2026,9,29),tblDaily[WardCode],"FAE")),"")</f>
        <v/>
      </c>
    </row>
    <row r="348">
      <c r="A348" s="12" t="n">
        <v>30</v>
      </c>
      <c r="B348" s="12">
        <f>IFERROR(IF(SUMIFS(tblDaily[Admissions],tblDaily[EntryDate],DATE(2026,9,30),tblDaily[WardCode],"FAE")=0,"",SUMIFS(tblDaily[Admissions],tblDaily[EntryDate],DATE(2026,9,30),tblDaily[WardCode],"FAE")),"")</f>
        <v/>
      </c>
      <c r="C348" s="12">
        <f>IFERROR(IF(SUMIFS(tblDaily[Discharges],tblDaily[EntryDate],DATE(2026,9,30),tblDaily[WardCode],"FAE")=0,"",SUMIFS(tblDaily[Discharges],tblDaily[EntryDate],DATE(2026,9,30),tblDaily[WardCode],"FAE")),"")</f>
        <v/>
      </c>
      <c r="D348" s="12">
        <f>IFERROR(IF(SUMIFS(tblDaily[Deaths],tblDaily[EntryDate],DATE(2026,9,30),tblDaily[WardCode],"FAE")=0,"",SUMIFS(tblDaily[Deaths],tblDaily[EntryDate],DATE(2026,9,30),tblDaily[WardCode],"FAE")),"")</f>
        <v/>
      </c>
      <c r="E348" s="12">
        <f>IFERROR(IF(SUMIFS(tblDaily[DeathsUnder24Hrs],tblDaily[EntryDate],DATE(2026,9,30),tblDaily[WardCode],"FAE")=0,"",SUMIFS(tblDaily[DeathsUnder24Hrs],tblDaily[EntryDate],DATE(2026,9,30),tblDaily[WardCode],"FAE")),"")</f>
        <v/>
      </c>
      <c r="F348" s="12">
        <f>IFERROR(IF(SUMIFS(tblDaily[TransfersIn],tblDaily[EntryDate],DATE(2026,9,30),tblDaily[WardCode],"FAE")=0,"",SUMIFS(tblDaily[TransfersIn],tblDaily[EntryDate],DATE(2026,9,30),tblDaily[WardCode],"FAE")),"")</f>
        <v/>
      </c>
      <c r="G348" s="12">
        <f>IFERROR(IF(SUMIFS(tblDaily[TransfersOut],tblDaily[EntryDate],DATE(2026,9,30),tblDaily[WardCode],"FAE")=0,"",SUMIFS(tblDaily[TransfersOut],tblDaily[EntryDate],DATE(2026,9,30),tblDaily[WardCode],"FAE")),"")</f>
        <v/>
      </c>
      <c r="H348" s="12">
        <f>IFERROR(IF(SUMIFS(tblDaily[Remaining],tblDaily[EntryDate],DATE(2026,9,30),tblDaily[WardCode],"FAE")=0,"",SUMIFS(tblDaily[Remaining],tblDaily[EntryDate],DATE(2026,9,30),tblDaily[WardCode],"FAE")),"")</f>
        <v/>
      </c>
    </row>
    <row r="349">
      <c r="A349" s="12" t="n">
        <v>31</v>
      </c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7" t="inlineStr">
        <is>
          <t>TOTAL</t>
        </is>
      </c>
      <c r="B350" s="17">
        <f>SUMIFS(tblDaily[Admissions],tblDaily[Month],9,tblDaily[WardCode],"FAE") - SUMIFS(tblDaily[DeathsUnder24Hrs],tblDaily[Month],9,tblDaily[WardCode],"FAE")</f>
        <v/>
      </c>
      <c r="C350" s="17">
        <f>SUMIFS(tblDaily[Discharges],tblDaily[Month],9,tblDaily[WardCode],"FAE")</f>
        <v/>
      </c>
      <c r="D350" s="17">
        <f>SUMIFS(tblDaily[Deaths],tblDaily[Month],9,tblDaily[WardCode],"FAE")</f>
        <v/>
      </c>
      <c r="E350" s="17">
        <f>SUMIFS(tblDaily[DeathsUnder24Hrs],tblDaily[Month],9,tblDaily[WardCode],"FAE")</f>
        <v/>
      </c>
      <c r="F350" s="17">
        <f>SUMIFS(tblDaily[TransfersIn],tblDaily[Month],9,tblDaily[WardCode],"FAE")</f>
        <v/>
      </c>
      <c r="G350" s="17">
        <f>SUMIFS(tblDaily[TransfersOut],tblDaily[Month],9,tblDaily[WardCode],"FAE")</f>
        <v/>
      </c>
      <c r="H350" s="17">
        <f>SUMIFS(tblDaily[Remaining],tblDaily[Month],9,tblDaily[WardCode],"FAE")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FEMALE EMERGENCY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4">
        <f>IFERROR(SUMIFS(tblDaily[Remaining],tblDaily[EntryDate],DATE(2026,9,30),tblDaily[WardCode],"FAE"),0)</f>
        <v/>
      </c>
    </row>
    <row r="356">
      <c r="A356" s="4" t="inlineStr">
        <is>
          <t>Bed complement</t>
        </is>
      </c>
      <c r="H356" s="15">
        <f>IFERROR(INDEX(tblWardConfig[BedComplement],MATCH("FAE",tblWardConfig[WardCode],0)),0)</f>
        <v/>
      </c>
    </row>
    <row r="357">
      <c r="A357" s="16" t="inlineStr">
        <is>
          <t>Day of
the
Month</t>
        </is>
      </c>
      <c r="B357" s="16" t="inlineStr">
        <is>
          <t>Admissions</t>
        </is>
      </c>
      <c r="C357" s="16" t="inlineStr">
        <is>
          <t>Discharges</t>
        </is>
      </c>
      <c r="D357" s="16" t="inlineStr">
        <is>
          <t>Deaths</t>
        </is>
      </c>
      <c r="E357" s="16" t="inlineStr">
        <is>
          <t>Deaths
&lt;24Hrs</t>
        </is>
      </c>
      <c r="F357" s="16" t="inlineStr">
        <is>
          <t>Transfers-
In</t>
        </is>
      </c>
      <c r="G357" s="16" t="inlineStr">
        <is>
          <t>Transfers-
Out</t>
        </is>
      </c>
      <c r="H357" s="16" t="inlineStr">
        <is>
          <t>No. of Patients
Remaining In
Ward</t>
        </is>
      </c>
    </row>
    <row r="358">
      <c r="A358" s="12" t="n">
        <v>1</v>
      </c>
      <c r="B358" s="12">
        <f>IFERROR(IF(SUMIFS(tblDaily[Admissions],tblDaily[EntryDate],DATE(2026,10,1),tblDaily[WardCode],"FAE")=0,"",SUMIFS(tblDaily[Admissions],tblDaily[EntryDate],DATE(2026,10,1),tblDaily[WardCode],"FAE")),"")</f>
        <v/>
      </c>
      <c r="C358" s="12">
        <f>IFERROR(IF(SUMIFS(tblDaily[Discharges],tblDaily[EntryDate],DATE(2026,10,1),tblDaily[WardCode],"FAE")=0,"",SUMIFS(tblDaily[Discharges],tblDaily[EntryDate],DATE(2026,10,1),tblDaily[WardCode],"FAE")),"")</f>
        <v/>
      </c>
      <c r="D358" s="12">
        <f>IFERROR(IF(SUMIFS(tblDaily[Deaths],tblDaily[EntryDate],DATE(2026,10,1),tblDaily[WardCode],"FAE")=0,"",SUMIFS(tblDaily[Deaths],tblDaily[EntryDate],DATE(2026,10,1),tblDaily[WardCode],"FAE")),"")</f>
        <v/>
      </c>
      <c r="E358" s="12">
        <f>IFERROR(IF(SUMIFS(tblDaily[DeathsUnder24Hrs],tblDaily[EntryDate],DATE(2026,10,1),tblDaily[WardCode],"FAE")=0,"",SUMIFS(tblDaily[DeathsUnder24Hrs],tblDaily[EntryDate],DATE(2026,10,1),tblDaily[WardCode],"FAE")),"")</f>
        <v/>
      </c>
      <c r="F358" s="12">
        <f>IFERROR(IF(SUMIFS(tblDaily[TransfersIn],tblDaily[EntryDate],DATE(2026,10,1),tblDaily[WardCode],"FAE")=0,"",SUMIFS(tblDaily[TransfersIn],tblDaily[EntryDate],DATE(2026,10,1),tblDaily[WardCode],"FAE")),"")</f>
        <v/>
      </c>
      <c r="G358" s="12">
        <f>IFERROR(IF(SUMIFS(tblDaily[TransfersOut],tblDaily[EntryDate],DATE(2026,10,1),tblDaily[WardCode],"FAE")=0,"",SUMIFS(tblDaily[TransfersOut],tblDaily[EntryDate],DATE(2026,10,1),tblDaily[WardCode],"FAE")),"")</f>
        <v/>
      </c>
      <c r="H358" s="12">
        <f>IFERROR(IF(SUMIFS(tblDaily[Remaining],tblDaily[EntryDate],DATE(2026,10,1),tblDaily[WardCode],"FAE")=0,"",SUMIFS(tblDaily[Remaining],tblDaily[EntryDate],DATE(2026,10,1),tblDaily[WardCode],"FAE")),"")</f>
        <v/>
      </c>
    </row>
    <row r="359">
      <c r="A359" s="12" t="n">
        <v>2</v>
      </c>
      <c r="B359" s="12">
        <f>IFERROR(IF(SUMIFS(tblDaily[Admissions],tblDaily[EntryDate],DATE(2026,10,2),tblDaily[WardCode],"FAE")=0,"",SUMIFS(tblDaily[Admissions],tblDaily[EntryDate],DATE(2026,10,2),tblDaily[WardCode],"FAE")),"")</f>
        <v/>
      </c>
      <c r="C359" s="12">
        <f>IFERROR(IF(SUMIFS(tblDaily[Discharges],tblDaily[EntryDate],DATE(2026,10,2),tblDaily[WardCode],"FAE")=0,"",SUMIFS(tblDaily[Discharges],tblDaily[EntryDate],DATE(2026,10,2),tblDaily[WardCode],"FAE")),"")</f>
        <v/>
      </c>
      <c r="D359" s="12">
        <f>IFERROR(IF(SUMIFS(tblDaily[Deaths],tblDaily[EntryDate],DATE(2026,10,2),tblDaily[WardCode],"FAE")=0,"",SUMIFS(tblDaily[Deaths],tblDaily[EntryDate],DATE(2026,10,2),tblDaily[WardCode],"FAE")),"")</f>
        <v/>
      </c>
      <c r="E359" s="12">
        <f>IFERROR(IF(SUMIFS(tblDaily[DeathsUnder24Hrs],tblDaily[EntryDate],DATE(2026,10,2),tblDaily[WardCode],"FAE")=0,"",SUMIFS(tblDaily[DeathsUnder24Hrs],tblDaily[EntryDate],DATE(2026,10,2),tblDaily[WardCode],"FAE")),"")</f>
        <v/>
      </c>
      <c r="F359" s="12">
        <f>IFERROR(IF(SUMIFS(tblDaily[TransfersIn],tblDaily[EntryDate],DATE(2026,10,2),tblDaily[WardCode],"FAE")=0,"",SUMIFS(tblDaily[TransfersIn],tblDaily[EntryDate],DATE(2026,10,2),tblDaily[WardCode],"FAE")),"")</f>
        <v/>
      </c>
      <c r="G359" s="12">
        <f>IFERROR(IF(SUMIFS(tblDaily[TransfersOut],tblDaily[EntryDate],DATE(2026,10,2),tblDaily[WardCode],"FAE")=0,"",SUMIFS(tblDaily[TransfersOut],tblDaily[EntryDate],DATE(2026,10,2),tblDaily[WardCode],"FAE")),"")</f>
        <v/>
      </c>
      <c r="H359" s="12">
        <f>IFERROR(IF(SUMIFS(tblDaily[Remaining],tblDaily[EntryDate],DATE(2026,10,2),tblDaily[WardCode],"FAE")=0,"",SUMIFS(tblDaily[Remaining],tblDaily[EntryDate],DATE(2026,10,2),tblDaily[WardCode],"FAE")),"")</f>
        <v/>
      </c>
    </row>
    <row r="360">
      <c r="A360" s="12" t="n">
        <v>3</v>
      </c>
      <c r="B360" s="12">
        <f>IFERROR(IF(SUMIFS(tblDaily[Admissions],tblDaily[EntryDate],DATE(2026,10,3),tblDaily[WardCode],"FAE")=0,"",SUMIFS(tblDaily[Admissions],tblDaily[EntryDate],DATE(2026,10,3),tblDaily[WardCode],"FAE")),"")</f>
        <v/>
      </c>
      <c r="C360" s="12">
        <f>IFERROR(IF(SUMIFS(tblDaily[Discharges],tblDaily[EntryDate],DATE(2026,10,3),tblDaily[WardCode],"FAE")=0,"",SUMIFS(tblDaily[Discharges],tblDaily[EntryDate],DATE(2026,10,3),tblDaily[WardCode],"FAE")),"")</f>
        <v/>
      </c>
      <c r="D360" s="12">
        <f>IFERROR(IF(SUMIFS(tblDaily[Deaths],tblDaily[EntryDate],DATE(2026,10,3),tblDaily[WardCode],"FAE")=0,"",SUMIFS(tblDaily[Deaths],tblDaily[EntryDate],DATE(2026,10,3),tblDaily[WardCode],"FAE")),"")</f>
        <v/>
      </c>
      <c r="E360" s="12">
        <f>IFERROR(IF(SUMIFS(tblDaily[DeathsUnder24Hrs],tblDaily[EntryDate],DATE(2026,10,3),tblDaily[WardCode],"FAE")=0,"",SUMIFS(tblDaily[DeathsUnder24Hrs],tblDaily[EntryDate],DATE(2026,10,3),tblDaily[WardCode],"FAE")),"")</f>
        <v/>
      </c>
      <c r="F360" s="12">
        <f>IFERROR(IF(SUMIFS(tblDaily[TransfersIn],tblDaily[EntryDate],DATE(2026,10,3),tblDaily[WardCode],"FAE")=0,"",SUMIFS(tblDaily[TransfersIn],tblDaily[EntryDate],DATE(2026,10,3),tblDaily[WardCode],"FAE")),"")</f>
        <v/>
      </c>
      <c r="G360" s="12">
        <f>IFERROR(IF(SUMIFS(tblDaily[TransfersOut],tblDaily[EntryDate],DATE(2026,10,3),tblDaily[WardCode],"FAE")=0,"",SUMIFS(tblDaily[TransfersOut],tblDaily[EntryDate],DATE(2026,10,3),tblDaily[WardCode],"FAE")),"")</f>
        <v/>
      </c>
      <c r="H360" s="12">
        <f>IFERROR(IF(SUMIFS(tblDaily[Remaining],tblDaily[EntryDate],DATE(2026,10,3),tblDaily[WardCode],"FAE")=0,"",SUMIFS(tblDaily[Remaining],tblDaily[EntryDate],DATE(2026,10,3),tblDaily[WardCode],"FAE")),"")</f>
        <v/>
      </c>
    </row>
    <row r="361">
      <c r="A361" s="12" t="n">
        <v>4</v>
      </c>
      <c r="B361" s="12">
        <f>IFERROR(IF(SUMIFS(tblDaily[Admissions],tblDaily[EntryDate],DATE(2026,10,4),tblDaily[WardCode],"FAE")=0,"",SUMIFS(tblDaily[Admissions],tblDaily[EntryDate],DATE(2026,10,4),tblDaily[WardCode],"FAE")),"")</f>
        <v/>
      </c>
      <c r="C361" s="12">
        <f>IFERROR(IF(SUMIFS(tblDaily[Discharges],tblDaily[EntryDate],DATE(2026,10,4),tblDaily[WardCode],"FAE")=0,"",SUMIFS(tblDaily[Discharges],tblDaily[EntryDate],DATE(2026,10,4),tblDaily[WardCode],"FAE")),"")</f>
        <v/>
      </c>
      <c r="D361" s="12">
        <f>IFERROR(IF(SUMIFS(tblDaily[Deaths],tblDaily[EntryDate],DATE(2026,10,4),tblDaily[WardCode],"FAE")=0,"",SUMIFS(tblDaily[Deaths],tblDaily[EntryDate],DATE(2026,10,4),tblDaily[WardCode],"FAE")),"")</f>
        <v/>
      </c>
      <c r="E361" s="12">
        <f>IFERROR(IF(SUMIFS(tblDaily[DeathsUnder24Hrs],tblDaily[EntryDate],DATE(2026,10,4),tblDaily[WardCode],"FAE")=0,"",SUMIFS(tblDaily[DeathsUnder24Hrs],tblDaily[EntryDate],DATE(2026,10,4),tblDaily[WardCode],"FAE")),"")</f>
        <v/>
      </c>
      <c r="F361" s="12">
        <f>IFERROR(IF(SUMIFS(tblDaily[TransfersIn],tblDaily[EntryDate],DATE(2026,10,4),tblDaily[WardCode],"FAE")=0,"",SUMIFS(tblDaily[TransfersIn],tblDaily[EntryDate],DATE(2026,10,4),tblDaily[WardCode],"FAE")),"")</f>
        <v/>
      </c>
      <c r="G361" s="12">
        <f>IFERROR(IF(SUMIFS(tblDaily[TransfersOut],tblDaily[EntryDate],DATE(2026,10,4),tblDaily[WardCode],"FAE")=0,"",SUMIFS(tblDaily[TransfersOut],tblDaily[EntryDate],DATE(2026,10,4),tblDaily[WardCode],"FAE")),"")</f>
        <v/>
      </c>
      <c r="H361" s="12">
        <f>IFERROR(IF(SUMIFS(tblDaily[Remaining],tblDaily[EntryDate],DATE(2026,10,4),tblDaily[WardCode],"FAE")=0,"",SUMIFS(tblDaily[Remaining],tblDaily[EntryDate],DATE(2026,10,4),tblDaily[WardCode],"FAE")),"")</f>
        <v/>
      </c>
    </row>
    <row r="362">
      <c r="A362" s="12" t="n">
        <v>5</v>
      </c>
      <c r="B362" s="12">
        <f>IFERROR(IF(SUMIFS(tblDaily[Admissions],tblDaily[EntryDate],DATE(2026,10,5),tblDaily[WardCode],"FAE")=0,"",SUMIFS(tblDaily[Admissions],tblDaily[EntryDate],DATE(2026,10,5),tblDaily[WardCode],"FAE")),"")</f>
        <v/>
      </c>
      <c r="C362" s="12">
        <f>IFERROR(IF(SUMIFS(tblDaily[Discharges],tblDaily[EntryDate],DATE(2026,10,5),tblDaily[WardCode],"FAE")=0,"",SUMIFS(tblDaily[Discharges],tblDaily[EntryDate],DATE(2026,10,5),tblDaily[WardCode],"FAE")),"")</f>
        <v/>
      </c>
      <c r="D362" s="12">
        <f>IFERROR(IF(SUMIFS(tblDaily[Deaths],tblDaily[EntryDate],DATE(2026,10,5),tblDaily[WardCode],"FAE")=0,"",SUMIFS(tblDaily[Deaths],tblDaily[EntryDate],DATE(2026,10,5),tblDaily[WardCode],"FAE")),"")</f>
        <v/>
      </c>
      <c r="E362" s="12">
        <f>IFERROR(IF(SUMIFS(tblDaily[DeathsUnder24Hrs],tblDaily[EntryDate],DATE(2026,10,5),tblDaily[WardCode],"FAE")=0,"",SUMIFS(tblDaily[DeathsUnder24Hrs],tblDaily[EntryDate],DATE(2026,10,5),tblDaily[WardCode],"FAE")),"")</f>
        <v/>
      </c>
      <c r="F362" s="12">
        <f>IFERROR(IF(SUMIFS(tblDaily[TransfersIn],tblDaily[EntryDate],DATE(2026,10,5),tblDaily[WardCode],"FAE")=0,"",SUMIFS(tblDaily[TransfersIn],tblDaily[EntryDate],DATE(2026,10,5),tblDaily[WardCode],"FAE")),"")</f>
        <v/>
      </c>
      <c r="G362" s="12">
        <f>IFERROR(IF(SUMIFS(tblDaily[TransfersOut],tblDaily[EntryDate],DATE(2026,10,5),tblDaily[WardCode],"FAE")=0,"",SUMIFS(tblDaily[TransfersOut],tblDaily[EntryDate],DATE(2026,10,5),tblDaily[WardCode],"FAE")),"")</f>
        <v/>
      </c>
      <c r="H362" s="12">
        <f>IFERROR(IF(SUMIFS(tblDaily[Remaining],tblDaily[EntryDate],DATE(2026,10,5),tblDaily[WardCode],"FAE")=0,"",SUMIFS(tblDaily[Remaining],tblDaily[EntryDate],DATE(2026,10,5),tblDaily[WardCode],"FAE")),"")</f>
        <v/>
      </c>
    </row>
    <row r="363">
      <c r="A363" s="12" t="n">
        <v>6</v>
      </c>
      <c r="B363" s="12">
        <f>IFERROR(IF(SUMIFS(tblDaily[Admissions],tblDaily[EntryDate],DATE(2026,10,6),tblDaily[WardCode],"FAE")=0,"",SUMIFS(tblDaily[Admissions],tblDaily[EntryDate],DATE(2026,10,6),tblDaily[WardCode],"FAE")),"")</f>
        <v/>
      </c>
      <c r="C363" s="12">
        <f>IFERROR(IF(SUMIFS(tblDaily[Discharges],tblDaily[EntryDate],DATE(2026,10,6),tblDaily[WardCode],"FAE")=0,"",SUMIFS(tblDaily[Discharges],tblDaily[EntryDate],DATE(2026,10,6),tblDaily[WardCode],"FAE")),"")</f>
        <v/>
      </c>
      <c r="D363" s="12">
        <f>IFERROR(IF(SUMIFS(tblDaily[Deaths],tblDaily[EntryDate],DATE(2026,10,6),tblDaily[WardCode],"FAE")=0,"",SUMIFS(tblDaily[Deaths],tblDaily[EntryDate],DATE(2026,10,6),tblDaily[WardCode],"FAE")),"")</f>
        <v/>
      </c>
      <c r="E363" s="12">
        <f>IFERROR(IF(SUMIFS(tblDaily[DeathsUnder24Hrs],tblDaily[EntryDate],DATE(2026,10,6),tblDaily[WardCode],"FAE")=0,"",SUMIFS(tblDaily[DeathsUnder24Hrs],tblDaily[EntryDate],DATE(2026,10,6),tblDaily[WardCode],"FAE")),"")</f>
        <v/>
      </c>
      <c r="F363" s="12">
        <f>IFERROR(IF(SUMIFS(tblDaily[TransfersIn],tblDaily[EntryDate],DATE(2026,10,6),tblDaily[WardCode],"FAE")=0,"",SUMIFS(tblDaily[TransfersIn],tblDaily[EntryDate],DATE(2026,10,6),tblDaily[WardCode],"FAE")),"")</f>
        <v/>
      </c>
      <c r="G363" s="12">
        <f>IFERROR(IF(SUMIFS(tblDaily[TransfersOut],tblDaily[EntryDate],DATE(2026,10,6),tblDaily[WardCode],"FAE")=0,"",SUMIFS(tblDaily[TransfersOut],tblDaily[EntryDate],DATE(2026,10,6),tblDaily[WardCode],"FAE")),"")</f>
        <v/>
      </c>
      <c r="H363" s="12">
        <f>IFERROR(IF(SUMIFS(tblDaily[Remaining],tblDaily[EntryDate],DATE(2026,10,6),tblDaily[WardCode],"FAE")=0,"",SUMIFS(tblDaily[Remaining],tblDaily[EntryDate],DATE(2026,10,6),tblDaily[WardCode],"FAE")),"")</f>
        <v/>
      </c>
    </row>
    <row r="364">
      <c r="A364" s="12" t="n">
        <v>7</v>
      </c>
      <c r="B364" s="12">
        <f>IFERROR(IF(SUMIFS(tblDaily[Admissions],tblDaily[EntryDate],DATE(2026,10,7),tblDaily[WardCode],"FAE")=0,"",SUMIFS(tblDaily[Admissions],tblDaily[EntryDate],DATE(2026,10,7),tblDaily[WardCode],"FAE")),"")</f>
        <v/>
      </c>
      <c r="C364" s="12">
        <f>IFERROR(IF(SUMIFS(tblDaily[Discharges],tblDaily[EntryDate],DATE(2026,10,7),tblDaily[WardCode],"FAE")=0,"",SUMIFS(tblDaily[Discharges],tblDaily[EntryDate],DATE(2026,10,7),tblDaily[WardCode],"FAE")),"")</f>
        <v/>
      </c>
      <c r="D364" s="12">
        <f>IFERROR(IF(SUMIFS(tblDaily[Deaths],tblDaily[EntryDate],DATE(2026,10,7),tblDaily[WardCode],"FAE")=0,"",SUMIFS(tblDaily[Deaths],tblDaily[EntryDate],DATE(2026,10,7),tblDaily[WardCode],"FAE")),"")</f>
        <v/>
      </c>
      <c r="E364" s="12">
        <f>IFERROR(IF(SUMIFS(tblDaily[DeathsUnder24Hrs],tblDaily[EntryDate],DATE(2026,10,7),tblDaily[WardCode],"FAE")=0,"",SUMIFS(tblDaily[DeathsUnder24Hrs],tblDaily[EntryDate],DATE(2026,10,7),tblDaily[WardCode],"FAE")),"")</f>
        <v/>
      </c>
      <c r="F364" s="12">
        <f>IFERROR(IF(SUMIFS(tblDaily[TransfersIn],tblDaily[EntryDate],DATE(2026,10,7),tblDaily[WardCode],"FAE")=0,"",SUMIFS(tblDaily[TransfersIn],tblDaily[EntryDate],DATE(2026,10,7),tblDaily[WardCode],"FAE")),"")</f>
        <v/>
      </c>
      <c r="G364" s="12">
        <f>IFERROR(IF(SUMIFS(tblDaily[TransfersOut],tblDaily[EntryDate],DATE(2026,10,7),tblDaily[WardCode],"FAE")=0,"",SUMIFS(tblDaily[TransfersOut],tblDaily[EntryDate],DATE(2026,10,7),tblDaily[WardCode],"FAE")),"")</f>
        <v/>
      </c>
      <c r="H364" s="12">
        <f>IFERROR(IF(SUMIFS(tblDaily[Remaining],tblDaily[EntryDate],DATE(2026,10,7),tblDaily[WardCode],"FAE")=0,"",SUMIFS(tblDaily[Remaining],tblDaily[EntryDate],DATE(2026,10,7),tblDaily[WardCode],"FAE")),"")</f>
        <v/>
      </c>
    </row>
    <row r="365">
      <c r="A365" s="12" t="n">
        <v>8</v>
      </c>
      <c r="B365" s="12">
        <f>IFERROR(IF(SUMIFS(tblDaily[Admissions],tblDaily[EntryDate],DATE(2026,10,8),tblDaily[WardCode],"FAE")=0,"",SUMIFS(tblDaily[Admissions],tblDaily[EntryDate],DATE(2026,10,8),tblDaily[WardCode],"FAE")),"")</f>
        <v/>
      </c>
      <c r="C365" s="12">
        <f>IFERROR(IF(SUMIFS(tblDaily[Discharges],tblDaily[EntryDate],DATE(2026,10,8),tblDaily[WardCode],"FAE")=0,"",SUMIFS(tblDaily[Discharges],tblDaily[EntryDate],DATE(2026,10,8),tblDaily[WardCode],"FAE")),"")</f>
        <v/>
      </c>
      <c r="D365" s="12">
        <f>IFERROR(IF(SUMIFS(tblDaily[Deaths],tblDaily[EntryDate],DATE(2026,10,8),tblDaily[WardCode],"FAE")=0,"",SUMIFS(tblDaily[Deaths],tblDaily[EntryDate],DATE(2026,10,8),tblDaily[WardCode],"FAE")),"")</f>
        <v/>
      </c>
      <c r="E365" s="12">
        <f>IFERROR(IF(SUMIFS(tblDaily[DeathsUnder24Hrs],tblDaily[EntryDate],DATE(2026,10,8),tblDaily[WardCode],"FAE")=0,"",SUMIFS(tblDaily[DeathsUnder24Hrs],tblDaily[EntryDate],DATE(2026,10,8),tblDaily[WardCode],"FAE")),"")</f>
        <v/>
      </c>
      <c r="F365" s="12">
        <f>IFERROR(IF(SUMIFS(tblDaily[TransfersIn],tblDaily[EntryDate],DATE(2026,10,8),tblDaily[WardCode],"FAE")=0,"",SUMIFS(tblDaily[TransfersIn],tblDaily[EntryDate],DATE(2026,10,8),tblDaily[WardCode],"FAE")),"")</f>
        <v/>
      </c>
      <c r="G365" s="12">
        <f>IFERROR(IF(SUMIFS(tblDaily[TransfersOut],tblDaily[EntryDate],DATE(2026,10,8),tblDaily[WardCode],"FAE")=0,"",SUMIFS(tblDaily[TransfersOut],tblDaily[EntryDate],DATE(2026,10,8),tblDaily[WardCode],"FAE")),"")</f>
        <v/>
      </c>
      <c r="H365" s="12">
        <f>IFERROR(IF(SUMIFS(tblDaily[Remaining],tblDaily[EntryDate],DATE(2026,10,8),tblDaily[WardCode],"FAE")=0,"",SUMIFS(tblDaily[Remaining],tblDaily[EntryDate],DATE(2026,10,8),tblDaily[WardCode],"FAE")),"")</f>
        <v/>
      </c>
    </row>
    <row r="366">
      <c r="A366" s="12" t="n">
        <v>9</v>
      </c>
      <c r="B366" s="12">
        <f>IFERROR(IF(SUMIFS(tblDaily[Admissions],tblDaily[EntryDate],DATE(2026,10,9),tblDaily[WardCode],"FAE")=0,"",SUMIFS(tblDaily[Admissions],tblDaily[EntryDate],DATE(2026,10,9),tblDaily[WardCode],"FAE")),"")</f>
        <v/>
      </c>
      <c r="C366" s="12">
        <f>IFERROR(IF(SUMIFS(tblDaily[Discharges],tblDaily[EntryDate],DATE(2026,10,9),tblDaily[WardCode],"FAE")=0,"",SUMIFS(tblDaily[Discharges],tblDaily[EntryDate],DATE(2026,10,9),tblDaily[WardCode],"FAE")),"")</f>
        <v/>
      </c>
      <c r="D366" s="12">
        <f>IFERROR(IF(SUMIFS(tblDaily[Deaths],tblDaily[EntryDate],DATE(2026,10,9),tblDaily[WardCode],"FAE")=0,"",SUMIFS(tblDaily[Deaths],tblDaily[EntryDate],DATE(2026,10,9),tblDaily[WardCode],"FAE")),"")</f>
        <v/>
      </c>
      <c r="E366" s="12">
        <f>IFERROR(IF(SUMIFS(tblDaily[DeathsUnder24Hrs],tblDaily[EntryDate],DATE(2026,10,9),tblDaily[WardCode],"FAE")=0,"",SUMIFS(tblDaily[DeathsUnder24Hrs],tblDaily[EntryDate],DATE(2026,10,9),tblDaily[WardCode],"FAE")),"")</f>
        <v/>
      </c>
      <c r="F366" s="12">
        <f>IFERROR(IF(SUMIFS(tblDaily[TransfersIn],tblDaily[EntryDate],DATE(2026,10,9),tblDaily[WardCode],"FAE")=0,"",SUMIFS(tblDaily[TransfersIn],tblDaily[EntryDate],DATE(2026,10,9),tblDaily[WardCode],"FAE")),"")</f>
        <v/>
      </c>
      <c r="G366" s="12">
        <f>IFERROR(IF(SUMIFS(tblDaily[TransfersOut],tblDaily[EntryDate],DATE(2026,10,9),tblDaily[WardCode],"FAE")=0,"",SUMIFS(tblDaily[TransfersOut],tblDaily[EntryDate],DATE(2026,10,9),tblDaily[WardCode],"FAE")),"")</f>
        <v/>
      </c>
      <c r="H366" s="12">
        <f>IFERROR(IF(SUMIFS(tblDaily[Remaining],tblDaily[EntryDate],DATE(2026,10,9),tblDaily[WardCode],"FAE")=0,"",SUMIFS(tblDaily[Remaining],tblDaily[EntryDate],DATE(2026,10,9),tblDaily[WardCode],"FAE")),"")</f>
        <v/>
      </c>
    </row>
    <row r="367">
      <c r="A367" s="12" t="n">
        <v>10</v>
      </c>
      <c r="B367" s="12">
        <f>IFERROR(IF(SUMIFS(tblDaily[Admissions],tblDaily[EntryDate],DATE(2026,10,10),tblDaily[WardCode],"FAE")=0,"",SUMIFS(tblDaily[Admissions],tblDaily[EntryDate],DATE(2026,10,10),tblDaily[WardCode],"FAE")),"")</f>
        <v/>
      </c>
      <c r="C367" s="12">
        <f>IFERROR(IF(SUMIFS(tblDaily[Discharges],tblDaily[EntryDate],DATE(2026,10,10),tblDaily[WardCode],"FAE")=0,"",SUMIFS(tblDaily[Discharges],tblDaily[EntryDate],DATE(2026,10,10),tblDaily[WardCode],"FAE")),"")</f>
        <v/>
      </c>
      <c r="D367" s="12">
        <f>IFERROR(IF(SUMIFS(tblDaily[Deaths],tblDaily[EntryDate],DATE(2026,10,10),tblDaily[WardCode],"FAE")=0,"",SUMIFS(tblDaily[Deaths],tblDaily[EntryDate],DATE(2026,10,10),tblDaily[WardCode],"FAE")),"")</f>
        <v/>
      </c>
      <c r="E367" s="12">
        <f>IFERROR(IF(SUMIFS(tblDaily[DeathsUnder24Hrs],tblDaily[EntryDate],DATE(2026,10,10),tblDaily[WardCode],"FAE")=0,"",SUMIFS(tblDaily[DeathsUnder24Hrs],tblDaily[EntryDate],DATE(2026,10,10),tblDaily[WardCode],"FAE")),"")</f>
        <v/>
      </c>
      <c r="F367" s="12">
        <f>IFERROR(IF(SUMIFS(tblDaily[TransfersIn],tblDaily[EntryDate],DATE(2026,10,10),tblDaily[WardCode],"FAE")=0,"",SUMIFS(tblDaily[TransfersIn],tblDaily[EntryDate],DATE(2026,10,10),tblDaily[WardCode],"FAE")),"")</f>
        <v/>
      </c>
      <c r="G367" s="12">
        <f>IFERROR(IF(SUMIFS(tblDaily[TransfersOut],tblDaily[EntryDate],DATE(2026,10,10),tblDaily[WardCode],"FAE")=0,"",SUMIFS(tblDaily[TransfersOut],tblDaily[EntryDate],DATE(2026,10,10),tblDaily[WardCode],"FAE")),"")</f>
        <v/>
      </c>
      <c r="H367" s="12">
        <f>IFERROR(IF(SUMIFS(tblDaily[Remaining],tblDaily[EntryDate],DATE(2026,10,10),tblDaily[WardCode],"FAE")=0,"",SUMIFS(tblDaily[Remaining],tblDaily[EntryDate],DATE(2026,10,10),tblDaily[WardCode],"FAE")),"")</f>
        <v/>
      </c>
    </row>
    <row r="368">
      <c r="A368" s="12" t="n">
        <v>11</v>
      </c>
      <c r="B368" s="12">
        <f>IFERROR(IF(SUMIFS(tblDaily[Admissions],tblDaily[EntryDate],DATE(2026,10,11),tblDaily[WardCode],"FAE")=0,"",SUMIFS(tblDaily[Admissions],tblDaily[EntryDate],DATE(2026,10,11),tblDaily[WardCode],"FAE")),"")</f>
        <v/>
      </c>
      <c r="C368" s="12">
        <f>IFERROR(IF(SUMIFS(tblDaily[Discharges],tblDaily[EntryDate],DATE(2026,10,11),tblDaily[WardCode],"FAE")=0,"",SUMIFS(tblDaily[Discharges],tblDaily[EntryDate],DATE(2026,10,11),tblDaily[WardCode],"FAE")),"")</f>
        <v/>
      </c>
      <c r="D368" s="12">
        <f>IFERROR(IF(SUMIFS(tblDaily[Deaths],tblDaily[EntryDate],DATE(2026,10,11),tblDaily[WardCode],"FAE")=0,"",SUMIFS(tblDaily[Deaths],tblDaily[EntryDate],DATE(2026,10,11),tblDaily[WardCode],"FAE")),"")</f>
        <v/>
      </c>
      <c r="E368" s="12">
        <f>IFERROR(IF(SUMIFS(tblDaily[DeathsUnder24Hrs],tblDaily[EntryDate],DATE(2026,10,11),tblDaily[WardCode],"FAE")=0,"",SUMIFS(tblDaily[DeathsUnder24Hrs],tblDaily[EntryDate],DATE(2026,10,11),tblDaily[WardCode],"FAE")),"")</f>
        <v/>
      </c>
      <c r="F368" s="12">
        <f>IFERROR(IF(SUMIFS(tblDaily[TransfersIn],tblDaily[EntryDate],DATE(2026,10,11),tblDaily[WardCode],"FAE")=0,"",SUMIFS(tblDaily[TransfersIn],tblDaily[EntryDate],DATE(2026,10,11),tblDaily[WardCode],"FAE")),"")</f>
        <v/>
      </c>
      <c r="G368" s="12">
        <f>IFERROR(IF(SUMIFS(tblDaily[TransfersOut],tblDaily[EntryDate],DATE(2026,10,11),tblDaily[WardCode],"FAE")=0,"",SUMIFS(tblDaily[TransfersOut],tblDaily[EntryDate],DATE(2026,10,11),tblDaily[WardCode],"FAE")),"")</f>
        <v/>
      </c>
      <c r="H368" s="12">
        <f>IFERROR(IF(SUMIFS(tblDaily[Remaining],tblDaily[EntryDate],DATE(2026,10,11),tblDaily[WardCode],"FAE")=0,"",SUMIFS(tblDaily[Remaining],tblDaily[EntryDate],DATE(2026,10,11),tblDaily[WardCode],"FAE")),"")</f>
        <v/>
      </c>
    </row>
    <row r="369">
      <c r="A369" s="12" t="n">
        <v>12</v>
      </c>
      <c r="B369" s="12">
        <f>IFERROR(IF(SUMIFS(tblDaily[Admissions],tblDaily[EntryDate],DATE(2026,10,12),tblDaily[WardCode],"FAE")=0,"",SUMIFS(tblDaily[Admissions],tblDaily[EntryDate],DATE(2026,10,12),tblDaily[WardCode],"FAE")),"")</f>
        <v/>
      </c>
      <c r="C369" s="12">
        <f>IFERROR(IF(SUMIFS(tblDaily[Discharges],tblDaily[EntryDate],DATE(2026,10,12),tblDaily[WardCode],"FAE")=0,"",SUMIFS(tblDaily[Discharges],tblDaily[EntryDate],DATE(2026,10,12),tblDaily[WardCode],"FAE")),"")</f>
        <v/>
      </c>
      <c r="D369" s="12">
        <f>IFERROR(IF(SUMIFS(tblDaily[Deaths],tblDaily[EntryDate],DATE(2026,10,12),tblDaily[WardCode],"FAE")=0,"",SUMIFS(tblDaily[Deaths],tblDaily[EntryDate],DATE(2026,10,12),tblDaily[WardCode],"FAE")),"")</f>
        <v/>
      </c>
      <c r="E369" s="12">
        <f>IFERROR(IF(SUMIFS(tblDaily[DeathsUnder24Hrs],tblDaily[EntryDate],DATE(2026,10,12),tblDaily[WardCode],"FAE")=0,"",SUMIFS(tblDaily[DeathsUnder24Hrs],tblDaily[EntryDate],DATE(2026,10,12),tblDaily[WardCode],"FAE")),"")</f>
        <v/>
      </c>
      <c r="F369" s="12">
        <f>IFERROR(IF(SUMIFS(tblDaily[TransfersIn],tblDaily[EntryDate],DATE(2026,10,12),tblDaily[WardCode],"FAE")=0,"",SUMIFS(tblDaily[TransfersIn],tblDaily[EntryDate],DATE(2026,10,12),tblDaily[WardCode],"FAE")),"")</f>
        <v/>
      </c>
      <c r="G369" s="12">
        <f>IFERROR(IF(SUMIFS(tblDaily[TransfersOut],tblDaily[EntryDate],DATE(2026,10,12),tblDaily[WardCode],"FAE")=0,"",SUMIFS(tblDaily[TransfersOut],tblDaily[EntryDate],DATE(2026,10,12),tblDaily[WardCode],"FAE")),"")</f>
        <v/>
      </c>
      <c r="H369" s="12">
        <f>IFERROR(IF(SUMIFS(tblDaily[Remaining],tblDaily[EntryDate],DATE(2026,10,12),tblDaily[WardCode],"FAE")=0,"",SUMIFS(tblDaily[Remaining],tblDaily[EntryDate],DATE(2026,10,12),tblDaily[WardCode],"FAE")),"")</f>
        <v/>
      </c>
    </row>
    <row r="370">
      <c r="A370" s="12" t="n">
        <v>13</v>
      </c>
      <c r="B370" s="12">
        <f>IFERROR(IF(SUMIFS(tblDaily[Admissions],tblDaily[EntryDate],DATE(2026,10,13),tblDaily[WardCode],"FAE")=0,"",SUMIFS(tblDaily[Admissions],tblDaily[EntryDate],DATE(2026,10,13),tblDaily[WardCode],"FAE")),"")</f>
        <v/>
      </c>
      <c r="C370" s="12">
        <f>IFERROR(IF(SUMIFS(tblDaily[Discharges],tblDaily[EntryDate],DATE(2026,10,13),tblDaily[WardCode],"FAE")=0,"",SUMIFS(tblDaily[Discharges],tblDaily[EntryDate],DATE(2026,10,13),tblDaily[WardCode],"FAE")),"")</f>
        <v/>
      </c>
      <c r="D370" s="12">
        <f>IFERROR(IF(SUMIFS(tblDaily[Deaths],tblDaily[EntryDate],DATE(2026,10,13),tblDaily[WardCode],"FAE")=0,"",SUMIFS(tblDaily[Deaths],tblDaily[EntryDate],DATE(2026,10,13),tblDaily[WardCode],"FAE")),"")</f>
        <v/>
      </c>
      <c r="E370" s="12">
        <f>IFERROR(IF(SUMIFS(tblDaily[DeathsUnder24Hrs],tblDaily[EntryDate],DATE(2026,10,13),tblDaily[WardCode],"FAE")=0,"",SUMIFS(tblDaily[DeathsUnder24Hrs],tblDaily[EntryDate],DATE(2026,10,13),tblDaily[WardCode],"FAE")),"")</f>
        <v/>
      </c>
      <c r="F370" s="12">
        <f>IFERROR(IF(SUMIFS(tblDaily[TransfersIn],tblDaily[EntryDate],DATE(2026,10,13),tblDaily[WardCode],"FAE")=0,"",SUMIFS(tblDaily[TransfersIn],tblDaily[EntryDate],DATE(2026,10,13),tblDaily[WardCode],"FAE")),"")</f>
        <v/>
      </c>
      <c r="G370" s="12">
        <f>IFERROR(IF(SUMIFS(tblDaily[TransfersOut],tblDaily[EntryDate],DATE(2026,10,13),tblDaily[WardCode],"FAE")=0,"",SUMIFS(tblDaily[TransfersOut],tblDaily[EntryDate],DATE(2026,10,13),tblDaily[WardCode],"FAE")),"")</f>
        <v/>
      </c>
      <c r="H370" s="12">
        <f>IFERROR(IF(SUMIFS(tblDaily[Remaining],tblDaily[EntryDate],DATE(2026,10,13),tblDaily[WardCode],"FAE")=0,"",SUMIFS(tblDaily[Remaining],tblDaily[EntryDate],DATE(2026,10,13),tblDaily[WardCode],"FAE")),"")</f>
        <v/>
      </c>
    </row>
    <row r="371">
      <c r="A371" s="12" t="n">
        <v>14</v>
      </c>
      <c r="B371" s="12">
        <f>IFERROR(IF(SUMIFS(tblDaily[Admissions],tblDaily[EntryDate],DATE(2026,10,14),tblDaily[WardCode],"FAE")=0,"",SUMIFS(tblDaily[Admissions],tblDaily[EntryDate],DATE(2026,10,14),tblDaily[WardCode],"FAE")),"")</f>
        <v/>
      </c>
      <c r="C371" s="12">
        <f>IFERROR(IF(SUMIFS(tblDaily[Discharges],tblDaily[EntryDate],DATE(2026,10,14),tblDaily[WardCode],"FAE")=0,"",SUMIFS(tblDaily[Discharges],tblDaily[EntryDate],DATE(2026,10,14),tblDaily[WardCode],"FAE")),"")</f>
        <v/>
      </c>
      <c r="D371" s="12">
        <f>IFERROR(IF(SUMIFS(tblDaily[Deaths],tblDaily[EntryDate],DATE(2026,10,14),tblDaily[WardCode],"FAE")=0,"",SUMIFS(tblDaily[Deaths],tblDaily[EntryDate],DATE(2026,10,14),tblDaily[WardCode],"FAE")),"")</f>
        <v/>
      </c>
      <c r="E371" s="12">
        <f>IFERROR(IF(SUMIFS(tblDaily[DeathsUnder24Hrs],tblDaily[EntryDate],DATE(2026,10,14),tblDaily[WardCode],"FAE")=0,"",SUMIFS(tblDaily[DeathsUnder24Hrs],tblDaily[EntryDate],DATE(2026,10,14),tblDaily[WardCode],"FAE")),"")</f>
        <v/>
      </c>
      <c r="F371" s="12">
        <f>IFERROR(IF(SUMIFS(tblDaily[TransfersIn],tblDaily[EntryDate],DATE(2026,10,14),tblDaily[WardCode],"FAE")=0,"",SUMIFS(tblDaily[TransfersIn],tblDaily[EntryDate],DATE(2026,10,14),tblDaily[WardCode],"FAE")),"")</f>
        <v/>
      </c>
      <c r="G371" s="12">
        <f>IFERROR(IF(SUMIFS(tblDaily[TransfersOut],tblDaily[EntryDate],DATE(2026,10,14),tblDaily[WardCode],"FAE")=0,"",SUMIFS(tblDaily[TransfersOut],tblDaily[EntryDate],DATE(2026,10,14),tblDaily[WardCode],"FAE")),"")</f>
        <v/>
      </c>
      <c r="H371" s="12">
        <f>IFERROR(IF(SUMIFS(tblDaily[Remaining],tblDaily[EntryDate],DATE(2026,10,14),tblDaily[WardCode],"FAE")=0,"",SUMIFS(tblDaily[Remaining],tblDaily[EntryDate],DATE(2026,10,14),tblDaily[WardCode],"FAE")),"")</f>
        <v/>
      </c>
    </row>
    <row r="372">
      <c r="A372" s="12" t="n">
        <v>15</v>
      </c>
      <c r="B372" s="12">
        <f>IFERROR(IF(SUMIFS(tblDaily[Admissions],tblDaily[EntryDate],DATE(2026,10,15),tblDaily[WardCode],"FAE")=0,"",SUMIFS(tblDaily[Admissions],tblDaily[EntryDate],DATE(2026,10,15),tblDaily[WardCode],"FAE")),"")</f>
        <v/>
      </c>
      <c r="C372" s="12">
        <f>IFERROR(IF(SUMIFS(tblDaily[Discharges],tblDaily[EntryDate],DATE(2026,10,15),tblDaily[WardCode],"FAE")=0,"",SUMIFS(tblDaily[Discharges],tblDaily[EntryDate],DATE(2026,10,15),tblDaily[WardCode],"FAE")),"")</f>
        <v/>
      </c>
      <c r="D372" s="12">
        <f>IFERROR(IF(SUMIFS(tblDaily[Deaths],tblDaily[EntryDate],DATE(2026,10,15),tblDaily[WardCode],"FAE")=0,"",SUMIFS(tblDaily[Deaths],tblDaily[EntryDate],DATE(2026,10,15),tblDaily[WardCode],"FAE")),"")</f>
        <v/>
      </c>
      <c r="E372" s="12">
        <f>IFERROR(IF(SUMIFS(tblDaily[DeathsUnder24Hrs],tblDaily[EntryDate],DATE(2026,10,15),tblDaily[WardCode],"FAE")=0,"",SUMIFS(tblDaily[DeathsUnder24Hrs],tblDaily[EntryDate],DATE(2026,10,15),tblDaily[WardCode],"FAE")),"")</f>
        <v/>
      </c>
      <c r="F372" s="12">
        <f>IFERROR(IF(SUMIFS(tblDaily[TransfersIn],tblDaily[EntryDate],DATE(2026,10,15),tblDaily[WardCode],"FAE")=0,"",SUMIFS(tblDaily[TransfersIn],tblDaily[EntryDate],DATE(2026,10,15),tblDaily[WardCode],"FAE")),"")</f>
        <v/>
      </c>
      <c r="G372" s="12">
        <f>IFERROR(IF(SUMIFS(tblDaily[TransfersOut],tblDaily[EntryDate],DATE(2026,10,15),tblDaily[WardCode],"FAE")=0,"",SUMIFS(tblDaily[TransfersOut],tblDaily[EntryDate],DATE(2026,10,15),tblDaily[WardCode],"FAE")),"")</f>
        <v/>
      </c>
      <c r="H372" s="12">
        <f>IFERROR(IF(SUMIFS(tblDaily[Remaining],tblDaily[EntryDate],DATE(2026,10,15),tblDaily[WardCode],"FAE")=0,"",SUMIFS(tblDaily[Remaining],tblDaily[EntryDate],DATE(2026,10,15),tblDaily[WardCode],"FAE")),"")</f>
        <v/>
      </c>
    </row>
    <row r="373">
      <c r="A373" s="12" t="n">
        <v>16</v>
      </c>
      <c r="B373" s="12">
        <f>IFERROR(IF(SUMIFS(tblDaily[Admissions],tblDaily[EntryDate],DATE(2026,10,16),tblDaily[WardCode],"FAE")=0,"",SUMIFS(tblDaily[Admissions],tblDaily[EntryDate],DATE(2026,10,16),tblDaily[WardCode],"FAE")),"")</f>
        <v/>
      </c>
      <c r="C373" s="12">
        <f>IFERROR(IF(SUMIFS(tblDaily[Discharges],tblDaily[EntryDate],DATE(2026,10,16),tblDaily[WardCode],"FAE")=0,"",SUMIFS(tblDaily[Discharges],tblDaily[EntryDate],DATE(2026,10,16),tblDaily[WardCode],"FAE")),"")</f>
        <v/>
      </c>
      <c r="D373" s="12">
        <f>IFERROR(IF(SUMIFS(tblDaily[Deaths],tblDaily[EntryDate],DATE(2026,10,16),tblDaily[WardCode],"FAE")=0,"",SUMIFS(tblDaily[Deaths],tblDaily[EntryDate],DATE(2026,10,16),tblDaily[WardCode],"FAE")),"")</f>
        <v/>
      </c>
      <c r="E373" s="12">
        <f>IFERROR(IF(SUMIFS(tblDaily[DeathsUnder24Hrs],tblDaily[EntryDate],DATE(2026,10,16),tblDaily[WardCode],"FAE")=0,"",SUMIFS(tblDaily[DeathsUnder24Hrs],tblDaily[EntryDate],DATE(2026,10,16),tblDaily[WardCode],"FAE")),"")</f>
        <v/>
      </c>
      <c r="F373" s="12">
        <f>IFERROR(IF(SUMIFS(tblDaily[TransfersIn],tblDaily[EntryDate],DATE(2026,10,16),tblDaily[WardCode],"FAE")=0,"",SUMIFS(tblDaily[TransfersIn],tblDaily[EntryDate],DATE(2026,10,16),tblDaily[WardCode],"FAE")),"")</f>
        <v/>
      </c>
      <c r="G373" s="12">
        <f>IFERROR(IF(SUMIFS(tblDaily[TransfersOut],tblDaily[EntryDate],DATE(2026,10,16),tblDaily[WardCode],"FAE")=0,"",SUMIFS(tblDaily[TransfersOut],tblDaily[EntryDate],DATE(2026,10,16),tblDaily[WardCode],"FAE")),"")</f>
        <v/>
      </c>
      <c r="H373" s="12">
        <f>IFERROR(IF(SUMIFS(tblDaily[Remaining],tblDaily[EntryDate],DATE(2026,10,16),tblDaily[WardCode],"FAE")=0,"",SUMIFS(tblDaily[Remaining],tblDaily[EntryDate],DATE(2026,10,16),tblDaily[WardCode],"FAE")),"")</f>
        <v/>
      </c>
    </row>
    <row r="374">
      <c r="A374" s="12" t="n">
        <v>17</v>
      </c>
      <c r="B374" s="12">
        <f>IFERROR(IF(SUMIFS(tblDaily[Admissions],tblDaily[EntryDate],DATE(2026,10,17),tblDaily[WardCode],"FAE")=0,"",SUMIFS(tblDaily[Admissions],tblDaily[EntryDate],DATE(2026,10,17),tblDaily[WardCode],"FAE")),"")</f>
        <v/>
      </c>
      <c r="C374" s="12">
        <f>IFERROR(IF(SUMIFS(tblDaily[Discharges],tblDaily[EntryDate],DATE(2026,10,17),tblDaily[WardCode],"FAE")=0,"",SUMIFS(tblDaily[Discharges],tblDaily[EntryDate],DATE(2026,10,17),tblDaily[WardCode],"FAE")),"")</f>
        <v/>
      </c>
      <c r="D374" s="12">
        <f>IFERROR(IF(SUMIFS(tblDaily[Deaths],tblDaily[EntryDate],DATE(2026,10,17),tblDaily[WardCode],"FAE")=0,"",SUMIFS(tblDaily[Deaths],tblDaily[EntryDate],DATE(2026,10,17),tblDaily[WardCode],"FAE")),"")</f>
        <v/>
      </c>
      <c r="E374" s="12">
        <f>IFERROR(IF(SUMIFS(tblDaily[DeathsUnder24Hrs],tblDaily[EntryDate],DATE(2026,10,17),tblDaily[WardCode],"FAE")=0,"",SUMIFS(tblDaily[DeathsUnder24Hrs],tblDaily[EntryDate],DATE(2026,10,17),tblDaily[WardCode],"FAE")),"")</f>
        <v/>
      </c>
      <c r="F374" s="12">
        <f>IFERROR(IF(SUMIFS(tblDaily[TransfersIn],tblDaily[EntryDate],DATE(2026,10,17),tblDaily[WardCode],"FAE")=0,"",SUMIFS(tblDaily[TransfersIn],tblDaily[EntryDate],DATE(2026,10,17),tblDaily[WardCode],"FAE")),"")</f>
        <v/>
      </c>
      <c r="G374" s="12">
        <f>IFERROR(IF(SUMIFS(tblDaily[TransfersOut],tblDaily[EntryDate],DATE(2026,10,17),tblDaily[WardCode],"FAE")=0,"",SUMIFS(tblDaily[TransfersOut],tblDaily[EntryDate],DATE(2026,10,17),tblDaily[WardCode],"FAE")),"")</f>
        <v/>
      </c>
      <c r="H374" s="12">
        <f>IFERROR(IF(SUMIFS(tblDaily[Remaining],tblDaily[EntryDate],DATE(2026,10,17),tblDaily[WardCode],"FAE")=0,"",SUMIFS(tblDaily[Remaining],tblDaily[EntryDate],DATE(2026,10,17),tblDaily[WardCode],"FAE")),"")</f>
        <v/>
      </c>
    </row>
    <row r="375">
      <c r="A375" s="12" t="n">
        <v>18</v>
      </c>
      <c r="B375" s="12">
        <f>IFERROR(IF(SUMIFS(tblDaily[Admissions],tblDaily[EntryDate],DATE(2026,10,18),tblDaily[WardCode],"FAE")=0,"",SUMIFS(tblDaily[Admissions],tblDaily[EntryDate],DATE(2026,10,18),tblDaily[WardCode],"FAE")),"")</f>
        <v/>
      </c>
      <c r="C375" s="12">
        <f>IFERROR(IF(SUMIFS(tblDaily[Discharges],tblDaily[EntryDate],DATE(2026,10,18),tblDaily[WardCode],"FAE")=0,"",SUMIFS(tblDaily[Discharges],tblDaily[EntryDate],DATE(2026,10,18),tblDaily[WardCode],"FAE")),"")</f>
        <v/>
      </c>
      <c r="D375" s="12">
        <f>IFERROR(IF(SUMIFS(tblDaily[Deaths],tblDaily[EntryDate],DATE(2026,10,18),tblDaily[WardCode],"FAE")=0,"",SUMIFS(tblDaily[Deaths],tblDaily[EntryDate],DATE(2026,10,18),tblDaily[WardCode],"FAE")),"")</f>
        <v/>
      </c>
      <c r="E375" s="12">
        <f>IFERROR(IF(SUMIFS(tblDaily[DeathsUnder24Hrs],tblDaily[EntryDate],DATE(2026,10,18),tblDaily[WardCode],"FAE")=0,"",SUMIFS(tblDaily[DeathsUnder24Hrs],tblDaily[EntryDate],DATE(2026,10,18),tblDaily[WardCode],"FAE")),"")</f>
        <v/>
      </c>
      <c r="F375" s="12">
        <f>IFERROR(IF(SUMIFS(tblDaily[TransfersIn],tblDaily[EntryDate],DATE(2026,10,18),tblDaily[WardCode],"FAE")=0,"",SUMIFS(tblDaily[TransfersIn],tblDaily[EntryDate],DATE(2026,10,18),tblDaily[WardCode],"FAE")),"")</f>
        <v/>
      </c>
      <c r="G375" s="12">
        <f>IFERROR(IF(SUMIFS(tblDaily[TransfersOut],tblDaily[EntryDate],DATE(2026,10,18),tblDaily[WardCode],"FAE")=0,"",SUMIFS(tblDaily[TransfersOut],tblDaily[EntryDate],DATE(2026,10,18),tblDaily[WardCode],"FAE")),"")</f>
        <v/>
      </c>
      <c r="H375" s="12">
        <f>IFERROR(IF(SUMIFS(tblDaily[Remaining],tblDaily[EntryDate],DATE(2026,10,18),tblDaily[WardCode],"FAE")=0,"",SUMIFS(tblDaily[Remaining],tblDaily[EntryDate],DATE(2026,10,18),tblDaily[WardCode],"FAE")),"")</f>
        <v/>
      </c>
    </row>
    <row r="376">
      <c r="A376" s="12" t="n">
        <v>19</v>
      </c>
      <c r="B376" s="12">
        <f>IFERROR(IF(SUMIFS(tblDaily[Admissions],tblDaily[EntryDate],DATE(2026,10,19),tblDaily[WardCode],"FAE")=0,"",SUMIFS(tblDaily[Admissions],tblDaily[EntryDate],DATE(2026,10,19),tblDaily[WardCode],"FAE")),"")</f>
        <v/>
      </c>
      <c r="C376" s="12">
        <f>IFERROR(IF(SUMIFS(tblDaily[Discharges],tblDaily[EntryDate],DATE(2026,10,19),tblDaily[WardCode],"FAE")=0,"",SUMIFS(tblDaily[Discharges],tblDaily[EntryDate],DATE(2026,10,19),tblDaily[WardCode],"FAE")),"")</f>
        <v/>
      </c>
      <c r="D376" s="12">
        <f>IFERROR(IF(SUMIFS(tblDaily[Deaths],tblDaily[EntryDate],DATE(2026,10,19),tblDaily[WardCode],"FAE")=0,"",SUMIFS(tblDaily[Deaths],tblDaily[EntryDate],DATE(2026,10,19),tblDaily[WardCode],"FAE")),"")</f>
        <v/>
      </c>
      <c r="E376" s="12">
        <f>IFERROR(IF(SUMIFS(tblDaily[DeathsUnder24Hrs],tblDaily[EntryDate],DATE(2026,10,19),tblDaily[WardCode],"FAE")=0,"",SUMIFS(tblDaily[DeathsUnder24Hrs],tblDaily[EntryDate],DATE(2026,10,19),tblDaily[WardCode],"FAE")),"")</f>
        <v/>
      </c>
      <c r="F376" s="12">
        <f>IFERROR(IF(SUMIFS(tblDaily[TransfersIn],tblDaily[EntryDate],DATE(2026,10,19),tblDaily[WardCode],"FAE")=0,"",SUMIFS(tblDaily[TransfersIn],tblDaily[EntryDate],DATE(2026,10,19),tblDaily[WardCode],"FAE")),"")</f>
        <v/>
      </c>
      <c r="G376" s="12">
        <f>IFERROR(IF(SUMIFS(tblDaily[TransfersOut],tblDaily[EntryDate],DATE(2026,10,19),tblDaily[WardCode],"FAE")=0,"",SUMIFS(tblDaily[TransfersOut],tblDaily[EntryDate],DATE(2026,10,19),tblDaily[WardCode],"FAE")),"")</f>
        <v/>
      </c>
      <c r="H376" s="12">
        <f>IFERROR(IF(SUMIFS(tblDaily[Remaining],tblDaily[EntryDate],DATE(2026,10,19),tblDaily[WardCode],"FAE")=0,"",SUMIFS(tblDaily[Remaining],tblDaily[EntryDate],DATE(2026,10,19),tblDaily[WardCode],"FAE")),"")</f>
        <v/>
      </c>
    </row>
    <row r="377">
      <c r="A377" s="12" t="n">
        <v>20</v>
      </c>
      <c r="B377" s="12">
        <f>IFERROR(IF(SUMIFS(tblDaily[Admissions],tblDaily[EntryDate],DATE(2026,10,20),tblDaily[WardCode],"FAE")=0,"",SUMIFS(tblDaily[Admissions],tblDaily[EntryDate],DATE(2026,10,20),tblDaily[WardCode],"FAE")),"")</f>
        <v/>
      </c>
      <c r="C377" s="12">
        <f>IFERROR(IF(SUMIFS(tblDaily[Discharges],tblDaily[EntryDate],DATE(2026,10,20),tblDaily[WardCode],"FAE")=0,"",SUMIFS(tblDaily[Discharges],tblDaily[EntryDate],DATE(2026,10,20),tblDaily[WardCode],"FAE")),"")</f>
        <v/>
      </c>
      <c r="D377" s="12">
        <f>IFERROR(IF(SUMIFS(tblDaily[Deaths],tblDaily[EntryDate],DATE(2026,10,20),tblDaily[WardCode],"FAE")=0,"",SUMIFS(tblDaily[Deaths],tblDaily[EntryDate],DATE(2026,10,20),tblDaily[WardCode],"FAE")),"")</f>
        <v/>
      </c>
      <c r="E377" s="12">
        <f>IFERROR(IF(SUMIFS(tblDaily[DeathsUnder24Hrs],tblDaily[EntryDate],DATE(2026,10,20),tblDaily[WardCode],"FAE")=0,"",SUMIFS(tblDaily[DeathsUnder24Hrs],tblDaily[EntryDate],DATE(2026,10,20),tblDaily[WardCode],"FAE")),"")</f>
        <v/>
      </c>
      <c r="F377" s="12">
        <f>IFERROR(IF(SUMIFS(tblDaily[TransfersIn],tblDaily[EntryDate],DATE(2026,10,20),tblDaily[WardCode],"FAE")=0,"",SUMIFS(tblDaily[TransfersIn],tblDaily[EntryDate],DATE(2026,10,20),tblDaily[WardCode],"FAE")),"")</f>
        <v/>
      </c>
      <c r="G377" s="12">
        <f>IFERROR(IF(SUMIFS(tblDaily[TransfersOut],tblDaily[EntryDate],DATE(2026,10,20),tblDaily[WardCode],"FAE")=0,"",SUMIFS(tblDaily[TransfersOut],tblDaily[EntryDate],DATE(2026,10,20),tblDaily[WardCode],"FAE")),"")</f>
        <v/>
      </c>
      <c r="H377" s="12">
        <f>IFERROR(IF(SUMIFS(tblDaily[Remaining],tblDaily[EntryDate],DATE(2026,10,20),tblDaily[WardCode],"FAE")=0,"",SUMIFS(tblDaily[Remaining],tblDaily[EntryDate],DATE(2026,10,20),tblDaily[WardCode],"FAE")),"")</f>
        <v/>
      </c>
    </row>
    <row r="378">
      <c r="A378" s="12" t="n">
        <v>21</v>
      </c>
      <c r="B378" s="12">
        <f>IFERROR(IF(SUMIFS(tblDaily[Admissions],tblDaily[EntryDate],DATE(2026,10,21),tblDaily[WardCode],"FAE")=0,"",SUMIFS(tblDaily[Admissions],tblDaily[EntryDate],DATE(2026,10,21),tblDaily[WardCode],"FAE")),"")</f>
        <v/>
      </c>
      <c r="C378" s="12">
        <f>IFERROR(IF(SUMIFS(tblDaily[Discharges],tblDaily[EntryDate],DATE(2026,10,21),tblDaily[WardCode],"FAE")=0,"",SUMIFS(tblDaily[Discharges],tblDaily[EntryDate],DATE(2026,10,21),tblDaily[WardCode],"FAE")),"")</f>
        <v/>
      </c>
      <c r="D378" s="12">
        <f>IFERROR(IF(SUMIFS(tblDaily[Deaths],tblDaily[EntryDate],DATE(2026,10,21),tblDaily[WardCode],"FAE")=0,"",SUMIFS(tblDaily[Deaths],tblDaily[EntryDate],DATE(2026,10,21),tblDaily[WardCode],"FAE")),"")</f>
        <v/>
      </c>
      <c r="E378" s="12">
        <f>IFERROR(IF(SUMIFS(tblDaily[DeathsUnder24Hrs],tblDaily[EntryDate],DATE(2026,10,21),tblDaily[WardCode],"FAE")=0,"",SUMIFS(tblDaily[DeathsUnder24Hrs],tblDaily[EntryDate],DATE(2026,10,21),tblDaily[WardCode],"FAE")),"")</f>
        <v/>
      </c>
      <c r="F378" s="12">
        <f>IFERROR(IF(SUMIFS(tblDaily[TransfersIn],tblDaily[EntryDate],DATE(2026,10,21),tblDaily[WardCode],"FAE")=0,"",SUMIFS(tblDaily[TransfersIn],tblDaily[EntryDate],DATE(2026,10,21),tblDaily[WardCode],"FAE")),"")</f>
        <v/>
      </c>
      <c r="G378" s="12">
        <f>IFERROR(IF(SUMIFS(tblDaily[TransfersOut],tblDaily[EntryDate],DATE(2026,10,21),tblDaily[WardCode],"FAE")=0,"",SUMIFS(tblDaily[TransfersOut],tblDaily[EntryDate],DATE(2026,10,21),tblDaily[WardCode],"FAE")),"")</f>
        <v/>
      </c>
      <c r="H378" s="12">
        <f>IFERROR(IF(SUMIFS(tblDaily[Remaining],tblDaily[EntryDate],DATE(2026,10,21),tblDaily[WardCode],"FAE")=0,"",SUMIFS(tblDaily[Remaining],tblDaily[EntryDate],DATE(2026,10,21),tblDaily[WardCode],"FAE")),"")</f>
        <v/>
      </c>
    </row>
    <row r="379">
      <c r="A379" s="12" t="n">
        <v>22</v>
      </c>
      <c r="B379" s="12">
        <f>IFERROR(IF(SUMIFS(tblDaily[Admissions],tblDaily[EntryDate],DATE(2026,10,22),tblDaily[WardCode],"FAE")=0,"",SUMIFS(tblDaily[Admissions],tblDaily[EntryDate],DATE(2026,10,22),tblDaily[WardCode],"FAE")),"")</f>
        <v/>
      </c>
      <c r="C379" s="12">
        <f>IFERROR(IF(SUMIFS(tblDaily[Discharges],tblDaily[EntryDate],DATE(2026,10,22),tblDaily[WardCode],"FAE")=0,"",SUMIFS(tblDaily[Discharges],tblDaily[EntryDate],DATE(2026,10,22),tblDaily[WardCode],"FAE")),"")</f>
        <v/>
      </c>
      <c r="D379" s="12">
        <f>IFERROR(IF(SUMIFS(tblDaily[Deaths],tblDaily[EntryDate],DATE(2026,10,22),tblDaily[WardCode],"FAE")=0,"",SUMIFS(tblDaily[Deaths],tblDaily[EntryDate],DATE(2026,10,22),tblDaily[WardCode],"FAE")),"")</f>
        <v/>
      </c>
      <c r="E379" s="12">
        <f>IFERROR(IF(SUMIFS(tblDaily[DeathsUnder24Hrs],tblDaily[EntryDate],DATE(2026,10,22),tblDaily[WardCode],"FAE")=0,"",SUMIFS(tblDaily[DeathsUnder24Hrs],tblDaily[EntryDate],DATE(2026,10,22),tblDaily[WardCode],"FAE")),"")</f>
        <v/>
      </c>
      <c r="F379" s="12">
        <f>IFERROR(IF(SUMIFS(tblDaily[TransfersIn],tblDaily[EntryDate],DATE(2026,10,22),tblDaily[WardCode],"FAE")=0,"",SUMIFS(tblDaily[TransfersIn],tblDaily[EntryDate],DATE(2026,10,22),tblDaily[WardCode],"FAE")),"")</f>
        <v/>
      </c>
      <c r="G379" s="12">
        <f>IFERROR(IF(SUMIFS(tblDaily[TransfersOut],tblDaily[EntryDate],DATE(2026,10,22),tblDaily[WardCode],"FAE")=0,"",SUMIFS(tblDaily[TransfersOut],tblDaily[EntryDate],DATE(2026,10,22),tblDaily[WardCode],"FAE")),"")</f>
        <v/>
      </c>
      <c r="H379" s="12">
        <f>IFERROR(IF(SUMIFS(tblDaily[Remaining],tblDaily[EntryDate],DATE(2026,10,22),tblDaily[WardCode],"FAE")=0,"",SUMIFS(tblDaily[Remaining],tblDaily[EntryDate],DATE(2026,10,22),tblDaily[WardCode],"FAE")),"")</f>
        <v/>
      </c>
    </row>
    <row r="380">
      <c r="A380" s="12" t="n">
        <v>23</v>
      </c>
      <c r="B380" s="12">
        <f>IFERROR(IF(SUMIFS(tblDaily[Admissions],tblDaily[EntryDate],DATE(2026,10,23),tblDaily[WardCode],"FAE")=0,"",SUMIFS(tblDaily[Admissions],tblDaily[EntryDate],DATE(2026,10,23),tblDaily[WardCode],"FAE")),"")</f>
        <v/>
      </c>
      <c r="C380" s="12">
        <f>IFERROR(IF(SUMIFS(tblDaily[Discharges],tblDaily[EntryDate],DATE(2026,10,23),tblDaily[WardCode],"FAE")=0,"",SUMIFS(tblDaily[Discharges],tblDaily[EntryDate],DATE(2026,10,23),tblDaily[WardCode],"FAE")),"")</f>
        <v/>
      </c>
      <c r="D380" s="12">
        <f>IFERROR(IF(SUMIFS(tblDaily[Deaths],tblDaily[EntryDate],DATE(2026,10,23),tblDaily[WardCode],"FAE")=0,"",SUMIFS(tblDaily[Deaths],tblDaily[EntryDate],DATE(2026,10,23),tblDaily[WardCode],"FAE")),"")</f>
        <v/>
      </c>
      <c r="E380" s="12">
        <f>IFERROR(IF(SUMIFS(tblDaily[DeathsUnder24Hrs],tblDaily[EntryDate],DATE(2026,10,23),tblDaily[WardCode],"FAE")=0,"",SUMIFS(tblDaily[DeathsUnder24Hrs],tblDaily[EntryDate],DATE(2026,10,23),tblDaily[WardCode],"FAE")),"")</f>
        <v/>
      </c>
      <c r="F380" s="12">
        <f>IFERROR(IF(SUMIFS(tblDaily[TransfersIn],tblDaily[EntryDate],DATE(2026,10,23),tblDaily[WardCode],"FAE")=0,"",SUMIFS(tblDaily[TransfersIn],tblDaily[EntryDate],DATE(2026,10,23),tblDaily[WardCode],"FAE")),"")</f>
        <v/>
      </c>
      <c r="G380" s="12">
        <f>IFERROR(IF(SUMIFS(tblDaily[TransfersOut],tblDaily[EntryDate],DATE(2026,10,23),tblDaily[WardCode],"FAE")=0,"",SUMIFS(tblDaily[TransfersOut],tblDaily[EntryDate],DATE(2026,10,23),tblDaily[WardCode],"FAE")),"")</f>
        <v/>
      </c>
      <c r="H380" s="12">
        <f>IFERROR(IF(SUMIFS(tblDaily[Remaining],tblDaily[EntryDate],DATE(2026,10,23),tblDaily[WardCode],"FAE")=0,"",SUMIFS(tblDaily[Remaining],tblDaily[EntryDate],DATE(2026,10,23),tblDaily[WardCode],"FAE")),"")</f>
        <v/>
      </c>
    </row>
    <row r="381">
      <c r="A381" s="12" t="n">
        <v>24</v>
      </c>
      <c r="B381" s="12">
        <f>IFERROR(IF(SUMIFS(tblDaily[Admissions],tblDaily[EntryDate],DATE(2026,10,24),tblDaily[WardCode],"FAE")=0,"",SUMIFS(tblDaily[Admissions],tblDaily[EntryDate],DATE(2026,10,24),tblDaily[WardCode],"FAE")),"")</f>
        <v/>
      </c>
      <c r="C381" s="12">
        <f>IFERROR(IF(SUMIFS(tblDaily[Discharges],tblDaily[EntryDate],DATE(2026,10,24),tblDaily[WardCode],"FAE")=0,"",SUMIFS(tblDaily[Discharges],tblDaily[EntryDate],DATE(2026,10,24),tblDaily[WardCode],"FAE")),"")</f>
        <v/>
      </c>
      <c r="D381" s="12">
        <f>IFERROR(IF(SUMIFS(tblDaily[Deaths],tblDaily[EntryDate],DATE(2026,10,24),tblDaily[WardCode],"FAE")=0,"",SUMIFS(tblDaily[Deaths],tblDaily[EntryDate],DATE(2026,10,24),tblDaily[WardCode],"FAE")),"")</f>
        <v/>
      </c>
      <c r="E381" s="12">
        <f>IFERROR(IF(SUMIFS(tblDaily[DeathsUnder24Hrs],tblDaily[EntryDate],DATE(2026,10,24),tblDaily[WardCode],"FAE")=0,"",SUMIFS(tblDaily[DeathsUnder24Hrs],tblDaily[EntryDate],DATE(2026,10,24),tblDaily[WardCode],"FAE")),"")</f>
        <v/>
      </c>
      <c r="F381" s="12">
        <f>IFERROR(IF(SUMIFS(tblDaily[TransfersIn],tblDaily[EntryDate],DATE(2026,10,24),tblDaily[WardCode],"FAE")=0,"",SUMIFS(tblDaily[TransfersIn],tblDaily[EntryDate],DATE(2026,10,24),tblDaily[WardCode],"FAE")),"")</f>
        <v/>
      </c>
      <c r="G381" s="12">
        <f>IFERROR(IF(SUMIFS(tblDaily[TransfersOut],tblDaily[EntryDate],DATE(2026,10,24),tblDaily[WardCode],"FAE")=0,"",SUMIFS(tblDaily[TransfersOut],tblDaily[EntryDate],DATE(2026,10,24),tblDaily[WardCode],"FAE")),"")</f>
        <v/>
      </c>
      <c r="H381" s="12">
        <f>IFERROR(IF(SUMIFS(tblDaily[Remaining],tblDaily[EntryDate],DATE(2026,10,24),tblDaily[WardCode],"FAE")=0,"",SUMIFS(tblDaily[Remaining],tblDaily[EntryDate],DATE(2026,10,24),tblDaily[WardCode],"FAE")),"")</f>
        <v/>
      </c>
    </row>
    <row r="382">
      <c r="A382" s="12" t="n">
        <v>25</v>
      </c>
      <c r="B382" s="12">
        <f>IFERROR(IF(SUMIFS(tblDaily[Admissions],tblDaily[EntryDate],DATE(2026,10,25),tblDaily[WardCode],"FAE")=0,"",SUMIFS(tblDaily[Admissions],tblDaily[EntryDate],DATE(2026,10,25),tblDaily[WardCode],"FAE")),"")</f>
        <v/>
      </c>
      <c r="C382" s="12">
        <f>IFERROR(IF(SUMIFS(tblDaily[Discharges],tblDaily[EntryDate],DATE(2026,10,25),tblDaily[WardCode],"FAE")=0,"",SUMIFS(tblDaily[Discharges],tblDaily[EntryDate],DATE(2026,10,25),tblDaily[WardCode],"FAE")),"")</f>
        <v/>
      </c>
      <c r="D382" s="12">
        <f>IFERROR(IF(SUMIFS(tblDaily[Deaths],tblDaily[EntryDate],DATE(2026,10,25),tblDaily[WardCode],"FAE")=0,"",SUMIFS(tblDaily[Deaths],tblDaily[EntryDate],DATE(2026,10,25),tblDaily[WardCode],"FAE")),"")</f>
        <v/>
      </c>
      <c r="E382" s="12">
        <f>IFERROR(IF(SUMIFS(tblDaily[DeathsUnder24Hrs],tblDaily[EntryDate],DATE(2026,10,25),tblDaily[WardCode],"FAE")=0,"",SUMIFS(tblDaily[DeathsUnder24Hrs],tblDaily[EntryDate],DATE(2026,10,25),tblDaily[WardCode],"FAE")),"")</f>
        <v/>
      </c>
      <c r="F382" s="12">
        <f>IFERROR(IF(SUMIFS(tblDaily[TransfersIn],tblDaily[EntryDate],DATE(2026,10,25),tblDaily[WardCode],"FAE")=0,"",SUMIFS(tblDaily[TransfersIn],tblDaily[EntryDate],DATE(2026,10,25),tblDaily[WardCode],"FAE")),"")</f>
        <v/>
      </c>
      <c r="G382" s="12">
        <f>IFERROR(IF(SUMIFS(tblDaily[TransfersOut],tblDaily[EntryDate],DATE(2026,10,25),tblDaily[WardCode],"FAE")=0,"",SUMIFS(tblDaily[TransfersOut],tblDaily[EntryDate],DATE(2026,10,25),tblDaily[WardCode],"FAE")),"")</f>
        <v/>
      </c>
      <c r="H382" s="12">
        <f>IFERROR(IF(SUMIFS(tblDaily[Remaining],tblDaily[EntryDate],DATE(2026,10,25),tblDaily[WardCode],"FAE")=0,"",SUMIFS(tblDaily[Remaining],tblDaily[EntryDate],DATE(2026,10,25),tblDaily[WardCode],"FAE")),"")</f>
        <v/>
      </c>
    </row>
    <row r="383">
      <c r="A383" s="12" t="n">
        <v>26</v>
      </c>
      <c r="B383" s="12">
        <f>IFERROR(IF(SUMIFS(tblDaily[Admissions],tblDaily[EntryDate],DATE(2026,10,26),tblDaily[WardCode],"FAE")=0,"",SUMIFS(tblDaily[Admissions],tblDaily[EntryDate],DATE(2026,10,26),tblDaily[WardCode],"FAE")),"")</f>
        <v/>
      </c>
      <c r="C383" s="12">
        <f>IFERROR(IF(SUMIFS(tblDaily[Discharges],tblDaily[EntryDate],DATE(2026,10,26),tblDaily[WardCode],"FAE")=0,"",SUMIFS(tblDaily[Discharges],tblDaily[EntryDate],DATE(2026,10,26),tblDaily[WardCode],"FAE")),"")</f>
        <v/>
      </c>
      <c r="D383" s="12">
        <f>IFERROR(IF(SUMIFS(tblDaily[Deaths],tblDaily[EntryDate],DATE(2026,10,26),tblDaily[WardCode],"FAE")=0,"",SUMIFS(tblDaily[Deaths],tblDaily[EntryDate],DATE(2026,10,26),tblDaily[WardCode],"FAE")),"")</f>
        <v/>
      </c>
      <c r="E383" s="12">
        <f>IFERROR(IF(SUMIFS(tblDaily[DeathsUnder24Hrs],tblDaily[EntryDate],DATE(2026,10,26),tblDaily[WardCode],"FAE")=0,"",SUMIFS(tblDaily[DeathsUnder24Hrs],tblDaily[EntryDate],DATE(2026,10,26),tblDaily[WardCode],"FAE")),"")</f>
        <v/>
      </c>
      <c r="F383" s="12">
        <f>IFERROR(IF(SUMIFS(tblDaily[TransfersIn],tblDaily[EntryDate],DATE(2026,10,26),tblDaily[WardCode],"FAE")=0,"",SUMIFS(tblDaily[TransfersIn],tblDaily[EntryDate],DATE(2026,10,26),tblDaily[WardCode],"FAE")),"")</f>
        <v/>
      </c>
      <c r="G383" s="12">
        <f>IFERROR(IF(SUMIFS(tblDaily[TransfersOut],tblDaily[EntryDate],DATE(2026,10,26),tblDaily[WardCode],"FAE")=0,"",SUMIFS(tblDaily[TransfersOut],tblDaily[EntryDate],DATE(2026,10,26),tblDaily[WardCode],"FAE")),"")</f>
        <v/>
      </c>
      <c r="H383" s="12">
        <f>IFERROR(IF(SUMIFS(tblDaily[Remaining],tblDaily[EntryDate],DATE(2026,10,26),tblDaily[WardCode],"FAE")=0,"",SUMIFS(tblDaily[Remaining],tblDaily[EntryDate],DATE(2026,10,26),tblDaily[WardCode],"FAE")),"")</f>
        <v/>
      </c>
    </row>
    <row r="384">
      <c r="A384" s="12" t="n">
        <v>27</v>
      </c>
      <c r="B384" s="12">
        <f>IFERROR(IF(SUMIFS(tblDaily[Admissions],tblDaily[EntryDate],DATE(2026,10,27),tblDaily[WardCode],"FAE")=0,"",SUMIFS(tblDaily[Admissions],tblDaily[EntryDate],DATE(2026,10,27),tblDaily[WardCode],"FAE")),"")</f>
        <v/>
      </c>
      <c r="C384" s="12">
        <f>IFERROR(IF(SUMIFS(tblDaily[Discharges],tblDaily[EntryDate],DATE(2026,10,27),tblDaily[WardCode],"FAE")=0,"",SUMIFS(tblDaily[Discharges],tblDaily[EntryDate],DATE(2026,10,27),tblDaily[WardCode],"FAE")),"")</f>
        <v/>
      </c>
      <c r="D384" s="12">
        <f>IFERROR(IF(SUMIFS(tblDaily[Deaths],tblDaily[EntryDate],DATE(2026,10,27),tblDaily[WardCode],"FAE")=0,"",SUMIFS(tblDaily[Deaths],tblDaily[EntryDate],DATE(2026,10,27),tblDaily[WardCode],"FAE")),"")</f>
        <v/>
      </c>
      <c r="E384" s="12">
        <f>IFERROR(IF(SUMIFS(tblDaily[DeathsUnder24Hrs],tblDaily[EntryDate],DATE(2026,10,27),tblDaily[WardCode],"FAE")=0,"",SUMIFS(tblDaily[DeathsUnder24Hrs],tblDaily[EntryDate],DATE(2026,10,27),tblDaily[WardCode],"FAE")),"")</f>
        <v/>
      </c>
      <c r="F384" s="12">
        <f>IFERROR(IF(SUMIFS(tblDaily[TransfersIn],tblDaily[EntryDate],DATE(2026,10,27),tblDaily[WardCode],"FAE")=0,"",SUMIFS(tblDaily[TransfersIn],tblDaily[EntryDate],DATE(2026,10,27),tblDaily[WardCode],"FAE")),"")</f>
        <v/>
      </c>
      <c r="G384" s="12">
        <f>IFERROR(IF(SUMIFS(tblDaily[TransfersOut],tblDaily[EntryDate],DATE(2026,10,27),tblDaily[WardCode],"FAE")=0,"",SUMIFS(tblDaily[TransfersOut],tblDaily[EntryDate],DATE(2026,10,27),tblDaily[WardCode],"FAE")),"")</f>
        <v/>
      </c>
      <c r="H384" s="12">
        <f>IFERROR(IF(SUMIFS(tblDaily[Remaining],tblDaily[EntryDate],DATE(2026,10,27),tblDaily[WardCode],"FAE")=0,"",SUMIFS(tblDaily[Remaining],tblDaily[EntryDate],DATE(2026,10,27),tblDaily[WardCode],"FAE")),"")</f>
        <v/>
      </c>
    </row>
    <row r="385">
      <c r="A385" s="12" t="n">
        <v>28</v>
      </c>
      <c r="B385" s="12">
        <f>IFERROR(IF(SUMIFS(tblDaily[Admissions],tblDaily[EntryDate],DATE(2026,10,28),tblDaily[WardCode],"FAE")=0,"",SUMIFS(tblDaily[Admissions],tblDaily[EntryDate],DATE(2026,10,28),tblDaily[WardCode],"FAE")),"")</f>
        <v/>
      </c>
      <c r="C385" s="12">
        <f>IFERROR(IF(SUMIFS(tblDaily[Discharges],tblDaily[EntryDate],DATE(2026,10,28),tblDaily[WardCode],"FAE")=0,"",SUMIFS(tblDaily[Discharges],tblDaily[EntryDate],DATE(2026,10,28),tblDaily[WardCode],"FAE")),"")</f>
        <v/>
      </c>
      <c r="D385" s="12">
        <f>IFERROR(IF(SUMIFS(tblDaily[Deaths],tblDaily[EntryDate],DATE(2026,10,28),tblDaily[WardCode],"FAE")=0,"",SUMIFS(tblDaily[Deaths],tblDaily[EntryDate],DATE(2026,10,28),tblDaily[WardCode],"FAE")),"")</f>
        <v/>
      </c>
      <c r="E385" s="12">
        <f>IFERROR(IF(SUMIFS(tblDaily[DeathsUnder24Hrs],tblDaily[EntryDate],DATE(2026,10,28),tblDaily[WardCode],"FAE")=0,"",SUMIFS(tblDaily[DeathsUnder24Hrs],tblDaily[EntryDate],DATE(2026,10,28),tblDaily[WardCode],"FAE")),"")</f>
        <v/>
      </c>
      <c r="F385" s="12">
        <f>IFERROR(IF(SUMIFS(tblDaily[TransfersIn],tblDaily[EntryDate],DATE(2026,10,28),tblDaily[WardCode],"FAE")=0,"",SUMIFS(tblDaily[TransfersIn],tblDaily[EntryDate],DATE(2026,10,28),tblDaily[WardCode],"FAE")),"")</f>
        <v/>
      </c>
      <c r="G385" s="12">
        <f>IFERROR(IF(SUMIFS(tblDaily[TransfersOut],tblDaily[EntryDate],DATE(2026,10,28),tblDaily[WardCode],"FAE")=0,"",SUMIFS(tblDaily[TransfersOut],tblDaily[EntryDate],DATE(2026,10,28),tblDaily[WardCode],"FAE")),"")</f>
        <v/>
      </c>
      <c r="H385" s="12">
        <f>IFERROR(IF(SUMIFS(tblDaily[Remaining],tblDaily[EntryDate],DATE(2026,10,28),tblDaily[WardCode],"FAE")=0,"",SUMIFS(tblDaily[Remaining],tblDaily[EntryDate],DATE(2026,10,28),tblDaily[WardCode],"FAE")),"")</f>
        <v/>
      </c>
    </row>
    <row r="386">
      <c r="A386" s="12" t="n">
        <v>29</v>
      </c>
      <c r="B386" s="12">
        <f>IFERROR(IF(SUMIFS(tblDaily[Admissions],tblDaily[EntryDate],DATE(2026,10,29),tblDaily[WardCode],"FAE")=0,"",SUMIFS(tblDaily[Admissions],tblDaily[EntryDate],DATE(2026,10,29),tblDaily[WardCode],"FAE")),"")</f>
        <v/>
      </c>
      <c r="C386" s="12">
        <f>IFERROR(IF(SUMIFS(tblDaily[Discharges],tblDaily[EntryDate],DATE(2026,10,29),tblDaily[WardCode],"FAE")=0,"",SUMIFS(tblDaily[Discharges],tblDaily[EntryDate],DATE(2026,10,29),tblDaily[WardCode],"FAE")),"")</f>
        <v/>
      </c>
      <c r="D386" s="12">
        <f>IFERROR(IF(SUMIFS(tblDaily[Deaths],tblDaily[EntryDate],DATE(2026,10,29),tblDaily[WardCode],"FAE")=0,"",SUMIFS(tblDaily[Deaths],tblDaily[EntryDate],DATE(2026,10,29),tblDaily[WardCode],"FAE")),"")</f>
        <v/>
      </c>
      <c r="E386" s="12">
        <f>IFERROR(IF(SUMIFS(tblDaily[DeathsUnder24Hrs],tblDaily[EntryDate],DATE(2026,10,29),tblDaily[WardCode],"FAE")=0,"",SUMIFS(tblDaily[DeathsUnder24Hrs],tblDaily[EntryDate],DATE(2026,10,29),tblDaily[WardCode],"FAE")),"")</f>
        <v/>
      </c>
      <c r="F386" s="12">
        <f>IFERROR(IF(SUMIFS(tblDaily[TransfersIn],tblDaily[EntryDate],DATE(2026,10,29),tblDaily[WardCode],"FAE")=0,"",SUMIFS(tblDaily[TransfersIn],tblDaily[EntryDate],DATE(2026,10,29),tblDaily[WardCode],"FAE")),"")</f>
        <v/>
      </c>
      <c r="G386" s="12">
        <f>IFERROR(IF(SUMIFS(tblDaily[TransfersOut],tblDaily[EntryDate],DATE(2026,10,29),tblDaily[WardCode],"FAE")=0,"",SUMIFS(tblDaily[TransfersOut],tblDaily[EntryDate],DATE(2026,10,29),tblDaily[WardCode],"FAE")),"")</f>
        <v/>
      </c>
      <c r="H386" s="12">
        <f>IFERROR(IF(SUMIFS(tblDaily[Remaining],tblDaily[EntryDate],DATE(2026,10,29),tblDaily[WardCode],"FAE")=0,"",SUMIFS(tblDaily[Remaining],tblDaily[EntryDate],DATE(2026,10,29),tblDaily[WardCode],"FAE")),"")</f>
        <v/>
      </c>
    </row>
    <row r="387">
      <c r="A387" s="12" t="n">
        <v>30</v>
      </c>
      <c r="B387" s="12">
        <f>IFERROR(IF(SUMIFS(tblDaily[Admissions],tblDaily[EntryDate],DATE(2026,10,30),tblDaily[WardCode],"FAE")=0,"",SUMIFS(tblDaily[Admissions],tblDaily[EntryDate],DATE(2026,10,30),tblDaily[WardCode],"FAE")),"")</f>
        <v/>
      </c>
      <c r="C387" s="12">
        <f>IFERROR(IF(SUMIFS(tblDaily[Discharges],tblDaily[EntryDate],DATE(2026,10,30),tblDaily[WardCode],"FAE")=0,"",SUMIFS(tblDaily[Discharges],tblDaily[EntryDate],DATE(2026,10,30),tblDaily[WardCode],"FAE")),"")</f>
        <v/>
      </c>
      <c r="D387" s="12">
        <f>IFERROR(IF(SUMIFS(tblDaily[Deaths],tblDaily[EntryDate],DATE(2026,10,30),tblDaily[WardCode],"FAE")=0,"",SUMIFS(tblDaily[Deaths],tblDaily[EntryDate],DATE(2026,10,30),tblDaily[WardCode],"FAE")),"")</f>
        <v/>
      </c>
      <c r="E387" s="12">
        <f>IFERROR(IF(SUMIFS(tblDaily[DeathsUnder24Hrs],tblDaily[EntryDate],DATE(2026,10,30),tblDaily[WardCode],"FAE")=0,"",SUMIFS(tblDaily[DeathsUnder24Hrs],tblDaily[EntryDate],DATE(2026,10,30),tblDaily[WardCode],"FAE")),"")</f>
        <v/>
      </c>
      <c r="F387" s="12">
        <f>IFERROR(IF(SUMIFS(tblDaily[TransfersIn],tblDaily[EntryDate],DATE(2026,10,30),tblDaily[WardCode],"FAE")=0,"",SUMIFS(tblDaily[TransfersIn],tblDaily[EntryDate],DATE(2026,10,30),tblDaily[WardCode],"FAE")),"")</f>
        <v/>
      </c>
      <c r="G387" s="12">
        <f>IFERROR(IF(SUMIFS(tblDaily[TransfersOut],tblDaily[EntryDate],DATE(2026,10,30),tblDaily[WardCode],"FAE")=0,"",SUMIFS(tblDaily[TransfersOut],tblDaily[EntryDate],DATE(2026,10,30),tblDaily[WardCode],"FAE")),"")</f>
        <v/>
      </c>
      <c r="H387" s="12">
        <f>IFERROR(IF(SUMIFS(tblDaily[Remaining],tblDaily[EntryDate],DATE(2026,10,30),tblDaily[WardCode],"FAE")=0,"",SUMIFS(tblDaily[Remaining],tblDaily[EntryDate],DATE(2026,10,30),tblDaily[WardCode],"FAE")),"")</f>
        <v/>
      </c>
    </row>
    <row r="388">
      <c r="A388" s="12" t="n">
        <v>31</v>
      </c>
      <c r="B388" s="12">
        <f>IFERROR(IF(SUMIFS(tblDaily[Admissions],tblDaily[EntryDate],DATE(2026,10,31),tblDaily[WardCode],"FAE")=0,"",SUMIFS(tblDaily[Admissions],tblDaily[EntryDate],DATE(2026,10,31),tblDaily[WardCode],"FAE")),"")</f>
        <v/>
      </c>
      <c r="C388" s="12">
        <f>IFERROR(IF(SUMIFS(tblDaily[Discharges],tblDaily[EntryDate],DATE(2026,10,31),tblDaily[WardCode],"FAE")=0,"",SUMIFS(tblDaily[Discharges],tblDaily[EntryDate],DATE(2026,10,31),tblDaily[WardCode],"FAE")),"")</f>
        <v/>
      </c>
      <c r="D388" s="12">
        <f>IFERROR(IF(SUMIFS(tblDaily[Deaths],tblDaily[EntryDate],DATE(2026,10,31),tblDaily[WardCode],"FAE")=0,"",SUMIFS(tblDaily[Deaths],tblDaily[EntryDate],DATE(2026,10,31),tblDaily[WardCode],"FAE")),"")</f>
        <v/>
      </c>
      <c r="E388" s="12">
        <f>IFERROR(IF(SUMIFS(tblDaily[DeathsUnder24Hrs],tblDaily[EntryDate],DATE(2026,10,31),tblDaily[WardCode],"FAE")=0,"",SUMIFS(tblDaily[DeathsUnder24Hrs],tblDaily[EntryDate],DATE(2026,10,31),tblDaily[WardCode],"FAE")),"")</f>
        <v/>
      </c>
      <c r="F388" s="12">
        <f>IFERROR(IF(SUMIFS(tblDaily[TransfersIn],tblDaily[EntryDate],DATE(2026,10,31),tblDaily[WardCode],"FAE")=0,"",SUMIFS(tblDaily[TransfersIn],tblDaily[EntryDate],DATE(2026,10,31),tblDaily[WardCode],"FAE")),"")</f>
        <v/>
      </c>
      <c r="G388" s="12">
        <f>IFERROR(IF(SUMIFS(tblDaily[TransfersOut],tblDaily[EntryDate],DATE(2026,10,31),tblDaily[WardCode],"FAE")=0,"",SUMIFS(tblDaily[TransfersOut],tblDaily[EntryDate],DATE(2026,10,31),tblDaily[WardCode],"FAE")),"")</f>
        <v/>
      </c>
      <c r="H388" s="12">
        <f>IFERROR(IF(SUMIFS(tblDaily[Remaining],tblDaily[EntryDate],DATE(2026,10,31),tblDaily[WardCode],"FAE")=0,"",SUMIFS(tblDaily[Remaining],tblDaily[EntryDate],DATE(2026,10,31),tblDaily[WardCode],"FAE")),"")</f>
        <v/>
      </c>
    </row>
    <row r="389">
      <c r="A389" s="17" t="inlineStr">
        <is>
          <t>TOTAL</t>
        </is>
      </c>
      <c r="B389" s="17">
        <f>SUMIFS(tblDaily[Admissions],tblDaily[Month],10,tblDaily[WardCode],"FAE") - SUMIFS(tblDaily[DeathsUnder24Hrs],tblDaily[Month],10,tblDaily[WardCode],"FAE")</f>
        <v/>
      </c>
      <c r="C389" s="17">
        <f>SUMIFS(tblDaily[Discharges],tblDaily[Month],10,tblDaily[WardCode],"FAE")</f>
        <v/>
      </c>
      <c r="D389" s="17">
        <f>SUMIFS(tblDaily[Deaths],tblDaily[Month],10,tblDaily[WardCode],"FAE")</f>
        <v/>
      </c>
      <c r="E389" s="17">
        <f>SUMIFS(tblDaily[DeathsUnder24Hrs],tblDaily[Month],10,tblDaily[WardCode],"FAE")</f>
        <v/>
      </c>
      <c r="F389" s="17">
        <f>SUMIFS(tblDaily[TransfersIn],tblDaily[Month],10,tblDaily[WardCode],"FAE")</f>
        <v/>
      </c>
      <c r="G389" s="17">
        <f>SUMIFS(tblDaily[TransfersOut],tblDaily[Month],10,tblDaily[WardCode],"FAE")</f>
        <v/>
      </c>
      <c r="H389" s="17">
        <f>SUMIFS(tblDaily[Remaining],tblDaily[Month],10,tblDaily[WardCode],"FAE")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FEMALE EMERGENCY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4">
        <f>IFERROR(SUMIFS(tblDaily[Remaining],tblDaily[EntryDate],DATE(2026,10,31),tblDaily[WardCode],"FAE"),0)</f>
        <v/>
      </c>
    </row>
    <row r="395">
      <c r="A395" s="4" t="inlineStr">
        <is>
          <t>Bed complement</t>
        </is>
      </c>
      <c r="H395" s="15">
        <f>IFERROR(INDEX(tblWardConfig[BedComplement],MATCH("FAE",tblWardConfig[WardCode],0)),0)</f>
        <v/>
      </c>
    </row>
    <row r="396">
      <c r="A396" s="16" t="inlineStr">
        <is>
          <t>Day of
the
Month</t>
        </is>
      </c>
      <c r="B396" s="16" t="inlineStr">
        <is>
          <t>Admissions</t>
        </is>
      </c>
      <c r="C396" s="16" t="inlineStr">
        <is>
          <t>Discharges</t>
        </is>
      </c>
      <c r="D396" s="16" t="inlineStr">
        <is>
          <t>Deaths</t>
        </is>
      </c>
      <c r="E396" s="16" t="inlineStr">
        <is>
          <t>Deaths
&lt;24Hrs</t>
        </is>
      </c>
      <c r="F396" s="16" t="inlineStr">
        <is>
          <t>Transfers-
In</t>
        </is>
      </c>
      <c r="G396" s="16" t="inlineStr">
        <is>
          <t>Transfers-
Out</t>
        </is>
      </c>
      <c r="H396" s="16" t="inlineStr">
        <is>
          <t>No. of Patients
Remaining In
Ward</t>
        </is>
      </c>
    </row>
    <row r="397">
      <c r="A397" s="12" t="n">
        <v>1</v>
      </c>
      <c r="B397" s="12">
        <f>IFERROR(IF(SUMIFS(tblDaily[Admissions],tblDaily[EntryDate],DATE(2026,11,1),tblDaily[WardCode],"FAE")=0,"",SUMIFS(tblDaily[Admissions],tblDaily[EntryDate],DATE(2026,11,1),tblDaily[WardCode],"FAE")),"")</f>
        <v/>
      </c>
      <c r="C397" s="12">
        <f>IFERROR(IF(SUMIFS(tblDaily[Discharges],tblDaily[EntryDate],DATE(2026,11,1),tblDaily[WardCode],"FAE")=0,"",SUMIFS(tblDaily[Discharges],tblDaily[EntryDate],DATE(2026,11,1),tblDaily[WardCode],"FAE")),"")</f>
        <v/>
      </c>
      <c r="D397" s="12">
        <f>IFERROR(IF(SUMIFS(tblDaily[Deaths],tblDaily[EntryDate],DATE(2026,11,1),tblDaily[WardCode],"FAE")=0,"",SUMIFS(tblDaily[Deaths],tblDaily[EntryDate],DATE(2026,11,1),tblDaily[WardCode],"FAE")),"")</f>
        <v/>
      </c>
      <c r="E397" s="12">
        <f>IFERROR(IF(SUMIFS(tblDaily[DeathsUnder24Hrs],tblDaily[EntryDate],DATE(2026,11,1),tblDaily[WardCode],"FAE")=0,"",SUMIFS(tblDaily[DeathsUnder24Hrs],tblDaily[EntryDate],DATE(2026,11,1),tblDaily[WardCode],"FAE")),"")</f>
        <v/>
      </c>
      <c r="F397" s="12">
        <f>IFERROR(IF(SUMIFS(tblDaily[TransfersIn],tblDaily[EntryDate],DATE(2026,11,1),tblDaily[WardCode],"FAE")=0,"",SUMIFS(tblDaily[TransfersIn],tblDaily[EntryDate],DATE(2026,11,1),tblDaily[WardCode],"FAE")),"")</f>
        <v/>
      </c>
      <c r="G397" s="12">
        <f>IFERROR(IF(SUMIFS(tblDaily[TransfersOut],tblDaily[EntryDate],DATE(2026,11,1),tblDaily[WardCode],"FAE")=0,"",SUMIFS(tblDaily[TransfersOut],tblDaily[EntryDate],DATE(2026,11,1),tblDaily[WardCode],"FAE")),"")</f>
        <v/>
      </c>
      <c r="H397" s="12">
        <f>IFERROR(IF(SUMIFS(tblDaily[Remaining],tblDaily[EntryDate],DATE(2026,11,1),tblDaily[WardCode],"FAE")=0,"",SUMIFS(tblDaily[Remaining],tblDaily[EntryDate],DATE(2026,11,1),tblDaily[WardCode],"FAE")),"")</f>
        <v/>
      </c>
    </row>
    <row r="398">
      <c r="A398" s="12" t="n">
        <v>2</v>
      </c>
      <c r="B398" s="12">
        <f>IFERROR(IF(SUMIFS(tblDaily[Admissions],tblDaily[EntryDate],DATE(2026,11,2),tblDaily[WardCode],"FAE")=0,"",SUMIFS(tblDaily[Admissions],tblDaily[EntryDate],DATE(2026,11,2),tblDaily[WardCode],"FAE")),"")</f>
        <v/>
      </c>
      <c r="C398" s="12">
        <f>IFERROR(IF(SUMIFS(tblDaily[Discharges],tblDaily[EntryDate],DATE(2026,11,2),tblDaily[WardCode],"FAE")=0,"",SUMIFS(tblDaily[Discharges],tblDaily[EntryDate],DATE(2026,11,2),tblDaily[WardCode],"FAE")),"")</f>
        <v/>
      </c>
      <c r="D398" s="12">
        <f>IFERROR(IF(SUMIFS(tblDaily[Deaths],tblDaily[EntryDate],DATE(2026,11,2),tblDaily[WardCode],"FAE")=0,"",SUMIFS(tblDaily[Deaths],tblDaily[EntryDate],DATE(2026,11,2),tblDaily[WardCode],"FAE")),"")</f>
        <v/>
      </c>
      <c r="E398" s="12">
        <f>IFERROR(IF(SUMIFS(tblDaily[DeathsUnder24Hrs],tblDaily[EntryDate],DATE(2026,11,2),tblDaily[WardCode],"FAE")=0,"",SUMIFS(tblDaily[DeathsUnder24Hrs],tblDaily[EntryDate],DATE(2026,11,2),tblDaily[WardCode],"FAE")),"")</f>
        <v/>
      </c>
      <c r="F398" s="12">
        <f>IFERROR(IF(SUMIFS(tblDaily[TransfersIn],tblDaily[EntryDate],DATE(2026,11,2),tblDaily[WardCode],"FAE")=0,"",SUMIFS(tblDaily[TransfersIn],tblDaily[EntryDate],DATE(2026,11,2),tblDaily[WardCode],"FAE")),"")</f>
        <v/>
      </c>
      <c r="G398" s="12">
        <f>IFERROR(IF(SUMIFS(tblDaily[TransfersOut],tblDaily[EntryDate],DATE(2026,11,2),tblDaily[WardCode],"FAE")=0,"",SUMIFS(tblDaily[TransfersOut],tblDaily[EntryDate],DATE(2026,11,2),tblDaily[WardCode],"FAE")),"")</f>
        <v/>
      </c>
      <c r="H398" s="12">
        <f>IFERROR(IF(SUMIFS(tblDaily[Remaining],tblDaily[EntryDate],DATE(2026,11,2),tblDaily[WardCode],"FAE")=0,"",SUMIFS(tblDaily[Remaining],tblDaily[EntryDate],DATE(2026,11,2),tblDaily[WardCode],"FAE")),"")</f>
        <v/>
      </c>
    </row>
    <row r="399">
      <c r="A399" s="12" t="n">
        <v>3</v>
      </c>
      <c r="B399" s="12">
        <f>IFERROR(IF(SUMIFS(tblDaily[Admissions],tblDaily[EntryDate],DATE(2026,11,3),tblDaily[WardCode],"FAE")=0,"",SUMIFS(tblDaily[Admissions],tblDaily[EntryDate],DATE(2026,11,3),tblDaily[WardCode],"FAE")),"")</f>
        <v/>
      </c>
      <c r="C399" s="12">
        <f>IFERROR(IF(SUMIFS(tblDaily[Discharges],tblDaily[EntryDate],DATE(2026,11,3),tblDaily[WardCode],"FAE")=0,"",SUMIFS(tblDaily[Discharges],tblDaily[EntryDate],DATE(2026,11,3),tblDaily[WardCode],"FAE")),"")</f>
        <v/>
      </c>
      <c r="D399" s="12">
        <f>IFERROR(IF(SUMIFS(tblDaily[Deaths],tblDaily[EntryDate],DATE(2026,11,3),tblDaily[WardCode],"FAE")=0,"",SUMIFS(tblDaily[Deaths],tblDaily[EntryDate],DATE(2026,11,3),tblDaily[WardCode],"FAE")),"")</f>
        <v/>
      </c>
      <c r="E399" s="12">
        <f>IFERROR(IF(SUMIFS(tblDaily[DeathsUnder24Hrs],tblDaily[EntryDate],DATE(2026,11,3),tblDaily[WardCode],"FAE")=0,"",SUMIFS(tblDaily[DeathsUnder24Hrs],tblDaily[EntryDate],DATE(2026,11,3),tblDaily[WardCode],"FAE")),"")</f>
        <v/>
      </c>
      <c r="F399" s="12">
        <f>IFERROR(IF(SUMIFS(tblDaily[TransfersIn],tblDaily[EntryDate],DATE(2026,11,3),tblDaily[WardCode],"FAE")=0,"",SUMIFS(tblDaily[TransfersIn],tblDaily[EntryDate],DATE(2026,11,3),tblDaily[WardCode],"FAE")),"")</f>
        <v/>
      </c>
      <c r="G399" s="12">
        <f>IFERROR(IF(SUMIFS(tblDaily[TransfersOut],tblDaily[EntryDate],DATE(2026,11,3),tblDaily[WardCode],"FAE")=0,"",SUMIFS(tblDaily[TransfersOut],tblDaily[EntryDate],DATE(2026,11,3),tblDaily[WardCode],"FAE")),"")</f>
        <v/>
      </c>
      <c r="H399" s="12">
        <f>IFERROR(IF(SUMIFS(tblDaily[Remaining],tblDaily[EntryDate],DATE(2026,11,3),tblDaily[WardCode],"FAE")=0,"",SUMIFS(tblDaily[Remaining],tblDaily[EntryDate],DATE(2026,11,3),tblDaily[WardCode],"FAE")),"")</f>
        <v/>
      </c>
    </row>
    <row r="400">
      <c r="A400" s="12" t="n">
        <v>4</v>
      </c>
      <c r="B400" s="12">
        <f>IFERROR(IF(SUMIFS(tblDaily[Admissions],tblDaily[EntryDate],DATE(2026,11,4),tblDaily[WardCode],"FAE")=0,"",SUMIFS(tblDaily[Admissions],tblDaily[EntryDate],DATE(2026,11,4),tblDaily[WardCode],"FAE")),"")</f>
        <v/>
      </c>
      <c r="C400" s="12">
        <f>IFERROR(IF(SUMIFS(tblDaily[Discharges],tblDaily[EntryDate],DATE(2026,11,4),tblDaily[WardCode],"FAE")=0,"",SUMIFS(tblDaily[Discharges],tblDaily[EntryDate],DATE(2026,11,4),tblDaily[WardCode],"FAE")),"")</f>
        <v/>
      </c>
      <c r="D400" s="12">
        <f>IFERROR(IF(SUMIFS(tblDaily[Deaths],tblDaily[EntryDate],DATE(2026,11,4),tblDaily[WardCode],"FAE")=0,"",SUMIFS(tblDaily[Deaths],tblDaily[EntryDate],DATE(2026,11,4),tblDaily[WardCode],"FAE")),"")</f>
        <v/>
      </c>
      <c r="E400" s="12">
        <f>IFERROR(IF(SUMIFS(tblDaily[DeathsUnder24Hrs],tblDaily[EntryDate],DATE(2026,11,4),tblDaily[WardCode],"FAE")=0,"",SUMIFS(tblDaily[DeathsUnder24Hrs],tblDaily[EntryDate],DATE(2026,11,4),tblDaily[WardCode],"FAE")),"")</f>
        <v/>
      </c>
      <c r="F400" s="12">
        <f>IFERROR(IF(SUMIFS(tblDaily[TransfersIn],tblDaily[EntryDate],DATE(2026,11,4),tblDaily[WardCode],"FAE")=0,"",SUMIFS(tblDaily[TransfersIn],tblDaily[EntryDate],DATE(2026,11,4),tblDaily[WardCode],"FAE")),"")</f>
        <v/>
      </c>
      <c r="G400" s="12">
        <f>IFERROR(IF(SUMIFS(tblDaily[TransfersOut],tblDaily[EntryDate],DATE(2026,11,4),tblDaily[WardCode],"FAE")=0,"",SUMIFS(tblDaily[TransfersOut],tblDaily[EntryDate],DATE(2026,11,4),tblDaily[WardCode],"FAE")),"")</f>
        <v/>
      </c>
      <c r="H400" s="12">
        <f>IFERROR(IF(SUMIFS(tblDaily[Remaining],tblDaily[EntryDate],DATE(2026,11,4),tblDaily[WardCode],"FAE")=0,"",SUMIFS(tblDaily[Remaining],tblDaily[EntryDate],DATE(2026,11,4),tblDaily[WardCode],"FAE")),"")</f>
        <v/>
      </c>
    </row>
    <row r="401">
      <c r="A401" s="12" t="n">
        <v>5</v>
      </c>
      <c r="B401" s="12">
        <f>IFERROR(IF(SUMIFS(tblDaily[Admissions],tblDaily[EntryDate],DATE(2026,11,5),tblDaily[WardCode],"FAE")=0,"",SUMIFS(tblDaily[Admissions],tblDaily[EntryDate],DATE(2026,11,5),tblDaily[WardCode],"FAE")),"")</f>
        <v/>
      </c>
      <c r="C401" s="12">
        <f>IFERROR(IF(SUMIFS(tblDaily[Discharges],tblDaily[EntryDate],DATE(2026,11,5),tblDaily[WardCode],"FAE")=0,"",SUMIFS(tblDaily[Discharges],tblDaily[EntryDate],DATE(2026,11,5),tblDaily[WardCode],"FAE")),"")</f>
        <v/>
      </c>
      <c r="D401" s="12">
        <f>IFERROR(IF(SUMIFS(tblDaily[Deaths],tblDaily[EntryDate],DATE(2026,11,5),tblDaily[WardCode],"FAE")=0,"",SUMIFS(tblDaily[Deaths],tblDaily[EntryDate],DATE(2026,11,5),tblDaily[WardCode],"FAE")),"")</f>
        <v/>
      </c>
      <c r="E401" s="12">
        <f>IFERROR(IF(SUMIFS(tblDaily[DeathsUnder24Hrs],tblDaily[EntryDate],DATE(2026,11,5),tblDaily[WardCode],"FAE")=0,"",SUMIFS(tblDaily[DeathsUnder24Hrs],tblDaily[EntryDate],DATE(2026,11,5),tblDaily[WardCode],"FAE")),"")</f>
        <v/>
      </c>
      <c r="F401" s="12">
        <f>IFERROR(IF(SUMIFS(tblDaily[TransfersIn],tblDaily[EntryDate],DATE(2026,11,5),tblDaily[WardCode],"FAE")=0,"",SUMIFS(tblDaily[TransfersIn],tblDaily[EntryDate],DATE(2026,11,5),tblDaily[WardCode],"FAE")),"")</f>
        <v/>
      </c>
      <c r="G401" s="12">
        <f>IFERROR(IF(SUMIFS(tblDaily[TransfersOut],tblDaily[EntryDate],DATE(2026,11,5),tblDaily[WardCode],"FAE")=0,"",SUMIFS(tblDaily[TransfersOut],tblDaily[EntryDate],DATE(2026,11,5),tblDaily[WardCode],"FAE")),"")</f>
        <v/>
      </c>
      <c r="H401" s="12">
        <f>IFERROR(IF(SUMIFS(tblDaily[Remaining],tblDaily[EntryDate],DATE(2026,11,5),tblDaily[WardCode],"FAE")=0,"",SUMIFS(tblDaily[Remaining],tblDaily[EntryDate],DATE(2026,11,5),tblDaily[WardCode],"FAE")),"")</f>
        <v/>
      </c>
    </row>
    <row r="402">
      <c r="A402" s="12" t="n">
        <v>6</v>
      </c>
      <c r="B402" s="12">
        <f>IFERROR(IF(SUMIFS(tblDaily[Admissions],tblDaily[EntryDate],DATE(2026,11,6),tblDaily[WardCode],"FAE")=0,"",SUMIFS(tblDaily[Admissions],tblDaily[EntryDate],DATE(2026,11,6),tblDaily[WardCode],"FAE")),"")</f>
        <v/>
      </c>
      <c r="C402" s="12">
        <f>IFERROR(IF(SUMIFS(tblDaily[Discharges],tblDaily[EntryDate],DATE(2026,11,6),tblDaily[WardCode],"FAE")=0,"",SUMIFS(tblDaily[Discharges],tblDaily[EntryDate],DATE(2026,11,6),tblDaily[WardCode],"FAE")),"")</f>
        <v/>
      </c>
      <c r="D402" s="12">
        <f>IFERROR(IF(SUMIFS(tblDaily[Deaths],tblDaily[EntryDate],DATE(2026,11,6),tblDaily[WardCode],"FAE")=0,"",SUMIFS(tblDaily[Deaths],tblDaily[EntryDate],DATE(2026,11,6),tblDaily[WardCode],"FAE")),"")</f>
        <v/>
      </c>
      <c r="E402" s="12">
        <f>IFERROR(IF(SUMIFS(tblDaily[DeathsUnder24Hrs],tblDaily[EntryDate],DATE(2026,11,6),tblDaily[WardCode],"FAE")=0,"",SUMIFS(tblDaily[DeathsUnder24Hrs],tblDaily[EntryDate],DATE(2026,11,6),tblDaily[WardCode],"FAE")),"")</f>
        <v/>
      </c>
      <c r="F402" s="12">
        <f>IFERROR(IF(SUMIFS(tblDaily[TransfersIn],tblDaily[EntryDate],DATE(2026,11,6),tblDaily[WardCode],"FAE")=0,"",SUMIFS(tblDaily[TransfersIn],tblDaily[EntryDate],DATE(2026,11,6),tblDaily[WardCode],"FAE")),"")</f>
        <v/>
      </c>
      <c r="G402" s="12">
        <f>IFERROR(IF(SUMIFS(tblDaily[TransfersOut],tblDaily[EntryDate],DATE(2026,11,6),tblDaily[WardCode],"FAE")=0,"",SUMIFS(tblDaily[TransfersOut],tblDaily[EntryDate],DATE(2026,11,6),tblDaily[WardCode],"FAE")),"")</f>
        <v/>
      </c>
      <c r="H402" s="12">
        <f>IFERROR(IF(SUMIFS(tblDaily[Remaining],tblDaily[EntryDate],DATE(2026,11,6),tblDaily[WardCode],"FAE")=0,"",SUMIFS(tblDaily[Remaining],tblDaily[EntryDate],DATE(2026,11,6),tblDaily[WardCode],"FAE")),"")</f>
        <v/>
      </c>
    </row>
    <row r="403">
      <c r="A403" s="12" t="n">
        <v>7</v>
      </c>
      <c r="B403" s="12">
        <f>IFERROR(IF(SUMIFS(tblDaily[Admissions],tblDaily[EntryDate],DATE(2026,11,7),tblDaily[WardCode],"FAE")=0,"",SUMIFS(tblDaily[Admissions],tblDaily[EntryDate],DATE(2026,11,7),tblDaily[WardCode],"FAE")),"")</f>
        <v/>
      </c>
      <c r="C403" s="12">
        <f>IFERROR(IF(SUMIFS(tblDaily[Discharges],tblDaily[EntryDate],DATE(2026,11,7),tblDaily[WardCode],"FAE")=0,"",SUMIFS(tblDaily[Discharges],tblDaily[EntryDate],DATE(2026,11,7),tblDaily[WardCode],"FAE")),"")</f>
        <v/>
      </c>
      <c r="D403" s="12">
        <f>IFERROR(IF(SUMIFS(tblDaily[Deaths],tblDaily[EntryDate],DATE(2026,11,7),tblDaily[WardCode],"FAE")=0,"",SUMIFS(tblDaily[Deaths],tblDaily[EntryDate],DATE(2026,11,7),tblDaily[WardCode],"FAE")),"")</f>
        <v/>
      </c>
      <c r="E403" s="12">
        <f>IFERROR(IF(SUMIFS(tblDaily[DeathsUnder24Hrs],tblDaily[EntryDate],DATE(2026,11,7),tblDaily[WardCode],"FAE")=0,"",SUMIFS(tblDaily[DeathsUnder24Hrs],tblDaily[EntryDate],DATE(2026,11,7),tblDaily[WardCode],"FAE")),"")</f>
        <v/>
      </c>
      <c r="F403" s="12">
        <f>IFERROR(IF(SUMIFS(tblDaily[TransfersIn],tblDaily[EntryDate],DATE(2026,11,7),tblDaily[WardCode],"FAE")=0,"",SUMIFS(tblDaily[TransfersIn],tblDaily[EntryDate],DATE(2026,11,7),tblDaily[WardCode],"FAE")),"")</f>
        <v/>
      </c>
      <c r="G403" s="12">
        <f>IFERROR(IF(SUMIFS(tblDaily[TransfersOut],tblDaily[EntryDate],DATE(2026,11,7),tblDaily[WardCode],"FAE")=0,"",SUMIFS(tblDaily[TransfersOut],tblDaily[EntryDate],DATE(2026,11,7),tblDaily[WardCode],"FAE")),"")</f>
        <v/>
      </c>
      <c r="H403" s="12">
        <f>IFERROR(IF(SUMIFS(tblDaily[Remaining],tblDaily[EntryDate],DATE(2026,11,7),tblDaily[WardCode],"FAE")=0,"",SUMIFS(tblDaily[Remaining],tblDaily[EntryDate],DATE(2026,11,7),tblDaily[WardCode],"FAE")),"")</f>
        <v/>
      </c>
    </row>
    <row r="404">
      <c r="A404" s="12" t="n">
        <v>8</v>
      </c>
      <c r="B404" s="12">
        <f>IFERROR(IF(SUMIFS(tblDaily[Admissions],tblDaily[EntryDate],DATE(2026,11,8),tblDaily[WardCode],"FAE")=0,"",SUMIFS(tblDaily[Admissions],tblDaily[EntryDate],DATE(2026,11,8),tblDaily[WardCode],"FAE")),"")</f>
        <v/>
      </c>
      <c r="C404" s="12">
        <f>IFERROR(IF(SUMIFS(tblDaily[Discharges],tblDaily[EntryDate],DATE(2026,11,8),tblDaily[WardCode],"FAE")=0,"",SUMIFS(tblDaily[Discharges],tblDaily[EntryDate],DATE(2026,11,8),tblDaily[WardCode],"FAE")),"")</f>
        <v/>
      </c>
      <c r="D404" s="12">
        <f>IFERROR(IF(SUMIFS(tblDaily[Deaths],tblDaily[EntryDate],DATE(2026,11,8),tblDaily[WardCode],"FAE")=0,"",SUMIFS(tblDaily[Deaths],tblDaily[EntryDate],DATE(2026,11,8),tblDaily[WardCode],"FAE")),"")</f>
        <v/>
      </c>
      <c r="E404" s="12">
        <f>IFERROR(IF(SUMIFS(tblDaily[DeathsUnder24Hrs],tblDaily[EntryDate],DATE(2026,11,8),tblDaily[WardCode],"FAE")=0,"",SUMIFS(tblDaily[DeathsUnder24Hrs],tblDaily[EntryDate],DATE(2026,11,8),tblDaily[WardCode],"FAE")),"")</f>
        <v/>
      </c>
      <c r="F404" s="12">
        <f>IFERROR(IF(SUMIFS(tblDaily[TransfersIn],tblDaily[EntryDate],DATE(2026,11,8),tblDaily[WardCode],"FAE")=0,"",SUMIFS(tblDaily[TransfersIn],tblDaily[EntryDate],DATE(2026,11,8),tblDaily[WardCode],"FAE")),"")</f>
        <v/>
      </c>
      <c r="G404" s="12">
        <f>IFERROR(IF(SUMIFS(tblDaily[TransfersOut],tblDaily[EntryDate],DATE(2026,11,8),tblDaily[WardCode],"FAE")=0,"",SUMIFS(tblDaily[TransfersOut],tblDaily[EntryDate],DATE(2026,11,8),tblDaily[WardCode],"FAE")),"")</f>
        <v/>
      </c>
      <c r="H404" s="12">
        <f>IFERROR(IF(SUMIFS(tblDaily[Remaining],tblDaily[EntryDate],DATE(2026,11,8),tblDaily[WardCode],"FAE")=0,"",SUMIFS(tblDaily[Remaining],tblDaily[EntryDate],DATE(2026,11,8),tblDaily[WardCode],"FAE")),"")</f>
        <v/>
      </c>
    </row>
    <row r="405">
      <c r="A405" s="12" t="n">
        <v>9</v>
      </c>
      <c r="B405" s="12">
        <f>IFERROR(IF(SUMIFS(tblDaily[Admissions],tblDaily[EntryDate],DATE(2026,11,9),tblDaily[WardCode],"FAE")=0,"",SUMIFS(tblDaily[Admissions],tblDaily[EntryDate],DATE(2026,11,9),tblDaily[WardCode],"FAE")),"")</f>
        <v/>
      </c>
      <c r="C405" s="12">
        <f>IFERROR(IF(SUMIFS(tblDaily[Discharges],tblDaily[EntryDate],DATE(2026,11,9),tblDaily[WardCode],"FAE")=0,"",SUMIFS(tblDaily[Discharges],tblDaily[EntryDate],DATE(2026,11,9),tblDaily[WardCode],"FAE")),"")</f>
        <v/>
      </c>
      <c r="D405" s="12">
        <f>IFERROR(IF(SUMIFS(tblDaily[Deaths],tblDaily[EntryDate],DATE(2026,11,9),tblDaily[WardCode],"FAE")=0,"",SUMIFS(tblDaily[Deaths],tblDaily[EntryDate],DATE(2026,11,9),tblDaily[WardCode],"FAE")),"")</f>
        <v/>
      </c>
      <c r="E405" s="12">
        <f>IFERROR(IF(SUMIFS(tblDaily[DeathsUnder24Hrs],tblDaily[EntryDate],DATE(2026,11,9),tblDaily[WardCode],"FAE")=0,"",SUMIFS(tblDaily[DeathsUnder24Hrs],tblDaily[EntryDate],DATE(2026,11,9),tblDaily[WardCode],"FAE")),"")</f>
        <v/>
      </c>
      <c r="F405" s="12">
        <f>IFERROR(IF(SUMIFS(tblDaily[TransfersIn],tblDaily[EntryDate],DATE(2026,11,9),tblDaily[WardCode],"FAE")=0,"",SUMIFS(tblDaily[TransfersIn],tblDaily[EntryDate],DATE(2026,11,9),tblDaily[WardCode],"FAE")),"")</f>
        <v/>
      </c>
      <c r="G405" s="12">
        <f>IFERROR(IF(SUMIFS(tblDaily[TransfersOut],tblDaily[EntryDate],DATE(2026,11,9),tblDaily[WardCode],"FAE")=0,"",SUMIFS(tblDaily[TransfersOut],tblDaily[EntryDate],DATE(2026,11,9),tblDaily[WardCode],"FAE")),"")</f>
        <v/>
      </c>
      <c r="H405" s="12">
        <f>IFERROR(IF(SUMIFS(tblDaily[Remaining],tblDaily[EntryDate],DATE(2026,11,9),tblDaily[WardCode],"FAE")=0,"",SUMIFS(tblDaily[Remaining],tblDaily[EntryDate],DATE(2026,11,9),tblDaily[WardCode],"FAE")),"")</f>
        <v/>
      </c>
    </row>
    <row r="406">
      <c r="A406" s="12" t="n">
        <v>10</v>
      </c>
      <c r="B406" s="12">
        <f>IFERROR(IF(SUMIFS(tblDaily[Admissions],tblDaily[EntryDate],DATE(2026,11,10),tblDaily[WardCode],"FAE")=0,"",SUMIFS(tblDaily[Admissions],tblDaily[EntryDate],DATE(2026,11,10),tblDaily[WardCode],"FAE")),"")</f>
        <v/>
      </c>
      <c r="C406" s="12">
        <f>IFERROR(IF(SUMIFS(tblDaily[Discharges],tblDaily[EntryDate],DATE(2026,11,10),tblDaily[WardCode],"FAE")=0,"",SUMIFS(tblDaily[Discharges],tblDaily[EntryDate],DATE(2026,11,10),tblDaily[WardCode],"FAE")),"")</f>
        <v/>
      </c>
      <c r="D406" s="12">
        <f>IFERROR(IF(SUMIFS(tblDaily[Deaths],tblDaily[EntryDate],DATE(2026,11,10),tblDaily[WardCode],"FAE")=0,"",SUMIFS(tblDaily[Deaths],tblDaily[EntryDate],DATE(2026,11,10),tblDaily[WardCode],"FAE")),"")</f>
        <v/>
      </c>
      <c r="E406" s="12">
        <f>IFERROR(IF(SUMIFS(tblDaily[DeathsUnder24Hrs],tblDaily[EntryDate],DATE(2026,11,10),tblDaily[WardCode],"FAE")=0,"",SUMIFS(tblDaily[DeathsUnder24Hrs],tblDaily[EntryDate],DATE(2026,11,10),tblDaily[WardCode],"FAE")),"")</f>
        <v/>
      </c>
      <c r="F406" s="12">
        <f>IFERROR(IF(SUMIFS(tblDaily[TransfersIn],tblDaily[EntryDate],DATE(2026,11,10),tblDaily[WardCode],"FAE")=0,"",SUMIFS(tblDaily[TransfersIn],tblDaily[EntryDate],DATE(2026,11,10),tblDaily[WardCode],"FAE")),"")</f>
        <v/>
      </c>
      <c r="G406" s="12">
        <f>IFERROR(IF(SUMIFS(tblDaily[TransfersOut],tblDaily[EntryDate],DATE(2026,11,10),tblDaily[WardCode],"FAE")=0,"",SUMIFS(tblDaily[TransfersOut],tblDaily[EntryDate],DATE(2026,11,10),tblDaily[WardCode],"FAE")),"")</f>
        <v/>
      </c>
      <c r="H406" s="12">
        <f>IFERROR(IF(SUMIFS(tblDaily[Remaining],tblDaily[EntryDate],DATE(2026,11,10),tblDaily[WardCode],"FAE")=0,"",SUMIFS(tblDaily[Remaining],tblDaily[EntryDate],DATE(2026,11,10),tblDaily[WardCode],"FAE")),"")</f>
        <v/>
      </c>
    </row>
    <row r="407">
      <c r="A407" s="12" t="n">
        <v>11</v>
      </c>
      <c r="B407" s="12">
        <f>IFERROR(IF(SUMIFS(tblDaily[Admissions],tblDaily[EntryDate],DATE(2026,11,11),tblDaily[WardCode],"FAE")=0,"",SUMIFS(tblDaily[Admissions],tblDaily[EntryDate],DATE(2026,11,11),tblDaily[WardCode],"FAE")),"")</f>
        <v/>
      </c>
      <c r="C407" s="12">
        <f>IFERROR(IF(SUMIFS(tblDaily[Discharges],tblDaily[EntryDate],DATE(2026,11,11),tblDaily[WardCode],"FAE")=0,"",SUMIFS(tblDaily[Discharges],tblDaily[EntryDate],DATE(2026,11,11),tblDaily[WardCode],"FAE")),"")</f>
        <v/>
      </c>
      <c r="D407" s="12">
        <f>IFERROR(IF(SUMIFS(tblDaily[Deaths],tblDaily[EntryDate],DATE(2026,11,11),tblDaily[WardCode],"FAE")=0,"",SUMIFS(tblDaily[Deaths],tblDaily[EntryDate],DATE(2026,11,11),tblDaily[WardCode],"FAE")),"")</f>
        <v/>
      </c>
      <c r="E407" s="12">
        <f>IFERROR(IF(SUMIFS(tblDaily[DeathsUnder24Hrs],tblDaily[EntryDate],DATE(2026,11,11),tblDaily[WardCode],"FAE")=0,"",SUMIFS(tblDaily[DeathsUnder24Hrs],tblDaily[EntryDate],DATE(2026,11,11),tblDaily[WardCode],"FAE")),"")</f>
        <v/>
      </c>
      <c r="F407" s="12">
        <f>IFERROR(IF(SUMIFS(tblDaily[TransfersIn],tblDaily[EntryDate],DATE(2026,11,11),tblDaily[WardCode],"FAE")=0,"",SUMIFS(tblDaily[TransfersIn],tblDaily[EntryDate],DATE(2026,11,11),tblDaily[WardCode],"FAE")),"")</f>
        <v/>
      </c>
      <c r="G407" s="12">
        <f>IFERROR(IF(SUMIFS(tblDaily[TransfersOut],tblDaily[EntryDate],DATE(2026,11,11),tblDaily[WardCode],"FAE")=0,"",SUMIFS(tblDaily[TransfersOut],tblDaily[EntryDate],DATE(2026,11,11),tblDaily[WardCode],"FAE")),"")</f>
        <v/>
      </c>
      <c r="H407" s="12">
        <f>IFERROR(IF(SUMIFS(tblDaily[Remaining],tblDaily[EntryDate],DATE(2026,11,11),tblDaily[WardCode],"FAE")=0,"",SUMIFS(tblDaily[Remaining],tblDaily[EntryDate],DATE(2026,11,11),tblDaily[WardCode],"FAE")),"")</f>
        <v/>
      </c>
    </row>
    <row r="408">
      <c r="A408" s="12" t="n">
        <v>12</v>
      </c>
      <c r="B408" s="12">
        <f>IFERROR(IF(SUMIFS(tblDaily[Admissions],tblDaily[EntryDate],DATE(2026,11,12),tblDaily[WardCode],"FAE")=0,"",SUMIFS(tblDaily[Admissions],tblDaily[EntryDate],DATE(2026,11,12),tblDaily[WardCode],"FAE")),"")</f>
        <v/>
      </c>
      <c r="C408" s="12">
        <f>IFERROR(IF(SUMIFS(tblDaily[Discharges],tblDaily[EntryDate],DATE(2026,11,12),tblDaily[WardCode],"FAE")=0,"",SUMIFS(tblDaily[Discharges],tblDaily[EntryDate],DATE(2026,11,12),tblDaily[WardCode],"FAE")),"")</f>
        <v/>
      </c>
      <c r="D408" s="12">
        <f>IFERROR(IF(SUMIFS(tblDaily[Deaths],tblDaily[EntryDate],DATE(2026,11,12),tblDaily[WardCode],"FAE")=0,"",SUMIFS(tblDaily[Deaths],tblDaily[EntryDate],DATE(2026,11,12),tblDaily[WardCode],"FAE")),"")</f>
        <v/>
      </c>
      <c r="E408" s="12">
        <f>IFERROR(IF(SUMIFS(tblDaily[DeathsUnder24Hrs],tblDaily[EntryDate],DATE(2026,11,12),tblDaily[WardCode],"FAE")=0,"",SUMIFS(tblDaily[DeathsUnder24Hrs],tblDaily[EntryDate],DATE(2026,11,12),tblDaily[WardCode],"FAE")),"")</f>
        <v/>
      </c>
      <c r="F408" s="12">
        <f>IFERROR(IF(SUMIFS(tblDaily[TransfersIn],tblDaily[EntryDate],DATE(2026,11,12),tblDaily[WardCode],"FAE")=0,"",SUMIFS(tblDaily[TransfersIn],tblDaily[EntryDate],DATE(2026,11,12),tblDaily[WardCode],"FAE")),"")</f>
        <v/>
      </c>
      <c r="G408" s="12">
        <f>IFERROR(IF(SUMIFS(tblDaily[TransfersOut],tblDaily[EntryDate],DATE(2026,11,12),tblDaily[WardCode],"FAE")=0,"",SUMIFS(tblDaily[TransfersOut],tblDaily[EntryDate],DATE(2026,11,12),tblDaily[WardCode],"FAE")),"")</f>
        <v/>
      </c>
      <c r="H408" s="12">
        <f>IFERROR(IF(SUMIFS(tblDaily[Remaining],tblDaily[EntryDate],DATE(2026,11,12),tblDaily[WardCode],"FAE")=0,"",SUMIFS(tblDaily[Remaining],tblDaily[EntryDate],DATE(2026,11,12),tblDaily[WardCode],"FAE")),"")</f>
        <v/>
      </c>
    </row>
    <row r="409">
      <c r="A409" s="12" t="n">
        <v>13</v>
      </c>
      <c r="B409" s="12">
        <f>IFERROR(IF(SUMIFS(tblDaily[Admissions],tblDaily[EntryDate],DATE(2026,11,13),tblDaily[WardCode],"FAE")=0,"",SUMIFS(tblDaily[Admissions],tblDaily[EntryDate],DATE(2026,11,13),tblDaily[WardCode],"FAE")),"")</f>
        <v/>
      </c>
      <c r="C409" s="12">
        <f>IFERROR(IF(SUMIFS(tblDaily[Discharges],tblDaily[EntryDate],DATE(2026,11,13),tblDaily[WardCode],"FAE")=0,"",SUMIFS(tblDaily[Discharges],tblDaily[EntryDate],DATE(2026,11,13),tblDaily[WardCode],"FAE")),"")</f>
        <v/>
      </c>
      <c r="D409" s="12">
        <f>IFERROR(IF(SUMIFS(tblDaily[Deaths],tblDaily[EntryDate],DATE(2026,11,13),tblDaily[WardCode],"FAE")=0,"",SUMIFS(tblDaily[Deaths],tblDaily[EntryDate],DATE(2026,11,13),tblDaily[WardCode],"FAE")),"")</f>
        <v/>
      </c>
      <c r="E409" s="12">
        <f>IFERROR(IF(SUMIFS(tblDaily[DeathsUnder24Hrs],tblDaily[EntryDate],DATE(2026,11,13),tblDaily[WardCode],"FAE")=0,"",SUMIFS(tblDaily[DeathsUnder24Hrs],tblDaily[EntryDate],DATE(2026,11,13),tblDaily[WardCode],"FAE")),"")</f>
        <v/>
      </c>
      <c r="F409" s="12">
        <f>IFERROR(IF(SUMIFS(tblDaily[TransfersIn],tblDaily[EntryDate],DATE(2026,11,13),tblDaily[WardCode],"FAE")=0,"",SUMIFS(tblDaily[TransfersIn],tblDaily[EntryDate],DATE(2026,11,13),tblDaily[WardCode],"FAE")),"")</f>
        <v/>
      </c>
      <c r="G409" s="12">
        <f>IFERROR(IF(SUMIFS(tblDaily[TransfersOut],tblDaily[EntryDate],DATE(2026,11,13),tblDaily[WardCode],"FAE")=0,"",SUMIFS(tblDaily[TransfersOut],tblDaily[EntryDate],DATE(2026,11,13),tblDaily[WardCode],"FAE")),"")</f>
        <v/>
      </c>
      <c r="H409" s="12">
        <f>IFERROR(IF(SUMIFS(tblDaily[Remaining],tblDaily[EntryDate],DATE(2026,11,13),tblDaily[WardCode],"FAE")=0,"",SUMIFS(tblDaily[Remaining],tblDaily[EntryDate],DATE(2026,11,13),tblDaily[WardCode],"FAE")),"")</f>
        <v/>
      </c>
    </row>
    <row r="410">
      <c r="A410" s="12" t="n">
        <v>14</v>
      </c>
      <c r="B410" s="12">
        <f>IFERROR(IF(SUMIFS(tblDaily[Admissions],tblDaily[EntryDate],DATE(2026,11,14),tblDaily[WardCode],"FAE")=0,"",SUMIFS(tblDaily[Admissions],tblDaily[EntryDate],DATE(2026,11,14),tblDaily[WardCode],"FAE")),"")</f>
        <v/>
      </c>
      <c r="C410" s="12">
        <f>IFERROR(IF(SUMIFS(tblDaily[Discharges],tblDaily[EntryDate],DATE(2026,11,14),tblDaily[WardCode],"FAE")=0,"",SUMIFS(tblDaily[Discharges],tblDaily[EntryDate],DATE(2026,11,14),tblDaily[WardCode],"FAE")),"")</f>
        <v/>
      </c>
      <c r="D410" s="12">
        <f>IFERROR(IF(SUMIFS(tblDaily[Deaths],tblDaily[EntryDate],DATE(2026,11,14),tblDaily[WardCode],"FAE")=0,"",SUMIFS(tblDaily[Deaths],tblDaily[EntryDate],DATE(2026,11,14),tblDaily[WardCode],"FAE")),"")</f>
        <v/>
      </c>
      <c r="E410" s="12">
        <f>IFERROR(IF(SUMIFS(tblDaily[DeathsUnder24Hrs],tblDaily[EntryDate],DATE(2026,11,14),tblDaily[WardCode],"FAE")=0,"",SUMIFS(tblDaily[DeathsUnder24Hrs],tblDaily[EntryDate],DATE(2026,11,14),tblDaily[WardCode],"FAE")),"")</f>
        <v/>
      </c>
      <c r="F410" s="12">
        <f>IFERROR(IF(SUMIFS(tblDaily[TransfersIn],tblDaily[EntryDate],DATE(2026,11,14),tblDaily[WardCode],"FAE")=0,"",SUMIFS(tblDaily[TransfersIn],tblDaily[EntryDate],DATE(2026,11,14),tblDaily[WardCode],"FAE")),"")</f>
        <v/>
      </c>
      <c r="G410" s="12">
        <f>IFERROR(IF(SUMIFS(tblDaily[TransfersOut],tblDaily[EntryDate],DATE(2026,11,14),tblDaily[WardCode],"FAE")=0,"",SUMIFS(tblDaily[TransfersOut],tblDaily[EntryDate],DATE(2026,11,14),tblDaily[WardCode],"FAE")),"")</f>
        <v/>
      </c>
      <c r="H410" s="12">
        <f>IFERROR(IF(SUMIFS(tblDaily[Remaining],tblDaily[EntryDate],DATE(2026,11,14),tblDaily[WardCode],"FAE")=0,"",SUMIFS(tblDaily[Remaining],tblDaily[EntryDate],DATE(2026,11,14),tblDaily[WardCode],"FAE")),"")</f>
        <v/>
      </c>
    </row>
    <row r="411">
      <c r="A411" s="12" t="n">
        <v>15</v>
      </c>
      <c r="B411" s="12">
        <f>IFERROR(IF(SUMIFS(tblDaily[Admissions],tblDaily[EntryDate],DATE(2026,11,15),tblDaily[WardCode],"FAE")=0,"",SUMIFS(tblDaily[Admissions],tblDaily[EntryDate],DATE(2026,11,15),tblDaily[WardCode],"FAE")),"")</f>
        <v/>
      </c>
      <c r="C411" s="12">
        <f>IFERROR(IF(SUMIFS(tblDaily[Discharges],tblDaily[EntryDate],DATE(2026,11,15),tblDaily[WardCode],"FAE")=0,"",SUMIFS(tblDaily[Discharges],tblDaily[EntryDate],DATE(2026,11,15),tblDaily[WardCode],"FAE")),"")</f>
        <v/>
      </c>
      <c r="D411" s="12">
        <f>IFERROR(IF(SUMIFS(tblDaily[Deaths],tblDaily[EntryDate],DATE(2026,11,15),tblDaily[WardCode],"FAE")=0,"",SUMIFS(tblDaily[Deaths],tblDaily[EntryDate],DATE(2026,11,15),tblDaily[WardCode],"FAE")),"")</f>
        <v/>
      </c>
      <c r="E411" s="12">
        <f>IFERROR(IF(SUMIFS(tblDaily[DeathsUnder24Hrs],tblDaily[EntryDate],DATE(2026,11,15),tblDaily[WardCode],"FAE")=0,"",SUMIFS(tblDaily[DeathsUnder24Hrs],tblDaily[EntryDate],DATE(2026,11,15),tblDaily[WardCode],"FAE")),"")</f>
        <v/>
      </c>
      <c r="F411" s="12">
        <f>IFERROR(IF(SUMIFS(tblDaily[TransfersIn],tblDaily[EntryDate],DATE(2026,11,15),tblDaily[WardCode],"FAE")=0,"",SUMIFS(tblDaily[TransfersIn],tblDaily[EntryDate],DATE(2026,11,15),tblDaily[WardCode],"FAE")),"")</f>
        <v/>
      </c>
      <c r="G411" s="12">
        <f>IFERROR(IF(SUMIFS(tblDaily[TransfersOut],tblDaily[EntryDate],DATE(2026,11,15),tblDaily[WardCode],"FAE")=0,"",SUMIFS(tblDaily[TransfersOut],tblDaily[EntryDate],DATE(2026,11,15),tblDaily[WardCode],"FAE")),"")</f>
        <v/>
      </c>
      <c r="H411" s="12">
        <f>IFERROR(IF(SUMIFS(tblDaily[Remaining],tblDaily[EntryDate],DATE(2026,11,15),tblDaily[WardCode],"FAE")=0,"",SUMIFS(tblDaily[Remaining],tblDaily[EntryDate],DATE(2026,11,15),tblDaily[WardCode],"FAE")),"")</f>
        <v/>
      </c>
    </row>
    <row r="412">
      <c r="A412" s="12" t="n">
        <v>16</v>
      </c>
      <c r="B412" s="12">
        <f>IFERROR(IF(SUMIFS(tblDaily[Admissions],tblDaily[EntryDate],DATE(2026,11,16),tblDaily[WardCode],"FAE")=0,"",SUMIFS(tblDaily[Admissions],tblDaily[EntryDate],DATE(2026,11,16),tblDaily[WardCode],"FAE")),"")</f>
        <v/>
      </c>
      <c r="C412" s="12">
        <f>IFERROR(IF(SUMIFS(tblDaily[Discharges],tblDaily[EntryDate],DATE(2026,11,16),tblDaily[WardCode],"FAE")=0,"",SUMIFS(tblDaily[Discharges],tblDaily[EntryDate],DATE(2026,11,16),tblDaily[WardCode],"FAE")),"")</f>
        <v/>
      </c>
      <c r="D412" s="12">
        <f>IFERROR(IF(SUMIFS(tblDaily[Deaths],tblDaily[EntryDate],DATE(2026,11,16),tblDaily[WardCode],"FAE")=0,"",SUMIFS(tblDaily[Deaths],tblDaily[EntryDate],DATE(2026,11,16),tblDaily[WardCode],"FAE")),"")</f>
        <v/>
      </c>
      <c r="E412" s="12">
        <f>IFERROR(IF(SUMIFS(tblDaily[DeathsUnder24Hrs],tblDaily[EntryDate],DATE(2026,11,16),tblDaily[WardCode],"FAE")=0,"",SUMIFS(tblDaily[DeathsUnder24Hrs],tblDaily[EntryDate],DATE(2026,11,16),tblDaily[WardCode],"FAE")),"")</f>
        <v/>
      </c>
      <c r="F412" s="12">
        <f>IFERROR(IF(SUMIFS(tblDaily[TransfersIn],tblDaily[EntryDate],DATE(2026,11,16),tblDaily[WardCode],"FAE")=0,"",SUMIFS(tblDaily[TransfersIn],tblDaily[EntryDate],DATE(2026,11,16),tblDaily[WardCode],"FAE")),"")</f>
        <v/>
      </c>
      <c r="G412" s="12">
        <f>IFERROR(IF(SUMIFS(tblDaily[TransfersOut],tblDaily[EntryDate],DATE(2026,11,16),tblDaily[WardCode],"FAE")=0,"",SUMIFS(tblDaily[TransfersOut],tblDaily[EntryDate],DATE(2026,11,16),tblDaily[WardCode],"FAE")),"")</f>
        <v/>
      </c>
      <c r="H412" s="12">
        <f>IFERROR(IF(SUMIFS(tblDaily[Remaining],tblDaily[EntryDate],DATE(2026,11,16),tblDaily[WardCode],"FAE")=0,"",SUMIFS(tblDaily[Remaining],tblDaily[EntryDate],DATE(2026,11,16),tblDaily[WardCode],"FAE")),"")</f>
        <v/>
      </c>
    </row>
    <row r="413">
      <c r="A413" s="12" t="n">
        <v>17</v>
      </c>
      <c r="B413" s="12">
        <f>IFERROR(IF(SUMIFS(tblDaily[Admissions],tblDaily[EntryDate],DATE(2026,11,17),tblDaily[WardCode],"FAE")=0,"",SUMIFS(tblDaily[Admissions],tblDaily[EntryDate],DATE(2026,11,17),tblDaily[WardCode],"FAE")),"")</f>
        <v/>
      </c>
      <c r="C413" s="12">
        <f>IFERROR(IF(SUMIFS(tblDaily[Discharges],tblDaily[EntryDate],DATE(2026,11,17),tblDaily[WardCode],"FAE")=0,"",SUMIFS(tblDaily[Discharges],tblDaily[EntryDate],DATE(2026,11,17),tblDaily[WardCode],"FAE")),"")</f>
        <v/>
      </c>
      <c r="D413" s="12">
        <f>IFERROR(IF(SUMIFS(tblDaily[Deaths],tblDaily[EntryDate],DATE(2026,11,17),tblDaily[WardCode],"FAE")=0,"",SUMIFS(tblDaily[Deaths],tblDaily[EntryDate],DATE(2026,11,17),tblDaily[WardCode],"FAE")),"")</f>
        <v/>
      </c>
      <c r="E413" s="12">
        <f>IFERROR(IF(SUMIFS(tblDaily[DeathsUnder24Hrs],tblDaily[EntryDate],DATE(2026,11,17),tblDaily[WardCode],"FAE")=0,"",SUMIFS(tblDaily[DeathsUnder24Hrs],tblDaily[EntryDate],DATE(2026,11,17),tblDaily[WardCode],"FAE")),"")</f>
        <v/>
      </c>
      <c r="F413" s="12">
        <f>IFERROR(IF(SUMIFS(tblDaily[TransfersIn],tblDaily[EntryDate],DATE(2026,11,17),tblDaily[WardCode],"FAE")=0,"",SUMIFS(tblDaily[TransfersIn],tblDaily[EntryDate],DATE(2026,11,17),tblDaily[WardCode],"FAE")),"")</f>
        <v/>
      </c>
      <c r="G413" s="12">
        <f>IFERROR(IF(SUMIFS(tblDaily[TransfersOut],tblDaily[EntryDate],DATE(2026,11,17),tblDaily[WardCode],"FAE")=0,"",SUMIFS(tblDaily[TransfersOut],tblDaily[EntryDate],DATE(2026,11,17),tblDaily[WardCode],"FAE")),"")</f>
        <v/>
      </c>
      <c r="H413" s="12">
        <f>IFERROR(IF(SUMIFS(tblDaily[Remaining],tblDaily[EntryDate],DATE(2026,11,17),tblDaily[WardCode],"FAE")=0,"",SUMIFS(tblDaily[Remaining],tblDaily[EntryDate],DATE(2026,11,17),tblDaily[WardCode],"FAE")),"")</f>
        <v/>
      </c>
    </row>
    <row r="414">
      <c r="A414" s="12" t="n">
        <v>18</v>
      </c>
      <c r="B414" s="12">
        <f>IFERROR(IF(SUMIFS(tblDaily[Admissions],tblDaily[EntryDate],DATE(2026,11,18),tblDaily[WardCode],"FAE")=0,"",SUMIFS(tblDaily[Admissions],tblDaily[EntryDate],DATE(2026,11,18),tblDaily[WardCode],"FAE")),"")</f>
        <v/>
      </c>
      <c r="C414" s="12">
        <f>IFERROR(IF(SUMIFS(tblDaily[Discharges],tblDaily[EntryDate],DATE(2026,11,18),tblDaily[WardCode],"FAE")=0,"",SUMIFS(tblDaily[Discharges],tblDaily[EntryDate],DATE(2026,11,18),tblDaily[WardCode],"FAE")),"")</f>
        <v/>
      </c>
      <c r="D414" s="12">
        <f>IFERROR(IF(SUMIFS(tblDaily[Deaths],tblDaily[EntryDate],DATE(2026,11,18),tblDaily[WardCode],"FAE")=0,"",SUMIFS(tblDaily[Deaths],tblDaily[EntryDate],DATE(2026,11,18),tblDaily[WardCode],"FAE")),"")</f>
        <v/>
      </c>
      <c r="E414" s="12">
        <f>IFERROR(IF(SUMIFS(tblDaily[DeathsUnder24Hrs],tblDaily[EntryDate],DATE(2026,11,18),tblDaily[WardCode],"FAE")=0,"",SUMIFS(tblDaily[DeathsUnder24Hrs],tblDaily[EntryDate],DATE(2026,11,18),tblDaily[WardCode],"FAE")),"")</f>
        <v/>
      </c>
      <c r="F414" s="12">
        <f>IFERROR(IF(SUMIFS(tblDaily[TransfersIn],tblDaily[EntryDate],DATE(2026,11,18),tblDaily[WardCode],"FAE")=0,"",SUMIFS(tblDaily[TransfersIn],tblDaily[EntryDate],DATE(2026,11,18),tblDaily[WardCode],"FAE")),"")</f>
        <v/>
      </c>
      <c r="G414" s="12">
        <f>IFERROR(IF(SUMIFS(tblDaily[TransfersOut],tblDaily[EntryDate],DATE(2026,11,18),tblDaily[WardCode],"FAE")=0,"",SUMIFS(tblDaily[TransfersOut],tblDaily[EntryDate],DATE(2026,11,18),tblDaily[WardCode],"FAE")),"")</f>
        <v/>
      </c>
      <c r="H414" s="12">
        <f>IFERROR(IF(SUMIFS(tblDaily[Remaining],tblDaily[EntryDate],DATE(2026,11,18),tblDaily[WardCode],"FAE")=0,"",SUMIFS(tblDaily[Remaining],tblDaily[EntryDate],DATE(2026,11,18),tblDaily[WardCode],"FAE")),"")</f>
        <v/>
      </c>
    </row>
    <row r="415">
      <c r="A415" s="12" t="n">
        <v>19</v>
      </c>
      <c r="B415" s="12">
        <f>IFERROR(IF(SUMIFS(tblDaily[Admissions],tblDaily[EntryDate],DATE(2026,11,19),tblDaily[WardCode],"FAE")=0,"",SUMIFS(tblDaily[Admissions],tblDaily[EntryDate],DATE(2026,11,19),tblDaily[WardCode],"FAE")),"")</f>
        <v/>
      </c>
      <c r="C415" s="12">
        <f>IFERROR(IF(SUMIFS(tblDaily[Discharges],tblDaily[EntryDate],DATE(2026,11,19),tblDaily[WardCode],"FAE")=0,"",SUMIFS(tblDaily[Discharges],tblDaily[EntryDate],DATE(2026,11,19),tblDaily[WardCode],"FAE")),"")</f>
        <v/>
      </c>
      <c r="D415" s="12">
        <f>IFERROR(IF(SUMIFS(tblDaily[Deaths],tblDaily[EntryDate],DATE(2026,11,19),tblDaily[WardCode],"FAE")=0,"",SUMIFS(tblDaily[Deaths],tblDaily[EntryDate],DATE(2026,11,19),tblDaily[WardCode],"FAE")),"")</f>
        <v/>
      </c>
      <c r="E415" s="12">
        <f>IFERROR(IF(SUMIFS(tblDaily[DeathsUnder24Hrs],tblDaily[EntryDate],DATE(2026,11,19),tblDaily[WardCode],"FAE")=0,"",SUMIFS(tblDaily[DeathsUnder24Hrs],tblDaily[EntryDate],DATE(2026,11,19),tblDaily[WardCode],"FAE")),"")</f>
        <v/>
      </c>
      <c r="F415" s="12">
        <f>IFERROR(IF(SUMIFS(tblDaily[TransfersIn],tblDaily[EntryDate],DATE(2026,11,19),tblDaily[WardCode],"FAE")=0,"",SUMIFS(tblDaily[TransfersIn],tblDaily[EntryDate],DATE(2026,11,19),tblDaily[WardCode],"FAE")),"")</f>
        <v/>
      </c>
      <c r="G415" s="12">
        <f>IFERROR(IF(SUMIFS(tblDaily[TransfersOut],tblDaily[EntryDate],DATE(2026,11,19),tblDaily[WardCode],"FAE")=0,"",SUMIFS(tblDaily[TransfersOut],tblDaily[EntryDate],DATE(2026,11,19),tblDaily[WardCode],"FAE")),"")</f>
        <v/>
      </c>
      <c r="H415" s="12">
        <f>IFERROR(IF(SUMIFS(tblDaily[Remaining],tblDaily[EntryDate],DATE(2026,11,19),tblDaily[WardCode],"FAE")=0,"",SUMIFS(tblDaily[Remaining],tblDaily[EntryDate],DATE(2026,11,19),tblDaily[WardCode],"FAE")),"")</f>
        <v/>
      </c>
    </row>
    <row r="416">
      <c r="A416" s="12" t="n">
        <v>20</v>
      </c>
      <c r="B416" s="12">
        <f>IFERROR(IF(SUMIFS(tblDaily[Admissions],tblDaily[EntryDate],DATE(2026,11,20),tblDaily[WardCode],"FAE")=0,"",SUMIFS(tblDaily[Admissions],tblDaily[EntryDate],DATE(2026,11,20),tblDaily[WardCode],"FAE")),"")</f>
        <v/>
      </c>
      <c r="C416" s="12">
        <f>IFERROR(IF(SUMIFS(tblDaily[Discharges],tblDaily[EntryDate],DATE(2026,11,20),tblDaily[WardCode],"FAE")=0,"",SUMIFS(tblDaily[Discharges],tblDaily[EntryDate],DATE(2026,11,20),tblDaily[WardCode],"FAE")),"")</f>
        <v/>
      </c>
      <c r="D416" s="12">
        <f>IFERROR(IF(SUMIFS(tblDaily[Deaths],tblDaily[EntryDate],DATE(2026,11,20),tblDaily[WardCode],"FAE")=0,"",SUMIFS(tblDaily[Deaths],tblDaily[EntryDate],DATE(2026,11,20),tblDaily[WardCode],"FAE")),"")</f>
        <v/>
      </c>
      <c r="E416" s="12">
        <f>IFERROR(IF(SUMIFS(tblDaily[DeathsUnder24Hrs],tblDaily[EntryDate],DATE(2026,11,20),tblDaily[WardCode],"FAE")=0,"",SUMIFS(tblDaily[DeathsUnder24Hrs],tblDaily[EntryDate],DATE(2026,11,20),tblDaily[WardCode],"FAE")),"")</f>
        <v/>
      </c>
      <c r="F416" s="12">
        <f>IFERROR(IF(SUMIFS(tblDaily[TransfersIn],tblDaily[EntryDate],DATE(2026,11,20),tblDaily[WardCode],"FAE")=0,"",SUMIFS(tblDaily[TransfersIn],tblDaily[EntryDate],DATE(2026,11,20),tblDaily[WardCode],"FAE")),"")</f>
        <v/>
      </c>
      <c r="G416" s="12">
        <f>IFERROR(IF(SUMIFS(tblDaily[TransfersOut],tblDaily[EntryDate],DATE(2026,11,20),tblDaily[WardCode],"FAE")=0,"",SUMIFS(tblDaily[TransfersOut],tblDaily[EntryDate],DATE(2026,11,20),tblDaily[WardCode],"FAE")),"")</f>
        <v/>
      </c>
      <c r="H416" s="12">
        <f>IFERROR(IF(SUMIFS(tblDaily[Remaining],tblDaily[EntryDate],DATE(2026,11,20),tblDaily[WardCode],"FAE")=0,"",SUMIFS(tblDaily[Remaining],tblDaily[EntryDate],DATE(2026,11,20),tblDaily[WardCode],"FAE")),"")</f>
        <v/>
      </c>
    </row>
    <row r="417">
      <c r="A417" s="12" t="n">
        <v>21</v>
      </c>
      <c r="B417" s="12">
        <f>IFERROR(IF(SUMIFS(tblDaily[Admissions],tblDaily[EntryDate],DATE(2026,11,21),tblDaily[WardCode],"FAE")=0,"",SUMIFS(tblDaily[Admissions],tblDaily[EntryDate],DATE(2026,11,21),tblDaily[WardCode],"FAE")),"")</f>
        <v/>
      </c>
      <c r="C417" s="12">
        <f>IFERROR(IF(SUMIFS(tblDaily[Discharges],tblDaily[EntryDate],DATE(2026,11,21),tblDaily[WardCode],"FAE")=0,"",SUMIFS(tblDaily[Discharges],tblDaily[EntryDate],DATE(2026,11,21),tblDaily[WardCode],"FAE")),"")</f>
        <v/>
      </c>
      <c r="D417" s="12">
        <f>IFERROR(IF(SUMIFS(tblDaily[Deaths],tblDaily[EntryDate],DATE(2026,11,21),tblDaily[WardCode],"FAE")=0,"",SUMIFS(tblDaily[Deaths],tblDaily[EntryDate],DATE(2026,11,21),tblDaily[WardCode],"FAE")),"")</f>
        <v/>
      </c>
      <c r="E417" s="12">
        <f>IFERROR(IF(SUMIFS(tblDaily[DeathsUnder24Hrs],tblDaily[EntryDate],DATE(2026,11,21),tblDaily[WardCode],"FAE")=0,"",SUMIFS(tblDaily[DeathsUnder24Hrs],tblDaily[EntryDate],DATE(2026,11,21),tblDaily[WardCode],"FAE")),"")</f>
        <v/>
      </c>
      <c r="F417" s="12">
        <f>IFERROR(IF(SUMIFS(tblDaily[TransfersIn],tblDaily[EntryDate],DATE(2026,11,21),tblDaily[WardCode],"FAE")=0,"",SUMIFS(tblDaily[TransfersIn],tblDaily[EntryDate],DATE(2026,11,21),tblDaily[WardCode],"FAE")),"")</f>
        <v/>
      </c>
      <c r="G417" s="12">
        <f>IFERROR(IF(SUMIFS(tblDaily[TransfersOut],tblDaily[EntryDate],DATE(2026,11,21),tblDaily[WardCode],"FAE")=0,"",SUMIFS(tblDaily[TransfersOut],tblDaily[EntryDate],DATE(2026,11,21),tblDaily[WardCode],"FAE")),"")</f>
        <v/>
      </c>
      <c r="H417" s="12">
        <f>IFERROR(IF(SUMIFS(tblDaily[Remaining],tblDaily[EntryDate],DATE(2026,11,21),tblDaily[WardCode],"FAE")=0,"",SUMIFS(tblDaily[Remaining],tblDaily[EntryDate],DATE(2026,11,21),tblDaily[WardCode],"FAE")),"")</f>
        <v/>
      </c>
    </row>
    <row r="418">
      <c r="A418" s="12" t="n">
        <v>22</v>
      </c>
      <c r="B418" s="12">
        <f>IFERROR(IF(SUMIFS(tblDaily[Admissions],tblDaily[EntryDate],DATE(2026,11,22),tblDaily[WardCode],"FAE")=0,"",SUMIFS(tblDaily[Admissions],tblDaily[EntryDate],DATE(2026,11,22),tblDaily[WardCode],"FAE")),"")</f>
        <v/>
      </c>
      <c r="C418" s="12">
        <f>IFERROR(IF(SUMIFS(tblDaily[Discharges],tblDaily[EntryDate],DATE(2026,11,22),tblDaily[WardCode],"FAE")=0,"",SUMIFS(tblDaily[Discharges],tblDaily[EntryDate],DATE(2026,11,22),tblDaily[WardCode],"FAE")),"")</f>
        <v/>
      </c>
      <c r="D418" s="12">
        <f>IFERROR(IF(SUMIFS(tblDaily[Deaths],tblDaily[EntryDate],DATE(2026,11,22),tblDaily[WardCode],"FAE")=0,"",SUMIFS(tblDaily[Deaths],tblDaily[EntryDate],DATE(2026,11,22),tblDaily[WardCode],"FAE")),"")</f>
        <v/>
      </c>
      <c r="E418" s="12">
        <f>IFERROR(IF(SUMIFS(tblDaily[DeathsUnder24Hrs],tblDaily[EntryDate],DATE(2026,11,22),tblDaily[WardCode],"FAE")=0,"",SUMIFS(tblDaily[DeathsUnder24Hrs],tblDaily[EntryDate],DATE(2026,11,22),tblDaily[WardCode],"FAE")),"")</f>
        <v/>
      </c>
      <c r="F418" s="12">
        <f>IFERROR(IF(SUMIFS(tblDaily[TransfersIn],tblDaily[EntryDate],DATE(2026,11,22),tblDaily[WardCode],"FAE")=0,"",SUMIFS(tblDaily[TransfersIn],tblDaily[EntryDate],DATE(2026,11,22),tblDaily[WardCode],"FAE")),"")</f>
        <v/>
      </c>
      <c r="G418" s="12">
        <f>IFERROR(IF(SUMIFS(tblDaily[TransfersOut],tblDaily[EntryDate],DATE(2026,11,22),tblDaily[WardCode],"FAE")=0,"",SUMIFS(tblDaily[TransfersOut],tblDaily[EntryDate],DATE(2026,11,22),tblDaily[WardCode],"FAE")),"")</f>
        <v/>
      </c>
      <c r="H418" s="12">
        <f>IFERROR(IF(SUMIFS(tblDaily[Remaining],tblDaily[EntryDate],DATE(2026,11,22),tblDaily[WardCode],"FAE")=0,"",SUMIFS(tblDaily[Remaining],tblDaily[EntryDate],DATE(2026,11,22),tblDaily[WardCode],"FAE")),"")</f>
        <v/>
      </c>
    </row>
    <row r="419">
      <c r="A419" s="12" t="n">
        <v>23</v>
      </c>
      <c r="B419" s="12">
        <f>IFERROR(IF(SUMIFS(tblDaily[Admissions],tblDaily[EntryDate],DATE(2026,11,23),tblDaily[WardCode],"FAE")=0,"",SUMIFS(tblDaily[Admissions],tblDaily[EntryDate],DATE(2026,11,23),tblDaily[WardCode],"FAE")),"")</f>
        <v/>
      </c>
      <c r="C419" s="12">
        <f>IFERROR(IF(SUMIFS(tblDaily[Discharges],tblDaily[EntryDate],DATE(2026,11,23),tblDaily[WardCode],"FAE")=0,"",SUMIFS(tblDaily[Discharges],tblDaily[EntryDate],DATE(2026,11,23),tblDaily[WardCode],"FAE")),"")</f>
        <v/>
      </c>
      <c r="D419" s="12">
        <f>IFERROR(IF(SUMIFS(tblDaily[Deaths],tblDaily[EntryDate],DATE(2026,11,23),tblDaily[WardCode],"FAE")=0,"",SUMIFS(tblDaily[Deaths],tblDaily[EntryDate],DATE(2026,11,23),tblDaily[WardCode],"FAE")),"")</f>
        <v/>
      </c>
      <c r="E419" s="12">
        <f>IFERROR(IF(SUMIFS(tblDaily[DeathsUnder24Hrs],tblDaily[EntryDate],DATE(2026,11,23),tblDaily[WardCode],"FAE")=0,"",SUMIFS(tblDaily[DeathsUnder24Hrs],tblDaily[EntryDate],DATE(2026,11,23),tblDaily[WardCode],"FAE")),"")</f>
        <v/>
      </c>
      <c r="F419" s="12">
        <f>IFERROR(IF(SUMIFS(tblDaily[TransfersIn],tblDaily[EntryDate],DATE(2026,11,23),tblDaily[WardCode],"FAE")=0,"",SUMIFS(tblDaily[TransfersIn],tblDaily[EntryDate],DATE(2026,11,23),tblDaily[WardCode],"FAE")),"")</f>
        <v/>
      </c>
      <c r="G419" s="12">
        <f>IFERROR(IF(SUMIFS(tblDaily[TransfersOut],tblDaily[EntryDate],DATE(2026,11,23),tblDaily[WardCode],"FAE")=0,"",SUMIFS(tblDaily[TransfersOut],tblDaily[EntryDate],DATE(2026,11,23),tblDaily[WardCode],"FAE")),"")</f>
        <v/>
      </c>
      <c r="H419" s="12">
        <f>IFERROR(IF(SUMIFS(tblDaily[Remaining],tblDaily[EntryDate],DATE(2026,11,23),tblDaily[WardCode],"FAE")=0,"",SUMIFS(tblDaily[Remaining],tblDaily[EntryDate],DATE(2026,11,23),tblDaily[WardCode],"FAE")),"")</f>
        <v/>
      </c>
    </row>
    <row r="420">
      <c r="A420" s="12" t="n">
        <v>24</v>
      </c>
      <c r="B420" s="12">
        <f>IFERROR(IF(SUMIFS(tblDaily[Admissions],tblDaily[EntryDate],DATE(2026,11,24),tblDaily[WardCode],"FAE")=0,"",SUMIFS(tblDaily[Admissions],tblDaily[EntryDate],DATE(2026,11,24),tblDaily[WardCode],"FAE")),"")</f>
        <v/>
      </c>
      <c r="C420" s="12">
        <f>IFERROR(IF(SUMIFS(tblDaily[Discharges],tblDaily[EntryDate],DATE(2026,11,24),tblDaily[WardCode],"FAE")=0,"",SUMIFS(tblDaily[Discharges],tblDaily[EntryDate],DATE(2026,11,24),tblDaily[WardCode],"FAE")),"")</f>
        <v/>
      </c>
      <c r="D420" s="12">
        <f>IFERROR(IF(SUMIFS(tblDaily[Deaths],tblDaily[EntryDate],DATE(2026,11,24),tblDaily[WardCode],"FAE")=0,"",SUMIFS(tblDaily[Deaths],tblDaily[EntryDate],DATE(2026,11,24),tblDaily[WardCode],"FAE")),"")</f>
        <v/>
      </c>
      <c r="E420" s="12">
        <f>IFERROR(IF(SUMIFS(tblDaily[DeathsUnder24Hrs],tblDaily[EntryDate],DATE(2026,11,24),tblDaily[WardCode],"FAE")=0,"",SUMIFS(tblDaily[DeathsUnder24Hrs],tblDaily[EntryDate],DATE(2026,11,24),tblDaily[WardCode],"FAE")),"")</f>
        <v/>
      </c>
      <c r="F420" s="12">
        <f>IFERROR(IF(SUMIFS(tblDaily[TransfersIn],tblDaily[EntryDate],DATE(2026,11,24),tblDaily[WardCode],"FAE")=0,"",SUMIFS(tblDaily[TransfersIn],tblDaily[EntryDate],DATE(2026,11,24),tblDaily[WardCode],"FAE")),"")</f>
        <v/>
      </c>
      <c r="G420" s="12">
        <f>IFERROR(IF(SUMIFS(tblDaily[TransfersOut],tblDaily[EntryDate],DATE(2026,11,24),tblDaily[WardCode],"FAE")=0,"",SUMIFS(tblDaily[TransfersOut],tblDaily[EntryDate],DATE(2026,11,24),tblDaily[WardCode],"FAE")),"")</f>
        <v/>
      </c>
      <c r="H420" s="12">
        <f>IFERROR(IF(SUMIFS(tblDaily[Remaining],tblDaily[EntryDate],DATE(2026,11,24),tblDaily[WardCode],"FAE")=0,"",SUMIFS(tblDaily[Remaining],tblDaily[EntryDate],DATE(2026,11,24),tblDaily[WardCode],"FAE")),"")</f>
        <v/>
      </c>
    </row>
    <row r="421">
      <c r="A421" s="12" t="n">
        <v>25</v>
      </c>
      <c r="B421" s="12">
        <f>IFERROR(IF(SUMIFS(tblDaily[Admissions],tblDaily[EntryDate],DATE(2026,11,25),tblDaily[WardCode],"FAE")=0,"",SUMIFS(tblDaily[Admissions],tblDaily[EntryDate],DATE(2026,11,25),tblDaily[WardCode],"FAE")),"")</f>
        <v/>
      </c>
      <c r="C421" s="12">
        <f>IFERROR(IF(SUMIFS(tblDaily[Discharges],tblDaily[EntryDate],DATE(2026,11,25),tblDaily[WardCode],"FAE")=0,"",SUMIFS(tblDaily[Discharges],tblDaily[EntryDate],DATE(2026,11,25),tblDaily[WardCode],"FAE")),"")</f>
        <v/>
      </c>
      <c r="D421" s="12">
        <f>IFERROR(IF(SUMIFS(tblDaily[Deaths],tblDaily[EntryDate],DATE(2026,11,25),tblDaily[WardCode],"FAE")=0,"",SUMIFS(tblDaily[Deaths],tblDaily[EntryDate],DATE(2026,11,25),tblDaily[WardCode],"FAE")),"")</f>
        <v/>
      </c>
      <c r="E421" s="12">
        <f>IFERROR(IF(SUMIFS(tblDaily[DeathsUnder24Hrs],tblDaily[EntryDate],DATE(2026,11,25),tblDaily[WardCode],"FAE")=0,"",SUMIFS(tblDaily[DeathsUnder24Hrs],tblDaily[EntryDate],DATE(2026,11,25),tblDaily[WardCode],"FAE")),"")</f>
        <v/>
      </c>
      <c r="F421" s="12">
        <f>IFERROR(IF(SUMIFS(tblDaily[TransfersIn],tblDaily[EntryDate],DATE(2026,11,25),tblDaily[WardCode],"FAE")=0,"",SUMIFS(tblDaily[TransfersIn],tblDaily[EntryDate],DATE(2026,11,25),tblDaily[WardCode],"FAE")),"")</f>
        <v/>
      </c>
      <c r="G421" s="12">
        <f>IFERROR(IF(SUMIFS(tblDaily[TransfersOut],tblDaily[EntryDate],DATE(2026,11,25),tblDaily[WardCode],"FAE")=0,"",SUMIFS(tblDaily[TransfersOut],tblDaily[EntryDate],DATE(2026,11,25),tblDaily[WardCode],"FAE")),"")</f>
        <v/>
      </c>
      <c r="H421" s="12">
        <f>IFERROR(IF(SUMIFS(tblDaily[Remaining],tblDaily[EntryDate],DATE(2026,11,25),tblDaily[WardCode],"FAE")=0,"",SUMIFS(tblDaily[Remaining],tblDaily[EntryDate],DATE(2026,11,25),tblDaily[WardCode],"FAE")),"")</f>
        <v/>
      </c>
    </row>
    <row r="422">
      <c r="A422" s="12" t="n">
        <v>26</v>
      </c>
      <c r="B422" s="12">
        <f>IFERROR(IF(SUMIFS(tblDaily[Admissions],tblDaily[EntryDate],DATE(2026,11,26),tblDaily[WardCode],"FAE")=0,"",SUMIFS(tblDaily[Admissions],tblDaily[EntryDate],DATE(2026,11,26),tblDaily[WardCode],"FAE")),"")</f>
        <v/>
      </c>
      <c r="C422" s="12">
        <f>IFERROR(IF(SUMIFS(tblDaily[Discharges],tblDaily[EntryDate],DATE(2026,11,26),tblDaily[WardCode],"FAE")=0,"",SUMIFS(tblDaily[Discharges],tblDaily[EntryDate],DATE(2026,11,26),tblDaily[WardCode],"FAE")),"")</f>
        <v/>
      </c>
      <c r="D422" s="12">
        <f>IFERROR(IF(SUMIFS(tblDaily[Deaths],tblDaily[EntryDate],DATE(2026,11,26),tblDaily[WardCode],"FAE")=0,"",SUMIFS(tblDaily[Deaths],tblDaily[EntryDate],DATE(2026,11,26),tblDaily[WardCode],"FAE")),"")</f>
        <v/>
      </c>
      <c r="E422" s="12">
        <f>IFERROR(IF(SUMIFS(tblDaily[DeathsUnder24Hrs],tblDaily[EntryDate],DATE(2026,11,26),tblDaily[WardCode],"FAE")=0,"",SUMIFS(tblDaily[DeathsUnder24Hrs],tblDaily[EntryDate],DATE(2026,11,26),tblDaily[WardCode],"FAE")),"")</f>
        <v/>
      </c>
      <c r="F422" s="12">
        <f>IFERROR(IF(SUMIFS(tblDaily[TransfersIn],tblDaily[EntryDate],DATE(2026,11,26),tblDaily[WardCode],"FAE")=0,"",SUMIFS(tblDaily[TransfersIn],tblDaily[EntryDate],DATE(2026,11,26),tblDaily[WardCode],"FAE")),"")</f>
        <v/>
      </c>
      <c r="G422" s="12">
        <f>IFERROR(IF(SUMIFS(tblDaily[TransfersOut],tblDaily[EntryDate],DATE(2026,11,26),tblDaily[WardCode],"FAE")=0,"",SUMIFS(tblDaily[TransfersOut],tblDaily[EntryDate],DATE(2026,11,26),tblDaily[WardCode],"FAE")),"")</f>
        <v/>
      </c>
      <c r="H422" s="12">
        <f>IFERROR(IF(SUMIFS(tblDaily[Remaining],tblDaily[EntryDate],DATE(2026,11,26),tblDaily[WardCode],"FAE")=0,"",SUMIFS(tblDaily[Remaining],tblDaily[EntryDate],DATE(2026,11,26),tblDaily[WardCode],"FAE")),"")</f>
        <v/>
      </c>
    </row>
    <row r="423">
      <c r="A423" s="12" t="n">
        <v>27</v>
      </c>
      <c r="B423" s="12">
        <f>IFERROR(IF(SUMIFS(tblDaily[Admissions],tblDaily[EntryDate],DATE(2026,11,27),tblDaily[WardCode],"FAE")=0,"",SUMIFS(tblDaily[Admissions],tblDaily[EntryDate],DATE(2026,11,27),tblDaily[WardCode],"FAE")),"")</f>
        <v/>
      </c>
      <c r="C423" s="12">
        <f>IFERROR(IF(SUMIFS(tblDaily[Discharges],tblDaily[EntryDate],DATE(2026,11,27),tblDaily[WardCode],"FAE")=0,"",SUMIFS(tblDaily[Discharges],tblDaily[EntryDate],DATE(2026,11,27),tblDaily[WardCode],"FAE")),"")</f>
        <v/>
      </c>
      <c r="D423" s="12">
        <f>IFERROR(IF(SUMIFS(tblDaily[Deaths],tblDaily[EntryDate],DATE(2026,11,27),tblDaily[WardCode],"FAE")=0,"",SUMIFS(tblDaily[Deaths],tblDaily[EntryDate],DATE(2026,11,27),tblDaily[WardCode],"FAE")),"")</f>
        <v/>
      </c>
      <c r="E423" s="12">
        <f>IFERROR(IF(SUMIFS(tblDaily[DeathsUnder24Hrs],tblDaily[EntryDate],DATE(2026,11,27),tblDaily[WardCode],"FAE")=0,"",SUMIFS(tblDaily[DeathsUnder24Hrs],tblDaily[EntryDate],DATE(2026,11,27),tblDaily[WardCode],"FAE")),"")</f>
        <v/>
      </c>
      <c r="F423" s="12">
        <f>IFERROR(IF(SUMIFS(tblDaily[TransfersIn],tblDaily[EntryDate],DATE(2026,11,27),tblDaily[WardCode],"FAE")=0,"",SUMIFS(tblDaily[TransfersIn],tblDaily[EntryDate],DATE(2026,11,27),tblDaily[WardCode],"FAE")),"")</f>
        <v/>
      </c>
      <c r="G423" s="12">
        <f>IFERROR(IF(SUMIFS(tblDaily[TransfersOut],tblDaily[EntryDate],DATE(2026,11,27),tblDaily[WardCode],"FAE")=0,"",SUMIFS(tblDaily[TransfersOut],tblDaily[EntryDate],DATE(2026,11,27),tblDaily[WardCode],"FAE")),"")</f>
        <v/>
      </c>
      <c r="H423" s="12">
        <f>IFERROR(IF(SUMIFS(tblDaily[Remaining],tblDaily[EntryDate],DATE(2026,11,27),tblDaily[WardCode],"FAE")=0,"",SUMIFS(tblDaily[Remaining],tblDaily[EntryDate],DATE(2026,11,27),tblDaily[WardCode],"FAE")),"")</f>
        <v/>
      </c>
    </row>
    <row r="424">
      <c r="A424" s="12" t="n">
        <v>28</v>
      </c>
      <c r="B424" s="12">
        <f>IFERROR(IF(SUMIFS(tblDaily[Admissions],tblDaily[EntryDate],DATE(2026,11,28),tblDaily[WardCode],"FAE")=0,"",SUMIFS(tblDaily[Admissions],tblDaily[EntryDate],DATE(2026,11,28),tblDaily[WardCode],"FAE")),"")</f>
        <v/>
      </c>
      <c r="C424" s="12">
        <f>IFERROR(IF(SUMIFS(tblDaily[Discharges],tblDaily[EntryDate],DATE(2026,11,28),tblDaily[WardCode],"FAE")=0,"",SUMIFS(tblDaily[Discharges],tblDaily[EntryDate],DATE(2026,11,28),tblDaily[WardCode],"FAE")),"")</f>
        <v/>
      </c>
      <c r="D424" s="12">
        <f>IFERROR(IF(SUMIFS(tblDaily[Deaths],tblDaily[EntryDate],DATE(2026,11,28),tblDaily[WardCode],"FAE")=0,"",SUMIFS(tblDaily[Deaths],tblDaily[EntryDate],DATE(2026,11,28),tblDaily[WardCode],"FAE")),"")</f>
        <v/>
      </c>
      <c r="E424" s="12">
        <f>IFERROR(IF(SUMIFS(tblDaily[DeathsUnder24Hrs],tblDaily[EntryDate],DATE(2026,11,28),tblDaily[WardCode],"FAE")=0,"",SUMIFS(tblDaily[DeathsUnder24Hrs],tblDaily[EntryDate],DATE(2026,11,28),tblDaily[WardCode],"FAE")),"")</f>
        <v/>
      </c>
      <c r="F424" s="12">
        <f>IFERROR(IF(SUMIFS(tblDaily[TransfersIn],tblDaily[EntryDate],DATE(2026,11,28),tblDaily[WardCode],"FAE")=0,"",SUMIFS(tblDaily[TransfersIn],tblDaily[EntryDate],DATE(2026,11,28),tblDaily[WardCode],"FAE")),"")</f>
        <v/>
      </c>
      <c r="G424" s="12">
        <f>IFERROR(IF(SUMIFS(tblDaily[TransfersOut],tblDaily[EntryDate],DATE(2026,11,28),tblDaily[WardCode],"FAE")=0,"",SUMIFS(tblDaily[TransfersOut],tblDaily[EntryDate],DATE(2026,11,28),tblDaily[WardCode],"FAE")),"")</f>
        <v/>
      </c>
      <c r="H424" s="12">
        <f>IFERROR(IF(SUMIFS(tblDaily[Remaining],tblDaily[EntryDate],DATE(2026,11,28),tblDaily[WardCode],"FAE")=0,"",SUMIFS(tblDaily[Remaining],tblDaily[EntryDate],DATE(2026,11,28),tblDaily[WardCode],"FAE")),"")</f>
        <v/>
      </c>
    </row>
    <row r="425">
      <c r="A425" s="12" t="n">
        <v>29</v>
      </c>
      <c r="B425" s="12">
        <f>IFERROR(IF(SUMIFS(tblDaily[Admissions],tblDaily[EntryDate],DATE(2026,11,29),tblDaily[WardCode],"FAE")=0,"",SUMIFS(tblDaily[Admissions],tblDaily[EntryDate],DATE(2026,11,29),tblDaily[WardCode],"FAE")),"")</f>
        <v/>
      </c>
      <c r="C425" s="12">
        <f>IFERROR(IF(SUMIFS(tblDaily[Discharges],tblDaily[EntryDate],DATE(2026,11,29),tblDaily[WardCode],"FAE")=0,"",SUMIFS(tblDaily[Discharges],tblDaily[EntryDate],DATE(2026,11,29),tblDaily[WardCode],"FAE")),"")</f>
        <v/>
      </c>
      <c r="D425" s="12">
        <f>IFERROR(IF(SUMIFS(tblDaily[Deaths],tblDaily[EntryDate],DATE(2026,11,29),tblDaily[WardCode],"FAE")=0,"",SUMIFS(tblDaily[Deaths],tblDaily[EntryDate],DATE(2026,11,29),tblDaily[WardCode],"FAE")),"")</f>
        <v/>
      </c>
      <c r="E425" s="12">
        <f>IFERROR(IF(SUMIFS(tblDaily[DeathsUnder24Hrs],tblDaily[EntryDate],DATE(2026,11,29),tblDaily[WardCode],"FAE")=0,"",SUMIFS(tblDaily[DeathsUnder24Hrs],tblDaily[EntryDate],DATE(2026,11,29),tblDaily[WardCode],"FAE")),"")</f>
        <v/>
      </c>
      <c r="F425" s="12">
        <f>IFERROR(IF(SUMIFS(tblDaily[TransfersIn],tblDaily[EntryDate],DATE(2026,11,29),tblDaily[WardCode],"FAE")=0,"",SUMIFS(tblDaily[TransfersIn],tblDaily[EntryDate],DATE(2026,11,29),tblDaily[WardCode],"FAE")),"")</f>
        <v/>
      </c>
      <c r="G425" s="12">
        <f>IFERROR(IF(SUMIFS(tblDaily[TransfersOut],tblDaily[EntryDate],DATE(2026,11,29),tblDaily[WardCode],"FAE")=0,"",SUMIFS(tblDaily[TransfersOut],tblDaily[EntryDate],DATE(2026,11,29),tblDaily[WardCode],"FAE")),"")</f>
        <v/>
      </c>
      <c r="H425" s="12">
        <f>IFERROR(IF(SUMIFS(tblDaily[Remaining],tblDaily[EntryDate],DATE(2026,11,29),tblDaily[WardCode],"FAE")=0,"",SUMIFS(tblDaily[Remaining],tblDaily[EntryDate],DATE(2026,11,29),tblDaily[WardCode],"FAE")),"")</f>
        <v/>
      </c>
    </row>
    <row r="426">
      <c r="A426" s="12" t="n">
        <v>30</v>
      </c>
      <c r="B426" s="12">
        <f>IFERROR(IF(SUMIFS(tblDaily[Admissions],tblDaily[EntryDate],DATE(2026,11,30),tblDaily[WardCode],"FAE")=0,"",SUMIFS(tblDaily[Admissions],tblDaily[EntryDate],DATE(2026,11,30),tblDaily[WardCode],"FAE")),"")</f>
        <v/>
      </c>
      <c r="C426" s="12">
        <f>IFERROR(IF(SUMIFS(tblDaily[Discharges],tblDaily[EntryDate],DATE(2026,11,30),tblDaily[WardCode],"FAE")=0,"",SUMIFS(tblDaily[Discharges],tblDaily[EntryDate],DATE(2026,11,30),tblDaily[WardCode],"FAE")),"")</f>
        <v/>
      </c>
      <c r="D426" s="12">
        <f>IFERROR(IF(SUMIFS(tblDaily[Deaths],tblDaily[EntryDate],DATE(2026,11,30),tblDaily[WardCode],"FAE")=0,"",SUMIFS(tblDaily[Deaths],tblDaily[EntryDate],DATE(2026,11,30),tblDaily[WardCode],"FAE")),"")</f>
        <v/>
      </c>
      <c r="E426" s="12">
        <f>IFERROR(IF(SUMIFS(tblDaily[DeathsUnder24Hrs],tblDaily[EntryDate],DATE(2026,11,30),tblDaily[WardCode],"FAE")=0,"",SUMIFS(tblDaily[DeathsUnder24Hrs],tblDaily[EntryDate],DATE(2026,11,30),tblDaily[WardCode],"FAE")),"")</f>
        <v/>
      </c>
      <c r="F426" s="12">
        <f>IFERROR(IF(SUMIFS(tblDaily[TransfersIn],tblDaily[EntryDate],DATE(2026,11,30),tblDaily[WardCode],"FAE")=0,"",SUMIFS(tblDaily[TransfersIn],tblDaily[EntryDate],DATE(2026,11,30),tblDaily[WardCode],"FAE")),"")</f>
        <v/>
      </c>
      <c r="G426" s="12">
        <f>IFERROR(IF(SUMIFS(tblDaily[TransfersOut],tblDaily[EntryDate],DATE(2026,11,30),tblDaily[WardCode],"FAE")=0,"",SUMIFS(tblDaily[TransfersOut],tblDaily[EntryDate],DATE(2026,11,30),tblDaily[WardCode],"FAE")),"")</f>
        <v/>
      </c>
      <c r="H426" s="12">
        <f>IFERROR(IF(SUMIFS(tblDaily[Remaining],tblDaily[EntryDate],DATE(2026,11,30),tblDaily[WardCode],"FAE")=0,"",SUMIFS(tblDaily[Remaining],tblDaily[EntryDate],DATE(2026,11,30),tblDaily[WardCode],"FAE")),"")</f>
        <v/>
      </c>
    </row>
    <row r="427">
      <c r="A427" s="12" t="n">
        <v>31</v>
      </c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7" t="inlineStr">
        <is>
          <t>TOTAL</t>
        </is>
      </c>
      <c r="B428" s="17">
        <f>SUMIFS(tblDaily[Admissions],tblDaily[Month],11,tblDaily[WardCode],"FAE") - SUMIFS(tblDaily[DeathsUnder24Hrs],tblDaily[Month],11,tblDaily[WardCode],"FAE")</f>
        <v/>
      </c>
      <c r="C428" s="17">
        <f>SUMIFS(tblDaily[Discharges],tblDaily[Month],11,tblDaily[WardCode],"FAE")</f>
        <v/>
      </c>
      <c r="D428" s="17">
        <f>SUMIFS(tblDaily[Deaths],tblDaily[Month],11,tblDaily[WardCode],"FAE")</f>
        <v/>
      </c>
      <c r="E428" s="17">
        <f>SUMIFS(tblDaily[DeathsUnder24Hrs],tblDaily[Month],11,tblDaily[WardCode],"FAE")</f>
        <v/>
      </c>
      <c r="F428" s="17">
        <f>SUMIFS(tblDaily[TransfersIn],tblDaily[Month],11,tblDaily[WardCode],"FAE")</f>
        <v/>
      </c>
      <c r="G428" s="17">
        <f>SUMIFS(tblDaily[TransfersOut],tblDaily[Month],11,tblDaily[WardCode],"FAE")</f>
        <v/>
      </c>
      <c r="H428" s="17">
        <f>SUMIFS(tblDaily[Remaining],tblDaily[Month],11,tblDaily[WardCode],"FAE")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FEMALE EMERGENCY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4">
        <f>IFERROR(SUMIFS(tblDaily[Remaining],tblDaily[EntryDate],DATE(2026,11,30),tblDaily[WardCode],"FAE"),0)</f>
        <v/>
      </c>
    </row>
    <row r="434">
      <c r="A434" s="4" t="inlineStr">
        <is>
          <t>Bed complement</t>
        </is>
      </c>
      <c r="H434" s="15">
        <f>IFERROR(INDEX(tblWardConfig[BedComplement],MATCH("FAE",tblWardConfig[WardCode],0)),0)</f>
        <v/>
      </c>
    </row>
    <row r="435">
      <c r="A435" s="16" t="inlineStr">
        <is>
          <t>Day of
the
Month</t>
        </is>
      </c>
      <c r="B435" s="16" t="inlineStr">
        <is>
          <t>Admissions</t>
        </is>
      </c>
      <c r="C435" s="16" t="inlineStr">
        <is>
          <t>Discharges</t>
        </is>
      </c>
      <c r="D435" s="16" t="inlineStr">
        <is>
          <t>Deaths</t>
        </is>
      </c>
      <c r="E435" s="16" t="inlineStr">
        <is>
          <t>Deaths
&lt;24Hrs</t>
        </is>
      </c>
      <c r="F435" s="16" t="inlineStr">
        <is>
          <t>Transfers-
In</t>
        </is>
      </c>
      <c r="G435" s="16" t="inlineStr">
        <is>
          <t>Transfers-
Out</t>
        </is>
      </c>
      <c r="H435" s="16" t="inlineStr">
        <is>
          <t>No. of Patients
Remaining In
Ward</t>
        </is>
      </c>
    </row>
    <row r="436">
      <c r="A436" s="12" t="n">
        <v>1</v>
      </c>
      <c r="B436" s="12">
        <f>IFERROR(IF(SUMIFS(tblDaily[Admissions],tblDaily[EntryDate],DATE(2026,12,1),tblDaily[WardCode],"FAE")=0,"",SUMIFS(tblDaily[Admissions],tblDaily[EntryDate],DATE(2026,12,1),tblDaily[WardCode],"FAE")),"")</f>
        <v/>
      </c>
      <c r="C436" s="12">
        <f>IFERROR(IF(SUMIFS(tblDaily[Discharges],tblDaily[EntryDate],DATE(2026,12,1),tblDaily[WardCode],"FAE")=0,"",SUMIFS(tblDaily[Discharges],tblDaily[EntryDate],DATE(2026,12,1),tblDaily[WardCode],"FAE")),"")</f>
        <v/>
      </c>
      <c r="D436" s="12">
        <f>IFERROR(IF(SUMIFS(tblDaily[Deaths],tblDaily[EntryDate],DATE(2026,12,1),tblDaily[WardCode],"FAE")=0,"",SUMIFS(tblDaily[Deaths],tblDaily[EntryDate],DATE(2026,12,1),tblDaily[WardCode],"FAE")),"")</f>
        <v/>
      </c>
      <c r="E436" s="12">
        <f>IFERROR(IF(SUMIFS(tblDaily[DeathsUnder24Hrs],tblDaily[EntryDate],DATE(2026,12,1),tblDaily[WardCode],"FAE")=0,"",SUMIFS(tblDaily[DeathsUnder24Hrs],tblDaily[EntryDate],DATE(2026,12,1),tblDaily[WardCode],"FAE")),"")</f>
        <v/>
      </c>
      <c r="F436" s="12">
        <f>IFERROR(IF(SUMIFS(tblDaily[TransfersIn],tblDaily[EntryDate],DATE(2026,12,1),tblDaily[WardCode],"FAE")=0,"",SUMIFS(tblDaily[TransfersIn],tblDaily[EntryDate],DATE(2026,12,1),tblDaily[WardCode],"FAE")),"")</f>
        <v/>
      </c>
      <c r="G436" s="12">
        <f>IFERROR(IF(SUMIFS(tblDaily[TransfersOut],tblDaily[EntryDate],DATE(2026,12,1),tblDaily[WardCode],"FAE")=0,"",SUMIFS(tblDaily[TransfersOut],tblDaily[EntryDate],DATE(2026,12,1),tblDaily[WardCode],"FAE")),"")</f>
        <v/>
      </c>
      <c r="H436" s="12">
        <f>IFERROR(IF(SUMIFS(tblDaily[Remaining],tblDaily[EntryDate],DATE(2026,12,1),tblDaily[WardCode],"FAE")=0,"",SUMIFS(tblDaily[Remaining],tblDaily[EntryDate],DATE(2026,12,1),tblDaily[WardCode],"FAE")),"")</f>
        <v/>
      </c>
    </row>
    <row r="437">
      <c r="A437" s="12" t="n">
        <v>2</v>
      </c>
      <c r="B437" s="12">
        <f>IFERROR(IF(SUMIFS(tblDaily[Admissions],tblDaily[EntryDate],DATE(2026,12,2),tblDaily[WardCode],"FAE")=0,"",SUMIFS(tblDaily[Admissions],tblDaily[EntryDate],DATE(2026,12,2),tblDaily[WardCode],"FAE")),"")</f>
        <v/>
      </c>
      <c r="C437" s="12">
        <f>IFERROR(IF(SUMIFS(tblDaily[Discharges],tblDaily[EntryDate],DATE(2026,12,2),tblDaily[WardCode],"FAE")=0,"",SUMIFS(tblDaily[Discharges],tblDaily[EntryDate],DATE(2026,12,2),tblDaily[WardCode],"FAE")),"")</f>
        <v/>
      </c>
      <c r="D437" s="12">
        <f>IFERROR(IF(SUMIFS(tblDaily[Deaths],tblDaily[EntryDate],DATE(2026,12,2),tblDaily[WardCode],"FAE")=0,"",SUMIFS(tblDaily[Deaths],tblDaily[EntryDate],DATE(2026,12,2),tblDaily[WardCode],"FAE")),"")</f>
        <v/>
      </c>
      <c r="E437" s="12">
        <f>IFERROR(IF(SUMIFS(tblDaily[DeathsUnder24Hrs],tblDaily[EntryDate],DATE(2026,12,2),tblDaily[WardCode],"FAE")=0,"",SUMIFS(tblDaily[DeathsUnder24Hrs],tblDaily[EntryDate],DATE(2026,12,2),tblDaily[WardCode],"FAE")),"")</f>
        <v/>
      </c>
      <c r="F437" s="12">
        <f>IFERROR(IF(SUMIFS(tblDaily[TransfersIn],tblDaily[EntryDate],DATE(2026,12,2),tblDaily[WardCode],"FAE")=0,"",SUMIFS(tblDaily[TransfersIn],tblDaily[EntryDate],DATE(2026,12,2),tblDaily[WardCode],"FAE")),"")</f>
        <v/>
      </c>
      <c r="G437" s="12">
        <f>IFERROR(IF(SUMIFS(tblDaily[TransfersOut],tblDaily[EntryDate],DATE(2026,12,2),tblDaily[WardCode],"FAE")=0,"",SUMIFS(tblDaily[TransfersOut],tblDaily[EntryDate],DATE(2026,12,2),tblDaily[WardCode],"FAE")),"")</f>
        <v/>
      </c>
      <c r="H437" s="12">
        <f>IFERROR(IF(SUMIFS(tblDaily[Remaining],tblDaily[EntryDate],DATE(2026,12,2),tblDaily[WardCode],"FAE")=0,"",SUMIFS(tblDaily[Remaining],tblDaily[EntryDate],DATE(2026,12,2),tblDaily[WardCode],"FAE")),"")</f>
        <v/>
      </c>
    </row>
    <row r="438">
      <c r="A438" s="12" t="n">
        <v>3</v>
      </c>
      <c r="B438" s="12">
        <f>IFERROR(IF(SUMIFS(tblDaily[Admissions],tblDaily[EntryDate],DATE(2026,12,3),tblDaily[WardCode],"FAE")=0,"",SUMIFS(tblDaily[Admissions],tblDaily[EntryDate],DATE(2026,12,3),tblDaily[WardCode],"FAE")),"")</f>
        <v/>
      </c>
      <c r="C438" s="12">
        <f>IFERROR(IF(SUMIFS(tblDaily[Discharges],tblDaily[EntryDate],DATE(2026,12,3),tblDaily[WardCode],"FAE")=0,"",SUMIFS(tblDaily[Discharges],tblDaily[EntryDate],DATE(2026,12,3),tblDaily[WardCode],"FAE")),"")</f>
        <v/>
      </c>
      <c r="D438" s="12">
        <f>IFERROR(IF(SUMIFS(tblDaily[Deaths],tblDaily[EntryDate],DATE(2026,12,3),tblDaily[WardCode],"FAE")=0,"",SUMIFS(tblDaily[Deaths],tblDaily[EntryDate],DATE(2026,12,3),tblDaily[WardCode],"FAE")),"")</f>
        <v/>
      </c>
      <c r="E438" s="12">
        <f>IFERROR(IF(SUMIFS(tblDaily[DeathsUnder24Hrs],tblDaily[EntryDate],DATE(2026,12,3),tblDaily[WardCode],"FAE")=0,"",SUMIFS(tblDaily[DeathsUnder24Hrs],tblDaily[EntryDate],DATE(2026,12,3),tblDaily[WardCode],"FAE")),"")</f>
        <v/>
      </c>
      <c r="F438" s="12">
        <f>IFERROR(IF(SUMIFS(tblDaily[TransfersIn],tblDaily[EntryDate],DATE(2026,12,3),tblDaily[WardCode],"FAE")=0,"",SUMIFS(tblDaily[TransfersIn],tblDaily[EntryDate],DATE(2026,12,3),tblDaily[WardCode],"FAE")),"")</f>
        <v/>
      </c>
      <c r="G438" s="12">
        <f>IFERROR(IF(SUMIFS(tblDaily[TransfersOut],tblDaily[EntryDate],DATE(2026,12,3),tblDaily[WardCode],"FAE")=0,"",SUMIFS(tblDaily[TransfersOut],tblDaily[EntryDate],DATE(2026,12,3),tblDaily[WardCode],"FAE")),"")</f>
        <v/>
      </c>
      <c r="H438" s="12">
        <f>IFERROR(IF(SUMIFS(tblDaily[Remaining],tblDaily[EntryDate],DATE(2026,12,3),tblDaily[WardCode],"FAE")=0,"",SUMIFS(tblDaily[Remaining],tblDaily[EntryDate],DATE(2026,12,3),tblDaily[WardCode],"FAE")),"")</f>
        <v/>
      </c>
    </row>
    <row r="439">
      <c r="A439" s="12" t="n">
        <v>4</v>
      </c>
      <c r="B439" s="12">
        <f>IFERROR(IF(SUMIFS(tblDaily[Admissions],tblDaily[EntryDate],DATE(2026,12,4),tblDaily[WardCode],"FAE")=0,"",SUMIFS(tblDaily[Admissions],tblDaily[EntryDate],DATE(2026,12,4),tblDaily[WardCode],"FAE")),"")</f>
        <v/>
      </c>
      <c r="C439" s="12">
        <f>IFERROR(IF(SUMIFS(tblDaily[Discharges],tblDaily[EntryDate],DATE(2026,12,4),tblDaily[WardCode],"FAE")=0,"",SUMIFS(tblDaily[Discharges],tblDaily[EntryDate],DATE(2026,12,4),tblDaily[WardCode],"FAE")),"")</f>
        <v/>
      </c>
      <c r="D439" s="12">
        <f>IFERROR(IF(SUMIFS(tblDaily[Deaths],tblDaily[EntryDate],DATE(2026,12,4),tblDaily[WardCode],"FAE")=0,"",SUMIFS(tblDaily[Deaths],tblDaily[EntryDate],DATE(2026,12,4),tblDaily[WardCode],"FAE")),"")</f>
        <v/>
      </c>
      <c r="E439" s="12">
        <f>IFERROR(IF(SUMIFS(tblDaily[DeathsUnder24Hrs],tblDaily[EntryDate],DATE(2026,12,4),tblDaily[WardCode],"FAE")=0,"",SUMIFS(tblDaily[DeathsUnder24Hrs],tblDaily[EntryDate],DATE(2026,12,4),tblDaily[WardCode],"FAE")),"")</f>
        <v/>
      </c>
      <c r="F439" s="12">
        <f>IFERROR(IF(SUMIFS(tblDaily[TransfersIn],tblDaily[EntryDate],DATE(2026,12,4),tblDaily[WardCode],"FAE")=0,"",SUMIFS(tblDaily[TransfersIn],tblDaily[EntryDate],DATE(2026,12,4),tblDaily[WardCode],"FAE")),"")</f>
        <v/>
      </c>
      <c r="G439" s="12">
        <f>IFERROR(IF(SUMIFS(tblDaily[TransfersOut],tblDaily[EntryDate],DATE(2026,12,4),tblDaily[WardCode],"FAE")=0,"",SUMIFS(tblDaily[TransfersOut],tblDaily[EntryDate],DATE(2026,12,4),tblDaily[WardCode],"FAE")),"")</f>
        <v/>
      </c>
      <c r="H439" s="12">
        <f>IFERROR(IF(SUMIFS(tblDaily[Remaining],tblDaily[EntryDate],DATE(2026,12,4),tblDaily[WardCode],"FAE")=0,"",SUMIFS(tblDaily[Remaining],tblDaily[EntryDate],DATE(2026,12,4),tblDaily[WardCode],"FAE")),"")</f>
        <v/>
      </c>
    </row>
    <row r="440">
      <c r="A440" s="12" t="n">
        <v>5</v>
      </c>
      <c r="B440" s="12">
        <f>IFERROR(IF(SUMIFS(tblDaily[Admissions],tblDaily[EntryDate],DATE(2026,12,5),tblDaily[WardCode],"FAE")=0,"",SUMIFS(tblDaily[Admissions],tblDaily[EntryDate],DATE(2026,12,5),tblDaily[WardCode],"FAE")),"")</f>
        <v/>
      </c>
      <c r="C440" s="12">
        <f>IFERROR(IF(SUMIFS(tblDaily[Discharges],tblDaily[EntryDate],DATE(2026,12,5),tblDaily[WardCode],"FAE")=0,"",SUMIFS(tblDaily[Discharges],tblDaily[EntryDate],DATE(2026,12,5),tblDaily[WardCode],"FAE")),"")</f>
        <v/>
      </c>
      <c r="D440" s="12">
        <f>IFERROR(IF(SUMIFS(tblDaily[Deaths],tblDaily[EntryDate],DATE(2026,12,5),tblDaily[WardCode],"FAE")=0,"",SUMIFS(tblDaily[Deaths],tblDaily[EntryDate],DATE(2026,12,5),tblDaily[WardCode],"FAE")),"")</f>
        <v/>
      </c>
      <c r="E440" s="12">
        <f>IFERROR(IF(SUMIFS(tblDaily[DeathsUnder24Hrs],tblDaily[EntryDate],DATE(2026,12,5),tblDaily[WardCode],"FAE")=0,"",SUMIFS(tblDaily[DeathsUnder24Hrs],tblDaily[EntryDate],DATE(2026,12,5),tblDaily[WardCode],"FAE")),"")</f>
        <v/>
      </c>
      <c r="F440" s="12">
        <f>IFERROR(IF(SUMIFS(tblDaily[TransfersIn],tblDaily[EntryDate],DATE(2026,12,5),tblDaily[WardCode],"FAE")=0,"",SUMIFS(tblDaily[TransfersIn],tblDaily[EntryDate],DATE(2026,12,5),tblDaily[WardCode],"FAE")),"")</f>
        <v/>
      </c>
      <c r="G440" s="12">
        <f>IFERROR(IF(SUMIFS(tblDaily[TransfersOut],tblDaily[EntryDate],DATE(2026,12,5),tblDaily[WardCode],"FAE")=0,"",SUMIFS(tblDaily[TransfersOut],tblDaily[EntryDate],DATE(2026,12,5),tblDaily[WardCode],"FAE")),"")</f>
        <v/>
      </c>
      <c r="H440" s="12">
        <f>IFERROR(IF(SUMIFS(tblDaily[Remaining],tblDaily[EntryDate],DATE(2026,12,5),tblDaily[WardCode],"FAE")=0,"",SUMIFS(tblDaily[Remaining],tblDaily[EntryDate],DATE(2026,12,5),tblDaily[WardCode],"FAE")),"")</f>
        <v/>
      </c>
    </row>
    <row r="441">
      <c r="A441" s="12" t="n">
        <v>6</v>
      </c>
      <c r="B441" s="12">
        <f>IFERROR(IF(SUMIFS(tblDaily[Admissions],tblDaily[EntryDate],DATE(2026,12,6),tblDaily[WardCode],"FAE")=0,"",SUMIFS(tblDaily[Admissions],tblDaily[EntryDate],DATE(2026,12,6),tblDaily[WardCode],"FAE")),"")</f>
        <v/>
      </c>
      <c r="C441" s="12">
        <f>IFERROR(IF(SUMIFS(tblDaily[Discharges],tblDaily[EntryDate],DATE(2026,12,6),tblDaily[WardCode],"FAE")=0,"",SUMIFS(tblDaily[Discharges],tblDaily[EntryDate],DATE(2026,12,6),tblDaily[WardCode],"FAE")),"")</f>
        <v/>
      </c>
      <c r="D441" s="12">
        <f>IFERROR(IF(SUMIFS(tblDaily[Deaths],tblDaily[EntryDate],DATE(2026,12,6),tblDaily[WardCode],"FAE")=0,"",SUMIFS(tblDaily[Deaths],tblDaily[EntryDate],DATE(2026,12,6),tblDaily[WardCode],"FAE")),"")</f>
        <v/>
      </c>
      <c r="E441" s="12">
        <f>IFERROR(IF(SUMIFS(tblDaily[DeathsUnder24Hrs],tblDaily[EntryDate],DATE(2026,12,6),tblDaily[WardCode],"FAE")=0,"",SUMIFS(tblDaily[DeathsUnder24Hrs],tblDaily[EntryDate],DATE(2026,12,6),tblDaily[WardCode],"FAE")),"")</f>
        <v/>
      </c>
      <c r="F441" s="12">
        <f>IFERROR(IF(SUMIFS(tblDaily[TransfersIn],tblDaily[EntryDate],DATE(2026,12,6),tblDaily[WardCode],"FAE")=0,"",SUMIFS(tblDaily[TransfersIn],tblDaily[EntryDate],DATE(2026,12,6),tblDaily[WardCode],"FAE")),"")</f>
        <v/>
      </c>
      <c r="G441" s="12">
        <f>IFERROR(IF(SUMIFS(tblDaily[TransfersOut],tblDaily[EntryDate],DATE(2026,12,6),tblDaily[WardCode],"FAE")=0,"",SUMIFS(tblDaily[TransfersOut],tblDaily[EntryDate],DATE(2026,12,6),tblDaily[WardCode],"FAE")),"")</f>
        <v/>
      </c>
      <c r="H441" s="12">
        <f>IFERROR(IF(SUMIFS(tblDaily[Remaining],tblDaily[EntryDate],DATE(2026,12,6),tblDaily[WardCode],"FAE")=0,"",SUMIFS(tblDaily[Remaining],tblDaily[EntryDate],DATE(2026,12,6),tblDaily[WardCode],"FAE")),"")</f>
        <v/>
      </c>
    </row>
    <row r="442">
      <c r="A442" s="12" t="n">
        <v>7</v>
      </c>
      <c r="B442" s="12">
        <f>IFERROR(IF(SUMIFS(tblDaily[Admissions],tblDaily[EntryDate],DATE(2026,12,7),tblDaily[WardCode],"FAE")=0,"",SUMIFS(tblDaily[Admissions],tblDaily[EntryDate],DATE(2026,12,7),tblDaily[WardCode],"FAE")),"")</f>
        <v/>
      </c>
      <c r="C442" s="12">
        <f>IFERROR(IF(SUMIFS(tblDaily[Discharges],tblDaily[EntryDate],DATE(2026,12,7),tblDaily[WardCode],"FAE")=0,"",SUMIFS(tblDaily[Discharges],tblDaily[EntryDate],DATE(2026,12,7),tblDaily[WardCode],"FAE")),"")</f>
        <v/>
      </c>
      <c r="D442" s="12">
        <f>IFERROR(IF(SUMIFS(tblDaily[Deaths],tblDaily[EntryDate],DATE(2026,12,7),tblDaily[WardCode],"FAE")=0,"",SUMIFS(tblDaily[Deaths],tblDaily[EntryDate],DATE(2026,12,7),tblDaily[WardCode],"FAE")),"")</f>
        <v/>
      </c>
      <c r="E442" s="12">
        <f>IFERROR(IF(SUMIFS(tblDaily[DeathsUnder24Hrs],tblDaily[EntryDate],DATE(2026,12,7),tblDaily[WardCode],"FAE")=0,"",SUMIFS(tblDaily[DeathsUnder24Hrs],tblDaily[EntryDate],DATE(2026,12,7),tblDaily[WardCode],"FAE")),"")</f>
        <v/>
      </c>
      <c r="F442" s="12">
        <f>IFERROR(IF(SUMIFS(tblDaily[TransfersIn],tblDaily[EntryDate],DATE(2026,12,7),tblDaily[WardCode],"FAE")=0,"",SUMIFS(tblDaily[TransfersIn],tblDaily[EntryDate],DATE(2026,12,7),tblDaily[WardCode],"FAE")),"")</f>
        <v/>
      </c>
      <c r="G442" s="12">
        <f>IFERROR(IF(SUMIFS(tblDaily[TransfersOut],tblDaily[EntryDate],DATE(2026,12,7),tblDaily[WardCode],"FAE")=0,"",SUMIFS(tblDaily[TransfersOut],tblDaily[EntryDate],DATE(2026,12,7),tblDaily[WardCode],"FAE")),"")</f>
        <v/>
      </c>
      <c r="H442" s="12">
        <f>IFERROR(IF(SUMIFS(tblDaily[Remaining],tblDaily[EntryDate],DATE(2026,12,7),tblDaily[WardCode],"FAE")=0,"",SUMIFS(tblDaily[Remaining],tblDaily[EntryDate],DATE(2026,12,7),tblDaily[WardCode],"FAE")),"")</f>
        <v/>
      </c>
    </row>
    <row r="443">
      <c r="A443" s="12" t="n">
        <v>8</v>
      </c>
      <c r="B443" s="12">
        <f>IFERROR(IF(SUMIFS(tblDaily[Admissions],tblDaily[EntryDate],DATE(2026,12,8),tblDaily[WardCode],"FAE")=0,"",SUMIFS(tblDaily[Admissions],tblDaily[EntryDate],DATE(2026,12,8),tblDaily[WardCode],"FAE")),"")</f>
        <v/>
      </c>
      <c r="C443" s="12">
        <f>IFERROR(IF(SUMIFS(tblDaily[Discharges],tblDaily[EntryDate],DATE(2026,12,8),tblDaily[WardCode],"FAE")=0,"",SUMIFS(tblDaily[Discharges],tblDaily[EntryDate],DATE(2026,12,8),tblDaily[WardCode],"FAE")),"")</f>
        <v/>
      </c>
      <c r="D443" s="12">
        <f>IFERROR(IF(SUMIFS(tblDaily[Deaths],tblDaily[EntryDate],DATE(2026,12,8),tblDaily[WardCode],"FAE")=0,"",SUMIFS(tblDaily[Deaths],tblDaily[EntryDate],DATE(2026,12,8),tblDaily[WardCode],"FAE")),"")</f>
        <v/>
      </c>
      <c r="E443" s="12">
        <f>IFERROR(IF(SUMIFS(tblDaily[DeathsUnder24Hrs],tblDaily[EntryDate],DATE(2026,12,8),tblDaily[WardCode],"FAE")=0,"",SUMIFS(tblDaily[DeathsUnder24Hrs],tblDaily[EntryDate],DATE(2026,12,8),tblDaily[WardCode],"FAE")),"")</f>
        <v/>
      </c>
      <c r="F443" s="12">
        <f>IFERROR(IF(SUMIFS(tblDaily[TransfersIn],tblDaily[EntryDate],DATE(2026,12,8),tblDaily[WardCode],"FAE")=0,"",SUMIFS(tblDaily[TransfersIn],tblDaily[EntryDate],DATE(2026,12,8),tblDaily[WardCode],"FAE")),"")</f>
        <v/>
      </c>
      <c r="G443" s="12">
        <f>IFERROR(IF(SUMIFS(tblDaily[TransfersOut],tblDaily[EntryDate],DATE(2026,12,8),tblDaily[WardCode],"FAE")=0,"",SUMIFS(tblDaily[TransfersOut],tblDaily[EntryDate],DATE(2026,12,8),tblDaily[WardCode],"FAE")),"")</f>
        <v/>
      </c>
      <c r="H443" s="12">
        <f>IFERROR(IF(SUMIFS(tblDaily[Remaining],tblDaily[EntryDate],DATE(2026,12,8),tblDaily[WardCode],"FAE")=0,"",SUMIFS(tblDaily[Remaining],tblDaily[EntryDate],DATE(2026,12,8),tblDaily[WardCode],"FAE")),"")</f>
        <v/>
      </c>
    </row>
    <row r="444">
      <c r="A444" s="12" t="n">
        <v>9</v>
      </c>
      <c r="B444" s="12">
        <f>IFERROR(IF(SUMIFS(tblDaily[Admissions],tblDaily[EntryDate],DATE(2026,12,9),tblDaily[WardCode],"FAE")=0,"",SUMIFS(tblDaily[Admissions],tblDaily[EntryDate],DATE(2026,12,9),tblDaily[WardCode],"FAE")),"")</f>
        <v/>
      </c>
      <c r="C444" s="12">
        <f>IFERROR(IF(SUMIFS(tblDaily[Discharges],tblDaily[EntryDate],DATE(2026,12,9),tblDaily[WardCode],"FAE")=0,"",SUMIFS(tblDaily[Discharges],tblDaily[EntryDate],DATE(2026,12,9),tblDaily[WardCode],"FAE")),"")</f>
        <v/>
      </c>
      <c r="D444" s="12">
        <f>IFERROR(IF(SUMIFS(tblDaily[Deaths],tblDaily[EntryDate],DATE(2026,12,9),tblDaily[WardCode],"FAE")=0,"",SUMIFS(tblDaily[Deaths],tblDaily[EntryDate],DATE(2026,12,9),tblDaily[WardCode],"FAE")),"")</f>
        <v/>
      </c>
      <c r="E444" s="12">
        <f>IFERROR(IF(SUMIFS(tblDaily[DeathsUnder24Hrs],tblDaily[EntryDate],DATE(2026,12,9),tblDaily[WardCode],"FAE")=0,"",SUMIFS(tblDaily[DeathsUnder24Hrs],tblDaily[EntryDate],DATE(2026,12,9),tblDaily[WardCode],"FAE")),"")</f>
        <v/>
      </c>
      <c r="F444" s="12">
        <f>IFERROR(IF(SUMIFS(tblDaily[TransfersIn],tblDaily[EntryDate],DATE(2026,12,9),tblDaily[WardCode],"FAE")=0,"",SUMIFS(tblDaily[TransfersIn],tblDaily[EntryDate],DATE(2026,12,9),tblDaily[WardCode],"FAE")),"")</f>
        <v/>
      </c>
      <c r="G444" s="12">
        <f>IFERROR(IF(SUMIFS(tblDaily[TransfersOut],tblDaily[EntryDate],DATE(2026,12,9),tblDaily[WardCode],"FAE")=0,"",SUMIFS(tblDaily[TransfersOut],tblDaily[EntryDate],DATE(2026,12,9),tblDaily[WardCode],"FAE")),"")</f>
        <v/>
      </c>
      <c r="H444" s="12">
        <f>IFERROR(IF(SUMIFS(tblDaily[Remaining],tblDaily[EntryDate],DATE(2026,12,9),tblDaily[WardCode],"FAE")=0,"",SUMIFS(tblDaily[Remaining],tblDaily[EntryDate],DATE(2026,12,9),tblDaily[WardCode],"FAE")),"")</f>
        <v/>
      </c>
    </row>
    <row r="445">
      <c r="A445" s="12" t="n">
        <v>10</v>
      </c>
      <c r="B445" s="12">
        <f>IFERROR(IF(SUMIFS(tblDaily[Admissions],tblDaily[EntryDate],DATE(2026,12,10),tblDaily[WardCode],"FAE")=0,"",SUMIFS(tblDaily[Admissions],tblDaily[EntryDate],DATE(2026,12,10),tblDaily[WardCode],"FAE")),"")</f>
        <v/>
      </c>
      <c r="C445" s="12">
        <f>IFERROR(IF(SUMIFS(tblDaily[Discharges],tblDaily[EntryDate],DATE(2026,12,10),tblDaily[WardCode],"FAE")=0,"",SUMIFS(tblDaily[Discharges],tblDaily[EntryDate],DATE(2026,12,10),tblDaily[WardCode],"FAE")),"")</f>
        <v/>
      </c>
      <c r="D445" s="12">
        <f>IFERROR(IF(SUMIFS(tblDaily[Deaths],tblDaily[EntryDate],DATE(2026,12,10),tblDaily[WardCode],"FAE")=0,"",SUMIFS(tblDaily[Deaths],tblDaily[EntryDate],DATE(2026,12,10),tblDaily[WardCode],"FAE")),"")</f>
        <v/>
      </c>
      <c r="E445" s="12">
        <f>IFERROR(IF(SUMIFS(tblDaily[DeathsUnder24Hrs],tblDaily[EntryDate],DATE(2026,12,10),tblDaily[WardCode],"FAE")=0,"",SUMIFS(tblDaily[DeathsUnder24Hrs],tblDaily[EntryDate],DATE(2026,12,10),tblDaily[WardCode],"FAE")),"")</f>
        <v/>
      </c>
      <c r="F445" s="12">
        <f>IFERROR(IF(SUMIFS(tblDaily[TransfersIn],tblDaily[EntryDate],DATE(2026,12,10),tblDaily[WardCode],"FAE")=0,"",SUMIFS(tblDaily[TransfersIn],tblDaily[EntryDate],DATE(2026,12,10),tblDaily[WardCode],"FAE")),"")</f>
        <v/>
      </c>
      <c r="G445" s="12">
        <f>IFERROR(IF(SUMIFS(tblDaily[TransfersOut],tblDaily[EntryDate],DATE(2026,12,10),tblDaily[WardCode],"FAE")=0,"",SUMIFS(tblDaily[TransfersOut],tblDaily[EntryDate],DATE(2026,12,10),tblDaily[WardCode],"FAE")),"")</f>
        <v/>
      </c>
      <c r="H445" s="12">
        <f>IFERROR(IF(SUMIFS(tblDaily[Remaining],tblDaily[EntryDate],DATE(2026,12,10),tblDaily[WardCode],"FAE")=0,"",SUMIFS(tblDaily[Remaining],tblDaily[EntryDate],DATE(2026,12,10),tblDaily[WardCode],"FAE")),"")</f>
        <v/>
      </c>
    </row>
    <row r="446">
      <c r="A446" s="12" t="n">
        <v>11</v>
      </c>
      <c r="B446" s="12">
        <f>IFERROR(IF(SUMIFS(tblDaily[Admissions],tblDaily[EntryDate],DATE(2026,12,11),tblDaily[WardCode],"FAE")=0,"",SUMIFS(tblDaily[Admissions],tblDaily[EntryDate],DATE(2026,12,11),tblDaily[WardCode],"FAE")),"")</f>
        <v/>
      </c>
      <c r="C446" s="12">
        <f>IFERROR(IF(SUMIFS(tblDaily[Discharges],tblDaily[EntryDate],DATE(2026,12,11),tblDaily[WardCode],"FAE")=0,"",SUMIFS(tblDaily[Discharges],tblDaily[EntryDate],DATE(2026,12,11),tblDaily[WardCode],"FAE")),"")</f>
        <v/>
      </c>
      <c r="D446" s="12">
        <f>IFERROR(IF(SUMIFS(tblDaily[Deaths],tblDaily[EntryDate],DATE(2026,12,11),tblDaily[WardCode],"FAE")=0,"",SUMIFS(tblDaily[Deaths],tblDaily[EntryDate],DATE(2026,12,11),tblDaily[WardCode],"FAE")),"")</f>
        <v/>
      </c>
      <c r="E446" s="12">
        <f>IFERROR(IF(SUMIFS(tblDaily[DeathsUnder24Hrs],tblDaily[EntryDate],DATE(2026,12,11),tblDaily[WardCode],"FAE")=0,"",SUMIFS(tblDaily[DeathsUnder24Hrs],tblDaily[EntryDate],DATE(2026,12,11),tblDaily[WardCode],"FAE")),"")</f>
        <v/>
      </c>
      <c r="F446" s="12">
        <f>IFERROR(IF(SUMIFS(tblDaily[TransfersIn],tblDaily[EntryDate],DATE(2026,12,11),tblDaily[WardCode],"FAE")=0,"",SUMIFS(tblDaily[TransfersIn],tblDaily[EntryDate],DATE(2026,12,11),tblDaily[WardCode],"FAE")),"")</f>
        <v/>
      </c>
      <c r="G446" s="12">
        <f>IFERROR(IF(SUMIFS(tblDaily[TransfersOut],tblDaily[EntryDate],DATE(2026,12,11),tblDaily[WardCode],"FAE")=0,"",SUMIFS(tblDaily[TransfersOut],tblDaily[EntryDate],DATE(2026,12,11),tblDaily[WardCode],"FAE")),"")</f>
        <v/>
      </c>
      <c r="H446" s="12">
        <f>IFERROR(IF(SUMIFS(tblDaily[Remaining],tblDaily[EntryDate],DATE(2026,12,11),tblDaily[WardCode],"FAE")=0,"",SUMIFS(tblDaily[Remaining],tblDaily[EntryDate],DATE(2026,12,11),tblDaily[WardCode],"FAE")),"")</f>
        <v/>
      </c>
    </row>
    <row r="447">
      <c r="A447" s="12" t="n">
        <v>12</v>
      </c>
      <c r="B447" s="12">
        <f>IFERROR(IF(SUMIFS(tblDaily[Admissions],tblDaily[EntryDate],DATE(2026,12,12),tblDaily[WardCode],"FAE")=0,"",SUMIFS(tblDaily[Admissions],tblDaily[EntryDate],DATE(2026,12,12),tblDaily[WardCode],"FAE")),"")</f>
        <v/>
      </c>
      <c r="C447" s="12">
        <f>IFERROR(IF(SUMIFS(tblDaily[Discharges],tblDaily[EntryDate],DATE(2026,12,12),tblDaily[WardCode],"FAE")=0,"",SUMIFS(tblDaily[Discharges],tblDaily[EntryDate],DATE(2026,12,12),tblDaily[WardCode],"FAE")),"")</f>
        <v/>
      </c>
      <c r="D447" s="12">
        <f>IFERROR(IF(SUMIFS(tblDaily[Deaths],tblDaily[EntryDate],DATE(2026,12,12),tblDaily[WardCode],"FAE")=0,"",SUMIFS(tblDaily[Deaths],tblDaily[EntryDate],DATE(2026,12,12),tblDaily[WardCode],"FAE")),"")</f>
        <v/>
      </c>
      <c r="E447" s="12">
        <f>IFERROR(IF(SUMIFS(tblDaily[DeathsUnder24Hrs],tblDaily[EntryDate],DATE(2026,12,12),tblDaily[WardCode],"FAE")=0,"",SUMIFS(tblDaily[DeathsUnder24Hrs],tblDaily[EntryDate],DATE(2026,12,12),tblDaily[WardCode],"FAE")),"")</f>
        <v/>
      </c>
      <c r="F447" s="12">
        <f>IFERROR(IF(SUMIFS(tblDaily[TransfersIn],tblDaily[EntryDate],DATE(2026,12,12),tblDaily[WardCode],"FAE")=0,"",SUMIFS(tblDaily[TransfersIn],tblDaily[EntryDate],DATE(2026,12,12),tblDaily[WardCode],"FAE")),"")</f>
        <v/>
      </c>
      <c r="G447" s="12">
        <f>IFERROR(IF(SUMIFS(tblDaily[TransfersOut],tblDaily[EntryDate],DATE(2026,12,12),tblDaily[WardCode],"FAE")=0,"",SUMIFS(tblDaily[TransfersOut],tblDaily[EntryDate],DATE(2026,12,12),tblDaily[WardCode],"FAE")),"")</f>
        <v/>
      </c>
      <c r="H447" s="12">
        <f>IFERROR(IF(SUMIFS(tblDaily[Remaining],tblDaily[EntryDate],DATE(2026,12,12),tblDaily[WardCode],"FAE")=0,"",SUMIFS(tblDaily[Remaining],tblDaily[EntryDate],DATE(2026,12,12),tblDaily[WardCode],"FAE")),"")</f>
        <v/>
      </c>
    </row>
    <row r="448">
      <c r="A448" s="12" t="n">
        <v>13</v>
      </c>
      <c r="B448" s="12">
        <f>IFERROR(IF(SUMIFS(tblDaily[Admissions],tblDaily[EntryDate],DATE(2026,12,13),tblDaily[WardCode],"FAE")=0,"",SUMIFS(tblDaily[Admissions],tblDaily[EntryDate],DATE(2026,12,13),tblDaily[WardCode],"FAE")),"")</f>
        <v/>
      </c>
      <c r="C448" s="12">
        <f>IFERROR(IF(SUMIFS(tblDaily[Discharges],tblDaily[EntryDate],DATE(2026,12,13),tblDaily[WardCode],"FAE")=0,"",SUMIFS(tblDaily[Discharges],tblDaily[EntryDate],DATE(2026,12,13),tblDaily[WardCode],"FAE")),"")</f>
        <v/>
      </c>
      <c r="D448" s="12">
        <f>IFERROR(IF(SUMIFS(tblDaily[Deaths],tblDaily[EntryDate],DATE(2026,12,13),tblDaily[WardCode],"FAE")=0,"",SUMIFS(tblDaily[Deaths],tblDaily[EntryDate],DATE(2026,12,13),tblDaily[WardCode],"FAE")),"")</f>
        <v/>
      </c>
      <c r="E448" s="12">
        <f>IFERROR(IF(SUMIFS(tblDaily[DeathsUnder24Hrs],tblDaily[EntryDate],DATE(2026,12,13),tblDaily[WardCode],"FAE")=0,"",SUMIFS(tblDaily[DeathsUnder24Hrs],tblDaily[EntryDate],DATE(2026,12,13),tblDaily[WardCode],"FAE")),"")</f>
        <v/>
      </c>
      <c r="F448" s="12">
        <f>IFERROR(IF(SUMIFS(tblDaily[TransfersIn],tblDaily[EntryDate],DATE(2026,12,13),tblDaily[WardCode],"FAE")=0,"",SUMIFS(tblDaily[TransfersIn],tblDaily[EntryDate],DATE(2026,12,13),tblDaily[WardCode],"FAE")),"")</f>
        <v/>
      </c>
      <c r="G448" s="12">
        <f>IFERROR(IF(SUMIFS(tblDaily[TransfersOut],tblDaily[EntryDate],DATE(2026,12,13),tblDaily[WardCode],"FAE")=0,"",SUMIFS(tblDaily[TransfersOut],tblDaily[EntryDate],DATE(2026,12,13),tblDaily[WardCode],"FAE")),"")</f>
        <v/>
      </c>
      <c r="H448" s="12">
        <f>IFERROR(IF(SUMIFS(tblDaily[Remaining],tblDaily[EntryDate],DATE(2026,12,13),tblDaily[WardCode],"FAE")=0,"",SUMIFS(tblDaily[Remaining],tblDaily[EntryDate],DATE(2026,12,13),tblDaily[WardCode],"FAE")),"")</f>
        <v/>
      </c>
    </row>
    <row r="449">
      <c r="A449" s="12" t="n">
        <v>14</v>
      </c>
      <c r="B449" s="12">
        <f>IFERROR(IF(SUMIFS(tblDaily[Admissions],tblDaily[EntryDate],DATE(2026,12,14),tblDaily[WardCode],"FAE")=0,"",SUMIFS(tblDaily[Admissions],tblDaily[EntryDate],DATE(2026,12,14),tblDaily[WardCode],"FAE")),"")</f>
        <v/>
      </c>
      <c r="C449" s="12">
        <f>IFERROR(IF(SUMIFS(tblDaily[Discharges],tblDaily[EntryDate],DATE(2026,12,14),tblDaily[WardCode],"FAE")=0,"",SUMIFS(tblDaily[Discharges],tblDaily[EntryDate],DATE(2026,12,14),tblDaily[WardCode],"FAE")),"")</f>
        <v/>
      </c>
      <c r="D449" s="12">
        <f>IFERROR(IF(SUMIFS(tblDaily[Deaths],tblDaily[EntryDate],DATE(2026,12,14),tblDaily[WardCode],"FAE")=0,"",SUMIFS(tblDaily[Deaths],tblDaily[EntryDate],DATE(2026,12,14),tblDaily[WardCode],"FAE")),"")</f>
        <v/>
      </c>
      <c r="E449" s="12">
        <f>IFERROR(IF(SUMIFS(tblDaily[DeathsUnder24Hrs],tblDaily[EntryDate],DATE(2026,12,14),tblDaily[WardCode],"FAE")=0,"",SUMIFS(tblDaily[DeathsUnder24Hrs],tblDaily[EntryDate],DATE(2026,12,14),tblDaily[WardCode],"FAE")),"")</f>
        <v/>
      </c>
      <c r="F449" s="12">
        <f>IFERROR(IF(SUMIFS(tblDaily[TransfersIn],tblDaily[EntryDate],DATE(2026,12,14),tblDaily[WardCode],"FAE")=0,"",SUMIFS(tblDaily[TransfersIn],tblDaily[EntryDate],DATE(2026,12,14),tblDaily[WardCode],"FAE")),"")</f>
        <v/>
      </c>
      <c r="G449" s="12">
        <f>IFERROR(IF(SUMIFS(tblDaily[TransfersOut],tblDaily[EntryDate],DATE(2026,12,14),tblDaily[WardCode],"FAE")=0,"",SUMIFS(tblDaily[TransfersOut],tblDaily[EntryDate],DATE(2026,12,14),tblDaily[WardCode],"FAE")),"")</f>
        <v/>
      </c>
      <c r="H449" s="12">
        <f>IFERROR(IF(SUMIFS(tblDaily[Remaining],tblDaily[EntryDate],DATE(2026,12,14),tblDaily[WardCode],"FAE")=0,"",SUMIFS(tblDaily[Remaining],tblDaily[EntryDate],DATE(2026,12,14),tblDaily[WardCode],"FAE")),"")</f>
        <v/>
      </c>
    </row>
    <row r="450">
      <c r="A450" s="12" t="n">
        <v>15</v>
      </c>
      <c r="B450" s="12">
        <f>IFERROR(IF(SUMIFS(tblDaily[Admissions],tblDaily[EntryDate],DATE(2026,12,15),tblDaily[WardCode],"FAE")=0,"",SUMIFS(tblDaily[Admissions],tblDaily[EntryDate],DATE(2026,12,15),tblDaily[WardCode],"FAE")),"")</f>
        <v/>
      </c>
      <c r="C450" s="12">
        <f>IFERROR(IF(SUMIFS(tblDaily[Discharges],tblDaily[EntryDate],DATE(2026,12,15),tblDaily[WardCode],"FAE")=0,"",SUMIFS(tblDaily[Discharges],tblDaily[EntryDate],DATE(2026,12,15),tblDaily[WardCode],"FAE")),"")</f>
        <v/>
      </c>
      <c r="D450" s="12">
        <f>IFERROR(IF(SUMIFS(tblDaily[Deaths],tblDaily[EntryDate],DATE(2026,12,15),tblDaily[WardCode],"FAE")=0,"",SUMIFS(tblDaily[Deaths],tblDaily[EntryDate],DATE(2026,12,15),tblDaily[WardCode],"FAE")),"")</f>
        <v/>
      </c>
      <c r="E450" s="12">
        <f>IFERROR(IF(SUMIFS(tblDaily[DeathsUnder24Hrs],tblDaily[EntryDate],DATE(2026,12,15),tblDaily[WardCode],"FAE")=0,"",SUMIFS(tblDaily[DeathsUnder24Hrs],tblDaily[EntryDate],DATE(2026,12,15),tblDaily[WardCode],"FAE")),"")</f>
        <v/>
      </c>
      <c r="F450" s="12">
        <f>IFERROR(IF(SUMIFS(tblDaily[TransfersIn],tblDaily[EntryDate],DATE(2026,12,15),tblDaily[WardCode],"FAE")=0,"",SUMIFS(tblDaily[TransfersIn],tblDaily[EntryDate],DATE(2026,12,15),tblDaily[WardCode],"FAE")),"")</f>
        <v/>
      </c>
      <c r="G450" s="12">
        <f>IFERROR(IF(SUMIFS(tblDaily[TransfersOut],tblDaily[EntryDate],DATE(2026,12,15),tblDaily[WardCode],"FAE")=0,"",SUMIFS(tblDaily[TransfersOut],tblDaily[EntryDate],DATE(2026,12,15),tblDaily[WardCode],"FAE")),"")</f>
        <v/>
      </c>
      <c r="H450" s="12">
        <f>IFERROR(IF(SUMIFS(tblDaily[Remaining],tblDaily[EntryDate],DATE(2026,12,15),tblDaily[WardCode],"FAE")=0,"",SUMIFS(tblDaily[Remaining],tblDaily[EntryDate],DATE(2026,12,15),tblDaily[WardCode],"FAE")),"")</f>
        <v/>
      </c>
    </row>
    <row r="451">
      <c r="A451" s="12" t="n">
        <v>16</v>
      </c>
      <c r="B451" s="12">
        <f>IFERROR(IF(SUMIFS(tblDaily[Admissions],tblDaily[EntryDate],DATE(2026,12,16),tblDaily[WardCode],"FAE")=0,"",SUMIFS(tblDaily[Admissions],tblDaily[EntryDate],DATE(2026,12,16),tblDaily[WardCode],"FAE")),"")</f>
        <v/>
      </c>
      <c r="C451" s="12">
        <f>IFERROR(IF(SUMIFS(tblDaily[Discharges],tblDaily[EntryDate],DATE(2026,12,16),tblDaily[WardCode],"FAE")=0,"",SUMIFS(tblDaily[Discharges],tblDaily[EntryDate],DATE(2026,12,16),tblDaily[WardCode],"FAE")),"")</f>
        <v/>
      </c>
      <c r="D451" s="12">
        <f>IFERROR(IF(SUMIFS(tblDaily[Deaths],tblDaily[EntryDate],DATE(2026,12,16),tblDaily[WardCode],"FAE")=0,"",SUMIFS(tblDaily[Deaths],tblDaily[EntryDate],DATE(2026,12,16),tblDaily[WardCode],"FAE")),"")</f>
        <v/>
      </c>
      <c r="E451" s="12">
        <f>IFERROR(IF(SUMIFS(tblDaily[DeathsUnder24Hrs],tblDaily[EntryDate],DATE(2026,12,16),tblDaily[WardCode],"FAE")=0,"",SUMIFS(tblDaily[DeathsUnder24Hrs],tblDaily[EntryDate],DATE(2026,12,16),tblDaily[WardCode],"FAE")),"")</f>
        <v/>
      </c>
      <c r="F451" s="12">
        <f>IFERROR(IF(SUMIFS(tblDaily[TransfersIn],tblDaily[EntryDate],DATE(2026,12,16),tblDaily[WardCode],"FAE")=0,"",SUMIFS(tblDaily[TransfersIn],tblDaily[EntryDate],DATE(2026,12,16),tblDaily[WardCode],"FAE")),"")</f>
        <v/>
      </c>
      <c r="G451" s="12">
        <f>IFERROR(IF(SUMIFS(tblDaily[TransfersOut],tblDaily[EntryDate],DATE(2026,12,16),tblDaily[WardCode],"FAE")=0,"",SUMIFS(tblDaily[TransfersOut],tblDaily[EntryDate],DATE(2026,12,16),tblDaily[WardCode],"FAE")),"")</f>
        <v/>
      </c>
      <c r="H451" s="12">
        <f>IFERROR(IF(SUMIFS(tblDaily[Remaining],tblDaily[EntryDate],DATE(2026,12,16),tblDaily[WardCode],"FAE")=0,"",SUMIFS(tblDaily[Remaining],tblDaily[EntryDate],DATE(2026,12,16),tblDaily[WardCode],"FAE")),"")</f>
        <v/>
      </c>
    </row>
    <row r="452">
      <c r="A452" s="12" t="n">
        <v>17</v>
      </c>
      <c r="B452" s="12">
        <f>IFERROR(IF(SUMIFS(tblDaily[Admissions],tblDaily[EntryDate],DATE(2026,12,17),tblDaily[WardCode],"FAE")=0,"",SUMIFS(tblDaily[Admissions],tblDaily[EntryDate],DATE(2026,12,17),tblDaily[WardCode],"FAE")),"")</f>
        <v/>
      </c>
      <c r="C452" s="12">
        <f>IFERROR(IF(SUMIFS(tblDaily[Discharges],tblDaily[EntryDate],DATE(2026,12,17),tblDaily[WardCode],"FAE")=0,"",SUMIFS(tblDaily[Discharges],tblDaily[EntryDate],DATE(2026,12,17),tblDaily[WardCode],"FAE")),"")</f>
        <v/>
      </c>
      <c r="D452" s="12">
        <f>IFERROR(IF(SUMIFS(tblDaily[Deaths],tblDaily[EntryDate],DATE(2026,12,17),tblDaily[WardCode],"FAE")=0,"",SUMIFS(tblDaily[Deaths],tblDaily[EntryDate],DATE(2026,12,17),tblDaily[WardCode],"FAE")),"")</f>
        <v/>
      </c>
      <c r="E452" s="12">
        <f>IFERROR(IF(SUMIFS(tblDaily[DeathsUnder24Hrs],tblDaily[EntryDate],DATE(2026,12,17),tblDaily[WardCode],"FAE")=0,"",SUMIFS(tblDaily[DeathsUnder24Hrs],tblDaily[EntryDate],DATE(2026,12,17),tblDaily[WardCode],"FAE")),"")</f>
        <v/>
      </c>
      <c r="F452" s="12">
        <f>IFERROR(IF(SUMIFS(tblDaily[TransfersIn],tblDaily[EntryDate],DATE(2026,12,17),tblDaily[WardCode],"FAE")=0,"",SUMIFS(tblDaily[TransfersIn],tblDaily[EntryDate],DATE(2026,12,17),tblDaily[WardCode],"FAE")),"")</f>
        <v/>
      </c>
      <c r="G452" s="12">
        <f>IFERROR(IF(SUMIFS(tblDaily[TransfersOut],tblDaily[EntryDate],DATE(2026,12,17),tblDaily[WardCode],"FAE")=0,"",SUMIFS(tblDaily[TransfersOut],tblDaily[EntryDate],DATE(2026,12,17),tblDaily[WardCode],"FAE")),"")</f>
        <v/>
      </c>
      <c r="H452" s="12">
        <f>IFERROR(IF(SUMIFS(tblDaily[Remaining],tblDaily[EntryDate],DATE(2026,12,17),tblDaily[WardCode],"FAE")=0,"",SUMIFS(tblDaily[Remaining],tblDaily[EntryDate],DATE(2026,12,17),tblDaily[WardCode],"FAE")),"")</f>
        <v/>
      </c>
    </row>
    <row r="453">
      <c r="A453" s="12" t="n">
        <v>18</v>
      </c>
      <c r="B453" s="12">
        <f>IFERROR(IF(SUMIFS(tblDaily[Admissions],tblDaily[EntryDate],DATE(2026,12,18),tblDaily[WardCode],"FAE")=0,"",SUMIFS(tblDaily[Admissions],tblDaily[EntryDate],DATE(2026,12,18),tblDaily[WardCode],"FAE")),"")</f>
        <v/>
      </c>
      <c r="C453" s="12">
        <f>IFERROR(IF(SUMIFS(tblDaily[Discharges],tblDaily[EntryDate],DATE(2026,12,18),tblDaily[WardCode],"FAE")=0,"",SUMIFS(tblDaily[Discharges],tblDaily[EntryDate],DATE(2026,12,18),tblDaily[WardCode],"FAE")),"")</f>
        <v/>
      </c>
      <c r="D453" s="12">
        <f>IFERROR(IF(SUMIFS(tblDaily[Deaths],tblDaily[EntryDate],DATE(2026,12,18),tblDaily[WardCode],"FAE")=0,"",SUMIFS(tblDaily[Deaths],tblDaily[EntryDate],DATE(2026,12,18),tblDaily[WardCode],"FAE")),"")</f>
        <v/>
      </c>
      <c r="E453" s="12">
        <f>IFERROR(IF(SUMIFS(tblDaily[DeathsUnder24Hrs],tblDaily[EntryDate],DATE(2026,12,18),tblDaily[WardCode],"FAE")=0,"",SUMIFS(tblDaily[DeathsUnder24Hrs],tblDaily[EntryDate],DATE(2026,12,18),tblDaily[WardCode],"FAE")),"")</f>
        <v/>
      </c>
      <c r="F453" s="12">
        <f>IFERROR(IF(SUMIFS(tblDaily[TransfersIn],tblDaily[EntryDate],DATE(2026,12,18),tblDaily[WardCode],"FAE")=0,"",SUMIFS(tblDaily[TransfersIn],tblDaily[EntryDate],DATE(2026,12,18),tblDaily[WardCode],"FAE")),"")</f>
        <v/>
      </c>
      <c r="G453" s="12">
        <f>IFERROR(IF(SUMIFS(tblDaily[TransfersOut],tblDaily[EntryDate],DATE(2026,12,18),tblDaily[WardCode],"FAE")=0,"",SUMIFS(tblDaily[TransfersOut],tblDaily[EntryDate],DATE(2026,12,18),tblDaily[WardCode],"FAE")),"")</f>
        <v/>
      </c>
      <c r="H453" s="12">
        <f>IFERROR(IF(SUMIFS(tblDaily[Remaining],tblDaily[EntryDate],DATE(2026,12,18),tblDaily[WardCode],"FAE")=0,"",SUMIFS(tblDaily[Remaining],tblDaily[EntryDate],DATE(2026,12,18),tblDaily[WardCode],"FAE")),"")</f>
        <v/>
      </c>
    </row>
    <row r="454">
      <c r="A454" s="12" t="n">
        <v>19</v>
      </c>
      <c r="B454" s="12">
        <f>IFERROR(IF(SUMIFS(tblDaily[Admissions],tblDaily[EntryDate],DATE(2026,12,19),tblDaily[WardCode],"FAE")=0,"",SUMIFS(tblDaily[Admissions],tblDaily[EntryDate],DATE(2026,12,19),tblDaily[WardCode],"FAE")),"")</f>
        <v/>
      </c>
      <c r="C454" s="12">
        <f>IFERROR(IF(SUMIFS(tblDaily[Discharges],tblDaily[EntryDate],DATE(2026,12,19),tblDaily[WardCode],"FAE")=0,"",SUMIFS(tblDaily[Discharges],tblDaily[EntryDate],DATE(2026,12,19),tblDaily[WardCode],"FAE")),"")</f>
        <v/>
      </c>
      <c r="D454" s="12">
        <f>IFERROR(IF(SUMIFS(tblDaily[Deaths],tblDaily[EntryDate],DATE(2026,12,19),tblDaily[WardCode],"FAE")=0,"",SUMIFS(tblDaily[Deaths],tblDaily[EntryDate],DATE(2026,12,19),tblDaily[WardCode],"FAE")),"")</f>
        <v/>
      </c>
      <c r="E454" s="12">
        <f>IFERROR(IF(SUMIFS(tblDaily[DeathsUnder24Hrs],tblDaily[EntryDate],DATE(2026,12,19),tblDaily[WardCode],"FAE")=0,"",SUMIFS(tblDaily[DeathsUnder24Hrs],tblDaily[EntryDate],DATE(2026,12,19),tblDaily[WardCode],"FAE")),"")</f>
        <v/>
      </c>
      <c r="F454" s="12">
        <f>IFERROR(IF(SUMIFS(tblDaily[TransfersIn],tblDaily[EntryDate],DATE(2026,12,19),tblDaily[WardCode],"FAE")=0,"",SUMIFS(tblDaily[TransfersIn],tblDaily[EntryDate],DATE(2026,12,19),tblDaily[WardCode],"FAE")),"")</f>
        <v/>
      </c>
      <c r="G454" s="12">
        <f>IFERROR(IF(SUMIFS(tblDaily[TransfersOut],tblDaily[EntryDate],DATE(2026,12,19),tblDaily[WardCode],"FAE")=0,"",SUMIFS(tblDaily[TransfersOut],tblDaily[EntryDate],DATE(2026,12,19),tblDaily[WardCode],"FAE")),"")</f>
        <v/>
      </c>
      <c r="H454" s="12">
        <f>IFERROR(IF(SUMIFS(tblDaily[Remaining],tblDaily[EntryDate],DATE(2026,12,19),tblDaily[WardCode],"FAE")=0,"",SUMIFS(tblDaily[Remaining],tblDaily[EntryDate],DATE(2026,12,19),tblDaily[WardCode],"FAE")),"")</f>
        <v/>
      </c>
    </row>
    <row r="455">
      <c r="A455" s="12" t="n">
        <v>20</v>
      </c>
      <c r="B455" s="12">
        <f>IFERROR(IF(SUMIFS(tblDaily[Admissions],tblDaily[EntryDate],DATE(2026,12,20),tblDaily[WardCode],"FAE")=0,"",SUMIFS(tblDaily[Admissions],tblDaily[EntryDate],DATE(2026,12,20),tblDaily[WardCode],"FAE")),"")</f>
        <v/>
      </c>
      <c r="C455" s="12">
        <f>IFERROR(IF(SUMIFS(tblDaily[Discharges],tblDaily[EntryDate],DATE(2026,12,20),tblDaily[WardCode],"FAE")=0,"",SUMIFS(tblDaily[Discharges],tblDaily[EntryDate],DATE(2026,12,20),tblDaily[WardCode],"FAE")),"")</f>
        <v/>
      </c>
      <c r="D455" s="12">
        <f>IFERROR(IF(SUMIFS(tblDaily[Deaths],tblDaily[EntryDate],DATE(2026,12,20),tblDaily[WardCode],"FAE")=0,"",SUMIFS(tblDaily[Deaths],tblDaily[EntryDate],DATE(2026,12,20),tblDaily[WardCode],"FAE")),"")</f>
        <v/>
      </c>
      <c r="E455" s="12">
        <f>IFERROR(IF(SUMIFS(tblDaily[DeathsUnder24Hrs],tblDaily[EntryDate],DATE(2026,12,20),tblDaily[WardCode],"FAE")=0,"",SUMIFS(tblDaily[DeathsUnder24Hrs],tblDaily[EntryDate],DATE(2026,12,20),tblDaily[WardCode],"FAE")),"")</f>
        <v/>
      </c>
      <c r="F455" s="12">
        <f>IFERROR(IF(SUMIFS(tblDaily[TransfersIn],tblDaily[EntryDate],DATE(2026,12,20),tblDaily[WardCode],"FAE")=0,"",SUMIFS(tblDaily[TransfersIn],tblDaily[EntryDate],DATE(2026,12,20),tblDaily[WardCode],"FAE")),"")</f>
        <v/>
      </c>
      <c r="G455" s="12">
        <f>IFERROR(IF(SUMIFS(tblDaily[TransfersOut],tblDaily[EntryDate],DATE(2026,12,20),tblDaily[WardCode],"FAE")=0,"",SUMIFS(tblDaily[TransfersOut],tblDaily[EntryDate],DATE(2026,12,20),tblDaily[WardCode],"FAE")),"")</f>
        <v/>
      </c>
      <c r="H455" s="12">
        <f>IFERROR(IF(SUMIFS(tblDaily[Remaining],tblDaily[EntryDate],DATE(2026,12,20),tblDaily[WardCode],"FAE")=0,"",SUMIFS(tblDaily[Remaining],tblDaily[EntryDate],DATE(2026,12,20),tblDaily[WardCode],"FAE")),"")</f>
        <v/>
      </c>
    </row>
    <row r="456">
      <c r="A456" s="12" t="n">
        <v>21</v>
      </c>
      <c r="B456" s="12">
        <f>IFERROR(IF(SUMIFS(tblDaily[Admissions],tblDaily[EntryDate],DATE(2026,12,21),tblDaily[WardCode],"FAE")=0,"",SUMIFS(tblDaily[Admissions],tblDaily[EntryDate],DATE(2026,12,21),tblDaily[WardCode],"FAE")),"")</f>
        <v/>
      </c>
      <c r="C456" s="12">
        <f>IFERROR(IF(SUMIFS(tblDaily[Discharges],tblDaily[EntryDate],DATE(2026,12,21),tblDaily[WardCode],"FAE")=0,"",SUMIFS(tblDaily[Discharges],tblDaily[EntryDate],DATE(2026,12,21),tblDaily[WardCode],"FAE")),"")</f>
        <v/>
      </c>
      <c r="D456" s="12">
        <f>IFERROR(IF(SUMIFS(tblDaily[Deaths],tblDaily[EntryDate],DATE(2026,12,21),tblDaily[WardCode],"FAE")=0,"",SUMIFS(tblDaily[Deaths],tblDaily[EntryDate],DATE(2026,12,21),tblDaily[WardCode],"FAE")),"")</f>
        <v/>
      </c>
      <c r="E456" s="12">
        <f>IFERROR(IF(SUMIFS(tblDaily[DeathsUnder24Hrs],tblDaily[EntryDate],DATE(2026,12,21),tblDaily[WardCode],"FAE")=0,"",SUMIFS(tblDaily[DeathsUnder24Hrs],tblDaily[EntryDate],DATE(2026,12,21),tblDaily[WardCode],"FAE")),"")</f>
        <v/>
      </c>
      <c r="F456" s="12">
        <f>IFERROR(IF(SUMIFS(tblDaily[TransfersIn],tblDaily[EntryDate],DATE(2026,12,21),tblDaily[WardCode],"FAE")=0,"",SUMIFS(tblDaily[TransfersIn],tblDaily[EntryDate],DATE(2026,12,21),tblDaily[WardCode],"FAE")),"")</f>
        <v/>
      </c>
      <c r="G456" s="12">
        <f>IFERROR(IF(SUMIFS(tblDaily[TransfersOut],tblDaily[EntryDate],DATE(2026,12,21),tblDaily[WardCode],"FAE")=0,"",SUMIFS(tblDaily[TransfersOut],tblDaily[EntryDate],DATE(2026,12,21),tblDaily[WardCode],"FAE")),"")</f>
        <v/>
      </c>
      <c r="H456" s="12">
        <f>IFERROR(IF(SUMIFS(tblDaily[Remaining],tblDaily[EntryDate],DATE(2026,12,21),tblDaily[WardCode],"FAE")=0,"",SUMIFS(tblDaily[Remaining],tblDaily[EntryDate],DATE(2026,12,21),tblDaily[WardCode],"FAE")),"")</f>
        <v/>
      </c>
    </row>
    <row r="457">
      <c r="A457" s="12" t="n">
        <v>22</v>
      </c>
      <c r="B457" s="12">
        <f>IFERROR(IF(SUMIFS(tblDaily[Admissions],tblDaily[EntryDate],DATE(2026,12,22),tblDaily[WardCode],"FAE")=0,"",SUMIFS(tblDaily[Admissions],tblDaily[EntryDate],DATE(2026,12,22),tblDaily[WardCode],"FAE")),"")</f>
        <v/>
      </c>
      <c r="C457" s="12">
        <f>IFERROR(IF(SUMIFS(tblDaily[Discharges],tblDaily[EntryDate],DATE(2026,12,22),tblDaily[WardCode],"FAE")=0,"",SUMIFS(tblDaily[Discharges],tblDaily[EntryDate],DATE(2026,12,22),tblDaily[WardCode],"FAE")),"")</f>
        <v/>
      </c>
      <c r="D457" s="12">
        <f>IFERROR(IF(SUMIFS(tblDaily[Deaths],tblDaily[EntryDate],DATE(2026,12,22),tblDaily[WardCode],"FAE")=0,"",SUMIFS(tblDaily[Deaths],tblDaily[EntryDate],DATE(2026,12,22),tblDaily[WardCode],"FAE")),"")</f>
        <v/>
      </c>
      <c r="E457" s="12">
        <f>IFERROR(IF(SUMIFS(tblDaily[DeathsUnder24Hrs],tblDaily[EntryDate],DATE(2026,12,22),tblDaily[WardCode],"FAE")=0,"",SUMIFS(tblDaily[DeathsUnder24Hrs],tblDaily[EntryDate],DATE(2026,12,22),tblDaily[WardCode],"FAE")),"")</f>
        <v/>
      </c>
      <c r="F457" s="12">
        <f>IFERROR(IF(SUMIFS(tblDaily[TransfersIn],tblDaily[EntryDate],DATE(2026,12,22),tblDaily[WardCode],"FAE")=0,"",SUMIFS(tblDaily[TransfersIn],tblDaily[EntryDate],DATE(2026,12,22),tblDaily[WardCode],"FAE")),"")</f>
        <v/>
      </c>
      <c r="G457" s="12">
        <f>IFERROR(IF(SUMIFS(tblDaily[TransfersOut],tblDaily[EntryDate],DATE(2026,12,22),tblDaily[WardCode],"FAE")=0,"",SUMIFS(tblDaily[TransfersOut],tblDaily[EntryDate],DATE(2026,12,22),tblDaily[WardCode],"FAE")),"")</f>
        <v/>
      </c>
      <c r="H457" s="12">
        <f>IFERROR(IF(SUMIFS(tblDaily[Remaining],tblDaily[EntryDate],DATE(2026,12,22),tblDaily[WardCode],"FAE")=0,"",SUMIFS(tblDaily[Remaining],tblDaily[EntryDate],DATE(2026,12,22),tblDaily[WardCode],"FAE")),"")</f>
        <v/>
      </c>
    </row>
    <row r="458">
      <c r="A458" s="12" t="n">
        <v>23</v>
      </c>
      <c r="B458" s="12">
        <f>IFERROR(IF(SUMIFS(tblDaily[Admissions],tblDaily[EntryDate],DATE(2026,12,23),tblDaily[WardCode],"FAE")=0,"",SUMIFS(tblDaily[Admissions],tblDaily[EntryDate],DATE(2026,12,23),tblDaily[WardCode],"FAE")),"")</f>
        <v/>
      </c>
      <c r="C458" s="12">
        <f>IFERROR(IF(SUMIFS(tblDaily[Discharges],tblDaily[EntryDate],DATE(2026,12,23),tblDaily[WardCode],"FAE")=0,"",SUMIFS(tblDaily[Discharges],tblDaily[EntryDate],DATE(2026,12,23),tblDaily[WardCode],"FAE")),"")</f>
        <v/>
      </c>
      <c r="D458" s="12">
        <f>IFERROR(IF(SUMIFS(tblDaily[Deaths],tblDaily[EntryDate],DATE(2026,12,23),tblDaily[WardCode],"FAE")=0,"",SUMIFS(tblDaily[Deaths],tblDaily[EntryDate],DATE(2026,12,23),tblDaily[WardCode],"FAE")),"")</f>
        <v/>
      </c>
      <c r="E458" s="12">
        <f>IFERROR(IF(SUMIFS(tblDaily[DeathsUnder24Hrs],tblDaily[EntryDate],DATE(2026,12,23),tblDaily[WardCode],"FAE")=0,"",SUMIFS(tblDaily[DeathsUnder24Hrs],tblDaily[EntryDate],DATE(2026,12,23),tblDaily[WardCode],"FAE")),"")</f>
        <v/>
      </c>
      <c r="F458" s="12">
        <f>IFERROR(IF(SUMIFS(tblDaily[TransfersIn],tblDaily[EntryDate],DATE(2026,12,23),tblDaily[WardCode],"FAE")=0,"",SUMIFS(tblDaily[TransfersIn],tblDaily[EntryDate],DATE(2026,12,23),tblDaily[WardCode],"FAE")),"")</f>
        <v/>
      </c>
      <c r="G458" s="12">
        <f>IFERROR(IF(SUMIFS(tblDaily[TransfersOut],tblDaily[EntryDate],DATE(2026,12,23),tblDaily[WardCode],"FAE")=0,"",SUMIFS(tblDaily[TransfersOut],tblDaily[EntryDate],DATE(2026,12,23),tblDaily[WardCode],"FAE")),"")</f>
        <v/>
      </c>
      <c r="H458" s="12">
        <f>IFERROR(IF(SUMIFS(tblDaily[Remaining],tblDaily[EntryDate],DATE(2026,12,23),tblDaily[WardCode],"FAE")=0,"",SUMIFS(tblDaily[Remaining],tblDaily[EntryDate],DATE(2026,12,23),tblDaily[WardCode],"FAE")),"")</f>
        <v/>
      </c>
    </row>
    <row r="459">
      <c r="A459" s="12" t="n">
        <v>24</v>
      </c>
      <c r="B459" s="12">
        <f>IFERROR(IF(SUMIFS(tblDaily[Admissions],tblDaily[EntryDate],DATE(2026,12,24),tblDaily[WardCode],"FAE")=0,"",SUMIFS(tblDaily[Admissions],tblDaily[EntryDate],DATE(2026,12,24),tblDaily[WardCode],"FAE")),"")</f>
        <v/>
      </c>
      <c r="C459" s="12">
        <f>IFERROR(IF(SUMIFS(tblDaily[Discharges],tblDaily[EntryDate],DATE(2026,12,24),tblDaily[WardCode],"FAE")=0,"",SUMIFS(tblDaily[Discharges],tblDaily[EntryDate],DATE(2026,12,24),tblDaily[WardCode],"FAE")),"")</f>
        <v/>
      </c>
      <c r="D459" s="12">
        <f>IFERROR(IF(SUMIFS(tblDaily[Deaths],tblDaily[EntryDate],DATE(2026,12,24),tblDaily[WardCode],"FAE")=0,"",SUMIFS(tblDaily[Deaths],tblDaily[EntryDate],DATE(2026,12,24),tblDaily[WardCode],"FAE")),"")</f>
        <v/>
      </c>
      <c r="E459" s="12">
        <f>IFERROR(IF(SUMIFS(tblDaily[DeathsUnder24Hrs],tblDaily[EntryDate],DATE(2026,12,24),tblDaily[WardCode],"FAE")=0,"",SUMIFS(tblDaily[DeathsUnder24Hrs],tblDaily[EntryDate],DATE(2026,12,24),tblDaily[WardCode],"FAE")),"")</f>
        <v/>
      </c>
      <c r="F459" s="12">
        <f>IFERROR(IF(SUMIFS(tblDaily[TransfersIn],tblDaily[EntryDate],DATE(2026,12,24),tblDaily[WardCode],"FAE")=0,"",SUMIFS(tblDaily[TransfersIn],tblDaily[EntryDate],DATE(2026,12,24),tblDaily[WardCode],"FAE")),"")</f>
        <v/>
      </c>
      <c r="G459" s="12">
        <f>IFERROR(IF(SUMIFS(tblDaily[TransfersOut],tblDaily[EntryDate],DATE(2026,12,24),tblDaily[WardCode],"FAE")=0,"",SUMIFS(tblDaily[TransfersOut],tblDaily[EntryDate],DATE(2026,12,24),tblDaily[WardCode],"FAE")),"")</f>
        <v/>
      </c>
      <c r="H459" s="12">
        <f>IFERROR(IF(SUMIFS(tblDaily[Remaining],tblDaily[EntryDate],DATE(2026,12,24),tblDaily[WardCode],"FAE")=0,"",SUMIFS(tblDaily[Remaining],tblDaily[EntryDate],DATE(2026,12,24),tblDaily[WardCode],"FAE")),"")</f>
        <v/>
      </c>
    </row>
    <row r="460">
      <c r="A460" s="12" t="n">
        <v>25</v>
      </c>
      <c r="B460" s="12">
        <f>IFERROR(IF(SUMIFS(tblDaily[Admissions],tblDaily[EntryDate],DATE(2026,12,25),tblDaily[WardCode],"FAE")=0,"",SUMIFS(tblDaily[Admissions],tblDaily[EntryDate],DATE(2026,12,25),tblDaily[WardCode],"FAE")),"")</f>
        <v/>
      </c>
      <c r="C460" s="12">
        <f>IFERROR(IF(SUMIFS(tblDaily[Discharges],tblDaily[EntryDate],DATE(2026,12,25),tblDaily[WardCode],"FAE")=0,"",SUMIFS(tblDaily[Discharges],tblDaily[EntryDate],DATE(2026,12,25),tblDaily[WardCode],"FAE")),"")</f>
        <v/>
      </c>
      <c r="D460" s="12">
        <f>IFERROR(IF(SUMIFS(tblDaily[Deaths],tblDaily[EntryDate],DATE(2026,12,25),tblDaily[WardCode],"FAE")=0,"",SUMIFS(tblDaily[Deaths],tblDaily[EntryDate],DATE(2026,12,25),tblDaily[WardCode],"FAE")),"")</f>
        <v/>
      </c>
      <c r="E460" s="12">
        <f>IFERROR(IF(SUMIFS(tblDaily[DeathsUnder24Hrs],tblDaily[EntryDate],DATE(2026,12,25),tblDaily[WardCode],"FAE")=0,"",SUMIFS(tblDaily[DeathsUnder24Hrs],tblDaily[EntryDate],DATE(2026,12,25),tblDaily[WardCode],"FAE")),"")</f>
        <v/>
      </c>
      <c r="F460" s="12">
        <f>IFERROR(IF(SUMIFS(tblDaily[TransfersIn],tblDaily[EntryDate],DATE(2026,12,25),tblDaily[WardCode],"FAE")=0,"",SUMIFS(tblDaily[TransfersIn],tblDaily[EntryDate],DATE(2026,12,25),tblDaily[WardCode],"FAE")),"")</f>
        <v/>
      </c>
      <c r="G460" s="12">
        <f>IFERROR(IF(SUMIFS(tblDaily[TransfersOut],tblDaily[EntryDate],DATE(2026,12,25),tblDaily[WardCode],"FAE")=0,"",SUMIFS(tblDaily[TransfersOut],tblDaily[EntryDate],DATE(2026,12,25),tblDaily[WardCode],"FAE")),"")</f>
        <v/>
      </c>
      <c r="H460" s="12">
        <f>IFERROR(IF(SUMIFS(tblDaily[Remaining],tblDaily[EntryDate],DATE(2026,12,25),tblDaily[WardCode],"FAE")=0,"",SUMIFS(tblDaily[Remaining],tblDaily[EntryDate],DATE(2026,12,25),tblDaily[WardCode],"FAE")),"")</f>
        <v/>
      </c>
    </row>
    <row r="461">
      <c r="A461" s="12" t="n">
        <v>26</v>
      </c>
      <c r="B461" s="12">
        <f>IFERROR(IF(SUMIFS(tblDaily[Admissions],tblDaily[EntryDate],DATE(2026,12,26),tblDaily[WardCode],"FAE")=0,"",SUMIFS(tblDaily[Admissions],tblDaily[EntryDate],DATE(2026,12,26),tblDaily[WardCode],"FAE")),"")</f>
        <v/>
      </c>
      <c r="C461" s="12">
        <f>IFERROR(IF(SUMIFS(tblDaily[Discharges],tblDaily[EntryDate],DATE(2026,12,26),tblDaily[WardCode],"FAE")=0,"",SUMIFS(tblDaily[Discharges],tblDaily[EntryDate],DATE(2026,12,26),tblDaily[WardCode],"FAE")),"")</f>
        <v/>
      </c>
      <c r="D461" s="12">
        <f>IFERROR(IF(SUMIFS(tblDaily[Deaths],tblDaily[EntryDate],DATE(2026,12,26),tblDaily[WardCode],"FAE")=0,"",SUMIFS(tblDaily[Deaths],tblDaily[EntryDate],DATE(2026,12,26),tblDaily[WardCode],"FAE")),"")</f>
        <v/>
      </c>
      <c r="E461" s="12">
        <f>IFERROR(IF(SUMIFS(tblDaily[DeathsUnder24Hrs],tblDaily[EntryDate],DATE(2026,12,26),tblDaily[WardCode],"FAE")=0,"",SUMIFS(tblDaily[DeathsUnder24Hrs],tblDaily[EntryDate],DATE(2026,12,26),tblDaily[WardCode],"FAE")),"")</f>
        <v/>
      </c>
      <c r="F461" s="12">
        <f>IFERROR(IF(SUMIFS(tblDaily[TransfersIn],tblDaily[EntryDate],DATE(2026,12,26),tblDaily[WardCode],"FAE")=0,"",SUMIFS(tblDaily[TransfersIn],tblDaily[EntryDate],DATE(2026,12,26),tblDaily[WardCode],"FAE")),"")</f>
        <v/>
      </c>
      <c r="G461" s="12">
        <f>IFERROR(IF(SUMIFS(tblDaily[TransfersOut],tblDaily[EntryDate],DATE(2026,12,26),tblDaily[WardCode],"FAE")=0,"",SUMIFS(tblDaily[TransfersOut],tblDaily[EntryDate],DATE(2026,12,26),tblDaily[WardCode],"FAE")),"")</f>
        <v/>
      </c>
      <c r="H461" s="12">
        <f>IFERROR(IF(SUMIFS(tblDaily[Remaining],tblDaily[EntryDate],DATE(2026,12,26),tblDaily[WardCode],"FAE")=0,"",SUMIFS(tblDaily[Remaining],tblDaily[EntryDate],DATE(2026,12,26),tblDaily[WardCode],"FAE")),"")</f>
        <v/>
      </c>
    </row>
    <row r="462">
      <c r="A462" s="12" t="n">
        <v>27</v>
      </c>
      <c r="B462" s="12">
        <f>IFERROR(IF(SUMIFS(tblDaily[Admissions],tblDaily[EntryDate],DATE(2026,12,27),tblDaily[WardCode],"FAE")=0,"",SUMIFS(tblDaily[Admissions],tblDaily[EntryDate],DATE(2026,12,27),tblDaily[WardCode],"FAE")),"")</f>
        <v/>
      </c>
      <c r="C462" s="12">
        <f>IFERROR(IF(SUMIFS(tblDaily[Discharges],tblDaily[EntryDate],DATE(2026,12,27),tblDaily[WardCode],"FAE")=0,"",SUMIFS(tblDaily[Discharges],tblDaily[EntryDate],DATE(2026,12,27),tblDaily[WardCode],"FAE")),"")</f>
        <v/>
      </c>
      <c r="D462" s="12">
        <f>IFERROR(IF(SUMIFS(tblDaily[Deaths],tblDaily[EntryDate],DATE(2026,12,27),tblDaily[WardCode],"FAE")=0,"",SUMIFS(tblDaily[Deaths],tblDaily[EntryDate],DATE(2026,12,27),tblDaily[WardCode],"FAE")),"")</f>
        <v/>
      </c>
      <c r="E462" s="12">
        <f>IFERROR(IF(SUMIFS(tblDaily[DeathsUnder24Hrs],tblDaily[EntryDate],DATE(2026,12,27),tblDaily[WardCode],"FAE")=0,"",SUMIFS(tblDaily[DeathsUnder24Hrs],tblDaily[EntryDate],DATE(2026,12,27),tblDaily[WardCode],"FAE")),"")</f>
        <v/>
      </c>
      <c r="F462" s="12">
        <f>IFERROR(IF(SUMIFS(tblDaily[TransfersIn],tblDaily[EntryDate],DATE(2026,12,27),tblDaily[WardCode],"FAE")=0,"",SUMIFS(tblDaily[TransfersIn],tblDaily[EntryDate],DATE(2026,12,27),tblDaily[WardCode],"FAE")),"")</f>
        <v/>
      </c>
      <c r="G462" s="12">
        <f>IFERROR(IF(SUMIFS(tblDaily[TransfersOut],tblDaily[EntryDate],DATE(2026,12,27),tblDaily[WardCode],"FAE")=0,"",SUMIFS(tblDaily[TransfersOut],tblDaily[EntryDate],DATE(2026,12,27),tblDaily[WardCode],"FAE")),"")</f>
        <v/>
      </c>
      <c r="H462" s="12">
        <f>IFERROR(IF(SUMIFS(tblDaily[Remaining],tblDaily[EntryDate],DATE(2026,12,27),tblDaily[WardCode],"FAE")=0,"",SUMIFS(tblDaily[Remaining],tblDaily[EntryDate],DATE(2026,12,27),tblDaily[WardCode],"FAE")),"")</f>
        <v/>
      </c>
    </row>
    <row r="463">
      <c r="A463" s="12" t="n">
        <v>28</v>
      </c>
      <c r="B463" s="12">
        <f>IFERROR(IF(SUMIFS(tblDaily[Admissions],tblDaily[EntryDate],DATE(2026,12,28),tblDaily[WardCode],"FAE")=0,"",SUMIFS(tblDaily[Admissions],tblDaily[EntryDate],DATE(2026,12,28),tblDaily[WardCode],"FAE")),"")</f>
        <v/>
      </c>
      <c r="C463" s="12">
        <f>IFERROR(IF(SUMIFS(tblDaily[Discharges],tblDaily[EntryDate],DATE(2026,12,28),tblDaily[WardCode],"FAE")=0,"",SUMIFS(tblDaily[Discharges],tblDaily[EntryDate],DATE(2026,12,28),tblDaily[WardCode],"FAE")),"")</f>
        <v/>
      </c>
      <c r="D463" s="12">
        <f>IFERROR(IF(SUMIFS(tblDaily[Deaths],tblDaily[EntryDate],DATE(2026,12,28),tblDaily[WardCode],"FAE")=0,"",SUMIFS(tblDaily[Deaths],tblDaily[EntryDate],DATE(2026,12,28),tblDaily[WardCode],"FAE")),"")</f>
        <v/>
      </c>
      <c r="E463" s="12">
        <f>IFERROR(IF(SUMIFS(tblDaily[DeathsUnder24Hrs],tblDaily[EntryDate],DATE(2026,12,28),tblDaily[WardCode],"FAE")=0,"",SUMIFS(tblDaily[DeathsUnder24Hrs],tblDaily[EntryDate],DATE(2026,12,28),tblDaily[WardCode],"FAE")),"")</f>
        <v/>
      </c>
      <c r="F463" s="12">
        <f>IFERROR(IF(SUMIFS(tblDaily[TransfersIn],tblDaily[EntryDate],DATE(2026,12,28),tblDaily[WardCode],"FAE")=0,"",SUMIFS(tblDaily[TransfersIn],tblDaily[EntryDate],DATE(2026,12,28),tblDaily[WardCode],"FAE")),"")</f>
        <v/>
      </c>
      <c r="G463" s="12">
        <f>IFERROR(IF(SUMIFS(tblDaily[TransfersOut],tblDaily[EntryDate],DATE(2026,12,28),tblDaily[WardCode],"FAE")=0,"",SUMIFS(tblDaily[TransfersOut],tblDaily[EntryDate],DATE(2026,12,28),tblDaily[WardCode],"FAE")),"")</f>
        <v/>
      </c>
      <c r="H463" s="12">
        <f>IFERROR(IF(SUMIFS(tblDaily[Remaining],tblDaily[EntryDate],DATE(2026,12,28),tblDaily[WardCode],"FAE")=0,"",SUMIFS(tblDaily[Remaining],tblDaily[EntryDate],DATE(2026,12,28),tblDaily[WardCode],"FAE")),"")</f>
        <v/>
      </c>
    </row>
    <row r="464">
      <c r="A464" s="12" t="n">
        <v>29</v>
      </c>
      <c r="B464" s="12">
        <f>IFERROR(IF(SUMIFS(tblDaily[Admissions],tblDaily[EntryDate],DATE(2026,12,29),tblDaily[WardCode],"FAE")=0,"",SUMIFS(tblDaily[Admissions],tblDaily[EntryDate],DATE(2026,12,29),tblDaily[WardCode],"FAE")),"")</f>
        <v/>
      </c>
      <c r="C464" s="12">
        <f>IFERROR(IF(SUMIFS(tblDaily[Discharges],tblDaily[EntryDate],DATE(2026,12,29),tblDaily[WardCode],"FAE")=0,"",SUMIFS(tblDaily[Discharges],tblDaily[EntryDate],DATE(2026,12,29),tblDaily[WardCode],"FAE")),"")</f>
        <v/>
      </c>
      <c r="D464" s="12">
        <f>IFERROR(IF(SUMIFS(tblDaily[Deaths],tblDaily[EntryDate],DATE(2026,12,29),tblDaily[WardCode],"FAE")=0,"",SUMIFS(tblDaily[Deaths],tblDaily[EntryDate],DATE(2026,12,29),tblDaily[WardCode],"FAE")),"")</f>
        <v/>
      </c>
      <c r="E464" s="12">
        <f>IFERROR(IF(SUMIFS(tblDaily[DeathsUnder24Hrs],tblDaily[EntryDate],DATE(2026,12,29),tblDaily[WardCode],"FAE")=0,"",SUMIFS(tblDaily[DeathsUnder24Hrs],tblDaily[EntryDate],DATE(2026,12,29),tblDaily[WardCode],"FAE")),"")</f>
        <v/>
      </c>
      <c r="F464" s="12">
        <f>IFERROR(IF(SUMIFS(tblDaily[TransfersIn],tblDaily[EntryDate],DATE(2026,12,29),tblDaily[WardCode],"FAE")=0,"",SUMIFS(tblDaily[TransfersIn],tblDaily[EntryDate],DATE(2026,12,29),tblDaily[WardCode],"FAE")),"")</f>
        <v/>
      </c>
      <c r="G464" s="12">
        <f>IFERROR(IF(SUMIFS(tblDaily[TransfersOut],tblDaily[EntryDate],DATE(2026,12,29),tblDaily[WardCode],"FAE")=0,"",SUMIFS(tblDaily[TransfersOut],tblDaily[EntryDate],DATE(2026,12,29),tblDaily[WardCode],"FAE")),"")</f>
        <v/>
      </c>
      <c r="H464" s="12">
        <f>IFERROR(IF(SUMIFS(tblDaily[Remaining],tblDaily[EntryDate],DATE(2026,12,29),tblDaily[WardCode],"FAE")=0,"",SUMIFS(tblDaily[Remaining],tblDaily[EntryDate],DATE(2026,12,29),tblDaily[WardCode],"FAE")),"")</f>
        <v/>
      </c>
    </row>
    <row r="465">
      <c r="A465" s="12" t="n">
        <v>30</v>
      </c>
      <c r="B465" s="12">
        <f>IFERROR(IF(SUMIFS(tblDaily[Admissions],tblDaily[EntryDate],DATE(2026,12,30),tblDaily[WardCode],"FAE")=0,"",SUMIFS(tblDaily[Admissions],tblDaily[EntryDate],DATE(2026,12,30),tblDaily[WardCode],"FAE")),"")</f>
        <v/>
      </c>
      <c r="C465" s="12">
        <f>IFERROR(IF(SUMIFS(tblDaily[Discharges],tblDaily[EntryDate],DATE(2026,12,30),tblDaily[WardCode],"FAE")=0,"",SUMIFS(tblDaily[Discharges],tblDaily[EntryDate],DATE(2026,12,30),tblDaily[WardCode],"FAE")),"")</f>
        <v/>
      </c>
      <c r="D465" s="12">
        <f>IFERROR(IF(SUMIFS(tblDaily[Deaths],tblDaily[EntryDate],DATE(2026,12,30),tblDaily[WardCode],"FAE")=0,"",SUMIFS(tblDaily[Deaths],tblDaily[EntryDate],DATE(2026,12,30),tblDaily[WardCode],"FAE")),"")</f>
        <v/>
      </c>
      <c r="E465" s="12">
        <f>IFERROR(IF(SUMIFS(tblDaily[DeathsUnder24Hrs],tblDaily[EntryDate],DATE(2026,12,30),tblDaily[WardCode],"FAE")=0,"",SUMIFS(tblDaily[DeathsUnder24Hrs],tblDaily[EntryDate],DATE(2026,12,30),tblDaily[WardCode],"FAE")),"")</f>
        <v/>
      </c>
      <c r="F465" s="12">
        <f>IFERROR(IF(SUMIFS(tblDaily[TransfersIn],tblDaily[EntryDate],DATE(2026,12,30),tblDaily[WardCode],"FAE")=0,"",SUMIFS(tblDaily[TransfersIn],tblDaily[EntryDate],DATE(2026,12,30),tblDaily[WardCode],"FAE")),"")</f>
        <v/>
      </c>
      <c r="G465" s="12">
        <f>IFERROR(IF(SUMIFS(tblDaily[TransfersOut],tblDaily[EntryDate],DATE(2026,12,30),tblDaily[WardCode],"FAE")=0,"",SUMIFS(tblDaily[TransfersOut],tblDaily[EntryDate],DATE(2026,12,30),tblDaily[WardCode],"FAE")),"")</f>
        <v/>
      </c>
      <c r="H465" s="12">
        <f>IFERROR(IF(SUMIFS(tblDaily[Remaining],tblDaily[EntryDate],DATE(2026,12,30),tblDaily[WardCode],"FAE")=0,"",SUMIFS(tblDaily[Remaining],tblDaily[EntryDate],DATE(2026,12,30),tblDaily[WardCode],"FAE")),"")</f>
        <v/>
      </c>
    </row>
    <row r="466">
      <c r="A466" s="12" t="n">
        <v>31</v>
      </c>
      <c r="B466" s="12">
        <f>IFERROR(IF(SUMIFS(tblDaily[Admissions],tblDaily[EntryDate],DATE(2026,12,31),tblDaily[WardCode],"FAE")=0,"",SUMIFS(tblDaily[Admissions],tblDaily[EntryDate],DATE(2026,12,31),tblDaily[WardCode],"FAE")),"")</f>
        <v/>
      </c>
      <c r="C466" s="12">
        <f>IFERROR(IF(SUMIFS(tblDaily[Discharges],tblDaily[EntryDate],DATE(2026,12,31),tblDaily[WardCode],"FAE")=0,"",SUMIFS(tblDaily[Discharges],tblDaily[EntryDate],DATE(2026,12,31),tblDaily[WardCode],"FAE")),"")</f>
        <v/>
      </c>
      <c r="D466" s="12">
        <f>IFERROR(IF(SUMIFS(tblDaily[Deaths],tblDaily[EntryDate],DATE(2026,12,31),tblDaily[WardCode],"FAE")=0,"",SUMIFS(tblDaily[Deaths],tblDaily[EntryDate],DATE(2026,12,31),tblDaily[WardCode],"FAE")),"")</f>
        <v/>
      </c>
      <c r="E466" s="12">
        <f>IFERROR(IF(SUMIFS(tblDaily[DeathsUnder24Hrs],tblDaily[EntryDate],DATE(2026,12,31),tblDaily[WardCode],"FAE")=0,"",SUMIFS(tblDaily[DeathsUnder24Hrs],tblDaily[EntryDate],DATE(2026,12,31),tblDaily[WardCode],"FAE")),"")</f>
        <v/>
      </c>
      <c r="F466" s="12">
        <f>IFERROR(IF(SUMIFS(tblDaily[TransfersIn],tblDaily[EntryDate],DATE(2026,12,31),tblDaily[WardCode],"FAE")=0,"",SUMIFS(tblDaily[TransfersIn],tblDaily[EntryDate],DATE(2026,12,31),tblDaily[WardCode],"FAE")),"")</f>
        <v/>
      </c>
      <c r="G466" s="12">
        <f>IFERROR(IF(SUMIFS(tblDaily[TransfersOut],tblDaily[EntryDate],DATE(2026,12,31),tblDaily[WardCode],"FAE")=0,"",SUMIFS(tblDaily[TransfersOut],tblDaily[EntryDate],DATE(2026,12,31),tblDaily[WardCode],"FAE")),"")</f>
        <v/>
      </c>
      <c r="H466" s="12">
        <f>IFERROR(IF(SUMIFS(tblDaily[Remaining],tblDaily[EntryDate],DATE(2026,12,31),tblDaily[WardCode],"FAE")=0,"",SUMIFS(tblDaily[Remaining],tblDaily[EntryDate],DATE(2026,12,31),tblDaily[WardCode],"FAE")),"")</f>
        <v/>
      </c>
    </row>
    <row r="467">
      <c r="A467" s="17" t="inlineStr">
        <is>
          <t>TOTAL</t>
        </is>
      </c>
      <c r="B467" s="17">
        <f>SUMIFS(tblDaily[Admissions],tblDaily[Month],12,tblDaily[WardCode],"FAE") - SUMIFS(tblDaily[DeathsUnder24Hrs],tblDaily[Month],12,tblDaily[WardCode],"FAE")</f>
        <v/>
      </c>
      <c r="C467" s="17">
        <f>SUMIFS(tblDaily[Discharges],tblDaily[Month],12,tblDaily[WardCode],"FAE")</f>
        <v/>
      </c>
      <c r="D467" s="17">
        <f>SUMIFS(tblDaily[Deaths],tblDaily[Month],12,tblDaily[WardCode],"FAE")</f>
        <v/>
      </c>
      <c r="E467" s="17">
        <f>SUMIFS(tblDaily[DeathsUnder24Hrs],tblDaily[Month],12,tblDaily[WardCode],"FAE")</f>
        <v/>
      </c>
      <c r="F467" s="17">
        <f>SUMIFS(tblDaily[TransfersIn],tblDaily[Month],12,tblDaily[WardCode],"FAE")</f>
        <v/>
      </c>
      <c r="G467" s="17">
        <f>SUMIFS(tblDaily[TransfersOut],tblDaily[Month],12,tblDaily[WardCode],"FAE")</f>
        <v/>
      </c>
      <c r="H467" s="17">
        <f>SUMIFS(tblDaily[Remaining],tblDaily[Month],12,tblDaily[WardCode],"FAE")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5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P47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8" customWidth="1" min="16" max="16"/>
  </cols>
  <sheetData>
    <row r="1">
      <c r="A1" s="19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E3" s="4" t="inlineStr">
        <is>
          <t>Ward:</t>
        </is>
      </c>
      <c r="F3" s="4" t="inlineStr">
        <is>
          <t>EMERGENCY (COMBINED)</t>
        </is>
      </c>
      <c r="M3" s="4" t="inlineStr">
        <is>
          <t>MONTH</t>
        </is>
      </c>
      <c r="N3" s="4" t="inlineStr">
        <is>
          <t>JANUARY</t>
        </is>
      </c>
    </row>
    <row r="4">
      <c r="A4" s="4" t="inlineStr">
        <is>
          <t>Number of patients remaining as at last day of previous month</t>
        </is>
      </c>
      <c r="B4" s="20">
        <f>IFERROR(INDEX(tblWardConfig[PrevYearRemaining],MATCH("MAE",tblWardConfig[WardCode],0)),0)</f>
        <v/>
      </c>
      <c r="I4" s="20">
        <f>IFERROR(INDEX(tblWardConfig[PrevYearRemaining],MATCH("FAE",tblWardConfig[WardCode],0)),0)</f>
        <v/>
      </c>
    </row>
    <row r="5">
      <c r="A5" s="4" t="inlineStr">
        <is>
          <t>Bed complement</t>
        </is>
      </c>
      <c r="B5" s="20">
        <f>IFERROR(INDEX(tblWardConfig[BedComplement],MATCH("MAE",tblWardConfig[WardCode],0)),0)</f>
        <v/>
      </c>
      <c r="I5" s="20">
        <f>IFERROR(INDEX(tblWardConfig[BedComplement],MATCH("FAE",tblWardConfig[WardCode],0)),0)</f>
        <v/>
      </c>
      <c r="O5" s="21">
        <f>B5+I5</f>
        <v/>
      </c>
    </row>
    <row r="6">
      <c r="A6" s="11" t="inlineStr">
        <is>
          <t>Day</t>
        </is>
      </c>
      <c r="B6" s="22" t="inlineStr">
        <is>
          <t>MALE EMERGENCY</t>
        </is>
      </c>
      <c r="I6" s="23" t="inlineStr">
        <is>
          <t>FEMALE EMERGENCY</t>
        </is>
      </c>
      <c r="P6" s="24" t="inlineStr">
        <is>
          <t>TOTAL</t>
        </is>
      </c>
    </row>
    <row r="7">
      <c r="A7" s="11" t="inlineStr">
        <is>
          <t>Day</t>
        </is>
      </c>
      <c r="B7" s="11" t="inlineStr">
        <is>
          <t>Adm</t>
        </is>
      </c>
      <c r="C7" s="11" t="inlineStr">
        <is>
          <t>Dis</t>
        </is>
      </c>
      <c r="D7" s="11" t="inlineStr">
        <is>
          <t>Dth</t>
        </is>
      </c>
      <c r="E7" s="11" t="inlineStr">
        <is>
          <t>D&lt;24</t>
        </is>
      </c>
      <c r="F7" s="11" t="inlineStr">
        <is>
          <t>TrIn</t>
        </is>
      </c>
      <c r="G7" s="11" t="inlineStr">
        <is>
          <t>TrOut</t>
        </is>
      </c>
      <c r="H7" s="11" t="inlineStr">
        <is>
          <t>Rem</t>
        </is>
      </c>
      <c r="I7" s="11" t="inlineStr">
        <is>
          <t>Adm</t>
        </is>
      </c>
      <c r="J7" s="11" t="inlineStr">
        <is>
          <t>Dis</t>
        </is>
      </c>
      <c r="K7" s="11" t="inlineStr">
        <is>
          <t>Dth</t>
        </is>
      </c>
      <c r="L7" s="11" t="inlineStr">
        <is>
          <t>D&lt;24</t>
        </is>
      </c>
      <c r="M7" s="11" t="inlineStr">
        <is>
          <t>TrIn</t>
        </is>
      </c>
      <c r="N7" s="11" t="inlineStr">
        <is>
          <t>TrOut</t>
        </is>
      </c>
      <c r="O7" s="11" t="inlineStr">
        <is>
          <t>Rem</t>
        </is>
      </c>
      <c r="P7" s="11" t="inlineStr">
        <is>
          <t>Tot
Rem</t>
        </is>
      </c>
    </row>
    <row r="8">
      <c r="A8" s="25" t="n">
        <v>1</v>
      </c>
      <c r="B8" s="25">
        <f>IFERROR(IF(SUMIFS(tblDaily[Admissions],tblDaily[EntryDate],DATE(2026,1,1),tblDaily[WardCode],"MAE")=0,"",SUMIFS(tblDaily[Admissions],tblDaily[EntryDate],DATE(2026,1,1),tblDaily[WardCode],"MAE")),"")</f>
        <v/>
      </c>
      <c r="C8" s="25">
        <f>IFERROR(IF(SUMIFS(tblDaily[Discharges],tblDaily[EntryDate],DATE(2026,1,1),tblDaily[WardCode],"MAE")=0,"",SUMIFS(tblDaily[Discharges],tblDaily[EntryDate],DATE(2026,1,1),tblDaily[WardCode],"MAE")),"")</f>
        <v/>
      </c>
      <c r="D8" s="25">
        <f>IFERROR(IF(SUMIFS(tblDaily[Deaths],tblDaily[EntryDate],DATE(2026,1,1),tblDaily[WardCode],"MAE")=0,"",SUMIFS(tblDaily[Deaths],tblDaily[EntryDate],DATE(2026,1,1),tblDaily[WardCode],"MAE")),"")</f>
        <v/>
      </c>
      <c r="E8" s="25">
        <f>IFERROR(IF(SUMIFS(tblDaily[DeathsUnder24Hrs],tblDaily[EntryDate],DATE(2026,1,1),tblDaily[WardCode],"MAE")=0,"",SUMIFS(tblDaily[DeathsUnder24Hrs],tblDaily[EntryDate],DATE(2026,1,1),tblDaily[WardCode],"MAE")),"")</f>
        <v/>
      </c>
      <c r="F8" s="25">
        <f>IFERROR(IF(SUMIFS(tblDaily[TransfersIn],tblDaily[EntryDate],DATE(2026,1,1),tblDaily[WardCode],"MAE")=0,"",SUMIFS(tblDaily[TransfersIn],tblDaily[EntryDate],DATE(2026,1,1),tblDaily[WardCode],"MAE")),"")</f>
        <v/>
      </c>
      <c r="G8" s="25">
        <f>IFERROR(IF(SUMIFS(tblDaily[TransfersOut],tblDaily[EntryDate],DATE(2026,1,1),tblDaily[WardCode],"MAE")=0,"",SUMIFS(tblDaily[TransfersOut],tblDaily[EntryDate],DATE(2026,1,1),tblDaily[WardCode],"MAE")),"")</f>
        <v/>
      </c>
      <c r="H8" s="25">
        <f>IFERROR(IF(SUMIFS(tblDaily[Remaining],tblDaily[EntryDate],DATE(2026,1,1),tblDaily[WardCode],"MAE")=0,"",SUMIFS(tblDaily[Remaining],tblDaily[EntryDate],DATE(2026,1,1),tblDaily[WardCode],"MAE")),"")</f>
        <v/>
      </c>
      <c r="I8" s="25">
        <f>IFERROR(IF(SUMIFS(tblDaily[Admissions],tblDaily[EntryDate],DATE(2026,1,1),tblDaily[WardCode],"FAE")=0,"",SUMIFS(tblDaily[Admissions],tblDaily[EntryDate],DATE(2026,1,1),tblDaily[WardCode],"FAE")),"")</f>
        <v/>
      </c>
      <c r="J8" s="25">
        <f>IFERROR(IF(SUMIFS(tblDaily[Discharges],tblDaily[EntryDate],DATE(2026,1,1),tblDaily[WardCode],"FAE")=0,"",SUMIFS(tblDaily[Discharges],tblDaily[EntryDate],DATE(2026,1,1),tblDaily[WardCode],"FAE")),"")</f>
        <v/>
      </c>
      <c r="K8" s="25">
        <f>IFERROR(IF(SUMIFS(tblDaily[Deaths],tblDaily[EntryDate],DATE(2026,1,1),tblDaily[WardCode],"FAE")=0,"",SUMIFS(tblDaily[Deaths],tblDaily[EntryDate],DATE(2026,1,1),tblDaily[WardCode],"FAE")),"")</f>
        <v/>
      </c>
      <c r="L8" s="25">
        <f>IFERROR(IF(SUMIFS(tblDaily[DeathsUnder24Hrs],tblDaily[EntryDate],DATE(2026,1,1),tblDaily[WardCode],"FAE")=0,"",SUMIFS(tblDaily[DeathsUnder24Hrs],tblDaily[EntryDate],DATE(2026,1,1),tblDaily[WardCode],"FAE")),"")</f>
        <v/>
      </c>
      <c r="M8" s="25">
        <f>IFERROR(IF(SUMIFS(tblDaily[TransfersIn],tblDaily[EntryDate],DATE(2026,1,1),tblDaily[WardCode],"FAE")=0,"",SUMIFS(tblDaily[TransfersIn],tblDaily[EntryDate],DATE(2026,1,1),tblDaily[WardCode],"FAE")),"")</f>
        <v/>
      </c>
      <c r="N8" s="25">
        <f>IFERROR(IF(SUMIFS(tblDaily[TransfersOut],tblDaily[EntryDate],DATE(2026,1,1),tblDaily[WardCode],"FAE")=0,"",SUMIFS(tblDaily[TransfersOut],tblDaily[EntryDate],DATE(2026,1,1),tblDaily[WardCode],"FAE")),"")</f>
        <v/>
      </c>
      <c r="O8" s="25">
        <f>IFERROR(IF(SUMIFS(tblDaily[Remaining],tblDaily[EntryDate],DATE(2026,1,1),tblDaily[WardCode],"FAE")=0,"",SUMIFS(tblDaily[Remaining],tblDaily[EntryDate],DATE(2026,1,1),tblDaily[WardCode],"FAE")),"")</f>
        <v/>
      </c>
      <c r="P8" s="26">
        <f>IF(AND(H8="", O8=""), "", N(H8) + N(O8))</f>
        <v/>
      </c>
    </row>
    <row r="9">
      <c r="A9" s="25" t="n">
        <v>2</v>
      </c>
      <c r="B9" s="25">
        <f>IFERROR(IF(SUMIFS(tblDaily[Admissions],tblDaily[EntryDate],DATE(2026,1,2),tblDaily[WardCode],"MAE")=0,"",SUMIFS(tblDaily[Admissions],tblDaily[EntryDate],DATE(2026,1,2),tblDaily[WardCode],"MAE")),"")</f>
        <v/>
      </c>
      <c r="C9" s="25">
        <f>IFERROR(IF(SUMIFS(tblDaily[Discharges],tblDaily[EntryDate],DATE(2026,1,2),tblDaily[WardCode],"MAE")=0,"",SUMIFS(tblDaily[Discharges],tblDaily[EntryDate],DATE(2026,1,2),tblDaily[WardCode],"MAE")),"")</f>
        <v/>
      </c>
      <c r="D9" s="25">
        <f>IFERROR(IF(SUMIFS(tblDaily[Deaths],tblDaily[EntryDate],DATE(2026,1,2),tblDaily[WardCode],"MAE")=0,"",SUMIFS(tblDaily[Deaths],tblDaily[EntryDate],DATE(2026,1,2),tblDaily[WardCode],"MAE")),"")</f>
        <v/>
      </c>
      <c r="E9" s="25">
        <f>IFERROR(IF(SUMIFS(tblDaily[DeathsUnder24Hrs],tblDaily[EntryDate],DATE(2026,1,2),tblDaily[WardCode],"MAE")=0,"",SUMIFS(tblDaily[DeathsUnder24Hrs],tblDaily[EntryDate],DATE(2026,1,2),tblDaily[WardCode],"MAE")),"")</f>
        <v/>
      </c>
      <c r="F9" s="25">
        <f>IFERROR(IF(SUMIFS(tblDaily[TransfersIn],tblDaily[EntryDate],DATE(2026,1,2),tblDaily[WardCode],"MAE")=0,"",SUMIFS(tblDaily[TransfersIn],tblDaily[EntryDate],DATE(2026,1,2),tblDaily[WardCode],"MAE")),"")</f>
        <v/>
      </c>
      <c r="G9" s="25">
        <f>IFERROR(IF(SUMIFS(tblDaily[TransfersOut],tblDaily[EntryDate],DATE(2026,1,2),tblDaily[WardCode],"MAE")=0,"",SUMIFS(tblDaily[TransfersOut],tblDaily[EntryDate],DATE(2026,1,2),tblDaily[WardCode],"MAE")),"")</f>
        <v/>
      </c>
      <c r="H9" s="25">
        <f>IFERROR(IF(SUMIFS(tblDaily[Remaining],tblDaily[EntryDate],DATE(2026,1,2),tblDaily[WardCode],"MAE")=0,"",SUMIFS(tblDaily[Remaining],tblDaily[EntryDate],DATE(2026,1,2),tblDaily[WardCode],"MAE")),"")</f>
        <v/>
      </c>
      <c r="I9" s="25">
        <f>IFERROR(IF(SUMIFS(tblDaily[Admissions],tblDaily[EntryDate],DATE(2026,1,2),tblDaily[WardCode],"FAE")=0,"",SUMIFS(tblDaily[Admissions],tblDaily[EntryDate],DATE(2026,1,2),tblDaily[WardCode],"FAE")),"")</f>
        <v/>
      </c>
      <c r="J9" s="25">
        <f>IFERROR(IF(SUMIFS(tblDaily[Discharges],tblDaily[EntryDate],DATE(2026,1,2),tblDaily[WardCode],"FAE")=0,"",SUMIFS(tblDaily[Discharges],tblDaily[EntryDate],DATE(2026,1,2),tblDaily[WardCode],"FAE")),"")</f>
        <v/>
      </c>
      <c r="K9" s="25">
        <f>IFERROR(IF(SUMIFS(tblDaily[Deaths],tblDaily[EntryDate],DATE(2026,1,2),tblDaily[WardCode],"FAE")=0,"",SUMIFS(tblDaily[Deaths],tblDaily[EntryDate],DATE(2026,1,2),tblDaily[WardCode],"FAE")),"")</f>
        <v/>
      </c>
      <c r="L9" s="25">
        <f>IFERROR(IF(SUMIFS(tblDaily[DeathsUnder24Hrs],tblDaily[EntryDate],DATE(2026,1,2),tblDaily[WardCode],"FAE")=0,"",SUMIFS(tblDaily[DeathsUnder24Hrs],tblDaily[EntryDate],DATE(2026,1,2),tblDaily[WardCode],"FAE")),"")</f>
        <v/>
      </c>
      <c r="M9" s="25">
        <f>IFERROR(IF(SUMIFS(tblDaily[TransfersIn],tblDaily[EntryDate],DATE(2026,1,2),tblDaily[WardCode],"FAE")=0,"",SUMIFS(tblDaily[TransfersIn],tblDaily[EntryDate],DATE(2026,1,2),tblDaily[WardCode],"FAE")),"")</f>
        <v/>
      </c>
      <c r="N9" s="25">
        <f>IFERROR(IF(SUMIFS(tblDaily[TransfersOut],tblDaily[EntryDate],DATE(2026,1,2),tblDaily[WardCode],"FAE")=0,"",SUMIFS(tblDaily[TransfersOut],tblDaily[EntryDate],DATE(2026,1,2),tblDaily[WardCode],"FAE")),"")</f>
        <v/>
      </c>
      <c r="O9" s="25">
        <f>IFERROR(IF(SUMIFS(tblDaily[Remaining],tblDaily[EntryDate],DATE(2026,1,2),tblDaily[WardCode],"FAE")=0,"",SUMIFS(tblDaily[Remaining],tblDaily[EntryDate],DATE(2026,1,2),tblDaily[WardCode],"FAE")),"")</f>
        <v/>
      </c>
      <c r="P9" s="26">
        <f>IF(AND(H9="", O9=""), "", N(H9) + N(O9))</f>
        <v/>
      </c>
    </row>
    <row r="10">
      <c r="A10" s="25" t="n">
        <v>3</v>
      </c>
      <c r="B10" s="25">
        <f>IFERROR(IF(SUMIFS(tblDaily[Admissions],tblDaily[EntryDate],DATE(2026,1,3),tblDaily[WardCode],"MAE")=0,"",SUMIFS(tblDaily[Admissions],tblDaily[EntryDate],DATE(2026,1,3),tblDaily[WardCode],"MAE")),"")</f>
        <v/>
      </c>
      <c r="C10" s="25">
        <f>IFERROR(IF(SUMIFS(tblDaily[Discharges],tblDaily[EntryDate],DATE(2026,1,3),tblDaily[WardCode],"MAE")=0,"",SUMIFS(tblDaily[Discharges],tblDaily[EntryDate],DATE(2026,1,3),tblDaily[WardCode],"MAE")),"")</f>
        <v/>
      </c>
      <c r="D10" s="25">
        <f>IFERROR(IF(SUMIFS(tblDaily[Deaths],tblDaily[EntryDate],DATE(2026,1,3),tblDaily[WardCode],"MAE")=0,"",SUMIFS(tblDaily[Deaths],tblDaily[EntryDate],DATE(2026,1,3),tblDaily[WardCode],"MAE")),"")</f>
        <v/>
      </c>
      <c r="E10" s="25">
        <f>IFERROR(IF(SUMIFS(tblDaily[DeathsUnder24Hrs],tblDaily[EntryDate],DATE(2026,1,3),tblDaily[WardCode],"MAE")=0,"",SUMIFS(tblDaily[DeathsUnder24Hrs],tblDaily[EntryDate],DATE(2026,1,3),tblDaily[WardCode],"MAE")),"")</f>
        <v/>
      </c>
      <c r="F10" s="25">
        <f>IFERROR(IF(SUMIFS(tblDaily[TransfersIn],tblDaily[EntryDate],DATE(2026,1,3),tblDaily[WardCode],"MAE")=0,"",SUMIFS(tblDaily[TransfersIn],tblDaily[EntryDate],DATE(2026,1,3),tblDaily[WardCode],"MAE")),"")</f>
        <v/>
      </c>
      <c r="G10" s="25">
        <f>IFERROR(IF(SUMIFS(tblDaily[TransfersOut],tblDaily[EntryDate],DATE(2026,1,3),tblDaily[WardCode],"MAE")=0,"",SUMIFS(tblDaily[TransfersOut],tblDaily[EntryDate],DATE(2026,1,3),tblDaily[WardCode],"MAE")),"")</f>
        <v/>
      </c>
      <c r="H10" s="25">
        <f>IFERROR(IF(SUMIFS(tblDaily[Remaining],tblDaily[EntryDate],DATE(2026,1,3),tblDaily[WardCode],"MAE")=0,"",SUMIFS(tblDaily[Remaining],tblDaily[EntryDate],DATE(2026,1,3),tblDaily[WardCode],"MAE")),"")</f>
        <v/>
      </c>
      <c r="I10" s="25">
        <f>IFERROR(IF(SUMIFS(tblDaily[Admissions],tblDaily[EntryDate],DATE(2026,1,3),tblDaily[WardCode],"FAE")=0,"",SUMIFS(tblDaily[Admissions],tblDaily[EntryDate],DATE(2026,1,3),tblDaily[WardCode],"FAE")),"")</f>
        <v/>
      </c>
      <c r="J10" s="25">
        <f>IFERROR(IF(SUMIFS(tblDaily[Discharges],tblDaily[EntryDate],DATE(2026,1,3),tblDaily[WardCode],"FAE")=0,"",SUMIFS(tblDaily[Discharges],tblDaily[EntryDate],DATE(2026,1,3),tblDaily[WardCode],"FAE")),"")</f>
        <v/>
      </c>
      <c r="K10" s="25">
        <f>IFERROR(IF(SUMIFS(tblDaily[Deaths],tblDaily[EntryDate],DATE(2026,1,3),tblDaily[WardCode],"FAE")=0,"",SUMIFS(tblDaily[Deaths],tblDaily[EntryDate],DATE(2026,1,3),tblDaily[WardCode],"FAE")),"")</f>
        <v/>
      </c>
      <c r="L10" s="25">
        <f>IFERROR(IF(SUMIFS(tblDaily[DeathsUnder24Hrs],tblDaily[EntryDate],DATE(2026,1,3),tblDaily[WardCode],"FAE")=0,"",SUMIFS(tblDaily[DeathsUnder24Hrs],tblDaily[EntryDate],DATE(2026,1,3),tblDaily[WardCode],"FAE")),"")</f>
        <v/>
      </c>
      <c r="M10" s="25">
        <f>IFERROR(IF(SUMIFS(tblDaily[TransfersIn],tblDaily[EntryDate],DATE(2026,1,3),tblDaily[WardCode],"FAE")=0,"",SUMIFS(tblDaily[TransfersIn],tblDaily[EntryDate],DATE(2026,1,3),tblDaily[WardCode],"FAE")),"")</f>
        <v/>
      </c>
      <c r="N10" s="25">
        <f>IFERROR(IF(SUMIFS(tblDaily[TransfersOut],tblDaily[EntryDate],DATE(2026,1,3),tblDaily[WardCode],"FAE")=0,"",SUMIFS(tblDaily[TransfersOut],tblDaily[EntryDate],DATE(2026,1,3),tblDaily[WardCode],"FAE")),"")</f>
        <v/>
      </c>
      <c r="O10" s="25">
        <f>IFERROR(IF(SUMIFS(tblDaily[Remaining],tblDaily[EntryDate],DATE(2026,1,3),tblDaily[WardCode],"FAE")=0,"",SUMIFS(tblDaily[Remaining],tblDaily[EntryDate],DATE(2026,1,3),tblDaily[WardCode],"FAE")),"")</f>
        <v/>
      </c>
      <c r="P10" s="26">
        <f>IF(AND(H10="", O10=""), "", N(H10) + N(O10))</f>
        <v/>
      </c>
    </row>
    <row r="11">
      <c r="A11" s="25" t="n">
        <v>4</v>
      </c>
      <c r="B11" s="25">
        <f>IFERROR(IF(SUMIFS(tblDaily[Admissions],tblDaily[EntryDate],DATE(2026,1,4),tblDaily[WardCode],"MAE")=0,"",SUMIFS(tblDaily[Admissions],tblDaily[EntryDate],DATE(2026,1,4),tblDaily[WardCode],"MAE")),"")</f>
        <v/>
      </c>
      <c r="C11" s="25">
        <f>IFERROR(IF(SUMIFS(tblDaily[Discharges],tblDaily[EntryDate],DATE(2026,1,4),tblDaily[WardCode],"MAE")=0,"",SUMIFS(tblDaily[Discharges],tblDaily[EntryDate],DATE(2026,1,4),tblDaily[WardCode],"MAE")),"")</f>
        <v/>
      </c>
      <c r="D11" s="25">
        <f>IFERROR(IF(SUMIFS(tblDaily[Deaths],tblDaily[EntryDate],DATE(2026,1,4),tblDaily[WardCode],"MAE")=0,"",SUMIFS(tblDaily[Deaths],tblDaily[EntryDate],DATE(2026,1,4),tblDaily[WardCode],"MAE")),"")</f>
        <v/>
      </c>
      <c r="E11" s="25">
        <f>IFERROR(IF(SUMIFS(tblDaily[DeathsUnder24Hrs],tblDaily[EntryDate],DATE(2026,1,4),tblDaily[WardCode],"MAE")=0,"",SUMIFS(tblDaily[DeathsUnder24Hrs],tblDaily[EntryDate],DATE(2026,1,4),tblDaily[WardCode],"MAE")),"")</f>
        <v/>
      </c>
      <c r="F11" s="25">
        <f>IFERROR(IF(SUMIFS(tblDaily[TransfersIn],tblDaily[EntryDate],DATE(2026,1,4),tblDaily[WardCode],"MAE")=0,"",SUMIFS(tblDaily[TransfersIn],tblDaily[EntryDate],DATE(2026,1,4),tblDaily[WardCode],"MAE")),"")</f>
        <v/>
      </c>
      <c r="G11" s="25">
        <f>IFERROR(IF(SUMIFS(tblDaily[TransfersOut],tblDaily[EntryDate],DATE(2026,1,4),tblDaily[WardCode],"MAE")=0,"",SUMIFS(tblDaily[TransfersOut],tblDaily[EntryDate],DATE(2026,1,4),tblDaily[WardCode],"MAE")),"")</f>
        <v/>
      </c>
      <c r="H11" s="25">
        <f>IFERROR(IF(SUMIFS(tblDaily[Remaining],tblDaily[EntryDate],DATE(2026,1,4),tblDaily[WardCode],"MAE")=0,"",SUMIFS(tblDaily[Remaining],tblDaily[EntryDate],DATE(2026,1,4),tblDaily[WardCode],"MAE")),"")</f>
        <v/>
      </c>
      <c r="I11" s="25">
        <f>IFERROR(IF(SUMIFS(tblDaily[Admissions],tblDaily[EntryDate],DATE(2026,1,4),tblDaily[WardCode],"FAE")=0,"",SUMIFS(tblDaily[Admissions],tblDaily[EntryDate],DATE(2026,1,4),tblDaily[WardCode],"FAE")),"")</f>
        <v/>
      </c>
      <c r="J11" s="25">
        <f>IFERROR(IF(SUMIFS(tblDaily[Discharges],tblDaily[EntryDate],DATE(2026,1,4),tblDaily[WardCode],"FAE")=0,"",SUMIFS(tblDaily[Discharges],tblDaily[EntryDate],DATE(2026,1,4),tblDaily[WardCode],"FAE")),"")</f>
        <v/>
      </c>
      <c r="K11" s="25">
        <f>IFERROR(IF(SUMIFS(tblDaily[Deaths],tblDaily[EntryDate],DATE(2026,1,4),tblDaily[WardCode],"FAE")=0,"",SUMIFS(tblDaily[Deaths],tblDaily[EntryDate],DATE(2026,1,4),tblDaily[WardCode],"FAE")),"")</f>
        <v/>
      </c>
      <c r="L11" s="25">
        <f>IFERROR(IF(SUMIFS(tblDaily[DeathsUnder24Hrs],tblDaily[EntryDate],DATE(2026,1,4),tblDaily[WardCode],"FAE")=0,"",SUMIFS(tblDaily[DeathsUnder24Hrs],tblDaily[EntryDate],DATE(2026,1,4),tblDaily[WardCode],"FAE")),"")</f>
        <v/>
      </c>
      <c r="M11" s="25">
        <f>IFERROR(IF(SUMIFS(tblDaily[TransfersIn],tblDaily[EntryDate],DATE(2026,1,4),tblDaily[WardCode],"FAE")=0,"",SUMIFS(tblDaily[TransfersIn],tblDaily[EntryDate],DATE(2026,1,4),tblDaily[WardCode],"FAE")),"")</f>
        <v/>
      </c>
      <c r="N11" s="25">
        <f>IFERROR(IF(SUMIFS(tblDaily[TransfersOut],tblDaily[EntryDate],DATE(2026,1,4),tblDaily[WardCode],"FAE")=0,"",SUMIFS(tblDaily[TransfersOut],tblDaily[EntryDate],DATE(2026,1,4),tblDaily[WardCode],"FAE")),"")</f>
        <v/>
      </c>
      <c r="O11" s="25">
        <f>IFERROR(IF(SUMIFS(tblDaily[Remaining],tblDaily[EntryDate],DATE(2026,1,4),tblDaily[WardCode],"FAE")=0,"",SUMIFS(tblDaily[Remaining],tblDaily[EntryDate],DATE(2026,1,4),tblDaily[WardCode],"FAE")),"")</f>
        <v/>
      </c>
      <c r="P11" s="26">
        <f>IF(AND(H11="", O11=""), "", N(H11) + N(O11))</f>
        <v/>
      </c>
    </row>
    <row r="12">
      <c r="A12" s="25" t="n">
        <v>5</v>
      </c>
      <c r="B12" s="25">
        <f>IFERROR(IF(SUMIFS(tblDaily[Admissions],tblDaily[EntryDate],DATE(2026,1,5),tblDaily[WardCode],"MAE")=0,"",SUMIFS(tblDaily[Admissions],tblDaily[EntryDate],DATE(2026,1,5),tblDaily[WardCode],"MAE")),"")</f>
        <v/>
      </c>
      <c r="C12" s="25">
        <f>IFERROR(IF(SUMIFS(tblDaily[Discharges],tblDaily[EntryDate],DATE(2026,1,5),tblDaily[WardCode],"MAE")=0,"",SUMIFS(tblDaily[Discharges],tblDaily[EntryDate],DATE(2026,1,5),tblDaily[WardCode],"MAE")),"")</f>
        <v/>
      </c>
      <c r="D12" s="25">
        <f>IFERROR(IF(SUMIFS(tblDaily[Deaths],tblDaily[EntryDate],DATE(2026,1,5),tblDaily[WardCode],"MAE")=0,"",SUMIFS(tblDaily[Deaths],tblDaily[EntryDate],DATE(2026,1,5),tblDaily[WardCode],"MAE")),"")</f>
        <v/>
      </c>
      <c r="E12" s="25">
        <f>IFERROR(IF(SUMIFS(tblDaily[DeathsUnder24Hrs],tblDaily[EntryDate],DATE(2026,1,5),tblDaily[WardCode],"MAE")=0,"",SUMIFS(tblDaily[DeathsUnder24Hrs],tblDaily[EntryDate],DATE(2026,1,5),tblDaily[WardCode],"MAE")),"")</f>
        <v/>
      </c>
      <c r="F12" s="25">
        <f>IFERROR(IF(SUMIFS(tblDaily[TransfersIn],tblDaily[EntryDate],DATE(2026,1,5),tblDaily[WardCode],"MAE")=0,"",SUMIFS(tblDaily[TransfersIn],tblDaily[EntryDate],DATE(2026,1,5),tblDaily[WardCode],"MAE")),"")</f>
        <v/>
      </c>
      <c r="G12" s="25">
        <f>IFERROR(IF(SUMIFS(tblDaily[TransfersOut],tblDaily[EntryDate],DATE(2026,1,5),tblDaily[WardCode],"MAE")=0,"",SUMIFS(tblDaily[TransfersOut],tblDaily[EntryDate],DATE(2026,1,5),tblDaily[WardCode],"MAE")),"")</f>
        <v/>
      </c>
      <c r="H12" s="25">
        <f>IFERROR(IF(SUMIFS(tblDaily[Remaining],tblDaily[EntryDate],DATE(2026,1,5),tblDaily[WardCode],"MAE")=0,"",SUMIFS(tblDaily[Remaining],tblDaily[EntryDate],DATE(2026,1,5),tblDaily[WardCode],"MAE")),"")</f>
        <v/>
      </c>
      <c r="I12" s="25">
        <f>IFERROR(IF(SUMIFS(tblDaily[Admissions],tblDaily[EntryDate],DATE(2026,1,5),tblDaily[WardCode],"FAE")=0,"",SUMIFS(tblDaily[Admissions],tblDaily[EntryDate],DATE(2026,1,5),tblDaily[WardCode],"FAE")),"")</f>
        <v/>
      </c>
      <c r="J12" s="25">
        <f>IFERROR(IF(SUMIFS(tblDaily[Discharges],tblDaily[EntryDate],DATE(2026,1,5),tblDaily[WardCode],"FAE")=0,"",SUMIFS(tblDaily[Discharges],tblDaily[EntryDate],DATE(2026,1,5),tblDaily[WardCode],"FAE")),"")</f>
        <v/>
      </c>
      <c r="K12" s="25">
        <f>IFERROR(IF(SUMIFS(tblDaily[Deaths],tblDaily[EntryDate],DATE(2026,1,5),tblDaily[WardCode],"FAE")=0,"",SUMIFS(tblDaily[Deaths],tblDaily[EntryDate],DATE(2026,1,5),tblDaily[WardCode],"FAE")),"")</f>
        <v/>
      </c>
      <c r="L12" s="25">
        <f>IFERROR(IF(SUMIFS(tblDaily[DeathsUnder24Hrs],tblDaily[EntryDate],DATE(2026,1,5),tblDaily[WardCode],"FAE")=0,"",SUMIFS(tblDaily[DeathsUnder24Hrs],tblDaily[EntryDate],DATE(2026,1,5),tblDaily[WardCode],"FAE")),"")</f>
        <v/>
      </c>
      <c r="M12" s="25">
        <f>IFERROR(IF(SUMIFS(tblDaily[TransfersIn],tblDaily[EntryDate],DATE(2026,1,5),tblDaily[WardCode],"FAE")=0,"",SUMIFS(tblDaily[TransfersIn],tblDaily[EntryDate],DATE(2026,1,5),tblDaily[WardCode],"FAE")),"")</f>
        <v/>
      </c>
      <c r="N12" s="25">
        <f>IFERROR(IF(SUMIFS(tblDaily[TransfersOut],tblDaily[EntryDate],DATE(2026,1,5),tblDaily[WardCode],"FAE")=0,"",SUMIFS(tblDaily[TransfersOut],tblDaily[EntryDate],DATE(2026,1,5),tblDaily[WardCode],"FAE")),"")</f>
        <v/>
      </c>
      <c r="O12" s="25">
        <f>IFERROR(IF(SUMIFS(tblDaily[Remaining],tblDaily[EntryDate],DATE(2026,1,5),tblDaily[WardCode],"FAE")=0,"",SUMIFS(tblDaily[Remaining],tblDaily[EntryDate],DATE(2026,1,5),tblDaily[WardCode],"FAE")),"")</f>
        <v/>
      </c>
      <c r="P12" s="26">
        <f>IF(AND(H12="", O12=""), "", N(H12) + N(O12))</f>
        <v/>
      </c>
    </row>
    <row r="13">
      <c r="A13" s="25" t="n">
        <v>6</v>
      </c>
      <c r="B13" s="25">
        <f>IFERROR(IF(SUMIFS(tblDaily[Admissions],tblDaily[EntryDate],DATE(2026,1,6),tblDaily[WardCode],"MAE")=0,"",SUMIFS(tblDaily[Admissions],tblDaily[EntryDate],DATE(2026,1,6),tblDaily[WardCode],"MAE")),"")</f>
        <v/>
      </c>
      <c r="C13" s="25">
        <f>IFERROR(IF(SUMIFS(tblDaily[Discharges],tblDaily[EntryDate],DATE(2026,1,6),tblDaily[WardCode],"MAE")=0,"",SUMIFS(tblDaily[Discharges],tblDaily[EntryDate],DATE(2026,1,6),tblDaily[WardCode],"MAE")),"")</f>
        <v/>
      </c>
      <c r="D13" s="25">
        <f>IFERROR(IF(SUMIFS(tblDaily[Deaths],tblDaily[EntryDate],DATE(2026,1,6),tblDaily[WardCode],"MAE")=0,"",SUMIFS(tblDaily[Deaths],tblDaily[EntryDate],DATE(2026,1,6),tblDaily[WardCode],"MAE")),"")</f>
        <v/>
      </c>
      <c r="E13" s="25">
        <f>IFERROR(IF(SUMIFS(tblDaily[DeathsUnder24Hrs],tblDaily[EntryDate],DATE(2026,1,6),tblDaily[WardCode],"MAE")=0,"",SUMIFS(tblDaily[DeathsUnder24Hrs],tblDaily[EntryDate],DATE(2026,1,6),tblDaily[WardCode],"MAE")),"")</f>
        <v/>
      </c>
      <c r="F13" s="25">
        <f>IFERROR(IF(SUMIFS(tblDaily[TransfersIn],tblDaily[EntryDate],DATE(2026,1,6),tblDaily[WardCode],"MAE")=0,"",SUMIFS(tblDaily[TransfersIn],tblDaily[EntryDate],DATE(2026,1,6),tblDaily[WardCode],"MAE")),"")</f>
        <v/>
      </c>
      <c r="G13" s="25">
        <f>IFERROR(IF(SUMIFS(tblDaily[TransfersOut],tblDaily[EntryDate],DATE(2026,1,6),tblDaily[WardCode],"MAE")=0,"",SUMIFS(tblDaily[TransfersOut],tblDaily[EntryDate],DATE(2026,1,6),tblDaily[WardCode],"MAE")),"")</f>
        <v/>
      </c>
      <c r="H13" s="25">
        <f>IFERROR(IF(SUMIFS(tblDaily[Remaining],tblDaily[EntryDate],DATE(2026,1,6),tblDaily[WardCode],"MAE")=0,"",SUMIFS(tblDaily[Remaining],tblDaily[EntryDate],DATE(2026,1,6),tblDaily[WardCode],"MAE")),"")</f>
        <v/>
      </c>
      <c r="I13" s="25">
        <f>IFERROR(IF(SUMIFS(tblDaily[Admissions],tblDaily[EntryDate],DATE(2026,1,6),tblDaily[WardCode],"FAE")=0,"",SUMIFS(tblDaily[Admissions],tblDaily[EntryDate],DATE(2026,1,6),tblDaily[WardCode],"FAE")),"")</f>
        <v/>
      </c>
      <c r="J13" s="25">
        <f>IFERROR(IF(SUMIFS(tblDaily[Discharges],tblDaily[EntryDate],DATE(2026,1,6),tblDaily[WardCode],"FAE")=0,"",SUMIFS(tblDaily[Discharges],tblDaily[EntryDate],DATE(2026,1,6),tblDaily[WardCode],"FAE")),"")</f>
        <v/>
      </c>
      <c r="K13" s="25">
        <f>IFERROR(IF(SUMIFS(tblDaily[Deaths],tblDaily[EntryDate],DATE(2026,1,6),tblDaily[WardCode],"FAE")=0,"",SUMIFS(tblDaily[Deaths],tblDaily[EntryDate],DATE(2026,1,6),tblDaily[WardCode],"FAE")),"")</f>
        <v/>
      </c>
      <c r="L13" s="25">
        <f>IFERROR(IF(SUMIFS(tblDaily[DeathsUnder24Hrs],tblDaily[EntryDate],DATE(2026,1,6),tblDaily[WardCode],"FAE")=0,"",SUMIFS(tblDaily[DeathsUnder24Hrs],tblDaily[EntryDate],DATE(2026,1,6),tblDaily[WardCode],"FAE")),"")</f>
        <v/>
      </c>
      <c r="M13" s="25">
        <f>IFERROR(IF(SUMIFS(tblDaily[TransfersIn],tblDaily[EntryDate],DATE(2026,1,6),tblDaily[WardCode],"FAE")=0,"",SUMIFS(tblDaily[TransfersIn],tblDaily[EntryDate],DATE(2026,1,6),tblDaily[WardCode],"FAE")),"")</f>
        <v/>
      </c>
      <c r="N13" s="25">
        <f>IFERROR(IF(SUMIFS(tblDaily[TransfersOut],tblDaily[EntryDate],DATE(2026,1,6),tblDaily[WardCode],"FAE")=0,"",SUMIFS(tblDaily[TransfersOut],tblDaily[EntryDate],DATE(2026,1,6),tblDaily[WardCode],"FAE")),"")</f>
        <v/>
      </c>
      <c r="O13" s="25">
        <f>IFERROR(IF(SUMIFS(tblDaily[Remaining],tblDaily[EntryDate],DATE(2026,1,6),tblDaily[WardCode],"FAE")=0,"",SUMIFS(tblDaily[Remaining],tblDaily[EntryDate],DATE(2026,1,6),tblDaily[WardCode],"FAE")),"")</f>
        <v/>
      </c>
      <c r="P13" s="26">
        <f>IF(AND(H13="", O13=""), "", N(H13) + N(O13))</f>
        <v/>
      </c>
    </row>
    <row r="14">
      <c r="A14" s="25" t="n">
        <v>7</v>
      </c>
      <c r="B14" s="25">
        <f>IFERROR(IF(SUMIFS(tblDaily[Admissions],tblDaily[EntryDate],DATE(2026,1,7),tblDaily[WardCode],"MAE")=0,"",SUMIFS(tblDaily[Admissions],tblDaily[EntryDate],DATE(2026,1,7),tblDaily[WardCode],"MAE")),"")</f>
        <v/>
      </c>
      <c r="C14" s="25">
        <f>IFERROR(IF(SUMIFS(tblDaily[Discharges],tblDaily[EntryDate],DATE(2026,1,7),tblDaily[WardCode],"MAE")=0,"",SUMIFS(tblDaily[Discharges],tblDaily[EntryDate],DATE(2026,1,7),tblDaily[WardCode],"MAE")),"")</f>
        <v/>
      </c>
      <c r="D14" s="25">
        <f>IFERROR(IF(SUMIFS(tblDaily[Deaths],tblDaily[EntryDate],DATE(2026,1,7),tblDaily[WardCode],"MAE")=0,"",SUMIFS(tblDaily[Deaths],tblDaily[EntryDate],DATE(2026,1,7),tblDaily[WardCode],"MAE")),"")</f>
        <v/>
      </c>
      <c r="E14" s="25">
        <f>IFERROR(IF(SUMIFS(tblDaily[DeathsUnder24Hrs],tblDaily[EntryDate],DATE(2026,1,7),tblDaily[WardCode],"MAE")=0,"",SUMIFS(tblDaily[DeathsUnder24Hrs],tblDaily[EntryDate],DATE(2026,1,7),tblDaily[WardCode],"MAE")),"")</f>
        <v/>
      </c>
      <c r="F14" s="25">
        <f>IFERROR(IF(SUMIFS(tblDaily[TransfersIn],tblDaily[EntryDate],DATE(2026,1,7),tblDaily[WardCode],"MAE")=0,"",SUMIFS(tblDaily[TransfersIn],tblDaily[EntryDate],DATE(2026,1,7),tblDaily[WardCode],"MAE")),"")</f>
        <v/>
      </c>
      <c r="G14" s="25">
        <f>IFERROR(IF(SUMIFS(tblDaily[TransfersOut],tblDaily[EntryDate],DATE(2026,1,7),tblDaily[WardCode],"MAE")=0,"",SUMIFS(tblDaily[TransfersOut],tblDaily[EntryDate],DATE(2026,1,7),tblDaily[WardCode],"MAE")),"")</f>
        <v/>
      </c>
      <c r="H14" s="25">
        <f>IFERROR(IF(SUMIFS(tblDaily[Remaining],tblDaily[EntryDate],DATE(2026,1,7),tblDaily[WardCode],"MAE")=0,"",SUMIFS(tblDaily[Remaining],tblDaily[EntryDate],DATE(2026,1,7),tblDaily[WardCode],"MAE")),"")</f>
        <v/>
      </c>
      <c r="I14" s="25">
        <f>IFERROR(IF(SUMIFS(tblDaily[Admissions],tblDaily[EntryDate],DATE(2026,1,7),tblDaily[WardCode],"FAE")=0,"",SUMIFS(tblDaily[Admissions],tblDaily[EntryDate],DATE(2026,1,7),tblDaily[WardCode],"FAE")),"")</f>
        <v/>
      </c>
      <c r="J14" s="25">
        <f>IFERROR(IF(SUMIFS(tblDaily[Discharges],tblDaily[EntryDate],DATE(2026,1,7),tblDaily[WardCode],"FAE")=0,"",SUMIFS(tblDaily[Discharges],tblDaily[EntryDate],DATE(2026,1,7),tblDaily[WardCode],"FAE")),"")</f>
        <v/>
      </c>
      <c r="K14" s="25">
        <f>IFERROR(IF(SUMIFS(tblDaily[Deaths],tblDaily[EntryDate],DATE(2026,1,7),tblDaily[WardCode],"FAE")=0,"",SUMIFS(tblDaily[Deaths],tblDaily[EntryDate],DATE(2026,1,7),tblDaily[WardCode],"FAE")),"")</f>
        <v/>
      </c>
      <c r="L14" s="25">
        <f>IFERROR(IF(SUMIFS(tblDaily[DeathsUnder24Hrs],tblDaily[EntryDate],DATE(2026,1,7),tblDaily[WardCode],"FAE")=0,"",SUMIFS(tblDaily[DeathsUnder24Hrs],tblDaily[EntryDate],DATE(2026,1,7),tblDaily[WardCode],"FAE")),"")</f>
        <v/>
      </c>
      <c r="M14" s="25">
        <f>IFERROR(IF(SUMIFS(tblDaily[TransfersIn],tblDaily[EntryDate],DATE(2026,1,7),tblDaily[WardCode],"FAE")=0,"",SUMIFS(tblDaily[TransfersIn],tblDaily[EntryDate],DATE(2026,1,7),tblDaily[WardCode],"FAE")),"")</f>
        <v/>
      </c>
      <c r="N14" s="25">
        <f>IFERROR(IF(SUMIFS(tblDaily[TransfersOut],tblDaily[EntryDate],DATE(2026,1,7),tblDaily[WardCode],"FAE")=0,"",SUMIFS(tblDaily[TransfersOut],tblDaily[EntryDate],DATE(2026,1,7),tblDaily[WardCode],"FAE")),"")</f>
        <v/>
      </c>
      <c r="O14" s="25">
        <f>IFERROR(IF(SUMIFS(tblDaily[Remaining],tblDaily[EntryDate],DATE(2026,1,7),tblDaily[WardCode],"FAE")=0,"",SUMIFS(tblDaily[Remaining],tblDaily[EntryDate],DATE(2026,1,7),tblDaily[WardCode],"FAE")),"")</f>
        <v/>
      </c>
      <c r="P14" s="26">
        <f>IF(AND(H14="", O14=""), "", N(H14) + N(O14))</f>
        <v/>
      </c>
    </row>
    <row r="15">
      <c r="A15" s="25" t="n">
        <v>8</v>
      </c>
      <c r="B15" s="25">
        <f>IFERROR(IF(SUMIFS(tblDaily[Admissions],tblDaily[EntryDate],DATE(2026,1,8),tblDaily[WardCode],"MAE")=0,"",SUMIFS(tblDaily[Admissions],tblDaily[EntryDate],DATE(2026,1,8),tblDaily[WardCode],"MAE")),"")</f>
        <v/>
      </c>
      <c r="C15" s="25">
        <f>IFERROR(IF(SUMIFS(tblDaily[Discharges],tblDaily[EntryDate],DATE(2026,1,8),tblDaily[WardCode],"MAE")=0,"",SUMIFS(tblDaily[Discharges],tblDaily[EntryDate],DATE(2026,1,8),tblDaily[WardCode],"MAE")),"")</f>
        <v/>
      </c>
      <c r="D15" s="25">
        <f>IFERROR(IF(SUMIFS(tblDaily[Deaths],tblDaily[EntryDate],DATE(2026,1,8),tblDaily[WardCode],"MAE")=0,"",SUMIFS(tblDaily[Deaths],tblDaily[EntryDate],DATE(2026,1,8),tblDaily[WardCode],"MAE")),"")</f>
        <v/>
      </c>
      <c r="E15" s="25">
        <f>IFERROR(IF(SUMIFS(tblDaily[DeathsUnder24Hrs],tblDaily[EntryDate],DATE(2026,1,8),tblDaily[WardCode],"MAE")=0,"",SUMIFS(tblDaily[DeathsUnder24Hrs],tblDaily[EntryDate],DATE(2026,1,8),tblDaily[WardCode],"MAE")),"")</f>
        <v/>
      </c>
      <c r="F15" s="25">
        <f>IFERROR(IF(SUMIFS(tblDaily[TransfersIn],tblDaily[EntryDate],DATE(2026,1,8),tblDaily[WardCode],"MAE")=0,"",SUMIFS(tblDaily[TransfersIn],tblDaily[EntryDate],DATE(2026,1,8),tblDaily[WardCode],"MAE")),"")</f>
        <v/>
      </c>
      <c r="G15" s="25">
        <f>IFERROR(IF(SUMIFS(tblDaily[TransfersOut],tblDaily[EntryDate],DATE(2026,1,8),tblDaily[WardCode],"MAE")=0,"",SUMIFS(tblDaily[TransfersOut],tblDaily[EntryDate],DATE(2026,1,8),tblDaily[WardCode],"MAE")),"")</f>
        <v/>
      </c>
      <c r="H15" s="25">
        <f>IFERROR(IF(SUMIFS(tblDaily[Remaining],tblDaily[EntryDate],DATE(2026,1,8),tblDaily[WardCode],"MAE")=0,"",SUMIFS(tblDaily[Remaining],tblDaily[EntryDate],DATE(2026,1,8),tblDaily[WardCode],"MAE")),"")</f>
        <v/>
      </c>
      <c r="I15" s="25">
        <f>IFERROR(IF(SUMIFS(tblDaily[Admissions],tblDaily[EntryDate],DATE(2026,1,8),tblDaily[WardCode],"FAE")=0,"",SUMIFS(tblDaily[Admissions],tblDaily[EntryDate],DATE(2026,1,8),tblDaily[WardCode],"FAE")),"")</f>
        <v/>
      </c>
      <c r="J15" s="25">
        <f>IFERROR(IF(SUMIFS(tblDaily[Discharges],tblDaily[EntryDate],DATE(2026,1,8),tblDaily[WardCode],"FAE")=0,"",SUMIFS(tblDaily[Discharges],tblDaily[EntryDate],DATE(2026,1,8),tblDaily[WardCode],"FAE")),"")</f>
        <v/>
      </c>
      <c r="K15" s="25">
        <f>IFERROR(IF(SUMIFS(tblDaily[Deaths],tblDaily[EntryDate],DATE(2026,1,8),tblDaily[WardCode],"FAE")=0,"",SUMIFS(tblDaily[Deaths],tblDaily[EntryDate],DATE(2026,1,8),tblDaily[WardCode],"FAE")),"")</f>
        <v/>
      </c>
      <c r="L15" s="25">
        <f>IFERROR(IF(SUMIFS(tblDaily[DeathsUnder24Hrs],tblDaily[EntryDate],DATE(2026,1,8),tblDaily[WardCode],"FAE")=0,"",SUMIFS(tblDaily[DeathsUnder24Hrs],tblDaily[EntryDate],DATE(2026,1,8),tblDaily[WardCode],"FAE")),"")</f>
        <v/>
      </c>
      <c r="M15" s="25">
        <f>IFERROR(IF(SUMIFS(tblDaily[TransfersIn],tblDaily[EntryDate],DATE(2026,1,8),tblDaily[WardCode],"FAE")=0,"",SUMIFS(tblDaily[TransfersIn],tblDaily[EntryDate],DATE(2026,1,8),tblDaily[WardCode],"FAE")),"")</f>
        <v/>
      </c>
      <c r="N15" s="25">
        <f>IFERROR(IF(SUMIFS(tblDaily[TransfersOut],tblDaily[EntryDate],DATE(2026,1,8),tblDaily[WardCode],"FAE")=0,"",SUMIFS(tblDaily[TransfersOut],tblDaily[EntryDate],DATE(2026,1,8),tblDaily[WardCode],"FAE")),"")</f>
        <v/>
      </c>
      <c r="O15" s="25">
        <f>IFERROR(IF(SUMIFS(tblDaily[Remaining],tblDaily[EntryDate],DATE(2026,1,8),tblDaily[WardCode],"FAE")=0,"",SUMIFS(tblDaily[Remaining],tblDaily[EntryDate],DATE(2026,1,8),tblDaily[WardCode],"FAE")),"")</f>
        <v/>
      </c>
      <c r="P15" s="26">
        <f>IF(AND(H15="", O15=""), "", N(H15) + N(O15))</f>
        <v/>
      </c>
    </row>
    <row r="16">
      <c r="A16" s="25" t="n">
        <v>9</v>
      </c>
      <c r="B16" s="25">
        <f>IFERROR(IF(SUMIFS(tblDaily[Admissions],tblDaily[EntryDate],DATE(2026,1,9),tblDaily[WardCode],"MAE")=0,"",SUMIFS(tblDaily[Admissions],tblDaily[EntryDate],DATE(2026,1,9),tblDaily[WardCode],"MAE")),"")</f>
        <v/>
      </c>
      <c r="C16" s="25">
        <f>IFERROR(IF(SUMIFS(tblDaily[Discharges],tblDaily[EntryDate],DATE(2026,1,9),tblDaily[WardCode],"MAE")=0,"",SUMIFS(tblDaily[Discharges],tblDaily[EntryDate],DATE(2026,1,9),tblDaily[WardCode],"MAE")),"")</f>
        <v/>
      </c>
      <c r="D16" s="25">
        <f>IFERROR(IF(SUMIFS(tblDaily[Deaths],tblDaily[EntryDate],DATE(2026,1,9),tblDaily[WardCode],"MAE")=0,"",SUMIFS(tblDaily[Deaths],tblDaily[EntryDate],DATE(2026,1,9),tblDaily[WardCode],"MAE")),"")</f>
        <v/>
      </c>
      <c r="E16" s="25">
        <f>IFERROR(IF(SUMIFS(tblDaily[DeathsUnder24Hrs],tblDaily[EntryDate],DATE(2026,1,9),tblDaily[WardCode],"MAE")=0,"",SUMIFS(tblDaily[DeathsUnder24Hrs],tblDaily[EntryDate],DATE(2026,1,9),tblDaily[WardCode],"MAE")),"")</f>
        <v/>
      </c>
      <c r="F16" s="25">
        <f>IFERROR(IF(SUMIFS(tblDaily[TransfersIn],tblDaily[EntryDate],DATE(2026,1,9),tblDaily[WardCode],"MAE")=0,"",SUMIFS(tblDaily[TransfersIn],tblDaily[EntryDate],DATE(2026,1,9),tblDaily[WardCode],"MAE")),"")</f>
        <v/>
      </c>
      <c r="G16" s="25">
        <f>IFERROR(IF(SUMIFS(tblDaily[TransfersOut],tblDaily[EntryDate],DATE(2026,1,9),tblDaily[WardCode],"MAE")=0,"",SUMIFS(tblDaily[TransfersOut],tblDaily[EntryDate],DATE(2026,1,9),tblDaily[WardCode],"MAE")),"")</f>
        <v/>
      </c>
      <c r="H16" s="25">
        <f>IFERROR(IF(SUMIFS(tblDaily[Remaining],tblDaily[EntryDate],DATE(2026,1,9),tblDaily[WardCode],"MAE")=0,"",SUMIFS(tblDaily[Remaining],tblDaily[EntryDate],DATE(2026,1,9),tblDaily[WardCode],"MAE")),"")</f>
        <v/>
      </c>
      <c r="I16" s="25">
        <f>IFERROR(IF(SUMIFS(tblDaily[Admissions],tblDaily[EntryDate],DATE(2026,1,9),tblDaily[WardCode],"FAE")=0,"",SUMIFS(tblDaily[Admissions],tblDaily[EntryDate],DATE(2026,1,9),tblDaily[WardCode],"FAE")),"")</f>
        <v/>
      </c>
      <c r="J16" s="25">
        <f>IFERROR(IF(SUMIFS(tblDaily[Discharges],tblDaily[EntryDate],DATE(2026,1,9),tblDaily[WardCode],"FAE")=0,"",SUMIFS(tblDaily[Discharges],tblDaily[EntryDate],DATE(2026,1,9),tblDaily[WardCode],"FAE")),"")</f>
        <v/>
      </c>
      <c r="K16" s="25">
        <f>IFERROR(IF(SUMIFS(tblDaily[Deaths],tblDaily[EntryDate],DATE(2026,1,9),tblDaily[WardCode],"FAE")=0,"",SUMIFS(tblDaily[Deaths],tblDaily[EntryDate],DATE(2026,1,9),tblDaily[WardCode],"FAE")),"")</f>
        <v/>
      </c>
      <c r="L16" s="25">
        <f>IFERROR(IF(SUMIFS(tblDaily[DeathsUnder24Hrs],tblDaily[EntryDate],DATE(2026,1,9),tblDaily[WardCode],"FAE")=0,"",SUMIFS(tblDaily[DeathsUnder24Hrs],tblDaily[EntryDate],DATE(2026,1,9),tblDaily[WardCode],"FAE")),"")</f>
        <v/>
      </c>
      <c r="M16" s="25">
        <f>IFERROR(IF(SUMIFS(tblDaily[TransfersIn],tblDaily[EntryDate],DATE(2026,1,9),tblDaily[WardCode],"FAE")=0,"",SUMIFS(tblDaily[TransfersIn],tblDaily[EntryDate],DATE(2026,1,9),tblDaily[WardCode],"FAE")),"")</f>
        <v/>
      </c>
      <c r="N16" s="25">
        <f>IFERROR(IF(SUMIFS(tblDaily[TransfersOut],tblDaily[EntryDate],DATE(2026,1,9),tblDaily[WardCode],"FAE")=0,"",SUMIFS(tblDaily[TransfersOut],tblDaily[EntryDate],DATE(2026,1,9),tblDaily[WardCode],"FAE")),"")</f>
        <v/>
      </c>
      <c r="O16" s="25">
        <f>IFERROR(IF(SUMIFS(tblDaily[Remaining],tblDaily[EntryDate],DATE(2026,1,9),tblDaily[WardCode],"FAE")=0,"",SUMIFS(tblDaily[Remaining],tblDaily[EntryDate],DATE(2026,1,9),tblDaily[WardCode],"FAE")),"")</f>
        <v/>
      </c>
      <c r="P16" s="26">
        <f>IF(AND(H16="", O16=""), "", N(H16) + N(O16))</f>
        <v/>
      </c>
    </row>
    <row r="17">
      <c r="A17" s="25" t="n">
        <v>10</v>
      </c>
      <c r="B17" s="25">
        <f>IFERROR(IF(SUMIFS(tblDaily[Admissions],tblDaily[EntryDate],DATE(2026,1,10),tblDaily[WardCode],"MAE")=0,"",SUMIFS(tblDaily[Admissions],tblDaily[EntryDate],DATE(2026,1,10),tblDaily[WardCode],"MAE")),"")</f>
        <v/>
      </c>
      <c r="C17" s="25">
        <f>IFERROR(IF(SUMIFS(tblDaily[Discharges],tblDaily[EntryDate],DATE(2026,1,10),tblDaily[WardCode],"MAE")=0,"",SUMIFS(tblDaily[Discharges],tblDaily[EntryDate],DATE(2026,1,10),tblDaily[WardCode],"MAE")),"")</f>
        <v/>
      </c>
      <c r="D17" s="25">
        <f>IFERROR(IF(SUMIFS(tblDaily[Deaths],tblDaily[EntryDate],DATE(2026,1,10),tblDaily[WardCode],"MAE")=0,"",SUMIFS(tblDaily[Deaths],tblDaily[EntryDate],DATE(2026,1,10),tblDaily[WardCode],"MAE")),"")</f>
        <v/>
      </c>
      <c r="E17" s="25">
        <f>IFERROR(IF(SUMIFS(tblDaily[DeathsUnder24Hrs],tblDaily[EntryDate],DATE(2026,1,10),tblDaily[WardCode],"MAE")=0,"",SUMIFS(tblDaily[DeathsUnder24Hrs],tblDaily[EntryDate],DATE(2026,1,10),tblDaily[WardCode],"MAE")),"")</f>
        <v/>
      </c>
      <c r="F17" s="25">
        <f>IFERROR(IF(SUMIFS(tblDaily[TransfersIn],tblDaily[EntryDate],DATE(2026,1,10),tblDaily[WardCode],"MAE")=0,"",SUMIFS(tblDaily[TransfersIn],tblDaily[EntryDate],DATE(2026,1,10),tblDaily[WardCode],"MAE")),"")</f>
        <v/>
      </c>
      <c r="G17" s="25">
        <f>IFERROR(IF(SUMIFS(tblDaily[TransfersOut],tblDaily[EntryDate],DATE(2026,1,10),tblDaily[WardCode],"MAE")=0,"",SUMIFS(tblDaily[TransfersOut],tblDaily[EntryDate],DATE(2026,1,10),tblDaily[WardCode],"MAE")),"")</f>
        <v/>
      </c>
      <c r="H17" s="25">
        <f>IFERROR(IF(SUMIFS(tblDaily[Remaining],tblDaily[EntryDate],DATE(2026,1,10),tblDaily[WardCode],"MAE")=0,"",SUMIFS(tblDaily[Remaining],tblDaily[EntryDate],DATE(2026,1,10),tblDaily[WardCode],"MAE")),"")</f>
        <v/>
      </c>
      <c r="I17" s="25">
        <f>IFERROR(IF(SUMIFS(tblDaily[Admissions],tblDaily[EntryDate],DATE(2026,1,10),tblDaily[WardCode],"FAE")=0,"",SUMIFS(tblDaily[Admissions],tblDaily[EntryDate],DATE(2026,1,10),tblDaily[WardCode],"FAE")),"")</f>
        <v/>
      </c>
      <c r="J17" s="25">
        <f>IFERROR(IF(SUMIFS(tblDaily[Discharges],tblDaily[EntryDate],DATE(2026,1,10),tblDaily[WardCode],"FAE")=0,"",SUMIFS(tblDaily[Discharges],tblDaily[EntryDate],DATE(2026,1,10),tblDaily[WardCode],"FAE")),"")</f>
        <v/>
      </c>
      <c r="K17" s="25">
        <f>IFERROR(IF(SUMIFS(tblDaily[Deaths],tblDaily[EntryDate],DATE(2026,1,10),tblDaily[WardCode],"FAE")=0,"",SUMIFS(tblDaily[Deaths],tblDaily[EntryDate],DATE(2026,1,10),tblDaily[WardCode],"FAE")),"")</f>
        <v/>
      </c>
      <c r="L17" s="25">
        <f>IFERROR(IF(SUMIFS(tblDaily[DeathsUnder24Hrs],tblDaily[EntryDate],DATE(2026,1,10),tblDaily[WardCode],"FAE")=0,"",SUMIFS(tblDaily[DeathsUnder24Hrs],tblDaily[EntryDate],DATE(2026,1,10),tblDaily[WardCode],"FAE")),"")</f>
        <v/>
      </c>
      <c r="M17" s="25">
        <f>IFERROR(IF(SUMIFS(tblDaily[TransfersIn],tblDaily[EntryDate],DATE(2026,1,10),tblDaily[WardCode],"FAE")=0,"",SUMIFS(tblDaily[TransfersIn],tblDaily[EntryDate],DATE(2026,1,10),tblDaily[WardCode],"FAE")),"")</f>
        <v/>
      </c>
      <c r="N17" s="25">
        <f>IFERROR(IF(SUMIFS(tblDaily[TransfersOut],tblDaily[EntryDate],DATE(2026,1,10),tblDaily[WardCode],"FAE")=0,"",SUMIFS(tblDaily[TransfersOut],tblDaily[EntryDate],DATE(2026,1,10),tblDaily[WardCode],"FAE")),"")</f>
        <v/>
      </c>
      <c r="O17" s="25">
        <f>IFERROR(IF(SUMIFS(tblDaily[Remaining],tblDaily[EntryDate],DATE(2026,1,10),tblDaily[WardCode],"FAE")=0,"",SUMIFS(tblDaily[Remaining],tblDaily[EntryDate],DATE(2026,1,10),tblDaily[WardCode],"FAE")),"")</f>
        <v/>
      </c>
      <c r="P17" s="26">
        <f>IF(AND(H17="", O17=""), "", N(H17) + N(O17))</f>
        <v/>
      </c>
    </row>
    <row r="18">
      <c r="A18" s="25" t="n">
        <v>11</v>
      </c>
      <c r="B18" s="25">
        <f>IFERROR(IF(SUMIFS(tblDaily[Admissions],tblDaily[EntryDate],DATE(2026,1,11),tblDaily[WardCode],"MAE")=0,"",SUMIFS(tblDaily[Admissions],tblDaily[EntryDate],DATE(2026,1,11),tblDaily[WardCode],"MAE")),"")</f>
        <v/>
      </c>
      <c r="C18" s="25">
        <f>IFERROR(IF(SUMIFS(tblDaily[Discharges],tblDaily[EntryDate],DATE(2026,1,11),tblDaily[WardCode],"MAE")=0,"",SUMIFS(tblDaily[Discharges],tblDaily[EntryDate],DATE(2026,1,11),tblDaily[WardCode],"MAE")),"")</f>
        <v/>
      </c>
      <c r="D18" s="25">
        <f>IFERROR(IF(SUMIFS(tblDaily[Deaths],tblDaily[EntryDate],DATE(2026,1,11),tblDaily[WardCode],"MAE")=0,"",SUMIFS(tblDaily[Deaths],tblDaily[EntryDate],DATE(2026,1,11),tblDaily[WardCode],"MAE")),"")</f>
        <v/>
      </c>
      <c r="E18" s="25">
        <f>IFERROR(IF(SUMIFS(tblDaily[DeathsUnder24Hrs],tblDaily[EntryDate],DATE(2026,1,11),tblDaily[WardCode],"MAE")=0,"",SUMIFS(tblDaily[DeathsUnder24Hrs],tblDaily[EntryDate],DATE(2026,1,11),tblDaily[WardCode],"MAE")),"")</f>
        <v/>
      </c>
      <c r="F18" s="25">
        <f>IFERROR(IF(SUMIFS(tblDaily[TransfersIn],tblDaily[EntryDate],DATE(2026,1,11),tblDaily[WardCode],"MAE")=0,"",SUMIFS(tblDaily[TransfersIn],tblDaily[EntryDate],DATE(2026,1,11),tblDaily[WardCode],"MAE")),"")</f>
        <v/>
      </c>
      <c r="G18" s="25">
        <f>IFERROR(IF(SUMIFS(tblDaily[TransfersOut],tblDaily[EntryDate],DATE(2026,1,11),tblDaily[WardCode],"MAE")=0,"",SUMIFS(tblDaily[TransfersOut],tblDaily[EntryDate],DATE(2026,1,11),tblDaily[WardCode],"MAE")),"")</f>
        <v/>
      </c>
      <c r="H18" s="25">
        <f>IFERROR(IF(SUMIFS(tblDaily[Remaining],tblDaily[EntryDate],DATE(2026,1,11),tblDaily[WardCode],"MAE")=0,"",SUMIFS(tblDaily[Remaining],tblDaily[EntryDate],DATE(2026,1,11),tblDaily[WardCode],"MAE")),"")</f>
        <v/>
      </c>
      <c r="I18" s="25">
        <f>IFERROR(IF(SUMIFS(tblDaily[Admissions],tblDaily[EntryDate],DATE(2026,1,11),tblDaily[WardCode],"FAE")=0,"",SUMIFS(tblDaily[Admissions],tblDaily[EntryDate],DATE(2026,1,11),tblDaily[WardCode],"FAE")),"")</f>
        <v/>
      </c>
      <c r="J18" s="25">
        <f>IFERROR(IF(SUMIFS(tblDaily[Discharges],tblDaily[EntryDate],DATE(2026,1,11),tblDaily[WardCode],"FAE")=0,"",SUMIFS(tblDaily[Discharges],tblDaily[EntryDate],DATE(2026,1,11),tblDaily[WardCode],"FAE")),"")</f>
        <v/>
      </c>
      <c r="K18" s="25">
        <f>IFERROR(IF(SUMIFS(tblDaily[Deaths],tblDaily[EntryDate],DATE(2026,1,11),tblDaily[WardCode],"FAE")=0,"",SUMIFS(tblDaily[Deaths],tblDaily[EntryDate],DATE(2026,1,11),tblDaily[WardCode],"FAE")),"")</f>
        <v/>
      </c>
      <c r="L18" s="25">
        <f>IFERROR(IF(SUMIFS(tblDaily[DeathsUnder24Hrs],tblDaily[EntryDate],DATE(2026,1,11),tblDaily[WardCode],"FAE")=0,"",SUMIFS(tblDaily[DeathsUnder24Hrs],tblDaily[EntryDate],DATE(2026,1,11),tblDaily[WardCode],"FAE")),"")</f>
        <v/>
      </c>
      <c r="M18" s="25">
        <f>IFERROR(IF(SUMIFS(tblDaily[TransfersIn],tblDaily[EntryDate],DATE(2026,1,11),tblDaily[WardCode],"FAE")=0,"",SUMIFS(tblDaily[TransfersIn],tblDaily[EntryDate],DATE(2026,1,11),tblDaily[WardCode],"FAE")),"")</f>
        <v/>
      </c>
      <c r="N18" s="25">
        <f>IFERROR(IF(SUMIFS(tblDaily[TransfersOut],tblDaily[EntryDate],DATE(2026,1,11),tblDaily[WardCode],"FAE")=0,"",SUMIFS(tblDaily[TransfersOut],tblDaily[EntryDate],DATE(2026,1,11),tblDaily[WardCode],"FAE")),"")</f>
        <v/>
      </c>
      <c r="O18" s="25">
        <f>IFERROR(IF(SUMIFS(tblDaily[Remaining],tblDaily[EntryDate],DATE(2026,1,11),tblDaily[WardCode],"FAE")=0,"",SUMIFS(tblDaily[Remaining],tblDaily[EntryDate],DATE(2026,1,11),tblDaily[WardCode],"FAE")),"")</f>
        <v/>
      </c>
      <c r="P18" s="26">
        <f>IF(AND(H18="", O18=""), "", N(H18) + N(O18))</f>
        <v/>
      </c>
    </row>
    <row r="19">
      <c r="A19" s="25" t="n">
        <v>12</v>
      </c>
      <c r="B19" s="25">
        <f>IFERROR(IF(SUMIFS(tblDaily[Admissions],tblDaily[EntryDate],DATE(2026,1,12),tblDaily[WardCode],"MAE")=0,"",SUMIFS(tblDaily[Admissions],tblDaily[EntryDate],DATE(2026,1,12),tblDaily[WardCode],"MAE")),"")</f>
        <v/>
      </c>
      <c r="C19" s="25">
        <f>IFERROR(IF(SUMIFS(tblDaily[Discharges],tblDaily[EntryDate],DATE(2026,1,12),tblDaily[WardCode],"MAE")=0,"",SUMIFS(tblDaily[Discharges],tblDaily[EntryDate],DATE(2026,1,12),tblDaily[WardCode],"MAE")),"")</f>
        <v/>
      </c>
      <c r="D19" s="25">
        <f>IFERROR(IF(SUMIFS(tblDaily[Deaths],tblDaily[EntryDate],DATE(2026,1,12),tblDaily[WardCode],"MAE")=0,"",SUMIFS(tblDaily[Deaths],tblDaily[EntryDate],DATE(2026,1,12),tblDaily[WardCode],"MAE")),"")</f>
        <v/>
      </c>
      <c r="E19" s="25">
        <f>IFERROR(IF(SUMIFS(tblDaily[DeathsUnder24Hrs],tblDaily[EntryDate],DATE(2026,1,12),tblDaily[WardCode],"MAE")=0,"",SUMIFS(tblDaily[DeathsUnder24Hrs],tblDaily[EntryDate],DATE(2026,1,12),tblDaily[WardCode],"MAE")),"")</f>
        <v/>
      </c>
      <c r="F19" s="25">
        <f>IFERROR(IF(SUMIFS(tblDaily[TransfersIn],tblDaily[EntryDate],DATE(2026,1,12),tblDaily[WardCode],"MAE")=0,"",SUMIFS(tblDaily[TransfersIn],tblDaily[EntryDate],DATE(2026,1,12),tblDaily[WardCode],"MAE")),"")</f>
        <v/>
      </c>
      <c r="G19" s="25">
        <f>IFERROR(IF(SUMIFS(tblDaily[TransfersOut],tblDaily[EntryDate],DATE(2026,1,12),tblDaily[WardCode],"MAE")=0,"",SUMIFS(tblDaily[TransfersOut],tblDaily[EntryDate],DATE(2026,1,12),tblDaily[WardCode],"MAE")),"")</f>
        <v/>
      </c>
      <c r="H19" s="25">
        <f>IFERROR(IF(SUMIFS(tblDaily[Remaining],tblDaily[EntryDate],DATE(2026,1,12),tblDaily[WardCode],"MAE")=0,"",SUMIFS(tblDaily[Remaining],tblDaily[EntryDate],DATE(2026,1,12),tblDaily[WardCode],"MAE")),"")</f>
        <v/>
      </c>
      <c r="I19" s="25">
        <f>IFERROR(IF(SUMIFS(tblDaily[Admissions],tblDaily[EntryDate],DATE(2026,1,12),tblDaily[WardCode],"FAE")=0,"",SUMIFS(tblDaily[Admissions],tblDaily[EntryDate],DATE(2026,1,12),tblDaily[WardCode],"FAE")),"")</f>
        <v/>
      </c>
      <c r="J19" s="25">
        <f>IFERROR(IF(SUMIFS(tblDaily[Discharges],tblDaily[EntryDate],DATE(2026,1,12),tblDaily[WardCode],"FAE")=0,"",SUMIFS(tblDaily[Discharges],tblDaily[EntryDate],DATE(2026,1,12),tblDaily[WardCode],"FAE")),"")</f>
        <v/>
      </c>
      <c r="K19" s="25">
        <f>IFERROR(IF(SUMIFS(tblDaily[Deaths],tblDaily[EntryDate],DATE(2026,1,12),tblDaily[WardCode],"FAE")=0,"",SUMIFS(tblDaily[Deaths],tblDaily[EntryDate],DATE(2026,1,12),tblDaily[WardCode],"FAE")),"")</f>
        <v/>
      </c>
      <c r="L19" s="25">
        <f>IFERROR(IF(SUMIFS(tblDaily[DeathsUnder24Hrs],tblDaily[EntryDate],DATE(2026,1,12),tblDaily[WardCode],"FAE")=0,"",SUMIFS(tblDaily[DeathsUnder24Hrs],tblDaily[EntryDate],DATE(2026,1,12),tblDaily[WardCode],"FAE")),"")</f>
        <v/>
      </c>
      <c r="M19" s="25">
        <f>IFERROR(IF(SUMIFS(tblDaily[TransfersIn],tblDaily[EntryDate],DATE(2026,1,12),tblDaily[WardCode],"FAE")=0,"",SUMIFS(tblDaily[TransfersIn],tblDaily[EntryDate],DATE(2026,1,12),tblDaily[WardCode],"FAE")),"")</f>
        <v/>
      </c>
      <c r="N19" s="25">
        <f>IFERROR(IF(SUMIFS(tblDaily[TransfersOut],tblDaily[EntryDate],DATE(2026,1,12),tblDaily[WardCode],"FAE")=0,"",SUMIFS(tblDaily[TransfersOut],tblDaily[EntryDate],DATE(2026,1,12),tblDaily[WardCode],"FAE")),"")</f>
        <v/>
      </c>
      <c r="O19" s="25">
        <f>IFERROR(IF(SUMIFS(tblDaily[Remaining],tblDaily[EntryDate],DATE(2026,1,12),tblDaily[WardCode],"FAE")=0,"",SUMIFS(tblDaily[Remaining],tblDaily[EntryDate],DATE(2026,1,12),tblDaily[WardCode],"FAE")),"")</f>
        <v/>
      </c>
      <c r="P19" s="26">
        <f>IF(AND(H19="", O19=""), "", N(H19) + N(O19))</f>
        <v/>
      </c>
    </row>
    <row r="20">
      <c r="A20" s="25" t="n">
        <v>13</v>
      </c>
      <c r="B20" s="25">
        <f>IFERROR(IF(SUMIFS(tblDaily[Admissions],tblDaily[EntryDate],DATE(2026,1,13),tblDaily[WardCode],"MAE")=0,"",SUMIFS(tblDaily[Admissions],tblDaily[EntryDate],DATE(2026,1,13),tblDaily[WardCode],"MAE")),"")</f>
        <v/>
      </c>
      <c r="C20" s="25">
        <f>IFERROR(IF(SUMIFS(tblDaily[Discharges],tblDaily[EntryDate],DATE(2026,1,13),tblDaily[WardCode],"MAE")=0,"",SUMIFS(tblDaily[Discharges],tblDaily[EntryDate],DATE(2026,1,13),tblDaily[WardCode],"MAE")),"")</f>
        <v/>
      </c>
      <c r="D20" s="25">
        <f>IFERROR(IF(SUMIFS(tblDaily[Deaths],tblDaily[EntryDate],DATE(2026,1,13),tblDaily[WardCode],"MAE")=0,"",SUMIFS(tblDaily[Deaths],tblDaily[EntryDate],DATE(2026,1,13),tblDaily[WardCode],"MAE")),"")</f>
        <v/>
      </c>
      <c r="E20" s="25">
        <f>IFERROR(IF(SUMIFS(tblDaily[DeathsUnder24Hrs],tblDaily[EntryDate],DATE(2026,1,13),tblDaily[WardCode],"MAE")=0,"",SUMIFS(tblDaily[DeathsUnder24Hrs],tblDaily[EntryDate],DATE(2026,1,13),tblDaily[WardCode],"MAE")),"")</f>
        <v/>
      </c>
      <c r="F20" s="25">
        <f>IFERROR(IF(SUMIFS(tblDaily[TransfersIn],tblDaily[EntryDate],DATE(2026,1,13),tblDaily[WardCode],"MAE")=0,"",SUMIFS(tblDaily[TransfersIn],tblDaily[EntryDate],DATE(2026,1,13),tblDaily[WardCode],"MAE")),"")</f>
        <v/>
      </c>
      <c r="G20" s="25">
        <f>IFERROR(IF(SUMIFS(tblDaily[TransfersOut],tblDaily[EntryDate],DATE(2026,1,13),tblDaily[WardCode],"MAE")=0,"",SUMIFS(tblDaily[TransfersOut],tblDaily[EntryDate],DATE(2026,1,13),tblDaily[WardCode],"MAE")),"")</f>
        <v/>
      </c>
      <c r="H20" s="25">
        <f>IFERROR(IF(SUMIFS(tblDaily[Remaining],tblDaily[EntryDate],DATE(2026,1,13),tblDaily[WardCode],"MAE")=0,"",SUMIFS(tblDaily[Remaining],tblDaily[EntryDate],DATE(2026,1,13),tblDaily[WardCode],"MAE")),"")</f>
        <v/>
      </c>
      <c r="I20" s="25">
        <f>IFERROR(IF(SUMIFS(tblDaily[Admissions],tblDaily[EntryDate],DATE(2026,1,13),tblDaily[WardCode],"FAE")=0,"",SUMIFS(tblDaily[Admissions],tblDaily[EntryDate],DATE(2026,1,13),tblDaily[WardCode],"FAE")),"")</f>
        <v/>
      </c>
      <c r="J20" s="25">
        <f>IFERROR(IF(SUMIFS(tblDaily[Discharges],tblDaily[EntryDate],DATE(2026,1,13),tblDaily[WardCode],"FAE")=0,"",SUMIFS(tblDaily[Discharges],tblDaily[EntryDate],DATE(2026,1,13),tblDaily[WardCode],"FAE")),"")</f>
        <v/>
      </c>
      <c r="K20" s="25">
        <f>IFERROR(IF(SUMIFS(tblDaily[Deaths],tblDaily[EntryDate],DATE(2026,1,13),tblDaily[WardCode],"FAE")=0,"",SUMIFS(tblDaily[Deaths],tblDaily[EntryDate],DATE(2026,1,13),tblDaily[WardCode],"FAE")),"")</f>
        <v/>
      </c>
      <c r="L20" s="25">
        <f>IFERROR(IF(SUMIFS(tblDaily[DeathsUnder24Hrs],tblDaily[EntryDate],DATE(2026,1,13),tblDaily[WardCode],"FAE")=0,"",SUMIFS(tblDaily[DeathsUnder24Hrs],tblDaily[EntryDate],DATE(2026,1,13),tblDaily[WardCode],"FAE")),"")</f>
        <v/>
      </c>
      <c r="M20" s="25">
        <f>IFERROR(IF(SUMIFS(tblDaily[TransfersIn],tblDaily[EntryDate],DATE(2026,1,13),tblDaily[WardCode],"FAE")=0,"",SUMIFS(tblDaily[TransfersIn],tblDaily[EntryDate],DATE(2026,1,13),tblDaily[WardCode],"FAE")),"")</f>
        <v/>
      </c>
      <c r="N20" s="25">
        <f>IFERROR(IF(SUMIFS(tblDaily[TransfersOut],tblDaily[EntryDate],DATE(2026,1,13),tblDaily[WardCode],"FAE")=0,"",SUMIFS(tblDaily[TransfersOut],tblDaily[EntryDate],DATE(2026,1,13),tblDaily[WardCode],"FAE")),"")</f>
        <v/>
      </c>
      <c r="O20" s="25">
        <f>IFERROR(IF(SUMIFS(tblDaily[Remaining],tblDaily[EntryDate],DATE(2026,1,13),tblDaily[WardCode],"FAE")=0,"",SUMIFS(tblDaily[Remaining],tblDaily[EntryDate],DATE(2026,1,13),tblDaily[WardCode],"FAE")),"")</f>
        <v/>
      </c>
      <c r="P20" s="26">
        <f>IF(AND(H20="", O20=""), "", N(H20) + N(O20))</f>
        <v/>
      </c>
    </row>
    <row r="21">
      <c r="A21" s="25" t="n">
        <v>14</v>
      </c>
      <c r="B21" s="25">
        <f>IFERROR(IF(SUMIFS(tblDaily[Admissions],tblDaily[EntryDate],DATE(2026,1,14),tblDaily[WardCode],"MAE")=0,"",SUMIFS(tblDaily[Admissions],tblDaily[EntryDate],DATE(2026,1,14),tblDaily[WardCode],"MAE")),"")</f>
        <v/>
      </c>
      <c r="C21" s="25">
        <f>IFERROR(IF(SUMIFS(tblDaily[Discharges],tblDaily[EntryDate],DATE(2026,1,14),tblDaily[WardCode],"MAE")=0,"",SUMIFS(tblDaily[Discharges],tblDaily[EntryDate],DATE(2026,1,14),tblDaily[WardCode],"MAE")),"")</f>
        <v/>
      </c>
      <c r="D21" s="25">
        <f>IFERROR(IF(SUMIFS(tblDaily[Deaths],tblDaily[EntryDate],DATE(2026,1,14),tblDaily[WardCode],"MAE")=0,"",SUMIFS(tblDaily[Deaths],tblDaily[EntryDate],DATE(2026,1,14),tblDaily[WardCode],"MAE")),"")</f>
        <v/>
      </c>
      <c r="E21" s="25">
        <f>IFERROR(IF(SUMIFS(tblDaily[DeathsUnder24Hrs],tblDaily[EntryDate],DATE(2026,1,14),tblDaily[WardCode],"MAE")=0,"",SUMIFS(tblDaily[DeathsUnder24Hrs],tblDaily[EntryDate],DATE(2026,1,14),tblDaily[WardCode],"MAE")),"")</f>
        <v/>
      </c>
      <c r="F21" s="25">
        <f>IFERROR(IF(SUMIFS(tblDaily[TransfersIn],tblDaily[EntryDate],DATE(2026,1,14),tblDaily[WardCode],"MAE")=0,"",SUMIFS(tblDaily[TransfersIn],tblDaily[EntryDate],DATE(2026,1,14),tblDaily[WardCode],"MAE")),"")</f>
        <v/>
      </c>
      <c r="G21" s="25">
        <f>IFERROR(IF(SUMIFS(tblDaily[TransfersOut],tblDaily[EntryDate],DATE(2026,1,14),tblDaily[WardCode],"MAE")=0,"",SUMIFS(tblDaily[TransfersOut],tblDaily[EntryDate],DATE(2026,1,14),tblDaily[WardCode],"MAE")),"")</f>
        <v/>
      </c>
      <c r="H21" s="25">
        <f>IFERROR(IF(SUMIFS(tblDaily[Remaining],tblDaily[EntryDate],DATE(2026,1,14),tblDaily[WardCode],"MAE")=0,"",SUMIFS(tblDaily[Remaining],tblDaily[EntryDate],DATE(2026,1,14),tblDaily[WardCode],"MAE")),"")</f>
        <v/>
      </c>
      <c r="I21" s="25">
        <f>IFERROR(IF(SUMIFS(tblDaily[Admissions],tblDaily[EntryDate],DATE(2026,1,14),tblDaily[WardCode],"FAE")=0,"",SUMIFS(tblDaily[Admissions],tblDaily[EntryDate],DATE(2026,1,14),tblDaily[WardCode],"FAE")),"")</f>
        <v/>
      </c>
      <c r="J21" s="25">
        <f>IFERROR(IF(SUMIFS(tblDaily[Discharges],tblDaily[EntryDate],DATE(2026,1,14),tblDaily[WardCode],"FAE")=0,"",SUMIFS(tblDaily[Discharges],tblDaily[EntryDate],DATE(2026,1,14),tblDaily[WardCode],"FAE")),"")</f>
        <v/>
      </c>
      <c r="K21" s="25">
        <f>IFERROR(IF(SUMIFS(tblDaily[Deaths],tblDaily[EntryDate],DATE(2026,1,14),tblDaily[WardCode],"FAE")=0,"",SUMIFS(tblDaily[Deaths],tblDaily[EntryDate],DATE(2026,1,14),tblDaily[WardCode],"FAE")),"")</f>
        <v/>
      </c>
      <c r="L21" s="25">
        <f>IFERROR(IF(SUMIFS(tblDaily[DeathsUnder24Hrs],tblDaily[EntryDate],DATE(2026,1,14),tblDaily[WardCode],"FAE")=0,"",SUMIFS(tblDaily[DeathsUnder24Hrs],tblDaily[EntryDate],DATE(2026,1,14),tblDaily[WardCode],"FAE")),"")</f>
        <v/>
      </c>
      <c r="M21" s="25">
        <f>IFERROR(IF(SUMIFS(tblDaily[TransfersIn],tblDaily[EntryDate],DATE(2026,1,14),tblDaily[WardCode],"FAE")=0,"",SUMIFS(tblDaily[TransfersIn],tblDaily[EntryDate],DATE(2026,1,14),tblDaily[WardCode],"FAE")),"")</f>
        <v/>
      </c>
      <c r="N21" s="25">
        <f>IFERROR(IF(SUMIFS(tblDaily[TransfersOut],tblDaily[EntryDate],DATE(2026,1,14),tblDaily[WardCode],"FAE")=0,"",SUMIFS(tblDaily[TransfersOut],tblDaily[EntryDate],DATE(2026,1,14),tblDaily[WardCode],"FAE")),"")</f>
        <v/>
      </c>
      <c r="O21" s="25">
        <f>IFERROR(IF(SUMIFS(tblDaily[Remaining],tblDaily[EntryDate],DATE(2026,1,14),tblDaily[WardCode],"FAE")=0,"",SUMIFS(tblDaily[Remaining],tblDaily[EntryDate],DATE(2026,1,14),tblDaily[WardCode],"FAE")),"")</f>
        <v/>
      </c>
      <c r="P21" s="26">
        <f>IF(AND(H21="", O21=""), "", N(H21) + N(O21))</f>
        <v/>
      </c>
    </row>
    <row r="22">
      <c r="A22" s="25" t="n">
        <v>15</v>
      </c>
      <c r="B22" s="25">
        <f>IFERROR(IF(SUMIFS(tblDaily[Admissions],tblDaily[EntryDate],DATE(2026,1,15),tblDaily[WardCode],"MAE")=0,"",SUMIFS(tblDaily[Admissions],tblDaily[EntryDate],DATE(2026,1,15),tblDaily[WardCode],"MAE")),"")</f>
        <v/>
      </c>
      <c r="C22" s="25">
        <f>IFERROR(IF(SUMIFS(tblDaily[Discharges],tblDaily[EntryDate],DATE(2026,1,15),tblDaily[WardCode],"MAE")=0,"",SUMIFS(tblDaily[Discharges],tblDaily[EntryDate],DATE(2026,1,15),tblDaily[WardCode],"MAE")),"")</f>
        <v/>
      </c>
      <c r="D22" s="25">
        <f>IFERROR(IF(SUMIFS(tblDaily[Deaths],tblDaily[EntryDate],DATE(2026,1,15),tblDaily[WardCode],"MAE")=0,"",SUMIFS(tblDaily[Deaths],tblDaily[EntryDate],DATE(2026,1,15),tblDaily[WardCode],"MAE")),"")</f>
        <v/>
      </c>
      <c r="E22" s="25">
        <f>IFERROR(IF(SUMIFS(tblDaily[DeathsUnder24Hrs],tblDaily[EntryDate],DATE(2026,1,15),tblDaily[WardCode],"MAE")=0,"",SUMIFS(tblDaily[DeathsUnder24Hrs],tblDaily[EntryDate],DATE(2026,1,15),tblDaily[WardCode],"MAE")),"")</f>
        <v/>
      </c>
      <c r="F22" s="25">
        <f>IFERROR(IF(SUMIFS(tblDaily[TransfersIn],tblDaily[EntryDate],DATE(2026,1,15),tblDaily[WardCode],"MAE")=0,"",SUMIFS(tblDaily[TransfersIn],tblDaily[EntryDate],DATE(2026,1,15),tblDaily[WardCode],"MAE")),"")</f>
        <v/>
      </c>
      <c r="G22" s="25">
        <f>IFERROR(IF(SUMIFS(tblDaily[TransfersOut],tblDaily[EntryDate],DATE(2026,1,15),tblDaily[WardCode],"MAE")=0,"",SUMIFS(tblDaily[TransfersOut],tblDaily[EntryDate],DATE(2026,1,15),tblDaily[WardCode],"MAE")),"")</f>
        <v/>
      </c>
      <c r="H22" s="25">
        <f>IFERROR(IF(SUMIFS(tblDaily[Remaining],tblDaily[EntryDate],DATE(2026,1,15),tblDaily[WardCode],"MAE")=0,"",SUMIFS(tblDaily[Remaining],tblDaily[EntryDate],DATE(2026,1,15),tblDaily[WardCode],"MAE")),"")</f>
        <v/>
      </c>
      <c r="I22" s="25">
        <f>IFERROR(IF(SUMIFS(tblDaily[Admissions],tblDaily[EntryDate],DATE(2026,1,15),tblDaily[WardCode],"FAE")=0,"",SUMIFS(tblDaily[Admissions],tblDaily[EntryDate],DATE(2026,1,15),tblDaily[WardCode],"FAE")),"")</f>
        <v/>
      </c>
      <c r="J22" s="25">
        <f>IFERROR(IF(SUMIFS(tblDaily[Discharges],tblDaily[EntryDate],DATE(2026,1,15),tblDaily[WardCode],"FAE")=0,"",SUMIFS(tblDaily[Discharges],tblDaily[EntryDate],DATE(2026,1,15),tblDaily[WardCode],"FAE")),"")</f>
        <v/>
      </c>
      <c r="K22" s="25">
        <f>IFERROR(IF(SUMIFS(tblDaily[Deaths],tblDaily[EntryDate],DATE(2026,1,15),tblDaily[WardCode],"FAE")=0,"",SUMIFS(tblDaily[Deaths],tblDaily[EntryDate],DATE(2026,1,15),tblDaily[WardCode],"FAE")),"")</f>
        <v/>
      </c>
      <c r="L22" s="25">
        <f>IFERROR(IF(SUMIFS(tblDaily[DeathsUnder24Hrs],tblDaily[EntryDate],DATE(2026,1,15),tblDaily[WardCode],"FAE")=0,"",SUMIFS(tblDaily[DeathsUnder24Hrs],tblDaily[EntryDate],DATE(2026,1,15),tblDaily[WardCode],"FAE")),"")</f>
        <v/>
      </c>
      <c r="M22" s="25">
        <f>IFERROR(IF(SUMIFS(tblDaily[TransfersIn],tblDaily[EntryDate],DATE(2026,1,15),tblDaily[WardCode],"FAE")=0,"",SUMIFS(tblDaily[TransfersIn],tblDaily[EntryDate],DATE(2026,1,15),tblDaily[WardCode],"FAE")),"")</f>
        <v/>
      </c>
      <c r="N22" s="25">
        <f>IFERROR(IF(SUMIFS(tblDaily[TransfersOut],tblDaily[EntryDate],DATE(2026,1,15),tblDaily[WardCode],"FAE")=0,"",SUMIFS(tblDaily[TransfersOut],tblDaily[EntryDate],DATE(2026,1,15),tblDaily[WardCode],"FAE")),"")</f>
        <v/>
      </c>
      <c r="O22" s="25">
        <f>IFERROR(IF(SUMIFS(tblDaily[Remaining],tblDaily[EntryDate],DATE(2026,1,15),tblDaily[WardCode],"FAE")=0,"",SUMIFS(tblDaily[Remaining],tblDaily[EntryDate],DATE(2026,1,15),tblDaily[WardCode],"FAE")),"")</f>
        <v/>
      </c>
      <c r="P22" s="26">
        <f>IF(AND(H22="", O22=""), "", N(H22) + N(O22))</f>
        <v/>
      </c>
    </row>
    <row r="23">
      <c r="A23" s="25" t="n">
        <v>16</v>
      </c>
      <c r="B23" s="25">
        <f>IFERROR(IF(SUMIFS(tblDaily[Admissions],tblDaily[EntryDate],DATE(2026,1,16),tblDaily[WardCode],"MAE")=0,"",SUMIFS(tblDaily[Admissions],tblDaily[EntryDate],DATE(2026,1,16),tblDaily[WardCode],"MAE")),"")</f>
        <v/>
      </c>
      <c r="C23" s="25">
        <f>IFERROR(IF(SUMIFS(tblDaily[Discharges],tblDaily[EntryDate],DATE(2026,1,16),tblDaily[WardCode],"MAE")=0,"",SUMIFS(tblDaily[Discharges],tblDaily[EntryDate],DATE(2026,1,16),tblDaily[WardCode],"MAE")),"")</f>
        <v/>
      </c>
      <c r="D23" s="25">
        <f>IFERROR(IF(SUMIFS(tblDaily[Deaths],tblDaily[EntryDate],DATE(2026,1,16),tblDaily[WardCode],"MAE")=0,"",SUMIFS(tblDaily[Deaths],tblDaily[EntryDate],DATE(2026,1,16),tblDaily[WardCode],"MAE")),"")</f>
        <v/>
      </c>
      <c r="E23" s="25">
        <f>IFERROR(IF(SUMIFS(tblDaily[DeathsUnder24Hrs],tblDaily[EntryDate],DATE(2026,1,16),tblDaily[WardCode],"MAE")=0,"",SUMIFS(tblDaily[DeathsUnder24Hrs],tblDaily[EntryDate],DATE(2026,1,16),tblDaily[WardCode],"MAE")),"")</f>
        <v/>
      </c>
      <c r="F23" s="25">
        <f>IFERROR(IF(SUMIFS(tblDaily[TransfersIn],tblDaily[EntryDate],DATE(2026,1,16),tblDaily[WardCode],"MAE")=0,"",SUMIFS(tblDaily[TransfersIn],tblDaily[EntryDate],DATE(2026,1,16),tblDaily[WardCode],"MAE")),"")</f>
        <v/>
      </c>
      <c r="G23" s="25">
        <f>IFERROR(IF(SUMIFS(tblDaily[TransfersOut],tblDaily[EntryDate],DATE(2026,1,16),tblDaily[WardCode],"MAE")=0,"",SUMIFS(tblDaily[TransfersOut],tblDaily[EntryDate],DATE(2026,1,16),tblDaily[WardCode],"MAE")),"")</f>
        <v/>
      </c>
      <c r="H23" s="25">
        <f>IFERROR(IF(SUMIFS(tblDaily[Remaining],tblDaily[EntryDate],DATE(2026,1,16),tblDaily[WardCode],"MAE")=0,"",SUMIFS(tblDaily[Remaining],tblDaily[EntryDate],DATE(2026,1,16),tblDaily[WardCode],"MAE")),"")</f>
        <v/>
      </c>
      <c r="I23" s="25">
        <f>IFERROR(IF(SUMIFS(tblDaily[Admissions],tblDaily[EntryDate],DATE(2026,1,16),tblDaily[WardCode],"FAE")=0,"",SUMIFS(tblDaily[Admissions],tblDaily[EntryDate],DATE(2026,1,16),tblDaily[WardCode],"FAE")),"")</f>
        <v/>
      </c>
      <c r="J23" s="25">
        <f>IFERROR(IF(SUMIFS(tblDaily[Discharges],tblDaily[EntryDate],DATE(2026,1,16),tblDaily[WardCode],"FAE")=0,"",SUMIFS(tblDaily[Discharges],tblDaily[EntryDate],DATE(2026,1,16),tblDaily[WardCode],"FAE")),"")</f>
        <v/>
      </c>
      <c r="K23" s="25">
        <f>IFERROR(IF(SUMIFS(tblDaily[Deaths],tblDaily[EntryDate],DATE(2026,1,16),tblDaily[WardCode],"FAE")=0,"",SUMIFS(tblDaily[Deaths],tblDaily[EntryDate],DATE(2026,1,16),tblDaily[WardCode],"FAE")),"")</f>
        <v/>
      </c>
      <c r="L23" s="25">
        <f>IFERROR(IF(SUMIFS(tblDaily[DeathsUnder24Hrs],tblDaily[EntryDate],DATE(2026,1,16),tblDaily[WardCode],"FAE")=0,"",SUMIFS(tblDaily[DeathsUnder24Hrs],tblDaily[EntryDate],DATE(2026,1,16),tblDaily[WardCode],"FAE")),"")</f>
        <v/>
      </c>
      <c r="M23" s="25">
        <f>IFERROR(IF(SUMIFS(tblDaily[TransfersIn],tblDaily[EntryDate],DATE(2026,1,16),tblDaily[WardCode],"FAE")=0,"",SUMIFS(tblDaily[TransfersIn],tblDaily[EntryDate],DATE(2026,1,16),tblDaily[WardCode],"FAE")),"")</f>
        <v/>
      </c>
      <c r="N23" s="25">
        <f>IFERROR(IF(SUMIFS(tblDaily[TransfersOut],tblDaily[EntryDate],DATE(2026,1,16),tblDaily[WardCode],"FAE")=0,"",SUMIFS(tblDaily[TransfersOut],tblDaily[EntryDate],DATE(2026,1,16),tblDaily[WardCode],"FAE")),"")</f>
        <v/>
      </c>
      <c r="O23" s="25">
        <f>IFERROR(IF(SUMIFS(tblDaily[Remaining],tblDaily[EntryDate],DATE(2026,1,16),tblDaily[WardCode],"FAE")=0,"",SUMIFS(tblDaily[Remaining],tblDaily[EntryDate],DATE(2026,1,16),tblDaily[WardCode],"FAE")),"")</f>
        <v/>
      </c>
      <c r="P23" s="26">
        <f>IF(AND(H23="", O23=""), "", N(H23) + N(O23))</f>
        <v/>
      </c>
    </row>
    <row r="24">
      <c r="A24" s="25" t="n">
        <v>17</v>
      </c>
      <c r="B24" s="25">
        <f>IFERROR(IF(SUMIFS(tblDaily[Admissions],tblDaily[EntryDate],DATE(2026,1,17),tblDaily[WardCode],"MAE")=0,"",SUMIFS(tblDaily[Admissions],tblDaily[EntryDate],DATE(2026,1,17),tblDaily[WardCode],"MAE")),"")</f>
        <v/>
      </c>
      <c r="C24" s="25">
        <f>IFERROR(IF(SUMIFS(tblDaily[Discharges],tblDaily[EntryDate],DATE(2026,1,17),tblDaily[WardCode],"MAE")=0,"",SUMIFS(tblDaily[Discharges],tblDaily[EntryDate],DATE(2026,1,17),tblDaily[WardCode],"MAE")),"")</f>
        <v/>
      </c>
      <c r="D24" s="25">
        <f>IFERROR(IF(SUMIFS(tblDaily[Deaths],tblDaily[EntryDate],DATE(2026,1,17),tblDaily[WardCode],"MAE")=0,"",SUMIFS(tblDaily[Deaths],tblDaily[EntryDate],DATE(2026,1,17),tblDaily[WardCode],"MAE")),"")</f>
        <v/>
      </c>
      <c r="E24" s="25">
        <f>IFERROR(IF(SUMIFS(tblDaily[DeathsUnder24Hrs],tblDaily[EntryDate],DATE(2026,1,17),tblDaily[WardCode],"MAE")=0,"",SUMIFS(tblDaily[DeathsUnder24Hrs],tblDaily[EntryDate],DATE(2026,1,17),tblDaily[WardCode],"MAE")),"")</f>
        <v/>
      </c>
      <c r="F24" s="25">
        <f>IFERROR(IF(SUMIFS(tblDaily[TransfersIn],tblDaily[EntryDate],DATE(2026,1,17),tblDaily[WardCode],"MAE")=0,"",SUMIFS(tblDaily[TransfersIn],tblDaily[EntryDate],DATE(2026,1,17),tblDaily[WardCode],"MAE")),"")</f>
        <v/>
      </c>
      <c r="G24" s="25">
        <f>IFERROR(IF(SUMIFS(tblDaily[TransfersOut],tblDaily[EntryDate],DATE(2026,1,17),tblDaily[WardCode],"MAE")=0,"",SUMIFS(tblDaily[TransfersOut],tblDaily[EntryDate],DATE(2026,1,17),tblDaily[WardCode],"MAE")),"")</f>
        <v/>
      </c>
      <c r="H24" s="25">
        <f>IFERROR(IF(SUMIFS(tblDaily[Remaining],tblDaily[EntryDate],DATE(2026,1,17),tblDaily[WardCode],"MAE")=0,"",SUMIFS(tblDaily[Remaining],tblDaily[EntryDate],DATE(2026,1,17),tblDaily[WardCode],"MAE")),"")</f>
        <v/>
      </c>
      <c r="I24" s="25">
        <f>IFERROR(IF(SUMIFS(tblDaily[Admissions],tblDaily[EntryDate],DATE(2026,1,17),tblDaily[WardCode],"FAE")=0,"",SUMIFS(tblDaily[Admissions],tblDaily[EntryDate],DATE(2026,1,17),tblDaily[WardCode],"FAE")),"")</f>
        <v/>
      </c>
      <c r="J24" s="25">
        <f>IFERROR(IF(SUMIFS(tblDaily[Discharges],tblDaily[EntryDate],DATE(2026,1,17),tblDaily[WardCode],"FAE")=0,"",SUMIFS(tblDaily[Discharges],tblDaily[EntryDate],DATE(2026,1,17),tblDaily[WardCode],"FAE")),"")</f>
        <v/>
      </c>
      <c r="K24" s="25">
        <f>IFERROR(IF(SUMIFS(tblDaily[Deaths],tblDaily[EntryDate],DATE(2026,1,17),tblDaily[WardCode],"FAE")=0,"",SUMIFS(tblDaily[Deaths],tblDaily[EntryDate],DATE(2026,1,17),tblDaily[WardCode],"FAE")),"")</f>
        <v/>
      </c>
      <c r="L24" s="25">
        <f>IFERROR(IF(SUMIFS(tblDaily[DeathsUnder24Hrs],tblDaily[EntryDate],DATE(2026,1,17),tblDaily[WardCode],"FAE")=0,"",SUMIFS(tblDaily[DeathsUnder24Hrs],tblDaily[EntryDate],DATE(2026,1,17),tblDaily[WardCode],"FAE")),"")</f>
        <v/>
      </c>
      <c r="M24" s="25">
        <f>IFERROR(IF(SUMIFS(tblDaily[TransfersIn],tblDaily[EntryDate],DATE(2026,1,17),tblDaily[WardCode],"FAE")=0,"",SUMIFS(tblDaily[TransfersIn],tblDaily[EntryDate],DATE(2026,1,17),tblDaily[WardCode],"FAE")),"")</f>
        <v/>
      </c>
      <c r="N24" s="25">
        <f>IFERROR(IF(SUMIFS(tblDaily[TransfersOut],tblDaily[EntryDate],DATE(2026,1,17),tblDaily[WardCode],"FAE")=0,"",SUMIFS(tblDaily[TransfersOut],tblDaily[EntryDate],DATE(2026,1,17),tblDaily[WardCode],"FAE")),"")</f>
        <v/>
      </c>
      <c r="O24" s="25">
        <f>IFERROR(IF(SUMIFS(tblDaily[Remaining],tblDaily[EntryDate],DATE(2026,1,17),tblDaily[WardCode],"FAE")=0,"",SUMIFS(tblDaily[Remaining],tblDaily[EntryDate],DATE(2026,1,17),tblDaily[WardCode],"FAE")),"")</f>
        <v/>
      </c>
      <c r="P24" s="26">
        <f>IF(AND(H24="", O24=""), "", N(H24) + N(O24))</f>
        <v/>
      </c>
    </row>
    <row r="25">
      <c r="A25" s="25" t="n">
        <v>18</v>
      </c>
      <c r="B25" s="25">
        <f>IFERROR(IF(SUMIFS(tblDaily[Admissions],tblDaily[EntryDate],DATE(2026,1,18),tblDaily[WardCode],"MAE")=0,"",SUMIFS(tblDaily[Admissions],tblDaily[EntryDate],DATE(2026,1,18),tblDaily[WardCode],"MAE")),"")</f>
        <v/>
      </c>
      <c r="C25" s="25">
        <f>IFERROR(IF(SUMIFS(tblDaily[Discharges],tblDaily[EntryDate],DATE(2026,1,18),tblDaily[WardCode],"MAE")=0,"",SUMIFS(tblDaily[Discharges],tblDaily[EntryDate],DATE(2026,1,18),tblDaily[WardCode],"MAE")),"")</f>
        <v/>
      </c>
      <c r="D25" s="25">
        <f>IFERROR(IF(SUMIFS(tblDaily[Deaths],tblDaily[EntryDate],DATE(2026,1,18),tblDaily[WardCode],"MAE")=0,"",SUMIFS(tblDaily[Deaths],tblDaily[EntryDate],DATE(2026,1,18),tblDaily[WardCode],"MAE")),"")</f>
        <v/>
      </c>
      <c r="E25" s="25">
        <f>IFERROR(IF(SUMIFS(tblDaily[DeathsUnder24Hrs],tblDaily[EntryDate],DATE(2026,1,18),tblDaily[WardCode],"MAE")=0,"",SUMIFS(tblDaily[DeathsUnder24Hrs],tblDaily[EntryDate],DATE(2026,1,18),tblDaily[WardCode],"MAE")),"")</f>
        <v/>
      </c>
      <c r="F25" s="25">
        <f>IFERROR(IF(SUMIFS(tblDaily[TransfersIn],tblDaily[EntryDate],DATE(2026,1,18),tblDaily[WardCode],"MAE")=0,"",SUMIFS(tblDaily[TransfersIn],tblDaily[EntryDate],DATE(2026,1,18),tblDaily[WardCode],"MAE")),"")</f>
        <v/>
      </c>
      <c r="G25" s="25">
        <f>IFERROR(IF(SUMIFS(tblDaily[TransfersOut],tblDaily[EntryDate],DATE(2026,1,18),tblDaily[WardCode],"MAE")=0,"",SUMIFS(tblDaily[TransfersOut],tblDaily[EntryDate],DATE(2026,1,18),tblDaily[WardCode],"MAE")),"")</f>
        <v/>
      </c>
      <c r="H25" s="25">
        <f>IFERROR(IF(SUMIFS(tblDaily[Remaining],tblDaily[EntryDate],DATE(2026,1,18),tblDaily[WardCode],"MAE")=0,"",SUMIFS(tblDaily[Remaining],tblDaily[EntryDate],DATE(2026,1,18),tblDaily[WardCode],"MAE")),"")</f>
        <v/>
      </c>
      <c r="I25" s="25">
        <f>IFERROR(IF(SUMIFS(tblDaily[Admissions],tblDaily[EntryDate],DATE(2026,1,18),tblDaily[WardCode],"FAE")=0,"",SUMIFS(tblDaily[Admissions],tblDaily[EntryDate],DATE(2026,1,18),tblDaily[WardCode],"FAE")),"")</f>
        <v/>
      </c>
      <c r="J25" s="25">
        <f>IFERROR(IF(SUMIFS(tblDaily[Discharges],tblDaily[EntryDate],DATE(2026,1,18),tblDaily[WardCode],"FAE")=0,"",SUMIFS(tblDaily[Discharges],tblDaily[EntryDate],DATE(2026,1,18),tblDaily[WardCode],"FAE")),"")</f>
        <v/>
      </c>
      <c r="K25" s="25">
        <f>IFERROR(IF(SUMIFS(tblDaily[Deaths],tblDaily[EntryDate],DATE(2026,1,18),tblDaily[WardCode],"FAE")=0,"",SUMIFS(tblDaily[Deaths],tblDaily[EntryDate],DATE(2026,1,18),tblDaily[WardCode],"FAE")),"")</f>
        <v/>
      </c>
      <c r="L25" s="25">
        <f>IFERROR(IF(SUMIFS(tblDaily[DeathsUnder24Hrs],tblDaily[EntryDate],DATE(2026,1,18),tblDaily[WardCode],"FAE")=0,"",SUMIFS(tblDaily[DeathsUnder24Hrs],tblDaily[EntryDate],DATE(2026,1,18),tblDaily[WardCode],"FAE")),"")</f>
        <v/>
      </c>
      <c r="M25" s="25">
        <f>IFERROR(IF(SUMIFS(tblDaily[TransfersIn],tblDaily[EntryDate],DATE(2026,1,18),tblDaily[WardCode],"FAE")=0,"",SUMIFS(tblDaily[TransfersIn],tblDaily[EntryDate],DATE(2026,1,18),tblDaily[WardCode],"FAE")),"")</f>
        <v/>
      </c>
      <c r="N25" s="25">
        <f>IFERROR(IF(SUMIFS(tblDaily[TransfersOut],tblDaily[EntryDate],DATE(2026,1,18),tblDaily[WardCode],"FAE")=0,"",SUMIFS(tblDaily[TransfersOut],tblDaily[EntryDate],DATE(2026,1,18),tblDaily[WardCode],"FAE")),"")</f>
        <v/>
      </c>
      <c r="O25" s="25">
        <f>IFERROR(IF(SUMIFS(tblDaily[Remaining],tblDaily[EntryDate],DATE(2026,1,18),tblDaily[WardCode],"FAE")=0,"",SUMIFS(tblDaily[Remaining],tblDaily[EntryDate],DATE(2026,1,18),tblDaily[WardCode],"FAE")),"")</f>
        <v/>
      </c>
      <c r="P25" s="26">
        <f>IF(AND(H25="", O25=""), "", N(H25) + N(O25))</f>
        <v/>
      </c>
    </row>
    <row r="26">
      <c r="A26" s="25" t="n">
        <v>19</v>
      </c>
      <c r="B26" s="25">
        <f>IFERROR(IF(SUMIFS(tblDaily[Admissions],tblDaily[EntryDate],DATE(2026,1,19),tblDaily[WardCode],"MAE")=0,"",SUMIFS(tblDaily[Admissions],tblDaily[EntryDate],DATE(2026,1,19),tblDaily[WardCode],"MAE")),"")</f>
        <v/>
      </c>
      <c r="C26" s="25">
        <f>IFERROR(IF(SUMIFS(tblDaily[Discharges],tblDaily[EntryDate],DATE(2026,1,19),tblDaily[WardCode],"MAE")=0,"",SUMIFS(tblDaily[Discharges],tblDaily[EntryDate],DATE(2026,1,19),tblDaily[WardCode],"MAE")),"")</f>
        <v/>
      </c>
      <c r="D26" s="25">
        <f>IFERROR(IF(SUMIFS(tblDaily[Deaths],tblDaily[EntryDate],DATE(2026,1,19),tblDaily[WardCode],"MAE")=0,"",SUMIFS(tblDaily[Deaths],tblDaily[EntryDate],DATE(2026,1,19),tblDaily[WardCode],"MAE")),"")</f>
        <v/>
      </c>
      <c r="E26" s="25">
        <f>IFERROR(IF(SUMIFS(tblDaily[DeathsUnder24Hrs],tblDaily[EntryDate],DATE(2026,1,19),tblDaily[WardCode],"MAE")=0,"",SUMIFS(tblDaily[DeathsUnder24Hrs],tblDaily[EntryDate],DATE(2026,1,19),tblDaily[WardCode],"MAE")),"")</f>
        <v/>
      </c>
      <c r="F26" s="25">
        <f>IFERROR(IF(SUMIFS(tblDaily[TransfersIn],tblDaily[EntryDate],DATE(2026,1,19),tblDaily[WardCode],"MAE")=0,"",SUMIFS(tblDaily[TransfersIn],tblDaily[EntryDate],DATE(2026,1,19),tblDaily[WardCode],"MAE")),"")</f>
        <v/>
      </c>
      <c r="G26" s="25">
        <f>IFERROR(IF(SUMIFS(tblDaily[TransfersOut],tblDaily[EntryDate],DATE(2026,1,19),tblDaily[WardCode],"MAE")=0,"",SUMIFS(tblDaily[TransfersOut],tblDaily[EntryDate],DATE(2026,1,19),tblDaily[WardCode],"MAE")),"")</f>
        <v/>
      </c>
      <c r="H26" s="25">
        <f>IFERROR(IF(SUMIFS(tblDaily[Remaining],tblDaily[EntryDate],DATE(2026,1,19),tblDaily[WardCode],"MAE")=0,"",SUMIFS(tblDaily[Remaining],tblDaily[EntryDate],DATE(2026,1,19),tblDaily[WardCode],"MAE")),"")</f>
        <v/>
      </c>
      <c r="I26" s="25">
        <f>IFERROR(IF(SUMIFS(tblDaily[Admissions],tblDaily[EntryDate],DATE(2026,1,19),tblDaily[WardCode],"FAE")=0,"",SUMIFS(tblDaily[Admissions],tblDaily[EntryDate],DATE(2026,1,19),tblDaily[WardCode],"FAE")),"")</f>
        <v/>
      </c>
      <c r="J26" s="25">
        <f>IFERROR(IF(SUMIFS(tblDaily[Discharges],tblDaily[EntryDate],DATE(2026,1,19),tblDaily[WardCode],"FAE")=0,"",SUMIFS(tblDaily[Discharges],tblDaily[EntryDate],DATE(2026,1,19),tblDaily[WardCode],"FAE")),"")</f>
        <v/>
      </c>
      <c r="K26" s="25">
        <f>IFERROR(IF(SUMIFS(tblDaily[Deaths],tblDaily[EntryDate],DATE(2026,1,19),tblDaily[WardCode],"FAE")=0,"",SUMIFS(tblDaily[Deaths],tblDaily[EntryDate],DATE(2026,1,19),tblDaily[WardCode],"FAE")),"")</f>
        <v/>
      </c>
      <c r="L26" s="25">
        <f>IFERROR(IF(SUMIFS(tblDaily[DeathsUnder24Hrs],tblDaily[EntryDate],DATE(2026,1,19),tblDaily[WardCode],"FAE")=0,"",SUMIFS(tblDaily[DeathsUnder24Hrs],tblDaily[EntryDate],DATE(2026,1,19),tblDaily[WardCode],"FAE")),"")</f>
        <v/>
      </c>
      <c r="M26" s="25">
        <f>IFERROR(IF(SUMIFS(tblDaily[TransfersIn],tblDaily[EntryDate],DATE(2026,1,19),tblDaily[WardCode],"FAE")=0,"",SUMIFS(tblDaily[TransfersIn],tblDaily[EntryDate],DATE(2026,1,19),tblDaily[WardCode],"FAE")),"")</f>
        <v/>
      </c>
      <c r="N26" s="25">
        <f>IFERROR(IF(SUMIFS(tblDaily[TransfersOut],tblDaily[EntryDate],DATE(2026,1,19),tblDaily[WardCode],"FAE")=0,"",SUMIFS(tblDaily[TransfersOut],tblDaily[EntryDate],DATE(2026,1,19),tblDaily[WardCode],"FAE")),"")</f>
        <v/>
      </c>
      <c r="O26" s="25">
        <f>IFERROR(IF(SUMIFS(tblDaily[Remaining],tblDaily[EntryDate],DATE(2026,1,19),tblDaily[WardCode],"FAE")=0,"",SUMIFS(tblDaily[Remaining],tblDaily[EntryDate],DATE(2026,1,19),tblDaily[WardCode],"FAE")),"")</f>
        <v/>
      </c>
      <c r="P26" s="26">
        <f>IF(AND(H26="", O26=""), "", N(H26) + N(O26))</f>
        <v/>
      </c>
    </row>
    <row r="27">
      <c r="A27" s="25" t="n">
        <v>20</v>
      </c>
      <c r="B27" s="25">
        <f>IFERROR(IF(SUMIFS(tblDaily[Admissions],tblDaily[EntryDate],DATE(2026,1,20),tblDaily[WardCode],"MAE")=0,"",SUMIFS(tblDaily[Admissions],tblDaily[EntryDate],DATE(2026,1,20),tblDaily[WardCode],"MAE")),"")</f>
        <v/>
      </c>
      <c r="C27" s="25">
        <f>IFERROR(IF(SUMIFS(tblDaily[Discharges],tblDaily[EntryDate],DATE(2026,1,20),tblDaily[WardCode],"MAE")=0,"",SUMIFS(tblDaily[Discharges],tblDaily[EntryDate],DATE(2026,1,20),tblDaily[WardCode],"MAE")),"")</f>
        <v/>
      </c>
      <c r="D27" s="25">
        <f>IFERROR(IF(SUMIFS(tblDaily[Deaths],tblDaily[EntryDate],DATE(2026,1,20),tblDaily[WardCode],"MAE")=0,"",SUMIFS(tblDaily[Deaths],tblDaily[EntryDate],DATE(2026,1,20),tblDaily[WardCode],"MAE")),"")</f>
        <v/>
      </c>
      <c r="E27" s="25">
        <f>IFERROR(IF(SUMIFS(tblDaily[DeathsUnder24Hrs],tblDaily[EntryDate],DATE(2026,1,20),tblDaily[WardCode],"MAE")=0,"",SUMIFS(tblDaily[DeathsUnder24Hrs],tblDaily[EntryDate],DATE(2026,1,20),tblDaily[WardCode],"MAE")),"")</f>
        <v/>
      </c>
      <c r="F27" s="25">
        <f>IFERROR(IF(SUMIFS(tblDaily[TransfersIn],tblDaily[EntryDate],DATE(2026,1,20),tblDaily[WardCode],"MAE")=0,"",SUMIFS(tblDaily[TransfersIn],tblDaily[EntryDate],DATE(2026,1,20),tblDaily[WardCode],"MAE")),"")</f>
        <v/>
      </c>
      <c r="G27" s="25">
        <f>IFERROR(IF(SUMIFS(tblDaily[TransfersOut],tblDaily[EntryDate],DATE(2026,1,20),tblDaily[WardCode],"MAE")=0,"",SUMIFS(tblDaily[TransfersOut],tblDaily[EntryDate],DATE(2026,1,20),tblDaily[WardCode],"MAE")),"")</f>
        <v/>
      </c>
      <c r="H27" s="25">
        <f>IFERROR(IF(SUMIFS(tblDaily[Remaining],tblDaily[EntryDate],DATE(2026,1,20),tblDaily[WardCode],"MAE")=0,"",SUMIFS(tblDaily[Remaining],tblDaily[EntryDate],DATE(2026,1,20),tblDaily[WardCode],"MAE")),"")</f>
        <v/>
      </c>
      <c r="I27" s="25">
        <f>IFERROR(IF(SUMIFS(tblDaily[Admissions],tblDaily[EntryDate],DATE(2026,1,20),tblDaily[WardCode],"FAE")=0,"",SUMIFS(tblDaily[Admissions],tblDaily[EntryDate],DATE(2026,1,20),tblDaily[WardCode],"FAE")),"")</f>
        <v/>
      </c>
      <c r="J27" s="25">
        <f>IFERROR(IF(SUMIFS(tblDaily[Discharges],tblDaily[EntryDate],DATE(2026,1,20),tblDaily[WardCode],"FAE")=0,"",SUMIFS(tblDaily[Discharges],tblDaily[EntryDate],DATE(2026,1,20),tblDaily[WardCode],"FAE")),"")</f>
        <v/>
      </c>
      <c r="K27" s="25">
        <f>IFERROR(IF(SUMIFS(tblDaily[Deaths],tblDaily[EntryDate],DATE(2026,1,20),tblDaily[WardCode],"FAE")=0,"",SUMIFS(tblDaily[Deaths],tblDaily[EntryDate],DATE(2026,1,20),tblDaily[WardCode],"FAE")),"")</f>
        <v/>
      </c>
      <c r="L27" s="25">
        <f>IFERROR(IF(SUMIFS(tblDaily[DeathsUnder24Hrs],tblDaily[EntryDate],DATE(2026,1,20),tblDaily[WardCode],"FAE")=0,"",SUMIFS(tblDaily[DeathsUnder24Hrs],tblDaily[EntryDate],DATE(2026,1,20),tblDaily[WardCode],"FAE")),"")</f>
        <v/>
      </c>
      <c r="M27" s="25">
        <f>IFERROR(IF(SUMIFS(tblDaily[TransfersIn],tblDaily[EntryDate],DATE(2026,1,20),tblDaily[WardCode],"FAE")=0,"",SUMIFS(tblDaily[TransfersIn],tblDaily[EntryDate],DATE(2026,1,20),tblDaily[WardCode],"FAE")),"")</f>
        <v/>
      </c>
      <c r="N27" s="25">
        <f>IFERROR(IF(SUMIFS(tblDaily[TransfersOut],tblDaily[EntryDate],DATE(2026,1,20),tblDaily[WardCode],"FAE")=0,"",SUMIFS(tblDaily[TransfersOut],tblDaily[EntryDate],DATE(2026,1,20),tblDaily[WardCode],"FAE")),"")</f>
        <v/>
      </c>
      <c r="O27" s="25">
        <f>IFERROR(IF(SUMIFS(tblDaily[Remaining],tblDaily[EntryDate],DATE(2026,1,20),tblDaily[WardCode],"FAE")=0,"",SUMIFS(tblDaily[Remaining],tblDaily[EntryDate],DATE(2026,1,20),tblDaily[WardCode],"FAE")),"")</f>
        <v/>
      </c>
      <c r="P27" s="26">
        <f>IF(AND(H27="", O27=""), "", N(H27) + N(O27))</f>
        <v/>
      </c>
    </row>
    <row r="28">
      <c r="A28" s="25" t="n">
        <v>21</v>
      </c>
      <c r="B28" s="25">
        <f>IFERROR(IF(SUMIFS(tblDaily[Admissions],tblDaily[EntryDate],DATE(2026,1,21),tblDaily[WardCode],"MAE")=0,"",SUMIFS(tblDaily[Admissions],tblDaily[EntryDate],DATE(2026,1,21),tblDaily[WardCode],"MAE")),"")</f>
        <v/>
      </c>
      <c r="C28" s="25">
        <f>IFERROR(IF(SUMIFS(tblDaily[Discharges],tblDaily[EntryDate],DATE(2026,1,21),tblDaily[WardCode],"MAE")=0,"",SUMIFS(tblDaily[Discharges],tblDaily[EntryDate],DATE(2026,1,21),tblDaily[WardCode],"MAE")),"")</f>
        <v/>
      </c>
      <c r="D28" s="25">
        <f>IFERROR(IF(SUMIFS(tblDaily[Deaths],tblDaily[EntryDate],DATE(2026,1,21),tblDaily[WardCode],"MAE")=0,"",SUMIFS(tblDaily[Deaths],tblDaily[EntryDate],DATE(2026,1,21),tblDaily[WardCode],"MAE")),"")</f>
        <v/>
      </c>
      <c r="E28" s="25">
        <f>IFERROR(IF(SUMIFS(tblDaily[DeathsUnder24Hrs],tblDaily[EntryDate],DATE(2026,1,21),tblDaily[WardCode],"MAE")=0,"",SUMIFS(tblDaily[DeathsUnder24Hrs],tblDaily[EntryDate],DATE(2026,1,21),tblDaily[WardCode],"MAE")),"")</f>
        <v/>
      </c>
      <c r="F28" s="25">
        <f>IFERROR(IF(SUMIFS(tblDaily[TransfersIn],tblDaily[EntryDate],DATE(2026,1,21),tblDaily[WardCode],"MAE")=0,"",SUMIFS(tblDaily[TransfersIn],tblDaily[EntryDate],DATE(2026,1,21),tblDaily[WardCode],"MAE")),"")</f>
        <v/>
      </c>
      <c r="G28" s="25">
        <f>IFERROR(IF(SUMIFS(tblDaily[TransfersOut],tblDaily[EntryDate],DATE(2026,1,21),tblDaily[WardCode],"MAE")=0,"",SUMIFS(tblDaily[TransfersOut],tblDaily[EntryDate],DATE(2026,1,21),tblDaily[WardCode],"MAE")),"")</f>
        <v/>
      </c>
      <c r="H28" s="25">
        <f>IFERROR(IF(SUMIFS(tblDaily[Remaining],tblDaily[EntryDate],DATE(2026,1,21),tblDaily[WardCode],"MAE")=0,"",SUMIFS(tblDaily[Remaining],tblDaily[EntryDate],DATE(2026,1,21),tblDaily[WardCode],"MAE")),"")</f>
        <v/>
      </c>
      <c r="I28" s="25">
        <f>IFERROR(IF(SUMIFS(tblDaily[Admissions],tblDaily[EntryDate],DATE(2026,1,21),tblDaily[WardCode],"FAE")=0,"",SUMIFS(tblDaily[Admissions],tblDaily[EntryDate],DATE(2026,1,21),tblDaily[WardCode],"FAE")),"")</f>
        <v/>
      </c>
      <c r="J28" s="25">
        <f>IFERROR(IF(SUMIFS(tblDaily[Discharges],tblDaily[EntryDate],DATE(2026,1,21),tblDaily[WardCode],"FAE")=0,"",SUMIFS(tblDaily[Discharges],tblDaily[EntryDate],DATE(2026,1,21),tblDaily[WardCode],"FAE")),"")</f>
        <v/>
      </c>
      <c r="K28" s="25">
        <f>IFERROR(IF(SUMIFS(tblDaily[Deaths],tblDaily[EntryDate],DATE(2026,1,21),tblDaily[WardCode],"FAE")=0,"",SUMIFS(tblDaily[Deaths],tblDaily[EntryDate],DATE(2026,1,21),tblDaily[WardCode],"FAE")),"")</f>
        <v/>
      </c>
      <c r="L28" s="25">
        <f>IFERROR(IF(SUMIFS(tblDaily[DeathsUnder24Hrs],tblDaily[EntryDate],DATE(2026,1,21),tblDaily[WardCode],"FAE")=0,"",SUMIFS(tblDaily[DeathsUnder24Hrs],tblDaily[EntryDate],DATE(2026,1,21),tblDaily[WardCode],"FAE")),"")</f>
        <v/>
      </c>
      <c r="M28" s="25">
        <f>IFERROR(IF(SUMIFS(tblDaily[TransfersIn],tblDaily[EntryDate],DATE(2026,1,21),tblDaily[WardCode],"FAE")=0,"",SUMIFS(tblDaily[TransfersIn],tblDaily[EntryDate],DATE(2026,1,21),tblDaily[WardCode],"FAE")),"")</f>
        <v/>
      </c>
      <c r="N28" s="25">
        <f>IFERROR(IF(SUMIFS(tblDaily[TransfersOut],tblDaily[EntryDate],DATE(2026,1,21),tblDaily[WardCode],"FAE")=0,"",SUMIFS(tblDaily[TransfersOut],tblDaily[EntryDate],DATE(2026,1,21),tblDaily[WardCode],"FAE")),"")</f>
        <v/>
      </c>
      <c r="O28" s="25">
        <f>IFERROR(IF(SUMIFS(tblDaily[Remaining],tblDaily[EntryDate],DATE(2026,1,21),tblDaily[WardCode],"FAE")=0,"",SUMIFS(tblDaily[Remaining],tblDaily[EntryDate],DATE(2026,1,21),tblDaily[WardCode],"FAE")),"")</f>
        <v/>
      </c>
      <c r="P28" s="26">
        <f>IF(AND(H28="", O28=""), "", N(H28) + N(O28))</f>
        <v/>
      </c>
    </row>
    <row r="29">
      <c r="A29" s="25" t="n">
        <v>22</v>
      </c>
      <c r="B29" s="25">
        <f>IFERROR(IF(SUMIFS(tblDaily[Admissions],tblDaily[EntryDate],DATE(2026,1,22),tblDaily[WardCode],"MAE")=0,"",SUMIFS(tblDaily[Admissions],tblDaily[EntryDate],DATE(2026,1,22),tblDaily[WardCode],"MAE")),"")</f>
        <v/>
      </c>
      <c r="C29" s="25">
        <f>IFERROR(IF(SUMIFS(tblDaily[Discharges],tblDaily[EntryDate],DATE(2026,1,22),tblDaily[WardCode],"MAE")=0,"",SUMIFS(tblDaily[Discharges],tblDaily[EntryDate],DATE(2026,1,22),tblDaily[WardCode],"MAE")),"")</f>
        <v/>
      </c>
      <c r="D29" s="25">
        <f>IFERROR(IF(SUMIFS(tblDaily[Deaths],tblDaily[EntryDate],DATE(2026,1,22),tblDaily[WardCode],"MAE")=0,"",SUMIFS(tblDaily[Deaths],tblDaily[EntryDate],DATE(2026,1,22),tblDaily[WardCode],"MAE")),"")</f>
        <v/>
      </c>
      <c r="E29" s="25">
        <f>IFERROR(IF(SUMIFS(tblDaily[DeathsUnder24Hrs],tblDaily[EntryDate],DATE(2026,1,22),tblDaily[WardCode],"MAE")=0,"",SUMIFS(tblDaily[DeathsUnder24Hrs],tblDaily[EntryDate],DATE(2026,1,22),tblDaily[WardCode],"MAE")),"")</f>
        <v/>
      </c>
      <c r="F29" s="25">
        <f>IFERROR(IF(SUMIFS(tblDaily[TransfersIn],tblDaily[EntryDate],DATE(2026,1,22),tblDaily[WardCode],"MAE")=0,"",SUMIFS(tblDaily[TransfersIn],tblDaily[EntryDate],DATE(2026,1,22),tblDaily[WardCode],"MAE")),"")</f>
        <v/>
      </c>
      <c r="G29" s="25">
        <f>IFERROR(IF(SUMIFS(tblDaily[TransfersOut],tblDaily[EntryDate],DATE(2026,1,22),tblDaily[WardCode],"MAE")=0,"",SUMIFS(tblDaily[TransfersOut],tblDaily[EntryDate],DATE(2026,1,22),tblDaily[WardCode],"MAE")),"")</f>
        <v/>
      </c>
      <c r="H29" s="25">
        <f>IFERROR(IF(SUMIFS(tblDaily[Remaining],tblDaily[EntryDate],DATE(2026,1,22),tblDaily[WardCode],"MAE")=0,"",SUMIFS(tblDaily[Remaining],tblDaily[EntryDate],DATE(2026,1,22),tblDaily[WardCode],"MAE")),"")</f>
        <v/>
      </c>
      <c r="I29" s="25">
        <f>IFERROR(IF(SUMIFS(tblDaily[Admissions],tblDaily[EntryDate],DATE(2026,1,22),tblDaily[WardCode],"FAE")=0,"",SUMIFS(tblDaily[Admissions],tblDaily[EntryDate],DATE(2026,1,22),tblDaily[WardCode],"FAE")),"")</f>
        <v/>
      </c>
      <c r="J29" s="25">
        <f>IFERROR(IF(SUMIFS(tblDaily[Discharges],tblDaily[EntryDate],DATE(2026,1,22),tblDaily[WardCode],"FAE")=0,"",SUMIFS(tblDaily[Discharges],tblDaily[EntryDate],DATE(2026,1,22),tblDaily[WardCode],"FAE")),"")</f>
        <v/>
      </c>
      <c r="K29" s="25">
        <f>IFERROR(IF(SUMIFS(tblDaily[Deaths],tblDaily[EntryDate],DATE(2026,1,22),tblDaily[WardCode],"FAE")=0,"",SUMIFS(tblDaily[Deaths],tblDaily[EntryDate],DATE(2026,1,22),tblDaily[WardCode],"FAE")),"")</f>
        <v/>
      </c>
      <c r="L29" s="25">
        <f>IFERROR(IF(SUMIFS(tblDaily[DeathsUnder24Hrs],tblDaily[EntryDate],DATE(2026,1,22),tblDaily[WardCode],"FAE")=0,"",SUMIFS(tblDaily[DeathsUnder24Hrs],tblDaily[EntryDate],DATE(2026,1,22),tblDaily[WardCode],"FAE")),"")</f>
        <v/>
      </c>
      <c r="M29" s="25">
        <f>IFERROR(IF(SUMIFS(tblDaily[TransfersIn],tblDaily[EntryDate],DATE(2026,1,22),tblDaily[WardCode],"FAE")=0,"",SUMIFS(tblDaily[TransfersIn],tblDaily[EntryDate],DATE(2026,1,22),tblDaily[WardCode],"FAE")),"")</f>
        <v/>
      </c>
      <c r="N29" s="25">
        <f>IFERROR(IF(SUMIFS(tblDaily[TransfersOut],tblDaily[EntryDate],DATE(2026,1,22),tblDaily[WardCode],"FAE")=0,"",SUMIFS(tblDaily[TransfersOut],tblDaily[EntryDate],DATE(2026,1,22),tblDaily[WardCode],"FAE")),"")</f>
        <v/>
      </c>
      <c r="O29" s="25">
        <f>IFERROR(IF(SUMIFS(tblDaily[Remaining],tblDaily[EntryDate],DATE(2026,1,22),tblDaily[WardCode],"FAE")=0,"",SUMIFS(tblDaily[Remaining],tblDaily[EntryDate],DATE(2026,1,22),tblDaily[WardCode],"FAE")),"")</f>
        <v/>
      </c>
      <c r="P29" s="26">
        <f>IF(AND(H29="", O29=""), "", N(H29) + N(O29))</f>
        <v/>
      </c>
    </row>
    <row r="30">
      <c r="A30" s="25" t="n">
        <v>23</v>
      </c>
      <c r="B30" s="25">
        <f>IFERROR(IF(SUMIFS(tblDaily[Admissions],tblDaily[EntryDate],DATE(2026,1,23),tblDaily[WardCode],"MAE")=0,"",SUMIFS(tblDaily[Admissions],tblDaily[EntryDate],DATE(2026,1,23),tblDaily[WardCode],"MAE")),"")</f>
        <v/>
      </c>
      <c r="C30" s="25">
        <f>IFERROR(IF(SUMIFS(tblDaily[Discharges],tblDaily[EntryDate],DATE(2026,1,23),tblDaily[WardCode],"MAE")=0,"",SUMIFS(tblDaily[Discharges],tblDaily[EntryDate],DATE(2026,1,23),tblDaily[WardCode],"MAE")),"")</f>
        <v/>
      </c>
      <c r="D30" s="25">
        <f>IFERROR(IF(SUMIFS(tblDaily[Deaths],tblDaily[EntryDate],DATE(2026,1,23),tblDaily[WardCode],"MAE")=0,"",SUMIFS(tblDaily[Deaths],tblDaily[EntryDate],DATE(2026,1,23),tblDaily[WardCode],"MAE")),"")</f>
        <v/>
      </c>
      <c r="E30" s="25">
        <f>IFERROR(IF(SUMIFS(tblDaily[DeathsUnder24Hrs],tblDaily[EntryDate],DATE(2026,1,23),tblDaily[WardCode],"MAE")=0,"",SUMIFS(tblDaily[DeathsUnder24Hrs],tblDaily[EntryDate],DATE(2026,1,23),tblDaily[WardCode],"MAE")),"")</f>
        <v/>
      </c>
      <c r="F30" s="25">
        <f>IFERROR(IF(SUMIFS(tblDaily[TransfersIn],tblDaily[EntryDate],DATE(2026,1,23),tblDaily[WardCode],"MAE")=0,"",SUMIFS(tblDaily[TransfersIn],tblDaily[EntryDate],DATE(2026,1,23),tblDaily[WardCode],"MAE")),"")</f>
        <v/>
      </c>
      <c r="G30" s="25">
        <f>IFERROR(IF(SUMIFS(tblDaily[TransfersOut],tblDaily[EntryDate],DATE(2026,1,23),tblDaily[WardCode],"MAE")=0,"",SUMIFS(tblDaily[TransfersOut],tblDaily[EntryDate],DATE(2026,1,23),tblDaily[WardCode],"MAE")),"")</f>
        <v/>
      </c>
      <c r="H30" s="25">
        <f>IFERROR(IF(SUMIFS(tblDaily[Remaining],tblDaily[EntryDate],DATE(2026,1,23),tblDaily[WardCode],"MAE")=0,"",SUMIFS(tblDaily[Remaining],tblDaily[EntryDate],DATE(2026,1,23),tblDaily[WardCode],"MAE")),"")</f>
        <v/>
      </c>
      <c r="I30" s="25">
        <f>IFERROR(IF(SUMIFS(tblDaily[Admissions],tblDaily[EntryDate],DATE(2026,1,23),tblDaily[WardCode],"FAE")=0,"",SUMIFS(tblDaily[Admissions],tblDaily[EntryDate],DATE(2026,1,23),tblDaily[WardCode],"FAE")),"")</f>
        <v/>
      </c>
      <c r="J30" s="25">
        <f>IFERROR(IF(SUMIFS(tblDaily[Discharges],tblDaily[EntryDate],DATE(2026,1,23),tblDaily[WardCode],"FAE")=0,"",SUMIFS(tblDaily[Discharges],tblDaily[EntryDate],DATE(2026,1,23),tblDaily[WardCode],"FAE")),"")</f>
        <v/>
      </c>
      <c r="K30" s="25">
        <f>IFERROR(IF(SUMIFS(tblDaily[Deaths],tblDaily[EntryDate],DATE(2026,1,23),tblDaily[WardCode],"FAE")=0,"",SUMIFS(tblDaily[Deaths],tblDaily[EntryDate],DATE(2026,1,23),tblDaily[WardCode],"FAE")),"")</f>
        <v/>
      </c>
      <c r="L30" s="25">
        <f>IFERROR(IF(SUMIFS(tblDaily[DeathsUnder24Hrs],tblDaily[EntryDate],DATE(2026,1,23),tblDaily[WardCode],"FAE")=0,"",SUMIFS(tblDaily[DeathsUnder24Hrs],tblDaily[EntryDate],DATE(2026,1,23),tblDaily[WardCode],"FAE")),"")</f>
        <v/>
      </c>
      <c r="M30" s="25">
        <f>IFERROR(IF(SUMIFS(tblDaily[TransfersIn],tblDaily[EntryDate],DATE(2026,1,23),tblDaily[WardCode],"FAE")=0,"",SUMIFS(tblDaily[TransfersIn],tblDaily[EntryDate],DATE(2026,1,23),tblDaily[WardCode],"FAE")),"")</f>
        <v/>
      </c>
      <c r="N30" s="25">
        <f>IFERROR(IF(SUMIFS(tblDaily[TransfersOut],tblDaily[EntryDate],DATE(2026,1,23),tblDaily[WardCode],"FAE")=0,"",SUMIFS(tblDaily[TransfersOut],tblDaily[EntryDate],DATE(2026,1,23),tblDaily[WardCode],"FAE")),"")</f>
        <v/>
      </c>
      <c r="O30" s="25">
        <f>IFERROR(IF(SUMIFS(tblDaily[Remaining],tblDaily[EntryDate],DATE(2026,1,23),tblDaily[WardCode],"FAE")=0,"",SUMIFS(tblDaily[Remaining],tblDaily[EntryDate],DATE(2026,1,23),tblDaily[WardCode],"FAE")),"")</f>
        <v/>
      </c>
      <c r="P30" s="26">
        <f>IF(AND(H30="", O30=""), "", N(H30) + N(O30))</f>
        <v/>
      </c>
    </row>
    <row r="31">
      <c r="A31" s="25" t="n">
        <v>24</v>
      </c>
      <c r="B31" s="25">
        <f>IFERROR(IF(SUMIFS(tblDaily[Admissions],tblDaily[EntryDate],DATE(2026,1,24),tblDaily[WardCode],"MAE")=0,"",SUMIFS(tblDaily[Admissions],tblDaily[EntryDate],DATE(2026,1,24),tblDaily[WardCode],"MAE")),"")</f>
        <v/>
      </c>
      <c r="C31" s="25">
        <f>IFERROR(IF(SUMIFS(tblDaily[Discharges],tblDaily[EntryDate],DATE(2026,1,24),tblDaily[WardCode],"MAE")=0,"",SUMIFS(tblDaily[Discharges],tblDaily[EntryDate],DATE(2026,1,24),tblDaily[WardCode],"MAE")),"")</f>
        <v/>
      </c>
      <c r="D31" s="25">
        <f>IFERROR(IF(SUMIFS(tblDaily[Deaths],tblDaily[EntryDate],DATE(2026,1,24),tblDaily[WardCode],"MAE")=0,"",SUMIFS(tblDaily[Deaths],tblDaily[EntryDate],DATE(2026,1,24),tblDaily[WardCode],"MAE")),"")</f>
        <v/>
      </c>
      <c r="E31" s="25">
        <f>IFERROR(IF(SUMIFS(tblDaily[DeathsUnder24Hrs],tblDaily[EntryDate],DATE(2026,1,24),tblDaily[WardCode],"MAE")=0,"",SUMIFS(tblDaily[DeathsUnder24Hrs],tblDaily[EntryDate],DATE(2026,1,24),tblDaily[WardCode],"MAE")),"")</f>
        <v/>
      </c>
      <c r="F31" s="25">
        <f>IFERROR(IF(SUMIFS(tblDaily[TransfersIn],tblDaily[EntryDate],DATE(2026,1,24),tblDaily[WardCode],"MAE")=0,"",SUMIFS(tblDaily[TransfersIn],tblDaily[EntryDate],DATE(2026,1,24),tblDaily[WardCode],"MAE")),"")</f>
        <v/>
      </c>
      <c r="G31" s="25">
        <f>IFERROR(IF(SUMIFS(tblDaily[TransfersOut],tblDaily[EntryDate],DATE(2026,1,24),tblDaily[WardCode],"MAE")=0,"",SUMIFS(tblDaily[TransfersOut],tblDaily[EntryDate],DATE(2026,1,24),tblDaily[WardCode],"MAE")),"")</f>
        <v/>
      </c>
      <c r="H31" s="25">
        <f>IFERROR(IF(SUMIFS(tblDaily[Remaining],tblDaily[EntryDate],DATE(2026,1,24),tblDaily[WardCode],"MAE")=0,"",SUMIFS(tblDaily[Remaining],tblDaily[EntryDate],DATE(2026,1,24),tblDaily[WardCode],"MAE")),"")</f>
        <v/>
      </c>
      <c r="I31" s="25">
        <f>IFERROR(IF(SUMIFS(tblDaily[Admissions],tblDaily[EntryDate],DATE(2026,1,24),tblDaily[WardCode],"FAE")=0,"",SUMIFS(tblDaily[Admissions],tblDaily[EntryDate],DATE(2026,1,24),tblDaily[WardCode],"FAE")),"")</f>
        <v/>
      </c>
      <c r="J31" s="25">
        <f>IFERROR(IF(SUMIFS(tblDaily[Discharges],tblDaily[EntryDate],DATE(2026,1,24),tblDaily[WardCode],"FAE")=0,"",SUMIFS(tblDaily[Discharges],tblDaily[EntryDate],DATE(2026,1,24),tblDaily[WardCode],"FAE")),"")</f>
        <v/>
      </c>
      <c r="K31" s="25">
        <f>IFERROR(IF(SUMIFS(tblDaily[Deaths],tblDaily[EntryDate],DATE(2026,1,24),tblDaily[WardCode],"FAE")=0,"",SUMIFS(tblDaily[Deaths],tblDaily[EntryDate],DATE(2026,1,24),tblDaily[WardCode],"FAE")),"")</f>
        <v/>
      </c>
      <c r="L31" s="25">
        <f>IFERROR(IF(SUMIFS(tblDaily[DeathsUnder24Hrs],tblDaily[EntryDate],DATE(2026,1,24),tblDaily[WardCode],"FAE")=0,"",SUMIFS(tblDaily[DeathsUnder24Hrs],tblDaily[EntryDate],DATE(2026,1,24),tblDaily[WardCode],"FAE")),"")</f>
        <v/>
      </c>
      <c r="M31" s="25">
        <f>IFERROR(IF(SUMIFS(tblDaily[TransfersIn],tblDaily[EntryDate],DATE(2026,1,24),tblDaily[WardCode],"FAE")=0,"",SUMIFS(tblDaily[TransfersIn],tblDaily[EntryDate],DATE(2026,1,24),tblDaily[WardCode],"FAE")),"")</f>
        <v/>
      </c>
      <c r="N31" s="25">
        <f>IFERROR(IF(SUMIFS(tblDaily[TransfersOut],tblDaily[EntryDate],DATE(2026,1,24),tblDaily[WardCode],"FAE")=0,"",SUMIFS(tblDaily[TransfersOut],tblDaily[EntryDate],DATE(2026,1,24),tblDaily[WardCode],"FAE")),"")</f>
        <v/>
      </c>
      <c r="O31" s="25">
        <f>IFERROR(IF(SUMIFS(tblDaily[Remaining],tblDaily[EntryDate],DATE(2026,1,24),tblDaily[WardCode],"FAE")=0,"",SUMIFS(tblDaily[Remaining],tblDaily[EntryDate],DATE(2026,1,24),tblDaily[WardCode],"FAE")),"")</f>
        <v/>
      </c>
      <c r="P31" s="26">
        <f>IF(AND(H31="", O31=""), "", N(H31) + N(O31))</f>
        <v/>
      </c>
    </row>
    <row r="32">
      <c r="A32" s="25" t="n">
        <v>25</v>
      </c>
      <c r="B32" s="25">
        <f>IFERROR(IF(SUMIFS(tblDaily[Admissions],tblDaily[EntryDate],DATE(2026,1,25),tblDaily[WardCode],"MAE")=0,"",SUMIFS(tblDaily[Admissions],tblDaily[EntryDate],DATE(2026,1,25),tblDaily[WardCode],"MAE")),"")</f>
        <v/>
      </c>
      <c r="C32" s="25">
        <f>IFERROR(IF(SUMIFS(tblDaily[Discharges],tblDaily[EntryDate],DATE(2026,1,25),tblDaily[WardCode],"MAE")=0,"",SUMIFS(tblDaily[Discharges],tblDaily[EntryDate],DATE(2026,1,25),tblDaily[WardCode],"MAE")),"")</f>
        <v/>
      </c>
      <c r="D32" s="25">
        <f>IFERROR(IF(SUMIFS(tblDaily[Deaths],tblDaily[EntryDate],DATE(2026,1,25),tblDaily[WardCode],"MAE")=0,"",SUMIFS(tblDaily[Deaths],tblDaily[EntryDate],DATE(2026,1,25),tblDaily[WardCode],"MAE")),"")</f>
        <v/>
      </c>
      <c r="E32" s="25">
        <f>IFERROR(IF(SUMIFS(tblDaily[DeathsUnder24Hrs],tblDaily[EntryDate],DATE(2026,1,25),tblDaily[WardCode],"MAE")=0,"",SUMIFS(tblDaily[DeathsUnder24Hrs],tblDaily[EntryDate],DATE(2026,1,25),tblDaily[WardCode],"MAE")),"")</f>
        <v/>
      </c>
      <c r="F32" s="25">
        <f>IFERROR(IF(SUMIFS(tblDaily[TransfersIn],tblDaily[EntryDate],DATE(2026,1,25),tblDaily[WardCode],"MAE")=0,"",SUMIFS(tblDaily[TransfersIn],tblDaily[EntryDate],DATE(2026,1,25),tblDaily[WardCode],"MAE")),"")</f>
        <v/>
      </c>
      <c r="G32" s="25">
        <f>IFERROR(IF(SUMIFS(tblDaily[TransfersOut],tblDaily[EntryDate],DATE(2026,1,25),tblDaily[WardCode],"MAE")=0,"",SUMIFS(tblDaily[TransfersOut],tblDaily[EntryDate],DATE(2026,1,25),tblDaily[WardCode],"MAE")),"")</f>
        <v/>
      </c>
      <c r="H32" s="25">
        <f>IFERROR(IF(SUMIFS(tblDaily[Remaining],tblDaily[EntryDate],DATE(2026,1,25),tblDaily[WardCode],"MAE")=0,"",SUMIFS(tblDaily[Remaining],tblDaily[EntryDate],DATE(2026,1,25),tblDaily[WardCode],"MAE")),"")</f>
        <v/>
      </c>
      <c r="I32" s="25">
        <f>IFERROR(IF(SUMIFS(tblDaily[Admissions],tblDaily[EntryDate],DATE(2026,1,25),tblDaily[WardCode],"FAE")=0,"",SUMIFS(tblDaily[Admissions],tblDaily[EntryDate],DATE(2026,1,25),tblDaily[WardCode],"FAE")),"")</f>
        <v/>
      </c>
      <c r="J32" s="25">
        <f>IFERROR(IF(SUMIFS(tblDaily[Discharges],tblDaily[EntryDate],DATE(2026,1,25),tblDaily[WardCode],"FAE")=0,"",SUMIFS(tblDaily[Discharges],tblDaily[EntryDate],DATE(2026,1,25),tblDaily[WardCode],"FAE")),"")</f>
        <v/>
      </c>
      <c r="K32" s="25">
        <f>IFERROR(IF(SUMIFS(tblDaily[Deaths],tblDaily[EntryDate],DATE(2026,1,25),tblDaily[WardCode],"FAE")=0,"",SUMIFS(tblDaily[Deaths],tblDaily[EntryDate],DATE(2026,1,25),tblDaily[WardCode],"FAE")),"")</f>
        <v/>
      </c>
      <c r="L32" s="25">
        <f>IFERROR(IF(SUMIFS(tblDaily[DeathsUnder24Hrs],tblDaily[EntryDate],DATE(2026,1,25),tblDaily[WardCode],"FAE")=0,"",SUMIFS(tblDaily[DeathsUnder24Hrs],tblDaily[EntryDate],DATE(2026,1,25),tblDaily[WardCode],"FAE")),"")</f>
        <v/>
      </c>
      <c r="M32" s="25">
        <f>IFERROR(IF(SUMIFS(tblDaily[TransfersIn],tblDaily[EntryDate],DATE(2026,1,25),tblDaily[WardCode],"FAE")=0,"",SUMIFS(tblDaily[TransfersIn],tblDaily[EntryDate],DATE(2026,1,25),tblDaily[WardCode],"FAE")),"")</f>
        <v/>
      </c>
      <c r="N32" s="25">
        <f>IFERROR(IF(SUMIFS(tblDaily[TransfersOut],tblDaily[EntryDate],DATE(2026,1,25),tblDaily[WardCode],"FAE")=0,"",SUMIFS(tblDaily[TransfersOut],tblDaily[EntryDate],DATE(2026,1,25),tblDaily[WardCode],"FAE")),"")</f>
        <v/>
      </c>
      <c r="O32" s="25">
        <f>IFERROR(IF(SUMIFS(tblDaily[Remaining],tblDaily[EntryDate],DATE(2026,1,25),tblDaily[WardCode],"FAE")=0,"",SUMIFS(tblDaily[Remaining],tblDaily[EntryDate],DATE(2026,1,25),tblDaily[WardCode],"FAE")),"")</f>
        <v/>
      </c>
      <c r="P32" s="26">
        <f>IF(AND(H32="", O32=""), "", N(H32) + N(O32))</f>
        <v/>
      </c>
    </row>
    <row r="33">
      <c r="A33" s="25" t="n">
        <v>26</v>
      </c>
      <c r="B33" s="25">
        <f>IFERROR(IF(SUMIFS(tblDaily[Admissions],tblDaily[EntryDate],DATE(2026,1,26),tblDaily[WardCode],"MAE")=0,"",SUMIFS(tblDaily[Admissions],tblDaily[EntryDate],DATE(2026,1,26),tblDaily[WardCode],"MAE")),"")</f>
        <v/>
      </c>
      <c r="C33" s="25">
        <f>IFERROR(IF(SUMIFS(tblDaily[Discharges],tblDaily[EntryDate],DATE(2026,1,26),tblDaily[WardCode],"MAE")=0,"",SUMIFS(tblDaily[Discharges],tblDaily[EntryDate],DATE(2026,1,26),tblDaily[WardCode],"MAE")),"")</f>
        <v/>
      </c>
      <c r="D33" s="25">
        <f>IFERROR(IF(SUMIFS(tblDaily[Deaths],tblDaily[EntryDate],DATE(2026,1,26),tblDaily[WardCode],"MAE")=0,"",SUMIFS(tblDaily[Deaths],tblDaily[EntryDate],DATE(2026,1,26),tblDaily[WardCode],"MAE")),"")</f>
        <v/>
      </c>
      <c r="E33" s="25">
        <f>IFERROR(IF(SUMIFS(tblDaily[DeathsUnder24Hrs],tblDaily[EntryDate],DATE(2026,1,26),tblDaily[WardCode],"MAE")=0,"",SUMIFS(tblDaily[DeathsUnder24Hrs],tblDaily[EntryDate],DATE(2026,1,26),tblDaily[WardCode],"MAE")),"")</f>
        <v/>
      </c>
      <c r="F33" s="25">
        <f>IFERROR(IF(SUMIFS(tblDaily[TransfersIn],tblDaily[EntryDate],DATE(2026,1,26),tblDaily[WardCode],"MAE")=0,"",SUMIFS(tblDaily[TransfersIn],tblDaily[EntryDate],DATE(2026,1,26),tblDaily[WardCode],"MAE")),"")</f>
        <v/>
      </c>
      <c r="G33" s="25">
        <f>IFERROR(IF(SUMIFS(tblDaily[TransfersOut],tblDaily[EntryDate],DATE(2026,1,26),tblDaily[WardCode],"MAE")=0,"",SUMIFS(tblDaily[TransfersOut],tblDaily[EntryDate],DATE(2026,1,26),tblDaily[WardCode],"MAE")),"")</f>
        <v/>
      </c>
      <c r="H33" s="25">
        <f>IFERROR(IF(SUMIFS(tblDaily[Remaining],tblDaily[EntryDate],DATE(2026,1,26),tblDaily[WardCode],"MAE")=0,"",SUMIFS(tblDaily[Remaining],tblDaily[EntryDate],DATE(2026,1,26),tblDaily[WardCode],"MAE")),"")</f>
        <v/>
      </c>
      <c r="I33" s="25">
        <f>IFERROR(IF(SUMIFS(tblDaily[Admissions],tblDaily[EntryDate],DATE(2026,1,26),tblDaily[WardCode],"FAE")=0,"",SUMIFS(tblDaily[Admissions],tblDaily[EntryDate],DATE(2026,1,26),tblDaily[WardCode],"FAE")),"")</f>
        <v/>
      </c>
      <c r="J33" s="25">
        <f>IFERROR(IF(SUMIFS(tblDaily[Discharges],tblDaily[EntryDate],DATE(2026,1,26),tblDaily[WardCode],"FAE")=0,"",SUMIFS(tblDaily[Discharges],tblDaily[EntryDate],DATE(2026,1,26),tblDaily[WardCode],"FAE")),"")</f>
        <v/>
      </c>
      <c r="K33" s="25">
        <f>IFERROR(IF(SUMIFS(tblDaily[Deaths],tblDaily[EntryDate],DATE(2026,1,26),tblDaily[WardCode],"FAE")=0,"",SUMIFS(tblDaily[Deaths],tblDaily[EntryDate],DATE(2026,1,26),tblDaily[WardCode],"FAE")),"")</f>
        <v/>
      </c>
      <c r="L33" s="25">
        <f>IFERROR(IF(SUMIFS(tblDaily[DeathsUnder24Hrs],tblDaily[EntryDate],DATE(2026,1,26),tblDaily[WardCode],"FAE")=0,"",SUMIFS(tblDaily[DeathsUnder24Hrs],tblDaily[EntryDate],DATE(2026,1,26),tblDaily[WardCode],"FAE")),"")</f>
        <v/>
      </c>
      <c r="M33" s="25">
        <f>IFERROR(IF(SUMIFS(tblDaily[TransfersIn],tblDaily[EntryDate],DATE(2026,1,26),tblDaily[WardCode],"FAE")=0,"",SUMIFS(tblDaily[TransfersIn],tblDaily[EntryDate],DATE(2026,1,26),tblDaily[WardCode],"FAE")),"")</f>
        <v/>
      </c>
      <c r="N33" s="25">
        <f>IFERROR(IF(SUMIFS(tblDaily[TransfersOut],tblDaily[EntryDate],DATE(2026,1,26),tblDaily[WardCode],"FAE")=0,"",SUMIFS(tblDaily[TransfersOut],tblDaily[EntryDate],DATE(2026,1,26),tblDaily[WardCode],"FAE")),"")</f>
        <v/>
      </c>
      <c r="O33" s="25">
        <f>IFERROR(IF(SUMIFS(tblDaily[Remaining],tblDaily[EntryDate],DATE(2026,1,26),tblDaily[WardCode],"FAE")=0,"",SUMIFS(tblDaily[Remaining],tblDaily[EntryDate],DATE(2026,1,26),tblDaily[WardCode],"FAE")),"")</f>
        <v/>
      </c>
      <c r="P33" s="26">
        <f>IF(AND(H33="", O33=""), "", N(H33) + N(O33))</f>
        <v/>
      </c>
    </row>
    <row r="34">
      <c r="A34" s="25" t="n">
        <v>27</v>
      </c>
      <c r="B34" s="25">
        <f>IFERROR(IF(SUMIFS(tblDaily[Admissions],tblDaily[EntryDate],DATE(2026,1,27),tblDaily[WardCode],"MAE")=0,"",SUMIFS(tblDaily[Admissions],tblDaily[EntryDate],DATE(2026,1,27),tblDaily[WardCode],"MAE")),"")</f>
        <v/>
      </c>
      <c r="C34" s="25">
        <f>IFERROR(IF(SUMIFS(tblDaily[Discharges],tblDaily[EntryDate],DATE(2026,1,27),tblDaily[WardCode],"MAE")=0,"",SUMIFS(tblDaily[Discharges],tblDaily[EntryDate],DATE(2026,1,27),tblDaily[WardCode],"MAE")),"")</f>
        <v/>
      </c>
      <c r="D34" s="25">
        <f>IFERROR(IF(SUMIFS(tblDaily[Deaths],tblDaily[EntryDate],DATE(2026,1,27),tblDaily[WardCode],"MAE")=0,"",SUMIFS(tblDaily[Deaths],tblDaily[EntryDate],DATE(2026,1,27),tblDaily[WardCode],"MAE")),"")</f>
        <v/>
      </c>
      <c r="E34" s="25">
        <f>IFERROR(IF(SUMIFS(tblDaily[DeathsUnder24Hrs],tblDaily[EntryDate],DATE(2026,1,27),tblDaily[WardCode],"MAE")=0,"",SUMIFS(tblDaily[DeathsUnder24Hrs],tblDaily[EntryDate],DATE(2026,1,27),tblDaily[WardCode],"MAE")),"")</f>
        <v/>
      </c>
      <c r="F34" s="25">
        <f>IFERROR(IF(SUMIFS(tblDaily[TransfersIn],tblDaily[EntryDate],DATE(2026,1,27),tblDaily[WardCode],"MAE")=0,"",SUMIFS(tblDaily[TransfersIn],tblDaily[EntryDate],DATE(2026,1,27),tblDaily[WardCode],"MAE")),"")</f>
        <v/>
      </c>
      <c r="G34" s="25">
        <f>IFERROR(IF(SUMIFS(tblDaily[TransfersOut],tblDaily[EntryDate],DATE(2026,1,27),tblDaily[WardCode],"MAE")=0,"",SUMIFS(tblDaily[TransfersOut],tblDaily[EntryDate],DATE(2026,1,27),tblDaily[WardCode],"MAE")),"")</f>
        <v/>
      </c>
      <c r="H34" s="25">
        <f>IFERROR(IF(SUMIFS(tblDaily[Remaining],tblDaily[EntryDate],DATE(2026,1,27),tblDaily[WardCode],"MAE")=0,"",SUMIFS(tblDaily[Remaining],tblDaily[EntryDate],DATE(2026,1,27),tblDaily[WardCode],"MAE")),"")</f>
        <v/>
      </c>
      <c r="I34" s="25">
        <f>IFERROR(IF(SUMIFS(tblDaily[Admissions],tblDaily[EntryDate],DATE(2026,1,27),tblDaily[WardCode],"FAE")=0,"",SUMIFS(tblDaily[Admissions],tblDaily[EntryDate],DATE(2026,1,27),tblDaily[WardCode],"FAE")),"")</f>
        <v/>
      </c>
      <c r="J34" s="25">
        <f>IFERROR(IF(SUMIFS(tblDaily[Discharges],tblDaily[EntryDate],DATE(2026,1,27),tblDaily[WardCode],"FAE")=0,"",SUMIFS(tblDaily[Discharges],tblDaily[EntryDate],DATE(2026,1,27),tblDaily[WardCode],"FAE")),"")</f>
        <v/>
      </c>
      <c r="K34" s="25">
        <f>IFERROR(IF(SUMIFS(tblDaily[Deaths],tblDaily[EntryDate],DATE(2026,1,27),tblDaily[WardCode],"FAE")=0,"",SUMIFS(tblDaily[Deaths],tblDaily[EntryDate],DATE(2026,1,27),tblDaily[WardCode],"FAE")),"")</f>
        <v/>
      </c>
      <c r="L34" s="25">
        <f>IFERROR(IF(SUMIFS(tblDaily[DeathsUnder24Hrs],tblDaily[EntryDate],DATE(2026,1,27),tblDaily[WardCode],"FAE")=0,"",SUMIFS(tblDaily[DeathsUnder24Hrs],tblDaily[EntryDate],DATE(2026,1,27),tblDaily[WardCode],"FAE")),"")</f>
        <v/>
      </c>
      <c r="M34" s="25">
        <f>IFERROR(IF(SUMIFS(tblDaily[TransfersIn],tblDaily[EntryDate],DATE(2026,1,27),tblDaily[WardCode],"FAE")=0,"",SUMIFS(tblDaily[TransfersIn],tblDaily[EntryDate],DATE(2026,1,27),tblDaily[WardCode],"FAE")),"")</f>
        <v/>
      </c>
      <c r="N34" s="25">
        <f>IFERROR(IF(SUMIFS(tblDaily[TransfersOut],tblDaily[EntryDate],DATE(2026,1,27),tblDaily[WardCode],"FAE")=0,"",SUMIFS(tblDaily[TransfersOut],tblDaily[EntryDate],DATE(2026,1,27),tblDaily[WardCode],"FAE")),"")</f>
        <v/>
      </c>
      <c r="O34" s="25">
        <f>IFERROR(IF(SUMIFS(tblDaily[Remaining],tblDaily[EntryDate],DATE(2026,1,27),tblDaily[WardCode],"FAE")=0,"",SUMIFS(tblDaily[Remaining],tblDaily[EntryDate],DATE(2026,1,27),tblDaily[WardCode],"FAE")),"")</f>
        <v/>
      </c>
      <c r="P34" s="26">
        <f>IF(AND(H34="", O34=""), "", N(H34) + N(O34))</f>
        <v/>
      </c>
    </row>
    <row r="35">
      <c r="A35" s="25" t="n">
        <v>28</v>
      </c>
      <c r="B35" s="25">
        <f>IFERROR(IF(SUMIFS(tblDaily[Admissions],tblDaily[EntryDate],DATE(2026,1,28),tblDaily[WardCode],"MAE")=0,"",SUMIFS(tblDaily[Admissions],tblDaily[EntryDate],DATE(2026,1,28),tblDaily[WardCode],"MAE")),"")</f>
        <v/>
      </c>
      <c r="C35" s="25">
        <f>IFERROR(IF(SUMIFS(tblDaily[Discharges],tblDaily[EntryDate],DATE(2026,1,28),tblDaily[WardCode],"MAE")=0,"",SUMIFS(tblDaily[Discharges],tblDaily[EntryDate],DATE(2026,1,28),tblDaily[WardCode],"MAE")),"")</f>
        <v/>
      </c>
      <c r="D35" s="25">
        <f>IFERROR(IF(SUMIFS(tblDaily[Deaths],tblDaily[EntryDate],DATE(2026,1,28),tblDaily[WardCode],"MAE")=0,"",SUMIFS(tblDaily[Deaths],tblDaily[EntryDate],DATE(2026,1,28),tblDaily[WardCode],"MAE")),"")</f>
        <v/>
      </c>
      <c r="E35" s="25">
        <f>IFERROR(IF(SUMIFS(tblDaily[DeathsUnder24Hrs],tblDaily[EntryDate],DATE(2026,1,28),tblDaily[WardCode],"MAE")=0,"",SUMIFS(tblDaily[DeathsUnder24Hrs],tblDaily[EntryDate],DATE(2026,1,28),tblDaily[WardCode],"MAE")),"")</f>
        <v/>
      </c>
      <c r="F35" s="25">
        <f>IFERROR(IF(SUMIFS(tblDaily[TransfersIn],tblDaily[EntryDate],DATE(2026,1,28),tblDaily[WardCode],"MAE")=0,"",SUMIFS(tblDaily[TransfersIn],tblDaily[EntryDate],DATE(2026,1,28),tblDaily[WardCode],"MAE")),"")</f>
        <v/>
      </c>
      <c r="G35" s="25">
        <f>IFERROR(IF(SUMIFS(tblDaily[TransfersOut],tblDaily[EntryDate],DATE(2026,1,28),tblDaily[WardCode],"MAE")=0,"",SUMIFS(tblDaily[TransfersOut],tblDaily[EntryDate],DATE(2026,1,28),tblDaily[WardCode],"MAE")),"")</f>
        <v/>
      </c>
      <c r="H35" s="25">
        <f>IFERROR(IF(SUMIFS(tblDaily[Remaining],tblDaily[EntryDate],DATE(2026,1,28),tblDaily[WardCode],"MAE")=0,"",SUMIFS(tblDaily[Remaining],tblDaily[EntryDate],DATE(2026,1,28),tblDaily[WardCode],"MAE")),"")</f>
        <v/>
      </c>
      <c r="I35" s="25">
        <f>IFERROR(IF(SUMIFS(tblDaily[Admissions],tblDaily[EntryDate],DATE(2026,1,28),tblDaily[WardCode],"FAE")=0,"",SUMIFS(tblDaily[Admissions],tblDaily[EntryDate],DATE(2026,1,28),tblDaily[WardCode],"FAE")),"")</f>
        <v/>
      </c>
      <c r="J35" s="25">
        <f>IFERROR(IF(SUMIFS(tblDaily[Discharges],tblDaily[EntryDate],DATE(2026,1,28),tblDaily[WardCode],"FAE")=0,"",SUMIFS(tblDaily[Discharges],tblDaily[EntryDate],DATE(2026,1,28),tblDaily[WardCode],"FAE")),"")</f>
        <v/>
      </c>
      <c r="K35" s="25">
        <f>IFERROR(IF(SUMIFS(tblDaily[Deaths],tblDaily[EntryDate],DATE(2026,1,28),tblDaily[WardCode],"FAE")=0,"",SUMIFS(tblDaily[Deaths],tblDaily[EntryDate],DATE(2026,1,28),tblDaily[WardCode],"FAE")),"")</f>
        <v/>
      </c>
      <c r="L35" s="25">
        <f>IFERROR(IF(SUMIFS(tblDaily[DeathsUnder24Hrs],tblDaily[EntryDate],DATE(2026,1,28),tblDaily[WardCode],"FAE")=0,"",SUMIFS(tblDaily[DeathsUnder24Hrs],tblDaily[EntryDate],DATE(2026,1,28),tblDaily[WardCode],"FAE")),"")</f>
        <v/>
      </c>
      <c r="M35" s="25">
        <f>IFERROR(IF(SUMIFS(tblDaily[TransfersIn],tblDaily[EntryDate],DATE(2026,1,28),tblDaily[WardCode],"FAE")=0,"",SUMIFS(tblDaily[TransfersIn],tblDaily[EntryDate],DATE(2026,1,28),tblDaily[WardCode],"FAE")),"")</f>
        <v/>
      </c>
      <c r="N35" s="25">
        <f>IFERROR(IF(SUMIFS(tblDaily[TransfersOut],tblDaily[EntryDate],DATE(2026,1,28),tblDaily[WardCode],"FAE")=0,"",SUMIFS(tblDaily[TransfersOut],tblDaily[EntryDate],DATE(2026,1,28),tblDaily[WardCode],"FAE")),"")</f>
        <v/>
      </c>
      <c r="O35" s="25">
        <f>IFERROR(IF(SUMIFS(tblDaily[Remaining],tblDaily[EntryDate],DATE(2026,1,28),tblDaily[WardCode],"FAE")=0,"",SUMIFS(tblDaily[Remaining],tblDaily[EntryDate],DATE(2026,1,28),tblDaily[WardCode],"FAE")),"")</f>
        <v/>
      </c>
      <c r="P35" s="26">
        <f>IF(AND(H35="", O35=""), "", N(H35) + N(O35))</f>
        <v/>
      </c>
    </row>
    <row r="36">
      <c r="A36" s="25" t="n">
        <v>29</v>
      </c>
      <c r="B36" s="25">
        <f>IFERROR(IF(SUMIFS(tblDaily[Admissions],tblDaily[EntryDate],DATE(2026,1,29),tblDaily[WardCode],"MAE")=0,"",SUMIFS(tblDaily[Admissions],tblDaily[EntryDate],DATE(2026,1,29),tblDaily[WardCode],"MAE")),"")</f>
        <v/>
      </c>
      <c r="C36" s="25">
        <f>IFERROR(IF(SUMIFS(tblDaily[Discharges],tblDaily[EntryDate],DATE(2026,1,29),tblDaily[WardCode],"MAE")=0,"",SUMIFS(tblDaily[Discharges],tblDaily[EntryDate],DATE(2026,1,29),tblDaily[WardCode],"MAE")),"")</f>
        <v/>
      </c>
      <c r="D36" s="25">
        <f>IFERROR(IF(SUMIFS(tblDaily[Deaths],tblDaily[EntryDate],DATE(2026,1,29),tblDaily[WardCode],"MAE")=0,"",SUMIFS(tblDaily[Deaths],tblDaily[EntryDate],DATE(2026,1,29),tblDaily[WardCode],"MAE")),"")</f>
        <v/>
      </c>
      <c r="E36" s="25">
        <f>IFERROR(IF(SUMIFS(tblDaily[DeathsUnder24Hrs],tblDaily[EntryDate],DATE(2026,1,29),tblDaily[WardCode],"MAE")=0,"",SUMIFS(tblDaily[DeathsUnder24Hrs],tblDaily[EntryDate],DATE(2026,1,29),tblDaily[WardCode],"MAE")),"")</f>
        <v/>
      </c>
      <c r="F36" s="25">
        <f>IFERROR(IF(SUMIFS(tblDaily[TransfersIn],tblDaily[EntryDate],DATE(2026,1,29),tblDaily[WardCode],"MAE")=0,"",SUMIFS(tblDaily[TransfersIn],tblDaily[EntryDate],DATE(2026,1,29),tblDaily[WardCode],"MAE")),"")</f>
        <v/>
      </c>
      <c r="G36" s="25">
        <f>IFERROR(IF(SUMIFS(tblDaily[TransfersOut],tblDaily[EntryDate],DATE(2026,1,29),tblDaily[WardCode],"MAE")=0,"",SUMIFS(tblDaily[TransfersOut],tblDaily[EntryDate],DATE(2026,1,29),tblDaily[WardCode],"MAE")),"")</f>
        <v/>
      </c>
      <c r="H36" s="25">
        <f>IFERROR(IF(SUMIFS(tblDaily[Remaining],tblDaily[EntryDate],DATE(2026,1,29),tblDaily[WardCode],"MAE")=0,"",SUMIFS(tblDaily[Remaining],tblDaily[EntryDate],DATE(2026,1,29),tblDaily[WardCode],"MAE")),"")</f>
        <v/>
      </c>
      <c r="I36" s="25">
        <f>IFERROR(IF(SUMIFS(tblDaily[Admissions],tblDaily[EntryDate],DATE(2026,1,29),tblDaily[WardCode],"FAE")=0,"",SUMIFS(tblDaily[Admissions],tblDaily[EntryDate],DATE(2026,1,29),tblDaily[WardCode],"FAE")),"")</f>
        <v/>
      </c>
      <c r="J36" s="25">
        <f>IFERROR(IF(SUMIFS(tblDaily[Discharges],tblDaily[EntryDate],DATE(2026,1,29),tblDaily[WardCode],"FAE")=0,"",SUMIFS(tblDaily[Discharges],tblDaily[EntryDate],DATE(2026,1,29),tblDaily[WardCode],"FAE")),"")</f>
        <v/>
      </c>
      <c r="K36" s="25">
        <f>IFERROR(IF(SUMIFS(tblDaily[Deaths],tblDaily[EntryDate],DATE(2026,1,29),tblDaily[WardCode],"FAE")=0,"",SUMIFS(tblDaily[Deaths],tblDaily[EntryDate],DATE(2026,1,29),tblDaily[WardCode],"FAE")),"")</f>
        <v/>
      </c>
      <c r="L36" s="25">
        <f>IFERROR(IF(SUMIFS(tblDaily[DeathsUnder24Hrs],tblDaily[EntryDate],DATE(2026,1,29),tblDaily[WardCode],"FAE")=0,"",SUMIFS(tblDaily[DeathsUnder24Hrs],tblDaily[EntryDate],DATE(2026,1,29),tblDaily[WardCode],"FAE")),"")</f>
        <v/>
      </c>
      <c r="M36" s="25">
        <f>IFERROR(IF(SUMIFS(tblDaily[TransfersIn],tblDaily[EntryDate],DATE(2026,1,29),tblDaily[WardCode],"FAE")=0,"",SUMIFS(tblDaily[TransfersIn],tblDaily[EntryDate],DATE(2026,1,29),tblDaily[WardCode],"FAE")),"")</f>
        <v/>
      </c>
      <c r="N36" s="25">
        <f>IFERROR(IF(SUMIFS(tblDaily[TransfersOut],tblDaily[EntryDate],DATE(2026,1,29),tblDaily[WardCode],"FAE")=0,"",SUMIFS(tblDaily[TransfersOut],tblDaily[EntryDate],DATE(2026,1,29),tblDaily[WardCode],"FAE")),"")</f>
        <v/>
      </c>
      <c r="O36" s="25">
        <f>IFERROR(IF(SUMIFS(tblDaily[Remaining],tblDaily[EntryDate],DATE(2026,1,29),tblDaily[WardCode],"FAE")=0,"",SUMIFS(tblDaily[Remaining],tblDaily[EntryDate],DATE(2026,1,29),tblDaily[WardCode],"FAE")),"")</f>
        <v/>
      </c>
      <c r="P36" s="26">
        <f>IF(AND(H36="", O36=""), "", N(H36) + N(O36))</f>
        <v/>
      </c>
    </row>
    <row r="37">
      <c r="A37" s="25" t="n">
        <v>30</v>
      </c>
      <c r="B37" s="25">
        <f>IFERROR(IF(SUMIFS(tblDaily[Admissions],tblDaily[EntryDate],DATE(2026,1,30),tblDaily[WardCode],"MAE")=0,"",SUMIFS(tblDaily[Admissions],tblDaily[EntryDate],DATE(2026,1,30),tblDaily[WardCode],"MAE")),"")</f>
        <v/>
      </c>
      <c r="C37" s="25">
        <f>IFERROR(IF(SUMIFS(tblDaily[Discharges],tblDaily[EntryDate],DATE(2026,1,30),tblDaily[WardCode],"MAE")=0,"",SUMIFS(tblDaily[Discharges],tblDaily[EntryDate],DATE(2026,1,30),tblDaily[WardCode],"MAE")),"")</f>
        <v/>
      </c>
      <c r="D37" s="25">
        <f>IFERROR(IF(SUMIFS(tblDaily[Deaths],tblDaily[EntryDate],DATE(2026,1,30),tblDaily[WardCode],"MAE")=0,"",SUMIFS(tblDaily[Deaths],tblDaily[EntryDate],DATE(2026,1,30),tblDaily[WardCode],"MAE")),"")</f>
        <v/>
      </c>
      <c r="E37" s="25">
        <f>IFERROR(IF(SUMIFS(tblDaily[DeathsUnder24Hrs],tblDaily[EntryDate],DATE(2026,1,30),tblDaily[WardCode],"MAE")=0,"",SUMIFS(tblDaily[DeathsUnder24Hrs],tblDaily[EntryDate],DATE(2026,1,30),tblDaily[WardCode],"MAE")),"")</f>
        <v/>
      </c>
      <c r="F37" s="25">
        <f>IFERROR(IF(SUMIFS(tblDaily[TransfersIn],tblDaily[EntryDate],DATE(2026,1,30),tblDaily[WardCode],"MAE")=0,"",SUMIFS(tblDaily[TransfersIn],tblDaily[EntryDate],DATE(2026,1,30),tblDaily[WardCode],"MAE")),"")</f>
        <v/>
      </c>
      <c r="G37" s="25">
        <f>IFERROR(IF(SUMIFS(tblDaily[TransfersOut],tblDaily[EntryDate],DATE(2026,1,30),tblDaily[WardCode],"MAE")=0,"",SUMIFS(tblDaily[TransfersOut],tblDaily[EntryDate],DATE(2026,1,30),tblDaily[WardCode],"MAE")),"")</f>
        <v/>
      </c>
      <c r="H37" s="25">
        <f>IFERROR(IF(SUMIFS(tblDaily[Remaining],tblDaily[EntryDate],DATE(2026,1,30),tblDaily[WardCode],"MAE")=0,"",SUMIFS(tblDaily[Remaining],tblDaily[EntryDate],DATE(2026,1,30),tblDaily[WardCode],"MAE")),"")</f>
        <v/>
      </c>
      <c r="I37" s="25">
        <f>IFERROR(IF(SUMIFS(tblDaily[Admissions],tblDaily[EntryDate],DATE(2026,1,30),tblDaily[WardCode],"FAE")=0,"",SUMIFS(tblDaily[Admissions],tblDaily[EntryDate],DATE(2026,1,30),tblDaily[WardCode],"FAE")),"")</f>
        <v/>
      </c>
      <c r="J37" s="25">
        <f>IFERROR(IF(SUMIFS(tblDaily[Discharges],tblDaily[EntryDate],DATE(2026,1,30),tblDaily[WardCode],"FAE")=0,"",SUMIFS(tblDaily[Discharges],tblDaily[EntryDate],DATE(2026,1,30),tblDaily[WardCode],"FAE")),"")</f>
        <v/>
      </c>
      <c r="K37" s="25">
        <f>IFERROR(IF(SUMIFS(tblDaily[Deaths],tblDaily[EntryDate],DATE(2026,1,30),tblDaily[WardCode],"FAE")=0,"",SUMIFS(tblDaily[Deaths],tblDaily[EntryDate],DATE(2026,1,30),tblDaily[WardCode],"FAE")),"")</f>
        <v/>
      </c>
      <c r="L37" s="25">
        <f>IFERROR(IF(SUMIFS(tblDaily[DeathsUnder24Hrs],tblDaily[EntryDate],DATE(2026,1,30),tblDaily[WardCode],"FAE")=0,"",SUMIFS(tblDaily[DeathsUnder24Hrs],tblDaily[EntryDate],DATE(2026,1,30),tblDaily[WardCode],"FAE")),"")</f>
        <v/>
      </c>
      <c r="M37" s="25">
        <f>IFERROR(IF(SUMIFS(tblDaily[TransfersIn],tblDaily[EntryDate],DATE(2026,1,30),tblDaily[WardCode],"FAE")=0,"",SUMIFS(tblDaily[TransfersIn],tblDaily[EntryDate],DATE(2026,1,30),tblDaily[WardCode],"FAE")),"")</f>
        <v/>
      </c>
      <c r="N37" s="25">
        <f>IFERROR(IF(SUMIFS(tblDaily[TransfersOut],tblDaily[EntryDate],DATE(2026,1,30),tblDaily[WardCode],"FAE")=0,"",SUMIFS(tblDaily[TransfersOut],tblDaily[EntryDate],DATE(2026,1,30),tblDaily[WardCode],"FAE")),"")</f>
        <v/>
      </c>
      <c r="O37" s="25">
        <f>IFERROR(IF(SUMIFS(tblDaily[Remaining],tblDaily[EntryDate],DATE(2026,1,30),tblDaily[WardCode],"FAE")=0,"",SUMIFS(tblDaily[Remaining],tblDaily[EntryDate],DATE(2026,1,30),tblDaily[WardCode],"FAE")),"")</f>
        <v/>
      </c>
      <c r="P37" s="26">
        <f>IF(AND(H37="", O37=""), "", N(H37) + N(O37))</f>
        <v/>
      </c>
    </row>
    <row r="38">
      <c r="A38" s="25" t="n">
        <v>31</v>
      </c>
      <c r="B38" s="25">
        <f>IFERROR(IF(SUMIFS(tblDaily[Admissions],tblDaily[EntryDate],DATE(2026,1,31),tblDaily[WardCode],"MAE")=0,"",SUMIFS(tblDaily[Admissions],tblDaily[EntryDate],DATE(2026,1,31),tblDaily[WardCode],"MAE")),"")</f>
        <v/>
      </c>
      <c r="C38" s="25">
        <f>IFERROR(IF(SUMIFS(tblDaily[Discharges],tblDaily[EntryDate],DATE(2026,1,31),tblDaily[WardCode],"MAE")=0,"",SUMIFS(tblDaily[Discharges],tblDaily[EntryDate],DATE(2026,1,31),tblDaily[WardCode],"MAE")),"")</f>
        <v/>
      </c>
      <c r="D38" s="25">
        <f>IFERROR(IF(SUMIFS(tblDaily[Deaths],tblDaily[EntryDate],DATE(2026,1,31),tblDaily[WardCode],"MAE")=0,"",SUMIFS(tblDaily[Deaths],tblDaily[EntryDate],DATE(2026,1,31),tblDaily[WardCode],"MAE")),"")</f>
        <v/>
      </c>
      <c r="E38" s="25">
        <f>IFERROR(IF(SUMIFS(tblDaily[DeathsUnder24Hrs],tblDaily[EntryDate],DATE(2026,1,31),tblDaily[WardCode],"MAE")=0,"",SUMIFS(tblDaily[DeathsUnder24Hrs],tblDaily[EntryDate],DATE(2026,1,31),tblDaily[WardCode],"MAE")),"")</f>
        <v/>
      </c>
      <c r="F38" s="25">
        <f>IFERROR(IF(SUMIFS(tblDaily[TransfersIn],tblDaily[EntryDate],DATE(2026,1,31),tblDaily[WardCode],"MAE")=0,"",SUMIFS(tblDaily[TransfersIn],tblDaily[EntryDate],DATE(2026,1,31),tblDaily[WardCode],"MAE")),"")</f>
        <v/>
      </c>
      <c r="G38" s="25">
        <f>IFERROR(IF(SUMIFS(tblDaily[TransfersOut],tblDaily[EntryDate],DATE(2026,1,31),tblDaily[WardCode],"MAE")=0,"",SUMIFS(tblDaily[TransfersOut],tblDaily[EntryDate],DATE(2026,1,31),tblDaily[WardCode],"MAE")),"")</f>
        <v/>
      </c>
      <c r="H38" s="25">
        <f>IFERROR(IF(SUMIFS(tblDaily[Remaining],tblDaily[EntryDate],DATE(2026,1,31),tblDaily[WardCode],"MAE")=0,"",SUMIFS(tblDaily[Remaining],tblDaily[EntryDate],DATE(2026,1,31),tblDaily[WardCode],"MAE")),"")</f>
        <v/>
      </c>
      <c r="I38" s="25">
        <f>IFERROR(IF(SUMIFS(tblDaily[Admissions],tblDaily[EntryDate],DATE(2026,1,31),tblDaily[WardCode],"FAE")=0,"",SUMIFS(tblDaily[Admissions],tblDaily[EntryDate],DATE(2026,1,31),tblDaily[WardCode],"FAE")),"")</f>
        <v/>
      </c>
      <c r="J38" s="25">
        <f>IFERROR(IF(SUMIFS(tblDaily[Discharges],tblDaily[EntryDate],DATE(2026,1,31),tblDaily[WardCode],"FAE")=0,"",SUMIFS(tblDaily[Discharges],tblDaily[EntryDate],DATE(2026,1,31),tblDaily[WardCode],"FAE")),"")</f>
        <v/>
      </c>
      <c r="K38" s="25">
        <f>IFERROR(IF(SUMIFS(tblDaily[Deaths],tblDaily[EntryDate],DATE(2026,1,31),tblDaily[WardCode],"FAE")=0,"",SUMIFS(tblDaily[Deaths],tblDaily[EntryDate],DATE(2026,1,31),tblDaily[WardCode],"FAE")),"")</f>
        <v/>
      </c>
      <c r="L38" s="25">
        <f>IFERROR(IF(SUMIFS(tblDaily[DeathsUnder24Hrs],tblDaily[EntryDate],DATE(2026,1,31),tblDaily[WardCode],"FAE")=0,"",SUMIFS(tblDaily[DeathsUnder24Hrs],tblDaily[EntryDate],DATE(2026,1,31),tblDaily[WardCode],"FAE")),"")</f>
        <v/>
      </c>
      <c r="M38" s="25">
        <f>IFERROR(IF(SUMIFS(tblDaily[TransfersIn],tblDaily[EntryDate],DATE(2026,1,31),tblDaily[WardCode],"FAE")=0,"",SUMIFS(tblDaily[TransfersIn],tblDaily[EntryDate],DATE(2026,1,31),tblDaily[WardCode],"FAE")),"")</f>
        <v/>
      </c>
      <c r="N38" s="25">
        <f>IFERROR(IF(SUMIFS(tblDaily[TransfersOut],tblDaily[EntryDate],DATE(2026,1,31),tblDaily[WardCode],"FAE")=0,"",SUMIFS(tblDaily[TransfersOut],tblDaily[EntryDate],DATE(2026,1,31),tblDaily[WardCode],"FAE")),"")</f>
        <v/>
      </c>
      <c r="O38" s="25">
        <f>IFERROR(IF(SUMIFS(tblDaily[Remaining],tblDaily[EntryDate],DATE(2026,1,31),tblDaily[WardCode],"FAE")=0,"",SUMIFS(tblDaily[Remaining],tblDaily[EntryDate],DATE(2026,1,31),tblDaily[WardCode],"FAE")),"")</f>
        <v/>
      </c>
      <c r="P38" s="26">
        <f>IF(AND(H38="", O38=""), "", N(H38) + N(O38))</f>
        <v/>
      </c>
    </row>
    <row r="39">
      <c r="A39" s="17" t="inlineStr">
        <is>
          <t>TOTAL</t>
        </is>
      </c>
      <c r="B39" s="17">
        <f>SUMIFS(tblDaily[Admissions],tblDaily[Month],1,tblDaily[WardCode],"MAE") - SUMIFS(tblDaily[DeathsUnder24Hrs],tblDaily[Month],1,tblDaily[WardCode],"MAE")</f>
        <v/>
      </c>
      <c r="C39" s="17">
        <f>SUMIFS(tblDaily[Discharges],tblDaily[Month],1,tblDaily[WardCode],"MAE")</f>
        <v/>
      </c>
      <c r="D39" s="17">
        <f>SUMIFS(tblDaily[Deaths],tblDaily[Month],1,tblDaily[WardCode],"MAE")</f>
        <v/>
      </c>
      <c r="E39" s="17">
        <f>SUMIFS(tblDaily[DeathsUnder24Hrs],tblDaily[Month],1,tblDaily[WardCode],"MAE")</f>
        <v/>
      </c>
      <c r="F39" s="17">
        <f>SUMIFS(tblDaily[TransfersIn],tblDaily[Month],1,tblDaily[WardCode],"MAE")</f>
        <v/>
      </c>
      <c r="G39" s="17">
        <f>SUMIFS(tblDaily[TransfersOut],tblDaily[Month],1,tblDaily[WardCode],"MAE")</f>
        <v/>
      </c>
      <c r="H39" s="17">
        <f>SUMIFS(tblDaily[Remaining],tblDaily[Month],1,tblDaily[WardCode],"MAE")</f>
        <v/>
      </c>
      <c r="I39" s="17">
        <f>SUMIFS(tblDaily[Admissions],tblDaily[Month],1,tblDaily[WardCode],"FAE") - SUMIFS(tblDaily[DeathsUnder24Hrs],tblDaily[Month],1,tblDaily[WardCode],"FAE")</f>
        <v/>
      </c>
      <c r="J39" s="17">
        <f>SUMIFS(tblDaily[Discharges],tblDaily[Month],1,tblDaily[WardCode],"FAE")</f>
        <v/>
      </c>
      <c r="K39" s="17">
        <f>SUMIFS(tblDaily[Deaths],tblDaily[Month],1,tblDaily[WardCode],"FAE")</f>
        <v/>
      </c>
      <c r="L39" s="17">
        <f>SUMIFS(tblDaily[DeathsUnder24Hrs],tblDaily[Month],1,tblDaily[WardCode],"FAE")</f>
        <v/>
      </c>
      <c r="M39" s="17">
        <f>SUMIFS(tblDaily[TransfersIn],tblDaily[Month],1,tblDaily[WardCode],"FAE")</f>
        <v/>
      </c>
      <c r="N39" s="17">
        <f>SUMIFS(tblDaily[TransfersOut],tblDaily[Month],1,tblDaily[WardCode],"FAE")</f>
        <v/>
      </c>
      <c r="O39" s="17">
        <f>SUMIFS(tblDaily[Remaining],tblDaily[Month],1,tblDaily[WardCode],"FAE")</f>
        <v/>
      </c>
      <c r="P39" s="17">
        <f>H39 + O39</f>
        <v/>
      </c>
    </row>
    <row r="41">
      <c r="A41" s="19" t="inlineStr">
        <is>
          <t>GHANA HEALTH SERVICE</t>
        </is>
      </c>
    </row>
    <row r="42">
      <c r="A42" s="2" t="inlineStr">
        <is>
          <t>DAILY BED UTILIZATION FORM</t>
        </is>
      </c>
    </row>
    <row r="43">
      <c r="A43" s="4" t="inlineStr">
        <is>
          <t>Hospital:</t>
        </is>
      </c>
      <c r="B43" s="5" t="inlineStr">
        <is>
          <t>HOHOE MUNICIPAL HOSPITAL</t>
        </is>
      </c>
      <c r="E43" s="4" t="inlineStr">
        <is>
          <t>Ward:</t>
        </is>
      </c>
      <c r="F43" s="4" t="inlineStr">
        <is>
          <t>EMERGENCY (COMBINED)</t>
        </is>
      </c>
      <c r="M43" s="4" t="inlineStr">
        <is>
          <t>MONTH</t>
        </is>
      </c>
      <c r="N43" s="4" t="inlineStr">
        <is>
          <t>FEBRUARY</t>
        </is>
      </c>
    </row>
    <row r="44">
      <c r="A44" s="4" t="inlineStr">
        <is>
          <t>Number of patients remaining as at last day of previous month</t>
        </is>
      </c>
      <c r="B44" s="20">
        <f>IFERROR(SUMIFS(tblDaily[Remaining],tblDaily[EntryDate],DATE(2026,1,31),tblDaily[WardCode],"MAE"),0)</f>
        <v/>
      </c>
      <c r="I44" s="20">
        <f>IFERROR(SUMIFS(tblDaily[Remaining],tblDaily[EntryDate],DATE(2026,1,31),tblDaily[WardCode],"FAE"),0)</f>
        <v/>
      </c>
    </row>
    <row r="45">
      <c r="A45" s="4" t="inlineStr">
        <is>
          <t>Bed complement</t>
        </is>
      </c>
      <c r="B45" s="20">
        <f>IFERROR(INDEX(tblWardConfig[BedComplement],MATCH("MAE",tblWardConfig[WardCode],0)),0)</f>
        <v/>
      </c>
      <c r="I45" s="20">
        <f>IFERROR(INDEX(tblWardConfig[BedComplement],MATCH("FAE",tblWardConfig[WardCode],0)),0)</f>
        <v/>
      </c>
      <c r="O45" s="21">
        <f>B45+I45</f>
        <v/>
      </c>
    </row>
    <row r="46">
      <c r="A46" s="11" t="inlineStr">
        <is>
          <t>Day</t>
        </is>
      </c>
      <c r="B46" s="22" t="inlineStr">
        <is>
          <t>MALE EMERGENCY</t>
        </is>
      </c>
      <c r="I46" s="23" t="inlineStr">
        <is>
          <t>FEMALE EMERGENCY</t>
        </is>
      </c>
      <c r="P46" s="24" t="inlineStr">
        <is>
          <t>TOTAL</t>
        </is>
      </c>
    </row>
    <row r="47">
      <c r="A47" s="11" t="inlineStr">
        <is>
          <t>Day</t>
        </is>
      </c>
      <c r="B47" s="11" t="inlineStr">
        <is>
          <t>Adm</t>
        </is>
      </c>
      <c r="C47" s="11" t="inlineStr">
        <is>
          <t>Dis</t>
        </is>
      </c>
      <c r="D47" s="11" t="inlineStr">
        <is>
          <t>Dth</t>
        </is>
      </c>
      <c r="E47" s="11" t="inlineStr">
        <is>
          <t>D&lt;24</t>
        </is>
      </c>
      <c r="F47" s="11" t="inlineStr">
        <is>
          <t>TrIn</t>
        </is>
      </c>
      <c r="G47" s="11" t="inlineStr">
        <is>
          <t>TrOut</t>
        </is>
      </c>
      <c r="H47" s="11" t="inlineStr">
        <is>
          <t>Rem</t>
        </is>
      </c>
      <c r="I47" s="11" t="inlineStr">
        <is>
          <t>Adm</t>
        </is>
      </c>
      <c r="J47" s="11" t="inlineStr">
        <is>
          <t>Dis</t>
        </is>
      </c>
      <c r="K47" s="11" t="inlineStr">
        <is>
          <t>Dth</t>
        </is>
      </c>
      <c r="L47" s="11" t="inlineStr">
        <is>
          <t>D&lt;24</t>
        </is>
      </c>
      <c r="M47" s="11" t="inlineStr">
        <is>
          <t>TrIn</t>
        </is>
      </c>
      <c r="N47" s="11" t="inlineStr">
        <is>
          <t>TrOut</t>
        </is>
      </c>
      <c r="O47" s="11" t="inlineStr">
        <is>
          <t>Rem</t>
        </is>
      </c>
      <c r="P47" s="11" t="inlineStr">
        <is>
          <t>Tot
Rem</t>
        </is>
      </c>
    </row>
    <row r="48">
      <c r="A48" s="25" t="n">
        <v>1</v>
      </c>
      <c r="B48" s="25">
        <f>IFERROR(IF(SUMIFS(tblDaily[Admissions],tblDaily[EntryDate],DATE(2026,2,1),tblDaily[WardCode],"MAE")=0,"",SUMIFS(tblDaily[Admissions],tblDaily[EntryDate],DATE(2026,2,1),tblDaily[WardCode],"MAE")),"")</f>
        <v/>
      </c>
      <c r="C48" s="25">
        <f>IFERROR(IF(SUMIFS(tblDaily[Discharges],tblDaily[EntryDate],DATE(2026,2,1),tblDaily[WardCode],"MAE")=0,"",SUMIFS(tblDaily[Discharges],tblDaily[EntryDate],DATE(2026,2,1),tblDaily[WardCode],"MAE")),"")</f>
        <v/>
      </c>
      <c r="D48" s="25">
        <f>IFERROR(IF(SUMIFS(tblDaily[Deaths],tblDaily[EntryDate],DATE(2026,2,1),tblDaily[WardCode],"MAE")=0,"",SUMIFS(tblDaily[Deaths],tblDaily[EntryDate],DATE(2026,2,1),tblDaily[WardCode],"MAE")),"")</f>
        <v/>
      </c>
      <c r="E48" s="25">
        <f>IFERROR(IF(SUMIFS(tblDaily[DeathsUnder24Hrs],tblDaily[EntryDate],DATE(2026,2,1),tblDaily[WardCode],"MAE")=0,"",SUMIFS(tblDaily[DeathsUnder24Hrs],tblDaily[EntryDate],DATE(2026,2,1),tblDaily[WardCode],"MAE")),"")</f>
        <v/>
      </c>
      <c r="F48" s="25">
        <f>IFERROR(IF(SUMIFS(tblDaily[TransfersIn],tblDaily[EntryDate],DATE(2026,2,1),tblDaily[WardCode],"MAE")=0,"",SUMIFS(tblDaily[TransfersIn],tblDaily[EntryDate],DATE(2026,2,1),tblDaily[WardCode],"MAE")),"")</f>
        <v/>
      </c>
      <c r="G48" s="25">
        <f>IFERROR(IF(SUMIFS(tblDaily[TransfersOut],tblDaily[EntryDate],DATE(2026,2,1),tblDaily[WardCode],"MAE")=0,"",SUMIFS(tblDaily[TransfersOut],tblDaily[EntryDate],DATE(2026,2,1),tblDaily[WardCode],"MAE")),"")</f>
        <v/>
      </c>
      <c r="H48" s="25">
        <f>IFERROR(IF(SUMIFS(tblDaily[Remaining],tblDaily[EntryDate],DATE(2026,2,1),tblDaily[WardCode],"MAE")=0,"",SUMIFS(tblDaily[Remaining],tblDaily[EntryDate],DATE(2026,2,1),tblDaily[WardCode],"MAE")),"")</f>
        <v/>
      </c>
      <c r="I48" s="25">
        <f>IFERROR(IF(SUMIFS(tblDaily[Admissions],tblDaily[EntryDate],DATE(2026,2,1),tblDaily[WardCode],"FAE")=0,"",SUMIFS(tblDaily[Admissions],tblDaily[EntryDate],DATE(2026,2,1),tblDaily[WardCode],"FAE")),"")</f>
        <v/>
      </c>
      <c r="J48" s="25">
        <f>IFERROR(IF(SUMIFS(tblDaily[Discharges],tblDaily[EntryDate],DATE(2026,2,1),tblDaily[WardCode],"FAE")=0,"",SUMIFS(tblDaily[Discharges],tblDaily[EntryDate],DATE(2026,2,1),tblDaily[WardCode],"FAE")),"")</f>
        <v/>
      </c>
      <c r="K48" s="25">
        <f>IFERROR(IF(SUMIFS(tblDaily[Deaths],tblDaily[EntryDate],DATE(2026,2,1),tblDaily[WardCode],"FAE")=0,"",SUMIFS(tblDaily[Deaths],tblDaily[EntryDate],DATE(2026,2,1),tblDaily[WardCode],"FAE")),"")</f>
        <v/>
      </c>
      <c r="L48" s="25">
        <f>IFERROR(IF(SUMIFS(tblDaily[DeathsUnder24Hrs],tblDaily[EntryDate],DATE(2026,2,1),tblDaily[WardCode],"FAE")=0,"",SUMIFS(tblDaily[DeathsUnder24Hrs],tblDaily[EntryDate],DATE(2026,2,1),tblDaily[WardCode],"FAE")),"")</f>
        <v/>
      </c>
      <c r="M48" s="25">
        <f>IFERROR(IF(SUMIFS(tblDaily[TransfersIn],tblDaily[EntryDate],DATE(2026,2,1),tblDaily[WardCode],"FAE")=0,"",SUMIFS(tblDaily[TransfersIn],tblDaily[EntryDate],DATE(2026,2,1),tblDaily[WardCode],"FAE")),"")</f>
        <v/>
      </c>
      <c r="N48" s="25">
        <f>IFERROR(IF(SUMIFS(tblDaily[TransfersOut],tblDaily[EntryDate],DATE(2026,2,1),tblDaily[WardCode],"FAE")=0,"",SUMIFS(tblDaily[TransfersOut],tblDaily[EntryDate],DATE(2026,2,1),tblDaily[WardCode],"FAE")),"")</f>
        <v/>
      </c>
      <c r="O48" s="25">
        <f>IFERROR(IF(SUMIFS(tblDaily[Remaining],tblDaily[EntryDate],DATE(2026,2,1),tblDaily[WardCode],"FAE")=0,"",SUMIFS(tblDaily[Remaining],tblDaily[EntryDate],DATE(2026,2,1),tblDaily[WardCode],"FAE")),"")</f>
        <v/>
      </c>
      <c r="P48" s="26">
        <f>IF(AND(H48="", O48=""), "", N(H48) + N(O48))</f>
        <v/>
      </c>
    </row>
    <row r="49">
      <c r="A49" s="25" t="n">
        <v>2</v>
      </c>
      <c r="B49" s="25">
        <f>IFERROR(IF(SUMIFS(tblDaily[Admissions],tblDaily[EntryDate],DATE(2026,2,2),tblDaily[WardCode],"MAE")=0,"",SUMIFS(tblDaily[Admissions],tblDaily[EntryDate],DATE(2026,2,2),tblDaily[WardCode],"MAE")),"")</f>
        <v/>
      </c>
      <c r="C49" s="25">
        <f>IFERROR(IF(SUMIFS(tblDaily[Discharges],tblDaily[EntryDate],DATE(2026,2,2),tblDaily[WardCode],"MAE")=0,"",SUMIFS(tblDaily[Discharges],tblDaily[EntryDate],DATE(2026,2,2),tblDaily[WardCode],"MAE")),"")</f>
        <v/>
      </c>
      <c r="D49" s="25">
        <f>IFERROR(IF(SUMIFS(tblDaily[Deaths],tblDaily[EntryDate],DATE(2026,2,2),tblDaily[WardCode],"MAE")=0,"",SUMIFS(tblDaily[Deaths],tblDaily[EntryDate],DATE(2026,2,2),tblDaily[WardCode],"MAE")),"")</f>
        <v/>
      </c>
      <c r="E49" s="25">
        <f>IFERROR(IF(SUMIFS(tblDaily[DeathsUnder24Hrs],tblDaily[EntryDate],DATE(2026,2,2),tblDaily[WardCode],"MAE")=0,"",SUMIFS(tblDaily[DeathsUnder24Hrs],tblDaily[EntryDate],DATE(2026,2,2),tblDaily[WardCode],"MAE")),"")</f>
        <v/>
      </c>
      <c r="F49" s="25">
        <f>IFERROR(IF(SUMIFS(tblDaily[TransfersIn],tblDaily[EntryDate],DATE(2026,2,2),tblDaily[WardCode],"MAE")=0,"",SUMIFS(tblDaily[TransfersIn],tblDaily[EntryDate],DATE(2026,2,2),tblDaily[WardCode],"MAE")),"")</f>
        <v/>
      </c>
      <c r="G49" s="25">
        <f>IFERROR(IF(SUMIFS(tblDaily[TransfersOut],tblDaily[EntryDate],DATE(2026,2,2),tblDaily[WardCode],"MAE")=0,"",SUMIFS(tblDaily[TransfersOut],tblDaily[EntryDate],DATE(2026,2,2),tblDaily[WardCode],"MAE")),"")</f>
        <v/>
      </c>
      <c r="H49" s="25">
        <f>IFERROR(IF(SUMIFS(tblDaily[Remaining],tblDaily[EntryDate],DATE(2026,2,2),tblDaily[WardCode],"MAE")=0,"",SUMIFS(tblDaily[Remaining],tblDaily[EntryDate],DATE(2026,2,2),tblDaily[WardCode],"MAE")),"")</f>
        <v/>
      </c>
      <c r="I49" s="25">
        <f>IFERROR(IF(SUMIFS(tblDaily[Admissions],tblDaily[EntryDate],DATE(2026,2,2),tblDaily[WardCode],"FAE")=0,"",SUMIFS(tblDaily[Admissions],tblDaily[EntryDate],DATE(2026,2,2),tblDaily[WardCode],"FAE")),"")</f>
        <v/>
      </c>
      <c r="J49" s="25">
        <f>IFERROR(IF(SUMIFS(tblDaily[Discharges],tblDaily[EntryDate],DATE(2026,2,2),tblDaily[WardCode],"FAE")=0,"",SUMIFS(tblDaily[Discharges],tblDaily[EntryDate],DATE(2026,2,2),tblDaily[WardCode],"FAE")),"")</f>
        <v/>
      </c>
      <c r="K49" s="25">
        <f>IFERROR(IF(SUMIFS(tblDaily[Deaths],tblDaily[EntryDate],DATE(2026,2,2),tblDaily[WardCode],"FAE")=0,"",SUMIFS(tblDaily[Deaths],tblDaily[EntryDate],DATE(2026,2,2),tblDaily[WardCode],"FAE")),"")</f>
        <v/>
      </c>
      <c r="L49" s="25">
        <f>IFERROR(IF(SUMIFS(tblDaily[DeathsUnder24Hrs],tblDaily[EntryDate],DATE(2026,2,2),tblDaily[WardCode],"FAE")=0,"",SUMIFS(tblDaily[DeathsUnder24Hrs],tblDaily[EntryDate],DATE(2026,2,2),tblDaily[WardCode],"FAE")),"")</f>
        <v/>
      </c>
      <c r="M49" s="25">
        <f>IFERROR(IF(SUMIFS(tblDaily[TransfersIn],tblDaily[EntryDate],DATE(2026,2,2),tblDaily[WardCode],"FAE")=0,"",SUMIFS(tblDaily[TransfersIn],tblDaily[EntryDate],DATE(2026,2,2),tblDaily[WardCode],"FAE")),"")</f>
        <v/>
      </c>
      <c r="N49" s="25">
        <f>IFERROR(IF(SUMIFS(tblDaily[TransfersOut],tblDaily[EntryDate],DATE(2026,2,2),tblDaily[WardCode],"FAE")=0,"",SUMIFS(tblDaily[TransfersOut],tblDaily[EntryDate],DATE(2026,2,2),tblDaily[WardCode],"FAE")),"")</f>
        <v/>
      </c>
      <c r="O49" s="25">
        <f>IFERROR(IF(SUMIFS(tblDaily[Remaining],tblDaily[EntryDate],DATE(2026,2,2),tblDaily[WardCode],"FAE")=0,"",SUMIFS(tblDaily[Remaining],tblDaily[EntryDate],DATE(2026,2,2),tblDaily[WardCode],"FAE")),"")</f>
        <v/>
      </c>
      <c r="P49" s="26">
        <f>IF(AND(H49="", O49=""), "", N(H49) + N(O49))</f>
        <v/>
      </c>
    </row>
    <row r="50">
      <c r="A50" s="25" t="n">
        <v>3</v>
      </c>
      <c r="B50" s="25">
        <f>IFERROR(IF(SUMIFS(tblDaily[Admissions],tblDaily[EntryDate],DATE(2026,2,3),tblDaily[WardCode],"MAE")=0,"",SUMIFS(tblDaily[Admissions],tblDaily[EntryDate],DATE(2026,2,3),tblDaily[WardCode],"MAE")),"")</f>
        <v/>
      </c>
      <c r="C50" s="25">
        <f>IFERROR(IF(SUMIFS(tblDaily[Discharges],tblDaily[EntryDate],DATE(2026,2,3),tblDaily[WardCode],"MAE")=0,"",SUMIFS(tblDaily[Discharges],tblDaily[EntryDate],DATE(2026,2,3),tblDaily[WardCode],"MAE")),"")</f>
        <v/>
      </c>
      <c r="D50" s="25">
        <f>IFERROR(IF(SUMIFS(tblDaily[Deaths],tblDaily[EntryDate],DATE(2026,2,3),tblDaily[WardCode],"MAE")=0,"",SUMIFS(tblDaily[Deaths],tblDaily[EntryDate],DATE(2026,2,3),tblDaily[WardCode],"MAE")),"")</f>
        <v/>
      </c>
      <c r="E50" s="25">
        <f>IFERROR(IF(SUMIFS(tblDaily[DeathsUnder24Hrs],tblDaily[EntryDate],DATE(2026,2,3),tblDaily[WardCode],"MAE")=0,"",SUMIFS(tblDaily[DeathsUnder24Hrs],tblDaily[EntryDate],DATE(2026,2,3),tblDaily[WardCode],"MAE")),"")</f>
        <v/>
      </c>
      <c r="F50" s="25">
        <f>IFERROR(IF(SUMIFS(tblDaily[TransfersIn],tblDaily[EntryDate],DATE(2026,2,3),tblDaily[WardCode],"MAE")=0,"",SUMIFS(tblDaily[TransfersIn],tblDaily[EntryDate],DATE(2026,2,3),tblDaily[WardCode],"MAE")),"")</f>
        <v/>
      </c>
      <c r="G50" s="25">
        <f>IFERROR(IF(SUMIFS(tblDaily[TransfersOut],tblDaily[EntryDate],DATE(2026,2,3),tblDaily[WardCode],"MAE")=0,"",SUMIFS(tblDaily[TransfersOut],tblDaily[EntryDate],DATE(2026,2,3),tblDaily[WardCode],"MAE")),"")</f>
        <v/>
      </c>
      <c r="H50" s="25">
        <f>IFERROR(IF(SUMIFS(tblDaily[Remaining],tblDaily[EntryDate],DATE(2026,2,3),tblDaily[WardCode],"MAE")=0,"",SUMIFS(tblDaily[Remaining],tblDaily[EntryDate],DATE(2026,2,3),tblDaily[WardCode],"MAE")),"")</f>
        <v/>
      </c>
      <c r="I50" s="25">
        <f>IFERROR(IF(SUMIFS(tblDaily[Admissions],tblDaily[EntryDate],DATE(2026,2,3),tblDaily[WardCode],"FAE")=0,"",SUMIFS(tblDaily[Admissions],tblDaily[EntryDate],DATE(2026,2,3),tblDaily[WardCode],"FAE")),"")</f>
        <v/>
      </c>
      <c r="J50" s="25">
        <f>IFERROR(IF(SUMIFS(tblDaily[Discharges],tblDaily[EntryDate],DATE(2026,2,3),tblDaily[WardCode],"FAE")=0,"",SUMIFS(tblDaily[Discharges],tblDaily[EntryDate],DATE(2026,2,3),tblDaily[WardCode],"FAE")),"")</f>
        <v/>
      </c>
      <c r="K50" s="25">
        <f>IFERROR(IF(SUMIFS(tblDaily[Deaths],tblDaily[EntryDate],DATE(2026,2,3),tblDaily[WardCode],"FAE")=0,"",SUMIFS(tblDaily[Deaths],tblDaily[EntryDate],DATE(2026,2,3),tblDaily[WardCode],"FAE")),"")</f>
        <v/>
      </c>
      <c r="L50" s="25">
        <f>IFERROR(IF(SUMIFS(tblDaily[DeathsUnder24Hrs],tblDaily[EntryDate],DATE(2026,2,3),tblDaily[WardCode],"FAE")=0,"",SUMIFS(tblDaily[DeathsUnder24Hrs],tblDaily[EntryDate],DATE(2026,2,3),tblDaily[WardCode],"FAE")),"")</f>
        <v/>
      </c>
      <c r="M50" s="25">
        <f>IFERROR(IF(SUMIFS(tblDaily[TransfersIn],tblDaily[EntryDate],DATE(2026,2,3),tblDaily[WardCode],"FAE")=0,"",SUMIFS(tblDaily[TransfersIn],tblDaily[EntryDate],DATE(2026,2,3),tblDaily[WardCode],"FAE")),"")</f>
        <v/>
      </c>
      <c r="N50" s="25">
        <f>IFERROR(IF(SUMIFS(tblDaily[TransfersOut],tblDaily[EntryDate],DATE(2026,2,3),tblDaily[WardCode],"FAE")=0,"",SUMIFS(tblDaily[TransfersOut],tblDaily[EntryDate],DATE(2026,2,3),tblDaily[WardCode],"FAE")),"")</f>
        <v/>
      </c>
      <c r="O50" s="25">
        <f>IFERROR(IF(SUMIFS(tblDaily[Remaining],tblDaily[EntryDate],DATE(2026,2,3),tblDaily[WardCode],"FAE")=0,"",SUMIFS(tblDaily[Remaining],tblDaily[EntryDate],DATE(2026,2,3),tblDaily[WardCode],"FAE")),"")</f>
        <v/>
      </c>
      <c r="P50" s="26">
        <f>IF(AND(H50="", O50=""), "", N(H50) + N(O50))</f>
        <v/>
      </c>
    </row>
    <row r="51">
      <c r="A51" s="25" t="n">
        <v>4</v>
      </c>
      <c r="B51" s="25">
        <f>IFERROR(IF(SUMIFS(tblDaily[Admissions],tblDaily[EntryDate],DATE(2026,2,4),tblDaily[WardCode],"MAE")=0,"",SUMIFS(tblDaily[Admissions],tblDaily[EntryDate],DATE(2026,2,4),tblDaily[WardCode],"MAE")),"")</f>
        <v/>
      </c>
      <c r="C51" s="25">
        <f>IFERROR(IF(SUMIFS(tblDaily[Discharges],tblDaily[EntryDate],DATE(2026,2,4),tblDaily[WardCode],"MAE")=0,"",SUMIFS(tblDaily[Discharges],tblDaily[EntryDate],DATE(2026,2,4),tblDaily[WardCode],"MAE")),"")</f>
        <v/>
      </c>
      <c r="D51" s="25">
        <f>IFERROR(IF(SUMIFS(tblDaily[Deaths],tblDaily[EntryDate],DATE(2026,2,4),tblDaily[WardCode],"MAE")=0,"",SUMIFS(tblDaily[Deaths],tblDaily[EntryDate],DATE(2026,2,4),tblDaily[WardCode],"MAE")),"")</f>
        <v/>
      </c>
      <c r="E51" s="25">
        <f>IFERROR(IF(SUMIFS(tblDaily[DeathsUnder24Hrs],tblDaily[EntryDate],DATE(2026,2,4),tblDaily[WardCode],"MAE")=0,"",SUMIFS(tblDaily[DeathsUnder24Hrs],tblDaily[EntryDate],DATE(2026,2,4),tblDaily[WardCode],"MAE")),"")</f>
        <v/>
      </c>
      <c r="F51" s="25">
        <f>IFERROR(IF(SUMIFS(tblDaily[TransfersIn],tblDaily[EntryDate],DATE(2026,2,4),tblDaily[WardCode],"MAE")=0,"",SUMIFS(tblDaily[TransfersIn],tblDaily[EntryDate],DATE(2026,2,4),tblDaily[WardCode],"MAE")),"")</f>
        <v/>
      </c>
      <c r="G51" s="25">
        <f>IFERROR(IF(SUMIFS(tblDaily[TransfersOut],tblDaily[EntryDate],DATE(2026,2,4),tblDaily[WardCode],"MAE")=0,"",SUMIFS(tblDaily[TransfersOut],tblDaily[EntryDate],DATE(2026,2,4),tblDaily[WardCode],"MAE")),"")</f>
        <v/>
      </c>
      <c r="H51" s="25">
        <f>IFERROR(IF(SUMIFS(tblDaily[Remaining],tblDaily[EntryDate],DATE(2026,2,4),tblDaily[WardCode],"MAE")=0,"",SUMIFS(tblDaily[Remaining],tblDaily[EntryDate],DATE(2026,2,4),tblDaily[WardCode],"MAE")),"")</f>
        <v/>
      </c>
      <c r="I51" s="25">
        <f>IFERROR(IF(SUMIFS(tblDaily[Admissions],tblDaily[EntryDate],DATE(2026,2,4),tblDaily[WardCode],"FAE")=0,"",SUMIFS(tblDaily[Admissions],tblDaily[EntryDate],DATE(2026,2,4),tblDaily[WardCode],"FAE")),"")</f>
        <v/>
      </c>
      <c r="J51" s="25">
        <f>IFERROR(IF(SUMIFS(tblDaily[Discharges],tblDaily[EntryDate],DATE(2026,2,4),tblDaily[WardCode],"FAE")=0,"",SUMIFS(tblDaily[Discharges],tblDaily[EntryDate],DATE(2026,2,4),tblDaily[WardCode],"FAE")),"")</f>
        <v/>
      </c>
      <c r="K51" s="25">
        <f>IFERROR(IF(SUMIFS(tblDaily[Deaths],tblDaily[EntryDate],DATE(2026,2,4),tblDaily[WardCode],"FAE")=0,"",SUMIFS(tblDaily[Deaths],tblDaily[EntryDate],DATE(2026,2,4),tblDaily[WardCode],"FAE")),"")</f>
        <v/>
      </c>
      <c r="L51" s="25">
        <f>IFERROR(IF(SUMIFS(tblDaily[DeathsUnder24Hrs],tblDaily[EntryDate],DATE(2026,2,4),tblDaily[WardCode],"FAE")=0,"",SUMIFS(tblDaily[DeathsUnder24Hrs],tblDaily[EntryDate],DATE(2026,2,4),tblDaily[WardCode],"FAE")),"")</f>
        <v/>
      </c>
      <c r="M51" s="25">
        <f>IFERROR(IF(SUMIFS(tblDaily[TransfersIn],tblDaily[EntryDate],DATE(2026,2,4),tblDaily[WardCode],"FAE")=0,"",SUMIFS(tblDaily[TransfersIn],tblDaily[EntryDate],DATE(2026,2,4),tblDaily[WardCode],"FAE")),"")</f>
        <v/>
      </c>
      <c r="N51" s="25">
        <f>IFERROR(IF(SUMIFS(tblDaily[TransfersOut],tblDaily[EntryDate],DATE(2026,2,4),tblDaily[WardCode],"FAE")=0,"",SUMIFS(tblDaily[TransfersOut],tblDaily[EntryDate],DATE(2026,2,4),tblDaily[WardCode],"FAE")),"")</f>
        <v/>
      </c>
      <c r="O51" s="25">
        <f>IFERROR(IF(SUMIFS(tblDaily[Remaining],tblDaily[EntryDate],DATE(2026,2,4),tblDaily[WardCode],"FAE")=0,"",SUMIFS(tblDaily[Remaining],tblDaily[EntryDate],DATE(2026,2,4),tblDaily[WardCode],"FAE")),"")</f>
        <v/>
      </c>
      <c r="P51" s="26">
        <f>IF(AND(H51="", O51=""), "", N(H51) + N(O51))</f>
        <v/>
      </c>
    </row>
    <row r="52">
      <c r="A52" s="25" t="n">
        <v>5</v>
      </c>
      <c r="B52" s="25">
        <f>IFERROR(IF(SUMIFS(tblDaily[Admissions],tblDaily[EntryDate],DATE(2026,2,5),tblDaily[WardCode],"MAE")=0,"",SUMIFS(tblDaily[Admissions],tblDaily[EntryDate],DATE(2026,2,5),tblDaily[WardCode],"MAE")),"")</f>
        <v/>
      </c>
      <c r="C52" s="25">
        <f>IFERROR(IF(SUMIFS(tblDaily[Discharges],tblDaily[EntryDate],DATE(2026,2,5),tblDaily[WardCode],"MAE")=0,"",SUMIFS(tblDaily[Discharges],tblDaily[EntryDate],DATE(2026,2,5),tblDaily[WardCode],"MAE")),"")</f>
        <v/>
      </c>
      <c r="D52" s="25">
        <f>IFERROR(IF(SUMIFS(tblDaily[Deaths],tblDaily[EntryDate],DATE(2026,2,5),tblDaily[WardCode],"MAE")=0,"",SUMIFS(tblDaily[Deaths],tblDaily[EntryDate],DATE(2026,2,5),tblDaily[WardCode],"MAE")),"")</f>
        <v/>
      </c>
      <c r="E52" s="25">
        <f>IFERROR(IF(SUMIFS(tblDaily[DeathsUnder24Hrs],tblDaily[EntryDate],DATE(2026,2,5),tblDaily[WardCode],"MAE")=0,"",SUMIFS(tblDaily[DeathsUnder24Hrs],tblDaily[EntryDate],DATE(2026,2,5),tblDaily[WardCode],"MAE")),"")</f>
        <v/>
      </c>
      <c r="F52" s="25">
        <f>IFERROR(IF(SUMIFS(tblDaily[TransfersIn],tblDaily[EntryDate],DATE(2026,2,5),tblDaily[WardCode],"MAE")=0,"",SUMIFS(tblDaily[TransfersIn],tblDaily[EntryDate],DATE(2026,2,5),tblDaily[WardCode],"MAE")),"")</f>
        <v/>
      </c>
      <c r="G52" s="25">
        <f>IFERROR(IF(SUMIFS(tblDaily[TransfersOut],tblDaily[EntryDate],DATE(2026,2,5),tblDaily[WardCode],"MAE")=0,"",SUMIFS(tblDaily[TransfersOut],tblDaily[EntryDate],DATE(2026,2,5),tblDaily[WardCode],"MAE")),"")</f>
        <v/>
      </c>
      <c r="H52" s="25">
        <f>IFERROR(IF(SUMIFS(tblDaily[Remaining],tblDaily[EntryDate],DATE(2026,2,5),tblDaily[WardCode],"MAE")=0,"",SUMIFS(tblDaily[Remaining],tblDaily[EntryDate],DATE(2026,2,5),tblDaily[WardCode],"MAE")),"")</f>
        <v/>
      </c>
      <c r="I52" s="25">
        <f>IFERROR(IF(SUMIFS(tblDaily[Admissions],tblDaily[EntryDate],DATE(2026,2,5),tblDaily[WardCode],"FAE")=0,"",SUMIFS(tblDaily[Admissions],tblDaily[EntryDate],DATE(2026,2,5),tblDaily[WardCode],"FAE")),"")</f>
        <v/>
      </c>
      <c r="J52" s="25">
        <f>IFERROR(IF(SUMIFS(tblDaily[Discharges],tblDaily[EntryDate],DATE(2026,2,5),tblDaily[WardCode],"FAE")=0,"",SUMIFS(tblDaily[Discharges],tblDaily[EntryDate],DATE(2026,2,5),tblDaily[WardCode],"FAE")),"")</f>
        <v/>
      </c>
      <c r="K52" s="25">
        <f>IFERROR(IF(SUMIFS(tblDaily[Deaths],tblDaily[EntryDate],DATE(2026,2,5),tblDaily[WardCode],"FAE")=0,"",SUMIFS(tblDaily[Deaths],tblDaily[EntryDate],DATE(2026,2,5),tblDaily[WardCode],"FAE")),"")</f>
        <v/>
      </c>
      <c r="L52" s="25">
        <f>IFERROR(IF(SUMIFS(tblDaily[DeathsUnder24Hrs],tblDaily[EntryDate],DATE(2026,2,5),tblDaily[WardCode],"FAE")=0,"",SUMIFS(tblDaily[DeathsUnder24Hrs],tblDaily[EntryDate],DATE(2026,2,5),tblDaily[WardCode],"FAE")),"")</f>
        <v/>
      </c>
      <c r="M52" s="25">
        <f>IFERROR(IF(SUMIFS(tblDaily[TransfersIn],tblDaily[EntryDate],DATE(2026,2,5),tblDaily[WardCode],"FAE")=0,"",SUMIFS(tblDaily[TransfersIn],tblDaily[EntryDate],DATE(2026,2,5),tblDaily[WardCode],"FAE")),"")</f>
        <v/>
      </c>
      <c r="N52" s="25">
        <f>IFERROR(IF(SUMIFS(tblDaily[TransfersOut],tblDaily[EntryDate],DATE(2026,2,5),tblDaily[WardCode],"FAE")=0,"",SUMIFS(tblDaily[TransfersOut],tblDaily[EntryDate],DATE(2026,2,5),tblDaily[WardCode],"FAE")),"")</f>
        <v/>
      </c>
      <c r="O52" s="25">
        <f>IFERROR(IF(SUMIFS(tblDaily[Remaining],tblDaily[EntryDate],DATE(2026,2,5),tblDaily[WardCode],"FAE")=0,"",SUMIFS(tblDaily[Remaining],tblDaily[EntryDate],DATE(2026,2,5),tblDaily[WardCode],"FAE")),"")</f>
        <v/>
      </c>
      <c r="P52" s="26">
        <f>IF(AND(H52="", O52=""), "", N(H52) + N(O52))</f>
        <v/>
      </c>
    </row>
    <row r="53">
      <c r="A53" s="25" t="n">
        <v>6</v>
      </c>
      <c r="B53" s="25">
        <f>IFERROR(IF(SUMIFS(tblDaily[Admissions],tblDaily[EntryDate],DATE(2026,2,6),tblDaily[WardCode],"MAE")=0,"",SUMIFS(tblDaily[Admissions],tblDaily[EntryDate],DATE(2026,2,6),tblDaily[WardCode],"MAE")),"")</f>
        <v/>
      </c>
      <c r="C53" s="25">
        <f>IFERROR(IF(SUMIFS(tblDaily[Discharges],tblDaily[EntryDate],DATE(2026,2,6),tblDaily[WardCode],"MAE")=0,"",SUMIFS(tblDaily[Discharges],tblDaily[EntryDate],DATE(2026,2,6),tblDaily[WardCode],"MAE")),"")</f>
        <v/>
      </c>
      <c r="D53" s="25">
        <f>IFERROR(IF(SUMIFS(tblDaily[Deaths],tblDaily[EntryDate],DATE(2026,2,6),tblDaily[WardCode],"MAE")=0,"",SUMIFS(tblDaily[Deaths],tblDaily[EntryDate],DATE(2026,2,6),tblDaily[WardCode],"MAE")),"")</f>
        <v/>
      </c>
      <c r="E53" s="25">
        <f>IFERROR(IF(SUMIFS(tblDaily[DeathsUnder24Hrs],tblDaily[EntryDate],DATE(2026,2,6),tblDaily[WardCode],"MAE")=0,"",SUMIFS(tblDaily[DeathsUnder24Hrs],tblDaily[EntryDate],DATE(2026,2,6),tblDaily[WardCode],"MAE")),"")</f>
        <v/>
      </c>
      <c r="F53" s="25">
        <f>IFERROR(IF(SUMIFS(tblDaily[TransfersIn],tblDaily[EntryDate],DATE(2026,2,6),tblDaily[WardCode],"MAE")=0,"",SUMIFS(tblDaily[TransfersIn],tblDaily[EntryDate],DATE(2026,2,6),tblDaily[WardCode],"MAE")),"")</f>
        <v/>
      </c>
      <c r="G53" s="25">
        <f>IFERROR(IF(SUMIFS(tblDaily[TransfersOut],tblDaily[EntryDate],DATE(2026,2,6),tblDaily[WardCode],"MAE")=0,"",SUMIFS(tblDaily[TransfersOut],tblDaily[EntryDate],DATE(2026,2,6),tblDaily[WardCode],"MAE")),"")</f>
        <v/>
      </c>
      <c r="H53" s="25">
        <f>IFERROR(IF(SUMIFS(tblDaily[Remaining],tblDaily[EntryDate],DATE(2026,2,6),tblDaily[WardCode],"MAE")=0,"",SUMIFS(tblDaily[Remaining],tblDaily[EntryDate],DATE(2026,2,6),tblDaily[WardCode],"MAE")),"")</f>
        <v/>
      </c>
      <c r="I53" s="25">
        <f>IFERROR(IF(SUMIFS(tblDaily[Admissions],tblDaily[EntryDate],DATE(2026,2,6),tblDaily[WardCode],"FAE")=0,"",SUMIFS(tblDaily[Admissions],tblDaily[EntryDate],DATE(2026,2,6),tblDaily[WardCode],"FAE")),"")</f>
        <v/>
      </c>
      <c r="J53" s="25">
        <f>IFERROR(IF(SUMIFS(tblDaily[Discharges],tblDaily[EntryDate],DATE(2026,2,6),tblDaily[WardCode],"FAE")=0,"",SUMIFS(tblDaily[Discharges],tblDaily[EntryDate],DATE(2026,2,6),tblDaily[WardCode],"FAE")),"")</f>
        <v/>
      </c>
      <c r="K53" s="25">
        <f>IFERROR(IF(SUMIFS(tblDaily[Deaths],tblDaily[EntryDate],DATE(2026,2,6),tblDaily[WardCode],"FAE")=0,"",SUMIFS(tblDaily[Deaths],tblDaily[EntryDate],DATE(2026,2,6),tblDaily[WardCode],"FAE")),"")</f>
        <v/>
      </c>
      <c r="L53" s="25">
        <f>IFERROR(IF(SUMIFS(tblDaily[DeathsUnder24Hrs],tblDaily[EntryDate],DATE(2026,2,6),tblDaily[WardCode],"FAE")=0,"",SUMIFS(tblDaily[DeathsUnder24Hrs],tblDaily[EntryDate],DATE(2026,2,6),tblDaily[WardCode],"FAE")),"")</f>
        <v/>
      </c>
      <c r="M53" s="25">
        <f>IFERROR(IF(SUMIFS(tblDaily[TransfersIn],tblDaily[EntryDate],DATE(2026,2,6),tblDaily[WardCode],"FAE")=0,"",SUMIFS(tblDaily[TransfersIn],tblDaily[EntryDate],DATE(2026,2,6),tblDaily[WardCode],"FAE")),"")</f>
        <v/>
      </c>
      <c r="N53" s="25">
        <f>IFERROR(IF(SUMIFS(tblDaily[TransfersOut],tblDaily[EntryDate],DATE(2026,2,6),tblDaily[WardCode],"FAE")=0,"",SUMIFS(tblDaily[TransfersOut],tblDaily[EntryDate],DATE(2026,2,6),tblDaily[WardCode],"FAE")),"")</f>
        <v/>
      </c>
      <c r="O53" s="25">
        <f>IFERROR(IF(SUMIFS(tblDaily[Remaining],tblDaily[EntryDate],DATE(2026,2,6),tblDaily[WardCode],"FAE")=0,"",SUMIFS(tblDaily[Remaining],tblDaily[EntryDate],DATE(2026,2,6),tblDaily[WardCode],"FAE")),"")</f>
        <v/>
      </c>
      <c r="P53" s="26">
        <f>IF(AND(H53="", O53=""), "", N(H53) + N(O53))</f>
        <v/>
      </c>
    </row>
    <row r="54">
      <c r="A54" s="25" t="n">
        <v>7</v>
      </c>
      <c r="B54" s="25">
        <f>IFERROR(IF(SUMIFS(tblDaily[Admissions],tblDaily[EntryDate],DATE(2026,2,7),tblDaily[WardCode],"MAE")=0,"",SUMIFS(tblDaily[Admissions],tblDaily[EntryDate],DATE(2026,2,7),tblDaily[WardCode],"MAE")),"")</f>
        <v/>
      </c>
      <c r="C54" s="25">
        <f>IFERROR(IF(SUMIFS(tblDaily[Discharges],tblDaily[EntryDate],DATE(2026,2,7),tblDaily[WardCode],"MAE")=0,"",SUMIFS(tblDaily[Discharges],tblDaily[EntryDate],DATE(2026,2,7),tblDaily[WardCode],"MAE")),"")</f>
        <v/>
      </c>
      <c r="D54" s="25">
        <f>IFERROR(IF(SUMIFS(tblDaily[Deaths],tblDaily[EntryDate],DATE(2026,2,7),tblDaily[WardCode],"MAE")=0,"",SUMIFS(tblDaily[Deaths],tblDaily[EntryDate],DATE(2026,2,7),tblDaily[WardCode],"MAE")),"")</f>
        <v/>
      </c>
      <c r="E54" s="25">
        <f>IFERROR(IF(SUMIFS(tblDaily[DeathsUnder24Hrs],tblDaily[EntryDate],DATE(2026,2,7),tblDaily[WardCode],"MAE")=0,"",SUMIFS(tblDaily[DeathsUnder24Hrs],tblDaily[EntryDate],DATE(2026,2,7),tblDaily[WardCode],"MAE")),"")</f>
        <v/>
      </c>
      <c r="F54" s="25">
        <f>IFERROR(IF(SUMIFS(tblDaily[TransfersIn],tblDaily[EntryDate],DATE(2026,2,7),tblDaily[WardCode],"MAE")=0,"",SUMIFS(tblDaily[TransfersIn],tblDaily[EntryDate],DATE(2026,2,7),tblDaily[WardCode],"MAE")),"")</f>
        <v/>
      </c>
      <c r="G54" s="25">
        <f>IFERROR(IF(SUMIFS(tblDaily[TransfersOut],tblDaily[EntryDate],DATE(2026,2,7),tblDaily[WardCode],"MAE")=0,"",SUMIFS(tblDaily[TransfersOut],tblDaily[EntryDate],DATE(2026,2,7),tblDaily[WardCode],"MAE")),"")</f>
        <v/>
      </c>
      <c r="H54" s="25">
        <f>IFERROR(IF(SUMIFS(tblDaily[Remaining],tblDaily[EntryDate],DATE(2026,2,7),tblDaily[WardCode],"MAE")=0,"",SUMIFS(tblDaily[Remaining],tblDaily[EntryDate],DATE(2026,2,7),tblDaily[WardCode],"MAE")),"")</f>
        <v/>
      </c>
      <c r="I54" s="25">
        <f>IFERROR(IF(SUMIFS(tblDaily[Admissions],tblDaily[EntryDate],DATE(2026,2,7),tblDaily[WardCode],"FAE")=0,"",SUMIFS(tblDaily[Admissions],tblDaily[EntryDate],DATE(2026,2,7),tblDaily[WardCode],"FAE")),"")</f>
        <v/>
      </c>
      <c r="J54" s="25">
        <f>IFERROR(IF(SUMIFS(tblDaily[Discharges],tblDaily[EntryDate],DATE(2026,2,7),tblDaily[WardCode],"FAE")=0,"",SUMIFS(tblDaily[Discharges],tblDaily[EntryDate],DATE(2026,2,7),tblDaily[WardCode],"FAE")),"")</f>
        <v/>
      </c>
      <c r="K54" s="25">
        <f>IFERROR(IF(SUMIFS(tblDaily[Deaths],tblDaily[EntryDate],DATE(2026,2,7),tblDaily[WardCode],"FAE")=0,"",SUMIFS(tblDaily[Deaths],tblDaily[EntryDate],DATE(2026,2,7),tblDaily[WardCode],"FAE")),"")</f>
        <v/>
      </c>
      <c r="L54" s="25">
        <f>IFERROR(IF(SUMIFS(tblDaily[DeathsUnder24Hrs],tblDaily[EntryDate],DATE(2026,2,7),tblDaily[WardCode],"FAE")=0,"",SUMIFS(tblDaily[DeathsUnder24Hrs],tblDaily[EntryDate],DATE(2026,2,7),tblDaily[WardCode],"FAE")),"")</f>
        <v/>
      </c>
      <c r="M54" s="25">
        <f>IFERROR(IF(SUMIFS(tblDaily[TransfersIn],tblDaily[EntryDate],DATE(2026,2,7),tblDaily[WardCode],"FAE")=0,"",SUMIFS(tblDaily[TransfersIn],tblDaily[EntryDate],DATE(2026,2,7),tblDaily[WardCode],"FAE")),"")</f>
        <v/>
      </c>
      <c r="N54" s="25">
        <f>IFERROR(IF(SUMIFS(tblDaily[TransfersOut],tblDaily[EntryDate],DATE(2026,2,7),tblDaily[WardCode],"FAE")=0,"",SUMIFS(tblDaily[TransfersOut],tblDaily[EntryDate],DATE(2026,2,7),tblDaily[WardCode],"FAE")),"")</f>
        <v/>
      </c>
      <c r="O54" s="25">
        <f>IFERROR(IF(SUMIFS(tblDaily[Remaining],tblDaily[EntryDate],DATE(2026,2,7),tblDaily[WardCode],"FAE")=0,"",SUMIFS(tblDaily[Remaining],tblDaily[EntryDate],DATE(2026,2,7),tblDaily[WardCode],"FAE")),"")</f>
        <v/>
      </c>
      <c r="P54" s="26">
        <f>IF(AND(H54="", O54=""), "", N(H54) + N(O54))</f>
        <v/>
      </c>
    </row>
    <row r="55">
      <c r="A55" s="25" t="n">
        <v>8</v>
      </c>
      <c r="B55" s="25">
        <f>IFERROR(IF(SUMIFS(tblDaily[Admissions],tblDaily[EntryDate],DATE(2026,2,8),tblDaily[WardCode],"MAE")=0,"",SUMIFS(tblDaily[Admissions],tblDaily[EntryDate],DATE(2026,2,8),tblDaily[WardCode],"MAE")),"")</f>
        <v/>
      </c>
      <c r="C55" s="25">
        <f>IFERROR(IF(SUMIFS(tblDaily[Discharges],tblDaily[EntryDate],DATE(2026,2,8),tblDaily[WardCode],"MAE")=0,"",SUMIFS(tblDaily[Discharges],tblDaily[EntryDate],DATE(2026,2,8),tblDaily[WardCode],"MAE")),"")</f>
        <v/>
      </c>
      <c r="D55" s="25">
        <f>IFERROR(IF(SUMIFS(tblDaily[Deaths],tblDaily[EntryDate],DATE(2026,2,8),tblDaily[WardCode],"MAE")=0,"",SUMIFS(tblDaily[Deaths],tblDaily[EntryDate],DATE(2026,2,8),tblDaily[WardCode],"MAE")),"")</f>
        <v/>
      </c>
      <c r="E55" s="25">
        <f>IFERROR(IF(SUMIFS(tblDaily[DeathsUnder24Hrs],tblDaily[EntryDate],DATE(2026,2,8),tblDaily[WardCode],"MAE")=0,"",SUMIFS(tblDaily[DeathsUnder24Hrs],tblDaily[EntryDate],DATE(2026,2,8),tblDaily[WardCode],"MAE")),"")</f>
        <v/>
      </c>
      <c r="F55" s="25">
        <f>IFERROR(IF(SUMIFS(tblDaily[TransfersIn],tblDaily[EntryDate],DATE(2026,2,8),tblDaily[WardCode],"MAE")=0,"",SUMIFS(tblDaily[TransfersIn],tblDaily[EntryDate],DATE(2026,2,8),tblDaily[WardCode],"MAE")),"")</f>
        <v/>
      </c>
      <c r="G55" s="25">
        <f>IFERROR(IF(SUMIFS(tblDaily[TransfersOut],tblDaily[EntryDate],DATE(2026,2,8),tblDaily[WardCode],"MAE")=0,"",SUMIFS(tblDaily[TransfersOut],tblDaily[EntryDate],DATE(2026,2,8),tblDaily[WardCode],"MAE")),"")</f>
        <v/>
      </c>
      <c r="H55" s="25">
        <f>IFERROR(IF(SUMIFS(tblDaily[Remaining],tblDaily[EntryDate],DATE(2026,2,8),tblDaily[WardCode],"MAE")=0,"",SUMIFS(tblDaily[Remaining],tblDaily[EntryDate],DATE(2026,2,8),tblDaily[WardCode],"MAE")),"")</f>
        <v/>
      </c>
      <c r="I55" s="25">
        <f>IFERROR(IF(SUMIFS(tblDaily[Admissions],tblDaily[EntryDate],DATE(2026,2,8),tblDaily[WardCode],"FAE")=0,"",SUMIFS(tblDaily[Admissions],tblDaily[EntryDate],DATE(2026,2,8),tblDaily[WardCode],"FAE")),"")</f>
        <v/>
      </c>
      <c r="J55" s="25">
        <f>IFERROR(IF(SUMIFS(tblDaily[Discharges],tblDaily[EntryDate],DATE(2026,2,8),tblDaily[WardCode],"FAE")=0,"",SUMIFS(tblDaily[Discharges],tblDaily[EntryDate],DATE(2026,2,8),tblDaily[WardCode],"FAE")),"")</f>
        <v/>
      </c>
      <c r="K55" s="25">
        <f>IFERROR(IF(SUMIFS(tblDaily[Deaths],tblDaily[EntryDate],DATE(2026,2,8),tblDaily[WardCode],"FAE")=0,"",SUMIFS(tblDaily[Deaths],tblDaily[EntryDate],DATE(2026,2,8),tblDaily[WardCode],"FAE")),"")</f>
        <v/>
      </c>
      <c r="L55" s="25">
        <f>IFERROR(IF(SUMIFS(tblDaily[DeathsUnder24Hrs],tblDaily[EntryDate],DATE(2026,2,8),tblDaily[WardCode],"FAE")=0,"",SUMIFS(tblDaily[DeathsUnder24Hrs],tblDaily[EntryDate],DATE(2026,2,8),tblDaily[WardCode],"FAE")),"")</f>
        <v/>
      </c>
      <c r="M55" s="25">
        <f>IFERROR(IF(SUMIFS(tblDaily[TransfersIn],tblDaily[EntryDate],DATE(2026,2,8),tblDaily[WardCode],"FAE")=0,"",SUMIFS(tblDaily[TransfersIn],tblDaily[EntryDate],DATE(2026,2,8),tblDaily[WardCode],"FAE")),"")</f>
        <v/>
      </c>
      <c r="N55" s="25">
        <f>IFERROR(IF(SUMIFS(tblDaily[TransfersOut],tblDaily[EntryDate],DATE(2026,2,8),tblDaily[WardCode],"FAE")=0,"",SUMIFS(tblDaily[TransfersOut],tblDaily[EntryDate],DATE(2026,2,8),tblDaily[WardCode],"FAE")),"")</f>
        <v/>
      </c>
      <c r="O55" s="25">
        <f>IFERROR(IF(SUMIFS(tblDaily[Remaining],tblDaily[EntryDate],DATE(2026,2,8),tblDaily[WardCode],"FAE")=0,"",SUMIFS(tblDaily[Remaining],tblDaily[EntryDate],DATE(2026,2,8),tblDaily[WardCode],"FAE")),"")</f>
        <v/>
      </c>
      <c r="P55" s="26">
        <f>IF(AND(H55="", O55=""), "", N(H55) + N(O55))</f>
        <v/>
      </c>
    </row>
    <row r="56">
      <c r="A56" s="25" t="n">
        <v>9</v>
      </c>
      <c r="B56" s="25">
        <f>IFERROR(IF(SUMIFS(tblDaily[Admissions],tblDaily[EntryDate],DATE(2026,2,9),tblDaily[WardCode],"MAE")=0,"",SUMIFS(tblDaily[Admissions],tblDaily[EntryDate],DATE(2026,2,9),tblDaily[WardCode],"MAE")),"")</f>
        <v/>
      </c>
      <c r="C56" s="25">
        <f>IFERROR(IF(SUMIFS(tblDaily[Discharges],tblDaily[EntryDate],DATE(2026,2,9),tblDaily[WardCode],"MAE")=0,"",SUMIFS(tblDaily[Discharges],tblDaily[EntryDate],DATE(2026,2,9),tblDaily[WardCode],"MAE")),"")</f>
        <v/>
      </c>
      <c r="D56" s="25">
        <f>IFERROR(IF(SUMIFS(tblDaily[Deaths],tblDaily[EntryDate],DATE(2026,2,9),tblDaily[WardCode],"MAE")=0,"",SUMIFS(tblDaily[Deaths],tblDaily[EntryDate],DATE(2026,2,9),tblDaily[WardCode],"MAE")),"")</f>
        <v/>
      </c>
      <c r="E56" s="25">
        <f>IFERROR(IF(SUMIFS(tblDaily[DeathsUnder24Hrs],tblDaily[EntryDate],DATE(2026,2,9),tblDaily[WardCode],"MAE")=0,"",SUMIFS(tblDaily[DeathsUnder24Hrs],tblDaily[EntryDate],DATE(2026,2,9),tblDaily[WardCode],"MAE")),"")</f>
        <v/>
      </c>
      <c r="F56" s="25">
        <f>IFERROR(IF(SUMIFS(tblDaily[TransfersIn],tblDaily[EntryDate],DATE(2026,2,9),tblDaily[WardCode],"MAE")=0,"",SUMIFS(tblDaily[TransfersIn],tblDaily[EntryDate],DATE(2026,2,9),tblDaily[WardCode],"MAE")),"")</f>
        <v/>
      </c>
      <c r="G56" s="25">
        <f>IFERROR(IF(SUMIFS(tblDaily[TransfersOut],tblDaily[EntryDate],DATE(2026,2,9),tblDaily[WardCode],"MAE")=0,"",SUMIFS(tblDaily[TransfersOut],tblDaily[EntryDate],DATE(2026,2,9),tblDaily[WardCode],"MAE")),"")</f>
        <v/>
      </c>
      <c r="H56" s="25">
        <f>IFERROR(IF(SUMIFS(tblDaily[Remaining],tblDaily[EntryDate],DATE(2026,2,9),tblDaily[WardCode],"MAE")=0,"",SUMIFS(tblDaily[Remaining],tblDaily[EntryDate],DATE(2026,2,9),tblDaily[WardCode],"MAE")),"")</f>
        <v/>
      </c>
      <c r="I56" s="25">
        <f>IFERROR(IF(SUMIFS(tblDaily[Admissions],tblDaily[EntryDate],DATE(2026,2,9),tblDaily[WardCode],"FAE")=0,"",SUMIFS(tblDaily[Admissions],tblDaily[EntryDate],DATE(2026,2,9),tblDaily[WardCode],"FAE")),"")</f>
        <v/>
      </c>
      <c r="J56" s="25">
        <f>IFERROR(IF(SUMIFS(tblDaily[Discharges],tblDaily[EntryDate],DATE(2026,2,9),tblDaily[WardCode],"FAE")=0,"",SUMIFS(tblDaily[Discharges],tblDaily[EntryDate],DATE(2026,2,9),tblDaily[WardCode],"FAE")),"")</f>
        <v/>
      </c>
      <c r="K56" s="25">
        <f>IFERROR(IF(SUMIFS(tblDaily[Deaths],tblDaily[EntryDate],DATE(2026,2,9),tblDaily[WardCode],"FAE")=0,"",SUMIFS(tblDaily[Deaths],tblDaily[EntryDate],DATE(2026,2,9),tblDaily[WardCode],"FAE")),"")</f>
        <v/>
      </c>
      <c r="L56" s="25">
        <f>IFERROR(IF(SUMIFS(tblDaily[DeathsUnder24Hrs],tblDaily[EntryDate],DATE(2026,2,9),tblDaily[WardCode],"FAE")=0,"",SUMIFS(tblDaily[DeathsUnder24Hrs],tblDaily[EntryDate],DATE(2026,2,9),tblDaily[WardCode],"FAE")),"")</f>
        <v/>
      </c>
      <c r="M56" s="25">
        <f>IFERROR(IF(SUMIFS(tblDaily[TransfersIn],tblDaily[EntryDate],DATE(2026,2,9),tblDaily[WardCode],"FAE")=0,"",SUMIFS(tblDaily[TransfersIn],tblDaily[EntryDate],DATE(2026,2,9),tblDaily[WardCode],"FAE")),"")</f>
        <v/>
      </c>
      <c r="N56" s="25">
        <f>IFERROR(IF(SUMIFS(tblDaily[TransfersOut],tblDaily[EntryDate],DATE(2026,2,9),tblDaily[WardCode],"FAE")=0,"",SUMIFS(tblDaily[TransfersOut],tblDaily[EntryDate],DATE(2026,2,9),tblDaily[WardCode],"FAE")),"")</f>
        <v/>
      </c>
      <c r="O56" s="25">
        <f>IFERROR(IF(SUMIFS(tblDaily[Remaining],tblDaily[EntryDate],DATE(2026,2,9),tblDaily[WardCode],"FAE")=0,"",SUMIFS(tblDaily[Remaining],tblDaily[EntryDate],DATE(2026,2,9),tblDaily[WardCode],"FAE")),"")</f>
        <v/>
      </c>
      <c r="P56" s="26">
        <f>IF(AND(H56="", O56=""), "", N(H56) + N(O56))</f>
        <v/>
      </c>
    </row>
    <row r="57">
      <c r="A57" s="25" t="n">
        <v>10</v>
      </c>
      <c r="B57" s="25">
        <f>IFERROR(IF(SUMIFS(tblDaily[Admissions],tblDaily[EntryDate],DATE(2026,2,10),tblDaily[WardCode],"MAE")=0,"",SUMIFS(tblDaily[Admissions],tblDaily[EntryDate],DATE(2026,2,10),tblDaily[WardCode],"MAE")),"")</f>
        <v/>
      </c>
      <c r="C57" s="25">
        <f>IFERROR(IF(SUMIFS(tblDaily[Discharges],tblDaily[EntryDate],DATE(2026,2,10),tblDaily[WardCode],"MAE")=0,"",SUMIFS(tblDaily[Discharges],tblDaily[EntryDate],DATE(2026,2,10),tblDaily[WardCode],"MAE")),"")</f>
        <v/>
      </c>
      <c r="D57" s="25">
        <f>IFERROR(IF(SUMIFS(tblDaily[Deaths],tblDaily[EntryDate],DATE(2026,2,10),tblDaily[WardCode],"MAE")=0,"",SUMIFS(tblDaily[Deaths],tblDaily[EntryDate],DATE(2026,2,10),tblDaily[WardCode],"MAE")),"")</f>
        <v/>
      </c>
      <c r="E57" s="25">
        <f>IFERROR(IF(SUMIFS(tblDaily[DeathsUnder24Hrs],tblDaily[EntryDate],DATE(2026,2,10),tblDaily[WardCode],"MAE")=0,"",SUMIFS(tblDaily[DeathsUnder24Hrs],tblDaily[EntryDate],DATE(2026,2,10),tblDaily[WardCode],"MAE")),"")</f>
        <v/>
      </c>
      <c r="F57" s="25">
        <f>IFERROR(IF(SUMIFS(tblDaily[TransfersIn],tblDaily[EntryDate],DATE(2026,2,10),tblDaily[WardCode],"MAE")=0,"",SUMIFS(tblDaily[TransfersIn],tblDaily[EntryDate],DATE(2026,2,10),tblDaily[WardCode],"MAE")),"")</f>
        <v/>
      </c>
      <c r="G57" s="25">
        <f>IFERROR(IF(SUMIFS(tblDaily[TransfersOut],tblDaily[EntryDate],DATE(2026,2,10),tblDaily[WardCode],"MAE")=0,"",SUMIFS(tblDaily[TransfersOut],tblDaily[EntryDate],DATE(2026,2,10),tblDaily[WardCode],"MAE")),"")</f>
        <v/>
      </c>
      <c r="H57" s="25">
        <f>IFERROR(IF(SUMIFS(tblDaily[Remaining],tblDaily[EntryDate],DATE(2026,2,10),tblDaily[WardCode],"MAE")=0,"",SUMIFS(tblDaily[Remaining],tblDaily[EntryDate],DATE(2026,2,10),tblDaily[WardCode],"MAE")),"")</f>
        <v/>
      </c>
      <c r="I57" s="25">
        <f>IFERROR(IF(SUMIFS(tblDaily[Admissions],tblDaily[EntryDate],DATE(2026,2,10),tblDaily[WardCode],"FAE")=0,"",SUMIFS(tblDaily[Admissions],tblDaily[EntryDate],DATE(2026,2,10),tblDaily[WardCode],"FAE")),"")</f>
        <v/>
      </c>
      <c r="J57" s="25">
        <f>IFERROR(IF(SUMIFS(tblDaily[Discharges],tblDaily[EntryDate],DATE(2026,2,10),tblDaily[WardCode],"FAE")=0,"",SUMIFS(tblDaily[Discharges],tblDaily[EntryDate],DATE(2026,2,10),tblDaily[WardCode],"FAE")),"")</f>
        <v/>
      </c>
      <c r="K57" s="25">
        <f>IFERROR(IF(SUMIFS(tblDaily[Deaths],tblDaily[EntryDate],DATE(2026,2,10),tblDaily[WardCode],"FAE")=0,"",SUMIFS(tblDaily[Deaths],tblDaily[EntryDate],DATE(2026,2,10),tblDaily[WardCode],"FAE")),"")</f>
        <v/>
      </c>
      <c r="L57" s="25">
        <f>IFERROR(IF(SUMIFS(tblDaily[DeathsUnder24Hrs],tblDaily[EntryDate],DATE(2026,2,10),tblDaily[WardCode],"FAE")=0,"",SUMIFS(tblDaily[DeathsUnder24Hrs],tblDaily[EntryDate],DATE(2026,2,10),tblDaily[WardCode],"FAE")),"")</f>
        <v/>
      </c>
      <c r="M57" s="25">
        <f>IFERROR(IF(SUMIFS(tblDaily[TransfersIn],tblDaily[EntryDate],DATE(2026,2,10),tblDaily[WardCode],"FAE")=0,"",SUMIFS(tblDaily[TransfersIn],tblDaily[EntryDate],DATE(2026,2,10),tblDaily[WardCode],"FAE")),"")</f>
        <v/>
      </c>
      <c r="N57" s="25">
        <f>IFERROR(IF(SUMIFS(tblDaily[TransfersOut],tblDaily[EntryDate],DATE(2026,2,10),tblDaily[WardCode],"FAE")=0,"",SUMIFS(tblDaily[TransfersOut],tblDaily[EntryDate],DATE(2026,2,10),tblDaily[WardCode],"FAE")),"")</f>
        <v/>
      </c>
      <c r="O57" s="25">
        <f>IFERROR(IF(SUMIFS(tblDaily[Remaining],tblDaily[EntryDate],DATE(2026,2,10),tblDaily[WardCode],"FAE")=0,"",SUMIFS(tblDaily[Remaining],tblDaily[EntryDate],DATE(2026,2,10),tblDaily[WardCode],"FAE")),"")</f>
        <v/>
      </c>
      <c r="P57" s="26">
        <f>IF(AND(H57="", O57=""), "", N(H57) + N(O57))</f>
        <v/>
      </c>
    </row>
    <row r="58">
      <c r="A58" s="25" t="n">
        <v>11</v>
      </c>
      <c r="B58" s="25">
        <f>IFERROR(IF(SUMIFS(tblDaily[Admissions],tblDaily[EntryDate],DATE(2026,2,11),tblDaily[WardCode],"MAE")=0,"",SUMIFS(tblDaily[Admissions],tblDaily[EntryDate],DATE(2026,2,11),tblDaily[WardCode],"MAE")),"")</f>
        <v/>
      </c>
      <c r="C58" s="25">
        <f>IFERROR(IF(SUMIFS(tblDaily[Discharges],tblDaily[EntryDate],DATE(2026,2,11),tblDaily[WardCode],"MAE")=0,"",SUMIFS(tblDaily[Discharges],tblDaily[EntryDate],DATE(2026,2,11),tblDaily[WardCode],"MAE")),"")</f>
        <v/>
      </c>
      <c r="D58" s="25">
        <f>IFERROR(IF(SUMIFS(tblDaily[Deaths],tblDaily[EntryDate],DATE(2026,2,11),tblDaily[WardCode],"MAE")=0,"",SUMIFS(tblDaily[Deaths],tblDaily[EntryDate],DATE(2026,2,11),tblDaily[WardCode],"MAE")),"")</f>
        <v/>
      </c>
      <c r="E58" s="25">
        <f>IFERROR(IF(SUMIFS(tblDaily[DeathsUnder24Hrs],tblDaily[EntryDate],DATE(2026,2,11),tblDaily[WardCode],"MAE")=0,"",SUMIFS(tblDaily[DeathsUnder24Hrs],tblDaily[EntryDate],DATE(2026,2,11),tblDaily[WardCode],"MAE")),"")</f>
        <v/>
      </c>
      <c r="F58" s="25">
        <f>IFERROR(IF(SUMIFS(tblDaily[TransfersIn],tblDaily[EntryDate],DATE(2026,2,11),tblDaily[WardCode],"MAE")=0,"",SUMIFS(tblDaily[TransfersIn],tblDaily[EntryDate],DATE(2026,2,11),tblDaily[WardCode],"MAE")),"")</f>
        <v/>
      </c>
      <c r="G58" s="25">
        <f>IFERROR(IF(SUMIFS(tblDaily[TransfersOut],tblDaily[EntryDate],DATE(2026,2,11),tblDaily[WardCode],"MAE")=0,"",SUMIFS(tblDaily[TransfersOut],tblDaily[EntryDate],DATE(2026,2,11),tblDaily[WardCode],"MAE")),"")</f>
        <v/>
      </c>
      <c r="H58" s="25">
        <f>IFERROR(IF(SUMIFS(tblDaily[Remaining],tblDaily[EntryDate],DATE(2026,2,11),tblDaily[WardCode],"MAE")=0,"",SUMIFS(tblDaily[Remaining],tblDaily[EntryDate],DATE(2026,2,11),tblDaily[WardCode],"MAE")),"")</f>
        <v/>
      </c>
      <c r="I58" s="25">
        <f>IFERROR(IF(SUMIFS(tblDaily[Admissions],tblDaily[EntryDate],DATE(2026,2,11),tblDaily[WardCode],"FAE")=0,"",SUMIFS(tblDaily[Admissions],tblDaily[EntryDate],DATE(2026,2,11),tblDaily[WardCode],"FAE")),"")</f>
        <v/>
      </c>
      <c r="J58" s="25">
        <f>IFERROR(IF(SUMIFS(tblDaily[Discharges],tblDaily[EntryDate],DATE(2026,2,11),tblDaily[WardCode],"FAE")=0,"",SUMIFS(tblDaily[Discharges],tblDaily[EntryDate],DATE(2026,2,11),tblDaily[WardCode],"FAE")),"")</f>
        <v/>
      </c>
      <c r="K58" s="25">
        <f>IFERROR(IF(SUMIFS(tblDaily[Deaths],tblDaily[EntryDate],DATE(2026,2,11),tblDaily[WardCode],"FAE")=0,"",SUMIFS(tblDaily[Deaths],tblDaily[EntryDate],DATE(2026,2,11),tblDaily[WardCode],"FAE")),"")</f>
        <v/>
      </c>
      <c r="L58" s="25">
        <f>IFERROR(IF(SUMIFS(tblDaily[DeathsUnder24Hrs],tblDaily[EntryDate],DATE(2026,2,11),tblDaily[WardCode],"FAE")=0,"",SUMIFS(tblDaily[DeathsUnder24Hrs],tblDaily[EntryDate],DATE(2026,2,11),tblDaily[WardCode],"FAE")),"")</f>
        <v/>
      </c>
      <c r="M58" s="25">
        <f>IFERROR(IF(SUMIFS(tblDaily[TransfersIn],tblDaily[EntryDate],DATE(2026,2,11),tblDaily[WardCode],"FAE")=0,"",SUMIFS(tblDaily[TransfersIn],tblDaily[EntryDate],DATE(2026,2,11),tblDaily[WardCode],"FAE")),"")</f>
        <v/>
      </c>
      <c r="N58" s="25">
        <f>IFERROR(IF(SUMIFS(tblDaily[TransfersOut],tblDaily[EntryDate],DATE(2026,2,11),tblDaily[WardCode],"FAE")=0,"",SUMIFS(tblDaily[TransfersOut],tblDaily[EntryDate],DATE(2026,2,11),tblDaily[WardCode],"FAE")),"")</f>
        <v/>
      </c>
      <c r="O58" s="25">
        <f>IFERROR(IF(SUMIFS(tblDaily[Remaining],tblDaily[EntryDate],DATE(2026,2,11),tblDaily[WardCode],"FAE")=0,"",SUMIFS(tblDaily[Remaining],tblDaily[EntryDate],DATE(2026,2,11),tblDaily[WardCode],"FAE")),"")</f>
        <v/>
      </c>
      <c r="P58" s="26">
        <f>IF(AND(H58="", O58=""), "", N(H58) + N(O58))</f>
        <v/>
      </c>
    </row>
    <row r="59">
      <c r="A59" s="25" t="n">
        <v>12</v>
      </c>
      <c r="B59" s="25">
        <f>IFERROR(IF(SUMIFS(tblDaily[Admissions],tblDaily[EntryDate],DATE(2026,2,12),tblDaily[WardCode],"MAE")=0,"",SUMIFS(tblDaily[Admissions],tblDaily[EntryDate],DATE(2026,2,12),tblDaily[WardCode],"MAE")),"")</f>
        <v/>
      </c>
      <c r="C59" s="25">
        <f>IFERROR(IF(SUMIFS(tblDaily[Discharges],tblDaily[EntryDate],DATE(2026,2,12),tblDaily[WardCode],"MAE")=0,"",SUMIFS(tblDaily[Discharges],tblDaily[EntryDate],DATE(2026,2,12),tblDaily[WardCode],"MAE")),"")</f>
        <v/>
      </c>
      <c r="D59" s="25">
        <f>IFERROR(IF(SUMIFS(tblDaily[Deaths],tblDaily[EntryDate],DATE(2026,2,12),tblDaily[WardCode],"MAE")=0,"",SUMIFS(tblDaily[Deaths],tblDaily[EntryDate],DATE(2026,2,12),tblDaily[WardCode],"MAE")),"")</f>
        <v/>
      </c>
      <c r="E59" s="25">
        <f>IFERROR(IF(SUMIFS(tblDaily[DeathsUnder24Hrs],tblDaily[EntryDate],DATE(2026,2,12),tblDaily[WardCode],"MAE")=0,"",SUMIFS(tblDaily[DeathsUnder24Hrs],tblDaily[EntryDate],DATE(2026,2,12),tblDaily[WardCode],"MAE")),"")</f>
        <v/>
      </c>
      <c r="F59" s="25">
        <f>IFERROR(IF(SUMIFS(tblDaily[TransfersIn],tblDaily[EntryDate],DATE(2026,2,12),tblDaily[WardCode],"MAE")=0,"",SUMIFS(tblDaily[TransfersIn],tblDaily[EntryDate],DATE(2026,2,12),tblDaily[WardCode],"MAE")),"")</f>
        <v/>
      </c>
      <c r="G59" s="25">
        <f>IFERROR(IF(SUMIFS(tblDaily[TransfersOut],tblDaily[EntryDate],DATE(2026,2,12),tblDaily[WardCode],"MAE")=0,"",SUMIFS(tblDaily[TransfersOut],tblDaily[EntryDate],DATE(2026,2,12),tblDaily[WardCode],"MAE")),"")</f>
        <v/>
      </c>
      <c r="H59" s="25">
        <f>IFERROR(IF(SUMIFS(tblDaily[Remaining],tblDaily[EntryDate],DATE(2026,2,12),tblDaily[WardCode],"MAE")=0,"",SUMIFS(tblDaily[Remaining],tblDaily[EntryDate],DATE(2026,2,12),tblDaily[WardCode],"MAE")),"")</f>
        <v/>
      </c>
      <c r="I59" s="25">
        <f>IFERROR(IF(SUMIFS(tblDaily[Admissions],tblDaily[EntryDate],DATE(2026,2,12),tblDaily[WardCode],"FAE")=0,"",SUMIFS(tblDaily[Admissions],tblDaily[EntryDate],DATE(2026,2,12),tblDaily[WardCode],"FAE")),"")</f>
        <v/>
      </c>
      <c r="J59" s="25">
        <f>IFERROR(IF(SUMIFS(tblDaily[Discharges],tblDaily[EntryDate],DATE(2026,2,12),tblDaily[WardCode],"FAE")=0,"",SUMIFS(tblDaily[Discharges],tblDaily[EntryDate],DATE(2026,2,12),tblDaily[WardCode],"FAE")),"")</f>
        <v/>
      </c>
      <c r="K59" s="25">
        <f>IFERROR(IF(SUMIFS(tblDaily[Deaths],tblDaily[EntryDate],DATE(2026,2,12),tblDaily[WardCode],"FAE")=0,"",SUMIFS(tblDaily[Deaths],tblDaily[EntryDate],DATE(2026,2,12),tblDaily[WardCode],"FAE")),"")</f>
        <v/>
      </c>
      <c r="L59" s="25">
        <f>IFERROR(IF(SUMIFS(tblDaily[DeathsUnder24Hrs],tblDaily[EntryDate],DATE(2026,2,12),tblDaily[WardCode],"FAE")=0,"",SUMIFS(tblDaily[DeathsUnder24Hrs],tblDaily[EntryDate],DATE(2026,2,12),tblDaily[WardCode],"FAE")),"")</f>
        <v/>
      </c>
      <c r="M59" s="25">
        <f>IFERROR(IF(SUMIFS(tblDaily[TransfersIn],tblDaily[EntryDate],DATE(2026,2,12),tblDaily[WardCode],"FAE")=0,"",SUMIFS(tblDaily[TransfersIn],tblDaily[EntryDate],DATE(2026,2,12),tblDaily[WardCode],"FAE")),"")</f>
        <v/>
      </c>
      <c r="N59" s="25">
        <f>IFERROR(IF(SUMIFS(tblDaily[TransfersOut],tblDaily[EntryDate],DATE(2026,2,12),tblDaily[WardCode],"FAE")=0,"",SUMIFS(tblDaily[TransfersOut],tblDaily[EntryDate],DATE(2026,2,12),tblDaily[WardCode],"FAE")),"")</f>
        <v/>
      </c>
      <c r="O59" s="25">
        <f>IFERROR(IF(SUMIFS(tblDaily[Remaining],tblDaily[EntryDate],DATE(2026,2,12),tblDaily[WardCode],"FAE")=0,"",SUMIFS(tblDaily[Remaining],tblDaily[EntryDate],DATE(2026,2,12),tblDaily[WardCode],"FAE")),"")</f>
        <v/>
      </c>
      <c r="P59" s="26">
        <f>IF(AND(H59="", O59=""), "", N(H59) + N(O59))</f>
        <v/>
      </c>
    </row>
    <row r="60">
      <c r="A60" s="25" t="n">
        <v>13</v>
      </c>
      <c r="B60" s="25">
        <f>IFERROR(IF(SUMIFS(tblDaily[Admissions],tblDaily[EntryDate],DATE(2026,2,13),tblDaily[WardCode],"MAE")=0,"",SUMIFS(tblDaily[Admissions],tblDaily[EntryDate],DATE(2026,2,13),tblDaily[WardCode],"MAE")),"")</f>
        <v/>
      </c>
      <c r="C60" s="25">
        <f>IFERROR(IF(SUMIFS(tblDaily[Discharges],tblDaily[EntryDate],DATE(2026,2,13),tblDaily[WardCode],"MAE")=0,"",SUMIFS(tblDaily[Discharges],tblDaily[EntryDate],DATE(2026,2,13),tblDaily[WardCode],"MAE")),"")</f>
        <v/>
      </c>
      <c r="D60" s="25">
        <f>IFERROR(IF(SUMIFS(tblDaily[Deaths],tblDaily[EntryDate],DATE(2026,2,13),tblDaily[WardCode],"MAE")=0,"",SUMIFS(tblDaily[Deaths],tblDaily[EntryDate],DATE(2026,2,13),tblDaily[WardCode],"MAE")),"")</f>
        <v/>
      </c>
      <c r="E60" s="25">
        <f>IFERROR(IF(SUMIFS(tblDaily[DeathsUnder24Hrs],tblDaily[EntryDate],DATE(2026,2,13),tblDaily[WardCode],"MAE")=0,"",SUMIFS(tblDaily[DeathsUnder24Hrs],tblDaily[EntryDate],DATE(2026,2,13),tblDaily[WardCode],"MAE")),"")</f>
        <v/>
      </c>
      <c r="F60" s="25">
        <f>IFERROR(IF(SUMIFS(tblDaily[TransfersIn],tblDaily[EntryDate],DATE(2026,2,13),tblDaily[WardCode],"MAE")=0,"",SUMIFS(tblDaily[TransfersIn],tblDaily[EntryDate],DATE(2026,2,13),tblDaily[WardCode],"MAE")),"")</f>
        <v/>
      </c>
      <c r="G60" s="25">
        <f>IFERROR(IF(SUMIFS(tblDaily[TransfersOut],tblDaily[EntryDate],DATE(2026,2,13),tblDaily[WardCode],"MAE")=0,"",SUMIFS(tblDaily[TransfersOut],tblDaily[EntryDate],DATE(2026,2,13),tblDaily[WardCode],"MAE")),"")</f>
        <v/>
      </c>
      <c r="H60" s="25">
        <f>IFERROR(IF(SUMIFS(tblDaily[Remaining],tblDaily[EntryDate],DATE(2026,2,13),tblDaily[WardCode],"MAE")=0,"",SUMIFS(tblDaily[Remaining],tblDaily[EntryDate],DATE(2026,2,13),tblDaily[WardCode],"MAE")),"")</f>
        <v/>
      </c>
      <c r="I60" s="25">
        <f>IFERROR(IF(SUMIFS(tblDaily[Admissions],tblDaily[EntryDate],DATE(2026,2,13),tblDaily[WardCode],"FAE")=0,"",SUMIFS(tblDaily[Admissions],tblDaily[EntryDate],DATE(2026,2,13),tblDaily[WardCode],"FAE")),"")</f>
        <v/>
      </c>
      <c r="J60" s="25">
        <f>IFERROR(IF(SUMIFS(tblDaily[Discharges],tblDaily[EntryDate],DATE(2026,2,13),tblDaily[WardCode],"FAE")=0,"",SUMIFS(tblDaily[Discharges],tblDaily[EntryDate],DATE(2026,2,13),tblDaily[WardCode],"FAE")),"")</f>
        <v/>
      </c>
      <c r="K60" s="25">
        <f>IFERROR(IF(SUMIFS(tblDaily[Deaths],tblDaily[EntryDate],DATE(2026,2,13),tblDaily[WardCode],"FAE")=0,"",SUMIFS(tblDaily[Deaths],tblDaily[EntryDate],DATE(2026,2,13),tblDaily[WardCode],"FAE")),"")</f>
        <v/>
      </c>
      <c r="L60" s="25">
        <f>IFERROR(IF(SUMIFS(tblDaily[DeathsUnder24Hrs],tblDaily[EntryDate],DATE(2026,2,13),tblDaily[WardCode],"FAE")=0,"",SUMIFS(tblDaily[DeathsUnder24Hrs],tblDaily[EntryDate],DATE(2026,2,13),tblDaily[WardCode],"FAE")),"")</f>
        <v/>
      </c>
      <c r="M60" s="25">
        <f>IFERROR(IF(SUMIFS(tblDaily[TransfersIn],tblDaily[EntryDate],DATE(2026,2,13),tblDaily[WardCode],"FAE")=0,"",SUMIFS(tblDaily[TransfersIn],tblDaily[EntryDate],DATE(2026,2,13),tblDaily[WardCode],"FAE")),"")</f>
        <v/>
      </c>
      <c r="N60" s="25">
        <f>IFERROR(IF(SUMIFS(tblDaily[TransfersOut],tblDaily[EntryDate],DATE(2026,2,13),tblDaily[WardCode],"FAE")=0,"",SUMIFS(tblDaily[TransfersOut],tblDaily[EntryDate],DATE(2026,2,13),tblDaily[WardCode],"FAE")),"")</f>
        <v/>
      </c>
      <c r="O60" s="25">
        <f>IFERROR(IF(SUMIFS(tblDaily[Remaining],tblDaily[EntryDate],DATE(2026,2,13),tblDaily[WardCode],"FAE")=0,"",SUMIFS(tblDaily[Remaining],tblDaily[EntryDate],DATE(2026,2,13),tblDaily[WardCode],"FAE")),"")</f>
        <v/>
      </c>
      <c r="P60" s="26">
        <f>IF(AND(H60="", O60=""), "", N(H60) + N(O60))</f>
        <v/>
      </c>
    </row>
    <row r="61">
      <c r="A61" s="25" t="n">
        <v>14</v>
      </c>
      <c r="B61" s="25">
        <f>IFERROR(IF(SUMIFS(tblDaily[Admissions],tblDaily[EntryDate],DATE(2026,2,14),tblDaily[WardCode],"MAE")=0,"",SUMIFS(tblDaily[Admissions],tblDaily[EntryDate],DATE(2026,2,14),tblDaily[WardCode],"MAE")),"")</f>
        <v/>
      </c>
      <c r="C61" s="25">
        <f>IFERROR(IF(SUMIFS(tblDaily[Discharges],tblDaily[EntryDate],DATE(2026,2,14),tblDaily[WardCode],"MAE")=0,"",SUMIFS(tblDaily[Discharges],tblDaily[EntryDate],DATE(2026,2,14),tblDaily[WardCode],"MAE")),"")</f>
        <v/>
      </c>
      <c r="D61" s="25">
        <f>IFERROR(IF(SUMIFS(tblDaily[Deaths],tblDaily[EntryDate],DATE(2026,2,14),tblDaily[WardCode],"MAE")=0,"",SUMIFS(tblDaily[Deaths],tblDaily[EntryDate],DATE(2026,2,14),tblDaily[WardCode],"MAE")),"")</f>
        <v/>
      </c>
      <c r="E61" s="25">
        <f>IFERROR(IF(SUMIFS(tblDaily[DeathsUnder24Hrs],tblDaily[EntryDate],DATE(2026,2,14),tblDaily[WardCode],"MAE")=0,"",SUMIFS(tblDaily[DeathsUnder24Hrs],tblDaily[EntryDate],DATE(2026,2,14),tblDaily[WardCode],"MAE")),"")</f>
        <v/>
      </c>
      <c r="F61" s="25">
        <f>IFERROR(IF(SUMIFS(tblDaily[TransfersIn],tblDaily[EntryDate],DATE(2026,2,14),tblDaily[WardCode],"MAE")=0,"",SUMIFS(tblDaily[TransfersIn],tblDaily[EntryDate],DATE(2026,2,14),tblDaily[WardCode],"MAE")),"")</f>
        <v/>
      </c>
      <c r="G61" s="25">
        <f>IFERROR(IF(SUMIFS(tblDaily[TransfersOut],tblDaily[EntryDate],DATE(2026,2,14),tblDaily[WardCode],"MAE")=0,"",SUMIFS(tblDaily[TransfersOut],tblDaily[EntryDate],DATE(2026,2,14),tblDaily[WardCode],"MAE")),"")</f>
        <v/>
      </c>
      <c r="H61" s="25">
        <f>IFERROR(IF(SUMIFS(tblDaily[Remaining],tblDaily[EntryDate],DATE(2026,2,14),tblDaily[WardCode],"MAE")=0,"",SUMIFS(tblDaily[Remaining],tblDaily[EntryDate],DATE(2026,2,14),tblDaily[WardCode],"MAE")),"")</f>
        <v/>
      </c>
      <c r="I61" s="25">
        <f>IFERROR(IF(SUMIFS(tblDaily[Admissions],tblDaily[EntryDate],DATE(2026,2,14),tblDaily[WardCode],"FAE")=0,"",SUMIFS(tblDaily[Admissions],tblDaily[EntryDate],DATE(2026,2,14),tblDaily[WardCode],"FAE")),"")</f>
        <v/>
      </c>
      <c r="J61" s="25">
        <f>IFERROR(IF(SUMIFS(tblDaily[Discharges],tblDaily[EntryDate],DATE(2026,2,14),tblDaily[WardCode],"FAE")=0,"",SUMIFS(tblDaily[Discharges],tblDaily[EntryDate],DATE(2026,2,14),tblDaily[WardCode],"FAE")),"")</f>
        <v/>
      </c>
      <c r="K61" s="25">
        <f>IFERROR(IF(SUMIFS(tblDaily[Deaths],tblDaily[EntryDate],DATE(2026,2,14),tblDaily[WardCode],"FAE")=0,"",SUMIFS(tblDaily[Deaths],tblDaily[EntryDate],DATE(2026,2,14),tblDaily[WardCode],"FAE")),"")</f>
        <v/>
      </c>
      <c r="L61" s="25">
        <f>IFERROR(IF(SUMIFS(tblDaily[DeathsUnder24Hrs],tblDaily[EntryDate],DATE(2026,2,14),tblDaily[WardCode],"FAE")=0,"",SUMIFS(tblDaily[DeathsUnder24Hrs],tblDaily[EntryDate],DATE(2026,2,14),tblDaily[WardCode],"FAE")),"")</f>
        <v/>
      </c>
      <c r="M61" s="25">
        <f>IFERROR(IF(SUMIFS(tblDaily[TransfersIn],tblDaily[EntryDate],DATE(2026,2,14),tblDaily[WardCode],"FAE")=0,"",SUMIFS(tblDaily[TransfersIn],tblDaily[EntryDate],DATE(2026,2,14),tblDaily[WardCode],"FAE")),"")</f>
        <v/>
      </c>
      <c r="N61" s="25">
        <f>IFERROR(IF(SUMIFS(tblDaily[TransfersOut],tblDaily[EntryDate],DATE(2026,2,14),tblDaily[WardCode],"FAE")=0,"",SUMIFS(tblDaily[TransfersOut],tblDaily[EntryDate],DATE(2026,2,14),tblDaily[WardCode],"FAE")),"")</f>
        <v/>
      </c>
      <c r="O61" s="25">
        <f>IFERROR(IF(SUMIFS(tblDaily[Remaining],tblDaily[EntryDate],DATE(2026,2,14),tblDaily[WardCode],"FAE")=0,"",SUMIFS(tblDaily[Remaining],tblDaily[EntryDate],DATE(2026,2,14),tblDaily[WardCode],"FAE")),"")</f>
        <v/>
      </c>
      <c r="P61" s="26">
        <f>IF(AND(H61="", O61=""), "", N(H61) + N(O61))</f>
        <v/>
      </c>
    </row>
    <row r="62">
      <c r="A62" s="25" t="n">
        <v>15</v>
      </c>
      <c r="B62" s="25">
        <f>IFERROR(IF(SUMIFS(tblDaily[Admissions],tblDaily[EntryDate],DATE(2026,2,15),tblDaily[WardCode],"MAE")=0,"",SUMIFS(tblDaily[Admissions],tblDaily[EntryDate],DATE(2026,2,15),tblDaily[WardCode],"MAE")),"")</f>
        <v/>
      </c>
      <c r="C62" s="25">
        <f>IFERROR(IF(SUMIFS(tblDaily[Discharges],tblDaily[EntryDate],DATE(2026,2,15),tblDaily[WardCode],"MAE")=0,"",SUMIFS(tblDaily[Discharges],tblDaily[EntryDate],DATE(2026,2,15),tblDaily[WardCode],"MAE")),"")</f>
        <v/>
      </c>
      <c r="D62" s="25">
        <f>IFERROR(IF(SUMIFS(tblDaily[Deaths],tblDaily[EntryDate],DATE(2026,2,15),tblDaily[WardCode],"MAE")=0,"",SUMIFS(tblDaily[Deaths],tblDaily[EntryDate],DATE(2026,2,15),tblDaily[WardCode],"MAE")),"")</f>
        <v/>
      </c>
      <c r="E62" s="25">
        <f>IFERROR(IF(SUMIFS(tblDaily[DeathsUnder24Hrs],tblDaily[EntryDate],DATE(2026,2,15),tblDaily[WardCode],"MAE")=0,"",SUMIFS(tblDaily[DeathsUnder24Hrs],tblDaily[EntryDate],DATE(2026,2,15),tblDaily[WardCode],"MAE")),"")</f>
        <v/>
      </c>
      <c r="F62" s="25">
        <f>IFERROR(IF(SUMIFS(tblDaily[TransfersIn],tblDaily[EntryDate],DATE(2026,2,15),tblDaily[WardCode],"MAE")=0,"",SUMIFS(tblDaily[TransfersIn],tblDaily[EntryDate],DATE(2026,2,15),tblDaily[WardCode],"MAE")),"")</f>
        <v/>
      </c>
      <c r="G62" s="25">
        <f>IFERROR(IF(SUMIFS(tblDaily[TransfersOut],tblDaily[EntryDate],DATE(2026,2,15),tblDaily[WardCode],"MAE")=0,"",SUMIFS(tblDaily[TransfersOut],tblDaily[EntryDate],DATE(2026,2,15),tblDaily[WardCode],"MAE")),"")</f>
        <v/>
      </c>
      <c r="H62" s="25">
        <f>IFERROR(IF(SUMIFS(tblDaily[Remaining],tblDaily[EntryDate],DATE(2026,2,15),tblDaily[WardCode],"MAE")=0,"",SUMIFS(tblDaily[Remaining],tblDaily[EntryDate],DATE(2026,2,15),tblDaily[WardCode],"MAE")),"")</f>
        <v/>
      </c>
      <c r="I62" s="25">
        <f>IFERROR(IF(SUMIFS(tblDaily[Admissions],tblDaily[EntryDate],DATE(2026,2,15),tblDaily[WardCode],"FAE")=0,"",SUMIFS(tblDaily[Admissions],tblDaily[EntryDate],DATE(2026,2,15),tblDaily[WardCode],"FAE")),"")</f>
        <v/>
      </c>
      <c r="J62" s="25">
        <f>IFERROR(IF(SUMIFS(tblDaily[Discharges],tblDaily[EntryDate],DATE(2026,2,15),tblDaily[WardCode],"FAE")=0,"",SUMIFS(tblDaily[Discharges],tblDaily[EntryDate],DATE(2026,2,15),tblDaily[WardCode],"FAE")),"")</f>
        <v/>
      </c>
      <c r="K62" s="25">
        <f>IFERROR(IF(SUMIFS(tblDaily[Deaths],tblDaily[EntryDate],DATE(2026,2,15),tblDaily[WardCode],"FAE")=0,"",SUMIFS(tblDaily[Deaths],tblDaily[EntryDate],DATE(2026,2,15),tblDaily[WardCode],"FAE")),"")</f>
        <v/>
      </c>
      <c r="L62" s="25">
        <f>IFERROR(IF(SUMIFS(tblDaily[DeathsUnder24Hrs],tblDaily[EntryDate],DATE(2026,2,15),tblDaily[WardCode],"FAE")=0,"",SUMIFS(tblDaily[DeathsUnder24Hrs],tblDaily[EntryDate],DATE(2026,2,15),tblDaily[WardCode],"FAE")),"")</f>
        <v/>
      </c>
      <c r="M62" s="25">
        <f>IFERROR(IF(SUMIFS(tblDaily[TransfersIn],tblDaily[EntryDate],DATE(2026,2,15),tblDaily[WardCode],"FAE")=0,"",SUMIFS(tblDaily[TransfersIn],tblDaily[EntryDate],DATE(2026,2,15),tblDaily[WardCode],"FAE")),"")</f>
        <v/>
      </c>
      <c r="N62" s="25">
        <f>IFERROR(IF(SUMIFS(tblDaily[TransfersOut],tblDaily[EntryDate],DATE(2026,2,15),tblDaily[WardCode],"FAE")=0,"",SUMIFS(tblDaily[TransfersOut],tblDaily[EntryDate],DATE(2026,2,15),tblDaily[WardCode],"FAE")),"")</f>
        <v/>
      </c>
      <c r="O62" s="25">
        <f>IFERROR(IF(SUMIFS(tblDaily[Remaining],tblDaily[EntryDate],DATE(2026,2,15),tblDaily[WardCode],"FAE")=0,"",SUMIFS(tblDaily[Remaining],tblDaily[EntryDate],DATE(2026,2,15),tblDaily[WardCode],"FAE")),"")</f>
        <v/>
      </c>
      <c r="P62" s="26">
        <f>IF(AND(H62="", O62=""), "", N(H62) + N(O62))</f>
        <v/>
      </c>
    </row>
    <row r="63">
      <c r="A63" s="25" t="n">
        <v>16</v>
      </c>
      <c r="B63" s="25">
        <f>IFERROR(IF(SUMIFS(tblDaily[Admissions],tblDaily[EntryDate],DATE(2026,2,16),tblDaily[WardCode],"MAE")=0,"",SUMIFS(tblDaily[Admissions],tblDaily[EntryDate],DATE(2026,2,16),tblDaily[WardCode],"MAE")),"")</f>
        <v/>
      </c>
      <c r="C63" s="25">
        <f>IFERROR(IF(SUMIFS(tblDaily[Discharges],tblDaily[EntryDate],DATE(2026,2,16),tblDaily[WardCode],"MAE")=0,"",SUMIFS(tblDaily[Discharges],tblDaily[EntryDate],DATE(2026,2,16),tblDaily[WardCode],"MAE")),"")</f>
        <v/>
      </c>
      <c r="D63" s="25">
        <f>IFERROR(IF(SUMIFS(tblDaily[Deaths],tblDaily[EntryDate],DATE(2026,2,16),tblDaily[WardCode],"MAE")=0,"",SUMIFS(tblDaily[Deaths],tblDaily[EntryDate],DATE(2026,2,16),tblDaily[WardCode],"MAE")),"")</f>
        <v/>
      </c>
      <c r="E63" s="25">
        <f>IFERROR(IF(SUMIFS(tblDaily[DeathsUnder24Hrs],tblDaily[EntryDate],DATE(2026,2,16),tblDaily[WardCode],"MAE")=0,"",SUMIFS(tblDaily[DeathsUnder24Hrs],tblDaily[EntryDate],DATE(2026,2,16),tblDaily[WardCode],"MAE")),"")</f>
        <v/>
      </c>
      <c r="F63" s="25">
        <f>IFERROR(IF(SUMIFS(tblDaily[TransfersIn],tblDaily[EntryDate],DATE(2026,2,16),tblDaily[WardCode],"MAE")=0,"",SUMIFS(tblDaily[TransfersIn],tblDaily[EntryDate],DATE(2026,2,16),tblDaily[WardCode],"MAE")),"")</f>
        <v/>
      </c>
      <c r="G63" s="25">
        <f>IFERROR(IF(SUMIFS(tblDaily[TransfersOut],tblDaily[EntryDate],DATE(2026,2,16),tblDaily[WardCode],"MAE")=0,"",SUMIFS(tblDaily[TransfersOut],tblDaily[EntryDate],DATE(2026,2,16),tblDaily[WardCode],"MAE")),"")</f>
        <v/>
      </c>
      <c r="H63" s="25">
        <f>IFERROR(IF(SUMIFS(tblDaily[Remaining],tblDaily[EntryDate],DATE(2026,2,16),tblDaily[WardCode],"MAE")=0,"",SUMIFS(tblDaily[Remaining],tblDaily[EntryDate],DATE(2026,2,16),tblDaily[WardCode],"MAE")),"")</f>
        <v/>
      </c>
      <c r="I63" s="25">
        <f>IFERROR(IF(SUMIFS(tblDaily[Admissions],tblDaily[EntryDate],DATE(2026,2,16),tblDaily[WardCode],"FAE")=0,"",SUMIFS(tblDaily[Admissions],tblDaily[EntryDate],DATE(2026,2,16),tblDaily[WardCode],"FAE")),"")</f>
        <v/>
      </c>
      <c r="J63" s="25">
        <f>IFERROR(IF(SUMIFS(tblDaily[Discharges],tblDaily[EntryDate],DATE(2026,2,16),tblDaily[WardCode],"FAE")=0,"",SUMIFS(tblDaily[Discharges],tblDaily[EntryDate],DATE(2026,2,16),tblDaily[WardCode],"FAE")),"")</f>
        <v/>
      </c>
      <c r="K63" s="25">
        <f>IFERROR(IF(SUMIFS(tblDaily[Deaths],tblDaily[EntryDate],DATE(2026,2,16),tblDaily[WardCode],"FAE")=0,"",SUMIFS(tblDaily[Deaths],tblDaily[EntryDate],DATE(2026,2,16),tblDaily[WardCode],"FAE")),"")</f>
        <v/>
      </c>
      <c r="L63" s="25">
        <f>IFERROR(IF(SUMIFS(tblDaily[DeathsUnder24Hrs],tblDaily[EntryDate],DATE(2026,2,16),tblDaily[WardCode],"FAE")=0,"",SUMIFS(tblDaily[DeathsUnder24Hrs],tblDaily[EntryDate],DATE(2026,2,16),tblDaily[WardCode],"FAE")),"")</f>
        <v/>
      </c>
      <c r="M63" s="25">
        <f>IFERROR(IF(SUMIFS(tblDaily[TransfersIn],tblDaily[EntryDate],DATE(2026,2,16),tblDaily[WardCode],"FAE")=0,"",SUMIFS(tblDaily[TransfersIn],tblDaily[EntryDate],DATE(2026,2,16),tblDaily[WardCode],"FAE")),"")</f>
        <v/>
      </c>
      <c r="N63" s="25">
        <f>IFERROR(IF(SUMIFS(tblDaily[TransfersOut],tblDaily[EntryDate],DATE(2026,2,16),tblDaily[WardCode],"FAE")=0,"",SUMIFS(tblDaily[TransfersOut],tblDaily[EntryDate],DATE(2026,2,16),tblDaily[WardCode],"FAE")),"")</f>
        <v/>
      </c>
      <c r="O63" s="25">
        <f>IFERROR(IF(SUMIFS(tblDaily[Remaining],tblDaily[EntryDate],DATE(2026,2,16),tblDaily[WardCode],"FAE")=0,"",SUMIFS(tblDaily[Remaining],tblDaily[EntryDate],DATE(2026,2,16),tblDaily[WardCode],"FAE")),"")</f>
        <v/>
      </c>
      <c r="P63" s="26">
        <f>IF(AND(H63="", O63=""), "", N(H63) + N(O63))</f>
        <v/>
      </c>
    </row>
    <row r="64">
      <c r="A64" s="25" t="n">
        <v>17</v>
      </c>
      <c r="B64" s="25">
        <f>IFERROR(IF(SUMIFS(tblDaily[Admissions],tblDaily[EntryDate],DATE(2026,2,17),tblDaily[WardCode],"MAE")=0,"",SUMIFS(tblDaily[Admissions],tblDaily[EntryDate],DATE(2026,2,17),tblDaily[WardCode],"MAE")),"")</f>
        <v/>
      </c>
      <c r="C64" s="25">
        <f>IFERROR(IF(SUMIFS(tblDaily[Discharges],tblDaily[EntryDate],DATE(2026,2,17),tblDaily[WardCode],"MAE")=0,"",SUMIFS(tblDaily[Discharges],tblDaily[EntryDate],DATE(2026,2,17),tblDaily[WardCode],"MAE")),"")</f>
        <v/>
      </c>
      <c r="D64" s="25">
        <f>IFERROR(IF(SUMIFS(tblDaily[Deaths],tblDaily[EntryDate],DATE(2026,2,17),tblDaily[WardCode],"MAE")=0,"",SUMIFS(tblDaily[Deaths],tblDaily[EntryDate],DATE(2026,2,17),tblDaily[WardCode],"MAE")),"")</f>
        <v/>
      </c>
      <c r="E64" s="25">
        <f>IFERROR(IF(SUMIFS(tblDaily[DeathsUnder24Hrs],tblDaily[EntryDate],DATE(2026,2,17),tblDaily[WardCode],"MAE")=0,"",SUMIFS(tblDaily[DeathsUnder24Hrs],tblDaily[EntryDate],DATE(2026,2,17),tblDaily[WardCode],"MAE")),"")</f>
        <v/>
      </c>
      <c r="F64" s="25">
        <f>IFERROR(IF(SUMIFS(tblDaily[TransfersIn],tblDaily[EntryDate],DATE(2026,2,17),tblDaily[WardCode],"MAE")=0,"",SUMIFS(tblDaily[TransfersIn],tblDaily[EntryDate],DATE(2026,2,17),tblDaily[WardCode],"MAE")),"")</f>
        <v/>
      </c>
      <c r="G64" s="25">
        <f>IFERROR(IF(SUMIFS(tblDaily[TransfersOut],tblDaily[EntryDate],DATE(2026,2,17),tblDaily[WardCode],"MAE")=0,"",SUMIFS(tblDaily[TransfersOut],tblDaily[EntryDate],DATE(2026,2,17),tblDaily[WardCode],"MAE")),"")</f>
        <v/>
      </c>
      <c r="H64" s="25">
        <f>IFERROR(IF(SUMIFS(tblDaily[Remaining],tblDaily[EntryDate],DATE(2026,2,17),tblDaily[WardCode],"MAE")=0,"",SUMIFS(tblDaily[Remaining],tblDaily[EntryDate],DATE(2026,2,17),tblDaily[WardCode],"MAE")),"")</f>
        <v/>
      </c>
      <c r="I64" s="25">
        <f>IFERROR(IF(SUMIFS(tblDaily[Admissions],tblDaily[EntryDate],DATE(2026,2,17),tblDaily[WardCode],"FAE")=0,"",SUMIFS(tblDaily[Admissions],tblDaily[EntryDate],DATE(2026,2,17),tblDaily[WardCode],"FAE")),"")</f>
        <v/>
      </c>
      <c r="J64" s="25">
        <f>IFERROR(IF(SUMIFS(tblDaily[Discharges],tblDaily[EntryDate],DATE(2026,2,17),tblDaily[WardCode],"FAE")=0,"",SUMIFS(tblDaily[Discharges],tblDaily[EntryDate],DATE(2026,2,17),tblDaily[WardCode],"FAE")),"")</f>
        <v/>
      </c>
      <c r="K64" s="25">
        <f>IFERROR(IF(SUMIFS(tblDaily[Deaths],tblDaily[EntryDate],DATE(2026,2,17),tblDaily[WardCode],"FAE")=0,"",SUMIFS(tblDaily[Deaths],tblDaily[EntryDate],DATE(2026,2,17),tblDaily[WardCode],"FAE")),"")</f>
        <v/>
      </c>
      <c r="L64" s="25">
        <f>IFERROR(IF(SUMIFS(tblDaily[DeathsUnder24Hrs],tblDaily[EntryDate],DATE(2026,2,17),tblDaily[WardCode],"FAE")=0,"",SUMIFS(tblDaily[DeathsUnder24Hrs],tblDaily[EntryDate],DATE(2026,2,17),tblDaily[WardCode],"FAE")),"")</f>
        <v/>
      </c>
      <c r="M64" s="25">
        <f>IFERROR(IF(SUMIFS(tblDaily[TransfersIn],tblDaily[EntryDate],DATE(2026,2,17),tblDaily[WardCode],"FAE")=0,"",SUMIFS(tblDaily[TransfersIn],tblDaily[EntryDate],DATE(2026,2,17),tblDaily[WardCode],"FAE")),"")</f>
        <v/>
      </c>
      <c r="N64" s="25">
        <f>IFERROR(IF(SUMIFS(tblDaily[TransfersOut],tblDaily[EntryDate],DATE(2026,2,17),tblDaily[WardCode],"FAE")=0,"",SUMIFS(tblDaily[TransfersOut],tblDaily[EntryDate],DATE(2026,2,17),tblDaily[WardCode],"FAE")),"")</f>
        <v/>
      </c>
      <c r="O64" s="25">
        <f>IFERROR(IF(SUMIFS(tblDaily[Remaining],tblDaily[EntryDate],DATE(2026,2,17),tblDaily[WardCode],"FAE")=0,"",SUMIFS(tblDaily[Remaining],tblDaily[EntryDate],DATE(2026,2,17),tblDaily[WardCode],"FAE")),"")</f>
        <v/>
      </c>
      <c r="P64" s="26">
        <f>IF(AND(H64="", O64=""), "", N(H64) + N(O64))</f>
        <v/>
      </c>
    </row>
    <row r="65">
      <c r="A65" s="25" t="n">
        <v>18</v>
      </c>
      <c r="B65" s="25">
        <f>IFERROR(IF(SUMIFS(tblDaily[Admissions],tblDaily[EntryDate],DATE(2026,2,18),tblDaily[WardCode],"MAE")=0,"",SUMIFS(tblDaily[Admissions],tblDaily[EntryDate],DATE(2026,2,18),tblDaily[WardCode],"MAE")),"")</f>
        <v/>
      </c>
      <c r="C65" s="25">
        <f>IFERROR(IF(SUMIFS(tblDaily[Discharges],tblDaily[EntryDate],DATE(2026,2,18),tblDaily[WardCode],"MAE")=0,"",SUMIFS(tblDaily[Discharges],tblDaily[EntryDate],DATE(2026,2,18),tblDaily[WardCode],"MAE")),"")</f>
        <v/>
      </c>
      <c r="D65" s="25">
        <f>IFERROR(IF(SUMIFS(tblDaily[Deaths],tblDaily[EntryDate],DATE(2026,2,18),tblDaily[WardCode],"MAE")=0,"",SUMIFS(tblDaily[Deaths],tblDaily[EntryDate],DATE(2026,2,18),tblDaily[WardCode],"MAE")),"")</f>
        <v/>
      </c>
      <c r="E65" s="25">
        <f>IFERROR(IF(SUMIFS(tblDaily[DeathsUnder24Hrs],tblDaily[EntryDate],DATE(2026,2,18),tblDaily[WardCode],"MAE")=0,"",SUMIFS(tblDaily[DeathsUnder24Hrs],tblDaily[EntryDate],DATE(2026,2,18),tblDaily[WardCode],"MAE")),"")</f>
        <v/>
      </c>
      <c r="F65" s="25">
        <f>IFERROR(IF(SUMIFS(tblDaily[TransfersIn],tblDaily[EntryDate],DATE(2026,2,18),tblDaily[WardCode],"MAE")=0,"",SUMIFS(tblDaily[TransfersIn],tblDaily[EntryDate],DATE(2026,2,18),tblDaily[WardCode],"MAE")),"")</f>
        <v/>
      </c>
      <c r="G65" s="25">
        <f>IFERROR(IF(SUMIFS(tblDaily[TransfersOut],tblDaily[EntryDate],DATE(2026,2,18),tblDaily[WardCode],"MAE")=0,"",SUMIFS(tblDaily[TransfersOut],tblDaily[EntryDate],DATE(2026,2,18),tblDaily[WardCode],"MAE")),"")</f>
        <v/>
      </c>
      <c r="H65" s="25">
        <f>IFERROR(IF(SUMIFS(tblDaily[Remaining],tblDaily[EntryDate],DATE(2026,2,18),tblDaily[WardCode],"MAE")=0,"",SUMIFS(tblDaily[Remaining],tblDaily[EntryDate],DATE(2026,2,18),tblDaily[WardCode],"MAE")),"")</f>
        <v/>
      </c>
      <c r="I65" s="25">
        <f>IFERROR(IF(SUMIFS(tblDaily[Admissions],tblDaily[EntryDate],DATE(2026,2,18),tblDaily[WardCode],"FAE")=0,"",SUMIFS(tblDaily[Admissions],tblDaily[EntryDate],DATE(2026,2,18),tblDaily[WardCode],"FAE")),"")</f>
        <v/>
      </c>
      <c r="J65" s="25">
        <f>IFERROR(IF(SUMIFS(tblDaily[Discharges],tblDaily[EntryDate],DATE(2026,2,18),tblDaily[WardCode],"FAE")=0,"",SUMIFS(tblDaily[Discharges],tblDaily[EntryDate],DATE(2026,2,18),tblDaily[WardCode],"FAE")),"")</f>
        <v/>
      </c>
      <c r="K65" s="25">
        <f>IFERROR(IF(SUMIFS(tblDaily[Deaths],tblDaily[EntryDate],DATE(2026,2,18),tblDaily[WardCode],"FAE")=0,"",SUMIFS(tblDaily[Deaths],tblDaily[EntryDate],DATE(2026,2,18),tblDaily[WardCode],"FAE")),"")</f>
        <v/>
      </c>
      <c r="L65" s="25">
        <f>IFERROR(IF(SUMIFS(tblDaily[DeathsUnder24Hrs],tblDaily[EntryDate],DATE(2026,2,18),tblDaily[WardCode],"FAE")=0,"",SUMIFS(tblDaily[DeathsUnder24Hrs],tblDaily[EntryDate],DATE(2026,2,18),tblDaily[WardCode],"FAE")),"")</f>
        <v/>
      </c>
      <c r="M65" s="25">
        <f>IFERROR(IF(SUMIFS(tblDaily[TransfersIn],tblDaily[EntryDate],DATE(2026,2,18),tblDaily[WardCode],"FAE")=0,"",SUMIFS(tblDaily[TransfersIn],tblDaily[EntryDate],DATE(2026,2,18),tblDaily[WardCode],"FAE")),"")</f>
        <v/>
      </c>
      <c r="N65" s="25">
        <f>IFERROR(IF(SUMIFS(tblDaily[TransfersOut],tblDaily[EntryDate],DATE(2026,2,18),tblDaily[WardCode],"FAE")=0,"",SUMIFS(tblDaily[TransfersOut],tblDaily[EntryDate],DATE(2026,2,18),tblDaily[WardCode],"FAE")),"")</f>
        <v/>
      </c>
      <c r="O65" s="25">
        <f>IFERROR(IF(SUMIFS(tblDaily[Remaining],tblDaily[EntryDate],DATE(2026,2,18),tblDaily[WardCode],"FAE")=0,"",SUMIFS(tblDaily[Remaining],tblDaily[EntryDate],DATE(2026,2,18),tblDaily[WardCode],"FAE")),"")</f>
        <v/>
      </c>
      <c r="P65" s="26">
        <f>IF(AND(H65="", O65=""), "", N(H65) + N(O65))</f>
        <v/>
      </c>
    </row>
    <row r="66">
      <c r="A66" s="25" t="n">
        <v>19</v>
      </c>
      <c r="B66" s="25">
        <f>IFERROR(IF(SUMIFS(tblDaily[Admissions],tblDaily[EntryDate],DATE(2026,2,19),tblDaily[WardCode],"MAE")=0,"",SUMIFS(tblDaily[Admissions],tblDaily[EntryDate],DATE(2026,2,19),tblDaily[WardCode],"MAE")),"")</f>
        <v/>
      </c>
      <c r="C66" s="25">
        <f>IFERROR(IF(SUMIFS(tblDaily[Discharges],tblDaily[EntryDate],DATE(2026,2,19),tblDaily[WardCode],"MAE")=0,"",SUMIFS(tblDaily[Discharges],tblDaily[EntryDate],DATE(2026,2,19),tblDaily[WardCode],"MAE")),"")</f>
        <v/>
      </c>
      <c r="D66" s="25">
        <f>IFERROR(IF(SUMIFS(tblDaily[Deaths],tblDaily[EntryDate],DATE(2026,2,19),tblDaily[WardCode],"MAE")=0,"",SUMIFS(tblDaily[Deaths],tblDaily[EntryDate],DATE(2026,2,19),tblDaily[WardCode],"MAE")),"")</f>
        <v/>
      </c>
      <c r="E66" s="25">
        <f>IFERROR(IF(SUMIFS(tblDaily[DeathsUnder24Hrs],tblDaily[EntryDate],DATE(2026,2,19),tblDaily[WardCode],"MAE")=0,"",SUMIFS(tblDaily[DeathsUnder24Hrs],tblDaily[EntryDate],DATE(2026,2,19),tblDaily[WardCode],"MAE")),"")</f>
        <v/>
      </c>
      <c r="F66" s="25">
        <f>IFERROR(IF(SUMIFS(tblDaily[TransfersIn],tblDaily[EntryDate],DATE(2026,2,19),tblDaily[WardCode],"MAE")=0,"",SUMIFS(tblDaily[TransfersIn],tblDaily[EntryDate],DATE(2026,2,19),tblDaily[WardCode],"MAE")),"")</f>
        <v/>
      </c>
      <c r="G66" s="25">
        <f>IFERROR(IF(SUMIFS(tblDaily[TransfersOut],tblDaily[EntryDate],DATE(2026,2,19),tblDaily[WardCode],"MAE")=0,"",SUMIFS(tblDaily[TransfersOut],tblDaily[EntryDate],DATE(2026,2,19),tblDaily[WardCode],"MAE")),"")</f>
        <v/>
      </c>
      <c r="H66" s="25">
        <f>IFERROR(IF(SUMIFS(tblDaily[Remaining],tblDaily[EntryDate],DATE(2026,2,19),tblDaily[WardCode],"MAE")=0,"",SUMIFS(tblDaily[Remaining],tblDaily[EntryDate],DATE(2026,2,19),tblDaily[WardCode],"MAE")),"")</f>
        <v/>
      </c>
      <c r="I66" s="25">
        <f>IFERROR(IF(SUMIFS(tblDaily[Admissions],tblDaily[EntryDate],DATE(2026,2,19),tblDaily[WardCode],"FAE")=0,"",SUMIFS(tblDaily[Admissions],tblDaily[EntryDate],DATE(2026,2,19),tblDaily[WardCode],"FAE")),"")</f>
        <v/>
      </c>
      <c r="J66" s="25">
        <f>IFERROR(IF(SUMIFS(tblDaily[Discharges],tblDaily[EntryDate],DATE(2026,2,19),tblDaily[WardCode],"FAE")=0,"",SUMIFS(tblDaily[Discharges],tblDaily[EntryDate],DATE(2026,2,19),tblDaily[WardCode],"FAE")),"")</f>
        <v/>
      </c>
      <c r="K66" s="25">
        <f>IFERROR(IF(SUMIFS(tblDaily[Deaths],tblDaily[EntryDate],DATE(2026,2,19),tblDaily[WardCode],"FAE")=0,"",SUMIFS(tblDaily[Deaths],tblDaily[EntryDate],DATE(2026,2,19),tblDaily[WardCode],"FAE")),"")</f>
        <v/>
      </c>
      <c r="L66" s="25">
        <f>IFERROR(IF(SUMIFS(tblDaily[DeathsUnder24Hrs],tblDaily[EntryDate],DATE(2026,2,19),tblDaily[WardCode],"FAE")=0,"",SUMIFS(tblDaily[DeathsUnder24Hrs],tblDaily[EntryDate],DATE(2026,2,19),tblDaily[WardCode],"FAE")),"")</f>
        <v/>
      </c>
      <c r="M66" s="25">
        <f>IFERROR(IF(SUMIFS(tblDaily[TransfersIn],tblDaily[EntryDate],DATE(2026,2,19),tblDaily[WardCode],"FAE")=0,"",SUMIFS(tblDaily[TransfersIn],tblDaily[EntryDate],DATE(2026,2,19),tblDaily[WardCode],"FAE")),"")</f>
        <v/>
      </c>
      <c r="N66" s="25">
        <f>IFERROR(IF(SUMIFS(tblDaily[TransfersOut],tblDaily[EntryDate],DATE(2026,2,19),tblDaily[WardCode],"FAE")=0,"",SUMIFS(tblDaily[TransfersOut],tblDaily[EntryDate],DATE(2026,2,19),tblDaily[WardCode],"FAE")),"")</f>
        <v/>
      </c>
      <c r="O66" s="25">
        <f>IFERROR(IF(SUMIFS(tblDaily[Remaining],tblDaily[EntryDate],DATE(2026,2,19),tblDaily[WardCode],"FAE")=0,"",SUMIFS(tblDaily[Remaining],tblDaily[EntryDate],DATE(2026,2,19),tblDaily[WardCode],"FAE")),"")</f>
        <v/>
      </c>
      <c r="P66" s="26">
        <f>IF(AND(H66="", O66=""), "", N(H66) + N(O66))</f>
        <v/>
      </c>
    </row>
    <row r="67">
      <c r="A67" s="25" t="n">
        <v>20</v>
      </c>
      <c r="B67" s="25">
        <f>IFERROR(IF(SUMIFS(tblDaily[Admissions],tblDaily[EntryDate],DATE(2026,2,20),tblDaily[WardCode],"MAE")=0,"",SUMIFS(tblDaily[Admissions],tblDaily[EntryDate],DATE(2026,2,20),tblDaily[WardCode],"MAE")),"")</f>
        <v/>
      </c>
      <c r="C67" s="25">
        <f>IFERROR(IF(SUMIFS(tblDaily[Discharges],tblDaily[EntryDate],DATE(2026,2,20),tblDaily[WardCode],"MAE")=0,"",SUMIFS(tblDaily[Discharges],tblDaily[EntryDate],DATE(2026,2,20),tblDaily[WardCode],"MAE")),"")</f>
        <v/>
      </c>
      <c r="D67" s="25">
        <f>IFERROR(IF(SUMIFS(tblDaily[Deaths],tblDaily[EntryDate],DATE(2026,2,20),tblDaily[WardCode],"MAE")=0,"",SUMIFS(tblDaily[Deaths],tblDaily[EntryDate],DATE(2026,2,20),tblDaily[WardCode],"MAE")),"")</f>
        <v/>
      </c>
      <c r="E67" s="25">
        <f>IFERROR(IF(SUMIFS(tblDaily[DeathsUnder24Hrs],tblDaily[EntryDate],DATE(2026,2,20),tblDaily[WardCode],"MAE")=0,"",SUMIFS(tblDaily[DeathsUnder24Hrs],tblDaily[EntryDate],DATE(2026,2,20),tblDaily[WardCode],"MAE")),"")</f>
        <v/>
      </c>
      <c r="F67" s="25">
        <f>IFERROR(IF(SUMIFS(tblDaily[TransfersIn],tblDaily[EntryDate],DATE(2026,2,20),tblDaily[WardCode],"MAE")=0,"",SUMIFS(tblDaily[TransfersIn],tblDaily[EntryDate],DATE(2026,2,20),tblDaily[WardCode],"MAE")),"")</f>
        <v/>
      </c>
      <c r="G67" s="25">
        <f>IFERROR(IF(SUMIFS(tblDaily[TransfersOut],tblDaily[EntryDate],DATE(2026,2,20),tblDaily[WardCode],"MAE")=0,"",SUMIFS(tblDaily[TransfersOut],tblDaily[EntryDate],DATE(2026,2,20),tblDaily[WardCode],"MAE")),"")</f>
        <v/>
      </c>
      <c r="H67" s="25">
        <f>IFERROR(IF(SUMIFS(tblDaily[Remaining],tblDaily[EntryDate],DATE(2026,2,20),tblDaily[WardCode],"MAE")=0,"",SUMIFS(tblDaily[Remaining],tblDaily[EntryDate],DATE(2026,2,20),tblDaily[WardCode],"MAE")),"")</f>
        <v/>
      </c>
      <c r="I67" s="25">
        <f>IFERROR(IF(SUMIFS(tblDaily[Admissions],tblDaily[EntryDate],DATE(2026,2,20),tblDaily[WardCode],"FAE")=0,"",SUMIFS(tblDaily[Admissions],tblDaily[EntryDate],DATE(2026,2,20),tblDaily[WardCode],"FAE")),"")</f>
        <v/>
      </c>
      <c r="J67" s="25">
        <f>IFERROR(IF(SUMIFS(tblDaily[Discharges],tblDaily[EntryDate],DATE(2026,2,20),tblDaily[WardCode],"FAE")=0,"",SUMIFS(tblDaily[Discharges],tblDaily[EntryDate],DATE(2026,2,20),tblDaily[WardCode],"FAE")),"")</f>
        <v/>
      </c>
      <c r="K67" s="25">
        <f>IFERROR(IF(SUMIFS(tblDaily[Deaths],tblDaily[EntryDate],DATE(2026,2,20),tblDaily[WardCode],"FAE")=0,"",SUMIFS(tblDaily[Deaths],tblDaily[EntryDate],DATE(2026,2,20),tblDaily[WardCode],"FAE")),"")</f>
        <v/>
      </c>
      <c r="L67" s="25">
        <f>IFERROR(IF(SUMIFS(tblDaily[DeathsUnder24Hrs],tblDaily[EntryDate],DATE(2026,2,20),tblDaily[WardCode],"FAE")=0,"",SUMIFS(tblDaily[DeathsUnder24Hrs],tblDaily[EntryDate],DATE(2026,2,20),tblDaily[WardCode],"FAE")),"")</f>
        <v/>
      </c>
      <c r="M67" s="25">
        <f>IFERROR(IF(SUMIFS(tblDaily[TransfersIn],tblDaily[EntryDate],DATE(2026,2,20),tblDaily[WardCode],"FAE")=0,"",SUMIFS(tblDaily[TransfersIn],tblDaily[EntryDate],DATE(2026,2,20),tblDaily[WardCode],"FAE")),"")</f>
        <v/>
      </c>
      <c r="N67" s="25">
        <f>IFERROR(IF(SUMIFS(tblDaily[TransfersOut],tblDaily[EntryDate],DATE(2026,2,20),tblDaily[WardCode],"FAE")=0,"",SUMIFS(tblDaily[TransfersOut],tblDaily[EntryDate],DATE(2026,2,20),tblDaily[WardCode],"FAE")),"")</f>
        <v/>
      </c>
      <c r="O67" s="25">
        <f>IFERROR(IF(SUMIFS(tblDaily[Remaining],tblDaily[EntryDate],DATE(2026,2,20),tblDaily[WardCode],"FAE")=0,"",SUMIFS(tblDaily[Remaining],tblDaily[EntryDate],DATE(2026,2,20),tblDaily[WardCode],"FAE")),"")</f>
        <v/>
      </c>
      <c r="P67" s="26">
        <f>IF(AND(H67="", O67=""), "", N(H67) + N(O67))</f>
        <v/>
      </c>
    </row>
    <row r="68">
      <c r="A68" s="25" t="n">
        <v>21</v>
      </c>
      <c r="B68" s="25">
        <f>IFERROR(IF(SUMIFS(tblDaily[Admissions],tblDaily[EntryDate],DATE(2026,2,21),tblDaily[WardCode],"MAE")=0,"",SUMIFS(tblDaily[Admissions],tblDaily[EntryDate],DATE(2026,2,21),tblDaily[WardCode],"MAE")),"")</f>
        <v/>
      </c>
      <c r="C68" s="25">
        <f>IFERROR(IF(SUMIFS(tblDaily[Discharges],tblDaily[EntryDate],DATE(2026,2,21),tblDaily[WardCode],"MAE")=0,"",SUMIFS(tblDaily[Discharges],tblDaily[EntryDate],DATE(2026,2,21),tblDaily[WardCode],"MAE")),"")</f>
        <v/>
      </c>
      <c r="D68" s="25">
        <f>IFERROR(IF(SUMIFS(tblDaily[Deaths],tblDaily[EntryDate],DATE(2026,2,21),tblDaily[WardCode],"MAE")=0,"",SUMIFS(tblDaily[Deaths],tblDaily[EntryDate],DATE(2026,2,21),tblDaily[WardCode],"MAE")),"")</f>
        <v/>
      </c>
      <c r="E68" s="25">
        <f>IFERROR(IF(SUMIFS(tblDaily[DeathsUnder24Hrs],tblDaily[EntryDate],DATE(2026,2,21),tblDaily[WardCode],"MAE")=0,"",SUMIFS(tblDaily[DeathsUnder24Hrs],tblDaily[EntryDate],DATE(2026,2,21),tblDaily[WardCode],"MAE")),"")</f>
        <v/>
      </c>
      <c r="F68" s="25">
        <f>IFERROR(IF(SUMIFS(tblDaily[TransfersIn],tblDaily[EntryDate],DATE(2026,2,21),tblDaily[WardCode],"MAE")=0,"",SUMIFS(tblDaily[TransfersIn],tblDaily[EntryDate],DATE(2026,2,21),tblDaily[WardCode],"MAE")),"")</f>
        <v/>
      </c>
      <c r="G68" s="25">
        <f>IFERROR(IF(SUMIFS(tblDaily[TransfersOut],tblDaily[EntryDate],DATE(2026,2,21),tblDaily[WardCode],"MAE")=0,"",SUMIFS(tblDaily[TransfersOut],tblDaily[EntryDate],DATE(2026,2,21),tblDaily[WardCode],"MAE")),"")</f>
        <v/>
      </c>
      <c r="H68" s="25">
        <f>IFERROR(IF(SUMIFS(tblDaily[Remaining],tblDaily[EntryDate],DATE(2026,2,21),tblDaily[WardCode],"MAE")=0,"",SUMIFS(tblDaily[Remaining],tblDaily[EntryDate],DATE(2026,2,21),tblDaily[WardCode],"MAE")),"")</f>
        <v/>
      </c>
      <c r="I68" s="25">
        <f>IFERROR(IF(SUMIFS(tblDaily[Admissions],tblDaily[EntryDate],DATE(2026,2,21),tblDaily[WardCode],"FAE")=0,"",SUMIFS(tblDaily[Admissions],tblDaily[EntryDate],DATE(2026,2,21),tblDaily[WardCode],"FAE")),"")</f>
        <v/>
      </c>
      <c r="J68" s="25">
        <f>IFERROR(IF(SUMIFS(tblDaily[Discharges],tblDaily[EntryDate],DATE(2026,2,21),tblDaily[WardCode],"FAE")=0,"",SUMIFS(tblDaily[Discharges],tblDaily[EntryDate],DATE(2026,2,21),tblDaily[WardCode],"FAE")),"")</f>
        <v/>
      </c>
      <c r="K68" s="25">
        <f>IFERROR(IF(SUMIFS(tblDaily[Deaths],tblDaily[EntryDate],DATE(2026,2,21),tblDaily[WardCode],"FAE")=0,"",SUMIFS(tblDaily[Deaths],tblDaily[EntryDate],DATE(2026,2,21),tblDaily[WardCode],"FAE")),"")</f>
        <v/>
      </c>
      <c r="L68" s="25">
        <f>IFERROR(IF(SUMIFS(tblDaily[DeathsUnder24Hrs],tblDaily[EntryDate],DATE(2026,2,21),tblDaily[WardCode],"FAE")=0,"",SUMIFS(tblDaily[DeathsUnder24Hrs],tblDaily[EntryDate],DATE(2026,2,21),tblDaily[WardCode],"FAE")),"")</f>
        <v/>
      </c>
      <c r="M68" s="25">
        <f>IFERROR(IF(SUMIFS(tblDaily[TransfersIn],tblDaily[EntryDate],DATE(2026,2,21),tblDaily[WardCode],"FAE")=0,"",SUMIFS(tblDaily[TransfersIn],tblDaily[EntryDate],DATE(2026,2,21),tblDaily[WardCode],"FAE")),"")</f>
        <v/>
      </c>
      <c r="N68" s="25">
        <f>IFERROR(IF(SUMIFS(tblDaily[TransfersOut],tblDaily[EntryDate],DATE(2026,2,21),tblDaily[WardCode],"FAE")=0,"",SUMIFS(tblDaily[TransfersOut],tblDaily[EntryDate],DATE(2026,2,21),tblDaily[WardCode],"FAE")),"")</f>
        <v/>
      </c>
      <c r="O68" s="25">
        <f>IFERROR(IF(SUMIFS(tblDaily[Remaining],tblDaily[EntryDate],DATE(2026,2,21),tblDaily[WardCode],"FAE")=0,"",SUMIFS(tblDaily[Remaining],tblDaily[EntryDate],DATE(2026,2,21),tblDaily[WardCode],"FAE")),"")</f>
        <v/>
      </c>
      <c r="P68" s="26">
        <f>IF(AND(H68="", O68=""), "", N(H68) + N(O68))</f>
        <v/>
      </c>
    </row>
    <row r="69">
      <c r="A69" s="25" t="n">
        <v>22</v>
      </c>
      <c r="B69" s="25">
        <f>IFERROR(IF(SUMIFS(tblDaily[Admissions],tblDaily[EntryDate],DATE(2026,2,22),tblDaily[WardCode],"MAE")=0,"",SUMIFS(tblDaily[Admissions],tblDaily[EntryDate],DATE(2026,2,22),tblDaily[WardCode],"MAE")),"")</f>
        <v/>
      </c>
      <c r="C69" s="25">
        <f>IFERROR(IF(SUMIFS(tblDaily[Discharges],tblDaily[EntryDate],DATE(2026,2,22),tblDaily[WardCode],"MAE")=0,"",SUMIFS(tblDaily[Discharges],tblDaily[EntryDate],DATE(2026,2,22),tblDaily[WardCode],"MAE")),"")</f>
        <v/>
      </c>
      <c r="D69" s="25">
        <f>IFERROR(IF(SUMIFS(tblDaily[Deaths],tblDaily[EntryDate],DATE(2026,2,22),tblDaily[WardCode],"MAE")=0,"",SUMIFS(tblDaily[Deaths],tblDaily[EntryDate],DATE(2026,2,22),tblDaily[WardCode],"MAE")),"")</f>
        <v/>
      </c>
      <c r="E69" s="25">
        <f>IFERROR(IF(SUMIFS(tblDaily[DeathsUnder24Hrs],tblDaily[EntryDate],DATE(2026,2,22),tblDaily[WardCode],"MAE")=0,"",SUMIFS(tblDaily[DeathsUnder24Hrs],tblDaily[EntryDate],DATE(2026,2,22),tblDaily[WardCode],"MAE")),"")</f>
        <v/>
      </c>
      <c r="F69" s="25">
        <f>IFERROR(IF(SUMIFS(tblDaily[TransfersIn],tblDaily[EntryDate],DATE(2026,2,22),tblDaily[WardCode],"MAE")=0,"",SUMIFS(tblDaily[TransfersIn],tblDaily[EntryDate],DATE(2026,2,22),tblDaily[WardCode],"MAE")),"")</f>
        <v/>
      </c>
      <c r="G69" s="25">
        <f>IFERROR(IF(SUMIFS(tblDaily[TransfersOut],tblDaily[EntryDate],DATE(2026,2,22),tblDaily[WardCode],"MAE")=0,"",SUMIFS(tblDaily[TransfersOut],tblDaily[EntryDate],DATE(2026,2,22),tblDaily[WardCode],"MAE")),"")</f>
        <v/>
      </c>
      <c r="H69" s="25">
        <f>IFERROR(IF(SUMIFS(tblDaily[Remaining],tblDaily[EntryDate],DATE(2026,2,22),tblDaily[WardCode],"MAE")=0,"",SUMIFS(tblDaily[Remaining],tblDaily[EntryDate],DATE(2026,2,22),tblDaily[WardCode],"MAE")),"")</f>
        <v/>
      </c>
      <c r="I69" s="25">
        <f>IFERROR(IF(SUMIFS(tblDaily[Admissions],tblDaily[EntryDate],DATE(2026,2,22),tblDaily[WardCode],"FAE")=0,"",SUMIFS(tblDaily[Admissions],tblDaily[EntryDate],DATE(2026,2,22),tblDaily[WardCode],"FAE")),"")</f>
        <v/>
      </c>
      <c r="J69" s="25">
        <f>IFERROR(IF(SUMIFS(tblDaily[Discharges],tblDaily[EntryDate],DATE(2026,2,22),tblDaily[WardCode],"FAE")=0,"",SUMIFS(tblDaily[Discharges],tblDaily[EntryDate],DATE(2026,2,22),tblDaily[WardCode],"FAE")),"")</f>
        <v/>
      </c>
      <c r="K69" s="25">
        <f>IFERROR(IF(SUMIFS(tblDaily[Deaths],tblDaily[EntryDate],DATE(2026,2,22),tblDaily[WardCode],"FAE")=0,"",SUMIFS(tblDaily[Deaths],tblDaily[EntryDate],DATE(2026,2,22),tblDaily[WardCode],"FAE")),"")</f>
        <v/>
      </c>
      <c r="L69" s="25">
        <f>IFERROR(IF(SUMIFS(tblDaily[DeathsUnder24Hrs],tblDaily[EntryDate],DATE(2026,2,22),tblDaily[WardCode],"FAE")=0,"",SUMIFS(tblDaily[DeathsUnder24Hrs],tblDaily[EntryDate],DATE(2026,2,22),tblDaily[WardCode],"FAE")),"")</f>
        <v/>
      </c>
      <c r="M69" s="25">
        <f>IFERROR(IF(SUMIFS(tblDaily[TransfersIn],tblDaily[EntryDate],DATE(2026,2,22),tblDaily[WardCode],"FAE")=0,"",SUMIFS(tblDaily[TransfersIn],tblDaily[EntryDate],DATE(2026,2,22),tblDaily[WardCode],"FAE")),"")</f>
        <v/>
      </c>
      <c r="N69" s="25">
        <f>IFERROR(IF(SUMIFS(tblDaily[TransfersOut],tblDaily[EntryDate],DATE(2026,2,22),tblDaily[WardCode],"FAE")=0,"",SUMIFS(tblDaily[TransfersOut],tblDaily[EntryDate],DATE(2026,2,22),tblDaily[WardCode],"FAE")),"")</f>
        <v/>
      </c>
      <c r="O69" s="25">
        <f>IFERROR(IF(SUMIFS(tblDaily[Remaining],tblDaily[EntryDate],DATE(2026,2,22),tblDaily[WardCode],"FAE")=0,"",SUMIFS(tblDaily[Remaining],tblDaily[EntryDate],DATE(2026,2,22),tblDaily[WardCode],"FAE")),"")</f>
        <v/>
      </c>
      <c r="P69" s="26">
        <f>IF(AND(H69="", O69=""), "", N(H69) + N(O69))</f>
        <v/>
      </c>
    </row>
    <row r="70">
      <c r="A70" s="25" t="n">
        <v>23</v>
      </c>
      <c r="B70" s="25">
        <f>IFERROR(IF(SUMIFS(tblDaily[Admissions],tblDaily[EntryDate],DATE(2026,2,23),tblDaily[WardCode],"MAE")=0,"",SUMIFS(tblDaily[Admissions],tblDaily[EntryDate],DATE(2026,2,23),tblDaily[WardCode],"MAE")),"")</f>
        <v/>
      </c>
      <c r="C70" s="25">
        <f>IFERROR(IF(SUMIFS(tblDaily[Discharges],tblDaily[EntryDate],DATE(2026,2,23),tblDaily[WardCode],"MAE")=0,"",SUMIFS(tblDaily[Discharges],tblDaily[EntryDate],DATE(2026,2,23),tblDaily[WardCode],"MAE")),"")</f>
        <v/>
      </c>
      <c r="D70" s="25">
        <f>IFERROR(IF(SUMIFS(tblDaily[Deaths],tblDaily[EntryDate],DATE(2026,2,23),tblDaily[WardCode],"MAE")=0,"",SUMIFS(tblDaily[Deaths],tblDaily[EntryDate],DATE(2026,2,23),tblDaily[WardCode],"MAE")),"")</f>
        <v/>
      </c>
      <c r="E70" s="25">
        <f>IFERROR(IF(SUMIFS(tblDaily[DeathsUnder24Hrs],tblDaily[EntryDate],DATE(2026,2,23),tblDaily[WardCode],"MAE")=0,"",SUMIFS(tblDaily[DeathsUnder24Hrs],tblDaily[EntryDate],DATE(2026,2,23),tblDaily[WardCode],"MAE")),"")</f>
        <v/>
      </c>
      <c r="F70" s="25">
        <f>IFERROR(IF(SUMIFS(tblDaily[TransfersIn],tblDaily[EntryDate],DATE(2026,2,23),tblDaily[WardCode],"MAE")=0,"",SUMIFS(tblDaily[TransfersIn],tblDaily[EntryDate],DATE(2026,2,23),tblDaily[WardCode],"MAE")),"")</f>
        <v/>
      </c>
      <c r="G70" s="25">
        <f>IFERROR(IF(SUMIFS(tblDaily[TransfersOut],tblDaily[EntryDate],DATE(2026,2,23),tblDaily[WardCode],"MAE")=0,"",SUMIFS(tblDaily[TransfersOut],tblDaily[EntryDate],DATE(2026,2,23),tblDaily[WardCode],"MAE")),"")</f>
        <v/>
      </c>
      <c r="H70" s="25">
        <f>IFERROR(IF(SUMIFS(tblDaily[Remaining],tblDaily[EntryDate],DATE(2026,2,23),tblDaily[WardCode],"MAE")=0,"",SUMIFS(tblDaily[Remaining],tblDaily[EntryDate],DATE(2026,2,23),tblDaily[WardCode],"MAE")),"")</f>
        <v/>
      </c>
      <c r="I70" s="25">
        <f>IFERROR(IF(SUMIFS(tblDaily[Admissions],tblDaily[EntryDate],DATE(2026,2,23),tblDaily[WardCode],"FAE")=0,"",SUMIFS(tblDaily[Admissions],tblDaily[EntryDate],DATE(2026,2,23),tblDaily[WardCode],"FAE")),"")</f>
        <v/>
      </c>
      <c r="J70" s="25">
        <f>IFERROR(IF(SUMIFS(tblDaily[Discharges],tblDaily[EntryDate],DATE(2026,2,23),tblDaily[WardCode],"FAE")=0,"",SUMIFS(tblDaily[Discharges],tblDaily[EntryDate],DATE(2026,2,23),tblDaily[WardCode],"FAE")),"")</f>
        <v/>
      </c>
      <c r="K70" s="25">
        <f>IFERROR(IF(SUMIFS(tblDaily[Deaths],tblDaily[EntryDate],DATE(2026,2,23),tblDaily[WardCode],"FAE")=0,"",SUMIFS(tblDaily[Deaths],tblDaily[EntryDate],DATE(2026,2,23),tblDaily[WardCode],"FAE")),"")</f>
        <v/>
      </c>
      <c r="L70" s="25">
        <f>IFERROR(IF(SUMIFS(tblDaily[DeathsUnder24Hrs],tblDaily[EntryDate],DATE(2026,2,23),tblDaily[WardCode],"FAE")=0,"",SUMIFS(tblDaily[DeathsUnder24Hrs],tblDaily[EntryDate],DATE(2026,2,23),tblDaily[WardCode],"FAE")),"")</f>
        <v/>
      </c>
      <c r="M70" s="25">
        <f>IFERROR(IF(SUMIFS(tblDaily[TransfersIn],tblDaily[EntryDate],DATE(2026,2,23),tblDaily[WardCode],"FAE")=0,"",SUMIFS(tblDaily[TransfersIn],tblDaily[EntryDate],DATE(2026,2,23),tblDaily[WardCode],"FAE")),"")</f>
        <v/>
      </c>
      <c r="N70" s="25">
        <f>IFERROR(IF(SUMIFS(tblDaily[TransfersOut],tblDaily[EntryDate],DATE(2026,2,23),tblDaily[WardCode],"FAE")=0,"",SUMIFS(tblDaily[TransfersOut],tblDaily[EntryDate],DATE(2026,2,23),tblDaily[WardCode],"FAE")),"")</f>
        <v/>
      </c>
      <c r="O70" s="25">
        <f>IFERROR(IF(SUMIFS(tblDaily[Remaining],tblDaily[EntryDate],DATE(2026,2,23),tblDaily[WardCode],"FAE")=0,"",SUMIFS(tblDaily[Remaining],tblDaily[EntryDate],DATE(2026,2,23),tblDaily[WardCode],"FAE")),"")</f>
        <v/>
      </c>
      <c r="P70" s="26">
        <f>IF(AND(H70="", O70=""), "", N(H70) + N(O70))</f>
        <v/>
      </c>
    </row>
    <row r="71">
      <c r="A71" s="25" t="n">
        <v>24</v>
      </c>
      <c r="B71" s="25">
        <f>IFERROR(IF(SUMIFS(tblDaily[Admissions],tblDaily[EntryDate],DATE(2026,2,24),tblDaily[WardCode],"MAE")=0,"",SUMIFS(tblDaily[Admissions],tblDaily[EntryDate],DATE(2026,2,24),tblDaily[WardCode],"MAE")),"")</f>
        <v/>
      </c>
      <c r="C71" s="25">
        <f>IFERROR(IF(SUMIFS(tblDaily[Discharges],tblDaily[EntryDate],DATE(2026,2,24),tblDaily[WardCode],"MAE")=0,"",SUMIFS(tblDaily[Discharges],tblDaily[EntryDate],DATE(2026,2,24),tblDaily[WardCode],"MAE")),"")</f>
        <v/>
      </c>
      <c r="D71" s="25">
        <f>IFERROR(IF(SUMIFS(tblDaily[Deaths],tblDaily[EntryDate],DATE(2026,2,24),tblDaily[WardCode],"MAE")=0,"",SUMIFS(tblDaily[Deaths],tblDaily[EntryDate],DATE(2026,2,24),tblDaily[WardCode],"MAE")),"")</f>
        <v/>
      </c>
      <c r="E71" s="25">
        <f>IFERROR(IF(SUMIFS(tblDaily[DeathsUnder24Hrs],tblDaily[EntryDate],DATE(2026,2,24),tblDaily[WardCode],"MAE")=0,"",SUMIFS(tblDaily[DeathsUnder24Hrs],tblDaily[EntryDate],DATE(2026,2,24),tblDaily[WardCode],"MAE")),"")</f>
        <v/>
      </c>
      <c r="F71" s="25">
        <f>IFERROR(IF(SUMIFS(tblDaily[TransfersIn],tblDaily[EntryDate],DATE(2026,2,24),tblDaily[WardCode],"MAE")=0,"",SUMIFS(tblDaily[TransfersIn],tblDaily[EntryDate],DATE(2026,2,24),tblDaily[WardCode],"MAE")),"")</f>
        <v/>
      </c>
      <c r="G71" s="25">
        <f>IFERROR(IF(SUMIFS(tblDaily[TransfersOut],tblDaily[EntryDate],DATE(2026,2,24),tblDaily[WardCode],"MAE")=0,"",SUMIFS(tblDaily[TransfersOut],tblDaily[EntryDate],DATE(2026,2,24),tblDaily[WardCode],"MAE")),"")</f>
        <v/>
      </c>
      <c r="H71" s="25">
        <f>IFERROR(IF(SUMIFS(tblDaily[Remaining],tblDaily[EntryDate],DATE(2026,2,24),tblDaily[WardCode],"MAE")=0,"",SUMIFS(tblDaily[Remaining],tblDaily[EntryDate],DATE(2026,2,24),tblDaily[WardCode],"MAE")),"")</f>
        <v/>
      </c>
      <c r="I71" s="25">
        <f>IFERROR(IF(SUMIFS(tblDaily[Admissions],tblDaily[EntryDate],DATE(2026,2,24),tblDaily[WardCode],"FAE")=0,"",SUMIFS(tblDaily[Admissions],tblDaily[EntryDate],DATE(2026,2,24),tblDaily[WardCode],"FAE")),"")</f>
        <v/>
      </c>
      <c r="J71" s="25">
        <f>IFERROR(IF(SUMIFS(tblDaily[Discharges],tblDaily[EntryDate],DATE(2026,2,24),tblDaily[WardCode],"FAE")=0,"",SUMIFS(tblDaily[Discharges],tblDaily[EntryDate],DATE(2026,2,24),tblDaily[WardCode],"FAE")),"")</f>
        <v/>
      </c>
      <c r="K71" s="25">
        <f>IFERROR(IF(SUMIFS(tblDaily[Deaths],tblDaily[EntryDate],DATE(2026,2,24),tblDaily[WardCode],"FAE")=0,"",SUMIFS(tblDaily[Deaths],tblDaily[EntryDate],DATE(2026,2,24),tblDaily[WardCode],"FAE")),"")</f>
        <v/>
      </c>
      <c r="L71" s="25">
        <f>IFERROR(IF(SUMIFS(tblDaily[DeathsUnder24Hrs],tblDaily[EntryDate],DATE(2026,2,24),tblDaily[WardCode],"FAE")=0,"",SUMIFS(tblDaily[DeathsUnder24Hrs],tblDaily[EntryDate],DATE(2026,2,24),tblDaily[WardCode],"FAE")),"")</f>
        <v/>
      </c>
      <c r="M71" s="25">
        <f>IFERROR(IF(SUMIFS(tblDaily[TransfersIn],tblDaily[EntryDate],DATE(2026,2,24),tblDaily[WardCode],"FAE")=0,"",SUMIFS(tblDaily[TransfersIn],tblDaily[EntryDate],DATE(2026,2,24),tblDaily[WardCode],"FAE")),"")</f>
        <v/>
      </c>
      <c r="N71" s="25">
        <f>IFERROR(IF(SUMIFS(tblDaily[TransfersOut],tblDaily[EntryDate],DATE(2026,2,24),tblDaily[WardCode],"FAE")=0,"",SUMIFS(tblDaily[TransfersOut],tblDaily[EntryDate],DATE(2026,2,24),tblDaily[WardCode],"FAE")),"")</f>
        <v/>
      </c>
      <c r="O71" s="25">
        <f>IFERROR(IF(SUMIFS(tblDaily[Remaining],tblDaily[EntryDate],DATE(2026,2,24),tblDaily[WardCode],"FAE")=0,"",SUMIFS(tblDaily[Remaining],tblDaily[EntryDate],DATE(2026,2,24),tblDaily[WardCode],"FAE")),"")</f>
        <v/>
      </c>
      <c r="P71" s="26">
        <f>IF(AND(H71="", O71=""), "", N(H71) + N(O71))</f>
        <v/>
      </c>
    </row>
    <row r="72">
      <c r="A72" s="25" t="n">
        <v>25</v>
      </c>
      <c r="B72" s="25">
        <f>IFERROR(IF(SUMIFS(tblDaily[Admissions],tblDaily[EntryDate],DATE(2026,2,25),tblDaily[WardCode],"MAE")=0,"",SUMIFS(tblDaily[Admissions],tblDaily[EntryDate],DATE(2026,2,25),tblDaily[WardCode],"MAE")),"")</f>
        <v/>
      </c>
      <c r="C72" s="25">
        <f>IFERROR(IF(SUMIFS(tblDaily[Discharges],tblDaily[EntryDate],DATE(2026,2,25),tblDaily[WardCode],"MAE")=0,"",SUMIFS(tblDaily[Discharges],tblDaily[EntryDate],DATE(2026,2,25),tblDaily[WardCode],"MAE")),"")</f>
        <v/>
      </c>
      <c r="D72" s="25">
        <f>IFERROR(IF(SUMIFS(tblDaily[Deaths],tblDaily[EntryDate],DATE(2026,2,25),tblDaily[WardCode],"MAE")=0,"",SUMIFS(tblDaily[Deaths],tblDaily[EntryDate],DATE(2026,2,25),tblDaily[WardCode],"MAE")),"")</f>
        <v/>
      </c>
      <c r="E72" s="25">
        <f>IFERROR(IF(SUMIFS(tblDaily[DeathsUnder24Hrs],tblDaily[EntryDate],DATE(2026,2,25),tblDaily[WardCode],"MAE")=0,"",SUMIFS(tblDaily[DeathsUnder24Hrs],tblDaily[EntryDate],DATE(2026,2,25),tblDaily[WardCode],"MAE")),"")</f>
        <v/>
      </c>
      <c r="F72" s="25">
        <f>IFERROR(IF(SUMIFS(tblDaily[TransfersIn],tblDaily[EntryDate],DATE(2026,2,25),tblDaily[WardCode],"MAE")=0,"",SUMIFS(tblDaily[TransfersIn],tblDaily[EntryDate],DATE(2026,2,25),tblDaily[WardCode],"MAE")),"")</f>
        <v/>
      </c>
      <c r="G72" s="25">
        <f>IFERROR(IF(SUMIFS(tblDaily[TransfersOut],tblDaily[EntryDate],DATE(2026,2,25),tblDaily[WardCode],"MAE")=0,"",SUMIFS(tblDaily[TransfersOut],tblDaily[EntryDate],DATE(2026,2,25),tblDaily[WardCode],"MAE")),"")</f>
        <v/>
      </c>
      <c r="H72" s="25">
        <f>IFERROR(IF(SUMIFS(tblDaily[Remaining],tblDaily[EntryDate],DATE(2026,2,25),tblDaily[WardCode],"MAE")=0,"",SUMIFS(tblDaily[Remaining],tblDaily[EntryDate],DATE(2026,2,25),tblDaily[WardCode],"MAE")),"")</f>
        <v/>
      </c>
      <c r="I72" s="25">
        <f>IFERROR(IF(SUMIFS(tblDaily[Admissions],tblDaily[EntryDate],DATE(2026,2,25),tblDaily[WardCode],"FAE")=0,"",SUMIFS(tblDaily[Admissions],tblDaily[EntryDate],DATE(2026,2,25),tblDaily[WardCode],"FAE")),"")</f>
        <v/>
      </c>
      <c r="J72" s="25">
        <f>IFERROR(IF(SUMIFS(tblDaily[Discharges],tblDaily[EntryDate],DATE(2026,2,25),tblDaily[WardCode],"FAE")=0,"",SUMIFS(tblDaily[Discharges],tblDaily[EntryDate],DATE(2026,2,25),tblDaily[WardCode],"FAE")),"")</f>
        <v/>
      </c>
      <c r="K72" s="25">
        <f>IFERROR(IF(SUMIFS(tblDaily[Deaths],tblDaily[EntryDate],DATE(2026,2,25),tblDaily[WardCode],"FAE")=0,"",SUMIFS(tblDaily[Deaths],tblDaily[EntryDate],DATE(2026,2,25),tblDaily[WardCode],"FAE")),"")</f>
        <v/>
      </c>
      <c r="L72" s="25">
        <f>IFERROR(IF(SUMIFS(tblDaily[DeathsUnder24Hrs],tblDaily[EntryDate],DATE(2026,2,25),tblDaily[WardCode],"FAE")=0,"",SUMIFS(tblDaily[DeathsUnder24Hrs],tblDaily[EntryDate],DATE(2026,2,25),tblDaily[WardCode],"FAE")),"")</f>
        <v/>
      </c>
      <c r="M72" s="25">
        <f>IFERROR(IF(SUMIFS(tblDaily[TransfersIn],tblDaily[EntryDate],DATE(2026,2,25),tblDaily[WardCode],"FAE")=0,"",SUMIFS(tblDaily[TransfersIn],tblDaily[EntryDate],DATE(2026,2,25),tblDaily[WardCode],"FAE")),"")</f>
        <v/>
      </c>
      <c r="N72" s="25">
        <f>IFERROR(IF(SUMIFS(tblDaily[TransfersOut],tblDaily[EntryDate],DATE(2026,2,25),tblDaily[WardCode],"FAE")=0,"",SUMIFS(tblDaily[TransfersOut],tblDaily[EntryDate],DATE(2026,2,25),tblDaily[WardCode],"FAE")),"")</f>
        <v/>
      </c>
      <c r="O72" s="25">
        <f>IFERROR(IF(SUMIFS(tblDaily[Remaining],tblDaily[EntryDate],DATE(2026,2,25),tblDaily[WardCode],"FAE")=0,"",SUMIFS(tblDaily[Remaining],tblDaily[EntryDate],DATE(2026,2,25),tblDaily[WardCode],"FAE")),"")</f>
        <v/>
      </c>
      <c r="P72" s="26">
        <f>IF(AND(H72="", O72=""), "", N(H72) + N(O72))</f>
        <v/>
      </c>
    </row>
    <row r="73">
      <c r="A73" s="25" t="n">
        <v>26</v>
      </c>
      <c r="B73" s="25">
        <f>IFERROR(IF(SUMIFS(tblDaily[Admissions],tblDaily[EntryDate],DATE(2026,2,26),tblDaily[WardCode],"MAE")=0,"",SUMIFS(tblDaily[Admissions],tblDaily[EntryDate],DATE(2026,2,26),tblDaily[WardCode],"MAE")),"")</f>
        <v/>
      </c>
      <c r="C73" s="25">
        <f>IFERROR(IF(SUMIFS(tblDaily[Discharges],tblDaily[EntryDate],DATE(2026,2,26),tblDaily[WardCode],"MAE")=0,"",SUMIFS(tblDaily[Discharges],tblDaily[EntryDate],DATE(2026,2,26),tblDaily[WardCode],"MAE")),"")</f>
        <v/>
      </c>
      <c r="D73" s="25">
        <f>IFERROR(IF(SUMIFS(tblDaily[Deaths],tblDaily[EntryDate],DATE(2026,2,26),tblDaily[WardCode],"MAE")=0,"",SUMIFS(tblDaily[Deaths],tblDaily[EntryDate],DATE(2026,2,26),tblDaily[WardCode],"MAE")),"")</f>
        <v/>
      </c>
      <c r="E73" s="25">
        <f>IFERROR(IF(SUMIFS(tblDaily[DeathsUnder24Hrs],tblDaily[EntryDate],DATE(2026,2,26),tblDaily[WardCode],"MAE")=0,"",SUMIFS(tblDaily[DeathsUnder24Hrs],tblDaily[EntryDate],DATE(2026,2,26),tblDaily[WardCode],"MAE")),"")</f>
        <v/>
      </c>
      <c r="F73" s="25">
        <f>IFERROR(IF(SUMIFS(tblDaily[TransfersIn],tblDaily[EntryDate],DATE(2026,2,26),tblDaily[WardCode],"MAE")=0,"",SUMIFS(tblDaily[TransfersIn],tblDaily[EntryDate],DATE(2026,2,26),tblDaily[WardCode],"MAE")),"")</f>
        <v/>
      </c>
      <c r="G73" s="25">
        <f>IFERROR(IF(SUMIFS(tblDaily[TransfersOut],tblDaily[EntryDate],DATE(2026,2,26),tblDaily[WardCode],"MAE")=0,"",SUMIFS(tblDaily[TransfersOut],tblDaily[EntryDate],DATE(2026,2,26),tblDaily[WardCode],"MAE")),"")</f>
        <v/>
      </c>
      <c r="H73" s="25">
        <f>IFERROR(IF(SUMIFS(tblDaily[Remaining],tblDaily[EntryDate],DATE(2026,2,26),tblDaily[WardCode],"MAE")=0,"",SUMIFS(tblDaily[Remaining],tblDaily[EntryDate],DATE(2026,2,26),tblDaily[WardCode],"MAE")),"")</f>
        <v/>
      </c>
      <c r="I73" s="25">
        <f>IFERROR(IF(SUMIFS(tblDaily[Admissions],tblDaily[EntryDate],DATE(2026,2,26),tblDaily[WardCode],"FAE")=0,"",SUMIFS(tblDaily[Admissions],tblDaily[EntryDate],DATE(2026,2,26),tblDaily[WardCode],"FAE")),"")</f>
        <v/>
      </c>
      <c r="J73" s="25">
        <f>IFERROR(IF(SUMIFS(tblDaily[Discharges],tblDaily[EntryDate],DATE(2026,2,26),tblDaily[WardCode],"FAE")=0,"",SUMIFS(tblDaily[Discharges],tblDaily[EntryDate],DATE(2026,2,26),tblDaily[WardCode],"FAE")),"")</f>
        <v/>
      </c>
      <c r="K73" s="25">
        <f>IFERROR(IF(SUMIFS(tblDaily[Deaths],tblDaily[EntryDate],DATE(2026,2,26),tblDaily[WardCode],"FAE")=0,"",SUMIFS(tblDaily[Deaths],tblDaily[EntryDate],DATE(2026,2,26),tblDaily[WardCode],"FAE")),"")</f>
        <v/>
      </c>
      <c r="L73" s="25">
        <f>IFERROR(IF(SUMIFS(tblDaily[DeathsUnder24Hrs],tblDaily[EntryDate],DATE(2026,2,26),tblDaily[WardCode],"FAE")=0,"",SUMIFS(tblDaily[DeathsUnder24Hrs],tblDaily[EntryDate],DATE(2026,2,26),tblDaily[WardCode],"FAE")),"")</f>
        <v/>
      </c>
      <c r="M73" s="25">
        <f>IFERROR(IF(SUMIFS(tblDaily[TransfersIn],tblDaily[EntryDate],DATE(2026,2,26),tblDaily[WardCode],"FAE")=0,"",SUMIFS(tblDaily[TransfersIn],tblDaily[EntryDate],DATE(2026,2,26),tblDaily[WardCode],"FAE")),"")</f>
        <v/>
      </c>
      <c r="N73" s="25">
        <f>IFERROR(IF(SUMIFS(tblDaily[TransfersOut],tblDaily[EntryDate],DATE(2026,2,26),tblDaily[WardCode],"FAE")=0,"",SUMIFS(tblDaily[TransfersOut],tblDaily[EntryDate],DATE(2026,2,26),tblDaily[WardCode],"FAE")),"")</f>
        <v/>
      </c>
      <c r="O73" s="25">
        <f>IFERROR(IF(SUMIFS(tblDaily[Remaining],tblDaily[EntryDate],DATE(2026,2,26),tblDaily[WardCode],"FAE")=0,"",SUMIFS(tblDaily[Remaining],tblDaily[EntryDate],DATE(2026,2,26),tblDaily[WardCode],"FAE")),"")</f>
        <v/>
      </c>
      <c r="P73" s="26">
        <f>IF(AND(H73="", O73=""), "", N(H73) + N(O73))</f>
        <v/>
      </c>
    </row>
    <row r="74">
      <c r="A74" s="25" t="n">
        <v>27</v>
      </c>
      <c r="B74" s="25">
        <f>IFERROR(IF(SUMIFS(tblDaily[Admissions],tblDaily[EntryDate],DATE(2026,2,27),tblDaily[WardCode],"MAE")=0,"",SUMIFS(tblDaily[Admissions],tblDaily[EntryDate],DATE(2026,2,27),tblDaily[WardCode],"MAE")),"")</f>
        <v/>
      </c>
      <c r="C74" s="25">
        <f>IFERROR(IF(SUMIFS(tblDaily[Discharges],tblDaily[EntryDate],DATE(2026,2,27),tblDaily[WardCode],"MAE")=0,"",SUMIFS(tblDaily[Discharges],tblDaily[EntryDate],DATE(2026,2,27),tblDaily[WardCode],"MAE")),"")</f>
        <v/>
      </c>
      <c r="D74" s="25">
        <f>IFERROR(IF(SUMIFS(tblDaily[Deaths],tblDaily[EntryDate],DATE(2026,2,27),tblDaily[WardCode],"MAE")=0,"",SUMIFS(tblDaily[Deaths],tblDaily[EntryDate],DATE(2026,2,27),tblDaily[WardCode],"MAE")),"")</f>
        <v/>
      </c>
      <c r="E74" s="25">
        <f>IFERROR(IF(SUMIFS(tblDaily[DeathsUnder24Hrs],tblDaily[EntryDate],DATE(2026,2,27),tblDaily[WardCode],"MAE")=0,"",SUMIFS(tblDaily[DeathsUnder24Hrs],tblDaily[EntryDate],DATE(2026,2,27),tblDaily[WardCode],"MAE")),"")</f>
        <v/>
      </c>
      <c r="F74" s="25">
        <f>IFERROR(IF(SUMIFS(tblDaily[TransfersIn],tblDaily[EntryDate],DATE(2026,2,27),tblDaily[WardCode],"MAE")=0,"",SUMIFS(tblDaily[TransfersIn],tblDaily[EntryDate],DATE(2026,2,27),tblDaily[WardCode],"MAE")),"")</f>
        <v/>
      </c>
      <c r="G74" s="25">
        <f>IFERROR(IF(SUMIFS(tblDaily[TransfersOut],tblDaily[EntryDate],DATE(2026,2,27),tblDaily[WardCode],"MAE")=0,"",SUMIFS(tblDaily[TransfersOut],tblDaily[EntryDate],DATE(2026,2,27),tblDaily[WardCode],"MAE")),"")</f>
        <v/>
      </c>
      <c r="H74" s="25">
        <f>IFERROR(IF(SUMIFS(tblDaily[Remaining],tblDaily[EntryDate],DATE(2026,2,27),tblDaily[WardCode],"MAE")=0,"",SUMIFS(tblDaily[Remaining],tblDaily[EntryDate],DATE(2026,2,27),tblDaily[WardCode],"MAE")),"")</f>
        <v/>
      </c>
      <c r="I74" s="25">
        <f>IFERROR(IF(SUMIFS(tblDaily[Admissions],tblDaily[EntryDate],DATE(2026,2,27),tblDaily[WardCode],"FAE")=0,"",SUMIFS(tblDaily[Admissions],tblDaily[EntryDate],DATE(2026,2,27),tblDaily[WardCode],"FAE")),"")</f>
        <v/>
      </c>
      <c r="J74" s="25">
        <f>IFERROR(IF(SUMIFS(tblDaily[Discharges],tblDaily[EntryDate],DATE(2026,2,27),tblDaily[WardCode],"FAE")=0,"",SUMIFS(tblDaily[Discharges],tblDaily[EntryDate],DATE(2026,2,27),tblDaily[WardCode],"FAE")),"")</f>
        <v/>
      </c>
      <c r="K74" s="25">
        <f>IFERROR(IF(SUMIFS(tblDaily[Deaths],tblDaily[EntryDate],DATE(2026,2,27),tblDaily[WardCode],"FAE")=0,"",SUMIFS(tblDaily[Deaths],tblDaily[EntryDate],DATE(2026,2,27),tblDaily[WardCode],"FAE")),"")</f>
        <v/>
      </c>
      <c r="L74" s="25">
        <f>IFERROR(IF(SUMIFS(tblDaily[DeathsUnder24Hrs],tblDaily[EntryDate],DATE(2026,2,27),tblDaily[WardCode],"FAE")=0,"",SUMIFS(tblDaily[DeathsUnder24Hrs],tblDaily[EntryDate],DATE(2026,2,27),tblDaily[WardCode],"FAE")),"")</f>
        <v/>
      </c>
      <c r="M74" s="25">
        <f>IFERROR(IF(SUMIFS(tblDaily[TransfersIn],tblDaily[EntryDate],DATE(2026,2,27),tblDaily[WardCode],"FAE")=0,"",SUMIFS(tblDaily[TransfersIn],tblDaily[EntryDate],DATE(2026,2,27),tblDaily[WardCode],"FAE")),"")</f>
        <v/>
      </c>
      <c r="N74" s="25">
        <f>IFERROR(IF(SUMIFS(tblDaily[TransfersOut],tblDaily[EntryDate],DATE(2026,2,27),tblDaily[WardCode],"FAE")=0,"",SUMIFS(tblDaily[TransfersOut],tblDaily[EntryDate],DATE(2026,2,27),tblDaily[WardCode],"FAE")),"")</f>
        <v/>
      </c>
      <c r="O74" s="25">
        <f>IFERROR(IF(SUMIFS(tblDaily[Remaining],tblDaily[EntryDate],DATE(2026,2,27),tblDaily[WardCode],"FAE")=0,"",SUMIFS(tblDaily[Remaining],tblDaily[EntryDate],DATE(2026,2,27),tblDaily[WardCode],"FAE")),"")</f>
        <v/>
      </c>
      <c r="P74" s="26">
        <f>IF(AND(H74="", O74=""), "", N(H74) + N(O74))</f>
        <v/>
      </c>
    </row>
    <row r="75">
      <c r="A75" s="25" t="n">
        <v>28</v>
      </c>
      <c r="B75" s="25">
        <f>IFERROR(IF(SUMIFS(tblDaily[Admissions],tblDaily[EntryDate],DATE(2026,2,28),tblDaily[WardCode],"MAE")=0,"",SUMIFS(tblDaily[Admissions],tblDaily[EntryDate],DATE(2026,2,28),tblDaily[WardCode],"MAE")),"")</f>
        <v/>
      </c>
      <c r="C75" s="25">
        <f>IFERROR(IF(SUMIFS(tblDaily[Discharges],tblDaily[EntryDate],DATE(2026,2,28),tblDaily[WardCode],"MAE")=0,"",SUMIFS(tblDaily[Discharges],tblDaily[EntryDate],DATE(2026,2,28),tblDaily[WardCode],"MAE")),"")</f>
        <v/>
      </c>
      <c r="D75" s="25">
        <f>IFERROR(IF(SUMIFS(tblDaily[Deaths],tblDaily[EntryDate],DATE(2026,2,28),tblDaily[WardCode],"MAE")=0,"",SUMIFS(tblDaily[Deaths],tblDaily[EntryDate],DATE(2026,2,28),tblDaily[WardCode],"MAE")),"")</f>
        <v/>
      </c>
      <c r="E75" s="25">
        <f>IFERROR(IF(SUMIFS(tblDaily[DeathsUnder24Hrs],tblDaily[EntryDate],DATE(2026,2,28),tblDaily[WardCode],"MAE")=0,"",SUMIFS(tblDaily[DeathsUnder24Hrs],tblDaily[EntryDate],DATE(2026,2,28),tblDaily[WardCode],"MAE")),"")</f>
        <v/>
      </c>
      <c r="F75" s="25">
        <f>IFERROR(IF(SUMIFS(tblDaily[TransfersIn],tblDaily[EntryDate],DATE(2026,2,28),tblDaily[WardCode],"MAE")=0,"",SUMIFS(tblDaily[TransfersIn],tblDaily[EntryDate],DATE(2026,2,28),tblDaily[WardCode],"MAE")),"")</f>
        <v/>
      </c>
      <c r="G75" s="25">
        <f>IFERROR(IF(SUMIFS(tblDaily[TransfersOut],tblDaily[EntryDate],DATE(2026,2,28),tblDaily[WardCode],"MAE")=0,"",SUMIFS(tblDaily[TransfersOut],tblDaily[EntryDate],DATE(2026,2,28),tblDaily[WardCode],"MAE")),"")</f>
        <v/>
      </c>
      <c r="H75" s="25">
        <f>IFERROR(IF(SUMIFS(tblDaily[Remaining],tblDaily[EntryDate],DATE(2026,2,28),tblDaily[WardCode],"MAE")=0,"",SUMIFS(tblDaily[Remaining],tblDaily[EntryDate],DATE(2026,2,28),tblDaily[WardCode],"MAE")),"")</f>
        <v/>
      </c>
      <c r="I75" s="25">
        <f>IFERROR(IF(SUMIFS(tblDaily[Admissions],tblDaily[EntryDate],DATE(2026,2,28),tblDaily[WardCode],"FAE")=0,"",SUMIFS(tblDaily[Admissions],tblDaily[EntryDate],DATE(2026,2,28),tblDaily[WardCode],"FAE")),"")</f>
        <v/>
      </c>
      <c r="J75" s="25">
        <f>IFERROR(IF(SUMIFS(tblDaily[Discharges],tblDaily[EntryDate],DATE(2026,2,28),tblDaily[WardCode],"FAE")=0,"",SUMIFS(tblDaily[Discharges],tblDaily[EntryDate],DATE(2026,2,28),tblDaily[WardCode],"FAE")),"")</f>
        <v/>
      </c>
      <c r="K75" s="25">
        <f>IFERROR(IF(SUMIFS(tblDaily[Deaths],tblDaily[EntryDate],DATE(2026,2,28),tblDaily[WardCode],"FAE")=0,"",SUMIFS(tblDaily[Deaths],tblDaily[EntryDate],DATE(2026,2,28),tblDaily[WardCode],"FAE")),"")</f>
        <v/>
      </c>
      <c r="L75" s="25">
        <f>IFERROR(IF(SUMIFS(tblDaily[DeathsUnder24Hrs],tblDaily[EntryDate],DATE(2026,2,28),tblDaily[WardCode],"FAE")=0,"",SUMIFS(tblDaily[DeathsUnder24Hrs],tblDaily[EntryDate],DATE(2026,2,28),tblDaily[WardCode],"FAE")),"")</f>
        <v/>
      </c>
      <c r="M75" s="25">
        <f>IFERROR(IF(SUMIFS(tblDaily[TransfersIn],tblDaily[EntryDate],DATE(2026,2,28),tblDaily[WardCode],"FAE")=0,"",SUMIFS(tblDaily[TransfersIn],tblDaily[EntryDate],DATE(2026,2,28),tblDaily[WardCode],"FAE")),"")</f>
        <v/>
      </c>
      <c r="N75" s="25">
        <f>IFERROR(IF(SUMIFS(tblDaily[TransfersOut],tblDaily[EntryDate],DATE(2026,2,28),tblDaily[WardCode],"FAE")=0,"",SUMIFS(tblDaily[TransfersOut],tblDaily[EntryDate],DATE(2026,2,28),tblDaily[WardCode],"FAE")),"")</f>
        <v/>
      </c>
      <c r="O75" s="25">
        <f>IFERROR(IF(SUMIFS(tblDaily[Remaining],tblDaily[EntryDate],DATE(2026,2,28),tblDaily[WardCode],"FAE")=0,"",SUMIFS(tblDaily[Remaining],tblDaily[EntryDate],DATE(2026,2,28),tblDaily[WardCode],"FAE")),"")</f>
        <v/>
      </c>
      <c r="P75" s="26">
        <f>IF(AND(H75="", O75=""), "", N(H75) + N(O75))</f>
        <v/>
      </c>
    </row>
    <row r="76">
      <c r="A76" s="25" t="n">
        <v>29</v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</row>
    <row r="77">
      <c r="A77" s="25" t="n">
        <v>30</v>
      </c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</row>
    <row r="78">
      <c r="A78" s="25" t="n">
        <v>31</v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</row>
    <row r="79">
      <c r="A79" s="17" t="inlineStr">
        <is>
          <t>TOTAL</t>
        </is>
      </c>
      <c r="B79" s="17">
        <f>SUMIFS(tblDaily[Admissions],tblDaily[Month],2,tblDaily[WardCode],"MAE") - SUMIFS(tblDaily[DeathsUnder24Hrs],tblDaily[Month],2,tblDaily[WardCode],"MAE")</f>
        <v/>
      </c>
      <c r="C79" s="17">
        <f>SUMIFS(tblDaily[Discharges],tblDaily[Month],2,tblDaily[WardCode],"MAE")</f>
        <v/>
      </c>
      <c r="D79" s="17">
        <f>SUMIFS(tblDaily[Deaths],tblDaily[Month],2,tblDaily[WardCode],"MAE")</f>
        <v/>
      </c>
      <c r="E79" s="17">
        <f>SUMIFS(tblDaily[DeathsUnder24Hrs],tblDaily[Month],2,tblDaily[WardCode],"MAE")</f>
        <v/>
      </c>
      <c r="F79" s="17">
        <f>SUMIFS(tblDaily[TransfersIn],tblDaily[Month],2,tblDaily[WardCode],"MAE")</f>
        <v/>
      </c>
      <c r="G79" s="17">
        <f>SUMIFS(tblDaily[TransfersOut],tblDaily[Month],2,tblDaily[WardCode],"MAE")</f>
        <v/>
      </c>
      <c r="H79" s="17">
        <f>SUMIFS(tblDaily[Remaining],tblDaily[Month],2,tblDaily[WardCode],"MAE")</f>
        <v/>
      </c>
      <c r="I79" s="17">
        <f>SUMIFS(tblDaily[Admissions],tblDaily[Month],2,tblDaily[WardCode],"FAE") - SUMIFS(tblDaily[DeathsUnder24Hrs],tblDaily[Month],2,tblDaily[WardCode],"FAE")</f>
        <v/>
      </c>
      <c r="J79" s="17">
        <f>SUMIFS(tblDaily[Discharges],tblDaily[Month],2,tblDaily[WardCode],"FAE")</f>
        <v/>
      </c>
      <c r="K79" s="17">
        <f>SUMIFS(tblDaily[Deaths],tblDaily[Month],2,tblDaily[WardCode],"FAE")</f>
        <v/>
      </c>
      <c r="L79" s="17">
        <f>SUMIFS(tblDaily[DeathsUnder24Hrs],tblDaily[Month],2,tblDaily[WardCode],"FAE")</f>
        <v/>
      </c>
      <c r="M79" s="17">
        <f>SUMIFS(tblDaily[TransfersIn],tblDaily[Month],2,tblDaily[WardCode],"FAE")</f>
        <v/>
      </c>
      <c r="N79" s="17">
        <f>SUMIFS(tblDaily[TransfersOut],tblDaily[Month],2,tblDaily[WardCode],"FAE")</f>
        <v/>
      </c>
      <c r="O79" s="17">
        <f>SUMIFS(tblDaily[Remaining],tblDaily[Month],2,tblDaily[WardCode],"FAE")</f>
        <v/>
      </c>
      <c r="P79" s="17">
        <f>H79 + O79</f>
        <v/>
      </c>
    </row>
    <row r="81">
      <c r="A81" s="19" t="inlineStr">
        <is>
          <t>GHANA HEALTH SERVICE</t>
        </is>
      </c>
    </row>
    <row r="82">
      <c r="A82" s="2" t="inlineStr">
        <is>
          <t>DAILY BED UTILIZATION FORM</t>
        </is>
      </c>
    </row>
    <row r="83">
      <c r="A83" s="4" t="inlineStr">
        <is>
          <t>Hospital:</t>
        </is>
      </c>
      <c r="B83" s="5" t="inlineStr">
        <is>
          <t>HOHOE MUNICIPAL HOSPITAL</t>
        </is>
      </c>
      <c r="E83" s="4" t="inlineStr">
        <is>
          <t>Ward:</t>
        </is>
      </c>
      <c r="F83" s="4" t="inlineStr">
        <is>
          <t>EMERGENCY (COMBINED)</t>
        </is>
      </c>
      <c r="M83" s="4" t="inlineStr">
        <is>
          <t>MONTH</t>
        </is>
      </c>
      <c r="N83" s="4" t="inlineStr">
        <is>
          <t>MARCH</t>
        </is>
      </c>
    </row>
    <row r="84">
      <c r="A84" s="4" t="inlineStr">
        <is>
          <t>Number of patients remaining as at last day of previous month</t>
        </is>
      </c>
      <c r="B84" s="20">
        <f>IFERROR(SUMIFS(tblDaily[Remaining],tblDaily[EntryDate],DATE(2026,2,28),tblDaily[WardCode],"MAE"),0)</f>
        <v/>
      </c>
      <c r="I84" s="20">
        <f>IFERROR(SUMIFS(tblDaily[Remaining],tblDaily[EntryDate],DATE(2026,2,28),tblDaily[WardCode],"FAE"),0)</f>
        <v/>
      </c>
    </row>
    <row r="85">
      <c r="A85" s="4" t="inlineStr">
        <is>
          <t>Bed complement</t>
        </is>
      </c>
      <c r="B85" s="20">
        <f>IFERROR(INDEX(tblWardConfig[BedComplement],MATCH("MAE",tblWardConfig[WardCode],0)),0)</f>
        <v/>
      </c>
      <c r="I85" s="20">
        <f>IFERROR(INDEX(tblWardConfig[BedComplement],MATCH("FAE",tblWardConfig[WardCode],0)),0)</f>
        <v/>
      </c>
      <c r="O85" s="21">
        <f>B85+I85</f>
        <v/>
      </c>
    </row>
    <row r="86">
      <c r="A86" s="11" t="inlineStr">
        <is>
          <t>Day</t>
        </is>
      </c>
      <c r="B86" s="22" t="inlineStr">
        <is>
          <t>MALE EMERGENCY</t>
        </is>
      </c>
      <c r="I86" s="23" t="inlineStr">
        <is>
          <t>FEMALE EMERGENCY</t>
        </is>
      </c>
      <c r="P86" s="24" t="inlineStr">
        <is>
          <t>TOTAL</t>
        </is>
      </c>
    </row>
    <row r="87">
      <c r="A87" s="11" t="inlineStr">
        <is>
          <t>Day</t>
        </is>
      </c>
      <c r="B87" s="11" t="inlineStr">
        <is>
          <t>Adm</t>
        </is>
      </c>
      <c r="C87" s="11" t="inlineStr">
        <is>
          <t>Dis</t>
        </is>
      </c>
      <c r="D87" s="11" t="inlineStr">
        <is>
          <t>Dth</t>
        </is>
      </c>
      <c r="E87" s="11" t="inlineStr">
        <is>
          <t>D&lt;24</t>
        </is>
      </c>
      <c r="F87" s="11" t="inlineStr">
        <is>
          <t>TrIn</t>
        </is>
      </c>
      <c r="G87" s="11" t="inlineStr">
        <is>
          <t>TrOut</t>
        </is>
      </c>
      <c r="H87" s="11" t="inlineStr">
        <is>
          <t>Rem</t>
        </is>
      </c>
      <c r="I87" s="11" t="inlineStr">
        <is>
          <t>Adm</t>
        </is>
      </c>
      <c r="J87" s="11" t="inlineStr">
        <is>
          <t>Dis</t>
        </is>
      </c>
      <c r="K87" s="11" t="inlineStr">
        <is>
          <t>Dth</t>
        </is>
      </c>
      <c r="L87" s="11" t="inlineStr">
        <is>
          <t>D&lt;24</t>
        </is>
      </c>
      <c r="M87" s="11" t="inlineStr">
        <is>
          <t>TrIn</t>
        </is>
      </c>
      <c r="N87" s="11" t="inlineStr">
        <is>
          <t>TrOut</t>
        </is>
      </c>
      <c r="O87" s="11" t="inlineStr">
        <is>
          <t>Rem</t>
        </is>
      </c>
      <c r="P87" s="11" t="inlineStr">
        <is>
          <t>Tot
Rem</t>
        </is>
      </c>
    </row>
    <row r="88">
      <c r="A88" s="25" t="n">
        <v>1</v>
      </c>
      <c r="B88" s="25">
        <f>IFERROR(IF(SUMIFS(tblDaily[Admissions],tblDaily[EntryDate],DATE(2026,3,1),tblDaily[WardCode],"MAE")=0,"",SUMIFS(tblDaily[Admissions],tblDaily[EntryDate],DATE(2026,3,1),tblDaily[WardCode],"MAE")),"")</f>
        <v/>
      </c>
      <c r="C88" s="25">
        <f>IFERROR(IF(SUMIFS(tblDaily[Discharges],tblDaily[EntryDate],DATE(2026,3,1),tblDaily[WardCode],"MAE")=0,"",SUMIFS(tblDaily[Discharges],tblDaily[EntryDate],DATE(2026,3,1),tblDaily[WardCode],"MAE")),"")</f>
        <v/>
      </c>
      <c r="D88" s="25">
        <f>IFERROR(IF(SUMIFS(tblDaily[Deaths],tblDaily[EntryDate],DATE(2026,3,1),tblDaily[WardCode],"MAE")=0,"",SUMIFS(tblDaily[Deaths],tblDaily[EntryDate],DATE(2026,3,1),tblDaily[WardCode],"MAE")),"")</f>
        <v/>
      </c>
      <c r="E88" s="25">
        <f>IFERROR(IF(SUMIFS(tblDaily[DeathsUnder24Hrs],tblDaily[EntryDate],DATE(2026,3,1),tblDaily[WardCode],"MAE")=0,"",SUMIFS(tblDaily[DeathsUnder24Hrs],tblDaily[EntryDate],DATE(2026,3,1),tblDaily[WardCode],"MAE")),"")</f>
        <v/>
      </c>
      <c r="F88" s="25">
        <f>IFERROR(IF(SUMIFS(tblDaily[TransfersIn],tblDaily[EntryDate],DATE(2026,3,1),tblDaily[WardCode],"MAE")=0,"",SUMIFS(tblDaily[TransfersIn],tblDaily[EntryDate],DATE(2026,3,1),tblDaily[WardCode],"MAE")),"")</f>
        <v/>
      </c>
      <c r="G88" s="25">
        <f>IFERROR(IF(SUMIFS(tblDaily[TransfersOut],tblDaily[EntryDate],DATE(2026,3,1),tblDaily[WardCode],"MAE")=0,"",SUMIFS(tblDaily[TransfersOut],tblDaily[EntryDate],DATE(2026,3,1),tblDaily[WardCode],"MAE")),"")</f>
        <v/>
      </c>
      <c r="H88" s="25">
        <f>IFERROR(IF(SUMIFS(tblDaily[Remaining],tblDaily[EntryDate],DATE(2026,3,1),tblDaily[WardCode],"MAE")=0,"",SUMIFS(tblDaily[Remaining],tblDaily[EntryDate],DATE(2026,3,1),tblDaily[WardCode],"MAE")),"")</f>
        <v/>
      </c>
      <c r="I88" s="25">
        <f>IFERROR(IF(SUMIFS(tblDaily[Admissions],tblDaily[EntryDate],DATE(2026,3,1),tblDaily[WardCode],"FAE")=0,"",SUMIFS(tblDaily[Admissions],tblDaily[EntryDate],DATE(2026,3,1),tblDaily[WardCode],"FAE")),"")</f>
        <v/>
      </c>
      <c r="J88" s="25">
        <f>IFERROR(IF(SUMIFS(tblDaily[Discharges],tblDaily[EntryDate],DATE(2026,3,1),tblDaily[WardCode],"FAE")=0,"",SUMIFS(tblDaily[Discharges],tblDaily[EntryDate],DATE(2026,3,1),tblDaily[WardCode],"FAE")),"")</f>
        <v/>
      </c>
      <c r="K88" s="25">
        <f>IFERROR(IF(SUMIFS(tblDaily[Deaths],tblDaily[EntryDate],DATE(2026,3,1),tblDaily[WardCode],"FAE")=0,"",SUMIFS(tblDaily[Deaths],tblDaily[EntryDate],DATE(2026,3,1),tblDaily[WardCode],"FAE")),"")</f>
        <v/>
      </c>
      <c r="L88" s="25">
        <f>IFERROR(IF(SUMIFS(tblDaily[DeathsUnder24Hrs],tblDaily[EntryDate],DATE(2026,3,1),tblDaily[WardCode],"FAE")=0,"",SUMIFS(tblDaily[DeathsUnder24Hrs],tblDaily[EntryDate],DATE(2026,3,1),tblDaily[WardCode],"FAE")),"")</f>
        <v/>
      </c>
      <c r="M88" s="25">
        <f>IFERROR(IF(SUMIFS(tblDaily[TransfersIn],tblDaily[EntryDate],DATE(2026,3,1),tblDaily[WardCode],"FAE")=0,"",SUMIFS(tblDaily[TransfersIn],tblDaily[EntryDate],DATE(2026,3,1),tblDaily[WardCode],"FAE")),"")</f>
        <v/>
      </c>
      <c r="N88" s="25">
        <f>IFERROR(IF(SUMIFS(tblDaily[TransfersOut],tblDaily[EntryDate],DATE(2026,3,1),tblDaily[WardCode],"FAE")=0,"",SUMIFS(tblDaily[TransfersOut],tblDaily[EntryDate],DATE(2026,3,1),tblDaily[WardCode],"FAE")),"")</f>
        <v/>
      </c>
      <c r="O88" s="25">
        <f>IFERROR(IF(SUMIFS(tblDaily[Remaining],tblDaily[EntryDate],DATE(2026,3,1),tblDaily[WardCode],"FAE")=0,"",SUMIFS(tblDaily[Remaining],tblDaily[EntryDate],DATE(2026,3,1),tblDaily[WardCode],"FAE")),"")</f>
        <v/>
      </c>
      <c r="P88" s="26">
        <f>IF(AND(H88="", O88=""), "", N(H88) + N(O88))</f>
        <v/>
      </c>
    </row>
    <row r="89">
      <c r="A89" s="25" t="n">
        <v>2</v>
      </c>
      <c r="B89" s="25">
        <f>IFERROR(IF(SUMIFS(tblDaily[Admissions],tblDaily[EntryDate],DATE(2026,3,2),tblDaily[WardCode],"MAE")=0,"",SUMIFS(tblDaily[Admissions],tblDaily[EntryDate],DATE(2026,3,2),tblDaily[WardCode],"MAE")),"")</f>
        <v/>
      </c>
      <c r="C89" s="25">
        <f>IFERROR(IF(SUMIFS(tblDaily[Discharges],tblDaily[EntryDate],DATE(2026,3,2),tblDaily[WardCode],"MAE")=0,"",SUMIFS(tblDaily[Discharges],tblDaily[EntryDate],DATE(2026,3,2),tblDaily[WardCode],"MAE")),"")</f>
        <v/>
      </c>
      <c r="D89" s="25">
        <f>IFERROR(IF(SUMIFS(tblDaily[Deaths],tblDaily[EntryDate],DATE(2026,3,2),tblDaily[WardCode],"MAE")=0,"",SUMIFS(tblDaily[Deaths],tblDaily[EntryDate],DATE(2026,3,2),tblDaily[WardCode],"MAE")),"")</f>
        <v/>
      </c>
      <c r="E89" s="25">
        <f>IFERROR(IF(SUMIFS(tblDaily[DeathsUnder24Hrs],tblDaily[EntryDate],DATE(2026,3,2),tblDaily[WardCode],"MAE")=0,"",SUMIFS(tblDaily[DeathsUnder24Hrs],tblDaily[EntryDate],DATE(2026,3,2),tblDaily[WardCode],"MAE")),"")</f>
        <v/>
      </c>
      <c r="F89" s="25">
        <f>IFERROR(IF(SUMIFS(tblDaily[TransfersIn],tblDaily[EntryDate],DATE(2026,3,2),tblDaily[WardCode],"MAE")=0,"",SUMIFS(tblDaily[TransfersIn],tblDaily[EntryDate],DATE(2026,3,2),tblDaily[WardCode],"MAE")),"")</f>
        <v/>
      </c>
      <c r="G89" s="25">
        <f>IFERROR(IF(SUMIFS(tblDaily[TransfersOut],tblDaily[EntryDate],DATE(2026,3,2),tblDaily[WardCode],"MAE")=0,"",SUMIFS(tblDaily[TransfersOut],tblDaily[EntryDate],DATE(2026,3,2),tblDaily[WardCode],"MAE")),"")</f>
        <v/>
      </c>
      <c r="H89" s="25">
        <f>IFERROR(IF(SUMIFS(tblDaily[Remaining],tblDaily[EntryDate],DATE(2026,3,2),tblDaily[WardCode],"MAE")=0,"",SUMIFS(tblDaily[Remaining],tblDaily[EntryDate],DATE(2026,3,2),tblDaily[WardCode],"MAE")),"")</f>
        <v/>
      </c>
      <c r="I89" s="25">
        <f>IFERROR(IF(SUMIFS(tblDaily[Admissions],tblDaily[EntryDate],DATE(2026,3,2),tblDaily[WardCode],"FAE")=0,"",SUMIFS(tblDaily[Admissions],tblDaily[EntryDate],DATE(2026,3,2),tblDaily[WardCode],"FAE")),"")</f>
        <v/>
      </c>
      <c r="J89" s="25">
        <f>IFERROR(IF(SUMIFS(tblDaily[Discharges],tblDaily[EntryDate],DATE(2026,3,2),tblDaily[WardCode],"FAE")=0,"",SUMIFS(tblDaily[Discharges],tblDaily[EntryDate],DATE(2026,3,2),tblDaily[WardCode],"FAE")),"")</f>
        <v/>
      </c>
      <c r="K89" s="25">
        <f>IFERROR(IF(SUMIFS(tblDaily[Deaths],tblDaily[EntryDate],DATE(2026,3,2),tblDaily[WardCode],"FAE")=0,"",SUMIFS(tblDaily[Deaths],tblDaily[EntryDate],DATE(2026,3,2),tblDaily[WardCode],"FAE")),"")</f>
        <v/>
      </c>
      <c r="L89" s="25">
        <f>IFERROR(IF(SUMIFS(tblDaily[DeathsUnder24Hrs],tblDaily[EntryDate],DATE(2026,3,2),tblDaily[WardCode],"FAE")=0,"",SUMIFS(tblDaily[DeathsUnder24Hrs],tblDaily[EntryDate],DATE(2026,3,2),tblDaily[WardCode],"FAE")),"")</f>
        <v/>
      </c>
      <c r="M89" s="25">
        <f>IFERROR(IF(SUMIFS(tblDaily[TransfersIn],tblDaily[EntryDate],DATE(2026,3,2),tblDaily[WardCode],"FAE")=0,"",SUMIFS(tblDaily[TransfersIn],tblDaily[EntryDate],DATE(2026,3,2),tblDaily[WardCode],"FAE")),"")</f>
        <v/>
      </c>
      <c r="N89" s="25">
        <f>IFERROR(IF(SUMIFS(tblDaily[TransfersOut],tblDaily[EntryDate],DATE(2026,3,2),tblDaily[WardCode],"FAE")=0,"",SUMIFS(tblDaily[TransfersOut],tblDaily[EntryDate],DATE(2026,3,2),tblDaily[WardCode],"FAE")),"")</f>
        <v/>
      </c>
      <c r="O89" s="25">
        <f>IFERROR(IF(SUMIFS(tblDaily[Remaining],tblDaily[EntryDate],DATE(2026,3,2),tblDaily[WardCode],"FAE")=0,"",SUMIFS(tblDaily[Remaining],tblDaily[EntryDate],DATE(2026,3,2),tblDaily[WardCode],"FAE")),"")</f>
        <v/>
      </c>
      <c r="P89" s="26">
        <f>IF(AND(H89="", O89=""), "", N(H89) + N(O89))</f>
        <v/>
      </c>
    </row>
    <row r="90">
      <c r="A90" s="25" t="n">
        <v>3</v>
      </c>
      <c r="B90" s="25">
        <f>IFERROR(IF(SUMIFS(tblDaily[Admissions],tblDaily[EntryDate],DATE(2026,3,3),tblDaily[WardCode],"MAE")=0,"",SUMIFS(tblDaily[Admissions],tblDaily[EntryDate],DATE(2026,3,3),tblDaily[WardCode],"MAE")),"")</f>
        <v/>
      </c>
      <c r="C90" s="25">
        <f>IFERROR(IF(SUMIFS(tblDaily[Discharges],tblDaily[EntryDate],DATE(2026,3,3),tblDaily[WardCode],"MAE")=0,"",SUMIFS(tblDaily[Discharges],tblDaily[EntryDate],DATE(2026,3,3),tblDaily[WardCode],"MAE")),"")</f>
        <v/>
      </c>
      <c r="D90" s="25">
        <f>IFERROR(IF(SUMIFS(tblDaily[Deaths],tblDaily[EntryDate],DATE(2026,3,3),tblDaily[WardCode],"MAE")=0,"",SUMIFS(tblDaily[Deaths],tblDaily[EntryDate],DATE(2026,3,3),tblDaily[WardCode],"MAE")),"")</f>
        <v/>
      </c>
      <c r="E90" s="25">
        <f>IFERROR(IF(SUMIFS(tblDaily[DeathsUnder24Hrs],tblDaily[EntryDate],DATE(2026,3,3),tblDaily[WardCode],"MAE")=0,"",SUMIFS(tblDaily[DeathsUnder24Hrs],tblDaily[EntryDate],DATE(2026,3,3),tblDaily[WardCode],"MAE")),"")</f>
        <v/>
      </c>
      <c r="F90" s="25">
        <f>IFERROR(IF(SUMIFS(tblDaily[TransfersIn],tblDaily[EntryDate],DATE(2026,3,3),tblDaily[WardCode],"MAE")=0,"",SUMIFS(tblDaily[TransfersIn],tblDaily[EntryDate],DATE(2026,3,3),tblDaily[WardCode],"MAE")),"")</f>
        <v/>
      </c>
      <c r="G90" s="25">
        <f>IFERROR(IF(SUMIFS(tblDaily[TransfersOut],tblDaily[EntryDate],DATE(2026,3,3),tblDaily[WardCode],"MAE")=0,"",SUMIFS(tblDaily[TransfersOut],tblDaily[EntryDate],DATE(2026,3,3),tblDaily[WardCode],"MAE")),"")</f>
        <v/>
      </c>
      <c r="H90" s="25">
        <f>IFERROR(IF(SUMIFS(tblDaily[Remaining],tblDaily[EntryDate],DATE(2026,3,3),tblDaily[WardCode],"MAE")=0,"",SUMIFS(tblDaily[Remaining],tblDaily[EntryDate],DATE(2026,3,3),tblDaily[WardCode],"MAE")),"")</f>
        <v/>
      </c>
      <c r="I90" s="25">
        <f>IFERROR(IF(SUMIFS(tblDaily[Admissions],tblDaily[EntryDate],DATE(2026,3,3),tblDaily[WardCode],"FAE")=0,"",SUMIFS(tblDaily[Admissions],tblDaily[EntryDate],DATE(2026,3,3),tblDaily[WardCode],"FAE")),"")</f>
        <v/>
      </c>
      <c r="J90" s="25">
        <f>IFERROR(IF(SUMIFS(tblDaily[Discharges],tblDaily[EntryDate],DATE(2026,3,3),tblDaily[WardCode],"FAE")=0,"",SUMIFS(tblDaily[Discharges],tblDaily[EntryDate],DATE(2026,3,3),tblDaily[WardCode],"FAE")),"")</f>
        <v/>
      </c>
      <c r="K90" s="25">
        <f>IFERROR(IF(SUMIFS(tblDaily[Deaths],tblDaily[EntryDate],DATE(2026,3,3),tblDaily[WardCode],"FAE")=0,"",SUMIFS(tblDaily[Deaths],tblDaily[EntryDate],DATE(2026,3,3),tblDaily[WardCode],"FAE")),"")</f>
        <v/>
      </c>
      <c r="L90" s="25">
        <f>IFERROR(IF(SUMIFS(tblDaily[DeathsUnder24Hrs],tblDaily[EntryDate],DATE(2026,3,3),tblDaily[WardCode],"FAE")=0,"",SUMIFS(tblDaily[DeathsUnder24Hrs],tblDaily[EntryDate],DATE(2026,3,3),tblDaily[WardCode],"FAE")),"")</f>
        <v/>
      </c>
      <c r="M90" s="25">
        <f>IFERROR(IF(SUMIFS(tblDaily[TransfersIn],tblDaily[EntryDate],DATE(2026,3,3),tblDaily[WardCode],"FAE")=0,"",SUMIFS(tblDaily[TransfersIn],tblDaily[EntryDate],DATE(2026,3,3),tblDaily[WardCode],"FAE")),"")</f>
        <v/>
      </c>
      <c r="N90" s="25">
        <f>IFERROR(IF(SUMIFS(tblDaily[TransfersOut],tblDaily[EntryDate],DATE(2026,3,3),tblDaily[WardCode],"FAE")=0,"",SUMIFS(tblDaily[TransfersOut],tblDaily[EntryDate],DATE(2026,3,3),tblDaily[WardCode],"FAE")),"")</f>
        <v/>
      </c>
      <c r="O90" s="25">
        <f>IFERROR(IF(SUMIFS(tblDaily[Remaining],tblDaily[EntryDate],DATE(2026,3,3),tblDaily[WardCode],"FAE")=0,"",SUMIFS(tblDaily[Remaining],tblDaily[EntryDate],DATE(2026,3,3),tblDaily[WardCode],"FAE")),"")</f>
        <v/>
      </c>
      <c r="P90" s="26">
        <f>IF(AND(H90="", O90=""), "", N(H90) + N(O90))</f>
        <v/>
      </c>
    </row>
    <row r="91">
      <c r="A91" s="25" t="n">
        <v>4</v>
      </c>
      <c r="B91" s="25">
        <f>IFERROR(IF(SUMIFS(tblDaily[Admissions],tblDaily[EntryDate],DATE(2026,3,4),tblDaily[WardCode],"MAE")=0,"",SUMIFS(tblDaily[Admissions],tblDaily[EntryDate],DATE(2026,3,4),tblDaily[WardCode],"MAE")),"")</f>
        <v/>
      </c>
      <c r="C91" s="25">
        <f>IFERROR(IF(SUMIFS(tblDaily[Discharges],tblDaily[EntryDate],DATE(2026,3,4),tblDaily[WardCode],"MAE")=0,"",SUMIFS(tblDaily[Discharges],tblDaily[EntryDate],DATE(2026,3,4),tblDaily[WardCode],"MAE")),"")</f>
        <v/>
      </c>
      <c r="D91" s="25">
        <f>IFERROR(IF(SUMIFS(tblDaily[Deaths],tblDaily[EntryDate],DATE(2026,3,4),tblDaily[WardCode],"MAE")=0,"",SUMIFS(tblDaily[Deaths],tblDaily[EntryDate],DATE(2026,3,4),tblDaily[WardCode],"MAE")),"")</f>
        <v/>
      </c>
      <c r="E91" s="25">
        <f>IFERROR(IF(SUMIFS(tblDaily[DeathsUnder24Hrs],tblDaily[EntryDate],DATE(2026,3,4),tblDaily[WardCode],"MAE")=0,"",SUMIFS(tblDaily[DeathsUnder24Hrs],tblDaily[EntryDate],DATE(2026,3,4),tblDaily[WardCode],"MAE")),"")</f>
        <v/>
      </c>
      <c r="F91" s="25">
        <f>IFERROR(IF(SUMIFS(tblDaily[TransfersIn],tblDaily[EntryDate],DATE(2026,3,4),tblDaily[WardCode],"MAE")=0,"",SUMIFS(tblDaily[TransfersIn],tblDaily[EntryDate],DATE(2026,3,4),tblDaily[WardCode],"MAE")),"")</f>
        <v/>
      </c>
      <c r="G91" s="25">
        <f>IFERROR(IF(SUMIFS(tblDaily[TransfersOut],tblDaily[EntryDate],DATE(2026,3,4),tblDaily[WardCode],"MAE")=0,"",SUMIFS(tblDaily[TransfersOut],tblDaily[EntryDate],DATE(2026,3,4),tblDaily[WardCode],"MAE")),"")</f>
        <v/>
      </c>
      <c r="H91" s="25">
        <f>IFERROR(IF(SUMIFS(tblDaily[Remaining],tblDaily[EntryDate],DATE(2026,3,4),tblDaily[WardCode],"MAE")=0,"",SUMIFS(tblDaily[Remaining],tblDaily[EntryDate],DATE(2026,3,4),tblDaily[WardCode],"MAE")),"")</f>
        <v/>
      </c>
      <c r="I91" s="25">
        <f>IFERROR(IF(SUMIFS(tblDaily[Admissions],tblDaily[EntryDate],DATE(2026,3,4),tblDaily[WardCode],"FAE")=0,"",SUMIFS(tblDaily[Admissions],tblDaily[EntryDate],DATE(2026,3,4),tblDaily[WardCode],"FAE")),"")</f>
        <v/>
      </c>
      <c r="J91" s="25">
        <f>IFERROR(IF(SUMIFS(tblDaily[Discharges],tblDaily[EntryDate],DATE(2026,3,4),tblDaily[WardCode],"FAE")=0,"",SUMIFS(tblDaily[Discharges],tblDaily[EntryDate],DATE(2026,3,4),tblDaily[WardCode],"FAE")),"")</f>
        <v/>
      </c>
      <c r="K91" s="25">
        <f>IFERROR(IF(SUMIFS(tblDaily[Deaths],tblDaily[EntryDate],DATE(2026,3,4),tblDaily[WardCode],"FAE")=0,"",SUMIFS(tblDaily[Deaths],tblDaily[EntryDate],DATE(2026,3,4),tblDaily[WardCode],"FAE")),"")</f>
        <v/>
      </c>
      <c r="L91" s="25">
        <f>IFERROR(IF(SUMIFS(tblDaily[DeathsUnder24Hrs],tblDaily[EntryDate],DATE(2026,3,4),tblDaily[WardCode],"FAE")=0,"",SUMIFS(tblDaily[DeathsUnder24Hrs],tblDaily[EntryDate],DATE(2026,3,4),tblDaily[WardCode],"FAE")),"")</f>
        <v/>
      </c>
      <c r="M91" s="25">
        <f>IFERROR(IF(SUMIFS(tblDaily[TransfersIn],tblDaily[EntryDate],DATE(2026,3,4),tblDaily[WardCode],"FAE")=0,"",SUMIFS(tblDaily[TransfersIn],tblDaily[EntryDate],DATE(2026,3,4),tblDaily[WardCode],"FAE")),"")</f>
        <v/>
      </c>
      <c r="N91" s="25">
        <f>IFERROR(IF(SUMIFS(tblDaily[TransfersOut],tblDaily[EntryDate],DATE(2026,3,4),tblDaily[WardCode],"FAE")=0,"",SUMIFS(tblDaily[TransfersOut],tblDaily[EntryDate],DATE(2026,3,4),tblDaily[WardCode],"FAE")),"")</f>
        <v/>
      </c>
      <c r="O91" s="25">
        <f>IFERROR(IF(SUMIFS(tblDaily[Remaining],tblDaily[EntryDate],DATE(2026,3,4),tblDaily[WardCode],"FAE")=0,"",SUMIFS(tblDaily[Remaining],tblDaily[EntryDate],DATE(2026,3,4),tblDaily[WardCode],"FAE")),"")</f>
        <v/>
      </c>
      <c r="P91" s="26">
        <f>IF(AND(H91="", O91=""), "", N(H91) + N(O91))</f>
        <v/>
      </c>
    </row>
    <row r="92">
      <c r="A92" s="25" t="n">
        <v>5</v>
      </c>
      <c r="B92" s="25">
        <f>IFERROR(IF(SUMIFS(tblDaily[Admissions],tblDaily[EntryDate],DATE(2026,3,5),tblDaily[WardCode],"MAE")=0,"",SUMIFS(tblDaily[Admissions],tblDaily[EntryDate],DATE(2026,3,5),tblDaily[WardCode],"MAE")),"")</f>
        <v/>
      </c>
      <c r="C92" s="25">
        <f>IFERROR(IF(SUMIFS(tblDaily[Discharges],tblDaily[EntryDate],DATE(2026,3,5),tblDaily[WardCode],"MAE")=0,"",SUMIFS(tblDaily[Discharges],tblDaily[EntryDate],DATE(2026,3,5),tblDaily[WardCode],"MAE")),"")</f>
        <v/>
      </c>
      <c r="D92" s="25">
        <f>IFERROR(IF(SUMIFS(tblDaily[Deaths],tblDaily[EntryDate],DATE(2026,3,5),tblDaily[WardCode],"MAE")=0,"",SUMIFS(tblDaily[Deaths],tblDaily[EntryDate],DATE(2026,3,5),tblDaily[WardCode],"MAE")),"")</f>
        <v/>
      </c>
      <c r="E92" s="25">
        <f>IFERROR(IF(SUMIFS(tblDaily[DeathsUnder24Hrs],tblDaily[EntryDate],DATE(2026,3,5),tblDaily[WardCode],"MAE")=0,"",SUMIFS(tblDaily[DeathsUnder24Hrs],tblDaily[EntryDate],DATE(2026,3,5),tblDaily[WardCode],"MAE")),"")</f>
        <v/>
      </c>
      <c r="F92" s="25">
        <f>IFERROR(IF(SUMIFS(tblDaily[TransfersIn],tblDaily[EntryDate],DATE(2026,3,5),tblDaily[WardCode],"MAE")=0,"",SUMIFS(tblDaily[TransfersIn],tblDaily[EntryDate],DATE(2026,3,5),tblDaily[WardCode],"MAE")),"")</f>
        <v/>
      </c>
      <c r="G92" s="25">
        <f>IFERROR(IF(SUMIFS(tblDaily[TransfersOut],tblDaily[EntryDate],DATE(2026,3,5),tblDaily[WardCode],"MAE")=0,"",SUMIFS(tblDaily[TransfersOut],tblDaily[EntryDate],DATE(2026,3,5),tblDaily[WardCode],"MAE")),"")</f>
        <v/>
      </c>
      <c r="H92" s="25">
        <f>IFERROR(IF(SUMIFS(tblDaily[Remaining],tblDaily[EntryDate],DATE(2026,3,5),tblDaily[WardCode],"MAE")=0,"",SUMIFS(tblDaily[Remaining],tblDaily[EntryDate],DATE(2026,3,5),tblDaily[WardCode],"MAE")),"")</f>
        <v/>
      </c>
      <c r="I92" s="25">
        <f>IFERROR(IF(SUMIFS(tblDaily[Admissions],tblDaily[EntryDate],DATE(2026,3,5),tblDaily[WardCode],"FAE")=0,"",SUMIFS(tblDaily[Admissions],tblDaily[EntryDate],DATE(2026,3,5),tblDaily[WardCode],"FAE")),"")</f>
        <v/>
      </c>
      <c r="J92" s="25">
        <f>IFERROR(IF(SUMIFS(tblDaily[Discharges],tblDaily[EntryDate],DATE(2026,3,5),tblDaily[WardCode],"FAE")=0,"",SUMIFS(tblDaily[Discharges],tblDaily[EntryDate],DATE(2026,3,5),tblDaily[WardCode],"FAE")),"")</f>
        <v/>
      </c>
      <c r="K92" s="25">
        <f>IFERROR(IF(SUMIFS(tblDaily[Deaths],tblDaily[EntryDate],DATE(2026,3,5),tblDaily[WardCode],"FAE")=0,"",SUMIFS(tblDaily[Deaths],tblDaily[EntryDate],DATE(2026,3,5),tblDaily[WardCode],"FAE")),"")</f>
        <v/>
      </c>
      <c r="L92" s="25">
        <f>IFERROR(IF(SUMIFS(tblDaily[DeathsUnder24Hrs],tblDaily[EntryDate],DATE(2026,3,5),tblDaily[WardCode],"FAE")=0,"",SUMIFS(tblDaily[DeathsUnder24Hrs],tblDaily[EntryDate],DATE(2026,3,5),tblDaily[WardCode],"FAE")),"")</f>
        <v/>
      </c>
      <c r="M92" s="25">
        <f>IFERROR(IF(SUMIFS(tblDaily[TransfersIn],tblDaily[EntryDate],DATE(2026,3,5),tblDaily[WardCode],"FAE")=0,"",SUMIFS(tblDaily[TransfersIn],tblDaily[EntryDate],DATE(2026,3,5),tblDaily[WardCode],"FAE")),"")</f>
        <v/>
      </c>
      <c r="N92" s="25">
        <f>IFERROR(IF(SUMIFS(tblDaily[TransfersOut],tblDaily[EntryDate],DATE(2026,3,5),tblDaily[WardCode],"FAE")=0,"",SUMIFS(tblDaily[TransfersOut],tblDaily[EntryDate],DATE(2026,3,5),tblDaily[WardCode],"FAE")),"")</f>
        <v/>
      </c>
      <c r="O92" s="25">
        <f>IFERROR(IF(SUMIFS(tblDaily[Remaining],tblDaily[EntryDate],DATE(2026,3,5),tblDaily[WardCode],"FAE")=0,"",SUMIFS(tblDaily[Remaining],tblDaily[EntryDate],DATE(2026,3,5),tblDaily[WardCode],"FAE")),"")</f>
        <v/>
      </c>
      <c r="P92" s="26">
        <f>IF(AND(H92="", O92=""), "", N(H92) + N(O92))</f>
        <v/>
      </c>
    </row>
    <row r="93">
      <c r="A93" s="25" t="n">
        <v>6</v>
      </c>
      <c r="B93" s="25">
        <f>IFERROR(IF(SUMIFS(tblDaily[Admissions],tblDaily[EntryDate],DATE(2026,3,6),tblDaily[WardCode],"MAE")=0,"",SUMIFS(tblDaily[Admissions],tblDaily[EntryDate],DATE(2026,3,6),tblDaily[WardCode],"MAE")),"")</f>
        <v/>
      </c>
      <c r="C93" s="25">
        <f>IFERROR(IF(SUMIFS(tblDaily[Discharges],tblDaily[EntryDate],DATE(2026,3,6),tblDaily[WardCode],"MAE")=0,"",SUMIFS(tblDaily[Discharges],tblDaily[EntryDate],DATE(2026,3,6),tblDaily[WardCode],"MAE")),"")</f>
        <v/>
      </c>
      <c r="D93" s="25">
        <f>IFERROR(IF(SUMIFS(tblDaily[Deaths],tblDaily[EntryDate],DATE(2026,3,6),tblDaily[WardCode],"MAE")=0,"",SUMIFS(tblDaily[Deaths],tblDaily[EntryDate],DATE(2026,3,6),tblDaily[WardCode],"MAE")),"")</f>
        <v/>
      </c>
      <c r="E93" s="25">
        <f>IFERROR(IF(SUMIFS(tblDaily[DeathsUnder24Hrs],tblDaily[EntryDate],DATE(2026,3,6),tblDaily[WardCode],"MAE")=0,"",SUMIFS(tblDaily[DeathsUnder24Hrs],tblDaily[EntryDate],DATE(2026,3,6),tblDaily[WardCode],"MAE")),"")</f>
        <v/>
      </c>
      <c r="F93" s="25">
        <f>IFERROR(IF(SUMIFS(tblDaily[TransfersIn],tblDaily[EntryDate],DATE(2026,3,6),tblDaily[WardCode],"MAE")=0,"",SUMIFS(tblDaily[TransfersIn],tblDaily[EntryDate],DATE(2026,3,6),tblDaily[WardCode],"MAE")),"")</f>
        <v/>
      </c>
      <c r="G93" s="25">
        <f>IFERROR(IF(SUMIFS(tblDaily[TransfersOut],tblDaily[EntryDate],DATE(2026,3,6),tblDaily[WardCode],"MAE")=0,"",SUMIFS(tblDaily[TransfersOut],tblDaily[EntryDate],DATE(2026,3,6),tblDaily[WardCode],"MAE")),"")</f>
        <v/>
      </c>
      <c r="H93" s="25">
        <f>IFERROR(IF(SUMIFS(tblDaily[Remaining],tblDaily[EntryDate],DATE(2026,3,6),tblDaily[WardCode],"MAE")=0,"",SUMIFS(tblDaily[Remaining],tblDaily[EntryDate],DATE(2026,3,6),tblDaily[WardCode],"MAE")),"")</f>
        <v/>
      </c>
      <c r="I93" s="25">
        <f>IFERROR(IF(SUMIFS(tblDaily[Admissions],tblDaily[EntryDate],DATE(2026,3,6),tblDaily[WardCode],"FAE")=0,"",SUMIFS(tblDaily[Admissions],tblDaily[EntryDate],DATE(2026,3,6),tblDaily[WardCode],"FAE")),"")</f>
        <v/>
      </c>
      <c r="J93" s="25">
        <f>IFERROR(IF(SUMIFS(tblDaily[Discharges],tblDaily[EntryDate],DATE(2026,3,6),tblDaily[WardCode],"FAE")=0,"",SUMIFS(tblDaily[Discharges],tblDaily[EntryDate],DATE(2026,3,6),tblDaily[WardCode],"FAE")),"")</f>
        <v/>
      </c>
      <c r="K93" s="25">
        <f>IFERROR(IF(SUMIFS(tblDaily[Deaths],tblDaily[EntryDate],DATE(2026,3,6),tblDaily[WardCode],"FAE")=0,"",SUMIFS(tblDaily[Deaths],tblDaily[EntryDate],DATE(2026,3,6),tblDaily[WardCode],"FAE")),"")</f>
        <v/>
      </c>
      <c r="L93" s="25">
        <f>IFERROR(IF(SUMIFS(tblDaily[DeathsUnder24Hrs],tblDaily[EntryDate],DATE(2026,3,6),tblDaily[WardCode],"FAE")=0,"",SUMIFS(tblDaily[DeathsUnder24Hrs],tblDaily[EntryDate],DATE(2026,3,6),tblDaily[WardCode],"FAE")),"")</f>
        <v/>
      </c>
      <c r="M93" s="25">
        <f>IFERROR(IF(SUMIFS(tblDaily[TransfersIn],tblDaily[EntryDate],DATE(2026,3,6),tblDaily[WardCode],"FAE")=0,"",SUMIFS(tblDaily[TransfersIn],tblDaily[EntryDate],DATE(2026,3,6),tblDaily[WardCode],"FAE")),"")</f>
        <v/>
      </c>
      <c r="N93" s="25">
        <f>IFERROR(IF(SUMIFS(tblDaily[TransfersOut],tblDaily[EntryDate],DATE(2026,3,6),tblDaily[WardCode],"FAE")=0,"",SUMIFS(tblDaily[TransfersOut],tblDaily[EntryDate],DATE(2026,3,6),tblDaily[WardCode],"FAE")),"")</f>
        <v/>
      </c>
      <c r="O93" s="25">
        <f>IFERROR(IF(SUMIFS(tblDaily[Remaining],tblDaily[EntryDate],DATE(2026,3,6),tblDaily[WardCode],"FAE")=0,"",SUMIFS(tblDaily[Remaining],tblDaily[EntryDate],DATE(2026,3,6),tblDaily[WardCode],"FAE")),"")</f>
        <v/>
      </c>
      <c r="P93" s="26">
        <f>IF(AND(H93="", O93=""), "", N(H93) + N(O93))</f>
        <v/>
      </c>
    </row>
    <row r="94">
      <c r="A94" s="25" t="n">
        <v>7</v>
      </c>
      <c r="B94" s="25">
        <f>IFERROR(IF(SUMIFS(tblDaily[Admissions],tblDaily[EntryDate],DATE(2026,3,7),tblDaily[WardCode],"MAE")=0,"",SUMIFS(tblDaily[Admissions],tblDaily[EntryDate],DATE(2026,3,7),tblDaily[WardCode],"MAE")),"")</f>
        <v/>
      </c>
      <c r="C94" s="25">
        <f>IFERROR(IF(SUMIFS(tblDaily[Discharges],tblDaily[EntryDate],DATE(2026,3,7),tblDaily[WardCode],"MAE")=0,"",SUMIFS(tblDaily[Discharges],tblDaily[EntryDate],DATE(2026,3,7),tblDaily[WardCode],"MAE")),"")</f>
        <v/>
      </c>
      <c r="D94" s="25">
        <f>IFERROR(IF(SUMIFS(tblDaily[Deaths],tblDaily[EntryDate],DATE(2026,3,7),tblDaily[WardCode],"MAE")=0,"",SUMIFS(tblDaily[Deaths],tblDaily[EntryDate],DATE(2026,3,7),tblDaily[WardCode],"MAE")),"")</f>
        <v/>
      </c>
      <c r="E94" s="25">
        <f>IFERROR(IF(SUMIFS(tblDaily[DeathsUnder24Hrs],tblDaily[EntryDate],DATE(2026,3,7),tblDaily[WardCode],"MAE")=0,"",SUMIFS(tblDaily[DeathsUnder24Hrs],tblDaily[EntryDate],DATE(2026,3,7),tblDaily[WardCode],"MAE")),"")</f>
        <v/>
      </c>
      <c r="F94" s="25">
        <f>IFERROR(IF(SUMIFS(tblDaily[TransfersIn],tblDaily[EntryDate],DATE(2026,3,7),tblDaily[WardCode],"MAE")=0,"",SUMIFS(tblDaily[TransfersIn],tblDaily[EntryDate],DATE(2026,3,7),tblDaily[WardCode],"MAE")),"")</f>
        <v/>
      </c>
      <c r="G94" s="25">
        <f>IFERROR(IF(SUMIFS(tblDaily[TransfersOut],tblDaily[EntryDate],DATE(2026,3,7),tblDaily[WardCode],"MAE")=0,"",SUMIFS(tblDaily[TransfersOut],tblDaily[EntryDate],DATE(2026,3,7),tblDaily[WardCode],"MAE")),"")</f>
        <v/>
      </c>
      <c r="H94" s="25">
        <f>IFERROR(IF(SUMIFS(tblDaily[Remaining],tblDaily[EntryDate],DATE(2026,3,7),tblDaily[WardCode],"MAE")=0,"",SUMIFS(tblDaily[Remaining],tblDaily[EntryDate],DATE(2026,3,7),tblDaily[WardCode],"MAE")),"")</f>
        <v/>
      </c>
      <c r="I94" s="25">
        <f>IFERROR(IF(SUMIFS(tblDaily[Admissions],tblDaily[EntryDate],DATE(2026,3,7),tblDaily[WardCode],"FAE")=0,"",SUMIFS(tblDaily[Admissions],tblDaily[EntryDate],DATE(2026,3,7),tblDaily[WardCode],"FAE")),"")</f>
        <v/>
      </c>
      <c r="J94" s="25">
        <f>IFERROR(IF(SUMIFS(tblDaily[Discharges],tblDaily[EntryDate],DATE(2026,3,7),tblDaily[WardCode],"FAE")=0,"",SUMIFS(tblDaily[Discharges],tblDaily[EntryDate],DATE(2026,3,7),tblDaily[WardCode],"FAE")),"")</f>
        <v/>
      </c>
      <c r="K94" s="25">
        <f>IFERROR(IF(SUMIFS(tblDaily[Deaths],tblDaily[EntryDate],DATE(2026,3,7),tblDaily[WardCode],"FAE")=0,"",SUMIFS(tblDaily[Deaths],tblDaily[EntryDate],DATE(2026,3,7),tblDaily[WardCode],"FAE")),"")</f>
        <v/>
      </c>
      <c r="L94" s="25">
        <f>IFERROR(IF(SUMIFS(tblDaily[DeathsUnder24Hrs],tblDaily[EntryDate],DATE(2026,3,7),tblDaily[WardCode],"FAE")=0,"",SUMIFS(tblDaily[DeathsUnder24Hrs],tblDaily[EntryDate],DATE(2026,3,7),tblDaily[WardCode],"FAE")),"")</f>
        <v/>
      </c>
      <c r="M94" s="25">
        <f>IFERROR(IF(SUMIFS(tblDaily[TransfersIn],tblDaily[EntryDate],DATE(2026,3,7),tblDaily[WardCode],"FAE")=0,"",SUMIFS(tblDaily[TransfersIn],tblDaily[EntryDate],DATE(2026,3,7),tblDaily[WardCode],"FAE")),"")</f>
        <v/>
      </c>
      <c r="N94" s="25">
        <f>IFERROR(IF(SUMIFS(tblDaily[TransfersOut],tblDaily[EntryDate],DATE(2026,3,7),tblDaily[WardCode],"FAE")=0,"",SUMIFS(tblDaily[TransfersOut],tblDaily[EntryDate],DATE(2026,3,7),tblDaily[WardCode],"FAE")),"")</f>
        <v/>
      </c>
      <c r="O94" s="25">
        <f>IFERROR(IF(SUMIFS(tblDaily[Remaining],tblDaily[EntryDate],DATE(2026,3,7),tblDaily[WardCode],"FAE")=0,"",SUMIFS(tblDaily[Remaining],tblDaily[EntryDate],DATE(2026,3,7),tblDaily[WardCode],"FAE")),"")</f>
        <v/>
      </c>
      <c r="P94" s="26">
        <f>IF(AND(H94="", O94=""), "", N(H94) + N(O94))</f>
        <v/>
      </c>
    </row>
    <row r="95">
      <c r="A95" s="25" t="n">
        <v>8</v>
      </c>
      <c r="B95" s="25">
        <f>IFERROR(IF(SUMIFS(tblDaily[Admissions],tblDaily[EntryDate],DATE(2026,3,8),tblDaily[WardCode],"MAE")=0,"",SUMIFS(tblDaily[Admissions],tblDaily[EntryDate],DATE(2026,3,8),tblDaily[WardCode],"MAE")),"")</f>
        <v/>
      </c>
      <c r="C95" s="25">
        <f>IFERROR(IF(SUMIFS(tblDaily[Discharges],tblDaily[EntryDate],DATE(2026,3,8),tblDaily[WardCode],"MAE")=0,"",SUMIFS(tblDaily[Discharges],tblDaily[EntryDate],DATE(2026,3,8),tblDaily[WardCode],"MAE")),"")</f>
        <v/>
      </c>
      <c r="D95" s="25">
        <f>IFERROR(IF(SUMIFS(tblDaily[Deaths],tblDaily[EntryDate],DATE(2026,3,8),tblDaily[WardCode],"MAE")=0,"",SUMIFS(tblDaily[Deaths],tblDaily[EntryDate],DATE(2026,3,8),tblDaily[WardCode],"MAE")),"")</f>
        <v/>
      </c>
      <c r="E95" s="25">
        <f>IFERROR(IF(SUMIFS(tblDaily[DeathsUnder24Hrs],tblDaily[EntryDate],DATE(2026,3,8),tblDaily[WardCode],"MAE")=0,"",SUMIFS(tblDaily[DeathsUnder24Hrs],tblDaily[EntryDate],DATE(2026,3,8),tblDaily[WardCode],"MAE")),"")</f>
        <v/>
      </c>
      <c r="F95" s="25">
        <f>IFERROR(IF(SUMIFS(tblDaily[TransfersIn],tblDaily[EntryDate],DATE(2026,3,8),tblDaily[WardCode],"MAE")=0,"",SUMIFS(tblDaily[TransfersIn],tblDaily[EntryDate],DATE(2026,3,8),tblDaily[WardCode],"MAE")),"")</f>
        <v/>
      </c>
      <c r="G95" s="25">
        <f>IFERROR(IF(SUMIFS(tblDaily[TransfersOut],tblDaily[EntryDate],DATE(2026,3,8),tblDaily[WardCode],"MAE")=0,"",SUMIFS(tblDaily[TransfersOut],tblDaily[EntryDate],DATE(2026,3,8),tblDaily[WardCode],"MAE")),"")</f>
        <v/>
      </c>
      <c r="H95" s="25">
        <f>IFERROR(IF(SUMIFS(tblDaily[Remaining],tblDaily[EntryDate],DATE(2026,3,8),tblDaily[WardCode],"MAE")=0,"",SUMIFS(tblDaily[Remaining],tblDaily[EntryDate],DATE(2026,3,8),tblDaily[WardCode],"MAE")),"")</f>
        <v/>
      </c>
      <c r="I95" s="25">
        <f>IFERROR(IF(SUMIFS(tblDaily[Admissions],tblDaily[EntryDate],DATE(2026,3,8),tblDaily[WardCode],"FAE")=0,"",SUMIFS(tblDaily[Admissions],tblDaily[EntryDate],DATE(2026,3,8),tblDaily[WardCode],"FAE")),"")</f>
        <v/>
      </c>
      <c r="J95" s="25">
        <f>IFERROR(IF(SUMIFS(tblDaily[Discharges],tblDaily[EntryDate],DATE(2026,3,8),tblDaily[WardCode],"FAE")=0,"",SUMIFS(tblDaily[Discharges],tblDaily[EntryDate],DATE(2026,3,8),tblDaily[WardCode],"FAE")),"")</f>
        <v/>
      </c>
      <c r="K95" s="25">
        <f>IFERROR(IF(SUMIFS(tblDaily[Deaths],tblDaily[EntryDate],DATE(2026,3,8),tblDaily[WardCode],"FAE")=0,"",SUMIFS(tblDaily[Deaths],tblDaily[EntryDate],DATE(2026,3,8),tblDaily[WardCode],"FAE")),"")</f>
        <v/>
      </c>
      <c r="L95" s="25">
        <f>IFERROR(IF(SUMIFS(tblDaily[DeathsUnder24Hrs],tblDaily[EntryDate],DATE(2026,3,8),tblDaily[WardCode],"FAE")=0,"",SUMIFS(tblDaily[DeathsUnder24Hrs],tblDaily[EntryDate],DATE(2026,3,8),tblDaily[WardCode],"FAE")),"")</f>
        <v/>
      </c>
      <c r="M95" s="25">
        <f>IFERROR(IF(SUMIFS(tblDaily[TransfersIn],tblDaily[EntryDate],DATE(2026,3,8),tblDaily[WardCode],"FAE")=0,"",SUMIFS(tblDaily[TransfersIn],tblDaily[EntryDate],DATE(2026,3,8),tblDaily[WardCode],"FAE")),"")</f>
        <v/>
      </c>
      <c r="N95" s="25">
        <f>IFERROR(IF(SUMIFS(tblDaily[TransfersOut],tblDaily[EntryDate],DATE(2026,3,8),tblDaily[WardCode],"FAE")=0,"",SUMIFS(tblDaily[TransfersOut],tblDaily[EntryDate],DATE(2026,3,8),tblDaily[WardCode],"FAE")),"")</f>
        <v/>
      </c>
      <c r="O95" s="25">
        <f>IFERROR(IF(SUMIFS(tblDaily[Remaining],tblDaily[EntryDate],DATE(2026,3,8),tblDaily[WardCode],"FAE")=0,"",SUMIFS(tblDaily[Remaining],tblDaily[EntryDate],DATE(2026,3,8),tblDaily[WardCode],"FAE")),"")</f>
        <v/>
      </c>
      <c r="P95" s="26">
        <f>IF(AND(H95="", O95=""), "", N(H95) + N(O95))</f>
        <v/>
      </c>
    </row>
    <row r="96">
      <c r="A96" s="25" t="n">
        <v>9</v>
      </c>
      <c r="B96" s="25">
        <f>IFERROR(IF(SUMIFS(tblDaily[Admissions],tblDaily[EntryDate],DATE(2026,3,9),tblDaily[WardCode],"MAE")=0,"",SUMIFS(tblDaily[Admissions],tblDaily[EntryDate],DATE(2026,3,9),tblDaily[WardCode],"MAE")),"")</f>
        <v/>
      </c>
      <c r="C96" s="25">
        <f>IFERROR(IF(SUMIFS(tblDaily[Discharges],tblDaily[EntryDate],DATE(2026,3,9),tblDaily[WardCode],"MAE")=0,"",SUMIFS(tblDaily[Discharges],tblDaily[EntryDate],DATE(2026,3,9),tblDaily[WardCode],"MAE")),"")</f>
        <v/>
      </c>
      <c r="D96" s="25">
        <f>IFERROR(IF(SUMIFS(tblDaily[Deaths],tblDaily[EntryDate],DATE(2026,3,9),tblDaily[WardCode],"MAE")=0,"",SUMIFS(tblDaily[Deaths],tblDaily[EntryDate],DATE(2026,3,9),tblDaily[WardCode],"MAE")),"")</f>
        <v/>
      </c>
      <c r="E96" s="25">
        <f>IFERROR(IF(SUMIFS(tblDaily[DeathsUnder24Hrs],tblDaily[EntryDate],DATE(2026,3,9),tblDaily[WardCode],"MAE")=0,"",SUMIFS(tblDaily[DeathsUnder24Hrs],tblDaily[EntryDate],DATE(2026,3,9),tblDaily[WardCode],"MAE")),"")</f>
        <v/>
      </c>
      <c r="F96" s="25">
        <f>IFERROR(IF(SUMIFS(tblDaily[TransfersIn],tblDaily[EntryDate],DATE(2026,3,9),tblDaily[WardCode],"MAE")=0,"",SUMIFS(tblDaily[TransfersIn],tblDaily[EntryDate],DATE(2026,3,9),tblDaily[WardCode],"MAE")),"")</f>
        <v/>
      </c>
      <c r="G96" s="25">
        <f>IFERROR(IF(SUMIFS(tblDaily[TransfersOut],tblDaily[EntryDate],DATE(2026,3,9),tblDaily[WardCode],"MAE")=0,"",SUMIFS(tblDaily[TransfersOut],tblDaily[EntryDate],DATE(2026,3,9),tblDaily[WardCode],"MAE")),"")</f>
        <v/>
      </c>
      <c r="H96" s="25">
        <f>IFERROR(IF(SUMIFS(tblDaily[Remaining],tblDaily[EntryDate],DATE(2026,3,9),tblDaily[WardCode],"MAE")=0,"",SUMIFS(tblDaily[Remaining],tblDaily[EntryDate],DATE(2026,3,9),tblDaily[WardCode],"MAE")),"")</f>
        <v/>
      </c>
      <c r="I96" s="25">
        <f>IFERROR(IF(SUMIFS(tblDaily[Admissions],tblDaily[EntryDate],DATE(2026,3,9),tblDaily[WardCode],"FAE")=0,"",SUMIFS(tblDaily[Admissions],tblDaily[EntryDate],DATE(2026,3,9),tblDaily[WardCode],"FAE")),"")</f>
        <v/>
      </c>
      <c r="J96" s="25">
        <f>IFERROR(IF(SUMIFS(tblDaily[Discharges],tblDaily[EntryDate],DATE(2026,3,9),tblDaily[WardCode],"FAE")=0,"",SUMIFS(tblDaily[Discharges],tblDaily[EntryDate],DATE(2026,3,9),tblDaily[WardCode],"FAE")),"")</f>
        <v/>
      </c>
      <c r="K96" s="25">
        <f>IFERROR(IF(SUMIFS(tblDaily[Deaths],tblDaily[EntryDate],DATE(2026,3,9),tblDaily[WardCode],"FAE")=0,"",SUMIFS(tblDaily[Deaths],tblDaily[EntryDate],DATE(2026,3,9),tblDaily[WardCode],"FAE")),"")</f>
        <v/>
      </c>
      <c r="L96" s="25">
        <f>IFERROR(IF(SUMIFS(tblDaily[DeathsUnder24Hrs],tblDaily[EntryDate],DATE(2026,3,9),tblDaily[WardCode],"FAE")=0,"",SUMIFS(tblDaily[DeathsUnder24Hrs],tblDaily[EntryDate],DATE(2026,3,9),tblDaily[WardCode],"FAE")),"")</f>
        <v/>
      </c>
      <c r="M96" s="25">
        <f>IFERROR(IF(SUMIFS(tblDaily[TransfersIn],tblDaily[EntryDate],DATE(2026,3,9),tblDaily[WardCode],"FAE")=0,"",SUMIFS(tblDaily[TransfersIn],tblDaily[EntryDate],DATE(2026,3,9),tblDaily[WardCode],"FAE")),"")</f>
        <v/>
      </c>
      <c r="N96" s="25">
        <f>IFERROR(IF(SUMIFS(tblDaily[TransfersOut],tblDaily[EntryDate],DATE(2026,3,9),tblDaily[WardCode],"FAE")=0,"",SUMIFS(tblDaily[TransfersOut],tblDaily[EntryDate],DATE(2026,3,9),tblDaily[WardCode],"FAE")),"")</f>
        <v/>
      </c>
      <c r="O96" s="25">
        <f>IFERROR(IF(SUMIFS(tblDaily[Remaining],tblDaily[EntryDate],DATE(2026,3,9),tblDaily[WardCode],"FAE")=0,"",SUMIFS(tblDaily[Remaining],tblDaily[EntryDate],DATE(2026,3,9),tblDaily[WardCode],"FAE")),"")</f>
        <v/>
      </c>
      <c r="P96" s="26">
        <f>IF(AND(H96="", O96=""), "", N(H96) + N(O96))</f>
        <v/>
      </c>
    </row>
    <row r="97">
      <c r="A97" s="25" t="n">
        <v>10</v>
      </c>
      <c r="B97" s="25">
        <f>IFERROR(IF(SUMIFS(tblDaily[Admissions],tblDaily[EntryDate],DATE(2026,3,10),tblDaily[WardCode],"MAE")=0,"",SUMIFS(tblDaily[Admissions],tblDaily[EntryDate],DATE(2026,3,10),tblDaily[WardCode],"MAE")),"")</f>
        <v/>
      </c>
      <c r="C97" s="25">
        <f>IFERROR(IF(SUMIFS(tblDaily[Discharges],tblDaily[EntryDate],DATE(2026,3,10),tblDaily[WardCode],"MAE")=0,"",SUMIFS(tblDaily[Discharges],tblDaily[EntryDate],DATE(2026,3,10),tblDaily[WardCode],"MAE")),"")</f>
        <v/>
      </c>
      <c r="D97" s="25">
        <f>IFERROR(IF(SUMIFS(tblDaily[Deaths],tblDaily[EntryDate],DATE(2026,3,10),tblDaily[WardCode],"MAE")=0,"",SUMIFS(tblDaily[Deaths],tblDaily[EntryDate],DATE(2026,3,10),tblDaily[WardCode],"MAE")),"")</f>
        <v/>
      </c>
      <c r="E97" s="25">
        <f>IFERROR(IF(SUMIFS(tblDaily[DeathsUnder24Hrs],tblDaily[EntryDate],DATE(2026,3,10),tblDaily[WardCode],"MAE")=0,"",SUMIFS(tblDaily[DeathsUnder24Hrs],tblDaily[EntryDate],DATE(2026,3,10),tblDaily[WardCode],"MAE")),"")</f>
        <v/>
      </c>
      <c r="F97" s="25">
        <f>IFERROR(IF(SUMIFS(tblDaily[TransfersIn],tblDaily[EntryDate],DATE(2026,3,10),tblDaily[WardCode],"MAE")=0,"",SUMIFS(tblDaily[TransfersIn],tblDaily[EntryDate],DATE(2026,3,10),tblDaily[WardCode],"MAE")),"")</f>
        <v/>
      </c>
      <c r="G97" s="25">
        <f>IFERROR(IF(SUMIFS(tblDaily[TransfersOut],tblDaily[EntryDate],DATE(2026,3,10),tblDaily[WardCode],"MAE")=0,"",SUMIFS(tblDaily[TransfersOut],tblDaily[EntryDate],DATE(2026,3,10),tblDaily[WardCode],"MAE")),"")</f>
        <v/>
      </c>
      <c r="H97" s="25">
        <f>IFERROR(IF(SUMIFS(tblDaily[Remaining],tblDaily[EntryDate],DATE(2026,3,10),tblDaily[WardCode],"MAE")=0,"",SUMIFS(tblDaily[Remaining],tblDaily[EntryDate],DATE(2026,3,10),tblDaily[WardCode],"MAE")),"")</f>
        <v/>
      </c>
      <c r="I97" s="25">
        <f>IFERROR(IF(SUMIFS(tblDaily[Admissions],tblDaily[EntryDate],DATE(2026,3,10),tblDaily[WardCode],"FAE")=0,"",SUMIFS(tblDaily[Admissions],tblDaily[EntryDate],DATE(2026,3,10),tblDaily[WardCode],"FAE")),"")</f>
        <v/>
      </c>
      <c r="J97" s="25">
        <f>IFERROR(IF(SUMIFS(tblDaily[Discharges],tblDaily[EntryDate],DATE(2026,3,10),tblDaily[WardCode],"FAE")=0,"",SUMIFS(tblDaily[Discharges],tblDaily[EntryDate],DATE(2026,3,10),tblDaily[WardCode],"FAE")),"")</f>
        <v/>
      </c>
      <c r="K97" s="25">
        <f>IFERROR(IF(SUMIFS(tblDaily[Deaths],tblDaily[EntryDate],DATE(2026,3,10),tblDaily[WardCode],"FAE")=0,"",SUMIFS(tblDaily[Deaths],tblDaily[EntryDate],DATE(2026,3,10),tblDaily[WardCode],"FAE")),"")</f>
        <v/>
      </c>
      <c r="L97" s="25">
        <f>IFERROR(IF(SUMIFS(tblDaily[DeathsUnder24Hrs],tblDaily[EntryDate],DATE(2026,3,10),tblDaily[WardCode],"FAE")=0,"",SUMIFS(tblDaily[DeathsUnder24Hrs],tblDaily[EntryDate],DATE(2026,3,10),tblDaily[WardCode],"FAE")),"")</f>
        <v/>
      </c>
      <c r="M97" s="25">
        <f>IFERROR(IF(SUMIFS(tblDaily[TransfersIn],tblDaily[EntryDate],DATE(2026,3,10),tblDaily[WardCode],"FAE")=0,"",SUMIFS(tblDaily[TransfersIn],tblDaily[EntryDate],DATE(2026,3,10),tblDaily[WardCode],"FAE")),"")</f>
        <v/>
      </c>
      <c r="N97" s="25">
        <f>IFERROR(IF(SUMIFS(tblDaily[TransfersOut],tblDaily[EntryDate],DATE(2026,3,10),tblDaily[WardCode],"FAE")=0,"",SUMIFS(tblDaily[TransfersOut],tblDaily[EntryDate],DATE(2026,3,10),tblDaily[WardCode],"FAE")),"")</f>
        <v/>
      </c>
      <c r="O97" s="25">
        <f>IFERROR(IF(SUMIFS(tblDaily[Remaining],tblDaily[EntryDate],DATE(2026,3,10),tblDaily[WardCode],"FAE")=0,"",SUMIFS(tblDaily[Remaining],tblDaily[EntryDate],DATE(2026,3,10),tblDaily[WardCode],"FAE")),"")</f>
        <v/>
      </c>
      <c r="P97" s="26">
        <f>IF(AND(H97="", O97=""), "", N(H97) + N(O97))</f>
        <v/>
      </c>
    </row>
    <row r="98">
      <c r="A98" s="25" t="n">
        <v>11</v>
      </c>
      <c r="B98" s="25">
        <f>IFERROR(IF(SUMIFS(tblDaily[Admissions],tblDaily[EntryDate],DATE(2026,3,11),tblDaily[WardCode],"MAE")=0,"",SUMIFS(tblDaily[Admissions],tblDaily[EntryDate],DATE(2026,3,11),tblDaily[WardCode],"MAE")),"")</f>
        <v/>
      </c>
      <c r="C98" s="25">
        <f>IFERROR(IF(SUMIFS(tblDaily[Discharges],tblDaily[EntryDate],DATE(2026,3,11),tblDaily[WardCode],"MAE")=0,"",SUMIFS(tblDaily[Discharges],tblDaily[EntryDate],DATE(2026,3,11),tblDaily[WardCode],"MAE")),"")</f>
        <v/>
      </c>
      <c r="D98" s="25">
        <f>IFERROR(IF(SUMIFS(tblDaily[Deaths],tblDaily[EntryDate],DATE(2026,3,11),tblDaily[WardCode],"MAE")=0,"",SUMIFS(tblDaily[Deaths],tblDaily[EntryDate],DATE(2026,3,11),tblDaily[WardCode],"MAE")),"")</f>
        <v/>
      </c>
      <c r="E98" s="25">
        <f>IFERROR(IF(SUMIFS(tblDaily[DeathsUnder24Hrs],tblDaily[EntryDate],DATE(2026,3,11),tblDaily[WardCode],"MAE")=0,"",SUMIFS(tblDaily[DeathsUnder24Hrs],tblDaily[EntryDate],DATE(2026,3,11),tblDaily[WardCode],"MAE")),"")</f>
        <v/>
      </c>
      <c r="F98" s="25">
        <f>IFERROR(IF(SUMIFS(tblDaily[TransfersIn],tblDaily[EntryDate],DATE(2026,3,11),tblDaily[WardCode],"MAE")=0,"",SUMIFS(tblDaily[TransfersIn],tblDaily[EntryDate],DATE(2026,3,11),tblDaily[WardCode],"MAE")),"")</f>
        <v/>
      </c>
      <c r="G98" s="25">
        <f>IFERROR(IF(SUMIFS(tblDaily[TransfersOut],tblDaily[EntryDate],DATE(2026,3,11),tblDaily[WardCode],"MAE")=0,"",SUMIFS(tblDaily[TransfersOut],tblDaily[EntryDate],DATE(2026,3,11),tblDaily[WardCode],"MAE")),"")</f>
        <v/>
      </c>
      <c r="H98" s="25">
        <f>IFERROR(IF(SUMIFS(tblDaily[Remaining],tblDaily[EntryDate],DATE(2026,3,11),tblDaily[WardCode],"MAE")=0,"",SUMIFS(tblDaily[Remaining],tblDaily[EntryDate],DATE(2026,3,11),tblDaily[WardCode],"MAE")),"")</f>
        <v/>
      </c>
      <c r="I98" s="25">
        <f>IFERROR(IF(SUMIFS(tblDaily[Admissions],tblDaily[EntryDate],DATE(2026,3,11),tblDaily[WardCode],"FAE")=0,"",SUMIFS(tblDaily[Admissions],tblDaily[EntryDate],DATE(2026,3,11),tblDaily[WardCode],"FAE")),"")</f>
        <v/>
      </c>
      <c r="J98" s="25">
        <f>IFERROR(IF(SUMIFS(tblDaily[Discharges],tblDaily[EntryDate],DATE(2026,3,11),tblDaily[WardCode],"FAE")=0,"",SUMIFS(tblDaily[Discharges],tblDaily[EntryDate],DATE(2026,3,11),tblDaily[WardCode],"FAE")),"")</f>
        <v/>
      </c>
      <c r="K98" s="25">
        <f>IFERROR(IF(SUMIFS(tblDaily[Deaths],tblDaily[EntryDate],DATE(2026,3,11),tblDaily[WardCode],"FAE")=0,"",SUMIFS(tblDaily[Deaths],tblDaily[EntryDate],DATE(2026,3,11),tblDaily[WardCode],"FAE")),"")</f>
        <v/>
      </c>
      <c r="L98" s="25">
        <f>IFERROR(IF(SUMIFS(tblDaily[DeathsUnder24Hrs],tblDaily[EntryDate],DATE(2026,3,11),tblDaily[WardCode],"FAE")=0,"",SUMIFS(tblDaily[DeathsUnder24Hrs],tblDaily[EntryDate],DATE(2026,3,11),tblDaily[WardCode],"FAE")),"")</f>
        <v/>
      </c>
      <c r="M98" s="25">
        <f>IFERROR(IF(SUMIFS(tblDaily[TransfersIn],tblDaily[EntryDate],DATE(2026,3,11),tblDaily[WardCode],"FAE")=0,"",SUMIFS(tblDaily[TransfersIn],tblDaily[EntryDate],DATE(2026,3,11),tblDaily[WardCode],"FAE")),"")</f>
        <v/>
      </c>
      <c r="N98" s="25">
        <f>IFERROR(IF(SUMIFS(tblDaily[TransfersOut],tblDaily[EntryDate],DATE(2026,3,11),tblDaily[WardCode],"FAE")=0,"",SUMIFS(tblDaily[TransfersOut],tblDaily[EntryDate],DATE(2026,3,11),tblDaily[WardCode],"FAE")),"")</f>
        <v/>
      </c>
      <c r="O98" s="25">
        <f>IFERROR(IF(SUMIFS(tblDaily[Remaining],tblDaily[EntryDate],DATE(2026,3,11),tblDaily[WardCode],"FAE")=0,"",SUMIFS(tblDaily[Remaining],tblDaily[EntryDate],DATE(2026,3,11),tblDaily[WardCode],"FAE")),"")</f>
        <v/>
      </c>
      <c r="P98" s="26">
        <f>IF(AND(H98="", O98=""), "", N(H98) + N(O98))</f>
        <v/>
      </c>
    </row>
    <row r="99">
      <c r="A99" s="25" t="n">
        <v>12</v>
      </c>
      <c r="B99" s="25">
        <f>IFERROR(IF(SUMIFS(tblDaily[Admissions],tblDaily[EntryDate],DATE(2026,3,12),tblDaily[WardCode],"MAE")=0,"",SUMIFS(tblDaily[Admissions],tblDaily[EntryDate],DATE(2026,3,12),tblDaily[WardCode],"MAE")),"")</f>
        <v/>
      </c>
      <c r="C99" s="25">
        <f>IFERROR(IF(SUMIFS(tblDaily[Discharges],tblDaily[EntryDate],DATE(2026,3,12),tblDaily[WardCode],"MAE")=0,"",SUMIFS(tblDaily[Discharges],tblDaily[EntryDate],DATE(2026,3,12),tblDaily[WardCode],"MAE")),"")</f>
        <v/>
      </c>
      <c r="D99" s="25">
        <f>IFERROR(IF(SUMIFS(tblDaily[Deaths],tblDaily[EntryDate],DATE(2026,3,12),tblDaily[WardCode],"MAE")=0,"",SUMIFS(tblDaily[Deaths],tblDaily[EntryDate],DATE(2026,3,12),tblDaily[WardCode],"MAE")),"")</f>
        <v/>
      </c>
      <c r="E99" s="25">
        <f>IFERROR(IF(SUMIFS(tblDaily[DeathsUnder24Hrs],tblDaily[EntryDate],DATE(2026,3,12),tblDaily[WardCode],"MAE")=0,"",SUMIFS(tblDaily[DeathsUnder24Hrs],tblDaily[EntryDate],DATE(2026,3,12),tblDaily[WardCode],"MAE")),"")</f>
        <v/>
      </c>
      <c r="F99" s="25">
        <f>IFERROR(IF(SUMIFS(tblDaily[TransfersIn],tblDaily[EntryDate],DATE(2026,3,12),tblDaily[WardCode],"MAE")=0,"",SUMIFS(tblDaily[TransfersIn],tblDaily[EntryDate],DATE(2026,3,12),tblDaily[WardCode],"MAE")),"")</f>
        <v/>
      </c>
      <c r="G99" s="25">
        <f>IFERROR(IF(SUMIFS(tblDaily[TransfersOut],tblDaily[EntryDate],DATE(2026,3,12),tblDaily[WardCode],"MAE")=0,"",SUMIFS(tblDaily[TransfersOut],tblDaily[EntryDate],DATE(2026,3,12),tblDaily[WardCode],"MAE")),"")</f>
        <v/>
      </c>
      <c r="H99" s="25">
        <f>IFERROR(IF(SUMIFS(tblDaily[Remaining],tblDaily[EntryDate],DATE(2026,3,12),tblDaily[WardCode],"MAE")=0,"",SUMIFS(tblDaily[Remaining],tblDaily[EntryDate],DATE(2026,3,12),tblDaily[WardCode],"MAE")),"")</f>
        <v/>
      </c>
      <c r="I99" s="25">
        <f>IFERROR(IF(SUMIFS(tblDaily[Admissions],tblDaily[EntryDate],DATE(2026,3,12),tblDaily[WardCode],"FAE")=0,"",SUMIFS(tblDaily[Admissions],tblDaily[EntryDate],DATE(2026,3,12),tblDaily[WardCode],"FAE")),"")</f>
        <v/>
      </c>
      <c r="J99" s="25">
        <f>IFERROR(IF(SUMIFS(tblDaily[Discharges],tblDaily[EntryDate],DATE(2026,3,12),tblDaily[WardCode],"FAE")=0,"",SUMIFS(tblDaily[Discharges],tblDaily[EntryDate],DATE(2026,3,12),tblDaily[WardCode],"FAE")),"")</f>
        <v/>
      </c>
      <c r="K99" s="25">
        <f>IFERROR(IF(SUMIFS(tblDaily[Deaths],tblDaily[EntryDate],DATE(2026,3,12),tblDaily[WardCode],"FAE")=0,"",SUMIFS(tblDaily[Deaths],tblDaily[EntryDate],DATE(2026,3,12),tblDaily[WardCode],"FAE")),"")</f>
        <v/>
      </c>
      <c r="L99" s="25">
        <f>IFERROR(IF(SUMIFS(tblDaily[DeathsUnder24Hrs],tblDaily[EntryDate],DATE(2026,3,12),tblDaily[WardCode],"FAE")=0,"",SUMIFS(tblDaily[DeathsUnder24Hrs],tblDaily[EntryDate],DATE(2026,3,12),tblDaily[WardCode],"FAE")),"")</f>
        <v/>
      </c>
      <c r="M99" s="25">
        <f>IFERROR(IF(SUMIFS(tblDaily[TransfersIn],tblDaily[EntryDate],DATE(2026,3,12),tblDaily[WardCode],"FAE")=0,"",SUMIFS(tblDaily[TransfersIn],tblDaily[EntryDate],DATE(2026,3,12),tblDaily[WardCode],"FAE")),"")</f>
        <v/>
      </c>
      <c r="N99" s="25">
        <f>IFERROR(IF(SUMIFS(tblDaily[TransfersOut],tblDaily[EntryDate],DATE(2026,3,12),tblDaily[WardCode],"FAE")=0,"",SUMIFS(tblDaily[TransfersOut],tblDaily[EntryDate],DATE(2026,3,12),tblDaily[WardCode],"FAE")),"")</f>
        <v/>
      </c>
      <c r="O99" s="25">
        <f>IFERROR(IF(SUMIFS(tblDaily[Remaining],tblDaily[EntryDate],DATE(2026,3,12),tblDaily[WardCode],"FAE")=0,"",SUMIFS(tblDaily[Remaining],tblDaily[EntryDate],DATE(2026,3,12),tblDaily[WardCode],"FAE")),"")</f>
        <v/>
      </c>
      <c r="P99" s="26">
        <f>IF(AND(H99="", O99=""), "", N(H99) + N(O99))</f>
        <v/>
      </c>
    </row>
    <row r="100">
      <c r="A100" s="25" t="n">
        <v>13</v>
      </c>
      <c r="B100" s="25">
        <f>IFERROR(IF(SUMIFS(tblDaily[Admissions],tblDaily[EntryDate],DATE(2026,3,13),tblDaily[WardCode],"MAE")=0,"",SUMIFS(tblDaily[Admissions],tblDaily[EntryDate],DATE(2026,3,13),tblDaily[WardCode],"MAE")),"")</f>
        <v/>
      </c>
      <c r="C100" s="25">
        <f>IFERROR(IF(SUMIFS(tblDaily[Discharges],tblDaily[EntryDate],DATE(2026,3,13),tblDaily[WardCode],"MAE")=0,"",SUMIFS(tblDaily[Discharges],tblDaily[EntryDate],DATE(2026,3,13),tblDaily[WardCode],"MAE")),"")</f>
        <v/>
      </c>
      <c r="D100" s="25">
        <f>IFERROR(IF(SUMIFS(tblDaily[Deaths],tblDaily[EntryDate],DATE(2026,3,13),tblDaily[WardCode],"MAE")=0,"",SUMIFS(tblDaily[Deaths],tblDaily[EntryDate],DATE(2026,3,13),tblDaily[WardCode],"MAE")),"")</f>
        <v/>
      </c>
      <c r="E100" s="25">
        <f>IFERROR(IF(SUMIFS(tblDaily[DeathsUnder24Hrs],tblDaily[EntryDate],DATE(2026,3,13),tblDaily[WardCode],"MAE")=0,"",SUMIFS(tblDaily[DeathsUnder24Hrs],tblDaily[EntryDate],DATE(2026,3,13),tblDaily[WardCode],"MAE")),"")</f>
        <v/>
      </c>
      <c r="F100" s="25">
        <f>IFERROR(IF(SUMIFS(tblDaily[TransfersIn],tblDaily[EntryDate],DATE(2026,3,13),tblDaily[WardCode],"MAE")=0,"",SUMIFS(tblDaily[TransfersIn],tblDaily[EntryDate],DATE(2026,3,13),tblDaily[WardCode],"MAE")),"")</f>
        <v/>
      </c>
      <c r="G100" s="25">
        <f>IFERROR(IF(SUMIFS(tblDaily[TransfersOut],tblDaily[EntryDate],DATE(2026,3,13),tblDaily[WardCode],"MAE")=0,"",SUMIFS(tblDaily[TransfersOut],tblDaily[EntryDate],DATE(2026,3,13),tblDaily[WardCode],"MAE")),"")</f>
        <v/>
      </c>
      <c r="H100" s="25">
        <f>IFERROR(IF(SUMIFS(tblDaily[Remaining],tblDaily[EntryDate],DATE(2026,3,13),tblDaily[WardCode],"MAE")=0,"",SUMIFS(tblDaily[Remaining],tblDaily[EntryDate],DATE(2026,3,13),tblDaily[WardCode],"MAE")),"")</f>
        <v/>
      </c>
      <c r="I100" s="25">
        <f>IFERROR(IF(SUMIFS(tblDaily[Admissions],tblDaily[EntryDate],DATE(2026,3,13),tblDaily[WardCode],"FAE")=0,"",SUMIFS(tblDaily[Admissions],tblDaily[EntryDate],DATE(2026,3,13),tblDaily[WardCode],"FAE")),"")</f>
        <v/>
      </c>
      <c r="J100" s="25">
        <f>IFERROR(IF(SUMIFS(tblDaily[Discharges],tblDaily[EntryDate],DATE(2026,3,13),tblDaily[WardCode],"FAE")=0,"",SUMIFS(tblDaily[Discharges],tblDaily[EntryDate],DATE(2026,3,13),tblDaily[WardCode],"FAE")),"")</f>
        <v/>
      </c>
      <c r="K100" s="25">
        <f>IFERROR(IF(SUMIFS(tblDaily[Deaths],tblDaily[EntryDate],DATE(2026,3,13),tblDaily[WardCode],"FAE")=0,"",SUMIFS(tblDaily[Deaths],tblDaily[EntryDate],DATE(2026,3,13),tblDaily[WardCode],"FAE")),"")</f>
        <v/>
      </c>
      <c r="L100" s="25">
        <f>IFERROR(IF(SUMIFS(tblDaily[DeathsUnder24Hrs],tblDaily[EntryDate],DATE(2026,3,13),tblDaily[WardCode],"FAE")=0,"",SUMIFS(tblDaily[DeathsUnder24Hrs],tblDaily[EntryDate],DATE(2026,3,13),tblDaily[WardCode],"FAE")),"")</f>
        <v/>
      </c>
      <c r="M100" s="25">
        <f>IFERROR(IF(SUMIFS(tblDaily[TransfersIn],tblDaily[EntryDate],DATE(2026,3,13),tblDaily[WardCode],"FAE")=0,"",SUMIFS(tblDaily[TransfersIn],tblDaily[EntryDate],DATE(2026,3,13),tblDaily[WardCode],"FAE")),"")</f>
        <v/>
      </c>
      <c r="N100" s="25">
        <f>IFERROR(IF(SUMIFS(tblDaily[TransfersOut],tblDaily[EntryDate],DATE(2026,3,13),tblDaily[WardCode],"FAE")=0,"",SUMIFS(tblDaily[TransfersOut],tblDaily[EntryDate],DATE(2026,3,13),tblDaily[WardCode],"FAE")),"")</f>
        <v/>
      </c>
      <c r="O100" s="25">
        <f>IFERROR(IF(SUMIFS(tblDaily[Remaining],tblDaily[EntryDate],DATE(2026,3,13),tblDaily[WardCode],"FAE")=0,"",SUMIFS(tblDaily[Remaining],tblDaily[EntryDate],DATE(2026,3,13),tblDaily[WardCode],"FAE")),"")</f>
        <v/>
      </c>
      <c r="P100" s="26">
        <f>IF(AND(H100="", O100=""), "", N(H100) + N(O100))</f>
        <v/>
      </c>
    </row>
    <row r="101">
      <c r="A101" s="25" t="n">
        <v>14</v>
      </c>
      <c r="B101" s="25">
        <f>IFERROR(IF(SUMIFS(tblDaily[Admissions],tblDaily[EntryDate],DATE(2026,3,14),tblDaily[WardCode],"MAE")=0,"",SUMIFS(tblDaily[Admissions],tblDaily[EntryDate],DATE(2026,3,14),tblDaily[WardCode],"MAE")),"")</f>
        <v/>
      </c>
      <c r="C101" s="25">
        <f>IFERROR(IF(SUMIFS(tblDaily[Discharges],tblDaily[EntryDate],DATE(2026,3,14),tblDaily[WardCode],"MAE")=0,"",SUMIFS(tblDaily[Discharges],tblDaily[EntryDate],DATE(2026,3,14),tblDaily[WardCode],"MAE")),"")</f>
        <v/>
      </c>
      <c r="D101" s="25">
        <f>IFERROR(IF(SUMIFS(tblDaily[Deaths],tblDaily[EntryDate],DATE(2026,3,14),tblDaily[WardCode],"MAE")=0,"",SUMIFS(tblDaily[Deaths],tblDaily[EntryDate],DATE(2026,3,14),tblDaily[WardCode],"MAE")),"")</f>
        <v/>
      </c>
      <c r="E101" s="25">
        <f>IFERROR(IF(SUMIFS(tblDaily[DeathsUnder24Hrs],tblDaily[EntryDate],DATE(2026,3,14),tblDaily[WardCode],"MAE")=0,"",SUMIFS(tblDaily[DeathsUnder24Hrs],tblDaily[EntryDate],DATE(2026,3,14),tblDaily[WardCode],"MAE")),"")</f>
        <v/>
      </c>
      <c r="F101" s="25">
        <f>IFERROR(IF(SUMIFS(tblDaily[TransfersIn],tblDaily[EntryDate],DATE(2026,3,14),tblDaily[WardCode],"MAE")=0,"",SUMIFS(tblDaily[TransfersIn],tblDaily[EntryDate],DATE(2026,3,14),tblDaily[WardCode],"MAE")),"")</f>
        <v/>
      </c>
      <c r="G101" s="25">
        <f>IFERROR(IF(SUMIFS(tblDaily[TransfersOut],tblDaily[EntryDate],DATE(2026,3,14),tblDaily[WardCode],"MAE")=0,"",SUMIFS(tblDaily[TransfersOut],tblDaily[EntryDate],DATE(2026,3,14),tblDaily[WardCode],"MAE")),"")</f>
        <v/>
      </c>
      <c r="H101" s="25">
        <f>IFERROR(IF(SUMIFS(tblDaily[Remaining],tblDaily[EntryDate],DATE(2026,3,14),tblDaily[WardCode],"MAE")=0,"",SUMIFS(tblDaily[Remaining],tblDaily[EntryDate],DATE(2026,3,14),tblDaily[WardCode],"MAE")),"")</f>
        <v/>
      </c>
      <c r="I101" s="25">
        <f>IFERROR(IF(SUMIFS(tblDaily[Admissions],tblDaily[EntryDate],DATE(2026,3,14),tblDaily[WardCode],"FAE")=0,"",SUMIFS(tblDaily[Admissions],tblDaily[EntryDate],DATE(2026,3,14),tblDaily[WardCode],"FAE")),"")</f>
        <v/>
      </c>
      <c r="J101" s="25">
        <f>IFERROR(IF(SUMIFS(tblDaily[Discharges],tblDaily[EntryDate],DATE(2026,3,14),tblDaily[WardCode],"FAE")=0,"",SUMIFS(tblDaily[Discharges],tblDaily[EntryDate],DATE(2026,3,14),tblDaily[WardCode],"FAE")),"")</f>
        <v/>
      </c>
      <c r="K101" s="25">
        <f>IFERROR(IF(SUMIFS(tblDaily[Deaths],tblDaily[EntryDate],DATE(2026,3,14),tblDaily[WardCode],"FAE")=0,"",SUMIFS(tblDaily[Deaths],tblDaily[EntryDate],DATE(2026,3,14),tblDaily[WardCode],"FAE")),"")</f>
        <v/>
      </c>
      <c r="L101" s="25">
        <f>IFERROR(IF(SUMIFS(tblDaily[DeathsUnder24Hrs],tblDaily[EntryDate],DATE(2026,3,14),tblDaily[WardCode],"FAE")=0,"",SUMIFS(tblDaily[DeathsUnder24Hrs],tblDaily[EntryDate],DATE(2026,3,14),tblDaily[WardCode],"FAE")),"")</f>
        <v/>
      </c>
      <c r="M101" s="25">
        <f>IFERROR(IF(SUMIFS(tblDaily[TransfersIn],tblDaily[EntryDate],DATE(2026,3,14),tblDaily[WardCode],"FAE")=0,"",SUMIFS(tblDaily[TransfersIn],tblDaily[EntryDate],DATE(2026,3,14),tblDaily[WardCode],"FAE")),"")</f>
        <v/>
      </c>
      <c r="N101" s="25">
        <f>IFERROR(IF(SUMIFS(tblDaily[TransfersOut],tblDaily[EntryDate],DATE(2026,3,14),tblDaily[WardCode],"FAE")=0,"",SUMIFS(tblDaily[TransfersOut],tblDaily[EntryDate],DATE(2026,3,14),tblDaily[WardCode],"FAE")),"")</f>
        <v/>
      </c>
      <c r="O101" s="25">
        <f>IFERROR(IF(SUMIFS(tblDaily[Remaining],tblDaily[EntryDate],DATE(2026,3,14),tblDaily[WardCode],"FAE")=0,"",SUMIFS(tblDaily[Remaining],tblDaily[EntryDate],DATE(2026,3,14),tblDaily[WardCode],"FAE")),"")</f>
        <v/>
      </c>
      <c r="P101" s="26">
        <f>IF(AND(H101="", O101=""), "", N(H101) + N(O101))</f>
        <v/>
      </c>
    </row>
    <row r="102">
      <c r="A102" s="25" t="n">
        <v>15</v>
      </c>
      <c r="B102" s="25">
        <f>IFERROR(IF(SUMIFS(tblDaily[Admissions],tblDaily[EntryDate],DATE(2026,3,15),tblDaily[WardCode],"MAE")=0,"",SUMIFS(tblDaily[Admissions],tblDaily[EntryDate],DATE(2026,3,15),tblDaily[WardCode],"MAE")),"")</f>
        <v/>
      </c>
      <c r="C102" s="25">
        <f>IFERROR(IF(SUMIFS(tblDaily[Discharges],tblDaily[EntryDate],DATE(2026,3,15),tblDaily[WardCode],"MAE")=0,"",SUMIFS(tblDaily[Discharges],tblDaily[EntryDate],DATE(2026,3,15),tblDaily[WardCode],"MAE")),"")</f>
        <v/>
      </c>
      <c r="D102" s="25">
        <f>IFERROR(IF(SUMIFS(tblDaily[Deaths],tblDaily[EntryDate],DATE(2026,3,15),tblDaily[WardCode],"MAE")=0,"",SUMIFS(tblDaily[Deaths],tblDaily[EntryDate],DATE(2026,3,15),tblDaily[WardCode],"MAE")),"")</f>
        <v/>
      </c>
      <c r="E102" s="25">
        <f>IFERROR(IF(SUMIFS(tblDaily[DeathsUnder24Hrs],tblDaily[EntryDate],DATE(2026,3,15),tblDaily[WardCode],"MAE")=0,"",SUMIFS(tblDaily[DeathsUnder24Hrs],tblDaily[EntryDate],DATE(2026,3,15),tblDaily[WardCode],"MAE")),"")</f>
        <v/>
      </c>
      <c r="F102" s="25">
        <f>IFERROR(IF(SUMIFS(tblDaily[TransfersIn],tblDaily[EntryDate],DATE(2026,3,15),tblDaily[WardCode],"MAE")=0,"",SUMIFS(tblDaily[TransfersIn],tblDaily[EntryDate],DATE(2026,3,15),tblDaily[WardCode],"MAE")),"")</f>
        <v/>
      </c>
      <c r="G102" s="25">
        <f>IFERROR(IF(SUMIFS(tblDaily[TransfersOut],tblDaily[EntryDate],DATE(2026,3,15),tblDaily[WardCode],"MAE")=0,"",SUMIFS(tblDaily[TransfersOut],tblDaily[EntryDate],DATE(2026,3,15),tblDaily[WardCode],"MAE")),"")</f>
        <v/>
      </c>
      <c r="H102" s="25">
        <f>IFERROR(IF(SUMIFS(tblDaily[Remaining],tblDaily[EntryDate],DATE(2026,3,15),tblDaily[WardCode],"MAE")=0,"",SUMIFS(tblDaily[Remaining],tblDaily[EntryDate],DATE(2026,3,15),tblDaily[WardCode],"MAE")),"")</f>
        <v/>
      </c>
      <c r="I102" s="25">
        <f>IFERROR(IF(SUMIFS(tblDaily[Admissions],tblDaily[EntryDate],DATE(2026,3,15),tblDaily[WardCode],"FAE")=0,"",SUMIFS(tblDaily[Admissions],tblDaily[EntryDate],DATE(2026,3,15),tblDaily[WardCode],"FAE")),"")</f>
        <v/>
      </c>
      <c r="J102" s="25">
        <f>IFERROR(IF(SUMIFS(tblDaily[Discharges],tblDaily[EntryDate],DATE(2026,3,15),tblDaily[WardCode],"FAE")=0,"",SUMIFS(tblDaily[Discharges],tblDaily[EntryDate],DATE(2026,3,15),tblDaily[WardCode],"FAE")),"")</f>
        <v/>
      </c>
      <c r="K102" s="25">
        <f>IFERROR(IF(SUMIFS(tblDaily[Deaths],tblDaily[EntryDate],DATE(2026,3,15),tblDaily[WardCode],"FAE")=0,"",SUMIFS(tblDaily[Deaths],tblDaily[EntryDate],DATE(2026,3,15),tblDaily[WardCode],"FAE")),"")</f>
        <v/>
      </c>
      <c r="L102" s="25">
        <f>IFERROR(IF(SUMIFS(tblDaily[DeathsUnder24Hrs],tblDaily[EntryDate],DATE(2026,3,15),tblDaily[WardCode],"FAE")=0,"",SUMIFS(tblDaily[DeathsUnder24Hrs],tblDaily[EntryDate],DATE(2026,3,15),tblDaily[WardCode],"FAE")),"")</f>
        <v/>
      </c>
      <c r="M102" s="25">
        <f>IFERROR(IF(SUMIFS(tblDaily[TransfersIn],tblDaily[EntryDate],DATE(2026,3,15),tblDaily[WardCode],"FAE")=0,"",SUMIFS(tblDaily[TransfersIn],tblDaily[EntryDate],DATE(2026,3,15),tblDaily[WardCode],"FAE")),"")</f>
        <v/>
      </c>
      <c r="N102" s="25">
        <f>IFERROR(IF(SUMIFS(tblDaily[TransfersOut],tblDaily[EntryDate],DATE(2026,3,15),tblDaily[WardCode],"FAE")=0,"",SUMIFS(tblDaily[TransfersOut],tblDaily[EntryDate],DATE(2026,3,15),tblDaily[WardCode],"FAE")),"")</f>
        <v/>
      </c>
      <c r="O102" s="25">
        <f>IFERROR(IF(SUMIFS(tblDaily[Remaining],tblDaily[EntryDate],DATE(2026,3,15),tblDaily[WardCode],"FAE")=0,"",SUMIFS(tblDaily[Remaining],tblDaily[EntryDate],DATE(2026,3,15),tblDaily[WardCode],"FAE")),"")</f>
        <v/>
      </c>
      <c r="P102" s="26">
        <f>IF(AND(H102="", O102=""), "", N(H102) + N(O102))</f>
        <v/>
      </c>
    </row>
    <row r="103">
      <c r="A103" s="25" t="n">
        <v>16</v>
      </c>
      <c r="B103" s="25">
        <f>IFERROR(IF(SUMIFS(tblDaily[Admissions],tblDaily[EntryDate],DATE(2026,3,16),tblDaily[WardCode],"MAE")=0,"",SUMIFS(tblDaily[Admissions],tblDaily[EntryDate],DATE(2026,3,16),tblDaily[WardCode],"MAE")),"")</f>
        <v/>
      </c>
      <c r="C103" s="25">
        <f>IFERROR(IF(SUMIFS(tblDaily[Discharges],tblDaily[EntryDate],DATE(2026,3,16),tblDaily[WardCode],"MAE")=0,"",SUMIFS(tblDaily[Discharges],tblDaily[EntryDate],DATE(2026,3,16),tblDaily[WardCode],"MAE")),"")</f>
        <v/>
      </c>
      <c r="D103" s="25">
        <f>IFERROR(IF(SUMIFS(tblDaily[Deaths],tblDaily[EntryDate],DATE(2026,3,16),tblDaily[WardCode],"MAE")=0,"",SUMIFS(tblDaily[Deaths],tblDaily[EntryDate],DATE(2026,3,16),tblDaily[WardCode],"MAE")),"")</f>
        <v/>
      </c>
      <c r="E103" s="25">
        <f>IFERROR(IF(SUMIFS(tblDaily[DeathsUnder24Hrs],tblDaily[EntryDate],DATE(2026,3,16),tblDaily[WardCode],"MAE")=0,"",SUMIFS(tblDaily[DeathsUnder24Hrs],tblDaily[EntryDate],DATE(2026,3,16),tblDaily[WardCode],"MAE")),"")</f>
        <v/>
      </c>
      <c r="F103" s="25">
        <f>IFERROR(IF(SUMIFS(tblDaily[TransfersIn],tblDaily[EntryDate],DATE(2026,3,16),tblDaily[WardCode],"MAE")=0,"",SUMIFS(tblDaily[TransfersIn],tblDaily[EntryDate],DATE(2026,3,16),tblDaily[WardCode],"MAE")),"")</f>
        <v/>
      </c>
      <c r="G103" s="25">
        <f>IFERROR(IF(SUMIFS(tblDaily[TransfersOut],tblDaily[EntryDate],DATE(2026,3,16),tblDaily[WardCode],"MAE")=0,"",SUMIFS(tblDaily[TransfersOut],tblDaily[EntryDate],DATE(2026,3,16),tblDaily[WardCode],"MAE")),"")</f>
        <v/>
      </c>
      <c r="H103" s="25">
        <f>IFERROR(IF(SUMIFS(tblDaily[Remaining],tblDaily[EntryDate],DATE(2026,3,16),tblDaily[WardCode],"MAE")=0,"",SUMIFS(tblDaily[Remaining],tblDaily[EntryDate],DATE(2026,3,16),tblDaily[WardCode],"MAE")),"")</f>
        <v/>
      </c>
      <c r="I103" s="25">
        <f>IFERROR(IF(SUMIFS(tblDaily[Admissions],tblDaily[EntryDate],DATE(2026,3,16),tblDaily[WardCode],"FAE")=0,"",SUMIFS(tblDaily[Admissions],tblDaily[EntryDate],DATE(2026,3,16),tblDaily[WardCode],"FAE")),"")</f>
        <v/>
      </c>
      <c r="J103" s="25">
        <f>IFERROR(IF(SUMIFS(tblDaily[Discharges],tblDaily[EntryDate],DATE(2026,3,16),tblDaily[WardCode],"FAE")=0,"",SUMIFS(tblDaily[Discharges],tblDaily[EntryDate],DATE(2026,3,16),tblDaily[WardCode],"FAE")),"")</f>
        <v/>
      </c>
      <c r="K103" s="25">
        <f>IFERROR(IF(SUMIFS(tblDaily[Deaths],tblDaily[EntryDate],DATE(2026,3,16),tblDaily[WardCode],"FAE")=0,"",SUMIFS(tblDaily[Deaths],tblDaily[EntryDate],DATE(2026,3,16),tblDaily[WardCode],"FAE")),"")</f>
        <v/>
      </c>
      <c r="L103" s="25">
        <f>IFERROR(IF(SUMIFS(tblDaily[DeathsUnder24Hrs],tblDaily[EntryDate],DATE(2026,3,16),tblDaily[WardCode],"FAE")=0,"",SUMIFS(tblDaily[DeathsUnder24Hrs],tblDaily[EntryDate],DATE(2026,3,16),tblDaily[WardCode],"FAE")),"")</f>
        <v/>
      </c>
      <c r="M103" s="25">
        <f>IFERROR(IF(SUMIFS(tblDaily[TransfersIn],tblDaily[EntryDate],DATE(2026,3,16),tblDaily[WardCode],"FAE")=0,"",SUMIFS(tblDaily[TransfersIn],tblDaily[EntryDate],DATE(2026,3,16),tblDaily[WardCode],"FAE")),"")</f>
        <v/>
      </c>
      <c r="N103" s="25">
        <f>IFERROR(IF(SUMIFS(tblDaily[TransfersOut],tblDaily[EntryDate],DATE(2026,3,16),tblDaily[WardCode],"FAE")=0,"",SUMIFS(tblDaily[TransfersOut],tblDaily[EntryDate],DATE(2026,3,16),tblDaily[WardCode],"FAE")),"")</f>
        <v/>
      </c>
      <c r="O103" s="25">
        <f>IFERROR(IF(SUMIFS(tblDaily[Remaining],tblDaily[EntryDate],DATE(2026,3,16),tblDaily[WardCode],"FAE")=0,"",SUMIFS(tblDaily[Remaining],tblDaily[EntryDate],DATE(2026,3,16),tblDaily[WardCode],"FAE")),"")</f>
        <v/>
      </c>
      <c r="P103" s="26">
        <f>IF(AND(H103="", O103=""), "", N(H103) + N(O103))</f>
        <v/>
      </c>
    </row>
    <row r="104">
      <c r="A104" s="25" t="n">
        <v>17</v>
      </c>
      <c r="B104" s="25">
        <f>IFERROR(IF(SUMIFS(tblDaily[Admissions],tblDaily[EntryDate],DATE(2026,3,17),tblDaily[WardCode],"MAE")=0,"",SUMIFS(tblDaily[Admissions],tblDaily[EntryDate],DATE(2026,3,17),tblDaily[WardCode],"MAE")),"")</f>
        <v/>
      </c>
      <c r="C104" s="25">
        <f>IFERROR(IF(SUMIFS(tblDaily[Discharges],tblDaily[EntryDate],DATE(2026,3,17),tblDaily[WardCode],"MAE")=0,"",SUMIFS(tblDaily[Discharges],tblDaily[EntryDate],DATE(2026,3,17),tblDaily[WardCode],"MAE")),"")</f>
        <v/>
      </c>
      <c r="D104" s="25">
        <f>IFERROR(IF(SUMIFS(tblDaily[Deaths],tblDaily[EntryDate],DATE(2026,3,17),tblDaily[WardCode],"MAE")=0,"",SUMIFS(tblDaily[Deaths],tblDaily[EntryDate],DATE(2026,3,17),tblDaily[WardCode],"MAE")),"")</f>
        <v/>
      </c>
      <c r="E104" s="25">
        <f>IFERROR(IF(SUMIFS(tblDaily[DeathsUnder24Hrs],tblDaily[EntryDate],DATE(2026,3,17),tblDaily[WardCode],"MAE")=0,"",SUMIFS(tblDaily[DeathsUnder24Hrs],tblDaily[EntryDate],DATE(2026,3,17),tblDaily[WardCode],"MAE")),"")</f>
        <v/>
      </c>
      <c r="F104" s="25">
        <f>IFERROR(IF(SUMIFS(tblDaily[TransfersIn],tblDaily[EntryDate],DATE(2026,3,17),tblDaily[WardCode],"MAE")=0,"",SUMIFS(tblDaily[TransfersIn],tblDaily[EntryDate],DATE(2026,3,17),tblDaily[WardCode],"MAE")),"")</f>
        <v/>
      </c>
      <c r="G104" s="25">
        <f>IFERROR(IF(SUMIFS(tblDaily[TransfersOut],tblDaily[EntryDate],DATE(2026,3,17),tblDaily[WardCode],"MAE")=0,"",SUMIFS(tblDaily[TransfersOut],tblDaily[EntryDate],DATE(2026,3,17),tblDaily[WardCode],"MAE")),"")</f>
        <v/>
      </c>
      <c r="H104" s="25">
        <f>IFERROR(IF(SUMIFS(tblDaily[Remaining],tblDaily[EntryDate],DATE(2026,3,17),tblDaily[WardCode],"MAE")=0,"",SUMIFS(tblDaily[Remaining],tblDaily[EntryDate],DATE(2026,3,17),tblDaily[WardCode],"MAE")),"")</f>
        <v/>
      </c>
      <c r="I104" s="25">
        <f>IFERROR(IF(SUMIFS(tblDaily[Admissions],tblDaily[EntryDate],DATE(2026,3,17),tblDaily[WardCode],"FAE")=0,"",SUMIFS(tblDaily[Admissions],tblDaily[EntryDate],DATE(2026,3,17),tblDaily[WardCode],"FAE")),"")</f>
        <v/>
      </c>
      <c r="J104" s="25">
        <f>IFERROR(IF(SUMIFS(tblDaily[Discharges],tblDaily[EntryDate],DATE(2026,3,17),tblDaily[WardCode],"FAE")=0,"",SUMIFS(tblDaily[Discharges],tblDaily[EntryDate],DATE(2026,3,17),tblDaily[WardCode],"FAE")),"")</f>
        <v/>
      </c>
      <c r="K104" s="25">
        <f>IFERROR(IF(SUMIFS(tblDaily[Deaths],tblDaily[EntryDate],DATE(2026,3,17),tblDaily[WardCode],"FAE")=0,"",SUMIFS(tblDaily[Deaths],tblDaily[EntryDate],DATE(2026,3,17),tblDaily[WardCode],"FAE")),"")</f>
        <v/>
      </c>
      <c r="L104" s="25">
        <f>IFERROR(IF(SUMIFS(tblDaily[DeathsUnder24Hrs],tblDaily[EntryDate],DATE(2026,3,17),tblDaily[WardCode],"FAE")=0,"",SUMIFS(tblDaily[DeathsUnder24Hrs],tblDaily[EntryDate],DATE(2026,3,17),tblDaily[WardCode],"FAE")),"")</f>
        <v/>
      </c>
      <c r="M104" s="25">
        <f>IFERROR(IF(SUMIFS(tblDaily[TransfersIn],tblDaily[EntryDate],DATE(2026,3,17),tblDaily[WardCode],"FAE")=0,"",SUMIFS(tblDaily[TransfersIn],tblDaily[EntryDate],DATE(2026,3,17),tblDaily[WardCode],"FAE")),"")</f>
        <v/>
      </c>
      <c r="N104" s="25">
        <f>IFERROR(IF(SUMIFS(tblDaily[TransfersOut],tblDaily[EntryDate],DATE(2026,3,17),tblDaily[WardCode],"FAE")=0,"",SUMIFS(tblDaily[TransfersOut],tblDaily[EntryDate],DATE(2026,3,17),tblDaily[WardCode],"FAE")),"")</f>
        <v/>
      </c>
      <c r="O104" s="25">
        <f>IFERROR(IF(SUMIFS(tblDaily[Remaining],tblDaily[EntryDate],DATE(2026,3,17),tblDaily[WardCode],"FAE")=0,"",SUMIFS(tblDaily[Remaining],tblDaily[EntryDate],DATE(2026,3,17),tblDaily[WardCode],"FAE")),"")</f>
        <v/>
      </c>
      <c r="P104" s="26">
        <f>IF(AND(H104="", O104=""), "", N(H104) + N(O104))</f>
        <v/>
      </c>
    </row>
    <row r="105">
      <c r="A105" s="25" t="n">
        <v>18</v>
      </c>
      <c r="B105" s="25">
        <f>IFERROR(IF(SUMIFS(tblDaily[Admissions],tblDaily[EntryDate],DATE(2026,3,18),tblDaily[WardCode],"MAE")=0,"",SUMIFS(tblDaily[Admissions],tblDaily[EntryDate],DATE(2026,3,18),tblDaily[WardCode],"MAE")),"")</f>
        <v/>
      </c>
      <c r="C105" s="25">
        <f>IFERROR(IF(SUMIFS(tblDaily[Discharges],tblDaily[EntryDate],DATE(2026,3,18),tblDaily[WardCode],"MAE")=0,"",SUMIFS(tblDaily[Discharges],tblDaily[EntryDate],DATE(2026,3,18),tblDaily[WardCode],"MAE")),"")</f>
        <v/>
      </c>
      <c r="D105" s="25">
        <f>IFERROR(IF(SUMIFS(tblDaily[Deaths],tblDaily[EntryDate],DATE(2026,3,18),tblDaily[WardCode],"MAE")=0,"",SUMIFS(tblDaily[Deaths],tblDaily[EntryDate],DATE(2026,3,18),tblDaily[WardCode],"MAE")),"")</f>
        <v/>
      </c>
      <c r="E105" s="25">
        <f>IFERROR(IF(SUMIFS(tblDaily[DeathsUnder24Hrs],tblDaily[EntryDate],DATE(2026,3,18),tblDaily[WardCode],"MAE")=0,"",SUMIFS(tblDaily[DeathsUnder24Hrs],tblDaily[EntryDate],DATE(2026,3,18),tblDaily[WardCode],"MAE")),"")</f>
        <v/>
      </c>
      <c r="F105" s="25">
        <f>IFERROR(IF(SUMIFS(tblDaily[TransfersIn],tblDaily[EntryDate],DATE(2026,3,18),tblDaily[WardCode],"MAE")=0,"",SUMIFS(tblDaily[TransfersIn],tblDaily[EntryDate],DATE(2026,3,18),tblDaily[WardCode],"MAE")),"")</f>
        <v/>
      </c>
      <c r="G105" s="25">
        <f>IFERROR(IF(SUMIFS(tblDaily[TransfersOut],tblDaily[EntryDate],DATE(2026,3,18),tblDaily[WardCode],"MAE")=0,"",SUMIFS(tblDaily[TransfersOut],tblDaily[EntryDate],DATE(2026,3,18),tblDaily[WardCode],"MAE")),"")</f>
        <v/>
      </c>
      <c r="H105" s="25">
        <f>IFERROR(IF(SUMIFS(tblDaily[Remaining],tblDaily[EntryDate],DATE(2026,3,18),tblDaily[WardCode],"MAE")=0,"",SUMIFS(tblDaily[Remaining],tblDaily[EntryDate],DATE(2026,3,18),tblDaily[WardCode],"MAE")),"")</f>
        <v/>
      </c>
      <c r="I105" s="25">
        <f>IFERROR(IF(SUMIFS(tblDaily[Admissions],tblDaily[EntryDate],DATE(2026,3,18),tblDaily[WardCode],"FAE")=0,"",SUMIFS(tblDaily[Admissions],tblDaily[EntryDate],DATE(2026,3,18),tblDaily[WardCode],"FAE")),"")</f>
        <v/>
      </c>
      <c r="J105" s="25">
        <f>IFERROR(IF(SUMIFS(tblDaily[Discharges],tblDaily[EntryDate],DATE(2026,3,18),tblDaily[WardCode],"FAE")=0,"",SUMIFS(tblDaily[Discharges],tblDaily[EntryDate],DATE(2026,3,18),tblDaily[WardCode],"FAE")),"")</f>
        <v/>
      </c>
      <c r="K105" s="25">
        <f>IFERROR(IF(SUMIFS(tblDaily[Deaths],tblDaily[EntryDate],DATE(2026,3,18),tblDaily[WardCode],"FAE")=0,"",SUMIFS(tblDaily[Deaths],tblDaily[EntryDate],DATE(2026,3,18),tblDaily[WardCode],"FAE")),"")</f>
        <v/>
      </c>
      <c r="L105" s="25">
        <f>IFERROR(IF(SUMIFS(tblDaily[DeathsUnder24Hrs],tblDaily[EntryDate],DATE(2026,3,18),tblDaily[WardCode],"FAE")=0,"",SUMIFS(tblDaily[DeathsUnder24Hrs],tblDaily[EntryDate],DATE(2026,3,18),tblDaily[WardCode],"FAE")),"")</f>
        <v/>
      </c>
      <c r="M105" s="25">
        <f>IFERROR(IF(SUMIFS(tblDaily[TransfersIn],tblDaily[EntryDate],DATE(2026,3,18),tblDaily[WardCode],"FAE")=0,"",SUMIFS(tblDaily[TransfersIn],tblDaily[EntryDate],DATE(2026,3,18),tblDaily[WardCode],"FAE")),"")</f>
        <v/>
      </c>
      <c r="N105" s="25">
        <f>IFERROR(IF(SUMIFS(tblDaily[TransfersOut],tblDaily[EntryDate],DATE(2026,3,18),tblDaily[WardCode],"FAE")=0,"",SUMIFS(tblDaily[TransfersOut],tblDaily[EntryDate],DATE(2026,3,18),tblDaily[WardCode],"FAE")),"")</f>
        <v/>
      </c>
      <c r="O105" s="25">
        <f>IFERROR(IF(SUMIFS(tblDaily[Remaining],tblDaily[EntryDate],DATE(2026,3,18),tblDaily[WardCode],"FAE")=0,"",SUMIFS(tblDaily[Remaining],tblDaily[EntryDate],DATE(2026,3,18),tblDaily[WardCode],"FAE")),"")</f>
        <v/>
      </c>
      <c r="P105" s="26">
        <f>IF(AND(H105="", O105=""), "", N(H105) + N(O105))</f>
        <v/>
      </c>
    </row>
    <row r="106">
      <c r="A106" s="25" t="n">
        <v>19</v>
      </c>
      <c r="B106" s="25">
        <f>IFERROR(IF(SUMIFS(tblDaily[Admissions],tblDaily[EntryDate],DATE(2026,3,19),tblDaily[WardCode],"MAE")=0,"",SUMIFS(tblDaily[Admissions],tblDaily[EntryDate],DATE(2026,3,19),tblDaily[WardCode],"MAE")),"")</f>
        <v/>
      </c>
      <c r="C106" s="25">
        <f>IFERROR(IF(SUMIFS(tblDaily[Discharges],tblDaily[EntryDate],DATE(2026,3,19),tblDaily[WardCode],"MAE")=0,"",SUMIFS(tblDaily[Discharges],tblDaily[EntryDate],DATE(2026,3,19),tblDaily[WardCode],"MAE")),"")</f>
        <v/>
      </c>
      <c r="D106" s="25">
        <f>IFERROR(IF(SUMIFS(tblDaily[Deaths],tblDaily[EntryDate],DATE(2026,3,19),tblDaily[WardCode],"MAE")=0,"",SUMIFS(tblDaily[Deaths],tblDaily[EntryDate],DATE(2026,3,19),tblDaily[WardCode],"MAE")),"")</f>
        <v/>
      </c>
      <c r="E106" s="25">
        <f>IFERROR(IF(SUMIFS(tblDaily[DeathsUnder24Hrs],tblDaily[EntryDate],DATE(2026,3,19),tblDaily[WardCode],"MAE")=0,"",SUMIFS(tblDaily[DeathsUnder24Hrs],tblDaily[EntryDate],DATE(2026,3,19),tblDaily[WardCode],"MAE")),"")</f>
        <v/>
      </c>
      <c r="F106" s="25">
        <f>IFERROR(IF(SUMIFS(tblDaily[TransfersIn],tblDaily[EntryDate],DATE(2026,3,19),tblDaily[WardCode],"MAE")=0,"",SUMIFS(tblDaily[TransfersIn],tblDaily[EntryDate],DATE(2026,3,19),tblDaily[WardCode],"MAE")),"")</f>
        <v/>
      </c>
      <c r="G106" s="25">
        <f>IFERROR(IF(SUMIFS(tblDaily[TransfersOut],tblDaily[EntryDate],DATE(2026,3,19),tblDaily[WardCode],"MAE")=0,"",SUMIFS(tblDaily[TransfersOut],tblDaily[EntryDate],DATE(2026,3,19),tblDaily[WardCode],"MAE")),"")</f>
        <v/>
      </c>
      <c r="H106" s="25">
        <f>IFERROR(IF(SUMIFS(tblDaily[Remaining],tblDaily[EntryDate],DATE(2026,3,19),tblDaily[WardCode],"MAE")=0,"",SUMIFS(tblDaily[Remaining],tblDaily[EntryDate],DATE(2026,3,19),tblDaily[WardCode],"MAE")),"")</f>
        <v/>
      </c>
      <c r="I106" s="25">
        <f>IFERROR(IF(SUMIFS(tblDaily[Admissions],tblDaily[EntryDate],DATE(2026,3,19),tblDaily[WardCode],"FAE")=0,"",SUMIFS(tblDaily[Admissions],tblDaily[EntryDate],DATE(2026,3,19),tblDaily[WardCode],"FAE")),"")</f>
        <v/>
      </c>
      <c r="J106" s="25">
        <f>IFERROR(IF(SUMIFS(tblDaily[Discharges],tblDaily[EntryDate],DATE(2026,3,19),tblDaily[WardCode],"FAE")=0,"",SUMIFS(tblDaily[Discharges],tblDaily[EntryDate],DATE(2026,3,19),tblDaily[WardCode],"FAE")),"")</f>
        <v/>
      </c>
      <c r="K106" s="25">
        <f>IFERROR(IF(SUMIFS(tblDaily[Deaths],tblDaily[EntryDate],DATE(2026,3,19),tblDaily[WardCode],"FAE")=0,"",SUMIFS(tblDaily[Deaths],tblDaily[EntryDate],DATE(2026,3,19),tblDaily[WardCode],"FAE")),"")</f>
        <v/>
      </c>
      <c r="L106" s="25">
        <f>IFERROR(IF(SUMIFS(tblDaily[DeathsUnder24Hrs],tblDaily[EntryDate],DATE(2026,3,19),tblDaily[WardCode],"FAE")=0,"",SUMIFS(tblDaily[DeathsUnder24Hrs],tblDaily[EntryDate],DATE(2026,3,19),tblDaily[WardCode],"FAE")),"")</f>
        <v/>
      </c>
      <c r="M106" s="25">
        <f>IFERROR(IF(SUMIFS(tblDaily[TransfersIn],tblDaily[EntryDate],DATE(2026,3,19),tblDaily[WardCode],"FAE")=0,"",SUMIFS(tblDaily[TransfersIn],tblDaily[EntryDate],DATE(2026,3,19),tblDaily[WardCode],"FAE")),"")</f>
        <v/>
      </c>
      <c r="N106" s="25">
        <f>IFERROR(IF(SUMIFS(tblDaily[TransfersOut],tblDaily[EntryDate],DATE(2026,3,19),tblDaily[WardCode],"FAE")=0,"",SUMIFS(tblDaily[TransfersOut],tblDaily[EntryDate],DATE(2026,3,19),tblDaily[WardCode],"FAE")),"")</f>
        <v/>
      </c>
      <c r="O106" s="25">
        <f>IFERROR(IF(SUMIFS(tblDaily[Remaining],tblDaily[EntryDate],DATE(2026,3,19),tblDaily[WardCode],"FAE")=0,"",SUMIFS(tblDaily[Remaining],tblDaily[EntryDate],DATE(2026,3,19),tblDaily[WardCode],"FAE")),"")</f>
        <v/>
      </c>
      <c r="P106" s="26">
        <f>IF(AND(H106="", O106=""), "", N(H106) + N(O106))</f>
        <v/>
      </c>
    </row>
    <row r="107">
      <c r="A107" s="25" t="n">
        <v>20</v>
      </c>
      <c r="B107" s="25">
        <f>IFERROR(IF(SUMIFS(tblDaily[Admissions],tblDaily[EntryDate],DATE(2026,3,20),tblDaily[WardCode],"MAE")=0,"",SUMIFS(tblDaily[Admissions],tblDaily[EntryDate],DATE(2026,3,20),tblDaily[WardCode],"MAE")),"")</f>
        <v/>
      </c>
      <c r="C107" s="25">
        <f>IFERROR(IF(SUMIFS(tblDaily[Discharges],tblDaily[EntryDate],DATE(2026,3,20),tblDaily[WardCode],"MAE")=0,"",SUMIFS(tblDaily[Discharges],tblDaily[EntryDate],DATE(2026,3,20),tblDaily[WardCode],"MAE")),"")</f>
        <v/>
      </c>
      <c r="D107" s="25">
        <f>IFERROR(IF(SUMIFS(tblDaily[Deaths],tblDaily[EntryDate],DATE(2026,3,20),tblDaily[WardCode],"MAE")=0,"",SUMIFS(tblDaily[Deaths],tblDaily[EntryDate],DATE(2026,3,20),tblDaily[WardCode],"MAE")),"")</f>
        <v/>
      </c>
      <c r="E107" s="25">
        <f>IFERROR(IF(SUMIFS(tblDaily[DeathsUnder24Hrs],tblDaily[EntryDate],DATE(2026,3,20),tblDaily[WardCode],"MAE")=0,"",SUMIFS(tblDaily[DeathsUnder24Hrs],tblDaily[EntryDate],DATE(2026,3,20),tblDaily[WardCode],"MAE")),"")</f>
        <v/>
      </c>
      <c r="F107" s="25">
        <f>IFERROR(IF(SUMIFS(tblDaily[TransfersIn],tblDaily[EntryDate],DATE(2026,3,20),tblDaily[WardCode],"MAE")=0,"",SUMIFS(tblDaily[TransfersIn],tblDaily[EntryDate],DATE(2026,3,20),tblDaily[WardCode],"MAE")),"")</f>
        <v/>
      </c>
      <c r="G107" s="25">
        <f>IFERROR(IF(SUMIFS(tblDaily[TransfersOut],tblDaily[EntryDate],DATE(2026,3,20),tblDaily[WardCode],"MAE")=0,"",SUMIFS(tblDaily[TransfersOut],tblDaily[EntryDate],DATE(2026,3,20),tblDaily[WardCode],"MAE")),"")</f>
        <v/>
      </c>
      <c r="H107" s="25">
        <f>IFERROR(IF(SUMIFS(tblDaily[Remaining],tblDaily[EntryDate],DATE(2026,3,20),tblDaily[WardCode],"MAE")=0,"",SUMIFS(tblDaily[Remaining],tblDaily[EntryDate],DATE(2026,3,20),tblDaily[WardCode],"MAE")),"")</f>
        <v/>
      </c>
      <c r="I107" s="25">
        <f>IFERROR(IF(SUMIFS(tblDaily[Admissions],tblDaily[EntryDate],DATE(2026,3,20),tblDaily[WardCode],"FAE")=0,"",SUMIFS(tblDaily[Admissions],tblDaily[EntryDate],DATE(2026,3,20),tblDaily[WardCode],"FAE")),"")</f>
        <v/>
      </c>
      <c r="J107" s="25">
        <f>IFERROR(IF(SUMIFS(tblDaily[Discharges],tblDaily[EntryDate],DATE(2026,3,20),tblDaily[WardCode],"FAE")=0,"",SUMIFS(tblDaily[Discharges],tblDaily[EntryDate],DATE(2026,3,20),tblDaily[WardCode],"FAE")),"")</f>
        <v/>
      </c>
      <c r="K107" s="25">
        <f>IFERROR(IF(SUMIFS(tblDaily[Deaths],tblDaily[EntryDate],DATE(2026,3,20),tblDaily[WardCode],"FAE")=0,"",SUMIFS(tblDaily[Deaths],tblDaily[EntryDate],DATE(2026,3,20),tblDaily[WardCode],"FAE")),"")</f>
        <v/>
      </c>
      <c r="L107" s="25">
        <f>IFERROR(IF(SUMIFS(tblDaily[DeathsUnder24Hrs],tblDaily[EntryDate],DATE(2026,3,20),tblDaily[WardCode],"FAE")=0,"",SUMIFS(tblDaily[DeathsUnder24Hrs],tblDaily[EntryDate],DATE(2026,3,20),tblDaily[WardCode],"FAE")),"")</f>
        <v/>
      </c>
      <c r="M107" s="25">
        <f>IFERROR(IF(SUMIFS(tblDaily[TransfersIn],tblDaily[EntryDate],DATE(2026,3,20),tblDaily[WardCode],"FAE")=0,"",SUMIFS(tblDaily[TransfersIn],tblDaily[EntryDate],DATE(2026,3,20),tblDaily[WardCode],"FAE")),"")</f>
        <v/>
      </c>
      <c r="N107" s="25">
        <f>IFERROR(IF(SUMIFS(tblDaily[TransfersOut],tblDaily[EntryDate],DATE(2026,3,20),tblDaily[WardCode],"FAE")=0,"",SUMIFS(tblDaily[TransfersOut],tblDaily[EntryDate],DATE(2026,3,20),tblDaily[WardCode],"FAE")),"")</f>
        <v/>
      </c>
      <c r="O107" s="25">
        <f>IFERROR(IF(SUMIFS(tblDaily[Remaining],tblDaily[EntryDate],DATE(2026,3,20),tblDaily[WardCode],"FAE")=0,"",SUMIFS(tblDaily[Remaining],tblDaily[EntryDate],DATE(2026,3,20),tblDaily[WardCode],"FAE")),"")</f>
        <v/>
      </c>
      <c r="P107" s="26">
        <f>IF(AND(H107="", O107=""), "", N(H107) + N(O107))</f>
        <v/>
      </c>
    </row>
    <row r="108">
      <c r="A108" s="25" t="n">
        <v>21</v>
      </c>
      <c r="B108" s="25">
        <f>IFERROR(IF(SUMIFS(tblDaily[Admissions],tblDaily[EntryDate],DATE(2026,3,21),tblDaily[WardCode],"MAE")=0,"",SUMIFS(tblDaily[Admissions],tblDaily[EntryDate],DATE(2026,3,21),tblDaily[WardCode],"MAE")),"")</f>
        <v/>
      </c>
      <c r="C108" s="25">
        <f>IFERROR(IF(SUMIFS(tblDaily[Discharges],tblDaily[EntryDate],DATE(2026,3,21),tblDaily[WardCode],"MAE")=0,"",SUMIFS(tblDaily[Discharges],tblDaily[EntryDate],DATE(2026,3,21),tblDaily[WardCode],"MAE")),"")</f>
        <v/>
      </c>
      <c r="D108" s="25">
        <f>IFERROR(IF(SUMIFS(tblDaily[Deaths],tblDaily[EntryDate],DATE(2026,3,21),tblDaily[WardCode],"MAE")=0,"",SUMIFS(tblDaily[Deaths],tblDaily[EntryDate],DATE(2026,3,21),tblDaily[WardCode],"MAE")),"")</f>
        <v/>
      </c>
      <c r="E108" s="25">
        <f>IFERROR(IF(SUMIFS(tblDaily[DeathsUnder24Hrs],tblDaily[EntryDate],DATE(2026,3,21),tblDaily[WardCode],"MAE")=0,"",SUMIFS(tblDaily[DeathsUnder24Hrs],tblDaily[EntryDate],DATE(2026,3,21),tblDaily[WardCode],"MAE")),"")</f>
        <v/>
      </c>
      <c r="F108" s="25">
        <f>IFERROR(IF(SUMIFS(tblDaily[TransfersIn],tblDaily[EntryDate],DATE(2026,3,21),tblDaily[WardCode],"MAE")=0,"",SUMIFS(tblDaily[TransfersIn],tblDaily[EntryDate],DATE(2026,3,21),tblDaily[WardCode],"MAE")),"")</f>
        <v/>
      </c>
      <c r="G108" s="25">
        <f>IFERROR(IF(SUMIFS(tblDaily[TransfersOut],tblDaily[EntryDate],DATE(2026,3,21),tblDaily[WardCode],"MAE")=0,"",SUMIFS(tblDaily[TransfersOut],tblDaily[EntryDate],DATE(2026,3,21),tblDaily[WardCode],"MAE")),"")</f>
        <v/>
      </c>
      <c r="H108" s="25">
        <f>IFERROR(IF(SUMIFS(tblDaily[Remaining],tblDaily[EntryDate],DATE(2026,3,21),tblDaily[WardCode],"MAE")=0,"",SUMIFS(tblDaily[Remaining],tblDaily[EntryDate],DATE(2026,3,21),tblDaily[WardCode],"MAE")),"")</f>
        <v/>
      </c>
      <c r="I108" s="25">
        <f>IFERROR(IF(SUMIFS(tblDaily[Admissions],tblDaily[EntryDate],DATE(2026,3,21),tblDaily[WardCode],"FAE")=0,"",SUMIFS(tblDaily[Admissions],tblDaily[EntryDate],DATE(2026,3,21),tblDaily[WardCode],"FAE")),"")</f>
        <v/>
      </c>
      <c r="J108" s="25">
        <f>IFERROR(IF(SUMIFS(tblDaily[Discharges],tblDaily[EntryDate],DATE(2026,3,21),tblDaily[WardCode],"FAE")=0,"",SUMIFS(tblDaily[Discharges],tblDaily[EntryDate],DATE(2026,3,21),tblDaily[WardCode],"FAE")),"")</f>
        <v/>
      </c>
      <c r="K108" s="25">
        <f>IFERROR(IF(SUMIFS(tblDaily[Deaths],tblDaily[EntryDate],DATE(2026,3,21),tblDaily[WardCode],"FAE")=0,"",SUMIFS(tblDaily[Deaths],tblDaily[EntryDate],DATE(2026,3,21),tblDaily[WardCode],"FAE")),"")</f>
        <v/>
      </c>
      <c r="L108" s="25">
        <f>IFERROR(IF(SUMIFS(tblDaily[DeathsUnder24Hrs],tblDaily[EntryDate],DATE(2026,3,21),tblDaily[WardCode],"FAE")=0,"",SUMIFS(tblDaily[DeathsUnder24Hrs],tblDaily[EntryDate],DATE(2026,3,21),tblDaily[WardCode],"FAE")),"")</f>
        <v/>
      </c>
      <c r="M108" s="25">
        <f>IFERROR(IF(SUMIFS(tblDaily[TransfersIn],tblDaily[EntryDate],DATE(2026,3,21),tblDaily[WardCode],"FAE")=0,"",SUMIFS(tblDaily[TransfersIn],tblDaily[EntryDate],DATE(2026,3,21),tblDaily[WardCode],"FAE")),"")</f>
        <v/>
      </c>
      <c r="N108" s="25">
        <f>IFERROR(IF(SUMIFS(tblDaily[TransfersOut],tblDaily[EntryDate],DATE(2026,3,21),tblDaily[WardCode],"FAE")=0,"",SUMIFS(tblDaily[TransfersOut],tblDaily[EntryDate],DATE(2026,3,21),tblDaily[WardCode],"FAE")),"")</f>
        <v/>
      </c>
      <c r="O108" s="25">
        <f>IFERROR(IF(SUMIFS(tblDaily[Remaining],tblDaily[EntryDate],DATE(2026,3,21),tblDaily[WardCode],"FAE")=0,"",SUMIFS(tblDaily[Remaining],tblDaily[EntryDate],DATE(2026,3,21),tblDaily[WardCode],"FAE")),"")</f>
        <v/>
      </c>
      <c r="P108" s="26">
        <f>IF(AND(H108="", O108=""), "", N(H108) + N(O108))</f>
        <v/>
      </c>
    </row>
    <row r="109">
      <c r="A109" s="25" t="n">
        <v>22</v>
      </c>
      <c r="B109" s="25">
        <f>IFERROR(IF(SUMIFS(tblDaily[Admissions],tblDaily[EntryDate],DATE(2026,3,22),tblDaily[WardCode],"MAE")=0,"",SUMIFS(tblDaily[Admissions],tblDaily[EntryDate],DATE(2026,3,22),tblDaily[WardCode],"MAE")),"")</f>
        <v/>
      </c>
      <c r="C109" s="25">
        <f>IFERROR(IF(SUMIFS(tblDaily[Discharges],tblDaily[EntryDate],DATE(2026,3,22),tblDaily[WardCode],"MAE")=0,"",SUMIFS(tblDaily[Discharges],tblDaily[EntryDate],DATE(2026,3,22),tblDaily[WardCode],"MAE")),"")</f>
        <v/>
      </c>
      <c r="D109" s="25">
        <f>IFERROR(IF(SUMIFS(tblDaily[Deaths],tblDaily[EntryDate],DATE(2026,3,22),tblDaily[WardCode],"MAE")=0,"",SUMIFS(tblDaily[Deaths],tblDaily[EntryDate],DATE(2026,3,22),tblDaily[WardCode],"MAE")),"")</f>
        <v/>
      </c>
      <c r="E109" s="25">
        <f>IFERROR(IF(SUMIFS(tblDaily[DeathsUnder24Hrs],tblDaily[EntryDate],DATE(2026,3,22),tblDaily[WardCode],"MAE")=0,"",SUMIFS(tblDaily[DeathsUnder24Hrs],tblDaily[EntryDate],DATE(2026,3,22),tblDaily[WardCode],"MAE")),"")</f>
        <v/>
      </c>
      <c r="F109" s="25">
        <f>IFERROR(IF(SUMIFS(tblDaily[TransfersIn],tblDaily[EntryDate],DATE(2026,3,22),tblDaily[WardCode],"MAE")=0,"",SUMIFS(tblDaily[TransfersIn],tblDaily[EntryDate],DATE(2026,3,22),tblDaily[WardCode],"MAE")),"")</f>
        <v/>
      </c>
      <c r="G109" s="25">
        <f>IFERROR(IF(SUMIFS(tblDaily[TransfersOut],tblDaily[EntryDate],DATE(2026,3,22),tblDaily[WardCode],"MAE")=0,"",SUMIFS(tblDaily[TransfersOut],tblDaily[EntryDate],DATE(2026,3,22),tblDaily[WardCode],"MAE")),"")</f>
        <v/>
      </c>
      <c r="H109" s="25">
        <f>IFERROR(IF(SUMIFS(tblDaily[Remaining],tblDaily[EntryDate],DATE(2026,3,22),tblDaily[WardCode],"MAE")=0,"",SUMIFS(tblDaily[Remaining],tblDaily[EntryDate],DATE(2026,3,22),tblDaily[WardCode],"MAE")),"")</f>
        <v/>
      </c>
      <c r="I109" s="25">
        <f>IFERROR(IF(SUMIFS(tblDaily[Admissions],tblDaily[EntryDate],DATE(2026,3,22),tblDaily[WardCode],"FAE")=0,"",SUMIFS(tblDaily[Admissions],tblDaily[EntryDate],DATE(2026,3,22),tblDaily[WardCode],"FAE")),"")</f>
        <v/>
      </c>
      <c r="J109" s="25">
        <f>IFERROR(IF(SUMIFS(tblDaily[Discharges],tblDaily[EntryDate],DATE(2026,3,22),tblDaily[WardCode],"FAE")=0,"",SUMIFS(tblDaily[Discharges],tblDaily[EntryDate],DATE(2026,3,22),tblDaily[WardCode],"FAE")),"")</f>
        <v/>
      </c>
      <c r="K109" s="25">
        <f>IFERROR(IF(SUMIFS(tblDaily[Deaths],tblDaily[EntryDate],DATE(2026,3,22),tblDaily[WardCode],"FAE")=0,"",SUMIFS(tblDaily[Deaths],tblDaily[EntryDate],DATE(2026,3,22),tblDaily[WardCode],"FAE")),"")</f>
        <v/>
      </c>
      <c r="L109" s="25">
        <f>IFERROR(IF(SUMIFS(tblDaily[DeathsUnder24Hrs],tblDaily[EntryDate],DATE(2026,3,22),tblDaily[WardCode],"FAE")=0,"",SUMIFS(tblDaily[DeathsUnder24Hrs],tblDaily[EntryDate],DATE(2026,3,22),tblDaily[WardCode],"FAE")),"")</f>
        <v/>
      </c>
      <c r="M109" s="25">
        <f>IFERROR(IF(SUMIFS(tblDaily[TransfersIn],tblDaily[EntryDate],DATE(2026,3,22),tblDaily[WardCode],"FAE")=0,"",SUMIFS(tblDaily[TransfersIn],tblDaily[EntryDate],DATE(2026,3,22),tblDaily[WardCode],"FAE")),"")</f>
        <v/>
      </c>
      <c r="N109" s="25">
        <f>IFERROR(IF(SUMIFS(tblDaily[TransfersOut],tblDaily[EntryDate],DATE(2026,3,22),tblDaily[WardCode],"FAE")=0,"",SUMIFS(tblDaily[TransfersOut],tblDaily[EntryDate],DATE(2026,3,22),tblDaily[WardCode],"FAE")),"")</f>
        <v/>
      </c>
      <c r="O109" s="25">
        <f>IFERROR(IF(SUMIFS(tblDaily[Remaining],tblDaily[EntryDate],DATE(2026,3,22),tblDaily[WardCode],"FAE")=0,"",SUMIFS(tblDaily[Remaining],tblDaily[EntryDate],DATE(2026,3,22),tblDaily[WardCode],"FAE")),"")</f>
        <v/>
      </c>
      <c r="P109" s="26">
        <f>IF(AND(H109="", O109=""), "", N(H109) + N(O109))</f>
        <v/>
      </c>
    </row>
    <row r="110">
      <c r="A110" s="25" t="n">
        <v>23</v>
      </c>
      <c r="B110" s="25">
        <f>IFERROR(IF(SUMIFS(tblDaily[Admissions],tblDaily[EntryDate],DATE(2026,3,23),tblDaily[WardCode],"MAE")=0,"",SUMIFS(tblDaily[Admissions],tblDaily[EntryDate],DATE(2026,3,23),tblDaily[WardCode],"MAE")),"")</f>
        <v/>
      </c>
      <c r="C110" s="25">
        <f>IFERROR(IF(SUMIFS(tblDaily[Discharges],tblDaily[EntryDate],DATE(2026,3,23),tblDaily[WardCode],"MAE")=0,"",SUMIFS(tblDaily[Discharges],tblDaily[EntryDate],DATE(2026,3,23),tblDaily[WardCode],"MAE")),"")</f>
        <v/>
      </c>
      <c r="D110" s="25">
        <f>IFERROR(IF(SUMIFS(tblDaily[Deaths],tblDaily[EntryDate],DATE(2026,3,23),tblDaily[WardCode],"MAE")=0,"",SUMIFS(tblDaily[Deaths],tblDaily[EntryDate],DATE(2026,3,23),tblDaily[WardCode],"MAE")),"")</f>
        <v/>
      </c>
      <c r="E110" s="25">
        <f>IFERROR(IF(SUMIFS(tblDaily[DeathsUnder24Hrs],tblDaily[EntryDate],DATE(2026,3,23),tblDaily[WardCode],"MAE")=0,"",SUMIFS(tblDaily[DeathsUnder24Hrs],tblDaily[EntryDate],DATE(2026,3,23),tblDaily[WardCode],"MAE")),"")</f>
        <v/>
      </c>
      <c r="F110" s="25">
        <f>IFERROR(IF(SUMIFS(tblDaily[TransfersIn],tblDaily[EntryDate],DATE(2026,3,23),tblDaily[WardCode],"MAE")=0,"",SUMIFS(tblDaily[TransfersIn],tblDaily[EntryDate],DATE(2026,3,23),tblDaily[WardCode],"MAE")),"")</f>
        <v/>
      </c>
      <c r="G110" s="25">
        <f>IFERROR(IF(SUMIFS(tblDaily[TransfersOut],tblDaily[EntryDate],DATE(2026,3,23),tblDaily[WardCode],"MAE")=0,"",SUMIFS(tblDaily[TransfersOut],tblDaily[EntryDate],DATE(2026,3,23),tblDaily[WardCode],"MAE")),"")</f>
        <v/>
      </c>
      <c r="H110" s="25">
        <f>IFERROR(IF(SUMIFS(tblDaily[Remaining],tblDaily[EntryDate],DATE(2026,3,23),tblDaily[WardCode],"MAE")=0,"",SUMIFS(tblDaily[Remaining],tblDaily[EntryDate],DATE(2026,3,23),tblDaily[WardCode],"MAE")),"")</f>
        <v/>
      </c>
      <c r="I110" s="25">
        <f>IFERROR(IF(SUMIFS(tblDaily[Admissions],tblDaily[EntryDate],DATE(2026,3,23),tblDaily[WardCode],"FAE")=0,"",SUMIFS(tblDaily[Admissions],tblDaily[EntryDate],DATE(2026,3,23),tblDaily[WardCode],"FAE")),"")</f>
        <v/>
      </c>
      <c r="J110" s="25">
        <f>IFERROR(IF(SUMIFS(tblDaily[Discharges],tblDaily[EntryDate],DATE(2026,3,23),tblDaily[WardCode],"FAE")=0,"",SUMIFS(tblDaily[Discharges],tblDaily[EntryDate],DATE(2026,3,23),tblDaily[WardCode],"FAE")),"")</f>
        <v/>
      </c>
      <c r="K110" s="25">
        <f>IFERROR(IF(SUMIFS(tblDaily[Deaths],tblDaily[EntryDate],DATE(2026,3,23),tblDaily[WardCode],"FAE")=0,"",SUMIFS(tblDaily[Deaths],tblDaily[EntryDate],DATE(2026,3,23),tblDaily[WardCode],"FAE")),"")</f>
        <v/>
      </c>
      <c r="L110" s="25">
        <f>IFERROR(IF(SUMIFS(tblDaily[DeathsUnder24Hrs],tblDaily[EntryDate],DATE(2026,3,23),tblDaily[WardCode],"FAE")=0,"",SUMIFS(tblDaily[DeathsUnder24Hrs],tblDaily[EntryDate],DATE(2026,3,23),tblDaily[WardCode],"FAE")),"")</f>
        <v/>
      </c>
      <c r="M110" s="25">
        <f>IFERROR(IF(SUMIFS(tblDaily[TransfersIn],tblDaily[EntryDate],DATE(2026,3,23),tblDaily[WardCode],"FAE")=0,"",SUMIFS(tblDaily[TransfersIn],tblDaily[EntryDate],DATE(2026,3,23),tblDaily[WardCode],"FAE")),"")</f>
        <v/>
      </c>
      <c r="N110" s="25">
        <f>IFERROR(IF(SUMIFS(tblDaily[TransfersOut],tblDaily[EntryDate],DATE(2026,3,23),tblDaily[WardCode],"FAE")=0,"",SUMIFS(tblDaily[TransfersOut],tblDaily[EntryDate],DATE(2026,3,23),tblDaily[WardCode],"FAE")),"")</f>
        <v/>
      </c>
      <c r="O110" s="25">
        <f>IFERROR(IF(SUMIFS(tblDaily[Remaining],tblDaily[EntryDate],DATE(2026,3,23),tblDaily[WardCode],"FAE")=0,"",SUMIFS(tblDaily[Remaining],tblDaily[EntryDate],DATE(2026,3,23),tblDaily[WardCode],"FAE")),"")</f>
        <v/>
      </c>
      <c r="P110" s="26">
        <f>IF(AND(H110="", O110=""), "", N(H110) + N(O110))</f>
        <v/>
      </c>
    </row>
    <row r="111">
      <c r="A111" s="25" t="n">
        <v>24</v>
      </c>
      <c r="B111" s="25">
        <f>IFERROR(IF(SUMIFS(tblDaily[Admissions],tblDaily[EntryDate],DATE(2026,3,24),tblDaily[WardCode],"MAE")=0,"",SUMIFS(tblDaily[Admissions],tblDaily[EntryDate],DATE(2026,3,24),tblDaily[WardCode],"MAE")),"")</f>
        <v/>
      </c>
      <c r="C111" s="25">
        <f>IFERROR(IF(SUMIFS(tblDaily[Discharges],tblDaily[EntryDate],DATE(2026,3,24),tblDaily[WardCode],"MAE")=0,"",SUMIFS(tblDaily[Discharges],tblDaily[EntryDate],DATE(2026,3,24),tblDaily[WardCode],"MAE")),"")</f>
        <v/>
      </c>
      <c r="D111" s="25">
        <f>IFERROR(IF(SUMIFS(tblDaily[Deaths],tblDaily[EntryDate],DATE(2026,3,24),tblDaily[WardCode],"MAE")=0,"",SUMIFS(tblDaily[Deaths],tblDaily[EntryDate],DATE(2026,3,24),tblDaily[WardCode],"MAE")),"")</f>
        <v/>
      </c>
      <c r="E111" s="25">
        <f>IFERROR(IF(SUMIFS(tblDaily[DeathsUnder24Hrs],tblDaily[EntryDate],DATE(2026,3,24),tblDaily[WardCode],"MAE")=0,"",SUMIFS(tblDaily[DeathsUnder24Hrs],tblDaily[EntryDate],DATE(2026,3,24),tblDaily[WardCode],"MAE")),"")</f>
        <v/>
      </c>
      <c r="F111" s="25">
        <f>IFERROR(IF(SUMIFS(tblDaily[TransfersIn],tblDaily[EntryDate],DATE(2026,3,24),tblDaily[WardCode],"MAE")=0,"",SUMIFS(tblDaily[TransfersIn],tblDaily[EntryDate],DATE(2026,3,24),tblDaily[WardCode],"MAE")),"")</f>
        <v/>
      </c>
      <c r="G111" s="25">
        <f>IFERROR(IF(SUMIFS(tblDaily[TransfersOut],tblDaily[EntryDate],DATE(2026,3,24),tblDaily[WardCode],"MAE")=0,"",SUMIFS(tblDaily[TransfersOut],tblDaily[EntryDate],DATE(2026,3,24),tblDaily[WardCode],"MAE")),"")</f>
        <v/>
      </c>
      <c r="H111" s="25">
        <f>IFERROR(IF(SUMIFS(tblDaily[Remaining],tblDaily[EntryDate],DATE(2026,3,24),tblDaily[WardCode],"MAE")=0,"",SUMIFS(tblDaily[Remaining],tblDaily[EntryDate],DATE(2026,3,24),tblDaily[WardCode],"MAE")),"")</f>
        <v/>
      </c>
      <c r="I111" s="25">
        <f>IFERROR(IF(SUMIFS(tblDaily[Admissions],tblDaily[EntryDate],DATE(2026,3,24),tblDaily[WardCode],"FAE")=0,"",SUMIFS(tblDaily[Admissions],tblDaily[EntryDate],DATE(2026,3,24),tblDaily[WardCode],"FAE")),"")</f>
        <v/>
      </c>
      <c r="J111" s="25">
        <f>IFERROR(IF(SUMIFS(tblDaily[Discharges],tblDaily[EntryDate],DATE(2026,3,24),tblDaily[WardCode],"FAE")=0,"",SUMIFS(tblDaily[Discharges],tblDaily[EntryDate],DATE(2026,3,24),tblDaily[WardCode],"FAE")),"")</f>
        <v/>
      </c>
      <c r="K111" s="25">
        <f>IFERROR(IF(SUMIFS(tblDaily[Deaths],tblDaily[EntryDate],DATE(2026,3,24),tblDaily[WardCode],"FAE")=0,"",SUMIFS(tblDaily[Deaths],tblDaily[EntryDate],DATE(2026,3,24),tblDaily[WardCode],"FAE")),"")</f>
        <v/>
      </c>
      <c r="L111" s="25">
        <f>IFERROR(IF(SUMIFS(tblDaily[DeathsUnder24Hrs],tblDaily[EntryDate],DATE(2026,3,24),tblDaily[WardCode],"FAE")=0,"",SUMIFS(tblDaily[DeathsUnder24Hrs],tblDaily[EntryDate],DATE(2026,3,24),tblDaily[WardCode],"FAE")),"")</f>
        <v/>
      </c>
      <c r="M111" s="25">
        <f>IFERROR(IF(SUMIFS(tblDaily[TransfersIn],tblDaily[EntryDate],DATE(2026,3,24),tblDaily[WardCode],"FAE")=0,"",SUMIFS(tblDaily[TransfersIn],tblDaily[EntryDate],DATE(2026,3,24),tblDaily[WardCode],"FAE")),"")</f>
        <v/>
      </c>
      <c r="N111" s="25">
        <f>IFERROR(IF(SUMIFS(tblDaily[TransfersOut],tblDaily[EntryDate],DATE(2026,3,24),tblDaily[WardCode],"FAE")=0,"",SUMIFS(tblDaily[TransfersOut],tblDaily[EntryDate],DATE(2026,3,24),tblDaily[WardCode],"FAE")),"")</f>
        <v/>
      </c>
      <c r="O111" s="25">
        <f>IFERROR(IF(SUMIFS(tblDaily[Remaining],tblDaily[EntryDate],DATE(2026,3,24),tblDaily[WardCode],"FAE")=0,"",SUMIFS(tblDaily[Remaining],tblDaily[EntryDate],DATE(2026,3,24),tblDaily[WardCode],"FAE")),"")</f>
        <v/>
      </c>
      <c r="P111" s="26">
        <f>IF(AND(H111="", O111=""), "", N(H111) + N(O111))</f>
        <v/>
      </c>
    </row>
    <row r="112">
      <c r="A112" s="25" t="n">
        <v>25</v>
      </c>
      <c r="B112" s="25">
        <f>IFERROR(IF(SUMIFS(tblDaily[Admissions],tblDaily[EntryDate],DATE(2026,3,25),tblDaily[WardCode],"MAE")=0,"",SUMIFS(tblDaily[Admissions],tblDaily[EntryDate],DATE(2026,3,25),tblDaily[WardCode],"MAE")),"")</f>
        <v/>
      </c>
      <c r="C112" s="25">
        <f>IFERROR(IF(SUMIFS(tblDaily[Discharges],tblDaily[EntryDate],DATE(2026,3,25),tblDaily[WardCode],"MAE")=0,"",SUMIFS(tblDaily[Discharges],tblDaily[EntryDate],DATE(2026,3,25),tblDaily[WardCode],"MAE")),"")</f>
        <v/>
      </c>
      <c r="D112" s="25">
        <f>IFERROR(IF(SUMIFS(tblDaily[Deaths],tblDaily[EntryDate],DATE(2026,3,25),tblDaily[WardCode],"MAE")=0,"",SUMIFS(tblDaily[Deaths],tblDaily[EntryDate],DATE(2026,3,25),tblDaily[WardCode],"MAE")),"")</f>
        <v/>
      </c>
      <c r="E112" s="25">
        <f>IFERROR(IF(SUMIFS(tblDaily[DeathsUnder24Hrs],tblDaily[EntryDate],DATE(2026,3,25),tblDaily[WardCode],"MAE")=0,"",SUMIFS(tblDaily[DeathsUnder24Hrs],tblDaily[EntryDate],DATE(2026,3,25),tblDaily[WardCode],"MAE")),"")</f>
        <v/>
      </c>
      <c r="F112" s="25">
        <f>IFERROR(IF(SUMIFS(tblDaily[TransfersIn],tblDaily[EntryDate],DATE(2026,3,25),tblDaily[WardCode],"MAE")=0,"",SUMIFS(tblDaily[TransfersIn],tblDaily[EntryDate],DATE(2026,3,25),tblDaily[WardCode],"MAE")),"")</f>
        <v/>
      </c>
      <c r="G112" s="25">
        <f>IFERROR(IF(SUMIFS(tblDaily[TransfersOut],tblDaily[EntryDate],DATE(2026,3,25),tblDaily[WardCode],"MAE")=0,"",SUMIFS(tblDaily[TransfersOut],tblDaily[EntryDate],DATE(2026,3,25),tblDaily[WardCode],"MAE")),"")</f>
        <v/>
      </c>
      <c r="H112" s="25">
        <f>IFERROR(IF(SUMIFS(tblDaily[Remaining],tblDaily[EntryDate],DATE(2026,3,25),tblDaily[WardCode],"MAE")=0,"",SUMIFS(tblDaily[Remaining],tblDaily[EntryDate],DATE(2026,3,25),tblDaily[WardCode],"MAE")),"")</f>
        <v/>
      </c>
      <c r="I112" s="25">
        <f>IFERROR(IF(SUMIFS(tblDaily[Admissions],tblDaily[EntryDate],DATE(2026,3,25),tblDaily[WardCode],"FAE")=0,"",SUMIFS(tblDaily[Admissions],tblDaily[EntryDate],DATE(2026,3,25),tblDaily[WardCode],"FAE")),"")</f>
        <v/>
      </c>
      <c r="J112" s="25">
        <f>IFERROR(IF(SUMIFS(tblDaily[Discharges],tblDaily[EntryDate],DATE(2026,3,25),tblDaily[WardCode],"FAE")=0,"",SUMIFS(tblDaily[Discharges],tblDaily[EntryDate],DATE(2026,3,25),tblDaily[WardCode],"FAE")),"")</f>
        <v/>
      </c>
      <c r="K112" s="25">
        <f>IFERROR(IF(SUMIFS(tblDaily[Deaths],tblDaily[EntryDate],DATE(2026,3,25),tblDaily[WardCode],"FAE")=0,"",SUMIFS(tblDaily[Deaths],tblDaily[EntryDate],DATE(2026,3,25),tblDaily[WardCode],"FAE")),"")</f>
        <v/>
      </c>
      <c r="L112" s="25">
        <f>IFERROR(IF(SUMIFS(tblDaily[DeathsUnder24Hrs],tblDaily[EntryDate],DATE(2026,3,25),tblDaily[WardCode],"FAE")=0,"",SUMIFS(tblDaily[DeathsUnder24Hrs],tblDaily[EntryDate],DATE(2026,3,25),tblDaily[WardCode],"FAE")),"")</f>
        <v/>
      </c>
      <c r="M112" s="25">
        <f>IFERROR(IF(SUMIFS(tblDaily[TransfersIn],tblDaily[EntryDate],DATE(2026,3,25),tblDaily[WardCode],"FAE")=0,"",SUMIFS(tblDaily[TransfersIn],tblDaily[EntryDate],DATE(2026,3,25),tblDaily[WardCode],"FAE")),"")</f>
        <v/>
      </c>
      <c r="N112" s="25">
        <f>IFERROR(IF(SUMIFS(tblDaily[TransfersOut],tblDaily[EntryDate],DATE(2026,3,25),tblDaily[WardCode],"FAE")=0,"",SUMIFS(tblDaily[TransfersOut],tblDaily[EntryDate],DATE(2026,3,25),tblDaily[WardCode],"FAE")),"")</f>
        <v/>
      </c>
      <c r="O112" s="25">
        <f>IFERROR(IF(SUMIFS(tblDaily[Remaining],tblDaily[EntryDate],DATE(2026,3,25),tblDaily[WardCode],"FAE")=0,"",SUMIFS(tblDaily[Remaining],tblDaily[EntryDate],DATE(2026,3,25),tblDaily[WardCode],"FAE")),"")</f>
        <v/>
      </c>
      <c r="P112" s="26">
        <f>IF(AND(H112="", O112=""), "", N(H112) + N(O112))</f>
        <v/>
      </c>
    </row>
    <row r="113">
      <c r="A113" s="25" t="n">
        <v>26</v>
      </c>
      <c r="B113" s="25">
        <f>IFERROR(IF(SUMIFS(tblDaily[Admissions],tblDaily[EntryDate],DATE(2026,3,26),tblDaily[WardCode],"MAE")=0,"",SUMIFS(tblDaily[Admissions],tblDaily[EntryDate],DATE(2026,3,26),tblDaily[WardCode],"MAE")),"")</f>
        <v/>
      </c>
      <c r="C113" s="25">
        <f>IFERROR(IF(SUMIFS(tblDaily[Discharges],tblDaily[EntryDate],DATE(2026,3,26),tblDaily[WardCode],"MAE")=0,"",SUMIFS(tblDaily[Discharges],tblDaily[EntryDate],DATE(2026,3,26),tblDaily[WardCode],"MAE")),"")</f>
        <v/>
      </c>
      <c r="D113" s="25">
        <f>IFERROR(IF(SUMIFS(tblDaily[Deaths],tblDaily[EntryDate],DATE(2026,3,26),tblDaily[WardCode],"MAE")=0,"",SUMIFS(tblDaily[Deaths],tblDaily[EntryDate],DATE(2026,3,26),tblDaily[WardCode],"MAE")),"")</f>
        <v/>
      </c>
      <c r="E113" s="25">
        <f>IFERROR(IF(SUMIFS(tblDaily[DeathsUnder24Hrs],tblDaily[EntryDate],DATE(2026,3,26),tblDaily[WardCode],"MAE")=0,"",SUMIFS(tblDaily[DeathsUnder24Hrs],tblDaily[EntryDate],DATE(2026,3,26),tblDaily[WardCode],"MAE")),"")</f>
        <v/>
      </c>
      <c r="F113" s="25">
        <f>IFERROR(IF(SUMIFS(tblDaily[TransfersIn],tblDaily[EntryDate],DATE(2026,3,26),tblDaily[WardCode],"MAE")=0,"",SUMIFS(tblDaily[TransfersIn],tblDaily[EntryDate],DATE(2026,3,26),tblDaily[WardCode],"MAE")),"")</f>
        <v/>
      </c>
      <c r="G113" s="25">
        <f>IFERROR(IF(SUMIFS(tblDaily[TransfersOut],tblDaily[EntryDate],DATE(2026,3,26),tblDaily[WardCode],"MAE")=0,"",SUMIFS(tblDaily[TransfersOut],tblDaily[EntryDate],DATE(2026,3,26),tblDaily[WardCode],"MAE")),"")</f>
        <v/>
      </c>
      <c r="H113" s="25">
        <f>IFERROR(IF(SUMIFS(tblDaily[Remaining],tblDaily[EntryDate],DATE(2026,3,26),tblDaily[WardCode],"MAE")=0,"",SUMIFS(tblDaily[Remaining],tblDaily[EntryDate],DATE(2026,3,26),tblDaily[WardCode],"MAE")),"")</f>
        <v/>
      </c>
      <c r="I113" s="25">
        <f>IFERROR(IF(SUMIFS(tblDaily[Admissions],tblDaily[EntryDate],DATE(2026,3,26),tblDaily[WardCode],"FAE")=0,"",SUMIFS(tblDaily[Admissions],tblDaily[EntryDate],DATE(2026,3,26),tblDaily[WardCode],"FAE")),"")</f>
        <v/>
      </c>
      <c r="J113" s="25">
        <f>IFERROR(IF(SUMIFS(tblDaily[Discharges],tblDaily[EntryDate],DATE(2026,3,26),tblDaily[WardCode],"FAE")=0,"",SUMIFS(tblDaily[Discharges],tblDaily[EntryDate],DATE(2026,3,26),tblDaily[WardCode],"FAE")),"")</f>
        <v/>
      </c>
      <c r="K113" s="25">
        <f>IFERROR(IF(SUMIFS(tblDaily[Deaths],tblDaily[EntryDate],DATE(2026,3,26),tblDaily[WardCode],"FAE")=0,"",SUMIFS(tblDaily[Deaths],tblDaily[EntryDate],DATE(2026,3,26),tblDaily[WardCode],"FAE")),"")</f>
        <v/>
      </c>
      <c r="L113" s="25">
        <f>IFERROR(IF(SUMIFS(tblDaily[DeathsUnder24Hrs],tblDaily[EntryDate],DATE(2026,3,26),tblDaily[WardCode],"FAE")=0,"",SUMIFS(tblDaily[DeathsUnder24Hrs],tblDaily[EntryDate],DATE(2026,3,26),tblDaily[WardCode],"FAE")),"")</f>
        <v/>
      </c>
      <c r="M113" s="25">
        <f>IFERROR(IF(SUMIFS(tblDaily[TransfersIn],tblDaily[EntryDate],DATE(2026,3,26),tblDaily[WardCode],"FAE")=0,"",SUMIFS(tblDaily[TransfersIn],tblDaily[EntryDate],DATE(2026,3,26),tblDaily[WardCode],"FAE")),"")</f>
        <v/>
      </c>
      <c r="N113" s="25">
        <f>IFERROR(IF(SUMIFS(tblDaily[TransfersOut],tblDaily[EntryDate],DATE(2026,3,26),tblDaily[WardCode],"FAE")=0,"",SUMIFS(tblDaily[TransfersOut],tblDaily[EntryDate],DATE(2026,3,26),tblDaily[WardCode],"FAE")),"")</f>
        <v/>
      </c>
      <c r="O113" s="25">
        <f>IFERROR(IF(SUMIFS(tblDaily[Remaining],tblDaily[EntryDate],DATE(2026,3,26),tblDaily[WardCode],"FAE")=0,"",SUMIFS(tblDaily[Remaining],tblDaily[EntryDate],DATE(2026,3,26),tblDaily[WardCode],"FAE")),"")</f>
        <v/>
      </c>
      <c r="P113" s="26">
        <f>IF(AND(H113="", O113=""), "", N(H113) + N(O113))</f>
        <v/>
      </c>
    </row>
    <row r="114">
      <c r="A114" s="25" t="n">
        <v>27</v>
      </c>
      <c r="B114" s="25">
        <f>IFERROR(IF(SUMIFS(tblDaily[Admissions],tblDaily[EntryDate],DATE(2026,3,27),tblDaily[WardCode],"MAE")=0,"",SUMIFS(tblDaily[Admissions],tblDaily[EntryDate],DATE(2026,3,27),tblDaily[WardCode],"MAE")),"")</f>
        <v/>
      </c>
      <c r="C114" s="25">
        <f>IFERROR(IF(SUMIFS(tblDaily[Discharges],tblDaily[EntryDate],DATE(2026,3,27),tblDaily[WardCode],"MAE")=0,"",SUMIFS(tblDaily[Discharges],tblDaily[EntryDate],DATE(2026,3,27),tblDaily[WardCode],"MAE")),"")</f>
        <v/>
      </c>
      <c r="D114" s="25">
        <f>IFERROR(IF(SUMIFS(tblDaily[Deaths],tblDaily[EntryDate],DATE(2026,3,27),tblDaily[WardCode],"MAE")=0,"",SUMIFS(tblDaily[Deaths],tblDaily[EntryDate],DATE(2026,3,27),tblDaily[WardCode],"MAE")),"")</f>
        <v/>
      </c>
      <c r="E114" s="25">
        <f>IFERROR(IF(SUMIFS(tblDaily[DeathsUnder24Hrs],tblDaily[EntryDate],DATE(2026,3,27),tblDaily[WardCode],"MAE")=0,"",SUMIFS(tblDaily[DeathsUnder24Hrs],tblDaily[EntryDate],DATE(2026,3,27),tblDaily[WardCode],"MAE")),"")</f>
        <v/>
      </c>
      <c r="F114" s="25">
        <f>IFERROR(IF(SUMIFS(tblDaily[TransfersIn],tblDaily[EntryDate],DATE(2026,3,27),tblDaily[WardCode],"MAE")=0,"",SUMIFS(tblDaily[TransfersIn],tblDaily[EntryDate],DATE(2026,3,27),tblDaily[WardCode],"MAE")),"")</f>
        <v/>
      </c>
      <c r="G114" s="25">
        <f>IFERROR(IF(SUMIFS(tblDaily[TransfersOut],tblDaily[EntryDate],DATE(2026,3,27),tblDaily[WardCode],"MAE")=0,"",SUMIFS(tblDaily[TransfersOut],tblDaily[EntryDate],DATE(2026,3,27),tblDaily[WardCode],"MAE")),"")</f>
        <v/>
      </c>
      <c r="H114" s="25">
        <f>IFERROR(IF(SUMIFS(tblDaily[Remaining],tblDaily[EntryDate],DATE(2026,3,27),tblDaily[WardCode],"MAE")=0,"",SUMIFS(tblDaily[Remaining],tblDaily[EntryDate],DATE(2026,3,27),tblDaily[WardCode],"MAE")),"")</f>
        <v/>
      </c>
      <c r="I114" s="25">
        <f>IFERROR(IF(SUMIFS(tblDaily[Admissions],tblDaily[EntryDate],DATE(2026,3,27),tblDaily[WardCode],"FAE")=0,"",SUMIFS(tblDaily[Admissions],tblDaily[EntryDate],DATE(2026,3,27),tblDaily[WardCode],"FAE")),"")</f>
        <v/>
      </c>
      <c r="J114" s="25">
        <f>IFERROR(IF(SUMIFS(tblDaily[Discharges],tblDaily[EntryDate],DATE(2026,3,27),tblDaily[WardCode],"FAE")=0,"",SUMIFS(tblDaily[Discharges],tblDaily[EntryDate],DATE(2026,3,27),tblDaily[WardCode],"FAE")),"")</f>
        <v/>
      </c>
      <c r="K114" s="25">
        <f>IFERROR(IF(SUMIFS(tblDaily[Deaths],tblDaily[EntryDate],DATE(2026,3,27),tblDaily[WardCode],"FAE")=0,"",SUMIFS(tblDaily[Deaths],tblDaily[EntryDate],DATE(2026,3,27),tblDaily[WardCode],"FAE")),"")</f>
        <v/>
      </c>
      <c r="L114" s="25">
        <f>IFERROR(IF(SUMIFS(tblDaily[DeathsUnder24Hrs],tblDaily[EntryDate],DATE(2026,3,27),tblDaily[WardCode],"FAE")=0,"",SUMIFS(tblDaily[DeathsUnder24Hrs],tblDaily[EntryDate],DATE(2026,3,27),tblDaily[WardCode],"FAE")),"")</f>
        <v/>
      </c>
      <c r="M114" s="25">
        <f>IFERROR(IF(SUMIFS(tblDaily[TransfersIn],tblDaily[EntryDate],DATE(2026,3,27),tblDaily[WardCode],"FAE")=0,"",SUMIFS(tblDaily[TransfersIn],tblDaily[EntryDate],DATE(2026,3,27),tblDaily[WardCode],"FAE")),"")</f>
        <v/>
      </c>
      <c r="N114" s="25">
        <f>IFERROR(IF(SUMIFS(tblDaily[TransfersOut],tblDaily[EntryDate],DATE(2026,3,27),tblDaily[WardCode],"FAE")=0,"",SUMIFS(tblDaily[TransfersOut],tblDaily[EntryDate],DATE(2026,3,27),tblDaily[WardCode],"FAE")),"")</f>
        <v/>
      </c>
      <c r="O114" s="25">
        <f>IFERROR(IF(SUMIFS(tblDaily[Remaining],tblDaily[EntryDate],DATE(2026,3,27),tblDaily[WardCode],"FAE")=0,"",SUMIFS(tblDaily[Remaining],tblDaily[EntryDate],DATE(2026,3,27),tblDaily[WardCode],"FAE")),"")</f>
        <v/>
      </c>
      <c r="P114" s="26">
        <f>IF(AND(H114="", O114=""), "", N(H114) + N(O114))</f>
        <v/>
      </c>
    </row>
    <row r="115">
      <c r="A115" s="25" t="n">
        <v>28</v>
      </c>
      <c r="B115" s="25">
        <f>IFERROR(IF(SUMIFS(tblDaily[Admissions],tblDaily[EntryDate],DATE(2026,3,28),tblDaily[WardCode],"MAE")=0,"",SUMIFS(tblDaily[Admissions],tblDaily[EntryDate],DATE(2026,3,28),tblDaily[WardCode],"MAE")),"")</f>
        <v/>
      </c>
      <c r="C115" s="25">
        <f>IFERROR(IF(SUMIFS(tblDaily[Discharges],tblDaily[EntryDate],DATE(2026,3,28),tblDaily[WardCode],"MAE")=0,"",SUMIFS(tblDaily[Discharges],tblDaily[EntryDate],DATE(2026,3,28),tblDaily[WardCode],"MAE")),"")</f>
        <v/>
      </c>
      <c r="D115" s="25">
        <f>IFERROR(IF(SUMIFS(tblDaily[Deaths],tblDaily[EntryDate],DATE(2026,3,28),tblDaily[WardCode],"MAE")=0,"",SUMIFS(tblDaily[Deaths],tblDaily[EntryDate],DATE(2026,3,28),tblDaily[WardCode],"MAE")),"")</f>
        <v/>
      </c>
      <c r="E115" s="25">
        <f>IFERROR(IF(SUMIFS(tblDaily[DeathsUnder24Hrs],tblDaily[EntryDate],DATE(2026,3,28),tblDaily[WardCode],"MAE")=0,"",SUMIFS(tblDaily[DeathsUnder24Hrs],tblDaily[EntryDate],DATE(2026,3,28),tblDaily[WardCode],"MAE")),"")</f>
        <v/>
      </c>
      <c r="F115" s="25">
        <f>IFERROR(IF(SUMIFS(tblDaily[TransfersIn],tblDaily[EntryDate],DATE(2026,3,28),tblDaily[WardCode],"MAE")=0,"",SUMIFS(tblDaily[TransfersIn],tblDaily[EntryDate],DATE(2026,3,28),tblDaily[WardCode],"MAE")),"")</f>
        <v/>
      </c>
      <c r="G115" s="25">
        <f>IFERROR(IF(SUMIFS(tblDaily[TransfersOut],tblDaily[EntryDate],DATE(2026,3,28),tblDaily[WardCode],"MAE")=0,"",SUMIFS(tblDaily[TransfersOut],tblDaily[EntryDate],DATE(2026,3,28),tblDaily[WardCode],"MAE")),"")</f>
        <v/>
      </c>
      <c r="H115" s="25">
        <f>IFERROR(IF(SUMIFS(tblDaily[Remaining],tblDaily[EntryDate],DATE(2026,3,28),tblDaily[WardCode],"MAE")=0,"",SUMIFS(tblDaily[Remaining],tblDaily[EntryDate],DATE(2026,3,28),tblDaily[WardCode],"MAE")),"")</f>
        <v/>
      </c>
      <c r="I115" s="25">
        <f>IFERROR(IF(SUMIFS(tblDaily[Admissions],tblDaily[EntryDate],DATE(2026,3,28),tblDaily[WardCode],"FAE")=0,"",SUMIFS(tblDaily[Admissions],tblDaily[EntryDate],DATE(2026,3,28),tblDaily[WardCode],"FAE")),"")</f>
        <v/>
      </c>
      <c r="J115" s="25">
        <f>IFERROR(IF(SUMIFS(tblDaily[Discharges],tblDaily[EntryDate],DATE(2026,3,28),tblDaily[WardCode],"FAE")=0,"",SUMIFS(tblDaily[Discharges],tblDaily[EntryDate],DATE(2026,3,28),tblDaily[WardCode],"FAE")),"")</f>
        <v/>
      </c>
      <c r="K115" s="25">
        <f>IFERROR(IF(SUMIFS(tblDaily[Deaths],tblDaily[EntryDate],DATE(2026,3,28),tblDaily[WardCode],"FAE")=0,"",SUMIFS(tblDaily[Deaths],tblDaily[EntryDate],DATE(2026,3,28),tblDaily[WardCode],"FAE")),"")</f>
        <v/>
      </c>
      <c r="L115" s="25">
        <f>IFERROR(IF(SUMIFS(tblDaily[DeathsUnder24Hrs],tblDaily[EntryDate],DATE(2026,3,28),tblDaily[WardCode],"FAE")=0,"",SUMIFS(tblDaily[DeathsUnder24Hrs],tblDaily[EntryDate],DATE(2026,3,28),tblDaily[WardCode],"FAE")),"")</f>
        <v/>
      </c>
      <c r="M115" s="25">
        <f>IFERROR(IF(SUMIFS(tblDaily[TransfersIn],tblDaily[EntryDate],DATE(2026,3,28),tblDaily[WardCode],"FAE")=0,"",SUMIFS(tblDaily[TransfersIn],tblDaily[EntryDate],DATE(2026,3,28),tblDaily[WardCode],"FAE")),"")</f>
        <v/>
      </c>
      <c r="N115" s="25">
        <f>IFERROR(IF(SUMIFS(tblDaily[TransfersOut],tblDaily[EntryDate],DATE(2026,3,28),tblDaily[WardCode],"FAE")=0,"",SUMIFS(tblDaily[TransfersOut],tblDaily[EntryDate],DATE(2026,3,28),tblDaily[WardCode],"FAE")),"")</f>
        <v/>
      </c>
      <c r="O115" s="25">
        <f>IFERROR(IF(SUMIFS(tblDaily[Remaining],tblDaily[EntryDate],DATE(2026,3,28),tblDaily[WardCode],"FAE")=0,"",SUMIFS(tblDaily[Remaining],tblDaily[EntryDate],DATE(2026,3,28),tblDaily[WardCode],"FAE")),"")</f>
        <v/>
      </c>
      <c r="P115" s="26">
        <f>IF(AND(H115="", O115=""), "", N(H115) + N(O115))</f>
        <v/>
      </c>
    </row>
    <row r="116">
      <c r="A116" s="25" t="n">
        <v>29</v>
      </c>
      <c r="B116" s="25">
        <f>IFERROR(IF(SUMIFS(tblDaily[Admissions],tblDaily[EntryDate],DATE(2026,3,29),tblDaily[WardCode],"MAE")=0,"",SUMIFS(tblDaily[Admissions],tblDaily[EntryDate],DATE(2026,3,29),tblDaily[WardCode],"MAE")),"")</f>
        <v/>
      </c>
      <c r="C116" s="25">
        <f>IFERROR(IF(SUMIFS(tblDaily[Discharges],tblDaily[EntryDate],DATE(2026,3,29),tblDaily[WardCode],"MAE")=0,"",SUMIFS(tblDaily[Discharges],tblDaily[EntryDate],DATE(2026,3,29),tblDaily[WardCode],"MAE")),"")</f>
        <v/>
      </c>
      <c r="D116" s="25">
        <f>IFERROR(IF(SUMIFS(tblDaily[Deaths],tblDaily[EntryDate],DATE(2026,3,29),tblDaily[WardCode],"MAE")=0,"",SUMIFS(tblDaily[Deaths],tblDaily[EntryDate],DATE(2026,3,29),tblDaily[WardCode],"MAE")),"")</f>
        <v/>
      </c>
      <c r="E116" s="25">
        <f>IFERROR(IF(SUMIFS(tblDaily[DeathsUnder24Hrs],tblDaily[EntryDate],DATE(2026,3,29),tblDaily[WardCode],"MAE")=0,"",SUMIFS(tblDaily[DeathsUnder24Hrs],tblDaily[EntryDate],DATE(2026,3,29),tblDaily[WardCode],"MAE")),"")</f>
        <v/>
      </c>
      <c r="F116" s="25">
        <f>IFERROR(IF(SUMIFS(tblDaily[TransfersIn],tblDaily[EntryDate],DATE(2026,3,29),tblDaily[WardCode],"MAE")=0,"",SUMIFS(tblDaily[TransfersIn],tblDaily[EntryDate],DATE(2026,3,29),tblDaily[WardCode],"MAE")),"")</f>
        <v/>
      </c>
      <c r="G116" s="25">
        <f>IFERROR(IF(SUMIFS(tblDaily[TransfersOut],tblDaily[EntryDate],DATE(2026,3,29),tblDaily[WardCode],"MAE")=0,"",SUMIFS(tblDaily[TransfersOut],tblDaily[EntryDate],DATE(2026,3,29),tblDaily[WardCode],"MAE")),"")</f>
        <v/>
      </c>
      <c r="H116" s="25">
        <f>IFERROR(IF(SUMIFS(tblDaily[Remaining],tblDaily[EntryDate],DATE(2026,3,29),tblDaily[WardCode],"MAE")=0,"",SUMIFS(tblDaily[Remaining],tblDaily[EntryDate],DATE(2026,3,29),tblDaily[WardCode],"MAE")),"")</f>
        <v/>
      </c>
      <c r="I116" s="25">
        <f>IFERROR(IF(SUMIFS(tblDaily[Admissions],tblDaily[EntryDate],DATE(2026,3,29),tblDaily[WardCode],"FAE")=0,"",SUMIFS(tblDaily[Admissions],tblDaily[EntryDate],DATE(2026,3,29),tblDaily[WardCode],"FAE")),"")</f>
        <v/>
      </c>
      <c r="J116" s="25">
        <f>IFERROR(IF(SUMIFS(tblDaily[Discharges],tblDaily[EntryDate],DATE(2026,3,29),tblDaily[WardCode],"FAE")=0,"",SUMIFS(tblDaily[Discharges],tblDaily[EntryDate],DATE(2026,3,29),tblDaily[WardCode],"FAE")),"")</f>
        <v/>
      </c>
      <c r="K116" s="25">
        <f>IFERROR(IF(SUMIFS(tblDaily[Deaths],tblDaily[EntryDate],DATE(2026,3,29),tblDaily[WardCode],"FAE")=0,"",SUMIFS(tblDaily[Deaths],tblDaily[EntryDate],DATE(2026,3,29),tblDaily[WardCode],"FAE")),"")</f>
        <v/>
      </c>
      <c r="L116" s="25">
        <f>IFERROR(IF(SUMIFS(tblDaily[DeathsUnder24Hrs],tblDaily[EntryDate],DATE(2026,3,29),tblDaily[WardCode],"FAE")=0,"",SUMIFS(tblDaily[DeathsUnder24Hrs],tblDaily[EntryDate],DATE(2026,3,29),tblDaily[WardCode],"FAE")),"")</f>
        <v/>
      </c>
      <c r="M116" s="25">
        <f>IFERROR(IF(SUMIFS(tblDaily[TransfersIn],tblDaily[EntryDate],DATE(2026,3,29),tblDaily[WardCode],"FAE")=0,"",SUMIFS(tblDaily[TransfersIn],tblDaily[EntryDate],DATE(2026,3,29),tblDaily[WardCode],"FAE")),"")</f>
        <v/>
      </c>
      <c r="N116" s="25">
        <f>IFERROR(IF(SUMIFS(tblDaily[TransfersOut],tblDaily[EntryDate],DATE(2026,3,29),tblDaily[WardCode],"FAE")=0,"",SUMIFS(tblDaily[TransfersOut],tblDaily[EntryDate],DATE(2026,3,29),tblDaily[WardCode],"FAE")),"")</f>
        <v/>
      </c>
      <c r="O116" s="25">
        <f>IFERROR(IF(SUMIFS(tblDaily[Remaining],tblDaily[EntryDate],DATE(2026,3,29),tblDaily[WardCode],"FAE")=0,"",SUMIFS(tblDaily[Remaining],tblDaily[EntryDate],DATE(2026,3,29),tblDaily[WardCode],"FAE")),"")</f>
        <v/>
      </c>
      <c r="P116" s="26">
        <f>IF(AND(H116="", O116=""), "", N(H116) + N(O116))</f>
        <v/>
      </c>
    </row>
    <row r="117">
      <c r="A117" s="25" t="n">
        <v>30</v>
      </c>
      <c r="B117" s="25">
        <f>IFERROR(IF(SUMIFS(tblDaily[Admissions],tblDaily[EntryDate],DATE(2026,3,30),tblDaily[WardCode],"MAE")=0,"",SUMIFS(tblDaily[Admissions],tblDaily[EntryDate],DATE(2026,3,30),tblDaily[WardCode],"MAE")),"")</f>
        <v/>
      </c>
      <c r="C117" s="25">
        <f>IFERROR(IF(SUMIFS(tblDaily[Discharges],tblDaily[EntryDate],DATE(2026,3,30),tblDaily[WardCode],"MAE")=0,"",SUMIFS(tblDaily[Discharges],tblDaily[EntryDate],DATE(2026,3,30),tblDaily[WardCode],"MAE")),"")</f>
        <v/>
      </c>
      <c r="D117" s="25">
        <f>IFERROR(IF(SUMIFS(tblDaily[Deaths],tblDaily[EntryDate],DATE(2026,3,30),tblDaily[WardCode],"MAE")=0,"",SUMIFS(tblDaily[Deaths],tblDaily[EntryDate],DATE(2026,3,30),tblDaily[WardCode],"MAE")),"")</f>
        <v/>
      </c>
      <c r="E117" s="25">
        <f>IFERROR(IF(SUMIFS(tblDaily[DeathsUnder24Hrs],tblDaily[EntryDate],DATE(2026,3,30),tblDaily[WardCode],"MAE")=0,"",SUMIFS(tblDaily[DeathsUnder24Hrs],tblDaily[EntryDate],DATE(2026,3,30),tblDaily[WardCode],"MAE")),"")</f>
        <v/>
      </c>
      <c r="F117" s="25">
        <f>IFERROR(IF(SUMIFS(tblDaily[TransfersIn],tblDaily[EntryDate],DATE(2026,3,30),tblDaily[WardCode],"MAE")=0,"",SUMIFS(tblDaily[TransfersIn],tblDaily[EntryDate],DATE(2026,3,30),tblDaily[WardCode],"MAE")),"")</f>
        <v/>
      </c>
      <c r="G117" s="25">
        <f>IFERROR(IF(SUMIFS(tblDaily[TransfersOut],tblDaily[EntryDate],DATE(2026,3,30),tblDaily[WardCode],"MAE")=0,"",SUMIFS(tblDaily[TransfersOut],tblDaily[EntryDate],DATE(2026,3,30),tblDaily[WardCode],"MAE")),"")</f>
        <v/>
      </c>
      <c r="H117" s="25">
        <f>IFERROR(IF(SUMIFS(tblDaily[Remaining],tblDaily[EntryDate],DATE(2026,3,30),tblDaily[WardCode],"MAE")=0,"",SUMIFS(tblDaily[Remaining],tblDaily[EntryDate],DATE(2026,3,30),tblDaily[WardCode],"MAE")),"")</f>
        <v/>
      </c>
      <c r="I117" s="25">
        <f>IFERROR(IF(SUMIFS(tblDaily[Admissions],tblDaily[EntryDate],DATE(2026,3,30),tblDaily[WardCode],"FAE")=0,"",SUMIFS(tblDaily[Admissions],tblDaily[EntryDate],DATE(2026,3,30),tblDaily[WardCode],"FAE")),"")</f>
        <v/>
      </c>
      <c r="J117" s="25">
        <f>IFERROR(IF(SUMIFS(tblDaily[Discharges],tblDaily[EntryDate],DATE(2026,3,30),tblDaily[WardCode],"FAE")=0,"",SUMIFS(tblDaily[Discharges],tblDaily[EntryDate],DATE(2026,3,30),tblDaily[WardCode],"FAE")),"")</f>
        <v/>
      </c>
      <c r="K117" s="25">
        <f>IFERROR(IF(SUMIFS(tblDaily[Deaths],tblDaily[EntryDate],DATE(2026,3,30),tblDaily[WardCode],"FAE")=0,"",SUMIFS(tblDaily[Deaths],tblDaily[EntryDate],DATE(2026,3,30),tblDaily[WardCode],"FAE")),"")</f>
        <v/>
      </c>
      <c r="L117" s="25">
        <f>IFERROR(IF(SUMIFS(tblDaily[DeathsUnder24Hrs],tblDaily[EntryDate],DATE(2026,3,30),tblDaily[WardCode],"FAE")=0,"",SUMIFS(tblDaily[DeathsUnder24Hrs],tblDaily[EntryDate],DATE(2026,3,30),tblDaily[WardCode],"FAE")),"")</f>
        <v/>
      </c>
      <c r="M117" s="25">
        <f>IFERROR(IF(SUMIFS(tblDaily[TransfersIn],tblDaily[EntryDate],DATE(2026,3,30),tblDaily[WardCode],"FAE")=0,"",SUMIFS(tblDaily[TransfersIn],tblDaily[EntryDate],DATE(2026,3,30),tblDaily[WardCode],"FAE")),"")</f>
        <v/>
      </c>
      <c r="N117" s="25">
        <f>IFERROR(IF(SUMIFS(tblDaily[TransfersOut],tblDaily[EntryDate],DATE(2026,3,30),tblDaily[WardCode],"FAE")=0,"",SUMIFS(tblDaily[TransfersOut],tblDaily[EntryDate],DATE(2026,3,30),tblDaily[WardCode],"FAE")),"")</f>
        <v/>
      </c>
      <c r="O117" s="25">
        <f>IFERROR(IF(SUMIFS(tblDaily[Remaining],tblDaily[EntryDate],DATE(2026,3,30),tblDaily[WardCode],"FAE")=0,"",SUMIFS(tblDaily[Remaining],tblDaily[EntryDate],DATE(2026,3,30),tblDaily[WardCode],"FAE")),"")</f>
        <v/>
      </c>
      <c r="P117" s="26">
        <f>IF(AND(H117="", O117=""), "", N(H117) + N(O117))</f>
        <v/>
      </c>
    </row>
    <row r="118">
      <c r="A118" s="25" t="n">
        <v>31</v>
      </c>
      <c r="B118" s="25">
        <f>IFERROR(IF(SUMIFS(tblDaily[Admissions],tblDaily[EntryDate],DATE(2026,3,31),tblDaily[WardCode],"MAE")=0,"",SUMIFS(tblDaily[Admissions],tblDaily[EntryDate],DATE(2026,3,31),tblDaily[WardCode],"MAE")),"")</f>
        <v/>
      </c>
      <c r="C118" s="25">
        <f>IFERROR(IF(SUMIFS(tblDaily[Discharges],tblDaily[EntryDate],DATE(2026,3,31),tblDaily[WardCode],"MAE")=0,"",SUMIFS(tblDaily[Discharges],tblDaily[EntryDate],DATE(2026,3,31),tblDaily[WardCode],"MAE")),"")</f>
        <v/>
      </c>
      <c r="D118" s="25">
        <f>IFERROR(IF(SUMIFS(tblDaily[Deaths],tblDaily[EntryDate],DATE(2026,3,31),tblDaily[WardCode],"MAE")=0,"",SUMIFS(tblDaily[Deaths],tblDaily[EntryDate],DATE(2026,3,31),tblDaily[WardCode],"MAE")),"")</f>
        <v/>
      </c>
      <c r="E118" s="25">
        <f>IFERROR(IF(SUMIFS(tblDaily[DeathsUnder24Hrs],tblDaily[EntryDate],DATE(2026,3,31),tblDaily[WardCode],"MAE")=0,"",SUMIFS(tblDaily[DeathsUnder24Hrs],tblDaily[EntryDate],DATE(2026,3,31),tblDaily[WardCode],"MAE")),"")</f>
        <v/>
      </c>
      <c r="F118" s="25">
        <f>IFERROR(IF(SUMIFS(tblDaily[TransfersIn],tblDaily[EntryDate],DATE(2026,3,31),tblDaily[WardCode],"MAE")=0,"",SUMIFS(tblDaily[TransfersIn],tblDaily[EntryDate],DATE(2026,3,31),tblDaily[WardCode],"MAE")),"")</f>
        <v/>
      </c>
      <c r="G118" s="25">
        <f>IFERROR(IF(SUMIFS(tblDaily[TransfersOut],tblDaily[EntryDate],DATE(2026,3,31),tblDaily[WardCode],"MAE")=0,"",SUMIFS(tblDaily[TransfersOut],tblDaily[EntryDate],DATE(2026,3,31),tblDaily[WardCode],"MAE")),"")</f>
        <v/>
      </c>
      <c r="H118" s="25">
        <f>IFERROR(IF(SUMIFS(tblDaily[Remaining],tblDaily[EntryDate],DATE(2026,3,31),tblDaily[WardCode],"MAE")=0,"",SUMIFS(tblDaily[Remaining],tblDaily[EntryDate],DATE(2026,3,31),tblDaily[WardCode],"MAE")),"")</f>
        <v/>
      </c>
      <c r="I118" s="25">
        <f>IFERROR(IF(SUMIFS(tblDaily[Admissions],tblDaily[EntryDate],DATE(2026,3,31),tblDaily[WardCode],"FAE")=0,"",SUMIFS(tblDaily[Admissions],tblDaily[EntryDate],DATE(2026,3,31),tblDaily[WardCode],"FAE")),"")</f>
        <v/>
      </c>
      <c r="J118" s="25">
        <f>IFERROR(IF(SUMIFS(tblDaily[Discharges],tblDaily[EntryDate],DATE(2026,3,31),tblDaily[WardCode],"FAE")=0,"",SUMIFS(tblDaily[Discharges],tblDaily[EntryDate],DATE(2026,3,31),tblDaily[WardCode],"FAE")),"")</f>
        <v/>
      </c>
      <c r="K118" s="25">
        <f>IFERROR(IF(SUMIFS(tblDaily[Deaths],tblDaily[EntryDate],DATE(2026,3,31),tblDaily[WardCode],"FAE")=0,"",SUMIFS(tblDaily[Deaths],tblDaily[EntryDate],DATE(2026,3,31),tblDaily[WardCode],"FAE")),"")</f>
        <v/>
      </c>
      <c r="L118" s="25">
        <f>IFERROR(IF(SUMIFS(tblDaily[DeathsUnder24Hrs],tblDaily[EntryDate],DATE(2026,3,31),tblDaily[WardCode],"FAE")=0,"",SUMIFS(tblDaily[DeathsUnder24Hrs],tblDaily[EntryDate],DATE(2026,3,31),tblDaily[WardCode],"FAE")),"")</f>
        <v/>
      </c>
      <c r="M118" s="25">
        <f>IFERROR(IF(SUMIFS(tblDaily[TransfersIn],tblDaily[EntryDate],DATE(2026,3,31),tblDaily[WardCode],"FAE")=0,"",SUMIFS(tblDaily[TransfersIn],tblDaily[EntryDate],DATE(2026,3,31),tblDaily[WardCode],"FAE")),"")</f>
        <v/>
      </c>
      <c r="N118" s="25">
        <f>IFERROR(IF(SUMIFS(tblDaily[TransfersOut],tblDaily[EntryDate],DATE(2026,3,31),tblDaily[WardCode],"FAE")=0,"",SUMIFS(tblDaily[TransfersOut],tblDaily[EntryDate],DATE(2026,3,31),tblDaily[WardCode],"FAE")),"")</f>
        <v/>
      </c>
      <c r="O118" s="25">
        <f>IFERROR(IF(SUMIFS(tblDaily[Remaining],tblDaily[EntryDate],DATE(2026,3,31),tblDaily[WardCode],"FAE")=0,"",SUMIFS(tblDaily[Remaining],tblDaily[EntryDate],DATE(2026,3,31),tblDaily[WardCode],"FAE")),"")</f>
        <v/>
      </c>
      <c r="P118" s="26">
        <f>IF(AND(H118="", O118=""), "", N(H118) + N(O118))</f>
        <v/>
      </c>
    </row>
    <row r="119">
      <c r="A119" s="17" t="inlineStr">
        <is>
          <t>TOTAL</t>
        </is>
      </c>
      <c r="B119" s="17">
        <f>SUMIFS(tblDaily[Admissions],tblDaily[Month],3,tblDaily[WardCode],"MAE") - SUMIFS(tblDaily[DeathsUnder24Hrs],tblDaily[Month],3,tblDaily[WardCode],"MAE")</f>
        <v/>
      </c>
      <c r="C119" s="17">
        <f>SUMIFS(tblDaily[Discharges],tblDaily[Month],3,tblDaily[WardCode],"MAE")</f>
        <v/>
      </c>
      <c r="D119" s="17">
        <f>SUMIFS(tblDaily[Deaths],tblDaily[Month],3,tblDaily[WardCode],"MAE")</f>
        <v/>
      </c>
      <c r="E119" s="17">
        <f>SUMIFS(tblDaily[DeathsUnder24Hrs],tblDaily[Month],3,tblDaily[WardCode],"MAE")</f>
        <v/>
      </c>
      <c r="F119" s="17">
        <f>SUMIFS(tblDaily[TransfersIn],tblDaily[Month],3,tblDaily[WardCode],"MAE")</f>
        <v/>
      </c>
      <c r="G119" s="17">
        <f>SUMIFS(tblDaily[TransfersOut],tblDaily[Month],3,tblDaily[WardCode],"MAE")</f>
        <v/>
      </c>
      <c r="H119" s="17">
        <f>SUMIFS(tblDaily[Remaining],tblDaily[Month],3,tblDaily[WardCode],"MAE")</f>
        <v/>
      </c>
      <c r="I119" s="17">
        <f>SUMIFS(tblDaily[Admissions],tblDaily[Month],3,tblDaily[WardCode],"FAE") - SUMIFS(tblDaily[DeathsUnder24Hrs],tblDaily[Month],3,tblDaily[WardCode],"FAE")</f>
        <v/>
      </c>
      <c r="J119" s="17">
        <f>SUMIFS(tblDaily[Discharges],tblDaily[Month],3,tblDaily[WardCode],"FAE")</f>
        <v/>
      </c>
      <c r="K119" s="17">
        <f>SUMIFS(tblDaily[Deaths],tblDaily[Month],3,tblDaily[WardCode],"FAE")</f>
        <v/>
      </c>
      <c r="L119" s="17">
        <f>SUMIFS(tblDaily[DeathsUnder24Hrs],tblDaily[Month],3,tblDaily[WardCode],"FAE")</f>
        <v/>
      </c>
      <c r="M119" s="17">
        <f>SUMIFS(tblDaily[TransfersIn],tblDaily[Month],3,tblDaily[WardCode],"FAE")</f>
        <v/>
      </c>
      <c r="N119" s="17">
        <f>SUMIFS(tblDaily[TransfersOut],tblDaily[Month],3,tblDaily[WardCode],"FAE")</f>
        <v/>
      </c>
      <c r="O119" s="17">
        <f>SUMIFS(tblDaily[Remaining],tblDaily[Month],3,tblDaily[WardCode],"FAE")</f>
        <v/>
      </c>
      <c r="P119" s="17">
        <f>H119 + O119</f>
        <v/>
      </c>
    </row>
    <row r="121">
      <c r="A121" s="19" t="inlineStr">
        <is>
          <t>GHANA HEALTH SERVICE</t>
        </is>
      </c>
    </row>
    <row r="122">
      <c r="A122" s="2" t="inlineStr">
        <is>
          <t>DAILY BED UTILIZATION FORM</t>
        </is>
      </c>
    </row>
    <row r="123">
      <c r="A123" s="4" t="inlineStr">
        <is>
          <t>Hospital:</t>
        </is>
      </c>
      <c r="B123" s="5" t="inlineStr">
        <is>
          <t>HOHOE MUNICIPAL HOSPITAL</t>
        </is>
      </c>
      <c r="E123" s="4" t="inlineStr">
        <is>
          <t>Ward:</t>
        </is>
      </c>
      <c r="F123" s="4" t="inlineStr">
        <is>
          <t>EMERGENCY (COMBINED)</t>
        </is>
      </c>
      <c r="M123" s="4" t="inlineStr">
        <is>
          <t>MONTH</t>
        </is>
      </c>
      <c r="N123" s="4" t="inlineStr">
        <is>
          <t>APRIL</t>
        </is>
      </c>
    </row>
    <row r="124">
      <c r="A124" s="4" t="inlineStr">
        <is>
          <t>Number of patients remaining as at last day of previous month</t>
        </is>
      </c>
      <c r="B124" s="20">
        <f>IFERROR(SUMIFS(tblDaily[Remaining],tblDaily[EntryDate],DATE(2026,3,31),tblDaily[WardCode],"MAE"),0)</f>
        <v/>
      </c>
      <c r="I124" s="20">
        <f>IFERROR(SUMIFS(tblDaily[Remaining],tblDaily[EntryDate],DATE(2026,3,31),tblDaily[WardCode],"FAE"),0)</f>
        <v/>
      </c>
    </row>
    <row r="125">
      <c r="A125" s="4" t="inlineStr">
        <is>
          <t>Bed complement</t>
        </is>
      </c>
      <c r="B125" s="20">
        <f>IFERROR(INDEX(tblWardConfig[BedComplement],MATCH("MAE",tblWardConfig[WardCode],0)),0)</f>
        <v/>
      </c>
      <c r="I125" s="20">
        <f>IFERROR(INDEX(tblWardConfig[BedComplement],MATCH("FAE",tblWardConfig[WardCode],0)),0)</f>
        <v/>
      </c>
      <c r="O125" s="21">
        <f>B125+I125</f>
        <v/>
      </c>
    </row>
    <row r="126">
      <c r="A126" s="11" t="inlineStr">
        <is>
          <t>Day</t>
        </is>
      </c>
      <c r="B126" s="22" t="inlineStr">
        <is>
          <t>MALE EMERGENCY</t>
        </is>
      </c>
      <c r="I126" s="23" t="inlineStr">
        <is>
          <t>FEMALE EMERGENCY</t>
        </is>
      </c>
      <c r="P126" s="24" t="inlineStr">
        <is>
          <t>TOTAL</t>
        </is>
      </c>
    </row>
    <row r="127">
      <c r="A127" s="11" t="inlineStr">
        <is>
          <t>Day</t>
        </is>
      </c>
      <c r="B127" s="11" t="inlineStr">
        <is>
          <t>Adm</t>
        </is>
      </c>
      <c r="C127" s="11" t="inlineStr">
        <is>
          <t>Dis</t>
        </is>
      </c>
      <c r="D127" s="11" t="inlineStr">
        <is>
          <t>Dth</t>
        </is>
      </c>
      <c r="E127" s="11" t="inlineStr">
        <is>
          <t>D&lt;24</t>
        </is>
      </c>
      <c r="F127" s="11" t="inlineStr">
        <is>
          <t>TrIn</t>
        </is>
      </c>
      <c r="G127" s="11" t="inlineStr">
        <is>
          <t>TrOut</t>
        </is>
      </c>
      <c r="H127" s="11" t="inlineStr">
        <is>
          <t>Rem</t>
        </is>
      </c>
      <c r="I127" s="11" t="inlineStr">
        <is>
          <t>Adm</t>
        </is>
      </c>
      <c r="J127" s="11" t="inlineStr">
        <is>
          <t>Dis</t>
        </is>
      </c>
      <c r="K127" s="11" t="inlineStr">
        <is>
          <t>Dth</t>
        </is>
      </c>
      <c r="L127" s="11" t="inlineStr">
        <is>
          <t>D&lt;24</t>
        </is>
      </c>
      <c r="M127" s="11" t="inlineStr">
        <is>
          <t>TrIn</t>
        </is>
      </c>
      <c r="N127" s="11" t="inlineStr">
        <is>
          <t>TrOut</t>
        </is>
      </c>
      <c r="O127" s="11" t="inlineStr">
        <is>
          <t>Rem</t>
        </is>
      </c>
      <c r="P127" s="11" t="inlineStr">
        <is>
          <t>Tot
Rem</t>
        </is>
      </c>
    </row>
    <row r="128">
      <c r="A128" s="25" t="n">
        <v>1</v>
      </c>
      <c r="B128" s="25">
        <f>IFERROR(IF(SUMIFS(tblDaily[Admissions],tblDaily[EntryDate],DATE(2026,4,1),tblDaily[WardCode],"MAE")=0,"",SUMIFS(tblDaily[Admissions],tblDaily[EntryDate],DATE(2026,4,1),tblDaily[WardCode],"MAE")),"")</f>
        <v/>
      </c>
      <c r="C128" s="25">
        <f>IFERROR(IF(SUMIFS(tblDaily[Discharges],tblDaily[EntryDate],DATE(2026,4,1),tblDaily[WardCode],"MAE")=0,"",SUMIFS(tblDaily[Discharges],tblDaily[EntryDate],DATE(2026,4,1),tblDaily[WardCode],"MAE")),"")</f>
        <v/>
      </c>
      <c r="D128" s="25">
        <f>IFERROR(IF(SUMIFS(tblDaily[Deaths],tblDaily[EntryDate],DATE(2026,4,1),tblDaily[WardCode],"MAE")=0,"",SUMIFS(tblDaily[Deaths],tblDaily[EntryDate],DATE(2026,4,1),tblDaily[WardCode],"MAE")),"")</f>
        <v/>
      </c>
      <c r="E128" s="25">
        <f>IFERROR(IF(SUMIFS(tblDaily[DeathsUnder24Hrs],tblDaily[EntryDate],DATE(2026,4,1),tblDaily[WardCode],"MAE")=0,"",SUMIFS(tblDaily[DeathsUnder24Hrs],tblDaily[EntryDate],DATE(2026,4,1),tblDaily[WardCode],"MAE")),"")</f>
        <v/>
      </c>
      <c r="F128" s="25">
        <f>IFERROR(IF(SUMIFS(tblDaily[TransfersIn],tblDaily[EntryDate],DATE(2026,4,1),tblDaily[WardCode],"MAE")=0,"",SUMIFS(tblDaily[TransfersIn],tblDaily[EntryDate],DATE(2026,4,1),tblDaily[WardCode],"MAE")),"")</f>
        <v/>
      </c>
      <c r="G128" s="25">
        <f>IFERROR(IF(SUMIFS(tblDaily[TransfersOut],tblDaily[EntryDate],DATE(2026,4,1),tblDaily[WardCode],"MAE")=0,"",SUMIFS(tblDaily[TransfersOut],tblDaily[EntryDate],DATE(2026,4,1),tblDaily[WardCode],"MAE")),"")</f>
        <v/>
      </c>
      <c r="H128" s="25">
        <f>IFERROR(IF(SUMIFS(tblDaily[Remaining],tblDaily[EntryDate],DATE(2026,4,1),tblDaily[WardCode],"MAE")=0,"",SUMIFS(tblDaily[Remaining],tblDaily[EntryDate],DATE(2026,4,1),tblDaily[WardCode],"MAE")),"")</f>
        <v/>
      </c>
      <c r="I128" s="25">
        <f>IFERROR(IF(SUMIFS(tblDaily[Admissions],tblDaily[EntryDate],DATE(2026,4,1),tblDaily[WardCode],"FAE")=0,"",SUMIFS(tblDaily[Admissions],tblDaily[EntryDate],DATE(2026,4,1),tblDaily[WardCode],"FAE")),"")</f>
        <v/>
      </c>
      <c r="J128" s="25">
        <f>IFERROR(IF(SUMIFS(tblDaily[Discharges],tblDaily[EntryDate],DATE(2026,4,1),tblDaily[WardCode],"FAE")=0,"",SUMIFS(tblDaily[Discharges],tblDaily[EntryDate],DATE(2026,4,1),tblDaily[WardCode],"FAE")),"")</f>
        <v/>
      </c>
      <c r="K128" s="25">
        <f>IFERROR(IF(SUMIFS(tblDaily[Deaths],tblDaily[EntryDate],DATE(2026,4,1),tblDaily[WardCode],"FAE")=0,"",SUMIFS(tblDaily[Deaths],tblDaily[EntryDate],DATE(2026,4,1),tblDaily[WardCode],"FAE")),"")</f>
        <v/>
      </c>
      <c r="L128" s="25">
        <f>IFERROR(IF(SUMIFS(tblDaily[DeathsUnder24Hrs],tblDaily[EntryDate],DATE(2026,4,1),tblDaily[WardCode],"FAE")=0,"",SUMIFS(tblDaily[DeathsUnder24Hrs],tblDaily[EntryDate],DATE(2026,4,1),tblDaily[WardCode],"FAE")),"")</f>
        <v/>
      </c>
      <c r="M128" s="25">
        <f>IFERROR(IF(SUMIFS(tblDaily[TransfersIn],tblDaily[EntryDate],DATE(2026,4,1),tblDaily[WardCode],"FAE")=0,"",SUMIFS(tblDaily[TransfersIn],tblDaily[EntryDate],DATE(2026,4,1),tblDaily[WardCode],"FAE")),"")</f>
        <v/>
      </c>
      <c r="N128" s="25">
        <f>IFERROR(IF(SUMIFS(tblDaily[TransfersOut],tblDaily[EntryDate],DATE(2026,4,1),tblDaily[WardCode],"FAE")=0,"",SUMIFS(tblDaily[TransfersOut],tblDaily[EntryDate],DATE(2026,4,1),tblDaily[WardCode],"FAE")),"")</f>
        <v/>
      </c>
      <c r="O128" s="25">
        <f>IFERROR(IF(SUMIFS(tblDaily[Remaining],tblDaily[EntryDate],DATE(2026,4,1),tblDaily[WardCode],"FAE")=0,"",SUMIFS(tblDaily[Remaining],tblDaily[EntryDate],DATE(2026,4,1),tblDaily[WardCode],"FAE")),"")</f>
        <v/>
      </c>
      <c r="P128" s="26">
        <f>IF(AND(H128="", O128=""), "", N(H128) + N(O128))</f>
        <v/>
      </c>
    </row>
    <row r="129">
      <c r="A129" s="25" t="n">
        <v>2</v>
      </c>
      <c r="B129" s="25">
        <f>IFERROR(IF(SUMIFS(tblDaily[Admissions],tblDaily[EntryDate],DATE(2026,4,2),tblDaily[WardCode],"MAE")=0,"",SUMIFS(tblDaily[Admissions],tblDaily[EntryDate],DATE(2026,4,2),tblDaily[WardCode],"MAE")),"")</f>
        <v/>
      </c>
      <c r="C129" s="25">
        <f>IFERROR(IF(SUMIFS(tblDaily[Discharges],tblDaily[EntryDate],DATE(2026,4,2),tblDaily[WardCode],"MAE")=0,"",SUMIFS(tblDaily[Discharges],tblDaily[EntryDate],DATE(2026,4,2),tblDaily[WardCode],"MAE")),"")</f>
        <v/>
      </c>
      <c r="D129" s="25">
        <f>IFERROR(IF(SUMIFS(tblDaily[Deaths],tblDaily[EntryDate],DATE(2026,4,2),tblDaily[WardCode],"MAE")=0,"",SUMIFS(tblDaily[Deaths],tblDaily[EntryDate],DATE(2026,4,2),tblDaily[WardCode],"MAE")),"")</f>
        <v/>
      </c>
      <c r="E129" s="25">
        <f>IFERROR(IF(SUMIFS(tblDaily[DeathsUnder24Hrs],tblDaily[EntryDate],DATE(2026,4,2),tblDaily[WardCode],"MAE")=0,"",SUMIFS(tblDaily[DeathsUnder24Hrs],tblDaily[EntryDate],DATE(2026,4,2),tblDaily[WardCode],"MAE")),"")</f>
        <v/>
      </c>
      <c r="F129" s="25">
        <f>IFERROR(IF(SUMIFS(tblDaily[TransfersIn],tblDaily[EntryDate],DATE(2026,4,2),tblDaily[WardCode],"MAE")=0,"",SUMIFS(tblDaily[TransfersIn],tblDaily[EntryDate],DATE(2026,4,2),tblDaily[WardCode],"MAE")),"")</f>
        <v/>
      </c>
      <c r="G129" s="25">
        <f>IFERROR(IF(SUMIFS(tblDaily[TransfersOut],tblDaily[EntryDate],DATE(2026,4,2),tblDaily[WardCode],"MAE")=0,"",SUMIFS(tblDaily[TransfersOut],tblDaily[EntryDate],DATE(2026,4,2),tblDaily[WardCode],"MAE")),"")</f>
        <v/>
      </c>
      <c r="H129" s="25">
        <f>IFERROR(IF(SUMIFS(tblDaily[Remaining],tblDaily[EntryDate],DATE(2026,4,2),tblDaily[WardCode],"MAE")=0,"",SUMIFS(tblDaily[Remaining],tblDaily[EntryDate],DATE(2026,4,2),tblDaily[WardCode],"MAE")),"")</f>
        <v/>
      </c>
      <c r="I129" s="25">
        <f>IFERROR(IF(SUMIFS(tblDaily[Admissions],tblDaily[EntryDate],DATE(2026,4,2),tblDaily[WardCode],"FAE")=0,"",SUMIFS(tblDaily[Admissions],tblDaily[EntryDate],DATE(2026,4,2),tblDaily[WardCode],"FAE")),"")</f>
        <v/>
      </c>
      <c r="J129" s="25">
        <f>IFERROR(IF(SUMIFS(tblDaily[Discharges],tblDaily[EntryDate],DATE(2026,4,2),tblDaily[WardCode],"FAE")=0,"",SUMIFS(tblDaily[Discharges],tblDaily[EntryDate],DATE(2026,4,2),tblDaily[WardCode],"FAE")),"")</f>
        <v/>
      </c>
      <c r="K129" s="25">
        <f>IFERROR(IF(SUMIFS(tblDaily[Deaths],tblDaily[EntryDate],DATE(2026,4,2),tblDaily[WardCode],"FAE")=0,"",SUMIFS(tblDaily[Deaths],tblDaily[EntryDate],DATE(2026,4,2),tblDaily[WardCode],"FAE")),"")</f>
        <v/>
      </c>
      <c r="L129" s="25">
        <f>IFERROR(IF(SUMIFS(tblDaily[DeathsUnder24Hrs],tblDaily[EntryDate],DATE(2026,4,2),tblDaily[WardCode],"FAE")=0,"",SUMIFS(tblDaily[DeathsUnder24Hrs],tblDaily[EntryDate],DATE(2026,4,2),tblDaily[WardCode],"FAE")),"")</f>
        <v/>
      </c>
      <c r="M129" s="25">
        <f>IFERROR(IF(SUMIFS(tblDaily[TransfersIn],tblDaily[EntryDate],DATE(2026,4,2),tblDaily[WardCode],"FAE")=0,"",SUMIFS(tblDaily[TransfersIn],tblDaily[EntryDate],DATE(2026,4,2),tblDaily[WardCode],"FAE")),"")</f>
        <v/>
      </c>
      <c r="N129" s="25">
        <f>IFERROR(IF(SUMIFS(tblDaily[TransfersOut],tblDaily[EntryDate],DATE(2026,4,2),tblDaily[WardCode],"FAE")=0,"",SUMIFS(tblDaily[TransfersOut],tblDaily[EntryDate],DATE(2026,4,2),tblDaily[WardCode],"FAE")),"")</f>
        <v/>
      </c>
      <c r="O129" s="25">
        <f>IFERROR(IF(SUMIFS(tblDaily[Remaining],tblDaily[EntryDate],DATE(2026,4,2),tblDaily[WardCode],"FAE")=0,"",SUMIFS(tblDaily[Remaining],tblDaily[EntryDate],DATE(2026,4,2),tblDaily[WardCode],"FAE")),"")</f>
        <v/>
      </c>
      <c r="P129" s="26">
        <f>IF(AND(H129="", O129=""), "", N(H129) + N(O129))</f>
        <v/>
      </c>
    </row>
    <row r="130">
      <c r="A130" s="25" t="n">
        <v>3</v>
      </c>
      <c r="B130" s="25">
        <f>IFERROR(IF(SUMIFS(tblDaily[Admissions],tblDaily[EntryDate],DATE(2026,4,3),tblDaily[WardCode],"MAE")=0,"",SUMIFS(tblDaily[Admissions],tblDaily[EntryDate],DATE(2026,4,3),tblDaily[WardCode],"MAE")),"")</f>
        <v/>
      </c>
      <c r="C130" s="25">
        <f>IFERROR(IF(SUMIFS(tblDaily[Discharges],tblDaily[EntryDate],DATE(2026,4,3),tblDaily[WardCode],"MAE")=0,"",SUMIFS(tblDaily[Discharges],tblDaily[EntryDate],DATE(2026,4,3),tblDaily[WardCode],"MAE")),"")</f>
        <v/>
      </c>
      <c r="D130" s="25">
        <f>IFERROR(IF(SUMIFS(tblDaily[Deaths],tblDaily[EntryDate],DATE(2026,4,3),tblDaily[WardCode],"MAE")=0,"",SUMIFS(tblDaily[Deaths],tblDaily[EntryDate],DATE(2026,4,3),tblDaily[WardCode],"MAE")),"")</f>
        <v/>
      </c>
      <c r="E130" s="25">
        <f>IFERROR(IF(SUMIFS(tblDaily[DeathsUnder24Hrs],tblDaily[EntryDate],DATE(2026,4,3),tblDaily[WardCode],"MAE")=0,"",SUMIFS(tblDaily[DeathsUnder24Hrs],tblDaily[EntryDate],DATE(2026,4,3),tblDaily[WardCode],"MAE")),"")</f>
        <v/>
      </c>
      <c r="F130" s="25">
        <f>IFERROR(IF(SUMIFS(tblDaily[TransfersIn],tblDaily[EntryDate],DATE(2026,4,3),tblDaily[WardCode],"MAE")=0,"",SUMIFS(tblDaily[TransfersIn],tblDaily[EntryDate],DATE(2026,4,3),tblDaily[WardCode],"MAE")),"")</f>
        <v/>
      </c>
      <c r="G130" s="25">
        <f>IFERROR(IF(SUMIFS(tblDaily[TransfersOut],tblDaily[EntryDate],DATE(2026,4,3),tblDaily[WardCode],"MAE")=0,"",SUMIFS(tblDaily[TransfersOut],tblDaily[EntryDate],DATE(2026,4,3),tblDaily[WardCode],"MAE")),"")</f>
        <v/>
      </c>
      <c r="H130" s="25">
        <f>IFERROR(IF(SUMIFS(tblDaily[Remaining],tblDaily[EntryDate],DATE(2026,4,3),tblDaily[WardCode],"MAE")=0,"",SUMIFS(tblDaily[Remaining],tblDaily[EntryDate],DATE(2026,4,3),tblDaily[WardCode],"MAE")),"")</f>
        <v/>
      </c>
      <c r="I130" s="25">
        <f>IFERROR(IF(SUMIFS(tblDaily[Admissions],tblDaily[EntryDate],DATE(2026,4,3),tblDaily[WardCode],"FAE")=0,"",SUMIFS(tblDaily[Admissions],tblDaily[EntryDate],DATE(2026,4,3),tblDaily[WardCode],"FAE")),"")</f>
        <v/>
      </c>
      <c r="J130" s="25">
        <f>IFERROR(IF(SUMIFS(tblDaily[Discharges],tblDaily[EntryDate],DATE(2026,4,3),tblDaily[WardCode],"FAE")=0,"",SUMIFS(tblDaily[Discharges],tblDaily[EntryDate],DATE(2026,4,3),tblDaily[WardCode],"FAE")),"")</f>
        <v/>
      </c>
      <c r="K130" s="25">
        <f>IFERROR(IF(SUMIFS(tblDaily[Deaths],tblDaily[EntryDate],DATE(2026,4,3),tblDaily[WardCode],"FAE")=0,"",SUMIFS(tblDaily[Deaths],tblDaily[EntryDate],DATE(2026,4,3),tblDaily[WardCode],"FAE")),"")</f>
        <v/>
      </c>
      <c r="L130" s="25">
        <f>IFERROR(IF(SUMIFS(tblDaily[DeathsUnder24Hrs],tblDaily[EntryDate],DATE(2026,4,3),tblDaily[WardCode],"FAE")=0,"",SUMIFS(tblDaily[DeathsUnder24Hrs],tblDaily[EntryDate],DATE(2026,4,3),tblDaily[WardCode],"FAE")),"")</f>
        <v/>
      </c>
      <c r="M130" s="25">
        <f>IFERROR(IF(SUMIFS(tblDaily[TransfersIn],tblDaily[EntryDate],DATE(2026,4,3),tblDaily[WardCode],"FAE")=0,"",SUMIFS(tblDaily[TransfersIn],tblDaily[EntryDate],DATE(2026,4,3),tblDaily[WardCode],"FAE")),"")</f>
        <v/>
      </c>
      <c r="N130" s="25">
        <f>IFERROR(IF(SUMIFS(tblDaily[TransfersOut],tblDaily[EntryDate],DATE(2026,4,3),tblDaily[WardCode],"FAE")=0,"",SUMIFS(tblDaily[TransfersOut],tblDaily[EntryDate],DATE(2026,4,3),tblDaily[WardCode],"FAE")),"")</f>
        <v/>
      </c>
      <c r="O130" s="25">
        <f>IFERROR(IF(SUMIFS(tblDaily[Remaining],tblDaily[EntryDate],DATE(2026,4,3),tblDaily[WardCode],"FAE")=0,"",SUMIFS(tblDaily[Remaining],tblDaily[EntryDate],DATE(2026,4,3),tblDaily[WardCode],"FAE")),"")</f>
        <v/>
      </c>
      <c r="P130" s="26">
        <f>IF(AND(H130="", O130=""), "", N(H130) + N(O130))</f>
        <v/>
      </c>
    </row>
    <row r="131">
      <c r="A131" s="25" t="n">
        <v>4</v>
      </c>
      <c r="B131" s="25">
        <f>IFERROR(IF(SUMIFS(tblDaily[Admissions],tblDaily[EntryDate],DATE(2026,4,4),tblDaily[WardCode],"MAE")=0,"",SUMIFS(tblDaily[Admissions],tblDaily[EntryDate],DATE(2026,4,4),tblDaily[WardCode],"MAE")),"")</f>
        <v/>
      </c>
      <c r="C131" s="25">
        <f>IFERROR(IF(SUMIFS(tblDaily[Discharges],tblDaily[EntryDate],DATE(2026,4,4),tblDaily[WardCode],"MAE")=0,"",SUMIFS(tblDaily[Discharges],tblDaily[EntryDate],DATE(2026,4,4),tblDaily[WardCode],"MAE")),"")</f>
        <v/>
      </c>
      <c r="D131" s="25">
        <f>IFERROR(IF(SUMIFS(tblDaily[Deaths],tblDaily[EntryDate],DATE(2026,4,4),tblDaily[WardCode],"MAE")=0,"",SUMIFS(tblDaily[Deaths],tblDaily[EntryDate],DATE(2026,4,4),tblDaily[WardCode],"MAE")),"")</f>
        <v/>
      </c>
      <c r="E131" s="25">
        <f>IFERROR(IF(SUMIFS(tblDaily[DeathsUnder24Hrs],tblDaily[EntryDate],DATE(2026,4,4),tblDaily[WardCode],"MAE")=0,"",SUMIFS(tblDaily[DeathsUnder24Hrs],tblDaily[EntryDate],DATE(2026,4,4),tblDaily[WardCode],"MAE")),"")</f>
        <v/>
      </c>
      <c r="F131" s="25">
        <f>IFERROR(IF(SUMIFS(tblDaily[TransfersIn],tblDaily[EntryDate],DATE(2026,4,4),tblDaily[WardCode],"MAE")=0,"",SUMIFS(tblDaily[TransfersIn],tblDaily[EntryDate],DATE(2026,4,4),tblDaily[WardCode],"MAE")),"")</f>
        <v/>
      </c>
      <c r="G131" s="25">
        <f>IFERROR(IF(SUMIFS(tblDaily[TransfersOut],tblDaily[EntryDate],DATE(2026,4,4),tblDaily[WardCode],"MAE")=0,"",SUMIFS(tblDaily[TransfersOut],tblDaily[EntryDate],DATE(2026,4,4),tblDaily[WardCode],"MAE")),"")</f>
        <v/>
      </c>
      <c r="H131" s="25">
        <f>IFERROR(IF(SUMIFS(tblDaily[Remaining],tblDaily[EntryDate],DATE(2026,4,4),tblDaily[WardCode],"MAE")=0,"",SUMIFS(tblDaily[Remaining],tblDaily[EntryDate],DATE(2026,4,4),tblDaily[WardCode],"MAE")),"")</f>
        <v/>
      </c>
      <c r="I131" s="25">
        <f>IFERROR(IF(SUMIFS(tblDaily[Admissions],tblDaily[EntryDate],DATE(2026,4,4),tblDaily[WardCode],"FAE")=0,"",SUMIFS(tblDaily[Admissions],tblDaily[EntryDate],DATE(2026,4,4),tblDaily[WardCode],"FAE")),"")</f>
        <v/>
      </c>
      <c r="J131" s="25">
        <f>IFERROR(IF(SUMIFS(tblDaily[Discharges],tblDaily[EntryDate],DATE(2026,4,4),tblDaily[WardCode],"FAE")=0,"",SUMIFS(tblDaily[Discharges],tblDaily[EntryDate],DATE(2026,4,4),tblDaily[WardCode],"FAE")),"")</f>
        <v/>
      </c>
      <c r="K131" s="25">
        <f>IFERROR(IF(SUMIFS(tblDaily[Deaths],tblDaily[EntryDate],DATE(2026,4,4),tblDaily[WardCode],"FAE")=0,"",SUMIFS(tblDaily[Deaths],tblDaily[EntryDate],DATE(2026,4,4),tblDaily[WardCode],"FAE")),"")</f>
        <v/>
      </c>
      <c r="L131" s="25">
        <f>IFERROR(IF(SUMIFS(tblDaily[DeathsUnder24Hrs],tblDaily[EntryDate],DATE(2026,4,4),tblDaily[WardCode],"FAE")=0,"",SUMIFS(tblDaily[DeathsUnder24Hrs],tblDaily[EntryDate],DATE(2026,4,4),tblDaily[WardCode],"FAE")),"")</f>
        <v/>
      </c>
      <c r="M131" s="25">
        <f>IFERROR(IF(SUMIFS(tblDaily[TransfersIn],tblDaily[EntryDate],DATE(2026,4,4),tblDaily[WardCode],"FAE")=0,"",SUMIFS(tblDaily[TransfersIn],tblDaily[EntryDate],DATE(2026,4,4),tblDaily[WardCode],"FAE")),"")</f>
        <v/>
      </c>
      <c r="N131" s="25">
        <f>IFERROR(IF(SUMIFS(tblDaily[TransfersOut],tblDaily[EntryDate],DATE(2026,4,4),tblDaily[WardCode],"FAE")=0,"",SUMIFS(tblDaily[TransfersOut],tblDaily[EntryDate],DATE(2026,4,4),tblDaily[WardCode],"FAE")),"")</f>
        <v/>
      </c>
      <c r="O131" s="25">
        <f>IFERROR(IF(SUMIFS(tblDaily[Remaining],tblDaily[EntryDate],DATE(2026,4,4),tblDaily[WardCode],"FAE")=0,"",SUMIFS(tblDaily[Remaining],tblDaily[EntryDate],DATE(2026,4,4),tblDaily[WardCode],"FAE")),"")</f>
        <v/>
      </c>
      <c r="P131" s="26">
        <f>IF(AND(H131="", O131=""), "", N(H131) + N(O131))</f>
        <v/>
      </c>
    </row>
    <row r="132">
      <c r="A132" s="25" t="n">
        <v>5</v>
      </c>
      <c r="B132" s="25">
        <f>IFERROR(IF(SUMIFS(tblDaily[Admissions],tblDaily[EntryDate],DATE(2026,4,5),tblDaily[WardCode],"MAE")=0,"",SUMIFS(tblDaily[Admissions],tblDaily[EntryDate],DATE(2026,4,5),tblDaily[WardCode],"MAE")),"")</f>
        <v/>
      </c>
      <c r="C132" s="25">
        <f>IFERROR(IF(SUMIFS(tblDaily[Discharges],tblDaily[EntryDate],DATE(2026,4,5),tblDaily[WardCode],"MAE")=0,"",SUMIFS(tblDaily[Discharges],tblDaily[EntryDate],DATE(2026,4,5),tblDaily[WardCode],"MAE")),"")</f>
        <v/>
      </c>
      <c r="D132" s="25">
        <f>IFERROR(IF(SUMIFS(tblDaily[Deaths],tblDaily[EntryDate],DATE(2026,4,5),tblDaily[WardCode],"MAE")=0,"",SUMIFS(tblDaily[Deaths],tblDaily[EntryDate],DATE(2026,4,5),tblDaily[WardCode],"MAE")),"")</f>
        <v/>
      </c>
      <c r="E132" s="25">
        <f>IFERROR(IF(SUMIFS(tblDaily[DeathsUnder24Hrs],tblDaily[EntryDate],DATE(2026,4,5),tblDaily[WardCode],"MAE")=0,"",SUMIFS(tblDaily[DeathsUnder24Hrs],tblDaily[EntryDate],DATE(2026,4,5),tblDaily[WardCode],"MAE")),"")</f>
        <v/>
      </c>
      <c r="F132" s="25">
        <f>IFERROR(IF(SUMIFS(tblDaily[TransfersIn],tblDaily[EntryDate],DATE(2026,4,5),tblDaily[WardCode],"MAE")=0,"",SUMIFS(tblDaily[TransfersIn],tblDaily[EntryDate],DATE(2026,4,5),tblDaily[WardCode],"MAE")),"")</f>
        <v/>
      </c>
      <c r="G132" s="25">
        <f>IFERROR(IF(SUMIFS(tblDaily[TransfersOut],tblDaily[EntryDate],DATE(2026,4,5),tblDaily[WardCode],"MAE")=0,"",SUMIFS(tblDaily[TransfersOut],tblDaily[EntryDate],DATE(2026,4,5),tblDaily[WardCode],"MAE")),"")</f>
        <v/>
      </c>
      <c r="H132" s="25">
        <f>IFERROR(IF(SUMIFS(tblDaily[Remaining],tblDaily[EntryDate],DATE(2026,4,5),tblDaily[WardCode],"MAE")=0,"",SUMIFS(tblDaily[Remaining],tblDaily[EntryDate],DATE(2026,4,5),tblDaily[WardCode],"MAE")),"")</f>
        <v/>
      </c>
      <c r="I132" s="25">
        <f>IFERROR(IF(SUMIFS(tblDaily[Admissions],tblDaily[EntryDate],DATE(2026,4,5),tblDaily[WardCode],"FAE")=0,"",SUMIFS(tblDaily[Admissions],tblDaily[EntryDate],DATE(2026,4,5),tblDaily[WardCode],"FAE")),"")</f>
        <v/>
      </c>
      <c r="J132" s="25">
        <f>IFERROR(IF(SUMIFS(tblDaily[Discharges],tblDaily[EntryDate],DATE(2026,4,5),tblDaily[WardCode],"FAE")=0,"",SUMIFS(tblDaily[Discharges],tblDaily[EntryDate],DATE(2026,4,5),tblDaily[WardCode],"FAE")),"")</f>
        <v/>
      </c>
      <c r="K132" s="25">
        <f>IFERROR(IF(SUMIFS(tblDaily[Deaths],tblDaily[EntryDate],DATE(2026,4,5),tblDaily[WardCode],"FAE")=0,"",SUMIFS(tblDaily[Deaths],tblDaily[EntryDate],DATE(2026,4,5),tblDaily[WardCode],"FAE")),"")</f>
        <v/>
      </c>
      <c r="L132" s="25">
        <f>IFERROR(IF(SUMIFS(tblDaily[DeathsUnder24Hrs],tblDaily[EntryDate],DATE(2026,4,5),tblDaily[WardCode],"FAE")=0,"",SUMIFS(tblDaily[DeathsUnder24Hrs],tblDaily[EntryDate],DATE(2026,4,5),tblDaily[WardCode],"FAE")),"")</f>
        <v/>
      </c>
      <c r="M132" s="25">
        <f>IFERROR(IF(SUMIFS(tblDaily[TransfersIn],tblDaily[EntryDate],DATE(2026,4,5),tblDaily[WardCode],"FAE")=0,"",SUMIFS(tblDaily[TransfersIn],tblDaily[EntryDate],DATE(2026,4,5),tblDaily[WardCode],"FAE")),"")</f>
        <v/>
      </c>
      <c r="N132" s="25">
        <f>IFERROR(IF(SUMIFS(tblDaily[TransfersOut],tblDaily[EntryDate],DATE(2026,4,5),tblDaily[WardCode],"FAE")=0,"",SUMIFS(tblDaily[TransfersOut],tblDaily[EntryDate],DATE(2026,4,5),tblDaily[WardCode],"FAE")),"")</f>
        <v/>
      </c>
      <c r="O132" s="25">
        <f>IFERROR(IF(SUMIFS(tblDaily[Remaining],tblDaily[EntryDate],DATE(2026,4,5),tblDaily[WardCode],"FAE")=0,"",SUMIFS(tblDaily[Remaining],tblDaily[EntryDate],DATE(2026,4,5),tblDaily[WardCode],"FAE")),"")</f>
        <v/>
      </c>
      <c r="P132" s="26">
        <f>IF(AND(H132="", O132=""), "", N(H132) + N(O132))</f>
        <v/>
      </c>
    </row>
    <row r="133">
      <c r="A133" s="25" t="n">
        <v>6</v>
      </c>
      <c r="B133" s="25">
        <f>IFERROR(IF(SUMIFS(tblDaily[Admissions],tblDaily[EntryDate],DATE(2026,4,6),tblDaily[WardCode],"MAE")=0,"",SUMIFS(tblDaily[Admissions],tblDaily[EntryDate],DATE(2026,4,6),tblDaily[WardCode],"MAE")),"")</f>
        <v/>
      </c>
      <c r="C133" s="25">
        <f>IFERROR(IF(SUMIFS(tblDaily[Discharges],tblDaily[EntryDate],DATE(2026,4,6),tblDaily[WardCode],"MAE")=0,"",SUMIFS(tblDaily[Discharges],tblDaily[EntryDate],DATE(2026,4,6),tblDaily[WardCode],"MAE")),"")</f>
        <v/>
      </c>
      <c r="D133" s="25">
        <f>IFERROR(IF(SUMIFS(tblDaily[Deaths],tblDaily[EntryDate],DATE(2026,4,6),tblDaily[WardCode],"MAE")=0,"",SUMIFS(tblDaily[Deaths],tblDaily[EntryDate],DATE(2026,4,6),tblDaily[WardCode],"MAE")),"")</f>
        <v/>
      </c>
      <c r="E133" s="25">
        <f>IFERROR(IF(SUMIFS(tblDaily[DeathsUnder24Hrs],tblDaily[EntryDate],DATE(2026,4,6),tblDaily[WardCode],"MAE")=0,"",SUMIFS(tblDaily[DeathsUnder24Hrs],tblDaily[EntryDate],DATE(2026,4,6),tblDaily[WardCode],"MAE")),"")</f>
        <v/>
      </c>
      <c r="F133" s="25">
        <f>IFERROR(IF(SUMIFS(tblDaily[TransfersIn],tblDaily[EntryDate],DATE(2026,4,6),tblDaily[WardCode],"MAE")=0,"",SUMIFS(tblDaily[TransfersIn],tblDaily[EntryDate],DATE(2026,4,6),tblDaily[WardCode],"MAE")),"")</f>
        <v/>
      </c>
      <c r="G133" s="25">
        <f>IFERROR(IF(SUMIFS(tblDaily[TransfersOut],tblDaily[EntryDate],DATE(2026,4,6),tblDaily[WardCode],"MAE")=0,"",SUMIFS(tblDaily[TransfersOut],tblDaily[EntryDate],DATE(2026,4,6),tblDaily[WardCode],"MAE")),"")</f>
        <v/>
      </c>
      <c r="H133" s="25">
        <f>IFERROR(IF(SUMIFS(tblDaily[Remaining],tblDaily[EntryDate],DATE(2026,4,6),tblDaily[WardCode],"MAE")=0,"",SUMIFS(tblDaily[Remaining],tblDaily[EntryDate],DATE(2026,4,6),tblDaily[WardCode],"MAE")),"")</f>
        <v/>
      </c>
      <c r="I133" s="25">
        <f>IFERROR(IF(SUMIFS(tblDaily[Admissions],tblDaily[EntryDate],DATE(2026,4,6),tblDaily[WardCode],"FAE")=0,"",SUMIFS(tblDaily[Admissions],tblDaily[EntryDate],DATE(2026,4,6),tblDaily[WardCode],"FAE")),"")</f>
        <v/>
      </c>
      <c r="J133" s="25">
        <f>IFERROR(IF(SUMIFS(tblDaily[Discharges],tblDaily[EntryDate],DATE(2026,4,6),tblDaily[WardCode],"FAE")=0,"",SUMIFS(tblDaily[Discharges],tblDaily[EntryDate],DATE(2026,4,6),tblDaily[WardCode],"FAE")),"")</f>
        <v/>
      </c>
      <c r="K133" s="25">
        <f>IFERROR(IF(SUMIFS(tblDaily[Deaths],tblDaily[EntryDate],DATE(2026,4,6),tblDaily[WardCode],"FAE")=0,"",SUMIFS(tblDaily[Deaths],tblDaily[EntryDate],DATE(2026,4,6),tblDaily[WardCode],"FAE")),"")</f>
        <v/>
      </c>
      <c r="L133" s="25">
        <f>IFERROR(IF(SUMIFS(tblDaily[DeathsUnder24Hrs],tblDaily[EntryDate],DATE(2026,4,6),tblDaily[WardCode],"FAE")=0,"",SUMIFS(tblDaily[DeathsUnder24Hrs],tblDaily[EntryDate],DATE(2026,4,6),tblDaily[WardCode],"FAE")),"")</f>
        <v/>
      </c>
      <c r="M133" s="25">
        <f>IFERROR(IF(SUMIFS(tblDaily[TransfersIn],tblDaily[EntryDate],DATE(2026,4,6),tblDaily[WardCode],"FAE")=0,"",SUMIFS(tblDaily[TransfersIn],tblDaily[EntryDate],DATE(2026,4,6),tblDaily[WardCode],"FAE")),"")</f>
        <v/>
      </c>
      <c r="N133" s="25">
        <f>IFERROR(IF(SUMIFS(tblDaily[TransfersOut],tblDaily[EntryDate],DATE(2026,4,6),tblDaily[WardCode],"FAE")=0,"",SUMIFS(tblDaily[TransfersOut],tblDaily[EntryDate],DATE(2026,4,6),tblDaily[WardCode],"FAE")),"")</f>
        <v/>
      </c>
      <c r="O133" s="25">
        <f>IFERROR(IF(SUMIFS(tblDaily[Remaining],tblDaily[EntryDate],DATE(2026,4,6),tblDaily[WardCode],"FAE")=0,"",SUMIFS(tblDaily[Remaining],tblDaily[EntryDate],DATE(2026,4,6),tblDaily[WardCode],"FAE")),"")</f>
        <v/>
      </c>
      <c r="P133" s="26">
        <f>IF(AND(H133="", O133=""), "", N(H133) + N(O133))</f>
        <v/>
      </c>
    </row>
    <row r="134">
      <c r="A134" s="25" t="n">
        <v>7</v>
      </c>
      <c r="B134" s="25">
        <f>IFERROR(IF(SUMIFS(tblDaily[Admissions],tblDaily[EntryDate],DATE(2026,4,7),tblDaily[WardCode],"MAE")=0,"",SUMIFS(tblDaily[Admissions],tblDaily[EntryDate],DATE(2026,4,7),tblDaily[WardCode],"MAE")),"")</f>
        <v/>
      </c>
      <c r="C134" s="25">
        <f>IFERROR(IF(SUMIFS(tblDaily[Discharges],tblDaily[EntryDate],DATE(2026,4,7),tblDaily[WardCode],"MAE")=0,"",SUMIFS(tblDaily[Discharges],tblDaily[EntryDate],DATE(2026,4,7),tblDaily[WardCode],"MAE")),"")</f>
        <v/>
      </c>
      <c r="D134" s="25">
        <f>IFERROR(IF(SUMIFS(tblDaily[Deaths],tblDaily[EntryDate],DATE(2026,4,7),tblDaily[WardCode],"MAE")=0,"",SUMIFS(tblDaily[Deaths],tblDaily[EntryDate],DATE(2026,4,7),tblDaily[WardCode],"MAE")),"")</f>
        <v/>
      </c>
      <c r="E134" s="25">
        <f>IFERROR(IF(SUMIFS(tblDaily[DeathsUnder24Hrs],tblDaily[EntryDate],DATE(2026,4,7),tblDaily[WardCode],"MAE")=0,"",SUMIFS(tblDaily[DeathsUnder24Hrs],tblDaily[EntryDate],DATE(2026,4,7),tblDaily[WardCode],"MAE")),"")</f>
        <v/>
      </c>
      <c r="F134" s="25">
        <f>IFERROR(IF(SUMIFS(tblDaily[TransfersIn],tblDaily[EntryDate],DATE(2026,4,7),tblDaily[WardCode],"MAE")=0,"",SUMIFS(tblDaily[TransfersIn],tblDaily[EntryDate],DATE(2026,4,7),tblDaily[WardCode],"MAE")),"")</f>
        <v/>
      </c>
      <c r="G134" s="25">
        <f>IFERROR(IF(SUMIFS(tblDaily[TransfersOut],tblDaily[EntryDate],DATE(2026,4,7),tblDaily[WardCode],"MAE")=0,"",SUMIFS(tblDaily[TransfersOut],tblDaily[EntryDate],DATE(2026,4,7),tblDaily[WardCode],"MAE")),"")</f>
        <v/>
      </c>
      <c r="H134" s="25">
        <f>IFERROR(IF(SUMIFS(tblDaily[Remaining],tblDaily[EntryDate],DATE(2026,4,7),tblDaily[WardCode],"MAE")=0,"",SUMIFS(tblDaily[Remaining],tblDaily[EntryDate],DATE(2026,4,7),tblDaily[WardCode],"MAE")),"")</f>
        <v/>
      </c>
      <c r="I134" s="25">
        <f>IFERROR(IF(SUMIFS(tblDaily[Admissions],tblDaily[EntryDate],DATE(2026,4,7),tblDaily[WardCode],"FAE")=0,"",SUMIFS(tblDaily[Admissions],tblDaily[EntryDate],DATE(2026,4,7),tblDaily[WardCode],"FAE")),"")</f>
        <v/>
      </c>
      <c r="J134" s="25">
        <f>IFERROR(IF(SUMIFS(tblDaily[Discharges],tblDaily[EntryDate],DATE(2026,4,7),tblDaily[WardCode],"FAE")=0,"",SUMIFS(tblDaily[Discharges],tblDaily[EntryDate],DATE(2026,4,7),tblDaily[WardCode],"FAE")),"")</f>
        <v/>
      </c>
      <c r="K134" s="25">
        <f>IFERROR(IF(SUMIFS(tblDaily[Deaths],tblDaily[EntryDate],DATE(2026,4,7),tblDaily[WardCode],"FAE")=0,"",SUMIFS(tblDaily[Deaths],tblDaily[EntryDate],DATE(2026,4,7),tblDaily[WardCode],"FAE")),"")</f>
        <v/>
      </c>
      <c r="L134" s="25">
        <f>IFERROR(IF(SUMIFS(tblDaily[DeathsUnder24Hrs],tblDaily[EntryDate],DATE(2026,4,7),tblDaily[WardCode],"FAE")=0,"",SUMIFS(tblDaily[DeathsUnder24Hrs],tblDaily[EntryDate],DATE(2026,4,7),tblDaily[WardCode],"FAE")),"")</f>
        <v/>
      </c>
      <c r="M134" s="25">
        <f>IFERROR(IF(SUMIFS(tblDaily[TransfersIn],tblDaily[EntryDate],DATE(2026,4,7),tblDaily[WardCode],"FAE")=0,"",SUMIFS(tblDaily[TransfersIn],tblDaily[EntryDate],DATE(2026,4,7),tblDaily[WardCode],"FAE")),"")</f>
        <v/>
      </c>
      <c r="N134" s="25">
        <f>IFERROR(IF(SUMIFS(tblDaily[TransfersOut],tblDaily[EntryDate],DATE(2026,4,7),tblDaily[WardCode],"FAE")=0,"",SUMIFS(tblDaily[TransfersOut],tblDaily[EntryDate],DATE(2026,4,7),tblDaily[WardCode],"FAE")),"")</f>
        <v/>
      </c>
      <c r="O134" s="25">
        <f>IFERROR(IF(SUMIFS(tblDaily[Remaining],tblDaily[EntryDate],DATE(2026,4,7),tblDaily[WardCode],"FAE")=0,"",SUMIFS(tblDaily[Remaining],tblDaily[EntryDate],DATE(2026,4,7),tblDaily[WardCode],"FAE")),"")</f>
        <v/>
      </c>
      <c r="P134" s="26">
        <f>IF(AND(H134="", O134=""), "", N(H134) + N(O134))</f>
        <v/>
      </c>
    </row>
    <row r="135">
      <c r="A135" s="25" t="n">
        <v>8</v>
      </c>
      <c r="B135" s="25">
        <f>IFERROR(IF(SUMIFS(tblDaily[Admissions],tblDaily[EntryDate],DATE(2026,4,8),tblDaily[WardCode],"MAE")=0,"",SUMIFS(tblDaily[Admissions],tblDaily[EntryDate],DATE(2026,4,8),tblDaily[WardCode],"MAE")),"")</f>
        <v/>
      </c>
      <c r="C135" s="25">
        <f>IFERROR(IF(SUMIFS(tblDaily[Discharges],tblDaily[EntryDate],DATE(2026,4,8),tblDaily[WardCode],"MAE")=0,"",SUMIFS(tblDaily[Discharges],tblDaily[EntryDate],DATE(2026,4,8),tblDaily[WardCode],"MAE")),"")</f>
        <v/>
      </c>
      <c r="D135" s="25">
        <f>IFERROR(IF(SUMIFS(tblDaily[Deaths],tblDaily[EntryDate],DATE(2026,4,8),tblDaily[WardCode],"MAE")=0,"",SUMIFS(tblDaily[Deaths],tblDaily[EntryDate],DATE(2026,4,8),tblDaily[WardCode],"MAE")),"")</f>
        <v/>
      </c>
      <c r="E135" s="25">
        <f>IFERROR(IF(SUMIFS(tblDaily[DeathsUnder24Hrs],tblDaily[EntryDate],DATE(2026,4,8),tblDaily[WardCode],"MAE")=0,"",SUMIFS(tblDaily[DeathsUnder24Hrs],tblDaily[EntryDate],DATE(2026,4,8),tblDaily[WardCode],"MAE")),"")</f>
        <v/>
      </c>
      <c r="F135" s="25">
        <f>IFERROR(IF(SUMIFS(tblDaily[TransfersIn],tblDaily[EntryDate],DATE(2026,4,8),tblDaily[WardCode],"MAE")=0,"",SUMIFS(tblDaily[TransfersIn],tblDaily[EntryDate],DATE(2026,4,8),tblDaily[WardCode],"MAE")),"")</f>
        <v/>
      </c>
      <c r="G135" s="25">
        <f>IFERROR(IF(SUMIFS(tblDaily[TransfersOut],tblDaily[EntryDate],DATE(2026,4,8),tblDaily[WardCode],"MAE")=0,"",SUMIFS(tblDaily[TransfersOut],tblDaily[EntryDate],DATE(2026,4,8),tblDaily[WardCode],"MAE")),"")</f>
        <v/>
      </c>
      <c r="H135" s="25">
        <f>IFERROR(IF(SUMIFS(tblDaily[Remaining],tblDaily[EntryDate],DATE(2026,4,8),tblDaily[WardCode],"MAE")=0,"",SUMIFS(tblDaily[Remaining],tblDaily[EntryDate],DATE(2026,4,8),tblDaily[WardCode],"MAE")),"")</f>
        <v/>
      </c>
      <c r="I135" s="25">
        <f>IFERROR(IF(SUMIFS(tblDaily[Admissions],tblDaily[EntryDate],DATE(2026,4,8),tblDaily[WardCode],"FAE")=0,"",SUMIFS(tblDaily[Admissions],tblDaily[EntryDate],DATE(2026,4,8),tblDaily[WardCode],"FAE")),"")</f>
        <v/>
      </c>
      <c r="J135" s="25">
        <f>IFERROR(IF(SUMIFS(tblDaily[Discharges],tblDaily[EntryDate],DATE(2026,4,8),tblDaily[WardCode],"FAE")=0,"",SUMIFS(tblDaily[Discharges],tblDaily[EntryDate],DATE(2026,4,8),tblDaily[WardCode],"FAE")),"")</f>
        <v/>
      </c>
      <c r="K135" s="25">
        <f>IFERROR(IF(SUMIFS(tblDaily[Deaths],tblDaily[EntryDate],DATE(2026,4,8),tblDaily[WardCode],"FAE")=0,"",SUMIFS(tblDaily[Deaths],tblDaily[EntryDate],DATE(2026,4,8),tblDaily[WardCode],"FAE")),"")</f>
        <v/>
      </c>
      <c r="L135" s="25">
        <f>IFERROR(IF(SUMIFS(tblDaily[DeathsUnder24Hrs],tblDaily[EntryDate],DATE(2026,4,8),tblDaily[WardCode],"FAE")=0,"",SUMIFS(tblDaily[DeathsUnder24Hrs],tblDaily[EntryDate],DATE(2026,4,8),tblDaily[WardCode],"FAE")),"")</f>
        <v/>
      </c>
      <c r="M135" s="25">
        <f>IFERROR(IF(SUMIFS(tblDaily[TransfersIn],tblDaily[EntryDate],DATE(2026,4,8),tblDaily[WardCode],"FAE")=0,"",SUMIFS(tblDaily[TransfersIn],tblDaily[EntryDate],DATE(2026,4,8),tblDaily[WardCode],"FAE")),"")</f>
        <v/>
      </c>
      <c r="N135" s="25">
        <f>IFERROR(IF(SUMIFS(tblDaily[TransfersOut],tblDaily[EntryDate],DATE(2026,4,8),tblDaily[WardCode],"FAE")=0,"",SUMIFS(tblDaily[TransfersOut],tblDaily[EntryDate],DATE(2026,4,8),tblDaily[WardCode],"FAE")),"")</f>
        <v/>
      </c>
      <c r="O135" s="25">
        <f>IFERROR(IF(SUMIFS(tblDaily[Remaining],tblDaily[EntryDate],DATE(2026,4,8),tblDaily[WardCode],"FAE")=0,"",SUMIFS(tblDaily[Remaining],tblDaily[EntryDate],DATE(2026,4,8),tblDaily[WardCode],"FAE")),"")</f>
        <v/>
      </c>
      <c r="P135" s="26">
        <f>IF(AND(H135="", O135=""), "", N(H135) + N(O135))</f>
        <v/>
      </c>
    </row>
    <row r="136">
      <c r="A136" s="25" t="n">
        <v>9</v>
      </c>
      <c r="B136" s="25">
        <f>IFERROR(IF(SUMIFS(tblDaily[Admissions],tblDaily[EntryDate],DATE(2026,4,9),tblDaily[WardCode],"MAE")=0,"",SUMIFS(tblDaily[Admissions],tblDaily[EntryDate],DATE(2026,4,9),tblDaily[WardCode],"MAE")),"")</f>
        <v/>
      </c>
      <c r="C136" s="25">
        <f>IFERROR(IF(SUMIFS(tblDaily[Discharges],tblDaily[EntryDate],DATE(2026,4,9),tblDaily[WardCode],"MAE")=0,"",SUMIFS(tblDaily[Discharges],tblDaily[EntryDate],DATE(2026,4,9),tblDaily[WardCode],"MAE")),"")</f>
        <v/>
      </c>
      <c r="D136" s="25">
        <f>IFERROR(IF(SUMIFS(tblDaily[Deaths],tblDaily[EntryDate],DATE(2026,4,9),tblDaily[WardCode],"MAE")=0,"",SUMIFS(tblDaily[Deaths],tblDaily[EntryDate],DATE(2026,4,9),tblDaily[WardCode],"MAE")),"")</f>
        <v/>
      </c>
      <c r="E136" s="25">
        <f>IFERROR(IF(SUMIFS(tblDaily[DeathsUnder24Hrs],tblDaily[EntryDate],DATE(2026,4,9),tblDaily[WardCode],"MAE")=0,"",SUMIFS(tblDaily[DeathsUnder24Hrs],tblDaily[EntryDate],DATE(2026,4,9),tblDaily[WardCode],"MAE")),"")</f>
        <v/>
      </c>
      <c r="F136" s="25">
        <f>IFERROR(IF(SUMIFS(tblDaily[TransfersIn],tblDaily[EntryDate],DATE(2026,4,9),tblDaily[WardCode],"MAE")=0,"",SUMIFS(tblDaily[TransfersIn],tblDaily[EntryDate],DATE(2026,4,9),tblDaily[WardCode],"MAE")),"")</f>
        <v/>
      </c>
      <c r="G136" s="25">
        <f>IFERROR(IF(SUMIFS(tblDaily[TransfersOut],tblDaily[EntryDate],DATE(2026,4,9),tblDaily[WardCode],"MAE")=0,"",SUMIFS(tblDaily[TransfersOut],tblDaily[EntryDate],DATE(2026,4,9),tblDaily[WardCode],"MAE")),"")</f>
        <v/>
      </c>
      <c r="H136" s="25">
        <f>IFERROR(IF(SUMIFS(tblDaily[Remaining],tblDaily[EntryDate],DATE(2026,4,9),tblDaily[WardCode],"MAE")=0,"",SUMIFS(tblDaily[Remaining],tblDaily[EntryDate],DATE(2026,4,9),tblDaily[WardCode],"MAE")),"")</f>
        <v/>
      </c>
      <c r="I136" s="25">
        <f>IFERROR(IF(SUMIFS(tblDaily[Admissions],tblDaily[EntryDate],DATE(2026,4,9),tblDaily[WardCode],"FAE")=0,"",SUMIFS(tblDaily[Admissions],tblDaily[EntryDate],DATE(2026,4,9),tblDaily[WardCode],"FAE")),"")</f>
        <v/>
      </c>
      <c r="J136" s="25">
        <f>IFERROR(IF(SUMIFS(tblDaily[Discharges],tblDaily[EntryDate],DATE(2026,4,9),tblDaily[WardCode],"FAE")=0,"",SUMIFS(tblDaily[Discharges],tblDaily[EntryDate],DATE(2026,4,9),tblDaily[WardCode],"FAE")),"")</f>
        <v/>
      </c>
      <c r="K136" s="25">
        <f>IFERROR(IF(SUMIFS(tblDaily[Deaths],tblDaily[EntryDate],DATE(2026,4,9),tblDaily[WardCode],"FAE")=0,"",SUMIFS(tblDaily[Deaths],tblDaily[EntryDate],DATE(2026,4,9),tblDaily[WardCode],"FAE")),"")</f>
        <v/>
      </c>
      <c r="L136" s="25">
        <f>IFERROR(IF(SUMIFS(tblDaily[DeathsUnder24Hrs],tblDaily[EntryDate],DATE(2026,4,9),tblDaily[WardCode],"FAE")=0,"",SUMIFS(tblDaily[DeathsUnder24Hrs],tblDaily[EntryDate],DATE(2026,4,9),tblDaily[WardCode],"FAE")),"")</f>
        <v/>
      </c>
      <c r="M136" s="25">
        <f>IFERROR(IF(SUMIFS(tblDaily[TransfersIn],tblDaily[EntryDate],DATE(2026,4,9),tblDaily[WardCode],"FAE")=0,"",SUMIFS(tblDaily[TransfersIn],tblDaily[EntryDate],DATE(2026,4,9),tblDaily[WardCode],"FAE")),"")</f>
        <v/>
      </c>
      <c r="N136" s="25">
        <f>IFERROR(IF(SUMIFS(tblDaily[TransfersOut],tblDaily[EntryDate],DATE(2026,4,9),tblDaily[WardCode],"FAE")=0,"",SUMIFS(tblDaily[TransfersOut],tblDaily[EntryDate],DATE(2026,4,9),tblDaily[WardCode],"FAE")),"")</f>
        <v/>
      </c>
      <c r="O136" s="25">
        <f>IFERROR(IF(SUMIFS(tblDaily[Remaining],tblDaily[EntryDate],DATE(2026,4,9),tblDaily[WardCode],"FAE")=0,"",SUMIFS(tblDaily[Remaining],tblDaily[EntryDate],DATE(2026,4,9),tblDaily[WardCode],"FAE")),"")</f>
        <v/>
      </c>
      <c r="P136" s="26">
        <f>IF(AND(H136="", O136=""), "", N(H136) + N(O136))</f>
        <v/>
      </c>
    </row>
    <row r="137">
      <c r="A137" s="25" t="n">
        <v>10</v>
      </c>
      <c r="B137" s="25">
        <f>IFERROR(IF(SUMIFS(tblDaily[Admissions],tblDaily[EntryDate],DATE(2026,4,10),tblDaily[WardCode],"MAE")=0,"",SUMIFS(tblDaily[Admissions],tblDaily[EntryDate],DATE(2026,4,10),tblDaily[WardCode],"MAE")),"")</f>
        <v/>
      </c>
      <c r="C137" s="25">
        <f>IFERROR(IF(SUMIFS(tblDaily[Discharges],tblDaily[EntryDate],DATE(2026,4,10),tblDaily[WardCode],"MAE")=0,"",SUMIFS(tblDaily[Discharges],tblDaily[EntryDate],DATE(2026,4,10),tblDaily[WardCode],"MAE")),"")</f>
        <v/>
      </c>
      <c r="D137" s="25">
        <f>IFERROR(IF(SUMIFS(tblDaily[Deaths],tblDaily[EntryDate],DATE(2026,4,10),tblDaily[WardCode],"MAE")=0,"",SUMIFS(tblDaily[Deaths],tblDaily[EntryDate],DATE(2026,4,10),tblDaily[WardCode],"MAE")),"")</f>
        <v/>
      </c>
      <c r="E137" s="25">
        <f>IFERROR(IF(SUMIFS(tblDaily[DeathsUnder24Hrs],tblDaily[EntryDate],DATE(2026,4,10),tblDaily[WardCode],"MAE")=0,"",SUMIFS(tblDaily[DeathsUnder24Hrs],tblDaily[EntryDate],DATE(2026,4,10),tblDaily[WardCode],"MAE")),"")</f>
        <v/>
      </c>
      <c r="F137" s="25">
        <f>IFERROR(IF(SUMIFS(tblDaily[TransfersIn],tblDaily[EntryDate],DATE(2026,4,10),tblDaily[WardCode],"MAE")=0,"",SUMIFS(tblDaily[TransfersIn],tblDaily[EntryDate],DATE(2026,4,10),tblDaily[WardCode],"MAE")),"")</f>
        <v/>
      </c>
      <c r="G137" s="25">
        <f>IFERROR(IF(SUMIFS(tblDaily[TransfersOut],tblDaily[EntryDate],DATE(2026,4,10),tblDaily[WardCode],"MAE")=0,"",SUMIFS(tblDaily[TransfersOut],tblDaily[EntryDate],DATE(2026,4,10),tblDaily[WardCode],"MAE")),"")</f>
        <v/>
      </c>
      <c r="H137" s="25">
        <f>IFERROR(IF(SUMIFS(tblDaily[Remaining],tblDaily[EntryDate],DATE(2026,4,10),tblDaily[WardCode],"MAE")=0,"",SUMIFS(tblDaily[Remaining],tblDaily[EntryDate],DATE(2026,4,10),tblDaily[WardCode],"MAE")),"")</f>
        <v/>
      </c>
      <c r="I137" s="25">
        <f>IFERROR(IF(SUMIFS(tblDaily[Admissions],tblDaily[EntryDate],DATE(2026,4,10),tblDaily[WardCode],"FAE")=0,"",SUMIFS(tblDaily[Admissions],tblDaily[EntryDate],DATE(2026,4,10),tblDaily[WardCode],"FAE")),"")</f>
        <v/>
      </c>
      <c r="J137" s="25">
        <f>IFERROR(IF(SUMIFS(tblDaily[Discharges],tblDaily[EntryDate],DATE(2026,4,10),tblDaily[WardCode],"FAE")=0,"",SUMIFS(tblDaily[Discharges],tblDaily[EntryDate],DATE(2026,4,10),tblDaily[WardCode],"FAE")),"")</f>
        <v/>
      </c>
      <c r="K137" s="25">
        <f>IFERROR(IF(SUMIFS(tblDaily[Deaths],tblDaily[EntryDate],DATE(2026,4,10),tblDaily[WardCode],"FAE")=0,"",SUMIFS(tblDaily[Deaths],tblDaily[EntryDate],DATE(2026,4,10),tblDaily[WardCode],"FAE")),"")</f>
        <v/>
      </c>
      <c r="L137" s="25">
        <f>IFERROR(IF(SUMIFS(tblDaily[DeathsUnder24Hrs],tblDaily[EntryDate],DATE(2026,4,10),tblDaily[WardCode],"FAE")=0,"",SUMIFS(tblDaily[DeathsUnder24Hrs],tblDaily[EntryDate],DATE(2026,4,10),tblDaily[WardCode],"FAE")),"")</f>
        <v/>
      </c>
      <c r="M137" s="25">
        <f>IFERROR(IF(SUMIFS(tblDaily[TransfersIn],tblDaily[EntryDate],DATE(2026,4,10),tblDaily[WardCode],"FAE")=0,"",SUMIFS(tblDaily[TransfersIn],tblDaily[EntryDate],DATE(2026,4,10),tblDaily[WardCode],"FAE")),"")</f>
        <v/>
      </c>
      <c r="N137" s="25">
        <f>IFERROR(IF(SUMIFS(tblDaily[TransfersOut],tblDaily[EntryDate],DATE(2026,4,10),tblDaily[WardCode],"FAE")=0,"",SUMIFS(tblDaily[TransfersOut],tblDaily[EntryDate],DATE(2026,4,10),tblDaily[WardCode],"FAE")),"")</f>
        <v/>
      </c>
      <c r="O137" s="25">
        <f>IFERROR(IF(SUMIFS(tblDaily[Remaining],tblDaily[EntryDate],DATE(2026,4,10),tblDaily[WardCode],"FAE")=0,"",SUMIFS(tblDaily[Remaining],tblDaily[EntryDate],DATE(2026,4,10),tblDaily[WardCode],"FAE")),"")</f>
        <v/>
      </c>
      <c r="P137" s="26">
        <f>IF(AND(H137="", O137=""), "", N(H137) + N(O137))</f>
        <v/>
      </c>
    </row>
    <row r="138">
      <c r="A138" s="25" t="n">
        <v>11</v>
      </c>
      <c r="B138" s="25">
        <f>IFERROR(IF(SUMIFS(tblDaily[Admissions],tblDaily[EntryDate],DATE(2026,4,11),tblDaily[WardCode],"MAE")=0,"",SUMIFS(tblDaily[Admissions],tblDaily[EntryDate],DATE(2026,4,11),tblDaily[WardCode],"MAE")),"")</f>
        <v/>
      </c>
      <c r="C138" s="25">
        <f>IFERROR(IF(SUMIFS(tblDaily[Discharges],tblDaily[EntryDate],DATE(2026,4,11),tblDaily[WardCode],"MAE")=0,"",SUMIFS(tblDaily[Discharges],tblDaily[EntryDate],DATE(2026,4,11),tblDaily[WardCode],"MAE")),"")</f>
        <v/>
      </c>
      <c r="D138" s="25">
        <f>IFERROR(IF(SUMIFS(tblDaily[Deaths],tblDaily[EntryDate],DATE(2026,4,11),tblDaily[WardCode],"MAE")=0,"",SUMIFS(tblDaily[Deaths],tblDaily[EntryDate],DATE(2026,4,11),tblDaily[WardCode],"MAE")),"")</f>
        <v/>
      </c>
      <c r="E138" s="25">
        <f>IFERROR(IF(SUMIFS(tblDaily[DeathsUnder24Hrs],tblDaily[EntryDate],DATE(2026,4,11),tblDaily[WardCode],"MAE")=0,"",SUMIFS(tblDaily[DeathsUnder24Hrs],tblDaily[EntryDate],DATE(2026,4,11),tblDaily[WardCode],"MAE")),"")</f>
        <v/>
      </c>
      <c r="F138" s="25">
        <f>IFERROR(IF(SUMIFS(tblDaily[TransfersIn],tblDaily[EntryDate],DATE(2026,4,11),tblDaily[WardCode],"MAE")=0,"",SUMIFS(tblDaily[TransfersIn],tblDaily[EntryDate],DATE(2026,4,11),tblDaily[WardCode],"MAE")),"")</f>
        <v/>
      </c>
      <c r="G138" s="25">
        <f>IFERROR(IF(SUMIFS(tblDaily[TransfersOut],tblDaily[EntryDate],DATE(2026,4,11),tblDaily[WardCode],"MAE")=0,"",SUMIFS(tblDaily[TransfersOut],tblDaily[EntryDate],DATE(2026,4,11),tblDaily[WardCode],"MAE")),"")</f>
        <v/>
      </c>
      <c r="H138" s="25">
        <f>IFERROR(IF(SUMIFS(tblDaily[Remaining],tblDaily[EntryDate],DATE(2026,4,11),tblDaily[WardCode],"MAE")=0,"",SUMIFS(tblDaily[Remaining],tblDaily[EntryDate],DATE(2026,4,11),tblDaily[WardCode],"MAE")),"")</f>
        <v/>
      </c>
      <c r="I138" s="25">
        <f>IFERROR(IF(SUMIFS(tblDaily[Admissions],tblDaily[EntryDate],DATE(2026,4,11),tblDaily[WardCode],"FAE")=0,"",SUMIFS(tblDaily[Admissions],tblDaily[EntryDate],DATE(2026,4,11),tblDaily[WardCode],"FAE")),"")</f>
        <v/>
      </c>
      <c r="J138" s="25">
        <f>IFERROR(IF(SUMIFS(tblDaily[Discharges],tblDaily[EntryDate],DATE(2026,4,11),tblDaily[WardCode],"FAE")=0,"",SUMIFS(tblDaily[Discharges],tblDaily[EntryDate],DATE(2026,4,11),tblDaily[WardCode],"FAE")),"")</f>
        <v/>
      </c>
      <c r="K138" s="25">
        <f>IFERROR(IF(SUMIFS(tblDaily[Deaths],tblDaily[EntryDate],DATE(2026,4,11),tblDaily[WardCode],"FAE")=0,"",SUMIFS(tblDaily[Deaths],tblDaily[EntryDate],DATE(2026,4,11),tblDaily[WardCode],"FAE")),"")</f>
        <v/>
      </c>
      <c r="L138" s="25">
        <f>IFERROR(IF(SUMIFS(tblDaily[DeathsUnder24Hrs],tblDaily[EntryDate],DATE(2026,4,11),tblDaily[WardCode],"FAE")=0,"",SUMIFS(tblDaily[DeathsUnder24Hrs],tblDaily[EntryDate],DATE(2026,4,11),tblDaily[WardCode],"FAE")),"")</f>
        <v/>
      </c>
      <c r="M138" s="25">
        <f>IFERROR(IF(SUMIFS(tblDaily[TransfersIn],tblDaily[EntryDate],DATE(2026,4,11),tblDaily[WardCode],"FAE")=0,"",SUMIFS(tblDaily[TransfersIn],tblDaily[EntryDate],DATE(2026,4,11),tblDaily[WardCode],"FAE")),"")</f>
        <v/>
      </c>
      <c r="N138" s="25">
        <f>IFERROR(IF(SUMIFS(tblDaily[TransfersOut],tblDaily[EntryDate],DATE(2026,4,11),tblDaily[WardCode],"FAE")=0,"",SUMIFS(tblDaily[TransfersOut],tblDaily[EntryDate],DATE(2026,4,11),tblDaily[WardCode],"FAE")),"")</f>
        <v/>
      </c>
      <c r="O138" s="25">
        <f>IFERROR(IF(SUMIFS(tblDaily[Remaining],tblDaily[EntryDate],DATE(2026,4,11),tblDaily[WardCode],"FAE")=0,"",SUMIFS(tblDaily[Remaining],tblDaily[EntryDate],DATE(2026,4,11),tblDaily[WardCode],"FAE")),"")</f>
        <v/>
      </c>
      <c r="P138" s="26">
        <f>IF(AND(H138="", O138=""), "", N(H138) + N(O138))</f>
        <v/>
      </c>
    </row>
    <row r="139">
      <c r="A139" s="25" t="n">
        <v>12</v>
      </c>
      <c r="B139" s="25">
        <f>IFERROR(IF(SUMIFS(tblDaily[Admissions],tblDaily[EntryDate],DATE(2026,4,12),tblDaily[WardCode],"MAE")=0,"",SUMIFS(tblDaily[Admissions],tblDaily[EntryDate],DATE(2026,4,12),tblDaily[WardCode],"MAE")),"")</f>
        <v/>
      </c>
      <c r="C139" s="25">
        <f>IFERROR(IF(SUMIFS(tblDaily[Discharges],tblDaily[EntryDate],DATE(2026,4,12),tblDaily[WardCode],"MAE")=0,"",SUMIFS(tblDaily[Discharges],tblDaily[EntryDate],DATE(2026,4,12),tblDaily[WardCode],"MAE")),"")</f>
        <v/>
      </c>
      <c r="D139" s="25">
        <f>IFERROR(IF(SUMIFS(tblDaily[Deaths],tblDaily[EntryDate],DATE(2026,4,12),tblDaily[WardCode],"MAE")=0,"",SUMIFS(tblDaily[Deaths],tblDaily[EntryDate],DATE(2026,4,12),tblDaily[WardCode],"MAE")),"")</f>
        <v/>
      </c>
      <c r="E139" s="25">
        <f>IFERROR(IF(SUMIFS(tblDaily[DeathsUnder24Hrs],tblDaily[EntryDate],DATE(2026,4,12),tblDaily[WardCode],"MAE")=0,"",SUMIFS(tblDaily[DeathsUnder24Hrs],tblDaily[EntryDate],DATE(2026,4,12),tblDaily[WardCode],"MAE")),"")</f>
        <v/>
      </c>
      <c r="F139" s="25">
        <f>IFERROR(IF(SUMIFS(tblDaily[TransfersIn],tblDaily[EntryDate],DATE(2026,4,12),tblDaily[WardCode],"MAE")=0,"",SUMIFS(tblDaily[TransfersIn],tblDaily[EntryDate],DATE(2026,4,12),tblDaily[WardCode],"MAE")),"")</f>
        <v/>
      </c>
      <c r="G139" s="25">
        <f>IFERROR(IF(SUMIFS(tblDaily[TransfersOut],tblDaily[EntryDate],DATE(2026,4,12),tblDaily[WardCode],"MAE")=0,"",SUMIFS(tblDaily[TransfersOut],tblDaily[EntryDate],DATE(2026,4,12),tblDaily[WardCode],"MAE")),"")</f>
        <v/>
      </c>
      <c r="H139" s="25">
        <f>IFERROR(IF(SUMIFS(tblDaily[Remaining],tblDaily[EntryDate],DATE(2026,4,12),tblDaily[WardCode],"MAE")=0,"",SUMIFS(tblDaily[Remaining],tblDaily[EntryDate],DATE(2026,4,12),tblDaily[WardCode],"MAE")),"")</f>
        <v/>
      </c>
      <c r="I139" s="25">
        <f>IFERROR(IF(SUMIFS(tblDaily[Admissions],tblDaily[EntryDate],DATE(2026,4,12),tblDaily[WardCode],"FAE")=0,"",SUMIFS(tblDaily[Admissions],tblDaily[EntryDate],DATE(2026,4,12),tblDaily[WardCode],"FAE")),"")</f>
        <v/>
      </c>
      <c r="J139" s="25">
        <f>IFERROR(IF(SUMIFS(tblDaily[Discharges],tblDaily[EntryDate],DATE(2026,4,12),tblDaily[WardCode],"FAE")=0,"",SUMIFS(tblDaily[Discharges],tblDaily[EntryDate],DATE(2026,4,12),tblDaily[WardCode],"FAE")),"")</f>
        <v/>
      </c>
      <c r="K139" s="25">
        <f>IFERROR(IF(SUMIFS(tblDaily[Deaths],tblDaily[EntryDate],DATE(2026,4,12),tblDaily[WardCode],"FAE")=0,"",SUMIFS(tblDaily[Deaths],tblDaily[EntryDate],DATE(2026,4,12),tblDaily[WardCode],"FAE")),"")</f>
        <v/>
      </c>
      <c r="L139" s="25">
        <f>IFERROR(IF(SUMIFS(tblDaily[DeathsUnder24Hrs],tblDaily[EntryDate],DATE(2026,4,12),tblDaily[WardCode],"FAE")=0,"",SUMIFS(tblDaily[DeathsUnder24Hrs],tblDaily[EntryDate],DATE(2026,4,12),tblDaily[WardCode],"FAE")),"")</f>
        <v/>
      </c>
      <c r="M139" s="25">
        <f>IFERROR(IF(SUMIFS(tblDaily[TransfersIn],tblDaily[EntryDate],DATE(2026,4,12),tblDaily[WardCode],"FAE")=0,"",SUMIFS(tblDaily[TransfersIn],tblDaily[EntryDate],DATE(2026,4,12),tblDaily[WardCode],"FAE")),"")</f>
        <v/>
      </c>
      <c r="N139" s="25">
        <f>IFERROR(IF(SUMIFS(tblDaily[TransfersOut],tblDaily[EntryDate],DATE(2026,4,12),tblDaily[WardCode],"FAE")=0,"",SUMIFS(tblDaily[TransfersOut],tblDaily[EntryDate],DATE(2026,4,12),tblDaily[WardCode],"FAE")),"")</f>
        <v/>
      </c>
      <c r="O139" s="25">
        <f>IFERROR(IF(SUMIFS(tblDaily[Remaining],tblDaily[EntryDate],DATE(2026,4,12),tblDaily[WardCode],"FAE")=0,"",SUMIFS(tblDaily[Remaining],tblDaily[EntryDate],DATE(2026,4,12),tblDaily[WardCode],"FAE")),"")</f>
        <v/>
      </c>
      <c r="P139" s="26">
        <f>IF(AND(H139="", O139=""), "", N(H139) + N(O139))</f>
        <v/>
      </c>
    </row>
    <row r="140">
      <c r="A140" s="25" t="n">
        <v>13</v>
      </c>
      <c r="B140" s="25">
        <f>IFERROR(IF(SUMIFS(tblDaily[Admissions],tblDaily[EntryDate],DATE(2026,4,13),tblDaily[WardCode],"MAE")=0,"",SUMIFS(tblDaily[Admissions],tblDaily[EntryDate],DATE(2026,4,13),tblDaily[WardCode],"MAE")),"")</f>
        <v/>
      </c>
      <c r="C140" s="25">
        <f>IFERROR(IF(SUMIFS(tblDaily[Discharges],tblDaily[EntryDate],DATE(2026,4,13),tblDaily[WardCode],"MAE")=0,"",SUMIFS(tblDaily[Discharges],tblDaily[EntryDate],DATE(2026,4,13),tblDaily[WardCode],"MAE")),"")</f>
        <v/>
      </c>
      <c r="D140" s="25">
        <f>IFERROR(IF(SUMIFS(tblDaily[Deaths],tblDaily[EntryDate],DATE(2026,4,13),tblDaily[WardCode],"MAE")=0,"",SUMIFS(tblDaily[Deaths],tblDaily[EntryDate],DATE(2026,4,13),tblDaily[WardCode],"MAE")),"")</f>
        <v/>
      </c>
      <c r="E140" s="25">
        <f>IFERROR(IF(SUMIFS(tblDaily[DeathsUnder24Hrs],tblDaily[EntryDate],DATE(2026,4,13),tblDaily[WardCode],"MAE")=0,"",SUMIFS(tblDaily[DeathsUnder24Hrs],tblDaily[EntryDate],DATE(2026,4,13),tblDaily[WardCode],"MAE")),"")</f>
        <v/>
      </c>
      <c r="F140" s="25">
        <f>IFERROR(IF(SUMIFS(tblDaily[TransfersIn],tblDaily[EntryDate],DATE(2026,4,13),tblDaily[WardCode],"MAE")=0,"",SUMIFS(tblDaily[TransfersIn],tblDaily[EntryDate],DATE(2026,4,13),tblDaily[WardCode],"MAE")),"")</f>
        <v/>
      </c>
      <c r="G140" s="25">
        <f>IFERROR(IF(SUMIFS(tblDaily[TransfersOut],tblDaily[EntryDate],DATE(2026,4,13),tblDaily[WardCode],"MAE")=0,"",SUMIFS(tblDaily[TransfersOut],tblDaily[EntryDate],DATE(2026,4,13),tblDaily[WardCode],"MAE")),"")</f>
        <v/>
      </c>
      <c r="H140" s="25">
        <f>IFERROR(IF(SUMIFS(tblDaily[Remaining],tblDaily[EntryDate],DATE(2026,4,13),tblDaily[WardCode],"MAE")=0,"",SUMIFS(tblDaily[Remaining],tblDaily[EntryDate],DATE(2026,4,13),tblDaily[WardCode],"MAE")),"")</f>
        <v/>
      </c>
      <c r="I140" s="25">
        <f>IFERROR(IF(SUMIFS(tblDaily[Admissions],tblDaily[EntryDate],DATE(2026,4,13),tblDaily[WardCode],"FAE")=0,"",SUMIFS(tblDaily[Admissions],tblDaily[EntryDate],DATE(2026,4,13),tblDaily[WardCode],"FAE")),"")</f>
        <v/>
      </c>
      <c r="J140" s="25">
        <f>IFERROR(IF(SUMIFS(tblDaily[Discharges],tblDaily[EntryDate],DATE(2026,4,13),tblDaily[WardCode],"FAE")=0,"",SUMIFS(tblDaily[Discharges],tblDaily[EntryDate],DATE(2026,4,13),tblDaily[WardCode],"FAE")),"")</f>
        <v/>
      </c>
      <c r="K140" s="25">
        <f>IFERROR(IF(SUMIFS(tblDaily[Deaths],tblDaily[EntryDate],DATE(2026,4,13),tblDaily[WardCode],"FAE")=0,"",SUMIFS(tblDaily[Deaths],tblDaily[EntryDate],DATE(2026,4,13),tblDaily[WardCode],"FAE")),"")</f>
        <v/>
      </c>
      <c r="L140" s="25">
        <f>IFERROR(IF(SUMIFS(tblDaily[DeathsUnder24Hrs],tblDaily[EntryDate],DATE(2026,4,13),tblDaily[WardCode],"FAE")=0,"",SUMIFS(tblDaily[DeathsUnder24Hrs],tblDaily[EntryDate],DATE(2026,4,13),tblDaily[WardCode],"FAE")),"")</f>
        <v/>
      </c>
      <c r="M140" s="25">
        <f>IFERROR(IF(SUMIFS(tblDaily[TransfersIn],tblDaily[EntryDate],DATE(2026,4,13),tblDaily[WardCode],"FAE")=0,"",SUMIFS(tblDaily[TransfersIn],tblDaily[EntryDate],DATE(2026,4,13),tblDaily[WardCode],"FAE")),"")</f>
        <v/>
      </c>
      <c r="N140" s="25">
        <f>IFERROR(IF(SUMIFS(tblDaily[TransfersOut],tblDaily[EntryDate],DATE(2026,4,13),tblDaily[WardCode],"FAE")=0,"",SUMIFS(tblDaily[TransfersOut],tblDaily[EntryDate],DATE(2026,4,13),tblDaily[WardCode],"FAE")),"")</f>
        <v/>
      </c>
      <c r="O140" s="25">
        <f>IFERROR(IF(SUMIFS(tblDaily[Remaining],tblDaily[EntryDate],DATE(2026,4,13),tblDaily[WardCode],"FAE")=0,"",SUMIFS(tblDaily[Remaining],tblDaily[EntryDate],DATE(2026,4,13),tblDaily[WardCode],"FAE")),"")</f>
        <v/>
      </c>
      <c r="P140" s="26">
        <f>IF(AND(H140="", O140=""), "", N(H140) + N(O140))</f>
        <v/>
      </c>
    </row>
    <row r="141">
      <c r="A141" s="25" t="n">
        <v>14</v>
      </c>
      <c r="B141" s="25">
        <f>IFERROR(IF(SUMIFS(tblDaily[Admissions],tblDaily[EntryDate],DATE(2026,4,14),tblDaily[WardCode],"MAE")=0,"",SUMIFS(tblDaily[Admissions],tblDaily[EntryDate],DATE(2026,4,14),tblDaily[WardCode],"MAE")),"")</f>
        <v/>
      </c>
      <c r="C141" s="25">
        <f>IFERROR(IF(SUMIFS(tblDaily[Discharges],tblDaily[EntryDate],DATE(2026,4,14),tblDaily[WardCode],"MAE")=0,"",SUMIFS(tblDaily[Discharges],tblDaily[EntryDate],DATE(2026,4,14),tblDaily[WardCode],"MAE")),"")</f>
        <v/>
      </c>
      <c r="D141" s="25">
        <f>IFERROR(IF(SUMIFS(tblDaily[Deaths],tblDaily[EntryDate],DATE(2026,4,14),tblDaily[WardCode],"MAE")=0,"",SUMIFS(tblDaily[Deaths],tblDaily[EntryDate],DATE(2026,4,14),tblDaily[WardCode],"MAE")),"")</f>
        <v/>
      </c>
      <c r="E141" s="25">
        <f>IFERROR(IF(SUMIFS(tblDaily[DeathsUnder24Hrs],tblDaily[EntryDate],DATE(2026,4,14),tblDaily[WardCode],"MAE")=0,"",SUMIFS(tblDaily[DeathsUnder24Hrs],tblDaily[EntryDate],DATE(2026,4,14),tblDaily[WardCode],"MAE")),"")</f>
        <v/>
      </c>
      <c r="F141" s="25">
        <f>IFERROR(IF(SUMIFS(tblDaily[TransfersIn],tblDaily[EntryDate],DATE(2026,4,14),tblDaily[WardCode],"MAE")=0,"",SUMIFS(tblDaily[TransfersIn],tblDaily[EntryDate],DATE(2026,4,14),tblDaily[WardCode],"MAE")),"")</f>
        <v/>
      </c>
      <c r="G141" s="25">
        <f>IFERROR(IF(SUMIFS(tblDaily[TransfersOut],tblDaily[EntryDate],DATE(2026,4,14),tblDaily[WardCode],"MAE")=0,"",SUMIFS(tblDaily[TransfersOut],tblDaily[EntryDate],DATE(2026,4,14),tblDaily[WardCode],"MAE")),"")</f>
        <v/>
      </c>
      <c r="H141" s="25">
        <f>IFERROR(IF(SUMIFS(tblDaily[Remaining],tblDaily[EntryDate],DATE(2026,4,14),tblDaily[WardCode],"MAE")=0,"",SUMIFS(tblDaily[Remaining],tblDaily[EntryDate],DATE(2026,4,14),tblDaily[WardCode],"MAE")),"")</f>
        <v/>
      </c>
      <c r="I141" s="25">
        <f>IFERROR(IF(SUMIFS(tblDaily[Admissions],tblDaily[EntryDate],DATE(2026,4,14),tblDaily[WardCode],"FAE")=0,"",SUMIFS(tblDaily[Admissions],tblDaily[EntryDate],DATE(2026,4,14),tblDaily[WardCode],"FAE")),"")</f>
        <v/>
      </c>
      <c r="J141" s="25">
        <f>IFERROR(IF(SUMIFS(tblDaily[Discharges],tblDaily[EntryDate],DATE(2026,4,14),tblDaily[WardCode],"FAE")=0,"",SUMIFS(tblDaily[Discharges],tblDaily[EntryDate],DATE(2026,4,14),tblDaily[WardCode],"FAE")),"")</f>
        <v/>
      </c>
      <c r="K141" s="25">
        <f>IFERROR(IF(SUMIFS(tblDaily[Deaths],tblDaily[EntryDate],DATE(2026,4,14),tblDaily[WardCode],"FAE")=0,"",SUMIFS(tblDaily[Deaths],tblDaily[EntryDate],DATE(2026,4,14),tblDaily[WardCode],"FAE")),"")</f>
        <v/>
      </c>
      <c r="L141" s="25">
        <f>IFERROR(IF(SUMIFS(tblDaily[DeathsUnder24Hrs],tblDaily[EntryDate],DATE(2026,4,14),tblDaily[WardCode],"FAE")=0,"",SUMIFS(tblDaily[DeathsUnder24Hrs],tblDaily[EntryDate],DATE(2026,4,14),tblDaily[WardCode],"FAE")),"")</f>
        <v/>
      </c>
      <c r="M141" s="25">
        <f>IFERROR(IF(SUMIFS(tblDaily[TransfersIn],tblDaily[EntryDate],DATE(2026,4,14),tblDaily[WardCode],"FAE")=0,"",SUMIFS(tblDaily[TransfersIn],tblDaily[EntryDate],DATE(2026,4,14),tblDaily[WardCode],"FAE")),"")</f>
        <v/>
      </c>
      <c r="N141" s="25">
        <f>IFERROR(IF(SUMIFS(tblDaily[TransfersOut],tblDaily[EntryDate],DATE(2026,4,14),tblDaily[WardCode],"FAE")=0,"",SUMIFS(tblDaily[TransfersOut],tblDaily[EntryDate],DATE(2026,4,14),tblDaily[WardCode],"FAE")),"")</f>
        <v/>
      </c>
      <c r="O141" s="25">
        <f>IFERROR(IF(SUMIFS(tblDaily[Remaining],tblDaily[EntryDate],DATE(2026,4,14),tblDaily[WardCode],"FAE")=0,"",SUMIFS(tblDaily[Remaining],tblDaily[EntryDate],DATE(2026,4,14),tblDaily[WardCode],"FAE")),"")</f>
        <v/>
      </c>
      <c r="P141" s="26">
        <f>IF(AND(H141="", O141=""), "", N(H141) + N(O141))</f>
        <v/>
      </c>
    </row>
    <row r="142">
      <c r="A142" s="25" t="n">
        <v>15</v>
      </c>
      <c r="B142" s="25">
        <f>IFERROR(IF(SUMIFS(tblDaily[Admissions],tblDaily[EntryDate],DATE(2026,4,15),tblDaily[WardCode],"MAE")=0,"",SUMIFS(tblDaily[Admissions],tblDaily[EntryDate],DATE(2026,4,15),tblDaily[WardCode],"MAE")),"")</f>
        <v/>
      </c>
      <c r="C142" s="25">
        <f>IFERROR(IF(SUMIFS(tblDaily[Discharges],tblDaily[EntryDate],DATE(2026,4,15),tblDaily[WardCode],"MAE")=0,"",SUMIFS(tblDaily[Discharges],tblDaily[EntryDate],DATE(2026,4,15),tblDaily[WardCode],"MAE")),"")</f>
        <v/>
      </c>
      <c r="D142" s="25">
        <f>IFERROR(IF(SUMIFS(tblDaily[Deaths],tblDaily[EntryDate],DATE(2026,4,15),tblDaily[WardCode],"MAE")=0,"",SUMIFS(tblDaily[Deaths],tblDaily[EntryDate],DATE(2026,4,15),tblDaily[WardCode],"MAE")),"")</f>
        <v/>
      </c>
      <c r="E142" s="25">
        <f>IFERROR(IF(SUMIFS(tblDaily[DeathsUnder24Hrs],tblDaily[EntryDate],DATE(2026,4,15),tblDaily[WardCode],"MAE")=0,"",SUMIFS(tblDaily[DeathsUnder24Hrs],tblDaily[EntryDate],DATE(2026,4,15),tblDaily[WardCode],"MAE")),"")</f>
        <v/>
      </c>
      <c r="F142" s="25">
        <f>IFERROR(IF(SUMIFS(tblDaily[TransfersIn],tblDaily[EntryDate],DATE(2026,4,15),tblDaily[WardCode],"MAE")=0,"",SUMIFS(tblDaily[TransfersIn],tblDaily[EntryDate],DATE(2026,4,15),tblDaily[WardCode],"MAE")),"")</f>
        <v/>
      </c>
      <c r="G142" s="25">
        <f>IFERROR(IF(SUMIFS(tblDaily[TransfersOut],tblDaily[EntryDate],DATE(2026,4,15),tblDaily[WardCode],"MAE")=0,"",SUMIFS(tblDaily[TransfersOut],tblDaily[EntryDate],DATE(2026,4,15),tblDaily[WardCode],"MAE")),"")</f>
        <v/>
      </c>
      <c r="H142" s="25">
        <f>IFERROR(IF(SUMIFS(tblDaily[Remaining],tblDaily[EntryDate],DATE(2026,4,15),tblDaily[WardCode],"MAE")=0,"",SUMIFS(tblDaily[Remaining],tblDaily[EntryDate],DATE(2026,4,15),tblDaily[WardCode],"MAE")),"")</f>
        <v/>
      </c>
      <c r="I142" s="25">
        <f>IFERROR(IF(SUMIFS(tblDaily[Admissions],tblDaily[EntryDate],DATE(2026,4,15),tblDaily[WardCode],"FAE")=0,"",SUMIFS(tblDaily[Admissions],tblDaily[EntryDate],DATE(2026,4,15),tblDaily[WardCode],"FAE")),"")</f>
        <v/>
      </c>
      <c r="J142" s="25">
        <f>IFERROR(IF(SUMIFS(tblDaily[Discharges],tblDaily[EntryDate],DATE(2026,4,15),tblDaily[WardCode],"FAE")=0,"",SUMIFS(tblDaily[Discharges],tblDaily[EntryDate],DATE(2026,4,15),tblDaily[WardCode],"FAE")),"")</f>
        <v/>
      </c>
      <c r="K142" s="25">
        <f>IFERROR(IF(SUMIFS(tblDaily[Deaths],tblDaily[EntryDate],DATE(2026,4,15),tblDaily[WardCode],"FAE")=0,"",SUMIFS(tblDaily[Deaths],tblDaily[EntryDate],DATE(2026,4,15),tblDaily[WardCode],"FAE")),"")</f>
        <v/>
      </c>
      <c r="L142" s="25">
        <f>IFERROR(IF(SUMIFS(tblDaily[DeathsUnder24Hrs],tblDaily[EntryDate],DATE(2026,4,15),tblDaily[WardCode],"FAE")=0,"",SUMIFS(tblDaily[DeathsUnder24Hrs],tblDaily[EntryDate],DATE(2026,4,15),tblDaily[WardCode],"FAE")),"")</f>
        <v/>
      </c>
      <c r="M142" s="25">
        <f>IFERROR(IF(SUMIFS(tblDaily[TransfersIn],tblDaily[EntryDate],DATE(2026,4,15),tblDaily[WardCode],"FAE")=0,"",SUMIFS(tblDaily[TransfersIn],tblDaily[EntryDate],DATE(2026,4,15),tblDaily[WardCode],"FAE")),"")</f>
        <v/>
      </c>
      <c r="N142" s="25">
        <f>IFERROR(IF(SUMIFS(tblDaily[TransfersOut],tblDaily[EntryDate],DATE(2026,4,15),tblDaily[WardCode],"FAE")=0,"",SUMIFS(tblDaily[TransfersOut],tblDaily[EntryDate],DATE(2026,4,15),tblDaily[WardCode],"FAE")),"")</f>
        <v/>
      </c>
      <c r="O142" s="25">
        <f>IFERROR(IF(SUMIFS(tblDaily[Remaining],tblDaily[EntryDate],DATE(2026,4,15),tblDaily[WardCode],"FAE")=0,"",SUMIFS(tblDaily[Remaining],tblDaily[EntryDate],DATE(2026,4,15),tblDaily[WardCode],"FAE")),"")</f>
        <v/>
      </c>
      <c r="P142" s="26">
        <f>IF(AND(H142="", O142=""), "", N(H142) + N(O142))</f>
        <v/>
      </c>
    </row>
    <row r="143">
      <c r="A143" s="25" t="n">
        <v>16</v>
      </c>
      <c r="B143" s="25">
        <f>IFERROR(IF(SUMIFS(tblDaily[Admissions],tblDaily[EntryDate],DATE(2026,4,16),tblDaily[WardCode],"MAE")=0,"",SUMIFS(tblDaily[Admissions],tblDaily[EntryDate],DATE(2026,4,16),tblDaily[WardCode],"MAE")),"")</f>
        <v/>
      </c>
      <c r="C143" s="25">
        <f>IFERROR(IF(SUMIFS(tblDaily[Discharges],tblDaily[EntryDate],DATE(2026,4,16),tblDaily[WardCode],"MAE")=0,"",SUMIFS(tblDaily[Discharges],tblDaily[EntryDate],DATE(2026,4,16),tblDaily[WardCode],"MAE")),"")</f>
        <v/>
      </c>
      <c r="D143" s="25">
        <f>IFERROR(IF(SUMIFS(tblDaily[Deaths],tblDaily[EntryDate],DATE(2026,4,16),tblDaily[WardCode],"MAE")=0,"",SUMIFS(tblDaily[Deaths],tblDaily[EntryDate],DATE(2026,4,16),tblDaily[WardCode],"MAE")),"")</f>
        <v/>
      </c>
      <c r="E143" s="25">
        <f>IFERROR(IF(SUMIFS(tblDaily[DeathsUnder24Hrs],tblDaily[EntryDate],DATE(2026,4,16),tblDaily[WardCode],"MAE")=0,"",SUMIFS(tblDaily[DeathsUnder24Hrs],tblDaily[EntryDate],DATE(2026,4,16),tblDaily[WardCode],"MAE")),"")</f>
        <v/>
      </c>
      <c r="F143" s="25">
        <f>IFERROR(IF(SUMIFS(tblDaily[TransfersIn],tblDaily[EntryDate],DATE(2026,4,16),tblDaily[WardCode],"MAE")=0,"",SUMIFS(tblDaily[TransfersIn],tblDaily[EntryDate],DATE(2026,4,16),tblDaily[WardCode],"MAE")),"")</f>
        <v/>
      </c>
      <c r="G143" s="25">
        <f>IFERROR(IF(SUMIFS(tblDaily[TransfersOut],tblDaily[EntryDate],DATE(2026,4,16),tblDaily[WardCode],"MAE")=0,"",SUMIFS(tblDaily[TransfersOut],tblDaily[EntryDate],DATE(2026,4,16),tblDaily[WardCode],"MAE")),"")</f>
        <v/>
      </c>
      <c r="H143" s="25">
        <f>IFERROR(IF(SUMIFS(tblDaily[Remaining],tblDaily[EntryDate],DATE(2026,4,16),tblDaily[WardCode],"MAE")=0,"",SUMIFS(tblDaily[Remaining],tblDaily[EntryDate],DATE(2026,4,16),tblDaily[WardCode],"MAE")),"")</f>
        <v/>
      </c>
      <c r="I143" s="25">
        <f>IFERROR(IF(SUMIFS(tblDaily[Admissions],tblDaily[EntryDate],DATE(2026,4,16),tblDaily[WardCode],"FAE")=0,"",SUMIFS(tblDaily[Admissions],tblDaily[EntryDate],DATE(2026,4,16),tblDaily[WardCode],"FAE")),"")</f>
        <v/>
      </c>
      <c r="J143" s="25">
        <f>IFERROR(IF(SUMIFS(tblDaily[Discharges],tblDaily[EntryDate],DATE(2026,4,16),tblDaily[WardCode],"FAE")=0,"",SUMIFS(tblDaily[Discharges],tblDaily[EntryDate],DATE(2026,4,16),tblDaily[WardCode],"FAE")),"")</f>
        <v/>
      </c>
      <c r="K143" s="25">
        <f>IFERROR(IF(SUMIFS(tblDaily[Deaths],tblDaily[EntryDate],DATE(2026,4,16),tblDaily[WardCode],"FAE")=0,"",SUMIFS(tblDaily[Deaths],tblDaily[EntryDate],DATE(2026,4,16),tblDaily[WardCode],"FAE")),"")</f>
        <v/>
      </c>
      <c r="L143" s="25">
        <f>IFERROR(IF(SUMIFS(tblDaily[DeathsUnder24Hrs],tblDaily[EntryDate],DATE(2026,4,16),tblDaily[WardCode],"FAE")=0,"",SUMIFS(tblDaily[DeathsUnder24Hrs],tblDaily[EntryDate],DATE(2026,4,16),tblDaily[WardCode],"FAE")),"")</f>
        <v/>
      </c>
      <c r="M143" s="25">
        <f>IFERROR(IF(SUMIFS(tblDaily[TransfersIn],tblDaily[EntryDate],DATE(2026,4,16),tblDaily[WardCode],"FAE")=0,"",SUMIFS(tblDaily[TransfersIn],tblDaily[EntryDate],DATE(2026,4,16),tblDaily[WardCode],"FAE")),"")</f>
        <v/>
      </c>
      <c r="N143" s="25">
        <f>IFERROR(IF(SUMIFS(tblDaily[TransfersOut],tblDaily[EntryDate],DATE(2026,4,16),tblDaily[WardCode],"FAE")=0,"",SUMIFS(tblDaily[TransfersOut],tblDaily[EntryDate],DATE(2026,4,16),tblDaily[WardCode],"FAE")),"")</f>
        <v/>
      </c>
      <c r="O143" s="25">
        <f>IFERROR(IF(SUMIFS(tblDaily[Remaining],tblDaily[EntryDate],DATE(2026,4,16),tblDaily[WardCode],"FAE")=0,"",SUMIFS(tblDaily[Remaining],tblDaily[EntryDate],DATE(2026,4,16),tblDaily[WardCode],"FAE")),"")</f>
        <v/>
      </c>
      <c r="P143" s="26">
        <f>IF(AND(H143="", O143=""), "", N(H143) + N(O143))</f>
        <v/>
      </c>
    </row>
    <row r="144">
      <c r="A144" s="25" t="n">
        <v>17</v>
      </c>
      <c r="B144" s="25">
        <f>IFERROR(IF(SUMIFS(tblDaily[Admissions],tblDaily[EntryDate],DATE(2026,4,17),tblDaily[WardCode],"MAE")=0,"",SUMIFS(tblDaily[Admissions],tblDaily[EntryDate],DATE(2026,4,17),tblDaily[WardCode],"MAE")),"")</f>
        <v/>
      </c>
      <c r="C144" s="25">
        <f>IFERROR(IF(SUMIFS(tblDaily[Discharges],tblDaily[EntryDate],DATE(2026,4,17),tblDaily[WardCode],"MAE")=0,"",SUMIFS(tblDaily[Discharges],tblDaily[EntryDate],DATE(2026,4,17),tblDaily[WardCode],"MAE")),"")</f>
        <v/>
      </c>
      <c r="D144" s="25">
        <f>IFERROR(IF(SUMIFS(tblDaily[Deaths],tblDaily[EntryDate],DATE(2026,4,17),tblDaily[WardCode],"MAE")=0,"",SUMIFS(tblDaily[Deaths],tblDaily[EntryDate],DATE(2026,4,17),tblDaily[WardCode],"MAE")),"")</f>
        <v/>
      </c>
      <c r="E144" s="25">
        <f>IFERROR(IF(SUMIFS(tblDaily[DeathsUnder24Hrs],tblDaily[EntryDate],DATE(2026,4,17),tblDaily[WardCode],"MAE")=0,"",SUMIFS(tblDaily[DeathsUnder24Hrs],tblDaily[EntryDate],DATE(2026,4,17),tblDaily[WardCode],"MAE")),"")</f>
        <v/>
      </c>
      <c r="F144" s="25">
        <f>IFERROR(IF(SUMIFS(tblDaily[TransfersIn],tblDaily[EntryDate],DATE(2026,4,17),tblDaily[WardCode],"MAE")=0,"",SUMIFS(tblDaily[TransfersIn],tblDaily[EntryDate],DATE(2026,4,17),tblDaily[WardCode],"MAE")),"")</f>
        <v/>
      </c>
      <c r="G144" s="25">
        <f>IFERROR(IF(SUMIFS(tblDaily[TransfersOut],tblDaily[EntryDate],DATE(2026,4,17),tblDaily[WardCode],"MAE")=0,"",SUMIFS(tblDaily[TransfersOut],tblDaily[EntryDate],DATE(2026,4,17),tblDaily[WardCode],"MAE")),"")</f>
        <v/>
      </c>
      <c r="H144" s="25">
        <f>IFERROR(IF(SUMIFS(tblDaily[Remaining],tblDaily[EntryDate],DATE(2026,4,17),tblDaily[WardCode],"MAE")=0,"",SUMIFS(tblDaily[Remaining],tblDaily[EntryDate],DATE(2026,4,17),tblDaily[WardCode],"MAE")),"")</f>
        <v/>
      </c>
      <c r="I144" s="25">
        <f>IFERROR(IF(SUMIFS(tblDaily[Admissions],tblDaily[EntryDate],DATE(2026,4,17),tblDaily[WardCode],"FAE")=0,"",SUMIFS(tblDaily[Admissions],tblDaily[EntryDate],DATE(2026,4,17),tblDaily[WardCode],"FAE")),"")</f>
        <v/>
      </c>
      <c r="J144" s="25">
        <f>IFERROR(IF(SUMIFS(tblDaily[Discharges],tblDaily[EntryDate],DATE(2026,4,17),tblDaily[WardCode],"FAE")=0,"",SUMIFS(tblDaily[Discharges],tblDaily[EntryDate],DATE(2026,4,17),tblDaily[WardCode],"FAE")),"")</f>
        <v/>
      </c>
      <c r="K144" s="25">
        <f>IFERROR(IF(SUMIFS(tblDaily[Deaths],tblDaily[EntryDate],DATE(2026,4,17),tblDaily[WardCode],"FAE")=0,"",SUMIFS(tblDaily[Deaths],tblDaily[EntryDate],DATE(2026,4,17),tblDaily[WardCode],"FAE")),"")</f>
        <v/>
      </c>
      <c r="L144" s="25">
        <f>IFERROR(IF(SUMIFS(tblDaily[DeathsUnder24Hrs],tblDaily[EntryDate],DATE(2026,4,17),tblDaily[WardCode],"FAE")=0,"",SUMIFS(tblDaily[DeathsUnder24Hrs],tblDaily[EntryDate],DATE(2026,4,17),tblDaily[WardCode],"FAE")),"")</f>
        <v/>
      </c>
      <c r="M144" s="25">
        <f>IFERROR(IF(SUMIFS(tblDaily[TransfersIn],tblDaily[EntryDate],DATE(2026,4,17),tblDaily[WardCode],"FAE")=0,"",SUMIFS(tblDaily[TransfersIn],tblDaily[EntryDate],DATE(2026,4,17),tblDaily[WardCode],"FAE")),"")</f>
        <v/>
      </c>
      <c r="N144" s="25">
        <f>IFERROR(IF(SUMIFS(tblDaily[TransfersOut],tblDaily[EntryDate],DATE(2026,4,17),tblDaily[WardCode],"FAE")=0,"",SUMIFS(tblDaily[TransfersOut],tblDaily[EntryDate],DATE(2026,4,17),tblDaily[WardCode],"FAE")),"")</f>
        <v/>
      </c>
      <c r="O144" s="25">
        <f>IFERROR(IF(SUMIFS(tblDaily[Remaining],tblDaily[EntryDate],DATE(2026,4,17),tblDaily[WardCode],"FAE")=0,"",SUMIFS(tblDaily[Remaining],tblDaily[EntryDate],DATE(2026,4,17),tblDaily[WardCode],"FAE")),"")</f>
        <v/>
      </c>
      <c r="P144" s="26">
        <f>IF(AND(H144="", O144=""), "", N(H144) + N(O144))</f>
        <v/>
      </c>
    </row>
    <row r="145">
      <c r="A145" s="25" t="n">
        <v>18</v>
      </c>
      <c r="B145" s="25">
        <f>IFERROR(IF(SUMIFS(tblDaily[Admissions],tblDaily[EntryDate],DATE(2026,4,18),tblDaily[WardCode],"MAE")=0,"",SUMIFS(tblDaily[Admissions],tblDaily[EntryDate],DATE(2026,4,18),tblDaily[WardCode],"MAE")),"")</f>
        <v/>
      </c>
      <c r="C145" s="25">
        <f>IFERROR(IF(SUMIFS(tblDaily[Discharges],tblDaily[EntryDate],DATE(2026,4,18),tblDaily[WardCode],"MAE")=0,"",SUMIFS(tblDaily[Discharges],tblDaily[EntryDate],DATE(2026,4,18),tblDaily[WardCode],"MAE")),"")</f>
        <v/>
      </c>
      <c r="D145" s="25">
        <f>IFERROR(IF(SUMIFS(tblDaily[Deaths],tblDaily[EntryDate],DATE(2026,4,18),tblDaily[WardCode],"MAE")=0,"",SUMIFS(tblDaily[Deaths],tblDaily[EntryDate],DATE(2026,4,18),tblDaily[WardCode],"MAE")),"")</f>
        <v/>
      </c>
      <c r="E145" s="25">
        <f>IFERROR(IF(SUMIFS(tblDaily[DeathsUnder24Hrs],tblDaily[EntryDate],DATE(2026,4,18),tblDaily[WardCode],"MAE")=0,"",SUMIFS(tblDaily[DeathsUnder24Hrs],tblDaily[EntryDate],DATE(2026,4,18),tblDaily[WardCode],"MAE")),"")</f>
        <v/>
      </c>
      <c r="F145" s="25">
        <f>IFERROR(IF(SUMIFS(tblDaily[TransfersIn],tblDaily[EntryDate],DATE(2026,4,18),tblDaily[WardCode],"MAE")=0,"",SUMIFS(tblDaily[TransfersIn],tblDaily[EntryDate],DATE(2026,4,18),tblDaily[WardCode],"MAE")),"")</f>
        <v/>
      </c>
      <c r="G145" s="25">
        <f>IFERROR(IF(SUMIFS(tblDaily[TransfersOut],tblDaily[EntryDate],DATE(2026,4,18),tblDaily[WardCode],"MAE")=0,"",SUMIFS(tblDaily[TransfersOut],tblDaily[EntryDate],DATE(2026,4,18),tblDaily[WardCode],"MAE")),"")</f>
        <v/>
      </c>
      <c r="H145" s="25">
        <f>IFERROR(IF(SUMIFS(tblDaily[Remaining],tblDaily[EntryDate],DATE(2026,4,18),tblDaily[WardCode],"MAE")=0,"",SUMIFS(tblDaily[Remaining],tblDaily[EntryDate],DATE(2026,4,18),tblDaily[WardCode],"MAE")),"")</f>
        <v/>
      </c>
      <c r="I145" s="25">
        <f>IFERROR(IF(SUMIFS(tblDaily[Admissions],tblDaily[EntryDate],DATE(2026,4,18),tblDaily[WardCode],"FAE")=0,"",SUMIFS(tblDaily[Admissions],tblDaily[EntryDate],DATE(2026,4,18),tblDaily[WardCode],"FAE")),"")</f>
        <v/>
      </c>
      <c r="J145" s="25">
        <f>IFERROR(IF(SUMIFS(tblDaily[Discharges],tblDaily[EntryDate],DATE(2026,4,18),tblDaily[WardCode],"FAE")=0,"",SUMIFS(tblDaily[Discharges],tblDaily[EntryDate],DATE(2026,4,18),tblDaily[WardCode],"FAE")),"")</f>
        <v/>
      </c>
      <c r="K145" s="25">
        <f>IFERROR(IF(SUMIFS(tblDaily[Deaths],tblDaily[EntryDate],DATE(2026,4,18),tblDaily[WardCode],"FAE")=0,"",SUMIFS(tblDaily[Deaths],tblDaily[EntryDate],DATE(2026,4,18),tblDaily[WardCode],"FAE")),"")</f>
        <v/>
      </c>
      <c r="L145" s="25">
        <f>IFERROR(IF(SUMIFS(tblDaily[DeathsUnder24Hrs],tblDaily[EntryDate],DATE(2026,4,18),tblDaily[WardCode],"FAE")=0,"",SUMIFS(tblDaily[DeathsUnder24Hrs],tblDaily[EntryDate],DATE(2026,4,18),tblDaily[WardCode],"FAE")),"")</f>
        <v/>
      </c>
      <c r="M145" s="25">
        <f>IFERROR(IF(SUMIFS(tblDaily[TransfersIn],tblDaily[EntryDate],DATE(2026,4,18),tblDaily[WardCode],"FAE")=0,"",SUMIFS(tblDaily[TransfersIn],tblDaily[EntryDate],DATE(2026,4,18),tblDaily[WardCode],"FAE")),"")</f>
        <v/>
      </c>
      <c r="N145" s="25">
        <f>IFERROR(IF(SUMIFS(tblDaily[TransfersOut],tblDaily[EntryDate],DATE(2026,4,18),tblDaily[WardCode],"FAE")=0,"",SUMIFS(tblDaily[TransfersOut],tblDaily[EntryDate],DATE(2026,4,18),tblDaily[WardCode],"FAE")),"")</f>
        <v/>
      </c>
      <c r="O145" s="25">
        <f>IFERROR(IF(SUMIFS(tblDaily[Remaining],tblDaily[EntryDate],DATE(2026,4,18),tblDaily[WardCode],"FAE")=0,"",SUMIFS(tblDaily[Remaining],tblDaily[EntryDate],DATE(2026,4,18),tblDaily[WardCode],"FAE")),"")</f>
        <v/>
      </c>
      <c r="P145" s="26">
        <f>IF(AND(H145="", O145=""), "", N(H145) + N(O145))</f>
        <v/>
      </c>
    </row>
    <row r="146">
      <c r="A146" s="25" t="n">
        <v>19</v>
      </c>
      <c r="B146" s="25">
        <f>IFERROR(IF(SUMIFS(tblDaily[Admissions],tblDaily[EntryDate],DATE(2026,4,19),tblDaily[WardCode],"MAE")=0,"",SUMIFS(tblDaily[Admissions],tblDaily[EntryDate],DATE(2026,4,19),tblDaily[WardCode],"MAE")),"")</f>
        <v/>
      </c>
      <c r="C146" s="25">
        <f>IFERROR(IF(SUMIFS(tblDaily[Discharges],tblDaily[EntryDate],DATE(2026,4,19),tblDaily[WardCode],"MAE")=0,"",SUMIFS(tblDaily[Discharges],tblDaily[EntryDate],DATE(2026,4,19),tblDaily[WardCode],"MAE")),"")</f>
        <v/>
      </c>
      <c r="D146" s="25">
        <f>IFERROR(IF(SUMIFS(tblDaily[Deaths],tblDaily[EntryDate],DATE(2026,4,19),tblDaily[WardCode],"MAE")=0,"",SUMIFS(tblDaily[Deaths],tblDaily[EntryDate],DATE(2026,4,19),tblDaily[WardCode],"MAE")),"")</f>
        <v/>
      </c>
      <c r="E146" s="25">
        <f>IFERROR(IF(SUMIFS(tblDaily[DeathsUnder24Hrs],tblDaily[EntryDate],DATE(2026,4,19),tblDaily[WardCode],"MAE")=0,"",SUMIFS(tblDaily[DeathsUnder24Hrs],tblDaily[EntryDate],DATE(2026,4,19),tblDaily[WardCode],"MAE")),"")</f>
        <v/>
      </c>
      <c r="F146" s="25">
        <f>IFERROR(IF(SUMIFS(tblDaily[TransfersIn],tblDaily[EntryDate],DATE(2026,4,19),tblDaily[WardCode],"MAE")=0,"",SUMIFS(tblDaily[TransfersIn],tblDaily[EntryDate],DATE(2026,4,19),tblDaily[WardCode],"MAE")),"")</f>
        <v/>
      </c>
      <c r="G146" s="25">
        <f>IFERROR(IF(SUMIFS(tblDaily[TransfersOut],tblDaily[EntryDate],DATE(2026,4,19),tblDaily[WardCode],"MAE")=0,"",SUMIFS(tblDaily[TransfersOut],tblDaily[EntryDate],DATE(2026,4,19),tblDaily[WardCode],"MAE")),"")</f>
        <v/>
      </c>
      <c r="H146" s="25">
        <f>IFERROR(IF(SUMIFS(tblDaily[Remaining],tblDaily[EntryDate],DATE(2026,4,19),tblDaily[WardCode],"MAE")=0,"",SUMIFS(tblDaily[Remaining],tblDaily[EntryDate],DATE(2026,4,19),tblDaily[WardCode],"MAE")),"")</f>
        <v/>
      </c>
      <c r="I146" s="25">
        <f>IFERROR(IF(SUMIFS(tblDaily[Admissions],tblDaily[EntryDate],DATE(2026,4,19),tblDaily[WardCode],"FAE")=0,"",SUMIFS(tblDaily[Admissions],tblDaily[EntryDate],DATE(2026,4,19),tblDaily[WardCode],"FAE")),"")</f>
        <v/>
      </c>
      <c r="J146" s="25">
        <f>IFERROR(IF(SUMIFS(tblDaily[Discharges],tblDaily[EntryDate],DATE(2026,4,19),tblDaily[WardCode],"FAE")=0,"",SUMIFS(tblDaily[Discharges],tblDaily[EntryDate],DATE(2026,4,19),tblDaily[WardCode],"FAE")),"")</f>
        <v/>
      </c>
      <c r="K146" s="25">
        <f>IFERROR(IF(SUMIFS(tblDaily[Deaths],tblDaily[EntryDate],DATE(2026,4,19),tblDaily[WardCode],"FAE")=0,"",SUMIFS(tblDaily[Deaths],tblDaily[EntryDate],DATE(2026,4,19),tblDaily[WardCode],"FAE")),"")</f>
        <v/>
      </c>
      <c r="L146" s="25">
        <f>IFERROR(IF(SUMIFS(tblDaily[DeathsUnder24Hrs],tblDaily[EntryDate],DATE(2026,4,19),tblDaily[WardCode],"FAE")=0,"",SUMIFS(tblDaily[DeathsUnder24Hrs],tblDaily[EntryDate],DATE(2026,4,19),tblDaily[WardCode],"FAE")),"")</f>
        <v/>
      </c>
      <c r="M146" s="25">
        <f>IFERROR(IF(SUMIFS(tblDaily[TransfersIn],tblDaily[EntryDate],DATE(2026,4,19),tblDaily[WardCode],"FAE")=0,"",SUMIFS(tblDaily[TransfersIn],tblDaily[EntryDate],DATE(2026,4,19),tblDaily[WardCode],"FAE")),"")</f>
        <v/>
      </c>
      <c r="N146" s="25">
        <f>IFERROR(IF(SUMIFS(tblDaily[TransfersOut],tblDaily[EntryDate],DATE(2026,4,19),tblDaily[WardCode],"FAE")=0,"",SUMIFS(tblDaily[TransfersOut],tblDaily[EntryDate],DATE(2026,4,19),tblDaily[WardCode],"FAE")),"")</f>
        <v/>
      </c>
      <c r="O146" s="25">
        <f>IFERROR(IF(SUMIFS(tblDaily[Remaining],tblDaily[EntryDate],DATE(2026,4,19),tblDaily[WardCode],"FAE")=0,"",SUMIFS(tblDaily[Remaining],tblDaily[EntryDate],DATE(2026,4,19),tblDaily[WardCode],"FAE")),"")</f>
        <v/>
      </c>
      <c r="P146" s="26">
        <f>IF(AND(H146="", O146=""), "", N(H146) + N(O146))</f>
        <v/>
      </c>
    </row>
    <row r="147">
      <c r="A147" s="25" t="n">
        <v>20</v>
      </c>
      <c r="B147" s="25">
        <f>IFERROR(IF(SUMIFS(tblDaily[Admissions],tblDaily[EntryDate],DATE(2026,4,20),tblDaily[WardCode],"MAE")=0,"",SUMIFS(tblDaily[Admissions],tblDaily[EntryDate],DATE(2026,4,20),tblDaily[WardCode],"MAE")),"")</f>
        <v/>
      </c>
      <c r="C147" s="25">
        <f>IFERROR(IF(SUMIFS(tblDaily[Discharges],tblDaily[EntryDate],DATE(2026,4,20),tblDaily[WardCode],"MAE")=0,"",SUMIFS(tblDaily[Discharges],tblDaily[EntryDate],DATE(2026,4,20),tblDaily[WardCode],"MAE")),"")</f>
        <v/>
      </c>
      <c r="D147" s="25">
        <f>IFERROR(IF(SUMIFS(tblDaily[Deaths],tblDaily[EntryDate],DATE(2026,4,20),tblDaily[WardCode],"MAE")=0,"",SUMIFS(tblDaily[Deaths],tblDaily[EntryDate],DATE(2026,4,20),tblDaily[WardCode],"MAE")),"")</f>
        <v/>
      </c>
      <c r="E147" s="25">
        <f>IFERROR(IF(SUMIFS(tblDaily[DeathsUnder24Hrs],tblDaily[EntryDate],DATE(2026,4,20),tblDaily[WardCode],"MAE")=0,"",SUMIFS(tblDaily[DeathsUnder24Hrs],tblDaily[EntryDate],DATE(2026,4,20),tblDaily[WardCode],"MAE")),"")</f>
        <v/>
      </c>
      <c r="F147" s="25">
        <f>IFERROR(IF(SUMIFS(tblDaily[TransfersIn],tblDaily[EntryDate],DATE(2026,4,20),tblDaily[WardCode],"MAE")=0,"",SUMIFS(tblDaily[TransfersIn],tblDaily[EntryDate],DATE(2026,4,20),tblDaily[WardCode],"MAE")),"")</f>
        <v/>
      </c>
      <c r="G147" s="25">
        <f>IFERROR(IF(SUMIFS(tblDaily[TransfersOut],tblDaily[EntryDate],DATE(2026,4,20),tblDaily[WardCode],"MAE")=0,"",SUMIFS(tblDaily[TransfersOut],tblDaily[EntryDate],DATE(2026,4,20),tblDaily[WardCode],"MAE")),"")</f>
        <v/>
      </c>
      <c r="H147" s="25">
        <f>IFERROR(IF(SUMIFS(tblDaily[Remaining],tblDaily[EntryDate],DATE(2026,4,20),tblDaily[WardCode],"MAE")=0,"",SUMIFS(tblDaily[Remaining],tblDaily[EntryDate],DATE(2026,4,20),tblDaily[WardCode],"MAE")),"")</f>
        <v/>
      </c>
      <c r="I147" s="25">
        <f>IFERROR(IF(SUMIFS(tblDaily[Admissions],tblDaily[EntryDate],DATE(2026,4,20),tblDaily[WardCode],"FAE")=0,"",SUMIFS(tblDaily[Admissions],tblDaily[EntryDate],DATE(2026,4,20),tblDaily[WardCode],"FAE")),"")</f>
        <v/>
      </c>
      <c r="J147" s="25">
        <f>IFERROR(IF(SUMIFS(tblDaily[Discharges],tblDaily[EntryDate],DATE(2026,4,20),tblDaily[WardCode],"FAE")=0,"",SUMIFS(tblDaily[Discharges],tblDaily[EntryDate],DATE(2026,4,20),tblDaily[WardCode],"FAE")),"")</f>
        <v/>
      </c>
      <c r="K147" s="25">
        <f>IFERROR(IF(SUMIFS(tblDaily[Deaths],tblDaily[EntryDate],DATE(2026,4,20),tblDaily[WardCode],"FAE")=0,"",SUMIFS(tblDaily[Deaths],tblDaily[EntryDate],DATE(2026,4,20),tblDaily[WardCode],"FAE")),"")</f>
        <v/>
      </c>
      <c r="L147" s="25">
        <f>IFERROR(IF(SUMIFS(tblDaily[DeathsUnder24Hrs],tblDaily[EntryDate],DATE(2026,4,20),tblDaily[WardCode],"FAE")=0,"",SUMIFS(tblDaily[DeathsUnder24Hrs],tblDaily[EntryDate],DATE(2026,4,20),tblDaily[WardCode],"FAE")),"")</f>
        <v/>
      </c>
      <c r="M147" s="25">
        <f>IFERROR(IF(SUMIFS(tblDaily[TransfersIn],tblDaily[EntryDate],DATE(2026,4,20),tblDaily[WardCode],"FAE")=0,"",SUMIFS(tblDaily[TransfersIn],tblDaily[EntryDate],DATE(2026,4,20),tblDaily[WardCode],"FAE")),"")</f>
        <v/>
      </c>
      <c r="N147" s="25">
        <f>IFERROR(IF(SUMIFS(tblDaily[TransfersOut],tblDaily[EntryDate],DATE(2026,4,20),tblDaily[WardCode],"FAE")=0,"",SUMIFS(tblDaily[TransfersOut],tblDaily[EntryDate],DATE(2026,4,20),tblDaily[WardCode],"FAE")),"")</f>
        <v/>
      </c>
      <c r="O147" s="25">
        <f>IFERROR(IF(SUMIFS(tblDaily[Remaining],tblDaily[EntryDate],DATE(2026,4,20),tblDaily[WardCode],"FAE")=0,"",SUMIFS(tblDaily[Remaining],tblDaily[EntryDate],DATE(2026,4,20),tblDaily[WardCode],"FAE")),"")</f>
        <v/>
      </c>
      <c r="P147" s="26">
        <f>IF(AND(H147="", O147=""), "", N(H147) + N(O147))</f>
        <v/>
      </c>
    </row>
    <row r="148">
      <c r="A148" s="25" t="n">
        <v>21</v>
      </c>
      <c r="B148" s="25">
        <f>IFERROR(IF(SUMIFS(tblDaily[Admissions],tblDaily[EntryDate],DATE(2026,4,21),tblDaily[WardCode],"MAE")=0,"",SUMIFS(tblDaily[Admissions],tblDaily[EntryDate],DATE(2026,4,21),tblDaily[WardCode],"MAE")),"")</f>
        <v/>
      </c>
      <c r="C148" s="25">
        <f>IFERROR(IF(SUMIFS(tblDaily[Discharges],tblDaily[EntryDate],DATE(2026,4,21),tblDaily[WardCode],"MAE")=0,"",SUMIFS(tblDaily[Discharges],tblDaily[EntryDate],DATE(2026,4,21),tblDaily[WardCode],"MAE")),"")</f>
        <v/>
      </c>
      <c r="D148" s="25">
        <f>IFERROR(IF(SUMIFS(tblDaily[Deaths],tblDaily[EntryDate],DATE(2026,4,21),tblDaily[WardCode],"MAE")=0,"",SUMIFS(tblDaily[Deaths],tblDaily[EntryDate],DATE(2026,4,21),tblDaily[WardCode],"MAE")),"")</f>
        <v/>
      </c>
      <c r="E148" s="25">
        <f>IFERROR(IF(SUMIFS(tblDaily[DeathsUnder24Hrs],tblDaily[EntryDate],DATE(2026,4,21),tblDaily[WardCode],"MAE")=0,"",SUMIFS(tblDaily[DeathsUnder24Hrs],tblDaily[EntryDate],DATE(2026,4,21),tblDaily[WardCode],"MAE")),"")</f>
        <v/>
      </c>
      <c r="F148" s="25">
        <f>IFERROR(IF(SUMIFS(tblDaily[TransfersIn],tblDaily[EntryDate],DATE(2026,4,21),tblDaily[WardCode],"MAE")=0,"",SUMIFS(tblDaily[TransfersIn],tblDaily[EntryDate],DATE(2026,4,21),tblDaily[WardCode],"MAE")),"")</f>
        <v/>
      </c>
      <c r="G148" s="25">
        <f>IFERROR(IF(SUMIFS(tblDaily[TransfersOut],tblDaily[EntryDate],DATE(2026,4,21),tblDaily[WardCode],"MAE")=0,"",SUMIFS(tblDaily[TransfersOut],tblDaily[EntryDate],DATE(2026,4,21),tblDaily[WardCode],"MAE")),"")</f>
        <v/>
      </c>
      <c r="H148" s="25">
        <f>IFERROR(IF(SUMIFS(tblDaily[Remaining],tblDaily[EntryDate],DATE(2026,4,21),tblDaily[WardCode],"MAE")=0,"",SUMIFS(tblDaily[Remaining],tblDaily[EntryDate],DATE(2026,4,21),tblDaily[WardCode],"MAE")),"")</f>
        <v/>
      </c>
      <c r="I148" s="25">
        <f>IFERROR(IF(SUMIFS(tblDaily[Admissions],tblDaily[EntryDate],DATE(2026,4,21),tblDaily[WardCode],"FAE")=0,"",SUMIFS(tblDaily[Admissions],tblDaily[EntryDate],DATE(2026,4,21),tblDaily[WardCode],"FAE")),"")</f>
        <v/>
      </c>
      <c r="J148" s="25">
        <f>IFERROR(IF(SUMIFS(tblDaily[Discharges],tblDaily[EntryDate],DATE(2026,4,21),tblDaily[WardCode],"FAE")=0,"",SUMIFS(tblDaily[Discharges],tblDaily[EntryDate],DATE(2026,4,21),tblDaily[WardCode],"FAE")),"")</f>
        <v/>
      </c>
      <c r="K148" s="25">
        <f>IFERROR(IF(SUMIFS(tblDaily[Deaths],tblDaily[EntryDate],DATE(2026,4,21),tblDaily[WardCode],"FAE")=0,"",SUMIFS(tblDaily[Deaths],tblDaily[EntryDate],DATE(2026,4,21),tblDaily[WardCode],"FAE")),"")</f>
        <v/>
      </c>
      <c r="L148" s="25">
        <f>IFERROR(IF(SUMIFS(tblDaily[DeathsUnder24Hrs],tblDaily[EntryDate],DATE(2026,4,21),tblDaily[WardCode],"FAE")=0,"",SUMIFS(tblDaily[DeathsUnder24Hrs],tblDaily[EntryDate],DATE(2026,4,21),tblDaily[WardCode],"FAE")),"")</f>
        <v/>
      </c>
      <c r="M148" s="25">
        <f>IFERROR(IF(SUMIFS(tblDaily[TransfersIn],tblDaily[EntryDate],DATE(2026,4,21),tblDaily[WardCode],"FAE")=0,"",SUMIFS(tblDaily[TransfersIn],tblDaily[EntryDate],DATE(2026,4,21),tblDaily[WardCode],"FAE")),"")</f>
        <v/>
      </c>
      <c r="N148" s="25">
        <f>IFERROR(IF(SUMIFS(tblDaily[TransfersOut],tblDaily[EntryDate],DATE(2026,4,21),tblDaily[WardCode],"FAE")=0,"",SUMIFS(tblDaily[TransfersOut],tblDaily[EntryDate],DATE(2026,4,21),tblDaily[WardCode],"FAE")),"")</f>
        <v/>
      </c>
      <c r="O148" s="25">
        <f>IFERROR(IF(SUMIFS(tblDaily[Remaining],tblDaily[EntryDate],DATE(2026,4,21),tblDaily[WardCode],"FAE")=0,"",SUMIFS(tblDaily[Remaining],tblDaily[EntryDate],DATE(2026,4,21),tblDaily[WardCode],"FAE")),"")</f>
        <v/>
      </c>
      <c r="P148" s="26">
        <f>IF(AND(H148="", O148=""), "", N(H148) + N(O148))</f>
        <v/>
      </c>
    </row>
    <row r="149">
      <c r="A149" s="25" t="n">
        <v>22</v>
      </c>
      <c r="B149" s="25">
        <f>IFERROR(IF(SUMIFS(tblDaily[Admissions],tblDaily[EntryDate],DATE(2026,4,22),tblDaily[WardCode],"MAE")=0,"",SUMIFS(tblDaily[Admissions],tblDaily[EntryDate],DATE(2026,4,22),tblDaily[WardCode],"MAE")),"")</f>
        <v/>
      </c>
      <c r="C149" s="25">
        <f>IFERROR(IF(SUMIFS(tblDaily[Discharges],tblDaily[EntryDate],DATE(2026,4,22),tblDaily[WardCode],"MAE")=0,"",SUMIFS(tblDaily[Discharges],tblDaily[EntryDate],DATE(2026,4,22),tblDaily[WardCode],"MAE")),"")</f>
        <v/>
      </c>
      <c r="D149" s="25">
        <f>IFERROR(IF(SUMIFS(tblDaily[Deaths],tblDaily[EntryDate],DATE(2026,4,22),tblDaily[WardCode],"MAE")=0,"",SUMIFS(tblDaily[Deaths],tblDaily[EntryDate],DATE(2026,4,22),tblDaily[WardCode],"MAE")),"")</f>
        <v/>
      </c>
      <c r="E149" s="25">
        <f>IFERROR(IF(SUMIFS(tblDaily[DeathsUnder24Hrs],tblDaily[EntryDate],DATE(2026,4,22),tblDaily[WardCode],"MAE")=0,"",SUMIFS(tblDaily[DeathsUnder24Hrs],tblDaily[EntryDate],DATE(2026,4,22),tblDaily[WardCode],"MAE")),"")</f>
        <v/>
      </c>
      <c r="F149" s="25">
        <f>IFERROR(IF(SUMIFS(tblDaily[TransfersIn],tblDaily[EntryDate],DATE(2026,4,22),tblDaily[WardCode],"MAE")=0,"",SUMIFS(tblDaily[TransfersIn],tblDaily[EntryDate],DATE(2026,4,22),tblDaily[WardCode],"MAE")),"")</f>
        <v/>
      </c>
      <c r="G149" s="25">
        <f>IFERROR(IF(SUMIFS(tblDaily[TransfersOut],tblDaily[EntryDate],DATE(2026,4,22),tblDaily[WardCode],"MAE")=0,"",SUMIFS(tblDaily[TransfersOut],tblDaily[EntryDate],DATE(2026,4,22),tblDaily[WardCode],"MAE")),"")</f>
        <v/>
      </c>
      <c r="H149" s="25">
        <f>IFERROR(IF(SUMIFS(tblDaily[Remaining],tblDaily[EntryDate],DATE(2026,4,22),tblDaily[WardCode],"MAE")=0,"",SUMIFS(tblDaily[Remaining],tblDaily[EntryDate],DATE(2026,4,22),tblDaily[WardCode],"MAE")),"")</f>
        <v/>
      </c>
      <c r="I149" s="25">
        <f>IFERROR(IF(SUMIFS(tblDaily[Admissions],tblDaily[EntryDate],DATE(2026,4,22),tblDaily[WardCode],"FAE")=0,"",SUMIFS(tblDaily[Admissions],tblDaily[EntryDate],DATE(2026,4,22),tblDaily[WardCode],"FAE")),"")</f>
        <v/>
      </c>
      <c r="J149" s="25">
        <f>IFERROR(IF(SUMIFS(tblDaily[Discharges],tblDaily[EntryDate],DATE(2026,4,22),tblDaily[WardCode],"FAE")=0,"",SUMIFS(tblDaily[Discharges],tblDaily[EntryDate],DATE(2026,4,22),tblDaily[WardCode],"FAE")),"")</f>
        <v/>
      </c>
      <c r="K149" s="25">
        <f>IFERROR(IF(SUMIFS(tblDaily[Deaths],tblDaily[EntryDate],DATE(2026,4,22),tblDaily[WardCode],"FAE")=0,"",SUMIFS(tblDaily[Deaths],tblDaily[EntryDate],DATE(2026,4,22),tblDaily[WardCode],"FAE")),"")</f>
        <v/>
      </c>
      <c r="L149" s="25">
        <f>IFERROR(IF(SUMIFS(tblDaily[DeathsUnder24Hrs],tblDaily[EntryDate],DATE(2026,4,22),tblDaily[WardCode],"FAE")=0,"",SUMIFS(tblDaily[DeathsUnder24Hrs],tblDaily[EntryDate],DATE(2026,4,22),tblDaily[WardCode],"FAE")),"")</f>
        <v/>
      </c>
      <c r="M149" s="25">
        <f>IFERROR(IF(SUMIFS(tblDaily[TransfersIn],tblDaily[EntryDate],DATE(2026,4,22),tblDaily[WardCode],"FAE")=0,"",SUMIFS(tblDaily[TransfersIn],tblDaily[EntryDate],DATE(2026,4,22),tblDaily[WardCode],"FAE")),"")</f>
        <v/>
      </c>
      <c r="N149" s="25">
        <f>IFERROR(IF(SUMIFS(tblDaily[TransfersOut],tblDaily[EntryDate],DATE(2026,4,22),tblDaily[WardCode],"FAE")=0,"",SUMIFS(tblDaily[TransfersOut],tblDaily[EntryDate],DATE(2026,4,22),tblDaily[WardCode],"FAE")),"")</f>
        <v/>
      </c>
      <c r="O149" s="25">
        <f>IFERROR(IF(SUMIFS(tblDaily[Remaining],tblDaily[EntryDate],DATE(2026,4,22),tblDaily[WardCode],"FAE")=0,"",SUMIFS(tblDaily[Remaining],tblDaily[EntryDate],DATE(2026,4,22),tblDaily[WardCode],"FAE")),"")</f>
        <v/>
      </c>
      <c r="P149" s="26">
        <f>IF(AND(H149="", O149=""), "", N(H149) + N(O149))</f>
        <v/>
      </c>
    </row>
    <row r="150">
      <c r="A150" s="25" t="n">
        <v>23</v>
      </c>
      <c r="B150" s="25">
        <f>IFERROR(IF(SUMIFS(tblDaily[Admissions],tblDaily[EntryDate],DATE(2026,4,23),tblDaily[WardCode],"MAE")=0,"",SUMIFS(tblDaily[Admissions],tblDaily[EntryDate],DATE(2026,4,23),tblDaily[WardCode],"MAE")),"")</f>
        <v/>
      </c>
      <c r="C150" s="25">
        <f>IFERROR(IF(SUMIFS(tblDaily[Discharges],tblDaily[EntryDate],DATE(2026,4,23),tblDaily[WardCode],"MAE")=0,"",SUMIFS(tblDaily[Discharges],tblDaily[EntryDate],DATE(2026,4,23),tblDaily[WardCode],"MAE")),"")</f>
        <v/>
      </c>
      <c r="D150" s="25">
        <f>IFERROR(IF(SUMIFS(tblDaily[Deaths],tblDaily[EntryDate],DATE(2026,4,23),tblDaily[WardCode],"MAE")=0,"",SUMIFS(tblDaily[Deaths],tblDaily[EntryDate],DATE(2026,4,23),tblDaily[WardCode],"MAE")),"")</f>
        <v/>
      </c>
      <c r="E150" s="25">
        <f>IFERROR(IF(SUMIFS(tblDaily[DeathsUnder24Hrs],tblDaily[EntryDate],DATE(2026,4,23),tblDaily[WardCode],"MAE")=0,"",SUMIFS(tblDaily[DeathsUnder24Hrs],tblDaily[EntryDate],DATE(2026,4,23),tblDaily[WardCode],"MAE")),"")</f>
        <v/>
      </c>
      <c r="F150" s="25">
        <f>IFERROR(IF(SUMIFS(tblDaily[TransfersIn],tblDaily[EntryDate],DATE(2026,4,23),tblDaily[WardCode],"MAE")=0,"",SUMIFS(tblDaily[TransfersIn],tblDaily[EntryDate],DATE(2026,4,23),tblDaily[WardCode],"MAE")),"")</f>
        <v/>
      </c>
      <c r="G150" s="25">
        <f>IFERROR(IF(SUMIFS(tblDaily[TransfersOut],tblDaily[EntryDate],DATE(2026,4,23),tblDaily[WardCode],"MAE")=0,"",SUMIFS(tblDaily[TransfersOut],tblDaily[EntryDate],DATE(2026,4,23),tblDaily[WardCode],"MAE")),"")</f>
        <v/>
      </c>
      <c r="H150" s="25">
        <f>IFERROR(IF(SUMIFS(tblDaily[Remaining],tblDaily[EntryDate],DATE(2026,4,23),tblDaily[WardCode],"MAE")=0,"",SUMIFS(tblDaily[Remaining],tblDaily[EntryDate],DATE(2026,4,23),tblDaily[WardCode],"MAE")),"")</f>
        <v/>
      </c>
      <c r="I150" s="25">
        <f>IFERROR(IF(SUMIFS(tblDaily[Admissions],tblDaily[EntryDate],DATE(2026,4,23),tblDaily[WardCode],"FAE")=0,"",SUMIFS(tblDaily[Admissions],tblDaily[EntryDate],DATE(2026,4,23),tblDaily[WardCode],"FAE")),"")</f>
        <v/>
      </c>
      <c r="J150" s="25">
        <f>IFERROR(IF(SUMIFS(tblDaily[Discharges],tblDaily[EntryDate],DATE(2026,4,23),tblDaily[WardCode],"FAE")=0,"",SUMIFS(tblDaily[Discharges],tblDaily[EntryDate],DATE(2026,4,23),tblDaily[WardCode],"FAE")),"")</f>
        <v/>
      </c>
      <c r="K150" s="25">
        <f>IFERROR(IF(SUMIFS(tblDaily[Deaths],tblDaily[EntryDate],DATE(2026,4,23),tblDaily[WardCode],"FAE")=0,"",SUMIFS(tblDaily[Deaths],tblDaily[EntryDate],DATE(2026,4,23),tblDaily[WardCode],"FAE")),"")</f>
        <v/>
      </c>
      <c r="L150" s="25">
        <f>IFERROR(IF(SUMIFS(tblDaily[DeathsUnder24Hrs],tblDaily[EntryDate],DATE(2026,4,23),tblDaily[WardCode],"FAE")=0,"",SUMIFS(tblDaily[DeathsUnder24Hrs],tblDaily[EntryDate],DATE(2026,4,23),tblDaily[WardCode],"FAE")),"")</f>
        <v/>
      </c>
      <c r="M150" s="25">
        <f>IFERROR(IF(SUMIFS(tblDaily[TransfersIn],tblDaily[EntryDate],DATE(2026,4,23),tblDaily[WardCode],"FAE")=0,"",SUMIFS(tblDaily[TransfersIn],tblDaily[EntryDate],DATE(2026,4,23),tblDaily[WardCode],"FAE")),"")</f>
        <v/>
      </c>
      <c r="N150" s="25">
        <f>IFERROR(IF(SUMIFS(tblDaily[TransfersOut],tblDaily[EntryDate],DATE(2026,4,23),tblDaily[WardCode],"FAE")=0,"",SUMIFS(tblDaily[TransfersOut],tblDaily[EntryDate],DATE(2026,4,23),tblDaily[WardCode],"FAE")),"")</f>
        <v/>
      </c>
      <c r="O150" s="25">
        <f>IFERROR(IF(SUMIFS(tblDaily[Remaining],tblDaily[EntryDate],DATE(2026,4,23),tblDaily[WardCode],"FAE")=0,"",SUMIFS(tblDaily[Remaining],tblDaily[EntryDate],DATE(2026,4,23),tblDaily[WardCode],"FAE")),"")</f>
        <v/>
      </c>
      <c r="P150" s="26">
        <f>IF(AND(H150="", O150=""), "", N(H150) + N(O150))</f>
        <v/>
      </c>
    </row>
    <row r="151">
      <c r="A151" s="25" t="n">
        <v>24</v>
      </c>
      <c r="B151" s="25">
        <f>IFERROR(IF(SUMIFS(tblDaily[Admissions],tblDaily[EntryDate],DATE(2026,4,24),tblDaily[WardCode],"MAE")=0,"",SUMIFS(tblDaily[Admissions],tblDaily[EntryDate],DATE(2026,4,24),tblDaily[WardCode],"MAE")),"")</f>
        <v/>
      </c>
      <c r="C151" s="25">
        <f>IFERROR(IF(SUMIFS(tblDaily[Discharges],tblDaily[EntryDate],DATE(2026,4,24),tblDaily[WardCode],"MAE")=0,"",SUMIFS(tblDaily[Discharges],tblDaily[EntryDate],DATE(2026,4,24),tblDaily[WardCode],"MAE")),"")</f>
        <v/>
      </c>
      <c r="D151" s="25">
        <f>IFERROR(IF(SUMIFS(tblDaily[Deaths],tblDaily[EntryDate],DATE(2026,4,24),tblDaily[WardCode],"MAE")=0,"",SUMIFS(tblDaily[Deaths],tblDaily[EntryDate],DATE(2026,4,24),tblDaily[WardCode],"MAE")),"")</f>
        <v/>
      </c>
      <c r="E151" s="25">
        <f>IFERROR(IF(SUMIFS(tblDaily[DeathsUnder24Hrs],tblDaily[EntryDate],DATE(2026,4,24),tblDaily[WardCode],"MAE")=0,"",SUMIFS(tblDaily[DeathsUnder24Hrs],tblDaily[EntryDate],DATE(2026,4,24),tblDaily[WardCode],"MAE")),"")</f>
        <v/>
      </c>
      <c r="F151" s="25">
        <f>IFERROR(IF(SUMIFS(tblDaily[TransfersIn],tblDaily[EntryDate],DATE(2026,4,24),tblDaily[WardCode],"MAE")=0,"",SUMIFS(tblDaily[TransfersIn],tblDaily[EntryDate],DATE(2026,4,24),tblDaily[WardCode],"MAE")),"")</f>
        <v/>
      </c>
      <c r="G151" s="25">
        <f>IFERROR(IF(SUMIFS(tblDaily[TransfersOut],tblDaily[EntryDate],DATE(2026,4,24),tblDaily[WardCode],"MAE")=0,"",SUMIFS(tblDaily[TransfersOut],tblDaily[EntryDate],DATE(2026,4,24),tblDaily[WardCode],"MAE")),"")</f>
        <v/>
      </c>
      <c r="H151" s="25">
        <f>IFERROR(IF(SUMIFS(tblDaily[Remaining],tblDaily[EntryDate],DATE(2026,4,24),tblDaily[WardCode],"MAE")=0,"",SUMIFS(tblDaily[Remaining],tblDaily[EntryDate],DATE(2026,4,24),tblDaily[WardCode],"MAE")),"")</f>
        <v/>
      </c>
      <c r="I151" s="25">
        <f>IFERROR(IF(SUMIFS(tblDaily[Admissions],tblDaily[EntryDate],DATE(2026,4,24),tblDaily[WardCode],"FAE")=0,"",SUMIFS(tblDaily[Admissions],tblDaily[EntryDate],DATE(2026,4,24),tblDaily[WardCode],"FAE")),"")</f>
        <v/>
      </c>
      <c r="J151" s="25">
        <f>IFERROR(IF(SUMIFS(tblDaily[Discharges],tblDaily[EntryDate],DATE(2026,4,24),tblDaily[WardCode],"FAE")=0,"",SUMIFS(tblDaily[Discharges],tblDaily[EntryDate],DATE(2026,4,24),tblDaily[WardCode],"FAE")),"")</f>
        <v/>
      </c>
      <c r="K151" s="25">
        <f>IFERROR(IF(SUMIFS(tblDaily[Deaths],tblDaily[EntryDate],DATE(2026,4,24),tblDaily[WardCode],"FAE")=0,"",SUMIFS(tblDaily[Deaths],tblDaily[EntryDate],DATE(2026,4,24),tblDaily[WardCode],"FAE")),"")</f>
        <v/>
      </c>
      <c r="L151" s="25">
        <f>IFERROR(IF(SUMIFS(tblDaily[DeathsUnder24Hrs],tblDaily[EntryDate],DATE(2026,4,24),tblDaily[WardCode],"FAE")=0,"",SUMIFS(tblDaily[DeathsUnder24Hrs],tblDaily[EntryDate],DATE(2026,4,24),tblDaily[WardCode],"FAE")),"")</f>
        <v/>
      </c>
      <c r="M151" s="25">
        <f>IFERROR(IF(SUMIFS(tblDaily[TransfersIn],tblDaily[EntryDate],DATE(2026,4,24),tblDaily[WardCode],"FAE")=0,"",SUMIFS(tblDaily[TransfersIn],tblDaily[EntryDate],DATE(2026,4,24),tblDaily[WardCode],"FAE")),"")</f>
        <v/>
      </c>
      <c r="N151" s="25">
        <f>IFERROR(IF(SUMIFS(tblDaily[TransfersOut],tblDaily[EntryDate],DATE(2026,4,24),tblDaily[WardCode],"FAE")=0,"",SUMIFS(tblDaily[TransfersOut],tblDaily[EntryDate],DATE(2026,4,24),tblDaily[WardCode],"FAE")),"")</f>
        <v/>
      </c>
      <c r="O151" s="25">
        <f>IFERROR(IF(SUMIFS(tblDaily[Remaining],tblDaily[EntryDate],DATE(2026,4,24),tblDaily[WardCode],"FAE")=0,"",SUMIFS(tblDaily[Remaining],tblDaily[EntryDate],DATE(2026,4,24),tblDaily[WardCode],"FAE")),"")</f>
        <v/>
      </c>
      <c r="P151" s="26">
        <f>IF(AND(H151="", O151=""), "", N(H151) + N(O151))</f>
        <v/>
      </c>
    </row>
    <row r="152">
      <c r="A152" s="25" t="n">
        <v>25</v>
      </c>
      <c r="B152" s="25">
        <f>IFERROR(IF(SUMIFS(tblDaily[Admissions],tblDaily[EntryDate],DATE(2026,4,25),tblDaily[WardCode],"MAE")=0,"",SUMIFS(tblDaily[Admissions],tblDaily[EntryDate],DATE(2026,4,25),tblDaily[WardCode],"MAE")),"")</f>
        <v/>
      </c>
      <c r="C152" s="25">
        <f>IFERROR(IF(SUMIFS(tblDaily[Discharges],tblDaily[EntryDate],DATE(2026,4,25),tblDaily[WardCode],"MAE")=0,"",SUMIFS(tblDaily[Discharges],tblDaily[EntryDate],DATE(2026,4,25),tblDaily[WardCode],"MAE")),"")</f>
        <v/>
      </c>
      <c r="D152" s="25">
        <f>IFERROR(IF(SUMIFS(tblDaily[Deaths],tblDaily[EntryDate],DATE(2026,4,25),tblDaily[WardCode],"MAE")=0,"",SUMIFS(tblDaily[Deaths],tblDaily[EntryDate],DATE(2026,4,25),tblDaily[WardCode],"MAE")),"")</f>
        <v/>
      </c>
      <c r="E152" s="25">
        <f>IFERROR(IF(SUMIFS(tblDaily[DeathsUnder24Hrs],tblDaily[EntryDate],DATE(2026,4,25),tblDaily[WardCode],"MAE")=0,"",SUMIFS(tblDaily[DeathsUnder24Hrs],tblDaily[EntryDate],DATE(2026,4,25),tblDaily[WardCode],"MAE")),"")</f>
        <v/>
      </c>
      <c r="F152" s="25">
        <f>IFERROR(IF(SUMIFS(tblDaily[TransfersIn],tblDaily[EntryDate],DATE(2026,4,25),tblDaily[WardCode],"MAE")=0,"",SUMIFS(tblDaily[TransfersIn],tblDaily[EntryDate],DATE(2026,4,25),tblDaily[WardCode],"MAE")),"")</f>
        <v/>
      </c>
      <c r="G152" s="25">
        <f>IFERROR(IF(SUMIFS(tblDaily[TransfersOut],tblDaily[EntryDate],DATE(2026,4,25),tblDaily[WardCode],"MAE")=0,"",SUMIFS(tblDaily[TransfersOut],tblDaily[EntryDate],DATE(2026,4,25),tblDaily[WardCode],"MAE")),"")</f>
        <v/>
      </c>
      <c r="H152" s="25">
        <f>IFERROR(IF(SUMIFS(tblDaily[Remaining],tblDaily[EntryDate],DATE(2026,4,25),tblDaily[WardCode],"MAE")=0,"",SUMIFS(tblDaily[Remaining],tblDaily[EntryDate],DATE(2026,4,25),tblDaily[WardCode],"MAE")),"")</f>
        <v/>
      </c>
      <c r="I152" s="25">
        <f>IFERROR(IF(SUMIFS(tblDaily[Admissions],tblDaily[EntryDate],DATE(2026,4,25),tblDaily[WardCode],"FAE")=0,"",SUMIFS(tblDaily[Admissions],tblDaily[EntryDate],DATE(2026,4,25),tblDaily[WardCode],"FAE")),"")</f>
        <v/>
      </c>
      <c r="J152" s="25">
        <f>IFERROR(IF(SUMIFS(tblDaily[Discharges],tblDaily[EntryDate],DATE(2026,4,25),tblDaily[WardCode],"FAE")=0,"",SUMIFS(tblDaily[Discharges],tblDaily[EntryDate],DATE(2026,4,25),tblDaily[WardCode],"FAE")),"")</f>
        <v/>
      </c>
      <c r="K152" s="25">
        <f>IFERROR(IF(SUMIFS(tblDaily[Deaths],tblDaily[EntryDate],DATE(2026,4,25),tblDaily[WardCode],"FAE")=0,"",SUMIFS(tblDaily[Deaths],tblDaily[EntryDate],DATE(2026,4,25),tblDaily[WardCode],"FAE")),"")</f>
        <v/>
      </c>
      <c r="L152" s="25">
        <f>IFERROR(IF(SUMIFS(tblDaily[DeathsUnder24Hrs],tblDaily[EntryDate],DATE(2026,4,25),tblDaily[WardCode],"FAE")=0,"",SUMIFS(tblDaily[DeathsUnder24Hrs],tblDaily[EntryDate],DATE(2026,4,25),tblDaily[WardCode],"FAE")),"")</f>
        <v/>
      </c>
      <c r="M152" s="25">
        <f>IFERROR(IF(SUMIFS(tblDaily[TransfersIn],tblDaily[EntryDate],DATE(2026,4,25),tblDaily[WardCode],"FAE")=0,"",SUMIFS(tblDaily[TransfersIn],tblDaily[EntryDate],DATE(2026,4,25),tblDaily[WardCode],"FAE")),"")</f>
        <v/>
      </c>
      <c r="N152" s="25">
        <f>IFERROR(IF(SUMIFS(tblDaily[TransfersOut],tblDaily[EntryDate],DATE(2026,4,25),tblDaily[WardCode],"FAE")=0,"",SUMIFS(tblDaily[TransfersOut],tblDaily[EntryDate],DATE(2026,4,25),tblDaily[WardCode],"FAE")),"")</f>
        <v/>
      </c>
      <c r="O152" s="25">
        <f>IFERROR(IF(SUMIFS(tblDaily[Remaining],tblDaily[EntryDate],DATE(2026,4,25),tblDaily[WardCode],"FAE")=0,"",SUMIFS(tblDaily[Remaining],tblDaily[EntryDate],DATE(2026,4,25),tblDaily[WardCode],"FAE")),"")</f>
        <v/>
      </c>
      <c r="P152" s="26">
        <f>IF(AND(H152="", O152=""), "", N(H152) + N(O152))</f>
        <v/>
      </c>
    </row>
    <row r="153">
      <c r="A153" s="25" t="n">
        <v>26</v>
      </c>
      <c r="B153" s="25">
        <f>IFERROR(IF(SUMIFS(tblDaily[Admissions],tblDaily[EntryDate],DATE(2026,4,26),tblDaily[WardCode],"MAE")=0,"",SUMIFS(tblDaily[Admissions],tblDaily[EntryDate],DATE(2026,4,26),tblDaily[WardCode],"MAE")),"")</f>
        <v/>
      </c>
      <c r="C153" s="25">
        <f>IFERROR(IF(SUMIFS(tblDaily[Discharges],tblDaily[EntryDate],DATE(2026,4,26),tblDaily[WardCode],"MAE")=0,"",SUMIFS(tblDaily[Discharges],tblDaily[EntryDate],DATE(2026,4,26),tblDaily[WardCode],"MAE")),"")</f>
        <v/>
      </c>
      <c r="D153" s="25">
        <f>IFERROR(IF(SUMIFS(tblDaily[Deaths],tblDaily[EntryDate],DATE(2026,4,26),tblDaily[WardCode],"MAE")=0,"",SUMIFS(tblDaily[Deaths],tblDaily[EntryDate],DATE(2026,4,26),tblDaily[WardCode],"MAE")),"")</f>
        <v/>
      </c>
      <c r="E153" s="25">
        <f>IFERROR(IF(SUMIFS(tblDaily[DeathsUnder24Hrs],tblDaily[EntryDate],DATE(2026,4,26),tblDaily[WardCode],"MAE")=0,"",SUMIFS(tblDaily[DeathsUnder24Hrs],tblDaily[EntryDate],DATE(2026,4,26),tblDaily[WardCode],"MAE")),"")</f>
        <v/>
      </c>
      <c r="F153" s="25">
        <f>IFERROR(IF(SUMIFS(tblDaily[TransfersIn],tblDaily[EntryDate],DATE(2026,4,26),tblDaily[WardCode],"MAE")=0,"",SUMIFS(tblDaily[TransfersIn],tblDaily[EntryDate],DATE(2026,4,26),tblDaily[WardCode],"MAE")),"")</f>
        <v/>
      </c>
      <c r="G153" s="25">
        <f>IFERROR(IF(SUMIFS(tblDaily[TransfersOut],tblDaily[EntryDate],DATE(2026,4,26),tblDaily[WardCode],"MAE")=0,"",SUMIFS(tblDaily[TransfersOut],tblDaily[EntryDate],DATE(2026,4,26),tblDaily[WardCode],"MAE")),"")</f>
        <v/>
      </c>
      <c r="H153" s="25">
        <f>IFERROR(IF(SUMIFS(tblDaily[Remaining],tblDaily[EntryDate],DATE(2026,4,26),tblDaily[WardCode],"MAE")=0,"",SUMIFS(tblDaily[Remaining],tblDaily[EntryDate],DATE(2026,4,26),tblDaily[WardCode],"MAE")),"")</f>
        <v/>
      </c>
      <c r="I153" s="25">
        <f>IFERROR(IF(SUMIFS(tblDaily[Admissions],tblDaily[EntryDate],DATE(2026,4,26),tblDaily[WardCode],"FAE")=0,"",SUMIFS(tblDaily[Admissions],tblDaily[EntryDate],DATE(2026,4,26),tblDaily[WardCode],"FAE")),"")</f>
        <v/>
      </c>
      <c r="J153" s="25">
        <f>IFERROR(IF(SUMIFS(tblDaily[Discharges],tblDaily[EntryDate],DATE(2026,4,26),tblDaily[WardCode],"FAE")=0,"",SUMIFS(tblDaily[Discharges],tblDaily[EntryDate],DATE(2026,4,26),tblDaily[WardCode],"FAE")),"")</f>
        <v/>
      </c>
      <c r="K153" s="25">
        <f>IFERROR(IF(SUMIFS(tblDaily[Deaths],tblDaily[EntryDate],DATE(2026,4,26),tblDaily[WardCode],"FAE")=0,"",SUMIFS(tblDaily[Deaths],tblDaily[EntryDate],DATE(2026,4,26),tblDaily[WardCode],"FAE")),"")</f>
        <v/>
      </c>
      <c r="L153" s="25">
        <f>IFERROR(IF(SUMIFS(tblDaily[DeathsUnder24Hrs],tblDaily[EntryDate],DATE(2026,4,26),tblDaily[WardCode],"FAE")=0,"",SUMIFS(tblDaily[DeathsUnder24Hrs],tblDaily[EntryDate],DATE(2026,4,26),tblDaily[WardCode],"FAE")),"")</f>
        <v/>
      </c>
      <c r="M153" s="25">
        <f>IFERROR(IF(SUMIFS(tblDaily[TransfersIn],tblDaily[EntryDate],DATE(2026,4,26),tblDaily[WardCode],"FAE")=0,"",SUMIFS(tblDaily[TransfersIn],tblDaily[EntryDate],DATE(2026,4,26),tblDaily[WardCode],"FAE")),"")</f>
        <v/>
      </c>
      <c r="N153" s="25">
        <f>IFERROR(IF(SUMIFS(tblDaily[TransfersOut],tblDaily[EntryDate],DATE(2026,4,26),tblDaily[WardCode],"FAE")=0,"",SUMIFS(tblDaily[TransfersOut],tblDaily[EntryDate],DATE(2026,4,26),tblDaily[WardCode],"FAE")),"")</f>
        <v/>
      </c>
      <c r="O153" s="25">
        <f>IFERROR(IF(SUMIFS(tblDaily[Remaining],tblDaily[EntryDate],DATE(2026,4,26),tblDaily[WardCode],"FAE")=0,"",SUMIFS(tblDaily[Remaining],tblDaily[EntryDate],DATE(2026,4,26),tblDaily[WardCode],"FAE")),"")</f>
        <v/>
      </c>
      <c r="P153" s="26">
        <f>IF(AND(H153="", O153=""), "", N(H153) + N(O153))</f>
        <v/>
      </c>
    </row>
    <row r="154">
      <c r="A154" s="25" t="n">
        <v>27</v>
      </c>
      <c r="B154" s="25">
        <f>IFERROR(IF(SUMIFS(tblDaily[Admissions],tblDaily[EntryDate],DATE(2026,4,27),tblDaily[WardCode],"MAE")=0,"",SUMIFS(tblDaily[Admissions],tblDaily[EntryDate],DATE(2026,4,27),tblDaily[WardCode],"MAE")),"")</f>
        <v/>
      </c>
      <c r="C154" s="25">
        <f>IFERROR(IF(SUMIFS(tblDaily[Discharges],tblDaily[EntryDate],DATE(2026,4,27),tblDaily[WardCode],"MAE")=0,"",SUMIFS(tblDaily[Discharges],tblDaily[EntryDate],DATE(2026,4,27),tblDaily[WardCode],"MAE")),"")</f>
        <v/>
      </c>
      <c r="D154" s="25">
        <f>IFERROR(IF(SUMIFS(tblDaily[Deaths],tblDaily[EntryDate],DATE(2026,4,27),tblDaily[WardCode],"MAE")=0,"",SUMIFS(tblDaily[Deaths],tblDaily[EntryDate],DATE(2026,4,27),tblDaily[WardCode],"MAE")),"")</f>
        <v/>
      </c>
      <c r="E154" s="25">
        <f>IFERROR(IF(SUMIFS(tblDaily[DeathsUnder24Hrs],tblDaily[EntryDate],DATE(2026,4,27),tblDaily[WardCode],"MAE")=0,"",SUMIFS(tblDaily[DeathsUnder24Hrs],tblDaily[EntryDate],DATE(2026,4,27),tblDaily[WardCode],"MAE")),"")</f>
        <v/>
      </c>
      <c r="F154" s="25">
        <f>IFERROR(IF(SUMIFS(tblDaily[TransfersIn],tblDaily[EntryDate],DATE(2026,4,27),tblDaily[WardCode],"MAE")=0,"",SUMIFS(tblDaily[TransfersIn],tblDaily[EntryDate],DATE(2026,4,27),tblDaily[WardCode],"MAE")),"")</f>
        <v/>
      </c>
      <c r="G154" s="25">
        <f>IFERROR(IF(SUMIFS(tblDaily[TransfersOut],tblDaily[EntryDate],DATE(2026,4,27),tblDaily[WardCode],"MAE")=0,"",SUMIFS(tblDaily[TransfersOut],tblDaily[EntryDate],DATE(2026,4,27),tblDaily[WardCode],"MAE")),"")</f>
        <v/>
      </c>
      <c r="H154" s="25">
        <f>IFERROR(IF(SUMIFS(tblDaily[Remaining],tblDaily[EntryDate],DATE(2026,4,27),tblDaily[WardCode],"MAE")=0,"",SUMIFS(tblDaily[Remaining],tblDaily[EntryDate],DATE(2026,4,27),tblDaily[WardCode],"MAE")),"")</f>
        <v/>
      </c>
      <c r="I154" s="25">
        <f>IFERROR(IF(SUMIFS(tblDaily[Admissions],tblDaily[EntryDate],DATE(2026,4,27),tblDaily[WardCode],"FAE")=0,"",SUMIFS(tblDaily[Admissions],tblDaily[EntryDate],DATE(2026,4,27),tblDaily[WardCode],"FAE")),"")</f>
        <v/>
      </c>
      <c r="J154" s="25">
        <f>IFERROR(IF(SUMIFS(tblDaily[Discharges],tblDaily[EntryDate],DATE(2026,4,27),tblDaily[WardCode],"FAE")=0,"",SUMIFS(tblDaily[Discharges],tblDaily[EntryDate],DATE(2026,4,27),tblDaily[WardCode],"FAE")),"")</f>
        <v/>
      </c>
      <c r="K154" s="25">
        <f>IFERROR(IF(SUMIFS(tblDaily[Deaths],tblDaily[EntryDate],DATE(2026,4,27),tblDaily[WardCode],"FAE")=0,"",SUMIFS(tblDaily[Deaths],tblDaily[EntryDate],DATE(2026,4,27),tblDaily[WardCode],"FAE")),"")</f>
        <v/>
      </c>
      <c r="L154" s="25">
        <f>IFERROR(IF(SUMIFS(tblDaily[DeathsUnder24Hrs],tblDaily[EntryDate],DATE(2026,4,27),tblDaily[WardCode],"FAE")=0,"",SUMIFS(tblDaily[DeathsUnder24Hrs],tblDaily[EntryDate],DATE(2026,4,27),tblDaily[WardCode],"FAE")),"")</f>
        <v/>
      </c>
      <c r="M154" s="25">
        <f>IFERROR(IF(SUMIFS(tblDaily[TransfersIn],tblDaily[EntryDate],DATE(2026,4,27),tblDaily[WardCode],"FAE")=0,"",SUMIFS(tblDaily[TransfersIn],tblDaily[EntryDate],DATE(2026,4,27),tblDaily[WardCode],"FAE")),"")</f>
        <v/>
      </c>
      <c r="N154" s="25">
        <f>IFERROR(IF(SUMIFS(tblDaily[TransfersOut],tblDaily[EntryDate],DATE(2026,4,27),tblDaily[WardCode],"FAE")=0,"",SUMIFS(tblDaily[TransfersOut],tblDaily[EntryDate],DATE(2026,4,27),tblDaily[WardCode],"FAE")),"")</f>
        <v/>
      </c>
      <c r="O154" s="25">
        <f>IFERROR(IF(SUMIFS(tblDaily[Remaining],tblDaily[EntryDate],DATE(2026,4,27),tblDaily[WardCode],"FAE")=0,"",SUMIFS(tblDaily[Remaining],tblDaily[EntryDate],DATE(2026,4,27),tblDaily[WardCode],"FAE")),"")</f>
        <v/>
      </c>
      <c r="P154" s="26">
        <f>IF(AND(H154="", O154=""), "", N(H154) + N(O154))</f>
        <v/>
      </c>
    </row>
    <row r="155">
      <c r="A155" s="25" t="n">
        <v>28</v>
      </c>
      <c r="B155" s="25">
        <f>IFERROR(IF(SUMIFS(tblDaily[Admissions],tblDaily[EntryDate],DATE(2026,4,28),tblDaily[WardCode],"MAE")=0,"",SUMIFS(tblDaily[Admissions],tblDaily[EntryDate],DATE(2026,4,28),tblDaily[WardCode],"MAE")),"")</f>
        <v/>
      </c>
      <c r="C155" s="25">
        <f>IFERROR(IF(SUMIFS(tblDaily[Discharges],tblDaily[EntryDate],DATE(2026,4,28),tblDaily[WardCode],"MAE")=0,"",SUMIFS(tblDaily[Discharges],tblDaily[EntryDate],DATE(2026,4,28),tblDaily[WardCode],"MAE")),"")</f>
        <v/>
      </c>
      <c r="D155" s="25">
        <f>IFERROR(IF(SUMIFS(tblDaily[Deaths],tblDaily[EntryDate],DATE(2026,4,28),tblDaily[WardCode],"MAE")=0,"",SUMIFS(tblDaily[Deaths],tblDaily[EntryDate],DATE(2026,4,28),tblDaily[WardCode],"MAE")),"")</f>
        <v/>
      </c>
      <c r="E155" s="25">
        <f>IFERROR(IF(SUMIFS(tblDaily[DeathsUnder24Hrs],tblDaily[EntryDate],DATE(2026,4,28),tblDaily[WardCode],"MAE")=0,"",SUMIFS(tblDaily[DeathsUnder24Hrs],tblDaily[EntryDate],DATE(2026,4,28),tblDaily[WardCode],"MAE")),"")</f>
        <v/>
      </c>
      <c r="F155" s="25">
        <f>IFERROR(IF(SUMIFS(tblDaily[TransfersIn],tblDaily[EntryDate],DATE(2026,4,28),tblDaily[WardCode],"MAE")=0,"",SUMIFS(tblDaily[TransfersIn],tblDaily[EntryDate],DATE(2026,4,28),tblDaily[WardCode],"MAE")),"")</f>
        <v/>
      </c>
      <c r="G155" s="25">
        <f>IFERROR(IF(SUMIFS(tblDaily[TransfersOut],tblDaily[EntryDate],DATE(2026,4,28),tblDaily[WardCode],"MAE")=0,"",SUMIFS(tblDaily[TransfersOut],tblDaily[EntryDate],DATE(2026,4,28),tblDaily[WardCode],"MAE")),"")</f>
        <v/>
      </c>
      <c r="H155" s="25">
        <f>IFERROR(IF(SUMIFS(tblDaily[Remaining],tblDaily[EntryDate],DATE(2026,4,28),tblDaily[WardCode],"MAE")=0,"",SUMIFS(tblDaily[Remaining],tblDaily[EntryDate],DATE(2026,4,28),tblDaily[WardCode],"MAE")),"")</f>
        <v/>
      </c>
      <c r="I155" s="25">
        <f>IFERROR(IF(SUMIFS(tblDaily[Admissions],tblDaily[EntryDate],DATE(2026,4,28),tblDaily[WardCode],"FAE")=0,"",SUMIFS(tblDaily[Admissions],tblDaily[EntryDate],DATE(2026,4,28),tblDaily[WardCode],"FAE")),"")</f>
        <v/>
      </c>
      <c r="J155" s="25">
        <f>IFERROR(IF(SUMIFS(tblDaily[Discharges],tblDaily[EntryDate],DATE(2026,4,28),tblDaily[WardCode],"FAE")=0,"",SUMIFS(tblDaily[Discharges],tblDaily[EntryDate],DATE(2026,4,28),tblDaily[WardCode],"FAE")),"")</f>
        <v/>
      </c>
      <c r="K155" s="25">
        <f>IFERROR(IF(SUMIFS(tblDaily[Deaths],tblDaily[EntryDate],DATE(2026,4,28),tblDaily[WardCode],"FAE")=0,"",SUMIFS(tblDaily[Deaths],tblDaily[EntryDate],DATE(2026,4,28),tblDaily[WardCode],"FAE")),"")</f>
        <v/>
      </c>
      <c r="L155" s="25">
        <f>IFERROR(IF(SUMIFS(tblDaily[DeathsUnder24Hrs],tblDaily[EntryDate],DATE(2026,4,28),tblDaily[WardCode],"FAE")=0,"",SUMIFS(tblDaily[DeathsUnder24Hrs],tblDaily[EntryDate],DATE(2026,4,28),tblDaily[WardCode],"FAE")),"")</f>
        <v/>
      </c>
      <c r="M155" s="25">
        <f>IFERROR(IF(SUMIFS(tblDaily[TransfersIn],tblDaily[EntryDate],DATE(2026,4,28),tblDaily[WardCode],"FAE")=0,"",SUMIFS(tblDaily[TransfersIn],tblDaily[EntryDate],DATE(2026,4,28),tblDaily[WardCode],"FAE")),"")</f>
        <v/>
      </c>
      <c r="N155" s="25">
        <f>IFERROR(IF(SUMIFS(tblDaily[TransfersOut],tblDaily[EntryDate],DATE(2026,4,28),tblDaily[WardCode],"FAE")=0,"",SUMIFS(tblDaily[TransfersOut],tblDaily[EntryDate],DATE(2026,4,28),tblDaily[WardCode],"FAE")),"")</f>
        <v/>
      </c>
      <c r="O155" s="25">
        <f>IFERROR(IF(SUMIFS(tblDaily[Remaining],tblDaily[EntryDate],DATE(2026,4,28),tblDaily[WardCode],"FAE")=0,"",SUMIFS(tblDaily[Remaining],tblDaily[EntryDate],DATE(2026,4,28),tblDaily[WardCode],"FAE")),"")</f>
        <v/>
      </c>
      <c r="P155" s="26">
        <f>IF(AND(H155="", O155=""), "", N(H155) + N(O155))</f>
        <v/>
      </c>
    </row>
    <row r="156">
      <c r="A156" s="25" t="n">
        <v>29</v>
      </c>
      <c r="B156" s="25">
        <f>IFERROR(IF(SUMIFS(tblDaily[Admissions],tblDaily[EntryDate],DATE(2026,4,29),tblDaily[WardCode],"MAE")=0,"",SUMIFS(tblDaily[Admissions],tblDaily[EntryDate],DATE(2026,4,29),tblDaily[WardCode],"MAE")),"")</f>
        <v/>
      </c>
      <c r="C156" s="25">
        <f>IFERROR(IF(SUMIFS(tblDaily[Discharges],tblDaily[EntryDate],DATE(2026,4,29),tblDaily[WardCode],"MAE")=0,"",SUMIFS(tblDaily[Discharges],tblDaily[EntryDate],DATE(2026,4,29),tblDaily[WardCode],"MAE")),"")</f>
        <v/>
      </c>
      <c r="D156" s="25">
        <f>IFERROR(IF(SUMIFS(tblDaily[Deaths],tblDaily[EntryDate],DATE(2026,4,29),tblDaily[WardCode],"MAE")=0,"",SUMIFS(tblDaily[Deaths],tblDaily[EntryDate],DATE(2026,4,29),tblDaily[WardCode],"MAE")),"")</f>
        <v/>
      </c>
      <c r="E156" s="25">
        <f>IFERROR(IF(SUMIFS(tblDaily[DeathsUnder24Hrs],tblDaily[EntryDate],DATE(2026,4,29),tblDaily[WardCode],"MAE")=0,"",SUMIFS(tblDaily[DeathsUnder24Hrs],tblDaily[EntryDate],DATE(2026,4,29),tblDaily[WardCode],"MAE")),"")</f>
        <v/>
      </c>
      <c r="F156" s="25">
        <f>IFERROR(IF(SUMIFS(tblDaily[TransfersIn],tblDaily[EntryDate],DATE(2026,4,29),tblDaily[WardCode],"MAE")=0,"",SUMIFS(tblDaily[TransfersIn],tblDaily[EntryDate],DATE(2026,4,29),tblDaily[WardCode],"MAE")),"")</f>
        <v/>
      </c>
      <c r="G156" s="25">
        <f>IFERROR(IF(SUMIFS(tblDaily[TransfersOut],tblDaily[EntryDate],DATE(2026,4,29),tblDaily[WardCode],"MAE")=0,"",SUMIFS(tblDaily[TransfersOut],tblDaily[EntryDate],DATE(2026,4,29),tblDaily[WardCode],"MAE")),"")</f>
        <v/>
      </c>
      <c r="H156" s="25">
        <f>IFERROR(IF(SUMIFS(tblDaily[Remaining],tblDaily[EntryDate],DATE(2026,4,29),tblDaily[WardCode],"MAE")=0,"",SUMIFS(tblDaily[Remaining],tblDaily[EntryDate],DATE(2026,4,29),tblDaily[WardCode],"MAE")),"")</f>
        <v/>
      </c>
      <c r="I156" s="25">
        <f>IFERROR(IF(SUMIFS(tblDaily[Admissions],tblDaily[EntryDate],DATE(2026,4,29),tblDaily[WardCode],"FAE")=0,"",SUMIFS(tblDaily[Admissions],tblDaily[EntryDate],DATE(2026,4,29),tblDaily[WardCode],"FAE")),"")</f>
        <v/>
      </c>
      <c r="J156" s="25">
        <f>IFERROR(IF(SUMIFS(tblDaily[Discharges],tblDaily[EntryDate],DATE(2026,4,29),tblDaily[WardCode],"FAE")=0,"",SUMIFS(tblDaily[Discharges],tblDaily[EntryDate],DATE(2026,4,29),tblDaily[WardCode],"FAE")),"")</f>
        <v/>
      </c>
      <c r="K156" s="25">
        <f>IFERROR(IF(SUMIFS(tblDaily[Deaths],tblDaily[EntryDate],DATE(2026,4,29),tblDaily[WardCode],"FAE")=0,"",SUMIFS(tblDaily[Deaths],tblDaily[EntryDate],DATE(2026,4,29),tblDaily[WardCode],"FAE")),"")</f>
        <v/>
      </c>
      <c r="L156" s="25">
        <f>IFERROR(IF(SUMIFS(tblDaily[DeathsUnder24Hrs],tblDaily[EntryDate],DATE(2026,4,29),tblDaily[WardCode],"FAE")=0,"",SUMIFS(tblDaily[DeathsUnder24Hrs],tblDaily[EntryDate],DATE(2026,4,29),tblDaily[WardCode],"FAE")),"")</f>
        <v/>
      </c>
      <c r="M156" s="25">
        <f>IFERROR(IF(SUMIFS(tblDaily[TransfersIn],tblDaily[EntryDate],DATE(2026,4,29),tblDaily[WardCode],"FAE")=0,"",SUMIFS(tblDaily[TransfersIn],tblDaily[EntryDate],DATE(2026,4,29),tblDaily[WardCode],"FAE")),"")</f>
        <v/>
      </c>
      <c r="N156" s="25">
        <f>IFERROR(IF(SUMIFS(tblDaily[TransfersOut],tblDaily[EntryDate],DATE(2026,4,29),tblDaily[WardCode],"FAE")=0,"",SUMIFS(tblDaily[TransfersOut],tblDaily[EntryDate],DATE(2026,4,29),tblDaily[WardCode],"FAE")),"")</f>
        <v/>
      </c>
      <c r="O156" s="25">
        <f>IFERROR(IF(SUMIFS(tblDaily[Remaining],tblDaily[EntryDate],DATE(2026,4,29),tblDaily[WardCode],"FAE")=0,"",SUMIFS(tblDaily[Remaining],tblDaily[EntryDate],DATE(2026,4,29),tblDaily[WardCode],"FAE")),"")</f>
        <v/>
      </c>
      <c r="P156" s="26">
        <f>IF(AND(H156="", O156=""), "", N(H156) + N(O156))</f>
        <v/>
      </c>
    </row>
    <row r="157">
      <c r="A157" s="25" t="n">
        <v>30</v>
      </c>
      <c r="B157" s="25">
        <f>IFERROR(IF(SUMIFS(tblDaily[Admissions],tblDaily[EntryDate],DATE(2026,4,30),tblDaily[WardCode],"MAE")=0,"",SUMIFS(tblDaily[Admissions],tblDaily[EntryDate],DATE(2026,4,30),tblDaily[WardCode],"MAE")),"")</f>
        <v/>
      </c>
      <c r="C157" s="25">
        <f>IFERROR(IF(SUMIFS(tblDaily[Discharges],tblDaily[EntryDate],DATE(2026,4,30),tblDaily[WardCode],"MAE")=0,"",SUMIFS(tblDaily[Discharges],tblDaily[EntryDate],DATE(2026,4,30),tblDaily[WardCode],"MAE")),"")</f>
        <v/>
      </c>
      <c r="D157" s="25">
        <f>IFERROR(IF(SUMIFS(tblDaily[Deaths],tblDaily[EntryDate],DATE(2026,4,30),tblDaily[WardCode],"MAE")=0,"",SUMIFS(tblDaily[Deaths],tblDaily[EntryDate],DATE(2026,4,30),tblDaily[WardCode],"MAE")),"")</f>
        <v/>
      </c>
      <c r="E157" s="25">
        <f>IFERROR(IF(SUMIFS(tblDaily[DeathsUnder24Hrs],tblDaily[EntryDate],DATE(2026,4,30),tblDaily[WardCode],"MAE")=0,"",SUMIFS(tblDaily[DeathsUnder24Hrs],tblDaily[EntryDate],DATE(2026,4,30),tblDaily[WardCode],"MAE")),"")</f>
        <v/>
      </c>
      <c r="F157" s="25">
        <f>IFERROR(IF(SUMIFS(tblDaily[TransfersIn],tblDaily[EntryDate],DATE(2026,4,30),tblDaily[WardCode],"MAE")=0,"",SUMIFS(tblDaily[TransfersIn],tblDaily[EntryDate],DATE(2026,4,30),tblDaily[WardCode],"MAE")),"")</f>
        <v/>
      </c>
      <c r="G157" s="25">
        <f>IFERROR(IF(SUMIFS(tblDaily[TransfersOut],tblDaily[EntryDate],DATE(2026,4,30),tblDaily[WardCode],"MAE")=0,"",SUMIFS(tblDaily[TransfersOut],tblDaily[EntryDate],DATE(2026,4,30),tblDaily[WardCode],"MAE")),"")</f>
        <v/>
      </c>
      <c r="H157" s="25">
        <f>IFERROR(IF(SUMIFS(tblDaily[Remaining],tblDaily[EntryDate],DATE(2026,4,30),tblDaily[WardCode],"MAE")=0,"",SUMIFS(tblDaily[Remaining],tblDaily[EntryDate],DATE(2026,4,30),tblDaily[WardCode],"MAE")),"")</f>
        <v/>
      </c>
      <c r="I157" s="25">
        <f>IFERROR(IF(SUMIFS(tblDaily[Admissions],tblDaily[EntryDate],DATE(2026,4,30),tblDaily[WardCode],"FAE")=0,"",SUMIFS(tblDaily[Admissions],tblDaily[EntryDate],DATE(2026,4,30),tblDaily[WardCode],"FAE")),"")</f>
        <v/>
      </c>
      <c r="J157" s="25">
        <f>IFERROR(IF(SUMIFS(tblDaily[Discharges],tblDaily[EntryDate],DATE(2026,4,30),tblDaily[WardCode],"FAE")=0,"",SUMIFS(tblDaily[Discharges],tblDaily[EntryDate],DATE(2026,4,30),tblDaily[WardCode],"FAE")),"")</f>
        <v/>
      </c>
      <c r="K157" s="25">
        <f>IFERROR(IF(SUMIFS(tblDaily[Deaths],tblDaily[EntryDate],DATE(2026,4,30),tblDaily[WardCode],"FAE")=0,"",SUMIFS(tblDaily[Deaths],tblDaily[EntryDate],DATE(2026,4,30),tblDaily[WardCode],"FAE")),"")</f>
        <v/>
      </c>
      <c r="L157" s="25">
        <f>IFERROR(IF(SUMIFS(tblDaily[DeathsUnder24Hrs],tblDaily[EntryDate],DATE(2026,4,30),tblDaily[WardCode],"FAE")=0,"",SUMIFS(tblDaily[DeathsUnder24Hrs],tblDaily[EntryDate],DATE(2026,4,30),tblDaily[WardCode],"FAE")),"")</f>
        <v/>
      </c>
      <c r="M157" s="25">
        <f>IFERROR(IF(SUMIFS(tblDaily[TransfersIn],tblDaily[EntryDate],DATE(2026,4,30),tblDaily[WardCode],"FAE")=0,"",SUMIFS(tblDaily[TransfersIn],tblDaily[EntryDate],DATE(2026,4,30),tblDaily[WardCode],"FAE")),"")</f>
        <v/>
      </c>
      <c r="N157" s="25">
        <f>IFERROR(IF(SUMIFS(tblDaily[TransfersOut],tblDaily[EntryDate],DATE(2026,4,30),tblDaily[WardCode],"FAE")=0,"",SUMIFS(tblDaily[TransfersOut],tblDaily[EntryDate],DATE(2026,4,30),tblDaily[WardCode],"FAE")),"")</f>
        <v/>
      </c>
      <c r="O157" s="25">
        <f>IFERROR(IF(SUMIFS(tblDaily[Remaining],tblDaily[EntryDate],DATE(2026,4,30),tblDaily[WardCode],"FAE")=0,"",SUMIFS(tblDaily[Remaining],tblDaily[EntryDate],DATE(2026,4,30),tblDaily[WardCode],"FAE")),"")</f>
        <v/>
      </c>
      <c r="P157" s="26">
        <f>IF(AND(H157="", O157=""), "", N(H157) + N(O157))</f>
        <v/>
      </c>
    </row>
    <row r="158">
      <c r="A158" s="25" t="n">
        <v>31</v>
      </c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</row>
    <row r="159">
      <c r="A159" s="17" t="inlineStr">
        <is>
          <t>TOTAL</t>
        </is>
      </c>
      <c r="B159" s="17">
        <f>SUMIFS(tblDaily[Admissions],tblDaily[Month],4,tblDaily[WardCode],"MAE") - SUMIFS(tblDaily[DeathsUnder24Hrs],tblDaily[Month],4,tblDaily[WardCode],"MAE")</f>
        <v/>
      </c>
      <c r="C159" s="17">
        <f>SUMIFS(tblDaily[Discharges],tblDaily[Month],4,tblDaily[WardCode],"MAE")</f>
        <v/>
      </c>
      <c r="D159" s="17">
        <f>SUMIFS(tblDaily[Deaths],tblDaily[Month],4,tblDaily[WardCode],"MAE")</f>
        <v/>
      </c>
      <c r="E159" s="17">
        <f>SUMIFS(tblDaily[DeathsUnder24Hrs],tblDaily[Month],4,tblDaily[WardCode],"MAE")</f>
        <v/>
      </c>
      <c r="F159" s="17">
        <f>SUMIFS(tblDaily[TransfersIn],tblDaily[Month],4,tblDaily[WardCode],"MAE")</f>
        <v/>
      </c>
      <c r="G159" s="17">
        <f>SUMIFS(tblDaily[TransfersOut],tblDaily[Month],4,tblDaily[WardCode],"MAE")</f>
        <v/>
      </c>
      <c r="H159" s="17">
        <f>SUMIFS(tblDaily[Remaining],tblDaily[Month],4,tblDaily[WardCode],"MAE")</f>
        <v/>
      </c>
      <c r="I159" s="17">
        <f>SUMIFS(tblDaily[Admissions],tblDaily[Month],4,tblDaily[WardCode],"FAE") - SUMIFS(tblDaily[DeathsUnder24Hrs],tblDaily[Month],4,tblDaily[WardCode],"FAE")</f>
        <v/>
      </c>
      <c r="J159" s="17">
        <f>SUMIFS(tblDaily[Discharges],tblDaily[Month],4,tblDaily[WardCode],"FAE")</f>
        <v/>
      </c>
      <c r="K159" s="17">
        <f>SUMIFS(tblDaily[Deaths],tblDaily[Month],4,tblDaily[WardCode],"FAE")</f>
        <v/>
      </c>
      <c r="L159" s="17">
        <f>SUMIFS(tblDaily[DeathsUnder24Hrs],tblDaily[Month],4,tblDaily[WardCode],"FAE")</f>
        <v/>
      </c>
      <c r="M159" s="17">
        <f>SUMIFS(tblDaily[TransfersIn],tblDaily[Month],4,tblDaily[WardCode],"FAE")</f>
        <v/>
      </c>
      <c r="N159" s="17">
        <f>SUMIFS(tblDaily[TransfersOut],tblDaily[Month],4,tblDaily[WardCode],"FAE")</f>
        <v/>
      </c>
      <c r="O159" s="17">
        <f>SUMIFS(tblDaily[Remaining],tblDaily[Month],4,tblDaily[WardCode],"FAE")</f>
        <v/>
      </c>
      <c r="P159" s="17">
        <f>H159 + O159</f>
        <v/>
      </c>
    </row>
    <row r="161">
      <c r="A161" s="19" t="inlineStr">
        <is>
          <t>GHANA HEALTH SERVICE</t>
        </is>
      </c>
    </row>
    <row r="162">
      <c r="A162" s="2" t="inlineStr">
        <is>
          <t>DAILY BED UTILIZATION FORM</t>
        </is>
      </c>
    </row>
    <row r="163">
      <c r="A163" s="4" t="inlineStr">
        <is>
          <t>Hospital:</t>
        </is>
      </c>
      <c r="B163" s="5" t="inlineStr">
        <is>
          <t>HOHOE MUNICIPAL HOSPITAL</t>
        </is>
      </c>
      <c r="E163" s="4" t="inlineStr">
        <is>
          <t>Ward:</t>
        </is>
      </c>
      <c r="F163" s="4" t="inlineStr">
        <is>
          <t>EMERGENCY (COMBINED)</t>
        </is>
      </c>
      <c r="M163" s="4" t="inlineStr">
        <is>
          <t>MONTH</t>
        </is>
      </c>
      <c r="N163" s="4" t="inlineStr">
        <is>
          <t>MAY</t>
        </is>
      </c>
    </row>
    <row r="164">
      <c r="A164" s="4" t="inlineStr">
        <is>
          <t>Number of patients remaining as at last day of previous month</t>
        </is>
      </c>
      <c r="B164" s="20">
        <f>IFERROR(SUMIFS(tblDaily[Remaining],tblDaily[EntryDate],DATE(2026,4,30),tblDaily[WardCode],"MAE"),0)</f>
        <v/>
      </c>
      <c r="I164" s="20">
        <f>IFERROR(SUMIFS(tblDaily[Remaining],tblDaily[EntryDate],DATE(2026,4,30),tblDaily[WardCode],"FAE"),0)</f>
        <v/>
      </c>
    </row>
    <row r="165">
      <c r="A165" s="4" t="inlineStr">
        <is>
          <t>Bed complement</t>
        </is>
      </c>
      <c r="B165" s="20">
        <f>IFERROR(INDEX(tblWardConfig[BedComplement],MATCH("MAE",tblWardConfig[WardCode],0)),0)</f>
        <v/>
      </c>
      <c r="I165" s="20">
        <f>IFERROR(INDEX(tblWardConfig[BedComplement],MATCH("FAE",tblWardConfig[WardCode],0)),0)</f>
        <v/>
      </c>
      <c r="O165" s="21">
        <f>B165+I165</f>
        <v/>
      </c>
    </row>
    <row r="166">
      <c r="A166" s="11" t="inlineStr">
        <is>
          <t>Day</t>
        </is>
      </c>
      <c r="B166" s="22" t="inlineStr">
        <is>
          <t>MALE EMERGENCY</t>
        </is>
      </c>
      <c r="I166" s="23" t="inlineStr">
        <is>
          <t>FEMALE EMERGENCY</t>
        </is>
      </c>
      <c r="P166" s="24" t="inlineStr">
        <is>
          <t>TOTAL</t>
        </is>
      </c>
    </row>
    <row r="167">
      <c r="A167" s="11" t="inlineStr">
        <is>
          <t>Day</t>
        </is>
      </c>
      <c r="B167" s="11" t="inlineStr">
        <is>
          <t>Adm</t>
        </is>
      </c>
      <c r="C167" s="11" t="inlineStr">
        <is>
          <t>Dis</t>
        </is>
      </c>
      <c r="D167" s="11" t="inlineStr">
        <is>
          <t>Dth</t>
        </is>
      </c>
      <c r="E167" s="11" t="inlineStr">
        <is>
          <t>D&lt;24</t>
        </is>
      </c>
      <c r="F167" s="11" t="inlineStr">
        <is>
          <t>TrIn</t>
        </is>
      </c>
      <c r="G167" s="11" t="inlineStr">
        <is>
          <t>TrOut</t>
        </is>
      </c>
      <c r="H167" s="11" t="inlineStr">
        <is>
          <t>Rem</t>
        </is>
      </c>
      <c r="I167" s="11" t="inlineStr">
        <is>
          <t>Adm</t>
        </is>
      </c>
      <c r="J167" s="11" t="inlineStr">
        <is>
          <t>Dis</t>
        </is>
      </c>
      <c r="K167" s="11" t="inlineStr">
        <is>
          <t>Dth</t>
        </is>
      </c>
      <c r="L167" s="11" t="inlineStr">
        <is>
          <t>D&lt;24</t>
        </is>
      </c>
      <c r="M167" s="11" t="inlineStr">
        <is>
          <t>TrIn</t>
        </is>
      </c>
      <c r="N167" s="11" t="inlineStr">
        <is>
          <t>TrOut</t>
        </is>
      </c>
      <c r="O167" s="11" t="inlineStr">
        <is>
          <t>Rem</t>
        </is>
      </c>
      <c r="P167" s="11" t="inlineStr">
        <is>
          <t>Tot
Rem</t>
        </is>
      </c>
    </row>
    <row r="168">
      <c r="A168" s="25" t="n">
        <v>1</v>
      </c>
      <c r="B168" s="25">
        <f>IFERROR(IF(SUMIFS(tblDaily[Admissions],tblDaily[EntryDate],DATE(2026,5,1),tblDaily[WardCode],"MAE")=0,"",SUMIFS(tblDaily[Admissions],tblDaily[EntryDate],DATE(2026,5,1),tblDaily[WardCode],"MAE")),"")</f>
        <v/>
      </c>
      <c r="C168" s="25">
        <f>IFERROR(IF(SUMIFS(tblDaily[Discharges],tblDaily[EntryDate],DATE(2026,5,1),tblDaily[WardCode],"MAE")=0,"",SUMIFS(tblDaily[Discharges],tblDaily[EntryDate],DATE(2026,5,1),tblDaily[WardCode],"MAE")),"")</f>
        <v/>
      </c>
      <c r="D168" s="25">
        <f>IFERROR(IF(SUMIFS(tblDaily[Deaths],tblDaily[EntryDate],DATE(2026,5,1),tblDaily[WardCode],"MAE")=0,"",SUMIFS(tblDaily[Deaths],tblDaily[EntryDate],DATE(2026,5,1),tblDaily[WardCode],"MAE")),"")</f>
        <v/>
      </c>
      <c r="E168" s="25">
        <f>IFERROR(IF(SUMIFS(tblDaily[DeathsUnder24Hrs],tblDaily[EntryDate],DATE(2026,5,1),tblDaily[WardCode],"MAE")=0,"",SUMIFS(tblDaily[DeathsUnder24Hrs],tblDaily[EntryDate],DATE(2026,5,1),tblDaily[WardCode],"MAE")),"")</f>
        <v/>
      </c>
      <c r="F168" s="25">
        <f>IFERROR(IF(SUMIFS(tblDaily[TransfersIn],tblDaily[EntryDate],DATE(2026,5,1),tblDaily[WardCode],"MAE")=0,"",SUMIFS(tblDaily[TransfersIn],tblDaily[EntryDate],DATE(2026,5,1),tblDaily[WardCode],"MAE")),"")</f>
        <v/>
      </c>
      <c r="G168" s="25">
        <f>IFERROR(IF(SUMIFS(tblDaily[TransfersOut],tblDaily[EntryDate],DATE(2026,5,1),tblDaily[WardCode],"MAE")=0,"",SUMIFS(tblDaily[TransfersOut],tblDaily[EntryDate],DATE(2026,5,1),tblDaily[WardCode],"MAE")),"")</f>
        <v/>
      </c>
      <c r="H168" s="25">
        <f>IFERROR(IF(SUMIFS(tblDaily[Remaining],tblDaily[EntryDate],DATE(2026,5,1),tblDaily[WardCode],"MAE")=0,"",SUMIFS(tblDaily[Remaining],tblDaily[EntryDate],DATE(2026,5,1),tblDaily[WardCode],"MAE")),"")</f>
        <v/>
      </c>
      <c r="I168" s="25">
        <f>IFERROR(IF(SUMIFS(tblDaily[Admissions],tblDaily[EntryDate],DATE(2026,5,1),tblDaily[WardCode],"FAE")=0,"",SUMIFS(tblDaily[Admissions],tblDaily[EntryDate],DATE(2026,5,1),tblDaily[WardCode],"FAE")),"")</f>
        <v/>
      </c>
      <c r="J168" s="25">
        <f>IFERROR(IF(SUMIFS(tblDaily[Discharges],tblDaily[EntryDate],DATE(2026,5,1),tblDaily[WardCode],"FAE")=0,"",SUMIFS(tblDaily[Discharges],tblDaily[EntryDate],DATE(2026,5,1),tblDaily[WardCode],"FAE")),"")</f>
        <v/>
      </c>
      <c r="K168" s="25">
        <f>IFERROR(IF(SUMIFS(tblDaily[Deaths],tblDaily[EntryDate],DATE(2026,5,1),tblDaily[WardCode],"FAE")=0,"",SUMIFS(tblDaily[Deaths],tblDaily[EntryDate],DATE(2026,5,1),tblDaily[WardCode],"FAE")),"")</f>
        <v/>
      </c>
      <c r="L168" s="25">
        <f>IFERROR(IF(SUMIFS(tblDaily[DeathsUnder24Hrs],tblDaily[EntryDate],DATE(2026,5,1),tblDaily[WardCode],"FAE")=0,"",SUMIFS(tblDaily[DeathsUnder24Hrs],tblDaily[EntryDate],DATE(2026,5,1),tblDaily[WardCode],"FAE")),"")</f>
        <v/>
      </c>
      <c r="M168" s="25">
        <f>IFERROR(IF(SUMIFS(tblDaily[TransfersIn],tblDaily[EntryDate],DATE(2026,5,1),tblDaily[WardCode],"FAE")=0,"",SUMIFS(tblDaily[TransfersIn],tblDaily[EntryDate],DATE(2026,5,1),tblDaily[WardCode],"FAE")),"")</f>
        <v/>
      </c>
      <c r="N168" s="25">
        <f>IFERROR(IF(SUMIFS(tblDaily[TransfersOut],tblDaily[EntryDate],DATE(2026,5,1),tblDaily[WardCode],"FAE")=0,"",SUMIFS(tblDaily[TransfersOut],tblDaily[EntryDate],DATE(2026,5,1),tblDaily[WardCode],"FAE")),"")</f>
        <v/>
      </c>
      <c r="O168" s="25">
        <f>IFERROR(IF(SUMIFS(tblDaily[Remaining],tblDaily[EntryDate],DATE(2026,5,1),tblDaily[WardCode],"FAE")=0,"",SUMIFS(tblDaily[Remaining],tblDaily[EntryDate],DATE(2026,5,1),tblDaily[WardCode],"FAE")),"")</f>
        <v/>
      </c>
      <c r="P168" s="26">
        <f>IF(AND(H168="", O168=""), "", N(H168) + N(O168))</f>
        <v/>
      </c>
    </row>
    <row r="169">
      <c r="A169" s="25" t="n">
        <v>2</v>
      </c>
      <c r="B169" s="25">
        <f>IFERROR(IF(SUMIFS(tblDaily[Admissions],tblDaily[EntryDate],DATE(2026,5,2),tblDaily[WardCode],"MAE")=0,"",SUMIFS(tblDaily[Admissions],tblDaily[EntryDate],DATE(2026,5,2),tblDaily[WardCode],"MAE")),"")</f>
        <v/>
      </c>
      <c r="C169" s="25">
        <f>IFERROR(IF(SUMIFS(tblDaily[Discharges],tblDaily[EntryDate],DATE(2026,5,2),tblDaily[WardCode],"MAE")=0,"",SUMIFS(tblDaily[Discharges],tblDaily[EntryDate],DATE(2026,5,2),tblDaily[WardCode],"MAE")),"")</f>
        <v/>
      </c>
      <c r="D169" s="25">
        <f>IFERROR(IF(SUMIFS(tblDaily[Deaths],tblDaily[EntryDate],DATE(2026,5,2),tblDaily[WardCode],"MAE")=0,"",SUMIFS(tblDaily[Deaths],tblDaily[EntryDate],DATE(2026,5,2),tblDaily[WardCode],"MAE")),"")</f>
        <v/>
      </c>
      <c r="E169" s="25">
        <f>IFERROR(IF(SUMIFS(tblDaily[DeathsUnder24Hrs],tblDaily[EntryDate],DATE(2026,5,2),tblDaily[WardCode],"MAE")=0,"",SUMIFS(tblDaily[DeathsUnder24Hrs],tblDaily[EntryDate],DATE(2026,5,2),tblDaily[WardCode],"MAE")),"")</f>
        <v/>
      </c>
      <c r="F169" s="25">
        <f>IFERROR(IF(SUMIFS(tblDaily[TransfersIn],tblDaily[EntryDate],DATE(2026,5,2),tblDaily[WardCode],"MAE")=0,"",SUMIFS(tblDaily[TransfersIn],tblDaily[EntryDate],DATE(2026,5,2),tblDaily[WardCode],"MAE")),"")</f>
        <v/>
      </c>
      <c r="G169" s="25">
        <f>IFERROR(IF(SUMIFS(tblDaily[TransfersOut],tblDaily[EntryDate],DATE(2026,5,2),tblDaily[WardCode],"MAE")=0,"",SUMIFS(tblDaily[TransfersOut],tblDaily[EntryDate],DATE(2026,5,2),tblDaily[WardCode],"MAE")),"")</f>
        <v/>
      </c>
      <c r="H169" s="25">
        <f>IFERROR(IF(SUMIFS(tblDaily[Remaining],tblDaily[EntryDate],DATE(2026,5,2),tblDaily[WardCode],"MAE")=0,"",SUMIFS(tblDaily[Remaining],tblDaily[EntryDate],DATE(2026,5,2),tblDaily[WardCode],"MAE")),"")</f>
        <v/>
      </c>
      <c r="I169" s="25">
        <f>IFERROR(IF(SUMIFS(tblDaily[Admissions],tblDaily[EntryDate],DATE(2026,5,2),tblDaily[WardCode],"FAE")=0,"",SUMIFS(tblDaily[Admissions],tblDaily[EntryDate],DATE(2026,5,2),tblDaily[WardCode],"FAE")),"")</f>
        <v/>
      </c>
      <c r="J169" s="25">
        <f>IFERROR(IF(SUMIFS(tblDaily[Discharges],tblDaily[EntryDate],DATE(2026,5,2),tblDaily[WardCode],"FAE")=0,"",SUMIFS(tblDaily[Discharges],tblDaily[EntryDate],DATE(2026,5,2),tblDaily[WardCode],"FAE")),"")</f>
        <v/>
      </c>
      <c r="K169" s="25">
        <f>IFERROR(IF(SUMIFS(tblDaily[Deaths],tblDaily[EntryDate],DATE(2026,5,2),tblDaily[WardCode],"FAE")=0,"",SUMIFS(tblDaily[Deaths],tblDaily[EntryDate],DATE(2026,5,2),tblDaily[WardCode],"FAE")),"")</f>
        <v/>
      </c>
      <c r="L169" s="25">
        <f>IFERROR(IF(SUMIFS(tblDaily[DeathsUnder24Hrs],tblDaily[EntryDate],DATE(2026,5,2),tblDaily[WardCode],"FAE")=0,"",SUMIFS(tblDaily[DeathsUnder24Hrs],tblDaily[EntryDate],DATE(2026,5,2),tblDaily[WardCode],"FAE")),"")</f>
        <v/>
      </c>
      <c r="M169" s="25">
        <f>IFERROR(IF(SUMIFS(tblDaily[TransfersIn],tblDaily[EntryDate],DATE(2026,5,2),tblDaily[WardCode],"FAE")=0,"",SUMIFS(tblDaily[TransfersIn],tblDaily[EntryDate],DATE(2026,5,2),tblDaily[WardCode],"FAE")),"")</f>
        <v/>
      </c>
      <c r="N169" s="25">
        <f>IFERROR(IF(SUMIFS(tblDaily[TransfersOut],tblDaily[EntryDate],DATE(2026,5,2),tblDaily[WardCode],"FAE")=0,"",SUMIFS(tblDaily[TransfersOut],tblDaily[EntryDate],DATE(2026,5,2),tblDaily[WardCode],"FAE")),"")</f>
        <v/>
      </c>
      <c r="O169" s="25">
        <f>IFERROR(IF(SUMIFS(tblDaily[Remaining],tblDaily[EntryDate],DATE(2026,5,2),tblDaily[WardCode],"FAE")=0,"",SUMIFS(tblDaily[Remaining],tblDaily[EntryDate],DATE(2026,5,2),tblDaily[WardCode],"FAE")),"")</f>
        <v/>
      </c>
      <c r="P169" s="26">
        <f>IF(AND(H169="", O169=""), "", N(H169) + N(O169))</f>
        <v/>
      </c>
    </row>
    <row r="170">
      <c r="A170" s="25" t="n">
        <v>3</v>
      </c>
      <c r="B170" s="25">
        <f>IFERROR(IF(SUMIFS(tblDaily[Admissions],tblDaily[EntryDate],DATE(2026,5,3),tblDaily[WardCode],"MAE")=0,"",SUMIFS(tblDaily[Admissions],tblDaily[EntryDate],DATE(2026,5,3),tblDaily[WardCode],"MAE")),"")</f>
        <v/>
      </c>
      <c r="C170" s="25">
        <f>IFERROR(IF(SUMIFS(tblDaily[Discharges],tblDaily[EntryDate],DATE(2026,5,3),tblDaily[WardCode],"MAE")=0,"",SUMIFS(tblDaily[Discharges],tblDaily[EntryDate],DATE(2026,5,3),tblDaily[WardCode],"MAE")),"")</f>
        <v/>
      </c>
      <c r="D170" s="25">
        <f>IFERROR(IF(SUMIFS(tblDaily[Deaths],tblDaily[EntryDate],DATE(2026,5,3),tblDaily[WardCode],"MAE")=0,"",SUMIFS(tblDaily[Deaths],tblDaily[EntryDate],DATE(2026,5,3),tblDaily[WardCode],"MAE")),"")</f>
        <v/>
      </c>
      <c r="E170" s="25">
        <f>IFERROR(IF(SUMIFS(tblDaily[DeathsUnder24Hrs],tblDaily[EntryDate],DATE(2026,5,3),tblDaily[WardCode],"MAE")=0,"",SUMIFS(tblDaily[DeathsUnder24Hrs],tblDaily[EntryDate],DATE(2026,5,3),tblDaily[WardCode],"MAE")),"")</f>
        <v/>
      </c>
      <c r="F170" s="25">
        <f>IFERROR(IF(SUMIFS(tblDaily[TransfersIn],tblDaily[EntryDate],DATE(2026,5,3),tblDaily[WardCode],"MAE")=0,"",SUMIFS(tblDaily[TransfersIn],tblDaily[EntryDate],DATE(2026,5,3),tblDaily[WardCode],"MAE")),"")</f>
        <v/>
      </c>
      <c r="G170" s="25">
        <f>IFERROR(IF(SUMIFS(tblDaily[TransfersOut],tblDaily[EntryDate],DATE(2026,5,3),tblDaily[WardCode],"MAE")=0,"",SUMIFS(tblDaily[TransfersOut],tblDaily[EntryDate],DATE(2026,5,3),tblDaily[WardCode],"MAE")),"")</f>
        <v/>
      </c>
      <c r="H170" s="25">
        <f>IFERROR(IF(SUMIFS(tblDaily[Remaining],tblDaily[EntryDate],DATE(2026,5,3),tblDaily[WardCode],"MAE")=0,"",SUMIFS(tblDaily[Remaining],tblDaily[EntryDate],DATE(2026,5,3),tblDaily[WardCode],"MAE")),"")</f>
        <v/>
      </c>
      <c r="I170" s="25">
        <f>IFERROR(IF(SUMIFS(tblDaily[Admissions],tblDaily[EntryDate],DATE(2026,5,3),tblDaily[WardCode],"FAE")=0,"",SUMIFS(tblDaily[Admissions],tblDaily[EntryDate],DATE(2026,5,3),tblDaily[WardCode],"FAE")),"")</f>
        <v/>
      </c>
      <c r="J170" s="25">
        <f>IFERROR(IF(SUMIFS(tblDaily[Discharges],tblDaily[EntryDate],DATE(2026,5,3),tblDaily[WardCode],"FAE")=0,"",SUMIFS(tblDaily[Discharges],tblDaily[EntryDate],DATE(2026,5,3),tblDaily[WardCode],"FAE")),"")</f>
        <v/>
      </c>
      <c r="K170" s="25">
        <f>IFERROR(IF(SUMIFS(tblDaily[Deaths],tblDaily[EntryDate],DATE(2026,5,3),tblDaily[WardCode],"FAE")=0,"",SUMIFS(tblDaily[Deaths],tblDaily[EntryDate],DATE(2026,5,3),tblDaily[WardCode],"FAE")),"")</f>
        <v/>
      </c>
      <c r="L170" s="25">
        <f>IFERROR(IF(SUMIFS(tblDaily[DeathsUnder24Hrs],tblDaily[EntryDate],DATE(2026,5,3),tblDaily[WardCode],"FAE")=0,"",SUMIFS(tblDaily[DeathsUnder24Hrs],tblDaily[EntryDate],DATE(2026,5,3),tblDaily[WardCode],"FAE")),"")</f>
        <v/>
      </c>
      <c r="M170" s="25">
        <f>IFERROR(IF(SUMIFS(tblDaily[TransfersIn],tblDaily[EntryDate],DATE(2026,5,3),tblDaily[WardCode],"FAE")=0,"",SUMIFS(tblDaily[TransfersIn],tblDaily[EntryDate],DATE(2026,5,3),tblDaily[WardCode],"FAE")),"")</f>
        <v/>
      </c>
      <c r="N170" s="25">
        <f>IFERROR(IF(SUMIFS(tblDaily[TransfersOut],tblDaily[EntryDate],DATE(2026,5,3),tblDaily[WardCode],"FAE")=0,"",SUMIFS(tblDaily[TransfersOut],tblDaily[EntryDate],DATE(2026,5,3),tblDaily[WardCode],"FAE")),"")</f>
        <v/>
      </c>
      <c r="O170" s="25">
        <f>IFERROR(IF(SUMIFS(tblDaily[Remaining],tblDaily[EntryDate],DATE(2026,5,3),tblDaily[WardCode],"FAE")=0,"",SUMIFS(tblDaily[Remaining],tblDaily[EntryDate],DATE(2026,5,3),tblDaily[WardCode],"FAE")),"")</f>
        <v/>
      </c>
      <c r="P170" s="26">
        <f>IF(AND(H170="", O170=""), "", N(H170) + N(O170))</f>
        <v/>
      </c>
    </row>
    <row r="171">
      <c r="A171" s="25" t="n">
        <v>4</v>
      </c>
      <c r="B171" s="25">
        <f>IFERROR(IF(SUMIFS(tblDaily[Admissions],tblDaily[EntryDate],DATE(2026,5,4),tblDaily[WardCode],"MAE")=0,"",SUMIFS(tblDaily[Admissions],tblDaily[EntryDate],DATE(2026,5,4),tblDaily[WardCode],"MAE")),"")</f>
        <v/>
      </c>
      <c r="C171" s="25">
        <f>IFERROR(IF(SUMIFS(tblDaily[Discharges],tblDaily[EntryDate],DATE(2026,5,4),tblDaily[WardCode],"MAE")=0,"",SUMIFS(tblDaily[Discharges],tblDaily[EntryDate],DATE(2026,5,4),tblDaily[WardCode],"MAE")),"")</f>
        <v/>
      </c>
      <c r="D171" s="25">
        <f>IFERROR(IF(SUMIFS(tblDaily[Deaths],tblDaily[EntryDate],DATE(2026,5,4),tblDaily[WardCode],"MAE")=0,"",SUMIFS(tblDaily[Deaths],tblDaily[EntryDate],DATE(2026,5,4),tblDaily[WardCode],"MAE")),"")</f>
        <v/>
      </c>
      <c r="E171" s="25">
        <f>IFERROR(IF(SUMIFS(tblDaily[DeathsUnder24Hrs],tblDaily[EntryDate],DATE(2026,5,4),tblDaily[WardCode],"MAE")=0,"",SUMIFS(tblDaily[DeathsUnder24Hrs],tblDaily[EntryDate],DATE(2026,5,4),tblDaily[WardCode],"MAE")),"")</f>
        <v/>
      </c>
      <c r="F171" s="25">
        <f>IFERROR(IF(SUMIFS(tblDaily[TransfersIn],tblDaily[EntryDate],DATE(2026,5,4),tblDaily[WardCode],"MAE")=0,"",SUMIFS(tblDaily[TransfersIn],tblDaily[EntryDate],DATE(2026,5,4),tblDaily[WardCode],"MAE")),"")</f>
        <v/>
      </c>
      <c r="G171" s="25">
        <f>IFERROR(IF(SUMIFS(tblDaily[TransfersOut],tblDaily[EntryDate],DATE(2026,5,4),tblDaily[WardCode],"MAE")=0,"",SUMIFS(tblDaily[TransfersOut],tblDaily[EntryDate],DATE(2026,5,4),tblDaily[WardCode],"MAE")),"")</f>
        <v/>
      </c>
      <c r="H171" s="25">
        <f>IFERROR(IF(SUMIFS(tblDaily[Remaining],tblDaily[EntryDate],DATE(2026,5,4),tblDaily[WardCode],"MAE")=0,"",SUMIFS(tblDaily[Remaining],tblDaily[EntryDate],DATE(2026,5,4),tblDaily[WardCode],"MAE")),"")</f>
        <v/>
      </c>
      <c r="I171" s="25">
        <f>IFERROR(IF(SUMIFS(tblDaily[Admissions],tblDaily[EntryDate],DATE(2026,5,4),tblDaily[WardCode],"FAE")=0,"",SUMIFS(tblDaily[Admissions],tblDaily[EntryDate],DATE(2026,5,4),tblDaily[WardCode],"FAE")),"")</f>
        <v/>
      </c>
      <c r="J171" s="25">
        <f>IFERROR(IF(SUMIFS(tblDaily[Discharges],tblDaily[EntryDate],DATE(2026,5,4),tblDaily[WardCode],"FAE")=0,"",SUMIFS(tblDaily[Discharges],tblDaily[EntryDate],DATE(2026,5,4),tblDaily[WardCode],"FAE")),"")</f>
        <v/>
      </c>
      <c r="K171" s="25">
        <f>IFERROR(IF(SUMIFS(tblDaily[Deaths],tblDaily[EntryDate],DATE(2026,5,4),tblDaily[WardCode],"FAE")=0,"",SUMIFS(tblDaily[Deaths],tblDaily[EntryDate],DATE(2026,5,4),tblDaily[WardCode],"FAE")),"")</f>
        <v/>
      </c>
      <c r="L171" s="25">
        <f>IFERROR(IF(SUMIFS(tblDaily[DeathsUnder24Hrs],tblDaily[EntryDate],DATE(2026,5,4),tblDaily[WardCode],"FAE")=0,"",SUMIFS(tblDaily[DeathsUnder24Hrs],tblDaily[EntryDate],DATE(2026,5,4),tblDaily[WardCode],"FAE")),"")</f>
        <v/>
      </c>
      <c r="M171" s="25">
        <f>IFERROR(IF(SUMIFS(tblDaily[TransfersIn],tblDaily[EntryDate],DATE(2026,5,4),tblDaily[WardCode],"FAE")=0,"",SUMIFS(tblDaily[TransfersIn],tblDaily[EntryDate],DATE(2026,5,4),tblDaily[WardCode],"FAE")),"")</f>
        <v/>
      </c>
      <c r="N171" s="25">
        <f>IFERROR(IF(SUMIFS(tblDaily[TransfersOut],tblDaily[EntryDate],DATE(2026,5,4),tblDaily[WardCode],"FAE")=0,"",SUMIFS(tblDaily[TransfersOut],tblDaily[EntryDate],DATE(2026,5,4),tblDaily[WardCode],"FAE")),"")</f>
        <v/>
      </c>
      <c r="O171" s="25">
        <f>IFERROR(IF(SUMIFS(tblDaily[Remaining],tblDaily[EntryDate],DATE(2026,5,4),tblDaily[WardCode],"FAE")=0,"",SUMIFS(tblDaily[Remaining],tblDaily[EntryDate],DATE(2026,5,4),tblDaily[WardCode],"FAE")),"")</f>
        <v/>
      </c>
      <c r="P171" s="26">
        <f>IF(AND(H171="", O171=""), "", N(H171) + N(O171))</f>
        <v/>
      </c>
    </row>
    <row r="172">
      <c r="A172" s="25" t="n">
        <v>5</v>
      </c>
      <c r="B172" s="25">
        <f>IFERROR(IF(SUMIFS(tblDaily[Admissions],tblDaily[EntryDate],DATE(2026,5,5),tblDaily[WardCode],"MAE")=0,"",SUMIFS(tblDaily[Admissions],tblDaily[EntryDate],DATE(2026,5,5),tblDaily[WardCode],"MAE")),"")</f>
        <v/>
      </c>
      <c r="C172" s="25">
        <f>IFERROR(IF(SUMIFS(tblDaily[Discharges],tblDaily[EntryDate],DATE(2026,5,5),tblDaily[WardCode],"MAE")=0,"",SUMIFS(tblDaily[Discharges],tblDaily[EntryDate],DATE(2026,5,5),tblDaily[WardCode],"MAE")),"")</f>
        <v/>
      </c>
      <c r="D172" s="25">
        <f>IFERROR(IF(SUMIFS(tblDaily[Deaths],tblDaily[EntryDate],DATE(2026,5,5),tblDaily[WardCode],"MAE")=0,"",SUMIFS(tblDaily[Deaths],tblDaily[EntryDate],DATE(2026,5,5),tblDaily[WardCode],"MAE")),"")</f>
        <v/>
      </c>
      <c r="E172" s="25">
        <f>IFERROR(IF(SUMIFS(tblDaily[DeathsUnder24Hrs],tblDaily[EntryDate],DATE(2026,5,5),tblDaily[WardCode],"MAE")=0,"",SUMIFS(tblDaily[DeathsUnder24Hrs],tblDaily[EntryDate],DATE(2026,5,5),tblDaily[WardCode],"MAE")),"")</f>
        <v/>
      </c>
      <c r="F172" s="25">
        <f>IFERROR(IF(SUMIFS(tblDaily[TransfersIn],tblDaily[EntryDate],DATE(2026,5,5),tblDaily[WardCode],"MAE")=0,"",SUMIFS(tblDaily[TransfersIn],tblDaily[EntryDate],DATE(2026,5,5),tblDaily[WardCode],"MAE")),"")</f>
        <v/>
      </c>
      <c r="G172" s="25">
        <f>IFERROR(IF(SUMIFS(tblDaily[TransfersOut],tblDaily[EntryDate],DATE(2026,5,5),tblDaily[WardCode],"MAE")=0,"",SUMIFS(tblDaily[TransfersOut],tblDaily[EntryDate],DATE(2026,5,5),tblDaily[WardCode],"MAE")),"")</f>
        <v/>
      </c>
      <c r="H172" s="25">
        <f>IFERROR(IF(SUMIFS(tblDaily[Remaining],tblDaily[EntryDate],DATE(2026,5,5),tblDaily[WardCode],"MAE")=0,"",SUMIFS(tblDaily[Remaining],tblDaily[EntryDate],DATE(2026,5,5),tblDaily[WardCode],"MAE")),"")</f>
        <v/>
      </c>
      <c r="I172" s="25">
        <f>IFERROR(IF(SUMIFS(tblDaily[Admissions],tblDaily[EntryDate],DATE(2026,5,5),tblDaily[WardCode],"FAE")=0,"",SUMIFS(tblDaily[Admissions],tblDaily[EntryDate],DATE(2026,5,5),tblDaily[WardCode],"FAE")),"")</f>
        <v/>
      </c>
      <c r="J172" s="25">
        <f>IFERROR(IF(SUMIFS(tblDaily[Discharges],tblDaily[EntryDate],DATE(2026,5,5),tblDaily[WardCode],"FAE")=0,"",SUMIFS(tblDaily[Discharges],tblDaily[EntryDate],DATE(2026,5,5),tblDaily[WardCode],"FAE")),"")</f>
        <v/>
      </c>
      <c r="K172" s="25">
        <f>IFERROR(IF(SUMIFS(tblDaily[Deaths],tblDaily[EntryDate],DATE(2026,5,5),tblDaily[WardCode],"FAE")=0,"",SUMIFS(tblDaily[Deaths],tblDaily[EntryDate],DATE(2026,5,5),tblDaily[WardCode],"FAE")),"")</f>
        <v/>
      </c>
      <c r="L172" s="25">
        <f>IFERROR(IF(SUMIFS(tblDaily[DeathsUnder24Hrs],tblDaily[EntryDate],DATE(2026,5,5),tblDaily[WardCode],"FAE")=0,"",SUMIFS(tblDaily[DeathsUnder24Hrs],tblDaily[EntryDate],DATE(2026,5,5),tblDaily[WardCode],"FAE")),"")</f>
        <v/>
      </c>
      <c r="M172" s="25">
        <f>IFERROR(IF(SUMIFS(tblDaily[TransfersIn],tblDaily[EntryDate],DATE(2026,5,5),tblDaily[WardCode],"FAE")=0,"",SUMIFS(tblDaily[TransfersIn],tblDaily[EntryDate],DATE(2026,5,5),tblDaily[WardCode],"FAE")),"")</f>
        <v/>
      </c>
      <c r="N172" s="25">
        <f>IFERROR(IF(SUMIFS(tblDaily[TransfersOut],tblDaily[EntryDate],DATE(2026,5,5),tblDaily[WardCode],"FAE")=0,"",SUMIFS(tblDaily[TransfersOut],tblDaily[EntryDate],DATE(2026,5,5),tblDaily[WardCode],"FAE")),"")</f>
        <v/>
      </c>
      <c r="O172" s="25">
        <f>IFERROR(IF(SUMIFS(tblDaily[Remaining],tblDaily[EntryDate],DATE(2026,5,5),tblDaily[WardCode],"FAE")=0,"",SUMIFS(tblDaily[Remaining],tblDaily[EntryDate],DATE(2026,5,5),tblDaily[WardCode],"FAE")),"")</f>
        <v/>
      </c>
      <c r="P172" s="26">
        <f>IF(AND(H172="", O172=""), "", N(H172) + N(O172))</f>
        <v/>
      </c>
    </row>
    <row r="173">
      <c r="A173" s="25" t="n">
        <v>6</v>
      </c>
      <c r="B173" s="25">
        <f>IFERROR(IF(SUMIFS(tblDaily[Admissions],tblDaily[EntryDate],DATE(2026,5,6),tblDaily[WardCode],"MAE")=0,"",SUMIFS(tblDaily[Admissions],tblDaily[EntryDate],DATE(2026,5,6),tblDaily[WardCode],"MAE")),"")</f>
        <v/>
      </c>
      <c r="C173" s="25">
        <f>IFERROR(IF(SUMIFS(tblDaily[Discharges],tblDaily[EntryDate],DATE(2026,5,6),tblDaily[WardCode],"MAE")=0,"",SUMIFS(tblDaily[Discharges],tblDaily[EntryDate],DATE(2026,5,6),tblDaily[WardCode],"MAE")),"")</f>
        <v/>
      </c>
      <c r="D173" s="25">
        <f>IFERROR(IF(SUMIFS(tblDaily[Deaths],tblDaily[EntryDate],DATE(2026,5,6),tblDaily[WardCode],"MAE")=0,"",SUMIFS(tblDaily[Deaths],tblDaily[EntryDate],DATE(2026,5,6),tblDaily[WardCode],"MAE")),"")</f>
        <v/>
      </c>
      <c r="E173" s="25">
        <f>IFERROR(IF(SUMIFS(tblDaily[DeathsUnder24Hrs],tblDaily[EntryDate],DATE(2026,5,6),tblDaily[WardCode],"MAE")=0,"",SUMIFS(tblDaily[DeathsUnder24Hrs],tblDaily[EntryDate],DATE(2026,5,6),tblDaily[WardCode],"MAE")),"")</f>
        <v/>
      </c>
      <c r="F173" s="25">
        <f>IFERROR(IF(SUMIFS(tblDaily[TransfersIn],tblDaily[EntryDate],DATE(2026,5,6),tblDaily[WardCode],"MAE")=0,"",SUMIFS(tblDaily[TransfersIn],tblDaily[EntryDate],DATE(2026,5,6),tblDaily[WardCode],"MAE")),"")</f>
        <v/>
      </c>
      <c r="G173" s="25">
        <f>IFERROR(IF(SUMIFS(tblDaily[TransfersOut],tblDaily[EntryDate],DATE(2026,5,6),tblDaily[WardCode],"MAE")=0,"",SUMIFS(tblDaily[TransfersOut],tblDaily[EntryDate],DATE(2026,5,6),tblDaily[WardCode],"MAE")),"")</f>
        <v/>
      </c>
      <c r="H173" s="25">
        <f>IFERROR(IF(SUMIFS(tblDaily[Remaining],tblDaily[EntryDate],DATE(2026,5,6),tblDaily[WardCode],"MAE")=0,"",SUMIFS(tblDaily[Remaining],tblDaily[EntryDate],DATE(2026,5,6),tblDaily[WardCode],"MAE")),"")</f>
        <v/>
      </c>
      <c r="I173" s="25">
        <f>IFERROR(IF(SUMIFS(tblDaily[Admissions],tblDaily[EntryDate],DATE(2026,5,6),tblDaily[WardCode],"FAE")=0,"",SUMIFS(tblDaily[Admissions],tblDaily[EntryDate],DATE(2026,5,6),tblDaily[WardCode],"FAE")),"")</f>
        <v/>
      </c>
      <c r="J173" s="25">
        <f>IFERROR(IF(SUMIFS(tblDaily[Discharges],tblDaily[EntryDate],DATE(2026,5,6),tblDaily[WardCode],"FAE")=0,"",SUMIFS(tblDaily[Discharges],tblDaily[EntryDate],DATE(2026,5,6),tblDaily[WardCode],"FAE")),"")</f>
        <v/>
      </c>
      <c r="K173" s="25">
        <f>IFERROR(IF(SUMIFS(tblDaily[Deaths],tblDaily[EntryDate],DATE(2026,5,6),tblDaily[WardCode],"FAE")=0,"",SUMIFS(tblDaily[Deaths],tblDaily[EntryDate],DATE(2026,5,6),tblDaily[WardCode],"FAE")),"")</f>
        <v/>
      </c>
      <c r="L173" s="25">
        <f>IFERROR(IF(SUMIFS(tblDaily[DeathsUnder24Hrs],tblDaily[EntryDate],DATE(2026,5,6),tblDaily[WardCode],"FAE")=0,"",SUMIFS(tblDaily[DeathsUnder24Hrs],tblDaily[EntryDate],DATE(2026,5,6),tblDaily[WardCode],"FAE")),"")</f>
        <v/>
      </c>
      <c r="M173" s="25">
        <f>IFERROR(IF(SUMIFS(tblDaily[TransfersIn],tblDaily[EntryDate],DATE(2026,5,6),tblDaily[WardCode],"FAE")=0,"",SUMIFS(tblDaily[TransfersIn],tblDaily[EntryDate],DATE(2026,5,6),tblDaily[WardCode],"FAE")),"")</f>
        <v/>
      </c>
      <c r="N173" s="25">
        <f>IFERROR(IF(SUMIFS(tblDaily[TransfersOut],tblDaily[EntryDate],DATE(2026,5,6),tblDaily[WardCode],"FAE")=0,"",SUMIFS(tblDaily[TransfersOut],tblDaily[EntryDate],DATE(2026,5,6),tblDaily[WardCode],"FAE")),"")</f>
        <v/>
      </c>
      <c r="O173" s="25">
        <f>IFERROR(IF(SUMIFS(tblDaily[Remaining],tblDaily[EntryDate],DATE(2026,5,6),tblDaily[WardCode],"FAE")=0,"",SUMIFS(tblDaily[Remaining],tblDaily[EntryDate],DATE(2026,5,6),tblDaily[WardCode],"FAE")),"")</f>
        <v/>
      </c>
      <c r="P173" s="26">
        <f>IF(AND(H173="", O173=""), "", N(H173) + N(O173))</f>
        <v/>
      </c>
    </row>
    <row r="174">
      <c r="A174" s="25" t="n">
        <v>7</v>
      </c>
      <c r="B174" s="25">
        <f>IFERROR(IF(SUMIFS(tblDaily[Admissions],tblDaily[EntryDate],DATE(2026,5,7),tblDaily[WardCode],"MAE")=0,"",SUMIFS(tblDaily[Admissions],tblDaily[EntryDate],DATE(2026,5,7),tblDaily[WardCode],"MAE")),"")</f>
        <v/>
      </c>
      <c r="C174" s="25">
        <f>IFERROR(IF(SUMIFS(tblDaily[Discharges],tblDaily[EntryDate],DATE(2026,5,7),tblDaily[WardCode],"MAE")=0,"",SUMIFS(tblDaily[Discharges],tblDaily[EntryDate],DATE(2026,5,7),tblDaily[WardCode],"MAE")),"")</f>
        <v/>
      </c>
      <c r="D174" s="25">
        <f>IFERROR(IF(SUMIFS(tblDaily[Deaths],tblDaily[EntryDate],DATE(2026,5,7),tblDaily[WardCode],"MAE")=0,"",SUMIFS(tblDaily[Deaths],tblDaily[EntryDate],DATE(2026,5,7),tblDaily[WardCode],"MAE")),"")</f>
        <v/>
      </c>
      <c r="E174" s="25">
        <f>IFERROR(IF(SUMIFS(tblDaily[DeathsUnder24Hrs],tblDaily[EntryDate],DATE(2026,5,7),tblDaily[WardCode],"MAE")=0,"",SUMIFS(tblDaily[DeathsUnder24Hrs],tblDaily[EntryDate],DATE(2026,5,7),tblDaily[WardCode],"MAE")),"")</f>
        <v/>
      </c>
      <c r="F174" s="25">
        <f>IFERROR(IF(SUMIFS(tblDaily[TransfersIn],tblDaily[EntryDate],DATE(2026,5,7),tblDaily[WardCode],"MAE")=0,"",SUMIFS(tblDaily[TransfersIn],tblDaily[EntryDate],DATE(2026,5,7),tblDaily[WardCode],"MAE")),"")</f>
        <v/>
      </c>
      <c r="G174" s="25">
        <f>IFERROR(IF(SUMIFS(tblDaily[TransfersOut],tblDaily[EntryDate],DATE(2026,5,7),tblDaily[WardCode],"MAE")=0,"",SUMIFS(tblDaily[TransfersOut],tblDaily[EntryDate],DATE(2026,5,7),tblDaily[WardCode],"MAE")),"")</f>
        <v/>
      </c>
      <c r="H174" s="25">
        <f>IFERROR(IF(SUMIFS(tblDaily[Remaining],tblDaily[EntryDate],DATE(2026,5,7),tblDaily[WardCode],"MAE")=0,"",SUMIFS(tblDaily[Remaining],tblDaily[EntryDate],DATE(2026,5,7),tblDaily[WardCode],"MAE")),"")</f>
        <v/>
      </c>
      <c r="I174" s="25">
        <f>IFERROR(IF(SUMIFS(tblDaily[Admissions],tblDaily[EntryDate],DATE(2026,5,7),tblDaily[WardCode],"FAE")=0,"",SUMIFS(tblDaily[Admissions],tblDaily[EntryDate],DATE(2026,5,7),tblDaily[WardCode],"FAE")),"")</f>
        <v/>
      </c>
      <c r="J174" s="25">
        <f>IFERROR(IF(SUMIFS(tblDaily[Discharges],tblDaily[EntryDate],DATE(2026,5,7),tblDaily[WardCode],"FAE")=0,"",SUMIFS(tblDaily[Discharges],tblDaily[EntryDate],DATE(2026,5,7),tblDaily[WardCode],"FAE")),"")</f>
        <v/>
      </c>
      <c r="K174" s="25">
        <f>IFERROR(IF(SUMIFS(tblDaily[Deaths],tblDaily[EntryDate],DATE(2026,5,7),tblDaily[WardCode],"FAE")=0,"",SUMIFS(tblDaily[Deaths],tblDaily[EntryDate],DATE(2026,5,7),tblDaily[WardCode],"FAE")),"")</f>
        <v/>
      </c>
      <c r="L174" s="25">
        <f>IFERROR(IF(SUMIFS(tblDaily[DeathsUnder24Hrs],tblDaily[EntryDate],DATE(2026,5,7),tblDaily[WardCode],"FAE")=0,"",SUMIFS(tblDaily[DeathsUnder24Hrs],tblDaily[EntryDate],DATE(2026,5,7),tblDaily[WardCode],"FAE")),"")</f>
        <v/>
      </c>
      <c r="M174" s="25">
        <f>IFERROR(IF(SUMIFS(tblDaily[TransfersIn],tblDaily[EntryDate],DATE(2026,5,7),tblDaily[WardCode],"FAE")=0,"",SUMIFS(tblDaily[TransfersIn],tblDaily[EntryDate],DATE(2026,5,7),tblDaily[WardCode],"FAE")),"")</f>
        <v/>
      </c>
      <c r="N174" s="25">
        <f>IFERROR(IF(SUMIFS(tblDaily[TransfersOut],tblDaily[EntryDate],DATE(2026,5,7),tblDaily[WardCode],"FAE")=0,"",SUMIFS(tblDaily[TransfersOut],tblDaily[EntryDate],DATE(2026,5,7),tblDaily[WardCode],"FAE")),"")</f>
        <v/>
      </c>
      <c r="O174" s="25">
        <f>IFERROR(IF(SUMIFS(tblDaily[Remaining],tblDaily[EntryDate],DATE(2026,5,7),tblDaily[WardCode],"FAE")=0,"",SUMIFS(tblDaily[Remaining],tblDaily[EntryDate],DATE(2026,5,7),tblDaily[WardCode],"FAE")),"")</f>
        <v/>
      </c>
      <c r="P174" s="26">
        <f>IF(AND(H174="", O174=""), "", N(H174) + N(O174))</f>
        <v/>
      </c>
    </row>
    <row r="175">
      <c r="A175" s="25" t="n">
        <v>8</v>
      </c>
      <c r="B175" s="25">
        <f>IFERROR(IF(SUMIFS(tblDaily[Admissions],tblDaily[EntryDate],DATE(2026,5,8),tblDaily[WardCode],"MAE")=0,"",SUMIFS(tblDaily[Admissions],tblDaily[EntryDate],DATE(2026,5,8),tblDaily[WardCode],"MAE")),"")</f>
        <v/>
      </c>
      <c r="C175" s="25">
        <f>IFERROR(IF(SUMIFS(tblDaily[Discharges],tblDaily[EntryDate],DATE(2026,5,8),tblDaily[WardCode],"MAE")=0,"",SUMIFS(tblDaily[Discharges],tblDaily[EntryDate],DATE(2026,5,8),tblDaily[WardCode],"MAE")),"")</f>
        <v/>
      </c>
      <c r="D175" s="25">
        <f>IFERROR(IF(SUMIFS(tblDaily[Deaths],tblDaily[EntryDate],DATE(2026,5,8),tblDaily[WardCode],"MAE")=0,"",SUMIFS(tblDaily[Deaths],tblDaily[EntryDate],DATE(2026,5,8),tblDaily[WardCode],"MAE")),"")</f>
        <v/>
      </c>
      <c r="E175" s="25">
        <f>IFERROR(IF(SUMIFS(tblDaily[DeathsUnder24Hrs],tblDaily[EntryDate],DATE(2026,5,8),tblDaily[WardCode],"MAE")=0,"",SUMIFS(tblDaily[DeathsUnder24Hrs],tblDaily[EntryDate],DATE(2026,5,8),tblDaily[WardCode],"MAE")),"")</f>
        <v/>
      </c>
      <c r="F175" s="25">
        <f>IFERROR(IF(SUMIFS(tblDaily[TransfersIn],tblDaily[EntryDate],DATE(2026,5,8),tblDaily[WardCode],"MAE")=0,"",SUMIFS(tblDaily[TransfersIn],tblDaily[EntryDate],DATE(2026,5,8),tblDaily[WardCode],"MAE")),"")</f>
        <v/>
      </c>
      <c r="G175" s="25">
        <f>IFERROR(IF(SUMIFS(tblDaily[TransfersOut],tblDaily[EntryDate],DATE(2026,5,8),tblDaily[WardCode],"MAE")=0,"",SUMIFS(tblDaily[TransfersOut],tblDaily[EntryDate],DATE(2026,5,8),tblDaily[WardCode],"MAE")),"")</f>
        <v/>
      </c>
      <c r="H175" s="25">
        <f>IFERROR(IF(SUMIFS(tblDaily[Remaining],tblDaily[EntryDate],DATE(2026,5,8),tblDaily[WardCode],"MAE")=0,"",SUMIFS(tblDaily[Remaining],tblDaily[EntryDate],DATE(2026,5,8),tblDaily[WardCode],"MAE")),"")</f>
        <v/>
      </c>
      <c r="I175" s="25">
        <f>IFERROR(IF(SUMIFS(tblDaily[Admissions],tblDaily[EntryDate],DATE(2026,5,8),tblDaily[WardCode],"FAE")=0,"",SUMIFS(tblDaily[Admissions],tblDaily[EntryDate],DATE(2026,5,8),tblDaily[WardCode],"FAE")),"")</f>
        <v/>
      </c>
      <c r="J175" s="25">
        <f>IFERROR(IF(SUMIFS(tblDaily[Discharges],tblDaily[EntryDate],DATE(2026,5,8),tblDaily[WardCode],"FAE")=0,"",SUMIFS(tblDaily[Discharges],tblDaily[EntryDate],DATE(2026,5,8),tblDaily[WardCode],"FAE")),"")</f>
        <v/>
      </c>
      <c r="K175" s="25">
        <f>IFERROR(IF(SUMIFS(tblDaily[Deaths],tblDaily[EntryDate],DATE(2026,5,8),tblDaily[WardCode],"FAE")=0,"",SUMIFS(tblDaily[Deaths],tblDaily[EntryDate],DATE(2026,5,8),tblDaily[WardCode],"FAE")),"")</f>
        <v/>
      </c>
      <c r="L175" s="25">
        <f>IFERROR(IF(SUMIFS(tblDaily[DeathsUnder24Hrs],tblDaily[EntryDate],DATE(2026,5,8),tblDaily[WardCode],"FAE")=0,"",SUMIFS(tblDaily[DeathsUnder24Hrs],tblDaily[EntryDate],DATE(2026,5,8),tblDaily[WardCode],"FAE")),"")</f>
        <v/>
      </c>
      <c r="M175" s="25">
        <f>IFERROR(IF(SUMIFS(tblDaily[TransfersIn],tblDaily[EntryDate],DATE(2026,5,8),tblDaily[WardCode],"FAE")=0,"",SUMIFS(tblDaily[TransfersIn],tblDaily[EntryDate],DATE(2026,5,8),tblDaily[WardCode],"FAE")),"")</f>
        <v/>
      </c>
      <c r="N175" s="25">
        <f>IFERROR(IF(SUMIFS(tblDaily[TransfersOut],tblDaily[EntryDate],DATE(2026,5,8),tblDaily[WardCode],"FAE")=0,"",SUMIFS(tblDaily[TransfersOut],tblDaily[EntryDate],DATE(2026,5,8),tblDaily[WardCode],"FAE")),"")</f>
        <v/>
      </c>
      <c r="O175" s="25">
        <f>IFERROR(IF(SUMIFS(tblDaily[Remaining],tblDaily[EntryDate],DATE(2026,5,8),tblDaily[WardCode],"FAE")=0,"",SUMIFS(tblDaily[Remaining],tblDaily[EntryDate],DATE(2026,5,8),tblDaily[WardCode],"FAE")),"")</f>
        <v/>
      </c>
      <c r="P175" s="26">
        <f>IF(AND(H175="", O175=""), "", N(H175) + N(O175))</f>
        <v/>
      </c>
    </row>
    <row r="176">
      <c r="A176" s="25" t="n">
        <v>9</v>
      </c>
      <c r="B176" s="25">
        <f>IFERROR(IF(SUMIFS(tblDaily[Admissions],tblDaily[EntryDate],DATE(2026,5,9),tblDaily[WardCode],"MAE")=0,"",SUMIFS(tblDaily[Admissions],tblDaily[EntryDate],DATE(2026,5,9),tblDaily[WardCode],"MAE")),"")</f>
        <v/>
      </c>
      <c r="C176" s="25">
        <f>IFERROR(IF(SUMIFS(tblDaily[Discharges],tblDaily[EntryDate],DATE(2026,5,9),tblDaily[WardCode],"MAE")=0,"",SUMIFS(tblDaily[Discharges],tblDaily[EntryDate],DATE(2026,5,9),tblDaily[WardCode],"MAE")),"")</f>
        <v/>
      </c>
      <c r="D176" s="25">
        <f>IFERROR(IF(SUMIFS(tblDaily[Deaths],tblDaily[EntryDate],DATE(2026,5,9),tblDaily[WardCode],"MAE")=0,"",SUMIFS(tblDaily[Deaths],tblDaily[EntryDate],DATE(2026,5,9),tblDaily[WardCode],"MAE")),"")</f>
        <v/>
      </c>
      <c r="E176" s="25">
        <f>IFERROR(IF(SUMIFS(tblDaily[DeathsUnder24Hrs],tblDaily[EntryDate],DATE(2026,5,9),tblDaily[WardCode],"MAE")=0,"",SUMIFS(tblDaily[DeathsUnder24Hrs],tblDaily[EntryDate],DATE(2026,5,9),tblDaily[WardCode],"MAE")),"")</f>
        <v/>
      </c>
      <c r="F176" s="25">
        <f>IFERROR(IF(SUMIFS(tblDaily[TransfersIn],tblDaily[EntryDate],DATE(2026,5,9),tblDaily[WardCode],"MAE")=0,"",SUMIFS(tblDaily[TransfersIn],tblDaily[EntryDate],DATE(2026,5,9),tblDaily[WardCode],"MAE")),"")</f>
        <v/>
      </c>
      <c r="G176" s="25">
        <f>IFERROR(IF(SUMIFS(tblDaily[TransfersOut],tblDaily[EntryDate],DATE(2026,5,9),tblDaily[WardCode],"MAE")=0,"",SUMIFS(tblDaily[TransfersOut],tblDaily[EntryDate],DATE(2026,5,9),tblDaily[WardCode],"MAE")),"")</f>
        <v/>
      </c>
      <c r="H176" s="25">
        <f>IFERROR(IF(SUMIFS(tblDaily[Remaining],tblDaily[EntryDate],DATE(2026,5,9),tblDaily[WardCode],"MAE")=0,"",SUMIFS(tblDaily[Remaining],tblDaily[EntryDate],DATE(2026,5,9),tblDaily[WardCode],"MAE")),"")</f>
        <v/>
      </c>
      <c r="I176" s="25">
        <f>IFERROR(IF(SUMIFS(tblDaily[Admissions],tblDaily[EntryDate],DATE(2026,5,9),tblDaily[WardCode],"FAE")=0,"",SUMIFS(tblDaily[Admissions],tblDaily[EntryDate],DATE(2026,5,9),tblDaily[WardCode],"FAE")),"")</f>
        <v/>
      </c>
      <c r="J176" s="25">
        <f>IFERROR(IF(SUMIFS(tblDaily[Discharges],tblDaily[EntryDate],DATE(2026,5,9),tblDaily[WardCode],"FAE")=0,"",SUMIFS(tblDaily[Discharges],tblDaily[EntryDate],DATE(2026,5,9),tblDaily[WardCode],"FAE")),"")</f>
        <v/>
      </c>
      <c r="K176" s="25">
        <f>IFERROR(IF(SUMIFS(tblDaily[Deaths],tblDaily[EntryDate],DATE(2026,5,9),tblDaily[WardCode],"FAE")=0,"",SUMIFS(tblDaily[Deaths],tblDaily[EntryDate],DATE(2026,5,9),tblDaily[WardCode],"FAE")),"")</f>
        <v/>
      </c>
      <c r="L176" s="25">
        <f>IFERROR(IF(SUMIFS(tblDaily[DeathsUnder24Hrs],tblDaily[EntryDate],DATE(2026,5,9),tblDaily[WardCode],"FAE")=0,"",SUMIFS(tblDaily[DeathsUnder24Hrs],tblDaily[EntryDate],DATE(2026,5,9),tblDaily[WardCode],"FAE")),"")</f>
        <v/>
      </c>
      <c r="M176" s="25">
        <f>IFERROR(IF(SUMIFS(tblDaily[TransfersIn],tblDaily[EntryDate],DATE(2026,5,9),tblDaily[WardCode],"FAE")=0,"",SUMIFS(tblDaily[TransfersIn],tblDaily[EntryDate],DATE(2026,5,9),tblDaily[WardCode],"FAE")),"")</f>
        <v/>
      </c>
      <c r="N176" s="25">
        <f>IFERROR(IF(SUMIFS(tblDaily[TransfersOut],tblDaily[EntryDate],DATE(2026,5,9),tblDaily[WardCode],"FAE")=0,"",SUMIFS(tblDaily[TransfersOut],tblDaily[EntryDate],DATE(2026,5,9),tblDaily[WardCode],"FAE")),"")</f>
        <v/>
      </c>
      <c r="O176" s="25">
        <f>IFERROR(IF(SUMIFS(tblDaily[Remaining],tblDaily[EntryDate],DATE(2026,5,9),tblDaily[WardCode],"FAE")=0,"",SUMIFS(tblDaily[Remaining],tblDaily[EntryDate],DATE(2026,5,9),tblDaily[WardCode],"FAE")),"")</f>
        <v/>
      </c>
      <c r="P176" s="26">
        <f>IF(AND(H176="", O176=""), "", N(H176) + N(O176))</f>
        <v/>
      </c>
    </row>
    <row r="177">
      <c r="A177" s="25" t="n">
        <v>10</v>
      </c>
      <c r="B177" s="25">
        <f>IFERROR(IF(SUMIFS(tblDaily[Admissions],tblDaily[EntryDate],DATE(2026,5,10),tblDaily[WardCode],"MAE")=0,"",SUMIFS(tblDaily[Admissions],tblDaily[EntryDate],DATE(2026,5,10),tblDaily[WardCode],"MAE")),"")</f>
        <v/>
      </c>
      <c r="C177" s="25">
        <f>IFERROR(IF(SUMIFS(tblDaily[Discharges],tblDaily[EntryDate],DATE(2026,5,10),tblDaily[WardCode],"MAE")=0,"",SUMIFS(tblDaily[Discharges],tblDaily[EntryDate],DATE(2026,5,10),tblDaily[WardCode],"MAE")),"")</f>
        <v/>
      </c>
      <c r="D177" s="25">
        <f>IFERROR(IF(SUMIFS(tblDaily[Deaths],tblDaily[EntryDate],DATE(2026,5,10),tblDaily[WardCode],"MAE")=0,"",SUMIFS(tblDaily[Deaths],tblDaily[EntryDate],DATE(2026,5,10),tblDaily[WardCode],"MAE")),"")</f>
        <v/>
      </c>
      <c r="E177" s="25">
        <f>IFERROR(IF(SUMIFS(tblDaily[DeathsUnder24Hrs],tblDaily[EntryDate],DATE(2026,5,10),tblDaily[WardCode],"MAE")=0,"",SUMIFS(tblDaily[DeathsUnder24Hrs],tblDaily[EntryDate],DATE(2026,5,10),tblDaily[WardCode],"MAE")),"")</f>
        <v/>
      </c>
      <c r="F177" s="25">
        <f>IFERROR(IF(SUMIFS(tblDaily[TransfersIn],tblDaily[EntryDate],DATE(2026,5,10),tblDaily[WardCode],"MAE")=0,"",SUMIFS(tblDaily[TransfersIn],tblDaily[EntryDate],DATE(2026,5,10),tblDaily[WardCode],"MAE")),"")</f>
        <v/>
      </c>
      <c r="G177" s="25">
        <f>IFERROR(IF(SUMIFS(tblDaily[TransfersOut],tblDaily[EntryDate],DATE(2026,5,10),tblDaily[WardCode],"MAE")=0,"",SUMIFS(tblDaily[TransfersOut],tblDaily[EntryDate],DATE(2026,5,10),tblDaily[WardCode],"MAE")),"")</f>
        <v/>
      </c>
      <c r="H177" s="25">
        <f>IFERROR(IF(SUMIFS(tblDaily[Remaining],tblDaily[EntryDate],DATE(2026,5,10),tblDaily[WardCode],"MAE")=0,"",SUMIFS(tblDaily[Remaining],tblDaily[EntryDate],DATE(2026,5,10),tblDaily[WardCode],"MAE")),"")</f>
        <v/>
      </c>
      <c r="I177" s="25">
        <f>IFERROR(IF(SUMIFS(tblDaily[Admissions],tblDaily[EntryDate],DATE(2026,5,10),tblDaily[WardCode],"FAE")=0,"",SUMIFS(tblDaily[Admissions],tblDaily[EntryDate],DATE(2026,5,10),tblDaily[WardCode],"FAE")),"")</f>
        <v/>
      </c>
      <c r="J177" s="25">
        <f>IFERROR(IF(SUMIFS(tblDaily[Discharges],tblDaily[EntryDate],DATE(2026,5,10),tblDaily[WardCode],"FAE")=0,"",SUMIFS(tblDaily[Discharges],tblDaily[EntryDate],DATE(2026,5,10),tblDaily[WardCode],"FAE")),"")</f>
        <v/>
      </c>
      <c r="K177" s="25">
        <f>IFERROR(IF(SUMIFS(tblDaily[Deaths],tblDaily[EntryDate],DATE(2026,5,10),tblDaily[WardCode],"FAE")=0,"",SUMIFS(tblDaily[Deaths],tblDaily[EntryDate],DATE(2026,5,10),tblDaily[WardCode],"FAE")),"")</f>
        <v/>
      </c>
      <c r="L177" s="25">
        <f>IFERROR(IF(SUMIFS(tblDaily[DeathsUnder24Hrs],tblDaily[EntryDate],DATE(2026,5,10),tblDaily[WardCode],"FAE")=0,"",SUMIFS(tblDaily[DeathsUnder24Hrs],tblDaily[EntryDate],DATE(2026,5,10),tblDaily[WardCode],"FAE")),"")</f>
        <v/>
      </c>
      <c r="M177" s="25">
        <f>IFERROR(IF(SUMIFS(tblDaily[TransfersIn],tblDaily[EntryDate],DATE(2026,5,10),tblDaily[WardCode],"FAE")=0,"",SUMIFS(tblDaily[TransfersIn],tblDaily[EntryDate],DATE(2026,5,10),tblDaily[WardCode],"FAE")),"")</f>
        <v/>
      </c>
      <c r="N177" s="25">
        <f>IFERROR(IF(SUMIFS(tblDaily[TransfersOut],tblDaily[EntryDate],DATE(2026,5,10),tblDaily[WardCode],"FAE")=0,"",SUMIFS(tblDaily[TransfersOut],tblDaily[EntryDate],DATE(2026,5,10),tblDaily[WardCode],"FAE")),"")</f>
        <v/>
      </c>
      <c r="O177" s="25">
        <f>IFERROR(IF(SUMIFS(tblDaily[Remaining],tblDaily[EntryDate],DATE(2026,5,10),tblDaily[WardCode],"FAE")=0,"",SUMIFS(tblDaily[Remaining],tblDaily[EntryDate],DATE(2026,5,10),tblDaily[WardCode],"FAE")),"")</f>
        <v/>
      </c>
      <c r="P177" s="26">
        <f>IF(AND(H177="", O177=""), "", N(H177) + N(O177))</f>
        <v/>
      </c>
    </row>
    <row r="178">
      <c r="A178" s="25" t="n">
        <v>11</v>
      </c>
      <c r="B178" s="25">
        <f>IFERROR(IF(SUMIFS(tblDaily[Admissions],tblDaily[EntryDate],DATE(2026,5,11),tblDaily[WardCode],"MAE")=0,"",SUMIFS(tblDaily[Admissions],tblDaily[EntryDate],DATE(2026,5,11),tblDaily[WardCode],"MAE")),"")</f>
        <v/>
      </c>
      <c r="C178" s="25">
        <f>IFERROR(IF(SUMIFS(tblDaily[Discharges],tblDaily[EntryDate],DATE(2026,5,11),tblDaily[WardCode],"MAE")=0,"",SUMIFS(tblDaily[Discharges],tblDaily[EntryDate],DATE(2026,5,11),tblDaily[WardCode],"MAE")),"")</f>
        <v/>
      </c>
      <c r="D178" s="25">
        <f>IFERROR(IF(SUMIFS(tblDaily[Deaths],tblDaily[EntryDate],DATE(2026,5,11),tblDaily[WardCode],"MAE")=0,"",SUMIFS(tblDaily[Deaths],tblDaily[EntryDate],DATE(2026,5,11),tblDaily[WardCode],"MAE")),"")</f>
        <v/>
      </c>
      <c r="E178" s="25">
        <f>IFERROR(IF(SUMIFS(tblDaily[DeathsUnder24Hrs],tblDaily[EntryDate],DATE(2026,5,11),tblDaily[WardCode],"MAE")=0,"",SUMIFS(tblDaily[DeathsUnder24Hrs],tblDaily[EntryDate],DATE(2026,5,11),tblDaily[WardCode],"MAE")),"")</f>
        <v/>
      </c>
      <c r="F178" s="25">
        <f>IFERROR(IF(SUMIFS(tblDaily[TransfersIn],tblDaily[EntryDate],DATE(2026,5,11),tblDaily[WardCode],"MAE")=0,"",SUMIFS(tblDaily[TransfersIn],tblDaily[EntryDate],DATE(2026,5,11),tblDaily[WardCode],"MAE")),"")</f>
        <v/>
      </c>
      <c r="G178" s="25">
        <f>IFERROR(IF(SUMIFS(tblDaily[TransfersOut],tblDaily[EntryDate],DATE(2026,5,11),tblDaily[WardCode],"MAE")=0,"",SUMIFS(tblDaily[TransfersOut],tblDaily[EntryDate],DATE(2026,5,11),tblDaily[WardCode],"MAE")),"")</f>
        <v/>
      </c>
      <c r="H178" s="25">
        <f>IFERROR(IF(SUMIFS(tblDaily[Remaining],tblDaily[EntryDate],DATE(2026,5,11),tblDaily[WardCode],"MAE")=0,"",SUMIFS(tblDaily[Remaining],tblDaily[EntryDate],DATE(2026,5,11),tblDaily[WardCode],"MAE")),"")</f>
        <v/>
      </c>
      <c r="I178" s="25">
        <f>IFERROR(IF(SUMIFS(tblDaily[Admissions],tblDaily[EntryDate],DATE(2026,5,11),tblDaily[WardCode],"FAE")=0,"",SUMIFS(tblDaily[Admissions],tblDaily[EntryDate],DATE(2026,5,11),tblDaily[WardCode],"FAE")),"")</f>
        <v/>
      </c>
      <c r="J178" s="25">
        <f>IFERROR(IF(SUMIFS(tblDaily[Discharges],tblDaily[EntryDate],DATE(2026,5,11),tblDaily[WardCode],"FAE")=0,"",SUMIFS(tblDaily[Discharges],tblDaily[EntryDate],DATE(2026,5,11),tblDaily[WardCode],"FAE")),"")</f>
        <v/>
      </c>
      <c r="K178" s="25">
        <f>IFERROR(IF(SUMIFS(tblDaily[Deaths],tblDaily[EntryDate],DATE(2026,5,11),tblDaily[WardCode],"FAE")=0,"",SUMIFS(tblDaily[Deaths],tblDaily[EntryDate],DATE(2026,5,11),tblDaily[WardCode],"FAE")),"")</f>
        <v/>
      </c>
      <c r="L178" s="25">
        <f>IFERROR(IF(SUMIFS(tblDaily[DeathsUnder24Hrs],tblDaily[EntryDate],DATE(2026,5,11),tblDaily[WardCode],"FAE")=0,"",SUMIFS(tblDaily[DeathsUnder24Hrs],tblDaily[EntryDate],DATE(2026,5,11),tblDaily[WardCode],"FAE")),"")</f>
        <v/>
      </c>
      <c r="M178" s="25">
        <f>IFERROR(IF(SUMIFS(tblDaily[TransfersIn],tblDaily[EntryDate],DATE(2026,5,11),tblDaily[WardCode],"FAE")=0,"",SUMIFS(tblDaily[TransfersIn],tblDaily[EntryDate],DATE(2026,5,11),tblDaily[WardCode],"FAE")),"")</f>
        <v/>
      </c>
      <c r="N178" s="25">
        <f>IFERROR(IF(SUMIFS(tblDaily[TransfersOut],tblDaily[EntryDate],DATE(2026,5,11),tblDaily[WardCode],"FAE")=0,"",SUMIFS(tblDaily[TransfersOut],tblDaily[EntryDate],DATE(2026,5,11),tblDaily[WardCode],"FAE")),"")</f>
        <v/>
      </c>
      <c r="O178" s="25">
        <f>IFERROR(IF(SUMIFS(tblDaily[Remaining],tblDaily[EntryDate],DATE(2026,5,11),tblDaily[WardCode],"FAE")=0,"",SUMIFS(tblDaily[Remaining],tblDaily[EntryDate],DATE(2026,5,11),tblDaily[WardCode],"FAE")),"")</f>
        <v/>
      </c>
      <c r="P178" s="26">
        <f>IF(AND(H178="", O178=""), "", N(H178) + N(O178))</f>
        <v/>
      </c>
    </row>
    <row r="179">
      <c r="A179" s="25" t="n">
        <v>12</v>
      </c>
      <c r="B179" s="25">
        <f>IFERROR(IF(SUMIFS(tblDaily[Admissions],tblDaily[EntryDate],DATE(2026,5,12),tblDaily[WardCode],"MAE")=0,"",SUMIFS(tblDaily[Admissions],tblDaily[EntryDate],DATE(2026,5,12),tblDaily[WardCode],"MAE")),"")</f>
        <v/>
      </c>
      <c r="C179" s="25">
        <f>IFERROR(IF(SUMIFS(tblDaily[Discharges],tblDaily[EntryDate],DATE(2026,5,12),tblDaily[WardCode],"MAE")=0,"",SUMIFS(tblDaily[Discharges],tblDaily[EntryDate],DATE(2026,5,12),tblDaily[WardCode],"MAE")),"")</f>
        <v/>
      </c>
      <c r="D179" s="25">
        <f>IFERROR(IF(SUMIFS(tblDaily[Deaths],tblDaily[EntryDate],DATE(2026,5,12),tblDaily[WardCode],"MAE")=0,"",SUMIFS(tblDaily[Deaths],tblDaily[EntryDate],DATE(2026,5,12),tblDaily[WardCode],"MAE")),"")</f>
        <v/>
      </c>
      <c r="E179" s="25">
        <f>IFERROR(IF(SUMIFS(tblDaily[DeathsUnder24Hrs],tblDaily[EntryDate],DATE(2026,5,12),tblDaily[WardCode],"MAE")=0,"",SUMIFS(tblDaily[DeathsUnder24Hrs],tblDaily[EntryDate],DATE(2026,5,12),tblDaily[WardCode],"MAE")),"")</f>
        <v/>
      </c>
      <c r="F179" s="25">
        <f>IFERROR(IF(SUMIFS(tblDaily[TransfersIn],tblDaily[EntryDate],DATE(2026,5,12),tblDaily[WardCode],"MAE")=0,"",SUMIFS(tblDaily[TransfersIn],tblDaily[EntryDate],DATE(2026,5,12),tblDaily[WardCode],"MAE")),"")</f>
        <v/>
      </c>
      <c r="G179" s="25">
        <f>IFERROR(IF(SUMIFS(tblDaily[TransfersOut],tblDaily[EntryDate],DATE(2026,5,12),tblDaily[WardCode],"MAE")=0,"",SUMIFS(tblDaily[TransfersOut],tblDaily[EntryDate],DATE(2026,5,12),tblDaily[WardCode],"MAE")),"")</f>
        <v/>
      </c>
      <c r="H179" s="25">
        <f>IFERROR(IF(SUMIFS(tblDaily[Remaining],tblDaily[EntryDate],DATE(2026,5,12),tblDaily[WardCode],"MAE")=0,"",SUMIFS(tblDaily[Remaining],tblDaily[EntryDate],DATE(2026,5,12),tblDaily[WardCode],"MAE")),"")</f>
        <v/>
      </c>
      <c r="I179" s="25">
        <f>IFERROR(IF(SUMIFS(tblDaily[Admissions],tblDaily[EntryDate],DATE(2026,5,12),tblDaily[WardCode],"FAE")=0,"",SUMIFS(tblDaily[Admissions],tblDaily[EntryDate],DATE(2026,5,12),tblDaily[WardCode],"FAE")),"")</f>
        <v/>
      </c>
      <c r="J179" s="25">
        <f>IFERROR(IF(SUMIFS(tblDaily[Discharges],tblDaily[EntryDate],DATE(2026,5,12),tblDaily[WardCode],"FAE")=0,"",SUMIFS(tblDaily[Discharges],tblDaily[EntryDate],DATE(2026,5,12),tblDaily[WardCode],"FAE")),"")</f>
        <v/>
      </c>
      <c r="K179" s="25">
        <f>IFERROR(IF(SUMIFS(tblDaily[Deaths],tblDaily[EntryDate],DATE(2026,5,12),tblDaily[WardCode],"FAE")=0,"",SUMIFS(tblDaily[Deaths],tblDaily[EntryDate],DATE(2026,5,12),tblDaily[WardCode],"FAE")),"")</f>
        <v/>
      </c>
      <c r="L179" s="25">
        <f>IFERROR(IF(SUMIFS(tblDaily[DeathsUnder24Hrs],tblDaily[EntryDate],DATE(2026,5,12),tblDaily[WardCode],"FAE")=0,"",SUMIFS(tblDaily[DeathsUnder24Hrs],tblDaily[EntryDate],DATE(2026,5,12),tblDaily[WardCode],"FAE")),"")</f>
        <v/>
      </c>
      <c r="M179" s="25">
        <f>IFERROR(IF(SUMIFS(tblDaily[TransfersIn],tblDaily[EntryDate],DATE(2026,5,12),tblDaily[WardCode],"FAE")=0,"",SUMIFS(tblDaily[TransfersIn],tblDaily[EntryDate],DATE(2026,5,12),tblDaily[WardCode],"FAE")),"")</f>
        <v/>
      </c>
      <c r="N179" s="25">
        <f>IFERROR(IF(SUMIFS(tblDaily[TransfersOut],tblDaily[EntryDate],DATE(2026,5,12),tblDaily[WardCode],"FAE")=0,"",SUMIFS(tblDaily[TransfersOut],tblDaily[EntryDate],DATE(2026,5,12),tblDaily[WardCode],"FAE")),"")</f>
        <v/>
      </c>
      <c r="O179" s="25">
        <f>IFERROR(IF(SUMIFS(tblDaily[Remaining],tblDaily[EntryDate],DATE(2026,5,12),tblDaily[WardCode],"FAE")=0,"",SUMIFS(tblDaily[Remaining],tblDaily[EntryDate],DATE(2026,5,12),tblDaily[WardCode],"FAE")),"")</f>
        <v/>
      </c>
      <c r="P179" s="26">
        <f>IF(AND(H179="", O179=""), "", N(H179) + N(O179))</f>
        <v/>
      </c>
    </row>
    <row r="180">
      <c r="A180" s="25" t="n">
        <v>13</v>
      </c>
      <c r="B180" s="25">
        <f>IFERROR(IF(SUMIFS(tblDaily[Admissions],tblDaily[EntryDate],DATE(2026,5,13),tblDaily[WardCode],"MAE")=0,"",SUMIFS(tblDaily[Admissions],tblDaily[EntryDate],DATE(2026,5,13),tblDaily[WardCode],"MAE")),"")</f>
        <v/>
      </c>
      <c r="C180" s="25">
        <f>IFERROR(IF(SUMIFS(tblDaily[Discharges],tblDaily[EntryDate],DATE(2026,5,13),tblDaily[WardCode],"MAE")=0,"",SUMIFS(tblDaily[Discharges],tblDaily[EntryDate],DATE(2026,5,13),tblDaily[WardCode],"MAE")),"")</f>
        <v/>
      </c>
      <c r="D180" s="25">
        <f>IFERROR(IF(SUMIFS(tblDaily[Deaths],tblDaily[EntryDate],DATE(2026,5,13),tblDaily[WardCode],"MAE")=0,"",SUMIFS(tblDaily[Deaths],tblDaily[EntryDate],DATE(2026,5,13),tblDaily[WardCode],"MAE")),"")</f>
        <v/>
      </c>
      <c r="E180" s="25">
        <f>IFERROR(IF(SUMIFS(tblDaily[DeathsUnder24Hrs],tblDaily[EntryDate],DATE(2026,5,13),tblDaily[WardCode],"MAE")=0,"",SUMIFS(tblDaily[DeathsUnder24Hrs],tblDaily[EntryDate],DATE(2026,5,13),tblDaily[WardCode],"MAE")),"")</f>
        <v/>
      </c>
      <c r="F180" s="25">
        <f>IFERROR(IF(SUMIFS(tblDaily[TransfersIn],tblDaily[EntryDate],DATE(2026,5,13),tblDaily[WardCode],"MAE")=0,"",SUMIFS(tblDaily[TransfersIn],tblDaily[EntryDate],DATE(2026,5,13),tblDaily[WardCode],"MAE")),"")</f>
        <v/>
      </c>
      <c r="G180" s="25">
        <f>IFERROR(IF(SUMIFS(tblDaily[TransfersOut],tblDaily[EntryDate],DATE(2026,5,13),tblDaily[WardCode],"MAE")=0,"",SUMIFS(tblDaily[TransfersOut],tblDaily[EntryDate],DATE(2026,5,13),tblDaily[WardCode],"MAE")),"")</f>
        <v/>
      </c>
      <c r="H180" s="25">
        <f>IFERROR(IF(SUMIFS(tblDaily[Remaining],tblDaily[EntryDate],DATE(2026,5,13),tblDaily[WardCode],"MAE")=0,"",SUMIFS(tblDaily[Remaining],tblDaily[EntryDate],DATE(2026,5,13),tblDaily[WardCode],"MAE")),"")</f>
        <v/>
      </c>
      <c r="I180" s="25">
        <f>IFERROR(IF(SUMIFS(tblDaily[Admissions],tblDaily[EntryDate],DATE(2026,5,13),tblDaily[WardCode],"FAE")=0,"",SUMIFS(tblDaily[Admissions],tblDaily[EntryDate],DATE(2026,5,13),tblDaily[WardCode],"FAE")),"")</f>
        <v/>
      </c>
      <c r="J180" s="25">
        <f>IFERROR(IF(SUMIFS(tblDaily[Discharges],tblDaily[EntryDate],DATE(2026,5,13),tblDaily[WardCode],"FAE")=0,"",SUMIFS(tblDaily[Discharges],tblDaily[EntryDate],DATE(2026,5,13),tblDaily[WardCode],"FAE")),"")</f>
        <v/>
      </c>
      <c r="K180" s="25">
        <f>IFERROR(IF(SUMIFS(tblDaily[Deaths],tblDaily[EntryDate],DATE(2026,5,13),tblDaily[WardCode],"FAE")=0,"",SUMIFS(tblDaily[Deaths],tblDaily[EntryDate],DATE(2026,5,13),tblDaily[WardCode],"FAE")),"")</f>
        <v/>
      </c>
      <c r="L180" s="25">
        <f>IFERROR(IF(SUMIFS(tblDaily[DeathsUnder24Hrs],tblDaily[EntryDate],DATE(2026,5,13),tblDaily[WardCode],"FAE")=0,"",SUMIFS(tblDaily[DeathsUnder24Hrs],tblDaily[EntryDate],DATE(2026,5,13),tblDaily[WardCode],"FAE")),"")</f>
        <v/>
      </c>
      <c r="M180" s="25">
        <f>IFERROR(IF(SUMIFS(tblDaily[TransfersIn],tblDaily[EntryDate],DATE(2026,5,13),tblDaily[WardCode],"FAE")=0,"",SUMIFS(tblDaily[TransfersIn],tblDaily[EntryDate],DATE(2026,5,13),tblDaily[WardCode],"FAE")),"")</f>
        <v/>
      </c>
      <c r="N180" s="25">
        <f>IFERROR(IF(SUMIFS(tblDaily[TransfersOut],tblDaily[EntryDate],DATE(2026,5,13),tblDaily[WardCode],"FAE")=0,"",SUMIFS(tblDaily[TransfersOut],tblDaily[EntryDate],DATE(2026,5,13),tblDaily[WardCode],"FAE")),"")</f>
        <v/>
      </c>
      <c r="O180" s="25">
        <f>IFERROR(IF(SUMIFS(tblDaily[Remaining],tblDaily[EntryDate],DATE(2026,5,13),tblDaily[WardCode],"FAE")=0,"",SUMIFS(tblDaily[Remaining],tblDaily[EntryDate],DATE(2026,5,13),tblDaily[WardCode],"FAE")),"")</f>
        <v/>
      </c>
      <c r="P180" s="26">
        <f>IF(AND(H180="", O180=""), "", N(H180) + N(O180))</f>
        <v/>
      </c>
    </row>
    <row r="181">
      <c r="A181" s="25" t="n">
        <v>14</v>
      </c>
      <c r="B181" s="25">
        <f>IFERROR(IF(SUMIFS(tblDaily[Admissions],tblDaily[EntryDate],DATE(2026,5,14),tblDaily[WardCode],"MAE")=0,"",SUMIFS(tblDaily[Admissions],tblDaily[EntryDate],DATE(2026,5,14),tblDaily[WardCode],"MAE")),"")</f>
        <v/>
      </c>
      <c r="C181" s="25">
        <f>IFERROR(IF(SUMIFS(tblDaily[Discharges],tblDaily[EntryDate],DATE(2026,5,14),tblDaily[WardCode],"MAE")=0,"",SUMIFS(tblDaily[Discharges],tblDaily[EntryDate],DATE(2026,5,14),tblDaily[WardCode],"MAE")),"")</f>
        <v/>
      </c>
      <c r="D181" s="25">
        <f>IFERROR(IF(SUMIFS(tblDaily[Deaths],tblDaily[EntryDate],DATE(2026,5,14),tblDaily[WardCode],"MAE")=0,"",SUMIFS(tblDaily[Deaths],tblDaily[EntryDate],DATE(2026,5,14),tblDaily[WardCode],"MAE")),"")</f>
        <v/>
      </c>
      <c r="E181" s="25">
        <f>IFERROR(IF(SUMIFS(tblDaily[DeathsUnder24Hrs],tblDaily[EntryDate],DATE(2026,5,14),tblDaily[WardCode],"MAE")=0,"",SUMIFS(tblDaily[DeathsUnder24Hrs],tblDaily[EntryDate],DATE(2026,5,14),tblDaily[WardCode],"MAE")),"")</f>
        <v/>
      </c>
      <c r="F181" s="25">
        <f>IFERROR(IF(SUMIFS(tblDaily[TransfersIn],tblDaily[EntryDate],DATE(2026,5,14),tblDaily[WardCode],"MAE")=0,"",SUMIFS(tblDaily[TransfersIn],tblDaily[EntryDate],DATE(2026,5,14),tblDaily[WardCode],"MAE")),"")</f>
        <v/>
      </c>
      <c r="G181" s="25">
        <f>IFERROR(IF(SUMIFS(tblDaily[TransfersOut],tblDaily[EntryDate],DATE(2026,5,14),tblDaily[WardCode],"MAE")=0,"",SUMIFS(tblDaily[TransfersOut],tblDaily[EntryDate],DATE(2026,5,14),tblDaily[WardCode],"MAE")),"")</f>
        <v/>
      </c>
      <c r="H181" s="25">
        <f>IFERROR(IF(SUMIFS(tblDaily[Remaining],tblDaily[EntryDate],DATE(2026,5,14),tblDaily[WardCode],"MAE")=0,"",SUMIFS(tblDaily[Remaining],tblDaily[EntryDate],DATE(2026,5,14),tblDaily[WardCode],"MAE")),"")</f>
        <v/>
      </c>
      <c r="I181" s="25">
        <f>IFERROR(IF(SUMIFS(tblDaily[Admissions],tblDaily[EntryDate],DATE(2026,5,14),tblDaily[WardCode],"FAE")=0,"",SUMIFS(tblDaily[Admissions],tblDaily[EntryDate],DATE(2026,5,14),tblDaily[WardCode],"FAE")),"")</f>
        <v/>
      </c>
      <c r="J181" s="25">
        <f>IFERROR(IF(SUMIFS(tblDaily[Discharges],tblDaily[EntryDate],DATE(2026,5,14),tblDaily[WardCode],"FAE")=0,"",SUMIFS(tblDaily[Discharges],tblDaily[EntryDate],DATE(2026,5,14),tblDaily[WardCode],"FAE")),"")</f>
        <v/>
      </c>
      <c r="K181" s="25">
        <f>IFERROR(IF(SUMIFS(tblDaily[Deaths],tblDaily[EntryDate],DATE(2026,5,14),tblDaily[WardCode],"FAE")=0,"",SUMIFS(tblDaily[Deaths],tblDaily[EntryDate],DATE(2026,5,14),tblDaily[WardCode],"FAE")),"")</f>
        <v/>
      </c>
      <c r="L181" s="25">
        <f>IFERROR(IF(SUMIFS(tblDaily[DeathsUnder24Hrs],tblDaily[EntryDate],DATE(2026,5,14),tblDaily[WardCode],"FAE")=0,"",SUMIFS(tblDaily[DeathsUnder24Hrs],tblDaily[EntryDate],DATE(2026,5,14),tblDaily[WardCode],"FAE")),"")</f>
        <v/>
      </c>
      <c r="M181" s="25">
        <f>IFERROR(IF(SUMIFS(tblDaily[TransfersIn],tblDaily[EntryDate],DATE(2026,5,14),tblDaily[WardCode],"FAE")=0,"",SUMIFS(tblDaily[TransfersIn],tblDaily[EntryDate],DATE(2026,5,14),tblDaily[WardCode],"FAE")),"")</f>
        <v/>
      </c>
      <c r="N181" s="25">
        <f>IFERROR(IF(SUMIFS(tblDaily[TransfersOut],tblDaily[EntryDate],DATE(2026,5,14),tblDaily[WardCode],"FAE")=0,"",SUMIFS(tblDaily[TransfersOut],tblDaily[EntryDate],DATE(2026,5,14),tblDaily[WardCode],"FAE")),"")</f>
        <v/>
      </c>
      <c r="O181" s="25">
        <f>IFERROR(IF(SUMIFS(tblDaily[Remaining],tblDaily[EntryDate],DATE(2026,5,14),tblDaily[WardCode],"FAE")=0,"",SUMIFS(tblDaily[Remaining],tblDaily[EntryDate],DATE(2026,5,14),tblDaily[WardCode],"FAE")),"")</f>
        <v/>
      </c>
      <c r="P181" s="26">
        <f>IF(AND(H181="", O181=""), "", N(H181) + N(O181))</f>
        <v/>
      </c>
    </row>
    <row r="182">
      <c r="A182" s="25" t="n">
        <v>15</v>
      </c>
      <c r="B182" s="25">
        <f>IFERROR(IF(SUMIFS(tblDaily[Admissions],tblDaily[EntryDate],DATE(2026,5,15),tblDaily[WardCode],"MAE")=0,"",SUMIFS(tblDaily[Admissions],tblDaily[EntryDate],DATE(2026,5,15),tblDaily[WardCode],"MAE")),"")</f>
        <v/>
      </c>
      <c r="C182" s="25">
        <f>IFERROR(IF(SUMIFS(tblDaily[Discharges],tblDaily[EntryDate],DATE(2026,5,15),tblDaily[WardCode],"MAE")=0,"",SUMIFS(tblDaily[Discharges],tblDaily[EntryDate],DATE(2026,5,15),tblDaily[WardCode],"MAE")),"")</f>
        <v/>
      </c>
      <c r="D182" s="25">
        <f>IFERROR(IF(SUMIFS(tblDaily[Deaths],tblDaily[EntryDate],DATE(2026,5,15),tblDaily[WardCode],"MAE")=0,"",SUMIFS(tblDaily[Deaths],tblDaily[EntryDate],DATE(2026,5,15),tblDaily[WardCode],"MAE")),"")</f>
        <v/>
      </c>
      <c r="E182" s="25">
        <f>IFERROR(IF(SUMIFS(tblDaily[DeathsUnder24Hrs],tblDaily[EntryDate],DATE(2026,5,15),tblDaily[WardCode],"MAE")=0,"",SUMIFS(tblDaily[DeathsUnder24Hrs],tblDaily[EntryDate],DATE(2026,5,15),tblDaily[WardCode],"MAE")),"")</f>
        <v/>
      </c>
      <c r="F182" s="25">
        <f>IFERROR(IF(SUMIFS(tblDaily[TransfersIn],tblDaily[EntryDate],DATE(2026,5,15),tblDaily[WardCode],"MAE")=0,"",SUMIFS(tblDaily[TransfersIn],tblDaily[EntryDate],DATE(2026,5,15),tblDaily[WardCode],"MAE")),"")</f>
        <v/>
      </c>
      <c r="G182" s="25">
        <f>IFERROR(IF(SUMIFS(tblDaily[TransfersOut],tblDaily[EntryDate],DATE(2026,5,15),tblDaily[WardCode],"MAE")=0,"",SUMIFS(tblDaily[TransfersOut],tblDaily[EntryDate],DATE(2026,5,15),tblDaily[WardCode],"MAE")),"")</f>
        <v/>
      </c>
      <c r="H182" s="25">
        <f>IFERROR(IF(SUMIFS(tblDaily[Remaining],tblDaily[EntryDate],DATE(2026,5,15),tblDaily[WardCode],"MAE")=0,"",SUMIFS(tblDaily[Remaining],tblDaily[EntryDate],DATE(2026,5,15),tblDaily[WardCode],"MAE")),"")</f>
        <v/>
      </c>
      <c r="I182" s="25">
        <f>IFERROR(IF(SUMIFS(tblDaily[Admissions],tblDaily[EntryDate],DATE(2026,5,15),tblDaily[WardCode],"FAE")=0,"",SUMIFS(tblDaily[Admissions],tblDaily[EntryDate],DATE(2026,5,15),tblDaily[WardCode],"FAE")),"")</f>
        <v/>
      </c>
      <c r="J182" s="25">
        <f>IFERROR(IF(SUMIFS(tblDaily[Discharges],tblDaily[EntryDate],DATE(2026,5,15),tblDaily[WardCode],"FAE")=0,"",SUMIFS(tblDaily[Discharges],tblDaily[EntryDate],DATE(2026,5,15),tblDaily[WardCode],"FAE")),"")</f>
        <v/>
      </c>
      <c r="K182" s="25">
        <f>IFERROR(IF(SUMIFS(tblDaily[Deaths],tblDaily[EntryDate],DATE(2026,5,15),tblDaily[WardCode],"FAE")=0,"",SUMIFS(tblDaily[Deaths],tblDaily[EntryDate],DATE(2026,5,15),tblDaily[WardCode],"FAE")),"")</f>
        <v/>
      </c>
      <c r="L182" s="25">
        <f>IFERROR(IF(SUMIFS(tblDaily[DeathsUnder24Hrs],tblDaily[EntryDate],DATE(2026,5,15),tblDaily[WardCode],"FAE")=0,"",SUMIFS(tblDaily[DeathsUnder24Hrs],tblDaily[EntryDate],DATE(2026,5,15),tblDaily[WardCode],"FAE")),"")</f>
        <v/>
      </c>
      <c r="M182" s="25">
        <f>IFERROR(IF(SUMIFS(tblDaily[TransfersIn],tblDaily[EntryDate],DATE(2026,5,15),tblDaily[WardCode],"FAE")=0,"",SUMIFS(tblDaily[TransfersIn],tblDaily[EntryDate],DATE(2026,5,15),tblDaily[WardCode],"FAE")),"")</f>
        <v/>
      </c>
      <c r="N182" s="25">
        <f>IFERROR(IF(SUMIFS(tblDaily[TransfersOut],tblDaily[EntryDate],DATE(2026,5,15),tblDaily[WardCode],"FAE")=0,"",SUMIFS(tblDaily[TransfersOut],tblDaily[EntryDate],DATE(2026,5,15),tblDaily[WardCode],"FAE")),"")</f>
        <v/>
      </c>
      <c r="O182" s="25">
        <f>IFERROR(IF(SUMIFS(tblDaily[Remaining],tblDaily[EntryDate],DATE(2026,5,15),tblDaily[WardCode],"FAE")=0,"",SUMIFS(tblDaily[Remaining],tblDaily[EntryDate],DATE(2026,5,15),tblDaily[WardCode],"FAE")),"")</f>
        <v/>
      </c>
      <c r="P182" s="26">
        <f>IF(AND(H182="", O182=""), "", N(H182) + N(O182))</f>
        <v/>
      </c>
    </row>
    <row r="183">
      <c r="A183" s="25" t="n">
        <v>16</v>
      </c>
      <c r="B183" s="25">
        <f>IFERROR(IF(SUMIFS(tblDaily[Admissions],tblDaily[EntryDate],DATE(2026,5,16),tblDaily[WardCode],"MAE")=0,"",SUMIFS(tblDaily[Admissions],tblDaily[EntryDate],DATE(2026,5,16),tblDaily[WardCode],"MAE")),"")</f>
        <v/>
      </c>
      <c r="C183" s="25">
        <f>IFERROR(IF(SUMIFS(tblDaily[Discharges],tblDaily[EntryDate],DATE(2026,5,16),tblDaily[WardCode],"MAE")=0,"",SUMIFS(tblDaily[Discharges],tblDaily[EntryDate],DATE(2026,5,16),tblDaily[WardCode],"MAE")),"")</f>
        <v/>
      </c>
      <c r="D183" s="25">
        <f>IFERROR(IF(SUMIFS(tblDaily[Deaths],tblDaily[EntryDate],DATE(2026,5,16),tblDaily[WardCode],"MAE")=0,"",SUMIFS(tblDaily[Deaths],tblDaily[EntryDate],DATE(2026,5,16),tblDaily[WardCode],"MAE")),"")</f>
        <v/>
      </c>
      <c r="E183" s="25">
        <f>IFERROR(IF(SUMIFS(tblDaily[DeathsUnder24Hrs],tblDaily[EntryDate],DATE(2026,5,16),tblDaily[WardCode],"MAE")=0,"",SUMIFS(tblDaily[DeathsUnder24Hrs],tblDaily[EntryDate],DATE(2026,5,16),tblDaily[WardCode],"MAE")),"")</f>
        <v/>
      </c>
      <c r="F183" s="25">
        <f>IFERROR(IF(SUMIFS(tblDaily[TransfersIn],tblDaily[EntryDate],DATE(2026,5,16),tblDaily[WardCode],"MAE")=0,"",SUMIFS(tblDaily[TransfersIn],tblDaily[EntryDate],DATE(2026,5,16),tblDaily[WardCode],"MAE")),"")</f>
        <v/>
      </c>
      <c r="G183" s="25">
        <f>IFERROR(IF(SUMIFS(tblDaily[TransfersOut],tblDaily[EntryDate],DATE(2026,5,16),tblDaily[WardCode],"MAE")=0,"",SUMIFS(tblDaily[TransfersOut],tblDaily[EntryDate],DATE(2026,5,16),tblDaily[WardCode],"MAE")),"")</f>
        <v/>
      </c>
      <c r="H183" s="25">
        <f>IFERROR(IF(SUMIFS(tblDaily[Remaining],tblDaily[EntryDate],DATE(2026,5,16),tblDaily[WardCode],"MAE")=0,"",SUMIFS(tblDaily[Remaining],tblDaily[EntryDate],DATE(2026,5,16),tblDaily[WardCode],"MAE")),"")</f>
        <v/>
      </c>
      <c r="I183" s="25">
        <f>IFERROR(IF(SUMIFS(tblDaily[Admissions],tblDaily[EntryDate],DATE(2026,5,16),tblDaily[WardCode],"FAE")=0,"",SUMIFS(tblDaily[Admissions],tblDaily[EntryDate],DATE(2026,5,16),tblDaily[WardCode],"FAE")),"")</f>
        <v/>
      </c>
      <c r="J183" s="25">
        <f>IFERROR(IF(SUMIFS(tblDaily[Discharges],tblDaily[EntryDate],DATE(2026,5,16),tblDaily[WardCode],"FAE")=0,"",SUMIFS(tblDaily[Discharges],tblDaily[EntryDate],DATE(2026,5,16),tblDaily[WardCode],"FAE")),"")</f>
        <v/>
      </c>
      <c r="K183" s="25">
        <f>IFERROR(IF(SUMIFS(tblDaily[Deaths],tblDaily[EntryDate],DATE(2026,5,16),tblDaily[WardCode],"FAE")=0,"",SUMIFS(tblDaily[Deaths],tblDaily[EntryDate],DATE(2026,5,16),tblDaily[WardCode],"FAE")),"")</f>
        <v/>
      </c>
      <c r="L183" s="25">
        <f>IFERROR(IF(SUMIFS(tblDaily[DeathsUnder24Hrs],tblDaily[EntryDate],DATE(2026,5,16),tblDaily[WardCode],"FAE")=0,"",SUMIFS(tblDaily[DeathsUnder24Hrs],tblDaily[EntryDate],DATE(2026,5,16),tblDaily[WardCode],"FAE")),"")</f>
        <v/>
      </c>
      <c r="M183" s="25">
        <f>IFERROR(IF(SUMIFS(tblDaily[TransfersIn],tblDaily[EntryDate],DATE(2026,5,16),tblDaily[WardCode],"FAE")=0,"",SUMIFS(tblDaily[TransfersIn],tblDaily[EntryDate],DATE(2026,5,16),tblDaily[WardCode],"FAE")),"")</f>
        <v/>
      </c>
      <c r="N183" s="25">
        <f>IFERROR(IF(SUMIFS(tblDaily[TransfersOut],tblDaily[EntryDate],DATE(2026,5,16),tblDaily[WardCode],"FAE")=0,"",SUMIFS(tblDaily[TransfersOut],tblDaily[EntryDate],DATE(2026,5,16),tblDaily[WardCode],"FAE")),"")</f>
        <v/>
      </c>
      <c r="O183" s="25">
        <f>IFERROR(IF(SUMIFS(tblDaily[Remaining],tblDaily[EntryDate],DATE(2026,5,16),tblDaily[WardCode],"FAE")=0,"",SUMIFS(tblDaily[Remaining],tblDaily[EntryDate],DATE(2026,5,16),tblDaily[WardCode],"FAE")),"")</f>
        <v/>
      </c>
      <c r="P183" s="26">
        <f>IF(AND(H183="", O183=""), "", N(H183) + N(O183))</f>
        <v/>
      </c>
    </row>
    <row r="184">
      <c r="A184" s="25" t="n">
        <v>17</v>
      </c>
      <c r="B184" s="25">
        <f>IFERROR(IF(SUMIFS(tblDaily[Admissions],tblDaily[EntryDate],DATE(2026,5,17),tblDaily[WardCode],"MAE")=0,"",SUMIFS(tblDaily[Admissions],tblDaily[EntryDate],DATE(2026,5,17),tblDaily[WardCode],"MAE")),"")</f>
        <v/>
      </c>
      <c r="C184" s="25">
        <f>IFERROR(IF(SUMIFS(tblDaily[Discharges],tblDaily[EntryDate],DATE(2026,5,17),tblDaily[WardCode],"MAE")=0,"",SUMIFS(tblDaily[Discharges],tblDaily[EntryDate],DATE(2026,5,17),tblDaily[WardCode],"MAE")),"")</f>
        <v/>
      </c>
      <c r="D184" s="25">
        <f>IFERROR(IF(SUMIFS(tblDaily[Deaths],tblDaily[EntryDate],DATE(2026,5,17),tblDaily[WardCode],"MAE")=0,"",SUMIFS(tblDaily[Deaths],tblDaily[EntryDate],DATE(2026,5,17),tblDaily[WardCode],"MAE")),"")</f>
        <v/>
      </c>
      <c r="E184" s="25">
        <f>IFERROR(IF(SUMIFS(tblDaily[DeathsUnder24Hrs],tblDaily[EntryDate],DATE(2026,5,17),tblDaily[WardCode],"MAE")=0,"",SUMIFS(tblDaily[DeathsUnder24Hrs],tblDaily[EntryDate],DATE(2026,5,17),tblDaily[WardCode],"MAE")),"")</f>
        <v/>
      </c>
      <c r="F184" s="25">
        <f>IFERROR(IF(SUMIFS(tblDaily[TransfersIn],tblDaily[EntryDate],DATE(2026,5,17),tblDaily[WardCode],"MAE")=0,"",SUMIFS(tblDaily[TransfersIn],tblDaily[EntryDate],DATE(2026,5,17),tblDaily[WardCode],"MAE")),"")</f>
        <v/>
      </c>
      <c r="G184" s="25">
        <f>IFERROR(IF(SUMIFS(tblDaily[TransfersOut],tblDaily[EntryDate],DATE(2026,5,17),tblDaily[WardCode],"MAE")=0,"",SUMIFS(tblDaily[TransfersOut],tblDaily[EntryDate],DATE(2026,5,17),tblDaily[WardCode],"MAE")),"")</f>
        <v/>
      </c>
      <c r="H184" s="25">
        <f>IFERROR(IF(SUMIFS(tblDaily[Remaining],tblDaily[EntryDate],DATE(2026,5,17),tblDaily[WardCode],"MAE")=0,"",SUMIFS(tblDaily[Remaining],tblDaily[EntryDate],DATE(2026,5,17),tblDaily[WardCode],"MAE")),"")</f>
        <v/>
      </c>
      <c r="I184" s="25">
        <f>IFERROR(IF(SUMIFS(tblDaily[Admissions],tblDaily[EntryDate],DATE(2026,5,17),tblDaily[WardCode],"FAE")=0,"",SUMIFS(tblDaily[Admissions],tblDaily[EntryDate],DATE(2026,5,17),tblDaily[WardCode],"FAE")),"")</f>
        <v/>
      </c>
      <c r="J184" s="25">
        <f>IFERROR(IF(SUMIFS(tblDaily[Discharges],tblDaily[EntryDate],DATE(2026,5,17),tblDaily[WardCode],"FAE")=0,"",SUMIFS(tblDaily[Discharges],tblDaily[EntryDate],DATE(2026,5,17),tblDaily[WardCode],"FAE")),"")</f>
        <v/>
      </c>
      <c r="K184" s="25">
        <f>IFERROR(IF(SUMIFS(tblDaily[Deaths],tblDaily[EntryDate],DATE(2026,5,17),tblDaily[WardCode],"FAE")=0,"",SUMIFS(tblDaily[Deaths],tblDaily[EntryDate],DATE(2026,5,17),tblDaily[WardCode],"FAE")),"")</f>
        <v/>
      </c>
      <c r="L184" s="25">
        <f>IFERROR(IF(SUMIFS(tblDaily[DeathsUnder24Hrs],tblDaily[EntryDate],DATE(2026,5,17),tblDaily[WardCode],"FAE")=0,"",SUMIFS(tblDaily[DeathsUnder24Hrs],tblDaily[EntryDate],DATE(2026,5,17),tblDaily[WardCode],"FAE")),"")</f>
        <v/>
      </c>
      <c r="M184" s="25">
        <f>IFERROR(IF(SUMIFS(tblDaily[TransfersIn],tblDaily[EntryDate],DATE(2026,5,17),tblDaily[WardCode],"FAE")=0,"",SUMIFS(tblDaily[TransfersIn],tblDaily[EntryDate],DATE(2026,5,17),tblDaily[WardCode],"FAE")),"")</f>
        <v/>
      </c>
      <c r="N184" s="25">
        <f>IFERROR(IF(SUMIFS(tblDaily[TransfersOut],tblDaily[EntryDate],DATE(2026,5,17),tblDaily[WardCode],"FAE")=0,"",SUMIFS(tblDaily[TransfersOut],tblDaily[EntryDate],DATE(2026,5,17),tblDaily[WardCode],"FAE")),"")</f>
        <v/>
      </c>
      <c r="O184" s="25">
        <f>IFERROR(IF(SUMIFS(tblDaily[Remaining],tblDaily[EntryDate],DATE(2026,5,17),tblDaily[WardCode],"FAE")=0,"",SUMIFS(tblDaily[Remaining],tblDaily[EntryDate],DATE(2026,5,17),tblDaily[WardCode],"FAE")),"")</f>
        <v/>
      </c>
      <c r="P184" s="26">
        <f>IF(AND(H184="", O184=""), "", N(H184) + N(O184))</f>
        <v/>
      </c>
    </row>
    <row r="185">
      <c r="A185" s="25" t="n">
        <v>18</v>
      </c>
      <c r="B185" s="25">
        <f>IFERROR(IF(SUMIFS(tblDaily[Admissions],tblDaily[EntryDate],DATE(2026,5,18),tblDaily[WardCode],"MAE")=0,"",SUMIFS(tblDaily[Admissions],tblDaily[EntryDate],DATE(2026,5,18),tblDaily[WardCode],"MAE")),"")</f>
        <v/>
      </c>
      <c r="C185" s="25">
        <f>IFERROR(IF(SUMIFS(tblDaily[Discharges],tblDaily[EntryDate],DATE(2026,5,18),tblDaily[WardCode],"MAE")=0,"",SUMIFS(tblDaily[Discharges],tblDaily[EntryDate],DATE(2026,5,18),tblDaily[WardCode],"MAE")),"")</f>
        <v/>
      </c>
      <c r="D185" s="25">
        <f>IFERROR(IF(SUMIFS(tblDaily[Deaths],tblDaily[EntryDate],DATE(2026,5,18),tblDaily[WardCode],"MAE")=0,"",SUMIFS(tblDaily[Deaths],tblDaily[EntryDate],DATE(2026,5,18),tblDaily[WardCode],"MAE")),"")</f>
        <v/>
      </c>
      <c r="E185" s="25">
        <f>IFERROR(IF(SUMIFS(tblDaily[DeathsUnder24Hrs],tblDaily[EntryDate],DATE(2026,5,18),tblDaily[WardCode],"MAE")=0,"",SUMIFS(tblDaily[DeathsUnder24Hrs],tblDaily[EntryDate],DATE(2026,5,18),tblDaily[WardCode],"MAE")),"")</f>
        <v/>
      </c>
      <c r="F185" s="25">
        <f>IFERROR(IF(SUMIFS(tblDaily[TransfersIn],tblDaily[EntryDate],DATE(2026,5,18),tblDaily[WardCode],"MAE")=0,"",SUMIFS(tblDaily[TransfersIn],tblDaily[EntryDate],DATE(2026,5,18),tblDaily[WardCode],"MAE")),"")</f>
        <v/>
      </c>
      <c r="G185" s="25">
        <f>IFERROR(IF(SUMIFS(tblDaily[TransfersOut],tblDaily[EntryDate],DATE(2026,5,18),tblDaily[WardCode],"MAE")=0,"",SUMIFS(tblDaily[TransfersOut],tblDaily[EntryDate],DATE(2026,5,18),tblDaily[WardCode],"MAE")),"")</f>
        <v/>
      </c>
      <c r="H185" s="25">
        <f>IFERROR(IF(SUMIFS(tblDaily[Remaining],tblDaily[EntryDate],DATE(2026,5,18),tblDaily[WardCode],"MAE")=0,"",SUMIFS(tblDaily[Remaining],tblDaily[EntryDate],DATE(2026,5,18),tblDaily[WardCode],"MAE")),"")</f>
        <v/>
      </c>
      <c r="I185" s="25">
        <f>IFERROR(IF(SUMIFS(tblDaily[Admissions],tblDaily[EntryDate],DATE(2026,5,18),tblDaily[WardCode],"FAE")=0,"",SUMIFS(tblDaily[Admissions],tblDaily[EntryDate],DATE(2026,5,18),tblDaily[WardCode],"FAE")),"")</f>
        <v/>
      </c>
      <c r="J185" s="25">
        <f>IFERROR(IF(SUMIFS(tblDaily[Discharges],tblDaily[EntryDate],DATE(2026,5,18),tblDaily[WardCode],"FAE")=0,"",SUMIFS(tblDaily[Discharges],tblDaily[EntryDate],DATE(2026,5,18),tblDaily[WardCode],"FAE")),"")</f>
        <v/>
      </c>
      <c r="K185" s="25">
        <f>IFERROR(IF(SUMIFS(tblDaily[Deaths],tblDaily[EntryDate],DATE(2026,5,18),tblDaily[WardCode],"FAE")=0,"",SUMIFS(tblDaily[Deaths],tblDaily[EntryDate],DATE(2026,5,18),tblDaily[WardCode],"FAE")),"")</f>
        <v/>
      </c>
      <c r="L185" s="25">
        <f>IFERROR(IF(SUMIFS(tblDaily[DeathsUnder24Hrs],tblDaily[EntryDate],DATE(2026,5,18),tblDaily[WardCode],"FAE")=0,"",SUMIFS(tblDaily[DeathsUnder24Hrs],tblDaily[EntryDate],DATE(2026,5,18),tblDaily[WardCode],"FAE")),"")</f>
        <v/>
      </c>
      <c r="M185" s="25">
        <f>IFERROR(IF(SUMIFS(tblDaily[TransfersIn],tblDaily[EntryDate],DATE(2026,5,18),tblDaily[WardCode],"FAE")=0,"",SUMIFS(tblDaily[TransfersIn],tblDaily[EntryDate],DATE(2026,5,18),tblDaily[WardCode],"FAE")),"")</f>
        <v/>
      </c>
      <c r="N185" s="25">
        <f>IFERROR(IF(SUMIFS(tblDaily[TransfersOut],tblDaily[EntryDate],DATE(2026,5,18),tblDaily[WardCode],"FAE")=0,"",SUMIFS(tblDaily[TransfersOut],tblDaily[EntryDate],DATE(2026,5,18),tblDaily[WardCode],"FAE")),"")</f>
        <v/>
      </c>
      <c r="O185" s="25">
        <f>IFERROR(IF(SUMIFS(tblDaily[Remaining],tblDaily[EntryDate],DATE(2026,5,18),tblDaily[WardCode],"FAE")=0,"",SUMIFS(tblDaily[Remaining],tblDaily[EntryDate],DATE(2026,5,18),tblDaily[WardCode],"FAE")),"")</f>
        <v/>
      </c>
      <c r="P185" s="26">
        <f>IF(AND(H185="", O185=""), "", N(H185) + N(O185))</f>
        <v/>
      </c>
    </row>
    <row r="186">
      <c r="A186" s="25" t="n">
        <v>19</v>
      </c>
      <c r="B186" s="25">
        <f>IFERROR(IF(SUMIFS(tblDaily[Admissions],tblDaily[EntryDate],DATE(2026,5,19),tblDaily[WardCode],"MAE")=0,"",SUMIFS(tblDaily[Admissions],tblDaily[EntryDate],DATE(2026,5,19),tblDaily[WardCode],"MAE")),"")</f>
        <v/>
      </c>
      <c r="C186" s="25">
        <f>IFERROR(IF(SUMIFS(tblDaily[Discharges],tblDaily[EntryDate],DATE(2026,5,19),tblDaily[WardCode],"MAE")=0,"",SUMIFS(tblDaily[Discharges],tblDaily[EntryDate],DATE(2026,5,19),tblDaily[WardCode],"MAE")),"")</f>
        <v/>
      </c>
      <c r="D186" s="25">
        <f>IFERROR(IF(SUMIFS(tblDaily[Deaths],tblDaily[EntryDate],DATE(2026,5,19),tblDaily[WardCode],"MAE")=0,"",SUMIFS(tblDaily[Deaths],tblDaily[EntryDate],DATE(2026,5,19),tblDaily[WardCode],"MAE")),"")</f>
        <v/>
      </c>
      <c r="E186" s="25">
        <f>IFERROR(IF(SUMIFS(tblDaily[DeathsUnder24Hrs],tblDaily[EntryDate],DATE(2026,5,19),tblDaily[WardCode],"MAE")=0,"",SUMIFS(tblDaily[DeathsUnder24Hrs],tblDaily[EntryDate],DATE(2026,5,19),tblDaily[WardCode],"MAE")),"")</f>
        <v/>
      </c>
      <c r="F186" s="25">
        <f>IFERROR(IF(SUMIFS(tblDaily[TransfersIn],tblDaily[EntryDate],DATE(2026,5,19),tblDaily[WardCode],"MAE")=0,"",SUMIFS(tblDaily[TransfersIn],tblDaily[EntryDate],DATE(2026,5,19),tblDaily[WardCode],"MAE")),"")</f>
        <v/>
      </c>
      <c r="G186" s="25">
        <f>IFERROR(IF(SUMIFS(tblDaily[TransfersOut],tblDaily[EntryDate],DATE(2026,5,19),tblDaily[WardCode],"MAE")=0,"",SUMIFS(tblDaily[TransfersOut],tblDaily[EntryDate],DATE(2026,5,19),tblDaily[WardCode],"MAE")),"")</f>
        <v/>
      </c>
      <c r="H186" s="25">
        <f>IFERROR(IF(SUMIFS(tblDaily[Remaining],tblDaily[EntryDate],DATE(2026,5,19),tblDaily[WardCode],"MAE")=0,"",SUMIFS(tblDaily[Remaining],tblDaily[EntryDate],DATE(2026,5,19),tblDaily[WardCode],"MAE")),"")</f>
        <v/>
      </c>
      <c r="I186" s="25">
        <f>IFERROR(IF(SUMIFS(tblDaily[Admissions],tblDaily[EntryDate],DATE(2026,5,19),tblDaily[WardCode],"FAE")=0,"",SUMIFS(tblDaily[Admissions],tblDaily[EntryDate],DATE(2026,5,19),tblDaily[WardCode],"FAE")),"")</f>
        <v/>
      </c>
      <c r="J186" s="25">
        <f>IFERROR(IF(SUMIFS(tblDaily[Discharges],tblDaily[EntryDate],DATE(2026,5,19),tblDaily[WardCode],"FAE")=0,"",SUMIFS(tblDaily[Discharges],tblDaily[EntryDate],DATE(2026,5,19),tblDaily[WardCode],"FAE")),"")</f>
        <v/>
      </c>
      <c r="K186" s="25">
        <f>IFERROR(IF(SUMIFS(tblDaily[Deaths],tblDaily[EntryDate],DATE(2026,5,19),tblDaily[WardCode],"FAE")=0,"",SUMIFS(tblDaily[Deaths],tblDaily[EntryDate],DATE(2026,5,19),tblDaily[WardCode],"FAE")),"")</f>
        <v/>
      </c>
      <c r="L186" s="25">
        <f>IFERROR(IF(SUMIFS(tblDaily[DeathsUnder24Hrs],tblDaily[EntryDate],DATE(2026,5,19),tblDaily[WardCode],"FAE")=0,"",SUMIFS(tblDaily[DeathsUnder24Hrs],tblDaily[EntryDate],DATE(2026,5,19),tblDaily[WardCode],"FAE")),"")</f>
        <v/>
      </c>
      <c r="M186" s="25">
        <f>IFERROR(IF(SUMIFS(tblDaily[TransfersIn],tblDaily[EntryDate],DATE(2026,5,19),tblDaily[WardCode],"FAE")=0,"",SUMIFS(tblDaily[TransfersIn],tblDaily[EntryDate],DATE(2026,5,19),tblDaily[WardCode],"FAE")),"")</f>
        <v/>
      </c>
      <c r="N186" s="25">
        <f>IFERROR(IF(SUMIFS(tblDaily[TransfersOut],tblDaily[EntryDate],DATE(2026,5,19),tblDaily[WardCode],"FAE")=0,"",SUMIFS(tblDaily[TransfersOut],tblDaily[EntryDate],DATE(2026,5,19),tblDaily[WardCode],"FAE")),"")</f>
        <v/>
      </c>
      <c r="O186" s="25">
        <f>IFERROR(IF(SUMIFS(tblDaily[Remaining],tblDaily[EntryDate],DATE(2026,5,19),tblDaily[WardCode],"FAE")=0,"",SUMIFS(tblDaily[Remaining],tblDaily[EntryDate],DATE(2026,5,19),tblDaily[WardCode],"FAE")),"")</f>
        <v/>
      </c>
      <c r="P186" s="26">
        <f>IF(AND(H186="", O186=""), "", N(H186) + N(O186))</f>
        <v/>
      </c>
    </row>
    <row r="187">
      <c r="A187" s="25" t="n">
        <v>20</v>
      </c>
      <c r="B187" s="25">
        <f>IFERROR(IF(SUMIFS(tblDaily[Admissions],tblDaily[EntryDate],DATE(2026,5,20),tblDaily[WardCode],"MAE")=0,"",SUMIFS(tblDaily[Admissions],tblDaily[EntryDate],DATE(2026,5,20),tblDaily[WardCode],"MAE")),"")</f>
        <v/>
      </c>
      <c r="C187" s="25">
        <f>IFERROR(IF(SUMIFS(tblDaily[Discharges],tblDaily[EntryDate],DATE(2026,5,20),tblDaily[WardCode],"MAE")=0,"",SUMIFS(tblDaily[Discharges],tblDaily[EntryDate],DATE(2026,5,20),tblDaily[WardCode],"MAE")),"")</f>
        <v/>
      </c>
      <c r="D187" s="25">
        <f>IFERROR(IF(SUMIFS(tblDaily[Deaths],tblDaily[EntryDate],DATE(2026,5,20),tblDaily[WardCode],"MAE")=0,"",SUMIFS(tblDaily[Deaths],tblDaily[EntryDate],DATE(2026,5,20),tblDaily[WardCode],"MAE")),"")</f>
        <v/>
      </c>
      <c r="E187" s="25">
        <f>IFERROR(IF(SUMIFS(tblDaily[DeathsUnder24Hrs],tblDaily[EntryDate],DATE(2026,5,20),tblDaily[WardCode],"MAE")=0,"",SUMIFS(tblDaily[DeathsUnder24Hrs],tblDaily[EntryDate],DATE(2026,5,20),tblDaily[WardCode],"MAE")),"")</f>
        <v/>
      </c>
      <c r="F187" s="25">
        <f>IFERROR(IF(SUMIFS(tblDaily[TransfersIn],tblDaily[EntryDate],DATE(2026,5,20),tblDaily[WardCode],"MAE")=0,"",SUMIFS(tblDaily[TransfersIn],tblDaily[EntryDate],DATE(2026,5,20),tblDaily[WardCode],"MAE")),"")</f>
        <v/>
      </c>
      <c r="G187" s="25">
        <f>IFERROR(IF(SUMIFS(tblDaily[TransfersOut],tblDaily[EntryDate],DATE(2026,5,20),tblDaily[WardCode],"MAE")=0,"",SUMIFS(tblDaily[TransfersOut],tblDaily[EntryDate],DATE(2026,5,20),tblDaily[WardCode],"MAE")),"")</f>
        <v/>
      </c>
      <c r="H187" s="25">
        <f>IFERROR(IF(SUMIFS(tblDaily[Remaining],tblDaily[EntryDate],DATE(2026,5,20),tblDaily[WardCode],"MAE")=0,"",SUMIFS(tblDaily[Remaining],tblDaily[EntryDate],DATE(2026,5,20),tblDaily[WardCode],"MAE")),"")</f>
        <v/>
      </c>
      <c r="I187" s="25">
        <f>IFERROR(IF(SUMIFS(tblDaily[Admissions],tblDaily[EntryDate],DATE(2026,5,20),tblDaily[WardCode],"FAE")=0,"",SUMIFS(tblDaily[Admissions],tblDaily[EntryDate],DATE(2026,5,20),tblDaily[WardCode],"FAE")),"")</f>
        <v/>
      </c>
      <c r="J187" s="25">
        <f>IFERROR(IF(SUMIFS(tblDaily[Discharges],tblDaily[EntryDate],DATE(2026,5,20),tblDaily[WardCode],"FAE")=0,"",SUMIFS(tblDaily[Discharges],tblDaily[EntryDate],DATE(2026,5,20),tblDaily[WardCode],"FAE")),"")</f>
        <v/>
      </c>
      <c r="K187" s="25">
        <f>IFERROR(IF(SUMIFS(tblDaily[Deaths],tblDaily[EntryDate],DATE(2026,5,20),tblDaily[WardCode],"FAE")=0,"",SUMIFS(tblDaily[Deaths],tblDaily[EntryDate],DATE(2026,5,20),tblDaily[WardCode],"FAE")),"")</f>
        <v/>
      </c>
      <c r="L187" s="25">
        <f>IFERROR(IF(SUMIFS(tblDaily[DeathsUnder24Hrs],tblDaily[EntryDate],DATE(2026,5,20),tblDaily[WardCode],"FAE")=0,"",SUMIFS(tblDaily[DeathsUnder24Hrs],tblDaily[EntryDate],DATE(2026,5,20),tblDaily[WardCode],"FAE")),"")</f>
        <v/>
      </c>
      <c r="M187" s="25">
        <f>IFERROR(IF(SUMIFS(tblDaily[TransfersIn],tblDaily[EntryDate],DATE(2026,5,20),tblDaily[WardCode],"FAE")=0,"",SUMIFS(tblDaily[TransfersIn],tblDaily[EntryDate],DATE(2026,5,20),tblDaily[WardCode],"FAE")),"")</f>
        <v/>
      </c>
      <c r="N187" s="25">
        <f>IFERROR(IF(SUMIFS(tblDaily[TransfersOut],tblDaily[EntryDate],DATE(2026,5,20),tblDaily[WardCode],"FAE")=0,"",SUMIFS(tblDaily[TransfersOut],tblDaily[EntryDate],DATE(2026,5,20),tblDaily[WardCode],"FAE")),"")</f>
        <v/>
      </c>
      <c r="O187" s="25">
        <f>IFERROR(IF(SUMIFS(tblDaily[Remaining],tblDaily[EntryDate],DATE(2026,5,20),tblDaily[WardCode],"FAE")=0,"",SUMIFS(tblDaily[Remaining],tblDaily[EntryDate],DATE(2026,5,20),tblDaily[WardCode],"FAE")),"")</f>
        <v/>
      </c>
      <c r="P187" s="26">
        <f>IF(AND(H187="", O187=""), "", N(H187) + N(O187))</f>
        <v/>
      </c>
    </row>
    <row r="188">
      <c r="A188" s="25" t="n">
        <v>21</v>
      </c>
      <c r="B188" s="25">
        <f>IFERROR(IF(SUMIFS(tblDaily[Admissions],tblDaily[EntryDate],DATE(2026,5,21),tblDaily[WardCode],"MAE")=0,"",SUMIFS(tblDaily[Admissions],tblDaily[EntryDate],DATE(2026,5,21),tblDaily[WardCode],"MAE")),"")</f>
        <v/>
      </c>
      <c r="C188" s="25">
        <f>IFERROR(IF(SUMIFS(tblDaily[Discharges],tblDaily[EntryDate],DATE(2026,5,21),tblDaily[WardCode],"MAE")=0,"",SUMIFS(tblDaily[Discharges],tblDaily[EntryDate],DATE(2026,5,21),tblDaily[WardCode],"MAE")),"")</f>
        <v/>
      </c>
      <c r="D188" s="25">
        <f>IFERROR(IF(SUMIFS(tblDaily[Deaths],tblDaily[EntryDate],DATE(2026,5,21),tblDaily[WardCode],"MAE")=0,"",SUMIFS(tblDaily[Deaths],tblDaily[EntryDate],DATE(2026,5,21),tblDaily[WardCode],"MAE")),"")</f>
        <v/>
      </c>
      <c r="E188" s="25">
        <f>IFERROR(IF(SUMIFS(tblDaily[DeathsUnder24Hrs],tblDaily[EntryDate],DATE(2026,5,21),tblDaily[WardCode],"MAE")=0,"",SUMIFS(tblDaily[DeathsUnder24Hrs],tblDaily[EntryDate],DATE(2026,5,21),tblDaily[WardCode],"MAE")),"")</f>
        <v/>
      </c>
      <c r="F188" s="25">
        <f>IFERROR(IF(SUMIFS(tblDaily[TransfersIn],tblDaily[EntryDate],DATE(2026,5,21),tblDaily[WardCode],"MAE")=0,"",SUMIFS(tblDaily[TransfersIn],tblDaily[EntryDate],DATE(2026,5,21),tblDaily[WardCode],"MAE")),"")</f>
        <v/>
      </c>
      <c r="G188" s="25">
        <f>IFERROR(IF(SUMIFS(tblDaily[TransfersOut],tblDaily[EntryDate],DATE(2026,5,21),tblDaily[WardCode],"MAE")=0,"",SUMIFS(tblDaily[TransfersOut],tblDaily[EntryDate],DATE(2026,5,21),tblDaily[WardCode],"MAE")),"")</f>
        <v/>
      </c>
      <c r="H188" s="25">
        <f>IFERROR(IF(SUMIFS(tblDaily[Remaining],tblDaily[EntryDate],DATE(2026,5,21),tblDaily[WardCode],"MAE")=0,"",SUMIFS(tblDaily[Remaining],tblDaily[EntryDate],DATE(2026,5,21),tblDaily[WardCode],"MAE")),"")</f>
        <v/>
      </c>
      <c r="I188" s="25">
        <f>IFERROR(IF(SUMIFS(tblDaily[Admissions],tblDaily[EntryDate],DATE(2026,5,21),tblDaily[WardCode],"FAE")=0,"",SUMIFS(tblDaily[Admissions],tblDaily[EntryDate],DATE(2026,5,21),tblDaily[WardCode],"FAE")),"")</f>
        <v/>
      </c>
      <c r="J188" s="25">
        <f>IFERROR(IF(SUMIFS(tblDaily[Discharges],tblDaily[EntryDate],DATE(2026,5,21),tblDaily[WardCode],"FAE")=0,"",SUMIFS(tblDaily[Discharges],tblDaily[EntryDate],DATE(2026,5,21),tblDaily[WardCode],"FAE")),"")</f>
        <v/>
      </c>
      <c r="K188" s="25">
        <f>IFERROR(IF(SUMIFS(tblDaily[Deaths],tblDaily[EntryDate],DATE(2026,5,21),tblDaily[WardCode],"FAE")=0,"",SUMIFS(tblDaily[Deaths],tblDaily[EntryDate],DATE(2026,5,21),tblDaily[WardCode],"FAE")),"")</f>
        <v/>
      </c>
      <c r="L188" s="25">
        <f>IFERROR(IF(SUMIFS(tblDaily[DeathsUnder24Hrs],tblDaily[EntryDate],DATE(2026,5,21),tblDaily[WardCode],"FAE")=0,"",SUMIFS(tblDaily[DeathsUnder24Hrs],tblDaily[EntryDate],DATE(2026,5,21),tblDaily[WardCode],"FAE")),"")</f>
        <v/>
      </c>
      <c r="M188" s="25">
        <f>IFERROR(IF(SUMIFS(tblDaily[TransfersIn],tblDaily[EntryDate],DATE(2026,5,21),tblDaily[WardCode],"FAE")=0,"",SUMIFS(tblDaily[TransfersIn],tblDaily[EntryDate],DATE(2026,5,21),tblDaily[WardCode],"FAE")),"")</f>
        <v/>
      </c>
      <c r="N188" s="25">
        <f>IFERROR(IF(SUMIFS(tblDaily[TransfersOut],tblDaily[EntryDate],DATE(2026,5,21),tblDaily[WardCode],"FAE")=0,"",SUMIFS(tblDaily[TransfersOut],tblDaily[EntryDate],DATE(2026,5,21),tblDaily[WardCode],"FAE")),"")</f>
        <v/>
      </c>
      <c r="O188" s="25">
        <f>IFERROR(IF(SUMIFS(tblDaily[Remaining],tblDaily[EntryDate],DATE(2026,5,21),tblDaily[WardCode],"FAE")=0,"",SUMIFS(tblDaily[Remaining],tblDaily[EntryDate],DATE(2026,5,21),tblDaily[WardCode],"FAE")),"")</f>
        <v/>
      </c>
      <c r="P188" s="26">
        <f>IF(AND(H188="", O188=""), "", N(H188) + N(O188))</f>
        <v/>
      </c>
    </row>
    <row r="189">
      <c r="A189" s="25" t="n">
        <v>22</v>
      </c>
      <c r="B189" s="25">
        <f>IFERROR(IF(SUMIFS(tblDaily[Admissions],tblDaily[EntryDate],DATE(2026,5,22),tblDaily[WardCode],"MAE")=0,"",SUMIFS(tblDaily[Admissions],tblDaily[EntryDate],DATE(2026,5,22),tblDaily[WardCode],"MAE")),"")</f>
        <v/>
      </c>
      <c r="C189" s="25">
        <f>IFERROR(IF(SUMIFS(tblDaily[Discharges],tblDaily[EntryDate],DATE(2026,5,22),tblDaily[WardCode],"MAE")=0,"",SUMIFS(tblDaily[Discharges],tblDaily[EntryDate],DATE(2026,5,22),tblDaily[WardCode],"MAE")),"")</f>
        <v/>
      </c>
      <c r="D189" s="25">
        <f>IFERROR(IF(SUMIFS(tblDaily[Deaths],tblDaily[EntryDate],DATE(2026,5,22),tblDaily[WardCode],"MAE")=0,"",SUMIFS(tblDaily[Deaths],tblDaily[EntryDate],DATE(2026,5,22),tblDaily[WardCode],"MAE")),"")</f>
        <v/>
      </c>
      <c r="E189" s="25">
        <f>IFERROR(IF(SUMIFS(tblDaily[DeathsUnder24Hrs],tblDaily[EntryDate],DATE(2026,5,22),tblDaily[WardCode],"MAE")=0,"",SUMIFS(tblDaily[DeathsUnder24Hrs],tblDaily[EntryDate],DATE(2026,5,22),tblDaily[WardCode],"MAE")),"")</f>
        <v/>
      </c>
      <c r="F189" s="25">
        <f>IFERROR(IF(SUMIFS(tblDaily[TransfersIn],tblDaily[EntryDate],DATE(2026,5,22),tblDaily[WardCode],"MAE")=0,"",SUMIFS(tblDaily[TransfersIn],tblDaily[EntryDate],DATE(2026,5,22),tblDaily[WardCode],"MAE")),"")</f>
        <v/>
      </c>
      <c r="G189" s="25">
        <f>IFERROR(IF(SUMIFS(tblDaily[TransfersOut],tblDaily[EntryDate],DATE(2026,5,22),tblDaily[WardCode],"MAE")=0,"",SUMIFS(tblDaily[TransfersOut],tblDaily[EntryDate],DATE(2026,5,22),tblDaily[WardCode],"MAE")),"")</f>
        <v/>
      </c>
      <c r="H189" s="25">
        <f>IFERROR(IF(SUMIFS(tblDaily[Remaining],tblDaily[EntryDate],DATE(2026,5,22),tblDaily[WardCode],"MAE")=0,"",SUMIFS(tblDaily[Remaining],tblDaily[EntryDate],DATE(2026,5,22),tblDaily[WardCode],"MAE")),"")</f>
        <v/>
      </c>
      <c r="I189" s="25">
        <f>IFERROR(IF(SUMIFS(tblDaily[Admissions],tblDaily[EntryDate],DATE(2026,5,22),tblDaily[WardCode],"FAE")=0,"",SUMIFS(tblDaily[Admissions],tblDaily[EntryDate],DATE(2026,5,22),tblDaily[WardCode],"FAE")),"")</f>
        <v/>
      </c>
      <c r="J189" s="25">
        <f>IFERROR(IF(SUMIFS(tblDaily[Discharges],tblDaily[EntryDate],DATE(2026,5,22),tblDaily[WardCode],"FAE")=0,"",SUMIFS(tblDaily[Discharges],tblDaily[EntryDate],DATE(2026,5,22),tblDaily[WardCode],"FAE")),"")</f>
        <v/>
      </c>
      <c r="K189" s="25">
        <f>IFERROR(IF(SUMIFS(tblDaily[Deaths],tblDaily[EntryDate],DATE(2026,5,22),tblDaily[WardCode],"FAE")=0,"",SUMIFS(tblDaily[Deaths],tblDaily[EntryDate],DATE(2026,5,22),tblDaily[WardCode],"FAE")),"")</f>
        <v/>
      </c>
      <c r="L189" s="25">
        <f>IFERROR(IF(SUMIFS(tblDaily[DeathsUnder24Hrs],tblDaily[EntryDate],DATE(2026,5,22),tblDaily[WardCode],"FAE")=0,"",SUMIFS(tblDaily[DeathsUnder24Hrs],tblDaily[EntryDate],DATE(2026,5,22),tblDaily[WardCode],"FAE")),"")</f>
        <v/>
      </c>
      <c r="M189" s="25">
        <f>IFERROR(IF(SUMIFS(tblDaily[TransfersIn],tblDaily[EntryDate],DATE(2026,5,22),tblDaily[WardCode],"FAE")=0,"",SUMIFS(tblDaily[TransfersIn],tblDaily[EntryDate],DATE(2026,5,22),tblDaily[WardCode],"FAE")),"")</f>
        <v/>
      </c>
      <c r="N189" s="25">
        <f>IFERROR(IF(SUMIFS(tblDaily[TransfersOut],tblDaily[EntryDate],DATE(2026,5,22),tblDaily[WardCode],"FAE")=0,"",SUMIFS(tblDaily[TransfersOut],tblDaily[EntryDate],DATE(2026,5,22),tblDaily[WardCode],"FAE")),"")</f>
        <v/>
      </c>
      <c r="O189" s="25">
        <f>IFERROR(IF(SUMIFS(tblDaily[Remaining],tblDaily[EntryDate],DATE(2026,5,22),tblDaily[WardCode],"FAE")=0,"",SUMIFS(tblDaily[Remaining],tblDaily[EntryDate],DATE(2026,5,22),tblDaily[WardCode],"FAE")),"")</f>
        <v/>
      </c>
      <c r="P189" s="26">
        <f>IF(AND(H189="", O189=""), "", N(H189) + N(O189))</f>
        <v/>
      </c>
    </row>
    <row r="190">
      <c r="A190" s="25" t="n">
        <v>23</v>
      </c>
      <c r="B190" s="25">
        <f>IFERROR(IF(SUMIFS(tblDaily[Admissions],tblDaily[EntryDate],DATE(2026,5,23),tblDaily[WardCode],"MAE")=0,"",SUMIFS(tblDaily[Admissions],tblDaily[EntryDate],DATE(2026,5,23),tblDaily[WardCode],"MAE")),"")</f>
        <v/>
      </c>
      <c r="C190" s="25">
        <f>IFERROR(IF(SUMIFS(tblDaily[Discharges],tblDaily[EntryDate],DATE(2026,5,23),tblDaily[WardCode],"MAE")=0,"",SUMIFS(tblDaily[Discharges],tblDaily[EntryDate],DATE(2026,5,23),tblDaily[WardCode],"MAE")),"")</f>
        <v/>
      </c>
      <c r="D190" s="25">
        <f>IFERROR(IF(SUMIFS(tblDaily[Deaths],tblDaily[EntryDate],DATE(2026,5,23),tblDaily[WardCode],"MAE")=0,"",SUMIFS(tblDaily[Deaths],tblDaily[EntryDate],DATE(2026,5,23),tblDaily[WardCode],"MAE")),"")</f>
        <v/>
      </c>
      <c r="E190" s="25">
        <f>IFERROR(IF(SUMIFS(tblDaily[DeathsUnder24Hrs],tblDaily[EntryDate],DATE(2026,5,23),tblDaily[WardCode],"MAE")=0,"",SUMIFS(tblDaily[DeathsUnder24Hrs],tblDaily[EntryDate],DATE(2026,5,23),tblDaily[WardCode],"MAE")),"")</f>
        <v/>
      </c>
      <c r="F190" s="25">
        <f>IFERROR(IF(SUMIFS(tblDaily[TransfersIn],tblDaily[EntryDate],DATE(2026,5,23),tblDaily[WardCode],"MAE")=0,"",SUMIFS(tblDaily[TransfersIn],tblDaily[EntryDate],DATE(2026,5,23),tblDaily[WardCode],"MAE")),"")</f>
        <v/>
      </c>
      <c r="G190" s="25">
        <f>IFERROR(IF(SUMIFS(tblDaily[TransfersOut],tblDaily[EntryDate],DATE(2026,5,23),tblDaily[WardCode],"MAE")=0,"",SUMIFS(tblDaily[TransfersOut],tblDaily[EntryDate],DATE(2026,5,23),tblDaily[WardCode],"MAE")),"")</f>
        <v/>
      </c>
      <c r="H190" s="25">
        <f>IFERROR(IF(SUMIFS(tblDaily[Remaining],tblDaily[EntryDate],DATE(2026,5,23),tblDaily[WardCode],"MAE")=0,"",SUMIFS(tblDaily[Remaining],tblDaily[EntryDate],DATE(2026,5,23),tblDaily[WardCode],"MAE")),"")</f>
        <v/>
      </c>
      <c r="I190" s="25">
        <f>IFERROR(IF(SUMIFS(tblDaily[Admissions],tblDaily[EntryDate],DATE(2026,5,23),tblDaily[WardCode],"FAE")=0,"",SUMIFS(tblDaily[Admissions],tblDaily[EntryDate],DATE(2026,5,23),tblDaily[WardCode],"FAE")),"")</f>
        <v/>
      </c>
      <c r="J190" s="25">
        <f>IFERROR(IF(SUMIFS(tblDaily[Discharges],tblDaily[EntryDate],DATE(2026,5,23),tblDaily[WardCode],"FAE")=0,"",SUMIFS(tblDaily[Discharges],tblDaily[EntryDate],DATE(2026,5,23),tblDaily[WardCode],"FAE")),"")</f>
        <v/>
      </c>
      <c r="K190" s="25">
        <f>IFERROR(IF(SUMIFS(tblDaily[Deaths],tblDaily[EntryDate],DATE(2026,5,23),tblDaily[WardCode],"FAE")=0,"",SUMIFS(tblDaily[Deaths],tblDaily[EntryDate],DATE(2026,5,23),tblDaily[WardCode],"FAE")),"")</f>
        <v/>
      </c>
      <c r="L190" s="25">
        <f>IFERROR(IF(SUMIFS(tblDaily[DeathsUnder24Hrs],tblDaily[EntryDate],DATE(2026,5,23),tblDaily[WardCode],"FAE")=0,"",SUMIFS(tblDaily[DeathsUnder24Hrs],tblDaily[EntryDate],DATE(2026,5,23),tblDaily[WardCode],"FAE")),"")</f>
        <v/>
      </c>
      <c r="M190" s="25">
        <f>IFERROR(IF(SUMIFS(tblDaily[TransfersIn],tblDaily[EntryDate],DATE(2026,5,23),tblDaily[WardCode],"FAE")=0,"",SUMIFS(tblDaily[TransfersIn],tblDaily[EntryDate],DATE(2026,5,23),tblDaily[WardCode],"FAE")),"")</f>
        <v/>
      </c>
      <c r="N190" s="25">
        <f>IFERROR(IF(SUMIFS(tblDaily[TransfersOut],tblDaily[EntryDate],DATE(2026,5,23),tblDaily[WardCode],"FAE")=0,"",SUMIFS(tblDaily[TransfersOut],tblDaily[EntryDate],DATE(2026,5,23),tblDaily[WardCode],"FAE")),"")</f>
        <v/>
      </c>
      <c r="O190" s="25">
        <f>IFERROR(IF(SUMIFS(tblDaily[Remaining],tblDaily[EntryDate],DATE(2026,5,23),tblDaily[WardCode],"FAE")=0,"",SUMIFS(tblDaily[Remaining],tblDaily[EntryDate],DATE(2026,5,23),tblDaily[WardCode],"FAE")),"")</f>
        <v/>
      </c>
      <c r="P190" s="26">
        <f>IF(AND(H190="", O190=""), "", N(H190) + N(O190))</f>
        <v/>
      </c>
    </row>
    <row r="191">
      <c r="A191" s="25" t="n">
        <v>24</v>
      </c>
      <c r="B191" s="25">
        <f>IFERROR(IF(SUMIFS(tblDaily[Admissions],tblDaily[EntryDate],DATE(2026,5,24),tblDaily[WardCode],"MAE")=0,"",SUMIFS(tblDaily[Admissions],tblDaily[EntryDate],DATE(2026,5,24),tblDaily[WardCode],"MAE")),"")</f>
        <v/>
      </c>
      <c r="C191" s="25">
        <f>IFERROR(IF(SUMIFS(tblDaily[Discharges],tblDaily[EntryDate],DATE(2026,5,24),tblDaily[WardCode],"MAE")=0,"",SUMIFS(tblDaily[Discharges],tblDaily[EntryDate],DATE(2026,5,24),tblDaily[WardCode],"MAE")),"")</f>
        <v/>
      </c>
      <c r="D191" s="25">
        <f>IFERROR(IF(SUMIFS(tblDaily[Deaths],tblDaily[EntryDate],DATE(2026,5,24),tblDaily[WardCode],"MAE")=0,"",SUMIFS(tblDaily[Deaths],tblDaily[EntryDate],DATE(2026,5,24),tblDaily[WardCode],"MAE")),"")</f>
        <v/>
      </c>
      <c r="E191" s="25">
        <f>IFERROR(IF(SUMIFS(tblDaily[DeathsUnder24Hrs],tblDaily[EntryDate],DATE(2026,5,24),tblDaily[WardCode],"MAE")=0,"",SUMIFS(tblDaily[DeathsUnder24Hrs],tblDaily[EntryDate],DATE(2026,5,24),tblDaily[WardCode],"MAE")),"")</f>
        <v/>
      </c>
      <c r="F191" s="25">
        <f>IFERROR(IF(SUMIFS(tblDaily[TransfersIn],tblDaily[EntryDate],DATE(2026,5,24),tblDaily[WardCode],"MAE")=0,"",SUMIFS(tblDaily[TransfersIn],tblDaily[EntryDate],DATE(2026,5,24),tblDaily[WardCode],"MAE")),"")</f>
        <v/>
      </c>
      <c r="G191" s="25">
        <f>IFERROR(IF(SUMIFS(tblDaily[TransfersOut],tblDaily[EntryDate],DATE(2026,5,24),tblDaily[WardCode],"MAE")=0,"",SUMIFS(tblDaily[TransfersOut],tblDaily[EntryDate],DATE(2026,5,24),tblDaily[WardCode],"MAE")),"")</f>
        <v/>
      </c>
      <c r="H191" s="25">
        <f>IFERROR(IF(SUMIFS(tblDaily[Remaining],tblDaily[EntryDate],DATE(2026,5,24),tblDaily[WardCode],"MAE")=0,"",SUMIFS(tblDaily[Remaining],tblDaily[EntryDate],DATE(2026,5,24),tblDaily[WardCode],"MAE")),"")</f>
        <v/>
      </c>
      <c r="I191" s="25">
        <f>IFERROR(IF(SUMIFS(tblDaily[Admissions],tblDaily[EntryDate],DATE(2026,5,24),tblDaily[WardCode],"FAE")=0,"",SUMIFS(tblDaily[Admissions],tblDaily[EntryDate],DATE(2026,5,24),tblDaily[WardCode],"FAE")),"")</f>
        <v/>
      </c>
      <c r="J191" s="25">
        <f>IFERROR(IF(SUMIFS(tblDaily[Discharges],tblDaily[EntryDate],DATE(2026,5,24),tblDaily[WardCode],"FAE")=0,"",SUMIFS(tblDaily[Discharges],tblDaily[EntryDate],DATE(2026,5,24),tblDaily[WardCode],"FAE")),"")</f>
        <v/>
      </c>
      <c r="K191" s="25">
        <f>IFERROR(IF(SUMIFS(tblDaily[Deaths],tblDaily[EntryDate],DATE(2026,5,24),tblDaily[WardCode],"FAE")=0,"",SUMIFS(tblDaily[Deaths],tblDaily[EntryDate],DATE(2026,5,24),tblDaily[WardCode],"FAE")),"")</f>
        <v/>
      </c>
      <c r="L191" s="25">
        <f>IFERROR(IF(SUMIFS(tblDaily[DeathsUnder24Hrs],tblDaily[EntryDate],DATE(2026,5,24),tblDaily[WardCode],"FAE")=0,"",SUMIFS(tblDaily[DeathsUnder24Hrs],tblDaily[EntryDate],DATE(2026,5,24),tblDaily[WardCode],"FAE")),"")</f>
        <v/>
      </c>
      <c r="M191" s="25">
        <f>IFERROR(IF(SUMIFS(tblDaily[TransfersIn],tblDaily[EntryDate],DATE(2026,5,24),tblDaily[WardCode],"FAE")=0,"",SUMIFS(tblDaily[TransfersIn],tblDaily[EntryDate],DATE(2026,5,24),tblDaily[WardCode],"FAE")),"")</f>
        <v/>
      </c>
      <c r="N191" s="25">
        <f>IFERROR(IF(SUMIFS(tblDaily[TransfersOut],tblDaily[EntryDate],DATE(2026,5,24),tblDaily[WardCode],"FAE")=0,"",SUMIFS(tblDaily[TransfersOut],tblDaily[EntryDate],DATE(2026,5,24),tblDaily[WardCode],"FAE")),"")</f>
        <v/>
      </c>
      <c r="O191" s="25">
        <f>IFERROR(IF(SUMIFS(tblDaily[Remaining],tblDaily[EntryDate],DATE(2026,5,24),tblDaily[WardCode],"FAE")=0,"",SUMIFS(tblDaily[Remaining],tblDaily[EntryDate],DATE(2026,5,24),tblDaily[WardCode],"FAE")),"")</f>
        <v/>
      </c>
      <c r="P191" s="26">
        <f>IF(AND(H191="", O191=""), "", N(H191) + N(O191))</f>
        <v/>
      </c>
    </row>
    <row r="192">
      <c r="A192" s="25" t="n">
        <v>25</v>
      </c>
      <c r="B192" s="25">
        <f>IFERROR(IF(SUMIFS(tblDaily[Admissions],tblDaily[EntryDate],DATE(2026,5,25),tblDaily[WardCode],"MAE")=0,"",SUMIFS(tblDaily[Admissions],tblDaily[EntryDate],DATE(2026,5,25),tblDaily[WardCode],"MAE")),"")</f>
        <v/>
      </c>
      <c r="C192" s="25">
        <f>IFERROR(IF(SUMIFS(tblDaily[Discharges],tblDaily[EntryDate],DATE(2026,5,25),tblDaily[WardCode],"MAE")=0,"",SUMIFS(tblDaily[Discharges],tblDaily[EntryDate],DATE(2026,5,25),tblDaily[WardCode],"MAE")),"")</f>
        <v/>
      </c>
      <c r="D192" s="25">
        <f>IFERROR(IF(SUMIFS(tblDaily[Deaths],tblDaily[EntryDate],DATE(2026,5,25),tblDaily[WardCode],"MAE")=0,"",SUMIFS(tblDaily[Deaths],tblDaily[EntryDate],DATE(2026,5,25),tblDaily[WardCode],"MAE")),"")</f>
        <v/>
      </c>
      <c r="E192" s="25">
        <f>IFERROR(IF(SUMIFS(tblDaily[DeathsUnder24Hrs],tblDaily[EntryDate],DATE(2026,5,25),tblDaily[WardCode],"MAE")=0,"",SUMIFS(tblDaily[DeathsUnder24Hrs],tblDaily[EntryDate],DATE(2026,5,25),tblDaily[WardCode],"MAE")),"")</f>
        <v/>
      </c>
      <c r="F192" s="25">
        <f>IFERROR(IF(SUMIFS(tblDaily[TransfersIn],tblDaily[EntryDate],DATE(2026,5,25),tblDaily[WardCode],"MAE")=0,"",SUMIFS(tblDaily[TransfersIn],tblDaily[EntryDate],DATE(2026,5,25),tblDaily[WardCode],"MAE")),"")</f>
        <v/>
      </c>
      <c r="G192" s="25">
        <f>IFERROR(IF(SUMIFS(tblDaily[TransfersOut],tblDaily[EntryDate],DATE(2026,5,25),tblDaily[WardCode],"MAE")=0,"",SUMIFS(tblDaily[TransfersOut],tblDaily[EntryDate],DATE(2026,5,25),tblDaily[WardCode],"MAE")),"")</f>
        <v/>
      </c>
      <c r="H192" s="25">
        <f>IFERROR(IF(SUMIFS(tblDaily[Remaining],tblDaily[EntryDate],DATE(2026,5,25),tblDaily[WardCode],"MAE")=0,"",SUMIFS(tblDaily[Remaining],tblDaily[EntryDate],DATE(2026,5,25),tblDaily[WardCode],"MAE")),"")</f>
        <v/>
      </c>
      <c r="I192" s="25">
        <f>IFERROR(IF(SUMIFS(tblDaily[Admissions],tblDaily[EntryDate],DATE(2026,5,25),tblDaily[WardCode],"FAE")=0,"",SUMIFS(tblDaily[Admissions],tblDaily[EntryDate],DATE(2026,5,25),tblDaily[WardCode],"FAE")),"")</f>
        <v/>
      </c>
      <c r="J192" s="25">
        <f>IFERROR(IF(SUMIFS(tblDaily[Discharges],tblDaily[EntryDate],DATE(2026,5,25),tblDaily[WardCode],"FAE")=0,"",SUMIFS(tblDaily[Discharges],tblDaily[EntryDate],DATE(2026,5,25),tblDaily[WardCode],"FAE")),"")</f>
        <v/>
      </c>
      <c r="K192" s="25">
        <f>IFERROR(IF(SUMIFS(tblDaily[Deaths],tblDaily[EntryDate],DATE(2026,5,25),tblDaily[WardCode],"FAE")=0,"",SUMIFS(tblDaily[Deaths],tblDaily[EntryDate],DATE(2026,5,25),tblDaily[WardCode],"FAE")),"")</f>
        <v/>
      </c>
      <c r="L192" s="25">
        <f>IFERROR(IF(SUMIFS(tblDaily[DeathsUnder24Hrs],tblDaily[EntryDate],DATE(2026,5,25),tblDaily[WardCode],"FAE")=0,"",SUMIFS(tblDaily[DeathsUnder24Hrs],tblDaily[EntryDate],DATE(2026,5,25),tblDaily[WardCode],"FAE")),"")</f>
        <v/>
      </c>
      <c r="M192" s="25">
        <f>IFERROR(IF(SUMIFS(tblDaily[TransfersIn],tblDaily[EntryDate],DATE(2026,5,25),tblDaily[WardCode],"FAE")=0,"",SUMIFS(tblDaily[TransfersIn],tblDaily[EntryDate],DATE(2026,5,25),tblDaily[WardCode],"FAE")),"")</f>
        <v/>
      </c>
      <c r="N192" s="25">
        <f>IFERROR(IF(SUMIFS(tblDaily[TransfersOut],tblDaily[EntryDate],DATE(2026,5,25),tblDaily[WardCode],"FAE")=0,"",SUMIFS(tblDaily[TransfersOut],tblDaily[EntryDate],DATE(2026,5,25),tblDaily[WardCode],"FAE")),"")</f>
        <v/>
      </c>
      <c r="O192" s="25">
        <f>IFERROR(IF(SUMIFS(tblDaily[Remaining],tblDaily[EntryDate],DATE(2026,5,25),tblDaily[WardCode],"FAE")=0,"",SUMIFS(tblDaily[Remaining],tblDaily[EntryDate],DATE(2026,5,25),tblDaily[WardCode],"FAE")),"")</f>
        <v/>
      </c>
      <c r="P192" s="26">
        <f>IF(AND(H192="", O192=""), "", N(H192) + N(O192))</f>
        <v/>
      </c>
    </row>
    <row r="193">
      <c r="A193" s="25" t="n">
        <v>26</v>
      </c>
      <c r="B193" s="25">
        <f>IFERROR(IF(SUMIFS(tblDaily[Admissions],tblDaily[EntryDate],DATE(2026,5,26),tblDaily[WardCode],"MAE")=0,"",SUMIFS(tblDaily[Admissions],tblDaily[EntryDate],DATE(2026,5,26),tblDaily[WardCode],"MAE")),"")</f>
        <v/>
      </c>
      <c r="C193" s="25">
        <f>IFERROR(IF(SUMIFS(tblDaily[Discharges],tblDaily[EntryDate],DATE(2026,5,26),tblDaily[WardCode],"MAE")=0,"",SUMIFS(tblDaily[Discharges],tblDaily[EntryDate],DATE(2026,5,26),tblDaily[WardCode],"MAE")),"")</f>
        <v/>
      </c>
      <c r="D193" s="25">
        <f>IFERROR(IF(SUMIFS(tblDaily[Deaths],tblDaily[EntryDate],DATE(2026,5,26),tblDaily[WardCode],"MAE")=0,"",SUMIFS(tblDaily[Deaths],tblDaily[EntryDate],DATE(2026,5,26),tblDaily[WardCode],"MAE")),"")</f>
        <v/>
      </c>
      <c r="E193" s="25">
        <f>IFERROR(IF(SUMIFS(tblDaily[DeathsUnder24Hrs],tblDaily[EntryDate],DATE(2026,5,26),tblDaily[WardCode],"MAE")=0,"",SUMIFS(tblDaily[DeathsUnder24Hrs],tblDaily[EntryDate],DATE(2026,5,26),tblDaily[WardCode],"MAE")),"")</f>
        <v/>
      </c>
      <c r="F193" s="25">
        <f>IFERROR(IF(SUMIFS(tblDaily[TransfersIn],tblDaily[EntryDate],DATE(2026,5,26),tblDaily[WardCode],"MAE")=0,"",SUMIFS(tblDaily[TransfersIn],tblDaily[EntryDate],DATE(2026,5,26),tblDaily[WardCode],"MAE")),"")</f>
        <v/>
      </c>
      <c r="G193" s="25">
        <f>IFERROR(IF(SUMIFS(tblDaily[TransfersOut],tblDaily[EntryDate],DATE(2026,5,26),tblDaily[WardCode],"MAE")=0,"",SUMIFS(tblDaily[TransfersOut],tblDaily[EntryDate],DATE(2026,5,26),tblDaily[WardCode],"MAE")),"")</f>
        <v/>
      </c>
      <c r="H193" s="25">
        <f>IFERROR(IF(SUMIFS(tblDaily[Remaining],tblDaily[EntryDate],DATE(2026,5,26),tblDaily[WardCode],"MAE")=0,"",SUMIFS(tblDaily[Remaining],tblDaily[EntryDate],DATE(2026,5,26),tblDaily[WardCode],"MAE")),"")</f>
        <v/>
      </c>
      <c r="I193" s="25">
        <f>IFERROR(IF(SUMIFS(tblDaily[Admissions],tblDaily[EntryDate],DATE(2026,5,26),tblDaily[WardCode],"FAE")=0,"",SUMIFS(tblDaily[Admissions],tblDaily[EntryDate],DATE(2026,5,26),tblDaily[WardCode],"FAE")),"")</f>
        <v/>
      </c>
      <c r="J193" s="25">
        <f>IFERROR(IF(SUMIFS(tblDaily[Discharges],tblDaily[EntryDate],DATE(2026,5,26),tblDaily[WardCode],"FAE")=0,"",SUMIFS(tblDaily[Discharges],tblDaily[EntryDate],DATE(2026,5,26),tblDaily[WardCode],"FAE")),"")</f>
        <v/>
      </c>
      <c r="K193" s="25">
        <f>IFERROR(IF(SUMIFS(tblDaily[Deaths],tblDaily[EntryDate],DATE(2026,5,26),tblDaily[WardCode],"FAE")=0,"",SUMIFS(tblDaily[Deaths],tblDaily[EntryDate],DATE(2026,5,26),tblDaily[WardCode],"FAE")),"")</f>
        <v/>
      </c>
      <c r="L193" s="25">
        <f>IFERROR(IF(SUMIFS(tblDaily[DeathsUnder24Hrs],tblDaily[EntryDate],DATE(2026,5,26),tblDaily[WardCode],"FAE")=0,"",SUMIFS(tblDaily[DeathsUnder24Hrs],tblDaily[EntryDate],DATE(2026,5,26),tblDaily[WardCode],"FAE")),"")</f>
        <v/>
      </c>
      <c r="M193" s="25">
        <f>IFERROR(IF(SUMIFS(tblDaily[TransfersIn],tblDaily[EntryDate],DATE(2026,5,26),tblDaily[WardCode],"FAE")=0,"",SUMIFS(tblDaily[TransfersIn],tblDaily[EntryDate],DATE(2026,5,26),tblDaily[WardCode],"FAE")),"")</f>
        <v/>
      </c>
      <c r="N193" s="25">
        <f>IFERROR(IF(SUMIFS(tblDaily[TransfersOut],tblDaily[EntryDate],DATE(2026,5,26),tblDaily[WardCode],"FAE")=0,"",SUMIFS(tblDaily[TransfersOut],tblDaily[EntryDate],DATE(2026,5,26),tblDaily[WardCode],"FAE")),"")</f>
        <v/>
      </c>
      <c r="O193" s="25">
        <f>IFERROR(IF(SUMIFS(tblDaily[Remaining],tblDaily[EntryDate],DATE(2026,5,26),tblDaily[WardCode],"FAE")=0,"",SUMIFS(tblDaily[Remaining],tblDaily[EntryDate],DATE(2026,5,26),tblDaily[WardCode],"FAE")),"")</f>
        <v/>
      </c>
      <c r="P193" s="26">
        <f>IF(AND(H193="", O193=""), "", N(H193) + N(O193))</f>
        <v/>
      </c>
    </row>
    <row r="194">
      <c r="A194" s="25" t="n">
        <v>27</v>
      </c>
      <c r="B194" s="25">
        <f>IFERROR(IF(SUMIFS(tblDaily[Admissions],tblDaily[EntryDate],DATE(2026,5,27),tblDaily[WardCode],"MAE")=0,"",SUMIFS(tblDaily[Admissions],tblDaily[EntryDate],DATE(2026,5,27),tblDaily[WardCode],"MAE")),"")</f>
        <v/>
      </c>
      <c r="C194" s="25">
        <f>IFERROR(IF(SUMIFS(tblDaily[Discharges],tblDaily[EntryDate],DATE(2026,5,27),tblDaily[WardCode],"MAE")=0,"",SUMIFS(tblDaily[Discharges],tblDaily[EntryDate],DATE(2026,5,27),tblDaily[WardCode],"MAE")),"")</f>
        <v/>
      </c>
      <c r="D194" s="25">
        <f>IFERROR(IF(SUMIFS(tblDaily[Deaths],tblDaily[EntryDate],DATE(2026,5,27),tblDaily[WardCode],"MAE")=0,"",SUMIFS(tblDaily[Deaths],tblDaily[EntryDate],DATE(2026,5,27),tblDaily[WardCode],"MAE")),"")</f>
        <v/>
      </c>
      <c r="E194" s="25">
        <f>IFERROR(IF(SUMIFS(tblDaily[DeathsUnder24Hrs],tblDaily[EntryDate],DATE(2026,5,27),tblDaily[WardCode],"MAE")=0,"",SUMIFS(tblDaily[DeathsUnder24Hrs],tblDaily[EntryDate],DATE(2026,5,27),tblDaily[WardCode],"MAE")),"")</f>
        <v/>
      </c>
      <c r="F194" s="25">
        <f>IFERROR(IF(SUMIFS(tblDaily[TransfersIn],tblDaily[EntryDate],DATE(2026,5,27),tblDaily[WardCode],"MAE")=0,"",SUMIFS(tblDaily[TransfersIn],tblDaily[EntryDate],DATE(2026,5,27),tblDaily[WardCode],"MAE")),"")</f>
        <v/>
      </c>
      <c r="G194" s="25">
        <f>IFERROR(IF(SUMIFS(tblDaily[TransfersOut],tblDaily[EntryDate],DATE(2026,5,27),tblDaily[WardCode],"MAE")=0,"",SUMIFS(tblDaily[TransfersOut],tblDaily[EntryDate],DATE(2026,5,27),tblDaily[WardCode],"MAE")),"")</f>
        <v/>
      </c>
      <c r="H194" s="25">
        <f>IFERROR(IF(SUMIFS(tblDaily[Remaining],tblDaily[EntryDate],DATE(2026,5,27),tblDaily[WardCode],"MAE")=0,"",SUMIFS(tblDaily[Remaining],tblDaily[EntryDate],DATE(2026,5,27),tblDaily[WardCode],"MAE")),"")</f>
        <v/>
      </c>
      <c r="I194" s="25">
        <f>IFERROR(IF(SUMIFS(tblDaily[Admissions],tblDaily[EntryDate],DATE(2026,5,27),tblDaily[WardCode],"FAE")=0,"",SUMIFS(tblDaily[Admissions],tblDaily[EntryDate],DATE(2026,5,27),tblDaily[WardCode],"FAE")),"")</f>
        <v/>
      </c>
      <c r="J194" s="25">
        <f>IFERROR(IF(SUMIFS(tblDaily[Discharges],tblDaily[EntryDate],DATE(2026,5,27),tblDaily[WardCode],"FAE")=0,"",SUMIFS(tblDaily[Discharges],tblDaily[EntryDate],DATE(2026,5,27),tblDaily[WardCode],"FAE")),"")</f>
        <v/>
      </c>
      <c r="K194" s="25">
        <f>IFERROR(IF(SUMIFS(tblDaily[Deaths],tblDaily[EntryDate],DATE(2026,5,27),tblDaily[WardCode],"FAE")=0,"",SUMIFS(tblDaily[Deaths],tblDaily[EntryDate],DATE(2026,5,27),tblDaily[WardCode],"FAE")),"")</f>
        <v/>
      </c>
      <c r="L194" s="25">
        <f>IFERROR(IF(SUMIFS(tblDaily[DeathsUnder24Hrs],tblDaily[EntryDate],DATE(2026,5,27),tblDaily[WardCode],"FAE")=0,"",SUMIFS(tblDaily[DeathsUnder24Hrs],tblDaily[EntryDate],DATE(2026,5,27),tblDaily[WardCode],"FAE")),"")</f>
        <v/>
      </c>
      <c r="M194" s="25">
        <f>IFERROR(IF(SUMIFS(tblDaily[TransfersIn],tblDaily[EntryDate],DATE(2026,5,27),tblDaily[WardCode],"FAE")=0,"",SUMIFS(tblDaily[TransfersIn],tblDaily[EntryDate],DATE(2026,5,27),tblDaily[WardCode],"FAE")),"")</f>
        <v/>
      </c>
      <c r="N194" s="25">
        <f>IFERROR(IF(SUMIFS(tblDaily[TransfersOut],tblDaily[EntryDate],DATE(2026,5,27),tblDaily[WardCode],"FAE")=0,"",SUMIFS(tblDaily[TransfersOut],tblDaily[EntryDate],DATE(2026,5,27),tblDaily[WardCode],"FAE")),"")</f>
        <v/>
      </c>
      <c r="O194" s="25">
        <f>IFERROR(IF(SUMIFS(tblDaily[Remaining],tblDaily[EntryDate],DATE(2026,5,27),tblDaily[WardCode],"FAE")=0,"",SUMIFS(tblDaily[Remaining],tblDaily[EntryDate],DATE(2026,5,27),tblDaily[WardCode],"FAE")),"")</f>
        <v/>
      </c>
      <c r="P194" s="26">
        <f>IF(AND(H194="", O194=""), "", N(H194) + N(O194))</f>
        <v/>
      </c>
    </row>
    <row r="195">
      <c r="A195" s="25" t="n">
        <v>28</v>
      </c>
      <c r="B195" s="25">
        <f>IFERROR(IF(SUMIFS(tblDaily[Admissions],tblDaily[EntryDate],DATE(2026,5,28),tblDaily[WardCode],"MAE")=0,"",SUMIFS(tblDaily[Admissions],tblDaily[EntryDate],DATE(2026,5,28),tblDaily[WardCode],"MAE")),"")</f>
        <v/>
      </c>
      <c r="C195" s="25">
        <f>IFERROR(IF(SUMIFS(tblDaily[Discharges],tblDaily[EntryDate],DATE(2026,5,28),tblDaily[WardCode],"MAE")=0,"",SUMIFS(tblDaily[Discharges],tblDaily[EntryDate],DATE(2026,5,28),tblDaily[WardCode],"MAE")),"")</f>
        <v/>
      </c>
      <c r="D195" s="25">
        <f>IFERROR(IF(SUMIFS(tblDaily[Deaths],tblDaily[EntryDate],DATE(2026,5,28),tblDaily[WardCode],"MAE")=0,"",SUMIFS(tblDaily[Deaths],tblDaily[EntryDate],DATE(2026,5,28),tblDaily[WardCode],"MAE")),"")</f>
        <v/>
      </c>
      <c r="E195" s="25">
        <f>IFERROR(IF(SUMIFS(tblDaily[DeathsUnder24Hrs],tblDaily[EntryDate],DATE(2026,5,28),tblDaily[WardCode],"MAE")=0,"",SUMIFS(tblDaily[DeathsUnder24Hrs],tblDaily[EntryDate],DATE(2026,5,28),tblDaily[WardCode],"MAE")),"")</f>
        <v/>
      </c>
      <c r="F195" s="25">
        <f>IFERROR(IF(SUMIFS(tblDaily[TransfersIn],tblDaily[EntryDate],DATE(2026,5,28),tblDaily[WardCode],"MAE")=0,"",SUMIFS(tblDaily[TransfersIn],tblDaily[EntryDate],DATE(2026,5,28),tblDaily[WardCode],"MAE")),"")</f>
        <v/>
      </c>
      <c r="G195" s="25">
        <f>IFERROR(IF(SUMIFS(tblDaily[TransfersOut],tblDaily[EntryDate],DATE(2026,5,28),tblDaily[WardCode],"MAE")=0,"",SUMIFS(tblDaily[TransfersOut],tblDaily[EntryDate],DATE(2026,5,28),tblDaily[WardCode],"MAE")),"")</f>
        <v/>
      </c>
      <c r="H195" s="25">
        <f>IFERROR(IF(SUMIFS(tblDaily[Remaining],tblDaily[EntryDate],DATE(2026,5,28),tblDaily[WardCode],"MAE")=0,"",SUMIFS(tblDaily[Remaining],tblDaily[EntryDate],DATE(2026,5,28),tblDaily[WardCode],"MAE")),"")</f>
        <v/>
      </c>
      <c r="I195" s="25">
        <f>IFERROR(IF(SUMIFS(tblDaily[Admissions],tblDaily[EntryDate],DATE(2026,5,28),tblDaily[WardCode],"FAE")=0,"",SUMIFS(tblDaily[Admissions],tblDaily[EntryDate],DATE(2026,5,28),tblDaily[WardCode],"FAE")),"")</f>
        <v/>
      </c>
      <c r="J195" s="25">
        <f>IFERROR(IF(SUMIFS(tblDaily[Discharges],tblDaily[EntryDate],DATE(2026,5,28),tblDaily[WardCode],"FAE")=0,"",SUMIFS(tblDaily[Discharges],tblDaily[EntryDate],DATE(2026,5,28),tblDaily[WardCode],"FAE")),"")</f>
        <v/>
      </c>
      <c r="K195" s="25">
        <f>IFERROR(IF(SUMIFS(tblDaily[Deaths],tblDaily[EntryDate],DATE(2026,5,28),tblDaily[WardCode],"FAE")=0,"",SUMIFS(tblDaily[Deaths],tblDaily[EntryDate],DATE(2026,5,28),tblDaily[WardCode],"FAE")),"")</f>
        <v/>
      </c>
      <c r="L195" s="25">
        <f>IFERROR(IF(SUMIFS(tblDaily[DeathsUnder24Hrs],tblDaily[EntryDate],DATE(2026,5,28),tblDaily[WardCode],"FAE")=0,"",SUMIFS(tblDaily[DeathsUnder24Hrs],tblDaily[EntryDate],DATE(2026,5,28),tblDaily[WardCode],"FAE")),"")</f>
        <v/>
      </c>
      <c r="M195" s="25">
        <f>IFERROR(IF(SUMIFS(tblDaily[TransfersIn],tblDaily[EntryDate],DATE(2026,5,28),tblDaily[WardCode],"FAE")=0,"",SUMIFS(tblDaily[TransfersIn],tblDaily[EntryDate],DATE(2026,5,28),tblDaily[WardCode],"FAE")),"")</f>
        <v/>
      </c>
      <c r="N195" s="25">
        <f>IFERROR(IF(SUMIFS(tblDaily[TransfersOut],tblDaily[EntryDate],DATE(2026,5,28),tblDaily[WardCode],"FAE")=0,"",SUMIFS(tblDaily[TransfersOut],tblDaily[EntryDate],DATE(2026,5,28),tblDaily[WardCode],"FAE")),"")</f>
        <v/>
      </c>
      <c r="O195" s="25">
        <f>IFERROR(IF(SUMIFS(tblDaily[Remaining],tblDaily[EntryDate],DATE(2026,5,28),tblDaily[WardCode],"FAE")=0,"",SUMIFS(tblDaily[Remaining],tblDaily[EntryDate],DATE(2026,5,28),tblDaily[WardCode],"FAE")),"")</f>
        <v/>
      </c>
      <c r="P195" s="26">
        <f>IF(AND(H195="", O195=""), "", N(H195) + N(O195))</f>
        <v/>
      </c>
    </row>
    <row r="196">
      <c r="A196" s="25" t="n">
        <v>29</v>
      </c>
      <c r="B196" s="25">
        <f>IFERROR(IF(SUMIFS(tblDaily[Admissions],tblDaily[EntryDate],DATE(2026,5,29),tblDaily[WardCode],"MAE")=0,"",SUMIFS(tblDaily[Admissions],tblDaily[EntryDate],DATE(2026,5,29),tblDaily[WardCode],"MAE")),"")</f>
        <v/>
      </c>
      <c r="C196" s="25">
        <f>IFERROR(IF(SUMIFS(tblDaily[Discharges],tblDaily[EntryDate],DATE(2026,5,29),tblDaily[WardCode],"MAE")=0,"",SUMIFS(tblDaily[Discharges],tblDaily[EntryDate],DATE(2026,5,29),tblDaily[WardCode],"MAE")),"")</f>
        <v/>
      </c>
      <c r="D196" s="25">
        <f>IFERROR(IF(SUMIFS(tblDaily[Deaths],tblDaily[EntryDate],DATE(2026,5,29),tblDaily[WardCode],"MAE")=0,"",SUMIFS(tblDaily[Deaths],tblDaily[EntryDate],DATE(2026,5,29),tblDaily[WardCode],"MAE")),"")</f>
        <v/>
      </c>
      <c r="E196" s="25">
        <f>IFERROR(IF(SUMIFS(tblDaily[DeathsUnder24Hrs],tblDaily[EntryDate],DATE(2026,5,29),tblDaily[WardCode],"MAE")=0,"",SUMIFS(tblDaily[DeathsUnder24Hrs],tblDaily[EntryDate],DATE(2026,5,29),tblDaily[WardCode],"MAE")),"")</f>
        <v/>
      </c>
      <c r="F196" s="25">
        <f>IFERROR(IF(SUMIFS(tblDaily[TransfersIn],tblDaily[EntryDate],DATE(2026,5,29),tblDaily[WardCode],"MAE")=0,"",SUMIFS(tblDaily[TransfersIn],tblDaily[EntryDate],DATE(2026,5,29),tblDaily[WardCode],"MAE")),"")</f>
        <v/>
      </c>
      <c r="G196" s="25">
        <f>IFERROR(IF(SUMIFS(tblDaily[TransfersOut],tblDaily[EntryDate],DATE(2026,5,29),tblDaily[WardCode],"MAE")=0,"",SUMIFS(tblDaily[TransfersOut],tblDaily[EntryDate],DATE(2026,5,29),tblDaily[WardCode],"MAE")),"")</f>
        <v/>
      </c>
      <c r="H196" s="25">
        <f>IFERROR(IF(SUMIFS(tblDaily[Remaining],tblDaily[EntryDate],DATE(2026,5,29),tblDaily[WardCode],"MAE")=0,"",SUMIFS(tblDaily[Remaining],tblDaily[EntryDate],DATE(2026,5,29),tblDaily[WardCode],"MAE")),"")</f>
        <v/>
      </c>
      <c r="I196" s="25">
        <f>IFERROR(IF(SUMIFS(tblDaily[Admissions],tblDaily[EntryDate],DATE(2026,5,29),tblDaily[WardCode],"FAE")=0,"",SUMIFS(tblDaily[Admissions],tblDaily[EntryDate],DATE(2026,5,29),tblDaily[WardCode],"FAE")),"")</f>
        <v/>
      </c>
      <c r="J196" s="25">
        <f>IFERROR(IF(SUMIFS(tblDaily[Discharges],tblDaily[EntryDate],DATE(2026,5,29),tblDaily[WardCode],"FAE")=0,"",SUMIFS(tblDaily[Discharges],tblDaily[EntryDate],DATE(2026,5,29),tblDaily[WardCode],"FAE")),"")</f>
        <v/>
      </c>
      <c r="K196" s="25">
        <f>IFERROR(IF(SUMIFS(tblDaily[Deaths],tblDaily[EntryDate],DATE(2026,5,29),tblDaily[WardCode],"FAE")=0,"",SUMIFS(tblDaily[Deaths],tblDaily[EntryDate],DATE(2026,5,29),tblDaily[WardCode],"FAE")),"")</f>
        <v/>
      </c>
      <c r="L196" s="25">
        <f>IFERROR(IF(SUMIFS(tblDaily[DeathsUnder24Hrs],tblDaily[EntryDate],DATE(2026,5,29),tblDaily[WardCode],"FAE")=0,"",SUMIFS(tblDaily[DeathsUnder24Hrs],tblDaily[EntryDate],DATE(2026,5,29),tblDaily[WardCode],"FAE")),"")</f>
        <v/>
      </c>
      <c r="M196" s="25">
        <f>IFERROR(IF(SUMIFS(tblDaily[TransfersIn],tblDaily[EntryDate],DATE(2026,5,29),tblDaily[WardCode],"FAE")=0,"",SUMIFS(tblDaily[TransfersIn],tblDaily[EntryDate],DATE(2026,5,29),tblDaily[WardCode],"FAE")),"")</f>
        <v/>
      </c>
      <c r="N196" s="25">
        <f>IFERROR(IF(SUMIFS(tblDaily[TransfersOut],tblDaily[EntryDate],DATE(2026,5,29),tblDaily[WardCode],"FAE")=0,"",SUMIFS(tblDaily[TransfersOut],tblDaily[EntryDate],DATE(2026,5,29),tblDaily[WardCode],"FAE")),"")</f>
        <v/>
      </c>
      <c r="O196" s="25">
        <f>IFERROR(IF(SUMIFS(tblDaily[Remaining],tblDaily[EntryDate],DATE(2026,5,29),tblDaily[WardCode],"FAE")=0,"",SUMIFS(tblDaily[Remaining],tblDaily[EntryDate],DATE(2026,5,29),tblDaily[WardCode],"FAE")),"")</f>
        <v/>
      </c>
      <c r="P196" s="26">
        <f>IF(AND(H196="", O196=""), "", N(H196) + N(O196))</f>
        <v/>
      </c>
    </row>
    <row r="197">
      <c r="A197" s="25" t="n">
        <v>30</v>
      </c>
      <c r="B197" s="25">
        <f>IFERROR(IF(SUMIFS(tblDaily[Admissions],tblDaily[EntryDate],DATE(2026,5,30),tblDaily[WardCode],"MAE")=0,"",SUMIFS(tblDaily[Admissions],tblDaily[EntryDate],DATE(2026,5,30),tblDaily[WardCode],"MAE")),"")</f>
        <v/>
      </c>
      <c r="C197" s="25">
        <f>IFERROR(IF(SUMIFS(tblDaily[Discharges],tblDaily[EntryDate],DATE(2026,5,30),tblDaily[WardCode],"MAE")=0,"",SUMIFS(tblDaily[Discharges],tblDaily[EntryDate],DATE(2026,5,30),tblDaily[WardCode],"MAE")),"")</f>
        <v/>
      </c>
      <c r="D197" s="25">
        <f>IFERROR(IF(SUMIFS(tblDaily[Deaths],tblDaily[EntryDate],DATE(2026,5,30),tblDaily[WardCode],"MAE")=0,"",SUMIFS(tblDaily[Deaths],tblDaily[EntryDate],DATE(2026,5,30),tblDaily[WardCode],"MAE")),"")</f>
        <v/>
      </c>
      <c r="E197" s="25">
        <f>IFERROR(IF(SUMIFS(tblDaily[DeathsUnder24Hrs],tblDaily[EntryDate],DATE(2026,5,30),tblDaily[WardCode],"MAE")=0,"",SUMIFS(tblDaily[DeathsUnder24Hrs],tblDaily[EntryDate],DATE(2026,5,30),tblDaily[WardCode],"MAE")),"")</f>
        <v/>
      </c>
      <c r="F197" s="25">
        <f>IFERROR(IF(SUMIFS(tblDaily[TransfersIn],tblDaily[EntryDate],DATE(2026,5,30),tblDaily[WardCode],"MAE")=0,"",SUMIFS(tblDaily[TransfersIn],tblDaily[EntryDate],DATE(2026,5,30),tblDaily[WardCode],"MAE")),"")</f>
        <v/>
      </c>
      <c r="G197" s="25">
        <f>IFERROR(IF(SUMIFS(tblDaily[TransfersOut],tblDaily[EntryDate],DATE(2026,5,30),tblDaily[WardCode],"MAE")=0,"",SUMIFS(tblDaily[TransfersOut],tblDaily[EntryDate],DATE(2026,5,30),tblDaily[WardCode],"MAE")),"")</f>
        <v/>
      </c>
      <c r="H197" s="25">
        <f>IFERROR(IF(SUMIFS(tblDaily[Remaining],tblDaily[EntryDate],DATE(2026,5,30),tblDaily[WardCode],"MAE")=0,"",SUMIFS(tblDaily[Remaining],tblDaily[EntryDate],DATE(2026,5,30),tblDaily[WardCode],"MAE")),"")</f>
        <v/>
      </c>
      <c r="I197" s="25">
        <f>IFERROR(IF(SUMIFS(tblDaily[Admissions],tblDaily[EntryDate],DATE(2026,5,30),tblDaily[WardCode],"FAE")=0,"",SUMIFS(tblDaily[Admissions],tblDaily[EntryDate],DATE(2026,5,30),tblDaily[WardCode],"FAE")),"")</f>
        <v/>
      </c>
      <c r="J197" s="25">
        <f>IFERROR(IF(SUMIFS(tblDaily[Discharges],tblDaily[EntryDate],DATE(2026,5,30),tblDaily[WardCode],"FAE")=0,"",SUMIFS(tblDaily[Discharges],tblDaily[EntryDate],DATE(2026,5,30),tblDaily[WardCode],"FAE")),"")</f>
        <v/>
      </c>
      <c r="K197" s="25">
        <f>IFERROR(IF(SUMIFS(tblDaily[Deaths],tblDaily[EntryDate],DATE(2026,5,30),tblDaily[WardCode],"FAE")=0,"",SUMIFS(tblDaily[Deaths],tblDaily[EntryDate],DATE(2026,5,30),tblDaily[WardCode],"FAE")),"")</f>
        <v/>
      </c>
      <c r="L197" s="25">
        <f>IFERROR(IF(SUMIFS(tblDaily[DeathsUnder24Hrs],tblDaily[EntryDate],DATE(2026,5,30),tblDaily[WardCode],"FAE")=0,"",SUMIFS(tblDaily[DeathsUnder24Hrs],tblDaily[EntryDate],DATE(2026,5,30),tblDaily[WardCode],"FAE")),"")</f>
        <v/>
      </c>
      <c r="M197" s="25">
        <f>IFERROR(IF(SUMIFS(tblDaily[TransfersIn],tblDaily[EntryDate],DATE(2026,5,30),tblDaily[WardCode],"FAE")=0,"",SUMIFS(tblDaily[TransfersIn],tblDaily[EntryDate],DATE(2026,5,30),tblDaily[WardCode],"FAE")),"")</f>
        <v/>
      </c>
      <c r="N197" s="25">
        <f>IFERROR(IF(SUMIFS(tblDaily[TransfersOut],tblDaily[EntryDate],DATE(2026,5,30),tblDaily[WardCode],"FAE")=0,"",SUMIFS(tblDaily[TransfersOut],tblDaily[EntryDate],DATE(2026,5,30),tblDaily[WardCode],"FAE")),"")</f>
        <v/>
      </c>
      <c r="O197" s="25">
        <f>IFERROR(IF(SUMIFS(tblDaily[Remaining],tblDaily[EntryDate],DATE(2026,5,30),tblDaily[WardCode],"FAE")=0,"",SUMIFS(tblDaily[Remaining],tblDaily[EntryDate],DATE(2026,5,30),tblDaily[WardCode],"FAE")),"")</f>
        <v/>
      </c>
      <c r="P197" s="26">
        <f>IF(AND(H197="", O197=""), "", N(H197) + N(O197))</f>
        <v/>
      </c>
    </row>
    <row r="198">
      <c r="A198" s="25" t="n">
        <v>31</v>
      </c>
      <c r="B198" s="25">
        <f>IFERROR(IF(SUMIFS(tblDaily[Admissions],tblDaily[EntryDate],DATE(2026,5,31),tblDaily[WardCode],"MAE")=0,"",SUMIFS(tblDaily[Admissions],tblDaily[EntryDate],DATE(2026,5,31),tblDaily[WardCode],"MAE")),"")</f>
        <v/>
      </c>
      <c r="C198" s="25">
        <f>IFERROR(IF(SUMIFS(tblDaily[Discharges],tblDaily[EntryDate],DATE(2026,5,31),tblDaily[WardCode],"MAE")=0,"",SUMIFS(tblDaily[Discharges],tblDaily[EntryDate],DATE(2026,5,31),tblDaily[WardCode],"MAE")),"")</f>
        <v/>
      </c>
      <c r="D198" s="25">
        <f>IFERROR(IF(SUMIFS(tblDaily[Deaths],tblDaily[EntryDate],DATE(2026,5,31),tblDaily[WardCode],"MAE")=0,"",SUMIFS(tblDaily[Deaths],tblDaily[EntryDate],DATE(2026,5,31),tblDaily[WardCode],"MAE")),"")</f>
        <v/>
      </c>
      <c r="E198" s="25">
        <f>IFERROR(IF(SUMIFS(tblDaily[DeathsUnder24Hrs],tblDaily[EntryDate],DATE(2026,5,31),tblDaily[WardCode],"MAE")=0,"",SUMIFS(tblDaily[DeathsUnder24Hrs],tblDaily[EntryDate],DATE(2026,5,31),tblDaily[WardCode],"MAE")),"")</f>
        <v/>
      </c>
      <c r="F198" s="25">
        <f>IFERROR(IF(SUMIFS(tblDaily[TransfersIn],tblDaily[EntryDate],DATE(2026,5,31),tblDaily[WardCode],"MAE")=0,"",SUMIFS(tblDaily[TransfersIn],tblDaily[EntryDate],DATE(2026,5,31),tblDaily[WardCode],"MAE")),"")</f>
        <v/>
      </c>
      <c r="G198" s="25">
        <f>IFERROR(IF(SUMIFS(tblDaily[TransfersOut],tblDaily[EntryDate],DATE(2026,5,31),tblDaily[WardCode],"MAE")=0,"",SUMIFS(tblDaily[TransfersOut],tblDaily[EntryDate],DATE(2026,5,31),tblDaily[WardCode],"MAE")),"")</f>
        <v/>
      </c>
      <c r="H198" s="25">
        <f>IFERROR(IF(SUMIFS(tblDaily[Remaining],tblDaily[EntryDate],DATE(2026,5,31),tblDaily[WardCode],"MAE")=0,"",SUMIFS(tblDaily[Remaining],tblDaily[EntryDate],DATE(2026,5,31),tblDaily[WardCode],"MAE")),"")</f>
        <v/>
      </c>
      <c r="I198" s="25">
        <f>IFERROR(IF(SUMIFS(tblDaily[Admissions],tblDaily[EntryDate],DATE(2026,5,31),tblDaily[WardCode],"FAE")=0,"",SUMIFS(tblDaily[Admissions],tblDaily[EntryDate],DATE(2026,5,31),tblDaily[WardCode],"FAE")),"")</f>
        <v/>
      </c>
      <c r="J198" s="25">
        <f>IFERROR(IF(SUMIFS(tblDaily[Discharges],tblDaily[EntryDate],DATE(2026,5,31),tblDaily[WardCode],"FAE")=0,"",SUMIFS(tblDaily[Discharges],tblDaily[EntryDate],DATE(2026,5,31),tblDaily[WardCode],"FAE")),"")</f>
        <v/>
      </c>
      <c r="K198" s="25">
        <f>IFERROR(IF(SUMIFS(tblDaily[Deaths],tblDaily[EntryDate],DATE(2026,5,31),tblDaily[WardCode],"FAE")=0,"",SUMIFS(tblDaily[Deaths],tblDaily[EntryDate],DATE(2026,5,31),tblDaily[WardCode],"FAE")),"")</f>
        <v/>
      </c>
      <c r="L198" s="25">
        <f>IFERROR(IF(SUMIFS(tblDaily[DeathsUnder24Hrs],tblDaily[EntryDate],DATE(2026,5,31),tblDaily[WardCode],"FAE")=0,"",SUMIFS(tblDaily[DeathsUnder24Hrs],tblDaily[EntryDate],DATE(2026,5,31),tblDaily[WardCode],"FAE")),"")</f>
        <v/>
      </c>
      <c r="M198" s="25">
        <f>IFERROR(IF(SUMIFS(tblDaily[TransfersIn],tblDaily[EntryDate],DATE(2026,5,31),tblDaily[WardCode],"FAE")=0,"",SUMIFS(tblDaily[TransfersIn],tblDaily[EntryDate],DATE(2026,5,31),tblDaily[WardCode],"FAE")),"")</f>
        <v/>
      </c>
      <c r="N198" s="25">
        <f>IFERROR(IF(SUMIFS(tblDaily[TransfersOut],tblDaily[EntryDate],DATE(2026,5,31),tblDaily[WardCode],"FAE")=0,"",SUMIFS(tblDaily[TransfersOut],tblDaily[EntryDate],DATE(2026,5,31),tblDaily[WardCode],"FAE")),"")</f>
        <v/>
      </c>
      <c r="O198" s="25">
        <f>IFERROR(IF(SUMIFS(tblDaily[Remaining],tblDaily[EntryDate],DATE(2026,5,31),tblDaily[WardCode],"FAE")=0,"",SUMIFS(tblDaily[Remaining],tblDaily[EntryDate],DATE(2026,5,31),tblDaily[WardCode],"FAE")),"")</f>
        <v/>
      </c>
      <c r="P198" s="26">
        <f>IF(AND(H198="", O198=""), "", N(H198) + N(O198))</f>
        <v/>
      </c>
    </row>
    <row r="199">
      <c r="A199" s="17" t="inlineStr">
        <is>
          <t>TOTAL</t>
        </is>
      </c>
      <c r="B199" s="17">
        <f>SUMIFS(tblDaily[Admissions],tblDaily[Month],5,tblDaily[WardCode],"MAE") - SUMIFS(tblDaily[DeathsUnder24Hrs],tblDaily[Month],5,tblDaily[WardCode],"MAE")</f>
        <v/>
      </c>
      <c r="C199" s="17">
        <f>SUMIFS(tblDaily[Discharges],tblDaily[Month],5,tblDaily[WardCode],"MAE")</f>
        <v/>
      </c>
      <c r="D199" s="17">
        <f>SUMIFS(tblDaily[Deaths],tblDaily[Month],5,tblDaily[WardCode],"MAE")</f>
        <v/>
      </c>
      <c r="E199" s="17">
        <f>SUMIFS(tblDaily[DeathsUnder24Hrs],tblDaily[Month],5,tblDaily[WardCode],"MAE")</f>
        <v/>
      </c>
      <c r="F199" s="17">
        <f>SUMIFS(tblDaily[TransfersIn],tblDaily[Month],5,tblDaily[WardCode],"MAE")</f>
        <v/>
      </c>
      <c r="G199" s="17">
        <f>SUMIFS(tblDaily[TransfersOut],tblDaily[Month],5,tblDaily[WardCode],"MAE")</f>
        <v/>
      </c>
      <c r="H199" s="17">
        <f>SUMIFS(tblDaily[Remaining],tblDaily[Month],5,tblDaily[WardCode],"MAE")</f>
        <v/>
      </c>
      <c r="I199" s="17">
        <f>SUMIFS(tblDaily[Admissions],tblDaily[Month],5,tblDaily[WardCode],"FAE") - SUMIFS(tblDaily[DeathsUnder24Hrs],tblDaily[Month],5,tblDaily[WardCode],"FAE")</f>
        <v/>
      </c>
      <c r="J199" s="17">
        <f>SUMIFS(tblDaily[Discharges],tblDaily[Month],5,tblDaily[WardCode],"FAE")</f>
        <v/>
      </c>
      <c r="K199" s="17">
        <f>SUMIFS(tblDaily[Deaths],tblDaily[Month],5,tblDaily[WardCode],"FAE")</f>
        <v/>
      </c>
      <c r="L199" s="17">
        <f>SUMIFS(tblDaily[DeathsUnder24Hrs],tblDaily[Month],5,tblDaily[WardCode],"FAE")</f>
        <v/>
      </c>
      <c r="M199" s="17">
        <f>SUMIFS(tblDaily[TransfersIn],tblDaily[Month],5,tblDaily[WardCode],"FAE")</f>
        <v/>
      </c>
      <c r="N199" s="17">
        <f>SUMIFS(tblDaily[TransfersOut],tblDaily[Month],5,tblDaily[WardCode],"FAE")</f>
        <v/>
      </c>
      <c r="O199" s="17">
        <f>SUMIFS(tblDaily[Remaining],tblDaily[Month],5,tblDaily[WardCode],"FAE")</f>
        <v/>
      </c>
      <c r="P199" s="17">
        <f>H199 + O199</f>
        <v/>
      </c>
    </row>
    <row r="201">
      <c r="A201" s="19" t="inlineStr">
        <is>
          <t>GHANA HEALTH SERVICE</t>
        </is>
      </c>
    </row>
    <row r="202">
      <c r="A202" s="2" t="inlineStr">
        <is>
          <t>DAILY BED UTILIZATION FORM</t>
        </is>
      </c>
    </row>
    <row r="203">
      <c r="A203" s="4" t="inlineStr">
        <is>
          <t>Hospital:</t>
        </is>
      </c>
      <c r="B203" s="5" t="inlineStr">
        <is>
          <t>HOHOE MUNICIPAL HOSPITAL</t>
        </is>
      </c>
      <c r="E203" s="4" t="inlineStr">
        <is>
          <t>Ward:</t>
        </is>
      </c>
      <c r="F203" s="4" t="inlineStr">
        <is>
          <t>EMERGENCY (COMBINED)</t>
        </is>
      </c>
      <c r="M203" s="4" t="inlineStr">
        <is>
          <t>MONTH</t>
        </is>
      </c>
      <c r="N203" s="4" t="inlineStr">
        <is>
          <t>JUNE</t>
        </is>
      </c>
    </row>
    <row r="204">
      <c r="A204" s="4" t="inlineStr">
        <is>
          <t>Number of patients remaining as at last day of previous month</t>
        </is>
      </c>
      <c r="B204" s="20">
        <f>IFERROR(SUMIFS(tblDaily[Remaining],tblDaily[EntryDate],DATE(2026,5,31),tblDaily[WardCode],"MAE"),0)</f>
        <v/>
      </c>
      <c r="I204" s="20">
        <f>IFERROR(SUMIFS(tblDaily[Remaining],tblDaily[EntryDate],DATE(2026,5,31),tblDaily[WardCode],"FAE"),0)</f>
        <v/>
      </c>
    </row>
    <row r="205">
      <c r="A205" s="4" t="inlineStr">
        <is>
          <t>Bed complement</t>
        </is>
      </c>
      <c r="B205" s="20">
        <f>IFERROR(INDEX(tblWardConfig[BedComplement],MATCH("MAE",tblWardConfig[WardCode],0)),0)</f>
        <v/>
      </c>
      <c r="I205" s="20">
        <f>IFERROR(INDEX(tblWardConfig[BedComplement],MATCH("FAE",tblWardConfig[WardCode],0)),0)</f>
        <v/>
      </c>
      <c r="O205" s="21">
        <f>B205+I205</f>
        <v/>
      </c>
    </row>
    <row r="206">
      <c r="A206" s="11" t="inlineStr">
        <is>
          <t>Day</t>
        </is>
      </c>
      <c r="B206" s="22" t="inlineStr">
        <is>
          <t>MALE EMERGENCY</t>
        </is>
      </c>
      <c r="I206" s="23" t="inlineStr">
        <is>
          <t>FEMALE EMERGENCY</t>
        </is>
      </c>
      <c r="P206" s="24" t="inlineStr">
        <is>
          <t>TOTAL</t>
        </is>
      </c>
    </row>
    <row r="207">
      <c r="A207" s="11" t="inlineStr">
        <is>
          <t>Day</t>
        </is>
      </c>
      <c r="B207" s="11" t="inlineStr">
        <is>
          <t>Adm</t>
        </is>
      </c>
      <c r="C207" s="11" t="inlineStr">
        <is>
          <t>Dis</t>
        </is>
      </c>
      <c r="D207" s="11" t="inlineStr">
        <is>
          <t>Dth</t>
        </is>
      </c>
      <c r="E207" s="11" t="inlineStr">
        <is>
          <t>D&lt;24</t>
        </is>
      </c>
      <c r="F207" s="11" t="inlineStr">
        <is>
          <t>TrIn</t>
        </is>
      </c>
      <c r="G207" s="11" t="inlineStr">
        <is>
          <t>TrOut</t>
        </is>
      </c>
      <c r="H207" s="11" t="inlineStr">
        <is>
          <t>Rem</t>
        </is>
      </c>
      <c r="I207" s="11" t="inlineStr">
        <is>
          <t>Adm</t>
        </is>
      </c>
      <c r="J207" s="11" t="inlineStr">
        <is>
          <t>Dis</t>
        </is>
      </c>
      <c r="K207" s="11" t="inlineStr">
        <is>
          <t>Dth</t>
        </is>
      </c>
      <c r="L207" s="11" t="inlineStr">
        <is>
          <t>D&lt;24</t>
        </is>
      </c>
      <c r="M207" s="11" t="inlineStr">
        <is>
          <t>TrIn</t>
        </is>
      </c>
      <c r="N207" s="11" t="inlineStr">
        <is>
          <t>TrOut</t>
        </is>
      </c>
      <c r="O207" s="11" t="inlineStr">
        <is>
          <t>Rem</t>
        </is>
      </c>
      <c r="P207" s="11" t="inlineStr">
        <is>
          <t>Tot
Rem</t>
        </is>
      </c>
    </row>
    <row r="208">
      <c r="A208" s="25" t="n">
        <v>1</v>
      </c>
      <c r="B208" s="25">
        <f>IFERROR(IF(SUMIFS(tblDaily[Admissions],tblDaily[EntryDate],DATE(2026,6,1),tblDaily[WardCode],"MAE")=0,"",SUMIFS(tblDaily[Admissions],tblDaily[EntryDate],DATE(2026,6,1),tblDaily[WardCode],"MAE")),"")</f>
        <v/>
      </c>
      <c r="C208" s="25">
        <f>IFERROR(IF(SUMIFS(tblDaily[Discharges],tblDaily[EntryDate],DATE(2026,6,1),tblDaily[WardCode],"MAE")=0,"",SUMIFS(tblDaily[Discharges],tblDaily[EntryDate],DATE(2026,6,1),tblDaily[WardCode],"MAE")),"")</f>
        <v/>
      </c>
      <c r="D208" s="25">
        <f>IFERROR(IF(SUMIFS(tblDaily[Deaths],tblDaily[EntryDate],DATE(2026,6,1),tblDaily[WardCode],"MAE")=0,"",SUMIFS(tblDaily[Deaths],tblDaily[EntryDate],DATE(2026,6,1),tblDaily[WardCode],"MAE")),"")</f>
        <v/>
      </c>
      <c r="E208" s="25">
        <f>IFERROR(IF(SUMIFS(tblDaily[DeathsUnder24Hrs],tblDaily[EntryDate],DATE(2026,6,1),tblDaily[WardCode],"MAE")=0,"",SUMIFS(tblDaily[DeathsUnder24Hrs],tblDaily[EntryDate],DATE(2026,6,1),tblDaily[WardCode],"MAE")),"")</f>
        <v/>
      </c>
      <c r="F208" s="25">
        <f>IFERROR(IF(SUMIFS(tblDaily[TransfersIn],tblDaily[EntryDate],DATE(2026,6,1),tblDaily[WardCode],"MAE")=0,"",SUMIFS(tblDaily[TransfersIn],tblDaily[EntryDate],DATE(2026,6,1),tblDaily[WardCode],"MAE")),"")</f>
        <v/>
      </c>
      <c r="G208" s="25">
        <f>IFERROR(IF(SUMIFS(tblDaily[TransfersOut],tblDaily[EntryDate],DATE(2026,6,1),tblDaily[WardCode],"MAE")=0,"",SUMIFS(tblDaily[TransfersOut],tblDaily[EntryDate],DATE(2026,6,1),tblDaily[WardCode],"MAE")),"")</f>
        <v/>
      </c>
      <c r="H208" s="25">
        <f>IFERROR(IF(SUMIFS(tblDaily[Remaining],tblDaily[EntryDate],DATE(2026,6,1),tblDaily[WardCode],"MAE")=0,"",SUMIFS(tblDaily[Remaining],tblDaily[EntryDate],DATE(2026,6,1),tblDaily[WardCode],"MAE")),"")</f>
        <v/>
      </c>
      <c r="I208" s="25">
        <f>IFERROR(IF(SUMIFS(tblDaily[Admissions],tblDaily[EntryDate],DATE(2026,6,1),tblDaily[WardCode],"FAE")=0,"",SUMIFS(tblDaily[Admissions],tblDaily[EntryDate],DATE(2026,6,1),tblDaily[WardCode],"FAE")),"")</f>
        <v/>
      </c>
      <c r="J208" s="25">
        <f>IFERROR(IF(SUMIFS(tblDaily[Discharges],tblDaily[EntryDate],DATE(2026,6,1),tblDaily[WardCode],"FAE")=0,"",SUMIFS(tblDaily[Discharges],tblDaily[EntryDate],DATE(2026,6,1),tblDaily[WardCode],"FAE")),"")</f>
        <v/>
      </c>
      <c r="K208" s="25">
        <f>IFERROR(IF(SUMIFS(tblDaily[Deaths],tblDaily[EntryDate],DATE(2026,6,1),tblDaily[WardCode],"FAE")=0,"",SUMIFS(tblDaily[Deaths],tblDaily[EntryDate],DATE(2026,6,1),tblDaily[WardCode],"FAE")),"")</f>
        <v/>
      </c>
      <c r="L208" s="25">
        <f>IFERROR(IF(SUMIFS(tblDaily[DeathsUnder24Hrs],tblDaily[EntryDate],DATE(2026,6,1),tblDaily[WardCode],"FAE")=0,"",SUMIFS(tblDaily[DeathsUnder24Hrs],tblDaily[EntryDate],DATE(2026,6,1),tblDaily[WardCode],"FAE")),"")</f>
        <v/>
      </c>
      <c r="M208" s="25">
        <f>IFERROR(IF(SUMIFS(tblDaily[TransfersIn],tblDaily[EntryDate],DATE(2026,6,1),tblDaily[WardCode],"FAE")=0,"",SUMIFS(tblDaily[TransfersIn],tblDaily[EntryDate],DATE(2026,6,1),tblDaily[WardCode],"FAE")),"")</f>
        <v/>
      </c>
      <c r="N208" s="25">
        <f>IFERROR(IF(SUMIFS(tblDaily[TransfersOut],tblDaily[EntryDate],DATE(2026,6,1),tblDaily[WardCode],"FAE")=0,"",SUMIFS(tblDaily[TransfersOut],tblDaily[EntryDate],DATE(2026,6,1),tblDaily[WardCode],"FAE")),"")</f>
        <v/>
      </c>
      <c r="O208" s="25">
        <f>IFERROR(IF(SUMIFS(tblDaily[Remaining],tblDaily[EntryDate],DATE(2026,6,1),tblDaily[WardCode],"FAE")=0,"",SUMIFS(tblDaily[Remaining],tblDaily[EntryDate],DATE(2026,6,1),tblDaily[WardCode],"FAE")),"")</f>
        <v/>
      </c>
      <c r="P208" s="26">
        <f>IF(AND(H208="", O208=""), "", N(H208) + N(O208))</f>
        <v/>
      </c>
    </row>
    <row r="209">
      <c r="A209" s="25" t="n">
        <v>2</v>
      </c>
      <c r="B209" s="25">
        <f>IFERROR(IF(SUMIFS(tblDaily[Admissions],tblDaily[EntryDate],DATE(2026,6,2),tblDaily[WardCode],"MAE")=0,"",SUMIFS(tblDaily[Admissions],tblDaily[EntryDate],DATE(2026,6,2),tblDaily[WardCode],"MAE")),"")</f>
        <v/>
      </c>
      <c r="C209" s="25">
        <f>IFERROR(IF(SUMIFS(tblDaily[Discharges],tblDaily[EntryDate],DATE(2026,6,2),tblDaily[WardCode],"MAE")=0,"",SUMIFS(tblDaily[Discharges],tblDaily[EntryDate],DATE(2026,6,2),tblDaily[WardCode],"MAE")),"")</f>
        <v/>
      </c>
      <c r="D209" s="25">
        <f>IFERROR(IF(SUMIFS(tblDaily[Deaths],tblDaily[EntryDate],DATE(2026,6,2),tblDaily[WardCode],"MAE")=0,"",SUMIFS(tblDaily[Deaths],tblDaily[EntryDate],DATE(2026,6,2),tblDaily[WardCode],"MAE")),"")</f>
        <v/>
      </c>
      <c r="E209" s="25">
        <f>IFERROR(IF(SUMIFS(tblDaily[DeathsUnder24Hrs],tblDaily[EntryDate],DATE(2026,6,2),tblDaily[WardCode],"MAE")=0,"",SUMIFS(tblDaily[DeathsUnder24Hrs],tblDaily[EntryDate],DATE(2026,6,2),tblDaily[WardCode],"MAE")),"")</f>
        <v/>
      </c>
      <c r="F209" s="25">
        <f>IFERROR(IF(SUMIFS(tblDaily[TransfersIn],tblDaily[EntryDate],DATE(2026,6,2),tblDaily[WardCode],"MAE")=0,"",SUMIFS(tblDaily[TransfersIn],tblDaily[EntryDate],DATE(2026,6,2),tblDaily[WardCode],"MAE")),"")</f>
        <v/>
      </c>
      <c r="G209" s="25">
        <f>IFERROR(IF(SUMIFS(tblDaily[TransfersOut],tblDaily[EntryDate],DATE(2026,6,2),tblDaily[WardCode],"MAE")=0,"",SUMIFS(tblDaily[TransfersOut],tblDaily[EntryDate],DATE(2026,6,2),tblDaily[WardCode],"MAE")),"")</f>
        <v/>
      </c>
      <c r="H209" s="25">
        <f>IFERROR(IF(SUMIFS(tblDaily[Remaining],tblDaily[EntryDate],DATE(2026,6,2),tblDaily[WardCode],"MAE")=0,"",SUMIFS(tblDaily[Remaining],tblDaily[EntryDate],DATE(2026,6,2),tblDaily[WardCode],"MAE")),"")</f>
        <v/>
      </c>
      <c r="I209" s="25">
        <f>IFERROR(IF(SUMIFS(tblDaily[Admissions],tblDaily[EntryDate],DATE(2026,6,2),tblDaily[WardCode],"FAE")=0,"",SUMIFS(tblDaily[Admissions],tblDaily[EntryDate],DATE(2026,6,2),tblDaily[WardCode],"FAE")),"")</f>
        <v/>
      </c>
      <c r="J209" s="25">
        <f>IFERROR(IF(SUMIFS(tblDaily[Discharges],tblDaily[EntryDate],DATE(2026,6,2),tblDaily[WardCode],"FAE")=0,"",SUMIFS(tblDaily[Discharges],tblDaily[EntryDate],DATE(2026,6,2),tblDaily[WardCode],"FAE")),"")</f>
        <v/>
      </c>
      <c r="K209" s="25">
        <f>IFERROR(IF(SUMIFS(tblDaily[Deaths],tblDaily[EntryDate],DATE(2026,6,2),tblDaily[WardCode],"FAE")=0,"",SUMIFS(tblDaily[Deaths],tblDaily[EntryDate],DATE(2026,6,2),tblDaily[WardCode],"FAE")),"")</f>
        <v/>
      </c>
      <c r="L209" s="25">
        <f>IFERROR(IF(SUMIFS(tblDaily[DeathsUnder24Hrs],tblDaily[EntryDate],DATE(2026,6,2),tblDaily[WardCode],"FAE")=0,"",SUMIFS(tblDaily[DeathsUnder24Hrs],tblDaily[EntryDate],DATE(2026,6,2),tblDaily[WardCode],"FAE")),"")</f>
        <v/>
      </c>
      <c r="M209" s="25">
        <f>IFERROR(IF(SUMIFS(tblDaily[TransfersIn],tblDaily[EntryDate],DATE(2026,6,2),tblDaily[WardCode],"FAE")=0,"",SUMIFS(tblDaily[TransfersIn],tblDaily[EntryDate],DATE(2026,6,2),tblDaily[WardCode],"FAE")),"")</f>
        <v/>
      </c>
      <c r="N209" s="25">
        <f>IFERROR(IF(SUMIFS(tblDaily[TransfersOut],tblDaily[EntryDate],DATE(2026,6,2),tblDaily[WardCode],"FAE")=0,"",SUMIFS(tblDaily[TransfersOut],tblDaily[EntryDate],DATE(2026,6,2),tblDaily[WardCode],"FAE")),"")</f>
        <v/>
      </c>
      <c r="O209" s="25">
        <f>IFERROR(IF(SUMIFS(tblDaily[Remaining],tblDaily[EntryDate],DATE(2026,6,2),tblDaily[WardCode],"FAE")=0,"",SUMIFS(tblDaily[Remaining],tblDaily[EntryDate],DATE(2026,6,2),tblDaily[WardCode],"FAE")),"")</f>
        <v/>
      </c>
      <c r="P209" s="26">
        <f>IF(AND(H209="", O209=""), "", N(H209) + N(O209))</f>
        <v/>
      </c>
    </row>
    <row r="210">
      <c r="A210" s="25" t="n">
        <v>3</v>
      </c>
      <c r="B210" s="25">
        <f>IFERROR(IF(SUMIFS(tblDaily[Admissions],tblDaily[EntryDate],DATE(2026,6,3),tblDaily[WardCode],"MAE")=0,"",SUMIFS(tblDaily[Admissions],tblDaily[EntryDate],DATE(2026,6,3),tblDaily[WardCode],"MAE")),"")</f>
        <v/>
      </c>
      <c r="C210" s="25">
        <f>IFERROR(IF(SUMIFS(tblDaily[Discharges],tblDaily[EntryDate],DATE(2026,6,3),tblDaily[WardCode],"MAE")=0,"",SUMIFS(tblDaily[Discharges],tblDaily[EntryDate],DATE(2026,6,3),tblDaily[WardCode],"MAE")),"")</f>
        <v/>
      </c>
      <c r="D210" s="25">
        <f>IFERROR(IF(SUMIFS(tblDaily[Deaths],tblDaily[EntryDate],DATE(2026,6,3),tblDaily[WardCode],"MAE")=0,"",SUMIFS(tblDaily[Deaths],tblDaily[EntryDate],DATE(2026,6,3),tblDaily[WardCode],"MAE")),"")</f>
        <v/>
      </c>
      <c r="E210" s="25">
        <f>IFERROR(IF(SUMIFS(tblDaily[DeathsUnder24Hrs],tblDaily[EntryDate],DATE(2026,6,3),tblDaily[WardCode],"MAE")=0,"",SUMIFS(tblDaily[DeathsUnder24Hrs],tblDaily[EntryDate],DATE(2026,6,3),tblDaily[WardCode],"MAE")),"")</f>
        <v/>
      </c>
      <c r="F210" s="25">
        <f>IFERROR(IF(SUMIFS(tblDaily[TransfersIn],tblDaily[EntryDate],DATE(2026,6,3),tblDaily[WardCode],"MAE")=0,"",SUMIFS(tblDaily[TransfersIn],tblDaily[EntryDate],DATE(2026,6,3),tblDaily[WardCode],"MAE")),"")</f>
        <v/>
      </c>
      <c r="G210" s="25">
        <f>IFERROR(IF(SUMIFS(tblDaily[TransfersOut],tblDaily[EntryDate],DATE(2026,6,3),tblDaily[WardCode],"MAE")=0,"",SUMIFS(tblDaily[TransfersOut],tblDaily[EntryDate],DATE(2026,6,3),tblDaily[WardCode],"MAE")),"")</f>
        <v/>
      </c>
      <c r="H210" s="25">
        <f>IFERROR(IF(SUMIFS(tblDaily[Remaining],tblDaily[EntryDate],DATE(2026,6,3),tblDaily[WardCode],"MAE")=0,"",SUMIFS(tblDaily[Remaining],tblDaily[EntryDate],DATE(2026,6,3),tblDaily[WardCode],"MAE")),"")</f>
        <v/>
      </c>
      <c r="I210" s="25">
        <f>IFERROR(IF(SUMIFS(tblDaily[Admissions],tblDaily[EntryDate],DATE(2026,6,3),tblDaily[WardCode],"FAE")=0,"",SUMIFS(tblDaily[Admissions],tblDaily[EntryDate],DATE(2026,6,3),tblDaily[WardCode],"FAE")),"")</f>
        <v/>
      </c>
      <c r="J210" s="25">
        <f>IFERROR(IF(SUMIFS(tblDaily[Discharges],tblDaily[EntryDate],DATE(2026,6,3),tblDaily[WardCode],"FAE")=0,"",SUMIFS(tblDaily[Discharges],tblDaily[EntryDate],DATE(2026,6,3),tblDaily[WardCode],"FAE")),"")</f>
        <v/>
      </c>
      <c r="K210" s="25">
        <f>IFERROR(IF(SUMIFS(tblDaily[Deaths],tblDaily[EntryDate],DATE(2026,6,3),tblDaily[WardCode],"FAE")=0,"",SUMIFS(tblDaily[Deaths],tblDaily[EntryDate],DATE(2026,6,3),tblDaily[WardCode],"FAE")),"")</f>
        <v/>
      </c>
      <c r="L210" s="25">
        <f>IFERROR(IF(SUMIFS(tblDaily[DeathsUnder24Hrs],tblDaily[EntryDate],DATE(2026,6,3),tblDaily[WardCode],"FAE")=0,"",SUMIFS(tblDaily[DeathsUnder24Hrs],tblDaily[EntryDate],DATE(2026,6,3),tblDaily[WardCode],"FAE")),"")</f>
        <v/>
      </c>
      <c r="M210" s="25">
        <f>IFERROR(IF(SUMIFS(tblDaily[TransfersIn],tblDaily[EntryDate],DATE(2026,6,3),tblDaily[WardCode],"FAE")=0,"",SUMIFS(tblDaily[TransfersIn],tblDaily[EntryDate],DATE(2026,6,3),tblDaily[WardCode],"FAE")),"")</f>
        <v/>
      </c>
      <c r="N210" s="25">
        <f>IFERROR(IF(SUMIFS(tblDaily[TransfersOut],tblDaily[EntryDate],DATE(2026,6,3),tblDaily[WardCode],"FAE")=0,"",SUMIFS(tblDaily[TransfersOut],tblDaily[EntryDate],DATE(2026,6,3),tblDaily[WardCode],"FAE")),"")</f>
        <v/>
      </c>
      <c r="O210" s="25">
        <f>IFERROR(IF(SUMIFS(tblDaily[Remaining],tblDaily[EntryDate],DATE(2026,6,3),tblDaily[WardCode],"FAE")=0,"",SUMIFS(tblDaily[Remaining],tblDaily[EntryDate],DATE(2026,6,3),tblDaily[WardCode],"FAE")),"")</f>
        <v/>
      </c>
      <c r="P210" s="26">
        <f>IF(AND(H210="", O210=""), "", N(H210) + N(O210))</f>
        <v/>
      </c>
    </row>
    <row r="211">
      <c r="A211" s="25" t="n">
        <v>4</v>
      </c>
      <c r="B211" s="25">
        <f>IFERROR(IF(SUMIFS(tblDaily[Admissions],tblDaily[EntryDate],DATE(2026,6,4),tblDaily[WardCode],"MAE")=0,"",SUMIFS(tblDaily[Admissions],tblDaily[EntryDate],DATE(2026,6,4),tblDaily[WardCode],"MAE")),"")</f>
        <v/>
      </c>
      <c r="C211" s="25">
        <f>IFERROR(IF(SUMIFS(tblDaily[Discharges],tblDaily[EntryDate],DATE(2026,6,4),tblDaily[WardCode],"MAE")=0,"",SUMIFS(tblDaily[Discharges],tblDaily[EntryDate],DATE(2026,6,4),tblDaily[WardCode],"MAE")),"")</f>
        <v/>
      </c>
      <c r="D211" s="25">
        <f>IFERROR(IF(SUMIFS(tblDaily[Deaths],tblDaily[EntryDate],DATE(2026,6,4),tblDaily[WardCode],"MAE")=0,"",SUMIFS(tblDaily[Deaths],tblDaily[EntryDate],DATE(2026,6,4),tblDaily[WardCode],"MAE")),"")</f>
        <v/>
      </c>
      <c r="E211" s="25">
        <f>IFERROR(IF(SUMIFS(tblDaily[DeathsUnder24Hrs],tblDaily[EntryDate],DATE(2026,6,4),tblDaily[WardCode],"MAE")=0,"",SUMIFS(tblDaily[DeathsUnder24Hrs],tblDaily[EntryDate],DATE(2026,6,4),tblDaily[WardCode],"MAE")),"")</f>
        <v/>
      </c>
      <c r="F211" s="25">
        <f>IFERROR(IF(SUMIFS(tblDaily[TransfersIn],tblDaily[EntryDate],DATE(2026,6,4),tblDaily[WardCode],"MAE")=0,"",SUMIFS(tblDaily[TransfersIn],tblDaily[EntryDate],DATE(2026,6,4),tblDaily[WardCode],"MAE")),"")</f>
        <v/>
      </c>
      <c r="G211" s="25">
        <f>IFERROR(IF(SUMIFS(tblDaily[TransfersOut],tblDaily[EntryDate],DATE(2026,6,4),tblDaily[WardCode],"MAE")=0,"",SUMIFS(tblDaily[TransfersOut],tblDaily[EntryDate],DATE(2026,6,4),tblDaily[WardCode],"MAE")),"")</f>
        <v/>
      </c>
      <c r="H211" s="25">
        <f>IFERROR(IF(SUMIFS(tblDaily[Remaining],tblDaily[EntryDate],DATE(2026,6,4),tblDaily[WardCode],"MAE")=0,"",SUMIFS(tblDaily[Remaining],tblDaily[EntryDate],DATE(2026,6,4),tblDaily[WardCode],"MAE")),"")</f>
        <v/>
      </c>
      <c r="I211" s="25">
        <f>IFERROR(IF(SUMIFS(tblDaily[Admissions],tblDaily[EntryDate],DATE(2026,6,4),tblDaily[WardCode],"FAE")=0,"",SUMIFS(tblDaily[Admissions],tblDaily[EntryDate],DATE(2026,6,4),tblDaily[WardCode],"FAE")),"")</f>
        <v/>
      </c>
      <c r="J211" s="25">
        <f>IFERROR(IF(SUMIFS(tblDaily[Discharges],tblDaily[EntryDate],DATE(2026,6,4),tblDaily[WardCode],"FAE")=0,"",SUMIFS(tblDaily[Discharges],tblDaily[EntryDate],DATE(2026,6,4),tblDaily[WardCode],"FAE")),"")</f>
        <v/>
      </c>
      <c r="K211" s="25">
        <f>IFERROR(IF(SUMIFS(tblDaily[Deaths],tblDaily[EntryDate],DATE(2026,6,4),tblDaily[WardCode],"FAE")=0,"",SUMIFS(tblDaily[Deaths],tblDaily[EntryDate],DATE(2026,6,4),tblDaily[WardCode],"FAE")),"")</f>
        <v/>
      </c>
      <c r="L211" s="25">
        <f>IFERROR(IF(SUMIFS(tblDaily[DeathsUnder24Hrs],tblDaily[EntryDate],DATE(2026,6,4),tblDaily[WardCode],"FAE")=0,"",SUMIFS(tblDaily[DeathsUnder24Hrs],tblDaily[EntryDate],DATE(2026,6,4),tblDaily[WardCode],"FAE")),"")</f>
        <v/>
      </c>
      <c r="M211" s="25">
        <f>IFERROR(IF(SUMIFS(tblDaily[TransfersIn],tblDaily[EntryDate],DATE(2026,6,4),tblDaily[WardCode],"FAE")=0,"",SUMIFS(tblDaily[TransfersIn],tblDaily[EntryDate],DATE(2026,6,4),tblDaily[WardCode],"FAE")),"")</f>
        <v/>
      </c>
      <c r="N211" s="25">
        <f>IFERROR(IF(SUMIFS(tblDaily[TransfersOut],tblDaily[EntryDate],DATE(2026,6,4),tblDaily[WardCode],"FAE")=0,"",SUMIFS(tblDaily[TransfersOut],tblDaily[EntryDate],DATE(2026,6,4),tblDaily[WardCode],"FAE")),"")</f>
        <v/>
      </c>
      <c r="O211" s="25">
        <f>IFERROR(IF(SUMIFS(tblDaily[Remaining],tblDaily[EntryDate],DATE(2026,6,4),tblDaily[WardCode],"FAE")=0,"",SUMIFS(tblDaily[Remaining],tblDaily[EntryDate],DATE(2026,6,4),tblDaily[WardCode],"FAE")),"")</f>
        <v/>
      </c>
      <c r="P211" s="26">
        <f>IF(AND(H211="", O211=""), "", N(H211) + N(O211))</f>
        <v/>
      </c>
    </row>
    <row r="212">
      <c r="A212" s="25" t="n">
        <v>5</v>
      </c>
      <c r="B212" s="25">
        <f>IFERROR(IF(SUMIFS(tblDaily[Admissions],tblDaily[EntryDate],DATE(2026,6,5),tblDaily[WardCode],"MAE")=0,"",SUMIFS(tblDaily[Admissions],tblDaily[EntryDate],DATE(2026,6,5),tblDaily[WardCode],"MAE")),"")</f>
        <v/>
      </c>
      <c r="C212" s="25">
        <f>IFERROR(IF(SUMIFS(tblDaily[Discharges],tblDaily[EntryDate],DATE(2026,6,5),tblDaily[WardCode],"MAE")=0,"",SUMIFS(tblDaily[Discharges],tblDaily[EntryDate],DATE(2026,6,5),tblDaily[WardCode],"MAE")),"")</f>
        <v/>
      </c>
      <c r="D212" s="25">
        <f>IFERROR(IF(SUMIFS(tblDaily[Deaths],tblDaily[EntryDate],DATE(2026,6,5),tblDaily[WardCode],"MAE")=0,"",SUMIFS(tblDaily[Deaths],tblDaily[EntryDate],DATE(2026,6,5),tblDaily[WardCode],"MAE")),"")</f>
        <v/>
      </c>
      <c r="E212" s="25">
        <f>IFERROR(IF(SUMIFS(tblDaily[DeathsUnder24Hrs],tblDaily[EntryDate],DATE(2026,6,5),tblDaily[WardCode],"MAE")=0,"",SUMIFS(tblDaily[DeathsUnder24Hrs],tblDaily[EntryDate],DATE(2026,6,5),tblDaily[WardCode],"MAE")),"")</f>
        <v/>
      </c>
      <c r="F212" s="25">
        <f>IFERROR(IF(SUMIFS(tblDaily[TransfersIn],tblDaily[EntryDate],DATE(2026,6,5),tblDaily[WardCode],"MAE")=0,"",SUMIFS(tblDaily[TransfersIn],tblDaily[EntryDate],DATE(2026,6,5),tblDaily[WardCode],"MAE")),"")</f>
        <v/>
      </c>
      <c r="G212" s="25">
        <f>IFERROR(IF(SUMIFS(tblDaily[TransfersOut],tblDaily[EntryDate],DATE(2026,6,5),tblDaily[WardCode],"MAE")=0,"",SUMIFS(tblDaily[TransfersOut],tblDaily[EntryDate],DATE(2026,6,5),tblDaily[WardCode],"MAE")),"")</f>
        <v/>
      </c>
      <c r="H212" s="25">
        <f>IFERROR(IF(SUMIFS(tblDaily[Remaining],tblDaily[EntryDate],DATE(2026,6,5),tblDaily[WardCode],"MAE")=0,"",SUMIFS(tblDaily[Remaining],tblDaily[EntryDate],DATE(2026,6,5),tblDaily[WardCode],"MAE")),"")</f>
        <v/>
      </c>
      <c r="I212" s="25">
        <f>IFERROR(IF(SUMIFS(tblDaily[Admissions],tblDaily[EntryDate],DATE(2026,6,5),tblDaily[WardCode],"FAE")=0,"",SUMIFS(tblDaily[Admissions],tblDaily[EntryDate],DATE(2026,6,5),tblDaily[WardCode],"FAE")),"")</f>
        <v/>
      </c>
      <c r="J212" s="25">
        <f>IFERROR(IF(SUMIFS(tblDaily[Discharges],tblDaily[EntryDate],DATE(2026,6,5),tblDaily[WardCode],"FAE")=0,"",SUMIFS(tblDaily[Discharges],tblDaily[EntryDate],DATE(2026,6,5),tblDaily[WardCode],"FAE")),"")</f>
        <v/>
      </c>
      <c r="K212" s="25">
        <f>IFERROR(IF(SUMIFS(tblDaily[Deaths],tblDaily[EntryDate],DATE(2026,6,5),tblDaily[WardCode],"FAE")=0,"",SUMIFS(tblDaily[Deaths],tblDaily[EntryDate],DATE(2026,6,5),tblDaily[WardCode],"FAE")),"")</f>
        <v/>
      </c>
      <c r="L212" s="25">
        <f>IFERROR(IF(SUMIFS(tblDaily[DeathsUnder24Hrs],tblDaily[EntryDate],DATE(2026,6,5),tblDaily[WardCode],"FAE")=0,"",SUMIFS(tblDaily[DeathsUnder24Hrs],tblDaily[EntryDate],DATE(2026,6,5),tblDaily[WardCode],"FAE")),"")</f>
        <v/>
      </c>
      <c r="M212" s="25">
        <f>IFERROR(IF(SUMIFS(tblDaily[TransfersIn],tblDaily[EntryDate],DATE(2026,6,5),tblDaily[WardCode],"FAE")=0,"",SUMIFS(tblDaily[TransfersIn],tblDaily[EntryDate],DATE(2026,6,5),tblDaily[WardCode],"FAE")),"")</f>
        <v/>
      </c>
      <c r="N212" s="25">
        <f>IFERROR(IF(SUMIFS(tblDaily[TransfersOut],tblDaily[EntryDate],DATE(2026,6,5),tblDaily[WardCode],"FAE")=0,"",SUMIFS(tblDaily[TransfersOut],tblDaily[EntryDate],DATE(2026,6,5),tblDaily[WardCode],"FAE")),"")</f>
        <v/>
      </c>
      <c r="O212" s="25">
        <f>IFERROR(IF(SUMIFS(tblDaily[Remaining],tblDaily[EntryDate],DATE(2026,6,5),tblDaily[WardCode],"FAE")=0,"",SUMIFS(tblDaily[Remaining],tblDaily[EntryDate],DATE(2026,6,5),tblDaily[WardCode],"FAE")),"")</f>
        <v/>
      </c>
      <c r="P212" s="26">
        <f>IF(AND(H212="", O212=""), "", N(H212) + N(O212))</f>
        <v/>
      </c>
    </row>
    <row r="213">
      <c r="A213" s="25" t="n">
        <v>6</v>
      </c>
      <c r="B213" s="25">
        <f>IFERROR(IF(SUMIFS(tblDaily[Admissions],tblDaily[EntryDate],DATE(2026,6,6),tblDaily[WardCode],"MAE")=0,"",SUMIFS(tblDaily[Admissions],tblDaily[EntryDate],DATE(2026,6,6),tblDaily[WardCode],"MAE")),"")</f>
        <v/>
      </c>
      <c r="C213" s="25">
        <f>IFERROR(IF(SUMIFS(tblDaily[Discharges],tblDaily[EntryDate],DATE(2026,6,6),tblDaily[WardCode],"MAE")=0,"",SUMIFS(tblDaily[Discharges],tblDaily[EntryDate],DATE(2026,6,6),tblDaily[WardCode],"MAE")),"")</f>
        <v/>
      </c>
      <c r="D213" s="25">
        <f>IFERROR(IF(SUMIFS(tblDaily[Deaths],tblDaily[EntryDate],DATE(2026,6,6),tblDaily[WardCode],"MAE")=0,"",SUMIFS(tblDaily[Deaths],tblDaily[EntryDate],DATE(2026,6,6),tblDaily[WardCode],"MAE")),"")</f>
        <v/>
      </c>
      <c r="E213" s="25">
        <f>IFERROR(IF(SUMIFS(tblDaily[DeathsUnder24Hrs],tblDaily[EntryDate],DATE(2026,6,6),tblDaily[WardCode],"MAE")=0,"",SUMIFS(tblDaily[DeathsUnder24Hrs],tblDaily[EntryDate],DATE(2026,6,6),tblDaily[WardCode],"MAE")),"")</f>
        <v/>
      </c>
      <c r="F213" s="25">
        <f>IFERROR(IF(SUMIFS(tblDaily[TransfersIn],tblDaily[EntryDate],DATE(2026,6,6),tblDaily[WardCode],"MAE")=0,"",SUMIFS(tblDaily[TransfersIn],tblDaily[EntryDate],DATE(2026,6,6),tblDaily[WardCode],"MAE")),"")</f>
        <v/>
      </c>
      <c r="G213" s="25">
        <f>IFERROR(IF(SUMIFS(tblDaily[TransfersOut],tblDaily[EntryDate],DATE(2026,6,6),tblDaily[WardCode],"MAE")=0,"",SUMIFS(tblDaily[TransfersOut],tblDaily[EntryDate],DATE(2026,6,6),tblDaily[WardCode],"MAE")),"")</f>
        <v/>
      </c>
      <c r="H213" s="25">
        <f>IFERROR(IF(SUMIFS(tblDaily[Remaining],tblDaily[EntryDate],DATE(2026,6,6),tblDaily[WardCode],"MAE")=0,"",SUMIFS(tblDaily[Remaining],tblDaily[EntryDate],DATE(2026,6,6),tblDaily[WardCode],"MAE")),"")</f>
        <v/>
      </c>
      <c r="I213" s="25">
        <f>IFERROR(IF(SUMIFS(tblDaily[Admissions],tblDaily[EntryDate],DATE(2026,6,6),tblDaily[WardCode],"FAE")=0,"",SUMIFS(tblDaily[Admissions],tblDaily[EntryDate],DATE(2026,6,6),tblDaily[WardCode],"FAE")),"")</f>
        <v/>
      </c>
      <c r="J213" s="25">
        <f>IFERROR(IF(SUMIFS(tblDaily[Discharges],tblDaily[EntryDate],DATE(2026,6,6),tblDaily[WardCode],"FAE")=0,"",SUMIFS(tblDaily[Discharges],tblDaily[EntryDate],DATE(2026,6,6),tblDaily[WardCode],"FAE")),"")</f>
        <v/>
      </c>
      <c r="K213" s="25">
        <f>IFERROR(IF(SUMIFS(tblDaily[Deaths],tblDaily[EntryDate],DATE(2026,6,6),tblDaily[WardCode],"FAE")=0,"",SUMIFS(tblDaily[Deaths],tblDaily[EntryDate],DATE(2026,6,6),tblDaily[WardCode],"FAE")),"")</f>
        <v/>
      </c>
      <c r="L213" s="25">
        <f>IFERROR(IF(SUMIFS(tblDaily[DeathsUnder24Hrs],tblDaily[EntryDate],DATE(2026,6,6),tblDaily[WardCode],"FAE")=0,"",SUMIFS(tblDaily[DeathsUnder24Hrs],tblDaily[EntryDate],DATE(2026,6,6),tblDaily[WardCode],"FAE")),"")</f>
        <v/>
      </c>
      <c r="M213" s="25">
        <f>IFERROR(IF(SUMIFS(tblDaily[TransfersIn],tblDaily[EntryDate],DATE(2026,6,6),tblDaily[WardCode],"FAE")=0,"",SUMIFS(tblDaily[TransfersIn],tblDaily[EntryDate],DATE(2026,6,6),tblDaily[WardCode],"FAE")),"")</f>
        <v/>
      </c>
      <c r="N213" s="25">
        <f>IFERROR(IF(SUMIFS(tblDaily[TransfersOut],tblDaily[EntryDate],DATE(2026,6,6),tblDaily[WardCode],"FAE")=0,"",SUMIFS(tblDaily[TransfersOut],tblDaily[EntryDate],DATE(2026,6,6),tblDaily[WardCode],"FAE")),"")</f>
        <v/>
      </c>
      <c r="O213" s="25">
        <f>IFERROR(IF(SUMIFS(tblDaily[Remaining],tblDaily[EntryDate],DATE(2026,6,6),tblDaily[WardCode],"FAE")=0,"",SUMIFS(tblDaily[Remaining],tblDaily[EntryDate],DATE(2026,6,6),tblDaily[WardCode],"FAE")),"")</f>
        <v/>
      </c>
      <c r="P213" s="26">
        <f>IF(AND(H213="", O213=""), "", N(H213) + N(O213))</f>
        <v/>
      </c>
    </row>
    <row r="214">
      <c r="A214" s="25" t="n">
        <v>7</v>
      </c>
      <c r="B214" s="25">
        <f>IFERROR(IF(SUMIFS(tblDaily[Admissions],tblDaily[EntryDate],DATE(2026,6,7),tblDaily[WardCode],"MAE")=0,"",SUMIFS(tblDaily[Admissions],tblDaily[EntryDate],DATE(2026,6,7),tblDaily[WardCode],"MAE")),"")</f>
        <v/>
      </c>
      <c r="C214" s="25">
        <f>IFERROR(IF(SUMIFS(tblDaily[Discharges],tblDaily[EntryDate],DATE(2026,6,7),tblDaily[WardCode],"MAE")=0,"",SUMIFS(tblDaily[Discharges],tblDaily[EntryDate],DATE(2026,6,7),tblDaily[WardCode],"MAE")),"")</f>
        <v/>
      </c>
      <c r="D214" s="25">
        <f>IFERROR(IF(SUMIFS(tblDaily[Deaths],tblDaily[EntryDate],DATE(2026,6,7),tblDaily[WardCode],"MAE")=0,"",SUMIFS(tblDaily[Deaths],tblDaily[EntryDate],DATE(2026,6,7),tblDaily[WardCode],"MAE")),"")</f>
        <v/>
      </c>
      <c r="E214" s="25">
        <f>IFERROR(IF(SUMIFS(tblDaily[DeathsUnder24Hrs],tblDaily[EntryDate],DATE(2026,6,7),tblDaily[WardCode],"MAE")=0,"",SUMIFS(tblDaily[DeathsUnder24Hrs],tblDaily[EntryDate],DATE(2026,6,7),tblDaily[WardCode],"MAE")),"")</f>
        <v/>
      </c>
      <c r="F214" s="25">
        <f>IFERROR(IF(SUMIFS(tblDaily[TransfersIn],tblDaily[EntryDate],DATE(2026,6,7),tblDaily[WardCode],"MAE")=0,"",SUMIFS(tblDaily[TransfersIn],tblDaily[EntryDate],DATE(2026,6,7),tblDaily[WardCode],"MAE")),"")</f>
        <v/>
      </c>
      <c r="G214" s="25">
        <f>IFERROR(IF(SUMIFS(tblDaily[TransfersOut],tblDaily[EntryDate],DATE(2026,6,7),tblDaily[WardCode],"MAE")=0,"",SUMIFS(tblDaily[TransfersOut],tblDaily[EntryDate],DATE(2026,6,7),tblDaily[WardCode],"MAE")),"")</f>
        <v/>
      </c>
      <c r="H214" s="25">
        <f>IFERROR(IF(SUMIFS(tblDaily[Remaining],tblDaily[EntryDate],DATE(2026,6,7),tblDaily[WardCode],"MAE")=0,"",SUMIFS(tblDaily[Remaining],tblDaily[EntryDate],DATE(2026,6,7),tblDaily[WardCode],"MAE")),"")</f>
        <v/>
      </c>
      <c r="I214" s="25">
        <f>IFERROR(IF(SUMIFS(tblDaily[Admissions],tblDaily[EntryDate],DATE(2026,6,7),tblDaily[WardCode],"FAE")=0,"",SUMIFS(tblDaily[Admissions],tblDaily[EntryDate],DATE(2026,6,7),tblDaily[WardCode],"FAE")),"")</f>
        <v/>
      </c>
      <c r="J214" s="25">
        <f>IFERROR(IF(SUMIFS(tblDaily[Discharges],tblDaily[EntryDate],DATE(2026,6,7),tblDaily[WardCode],"FAE")=0,"",SUMIFS(tblDaily[Discharges],tblDaily[EntryDate],DATE(2026,6,7),tblDaily[WardCode],"FAE")),"")</f>
        <v/>
      </c>
      <c r="K214" s="25">
        <f>IFERROR(IF(SUMIFS(tblDaily[Deaths],tblDaily[EntryDate],DATE(2026,6,7),tblDaily[WardCode],"FAE")=0,"",SUMIFS(tblDaily[Deaths],tblDaily[EntryDate],DATE(2026,6,7),tblDaily[WardCode],"FAE")),"")</f>
        <v/>
      </c>
      <c r="L214" s="25">
        <f>IFERROR(IF(SUMIFS(tblDaily[DeathsUnder24Hrs],tblDaily[EntryDate],DATE(2026,6,7),tblDaily[WardCode],"FAE")=0,"",SUMIFS(tblDaily[DeathsUnder24Hrs],tblDaily[EntryDate],DATE(2026,6,7),tblDaily[WardCode],"FAE")),"")</f>
        <v/>
      </c>
      <c r="M214" s="25">
        <f>IFERROR(IF(SUMIFS(tblDaily[TransfersIn],tblDaily[EntryDate],DATE(2026,6,7),tblDaily[WardCode],"FAE")=0,"",SUMIFS(tblDaily[TransfersIn],tblDaily[EntryDate],DATE(2026,6,7),tblDaily[WardCode],"FAE")),"")</f>
        <v/>
      </c>
      <c r="N214" s="25">
        <f>IFERROR(IF(SUMIFS(tblDaily[TransfersOut],tblDaily[EntryDate],DATE(2026,6,7),tblDaily[WardCode],"FAE")=0,"",SUMIFS(tblDaily[TransfersOut],tblDaily[EntryDate],DATE(2026,6,7),tblDaily[WardCode],"FAE")),"")</f>
        <v/>
      </c>
      <c r="O214" s="25">
        <f>IFERROR(IF(SUMIFS(tblDaily[Remaining],tblDaily[EntryDate],DATE(2026,6,7),tblDaily[WardCode],"FAE")=0,"",SUMIFS(tblDaily[Remaining],tblDaily[EntryDate],DATE(2026,6,7),tblDaily[WardCode],"FAE")),"")</f>
        <v/>
      </c>
      <c r="P214" s="26">
        <f>IF(AND(H214="", O214=""), "", N(H214) + N(O214))</f>
        <v/>
      </c>
    </row>
    <row r="215">
      <c r="A215" s="25" t="n">
        <v>8</v>
      </c>
      <c r="B215" s="25">
        <f>IFERROR(IF(SUMIFS(tblDaily[Admissions],tblDaily[EntryDate],DATE(2026,6,8),tblDaily[WardCode],"MAE")=0,"",SUMIFS(tblDaily[Admissions],tblDaily[EntryDate],DATE(2026,6,8),tblDaily[WardCode],"MAE")),"")</f>
        <v/>
      </c>
      <c r="C215" s="25">
        <f>IFERROR(IF(SUMIFS(tblDaily[Discharges],tblDaily[EntryDate],DATE(2026,6,8),tblDaily[WardCode],"MAE")=0,"",SUMIFS(tblDaily[Discharges],tblDaily[EntryDate],DATE(2026,6,8),tblDaily[WardCode],"MAE")),"")</f>
        <v/>
      </c>
      <c r="D215" s="25">
        <f>IFERROR(IF(SUMIFS(tblDaily[Deaths],tblDaily[EntryDate],DATE(2026,6,8),tblDaily[WardCode],"MAE")=0,"",SUMIFS(tblDaily[Deaths],tblDaily[EntryDate],DATE(2026,6,8),tblDaily[WardCode],"MAE")),"")</f>
        <v/>
      </c>
      <c r="E215" s="25">
        <f>IFERROR(IF(SUMIFS(tblDaily[DeathsUnder24Hrs],tblDaily[EntryDate],DATE(2026,6,8),tblDaily[WardCode],"MAE")=0,"",SUMIFS(tblDaily[DeathsUnder24Hrs],tblDaily[EntryDate],DATE(2026,6,8),tblDaily[WardCode],"MAE")),"")</f>
        <v/>
      </c>
      <c r="F215" s="25">
        <f>IFERROR(IF(SUMIFS(tblDaily[TransfersIn],tblDaily[EntryDate],DATE(2026,6,8),tblDaily[WardCode],"MAE")=0,"",SUMIFS(tblDaily[TransfersIn],tblDaily[EntryDate],DATE(2026,6,8),tblDaily[WardCode],"MAE")),"")</f>
        <v/>
      </c>
      <c r="G215" s="25">
        <f>IFERROR(IF(SUMIFS(tblDaily[TransfersOut],tblDaily[EntryDate],DATE(2026,6,8),tblDaily[WardCode],"MAE")=0,"",SUMIFS(tblDaily[TransfersOut],tblDaily[EntryDate],DATE(2026,6,8),tblDaily[WardCode],"MAE")),"")</f>
        <v/>
      </c>
      <c r="H215" s="25">
        <f>IFERROR(IF(SUMIFS(tblDaily[Remaining],tblDaily[EntryDate],DATE(2026,6,8),tblDaily[WardCode],"MAE")=0,"",SUMIFS(tblDaily[Remaining],tblDaily[EntryDate],DATE(2026,6,8),tblDaily[WardCode],"MAE")),"")</f>
        <v/>
      </c>
      <c r="I215" s="25">
        <f>IFERROR(IF(SUMIFS(tblDaily[Admissions],tblDaily[EntryDate],DATE(2026,6,8),tblDaily[WardCode],"FAE")=0,"",SUMIFS(tblDaily[Admissions],tblDaily[EntryDate],DATE(2026,6,8),tblDaily[WardCode],"FAE")),"")</f>
        <v/>
      </c>
      <c r="J215" s="25">
        <f>IFERROR(IF(SUMIFS(tblDaily[Discharges],tblDaily[EntryDate],DATE(2026,6,8),tblDaily[WardCode],"FAE")=0,"",SUMIFS(tblDaily[Discharges],tblDaily[EntryDate],DATE(2026,6,8),tblDaily[WardCode],"FAE")),"")</f>
        <v/>
      </c>
      <c r="K215" s="25">
        <f>IFERROR(IF(SUMIFS(tblDaily[Deaths],tblDaily[EntryDate],DATE(2026,6,8),tblDaily[WardCode],"FAE")=0,"",SUMIFS(tblDaily[Deaths],tblDaily[EntryDate],DATE(2026,6,8),tblDaily[WardCode],"FAE")),"")</f>
        <v/>
      </c>
      <c r="L215" s="25">
        <f>IFERROR(IF(SUMIFS(tblDaily[DeathsUnder24Hrs],tblDaily[EntryDate],DATE(2026,6,8),tblDaily[WardCode],"FAE")=0,"",SUMIFS(tblDaily[DeathsUnder24Hrs],tblDaily[EntryDate],DATE(2026,6,8),tblDaily[WardCode],"FAE")),"")</f>
        <v/>
      </c>
      <c r="M215" s="25">
        <f>IFERROR(IF(SUMIFS(tblDaily[TransfersIn],tblDaily[EntryDate],DATE(2026,6,8),tblDaily[WardCode],"FAE")=0,"",SUMIFS(tblDaily[TransfersIn],tblDaily[EntryDate],DATE(2026,6,8),tblDaily[WardCode],"FAE")),"")</f>
        <v/>
      </c>
      <c r="N215" s="25">
        <f>IFERROR(IF(SUMIFS(tblDaily[TransfersOut],tblDaily[EntryDate],DATE(2026,6,8),tblDaily[WardCode],"FAE")=0,"",SUMIFS(tblDaily[TransfersOut],tblDaily[EntryDate],DATE(2026,6,8),tblDaily[WardCode],"FAE")),"")</f>
        <v/>
      </c>
      <c r="O215" s="25">
        <f>IFERROR(IF(SUMIFS(tblDaily[Remaining],tblDaily[EntryDate],DATE(2026,6,8),tblDaily[WardCode],"FAE")=0,"",SUMIFS(tblDaily[Remaining],tblDaily[EntryDate],DATE(2026,6,8),tblDaily[WardCode],"FAE")),"")</f>
        <v/>
      </c>
      <c r="P215" s="26">
        <f>IF(AND(H215="", O215=""), "", N(H215) + N(O215))</f>
        <v/>
      </c>
    </row>
    <row r="216">
      <c r="A216" s="25" t="n">
        <v>9</v>
      </c>
      <c r="B216" s="25">
        <f>IFERROR(IF(SUMIFS(tblDaily[Admissions],tblDaily[EntryDate],DATE(2026,6,9),tblDaily[WardCode],"MAE")=0,"",SUMIFS(tblDaily[Admissions],tblDaily[EntryDate],DATE(2026,6,9),tblDaily[WardCode],"MAE")),"")</f>
        <v/>
      </c>
      <c r="C216" s="25">
        <f>IFERROR(IF(SUMIFS(tblDaily[Discharges],tblDaily[EntryDate],DATE(2026,6,9),tblDaily[WardCode],"MAE")=0,"",SUMIFS(tblDaily[Discharges],tblDaily[EntryDate],DATE(2026,6,9),tblDaily[WardCode],"MAE")),"")</f>
        <v/>
      </c>
      <c r="D216" s="25">
        <f>IFERROR(IF(SUMIFS(tblDaily[Deaths],tblDaily[EntryDate],DATE(2026,6,9),tblDaily[WardCode],"MAE")=0,"",SUMIFS(tblDaily[Deaths],tblDaily[EntryDate],DATE(2026,6,9),tblDaily[WardCode],"MAE")),"")</f>
        <v/>
      </c>
      <c r="E216" s="25">
        <f>IFERROR(IF(SUMIFS(tblDaily[DeathsUnder24Hrs],tblDaily[EntryDate],DATE(2026,6,9),tblDaily[WardCode],"MAE")=0,"",SUMIFS(tblDaily[DeathsUnder24Hrs],tblDaily[EntryDate],DATE(2026,6,9),tblDaily[WardCode],"MAE")),"")</f>
        <v/>
      </c>
      <c r="F216" s="25">
        <f>IFERROR(IF(SUMIFS(tblDaily[TransfersIn],tblDaily[EntryDate],DATE(2026,6,9),tblDaily[WardCode],"MAE")=0,"",SUMIFS(tblDaily[TransfersIn],tblDaily[EntryDate],DATE(2026,6,9),tblDaily[WardCode],"MAE")),"")</f>
        <v/>
      </c>
      <c r="G216" s="25">
        <f>IFERROR(IF(SUMIFS(tblDaily[TransfersOut],tblDaily[EntryDate],DATE(2026,6,9),tblDaily[WardCode],"MAE")=0,"",SUMIFS(tblDaily[TransfersOut],tblDaily[EntryDate],DATE(2026,6,9),tblDaily[WardCode],"MAE")),"")</f>
        <v/>
      </c>
      <c r="H216" s="25">
        <f>IFERROR(IF(SUMIFS(tblDaily[Remaining],tblDaily[EntryDate],DATE(2026,6,9),tblDaily[WardCode],"MAE")=0,"",SUMIFS(tblDaily[Remaining],tblDaily[EntryDate],DATE(2026,6,9),tblDaily[WardCode],"MAE")),"")</f>
        <v/>
      </c>
      <c r="I216" s="25">
        <f>IFERROR(IF(SUMIFS(tblDaily[Admissions],tblDaily[EntryDate],DATE(2026,6,9),tblDaily[WardCode],"FAE")=0,"",SUMIFS(tblDaily[Admissions],tblDaily[EntryDate],DATE(2026,6,9),tblDaily[WardCode],"FAE")),"")</f>
        <v/>
      </c>
      <c r="J216" s="25">
        <f>IFERROR(IF(SUMIFS(tblDaily[Discharges],tblDaily[EntryDate],DATE(2026,6,9),tblDaily[WardCode],"FAE")=0,"",SUMIFS(tblDaily[Discharges],tblDaily[EntryDate],DATE(2026,6,9),tblDaily[WardCode],"FAE")),"")</f>
        <v/>
      </c>
      <c r="K216" s="25">
        <f>IFERROR(IF(SUMIFS(tblDaily[Deaths],tblDaily[EntryDate],DATE(2026,6,9),tblDaily[WardCode],"FAE")=0,"",SUMIFS(tblDaily[Deaths],tblDaily[EntryDate],DATE(2026,6,9),tblDaily[WardCode],"FAE")),"")</f>
        <v/>
      </c>
      <c r="L216" s="25">
        <f>IFERROR(IF(SUMIFS(tblDaily[DeathsUnder24Hrs],tblDaily[EntryDate],DATE(2026,6,9),tblDaily[WardCode],"FAE")=0,"",SUMIFS(tblDaily[DeathsUnder24Hrs],tblDaily[EntryDate],DATE(2026,6,9),tblDaily[WardCode],"FAE")),"")</f>
        <v/>
      </c>
      <c r="M216" s="25">
        <f>IFERROR(IF(SUMIFS(tblDaily[TransfersIn],tblDaily[EntryDate],DATE(2026,6,9),tblDaily[WardCode],"FAE")=0,"",SUMIFS(tblDaily[TransfersIn],tblDaily[EntryDate],DATE(2026,6,9),tblDaily[WardCode],"FAE")),"")</f>
        <v/>
      </c>
      <c r="N216" s="25">
        <f>IFERROR(IF(SUMIFS(tblDaily[TransfersOut],tblDaily[EntryDate],DATE(2026,6,9),tblDaily[WardCode],"FAE")=0,"",SUMIFS(tblDaily[TransfersOut],tblDaily[EntryDate],DATE(2026,6,9),tblDaily[WardCode],"FAE")),"")</f>
        <v/>
      </c>
      <c r="O216" s="25">
        <f>IFERROR(IF(SUMIFS(tblDaily[Remaining],tblDaily[EntryDate],DATE(2026,6,9),tblDaily[WardCode],"FAE")=0,"",SUMIFS(tblDaily[Remaining],tblDaily[EntryDate],DATE(2026,6,9),tblDaily[WardCode],"FAE")),"")</f>
        <v/>
      </c>
      <c r="P216" s="26">
        <f>IF(AND(H216="", O216=""), "", N(H216) + N(O216))</f>
        <v/>
      </c>
    </row>
    <row r="217">
      <c r="A217" s="25" t="n">
        <v>10</v>
      </c>
      <c r="B217" s="25">
        <f>IFERROR(IF(SUMIFS(tblDaily[Admissions],tblDaily[EntryDate],DATE(2026,6,10),tblDaily[WardCode],"MAE")=0,"",SUMIFS(tblDaily[Admissions],tblDaily[EntryDate],DATE(2026,6,10),tblDaily[WardCode],"MAE")),"")</f>
        <v/>
      </c>
      <c r="C217" s="25">
        <f>IFERROR(IF(SUMIFS(tblDaily[Discharges],tblDaily[EntryDate],DATE(2026,6,10),tblDaily[WardCode],"MAE")=0,"",SUMIFS(tblDaily[Discharges],tblDaily[EntryDate],DATE(2026,6,10),tblDaily[WardCode],"MAE")),"")</f>
        <v/>
      </c>
      <c r="D217" s="25">
        <f>IFERROR(IF(SUMIFS(tblDaily[Deaths],tblDaily[EntryDate],DATE(2026,6,10),tblDaily[WardCode],"MAE")=0,"",SUMIFS(tblDaily[Deaths],tblDaily[EntryDate],DATE(2026,6,10),tblDaily[WardCode],"MAE")),"")</f>
        <v/>
      </c>
      <c r="E217" s="25">
        <f>IFERROR(IF(SUMIFS(tblDaily[DeathsUnder24Hrs],tblDaily[EntryDate],DATE(2026,6,10),tblDaily[WardCode],"MAE")=0,"",SUMIFS(tblDaily[DeathsUnder24Hrs],tblDaily[EntryDate],DATE(2026,6,10),tblDaily[WardCode],"MAE")),"")</f>
        <v/>
      </c>
      <c r="F217" s="25">
        <f>IFERROR(IF(SUMIFS(tblDaily[TransfersIn],tblDaily[EntryDate],DATE(2026,6,10),tblDaily[WardCode],"MAE")=0,"",SUMIFS(tblDaily[TransfersIn],tblDaily[EntryDate],DATE(2026,6,10),tblDaily[WardCode],"MAE")),"")</f>
        <v/>
      </c>
      <c r="G217" s="25">
        <f>IFERROR(IF(SUMIFS(tblDaily[TransfersOut],tblDaily[EntryDate],DATE(2026,6,10),tblDaily[WardCode],"MAE")=0,"",SUMIFS(tblDaily[TransfersOut],tblDaily[EntryDate],DATE(2026,6,10),tblDaily[WardCode],"MAE")),"")</f>
        <v/>
      </c>
      <c r="H217" s="25">
        <f>IFERROR(IF(SUMIFS(tblDaily[Remaining],tblDaily[EntryDate],DATE(2026,6,10),tblDaily[WardCode],"MAE")=0,"",SUMIFS(tblDaily[Remaining],tblDaily[EntryDate],DATE(2026,6,10),tblDaily[WardCode],"MAE")),"")</f>
        <v/>
      </c>
      <c r="I217" s="25">
        <f>IFERROR(IF(SUMIFS(tblDaily[Admissions],tblDaily[EntryDate],DATE(2026,6,10),tblDaily[WardCode],"FAE")=0,"",SUMIFS(tblDaily[Admissions],tblDaily[EntryDate],DATE(2026,6,10),tblDaily[WardCode],"FAE")),"")</f>
        <v/>
      </c>
      <c r="J217" s="25">
        <f>IFERROR(IF(SUMIFS(tblDaily[Discharges],tblDaily[EntryDate],DATE(2026,6,10),tblDaily[WardCode],"FAE")=0,"",SUMIFS(tblDaily[Discharges],tblDaily[EntryDate],DATE(2026,6,10),tblDaily[WardCode],"FAE")),"")</f>
        <v/>
      </c>
      <c r="K217" s="25">
        <f>IFERROR(IF(SUMIFS(tblDaily[Deaths],tblDaily[EntryDate],DATE(2026,6,10),tblDaily[WardCode],"FAE")=0,"",SUMIFS(tblDaily[Deaths],tblDaily[EntryDate],DATE(2026,6,10),tblDaily[WardCode],"FAE")),"")</f>
        <v/>
      </c>
      <c r="L217" s="25">
        <f>IFERROR(IF(SUMIFS(tblDaily[DeathsUnder24Hrs],tblDaily[EntryDate],DATE(2026,6,10),tblDaily[WardCode],"FAE")=0,"",SUMIFS(tblDaily[DeathsUnder24Hrs],tblDaily[EntryDate],DATE(2026,6,10),tblDaily[WardCode],"FAE")),"")</f>
        <v/>
      </c>
      <c r="M217" s="25">
        <f>IFERROR(IF(SUMIFS(tblDaily[TransfersIn],tblDaily[EntryDate],DATE(2026,6,10),tblDaily[WardCode],"FAE")=0,"",SUMIFS(tblDaily[TransfersIn],tblDaily[EntryDate],DATE(2026,6,10),tblDaily[WardCode],"FAE")),"")</f>
        <v/>
      </c>
      <c r="N217" s="25">
        <f>IFERROR(IF(SUMIFS(tblDaily[TransfersOut],tblDaily[EntryDate],DATE(2026,6,10),tblDaily[WardCode],"FAE")=0,"",SUMIFS(tblDaily[TransfersOut],tblDaily[EntryDate],DATE(2026,6,10),tblDaily[WardCode],"FAE")),"")</f>
        <v/>
      </c>
      <c r="O217" s="25">
        <f>IFERROR(IF(SUMIFS(tblDaily[Remaining],tblDaily[EntryDate],DATE(2026,6,10),tblDaily[WardCode],"FAE")=0,"",SUMIFS(tblDaily[Remaining],tblDaily[EntryDate],DATE(2026,6,10),tblDaily[WardCode],"FAE")),"")</f>
        <v/>
      </c>
      <c r="P217" s="26">
        <f>IF(AND(H217="", O217=""), "", N(H217) + N(O217))</f>
        <v/>
      </c>
    </row>
    <row r="218">
      <c r="A218" s="25" t="n">
        <v>11</v>
      </c>
      <c r="B218" s="25">
        <f>IFERROR(IF(SUMIFS(tblDaily[Admissions],tblDaily[EntryDate],DATE(2026,6,11),tblDaily[WardCode],"MAE")=0,"",SUMIFS(tblDaily[Admissions],tblDaily[EntryDate],DATE(2026,6,11),tblDaily[WardCode],"MAE")),"")</f>
        <v/>
      </c>
      <c r="C218" s="25">
        <f>IFERROR(IF(SUMIFS(tblDaily[Discharges],tblDaily[EntryDate],DATE(2026,6,11),tblDaily[WardCode],"MAE")=0,"",SUMIFS(tblDaily[Discharges],tblDaily[EntryDate],DATE(2026,6,11),tblDaily[WardCode],"MAE")),"")</f>
        <v/>
      </c>
      <c r="D218" s="25">
        <f>IFERROR(IF(SUMIFS(tblDaily[Deaths],tblDaily[EntryDate],DATE(2026,6,11),tblDaily[WardCode],"MAE")=0,"",SUMIFS(tblDaily[Deaths],tblDaily[EntryDate],DATE(2026,6,11),tblDaily[WardCode],"MAE")),"")</f>
        <v/>
      </c>
      <c r="E218" s="25">
        <f>IFERROR(IF(SUMIFS(tblDaily[DeathsUnder24Hrs],tblDaily[EntryDate],DATE(2026,6,11),tblDaily[WardCode],"MAE")=0,"",SUMIFS(tblDaily[DeathsUnder24Hrs],tblDaily[EntryDate],DATE(2026,6,11),tblDaily[WardCode],"MAE")),"")</f>
        <v/>
      </c>
      <c r="F218" s="25">
        <f>IFERROR(IF(SUMIFS(tblDaily[TransfersIn],tblDaily[EntryDate],DATE(2026,6,11),tblDaily[WardCode],"MAE")=0,"",SUMIFS(tblDaily[TransfersIn],tblDaily[EntryDate],DATE(2026,6,11),tblDaily[WardCode],"MAE")),"")</f>
        <v/>
      </c>
      <c r="G218" s="25">
        <f>IFERROR(IF(SUMIFS(tblDaily[TransfersOut],tblDaily[EntryDate],DATE(2026,6,11),tblDaily[WardCode],"MAE")=0,"",SUMIFS(tblDaily[TransfersOut],tblDaily[EntryDate],DATE(2026,6,11),tblDaily[WardCode],"MAE")),"")</f>
        <v/>
      </c>
      <c r="H218" s="25">
        <f>IFERROR(IF(SUMIFS(tblDaily[Remaining],tblDaily[EntryDate],DATE(2026,6,11),tblDaily[WardCode],"MAE")=0,"",SUMIFS(tblDaily[Remaining],tblDaily[EntryDate],DATE(2026,6,11),tblDaily[WardCode],"MAE")),"")</f>
        <v/>
      </c>
      <c r="I218" s="25">
        <f>IFERROR(IF(SUMIFS(tblDaily[Admissions],tblDaily[EntryDate],DATE(2026,6,11),tblDaily[WardCode],"FAE")=0,"",SUMIFS(tblDaily[Admissions],tblDaily[EntryDate],DATE(2026,6,11),tblDaily[WardCode],"FAE")),"")</f>
        <v/>
      </c>
      <c r="J218" s="25">
        <f>IFERROR(IF(SUMIFS(tblDaily[Discharges],tblDaily[EntryDate],DATE(2026,6,11),tblDaily[WardCode],"FAE")=0,"",SUMIFS(tblDaily[Discharges],tblDaily[EntryDate],DATE(2026,6,11),tblDaily[WardCode],"FAE")),"")</f>
        <v/>
      </c>
      <c r="K218" s="25">
        <f>IFERROR(IF(SUMIFS(tblDaily[Deaths],tblDaily[EntryDate],DATE(2026,6,11),tblDaily[WardCode],"FAE")=0,"",SUMIFS(tblDaily[Deaths],tblDaily[EntryDate],DATE(2026,6,11),tblDaily[WardCode],"FAE")),"")</f>
        <v/>
      </c>
      <c r="L218" s="25">
        <f>IFERROR(IF(SUMIFS(tblDaily[DeathsUnder24Hrs],tblDaily[EntryDate],DATE(2026,6,11),tblDaily[WardCode],"FAE")=0,"",SUMIFS(tblDaily[DeathsUnder24Hrs],tblDaily[EntryDate],DATE(2026,6,11),tblDaily[WardCode],"FAE")),"")</f>
        <v/>
      </c>
      <c r="M218" s="25">
        <f>IFERROR(IF(SUMIFS(tblDaily[TransfersIn],tblDaily[EntryDate],DATE(2026,6,11),tblDaily[WardCode],"FAE")=0,"",SUMIFS(tblDaily[TransfersIn],tblDaily[EntryDate],DATE(2026,6,11),tblDaily[WardCode],"FAE")),"")</f>
        <v/>
      </c>
      <c r="N218" s="25">
        <f>IFERROR(IF(SUMIFS(tblDaily[TransfersOut],tblDaily[EntryDate],DATE(2026,6,11),tblDaily[WardCode],"FAE")=0,"",SUMIFS(tblDaily[TransfersOut],tblDaily[EntryDate],DATE(2026,6,11),tblDaily[WardCode],"FAE")),"")</f>
        <v/>
      </c>
      <c r="O218" s="25">
        <f>IFERROR(IF(SUMIFS(tblDaily[Remaining],tblDaily[EntryDate],DATE(2026,6,11),tblDaily[WardCode],"FAE")=0,"",SUMIFS(tblDaily[Remaining],tblDaily[EntryDate],DATE(2026,6,11),tblDaily[WardCode],"FAE")),"")</f>
        <v/>
      </c>
      <c r="P218" s="26">
        <f>IF(AND(H218="", O218=""), "", N(H218) + N(O218))</f>
        <v/>
      </c>
    </row>
    <row r="219">
      <c r="A219" s="25" t="n">
        <v>12</v>
      </c>
      <c r="B219" s="25">
        <f>IFERROR(IF(SUMIFS(tblDaily[Admissions],tblDaily[EntryDate],DATE(2026,6,12),tblDaily[WardCode],"MAE")=0,"",SUMIFS(tblDaily[Admissions],tblDaily[EntryDate],DATE(2026,6,12),tblDaily[WardCode],"MAE")),"")</f>
        <v/>
      </c>
      <c r="C219" s="25">
        <f>IFERROR(IF(SUMIFS(tblDaily[Discharges],tblDaily[EntryDate],DATE(2026,6,12),tblDaily[WardCode],"MAE")=0,"",SUMIFS(tblDaily[Discharges],tblDaily[EntryDate],DATE(2026,6,12),tblDaily[WardCode],"MAE")),"")</f>
        <v/>
      </c>
      <c r="D219" s="25">
        <f>IFERROR(IF(SUMIFS(tblDaily[Deaths],tblDaily[EntryDate],DATE(2026,6,12),tblDaily[WardCode],"MAE")=0,"",SUMIFS(tblDaily[Deaths],tblDaily[EntryDate],DATE(2026,6,12),tblDaily[WardCode],"MAE")),"")</f>
        <v/>
      </c>
      <c r="E219" s="25">
        <f>IFERROR(IF(SUMIFS(tblDaily[DeathsUnder24Hrs],tblDaily[EntryDate],DATE(2026,6,12),tblDaily[WardCode],"MAE")=0,"",SUMIFS(tblDaily[DeathsUnder24Hrs],tblDaily[EntryDate],DATE(2026,6,12),tblDaily[WardCode],"MAE")),"")</f>
        <v/>
      </c>
      <c r="F219" s="25">
        <f>IFERROR(IF(SUMIFS(tblDaily[TransfersIn],tblDaily[EntryDate],DATE(2026,6,12),tblDaily[WardCode],"MAE")=0,"",SUMIFS(tblDaily[TransfersIn],tblDaily[EntryDate],DATE(2026,6,12),tblDaily[WardCode],"MAE")),"")</f>
        <v/>
      </c>
      <c r="G219" s="25">
        <f>IFERROR(IF(SUMIFS(tblDaily[TransfersOut],tblDaily[EntryDate],DATE(2026,6,12),tblDaily[WardCode],"MAE")=0,"",SUMIFS(tblDaily[TransfersOut],tblDaily[EntryDate],DATE(2026,6,12),tblDaily[WardCode],"MAE")),"")</f>
        <v/>
      </c>
      <c r="H219" s="25">
        <f>IFERROR(IF(SUMIFS(tblDaily[Remaining],tblDaily[EntryDate],DATE(2026,6,12),tblDaily[WardCode],"MAE")=0,"",SUMIFS(tblDaily[Remaining],tblDaily[EntryDate],DATE(2026,6,12),tblDaily[WardCode],"MAE")),"")</f>
        <v/>
      </c>
      <c r="I219" s="25">
        <f>IFERROR(IF(SUMIFS(tblDaily[Admissions],tblDaily[EntryDate],DATE(2026,6,12),tblDaily[WardCode],"FAE")=0,"",SUMIFS(tblDaily[Admissions],tblDaily[EntryDate],DATE(2026,6,12),tblDaily[WardCode],"FAE")),"")</f>
        <v/>
      </c>
      <c r="J219" s="25">
        <f>IFERROR(IF(SUMIFS(tblDaily[Discharges],tblDaily[EntryDate],DATE(2026,6,12),tblDaily[WardCode],"FAE")=0,"",SUMIFS(tblDaily[Discharges],tblDaily[EntryDate],DATE(2026,6,12),tblDaily[WardCode],"FAE")),"")</f>
        <v/>
      </c>
      <c r="K219" s="25">
        <f>IFERROR(IF(SUMIFS(tblDaily[Deaths],tblDaily[EntryDate],DATE(2026,6,12),tblDaily[WardCode],"FAE")=0,"",SUMIFS(tblDaily[Deaths],tblDaily[EntryDate],DATE(2026,6,12),tblDaily[WardCode],"FAE")),"")</f>
        <v/>
      </c>
      <c r="L219" s="25">
        <f>IFERROR(IF(SUMIFS(tblDaily[DeathsUnder24Hrs],tblDaily[EntryDate],DATE(2026,6,12),tblDaily[WardCode],"FAE")=0,"",SUMIFS(tblDaily[DeathsUnder24Hrs],tblDaily[EntryDate],DATE(2026,6,12),tblDaily[WardCode],"FAE")),"")</f>
        <v/>
      </c>
      <c r="M219" s="25">
        <f>IFERROR(IF(SUMIFS(tblDaily[TransfersIn],tblDaily[EntryDate],DATE(2026,6,12),tblDaily[WardCode],"FAE")=0,"",SUMIFS(tblDaily[TransfersIn],tblDaily[EntryDate],DATE(2026,6,12),tblDaily[WardCode],"FAE")),"")</f>
        <v/>
      </c>
      <c r="N219" s="25">
        <f>IFERROR(IF(SUMIFS(tblDaily[TransfersOut],tblDaily[EntryDate],DATE(2026,6,12),tblDaily[WardCode],"FAE")=0,"",SUMIFS(tblDaily[TransfersOut],tblDaily[EntryDate],DATE(2026,6,12),tblDaily[WardCode],"FAE")),"")</f>
        <v/>
      </c>
      <c r="O219" s="25">
        <f>IFERROR(IF(SUMIFS(tblDaily[Remaining],tblDaily[EntryDate],DATE(2026,6,12),tblDaily[WardCode],"FAE")=0,"",SUMIFS(tblDaily[Remaining],tblDaily[EntryDate],DATE(2026,6,12),tblDaily[WardCode],"FAE")),"")</f>
        <v/>
      </c>
      <c r="P219" s="26">
        <f>IF(AND(H219="", O219=""), "", N(H219) + N(O219))</f>
        <v/>
      </c>
    </row>
    <row r="220">
      <c r="A220" s="25" t="n">
        <v>13</v>
      </c>
      <c r="B220" s="25">
        <f>IFERROR(IF(SUMIFS(tblDaily[Admissions],tblDaily[EntryDate],DATE(2026,6,13),tblDaily[WardCode],"MAE")=0,"",SUMIFS(tblDaily[Admissions],tblDaily[EntryDate],DATE(2026,6,13),tblDaily[WardCode],"MAE")),"")</f>
        <v/>
      </c>
      <c r="C220" s="25">
        <f>IFERROR(IF(SUMIFS(tblDaily[Discharges],tblDaily[EntryDate],DATE(2026,6,13),tblDaily[WardCode],"MAE")=0,"",SUMIFS(tblDaily[Discharges],tblDaily[EntryDate],DATE(2026,6,13),tblDaily[WardCode],"MAE")),"")</f>
        <v/>
      </c>
      <c r="D220" s="25">
        <f>IFERROR(IF(SUMIFS(tblDaily[Deaths],tblDaily[EntryDate],DATE(2026,6,13),tblDaily[WardCode],"MAE")=0,"",SUMIFS(tblDaily[Deaths],tblDaily[EntryDate],DATE(2026,6,13),tblDaily[WardCode],"MAE")),"")</f>
        <v/>
      </c>
      <c r="E220" s="25">
        <f>IFERROR(IF(SUMIFS(tblDaily[DeathsUnder24Hrs],tblDaily[EntryDate],DATE(2026,6,13),tblDaily[WardCode],"MAE")=0,"",SUMIFS(tblDaily[DeathsUnder24Hrs],tblDaily[EntryDate],DATE(2026,6,13),tblDaily[WardCode],"MAE")),"")</f>
        <v/>
      </c>
      <c r="F220" s="25">
        <f>IFERROR(IF(SUMIFS(tblDaily[TransfersIn],tblDaily[EntryDate],DATE(2026,6,13),tblDaily[WardCode],"MAE")=0,"",SUMIFS(tblDaily[TransfersIn],tblDaily[EntryDate],DATE(2026,6,13),tblDaily[WardCode],"MAE")),"")</f>
        <v/>
      </c>
      <c r="G220" s="25">
        <f>IFERROR(IF(SUMIFS(tblDaily[TransfersOut],tblDaily[EntryDate],DATE(2026,6,13),tblDaily[WardCode],"MAE")=0,"",SUMIFS(tblDaily[TransfersOut],tblDaily[EntryDate],DATE(2026,6,13),tblDaily[WardCode],"MAE")),"")</f>
        <v/>
      </c>
      <c r="H220" s="25">
        <f>IFERROR(IF(SUMIFS(tblDaily[Remaining],tblDaily[EntryDate],DATE(2026,6,13),tblDaily[WardCode],"MAE")=0,"",SUMIFS(tblDaily[Remaining],tblDaily[EntryDate],DATE(2026,6,13),tblDaily[WardCode],"MAE")),"")</f>
        <v/>
      </c>
      <c r="I220" s="25">
        <f>IFERROR(IF(SUMIFS(tblDaily[Admissions],tblDaily[EntryDate],DATE(2026,6,13),tblDaily[WardCode],"FAE")=0,"",SUMIFS(tblDaily[Admissions],tblDaily[EntryDate],DATE(2026,6,13),tblDaily[WardCode],"FAE")),"")</f>
        <v/>
      </c>
      <c r="J220" s="25">
        <f>IFERROR(IF(SUMIFS(tblDaily[Discharges],tblDaily[EntryDate],DATE(2026,6,13),tblDaily[WardCode],"FAE")=0,"",SUMIFS(tblDaily[Discharges],tblDaily[EntryDate],DATE(2026,6,13),tblDaily[WardCode],"FAE")),"")</f>
        <v/>
      </c>
      <c r="K220" s="25">
        <f>IFERROR(IF(SUMIFS(tblDaily[Deaths],tblDaily[EntryDate],DATE(2026,6,13),tblDaily[WardCode],"FAE")=0,"",SUMIFS(tblDaily[Deaths],tblDaily[EntryDate],DATE(2026,6,13),tblDaily[WardCode],"FAE")),"")</f>
        <v/>
      </c>
      <c r="L220" s="25">
        <f>IFERROR(IF(SUMIFS(tblDaily[DeathsUnder24Hrs],tblDaily[EntryDate],DATE(2026,6,13),tblDaily[WardCode],"FAE")=0,"",SUMIFS(tblDaily[DeathsUnder24Hrs],tblDaily[EntryDate],DATE(2026,6,13),tblDaily[WardCode],"FAE")),"")</f>
        <v/>
      </c>
      <c r="M220" s="25">
        <f>IFERROR(IF(SUMIFS(tblDaily[TransfersIn],tblDaily[EntryDate],DATE(2026,6,13),tblDaily[WardCode],"FAE")=0,"",SUMIFS(tblDaily[TransfersIn],tblDaily[EntryDate],DATE(2026,6,13),tblDaily[WardCode],"FAE")),"")</f>
        <v/>
      </c>
      <c r="N220" s="25">
        <f>IFERROR(IF(SUMIFS(tblDaily[TransfersOut],tblDaily[EntryDate],DATE(2026,6,13),tblDaily[WardCode],"FAE")=0,"",SUMIFS(tblDaily[TransfersOut],tblDaily[EntryDate],DATE(2026,6,13),tblDaily[WardCode],"FAE")),"")</f>
        <v/>
      </c>
      <c r="O220" s="25">
        <f>IFERROR(IF(SUMIFS(tblDaily[Remaining],tblDaily[EntryDate],DATE(2026,6,13),tblDaily[WardCode],"FAE")=0,"",SUMIFS(tblDaily[Remaining],tblDaily[EntryDate],DATE(2026,6,13),tblDaily[WardCode],"FAE")),"")</f>
        <v/>
      </c>
      <c r="P220" s="26">
        <f>IF(AND(H220="", O220=""), "", N(H220) + N(O220))</f>
        <v/>
      </c>
    </row>
    <row r="221">
      <c r="A221" s="25" t="n">
        <v>14</v>
      </c>
      <c r="B221" s="25">
        <f>IFERROR(IF(SUMIFS(tblDaily[Admissions],tblDaily[EntryDate],DATE(2026,6,14),tblDaily[WardCode],"MAE")=0,"",SUMIFS(tblDaily[Admissions],tblDaily[EntryDate],DATE(2026,6,14),tblDaily[WardCode],"MAE")),"")</f>
        <v/>
      </c>
      <c r="C221" s="25">
        <f>IFERROR(IF(SUMIFS(tblDaily[Discharges],tblDaily[EntryDate],DATE(2026,6,14),tblDaily[WardCode],"MAE")=0,"",SUMIFS(tblDaily[Discharges],tblDaily[EntryDate],DATE(2026,6,14),tblDaily[WardCode],"MAE")),"")</f>
        <v/>
      </c>
      <c r="D221" s="25">
        <f>IFERROR(IF(SUMIFS(tblDaily[Deaths],tblDaily[EntryDate],DATE(2026,6,14),tblDaily[WardCode],"MAE")=0,"",SUMIFS(tblDaily[Deaths],tblDaily[EntryDate],DATE(2026,6,14),tblDaily[WardCode],"MAE")),"")</f>
        <v/>
      </c>
      <c r="E221" s="25">
        <f>IFERROR(IF(SUMIFS(tblDaily[DeathsUnder24Hrs],tblDaily[EntryDate],DATE(2026,6,14),tblDaily[WardCode],"MAE")=0,"",SUMIFS(tblDaily[DeathsUnder24Hrs],tblDaily[EntryDate],DATE(2026,6,14),tblDaily[WardCode],"MAE")),"")</f>
        <v/>
      </c>
      <c r="F221" s="25">
        <f>IFERROR(IF(SUMIFS(tblDaily[TransfersIn],tblDaily[EntryDate],DATE(2026,6,14),tblDaily[WardCode],"MAE")=0,"",SUMIFS(tblDaily[TransfersIn],tblDaily[EntryDate],DATE(2026,6,14),tblDaily[WardCode],"MAE")),"")</f>
        <v/>
      </c>
      <c r="G221" s="25">
        <f>IFERROR(IF(SUMIFS(tblDaily[TransfersOut],tblDaily[EntryDate],DATE(2026,6,14),tblDaily[WardCode],"MAE")=0,"",SUMIFS(tblDaily[TransfersOut],tblDaily[EntryDate],DATE(2026,6,14),tblDaily[WardCode],"MAE")),"")</f>
        <v/>
      </c>
      <c r="H221" s="25">
        <f>IFERROR(IF(SUMIFS(tblDaily[Remaining],tblDaily[EntryDate],DATE(2026,6,14),tblDaily[WardCode],"MAE")=0,"",SUMIFS(tblDaily[Remaining],tblDaily[EntryDate],DATE(2026,6,14),tblDaily[WardCode],"MAE")),"")</f>
        <v/>
      </c>
      <c r="I221" s="25">
        <f>IFERROR(IF(SUMIFS(tblDaily[Admissions],tblDaily[EntryDate],DATE(2026,6,14),tblDaily[WardCode],"FAE")=0,"",SUMIFS(tblDaily[Admissions],tblDaily[EntryDate],DATE(2026,6,14),tblDaily[WardCode],"FAE")),"")</f>
        <v/>
      </c>
      <c r="J221" s="25">
        <f>IFERROR(IF(SUMIFS(tblDaily[Discharges],tblDaily[EntryDate],DATE(2026,6,14),tblDaily[WardCode],"FAE")=0,"",SUMIFS(tblDaily[Discharges],tblDaily[EntryDate],DATE(2026,6,14),tblDaily[WardCode],"FAE")),"")</f>
        <v/>
      </c>
      <c r="K221" s="25">
        <f>IFERROR(IF(SUMIFS(tblDaily[Deaths],tblDaily[EntryDate],DATE(2026,6,14),tblDaily[WardCode],"FAE")=0,"",SUMIFS(tblDaily[Deaths],tblDaily[EntryDate],DATE(2026,6,14),tblDaily[WardCode],"FAE")),"")</f>
        <v/>
      </c>
      <c r="L221" s="25">
        <f>IFERROR(IF(SUMIFS(tblDaily[DeathsUnder24Hrs],tblDaily[EntryDate],DATE(2026,6,14),tblDaily[WardCode],"FAE")=0,"",SUMIFS(tblDaily[DeathsUnder24Hrs],tblDaily[EntryDate],DATE(2026,6,14),tblDaily[WardCode],"FAE")),"")</f>
        <v/>
      </c>
      <c r="M221" s="25">
        <f>IFERROR(IF(SUMIFS(tblDaily[TransfersIn],tblDaily[EntryDate],DATE(2026,6,14),tblDaily[WardCode],"FAE")=0,"",SUMIFS(tblDaily[TransfersIn],tblDaily[EntryDate],DATE(2026,6,14),tblDaily[WardCode],"FAE")),"")</f>
        <v/>
      </c>
      <c r="N221" s="25">
        <f>IFERROR(IF(SUMIFS(tblDaily[TransfersOut],tblDaily[EntryDate],DATE(2026,6,14),tblDaily[WardCode],"FAE")=0,"",SUMIFS(tblDaily[TransfersOut],tblDaily[EntryDate],DATE(2026,6,14),tblDaily[WardCode],"FAE")),"")</f>
        <v/>
      </c>
      <c r="O221" s="25">
        <f>IFERROR(IF(SUMIFS(tblDaily[Remaining],tblDaily[EntryDate],DATE(2026,6,14),tblDaily[WardCode],"FAE")=0,"",SUMIFS(tblDaily[Remaining],tblDaily[EntryDate],DATE(2026,6,14),tblDaily[WardCode],"FAE")),"")</f>
        <v/>
      </c>
      <c r="P221" s="26">
        <f>IF(AND(H221="", O221=""), "", N(H221) + N(O221))</f>
        <v/>
      </c>
    </row>
    <row r="222">
      <c r="A222" s="25" t="n">
        <v>15</v>
      </c>
      <c r="B222" s="25">
        <f>IFERROR(IF(SUMIFS(tblDaily[Admissions],tblDaily[EntryDate],DATE(2026,6,15),tblDaily[WardCode],"MAE")=0,"",SUMIFS(tblDaily[Admissions],tblDaily[EntryDate],DATE(2026,6,15),tblDaily[WardCode],"MAE")),"")</f>
        <v/>
      </c>
      <c r="C222" s="25">
        <f>IFERROR(IF(SUMIFS(tblDaily[Discharges],tblDaily[EntryDate],DATE(2026,6,15),tblDaily[WardCode],"MAE")=0,"",SUMIFS(tblDaily[Discharges],tblDaily[EntryDate],DATE(2026,6,15),tblDaily[WardCode],"MAE")),"")</f>
        <v/>
      </c>
      <c r="D222" s="25">
        <f>IFERROR(IF(SUMIFS(tblDaily[Deaths],tblDaily[EntryDate],DATE(2026,6,15),tblDaily[WardCode],"MAE")=0,"",SUMIFS(tblDaily[Deaths],tblDaily[EntryDate],DATE(2026,6,15),tblDaily[WardCode],"MAE")),"")</f>
        <v/>
      </c>
      <c r="E222" s="25">
        <f>IFERROR(IF(SUMIFS(tblDaily[DeathsUnder24Hrs],tblDaily[EntryDate],DATE(2026,6,15),tblDaily[WardCode],"MAE")=0,"",SUMIFS(tblDaily[DeathsUnder24Hrs],tblDaily[EntryDate],DATE(2026,6,15),tblDaily[WardCode],"MAE")),"")</f>
        <v/>
      </c>
      <c r="F222" s="25">
        <f>IFERROR(IF(SUMIFS(tblDaily[TransfersIn],tblDaily[EntryDate],DATE(2026,6,15),tblDaily[WardCode],"MAE")=0,"",SUMIFS(tblDaily[TransfersIn],tblDaily[EntryDate],DATE(2026,6,15),tblDaily[WardCode],"MAE")),"")</f>
        <v/>
      </c>
      <c r="G222" s="25">
        <f>IFERROR(IF(SUMIFS(tblDaily[TransfersOut],tblDaily[EntryDate],DATE(2026,6,15),tblDaily[WardCode],"MAE")=0,"",SUMIFS(tblDaily[TransfersOut],tblDaily[EntryDate],DATE(2026,6,15),tblDaily[WardCode],"MAE")),"")</f>
        <v/>
      </c>
      <c r="H222" s="25">
        <f>IFERROR(IF(SUMIFS(tblDaily[Remaining],tblDaily[EntryDate],DATE(2026,6,15),tblDaily[WardCode],"MAE")=0,"",SUMIFS(tblDaily[Remaining],tblDaily[EntryDate],DATE(2026,6,15),tblDaily[WardCode],"MAE")),"")</f>
        <v/>
      </c>
      <c r="I222" s="25">
        <f>IFERROR(IF(SUMIFS(tblDaily[Admissions],tblDaily[EntryDate],DATE(2026,6,15),tblDaily[WardCode],"FAE")=0,"",SUMIFS(tblDaily[Admissions],tblDaily[EntryDate],DATE(2026,6,15),tblDaily[WardCode],"FAE")),"")</f>
        <v/>
      </c>
      <c r="J222" s="25">
        <f>IFERROR(IF(SUMIFS(tblDaily[Discharges],tblDaily[EntryDate],DATE(2026,6,15),tblDaily[WardCode],"FAE")=0,"",SUMIFS(tblDaily[Discharges],tblDaily[EntryDate],DATE(2026,6,15),tblDaily[WardCode],"FAE")),"")</f>
        <v/>
      </c>
      <c r="K222" s="25">
        <f>IFERROR(IF(SUMIFS(tblDaily[Deaths],tblDaily[EntryDate],DATE(2026,6,15),tblDaily[WardCode],"FAE")=0,"",SUMIFS(tblDaily[Deaths],tblDaily[EntryDate],DATE(2026,6,15),tblDaily[WardCode],"FAE")),"")</f>
        <v/>
      </c>
      <c r="L222" s="25">
        <f>IFERROR(IF(SUMIFS(tblDaily[DeathsUnder24Hrs],tblDaily[EntryDate],DATE(2026,6,15),tblDaily[WardCode],"FAE")=0,"",SUMIFS(tblDaily[DeathsUnder24Hrs],tblDaily[EntryDate],DATE(2026,6,15),tblDaily[WardCode],"FAE")),"")</f>
        <v/>
      </c>
      <c r="M222" s="25">
        <f>IFERROR(IF(SUMIFS(tblDaily[TransfersIn],tblDaily[EntryDate],DATE(2026,6,15),tblDaily[WardCode],"FAE")=0,"",SUMIFS(tblDaily[TransfersIn],tblDaily[EntryDate],DATE(2026,6,15),tblDaily[WardCode],"FAE")),"")</f>
        <v/>
      </c>
      <c r="N222" s="25">
        <f>IFERROR(IF(SUMIFS(tblDaily[TransfersOut],tblDaily[EntryDate],DATE(2026,6,15),tblDaily[WardCode],"FAE")=0,"",SUMIFS(tblDaily[TransfersOut],tblDaily[EntryDate],DATE(2026,6,15),tblDaily[WardCode],"FAE")),"")</f>
        <v/>
      </c>
      <c r="O222" s="25">
        <f>IFERROR(IF(SUMIFS(tblDaily[Remaining],tblDaily[EntryDate],DATE(2026,6,15),tblDaily[WardCode],"FAE")=0,"",SUMIFS(tblDaily[Remaining],tblDaily[EntryDate],DATE(2026,6,15),tblDaily[WardCode],"FAE")),"")</f>
        <v/>
      </c>
      <c r="P222" s="26">
        <f>IF(AND(H222="", O222=""), "", N(H222) + N(O222))</f>
        <v/>
      </c>
    </row>
    <row r="223">
      <c r="A223" s="25" t="n">
        <v>16</v>
      </c>
      <c r="B223" s="25">
        <f>IFERROR(IF(SUMIFS(tblDaily[Admissions],tblDaily[EntryDate],DATE(2026,6,16),tblDaily[WardCode],"MAE")=0,"",SUMIFS(tblDaily[Admissions],tblDaily[EntryDate],DATE(2026,6,16),tblDaily[WardCode],"MAE")),"")</f>
        <v/>
      </c>
      <c r="C223" s="25">
        <f>IFERROR(IF(SUMIFS(tblDaily[Discharges],tblDaily[EntryDate],DATE(2026,6,16),tblDaily[WardCode],"MAE")=0,"",SUMIFS(tblDaily[Discharges],tblDaily[EntryDate],DATE(2026,6,16),tblDaily[WardCode],"MAE")),"")</f>
        <v/>
      </c>
      <c r="D223" s="25">
        <f>IFERROR(IF(SUMIFS(tblDaily[Deaths],tblDaily[EntryDate],DATE(2026,6,16),tblDaily[WardCode],"MAE")=0,"",SUMIFS(tblDaily[Deaths],tblDaily[EntryDate],DATE(2026,6,16),tblDaily[WardCode],"MAE")),"")</f>
        <v/>
      </c>
      <c r="E223" s="25">
        <f>IFERROR(IF(SUMIFS(tblDaily[DeathsUnder24Hrs],tblDaily[EntryDate],DATE(2026,6,16),tblDaily[WardCode],"MAE")=0,"",SUMIFS(tblDaily[DeathsUnder24Hrs],tblDaily[EntryDate],DATE(2026,6,16),tblDaily[WardCode],"MAE")),"")</f>
        <v/>
      </c>
      <c r="F223" s="25">
        <f>IFERROR(IF(SUMIFS(tblDaily[TransfersIn],tblDaily[EntryDate],DATE(2026,6,16),tblDaily[WardCode],"MAE")=0,"",SUMIFS(tblDaily[TransfersIn],tblDaily[EntryDate],DATE(2026,6,16),tblDaily[WardCode],"MAE")),"")</f>
        <v/>
      </c>
      <c r="G223" s="25">
        <f>IFERROR(IF(SUMIFS(tblDaily[TransfersOut],tblDaily[EntryDate],DATE(2026,6,16),tblDaily[WardCode],"MAE")=0,"",SUMIFS(tblDaily[TransfersOut],tblDaily[EntryDate],DATE(2026,6,16),tblDaily[WardCode],"MAE")),"")</f>
        <v/>
      </c>
      <c r="H223" s="25">
        <f>IFERROR(IF(SUMIFS(tblDaily[Remaining],tblDaily[EntryDate],DATE(2026,6,16),tblDaily[WardCode],"MAE")=0,"",SUMIFS(tblDaily[Remaining],tblDaily[EntryDate],DATE(2026,6,16),tblDaily[WardCode],"MAE")),"")</f>
        <v/>
      </c>
      <c r="I223" s="25">
        <f>IFERROR(IF(SUMIFS(tblDaily[Admissions],tblDaily[EntryDate],DATE(2026,6,16),tblDaily[WardCode],"FAE")=0,"",SUMIFS(tblDaily[Admissions],tblDaily[EntryDate],DATE(2026,6,16),tblDaily[WardCode],"FAE")),"")</f>
        <v/>
      </c>
      <c r="J223" s="25">
        <f>IFERROR(IF(SUMIFS(tblDaily[Discharges],tblDaily[EntryDate],DATE(2026,6,16),tblDaily[WardCode],"FAE")=0,"",SUMIFS(tblDaily[Discharges],tblDaily[EntryDate],DATE(2026,6,16),tblDaily[WardCode],"FAE")),"")</f>
        <v/>
      </c>
      <c r="K223" s="25">
        <f>IFERROR(IF(SUMIFS(tblDaily[Deaths],tblDaily[EntryDate],DATE(2026,6,16),tblDaily[WardCode],"FAE")=0,"",SUMIFS(tblDaily[Deaths],tblDaily[EntryDate],DATE(2026,6,16),tblDaily[WardCode],"FAE")),"")</f>
        <v/>
      </c>
      <c r="L223" s="25">
        <f>IFERROR(IF(SUMIFS(tblDaily[DeathsUnder24Hrs],tblDaily[EntryDate],DATE(2026,6,16),tblDaily[WardCode],"FAE")=0,"",SUMIFS(tblDaily[DeathsUnder24Hrs],tblDaily[EntryDate],DATE(2026,6,16),tblDaily[WardCode],"FAE")),"")</f>
        <v/>
      </c>
      <c r="M223" s="25">
        <f>IFERROR(IF(SUMIFS(tblDaily[TransfersIn],tblDaily[EntryDate],DATE(2026,6,16),tblDaily[WardCode],"FAE")=0,"",SUMIFS(tblDaily[TransfersIn],tblDaily[EntryDate],DATE(2026,6,16),tblDaily[WardCode],"FAE")),"")</f>
        <v/>
      </c>
      <c r="N223" s="25">
        <f>IFERROR(IF(SUMIFS(tblDaily[TransfersOut],tblDaily[EntryDate],DATE(2026,6,16),tblDaily[WardCode],"FAE")=0,"",SUMIFS(tblDaily[TransfersOut],tblDaily[EntryDate],DATE(2026,6,16),tblDaily[WardCode],"FAE")),"")</f>
        <v/>
      </c>
      <c r="O223" s="25">
        <f>IFERROR(IF(SUMIFS(tblDaily[Remaining],tblDaily[EntryDate],DATE(2026,6,16),tblDaily[WardCode],"FAE")=0,"",SUMIFS(tblDaily[Remaining],tblDaily[EntryDate],DATE(2026,6,16),tblDaily[WardCode],"FAE")),"")</f>
        <v/>
      </c>
      <c r="P223" s="26">
        <f>IF(AND(H223="", O223=""), "", N(H223) + N(O223))</f>
        <v/>
      </c>
    </row>
    <row r="224">
      <c r="A224" s="25" t="n">
        <v>17</v>
      </c>
      <c r="B224" s="25">
        <f>IFERROR(IF(SUMIFS(tblDaily[Admissions],tblDaily[EntryDate],DATE(2026,6,17),tblDaily[WardCode],"MAE")=0,"",SUMIFS(tblDaily[Admissions],tblDaily[EntryDate],DATE(2026,6,17),tblDaily[WardCode],"MAE")),"")</f>
        <v/>
      </c>
      <c r="C224" s="25">
        <f>IFERROR(IF(SUMIFS(tblDaily[Discharges],tblDaily[EntryDate],DATE(2026,6,17),tblDaily[WardCode],"MAE")=0,"",SUMIFS(tblDaily[Discharges],tblDaily[EntryDate],DATE(2026,6,17),tblDaily[WardCode],"MAE")),"")</f>
        <v/>
      </c>
      <c r="D224" s="25">
        <f>IFERROR(IF(SUMIFS(tblDaily[Deaths],tblDaily[EntryDate],DATE(2026,6,17),tblDaily[WardCode],"MAE")=0,"",SUMIFS(tblDaily[Deaths],tblDaily[EntryDate],DATE(2026,6,17),tblDaily[WardCode],"MAE")),"")</f>
        <v/>
      </c>
      <c r="E224" s="25">
        <f>IFERROR(IF(SUMIFS(tblDaily[DeathsUnder24Hrs],tblDaily[EntryDate],DATE(2026,6,17),tblDaily[WardCode],"MAE")=0,"",SUMIFS(tblDaily[DeathsUnder24Hrs],tblDaily[EntryDate],DATE(2026,6,17),tblDaily[WardCode],"MAE")),"")</f>
        <v/>
      </c>
      <c r="F224" s="25">
        <f>IFERROR(IF(SUMIFS(tblDaily[TransfersIn],tblDaily[EntryDate],DATE(2026,6,17),tblDaily[WardCode],"MAE")=0,"",SUMIFS(tblDaily[TransfersIn],tblDaily[EntryDate],DATE(2026,6,17),tblDaily[WardCode],"MAE")),"")</f>
        <v/>
      </c>
      <c r="G224" s="25">
        <f>IFERROR(IF(SUMIFS(tblDaily[TransfersOut],tblDaily[EntryDate],DATE(2026,6,17),tblDaily[WardCode],"MAE")=0,"",SUMIFS(tblDaily[TransfersOut],tblDaily[EntryDate],DATE(2026,6,17),tblDaily[WardCode],"MAE")),"")</f>
        <v/>
      </c>
      <c r="H224" s="25">
        <f>IFERROR(IF(SUMIFS(tblDaily[Remaining],tblDaily[EntryDate],DATE(2026,6,17),tblDaily[WardCode],"MAE")=0,"",SUMIFS(tblDaily[Remaining],tblDaily[EntryDate],DATE(2026,6,17),tblDaily[WardCode],"MAE")),"")</f>
        <v/>
      </c>
      <c r="I224" s="25">
        <f>IFERROR(IF(SUMIFS(tblDaily[Admissions],tblDaily[EntryDate],DATE(2026,6,17),tblDaily[WardCode],"FAE")=0,"",SUMIFS(tblDaily[Admissions],tblDaily[EntryDate],DATE(2026,6,17),tblDaily[WardCode],"FAE")),"")</f>
        <v/>
      </c>
      <c r="J224" s="25">
        <f>IFERROR(IF(SUMIFS(tblDaily[Discharges],tblDaily[EntryDate],DATE(2026,6,17),tblDaily[WardCode],"FAE")=0,"",SUMIFS(tblDaily[Discharges],tblDaily[EntryDate],DATE(2026,6,17),tblDaily[WardCode],"FAE")),"")</f>
        <v/>
      </c>
      <c r="K224" s="25">
        <f>IFERROR(IF(SUMIFS(tblDaily[Deaths],tblDaily[EntryDate],DATE(2026,6,17),tblDaily[WardCode],"FAE")=0,"",SUMIFS(tblDaily[Deaths],tblDaily[EntryDate],DATE(2026,6,17),tblDaily[WardCode],"FAE")),"")</f>
        <v/>
      </c>
      <c r="L224" s="25">
        <f>IFERROR(IF(SUMIFS(tblDaily[DeathsUnder24Hrs],tblDaily[EntryDate],DATE(2026,6,17),tblDaily[WardCode],"FAE")=0,"",SUMIFS(tblDaily[DeathsUnder24Hrs],tblDaily[EntryDate],DATE(2026,6,17),tblDaily[WardCode],"FAE")),"")</f>
        <v/>
      </c>
      <c r="M224" s="25">
        <f>IFERROR(IF(SUMIFS(tblDaily[TransfersIn],tblDaily[EntryDate],DATE(2026,6,17),tblDaily[WardCode],"FAE")=0,"",SUMIFS(tblDaily[TransfersIn],tblDaily[EntryDate],DATE(2026,6,17),tblDaily[WardCode],"FAE")),"")</f>
        <v/>
      </c>
      <c r="N224" s="25">
        <f>IFERROR(IF(SUMIFS(tblDaily[TransfersOut],tblDaily[EntryDate],DATE(2026,6,17),tblDaily[WardCode],"FAE")=0,"",SUMIFS(tblDaily[TransfersOut],tblDaily[EntryDate],DATE(2026,6,17),tblDaily[WardCode],"FAE")),"")</f>
        <v/>
      </c>
      <c r="O224" s="25">
        <f>IFERROR(IF(SUMIFS(tblDaily[Remaining],tblDaily[EntryDate],DATE(2026,6,17),tblDaily[WardCode],"FAE")=0,"",SUMIFS(tblDaily[Remaining],tblDaily[EntryDate],DATE(2026,6,17),tblDaily[WardCode],"FAE")),"")</f>
        <v/>
      </c>
      <c r="P224" s="26">
        <f>IF(AND(H224="", O224=""), "", N(H224) + N(O224))</f>
        <v/>
      </c>
    </row>
    <row r="225">
      <c r="A225" s="25" t="n">
        <v>18</v>
      </c>
      <c r="B225" s="25">
        <f>IFERROR(IF(SUMIFS(tblDaily[Admissions],tblDaily[EntryDate],DATE(2026,6,18),tblDaily[WardCode],"MAE")=0,"",SUMIFS(tblDaily[Admissions],tblDaily[EntryDate],DATE(2026,6,18),tblDaily[WardCode],"MAE")),"")</f>
        <v/>
      </c>
      <c r="C225" s="25">
        <f>IFERROR(IF(SUMIFS(tblDaily[Discharges],tblDaily[EntryDate],DATE(2026,6,18),tblDaily[WardCode],"MAE")=0,"",SUMIFS(tblDaily[Discharges],tblDaily[EntryDate],DATE(2026,6,18),tblDaily[WardCode],"MAE")),"")</f>
        <v/>
      </c>
      <c r="D225" s="25">
        <f>IFERROR(IF(SUMIFS(tblDaily[Deaths],tblDaily[EntryDate],DATE(2026,6,18),tblDaily[WardCode],"MAE")=0,"",SUMIFS(tblDaily[Deaths],tblDaily[EntryDate],DATE(2026,6,18),tblDaily[WardCode],"MAE")),"")</f>
        <v/>
      </c>
      <c r="E225" s="25">
        <f>IFERROR(IF(SUMIFS(tblDaily[DeathsUnder24Hrs],tblDaily[EntryDate],DATE(2026,6,18),tblDaily[WardCode],"MAE")=0,"",SUMIFS(tblDaily[DeathsUnder24Hrs],tblDaily[EntryDate],DATE(2026,6,18),tblDaily[WardCode],"MAE")),"")</f>
        <v/>
      </c>
      <c r="F225" s="25">
        <f>IFERROR(IF(SUMIFS(tblDaily[TransfersIn],tblDaily[EntryDate],DATE(2026,6,18),tblDaily[WardCode],"MAE")=0,"",SUMIFS(tblDaily[TransfersIn],tblDaily[EntryDate],DATE(2026,6,18),tblDaily[WardCode],"MAE")),"")</f>
        <v/>
      </c>
      <c r="G225" s="25">
        <f>IFERROR(IF(SUMIFS(tblDaily[TransfersOut],tblDaily[EntryDate],DATE(2026,6,18),tblDaily[WardCode],"MAE")=0,"",SUMIFS(tblDaily[TransfersOut],tblDaily[EntryDate],DATE(2026,6,18),tblDaily[WardCode],"MAE")),"")</f>
        <v/>
      </c>
      <c r="H225" s="25">
        <f>IFERROR(IF(SUMIFS(tblDaily[Remaining],tblDaily[EntryDate],DATE(2026,6,18),tblDaily[WardCode],"MAE")=0,"",SUMIFS(tblDaily[Remaining],tblDaily[EntryDate],DATE(2026,6,18),tblDaily[WardCode],"MAE")),"")</f>
        <v/>
      </c>
      <c r="I225" s="25">
        <f>IFERROR(IF(SUMIFS(tblDaily[Admissions],tblDaily[EntryDate],DATE(2026,6,18),tblDaily[WardCode],"FAE")=0,"",SUMIFS(tblDaily[Admissions],tblDaily[EntryDate],DATE(2026,6,18),tblDaily[WardCode],"FAE")),"")</f>
        <v/>
      </c>
      <c r="J225" s="25">
        <f>IFERROR(IF(SUMIFS(tblDaily[Discharges],tblDaily[EntryDate],DATE(2026,6,18),tblDaily[WardCode],"FAE")=0,"",SUMIFS(tblDaily[Discharges],tblDaily[EntryDate],DATE(2026,6,18),tblDaily[WardCode],"FAE")),"")</f>
        <v/>
      </c>
      <c r="K225" s="25">
        <f>IFERROR(IF(SUMIFS(tblDaily[Deaths],tblDaily[EntryDate],DATE(2026,6,18),tblDaily[WardCode],"FAE")=0,"",SUMIFS(tblDaily[Deaths],tblDaily[EntryDate],DATE(2026,6,18),tblDaily[WardCode],"FAE")),"")</f>
        <v/>
      </c>
      <c r="L225" s="25">
        <f>IFERROR(IF(SUMIFS(tblDaily[DeathsUnder24Hrs],tblDaily[EntryDate],DATE(2026,6,18),tblDaily[WardCode],"FAE")=0,"",SUMIFS(tblDaily[DeathsUnder24Hrs],tblDaily[EntryDate],DATE(2026,6,18),tblDaily[WardCode],"FAE")),"")</f>
        <v/>
      </c>
      <c r="M225" s="25">
        <f>IFERROR(IF(SUMIFS(tblDaily[TransfersIn],tblDaily[EntryDate],DATE(2026,6,18),tblDaily[WardCode],"FAE")=0,"",SUMIFS(tblDaily[TransfersIn],tblDaily[EntryDate],DATE(2026,6,18),tblDaily[WardCode],"FAE")),"")</f>
        <v/>
      </c>
      <c r="N225" s="25">
        <f>IFERROR(IF(SUMIFS(tblDaily[TransfersOut],tblDaily[EntryDate],DATE(2026,6,18),tblDaily[WardCode],"FAE")=0,"",SUMIFS(tblDaily[TransfersOut],tblDaily[EntryDate],DATE(2026,6,18),tblDaily[WardCode],"FAE")),"")</f>
        <v/>
      </c>
      <c r="O225" s="25">
        <f>IFERROR(IF(SUMIFS(tblDaily[Remaining],tblDaily[EntryDate],DATE(2026,6,18),tblDaily[WardCode],"FAE")=0,"",SUMIFS(tblDaily[Remaining],tblDaily[EntryDate],DATE(2026,6,18),tblDaily[WardCode],"FAE")),"")</f>
        <v/>
      </c>
      <c r="P225" s="26">
        <f>IF(AND(H225="", O225=""), "", N(H225) + N(O225))</f>
        <v/>
      </c>
    </row>
    <row r="226">
      <c r="A226" s="25" t="n">
        <v>19</v>
      </c>
      <c r="B226" s="25">
        <f>IFERROR(IF(SUMIFS(tblDaily[Admissions],tblDaily[EntryDate],DATE(2026,6,19),tblDaily[WardCode],"MAE")=0,"",SUMIFS(tblDaily[Admissions],tblDaily[EntryDate],DATE(2026,6,19),tblDaily[WardCode],"MAE")),"")</f>
        <v/>
      </c>
      <c r="C226" s="25">
        <f>IFERROR(IF(SUMIFS(tblDaily[Discharges],tblDaily[EntryDate],DATE(2026,6,19),tblDaily[WardCode],"MAE")=0,"",SUMIFS(tblDaily[Discharges],tblDaily[EntryDate],DATE(2026,6,19),tblDaily[WardCode],"MAE")),"")</f>
        <v/>
      </c>
      <c r="D226" s="25">
        <f>IFERROR(IF(SUMIFS(tblDaily[Deaths],tblDaily[EntryDate],DATE(2026,6,19),tblDaily[WardCode],"MAE")=0,"",SUMIFS(tblDaily[Deaths],tblDaily[EntryDate],DATE(2026,6,19),tblDaily[WardCode],"MAE")),"")</f>
        <v/>
      </c>
      <c r="E226" s="25">
        <f>IFERROR(IF(SUMIFS(tblDaily[DeathsUnder24Hrs],tblDaily[EntryDate],DATE(2026,6,19),tblDaily[WardCode],"MAE")=0,"",SUMIFS(tblDaily[DeathsUnder24Hrs],tblDaily[EntryDate],DATE(2026,6,19),tblDaily[WardCode],"MAE")),"")</f>
        <v/>
      </c>
      <c r="F226" s="25">
        <f>IFERROR(IF(SUMIFS(tblDaily[TransfersIn],tblDaily[EntryDate],DATE(2026,6,19),tblDaily[WardCode],"MAE")=0,"",SUMIFS(tblDaily[TransfersIn],tblDaily[EntryDate],DATE(2026,6,19),tblDaily[WardCode],"MAE")),"")</f>
        <v/>
      </c>
      <c r="G226" s="25">
        <f>IFERROR(IF(SUMIFS(tblDaily[TransfersOut],tblDaily[EntryDate],DATE(2026,6,19),tblDaily[WardCode],"MAE")=0,"",SUMIFS(tblDaily[TransfersOut],tblDaily[EntryDate],DATE(2026,6,19),tblDaily[WardCode],"MAE")),"")</f>
        <v/>
      </c>
      <c r="H226" s="25">
        <f>IFERROR(IF(SUMIFS(tblDaily[Remaining],tblDaily[EntryDate],DATE(2026,6,19),tblDaily[WardCode],"MAE")=0,"",SUMIFS(tblDaily[Remaining],tblDaily[EntryDate],DATE(2026,6,19),tblDaily[WardCode],"MAE")),"")</f>
        <v/>
      </c>
      <c r="I226" s="25">
        <f>IFERROR(IF(SUMIFS(tblDaily[Admissions],tblDaily[EntryDate],DATE(2026,6,19),tblDaily[WardCode],"FAE")=0,"",SUMIFS(tblDaily[Admissions],tblDaily[EntryDate],DATE(2026,6,19),tblDaily[WardCode],"FAE")),"")</f>
        <v/>
      </c>
      <c r="J226" s="25">
        <f>IFERROR(IF(SUMIFS(tblDaily[Discharges],tblDaily[EntryDate],DATE(2026,6,19),tblDaily[WardCode],"FAE")=0,"",SUMIFS(tblDaily[Discharges],tblDaily[EntryDate],DATE(2026,6,19),tblDaily[WardCode],"FAE")),"")</f>
        <v/>
      </c>
      <c r="K226" s="25">
        <f>IFERROR(IF(SUMIFS(tblDaily[Deaths],tblDaily[EntryDate],DATE(2026,6,19),tblDaily[WardCode],"FAE")=0,"",SUMIFS(tblDaily[Deaths],tblDaily[EntryDate],DATE(2026,6,19),tblDaily[WardCode],"FAE")),"")</f>
        <v/>
      </c>
      <c r="L226" s="25">
        <f>IFERROR(IF(SUMIFS(tblDaily[DeathsUnder24Hrs],tblDaily[EntryDate],DATE(2026,6,19),tblDaily[WardCode],"FAE")=0,"",SUMIFS(tblDaily[DeathsUnder24Hrs],tblDaily[EntryDate],DATE(2026,6,19),tblDaily[WardCode],"FAE")),"")</f>
        <v/>
      </c>
      <c r="M226" s="25">
        <f>IFERROR(IF(SUMIFS(tblDaily[TransfersIn],tblDaily[EntryDate],DATE(2026,6,19),tblDaily[WardCode],"FAE")=0,"",SUMIFS(tblDaily[TransfersIn],tblDaily[EntryDate],DATE(2026,6,19),tblDaily[WardCode],"FAE")),"")</f>
        <v/>
      </c>
      <c r="N226" s="25">
        <f>IFERROR(IF(SUMIFS(tblDaily[TransfersOut],tblDaily[EntryDate],DATE(2026,6,19),tblDaily[WardCode],"FAE")=0,"",SUMIFS(tblDaily[TransfersOut],tblDaily[EntryDate],DATE(2026,6,19),tblDaily[WardCode],"FAE")),"")</f>
        <v/>
      </c>
      <c r="O226" s="25">
        <f>IFERROR(IF(SUMIFS(tblDaily[Remaining],tblDaily[EntryDate],DATE(2026,6,19),tblDaily[WardCode],"FAE")=0,"",SUMIFS(tblDaily[Remaining],tblDaily[EntryDate],DATE(2026,6,19),tblDaily[WardCode],"FAE")),"")</f>
        <v/>
      </c>
      <c r="P226" s="26">
        <f>IF(AND(H226="", O226=""), "", N(H226) + N(O226))</f>
        <v/>
      </c>
    </row>
    <row r="227">
      <c r="A227" s="25" t="n">
        <v>20</v>
      </c>
      <c r="B227" s="25">
        <f>IFERROR(IF(SUMIFS(tblDaily[Admissions],tblDaily[EntryDate],DATE(2026,6,20),tblDaily[WardCode],"MAE")=0,"",SUMIFS(tblDaily[Admissions],tblDaily[EntryDate],DATE(2026,6,20),tblDaily[WardCode],"MAE")),"")</f>
        <v/>
      </c>
      <c r="C227" s="25">
        <f>IFERROR(IF(SUMIFS(tblDaily[Discharges],tblDaily[EntryDate],DATE(2026,6,20),tblDaily[WardCode],"MAE")=0,"",SUMIFS(tblDaily[Discharges],tblDaily[EntryDate],DATE(2026,6,20),tblDaily[WardCode],"MAE")),"")</f>
        <v/>
      </c>
      <c r="D227" s="25">
        <f>IFERROR(IF(SUMIFS(tblDaily[Deaths],tblDaily[EntryDate],DATE(2026,6,20),tblDaily[WardCode],"MAE")=0,"",SUMIFS(tblDaily[Deaths],tblDaily[EntryDate],DATE(2026,6,20),tblDaily[WardCode],"MAE")),"")</f>
        <v/>
      </c>
      <c r="E227" s="25">
        <f>IFERROR(IF(SUMIFS(tblDaily[DeathsUnder24Hrs],tblDaily[EntryDate],DATE(2026,6,20),tblDaily[WardCode],"MAE")=0,"",SUMIFS(tblDaily[DeathsUnder24Hrs],tblDaily[EntryDate],DATE(2026,6,20),tblDaily[WardCode],"MAE")),"")</f>
        <v/>
      </c>
      <c r="F227" s="25">
        <f>IFERROR(IF(SUMIFS(tblDaily[TransfersIn],tblDaily[EntryDate],DATE(2026,6,20),tblDaily[WardCode],"MAE")=0,"",SUMIFS(tblDaily[TransfersIn],tblDaily[EntryDate],DATE(2026,6,20),tblDaily[WardCode],"MAE")),"")</f>
        <v/>
      </c>
      <c r="G227" s="25">
        <f>IFERROR(IF(SUMIFS(tblDaily[TransfersOut],tblDaily[EntryDate],DATE(2026,6,20),tblDaily[WardCode],"MAE")=0,"",SUMIFS(tblDaily[TransfersOut],tblDaily[EntryDate],DATE(2026,6,20),tblDaily[WardCode],"MAE")),"")</f>
        <v/>
      </c>
      <c r="H227" s="25">
        <f>IFERROR(IF(SUMIFS(tblDaily[Remaining],tblDaily[EntryDate],DATE(2026,6,20),tblDaily[WardCode],"MAE")=0,"",SUMIFS(tblDaily[Remaining],tblDaily[EntryDate],DATE(2026,6,20),tblDaily[WardCode],"MAE")),"")</f>
        <v/>
      </c>
      <c r="I227" s="25">
        <f>IFERROR(IF(SUMIFS(tblDaily[Admissions],tblDaily[EntryDate],DATE(2026,6,20),tblDaily[WardCode],"FAE")=0,"",SUMIFS(tblDaily[Admissions],tblDaily[EntryDate],DATE(2026,6,20),tblDaily[WardCode],"FAE")),"")</f>
        <v/>
      </c>
      <c r="J227" s="25">
        <f>IFERROR(IF(SUMIFS(tblDaily[Discharges],tblDaily[EntryDate],DATE(2026,6,20),tblDaily[WardCode],"FAE")=0,"",SUMIFS(tblDaily[Discharges],tblDaily[EntryDate],DATE(2026,6,20),tblDaily[WardCode],"FAE")),"")</f>
        <v/>
      </c>
      <c r="K227" s="25">
        <f>IFERROR(IF(SUMIFS(tblDaily[Deaths],tblDaily[EntryDate],DATE(2026,6,20),tblDaily[WardCode],"FAE")=0,"",SUMIFS(tblDaily[Deaths],tblDaily[EntryDate],DATE(2026,6,20),tblDaily[WardCode],"FAE")),"")</f>
        <v/>
      </c>
      <c r="L227" s="25">
        <f>IFERROR(IF(SUMIFS(tblDaily[DeathsUnder24Hrs],tblDaily[EntryDate],DATE(2026,6,20),tblDaily[WardCode],"FAE")=0,"",SUMIFS(tblDaily[DeathsUnder24Hrs],tblDaily[EntryDate],DATE(2026,6,20),tblDaily[WardCode],"FAE")),"")</f>
        <v/>
      </c>
      <c r="M227" s="25">
        <f>IFERROR(IF(SUMIFS(tblDaily[TransfersIn],tblDaily[EntryDate],DATE(2026,6,20),tblDaily[WardCode],"FAE")=0,"",SUMIFS(tblDaily[TransfersIn],tblDaily[EntryDate],DATE(2026,6,20),tblDaily[WardCode],"FAE")),"")</f>
        <v/>
      </c>
      <c r="N227" s="25">
        <f>IFERROR(IF(SUMIFS(tblDaily[TransfersOut],tblDaily[EntryDate],DATE(2026,6,20),tblDaily[WardCode],"FAE")=0,"",SUMIFS(tblDaily[TransfersOut],tblDaily[EntryDate],DATE(2026,6,20),tblDaily[WardCode],"FAE")),"")</f>
        <v/>
      </c>
      <c r="O227" s="25">
        <f>IFERROR(IF(SUMIFS(tblDaily[Remaining],tblDaily[EntryDate],DATE(2026,6,20),tblDaily[WardCode],"FAE")=0,"",SUMIFS(tblDaily[Remaining],tblDaily[EntryDate],DATE(2026,6,20),tblDaily[WardCode],"FAE")),"")</f>
        <v/>
      </c>
      <c r="P227" s="26">
        <f>IF(AND(H227="", O227=""), "", N(H227) + N(O227))</f>
        <v/>
      </c>
    </row>
    <row r="228">
      <c r="A228" s="25" t="n">
        <v>21</v>
      </c>
      <c r="B228" s="25">
        <f>IFERROR(IF(SUMIFS(tblDaily[Admissions],tblDaily[EntryDate],DATE(2026,6,21),tblDaily[WardCode],"MAE")=0,"",SUMIFS(tblDaily[Admissions],tblDaily[EntryDate],DATE(2026,6,21),tblDaily[WardCode],"MAE")),"")</f>
        <v/>
      </c>
      <c r="C228" s="25">
        <f>IFERROR(IF(SUMIFS(tblDaily[Discharges],tblDaily[EntryDate],DATE(2026,6,21),tblDaily[WardCode],"MAE")=0,"",SUMIFS(tblDaily[Discharges],tblDaily[EntryDate],DATE(2026,6,21),tblDaily[WardCode],"MAE")),"")</f>
        <v/>
      </c>
      <c r="D228" s="25">
        <f>IFERROR(IF(SUMIFS(tblDaily[Deaths],tblDaily[EntryDate],DATE(2026,6,21),tblDaily[WardCode],"MAE")=0,"",SUMIFS(tblDaily[Deaths],tblDaily[EntryDate],DATE(2026,6,21),tblDaily[WardCode],"MAE")),"")</f>
        <v/>
      </c>
      <c r="E228" s="25">
        <f>IFERROR(IF(SUMIFS(tblDaily[DeathsUnder24Hrs],tblDaily[EntryDate],DATE(2026,6,21),tblDaily[WardCode],"MAE")=0,"",SUMIFS(tblDaily[DeathsUnder24Hrs],tblDaily[EntryDate],DATE(2026,6,21),tblDaily[WardCode],"MAE")),"")</f>
        <v/>
      </c>
      <c r="F228" s="25">
        <f>IFERROR(IF(SUMIFS(tblDaily[TransfersIn],tblDaily[EntryDate],DATE(2026,6,21),tblDaily[WardCode],"MAE")=0,"",SUMIFS(tblDaily[TransfersIn],tblDaily[EntryDate],DATE(2026,6,21),tblDaily[WardCode],"MAE")),"")</f>
        <v/>
      </c>
      <c r="G228" s="25">
        <f>IFERROR(IF(SUMIFS(tblDaily[TransfersOut],tblDaily[EntryDate],DATE(2026,6,21),tblDaily[WardCode],"MAE")=0,"",SUMIFS(tblDaily[TransfersOut],tblDaily[EntryDate],DATE(2026,6,21),tblDaily[WardCode],"MAE")),"")</f>
        <v/>
      </c>
      <c r="H228" s="25">
        <f>IFERROR(IF(SUMIFS(tblDaily[Remaining],tblDaily[EntryDate],DATE(2026,6,21),tblDaily[WardCode],"MAE")=0,"",SUMIFS(tblDaily[Remaining],tblDaily[EntryDate],DATE(2026,6,21),tblDaily[WardCode],"MAE")),"")</f>
        <v/>
      </c>
      <c r="I228" s="25">
        <f>IFERROR(IF(SUMIFS(tblDaily[Admissions],tblDaily[EntryDate],DATE(2026,6,21),tblDaily[WardCode],"FAE")=0,"",SUMIFS(tblDaily[Admissions],tblDaily[EntryDate],DATE(2026,6,21),tblDaily[WardCode],"FAE")),"")</f>
        <v/>
      </c>
      <c r="J228" s="25">
        <f>IFERROR(IF(SUMIFS(tblDaily[Discharges],tblDaily[EntryDate],DATE(2026,6,21),tblDaily[WardCode],"FAE")=0,"",SUMIFS(tblDaily[Discharges],tblDaily[EntryDate],DATE(2026,6,21),tblDaily[WardCode],"FAE")),"")</f>
        <v/>
      </c>
      <c r="K228" s="25">
        <f>IFERROR(IF(SUMIFS(tblDaily[Deaths],tblDaily[EntryDate],DATE(2026,6,21),tblDaily[WardCode],"FAE")=0,"",SUMIFS(tblDaily[Deaths],tblDaily[EntryDate],DATE(2026,6,21),tblDaily[WardCode],"FAE")),"")</f>
        <v/>
      </c>
      <c r="L228" s="25">
        <f>IFERROR(IF(SUMIFS(tblDaily[DeathsUnder24Hrs],tblDaily[EntryDate],DATE(2026,6,21),tblDaily[WardCode],"FAE")=0,"",SUMIFS(tblDaily[DeathsUnder24Hrs],tblDaily[EntryDate],DATE(2026,6,21),tblDaily[WardCode],"FAE")),"")</f>
        <v/>
      </c>
      <c r="M228" s="25">
        <f>IFERROR(IF(SUMIFS(tblDaily[TransfersIn],tblDaily[EntryDate],DATE(2026,6,21),tblDaily[WardCode],"FAE")=0,"",SUMIFS(tblDaily[TransfersIn],tblDaily[EntryDate],DATE(2026,6,21),tblDaily[WardCode],"FAE")),"")</f>
        <v/>
      </c>
      <c r="N228" s="25">
        <f>IFERROR(IF(SUMIFS(tblDaily[TransfersOut],tblDaily[EntryDate],DATE(2026,6,21),tblDaily[WardCode],"FAE")=0,"",SUMIFS(tblDaily[TransfersOut],tblDaily[EntryDate],DATE(2026,6,21),tblDaily[WardCode],"FAE")),"")</f>
        <v/>
      </c>
      <c r="O228" s="25">
        <f>IFERROR(IF(SUMIFS(tblDaily[Remaining],tblDaily[EntryDate],DATE(2026,6,21),tblDaily[WardCode],"FAE")=0,"",SUMIFS(tblDaily[Remaining],tblDaily[EntryDate],DATE(2026,6,21),tblDaily[WardCode],"FAE")),"")</f>
        <v/>
      </c>
      <c r="P228" s="26">
        <f>IF(AND(H228="", O228=""), "", N(H228) + N(O228))</f>
        <v/>
      </c>
    </row>
    <row r="229">
      <c r="A229" s="25" t="n">
        <v>22</v>
      </c>
      <c r="B229" s="25">
        <f>IFERROR(IF(SUMIFS(tblDaily[Admissions],tblDaily[EntryDate],DATE(2026,6,22),tblDaily[WardCode],"MAE")=0,"",SUMIFS(tblDaily[Admissions],tblDaily[EntryDate],DATE(2026,6,22),tblDaily[WardCode],"MAE")),"")</f>
        <v/>
      </c>
      <c r="C229" s="25">
        <f>IFERROR(IF(SUMIFS(tblDaily[Discharges],tblDaily[EntryDate],DATE(2026,6,22),tblDaily[WardCode],"MAE")=0,"",SUMIFS(tblDaily[Discharges],tblDaily[EntryDate],DATE(2026,6,22),tblDaily[WardCode],"MAE")),"")</f>
        <v/>
      </c>
      <c r="D229" s="25">
        <f>IFERROR(IF(SUMIFS(tblDaily[Deaths],tblDaily[EntryDate],DATE(2026,6,22),tblDaily[WardCode],"MAE")=0,"",SUMIFS(tblDaily[Deaths],tblDaily[EntryDate],DATE(2026,6,22),tblDaily[WardCode],"MAE")),"")</f>
        <v/>
      </c>
      <c r="E229" s="25">
        <f>IFERROR(IF(SUMIFS(tblDaily[DeathsUnder24Hrs],tblDaily[EntryDate],DATE(2026,6,22),tblDaily[WardCode],"MAE")=0,"",SUMIFS(tblDaily[DeathsUnder24Hrs],tblDaily[EntryDate],DATE(2026,6,22),tblDaily[WardCode],"MAE")),"")</f>
        <v/>
      </c>
      <c r="F229" s="25">
        <f>IFERROR(IF(SUMIFS(tblDaily[TransfersIn],tblDaily[EntryDate],DATE(2026,6,22),tblDaily[WardCode],"MAE")=0,"",SUMIFS(tblDaily[TransfersIn],tblDaily[EntryDate],DATE(2026,6,22),tblDaily[WardCode],"MAE")),"")</f>
        <v/>
      </c>
      <c r="G229" s="25">
        <f>IFERROR(IF(SUMIFS(tblDaily[TransfersOut],tblDaily[EntryDate],DATE(2026,6,22),tblDaily[WardCode],"MAE")=0,"",SUMIFS(tblDaily[TransfersOut],tblDaily[EntryDate],DATE(2026,6,22),tblDaily[WardCode],"MAE")),"")</f>
        <v/>
      </c>
      <c r="H229" s="25">
        <f>IFERROR(IF(SUMIFS(tblDaily[Remaining],tblDaily[EntryDate],DATE(2026,6,22),tblDaily[WardCode],"MAE")=0,"",SUMIFS(tblDaily[Remaining],tblDaily[EntryDate],DATE(2026,6,22),tblDaily[WardCode],"MAE")),"")</f>
        <v/>
      </c>
      <c r="I229" s="25">
        <f>IFERROR(IF(SUMIFS(tblDaily[Admissions],tblDaily[EntryDate],DATE(2026,6,22),tblDaily[WardCode],"FAE")=0,"",SUMIFS(tblDaily[Admissions],tblDaily[EntryDate],DATE(2026,6,22),tblDaily[WardCode],"FAE")),"")</f>
        <v/>
      </c>
      <c r="J229" s="25">
        <f>IFERROR(IF(SUMIFS(tblDaily[Discharges],tblDaily[EntryDate],DATE(2026,6,22),tblDaily[WardCode],"FAE")=0,"",SUMIFS(tblDaily[Discharges],tblDaily[EntryDate],DATE(2026,6,22),tblDaily[WardCode],"FAE")),"")</f>
        <v/>
      </c>
      <c r="K229" s="25">
        <f>IFERROR(IF(SUMIFS(tblDaily[Deaths],tblDaily[EntryDate],DATE(2026,6,22),tblDaily[WardCode],"FAE")=0,"",SUMIFS(tblDaily[Deaths],tblDaily[EntryDate],DATE(2026,6,22),tblDaily[WardCode],"FAE")),"")</f>
        <v/>
      </c>
      <c r="L229" s="25">
        <f>IFERROR(IF(SUMIFS(tblDaily[DeathsUnder24Hrs],tblDaily[EntryDate],DATE(2026,6,22),tblDaily[WardCode],"FAE")=0,"",SUMIFS(tblDaily[DeathsUnder24Hrs],tblDaily[EntryDate],DATE(2026,6,22),tblDaily[WardCode],"FAE")),"")</f>
        <v/>
      </c>
      <c r="M229" s="25">
        <f>IFERROR(IF(SUMIFS(tblDaily[TransfersIn],tblDaily[EntryDate],DATE(2026,6,22),tblDaily[WardCode],"FAE")=0,"",SUMIFS(tblDaily[TransfersIn],tblDaily[EntryDate],DATE(2026,6,22),tblDaily[WardCode],"FAE")),"")</f>
        <v/>
      </c>
      <c r="N229" s="25">
        <f>IFERROR(IF(SUMIFS(tblDaily[TransfersOut],tblDaily[EntryDate],DATE(2026,6,22),tblDaily[WardCode],"FAE")=0,"",SUMIFS(tblDaily[TransfersOut],tblDaily[EntryDate],DATE(2026,6,22),tblDaily[WardCode],"FAE")),"")</f>
        <v/>
      </c>
      <c r="O229" s="25">
        <f>IFERROR(IF(SUMIFS(tblDaily[Remaining],tblDaily[EntryDate],DATE(2026,6,22),tblDaily[WardCode],"FAE")=0,"",SUMIFS(tblDaily[Remaining],tblDaily[EntryDate],DATE(2026,6,22),tblDaily[WardCode],"FAE")),"")</f>
        <v/>
      </c>
      <c r="P229" s="26">
        <f>IF(AND(H229="", O229=""), "", N(H229) + N(O229))</f>
        <v/>
      </c>
    </row>
    <row r="230">
      <c r="A230" s="25" t="n">
        <v>23</v>
      </c>
      <c r="B230" s="25">
        <f>IFERROR(IF(SUMIFS(tblDaily[Admissions],tblDaily[EntryDate],DATE(2026,6,23),tblDaily[WardCode],"MAE")=0,"",SUMIFS(tblDaily[Admissions],tblDaily[EntryDate],DATE(2026,6,23),tblDaily[WardCode],"MAE")),"")</f>
        <v/>
      </c>
      <c r="C230" s="25">
        <f>IFERROR(IF(SUMIFS(tblDaily[Discharges],tblDaily[EntryDate],DATE(2026,6,23),tblDaily[WardCode],"MAE")=0,"",SUMIFS(tblDaily[Discharges],tblDaily[EntryDate],DATE(2026,6,23),tblDaily[WardCode],"MAE")),"")</f>
        <v/>
      </c>
      <c r="D230" s="25">
        <f>IFERROR(IF(SUMIFS(tblDaily[Deaths],tblDaily[EntryDate],DATE(2026,6,23),tblDaily[WardCode],"MAE")=0,"",SUMIFS(tblDaily[Deaths],tblDaily[EntryDate],DATE(2026,6,23),tblDaily[WardCode],"MAE")),"")</f>
        <v/>
      </c>
      <c r="E230" s="25">
        <f>IFERROR(IF(SUMIFS(tblDaily[DeathsUnder24Hrs],tblDaily[EntryDate],DATE(2026,6,23),tblDaily[WardCode],"MAE")=0,"",SUMIFS(tblDaily[DeathsUnder24Hrs],tblDaily[EntryDate],DATE(2026,6,23),tblDaily[WardCode],"MAE")),"")</f>
        <v/>
      </c>
      <c r="F230" s="25">
        <f>IFERROR(IF(SUMIFS(tblDaily[TransfersIn],tblDaily[EntryDate],DATE(2026,6,23),tblDaily[WardCode],"MAE")=0,"",SUMIFS(tblDaily[TransfersIn],tblDaily[EntryDate],DATE(2026,6,23),tblDaily[WardCode],"MAE")),"")</f>
        <v/>
      </c>
      <c r="G230" s="25">
        <f>IFERROR(IF(SUMIFS(tblDaily[TransfersOut],tblDaily[EntryDate],DATE(2026,6,23),tblDaily[WardCode],"MAE")=0,"",SUMIFS(tblDaily[TransfersOut],tblDaily[EntryDate],DATE(2026,6,23),tblDaily[WardCode],"MAE")),"")</f>
        <v/>
      </c>
      <c r="H230" s="25">
        <f>IFERROR(IF(SUMIFS(tblDaily[Remaining],tblDaily[EntryDate],DATE(2026,6,23),tblDaily[WardCode],"MAE")=0,"",SUMIFS(tblDaily[Remaining],tblDaily[EntryDate],DATE(2026,6,23),tblDaily[WardCode],"MAE")),"")</f>
        <v/>
      </c>
      <c r="I230" s="25">
        <f>IFERROR(IF(SUMIFS(tblDaily[Admissions],tblDaily[EntryDate],DATE(2026,6,23),tblDaily[WardCode],"FAE")=0,"",SUMIFS(tblDaily[Admissions],tblDaily[EntryDate],DATE(2026,6,23),tblDaily[WardCode],"FAE")),"")</f>
        <v/>
      </c>
      <c r="J230" s="25">
        <f>IFERROR(IF(SUMIFS(tblDaily[Discharges],tblDaily[EntryDate],DATE(2026,6,23),tblDaily[WardCode],"FAE")=0,"",SUMIFS(tblDaily[Discharges],tblDaily[EntryDate],DATE(2026,6,23),tblDaily[WardCode],"FAE")),"")</f>
        <v/>
      </c>
      <c r="K230" s="25">
        <f>IFERROR(IF(SUMIFS(tblDaily[Deaths],tblDaily[EntryDate],DATE(2026,6,23),tblDaily[WardCode],"FAE")=0,"",SUMIFS(tblDaily[Deaths],tblDaily[EntryDate],DATE(2026,6,23),tblDaily[WardCode],"FAE")),"")</f>
        <v/>
      </c>
      <c r="L230" s="25">
        <f>IFERROR(IF(SUMIFS(tblDaily[DeathsUnder24Hrs],tblDaily[EntryDate],DATE(2026,6,23),tblDaily[WardCode],"FAE")=0,"",SUMIFS(tblDaily[DeathsUnder24Hrs],tblDaily[EntryDate],DATE(2026,6,23),tblDaily[WardCode],"FAE")),"")</f>
        <v/>
      </c>
      <c r="M230" s="25">
        <f>IFERROR(IF(SUMIFS(tblDaily[TransfersIn],tblDaily[EntryDate],DATE(2026,6,23),tblDaily[WardCode],"FAE")=0,"",SUMIFS(tblDaily[TransfersIn],tblDaily[EntryDate],DATE(2026,6,23),tblDaily[WardCode],"FAE")),"")</f>
        <v/>
      </c>
      <c r="N230" s="25">
        <f>IFERROR(IF(SUMIFS(tblDaily[TransfersOut],tblDaily[EntryDate],DATE(2026,6,23),tblDaily[WardCode],"FAE")=0,"",SUMIFS(tblDaily[TransfersOut],tblDaily[EntryDate],DATE(2026,6,23),tblDaily[WardCode],"FAE")),"")</f>
        <v/>
      </c>
      <c r="O230" s="25">
        <f>IFERROR(IF(SUMIFS(tblDaily[Remaining],tblDaily[EntryDate],DATE(2026,6,23),tblDaily[WardCode],"FAE")=0,"",SUMIFS(tblDaily[Remaining],tblDaily[EntryDate],DATE(2026,6,23),tblDaily[WardCode],"FAE")),"")</f>
        <v/>
      </c>
      <c r="P230" s="26">
        <f>IF(AND(H230="", O230=""), "", N(H230) + N(O230))</f>
        <v/>
      </c>
    </row>
    <row r="231">
      <c r="A231" s="25" t="n">
        <v>24</v>
      </c>
      <c r="B231" s="25">
        <f>IFERROR(IF(SUMIFS(tblDaily[Admissions],tblDaily[EntryDate],DATE(2026,6,24),tblDaily[WardCode],"MAE")=0,"",SUMIFS(tblDaily[Admissions],tblDaily[EntryDate],DATE(2026,6,24),tblDaily[WardCode],"MAE")),"")</f>
        <v/>
      </c>
      <c r="C231" s="25">
        <f>IFERROR(IF(SUMIFS(tblDaily[Discharges],tblDaily[EntryDate],DATE(2026,6,24),tblDaily[WardCode],"MAE")=0,"",SUMIFS(tblDaily[Discharges],tblDaily[EntryDate],DATE(2026,6,24),tblDaily[WardCode],"MAE")),"")</f>
        <v/>
      </c>
      <c r="D231" s="25">
        <f>IFERROR(IF(SUMIFS(tblDaily[Deaths],tblDaily[EntryDate],DATE(2026,6,24),tblDaily[WardCode],"MAE")=0,"",SUMIFS(tblDaily[Deaths],tblDaily[EntryDate],DATE(2026,6,24),tblDaily[WardCode],"MAE")),"")</f>
        <v/>
      </c>
      <c r="E231" s="25">
        <f>IFERROR(IF(SUMIFS(tblDaily[DeathsUnder24Hrs],tblDaily[EntryDate],DATE(2026,6,24),tblDaily[WardCode],"MAE")=0,"",SUMIFS(tblDaily[DeathsUnder24Hrs],tblDaily[EntryDate],DATE(2026,6,24),tblDaily[WardCode],"MAE")),"")</f>
        <v/>
      </c>
      <c r="F231" s="25">
        <f>IFERROR(IF(SUMIFS(tblDaily[TransfersIn],tblDaily[EntryDate],DATE(2026,6,24),tblDaily[WardCode],"MAE")=0,"",SUMIFS(tblDaily[TransfersIn],tblDaily[EntryDate],DATE(2026,6,24),tblDaily[WardCode],"MAE")),"")</f>
        <v/>
      </c>
      <c r="G231" s="25">
        <f>IFERROR(IF(SUMIFS(tblDaily[TransfersOut],tblDaily[EntryDate],DATE(2026,6,24),tblDaily[WardCode],"MAE")=0,"",SUMIFS(tblDaily[TransfersOut],tblDaily[EntryDate],DATE(2026,6,24),tblDaily[WardCode],"MAE")),"")</f>
        <v/>
      </c>
      <c r="H231" s="25">
        <f>IFERROR(IF(SUMIFS(tblDaily[Remaining],tblDaily[EntryDate],DATE(2026,6,24),tblDaily[WardCode],"MAE")=0,"",SUMIFS(tblDaily[Remaining],tblDaily[EntryDate],DATE(2026,6,24),tblDaily[WardCode],"MAE")),"")</f>
        <v/>
      </c>
      <c r="I231" s="25">
        <f>IFERROR(IF(SUMIFS(tblDaily[Admissions],tblDaily[EntryDate],DATE(2026,6,24),tblDaily[WardCode],"FAE")=0,"",SUMIFS(tblDaily[Admissions],tblDaily[EntryDate],DATE(2026,6,24),tblDaily[WardCode],"FAE")),"")</f>
        <v/>
      </c>
      <c r="J231" s="25">
        <f>IFERROR(IF(SUMIFS(tblDaily[Discharges],tblDaily[EntryDate],DATE(2026,6,24),tblDaily[WardCode],"FAE")=0,"",SUMIFS(tblDaily[Discharges],tblDaily[EntryDate],DATE(2026,6,24),tblDaily[WardCode],"FAE")),"")</f>
        <v/>
      </c>
      <c r="K231" s="25">
        <f>IFERROR(IF(SUMIFS(tblDaily[Deaths],tblDaily[EntryDate],DATE(2026,6,24),tblDaily[WardCode],"FAE")=0,"",SUMIFS(tblDaily[Deaths],tblDaily[EntryDate],DATE(2026,6,24),tblDaily[WardCode],"FAE")),"")</f>
        <v/>
      </c>
      <c r="L231" s="25">
        <f>IFERROR(IF(SUMIFS(tblDaily[DeathsUnder24Hrs],tblDaily[EntryDate],DATE(2026,6,24),tblDaily[WardCode],"FAE")=0,"",SUMIFS(tblDaily[DeathsUnder24Hrs],tblDaily[EntryDate],DATE(2026,6,24),tblDaily[WardCode],"FAE")),"")</f>
        <v/>
      </c>
      <c r="M231" s="25">
        <f>IFERROR(IF(SUMIFS(tblDaily[TransfersIn],tblDaily[EntryDate],DATE(2026,6,24),tblDaily[WardCode],"FAE")=0,"",SUMIFS(tblDaily[TransfersIn],tblDaily[EntryDate],DATE(2026,6,24),tblDaily[WardCode],"FAE")),"")</f>
        <v/>
      </c>
      <c r="N231" s="25">
        <f>IFERROR(IF(SUMIFS(tblDaily[TransfersOut],tblDaily[EntryDate],DATE(2026,6,24),tblDaily[WardCode],"FAE")=0,"",SUMIFS(tblDaily[TransfersOut],tblDaily[EntryDate],DATE(2026,6,24),tblDaily[WardCode],"FAE")),"")</f>
        <v/>
      </c>
      <c r="O231" s="25">
        <f>IFERROR(IF(SUMIFS(tblDaily[Remaining],tblDaily[EntryDate],DATE(2026,6,24),tblDaily[WardCode],"FAE")=0,"",SUMIFS(tblDaily[Remaining],tblDaily[EntryDate],DATE(2026,6,24),tblDaily[WardCode],"FAE")),"")</f>
        <v/>
      </c>
      <c r="P231" s="26">
        <f>IF(AND(H231="", O231=""), "", N(H231) + N(O231))</f>
        <v/>
      </c>
    </row>
    <row r="232">
      <c r="A232" s="25" t="n">
        <v>25</v>
      </c>
      <c r="B232" s="25">
        <f>IFERROR(IF(SUMIFS(tblDaily[Admissions],tblDaily[EntryDate],DATE(2026,6,25),tblDaily[WardCode],"MAE")=0,"",SUMIFS(tblDaily[Admissions],tblDaily[EntryDate],DATE(2026,6,25),tblDaily[WardCode],"MAE")),"")</f>
        <v/>
      </c>
      <c r="C232" s="25">
        <f>IFERROR(IF(SUMIFS(tblDaily[Discharges],tblDaily[EntryDate],DATE(2026,6,25),tblDaily[WardCode],"MAE")=0,"",SUMIFS(tblDaily[Discharges],tblDaily[EntryDate],DATE(2026,6,25),tblDaily[WardCode],"MAE")),"")</f>
        <v/>
      </c>
      <c r="D232" s="25">
        <f>IFERROR(IF(SUMIFS(tblDaily[Deaths],tblDaily[EntryDate],DATE(2026,6,25),tblDaily[WardCode],"MAE")=0,"",SUMIFS(tblDaily[Deaths],tblDaily[EntryDate],DATE(2026,6,25),tblDaily[WardCode],"MAE")),"")</f>
        <v/>
      </c>
      <c r="E232" s="25">
        <f>IFERROR(IF(SUMIFS(tblDaily[DeathsUnder24Hrs],tblDaily[EntryDate],DATE(2026,6,25),tblDaily[WardCode],"MAE")=0,"",SUMIFS(tblDaily[DeathsUnder24Hrs],tblDaily[EntryDate],DATE(2026,6,25),tblDaily[WardCode],"MAE")),"")</f>
        <v/>
      </c>
      <c r="F232" s="25">
        <f>IFERROR(IF(SUMIFS(tblDaily[TransfersIn],tblDaily[EntryDate],DATE(2026,6,25),tblDaily[WardCode],"MAE")=0,"",SUMIFS(tblDaily[TransfersIn],tblDaily[EntryDate],DATE(2026,6,25),tblDaily[WardCode],"MAE")),"")</f>
        <v/>
      </c>
      <c r="G232" s="25">
        <f>IFERROR(IF(SUMIFS(tblDaily[TransfersOut],tblDaily[EntryDate],DATE(2026,6,25),tblDaily[WardCode],"MAE")=0,"",SUMIFS(tblDaily[TransfersOut],tblDaily[EntryDate],DATE(2026,6,25),tblDaily[WardCode],"MAE")),"")</f>
        <v/>
      </c>
      <c r="H232" s="25">
        <f>IFERROR(IF(SUMIFS(tblDaily[Remaining],tblDaily[EntryDate],DATE(2026,6,25),tblDaily[WardCode],"MAE")=0,"",SUMIFS(tblDaily[Remaining],tblDaily[EntryDate],DATE(2026,6,25),tblDaily[WardCode],"MAE")),"")</f>
        <v/>
      </c>
      <c r="I232" s="25">
        <f>IFERROR(IF(SUMIFS(tblDaily[Admissions],tblDaily[EntryDate],DATE(2026,6,25),tblDaily[WardCode],"FAE")=0,"",SUMIFS(tblDaily[Admissions],tblDaily[EntryDate],DATE(2026,6,25),tblDaily[WardCode],"FAE")),"")</f>
        <v/>
      </c>
      <c r="J232" s="25">
        <f>IFERROR(IF(SUMIFS(tblDaily[Discharges],tblDaily[EntryDate],DATE(2026,6,25),tblDaily[WardCode],"FAE")=0,"",SUMIFS(tblDaily[Discharges],tblDaily[EntryDate],DATE(2026,6,25),tblDaily[WardCode],"FAE")),"")</f>
        <v/>
      </c>
      <c r="K232" s="25">
        <f>IFERROR(IF(SUMIFS(tblDaily[Deaths],tblDaily[EntryDate],DATE(2026,6,25),tblDaily[WardCode],"FAE")=0,"",SUMIFS(tblDaily[Deaths],tblDaily[EntryDate],DATE(2026,6,25),tblDaily[WardCode],"FAE")),"")</f>
        <v/>
      </c>
      <c r="L232" s="25">
        <f>IFERROR(IF(SUMIFS(tblDaily[DeathsUnder24Hrs],tblDaily[EntryDate],DATE(2026,6,25),tblDaily[WardCode],"FAE")=0,"",SUMIFS(tblDaily[DeathsUnder24Hrs],tblDaily[EntryDate],DATE(2026,6,25),tblDaily[WardCode],"FAE")),"")</f>
        <v/>
      </c>
      <c r="M232" s="25">
        <f>IFERROR(IF(SUMIFS(tblDaily[TransfersIn],tblDaily[EntryDate],DATE(2026,6,25),tblDaily[WardCode],"FAE")=0,"",SUMIFS(tblDaily[TransfersIn],tblDaily[EntryDate],DATE(2026,6,25),tblDaily[WardCode],"FAE")),"")</f>
        <v/>
      </c>
      <c r="N232" s="25">
        <f>IFERROR(IF(SUMIFS(tblDaily[TransfersOut],tblDaily[EntryDate],DATE(2026,6,25),tblDaily[WardCode],"FAE")=0,"",SUMIFS(tblDaily[TransfersOut],tblDaily[EntryDate],DATE(2026,6,25),tblDaily[WardCode],"FAE")),"")</f>
        <v/>
      </c>
      <c r="O232" s="25">
        <f>IFERROR(IF(SUMIFS(tblDaily[Remaining],tblDaily[EntryDate],DATE(2026,6,25),tblDaily[WardCode],"FAE")=0,"",SUMIFS(tblDaily[Remaining],tblDaily[EntryDate],DATE(2026,6,25),tblDaily[WardCode],"FAE")),"")</f>
        <v/>
      </c>
      <c r="P232" s="26">
        <f>IF(AND(H232="", O232=""), "", N(H232) + N(O232))</f>
        <v/>
      </c>
    </row>
    <row r="233">
      <c r="A233" s="25" t="n">
        <v>26</v>
      </c>
      <c r="B233" s="25">
        <f>IFERROR(IF(SUMIFS(tblDaily[Admissions],tblDaily[EntryDate],DATE(2026,6,26),tblDaily[WardCode],"MAE")=0,"",SUMIFS(tblDaily[Admissions],tblDaily[EntryDate],DATE(2026,6,26),tblDaily[WardCode],"MAE")),"")</f>
        <v/>
      </c>
      <c r="C233" s="25">
        <f>IFERROR(IF(SUMIFS(tblDaily[Discharges],tblDaily[EntryDate],DATE(2026,6,26),tblDaily[WardCode],"MAE")=0,"",SUMIFS(tblDaily[Discharges],tblDaily[EntryDate],DATE(2026,6,26),tblDaily[WardCode],"MAE")),"")</f>
        <v/>
      </c>
      <c r="D233" s="25">
        <f>IFERROR(IF(SUMIFS(tblDaily[Deaths],tblDaily[EntryDate],DATE(2026,6,26),tblDaily[WardCode],"MAE")=0,"",SUMIFS(tblDaily[Deaths],tblDaily[EntryDate],DATE(2026,6,26),tblDaily[WardCode],"MAE")),"")</f>
        <v/>
      </c>
      <c r="E233" s="25">
        <f>IFERROR(IF(SUMIFS(tblDaily[DeathsUnder24Hrs],tblDaily[EntryDate],DATE(2026,6,26),tblDaily[WardCode],"MAE")=0,"",SUMIFS(tblDaily[DeathsUnder24Hrs],tblDaily[EntryDate],DATE(2026,6,26),tblDaily[WardCode],"MAE")),"")</f>
        <v/>
      </c>
      <c r="F233" s="25">
        <f>IFERROR(IF(SUMIFS(tblDaily[TransfersIn],tblDaily[EntryDate],DATE(2026,6,26),tblDaily[WardCode],"MAE")=0,"",SUMIFS(tblDaily[TransfersIn],tblDaily[EntryDate],DATE(2026,6,26),tblDaily[WardCode],"MAE")),"")</f>
        <v/>
      </c>
      <c r="G233" s="25">
        <f>IFERROR(IF(SUMIFS(tblDaily[TransfersOut],tblDaily[EntryDate],DATE(2026,6,26),tblDaily[WardCode],"MAE")=0,"",SUMIFS(tblDaily[TransfersOut],tblDaily[EntryDate],DATE(2026,6,26),tblDaily[WardCode],"MAE")),"")</f>
        <v/>
      </c>
      <c r="H233" s="25">
        <f>IFERROR(IF(SUMIFS(tblDaily[Remaining],tblDaily[EntryDate],DATE(2026,6,26),tblDaily[WardCode],"MAE")=0,"",SUMIFS(tblDaily[Remaining],tblDaily[EntryDate],DATE(2026,6,26),tblDaily[WardCode],"MAE")),"")</f>
        <v/>
      </c>
      <c r="I233" s="25">
        <f>IFERROR(IF(SUMIFS(tblDaily[Admissions],tblDaily[EntryDate],DATE(2026,6,26),tblDaily[WardCode],"FAE")=0,"",SUMIFS(tblDaily[Admissions],tblDaily[EntryDate],DATE(2026,6,26),tblDaily[WardCode],"FAE")),"")</f>
        <v/>
      </c>
      <c r="J233" s="25">
        <f>IFERROR(IF(SUMIFS(tblDaily[Discharges],tblDaily[EntryDate],DATE(2026,6,26),tblDaily[WardCode],"FAE")=0,"",SUMIFS(tblDaily[Discharges],tblDaily[EntryDate],DATE(2026,6,26),tblDaily[WardCode],"FAE")),"")</f>
        <v/>
      </c>
      <c r="K233" s="25">
        <f>IFERROR(IF(SUMIFS(tblDaily[Deaths],tblDaily[EntryDate],DATE(2026,6,26),tblDaily[WardCode],"FAE")=0,"",SUMIFS(tblDaily[Deaths],tblDaily[EntryDate],DATE(2026,6,26),tblDaily[WardCode],"FAE")),"")</f>
        <v/>
      </c>
      <c r="L233" s="25">
        <f>IFERROR(IF(SUMIFS(tblDaily[DeathsUnder24Hrs],tblDaily[EntryDate],DATE(2026,6,26),tblDaily[WardCode],"FAE")=0,"",SUMIFS(tblDaily[DeathsUnder24Hrs],tblDaily[EntryDate],DATE(2026,6,26),tblDaily[WardCode],"FAE")),"")</f>
        <v/>
      </c>
      <c r="M233" s="25">
        <f>IFERROR(IF(SUMIFS(tblDaily[TransfersIn],tblDaily[EntryDate],DATE(2026,6,26),tblDaily[WardCode],"FAE")=0,"",SUMIFS(tblDaily[TransfersIn],tblDaily[EntryDate],DATE(2026,6,26),tblDaily[WardCode],"FAE")),"")</f>
        <v/>
      </c>
      <c r="N233" s="25">
        <f>IFERROR(IF(SUMIFS(tblDaily[TransfersOut],tblDaily[EntryDate],DATE(2026,6,26),tblDaily[WardCode],"FAE")=0,"",SUMIFS(tblDaily[TransfersOut],tblDaily[EntryDate],DATE(2026,6,26),tblDaily[WardCode],"FAE")),"")</f>
        <v/>
      </c>
      <c r="O233" s="25">
        <f>IFERROR(IF(SUMIFS(tblDaily[Remaining],tblDaily[EntryDate],DATE(2026,6,26),tblDaily[WardCode],"FAE")=0,"",SUMIFS(tblDaily[Remaining],tblDaily[EntryDate],DATE(2026,6,26),tblDaily[WardCode],"FAE")),"")</f>
        <v/>
      </c>
      <c r="P233" s="26">
        <f>IF(AND(H233="", O233=""), "", N(H233) + N(O233))</f>
        <v/>
      </c>
    </row>
    <row r="234">
      <c r="A234" s="25" t="n">
        <v>27</v>
      </c>
      <c r="B234" s="25">
        <f>IFERROR(IF(SUMIFS(tblDaily[Admissions],tblDaily[EntryDate],DATE(2026,6,27),tblDaily[WardCode],"MAE")=0,"",SUMIFS(tblDaily[Admissions],tblDaily[EntryDate],DATE(2026,6,27),tblDaily[WardCode],"MAE")),"")</f>
        <v/>
      </c>
      <c r="C234" s="25">
        <f>IFERROR(IF(SUMIFS(tblDaily[Discharges],tblDaily[EntryDate],DATE(2026,6,27),tblDaily[WardCode],"MAE")=0,"",SUMIFS(tblDaily[Discharges],tblDaily[EntryDate],DATE(2026,6,27),tblDaily[WardCode],"MAE")),"")</f>
        <v/>
      </c>
      <c r="D234" s="25">
        <f>IFERROR(IF(SUMIFS(tblDaily[Deaths],tblDaily[EntryDate],DATE(2026,6,27),tblDaily[WardCode],"MAE")=0,"",SUMIFS(tblDaily[Deaths],tblDaily[EntryDate],DATE(2026,6,27),tblDaily[WardCode],"MAE")),"")</f>
        <v/>
      </c>
      <c r="E234" s="25">
        <f>IFERROR(IF(SUMIFS(tblDaily[DeathsUnder24Hrs],tblDaily[EntryDate],DATE(2026,6,27),tblDaily[WardCode],"MAE")=0,"",SUMIFS(tblDaily[DeathsUnder24Hrs],tblDaily[EntryDate],DATE(2026,6,27),tblDaily[WardCode],"MAE")),"")</f>
        <v/>
      </c>
      <c r="F234" s="25">
        <f>IFERROR(IF(SUMIFS(tblDaily[TransfersIn],tblDaily[EntryDate],DATE(2026,6,27),tblDaily[WardCode],"MAE")=0,"",SUMIFS(tblDaily[TransfersIn],tblDaily[EntryDate],DATE(2026,6,27),tblDaily[WardCode],"MAE")),"")</f>
        <v/>
      </c>
      <c r="G234" s="25">
        <f>IFERROR(IF(SUMIFS(tblDaily[TransfersOut],tblDaily[EntryDate],DATE(2026,6,27),tblDaily[WardCode],"MAE")=0,"",SUMIFS(tblDaily[TransfersOut],tblDaily[EntryDate],DATE(2026,6,27),tblDaily[WardCode],"MAE")),"")</f>
        <v/>
      </c>
      <c r="H234" s="25">
        <f>IFERROR(IF(SUMIFS(tblDaily[Remaining],tblDaily[EntryDate],DATE(2026,6,27),tblDaily[WardCode],"MAE")=0,"",SUMIFS(tblDaily[Remaining],tblDaily[EntryDate],DATE(2026,6,27),tblDaily[WardCode],"MAE")),"")</f>
        <v/>
      </c>
      <c r="I234" s="25">
        <f>IFERROR(IF(SUMIFS(tblDaily[Admissions],tblDaily[EntryDate],DATE(2026,6,27),tblDaily[WardCode],"FAE")=0,"",SUMIFS(tblDaily[Admissions],tblDaily[EntryDate],DATE(2026,6,27),tblDaily[WardCode],"FAE")),"")</f>
        <v/>
      </c>
      <c r="J234" s="25">
        <f>IFERROR(IF(SUMIFS(tblDaily[Discharges],tblDaily[EntryDate],DATE(2026,6,27),tblDaily[WardCode],"FAE")=0,"",SUMIFS(tblDaily[Discharges],tblDaily[EntryDate],DATE(2026,6,27),tblDaily[WardCode],"FAE")),"")</f>
        <v/>
      </c>
      <c r="K234" s="25">
        <f>IFERROR(IF(SUMIFS(tblDaily[Deaths],tblDaily[EntryDate],DATE(2026,6,27),tblDaily[WardCode],"FAE")=0,"",SUMIFS(tblDaily[Deaths],tblDaily[EntryDate],DATE(2026,6,27),tblDaily[WardCode],"FAE")),"")</f>
        <v/>
      </c>
      <c r="L234" s="25">
        <f>IFERROR(IF(SUMIFS(tblDaily[DeathsUnder24Hrs],tblDaily[EntryDate],DATE(2026,6,27),tblDaily[WardCode],"FAE")=0,"",SUMIFS(tblDaily[DeathsUnder24Hrs],tblDaily[EntryDate],DATE(2026,6,27),tblDaily[WardCode],"FAE")),"")</f>
        <v/>
      </c>
      <c r="M234" s="25">
        <f>IFERROR(IF(SUMIFS(tblDaily[TransfersIn],tblDaily[EntryDate],DATE(2026,6,27),tblDaily[WardCode],"FAE")=0,"",SUMIFS(tblDaily[TransfersIn],tblDaily[EntryDate],DATE(2026,6,27),tblDaily[WardCode],"FAE")),"")</f>
        <v/>
      </c>
      <c r="N234" s="25">
        <f>IFERROR(IF(SUMIFS(tblDaily[TransfersOut],tblDaily[EntryDate],DATE(2026,6,27),tblDaily[WardCode],"FAE")=0,"",SUMIFS(tblDaily[TransfersOut],tblDaily[EntryDate],DATE(2026,6,27),tblDaily[WardCode],"FAE")),"")</f>
        <v/>
      </c>
      <c r="O234" s="25">
        <f>IFERROR(IF(SUMIFS(tblDaily[Remaining],tblDaily[EntryDate],DATE(2026,6,27),tblDaily[WardCode],"FAE")=0,"",SUMIFS(tblDaily[Remaining],tblDaily[EntryDate],DATE(2026,6,27),tblDaily[WardCode],"FAE")),"")</f>
        <v/>
      </c>
      <c r="P234" s="26">
        <f>IF(AND(H234="", O234=""), "", N(H234) + N(O234))</f>
        <v/>
      </c>
    </row>
    <row r="235">
      <c r="A235" s="25" t="n">
        <v>28</v>
      </c>
      <c r="B235" s="25">
        <f>IFERROR(IF(SUMIFS(tblDaily[Admissions],tblDaily[EntryDate],DATE(2026,6,28),tblDaily[WardCode],"MAE")=0,"",SUMIFS(tblDaily[Admissions],tblDaily[EntryDate],DATE(2026,6,28),tblDaily[WardCode],"MAE")),"")</f>
        <v/>
      </c>
      <c r="C235" s="25">
        <f>IFERROR(IF(SUMIFS(tblDaily[Discharges],tblDaily[EntryDate],DATE(2026,6,28),tblDaily[WardCode],"MAE")=0,"",SUMIFS(tblDaily[Discharges],tblDaily[EntryDate],DATE(2026,6,28),tblDaily[WardCode],"MAE")),"")</f>
        <v/>
      </c>
      <c r="D235" s="25">
        <f>IFERROR(IF(SUMIFS(tblDaily[Deaths],tblDaily[EntryDate],DATE(2026,6,28),tblDaily[WardCode],"MAE")=0,"",SUMIFS(tblDaily[Deaths],tblDaily[EntryDate],DATE(2026,6,28),tblDaily[WardCode],"MAE")),"")</f>
        <v/>
      </c>
      <c r="E235" s="25">
        <f>IFERROR(IF(SUMIFS(tblDaily[DeathsUnder24Hrs],tblDaily[EntryDate],DATE(2026,6,28),tblDaily[WardCode],"MAE")=0,"",SUMIFS(tblDaily[DeathsUnder24Hrs],tblDaily[EntryDate],DATE(2026,6,28),tblDaily[WardCode],"MAE")),"")</f>
        <v/>
      </c>
      <c r="F235" s="25">
        <f>IFERROR(IF(SUMIFS(tblDaily[TransfersIn],tblDaily[EntryDate],DATE(2026,6,28),tblDaily[WardCode],"MAE")=0,"",SUMIFS(tblDaily[TransfersIn],tblDaily[EntryDate],DATE(2026,6,28),tblDaily[WardCode],"MAE")),"")</f>
        <v/>
      </c>
      <c r="G235" s="25">
        <f>IFERROR(IF(SUMIFS(tblDaily[TransfersOut],tblDaily[EntryDate],DATE(2026,6,28),tblDaily[WardCode],"MAE")=0,"",SUMIFS(tblDaily[TransfersOut],tblDaily[EntryDate],DATE(2026,6,28),tblDaily[WardCode],"MAE")),"")</f>
        <v/>
      </c>
      <c r="H235" s="25">
        <f>IFERROR(IF(SUMIFS(tblDaily[Remaining],tblDaily[EntryDate],DATE(2026,6,28),tblDaily[WardCode],"MAE")=0,"",SUMIFS(tblDaily[Remaining],tblDaily[EntryDate],DATE(2026,6,28),tblDaily[WardCode],"MAE")),"")</f>
        <v/>
      </c>
      <c r="I235" s="25">
        <f>IFERROR(IF(SUMIFS(tblDaily[Admissions],tblDaily[EntryDate],DATE(2026,6,28),tblDaily[WardCode],"FAE")=0,"",SUMIFS(tblDaily[Admissions],tblDaily[EntryDate],DATE(2026,6,28),tblDaily[WardCode],"FAE")),"")</f>
        <v/>
      </c>
      <c r="J235" s="25">
        <f>IFERROR(IF(SUMIFS(tblDaily[Discharges],tblDaily[EntryDate],DATE(2026,6,28),tblDaily[WardCode],"FAE")=0,"",SUMIFS(tblDaily[Discharges],tblDaily[EntryDate],DATE(2026,6,28),tblDaily[WardCode],"FAE")),"")</f>
        <v/>
      </c>
      <c r="K235" s="25">
        <f>IFERROR(IF(SUMIFS(tblDaily[Deaths],tblDaily[EntryDate],DATE(2026,6,28),tblDaily[WardCode],"FAE")=0,"",SUMIFS(tblDaily[Deaths],tblDaily[EntryDate],DATE(2026,6,28),tblDaily[WardCode],"FAE")),"")</f>
        <v/>
      </c>
      <c r="L235" s="25">
        <f>IFERROR(IF(SUMIFS(tblDaily[DeathsUnder24Hrs],tblDaily[EntryDate],DATE(2026,6,28),tblDaily[WardCode],"FAE")=0,"",SUMIFS(tblDaily[DeathsUnder24Hrs],tblDaily[EntryDate],DATE(2026,6,28),tblDaily[WardCode],"FAE")),"")</f>
        <v/>
      </c>
      <c r="M235" s="25">
        <f>IFERROR(IF(SUMIFS(tblDaily[TransfersIn],tblDaily[EntryDate],DATE(2026,6,28),tblDaily[WardCode],"FAE")=0,"",SUMIFS(tblDaily[TransfersIn],tblDaily[EntryDate],DATE(2026,6,28),tblDaily[WardCode],"FAE")),"")</f>
        <v/>
      </c>
      <c r="N235" s="25">
        <f>IFERROR(IF(SUMIFS(tblDaily[TransfersOut],tblDaily[EntryDate],DATE(2026,6,28),tblDaily[WardCode],"FAE")=0,"",SUMIFS(tblDaily[TransfersOut],tblDaily[EntryDate],DATE(2026,6,28),tblDaily[WardCode],"FAE")),"")</f>
        <v/>
      </c>
      <c r="O235" s="25">
        <f>IFERROR(IF(SUMIFS(tblDaily[Remaining],tblDaily[EntryDate],DATE(2026,6,28),tblDaily[WardCode],"FAE")=0,"",SUMIFS(tblDaily[Remaining],tblDaily[EntryDate],DATE(2026,6,28),tblDaily[WardCode],"FAE")),"")</f>
        <v/>
      </c>
      <c r="P235" s="26">
        <f>IF(AND(H235="", O235=""), "", N(H235) + N(O235))</f>
        <v/>
      </c>
    </row>
    <row r="236">
      <c r="A236" s="25" t="n">
        <v>29</v>
      </c>
      <c r="B236" s="25">
        <f>IFERROR(IF(SUMIFS(tblDaily[Admissions],tblDaily[EntryDate],DATE(2026,6,29),tblDaily[WardCode],"MAE")=0,"",SUMIFS(tblDaily[Admissions],tblDaily[EntryDate],DATE(2026,6,29),tblDaily[WardCode],"MAE")),"")</f>
        <v/>
      </c>
      <c r="C236" s="25">
        <f>IFERROR(IF(SUMIFS(tblDaily[Discharges],tblDaily[EntryDate],DATE(2026,6,29),tblDaily[WardCode],"MAE")=0,"",SUMIFS(tblDaily[Discharges],tblDaily[EntryDate],DATE(2026,6,29),tblDaily[WardCode],"MAE")),"")</f>
        <v/>
      </c>
      <c r="D236" s="25">
        <f>IFERROR(IF(SUMIFS(tblDaily[Deaths],tblDaily[EntryDate],DATE(2026,6,29),tblDaily[WardCode],"MAE")=0,"",SUMIFS(tblDaily[Deaths],tblDaily[EntryDate],DATE(2026,6,29),tblDaily[WardCode],"MAE")),"")</f>
        <v/>
      </c>
      <c r="E236" s="25">
        <f>IFERROR(IF(SUMIFS(tblDaily[DeathsUnder24Hrs],tblDaily[EntryDate],DATE(2026,6,29),tblDaily[WardCode],"MAE")=0,"",SUMIFS(tblDaily[DeathsUnder24Hrs],tblDaily[EntryDate],DATE(2026,6,29),tblDaily[WardCode],"MAE")),"")</f>
        <v/>
      </c>
      <c r="F236" s="25">
        <f>IFERROR(IF(SUMIFS(tblDaily[TransfersIn],tblDaily[EntryDate],DATE(2026,6,29),tblDaily[WardCode],"MAE")=0,"",SUMIFS(tblDaily[TransfersIn],tblDaily[EntryDate],DATE(2026,6,29),tblDaily[WardCode],"MAE")),"")</f>
        <v/>
      </c>
      <c r="G236" s="25">
        <f>IFERROR(IF(SUMIFS(tblDaily[TransfersOut],tblDaily[EntryDate],DATE(2026,6,29),tblDaily[WardCode],"MAE")=0,"",SUMIFS(tblDaily[TransfersOut],tblDaily[EntryDate],DATE(2026,6,29),tblDaily[WardCode],"MAE")),"")</f>
        <v/>
      </c>
      <c r="H236" s="25">
        <f>IFERROR(IF(SUMIFS(tblDaily[Remaining],tblDaily[EntryDate],DATE(2026,6,29),tblDaily[WardCode],"MAE")=0,"",SUMIFS(tblDaily[Remaining],tblDaily[EntryDate],DATE(2026,6,29),tblDaily[WardCode],"MAE")),"")</f>
        <v/>
      </c>
      <c r="I236" s="25">
        <f>IFERROR(IF(SUMIFS(tblDaily[Admissions],tblDaily[EntryDate],DATE(2026,6,29),tblDaily[WardCode],"FAE")=0,"",SUMIFS(tblDaily[Admissions],tblDaily[EntryDate],DATE(2026,6,29),tblDaily[WardCode],"FAE")),"")</f>
        <v/>
      </c>
      <c r="J236" s="25">
        <f>IFERROR(IF(SUMIFS(tblDaily[Discharges],tblDaily[EntryDate],DATE(2026,6,29),tblDaily[WardCode],"FAE")=0,"",SUMIFS(tblDaily[Discharges],tblDaily[EntryDate],DATE(2026,6,29),tblDaily[WardCode],"FAE")),"")</f>
        <v/>
      </c>
      <c r="K236" s="25">
        <f>IFERROR(IF(SUMIFS(tblDaily[Deaths],tblDaily[EntryDate],DATE(2026,6,29),tblDaily[WardCode],"FAE")=0,"",SUMIFS(tblDaily[Deaths],tblDaily[EntryDate],DATE(2026,6,29),tblDaily[WardCode],"FAE")),"")</f>
        <v/>
      </c>
      <c r="L236" s="25">
        <f>IFERROR(IF(SUMIFS(tblDaily[DeathsUnder24Hrs],tblDaily[EntryDate],DATE(2026,6,29),tblDaily[WardCode],"FAE")=0,"",SUMIFS(tblDaily[DeathsUnder24Hrs],tblDaily[EntryDate],DATE(2026,6,29),tblDaily[WardCode],"FAE")),"")</f>
        <v/>
      </c>
      <c r="M236" s="25">
        <f>IFERROR(IF(SUMIFS(tblDaily[TransfersIn],tblDaily[EntryDate],DATE(2026,6,29),tblDaily[WardCode],"FAE")=0,"",SUMIFS(tblDaily[TransfersIn],tblDaily[EntryDate],DATE(2026,6,29),tblDaily[WardCode],"FAE")),"")</f>
        <v/>
      </c>
      <c r="N236" s="25">
        <f>IFERROR(IF(SUMIFS(tblDaily[TransfersOut],tblDaily[EntryDate],DATE(2026,6,29),tblDaily[WardCode],"FAE")=0,"",SUMIFS(tblDaily[TransfersOut],tblDaily[EntryDate],DATE(2026,6,29),tblDaily[WardCode],"FAE")),"")</f>
        <v/>
      </c>
      <c r="O236" s="25">
        <f>IFERROR(IF(SUMIFS(tblDaily[Remaining],tblDaily[EntryDate],DATE(2026,6,29),tblDaily[WardCode],"FAE")=0,"",SUMIFS(tblDaily[Remaining],tblDaily[EntryDate],DATE(2026,6,29),tblDaily[WardCode],"FAE")),"")</f>
        <v/>
      </c>
      <c r="P236" s="26">
        <f>IF(AND(H236="", O236=""), "", N(H236) + N(O236))</f>
        <v/>
      </c>
    </row>
    <row r="237">
      <c r="A237" s="25" t="n">
        <v>30</v>
      </c>
      <c r="B237" s="25">
        <f>IFERROR(IF(SUMIFS(tblDaily[Admissions],tblDaily[EntryDate],DATE(2026,6,30),tblDaily[WardCode],"MAE")=0,"",SUMIFS(tblDaily[Admissions],tblDaily[EntryDate],DATE(2026,6,30),tblDaily[WardCode],"MAE")),"")</f>
        <v/>
      </c>
      <c r="C237" s="25">
        <f>IFERROR(IF(SUMIFS(tblDaily[Discharges],tblDaily[EntryDate],DATE(2026,6,30),tblDaily[WardCode],"MAE")=0,"",SUMIFS(tblDaily[Discharges],tblDaily[EntryDate],DATE(2026,6,30),tblDaily[WardCode],"MAE")),"")</f>
        <v/>
      </c>
      <c r="D237" s="25">
        <f>IFERROR(IF(SUMIFS(tblDaily[Deaths],tblDaily[EntryDate],DATE(2026,6,30),tblDaily[WardCode],"MAE")=0,"",SUMIFS(tblDaily[Deaths],tblDaily[EntryDate],DATE(2026,6,30),tblDaily[WardCode],"MAE")),"")</f>
        <v/>
      </c>
      <c r="E237" s="25">
        <f>IFERROR(IF(SUMIFS(tblDaily[DeathsUnder24Hrs],tblDaily[EntryDate],DATE(2026,6,30),tblDaily[WardCode],"MAE")=0,"",SUMIFS(tblDaily[DeathsUnder24Hrs],tblDaily[EntryDate],DATE(2026,6,30),tblDaily[WardCode],"MAE")),"")</f>
        <v/>
      </c>
      <c r="F237" s="25">
        <f>IFERROR(IF(SUMIFS(tblDaily[TransfersIn],tblDaily[EntryDate],DATE(2026,6,30),tblDaily[WardCode],"MAE")=0,"",SUMIFS(tblDaily[TransfersIn],tblDaily[EntryDate],DATE(2026,6,30),tblDaily[WardCode],"MAE")),"")</f>
        <v/>
      </c>
      <c r="G237" s="25">
        <f>IFERROR(IF(SUMIFS(tblDaily[TransfersOut],tblDaily[EntryDate],DATE(2026,6,30),tblDaily[WardCode],"MAE")=0,"",SUMIFS(tblDaily[TransfersOut],tblDaily[EntryDate],DATE(2026,6,30),tblDaily[WardCode],"MAE")),"")</f>
        <v/>
      </c>
      <c r="H237" s="25">
        <f>IFERROR(IF(SUMIFS(tblDaily[Remaining],tblDaily[EntryDate],DATE(2026,6,30),tblDaily[WardCode],"MAE")=0,"",SUMIFS(tblDaily[Remaining],tblDaily[EntryDate],DATE(2026,6,30),tblDaily[WardCode],"MAE")),"")</f>
        <v/>
      </c>
      <c r="I237" s="25">
        <f>IFERROR(IF(SUMIFS(tblDaily[Admissions],tblDaily[EntryDate],DATE(2026,6,30),tblDaily[WardCode],"FAE")=0,"",SUMIFS(tblDaily[Admissions],tblDaily[EntryDate],DATE(2026,6,30),tblDaily[WardCode],"FAE")),"")</f>
        <v/>
      </c>
      <c r="J237" s="25">
        <f>IFERROR(IF(SUMIFS(tblDaily[Discharges],tblDaily[EntryDate],DATE(2026,6,30),tblDaily[WardCode],"FAE")=0,"",SUMIFS(tblDaily[Discharges],tblDaily[EntryDate],DATE(2026,6,30),tblDaily[WardCode],"FAE")),"")</f>
        <v/>
      </c>
      <c r="K237" s="25">
        <f>IFERROR(IF(SUMIFS(tblDaily[Deaths],tblDaily[EntryDate],DATE(2026,6,30),tblDaily[WardCode],"FAE")=0,"",SUMIFS(tblDaily[Deaths],tblDaily[EntryDate],DATE(2026,6,30),tblDaily[WardCode],"FAE")),"")</f>
        <v/>
      </c>
      <c r="L237" s="25">
        <f>IFERROR(IF(SUMIFS(tblDaily[DeathsUnder24Hrs],tblDaily[EntryDate],DATE(2026,6,30),tblDaily[WardCode],"FAE")=0,"",SUMIFS(tblDaily[DeathsUnder24Hrs],tblDaily[EntryDate],DATE(2026,6,30),tblDaily[WardCode],"FAE")),"")</f>
        <v/>
      </c>
      <c r="M237" s="25">
        <f>IFERROR(IF(SUMIFS(tblDaily[TransfersIn],tblDaily[EntryDate],DATE(2026,6,30),tblDaily[WardCode],"FAE")=0,"",SUMIFS(tblDaily[TransfersIn],tblDaily[EntryDate],DATE(2026,6,30),tblDaily[WardCode],"FAE")),"")</f>
        <v/>
      </c>
      <c r="N237" s="25">
        <f>IFERROR(IF(SUMIFS(tblDaily[TransfersOut],tblDaily[EntryDate],DATE(2026,6,30),tblDaily[WardCode],"FAE")=0,"",SUMIFS(tblDaily[TransfersOut],tblDaily[EntryDate],DATE(2026,6,30),tblDaily[WardCode],"FAE")),"")</f>
        <v/>
      </c>
      <c r="O237" s="25">
        <f>IFERROR(IF(SUMIFS(tblDaily[Remaining],tblDaily[EntryDate],DATE(2026,6,30),tblDaily[WardCode],"FAE")=0,"",SUMIFS(tblDaily[Remaining],tblDaily[EntryDate],DATE(2026,6,30),tblDaily[WardCode],"FAE")),"")</f>
        <v/>
      </c>
      <c r="P237" s="26">
        <f>IF(AND(H237="", O237=""), "", N(H237) + N(O237))</f>
        <v/>
      </c>
    </row>
    <row r="238">
      <c r="A238" s="25" t="n">
        <v>31</v>
      </c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</row>
    <row r="239">
      <c r="A239" s="17" t="inlineStr">
        <is>
          <t>TOTAL</t>
        </is>
      </c>
      <c r="B239" s="17">
        <f>SUMIFS(tblDaily[Admissions],tblDaily[Month],6,tblDaily[WardCode],"MAE") - SUMIFS(tblDaily[DeathsUnder24Hrs],tblDaily[Month],6,tblDaily[WardCode],"MAE")</f>
        <v/>
      </c>
      <c r="C239" s="17">
        <f>SUMIFS(tblDaily[Discharges],tblDaily[Month],6,tblDaily[WardCode],"MAE")</f>
        <v/>
      </c>
      <c r="D239" s="17">
        <f>SUMIFS(tblDaily[Deaths],tblDaily[Month],6,tblDaily[WardCode],"MAE")</f>
        <v/>
      </c>
      <c r="E239" s="17">
        <f>SUMIFS(tblDaily[DeathsUnder24Hrs],tblDaily[Month],6,tblDaily[WardCode],"MAE")</f>
        <v/>
      </c>
      <c r="F239" s="17">
        <f>SUMIFS(tblDaily[TransfersIn],tblDaily[Month],6,tblDaily[WardCode],"MAE")</f>
        <v/>
      </c>
      <c r="G239" s="17">
        <f>SUMIFS(tblDaily[TransfersOut],tblDaily[Month],6,tblDaily[WardCode],"MAE")</f>
        <v/>
      </c>
      <c r="H239" s="17">
        <f>SUMIFS(tblDaily[Remaining],tblDaily[Month],6,tblDaily[WardCode],"MAE")</f>
        <v/>
      </c>
      <c r="I239" s="17">
        <f>SUMIFS(tblDaily[Admissions],tblDaily[Month],6,tblDaily[WardCode],"FAE") - SUMIFS(tblDaily[DeathsUnder24Hrs],tblDaily[Month],6,tblDaily[WardCode],"FAE")</f>
        <v/>
      </c>
      <c r="J239" s="17">
        <f>SUMIFS(tblDaily[Discharges],tblDaily[Month],6,tblDaily[WardCode],"FAE")</f>
        <v/>
      </c>
      <c r="K239" s="17">
        <f>SUMIFS(tblDaily[Deaths],tblDaily[Month],6,tblDaily[WardCode],"FAE")</f>
        <v/>
      </c>
      <c r="L239" s="17">
        <f>SUMIFS(tblDaily[DeathsUnder24Hrs],tblDaily[Month],6,tblDaily[WardCode],"FAE")</f>
        <v/>
      </c>
      <c r="M239" s="17">
        <f>SUMIFS(tblDaily[TransfersIn],tblDaily[Month],6,tblDaily[WardCode],"FAE")</f>
        <v/>
      </c>
      <c r="N239" s="17">
        <f>SUMIFS(tblDaily[TransfersOut],tblDaily[Month],6,tblDaily[WardCode],"FAE")</f>
        <v/>
      </c>
      <c r="O239" s="17">
        <f>SUMIFS(tblDaily[Remaining],tblDaily[Month],6,tblDaily[WardCode],"FAE")</f>
        <v/>
      </c>
      <c r="P239" s="17">
        <f>H239 + O239</f>
        <v/>
      </c>
    </row>
    <row r="241">
      <c r="A241" s="19" t="inlineStr">
        <is>
          <t>GHANA HEALTH SERVICE</t>
        </is>
      </c>
    </row>
    <row r="242">
      <c r="A242" s="2" t="inlineStr">
        <is>
          <t>DAILY BED UTILIZATION FORM</t>
        </is>
      </c>
    </row>
    <row r="243">
      <c r="A243" s="4" t="inlineStr">
        <is>
          <t>Hospital:</t>
        </is>
      </c>
      <c r="B243" s="5" t="inlineStr">
        <is>
          <t>HOHOE MUNICIPAL HOSPITAL</t>
        </is>
      </c>
      <c r="E243" s="4" t="inlineStr">
        <is>
          <t>Ward:</t>
        </is>
      </c>
      <c r="F243" s="4" t="inlineStr">
        <is>
          <t>EMERGENCY (COMBINED)</t>
        </is>
      </c>
      <c r="M243" s="4" t="inlineStr">
        <is>
          <t>MONTH</t>
        </is>
      </c>
      <c r="N243" s="4" t="inlineStr">
        <is>
          <t>JULY</t>
        </is>
      </c>
    </row>
    <row r="244">
      <c r="A244" s="4" t="inlineStr">
        <is>
          <t>Number of patients remaining as at last day of previous month</t>
        </is>
      </c>
      <c r="B244" s="20">
        <f>IFERROR(SUMIFS(tblDaily[Remaining],tblDaily[EntryDate],DATE(2026,6,30),tblDaily[WardCode],"MAE"),0)</f>
        <v/>
      </c>
      <c r="I244" s="20">
        <f>IFERROR(SUMIFS(tblDaily[Remaining],tblDaily[EntryDate],DATE(2026,6,30),tblDaily[WardCode],"FAE"),0)</f>
        <v/>
      </c>
    </row>
    <row r="245">
      <c r="A245" s="4" t="inlineStr">
        <is>
          <t>Bed complement</t>
        </is>
      </c>
      <c r="B245" s="20">
        <f>IFERROR(INDEX(tblWardConfig[BedComplement],MATCH("MAE",tblWardConfig[WardCode],0)),0)</f>
        <v/>
      </c>
      <c r="I245" s="20">
        <f>IFERROR(INDEX(tblWardConfig[BedComplement],MATCH("FAE",tblWardConfig[WardCode],0)),0)</f>
        <v/>
      </c>
      <c r="O245" s="21">
        <f>B245+I245</f>
        <v/>
      </c>
    </row>
    <row r="246">
      <c r="A246" s="11" t="inlineStr">
        <is>
          <t>Day</t>
        </is>
      </c>
      <c r="B246" s="22" t="inlineStr">
        <is>
          <t>MALE EMERGENCY</t>
        </is>
      </c>
      <c r="I246" s="23" t="inlineStr">
        <is>
          <t>FEMALE EMERGENCY</t>
        </is>
      </c>
      <c r="P246" s="24" t="inlineStr">
        <is>
          <t>TOTAL</t>
        </is>
      </c>
    </row>
    <row r="247">
      <c r="A247" s="11" t="inlineStr">
        <is>
          <t>Day</t>
        </is>
      </c>
      <c r="B247" s="11" t="inlineStr">
        <is>
          <t>Adm</t>
        </is>
      </c>
      <c r="C247" s="11" t="inlineStr">
        <is>
          <t>Dis</t>
        </is>
      </c>
      <c r="D247" s="11" t="inlineStr">
        <is>
          <t>Dth</t>
        </is>
      </c>
      <c r="E247" s="11" t="inlineStr">
        <is>
          <t>D&lt;24</t>
        </is>
      </c>
      <c r="F247" s="11" t="inlineStr">
        <is>
          <t>TrIn</t>
        </is>
      </c>
      <c r="G247" s="11" t="inlineStr">
        <is>
          <t>TrOut</t>
        </is>
      </c>
      <c r="H247" s="11" t="inlineStr">
        <is>
          <t>Rem</t>
        </is>
      </c>
      <c r="I247" s="11" t="inlineStr">
        <is>
          <t>Adm</t>
        </is>
      </c>
      <c r="J247" s="11" t="inlineStr">
        <is>
          <t>Dis</t>
        </is>
      </c>
      <c r="K247" s="11" t="inlineStr">
        <is>
          <t>Dth</t>
        </is>
      </c>
      <c r="L247" s="11" t="inlineStr">
        <is>
          <t>D&lt;24</t>
        </is>
      </c>
      <c r="M247" s="11" t="inlineStr">
        <is>
          <t>TrIn</t>
        </is>
      </c>
      <c r="N247" s="11" t="inlineStr">
        <is>
          <t>TrOut</t>
        </is>
      </c>
      <c r="O247" s="11" t="inlineStr">
        <is>
          <t>Rem</t>
        </is>
      </c>
      <c r="P247" s="11" t="inlineStr">
        <is>
          <t>Tot
Rem</t>
        </is>
      </c>
    </row>
    <row r="248">
      <c r="A248" s="25" t="n">
        <v>1</v>
      </c>
      <c r="B248" s="25">
        <f>IFERROR(IF(SUMIFS(tblDaily[Admissions],tblDaily[EntryDate],DATE(2026,7,1),tblDaily[WardCode],"MAE")=0,"",SUMIFS(tblDaily[Admissions],tblDaily[EntryDate],DATE(2026,7,1),tblDaily[WardCode],"MAE")),"")</f>
        <v/>
      </c>
      <c r="C248" s="25">
        <f>IFERROR(IF(SUMIFS(tblDaily[Discharges],tblDaily[EntryDate],DATE(2026,7,1),tblDaily[WardCode],"MAE")=0,"",SUMIFS(tblDaily[Discharges],tblDaily[EntryDate],DATE(2026,7,1),tblDaily[WardCode],"MAE")),"")</f>
        <v/>
      </c>
      <c r="D248" s="25">
        <f>IFERROR(IF(SUMIFS(tblDaily[Deaths],tblDaily[EntryDate],DATE(2026,7,1),tblDaily[WardCode],"MAE")=0,"",SUMIFS(tblDaily[Deaths],tblDaily[EntryDate],DATE(2026,7,1),tblDaily[WardCode],"MAE")),"")</f>
        <v/>
      </c>
      <c r="E248" s="25">
        <f>IFERROR(IF(SUMIFS(tblDaily[DeathsUnder24Hrs],tblDaily[EntryDate],DATE(2026,7,1),tblDaily[WardCode],"MAE")=0,"",SUMIFS(tblDaily[DeathsUnder24Hrs],tblDaily[EntryDate],DATE(2026,7,1),tblDaily[WardCode],"MAE")),"")</f>
        <v/>
      </c>
      <c r="F248" s="25">
        <f>IFERROR(IF(SUMIFS(tblDaily[TransfersIn],tblDaily[EntryDate],DATE(2026,7,1),tblDaily[WardCode],"MAE")=0,"",SUMIFS(tblDaily[TransfersIn],tblDaily[EntryDate],DATE(2026,7,1),tblDaily[WardCode],"MAE")),"")</f>
        <v/>
      </c>
      <c r="G248" s="25">
        <f>IFERROR(IF(SUMIFS(tblDaily[TransfersOut],tblDaily[EntryDate],DATE(2026,7,1),tblDaily[WardCode],"MAE")=0,"",SUMIFS(tblDaily[TransfersOut],tblDaily[EntryDate],DATE(2026,7,1),tblDaily[WardCode],"MAE")),"")</f>
        <v/>
      </c>
      <c r="H248" s="25">
        <f>IFERROR(IF(SUMIFS(tblDaily[Remaining],tblDaily[EntryDate],DATE(2026,7,1),tblDaily[WardCode],"MAE")=0,"",SUMIFS(tblDaily[Remaining],tblDaily[EntryDate],DATE(2026,7,1),tblDaily[WardCode],"MAE")),"")</f>
        <v/>
      </c>
      <c r="I248" s="25">
        <f>IFERROR(IF(SUMIFS(tblDaily[Admissions],tblDaily[EntryDate],DATE(2026,7,1),tblDaily[WardCode],"FAE")=0,"",SUMIFS(tblDaily[Admissions],tblDaily[EntryDate],DATE(2026,7,1),tblDaily[WardCode],"FAE")),"")</f>
        <v/>
      </c>
      <c r="J248" s="25">
        <f>IFERROR(IF(SUMIFS(tblDaily[Discharges],tblDaily[EntryDate],DATE(2026,7,1),tblDaily[WardCode],"FAE")=0,"",SUMIFS(tblDaily[Discharges],tblDaily[EntryDate],DATE(2026,7,1),tblDaily[WardCode],"FAE")),"")</f>
        <v/>
      </c>
      <c r="K248" s="25">
        <f>IFERROR(IF(SUMIFS(tblDaily[Deaths],tblDaily[EntryDate],DATE(2026,7,1),tblDaily[WardCode],"FAE")=0,"",SUMIFS(tblDaily[Deaths],tblDaily[EntryDate],DATE(2026,7,1),tblDaily[WardCode],"FAE")),"")</f>
        <v/>
      </c>
      <c r="L248" s="25">
        <f>IFERROR(IF(SUMIFS(tblDaily[DeathsUnder24Hrs],tblDaily[EntryDate],DATE(2026,7,1),tblDaily[WardCode],"FAE")=0,"",SUMIFS(tblDaily[DeathsUnder24Hrs],tblDaily[EntryDate],DATE(2026,7,1),tblDaily[WardCode],"FAE")),"")</f>
        <v/>
      </c>
      <c r="M248" s="25">
        <f>IFERROR(IF(SUMIFS(tblDaily[TransfersIn],tblDaily[EntryDate],DATE(2026,7,1),tblDaily[WardCode],"FAE")=0,"",SUMIFS(tblDaily[TransfersIn],tblDaily[EntryDate],DATE(2026,7,1),tblDaily[WardCode],"FAE")),"")</f>
        <v/>
      </c>
      <c r="N248" s="25">
        <f>IFERROR(IF(SUMIFS(tblDaily[TransfersOut],tblDaily[EntryDate],DATE(2026,7,1),tblDaily[WardCode],"FAE")=0,"",SUMIFS(tblDaily[TransfersOut],tblDaily[EntryDate],DATE(2026,7,1),tblDaily[WardCode],"FAE")),"")</f>
        <v/>
      </c>
      <c r="O248" s="25">
        <f>IFERROR(IF(SUMIFS(tblDaily[Remaining],tblDaily[EntryDate],DATE(2026,7,1),tblDaily[WardCode],"FAE")=0,"",SUMIFS(tblDaily[Remaining],tblDaily[EntryDate],DATE(2026,7,1),tblDaily[WardCode],"FAE")),"")</f>
        <v/>
      </c>
      <c r="P248" s="26">
        <f>IF(AND(H248="", O248=""), "", N(H248) + N(O248))</f>
        <v/>
      </c>
    </row>
    <row r="249">
      <c r="A249" s="25" t="n">
        <v>2</v>
      </c>
      <c r="B249" s="25">
        <f>IFERROR(IF(SUMIFS(tblDaily[Admissions],tblDaily[EntryDate],DATE(2026,7,2),tblDaily[WardCode],"MAE")=0,"",SUMIFS(tblDaily[Admissions],tblDaily[EntryDate],DATE(2026,7,2),tblDaily[WardCode],"MAE")),"")</f>
        <v/>
      </c>
      <c r="C249" s="25">
        <f>IFERROR(IF(SUMIFS(tblDaily[Discharges],tblDaily[EntryDate],DATE(2026,7,2),tblDaily[WardCode],"MAE")=0,"",SUMIFS(tblDaily[Discharges],tblDaily[EntryDate],DATE(2026,7,2),tblDaily[WardCode],"MAE")),"")</f>
        <v/>
      </c>
      <c r="D249" s="25">
        <f>IFERROR(IF(SUMIFS(tblDaily[Deaths],tblDaily[EntryDate],DATE(2026,7,2),tblDaily[WardCode],"MAE")=0,"",SUMIFS(tblDaily[Deaths],tblDaily[EntryDate],DATE(2026,7,2),tblDaily[WardCode],"MAE")),"")</f>
        <v/>
      </c>
      <c r="E249" s="25">
        <f>IFERROR(IF(SUMIFS(tblDaily[DeathsUnder24Hrs],tblDaily[EntryDate],DATE(2026,7,2),tblDaily[WardCode],"MAE")=0,"",SUMIFS(tblDaily[DeathsUnder24Hrs],tblDaily[EntryDate],DATE(2026,7,2),tblDaily[WardCode],"MAE")),"")</f>
        <v/>
      </c>
      <c r="F249" s="25">
        <f>IFERROR(IF(SUMIFS(tblDaily[TransfersIn],tblDaily[EntryDate],DATE(2026,7,2),tblDaily[WardCode],"MAE")=0,"",SUMIFS(tblDaily[TransfersIn],tblDaily[EntryDate],DATE(2026,7,2),tblDaily[WardCode],"MAE")),"")</f>
        <v/>
      </c>
      <c r="G249" s="25">
        <f>IFERROR(IF(SUMIFS(tblDaily[TransfersOut],tblDaily[EntryDate],DATE(2026,7,2),tblDaily[WardCode],"MAE")=0,"",SUMIFS(tblDaily[TransfersOut],tblDaily[EntryDate],DATE(2026,7,2),tblDaily[WardCode],"MAE")),"")</f>
        <v/>
      </c>
      <c r="H249" s="25">
        <f>IFERROR(IF(SUMIFS(tblDaily[Remaining],tblDaily[EntryDate],DATE(2026,7,2),tblDaily[WardCode],"MAE")=0,"",SUMIFS(tblDaily[Remaining],tblDaily[EntryDate],DATE(2026,7,2),tblDaily[WardCode],"MAE")),"")</f>
        <v/>
      </c>
      <c r="I249" s="25">
        <f>IFERROR(IF(SUMIFS(tblDaily[Admissions],tblDaily[EntryDate],DATE(2026,7,2),tblDaily[WardCode],"FAE")=0,"",SUMIFS(tblDaily[Admissions],tblDaily[EntryDate],DATE(2026,7,2),tblDaily[WardCode],"FAE")),"")</f>
        <v/>
      </c>
      <c r="J249" s="25">
        <f>IFERROR(IF(SUMIFS(tblDaily[Discharges],tblDaily[EntryDate],DATE(2026,7,2),tblDaily[WardCode],"FAE")=0,"",SUMIFS(tblDaily[Discharges],tblDaily[EntryDate],DATE(2026,7,2),tblDaily[WardCode],"FAE")),"")</f>
        <v/>
      </c>
      <c r="K249" s="25">
        <f>IFERROR(IF(SUMIFS(tblDaily[Deaths],tblDaily[EntryDate],DATE(2026,7,2),tblDaily[WardCode],"FAE")=0,"",SUMIFS(tblDaily[Deaths],tblDaily[EntryDate],DATE(2026,7,2),tblDaily[WardCode],"FAE")),"")</f>
        <v/>
      </c>
      <c r="L249" s="25">
        <f>IFERROR(IF(SUMIFS(tblDaily[DeathsUnder24Hrs],tblDaily[EntryDate],DATE(2026,7,2),tblDaily[WardCode],"FAE")=0,"",SUMIFS(tblDaily[DeathsUnder24Hrs],tblDaily[EntryDate],DATE(2026,7,2),tblDaily[WardCode],"FAE")),"")</f>
        <v/>
      </c>
      <c r="M249" s="25">
        <f>IFERROR(IF(SUMIFS(tblDaily[TransfersIn],tblDaily[EntryDate],DATE(2026,7,2),tblDaily[WardCode],"FAE")=0,"",SUMIFS(tblDaily[TransfersIn],tblDaily[EntryDate],DATE(2026,7,2),tblDaily[WardCode],"FAE")),"")</f>
        <v/>
      </c>
      <c r="N249" s="25">
        <f>IFERROR(IF(SUMIFS(tblDaily[TransfersOut],tblDaily[EntryDate],DATE(2026,7,2),tblDaily[WardCode],"FAE")=0,"",SUMIFS(tblDaily[TransfersOut],tblDaily[EntryDate],DATE(2026,7,2),tblDaily[WardCode],"FAE")),"")</f>
        <v/>
      </c>
      <c r="O249" s="25">
        <f>IFERROR(IF(SUMIFS(tblDaily[Remaining],tblDaily[EntryDate],DATE(2026,7,2),tblDaily[WardCode],"FAE")=0,"",SUMIFS(tblDaily[Remaining],tblDaily[EntryDate],DATE(2026,7,2),tblDaily[WardCode],"FAE")),"")</f>
        <v/>
      </c>
      <c r="P249" s="26">
        <f>IF(AND(H249="", O249=""), "", N(H249) + N(O249))</f>
        <v/>
      </c>
    </row>
    <row r="250">
      <c r="A250" s="25" t="n">
        <v>3</v>
      </c>
      <c r="B250" s="25">
        <f>IFERROR(IF(SUMIFS(tblDaily[Admissions],tblDaily[EntryDate],DATE(2026,7,3),tblDaily[WardCode],"MAE")=0,"",SUMIFS(tblDaily[Admissions],tblDaily[EntryDate],DATE(2026,7,3),tblDaily[WardCode],"MAE")),"")</f>
        <v/>
      </c>
      <c r="C250" s="25">
        <f>IFERROR(IF(SUMIFS(tblDaily[Discharges],tblDaily[EntryDate],DATE(2026,7,3),tblDaily[WardCode],"MAE")=0,"",SUMIFS(tblDaily[Discharges],tblDaily[EntryDate],DATE(2026,7,3),tblDaily[WardCode],"MAE")),"")</f>
        <v/>
      </c>
      <c r="D250" s="25">
        <f>IFERROR(IF(SUMIFS(tblDaily[Deaths],tblDaily[EntryDate],DATE(2026,7,3),tblDaily[WardCode],"MAE")=0,"",SUMIFS(tblDaily[Deaths],tblDaily[EntryDate],DATE(2026,7,3),tblDaily[WardCode],"MAE")),"")</f>
        <v/>
      </c>
      <c r="E250" s="25">
        <f>IFERROR(IF(SUMIFS(tblDaily[DeathsUnder24Hrs],tblDaily[EntryDate],DATE(2026,7,3),tblDaily[WardCode],"MAE")=0,"",SUMIFS(tblDaily[DeathsUnder24Hrs],tblDaily[EntryDate],DATE(2026,7,3),tblDaily[WardCode],"MAE")),"")</f>
        <v/>
      </c>
      <c r="F250" s="25">
        <f>IFERROR(IF(SUMIFS(tblDaily[TransfersIn],tblDaily[EntryDate],DATE(2026,7,3),tblDaily[WardCode],"MAE")=0,"",SUMIFS(tblDaily[TransfersIn],tblDaily[EntryDate],DATE(2026,7,3),tblDaily[WardCode],"MAE")),"")</f>
        <v/>
      </c>
      <c r="G250" s="25">
        <f>IFERROR(IF(SUMIFS(tblDaily[TransfersOut],tblDaily[EntryDate],DATE(2026,7,3),tblDaily[WardCode],"MAE")=0,"",SUMIFS(tblDaily[TransfersOut],tblDaily[EntryDate],DATE(2026,7,3),tblDaily[WardCode],"MAE")),"")</f>
        <v/>
      </c>
      <c r="H250" s="25">
        <f>IFERROR(IF(SUMIFS(tblDaily[Remaining],tblDaily[EntryDate],DATE(2026,7,3),tblDaily[WardCode],"MAE")=0,"",SUMIFS(tblDaily[Remaining],tblDaily[EntryDate],DATE(2026,7,3),tblDaily[WardCode],"MAE")),"")</f>
        <v/>
      </c>
      <c r="I250" s="25">
        <f>IFERROR(IF(SUMIFS(tblDaily[Admissions],tblDaily[EntryDate],DATE(2026,7,3),tblDaily[WardCode],"FAE")=0,"",SUMIFS(tblDaily[Admissions],tblDaily[EntryDate],DATE(2026,7,3),tblDaily[WardCode],"FAE")),"")</f>
        <v/>
      </c>
      <c r="J250" s="25">
        <f>IFERROR(IF(SUMIFS(tblDaily[Discharges],tblDaily[EntryDate],DATE(2026,7,3),tblDaily[WardCode],"FAE")=0,"",SUMIFS(tblDaily[Discharges],tblDaily[EntryDate],DATE(2026,7,3),tblDaily[WardCode],"FAE")),"")</f>
        <v/>
      </c>
      <c r="K250" s="25">
        <f>IFERROR(IF(SUMIFS(tblDaily[Deaths],tblDaily[EntryDate],DATE(2026,7,3),tblDaily[WardCode],"FAE")=0,"",SUMIFS(tblDaily[Deaths],tblDaily[EntryDate],DATE(2026,7,3),tblDaily[WardCode],"FAE")),"")</f>
        <v/>
      </c>
      <c r="L250" s="25">
        <f>IFERROR(IF(SUMIFS(tblDaily[DeathsUnder24Hrs],tblDaily[EntryDate],DATE(2026,7,3),tblDaily[WardCode],"FAE")=0,"",SUMIFS(tblDaily[DeathsUnder24Hrs],tblDaily[EntryDate],DATE(2026,7,3),tblDaily[WardCode],"FAE")),"")</f>
        <v/>
      </c>
      <c r="M250" s="25">
        <f>IFERROR(IF(SUMIFS(tblDaily[TransfersIn],tblDaily[EntryDate],DATE(2026,7,3),tblDaily[WardCode],"FAE")=0,"",SUMIFS(tblDaily[TransfersIn],tblDaily[EntryDate],DATE(2026,7,3),tblDaily[WardCode],"FAE")),"")</f>
        <v/>
      </c>
      <c r="N250" s="25">
        <f>IFERROR(IF(SUMIFS(tblDaily[TransfersOut],tblDaily[EntryDate],DATE(2026,7,3),tblDaily[WardCode],"FAE")=0,"",SUMIFS(tblDaily[TransfersOut],tblDaily[EntryDate],DATE(2026,7,3),tblDaily[WardCode],"FAE")),"")</f>
        <v/>
      </c>
      <c r="O250" s="25">
        <f>IFERROR(IF(SUMIFS(tblDaily[Remaining],tblDaily[EntryDate],DATE(2026,7,3),tblDaily[WardCode],"FAE")=0,"",SUMIFS(tblDaily[Remaining],tblDaily[EntryDate],DATE(2026,7,3),tblDaily[WardCode],"FAE")),"")</f>
        <v/>
      </c>
      <c r="P250" s="26">
        <f>IF(AND(H250="", O250=""), "", N(H250) + N(O250))</f>
        <v/>
      </c>
    </row>
    <row r="251">
      <c r="A251" s="25" t="n">
        <v>4</v>
      </c>
      <c r="B251" s="25">
        <f>IFERROR(IF(SUMIFS(tblDaily[Admissions],tblDaily[EntryDate],DATE(2026,7,4),tblDaily[WardCode],"MAE")=0,"",SUMIFS(tblDaily[Admissions],tblDaily[EntryDate],DATE(2026,7,4),tblDaily[WardCode],"MAE")),"")</f>
        <v/>
      </c>
      <c r="C251" s="25">
        <f>IFERROR(IF(SUMIFS(tblDaily[Discharges],tblDaily[EntryDate],DATE(2026,7,4),tblDaily[WardCode],"MAE")=0,"",SUMIFS(tblDaily[Discharges],tblDaily[EntryDate],DATE(2026,7,4),tblDaily[WardCode],"MAE")),"")</f>
        <v/>
      </c>
      <c r="D251" s="25">
        <f>IFERROR(IF(SUMIFS(tblDaily[Deaths],tblDaily[EntryDate],DATE(2026,7,4),tblDaily[WardCode],"MAE")=0,"",SUMIFS(tblDaily[Deaths],tblDaily[EntryDate],DATE(2026,7,4),tblDaily[WardCode],"MAE")),"")</f>
        <v/>
      </c>
      <c r="E251" s="25">
        <f>IFERROR(IF(SUMIFS(tblDaily[DeathsUnder24Hrs],tblDaily[EntryDate],DATE(2026,7,4),tblDaily[WardCode],"MAE")=0,"",SUMIFS(tblDaily[DeathsUnder24Hrs],tblDaily[EntryDate],DATE(2026,7,4),tblDaily[WardCode],"MAE")),"")</f>
        <v/>
      </c>
      <c r="F251" s="25">
        <f>IFERROR(IF(SUMIFS(tblDaily[TransfersIn],tblDaily[EntryDate],DATE(2026,7,4),tblDaily[WardCode],"MAE")=0,"",SUMIFS(tblDaily[TransfersIn],tblDaily[EntryDate],DATE(2026,7,4),tblDaily[WardCode],"MAE")),"")</f>
        <v/>
      </c>
      <c r="G251" s="25">
        <f>IFERROR(IF(SUMIFS(tblDaily[TransfersOut],tblDaily[EntryDate],DATE(2026,7,4),tblDaily[WardCode],"MAE")=0,"",SUMIFS(tblDaily[TransfersOut],tblDaily[EntryDate],DATE(2026,7,4),tblDaily[WardCode],"MAE")),"")</f>
        <v/>
      </c>
      <c r="H251" s="25">
        <f>IFERROR(IF(SUMIFS(tblDaily[Remaining],tblDaily[EntryDate],DATE(2026,7,4),tblDaily[WardCode],"MAE")=0,"",SUMIFS(tblDaily[Remaining],tblDaily[EntryDate],DATE(2026,7,4),tblDaily[WardCode],"MAE")),"")</f>
        <v/>
      </c>
      <c r="I251" s="25">
        <f>IFERROR(IF(SUMIFS(tblDaily[Admissions],tblDaily[EntryDate],DATE(2026,7,4),tblDaily[WardCode],"FAE")=0,"",SUMIFS(tblDaily[Admissions],tblDaily[EntryDate],DATE(2026,7,4),tblDaily[WardCode],"FAE")),"")</f>
        <v/>
      </c>
      <c r="J251" s="25">
        <f>IFERROR(IF(SUMIFS(tblDaily[Discharges],tblDaily[EntryDate],DATE(2026,7,4),tblDaily[WardCode],"FAE")=0,"",SUMIFS(tblDaily[Discharges],tblDaily[EntryDate],DATE(2026,7,4),tblDaily[WardCode],"FAE")),"")</f>
        <v/>
      </c>
      <c r="K251" s="25">
        <f>IFERROR(IF(SUMIFS(tblDaily[Deaths],tblDaily[EntryDate],DATE(2026,7,4),tblDaily[WardCode],"FAE")=0,"",SUMIFS(tblDaily[Deaths],tblDaily[EntryDate],DATE(2026,7,4),tblDaily[WardCode],"FAE")),"")</f>
        <v/>
      </c>
      <c r="L251" s="25">
        <f>IFERROR(IF(SUMIFS(tblDaily[DeathsUnder24Hrs],tblDaily[EntryDate],DATE(2026,7,4),tblDaily[WardCode],"FAE")=0,"",SUMIFS(tblDaily[DeathsUnder24Hrs],tblDaily[EntryDate],DATE(2026,7,4),tblDaily[WardCode],"FAE")),"")</f>
        <v/>
      </c>
      <c r="M251" s="25">
        <f>IFERROR(IF(SUMIFS(tblDaily[TransfersIn],tblDaily[EntryDate],DATE(2026,7,4),tblDaily[WardCode],"FAE")=0,"",SUMIFS(tblDaily[TransfersIn],tblDaily[EntryDate],DATE(2026,7,4),tblDaily[WardCode],"FAE")),"")</f>
        <v/>
      </c>
      <c r="N251" s="25">
        <f>IFERROR(IF(SUMIFS(tblDaily[TransfersOut],tblDaily[EntryDate],DATE(2026,7,4),tblDaily[WardCode],"FAE")=0,"",SUMIFS(tblDaily[TransfersOut],tblDaily[EntryDate],DATE(2026,7,4),tblDaily[WardCode],"FAE")),"")</f>
        <v/>
      </c>
      <c r="O251" s="25">
        <f>IFERROR(IF(SUMIFS(tblDaily[Remaining],tblDaily[EntryDate],DATE(2026,7,4),tblDaily[WardCode],"FAE")=0,"",SUMIFS(tblDaily[Remaining],tblDaily[EntryDate],DATE(2026,7,4),tblDaily[WardCode],"FAE")),"")</f>
        <v/>
      </c>
      <c r="P251" s="26">
        <f>IF(AND(H251="", O251=""), "", N(H251) + N(O251))</f>
        <v/>
      </c>
    </row>
    <row r="252">
      <c r="A252" s="25" t="n">
        <v>5</v>
      </c>
      <c r="B252" s="25">
        <f>IFERROR(IF(SUMIFS(tblDaily[Admissions],tblDaily[EntryDate],DATE(2026,7,5),tblDaily[WardCode],"MAE")=0,"",SUMIFS(tblDaily[Admissions],tblDaily[EntryDate],DATE(2026,7,5),tblDaily[WardCode],"MAE")),"")</f>
        <v/>
      </c>
      <c r="C252" s="25">
        <f>IFERROR(IF(SUMIFS(tblDaily[Discharges],tblDaily[EntryDate],DATE(2026,7,5),tblDaily[WardCode],"MAE")=0,"",SUMIFS(tblDaily[Discharges],tblDaily[EntryDate],DATE(2026,7,5),tblDaily[WardCode],"MAE")),"")</f>
        <v/>
      </c>
      <c r="D252" s="25">
        <f>IFERROR(IF(SUMIFS(tblDaily[Deaths],tblDaily[EntryDate],DATE(2026,7,5),tblDaily[WardCode],"MAE")=0,"",SUMIFS(tblDaily[Deaths],tblDaily[EntryDate],DATE(2026,7,5),tblDaily[WardCode],"MAE")),"")</f>
        <v/>
      </c>
      <c r="E252" s="25">
        <f>IFERROR(IF(SUMIFS(tblDaily[DeathsUnder24Hrs],tblDaily[EntryDate],DATE(2026,7,5),tblDaily[WardCode],"MAE")=0,"",SUMIFS(tblDaily[DeathsUnder24Hrs],tblDaily[EntryDate],DATE(2026,7,5),tblDaily[WardCode],"MAE")),"")</f>
        <v/>
      </c>
      <c r="F252" s="25">
        <f>IFERROR(IF(SUMIFS(tblDaily[TransfersIn],tblDaily[EntryDate],DATE(2026,7,5),tblDaily[WardCode],"MAE")=0,"",SUMIFS(tblDaily[TransfersIn],tblDaily[EntryDate],DATE(2026,7,5),tblDaily[WardCode],"MAE")),"")</f>
        <v/>
      </c>
      <c r="G252" s="25">
        <f>IFERROR(IF(SUMIFS(tblDaily[TransfersOut],tblDaily[EntryDate],DATE(2026,7,5),tblDaily[WardCode],"MAE")=0,"",SUMIFS(tblDaily[TransfersOut],tblDaily[EntryDate],DATE(2026,7,5),tblDaily[WardCode],"MAE")),"")</f>
        <v/>
      </c>
      <c r="H252" s="25">
        <f>IFERROR(IF(SUMIFS(tblDaily[Remaining],tblDaily[EntryDate],DATE(2026,7,5),tblDaily[WardCode],"MAE")=0,"",SUMIFS(tblDaily[Remaining],tblDaily[EntryDate],DATE(2026,7,5),tblDaily[WardCode],"MAE")),"")</f>
        <v/>
      </c>
      <c r="I252" s="25">
        <f>IFERROR(IF(SUMIFS(tblDaily[Admissions],tblDaily[EntryDate],DATE(2026,7,5),tblDaily[WardCode],"FAE")=0,"",SUMIFS(tblDaily[Admissions],tblDaily[EntryDate],DATE(2026,7,5),tblDaily[WardCode],"FAE")),"")</f>
        <v/>
      </c>
      <c r="J252" s="25">
        <f>IFERROR(IF(SUMIFS(tblDaily[Discharges],tblDaily[EntryDate],DATE(2026,7,5),tblDaily[WardCode],"FAE")=0,"",SUMIFS(tblDaily[Discharges],tblDaily[EntryDate],DATE(2026,7,5),tblDaily[WardCode],"FAE")),"")</f>
        <v/>
      </c>
      <c r="K252" s="25">
        <f>IFERROR(IF(SUMIFS(tblDaily[Deaths],tblDaily[EntryDate],DATE(2026,7,5),tblDaily[WardCode],"FAE")=0,"",SUMIFS(tblDaily[Deaths],tblDaily[EntryDate],DATE(2026,7,5),tblDaily[WardCode],"FAE")),"")</f>
        <v/>
      </c>
      <c r="L252" s="25">
        <f>IFERROR(IF(SUMIFS(tblDaily[DeathsUnder24Hrs],tblDaily[EntryDate],DATE(2026,7,5),tblDaily[WardCode],"FAE")=0,"",SUMIFS(tblDaily[DeathsUnder24Hrs],tblDaily[EntryDate],DATE(2026,7,5),tblDaily[WardCode],"FAE")),"")</f>
        <v/>
      </c>
      <c r="M252" s="25">
        <f>IFERROR(IF(SUMIFS(tblDaily[TransfersIn],tblDaily[EntryDate],DATE(2026,7,5),tblDaily[WardCode],"FAE")=0,"",SUMIFS(tblDaily[TransfersIn],tblDaily[EntryDate],DATE(2026,7,5),tblDaily[WardCode],"FAE")),"")</f>
        <v/>
      </c>
      <c r="N252" s="25">
        <f>IFERROR(IF(SUMIFS(tblDaily[TransfersOut],tblDaily[EntryDate],DATE(2026,7,5),tblDaily[WardCode],"FAE")=0,"",SUMIFS(tblDaily[TransfersOut],tblDaily[EntryDate],DATE(2026,7,5),tblDaily[WardCode],"FAE")),"")</f>
        <v/>
      </c>
      <c r="O252" s="25">
        <f>IFERROR(IF(SUMIFS(tblDaily[Remaining],tblDaily[EntryDate],DATE(2026,7,5),tblDaily[WardCode],"FAE")=0,"",SUMIFS(tblDaily[Remaining],tblDaily[EntryDate],DATE(2026,7,5),tblDaily[WardCode],"FAE")),"")</f>
        <v/>
      </c>
      <c r="P252" s="26">
        <f>IF(AND(H252="", O252=""), "", N(H252) + N(O252))</f>
        <v/>
      </c>
    </row>
    <row r="253">
      <c r="A253" s="25" t="n">
        <v>6</v>
      </c>
      <c r="B253" s="25">
        <f>IFERROR(IF(SUMIFS(tblDaily[Admissions],tblDaily[EntryDate],DATE(2026,7,6),tblDaily[WardCode],"MAE")=0,"",SUMIFS(tblDaily[Admissions],tblDaily[EntryDate],DATE(2026,7,6),tblDaily[WardCode],"MAE")),"")</f>
        <v/>
      </c>
      <c r="C253" s="25">
        <f>IFERROR(IF(SUMIFS(tblDaily[Discharges],tblDaily[EntryDate],DATE(2026,7,6),tblDaily[WardCode],"MAE")=0,"",SUMIFS(tblDaily[Discharges],tblDaily[EntryDate],DATE(2026,7,6),tblDaily[WardCode],"MAE")),"")</f>
        <v/>
      </c>
      <c r="D253" s="25">
        <f>IFERROR(IF(SUMIFS(tblDaily[Deaths],tblDaily[EntryDate],DATE(2026,7,6),tblDaily[WardCode],"MAE")=0,"",SUMIFS(tblDaily[Deaths],tblDaily[EntryDate],DATE(2026,7,6),tblDaily[WardCode],"MAE")),"")</f>
        <v/>
      </c>
      <c r="E253" s="25">
        <f>IFERROR(IF(SUMIFS(tblDaily[DeathsUnder24Hrs],tblDaily[EntryDate],DATE(2026,7,6),tblDaily[WardCode],"MAE")=0,"",SUMIFS(tblDaily[DeathsUnder24Hrs],tblDaily[EntryDate],DATE(2026,7,6),tblDaily[WardCode],"MAE")),"")</f>
        <v/>
      </c>
      <c r="F253" s="25">
        <f>IFERROR(IF(SUMIFS(tblDaily[TransfersIn],tblDaily[EntryDate],DATE(2026,7,6),tblDaily[WardCode],"MAE")=0,"",SUMIFS(tblDaily[TransfersIn],tblDaily[EntryDate],DATE(2026,7,6),tblDaily[WardCode],"MAE")),"")</f>
        <v/>
      </c>
      <c r="G253" s="25">
        <f>IFERROR(IF(SUMIFS(tblDaily[TransfersOut],tblDaily[EntryDate],DATE(2026,7,6),tblDaily[WardCode],"MAE")=0,"",SUMIFS(tblDaily[TransfersOut],tblDaily[EntryDate],DATE(2026,7,6),tblDaily[WardCode],"MAE")),"")</f>
        <v/>
      </c>
      <c r="H253" s="25">
        <f>IFERROR(IF(SUMIFS(tblDaily[Remaining],tblDaily[EntryDate],DATE(2026,7,6),tblDaily[WardCode],"MAE")=0,"",SUMIFS(tblDaily[Remaining],tblDaily[EntryDate],DATE(2026,7,6),tblDaily[WardCode],"MAE")),"")</f>
        <v/>
      </c>
      <c r="I253" s="25">
        <f>IFERROR(IF(SUMIFS(tblDaily[Admissions],tblDaily[EntryDate],DATE(2026,7,6),tblDaily[WardCode],"FAE")=0,"",SUMIFS(tblDaily[Admissions],tblDaily[EntryDate],DATE(2026,7,6),tblDaily[WardCode],"FAE")),"")</f>
        <v/>
      </c>
      <c r="J253" s="25">
        <f>IFERROR(IF(SUMIFS(tblDaily[Discharges],tblDaily[EntryDate],DATE(2026,7,6),tblDaily[WardCode],"FAE")=0,"",SUMIFS(tblDaily[Discharges],tblDaily[EntryDate],DATE(2026,7,6),tblDaily[WardCode],"FAE")),"")</f>
        <v/>
      </c>
      <c r="K253" s="25">
        <f>IFERROR(IF(SUMIFS(tblDaily[Deaths],tblDaily[EntryDate],DATE(2026,7,6),tblDaily[WardCode],"FAE")=0,"",SUMIFS(tblDaily[Deaths],tblDaily[EntryDate],DATE(2026,7,6),tblDaily[WardCode],"FAE")),"")</f>
        <v/>
      </c>
      <c r="L253" s="25">
        <f>IFERROR(IF(SUMIFS(tblDaily[DeathsUnder24Hrs],tblDaily[EntryDate],DATE(2026,7,6),tblDaily[WardCode],"FAE")=0,"",SUMIFS(tblDaily[DeathsUnder24Hrs],tblDaily[EntryDate],DATE(2026,7,6),tblDaily[WardCode],"FAE")),"")</f>
        <v/>
      </c>
      <c r="M253" s="25">
        <f>IFERROR(IF(SUMIFS(tblDaily[TransfersIn],tblDaily[EntryDate],DATE(2026,7,6),tblDaily[WardCode],"FAE")=0,"",SUMIFS(tblDaily[TransfersIn],tblDaily[EntryDate],DATE(2026,7,6),tblDaily[WardCode],"FAE")),"")</f>
        <v/>
      </c>
      <c r="N253" s="25">
        <f>IFERROR(IF(SUMIFS(tblDaily[TransfersOut],tblDaily[EntryDate],DATE(2026,7,6),tblDaily[WardCode],"FAE")=0,"",SUMIFS(tblDaily[TransfersOut],tblDaily[EntryDate],DATE(2026,7,6),tblDaily[WardCode],"FAE")),"")</f>
        <v/>
      </c>
      <c r="O253" s="25">
        <f>IFERROR(IF(SUMIFS(tblDaily[Remaining],tblDaily[EntryDate],DATE(2026,7,6),tblDaily[WardCode],"FAE")=0,"",SUMIFS(tblDaily[Remaining],tblDaily[EntryDate],DATE(2026,7,6),tblDaily[WardCode],"FAE")),"")</f>
        <v/>
      </c>
      <c r="P253" s="26">
        <f>IF(AND(H253="", O253=""), "", N(H253) + N(O253))</f>
        <v/>
      </c>
    </row>
    <row r="254">
      <c r="A254" s="25" t="n">
        <v>7</v>
      </c>
      <c r="B254" s="25">
        <f>IFERROR(IF(SUMIFS(tblDaily[Admissions],tblDaily[EntryDate],DATE(2026,7,7),tblDaily[WardCode],"MAE")=0,"",SUMIFS(tblDaily[Admissions],tblDaily[EntryDate],DATE(2026,7,7),tblDaily[WardCode],"MAE")),"")</f>
        <v/>
      </c>
      <c r="C254" s="25">
        <f>IFERROR(IF(SUMIFS(tblDaily[Discharges],tblDaily[EntryDate],DATE(2026,7,7),tblDaily[WardCode],"MAE")=0,"",SUMIFS(tblDaily[Discharges],tblDaily[EntryDate],DATE(2026,7,7),tblDaily[WardCode],"MAE")),"")</f>
        <v/>
      </c>
      <c r="D254" s="25">
        <f>IFERROR(IF(SUMIFS(tblDaily[Deaths],tblDaily[EntryDate],DATE(2026,7,7),tblDaily[WardCode],"MAE")=0,"",SUMIFS(tblDaily[Deaths],tblDaily[EntryDate],DATE(2026,7,7),tblDaily[WardCode],"MAE")),"")</f>
        <v/>
      </c>
      <c r="E254" s="25">
        <f>IFERROR(IF(SUMIFS(tblDaily[DeathsUnder24Hrs],tblDaily[EntryDate],DATE(2026,7,7),tblDaily[WardCode],"MAE")=0,"",SUMIFS(tblDaily[DeathsUnder24Hrs],tblDaily[EntryDate],DATE(2026,7,7),tblDaily[WardCode],"MAE")),"")</f>
        <v/>
      </c>
      <c r="F254" s="25">
        <f>IFERROR(IF(SUMIFS(tblDaily[TransfersIn],tblDaily[EntryDate],DATE(2026,7,7),tblDaily[WardCode],"MAE")=0,"",SUMIFS(tblDaily[TransfersIn],tblDaily[EntryDate],DATE(2026,7,7),tblDaily[WardCode],"MAE")),"")</f>
        <v/>
      </c>
      <c r="G254" s="25">
        <f>IFERROR(IF(SUMIFS(tblDaily[TransfersOut],tblDaily[EntryDate],DATE(2026,7,7),tblDaily[WardCode],"MAE")=0,"",SUMIFS(tblDaily[TransfersOut],tblDaily[EntryDate],DATE(2026,7,7),tblDaily[WardCode],"MAE")),"")</f>
        <v/>
      </c>
      <c r="H254" s="25">
        <f>IFERROR(IF(SUMIFS(tblDaily[Remaining],tblDaily[EntryDate],DATE(2026,7,7),tblDaily[WardCode],"MAE")=0,"",SUMIFS(tblDaily[Remaining],tblDaily[EntryDate],DATE(2026,7,7),tblDaily[WardCode],"MAE")),"")</f>
        <v/>
      </c>
      <c r="I254" s="25">
        <f>IFERROR(IF(SUMIFS(tblDaily[Admissions],tblDaily[EntryDate],DATE(2026,7,7),tblDaily[WardCode],"FAE")=0,"",SUMIFS(tblDaily[Admissions],tblDaily[EntryDate],DATE(2026,7,7),tblDaily[WardCode],"FAE")),"")</f>
        <v/>
      </c>
      <c r="J254" s="25">
        <f>IFERROR(IF(SUMIFS(tblDaily[Discharges],tblDaily[EntryDate],DATE(2026,7,7),tblDaily[WardCode],"FAE")=0,"",SUMIFS(tblDaily[Discharges],tblDaily[EntryDate],DATE(2026,7,7),tblDaily[WardCode],"FAE")),"")</f>
        <v/>
      </c>
      <c r="K254" s="25">
        <f>IFERROR(IF(SUMIFS(tblDaily[Deaths],tblDaily[EntryDate],DATE(2026,7,7),tblDaily[WardCode],"FAE")=0,"",SUMIFS(tblDaily[Deaths],tblDaily[EntryDate],DATE(2026,7,7),tblDaily[WardCode],"FAE")),"")</f>
        <v/>
      </c>
      <c r="L254" s="25">
        <f>IFERROR(IF(SUMIFS(tblDaily[DeathsUnder24Hrs],tblDaily[EntryDate],DATE(2026,7,7),tblDaily[WardCode],"FAE")=0,"",SUMIFS(tblDaily[DeathsUnder24Hrs],tblDaily[EntryDate],DATE(2026,7,7),tblDaily[WardCode],"FAE")),"")</f>
        <v/>
      </c>
      <c r="M254" s="25">
        <f>IFERROR(IF(SUMIFS(tblDaily[TransfersIn],tblDaily[EntryDate],DATE(2026,7,7),tblDaily[WardCode],"FAE")=0,"",SUMIFS(tblDaily[TransfersIn],tblDaily[EntryDate],DATE(2026,7,7),tblDaily[WardCode],"FAE")),"")</f>
        <v/>
      </c>
      <c r="N254" s="25">
        <f>IFERROR(IF(SUMIFS(tblDaily[TransfersOut],tblDaily[EntryDate],DATE(2026,7,7),tblDaily[WardCode],"FAE")=0,"",SUMIFS(tblDaily[TransfersOut],tblDaily[EntryDate],DATE(2026,7,7),tblDaily[WardCode],"FAE")),"")</f>
        <v/>
      </c>
      <c r="O254" s="25">
        <f>IFERROR(IF(SUMIFS(tblDaily[Remaining],tblDaily[EntryDate],DATE(2026,7,7),tblDaily[WardCode],"FAE")=0,"",SUMIFS(tblDaily[Remaining],tblDaily[EntryDate],DATE(2026,7,7),tblDaily[WardCode],"FAE")),"")</f>
        <v/>
      </c>
      <c r="P254" s="26">
        <f>IF(AND(H254="", O254=""), "", N(H254) + N(O254))</f>
        <v/>
      </c>
    </row>
    <row r="255">
      <c r="A255" s="25" t="n">
        <v>8</v>
      </c>
      <c r="B255" s="25">
        <f>IFERROR(IF(SUMIFS(tblDaily[Admissions],tblDaily[EntryDate],DATE(2026,7,8),tblDaily[WardCode],"MAE")=0,"",SUMIFS(tblDaily[Admissions],tblDaily[EntryDate],DATE(2026,7,8),tblDaily[WardCode],"MAE")),"")</f>
        <v/>
      </c>
      <c r="C255" s="25">
        <f>IFERROR(IF(SUMIFS(tblDaily[Discharges],tblDaily[EntryDate],DATE(2026,7,8),tblDaily[WardCode],"MAE")=0,"",SUMIFS(tblDaily[Discharges],tblDaily[EntryDate],DATE(2026,7,8),tblDaily[WardCode],"MAE")),"")</f>
        <v/>
      </c>
      <c r="D255" s="25">
        <f>IFERROR(IF(SUMIFS(tblDaily[Deaths],tblDaily[EntryDate],DATE(2026,7,8),tblDaily[WardCode],"MAE")=0,"",SUMIFS(tblDaily[Deaths],tblDaily[EntryDate],DATE(2026,7,8),tblDaily[WardCode],"MAE")),"")</f>
        <v/>
      </c>
      <c r="E255" s="25">
        <f>IFERROR(IF(SUMIFS(tblDaily[DeathsUnder24Hrs],tblDaily[EntryDate],DATE(2026,7,8),tblDaily[WardCode],"MAE")=0,"",SUMIFS(tblDaily[DeathsUnder24Hrs],tblDaily[EntryDate],DATE(2026,7,8),tblDaily[WardCode],"MAE")),"")</f>
        <v/>
      </c>
      <c r="F255" s="25">
        <f>IFERROR(IF(SUMIFS(tblDaily[TransfersIn],tblDaily[EntryDate],DATE(2026,7,8),tblDaily[WardCode],"MAE")=0,"",SUMIFS(tblDaily[TransfersIn],tblDaily[EntryDate],DATE(2026,7,8),tblDaily[WardCode],"MAE")),"")</f>
        <v/>
      </c>
      <c r="G255" s="25">
        <f>IFERROR(IF(SUMIFS(tblDaily[TransfersOut],tblDaily[EntryDate],DATE(2026,7,8),tblDaily[WardCode],"MAE")=0,"",SUMIFS(tblDaily[TransfersOut],tblDaily[EntryDate],DATE(2026,7,8),tblDaily[WardCode],"MAE")),"")</f>
        <v/>
      </c>
      <c r="H255" s="25">
        <f>IFERROR(IF(SUMIFS(tblDaily[Remaining],tblDaily[EntryDate],DATE(2026,7,8),tblDaily[WardCode],"MAE")=0,"",SUMIFS(tblDaily[Remaining],tblDaily[EntryDate],DATE(2026,7,8),tblDaily[WardCode],"MAE")),"")</f>
        <v/>
      </c>
      <c r="I255" s="25">
        <f>IFERROR(IF(SUMIFS(tblDaily[Admissions],tblDaily[EntryDate],DATE(2026,7,8),tblDaily[WardCode],"FAE")=0,"",SUMIFS(tblDaily[Admissions],tblDaily[EntryDate],DATE(2026,7,8),tblDaily[WardCode],"FAE")),"")</f>
        <v/>
      </c>
      <c r="J255" s="25">
        <f>IFERROR(IF(SUMIFS(tblDaily[Discharges],tblDaily[EntryDate],DATE(2026,7,8),tblDaily[WardCode],"FAE")=0,"",SUMIFS(tblDaily[Discharges],tblDaily[EntryDate],DATE(2026,7,8),tblDaily[WardCode],"FAE")),"")</f>
        <v/>
      </c>
      <c r="K255" s="25">
        <f>IFERROR(IF(SUMIFS(tblDaily[Deaths],tblDaily[EntryDate],DATE(2026,7,8),tblDaily[WardCode],"FAE")=0,"",SUMIFS(tblDaily[Deaths],tblDaily[EntryDate],DATE(2026,7,8),tblDaily[WardCode],"FAE")),"")</f>
        <v/>
      </c>
      <c r="L255" s="25">
        <f>IFERROR(IF(SUMIFS(tblDaily[DeathsUnder24Hrs],tblDaily[EntryDate],DATE(2026,7,8),tblDaily[WardCode],"FAE")=0,"",SUMIFS(tblDaily[DeathsUnder24Hrs],tblDaily[EntryDate],DATE(2026,7,8),tblDaily[WardCode],"FAE")),"")</f>
        <v/>
      </c>
      <c r="M255" s="25">
        <f>IFERROR(IF(SUMIFS(tblDaily[TransfersIn],tblDaily[EntryDate],DATE(2026,7,8),tblDaily[WardCode],"FAE")=0,"",SUMIFS(tblDaily[TransfersIn],tblDaily[EntryDate],DATE(2026,7,8),tblDaily[WardCode],"FAE")),"")</f>
        <v/>
      </c>
      <c r="N255" s="25">
        <f>IFERROR(IF(SUMIFS(tblDaily[TransfersOut],tblDaily[EntryDate],DATE(2026,7,8),tblDaily[WardCode],"FAE")=0,"",SUMIFS(tblDaily[TransfersOut],tblDaily[EntryDate],DATE(2026,7,8),tblDaily[WardCode],"FAE")),"")</f>
        <v/>
      </c>
      <c r="O255" s="25">
        <f>IFERROR(IF(SUMIFS(tblDaily[Remaining],tblDaily[EntryDate],DATE(2026,7,8),tblDaily[WardCode],"FAE")=0,"",SUMIFS(tblDaily[Remaining],tblDaily[EntryDate],DATE(2026,7,8),tblDaily[WardCode],"FAE")),"")</f>
        <v/>
      </c>
      <c r="P255" s="26">
        <f>IF(AND(H255="", O255=""), "", N(H255) + N(O255))</f>
        <v/>
      </c>
    </row>
    <row r="256">
      <c r="A256" s="25" t="n">
        <v>9</v>
      </c>
      <c r="B256" s="25">
        <f>IFERROR(IF(SUMIFS(tblDaily[Admissions],tblDaily[EntryDate],DATE(2026,7,9),tblDaily[WardCode],"MAE")=0,"",SUMIFS(tblDaily[Admissions],tblDaily[EntryDate],DATE(2026,7,9),tblDaily[WardCode],"MAE")),"")</f>
        <v/>
      </c>
      <c r="C256" s="25">
        <f>IFERROR(IF(SUMIFS(tblDaily[Discharges],tblDaily[EntryDate],DATE(2026,7,9),tblDaily[WardCode],"MAE")=0,"",SUMIFS(tblDaily[Discharges],tblDaily[EntryDate],DATE(2026,7,9),tblDaily[WardCode],"MAE")),"")</f>
        <v/>
      </c>
      <c r="D256" s="25">
        <f>IFERROR(IF(SUMIFS(tblDaily[Deaths],tblDaily[EntryDate],DATE(2026,7,9),tblDaily[WardCode],"MAE")=0,"",SUMIFS(tblDaily[Deaths],tblDaily[EntryDate],DATE(2026,7,9),tblDaily[WardCode],"MAE")),"")</f>
        <v/>
      </c>
      <c r="E256" s="25">
        <f>IFERROR(IF(SUMIFS(tblDaily[DeathsUnder24Hrs],tblDaily[EntryDate],DATE(2026,7,9),tblDaily[WardCode],"MAE")=0,"",SUMIFS(tblDaily[DeathsUnder24Hrs],tblDaily[EntryDate],DATE(2026,7,9),tblDaily[WardCode],"MAE")),"")</f>
        <v/>
      </c>
      <c r="F256" s="25">
        <f>IFERROR(IF(SUMIFS(tblDaily[TransfersIn],tblDaily[EntryDate],DATE(2026,7,9),tblDaily[WardCode],"MAE")=0,"",SUMIFS(tblDaily[TransfersIn],tblDaily[EntryDate],DATE(2026,7,9),tblDaily[WardCode],"MAE")),"")</f>
        <v/>
      </c>
      <c r="G256" s="25">
        <f>IFERROR(IF(SUMIFS(tblDaily[TransfersOut],tblDaily[EntryDate],DATE(2026,7,9),tblDaily[WardCode],"MAE")=0,"",SUMIFS(tblDaily[TransfersOut],tblDaily[EntryDate],DATE(2026,7,9),tblDaily[WardCode],"MAE")),"")</f>
        <v/>
      </c>
      <c r="H256" s="25">
        <f>IFERROR(IF(SUMIFS(tblDaily[Remaining],tblDaily[EntryDate],DATE(2026,7,9),tblDaily[WardCode],"MAE")=0,"",SUMIFS(tblDaily[Remaining],tblDaily[EntryDate],DATE(2026,7,9),tblDaily[WardCode],"MAE")),"")</f>
        <v/>
      </c>
      <c r="I256" s="25">
        <f>IFERROR(IF(SUMIFS(tblDaily[Admissions],tblDaily[EntryDate],DATE(2026,7,9),tblDaily[WardCode],"FAE")=0,"",SUMIFS(tblDaily[Admissions],tblDaily[EntryDate],DATE(2026,7,9),tblDaily[WardCode],"FAE")),"")</f>
        <v/>
      </c>
      <c r="J256" s="25">
        <f>IFERROR(IF(SUMIFS(tblDaily[Discharges],tblDaily[EntryDate],DATE(2026,7,9),tblDaily[WardCode],"FAE")=0,"",SUMIFS(tblDaily[Discharges],tblDaily[EntryDate],DATE(2026,7,9),tblDaily[WardCode],"FAE")),"")</f>
        <v/>
      </c>
      <c r="K256" s="25">
        <f>IFERROR(IF(SUMIFS(tblDaily[Deaths],tblDaily[EntryDate],DATE(2026,7,9),tblDaily[WardCode],"FAE")=0,"",SUMIFS(tblDaily[Deaths],tblDaily[EntryDate],DATE(2026,7,9),tblDaily[WardCode],"FAE")),"")</f>
        <v/>
      </c>
      <c r="L256" s="25">
        <f>IFERROR(IF(SUMIFS(tblDaily[DeathsUnder24Hrs],tblDaily[EntryDate],DATE(2026,7,9),tblDaily[WardCode],"FAE")=0,"",SUMIFS(tblDaily[DeathsUnder24Hrs],tblDaily[EntryDate],DATE(2026,7,9),tblDaily[WardCode],"FAE")),"")</f>
        <v/>
      </c>
      <c r="M256" s="25">
        <f>IFERROR(IF(SUMIFS(tblDaily[TransfersIn],tblDaily[EntryDate],DATE(2026,7,9),tblDaily[WardCode],"FAE")=0,"",SUMIFS(tblDaily[TransfersIn],tblDaily[EntryDate],DATE(2026,7,9),tblDaily[WardCode],"FAE")),"")</f>
        <v/>
      </c>
      <c r="N256" s="25">
        <f>IFERROR(IF(SUMIFS(tblDaily[TransfersOut],tblDaily[EntryDate],DATE(2026,7,9),tblDaily[WardCode],"FAE")=0,"",SUMIFS(tblDaily[TransfersOut],tblDaily[EntryDate],DATE(2026,7,9),tblDaily[WardCode],"FAE")),"")</f>
        <v/>
      </c>
      <c r="O256" s="25">
        <f>IFERROR(IF(SUMIFS(tblDaily[Remaining],tblDaily[EntryDate],DATE(2026,7,9),tblDaily[WardCode],"FAE")=0,"",SUMIFS(tblDaily[Remaining],tblDaily[EntryDate],DATE(2026,7,9),tblDaily[WardCode],"FAE")),"")</f>
        <v/>
      </c>
      <c r="P256" s="26">
        <f>IF(AND(H256="", O256=""), "", N(H256) + N(O256))</f>
        <v/>
      </c>
    </row>
    <row r="257">
      <c r="A257" s="25" t="n">
        <v>10</v>
      </c>
      <c r="B257" s="25">
        <f>IFERROR(IF(SUMIFS(tblDaily[Admissions],tblDaily[EntryDate],DATE(2026,7,10),tblDaily[WardCode],"MAE")=0,"",SUMIFS(tblDaily[Admissions],tblDaily[EntryDate],DATE(2026,7,10),tblDaily[WardCode],"MAE")),"")</f>
        <v/>
      </c>
      <c r="C257" s="25">
        <f>IFERROR(IF(SUMIFS(tblDaily[Discharges],tblDaily[EntryDate],DATE(2026,7,10),tblDaily[WardCode],"MAE")=0,"",SUMIFS(tblDaily[Discharges],tblDaily[EntryDate],DATE(2026,7,10),tblDaily[WardCode],"MAE")),"")</f>
        <v/>
      </c>
      <c r="D257" s="25">
        <f>IFERROR(IF(SUMIFS(tblDaily[Deaths],tblDaily[EntryDate],DATE(2026,7,10),tblDaily[WardCode],"MAE")=0,"",SUMIFS(tblDaily[Deaths],tblDaily[EntryDate],DATE(2026,7,10),tblDaily[WardCode],"MAE")),"")</f>
        <v/>
      </c>
      <c r="E257" s="25">
        <f>IFERROR(IF(SUMIFS(tblDaily[DeathsUnder24Hrs],tblDaily[EntryDate],DATE(2026,7,10),tblDaily[WardCode],"MAE")=0,"",SUMIFS(tblDaily[DeathsUnder24Hrs],tblDaily[EntryDate],DATE(2026,7,10),tblDaily[WardCode],"MAE")),"")</f>
        <v/>
      </c>
      <c r="F257" s="25">
        <f>IFERROR(IF(SUMIFS(tblDaily[TransfersIn],tblDaily[EntryDate],DATE(2026,7,10),tblDaily[WardCode],"MAE")=0,"",SUMIFS(tblDaily[TransfersIn],tblDaily[EntryDate],DATE(2026,7,10),tblDaily[WardCode],"MAE")),"")</f>
        <v/>
      </c>
      <c r="G257" s="25">
        <f>IFERROR(IF(SUMIFS(tblDaily[TransfersOut],tblDaily[EntryDate],DATE(2026,7,10),tblDaily[WardCode],"MAE")=0,"",SUMIFS(tblDaily[TransfersOut],tblDaily[EntryDate],DATE(2026,7,10),tblDaily[WardCode],"MAE")),"")</f>
        <v/>
      </c>
      <c r="H257" s="25">
        <f>IFERROR(IF(SUMIFS(tblDaily[Remaining],tblDaily[EntryDate],DATE(2026,7,10),tblDaily[WardCode],"MAE")=0,"",SUMIFS(tblDaily[Remaining],tblDaily[EntryDate],DATE(2026,7,10),tblDaily[WardCode],"MAE")),"")</f>
        <v/>
      </c>
      <c r="I257" s="25">
        <f>IFERROR(IF(SUMIFS(tblDaily[Admissions],tblDaily[EntryDate],DATE(2026,7,10),tblDaily[WardCode],"FAE")=0,"",SUMIFS(tblDaily[Admissions],tblDaily[EntryDate],DATE(2026,7,10),tblDaily[WardCode],"FAE")),"")</f>
        <v/>
      </c>
      <c r="J257" s="25">
        <f>IFERROR(IF(SUMIFS(tblDaily[Discharges],tblDaily[EntryDate],DATE(2026,7,10),tblDaily[WardCode],"FAE")=0,"",SUMIFS(tblDaily[Discharges],tblDaily[EntryDate],DATE(2026,7,10),tblDaily[WardCode],"FAE")),"")</f>
        <v/>
      </c>
      <c r="K257" s="25">
        <f>IFERROR(IF(SUMIFS(tblDaily[Deaths],tblDaily[EntryDate],DATE(2026,7,10),tblDaily[WardCode],"FAE")=0,"",SUMIFS(tblDaily[Deaths],tblDaily[EntryDate],DATE(2026,7,10),tblDaily[WardCode],"FAE")),"")</f>
        <v/>
      </c>
      <c r="L257" s="25">
        <f>IFERROR(IF(SUMIFS(tblDaily[DeathsUnder24Hrs],tblDaily[EntryDate],DATE(2026,7,10),tblDaily[WardCode],"FAE")=0,"",SUMIFS(tblDaily[DeathsUnder24Hrs],tblDaily[EntryDate],DATE(2026,7,10),tblDaily[WardCode],"FAE")),"")</f>
        <v/>
      </c>
      <c r="M257" s="25">
        <f>IFERROR(IF(SUMIFS(tblDaily[TransfersIn],tblDaily[EntryDate],DATE(2026,7,10),tblDaily[WardCode],"FAE")=0,"",SUMIFS(tblDaily[TransfersIn],tblDaily[EntryDate],DATE(2026,7,10),tblDaily[WardCode],"FAE")),"")</f>
        <v/>
      </c>
      <c r="N257" s="25">
        <f>IFERROR(IF(SUMIFS(tblDaily[TransfersOut],tblDaily[EntryDate],DATE(2026,7,10),tblDaily[WardCode],"FAE")=0,"",SUMIFS(tblDaily[TransfersOut],tblDaily[EntryDate],DATE(2026,7,10),tblDaily[WardCode],"FAE")),"")</f>
        <v/>
      </c>
      <c r="O257" s="25">
        <f>IFERROR(IF(SUMIFS(tblDaily[Remaining],tblDaily[EntryDate],DATE(2026,7,10),tblDaily[WardCode],"FAE")=0,"",SUMIFS(tblDaily[Remaining],tblDaily[EntryDate],DATE(2026,7,10),tblDaily[WardCode],"FAE")),"")</f>
        <v/>
      </c>
      <c r="P257" s="26">
        <f>IF(AND(H257="", O257=""), "", N(H257) + N(O257))</f>
        <v/>
      </c>
    </row>
    <row r="258">
      <c r="A258" s="25" t="n">
        <v>11</v>
      </c>
      <c r="B258" s="25">
        <f>IFERROR(IF(SUMIFS(tblDaily[Admissions],tblDaily[EntryDate],DATE(2026,7,11),tblDaily[WardCode],"MAE")=0,"",SUMIFS(tblDaily[Admissions],tblDaily[EntryDate],DATE(2026,7,11),tblDaily[WardCode],"MAE")),"")</f>
        <v/>
      </c>
      <c r="C258" s="25">
        <f>IFERROR(IF(SUMIFS(tblDaily[Discharges],tblDaily[EntryDate],DATE(2026,7,11),tblDaily[WardCode],"MAE")=0,"",SUMIFS(tblDaily[Discharges],tblDaily[EntryDate],DATE(2026,7,11),tblDaily[WardCode],"MAE")),"")</f>
        <v/>
      </c>
      <c r="D258" s="25">
        <f>IFERROR(IF(SUMIFS(tblDaily[Deaths],tblDaily[EntryDate],DATE(2026,7,11),tblDaily[WardCode],"MAE")=0,"",SUMIFS(tblDaily[Deaths],tblDaily[EntryDate],DATE(2026,7,11),tblDaily[WardCode],"MAE")),"")</f>
        <v/>
      </c>
      <c r="E258" s="25">
        <f>IFERROR(IF(SUMIFS(tblDaily[DeathsUnder24Hrs],tblDaily[EntryDate],DATE(2026,7,11),tblDaily[WardCode],"MAE")=0,"",SUMIFS(tblDaily[DeathsUnder24Hrs],tblDaily[EntryDate],DATE(2026,7,11),tblDaily[WardCode],"MAE")),"")</f>
        <v/>
      </c>
      <c r="F258" s="25">
        <f>IFERROR(IF(SUMIFS(tblDaily[TransfersIn],tblDaily[EntryDate],DATE(2026,7,11),tblDaily[WardCode],"MAE")=0,"",SUMIFS(tblDaily[TransfersIn],tblDaily[EntryDate],DATE(2026,7,11),tblDaily[WardCode],"MAE")),"")</f>
        <v/>
      </c>
      <c r="G258" s="25">
        <f>IFERROR(IF(SUMIFS(tblDaily[TransfersOut],tblDaily[EntryDate],DATE(2026,7,11),tblDaily[WardCode],"MAE")=0,"",SUMIFS(tblDaily[TransfersOut],tblDaily[EntryDate],DATE(2026,7,11),tblDaily[WardCode],"MAE")),"")</f>
        <v/>
      </c>
      <c r="H258" s="25">
        <f>IFERROR(IF(SUMIFS(tblDaily[Remaining],tblDaily[EntryDate],DATE(2026,7,11),tblDaily[WardCode],"MAE")=0,"",SUMIFS(tblDaily[Remaining],tblDaily[EntryDate],DATE(2026,7,11),tblDaily[WardCode],"MAE")),"")</f>
        <v/>
      </c>
      <c r="I258" s="25">
        <f>IFERROR(IF(SUMIFS(tblDaily[Admissions],tblDaily[EntryDate],DATE(2026,7,11),tblDaily[WardCode],"FAE")=0,"",SUMIFS(tblDaily[Admissions],tblDaily[EntryDate],DATE(2026,7,11),tblDaily[WardCode],"FAE")),"")</f>
        <v/>
      </c>
      <c r="J258" s="25">
        <f>IFERROR(IF(SUMIFS(tblDaily[Discharges],tblDaily[EntryDate],DATE(2026,7,11),tblDaily[WardCode],"FAE")=0,"",SUMIFS(tblDaily[Discharges],tblDaily[EntryDate],DATE(2026,7,11),tblDaily[WardCode],"FAE")),"")</f>
        <v/>
      </c>
      <c r="K258" s="25">
        <f>IFERROR(IF(SUMIFS(tblDaily[Deaths],tblDaily[EntryDate],DATE(2026,7,11),tblDaily[WardCode],"FAE")=0,"",SUMIFS(tblDaily[Deaths],tblDaily[EntryDate],DATE(2026,7,11),tblDaily[WardCode],"FAE")),"")</f>
        <v/>
      </c>
      <c r="L258" s="25">
        <f>IFERROR(IF(SUMIFS(tblDaily[DeathsUnder24Hrs],tblDaily[EntryDate],DATE(2026,7,11),tblDaily[WardCode],"FAE")=0,"",SUMIFS(tblDaily[DeathsUnder24Hrs],tblDaily[EntryDate],DATE(2026,7,11),tblDaily[WardCode],"FAE")),"")</f>
        <v/>
      </c>
      <c r="M258" s="25">
        <f>IFERROR(IF(SUMIFS(tblDaily[TransfersIn],tblDaily[EntryDate],DATE(2026,7,11),tblDaily[WardCode],"FAE")=0,"",SUMIFS(tblDaily[TransfersIn],tblDaily[EntryDate],DATE(2026,7,11),tblDaily[WardCode],"FAE")),"")</f>
        <v/>
      </c>
      <c r="N258" s="25">
        <f>IFERROR(IF(SUMIFS(tblDaily[TransfersOut],tblDaily[EntryDate],DATE(2026,7,11),tblDaily[WardCode],"FAE")=0,"",SUMIFS(tblDaily[TransfersOut],tblDaily[EntryDate],DATE(2026,7,11),tblDaily[WardCode],"FAE")),"")</f>
        <v/>
      </c>
      <c r="O258" s="25">
        <f>IFERROR(IF(SUMIFS(tblDaily[Remaining],tblDaily[EntryDate],DATE(2026,7,11),tblDaily[WardCode],"FAE")=0,"",SUMIFS(tblDaily[Remaining],tblDaily[EntryDate],DATE(2026,7,11),tblDaily[WardCode],"FAE")),"")</f>
        <v/>
      </c>
      <c r="P258" s="26">
        <f>IF(AND(H258="", O258=""), "", N(H258) + N(O258))</f>
        <v/>
      </c>
    </row>
    <row r="259">
      <c r="A259" s="25" t="n">
        <v>12</v>
      </c>
      <c r="B259" s="25">
        <f>IFERROR(IF(SUMIFS(tblDaily[Admissions],tblDaily[EntryDate],DATE(2026,7,12),tblDaily[WardCode],"MAE")=0,"",SUMIFS(tblDaily[Admissions],tblDaily[EntryDate],DATE(2026,7,12),tblDaily[WardCode],"MAE")),"")</f>
        <v/>
      </c>
      <c r="C259" s="25">
        <f>IFERROR(IF(SUMIFS(tblDaily[Discharges],tblDaily[EntryDate],DATE(2026,7,12),tblDaily[WardCode],"MAE")=0,"",SUMIFS(tblDaily[Discharges],tblDaily[EntryDate],DATE(2026,7,12),tblDaily[WardCode],"MAE")),"")</f>
        <v/>
      </c>
      <c r="D259" s="25">
        <f>IFERROR(IF(SUMIFS(tblDaily[Deaths],tblDaily[EntryDate],DATE(2026,7,12),tblDaily[WardCode],"MAE")=0,"",SUMIFS(tblDaily[Deaths],tblDaily[EntryDate],DATE(2026,7,12),tblDaily[WardCode],"MAE")),"")</f>
        <v/>
      </c>
      <c r="E259" s="25">
        <f>IFERROR(IF(SUMIFS(tblDaily[DeathsUnder24Hrs],tblDaily[EntryDate],DATE(2026,7,12),tblDaily[WardCode],"MAE")=0,"",SUMIFS(tblDaily[DeathsUnder24Hrs],tblDaily[EntryDate],DATE(2026,7,12),tblDaily[WardCode],"MAE")),"")</f>
        <v/>
      </c>
      <c r="F259" s="25">
        <f>IFERROR(IF(SUMIFS(tblDaily[TransfersIn],tblDaily[EntryDate],DATE(2026,7,12),tblDaily[WardCode],"MAE")=0,"",SUMIFS(tblDaily[TransfersIn],tblDaily[EntryDate],DATE(2026,7,12),tblDaily[WardCode],"MAE")),"")</f>
        <v/>
      </c>
      <c r="G259" s="25">
        <f>IFERROR(IF(SUMIFS(tblDaily[TransfersOut],tblDaily[EntryDate],DATE(2026,7,12),tblDaily[WardCode],"MAE")=0,"",SUMIFS(tblDaily[TransfersOut],tblDaily[EntryDate],DATE(2026,7,12),tblDaily[WardCode],"MAE")),"")</f>
        <v/>
      </c>
      <c r="H259" s="25">
        <f>IFERROR(IF(SUMIFS(tblDaily[Remaining],tblDaily[EntryDate],DATE(2026,7,12),tblDaily[WardCode],"MAE")=0,"",SUMIFS(tblDaily[Remaining],tblDaily[EntryDate],DATE(2026,7,12),tblDaily[WardCode],"MAE")),"")</f>
        <v/>
      </c>
      <c r="I259" s="25">
        <f>IFERROR(IF(SUMIFS(tblDaily[Admissions],tblDaily[EntryDate],DATE(2026,7,12),tblDaily[WardCode],"FAE")=0,"",SUMIFS(tblDaily[Admissions],tblDaily[EntryDate],DATE(2026,7,12),tblDaily[WardCode],"FAE")),"")</f>
        <v/>
      </c>
      <c r="J259" s="25">
        <f>IFERROR(IF(SUMIFS(tblDaily[Discharges],tblDaily[EntryDate],DATE(2026,7,12),tblDaily[WardCode],"FAE")=0,"",SUMIFS(tblDaily[Discharges],tblDaily[EntryDate],DATE(2026,7,12),tblDaily[WardCode],"FAE")),"")</f>
        <v/>
      </c>
      <c r="K259" s="25">
        <f>IFERROR(IF(SUMIFS(tblDaily[Deaths],tblDaily[EntryDate],DATE(2026,7,12),tblDaily[WardCode],"FAE")=0,"",SUMIFS(tblDaily[Deaths],tblDaily[EntryDate],DATE(2026,7,12),tblDaily[WardCode],"FAE")),"")</f>
        <v/>
      </c>
      <c r="L259" s="25">
        <f>IFERROR(IF(SUMIFS(tblDaily[DeathsUnder24Hrs],tblDaily[EntryDate],DATE(2026,7,12),tblDaily[WardCode],"FAE")=0,"",SUMIFS(tblDaily[DeathsUnder24Hrs],tblDaily[EntryDate],DATE(2026,7,12),tblDaily[WardCode],"FAE")),"")</f>
        <v/>
      </c>
      <c r="M259" s="25">
        <f>IFERROR(IF(SUMIFS(tblDaily[TransfersIn],tblDaily[EntryDate],DATE(2026,7,12),tblDaily[WardCode],"FAE")=0,"",SUMIFS(tblDaily[TransfersIn],tblDaily[EntryDate],DATE(2026,7,12),tblDaily[WardCode],"FAE")),"")</f>
        <v/>
      </c>
      <c r="N259" s="25">
        <f>IFERROR(IF(SUMIFS(tblDaily[TransfersOut],tblDaily[EntryDate],DATE(2026,7,12),tblDaily[WardCode],"FAE")=0,"",SUMIFS(tblDaily[TransfersOut],tblDaily[EntryDate],DATE(2026,7,12),tblDaily[WardCode],"FAE")),"")</f>
        <v/>
      </c>
      <c r="O259" s="25">
        <f>IFERROR(IF(SUMIFS(tblDaily[Remaining],tblDaily[EntryDate],DATE(2026,7,12),tblDaily[WardCode],"FAE")=0,"",SUMIFS(tblDaily[Remaining],tblDaily[EntryDate],DATE(2026,7,12),tblDaily[WardCode],"FAE")),"")</f>
        <v/>
      </c>
      <c r="P259" s="26">
        <f>IF(AND(H259="", O259=""), "", N(H259) + N(O259))</f>
        <v/>
      </c>
    </row>
    <row r="260">
      <c r="A260" s="25" t="n">
        <v>13</v>
      </c>
      <c r="B260" s="25">
        <f>IFERROR(IF(SUMIFS(tblDaily[Admissions],tblDaily[EntryDate],DATE(2026,7,13),tblDaily[WardCode],"MAE")=0,"",SUMIFS(tblDaily[Admissions],tblDaily[EntryDate],DATE(2026,7,13),tblDaily[WardCode],"MAE")),"")</f>
        <v/>
      </c>
      <c r="C260" s="25">
        <f>IFERROR(IF(SUMIFS(tblDaily[Discharges],tblDaily[EntryDate],DATE(2026,7,13),tblDaily[WardCode],"MAE")=0,"",SUMIFS(tblDaily[Discharges],tblDaily[EntryDate],DATE(2026,7,13),tblDaily[WardCode],"MAE")),"")</f>
        <v/>
      </c>
      <c r="D260" s="25">
        <f>IFERROR(IF(SUMIFS(tblDaily[Deaths],tblDaily[EntryDate],DATE(2026,7,13),tblDaily[WardCode],"MAE")=0,"",SUMIFS(tblDaily[Deaths],tblDaily[EntryDate],DATE(2026,7,13),tblDaily[WardCode],"MAE")),"")</f>
        <v/>
      </c>
      <c r="E260" s="25">
        <f>IFERROR(IF(SUMIFS(tblDaily[DeathsUnder24Hrs],tblDaily[EntryDate],DATE(2026,7,13),tblDaily[WardCode],"MAE")=0,"",SUMIFS(tblDaily[DeathsUnder24Hrs],tblDaily[EntryDate],DATE(2026,7,13),tblDaily[WardCode],"MAE")),"")</f>
        <v/>
      </c>
      <c r="F260" s="25">
        <f>IFERROR(IF(SUMIFS(tblDaily[TransfersIn],tblDaily[EntryDate],DATE(2026,7,13),tblDaily[WardCode],"MAE")=0,"",SUMIFS(tblDaily[TransfersIn],tblDaily[EntryDate],DATE(2026,7,13),tblDaily[WardCode],"MAE")),"")</f>
        <v/>
      </c>
      <c r="G260" s="25">
        <f>IFERROR(IF(SUMIFS(tblDaily[TransfersOut],tblDaily[EntryDate],DATE(2026,7,13),tblDaily[WardCode],"MAE")=0,"",SUMIFS(tblDaily[TransfersOut],tblDaily[EntryDate],DATE(2026,7,13),tblDaily[WardCode],"MAE")),"")</f>
        <v/>
      </c>
      <c r="H260" s="25">
        <f>IFERROR(IF(SUMIFS(tblDaily[Remaining],tblDaily[EntryDate],DATE(2026,7,13),tblDaily[WardCode],"MAE")=0,"",SUMIFS(tblDaily[Remaining],tblDaily[EntryDate],DATE(2026,7,13),tblDaily[WardCode],"MAE")),"")</f>
        <v/>
      </c>
      <c r="I260" s="25">
        <f>IFERROR(IF(SUMIFS(tblDaily[Admissions],tblDaily[EntryDate],DATE(2026,7,13),tblDaily[WardCode],"FAE")=0,"",SUMIFS(tblDaily[Admissions],tblDaily[EntryDate],DATE(2026,7,13),tblDaily[WardCode],"FAE")),"")</f>
        <v/>
      </c>
      <c r="J260" s="25">
        <f>IFERROR(IF(SUMIFS(tblDaily[Discharges],tblDaily[EntryDate],DATE(2026,7,13),tblDaily[WardCode],"FAE")=0,"",SUMIFS(tblDaily[Discharges],tblDaily[EntryDate],DATE(2026,7,13),tblDaily[WardCode],"FAE")),"")</f>
        <v/>
      </c>
      <c r="K260" s="25">
        <f>IFERROR(IF(SUMIFS(tblDaily[Deaths],tblDaily[EntryDate],DATE(2026,7,13),tblDaily[WardCode],"FAE")=0,"",SUMIFS(tblDaily[Deaths],tblDaily[EntryDate],DATE(2026,7,13),tblDaily[WardCode],"FAE")),"")</f>
        <v/>
      </c>
      <c r="L260" s="25">
        <f>IFERROR(IF(SUMIFS(tblDaily[DeathsUnder24Hrs],tblDaily[EntryDate],DATE(2026,7,13),tblDaily[WardCode],"FAE")=0,"",SUMIFS(tblDaily[DeathsUnder24Hrs],tblDaily[EntryDate],DATE(2026,7,13),tblDaily[WardCode],"FAE")),"")</f>
        <v/>
      </c>
      <c r="M260" s="25">
        <f>IFERROR(IF(SUMIFS(tblDaily[TransfersIn],tblDaily[EntryDate],DATE(2026,7,13),tblDaily[WardCode],"FAE")=0,"",SUMIFS(tblDaily[TransfersIn],tblDaily[EntryDate],DATE(2026,7,13),tblDaily[WardCode],"FAE")),"")</f>
        <v/>
      </c>
      <c r="N260" s="25">
        <f>IFERROR(IF(SUMIFS(tblDaily[TransfersOut],tblDaily[EntryDate],DATE(2026,7,13),tblDaily[WardCode],"FAE")=0,"",SUMIFS(tblDaily[TransfersOut],tblDaily[EntryDate],DATE(2026,7,13),tblDaily[WardCode],"FAE")),"")</f>
        <v/>
      </c>
      <c r="O260" s="25">
        <f>IFERROR(IF(SUMIFS(tblDaily[Remaining],tblDaily[EntryDate],DATE(2026,7,13),tblDaily[WardCode],"FAE")=0,"",SUMIFS(tblDaily[Remaining],tblDaily[EntryDate],DATE(2026,7,13),tblDaily[WardCode],"FAE")),"")</f>
        <v/>
      </c>
      <c r="P260" s="26">
        <f>IF(AND(H260="", O260=""), "", N(H260) + N(O260))</f>
        <v/>
      </c>
    </row>
    <row r="261">
      <c r="A261" s="25" t="n">
        <v>14</v>
      </c>
      <c r="B261" s="25">
        <f>IFERROR(IF(SUMIFS(tblDaily[Admissions],tblDaily[EntryDate],DATE(2026,7,14),tblDaily[WardCode],"MAE")=0,"",SUMIFS(tblDaily[Admissions],tblDaily[EntryDate],DATE(2026,7,14),tblDaily[WardCode],"MAE")),"")</f>
        <v/>
      </c>
      <c r="C261" s="25">
        <f>IFERROR(IF(SUMIFS(tblDaily[Discharges],tblDaily[EntryDate],DATE(2026,7,14),tblDaily[WardCode],"MAE")=0,"",SUMIFS(tblDaily[Discharges],tblDaily[EntryDate],DATE(2026,7,14),tblDaily[WardCode],"MAE")),"")</f>
        <v/>
      </c>
      <c r="D261" s="25">
        <f>IFERROR(IF(SUMIFS(tblDaily[Deaths],tblDaily[EntryDate],DATE(2026,7,14),tblDaily[WardCode],"MAE")=0,"",SUMIFS(tblDaily[Deaths],tblDaily[EntryDate],DATE(2026,7,14),tblDaily[WardCode],"MAE")),"")</f>
        <v/>
      </c>
      <c r="E261" s="25">
        <f>IFERROR(IF(SUMIFS(tblDaily[DeathsUnder24Hrs],tblDaily[EntryDate],DATE(2026,7,14),tblDaily[WardCode],"MAE")=0,"",SUMIFS(tblDaily[DeathsUnder24Hrs],tblDaily[EntryDate],DATE(2026,7,14),tblDaily[WardCode],"MAE")),"")</f>
        <v/>
      </c>
      <c r="F261" s="25">
        <f>IFERROR(IF(SUMIFS(tblDaily[TransfersIn],tblDaily[EntryDate],DATE(2026,7,14),tblDaily[WardCode],"MAE")=0,"",SUMIFS(tblDaily[TransfersIn],tblDaily[EntryDate],DATE(2026,7,14),tblDaily[WardCode],"MAE")),"")</f>
        <v/>
      </c>
      <c r="G261" s="25">
        <f>IFERROR(IF(SUMIFS(tblDaily[TransfersOut],tblDaily[EntryDate],DATE(2026,7,14),tblDaily[WardCode],"MAE")=0,"",SUMIFS(tblDaily[TransfersOut],tblDaily[EntryDate],DATE(2026,7,14),tblDaily[WardCode],"MAE")),"")</f>
        <v/>
      </c>
      <c r="H261" s="25">
        <f>IFERROR(IF(SUMIFS(tblDaily[Remaining],tblDaily[EntryDate],DATE(2026,7,14),tblDaily[WardCode],"MAE")=0,"",SUMIFS(tblDaily[Remaining],tblDaily[EntryDate],DATE(2026,7,14),tblDaily[WardCode],"MAE")),"")</f>
        <v/>
      </c>
      <c r="I261" s="25">
        <f>IFERROR(IF(SUMIFS(tblDaily[Admissions],tblDaily[EntryDate],DATE(2026,7,14),tblDaily[WardCode],"FAE")=0,"",SUMIFS(tblDaily[Admissions],tblDaily[EntryDate],DATE(2026,7,14),tblDaily[WardCode],"FAE")),"")</f>
        <v/>
      </c>
      <c r="J261" s="25">
        <f>IFERROR(IF(SUMIFS(tblDaily[Discharges],tblDaily[EntryDate],DATE(2026,7,14),tblDaily[WardCode],"FAE")=0,"",SUMIFS(tblDaily[Discharges],tblDaily[EntryDate],DATE(2026,7,14),tblDaily[WardCode],"FAE")),"")</f>
        <v/>
      </c>
      <c r="K261" s="25">
        <f>IFERROR(IF(SUMIFS(tblDaily[Deaths],tblDaily[EntryDate],DATE(2026,7,14),tblDaily[WardCode],"FAE")=0,"",SUMIFS(tblDaily[Deaths],tblDaily[EntryDate],DATE(2026,7,14),tblDaily[WardCode],"FAE")),"")</f>
        <v/>
      </c>
      <c r="L261" s="25">
        <f>IFERROR(IF(SUMIFS(tblDaily[DeathsUnder24Hrs],tblDaily[EntryDate],DATE(2026,7,14),tblDaily[WardCode],"FAE")=0,"",SUMIFS(tblDaily[DeathsUnder24Hrs],tblDaily[EntryDate],DATE(2026,7,14),tblDaily[WardCode],"FAE")),"")</f>
        <v/>
      </c>
      <c r="M261" s="25">
        <f>IFERROR(IF(SUMIFS(tblDaily[TransfersIn],tblDaily[EntryDate],DATE(2026,7,14),tblDaily[WardCode],"FAE")=0,"",SUMIFS(tblDaily[TransfersIn],tblDaily[EntryDate],DATE(2026,7,14),tblDaily[WardCode],"FAE")),"")</f>
        <v/>
      </c>
      <c r="N261" s="25">
        <f>IFERROR(IF(SUMIFS(tblDaily[TransfersOut],tblDaily[EntryDate],DATE(2026,7,14),tblDaily[WardCode],"FAE")=0,"",SUMIFS(tblDaily[TransfersOut],tblDaily[EntryDate],DATE(2026,7,14),tblDaily[WardCode],"FAE")),"")</f>
        <v/>
      </c>
      <c r="O261" s="25">
        <f>IFERROR(IF(SUMIFS(tblDaily[Remaining],tblDaily[EntryDate],DATE(2026,7,14),tblDaily[WardCode],"FAE")=0,"",SUMIFS(tblDaily[Remaining],tblDaily[EntryDate],DATE(2026,7,14),tblDaily[WardCode],"FAE")),"")</f>
        <v/>
      </c>
      <c r="P261" s="26">
        <f>IF(AND(H261="", O261=""), "", N(H261) + N(O261))</f>
        <v/>
      </c>
    </row>
    <row r="262">
      <c r="A262" s="25" t="n">
        <v>15</v>
      </c>
      <c r="B262" s="25">
        <f>IFERROR(IF(SUMIFS(tblDaily[Admissions],tblDaily[EntryDate],DATE(2026,7,15),tblDaily[WardCode],"MAE")=0,"",SUMIFS(tblDaily[Admissions],tblDaily[EntryDate],DATE(2026,7,15),tblDaily[WardCode],"MAE")),"")</f>
        <v/>
      </c>
      <c r="C262" s="25">
        <f>IFERROR(IF(SUMIFS(tblDaily[Discharges],tblDaily[EntryDate],DATE(2026,7,15),tblDaily[WardCode],"MAE")=0,"",SUMIFS(tblDaily[Discharges],tblDaily[EntryDate],DATE(2026,7,15),tblDaily[WardCode],"MAE")),"")</f>
        <v/>
      </c>
      <c r="D262" s="25">
        <f>IFERROR(IF(SUMIFS(tblDaily[Deaths],tblDaily[EntryDate],DATE(2026,7,15),tblDaily[WardCode],"MAE")=0,"",SUMIFS(tblDaily[Deaths],tblDaily[EntryDate],DATE(2026,7,15),tblDaily[WardCode],"MAE")),"")</f>
        <v/>
      </c>
      <c r="E262" s="25">
        <f>IFERROR(IF(SUMIFS(tblDaily[DeathsUnder24Hrs],tblDaily[EntryDate],DATE(2026,7,15),tblDaily[WardCode],"MAE")=0,"",SUMIFS(tblDaily[DeathsUnder24Hrs],tblDaily[EntryDate],DATE(2026,7,15),tblDaily[WardCode],"MAE")),"")</f>
        <v/>
      </c>
      <c r="F262" s="25">
        <f>IFERROR(IF(SUMIFS(tblDaily[TransfersIn],tblDaily[EntryDate],DATE(2026,7,15),tblDaily[WardCode],"MAE")=0,"",SUMIFS(tblDaily[TransfersIn],tblDaily[EntryDate],DATE(2026,7,15),tblDaily[WardCode],"MAE")),"")</f>
        <v/>
      </c>
      <c r="G262" s="25">
        <f>IFERROR(IF(SUMIFS(tblDaily[TransfersOut],tblDaily[EntryDate],DATE(2026,7,15),tblDaily[WardCode],"MAE")=0,"",SUMIFS(tblDaily[TransfersOut],tblDaily[EntryDate],DATE(2026,7,15),tblDaily[WardCode],"MAE")),"")</f>
        <v/>
      </c>
      <c r="H262" s="25">
        <f>IFERROR(IF(SUMIFS(tblDaily[Remaining],tblDaily[EntryDate],DATE(2026,7,15),tblDaily[WardCode],"MAE")=0,"",SUMIFS(tblDaily[Remaining],tblDaily[EntryDate],DATE(2026,7,15),tblDaily[WardCode],"MAE")),"")</f>
        <v/>
      </c>
      <c r="I262" s="25">
        <f>IFERROR(IF(SUMIFS(tblDaily[Admissions],tblDaily[EntryDate],DATE(2026,7,15),tblDaily[WardCode],"FAE")=0,"",SUMIFS(tblDaily[Admissions],tblDaily[EntryDate],DATE(2026,7,15),tblDaily[WardCode],"FAE")),"")</f>
        <v/>
      </c>
      <c r="J262" s="25">
        <f>IFERROR(IF(SUMIFS(tblDaily[Discharges],tblDaily[EntryDate],DATE(2026,7,15),tblDaily[WardCode],"FAE")=0,"",SUMIFS(tblDaily[Discharges],tblDaily[EntryDate],DATE(2026,7,15),tblDaily[WardCode],"FAE")),"")</f>
        <v/>
      </c>
      <c r="K262" s="25">
        <f>IFERROR(IF(SUMIFS(tblDaily[Deaths],tblDaily[EntryDate],DATE(2026,7,15),tblDaily[WardCode],"FAE")=0,"",SUMIFS(tblDaily[Deaths],tblDaily[EntryDate],DATE(2026,7,15),tblDaily[WardCode],"FAE")),"")</f>
        <v/>
      </c>
      <c r="L262" s="25">
        <f>IFERROR(IF(SUMIFS(tblDaily[DeathsUnder24Hrs],tblDaily[EntryDate],DATE(2026,7,15),tblDaily[WardCode],"FAE")=0,"",SUMIFS(tblDaily[DeathsUnder24Hrs],tblDaily[EntryDate],DATE(2026,7,15),tblDaily[WardCode],"FAE")),"")</f>
        <v/>
      </c>
      <c r="M262" s="25">
        <f>IFERROR(IF(SUMIFS(tblDaily[TransfersIn],tblDaily[EntryDate],DATE(2026,7,15),tblDaily[WardCode],"FAE")=0,"",SUMIFS(tblDaily[TransfersIn],tblDaily[EntryDate],DATE(2026,7,15),tblDaily[WardCode],"FAE")),"")</f>
        <v/>
      </c>
      <c r="N262" s="25">
        <f>IFERROR(IF(SUMIFS(tblDaily[TransfersOut],tblDaily[EntryDate],DATE(2026,7,15),tblDaily[WardCode],"FAE")=0,"",SUMIFS(tblDaily[TransfersOut],tblDaily[EntryDate],DATE(2026,7,15),tblDaily[WardCode],"FAE")),"")</f>
        <v/>
      </c>
      <c r="O262" s="25">
        <f>IFERROR(IF(SUMIFS(tblDaily[Remaining],tblDaily[EntryDate],DATE(2026,7,15),tblDaily[WardCode],"FAE")=0,"",SUMIFS(tblDaily[Remaining],tblDaily[EntryDate],DATE(2026,7,15),tblDaily[WardCode],"FAE")),"")</f>
        <v/>
      </c>
      <c r="P262" s="26">
        <f>IF(AND(H262="", O262=""), "", N(H262) + N(O262))</f>
        <v/>
      </c>
    </row>
    <row r="263">
      <c r="A263" s="25" t="n">
        <v>16</v>
      </c>
      <c r="B263" s="25">
        <f>IFERROR(IF(SUMIFS(tblDaily[Admissions],tblDaily[EntryDate],DATE(2026,7,16),tblDaily[WardCode],"MAE")=0,"",SUMIFS(tblDaily[Admissions],tblDaily[EntryDate],DATE(2026,7,16),tblDaily[WardCode],"MAE")),"")</f>
        <v/>
      </c>
      <c r="C263" s="25">
        <f>IFERROR(IF(SUMIFS(tblDaily[Discharges],tblDaily[EntryDate],DATE(2026,7,16),tblDaily[WardCode],"MAE")=0,"",SUMIFS(tblDaily[Discharges],tblDaily[EntryDate],DATE(2026,7,16),tblDaily[WardCode],"MAE")),"")</f>
        <v/>
      </c>
      <c r="D263" s="25">
        <f>IFERROR(IF(SUMIFS(tblDaily[Deaths],tblDaily[EntryDate],DATE(2026,7,16),tblDaily[WardCode],"MAE")=0,"",SUMIFS(tblDaily[Deaths],tblDaily[EntryDate],DATE(2026,7,16),tblDaily[WardCode],"MAE")),"")</f>
        <v/>
      </c>
      <c r="E263" s="25">
        <f>IFERROR(IF(SUMIFS(tblDaily[DeathsUnder24Hrs],tblDaily[EntryDate],DATE(2026,7,16),tblDaily[WardCode],"MAE")=0,"",SUMIFS(tblDaily[DeathsUnder24Hrs],tblDaily[EntryDate],DATE(2026,7,16),tblDaily[WardCode],"MAE")),"")</f>
        <v/>
      </c>
      <c r="F263" s="25">
        <f>IFERROR(IF(SUMIFS(tblDaily[TransfersIn],tblDaily[EntryDate],DATE(2026,7,16),tblDaily[WardCode],"MAE")=0,"",SUMIFS(tblDaily[TransfersIn],tblDaily[EntryDate],DATE(2026,7,16),tblDaily[WardCode],"MAE")),"")</f>
        <v/>
      </c>
      <c r="G263" s="25">
        <f>IFERROR(IF(SUMIFS(tblDaily[TransfersOut],tblDaily[EntryDate],DATE(2026,7,16),tblDaily[WardCode],"MAE")=0,"",SUMIFS(tblDaily[TransfersOut],tblDaily[EntryDate],DATE(2026,7,16),tblDaily[WardCode],"MAE")),"")</f>
        <v/>
      </c>
      <c r="H263" s="25">
        <f>IFERROR(IF(SUMIFS(tblDaily[Remaining],tblDaily[EntryDate],DATE(2026,7,16),tblDaily[WardCode],"MAE")=0,"",SUMIFS(tblDaily[Remaining],tblDaily[EntryDate],DATE(2026,7,16),tblDaily[WardCode],"MAE")),"")</f>
        <v/>
      </c>
      <c r="I263" s="25">
        <f>IFERROR(IF(SUMIFS(tblDaily[Admissions],tblDaily[EntryDate],DATE(2026,7,16),tblDaily[WardCode],"FAE")=0,"",SUMIFS(tblDaily[Admissions],tblDaily[EntryDate],DATE(2026,7,16),tblDaily[WardCode],"FAE")),"")</f>
        <v/>
      </c>
      <c r="J263" s="25">
        <f>IFERROR(IF(SUMIFS(tblDaily[Discharges],tblDaily[EntryDate],DATE(2026,7,16),tblDaily[WardCode],"FAE")=0,"",SUMIFS(tblDaily[Discharges],tblDaily[EntryDate],DATE(2026,7,16),tblDaily[WardCode],"FAE")),"")</f>
        <v/>
      </c>
      <c r="K263" s="25">
        <f>IFERROR(IF(SUMIFS(tblDaily[Deaths],tblDaily[EntryDate],DATE(2026,7,16),tblDaily[WardCode],"FAE")=0,"",SUMIFS(tblDaily[Deaths],tblDaily[EntryDate],DATE(2026,7,16),tblDaily[WardCode],"FAE")),"")</f>
        <v/>
      </c>
      <c r="L263" s="25">
        <f>IFERROR(IF(SUMIFS(tblDaily[DeathsUnder24Hrs],tblDaily[EntryDate],DATE(2026,7,16),tblDaily[WardCode],"FAE")=0,"",SUMIFS(tblDaily[DeathsUnder24Hrs],tblDaily[EntryDate],DATE(2026,7,16),tblDaily[WardCode],"FAE")),"")</f>
        <v/>
      </c>
      <c r="M263" s="25">
        <f>IFERROR(IF(SUMIFS(tblDaily[TransfersIn],tblDaily[EntryDate],DATE(2026,7,16),tblDaily[WardCode],"FAE")=0,"",SUMIFS(tblDaily[TransfersIn],tblDaily[EntryDate],DATE(2026,7,16),tblDaily[WardCode],"FAE")),"")</f>
        <v/>
      </c>
      <c r="N263" s="25">
        <f>IFERROR(IF(SUMIFS(tblDaily[TransfersOut],tblDaily[EntryDate],DATE(2026,7,16),tblDaily[WardCode],"FAE")=0,"",SUMIFS(tblDaily[TransfersOut],tblDaily[EntryDate],DATE(2026,7,16),tblDaily[WardCode],"FAE")),"")</f>
        <v/>
      </c>
      <c r="O263" s="25">
        <f>IFERROR(IF(SUMIFS(tblDaily[Remaining],tblDaily[EntryDate],DATE(2026,7,16),tblDaily[WardCode],"FAE")=0,"",SUMIFS(tblDaily[Remaining],tblDaily[EntryDate],DATE(2026,7,16),tblDaily[WardCode],"FAE")),"")</f>
        <v/>
      </c>
      <c r="P263" s="26">
        <f>IF(AND(H263="", O263=""), "", N(H263) + N(O263))</f>
        <v/>
      </c>
    </row>
    <row r="264">
      <c r="A264" s="25" t="n">
        <v>17</v>
      </c>
      <c r="B264" s="25">
        <f>IFERROR(IF(SUMIFS(tblDaily[Admissions],tblDaily[EntryDate],DATE(2026,7,17),tblDaily[WardCode],"MAE")=0,"",SUMIFS(tblDaily[Admissions],tblDaily[EntryDate],DATE(2026,7,17),tblDaily[WardCode],"MAE")),"")</f>
        <v/>
      </c>
      <c r="C264" s="25">
        <f>IFERROR(IF(SUMIFS(tblDaily[Discharges],tblDaily[EntryDate],DATE(2026,7,17),tblDaily[WardCode],"MAE")=0,"",SUMIFS(tblDaily[Discharges],tblDaily[EntryDate],DATE(2026,7,17),tblDaily[WardCode],"MAE")),"")</f>
        <v/>
      </c>
      <c r="D264" s="25">
        <f>IFERROR(IF(SUMIFS(tblDaily[Deaths],tblDaily[EntryDate],DATE(2026,7,17),tblDaily[WardCode],"MAE")=0,"",SUMIFS(tblDaily[Deaths],tblDaily[EntryDate],DATE(2026,7,17),tblDaily[WardCode],"MAE")),"")</f>
        <v/>
      </c>
      <c r="E264" s="25">
        <f>IFERROR(IF(SUMIFS(tblDaily[DeathsUnder24Hrs],tblDaily[EntryDate],DATE(2026,7,17),tblDaily[WardCode],"MAE")=0,"",SUMIFS(tblDaily[DeathsUnder24Hrs],tblDaily[EntryDate],DATE(2026,7,17),tblDaily[WardCode],"MAE")),"")</f>
        <v/>
      </c>
      <c r="F264" s="25">
        <f>IFERROR(IF(SUMIFS(tblDaily[TransfersIn],tblDaily[EntryDate],DATE(2026,7,17),tblDaily[WardCode],"MAE")=0,"",SUMIFS(tblDaily[TransfersIn],tblDaily[EntryDate],DATE(2026,7,17),tblDaily[WardCode],"MAE")),"")</f>
        <v/>
      </c>
      <c r="G264" s="25">
        <f>IFERROR(IF(SUMIFS(tblDaily[TransfersOut],tblDaily[EntryDate],DATE(2026,7,17),tblDaily[WardCode],"MAE")=0,"",SUMIFS(tblDaily[TransfersOut],tblDaily[EntryDate],DATE(2026,7,17),tblDaily[WardCode],"MAE")),"")</f>
        <v/>
      </c>
      <c r="H264" s="25">
        <f>IFERROR(IF(SUMIFS(tblDaily[Remaining],tblDaily[EntryDate],DATE(2026,7,17),tblDaily[WardCode],"MAE")=0,"",SUMIFS(tblDaily[Remaining],tblDaily[EntryDate],DATE(2026,7,17),tblDaily[WardCode],"MAE")),"")</f>
        <v/>
      </c>
      <c r="I264" s="25">
        <f>IFERROR(IF(SUMIFS(tblDaily[Admissions],tblDaily[EntryDate],DATE(2026,7,17),tblDaily[WardCode],"FAE")=0,"",SUMIFS(tblDaily[Admissions],tblDaily[EntryDate],DATE(2026,7,17),tblDaily[WardCode],"FAE")),"")</f>
        <v/>
      </c>
      <c r="J264" s="25">
        <f>IFERROR(IF(SUMIFS(tblDaily[Discharges],tblDaily[EntryDate],DATE(2026,7,17),tblDaily[WardCode],"FAE")=0,"",SUMIFS(tblDaily[Discharges],tblDaily[EntryDate],DATE(2026,7,17),tblDaily[WardCode],"FAE")),"")</f>
        <v/>
      </c>
      <c r="K264" s="25">
        <f>IFERROR(IF(SUMIFS(tblDaily[Deaths],tblDaily[EntryDate],DATE(2026,7,17),tblDaily[WardCode],"FAE")=0,"",SUMIFS(tblDaily[Deaths],tblDaily[EntryDate],DATE(2026,7,17),tblDaily[WardCode],"FAE")),"")</f>
        <v/>
      </c>
      <c r="L264" s="25">
        <f>IFERROR(IF(SUMIFS(tblDaily[DeathsUnder24Hrs],tblDaily[EntryDate],DATE(2026,7,17),tblDaily[WardCode],"FAE")=0,"",SUMIFS(tblDaily[DeathsUnder24Hrs],tblDaily[EntryDate],DATE(2026,7,17),tblDaily[WardCode],"FAE")),"")</f>
        <v/>
      </c>
      <c r="M264" s="25">
        <f>IFERROR(IF(SUMIFS(tblDaily[TransfersIn],tblDaily[EntryDate],DATE(2026,7,17),tblDaily[WardCode],"FAE")=0,"",SUMIFS(tblDaily[TransfersIn],tblDaily[EntryDate],DATE(2026,7,17),tblDaily[WardCode],"FAE")),"")</f>
        <v/>
      </c>
      <c r="N264" s="25">
        <f>IFERROR(IF(SUMIFS(tblDaily[TransfersOut],tblDaily[EntryDate],DATE(2026,7,17),tblDaily[WardCode],"FAE")=0,"",SUMIFS(tblDaily[TransfersOut],tblDaily[EntryDate],DATE(2026,7,17),tblDaily[WardCode],"FAE")),"")</f>
        <v/>
      </c>
      <c r="O264" s="25">
        <f>IFERROR(IF(SUMIFS(tblDaily[Remaining],tblDaily[EntryDate],DATE(2026,7,17),tblDaily[WardCode],"FAE")=0,"",SUMIFS(tblDaily[Remaining],tblDaily[EntryDate],DATE(2026,7,17),tblDaily[WardCode],"FAE")),"")</f>
        <v/>
      </c>
      <c r="P264" s="26">
        <f>IF(AND(H264="", O264=""), "", N(H264) + N(O264))</f>
        <v/>
      </c>
    </row>
    <row r="265">
      <c r="A265" s="25" t="n">
        <v>18</v>
      </c>
      <c r="B265" s="25">
        <f>IFERROR(IF(SUMIFS(tblDaily[Admissions],tblDaily[EntryDate],DATE(2026,7,18),tblDaily[WardCode],"MAE")=0,"",SUMIFS(tblDaily[Admissions],tblDaily[EntryDate],DATE(2026,7,18),tblDaily[WardCode],"MAE")),"")</f>
        <v/>
      </c>
      <c r="C265" s="25">
        <f>IFERROR(IF(SUMIFS(tblDaily[Discharges],tblDaily[EntryDate],DATE(2026,7,18),tblDaily[WardCode],"MAE")=0,"",SUMIFS(tblDaily[Discharges],tblDaily[EntryDate],DATE(2026,7,18),tblDaily[WardCode],"MAE")),"")</f>
        <v/>
      </c>
      <c r="D265" s="25">
        <f>IFERROR(IF(SUMIFS(tblDaily[Deaths],tblDaily[EntryDate],DATE(2026,7,18),tblDaily[WardCode],"MAE")=0,"",SUMIFS(tblDaily[Deaths],tblDaily[EntryDate],DATE(2026,7,18),tblDaily[WardCode],"MAE")),"")</f>
        <v/>
      </c>
      <c r="E265" s="25">
        <f>IFERROR(IF(SUMIFS(tblDaily[DeathsUnder24Hrs],tblDaily[EntryDate],DATE(2026,7,18),tblDaily[WardCode],"MAE")=0,"",SUMIFS(tblDaily[DeathsUnder24Hrs],tblDaily[EntryDate],DATE(2026,7,18),tblDaily[WardCode],"MAE")),"")</f>
        <v/>
      </c>
      <c r="F265" s="25">
        <f>IFERROR(IF(SUMIFS(tblDaily[TransfersIn],tblDaily[EntryDate],DATE(2026,7,18),tblDaily[WardCode],"MAE")=0,"",SUMIFS(tblDaily[TransfersIn],tblDaily[EntryDate],DATE(2026,7,18),tblDaily[WardCode],"MAE")),"")</f>
        <v/>
      </c>
      <c r="G265" s="25">
        <f>IFERROR(IF(SUMIFS(tblDaily[TransfersOut],tblDaily[EntryDate],DATE(2026,7,18),tblDaily[WardCode],"MAE")=0,"",SUMIFS(tblDaily[TransfersOut],tblDaily[EntryDate],DATE(2026,7,18),tblDaily[WardCode],"MAE")),"")</f>
        <v/>
      </c>
      <c r="H265" s="25">
        <f>IFERROR(IF(SUMIFS(tblDaily[Remaining],tblDaily[EntryDate],DATE(2026,7,18),tblDaily[WardCode],"MAE")=0,"",SUMIFS(tblDaily[Remaining],tblDaily[EntryDate],DATE(2026,7,18),tblDaily[WardCode],"MAE")),"")</f>
        <v/>
      </c>
      <c r="I265" s="25">
        <f>IFERROR(IF(SUMIFS(tblDaily[Admissions],tblDaily[EntryDate],DATE(2026,7,18),tblDaily[WardCode],"FAE")=0,"",SUMIFS(tblDaily[Admissions],tblDaily[EntryDate],DATE(2026,7,18),tblDaily[WardCode],"FAE")),"")</f>
        <v/>
      </c>
      <c r="J265" s="25">
        <f>IFERROR(IF(SUMIFS(tblDaily[Discharges],tblDaily[EntryDate],DATE(2026,7,18),tblDaily[WardCode],"FAE")=0,"",SUMIFS(tblDaily[Discharges],tblDaily[EntryDate],DATE(2026,7,18),tblDaily[WardCode],"FAE")),"")</f>
        <v/>
      </c>
      <c r="K265" s="25">
        <f>IFERROR(IF(SUMIFS(tblDaily[Deaths],tblDaily[EntryDate],DATE(2026,7,18),tblDaily[WardCode],"FAE")=0,"",SUMIFS(tblDaily[Deaths],tblDaily[EntryDate],DATE(2026,7,18),tblDaily[WardCode],"FAE")),"")</f>
        <v/>
      </c>
      <c r="L265" s="25">
        <f>IFERROR(IF(SUMIFS(tblDaily[DeathsUnder24Hrs],tblDaily[EntryDate],DATE(2026,7,18),tblDaily[WardCode],"FAE")=0,"",SUMIFS(tblDaily[DeathsUnder24Hrs],tblDaily[EntryDate],DATE(2026,7,18),tblDaily[WardCode],"FAE")),"")</f>
        <v/>
      </c>
      <c r="M265" s="25">
        <f>IFERROR(IF(SUMIFS(tblDaily[TransfersIn],tblDaily[EntryDate],DATE(2026,7,18),tblDaily[WardCode],"FAE")=0,"",SUMIFS(tblDaily[TransfersIn],tblDaily[EntryDate],DATE(2026,7,18),tblDaily[WardCode],"FAE")),"")</f>
        <v/>
      </c>
      <c r="N265" s="25">
        <f>IFERROR(IF(SUMIFS(tblDaily[TransfersOut],tblDaily[EntryDate],DATE(2026,7,18),tblDaily[WardCode],"FAE")=0,"",SUMIFS(tblDaily[TransfersOut],tblDaily[EntryDate],DATE(2026,7,18),tblDaily[WardCode],"FAE")),"")</f>
        <v/>
      </c>
      <c r="O265" s="25">
        <f>IFERROR(IF(SUMIFS(tblDaily[Remaining],tblDaily[EntryDate],DATE(2026,7,18),tblDaily[WardCode],"FAE")=0,"",SUMIFS(tblDaily[Remaining],tblDaily[EntryDate],DATE(2026,7,18),tblDaily[WardCode],"FAE")),"")</f>
        <v/>
      </c>
      <c r="P265" s="26">
        <f>IF(AND(H265="", O265=""), "", N(H265) + N(O265))</f>
        <v/>
      </c>
    </row>
    <row r="266">
      <c r="A266" s="25" t="n">
        <v>19</v>
      </c>
      <c r="B266" s="25">
        <f>IFERROR(IF(SUMIFS(tblDaily[Admissions],tblDaily[EntryDate],DATE(2026,7,19),tblDaily[WardCode],"MAE")=0,"",SUMIFS(tblDaily[Admissions],tblDaily[EntryDate],DATE(2026,7,19),tblDaily[WardCode],"MAE")),"")</f>
        <v/>
      </c>
      <c r="C266" s="25">
        <f>IFERROR(IF(SUMIFS(tblDaily[Discharges],tblDaily[EntryDate],DATE(2026,7,19),tblDaily[WardCode],"MAE")=0,"",SUMIFS(tblDaily[Discharges],tblDaily[EntryDate],DATE(2026,7,19),tblDaily[WardCode],"MAE")),"")</f>
        <v/>
      </c>
      <c r="D266" s="25">
        <f>IFERROR(IF(SUMIFS(tblDaily[Deaths],tblDaily[EntryDate],DATE(2026,7,19),tblDaily[WardCode],"MAE")=0,"",SUMIFS(tblDaily[Deaths],tblDaily[EntryDate],DATE(2026,7,19),tblDaily[WardCode],"MAE")),"")</f>
        <v/>
      </c>
      <c r="E266" s="25">
        <f>IFERROR(IF(SUMIFS(tblDaily[DeathsUnder24Hrs],tblDaily[EntryDate],DATE(2026,7,19),tblDaily[WardCode],"MAE")=0,"",SUMIFS(tblDaily[DeathsUnder24Hrs],tblDaily[EntryDate],DATE(2026,7,19),tblDaily[WardCode],"MAE")),"")</f>
        <v/>
      </c>
      <c r="F266" s="25">
        <f>IFERROR(IF(SUMIFS(tblDaily[TransfersIn],tblDaily[EntryDate],DATE(2026,7,19),tblDaily[WardCode],"MAE")=0,"",SUMIFS(tblDaily[TransfersIn],tblDaily[EntryDate],DATE(2026,7,19),tblDaily[WardCode],"MAE")),"")</f>
        <v/>
      </c>
      <c r="G266" s="25">
        <f>IFERROR(IF(SUMIFS(tblDaily[TransfersOut],tblDaily[EntryDate],DATE(2026,7,19),tblDaily[WardCode],"MAE")=0,"",SUMIFS(tblDaily[TransfersOut],tblDaily[EntryDate],DATE(2026,7,19),tblDaily[WardCode],"MAE")),"")</f>
        <v/>
      </c>
      <c r="H266" s="25">
        <f>IFERROR(IF(SUMIFS(tblDaily[Remaining],tblDaily[EntryDate],DATE(2026,7,19),tblDaily[WardCode],"MAE")=0,"",SUMIFS(tblDaily[Remaining],tblDaily[EntryDate],DATE(2026,7,19),tblDaily[WardCode],"MAE")),"")</f>
        <v/>
      </c>
      <c r="I266" s="25">
        <f>IFERROR(IF(SUMIFS(tblDaily[Admissions],tblDaily[EntryDate],DATE(2026,7,19),tblDaily[WardCode],"FAE")=0,"",SUMIFS(tblDaily[Admissions],tblDaily[EntryDate],DATE(2026,7,19),tblDaily[WardCode],"FAE")),"")</f>
        <v/>
      </c>
      <c r="J266" s="25">
        <f>IFERROR(IF(SUMIFS(tblDaily[Discharges],tblDaily[EntryDate],DATE(2026,7,19),tblDaily[WardCode],"FAE")=0,"",SUMIFS(tblDaily[Discharges],tblDaily[EntryDate],DATE(2026,7,19),tblDaily[WardCode],"FAE")),"")</f>
        <v/>
      </c>
      <c r="K266" s="25">
        <f>IFERROR(IF(SUMIFS(tblDaily[Deaths],tblDaily[EntryDate],DATE(2026,7,19),tblDaily[WardCode],"FAE")=0,"",SUMIFS(tblDaily[Deaths],tblDaily[EntryDate],DATE(2026,7,19),tblDaily[WardCode],"FAE")),"")</f>
        <v/>
      </c>
      <c r="L266" s="25">
        <f>IFERROR(IF(SUMIFS(tblDaily[DeathsUnder24Hrs],tblDaily[EntryDate],DATE(2026,7,19),tblDaily[WardCode],"FAE")=0,"",SUMIFS(tblDaily[DeathsUnder24Hrs],tblDaily[EntryDate],DATE(2026,7,19),tblDaily[WardCode],"FAE")),"")</f>
        <v/>
      </c>
      <c r="M266" s="25">
        <f>IFERROR(IF(SUMIFS(tblDaily[TransfersIn],tblDaily[EntryDate],DATE(2026,7,19),tblDaily[WardCode],"FAE")=0,"",SUMIFS(tblDaily[TransfersIn],tblDaily[EntryDate],DATE(2026,7,19),tblDaily[WardCode],"FAE")),"")</f>
        <v/>
      </c>
      <c r="N266" s="25">
        <f>IFERROR(IF(SUMIFS(tblDaily[TransfersOut],tblDaily[EntryDate],DATE(2026,7,19),tblDaily[WardCode],"FAE")=0,"",SUMIFS(tblDaily[TransfersOut],tblDaily[EntryDate],DATE(2026,7,19),tblDaily[WardCode],"FAE")),"")</f>
        <v/>
      </c>
      <c r="O266" s="25">
        <f>IFERROR(IF(SUMIFS(tblDaily[Remaining],tblDaily[EntryDate],DATE(2026,7,19),tblDaily[WardCode],"FAE")=0,"",SUMIFS(tblDaily[Remaining],tblDaily[EntryDate],DATE(2026,7,19),tblDaily[WardCode],"FAE")),"")</f>
        <v/>
      </c>
      <c r="P266" s="26">
        <f>IF(AND(H266="", O266=""), "", N(H266) + N(O266))</f>
        <v/>
      </c>
    </row>
    <row r="267">
      <c r="A267" s="25" t="n">
        <v>20</v>
      </c>
      <c r="B267" s="25">
        <f>IFERROR(IF(SUMIFS(tblDaily[Admissions],tblDaily[EntryDate],DATE(2026,7,20),tblDaily[WardCode],"MAE")=0,"",SUMIFS(tblDaily[Admissions],tblDaily[EntryDate],DATE(2026,7,20),tblDaily[WardCode],"MAE")),"")</f>
        <v/>
      </c>
      <c r="C267" s="25">
        <f>IFERROR(IF(SUMIFS(tblDaily[Discharges],tblDaily[EntryDate],DATE(2026,7,20),tblDaily[WardCode],"MAE")=0,"",SUMIFS(tblDaily[Discharges],tblDaily[EntryDate],DATE(2026,7,20),tblDaily[WardCode],"MAE")),"")</f>
        <v/>
      </c>
      <c r="D267" s="25">
        <f>IFERROR(IF(SUMIFS(tblDaily[Deaths],tblDaily[EntryDate],DATE(2026,7,20),tblDaily[WardCode],"MAE")=0,"",SUMIFS(tblDaily[Deaths],tblDaily[EntryDate],DATE(2026,7,20),tblDaily[WardCode],"MAE")),"")</f>
        <v/>
      </c>
      <c r="E267" s="25">
        <f>IFERROR(IF(SUMIFS(tblDaily[DeathsUnder24Hrs],tblDaily[EntryDate],DATE(2026,7,20),tblDaily[WardCode],"MAE")=0,"",SUMIFS(tblDaily[DeathsUnder24Hrs],tblDaily[EntryDate],DATE(2026,7,20),tblDaily[WardCode],"MAE")),"")</f>
        <v/>
      </c>
      <c r="F267" s="25">
        <f>IFERROR(IF(SUMIFS(tblDaily[TransfersIn],tblDaily[EntryDate],DATE(2026,7,20),tblDaily[WardCode],"MAE")=0,"",SUMIFS(tblDaily[TransfersIn],tblDaily[EntryDate],DATE(2026,7,20),tblDaily[WardCode],"MAE")),"")</f>
        <v/>
      </c>
      <c r="G267" s="25">
        <f>IFERROR(IF(SUMIFS(tblDaily[TransfersOut],tblDaily[EntryDate],DATE(2026,7,20),tblDaily[WardCode],"MAE")=0,"",SUMIFS(tblDaily[TransfersOut],tblDaily[EntryDate],DATE(2026,7,20),tblDaily[WardCode],"MAE")),"")</f>
        <v/>
      </c>
      <c r="H267" s="25">
        <f>IFERROR(IF(SUMIFS(tblDaily[Remaining],tblDaily[EntryDate],DATE(2026,7,20),tblDaily[WardCode],"MAE")=0,"",SUMIFS(tblDaily[Remaining],tblDaily[EntryDate],DATE(2026,7,20),tblDaily[WardCode],"MAE")),"")</f>
        <v/>
      </c>
      <c r="I267" s="25">
        <f>IFERROR(IF(SUMIFS(tblDaily[Admissions],tblDaily[EntryDate],DATE(2026,7,20),tblDaily[WardCode],"FAE")=0,"",SUMIFS(tblDaily[Admissions],tblDaily[EntryDate],DATE(2026,7,20),tblDaily[WardCode],"FAE")),"")</f>
        <v/>
      </c>
      <c r="J267" s="25">
        <f>IFERROR(IF(SUMIFS(tblDaily[Discharges],tblDaily[EntryDate],DATE(2026,7,20),tblDaily[WardCode],"FAE")=0,"",SUMIFS(tblDaily[Discharges],tblDaily[EntryDate],DATE(2026,7,20),tblDaily[WardCode],"FAE")),"")</f>
        <v/>
      </c>
      <c r="K267" s="25">
        <f>IFERROR(IF(SUMIFS(tblDaily[Deaths],tblDaily[EntryDate],DATE(2026,7,20),tblDaily[WardCode],"FAE")=0,"",SUMIFS(tblDaily[Deaths],tblDaily[EntryDate],DATE(2026,7,20),tblDaily[WardCode],"FAE")),"")</f>
        <v/>
      </c>
      <c r="L267" s="25">
        <f>IFERROR(IF(SUMIFS(tblDaily[DeathsUnder24Hrs],tblDaily[EntryDate],DATE(2026,7,20),tblDaily[WardCode],"FAE")=0,"",SUMIFS(tblDaily[DeathsUnder24Hrs],tblDaily[EntryDate],DATE(2026,7,20),tblDaily[WardCode],"FAE")),"")</f>
        <v/>
      </c>
      <c r="M267" s="25">
        <f>IFERROR(IF(SUMIFS(tblDaily[TransfersIn],tblDaily[EntryDate],DATE(2026,7,20),tblDaily[WardCode],"FAE")=0,"",SUMIFS(tblDaily[TransfersIn],tblDaily[EntryDate],DATE(2026,7,20),tblDaily[WardCode],"FAE")),"")</f>
        <v/>
      </c>
      <c r="N267" s="25">
        <f>IFERROR(IF(SUMIFS(tblDaily[TransfersOut],tblDaily[EntryDate],DATE(2026,7,20),tblDaily[WardCode],"FAE")=0,"",SUMIFS(tblDaily[TransfersOut],tblDaily[EntryDate],DATE(2026,7,20),tblDaily[WardCode],"FAE")),"")</f>
        <v/>
      </c>
      <c r="O267" s="25">
        <f>IFERROR(IF(SUMIFS(tblDaily[Remaining],tblDaily[EntryDate],DATE(2026,7,20),tblDaily[WardCode],"FAE")=0,"",SUMIFS(tblDaily[Remaining],tblDaily[EntryDate],DATE(2026,7,20),tblDaily[WardCode],"FAE")),"")</f>
        <v/>
      </c>
      <c r="P267" s="26">
        <f>IF(AND(H267="", O267=""), "", N(H267) + N(O267))</f>
        <v/>
      </c>
    </row>
    <row r="268">
      <c r="A268" s="25" t="n">
        <v>21</v>
      </c>
      <c r="B268" s="25">
        <f>IFERROR(IF(SUMIFS(tblDaily[Admissions],tblDaily[EntryDate],DATE(2026,7,21),tblDaily[WardCode],"MAE")=0,"",SUMIFS(tblDaily[Admissions],tblDaily[EntryDate],DATE(2026,7,21),tblDaily[WardCode],"MAE")),"")</f>
        <v/>
      </c>
      <c r="C268" s="25">
        <f>IFERROR(IF(SUMIFS(tblDaily[Discharges],tblDaily[EntryDate],DATE(2026,7,21),tblDaily[WardCode],"MAE")=0,"",SUMIFS(tblDaily[Discharges],tblDaily[EntryDate],DATE(2026,7,21),tblDaily[WardCode],"MAE")),"")</f>
        <v/>
      </c>
      <c r="D268" s="25">
        <f>IFERROR(IF(SUMIFS(tblDaily[Deaths],tblDaily[EntryDate],DATE(2026,7,21),tblDaily[WardCode],"MAE")=0,"",SUMIFS(tblDaily[Deaths],tblDaily[EntryDate],DATE(2026,7,21),tblDaily[WardCode],"MAE")),"")</f>
        <v/>
      </c>
      <c r="E268" s="25">
        <f>IFERROR(IF(SUMIFS(tblDaily[DeathsUnder24Hrs],tblDaily[EntryDate],DATE(2026,7,21),tblDaily[WardCode],"MAE")=0,"",SUMIFS(tblDaily[DeathsUnder24Hrs],tblDaily[EntryDate],DATE(2026,7,21),tblDaily[WardCode],"MAE")),"")</f>
        <v/>
      </c>
      <c r="F268" s="25">
        <f>IFERROR(IF(SUMIFS(tblDaily[TransfersIn],tblDaily[EntryDate],DATE(2026,7,21),tblDaily[WardCode],"MAE")=0,"",SUMIFS(tblDaily[TransfersIn],tblDaily[EntryDate],DATE(2026,7,21),tblDaily[WardCode],"MAE")),"")</f>
        <v/>
      </c>
      <c r="G268" s="25">
        <f>IFERROR(IF(SUMIFS(tblDaily[TransfersOut],tblDaily[EntryDate],DATE(2026,7,21),tblDaily[WardCode],"MAE")=0,"",SUMIFS(tblDaily[TransfersOut],tblDaily[EntryDate],DATE(2026,7,21),tblDaily[WardCode],"MAE")),"")</f>
        <v/>
      </c>
      <c r="H268" s="25">
        <f>IFERROR(IF(SUMIFS(tblDaily[Remaining],tblDaily[EntryDate],DATE(2026,7,21),tblDaily[WardCode],"MAE")=0,"",SUMIFS(tblDaily[Remaining],tblDaily[EntryDate],DATE(2026,7,21),tblDaily[WardCode],"MAE")),"")</f>
        <v/>
      </c>
      <c r="I268" s="25">
        <f>IFERROR(IF(SUMIFS(tblDaily[Admissions],tblDaily[EntryDate],DATE(2026,7,21),tblDaily[WardCode],"FAE")=0,"",SUMIFS(tblDaily[Admissions],tblDaily[EntryDate],DATE(2026,7,21),tblDaily[WardCode],"FAE")),"")</f>
        <v/>
      </c>
      <c r="J268" s="25">
        <f>IFERROR(IF(SUMIFS(tblDaily[Discharges],tblDaily[EntryDate],DATE(2026,7,21),tblDaily[WardCode],"FAE")=0,"",SUMIFS(tblDaily[Discharges],tblDaily[EntryDate],DATE(2026,7,21),tblDaily[WardCode],"FAE")),"")</f>
        <v/>
      </c>
      <c r="K268" s="25">
        <f>IFERROR(IF(SUMIFS(tblDaily[Deaths],tblDaily[EntryDate],DATE(2026,7,21),tblDaily[WardCode],"FAE")=0,"",SUMIFS(tblDaily[Deaths],tblDaily[EntryDate],DATE(2026,7,21),tblDaily[WardCode],"FAE")),"")</f>
        <v/>
      </c>
      <c r="L268" s="25">
        <f>IFERROR(IF(SUMIFS(tblDaily[DeathsUnder24Hrs],tblDaily[EntryDate],DATE(2026,7,21),tblDaily[WardCode],"FAE")=0,"",SUMIFS(tblDaily[DeathsUnder24Hrs],tblDaily[EntryDate],DATE(2026,7,21),tblDaily[WardCode],"FAE")),"")</f>
        <v/>
      </c>
      <c r="M268" s="25">
        <f>IFERROR(IF(SUMIFS(tblDaily[TransfersIn],tblDaily[EntryDate],DATE(2026,7,21),tblDaily[WardCode],"FAE")=0,"",SUMIFS(tblDaily[TransfersIn],tblDaily[EntryDate],DATE(2026,7,21),tblDaily[WardCode],"FAE")),"")</f>
        <v/>
      </c>
      <c r="N268" s="25">
        <f>IFERROR(IF(SUMIFS(tblDaily[TransfersOut],tblDaily[EntryDate],DATE(2026,7,21),tblDaily[WardCode],"FAE")=0,"",SUMIFS(tblDaily[TransfersOut],tblDaily[EntryDate],DATE(2026,7,21),tblDaily[WardCode],"FAE")),"")</f>
        <v/>
      </c>
      <c r="O268" s="25">
        <f>IFERROR(IF(SUMIFS(tblDaily[Remaining],tblDaily[EntryDate],DATE(2026,7,21),tblDaily[WardCode],"FAE")=0,"",SUMIFS(tblDaily[Remaining],tblDaily[EntryDate],DATE(2026,7,21),tblDaily[WardCode],"FAE")),"")</f>
        <v/>
      </c>
      <c r="P268" s="26">
        <f>IF(AND(H268="", O268=""), "", N(H268) + N(O268))</f>
        <v/>
      </c>
    </row>
    <row r="269">
      <c r="A269" s="25" t="n">
        <v>22</v>
      </c>
      <c r="B269" s="25">
        <f>IFERROR(IF(SUMIFS(tblDaily[Admissions],tblDaily[EntryDate],DATE(2026,7,22),tblDaily[WardCode],"MAE")=0,"",SUMIFS(tblDaily[Admissions],tblDaily[EntryDate],DATE(2026,7,22),tblDaily[WardCode],"MAE")),"")</f>
        <v/>
      </c>
      <c r="C269" s="25">
        <f>IFERROR(IF(SUMIFS(tblDaily[Discharges],tblDaily[EntryDate],DATE(2026,7,22),tblDaily[WardCode],"MAE")=0,"",SUMIFS(tblDaily[Discharges],tblDaily[EntryDate],DATE(2026,7,22),tblDaily[WardCode],"MAE")),"")</f>
        <v/>
      </c>
      <c r="D269" s="25">
        <f>IFERROR(IF(SUMIFS(tblDaily[Deaths],tblDaily[EntryDate],DATE(2026,7,22),tblDaily[WardCode],"MAE")=0,"",SUMIFS(tblDaily[Deaths],tblDaily[EntryDate],DATE(2026,7,22),tblDaily[WardCode],"MAE")),"")</f>
        <v/>
      </c>
      <c r="E269" s="25">
        <f>IFERROR(IF(SUMIFS(tblDaily[DeathsUnder24Hrs],tblDaily[EntryDate],DATE(2026,7,22),tblDaily[WardCode],"MAE")=0,"",SUMIFS(tblDaily[DeathsUnder24Hrs],tblDaily[EntryDate],DATE(2026,7,22),tblDaily[WardCode],"MAE")),"")</f>
        <v/>
      </c>
      <c r="F269" s="25">
        <f>IFERROR(IF(SUMIFS(tblDaily[TransfersIn],tblDaily[EntryDate],DATE(2026,7,22),tblDaily[WardCode],"MAE")=0,"",SUMIFS(tblDaily[TransfersIn],tblDaily[EntryDate],DATE(2026,7,22),tblDaily[WardCode],"MAE")),"")</f>
        <v/>
      </c>
      <c r="G269" s="25">
        <f>IFERROR(IF(SUMIFS(tblDaily[TransfersOut],tblDaily[EntryDate],DATE(2026,7,22),tblDaily[WardCode],"MAE")=0,"",SUMIFS(tblDaily[TransfersOut],tblDaily[EntryDate],DATE(2026,7,22),tblDaily[WardCode],"MAE")),"")</f>
        <v/>
      </c>
      <c r="H269" s="25">
        <f>IFERROR(IF(SUMIFS(tblDaily[Remaining],tblDaily[EntryDate],DATE(2026,7,22),tblDaily[WardCode],"MAE")=0,"",SUMIFS(tblDaily[Remaining],tblDaily[EntryDate],DATE(2026,7,22),tblDaily[WardCode],"MAE")),"")</f>
        <v/>
      </c>
      <c r="I269" s="25">
        <f>IFERROR(IF(SUMIFS(tblDaily[Admissions],tblDaily[EntryDate],DATE(2026,7,22),tblDaily[WardCode],"FAE")=0,"",SUMIFS(tblDaily[Admissions],tblDaily[EntryDate],DATE(2026,7,22),tblDaily[WardCode],"FAE")),"")</f>
        <v/>
      </c>
      <c r="J269" s="25">
        <f>IFERROR(IF(SUMIFS(tblDaily[Discharges],tblDaily[EntryDate],DATE(2026,7,22),tblDaily[WardCode],"FAE")=0,"",SUMIFS(tblDaily[Discharges],tblDaily[EntryDate],DATE(2026,7,22),tblDaily[WardCode],"FAE")),"")</f>
        <v/>
      </c>
      <c r="K269" s="25">
        <f>IFERROR(IF(SUMIFS(tblDaily[Deaths],tblDaily[EntryDate],DATE(2026,7,22),tblDaily[WardCode],"FAE")=0,"",SUMIFS(tblDaily[Deaths],tblDaily[EntryDate],DATE(2026,7,22),tblDaily[WardCode],"FAE")),"")</f>
        <v/>
      </c>
      <c r="L269" s="25">
        <f>IFERROR(IF(SUMIFS(tblDaily[DeathsUnder24Hrs],tblDaily[EntryDate],DATE(2026,7,22),tblDaily[WardCode],"FAE")=0,"",SUMIFS(tblDaily[DeathsUnder24Hrs],tblDaily[EntryDate],DATE(2026,7,22),tblDaily[WardCode],"FAE")),"")</f>
        <v/>
      </c>
      <c r="M269" s="25">
        <f>IFERROR(IF(SUMIFS(tblDaily[TransfersIn],tblDaily[EntryDate],DATE(2026,7,22),tblDaily[WardCode],"FAE")=0,"",SUMIFS(tblDaily[TransfersIn],tblDaily[EntryDate],DATE(2026,7,22),tblDaily[WardCode],"FAE")),"")</f>
        <v/>
      </c>
      <c r="N269" s="25">
        <f>IFERROR(IF(SUMIFS(tblDaily[TransfersOut],tblDaily[EntryDate],DATE(2026,7,22),tblDaily[WardCode],"FAE")=0,"",SUMIFS(tblDaily[TransfersOut],tblDaily[EntryDate],DATE(2026,7,22),tblDaily[WardCode],"FAE")),"")</f>
        <v/>
      </c>
      <c r="O269" s="25">
        <f>IFERROR(IF(SUMIFS(tblDaily[Remaining],tblDaily[EntryDate],DATE(2026,7,22),tblDaily[WardCode],"FAE")=0,"",SUMIFS(tblDaily[Remaining],tblDaily[EntryDate],DATE(2026,7,22),tblDaily[WardCode],"FAE")),"")</f>
        <v/>
      </c>
      <c r="P269" s="26">
        <f>IF(AND(H269="", O269=""), "", N(H269) + N(O269))</f>
        <v/>
      </c>
    </row>
    <row r="270">
      <c r="A270" s="25" t="n">
        <v>23</v>
      </c>
      <c r="B270" s="25">
        <f>IFERROR(IF(SUMIFS(tblDaily[Admissions],tblDaily[EntryDate],DATE(2026,7,23),tblDaily[WardCode],"MAE")=0,"",SUMIFS(tblDaily[Admissions],tblDaily[EntryDate],DATE(2026,7,23),tblDaily[WardCode],"MAE")),"")</f>
        <v/>
      </c>
      <c r="C270" s="25">
        <f>IFERROR(IF(SUMIFS(tblDaily[Discharges],tblDaily[EntryDate],DATE(2026,7,23),tblDaily[WardCode],"MAE")=0,"",SUMIFS(tblDaily[Discharges],tblDaily[EntryDate],DATE(2026,7,23),tblDaily[WardCode],"MAE")),"")</f>
        <v/>
      </c>
      <c r="D270" s="25">
        <f>IFERROR(IF(SUMIFS(tblDaily[Deaths],tblDaily[EntryDate],DATE(2026,7,23),tblDaily[WardCode],"MAE")=0,"",SUMIFS(tblDaily[Deaths],tblDaily[EntryDate],DATE(2026,7,23),tblDaily[WardCode],"MAE")),"")</f>
        <v/>
      </c>
      <c r="E270" s="25">
        <f>IFERROR(IF(SUMIFS(tblDaily[DeathsUnder24Hrs],tblDaily[EntryDate],DATE(2026,7,23),tblDaily[WardCode],"MAE")=0,"",SUMIFS(tblDaily[DeathsUnder24Hrs],tblDaily[EntryDate],DATE(2026,7,23),tblDaily[WardCode],"MAE")),"")</f>
        <v/>
      </c>
      <c r="F270" s="25">
        <f>IFERROR(IF(SUMIFS(tblDaily[TransfersIn],tblDaily[EntryDate],DATE(2026,7,23),tblDaily[WardCode],"MAE")=0,"",SUMIFS(tblDaily[TransfersIn],tblDaily[EntryDate],DATE(2026,7,23),tblDaily[WardCode],"MAE")),"")</f>
        <v/>
      </c>
      <c r="G270" s="25">
        <f>IFERROR(IF(SUMIFS(tblDaily[TransfersOut],tblDaily[EntryDate],DATE(2026,7,23),tblDaily[WardCode],"MAE")=0,"",SUMIFS(tblDaily[TransfersOut],tblDaily[EntryDate],DATE(2026,7,23),tblDaily[WardCode],"MAE")),"")</f>
        <v/>
      </c>
      <c r="H270" s="25">
        <f>IFERROR(IF(SUMIFS(tblDaily[Remaining],tblDaily[EntryDate],DATE(2026,7,23),tblDaily[WardCode],"MAE")=0,"",SUMIFS(tblDaily[Remaining],tblDaily[EntryDate],DATE(2026,7,23),tblDaily[WardCode],"MAE")),"")</f>
        <v/>
      </c>
      <c r="I270" s="25">
        <f>IFERROR(IF(SUMIFS(tblDaily[Admissions],tblDaily[EntryDate],DATE(2026,7,23),tblDaily[WardCode],"FAE")=0,"",SUMIFS(tblDaily[Admissions],tblDaily[EntryDate],DATE(2026,7,23),tblDaily[WardCode],"FAE")),"")</f>
        <v/>
      </c>
      <c r="J270" s="25">
        <f>IFERROR(IF(SUMIFS(tblDaily[Discharges],tblDaily[EntryDate],DATE(2026,7,23),tblDaily[WardCode],"FAE")=0,"",SUMIFS(tblDaily[Discharges],tblDaily[EntryDate],DATE(2026,7,23),tblDaily[WardCode],"FAE")),"")</f>
        <v/>
      </c>
      <c r="K270" s="25">
        <f>IFERROR(IF(SUMIFS(tblDaily[Deaths],tblDaily[EntryDate],DATE(2026,7,23),tblDaily[WardCode],"FAE")=0,"",SUMIFS(tblDaily[Deaths],tblDaily[EntryDate],DATE(2026,7,23),tblDaily[WardCode],"FAE")),"")</f>
        <v/>
      </c>
      <c r="L270" s="25">
        <f>IFERROR(IF(SUMIFS(tblDaily[DeathsUnder24Hrs],tblDaily[EntryDate],DATE(2026,7,23),tblDaily[WardCode],"FAE")=0,"",SUMIFS(tblDaily[DeathsUnder24Hrs],tblDaily[EntryDate],DATE(2026,7,23),tblDaily[WardCode],"FAE")),"")</f>
        <v/>
      </c>
      <c r="M270" s="25">
        <f>IFERROR(IF(SUMIFS(tblDaily[TransfersIn],tblDaily[EntryDate],DATE(2026,7,23),tblDaily[WardCode],"FAE")=0,"",SUMIFS(tblDaily[TransfersIn],tblDaily[EntryDate],DATE(2026,7,23),tblDaily[WardCode],"FAE")),"")</f>
        <v/>
      </c>
      <c r="N270" s="25">
        <f>IFERROR(IF(SUMIFS(tblDaily[TransfersOut],tblDaily[EntryDate],DATE(2026,7,23),tblDaily[WardCode],"FAE")=0,"",SUMIFS(tblDaily[TransfersOut],tblDaily[EntryDate],DATE(2026,7,23),tblDaily[WardCode],"FAE")),"")</f>
        <v/>
      </c>
      <c r="O270" s="25">
        <f>IFERROR(IF(SUMIFS(tblDaily[Remaining],tblDaily[EntryDate],DATE(2026,7,23),tblDaily[WardCode],"FAE")=0,"",SUMIFS(tblDaily[Remaining],tblDaily[EntryDate],DATE(2026,7,23),tblDaily[WardCode],"FAE")),"")</f>
        <v/>
      </c>
      <c r="P270" s="26">
        <f>IF(AND(H270="", O270=""), "", N(H270) + N(O270))</f>
        <v/>
      </c>
    </row>
    <row r="271">
      <c r="A271" s="25" t="n">
        <v>24</v>
      </c>
      <c r="B271" s="25">
        <f>IFERROR(IF(SUMIFS(tblDaily[Admissions],tblDaily[EntryDate],DATE(2026,7,24),tblDaily[WardCode],"MAE")=0,"",SUMIFS(tblDaily[Admissions],tblDaily[EntryDate],DATE(2026,7,24),tblDaily[WardCode],"MAE")),"")</f>
        <v/>
      </c>
      <c r="C271" s="25">
        <f>IFERROR(IF(SUMIFS(tblDaily[Discharges],tblDaily[EntryDate],DATE(2026,7,24),tblDaily[WardCode],"MAE")=0,"",SUMIFS(tblDaily[Discharges],tblDaily[EntryDate],DATE(2026,7,24),tblDaily[WardCode],"MAE")),"")</f>
        <v/>
      </c>
      <c r="D271" s="25">
        <f>IFERROR(IF(SUMIFS(tblDaily[Deaths],tblDaily[EntryDate],DATE(2026,7,24),tblDaily[WardCode],"MAE")=0,"",SUMIFS(tblDaily[Deaths],tblDaily[EntryDate],DATE(2026,7,24),tblDaily[WardCode],"MAE")),"")</f>
        <v/>
      </c>
      <c r="E271" s="25">
        <f>IFERROR(IF(SUMIFS(tblDaily[DeathsUnder24Hrs],tblDaily[EntryDate],DATE(2026,7,24),tblDaily[WardCode],"MAE")=0,"",SUMIFS(tblDaily[DeathsUnder24Hrs],tblDaily[EntryDate],DATE(2026,7,24),tblDaily[WardCode],"MAE")),"")</f>
        <v/>
      </c>
      <c r="F271" s="25">
        <f>IFERROR(IF(SUMIFS(tblDaily[TransfersIn],tblDaily[EntryDate],DATE(2026,7,24),tblDaily[WardCode],"MAE")=0,"",SUMIFS(tblDaily[TransfersIn],tblDaily[EntryDate],DATE(2026,7,24),tblDaily[WardCode],"MAE")),"")</f>
        <v/>
      </c>
      <c r="G271" s="25">
        <f>IFERROR(IF(SUMIFS(tblDaily[TransfersOut],tblDaily[EntryDate],DATE(2026,7,24),tblDaily[WardCode],"MAE")=0,"",SUMIFS(tblDaily[TransfersOut],tblDaily[EntryDate],DATE(2026,7,24),tblDaily[WardCode],"MAE")),"")</f>
        <v/>
      </c>
      <c r="H271" s="25">
        <f>IFERROR(IF(SUMIFS(tblDaily[Remaining],tblDaily[EntryDate],DATE(2026,7,24),tblDaily[WardCode],"MAE")=0,"",SUMIFS(tblDaily[Remaining],tblDaily[EntryDate],DATE(2026,7,24),tblDaily[WardCode],"MAE")),"")</f>
        <v/>
      </c>
      <c r="I271" s="25">
        <f>IFERROR(IF(SUMIFS(tblDaily[Admissions],tblDaily[EntryDate],DATE(2026,7,24),tblDaily[WardCode],"FAE")=0,"",SUMIFS(tblDaily[Admissions],tblDaily[EntryDate],DATE(2026,7,24),tblDaily[WardCode],"FAE")),"")</f>
        <v/>
      </c>
      <c r="J271" s="25">
        <f>IFERROR(IF(SUMIFS(tblDaily[Discharges],tblDaily[EntryDate],DATE(2026,7,24),tblDaily[WardCode],"FAE")=0,"",SUMIFS(tblDaily[Discharges],tblDaily[EntryDate],DATE(2026,7,24),tblDaily[WardCode],"FAE")),"")</f>
        <v/>
      </c>
      <c r="K271" s="25">
        <f>IFERROR(IF(SUMIFS(tblDaily[Deaths],tblDaily[EntryDate],DATE(2026,7,24),tblDaily[WardCode],"FAE")=0,"",SUMIFS(tblDaily[Deaths],tblDaily[EntryDate],DATE(2026,7,24),tblDaily[WardCode],"FAE")),"")</f>
        <v/>
      </c>
      <c r="L271" s="25">
        <f>IFERROR(IF(SUMIFS(tblDaily[DeathsUnder24Hrs],tblDaily[EntryDate],DATE(2026,7,24),tblDaily[WardCode],"FAE")=0,"",SUMIFS(tblDaily[DeathsUnder24Hrs],tblDaily[EntryDate],DATE(2026,7,24),tblDaily[WardCode],"FAE")),"")</f>
        <v/>
      </c>
      <c r="M271" s="25">
        <f>IFERROR(IF(SUMIFS(tblDaily[TransfersIn],tblDaily[EntryDate],DATE(2026,7,24),tblDaily[WardCode],"FAE")=0,"",SUMIFS(tblDaily[TransfersIn],tblDaily[EntryDate],DATE(2026,7,24),tblDaily[WardCode],"FAE")),"")</f>
        <v/>
      </c>
      <c r="N271" s="25">
        <f>IFERROR(IF(SUMIFS(tblDaily[TransfersOut],tblDaily[EntryDate],DATE(2026,7,24),tblDaily[WardCode],"FAE")=0,"",SUMIFS(tblDaily[TransfersOut],tblDaily[EntryDate],DATE(2026,7,24),tblDaily[WardCode],"FAE")),"")</f>
        <v/>
      </c>
      <c r="O271" s="25">
        <f>IFERROR(IF(SUMIFS(tblDaily[Remaining],tblDaily[EntryDate],DATE(2026,7,24),tblDaily[WardCode],"FAE")=0,"",SUMIFS(tblDaily[Remaining],tblDaily[EntryDate],DATE(2026,7,24),tblDaily[WardCode],"FAE")),"")</f>
        <v/>
      </c>
      <c r="P271" s="26">
        <f>IF(AND(H271="", O271=""), "", N(H271) + N(O271))</f>
        <v/>
      </c>
    </row>
    <row r="272">
      <c r="A272" s="25" t="n">
        <v>25</v>
      </c>
      <c r="B272" s="25">
        <f>IFERROR(IF(SUMIFS(tblDaily[Admissions],tblDaily[EntryDate],DATE(2026,7,25),tblDaily[WardCode],"MAE")=0,"",SUMIFS(tblDaily[Admissions],tblDaily[EntryDate],DATE(2026,7,25),tblDaily[WardCode],"MAE")),"")</f>
        <v/>
      </c>
      <c r="C272" s="25">
        <f>IFERROR(IF(SUMIFS(tblDaily[Discharges],tblDaily[EntryDate],DATE(2026,7,25),tblDaily[WardCode],"MAE")=0,"",SUMIFS(tblDaily[Discharges],tblDaily[EntryDate],DATE(2026,7,25),tblDaily[WardCode],"MAE")),"")</f>
        <v/>
      </c>
      <c r="D272" s="25">
        <f>IFERROR(IF(SUMIFS(tblDaily[Deaths],tblDaily[EntryDate],DATE(2026,7,25),tblDaily[WardCode],"MAE")=0,"",SUMIFS(tblDaily[Deaths],tblDaily[EntryDate],DATE(2026,7,25),tblDaily[WardCode],"MAE")),"")</f>
        <v/>
      </c>
      <c r="E272" s="25">
        <f>IFERROR(IF(SUMIFS(tblDaily[DeathsUnder24Hrs],tblDaily[EntryDate],DATE(2026,7,25),tblDaily[WardCode],"MAE")=0,"",SUMIFS(tblDaily[DeathsUnder24Hrs],tblDaily[EntryDate],DATE(2026,7,25),tblDaily[WardCode],"MAE")),"")</f>
        <v/>
      </c>
      <c r="F272" s="25">
        <f>IFERROR(IF(SUMIFS(tblDaily[TransfersIn],tblDaily[EntryDate],DATE(2026,7,25),tblDaily[WardCode],"MAE")=0,"",SUMIFS(tblDaily[TransfersIn],tblDaily[EntryDate],DATE(2026,7,25),tblDaily[WardCode],"MAE")),"")</f>
        <v/>
      </c>
      <c r="G272" s="25">
        <f>IFERROR(IF(SUMIFS(tblDaily[TransfersOut],tblDaily[EntryDate],DATE(2026,7,25),tblDaily[WardCode],"MAE")=0,"",SUMIFS(tblDaily[TransfersOut],tblDaily[EntryDate],DATE(2026,7,25),tblDaily[WardCode],"MAE")),"")</f>
        <v/>
      </c>
      <c r="H272" s="25">
        <f>IFERROR(IF(SUMIFS(tblDaily[Remaining],tblDaily[EntryDate],DATE(2026,7,25),tblDaily[WardCode],"MAE")=0,"",SUMIFS(tblDaily[Remaining],tblDaily[EntryDate],DATE(2026,7,25),tblDaily[WardCode],"MAE")),"")</f>
        <v/>
      </c>
      <c r="I272" s="25">
        <f>IFERROR(IF(SUMIFS(tblDaily[Admissions],tblDaily[EntryDate],DATE(2026,7,25),tblDaily[WardCode],"FAE")=0,"",SUMIFS(tblDaily[Admissions],tblDaily[EntryDate],DATE(2026,7,25),tblDaily[WardCode],"FAE")),"")</f>
        <v/>
      </c>
      <c r="J272" s="25">
        <f>IFERROR(IF(SUMIFS(tblDaily[Discharges],tblDaily[EntryDate],DATE(2026,7,25),tblDaily[WardCode],"FAE")=0,"",SUMIFS(tblDaily[Discharges],tblDaily[EntryDate],DATE(2026,7,25),tblDaily[WardCode],"FAE")),"")</f>
        <v/>
      </c>
      <c r="K272" s="25">
        <f>IFERROR(IF(SUMIFS(tblDaily[Deaths],tblDaily[EntryDate],DATE(2026,7,25),tblDaily[WardCode],"FAE")=0,"",SUMIFS(tblDaily[Deaths],tblDaily[EntryDate],DATE(2026,7,25),tblDaily[WardCode],"FAE")),"")</f>
        <v/>
      </c>
      <c r="L272" s="25">
        <f>IFERROR(IF(SUMIFS(tblDaily[DeathsUnder24Hrs],tblDaily[EntryDate],DATE(2026,7,25),tblDaily[WardCode],"FAE")=0,"",SUMIFS(tblDaily[DeathsUnder24Hrs],tblDaily[EntryDate],DATE(2026,7,25),tblDaily[WardCode],"FAE")),"")</f>
        <v/>
      </c>
      <c r="M272" s="25">
        <f>IFERROR(IF(SUMIFS(tblDaily[TransfersIn],tblDaily[EntryDate],DATE(2026,7,25),tblDaily[WardCode],"FAE")=0,"",SUMIFS(tblDaily[TransfersIn],tblDaily[EntryDate],DATE(2026,7,25),tblDaily[WardCode],"FAE")),"")</f>
        <v/>
      </c>
      <c r="N272" s="25">
        <f>IFERROR(IF(SUMIFS(tblDaily[TransfersOut],tblDaily[EntryDate],DATE(2026,7,25),tblDaily[WardCode],"FAE")=0,"",SUMIFS(tblDaily[TransfersOut],tblDaily[EntryDate],DATE(2026,7,25),tblDaily[WardCode],"FAE")),"")</f>
        <v/>
      </c>
      <c r="O272" s="25">
        <f>IFERROR(IF(SUMIFS(tblDaily[Remaining],tblDaily[EntryDate],DATE(2026,7,25),tblDaily[WardCode],"FAE")=0,"",SUMIFS(tblDaily[Remaining],tblDaily[EntryDate],DATE(2026,7,25),tblDaily[WardCode],"FAE")),"")</f>
        <v/>
      </c>
      <c r="P272" s="26">
        <f>IF(AND(H272="", O272=""), "", N(H272) + N(O272))</f>
        <v/>
      </c>
    </row>
    <row r="273">
      <c r="A273" s="25" t="n">
        <v>26</v>
      </c>
      <c r="B273" s="25">
        <f>IFERROR(IF(SUMIFS(tblDaily[Admissions],tblDaily[EntryDate],DATE(2026,7,26),tblDaily[WardCode],"MAE")=0,"",SUMIFS(tblDaily[Admissions],tblDaily[EntryDate],DATE(2026,7,26),tblDaily[WardCode],"MAE")),"")</f>
        <v/>
      </c>
      <c r="C273" s="25">
        <f>IFERROR(IF(SUMIFS(tblDaily[Discharges],tblDaily[EntryDate],DATE(2026,7,26),tblDaily[WardCode],"MAE")=0,"",SUMIFS(tblDaily[Discharges],tblDaily[EntryDate],DATE(2026,7,26),tblDaily[WardCode],"MAE")),"")</f>
        <v/>
      </c>
      <c r="D273" s="25">
        <f>IFERROR(IF(SUMIFS(tblDaily[Deaths],tblDaily[EntryDate],DATE(2026,7,26),tblDaily[WardCode],"MAE")=0,"",SUMIFS(tblDaily[Deaths],tblDaily[EntryDate],DATE(2026,7,26),tblDaily[WardCode],"MAE")),"")</f>
        <v/>
      </c>
      <c r="E273" s="25">
        <f>IFERROR(IF(SUMIFS(tblDaily[DeathsUnder24Hrs],tblDaily[EntryDate],DATE(2026,7,26),tblDaily[WardCode],"MAE")=0,"",SUMIFS(tblDaily[DeathsUnder24Hrs],tblDaily[EntryDate],DATE(2026,7,26),tblDaily[WardCode],"MAE")),"")</f>
        <v/>
      </c>
      <c r="F273" s="25">
        <f>IFERROR(IF(SUMIFS(tblDaily[TransfersIn],tblDaily[EntryDate],DATE(2026,7,26),tblDaily[WardCode],"MAE")=0,"",SUMIFS(tblDaily[TransfersIn],tblDaily[EntryDate],DATE(2026,7,26),tblDaily[WardCode],"MAE")),"")</f>
        <v/>
      </c>
      <c r="G273" s="25">
        <f>IFERROR(IF(SUMIFS(tblDaily[TransfersOut],tblDaily[EntryDate],DATE(2026,7,26),tblDaily[WardCode],"MAE")=0,"",SUMIFS(tblDaily[TransfersOut],tblDaily[EntryDate],DATE(2026,7,26),tblDaily[WardCode],"MAE")),"")</f>
        <v/>
      </c>
      <c r="H273" s="25">
        <f>IFERROR(IF(SUMIFS(tblDaily[Remaining],tblDaily[EntryDate],DATE(2026,7,26),tblDaily[WardCode],"MAE")=0,"",SUMIFS(tblDaily[Remaining],tblDaily[EntryDate],DATE(2026,7,26),tblDaily[WardCode],"MAE")),"")</f>
        <v/>
      </c>
      <c r="I273" s="25">
        <f>IFERROR(IF(SUMIFS(tblDaily[Admissions],tblDaily[EntryDate],DATE(2026,7,26),tblDaily[WardCode],"FAE")=0,"",SUMIFS(tblDaily[Admissions],tblDaily[EntryDate],DATE(2026,7,26),tblDaily[WardCode],"FAE")),"")</f>
        <v/>
      </c>
      <c r="J273" s="25">
        <f>IFERROR(IF(SUMIFS(tblDaily[Discharges],tblDaily[EntryDate],DATE(2026,7,26),tblDaily[WardCode],"FAE")=0,"",SUMIFS(tblDaily[Discharges],tblDaily[EntryDate],DATE(2026,7,26),tblDaily[WardCode],"FAE")),"")</f>
        <v/>
      </c>
      <c r="K273" s="25">
        <f>IFERROR(IF(SUMIFS(tblDaily[Deaths],tblDaily[EntryDate],DATE(2026,7,26),tblDaily[WardCode],"FAE")=0,"",SUMIFS(tblDaily[Deaths],tblDaily[EntryDate],DATE(2026,7,26),tblDaily[WardCode],"FAE")),"")</f>
        <v/>
      </c>
      <c r="L273" s="25">
        <f>IFERROR(IF(SUMIFS(tblDaily[DeathsUnder24Hrs],tblDaily[EntryDate],DATE(2026,7,26),tblDaily[WardCode],"FAE")=0,"",SUMIFS(tblDaily[DeathsUnder24Hrs],tblDaily[EntryDate],DATE(2026,7,26),tblDaily[WardCode],"FAE")),"")</f>
        <v/>
      </c>
      <c r="M273" s="25">
        <f>IFERROR(IF(SUMIFS(tblDaily[TransfersIn],tblDaily[EntryDate],DATE(2026,7,26),tblDaily[WardCode],"FAE")=0,"",SUMIFS(tblDaily[TransfersIn],tblDaily[EntryDate],DATE(2026,7,26),tblDaily[WardCode],"FAE")),"")</f>
        <v/>
      </c>
      <c r="N273" s="25">
        <f>IFERROR(IF(SUMIFS(tblDaily[TransfersOut],tblDaily[EntryDate],DATE(2026,7,26),tblDaily[WardCode],"FAE")=0,"",SUMIFS(tblDaily[TransfersOut],tblDaily[EntryDate],DATE(2026,7,26),tblDaily[WardCode],"FAE")),"")</f>
        <v/>
      </c>
      <c r="O273" s="25">
        <f>IFERROR(IF(SUMIFS(tblDaily[Remaining],tblDaily[EntryDate],DATE(2026,7,26),tblDaily[WardCode],"FAE")=0,"",SUMIFS(tblDaily[Remaining],tblDaily[EntryDate],DATE(2026,7,26),tblDaily[WardCode],"FAE")),"")</f>
        <v/>
      </c>
      <c r="P273" s="26">
        <f>IF(AND(H273="", O273=""), "", N(H273) + N(O273))</f>
        <v/>
      </c>
    </row>
    <row r="274">
      <c r="A274" s="25" t="n">
        <v>27</v>
      </c>
      <c r="B274" s="25">
        <f>IFERROR(IF(SUMIFS(tblDaily[Admissions],tblDaily[EntryDate],DATE(2026,7,27),tblDaily[WardCode],"MAE")=0,"",SUMIFS(tblDaily[Admissions],tblDaily[EntryDate],DATE(2026,7,27),tblDaily[WardCode],"MAE")),"")</f>
        <v/>
      </c>
      <c r="C274" s="25">
        <f>IFERROR(IF(SUMIFS(tblDaily[Discharges],tblDaily[EntryDate],DATE(2026,7,27),tblDaily[WardCode],"MAE")=0,"",SUMIFS(tblDaily[Discharges],tblDaily[EntryDate],DATE(2026,7,27),tblDaily[WardCode],"MAE")),"")</f>
        <v/>
      </c>
      <c r="D274" s="25">
        <f>IFERROR(IF(SUMIFS(tblDaily[Deaths],tblDaily[EntryDate],DATE(2026,7,27),tblDaily[WardCode],"MAE")=0,"",SUMIFS(tblDaily[Deaths],tblDaily[EntryDate],DATE(2026,7,27),tblDaily[WardCode],"MAE")),"")</f>
        <v/>
      </c>
      <c r="E274" s="25">
        <f>IFERROR(IF(SUMIFS(tblDaily[DeathsUnder24Hrs],tblDaily[EntryDate],DATE(2026,7,27),tblDaily[WardCode],"MAE")=0,"",SUMIFS(tblDaily[DeathsUnder24Hrs],tblDaily[EntryDate],DATE(2026,7,27),tblDaily[WardCode],"MAE")),"")</f>
        <v/>
      </c>
      <c r="F274" s="25">
        <f>IFERROR(IF(SUMIFS(tblDaily[TransfersIn],tblDaily[EntryDate],DATE(2026,7,27),tblDaily[WardCode],"MAE")=0,"",SUMIFS(tblDaily[TransfersIn],tblDaily[EntryDate],DATE(2026,7,27),tblDaily[WardCode],"MAE")),"")</f>
        <v/>
      </c>
      <c r="G274" s="25">
        <f>IFERROR(IF(SUMIFS(tblDaily[TransfersOut],tblDaily[EntryDate],DATE(2026,7,27),tblDaily[WardCode],"MAE")=0,"",SUMIFS(tblDaily[TransfersOut],tblDaily[EntryDate],DATE(2026,7,27),tblDaily[WardCode],"MAE")),"")</f>
        <v/>
      </c>
      <c r="H274" s="25">
        <f>IFERROR(IF(SUMIFS(tblDaily[Remaining],tblDaily[EntryDate],DATE(2026,7,27),tblDaily[WardCode],"MAE")=0,"",SUMIFS(tblDaily[Remaining],tblDaily[EntryDate],DATE(2026,7,27),tblDaily[WardCode],"MAE")),"")</f>
        <v/>
      </c>
      <c r="I274" s="25">
        <f>IFERROR(IF(SUMIFS(tblDaily[Admissions],tblDaily[EntryDate],DATE(2026,7,27),tblDaily[WardCode],"FAE")=0,"",SUMIFS(tblDaily[Admissions],tblDaily[EntryDate],DATE(2026,7,27),tblDaily[WardCode],"FAE")),"")</f>
        <v/>
      </c>
      <c r="J274" s="25">
        <f>IFERROR(IF(SUMIFS(tblDaily[Discharges],tblDaily[EntryDate],DATE(2026,7,27),tblDaily[WardCode],"FAE")=0,"",SUMIFS(tblDaily[Discharges],tblDaily[EntryDate],DATE(2026,7,27),tblDaily[WardCode],"FAE")),"")</f>
        <v/>
      </c>
      <c r="K274" s="25">
        <f>IFERROR(IF(SUMIFS(tblDaily[Deaths],tblDaily[EntryDate],DATE(2026,7,27),tblDaily[WardCode],"FAE")=0,"",SUMIFS(tblDaily[Deaths],tblDaily[EntryDate],DATE(2026,7,27),tblDaily[WardCode],"FAE")),"")</f>
        <v/>
      </c>
      <c r="L274" s="25">
        <f>IFERROR(IF(SUMIFS(tblDaily[DeathsUnder24Hrs],tblDaily[EntryDate],DATE(2026,7,27),tblDaily[WardCode],"FAE")=0,"",SUMIFS(tblDaily[DeathsUnder24Hrs],tblDaily[EntryDate],DATE(2026,7,27),tblDaily[WardCode],"FAE")),"")</f>
        <v/>
      </c>
      <c r="M274" s="25">
        <f>IFERROR(IF(SUMIFS(tblDaily[TransfersIn],tblDaily[EntryDate],DATE(2026,7,27),tblDaily[WardCode],"FAE")=0,"",SUMIFS(tblDaily[TransfersIn],tblDaily[EntryDate],DATE(2026,7,27),tblDaily[WardCode],"FAE")),"")</f>
        <v/>
      </c>
      <c r="N274" s="25">
        <f>IFERROR(IF(SUMIFS(tblDaily[TransfersOut],tblDaily[EntryDate],DATE(2026,7,27),tblDaily[WardCode],"FAE")=0,"",SUMIFS(tblDaily[TransfersOut],tblDaily[EntryDate],DATE(2026,7,27),tblDaily[WardCode],"FAE")),"")</f>
        <v/>
      </c>
      <c r="O274" s="25">
        <f>IFERROR(IF(SUMIFS(tblDaily[Remaining],tblDaily[EntryDate],DATE(2026,7,27),tblDaily[WardCode],"FAE")=0,"",SUMIFS(tblDaily[Remaining],tblDaily[EntryDate],DATE(2026,7,27),tblDaily[WardCode],"FAE")),"")</f>
        <v/>
      </c>
      <c r="P274" s="26">
        <f>IF(AND(H274="", O274=""), "", N(H274) + N(O274))</f>
        <v/>
      </c>
    </row>
    <row r="275">
      <c r="A275" s="25" t="n">
        <v>28</v>
      </c>
      <c r="B275" s="25">
        <f>IFERROR(IF(SUMIFS(tblDaily[Admissions],tblDaily[EntryDate],DATE(2026,7,28),tblDaily[WardCode],"MAE")=0,"",SUMIFS(tblDaily[Admissions],tblDaily[EntryDate],DATE(2026,7,28),tblDaily[WardCode],"MAE")),"")</f>
        <v/>
      </c>
      <c r="C275" s="25">
        <f>IFERROR(IF(SUMIFS(tblDaily[Discharges],tblDaily[EntryDate],DATE(2026,7,28),tblDaily[WardCode],"MAE")=0,"",SUMIFS(tblDaily[Discharges],tblDaily[EntryDate],DATE(2026,7,28),tblDaily[WardCode],"MAE")),"")</f>
        <v/>
      </c>
      <c r="D275" s="25">
        <f>IFERROR(IF(SUMIFS(tblDaily[Deaths],tblDaily[EntryDate],DATE(2026,7,28),tblDaily[WardCode],"MAE")=0,"",SUMIFS(tblDaily[Deaths],tblDaily[EntryDate],DATE(2026,7,28),tblDaily[WardCode],"MAE")),"")</f>
        <v/>
      </c>
      <c r="E275" s="25">
        <f>IFERROR(IF(SUMIFS(tblDaily[DeathsUnder24Hrs],tblDaily[EntryDate],DATE(2026,7,28),tblDaily[WardCode],"MAE")=0,"",SUMIFS(tblDaily[DeathsUnder24Hrs],tblDaily[EntryDate],DATE(2026,7,28),tblDaily[WardCode],"MAE")),"")</f>
        <v/>
      </c>
      <c r="F275" s="25">
        <f>IFERROR(IF(SUMIFS(tblDaily[TransfersIn],tblDaily[EntryDate],DATE(2026,7,28),tblDaily[WardCode],"MAE")=0,"",SUMIFS(tblDaily[TransfersIn],tblDaily[EntryDate],DATE(2026,7,28),tblDaily[WardCode],"MAE")),"")</f>
        <v/>
      </c>
      <c r="G275" s="25">
        <f>IFERROR(IF(SUMIFS(tblDaily[TransfersOut],tblDaily[EntryDate],DATE(2026,7,28),tblDaily[WardCode],"MAE")=0,"",SUMIFS(tblDaily[TransfersOut],tblDaily[EntryDate],DATE(2026,7,28),tblDaily[WardCode],"MAE")),"")</f>
        <v/>
      </c>
      <c r="H275" s="25">
        <f>IFERROR(IF(SUMIFS(tblDaily[Remaining],tblDaily[EntryDate],DATE(2026,7,28),tblDaily[WardCode],"MAE")=0,"",SUMIFS(tblDaily[Remaining],tblDaily[EntryDate],DATE(2026,7,28),tblDaily[WardCode],"MAE")),"")</f>
        <v/>
      </c>
      <c r="I275" s="25">
        <f>IFERROR(IF(SUMIFS(tblDaily[Admissions],tblDaily[EntryDate],DATE(2026,7,28),tblDaily[WardCode],"FAE")=0,"",SUMIFS(tblDaily[Admissions],tblDaily[EntryDate],DATE(2026,7,28),tblDaily[WardCode],"FAE")),"")</f>
        <v/>
      </c>
      <c r="J275" s="25">
        <f>IFERROR(IF(SUMIFS(tblDaily[Discharges],tblDaily[EntryDate],DATE(2026,7,28),tblDaily[WardCode],"FAE")=0,"",SUMIFS(tblDaily[Discharges],tblDaily[EntryDate],DATE(2026,7,28),tblDaily[WardCode],"FAE")),"")</f>
        <v/>
      </c>
      <c r="K275" s="25">
        <f>IFERROR(IF(SUMIFS(tblDaily[Deaths],tblDaily[EntryDate],DATE(2026,7,28),tblDaily[WardCode],"FAE")=0,"",SUMIFS(tblDaily[Deaths],tblDaily[EntryDate],DATE(2026,7,28),tblDaily[WardCode],"FAE")),"")</f>
        <v/>
      </c>
      <c r="L275" s="25">
        <f>IFERROR(IF(SUMIFS(tblDaily[DeathsUnder24Hrs],tblDaily[EntryDate],DATE(2026,7,28),tblDaily[WardCode],"FAE")=0,"",SUMIFS(tblDaily[DeathsUnder24Hrs],tblDaily[EntryDate],DATE(2026,7,28),tblDaily[WardCode],"FAE")),"")</f>
        <v/>
      </c>
      <c r="M275" s="25">
        <f>IFERROR(IF(SUMIFS(tblDaily[TransfersIn],tblDaily[EntryDate],DATE(2026,7,28),tblDaily[WardCode],"FAE")=0,"",SUMIFS(tblDaily[TransfersIn],tblDaily[EntryDate],DATE(2026,7,28),tblDaily[WardCode],"FAE")),"")</f>
        <v/>
      </c>
      <c r="N275" s="25">
        <f>IFERROR(IF(SUMIFS(tblDaily[TransfersOut],tblDaily[EntryDate],DATE(2026,7,28),tblDaily[WardCode],"FAE")=0,"",SUMIFS(tblDaily[TransfersOut],tblDaily[EntryDate],DATE(2026,7,28),tblDaily[WardCode],"FAE")),"")</f>
        <v/>
      </c>
      <c r="O275" s="25">
        <f>IFERROR(IF(SUMIFS(tblDaily[Remaining],tblDaily[EntryDate],DATE(2026,7,28),tblDaily[WardCode],"FAE")=0,"",SUMIFS(tblDaily[Remaining],tblDaily[EntryDate],DATE(2026,7,28),tblDaily[WardCode],"FAE")),"")</f>
        <v/>
      </c>
      <c r="P275" s="26">
        <f>IF(AND(H275="", O275=""), "", N(H275) + N(O275))</f>
        <v/>
      </c>
    </row>
    <row r="276">
      <c r="A276" s="25" t="n">
        <v>29</v>
      </c>
      <c r="B276" s="25">
        <f>IFERROR(IF(SUMIFS(tblDaily[Admissions],tblDaily[EntryDate],DATE(2026,7,29),tblDaily[WardCode],"MAE")=0,"",SUMIFS(tblDaily[Admissions],tblDaily[EntryDate],DATE(2026,7,29),tblDaily[WardCode],"MAE")),"")</f>
        <v/>
      </c>
      <c r="C276" s="25">
        <f>IFERROR(IF(SUMIFS(tblDaily[Discharges],tblDaily[EntryDate],DATE(2026,7,29),tblDaily[WardCode],"MAE")=0,"",SUMIFS(tblDaily[Discharges],tblDaily[EntryDate],DATE(2026,7,29),tblDaily[WardCode],"MAE")),"")</f>
        <v/>
      </c>
      <c r="D276" s="25">
        <f>IFERROR(IF(SUMIFS(tblDaily[Deaths],tblDaily[EntryDate],DATE(2026,7,29),tblDaily[WardCode],"MAE")=0,"",SUMIFS(tblDaily[Deaths],tblDaily[EntryDate],DATE(2026,7,29),tblDaily[WardCode],"MAE")),"")</f>
        <v/>
      </c>
      <c r="E276" s="25">
        <f>IFERROR(IF(SUMIFS(tblDaily[DeathsUnder24Hrs],tblDaily[EntryDate],DATE(2026,7,29),tblDaily[WardCode],"MAE")=0,"",SUMIFS(tblDaily[DeathsUnder24Hrs],tblDaily[EntryDate],DATE(2026,7,29),tblDaily[WardCode],"MAE")),"")</f>
        <v/>
      </c>
      <c r="F276" s="25">
        <f>IFERROR(IF(SUMIFS(tblDaily[TransfersIn],tblDaily[EntryDate],DATE(2026,7,29),tblDaily[WardCode],"MAE")=0,"",SUMIFS(tblDaily[TransfersIn],tblDaily[EntryDate],DATE(2026,7,29),tblDaily[WardCode],"MAE")),"")</f>
        <v/>
      </c>
      <c r="G276" s="25">
        <f>IFERROR(IF(SUMIFS(tblDaily[TransfersOut],tblDaily[EntryDate],DATE(2026,7,29),tblDaily[WardCode],"MAE")=0,"",SUMIFS(tblDaily[TransfersOut],tblDaily[EntryDate],DATE(2026,7,29),tblDaily[WardCode],"MAE")),"")</f>
        <v/>
      </c>
      <c r="H276" s="25">
        <f>IFERROR(IF(SUMIFS(tblDaily[Remaining],tblDaily[EntryDate],DATE(2026,7,29),tblDaily[WardCode],"MAE")=0,"",SUMIFS(tblDaily[Remaining],tblDaily[EntryDate],DATE(2026,7,29),tblDaily[WardCode],"MAE")),"")</f>
        <v/>
      </c>
      <c r="I276" s="25">
        <f>IFERROR(IF(SUMIFS(tblDaily[Admissions],tblDaily[EntryDate],DATE(2026,7,29),tblDaily[WardCode],"FAE")=0,"",SUMIFS(tblDaily[Admissions],tblDaily[EntryDate],DATE(2026,7,29),tblDaily[WardCode],"FAE")),"")</f>
        <v/>
      </c>
      <c r="J276" s="25">
        <f>IFERROR(IF(SUMIFS(tblDaily[Discharges],tblDaily[EntryDate],DATE(2026,7,29),tblDaily[WardCode],"FAE")=0,"",SUMIFS(tblDaily[Discharges],tblDaily[EntryDate],DATE(2026,7,29),tblDaily[WardCode],"FAE")),"")</f>
        <v/>
      </c>
      <c r="K276" s="25">
        <f>IFERROR(IF(SUMIFS(tblDaily[Deaths],tblDaily[EntryDate],DATE(2026,7,29),tblDaily[WardCode],"FAE")=0,"",SUMIFS(tblDaily[Deaths],tblDaily[EntryDate],DATE(2026,7,29),tblDaily[WardCode],"FAE")),"")</f>
        <v/>
      </c>
      <c r="L276" s="25">
        <f>IFERROR(IF(SUMIFS(tblDaily[DeathsUnder24Hrs],tblDaily[EntryDate],DATE(2026,7,29),tblDaily[WardCode],"FAE")=0,"",SUMIFS(tblDaily[DeathsUnder24Hrs],tblDaily[EntryDate],DATE(2026,7,29),tblDaily[WardCode],"FAE")),"")</f>
        <v/>
      </c>
      <c r="M276" s="25">
        <f>IFERROR(IF(SUMIFS(tblDaily[TransfersIn],tblDaily[EntryDate],DATE(2026,7,29),tblDaily[WardCode],"FAE")=0,"",SUMIFS(tblDaily[TransfersIn],tblDaily[EntryDate],DATE(2026,7,29),tblDaily[WardCode],"FAE")),"")</f>
        <v/>
      </c>
      <c r="N276" s="25">
        <f>IFERROR(IF(SUMIFS(tblDaily[TransfersOut],tblDaily[EntryDate],DATE(2026,7,29),tblDaily[WardCode],"FAE")=0,"",SUMIFS(tblDaily[TransfersOut],tblDaily[EntryDate],DATE(2026,7,29),tblDaily[WardCode],"FAE")),"")</f>
        <v/>
      </c>
      <c r="O276" s="25">
        <f>IFERROR(IF(SUMIFS(tblDaily[Remaining],tblDaily[EntryDate],DATE(2026,7,29),tblDaily[WardCode],"FAE")=0,"",SUMIFS(tblDaily[Remaining],tblDaily[EntryDate],DATE(2026,7,29),tblDaily[WardCode],"FAE")),"")</f>
        <v/>
      </c>
      <c r="P276" s="26">
        <f>IF(AND(H276="", O276=""), "", N(H276) + N(O276))</f>
        <v/>
      </c>
    </row>
    <row r="277">
      <c r="A277" s="25" t="n">
        <v>30</v>
      </c>
      <c r="B277" s="25">
        <f>IFERROR(IF(SUMIFS(tblDaily[Admissions],tblDaily[EntryDate],DATE(2026,7,30),tblDaily[WardCode],"MAE")=0,"",SUMIFS(tblDaily[Admissions],tblDaily[EntryDate],DATE(2026,7,30),tblDaily[WardCode],"MAE")),"")</f>
        <v/>
      </c>
      <c r="C277" s="25">
        <f>IFERROR(IF(SUMIFS(tblDaily[Discharges],tblDaily[EntryDate],DATE(2026,7,30),tblDaily[WardCode],"MAE")=0,"",SUMIFS(tblDaily[Discharges],tblDaily[EntryDate],DATE(2026,7,30),tblDaily[WardCode],"MAE")),"")</f>
        <v/>
      </c>
      <c r="D277" s="25">
        <f>IFERROR(IF(SUMIFS(tblDaily[Deaths],tblDaily[EntryDate],DATE(2026,7,30),tblDaily[WardCode],"MAE")=0,"",SUMIFS(tblDaily[Deaths],tblDaily[EntryDate],DATE(2026,7,30),tblDaily[WardCode],"MAE")),"")</f>
        <v/>
      </c>
      <c r="E277" s="25">
        <f>IFERROR(IF(SUMIFS(tblDaily[DeathsUnder24Hrs],tblDaily[EntryDate],DATE(2026,7,30),tblDaily[WardCode],"MAE")=0,"",SUMIFS(tblDaily[DeathsUnder24Hrs],tblDaily[EntryDate],DATE(2026,7,30),tblDaily[WardCode],"MAE")),"")</f>
        <v/>
      </c>
      <c r="F277" s="25">
        <f>IFERROR(IF(SUMIFS(tblDaily[TransfersIn],tblDaily[EntryDate],DATE(2026,7,30),tblDaily[WardCode],"MAE")=0,"",SUMIFS(tblDaily[TransfersIn],tblDaily[EntryDate],DATE(2026,7,30),tblDaily[WardCode],"MAE")),"")</f>
        <v/>
      </c>
      <c r="G277" s="25">
        <f>IFERROR(IF(SUMIFS(tblDaily[TransfersOut],tblDaily[EntryDate],DATE(2026,7,30),tblDaily[WardCode],"MAE")=0,"",SUMIFS(tblDaily[TransfersOut],tblDaily[EntryDate],DATE(2026,7,30),tblDaily[WardCode],"MAE")),"")</f>
        <v/>
      </c>
      <c r="H277" s="25">
        <f>IFERROR(IF(SUMIFS(tblDaily[Remaining],tblDaily[EntryDate],DATE(2026,7,30),tblDaily[WardCode],"MAE")=0,"",SUMIFS(tblDaily[Remaining],tblDaily[EntryDate],DATE(2026,7,30),tblDaily[WardCode],"MAE")),"")</f>
        <v/>
      </c>
      <c r="I277" s="25">
        <f>IFERROR(IF(SUMIFS(tblDaily[Admissions],tblDaily[EntryDate],DATE(2026,7,30),tblDaily[WardCode],"FAE")=0,"",SUMIFS(tblDaily[Admissions],tblDaily[EntryDate],DATE(2026,7,30),tblDaily[WardCode],"FAE")),"")</f>
        <v/>
      </c>
      <c r="J277" s="25">
        <f>IFERROR(IF(SUMIFS(tblDaily[Discharges],tblDaily[EntryDate],DATE(2026,7,30),tblDaily[WardCode],"FAE")=0,"",SUMIFS(tblDaily[Discharges],tblDaily[EntryDate],DATE(2026,7,30),tblDaily[WardCode],"FAE")),"")</f>
        <v/>
      </c>
      <c r="K277" s="25">
        <f>IFERROR(IF(SUMIFS(tblDaily[Deaths],tblDaily[EntryDate],DATE(2026,7,30),tblDaily[WardCode],"FAE")=0,"",SUMIFS(tblDaily[Deaths],tblDaily[EntryDate],DATE(2026,7,30),tblDaily[WardCode],"FAE")),"")</f>
        <v/>
      </c>
      <c r="L277" s="25">
        <f>IFERROR(IF(SUMIFS(tblDaily[DeathsUnder24Hrs],tblDaily[EntryDate],DATE(2026,7,30),tblDaily[WardCode],"FAE")=0,"",SUMIFS(tblDaily[DeathsUnder24Hrs],tblDaily[EntryDate],DATE(2026,7,30),tblDaily[WardCode],"FAE")),"")</f>
        <v/>
      </c>
      <c r="M277" s="25">
        <f>IFERROR(IF(SUMIFS(tblDaily[TransfersIn],tblDaily[EntryDate],DATE(2026,7,30),tblDaily[WardCode],"FAE")=0,"",SUMIFS(tblDaily[TransfersIn],tblDaily[EntryDate],DATE(2026,7,30),tblDaily[WardCode],"FAE")),"")</f>
        <v/>
      </c>
      <c r="N277" s="25">
        <f>IFERROR(IF(SUMIFS(tblDaily[TransfersOut],tblDaily[EntryDate],DATE(2026,7,30),tblDaily[WardCode],"FAE")=0,"",SUMIFS(tblDaily[TransfersOut],tblDaily[EntryDate],DATE(2026,7,30),tblDaily[WardCode],"FAE")),"")</f>
        <v/>
      </c>
      <c r="O277" s="25">
        <f>IFERROR(IF(SUMIFS(tblDaily[Remaining],tblDaily[EntryDate],DATE(2026,7,30),tblDaily[WardCode],"FAE")=0,"",SUMIFS(tblDaily[Remaining],tblDaily[EntryDate],DATE(2026,7,30),tblDaily[WardCode],"FAE")),"")</f>
        <v/>
      </c>
      <c r="P277" s="26">
        <f>IF(AND(H277="", O277=""), "", N(H277) + N(O277))</f>
        <v/>
      </c>
    </row>
    <row r="278">
      <c r="A278" s="25" t="n">
        <v>31</v>
      </c>
      <c r="B278" s="25">
        <f>IFERROR(IF(SUMIFS(tblDaily[Admissions],tblDaily[EntryDate],DATE(2026,7,31),tblDaily[WardCode],"MAE")=0,"",SUMIFS(tblDaily[Admissions],tblDaily[EntryDate],DATE(2026,7,31),tblDaily[WardCode],"MAE")),"")</f>
        <v/>
      </c>
      <c r="C278" s="25">
        <f>IFERROR(IF(SUMIFS(tblDaily[Discharges],tblDaily[EntryDate],DATE(2026,7,31),tblDaily[WardCode],"MAE")=0,"",SUMIFS(tblDaily[Discharges],tblDaily[EntryDate],DATE(2026,7,31),tblDaily[WardCode],"MAE")),"")</f>
        <v/>
      </c>
      <c r="D278" s="25">
        <f>IFERROR(IF(SUMIFS(tblDaily[Deaths],tblDaily[EntryDate],DATE(2026,7,31),tblDaily[WardCode],"MAE")=0,"",SUMIFS(tblDaily[Deaths],tblDaily[EntryDate],DATE(2026,7,31),tblDaily[WardCode],"MAE")),"")</f>
        <v/>
      </c>
      <c r="E278" s="25">
        <f>IFERROR(IF(SUMIFS(tblDaily[DeathsUnder24Hrs],tblDaily[EntryDate],DATE(2026,7,31),tblDaily[WardCode],"MAE")=0,"",SUMIFS(tblDaily[DeathsUnder24Hrs],tblDaily[EntryDate],DATE(2026,7,31),tblDaily[WardCode],"MAE")),"")</f>
        <v/>
      </c>
      <c r="F278" s="25">
        <f>IFERROR(IF(SUMIFS(tblDaily[TransfersIn],tblDaily[EntryDate],DATE(2026,7,31),tblDaily[WardCode],"MAE")=0,"",SUMIFS(tblDaily[TransfersIn],tblDaily[EntryDate],DATE(2026,7,31),tblDaily[WardCode],"MAE")),"")</f>
        <v/>
      </c>
      <c r="G278" s="25">
        <f>IFERROR(IF(SUMIFS(tblDaily[TransfersOut],tblDaily[EntryDate],DATE(2026,7,31),tblDaily[WardCode],"MAE")=0,"",SUMIFS(tblDaily[TransfersOut],tblDaily[EntryDate],DATE(2026,7,31),tblDaily[WardCode],"MAE")),"")</f>
        <v/>
      </c>
      <c r="H278" s="25">
        <f>IFERROR(IF(SUMIFS(tblDaily[Remaining],tblDaily[EntryDate],DATE(2026,7,31),tblDaily[WardCode],"MAE")=0,"",SUMIFS(tblDaily[Remaining],tblDaily[EntryDate],DATE(2026,7,31),tblDaily[WardCode],"MAE")),"")</f>
        <v/>
      </c>
      <c r="I278" s="25">
        <f>IFERROR(IF(SUMIFS(tblDaily[Admissions],tblDaily[EntryDate],DATE(2026,7,31),tblDaily[WardCode],"FAE")=0,"",SUMIFS(tblDaily[Admissions],tblDaily[EntryDate],DATE(2026,7,31),tblDaily[WardCode],"FAE")),"")</f>
        <v/>
      </c>
      <c r="J278" s="25">
        <f>IFERROR(IF(SUMIFS(tblDaily[Discharges],tblDaily[EntryDate],DATE(2026,7,31),tblDaily[WardCode],"FAE")=0,"",SUMIFS(tblDaily[Discharges],tblDaily[EntryDate],DATE(2026,7,31),tblDaily[WardCode],"FAE")),"")</f>
        <v/>
      </c>
      <c r="K278" s="25">
        <f>IFERROR(IF(SUMIFS(tblDaily[Deaths],tblDaily[EntryDate],DATE(2026,7,31),tblDaily[WardCode],"FAE")=0,"",SUMIFS(tblDaily[Deaths],tblDaily[EntryDate],DATE(2026,7,31),tblDaily[WardCode],"FAE")),"")</f>
        <v/>
      </c>
      <c r="L278" s="25">
        <f>IFERROR(IF(SUMIFS(tblDaily[DeathsUnder24Hrs],tblDaily[EntryDate],DATE(2026,7,31),tblDaily[WardCode],"FAE")=0,"",SUMIFS(tblDaily[DeathsUnder24Hrs],tblDaily[EntryDate],DATE(2026,7,31),tblDaily[WardCode],"FAE")),"")</f>
        <v/>
      </c>
      <c r="M278" s="25">
        <f>IFERROR(IF(SUMIFS(tblDaily[TransfersIn],tblDaily[EntryDate],DATE(2026,7,31),tblDaily[WardCode],"FAE")=0,"",SUMIFS(tblDaily[TransfersIn],tblDaily[EntryDate],DATE(2026,7,31),tblDaily[WardCode],"FAE")),"")</f>
        <v/>
      </c>
      <c r="N278" s="25">
        <f>IFERROR(IF(SUMIFS(tblDaily[TransfersOut],tblDaily[EntryDate],DATE(2026,7,31),tblDaily[WardCode],"FAE")=0,"",SUMIFS(tblDaily[TransfersOut],tblDaily[EntryDate],DATE(2026,7,31),tblDaily[WardCode],"FAE")),"")</f>
        <v/>
      </c>
      <c r="O278" s="25">
        <f>IFERROR(IF(SUMIFS(tblDaily[Remaining],tblDaily[EntryDate],DATE(2026,7,31),tblDaily[WardCode],"FAE")=0,"",SUMIFS(tblDaily[Remaining],tblDaily[EntryDate],DATE(2026,7,31),tblDaily[WardCode],"FAE")),"")</f>
        <v/>
      </c>
      <c r="P278" s="26">
        <f>IF(AND(H278="", O278=""), "", N(H278) + N(O278))</f>
        <v/>
      </c>
    </row>
    <row r="279">
      <c r="A279" s="17" t="inlineStr">
        <is>
          <t>TOTAL</t>
        </is>
      </c>
      <c r="B279" s="17">
        <f>SUMIFS(tblDaily[Admissions],tblDaily[Month],7,tblDaily[WardCode],"MAE") - SUMIFS(tblDaily[DeathsUnder24Hrs],tblDaily[Month],7,tblDaily[WardCode],"MAE")</f>
        <v/>
      </c>
      <c r="C279" s="17">
        <f>SUMIFS(tblDaily[Discharges],tblDaily[Month],7,tblDaily[WardCode],"MAE")</f>
        <v/>
      </c>
      <c r="D279" s="17">
        <f>SUMIFS(tblDaily[Deaths],tblDaily[Month],7,tblDaily[WardCode],"MAE")</f>
        <v/>
      </c>
      <c r="E279" s="17">
        <f>SUMIFS(tblDaily[DeathsUnder24Hrs],tblDaily[Month],7,tblDaily[WardCode],"MAE")</f>
        <v/>
      </c>
      <c r="F279" s="17">
        <f>SUMIFS(tblDaily[TransfersIn],tblDaily[Month],7,tblDaily[WardCode],"MAE")</f>
        <v/>
      </c>
      <c r="G279" s="17">
        <f>SUMIFS(tblDaily[TransfersOut],tblDaily[Month],7,tblDaily[WardCode],"MAE")</f>
        <v/>
      </c>
      <c r="H279" s="17">
        <f>SUMIFS(tblDaily[Remaining],tblDaily[Month],7,tblDaily[WardCode],"MAE")</f>
        <v/>
      </c>
      <c r="I279" s="17">
        <f>SUMIFS(tblDaily[Admissions],tblDaily[Month],7,tblDaily[WardCode],"FAE") - SUMIFS(tblDaily[DeathsUnder24Hrs],tblDaily[Month],7,tblDaily[WardCode],"FAE")</f>
        <v/>
      </c>
      <c r="J279" s="17">
        <f>SUMIFS(tblDaily[Discharges],tblDaily[Month],7,tblDaily[WardCode],"FAE")</f>
        <v/>
      </c>
      <c r="K279" s="17">
        <f>SUMIFS(tblDaily[Deaths],tblDaily[Month],7,tblDaily[WardCode],"FAE")</f>
        <v/>
      </c>
      <c r="L279" s="17">
        <f>SUMIFS(tblDaily[DeathsUnder24Hrs],tblDaily[Month],7,tblDaily[WardCode],"FAE")</f>
        <v/>
      </c>
      <c r="M279" s="17">
        <f>SUMIFS(tblDaily[TransfersIn],tblDaily[Month],7,tblDaily[WardCode],"FAE")</f>
        <v/>
      </c>
      <c r="N279" s="17">
        <f>SUMIFS(tblDaily[TransfersOut],tblDaily[Month],7,tblDaily[WardCode],"FAE")</f>
        <v/>
      </c>
      <c r="O279" s="17">
        <f>SUMIFS(tblDaily[Remaining],tblDaily[Month],7,tblDaily[WardCode],"FAE")</f>
        <v/>
      </c>
      <c r="P279" s="17">
        <f>H279 + O279</f>
        <v/>
      </c>
    </row>
    <row r="281">
      <c r="A281" s="19" t="inlineStr">
        <is>
          <t>GHANA HEALTH SERVICE</t>
        </is>
      </c>
    </row>
    <row r="282">
      <c r="A282" s="2" t="inlineStr">
        <is>
          <t>DAILY BED UTILIZATION FORM</t>
        </is>
      </c>
    </row>
    <row r="283">
      <c r="A283" s="4" t="inlineStr">
        <is>
          <t>Hospital:</t>
        </is>
      </c>
      <c r="B283" s="5" t="inlineStr">
        <is>
          <t>HOHOE MUNICIPAL HOSPITAL</t>
        </is>
      </c>
      <c r="E283" s="4" t="inlineStr">
        <is>
          <t>Ward:</t>
        </is>
      </c>
      <c r="F283" s="4" t="inlineStr">
        <is>
          <t>EMERGENCY (COMBINED)</t>
        </is>
      </c>
      <c r="M283" s="4" t="inlineStr">
        <is>
          <t>MONTH</t>
        </is>
      </c>
      <c r="N283" s="4" t="inlineStr">
        <is>
          <t>AUGUST</t>
        </is>
      </c>
    </row>
    <row r="284">
      <c r="A284" s="4" t="inlineStr">
        <is>
          <t>Number of patients remaining as at last day of previous month</t>
        </is>
      </c>
      <c r="B284" s="20">
        <f>IFERROR(SUMIFS(tblDaily[Remaining],tblDaily[EntryDate],DATE(2026,7,31),tblDaily[WardCode],"MAE"),0)</f>
        <v/>
      </c>
      <c r="I284" s="20">
        <f>IFERROR(SUMIFS(tblDaily[Remaining],tblDaily[EntryDate],DATE(2026,7,31),tblDaily[WardCode],"FAE"),0)</f>
        <v/>
      </c>
    </row>
    <row r="285">
      <c r="A285" s="4" t="inlineStr">
        <is>
          <t>Bed complement</t>
        </is>
      </c>
      <c r="B285" s="20">
        <f>IFERROR(INDEX(tblWardConfig[BedComplement],MATCH("MAE",tblWardConfig[WardCode],0)),0)</f>
        <v/>
      </c>
      <c r="I285" s="20">
        <f>IFERROR(INDEX(tblWardConfig[BedComplement],MATCH("FAE",tblWardConfig[WardCode],0)),0)</f>
        <v/>
      </c>
      <c r="O285" s="21">
        <f>B285+I285</f>
        <v/>
      </c>
    </row>
    <row r="286">
      <c r="A286" s="11" t="inlineStr">
        <is>
          <t>Day</t>
        </is>
      </c>
      <c r="B286" s="22" t="inlineStr">
        <is>
          <t>MALE EMERGENCY</t>
        </is>
      </c>
      <c r="I286" s="23" t="inlineStr">
        <is>
          <t>FEMALE EMERGENCY</t>
        </is>
      </c>
      <c r="P286" s="24" t="inlineStr">
        <is>
          <t>TOTAL</t>
        </is>
      </c>
    </row>
    <row r="287">
      <c r="A287" s="11" t="inlineStr">
        <is>
          <t>Day</t>
        </is>
      </c>
      <c r="B287" s="11" t="inlineStr">
        <is>
          <t>Adm</t>
        </is>
      </c>
      <c r="C287" s="11" t="inlineStr">
        <is>
          <t>Dis</t>
        </is>
      </c>
      <c r="D287" s="11" t="inlineStr">
        <is>
          <t>Dth</t>
        </is>
      </c>
      <c r="E287" s="11" t="inlineStr">
        <is>
          <t>D&lt;24</t>
        </is>
      </c>
      <c r="F287" s="11" t="inlineStr">
        <is>
          <t>TrIn</t>
        </is>
      </c>
      <c r="G287" s="11" t="inlineStr">
        <is>
          <t>TrOut</t>
        </is>
      </c>
      <c r="H287" s="11" t="inlineStr">
        <is>
          <t>Rem</t>
        </is>
      </c>
      <c r="I287" s="11" t="inlineStr">
        <is>
          <t>Adm</t>
        </is>
      </c>
      <c r="J287" s="11" t="inlineStr">
        <is>
          <t>Dis</t>
        </is>
      </c>
      <c r="K287" s="11" t="inlineStr">
        <is>
          <t>Dth</t>
        </is>
      </c>
      <c r="L287" s="11" t="inlineStr">
        <is>
          <t>D&lt;24</t>
        </is>
      </c>
      <c r="M287" s="11" t="inlineStr">
        <is>
          <t>TrIn</t>
        </is>
      </c>
      <c r="N287" s="11" t="inlineStr">
        <is>
          <t>TrOut</t>
        </is>
      </c>
      <c r="O287" s="11" t="inlineStr">
        <is>
          <t>Rem</t>
        </is>
      </c>
      <c r="P287" s="11" t="inlineStr">
        <is>
          <t>Tot
Rem</t>
        </is>
      </c>
    </row>
    <row r="288">
      <c r="A288" s="25" t="n">
        <v>1</v>
      </c>
      <c r="B288" s="25">
        <f>IFERROR(IF(SUMIFS(tblDaily[Admissions],tblDaily[EntryDate],DATE(2026,8,1),tblDaily[WardCode],"MAE")=0,"",SUMIFS(tblDaily[Admissions],tblDaily[EntryDate],DATE(2026,8,1),tblDaily[WardCode],"MAE")),"")</f>
        <v/>
      </c>
      <c r="C288" s="25">
        <f>IFERROR(IF(SUMIFS(tblDaily[Discharges],tblDaily[EntryDate],DATE(2026,8,1),tblDaily[WardCode],"MAE")=0,"",SUMIFS(tblDaily[Discharges],tblDaily[EntryDate],DATE(2026,8,1),tblDaily[WardCode],"MAE")),"")</f>
        <v/>
      </c>
      <c r="D288" s="25">
        <f>IFERROR(IF(SUMIFS(tblDaily[Deaths],tblDaily[EntryDate],DATE(2026,8,1),tblDaily[WardCode],"MAE")=0,"",SUMIFS(tblDaily[Deaths],tblDaily[EntryDate],DATE(2026,8,1),tblDaily[WardCode],"MAE")),"")</f>
        <v/>
      </c>
      <c r="E288" s="25">
        <f>IFERROR(IF(SUMIFS(tblDaily[DeathsUnder24Hrs],tblDaily[EntryDate],DATE(2026,8,1),tblDaily[WardCode],"MAE")=0,"",SUMIFS(tblDaily[DeathsUnder24Hrs],tblDaily[EntryDate],DATE(2026,8,1),tblDaily[WardCode],"MAE")),"")</f>
        <v/>
      </c>
      <c r="F288" s="25">
        <f>IFERROR(IF(SUMIFS(tblDaily[TransfersIn],tblDaily[EntryDate],DATE(2026,8,1),tblDaily[WardCode],"MAE")=0,"",SUMIFS(tblDaily[TransfersIn],tblDaily[EntryDate],DATE(2026,8,1),tblDaily[WardCode],"MAE")),"")</f>
        <v/>
      </c>
      <c r="G288" s="25">
        <f>IFERROR(IF(SUMIFS(tblDaily[TransfersOut],tblDaily[EntryDate],DATE(2026,8,1),tblDaily[WardCode],"MAE")=0,"",SUMIFS(tblDaily[TransfersOut],tblDaily[EntryDate],DATE(2026,8,1),tblDaily[WardCode],"MAE")),"")</f>
        <v/>
      </c>
      <c r="H288" s="25">
        <f>IFERROR(IF(SUMIFS(tblDaily[Remaining],tblDaily[EntryDate],DATE(2026,8,1),tblDaily[WardCode],"MAE")=0,"",SUMIFS(tblDaily[Remaining],tblDaily[EntryDate],DATE(2026,8,1),tblDaily[WardCode],"MAE")),"")</f>
        <v/>
      </c>
      <c r="I288" s="25">
        <f>IFERROR(IF(SUMIFS(tblDaily[Admissions],tblDaily[EntryDate],DATE(2026,8,1),tblDaily[WardCode],"FAE")=0,"",SUMIFS(tblDaily[Admissions],tblDaily[EntryDate],DATE(2026,8,1),tblDaily[WardCode],"FAE")),"")</f>
        <v/>
      </c>
      <c r="J288" s="25">
        <f>IFERROR(IF(SUMIFS(tblDaily[Discharges],tblDaily[EntryDate],DATE(2026,8,1),tblDaily[WardCode],"FAE")=0,"",SUMIFS(tblDaily[Discharges],tblDaily[EntryDate],DATE(2026,8,1),tblDaily[WardCode],"FAE")),"")</f>
        <v/>
      </c>
      <c r="K288" s="25">
        <f>IFERROR(IF(SUMIFS(tblDaily[Deaths],tblDaily[EntryDate],DATE(2026,8,1),tblDaily[WardCode],"FAE")=0,"",SUMIFS(tblDaily[Deaths],tblDaily[EntryDate],DATE(2026,8,1),tblDaily[WardCode],"FAE")),"")</f>
        <v/>
      </c>
      <c r="L288" s="25">
        <f>IFERROR(IF(SUMIFS(tblDaily[DeathsUnder24Hrs],tblDaily[EntryDate],DATE(2026,8,1),tblDaily[WardCode],"FAE")=0,"",SUMIFS(tblDaily[DeathsUnder24Hrs],tblDaily[EntryDate],DATE(2026,8,1),tblDaily[WardCode],"FAE")),"")</f>
        <v/>
      </c>
      <c r="M288" s="25">
        <f>IFERROR(IF(SUMIFS(tblDaily[TransfersIn],tblDaily[EntryDate],DATE(2026,8,1),tblDaily[WardCode],"FAE")=0,"",SUMIFS(tblDaily[TransfersIn],tblDaily[EntryDate],DATE(2026,8,1),tblDaily[WardCode],"FAE")),"")</f>
        <v/>
      </c>
      <c r="N288" s="25">
        <f>IFERROR(IF(SUMIFS(tblDaily[TransfersOut],tblDaily[EntryDate],DATE(2026,8,1),tblDaily[WardCode],"FAE")=0,"",SUMIFS(tblDaily[TransfersOut],tblDaily[EntryDate],DATE(2026,8,1),tblDaily[WardCode],"FAE")),"")</f>
        <v/>
      </c>
      <c r="O288" s="25">
        <f>IFERROR(IF(SUMIFS(tblDaily[Remaining],tblDaily[EntryDate],DATE(2026,8,1),tblDaily[WardCode],"FAE")=0,"",SUMIFS(tblDaily[Remaining],tblDaily[EntryDate],DATE(2026,8,1),tblDaily[WardCode],"FAE")),"")</f>
        <v/>
      </c>
      <c r="P288" s="26">
        <f>IF(AND(H288="", O288=""), "", N(H288) + N(O288))</f>
        <v/>
      </c>
    </row>
    <row r="289">
      <c r="A289" s="25" t="n">
        <v>2</v>
      </c>
      <c r="B289" s="25">
        <f>IFERROR(IF(SUMIFS(tblDaily[Admissions],tblDaily[EntryDate],DATE(2026,8,2),tblDaily[WardCode],"MAE")=0,"",SUMIFS(tblDaily[Admissions],tblDaily[EntryDate],DATE(2026,8,2),tblDaily[WardCode],"MAE")),"")</f>
        <v/>
      </c>
      <c r="C289" s="25">
        <f>IFERROR(IF(SUMIFS(tblDaily[Discharges],tblDaily[EntryDate],DATE(2026,8,2),tblDaily[WardCode],"MAE")=0,"",SUMIFS(tblDaily[Discharges],tblDaily[EntryDate],DATE(2026,8,2),tblDaily[WardCode],"MAE")),"")</f>
        <v/>
      </c>
      <c r="D289" s="25">
        <f>IFERROR(IF(SUMIFS(tblDaily[Deaths],tblDaily[EntryDate],DATE(2026,8,2),tblDaily[WardCode],"MAE")=0,"",SUMIFS(tblDaily[Deaths],tblDaily[EntryDate],DATE(2026,8,2),tblDaily[WardCode],"MAE")),"")</f>
        <v/>
      </c>
      <c r="E289" s="25">
        <f>IFERROR(IF(SUMIFS(tblDaily[DeathsUnder24Hrs],tblDaily[EntryDate],DATE(2026,8,2),tblDaily[WardCode],"MAE")=0,"",SUMIFS(tblDaily[DeathsUnder24Hrs],tblDaily[EntryDate],DATE(2026,8,2),tblDaily[WardCode],"MAE")),"")</f>
        <v/>
      </c>
      <c r="F289" s="25">
        <f>IFERROR(IF(SUMIFS(tblDaily[TransfersIn],tblDaily[EntryDate],DATE(2026,8,2),tblDaily[WardCode],"MAE")=0,"",SUMIFS(tblDaily[TransfersIn],tblDaily[EntryDate],DATE(2026,8,2),tblDaily[WardCode],"MAE")),"")</f>
        <v/>
      </c>
      <c r="G289" s="25">
        <f>IFERROR(IF(SUMIFS(tblDaily[TransfersOut],tblDaily[EntryDate],DATE(2026,8,2),tblDaily[WardCode],"MAE")=0,"",SUMIFS(tblDaily[TransfersOut],tblDaily[EntryDate],DATE(2026,8,2),tblDaily[WardCode],"MAE")),"")</f>
        <v/>
      </c>
      <c r="H289" s="25">
        <f>IFERROR(IF(SUMIFS(tblDaily[Remaining],tblDaily[EntryDate],DATE(2026,8,2),tblDaily[WardCode],"MAE")=0,"",SUMIFS(tblDaily[Remaining],tblDaily[EntryDate],DATE(2026,8,2),tblDaily[WardCode],"MAE")),"")</f>
        <v/>
      </c>
      <c r="I289" s="25">
        <f>IFERROR(IF(SUMIFS(tblDaily[Admissions],tblDaily[EntryDate],DATE(2026,8,2),tblDaily[WardCode],"FAE")=0,"",SUMIFS(tblDaily[Admissions],tblDaily[EntryDate],DATE(2026,8,2),tblDaily[WardCode],"FAE")),"")</f>
        <v/>
      </c>
      <c r="J289" s="25">
        <f>IFERROR(IF(SUMIFS(tblDaily[Discharges],tblDaily[EntryDate],DATE(2026,8,2),tblDaily[WardCode],"FAE")=0,"",SUMIFS(tblDaily[Discharges],tblDaily[EntryDate],DATE(2026,8,2),tblDaily[WardCode],"FAE")),"")</f>
        <v/>
      </c>
      <c r="K289" s="25">
        <f>IFERROR(IF(SUMIFS(tblDaily[Deaths],tblDaily[EntryDate],DATE(2026,8,2),tblDaily[WardCode],"FAE")=0,"",SUMIFS(tblDaily[Deaths],tblDaily[EntryDate],DATE(2026,8,2),tblDaily[WardCode],"FAE")),"")</f>
        <v/>
      </c>
      <c r="L289" s="25">
        <f>IFERROR(IF(SUMIFS(tblDaily[DeathsUnder24Hrs],tblDaily[EntryDate],DATE(2026,8,2),tblDaily[WardCode],"FAE")=0,"",SUMIFS(tblDaily[DeathsUnder24Hrs],tblDaily[EntryDate],DATE(2026,8,2),tblDaily[WardCode],"FAE")),"")</f>
        <v/>
      </c>
      <c r="M289" s="25">
        <f>IFERROR(IF(SUMIFS(tblDaily[TransfersIn],tblDaily[EntryDate],DATE(2026,8,2),tblDaily[WardCode],"FAE")=0,"",SUMIFS(tblDaily[TransfersIn],tblDaily[EntryDate],DATE(2026,8,2),tblDaily[WardCode],"FAE")),"")</f>
        <v/>
      </c>
      <c r="N289" s="25">
        <f>IFERROR(IF(SUMIFS(tblDaily[TransfersOut],tblDaily[EntryDate],DATE(2026,8,2),tblDaily[WardCode],"FAE")=0,"",SUMIFS(tblDaily[TransfersOut],tblDaily[EntryDate],DATE(2026,8,2),tblDaily[WardCode],"FAE")),"")</f>
        <v/>
      </c>
      <c r="O289" s="25">
        <f>IFERROR(IF(SUMIFS(tblDaily[Remaining],tblDaily[EntryDate],DATE(2026,8,2),tblDaily[WardCode],"FAE")=0,"",SUMIFS(tblDaily[Remaining],tblDaily[EntryDate],DATE(2026,8,2),tblDaily[WardCode],"FAE")),"")</f>
        <v/>
      </c>
      <c r="P289" s="26">
        <f>IF(AND(H289="", O289=""), "", N(H289) + N(O289))</f>
        <v/>
      </c>
    </row>
    <row r="290">
      <c r="A290" s="25" t="n">
        <v>3</v>
      </c>
      <c r="B290" s="25">
        <f>IFERROR(IF(SUMIFS(tblDaily[Admissions],tblDaily[EntryDate],DATE(2026,8,3),tblDaily[WardCode],"MAE")=0,"",SUMIFS(tblDaily[Admissions],tblDaily[EntryDate],DATE(2026,8,3),tblDaily[WardCode],"MAE")),"")</f>
        <v/>
      </c>
      <c r="C290" s="25">
        <f>IFERROR(IF(SUMIFS(tblDaily[Discharges],tblDaily[EntryDate],DATE(2026,8,3),tblDaily[WardCode],"MAE")=0,"",SUMIFS(tblDaily[Discharges],tblDaily[EntryDate],DATE(2026,8,3),tblDaily[WardCode],"MAE")),"")</f>
        <v/>
      </c>
      <c r="D290" s="25">
        <f>IFERROR(IF(SUMIFS(tblDaily[Deaths],tblDaily[EntryDate],DATE(2026,8,3),tblDaily[WardCode],"MAE")=0,"",SUMIFS(tblDaily[Deaths],tblDaily[EntryDate],DATE(2026,8,3),tblDaily[WardCode],"MAE")),"")</f>
        <v/>
      </c>
      <c r="E290" s="25">
        <f>IFERROR(IF(SUMIFS(tblDaily[DeathsUnder24Hrs],tblDaily[EntryDate],DATE(2026,8,3),tblDaily[WardCode],"MAE")=0,"",SUMIFS(tblDaily[DeathsUnder24Hrs],tblDaily[EntryDate],DATE(2026,8,3),tblDaily[WardCode],"MAE")),"")</f>
        <v/>
      </c>
      <c r="F290" s="25">
        <f>IFERROR(IF(SUMIFS(tblDaily[TransfersIn],tblDaily[EntryDate],DATE(2026,8,3),tblDaily[WardCode],"MAE")=0,"",SUMIFS(tblDaily[TransfersIn],tblDaily[EntryDate],DATE(2026,8,3),tblDaily[WardCode],"MAE")),"")</f>
        <v/>
      </c>
      <c r="G290" s="25">
        <f>IFERROR(IF(SUMIFS(tblDaily[TransfersOut],tblDaily[EntryDate],DATE(2026,8,3),tblDaily[WardCode],"MAE")=0,"",SUMIFS(tblDaily[TransfersOut],tblDaily[EntryDate],DATE(2026,8,3),tblDaily[WardCode],"MAE")),"")</f>
        <v/>
      </c>
      <c r="H290" s="25">
        <f>IFERROR(IF(SUMIFS(tblDaily[Remaining],tblDaily[EntryDate],DATE(2026,8,3),tblDaily[WardCode],"MAE")=0,"",SUMIFS(tblDaily[Remaining],tblDaily[EntryDate],DATE(2026,8,3),tblDaily[WardCode],"MAE")),"")</f>
        <v/>
      </c>
      <c r="I290" s="25">
        <f>IFERROR(IF(SUMIFS(tblDaily[Admissions],tblDaily[EntryDate],DATE(2026,8,3),tblDaily[WardCode],"FAE")=0,"",SUMIFS(tblDaily[Admissions],tblDaily[EntryDate],DATE(2026,8,3),tblDaily[WardCode],"FAE")),"")</f>
        <v/>
      </c>
      <c r="J290" s="25">
        <f>IFERROR(IF(SUMIFS(tblDaily[Discharges],tblDaily[EntryDate],DATE(2026,8,3),tblDaily[WardCode],"FAE")=0,"",SUMIFS(tblDaily[Discharges],tblDaily[EntryDate],DATE(2026,8,3),tblDaily[WardCode],"FAE")),"")</f>
        <v/>
      </c>
      <c r="K290" s="25">
        <f>IFERROR(IF(SUMIFS(tblDaily[Deaths],tblDaily[EntryDate],DATE(2026,8,3),tblDaily[WardCode],"FAE")=0,"",SUMIFS(tblDaily[Deaths],tblDaily[EntryDate],DATE(2026,8,3),tblDaily[WardCode],"FAE")),"")</f>
        <v/>
      </c>
      <c r="L290" s="25">
        <f>IFERROR(IF(SUMIFS(tblDaily[DeathsUnder24Hrs],tblDaily[EntryDate],DATE(2026,8,3),tblDaily[WardCode],"FAE")=0,"",SUMIFS(tblDaily[DeathsUnder24Hrs],tblDaily[EntryDate],DATE(2026,8,3),tblDaily[WardCode],"FAE")),"")</f>
        <v/>
      </c>
      <c r="M290" s="25">
        <f>IFERROR(IF(SUMIFS(tblDaily[TransfersIn],tblDaily[EntryDate],DATE(2026,8,3),tblDaily[WardCode],"FAE")=0,"",SUMIFS(tblDaily[TransfersIn],tblDaily[EntryDate],DATE(2026,8,3),tblDaily[WardCode],"FAE")),"")</f>
        <v/>
      </c>
      <c r="N290" s="25">
        <f>IFERROR(IF(SUMIFS(tblDaily[TransfersOut],tblDaily[EntryDate],DATE(2026,8,3),tblDaily[WardCode],"FAE")=0,"",SUMIFS(tblDaily[TransfersOut],tblDaily[EntryDate],DATE(2026,8,3),tblDaily[WardCode],"FAE")),"")</f>
        <v/>
      </c>
      <c r="O290" s="25">
        <f>IFERROR(IF(SUMIFS(tblDaily[Remaining],tblDaily[EntryDate],DATE(2026,8,3),tblDaily[WardCode],"FAE")=0,"",SUMIFS(tblDaily[Remaining],tblDaily[EntryDate],DATE(2026,8,3),tblDaily[WardCode],"FAE")),"")</f>
        <v/>
      </c>
      <c r="P290" s="26">
        <f>IF(AND(H290="", O290=""), "", N(H290) + N(O290))</f>
        <v/>
      </c>
    </row>
    <row r="291">
      <c r="A291" s="25" t="n">
        <v>4</v>
      </c>
      <c r="B291" s="25">
        <f>IFERROR(IF(SUMIFS(tblDaily[Admissions],tblDaily[EntryDate],DATE(2026,8,4),tblDaily[WardCode],"MAE")=0,"",SUMIFS(tblDaily[Admissions],tblDaily[EntryDate],DATE(2026,8,4),tblDaily[WardCode],"MAE")),"")</f>
        <v/>
      </c>
      <c r="C291" s="25">
        <f>IFERROR(IF(SUMIFS(tblDaily[Discharges],tblDaily[EntryDate],DATE(2026,8,4),tblDaily[WardCode],"MAE")=0,"",SUMIFS(tblDaily[Discharges],tblDaily[EntryDate],DATE(2026,8,4),tblDaily[WardCode],"MAE")),"")</f>
        <v/>
      </c>
      <c r="D291" s="25">
        <f>IFERROR(IF(SUMIFS(tblDaily[Deaths],tblDaily[EntryDate],DATE(2026,8,4),tblDaily[WardCode],"MAE")=0,"",SUMIFS(tblDaily[Deaths],tblDaily[EntryDate],DATE(2026,8,4),tblDaily[WardCode],"MAE")),"")</f>
        <v/>
      </c>
      <c r="E291" s="25">
        <f>IFERROR(IF(SUMIFS(tblDaily[DeathsUnder24Hrs],tblDaily[EntryDate],DATE(2026,8,4),tblDaily[WardCode],"MAE")=0,"",SUMIFS(tblDaily[DeathsUnder24Hrs],tblDaily[EntryDate],DATE(2026,8,4),tblDaily[WardCode],"MAE")),"")</f>
        <v/>
      </c>
      <c r="F291" s="25">
        <f>IFERROR(IF(SUMIFS(tblDaily[TransfersIn],tblDaily[EntryDate],DATE(2026,8,4),tblDaily[WardCode],"MAE")=0,"",SUMIFS(tblDaily[TransfersIn],tblDaily[EntryDate],DATE(2026,8,4),tblDaily[WardCode],"MAE")),"")</f>
        <v/>
      </c>
      <c r="G291" s="25">
        <f>IFERROR(IF(SUMIFS(tblDaily[TransfersOut],tblDaily[EntryDate],DATE(2026,8,4),tblDaily[WardCode],"MAE")=0,"",SUMIFS(tblDaily[TransfersOut],tblDaily[EntryDate],DATE(2026,8,4),tblDaily[WardCode],"MAE")),"")</f>
        <v/>
      </c>
      <c r="H291" s="25">
        <f>IFERROR(IF(SUMIFS(tblDaily[Remaining],tblDaily[EntryDate],DATE(2026,8,4),tblDaily[WardCode],"MAE")=0,"",SUMIFS(tblDaily[Remaining],tblDaily[EntryDate],DATE(2026,8,4),tblDaily[WardCode],"MAE")),"")</f>
        <v/>
      </c>
      <c r="I291" s="25">
        <f>IFERROR(IF(SUMIFS(tblDaily[Admissions],tblDaily[EntryDate],DATE(2026,8,4),tblDaily[WardCode],"FAE")=0,"",SUMIFS(tblDaily[Admissions],tblDaily[EntryDate],DATE(2026,8,4),tblDaily[WardCode],"FAE")),"")</f>
        <v/>
      </c>
      <c r="J291" s="25">
        <f>IFERROR(IF(SUMIFS(tblDaily[Discharges],tblDaily[EntryDate],DATE(2026,8,4),tblDaily[WardCode],"FAE")=0,"",SUMIFS(tblDaily[Discharges],tblDaily[EntryDate],DATE(2026,8,4),tblDaily[WardCode],"FAE")),"")</f>
        <v/>
      </c>
      <c r="K291" s="25">
        <f>IFERROR(IF(SUMIFS(tblDaily[Deaths],tblDaily[EntryDate],DATE(2026,8,4),tblDaily[WardCode],"FAE")=0,"",SUMIFS(tblDaily[Deaths],tblDaily[EntryDate],DATE(2026,8,4),tblDaily[WardCode],"FAE")),"")</f>
        <v/>
      </c>
      <c r="L291" s="25">
        <f>IFERROR(IF(SUMIFS(tblDaily[DeathsUnder24Hrs],tblDaily[EntryDate],DATE(2026,8,4),tblDaily[WardCode],"FAE")=0,"",SUMIFS(tblDaily[DeathsUnder24Hrs],tblDaily[EntryDate],DATE(2026,8,4),tblDaily[WardCode],"FAE")),"")</f>
        <v/>
      </c>
      <c r="M291" s="25">
        <f>IFERROR(IF(SUMIFS(tblDaily[TransfersIn],tblDaily[EntryDate],DATE(2026,8,4),tblDaily[WardCode],"FAE")=0,"",SUMIFS(tblDaily[TransfersIn],tblDaily[EntryDate],DATE(2026,8,4),tblDaily[WardCode],"FAE")),"")</f>
        <v/>
      </c>
      <c r="N291" s="25">
        <f>IFERROR(IF(SUMIFS(tblDaily[TransfersOut],tblDaily[EntryDate],DATE(2026,8,4),tblDaily[WardCode],"FAE")=0,"",SUMIFS(tblDaily[TransfersOut],tblDaily[EntryDate],DATE(2026,8,4),tblDaily[WardCode],"FAE")),"")</f>
        <v/>
      </c>
      <c r="O291" s="25">
        <f>IFERROR(IF(SUMIFS(tblDaily[Remaining],tblDaily[EntryDate],DATE(2026,8,4),tblDaily[WardCode],"FAE")=0,"",SUMIFS(tblDaily[Remaining],tblDaily[EntryDate],DATE(2026,8,4),tblDaily[WardCode],"FAE")),"")</f>
        <v/>
      </c>
      <c r="P291" s="26">
        <f>IF(AND(H291="", O291=""), "", N(H291) + N(O291))</f>
        <v/>
      </c>
    </row>
    <row r="292">
      <c r="A292" s="25" t="n">
        <v>5</v>
      </c>
      <c r="B292" s="25">
        <f>IFERROR(IF(SUMIFS(tblDaily[Admissions],tblDaily[EntryDate],DATE(2026,8,5),tblDaily[WardCode],"MAE")=0,"",SUMIFS(tblDaily[Admissions],tblDaily[EntryDate],DATE(2026,8,5),tblDaily[WardCode],"MAE")),"")</f>
        <v/>
      </c>
      <c r="C292" s="25">
        <f>IFERROR(IF(SUMIFS(tblDaily[Discharges],tblDaily[EntryDate],DATE(2026,8,5),tblDaily[WardCode],"MAE")=0,"",SUMIFS(tblDaily[Discharges],tblDaily[EntryDate],DATE(2026,8,5),tblDaily[WardCode],"MAE")),"")</f>
        <v/>
      </c>
      <c r="D292" s="25">
        <f>IFERROR(IF(SUMIFS(tblDaily[Deaths],tblDaily[EntryDate],DATE(2026,8,5),tblDaily[WardCode],"MAE")=0,"",SUMIFS(tblDaily[Deaths],tblDaily[EntryDate],DATE(2026,8,5),tblDaily[WardCode],"MAE")),"")</f>
        <v/>
      </c>
      <c r="E292" s="25">
        <f>IFERROR(IF(SUMIFS(tblDaily[DeathsUnder24Hrs],tblDaily[EntryDate],DATE(2026,8,5),tblDaily[WardCode],"MAE")=0,"",SUMIFS(tblDaily[DeathsUnder24Hrs],tblDaily[EntryDate],DATE(2026,8,5),tblDaily[WardCode],"MAE")),"")</f>
        <v/>
      </c>
      <c r="F292" s="25">
        <f>IFERROR(IF(SUMIFS(tblDaily[TransfersIn],tblDaily[EntryDate],DATE(2026,8,5),tblDaily[WardCode],"MAE")=0,"",SUMIFS(tblDaily[TransfersIn],tblDaily[EntryDate],DATE(2026,8,5),tblDaily[WardCode],"MAE")),"")</f>
        <v/>
      </c>
      <c r="G292" s="25">
        <f>IFERROR(IF(SUMIFS(tblDaily[TransfersOut],tblDaily[EntryDate],DATE(2026,8,5),tblDaily[WardCode],"MAE")=0,"",SUMIFS(tblDaily[TransfersOut],tblDaily[EntryDate],DATE(2026,8,5),tblDaily[WardCode],"MAE")),"")</f>
        <v/>
      </c>
      <c r="H292" s="25">
        <f>IFERROR(IF(SUMIFS(tblDaily[Remaining],tblDaily[EntryDate],DATE(2026,8,5),tblDaily[WardCode],"MAE")=0,"",SUMIFS(tblDaily[Remaining],tblDaily[EntryDate],DATE(2026,8,5),tblDaily[WardCode],"MAE")),"")</f>
        <v/>
      </c>
      <c r="I292" s="25">
        <f>IFERROR(IF(SUMIFS(tblDaily[Admissions],tblDaily[EntryDate],DATE(2026,8,5),tblDaily[WardCode],"FAE")=0,"",SUMIFS(tblDaily[Admissions],tblDaily[EntryDate],DATE(2026,8,5),tblDaily[WardCode],"FAE")),"")</f>
        <v/>
      </c>
      <c r="J292" s="25">
        <f>IFERROR(IF(SUMIFS(tblDaily[Discharges],tblDaily[EntryDate],DATE(2026,8,5),tblDaily[WardCode],"FAE")=0,"",SUMIFS(tblDaily[Discharges],tblDaily[EntryDate],DATE(2026,8,5),tblDaily[WardCode],"FAE")),"")</f>
        <v/>
      </c>
      <c r="K292" s="25">
        <f>IFERROR(IF(SUMIFS(tblDaily[Deaths],tblDaily[EntryDate],DATE(2026,8,5),tblDaily[WardCode],"FAE")=0,"",SUMIFS(tblDaily[Deaths],tblDaily[EntryDate],DATE(2026,8,5),tblDaily[WardCode],"FAE")),"")</f>
        <v/>
      </c>
      <c r="L292" s="25">
        <f>IFERROR(IF(SUMIFS(tblDaily[DeathsUnder24Hrs],tblDaily[EntryDate],DATE(2026,8,5),tblDaily[WardCode],"FAE")=0,"",SUMIFS(tblDaily[DeathsUnder24Hrs],tblDaily[EntryDate],DATE(2026,8,5),tblDaily[WardCode],"FAE")),"")</f>
        <v/>
      </c>
      <c r="M292" s="25">
        <f>IFERROR(IF(SUMIFS(tblDaily[TransfersIn],tblDaily[EntryDate],DATE(2026,8,5),tblDaily[WardCode],"FAE")=0,"",SUMIFS(tblDaily[TransfersIn],tblDaily[EntryDate],DATE(2026,8,5),tblDaily[WardCode],"FAE")),"")</f>
        <v/>
      </c>
      <c r="N292" s="25">
        <f>IFERROR(IF(SUMIFS(tblDaily[TransfersOut],tblDaily[EntryDate],DATE(2026,8,5),tblDaily[WardCode],"FAE")=0,"",SUMIFS(tblDaily[TransfersOut],tblDaily[EntryDate],DATE(2026,8,5),tblDaily[WardCode],"FAE")),"")</f>
        <v/>
      </c>
      <c r="O292" s="25">
        <f>IFERROR(IF(SUMIFS(tblDaily[Remaining],tblDaily[EntryDate],DATE(2026,8,5),tblDaily[WardCode],"FAE")=0,"",SUMIFS(tblDaily[Remaining],tblDaily[EntryDate],DATE(2026,8,5),tblDaily[WardCode],"FAE")),"")</f>
        <v/>
      </c>
      <c r="P292" s="26">
        <f>IF(AND(H292="", O292=""), "", N(H292) + N(O292))</f>
        <v/>
      </c>
    </row>
    <row r="293">
      <c r="A293" s="25" t="n">
        <v>6</v>
      </c>
      <c r="B293" s="25">
        <f>IFERROR(IF(SUMIFS(tblDaily[Admissions],tblDaily[EntryDate],DATE(2026,8,6),tblDaily[WardCode],"MAE")=0,"",SUMIFS(tblDaily[Admissions],tblDaily[EntryDate],DATE(2026,8,6),tblDaily[WardCode],"MAE")),"")</f>
        <v/>
      </c>
      <c r="C293" s="25">
        <f>IFERROR(IF(SUMIFS(tblDaily[Discharges],tblDaily[EntryDate],DATE(2026,8,6),tblDaily[WardCode],"MAE")=0,"",SUMIFS(tblDaily[Discharges],tblDaily[EntryDate],DATE(2026,8,6),tblDaily[WardCode],"MAE")),"")</f>
        <v/>
      </c>
      <c r="D293" s="25">
        <f>IFERROR(IF(SUMIFS(tblDaily[Deaths],tblDaily[EntryDate],DATE(2026,8,6),tblDaily[WardCode],"MAE")=0,"",SUMIFS(tblDaily[Deaths],tblDaily[EntryDate],DATE(2026,8,6),tblDaily[WardCode],"MAE")),"")</f>
        <v/>
      </c>
      <c r="E293" s="25">
        <f>IFERROR(IF(SUMIFS(tblDaily[DeathsUnder24Hrs],tblDaily[EntryDate],DATE(2026,8,6),tblDaily[WardCode],"MAE")=0,"",SUMIFS(tblDaily[DeathsUnder24Hrs],tblDaily[EntryDate],DATE(2026,8,6),tblDaily[WardCode],"MAE")),"")</f>
        <v/>
      </c>
      <c r="F293" s="25">
        <f>IFERROR(IF(SUMIFS(tblDaily[TransfersIn],tblDaily[EntryDate],DATE(2026,8,6),tblDaily[WardCode],"MAE")=0,"",SUMIFS(tblDaily[TransfersIn],tblDaily[EntryDate],DATE(2026,8,6),tblDaily[WardCode],"MAE")),"")</f>
        <v/>
      </c>
      <c r="G293" s="25">
        <f>IFERROR(IF(SUMIFS(tblDaily[TransfersOut],tblDaily[EntryDate],DATE(2026,8,6),tblDaily[WardCode],"MAE")=0,"",SUMIFS(tblDaily[TransfersOut],tblDaily[EntryDate],DATE(2026,8,6),tblDaily[WardCode],"MAE")),"")</f>
        <v/>
      </c>
      <c r="H293" s="25">
        <f>IFERROR(IF(SUMIFS(tblDaily[Remaining],tblDaily[EntryDate],DATE(2026,8,6),tblDaily[WardCode],"MAE")=0,"",SUMIFS(tblDaily[Remaining],tblDaily[EntryDate],DATE(2026,8,6),tblDaily[WardCode],"MAE")),"")</f>
        <v/>
      </c>
      <c r="I293" s="25">
        <f>IFERROR(IF(SUMIFS(tblDaily[Admissions],tblDaily[EntryDate],DATE(2026,8,6),tblDaily[WardCode],"FAE")=0,"",SUMIFS(tblDaily[Admissions],tblDaily[EntryDate],DATE(2026,8,6),tblDaily[WardCode],"FAE")),"")</f>
        <v/>
      </c>
      <c r="J293" s="25">
        <f>IFERROR(IF(SUMIFS(tblDaily[Discharges],tblDaily[EntryDate],DATE(2026,8,6),tblDaily[WardCode],"FAE")=0,"",SUMIFS(tblDaily[Discharges],tblDaily[EntryDate],DATE(2026,8,6),tblDaily[WardCode],"FAE")),"")</f>
        <v/>
      </c>
      <c r="K293" s="25">
        <f>IFERROR(IF(SUMIFS(tblDaily[Deaths],tblDaily[EntryDate],DATE(2026,8,6),tblDaily[WardCode],"FAE")=0,"",SUMIFS(tblDaily[Deaths],tblDaily[EntryDate],DATE(2026,8,6),tblDaily[WardCode],"FAE")),"")</f>
        <v/>
      </c>
      <c r="L293" s="25">
        <f>IFERROR(IF(SUMIFS(tblDaily[DeathsUnder24Hrs],tblDaily[EntryDate],DATE(2026,8,6),tblDaily[WardCode],"FAE")=0,"",SUMIFS(tblDaily[DeathsUnder24Hrs],tblDaily[EntryDate],DATE(2026,8,6),tblDaily[WardCode],"FAE")),"")</f>
        <v/>
      </c>
      <c r="M293" s="25">
        <f>IFERROR(IF(SUMIFS(tblDaily[TransfersIn],tblDaily[EntryDate],DATE(2026,8,6),tblDaily[WardCode],"FAE")=0,"",SUMIFS(tblDaily[TransfersIn],tblDaily[EntryDate],DATE(2026,8,6),tblDaily[WardCode],"FAE")),"")</f>
        <v/>
      </c>
      <c r="N293" s="25">
        <f>IFERROR(IF(SUMIFS(tblDaily[TransfersOut],tblDaily[EntryDate],DATE(2026,8,6),tblDaily[WardCode],"FAE")=0,"",SUMIFS(tblDaily[TransfersOut],tblDaily[EntryDate],DATE(2026,8,6),tblDaily[WardCode],"FAE")),"")</f>
        <v/>
      </c>
      <c r="O293" s="25">
        <f>IFERROR(IF(SUMIFS(tblDaily[Remaining],tblDaily[EntryDate],DATE(2026,8,6),tblDaily[WardCode],"FAE")=0,"",SUMIFS(tblDaily[Remaining],tblDaily[EntryDate],DATE(2026,8,6),tblDaily[WardCode],"FAE")),"")</f>
        <v/>
      </c>
      <c r="P293" s="26">
        <f>IF(AND(H293="", O293=""), "", N(H293) + N(O293))</f>
        <v/>
      </c>
    </row>
    <row r="294">
      <c r="A294" s="25" t="n">
        <v>7</v>
      </c>
      <c r="B294" s="25">
        <f>IFERROR(IF(SUMIFS(tblDaily[Admissions],tblDaily[EntryDate],DATE(2026,8,7),tblDaily[WardCode],"MAE")=0,"",SUMIFS(tblDaily[Admissions],tblDaily[EntryDate],DATE(2026,8,7),tblDaily[WardCode],"MAE")),"")</f>
        <v/>
      </c>
      <c r="C294" s="25">
        <f>IFERROR(IF(SUMIFS(tblDaily[Discharges],tblDaily[EntryDate],DATE(2026,8,7),tblDaily[WardCode],"MAE")=0,"",SUMIFS(tblDaily[Discharges],tblDaily[EntryDate],DATE(2026,8,7),tblDaily[WardCode],"MAE")),"")</f>
        <v/>
      </c>
      <c r="D294" s="25">
        <f>IFERROR(IF(SUMIFS(tblDaily[Deaths],tblDaily[EntryDate],DATE(2026,8,7),tblDaily[WardCode],"MAE")=0,"",SUMIFS(tblDaily[Deaths],tblDaily[EntryDate],DATE(2026,8,7),tblDaily[WardCode],"MAE")),"")</f>
        <v/>
      </c>
      <c r="E294" s="25">
        <f>IFERROR(IF(SUMIFS(tblDaily[DeathsUnder24Hrs],tblDaily[EntryDate],DATE(2026,8,7),tblDaily[WardCode],"MAE")=0,"",SUMIFS(tblDaily[DeathsUnder24Hrs],tblDaily[EntryDate],DATE(2026,8,7),tblDaily[WardCode],"MAE")),"")</f>
        <v/>
      </c>
      <c r="F294" s="25">
        <f>IFERROR(IF(SUMIFS(tblDaily[TransfersIn],tblDaily[EntryDate],DATE(2026,8,7),tblDaily[WardCode],"MAE")=0,"",SUMIFS(tblDaily[TransfersIn],tblDaily[EntryDate],DATE(2026,8,7),tblDaily[WardCode],"MAE")),"")</f>
        <v/>
      </c>
      <c r="G294" s="25">
        <f>IFERROR(IF(SUMIFS(tblDaily[TransfersOut],tblDaily[EntryDate],DATE(2026,8,7),tblDaily[WardCode],"MAE")=0,"",SUMIFS(tblDaily[TransfersOut],tblDaily[EntryDate],DATE(2026,8,7),tblDaily[WardCode],"MAE")),"")</f>
        <v/>
      </c>
      <c r="H294" s="25">
        <f>IFERROR(IF(SUMIFS(tblDaily[Remaining],tblDaily[EntryDate],DATE(2026,8,7),tblDaily[WardCode],"MAE")=0,"",SUMIFS(tblDaily[Remaining],tblDaily[EntryDate],DATE(2026,8,7),tblDaily[WardCode],"MAE")),"")</f>
        <v/>
      </c>
      <c r="I294" s="25">
        <f>IFERROR(IF(SUMIFS(tblDaily[Admissions],tblDaily[EntryDate],DATE(2026,8,7),tblDaily[WardCode],"FAE")=0,"",SUMIFS(tblDaily[Admissions],tblDaily[EntryDate],DATE(2026,8,7),tblDaily[WardCode],"FAE")),"")</f>
        <v/>
      </c>
      <c r="J294" s="25">
        <f>IFERROR(IF(SUMIFS(tblDaily[Discharges],tblDaily[EntryDate],DATE(2026,8,7),tblDaily[WardCode],"FAE")=0,"",SUMIFS(tblDaily[Discharges],tblDaily[EntryDate],DATE(2026,8,7),tblDaily[WardCode],"FAE")),"")</f>
        <v/>
      </c>
      <c r="K294" s="25">
        <f>IFERROR(IF(SUMIFS(tblDaily[Deaths],tblDaily[EntryDate],DATE(2026,8,7),tblDaily[WardCode],"FAE")=0,"",SUMIFS(tblDaily[Deaths],tblDaily[EntryDate],DATE(2026,8,7),tblDaily[WardCode],"FAE")),"")</f>
        <v/>
      </c>
      <c r="L294" s="25">
        <f>IFERROR(IF(SUMIFS(tblDaily[DeathsUnder24Hrs],tblDaily[EntryDate],DATE(2026,8,7),tblDaily[WardCode],"FAE")=0,"",SUMIFS(tblDaily[DeathsUnder24Hrs],tblDaily[EntryDate],DATE(2026,8,7),tblDaily[WardCode],"FAE")),"")</f>
        <v/>
      </c>
      <c r="M294" s="25">
        <f>IFERROR(IF(SUMIFS(tblDaily[TransfersIn],tblDaily[EntryDate],DATE(2026,8,7),tblDaily[WardCode],"FAE")=0,"",SUMIFS(tblDaily[TransfersIn],tblDaily[EntryDate],DATE(2026,8,7),tblDaily[WardCode],"FAE")),"")</f>
        <v/>
      </c>
      <c r="N294" s="25">
        <f>IFERROR(IF(SUMIFS(tblDaily[TransfersOut],tblDaily[EntryDate],DATE(2026,8,7),tblDaily[WardCode],"FAE")=0,"",SUMIFS(tblDaily[TransfersOut],tblDaily[EntryDate],DATE(2026,8,7),tblDaily[WardCode],"FAE")),"")</f>
        <v/>
      </c>
      <c r="O294" s="25">
        <f>IFERROR(IF(SUMIFS(tblDaily[Remaining],tblDaily[EntryDate],DATE(2026,8,7),tblDaily[WardCode],"FAE")=0,"",SUMIFS(tblDaily[Remaining],tblDaily[EntryDate],DATE(2026,8,7),tblDaily[WardCode],"FAE")),"")</f>
        <v/>
      </c>
      <c r="P294" s="26">
        <f>IF(AND(H294="", O294=""), "", N(H294) + N(O294))</f>
        <v/>
      </c>
    </row>
    <row r="295">
      <c r="A295" s="25" t="n">
        <v>8</v>
      </c>
      <c r="B295" s="25">
        <f>IFERROR(IF(SUMIFS(tblDaily[Admissions],tblDaily[EntryDate],DATE(2026,8,8),tblDaily[WardCode],"MAE")=0,"",SUMIFS(tblDaily[Admissions],tblDaily[EntryDate],DATE(2026,8,8),tblDaily[WardCode],"MAE")),"")</f>
        <v/>
      </c>
      <c r="C295" s="25">
        <f>IFERROR(IF(SUMIFS(tblDaily[Discharges],tblDaily[EntryDate],DATE(2026,8,8),tblDaily[WardCode],"MAE")=0,"",SUMIFS(tblDaily[Discharges],tblDaily[EntryDate],DATE(2026,8,8),tblDaily[WardCode],"MAE")),"")</f>
        <v/>
      </c>
      <c r="D295" s="25">
        <f>IFERROR(IF(SUMIFS(tblDaily[Deaths],tblDaily[EntryDate],DATE(2026,8,8),tblDaily[WardCode],"MAE")=0,"",SUMIFS(tblDaily[Deaths],tblDaily[EntryDate],DATE(2026,8,8),tblDaily[WardCode],"MAE")),"")</f>
        <v/>
      </c>
      <c r="E295" s="25">
        <f>IFERROR(IF(SUMIFS(tblDaily[DeathsUnder24Hrs],tblDaily[EntryDate],DATE(2026,8,8),tblDaily[WardCode],"MAE")=0,"",SUMIFS(tblDaily[DeathsUnder24Hrs],tblDaily[EntryDate],DATE(2026,8,8),tblDaily[WardCode],"MAE")),"")</f>
        <v/>
      </c>
      <c r="F295" s="25">
        <f>IFERROR(IF(SUMIFS(tblDaily[TransfersIn],tblDaily[EntryDate],DATE(2026,8,8),tblDaily[WardCode],"MAE")=0,"",SUMIFS(tblDaily[TransfersIn],tblDaily[EntryDate],DATE(2026,8,8),tblDaily[WardCode],"MAE")),"")</f>
        <v/>
      </c>
      <c r="G295" s="25">
        <f>IFERROR(IF(SUMIFS(tblDaily[TransfersOut],tblDaily[EntryDate],DATE(2026,8,8),tblDaily[WardCode],"MAE")=0,"",SUMIFS(tblDaily[TransfersOut],tblDaily[EntryDate],DATE(2026,8,8),tblDaily[WardCode],"MAE")),"")</f>
        <v/>
      </c>
      <c r="H295" s="25">
        <f>IFERROR(IF(SUMIFS(tblDaily[Remaining],tblDaily[EntryDate],DATE(2026,8,8),tblDaily[WardCode],"MAE")=0,"",SUMIFS(tblDaily[Remaining],tblDaily[EntryDate],DATE(2026,8,8),tblDaily[WardCode],"MAE")),"")</f>
        <v/>
      </c>
      <c r="I295" s="25">
        <f>IFERROR(IF(SUMIFS(tblDaily[Admissions],tblDaily[EntryDate],DATE(2026,8,8),tblDaily[WardCode],"FAE")=0,"",SUMIFS(tblDaily[Admissions],tblDaily[EntryDate],DATE(2026,8,8),tblDaily[WardCode],"FAE")),"")</f>
        <v/>
      </c>
      <c r="J295" s="25">
        <f>IFERROR(IF(SUMIFS(tblDaily[Discharges],tblDaily[EntryDate],DATE(2026,8,8),tblDaily[WardCode],"FAE")=0,"",SUMIFS(tblDaily[Discharges],tblDaily[EntryDate],DATE(2026,8,8),tblDaily[WardCode],"FAE")),"")</f>
        <v/>
      </c>
      <c r="K295" s="25">
        <f>IFERROR(IF(SUMIFS(tblDaily[Deaths],tblDaily[EntryDate],DATE(2026,8,8),tblDaily[WardCode],"FAE")=0,"",SUMIFS(tblDaily[Deaths],tblDaily[EntryDate],DATE(2026,8,8),tblDaily[WardCode],"FAE")),"")</f>
        <v/>
      </c>
      <c r="L295" s="25">
        <f>IFERROR(IF(SUMIFS(tblDaily[DeathsUnder24Hrs],tblDaily[EntryDate],DATE(2026,8,8),tblDaily[WardCode],"FAE")=0,"",SUMIFS(tblDaily[DeathsUnder24Hrs],tblDaily[EntryDate],DATE(2026,8,8),tblDaily[WardCode],"FAE")),"")</f>
        <v/>
      </c>
      <c r="M295" s="25">
        <f>IFERROR(IF(SUMIFS(tblDaily[TransfersIn],tblDaily[EntryDate],DATE(2026,8,8),tblDaily[WardCode],"FAE")=0,"",SUMIFS(tblDaily[TransfersIn],tblDaily[EntryDate],DATE(2026,8,8),tblDaily[WardCode],"FAE")),"")</f>
        <v/>
      </c>
      <c r="N295" s="25">
        <f>IFERROR(IF(SUMIFS(tblDaily[TransfersOut],tblDaily[EntryDate],DATE(2026,8,8),tblDaily[WardCode],"FAE")=0,"",SUMIFS(tblDaily[TransfersOut],tblDaily[EntryDate],DATE(2026,8,8),tblDaily[WardCode],"FAE")),"")</f>
        <v/>
      </c>
      <c r="O295" s="25">
        <f>IFERROR(IF(SUMIFS(tblDaily[Remaining],tblDaily[EntryDate],DATE(2026,8,8),tblDaily[WardCode],"FAE")=0,"",SUMIFS(tblDaily[Remaining],tblDaily[EntryDate],DATE(2026,8,8),tblDaily[WardCode],"FAE")),"")</f>
        <v/>
      </c>
      <c r="P295" s="26">
        <f>IF(AND(H295="", O295=""), "", N(H295) + N(O295))</f>
        <v/>
      </c>
    </row>
    <row r="296">
      <c r="A296" s="25" t="n">
        <v>9</v>
      </c>
      <c r="B296" s="25">
        <f>IFERROR(IF(SUMIFS(tblDaily[Admissions],tblDaily[EntryDate],DATE(2026,8,9),tblDaily[WardCode],"MAE")=0,"",SUMIFS(tblDaily[Admissions],tblDaily[EntryDate],DATE(2026,8,9),tblDaily[WardCode],"MAE")),"")</f>
        <v/>
      </c>
      <c r="C296" s="25">
        <f>IFERROR(IF(SUMIFS(tblDaily[Discharges],tblDaily[EntryDate],DATE(2026,8,9),tblDaily[WardCode],"MAE")=0,"",SUMIFS(tblDaily[Discharges],tblDaily[EntryDate],DATE(2026,8,9),tblDaily[WardCode],"MAE")),"")</f>
        <v/>
      </c>
      <c r="D296" s="25">
        <f>IFERROR(IF(SUMIFS(tblDaily[Deaths],tblDaily[EntryDate],DATE(2026,8,9),tblDaily[WardCode],"MAE")=0,"",SUMIFS(tblDaily[Deaths],tblDaily[EntryDate],DATE(2026,8,9),tblDaily[WardCode],"MAE")),"")</f>
        <v/>
      </c>
      <c r="E296" s="25">
        <f>IFERROR(IF(SUMIFS(tblDaily[DeathsUnder24Hrs],tblDaily[EntryDate],DATE(2026,8,9),tblDaily[WardCode],"MAE")=0,"",SUMIFS(tblDaily[DeathsUnder24Hrs],tblDaily[EntryDate],DATE(2026,8,9),tblDaily[WardCode],"MAE")),"")</f>
        <v/>
      </c>
      <c r="F296" s="25">
        <f>IFERROR(IF(SUMIFS(tblDaily[TransfersIn],tblDaily[EntryDate],DATE(2026,8,9),tblDaily[WardCode],"MAE")=0,"",SUMIFS(tblDaily[TransfersIn],tblDaily[EntryDate],DATE(2026,8,9),tblDaily[WardCode],"MAE")),"")</f>
        <v/>
      </c>
      <c r="G296" s="25">
        <f>IFERROR(IF(SUMIFS(tblDaily[TransfersOut],tblDaily[EntryDate],DATE(2026,8,9),tblDaily[WardCode],"MAE")=0,"",SUMIFS(tblDaily[TransfersOut],tblDaily[EntryDate],DATE(2026,8,9),tblDaily[WardCode],"MAE")),"")</f>
        <v/>
      </c>
      <c r="H296" s="25">
        <f>IFERROR(IF(SUMIFS(tblDaily[Remaining],tblDaily[EntryDate],DATE(2026,8,9),tblDaily[WardCode],"MAE")=0,"",SUMIFS(tblDaily[Remaining],tblDaily[EntryDate],DATE(2026,8,9),tblDaily[WardCode],"MAE")),"")</f>
        <v/>
      </c>
      <c r="I296" s="25">
        <f>IFERROR(IF(SUMIFS(tblDaily[Admissions],tblDaily[EntryDate],DATE(2026,8,9),tblDaily[WardCode],"FAE")=0,"",SUMIFS(tblDaily[Admissions],tblDaily[EntryDate],DATE(2026,8,9),tblDaily[WardCode],"FAE")),"")</f>
        <v/>
      </c>
      <c r="J296" s="25">
        <f>IFERROR(IF(SUMIFS(tblDaily[Discharges],tblDaily[EntryDate],DATE(2026,8,9),tblDaily[WardCode],"FAE")=0,"",SUMIFS(tblDaily[Discharges],tblDaily[EntryDate],DATE(2026,8,9),tblDaily[WardCode],"FAE")),"")</f>
        <v/>
      </c>
      <c r="K296" s="25">
        <f>IFERROR(IF(SUMIFS(tblDaily[Deaths],tblDaily[EntryDate],DATE(2026,8,9),tblDaily[WardCode],"FAE")=0,"",SUMIFS(tblDaily[Deaths],tblDaily[EntryDate],DATE(2026,8,9),tblDaily[WardCode],"FAE")),"")</f>
        <v/>
      </c>
      <c r="L296" s="25">
        <f>IFERROR(IF(SUMIFS(tblDaily[DeathsUnder24Hrs],tblDaily[EntryDate],DATE(2026,8,9),tblDaily[WardCode],"FAE")=0,"",SUMIFS(tblDaily[DeathsUnder24Hrs],tblDaily[EntryDate],DATE(2026,8,9),tblDaily[WardCode],"FAE")),"")</f>
        <v/>
      </c>
      <c r="M296" s="25">
        <f>IFERROR(IF(SUMIFS(tblDaily[TransfersIn],tblDaily[EntryDate],DATE(2026,8,9),tblDaily[WardCode],"FAE")=0,"",SUMIFS(tblDaily[TransfersIn],tblDaily[EntryDate],DATE(2026,8,9),tblDaily[WardCode],"FAE")),"")</f>
        <v/>
      </c>
      <c r="N296" s="25">
        <f>IFERROR(IF(SUMIFS(tblDaily[TransfersOut],tblDaily[EntryDate],DATE(2026,8,9),tblDaily[WardCode],"FAE")=0,"",SUMIFS(tblDaily[TransfersOut],tblDaily[EntryDate],DATE(2026,8,9),tblDaily[WardCode],"FAE")),"")</f>
        <v/>
      </c>
      <c r="O296" s="25">
        <f>IFERROR(IF(SUMIFS(tblDaily[Remaining],tblDaily[EntryDate],DATE(2026,8,9),tblDaily[WardCode],"FAE")=0,"",SUMIFS(tblDaily[Remaining],tblDaily[EntryDate],DATE(2026,8,9),tblDaily[WardCode],"FAE")),"")</f>
        <v/>
      </c>
      <c r="P296" s="26">
        <f>IF(AND(H296="", O296=""), "", N(H296) + N(O296))</f>
        <v/>
      </c>
    </row>
    <row r="297">
      <c r="A297" s="25" t="n">
        <v>10</v>
      </c>
      <c r="B297" s="25">
        <f>IFERROR(IF(SUMIFS(tblDaily[Admissions],tblDaily[EntryDate],DATE(2026,8,10),tblDaily[WardCode],"MAE")=0,"",SUMIFS(tblDaily[Admissions],tblDaily[EntryDate],DATE(2026,8,10),tblDaily[WardCode],"MAE")),"")</f>
        <v/>
      </c>
      <c r="C297" s="25">
        <f>IFERROR(IF(SUMIFS(tblDaily[Discharges],tblDaily[EntryDate],DATE(2026,8,10),tblDaily[WardCode],"MAE")=0,"",SUMIFS(tblDaily[Discharges],tblDaily[EntryDate],DATE(2026,8,10),tblDaily[WardCode],"MAE")),"")</f>
        <v/>
      </c>
      <c r="D297" s="25">
        <f>IFERROR(IF(SUMIFS(tblDaily[Deaths],tblDaily[EntryDate],DATE(2026,8,10),tblDaily[WardCode],"MAE")=0,"",SUMIFS(tblDaily[Deaths],tblDaily[EntryDate],DATE(2026,8,10),tblDaily[WardCode],"MAE")),"")</f>
        <v/>
      </c>
      <c r="E297" s="25">
        <f>IFERROR(IF(SUMIFS(tblDaily[DeathsUnder24Hrs],tblDaily[EntryDate],DATE(2026,8,10),tblDaily[WardCode],"MAE")=0,"",SUMIFS(tblDaily[DeathsUnder24Hrs],tblDaily[EntryDate],DATE(2026,8,10),tblDaily[WardCode],"MAE")),"")</f>
        <v/>
      </c>
      <c r="F297" s="25">
        <f>IFERROR(IF(SUMIFS(tblDaily[TransfersIn],tblDaily[EntryDate],DATE(2026,8,10),tblDaily[WardCode],"MAE")=0,"",SUMIFS(tblDaily[TransfersIn],tblDaily[EntryDate],DATE(2026,8,10),tblDaily[WardCode],"MAE")),"")</f>
        <v/>
      </c>
      <c r="G297" s="25">
        <f>IFERROR(IF(SUMIFS(tblDaily[TransfersOut],tblDaily[EntryDate],DATE(2026,8,10),tblDaily[WardCode],"MAE")=0,"",SUMIFS(tblDaily[TransfersOut],tblDaily[EntryDate],DATE(2026,8,10),tblDaily[WardCode],"MAE")),"")</f>
        <v/>
      </c>
      <c r="H297" s="25">
        <f>IFERROR(IF(SUMIFS(tblDaily[Remaining],tblDaily[EntryDate],DATE(2026,8,10),tblDaily[WardCode],"MAE")=0,"",SUMIFS(tblDaily[Remaining],tblDaily[EntryDate],DATE(2026,8,10),tblDaily[WardCode],"MAE")),"")</f>
        <v/>
      </c>
      <c r="I297" s="25">
        <f>IFERROR(IF(SUMIFS(tblDaily[Admissions],tblDaily[EntryDate],DATE(2026,8,10),tblDaily[WardCode],"FAE")=0,"",SUMIFS(tblDaily[Admissions],tblDaily[EntryDate],DATE(2026,8,10),tblDaily[WardCode],"FAE")),"")</f>
        <v/>
      </c>
      <c r="J297" s="25">
        <f>IFERROR(IF(SUMIFS(tblDaily[Discharges],tblDaily[EntryDate],DATE(2026,8,10),tblDaily[WardCode],"FAE")=0,"",SUMIFS(tblDaily[Discharges],tblDaily[EntryDate],DATE(2026,8,10),tblDaily[WardCode],"FAE")),"")</f>
        <v/>
      </c>
      <c r="K297" s="25">
        <f>IFERROR(IF(SUMIFS(tblDaily[Deaths],tblDaily[EntryDate],DATE(2026,8,10),tblDaily[WardCode],"FAE")=0,"",SUMIFS(tblDaily[Deaths],tblDaily[EntryDate],DATE(2026,8,10),tblDaily[WardCode],"FAE")),"")</f>
        <v/>
      </c>
      <c r="L297" s="25">
        <f>IFERROR(IF(SUMIFS(tblDaily[DeathsUnder24Hrs],tblDaily[EntryDate],DATE(2026,8,10),tblDaily[WardCode],"FAE")=0,"",SUMIFS(tblDaily[DeathsUnder24Hrs],tblDaily[EntryDate],DATE(2026,8,10),tblDaily[WardCode],"FAE")),"")</f>
        <v/>
      </c>
      <c r="M297" s="25">
        <f>IFERROR(IF(SUMIFS(tblDaily[TransfersIn],tblDaily[EntryDate],DATE(2026,8,10),tblDaily[WardCode],"FAE")=0,"",SUMIFS(tblDaily[TransfersIn],tblDaily[EntryDate],DATE(2026,8,10),tblDaily[WardCode],"FAE")),"")</f>
        <v/>
      </c>
      <c r="N297" s="25">
        <f>IFERROR(IF(SUMIFS(tblDaily[TransfersOut],tblDaily[EntryDate],DATE(2026,8,10),tblDaily[WardCode],"FAE")=0,"",SUMIFS(tblDaily[TransfersOut],tblDaily[EntryDate],DATE(2026,8,10),tblDaily[WardCode],"FAE")),"")</f>
        <v/>
      </c>
      <c r="O297" s="25">
        <f>IFERROR(IF(SUMIFS(tblDaily[Remaining],tblDaily[EntryDate],DATE(2026,8,10),tblDaily[WardCode],"FAE")=0,"",SUMIFS(tblDaily[Remaining],tblDaily[EntryDate],DATE(2026,8,10),tblDaily[WardCode],"FAE")),"")</f>
        <v/>
      </c>
      <c r="P297" s="26">
        <f>IF(AND(H297="", O297=""), "", N(H297) + N(O297))</f>
        <v/>
      </c>
    </row>
    <row r="298">
      <c r="A298" s="25" t="n">
        <v>11</v>
      </c>
      <c r="B298" s="25">
        <f>IFERROR(IF(SUMIFS(tblDaily[Admissions],tblDaily[EntryDate],DATE(2026,8,11),tblDaily[WardCode],"MAE")=0,"",SUMIFS(tblDaily[Admissions],tblDaily[EntryDate],DATE(2026,8,11),tblDaily[WardCode],"MAE")),"")</f>
        <v/>
      </c>
      <c r="C298" s="25">
        <f>IFERROR(IF(SUMIFS(tblDaily[Discharges],tblDaily[EntryDate],DATE(2026,8,11),tblDaily[WardCode],"MAE")=0,"",SUMIFS(tblDaily[Discharges],tblDaily[EntryDate],DATE(2026,8,11),tblDaily[WardCode],"MAE")),"")</f>
        <v/>
      </c>
      <c r="D298" s="25">
        <f>IFERROR(IF(SUMIFS(tblDaily[Deaths],tblDaily[EntryDate],DATE(2026,8,11),tblDaily[WardCode],"MAE")=0,"",SUMIFS(tblDaily[Deaths],tblDaily[EntryDate],DATE(2026,8,11),tblDaily[WardCode],"MAE")),"")</f>
        <v/>
      </c>
      <c r="E298" s="25">
        <f>IFERROR(IF(SUMIFS(tblDaily[DeathsUnder24Hrs],tblDaily[EntryDate],DATE(2026,8,11),tblDaily[WardCode],"MAE")=0,"",SUMIFS(tblDaily[DeathsUnder24Hrs],tblDaily[EntryDate],DATE(2026,8,11),tblDaily[WardCode],"MAE")),"")</f>
        <v/>
      </c>
      <c r="F298" s="25">
        <f>IFERROR(IF(SUMIFS(tblDaily[TransfersIn],tblDaily[EntryDate],DATE(2026,8,11),tblDaily[WardCode],"MAE")=0,"",SUMIFS(tblDaily[TransfersIn],tblDaily[EntryDate],DATE(2026,8,11),tblDaily[WardCode],"MAE")),"")</f>
        <v/>
      </c>
      <c r="G298" s="25">
        <f>IFERROR(IF(SUMIFS(tblDaily[TransfersOut],tblDaily[EntryDate],DATE(2026,8,11),tblDaily[WardCode],"MAE")=0,"",SUMIFS(tblDaily[TransfersOut],tblDaily[EntryDate],DATE(2026,8,11),tblDaily[WardCode],"MAE")),"")</f>
        <v/>
      </c>
      <c r="H298" s="25">
        <f>IFERROR(IF(SUMIFS(tblDaily[Remaining],tblDaily[EntryDate],DATE(2026,8,11),tblDaily[WardCode],"MAE")=0,"",SUMIFS(tblDaily[Remaining],tblDaily[EntryDate],DATE(2026,8,11),tblDaily[WardCode],"MAE")),"")</f>
        <v/>
      </c>
      <c r="I298" s="25">
        <f>IFERROR(IF(SUMIFS(tblDaily[Admissions],tblDaily[EntryDate],DATE(2026,8,11),tblDaily[WardCode],"FAE")=0,"",SUMIFS(tblDaily[Admissions],tblDaily[EntryDate],DATE(2026,8,11),tblDaily[WardCode],"FAE")),"")</f>
        <v/>
      </c>
      <c r="J298" s="25">
        <f>IFERROR(IF(SUMIFS(tblDaily[Discharges],tblDaily[EntryDate],DATE(2026,8,11),tblDaily[WardCode],"FAE")=0,"",SUMIFS(tblDaily[Discharges],tblDaily[EntryDate],DATE(2026,8,11),tblDaily[WardCode],"FAE")),"")</f>
        <v/>
      </c>
      <c r="K298" s="25">
        <f>IFERROR(IF(SUMIFS(tblDaily[Deaths],tblDaily[EntryDate],DATE(2026,8,11),tblDaily[WardCode],"FAE")=0,"",SUMIFS(tblDaily[Deaths],tblDaily[EntryDate],DATE(2026,8,11),tblDaily[WardCode],"FAE")),"")</f>
        <v/>
      </c>
      <c r="L298" s="25">
        <f>IFERROR(IF(SUMIFS(tblDaily[DeathsUnder24Hrs],tblDaily[EntryDate],DATE(2026,8,11),tblDaily[WardCode],"FAE")=0,"",SUMIFS(tblDaily[DeathsUnder24Hrs],tblDaily[EntryDate],DATE(2026,8,11),tblDaily[WardCode],"FAE")),"")</f>
        <v/>
      </c>
      <c r="M298" s="25">
        <f>IFERROR(IF(SUMIFS(tblDaily[TransfersIn],tblDaily[EntryDate],DATE(2026,8,11),tblDaily[WardCode],"FAE")=0,"",SUMIFS(tblDaily[TransfersIn],tblDaily[EntryDate],DATE(2026,8,11),tblDaily[WardCode],"FAE")),"")</f>
        <v/>
      </c>
      <c r="N298" s="25">
        <f>IFERROR(IF(SUMIFS(tblDaily[TransfersOut],tblDaily[EntryDate],DATE(2026,8,11),tblDaily[WardCode],"FAE")=0,"",SUMIFS(tblDaily[TransfersOut],tblDaily[EntryDate],DATE(2026,8,11),tblDaily[WardCode],"FAE")),"")</f>
        <v/>
      </c>
      <c r="O298" s="25">
        <f>IFERROR(IF(SUMIFS(tblDaily[Remaining],tblDaily[EntryDate],DATE(2026,8,11),tblDaily[WardCode],"FAE")=0,"",SUMIFS(tblDaily[Remaining],tblDaily[EntryDate],DATE(2026,8,11),tblDaily[WardCode],"FAE")),"")</f>
        <v/>
      </c>
      <c r="P298" s="26">
        <f>IF(AND(H298="", O298=""), "", N(H298) + N(O298))</f>
        <v/>
      </c>
    </row>
    <row r="299">
      <c r="A299" s="25" t="n">
        <v>12</v>
      </c>
      <c r="B299" s="25">
        <f>IFERROR(IF(SUMIFS(tblDaily[Admissions],tblDaily[EntryDate],DATE(2026,8,12),tblDaily[WardCode],"MAE")=0,"",SUMIFS(tblDaily[Admissions],tblDaily[EntryDate],DATE(2026,8,12),tblDaily[WardCode],"MAE")),"")</f>
        <v/>
      </c>
      <c r="C299" s="25">
        <f>IFERROR(IF(SUMIFS(tblDaily[Discharges],tblDaily[EntryDate],DATE(2026,8,12),tblDaily[WardCode],"MAE")=0,"",SUMIFS(tblDaily[Discharges],tblDaily[EntryDate],DATE(2026,8,12),tblDaily[WardCode],"MAE")),"")</f>
        <v/>
      </c>
      <c r="D299" s="25">
        <f>IFERROR(IF(SUMIFS(tblDaily[Deaths],tblDaily[EntryDate],DATE(2026,8,12),tblDaily[WardCode],"MAE")=0,"",SUMIFS(tblDaily[Deaths],tblDaily[EntryDate],DATE(2026,8,12),tblDaily[WardCode],"MAE")),"")</f>
        <v/>
      </c>
      <c r="E299" s="25">
        <f>IFERROR(IF(SUMIFS(tblDaily[DeathsUnder24Hrs],tblDaily[EntryDate],DATE(2026,8,12),tblDaily[WardCode],"MAE")=0,"",SUMIFS(tblDaily[DeathsUnder24Hrs],tblDaily[EntryDate],DATE(2026,8,12),tblDaily[WardCode],"MAE")),"")</f>
        <v/>
      </c>
      <c r="F299" s="25">
        <f>IFERROR(IF(SUMIFS(tblDaily[TransfersIn],tblDaily[EntryDate],DATE(2026,8,12),tblDaily[WardCode],"MAE")=0,"",SUMIFS(tblDaily[TransfersIn],tblDaily[EntryDate],DATE(2026,8,12),tblDaily[WardCode],"MAE")),"")</f>
        <v/>
      </c>
      <c r="G299" s="25">
        <f>IFERROR(IF(SUMIFS(tblDaily[TransfersOut],tblDaily[EntryDate],DATE(2026,8,12),tblDaily[WardCode],"MAE")=0,"",SUMIFS(tblDaily[TransfersOut],tblDaily[EntryDate],DATE(2026,8,12),tblDaily[WardCode],"MAE")),"")</f>
        <v/>
      </c>
      <c r="H299" s="25">
        <f>IFERROR(IF(SUMIFS(tblDaily[Remaining],tblDaily[EntryDate],DATE(2026,8,12),tblDaily[WardCode],"MAE")=0,"",SUMIFS(tblDaily[Remaining],tblDaily[EntryDate],DATE(2026,8,12),tblDaily[WardCode],"MAE")),"")</f>
        <v/>
      </c>
      <c r="I299" s="25">
        <f>IFERROR(IF(SUMIFS(tblDaily[Admissions],tblDaily[EntryDate],DATE(2026,8,12),tblDaily[WardCode],"FAE")=0,"",SUMIFS(tblDaily[Admissions],tblDaily[EntryDate],DATE(2026,8,12),tblDaily[WardCode],"FAE")),"")</f>
        <v/>
      </c>
      <c r="J299" s="25">
        <f>IFERROR(IF(SUMIFS(tblDaily[Discharges],tblDaily[EntryDate],DATE(2026,8,12),tblDaily[WardCode],"FAE")=0,"",SUMIFS(tblDaily[Discharges],tblDaily[EntryDate],DATE(2026,8,12),tblDaily[WardCode],"FAE")),"")</f>
        <v/>
      </c>
      <c r="K299" s="25">
        <f>IFERROR(IF(SUMIFS(tblDaily[Deaths],tblDaily[EntryDate],DATE(2026,8,12),tblDaily[WardCode],"FAE")=0,"",SUMIFS(tblDaily[Deaths],tblDaily[EntryDate],DATE(2026,8,12),tblDaily[WardCode],"FAE")),"")</f>
        <v/>
      </c>
      <c r="L299" s="25">
        <f>IFERROR(IF(SUMIFS(tblDaily[DeathsUnder24Hrs],tblDaily[EntryDate],DATE(2026,8,12),tblDaily[WardCode],"FAE")=0,"",SUMIFS(tblDaily[DeathsUnder24Hrs],tblDaily[EntryDate],DATE(2026,8,12),tblDaily[WardCode],"FAE")),"")</f>
        <v/>
      </c>
      <c r="M299" s="25">
        <f>IFERROR(IF(SUMIFS(tblDaily[TransfersIn],tblDaily[EntryDate],DATE(2026,8,12),tblDaily[WardCode],"FAE")=0,"",SUMIFS(tblDaily[TransfersIn],tblDaily[EntryDate],DATE(2026,8,12),tblDaily[WardCode],"FAE")),"")</f>
        <v/>
      </c>
      <c r="N299" s="25">
        <f>IFERROR(IF(SUMIFS(tblDaily[TransfersOut],tblDaily[EntryDate],DATE(2026,8,12),tblDaily[WardCode],"FAE")=0,"",SUMIFS(tblDaily[TransfersOut],tblDaily[EntryDate],DATE(2026,8,12),tblDaily[WardCode],"FAE")),"")</f>
        <v/>
      </c>
      <c r="O299" s="25">
        <f>IFERROR(IF(SUMIFS(tblDaily[Remaining],tblDaily[EntryDate],DATE(2026,8,12),tblDaily[WardCode],"FAE")=0,"",SUMIFS(tblDaily[Remaining],tblDaily[EntryDate],DATE(2026,8,12),tblDaily[WardCode],"FAE")),"")</f>
        <v/>
      </c>
      <c r="P299" s="26">
        <f>IF(AND(H299="", O299=""), "", N(H299) + N(O299))</f>
        <v/>
      </c>
    </row>
    <row r="300">
      <c r="A300" s="25" t="n">
        <v>13</v>
      </c>
      <c r="B300" s="25">
        <f>IFERROR(IF(SUMIFS(tblDaily[Admissions],tblDaily[EntryDate],DATE(2026,8,13),tblDaily[WardCode],"MAE")=0,"",SUMIFS(tblDaily[Admissions],tblDaily[EntryDate],DATE(2026,8,13),tblDaily[WardCode],"MAE")),"")</f>
        <v/>
      </c>
      <c r="C300" s="25">
        <f>IFERROR(IF(SUMIFS(tblDaily[Discharges],tblDaily[EntryDate],DATE(2026,8,13),tblDaily[WardCode],"MAE")=0,"",SUMIFS(tblDaily[Discharges],tblDaily[EntryDate],DATE(2026,8,13),tblDaily[WardCode],"MAE")),"")</f>
        <v/>
      </c>
      <c r="D300" s="25">
        <f>IFERROR(IF(SUMIFS(tblDaily[Deaths],tblDaily[EntryDate],DATE(2026,8,13),tblDaily[WardCode],"MAE")=0,"",SUMIFS(tblDaily[Deaths],tblDaily[EntryDate],DATE(2026,8,13),tblDaily[WardCode],"MAE")),"")</f>
        <v/>
      </c>
      <c r="E300" s="25">
        <f>IFERROR(IF(SUMIFS(tblDaily[DeathsUnder24Hrs],tblDaily[EntryDate],DATE(2026,8,13),tblDaily[WardCode],"MAE")=0,"",SUMIFS(tblDaily[DeathsUnder24Hrs],tblDaily[EntryDate],DATE(2026,8,13),tblDaily[WardCode],"MAE")),"")</f>
        <v/>
      </c>
      <c r="F300" s="25">
        <f>IFERROR(IF(SUMIFS(tblDaily[TransfersIn],tblDaily[EntryDate],DATE(2026,8,13),tblDaily[WardCode],"MAE")=0,"",SUMIFS(tblDaily[TransfersIn],tblDaily[EntryDate],DATE(2026,8,13),tblDaily[WardCode],"MAE")),"")</f>
        <v/>
      </c>
      <c r="G300" s="25">
        <f>IFERROR(IF(SUMIFS(tblDaily[TransfersOut],tblDaily[EntryDate],DATE(2026,8,13),tblDaily[WardCode],"MAE")=0,"",SUMIFS(tblDaily[TransfersOut],tblDaily[EntryDate],DATE(2026,8,13),tblDaily[WardCode],"MAE")),"")</f>
        <v/>
      </c>
      <c r="H300" s="25">
        <f>IFERROR(IF(SUMIFS(tblDaily[Remaining],tblDaily[EntryDate],DATE(2026,8,13),tblDaily[WardCode],"MAE")=0,"",SUMIFS(tblDaily[Remaining],tblDaily[EntryDate],DATE(2026,8,13),tblDaily[WardCode],"MAE")),"")</f>
        <v/>
      </c>
      <c r="I300" s="25">
        <f>IFERROR(IF(SUMIFS(tblDaily[Admissions],tblDaily[EntryDate],DATE(2026,8,13),tblDaily[WardCode],"FAE")=0,"",SUMIFS(tblDaily[Admissions],tblDaily[EntryDate],DATE(2026,8,13),tblDaily[WardCode],"FAE")),"")</f>
        <v/>
      </c>
      <c r="J300" s="25">
        <f>IFERROR(IF(SUMIFS(tblDaily[Discharges],tblDaily[EntryDate],DATE(2026,8,13),tblDaily[WardCode],"FAE")=0,"",SUMIFS(tblDaily[Discharges],tblDaily[EntryDate],DATE(2026,8,13),tblDaily[WardCode],"FAE")),"")</f>
        <v/>
      </c>
      <c r="K300" s="25">
        <f>IFERROR(IF(SUMIFS(tblDaily[Deaths],tblDaily[EntryDate],DATE(2026,8,13),tblDaily[WardCode],"FAE")=0,"",SUMIFS(tblDaily[Deaths],tblDaily[EntryDate],DATE(2026,8,13),tblDaily[WardCode],"FAE")),"")</f>
        <v/>
      </c>
      <c r="L300" s="25">
        <f>IFERROR(IF(SUMIFS(tblDaily[DeathsUnder24Hrs],tblDaily[EntryDate],DATE(2026,8,13),tblDaily[WardCode],"FAE")=0,"",SUMIFS(tblDaily[DeathsUnder24Hrs],tblDaily[EntryDate],DATE(2026,8,13),tblDaily[WardCode],"FAE")),"")</f>
        <v/>
      </c>
      <c r="M300" s="25">
        <f>IFERROR(IF(SUMIFS(tblDaily[TransfersIn],tblDaily[EntryDate],DATE(2026,8,13),tblDaily[WardCode],"FAE")=0,"",SUMIFS(tblDaily[TransfersIn],tblDaily[EntryDate],DATE(2026,8,13),tblDaily[WardCode],"FAE")),"")</f>
        <v/>
      </c>
      <c r="N300" s="25">
        <f>IFERROR(IF(SUMIFS(tblDaily[TransfersOut],tblDaily[EntryDate],DATE(2026,8,13),tblDaily[WardCode],"FAE")=0,"",SUMIFS(tblDaily[TransfersOut],tblDaily[EntryDate],DATE(2026,8,13),tblDaily[WardCode],"FAE")),"")</f>
        <v/>
      </c>
      <c r="O300" s="25">
        <f>IFERROR(IF(SUMIFS(tblDaily[Remaining],tblDaily[EntryDate],DATE(2026,8,13),tblDaily[WardCode],"FAE")=0,"",SUMIFS(tblDaily[Remaining],tblDaily[EntryDate],DATE(2026,8,13),tblDaily[WardCode],"FAE")),"")</f>
        <v/>
      </c>
      <c r="P300" s="26">
        <f>IF(AND(H300="", O300=""), "", N(H300) + N(O300))</f>
        <v/>
      </c>
    </row>
    <row r="301">
      <c r="A301" s="25" t="n">
        <v>14</v>
      </c>
      <c r="B301" s="25">
        <f>IFERROR(IF(SUMIFS(tblDaily[Admissions],tblDaily[EntryDate],DATE(2026,8,14),tblDaily[WardCode],"MAE")=0,"",SUMIFS(tblDaily[Admissions],tblDaily[EntryDate],DATE(2026,8,14),tblDaily[WardCode],"MAE")),"")</f>
        <v/>
      </c>
      <c r="C301" s="25">
        <f>IFERROR(IF(SUMIFS(tblDaily[Discharges],tblDaily[EntryDate],DATE(2026,8,14),tblDaily[WardCode],"MAE")=0,"",SUMIFS(tblDaily[Discharges],tblDaily[EntryDate],DATE(2026,8,14),tblDaily[WardCode],"MAE")),"")</f>
        <v/>
      </c>
      <c r="D301" s="25">
        <f>IFERROR(IF(SUMIFS(tblDaily[Deaths],tblDaily[EntryDate],DATE(2026,8,14),tblDaily[WardCode],"MAE")=0,"",SUMIFS(tblDaily[Deaths],tblDaily[EntryDate],DATE(2026,8,14),tblDaily[WardCode],"MAE")),"")</f>
        <v/>
      </c>
      <c r="E301" s="25">
        <f>IFERROR(IF(SUMIFS(tblDaily[DeathsUnder24Hrs],tblDaily[EntryDate],DATE(2026,8,14),tblDaily[WardCode],"MAE")=0,"",SUMIFS(tblDaily[DeathsUnder24Hrs],tblDaily[EntryDate],DATE(2026,8,14),tblDaily[WardCode],"MAE")),"")</f>
        <v/>
      </c>
      <c r="F301" s="25">
        <f>IFERROR(IF(SUMIFS(tblDaily[TransfersIn],tblDaily[EntryDate],DATE(2026,8,14),tblDaily[WardCode],"MAE")=0,"",SUMIFS(tblDaily[TransfersIn],tblDaily[EntryDate],DATE(2026,8,14),tblDaily[WardCode],"MAE")),"")</f>
        <v/>
      </c>
      <c r="G301" s="25">
        <f>IFERROR(IF(SUMIFS(tblDaily[TransfersOut],tblDaily[EntryDate],DATE(2026,8,14),tblDaily[WardCode],"MAE")=0,"",SUMIFS(tblDaily[TransfersOut],tblDaily[EntryDate],DATE(2026,8,14),tblDaily[WardCode],"MAE")),"")</f>
        <v/>
      </c>
      <c r="H301" s="25">
        <f>IFERROR(IF(SUMIFS(tblDaily[Remaining],tblDaily[EntryDate],DATE(2026,8,14),tblDaily[WardCode],"MAE")=0,"",SUMIFS(tblDaily[Remaining],tblDaily[EntryDate],DATE(2026,8,14),tblDaily[WardCode],"MAE")),"")</f>
        <v/>
      </c>
      <c r="I301" s="25">
        <f>IFERROR(IF(SUMIFS(tblDaily[Admissions],tblDaily[EntryDate],DATE(2026,8,14),tblDaily[WardCode],"FAE")=0,"",SUMIFS(tblDaily[Admissions],tblDaily[EntryDate],DATE(2026,8,14),tblDaily[WardCode],"FAE")),"")</f>
        <v/>
      </c>
      <c r="J301" s="25">
        <f>IFERROR(IF(SUMIFS(tblDaily[Discharges],tblDaily[EntryDate],DATE(2026,8,14),tblDaily[WardCode],"FAE")=0,"",SUMIFS(tblDaily[Discharges],tblDaily[EntryDate],DATE(2026,8,14),tblDaily[WardCode],"FAE")),"")</f>
        <v/>
      </c>
      <c r="K301" s="25">
        <f>IFERROR(IF(SUMIFS(tblDaily[Deaths],tblDaily[EntryDate],DATE(2026,8,14),tblDaily[WardCode],"FAE")=0,"",SUMIFS(tblDaily[Deaths],tblDaily[EntryDate],DATE(2026,8,14),tblDaily[WardCode],"FAE")),"")</f>
        <v/>
      </c>
      <c r="L301" s="25">
        <f>IFERROR(IF(SUMIFS(tblDaily[DeathsUnder24Hrs],tblDaily[EntryDate],DATE(2026,8,14),tblDaily[WardCode],"FAE")=0,"",SUMIFS(tblDaily[DeathsUnder24Hrs],tblDaily[EntryDate],DATE(2026,8,14),tblDaily[WardCode],"FAE")),"")</f>
        <v/>
      </c>
      <c r="M301" s="25">
        <f>IFERROR(IF(SUMIFS(tblDaily[TransfersIn],tblDaily[EntryDate],DATE(2026,8,14),tblDaily[WardCode],"FAE")=0,"",SUMIFS(tblDaily[TransfersIn],tblDaily[EntryDate],DATE(2026,8,14),tblDaily[WardCode],"FAE")),"")</f>
        <v/>
      </c>
      <c r="N301" s="25">
        <f>IFERROR(IF(SUMIFS(tblDaily[TransfersOut],tblDaily[EntryDate],DATE(2026,8,14),tblDaily[WardCode],"FAE")=0,"",SUMIFS(tblDaily[TransfersOut],tblDaily[EntryDate],DATE(2026,8,14),tblDaily[WardCode],"FAE")),"")</f>
        <v/>
      </c>
      <c r="O301" s="25">
        <f>IFERROR(IF(SUMIFS(tblDaily[Remaining],tblDaily[EntryDate],DATE(2026,8,14),tblDaily[WardCode],"FAE")=0,"",SUMIFS(tblDaily[Remaining],tblDaily[EntryDate],DATE(2026,8,14),tblDaily[WardCode],"FAE")),"")</f>
        <v/>
      </c>
      <c r="P301" s="26">
        <f>IF(AND(H301="", O301=""), "", N(H301) + N(O301))</f>
        <v/>
      </c>
    </row>
    <row r="302">
      <c r="A302" s="25" t="n">
        <v>15</v>
      </c>
      <c r="B302" s="25">
        <f>IFERROR(IF(SUMIFS(tblDaily[Admissions],tblDaily[EntryDate],DATE(2026,8,15),tblDaily[WardCode],"MAE")=0,"",SUMIFS(tblDaily[Admissions],tblDaily[EntryDate],DATE(2026,8,15),tblDaily[WardCode],"MAE")),"")</f>
        <v/>
      </c>
      <c r="C302" s="25">
        <f>IFERROR(IF(SUMIFS(tblDaily[Discharges],tblDaily[EntryDate],DATE(2026,8,15),tblDaily[WardCode],"MAE")=0,"",SUMIFS(tblDaily[Discharges],tblDaily[EntryDate],DATE(2026,8,15),tblDaily[WardCode],"MAE")),"")</f>
        <v/>
      </c>
      <c r="D302" s="25">
        <f>IFERROR(IF(SUMIFS(tblDaily[Deaths],tblDaily[EntryDate],DATE(2026,8,15),tblDaily[WardCode],"MAE")=0,"",SUMIFS(tblDaily[Deaths],tblDaily[EntryDate],DATE(2026,8,15),tblDaily[WardCode],"MAE")),"")</f>
        <v/>
      </c>
      <c r="E302" s="25">
        <f>IFERROR(IF(SUMIFS(tblDaily[DeathsUnder24Hrs],tblDaily[EntryDate],DATE(2026,8,15),tblDaily[WardCode],"MAE")=0,"",SUMIFS(tblDaily[DeathsUnder24Hrs],tblDaily[EntryDate],DATE(2026,8,15),tblDaily[WardCode],"MAE")),"")</f>
        <v/>
      </c>
      <c r="F302" s="25">
        <f>IFERROR(IF(SUMIFS(tblDaily[TransfersIn],tblDaily[EntryDate],DATE(2026,8,15),tblDaily[WardCode],"MAE")=0,"",SUMIFS(tblDaily[TransfersIn],tblDaily[EntryDate],DATE(2026,8,15),tblDaily[WardCode],"MAE")),"")</f>
        <v/>
      </c>
      <c r="G302" s="25">
        <f>IFERROR(IF(SUMIFS(tblDaily[TransfersOut],tblDaily[EntryDate],DATE(2026,8,15),tblDaily[WardCode],"MAE")=0,"",SUMIFS(tblDaily[TransfersOut],tblDaily[EntryDate],DATE(2026,8,15),tblDaily[WardCode],"MAE")),"")</f>
        <v/>
      </c>
      <c r="H302" s="25">
        <f>IFERROR(IF(SUMIFS(tblDaily[Remaining],tblDaily[EntryDate],DATE(2026,8,15),tblDaily[WardCode],"MAE")=0,"",SUMIFS(tblDaily[Remaining],tblDaily[EntryDate],DATE(2026,8,15),tblDaily[WardCode],"MAE")),"")</f>
        <v/>
      </c>
      <c r="I302" s="25">
        <f>IFERROR(IF(SUMIFS(tblDaily[Admissions],tblDaily[EntryDate],DATE(2026,8,15),tblDaily[WardCode],"FAE")=0,"",SUMIFS(tblDaily[Admissions],tblDaily[EntryDate],DATE(2026,8,15),tblDaily[WardCode],"FAE")),"")</f>
        <v/>
      </c>
      <c r="J302" s="25">
        <f>IFERROR(IF(SUMIFS(tblDaily[Discharges],tblDaily[EntryDate],DATE(2026,8,15),tblDaily[WardCode],"FAE")=0,"",SUMIFS(tblDaily[Discharges],tblDaily[EntryDate],DATE(2026,8,15),tblDaily[WardCode],"FAE")),"")</f>
        <v/>
      </c>
      <c r="K302" s="25">
        <f>IFERROR(IF(SUMIFS(tblDaily[Deaths],tblDaily[EntryDate],DATE(2026,8,15),tblDaily[WardCode],"FAE")=0,"",SUMIFS(tblDaily[Deaths],tblDaily[EntryDate],DATE(2026,8,15),tblDaily[WardCode],"FAE")),"")</f>
        <v/>
      </c>
      <c r="L302" s="25">
        <f>IFERROR(IF(SUMIFS(tblDaily[DeathsUnder24Hrs],tblDaily[EntryDate],DATE(2026,8,15),tblDaily[WardCode],"FAE")=0,"",SUMIFS(tblDaily[DeathsUnder24Hrs],tblDaily[EntryDate],DATE(2026,8,15),tblDaily[WardCode],"FAE")),"")</f>
        <v/>
      </c>
      <c r="M302" s="25">
        <f>IFERROR(IF(SUMIFS(tblDaily[TransfersIn],tblDaily[EntryDate],DATE(2026,8,15),tblDaily[WardCode],"FAE")=0,"",SUMIFS(tblDaily[TransfersIn],tblDaily[EntryDate],DATE(2026,8,15),tblDaily[WardCode],"FAE")),"")</f>
        <v/>
      </c>
      <c r="N302" s="25">
        <f>IFERROR(IF(SUMIFS(tblDaily[TransfersOut],tblDaily[EntryDate],DATE(2026,8,15),tblDaily[WardCode],"FAE")=0,"",SUMIFS(tblDaily[TransfersOut],tblDaily[EntryDate],DATE(2026,8,15),tblDaily[WardCode],"FAE")),"")</f>
        <v/>
      </c>
      <c r="O302" s="25">
        <f>IFERROR(IF(SUMIFS(tblDaily[Remaining],tblDaily[EntryDate],DATE(2026,8,15),tblDaily[WardCode],"FAE")=0,"",SUMIFS(tblDaily[Remaining],tblDaily[EntryDate],DATE(2026,8,15),tblDaily[WardCode],"FAE")),"")</f>
        <v/>
      </c>
      <c r="P302" s="26">
        <f>IF(AND(H302="", O302=""), "", N(H302) + N(O302))</f>
        <v/>
      </c>
    </row>
    <row r="303">
      <c r="A303" s="25" t="n">
        <v>16</v>
      </c>
      <c r="B303" s="25">
        <f>IFERROR(IF(SUMIFS(tblDaily[Admissions],tblDaily[EntryDate],DATE(2026,8,16),tblDaily[WardCode],"MAE")=0,"",SUMIFS(tblDaily[Admissions],tblDaily[EntryDate],DATE(2026,8,16),tblDaily[WardCode],"MAE")),"")</f>
        <v/>
      </c>
      <c r="C303" s="25">
        <f>IFERROR(IF(SUMIFS(tblDaily[Discharges],tblDaily[EntryDate],DATE(2026,8,16),tblDaily[WardCode],"MAE")=0,"",SUMIFS(tblDaily[Discharges],tblDaily[EntryDate],DATE(2026,8,16),tblDaily[WardCode],"MAE")),"")</f>
        <v/>
      </c>
      <c r="D303" s="25">
        <f>IFERROR(IF(SUMIFS(tblDaily[Deaths],tblDaily[EntryDate],DATE(2026,8,16),tblDaily[WardCode],"MAE")=0,"",SUMIFS(tblDaily[Deaths],tblDaily[EntryDate],DATE(2026,8,16),tblDaily[WardCode],"MAE")),"")</f>
        <v/>
      </c>
      <c r="E303" s="25">
        <f>IFERROR(IF(SUMIFS(tblDaily[DeathsUnder24Hrs],tblDaily[EntryDate],DATE(2026,8,16),tblDaily[WardCode],"MAE")=0,"",SUMIFS(tblDaily[DeathsUnder24Hrs],tblDaily[EntryDate],DATE(2026,8,16),tblDaily[WardCode],"MAE")),"")</f>
        <v/>
      </c>
      <c r="F303" s="25">
        <f>IFERROR(IF(SUMIFS(tblDaily[TransfersIn],tblDaily[EntryDate],DATE(2026,8,16),tblDaily[WardCode],"MAE")=0,"",SUMIFS(tblDaily[TransfersIn],tblDaily[EntryDate],DATE(2026,8,16),tblDaily[WardCode],"MAE")),"")</f>
        <v/>
      </c>
      <c r="G303" s="25">
        <f>IFERROR(IF(SUMIFS(tblDaily[TransfersOut],tblDaily[EntryDate],DATE(2026,8,16),tblDaily[WardCode],"MAE")=0,"",SUMIFS(tblDaily[TransfersOut],tblDaily[EntryDate],DATE(2026,8,16),tblDaily[WardCode],"MAE")),"")</f>
        <v/>
      </c>
      <c r="H303" s="25">
        <f>IFERROR(IF(SUMIFS(tblDaily[Remaining],tblDaily[EntryDate],DATE(2026,8,16),tblDaily[WardCode],"MAE")=0,"",SUMIFS(tblDaily[Remaining],tblDaily[EntryDate],DATE(2026,8,16),tblDaily[WardCode],"MAE")),"")</f>
        <v/>
      </c>
      <c r="I303" s="25">
        <f>IFERROR(IF(SUMIFS(tblDaily[Admissions],tblDaily[EntryDate],DATE(2026,8,16),tblDaily[WardCode],"FAE")=0,"",SUMIFS(tblDaily[Admissions],tblDaily[EntryDate],DATE(2026,8,16),tblDaily[WardCode],"FAE")),"")</f>
        <v/>
      </c>
      <c r="J303" s="25">
        <f>IFERROR(IF(SUMIFS(tblDaily[Discharges],tblDaily[EntryDate],DATE(2026,8,16),tblDaily[WardCode],"FAE")=0,"",SUMIFS(tblDaily[Discharges],tblDaily[EntryDate],DATE(2026,8,16),tblDaily[WardCode],"FAE")),"")</f>
        <v/>
      </c>
      <c r="K303" s="25">
        <f>IFERROR(IF(SUMIFS(tblDaily[Deaths],tblDaily[EntryDate],DATE(2026,8,16),tblDaily[WardCode],"FAE")=0,"",SUMIFS(tblDaily[Deaths],tblDaily[EntryDate],DATE(2026,8,16),tblDaily[WardCode],"FAE")),"")</f>
        <v/>
      </c>
      <c r="L303" s="25">
        <f>IFERROR(IF(SUMIFS(tblDaily[DeathsUnder24Hrs],tblDaily[EntryDate],DATE(2026,8,16),tblDaily[WardCode],"FAE")=0,"",SUMIFS(tblDaily[DeathsUnder24Hrs],tblDaily[EntryDate],DATE(2026,8,16),tblDaily[WardCode],"FAE")),"")</f>
        <v/>
      </c>
      <c r="M303" s="25">
        <f>IFERROR(IF(SUMIFS(tblDaily[TransfersIn],tblDaily[EntryDate],DATE(2026,8,16),tblDaily[WardCode],"FAE")=0,"",SUMIFS(tblDaily[TransfersIn],tblDaily[EntryDate],DATE(2026,8,16),tblDaily[WardCode],"FAE")),"")</f>
        <v/>
      </c>
      <c r="N303" s="25">
        <f>IFERROR(IF(SUMIFS(tblDaily[TransfersOut],tblDaily[EntryDate],DATE(2026,8,16),tblDaily[WardCode],"FAE")=0,"",SUMIFS(tblDaily[TransfersOut],tblDaily[EntryDate],DATE(2026,8,16),tblDaily[WardCode],"FAE")),"")</f>
        <v/>
      </c>
      <c r="O303" s="25">
        <f>IFERROR(IF(SUMIFS(tblDaily[Remaining],tblDaily[EntryDate],DATE(2026,8,16),tblDaily[WardCode],"FAE")=0,"",SUMIFS(tblDaily[Remaining],tblDaily[EntryDate],DATE(2026,8,16),tblDaily[WardCode],"FAE")),"")</f>
        <v/>
      </c>
      <c r="P303" s="26">
        <f>IF(AND(H303="", O303=""), "", N(H303) + N(O303))</f>
        <v/>
      </c>
    </row>
    <row r="304">
      <c r="A304" s="25" t="n">
        <v>17</v>
      </c>
      <c r="B304" s="25">
        <f>IFERROR(IF(SUMIFS(tblDaily[Admissions],tblDaily[EntryDate],DATE(2026,8,17),tblDaily[WardCode],"MAE")=0,"",SUMIFS(tblDaily[Admissions],tblDaily[EntryDate],DATE(2026,8,17),tblDaily[WardCode],"MAE")),"")</f>
        <v/>
      </c>
      <c r="C304" s="25">
        <f>IFERROR(IF(SUMIFS(tblDaily[Discharges],tblDaily[EntryDate],DATE(2026,8,17),tblDaily[WardCode],"MAE")=0,"",SUMIFS(tblDaily[Discharges],tblDaily[EntryDate],DATE(2026,8,17),tblDaily[WardCode],"MAE")),"")</f>
        <v/>
      </c>
      <c r="D304" s="25">
        <f>IFERROR(IF(SUMIFS(tblDaily[Deaths],tblDaily[EntryDate],DATE(2026,8,17),tblDaily[WardCode],"MAE")=0,"",SUMIFS(tblDaily[Deaths],tblDaily[EntryDate],DATE(2026,8,17),tblDaily[WardCode],"MAE")),"")</f>
        <v/>
      </c>
      <c r="E304" s="25">
        <f>IFERROR(IF(SUMIFS(tblDaily[DeathsUnder24Hrs],tblDaily[EntryDate],DATE(2026,8,17),tblDaily[WardCode],"MAE")=0,"",SUMIFS(tblDaily[DeathsUnder24Hrs],tblDaily[EntryDate],DATE(2026,8,17),tblDaily[WardCode],"MAE")),"")</f>
        <v/>
      </c>
      <c r="F304" s="25">
        <f>IFERROR(IF(SUMIFS(tblDaily[TransfersIn],tblDaily[EntryDate],DATE(2026,8,17),tblDaily[WardCode],"MAE")=0,"",SUMIFS(tblDaily[TransfersIn],tblDaily[EntryDate],DATE(2026,8,17),tblDaily[WardCode],"MAE")),"")</f>
        <v/>
      </c>
      <c r="G304" s="25">
        <f>IFERROR(IF(SUMIFS(tblDaily[TransfersOut],tblDaily[EntryDate],DATE(2026,8,17),tblDaily[WardCode],"MAE")=0,"",SUMIFS(tblDaily[TransfersOut],tblDaily[EntryDate],DATE(2026,8,17),tblDaily[WardCode],"MAE")),"")</f>
        <v/>
      </c>
      <c r="H304" s="25">
        <f>IFERROR(IF(SUMIFS(tblDaily[Remaining],tblDaily[EntryDate],DATE(2026,8,17),tblDaily[WardCode],"MAE")=0,"",SUMIFS(tblDaily[Remaining],tblDaily[EntryDate],DATE(2026,8,17),tblDaily[WardCode],"MAE")),"")</f>
        <v/>
      </c>
      <c r="I304" s="25">
        <f>IFERROR(IF(SUMIFS(tblDaily[Admissions],tblDaily[EntryDate],DATE(2026,8,17),tblDaily[WardCode],"FAE")=0,"",SUMIFS(tblDaily[Admissions],tblDaily[EntryDate],DATE(2026,8,17),tblDaily[WardCode],"FAE")),"")</f>
        <v/>
      </c>
      <c r="J304" s="25">
        <f>IFERROR(IF(SUMIFS(tblDaily[Discharges],tblDaily[EntryDate],DATE(2026,8,17),tblDaily[WardCode],"FAE")=0,"",SUMIFS(tblDaily[Discharges],tblDaily[EntryDate],DATE(2026,8,17),tblDaily[WardCode],"FAE")),"")</f>
        <v/>
      </c>
      <c r="K304" s="25">
        <f>IFERROR(IF(SUMIFS(tblDaily[Deaths],tblDaily[EntryDate],DATE(2026,8,17),tblDaily[WardCode],"FAE")=0,"",SUMIFS(tblDaily[Deaths],tblDaily[EntryDate],DATE(2026,8,17),tblDaily[WardCode],"FAE")),"")</f>
        <v/>
      </c>
      <c r="L304" s="25">
        <f>IFERROR(IF(SUMIFS(tblDaily[DeathsUnder24Hrs],tblDaily[EntryDate],DATE(2026,8,17),tblDaily[WardCode],"FAE")=0,"",SUMIFS(tblDaily[DeathsUnder24Hrs],tblDaily[EntryDate],DATE(2026,8,17),tblDaily[WardCode],"FAE")),"")</f>
        <v/>
      </c>
      <c r="M304" s="25">
        <f>IFERROR(IF(SUMIFS(tblDaily[TransfersIn],tblDaily[EntryDate],DATE(2026,8,17),tblDaily[WardCode],"FAE")=0,"",SUMIFS(tblDaily[TransfersIn],tblDaily[EntryDate],DATE(2026,8,17),tblDaily[WardCode],"FAE")),"")</f>
        <v/>
      </c>
      <c r="N304" s="25">
        <f>IFERROR(IF(SUMIFS(tblDaily[TransfersOut],tblDaily[EntryDate],DATE(2026,8,17),tblDaily[WardCode],"FAE")=0,"",SUMIFS(tblDaily[TransfersOut],tblDaily[EntryDate],DATE(2026,8,17),tblDaily[WardCode],"FAE")),"")</f>
        <v/>
      </c>
      <c r="O304" s="25">
        <f>IFERROR(IF(SUMIFS(tblDaily[Remaining],tblDaily[EntryDate],DATE(2026,8,17),tblDaily[WardCode],"FAE")=0,"",SUMIFS(tblDaily[Remaining],tblDaily[EntryDate],DATE(2026,8,17),tblDaily[WardCode],"FAE")),"")</f>
        <v/>
      </c>
      <c r="P304" s="26">
        <f>IF(AND(H304="", O304=""), "", N(H304) + N(O304))</f>
        <v/>
      </c>
    </row>
    <row r="305">
      <c r="A305" s="25" t="n">
        <v>18</v>
      </c>
      <c r="B305" s="25">
        <f>IFERROR(IF(SUMIFS(tblDaily[Admissions],tblDaily[EntryDate],DATE(2026,8,18),tblDaily[WardCode],"MAE")=0,"",SUMIFS(tblDaily[Admissions],tblDaily[EntryDate],DATE(2026,8,18),tblDaily[WardCode],"MAE")),"")</f>
        <v/>
      </c>
      <c r="C305" s="25">
        <f>IFERROR(IF(SUMIFS(tblDaily[Discharges],tblDaily[EntryDate],DATE(2026,8,18),tblDaily[WardCode],"MAE")=0,"",SUMIFS(tblDaily[Discharges],tblDaily[EntryDate],DATE(2026,8,18),tblDaily[WardCode],"MAE")),"")</f>
        <v/>
      </c>
      <c r="D305" s="25">
        <f>IFERROR(IF(SUMIFS(tblDaily[Deaths],tblDaily[EntryDate],DATE(2026,8,18),tblDaily[WardCode],"MAE")=0,"",SUMIFS(tblDaily[Deaths],tblDaily[EntryDate],DATE(2026,8,18),tblDaily[WardCode],"MAE")),"")</f>
        <v/>
      </c>
      <c r="E305" s="25">
        <f>IFERROR(IF(SUMIFS(tblDaily[DeathsUnder24Hrs],tblDaily[EntryDate],DATE(2026,8,18),tblDaily[WardCode],"MAE")=0,"",SUMIFS(tblDaily[DeathsUnder24Hrs],tblDaily[EntryDate],DATE(2026,8,18),tblDaily[WardCode],"MAE")),"")</f>
        <v/>
      </c>
      <c r="F305" s="25">
        <f>IFERROR(IF(SUMIFS(tblDaily[TransfersIn],tblDaily[EntryDate],DATE(2026,8,18),tblDaily[WardCode],"MAE")=0,"",SUMIFS(tblDaily[TransfersIn],tblDaily[EntryDate],DATE(2026,8,18),tblDaily[WardCode],"MAE")),"")</f>
        <v/>
      </c>
      <c r="G305" s="25">
        <f>IFERROR(IF(SUMIFS(tblDaily[TransfersOut],tblDaily[EntryDate],DATE(2026,8,18),tblDaily[WardCode],"MAE")=0,"",SUMIFS(tblDaily[TransfersOut],tblDaily[EntryDate],DATE(2026,8,18),tblDaily[WardCode],"MAE")),"")</f>
        <v/>
      </c>
      <c r="H305" s="25">
        <f>IFERROR(IF(SUMIFS(tblDaily[Remaining],tblDaily[EntryDate],DATE(2026,8,18),tblDaily[WardCode],"MAE")=0,"",SUMIFS(tblDaily[Remaining],tblDaily[EntryDate],DATE(2026,8,18),tblDaily[WardCode],"MAE")),"")</f>
        <v/>
      </c>
      <c r="I305" s="25">
        <f>IFERROR(IF(SUMIFS(tblDaily[Admissions],tblDaily[EntryDate],DATE(2026,8,18),tblDaily[WardCode],"FAE")=0,"",SUMIFS(tblDaily[Admissions],tblDaily[EntryDate],DATE(2026,8,18),tblDaily[WardCode],"FAE")),"")</f>
        <v/>
      </c>
      <c r="J305" s="25">
        <f>IFERROR(IF(SUMIFS(tblDaily[Discharges],tblDaily[EntryDate],DATE(2026,8,18),tblDaily[WardCode],"FAE")=0,"",SUMIFS(tblDaily[Discharges],tblDaily[EntryDate],DATE(2026,8,18),tblDaily[WardCode],"FAE")),"")</f>
        <v/>
      </c>
      <c r="K305" s="25">
        <f>IFERROR(IF(SUMIFS(tblDaily[Deaths],tblDaily[EntryDate],DATE(2026,8,18),tblDaily[WardCode],"FAE")=0,"",SUMIFS(tblDaily[Deaths],tblDaily[EntryDate],DATE(2026,8,18),tblDaily[WardCode],"FAE")),"")</f>
        <v/>
      </c>
      <c r="L305" s="25">
        <f>IFERROR(IF(SUMIFS(tblDaily[DeathsUnder24Hrs],tblDaily[EntryDate],DATE(2026,8,18),tblDaily[WardCode],"FAE")=0,"",SUMIFS(tblDaily[DeathsUnder24Hrs],tblDaily[EntryDate],DATE(2026,8,18),tblDaily[WardCode],"FAE")),"")</f>
        <v/>
      </c>
      <c r="M305" s="25">
        <f>IFERROR(IF(SUMIFS(tblDaily[TransfersIn],tblDaily[EntryDate],DATE(2026,8,18),tblDaily[WardCode],"FAE")=0,"",SUMIFS(tblDaily[TransfersIn],tblDaily[EntryDate],DATE(2026,8,18),tblDaily[WardCode],"FAE")),"")</f>
        <v/>
      </c>
      <c r="N305" s="25">
        <f>IFERROR(IF(SUMIFS(tblDaily[TransfersOut],tblDaily[EntryDate],DATE(2026,8,18),tblDaily[WardCode],"FAE")=0,"",SUMIFS(tblDaily[TransfersOut],tblDaily[EntryDate],DATE(2026,8,18),tblDaily[WardCode],"FAE")),"")</f>
        <v/>
      </c>
      <c r="O305" s="25">
        <f>IFERROR(IF(SUMIFS(tblDaily[Remaining],tblDaily[EntryDate],DATE(2026,8,18),tblDaily[WardCode],"FAE")=0,"",SUMIFS(tblDaily[Remaining],tblDaily[EntryDate],DATE(2026,8,18),tblDaily[WardCode],"FAE")),"")</f>
        <v/>
      </c>
      <c r="P305" s="26">
        <f>IF(AND(H305="", O305=""), "", N(H305) + N(O305))</f>
        <v/>
      </c>
    </row>
    <row r="306">
      <c r="A306" s="25" t="n">
        <v>19</v>
      </c>
      <c r="B306" s="25">
        <f>IFERROR(IF(SUMIFS(tblDaily[Admissions],tblDaily[EntryDate],DATE(2026,8,19),tblDaily[WardCode],"MAE")=0,"",SUMIFS(tblDaily[Admissions],tblDaily[EntryDate],DATE(2026,8,19),tblDaily[WardCode],"MAE")),"")</f>
        <v/>
      </c>
      <c r="C306" s="25">
        <f>IFERROR(IF(SUMIFS(tblDaily[Discharges],tblDaily[EntryDate],DATE(2026,8,19),tblDaily[WardCode],"MAE")=0,"",SUMIFS(tblDaily[Discharges],tblDaily[EntryDate],DATE(2026,8,19),tblDaily[WardCode],"MAE")),"")</f>
        <v/>
      </c>
      <c r="D306" s="25">
        <f>IFERROR(IF(SUMIFS(tblDaily[Deaths],tblDaily[EntryDate],DATE(2026,8,19),tblDaily[WardCode],"MAE")=0,"",SUMIFS(tblDaily[Deaths],tblDaily[EntryDate],DATE(2026,8,19),tblDaily[WardCode],"MAE")),"")</f>
        <v/>
      </c>
      <c r="E306" s="25">
        <f>IFERROR(IF(SUMIFS(tblDaily[DeathsUnder24Hrs],tblDaily[EntryDate],DATE(2026,8,19),tblDaily[WardCode],"MAE")=0,"",SUMIFS(tblDaily[DeathsUnder24Hrs],tblDaily[EntryDate],DATE(2026,8,19),tblDaily[WardCode],"MAE")),"")</f>
        <v/>
      </c>
      <c r="F306" s="25">
        <f>IFERROR(IF(SUMIFS(tblDaily[TransfersIn],tblDaily[EntryDate],DATE(2026,8,19),tblDaily[WardCode],"MAE")=0,"",SUMIFS(tblDaily[TransfersIn],tblDaily[EntryDate],DATE(2026,8,19),tblDaily[WardCode],"MAE")),"")</f>
        <v/>
      </c>
      <c r="G306" s="25">
        <f>IFERROR(IF(SUMIFS(tblDaily[TransfersOut],tblDaily[EntryDate],DATE(2026,8,19),tblDaily[WardCode],"MAE")=0,"",SUMIFS(tblDaily[TransfersOut],tblDaily[EntryDate],DATE(2026,8,19),tblDaily[WardCode],"MAE")),"")</f>
        <v/>
      </c>
      <c r="H306" s="25">
        <f>IFERROR(IF(SUMIFS(tblDaily[Remaining],tblDaily[EntryDate],DATE(2026,8,19),tblDaily[WardCode],"MAE")=0,"",SUMIFS(tblDaily[Remaining],tblDaily[EntryDate],DATE(2026,8,19),tblDaily[WardCode],"MAE")),"")</f>
        <v/>
      </c>
      <c r="I306" s="25">
        <f>IFERROR(IF(SUMIFS(tblDaily[Admissions],tblDaily[EntryDate],DATE(2026,8,19),tblDaily[WardCode],"FAE")=0,"",SUMIFS(tblDaily[Admissions],tblDaily[EntryDate],DATE(2026,8,19),tblDaily[WardCode],"FAE")),"")</f>
        <v/>
      </c>
      <c r="J306" s="25">
        <f>IFERROR(IF(SUMIFS(tblDaily[Discharges],tblDaily[EntryDate],DATE(2026,8,19),tblDaily[WardCode],"FAE")=0,"",SUMIFS(tblDaily[Discharges],tblDaily[EntryDate],DATE(2026,8,19),tblDaily[WardCode],"FAE")),"")</f>
        <v/>
      </c>
      <c r="K306" s="25">
        <f>IFERROR(IF(SUMIFS(tblDaily[Deaths],tblDaily[EntryDate],DATE(2026,8,19),tblDaily[WardCode],"FAE")=0,"",SUMIFS(tblDaily[Deaths],tblDaily[EntryDate],DATE(2026,8,19),tblDaily[WardCode],"FAE")),"")</f>
        <v/>
      </c>
      <c r="L306" s="25">
        <f>IFERROR(IF(SUMIFS(tblDaily[DeathsUnder24Hrs],tblDaily[EntryDate],DATE(2026,8,19),tblDaily[WardCode],"FAE")=0,"",SUMIFS(tblDaily[DeathsUnder24Hrs],tblDaily[EntryDate],DATE(2026,8,19),tblDaily[WardCode],"FAE")),"")</f>
        <v/>
      </c>
      <c r="M306" s="25">
        <f>IFERROR(IF(SUMIFS(tblDaily[TransfersIn],tblDaily[EntryDate],DATE(2026,8,19),tblDaily[WardCode],"FAE")=0,"",SUMIFS(tblDaily[TransfersIn],tblDaily[EntryDate],DATE(2026,8,19),tblDaily[WardCode],"FAE")),"")</f>
        <v/>
      </c>
      <c r="N306" s="25">
        <f>IFERROR(IF(SUMIFS(tblDaily[TransfersOut],tblDaily[EntryDate],DATE(2026,8,19),tblDaily[WardCode],"FAE")=0,"",SUMIFS(tblDaily[TransfersOut],tblDaily[EntryDate],DATE(2026,8,19),tblDaily[WardCode],"FAE")),"")</f>
        <v/>
      </c>
      <c r="O306" s="25">
        <f>IFERROR(IF(SUMIFS(tblDaily[Remaining],tblDaily[EntryDate],DATE(2026,8,19),tblDaily[WardCode],"FAE")=0,"",SUMIFS(tblDaily[Remaining],tblDaily[EntryDate],DATE(2026,8,19),tblDaily[WardCode],"FAE")),"")</f>
        <v/>
      </c>
      <c r="P306" s="26">
        <f>IF(AND(H306="", O306=""), "", N(H306) + N(O306))</f>
        <v/>
      </c>
    </row>
    <row r="307">
      <c r="A307" s="25" t="n">
        <v>20</v>
      </c>
      <c r="B307" s="25">
        <f>IFERROR(IF(SUMIFS(tblDaily[Admissions],tblDaily[EntryDate],DATE(2026,8,20),tblDaily[WardCode],"MAE")=0,"",SUMIFS(tblDaily[Admissions],tblDaily[EntryDate],DATE(2026,8,20),tblDaily[WardCode],"MAE")),"")</f>
        <v/>
      </c>
      <c r="C307" s="25">
        <f>IFERROR(IF(SUMIFS(tblDaily[Discharges],tblDaily[EntryDate],DATE(2026,8,20),tblDaily[WardCode],"MAE")=0,"",SUMIFS(tblDaily[Discharges],tblDaily[EntryDate],DATE(2026,8,20),tblDaily[WardCode],"MAE")),"")</f>
        <v/>
      </c>
      <c r="D307" s="25">
        <f>IFERROR(IF(SUMIFS(tblDaily[Deaths],tblDaily[EntryDate],DATE(2026,8,20),tblDaily[WardCode],"MAE")=0,"",SUMIFS(tblDaily[Deaths],tblDaily[EntryDate],DATE(2026,8,20),tblDaily[WardCode],"MAE")),"")</f>
        <v/>
      </c>
      <c r="E307" s="25">
        <f>IFERROR(IF(SUMIFS(tblDaily[DeathsUnder24Hrs],tblDaily[EntryDate],DATE(2026,8,20),tblDaily[WardCode],"MAE")=0,"",SUMIFS(tblDaily[DeathsUnder24Hrs],tblDaily[EntryDate],DATE(2026,8,20),tblDaily[WardCode],"MAE")),"")</f>
        <v/>
      </c>
      <c r="F307" s="25">
        <f>IFERROR(IF(SUMIFS(tblDaily[TransfersIn],tblDaily[EntryDate],DATE(2026,8,20),tblDaily[WardCode],"MAE")=0,"",SUMIFS(tblDaily[TransfersIn],tblDaily[EntryDate],DATE(2026,8,20),tblDaily[WardCode],"MAE")),"")</f>
        <v/>
      </c>
      <c r="G307" s="25">
        <f>IFERROR(IF(SUMIFS(tblDaily[TransfersOut],tblDaily[EntryDate],DATE(2026,8,20),tblDaily[WardCode],"MAE")=0,"",SUMIFS(tblDaily[TransfersOut],tblDaily[EntryDate],DATE(2026,8,20),tblDaily[WardCode],"MAE")),"")</f>
        <v/>
      </c>
      <c r="H307" s="25">
        <f>IFERROR(IF(SUMIFS(tblDaily[Remaining],tblDaily[EntryDate],DATE(2026,8,20),tblDaily[WardCode],"MAE")=0,"",SUMIFS(tblDaily[Remaining],tblDaily[EntryDate],DATE(2026,8,20),tblDaily[WardCode],"MAE")),"")</f>
        <v/>
      </c>
      <c r="I307" s="25">
        <f>IFERROR(IF(SUMIFS(tblDaily[Admissions],tblDaily[EntryDate],DATE(2026,8,20),tblDaily[WardCode],"FAE")=0,"",SUMIFS(tblDaily[Admissions],tblDaily[EntryDate],DATE(2026,8,20),tblDaily[WardCode],"FAE")),"")</f>
        <v/>
      </c>
      <c r="J307" s="25">
        <f>IFERROR(IF(SUMIFS(tblDaily[Discharges],tblDaily[EntryDate],DATE(2026,8,20),tblDaily[WardCode],"FAE")=0,"",SUMIFS(tblDaily[Discharges],tblDaily[EntryDate],DATE(2026,8,20),tblDaily[WardCode],"FAE")),"")</f>
        <v/>
      </c>
      <c r="K307" s="25">
        <f>IFERROR(IF(SUMIFS(tblDaily[Deaths],tblDaily[EntryDate],DATE(2026,8,20),tblDaily[WardCode],"FAE")=0,"",SUMIFS(tblDaily[Deaths],tblDaily[EntryDate],DATE(2026,8,20),tblDaily[WardCode],"FAE")),"")</f>
        <v/>
      </c>
      <c r="L307" s="25">
        <f>IFERROR(IF(SUMIFS(tblDaily[DeathsUnder24Hrs],tblDaily[EntryDate],DATE(2026,8,20),tblDaily[WardCode],"FAE")=0,"",SUMIFS(tblDaily[DeathsUnder24Hrs],tblDaily[EntryDate],DATE(2026,8,20),tblDaily[WardCode],"FAE")),"")</f>
        <v/>
      </c>
      <c r="M307" s="25">
        <f>IFERROR(IF(SUMIFS(tblDaily[TransfersIn],tblDaily[EntryDate],DATE(2026,8,20),tblDaily[WardCode],"FAE")=0,"",SUMIFS(tblDaily[TransfersIn],tblDaily[EntryDate],DATE(2026,8,20),tblDaily[WardCode],"FAE")),"")</f>
        <v/>
      </c>
      <c r="N307" s="25">
        <f>IFERROR(IF(SUMIFS(tblDaily[TransfersOut],tblDaily[EntryDate],DATE(2026,8,20),tblDaily[WardCode],"FAE")=0,"",SUMIFS(tblDaily[TransfersOut],tblDaily[EntryDate],DATE(2026,8,20),tblDaily[WardCode],"FAE")),"")</f>
        <v/>
      </c>
      <c r="O307" s="25">
        <f>IFERROR(IF(SUMIFS(tblDaily[Remaining],tblDaily[EntryDate],DATE(2026,8,20),tblDaily[WardCode],"FAE")=0,"",SUMIFS(tblDaily[Remaining],tblDaily[EntryDate],DATE(2026,8,20),tblDaily[WardCode],"FAE")),"")</f>
        <v/>
      </c>
      <c r="P307" s="26">
        <f>IF(AND(H307="", O307=""), "", N(H307) + N(O307))</f>
        <v/>
      </c>
    </row>
    <row r="308">
      <c r="A308" s="25" t="n">
        <v>21</v>
      </c>
      <c r="B308" s="25">
        <f>IFERROR(IF(SUMIFS(tblDaily[Admissions],tblDaily[EntryDate],DATE(2026,8,21),tblDaily[WardCode],"MAE")=0,"",SUMIFS(tblDaily[Admissions],tblDaily[EntryDate],DATE(2026,8,21),tblDaily[WardCode],"MAE")),"")</f>
        <v/>
      </c>
      <c r="C308" s="25">
        <f>IFERROR(IF(SUMIFS(tblDaily[Discharges],tblDaily[EntryDate],DATE(2026,8,21),tblDaily[WardCode],"MAE")=0,"",SUMIFS(tblDaily[Discharges],tblDaily[EntryDate],DATE(2026,8,21),tblDaily[WardCode],"MAE")),"")</f>
        <v/>
      </c>
      <c r="D308" s="25">
        <f>IFERROR(IF(SUMIFS(tblDaily[Deaths],tblDaily[EntryDate],DATE(2026,8,21),tblDaily[WardCode],"MAE")=0,"",SUMIFS(tblDaily[Deaths],tblDaily[EntryDate],DATE(2026,8,21),tblDaily[WardCode],"MAE")),"")</f>
        <v/>
      </c>
      <c r="E308" s="25">
        <f>IFERROR(IF(SUMIFS(tblDaily[DeathsUnder24Hrs],tblDaily[EntryDate],DATE(2026,8,21),tblDaily[WardCode],"MAE")=0,"",SUMIFS(tblDaily[DeathsUnder24Hrs],tblDaily[EntryDate],DATE(2026,8,21),tblDaily[WardCode],"MAE")),"")</f>
        <v/>
      </c>
      <c r="F308" s="25">
        <f>IFERROR(IF(SUMIFS(tblDaily[TransfersIn],tblDaily[EntryDate],DATE(2026,8,21),tblDaily[WardCode],"MAE")=0,"",SUMIFS(tblDaily[TransfersIn],tblDaily[EntryDate],DATE(2026,8,21),tblDaily[WardCode],"MAE")),"")</f>
        <v/>
      </c>
      <c r="G308" s="25">
        <f>IFERROR(IF(SUMIFS(tblDaily[TransfersOut],tblDaily[EntryDate],DATE(2026,8,21),tblDaily[WardCode],"MAE")=0,"",SUMIFS(tblDaily[TransfersOut],tblDaily[EntryDate],DATE(2026,8,21),tblDaily[WardCode],"MAE")),"")</f>
        <v/>
      </c>
      <c r="H308" s="25">
        <f>IFERROR(IF(SUMIFS(tblDaily[Remaining],tblDaily[EntryDate],DATE(2026,8,21),tblDaily[WardCode],"MAE")=0,"",SUMIFS(tblDaily[Remaining],tblDaily[EntryDate],DATE(2026,8,21),tblDaily[WardCode],"MAE")),"")</f>
        <v/>
      </c>
      <c r="I308" s="25">
        <f>IFERROR(IF(SUMIFS(tblDaily[Admissions],tblDaily[EntryDate],DATE(2026,8,21),tblDaily[WardCode],"FAE")=0,"",SUMIFS(tblDaily[Admissions],tblDaily[EntryDate],DATE(2026,8,21),tblDaily[WardCode],"FAE")),"")</f>
        <v/>
      </c>
      <c r="J308" s="25">
        <f>IFERROR(IF(SUMIFS(tblDaily[Discharges],tblDaily[EntryDate],DATE(2026,8,21),tblDaily[WardCode],"FAE")=0,"",SUMIFS(tblDaily[Discharges],tblDaily[EntryDate],DATE(2026,8,21),tblDaily[WardCode],"FAE")),"")</f>
        <v/>
      </c>
      <c r="K308" s="25">
        <f>IFERROR(IF(SUMIFS(tblDaily[Deaths],tblDaily[EntryDate],DATE(2026,8,21),tblDaily[WardCode],"FAE")=0,"",SUMIFS(tblDaily[Deaths],tblDaily[EntryDate],DATE(2026,8,21),tblDaily[WardCode],"FAE")),"")</f>
        <v/>
      </c>
      <c r="L308" s="25">
        <f>IFERROR(IF(SUMIFS(tblDaily[DeathsUnder24Hrs],tblDaily[EntryDate],DATE(2026,8,21),tblDaily[WardCode],"FAE")=0,"",SUMIFS(tblDaily[DeathsUnder24Hrs],tblDaily[EntryDate],DATE(2026,8,21),tblDaily[WardCode],"FAE")),"")</f>
        <v/>
      </c>
      <c r="M308" s="25">
        <f>IFERROR(IF(SUMIFS(tblDaily[TransfersIn],tblDaily[EntryDate],DATE(2026,8,21),tblDaily[WardCode],"FAE")=0,"",SUMIFS(tblDaily[TransfersIn],tblDaily[EntryDate],DATE(2026,8,21),tblDaily[WardCode],"FAE")),"")</f>
        <v/>
      </c>
      <c r="N308" s="25">
        <f>IFERROR(IF(SUMIFS(tblDaily[TransfersOut],tblDaily[EntryDate],DATE(2026,8,21),tblDaily[WardCode],"FAE")=0,"",SUMIFS(tblDaily[TransfersOut],tblDaily[EntryDate],DATE(2026,8,21),tblDaily[WardCode],"FAE")),"")</f>
        <v/>
      </c>
      <c r="O308" s="25">
        <f>IFERROR(IF(SUMIFS(tblDaily[Remaining],tblDaily[EntryDate],DATE(2026,8,21),tblDaily[WardCode],"FAE")=0,"",SUMIFS(tblDaily[Remaining],tblDaily[EntryDate],DATE(2026,8,21),tblDaily[WardCode],"FAE")),"")</f>
        <v/>
      </c>
      <c r="P308" s="26">
        <f>IF(AND(H308="", O308=""), "", N(H308) + N(O308))</f>
        <v/>
      </c>
    </row>
    <row r="309">
      <c r="A309" s="25" t="n">
        <v>22</v>
      </c>
      <c r="B309" s="25">
        <f>IFERROR(IF(SUMIFS(tblDaily[Admissions],tblDaily[EntryDate],DATE(2026,8,22),tblDaily[WardCode],"MAE")=0,"",SUMIFS(tblDaily[Admissions],tblDaily[EntryDate],DATE(2026,8,22),tblDaily[WardCode],"MAE")),"")</f>
        <v/>
      </c>
      <c r="C309" s="25">
        <f>IFERROR(IF(SUMIFS(tblDaily[Discharges],tblDaily[EntryDate],DATE(2026,8,22),tblDaily[WardCode],"MAE")=0,"",SUMIFS(tblDaily[Discharges],tblDaily[EntryDate],DATE(2026,8,22),tblDaily[WardCode],"MAE")),"")</f>
        <v/>
      </c>
      <c r="D309" s="25">
        <f>IFERROR(IF(SUMIFS(tblDaily[Deaths],tblDaily[EntryDate],DATE(2026,8,22),tblDaily[WardCode],"MAE")=0,"",SUMIFS(tblDaily[Deaths],tblDaily[EntryDate],DATE(2026,8,22),tblDaily[WardCode],"MAE")),"")</f>
        <v/>
      </c>
      <c r="E309" s="25">
        <f>IFERROR(IF(SUMIFS(tblDaily[DeathsUnder24Hrs],tblDaily[EntryDate],DATE(2026,8,22),tblDaily[WardCode],"MAE")=0,"",SUMIFS(tblDaily[DeathsUnder24Hrs],tblDaily[EntryDate],DATE(2026,8,22),tblDaily[WardCode],"MAE")),"")</f>
        <v/>
      </c>
      <c r="F309" s="25">
        <f>IFERROR(IF(SUMIFS(tblDaily[TransfersIn],tblDaily[EntryDate],DATE(2026,8,22),tblDaily[WardCode],"MAE")=0,"",SUMIFS(tblDaily[TransfersIn],tblDaily[EntryDate],DATE(2026,8,22),tblDaily[WardCode],"MAE")),"")</f>
        <v/>
      </c>
      <c r="G309" s="25">
        <f>IFERROR(IF(SUMIFS(tblDaily[TransfersOut],tblDaily[EntryDate],DATE(2026,8,22),tblDaily[WardCode],"MAE")=0,"",SUMIFS(tblDaily[TransfersOut],tblDaily[EntryDate],DATE(2026,8,22),tblDaily[WardCode],"MAE")),"")</f>
        <v/>
      </c>
      <c r="H309" s="25">
        <f>IFERROR(IF(SUMIFS(tblDaily[Remaining],tblDaily[EntryDate],DATE(2026,8,22),tblDaily[WardCode],"MAE")=0,"",SUMIFS(tblDaily[Remaining],tblDaily[EntryDate],DATE(2026,8,22),tblDaily[WardCode],"MAE")),"")</f>
        <v/>
      </c>
      <c r="I309" s="25">
        <f>IFERROR(IF(SUMIFS(tblDaily[Admissions],tblDaily[EntryDate],DATE(2026,8,22),tblDaily[WardCode],"FAE")=0,"",SUMIFS(tblDaily[Admissions],tblDaily[EntryDate],DATE(2026,8,22),tblDaily[WardCode],"FAE")),"")</f>
        <v/>
      </c>
      <c r="J309" s="25">
        <f>IFERROR(IF(SUMIFS(tblDaily[Discharges],tblDaily[EntryDate],DATE(2026,8,22),tblDaily[WardCode],"FAE")=0,"",SUMIFS(tblDaily[Discharges],tblDaily[EntryDate],DATE(2026,8,22),tblDaily[WardCode],"FAE")),"")</f>
        <v/>
      </c>
      <c r="K309" s="25">
        <f>IFERROR(IF(SUMIFS(tblDaily[Deaths],tblDaily[EntryDate],DATE(2026,8,22),tblDaily[WardCode],"FAE")=0,"",SUMIFS(tblDaily[Deaths],tblDaily[EntryDate],DATE(2026,8,22),tblDaily[WardCode],"FAE")),"")</f>
        <v/>
      </c>
      <c r="L309" s="25">
        <f>IFERROR(IF(SUMIFS(tblDaily[DeathsUnder24Hrs],tblDaily[EntryDate],DATE(2026,8,22),tblDaily[WardCode],"FAE")=0,"",SUMIFS(tblDaily[DeathsUnder24Hrs],tblDaily[EntryDate],DATE(2026,8,22),tblDaily[WardCode],"FAE")),"")</f>
        <v/>
      </c>
      <c r="M309" s="25">
        <f>IFERROR(IF(SUMIFS(tblDaily[TransfersIn],tblDaily[EntryDate],DATE(2026,8,22),tblDaily[WardCode],"FAE")=0,"",SUMIFS(tblDaily[TransfersIn],tblDaily[EntryDate],DATE(2026,8,22),tblDaily[WardCode],"FAE")),"")</f>
        <v/>
      </c>
      <c r="N309" s="25">
        <f>IFERROR(IF(SUMIFS(tblDaily[TransfersOut],tblDaily[EntryDate],DATE(2026,8,22),tblDaily[WardCode],"FAE")=0,"",SUMIFS(tblDaily[TransfersOut],tblDaily[EntryDate],DATE(2026,8,22),tblDaily[WardCode],"FAE")),"")</f>
        <v/>
      </c>
      <c r="O309" s="25">
        <f>IFERROR(IF(SUMIFS(tblDaily[Remaining],tblDaily[EntryDate],DATE(2026,8,22),tblDaily[WardCode],"FAE")=0,"",SUMIFS(tblDaily[Remaining],tblDaily[EntryDate],DATE(2026,8,22),tblDaily[WardCode],"FAE")),"")</f>
        <v/>
      </c>
      <c r="P309" s="26">
        <f>IF(AND(H309="", O309=""), "", N(H309) + N(O309))</f>
        <v/>
      </c>
    </row>
    <row r="310">
      <c r="A310" s="25" t="n">
        <v>23</v>
      </c>
      <c r="B310" s="25">
        <f>IFERROR(IF(SUMIFS(tblDaily[Admissions],tblDaily[EntryDate],DATE(2026,8,23),tblDaily[WardCode],"MAE")=0,"",SUMIFS(tblDaily[Admissions],tblDaily[EntryDate],DATE(2026,8,23),tblDaily[WardCode],"MAE")),"")</f>
        <v/>
      </c>
      <c r="C310" s="25">
        <f>IFERROR(IF(SUMIFS(tblDaily[Discharges],tblDaily[EntryDate],DATE(2026,8,23),tblDaily[WardCode],"MAE")=0,"",SUMIFS(tblDaily[Discharges],tblDaily[EntryDate],DATE(2026,8,23),tblDaily[WardCode],"MAE")),"")</f>
        <v/>
      </c>
      <c r="D310" s="25">
        <f>IFERROR(IF(SUMIFS(tblDaily[Deaths],tblDaily[EntryDate],DATE(2026,8,23),tblDaily[WardCode],"MAE")=0,"",SUMIFS(tblDaily[Deaths],tblDaily[EntryDate],DATE(2026,8,23),tblDaily[WardCode],"MAE")),"")</f>
        <v/>
      </c>
      <c r="E310" s="25">
        <f>IFERROR(IF(SUMIFS(tblDaily[DeathsUnder24Hrs],tblDaily[EntryDate],DATE(2026,8,23),tblDaily[WardCode],"MAE")=0,"",SUMIFS(tblDaily[DeathsUnder24Hrs],tblDaily[EntryDate],DATE(2026,8,23),tblDaily[WardCode],"MAE")),"")</f>
        <v/>
      </c>
      <c r="F310" s="25">
        <f>IFERROR(IF(SUMIFS(tblDaily[TransfersIn],tblDaily[EntryDate],DATE(2026,8,23),tblDaily[WardCode],"MAE")=0,"",SUMIFS(tblDaily[TransfersIn],tblDaily[EntryDate],DATE(2026,8,23),tblDaily[WardCode],"MAE")),"")</f>
        <v/>
      </c>
      <c r="G310" s="25">
        <f>IFERROR(IF(SUMIFS(tblDaily[TransfersOut],tblDaily[EntryDate],DATE(2026,8,23),tblDaily[WardCode],"MAE")=0,"",SUMIFS(tblDaily[TransfersOut],tblDaily[EntryDate],DATE(2026,8,23),tblDaily[WardCode],"MAE")),"")</f>
        <v/>
      </c>
      <c r="H310" s="25">
        <f>IFERROR(IF(SUMIFS(tblDaily[Remaining],tblDaily[EntryDate],DATE(2026,8,23),tblDaily[WardCode],"MAE")=0,"",SUMIFS(tblDaily[Remaining],tblDaily[EntryDate],DATE(2026,8,23),tblDaily[WardCode],"MAE")),"")</f>
        <v/>
      </c>
      <c r="I310" s="25">
        <f>IFERROR(IF(SUMIFS(tblDaily[Admissions],tblDaily[EntryDate],DATE(2026,8,23),tblDaily[WardCode],"FAE")=0,"",SUMIFS(tblDaily[Admissions],tblDaily[EntryDate],DATE(2026,8,23),tblDaily[WardCode],"FAE")),"")</f>
        <v/>
      </c>
      <c r="J310" s="25">
        <f>IFERROR(IF(SUMIFS(tblDaily[Discharges],tblDaily[EntryDate],DATE(2026,8,23),tblDaily[WardCode],"FAE")=0,"",SUMIFS(tblDaily[Discharges],tblDaily[EntryDate],DATE(2026,8,23),tblDaily[WardCode],"FAE")),"")</f>
        <v/>
      </c>
      <c r="K310" s="25">
        <f>IFERROR(IF(SUMIFS(tblDaily[Deaths],tblDaily[EntryDate],DATE(2026,8,23),tblDaily[WardCode],"FAE")=0,"",SUMIFS(tblDaily[Deaths],tblDaily[EntryDate],DATE(2026,8,23),tblDaily[WardCode],"FAE")),"")</f>
        <v/>
      </c>
      <c r="L310" s="25">
        <f>IFERROR(IF(SUMIFS(tblDaily[DeathsUnder24Hrs],tblDaily[EntryDate],DATE(2026,8,23),tblDaily[WardCode],"FAE")=0,"",SUMIFS(tblDaily[DeathsUnder24Hrs],tblDaily[EntryDate],DATE(2026,8,23),tblDaily[WardCode],"FAE")),"")</f>
        <v/>
      </c>
      <c r="M310" s="25">
        <f>IFERROR(IF(SUMIFS(tblDaily[TransfersIn],tblDaily[EntryDate],DATE(2026,8,23),tblDaily[WardCode],"FAE")=0,"",SUMIFS(tblDaily[TransfersIn],tblDaily[EntryDate],DATE(2026,8,23),tblDaily[WardCode],"FAE")),"")</f>
        <v/>
      </c>
      <c r="N310" s="25">
        <f>IFERROR(IF(SUMIFS(tblDaily[TransfersOut],tblDaily[EntryDate],DATE(2026,8,23),tblDaily[WardCode],"FAE")=0,"",SUMIFS(tblDaily[TransfersOut],tblDaily[EntryDate],DATE(2026,8,23),tblDaily[WardCode],"FAE")),"")</f>
        <v/>
      </c>
      <c r="O310" s="25">
        <f>IFERROR(IF(SUMIFS(tblDaily[Remaining],tblDaily[EntryDate],DATE(2026,8,23),tblDaily[WardCode],"FAE")=0,"",SUMIFS(tblDaily[Remaining],tblDaily[EntryDate],DATE(2026,8,23),tblDaily[WardCode],"FAE")),"")</f>
        <v/>
      </c>
      <c r="P310" s="26">
        <f>IF(AND(H310="", O310=""), "", N(H310) + N(O310))</f>
        <v/>
      </c>
    </row>
    <row r="311">
      <c r="A311" s="25" t="n">
        <v>24</v>
      </c>
      <c r="B311" s="25">
        <f>IFERROR(IF(SUMIFS(tblDaily[Admissions],tblDaily[EntryDate],DATE(2026,8,24),tblDaily[WardCode],"MAE")=0,"",SUMIFS(tblDaily[Admissions],tblDaily[EntryDate],DATE(2026,8,24),tblDaily[WardCode],"MAE")),"")</f>
        <v/>
      </c>
      <c r="C311" s="25">
        <f>IFERROR(IF(SUMIFS(tblDaily[Discharges],tblDaily[EntryDate],DATE(2026,8,24),tblDaily[WardCode],"MAE")=0,"",SUMIFS(tblDaily[Discharges],tblDaily[EntryDate],DATE(2026,8,24),tblDaily[WardCode],"MAE")),"")</f>
        <v/>
      </c>
      <c r="D311" s="25">
        <f>IFERROR(IF(SUMIFS(tblDaily[Deaths],tblDaily[EntryDate],DATE(2026,8,24),tblDaily[WardCode],"MAE")=0,"",SUMIFS(tblDaily[Deaths],tblDaily[EntryDate],DATE(2026,8,24),tblDaily[WardCode],"MAE")),"")</f>
        <v/>
      </c>
      <c r="E311" s="25">
        <f>IFERROR(IF(SUMIFS(tblDaily[DeathsUnder24Hrs],tblDaily[EntryDate],DATE(2026,8,24),tblDaily[WardCode],"MAE")=0,"",SUMIFS(tblDaily[DeathsUnder24Hrs],tblDaily[EntryDate],DATE(2026,8,24),tblDaily[WardCode],"MAE")),"")</f>
        <v/>
      </c>
      <c r="F311" s="25">
        <f>IFERROR(IF(SUMIFS(tblDaily[TransfersIn],tblDaily[EntryDate],DATE(2026,8,24),tblDaily[WardCode],"MAE")=0,"",SUMIFS(tblDaily[TransfersIn],tblDaily[EntryDate],DATE(2026,8,24),tblDaily[WardCode],"MAE")),"")</f>
        <v/>
      </c>
      <c r="G311" s="25">
        <f>IFERROR(IF(SUMIFS(tblDaily[TransfersOut],tblDaily[EntryDate],DATE(2026,8,24),tblDaily[WardCode],"MAE")=0,"",SUMIFS(tblDaily[TransfersOut],tblDaily[EntryDate],DATE(2026,8,24),tblDaily[WardCode],"MAE")),"")</f>
        <v/>
      </c>
      <c r="H311" s="25">
        <f>IFERROR(IF(SUMIFS(tblDaily[Remaining],tblDaily[EntryDate],DATE(2026,8,24),tblDaily[WardCode],"MAE")=0,"",SUMIFS(tblDaily[Remaining],tblDaily[EntryDate],DATE(2026,8,24),tblDaily[WardCode],"MAE")),"")</f>
        <v/>
      </c>
      <c r="I311" s="25">
        <f>IFERROR(IF(SUMIFS(tblDaily[Admissions],tblDaily[EntryDate],DATE(2026,8,24),tblDaily[WardCode],"FAE")=0,"",SUMIFS(tblDaily[Admissions],tblDaily[EntryDate],DATE(2026,8,24),tblDaily[WardCode],"FAE")),"")</f>
        <v/>
      </c>
      <c r="J311" s="25">
        <f>IFERROR(IF(SUMIFS(tblDaily[Discharges],tblDaily[EntryDate],DATE(2026,8,24),tblDaily[WardCode],"FAE")=0,"",SUMIFS(tblDaily[Discharges],tblDaily[EntryDate],DATE(2026,8,24),tblDaily[WardCode],"FAE")),"")</f>
        <v/>
      </c>
      <c r="K311" s="25">
        <f>IFERROR(IF(SUMIFS(tblDaily[Deaths],tblDaily[EntryDate],DATE(2026,8,24),tblDaily[WardCode],"FAE")=0,"",SUMIFS(tblDaily[Deaths],tblDaily[EntryDate],DATE(2026,8,24),tblDaily[WardCode],"FAE")),"")</f>
        <v/>
      </c>
      <c r="L311" s="25">
        <f>IFERROR(IF(SUMIFS(tblDaily[DeathsUnder24Hrs],tblDaily[EntryDate],DATE(2026,8,24),tblDaily[WardCode],"FAE")=0,"",SUMIFS(tblDaily[DeathsUnder24Hrs],tblDaily[EntryDate],DATE(2026,8,24),tblDaily[WardCode],"FAE")),"")</f>
        <v/>
      </c>
      <c r="M311" s="25">
        <f>IFERROR(IF(SUMIFS(tblDaily[TransfersIn],tblDaily[EntryDate],DATE(2026,8,24),tblDaily[WardCode],"FAE")=0,"",SUMIFS(tblDaily[TransfersIn],tblDaily[EntryDate],DATE(2026,8,24),tblDaily[WardCode],"FAE")),"")</f>
        <v/>
      </c>
      <c r="N311" s="25">
        <f>IFERROR(IF(SUMIFS(tblDaily[TransfersOut],tblDaily[EntryDate],DATE(2026,8,24),tblDaily[WardCode],"FAE")=0,"",SUMIFS(tblDaily[TransfersOut],tblDaily[EntryDate],DATE(2026,8,24),tblDaily[WardCode],"FAE")),"")</f>
        <v/>
      </c>
      <c r="O311" s="25">
        <f>IFERROR(IF(SUMIFS(tblDaily[Remaining],tblDaily[EntryDate],DATE(2026,8,24),tblDaily[WardCode],"FAE")=0,"",SUMIFS(tblDaily[Remaining],tblDaily[EntryDate],DATE(2026,8,24),tblDaily[WardCode],"FAE")),"")</f>
        <v/>
      </c>
      <c r="P311" s="26">
        <f>IF(AND(H311="", O311=""), "", N(H311) + N(O311))</f>
        <v/>
      </c>
    </row>
    <row r="312">
      <c r="A312" s="25" t="n">
        <v>25</v>
      </c>
      <c r="B312" s="25">
        <f>IFERROR(IF(SUMIFS(tblDaily[Admissions],tblDaily[EntryDate],DATE(2026,8,25),tblDaily[WardCode],"MAE")=0,"",SUMIFS(tblDaily[Admissions],tblDaily[EntryDate],DATE(2026,8,25),tblDaily[WardCode],"MAE")),"")</f>
        <v/>
      </c>
      <c r="C312" s="25">
        <f>IFERROR(IF(SUMIFS(tblDaily[Discharges],tblDaily[EntryDate],DATE(2026,8,25),tblDaily[WardCode],"MAE")=0,"",SUMIFS(tblDaily[Discharges],tblDaily[EntryDate],DATE(2026,8,25),tblDaily[WardCode],"MAE")),"")</f>
        <v/>
      </c>
      <c r="D312" s="25">
        <f>IFERROR(IF(SUMIFS(tblDaily[Deaths],tblDaily[EntryDate],DATE(2026,8,25),tblDaily[WardCode],"MAE")=0,"",SUMIFS(tblDaily[Deaths],tblDaily[EntryDate],DATE(2026,8,25),tblDaily[WardCode],"MAE")),"")</f>
        <v/>
      </c>
      <c r="E312" s="25">
        <f>IFERROR(IF(SUMIFS(tblDaily[DeathsUnder24Hrs],tblDaily[EntryDate],DATE(2026,8,25),tblDaily[WardCode],"MAE")=0,"",SUMIFS(tblDaily[DeathsUnder24Hrs],tblDaily[EntryDate],DATE(2026,8,25),tblDaily[WardCode],"MAE")),"")</f>
        <v/>
      </c>
      <c r="F312" s="25">
        <f>IFERROR(IF(SUMIFS(tblDaily[TransfersIn],tblDaily[EntryDate],DATE(2026,8,25),tblDaily[WardCode],"MAE")=0,"",SUMIFS(tblDaily[TransfersIn],tblDaily[EntryDate],DATE(2026,8,25),tblDaily[WardCode],"MAE")),"")</f>
        <v/>
      </c>
      <c r="G312" s="25">
        <f>IFERROR(IF(SUMIFS(tblDaily[TransfersOut],tblDaily[EntryDate],DATE(2026,8,25),tblDaily[WardCode],"MAE")=0,"",SUMIFS(tblDaily[TransfersOut],tblDaily[EntryDate],DATE(2026,8,25),tblDaily[WardCode],"MAE")),"")</f>
        <v/>
      </c>
      <c r="H312" s="25">
        <f>IFERROR(IF(SUMIFS(tblDaily[Remaining],tblDaily[EntryDate],DATE(2026,8,25),tblDaily[WardCode],"MAE")=0,"",SUMIFS(tblDaily[Remaining],tblDaily[EntryDate],DATE(2026,8,25),tblDaily[WardCode],"MAE")),"")</f>
        <v/>
      </c>
      <c r="I312" s="25">
        <f>IFERROR(IF(SUMIFS(tblDaily[Admissions],tblDaily[EntryDate],DATE(2026,8,25),tblDaily[WardCode],"FAE")=0,"",SUMIFS(tblDaily[Admissions],tblDaily[EntryDate],DATE(2026,8,25),tblDaily[WardCode],"FAE")),"")</f>
        <v/>
      </c>
      <c r="J312" s="25">
        <f>IFERROR(IF(SUMIFS(tblDaily[Discharges],tblDaily[EntryDate],DATE(2026,8,25),tblDaily[WardCode],"FAE")=0,"",SUMIFS(tblDaily[Discharges],tblDaily[EntryDate],DATE(2026,8,25),tblDaily[WardCode],"FAE")),"")</f>
        <v/>
      </c>
      <c r="K312" s="25">
        <f>IFERROR(IF(SUMIFS(tblDaily[Deaths],tblDaily[EntryDate],DATE(2026,8,25),tblDaily[WardCode],"FAE")=0,"",SUMIFS(tblDaily[Deaths],tblDaily[EntryDate],DATE(2026,8,25),tblDaily[WardCode],"FAE")),"")</f>
        <v/>
      </c>
      <c r="L312" s="25">
        <f>IFERROR(IF(SUMIFS(tblDaily[DeathsUnder24Hrs],tblDaily[EntryDate],DATE(2026,8,25),tblDaily[WardCode],"FAE")=0,"",SUMIFS(tblDaily[DeathsUnder24Hrs],tblDaily[EntryDate],DATE(2026,8,25),tblDaily[WardCode],"FAE")),"")</f>
        <v/>
      </c>
      <c r="M312" s="25">
        <f>IFERROR(IF(SUMIFS(tblDaily[TransfersIn],tblDaily[EntryDate],DATE(2026,8,25),tblDaily[WardCode],"FAE")=0,"",SUMIFS(tblDaily[TransfersIn],tblDaily[EntryDate],DATE(2026,8,25),tblDaily[WardCode],"FAE")),"")</f>
        <v/>
      </c>
      <c r="N312" s="25">
        <f>IFERROR(IF(SUMIFS(tblDaily[TransfersOut],tblDaily[EntryDate],DATE(2026,8,25),tblDaily[WardCode],"FAE")=0,"",SUMIFS(tblDaily[TransfersOut],tblDaily[EntryDate],DATE(2026,8,25),tblDaily[WardCode],"FAE")),"")</f>
        <v/>
      </c>
      <c r="O312" s="25">
        <f>IFERROR(IF(SUMIFS(tblDaily[Remaining],tblDaily[EntryDate],DATE(2026,8,25),tblDaily[WardCode],"FAE")=0,"",SUMIFS(tblDaily[Remaining],tblDaily[EntryDate],DATE(2026,8,25),tblDaily[WardCode],"FAE")),"")</f>
        <v/>
      </c>
      <c r="P312" s="26">
        <f>IF(AND(H312="", O312=""), "", N(H312) + N(O312))</f>
        <v/>
      </c>
    </row>
    <row r="313">
      <c r="A313" s="25" t="n">
        <v>26</v>
      </c>
      <c r="B313" s="25">
        <f>IFERROR(IF(SUMIFS(tblDaily[Admissions],tblDaily[EntryDate],DATE(2026,8,26),tblDaily[WardCode],"MAE")=0,"",SUMIFS(tblDaily[Admissions],tblDaily[EntryDate],DATE(2026,8,26),tblDaily[WardCode],"MAE")),"")</f>
        <v/>
      </c>
      <c r="C313" s="25">
        <f>IFERROR(IF(SUMIFS(tblDaily[Discharges],tblDaily[EntryDate],DATE(2026,8,26),tblDaily[WardCode],"MAE")=0,"",SUMIFS(tblDaily[Discharges],tblDaily[EntryDate],DATE(2026,8,26),tblDaily[WardCode],"MAE")),"")</f>
        <v/>
      </c>
      <c r="D313" s="25">
        <f>IFERROR(IF(SUMIFS(tblDaily[Deaths],tblDaily[EntryDate],DATE(2026,8,26),tblDaily[WardCode],"MAE")=0,"",SUMIFS(tblDaily[Deaths],tblDaily[EntryDate],DATE(2026,8,26),tblDaily[WardCode],"MAE")),"")</f>
        <v/>
      </c>
      <c r="E313" s="25">
        <f>IFERROR(IF(SUMIFS(tblDaily[DeathsUnder24Hrs],tblDaily[EntryDate],DATE(2026,8,26),tblDaily[WardCode],"MAE")=0,"",SUMIFS(tblDaily[DeathsUnder24Hrs],tblDaily[EntryDate],DATE(2026,8,26),tblDaily[WardCode],"MAE")),"")</f>
        <v/>
      </c>
      <c r="F313" s="25">
        <f>IFERROR(IF(SUMIFS(tblDaily[TransfersIn],tblDaily[EntryDate],DATE(2026,8,26),tblDaily[WardCode],"MAE")=0,"",SUMIFS(tblDaily[TransfersIn],tblDaily[EntryDate],DATE(2026,8,26),tblDaily[WardCode],"MAE")),"")</f>
        <v/>
      </c>
      <c r="G313" s="25">
        <f>IFERROR(IF(SUMIFS(tblDaily[TransfersOut],tblDaily[EntryDate],DATE(2026,8,26),tblDaily[WardCode],"MAE")=0,"",SUMIFS(tblDaily[TransfersOut],tblDaily[EntryDate],DATE(2026,8,26),tblDaily[WardCode],"MAE")),"")</f>
        <v/>
      </c>
      <c r="H313" s="25">
        <f>IFERROR(IF(SUMIFS(tblDaily[Remaining],tblDaily[EntryDate],DATE(2026,8,26),tblDaily[WardCode],"MAE")=0,"",SUMIFS(tblDaily[Remaining],tblDaily[EntryDate],DATE(2026,8,26),tblDaily[WardCode],"MAE")),"")</f>
        <v/>
      </c>
      <c r="I313" s="25">
        <f>IFERROR(IF(SUMIFS(tblDaily[Admissions],tblDaily[EntryDate],DATE(2026,8,26),tblDaily[WardCode],"FAE")=0,"",SUMIFS(tblDaily[Admissions],tblDaily[EntryDate],DATE(2026,8,26),tblDaily[WardCode],"FAE")),"")</f>
        <v/>
      </c>
      <c r="J313" s="25">
        <f>IFERROR(IF(SUMIFS(tblDaily[Discharges],tblDaily[EntryDate],DATE(2026,8,26),tblDaily[WardCode],"FAE")=0,"",SUMIFS(tblDaily[Discharges],tblDaily[EntryDate],DATE(2026,8,26),tblDaily[WardCode],"FAE")),"")</f>
        <v/>
      </c>
      <c r="K313" s="25">
        <f>IFERROR(IF(SUMIFS(tblDaily[Deaths],tblDaily[EntryDate],DATE(2026,8,26),tblDaily[WardCode],"FAE")=0,"",SUMIFS(tblDaily[Deaths],tblDaily[EntryDate],DATE(2026,8,26),tblDaily[WardCode],"FAE")),"")</f>
        <v/>
      </c>
      <c r="L313" s="25">
        <f>IFERROR(IF(SUMIFS(tblDaily[DeathsUnder24Hrs],tblDaily[EntryDate],DATE(2026,8,26),tblDaily[WardCode],"FAE")=0,"",SUMIFS(tblDaily[DeathsUnder24Hrs],tblDaily[EntryDate],DATE(2026,8,26),tblDaily[WardCode],"FAE")),"")</f>
        <v/>
      </c>
      <c r="M313" s="25">
        <f>IFERROR(IF(SUMIFS(tblDaily[TransfersIn],tblDaily[EntryDate],DATE(2026,8,26),tblDaily[WardCode],"FAE")=0,"",SUMIFS(tblDaily[TransfersIn],tblDaily[EntryDate],DATE(2026,8,26),tblDaily[WardCode],"FAE")),"")</f>
        <v/>
      </c>
      <c r="N313" s="25">
        <f>IFERROR(IF(SUMIFS(tblDaily[TransfersOut],tblDaily[EntryDate],DATE(2026,8,26),tblDaily[WardCode],"FAE")=0,"",SUMIFS(tblDaily[TransfersOut],tblDaily[EntryDate],DATE(2026,8,26),tblDaily[WardCode],"FAE")),"")</f>
        <v/>
      </c>
      <c r="O313" s="25">
        <f>IFERROR(IF(SUMIFS(tblDaily[Remaining],tblDaily[EntryDate],DATE(2026,8,26),tblDaily[WardCode],"FAE")=0,"",SUMIFS(tblDaily[Remaining],tblDaily[EntryDate],DATE(2026,8,26),tblDaily[WardCode],"FAE")),"")</f>
        <v/>
      </c>
      <c r="P313" s="26">
        <f>IF(AND(H313="", O313=""), "", N(H313) + N(O313))</f>
        <v/>
      </c>
    </row>
    <row r="314">
      <c r="A314" s="25" t="n">
        <v>27</v>
      </c>
      <c r="B314" s="25">
        <f>IFERROR(IF(SUMIFS(tblDaily[Admissions],tblDaily[EntryDate],DATE(2026,8,27),tblDaily[WardCode],"MAE")=0,"",SUMIFS(tblDaily[Admissions],tblDaily[EntryDate],DATE(2026,8,27),tblDaily[WardCode],"MAE")),"")</f>
        <v/>
      </c>
      <c r="C314" s="25">
        <f>IFERROR(IF(SUMIFS(tblDaily[Discharges],tblDaily[EntryDate],DATE(2026,8,27),tblDaily[WardCode],"MAE")=0,"",SUMIFS(tblDaily[Discharges],tblDaily[EntryDate],DATE(2026,8,27),tblDaily[WardCode],"MAE")),"")</f>
        <v/>
      </c>
      <c r="D314" s="25">
        <f>IFERROR(IF(SUMIFS(tblDaily[Deaths],tblDaily[EntryDate],DATE(2026,8,27),tblDaily[WardCode],"MAE")=0,"",SUMIFS(tblDaily[Deaths],tblDaily[EntryDate],DATE(2026,8,27),tblDaily[WardCode],"MAE")),"")</f>
        <v/>
      </c>
      <c r="E314" s="25">
        <f>IFERROR(IF(SUMIFS(tblDaily[DeathsUnder24Hrs],tblDaily[EntryDate],DATE(2026,8,27),tblDaily[WardCode],"MAE")=0,"",SUMIFS(tblDaily[DeathsUnder24Hrs],tblDaily[EntryDate],DATE(2026,8,27),tblDaily[WardCode],"MAE")),"")</f>
        <v/>
      </c>
      <c r="F314" s="25">
        <f>IFERROR(IF(SUMIFS(tblDaily[TransfersIn],tblDaily[EntryDate],DATE(2026,8,27),tblDaily[WardCode],"MAE")=0,"",SUMIFS(tblDaily[TransfersIn],tblDaily[EntryDate],DATE(2026,8,27),tblDaily[WardCode],"MAE")),"")</f>
        <v/>
      </c>
      <c r="G314" s="25">
        <f>IFERROR(IF(SUMIFS(tblDaily[TransfersOut],tblDaily[EntryDate],DATE(2026,8,27),tblDaily[WardCode],"MAE")=0,"",SUMIFS(tblDaily[TransfersOut],tblDaily[EntryDate],DATE(2026,8,27),tblDaily[WardCode],"MAE")),"")</f>
        <v/>
      </c>
      <c r="H314" s="25">
        <f>IFERROR(IF(SUMIFS(tblDaily[Remaining],tblDaily[EntryDate],DATE(2026,8,27),tblDaily[WardCode],"MAE")=0,"",SUMIFS(tblDaily[Remaining],tblDaily[EntryDate],DATE(2026,8,27),tblDaily[WardCode],"MAE")),"")</f>
        <v/>
      </c>
      <c r="I314" s="25">
        <f>IFERROR(IF(SUMIFS(tblDaily[Admissions],tblDaily[EntryDate],DATE(2026,8,27),tblDaily[WardCode],"FAE")=0,"",SUMIFS(tblDaily[Admissions],tblDaily[EntryDate],DATE(2026,8,27),tblDaily[WardCode],"FAE")),"")</f>
        <v/>
      </c>
      <c r="J314" s="25">
        <f>IFERROR(IF(SUMIFS(tblDaily[Discharges],tblDaily[EntryDate],DATE(2026,8,27),tblDaily[WardCode],"FAE")=0,"",SUMIFS(tblDaily[Discharges],tblDaily[EntryDate],DATE(2026,8,27),tblDaily[WardCode],"FAE")),"")</f>
        <v/>
      </c>
      <c r="K314" s="25">
        <f>IFERROR(IF(SUMIFS(tblDaily[Deaths],tblDaily[EntryDate],DATE(2026,8,27),tblDaily[WardCode],"FAE")=0,"",SUMIFS(tblDaily[Deaths],tblDaily[EntryDate],DATE(2026,8,27),tblDaily[WardCode],"FAE")),"")</f>
        <v/>
      </c>
      <c r="L314" s="25">
        <f>IFERROR(IF(SUMIFS(tblDaily[DeathsUnder24Hrs],tblDaily[EntryDate],DATE(2026,8,27),tblDaily[WardCode],"FAE")=0,"",SUMIFS(tblDaily[DeathsUnder24Hrs],tblDaily[EntryDate],DATE(2026,8,27),tblDaily[WardCode],"FAE")),"")</f>
        <v/>
      </c>
      <c r="M314" s="25">
        <f>IFERROR(IF(SUMIFS(tblDaily[TransfersIn],tblDaily[EntryDate],DATE(2026,8,27),tblDaily[WardCode],"FAE")=0,"",SUMIFS(tblDaily[TransfersIn],tblDaily[EntryDate],DATE(2026,8,27),tblDaily[WardCode],"FAE")),"")</f>
        <v/>
      </c>
      <c r="N314" s="25">
        <f>IFERROR(IF(SUMIFS(tblDaily[TransfersOut],tblDaily[EntryDate],DATE(2026,8,27),tblDaily[WardCode],"FAE")=0,"",SUMIFS(tblDaily[TransfersOut],tblDaily[EntryDate],DATE(2026,8,27),tblDaily[WardCode],"FAE")),"")</f>
        <v/>
      </c>
      <c r="O314" s="25">
        <f>IFERROR(IF(SUMIFS(tblDaily[Remaining],tblDaily[EntryDate],DATE(2026,8,27),tblDaily[WardCode],"FAE")=0,"",SUMIFS(tblDaily[Remaining],tblDaily[EntryDate],DATE(2026,8,27),tblDaily[WardCode],"FAE")),"")</f>
        <v/>
      </c>
      <c r="P314" s="26">
        <f>IF(AND(H314="", O314=""), "", N(H314) + N(O314))</f>
        <v/>
      </c>
    </row>
    <row r="315">
      <c r="A315" s="25" t="n">
        <v>28</v>
      </c>
      <c r="B315" s="25">
        <f>IFERROR(IF(SUMIFS(tblDaily[Admissions],tblDaily[EntryDate],DATE(2026,8,28),tblDaily[WardCode],"MAE")=0,"",SUMIFS(tblDaily[Admissions],tblDaily[EntryDate],DATE(2026,8,28),tblDaily[WardCode],"MAE")),"")</f>
        <v/>
      </c>
      <c r="C315" s="25">
        <f>IFERROR(IF(SUMIFS(tblDaily[Discharges],tblDaily[EntryDate],DATE(2026,8,28),tblDaily[WardCode],"MAE")=0,"",SUMIFS(tblDaily[Discharges],tblDaily[EntryDate],DATE(2026,8,28),tblDaily[WardCode],"MAE")),"")</f>
        <v/>
      </c>
      <c r="D315" s="25">
        <f>IFERROR(IF(SUMIFS(tblDaily[Deaths],tblDaily[EntryDate],DATE(2026,8,28),tblDaily[WardCode],"MAE")=0,"",SUMIFS(tblDaily[Deaths],tblDaily[EntryDate],DATE(2026,8,28),tblDaily[WardCode],"MAE")),"")</f>
        <v/>
      </c>
      <c r="E315" s="25">
        <f>IFERROR(IF(SUMIFS(tblDaily[DeathsUnder24Hrs],tblDaily[EntryDate],DATE(2026,8,28),tblDaily[WardCode],"MAE")=0,"",SUMIFS(tblDaily[DeathsUnder24Hrs],tblDaily[EntryDate],DATE(2026,8,28),tblDaily[WardCode],"MAE")),"")</f>
        <v/>
      </c>
      <c r="F315" s="25">
        <f>IFERROR(IF(SUMIFS(tblDaily[TransfersIn],tblDaily[EntryDate],DATE(2026,8,28),tblDaily[WardCode],"MAE")=0,"",SUMIFS(tblDaily[TransfersIn],tblDaily[EntryDate],DATE(2026,8,28),tblDaily[WardCode],"MAE")),"")</f>
        <v/>
      </c>
      <c r="G315" s="25">
        <f>IFERROR(IF(SUMIFS(tblDaily[TransfersOut],tblDaily[EntryDate],DATE(2026,8,28),tblDaily[WardCode],"MAE")=0,"",SUMIFS(tblDaily[TransfersOut],tblDaily[EntryDate],DATE(2026,8,28),tblDaily[WardCode],"MAE")),"")</f>
        <v/>
      </c>
      <c r="H315" s="25">
        <f>IFERROR(IF(SUMIFS(tblDaily[Remaining],tblDaily[EntryDate],DATE(2026,8,28),tblDaily[WardCode],"MAE")=0,"",SUMIFS(tblDaily[Remaining],tblDaily[EntryDate],DATE(2026,8,28),tblDaily[WardCode],"MAE")),"")</f>
        <v/>
      </c>
      <c r="I315" s="25">
        <f>IFERROR(IF(SUMIFS(tblDaily[Admissions],tblDaily[EntryDate],DATE(2026,8,28),tblDaily[WardCode],"FAE")=0,"",SUMIFS(tblDaily[Admissions],tblDaily[EntryDate],DATE(2026,8,28),tblDaily[WardCode],"FAE")),"")</f>
        <v/>
      </c>
      <c r="J315" s="25">
        <f>IFERROR(IF(SUMIFS(tblDaily[Discharges],tblDaily[EntryDate],DATE(2026,8,28),tblDaily[WardCode],"FAE")=0,"",SUMIFS(tblDaily[Discharges],tblDaily[EntryDate],DATE(2026,8,28),tblDaily[WardCode],"FAE")),"")</f>
        <v/>
      </c>
      <c r="K315" s="25">
        <f>IFERROR(IF(SUMIFS(tblDaily[Deaths],tblDaily[EntryDate],DATE(2026,8,28),tblDaily[WardCode],"FAE")=0,"",SUMIFS(tblDaily[Deaths],tblDaily[EntryDate],DATE(2026,8,28),tblDaily[WardCode],"FAE")),"")</f>
        <v/>
      </c>
      <c r="L315" s="25">
        <f>IFERROR(IF(SUMIFS(tblDaily[DeathsUnder24Hrs],tblDaily[EntryDate],DATE(2026,8,28),tblDaily[WardCode],"FAE")=0,"",SUMIFS(tblDaily[DeathsUnder24Hrs],tblDaily[EntryDate],DATE(2026,8,28),tblDaily[WardCode],"FAE")),"")</f>
        <v/>
      </c>
      <c r="M315" s="25">
        <f>IFERROR(IF(SUMIFS(tblDaily[TransfersIn],tblDaily[EntryDate],DATE(2026,8,28),tblDaily[WardCode],"FAE")=0,"",SUMIFS(tblDaily[TransfersIn],tblDaily[EntryDate],DATE(2026,8,28),tblDaily[WardCode],"FAE")),"")</f>
        <v/>
      </c>
      <c r="N315" s="25">
        <f>IFERROR(IF(SUMIFS(tblDaily[TransfersOut],tblDaily[EntryDate],DATE(2026,8,28),tblDaily[WardCode],"FAE")=0,"",SUMIFS(tblDaily[TransfersOut],tblDaily[EntryDate],DATE(2026,8,28),tblDaily[WardCode],"FAE")),"")</f>
        <v/>
      </c>
      <c r="O315" s="25">
        <f>IFERROR(IF(SUMIFS(tblDaily[Remaining],tblDaily[EntryDate],DATE(2026,8,28),tblDaily[WardCode],"FAE")=0,"",SUMIFS(tblDaily[Remaining],tblDaily[EntryDate],DATE(2026,8,28),tblDaily[WardCode],"FAE")),"")</f>
        <v/>
      </c>
      <c r="P315" s="26">
        <f>IF(AND(H315="", O315=""), "", N(H315) + N(O315))</f>
        <v/>
      </c>
    </row>
    <row r="316">
      <c r="A316" s="25" t="n">
        <v>29</v>
      </c>
      <c r="B316" s="25">
        <f>IFERROR(IF(SUMIFS(tblDaily[Admissions],tblDaily[EntryDate],DATE(2026,8,29),tblDaily[WardCode],"MAE")=0,"",SUMIFS(tblDaily[Admissions],tblDaily[EntryDate],DATE(2026,8,29),tblDaily[WardCode],"MAE")),"")</f>
        <v/>
      </c>
      <c r="C316" s="25">
        <f>IFERROR(IF(SUMIFS(tblDaily[Discharges],tblDaily[EntryDate],DATE(2026,8,29),tblDaily[WardCode],"MAE")=0,"",SUMIFS(tblDaily[Discharges],tblDaily[EntryDate],DATE(2026,8,29),tblDaily[WardCode],"MAE")),"")</f>
        <v/>
      </c>
      <c r="D316" s="25">
        <f>IFERROR(IF(SUMIFS(tblDaily[Deaths],tblDaily[EntryDate],DATE(2026,8,29),tblDaily[WardCode],"MAE")=0,"",SUMIFS(tblDaily[Deaths],tblDaily[EntryDate],DATE(2026,8,29),tblDaily[WardCode],"MAE")),"")</f>
        <v/>
      </c>
      <c r="E316" s="25">
        <f>IFERROR(IF(SUMIFS(tblDaily[DeathsUnder24Hrs],tblDaily[EntryDate],DATE(2026,8,29),tblDaily[WardCode],"MAE")=0,"",SUMIFS(tblDaily[DeathsUnder24Hrs],tblDaily[EntryDate],DATE(2026,8,29),tblDaily[WardCode],"MAE")),"")</f>
        <v/>
      </c>
      <c r="F316" s="25">
        <f>IFERROR(IF(SUMIFS(tblDaily[TransfersIn],tblDaily[EntryDate],DATE(2026,8,29),tblDaily[WardCode],"MAE")=0,"",SUMIFS(tblDaily[TransfersIn],tblDaily[EntryDate],DATE(2026,8,29),tblDaily[WardCode],"MAE")),"")</f>
        <v/>
      </c>
      <c r="G316" s="25">
        <f>IFERROR(IF(SUMIFS(tblDaily[TransfersOut],tblDaily[EntryDate],DATE(2026,8,29),tblDaily[WardCode],"MAE")=0,"",SUMIFS(tblDaily[TransfersOut],tblDaily[EntryDate],DATE(2026,8,29),tblDaily[WardCode],"MAE")),"")</f>
        <v/>
      </c>
      <c r="H316" s="25">
        <f>IFERROR(IF(SUMIFS(tblDaily[Remaining],tblDaily[EntryDate],DATE(2026,8,29),tblDaily[WardCode],"MAE")=0,"",SUMIFS(tblDaily[Remaining],tblDaily[EntryDate],DATE(2026,8,29),tblDaily[WardCode],"MAE")),"")</f>
        <v/>
      </c>
      <c r="I316" s="25">
        <f>IFERROR(IF(SUMIFS(tblDaily[Admissions],tblDaily[EntryDate],DATE(2026,8,29),tblDaily[WardCode],"FAE")=0,"",SUMIFS(tblDaily[Admissions],tblDaily[EntryDate],DATE(2026,8,29),tblDaily[WardCode],"FAE")),"")</f>
        <v/>
      </c>
      <c r="J316" s="25">
        <f>IFERROR(IF(SUMIFS(tblDaily[Discharges],tblDaily[EntryDate],DATE(2026,8,29),tblDaily[WardCode],"FAE")=0,"",SUMIFS(tblDaily[Discharges],tblDaily[EntryDate],DATE(2026,8,29),tblDaily[WardCode],"FAE")),"")</f>
        <v/>
      </c>
      <c r="K316" s="25">
        <f>IFERROR(IF(SUMIFS(tblDaily[Deaths],tblDaily[EntryDate],DATE(2026,8,29),tblDaily[WardCode],"FAE")=0,"",SUMIFS(tblDaily[Deaths],tblDaily[EntryDate],DATE(2026,8,29),tblDaily[WardCode],"FAE")),"")</f>
        <v/>
      </c>
      <c r="L316" s="25">
        <f>IFERROR(IF(SUMIFS(tblDaily[DeathsUnder24Hrs],tblDaily[EntryDate],DATE(2026,8,29),tblDaily[WardCode],"FAE")=0,"",SUMIFS(tblDaily[DeathsUnder24Hrs],tblDaily[EntryDate],DATE(2026,8,29),tblDaily[WardCode],"FAE")),"")</f>
        <v/>
      </c>
      <c r="M316" s="25">
        <f>IFERROR(IF(SUMIFS(tblDaily[TransfersIn],tblDaily[EntryDate],DATE(2026,8,29),tblDaily[WardCode],"FAE")=0,"",SUMIFS(tblDaily[TransfersIn],tblDaily[EntryDate],DATE(2026,8,29),tblDaily[WardCode],"FAE")),"")</f>
        <v/>
      </c>
      <c r="N316" s="25">
        <f>IFERROR(IF(SUMIFS(tblDaily[TransfersOut],tblDaily[EntryDate],DATE(2026,8,29),tblDaily[WardCode],"FAE")=0,"",SUMIFS(tblDaily[TransfersOut],tblDaily[EntryDate],DATE(2026,8,29),tblDaily[WardCode],"FAE")),"")</f>
        <v/>
      </c>
      <c r="O316" s="25">
        <f>IFERROR(IF(SUMIFS(tblDaily[Remaining],tblDaily[EntryDate],DATE(2026,8,29),tblDaily[WardCode],"FAE")=0,"",SUMIFS(tblDaily[Remaining],tblDaily[EntryDate],DATE(2026,8,29),tblDaily[WardCode],"FAE")),"")</f>
        <v/>
      </c>
      <c r="P316" s="26">
        <f>IF(AND(H316="", O316=""), "", N(H316) + N(O316))</f>
        <v/>
      </c>
    </row>
    <row r="317">
      <c r="A317" s="25" t="n">
        <v>30</v>
      </c>
      <c r="B317" s="25">
        <f>IFERROR(IF(SUMIFS(tblDaily[Admissions],tblDaily[EntryDate],DATE(2026,8,30),tblDaily[WardCode],"MAE")=0,"",SUMIFS(tblDaily[Admissions],tblDaily[EntryDate],DATE(2026,8,30),tblDaily[WardCode],"MAE")),"")</f>
        <v/>
      </c>
      <c r="C317" s="25">
        <f>IFERROR(IF(SUMIFS(tblDaily[Discharges],tblDaily[EntryDate],DATE(2026,8,30),tblDaily[WardCode],"MAE")=0,"",SUMIFS(tblDaily[Discharges],tblDaily[EntryDate],DATE(2026,8,30),tblDaily[WardCode],"MAE")),"")</f>
        <v/>
      </c>
      <c r="D317" s="25">
        <f>IFERROR(IF(SUMIFS(tblDaily[Deaths],tblDaily[EntryDate],DATE(2026,8,30),tblDaily[WardCode],"MAE")=0,"",SUMIFS(tblDaily[Deaths],tblDaily[EntryDate],DATE(2026,8,30),tblDaily[WardCode],"MAE")),"")</f>
        <v/>
      </c>
      <c r="E317" s="25">
        <f>IFERROR(IF(SUMIFS(tblDaily[DeathsUnder24Hrs],tblDaily[EntryDate],DATE(2026,8,30),tblDaily[WardCode],"MAE")=0,"",SUMIFS(tblDaily[DeathsUnder24Hrs],tblDaily[EntryDate],DATE(2026,8,30),tblDaily[WardCode],"MAE")),"")</f>
        <v/>
      </c>
      <c r="F317" s="25">
        <f>IFERROR(IF(SUMIFS(tblDaily[TransfersIn],tblDaily[EntryDate],DATE(2026,8,30),tblDaily[WardCode],"MAE")=0,"",SUMIFS(tblDaily[TransfersIn],tblDaily[EntryDate],DATE(2026,8,30),tblDaily[WardCode],"MAE")),"")</f>
        <v/>
      </c>
      <c r="G317" s="25">
        <f>IFERROR(IF(SUMIFS(tblDaily[TransfersOut],tblDaily[EntryDate],DATE(2026,8,30),tblDaily[WardCode],"MAE")=0,"",SUMIFS(tblDaily[TransfersOut],tblDaily[EntryDate],DATE(2026,8,30),tblDaily[WardCode],"MAE")),"")</f>
        <v/>
      </c>
      <c r="H317" s="25">
        <f>IFERROR(IF(SUMIFS(tblDaily[Remaining],tblDaily[EntryDate],DATE(2026,8,30),tblDaily[WardCode],"MAE")=0,"",SUMIFS(tblDaily[Remaining],tblDaily[EntryDate],DATE(2026,8,30),tblDaily[WardCode],"MAE")),"")</f>
        <v/>
      </c>
      <c r="I317" s="25">
        <f>IFERROR(IF(SUMIFS(tblDaily[Admissions],tblDaily[EntryDate],DATE(2026,8,30),tblDaily[WardCode],"FAE")=0,"",SUMIFS(tblDaily[Admissions],tblDaily[EntryDate],DATE(2026,8,30),tblDaily[WardCode],"FAE")),"")</f>
        <v/>
      </c>
      <c r="J317" s="25">
        <f>IFERROR(IF(SUMIFS(tblDaily[Discharges],tblDaily[EntryDate],DATE(2026,8,30),tblDaily[WardCode],"FAE")=0,"",SUMIFS(tblDaily[Discharges],tblDaily[EntryDate],DATE(2026,8,30),tblDaily[WardCode],"FAE")),"")</f>
        <v/>
      </c>
      <c r="K317" s="25">
        <f>IFERROR(IF(SUMIFS(tblDaily[Deaths],tblDaily[EntryDate],DATE(2026,8,30),tblDaily[WardCode],"FAE")=0,"",SUMIFS(tblDaily[Deaths],tblDaily[EntryDate],DATE(2026,8,30),tblDaily[WardCode],"FAE")),"")</f>
        <v/>
      </c>
      <c r="L317" s="25">
        <f>IFERROR(IF(SUMIFS(tblDaily[DeathsUnder24Hrs],tblDaily[EntryDate],DATE(2026,8,30),tblDaily[WardCode],"FAE")=0,"",SUMIFS(tblDaily[DeathsUnder24Hrs],tblDaily[EntryDate],DATE(2026,8,30),tblDaily[WardCode],"FAE")),"")</f>
        <v/>
      </c>
      <c r="M317" s="25">
        <f>IFERROR(IF(SUMIFS(tblDaily[TransfersIn],tblDaily[EntryDate],DATE(2026,8,30),tblDaily[WardCode],"FAE")=0,"",SUMIFS(tblDaily[TransfersIn],tblDaily[EntryDate],DATE(2026,8,30),tblDaily[WardCode],"FAE")),"")</f>
        <v/>
      </c>
      <c r="N317" s="25">
        <f>IFERROR(IF(SUMIFS(tblDaily[TransfersOut],tblDaily[EntryDate],DATE(2026,8,30),tblDaily[WardCode],"FAE")=0,"",SUMIFS(tblDaily[TransfersOut],tblDaily[EntryDate],DATE(2026,8,30),tblDaily[WardCode],"FAE")),"")</f>
        <v/>
      </c>
      <c r="O317" s="25">
        <f>IFERROR(IF(SUMIFS(tblDaily[Remaining],tblDaily[EntryDate],DATE(2026,8,30),tblDaily[WardCode],"FAE")=0,"",SUMIFS(tblDaily[Remaining],tblDaily[EntryDate],DATE(2026,8,30),tblDaily[WardCode],"FAE")),"")</f>
        <v/>
      </c>
      <c r="P317" s="26">
        <f>IF(AND(H317="", O317=""), "", N(H317) + N(O317))</f>
        <v/>
      </c>
    </row>
    <row r="318">
      <c r="A318" s="25" t="n">
        <v>31</v>
      </c>
      <c r="B318" s="25">
        <f>IFERROR(IF(SUMIFS(tblDaily[Admissions],tblDaily[EntryDate],DATE(2026,8,31),tblDaily[WardCode],"MAE")=0,"",SUMIFS(tblDaily[Admissions],tblDaily[EntryDate],DATE(2026,8,31),tblDaily[WardCode],"MAE")),"")</f>
        <v/>
      </c>
      <c r="C318" s="25">
        <f>IFERROR(IF(SUMIFS(tblDaily[Discharges],tblDaily[EntryDate],DATE(2026,8,31),tblDaily[WardCode],"MAE")=0,"",SUMIFS(tblDaily[Discharges],tblDaily[EntryDate],DATE(2026,8,31),tblDaily[WardCode],"MAE")),"")</f>
        <v/>
      </c>
      <c r="D318" s="25">
        <f>IFERROR(IF(SUMIFS(tblDaily[Deaths],tblDaily[EntryDate],DATE(2026,8,31),tblDaily[WardCode],"MAE")=0,"",SUMIFS(tblDaily[Deaths],tblDaily[EntryDate],DATE(2026,8,31),tblDaily[WardCode],"MAE")),"")</f>
        <v/>
      </c>
      <c r="E318" s="25">
        <f>IFERROR(IF(SUMIFS(tblDaily[DeathsUnder24Hrs],tblDaily[EntryDate],DATE(2026,8,31),tblDaily[WardCode],"MAE")=0,"",SUMIFS(tblDaily[DeathsUnder24Hrs],tblDaily[EntryDate],DATE(2026,8,31),tblDaily[WardCode],"MAE")),"")</f>
        <v/>
      </c>
      <c r="F318" s="25">
        <f>IFERROR(IF(SUMIFS(tblDaily[TransfersIn],tblDaily[EntryDate],DATE(2026,8,31),tblDaily[WardCode],"MAE")=0,"",SUMIFS(tblDaily[TransfersIn],tblDaily[EntryDate],DATE(2026,8,31),tblDaily[WardCode],"MAE")),"")</f>
        <v/>
      </c>
      <c r="G318" s="25">
        <f>IFERROR(IF(SUMIFS(tblDaily[TransfersOut],tblDaily[EntryDate],DATE(2026,8,31),tblDaily[WardCode],"MAE")=0,"",SUMIFS(tblDaily[TransfersOut],tblDaily[EntryDate],DATE(2026,8,31),tblDaily[WardCode],"MAE")),"")</f>
        <v/>
      </c>
      <c r="H318" s="25">
        <f>IFERROR(IF(SUMIFS(tblDaily[Remaining],tblDaily[EntryDate],DATE(2026,8,31),tblDaily[WardCode],"MAE")=0,"",SUMIFS(tblDaily[Remaining],tblDaily[EntryDate],DATE(2026,8,31),tblDaily[WardCode],"MAE")),"")</f>
        <v/>
      </c>
      <c r="I318" s="25">
        <f>IFERROR(IF(SUMIFS(tblDaily[Admissions],tblDaily[EntryDate],DATE(2026,8,31),tblDaily[WardCode],"FAE")=0,"",SUMIFS(tblDaily[Admissions],tblDaily[EntryDate],DATE(2026,8,31),tblDaily[WardCode],"FAE")),"")</f>
        <v/>
      </c>
      <c r="J318" s="25">
        <f>IFERROR(IF(SUMIFS(tblDaily[Discharges],tblDaily[EntryDate],DATE(2026,8,31),tblDaily[WardCode],"FAE")=0,"",SUMIFS(tblDaily[Discharges],tblDaily[EntryDate],DATE(2026,8,31),tblDaily[WardCode],"FAE")),"")</f>
        <v/>
      </c>
      <c r="K318" s="25">
        <f>IFERROR(IF(SUMIFS(tblDaily[Deaths],tblDaily[EntryDate],DATE(2026,8,31),tblDaily[WardCode],"FAE")=0,"",SUMIFS(tblDaily[Deaths],tblDaily[EntryDate],DATE(2026,8,31),tblDaily[WardCode],"FAE")),"")</f>
        <v/>
      </c>
      <c r="L318" s="25">
        <f>IFERROR(IF(SUMIFS(tblDaily[DeathsUnder24Hrs],tblDaily[EntryDate],DATE(2026,8,31),tblDaily[WardCode],"FAE")=0,"",SUMIFS(tblDaily[DeathsUnder24Hrs],tblDaily[EntryDate],DATE(2026,8,31),tblDaily[WardCode],"FAE")),"")</f>
        <v/>
      </c>
      <c r="M318" s="25">
        <f>IFERROR(IF(SUMIFS(tblDaily[TransfersIn],tblDaily[EntryDate],DATE(2026,8,31),tblDaily[WardCode],"FAE")=0,"",SUMIFS(tblDaily[TransfersIn],tblDaily[EntryDate],DATE(2026,8,31),tblDaily[WardCode],"FAE")),"")</f>
        <v/>
      </c>
      <c r="N318" s="25">
        <f>IFERROR(IF(SUMIFS(tblDaily[TransfersOut],tblDaily[EntryDate],DATE(2026,8,31),tblDaily[WardCode],"FAE")=0,"",SUMIFS(tblDaily[TransfersOut],tblDaily[EntryDate],DATE(2026,8,31),tblDaily[WardCode],"FAE")),"")</f>
        <v/>
      </c>
      <c r="O318" s="25">
        <f>IFERROR(IF(SUMIFS(tblDaily[Remaining],tblDaily[EntryDate],DATE(2026,8,31),tblDaily[WardCode],"FAE")=0,"",SUMIFS(tblDaily[Remaining],tblDaily[EntryDate],DATE(2026,8,31),tblDaily[WardCode],"FAE")),"")</f>
        <v/>
      </c>
      <c r="P318" s="26">
        <f>IF(AND(H318="", O318=""), "", N(H318) + N(O318))</f>
        <v/>
      </c>
    </row>
    <row r="319">
      <c r="A319" s="17" t="inlineStr">
        <is>
          <t>TOTAL</t>
        </is>
      </c>
      <c r="B319" s="17">
        <f>SUMIFS(tblDaily[Admissions],tblDaily[Month],8,tblDaily[WardCode],"MAE") - SUMIFS(tblDaily[DeathsUnder24Hrs],tblDaily[Month],8,tblDaily[WardCode],"MAE")</f>
        <v/>
      </c>
      <c r="C319" s="17">
        <f>SUMIFS(tblDaily[Discharges],tblDaily[Month],8,tblDaily[WardCode],"MAE")</f>
        <v/>
      </c>
      <c r="D319" s="17">
        <f>SUMIFS(tblDaily[Deaths],tblDaily[Month],8,tblDaily[WardCode],"MAE")</f>
        <v/>
      </c>
      <c r="E319" s="17">
        <f>SUMIFS(tblDaily[DeathsUnder24Hrs],tblDaily[Month],8,tblDaily[WardCode],"MAE")</f>
        <v/>
      </c>
      <c r="F319" s="17">
        <f>SUMIFS(tblDaily[TransfersIn],tblDaily[Month],8,tblDaily[WardCode],"MAE")</f>
        <v/>
      </c>
      <c r="G319" s="17">
        <f>SUMIFS(tblDaily[TransfersOut],tblDaily[Month],8,tblDaily[WardCode],"MAE")</f>
        <v/>
      </c>
      <c r="H319" s="17">
        <f>SUMIFS(tblDaily[Remaining],tblDaily[Month],8,tblDaily[WardCode],"MAE")</f>
        <v/>
      </c>
      <c r="I319" s="17">
        <f>SUMIFS(tblDaily[Admissions],tblDaily[Month],8,tblDaily[WardCode],"FAE") - SUMIFS(tblDaily[DeathsUnder24Hrs],tblDaily[Month],8,tblDaily[WardCode],"FAE")</f>
        <v/>
      </c>
      <c r="J319" s="17">
        <f>SUMIFS(tblDaily[Discharges],tblDaily[Month],8,tblDaily[WardCode],"FAE")</f>
        <v/>
      </c>
      <c r="K319" s="17">
        <f>SUMIFS(tblDaily[Deaths],tblDaily[Month],8,tblDaily[WardCode],"FAE")</f>
        <v/>
      </c>
      <c r="L319" s="17">
        <f>SUMIFS(tblDaily[DeathsUnder24Hrs],tblDaily[Month],8,tblDaily[WardCode],"FAE")</f>
        <v/>
      </c>
      <c r="M319" s="17">
        <f>SUMIFS(tblDaily[TransfersIn],tblDaily[Month],8,tblDaily[WardCode],"FAE")</f>
        <v/>
      </c>
      <c r="N319" s="17">
        <f>SUMIFS(tblDaily[TransfersOut],tblDaily[Month],8,tblDaily[WardCode],"FAE")</f>
        <v/>
      </c>
      <c r="O319" s="17">
        <f>SUMIFS(tblDaily[Remaining],tblDaily[Month],8,tblDaily[WardCode],"FAE")</f>
        <v/>
      </c>
      <c r="P319" s="17">
        <f>H319 + O319</f>
        <v/>
      </c>
    </row>
    <row r="321">
      <c r="A321" s="19" t="inlineStr">
        <is>
          <t>GHANA HEALTH SERVICE</t>
        </is>
      </c>
    </row>
    <row r="322">
      <c r="A322" s="2" t="inlineStr">
        <is>
          <t>DAILY BED UTILIZATION FORM</t>
        </is>
      </c>
    </row>
    <row r="323">
      <c r="A323" s="4" t="inlineStr">
        <is>
          <t>Hospital:</t>
        </is>
      </c>
      <c r="B323" s="5" t="inlineStr">
        <is>
          <t>HOHOE MUNICIPAL HOSPITAL</t>
        </is>
      </c>
      <c r="E323" s="4" t="inlineStr">
        <is>
          <t>Ward:</t>
        </is>
      </c>
      <c r="F323" s="4" t="inlineStr">
        <is>
          <t>EMERGENCY (COMBINED)</t>
        </is>
      </c>
      <c r="M323" s="4" t="inlineStr">
        <is>
          <t>MONTH</t>
        </is>
      </c>
      <c r="N323" s="4" t="inlineStr">
        <is>
          <t>SEPTEMBER</t>
        </is>
      </c>
    </row>
    <row r="324">
      <c r="A324" s="4" t="inlineStr">
        <is>
          <t>Number of patients remaining as at last day of previous month</t>
        </is>
      </c>
      <c r="B324" s="20">
        <f>IFERROR(SUMIFS(tblDaily[Remaining],tblDaily[EntryDate],DATE(2026,8,31),tblDaily[WardCode],"MAE"),0)</f>
        <v/>
      </c>
      <c r="I324" s="20">
        <f>IFERROR(SUMIFS(tblDaily[Remaining],tblDaily[EntryDate],DATE(2026,8,31),tblDaily[WardCode],"FAE"),0)</f>
        <v/>
      </c>
    </row>
    <row r="325">
      <c r="A325" s="4" t="inlineStr">
        <is>
          <t>Bed complement</t>
        </is>
      </c>
      <c r="B325" s="20">
        <f>IFERROR(INDEX(tblWardConfig[BedComplement],MATCH("MAE",tblWardConfig[WardCode],0)),0)</f>
        <v/>
      </c>
      <c r="I325" s="20">
        <f>IFERROR(INDEX(tblWardConfig[BedComplement],MATCH("FAE",tblWardConfig[WardCode],0)),0)</f>
        <v/>
      </c>
      <c r="O325" s="21">
        <f>B325+I325</f>
        <v/>
      </c>
    </row>
    <row r="326">
      <c r="A326" s="11" t="inlineStr">
        <is>
          <t>Day</t>
        </is>
      </c>
      <c r="B326" s="22" t="inlineStr">
        <is>
          <t>MALE EMERGENCY</t>
        </is>
      </c>
      <c r="I326" s="23" t="inlineStr">
        <is>
          <t>FEMALE EMERGENCY</t>
        </is>
      </c>
      <c r="P326" s="24" t="inlineStr">
        <is>
          <t>TOTAL</t>
        </is>
      </c>
    </row>
    <row r="327">
      <c r="A327" s="11" t="inlineStr">
        <is>
          <t>Day</t>
        </is>
      </c>
      <c r="B327" s="11" t="inlineStr">
        <is>
          <t>Adm</t>
        </is>
      </c>
      <c r="C327" s="11" t="inlineStr">
        <is>
          <t>Dis</t>
        </is>
      </c>
      <c r="D327" s="11" t="inlineStr">
        <is>
          <t>Dth</t>
        </is>
      </c>
      <c r="E327" s="11" t="inlineStr">
        <is>
          <t>D&lt;24</t>
        </is>
      </c>
      <c r="F327" s="11" t="inlineStr">
        <is>
          <t>TrIn</t>
        </is>
      </c>
      <c r="G327" s="11" t="inlineStr">
        <is>
          <t>TrOut</t>
        </is>
      </c>
      <c r="H327" s="11" t="inlineStr">
        <is>
          <t>Rem</t>
        </is>
      </c>
      <c r="I327" s="11" t="inlineStr">
        <is>
          <t>Adm</t>
        </is>
      </c>
      <c r="J327" s="11" t="inlineStr">
        <is>
          <t>Dis</t>
        </is>
      </c>
      <c r="K327" s="11" t="inlineStr">
        <is>
          <t>Dth</t>
        </is>
      </c>
      <c r="L327" s="11" t="inlineStr">
        <is>
          <t>D&lt;24</t>
        </is>
      </c>
      <c r="M327" s="11" t="inlineStr">
        <is>
          <t>TrIn</t>
        </is>
      </c>
      <c r="N327" s="11" t="inlineStr">
        <is>
          <t>TrOut</t>
        </is>
      </c>
      <c r="O327" s="11" t="inlineStr">
        <is>
          <t>Rem</t>
        </is>
      </c>
      <c r="P327" s="11" t="inlineStr">
        <is>
          <t>Tot
Rem</t>
        </is>
      </c>
    </row>
    <row r="328">
      <c r="A328" s="25" t="n">
        <v>1</v>
      </c>
      <c r="B328" s="25">
        <f>IFERROR(IF(SUMIFS(tblDaily[Admissions],tblDaily[EntryDate],DATE(2026,9,1),tblDaily[WardCode],"MAE")=0,"",SUMIFS(tblDaily[Admissions],tblDaily[EntryDate],DATE(2026,9,1),tblDaily[WardCode],"MAE")),"")</f>
        <v/>
      </c>
      <c r="C328" s="25">
        <f>IFERROR(IF(SUMIFS(tblDaily[Discharges],tblDaily[EntryDate],DATE(2026,9,1),tblDaily[WardCode],"MAE")=0,"",SUMIFS(tblDaily[Discharges],tblDaily[EntryDate],DATE(2026,9,1),tblDaily[WardCode],"MAE")),"")</f>
        <v/>
      </c>
      <c r="D328" s="25">
        <f>IFERROR(IF(SUMIFS(tblDaily[Deaths],tblDaily[EntryDate],DATE(2026,9,1),tblDaily[WardCode],"MAE")=0,"",SUMIFS(tblDaily[Deaths],tblDaily[EntryDate],DATE(2026,9,1),tblDaily[WardCode],"MAE")),"")</f>
        <v/>
      </c>
      <c r="E328" s="25">
        <f>IFERROR(IF(SUMIFS(tblDaily[DeathsUnder24Hrs],tblDaily[EntryDate],DATE(2026,9,1),tblDaily[WardCode],"MAE")=0,"",SUMIFS(tblDaily[DeathsUnder24Hrs],tblDaily[EntryDate],DATE(2026,9,1),tblDaily[WardCode],"MAE")),"")</f>
        <v/>
      </c>
      <c r="F328" s="25">
        <f>IFERROR(IF(SUMIFS(tblDaily[TransfersIn],tblDaily[EntryDate],DATE(2026,9,1),tblDaily[WardCode],"MAE")=0,"",SUMIFS(tblDaily[TransfersIn],tblDaily[EntryDate],DATE(2026,9,1),tblDaily[WardCode],"MAE")),"")</f>
        <v/>
      </c>
      <c r="G328" s="25">
        <f>IFERROR(IF(SUMIFS(tblDaily[TransfersOut],tblDaily[EntryDate],DATE(2026,9,1),tblDaily[WardCode],"MAE")=0,"",SUMIFS(tblDaily[TransfersOut],tblDaily[EntryDate],DATE(2026,9,1),tblDaily[WardCode],"MAE")),"")</f>
        <v/>
      </c>
      <c r="H328" s="25">
        <f>IFERROR(IF(SUMIFS(tblDaily[Remaining],tblDaily[EntryDate],DATE(2026,9,1),tblDaily[WardCode],"MAE")=0,"",SUMIFS(tblDaily[Remaining],tblDaily[EntryDate],DATE(2026,9,1),tblDaily[WardCode],"MAE")),"")</f>
        <v/>
      </c>
      <c r="I328" s="25">
        <f>IFERROR(IF(SUMIFS(tblDaily[Admissions],tblDaily[EntryDate],DATE(2026,9,1),tblDaily[WardCode],"FAE")=0,"",SUMIFS(tblDaily[Admissions],tblDaily[EntryDate],DATE(2026,9,1),tblDaily[WardCode],"FAE")),"")</f>
        <v/>
      </c>
      <c r="J328" s="25">
        <f>IFERROR(IF(SUMIFS(tblDaily[Discharges],tblDaily[EntryDate],DATE(2026,9,1),tblDaily[WardCode],"FAE")=0,"",SUMIFS(tblDaily[Discharges],tblDaily[EntryDate],DATE(2026,9,1),tblDaily[WardCode],"FAE")),"")</f>
        <v/>
      </c>
      <c r="K328" s="25">
        <f>IFERROR(IF(SUMIFS(tblDaily[Deaths],tblDaily[EntryDate],DATE(2026,9,1),tblDaily[WardCode],"FAE")=0,"",SUMIFS(tblDaily[Deaths],tblDaily[EntryDate],DATE(2026,9,1),tblDaily[WardCode],"FAE")),"")</f>
        <v/>
      </c>
      <c r="L328" s="25">
        <f>IFERROR(IF(SUMIFS(tblDaily[DeathsUnder24Hrs],tblDaily[EntryDate],DATE(2026,9,1),tblDaily[WardCode],"FAE")=0,"",SUMIFS(tblDaily[DeathsUnder24Hrs],tblDaily[EntryDate],DATE(2026,9,1),tblDaily[WardCode],"FAE")),"")</f>
        <v/>
      </c>
      <c r="M328" s="25">
        <f>IFERROR(IF(SUMIFS(tblDaily[TransfersIn],tblDaily[EntryDate],DATE(2026,9,1),tblDaily[WardCode],"FAE")=0,"",SUMIFS(tblDaily[TransfersIn],tblDaily[EntryDate],DATE(2026,9,1),tblDaily[WardCode],"FAE")),"")</f>
        <v/>
      </c>
      <c r="N328" s="25">
        <f>IFERROR(IF(SUMIFS(tblDaily[TransfersOut],tblDaily[EntryDate],DATE(2026,9,1),tblDaily[WardCode],"FAE")=0,"",SUMIFS(tblDaily[TransfersOut],tblDaily[EntryDate],DATE(2026,9,1),tblDaily[WardCode],"FAE")),"")</f>
        <v/>
      </c>
      <c r="O328" s="25">
        <f>IFERROR(IF(SUMIFS(tblDaily[Remaining],tblDaily[EntryDate],DATE(2026,9,1),tblDaily[WardCode],"FAE")=0,"",SUMIFS(tblDaily[Remaining],tblDaily[EntryDate],DATE(2026,9,1),tblDaily[WardCode],"FAE")),"")</f>
        <v/>
      </c>
      <c r="P328" s="26">
        <f>IF(AND(H328="", O328=""), "", N(H328) + N(O328))</f>
        <v/>
      </c>
    </row>
    <row r="329">
      <c r="A329" s="25" t="n">
        <v>2</v>
      </c>
      <c r="B329" s="25">
        <f>IFERROR(IF(SUMIFS(tblDaily[Admissions],tblDaily[EntryDate],DATE(2026,9,2),tblDaily[WardCode],"MAE")=0,"",SUMIFS(tblDaily[Admissions],tblDaily[EntryDate],DATE(2026,9,2),tblDaily[WardCode],"MAE")),"")</f>
        <v/>
      </c>
      <c r="C329" s="25">
        <f>IFERROR(IF(SUMIFS(tblDaily[Discharges],tblDaily[EntryDate],DATE(2026,9,2),tblDaily[WardCode],"MAE")=0,"",SUMIFS(tblDaily[Discharges],tblDaily[EntryDate],DATE(2026,9,2),tblDaily[WardCode],"MAE")),"")</f>
        <v/>
      </c>
      <c r="D329" s="25">
        <f>IFERROR(IF(SUMIFS(tblDaily[Deaths],tblDaily[EntryDate],DATE(2026,9,2),tblDaily[WardCode],"MAE")=0,"",SUMIFS(tblDaily[Deaths],tblDaily[EntryDate],DATE(2026,9,2),tblDaily[WardCode],"MAE")),"")</f>
        <v/>
      </c>
      <c r="E329" s="25">
        <f>IFERROR(IF(SUMIFS(tblDaily[DeathsUnder24Hrs],tblDaily[EntryDate],DATE(2026,9,2),tblDaily[WardCode],"MAE")=0,"",SUMIFS(tblDaily[DeathsUnder24Hrs],tblDaily[EntryDate],DATE(2026,9,2),tblDaily[WardCode],"MAE")),"")</f>
        <v/>
      </c>
      <c r="F329" s="25">
        <f>IFERROR(IF(SUMIFS(tblDaily[TransfersIn],tblDaily[EntryDate],DATE(2026,9,2),tblDaily[WardCode],"MAE")=0,"",SUMIFS(tblDaily[TransfersIn],tblDaily[EntryDate],DATE(2026,9,2),tblDaily[WardCode],"MAE")),"")</f>
        <v/>
      </c>
      <c r="G329" s="25">
        <f>IFERROR(IF(SUMIFS(tblDaily[TransfersOut],tblDaily[EntryDate],DATE(2026,9,2),tblDaily[WardCode],"MAE")=0,"",SUMIFS(tblDaily[TransfersOut],tblDaily[EntryDate],DATE(2026,9,2),tblDaily[WardCode],"MAE")),"")</f>
        <v/>
      </c>
      <c r="H329" s="25">
        <f>IFERROR(IF(SUMIFS(tblDaily[Remaining],tblDaily[EntryDate],DATE(2026,9,2),tblDaily[WardCode],"MAE")=0,"",SUMIFS(tblDaily[Remaining],tblDaily[EntryDate],DATE(2026,9,2),tblDaily[WardCode],"MAE")),"")</f>
        <v/>
      </c>
      <c r="I329" s="25">
        <f>IFERROR(IF(SUMIFS(tblDaily[Admissions],tblDaily[EntryDate],DATE(2026,9,2),tblDaily[WardCode],"FAE")=0,"",SUMIFS(tblDaily[Admissions],tblDaily[EntryDate],DATE(2026,9,2),tblDaily[WardCode],"FAE")),"")</f>
        <v/>
      </c>
      <c r="J329" s="25">
        <f>IFERROR(IF(SUMIFS(tblDaily[Discharges],tblDaily[EntryDate],DATE(2026,9,2),tblDaily[WardCode],"FAE")=0,"",SUMIFS(tblDaily[Discharges],tblDaily[EntryDate],DATE(2026,9,2),tblDaily[WardCode],"FAE")),"")</f>
        <v/>
      </c>
      <c r="K329" s="25">
        <f>IFERROR(IF(SUMIFS(tblDaily[Deaths],tblDaily[EntryDate],DATE(2026,9,2),tblDaily[WardCode],"FAE")=0,"",SUMIFS(tblDaily[Deaths],tblDaily[EntryDate],DATE(2026,9,2),tblDaily[WardCode],"FAE")),"")</f>
        <v/>
      </c>
      <c r="L329" s="25">
        <f>IFERROR(IF(SUMIFS(tblDaily[DeathsUnder24Hrs],tblDaily[EntryDate],DATE(2026,9,2),tblDaily[WardCode],"FAE")=0,"",SUMIFS(tblDaily[DeathsUnder24Hrs],tblDaily[EntryDate],DATE(2026,9,2),tblDaily[WardCode],"FAE")),"")</f>
        <v/>
      </c>
      <c r="M329" s="25">
        <f>IFERROR(IF(SUMIFS(tblDaily[TransfersIn],tblDaily[EntryDate],DATE(2026,9,2),tblDaily[WardCode],"FAE")=0,"",SUMIFS(tblDaily[TransfersIn],tblDaily[EntryDate],DATE(2026,9,2),tblDaily[WardCode],"FAE")),"")</f>
        <v/>
      </c>
      <c r="N329" s="25">
        <f>IFERROR(IF(SUMIFS(tblDaily[TransfersOut],tblDaily[EntryDate],DATE(2026,9,2),tblDaily[WardCode],"FAE")=0,"",SUMIFS(tblDaily[TransfersOut],tblDaily[EntryDate],DATE(2026,9,2),tblDaily[WardCode],"FAE")),"")</f>
        <v/>
      </c>
      <c r="O329" s="25">
        <f>IFERROR(IF(SUMIFS(tblDaily[Remaining],tblDaily[EntryDate],DATE(2026,9,2),tblDaily[WardCode],"FAE")=0,"",SUMIFS(tblDaily[Remaining],tblDaily[EntryDate],DATE(2026,9,2),tblDaily[WardCode],"FAE")),"")</f>
        <v/>
      </c>
      <c r="P329" s="26">
        <f>IF(AND(H329="", O329=""), "", N(H329) + N(O329))</f>
        <v/>
      </c>
    </row>
    <row r="330">
      <c r="A330" s="25" t="n">
        <v>3</v>
      </c>
      <c r="B330" s="25">
        <f>IFERROR(IF(SUMIFS(tblDaily[Admissions],tblDaily[EntryDate],DATE(2026,9,3),tblDaily[WardCode],"MAE")=0,"",SUMIFS(tblDaily[Admissions],tblDaily[EntryDate],DATE(2026,9,3),tblDaily[WardCode],"MAE")),"")</f>
        <v/>
      </c>
      <c r="C330" s="25">
        <f>IFERROR(IF(SUMIFS(tblDaily[Discharges],tblDaily[EntryDate],DATE(2026,9,3),tblDaily[WardCode],"MAE")=0,"",SUMIFS(tblDaily[Discharges],tblDaily[EntryDate],DATE(2026,9,3),tblDaily[WardCode],"MAE")),"")</f>
        <v/>
      </c>
      <c r="D330" s="25">
        <f>IFERROR(IF(SUMIFS(tblDaily[Deaths],tblDaily[EntryDate],DATE(2026,9,3),tblDaily[WardCode],"MAE")=0,"",SUMIFS(tblDaily[Deaths],tblDaily[EntryDate],DATE(2026,9,3),tblDaily[WardCode],"MAE")),"")</f>
        <v/>
      </c>
      <c r="E330" s="25">
        <f>IFERROR(IF(SUMIFS(tblDaily[DeathsUnder24Hrs],tblDaily[EntryDate],DATE(2026,9,3),tblDaily[WardCode],"MAE")=0,"",SUMIFS(tblDaily[DeathsUnder24Hrs],tblDaily[EntryDate],DATE(2026,9,3),tblDaily[WardCode],"MAE")),"")</f>
        <v/>
      </c>
      <c r="F330" s="25">
        <f>IFERROR(IF(SUMIFS(tblDaily[TransfersIn],tblDaily[EntryDate],DATE(2026,9,3),tblDaily[WardCode],"MAE")=0,"",SUMIFS(tblDaily[TransfersIn],tblDaily[EntryDate],DATE(2026,9,3),tblDaily[WardCode],"MAE")),"")</f>
        <v/>
      </c>
      <c r="G330" s="25">
        <f>IFERROR(IF(SUMIFS(tblDaily[TransfersOut],tblDaily[EntryDate],DATE(2026,9,3),tblDaily[WardCode],"MAE")=0,"",SUMIFS(tblDaily[TransfersOut],tblDaily[EntryDate],DATE(2026,9,3),tblDaily[WardCode],"MAE")),"")</f>
        <v/>
      </c>
      <c r="H330" s="25">
        <f>IFERROR(IF(SUMIFS(tblDaily[Remaining],tblDaily[EntryDate],DATE(2026,9,3),tblDaily[WardCode],"MAE")=0,"",SUMIFS(tblDaily[Remaining],tblDaily[EntryDate],DATE(2026,9,3),tblDaily[WardCode],"MAE")),"")</f>
        <v/>
      </c>
      <c r="I330" s="25">
        <f>IFERROR(IF(SUMIFS(tblDaily[Admissions],tblDaily[EntryDate],DATE(2026,9,3),tblDaily[WardCode],"FAE")=0,"",SUMIFS(tblDaily[Admissions],tblDaily[EntryDate],DATE(2026,9,3),tblDaily[WardCode],"FAE")),"")</f>
        <v/>
      </c>
      <c r="J330" s="25">
        <f>IFERROR(IF(SUMIFS(tblDaily[Discharges],tblDaily[EntryDate],DATE(2026,9,3),tblDaily[WardCode],"FAE")=0,"",SUMIFS(tblDaily[Discharges],tblDaily[EntryDate],DATE(2026,9,3),tblDaily[WardCode],"FAE")),"")</f>
        <v/>
      </c>
      <c r="K330" s="25">
        <f>IFERROR(IF(SUMIFS(tblDaily[Deaths],tblDaily[EntryDate],DATE(2026,9,3),tblDaily[WardCode],"FAE")=0,"",SUMIFS(tblDaily[Deaths],tblDaily[EntryDate],DATE(2026,9,3),tblDaily[WardCode],"FAE")),"")</f>
        <v/>
      </c>
      <c r="L330" s="25">
        <f>IFERROR(IF(SUMIFS(tblDaily[DeathsUnder24Hrs],tblDaily[EntryDate],DATE(2026,9,3),tblDaily[WardCode],"FAE")=0,"",SUMIFS(tblDaily[DeathsUnder24Hrs],tblDaily[EntryDate],DATE(2026,9,3),tblDaily[WardCode],"FAE")),"")</f>
        <v/>
      </c>
      <c r="M330" s="25">
        <f>IFERROR(IF(SUMIFS(tblDaily[TransfersIn],tblDaily[EntryDate],DATE(2026,9,3),tblDaily[WardCode],"FAE")=0,"",SUMIFS(tblDaily[TransfersIn],tblDaily[EntryDate],DATE(2026,9,3),tblDaily[WardCode],"FAE")),"")</f>
        <v/>
      </c>
      <c r="N330" s="25">
        <f>IFERROR(IF(SUMIFS(tblDaily[TransfersOut],tblDaily[EntryDate],DATE(2026,9,3),tblDaily[WardCode],"FAE")=0,"",SUMIFS(tblDaily[TransfersOut],tblDaily[EntryDate],DATE(2026,9,3),tblDaily[WardCode],"FAE")),"")</f>
        <v/>
      </c>
      <c r="O330" s="25">
        <f>IFERROR(IF(SUMIFS(tblDaily[Remaining],tblDaily[EntryDate],DATE(2026,9,3),tblDaily[WardCode],"FAE")=0,"",SUMIFS(tblDaily[Remaining],tblDaily[EntryDate],DATE(2026,9,3),tblDaily[WardCode],"FAE")),"")</f>
        <v/>
      </c>
      <c r="P330" s="26">
        <f>IF(AND(H330="", O330=""), "", N(H330) + N(O330))</f>
        <v/>
      </c>
    </row>
    <row r="331">
      <c r="A331" s="25" t="n">
        <v>4</v>
      </c>
      <c r="B331" s="25">
        <f>IFERROR(IF(SUMIFS(tblDaily[Admissions],tblDaily[EntryDate],DATE(2026,9,4),tblDaily[WardCode],"MAE")=0,"",SUMIFS(tblDaily[Admissions],tblDaily[EntryDate],DATE(2026,9,4),tblDaily[WardCode],"MAE")),"")</f>
        <v/>
      </c>
      <c r="C331" s="25">
        <f>IFERROR(IF(SUMIFS(tblDaily[Discharges],tblDaily[EntryDate],DATE(2026,9,4),tblDaily[WardCode],"MAE")=0,"",SUMIFS(tblDaily[Discharges],tblDaily[EntryDate],DATE(2026,9,4),tblDaily[WardCode],"MAE")),"")</f>
        <v/>
      </c>
      <c r="D331" s="25">
        <f>IFERROR(IF(SUMIFS(tblDaily[Deaths],tblDaily[EntryDate],DATE(2026,9,4),tblDaily[WardCode],"MAE")=0,"",SUMIFS(tblDaily[Deaths],tblDaily[EntryDate],DATE(2026,9,4),tblDaily[WardCode],"MAE")),"")</f>
        <v/>
      </c>
      <c r="E331" s="25">
        <f>IFERROR(IF(SUMIFS(tblDaily[DeathsUnder24Hrs],tblDaily[EntryDate],DATE(2026,9,4),tblDaily[WardCode],"MAE")=0,"",SUMIFS(tblDaily[DeathsUnder24Hrs],tblDaily[EntryDate],DATE(2026,9,4),tblDaily[WardCode],"MAE")),"")</f>
        <v/>
      </c>
      <c r="F331" s="25">
        <f>IFERROR(IF(SUMIFS(tblDaily[TransfersIn],tblDaily[EntryDate],DATE(2026,9,4),tblDaily[WardCode],"MAE")=0,"",SUMIFS(tblDaily[TransfersIn],tblDaily[EntryDate],DATE(2026,9,4),tblDaily[WardCode],"MAE")),"")</f>
        <v/>
      </c>
      <c r="G331" s="25">
        <f>IFERROR(IF(SUMIFS(tblDaily[TransfersOut],tblDaily[EntryDate],DATE(2026,9,4),tblDaily[WardCode],"MAE")=0,"",SUMIFS(tblDaily[TransfersOut],tblDaily[EntryDate],DATE(2026,9,4),tblDaily[WardCode],"MAE")),"")</f>
        <v/>
      </c>
      <c r="H331" s="25">
        <f>IFERROR(IF(SUMIFS(tblDaily[Remaining],tblDaily[EntryDate],DATE(2026,9,4),tblDaily[WardCode],"MAE")=0,"",SUMIFS(tblDaily[Remaining],tblDaily[EntryDate],DATE(2026,9,4),tblDaily[WardCode],"MAE")),"")</f>
        <v/>
      </c>
      <c r="I331" s="25">
        <f>IFERROR(IF(SUMIFS(tblDaily[Admissions],tblDaily[EntryDate],DATE(2026,9,4),tblDaily[WardCode],"FAE")=0,"",SUMIFS(tblDaily[Admissions],tblDaily[EntryDate],DATE(2026,9,4),tblDaily[WardCode],"FAE")),"")</f>
        <v/>
      </c>
      <c r="J331" s="25">
        <f>IFERROR(IF(SUMIFS(tblDaily[Discharges],tblDaily[EntryDate],DATE(2026,9,4),tblDaily[WardCode],"FAE")=0,"",SUMIFS(tblDaily[Discharges],tblDaily[EntryDate],DATE(2026,9,4),tblDaily[WardCode],"FAE")),"")</f>
        <v/>
      </c>
      <c r="K331" s="25">
        <f>IFERROR(IF(SUMIFS(tblDaily[Deaths],tblDaily[EntryDate],DATE(2026,9,4),tblDaily[WardCode],"FAE")=0,"",SUMIFS(tblDaily[Deaths],tblDaily[EntryDate],DATE(2026,9,4),tblDaily[WardCode],"FAE")),"")</f>
        <v/>
      </c>
      <c r="L331" s="25">
        <f>IFERROR(IF(SUMIFS(tblDaily[DeathsUnder24Hrs],tblDaily[EntryDate],DATE(2026,9,4),tblDaily[WardCode],"FAE")=0,"",SUMIFS(tblDaily[DeathsUnder24Hrs],tblDaily[EntryDate],DATE(2026,9,4),tblDaily[WardCode],"FAE")),"")</f>
        <v/>
      </c>
      <c r="M331" s="25">
        <f>IFERROR(IF(SUMIFS(tblDaily[TransfersIn],tblDaily[EntryDate],DATE(2026,9,4),tblDaily[WardCode],"FAE")=0,"",SUMIFS(tblDaily[TransfersIn],tblDaily[EntryDate],DATE(2026,9,4),tblDaily[WardCode],"FAE")),"")</f>
        <v/>
      </c>
      <c r="N331" s="25">
        <f>IFERROR(IF(SUMIFS(tblDaily[TransfersOut],tblDaily[EntryDate],DATE(2026,9,4),tblDaily[WardCode],"FAE")=0,"",SUMIFS(tblDaily[TransfersOut],tblDaily[EntryDate],DATE(2026,9,4),tblDaily[WardCode],"FAE")),"")</f>
        <v/>
      </c>
      <c r="O331" s="25">
        <f>IFERROR(IF(SUMIFS(tblDaily[Remaining],tblDaily[EntryDate],DATE(2026,9,4),tblDaily[WardCode],"FAE")=0,"",SUMIFS(tblDaily[Remaining],tblDaily[EntryDate],DATE(2026,9,4),tblDaily[WardCode],"FAE")),"")</f>
        <v/>
      </c>
      <c r="P331" s="26">
        <f>IF(AND(H331="", O331=""), "", N(H331) + N(O331))</f>
        <v/>
      </c>
    </row>
    <row r="332">
      <c r="A332" s="25" t="n">
        <v>5</v>
      </c>
      <c r="B332" s="25">
        <f>IFERROR(IF(SUMIFS(tblDaily[Admissions],tblDaily[EntryDate],DATE(2026,9,5),tblDaily[WardCode],"MAE")=0,"",SUMIFS(tblDaily[Admissions],tblDaily[EntryDate],DATE(2026,9,5),tblDaily[WardCode],"MAE")),"")</f>
        <v/>
      </c>
      <c r="C332" s="25">
        <f>IFERROR(IF(SUMIFS(tblDaily[Discharges],tblDaily[EntryDate],DATE(2026,9,5),tblDaily[WardCode],"MAE")=0,"",SUMIFS(tblDaily[Discharges],tblDaily[EntryDate],DATE(2026,9,5),tblDaily[WardCode],"MAE")),"")</f>
        <v/>
      </c>
      <c r="D332" s="25">
        <f>IFERROR(IF(SUMIFS(tblDaily[Deaths],tblDaily[EntryDate],DATE(2026,9,5),tblDaily[WardCode],"MAE")=0,"",SUMIFS(tblDaily[Deaths],tblDaily[EntryDate],DATE(2026,9,5),tblDaily[WardCode],"MAE")),"")</f>
        <v/>
      </c>
      <c r="E332" s="25">
        <f>IFERROR(IF(SUMIFS(tblDaily[DeathsUnder24Hrs],tblDaily[EntryDate],DATE(2026,9,5),tblDaily[WardCode],"MAE")=0,"",SUMIFS(tblDaily[DeathsUnder24Hrs],tblDaily[EntryDate],DATE(2026,9,5),tblDaily[WardCode],"MAE")),"")</f>
        <v/>
      </c>
      <c r="F332" s="25">
        <f>IFERROR(IF(SUMIFS(tblDaily[TransfersIn],tblDaily[EntryDate],DATE(2026,9,5),tblDaily[WardCode],"MAE")=0,"",SUMIFS(tblDaily[TransfersIn],tblDaily[EntryDate],DATE(2026,9,5),tblDaily[WardCode],"MAE")),"")</f>
        <v/>
      </c>
      <c r="G332" s="25">
        <f>IFERROR(IF(SUMIFS(tblDaily[TransfersOut],tblDaily[EntryDate],DATE(2026,9,5),tblDaily[WardCode],"MAE")=0,"",SUMIFS(tblDaily[TransfersOut],tblDaily[EntryDate],DATE(2026,9,5),tblDaily[WardCode],"MAE")),"")</f>
        <v/>
      </c>
      <c r="H332" s="25">
        <f>IFERROR(IF(SUMIFS(tblDaily[Remaining],tblDaily[EntryDate],DATE(2026,9,5),tblDaily[WardCode],"MAE")=0,"",SUMIFS(tblDaily[Remaining],tblDaily[EntryDate],DATE(2026,9,5),tblDaily[WardCode],"MAE")),"")</f>
        <v/>
      </c>
      <c r="I332" s="25">
        <f>IFERROR(IF(SUMIFS(tblDaily[Admissions],tblDaily[EntryDate],DATE(2026,9,5),tblDaily[WardCode],"FAE")=0,"",SUMIFS(tblDaily[Admissions],tblDaily[EntryDate],DATE(2026,9,5),tblDaily[WardCode],"FAE")),"")</f>
        <v/>
      </c>
      <c r="J332" s="25">
        <f>IFERROR(IF(SUMIFS(tblDaily[Discharges],tblDaily[EntryDate],DATE(2026,9,5),tblDaily[WardCode],"FAE")=0,"",SUMIFS(tblDaily[Discharges],tblDaily[EntryDate],DATE(2026,9,5),tblDaily[WardCode],"FAE")),"")</f>
        <v/>
      </c>
      <c r="K332" s="25">
        <f>IFERROR(IF(SUMIFS(tblDaily[Deaths],tblDaily[EntryDate],DATE(2026,9,5),tblDaily[WardCode],"FAE")=0,"",SUMIFS(tblDaily[Deaths],tblDaily[EntryDate],DATE(2026,9,5),tblDaily[WardCode],"FAE")),"")</f>
        <v/>
      </c>
      <c r="L332" s="25">
        <f>IFERROR(IF(SUMIFS(tblDaily[DeathsUnder24Hrs],tblDaily[EntryDate],DATE(2026,9,5),tblDaily[WardCode],"FAE")=0,"",SUMIFS(tblDaily[DeathsUnder24Hrs],tblDaily[EntryDate],DATE(2026,9,5),tblDaily[WardCode],"FAE")),"")</f>
        <v/>
      </c>
      <c r="M332" s="25">
        <f>IFERROR(IF(SUMIFS(tblDaily[TransfersIn],tblDaily[EntryDate],DATE(2026,9,5),tblDaily[WardCode],"FAE")=0,"",SUMIFS(tblDaily[TransfersIn],tblDaily[EntryDate],DATE(2026,9,5),tblDaily[WardCode],"FAE")),"")</f>
        <v/>
      </c>
      <c r="N332" s="25">
        <f>IFERROR(IF(SUMIFS(tblDaily[TransfersOut],tblDaily[EntryDate],DATE(2026,9,5),tblDaily[WardCode],"FAE")=0,"",SUMIFS(tblDaily[TransfersOut],tblDaily[EntryDate],DATE(2026,9,5),tblDaily[WardCode],"FAE")),"")</f>
        <v/>
      </c>
      <c r="O332" s="25">
        <f>IFERROR(IF(SUMIFS(tblDaily[Remaining],tblDaily[EntryDate],DATE(2026,9,5),tblDaily[WardCode],"FAE")=0,"",SUMIFS(tblDaily[Remaining],tblDaily[EntryDate],DATE(2026,9,5),tblDaily[WardCode],"FAE")),"")</f>
        <v/>
      </c>
      <c r="P332" s="26">
        <f>IF(AND(H332="", O332=""), "", N(H332) + N(O332))</f>
        <v/>
      </c>
    </row>
    <row r="333">
      <c r="A333" s="25" t="n">
        <v>6</v>
      </c>
      <c r="B333" s="25">
        <f>IFERROR(IF(SUMIFS(tblDaily[Admissions],tblDaily[EntryDate],DATE(2026,9,6),tblDaily[WardCode],"MAE")=0,"",SUMIFS(tblDaily[Admissions],tblDaily[EntryDate],DATE(2026,9,6),tblDaily[WardCode],"MAE")),"")</f>
        <v/>
      </c>
      <c r="C333" s="25">
        <f>IFERROR(IF(SUMIFS(tblDaily[Discharges],tblDaily[EntryDate],DATE(2026,9,6),tblDaily[WardCode],"MAE")=0,"",SUMIFS(tblDaily[Discharges],tblDaily[EntryDate],DATE(2026,9,6),tblDaily[WardCode],"MAE")),"")</f>
        <v/>
      </c>
      <c r="D333" s="25">
        <f>IFERROR(IF(SUMIFS(tblDaily[Deaths],tblDaily[EntryDate],DATE(2026,9,6),tblDaily[WardCode],"MAE")=0,"",SUMIFS(tblDaily[Deaths],tblDaily[EntryDate],DATE(2026,9,6),tblDaily[WardCode],"MAE")),"")</f>
        <v/>
      </c>
      <c r="E333" s="25">
        <f>IFERROR(IF(SUMIFS(tblDaily[DeathsUnder24Hrs],tblDaily[EntryDate],DATE(2026,9,6),tblDaily[WardCode],"MAE")=0,"",SUMIFS(tblDaily[DeathsUnder24Hrs],tblDaily[EntryDate],DATE(2026,9,6),tblDaily[WardCode],"MAE")),"")</f>
        <v/>
      </c>
      <c r="F333" s="25">
        <f>IFERROR(IF(SUMIFS(tblDaily[TransfersIn],tblDaily[EntryDate],DATE(2026,9,6),tblDaily[WardCode],"MAE")=0,"",SUMIFS(tblDaily[TransfersIn],tblDaily[EntryDate],DATE(2026,9,6),tblDaily[WardCode],"MAE")),"")</f>
        <v/>
      </c>
      <c r="G333" s="25">
        <f>IFERROR(IF(SUMIFS(tblDaily[TransfersOut],tblDaily[EntryDate],DATE(2026,9,6),tblDaily[WardCode],"MAE")=0,"",SUMIFS(tblDaily[TransfersOut],tblDaily[EntryDate],DATE(2026,9,6),tblDaily[WardCode],"MAE")),"")</f>
        <v/>
      </c>
      <c r="H333" s="25">
        <f>IFERROR(IF(SUMIFS(tblDaily[Remaining],tblDaily[EntryDate],DATE(2026,9,6),tblDaily[WardCode],"MAE")=0,"",SUMIFS(tblDaily[Remaining],tblDaily[EntryDate],DATE(2026,9,6),tblDaily[WardCode],"MAE")),"")</f>
        <v/>
      </c>
      <c r="I333" s="25">
        <f>IFERROR(IF(SUMIFS(tblDaily[Admissions],tblDaily[EntryDate],DATE(2026,9,6),tblDaily[WardCode],"FAE")=0,"",SUMIFS(tblDaily[Admissions],tblDaily[EntryDate],DATE(2026,9,6),tblDaily[WardCode],"FAE")),"")</f>
        <v/>
      </c>
      <c r="J333" s="25">
        <f>IFERROR(IF(SUMIFS(tblDaily[Discharges],tblDaily[EntryDate],DATE(2026,9,6),tblDaily[WardCode],"FAE")=0,"",SUMIFS(tblDaily[Discharges],tblDaily[EntryDate],DATE(2026,9,6),tblDaily[WardCode],"FAE")),"")</f>
        <v/>
      </c>
      <c r="K333" s="25">
        <f>IFERROR(IF(SUMIFS(tblDaily[Deaths],tblDaily[EntryDate],DATE(2026,9,6),tblDaily[WardCode],"FAE")=0,"",SUMIFS(tblDaily[Deaths],tblDaily[EntryDate],DATE(2026,9,6),tblDaily[WardCode],"FAE")),"")</f>
        <v/>
      </c>
      <c r="L333" s="25">
        <f>IFERROR(IF(SUMIFS(tblDaily[DeathsUnder24Hrs],tblDaily[EntryDate],DATE(2026,9,6),tblDaily[WardCode],"FAE")=0,"",SUMIFS(tblDaily[DeathsUnder24Hrs],tblDaily[EntryDate],DATE(2026,9,6),tblDaily[WardCode],"FAE")),"")</f>
        <v/>
      </c>
      <c r="M333" s="25">
        <f>IFERROR(IF(SUMIFS(tblDaily[TransfersIn],tblDaily[EntryDate],DATE(2026,9,6),tblDaily[WardCode],"FAE")=0,"",SUMIFS(tblDaily[TransfersIn],tblDaily[EntryDate],DATE(2026,9,6),tblDaily[WardCode],"FAE")),"")</f>
        <v/>
      </c>
      <c r="N333" s="25">
        <f>IFERROR(IF(SUMIFS(tblDaily[TransfersOut],tblDaily[EntryDate],DATE(2026,9,6),tblDaily[WardCode],"FAE")=0,"",SUMIFS(tblDaily[TransfersOut],tblDaily[EntryDate],DATE(2026,9,6),tblDaily[WardCode],"FAE")),"")</f>
        <v/>
      </c>
      <c r="O333" s="25">
        <f>IFERROR(IF(SUMIFS(tblDaily[Remaining],tblDaily[EntryDate],DATE(2026,9,6),tblDaily[WardCode],"FAE")=0,"",SUMIFS(tblDaily[Remaining],tblDaily[EntryDate],DATE(2026,9,6),tblDaily[WardCode],"FAE")),"")</f>
        <v/>
      </c>
      <c r="P333" s="26">
        <f>IF(AND(H333="", O333=""), "", N(H333) + N(O333))</f>
        <v/>
      </c>
    </row>
    <row r="334">
      <c r="A334" s="25" t="n">
        <v>7</v>
      </c>
      <c r="B334" s="25">
        <f>IFERROR(IF(SUMIFS(tblDaily[Admissions],tblDaily[EntryDate],DATE(2026,9,7),tblDaily[WardCode],"MAE")=0,"",SUMIFS(tblDaily[Admissions],tblDaily[EntryDate],DATE(2026,9,7),tblDaily[WardCode],"MAE")),"")</f>
        <v/>
      </c>
      <c r="C334" s="25">
        <f>IFERROR(IF(SUMIFS(tblDaily[Discharges],tblDaily[EntryDate],DATE(2026,9,7),tblDaily[WardCode],"MAE")=0,"",SUMIFS(tblDaily[Discharges],tblDaily[EntryDate],DATE(2026,9,7),tblDaily[WardCode],"MAE")),"")</f>
        <v/>
      </c>
      <c r="D334" s="25">
        <f>IFERROR(IF(SUMIFS(tblDaily[Deaths],tblDaily[EntryDate],DATE(2026,9,7),tblDaily[WardCode],"MAE")=0,"",SUMIFS(tblDaily[Deaths],tblDaily[EntryDate],DATE(2026,9,7),tblDaily[WardCode],"MAE")),"")</f>
        <v/>
      </c>
      <c r="E334" s="25">
        <f>IFERROR(IF(SUMIFS(tblDaily[DeathsUnder24Hrs],tblDaily[EntryDate],DATE(2026,9,7),tblDaily[WardCode],"MAE")=0,"",SUMIFS(tblDaily[DeathsUnder24Hrs],tblDaily[EntryDate],DATE(2026,9,7),tblDaily[WardCode],"MAE")),"")</f>
        <v/>
      </c>
      <c r="F334" s="25">
        <f>IFERROR(IF(SUMIFS(tblDaily[TransfersIn],tblDaily[EntryDate],DATE(2026,9,7),tblDaily[WardCode],"MAE")=0,"",SUMIFS(tblDaily[TransfersIn],tblDaily[EntryDate],DATE(2026,9,7),tblDaily[WardCode],"MAE")),"")</f>
        <v/>
      </c>
      <c r="G334" s="25">
        <f>IFERROR(IF(SUMIFS(tblDaily[TransfersOut],tblDaily[EntryDate],DATE(2026,9,7),tblDaily[WardCode],"MAE")=0,"",SUMIFS(tblDaily[TransfersOut],tblDaily[EntryDate],DATE(2026,9,7),tblDaily[WardCode],"MAE")),"")</f>
        <v/>
      </c>
      <c r="H334" s="25">
        <f>IFERROR(IF(SUMIFS(tblDaily[Remaining],tblDaily[EntryDate],DATE(2026,9,7),tblDaily[WardCode],"MAE")=0,"",SUMIFS(tblDaily[Remaining],tblDaily[EntryDate],DATE(2026,9,7),tblDaily[WardCode],"MAE")),"")</f>
        <v/>
      </c>
      <c r="I334" s="25">
        <f>IFERROR(IF(SUMIFS(tblDaily[Admissions],tblDaily[EntryDate],DATE(2026,9,7),tblDaily[WardCode],"FAE")=0,"",SUMIFS(tblDaily[Admissions],tblDaily[EntryDate],DATE(2026,9,7),tblDaily[WardCode],"FAE")),"")</f>
        <v/>
      </c>
      <c r="J334" s="25">
        <f>IFERROR(IF(SUMIFS(tblDaily[Discharges],tblDaily[EntryDate],DATE(2026,9,7),tblDaily[WardCode],"FAE")=0,"",SUMIFS(tblDaily[Discharges],tblDaily[EntryDate],DATE(2026,9,7),tblDaily[WardCode],"FAE")),"")</f>
        <v/>
      </c>
      <c r="K334" s="25">
        <f>IFERROR(IF(SUMIFS(tblDaily[Deaths],tblDaily[EntryDate],DATE(2026,9,7),tblDaily[WardCode],"FAE")=0,"",SUMIFS(tblDaily[Deaths],tblDaily[EntryDate],DATE(2026,9,7),tblDaily[WardCode],"FAE")),"")</f>
        <v/>
      </c>
      <c r="L334" s="25">
        <f>IFERROR(IF(SUMIFS(tblDaily[DeathsUnder24Hrs],tblDaily[EntryDate],DATE(2026,9,7),tblDaily[WardCode],"FAE")=0,"",SUMIFS(tblDaily[DeathsUnder24Hrs],tblDaily[EntryDate],DATE(2026,9,7),tblDaily[WardCode],"FAE")),"")</f>
        <v/>
      </c>
      <c r="M334" s="25">
        <f>IFERROR(IF(SUMIFS(tblDaily[TransfersIn],tblDaily[EntryDate],DATE(2026,9,7),tblDaily[WardCode],"FAE")=0,"",SUMIFS(tblDaily[TransfersIn],tblDaily[EntryDate],DATE(2026,9,7),tblDaily[WardCode],"FAE")),"")</f>
        <v/>
      </c>
      <c r="N334" s="25">
        <f>IFERROR(IF(SUMIFS(tblDaily[TransfersOut],tblDaily[EntryDate],DATE(2026,9,7),tblDaily[WardCode],"FAE")=0,"",SUMIFS(tblDaily[TransfersOut],tblDaily[EntryDate],DATE(2026,9,7),tblDaily[WardCode],"FAE")),"")</f>
        <v/>
      </c>
      <c r="O334" s="25">
        <f>IFERROR(IF(SUMIFS(tblDaily[Remaining],tblDaily[EntryDate],DATE(2026,9,7),tblDaily[WardCode],"FAE")=0,"",SUMIFS(tblDaily[Remaining],tblDaily[EntryDate],DATE(2026,9,7),tblDaily[WardCode],"FAE")),"")</f>
        <v/>
      </c>
      <c r="P334" s="26">
        <f>IF(AND(H334="", O334=""), "", N(H334) + N(O334))</f>
        <v/>
      </c>
    </row>
    <row r="335">
      <c r="A335" s="25" t="n">
        <v>8</v>
      </c>
      <c r="B335" s="25">
        <f>IFERROR(IF(SUMIFS(tblDaily[Admissions],tblDaily[EntryDate],DATE(2026,9,8),tblDaily[WardCode],"MAE")=0,"",SUMIFS(tblDaily[Admissions],tblDaily[EntryDate],DATE(2026,9,8),tblDaily[WardCode],"MAE")),"")</f>
        <v/>
      </c>
      <c r="C335" s="25">
        <f>IFERROR(IF(SUMIFS(tblDaily[Discharges],tblDaily[EntryDate],DATE(2026,9,8),tblDaily[WardCode],"MAE")=0,"",SUMIFS(tblDaily[Discharges],tblDaily[EntryDate],DATE(2026,9,8),tblDaily[WardCode],"MAE")),"")</f>
        <v/>
      </c>
      <c r="D335" s="25">
        <f>IFERROR(IF(SUMIFS(tblDaily[Deaths],tblDaily[EntryDate],DATE(2026,9,8),tblDaily[WardCode],"MAE")=0,"",SUMIFS(tblDaily[Deaths],tblDaily[EntryDate],DATE(2026,9,8),tblDaily[WardCode],"MAE")),"")</f>
        <v/>
      </c>
      <c r="E335" s="25">
        <f>IFERROR(IF(SUMIFS(tblDaily[DeathsUnder24Hrs],tblDaily[EntryDate],DATE(2026,9,8),tblDaily[WardCode],"MAE")=0,"",SUMIFS(tblDaily[DeathsUnder24Hrs],tblDaily[EntryDate],DATE(2026,9,8),tblDaily[WardCode],"MAE")),"")</f>
        <v/>
      </c>
      <c r="F335" s="25">
        <f>IFERROR(IF(SUMIFS(tblDaily[TransfersIn],tblDaily[EntryDate],DATE(2026,9,8),tblDaily[WardCode],"MAE")=0,"",SUMIFS(tblDaily[TransfersIn],tblDaily[EntryDate],DATE(2026,9,8),tblDaily[WardCode],"MAE")),"")</f>
        <v/>
      </c>
      <c r="G335" s="25">
        <f>IFERROR(IF(SUMIFS(tblDaily[TransfersOut],tblDaily[EntryDate],DATE(2026,9,8),tblDaily[WardCode],"MAE")=0,"",SUMIFS(tblDaily[TransfersOut],tblDaily[EntryDate],DATE(2026,9,8),tblDaily[WardCode],"MAE")),"")</f>
        <v/>
      </c>
      <c r="H335" s="25">
        <f>IFERROR(IF(SUMIFS(tblDaily[Remaining],tblDaily[EntryDate],DATE(2026,9,8),tblDaily[WardCode],"MAE")=0,"",SUMIFS(tblDaily[Remaining],tblDaily[EntryDate],DATE(2026,9,8),tblDaily[WardCode],"MAE")),"")</f>
        <v/>
      </c>
      <c r="I335" s="25">
        <f>IFERROR(IF(SUMIFS(tblDaily[Admissions],tblDaily[EntryDate],DATE(2026,9,8),tblDaily[WardCode],"FAE")=0,"",SUMIFS(tblDaily[Admissions],tblDaily[EntryDate],DATE(2026,9,8),tblDaily[WardCode],"FAE")),"")</f>
        <v/>
      </c>
      <c r="J335" s="25">
        <f>IFERROR(IF(SUMIFS(tblDaily[Discharges],tblDaily[EntryDate],DATE(2026,9,8),tblDaily[WardCode],"FAE")=0,"",SUMIFS(tblDaily[Discharges],tblDaily[EntryDate],DATE(2026,9,8),tblDaily[WardCode],"FAE")),"")</f>
        <v/>
      </c>
      <c r="K335" s="25">
        <f>IFERROR(IF(SUMIFS(tblDaily[Deaths],tblDaily[EntryDate],DATE(2026,9,8),tblDaily[WardCode],"FAE")=0,"",SUMIFS(tblDaily[Deaths],tblDaily[EntryDate],DATE(2026,9,8),tblDaily[WardCode],"FAE")),"")</f>
        <v/>
      </c>
      <c r="L335" s="25">
        <f>IFERROR(IF(SUMIFS(tblDaily[DeathsUnder24Hrs],tblDaily[EntryDate],DATE(2026,9,8),tblDaily[WardCode],"FAE")=0,"",SUMIFS(tblDaily[DeathsUnder24Hrs],tblDaily[EntryDate],DATE(2026,9,8),tblDaily[WardCode],"FAE")),"")</f>
        <v/>
      </c>
      <c r="M335" s="25">
        <f>IFERROR(IF(SUMIFS(tblDaily[TransfersIn],tblDaily[EntryDate],DATE(2026,9,8),tblDaily[WardCode],"FAE")=0,"",SUMIFS(tblDaily[TransfersIn],tblDaily[EntryDate],DATE(2026,9,8),tblDaily[WardCode],"FAE")),"")</f>
        <v/>
      </c>
      <c r="N335" s="25">
        <f>IFERROR(IF(SUMIFS(tblDaily[TransfersOut],tblDaily[EntryDate],DATE(2026,9,8),tblDaily[WardCode],"FAE")=0,"",SUMIFS(tblDaily[TransfersOut],tblDaily[EntryDate],DATE(2026,9,8),tblDaily[WardCode],"FAE")),"")</f>
        <v/>
      </c>
      <c r="O335" s="25">
        <f>IFERROR(IF(SUMIFS(tblDaily[Remaining],tblDaily[EntryDate],DATE(2026,9,8),tblDaily[WardCode],"FAE")=0,"",SUMIFS(tblDaily[Remaining],tblDaily[EntryDate],DATE(2026,9,8),tblDaily[WardCode],"FAE")),"")</f>
        <v/>
      </c>
      <c r="P335" s="26">
        <f>IF(AND(H335="", O335=""), "", N(H335) + N(O335))</f>
        <v/>
      </c>
    </row>
    <row r="336">
      <c r="A336" s="25" t="n">
        <v>9</v>
      </c>
      <c r="B336" s="25">
        <f>IFERROR(IF(SUMIFS(tblDaily[Admissions],tblDaily[EntryDate],DATE(2026,9,9),tblDaily[WardCode],"MAE")=0,"",SUMIFS(tblDaily[Admissions],tblDaily[EntryDate],DATE(2026,9,9),tblDaily[WardCode],"MAE")),"")</f>
        <v/>
      </c>
      <c r="C336" s="25">
        <f>IFERROR(IF(SUMIFS(tblDaily[Discharges],tblDaily[EntryDate],DATE(2026,9,9),tblDaily[WardCode],"MAE")=0,"",SUMIFS(tblDaily[Discharges],tblDaily[EntryDate],DATE(2026,9,9),tblDaily[WardCode],"MAE")),"")</f>
        <v/>
      </c>
      <c r="D336" s="25">
        <f>IFERROR(IF(SUMIFS(tblDaily[Deaths],tblDaily[EntryDate],DATE(2026,9,9),tblDaily[WardCode],"MAE")=0,"",SUMIFS(tblDaily[Deaths],tblDaily[EntryDate],DATE(2026,9,9),tblDaily[WardCode],"MAE")),"")</f>
        <v/>
      </c>
      <c r="E336" s="25">
        <f>IFERROR(IF(SUMIFS(tblDaily[DeathsUnder24Hrs],tblDaily[EntryDate],DATE(2026,9,9),tblDaily[WardCode],"MAE")=0,"",SUMIFS(tblDaily[DeathsUnder24Hrs],tblDaily[EntryDate],DATE(2026,9,9),tblDaily[WardCode],"MAE")),"")</f>
        <v/>
      </c>
      <c r="F336" s="25">
        <f>IFERROR(IF(SUMIFS(tblDaily[TransfersIn],tblDaily[EntryDate],DATE(2026,9,9),tblDaily[WardCode],"MAE")=0,"",SUMIFS(tblDaily[TransfersIn],tblDaily[EntryDate],DATE(2026,9,9),tblDaily[WardCode],"MAE")),"")</f>
        <v/>
      </c>
      <c r="G336" s="25">
        <f>IFERROR(IF(SUMIFS(tblDaily[TransfersOut],tblDaily[EntryDate],DATE(2026,9,9),tblDaily[WardCode],"MAE")=0,"",SUMIFS(tblDaily[TransfersOut],tblDaily[EntryDate],DATE(2026,9,9),tblDaily[WardCode],"MAE")),"")</f>
        <v/>
      </c>
      <c r="H336" s="25">
        <f>IFERROR(IF(SUMIFS(tblDaily[Remaining],tblDaily[EntryDate],DATE(2026,9,9),tblDaily[WardCode],"MAE")=0,"",SUMIFS(tblDaily[Remaining],tblDaily[EntryDate],DATE(2026,9,9),tblDaily[WardCode],"MAE")),"")</f>
        <v/>
      </c>
      <c r="I336" s="25">
        <f>IFERROR(IF(SUMIFS(tblDaily[Admissions],tblDaily[EntryDate],DATE(2026,9,9),tblDaily[WardCode],"FAE")=0,"",SUMIFS(tblDaily[Admissions],tblDaily[EntryDate],DATE(2026,9,9),tblDaily[WardCode],"FAE")),"")</f>
        <v/>
      </c>
      <c r="J336" s="25">
        <f>IFERROR(IF(SUMIFS(tblDaily[Discharges],tblDaily[EntryDate],DATE(2026,9,9),tblDaily[WardCode],"FAE")=0,"",SUMIFS(tblDaily[Discharges],tblDaily[EntryDate],DATE(2026,9,9),tblDaily[WardCode],"FAE")),"")</f>
        <v/>
      </c>
      <c r="K336" s="25">
        <f>IFERROR(IF(SUMIFS(tblDaily[Deaths],tblDaily[EntryDate],DATE(2026,9,9),tblDaily[WardCode],"FAE")=0,"",SUMIFS(tblDaily[Deaths],tblDaily[EntryDate],DATE(2026,9,9),tblDaily[WardCode],"FAE")),"")</f>
        <v/>
      </c>
      <c r="L336" s="25">
        <f>IFERROR(IF(SUMIFS(tblDaily[DeathsUnder24Hrs],tblDaily[EntryDate],DATE(2026,9,9),tblDaily[WardCode],"FAE")=0,"",SUMIFS(tblDaily[DeathsUnder24Hrs],tblDaily[EntryDate],DATE(2026,9,9),tblDaily[WardCode],"FAE")),"")</f>
        <v/>
      </c>
      <c r="M336" s="25">
        <f>IFERROR(IF(SUMIFS(tblDaily[TransfersIn],tblDaily[EntryDate],DATE(2026,9,9),tblDaily[WardCode],"FAE")=0,"",SUMIFS(tblDaily[TransfersIn],tblDaily[EntryDate],DATE(2026,9,9),tblDaily[WardCode],"FAE")),"")</f>
        <v/>
      </c>
      <c r="N336" s="25">
        <f>IFERROR(IF(SUMIFS(tblDaily[TransfersOut],tblDaily[EntryDate],DATE(2026,9,9),tblDaily[WardCode],"FAE")=0,"",SUMIFS(tblDaily[TransfersOut],tblDaily[EntryDate],DATE(2026,9,9),tblDaily[WardCode],"FAE")),"")</f>
        <v/>
      </c>
      <c r="O336" s="25">
        <f>IFERROR(IF(SUMIFS(tblDaily[Remaining],tblDaily[EntryDate],DATE(2026,9,9),tblDaily[WardCode],"FAE")=0,"",SUMIFS(tblDaily[Remaining],tblDaily[EntryDate],DATE(2026,9,9),tblDaily[WardCode],"FAE")),"")</f>
        <v/>
      </c>
      <c r="P336" s="26">
        <f>IF(AND(H336="", O336=""), "", N(H336) + N(O336))</f>
        <v/>
      </c>
    </row>
    <row r="337">
      <c r="A337" s="25" t="n">
        <v>10</v>
      </c>
      <c r="B337" s="25">
        <f>IFERROR(IF(SUMIFS(tblDaily[Admissions],tblDaily[EntryDate],DATE(2026,9,10),tblDaily[WardCode],"MAE")=0,"",SUMIFS(tblDaily[Admissions],tblDaily[EntryDate],DATE(2026,9,10),tblDaily[WardCode],"MAE")),"")</f>
        <v/>
      </c>
      <c r="C337" s="25">
        <f>IFERROR(IF(SUMIFS(tblDaily[Discharges],tblDaily[EntryDate],DATE(2026,9,10),tblDaily[WardCode],"MAE")=0,"",SUMIFS(tblDaily[Discharges],tblDaily[EntryDate],DATE(2026,9,10),tblDaily[WardCode],"MAE")),"")</f>
        <v/>
      </c>
      <c r="D337" s="25">
        <f>IFERROR(IF(SUMIFS(tblDaily[Deaths],tblDaily[EntryDate],DATE(2026,9,10),tblDaily[WardCode],"MAE")=0,"",SUMIFS(tblDaily[Deaths],tblDaily[EntryDate],DATE(2026,9,10),tblDaily[WardCode],"MAE")),"")</f>
        <v/>
      </c>
      <c r="E337" s="25">
        <f>IFERROR(IF(SUMIFS(tblDaily[DeathsUnder24Hrs],tblDaily[EntryDate],DATE(2026,9,10),tblDaily[WardCode],"MAE")=0,"",SUMIFS(tblDaily[DeathsUnder24Hrs],tblDaily[EntryDate],DATE(2026,9,10),tblDaily[WardCode],"MAE")),"")</f>
        <v/>
      </c>
      <c r="F337" s="25">
        <f>IFERROR(IF(SUMIFS(tblDaily[TransfersIn],tblDaily[EntryDate],DATE(2026,9,10),tblDaily[WardCode],"MAE")=0,"",SUMIFS(tblDaily[TransfersIn],tblDaily[EntryDate],DATE(2026,9,10),tblDaily[WardCode],"MAE")),"")</f>
        <v/>
      </c>
      <c r="G337" s="25">
        <f>IFERROR(IF(SUMIFS(tblDaily[TransfersOut],tblDaily[EntryDate],DATE(2026,9,10),tblDaily[WardCode],"MAE")=0,"",SUMIFS(tblDaily[TransfersOut],tblDaily[EntryDate],DATE(2026,9,10),tblDaily[WardCode],"MAE")),"")</f>
        <v/>
      </c>
      <c r="H337" s="25">
        <f>IFERROR(IF(SUMIFS(tblDaily[Remaining],tblDaily[EntryDate],DATE(2026,9,10),tblDaily[WardCode],"MAE")=0,"",SUMIFS(tblDaily[Remaining],tblDaily[EntryDate],DATE(2026,9,10),tblDaily[WardCode],"MAE")),"")</f>
        <v/>
      </c>
      <c r="I337" s="25">
        <f>IFERROR(IF(SUMIFS(tblDaily[Admissions],tblDaily[EntryDate],DATE(2026,9,10),tblDaily[WardCode],"FAE")=0,"",SUMIFS(tblDaily[Admissions],tblDaily[EntryDate],DATE(2026,9,10),tblDaily[WardCode],"FAE")),"")</f>
        <v/>
      </c>
      <c r="J337" s="25">
        <f>IFERROR(IF(SUMIFS(tblDaily[Discharges],tblDaily[EntryDate],DATE(2026,9,10),tblDaily[WardCode],"FAE")=0,"",SUMIFS(tblDaily[Discharges],tblDaily[EntryDate],DATE(2026,9,10),tblDaily[WardCode],"FAE")),"")</f>
        <v/>
      </c>
      <c r="K337" s="25">
        <f>IFERROR(IF(SUMIFS(tblDaily[Deaths],tblDaily[EntryDate],DATE(2026,9,10),tblDaily[WardCode],"FAE")=0,"",SUMIFS(tblDaily[Deaths],tblDaily[EntryDate],DATE(2026,9,10),tblDaily[WardCode],"FAE")),"")</f>
        <v/>
      </c>
      <c r="L337" s="25">
        <f>IFERROR(IF(SUMIFS(tblDaily[DeathsUnder24Hrs],tblDaily[EntryDate],DATE(2026,9,10),tblDaily[WardCode],"FAE")=0,"",SUMIFS(tblDaily[DeathsUnder24Hrs],tblDaily[EntryDate],DATE(2026,9,10),tblDaily[WardCode],"FAE")),"")</f>
        <v/>
      </c>
      <c r="M337" s="25">
        <f>IFERROR(IF(SUMIFS(tblDaily[TransfersIn],tblDaily[EntryDate],DATE(2026,9,10),tblDaily[WardCode],"FAE")=0,"",SUMIFS(tblDaily[TransfersIn],tblDaily[EntryDate],DATE(2026,9,10),tblDaily[WardCode],"FAE")),"")</f>
        <v/>
      </c>
      <c r="N337" s="25">
        <f>IFERROR(IF(SUMIFS(tblDaily[TransfersOut],tblDaily[EntryDate],DATE(2026,9,10),tblDaily[WardCode],"FAE")=0,"",SUMIFS(tblDaily[TransfersOut],tblDaily[EntryDate],DATE(2026,9,10),tblDaily[WardCode],"FAE")),"")</f>
        <v/>
      </c>
      <c r="O337" s="25">
        <f>IFERROR(IF(SUMIFS(tblDaily[Remaining],tblDaily[EntryDate],DATE(2026,9,10),tblDaily[WardCode],"FAE")=0,"",SUMIFS(tblDaily[Remaining],tblDaily[EntryDate],DATE(2026,9,10),tblDaily[WardCode],"FAE")),"")</f>
        <v/>
      </c>
      <c r="P337" s="26">
        <f>IF(AND(H337="", O337=""), "", N(H337) + N(O337))</f>
        <v/>
      </c>
    </row>
    <row r="338">
      <c r="A338" s="25" t="n">
        <v>11</v>
      </c>
      <c r="B338" s="25">
        <f>IFERROR(IF(SUMIFS(tblDaily[Admissions],tblDaily[EntryDate],DATE(2026,9,11),tblDaily[WardCode],"MAE")=0,"",SUMIFS(tblDaily[Admissions],tblDaily[EntryDate],DATE(2026,9,11),tblDaily[WardCode],"MAE")),"")</f>
        <v/>
      </c>
      <c r="C338" s="25">
        <f>IFERROR(IF(SUMIFS(tblDaily[Discharges],tblDaily[EntryDate],DATE(2026,9,11),tblDaily[WardCode],"MAE")=0,"",SUMIFS(tblDaily[Discharges],tblDaily[EntryDate],DATE(2026,9,11),tblDaily[WardCode],"MAE")),"")</f>
        <v/>
      </c>
      <c r="D338" s="25">
        <f>IFERROR(IF(SUMIFS(tblDaily[Deaths],tblDaily[EntryDate],DATE(2026,9,11),tblDaily[WardCode],"MAE")=0,"",SUMIFS(tblDaily[Deaths],tblDaily[EntryDate],DATE(2026,9,11),tblDaily[WardCode],"MAE")),"")</f>
        <v/>
      </c>
      <c r="E338" s="25">
        <f>IFERROR(IF(SUMIFS(tblDaily[DeathsUnder24Hrs],tblDaily[EntryDate],DATE(2026,9,11),tblDaily[WardCode],"MAE")=0,"",SUMIFS(tblDaily[DeathsUnder24Hrs],tblDaily[EntryDate],DATE(2026,9,11),tblDaily[WardCode],"MAE")),"")</f>
        <v/>
      </c>
      <c r="F338" s="25">
        <f>IFERROR(IF(SUMIFS(tblDaily[TransfersIn],tblDaily[EntryDate],DATE(2026,9,11),tblDaily[WardCode],"MAE")=0,"",SUMIFS(tblDaily[TransfersIn],tblDaily[EntryDate],DATE(2026,9,11),tblDaily[WardCode],"MAE")),"")</f>
        <v/>
      </c>
      <c r="G338" s="25">
        <f>IFERROR(IF(SUMIFS(tblDaily[TransfersOut],tblDaily[EntryDate],DATE(2026,9,11),tblDaily[WardCode],"MAE")=0,"",SUMIFS(tblDaily[TransfersOut],tblDaily[EntryDate],DATE(2026,9,11),tblDaily[WardCode],"MAE")),"")</f>
        <v/>
      </c>
      <c r="H338" s="25">
        <f>IFERROR(IF(SUMIFS(tblDaily[Remaining],tblDaily[EntryDate],DATE(2026,9,11),tblDaily[WardCode],"MAE")=0,"",SUMIFS(tblDaily[Remaining],tblDaily[EntryDate],DATE(2026,9,11),tblDaily[WardCode],"MAE")),"")</f>
        <v/>
      </c>
      <c r="I338" s="25">
        <f>IFERROR(IF(SUMIFS(tblDaily[Admissions],tblDaily[EntryDate],DATE(2026,9,11),tblDaily[WardCode],"FAE")=0,"",SUMIFS(tblDaily[Admissions],tblDaily[EntryDate],DATE(2026,9,11),tblDaily[WardCode],"FAE")),"")</f>
        <v/>
      </c>
      <c r="J338" s="25">
        <f>IFERROR(IF(SUMIFS(tblDaily[Discharges],tblDaily[EntryDate],DATE(2026,9,11),tblDaily[WardCode],"FAE")=0,"",SUMIFS(tblDaily[Discharges],tblDaily[EntryDate],DATE(2026,9,11),tblDaily[WardCode],"FAE")),"")</f>
        <v/>
      </c>
      <c r="K338" s="25">
        <f>IFERROR(IF(SUMIFS(tblDaily[Deaths],tblDaily[EntryDate],DATE(2026,9,11),tblDaily[WardCode],"FAE")=0,"",SUMIFS(tblDaily[Deaths],tblDaily[EntryDate],DATE(2026,9,11),tblDaily[WardCode],"FAE")),"")</f>
        <v/>
      </c>
      <c r="L338" s="25">
        <f>IFERROR(IF(SUMIFS(tblDaily[DeathsUnder24Hrs],tblDaily[EntryDate],DATE(2026,9,11),tblDaily[WardCode],"FAE")=0,"",SUMIFS(tblDaily[DeathsUnder24Hrs],tblDaily[EntryDate],DATE(2026,9,11),tblDaily[WardCode],"FAE")),"")</f>
        <v/>
      </c>
      <c r="M338" s="25">
        <f>IFERROR(IF(SUMIFS(tblDaily[TransfersIn],tblDaily[EntryDate],DATE(2026,9,11),tblDaily[WardCode],"FAE")=0,"",SUMIFS(tblDaily[TransfersIn],tblDaily[EntryDate],DATE(2026,9,11),tblDaily[WardCode],"FAE")),"")</f>
        <v/>
      </c>
      <c r="N338" s="25">
        <f>IFERROR(IF(SUMIFS(tblDaily[TransfersOut],tblDaily[EntryDate],DATE(2026,9,11),tblDaily[WardCode],"FAE")=0,"",SUMIFS(tblDaily[TransfersOut],tblDaily[EntryDate],DATE(2026,9,11),tblDaily[WardCode],"FAE")),"")</f>
        <v/>
      </c>
      <c r="O338" s="25">
        <f>IFERROR(IF(SUMIFS(tblDaily[Remaining],tblDaily[EntryDate],DATE(2026,9,11),tblDaily[WardCode],"FAE")=0,"",SUMIFS(tblDaily[Remaining],tblDaily[EntryDate],DATE(2026,9,11),tblDaily[WardCode],"FAE")),"")</f>
        <v/>
      </c>
      <c r="P338" s="26">
        <f>IF(AND(H338="", O338=""), "", N(H338) + N(O338))</f>
        <v/>
      </c>
    </row>
    <row r="339">
      <c r="A339" s="25" t="n">
        <v>12</v>
      </c>
      <c r="B339" s="25">
        <f>IFERROR(IF(SUMIFS(tblDaily[Admissions],tblDaily[EntryDate],DATE(2026,9,12),tblDaily[WardCode],"MAE")=0,"",SUMIFS(tblDaily[Admissions],tblDaily[EntryDate],DATE(2026,9,12),tblDaily[WardCode],"MAE")),"")</f>
        <v/>
      </c>
      <c r="C339" s="25">
        <f>IFERROR(IF(SUMIFS(tblDaily[Discharges],tblDaily[EntryDate],DATE(2026,9,12),tblDaily[WardCode],"MAE")=0,"",SUMIFS(tblDaily[Discharges],tblDaily[EntryDate],DATE(2026,9,12),tblDaily[WardCode],"MAE")),"")</f>
        <v/>
      </c>
      <c r="D339" s="25">
        <f>IFERROR(IF(SUMIFS(tblDaily[Deaths],tblDaily[EntryDate],DATE(2026,9,12),tblDaily[WardCode],"MAE")=0,"",SUMIFS(tblDaily[Deaths],tblDaily[EntryDate],DATE(2026,9,12),tblDaily[WardCode],"MAE")),"")</f>
        <v/>
      </c>
      <c r="E339" s="25">
        <f>IFERROR(IF(SUMIFS(tblDaily[DeathsUnder24Hrs],tblDaily[EntryDate],DATE(2026,9,12),tblDaily[WardCode],"MAE")=0,"",SUMIFS(tblDaily[DeathsUnder24Hrs],tblDaily[EntryDate],DATE(2026,9,12),tblDaily[WardCode],"MAE")),"")</f>
        <v/>
      </c>
      <c r="F339" s="25">
        <f>IFERROR(IF(SUMIFS(tblDaily[TransfersIn],tblDaily[EntryDate],DATE(2026,9,12),tblDaily[WardCode],"MAE")=0,"",SUMIFS(tblDaily[TransfersIn],tblDaily[EntryDate],DATE(2026,9,12),tblDaily[WardCode],"MAE")),"")</f>
        <v/>
      </c>
      <c r="G339" s="25">
        <f>IFERROR(IF(SUMIFS(tblDaily[TransfersOut],tblDaily[EntryDate],DATE(2026,9,12),tblDaily[WardCode],"MAE")=0,"",SUMIFS(tblDaily[TransfersOut],tblDaily[EntryDate],DATE(2026,9,12),tblDaily[WardCode],"MAE")),"")</f>
        <v/>
      </c>
      <c r="H339" s="25">
        <f>IFERROR(IF(SUMIFS(tblDaily[Remaining],tblDaily[EntryDate],DATE(2026,9,12),tblDaily[WardCode],"MAE")=0,"",SUMIFS(tblDaily[Remaining],tblDaily[EntryDate],DATE(2026,9,12),tblDaily[WardCode],"MAE")),"")</f>
        <v/>
      </c>
      <c r="I339" s="25">
        <f>IFERROR(IF(SUMIFS(tblDaily[Admissions],tblDaily[EntryDate],DATE(2026,9,12),tblDaily[WardCode],"FAE")=0,"",SUMIFS(tblDaily[Admissions],tblDaily[EntryDate],DATE(2026,9,12),tblDaily[WardCode],"FAE")),"")</f>
        <v/>
      </c>
      <c r="J339" s="25">
        <f>IFERROR(IF(SUMIFS(tblDaily[Discharges],tblDaily[EntryDate],DATE(2026,9,12),tblDaily[WardCode],"FAE")=0,"",SUMIFS(tblDaily[Discharges],tblDaily[EntryDate],DATE(2026,9,12),tblDaily[WardCode],"FAE")),"")</f>
        <v/>
      </c>
      <c r="K339" s="25">
        <f>IFERROR(IF(SUMIFS(tblDaily[Deaths],tblDaily[EntryDate],DATE(2026,9,12),tblDaily[WardCode],"FAE")=0,"",SUMIFS(tblDaily[Deaths],tblDaily[EntryDate],DATE(2026,9,12),tblDaily[WardCode],"FAE")),"")</f>
        <v/>
      </c>
      <c r="L339" s="25">
        <f>IFERROR(IF(SUMIFS(tblDaily[DeathsUnder24Hrs],tblDaily[EntryDate],DATE(2026,9,12),tblDaily[WardCode],"FAE")=0,"",SUMIFS(tblDaily[DeathsUnder24Hrs],tblDaily[EntryDate],DATE(2026,9,12),tblDaily[WardCode],"FAE")),"")</f>
        <v/>
      </c>
      <c r="M339" s="25">
        <f>IFERROR(IF(SUMIFS(tblDaily[TransfersIn],tblDaily[EntryDate],DATE(2026,9,12),tblDaily[WardCode],"FAE")=0,"",SUMIFS(tblDaily[TransfersIn],tblDaily[EntryDate],DATE(2026,9,12),tblDaily[WardCode],"FAE")),"")</f>
        <v/>
      </c>
      <c r="N339" s="25">
        <f>IFERROR(IF(SUMIFS(tblDaily[TransfersOut],tblDaily[EntryDate],DATE(2026,9,12),tblDaily[WardCode],"FAE")=0,"",SUMIFS(tblDaily[TransfersOut],tblDaily[EntryDate],DATE(2026,9,12),tblDaily[WardCode],"FAE")),"")</f>
        <v/>
      </c>
      <c r="O339" s="25">
        <f>IFERROR(IF(SUMIFS(tblDaily[Remaining],tblDaily[EntryDate],DATE(2026,9,12),tblDaily[WardCode],"FAE")=0,"",SUMIFS(tblDaily[Remaining],tblDaily[EntryDate],DATE(2026,9,12),tblDaily[WardCode],"FAE")),"")</f>
        <v/>
      </c>
      <c r="P339" s="26">
        <f>IF(AND(H339="", O339=""), "", N(H339) + N(O339))</f>
        <v/>
      </c>
    </row>
    <row r="340">
      <c r="A340" s="25" t="n">
        <v>13</v>
      </c>
      <c r="B340" s="25">
        <f>IFERROR(IF(SUMIFS(tblDaily[Admissions],tblDaily[EntryDate],DATE(2026,9,13),tblDaily[WardCode],"MAE")=0,"",SUMIFS(tblDaily[Admissions],tblDaily[EntryDate],DATE(2026,9,13),tblDaily[WardCode],"MAE")),"")</f>
        <v/>
      </c>
      <c r="C340" s="25">
        <f>IFERROR(IF(SUMIFS(tblDaily[Discharges],tblDaily[EntryDate],DATE(2026,9,13),tblDaily[WardCode],"MAE")=0,"",SUMIFS(tblDaily[Discharges],tblDaily[EntryDate],DATE(2026,9,13),tblDaily[WardCode],"MAE")),"")</f>
        <v/>
      </c>
      <c r="D340" s="25">
        <f>IFERROR(IF(SUMIFS(tblDaily[Deaths],tblDaily[EntryDate],DATE(2026,9,13),tblDaily[WardCode],"MAE")=0,"",SUMIFS(tblDaily[Deaths],tblDaily[EntryDate],DATE(2026,9,13),tblDaily[WardCode],"MAE")),"")</f>
        <v/>
      </c>
      <c r="E340" s="25">
        <f>IFERROR(IF(SUMIFS(tblDaily[DeathsUnder24Hrs],tblDaily[EntryDate],DATE(2026,9,13),tblDaily[WardCode],"MAE")=0,"",SUMIFS(tblDaily[DeathsUnder24Hrs],tblDaily[EntryDate],DATE(2026,9,13),tblDaily[WardCode],"MAE")),"")</f>
        <v/>
      </c>
      <c r="F340" s="25">
        <f>IFERROR(IF(SUMIFS(tblDaily[TransfersIn],tblDaily[EntryDate],DATE(2026,9,13),tblDaily[WardCode],"MAE")=0,"",SUMIFS(tblDaily[TransfersIn],tblDaily[EntryDate],DATE(2026,9,13),tblDaily[WardCode],"MAE")),"")</f>
        <v/>
      </c>
      <c r="G340" s="25">
        <f>IFERROR(IF(SUMIFS(tblDaily[TransfersOut],tblDaily[EntryDate],DATE(2026,9,13),tblDaily[WardCode],"MAE")=0,"",SUMIFS(tblDaily[TransfersOut],tblDaily[EntryDate],DATE(2026,9,13),tblDaily[WardCode],"MAE")),"")</f>
        <v/>
      </c>
      <c r="H340" s="25">
        <f>IFERROR(IF(SUMIFS(tblDaily[Remaining],tblDaily[EntryDate],DATE(2026,9,13),tblDaily[WardCode],"MAE")=0,"",SUMIFS(tblDaily[Remaining],tblDaily[EntryDate],DATE(2026,9,13),tblDaily[WardCode],"MAE")),"")</f>
        <v/>
      </c>
      <c r="I340" s="25">
        <f>IFERROR(IF(SUMIFS(tblDaily[Admissions],tblDaily[EntryDate],DATE(2026,9,13),tblDaily[WardCode],"FAE")=0,"",SUMIFS(tblDaily[Admissions],tblDaily[EntryDate],DATE(2026,9,13),tblDaily[WardCode],"FAE")),"")</f>
        <v/>
      </c>
      <c r="J340" s="25">
        <f>IFERROR(IF(SUMIFS(tblDaily[Discharges],tblDaily[EntryDate],DATE(2026,9,13),tblDaily[WardCode],"FAE")=0,"",SUMIFS(tblDaily[Discharges],tblDaily[EntryDate],DATE(2026,9,13),tblDaily[WardCode],"FAE")),"")</f>
        <v/>
      </c>
      <c r="K340" s="25">
        <f>IFERROR(IF(SUMIFS(tblDaily[Deaths],tblDaily[EntryDate],DATE(2026,9,13),tblDaily[WardCode],"FAE")=0,"",SUMIFS(tblDaily[Deaths],tblDaily[EntryDate],DATE(2026,9,13),tblDaily[WardCode],"FAE")),"")</f>
        <v/>
      </c>
      <c r="L340" s="25">
        <f>IFERROR(IF(SUMIFS(tblDaily[DeathsUnder24Hrs],tblDaily[EntryDate],DATE(2026,9,13),tblDaily[WardCode],"FAE")=0,"",SUMIFS(tblDaily[DeathsUnder24Hrs],tblDaily[EntryDate],DATE(2026,9,13),tblDaily[WardCode],"FAE")),"")</f>
        <v/>
      </c>
      <c r="M340" s="25">
        <f>IFERROR(IF(SUMIFS(tblDaily[TransfersIn],tblDaily[EntryDate],DATE(2026,9,13),tblDaily[WardCode],"FAE")=0,"",SUMIFS(tblDaily[TransfersIn],tblDaily[EntryDate],DATE(2026,9,13),tblDaily[WardCode],"FAE")),"")</f>
        <v/>
      </c>
      <c r="N340" s="25">
        <f>IFERROR(IF(SUMIFS(tblDaily[TransfersOut],tblDaily[EntryDate],DATE(2026,9,13),tblDaily[WardCode],"FAE")=0,"",SUMIFS(tblDaily[TransfersOut],tblDaily[EntryDate],DATE(2026,9,13),tblDaily[WardCode],"FAE")),"")</f>
        <v/>
      </c>
      <c r="O340" s="25">
        <f>IFERROR(IF(SUMIFS(tblDaily[Remaining],tblDaily[EntryDate],DATE(2026,9,13),tblDaily[WardCode],"FAE")=0,"",SUMIFS(tblDaily[Remaining],tblDaily[EntryDate],DATE(2026,9,13),tblDaily[WardCode],"FAE")),"")</f>
        <v/>
      </c>
      <c r="P340" s="26">
        <f>IF(AND(H340="", O340=""), "", N(H340) + N(O340))</f>
        <v/>
      </c>
    </row>
    <row r="341">
      <c r="A341" s="25" t="n">
        <v>14</v>
      </c>
      <c r="B341" s="25">
        <f>IFERROR(IF(SUMIFS(tblDaily[Admissions],tblDaily[EntryDate],DATE(2026,9,14),tblDaily[WardCode],"MAE")=0,"",SUMIFS(tblDaily[Admissions],tblDaily[EntryDate],DATE(2026,9,14),tblDaily[WardCode],"MAE")),"")</f>
        <v/>
      </c>
      <c r="C341" s="25">
        <f>IFERROR(IF(SUMIFS(tblDaily[Discharges],tblDaily[EntryDate],DATE(2026,9,14),tblDaily[WardCode],"MAE")=0,"",SUMIFS(tblDaily[Discharges],tblDaily[EntryDate],DATE(2026,9,14),tblDaily[WardCode],"MAE")),"")</f>
        <v/>
      </c>
      <c r="D341" s="25">
        <f>IFERROR(IF(SUMIFS(tblDaily[Deaths],tblDaily[EntryDate],DATE(2026,9,14),tblDaily[WardCode],"MAE")=0,"",SUMIFS(tblDaily[Deaths],tblDaily[EntryDate],DATE(2026,9,14),tblDaily[WardCode],"MAE")),"")</f>
        <v/>
      </c>
      <c r="E341" s="25">
        <f>IFERROR(IF(SUMIFS(tblDaily[DeathsUnder24Hrs],tblDaily[EntryDate],DATE(2026,9,14),tblDaily[WardCode],"MAE")=0,"",SUMIFS(tblDaily[DeathsUnder24Hrs],tblDaily[EntryDate],DATE(2026,9,14),tblDaily[WardCode],"MAE")),"")</f>
        <v/>
      </c>
      <c r="F341" s="25">
        <f>IFERROR(IF(SUMIFS(tblDaily[TransfersIn],tblDaily[EntryDate],DATE(2026,9,14),tblDaily[WardCode],"MAE")=0,"",SUMIFS(tblDaily[TransfersIn],tblDaily[EntryDate],DATE(2026,9,14),tblDaily[WardCode],"MAE")),"")</f>
        <v/>
      </c>
      <c r="G341" s="25">
        <f>IFERROR(IF(SUMIFS(tblDaily[TransfersOut],tblDaily[EntryDate],DATE(2026,9,14),tblDaily[WardCode],"MAE")=0,"",SUMIFS(tblDaily[TransfersOut],tblDaily[EntryDate],DATE(2026,9,14),tblDaily[WardCode],"MAE")),"")</f>
        <v/>
      </c>
      <c r="H341" s="25">
        <f>IFERROR(IF(SUMIFS(tblDaily[Remaining],tblDaily[EntryDate],DATE(2026,9,14),tblDaily[WardCode],"MAE")=0,"",SUMIFS(tblDaily[Remaining],tblDaily[EntryDate],DATE(2026,9,14),tblDaily[WardCode],"MAE")),"")</f>
        <v/>
      </c>
      <c r="I341" s="25">
        <f>IFERROR(IF(SUMIFS(tblDaily[Admissions],tblDaily[EntryDate],DATE(2026,9,14),tblDaily[WardCode],"FAE")=0,"",SUMIFS(tblDaily[Admissions],tblDaily[EntryDate],DATE(2026,9,14),tblDaily[WardCode],"FAE")),"")</f>
        <v/>
      </c>
      <c r="J341" s="25">
        <f>IFERROR(IF(SUMIFS(tblDaily[Discharges],tblDaily[EntryDate],DATE(2026,9,14),tblDaily[WardCode],"FAE")=0,"",SUMIFS(tblDaily[Discharges],tblDaily[EntryDate],DATE(2026,9,14),tblDaily[WardCode],"FAE")),"")</f>
        <v/>
      </c>
      <c r="K341" s="25">
        <f>IFERROR(IF(SUMIFS(tblDaily[Deaths],tblDaily[EntryDate],DATE(2026,9,14),tblDaily[WardCode],"FAE")=0,"",SUMIFS(tblDaily[Deaths],tblDaily[EntryDate],DATE(2026,9,14),tblDaily[WardCode],"FAE")),"")</f>
        <v/>
      </c>
      <c r="L341" s="25">
        <f>IFERROR(IF(SUMIFS(tblDaily[DeathsUnder24Hrs],tblDaily[EntryDate],DATE(2026,9,14),tblDaily[WardCode],"FAE")=0,"",SUMIFS(tblDaily[DeathsUnder24Hrs],tblDaily[EntryDate],DATE(2026,9,14),tblDaily[WardCode],"FAE")),"")</f>
        <v/>
      </c>
      <c r="M341" s="25">
        <f>IFERROR(IF(SUMIFS(tblDaily[TransfersIn],tblDaily[EntryDate],DATE(2026,9,14),tblDaily[WardCode],"FAE")=0,"",SUMIFS(tblDaily[TransfersIn],tblDaily[EntryDate],DATE(2026,9,14),tblDaily[WardCode],"FAE")),"")</f>
        <v/>
      </c>
      <c r="N341" s="25">
        <f>IFERROR(IF(SUMIFS(tblDaily[TransfersOut],tblDaily[EntryDate],DATE(2026,9,14),tblDaily[WardCode],"FAE")=0,"",SUMIFS(tblDaily[TransfersOut],tblDaily[EntryDate],DATE(2026,9,14),tblDaily[WardCode],"FAE")),"")</f>
        <v/>
      </c>
      <c r="O341" s="25">
        <f>IFERROR(IF(SUMIFS(tblDaily[Remaining],tblDaily[EntryDate],DATE(2026,9,14),tblDaily[WardCode],"FAE")=0,"",SUMIFS(tblDaily[Remaining],tblDaily[EntryDate],DATE(2026,9,14),tblDaily[WardCode],"FAE")),"")</f>
        <v/>
      </c>
      <c r="P341" s="26">
        <f>IF(AND(H341="", O341=""), "", N(H341) + N(O341))</f>
        <v/>
      </c>
    </row>
    <row r="342">
      <c r="A342" s="25" t="n">
        <v>15</v>
      </c>
      <c r="B342" s="25">
        <f>IFERROR(IF(SUMIFS(tblDaily[Admissions],tblDaily[EntryDate],DATE(2026,9,15),tblDaily[WardCode],"MAE")=0,"",SUMIFS(tblDaily[Admissions],tblDaily[EntryDate],DATE(2026,9,15),tblDaily[WardCode],"MAE")),"")</f>
        <v/>
      </c>
      <c r="C342" s="25">
        <f>IFERROR(IF(SUMIFS(tblDaily[Discharges],tblDaily[EntryDate],DATE(2026,9,15),tblDaily[WardCode],"MAE")=0,"",SUMIFS(tblDaily[Discharges],tblDaily[EntryDate],DATE(2026,9,15),tblDaily[WardCode],"MAE")),"")</f>
        <v/>
      </c>
      <c r="D342" s="25">
        <f>IFERROR(IF(SUMIFS(tblDaily[Deaths],tblDaily[EntryDate],DATE(2026,9,15),tblDaily[WardCode],"MAE")=0,"",SUMIFS(tblDaily[Deaths],tblDaily[EntryDate],DATE(2026,9,15),tblDaily[WardCode],"MAE")),"")</f>
        <v/>
      </c>
      <c r="E342" s="25">
        <f>IFERROR(IF(SUMIFS(tblDaily[DeathsUnder24Hrs],tblDaily[EntryDate],DATE(2026,9,15),tblDaily[WardCode],"MAE")=0,"",SUMIFS(tblDaily[DeathsUnder24Hrs],tblDaily[EntryDate],DATE(2026,9,15),tblDaily[WardCode],"MAE")),"")</f>
        <v/>
      </c>
      <c r="F342" s="25">
        <f>IFERROR(IF(SUMIFS(tblDaily[TransfersIn],tblDaily[EntryDate],DATE(2026,9,15),tblDaily[WardCode],"MAE")=0,"",SUMIFS(tblDaily[TransfersIn],tblDaily[EntryDate],DATE(2026,9,15),tblDaily[WardCode],"MAE")),"")</f>
        <v/>
      </c>
      <c r="G342" s="25">
        <f>IFERROR(IF(SUMIFS(tblDaily[TransfersOut],tblDaily[EntryDate],DATE(2026,9,15),tblDaily[WardCode],"MAE")=0,"",SUMIFS(tblDaily[TransfersOut],tblDaily[EntryDate],DATE(2026,9,15),tblDaily[WardCode],"MAE")),"")</f>
        <v/>
      </c>
      <c r="H342" s="25">
        <f>IFERROR(IF(SUMIFS(tblDaily[Remaining],tblDaily[EntryDate],DATE(2026,9,15),tblDaily[WardCode],"MAE")=0,"",SUMIFS(tblDaily[Remaining],tblDaily[EntryDate],DATE(2026,9,15),tblDaily[WardCode],"MAE")),"")</f>
        <v/>
      </c>
      <c r="I342" s="25">
        <f>IFERROR(IF(SUMIFS(tblDaily[Admissions],tblDaily[EntryDate],DATE(2026,9,15),tblDaily[WardCode],"FAE")=0,"",SUMIFS(tblDaily[Admissions],tblDaily[EntryDate],DATE(2026,9,15),tblDaily[WardCode],"FAE")),"")</f>
        <v/>
      </c>
      <c r="J342" s="25">
        <f>IFERROR(IF(SUMIFS(tblDaily[Discharges],tblDaily[EntryDate],DATE(2026,9,15),tblDaily[WardCode],"FAE")=0,"",SUMIFS(tblDaily[Discharges],tblDaily[EntryDate],DATE(2026,9,15),tblDaily[WardCode],"FAE")),"")</f>
        <v/>
      </c>
      <c r="K342" s="25">
        <f>IFERROR(IF(SUMIFS(tblDaily[Deaths],tblDaily[EntryDate],DATE(2026,9,15),tblDaily[WardCode],"FAE")=0,"",SUMIFS(tblDaily[Deaths],tblDaily[EntryDate],DATE(2026,9,15),tblDaily[WardCode],"FAE")),"")</f>
        <v/>
      </c>
      <c r="L342" s="25">
        <f>IFERROR(IF(SUMIFS(tblDaily[DeathsUnder24Hrs],tblDaily[EntryDate],DATE(2026,9,15),tblDaily[WardCode],"FAE")=0,"",SUMIFS(tblDaily[DeathsUnder24Hrs],tblDaily[EntryDate],DATE(2026,9,15),tblDaily[WardCode],"FAE")),"")</f>
        <v/>
      </c>
      <c r="M342" s="25">
        <f>IFERROR(IF(SUMIFS(tblDaily[TransfersIn],tblDaily[EntryDate],DATE(2026,9,15),tblDaily[WardCode],"FAE")=0,"",SUMIFS(tblDaily[TransfersIn],tblDaily[EntryDate],DATE(2026,9,15),tblDaily[WardCode],"FAE")),"")</f>
        <v/>
      </c>
      <c r="N342" s="25">
        <f>IFERROR(IF(SUMIFS(tblDaily[TransfersOut],tblDaily[EntryDate],DATE(2026,9,15),tblDaily[WardCode],"FAE")=0,"",SUMIFS(tblDaily[TransfersOut],tblDaily[EntryDate],DATE(2026,9,15),tblDaily[WardCode],"FAE")),"")</f>
        <v/>
      </c>
      <c r="O342" s="25">
        <f>IFERROR(IF(SUMIFS(tblDaily[Remaining],tblDaily[EntryDate],DATE(2026,9,15),tblDaily[WardCode],"FAE")=0,"",SUMIFS(tblDaily[Remaining],tblDaily[EntryDate],DATE(2026,9,15),tblDaily[WardCode],"FAE")),"")</f>
        <v/>
      </c>
      <c r="P342" s="26">
        <f>IF(AND(H342="", O342=""), "", N(H342) + N(O342))</f>
        <v/>
      </c>
    </row>
    <row r="343">
      <c r="A343" s="25" t="n">
        <v>16</v>
      </c>
      <c r="B343" s="25">
        <f>IFERROR(IF(SUMIFS(tblDaily[Admissions],tblDaily[EntryDate],DATE(2026,9,16),tblDaily[WardCode],"MAE")=0,"",SUMIFS(tblDaily[Admissions],tblDaily[EntryDate],DATE(2026,9,16),tblDaily[WardCode],"MAE")),"")</f>
        <v/>
      </c>
      <c r="C343" s="25">
        <f>IFERROR(IF(SUMIFS(tblDaily[Discharges],tblDaily[EntryDate],DATE(2026,9,16),tblDaily[WardCode],"MAE")=0,"",SUMIFS(tblDaily[Discharges],tblDaily[EntryDate],DATE(2026,9,16),tblDaily[WardCode],"MAE")),"")</f>
        <v/>
      </c>
      <c r="D343" s="25">
        <f>IFERROR(IF(SUMIFS(tblDaily[Deaths],tblDaily[EntryDate],DATE(2026,9,16),tblDaily[WardCode],"MAE")=0,"",SUMIFS(tblDaily[Deaths],tblDaily[EntryDate],DATE(2026,9,16),tblDaily[WardCode],"MAE")),"")</f>
        <v/>
      </c>
      <c r="E343" s="25">
        <f>IFERROR(IF(SUMIFS(tblDaily[DeathsUnder24Hrs],tblDaily[EntryDate],DATE(2026,9,16),tblDaily[WardCode],"MAE")=0,"",SUMIFS(tblDaily[DeathsUnder24Hrs],tblDaily[EntryDate],DATE(2026,9,16),tblDaily[WardCode],"MAE")),"")</f>
        <v/>
      </c>
      <c r="F343" s="25">
        <f>IFERROR(IF(SUMIFS(tblDaily[TransfersIn],tblDaily[EntryDate],DATE(2026,9,16),tblDaily[WardCode],"MAE")=0,"",SUMIFS(tblDaily[TransfersIn],tblDaily[EntryDate],DATE(2026,9,16),tblDaily[WardCode],"MAE")),"")</f>
        <v/>
      </c>
      <c r="G343" s="25">
        <f>IFERROR(IF(SUMIFS(tblDaily[TransfersOut],tblDaily[EntryDate],DATE(2026,9,16),tblDaily[WardCode],"MAE")=0,"",SUMIFS(tblDaily[TransfersOut],tblDaily[EntryDate],DATE(2026,9,16),tblDaily[WardCode],"MAE")),"")</f>
        <v/>
      </c>
      <c r="H343" s="25">
        <f>IFERROR(IF(SUMIFS(tblDaily[Remaining],tblDaily[EntryDate],DATE(2026,9,16),tblDaily[WardCode],"MAE")=0,"",SUMIFS(tblDaily[Remaining],tblDaily[EntryDate],DATE(2026,9,16),tblDaily[WardCode],"MAE")),"")</f>
        <v/>
      </c>
      <c r="I343" s="25">
        <f>IFERROR(IF(SUMIFS(tblDaily[Admissions],tblDaily[EntryDate],DATE(2026,9,16),tblDaily[WardCode],"FAE")=0,"",SUMIFS(tblDaily[Admissions],tblDaily[EntryDate],DATE(2026,9,16),tblDaily[WardCode],"FAE")),"")</f>
        <v/>
      </c>
      <c r="J343" s="25">
        <f>IFERROR(IF(SUMIFS(tblDaily[Discharges],tblDaily[EntryDate],DATE(2026,9,16),tblDaily[WardCode],"FAE")=0,"",SUMIFS(tblDaily[Discharges],tblDaily[EntryDate],DATE(2026,9,16),tblDaily[WardCode],"FAE")),"")</f>
        <v/>
      </c>
      <c r="K343" s="25">
        <f>IFERROR(IF(SUMIFS(tblDaily[Deaths],tblDaily[EntryDate],DATE(2026,9,16),tblDaily[WardCode],"FAE")=0,"",SUMIFS(tblDaily[Deaths],tblDaily[EntryDate],DATE(2026,9,16),tblDaily[WardCode],"FAE")),"")</f>
        <v/>
      </c>
      <c r="L343" s="25">
        <f>IFERROR(IF(SUMIFS(tblDaily[DeathsUnder24Hrs],tblDaily[EntryDate],DATE(2026,9,16),tblDaily[WardCode],"FAE")=0,"",SUMIFS(tblDaily[DeathsUnder24Hrs],tblDaily[EntryDate],DATE(2026,9,16),tblDaily[WardCode],"FAE")),"")</f>
        <v/>
      </c>
      <c r="M343" s="25">
        <f>IFERROR(IF(SUMIFS(tblDaily[TransfersIn],tblDaily[EntryDate],DATE(2026,9,16),tblDaily[WardCode],"FAE")=0,"",SUMIFS(tblDaily[TransfersIn],tblDaily[EntryDate],DATE(2026,9,16),tblDaily[WardCode],"FAE")),"")</f>
        <v/>
      </c>
      <c r="N343" s="25">
        <f>IFERROR(IF(SUMIFS(tblDaily[TransfersOut],tblDaily[EntryDate],DATE(2026,9,16),tblDaily[WardCode],"FAE")=0,"",SUMIFS(tblDaily[TransfersOut],tblDaily[EntryDate],DATE(2026,9,16),tblDaily[WardCode],"FAE")),"")</f>
        <v/>
      </c>
      <c r="O343" s="25">
        <f>IFERROR(IF(SUMIFS(tblDaily[Remaining],tblDaily[EntryDate],DATE(2026,9,16),tblDaily[WardCode],"FAE")=0,"",SUMIFS(tblDaily[Remaining],tblDaily[EntryDate],DATE(2026,9,16),tblDaily[WardCode],"FAE")),"")</f>
        <v/>
      </c>
      <c r="P343" s="26">
        <f>IF(AND(H343="", O343=""), "", N(H343) + N(O343))</f>
        <v/>
      </c>
    </row>
    <row r="344">
      <c r="A344" s="25" t="n">
        <v>17</v>
      </c>
      <c r="B344" s="25">
        <f>IFERROR(IF(SUMIFS(tblDaily[Admissions],tblDaily[EntryDate],DATE(2026,9,17),tblDaily[WardCode],"MAE")=0,"",SUMIFS(tblDaily[Admissions],tblDaily[EntryDate],DATE(2026,9,17),tblDaily[WardCode],"MAE")),"")</f>
        <v/>
      </c>
      <c r="C344" s="25">
        <f>IFERROR(IF(SUMIFS(tblDaily[Discharges],tblDaily[EntryDate],DATE(2026,9,17),tblDaily[WardCode],"MAE")=0,"",SUMIFS(tblDaily[Discharges],tblDaily[EntryDate],DATE(2026,9,17),tblDaily[WardCode],"MAE")),"")</f>
        <v/>
      </c>
      <c r="D344" s="25">
        <f>IFERROR(IF(SUMIFS(tblDaily[Deaths],tblDaily[EntryDate],DATE(2026,9,17),tblDaily[WardCode],"MAE")=0,"",SUMIFS(tblDaily[Deaths],tblDaily[EntryDate],DATE(2026,9,17),tblDaily[WardCode],"MAE")),"")</f>
        <v/>
      </c>
      <c r="E344" s="25">
        <f>IFERROR(IF(SUMIFS(tblDaily[DeathsUnder24Hrs],tblDaily[EntryDate],DATE(2026,9,17),tblDaily[WardCode],"MAE")=0,"",SUMIFS(tblDaily[DeathsUnder24Hrs],tblDaily[EntryDate],DATE(2026,9,17),tblDaily[WardCode],"MAE")),"")</f>
        <v/>
      </c>
      <c r="F344" s="25">
        <f>IFERROR(IF(SUMIFS(tblDaily[TransfersIn],tblDaily[EntryDate],DATE(2026,9,17),tblDaily[WardCode],"MAE")=0,"",SUMIFS(tblDaily[TransfersIn],tblDaily[EntryDate],DATE(2026,9,17),tblDaily[WardCode],"MAE")),"")</f>
        <v/>
      </c>
      <c r="G344" s="25">
        <f>IFERROR(IF(SUMIFS(tblDaily[TransfersOut],tblDaily[EntryDate],DATE(2026,9,17),tblDaily[WardCode],"MAE")=0,"",SUMIFS(tblDaily[TransfersOut],tblDaily[EntryDate],DATE(2026,9,17),tblDaily[WardCode],"MAE")),"")</f>
        <v/>
      </c>
      <c r="H344" s="25">
        <f>IFERROR(IF(SUMIFS(tblDaily[Remaining],tblDaily[EntryDate],DATE(2026,9,17),tblDaily[WardCode],"MAE")=0,"",SUMIFS(tblDaily[Remaining],tblDaily[EntryDate],DATE(2026,9,17),tblDaily[WardCode],"MAE")),"")</f>
        <v/>
      </c>
      <c r="I344" s="25">
        <f>IFERROR(IF(SUMIFS(tblDaily[Admissions],tblDaily[EntryDate],DATE(2026,9,17),tblDaily[WardCode],"FAE")=0,"",SUMIFS(tblDaily[Admissions],tblDaily[EntryDate],DATE(2026,9,17),tblDaily[WardCode],"FAE")),"")</f>
        <v/>
      </c>
      <c r="J344" s="25">
        <f>IFERROR(IF(SUMIFS(tblDaily[Discharges],tblDaily[EntryDate],DATE(2026,9,17),tblDaily[WardCode],"FAE")=0,"",SUMIFS(tblDaily[Discharges],tblDaily[EntryDate],DATE(2026,9,17),tblDaily[WardCode],"FAE")),"")</f>
        <v/>
      </c>
      <c r="K344" s="25">
        <f>IFERROR(IF(SUMIFS(tblDaily[Deaths],tblDaily[EntryDate],DATE(2026,9,17),tblDaily[WardCode],"FAE")=0,"",SUMIFS(tblDaily[Deaths],tblDaily[EntryDate],DATE(2026,9,17),tblDaily[WardCode],"FAE")),"")</f>
        <v/>
      </c>
      <c r="L344" s="25">
        <f>IFERROR(IF(SUMIFS(tblDaily[DeathsUnder24Hrs],tblDaily[EntryDate],DATE(2026,9,17),tblDaily[WardCode],"FAE")=0,"",SUMIFS(tblDaily[DeathsUnder24Hrs],tblDaily[EntryDate],DATE(2026,9,17),tblDaily[WardCode],"FAE")),"")</f>
        <v/>
      </c>
      <c r="M344" s="25">
        <f>IFERROR(IF(SUMIFS(tblDaily[TransfersIn],tblDaily[EntryDate],DATE(2026,9,17),tblDaily[WardCode],"FAE")=0,"",SUMIFS(tblDaily[TransfersIn],tblDaily[EntryDate],DATE(2026,9,17),tblDaily[WardCode],"FAE")),"")</f>
        <v/>
      </c>
      <c r="N344" s="25">
        <f>IFERROR(IF(SUMIFS(tblDaily[TransfersOut],tblDaily[EntryDate],DATE(2026,9,17),tblDaily[WardCode],"FAE")=0,"",SUMIFS(tblDaily[TransfersOut],tblDaily[EntryDate],DATE(2026,9,17),tblDaily[WardCode],"FAE")),"")</f>
        <v/>
      </c>
      <c r="O344" s="25">
        <f>IFERROR(IF(SUMIFS(tblDaily[Remaining],tblDaily[EntryDate],DATE(2026,9,17),tblDaily[WardCode],"FAE")=0,"",SUMIFS(tblDaily[Remaining],tblDaily[EntryDate],DATE(2026,9,17),tblDaily[WardCode],"FAE")),"")</f>
        <v/>
      </c>
      <c r="P344" s="26">
        <f>IF(AND(H344="", O344=""), "", N(H344) + N(O344))</f>
        <v/>
      </c>
    </row>
    <row r="345">
      <c r="A345" s="25" t="n">
        <v>18</v>
      </c>
      <c r="B345" s="25">
        <f>IFERROR(IF(SUMIFS(tblDaily[Admissions],tblDaily[EntryDate],DATE(2026,9,18),tblDaily[WardCode],"MAE")=0,"",SUMIFS(tblDaily[Admissions],tblDaily[EntryDate],DATE(2026,9,18),tblDaily[WardCode],"MAE")),"")</f>
        <v/>
      </c>
      <c r="C345" s="25">
        <f>IFERROR(IF(SUMIFS(tblDaily[Discharges],tblDaily[EntryDate],DATE(2026,9,18),tblDaily[WardCode],"MAE")=0,"",SUMIFS(tblDaily[Discharges],tblDaily[EntryDate],DATE(2026,9,18),tblDaily[WardCode],"MAE")),"")</f>
        <v/>
      </c>
      <c r="D345" s="25">
        <f>IFERROR(IF(SUMIFS(tblDaily[Deaths],tblDaily[EntryDate],DATE(2026,9,18),tblDaily[WardCode],"MAE")=0,"",SUMIFS(tblDaily[Deaths],tblDaily[EntryDate],DATE(2026,9,18),tblDaily[WardCode],"MAE")),"")</f>
        <v/>
      </c>
      <c r="E345" s="25">
        <f>IFERROR(IF(SUMIFS(tblDaily[DeathsUnder24Hrs],tblDaily[EntryDate],DATE(2026,9,18),tblDaily[WardCode],"MAE")=0,"",SUMIFS(tblDaily[DeathsUnder24Hrs],tblDaily[EntryDate],DATE(2026,9,18),tblDaily[WardCode],"MAE")),"")</f>
        <v/>
      </c>
      <c r="F345" s="25">
        <f>IFERROR(IF(SUMIFS(tblDaily[TransfersIn],tblDaily[EntryDate],DATE(2026,9,18),tblDaily[WardCode],"MAE")=0,"",SUMIFS(tblDaily[TransfersIn],tblDaily[EntryDate],DATE(2026,9,18),tblDaily[WardCode],"MAE")),"")</f>
        <v/>
      </c>
      <c r="G345" s="25">
        <f>IFERROR(IF(SUMIFS(tblDaily[TransfersOut],tblDaily[EntryDate],DATE(2026,9,18),tblDaily[WardCode],"MAE")=0,"",SUMIFS(tblDaily[TransfersOut],tblDaily[EntryDate],DATE(2026,9,18),tblDaily[WardCode],"MAE")),"")</f>
        <v/>
      </c>
      <c r="H345" s="25">
        <f>IFERROR(IF(SUMIFS(tblDaily[Remaining],tblDaily[EntryDate],DATE(2026,9,18),tblDaily[WardCode],"MAE")=0,"",SUMIFS(tblDaily[Remaining],tblDaily[EntryDate],DATE(2026,9,18),tblDaily[WardCode],"MAE")),"")</f>
        <v/>
      </c>
      <c r="I345" s="25">
        <f>IFERROR(IF(SUMIFS(tblDaily[Admissions],tblDaily[EntryDate],DATE(2026,9,18),tblDaily[WardCode],"FAE")=0,"",SUMIFS(tblDaily[Admissions],tblDaily[EntryDate],DATE(2026,9,18),tblDaily[WardCode],"FAE")),"")</f>
        <v/>
      </c>
      <c r="J345" s="25">
        <f>IFERROR(IF(SUMIFS(tblDaily[Discharges],tblDaily[EntryDate],DATE(2026,9,18),tblDaily[WardCode],"FAE")=0,"",SUMIFS(tblDaily[Discharges],tblDaily[EntryDate],DATE(2026,9,18),tblDaily[WardCode],"FAE")),"")</f>
        <v/>
      </c>
      <c r="K345" s="25">
        <f>IFERROR(IF(SUMIFS(tblDaily[Deaths],tblDaily[EntryDate],DATE(2026,9,18),tblDaily[WardCode],"FAE")=0,"",SUMIFS(tblDaily[Deaths],tblDaily[EntryDate],DATE(2026,9,18),tblDaily[WardCode],"FAE")),"")</f>
        <v/>
      </c>
      <c r="L345" s="25">
        <f>IFERROR(IF(SUMIFS(tblDaily[DeathsUnder24Hrs],tblDaily[EntryDate],DATE(2026,9,18),tblDaily[WardCode],"FAE")=0,"",SUMIFS(tblDaily[DeathsUnder24Hrs],tblDaily[EntryDate],DATE(2026,9,18),tblDaily[WardCode],"FAE")),"")</f>
        <v/>
      </c>
      <c r="M345" s="25">
        <f>IFERROR(IF(SUMIFS(tblDaily[TransfersIn],tblDaily[EntryDate],DATE(2026,9,18),tblDaily[WardCode],"FAE")=0,"",SUMIFS(tblDaily[TransfersIn],tblDaily[EntryDate],DATE(2026,9,18),tblDaily[WardCode],"FAE")),"")</f>
        <v/>
      </c>
      <c r="N345" s="25">
        <f>IFERROR(IF(SUMIFS(tblDaily[TransfersOut],tblDaily[EntryDate],DATE(2026,9,18),tblDaily[WardCode],"FAE")=0,"",SUMIFS(tblDaily[TransfersOut],tblDaily[EntryDate],DATE(2026,9,18),tblDaily[WardCode],"FAE")),"")</f>
        <v/>
      </c>
      <c r="O345" s="25">
        <f>IFERROR(IF(SUMIFS(tblDaily[Remaining],tblDaily[EntryDate],DATE(2026,9,18),tblDaily[WardCode],"FAE")=0,"",SUMIFS(tblDaily[Remaining],tblDaily[EntryDate],DATE(2026,9,18),tblDaily[WardCode],"FAE")),"")</f>
        <v/>
      </c>
      <c r="P345" s="26">
        <f>IF(AND(H345="", O345=""), "", N(H345) + N(O345))</f>
        <v/>
      </c>
    </row>
    <row r="346">
      <c r="A346" s="25" t="n">
        <v>19</v>
      </c>
      <c r="B346" s="25">
        <f>IFERROR(IF(SUMIFS(tblDaily[Admissions],tblDaily[EntryDate],DATE(2026,9,19),tblDaily[WardCode],"MAE")=0,"",SUMIFS(tblDaily[Admissions],tblDaily[EntryDate],DATE(2026,9,19),tblDaily[WardCode],"MAE")),"")</f>
        <v/>
      </c>
      <c r="C346" s="25">
        <f>IFERROR(IF(SUMIFS(tblDaily[Discharges],tblDaily[EntryDate],DATE(2026,9,19),tblDaily[WardCode],"MAE")=0,"",SUMIFS(tblDaily[Discharges],tblDaily[EntryDate],DATE(2026,9,19),tblDaily[WardCode],"MAE")),"")</f>
        <v/>
      </c>
      <c r="D346" s="25">
        <f>IFERROR(IF(SUMIFS(tblDaily[Deaths],tblDaily[EntryDate],DATE(2026,9,19),tblDaily[WardCode],"MAE")=0,"",SUMIFS(tblDaily[Deaths],tblDaily[EntryDate],DATE(2026,9,19),tblDaily[WardCode],"MAE")),"")</f>
        <v/>
      </c>
      <c r="E346" s="25">
        <f>IFERROR(IF(SUMIFS(tblDaily[DeathsUnder24Hrs],tblDaily[EntryDate],DATE(2026,9,19),tblDaily[WardCode],"MAE")=0,"",SUMIFS(tblDaily[DeathsUnder24Hrs],tblDaily[EntryDate],DATE(2026,9,19),tblDaily[WardCode],"MAE")),"")</f>
        <v/>
      </c>
      <c r="F346" s="25">
        <f>IFERROR(IF(SUMIFS(tblDaily[TransfersIn],tblDaily[EntryDate],DATE(2026,9,19),tblDaily[WardCode],"MAE")=0,"",SUMIFS(tblDaily[TransfersIn],tblDaily[EntryDate],DATE(2026,9,19),tblDaily[WardCode],"MAE")),"")</f>
        <v/>
      </c>
      <c r="G346" s="25">
        <f>IFERROR(IF(SUMIFS(tblDaily[TransfersOut],tblDaily[EntryDate],DATE(2026,9,19),tblDaily[WardCode],"MAE")=0,"",SUMIFS(tblDaily[TransfersOut],tblDaily[EntryDate],DATE(2026,9,19),tblDaily[WardCode],"MAE")),"")</f>
        <v/>
      </c>
      <c r="H346" s="25">
        <f>IFERROR(IF(SUMIFS(tblDaily[Remaining],tblDaily[EntryDate],DATE(2026,9,19),tblDaily[WardCode],"MAE")=0,"",SUMIFS(tblDaily[Remaining],tblDaily[EntryDate],DATE(2026,9,19),tblDaily[WardCode],"MAE")),"")</f>
        <v/>
      </c>
      <c r="I346" s="25">
        <f>IFERROR(IF(SUMIFS(tblDaily[Admissions],tblDaily[EntryDate],DATE(2026,9,19),tblDaily[WardCode],"FAE")=0,"",SUMIFS(tblDaily[Admissions],tblDaily[EntryDate],DATE(2026,9,19),tblDaily[WardCode],"FAE")),"")</f>
        <v/>
      </c>
      <c r="J346" s="25">
        <f>IFERROR(IF(SUMIFS(tblDaily[Discharges],tblDaily[EntryDate],DATE(2026,9,19),tblDaily[WardCode],"FAE")=0,"",SUMIFS(tblDaily[Discharges],tblDaily[EntryDate],DATE(2026,9,19),tblDaily[WardCode],"FAE")),"")</f>
        <v/>
      </c>
      <c r="K346" s="25">
        <f>IFERROR(IF(SUMIFS(tblDaily[Deaths],tblDaily[EntryDate],DATE(2026,9,19),tblDaily[WardCode],"FAE")=0,"",SUMIFS(tblDaily[Deaths],tblDaily[EntryDate],DATE(2026,9,19),tblDaily[WardCode],"FAE")),"")</f>
        <v/>
      </c>
      <c r="L346" s="25">
        <f>IFERROR(IF(SUMIFS(tblDaily[DeathsUnder24Hrs],tblDaily[EntryDate],DATE(2026,9,19),tblDaily[WardCode],"FAE")=0,"",SUMIFS(tblDaily[DeathsUnder24Hrs],tblDaily[EntryDate],DATE(2026,9,19),tblDaily[WardCode],"FAE")),"")</f>
        <v/>
      </c>
      <c r="M346" s="25">
        <f>IFERROR(IF(SUMIFS(tblDaily[TransfersIn],tblDaily[EntryDate],DATE(2026,9,19),tblDaily[WardCode],"FAE")=0,"",SUMIFS(tblDaily[TransfersIn],tblDaily[EntryDate],DATE(2026,9,19),tblDaily[WardCode],"FAE")),"")</f>
        <v/>
      </c>
      <c r="N346" s="25">
        <f>IFERROR(IF(SUMIFS(tblDaily[TransfersOut],tblDaily[EntryDate],DATE(2026,9,19),tblDaily[WardCode],"FAE")=0,"",SUMIFS(tblDaily[TransfersOut],tblDaily[EntryDate],DATE(2026,9,19),tblDaily[WardCode],"FAE")),"")</f>
        <v/>
      </c>
      <c r="O346" s="25">
        <f>IFERROR(IF(SUMIFS(tblDaily[Remaining],tblDaily[EntryDate],DATE(2026,9,19),tblDaily[WardCode],"FAE")=0,"",SUMIFS(tblDaily[Remaining],tblDaily[EntryDate],DATE(2026,9,19),tblDaily[WardCode],"FAE")),"")</f>
        <v/>
      </c>
      <c r="P346" s="26">
        <f>IF(AND(H346="", O346=""), "", N(H346) + N(O346))</f>
        <v/>
      </c>
    </row>
    <row r="347">
      <c r="A347" s="25" t="n">
        <v>20</v>
      </c>
      <c r="B347" s="25">
        <f>IFERROR(IF(SUMIFS(tblDaily[Admissions],tblDaily[EntryDate],DATE(2026,9,20),tblDaily[WardCode],"MAE")=0,"",SUMIFS(tblDaily[Admissions],tblDaily[EntryDate],DATE(2026,9,20),tblDaily[WardCode],"MAE")),"")</f>
        <v/>
      </c>
      <c r="C347" s="25">
        <f>IFERROR(IF(SUMIFS(tblDaily[Discharges],tblDaily[EntryDate],DATE(2026,9,20),tblDaily[WardCode],"MAE")=0,"",SUMIFS(tblDaily[Discharges],tblDaily[EntryDate],DATE(2026,9,20),tblDaily[WardCode],"MAE")),"")</f>
        <v/>
      </c>
      <c r="D347" s="25">
        <f>IFERROR(IF(SUMIFS(tblDaily[Deaths],tblDaily[EntryDate],DATE(2026,9,20),tblDaily[WardCode],"MAE")=0,"",SUMIFS(tblDaily[Deaths],tblDaily[EntryDate],DATE(2026,9,20),tblDaily[WardCode],"MAE")),"")</f>
        <v/>
      </c>
      <c r="E347" s="25">
        <f>IFERROR(IF(SUMIFS(tblDaily[DeathsUnder24Hrs],tblDaily[EntryDate],DATE(2026,9,20),tblDaily[WardCode],"MAE")=0,"",SUMIFS(tblDaily[DeathsUnder24Hrs],tblDaily[EntryDate],DATE(2026,9,20),tblDaily[WardCode],"MAE")),"")</f>
        <v/>
      </c>
      <c r="F347" s="25">
        <f>IFERROR(IF(SUMIFS(tblDaily[TransfersIn],tblDaily[EntryDate],DATE(2026,9,20),tblDaily[WardCode],"MAE")=0,"",SUMIFS(tblDaily[TransfersIn],tblDaily[EntryDate],DATE(2026,9,20),tblDaily[WardCode],"MAE")),"")</f>
        <v/>
      </c>
      <c r="G347" s="25">
        <f>IFERROR(IF(SUMIFS(tblDaily[TransfersOut],tblDaily[EntryDate],DATE(2026,9,20),tblDaily[WardCode],"MAE")=0,"",SUMIFS(tblDaily[TransfersOut],tblDaily[EntryDate],DATE(2026,9,20),tblDaily[WardCode],"MAE")),"")</f>
        <v/>
      </c>
      <c r="H347" s="25">
        <f>IFERROR(IF(SUMIFS(tblDaily[Remaining],tblDaily[EntryDate],DATE(2026,9,20),tblDaily[WardCode],"MAE")=0,"",SUMIFS(tblDaily[Remaining],tblDaily[EntryDate],DATE(2026,9,20),tblDaily[WardCode],"MAE")),"")</f>
        <v/>
      </c>
      <c r="I347" s="25">
        <f>IFERROR(IF(SUMIFS(tblDaily[Admissions],tblDaily[EntryDate],DATE(2026,9,20),tblDaily[WardCode],"FAE")=0,"",SUMIFS(tblDaily[Admissions],tblDaily[EntryDate],DATE(2026,9,20),tblDaily[WardCode],"FAE")),"")</f>
        <v/>
      </c>
      <c r="J347" s="25">
        <f>IFERROR(IF(SUMIFS(tblDaily[Discharges],tblDaily[EntryDate],DATE(2026,9,20),tblDaily[WardCode],"FAE")=0,"",SUMIFS(tblDaily[Discharges],tblDaily[EntryDate],DATE(2026,9,20),tblDaily[WardCode],"FAE")),"")</f>
        <v/>
      </c>
      <c r="K347" s="25">
        <f>IFERROR(IF(SUMIFS(tblDaily[Deaths],tblDaily[EntryDate],DATE(2026,9,20),tblDaily[WardCode],"FAE")=0,"",SUMIFS(tblDaily[Deaths],tblDaily[EntryDate],DATE(2026,9,20),tblDaily[WardCode],"FAE")),"")</f>
        <v/>
      </c>
      <c r="L347" s="25">
        <f>IFERROR(IF(SUMIFS(tblDaily[DeathsUnder24Hrs],tblDaily[EntryDate],DATE(2026,9,20),tblDaily[WardCode],"FAE")=0,"",SUMIFS(tblDaily[DeathsUnder24Hrs],tblDaily[EntryDate],DATE(2026,9,20),tblDaily[WardCode],"FAE")),"")</f>
        <v/>
      </c>
      <c r="M347" s="25">
        <f>IFERROR(IF(SUMIFS(tblDaily[TransfersIn],tblDaily[EntryDate],DATE(2026,9,20),tblDaily[WardCode],"FAE")=0,"",SUMIFS(tblDaily[TransfersIn],tblDaily[EntryDate],DATE(2026,9,20),tblDaily[WardCode],"FAE")),"")</f>
        <v/>
      </c>
      <c r="N347" s="25">
        <f>IFERROR(IF(SUMIFS(tblDaily[TransfersOut],tblDaily[EntryDate],DATE(2026,9,20),tblDaily[WardCode],"FAE")=0,"",SUMIFS(tblDaily[TransfersOut],tblDaily[EntryDate],DATE(2026,9,20),tblDaily[WardCode],"FAE")),"")</f>
        <v/>
      </c>
      <c r="O347" s="25">
        <f>IFERROR(IF(SUMIFS(tblDaily[Remaining],tblDaily[EntryDate],DATE(2026,9,20),tblDaily[WardCode],"FAE")=0,"",SUMIFS(tblDaily[Remaining],tblDaily[EntryDate],DATE(2026,9,20),tblDaily[WardCode],"FAE")),"")</f>
        <v/>
      </c>
      <c r="P347" s="26">
        <f>IF(AND(H347="", O347=""), "", N(H347) + N(O347))</f>
        <v/>
      </c>
    </row>
    <row r="348">
      <c r="A348" s="25" t="n">
        <v>21</v>
      </c>
      <c r="B348" s="25">
        <f>IFERROR(IF(SUMIFS(tblDaily[Admissions],tblDaily[EntryDate],DATE(2026,9,21),tblDaily[WardCode],"MAE")=0,"",SUMIFS(tblDaily[Admissions],tblDaily[EntryDate],DATE(2026,9,21),tblDaily[WardCode],"MAE")),"")</f>
        <v/>
      </c>
      <c r="C348" s="25">
        <f>IFERROR(IF(SUMIFS(tblDaily[Discharges],tblDaily[EntryDate],DATE(2026,9,21),tblDaily[WardCode],"MAE")=0,"",SUMIFS(tblDaily[Discharges],tblDaily[EntryDate],DATE(2026,9,21),tblDaily[WardCode],"MAE")),"")</f>
        <v/>
      </c>
      <c r="D348" s="25">
        <f>IFERROR(IF(SUMIFS(tblDaily[Deaths],tblDaily[EntryDate],DATE(2026,9,21),tblDaily[WardCode],"MAE")=0,"",SUMIFS(tblDaily[Deaths],tblDaily[EntryDate],DATE(2026,9,21),tblDaily[WardCode],"MAE")),"")</f>
        <v/>
      </c>
      <c r="E348" s="25">
        <f>IFERROR(IF(SUMIFS(tblDaily[DeathsUnder24Hrs],tblDaily[EntryDate],DATE(2026,9,21),tblDaily[WardCode],"MAE")=0,"",SUMIFS(tblDaily[DeathsUnder24Hrs],tblDaily[EntryDate],DATE(2026,9,21),tblDaily[WardCode],"MAE")),"")</f>
        <v/>
      </c>
      <c r="F348" s="25">
        <f>IFERROR(IF(SUMIFS(tblDaily[TransfersIn],tblDaily[EntryDate],DATE(2026,9,21),tblDaily[WardCode],"MAE")=0,"",SUMIFS(tblDaily[TransfersIn],tblDaily[EntryDate],DATE(2026,9,21),tblDaily[WardCode],"MAE")),"")</f>
        <v/>
      </c>
      <c r="G348" s="25">
        <f>IFERROR(IF(SUMIFS(tblDaily[TransfersOut],tblDaily[EntryDate],DATE(2026,9,21),tblDaily[WardCode],"MAE")=0,"",SUMIFS(tblDaily[TransfersOut],tblDaily[EntryDate],DATE(2026,9,21),tblDaily[WardCode],"MAE")),"")</f>
        <v/>
      </c>
      <c r="H348" s="25">
        <f>IFERROR(IF(SUMIFS(tblDaily[Remaining],tblDaily[EntryDate],DATE(2026,9,21),tblDaily[WardCode],"MAE")=0,"",SUMIFS(tblDaily[Remaining],tblDaily[EntryDate],DATE(2026,9,21),tblDaily[WardCode],"MAE")),"")</f>
        <v/>
      </c>
      <c r="I348" s="25">
        <f>IFERROR(IF(SUMIFS(tblDaily[Admissions],tblDaily[EntryDate],DATE(2026,9,21),tblDaily[WardCode],"FAE")=0,"",SUMIFS(tblDaily[Admissions],tblDaily[EntryDate],DATE(2026,9,21),tblDaily[WardCode],"FAE")),"")</f>
        <v/>
      </c>
      <c r="J348" s="25">
        <f>IFERROR(IF(SUMIFS(tblDaily[Discharges],tblDaily[EntryDate],DATE(2026,9,21),tblDaily[WardCode],"FAE")=0,"",SUMIFS(tblDaily[Discharges],tblDaily[EntryDate],DATE(2026,9,21),tblDaily[WardCode],"FAE")),"")</f>
        <v/>
      </c>
      <c r="K348" s="25">
        <f>IFERROR(IF(SUMIFS(tblDaily[Deaths],tblDaily[EntryDate],DATE(2026,9,21),tblDaily[WardCode],"FAE")=0,"",SUMIFS(tblDaily[Deaths],tblDaily[EntryDate],DATE(2026,9,21),tblDaily[WardCode],"FAE")),"")</f>
        <v/>
      </c>
      <c r="L348" s="25">
        <f>IFERROR(IF(SUMIFS(tblDaily[DeathsUnder24Hrs],tblDaily[EntryDate],DATE(2026,9,21),tblDaily[WardCode],"FAE")=0,"",SUMIFS(tblDaily[DeathsUnder24Hrs],tblDaily[EntryDate],DATE(2026,9,21),tblDaily[WardCode],"FAE")),"")</f>
        <v/>
      </c>
      <c r="M348" s="25">
        <f>IFERROR(IF(SUMIFS(tblDaily[TransfersIn],tblDaily[EntryDate],DATE(2026,9,21),tblDaily[WardCode],"FAE")=0,"",SUMIFS(tblDaily[TransfersIn],tblDaily[EntryDate],DATE(2026,9,21),tblDaily[WardCode],"FAE")),"")</f>
        <v/>
      </c>
      <c r="N348" s="25">
        <f>IFERROR(IF(SUMIFS(tblDaily[TransfersOut],tblDaily[EntryDate],DATE(2026,9,21),tblDaily[WardCode],"FAE")=0,"",SUMIFS(tblDaily[TransfersOut],tblDaily[EntryDate],DATE(2026,9,21),tblDaily[WardCode],"FAE")),"")</f>
        <v/>
      </c>
      <c r="O348" s="25">
        <f>IFERROR(IF(SUMIFS(tblDaily[Remaining],tblDaily[EntryDate],DATE(2026,9,21),tblDaily[WardCode],"FAE")=0,"",SUMIFS(tblDaily[Remaining],tblDaily[EntryDate],DATE(2026,9,21),tblDaily[WardCode],"FAE")),"")</f>
        <v/>
      </c>
      <c r="P348" s="26">
        <f>IF(AND(H348="", O348=""), "", N(H348) + N(O348))</f>
        <v/>
      </c>
    </row>
    <row r="349">
      <c r="A349" s="25" t="n">
        <v>22</v>
      </c>
      <c r="B349" s="25">
        <f>IFERROR(IF(SUMIFS(tblDaily[Admissions],tblDaily[EntryDate],DATE(2026,9,22),tblDaily[WardCode],"MAE")=0,"",SUMIFS(tblDaily[Admissions],tblDaily[EntryDate],DATE(2026,9,22),tblDaily[WardCode],"MAE")),"")</f>
        <v/>
      </c>
      <c r="C349" s="25">
        <f>IFERROR(IF(SUMIFS(tblDaily[Discharges],tblDaily[EntryDate],DATE(2026,9,22),tblDaily[WardCode],"MAE")=0,"",SUMIFS(tblDaily[Discharges],tblDaily[EntryDate],DATE(2026,9,22),tblDaily[WardCode],"MAE")),"")</f>
        <v/>
      </c>
      <c r="D349" s="25">
        <f>IFERROR(IF(SUMIFS(tblDaily[Deaths],tblDaily[EntryDate],DATE(2026,9,22),tblDaily[WardCode],"MAE")=0,"",SUMIFS(tblDaily[Deaths],tblDaily[EntryDate],DATE(2026,9,22),tblDaily[WardCode],"MAE")),"")</f>
        <v/>
      </c>
      <c r="E349" s="25">
        <f>IFERROR(IF(SUMIFS(tblDaily[DeathsUnder24Hrs],tblDaily[EntryDate],DATE(2026,9,22),tblDaily[WardCode],"MAE")=0,"",SUMIFS(tblDaily[DeathsUnder24Hrs],tblDaily[EntryDate],DATE(2026,9,22),tblDaily[WardCode],"MAE")),"")</f>
        <v/>
      </c>
      <c r="F349" s="25">
        <f>IFERROR(IF(SUMIFS(tblDaily[TransfersIn],tblDaily[EntryDate],DATE(2026,9,22),tblDaily[WardCode],"MAE")=0,"",SUMIFS(tblDaily[TransfersIn],tblDaily[EntryDate],DATE(2026,9,22),tblDaily[WardCode],"MAE")),"")</f>
        <v/>
      </c>
      <c r="G349" s="25">
        <f>IFERROR(IF(SUMIFS(tblDaily[TransfersOut],tblDaily[EntryDate],DATE(2026,9,22),tblDaily[WardCode],"MAE")=0,"",SUMIFS(tblDaily[TransfersOut],tblDaily[EntryDate],DATE(2026,9,22),tblDaily[WardCode],"MAE")),"")</f>
        <v/>
      </c>
      <c r="H349" s="25">
        <f>IFERROR(IF(SUMIFS(tblDaily[Remaining],tblDaily[EntryDate],DATE(2026,9,22),tblDaily[WardCode],"MAE")=0,"",SUMIFS(tblDaily[Remaining],tblDaily[EntryDate],DATE(2026,9,22),tblDaily[WardCode],"MAE")),"")</f>
        <v/>
      </c>
      <c r="I349" s="25">
        <f>IFERROR(IF(SUMIFS(tblDaily[Admissions],tblDaily[EntryDate],DATE(2026,9,22),tblDaily[WardCode],"FAE")=0,"",SUMIFS(tblDaily[Admissions],tblDaily[EntryDate],DATE(2026,9,22),tblDaily[WardCode],"FAE")),"")</f>
        <v/>
      </c>
      <c r="J349" s="25">
        <f>IFERROR(IF(SUMIFS(tblDaily[Discharges],tblDaily[EntryDate],DATE(2026,9,22),tblDaily[WardCode],"FAE")=0,"",SUMIFS(tblDaily[Discharges],tblDaily[EntryDate],DATE(2026,9,22),tblDaily[WardCode],"FAE")),"")</f>
        <v/>
      </c>
      <c r="K349" s="25">
        <f>IFERROR(IF(SUMIFS(tblDaily[Deaths],tblDaily[EntryDate],DATE(2026,9,22),tblDaily[WardCode],"FAE")=0,"",SUMIFS(tblDaily[Deaths],tblDaily[EntryDate],DATE(2026,9,22),tblDaily[WardCode],"FAE")),"")</f>
        <v/>
      </c>
      <c r="L349" s="25">
        <f>IFERROR(IF(SUMIFS(tblDaily[DeathsUnder24Hrs],tblDaily[EntryDate],DATE(2026,9,22),tblDaily[WardCode],"FAE")=0,"",SUMIFS(tblDaily[DeathsUnder24Hrs],tblDaily[EntryDate],DATE(2026,9,22),tblDaily[WardCode],"FAE")),"")</f>
        <v/>
      </c>
      <c r="M349" s="25">
        <f>IFERROR(IF(SUMIFS(tblDaily[TransfersIn],tblDaily[EntryDate],DATE(2026,9,22),tblDaily[WardCode],"FAE")=0,"",SUMIFS(tblDaily[TransfersIn],tblDaily[EntryDate],DATE(2026,9,22),tblDaily[WardCode],"FAE")),"")</f>
        <v/>
      </c>
      <c r="N349" s="25">
        <f>IFERROR(IF(SUMIFS(tblDaily[TransfersOut],tblDaily[EntryDate],DATE(2026,9,22),tblDaily[WardCode],"FAE")=0,"",SUMIFS(tblDaily[TransfersOut],tblDaily[EntryDate],DATE(2026,9,22),tblDaily[WardCode],"FAE")),"")</f>
        <v/>
      </c>
      <c r="O349" s="25">
        <f>IFERROR(IF(SUMIFS(tblDaily[Remaining],tblDaily[EntryDate],DATE(2026,9,22),tblDaily[WardCode],"FAE")=0,"",SUMIFS(tblDaily[Remaining],tblDaily[EntryDate],DATE(2026,9,22),tblDaily[WardCode],"FAE")),"")</f>
        <v/>
      </c>
      <c r="P349" s="26">
        <f>IF(AND(H349="", O349=""), "", N(H349) + N(O349))</f>
        <v/>
      </c>
    </row>
    <row r="350">
      <c r="A350" s="25" t="n">
        <v>23</v>
      </c>
      <c r="B350" s="25">
        <f>IFERROR(IF(SUMIFS(tblDaily[Admissions],tblDaily[EntryDate],DATE(2026,9,23),tblDaily[WardCode],"MAE")=0,"",SUMIFS(tblDaily[Admissions],tblDaily[EntryDate],DATE(2026,9,23),tblDaily[WardCode],"MAE")),"")</f>
        <v/>
      </c>
      <c r="C350" s="25">
        <f>IFERROR(IF(SUMIFS(tblDaily[Discharges],tblDaily[EntryDate],DATE(2026,9,23),tblDaily[WardCode],"MAE")=0,"",SUMIFS(tblDaily[Discharges],tblDaily[EntryDate],DATE(2026,9,23),tblDaily[WardCode],"MAE")),"")</f>
        <v/>
      </c>
      <c r="D350" s="25">
        <f>IFERROR(IF(SUMIFS(tblDaily[Deaths],tblDaily[EntryDate],DATE(2026,9,23),tblDaily[WardCode],"MAE")=0,"",SUMIFS(tblDaily[Deaths],tblDaily[EntryDate],DATE(2026,9,23),tblDaily[WardCode],"MAE")),"")</f>
        <v/>
      </c>
      <c r="E350" s="25">
        <f>IFERROR(IF(SUMIFS(tblDaily[DeathsUnder24Hrs],tblDaily[EntryDate],DATE(2026,9,23),tblDaily[WardCode],"MAE")=0,"",SUMIFS(tblDaily[DeathsUnder24Hrs],tblDaily[EntryDate],DATE(2026,9,23),tblDaily[WardCode],"MAE")),"")</f>
        <v/>
      </c>
      <c r="F350" s="25">
        <f>IFERROR(IF(SUMIFS(tblDaily[TransfersIn],tblDaily[EntryDate],DATE(2026,9,23),tblDaily[WardCode],"MAE")=0,"",SUMIFS(tblDaily[TransfersIn],tblDaily[EntryDate],DATE(2026,9,23),tblDaily[WardCode],"MAE")),"")</f>
        <v/>
      </c>
      <c r="G350" s="25">
        <f>IFERROR(IF(SUMIFS(tblDaily[TransfersOut],tblDaily[EntryDate],DATE(2026,9,23),tblDaily[WardCode],"MAE")=0,"",SUMIFS(tblDaily[TransfersOut],tblDaily[EntryDate],DATE(2026,9,23),tblDaily[WardCode],"MAE")),"")</f>
        <v/>
      </c>
      <c r="H350" s="25">
        <f>IFERROR(IF(SUMIFS(tblDaily[Remaining],tblDaily[EntryDate],DATE(2026,9,23),tblDaily[WardCode],"MAE")=0,"",SUMIFS(tblDaily[Remaining],tblDaily[EntryDate],DATE(2026,9,23),tblDaily[WardCode],"MAE")),"")</f>
        <v/>
      </c>
      <c r="I350" s="25">
        <f>IFERROR(IF(SUMIFS(tblDaily[Admissions],tblDaily[EntryDate],DATE(2026,9,23),tblDaily[WardCode],"FAE")=0,"",SUMIFS(tblDaily[Admissions],tblDaily[EntryDate],DATE(2026,9,23),tblDaily[WardCode],"FAE")),"")</f>
        <v/>
      </c>
      <c r="J350" s="25">
        <f>IFERROR(IF(SUMIFS(tblDaily[Discharges],tblDaily[EntryDate],DATE(2026,9,23),tblDaily[WardCode],"FAE")=0,"",SUMIFS(tblDaily[Discharges],tblDaily[EntryDate],DATE(2026,9,23),tblDaily[WardCode],"FAE")),"")</f>
        <v/>
      </c>
      <c r="K350" s="25">
        <f>IFERROR(IF(SUMIFS(tblDaily[Deaths],tblDaily[EntryDate],DATE(2026,9,23),tblDaily[WardCode],"FAE")=0,"",SUMIFS(tblDaily[Deaths],tblDaily[EntryDate],DATE(2026,9,23),tblDaily[WardCode],"FAE")),"")</f>
        <v/>
      </c>
      <c r="L350" s="25">
        <f>IFERROR(IF(SUMIFS(tblDaily[DeathsUnder24Hrs],tblDaily[EntryDate],DATE(2026,9,23),tblDaily[WardCode],"FAE")=0,"",SUMIFS(tblDaily[DeathsUnder24Hrs],tblDaily[EntryDate],DATE(2026,9,23),tblDaily[WardCode],"FAE")),"")</f>
        <v/>
      </c>
      <c r="M350" s="25">
        <f>IFERROR(IF(SUMIFS(tblDaily[TransfersIn],tblDaily[EntryDate],DATE(2026,9,23),tblDaily[WardCode],"FAE")=0,"",SUMIFS(tblDaily[TransfersIn],tblDaily[EntryDate],DATE(2026,9,23),tblDaily[WardCode],"FAE")),"")</f>
        <v/>
      </c>
      <c r="N350" s="25">
        <f>IFERROR(IF(SUMIFS(tblDaily[TransfersOut],tblDaily[EntryDate],DATE(2026,9,23),tblDaily[WardCode],"FAE")=0,"",SUMIFS(tblDaily[TransfersOut],tblDaily[EntryDate],DATE(2026,9,23),tblDaily[WardCode],"FAE")),"")</f>
        <v/>
      </c>
      <c r="O350" s="25">
        <f>IFERROR(IF(SUMIFS(tblDaily[Remaining],tblDaily[EntryDate],DATE(2026,9,23),tblDaily[WardCode],"FAE")=0,"",SUMIFS(tblDaily[Remaining],tblDaily[EntryDate],DATE(2026,9,23),tblDaily[WardCode],"FAE")),"")</f>
        <v/>
      </c>
      <c r="P350" s="26">
        <f>IF(AND(H350="", O350=""), "", N(H350) + N(O350))</f>
        <v/>
      </c>
    </row>
    <row r="351">
      <c r="A351" s="25" t="n">
        <v>24</v>
      </c>
      <c r="B351" s="25">
        <f>IFERROR(IF(SUMIFS(tblDaily[Admissions],tblDaily[EntryDate],DATE(2026,9,24),tblDaily[WardCode],"MAE")=0,"",SUMIFS(tblDaily[Admissions],tblDaily[EntryDate],DATE(2026,9,24),tblDaily[WardCode],"MAE")),"")</f>
        <v/>
      </c>
      <c r="C351" s="25">
        <f>IFERROR(IF(SUMIFS(tblDaily[Discharges],tblDaily[EntryDate],DATE(2026,9,24),tblDaily[WardCode],"MAE")=0,"",SUMIFS(tblDaily[Discharges],tblDaily[EntryDate],DATE(2026,9,24),tblDaily[WardCode],"MAE")),"")</f>
        <v/>
      </c>
      <c r="D351" s="25">
        <f>IFERROR(IF(SUMIFS(tblDaily[Deaths],tblDaily[EntryDate],DATE(2026,9,24),tblDaily[WardCode],"MAE")=0,"",SUMIFS(tblDaily[Deaths],tblDaily[EntryDate],DATE(2026,9,24),tblDaily[WardCode],"MAE")),"")</f>
        <v/>
      </c>
      <c r="E351" s="25">
        <f>IFERROR(IF(SUMIFS(tblDaily[DeathsUnder24Hrs],tblDaily[EntryDate],DATE(2026,9,24),tblDaily[WardCode],"MAE")=0,"",SUMIFS(tblDaily[DeathsUnder24Hrs],tblDaily[EntryDate],DATE(2026,9,24),tblDaily[WardCode],"MAE")),"")</f>
        <v/>
      </c>
      <c r="F351" s="25">
        <f>IFERROR(IF(SUMIFS(tblDaily[TransfersIn],tblDaily[EntryDate],DATE(2026,9,24),tblDaily[WardCode],"MAE")=0,"",SUMIFS(tblDaily[TransfersIn],tblDaily[EntryDate],DATE(2026,9,24),tblDaily[WardCode],"MAE")),"")</f>
        <v/>
      </c>
      <c r="G351" s="25">
        <f>IFERROR(IF(SUMIFS(tblDaily[TransfersOut],tblDaily[EntryDate],DATE(2026,9,24),tblDaily[WardCode],"MAE")=0,"",SUMIFS(tblDaily[TransfersOut],tblDaily[EntryDate],DATE(2026,9,24),tblDaily[WardCode],"MAE")),"")</f>
        <v/>
      </c>
      <c r="H351" s="25">
        <f>IFERROR(IF(SUMIFS(tblDaily[Remaining],tblDaily[EntryDate],DATE(2026,9,24),tblDaily[WardCode],"MAE")=0,"",SUMIFS(tblDaily[Remaining],tblDaily[EntryDate],DATE(2026,9,24),tblDaily[WardCode],"MAE")),"")</f>
        <v/>
      </c>
      <c r="I351" s="25">
        <f>IFERROR(IF(SUMIFS(tblDaily[Admissions],tblDaily[EntryDate],DATE(2026,9,24),tblDaily[WardCode],"FAE")=0,"",SUMIFS(tblDaily[Admissions],tblDaily[EntryDate],DATE(2026,9,24),tblDaily[WardCode],"FAE")),"")</f>
        <v/>
      </c>
      <c r="J351" s="25">
        <f>IFERROR(IF(SUMIFS(tblDaily[Discharges],tblDaily[EntryDate],DATE(2026,9,24),tblDaily[WardCode],"FAE")=0,"",SUMIFS(tblDaily[Discharges],tblDaily[EntryDate],DATE(2026,9,24),tblDaily[WardCode],"FAE")),"")</f>
        <v/>
      </c>
      <c r="K351" s="25">
        <f>IFERROR(IF(SUMIFS(tblDaily[Deaths],tblDaily[EntryDate],DATE(2026,9,24),tblDaily[WardCode],"FAE")=0,"",SUMIFS(tblDaily[Deaths],tblDaily[EntryDate],DATE(2026,9,24),tblDaily[WardCode],"FAE")),"")</f>
        <v/>
      </c>
      <c r="L351" s="25">
        <f>IFERROR(IF(SUMIFS(tblDaily[DeathsUnder24Hrs],tblDaily[EntryDate],DATE(2026,9,24),tblDaily[WardCode],"FAE")=0,"",SUMIFS(tblDaily[DeathsUnder24Hrs],tblDaily[EntryDate],DATE(2026,9,24),tblDaily[WardCode],"FAE")),"")</f>
        <v/>
      </c>
      <c r="M351" s="25">
        <f>IFERROR(IF(SUMIFS(tblDaily[TransfersIn],tblDaily[EntryDate],DATE(2026,9,24),tblDaily[WardCode],"FAE")=0,"",SUMIFS(tblDaily[TransfersIn],tblDaily[EntryDate],DATE(2026,9,24),tblDaily[WardCode],"FAE")),"")</f>
        <v/>
      </c>
      <c r="N351" s="25">
        <f>IFERROR(IF(SUMIFS(tblDaily[TransfersOut],tblDaily[EntryDate],DATE(2026,9,24),tblDaily[WardCode],"FAE")=0,"",SUMIFS(tblDaily[TransfersOut],tblDaily[EntryDate],DATE(2026,9,24),tblDaily[WardCode],"FAE")),"")</f>
        <v/>
      </c>
      <c r="O351" s="25">
        <f>IFERROR(IF(SUMIFS(tblDaily[Remaining],tblDaily[EntryDate],DATE(2026,9,24),tblDaily[WardCode],"FAE")=0,"",SUMIFS(tblDaily[Remaining],tblDaily[EntryDate],DATE(2026,9,24),tblDaily[WardCode],"FAE")),"")</f>
        <v/>
      </c>
      <c r="P351" s="26">
        <f>IF(AND(H351="", O351=""), "", N(H351) + N(O351))</f>
        <v/>
      </c>
    </row>
    <row r="352">
      <c r="A352" s="25" t="n">
        <v>25</v>
      </c>
      <c r="B352" s="25">
        <f>IFERROR(IF(SUMIFS(tblDaily[Admissions],tblDaily[EntryDate],DATE(2026,9,25),tblDaily[WardCode],"MAE")=0,"",SUMIFS(tblDaily[Admissions],tblDaily[EntryDate],DATE(2026,9,25),tblDaily[WardCode],"MAE")),"")</f>
        <v/>
      </c>
      <c r="C352" s="25">
        <f>IFERROR(IF(SUMIFS(tblDaily[Discharges],tblDaily[EntryDate],DATE(2026,9,25),tblDaily[WardCode],"MAE")=0,"",SUMIFS(tblDaily[Discharges],tblDaily[EntryDate],DATE(2026,9,25),tblDaily[WardCode],"MAE")),"")</f>
        <v/>
      </c>
      <c r="D352" s="25">
        <f>IFERROR(IF(SUMIFS(tblDaily[Deaths],tblDaily[EntryDate],DATE(2026,9,25),tblDaily[WardCode],"MAE")=0,"",SUMIFS(tblDaily[Deaths],tblDaily[EntryDate],DATE(2026,9,25),tblDaily[WardCode],"MAE")),"")</f>
        <v/>
      </c>
      <c r="E352" s="25">
        <f>IFERROR(IF(SUMIFS(tblDaily[DeathsUnder24Hrs],tblDaily[EntryDate],DATE(2026,9,25),tblDaily[WardCode],"MAE")=0,"",SUMIFS(tblDaily[DeathsUnder24Hrs],tblDaily[EntryDate],DATE(2026,9,25),tblDaily[WardCode],"MAE")),"")</f>
        <v/>
      </c>
      <c r="F352" s="25">
        <f>IFERROR(IF(SUMIFS(tblDaily[TransfersIn],tblDaily[EntryDate],DATE(2026,9,25),tblDaily[WardCode],"MAE")=0,"",SUMIFS(tblDaily[TransfersIn],tblDaily[EntryDate],DATE(2026,9,25),tblDaily[WardCode],"MAE")),"")</f>
        <v/>
      </c>
      <c r="G352" s="25">
        <f>IFERROR(IF(SUMIFS(tblDaily[TransfersOut],tblDaily[EntryDate],DATE(2026,9,25),tblDaily[WardCode],"MAE")=0,"",SUMIFS(tblDaily[TransfersOut],tblDaily[EntryDate],DATE(2026,9,25),tblDaily[WardCode],"MAE")),"")</f>
        <v/>
      </c>
      <c r="H352" s="25">
        <f>IFERROR(IF(SUMIFS(tblDaily[Remaining],tblDaily[EntryDate],DATE(2026,9,25),tblDaily[WardCode],"MAE")=0,"",SUMIFS(tblDaily[Remaining],tblDaily[EntryDate],DATE(2026,9,25),tblDaily[WardCode],"MAE")),"")</f>
        <v/>
      </c>
      <c r="I352" s="25">
        <f>IFERROR(IF(SUMIFS(tblDaily[Admissions],tblDaily[EntryDate],DATE(2026,9,25),tblDaily[WardCode],"FAE")=0,"",SUMIFS(tblDaily[Admissions],tblDaily[EntryDate],DATE(2026,9,25),tblDaily[WardCode],"FAE")),"")</f>
        <v/>
      </c>
      <c r="J352" s="25">
        <f>IFERROR(IF(SUMIFS(tblDaily[Discharges],tblDaily[EntryDate],DATE(2026,9,25),tblDaily[WardCode],"FAE")=0,"",SUMIFS(tblDaily[Discharges],tblDaily[EntryDate],DATE(2026,9,25),tblDaily[WardCode],"FAE")),"")</f>
        <v/>
      </c>
      <c r="K352" s="25">
        <f>IFERROR(IF(SUMIFS(tblDaily[Deaths],tblDaily[EntryDate],DATE(2026,9,25),tblDaily[WardCode],"FAE")=0,"",SUMIFS(tblDaily[Deaths],tblDaily[EntryDate],DATE(2026,9,25),tblDaily[WardCode],"FAE")),"")</f>
        <v/>
      </c>
      <c r="L352" s="25">
        <f>IFERROR(IF(SUMIFS(tblDaily[DeathsUnder24Hrs],tblDaily[EntryDate],DATE(2026,9,25),tblDaily[WardCode],"FAE")=0,"",SUMIFS(tblDaily[DeathsUnder24Hrs],tblDaily[EntryDate],DATE(2026,9,25),tblDaily[WardCode],"FAE")),"")</f>
        <v/>
      </c>
      <c r="M352" s="25">
        <f>IFERROR(IF(SUMIFS(tblDaily[TransfersIn],tblDaily[EntryDate],DATE(2026,9,25),tblDaily[WardCode],"FAE")=0,"",SUMIFS(tblDaily[TransfersIn],tblDaily[EntryDate],DATE(2026,9,25),tblDaily[WardCode],"FAE")),"")</f>
        <v/>
      </c>
      <c r="N352" s="25">
        <f>IFERROR(IF(SUMIFS(tblDaily[TransfersOut],tblDaily[EntryDate],DATE(2026,9,25),tblDaily[WardCode],"FAE")=0,"",SUMIFS(tblDaily[TransfersOut],tblDaily[EntryDate],DATE(2026,9,25),tblDaily[WardCode],"FAE")),"")</f>
        <v/>
      </c>
      <c r="O352" s="25">
        <f>IFERROR(IF(SUMIFS(tblDaily[Remaining],tblDaily[EntryDate],DATE(2026,9,25),tblDaily[WardCode],"FAE")=0,"",SUMIFS(tblDaily[Remaining],tblDaily[EntryDate],DATE(2026,9,25),tblDaily[WardCode],"FAE")),"")</f>
        <v/>
      </c>
      <c r="P352" s="26">
        <f>IF(AND(H352="", O352=""), "", N(H352) + N(O352))</f>
        <v/>
      </c>
    </row>
    <row r="353">
      <c r="A353" s="25" t="n">
        <v>26</v>
      </c>
      <c r="B353" s="25">
        <f>IFERROR(IF(SUMIFS(tblDaily[Admissions],tblDaily[EntryDate],DATE(2026,9,26),tblDaily[WardCode],"MAE")=0,"",SUMIFS(tblDaily[Admissions],tblDaily[EntryDate],DATE(2026,9,26),tblDaily[WardCode],"MAE")),"")</f>
        <v/>
      </c>
      <c r="C353" s="25">
        <f>IFERROR(IF(SUMIFS(tblDaily[Discharges],tblDaily[EntryDate],DATE(2026,9,26),tblDaily[WardCode],"MAE")=0,"",SUMIFS(tblDaily[Discharges],tblDaily[EntryDate],DATE(2026,9,26),tblDaily[WardCode],"MAE")),"")</f>
        <v/>
      </c>
      <c r="D353" s="25">
        <f>IFERROR(IF(SUMIFS(tblDaily[Deaths],tblDaily[EntryDate],DATE(2026,9,26),tblDaily[WardCode],"MAE")=0,"",SUMIFS(tblDaily[Deaths],tblDaily[EntryDate],DATE(2026,9,26),tblDaily[WardCode],"MAE")),"")</f>
        <v/>
      </c>
      <c r="E353" s="25">
        <f>IFERROR(IF(SUMIFS(tblDaily[DeathsUnder24Hrs],tblDaily[EntryDate],DATE(2026,9,26),tblDaily[WardCode],"MAE")=0,"",SUMIFS(tblDaily[DeathsUnder24Hrs],tblDaily[EntryDate],DATE(2026,9,26),tblDaily[WardCode],"MAE")),"")</f>
        <v/>
      </c>
      <c r="F353" s="25">
        <f>IFERROR(IF(SUMIFS(tblDaily[TransfersIn],tblDaily[EntryDate],DATE(2026,9,26),tblDaily[WardCode],"MAE")=0,"",SUMIFS(tblDaily[TransfersIn],tblDaily[EntryDate],DATE(2026,9,26),tblDaily[WardCode],"MAE")),"")</f>
        <v/>
      </c>
      <c r="G353" s="25">
        <f>IFERROR(IF(SUMIFS(tblDaily[TransfersOut],tblDaily[EntryDate],DATE(2026,9,26),tblDaily[WardCode],"MAE")=0,"",SUMIFS(tblDaily[TransfersOut],tblDaily[EntryDate],DATE(2026,9,26),tblDaily[WardCode],"MAE")),"")</f>
        <v/>
      </c>
      <c r="H353" s="25">
        <f>IFERROR(IF(SUMIFS(tblDaily[Remaining],tblDaily[EntryDate],DATE(2026,9,26),tblDaily[WardCode],"MAE")=0,"",SUMIFS(tblDaily[Remaining],tblDaily[EntryDate],DATE(2026,9,26),tblDaily[WardCode],"MAE")),"")</f>
        <v/>
      </c>
      <c r="I353" s="25">
        <f>IFERROR(IF(SUMIFS(tblDaily[Admissions],tblDaily[EntryDate],DATE(2026,9,26),tblDaily[WardCode],"FAE")=0,"",SUMIFS(tblDaily[Admissions],tblDaily[EntryDate],DATE(2026,9,26),tblDaily[WardCode],"FAE")),"")</f>
        <v/>
      </c>
      <c r="J353" s="25">
        <f>IFERROR(IF(SUMIFS(tblDaily[Discharges],tblDaily[EntryDate],DATE(2026,9,26),tblDaily[WardCode],"FAE")=0,"",SUMIFS(tblDaily[Discharges],tblDaily[EntryDate],DATE(2026,9,26),tblDaily[WardCode],"FAE")),"")</f>
        <v/>
      </c>
      <c r="K353" s="25">
        <f>IFERROR(IF(SUMIFS(tblDaily[Deaths],tblDaily[EntryDate],DATE(2026,9,26),tblDaily[WardCode],"FAE")=0,"",SUMIFS(tblDaily[Deaths],tblDaily[EntryDate],DATE(2026,9,26),tblDaily[WardCode],"FAE")),"")</f>
        <v/>
      </c>
      <c r="L353" s="25">
        <f>IFERROR(IF(SUMIFS(tblDaily[DeathsUnder24Hrs],tblDaily[EntryDate],DATE(2026,9,26),tblDaily[WardCode],"FAE")=0,"",SUMIFS(tblDaily[DeathsUnder24Hrs],tblDaily[EntryDate],DATE(2026,9,26),tblDaily[WardCode],"FAE")),"")</f>
        <v/>
      </c>
      <c r="M353" s="25">
        <f>IFERROR(IF(SUMIFS(tblDaily[TransfersIn],tblDaily[EntryDate],DATE(2026,9,26),tblDaily[WardCode],"FAE")=0,"",SUMIFS(tblDaily[TransfersIn],tblDaily[EntryDate],DATE(2026,9,26),tblDaily[WardCode],"FAE")),"")</f>
        <v/>
      </c>
      <c r="N353" s="25">
        <f>IFERROR(IF(SUMIFS(tblDaily[TransfersOut],tblDaily[EntryDate],DATE(2026,9,26),tblDaily[WardCode],"FAE")=0,"",SUMIFS(tblDaily[TransfersOut],tblDaily[EntryDate],DATE(2026,9,26),tblDaily[WardCode],"FAE")),"")</f>
        <v/>
      </c>
      <c r="O353" s="25">
        <f>IFERROR(IF(SUMIFS(tblDaily[Remaining],tblDaily[EntryDate],DATE(2026,9,26),tblDaily[WardCode],"FAE")=0,"",SUMIFS(tblDaily[Remaining],tblDaily[EntryDate],DATE(2026,9,26),tblDaily[WardCode],"FAE")),"")</f>
        <v/>
      </c>
      <c r="P353" s="26">
        <f>IF(AND(H353="", O353=""), "", N(H353) + N(O353))</f>
        <v/>
      </c>
    </row>
    <row r="354">
      <c r="A354" s="25" t="n">
        <v>27</v>
      </c>
      <c r="B354" s="25">
        <f>IFERROR(IF(SUMIFS(tblDaily[Admissions],tblDaily[EntryDate],DATE(2026,9,27),tblDaily[WardCode],"MAE")=0,"",SUMIFS(tblDaily[Admissions],tblDaily[EntryDate],DATE(2026,9,27),tblDaily[WardCode],"MAE")),"")</f>
        <v/>
      </c>
      <c r="C354" s="25">
        <f>IFERROR(IF(SUMIFS(tblDaily[Discharges],tblDaily[EntryDate],DATE(2026,9,27),tblDaily[WardCode],"MAE")=0,"",SUMIFS(tblDaily[Discharges],tblDaily[EntryDate],DATE(2026,9,27),tblDaily[WardCode],"MAE")),"")</f>
        <v/>
      </c>
      <c r="D354" s="25">
        <f>IFERROR(IF(SUMIFS(tblDaily[Deaths],tblDaily[EntryDate],DATE(2026,9,27),tblDaily[WardCode],"MAE")=0,"",SUMIFS(tblDaily[Deaths],tblDaily[EntryDate],DATE(2026,9,27),tblDaily[WardCode],"MAE")),"")</f>
        <v/>
      </c>
      <c r="E354" s="25">
        <f>IFERROR(IF(SUMIFS(tblDaily[DeathsUnder24Hrs],tblDaily[EntryDate],DATE(2026,9,27),tblDaily[WardCode],"MAE")=0,"",SUMIFS(tblDaily[DeathsUnder24Hrs],tblDaily[EntryDate],DATE(2026,9,27),tblDaily[WardCode],"MAE")),"")</f>
        <v/>
      </c>
      <c r="F354" s="25">
        <f>IFERROR(IF(SUMIFS(tblDaily[TransfersIn],tblDaily[EntryDate],DATE(2026,9,27),tblDaily[WardCode],"MAE")=0,"",SUMIFS(tblDaily[TransfersIn],tblDaily[EntryDate],DATE(2026,9,27),tblDaily[WardCode],"MAE")),"")</f>
        <v/>
      </c>
      <c r="G354" s="25">
        <f>IFERROR(IF(SUMIFS(tblDaily[TransfersOut],tblDaily[EntryDate],DATE(2026,9,27),tblDaily[WardCode],"MAE")=0,"",SUMIFS(tblDaily[TransfersOut],tblDaily[EntryDate],DATE(2026,9,27),tblDaily[WardCode],"MAE")),"")</f>
        <v/>
      </c>
      <c r="H354" s="25">
        <f>IFERROR(IF(SUMIFS(tblDaily[Remaining],tblDaily[EntryDate],DATE(2026,9,27),tblDaily[WardCode],"MAE")=0,"",SUMIFS(tblDaily[Remaining],tblDaily[EntryDate],DATE(2026,9,27),tblDaily[WardCode],"MAE")),"")</f>
        <v/>
      </c>
      <c r="I354" s="25">
        <f>IFERROR(IF(SUMIFS(tblDaily[Admissions],tblDaily[EntryDate],DATE(2026,9,27),tblDaily[WardCode],"FAE")=0,"",SUMIFS(tblDaily[Admissions],tblDaily[EntryDate],DATE(2026,9,27),tblDaily[WardCode],"FAE")),"")</f>
        <v/>
      </c>
      <c r="J354" s="25">
        <f>IFERROR(IF(SUMIFS(tblDaily[Discharges],tblDaily[EntryDate],DATE(2026,9,27),tblDaily[WardCode],"FAE")=0,"",SUMIFS(tblDaily[Discharges],tblDaily[EntryDate],DATE(2026,9,27),tblDaily[WardCode],"FAE")),"")</f>
        <v/>
      </c>
      <c r="K354" s="25">
        <f>IFERROR(IF(SUMIFS(tblDaily[Deaths],tblDaily[EntryDate],DATE(2026,9,27),tblDaily[WardCode],"FAE")=0,"",SUMIFS(tblDaily[Deaths],tblDaily[EntryDate],DATE(2026,9,27),tblDaily[WardCode],"FAE")),"")</f>
        <v/>
      </c>
      <c r="L354" s="25">
        <f>IFERROR(IF(SUMIFS(tblDaily[DeathsUnder24Hrs],tblDaily[EntryDate],DATE(2026,9,27),tblDaily[WardCode],"FAE")=0,"",SUMIFS(tblDaily[DeathsUnder24Hrs],tblDaily[EntryDate],DATE(2026,9,27),tblDaily[WardCode],"FAE")),"")</f>
        <v/>
      </c>
      <c r="M354" s="25">
        <f>IFERROR(IF(SUMIFS(tblDaily[TransfersIn],tblDaily[EntryDate],DATE(2026,9,27),tblDaily[WardCode],"FAE")=0,"",SUMIFS(tblDaily[TransfersIn],tblDaily[EntryDate],DATE(2026,9,27),tblDaily[WardCode],"FAE")),"")</f>
        <v/>
      </c>
      <c r="N354" s="25">
        <f>IFERROR(IF(SUMIFS(tblDaily[TransfersOut],tblDaily[EntryDate],DATE(2026,9,27),tblDaily[WardCode],"FAE")=0,"",SUMIFS(tblDaily[TransfersOut],tblDaily[EntryDate],DATE(2026,9,27),tblDaily[WardCode],"FAE")),"")</f>
        <v/>
      </c>
      <c r="O354" s="25">
        <f>IFERROR(IF(SUMIFS(tblDaily[Remaining],tblDaily[EntryDate],DATE(2026,9,27),tblDaily[WardCode],"FAE")=0,"",SUMIFS(tblDaily[Remaining],tblDaily[EntryDate],DATE(2026,9,27),tblDaily[WardCode],"FAE")),"")</f>
        <v/>
      </c>
      <c r="P354" s="26">
        <f>IF(AND(H354="", O354=""), "", N(H354) + N(O354))</f>
        <v/>
      </c>
    </row>
    <row r="355">
      <c r="A355" s="25" t="n">
        <v>28</v>
      </c>
      <c r="B355" s="25">
        <f>IFERROR(IF(SUMIFS(tblDaily[Admissions],tblDaily[EntryDate],DATE(2026,9,28),tblDaily[WardCode],"MAE")=0,"",SUMIFS(tblDaily[Admissions],tblDaily[EntryDate],DATE(2026,9,28),tblDaily[WardCode],"MAE")),"")</f>
        <v/>
      </c>
      <c r="C355" s="25">
        <f>IFERROR(IF(SUMIFS(tblDaily[Discharges],tblDaily[EntryDate],DATE(2026,9,28),tblDaily[WardCode],"MAE")=0,"",SUMIFS(tblDaily[Discharges],tblDaily[EntryDate],DATE(2026,9,28),tblDaily[WardCode],"MAE")),"")</f>
        <v/>
      </c>
      <c r="D355" s="25">
        <f>IFERROR(IF(SUMIFS(tblDaily[Deaths],tblDaily[EntryDate],DATE(2026,9,28),tblDaily[WardCode],"MAE")=0,"",SUMIFS(tblDaily[Deaths],tblDaily[EntryDate],DATE(2026,9,28),tblDaily[WardCode],"MAE")),"")</f>
        <v/>
      </c>
      <c r="E355" s="25">
        <f>IFERROR(IF(SUMIFS(tblDaily[DeathsUnder24Hrs],tblDaily[EntryDate],DATE(2026,9,28),tblDaily[WardCode],"MAE")=0,"",SUMIFS(tblDaily[DeathsUnder24Hrs],tblDaily[EntryDate],DATE(2026,9,28),tblDaily[WardCode],"MAE")),"")</f>
        <v/>
      </c>
      <c r="F355" s="25">
        <f>IFERROR(IF(SUMIFS(tblDaily[TransfersIn],tblDaily[EntryDate],DATE(2026,9,28),tblDaily[WardCode],"MAE")=0,"",SUMIFS(tblDaily[TransfersIn],tblDaily[EntryDate],DATE(2026,9,28),tblDaily[WardCode],"MAE")),"")</f>
        <v/>
      </c>
      <c r="G355" s="25">
        <f>IFERROR(IF(SUMIFS(tblDaily[TransfersOut],tblDaily[EntryDate],DATE(2026,9,28),tblDaily[WardCode],"MAE")=0,"",SUMIFS(tblDaily[TransfersOut],tblDaily[EntryDate],DATE(2026,9,28),tblDaily[WardCode],"MAE")),"")</f>
        <v/>
      </c>
      <c r="H355" s="25">
        <f>IFERROR(IF(SUMIFS(tblDaily[Remaining],tblDaily[EntryDate],DATE(2026,9,28),tblDaily[WardCode],"MAE")=0,"",SUMIFS(tblDaily[Remaining],tblDaily[EntryDate],DATE(2026,9,28),tblDaily[WardCode],"MAE")),"")</f>
        <v/>
      </c>
      <c r="I355" s="25">
        <f>IFERROR(IF(SUMIFS(tblDaily[Admissions],tblDaily[EntryDate],DATE(2026,9,28),tblDaily[WardCode],"FAE")=0,"",SUMIFS(tblDaily[Admissions],tblDaily[EntryDate],DATE(2026,9,28),tblDaily[WardCode],"FAE")),"")</f>
        <v/>
      </c>
      <c r="J355" s="25">
        <f>IFERROR(IF(SUMIFS(tblDaily[Discharges],tblDaily[EntryDate],DATE(2026,9,28),tblDaily[WardCode],"FAE")=0,"",SUMIFS(tblDaily[Discharges],tblDaily[EntryDate],DATE(2026,9,28),tblDaily[WardCode],"FAE")),"")</f>
        <v/>
      </c>
      <c r="K355" s="25">
        <f>IFERROR(IF(SUMIFS(tblDaily[Deaths],tblDaily[EntryDate],DATE(2026,9,28),tblDaily[WardCode],"FAE")=0,"",SUMIFS(tblDaily[Deaths],tblDaily[EntryDate],DATE(2026,9,28),tblDaily[WardCode],"FAE")),"")</f>
        <v/>
      </c>
      <c r="L355" s="25">
        <f>IFERROR(IF(SUMIFS(tblDaily[DeathsUnder24Hrs],tblDaily[EntryDate],DATE(2026,9,28),tblDaily[WardCode],"FAE")=0,"",SUMIFS(tblDaily[DeathsUnder24Hrs],tblDaily[EntryDate],DATE(2026,9,28),tblDaily[WardCode],"FAE")),"")</f>
        <v/>
      </c>
      <c r="M355" s="25">
        <f>IFERROR(IF(SUMIFS(tblDaily[TransfersIn],tblDaily[EntryDate],DATE(2026,9,28),tblDaily[WardCode],"FAE")=0,"",SUMIFS(tblDaily[TransfersIn],tblDaily[EntryDate],DATE(2026,9,28),tblDaily[WardCode],"FAE")),"")</f>
        <v/>
      </c>
      <c r="N355" s="25">
        <f>IFERROR(IF(SUMIFS(tblDaily[TransfersOut],tblDaily[EntryDate],DATE(2026,9,28),tblDaily[WardCode],"FAE")=0,"",SUMIFS(tblDaily[TransfersOut],tblDaily[EntryDate],DATE(2026,9,28),tblDaily[WardCode],"FAE")),"")</f>
        <v/>
      </c>
      <c r="O355" s="25">
        <f>IFERROR(IF(SUMIFS(tblDaily[Remaining],tblDaily[EntryDate],DATE(2026,9,28),tblDaily[WardCode],"FAE")=0,"",SUMIFS(tblDaily[Remaining],tblDaily[EntryDate],DATE(2026,9,28),tblDaily[WardCode],"FAE")),"")</f>
        <v/>
      </c>
      <c r="P355" s="26">
        <f>IF(AND(H355="", O355=""), "", N(H355) + N(O355))</f>
        <v/>
      </c>
    </row>
    <row r="356">
      <c r="A356" s="25" t="n">
        <v>29</v>
      </c>
      <c r="B356" s="25">
        <f>IFERROR(IF(SUMIFS(tblDaily[Admissions],tblDaily[EntryDate],DATE(2026,9,29),tblDaily[WardCode],"MAE")=0,"",SUMIFS(tblDaily[Admissions],tblDaily[EntryDate],DATE(2026,9,29),tblDaily[WardCode],"MAE")),"")</f>
        <v/>
      </c>
      <c r="C356" s="25">
        <f>IFERROR(IF(SUMIFS(tblDaily[Discharges],tblDaily[EntryDate],DATE(2026,9,29),tblDaily[WardCode],"MAE")=0,"",SUMIFS(tblDaily[Discharges],tblDaily[EntryDate],DATE(2026,9,29),tblDaily[WardCode],"MAE")),"")</f>
        <v/>
      </c>
      <c r="D356" s="25">
        <f>IFERROR(IF(SUMIFS(tblDaily[Deaths],tblDaily[EntryDate],DATE(2026,9,29),tblDaily[WardCode],"MAE")=0,"",SUMIFS(tblDaily[Deaths],tblDaily[EntryDate],DATE(2026,9,29),tblDaily[WardCode],"MAE")),"")</f>
        <v/>
      </c>
      <c r="E356" s="25">
        <f>IFERROR(IF(SUMIFS(tblDaily[DeathsUnder24Hrs],tblDaily[EntryDate],DATE(2026,9,29),tblDaily[WardCode],"MAE")=0,"",SUMIFS(tblDaily[DeathsUnder24Hrs],tblDaily[EntryDate],DATE(2026,9,29),tblDaily[WardCode],"MAE")),"")</f>
        <v/>
      </c>
      <c r="F356" s="25">
        <f>IFERROR(IF(SUMIFS(tblDaily[TransfersIn],tblDaily[EntryDate],DATE(2026,9,29),tblDaily[WardCode],"MAE")=0,"",SUMIFS(tblDaily[TransfersIn],tblDaily[EntryDate],DATE(2026,9,29),tblDaily[WardCode],"MAE")),"")</f>
        <v/>
      </c>
      <c r="G356" s="25">
        <f>IFERROR(IF(SUMIFS(tblDaily[TransfersOut],tblDaily[EntryDate],DATE(2026,9,29),tblDaily[WardCode],"MAE")=0,"",SUMIFS(tblDaily[TransfersOut],tblDaily[EntryDate],DATE(2026,9,29),tblDaily[WardCode],"MAE")),"")</f>
        <v/>
      </c>
      <c r="H356" s="25">
        <f>IFERROR(IF(SUMIFS(tblDaily[Remaining],tblDaily[EntryDate],DATE(2026,9,29),tblDaily[WardCode],"MAE")=0,"",SUMIFS(tblDaily[Remaining],tblDaily[EntryDate],DATE(2026,9,29),tblDaily[WardCode],"MAE")),"")</f>
        <v/>
      </c>
      <c r="I356" s="25">
        <f>IFERROR(IF(SUMIFS(tblDaily[Admissions],tblDaily[EntryDate],DATE(2026,9,29),tblDaily[WardCode],"FAE")=0,"",SUMIFS(tblDaily[Admissions],tblDaily[EntryDate],DATE(2026,9,29),tblDaily[WardCode],"FAE")),"")</f>
        <v/>
      </c>
      <c r="J356" s="25">
        <f>IFERROR(IF(SUMIFS(tblDaily[Discharges],tblDaily[EntryDate],DATE(2026,9,29),tblDaily[WardCode],"FAE")=0,"",SUMIFS(tblDaily[Discharges],tblDaily[EntryDate],DATE(2026,9,29),tblDaily[WardCode],"FAE")),"")</f>
        <v/>
      </c>
      <c r="K356" s="25">
        <f>IFERROR(IF(SUMIFS(tblDaily[Deaths],tblDaily[EntryDate],DATE(2026,9,29),tblDaily[WardCode],"FAE")=0,"",SUMIFS(tblDaily[Deaths],tblDaily[EntryDate],DATE(2026,9,29),tblDaily[WardCode],"FAE")),"")</f>
        <v/>
      </c>
      <c r="L356" s="25">
        <f>IFERROR(IF(SUMIFS(tblDaily[DeathsUnder24Hrs],tblDaily[EntryDate],DATE(2026,9,29),tblDaily[WardCode],"FAE")=0,"",SUMIFS(tblDaily[DeathsUnder24Hrs],tblDaily[EntryDate],DATE(2026,9,29),tblDaily[WardCode],"FAE")),"")</f>
        <v/>
      </c>
      <c r="M356" s="25">
        <f>IFERROR(IF(SUMIFS(tblDaily[TransfersIn],tblDaily[EntryDate],DATE(2026,9,29),tblDaily[WardCode],"FAE")=0,"",SUMIFS(tblDaily[TransfersIn],tblDaily[EntryDate],DATE(2026,9,29),tblDaily[WardCode],"FAE")),"")</f>
        <v/>
      </c>
      <c r="N356" s="25">
        <f>IFERROR(IF(SUMIFS(tblDaily[TransfersOut],tblDaily[EntryDate],DATE(2026,9,29),tblDaily[WardCode],"FAE")=0,"",SUMIFS(tblDaily[TransfersOut],tblDaily[EntryDate],DATE(2026,9,29),tblDaily[WardCode],"FAE")),"")</f>
        <v/>
      </c>
      <c r="O356" s="25">
        <f>IFERROR(IF(SUMIFS(tblDaily[Remaining],tblDaily[EntryDate],DATE(2026,9,29),tblDaily[WardCode],"FAE")=0,"",SUMIFS(tblDaily[Remaining],tblDaily[EntryDate],DATE(2026,9,29),tblDaily[WardCode],"FAE")),"")</f>
        <v/>
      </c>
      <c r="P356" s="26">
        <f>IF(AND(H356="", O356=""), "", N(H356) + N(O356))</f>
        <v/>
      </c>
    </row>
    <row r="357">
      <c r="A357" s="25" t="n">
        <v>30</v>
      </c>
      <c r="B357" s="25">
        <f>IFERROR(IF(SUMIFS(tblDaily[Admissions],tblDaily[EntryDate],DATE(2026,9,30),tblDaily[WardCode],"MAE")=0,"",SUMIFS(tblDaily[Admissions],tblDaily[EntryDate],DATE(2026,9,30),tblDaily[WardCode],"MAE")),"")</f>
        <v/>
      </c>
      <c r="C357" s="25">
        <f>IFERROR(IF(SUMIFS(tblDaily[Discharges],tblDaily[EntryDate],DATE(2026,9,30),tblDaily[WardCode],"MAE")=0,"",SUMIFS(tblDaily[Discharges],tblDaily[EntryDate],DATE(2026,9,30),tblDaily[WardCode],"MAE")),"")</f>
        <v/>
      </c>
      <c r="D357" s="25">
        <f>IFERROR(IF(SUMIFS(tblDaily[Deaths],tblDaily[EntryDate],DATE(2026,9,30),tblDaily[WardCode],"MAE")=0,"",SUMIFS(tblDaily[Deaths],tblDaily[EntryDate],DATE(2026,9,30),tblDaily[WardCode],"MAE")),"")</f>
        <v/>
      </c>
      <c r="E357" s="25">
        <f>IFERROR(IF(SUMIFS(tblDaily[DeathsUnder24Hrs],tblDaily[EntryDate],DATE(2026,9,30),tblDaily[WardCode],"MAE")=0,"",SUMIFS(tblDaily[DeathsUnder24Hrs],tblDaily[EntryDate],DATE(2026,9,30),tblDaily[WardCode],"MAE")),"")</f>
        <v/>
      </c>
      <c r="F357" s="25">
        <f>IFERROR(IF(SUMIFS(tblDaily[TransfersIn],tblDaily[EntryDate],DATE(2026,9,30),tblDaily[WardCode],"MAE")=0,"",SUMIFS(tblDaily[TransfersIn],tblDaily[EntryDate],DATE(2026,9,30),tblDaily[WardCode],"MAE")),"")</f>
        <v/>
      </c>
      <c r="G357" s="25">
        <f>IFERROR(IF(SUMIFS(tblDaily[TransfersOut],tblDaily[EntryDate],DATE(2026,9,30),tblDaily[WardCode],"MAE")=0,"",SUMIFS(tblDaily[TransfersOut],tblDaily[EntryDate],DATE(2026,9,30),tblDaily[WardCode],"MAE")),"")</f>
        <v/>
      </c>
      <c r="H357" s="25">
        <f>IFERROR(IF(SUMIFS(tblDaily[Remaining],tblDaily[EntryDate],DATE(2026,9,30),tblDaily[WardCode],"MAE")=0,"",SUMIFS(tblDaily[Remaining],tblDaily[EntryDate],DATE(2026,9,30),tblDaily[WardCode],"MAE")),"")</f>
        <v/>
      </c>
      <c r="I357" s="25">
        <f>IFERROR(IF(SUMIFS(tblDaily[Admissions],tblDaily[EntryDate],DATE(2026,9,30),tblDaily[WardCode],"FAE")=0,"",SUMIFS(tblDaily[Admissions],tblDaily[EntryDate],DATE(2026,9,30),tblDaily[WardCode],"FAE")),"")</f>
        <v/>
      </c>
      <c r="J357" s="25">
        <f>IFERROR(IF(SUMIFS(tblDaily[Discharges],tblDaily[EntryDate],DATE(2026,9,30),tblDaily[WardCode],"FAE")=0,"",SUMIFS(tblDaily[Discharges],tblDaily[EntryDate],DATE(2026,9,30),tblDaily[WardCode],"FAE")),"")</f>
        <v/>
      </c>
      <c r="K357" s="25">
        <f>IFERROR(IF(SUMIFS(tblDaily[Deaths],tblDaily[EntryDate],DATE(2026,9,30),tblDaily[WardCode],"FAE")=0,"",SUMIFS(tblDaily[Deaths],tblDaily[EntryDate],DATE(2026,9,30),tblDaily[WardCode],"FAE")),"")</f>
        <v/>
      </c>
      <c r="L357" s="25">
        <f>IFERROR(IF(SUMIFS(tblDaily[DeathsUnder24Hrs],tblDaily[EntryDate],DATE(2026,9,30),tblDaily[WardCode],"FAE")=0,"",SUMIFS(tblDaily[DeathsUnder24Hrs],tblDaily[EntryDate],DATE(2026,9,30),tblDaily[WardCode],"FAE")),"")</f>
        <v/>
      </c>
      <c r="M357" s="25">
        <f>IFERROR(IF(SUMIFS(tblDaily[TransfersIn],tblDaily[EntryDate],DATE(2026,9,30),tblDaily[WardCode],"FAE")=0,"",SUMIFS(tblDaily[TransfersIn],tblDaily[EntryDate],DATE(2026,9,30),tblDaily[WardCode],"FAE")),"")</f>
        <v/>
      </c>
      <c r="N357" s="25">
        <f>IFERROR(IF(SUMIFS(tblDaily[TransfersOut],tblDaily[EntryDate],DATE(2026,9,30),tblDaily[WardCode],"FAE")=0,"",SUMIFS(tblDaily[TransfersOut],tblDaily[EntryDate],DATE(2026,9,30),tblDaily[WardCode],"FAE")),"")</f>
        <v/>
      </c>
      <c r="O357" s="25">
        <f>IFERROR(IF(SUMIFS(tblDaily[Remaining],tblDaily[EntryDate],DATE(2026,9,30),tblDaily[WardCode],"FAE")=0,"",SUMIFS(tblDaily[Remaining],tblDaily[EntryDate],DATE(2026,9,30),tblDaily[WardCode],"FAE")),"")</f>
        <v/>
      </c>
      <c r="P357" s="26">
        <f>IF(AND(H357="", O357=""), "", N(H357) + N(O357))</f>
        <v/>
      </c>
    </row>
    <row r="358">
      <c r="A358" s="25" t="n">
        <v>31</v>
      </c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</row>
    <row r="359">
      <c r="A359" s="17" t="inlineStr">
        <is>
          <t>TOTAL</t>
        </is>
      </c>
      <c r="B359" s="17">
        <f>SUMIFS(tblDaily[Admissions],tblDaily[Month],9,tblDaily[WardCode],"MAE") - SUMIFS(tblDaily[DeathsUnder24Hrs],tblDaily[Month],9,tblDaily[WardCode],"MAE")</f>
        <v/>
      </c>
      <c r="C359" s="17">
        <f>SUMIFS(tblDaily[Discharges],tblDaily[Month],9,tblDaily[WardCode],"MAE")</f>
        <v/>
      </c>
      <c r="D359" s="17">
        <f>SUMIFS(tblDaily[Deaths],tblDaily[Month],9,tblDaily[WardCode],"MAE")</f>
        <v/>
      </c>
      <c r="E359" s="17">
        <f>SUMIFS(tblDaily[DeathsUnder24Hrs],tblDaily[Month],9,tblDaily[WardCode],"MAE")</f>
        <v/>
      </c>
      <c r="F359" s="17">
        <f>SUMIFS(tblDaily[TransfersIn],tblDaily[Month],9,tblDaily[WardCode],"MAE")</f>
        <v/>
      </c>
      <c r="G359" s="17">
        <f>SUMIFS(tblDaily[TransfersOut],tblDaily[Month],9,tblDaily[WardCode],"MAE")</f>
        <v/>
      </c>
      <c r="H359" s="17">
        <f>SUMIFS(tblDaily[Remaining],tblDaily[Month],9,tblDaily[WardCode],"MAE")</f>
        <v/>
      </c>
      <c r="I359" s="17">
        <f>SUMIFS(tblDaily[Admissions],tblDaily[Month],9,tblDaily[WardCode],"FAE") - SUMIFS(tblDaily[DeathsUnder24Hrs],tblDaily[Month],9,tblDaily[WardCode],"FAE")</f>
        <v/>
      </c>
      <c r="J359" s="17">
        <f>SUMIFS(tblDaily[Discharges],tblDaily[Month],9,tblDaily[WardCode],"FAE")</f>
        <v/>
      </c>
      <c r="K359" s="17">
        <f>SUMIFS(tblDaily[Deaths],tblDaily[Month],9,tblDaily[WardCode],"FAE")</f>
        <v/>
      </c>
      <c r="L359" s="17">
        <f>SUMIFS(tblDaily[DeathsUnder24Hrs],tblDaily[Month],9,tblDaily[WardCode],"FAE")</f>
        <v/>
      </c>
      <c r="M359" s="17">
        <f>SUMIFS(tblDaily[TransfersIn],tblDaily[Month],9,tblDaily[WardCode],"FAE")</f>
        <v/>
      </c>
      <c r="N359" s="17">
        <f>SUMIFS(tblDaily[TransfersOut],tblDaily[Month],9,tblDaily[WardCode],"FAE")</f>
        <v/>
      </c>
      <c r="O359" s="17">
        <f>SUMIFS(tblDaily[Remaining],tblDaily[Month],9,tblDaily[WardCode],"FAE")</f>
        <v/>
      </c>
      <c r="P359" s="17">
        <f>H359 + O359</f>
        <v/>
      </c>
    </row>
    <row r="361">
      <c r="A361" s="19" t="inlineStr">
        <is>
          <t>GHANA HEALTH SERVICE</t>
        </is>
      </c>
    </row>
    <row r="362">
      <c r="A362" s="2" t="inlineStr">
        <is>
          <t>DAILY BED UTILIZATION FORM</t>
        </is>
      </c>
    </row>
    <row r="363">
      <c r="A363" s="4" t="inlineStr">
        <is>
          <t>Hospital:</t>
        </is>
      </c>
      <c r="B363" s="5" t="inlineStr">
        <is>
          <t>HOHOE MUNICIPAL HOSPITAL</t>
        </is>
      </c>
      <c r="E363" s="4" t="inlineStr">
        <is>
          <t>Ward:</t>
        </is>
      </c>
      <c r="F363" s="4" t="inlineStr">
        <is>
          <t>EMERGENCY (COMBINED)</t>
        </is>
      </c>
      <c r="M363" s="4" t="inlineStr">
        <is>
          <t>MONTH</t>
        </is>
      </c>
      <c r="N363" s="4" t="inlineStr">
        <is>
          <t>OCTOBER</t>
        </is>
      </c>
    </row>
    <row r="364">
      <c r="A364" s="4" t="inlineStr">
        <is>
          <t>Number of patients remaining as at last day of previous month</t>
        </is>
      </c>
      <c r="B364" s="20">
        <f>IFERROR(SUMIFS(tblDaily[Remaining],tblDaily[EntryDate],DATE(2026,9,30),tblDaily[WardCode],"MAE"),0)</f>
        <v/>
      </c>
      <c r="I364" s="20">
        <f>IFERROR(SUMIFS(tblDaily[Remaining],tblDaily[EntryDate],DATE(2026,9,30),tblDaily[WardCode],"FAE"),0)</f>
        <v/>
      </c>
    </row>
    <row r="365">
      <c r="A365" s="4" t="inlineStr">
        <is>
          <t>Bed complement</t>
        </is>
      </c>
      <c r="B365" s="20">
        <f>IFERROR(INDEX(tblWardConfig[BedComplement],MATCH("MAE",tblWardConfig[WardCode],0)),0)</f>
        <v/>
      </c>
      <c r="I365" s="20">
        <f>IFERROR(INDEX(tblWardConfig[BedComplement],MATCH("FAE",tblWardConfig[WardCode],0)),0)</f>
        <v/>
      </c>
      <c r="O365" s="21">
        <f>B365+I365</f>
        <v/>
      </c>
    </row>
    <row r="366">
      <c r="A366" s="11" t="inlineStr">
        <is>
          <t>Day</t>
        </is>
      </c>
      <c r="B366" s="22" t="inlineStr">
        <is>
          <t>MALE EMERGENCY</t>
        </is>
      </c>
      <c r="I366" s="23" t="inlineStr">
        <is>
          <t>FEMALE EMERGENCY</t>
        </is>
      </c>
      <c r="P366" s="24" t="inlineStr">
        <is>
          <t>TOTAL</t>
        </is>
      </c>
    </row>
    <row r="367">
      <c r="A367" s="11" t="inlineStr">
        <is>
          <t>Day</t>
        </is>
      </c>
      <c r="B367" s="11" t="inlineStr">
        <is>
          <t>Adm</t>
        </is>
      </c>
      <c r="C367" s="11" t="inlineStr">
        <is>
          <t>Dis</t>
        </is>
      </c>
      <c r="D367" s="11" t="inlineStr">
        <is>
          <t>Dth</t>
        </is>
      </c>
      <c r="E367" s="11" t="inlineStr">
        <is>
          <t>D&lt;24</t>
        </is>
      </c>
      <c r="F367" s="11" t="inlineStr">
        <is>
          <t>TrIn</t>
        </is>
      </c>
      <c r="G367" s="11" t="inlineStr">
        <is>
          <t>TrOut</t>
        </is>
      </c>
      <c r="H367" s="11" t="inlineStr">
        <is>
          <t>Rem</t>
        </is>
      </c>
      <c r="I367" s="11" t="inlineStr">
        <is>
          <t>Adm</t>
        </is>
      </c>
      <c r="J367" s="11" t="inlineStr">
        <is>
          <t>Dis</t>
        </is>
      </c>
      <c r="K367" s="11" t="inlineStr">
        <is>
          <t>Dth</t>
        </is>
      </c>
      <c r="L367" s="11" t="inlineStr">
        <is>
          <t>D&lt;24</t>
        </is>
      </c>
      <c r="M367" s="11" t="inlineStr">
        <is>
          <t>TrIn</t>
        </is>
      </c>
      <c r="N367" s="11" t="inlineStr">
        <is>
          <t>TrOut</t>
        </is>
      </c>
      <c r="O367" s="11" t="inlineStr">
        <is>
          <t>Rem</t>
        </is>
      </c>
      <c r="P367" s="11" t="inlineStr">
        <is>
          <t>Tot
Rem</t>
        </is>
      </c>
    </row>
    <row r="368">
      <c r="A368" s="25" t="n">
        <v>1</v>
      </c>
      <c r="B368" s="25">
        <f>IFERROR(IF(SUMIFS(tblDaily[Admissions],tblDaily[EntryDate],DATE(2026,10,1),tblDaily[WardCode],"MAE")=0,"",SUMIFS(tblDaily[Admissions],tblDaily[EntryDate],DATE(2026,10,1),tblDaily[WardCode],"MAE")),"")</f>
        <v/>
      </c>
      <c r="C368" s="25">
        <f>IFERROR(IF(SUMIFS(tblDaily[Discharges],tblDaily[EntryDate],DATE(2026,10,1),tblDaily[WardCode],"MAE")=0,"",SUMIFS(tblDaily[Discharges],tblDaily[EntryDate],DATE(2026,10,1),tblDaily[WardCode],"MAE")),"")</f>
        <v/>
      </c>
      <c r="D368" s="25">
        <f>IFERROR(IF(SUMIFS(tblDaily[Deaths],tblDaily[EntryDate],DATE(2026,10,1),tblDaily[WardCode],"MAE")=0,"",SUMIFS(tblDaily[Deaths],tblDaily[EntryDate],DATE(2026,10,1),tblDaily[WardCode],"MAE")),"")</f>
        <v/>
      </c>
      <c r="E368" s="25">
        <f>IFERROR(IF(SUMIFS(tblDaily[DeathsUnder24Hrs],tblDaily[EntryDate],DATE(2026,10,1),tblDaily[WardCode],"MAE")=0,"",SUMIFS(tblDaily[DeathsUnder24Hrs],tblDaily[EntryDate],DATE(2026,10,1),tblDaily[WardCode],"MAE")),"")</f>
        <v/>
      </c>
      <c r="F368" s="25">
        <f>IFERROR(IF(SUMIFS(tblDaily[TransfersIn],tblDaily[EntryDate],DATE(2026,10,1),tblDaily[WardCode],"MAE")=0,"",SUMIFS(tblDaily[TransfersIn],tblDaily[EntryDate],DATE(2026,10,1),tblDaily[WardCode],"MAE")),"")</f>
        <v/>
      </c>
      <c r="G368" s="25">
        <f>IFERROR(IF(SUMIFS(tblDaily[TransfersOut],tblDaily[EntryDate],DATE(2026,10,1),tblDaily[WardCode],"MAE")=0,"",SUMIFS(tblDaily[TransfersOut],tblDaily[EntryDate],DATE(2026,10,1),tblDaily[WardCode],"MAE")),"")</f>
        <v/>
      </c>
      <c r="H368" s="25">
        <f>IFERROR(IF(SUMIFS(tblDaily[Remaining],tblDaily[EntryDate],DATE(2026,10,1),tblDaily[WardCode],"MAE")=0,"",SUMIFS(tblDaily[Remaining],tblDaily[EntryDate],DATE(2026,10,1),tblDaily[WardCode],"MAE")),"")</f>
        <v/>
      </c>
      <c r="I368" s="25">
        <f>IFERROR(IF(SUMIFS(tblDaily[Admissions],tblDaily[EntryDate],DATE(2026,10,1),tblDaily[WardCode],"FAE")=0,"",SUMIFS(tblDaily[Admissions],tblDaily[EntryDate],DATE(2026,10,1),tblDaily[WardCode],"FAE")),"")</f>
        <v/>
      </c>
      <c r="J368" s="25">
        <f>IFERROR(IF(SUMIFS(tblDaily[Discharges],tblDaily[EntryDate],DATE(2026,10,1),tblDaily[WardCode],"FAE")=0,"",SUMIFS(tblDaily[Discharges],tblDaily[EntryDate],DATE(2026,10,1),tblDaily[WardCode],"FAE")),"")</f>
        <v/>
      </c>
      <c r="K368" s="25">
        <f>IFERROR(IF(SUMIFS(tblDaily[Deaths],tblDaily[EntryDate],DATE(2026,10,1),tblDaily[WardCode],"FAE")=0,"",SUMIFS(tblDaily[Deaths],tblDaily[EntryDate],DATE(2026,10,1),tblDaily[WardCode],"FAE")),"")</f>
        <v/>
      </c>
      <c r="L368" s="25">
        <f>IFERROR(IF(SUMIFS(tblDaily[DeathsUnder24Hrs],tblDaily[EntryDate],DATE(2026,10,1),tblDaily[WardCode],"FAE")=0,"",SUMIFS(tblDaily[DeathsUnder24Hrs],tblDaily[EntryDate],DATE(2026,10,1),tblDaily[WardCode],"FAE")),"")</f>
        <v/>
      </c>
      <c r="M368" s="25">
        <f>IFERROR(IF(SUMIFS(tblDaily[TransfersIn],tblDaily[EntryDate],DATE(2026,10,1),tblDaily[WardCode],"FAE")=0,"",SUMIFS(tblDaily[TransfersIn],tblDaily[EntryDate],DATE(2026,10,1),tblDaily[WardCode],"FAE")),"")</f>
        <v/>
      </c>
      <c r="N368" s="25">
        <f>IFERROR(IF(SUMIFS(tblDaily[TransfersOut],tblDaily[EntryDate],DATE(2026,10,1),tblDaily[WardCode],"FAE")=0,"",SUMIFS(tblDaily[TransfersOut],tblDaily[EntryDate],DATE(2026,10,1),tblDaily[WardCode],"FAE")),"")</f>
        <v/>
      </c>
      <c r="O368" s="25">
        <f>IFERROR(IF(SUMIFS(tblDaily[Remaining],tblDaily[EntryDate],DATE(2026,10,1),tblDaily[WardCode],"FAE")=0,"",SUMIFS(tblDaily[Remaining],tblDaily[EntryDate],DATE(2026,10,1),tblDaily[WardCode],"FAE")),"")</f>
        <v/>
      </c>
      <c r="P368" s="26">
        <f>IF(AND(H368="", O368=""), "", N(H368) + N(O368))</f>
        <v/>
      </c>
    </row>
    <row r="369">
      <c r="A369" s="25" t="n">
        <v>2</v>
      </c>
      <c r="B369" s="25">
        <f>IFERROR(IF(SUMIFS(tblDaily[Admissions],tblDaily[EntryDate],DATE(2026,10,2),tblDaily[WardCode],"MAE")=0,"",SUMIFS(tblDaily[Admissions],tblDaily[EntryDate],DATE(2026,10,2),tblDaily[WardCode],"MAE")),"")</f>
        <v/>
      </c>
      <c r="C369" s="25">
        <f>IFERROR(IF(SUMIFS(tblDaily[Discharges],tblDaily[EntryDate],DATE(2026,10,2),tblDaily[WardCode],"MAE")=0,"",SUMIFS(tblDaily[Discharges],tblDaily[EntryDate],DATE(2026,10,2),tblDaily[WardCode],"MAE")),"")</f>
        <v/>
      </c>
      <c r="D369" s="25">
        <f>IFERROR(IF(SUMIFS(tblDaily[Deaths],tblDaily[EntryDate],DATE(2026,10,2),tblDaily[WardCode],"MAE")=0,"",SUMIFS(tblDaily[Deaths],tblDaily[EntryDate],DATE(2026,10,2),tblDaily[WardCode],"MAE")),"")</f>
        <v/>
      </c>
      <c r="E369" s="25">
        <f>IFERROR(IF(SUMIFS(tblDaily[DeathsUnder24Hrs],tblDaily[EntryDate],DATE(2026,10,2),tblDaily[WardCode],"MAE")=0,"",SUMIFS(tblDaily[DeathsUnder24Hrs],tblDaily[EntryDate],DATE(2026,10,2),tblDaily[WardCode],"MAE")),"")</f>
        <v/>
      </c>
      <c r="F369" s="25">
        <f>IFERROR(IF(SUMIFS(tblDaily[TransfersIn],tblDaily[EntryDate],DATE(2026,10,2),tblDaily[WardCode],"MAE")=0,"",SUMIFS(tblDaily[TransfersIn],tblDaily[EntryDate],DATE(2026,10,2),tblDaily[WardCode],"MAE")),"")</f>
        <v/>
      </c>
      <c r="G369" s="25">
        <f>IFERROR(IF(SUMIFS(tblDaily[TransfersOut],tblDaily[EntryDate],DATE(2026,10,2),tblDaily[WardCode],"MAE")=0,"",SUMIFS(tblDaily[TransfersOut],tblDaily[EntryDate],DATE(2026,10,2),tblDaily[WardCode],"MAE")),"")</f>
        <v/>
      </c>
      <c r="H369" s="25">
        <f>IFERROR(IF(SUMIFS(tblDaily[Remaining],tblDaily[EntryDate],DATE(2026,10,2),tblDaily[WardCode],"MAE")=0,"",SUMIFS(tblDaily[Remaining],tblDaily[EntryDate],DATE(2026,10,2),tblDaily[WardCode],"MAE")),"")</f>
        <v/>
      </c>
      <c r="I369" s="25">
        <f>IFERROR(IF(SUMIFS(tblDaily[Admissions],tblDaily[EntryDate],DATE(2026,10,2),tblDaily[WardCode],"FAE")=0,"",SUMIFS(tblDaily[Admissions],tblDaily[EntryDate],DATE(2026,10,2),tblDaily[WardCode],"FAE")),"")</f>
        <v/>
      </c>
      <c r="J369" s="25">
        <f>IFERROR(IF(SUMIFS(tblDaily[Discharges],tblDaily[EntryDate],DATE(2026,10,2),tblDaily[WardCode],"FAE")=0,"",SUMIFS(tblDaily[Discharges],tblDaily[EntryDate],DATE(2026,10,2),tblDaily[WardCode],"FAE")),"")</f>
        <v/>
      </c>
      <c r="K369" s="25">
        <f>IFERROR(IF(SUMIFS(tblDaily[Deaths],tblDaily[EntryDate],DATE(2026,10,2),tblDaily[WardCode],"FAE")=0,"",SUMIFS(tblDaily[Deaths],tblDaily[EntryDate],DATE(2026,10,2),tblDaily[WardCode],"FAE")),"")</f>
        <v/>
      </c>
      <c r="L369" s="25">
        <f>IFERROR(IF(SUMIFS(tblDaily[DeathsUnder24Hrs],tblDaily[EntryDate],DATE(2026,10,2),tblDaily[WardCode],"FAE")=0,"",SUMIFS(tblDaily[DeathsUnder24Hrs],tblDaily[EntryDate],DATE(2026,10,2),tblDaily[WardCode],"FAE")),"")</f>
        <v/>
      </c>
      <c r="M369" s="25">
        <f>IFERROR(IF(SUMIFS(tblDaily[TransfersIn],tblDaily[EntryDate],DATE(2026,10,2),tblDaily[WardCode],"FAE")=0,"",SUMIFS(tblDaily[TransfersIn],tblDaily[EntryDate],DATE(2026,10,2),tblDaily[WardCode],"FAE")),"")</f>
        <v/>
      </c>
      <c r="N369" s="25">
        <f>IFERROR(IF(SUMIFS(tblDaily[TransfersOut],tblDaily[EntryDate],DATE(2026,10,2),tblDaily[WardCode],"FAE")=0,"",SUMIFS(tblDaily[TransfersOut],tblDaily[EntryDate],DATE(2026,10,2),tblDaily[WardCode],"FAE")),"")</f>
        <v/>
      </c>
      <c r="O369" s="25">
        <f>IFERROR(IF(SUMIFS(tblDaily[Remaining],tblDaily[EntryDate],DATE(2026,10,2),tblDaily[WardCode],"FAE")=0,"",SUMIFS(tblDaily[Remaining],tblDaily[EntryDate],DATE(2026,10,2),tblDaily[WardCode],"FAE")),"")</f>
        <v/>
      </c>
      <c r="P369" s="26">
        <f>IF(AND(H369="", O369=""), "", N(H369) + N(O369))</f>
        <v/>
      </c>
    </row>
    <row r="370">
      <c r="A370" s="25" t="n">
        <v>3</v>
      </c>
      <c r="B370" s="25">
        <f>IFERROR(IF(SUMIFS(tblDaily[Admissions],tblDaily[EntryDate],DATE(2026,10,3),tblDaily[WardCode],"MAE")=0,"",SUMIFS(tblDaily[Admissions],tblDaily[EntryDate],DATE(2026,10,3),tblDaily[WardCode],"MAE")),"")</f>
        <v/>
      </c>
      <c r="C370" s="25">
        <f>IFERROR(IF(SUMIFS(tblDaily[Discharges],tblDaily[EntryDate],DATE(2026,10,3),tblDaily[WardCode],"MAE")=0,"",SUMIFS(tblDaily[Discharges],tblDaily[EntryDate],DATE(2026,10,3),tblDaily[WardCode],"MAE")),"")</f>
        <v/>
      </c>
      <c r="D370" s="25">
        <f>IFERROR(IF(SUMIFS(tblDaily[Deaths],tblDaily[EntryDate],DATE(2026,10,3),tblDaily[WardCode],"MAE")=0,"",SUMIFS(tblDaily[Deaths],tblDaily[EntryDate],DATE(2026,10,3),tblDaily[WardCode],"MAE")),"")</f>
        <v/>
      </c>
      <c r="E370" s="25">
        <f>IFERROR(IF(SUMIFS(tblDaily[DeathsUnder24Hrs],tblDaily[EntryDate],DATE(2026,10,3),tblDaily[WardCode],"MAE")=0,"",SUMIFS(tblDaily[DeathsUnder24Hrs],tblDaily[EntryDate],DATE(2026,10,3),tblDaily[WardCode],"MAE")),"")</f>
        <v/>
      </c>
      <c r="F370" s="25">
        <f>IFERROR(IF(SUMIFS(tblDaily[TransfersIn],tblDaily[EntryDate],DATE(2026,10,3),tblDaily[WardCode],"MAE")=0,"",SUMIFS(tblDaily[TransfersIn],tblDaily[EntryDate],DATE(2026,10,3),tblDaily[WardCode],"MAE")),"")</f>
        <v/>
      </c>
      <c r="G370" s="25">
        <f>IFERROR(IF(SUMIFS(tblDaily[TransfersOut],tblDaily[EntryDate],DATE(2026,10,3),tblDaily[WardCode],"MAE")=0,"",SUMIFS(tblDaily[TransfersOut],tblDaily[EntryDate],DATE(2026,10,3),tblDaily[WardCode],"MAE")),"")</f>
        <v/>
      </c>
      <c r="H370" s="25">
        <f>IFERROR(IF(SUMIFS(tblDaily[Remaining],tblDaily[EntryDate],DATE(2026,10,3),tblDaily[WardCode],"MAE")=0,"",SUMIFS(tblDaily[Remaining],tblDaily[EntryDate],DATE(2026,10,3),tblDaily[WardCode],"MAE")),"")</f>
        <v/>
      </c>
      <c r="I370" s="25">
        <f>IFERROR(IF(SUMIFS(tblDaily[Admissions],tblDaily[EntryDate],DATE(2026,10,3),tblDaily[WardCode],"FAE")=0,"",SUMIFS(tblDaily[Admissions],tblDaily[EntryDate],DATE(2026,10,3),tblDaily[WardCode],"FAE")),"")</f>
        <v/>
      </c>
      <c r="J370" s="25">
        <f>IFERROR(IF(SUMIFS(tblDaily[Discharges],tblDaily[EntryDate],DATE(2026,10,3),tblDaily[WardCode],"FAE")=0,"",SUMIFS(tblDaily[Discharges],tblDaily[EntryDate],DATE(2026,10,3),tblDaily[WardCode],"FAE")),"")</f>
        <v/>
      </c>
      <c r="K370" s="25">
        <f>IFERROR(IF(SUMIFS(tblDaily[Deaths],tblDaily[EntryDate],DATE(2026,10,3),tblDaily[WardCode],"FAE")=0,"",SUMIFS(tblDaily[Deaths],tblDaily[EntryDate],DATE(2026,10,3),tblDaily[WardCode],"FAE")),"")</f>
        <v/>
      </c>
      <c r="L370" s="25">
        <f>IFERROR(IF(SUMIFS(tblDaily[DeathsUnder24Hrs],tblDaily[EntryDate],DATE(2026,10,3),tblDaily[WardCode],"FAE")=0,"",SUMIFS(tblDaily[DeathsUnder24Hrs],tblDaily[EntryDate],DATE(2026,10,3),tblDaily[WardCode],"FAE")),"")</f>
        <v/>
      </c>
      <c r="M370" s="25">
        <f>IFERROR(IF(SUMIFS(tblDaily[TransfersIn],tblDaily[EntryDate],DATE(2026,10,3),tblDaily[WardCode],"FAE")=0,"",SUMIFS(tblDaily[TransfersIn],tblDaily[EntryDate],DATE(2026,10,3),tblDaily[WardCode],"FAE")),"")</f>
        <v/>
      </c>
      <c r="N370" s="25">
        <f>IFERROR(IF(SUMIFS(tblDaily[TransfersOut],tblDaily[EntryDate],DATE(2026,10,3),tblDaily[WardCode],"FAE")=0,"",SUMIFS(tblDaily[TransfersOut],tblDaily[EntryDate],DATE(2026,10,3),tblDaily[WardCode],"FAE")),"")</f>
        <v/>
      </c>
      <c r="O370" s="25">
        <f>IFERROR(IF(SUMIFS(tblDaily[Remaining],tblDaily[EntryDate],DATE(2026,10,3),tblDaily[WardCode],"FAE")=0,"",SUMIFS(tblDaily[Remaining],tblDaily[EntryDate],DATE(2026,10,3),tblDaily[WardCode],"FAE")),"")</f>
        <v/>
      </c>
      <c r="P370" s="26">
        <f>IF(AND(H370="", O370=""), "", N(H370) + N(O370))</f>
        <v/>
      </c>
    </row>
    <row r="371">
      <c r="A371" s="25" t="n">
        <v>4</v>
      </c>
      <c r="B371" s="25">
        <f>IFERROR(IF(SUMIFS(tblDaily[Admissions],tblDaily[EntryDate],DATE(2026,10,4),tblDaily[WardCode],"MAE")=0,"",SUMIFS(tblDaily[Admissions],tblDaily[EntryDate],DATE(2026,10,4),tblDaily[WardCode],"MAE")),"")</f>
        <v/>
      </c>
      <c r="C371" s="25">
        <f>IFERROR(IF(SUMIFS(tblDaily[Discharges],tblDaily[EntryDate],DATE(2026,10,4),tblDaily[WardCode],"MAE")=0,"",SUMIFS(tblDaily[Discharges],tblDaily[EntryDate],DATE(2026,10,4),tblDaily[WardCode],"MAE")),"")</f>
        <v/>
      </c>
      <c r="D371" s="25">
        <f>IFERROR(IF(SUMIFS(tblDaily[Deaths],tblDaily[EntryDate],DATE(2026,10,4),tblDaily[WardCode],"MAE")=0,"",SUMIFS(tblDaily[Deaths],tblDaily[EntryDate],DATE(2026,10,4),tblDaily[WardCode],"MAE")),"")</f>
        <v/>
      </c>
      <c r="E371" s="25">
        <f>IFERROR(IF(SUMIFS(tblDaily[DeathsUnder24Hrs],tblDaily[EntryDate],DATE(2026,10,4),tblDaily[WardCode],"MAE")=0,"",SUMIFS(tblDaily[DeathsUnder24Hrs],tblDaily[EntryDate],DATE(2026,10,4),tblDaily[WardCode],"MAE")),"")</f>
        <v/>
      </c>
      <c r="F371" s="25">
        <f>IFERROR(IF(SUMIFS(tblDaily[TransfersIn],tblDaily[EntryDate],DATE(2026,10,4),tblDaily[WardCode],"MAE")=0,"",SUMIFS(tblDaily[TransfersIn],tblDaily[EntryDate],DATE(2026,10,4),tblDaily[WardCode],"MAE")),"")</f>
        <v/>
      </c>
      <c r="G371" s="25">
        <f>IFERROR(IF(SUMIFS(tblDaily[TransfersOut],tblDaily[EntryDate],DATE(2026,10,4),tblDaily[WardCode],"MAE")=0,"",SUMIFS(tblDaily[TransfersOut],tblDaily[EntryDate],DATE(2026,10,4),tblDaily[WardCode],"MAE")),"")</f>
        <v/>
      </c>
      <c r="H371" s="25">
        <f>IFERROR(IF(SUMIFS(tblDaily[Remaining],tblDaily[EntryDate],DATE(2026,10,4),tblDaily[WardCode],"MAE")=0,"",SUMIFS(tblDaily[Remaining],tblDaily[EntryDate],DATE(2026,10,4),tblDaily[WardCode],"MAE")),"")</f>
        <v/>
      </c>
      <c r="I371" s="25">
        <f>IFERROR(IF(SUMIFS(tblDaily[Admissions],tblDaily[EntryDate],DATE(2026,10,4),tblDaily[WardCode],"FAE")=0,"",SUMIFS(tblDaily[Admissions],tblDaily[EntryDate],DATE(2026,10,4),tblDaily[WardCode],"FAE")),"")</f>
        <v/>
      </c>
      <c r="J371" s="25">
        <f>IFERROR(IF(SUMIFS(tblDaily[Discharges],tblDaily[EntryDate],DATE(2026,10,4),tblDaily[WardCode],"FAE")=0,"",SUMIFS(tblDaily[Discharges],tblDaily[EntryDate],DATE(2026,10,4),tblDaily[WardCode],"FAE")),"")</f>
        <v/>
      </c>
      <c r="K371" s="25">
        <f>IFERROR(IF(SUMIFS(tblDaily[Deaths],tblDaily[EntryDate],DATE(2026,10,4),tblDaily[WardCode],"FAE")=0,"",SUMIFS(tblDaily[Deaths],tblDaily[EntryDate],DATE(2026,10,4),tblDaily[WardCode],"FAE")),"")</f>
        <v/>
      </c>
      <c r="L371" s="25">
        <f>IFERROR(IF(SUMIFS(tblDaily[DeathsUnder24Hrs],tblDaily[EntryDate],DATE(2026,10,4),tblDaily[WardCode],"FAE")=0,"",SUMIFS(tblDaily[DeathsUnder24Hrs],tblDaily[EntryDate],DATE(2026,10,4),tblDaily[WardCode],"FAE")),"")</f>
        <v/>
      </c>
      <c r="M371" s="25">
        <f>IFERROR(IF(SUMIFS(tblDaily[TransfersIn],tblDaily[EntryDate],DATE(2026,10,4),tblDaily[WardCode],"FAE")=0,"",SUMIFS(tblDaily[TransfersIn],tblDaily[EntryDate],DATE(2026,10,4),tblDaily[WardCode],"FAE")),"")</f>
        <v/>
      </c>
      <c r="N371" s="25">
        <f>IFERROR(IF(SUMIFS(tblDaily[TransfersOut],tblDaily[EntryDate],DATE(2026,10,4),tblDaily[WardCode],"FAE")=0,"",SUMIFS(tblDaily[TransfersOut],tblDaily[EntryDate],DATE(2026,10,4),tblDaily[WardCode],"FAE")),"")</f>
        <v/>
      </c>
      <c r="O371" s="25">
        <f>IFERROR(IF(SUMIFS(tblDaily[Remaining],tblDaily[EntryDate],DATE(2026,10,4),tblDaily[WardCode],"FAE")=0,"",SUMIFS(tblDaily[Remaining],tblDaily[EntryDate],DATE(2026,10,4),tblDaily[WardCode],"FAE")),"")</f>
        <v/>
      </c>
      <c r="P371" s="26">
        <f>IF(AND(H371="", O371=""), "", N(H371) + N(O371))</f>
        <v/>
      </c>
    </row>
    <row r="372">
      <c r="A372" s="25" t="n">
        <v>5</v>
      </c>
      <c r="B372" s="25">
        <f>IFERROR(IF(SUMIFS(tblDaily[Admissions],tblDaily[EntryDate],DATE(2026,10,5),tblDaily[WardCode],"MAE")=0,"",SUMIFS(tblDaily[Admissions],tblDaily[EntryDate],DATE(2026,10,5),tblDaily[WardCode],"MAE")),"")</f>
        <v/>
      </c>
      <c r="C372" s="25">
        <f>IFERROR(IF(SUMIFS(tblDaily[Discharges],tblDaily[EntryDate],DATE(2026,10,5),tblDaily[WardCode],"MAE")=0,"",SUMIFS(tblDaily[Discharges],tblDaily[EntryDate],DATE(2026,10,5),tblDaily[WardCode],"MAE")),"")</f>
        <v/>
      </c>
      <c r="D372" s="25">
        <f>IFERROR(IF(SUMIFS(tblDaily[Deaths],tblDaily[EntryDate],DATE(2026,10,5),tblDaily[WardCode],"MAE")=0,"",SUMIFS(tblDaily[Deaths],tblDaily[EntryDate],DATE(2026,10,5),tblDaily[WardCode],"MAE")),"")</f>
        <v/>
      </c>
      <c r="E372" s="25">
        <f>IFERROR(IF(SUMIFS(tblDaily[DeathsUnder24Hrs],tblDaily[EntryDate],DATE(2026,10,5),tblDaily[WardCode],"MAE")=0,"",SUMIFS(tblDaily[DeathsUnder24Hrs],tblDaily[EntryDate],DATE(2026,10,5),tblDaily[WardCode],"MAE")),"")</f>
        <v/>
      </c>
      <c r="F372" s="25">
        <f>IFERROR(IF(SUMIFS(tblDaily[TransfersIn],tblDaily[EntryDate],DATE(2026,10,5),tblDaily[WardCode],"MAE")=0,"",SUMIFS(tblDaily[TransfersIn],tblDaily[EntryDate],DATE(2026,10,5),tblDaily[WardCode],"MAE")),"")</f>
        <v/>
      </c>
      <c r="G372" s="25">
        <f>IFERROR(IF(SUMIFS(tblDaily[TransfersOut],tblDaily[EntryDate],DATE(2026,10,5),tblDaily[WardCode],"MAE")=0,"",SUMIFS(tblDaily[TransfersOut],tblDaily[EntryDate],DATE(2026,10,5),tblDaily[WardCode],"MAE")),"")</f>
        <v/>
      </c>
      <c r="H372" s="25">
        <f>IFERROR(IF(SUMIFS(tblDaily[Remaining],tblDaily[EntryDate],DATE(2026,10,5),tblDaily[WardCode],"MAE")=0,"",SUMIFS(tblDaily[Remaining],tblDaily[EntryDate],DATE(2026,10,5),tblDaily[WardCode],"MAE")),"")</f>
        <v/>
      </c>
      <c r="I372" s="25">
        <f>IFERROR(IF(SUMIFS(tblDaily[Admissions],tblDaily[EntryDate],DATE(2026,10,5),tblDaily[WardCode],"FAE")=0,"",SUMIFS(tblDaily[Admissions],tblDaily[EntryDate],DATE(2026,10,5),tblDaily[WardCode],"FAE")),"")</f>
        <v/>
      </c>
      <c r="J372" s="25">
        <f>IFERROR(IF(SUMIFS(tblDaily[Discharges],tblDaily[EntryDate],DATE(2026,10,5),tblDaily[WardCode],"FAE")=0,"",SUMIFS(tblDaily[Discharges],tblDaily[EntryDate],DATE(2026,10,5),tblDaily[WardCode],"FAE")),"")</f>
        <v/>
      </c>
      <c r="K372" s="25">
        <f>IFERROR(IF(SUMIFS(tblDaily[Deaths],tblDaily[EntryDate],DATE(2026,10,5),tblDaily[WardCode],"FAE")=0,"",SUMIFS(tblDaily[Deaths],tblDaily[EntryDate],DATE(2026,10,5),tblDaily[WardCode],"FAE")),"")</f>
        <v/>
      </c>
      <c r="L372" s="25">
        <f>IFERROR(IF(SUMIFS(tblDaily[DeathsUnder24Hrs],tblDaily[EntryDate],DATE(2026,10,5),tblDaily[WardCode],"FAE")=0,"",SUMIFS(tblDaily[DeathsUnder24Hrs],tblDaily[EntryDate],DATE(2026,10,5),tblDaily[WardCode],"FAE")),"")</f>
        <v/>
      </c>
      <c r="M372" s="25">
        <f>IFERROR(IF(SUMIFS(tblDaily[TransfersIn],tblDaily[EntryDate],DATE(2026,10,5),tblDaily[WardCode],"FAE")=0,"",SUMIFS(tblDaily[TransfersIn],tblDaily[EntryDate],DATE(2026,10,5),tblDaily[WardCode],"FAE")),"")</f>
        <v/>
      </c>
      <c r="N372" s="25">
        <f>IFERROR(IF(SUMIFS(tblDaily[TransfersOut],tblDaily[EntryDate],DATE(2026,10,5),tblDaily[WardCode],"FAE")=0,"",SUMIFS(tblDaily[TransfersOut],tblDaily[EntryDate],DATE(2026,10,5),tblDaily[WardCode],"FAE")),"")</f>
        <v/>
      </c>
      <c r="O372" s="25">
        <f>IFERROR(IF(SUMIFS(tblDaily[Remaining],tblDaily[EntryDate],DATE(2026,10,5),tblDaily[WardCode],"FAE")=0,"",SUMIFS(tblDaily[Remaining],tblDaily[EntryDate],DATE(2026,10,5),tblDaily[WardCode],"FAE")),"")</f>
        <v/>
      </c>
      <c r="P372" s="26">
        <f>IF(AND(H372="", O372=""), "", N(H372) + N(O372))</f>
        <v/>
      </c>
    </row>
    <row r="373">
      <c r="A373" s="25" t="n">
        <v>6</v>
      </c>
      <c r="B373" s="25">
        <f>IFERROR(IF(SUMIFS(tblDaily[Admissions],tblDaily[EntryDate],DATE(2026,10,6),tblDaily[WardCode],"MAE")=0,"",SUMIFS(tblDaily[Admissions],tblDaily[EntryDate],DATE(2026,10,6),tblDaily[WardCode],"MAE")),"")</f>
        <v/>
      </c>
      <c r="C373" s="25">
        <f>IFERROR(IF(SUMIFS(tblDaily[Discharges],tblDaily[EntryDate],DATE(2026,10,6),tblDaily[WardCode],"MAE")=0,"",SUMIFS(tblDaily[Discharges],tblDaily[EntryDate],DATE(2026,10,6),tblDaily[WardCode],"MAE")),"")</f>
        <v/>
      </c>
      <c r="D373" s="25">
        <f>IFERROR(IF(SUMIFS(tblDaily[Deaths],tblDaily[EntryDate],DATE(2026,10,6),tblDaily[WardCode],"MAE")=0,"",SUMIFS(tblDaily[Deaths],tblDaily[EntryDate],DATE(2026,10,6),tblDaily[WardCode],"MAE")),"")</f>
        <v/>
      </c>
      <c r="E373" s="25">
        <f>IFERROR(IF(SUMIFS(tblDaily[DeathsUnder24Hrs],tblDaily[EntryDate],DATE(2026,10,6),tblDaily[WardCode],"MAE")=0,"",SUMIFS(tblDaily[DeathsUnder24Hrs],tblDaily[EntryDate],DATE(2026,10,6),tblDaily[WardCode],"MAE")),"")</f>
        <v/>
      </c>
      <c r="F373" s="25">
        <f>IFERROR(IF(SUMIFS(tblDaily[TransfersIn],tblDaily[EntryDate],DATE(2026,10,6),tblDaily[WardCode],"MAE")=0,"",SUMIFS(tblDaily[TransfersIn],tblDaily[EntryDate],DATE(2026,10,6),tblDaily[WardCode],"MAE")),"")</f>
        <v/>
      </c>
      <c r="G373" s="25">
        <f>IFERROR(IF(SUMIFS(tblDaily[TransfersOut],tblDaily[EntryDate],DATE(2026,10,6),tblDaily[WardCode],"MAE")=0,"",SUMIFS(tblDaily[TransfersOut],tblDaily[EntryDate],DATE(2026,10,6),tblDaily[WardCode],"MAE")),"")</f>
        <v/>
      </c>
      <c r="H373" s="25">
        <f>IFERROR(IF(SUMIFS(tblDaily[Remaining],tblDaily[EntryDate],DATE(2026,10,6),tblDaily[WardCode],"MAE")=0,"",SUMIFS(tblDaily[Remaining],tblDaily[EntryDate],DATE(2026,10,6),tblDaily[WardCode],"MAE")),"")</f>
        <v/>
      </c>
      <c r="I373" s="25">
        <f>IFERROR(IF(SUMIFS(tblDaily[Admissions],tblDaily[EntryDate],DATE(2026,10,6),tblDaily[WardCode],"FAE")=0,"",SUMIFS(tblDaily[Admissions],tblDaily[EntryDate],DATE(2026,10,6),tblDaily[WardCode],"FAE")),"")</f>
        <v/>
      </c>
      <c r="J373" s="25">
        <f>IFERROR(IF(SUMIFS(tblDaily[Discharges],tblDaily[EntryDate],DATE(2026,10,6),tblDaily[WardCode],"FAE")=0,"",SUMIFS(tblDaily[Discharges],tblDaily[EntryDate],DATE(2026,10,6),tblDaily[WardCode],"FAE")),"")</f>
        <v/>
      </c>
      <c r="K373" s="25">
        <f>IFERROR(IF(SUMIFS(tblDaily[Deaths],tblDaily[EntryDate],DATE(2026,10,6),tblDaily[WardCode],"FAE")=0,"",SUMIFS(tblDaily[Deaths],tblDaily[EntryDate],DATE(2026,10,6),tblDaily[WardCode],"FAE")),"")</f>
        <v/>
      </c>
      <c r="L373" s="25">
        <f>IFERROR(IF(SUMIFS(tblDaily[DeathsUnder24Hrs],tblDaily[EntryDate],DATE(2026,10,6),tblDaily[WardCode],"FAE")=0,"",SUMIFS(tblDaily[DeathsUnder24Hrs],tblDaily[EntryDate],DATE(2026,10,6),tblDaily[WardCode],"FAE")),"")</f>
        <v/>
      </c>
      <c r="M373" s="25">
        <f>IFERROR(IF(SUMIFS(tblDaily[TransfersIn],tblDaily[EntryDate],DATE(2026,10,6),tblDaily[WardCode],"FAE")=0,"",SUMIFS(tblDaily[TransfersIn],tblDaily[EntryDate],DATE(2026,10,6),tblDaily[WardCode],"FAE")),"")</f>
        <v/>
      </c>
      <c r="N373" s="25">
        <f>IFERROR(IF(SUMIFS(tblDaily[TransfersOut],tblDaily[EntryDate],DATE(2026,10,6),tblDaily[WardCode],"FAE")=0,"",SUMIFS(tblDaily[TransfersOut],tblDaily[EntryDate],DATE(2026,10,6),tblDaily[WardCode],"FAE")),"")</f>
        <v/>
      </c>
      <c r="O373" s="25">
        <f>IFERROR(IF(SUMIFS(tblDaily[Remaining],tblDaily[EntryDate],DATE(2026,10,6),tblDaily[WardCode],"FAE")=0,"",SUMIFS(tblDaily[Remaining],tblDaily[EntryDate],DATE(2026,10,6),tblDaily[WardCode],"FAE")),"")</f>
        <v/>
      </c>
      <c r="P373" s="26">
        <f>IF(AND(H373="", O373=""), "", N(H373) + N(O373))</f>
        <v/>
      </c>
    </row>
    <row r="374">
      <c r="A374" s="25" t="n">
        <v>7</v>
      </c>
      <c r="B374" s="25">
        <f>IFERROR(IF(SUMIFS(tblDaily[Admissions],tblDaily[EntryDate],DATE(2026,10,7),tblDaily[WardCode],"MAE")=0,"",SUMIFS(tblDaily[Admissions],tblDaily[EntryDate],DATE(2026,10,7),tblDaily[WardCode],"MAE")),"")</f>
        <v/>
      </c>
      <c r="C374" s="25">
        <f>IFERROR(IF(SUMIFS(tblDaily[Discharges],tblDaily[EntryDate],DATE(2026,10,7),tblDaily[WardCode],"MAE")=0,"",SUMIFS(tblDaily[Discharges],tblDaily[EntryDate],DATE(2026,10,7),tblDaily[WardCode],"MAE")),"")</f>
        <v/>
      </c>
      <c r="D374" s="25">
        <f>IFERROR(IF(SUMIFS(tblDaily[Deaths],tblDaily[EntryDate],DATE(2026,10,7),tblDaily[WardCode],"MAE")=0,"",SUMIFS(tblDaily[Deaths],tblDaily[EntryDate],DATE(2026,10,7),tblDaily[WardCode],"MAE")),"")</f>
        <v/>
      </c>
      <c r="E374" s="25">
        <f>IFERROR(IF(SUMIFS(tblDaily[DeathsUnder24Hrs],tblDaily[EntryDate],DATE(2026,10,7),tblDaily[WardCode],"MAE")=0,"",SUMIFS(tblDaily[DeathsUnder24Hrs],tblDaily[EntryDate],DATE(2026,10,7),tblDaily[WardCode],"MAE")),"")</f>
        <v/>
      </c>
      <c r="F374" s="25">
        <f>IFERROR(IF(SUMIFS(tblDaily[TransfersIn],tblDaily[EntryDate],DATE(2026,10,7),tblDaily[WardCode],"MAE")=0,"",SUMIFS(tblDaily[TransfersIn],tblDaily[EntryDate],DATE(2026,10,7),tblDaily[WardCode],"MAE")),"")</f>
        <v/>
      </c>
      <c r="G374" s="25">
        <f>IFERROR(IF(SUMIFS(tblDaily[TransfersOut],tblDaily[EntryDate],DATE(2026,10,7),tblDaily[WardCode],"MAE")=0,"",SUMIFS(tblDaily[TransfersOut],tblDaily[EntryDate],DATE(2026,10,7),tblDaily[WardCode],"MAE")),"")</f>
        <v/>
      </c>
      <c r="H374" s="25">
        <f>IFERROR(IF(SUMIFS(tblDaily[Remaining],tblDaily[EntryDate],DATE(2026,10,7),tblDaily[WardCode],"MAE")=0,"",SUMIFS(tblDaily[Remaining],tblDaily[EntryDate],DATE(2026,10,7),tblDaily[WardCode],"MAE")),"")</f>
        <v/>
      </c>
      <c r="I374" s="25">
        <f>IFERROR(IF(SUMIFS(tblDaily[Admissions],tblDaily[EntryDate],DATE(2026,10,7),tblDaily[WardCode],"FAE")=0,"",SUMIFS(tblDaily[Admissions],tblDaily[EntryDate],DATE(2026,10,7),tblDaily[WardCode],"FAE")),"")</f>
        <v/>
      </c>
      <c r="J374" s="25">
        <f>IFERROR(IF(SUMIFS(tblDaily[Discharges],tblDaily[EntryDate],DATE(2026,10,7),tblDaily[WardCode],"FAE")=0,"",SUMIFS(tblDaily[Discharges],tblDaily[EntryDate],DATE(2026,10,7),tblDaily[WardCode],"FAE")),"")</f>
        <v/>
      </c>
      <c r="K374" s="25">
        <f>IFERROR(IF(SUMIFS(tblDaily[Deaths],tblDaily[EntryDate],DATE(2026,10,7),tblDaily[WardCode],"FAE")=0,"",SUMIFS(tblDaily[Deaths],tblDaily[EntryDate],DATE(2026,10,7),tblDaily[WardCode],"FAE")),"")</f>
        <v/>
      </c>
      <c r="L374" s="25">
        <f>IFERROR(IF(SUMIFS(tblDaily[DeathsUnder24Hrs],tblDaily[EntryDate],DATE(2026,10,7),tblDaily[WardCode],"FAE")=0,"",SUMIFS(tblDaily[DeathsUnder24Hrs],tblDaily[EntryDate],DATE(2026,10,7),tblDaily[WardCode],"FAE")),"")</f>
        <v/>
      </c>
      <c r="M374" s="25">
        <f>IFERROR(IF(SUMIFS(tblDaily[TransfersIn],tblDaily[EntryDate],DATE(2026,10,7),tblDaily[WardCode],"FAE")=0,"",SUMIFS(tblDaily[TransfersIn],tblDaily[EntryDate],DATE(2026,10,7),tblDaily[WardCode],"FAE")),"")</f>
        <v/>
      </c>
      <c r="N374" s="25">
        <f>IFERROR(IF(SUMIFS(tblDaily[TransfersOut],tblDaily[EntryDate],DATE(2026,10,7),tblDaily[WardCode],"FAE")=0,"",SUMIFS(tblDaily[TransfersOut],tblDaily[EntryDate],DATE(2026,10,7),tblDaily[WardCode],"FAE")),"")</f>
        <v/>
      </c>
      <c r="O374" s="25">
        <f>IFERROR(IF(SUMIFS(tblDaily[Remaining],tblDaily[EntryDate],DATE(2026,10,7),tblDaily[WardCode],"FAE")=0,"",SUMIFS(tblDaily[Remaining],tblDaily[EntryDate],DATE(2026,10,7),tblDaily[WardCode],"FAE")),"")</f>
        <v/>
      </c>
      <c r="P374" s="26">
        <f>IF(AND(H374="", O374=""), "", N(H374) + N(O374))</f>
        <v/>
      </c>
    </row>
    <row r="375">
      <c r="A375" s="25" t="n">
        <v>8</v>
      </c>
      <c r="B375" s="25">
        <f>IFERROR(IF(SUMIFS(tblDaily[Admissions],tblDaily[EntryDate],DATE(2026,10,8),tblDaily[WardCode],"MAE")=0,"",SUMIFS(tblDaily[Admissions],tblDaily[EntryDate],DATE(2026,10,8),tblDaily[WardCode],"MAE")),"")</f>
        <v/>
      </c>
      <c r="C375" s="25">
        <f>IFERROR(IF(SUMIFS(tblDaily[Discharges],tblDaily[EntryDate],DATE(2026,10,8),tblDaily[WardCode],"MAE")=0,"",SUMIFS(tblDaily[Discharges],tblDaily[EntryDate],DATE(2026,10,8),tblDaily[WardCode],"MAE")),"")</f>
        <v/>
      </c>
      <c r="D375" s="25">
        <f>IFERROR(IF(SUMIFS(tblDaily[Deaths],tblDaily[EntryDate],DATE(2026,10,8),tblDaily[WardCode],"MAE")=0,"",SUMIFS(tblDaily[Deaths],tblDaily[EntryDate],DATE(2026,10,8),tblDaily[WardCode],"MAE")),"")</f>
        <v/>
      </c>
      <c r="E375" s="25">
        <f>IFERROR(IF(SUMIFS(tblDaily[DeathsUnder24Hrs],tblDaily[EntryDate],DATE(2026,10,8),tblDaily[WardCode],"MAE")=0,"",SUMIFS(tblDaily[DeathsUnder24Hrs],tblDaily[EntryDate],DATE(2026,10,8),tblDaily[WardCode],"MAE")),"")</f>
        <v/>
      </c>
      <c r="F375" s="25">
        <f>IFERROR(IF(SUMIFS(tblDaily[TransfersIn],tblDaily[EntryDate],DATE(2026,10,8),tblDaily[WardCode],"MAE")=0,"",SUMIFS(tblDaily[TransfersIn],tblDaily[EntryDate],DATE(2026,10,8),tblDaily[WardCode],"MAE")),"")</f>
        <v/>
      </c>
      <c r="G375" s="25">
        <f>IFERROR(IF(SUMIFS(tblDaily[TransfersOut],tblDaily[EntryDate],DATE(2026,10,8),tblDaily[WardCode],"MAE")=0,"",SUMIFS(tblDaily[TransfersOut],tblDaily[EntryDate],DATE(2026,10,8),tblDaily[WardCode],"MAE")),"")</f>
        <v/>
      </c>
      <c r="H375" s="25">
        <f>IFERROR(IF(SUMIFS(tblDaily[Remaining],tblDaily[EntryDate],DATE(2026,10,8),tblDaily[WardCode],"MAE")=0,"",SUMIFS(tblDaily[Remaining],tblDaily[EntryDate],DATE(2026,10,8),tblDaily[WardCode],"MAE")),"")</f>
        <v/>
      </c>
      <c r="I375" s="25">
        <f>IFERROR(IF(SUMIFS(tblDaily[Admissions],tblDaily[EntryDate],DATE(2026,10,8),tblDaily[WardCode],"FAE")=0,"",SUMIFS(tblDaily[Admissions],tblDaily[EntryDate],DATE(2026,10,8),tblDaily[WardCode],"FAE")),"")</f>
        <v/>
      </c>
      <c r="J375" s="25">
        <f>IFERROR(IF(SUMIFS(tblDaily[Discharges],tblDaily[EntryDate],DATE(2026,10,8),tblDaily[WardCode],"FAE")=0,"",SUMIFS(tblDaily[Discharges],tblDaily[EntryDate],DATE(2026,10,8),tblDaily[WardCode],"FAE")),"")</f>
        <v/>
      </c>
      <c r="K375" s="25">
        <f>IFERROR(IF(SUMIFS(tblDaily[Deaths],tblDaily[EntryDate],DATE(2026,10,8),tblDaily[WardCode],"FAE")=0,"",SUMIFS(tblDaily[Deaths],tblDaily[EntryDate],DATE(2026,10,8),tblDaily[WardCode],"FAE")),"")</f>
        <v/>
      </c>
      <c r="L375" s="25">
        <f>IFERROR(IF(SUMIFS(tblDaily[DeathsUnder24Hrs],tblDaily[EntryDate],DATE(2026,10,8),tblDaily[WardCode],"FAE")=0,"",SUMIFS(tblDaily[DeathsUnder24Hrs],tblDaily[EntryDate],DATE(2026,10,8),tblDaily[WardCode],"FAE")),"")</f>
        <v/>
      </c>
      <c r="M375" s="25">
        <f>IFERROR(IF(SUMIFS(tblDaily[TransfersIn],tblDaily[EntryDate],DATE(2026,10,8),tblDaily[WardCode],"FAE")=0,"",SUMIFS(tblDaily[TransfersIn],tblDaily[EntryDate],DATE(2026,10,8),tblDaily[WardCode],"FAE")),"")</f>
        <v/>
      </c>
      <c r="N375" s="25">
        <f>IFERROR(IF(SUMIFS(tblDaily[TransfersOut],tblDaily[EntryDate],DATE(2026,10,8),tblDaily[WardCode],"FAE")=0,"",SUMIFS(tblDaily[TransfersOut],tblDaily[EntryDate],DATE(2026,10,8),tblDaily[WardCode],"FAE")),"")</f>
        <v/>
      </c>
      <c r="O375" s="25">
        <f>IFERROR(IF(SUMIFS(tblDaily[Remaining],tblDaily[EntryDate],DATE(2026,10,8),tblDaily[WardCode],"FAE")=0,"",SUMIFS(tblDaily[Remaining],tblDaily[EntryDate],DATE(2026,10,8),tblDaily[WardCode],"FAE")),"")</f>
        <v/>
      </c>
      <c r="P375" s="26">
        <f>IF(AND(H375="", O375=""), "", N(H375) + N(O375))</f>
        <v/>
      </c>
    </row>
    <row r="376">
      <c r="A376" s="25" t="n">
        <v>9</v>
      </c>
      <c r="B376" s="25">
        <f>IFERROR(IF(SUMIFS(tblDaily[Admissions],tblDaily[EntryDate],DATE(2026,10,9),tblDaily[WardCode],"MAE")=0,"",SUMIFS(tblDaily[Admissions],tblDaily[EntryDate],DATE(2026,10,9),tblDaily[WardCode],"MAE")),"")</f>
        <v/>
      </c>
      <c r="C376" s="25">
        <f>IFERROR(IF(SUMIFS(tblDaily[Discharges],tblDaily[EntryDate],DATE(2026,10,9),tblDaily[WardCode],"MAE")=0,"",SUMIFS(tblDaily[Discharges],tblDaily[EntryDate],DATE(2026,10,9),tblDaily[WardCode],"MAE")),"")</f>
        <v/>
      </c>
      <c r="D376" s="25">
        <f>IFERROR(IF(SUMIFS(tblDaily[Deaths],tblDaily[EntryDate],DATE(2026,10,9),tblDaily[WardCode],"MAE")=0,"",SUMIFS(tblDaily[Deaths],tblDaily[EntryDate],DATE(2026,10,9),tblDaily[WardCode],"MAE")),"")</f>
        <v/>
      </c>
      <c r="E376" s="25">
        <f>IFERROR(IF(SUMIFS(tblDaily[DeathsUnder24Hrs],tblDaily[EntryDate],DATE(2026,10,9),tblDaily[WardCode],"MAE")=0,"",SUMIFS(tblDaily[DeathsUnder24Hrs],tblDaily[EntryDate],DATE(2026,10,9),tblDaily[WardCode],"MAE")),"")</f>
        <v/>
      </c>
      <c r="F376" s="25">
        <f>IFERROR(IF(SUMIFS(tblDaily[TransfersIn],tblDaily[EntryDate],DATE(2026,10,9),tblDaily[WardCode],"MAE")=0,"",SUMIFS(tblDaily[TransfersIn],tblDaily[EntryDate],DATE(2026,10,9),tblDaily[WardCode],"MAE")),"")</f>
        <v/>
      </c>
      <c r="G376" s="25">
        <f>IFERROR(IF(SUMIFS(tblDaily[TransfersOut],tblDaily[EntryDate],DATE(2026,10,9),tblDaily[WardCode],"MAE")=0,"",SUMIFS(tblDaily[TransfersOut],tblDaily[EntryDate],DATE(2026,10,9),tblDaily[WardCode],"MAE")),"")</f>
        <v/>
      </c>
      <c r="H376" s="25">
        <f>IFERROR(IF(SUMIFS(tblDaily[Remaining],tblDaily[EntryDate],DATE(2026,10,9),tblDaily[WardCode],"MAE")=0,"",SUMIFS(tblDaily[Remaining],tblDaily[EntryDate],DATE(2026,10,9),tblDaily[WardCode],"MAE")),"")</f>
        <v/>
      </c>
      <c r="I376" s="25">
        <f>IFERROR(IF(SUMIFS(tblDaily[Admissions],tblDaily[EntryDate],DATE(2026,10,9),tblDaily[WardCode],"FAE")=0,"",SUMIFS(tblDaily[Admissions],tblDaily[EntryDate],DATE(2026,10,9),tblDaily[WardCode],"FAE")),"")</f>
        <v/>
      </c>
      <c r="J376" s="25">
        <f>IFERROR(IF(SUMIFS(tblDaily[Discharges],tblDaily[EntryDate],DATE(2026,10,9),tblDaily[WardCode],"FAE")=0,"",SUMIFS(tblDaily[Discharges],tblDaily[EntryDate],DATE(2026,10,9),tblDaily[WardCode],"FAE")),"")</f>
        <v/>
      </c>
      <c r="K376" s="25">
        <f>IFERROR(IF(SUMIFS(tblDaily[Deaths],tblDaily[EntryDate],DATE(2026,10,9),tblDaily[WardCode],"FAE")=0,"",SUMIFS(tblDaily[Deaths],tblDaily[EntryDate],DATE(2026,10,9),tblDaily[WardCode],"FAE")),"")</f>
        <v/>
      </c>
      <c r="L376" s="25">
        <f>IFERROR(IF(SUMIFS(tblDaily[DeathsUnder24Hrs],tblDaily[EntryDate],DATE(2026,10,9),tblDaily[WardCode],"FAE")=0,"",SUMIFS(tblDaily[DeathsUnder24Hrs],tblDaily[EntryDate],DATE(2026,10,9),tblDaily[WardCode],"FAE")),"")</f>
        <v/>
      </c>
      <c r="M376" s="25">
        <f>IFERROR(IF(SUMIFS(tblDaily[TransfersIn],tblDaily[EntryDate],DATE(2026,10,9),tblDaily[WardCode],"FAE")=0,"",SUMIFS(tblDaily[TransfersIn],tblDaily[EntryDate],DATE(2026,10,9),tblDaily[WardCode],"FAE")),"")</f>
        <v/>
      </c>
      <c r="N376" s="25">
        <f>IFERROR(IF(SUMIFS(tblDaily[TransfersOut],tblDaily[EntryDate],DATE(2026,10,9),tblDaily[WardCode],"FAE")=0,"",SUMIFS(tblDaily[TransfersOut],tblDaily[EntryDate],DATE(2026,10,9),tblDaily[WardCode],"FAE")),"")</f>
        <v/>
      </c>
      <c r="O376" s="25">
        <f>IFERROR(IF(SUMIFS(tblDaily[Remaining],tblDaily[EntryDate],DATE(2026,10,9),tblDaily[WardCode],"FAE")=0,"",SUMIFS(tblDaily[Remaining],tblDaily[EntryDate],DATE(2026,10,9),tblDaily[WardCode],"FAE")),"")</f>
        <v/>
      </c>
      <c r="P376" s="26">
        <f>IF(AND(H376="", O376=""), "", N(H376) + N(O376))</f>
        <v/>
      </c>
    </row>
    <row r="377">
      <c r="A377" s="25" t="n">
        <v>10</v>
      </c>
      <c r="B377" s="25">
        <f>IFERROR(IF(SUMIFS(tblDaily[Admissions],tblDaily[EntryDate],DATE(2026,10,10),tblDaily[WardCode],"MAE")=0,"",SUMIFS(tblDaily[Admissions],tblDaily[EntryDate],DATE(2026,10,10),tblDaily[WardCode],"MAE")),"")</f>
        <v/>
      </c>
      <c r="C377" s="25">
        <f>IFERROR(IF(SUMIFS(tblDaily[Discharges],tblDaily[EntryDate],DATE(2026,10,10),tblDaily[WardCode],"MAE")=0,"",SUMIFS(tblDaily[Discharges],tblDaily[EntryDate],DATE(2026,10,10),tblDaily[WardCode],"MAE")),"")</f>
        <v/>
      </c>
      <c r="D377" s="25">
        <f>IFERROR(IF(SUMIFS(tblDaily[Deaths],tblDaily[EntryDate],DATE(2026,10,10),tblDaily[WardCode],"MAE")=0,"",SUMIFS(tblDaily[Deaths],tblDaily[EntryDate],DATE(2026,10,10),tblDaily[WardCode],"MAE")),"")</f>
        <v/>
      </c>
      <c r="E377" s="25">
        <f>IFERROR(IF(SUMIFS(tblDaily[DeathsUnder24Hrs],tblDaily[EntryDate],DATE(2026,10,10),tblDaily[WardCode],"MAE")=0,"",SUMIFS(tblDaily[DeathsUnder24Hrs],tblDaily[EntryDate],DATE(2026,10,10),tblDaily[WardCode],"MAE")),"")</f>
        <v/>
      </c>
      <c r="F377" s="25">
        <f>IFERROR(IF(SUMIFS(tblDaily[TransfersIn],tblDaily[EntryDate],DATE(2026,10,10),tblDaily[WardCode],"MAE")=0,"",SUMIFS(tblDaily[TransfersIn],tblDaily[EntryDate],DATE(2026,10,10),tblDaily[WardCode],"MAE")),"")</f>
        <v/>
      </c>
      <c r="G377" s="25">
        <f>IFERROR(IF(SUMIFS(tblDaily[TransfersOut],tblDaily[EntryDate],DATE(2026,10,10),tblDaily[WardCode],"MAE")=0,"",SUMIFS(tblDaily[TransfersOut],tblDaily[EntryDate],DATE(2026,10,10),tblDaily[WardCode],"MAE")),"")</f>
        <v/>
      </c>
      <c r="H377" s="25">
        <f>IFERROR(IF(SUMIFS(tblDaily[Remaining],tblDaily[EntryDate],DATE(2026,10,10),tblDaily[WardCode],"MAE")=0,"",SUMIFS(tblDaily[Remaining],tblDaily[EntryDate],DATE(2026,10,10),tblDaily[WardCode],"MAE")),"")</f>
        <v/>
      </c>
      <c r="I377" s="25">
        <f>IFERROR(IF(SUMIFS(tblDaily[Admissions],tblDaily[EntryDate],DATE(2026,10,10),tblDaily[WardCode],"FAE")=0,"",SUMIFS(tblDaily[Admissions],tblDaily[EntryDate],DATE(2026,10,10),tblDaily[WardCode],"FAE")),"")</f>
        <v/>
      </c>
      <c r="J377" s="25">
        <f>IFERROR(IF(SUMIFS(tblDaily[Discharges],tblDaily[EntryDate],DATE(2026,10,10),tblDaily[WardCode],"FAE")=0,"",SUMIFS(tblDaily[Discharges],tblDaily[EntryDate],DATE(2026,10,10),tblDaily[WardCode],"FAE")),"")</f>
        <v/>
      </c>
      <c r="K377" s="25">
        <f>IFERROR(IF(SUMIFS(tblDaily[Deaths],tblDaily[EntryDate],DATE(2026,10,10),tblDaily[WardCode],"FAE")=0,"",SUMIFS(tblDaily[Deaths],tblDaily[EntryDate],DATE(2026,10,10),tblDaily[WardCode],"FAE")),"")</f>
        <v/>
      </c>
      <c r="L377" s="25">
        <f>IFERROR(IF(SUMIFS(tblDaily[DeathsUnder24Hrs],tblDaily[EntryDate],DATE(2026,10,10),tblDaily[WardCode],"FAE")=0,"",SUMIFS(tblDaily[DeathsUnder24Hrs],tblDaily[EntryDate],DATE(2026,10,10),tblDaily[WardCode],"FAE")),"")</f>
        <v/>
      </c>
      <c r="M377" s="25">
        <f>IFERROR(IF(SUMIFS(tblDaily[TransfersIn],tblDaily[EntryDate],DATE(2026,10,10),tblDaily[WardCode],"FAE")=0,"",SUMIFS(tblDaily[TransfersIn],tblDaily[EntryDate],DATE(2026,10,10),tblDaily[WardCode],"FAE")),"")</f>
        <v/>
      </c>
      <c r="N377" s="25">
        <f>IFERROR(IF(SUMIFS(tblDaily[TransfersOut],tblDaily[EntryDate],DATE(2026,10,10),tblDaily[WardCode],"FAE")=0,"",SUMIFS(tblDaily[TransfersOut],tblDaily[EntryDate],DATE(2026,10,10),tblDaily[WardCode],"FAE")),"")</f>
        <v/>
      </c>
      <c r="O377" s="25">
        <f>IFERROR(IF(SUMIFS(tblDaily[Remaining],tblDaily[EntryDate],DATE(2026,10,10),tblDaily[WardCode],"FAE")=0,"",SUMIFS(tblDaily[Remaining],tblDaily[EntryDate],DATE(2026,10,10),tblDaily[WardCode],"FAE")),"")</f>
        <v/>
      </c>
      <c r="P377" s="26">
        <f>IF(AND(H377="", O377=""), "", N(H377) + N(O377))</f>
        <v/>
      </c>
    </row>
    <row r="378">
      <c r="A378" s="25" t="n">
        <v>11</v>
      </c>
      <c r="B378" s="25">
        <f>IFERROR(IF(SUMIFS(tblDaily[Admissions],tblDaily[EntryDate],DATE(2026,10,11),tblDaily[WardCode],"MAE")=0,"",SUMIFS(tblDaily[Admissions],tblDaily[EntryDate],DATE(2026,10,11),tblDaily[WardCode],"MAE")),"")</f>
        <v/>
      </c>
      <c r="C378" s="25">
        <f>IFERROR(IF(SUMIFS(tblDaily[Discharges],tblDaily[EntryDate],DATE(2026,10,11),tblDaily[WardCode],"MAE")=0,"",SUMIFS(tblDaily[Discharges],tblDaily[EntryDate],DATE(2026,10,11),tblDaily[WardCode],"MAE")),"")</f>
        <v/>
      </c>
      <c r="D378" s="25">
        <f>IFERROR(IF(SUMIFS(tblDaily[Deaths],tblDaily[EntryDate],DATE(2026,10,11),tblDaily[WardCode],"MAE")=0,"",SUMIFS(tblDaily[Deaths],tblDaily[EntryDate],DATE(2026,10,11),tblDaily[WardCode],"MAE")),"")</f>
        <v/>
      </c>
      <c r="E378" s="25">
        <f>IFERROR(IF(SUMIFS(tblDaily[DeathsUnder24Hrs],tblDaily[EntryDate],DATE(2026,10,11),tblDaily[WardCode],"MAE")=0,"",SUMIFS(tblDaily[DeathsUnder24Hrs],tblDaily[EntryDate],DATE(2026,10,11),tblDaily[WardCode],"MAE")),"")</f>
        <v/>
      </c>
      <c r="F378" s="25">
        <f>IFERROR(IF(SUMIFS(tblDaily[TransfersIn],tblDaily[EntryDate],DATE(2026,10,11),tblDaily[WardCode],"MAE")=0,"",SUMIFS(tblDaily[TransfersIn],tblDaily[EntryDate],DATE(2026,10,11),tblDaily[WardCode],"MAE")),"")</f>
        <v/>
      </c>
      <c r="G378" s="25">
        <f>IFERROR(IF(SUMIFS(tblDaily[TransfersOut],tblDaily[EntryDate],DATE(2026,10,11),tblDaily[WardCode],"MAE")=0,"",SUMIFS(tblDaily[TransfersOut],tblDaily[EntryDate],DATE(2026,10,11),tblDaily[WardCode],"MAE")),"")</f>
        <v/>
      </c>
      <c r="H378" s="25">
        <f>IFERROR(IF(SUMIFS(tblDaily[Remaining],tblDaily[EntryDate],DATE(2026,10,11),tblDaily[WardCode],"MAE")=0,"",SUMIFS(tblDaily[Remaining],tblDaily[EntryDate],DATE(2026,10,11),tblDaily[WardCode],"MAE")),"")</f>
        <v/>
      </c>
      <c r="I378" s="25">
        <f>IFERROR(IF(SUMIFS(tblDaily[Admissions],tblDaily[EntryDate],DATE(2026,10,11),tblDaily[WardCode],"FAE")=0,"",SUMIFS(tblDaily[Admissions],tblDaily[EntryDate],DATE(2026,10,11),tblDaily[WardCode],"FAE")),"")</f>
        <v/>
      </c>
      <c r="J378" s="25">
        <f>IFERROR(IF(SUMIFS(tblDaily[Discharges],tblDaily[EntryDate],DATE(2026,10,11),tblDaily[WardCode],"FAE")=0,"",SUMIFS(tblDaily[Discharges],tblDaily[EntryDate],DATE(2026,10,11),tblDaily[WardCode],"FAE")),"")</f>
        <v/>
      </c>
      <c r="K378" s="25">
        <f>IFERROR(IF(SUMIFS(tblDaily[Deaths],tblDaily[EntryDate],DATE(2026,10,11),tblDaily[WardCode],"FAE")=0,"",SUMIFS(tblDaily[Deaths],tblDaily[EntryDate],DATE(2026,10,11),tblDaily[WardCode],"FAE")),"")</f>
        <v/>
      </c>
      <c r="L378" s="25">
        <f>IFERROR(IF(SUMIFS(tblDaily[DeathsUnder24Hrs],tblDaily[EntryDate],DATE(2026,10,11),tblDaily[WardCode],"FAE")=0,"",SUMIFS(tblDaily[DeathsUnder24Hrs],tblDaily[EntryDate],DATE(2026,10,11),tblDaily[WardCode],"FAE")),"")</f>
        <v/>
      </c>
      <c r="M378" s="25">
        <f>IFERROR(IF(SUMIFS(tblDaily[TransfersIn],tblDaily[EntryDate],DATE(2026,10,11),tblDaily[WardCode],"FAE")=0,"",SUMIFS(tblDaily[TransfersIn],tblDaily[EntryDate],DATE(2026,10,11),tblDaily[WardCode],"FAE")),"")</f>
        <v/>
      </c>
      <c r="N378" s="25">
        <f>IFERROR(IF(SUMIFS(tblDaily[TransfersOut],tblDaily[EntryDate],DATE(2026,10,11),tblDaily[WardCode],"FAE")=0,"",SUMIFS(tblDaily[TransfersOut],tblDaily[EntryDate],DATE(2026,10,11),tblDaily[WardCode],"FAE")),"")</f>
        <v/>
      </c>
      <c r="O378" s="25">
        <f>IFERROR(IF(SUMIFS(tblDaily[Remaining],tblDaily[EntryDate],DATE(2026,10,11),tblDaily[WardCode],"FAE")=0,"",SUMIFS(tblDaily[Remaining],tblDaily[EntryDate],DATE(2026,10,11),tblDaily[WardCode],"FAE")),"")</f>
        <v/>
      </c>
      <c r="P378" s="26">
        <f>IF(AND(H378="", O378=""), "", N(H378) + N(O378))</f>
        <v/>
      </c>
    </row>
    <row r="379">
      <c r="A379" s="25" t="n">
        <v>12</v>
      </c>
      <c r="B379" s="25">
        <f>IFERROR(IF(SUMIFS(tblDaily[Admissions],tblDaily[EntryDate],DATE(2026,10,12),tblDaily[WardCode],"MAE")=0,"",SUMIFS(tblDaily[Admissions],tblDaily[EntryDate],DATE(2026,10,12),tblDaily[WardCode],"MAE")),"")</f>
        <v/>
      </c>
      <c r="C379" s="25">
        <f>IFERROR(IF(SUMIFS(tblDaily[Discharges],tblDaily[EntryDate],DATE(2026,10,12),tblDaily[WardCode],"MAE")=0,"",SUMIFS(tblDaily[Discharges],tblDaily[EntryDate],DATE(2026,10,12),tblDaily[WardCode],"MAE")),"")</f>
        <v/>
      </c>
      <c r="D379" s="25">
        <f>IFERROR(IF(SUMIFS(tblDaily[Deaths],tblDaily[EntryDate],DATE(2026,10,12),tblDaily[WardCode],"MAE")=0,"",SUMIFS(tblDaily[Deaths],tblDaily[EntryDate],DATE(2026,10,12),tblDaily[WardCode],"MAE")),"")</f>
        <v/>
      </c>
      <c r="E379" s="25">
        <f>IFERROR(IF(SUMIFS(tblDaily[DeathsUnder24Hrs],tblDaily[EntryDate],DATE(2026,10,12),tblDaily[WardCode],"MAE")=0,"",SUMIFS(tblDaily[DeathsUnder24Hrs],tblDaily[EntryDate],DATE(2026,10,12),tblDaily[WardCode],"MAE")),"")</f>
        <v/>
      </c>
      <c r="F379" s="25">
        <f>IFERROR(IF(SUMIFS(tblDaily[TransfersIn],tblDaily[EntryDate],DATE(2026,10,12),tblDaily[WardCode],"MAE")=0,"",SUMIFS(tblDaily[TransfersIn],tblDaily[EntryDate],DATE(2026,10,12),tblDaily[WardCode],"MAE")),"")</f>
        <v/>
      </c>
      <c r="G379" s="25">
        <f>IFERROR(IF(SUMIFS(tblDaily[TransfersOut],tblDaily[EntryDate],DATE(2026,10,12),tblDaily[WardCode],"MAE")=0,"",SUMIFS(tblDaily[TransfersOut],tblDaily[EntryDate],DATE(2026,10,12),tblDaily[WardCode],"MAE")),"")</f>
        <v/>
      </c>
      <c r="H379" s="25">
        <f>IFERROR(IF(SUMIFS(tblDaily[Remaining],tblDaily[EntryDate],DATE(2026,10,12),tblDaily[WardCode],"MAE")=0,"",SUMIFS(tblDaily[Remaining],tblDaily[EntryDate],DATE(2026,10,12),tblDaily[WardCode],"MAE")),"")</f>
        <v/>
      </c>
      <c r="I379" s="25">
        <f>IFERROR(IF(SUMIFS(tblDaily[Admissions],tblDaily[EntryDate],DATE(2026,10,12),tblDaily[WardCode],"FAE")=0,"",SUMIFS(tblDaily[Admissions],tblDaily[EntryDate],DATE(2026,10,12),tblDaily[WardCode],"FAE")),"")</f>
        <v/>
      </c>
      <c r="J379" s="25">
        <f>IFERROR(IF(SUMIFS(tblDaily[Discharges],tblDaily[EntryDate],DATE(2026,10,12),tblDaily[WardCode],"FAE")=0,"",SUMIFS(tblDaily[Discharges],tblDaily[EntryDate],DATE(2026,10,12),tblDaily[WardCode],"FAE")),"")</f>
        <v/>
      </c>
      <c r="K379" s="25">
        <f>IFERROR(IF(SUMIFS(tblDaily[Deaths],tblDaily[EntryDate],DATE(2026,10,12),tblDaily[WardCode],"FAE")=0,"",SUMIFS(tblDaily[Deaths],tblDaily[EntryDate],DATE(2026,10,12),tblDaily[WardCode],"FAE")),"")</f>
        <v/>
      </c>
      <c r="L379" s="25">
        <f>IFERROR(IF(SUMIFS(tblDaily[DeathsUnder24Hrs],tblDaily[EntryDate],DATE(2026,10,12),tblDaily[WardCode],"FAE")=0,"",SUMIFS(tblDaily[DeathsUnder24Hrs],tblDaily[EntryDate],DATE(2026,10,12),tblDaily[WardCode],"FAE")),"")</f>
        <v/>
      </c>
      <c r="M379" s="25">
        <f>IFERROR(IF(SUMIFS(tblDaily[TransfersIn],tblDaily[EntryDate],DATE(2026,10,12),tblDaily[WardCode],"FAE")=0,"",SUMIFS(tblDaily[TransfersIn],tblDaily[EntryDate],DATE(2026,10,12),tblDaily[WardCode],"FAE")),"")</f>
        <v/>
      </c>
      <c r="N379" s="25">
        <f>IFERROR(IF(SUMIFS(tblDaily[TransfersOut],tblDaily[EntryDate],DATE(2026,10,12),tblDaily[WardCode],"FAE")=0,"",SUMIFS(tblDaily[TransfersOut],tblDaily[EntryDate],DATE(2026,10,12),tblDaily[WardCode],"FAE")),"")</f>
        <v/>
      </c>
      <c r="O379" s="25">
        <f>IFERROR(IF(SUMIFS(tblDaily[Remaining],tblDaily[EntryDate],DATE(2026,10,12),tblDaily[WardCode],"FAE")=0,"",SUMIFS(tblDaily[Remaining],tblDaily[EntryDate],DATE(2026,10,12),tblDaily[WardCode],"FAE")),"")</f>
        <v/>
      </c>
      <c r="P379" s="26">
        <f>IF(AND(H379="", O379=""), "", N(H379) + N(O379))</f>
        <v/>
      </c>
    </row>
    <row r="380">
      <c r="A380" s="25" t="n">
        <v>13</v>
      </c>
      <c r="B380" s="25">
        <f>IFERROR(IF(SUMIFS(tblDaily[Admissions],tblDaily[EntryDate],DATE(2026,10,13),tblDaily[WardCode],"MAE")=0,"",SUMIFS(tblDaily[Admissions],tblDaily[EntryDate],DATE(2026,10,13),tblDaily[WardCode],"MAE")),"")</f>
        <v/>
      </c>
      <c r="C380" s="25">
        <f>IFERROR(IF(SUMIFS(tblDaily[Discharges],tblDaily[EntryDate],DATE(2026,10,13),tblDaily[WardCode],"MAE")=0,"",SUMIFS(tblDaily[Discharges],tblDaily[EntryDate],DATE(2026,10,13),tblDaily[WardCode],"MAE")),"")</f>
        <v/>
      </c>
      <c r="D380" s="25">
        <f>IFERROR(IF(SUMIFS(tblDaily[Deaths],tblDaily[EntryDate],DATE(2026,10,13),tblDaily[WardCode],"MAE")=0,"",SUMIFS(tblDaily[Deaths],tblDaily[EntryDate],DATE(2026,10,13),tblDaily[WardCode],"MAE")),"")</f>
        <v/>
      </c>
      <c r="E380" s="25">
        <f>IFERROR(IF(SUMIFS(tblDaily[DeathsUnder24Hrs],tblDaily[EntryDate],DATE(2026,10,13),tblDaily[WardCode],"MAE")=0,"",SUMIFS(tblDaily[DeathsUnder24Hrs],tblDaily[EntryDate],DATE(2026,10,13),tblDaily[WardCode],"MAE")),"")</f>
        <v/>
      </c>
      <c r="F380" s="25">
        <f>IFERROR(IF(SUMIFS(tblDaily[TransfersIn],tblDaily[EntryDate],DATE(2026,10,13),tblDaily[WardCode],"MAE")=0,"",SUMIFS(tblDaily[TransfersIn],tblDaily[EntryDate],DATE(2026,10,13),tblDaily[WardCode],"MAE")),"")</f>
        <v/>
      </c>
      <c r="G380" s="25">
        <f>IFERROR(IF(SUMIFS(tblDaily[TransfersOut],tblDaily[EntryDate],DATE(2026,10,13),tblDaily[WardCode],"MAE")=0,"",SUMIFS(tblDaily[TransfersOut],tblDaily[EntryDate],DATE(2026,10,13),tblDaily[WardCode],"MAE")),"")</f>
        <v/>
      </c>
      <c r="H380" s="25">
        <f>IFERROR(IF(SUMIFS(tblDaily[Remaining],tblDaily[EntryDate],DATE(2026,10,13),tblDaily[WardCode],"MAE")=0,"",SUMIFS(tblDaily[Remaining],tblDaily[EntryDate],DATE(2026,10,13),tblDaily[WardCode],"MAE")),"")</f>
        <v/>
      </c>
      <c r="I380" s="25">
        <f>IFERROR(IF(SUMIFS(tblDaily[Admissions],tblDaily[EntryDate],DATE(2026,10,13),tblDaily[WardCode],"FAE")=0,"",SUMIFS(tblDaily[Admissions],tblDaily[EntryDate],DATE(2026,10,13),tblDaily[WardCode],"FAE")),"")</f>
        <v/>
      </c>
      <c r="J380" s="25">
        <f>IFERROR(IF(SUMIFS(tblDaily[Discharges],tblDaily[EntryDate],DATE(2026,10,13),tblDaily[WardCode],"FAE")=0,"",SUMIFS(tblDaily[Discharges],tblDaily[EntryDate],DATE(2026,10,13),tblDaily[WardCode],"FAE")),"")</f>
        <v/>
      </c>
      <c r="K380" s="25">
        <f>IFERROR(IF(SUMIFS(tblDaily[Deaths],tblDaily[EntryDate],DATE(2026,10,13),tblDaily[WardCode],"FAE")=0,"",SUMIFS(tblDaily[Deaths],tblDaily[EntryDate],DATE(2026,10,13),tblDaily[WardCode],"FAE")),"")</f>
        <v/>
      </c>
      <c r="L380" s="25">
        <f>IFERROR(IF(SUMIFS(tblDaily[DeathsUnder24Hrs],tblDaily[EntryDate],DATE(2026,10,13),tblDaily[WardCode],"FAE")=0,"",SUMIFS(tblDaily[DeathsUnder24Hrs],tblDaily[EntryDate],DATE(2026,10,13),tblDaily[WardCode],"FAE")),"")</f>
        <v/>
      </c>
      <c r="M380" s="25">
        <f>IFERROR(IF(SUMIFS(tblDaily[TransfersIn],tblDaily[EntryDate],DATE(2026,10,13),tblDaily[WardCode],"FAE")=0,"",SUMIFS(tblDaily[TransfersIn],tblDaily[EntryDate],DATE(2026,10,13),tblDaily[WardCode],"FAE")),"")</f>
        <v/>
      </c>
      <c r="N380" s="25">
        <f>IFERROR(IF(SUMIFS(tblDaily[TransfersOut],tblDaily[EntryDate],DATE(2026,10,13),tblDaily[WardCode],"FAE")=0,"",SUMIFS(tblDaily[TransfersOut],tblDaily[EntryDate],DATE(2026,10,13),tblDaily[WardCode],"FAE")),"")</f>
        <v/>
      </c>
      <c r="O380" s="25">
        <f>IFERROR(IF(SUMIFS(tblDaily[Remaining],tblDaily[EntryDate],DATE(2026,10,13),tblDaily[WardCode],"FAE")=0,"",SUMIFS(tblDaily[Remaining],tblDaily[EntryDate],DATE(2026,10,13),tblDaily[WardCode],"FAE")),"")</f>
        <v/>
      </c>
      <c r="P380" s="26">
        <f>IF(AND(H380="", O380=""), "", N(H380) + N(O380))</f>
        <v/>
      </c>
    </row>
    <row r="381">
      <c r="A381" s="25" t="n">
        <v>14</v>
      </c>
      <c r="B381" s="25">
        <f>IFERROR(IF(SUMIFS(tblDaily[Admissions],tblDaily[EntryDate],DATE(2026,10,14),tblDaily[WardCode],"MAE")=0,"",SUMIFS(tblDaily[Admissions],tblDaily[EntryDate],DATE(2026,10,14),tblDaily[WardCode],"MAE")),"")</f>
        <v/>
      </c>
      <c r="C381" s="25">
        <f>IFERROR(IF(SUMIFS(tblDaily[Discharges],tblDaily[EntryDate],DATE(2026,10,14),tblDaily[WardCode],"MAE")=0,"",SUMIFS(tblDaily[Discharges],tblDaily[EntryDate],DATE(2026,10,14),tblDaily[WardCode],"MAE")),"")</f>
        <v/>
      </c>
      <c r="D381" s="25">
        <f>IFERROR(IF(SUMIFS(tblDaily[Deaths],tblDaily[EntryDate],DATE(2026,10,14),tblDaily[WardCode],"MAE")=0,"",SUMIFS(tblDaily[Deaths],tblDaily[EntryDate],DATE(2026,10,14),tblDaily[WardCode],"MAE")),"")</f>
        <v/>
      </c>
      <c r="E381" s="25">
        <f>IFERROR(IF(SUMIFS(tblDaily[DeathsUnder24Hrs],tblDaily[EntryDate],DATE(2026,10,14),tblDaily[WardCode],"MAE")=0,"",SUMIFS(tblDaily[DeathsUnder24Hrs],tblDaily[EntryDate],DATE(2026,10,14),tblDaily[WardCode],"MAE")),"")</f>
        <v/>
      </c>
      <c r="F381" s="25">
        <f>IFERROR(IF(SUMIFS(tblDaily[TransfersIn],tblDaily[EntryDate],DATE(2026,10,14),tblDaily[WardCode],"MAE")=0,"",SUMIFS(tblDaily[TransfersIn],tblDaily[EntryDate],DATE(2026,10,14),tblDaily[WardCode],"MAE")),"")</f>
        <v/>
      </c>
      <c r="G381" s="25">
        <f>IFERROR(IF(SUMIFS(tblDaily[TransfersOut],tblDaily[EntryDate],DATE(2026,10,14),tblDaily[WardCode],"MAE")=0,"",SUMIFS(tblDaily[TransfersOut],tblDaily[EntryDate],DATE(2026,10,14),tblDaily[WardCode],"MAE")),"")</f>
        <v/>
      </c>
      <c r="H381" s="25">
        <f>IFERROR(IF(SUMIFS(tblDaily[Remaining],tblDaily[EntryDate],DATE(2026,10,14),tblDaily[WardCode],"MAE")=0,"",SUMIFS(tblDaily[Remaining],tblDaily[EntryDate],DATE(2026,10,14),tblDaily[WardCode],"MAE")),"")</f>
        <v/>
      </c>
      <c r="I381" s="25">
        <f>IFERROR(IF(SUMIFS(tblDaily[Admissions],tblDaily[EntryDate],DATE(2026,10,14),tblDaily[WardCode],"FAE")=0,"",SUMIFS(tblDaily[Admissions],tblDaily[EntryDate],DATE(2026,10,14),tblDaily[WardCode],"FAE")),"")</f>
        <v/>
      </c>
      <c r="J381" s="25">
        <f>IFERROR(IF(SUMIFS(tblDaily[Discharges],tblDaily[EntryDate],DATE(2026,10,14),tblDaily[WardCode],"FAE")=0,"",SUMIFS(tblDaily[Discharges],tblDaily[EntryDate],DATE(2026,10,14),tblDaily[WardCode],"FAE")),"")</f>
        <v/>
      </c>
      <c r="K381" s="25">
        <f>IFERROR(IF(SUMIFS(tblDaily[Deaths],tblDaily[EntryDate],DATE(2026,10,14),tblDaily[WardCode],"FAE")=0,"",SUMIFS(tblDaily[Deaths],tblDaily[EntryDate],DATE(2026,10,14),tblDaily[WardCode],"FAE")),"")</f>
        <v/>
      </c>
      <c r="L381" s="25">
        <f>IFERROR(IF(SUMIFS(tblDaily[DeathsUnder24Hrs],tblDaily[EntryDate],DATE(2026,10,14),tblDaily[WardCode],"FAE")=0,"",SUMIFS(tblDaily[DeathsUnder24Hrs],tblDaily[EntryDate],DATE(2026,10,14),tblDaily[WardCode],"FAE")),"")</f>
        <v/>
      </c>
      <c r="M381" s="25">
        <f>IFERROR(IF(SUMIFS(tblDaily[TransfersIn],tblDaily[EntryDate],DATE(2026,10,14),tblDaily[WardCode],"FAE")=0,"",SUMIFS(tblDaily[TransfersIn],tblDaily[EntryDate],DATE(2026,10,14),tblDaily[WardCode],"FAE")),"")</f>
        <v/>
      </c>
      <c r="N381" s="25">
        <f>IFERROR(IF(SUMIFS(tblDaily[TransfersOut],tblDaily[EntryDate],DATE(2026,10,14),tblDaily[WardCode],"FAE")=0,"",SUMIFS(tblDaily[TransfersOut],tblDaily[EntryDate],DATE(2026,10,14),tblDaily[WardCode],"FAE")),"")</f>
        <v/>
      </c>
      <c r="O381" s="25">
        <f>IFERROR(IF(SUMIFS(tblDaily[Remaining],tblDaily[EntryDate],DATE(2026,10,14),tblDaily[WardCode],"FAE")=0,"",SUMIFS(tblDaily[Remaining],tblDaily[EntryDate],DATE(2026,10,14),tblDaily[WardCode],"FAE")),"")</f>
        <v/>
      </c>
      <c r="P381" s="26">
        <f>IF(AND(H381="", O381=""), "", N(H381) + N(O381))</f>
        <v/>
      </c>
    </row>
    <row r="382">
      <c r="A382" s="25" t="n">
        <v>15</v>
      </c>
      <c r="B382" s="25">
        <f>IFERROR(IF(SUMIFS(tblDaily[Admissions],tblDaily[EntryDate],DATE(2026,10,15),tblDaily[WardCode],"MAE")=0,"",SUMIFS(tblDaily[Admissions],tblDaily[EntryDate],DATE(2026,10,15),tblDaily[WardCode],"MAE")),"")</f>
        <v/>
      </c>
      <c r="C382" s="25">
        <f>IFERROR(IF(SUMIFS(tblDaily[Discharges],tblDaily[EntryDate],DATE(2026,10,15),tblDaily[WardCode],"MAE")=0,"",SUMIFS(tblDaily[Discharges],tblDaily[EntryDate],DATE(2026,10,15),tblDaily[WardCode],"MAE")),"")</f>
        <v/>
      </c>
      <c r="D382" s="25">
        <f>IFERROR(IF(SUMIFS(tblDaily[Deaths],tblDaily[EntryDate],DATE(2026,10,15),tblDaily[WardCode],"MAE")=0,"",SUMIFS(tblDaily[Deaths],tblDaily[EntryDate],DATE(2026,10,15),tblDaily[WardCode],"MAE")),"")</f>
        <v/>
      </c>
      <c r="E382" s="25">
        <f>IFERROR(IF(SUMIFS(tblDaily[DeathsUnder24Hrs],tblDaily[EntryDate],DATE(2026,10,15),tblDaily[WardCode],"MAE")=0,"",SUMIFS(tblDaily[DeathsUnder24Hrs],tblDaily[EntryDate],DATE(2026,10,15),tblDaily[WardCode],"MAE")),"")</f>
        <v/>
      </c>
      <c r="F382" s="25">
        <f>IFERROR(IF(SUMIFS(tblDaily[TransfersIn],tblDaily[EntryDate],DATE(2026,10,15),tblDaily[WardCode],"MAE")=0,"",SUMIFS(tblDaily[TransfersIn],tblDaily[EntryDate],DATE(2026,10,15),tblDaily[WardCode],"MAE")),"")</f>
        <v/>
      </c>
      <c r="G382" s="25">
        <f>IFERROR(IF(SUMIFS(tblDaily[TransfersOut],tblDaily[EntryDate],DATE(2026,10,15),tblDaily[WardCode],"MAE")=0,"",SUMIFS(tblDaily[TransfersOut],tblDaily[EntryDate],DATE(2026,10,15),tblDaily[WardCode],"MAE")),"")</f>
        <v/>
      </c>
      <c r="H382" s="25">
        <f>IFERROR(IF(SUMIFS(tblDaily[Remaining],tblDaily[EntryDate],DATE(2026,10,15),tblDaily[WardCode],"MAE")=0,"",SUMIFS(tblDaily[Remaining],tblDaily[EntryDate],DATE(2026,10,15),tblDaily[WardCode],"MAE")),"")</f>
        <v/>
      </c>
      <c r="I382" s="25">
        <f>IFERROR(IF(SUMIFS(tblDaily[Admissions],tblDaily[EntryDate],DATE(2026,10,15),tblDaily[WardCode],"FAE")=0,"",SUMIFS(tblDaily[Admissions],tblDaily[EntryDate],DATE(2026,10,15),tblDaily[WardCode],"FAE")),"")</f>
        <v/>
      </c>
      <c r="J382" s="25">
        <f>IFERROR(IF(SUMIFS(tblDaily[Discharges],tblDaily[EntryDate],DATE(2026,10,15),tblDaily[WardCode],"FAE")=0,"",SUMIFS(tblDaily[Discharges],tblDaily[EntryDate],DATE(2026,10,15),tblDaily[WardCode],"FAE")),"")</f>
        <v/>
      </c>
      <c r="K382" s="25">
        <f>IFERROR(IF(SUMIFS(tblDaily[Deaths],tblDaily[EntryDate],DATE(2026,10,15),tblDaily[WardCode],"FAE")=0,"",SUMIFS(tblDaily[Deaths],tblDaily[EntryDate],DATE(2026,10,15),tblDaily[WardCode],"FAE")),"")</f>
        <v/>
      </c>
      <c r="L382" s="25">
        <f>IFERROR(IF(SUMIFS(tblDaily[DeathsUnder24Hrs],tblDaily[EntryDate],DATE(2026,10,15),tblDaily[WardCode],"FAE")=0,"",SUMIFS(tblDaily[DeathsUnder24Hrs],tblDaily[EntryDate],DATE(2026,10,15),tblDaily[WardCode],"FAE")),"")</f>
        <v/>
      </c>
      <c r="M382" s="25">
        <f>IFERROR(IF(SUMIFS(tblDaily[TransfersIn],tblDaily[EntryDate],DATE(2026,10,15),tblDaily[WardCode],"FAE")=0,"",SUMIFS(tblDaily[TransfersIn],tblDaily[EntryDate],DATE(2026,10,15),tblDaily[WardCode],"FAE")),"")</f>
        <v/>
      </c>
      <c r="N382" s="25">
        <f>IFERROR(IF(SUMIFS(tblDaily[TransfersOut],tblDaily[EntryDate],DATE(2026,10,15),tblDaily[WardCode],"FAE")=0,"",SUMIFS(tblDaily[TransfersOut],tblDaily[EntryDate],DATE(2026,10,15),tblDaily[WardCode],"FAE")),"")</f>
        <v/>
      </c>
      <c r="O382" s="25">
        <f>IFERROR(IF(SUMIFS(tblDaily[Remaining],tblDaily[EntryDate],DATE(2026,10,15),tblDaily[WardCode],"FAE")=0,"",SUMIFS(tblDaily[Remaining],tblDaily[EntryDate],DATE(2026,10,15),tblDaily[WardCode],"FAE")),"")</f>
        <v/>
      </c>
      <c r="P382" s="26">
        <f>IF(AND(H382="", O382=""), "", N(H382) + N(O382))</f>
        <v/>
      </c>
    </row>
    <row r="383">
      <c r="A383" s="25" t="n">
        <v>16</v>
      </c>
      <c r="B383" s="25">
        <f>IFERROR(IF(SUMIFS(tblDaily[Admissions],tblDaily[EntryDate],DATE(2026,10,16),tblDaily[WardCode],"MAE")=0,"",SUMIFS(tblDaily[Admissions],tblDaily[EntryDate],DATE(2026,10,16),tblDaily[WardCode],"MAE")),"")</f>
        <v/>
      </c>
      <c r="C383" s="25">
        <f>IFERROR(IF(SUMIFS(tblDaily[Discharges],tblDaily[EntryDate],DATE(2026,10,16),tblDaily[WardCode],"MAE")=0,"",SUMIFS(tblDaily[Discharges],tblDaily[EntryDate],DATE(2026,10,16),tblDaily[WardCode],"MAE")),"")</f>
        <v/>
      </c>
      <c r="D383" s="25">
        <f>IFERROR(IF(SUMIFS(tblDaily[Deaths],tblDaily[EntryDate],DATE(2026,10,16),tblDaily[WardCode],"MAE")=0,"",SUMIFS(tblDaily[Deaths],tblDaily[EntryDate],DATE(2026,10,16),tblDaily[WardCode],"MAE")),"")</f>
        <v/>
      </c>
      <c r="E383" s="25">
        <f>IFERROR(IF(SUMIFS(tblDaily[DeathsUnder24Hrs],tblDaily[EntryDate],DATE(2026,10,16),tblDaily[WardCode],"MAE")=0,"",SUMIFS(tblDaily[DeathsUnder24Hrs],tblDaily[EntryDate],DATE(2026,10,16),tblDaily[WardCode],"MAE")),"")</f>
        <v/>
      </c>
      <c r="F383" s="25">
        <f>IFERROR(IF(SUMIFS(tblDaily[TransfersIn],tblDaily[EntryDate],DATE(2026,10,16),tblDaily[WardCode],"MAE")=0,"",SUMIFS(tblDaily[TransfersIn],tblDaily[EntryDate],DATE(2026,10,16),tblDaily[WardCode],"MAE")),"")</f>
        <v/>
      </c>
      <c r="G383" s="25">
        <f>IFERROR(IF(SUMIFS(tblDaily[TransfersOut],tblDaily[EntryDate],DATE(2026,10,16),tblDaily[WardCode],"MAE")=0,"",SUMIFS(tblDaily[TransfersOut],tblDaily[EntryDate],DATE(2026,10,16),tblDaily[WardCode],"MAE")),"")</f>
        <v/>
      </c>
      <c r="H383" s="25">
        <f>IFERROR(IF(SUMIFS(tblDaily[Remaining],tblDaily[EntryDate],DATE(2026,10,16),tblDaily[WardCode],"MAE")=0,"",SUMIFS(tblDaily[Remaining],tblDaily[EntryDate],DATE(2026,10,16),tblDaily[WardCode],"MAE")),"")</f>
        <v/>
      </c>
      <c r="I383" s="25">
        <f>IFERROR(IF(SUMIFS(tblDaily[Admissions],tblDaily[EntryDate],DATE(2026,10,16),tblDaily[WardCode],"FAE")=0,"",SUMIFS(tblDaily[Admissions],tblDaily[EntryDate],DATE(2026,10,16),tblDaily[WardCode],"FAE")),"")</f>
        <v/>
      </c>
      <c r="J383" s="25">
        <f>IFERROR(IF(SUMIFS(tblDaily[Discharges],tblDaily[EntryDate],DATE(2026,10,16),tblDaily[WardCode],"FAE")=0,"",SUMIFS(tblDaily[Discharges],tblDaily[EntryDate],DATE(2026,10,16),tblDaily[WardCode],"FAE")),"")</f>
        <v/>
      </c>
      <c r="K383" s="25">
        <f>IFERROR(IF(SUMIFS(tblDaily[Deaths],tblDaily[EntryDate],DATE(2026,10,16),tblDaily[WardCode],"FAE")=0,"",SUMIFS(tblDaily[Deaths],tblDaily[EntryDate],DATE(2026,10,16),tblDaily[WardCode],"FAE")),"")</f>
        <v/>
      </c>
      <c r="L383" s="25">
        <f>IFERROR(IF(SUMIFS(tblDaily[DeathsUnder24Hrs],tblDaily[EntryDate],DATE(2026,10,16),tblDaily[WardCode],"FAE")=0,"",SUMIFS(tblDaily[DeathsUnder24Hrs],tblDaily[EntryDate],DATE(2026,10,16),tblDaily[WardCode],"FAE")),"")</f>
        <v/>
      </c>
      <c r="M383" s="25">
        <f>IFERROR(IF(SUMIFS(tblDaily[TransfersIn],tblDaily[EntryDate],DATE(2026,10,16),tblDaily[WardCode],"FAE")=0,"",SUMIFS(tblDaily[TransfersIn],tblDaily[EntryDate],DATE(2026,10,16),tblDaily[WardCode],"FAE")),"")</f>
        <v/>
      </c>
      <c r="N383" s="25">
        <f>IFERROR(IF(SUMIFS(tblDaily[TransfersOut],tblDaily[EntryDate],DATE(2026,10,16),tblDaily[WardCode],"FAE")=0,"",SUMIFS(tblDaily[TransfersOut],tblDaily[EntryDate],DATE(2026,10,16),tblDaily[WardCode],"FAE")),"")</f>
        <v/>
      </c>
      <c r="O383" s="25">
        <f>IFERROR(IF(SUMIFS(tblDaily[Remaining],tblDaily[EntryDate],DATE(2026,10,16),tblDaily[WardCode],"FAE")=0,"",SUMIFS(tblDaily[Remaining],tblDaily[EntryDate],DATE(2026,10,16),tblDaily[WardCode],"FAE")),"")</f>
        <v/>
      </c>
      <c r="P383" s="26">
        <f>IF(AND(H383="", O383=""), "", N(H383) + N(O383))</f>
        <v/>
      </c>
    </row>
    <row r="384">
      <c r="A384" s="25" t="n">
        <v>17</v>
      </c>
      <c r="B384" s="25">
        <f>IFERROR(IF(SUMIFS(tblDaily[Admissions],tblDaily[EntryDate],DATE(2026,10,17),tblDaily[WardCode],"MAE")=0,"",SUMIFS(tblDaily[Admissions],tblDaily[EntryDate],DATE(2026,10,17),tblDaily[WardCode],"MAE")),"")</f>
        <v/>
      </c>
      <c r="C384" s="25">
        <f>IFERROR(IF(SUMIFS(tblDaily[Discharges],tblDaily[EntryDate],DATE(2026,10,17),tblDaily[WardCode],"MAE")=0,"",SUMIFS(tblDaily[Discharges],tblDaily[EntryDate],DATE(2026,10,17),tblDaily[WardCode],"MAE")),"")</f>
        <v/>
      </c>
      <c r="D384" s="25">
        <f>IFERROR(IF(SUMIFS(tblDaily[Deaths],tblDaily[EntryDate],DATE(2026,10,17),tblDaily[WardCode],"MAE")=0,"",SUMIFS(tblDaily[Deaths],tblDaily[EntryDate],DATE(2026,10,17),tblDaily[WardCode],"MAE")),"")</f>
        <v/>
      </c>
      <c r="E384" s="25">
        <f>IFERROR(IF(SUMIFS(tblDaily[DeathsUnder24Hrs],tblDaily[EntryDate],DATE(2026,10,17),tblDaily[WardCode],"MAE")=0,"",SUMIFS(tblDaily[DeathsUnder24Hrs],tblDaily[EntryDate],DATE(2026,10,17),tblDaily[WardCode],"MAE")),"")</f>
        <v/>
      </c>
      <c r="F384" s="25">
        <f>IFERROR(IF(SUMIFS(tblDaily[TransfersIn],tblDaily[EntryDate],DATE(2026,10,17),tblDaily[WardCode],"MAE")=0,"",SUMIFS(tblDaily[TransfersIn],tblDaily[EntryDate],DATE(2026,10,17),tblDaily[WardCode],"MAE")),"")</f>
        <v/>
      </c>
      <c r="G384" s="25">
        <f>IFERROR(IF(SUMIFS(tblDaily[TransfersOut],tblDaily[EntryDate],DATE(2026,10,17),tblDaily[WardCode],"MAE")=0,"",SUMIFS(tblDaily[TransfersOut],tblDaily[EntryDate],DATE(2026,10,17),tblDaily[WardCode],"MAE")),"")</f>
        <v/>
      </c>
      <c r="H384" s="25">
        <f>IFERROR(IF(SUMIFS(tblDaily[Remaining],tblDaily[EntryDate],DATE(2026,10,17),tblDaily[WardCode],"MAE")=0,"",SUMIFS(tblDaily[Remaining],tblDaily[EntryDate],DATE(2026,10,17),tblDaily[WardCode],"MAE")),"")</f>
        <v/>
      </c>
      <c r="I384" s="25">
        <f>IFERROR(IF(SUMIFS(tblDaily[Admissions],tblDaily[EntryDate],DATE(2026,10,17),tblDaily[WardCode],"FAE")=0,"",SUMIFS(tblDaily[Admissions],tblDaily[EntryDate],DATE(2026,10,17),tblDaily[WardCode],"FAE")),"")</f>
        <v/>
      </c>
      <c r="J384" s="25">
        <f>IFERROR(IF(SUMIFS(tblDaily[Discharges],tblDaily[EntryDate],DATE(2026,10,17),tblDaily[WardCode],"FAE")=0,"",SUMIFS(tblDaily[Discharges],tblDaily[EntryDate],DATE(2026,10,17),tblDaily[WardCode],"FAE")),"")</f>
        <v/>
      </c>
      <c r="K384" s="25">
        <f>IFERROR(IF(SUMIFS(tblDaily[Deaths],tblDaily[EntryDate],DATE(2026,10,17),tblDaily[WardCode],"FAE")=0,"",SUMIFS(tblDaily[Deaths],tblDaily[EntryDate],DATE(2026,10,17),tblDaily[WardCode],"FAE")),"")</f>
        <v/>
      </c>
      <c r="L384" s="25">
        <f>IFERROR(IF(SUMIFS(tblDaily[DeathsUnder24Hrs],tblDaily[EntryDate],DATE(2026,10,17),tblDaily[WardCode],"FAE")=0,"",SUMIFS(tblDaily[DeathsUnder24Hrs],tblDaily[EntryDate],DATE(2026,10,17),tblDaily[WardCode],"FAE")),"")</f>
        <v/>
      </c>
      <c r="M384" s="25">
        <f>IFERROR(IF(SUMIFS(tblDaily[TransfersIn],tblDaily[EntryDate],DATE(2026,10,17),tblDaily[WardCode],"FAE")=0,"",SUMIFS(tblDaily[TransfersIn],tblDaily[EntryDate],DATE(2026,10,17),tblDaily[WardCode],"FAE")),"")</f>
        <v/>
      </c>
      <c r="N384" s="25">
        <f>IFERROR(IF(SUMIFS(tblDaily[TransfersOut],tblDaily[EntryDate],DATE(2026,10,17),tblDaily[WardCode],"FAE")=0,"",SUMIFS(tblDaily[TransfersOut],tblDaily[EntryDate],DATE(2026,10,17),tblDaily[WardCode],"FAE")),"")</f>
        <v/>
      </c>
      <c r="O384" s="25">
        <f>IFERROR(IF(SUMIFS(tblDaily[Remaining],tblDaily[EntryDate],DATE(2026,10,17),tblDaily[WardCode],"FAE")=0,"",SUMIFS(tblDaily[Remaining],tblDaily[EntryDate],DATE(2026,10,17),tblDaily[WardCode],"FAE")),"")</f>
        <v/>
      </c>
      <c r="P384" s="26">
        <f>IF(AND(H384="", O384=""), "", N(H384) + N(O384))</f>
        <v/>
      </c>
    </row>
    <row r="385">
      <c r="A385" s="25" t="n">
        <v>18</v>
      </c>
      <c r="B385" s="25">
        <f>IFERROR(IF(SUMIFS(tblDaily[Admissions],tblDaily[EntryDate],DATE(2026,10,18),tblDaily[WardCode],"MAE")=0,"",SUMIFS(tblDaily[Admissions],tblDaily[EntryDate],DATE(2026,10,18),tblDaily[WardCode],"MAE")),"")</f>
        <v/>
      </c>
      <c r="C385" s="25">
        <f>IFERROR(IF(SUMIFS(tblDaily[Discharges],tblDaily[EntryDate],DATE(2026,10,18),tblDaily[WardCode],"MAE")=0,"",SUMIFS(tblDaily[Discharges],tblDaily[EntryDate],DATE(2026,10,18),tblDaily[WardCode],"MAE")),"")</f>
        <v/>
      </c>
      <c r="D385" s="25">
        <f>IFERROR(IF(SUMIFS(tblDaily[Deaths],tblDaily[EntryDate],DATE(2026,10,18),tblDaily[WardCode],"MAE")=0,"",SUMIFS(tblDaily[Deaths],tblDaily[EntryDate],DATE(2026,10,18),tblDaily[WardCode],"MAE")),"")</f>
        <v/>
      </c>
      <c r="E385" s="25">
        <f>IFERROR(IF(SUMIFS(tblDaily[DeathsUnder24Hrs],tblDaily[EntryDate],DATE(2026,10,18),tblDaily[WardCode],"MAE")=0,"",SUMIFS(tblDaily[DeathsUnder24Hrs],tblDaily[EntryDate],DATE(2026,10,18),tblDaily[WardCode],"MAE")),"")</f>
        <v/>
      </c>
      <c r="F385" s="25">
        <f>IFERROR(IF(SUMIFS(tblDaily[TransfersIn],tblDaily[EntryDate],DATE(2026,10,18),tblDaily[WardCode],"MAE")=0,"",SUMIFS(tblDaily[TransfersIn],tblDaily[EntryDate],DATE(2026,10,18),tblDaily[WardCode],"MAE")),"")</f>
        <v/>
      </c>
      <c r="G385" s="25">
        <f>IFERROR(IF(SUMIFS(tblDaily[TransfersOut],tblDaily[EntryDate],DATE(2026,10,18),tblDaily[WardCode],"MAE")=0,"",SUMIFS(tblDaily[TransfersOut],tblDaily[EntryDate],DATE(2026,10,18),tblDaily[WardCode],"MAE")),"")</f>
        <v/>
      </c>
      <c r="H385" s="25">
        <f>IFERROR(IF(SUMIFS(tblDaily[Remaining],tblDaily[EntryDate],DATE(2026,10,18),tblDaily[WardCode],"MAE")=0,"",SUMIFS(tblDaily[Remaining],tblDaily[EntryDate],DATE(2026,10,18),tblDaily[WardCode],"MAE")),"")</f>
        <v/>
      </c>
      <c r="I385" s="25">
        <f>IFERROR(IF(SUMIFS(tblDaily[Admissions],tblDaily[EntryDate],DATE(2026,10,18),tblDaily[WardCode],"FAE")=0,"",SUMIFS(tblDaily[Admissions],tblDaily[EntryDate],DATE(2026,10,18),tblDaily[WardCode],"FAE")),"")</f>
        <v/>
      </c>
      <c r="J385" s="25">
        <f>IFERROR(IF(SUMIFS(tblDaily[Discharges],tblDaily[EntryDate],DATE(2026,10,18),tblDaily[WardCode],"FAE")=0,"",SUMIFS(tblDaily[Discharges],tblDaily[EntryDate],DATE(2026,10,18),tblDaily[WardCode],"FAE")),"")</f>
        <v/>
      </c>
      <c r="K385" s="25">
        <f>IFERROR(IF(SUMIFS(tblDaily[Deaths],tblDaily[EntryDate],DATE(2026,10,18),tblDaily[WardCode],"FAE")=0,"",SUMIFS(tblDaily[Deaths],tblDaily[EntryDate],DATE(2026,10,18),tblDaily[WardCode],"FAE")),"")</f>
        <v/>
      </c>
      <c r="L385" s="25">
        <f>IFERROR(IF(SUMIFS(tblDaily[DeathsUnder24Hrs],tblDaily[EntryDate],DATE(2026,10,18),tblDaily[WardCode],"FAE")=0,"",SUMIFS(tblDaily[DeathsUnder24Hrs],tblDaily[EntryDate],DATE(2026,10,18),tblDaily[WardCode],"FAE")),"")</f>
        <v/>
      </c>
      <c r="M385" s="25">
        <f>IFERROR(IF(SUMIFS(tblDaily[TransfersIn],tblDaily[EntryDate],DATE(2026,10,18),tblDaily[WardCode],"FAE")=0,"",SUMIFS(tblDaily[TransfersIn],tblDaily[EntryDate],DATE(2026,10,18),tblDaily[WardCode],"FAE")),"")</f>
        <v/>
      </c>
      <c r="N385" s="25">
        <f>IFERROR(IF(SUMIFS(tblDaily[TransfersOut],tblDaily[EntryDate],DATE(2026,10,18),tblDaily[WardCode],"FAE")=0,"",SUMIFS(tblDaily[TransfersOut],tblDaily[EntryDate],DATE(2026,10,18),tblDaily[WardCode],"FAE")),"")</f>
        <v/>
      </c>
      <c r="O385" s="25">
        <f>IFERROR(IF(SUMIFS(tblDaily[Remaining],tblDaily[EntryDate],DATE(2026,10,18),tblDaily[WardCode],"FAE")=0,"",SUMIFS(tblDaily[Remaining],tblDaily[EntryDate],DATE(2026,10,18),tblDaily[WardCode],"FAE")),"")</f>
        <v/>
      </c>
      <c r="P385" s="26">
        <f>IF(AND(H385="", O385=""), "", N(H385) + N(O385))</f>
        <v/>
      </c>
    </row>
    <row r="386">
      <c r="A386" s="25" t="n">
        <v>19</v>
      </c>
      <c r="B386" s="25">
        <f>IFERROR(IF(SUMIFS(tblDaily[Admissions],tblDaily[EntryDate],DATE(2026,10,19),tblDaily[WardCode],"MAE")=0,"",SUMIFS(tblDaily[Admissions],tblDaily[EntryDate],DATE(2026,10,19),tblDaily[WardCode],"MAE")),"")</f>
        <v/>
      </c>
      <c r="C386" s="25">
        <f>IFERROR(IF(SUMIFS(tblDaily[Discharges],tblDaily[EntryDate],DATE(2026,10,19),tblDaily[WardCode],"MAE")=0,"",SUMIFS(tblDaily[Discharges],tblDaily[EntryDate],DATE(2026,10,19),tblDaily[WardCode],"MAE")),"")</f>
        <v/>
      </c>
      <c r="D386" s="25">
        <f>IFERROR(IF(SUMIFS(tblDaily[Deaths],tblDaily[EntryDate],DATE(2026,10,19),tblDaily[WardCode],"MAE")=0,"",SUMIFS(tblDaily[Deaths],tblDaily[EntryDate],DATE(2026,10,19),tblDaily[WardCode],"MAE")),"")</f>
        <v/>
      </c>
      <c r="E386" s="25">
        <f>IFERROR(IF(SUMIFS(tblDaily[DeathsUnder24Hrs],tblDaily[EntryDate],DATE(2026,10,19),tblDaily[WardCode],"MAE")=0,"",SUMIFS(tblDaily[DeathsUnder24Hrs],tblDaily[EntryDate],DATE(2026,10,19),tblDaily[WardCode],"MAE")),"")</f>
        <v/>
      </c>
      <c r="F386" s="25">
        <f>IFERROR(IF(SUMIFS(tblDaily[TransfersIn],tblDaily[EntryDate],DATE(2026,10,19),tblDaily[WardCode],"MAE")=0,"",SUMIFS(tblDaily[TransfersIn],tblDaily[EntryDate],DATE(2026,10,19),tblDaily[WardCode],"MAE")),"")</f>
        <v/>
      </c>
      <c r="G386" s="25">
        <f>IFERROR(IF(SUMIFS(tblDaily[TransfersOut],tblDaily[EntryDate],DATE(2026,10,19),tblDaily[WardCode],"MAE")=0,"",SUMIFS(tblDaily[TransfersOut],tblDaily[EntryDate],DATE(2026,10,19),tblDaily[WardCode],"MAE")),"")</f>
        <v/>
      </c>
      <c r="H386" s="25">
        <f>IFERROR(IF(SUMIFS(tblDaily[Remaining],tblDaily[EntryDate],DATE(2026,10,19),tblDaily[WardCode],"MAE")=0,"",SUMIFS(tblDaily[Remaining],tblDaily[EntryDate],DATE(2026,10,19),tblDaily[WardCode],"MAE")),"")</f>
        <v/>
      </c>
      <c r="I386" s="25">
        <f>IFERROR(IF(SUMIFS(tblDaily[Admissions],tblDaily[EntryDate],DATE(2026,10,19),tblDaily[WardCode],"FAE")=0,"",SUMIFS(tblDaily[Admissions],tblDaily[EntryDate],DATE(2026,10,19),tblDaily[WardCode],"FAE")),"")</f>
        <v/>
      </c>
      <c r="J386" s="25">
        <f>IFERROR(IF(SUMIFS(tblDaily[Discharges],tblDaily[EntryDate],DATE(2026,10,19),tblDaily[WardCode],"FAE")=0,"",SUMIFS(tblDaily[Discharges],tblDaily[EntryDate],DATE(2026,10,19),tblDaily[WardCode],"FAE")),"")</f>
        <v/>
      </c>
      <c r="K386" s="25">
        <f>IFERROR(IF(SUMIFS(tblDaily[Deaths],tblDaily[EntryDate],DATE(2026,10,19),tblDaily[WardCode],"FAE")=0,"",SUMIFS(tblDaily[Deaths],tblDaily[EntryDate],DATE(2026,10,19),tblDaily[WardCode],"FAE")),"")</f>
        <v/>
      </c>
      <c r="L386" s="25">
        <f>IFERROR(IF(SUMIFS(tblDaily[DeathsUnder24Hrs],tblDaily[EntryDate],DATE(2026,10,19),tblDaily[WardCode],"FAE")=0,"",SUMIFS(tblDaily[DeathsUnder24Hrs],tblDaily[EntryDate],DATE(2026,10,19),tblDaily[WardCode],"FAE")),"")</f>
        <v/>
      </c>
      <c r="M386" s="25">
        <f>IFERROR(IF(SUMIFS(tblDaily[TransfersIn],tblDaily[EntryDate],DATE(2026,10,19),tblDaily[WardCode],"FAE")=0,"",SUMIFS(tblDaily[TransfersIn],tblDaily[EntryDate],DATE(2026,10,19),tblDaily[WardCode],"FAE")),"")</f>
        <v/>
      </c>
      <c r="N386" s="25">
        <f>IFERROR(IF(SUMIFS(tblDaily[TransfersOut],tblDaily[EntryDate],DATE(2026,10,19),tblDaily[WardCode],"FAE")=0,"",SUMIFS(tblDaily[TransfersOut],tblDaily[EntryDate],DATE(2026,10,19),tblDaily[WardCode],"FAE")),"")</f>
        <v/>
      </c>
      <c r="O386" s="25">
        <f>IFERROR(IF(SUMIFS(tblDaily[Remaining],tblDaily[EntryDate],DATE(2026,10,19),tblDaily[WardCode],"FAE")=0,"",SUMIFS(tblDaily[Remaining],tblDaily[EntryDate],DATE(2026,10,19),tblDaily[WardCode],"FAE")),"")</f>
        <v/>
      </c>
      <c r="P386" s="26">
        <f>IF(AND(H386="", O386=""), "", N(H386) + N(O386))</f>
        <v/>
      </c>
    </row>
    <row r="387">
      <c r="A387" s="25" t="n">
        <v>20</v>
      </c>
      <c r="B387" s="25">
        <f>IFERROR(IF(SUMIFS(tblDaily[Admissions],tblDaily[EntryDate],DATE(2026,10,20),tblDaily[WardCode],"MAE")=0,"",SUMIFS(tblDaily[Admissions],tblDaily[EntryDate],DATE(2026,10,20),tblDaily[WardCode],"MAE")),"")</f>
        <v/>
      </c>
      <c r="C387" s="25">
        <f>IFERROR(IF(SUMIFS(tblDaily[Discharges],tblDaily[EntryDate],DATE(2026,10,20),tblDaily[WardCode],"MAE")=0,"",SUMIFS(tblDaily[Discharges],tblDaily[EntryDate],DATE(2026,10,20),tblDaily[WardCode],"MAE")),"")</f>
        <v/>
      </c>
      <c r="D387" s="25">
        <f>IFERROR(IF(SUMIFS(tblDaily[Deaths],tblDaily[EntryDate],DATE(2026,10,20),tblDaily[WardCode],"MAE")=0,"",SUMIFS(tblDaily[Deaths],tblDaily[EntryDate],DATE(2026,10,20),tblDaily[WardCode],"MAE")),"")</f>
        <v/>
      </c>
      <c r="E387" s="25">
        <f>IFERROR(IF(SUMIFS(tblDaily[DeathsUnder24Hrs],tblDaily[EntryDate],DATE(2026,10,20),tblDaily[WardCode],"MAE")=0,"",SUMIFS(tblDaily[DeathsUnder24Hrs],tblDaily[EntryDate],DATE(2026,10,20),tblDaily[WardCode],"MAE")),"")</f>
        <v/>
      </c>
      <c r="F387" s="25">
        <f>IFERROR(IF(SUMIFS(tblDaily[TransfersIn],tblDaily[EntryDate],DATE(2026,10,20),tblDaily[WardCode],"MAE")=0,"",SUMIFS(tblDaily[TransfersIn],tblDaily[EntryDate],DATE(2026,10,20),tblDaily[WardCode],"MAE")),"")</f>
        <v/>
      </c>
      <c r="G387" s="25">
        <f>IFERROR(IF(SUMIFS(tblDaily[TransfersOut],tblDaily[EntryDate],DATE(2026,10,20),tblDaily[WardCode],"MAE")=0,"",SUMIFS(tblDaily[TransfersOut],tblDaily[EntryDate],DATE(2026,10,20),tblDaily[WardCode],"MAE")),"")</f>
        <v/>
      </c>
      <c r="H387" s="25">
        <f>IFERROR(IF(SUMIFS(tblDaily[Remaining],tblDaily[EntryDate],DATE(2026,10,20),tblDaily[WardCode],"MAE")=0,"",SUMIFS(tblDaily[Remaining],tblDaily[EntryDate],DATE(2026,10,20),tblDaily[WardCode],"MAE")),"")</f>
        <v/>
      </c>
      <c r="I387" s="25">
        <f>IFERROR(IF(SUMIFS(tblDaily[Admissions],tblDaily[EntryDate],DATE(2026,10,20),tblDaily[WardCode],"FAE")=0,"",SUMIFS(tblDaily[Admissions],tblDaily[EntryDate],DATE(2026,10,20),tblDaily[WardCode],"FAE")),"")</f>
        <v/>
      </c>
      <c r="J387" s="25">
        <f>IFERROR(IF(SUMIFS(tblDaily[Discharges],tblDaily[EntryDate],DATE(2026,10,20),tblDaily[WardCode],"FAE")=0,"",SUMIFS(tblDaily[Discharges],tblDaily[EntryDate],DATE(2026,10,20),tblDaily[WardCode],"FAE")),"")</f>
        <v/>
      </c>
      <c r="K387" s="25">
        <f>IFERROR(IF(SUMIFS(tblDaily[Deaths],tblDaily[EntryDate],DATE(2026,10,20),tblDaily[WardCode],"FAE")=0,"",SUMIFS(tblDaily[Deaths],tblDaily[EntryDate],DATE(2026,10,20),tblDaily[WardCode],"FAE")),"")</f>
        <v/>
      </c>
      <c r="L387" s="25">
        <f>IFERROR(IF(SUMIFS(tblDaily[DeathsUnder24Hrs],tblDaily[EntryDate],DATE(2026,10,20),tblDaily[WardCode],"FAE")=0,"",SUMIFS(tblDaily[DeathsUnder24Hrs],tblDaily[EntryDate],DATE(2026,10,20),tblDaily[WardCode],"FAE")),"")</f>
        <v/>
      </c>
      <c r="M387" s="25">
        <f>IFERROR(IF(SUMIFS(tblDaily[TransfersIn],tblDaily[EntryDate],DATE(2026,10,20),tblDaily[WardCode],"FAE")=0,"",SUMIFS(tblDaily[TransfersIn],tblDaily[EntryDate],DATE(2026,10,20),tblDaily[WardCode],"FAE")),"")</f>
        <v/>
      </c>
      <c r="N387" s="25">
        <f>IFERROR(IF(SUMIFS(tblDaily[TransfersOut],tblDaily[EntryDate],DATE(2026,10,20),tblDaily[WardCode],"FAE")=0,"",SUMIFS(tblDaily[TransfersOut],tblDaily[EntryDate],DATE(2026,10,20),tblDaily[WardCode],"FAE")),"")</f>
        <v/>
      </c>
      <c r="O387" s="25">
        <f>IFERROR(IF(SUMIFS(tblDaily[Remaining],tblDaily[EntryDate],DATE(2026,10,20),tblDaily[WardCode],"FAE")=0,"",SUMIFS(tblDaily[Remaining],tblDaily[EntryDate],DATE(2026,10,20),tblDaily[WardCode],"FAE")),"")</f>
        <v/>
      </c>
      <c r="P387" s="26">
        <f>IF(AND(H387="", O387=""), "", N(H387) + N(O387))</f>
        <v/>
      </c>
    </row>
    <row r="388">
      <c r="A388" s="25" t="n">
        <v>21</v>
      </c>
      <c r="B388" s="25">
        <f>IFERROR(IF(SUMIFS(tblDaily[Admissions],tblDaily[EntryDate],DATE(2026,10,21),tblDaily[WardCode],"MAE")=0,"",SUMIFS(tblDaily[Admissions],tblDaily[EntryDate],DATE(2026,10,21),tblDaily[WardCode],"MAE")),"")</f>
        <v/>
      </c>
      <c r="C388" s="25">
        <f>IFERROR(IF(SUMIFS(tblDaily[Discharges],tblDaily[EntryDate],DATE(2026,10,21),tblDaily[WardCode],"MAE")=0,"",SUMIFS(tblDaily[Discharges],tblDaily[EntryDate],DATE(2026,10,21),tblDaily[WardCode],"MAE")),"")</f>
        <v/>
      </c>
      <c r="D388" s="25">
        <f>IFERROR(IF(SUMIFS(tblDaily[Deaths],tblDaily[EntryDate],DATE(2026,10,21),tblDaily[WardCode],"MAE")=0,"",SUMIFS(tblDaily[Deaths],tblDaily[EntryDate],DATE(2026,10,21),tblDaily[WardCode],"MAE")),"")</f>
        <v/>
      </c>
      <c r="E388" s="25">
        <f>IFERROR(IF(SUMIFS(tblDaily[DeathsUnder24Hrs],tblDaily[EntryDate],DATE(2026,10,21),tblDaily[WardCode],"MAE")=0,"",SUMIFS(tblDaily[DeathsUnder24Hrs],tblDaily[EntryDate],DATE(2026,10,21),tblDaily[WardCode],"MAE")),"")</f>
        <v/>
      </c>
      <c r="F388" s="25">
        <f>IFERROR(IF(SUMIFS(tblDaily[TransfersIn],tblDaily[EntryDate],DATE(2026,10,21),tblDaily[WardCode],"MAE")=0,"",SUMIFS(tblDaily[TransfersIn],tblDaily[EntryDate],DATE(2026,10,21),tblDaily[WardCode],"MAE")),"")</f>
        <v/>
      </c>
      <c r="G388" s="25">
        <f>IFERROR(IF(SUMIFS(tblDaily[TransfersOut],tblDaily[EntryDate],DATE(2026,10,21),tblDaily[WardCode],"MAE")=0,"",SUMIFS(tblDaily[TransfersOut],tblDaily[EntryDate],DATE(2026,10,21),tblDaily[WardCode],"MAE")),"")</f>
        <v/>
      </c>
      <c r="H388" s="25">
        <f>IFERROR(IF(SUMIFS(tblDaily[Remaining],tblDaily[EntryDate],DATE(2026,10,21),tblDaily[WardCode],"MAE")=0,"",SUMIFS(tblDaily[Remaining],tblDaily[EntryDate],DATE(2026,10,21),tblDaily[WardCode],"MAE")),"")</f>
        <v/>
      </c>
      <c r="I388" s="25">
        <f>IFERROR(IF(SUMIFS(tblDaily[Admissions],tblDaily[EntryDate],DATE(2026,10,21),tblDaily[WardCode],"FAE")=0,"",SUMIFS(tblDaily[Admissions],tblDaily[EntryDate],DATE(2026,10,21),tblDaily[WardCode],"FAE")),"")</f>
        <v/>
      </c>
      <c r="J388" s="25">
        <f>IFERROR(IF(SUMIFS(tblDaily[Discharges],tblDaily[EntryDate],DATE(2026,10,21),tblDaily[WardCode],"FAE")=0,"",SUMIFS(tblDaily[Discharges],tblDaily[EntryDate],DATE(2026,10,21),tblDaily[WardCode],"FAE")),"")</f>
        <v/>
      </c>
      <c r="K388" s="25">
        <f>IFERROR(IF(SUMIFS(tblDaily[Deaths],tblDaily[EntryDate],DATE(2026,10,21),tblDaily[WardCode],"FAE")=0,"",SUMIFS(tblDaily[Deaths],tblDaily[EntryDate],DATE(2026,10,21),tblDaily[WardCode],"FAE")),"")</f>
        <v/>
      </c>
      <c r="L388" s="25">
        <f>IFERROR(IF(SUMIFS(tblDaily[DeathsUnder24Hrs],tblDaily[EntryDate],DATE(2026,10,21),tblDaily[WardCode],"FAE")=0,"",SUMIFS(tblDaily[DeathsUnder24Hrs],tblDaily[EntryDate],DATE(2026,10,21),tblDaily[WardCode],"FAE")),"")</f>
        <v/>
      </c>
      <c r="M388" s="25">
        <f>IFERROR(IF(SUMIFS(tblDaily[TransfersIn],tblDaily[EntryDate],DATE(2026,10,21),tblDaily[WardCode],"FAE")=0,"",SUMIFS(tblDaily[TransfersIn],tblDaily[EntryDate],DATE(2026,10,21),tblDaily[WardCode],"FAE")),"")</f>
        <v/>
      </c>
      <c r="N388" s="25">
        <f>IFERROR(IF(SUMIFS(tblDaily[TransfersOut],tblDaily[EntryDate],DATE(2026,10,21),tblDaily[WardCode],"FAE")=0,"",SUMIFS(tblDaily[TransfersOut],tblDaily[EntryDate],DATE(2026,10,21),tblDaily[WardCode],"FAE")),"")</f>
        <v/>
      </c>
      <c r="O388" s="25">
        <f>IFERROR(IF(SUMIFS(tblDaily[Remaining],tblDaily[EntryDate],DATE(2026,10,21),tblDaily[WardCode],"FAE")=0,"",SUMIFS(tblDaily[Remaining],tblDaily[EntryDate],DATE(2026,10,21),tblDaily[WardCode],"FAE")),"")</f>
        <v/>
      </c>
      <c r="P388" s="26">
        <f>IF(AND(H388="", O388=""), "", N(H388) + N(O388))</f>
        <v/>
      </c>
    </row>
    <row r="389">
      <c r="A389" s="25" t="n">
        <v>22</v>
      </c>
      <c r="B389" s="25">
        <f>IFERROR(IF(SUMIFS(tblDaily[Admissions],tblDaily[EntryDate],DATE(2026,10,22),tblDaily[WardCode],"MAE")=0,"",SUMIFS(tblDaily[Admissions],tblDaily[EntryDate],DATE(2026,10,22),tblDaily[WardCode],"MAE")),"")</f>
        <v/>
      </c>
      <c r="C389" s="25">
        <f>IFERROR(IF(SUMIFS(tblDaily[Discharges],tblDaily[EntryDate],DATE(2026,10,22),tblDaily[WardCode],"MAE")=0,"",SUMIFS(tblDaily[Discharges],tblDaily[EntryDate],DATE(2026,10,22),tblDaily[WardCode],"MAE")),"")</f>
        <v/>
      </c>
      <c r="D389" s="25">
        <f>IFERROR(IF(SUMIFS(tblDaily[Deaths],tblDaily[EntryDate],DATE(2026,10,22),tblDaily[WardCode],"MAE")=0,"",SUMIFS(tblDaily[Deaths],tblDaily[EntryDate],DATE(2026,10,22),tblDaily[WardCode],"MAE")),"")</f>
        <v/>
      </c>
      <c r="E389" s="25">
        <f>IFERROR(IF(SUMIFS(tblDaily[DeathsUnder24Hrs],tblDaily[EntryDate],DATE(2026,10,22),tblDaily[WardCode],"MAE")=0,"",SUMIFS(tblDaily[DeathsUnder24Hrs],tblDaily[EntryDate],DATE(2026,10,22),tblDaily[WardCode],"MAE")),"")</f>
        <v/>
      </c>
      <c r="F389" s="25">
        <f>IFERROR(IF(SUMIFS(tblDaily[TransfersIn],tblDaily[EntryDate],DATE(2026,10,22),tblDaily[WardCode],"MAE")=0,"",SUMIFS(tblDaily[TransfersIn],tblDaily[EntryDate],DATE(2026,10,22),tblDaily[WardCode],"MAE")),"")</f>
        <v/>
      </c>
      <c r="G389" s="25">
        <f>IFERROR(IF(SUMIFS(tblDaily[TransfersOut],tblDaily[EntryDate],DATE(2026,10,22),tblDaily[WardCode],"MAE")=0,"",SUMIFS(tblDaily[TransfersOut],tblDaily[EntryDate],DATE(2026,10,22),tblDaily[WardCode],"MAE")),"")</f>
        <v/>
      </c>
      <c r="H389" s="25">
        <f>IFERROR(IF(SUMIFS(tblDaily[Remaining],tblDaily[EntryDate],DATE(2026,10,22),tblDaily[WardCode],"MAE")=0,"",SUMIFS(tblDaily[Remaining],tblDaily[EntryDate],DATE(2026,10,22),tblDaily[WardCode],"MAE")),"")</f>
        <v/>
      </c>
      <c r="I389" s="25">
        <f>IFERROR(IF(SUMIFS(tblDaily[Admissions],tblDaily[EntryDate],DATE(2026,10,22),tblDaily[WardCode],"FAE")=0,"",SUMIFS(tblDaily[Admissions],tblDaily[EntryDate],DATE(2026,10,22),tblDaily[WardCode],"FAE")),"")</f>
        <v/>
      </c>
      <c r="J389" s="25">
        <f>IFERROR(IF(SUMIFS(tblDaily[Discharges],tblDaily[EntryDate],DATE(2026,10,22),tblDaily[WardCode],"FAE")=0,"",SUMIFS(tblDaily[Discharges],tblDaily[EntryDate],DATE(2026,10,22),tblDaily[WardCode],"FAE")),"")</f>
        <v/>
      </c>
      <c r="K389" s="25">
        <f>IFERROR(IF(SUMIFS(tblDaily[Deaths],tblDaily[EntryDate],DATE(2026,10,22),tblDaily[WardCode],"FAE")=0,"",SUMIFS(tblDaily[Deaths],tblDaily[EntryDate],DATE(2026,10,22),tblDaily[WardCode],"FAE")),"")</f>
        <v/>
      </c>
      <c r="L389" s="25">
        <f>IFERROR(IF(SUMIFS(tblDaily[DeathsUnder24Hrs],tblDaily[EntryDate],DATE(2026,10,22),tblDaily[WardCode],"FAE")=0,"",SUMIFS(tblDaily[DeathsUnder24Hrs],tblDaily[EntryDate],DATE(2026,10,22),tblDaily[WardCode],"FAE")),"")</f>
        <v/>
      </c>
      <c r="M389" s="25">
        <f>IFERROR(IF(SUMIFS(tblDaily[TransfersIn],tblDaily[EntryDate],DATE(2026,10,22),tblDaily[WardCode],"FAE")=0,"",SUMIFS(tblDaily[TransfersIn],tblDaily[EntryDate],DATE(2026,10,22),tblDaily[WardCode],"FAE")),"")</f>
        <v/>
      </c>
      <c r="N389" s="25">
        <f>IFERROR(IF(SUMIFS(tblDaily[TransfersOut],tblDaily[EntryDate],DATE(2026,10,22),tblDaily[WardCode],"FAE")=0,"",SUMIFS(tblDaily[TransfersOut],tblDaily[EntryDate],DATE(2026,10,22),tblDaily[WardCode],"FAE")),"")</f>
        <v/>
      </c>
      <c r="O389" s="25">
        <f>IFERROR(IF(SUMIFS(tblDaily[Remaining],tblDaily[EntryDate],DATE(2026,10,22),tblDaily[WardCode],"FAE")=0,"",SUMIFS(tblDaily[Remaining],tblDaily[EntryDate],DATE(2026,10,22),tblDaily[WardCode],"FAE")),"")</f>
        <v/>
      </c>
      <c r="P389" s="26">
        <f>IF(AND(H389="", O389=""), "", N(H389) + N(O389))</f>
        <v/>
      </c>
    </row>
    <row r="390">
      <c r="A390" s="25" t="n">
        <v>23</v>
      </c>
      <c r="B390" s="25">
        <f>IFERROR(IF(SUMIFS(tblDaily[Admissions],tblDaily[EntryDate],DATE(2026,10,23),tblDaily[WardCode],"MAE")=0,"",SUMIFS(tblDaily[Admissions],tblDaily[EntryDate],DATE(2026,10,23),tblDaily[WardCode],"MAE")),"")</f>
        <v/>
      </c>
      <c r="C390" s="25">
        <f>IFERROR(IF(SUMIFS(tblDaily[Discharges],tblDaily[EntryDate],DATE(2026,10,23),tblDaily[WardCode],"MAE")=0,"",SUMIFS(tblDaily[Discharges],tblDaily[EntryDate],DATE(2026,10,23),tblDaily[WardCode],"MAE")),"")</f>
        <v/>
      </c>
      <c r="D390" s="25">
        <f>IFERROR(IF(SUMIFS(tblDaily[Deaths],tblDaily[EntryDate],DATE(2026,10,23),tblDaily[WardCode],"MAE")=0,"",SUMIFS(tblDaily[Deaths],tblDaily[EntryDate],DATE(2026,10,23),tblDaily[WardCode],"MAE")),"")</f>
        <v/>
      </c>
      <c r="E390" s="25">
        <f>IFERROR(IF(SUMIFS(tblDaily[DeathsUnder24Hrs],tblDaily[EntryDate],DATE(2026,10,23),tblDaily[WardCode],"MAE")=0,"",SUMIFS(tblDaily[DeathsUnder24Hrs],tblDaily[EntryDate],DATE(2026,10,23),tblDaily[WardCode],"MAE")),"")</f>
        <v/>
      </c>
      <c r="F390" s="25">
        <f>IFERROR(IF(SUMIFS(tblDaily[TransfersIn],tblDaily[EntryDate],DATE(2026,10,23),tblDaily[WardCode],"MAE")=0,"",SUMIFS(tblDaily[TransfersIn],tblDaily[EntryDate],DATE(2026,10,23),tblDaily[WardCode],"MAE")),"")</f>
        <v/>
      </c>
      <c r="G390" s="25">
        <f>IFERROR(IF(SUMIFS(tblDaily[TransfersOut],tblDaily[EntryDate],DATE(2026,10,23),tblDaily[WardCode],"MAE")=0,"",SUMIFS(tblDaily[TransfersOut],tblDaily[EntryDate],DATE(2026,10,23),tblDaily[WardCode],"MAE")),"")</f>
        <v/>
      </c>
      <c r="H390" s="25">
        <f>IFERROR(IF(SUMIFS(tblDaily[Remaining],tblDaily[EntryDate],DATE(2026,10,23),tblDaily[WardCode],"MAE")=0,"",SUMIFS(tblDaily[Remaining],tblDaily[EntryDate],DATE(2026,10,23),tblDaily[WardCode],"MAE")),"")</f>
        <v/>
      </c>
      <c r="I390" s="25">
        <f>IFERROR(IF(SUMIFS(tblDaily[Admissions],tblDaily[EntryDate],DATE(2026,10,23),tblDaily[WardCode],"FAE")=0,"",SUMIFS(tblDaily[Admissions],tblDaily[EntryDate],DATE(2026,10,23),tblDaily[WardCode],"FAE")),"")</f>
        <v/>
      </c>
      <c r="J390" s="25">
        <f>IFERROR(IF(SUMIFS(tblDaily[Discharges],tblDaily[EntryDate],DATE(2026,10,23),tblDaily[WardCode],"FAE")=0,"",SUMIFS(tblDaily[Discharges],tblDaily[EntryDate],DATE(2026,10,23),tblDaily[WardCode],"FAE")),"")</f>
        <v/>
      </c>
      <c r="K390" s="25">
        <f>IFERROR(IF(SUMIFS(tblDaily[Deaths],tblDaily[EntryDate],DATE(2026,10,23),tblDaily[WardCode],"FAE")=0,"",SUMIFS(tblDaily[Deaths],tblDaily[EntryDate],DATE(2026,10,23),tblDaily[WardCode],"FAE")),"")</f>
        <v/>
      </c>
      <c r="L390" s="25">
        <f>IFERROR(IF(SUMIFS(tblDaily[DeathsUnder24Hrs],tblDaily[EntryDate],DATE(2026,10,23),tblDaily[WardCode],"FAE")=0,"",SUMIFS(tblDaily[DeathsUnder24Hrs],tblDaily[EntryDate],DATE(2026,10,23),tblDaily[WardCode],"FAE")),"")</f>
        <v/>
      </c>
      <c r="M390" s="25">
        <f>IFERROR(IF(SUMIFS(tblDaily[TransfersIn],tblDaily[EntryDate],DATE(2026,10,23),tblDaily[WardCode],"FAE")=0,"",SUMIFS(tblDaily[TransfersIn],tblDaily[EntryDate],DATE(2026,10,23),tblDaily[WardCode],"FAE")),"")</f>
        <v/>
      </c>
      <c r="N390" s="25">
        <f>IFERROR(IF(SUMIFS(tblDaily[TransfersOut],tblDaily[EntryDate],DATE(2026,10,23),tblDaily[WardCode],"FAE")=0,"",SUMIFS(tblDaily[TransfersOut],tblDaily[EntryDate],DATE(2026,10,23),tblDaily[WardCode],"FAE")),"")</f>
        <v/>
      </c>
      <c r="O390" s="25">
        <f>IFERROR(IF(SUMIFS(tblDaily[Remaining],tblDaily[EntryDate],DATE(2026,10,23),tblDaily[WardCode],"FAE")=0,"",SUMIFS(tblDaily[Remaining],tblDaily[EntryDate],DATE(2026,10,23),tblDaily[WardCode],"FAE")),"")</f>
        <v/>
      </c>
      <c r="P390" s="26">
        <f>IF(AND(H390="", O390=""), "", N(H390) + N(O390))</f>
        <v/>
      </c>
    </row>
    <row r="391">
      <c r="A391" s="25" t="n">
        <v>24</v>
      </c>
      <c r="B391" s="25">
        <f>IFERROR(IF(SUMIFS(tblDaily[Admissions],tblDaily[EntryDate],DATE(2026,10,24),tblDaily[WardCode],"MAE")=0,"",SUMIFS(tblDaily[Admissions],tblDaily[EntryDate],DATE(2026,10,24),tblDaily[WardCode],"MAE")),"")</f>
        <v/>
      </c>
      <c r="C391" s="25">
        <f>IFERROR(IF(SUMIFS(tblDaily[Discharges],tblDaily[EntryDate],DATE(2026,10,24),tblDaily[WardCode],"MAE")=0,"",SUMIFS(tblDaily[Discharges],tblDaily[EntryDate],DATE(2026,10,24),tblDaily[WardCode],"MAE")),"")</f>
        <v/>
      </c>
      <c r="D391" s="25">
        <f>IFERROR(IF(SUMIFS(tblDaily[Deaths],tblDaily[EntryDate],DATE(2026,10,24),tblDaily[WardCode],"MAE")=0,"",SUMIFS(tblDaily[Deaths],tblDaily[EntryDate],DATE(2026,10,24),tblDaily[WardCode],"MAE")),"")</f>
        <v/>
      </c>
      <c r="E391" s="25">
        <f>IFERROR(IF(SUMIFS(tblDaily[DeathsUnder24Hrs],tblDaily[EntryDate],DATE(2026,10,24),tblDaily[WardCode],"MAE")=0,"",SUMIFS(tblDaily[DeathsUnder24Hrs],tblDaily[EntryDate],DATE(2026,10,24),tblDaily[WardCode],"MAE")),"")</f>
        <v/>
      </c>
      <c r="F391" s="25">
        <f>IFERROR(IF(SUMIFS(tblDaily[TransfersIn],tblDaily[EntryDate],DATE(2026,10,24),tblDaily[WardCode],"MAE")=0,"",SUMIFS(tblDaily[TransfersIn],tblDaily[EntryDate],DATE(2026,10,24),tblDaily[WardCode],"MAE")),"")</f>
        <v/>
      </c>
      <c r="G391" s="25">
        <f>IFERROR(IF(SUMIFS(tblDaily[TransfersOut],tblDaily[EntryDate],DATE(2026,10,24),tblDaily[WardCode],"MAE")=0,"",SUMIFS(tblDaily[TransfersOut],tblDaily[EntryDate],DATE(2026,10,24),tblDaily[WardCode],"MAE")),"")</f>
        <v/>
      </c>
      <c r="H391" s="25">
        <f>IFERROR(IF(SUMIFS(tblDaily[Remaining],tblDaily[EntryDate],DATE(2026,10,24),tblDaily[WardCode],"MAE")=0,"",SUMIFS(tblDaily[Remaining],tblDaily[EntryDate],DATE(2026,10,24),tblDaily[WardCode],"MAE")),"")</f>
        <v/>
      </c>
      <c r="I391" s="25">
        <f>IFERROR(IF(SUMIFS(tblDaily[Admissions],tblDaily[EntryDate],DATE(2026,10,24),tblDaily[WardCode],"FAE")=0,"",SUMIFS(tblDaily[Admissions],tblDaily[EntryDate],DATE(2026,10,24),tblDaily[WardCode],"FAE")),"")</f>
        <v/>
      </c>
      <c r="J391" s="25">
        <f>IFERROR(IF(SUMIFS(tblDaily[Discharges],tblDaily[EntryDate],DATE(2026,10,24),tblDaily[WardCode],"FAE")=0,"",SUMIFS(tblDaily[Discharges],tblDaily[EntryDate],DATE(2026,10,24),tblDaily[WardCode],"FAE")),"")</f>
        <v/>
      </c>
      <c r="K391" s="25">
        <f>IFERROR(IF(SUMIFS(tblDaily[Deaths],tblDaily[EntryDate],DATE(2026,10,24),tblDaily[WardCode],"FAE")=0,"",SUMIFS(tblDaily[Deaths],tblDaily[EntryDate],DATE(2026,10,24),tblDaily[WardCode],"FAE")),"")</f>
        <v/>
      </c>
      <c r="L391" s="25">
        <f>IFERROR(IF(SUMIFS(tblDaily[DeathsUnder24Hrs],tblDaily[EntryDate],DATE(2026,10,24),tblDaily[WardCode],"FAE")=0,"",SUMIFS(tblDaily[DeathsUnder24Hrs],tblDaily[EntryDate],DATE(2026,10,24),tblDaily[WardCode],"FAE")),"")</f>
        <v/>
      </c>
      <c r="M391" s="25">
        <f>IFERROR(IF(SUMIFS(tblDaily[TransfersIn],tblDaily[EntryDate],DATE(2026,10,24),tblDaily[WardCode],"FAE")=0,"",SUMIFS(tblDaily[TransfersIn],tblDaily[EntryDate],DATE(2026,10,24),tblDaily[WardCode],"FAE")),"")</f>
        <v/>
      </c>
      <c r="N391" s="25">
        <f>IFERROR(IF(SUMIFS(tblDaily[TransfersOut],tblDaily[EntryDate],DATE(2026,10,24),tblDaily[WardCode],"FAE")=0,"",SUMIFS(tblDaily[TransfersOut],tblDaily[EntryDate],DATE(2026,10,24),tblDaily[WardCode],"FAE")),"")</f>
        <v/>
      </c>
      <c r="O391" s="25">
        <f>IFERROR(IF(SUMIFS(tblDaily[Remaining],tblDaily[EntryDate],DATE(2026,10,24),tblDaily[WardCode],"FAE")=0,"",SUMIFS(tblDaily[Remaining],tblDaily[EntryDate],DATE(2026,10,24),tblDaily[WardCode],"FAE")),"")</f>
        <v/>
      </c>
      <c r="P391" s="26">
        <f>IF(AND(H391="", O391=""), "", N(H391) + N(O391))</f>
        <v/>
      </c>
    </row>
    <row r="392">
      <c r="A392" s="25" t="n">
        <v>25</v>
      </c>
      <c r="B392" s="25">
        <f>IFERROR(IF(SUMIFS(tblDaily[Admissions],tblDaily[EntryDate],DATE(2026,10,25),tblDaily[WardCode],"MAE")=0,"",SUMIFS(tblDaily[Admissions],tblDaily[EntryDate],DATE(2026,10,25),tblDaily[WardCode],"MAE")),"")</f>
        <v/>
      </c>
      <c r="C392" s="25">
        <f>IFERROR(IF(SUMIFS(tblDaily[Discharges],tblDaily[EntryDate],DATE(2026,10,25),tblDaily[WardCode],"MAE")=0,"",SUMIFS(tblDaily[Discharges],tblDaily[EntryDate],DATE(2026,10,25),tblDaily[WardCode],"MAE")),"")</f>
        <v/>
      </c>
      <c r="D392" s="25">
        <f>IFERROR(IF(SUMIFS(tblDaily[Deaths],tblDaily[EntryDate],DATE(2026,10,25),tblDaily[WardCode],"MAE")=0,"",SUMIFS(tblDaily[Deaths],tblDaily[EntryDate],DATE(2026,10,25),tblDaily[WardCode],"MAE")),"")</f>
        <v/>
      </c>
      <c r="E392" s="25">
        <f>IFERROR(IF(SUMIFS(tblDaily[DeathsUnder24Hrs],tblDaily[EntryDate],DATE(2026,10,25),tblDaily[WardCode],"MAE")=0,"",SUMIFS(tblDaily[DeathsUnder24Hrs],tblDaily[EntryDate],DATE(2026,10,25),tblDaily[WardCode],"MAE")),"")</f>
        <v/>
      </c>
      <c r="F392" s="25">
        <f>IFERROR(IF(SUMIFS(tblDaily[TransfersIn],tblDaily[EntryDate],DATE(2026,10,25),tblDaily[WardCode],"MAE")=0,"",SUMIFS(tblDaily[TransfersIn],tblDaily[EntryDate],DATE(2026,10,25),tblDaily[WardCode],"MAE")),"")</f>
        <v/>
      </c>
      <c r="G392" s="25">
        <f>IFERROR(IF(SUMIFS(tblDaily[TransfersOut],tblDaily[EntryDate],DATE(2026,10,25),tblDaily[WardCode],"MAE")=0,"",SUMIFS(tblDaily[TransfersOut],tblDaily[EntryDate],DATE(2026,10,25),tblDaily[WardCode],"MAE")),"")</f>
        <v/>
      </c>
      <c r="H392" s="25">
        <f>IFERROR(IF(SUMIFS(tblDaily[Remaining],tblDaily[EntryDate],DATE(2026,10,25),tblDaily[WardCode],"MAE")=0,"",SUMIFS(tblDaily[Remaining],tblDaily[EntryDate],DATE(2026,10,25),tblDaily[WardCode],"MAE")),"")</f>
        <v/>
      </c>
      <c r="I392" s="25">
        <f>IFERROR(IF(SUMIFS(tblDaily[Admissions],tblDaily[EntryDate],DATE(2026,10,25),tblDaily[WardCode],"FAE")=0,"",SUMIFS(tblDaily[Admissions],tblDaily[EntryDate],DATE(2026,10,25),tblDaily[WardCode],"FAE")),"")</f>
        <v/>
      </c>
      <c r="J392" s="25">
        <f>IFERROR(IF(SUMIFS(tblDaily[Discharges],tblDaily[EntryDate],DATE(2026,10,25),tblDaily[WardCode],"FAE")=0,"",SUMIFS(tblDaily[Discharges],tblDaily[EntryDate],DATE(2026,10,25),tblDaily[WardCode],"FAE")),"")</f>
        <v/>
      </c>
      <c r="K392" s="25">
        <f>IFERROR(IF(SUMIFS(tblDaily[Deaths],tblDaily[EntryDate],DATE(2026,10,25),tblDaily[WardCode],"FAE")=0,"",SUMIFS(tblDaily[Deaths],tblDaily[EntryDate],DATE(2026,10,25),tblDaily[WardCode],"FAE")),"")</f>
        <v/>
      </c>
      <c r="L392" s="25">
        <f>IFERROR(IF(SUMIFS(tblDaily[DeathsUnder24Hrs],tblDaily[EntryDate],DATE(2026,10,25),tblDaily[WardCode],"FAE")=0,"",SUMIFS(tblDaily[DeathsUnder24Hrs],tblDaily[EntryDate],DATE(2026,10,25),tblDaily[WardCode],"FAE")),"")</f>
        <v/>
      </c>
      <c r="M392" s="25">
        <f>IFERROR(IF(SUMIFS(tblDaily[TransfersIn],tblDaily[EntryDate],DATE(2026,10,25),tblDaily[WardCode],"FAE")=0,"",SUMIFS(tblDaily[TransfersIn],tblDaily[EntryDate],DATE(2026,10,25),tblDaily[WardCode],"FAE")),"")</f>
        <v/>
      </c>
      <c r="N392" s="25">
        <f>IFERROR(IF(SUMIFS(tblDaily[TransfersOut],tblDaily[EntryDate],DATE(2026,10,25),tblDaily[WardCode],"FAE")=0,"",SUMIFS(tblDaily[TransfersOut],tblDaily[EntryDate],DATE(2026,10,25),tblDaily[WardCode],"FAE")),"")</f>
        <v/>
      </c>
      <c r="O392" s="25">
        <f>IFERROR(IF(SUMIFS(tblDaily[Remaining],tblDaily[EntryDate],DATE(2026,10,25),tblDaily[WardCode],"FAE")=0,"",SUMIFS(tblDaily[Remaining],tblDaily[EntryDate],DATE(2026,10,25),tblDaily[WardCode],"FAE")),"")</f>
        <v/>
      </c>
      <c r="P392" s="26">
        <f>IF(AND(H392="", O392=""), "", N(H392) + N(O392))</f>
        <v/>
      </c>
    </row>
    <row r="393">
      <c r="A393" s="25" t="n">
        <v>26</v>
      </c>
      <c r="B393" s="25">
        <f>IFERROR(IF(SUMIFS(tblDaily[Admissions],tblDaily[EntryDate],DATE(2026,10,26),tblDaily[WardCode],"MAE")=0,"",SUMIFS(tblDaily[Admissions],tblDaily[EntryDate],DATE(2026,10,26),tblDaily[WardCode],"MAE")),"")</f>
        <v/>
      </c>
      <c r="C393" s="25">
        <f>IFERROR(IF(SUMIFS(tblDaily[Discharges],tblDaily[EntryDate],DATE(2026,10,26),tblDaily[WardCode],"MAE")=0,"",SUMIFS(tblDaily[Discharges],tblDaily[EntryDate],DATE(2026,10,26),tblDaily[WardCode],"MAE")),"")</f>
        <v/>
      </c>
      <c r="D393" s="25">
        <f>IFERROR(IF(SUMIFS(tblDaily[Deaths],tblDaily[EntryDate],DATE(2026,10,26),tblDaily[WardCode],"MAE")=0,"",SUMIFS(tblDaily[Deaths],tblDaily[EntryDate],DATE(2026,10,26),tblDaily[WardCode],"MAE")),"")</f>
        <v/>
      </c>
      <c r="E393" s="25">
        <f>IFERROR(IF(SUMIFS(tblDaily[DeathsUnder24Hrs],tblDaily[EntryDate],DATE(2026,10,26),tblDaily[WardCode],"MAE")=0,"",SUMIFS(tblDaily[DeathsUnder24Hrs],tblDaily[EntryDate],DATE(2026,10,26),tblDaily[WardCode],"MAE")),"")</f>
        <v/>
      </c>
      <c r="F393" s="25">
        <f>IFERROR(IF(SUMIFS(tblDaily[TransfersIn],tblDaily[EntryDate],DATE(2026,10,26),tblDaily[WardCode],"MAE")=0,"",SUMIFS(tblDaily[TransfersIn],tblDaily[EntryDate],DATE(2026,10,26),tblDaily[WardCode],"MAE")),"")</f>
        <v/>
      </c>
      <c r="G393" s="25">
        <f>IFERROR(IF(SUMIFS(tblDaily[TransfersOut],tblDaily[EntryDate],DATE(2026,10,26),tblDaily[WardCode],"MAE")=0,"",SUMIFS(tblDaily[TransfersOut],tblDaily[EntryDate],DATE(2026,10,26),tblDaily[WardCode],"MAE")),"")</f>
        <v/>
      </c>
      <c r="H393" s="25">
        <f>IFERROR(IF(SUMIFS(tblDaily[Remaining],tblDaily[EntryDate],DATE(2026,10,26),tblDaily[WardCode],"MAE")=0,"",SUMIFS(tblDaily[Remaining],tblDaily[EntryDate],DATE(2026,10,26),tblDaily[WardCode],"MAE")),"")</f>
        <v/>
      </c>
      <c r="I393" s="25">
        <f>IFERROR(IF(SUMIFS(tblDaily[Admissions],tblDaily[EntryDate],DATE(2026,10,26),tblDaily[WardCode],"FAE")=0,"",SUMIFS(tblDaily[Admissions],tblDaily[EntryDate],DATE(2026,10,26),tblDaily[WardCode],"FAE")),"")</f>
        <v/>
      </c>
      <c r="J393" s="25">
        <f>IFERROR(IF(SUMIFS(tblDaily[Discharges],tblDaily[EntryDate],DATE(2026,10,26),tblDaily[WardCode],"FAE")=0,"",SUMIFS(tblDaily[Discharges],tblDaily[EntryDate],DATE(2026,10,26),tblDaily[WardCode],"FAE")),"")</f>
        <v/>
      </c>
      <c r="K393" s="25">
        <f>IFERROR(IF(SUMIFS(tblDaily[Deaths],tblDaily[EntryDate],DATE(2026,10,26),tblDaily[WardCode],"FAE")=0,"",SUMIFS(tblDaily[Deaths],tblDaily[EntryDate],DATE(2026,10,26),tblDaily[WardCode],"FAE")),"")</f>
        <v/>
      </c>
      <c r="L393" s="25">
        <f>IFERROR(IF(SUMIFS(tblDaily[DeathsUnder24Hrs],tblDaily[EntryDate],DATE(2026,10,26),tblDaily[WardCode],"FAE")=0,"",SUMIFS(tblDaily[DeathsUnder24Hrs],tblDaily[EntryDate],DATE(2026,10,26),tblDaily[WardCode],"FAE")),"")</f>
        <v/>
      </c>
      <c r="M393" s="25">
        <f>IFERROR(IF(SUMIFS(tblDaily[TransfersIn],tblDaily[EntryDate],DATE(2026,10,26),tblDaily[WardCode],"FAE")=0,"",SUMIFS(tblDaily[TransfersIn],tblDaily[EntryDate],DATE(2026,10,26),tblDaily[WardCode],"FAE")),"")</f>
        <v/>
      </c>
      <c r="N393" s="25">
        <f>IFERROR(IF(SUMIFS(tblDaily[TransfersOut],tblDaily[EntryDate],DATE(2026,10,26),tblDaily[WardCode],"FAE")=0,"",SUMIFS(tblDaily[TransfersOut],tblDaily[EntryDate],DATE(2026,10,26),tblDaily[WardCode],"FAE")),"")</f>
        <v/>
      </c>
      <c r="O393" s="25">
        <f>IFERROR(IF(SUMIFS(tblDaily[Remaining],tblDaily[EntryDate],DATE(2026,10,26),tblDaily[WardCode],"FAE")=0,"",SUMIFS(tblDaily[Remaining],tblDaily[EntryDate],DATE(2026,10,26),tblDaily[WardCode],"FAE")),"")</f>
        <v/>
      </c>
      <c r="P393" s="26">
        <f>IF(AND(H393="", O393=""), "", N(H393) + N(O393))</f>
        <v/>
      </c>
    </row>
    <row r="394">
      <c r="A394" s="25" t="n">
        <v>27</v>
      </c>
      <c r="B394" s="25">
        <f>IFERROR(IF(SUMIFS(tblDaily[Admissions],tblDaily[EntryDate],DATE(2026,10,27),tblDaily[WardCode],"MAE")=0,"",SUMIFS(tblDaily[Admissions],tblDaily[EntryDate],DATE(2026,10,27),tblDaily[WardCode],"MAE")),"")</f>
        <v/>
      </c>
      <c r="C394" s="25">
        <f>IFERROR(IF(SUMIFS(tblDaily[Discharges],tblDaily[EntryDate],DATE(2026,10,27),tblDaily[WardCode],"MAE")=0,"",SUMIFS(tblDaily[Discharges],tblDaily[EntryDate],DATE(2026,10,27),tblDaily[WardCode],"MAE")),"")</f>
        <v/>
      </c>
      <c r="D394" s="25">
        <f>IFERROR(IF(SUMIFS(tblDaily[Deaths],tblDaily[EntryDate],DATE(2026,10,27),tblDaily[WardCode],"MAE")=0,"",SUMIFS(tblDaily[Deaths],tblDaily[EntryDate],DATE(2026,10,27),tblDaily[WardCode],"MAE")),"")</f>
        <v/>
      </c>
      <c r="E394" s="25">
        <f>IFERROR(IF(SUMIFS(tblDaily[DeathsUnder24Hrs],tblDaily[EntryDate],DATE(2026,10,27),tblDaily[WardCode],"MAE")=0,"",SUMIFS(tblDaily[DeathsUnder24Hrs],tblDaily[EntryDate],DATE(2026,10,27),tblDaily[WardCode],"MAE")),"")</f>
        <v/>
      </c>
      <c r="F394" s="25">
        <f>IFERROR(IF(SUMIFS(tblDaily[TransfersIn],tblDaily[EntryDate],DATE(2026,10,27),tblDaily[WardCode],"MAE")=0,"",SUMIFS(tblDaily[TransfersIn],tblDaily[EntryDate],DATE(2026,10,27),tblDaily[WardCode],"MAE")),"")</f>
        <v/>
      </c>
      <c r="G394" s="25">
        <f>IFERROR(IF(SUMIFS(tblDaily[TransfersOut],tblDaily[EntryDate],DATE(2026,10,27),tblDaily[WardCode],"MAE")=0,"",SUMIFS(tblDaily[TransfersOut],tblDaily[EntryDate],DATE(2026,10,27),tblDaily[WardCode],"MAE")),"")</f>
        <v/>
      </c>
      <c r="H394" s="25">
        <f>IFERROR(IF(SUMIFS(tblDaily[Remaining],tblDaily[EntryDate],DATE(2026,10,27),tblDaily[WardCode],"MAE")=0,"",SUMIFS(tblDaily[Remaining],tblDaily[EntryDate],DATE(2026,10,27),tblDaily[WardCode],"MAE")),"")</f>
        <v/>
      </c>
      <c r="I394" s="25">
        <f>IFERROR(IF(SUMIFS(tblDaily[Admissions],tblDaily[EntryDate],DATE(2026,10,27),tblDaily[WardCode],"FAE")=0,"",SUMIFS(tblDaily[Admissions],tblDaily[EntryDate],DATE(2026,10,27),tblDaily[WardCode],"FAE")),"")</f>
        <v/>
      </c>
      <c r="J394" s="25">
        <f>IFERROR(IF(SUMIFS(tblDaily[Discharges],tblDaily[EntryDate],DATE(2026,10,27),tblDaily[WardCode],"FAE")=0,"",SUMIFS(tblDaily[Discharges],tblDaily[EntryDate],DATE(2026,10,27),tblDaily[WardCode],"FAE")),"")</f>
        <v/>
      </c>
      <c r="K394" s="25">
        <f>IFERROR(IF(SUMIFS(tblDaily[Deaths],tblDaily[EntryDate],DATE(2026,10,27),tblDaily[WardCode],"FAE")=0,"",SUMIFS(tblDaily[Deaths],tblDaily[EntryDate],DATE(2026,10,27),tblDaily[WardCode],"FAE")),"")</f>
        <v/>
      </c>
      <c r="L394" s="25">
        <f>IFERROR(IF(SUMIFS(tblDaily[DeathsUnder24Hrs],tblDaily[EntryDate],DATE(2026,10,27),tblDaily[WardCode],"FAE")=0,"",SUMIFS(tblDaily[DeathsUnder24Hrs],tblDaily[EntryDate],DATE(2026,10,27),tblDaily[WardCode],"FAE")),"")</f>
        <v/>
      </c>
      <c r="M394" s="25">
        <f>IFERROR(IF(SUMIFS(tblDaily[TransfersIn],tblDaily[EntryDate],DATE(2026,10,27),tblDaily[WardCode],"FAE")=0,"",SUMIFS(tblDaily[TransfersIn],tblDaily[EntryDate],DATE(2026,10,27),tblDaily[WardCode],"FAE")),"")</f>
        <v/>
      </c>
      <c r="N394" s="25">
        <f>IFERROR(IF(SUMIFS(tblDaily[TransfersOut],tblDaily[EntryDate],DATE(2026,10,27),tblDaily[WardCode],"FAE")=0,"",SUMIFS(tblDaily[TransfersOut],tblDaily[EntryDate],DATE(2026,10,27),tblDaily[WardCode],"FAE")),"")</f>
        <v/>
      </c>
      <c r="O394" s="25">
        <f>IFERROR(IF(SUMIFS(tblDaily[Remaining],tblDaily[EntryDate],DATE(2026,10,27),tblDaily[WardCode],"FAE")=0,"",SUMIFS(tblDaily[Remaining],tblDaily[EntryDate],DATE(2026,10,27),tblDaily[WardCode],"FAE")),"")</f>
        <v/>
      </c>
      <c r="P394" s="26">
        <f>IF(AND(H394="", O394=""), "", N(H394) + N(O394))</f>
        <v/>
      </c>
    </row>
    <row r="395">
      <c r="A395" s="25" t="n">
        <v>28</v>
      </c>
      <c r="B395" s="25">
        <f>IFERROR(IF(SUMIFS(tblDaily[Admissions],tblDaily[EntryDate],DATE(2026,10,28),tblDaily[WardCode],"MAE")=0,"",SUMIFS(tblDaily[Admissions],tblDaily[EntryDate],DATE(2026,10,28),tblDaily[WardCode],"MAE")),"")</f>
        <v/>
      </c>
      <c r="C395" s="25">
        <f>IFERROR(IF(SUMIFS(tblDaily[Discharges],tblDaily[EntryDate],DATE(2026,10,28),tblDaily[WardCode],"MAE")=0,"",SUMIFS(tblDaily[Discharges],tblDaily[EntryDate],DATE(2026,10,28),tblDaily[WardCode],"MAE")),"")</f>
        <v/>
      </c>
      <c r="D395" s="25">
        <f>IFERROR(IF(SUMIFS(tblDaily[Deaths],tblDaily[EntryDate],DATE(2026,10,28),tblDaily[WardCode],"MAE")=0,"",SUMIFS(tblDaily[Deaths],tblDaily[EntryDate],DATE(2026,10,28),tblDaily[WardCode],"MAE")),"")</f>
        <v/>
      </c>
      <c r="E395" s="25">
        <f>IFERROR(IF(SUMIFS(tblDaily[DeathsUnder24Hrs],tblDaily[EntryDate],DATE(2026,10,28),tblDaily[WardCode],"MAE")=0,"",SUMIFS(tblDaily[DeathsUnder24Hrs],tblDaily[EntryDate],DATE(2026,10,28),tblDaily[WardCode],"MAE")),"")</f>
        <v/>
      </c>
      <c r="F395" s="25">
        <f>IFERROR(IF(SUMIFS(tblDaily[TransfersIn],tblDaily[EntryDate],DATE(2026,10,28),tblDaily[WardCode],"MAE")=0,"",SUMIFS(tblDaily[TransfersIn],tblDaily[EntryDate],DATE(2026,10,28),tblDaily[WardCode],"MAE")),"")</f>
        <v/>
      </c>
      <c r="G395" s="25">
        <f>IFERROR(IF(SUMIFS(tblDaily[TransfersOut],tblDaily[EntryDate],DATE(2026,10,28),tblDaily[WardCode],"MAE")=0,"",SUMIFS(tblDaily[TransfersOut],tblDaily[EntryDate],DATE(2026,10,28),tblDaily[WardCode],"MAE")),"")</f>
        <v/>
      </c>
      <c r="H395" s="25">
        <f>IFERROR(IF(SUMIFS(tblDaily[Remaining],tblDaily[EntryDate],DATE(2026,10,28),tblDaily[WardCode],"MAE")=0,"",SUMIFS(tblDaily[Remaining],tblDaily[EntryDate],DATE(2026,10,28),tblDaily[WardCode],"MAE")),"")</f>
        <v/>
      </c>
      <c r="I395" s="25">
        <f>IFERROR(IF(SUMIFS(tblDaily[Admissions],tblDaily[EntryDate],DATE(2026,10,28),tblDaily[WardCode],"FAE")=0,"",SUMIFS(tblDaily[Admissions],tblDaily[EntryDate],DATE(2026,10,28),tblDaily[WardCode],"FAE")),"")</f>
        <v/>
      </c>
      <c r="J395" s="25">
        <f>IFERROR(IF(SUMIFS(tblDaily[Discharges],tblDaily[EntryDate],DATE(2026,10,28),tblDaily[WardCode],"FAE")=0,"",SUMIFS(tblDaily[Discharges],tblDaily[EntryDate],DATE(2026,10,28),tblDaily[WardCode],"FAE")),"")</f>
        <v/>
      </c>
      <c r="K395" s="25">
        <f>IFERROR(IF(SUMIFS(tblDaily[Deaths],tblDaily[EntryDate],DATE(2026,10,28),tblDaily[WardCode],"FAE")=0,"",SUMIFS(tblDaily[Deaths],tblDaily[EntryDate],DATE(2026,10,28),tblDaily[WardCode],"FAE")),"")</f>
        <v/>
      </c>
      <c r="L395" s="25">
        <f>IFERROR(IF(SUMIFS(tblDaily[DeathsUnder24Hrs],tblDaily[EntryDate],DATE(2026,10,28),tblDaily[WardCode],"FAE")=0,"",SUMIFS(tblDaily[DeathsUnder24Hrs],tblDaily[EntryDate],DATE(2026,10,28),tblDaily[WardCode],"FAE")),"")</f>
        <v/>
      </c>
      <c r="M395" s="25">
        <f>IFERROR(IF(SUMIFS(tblDaily[TransfersIn],tblDaily[EntryDate],DATE(2026,10,28),tblDaily[WardCode],"FAE")=0,"",SUMIFS(tblDaily[TransfersIn],tblDaily[EntryDate],DATE(2026,10,28),tblDaily[WardCode],"FAE")),"")</f>
        <v/>
      </c>
      <c r="N395" s="25">
        <f>IFERROR(IF(SUMIFS(tblDaily[TransfersOut],tblDaily[EntryDate],DATE(2026,10,28),tblDaily[WardCode],"FAE")=0,"",SUMIFS(tblDaily[TransfersOut],tblDaily[EntryDate],DATE(2026,10,28),tblDaily[WardCode],"FAE")),"")</f>
        <v/>
      </c>
      <c r="O395" s="25">
        <f>IFERROR(IF(SUMIFS(tblDaily[Remaining],tblDaily[EntryDate],DATE(2026,10,28),tblDaily[WardCode],"FAE")=0,"",SUMIFS(tblDaily[Remaining],tblDaily[EntryDate],DATE(2026,10,28),tblDaily[WardCode],"FAE")),"")</f>
        <v/>
      </c>
      <c r="P395" s="26">
        <f>IF(AND(H395="", O395=""), "", N(H395) + N(O395))</f>
        <v/>
      </c>
    </row>
    <row r="396">
      <c r="A396" s="25" t="n">
        <v>29</v>
      </c>
      <c r="B396" s="25">
        <f>IFERROR(IF(SUMIFS(tblDaily[Admissions],tblDaily[EntryDate],DATE(2026,10,29),tblDaily[WardCode],"MAE")=0,"",SUMIFS(tblDaily[Admissions],tblDaily[EntryDate],DATE(2026,10,29),tblDaily[WardCode],"MAE")),"")</f>
        <v/>
      </c>
      <c r="C396" s="25">
        <f>IFERROR(IF(SUMIFS(tblDaily[Discharges],tblDaily[EntryDate],DATE(2026,10,29),tblDaily[WardCode],"MAE")=0,"",SUMIFS(tblDaily[Discharges],tblDaily[EntryDate],DATE(2026,10,29),tblDaily[WardCode],"MAE")),"")</f>
        <v/>
      </c>
      <c r="D396" s="25">
        <f>IFERROR(IF(SUMIFS(tblDaily[Deaths],tblDaily[EntryDate],DATE(2026,10,29),tblDaily[WardCode],"MAE")=0,"",SUMIFS(tblDaily[Deaths],tblDaily[EntryDate],DATE(2026,10,29),tblDaily[WardCode],"MAE")),"")</f>
        <v/>
      </c>
      <c r="E396" s="25">
        <f>IFERROR(IF(SUMIFS(tblDaily[DeathsUnder24Hrs],tblDaily[EntryDate],DATE(2026,10,29),tblDaily[WardCode],"MAE")=0,"",SUMIFS(tblDaily[DeathsUnder24Hrs],tblDaily[EntryDate],DATE(2026,10,29),tblDaily[WardCode],"MAE")),"")</f>
        <v/>
      </c>
      <c r="F396" s="25">
        <f>IFERROR(IF(SUMIFS(tblDaily[TransfersIn],tblDaily[EntryDate],DATE(2026,10,29),tblDaily[WardCode],"MAE")=0,"",SUMIFS(tblDaily[TransfersIn],tblDaily[EntryDate],DATE(2026,10,29),tblDaily[WardCode],"MAE")),"")</f>
        <v/>
      </c>
      <c r="G396" s="25">
        <f>IFERROR(IF(SUMIFS(tblDaily[TransfersOut],tblDaily[EntryDate],DATE(2026,10,29),tblDaily[WardCode],"MAE")=0,"",SUMIFS(tblDaily[TransfersOut],tblDaily[EntryDate],DATE(2026,10,29),tblDaily[WardCode],"MAE")),"")</f>
        <v/>
      </c>
      <c r="H396" s="25">
        <f>IFERROR(IF(SUMIFS(tblDaily[Remaining],tblDaily[EntryDate],DATE(2026,10,29),tblDaily[WardCode],"MAE")=0,"",SUMIFS(tblDaily[Remaining],tblDaily[EntryDate],DATE(2026,10,29),tblDaily[WardCode],"MAE")),"")</f>
        <v/>
      </c>
      <c r="I396" s="25">
        <f>IFERROR(IF(SUMIFS(tblDaily[Admissions],tblDaily[EntryDate],DATE(2026,10,29),tblDaily[WardCode],"FAE")=0,"",SUMIFS(tblDaily[Admissions],tblDaily[EntryDate],DATE(2026,10,29),tblDaily[WardCode],"FAE")),"")</f>
        <v/>
      </c>
      <c r="J396" s="25">
        <f>IFERROR(IF(SUMIFS(tblDaily[Discharges],tblDaily[EntryDate],DATE(2026,10,29),tblDaily[WardCode],"FAE")=0,"",SUMIFS(tblDaily[Discharges],tblDaily[EntryDate],DATE(2026,10,29),tblDaily[WardCode],"FAE")),"")</f>
        <v/>
      </c>
      <c r="K396" s="25">
        <f>IFERROR(IF(SUMIFS(tblDaily[Deaths],tblDaily[EntryDate],DATE(2026,10,29),tblDaily[WardCode],"FAE")=0,"",SUMIFS(tblDaily[Deaths],tblDaily[EntryDate],DATE(2026,10,29),tblDaily[WardCode],"FAE")),"")</f>
        <v/>
      </c>
      <c r="L396" s="25">
        <f>IFERROR(IF(SUMIFS(tblDaily[DeathsUnder24Hrs],tblDaily[EntryDate],DATE(2026,10,29),tblDaily[WardCode],"FAE")=0,"",SUMIFS(tblDaily[DeathsUnder24Hrs],tblDaily[EntryDate],DATE(2026,10,29),tblDaily[WardCode],"FAE")),"")</f>
        <v/>
      </c>
      <c r="M396" s="25">
        <f>IFERROR(IF(SUMIFS(tblDaily[TransfersIn],tblDaily[EntryDate],DATE(2026,10,29),tblDaily[WardCode],"FAE")=0,"",SUMIFS(tblDaily[TransfersIn],tblDaily[EntryDate],DATE(2026,10,29),tblDaily[WardCode],"FAE")),"")</f>
        <v/>
      </c>
      <c r="N396" s="25">
        <f>IFERROR(IF(SUMIFS(tblDaily[TransfersOut],tblDaily[EntryDate],DATE(2026,10,29),tblDaily[WardCode],"FAE")=0,"",SUMIFS(tblDaily[TransfersOut],tblDaily[EntryDate],DATE(2026,10,29),tblDaily[WardCode],"FAE")),"")</f>
        <v/>
      </c>
      <c r="O396" s="25">
        <f>IFERROR(IF(SUMIFS(tblDaily[Remaining],tblDaily[EntryDate],DATE(2026,10,29),tblDaily[WardCode],"FAE")=0,"",SUMIFS(tblDaily[Remaining],tblDaily[EntryDate],DATE(2026,10,29),tblDaily[WardCode],"FAE")),"")</f>
        <v/>
      </c>
      <c r="P396" s="26">
        <f>IF(AND(H396="", O396=""), "", N(H396) + N(O396))</f>
        <v/>
      </c>
    </row>
    <row r="397">
      <c r="A397" s="25" t="n">
        <v>30</v>
      </c>
      <c r="B397" s="25">
        <f>IFERROR(IF(SUMIFS(tblDaily[Admissions],tblDaily[EntryDate],DATE(2026,10,30),tblDaily[WardCode],"MAE")=0,"",SUMIFS(tblDaily[Admissions],tblDaily[EntryDate],DATE(2026,10,30),tblDaily[WardCode],"MAE")),"")</f>
        <v/>
      </c>
      <c r="C397" s="25">
        <f>IFERROR(IF(SUMIFS(tblDaily[Discharges],tblDaily[EntryDate],DATE(2026,10,30),tblDaily[WardCode],"MAE")=0,"",SUMIFS(tblDaily[Discharges],tblDaily[EntryDate],DATE(2026,10,30),tblDaily[WardCode],"MAE")),"")</f>
        <v/>
      </c>
      <c r="D397" s="25">
        <f>IFERROR(IF(SUMIFS(tblDaily[Deaths],tblDaily[EntryDate],DATE(2026,10,30),tblDaily[WardCode],"MAE")=0,"",SUMIFS(tblDaily[Deaths],tblDaily[EntryDate],DATE(2026,10,30),tblDaily[WardCode],"MAE")),"")</f>
        <v/>
      </c>
      <c r="E397" s="25">
        <f>IFERROR(IF(SUMIFS(tblDaily[DeathsUnder24Hrs],tblDaily[EntryDate],DATE(2026,10,30),tblDaily[WardCode],"MAE")=0,"",SUMIFS(tblDaily[DeathsUnder24Hrs],tblDaily[EntryDate],DATE(2026,10,30),tblDaily[WardCode],"MAE")),"")</f>
        <v/>
      </c>
      <c r="F397" s="25">
        <f>IFERROR(IF(SUMIFS(tblDaily[TransfersIn],tblDaily[EntryDate],DATE(2026,10,30),tblDaily[WardCode],"MAE")=0,"",SUMIFS(tblDaily[TransfersIn],tblDaily[EntryDate],DATE(2026,10,30),tblDaily[WardCode],"MAE")),"")</f>
        <v/>
      </c>
      <c r="G397" s="25">
        <f>IFERROR(IF(SUMIFS(tblDaily[TransfersOut],tblDaily[EntryDate],DATE(2026,10,30),tblDaily[WardCode],"MAE")=0,"",SUMIFS(tblDaily[TransfersOut],tblDaily[EntryDate],DATE(2026,10,30),tblDaily[WardCode],"MAE")),"")</f>
        <v/>
      </c>
      <c r="H397" s="25">
        <f>IFERROR(IF(SUMIFS(tblDaily[Remaining],tblDaily[EntryDate],DATE(2026,10,30),tblDaily[WardCode],"MAE")=0,"",SUMIFS(tblDaily[Remaining],tblDaily[EntryDate],DATE(2026,10,30),tblDaily[WardCode],"MAE")),"")</f>
        <v/>
      </c>
      <c r="I397" s="25">
        <f>IFERROR(IF(SUMIFS(tblDaily[Admissions],tblDaily[EntryDate],DATE(2026,10,30),tblDaily[WardCode],"FAE")=0,"",SUMIFS(tblDaily[Admissions],tblDaily[EntryDate],DATE(2026,10,30),tblDaily[WardCode],"FAE")),"")</f>
        <v/>
      </c>
      <c r="J397" s="25">
        <f>IFERROR(IF(SUMIFS(tblDaily[Discharges],tblDaily[EntryDate],DATE(2026,10,30),tblDaily[WardCode],"FAE")=0,"",SUMIFS(tblDaily[Discharges],tblDaily[EntryDate],DATE(2026,10,30),tblDaily[WardCode],"FAE")),"")</f>
        <v/>
      </c>
      <c r="K397" s="25">
        <f>IFERROR(IF(SUMIFS(tblDaily[Deaths],tblDaily[EntryDate],DATE(2026,10,30),tblDaily[WardCode],"FAE")=0,"",SUMIFS(tblDaily[Deaths],tblDaily[EntryDate],DATE(2026,10,30),tblDaily[WardCode],"FAE")),"")</f>
        <v/>
      </c>
      <c r="L397" s="25">
        <f>IFERROR(IF(SUMIFS(tblDaily[DeathsUnder24Hrs],tblDaily[EntryDate],DATE(2026,10,30),tblDaily[WardCode],"FAE")=0,"",SUMIFS(tblDaily[DeathsUnder24Hrs],tblDaily[EntryDate],DATE(2026,10,30),tblDaily[WardCode],"FAE")),"")</f>
        <v/>
      </c>
      <c r="M397" s="25">
        <f>IFERROR(IF(SUMIFS(tblDaily[TransfersIn],tblDaily[EntryDate],DATE(2026,10,30),tblDaily[WardCode],"FAE")=0,"",SUMIFS(tblDaily[TransfersIn],tblDaily[EntryDate],DATE(2026,10,30),tblDaily[WardCode],"FAE")),"")</f>
        <v/>
      </c>
      <c r="N397" s="25">
        <f>IFERROR(IF(SUMIFS(tblDaily[TransfersOut],tblDaily[EntryDate],DATE(2026,10,30),tblDaily[WardCode],"FAE")=0,"",SUMIFS(tblDaily[TransfersOut],tblDaily[EntryDate],DATE(2026,10,30),tblDaily[WardCode],"FAE")),"")</f>
        <v/>
      </c>
      <c r="O397" s="25">
        <f>IFERROR(IF(SUMIFS(tblDaily[Remaining],tblDaily[EntryDate],DATE(2026,10,30),tblDaily[WardCode],"FAE")=0,"",SUMIFS(tblDaily[Remaining],tblDaily[EntryDate],DATE(2026,10,30),tblDaily[WardCode],"FAE")),"")</f>
        <v/>
      </c>
      <c r="P397" s="26">
        <f>IF(AND(H397="", O397=""), "", N(H397) + N(O397))</f>
        <v/>
      </c>
    </row>
    <row r="398">
      <c r="A398" s="25" t="n">
        <v>31</v>
      </c>
      <c r="B398" s="25">
        <f>IFERROR(IF(SUMIFS(tblDaily[Admissions],tblDaily[EntryDate],DATE(2026,10,31),tblDaily[WardCode],"MAE")=0,"",SUMIFS(tblDaily[Admissions],tblDaily[EntryDate],DATE(2026,10,31),tblDaily[WardCode],"MAE")),"")</f>
        <v/>
      </c>
      <c r="C398" s="25">
        <f>IFERROR(IF(SUMIFS(tblDaily[Discharges],tblDaily[EntryDate],DATE(2026,10,31),tblDaily[WardCode],"MAE")=0,"",SUMIFS(tblDaily[Discharges],tblDaily[EntryDate],DATE(2026,10,31),tblDaily[WardCode],"MAE")),"")</f>
        <v/>
      </c>
      <c r="D398" s="25">
        <f>IFERROR(IF(SUMIFS(tblDaily[Deaths],tblDaily[EntryDate],DATE(2026,10,31),tblDaily[WardCode],"MAE")=0,"",SUMIFS(tblDaily[Deaths],tblDaily[EntryDate],DATE(2026,10,31),tblDaily[WardCode],"MAE")),"")</f>
        <v/>
      </c>
      <c r="E398" s="25">
        <f>IFERROR(IF(SUMIFS(tblDaily[DeathsUnder24Hrs],tblDaily[EntryDate],DATE(2026,10,31),tblDaily[WardCode],"MAE")=0,"",SUMIFS(tblDaily[DeathsUnder24Hrs],tblDaily[EntryDate],DATE(2026,10,31),tblDaily[WardCode],"MAE")),"")</f>
        <v/>
      </c>
      <c r="F398" s="25">
        <f>IFERROR(IF(SUMIFS(tblDaily[TransfersIn],tblDaily[EntryDate],DATE(2026,10,31),tblDaily[WardCode],"MAE")=0,"",SUMIFS(tblDaily[TransfersIn],tblDaily[EntryDate],DATE(2026,10,31),tblDaily[WardCode],"MAE")),"")</f>
        <v/>
      </c>
      <c r="G398" s="25">
        <f>IFERROR(IF(SUMIFS(tblDaily[TransfersOut],tblDaily[EntryDate],DATE(2026,10,31),tblDaily[WardCode],"MAE")=0,"",SUMIFS(tblDaily[TransfersOut],tblDaily[EntryDate],DATE(2026,10,31),tblDaily[WardCode],"MAE")),"")</f>
        <v/>
      </c>
      <c r="H398" s="25">
        <f>IFERROR(IF(SUMIFS(tblDaily[Remaining],tblDaily[EntryDate],DATE(2026,10,31),tblDaily[WardCode],"MAE")=0,"",SUMIFS(tblDaily[Remaining],tblDaily[EntryDate],DATE(2026,10,31),tblDaily[WardCode],"MAE")),"")</f>
        <v/>
      </c>
      <c r="I398" s="25">
        <f>IFERROR(IF(SUMIFS(tblDaily[Admissions],tblDaily[EntryDate],DATE(2026,10,31),tblDaily[WardCode],"FAE")=0,"",SUMIFS(tblDaily[Admissions],tblDaily[EntryDate],DATE(2026,10,31),tblDaily[WardCode],"FAE")),"")</f>
        <v/>
      </c>
      <c r="J398" s="25">
        <f>IFERROR(IF(SUMIFS(tblDaily[Discharges],tblDaily[EntryDate],DATE(2026,10,31),tblDaily[WardCode],"FAE")=0,"",SUMIFS(tblDaily[Discharges],tblDaily[EntryDate],DATE(2026,10,31),tblDaily[WardCode],"FAE")),"")</f>
        <v/>
      </c>
      <c r="K398" s="25">
        <f>IFERROR(IF(SUMIFS(tblDaily[Deaths],tblDaily[EntryDate],DATE(2026,10,31),tblDaily[WardCode],"FAE")=0,"",SUMIFS(tblDaily[Deaths],tblDaily[EntryDate],DATE(2026,10,31),tblDaily[WardCode],"FAE")),"")</f>
        <v/>
      </c>
      <c r="L398" s="25">
        <f>IFERROR(IF(SUMIFS(tblDaily[DeathsUnder24Hrs],tblDaily[EntryDate],DATE(2026,10,31),tblDaily[WardCode],"FAE")=0,"",SUMIFS(tblDaily[DeathsUnder24Hrs],tblDaily[EntryDate],DATE(2026,10,31),tblDaily[WardCode],"FAE")),"")</f>
        <v/>
      </c>
      <c r="M398" s="25">
        <f>IFERROR(IF(SUMIFS(tblDaily[TransfersIn],tblDaily[EntryDate],DATE(2026,10,31),tblDaily[WardCode],"FAE")=0,"",SUMIFS(tblDaily[TransfersIn],tblDaily[EntryDate],DATE(2026,10,31),tblDaily[WardCode],"FAE")),"")</f>
        <v/>
      </c>
      <c r="N398" s="25">
        <f>IFERROR(IF(SUMIFS(tblDaily[TransfersOut],tblDaily[EntryDate],DATE(2026,10,31),tblDaily[WardCode],"FAE")=0,"",SUMIFS(tblDaily[TransfersOut],tblDaily[EntryDate],DATE(2026,10,31),tblDaily[WardCode],"FAE")),"")</f>
        <v/>
      </c>
      <c r="O398" s="25">
        <f>IFERROR(IF(SUMIFS(tblDaily[Remaining],tblDaily[EntryDate],DATE(2026,10,31),tblDaily[WardCode],"FAE")=0,"",SUMIFS(tblDaily[Remaining],tblDaily[EntryDate],DATE(2026,10,31),tblDaily[WardCode],"FAE")),"")</f>
        <v/>
      </c>
      <c r="P398" s="26">
        <f>IF(AND(H398="", O398=""), "", N(H398) + N(O398))</f>
        <v/>
      </c>
    </row>
    <row r="399">
      <c r="A399" s="17" t="inlineStr">
        <is>
          <t>TOTAL</t>
        </is>
      </c>
      <c r="B399" s="17">
        <f>SUMIFS(tblDaily[Admissions],tblDaily[Month],10,tblDaily[WardCode],"MAE") - SUMIFS(tblDaily[DeathsUnder24Hrs],tblDaily[Month],10,tblDaily[WardCode],"MAE")</f>
        <v/>
      </c>
      <c r="C399" s="17">
        <f>SUMIFS(tblDaily[Discharges],tblDaily[Month],10,tblDaily[WardCode],"MAE")</f>
        <v/>
      </c>
      <c r="D399" s="17">
        <f>SUMIFS(tblDaily[Deaths],tblDaily[Month],10,tblDaily[WardCode],"MAE")</f>
        <v/>
      </c>
      <c r="E399" s="17">
        <f>SUMIFS(tblDaily[DeathsUnder24Hrs],tblDaily[Month],10,tblDaily[WardCode],"MAE")</f>
        <v/>
      </c>
      <c r="F399" s="17">
        <f>SUMIFS(tblDaily[TransfersIn],tblDaily[Month],10,tblDaily[WardCode],"MAE")</f>
        <v/>
      </c>
      <c r="G399" s="17">
        <f>SUMIFS(tblDaily[TransfersOut],tblDaily[Month],10,tblDaily[WardCode],"MAE")</f>
        <v/>
      </c>
      <c r="H399" s="17">
        <f>SUMIFS(tblDaily[Remaining],tblDaily[Month],10,tblDaily[WardCode],"MAE")</f>
        <v/>
      </c>
      <c r="I399" s="17">
        <f>SUMIFS(tblDaily[Admissions],tblDaily[Month],10,tblDaily[WardCode],"FAE") - SUMIFS(tblDaily[DeathsUnder24Hrs],tblDaily[Month],10,tblDaily[WardCode],"FAE")</f>
        <v/>
      </c>
      <c r="J399" s="17">
        <f>SUMIFS(tblDaily[Discharges],tblDaily[Month],10,tblDaily[WardCode],"FAE")</f>
        <v/>
      </c>
      <c r="K399" s="17">
        <f>SUMIFS(tblDaily[Deaths],tblDaily[Month],10,tblDaily[WardCode],"FAE")</f>
        <v/>
      </c>
      <c r="L399" s="17">
        <f>SUMIFS(tblDaily[DeathsUnder24Hrs],tblDaily[Month],10,tblDaily[WardCode],"FAE")</f>
        <v/>
      </c>
      <c r="M399" s="17">
        <f>SUMIFS(tblDaily[TransfersIn],tblDaily[Month],10,tblDaily[WardCode],"FAE")</f>
        <v/>
      </c>
      <c r="N399" s="17">
        <f>SUMIFS(tblDaily[TransfersOut],tblDaily[Month],10,tblDaily[WardCode],"FAE")</f>
        <v/>
      </c>
      <c r="O399" s="17">
        <f>SUMIFS(tblDaily[Remaining],tblDaily[Month],10,tblDaily[WardCode],"FAE")</f>
        <v/>
      </c>
      <c r="P399" s="17">
        <f>H399 + O399</f>
        <v/>
      </c>
    </row>
    <row r="401">
      <c r="A401" s="19" t="inlineStr">
        <is>
          <t>GHANA HEALTH SERVICE</t>
        </is>
      </c>
    </row>
    <row r="402">
      <c r="A402" s="2" t="inlineStr">
        <is>
          <t>DAILY BED UTILIZATION FORM</t>
        </is>
      </c>
    </row>
    <row r="403">
      <c r="A403" s="4" t="inlineStr">
        <is>
          <t>Hospital:</t>
        </is>
      </c>
      <c r="B403" s="5" t="inlineStr">
        <is>
          <t>HOHOE MUNICIPAL HOSPITAL</t>
        </is>
      </c>
      <c r="E403" s="4" t="inlineStr">
        <is>
          <t>Ward:</t>
        </is>
      </c>
      <c r="F403" s="4" t="inlineStr">
        <is>
          <t>EMERGENCY (COMBINED)</t>
        </is>
      </c>
      <c r="M403" s="4" t="inlineStr">
        <is>
          <t>MONTH</t>
        </is>
      </c>
      <c r="N403" s="4" t="inlineStr">
        <is>
          <t>NOVEMBER</t>
        </is>
      </c>
    </row>
    <row r="404">
      <c r="A404" s="4" t="inlineStr">
        <is>
          <t>Number of patients remaining as at last day of previous month</t>
        </is>
      </c>
      <c r="B404" s="20">
        <f>IFERROR(SUMIFS(tblDaily[Remaining],tblDaily[EntryDate],DATE(2026,10,31),tblDaily[WardCode],"MAE"),0)</f>
        <v/>
      </c>
      <c r="I404" s="20">
        <f>IFERROR(SUMIFS(tblDaily[Remaining],tblDaily[EntryDate],DATE(2026,10,31),tblDaily[WardCode],"FAE"),0)</f>
        <v/>
      </c>
    </row>
    <row r="405">
      <c r="A405" s="4" t="inlineStr">
        <is>
          <t>Bed complement</t>
        </is>
      </c>
      <c r="B405" s="20">
        <f>IFERROR(INDEX(tblWardConfig[BedComplement],MATCH("MAE",tblWardConfig[WardCode],0)),0)</f>
        <v/>
      </c>
      <c r="I405" s="20">
        <f>IFERROR(INDEX(tblWardConfig[BedComplement],MATCH("FAE",tblWardConfig[WardCode],0)),0)</f>
        <v/>
      </c>
      <c r="O405" s="21">
        <f>B405+I405</f>
        <v/>
      </c>
    </row>
    <row r="406">
      <c r="A406" s="11" t="inlineStr">
        <is>
          <t>Day</t>
        </is>
      </c>
      <c r="B406" s="22" t="inlineStr">
        <is>
          <t>MALE EMERGENCY</t>
        </is>
      </c>
      <c r="I406" s="23" t="inlineStr">
        <is>
          <t>FEMALE EMERGENCY</t>
        </is>
      </c>
      <c r="P406" s="24" t="inlineStr">
        <is>
          <t>TOTAL</t>
        </is>
      </c>
    </row>
    <row r="407">
      <c r="A407" s="11" t="inlineStr">
        <is>
          <t>Day</t>
        </is>
      </c>
      <c r="B407" s="11" t="inlineStr">
        <is>
          <t>Adm</t>
        </is>
      </c>
      <c r="C407" s="11" t="inlineStr">
        <is>
          <t>Dis</t>
        </is>
      </c>
      <c r="D407" s="11" t="inlineStr">
        <is>
          <t>Dth</t>
        </is>
      </c>
      <c r="E407" s="11" t="inlineStr">
        <is>
          <t>D&lt;24</t>
        </is>
      </c>
      <c r="F407" s="11" t="inlineStr">
        <is>
          <t>TrIn</t>
        </is>
      </c>
      <c r="G407" s="11" t="inlineStr">
        <is>
          <t>TrOut</t>
        </is>
      </c>
      <c r="H407" s="11" t="inlineStr">
        <is>
          <t>Rem</t>
        </is>
      </c>
      <c r="I407" s="11" t="inlineStr">
        <is>
          <t>Adm</t>
        </is>
      </c>
      <c r="J407" s="11" t="inlineStr">
        <is>
          <t>Dis</t>
        </is>
      </c>
      <c r="K407" s="11" t="inlineStr">
        <is>
          <t>Dth</t>
        </is>
      </c>
      <c r="L407" s="11" t="inlineStr">
        <is>
          <t>D&lt;24</t>
        </is>
      </c>
      <c r="M407" s="11" t="inlineStr">
        <is>
          <t>TrIn</t>
        </is>
      </c>
      <c r="N407" s="11" t="inlineStr">
        <is>
          <t>TrOut</t>
        </is>
      </c>
      <c r="O407" s="11" t="inlineStr">
        <is>
          <t>Rem</t>
        </is>
      </c>
      <c r="P407" s="11" t="inlineStr">
        <is>
          <t>Tot
Rem</t>
        </is>
      </c>
    </row>
    <row r="408">
      <c r="A408" s="25" t="n">
        <v>1</v>
      </c>
      <c r="B408" s="25">
        <f>IFERROR(IF(SUMIFS(tblDaily[Admissions],tblDaily[EntryDate],DATE(2026,11,1),tblDaily[WardCode],"MAE")=0,"",SUMIFS(tblDaily[Admissions],tblDaily[EntryDate],DATE(2026,11,1),tblDaily[WardCode],"MAE")),"")</f>
        <v/>
      </c>
      <c r="C408" s="25">
        <f>IFERROR(IF(SUMIFS(tblDaily[Discharges],tblDaily[EntryDate],DATE(2026,11,1),tblDaily[WardCode],"MAE")=0,"",SUMIFS(tblDaily[Discharges],tblDaily[EntryDate],DATE(2026,11,1),tblDaily[WardCode],"MAE")),"")</f>
        <v/>
      </c>
      <c r="D408" s="25">
        <f>IFERROR(IF(SUMIFS(tblDaily[Deaths],tblDaily[EntryDate],DATE(2026,11,1),tblDaily[WardCode],"MAE")=0,"",SUMIFS(tblDaily[Deaths],tblDaily[EntryDate],DATE(2026,11,1),tblDaily[WardCode],"MAE")),"")</f>
        <v/>
      </c>
      <c r="E408" s="25">
        <f>IFERROR(IF(SUMIFS(tblDaily[DeathsUnder24Hrs],tblDaily[EntryDate],DATE(2026,11,1),tblDaily[WardCode],"MAE")=0,"",SUMIFS(tblDaily[DeathsUnder24Hrs],tblDaily[EntryDate],DATE(2026,11,1),tblDaily[WardCode],"MAE")),"")</f>
        <v/>
      </c>
      <c r="F408" s="25">
        <f>IFERROR(IF(SUMIFS(tblDaily[TransfersIn],tblDaily[EntryDate],DATE(2026,11,1),tblDaily[WardCode],"MAE")=0,"",SUMIFS(tblDaily[TransfersIn],tblDaily[EntryDate],DATE(2026,11,1),tblDaily[WardCode],"MAE")),"")</f>
        <v/>
      </c>
      <c r="G408" s="25">
        <f>IFERROR(IF(SUMIFS(tblDaily[TransfersOut],tblDaily[EntryDate],DATE(2026,11,1),tblDaily[WardCode],"MAE")=0,"",SUMIFS(tblDaily[TransfersOut],tblDaily[EntryDate],DATE(2026,11,1),tblDaily[WardCode],"MAE")),"")</f>
        <v/>
      </c>
      <c r="H408" s="25">
        <f>IFERROR(IF(SUMIFS(tblDaily[Remaining],tblDaily[EntryDate],DATE(2026,11,1),tblDaily[WardCode],"MAE")=0,"",SUMIFS(tblDaily[Remaining],tblDaily[EntryDate],DATE(2026,11,1),tblDaily[WardCode],"MAE")),"")</f>
        <v/>
      </c>
      <c r="I408" s="25">
        <f>IFERROR(IF(SUMIFS(tblDaily[Admissions],tblDaily[EntryDate],DATE(2026,11,1),tblDaily[WardCode],"FAE")=0,"",SUMIFS(tblDaily[Admissions],tblDaily[EntryDate],DATE(2026,11,1),tblDaily[WardCode],"FAE")),"")</f>
        <v/>
      </c>
      <c r="J408" s="25">
        <f>IFERROR(IF(SUMIFS(tblDaily[Discharges],tblDaily[EntryDate],DATE(2026,11,1),tblDaily[WardCode],"FAE")=0,"",SUMIFS(tblDaily[Discharges],tblDaily[EntryDate],DATE(2026,11,1),tblDaily[WardCode],"FAE")),"")</f>
        <v/>
      </c>
      <c r="K408" s="25">
        <f>IFERROR(IF(SUMIFS(tblDaily[Deaths],tblDaily[EntryDate],DATE(2026,11,1),tblDaily[WardCode],"FAE")=0,"",SUMIFS(tblDaily[Deaths],tblDaily[EntryDate],DATE(2026,11,1),tblDaily[WardCode],"FAE")),"")</f>
        <v/>
      </c>
      <c r="L408" s="25">
        <f>IFERROR(IF(SUMIFS(tblDaily[DeathsUnder24Hrs],tblDaily[EntryDate],DATE(2026,11,1),tblDaily[WardCode],"FAE")=0,"",SUMIFS(tblDaily[DeathsUnder24Hrs],tblDaily[EntryDate],DATE(2026,11,1),tblDaily[WardCode],"FAE")),"")</f>
        <v/>
      </c>
      <c r="M408" s="25">
        <f>IFERROR(IF(SUMIFS(tblDaily[TransfersIn],tblDaily[EntryDate],DATE(2026,11,1),tblDaily[WardCode],"FAE")=0,"",SUMIFS(tblDaily[TransfersIn],tblDaily[EntryDate],DATE(2026,11,1),tblDaily[WardCode],"FAE")),"")</f>
        <v/>
      </c>
      <c r="N408" s="25">
        <f>IFERROR(IF(SUMIFS(tblDaily[TransfersOut],tblDaily[EntryDate],DATE(2026,11,1),tblDaily[WardCode],"FAE")=0,"",SUMIFS(tblDaily[TransfersOut],tblDaily[EntryDate],DATE(2026,11,1),tblDaily[WardCode],"FAE")),"")</f>
        <v/>
      </c>
      <c r="O408" s="25">
        <f>IFERROR(IF(SUMIFS(tblDaily[Remaining],tblDaily[EntryDate],DATE(2026,11,1),tblDaily[WardCode],"FAE")=0,"",SUMIFS(tblDaily[Remaining],tblDaily[EntryDate],DATE(2026,11,1),tblDaily[WardCode],"FAE")),"")</f>
        <v/>
      </c>
      <c r="P408" s="26">
        <f>IF(AND(H408="", O408=""), "", N(H408) + N(O408))</f>
        <v/>
      </c>
    </row>
    <row r="409">
      <c r="A409" s="25" t="n">
        <v>2</v>
      </c>
      <c r="B409" s="25">
        <f>IFERROR(IF(SUMIFS(tblDaily[Admissions],tblDaily[EntryDate],DATE(2026,11,2),tblDaily[WardCode],"MAE")=0,"",SUMIFS(tblDaily[Admissions],tblDaily[EntryDate],DATE(2026,11,2),tblDaily[WardCode],"MAE")),"")</f>
        <v/>
      </c>
      <c r="C409" s="25">
        <f>IFERROR(IF(SUMIFS(tblDaily[Discharges],tblDaily[EntryDate],DATE(2026,11,2),tblDaily[WardCode],"MAE")=0,"",SUMIFS(tblDaily[Discharges],tblDaily[EntryDate],DATE(2026,11,2),tblDaily[WardCode],"MAE")),"")</f>
        <v/>
      </c>
      <c r="D409" s="25">
        <f>IFERROR(IF(SUMIFS(tblDaily[Deaths],tblDaily[EntryDate],DATE(2026,11,2),tblDaily[WardCode],"MAE")=0,"",SUMIFS(tblDaily[Deaths],tblDaily[EntryDate],DATE(2026,11,2),tblDaily[WardCode],"MAE")),"")</f>
        <v/>
      </c>
      <c r="E409" s="25">
        <f>IFERROR(IF(SUMIFS(tblDaily[DeathsUnder24Hrs],tblDaily[EntryDate],DATE(2026,11,2),tblDaily[WardCode],"MAE")=0,"",SUMIFS(tblDaily[DeathsUnder24Hrs],tblDaily[EntryDate],DATE(2026,11,2),tblDaily[WardCode],"MAE")),"")</f>
        <v/>
      </c>
      <c r="F409" s="25">
        <f>IFERROR(IF(SUMIFS(tblDaily[TransfersIn],tblDaily[EntryDate],DATE(2026,11,2),tblDaily[WardCode],"MAE")=0,"",SUMIFS(tblDaily[TransfersIn],tblDaily[EntryDate],DATE(2026,11,2),tblDaily[WardCode],"MAE")),"")</f>
        <v/>
      </c>
      <c r="G409" s="25">
        <f>IFERROR(IF(SUMIFS(tblDaily[TransfersOut],tblDaily[EntryDate],DATE(2026,11,2),tblDaily[WardCode],"MAE")=0,"",SUMIFS(tblDaily[TransfersOut],tblDaily[EntryDate],DATE(2026,11,2),tblDaily[WardCode],"MAE")),"")</f>
        <v/>
      </c>
      <c r="H409" s="25">
        <f>IFERROR(IF(SUMIFS(tblDaily[Remaining],tblDaily[EntryDate],DATE(2026,11,2),tblDaily[WardCode],"MAE")=0,"",SUMIFS(tblDaily[Remaining],tblDaily[EntryDate],DATE(2026,11,2),tblDaily[WardCode],"MAE")),"")</f>
        <v/>
      </c>
      <c r="I409" s="25">
        <f>IFERROR(IF(SUMIFS(tblDaily[Admissions],tblDaily[EntryDate],DATE(2026,11,2),tblDaily[WardCode],"FAE")=0,"",SUMIFS(tblDaily[Admissions],tblDaily[EntryDate],DATE(2026,11,2),tblDaily[WardCode],"FAE")),"")</f>
        <v/>
      </c>
      <c r="J409" s="25">
        <f>IFERROR(IF(SUMIFS(tblDaily[Discharges],tblDaily[EntryDate],DATE(2026,11,2),tblDaily[WardCode],"FAE")=0,"",SUMIFS(tblDaily[Discharges],tblDaily[EntryDate],DATE(2026,11,2),tblDaily[WardCode],"FAE")),"")</f>
        <v/>
      </c>
      <c r="K409" s="25">
        <f>IFERROR(IF(SUMIFS(tblDaily[Deaths],tblDaily[EntryDate],DATE(2026,11,2),tblDaily[WardCode],"FAE")=0,"",SUMIFS(tblDaily[Deaths],tblDaily[EntryDate],DATE(2026,11,2),tblDaily[WardCode],"FAE")),"")</f>
        <v/>
      </c>
      <c r="L409" s="25">
        <f>IFERROR(IF(SUMIFS(tblDaily[DeathsUnder24Hrs],tblDaily[EntryDate],DATE(2026,11,2),tblDaily[WardCode],"FAE")=0,"",SUMIFS(tblDaily[DeathsUnder24Hrs],tblDaily[EntryDate],DATE(2026,11,2),tblDaily[WardCode],"FAE")),"")</f>
        <v/>
      </c>
      <c r="M409" s="25">
        <f>IFERROR(IF(SUMIFS(tblDaily[TransfersIn],tblDaily[EntryDate],DATE(2026,11,2),tblDaily[WardCode],"FAE")=0,"",SUMIFS(tblDaily[TransfersIn],tblDaily[EntryDate],DATE(2026,11,2),tblDaily[WardCode],"FAE")),"")</f>
        <v/>
      </c>
      <c r="N409" s="25">
        <f>IFERROR(IF(SUMIFS(tblDaily[TransfersOut],tblDaily[EntryDate],DATE(2026,11,2),tblDaily[WardCode],"FAE")=0,"",SUMIFS(tblDaily[TransfersOut],tblDaily[EntryDate],DATE(2026,11,2),tblDaily[WardCode],"FAE")),"")</f>
        <v/>
      </c>
      <c r="O409" s="25">
        <f>IFERROR(IF(SUMIFS(tblDaily[Remaining],tblDaily[EntryDate],DATE(2026,11,2),tblDaily[WardCode],"FAE")=0,"",SUMIFS(tblDaily[Remaining],tblDaily[EntryDate],DATE(2026,11,2),tblDaily[WardCode],"FAE")),"")</f>
        <v/>
      </c>
      <c r="P409" s="26">
        <f>IF(AND(H409="", O409=""), "", N(H409) + N(O409))</f>
        <v/>
      </c>
    </row>
    <row r="410">
      <c r="A410" s="25" t="n">
        <v>3</v>
      </c>
      <c r="B410" s="25">
        <f>IFERROR(IF(SUMIFS(tblDaily[Admissions],tblDaily[EntryDate],DATE(2026,11,3),tblDaily[WardCode],"MAE")=0,"",SUMIFS(tblDaily[Admissions],tblDaily[EntryDate],DATE(2026,11,3),tblDaily[WardCode],"MAE")),"")</f>
        <v/>
      </c>
      <c r="C410" s="25">
        <f>IFERROR(IF(SUMIFS(tblDaily[Discharges],tblDaily[EntryDate],DATE(2026,11,3),tblDaily[WardCode],"MAE")=0,"",SUMIFS(tblDaily[Discharges],tblDaily[EntryDate],DATE(2026,11,3),tblDaily[WardCode],"MAE")),"")</f>
        <v/>
      </c>
      <c r="D410" s="25">
        <f>IFERROR(IF(SUMIFS(tblDaily[Deaths],tblDaily[EntryDate],DATE(2026,11,3),tblDaily[WardCode],"MAE")=0,"",SUMIFS(tblDaily[Deaths],tblDaily[EntryDate],DATE(2026,11,3),tblDaily[WardCode],"MAE")),"")</f>
        <v/>
      </c>
      <c r="E410" s="25">
        <f>IFERROR(IF(SUMIFS(tblDaily[DeathsUnder24Hrs],tblDaily[EntryDate],DATE(2026,11,3),tblDaily[WardCode],"MAE")=0,"",SUMIFS(tblDaily[DeathsUnder24Hrs],tblDaily[EntryDate],DATE(2026,11,3),tblDaily[WardCode],"MAE")),"")</f>
        <v/>
      </c>
      <c r="F410" s="25">
        <f>IFERROR(IF(SUMIFS(tblDaily[TransfersIn],tblDaily[EntryDate],DATE(2026,11,3),tblDaily[WardCode],"MAE")=0,"",SUMIFS(tblDaily[TransfersIn],tblDaily[EntryDate],DATE(2026,11,3),tblDaily[WardCode],"MAE")),"")</f>
        <v/>
      </c>
      <c r="G410" s="25">
        <f>IFERROR(IF(SUMIFS(tblDaily[TransfersOut],tblDaily[EntryDate],DATE(2026,11,3),tblDaily[WardCode],"MAE")=0,"",SUMIFS(tblDaily[TransfersOut],tblDaily[EntryDate],DATE(2026,11,3),tblDaily[WardCode],"MAE")),"")</f>
        <v/>
      </c>
      <c r="H410" s="25">
        <f>IFERROR(IF(SUMIFS(tblDaily[Remaining],tblDaily[EntryDate],DATE(2026,11,3),tblDaily[WardCode],"MAE")=0,"",SUMIFS(tblDaily[Remaining],tblDaily[EntryDate],DATE(2026,11,3),tblDaily[WardCode],"MAE")),"")</f>
        <v/>
      </c>
      <c r="I410" s="25">
        <f>IFERROR(IF(SUMIFS(tblDaily[Admissions],tblDaily[EntryDate],DATE(2026,11,3),tblDaily[WardCode],"FAE")=0,"",SUMIFS(tblDaily[Admissions],tblDaily[EntryDate],DATE(2026,11,3),tblDaily[WardCode],"FAE")),"")</f>
        <v/>
      </c>
      <c r="J410" s="25">
        <f>IFERROR(IF(SUMIFS(tblDaily[Discharges],tblDaily[EntryDate],DATE(2026,11,3),tblDaily[WardCode],"FAE")=0,"",SUMIFS(tblDaily[Discharges],tblDaily[EntryDate],DATE(2026,11,3),tblDaily[WardCode],"FAE")),"")</f>
        <v/>
      </c>
      <c r="K410" s="25">
        <f>IFERROR(IF(SUMIFS(tblDaily[Deaths],tblDaily[EntryDate],DATE(2026,11,3),tblDaily[WardCode],"FAE")=0,"",SUMIFS(tblDaily[Deaths],tblDaily[EntryDate],DATE(2026,11,3),tblDaily[WardCode],"FAE")),"")</f>
        <v/>
      </c>
      <c r="L410" s="25">
        <f>IFERROR(IF(SUMIFS(tblDaily[DeathsUnder24Hrs],tblDaily[EntryDate],DATE(2026,11,3),tblDaily[WardCode],"FAE")=0,"",SUMIFS(tblDaily[DeathsUnder24Hrs],tblDaily[EntryDate],DATE(2026,11,3),tblDaily[WardCode],"FAE")),"")</f>
        <v/>
      </c>
      <c r="M410" s="25">
        <f>IFERROR(IF(SUMIFS(tblDaily[TransfersIn],tblDaily[EntryDate],DATE(2026,11,3),tblDaily[WardCode],"FAE")=0,"",SUMIFS(tblDaily[TransfersIn],tblDaily[EntryDate],DATE(2026,11,3),tblDaily[WardCode],"FAE")),"")</f>
        <v/>
      </c>
      <c r="N410" s="25">
        <f>IFERROR(IF(SUMIFS(tblDaily[TransfersOut],tblDaily[EntryDate],DATE(2026,11,3),tblDaily[WardCode],"FAE")=0,"",SUMIFS(tblDaily[TransfersOut],tblDaily[EntryDate],DATE(2026,11,3),tblDaily[WardCode],"FAE")),"")</f>
        <v/>
      </c>
      <c r="O410" s="25">
        <f>IFERROR(IF(SUMIFS(tblDaily[Remaining],tblDaily[EntryDate],DATE(2026,11,3),tblDaily[WardCode],"FAE")=0,"",SUMIFS(tblDaily[Remaining],tblDaily[EntryDate],DATE(2026,11,3),tblDaily[WardCode],"FAE")),"")</f>
        <v/>
      </c>
      <c r="P410" s="26">
        <f>IF(AND(H410="", O410=""), "", N(H410) + N(O410))</f>
        <v/>
      </c>
    </row>
    <row r="411">
      <c r="A411" s="25" t="n">
        <v>4</v>
      </c>
      <c r="B411" s="25">
        <f>IFERROR(IF(SUMIFS(tblDaily[Admissions],tblDaily[EntryDate],DATE(2026,11,4),tblDaily[WardCode],"MAE")=0,"",SUMIFS(tblDaily[Admissions],tblDaily[EntryDate],DATE(2026,11,4),tblDaily[WardCode],"MAE")),"")</f>
        <v/>
      </c>
      <c r="C411" s="25">
        <f>IFERROR(IF(SUMIFS(tblDaily[Discharges],tblDaily[EntryDate],DATE(2026,11,4),tblDaily[WardCode],"MAE")=0,"",SUMIFS(tblDaily[Discharges],tblDaily[EntryDate],DATE(2026,11,4),tblDaily[WardCode],"MAE")),"")</f>
        <v/>
      </c>
      <c r="D411" s="25">
        <f>IFERROR(IF(SUMIFS(tblDaily[Deaths],tblDaily[EntryDate],DATE(2026,11,4),tblDaily[WardCode],"MAE")=0,"",SUMIFS(tblDaily[Deaths],tblDaily[EntryDate],DATE(2026,11,4),tblDaily[WardCode],"MAE")),"")</f>
        <v/>
      </c>
      <c r="E411" s="25">
        <f>IFERROR(IF(SUMIFS(tblDaily[DeathsUnder24Hrs],tblDaily[EntryDate],DATE(2026,11,4),tblDaily[WardCode],"MAE")=0,"",SUMIFS(tblDaily[DeathsUnder24Hrs],tblDaily[EntryDate],DATE(2026,11,4),tblDaily[WardCode],"MAE")),"")</f>
        <v/>
      </c>
      <c r="F411" s="25">
        <f>IFERROR(IF(SUMIFS(tblDaily[TransfersIn],tblDaily[EntryDate],DATE(2026,11,4),tblDaily[WardCode],"MAE")=0,"",SUMIFS(tblDaily[TransfersIn],tblDaily[EntryDate],DATE(2026,11,4),tblDaily[WardCode],"MAE")),"")</f>
        <v/>
      </c>
      <c r="G411" s="25">
        <f>IFERROR(IF(SUMIFS(tblDaily[TransfersOut],tblDaily[EntryDate],DATE(2026,11,4),tblDaily[WardCode],"MAE")=0,"",SUMIFS(tblDaily[TransfersOut],tblDaily[EntryDate],DATE(2026,11,4),tblDaily[WardCode],"MAE")),"")</f>
        <v/>
      </c>
      <c r="H411" s="25">
        <f>IFERROR(IF(SUMIFS(tblDaily[Remaining],tblDaily[EntryDate],DATE(2026,11,4),tblDaily[WardCode],"MAE")=0,"",SUMIFS(tblDaily[Remaining],tblDaily[EntryDate],DATE(2026,11,4),tblDaily[WardCode],"MAE")),"")</f>
        <v/>
      </c>
      <c r="I411" s="25">
        <f>IFERROR(IF(SUMIFS(tblDaily[Admissions],tblDaily[EntryDate],DATE(2026,11,4),tblDaily[WardCode],"FAE")=0,"",SUMIFS(tblDaily[Admissions],tblDaily[EntryDate],DATE(2026,11,4),tblDaily[WardCode],"FAE")),"")</f>
        <v/>
      </c>
      <c r="J411" s="25">
        <f>IFERROR(IF(SUMIFS(tblDaily[Discharges],tblDaily[EntryDate],DATE(2026,11,4),tblDaily[WardCode],"FAE")=0,"",SUMIFS(tblDaily[Discharges],tblDaily[EntryDate],DATE(2026,11,4),tblDaily[WardCode],"FAE")),"")</f>
        <v/>
      </c>
      <c r="K411" s="25">
        <f>IFERROR(IF(SUMIFS(tblDaily[Deaths],tblDaily[EntryDate],DATE(2026,11,4),tblDaily[WardCode],"FAE")=0,"",SUMIFS(tblDaily[Deaths],tblDaily[EntryDate],DATE(2026,11,4),tblDaily[WardCode],"FAE")),"")</f>
        <v/>
      </c>
      <c r="L411" s="25">
        <f>IFERROR(IF(SUMIFS(tblDaily[DeathsUnder24Hrs],tblDaily[EntryDate],DATE(2026,11,4),tblDaily[WardCode],"FAE")=0,"",SUMIFS(tblDaily[DeathsUnder24Hrs],tblDaily[EntryDate],DATE(2026,11,4),tblDaily[WardCode],"FAE")),"")</f>
        <v/>
      </c>
      <c r="M411" s="25">
        <f>IFERROR(IF(SUMIFS(tblDaily[TransfersIn],tblDaily[EntryDate],DATE(2026,11,4),tblDaily[WardCode],"FAE")=0,"",SUMIFS(tblDaily[TransfersIn],tblDaily[EntryDate],DATE(2026,11,4),tblDaily[WardCode],"FAE")),"")</f>
        <v/>
      </c>
      <c r="N411" s="25">
        <f>IFERROR(IF(SUMIFS(tblDaily[TransfersOut],tblDaily[EntryDate],DATE(2026,11,4),tblDaily[WardCode],"FAE")=0,"",SUMIFS(tblDaily[TransfersOut],tblDaily[EntryDate],DATE(2026,11,4),tblDaily[WardCode],"FAE")),"")</f>
        <v/>
      </c>
      <c r="O411" s="25">
        <f>IFERROR(IF(SUMIFS(tblDaily[Remaining],tblDaily[EntryDate],DATE(2026,11,4),tblDaily[WardCode],"FAE")=0,"",SUMIFS(tblDaily[Remaining],tblDaily[EntryDate],DATE(2026,11,4),tblDaily[WardCode],"FAE")),"")</f>
        <v/>
      </c>
      <c r="P411" s="26">
        <f>IF(AND(H411="", O411=""), "", N(H411) + N(O411))</f>
        <v/>
      </c>
    </row>
    <row r="412">
      <c r="A412" s="25" t="n">
        <v>5</v>
      </c>
      <c r="B412" s="25">
        <f>IFERROR(IF(SUMIFS(tblDaily[Admissions],tblDaily[EntryDate],DATE(2026,11,5),tblDaily[WardCode],"MAE")=0,"",SUMIFS(tblDaily[Admissions],tblDaily[EntryDate],DATE(2026,11,5),tblDaily[WardCode],"MAE")),"")</f>
        <v/>
      </c>
      <c r="C412" s="25">
        <f>IFERROR(IF(SUMIFS(tblDaily[Discharges],tblDaily[EntryDate],DATE(2026,11,5),tblDaily[WardCode],"MAE")=0,"",SUMIFS(tblDaily[Discharges],tblDaily[EntryDate],DATE(2026,11,5),tblDaily[WardCode],"MAE")),"")</f>
        <v/>
      </c>
      <c r="D412" s="25">
        <f>IFERROR(IF(SUMIFS(tblDaily[Deaths],tblDaily[EntryDate],DATE(2026,11,5),tblDaily[WardCode],"MAE")=0,"",SUMIFS(tblDaily[Deaths],tblDaily[EntryDate],DATE(2026,11,5),tblDaily[WardCode],"MAE")),"")</f>
        <v/>
      </c>
      <c r="E412" s="25">
        <f>IFERROR(IF(SUMIFS(tblDaily[DeathsUnder24Hrs],tblDaily[EntryDate],DATE(2026,11,5),tblDaily[WardCode],"MAE")=0,"",SUMIFS(tblDaily[DeathsUnder24Hrs],tblDaily[EntryDate],DATE(2026,11,5),tblDaily[WardCode],"MAE")),"")</f>
        <v/>
      </c>
      <c r="F412" s="25">
        <f>IFERROR(IF(SUMIFS(tblDaily[TransfersIn],tblDaily[EntryDate],DATE(2026,11,5),tblDaily[WardCode],"MAE")=0,"",SUMIFS(tblDaily[TransfersIn],tblDaily[EntryDate],DATE(2026,11,5),tblDaily[WardCode],"MAE")),"")</f>
        <v/>
      </c>
      <c r="G412" s="25">
        <f>IFERROR(IF(SUMIFS(tblDaily[TransfersOut],tblDaily[EntryDate],DATE(2026,11,5),tblDaily[WardCode],"MAE")=0,"",SUMIFS(tblDaily[TransfersOut],tblDaily[EntryDate],DATE(2026,11,5),tblDaily[WardCode],"MAE")),"")</f>
        <v/>
      </c>
      <c r="H412" s="25">
        <f>IFERROR(IF(SUMIFS(tblDaily[Remaining],tblDaily[EntryDate],DATE(2026,11,5),tblDaily[WardCode],"MAE")=0,"",SUMIFS(tblDaily[Remaining],tblDaily[EntryDate],DATE(2026,11,5),tblDaily[WardCode],"MAE")),"")</f>
        <v/>
      </c>
      <c r="I412" s="25">
        <f>IFERROR(IF(SUMIFS(tblDaily[Admissions],tblDaily[EntryDate],DATE(2026,11,5),tblDaily[WardCode],"FAE")=0,"",SUMIFS(tblDaily[Admissions],tblDaily[EntryDate],DATE(2026,11,5),tblDaily[WardCode],"FAE")),"")</f>
        <v/>
      </c>
      <c r="J412" s="25">
        <f>IFERROR(IF(SUMIFS(tblDaily[Discharges],tblDaily[EntryDate],DATE(2026,11,5),tblDaily[WardCode],"FAE")=0,"",SUMIFS(tblDaily[Discharges],tblDaily[EntryDate],DATE(2026,11,5),tblDaily[WardCode],"FAE")),"")</f>
        <v/>
      </c>
      <c r="K412" s="25">
        <f>IFERROR(IF(SUMIFS(tblDaily[Deaths],tblDaily[EntryDate],DATE(2026,11,5),tblDaily[WardCode],"FAE")=0,"",SUMIFS(tblDaily[Deaths],tblDaily[EntryDate],DATE(2026,11,5),tblDaily[WardCode],"FAE")),"")</f>
        <v/>
      </c>
      <c r="L412" s="25">
        <f>IFERROR(IF(SUMIFS(tblDaily[DeathsUnder24Hrs],tblDaily[EntryDate],DATE(2026,11,5),tblDaily[WardCode],"FAE")=0,"",SUMIFS(tblDaily[DeathsUnder24Hrs],tblDaily[EntryDate],DATE(2026,11,5),tblDaily[WardCode],"FAE")),"")</f>
        <v/>
      </c>
      <c r="M412" s="25">
        <f>IFERROR(IF(SUMIFS(tblDaily[TransfersIn],tblDaily[EntryDate],DATE(2026,11,5),tblDaily[WardCode],"FAE")=0,"",SUMIFS(tblDaily[TransfersIn],tblDaily[EntryDate],DATE(2026,11,5),tblDaily[WardCode],"FAE")),"")</f>
        <v/>
      </c>
      <c r="N412" s="25">
        <f>IFERROR(IF(SUMIFS(tblDaily[TransfersOut],tblDaily[EntryDate],DATE(2026,11,5),tblDaily[WardCode],"FAE")=0,"",SUMIFS(tblDaily[TransfersOut],tblDaily[EntryDate],DATE(2026,11,5),tblDaily[WardCode],"FAE")),"")</f>
        <v/>
      </c>
      <c r="O412" s="25">
        <f>IFERROR(IF(SUMIFS(tblDaily[Remaining],tblDaily[EntryDate],DATE(2026,11,5),tblDaily[WardCode],"FAE")=0,"",SUMIFS(tblDaily[Remaining],tblDaily[EntryDate],DATE(2026,11,5),tblDaily[WardCode],"FAE")),"")</f>
        <v/>
      </c>
      <c r="P412" s="26">
        <f>IF(AND(H412="", O412=""), "", N(H412) + N(O412))</f>
        <v/>
      </c>
    </row>
    <row r="413">
      <c r="A413" s="25" t="n">
        <v>6</v>
      </c>
      <c r="B413" s="25">
        <f>IFERROR(IF(SUMIFS(tblDaily[Admissions],tblDaily[EntryDate],DATE(2026,11,6),tblDaily[WardCode],"MAE")=0,"",SUMIFS(tblDaily[Admissions],tblDaily[EntryDate],DATE(2026,11,6),tblDaily[WardCode],"MAE")),"")</f>
        <v/>
      </c>
      <c r="C413" s="25">
        <f>IFERROR(IF(SUMIFS(tblDaily[Discharges],tblDaily[EntryDate],DATE(2026,11,6),tblDaily[WardCode],"MAE")=0,"",SUMIFS(tblDaily[Discharges],tblDaily[EntryDate],DATE(2026,11,6),tblDaily[WardCode],"MAE")),"")</f>
        <v/>
      </c>
      <c r="D413" s="25">
        <f>IFERROR(IF(SUMIFS(tblDaily[Deaths],tblDaily[EntryDate],DATE(2026,11,6),tblDaily[WardCode],"MAE")=0,"",SUMIFS(tblDaily[Deaths],tblDaily[EntryDate],DATE(2026,11,6),tblDaily[WardCode],"MAE")),"")</f>
        <v/>
      </c>
      <c r="E413" s="25">
        <f>IFERROR(IF(SUMIFS(tblDaily[DeathsUnder24Hrs],tblDaily[EntryDate],DATE(2026,11,6),tblDaily[WardCode],"MAE")=0,"",SUMIFS(tblDaily[DeathsUnder24Hrs],tblDaily[EntryDate],DATE(2026,11,6),tblDaily[WardCode],"MAE")),"")</f>
        <v/>
      </c>
      <c r="F413" s="25">
        <f>IFERROR(IF(SUMIFS(tblDaily[TransfersIn],tblDaily[EntryDate],DATE(2026,11,6),tblDaily[WardCode],"MAE")=0,"",SUMIFS(tblDaily[TransfersIn],tblDaily[EntryDate],DATE(2026,11,6),tblDaily[WardCode],"MAE")),"")</f>
        <v/>
      </c>
      <c r="G413" s="25">
        <f>IFERROR(IF(SUMIFS(tblDaily[TransfersOut],tblDaily[EntryDate],DATE(2026,11,6),tblDaily[WardCode],"MAE")=0,"",SUMIFS(tblDaily[TransfersOut],tblDaily[EntryDate],DATE(2026,11,6),tblDaily[WardCode],"MAE")),"")</f>
        <v/>
      </c>
      <c r="H413" s="25">
        <f>IFERROR(IF(SUMIFS(tblDaily[Remaining],tblDaily[EntryDate],DATE(2026,11,6),tblDaily[WardCode],"MAE")=0,"",SUMIFS(tblDaily[Remaining],tblDaily[EntryDate],DATE(2026,11,6),tblDaily[WardCode],"MAE")),"")</f>
        <v/>
      </c>
      <c r="I413" s="25">
        <f>IFERROR(IF(SUMIFS(tblDaily[Admissions],tblDaily[EntryDate],DATE(2026,11,6),tblDaily[WardCode],"FAE")=0,"",SUMIFS(tblDaily[Admissions],tblDaily[EntryDate],DATE(2026,11,6),tblDaily[WardCode],"FAE")),"")</f>
        <v/>
      </c>
      <c r="J413" s="25">
        <f>IFERROR(IF(SUMIFS(tblDaily[Discharges],tblDaily[EntryDate],DATE(2026,11,6),tblDaily[WardCode],"FAE")=0,"",SUMIFS(tblDaily[Discharges],tblDaily[EntryDate],DATE(2026,11,6),tblDaily[WardCode],"FAE")),"")</f>
        <v/>
      </c>
      <c r="K413" s="25">
        <f>IFERROR(IF(SUMIFS(tblDaily[Deaths],tblDaily[EntryDate],DATE(2026,11,6),tblDaily[WardCode],"FAE")=0,"",SUMIFS(tblDaily[Deaths],tblDaily[EntryDate],DATE(2026,11,6),tblDaily[WardCode],"FAE")),"")</f>
        <v/>
      </c>
      <c r="L413" s="25">
        <f>IFERROR(IF(SUMIFS(tblDaily[DeathsUnder24Hrs],tblDaily[EntryDate],DATE(2026,11,6),tblDaily[WardCode],"FAE")=0,"",SUMIFS(tblDaily[DeathsUnder24Hrs],tblDaily[EntryDate],DATE(2026,11,6),tblDaily[WardCode],"FAE")),"")</f>
        <v/>
      </c>
      <c r="M413" s="25">
        <f>IFERROR(IF(SUMIFS(tblDaily[TransfersIn],tblDaily[EntryDate],DATE(2026,11,6),tblDaily[WardCode],"FAE")=0,"",SUMIFS(tblDaily[TransfersIn],tblDaily[EntryDate],DATE(2026,11,6),tblDaily[WardCode],"FAE")),"")</f>
        <v/>
      </c>
      <c r="N413" s="25">
        <f>IFERROR(IF(SUMIFS(tblDaily[TransfersOut],tblDaily[EntryDate],DATE(2026,11,6),tblDaily[WardCode],"FAE")=0,"",SUMIFS(tblDaily[TransfersOut],tblDaily[EntryDate],DATE(2026,11,6),tblDaily[WardCode],"FAE")),"")</f>
        <v/>
      </c>
      <c r="O413" s="25">
        <f>IFERROR(IF(SUMIFS(tblDaily[Remaining],tblDaily[EntryDate],DATE(2026,11,6),tblDaily[WardCode],"FAE")=0,"",SUMIFS(tblDaily[Remaining],tblDaily[EntryDate],DATE(2026,11,6),tblDaily[WardCode],"FAE")),"")</f>
        <v/>
      </c>
      <c r="P413" s="26">
        <f>IF(AND(H413="", O413=""), "", N(H413) + N(O413))</f>
        <v/>
      </c>
    </row>
    <row r="414">
      <c r="A414" s="25" t="n">
        <v>7</v>
      </c>
      <c r="B414" s="25">
        <f>IFERROR(IF(SUMIFS(tblDaily[Admissions],tblDaily[EntryDate],DATE(2026,11,7),tblDaily[WardCode],"MAE")=0,"",SUMIFS(tblDaily[Admissions],tblDaily[EntryDate],DATE(2026,11,7),tblDaily[WardCode],"MAE")),"")</f>
        <v/>
      </c>
      <c r="C414" s="25">
        <f>IFERROR(IF(SUMIFS(tblDaily[Discharges],tblDaily[EntryDate],DATE(2026,11,7),tblDaily[WardCode],"MAE")=0,"",SUMIFS(tblDaily[Discharges],tblDaily[EntryDate],DATE(2026,11,7),tblDaily[WardCode],"MAE")),"")</f>
        <v/>
      </c>
      <c r="D414" s="25">
        <f>IFERROR(IF(SUMIFS(tblDaily[Deaths],tblDaily[EntryDate],DATE(2026,11,7),tblDaily[WardCode],"MAE")=0,"",SUMIFS(tblDaily[Deaths],tblDaily[EntryDate],DATE(2026,11,7),tblDaily[WardCode],"MAE")),"")</f>
        <v/>
      </c>
      <c r="E414" s="25">
        <f>IFERROR(IF(SUMIFS(tblDaily[DeathsUnder24Hrs],tblDaily[EntryDate],DATE(2026,11,7),tblDaily[WardCode],"MAE")=0,"",SUMIFS(tblDaily[DeathsUnder24Hrs],tblDaily[EntryDate],DATE(2026,11,7),tblDaily[WardCode],"MAE")),"")</f>
        <v/>
      </c>
      <c r="F414" s="25">
        <f>IFERROR(IF(SUMIFS(tblDaily[TransfersIn],tblDaily[EntryDate],DATE(2026,11,7),tblDaily[WardCode],"MAE")=0,"",SUMIFS(tblDaily[TransfersIn],tblDaily[EntryDate],DATE(2026,11,7),tblDaily[WardCode],"MAE")),"")</f>
        <v/>
      </c>
      <c r="G414" s="25">
        <f>IFERROR(IF(SUMIFS(tblDaily[TransfersOut],tblDaily[EntryDate],DATE(2026,11,7),tblDaily[WardCode],"MAE")=0,"",SUMIFS(tblDaily[TransfersOut],tblDaily[EntryDate],DATE(2026,11,7),tblDaily[WardCode],"MAE")),"")</f>
        <v/>
      </c>
      <c r="H414" s="25">
        <f>IFERROR(IF(SUMIFS(tblDaily[Remaining],tblDaily[EntryDate],DATE(2026,11,7),tblDaily[WardCode],"MAE")=0,"",SUMIFS(tblDaily[Remaining],tblDaily[EntryDate],DATE(2026,11,7),tblDaily[WardCode],"MAE")),"")</f>
        <v/>
      </c>
      <c r="I414" s="25">
        <f>IFERROR(IF(SUMIFS(tblDaily[Admissions],tblDaily[EntryDate],DATE(2026,11,7),tblDaily[WardCode],"FAE")=0,"",SUMIFS(tblDaily[Admissions],tblDaily[EntryDate],DATE(2026,11,7),tblDaily[WardCode],"FAE")),"")</f>
        <v/>
      </c>
      <c r="J414" s="25">
        <f>IFERROR(IF(SUMIFS(tblDaily[Discharges],tblDaily[EntryDate],DATE(2026,11,7),tblDaily[WardCode],"FAE")=0,"",SUMIFS(tblDaily[Discharges],tblDaily[EntryDate],DATE(2026,11,7),tblDaily[WardCode],"FAE")),"")</f>
        <v/>
      </c>
      <c r="K414" s="25">
        <f>IFERROR(IF(SUMIFS(tblDaily[Deaths],tblDaily[EntryDate],DATE(2026,11,7),tblDaily[WardCode],"FAE")=0,"",SUMIFS(tblDaily[Deaths],tblDaily[EntryDate],DATE(2026,11,7),tblDaily[WardCode],"FAE")),"")</f>
        <v/>
      </c>
      <c r="L414" s="25">
        <f>IFERROR(IF(SUMIFS(tblDaily[DeathsUnder24Hrs],tblDaily[EntryDate],DATE(2026,11,7),tblDaily[WardCode],"FAE")=0,"",SUMIFS(tblDaily[DeathsUnder24Hrs],tblDaily[EntryDate],DATE(2026,11,7),tblDaily[WardCode],"FAE")),"")</f>
        <v/>
      </c>
      <c r="M414" s="25">
        <f>IFERROR(IF(SUMIFS(tblDaily[TransfersIn],tblDaily[EntryDate],DATE(2026,11,7),tblDaily[WardCode],"FAE")=0,"",SUMIFS(tblDaily[TransfersIn],tblDaily[EntryDate],DATE(2026,11,7),tblDaily[WardCode],"FAE")),"")</f>
        <v/>
      </c>
      <c r="N414" s="25">
        <f>IFERROR(IF(SUMIFS(tblDaily[TransfersOut],tblDaily[EntryDate],DATE(2026,11,7),tblDaily[WardCode],"FAE")=0,"",SUMIFS(tblDaily[TransfersOut],tblDaily[EntryDate],DATE(2026,11,7),tblDaily[WardCode],"FAE")),"")</f>
        <v/>
      </c>
      <c r="O414" s="25">
        <f>IFERROR(IF(SUMIFS(tblDaily[Remaining],tblDaily[EntryDate],DATE(2026,11,7),tblDaily[WardCode],"FAE")=0,"",SUMIFS(tblDaily[Remaining],tblDaily[EntryDate],DATE(2026,11,7),tblDaily[WardCode],"FAE")),"")</f>
        <v/>
      </c>
      <c r="P414" s="26">
        <f>IF(AND(H414="", O414=""), "", N(H414) + N(O414))</f>
        <v/>
      </c>
    </row>
    <row r="415">
      <c r="A415" s="25" t="n">
        <v>8</v>
      </c>
      <c r="B415" s="25">
        <f>IFERROR(IF(SUMIFS(tblDaily[Admissions],tblDaily[EntryDate],DATE(2026,11,8),tblDaily[WardCode],"MAE")=0,"",SUMIFS(tblDaily[Admissions],tblDaily[EntryDate],DATE(2026,11,8),tblDaily[WardCode],"MAE")),"")</f>
        <v/>
      </c>
      <c r="C415" s="25">
        <f>IFERROR(IF(SUMIFS(tblDaily[Discharges],tblDaily[EntryDate],DATE(2026,11,8),tblDaily[WardCode],"MAE")=0,"",SUMIFS(tblDaily[Discharges],tblDaily[EntryDate],DATE(2026,11,8),tblDaily[WardCode],"MAE")),"")</f>
        <v/>
      </c>
      <c r="D415" s="25">
        <f>IFERROR(IF(SUMIFS(tblDaily[Deaths],tblDaily[EntryDate],DATE(2026,11,8),tblDaily[WardCode],"MAE")=0,"",SUMIFS(tblDaily[Deaths],tblDaily[EntryDate],DATE(2026,11,8),tblDaily[WardCode],"MAE")),"")</f>
        <v/>
      </c>
      <c r="E415" s="25">
        <f>IFERROR(IF(SUMIFS(tblDaily[DeathsUnder24Hrs],tblDaily[EntryDate],DATE(2026,11,8),tblDaily[WardCode],"MAE")=0,"",SUMIFS(tblDaily[DeathsUnder24Hrs],tblDaily[EntryDate],DATE(2026,11,8),tblDaily[WardCode],"MAE")),"")</f>
        <v/>
      </c>
      <c r="F415" s="25">
        <f>IFERROR(IF(SUMIFS(tblDaily[TransfersIn],tblDaily[EntryDate],DATE(2026,11,8),tblDaily[WardCode],"MAE")=0,"",SUMIFS(tblDaily[TransfersIn],tblDaily[EntryDate],DATE(2026,11,8),tblDaily[WardCode],"MAE")),"")</f>
        <v/>
      </c>
      <c r="G415" s="25">
        <f>IFERROR(IF(SUMIFS(tblDaily[TransfersOut],tblDaily[EntryDate],DATE(2026,11,8),tblDaily[WardCode],"MAE")=0,"",SUMIFS(tblDaily[TransfersOut],tblDaily[EntryDate],DATE(2026,11,8),tblDaily[WardCode],"MAE")),"")</f>
        <v/>
      </c>
      <c r="H415" s="25">
        <f>IFERROR(IF(SUMIFS(tblDaily[Remaining],tblDaily[EntryDate],DATE(2026,11,8),tblDaily[WardCode],"MAE")=0,"",SUMIFS(tblDaily[Remaining],tblDaily[EntryDate],DATE(2026,11,8),tblDaily[WardCode],"MAE")),"")</f>
        <v/>
      </c>
      <c r="I415" s="25">
        <f>IFERROR(IF(SUMIFS(tblDaily[Admissions],tblDaily[EntryDate],DATE(2026,11,8),tblDaily[WardCode],"FAE")=0,"",SUMIFS(tblDaily[Admissions],tblDaily[EntryDate],DATE(2026,11,8),tblDaily[WardCode],"FAE")),"")</f>
        <v/>
      </c>
      <c r="J415" s="25">
        <f>IFERROR(IF(SUMIFS(tblDaily[Discharges],tblDaily[EntryDate],DATE(2026,11,8),tblDaily[WardCode],"FAE")=0,"",SUMIFS(tblDaily[Discharges],tblDaily[EntryDate],DATE(2026,11,8),tblDaily[WardCode],"FAE")),"")</f>
        <v/>
      </c>
      <c r="K415" s="25">
        <f>IFERROR(IF(SUMIFS(tblDaily[Deaths],tblDaily[EntryDate],DATE(2026,11,8),tblDaily[WardCode],"FAE")=0,"",SUMIFS(tblDaily[Deaths],tblDaily[EntryDate],DATE(2026,11,8),tblDaily[WardCode],"FAE")),"")</f>
        <v/>
      </c>
      <c r="L415" s="25">
        <f>IFERROR(IF(SUMIFS(tblDaily[DeathsUnder24Hrs],tblDaily[EntryDate],DATE(2026,11,8),tblDaily[WardCode],"FAE")=0,"",SUMIFS(tblDaily[DeathsUnder24Hrs],tblDaily[EntryDate],DATE(2026,11,8),tblDaily[WardCode],"FAE")),"")</f>
        <v/>
      </c>
      <c r="M415" s="25">
        <f>IFERROR(IF(SUMIFS(tblDaily[TransfersIn],tblDaily[EntryDate],DATE(2026,11,8),tblDaily[WardCode],"FAE")=0,"",SUMIFS(tblDaily[TransfersIn],tblDaily[EntryDate],DATE(2026,11,8),tblDaily[WardCode],"FAE")),"")</f>
        <v/>
      </c>
      <c r="N415" s="25">
        <f>IFERROR(IF(SUMIFS(tblDaily[TransfersOut],tblDaily[EntryDate],DATE(2026,11,8),tblDaily[WardCode],"FAE")=0,"",SUMIFS(tblDaily[TransfersOut],tblDaily[EntryDate],DATE(2026,11,8),tblDaily[WardCode],"FAE")),"")</f>
        <v/>
      </c>
      <c r="O415" s="25">
        <f>IFERROR(IF(SUMIFS(tblDaily[Remaining],tblDaily[EntryDate],DATE(2026,11,8),tblDaily[WardCode],"FAE")=0,"",SUMIFS(tblDaily[Remaining],tblDaily[EntryDate],DATE(2026,11,8),tblDaily[WardCode],"FAE")),"")</f>
        <v/>
      </c>
      <c r="P415" s="26">
        <f>IF(AND(H415="", O415=""), "", N(H415) + N(O415))</f>
        <v/>
      </c>
    </row>
    <row r="416">
      <c r="A416" s="25" t="n">
        <v>9</v>
      </c>
      <c r="B416" s="25">
        <f>IFERROR(IF(SUMIFS(tblDaily[Admissions],tblDaily[EntryDate],DATE(2026,11,9),tblDaily[WardCode],"MAE")=0,"",SUMIFS(tblDaily[Admissions],tblDaily[EntryDate],DATE(2026,11,9),tblDaily[WardCode],"MAE")),"")</f>
        <v/>
      </c>
      <c r="C416" s="25">
        <f>IFERROR(IF(SUMIFS(tblDaily[Discharges],tblDaily[EntryDate],DATE(2026,11,9),tblDaily[WardCode],"MAE")=0,"",SUMIFS(tblDaily[Discharges],tblDaily[EntryDate],DATE(2026,11,9),tblDaily[WardCode],"MAE")),"")</f>
        <v/>
      </c>
      <c r="D416" s="25">
        <f>IFERROR(IF(SUMIFS(tblDaily[Deaths],tblDaily[EntryDate],DATE(2026,11,9),tblDaily[WardCode],"MAE")=0,"",SUMIFS(tblDaily[Deaths],tblDaily[EntryDate],DATE(2026,11,9),tblDaily[WardCode],"MAE")),"")</f>
        <v/>
      </c>
      <c r="E416" s="25">
        <f>IFERROR(IF(SUMIFS(tblDaily[DeathsUnder24Hrs],tblDaily[EntryDate],DATE(2026,11,9),tblDaily[WardCode],"MAE")=0,"",SUMIFS(tblDaily[DeathsUnder24Hrs],tblDaily[EntryDate],DATE(2026,11,9),tblDaily[WardCode],"MAE")),"")</f>
        <v/>
      </c>
      <c r="F416" s="25">
        <f>IFERROR(IF(SUMIFS(tblDaily[TransfersIn],tblDaily[EntryDate],DATE(2026,11,9),tblDaily[WardCode],"MAE")=0,"",SUMIFS(tblDaily[TransfersIn],tblDaily[EntryDate],DATE(2026,11,9),tblDaily[WardCode],"MAE")),"")</f>
        <v/>
      </c>
      <c r="G416" s="25">
        <f>IFERROR(IF(SUMIFS(tblDaily[TransfersOut],tblDaily[EntryDate],DATE(2026,11,9),tblDaily[WardCode],"MAE")=0,"",SUMIFS(tblDaily[TransfersOut],tblDaily[EntryDate],DATE(2026,11,9),tblDaily[WardCode],"MAE")),"")</f>
        <v/>
      </c>
      <c r="H416" s="25">
        <f>IFERROR(IF(SUMIFS(tblDaily[Remaining],tblDaily[EntryDate],DATE(2026,11,9),tblDaily[WardCode],"MAE")=0,"",SUMIFS(tblDaily[Remaining],tblDaily[EntryDate],DATE(2026,11,9),tblDaily[WardCode],"MAE")),"")</f>
        <v/>
      </c>
      <c r="I416" s="25">
        <f>IFERROR(IF(SUMIFS(tblDaily[Admissions],tblDaily[EntryDate],DATE(2026,11,9),tblDaily[WardCode],"FAE")=0,"",SUMIFS(tblDaily[Admissions],tblDaily[EntryDate],DATE(2026,11,9),tblDaily[WardCode],"FAE")),"")</f>
        <v/>
      </c>
      <c r="J416" s="25">
        <f>IFERROR(IF(SUMIFS(tblDaily[Discharges],tblDaily[EntryDate],DATE(2026,11,9),tblDaily[WardCode],"FAE")=0,"",SUMIFS(tblDaily[Discharges],tblDaily[EntryDate],DATE(2026,11,9),tblDaily[WardCode],"FAE")),"")</f>
        <v/>
      </c>
      <c r="K416" s="25">
        <f>IFERROR(IF(SUMIFS(tblDaily[Deaths],tblDaily[EntryDate],DATE(2026,11,9),tblDaily[WardCode],"FAE")=0,"",SUMIFS(tblDaily[Deaths],tblDaily[EntryDate],DATE(2026,11,9),tblDaily[WardCode],"FAE")),"")</f>
        <v/>
      </c>
      <c r="L416" s="25">
        <f>IFERROR(IF(SUMIFS(tblDaily[DeathsUnder24Hrs],tblDaily[EntryDate],DATE(2026,11,9),tblDaily[WardCode],"FAE")=0,"",SUMIFS(tblDaily[DeathsUnder24Hrs],tblDaily[EntryDate],DATE(2026,11,9),tblDaily[WardCode],"FAE")),"")</f>
        <v/>
      </c>
      <c r="M416" s="25">
        <f>IFERROR(IF(SUMIFS(tblDaily[TransfersIn],tblDaily[EntryDate],DATE(2026,11,9),tblDaily[WardCode],"FAE")=0,"",SUMIFS(tblDaily[TransfersIn],tblDaily[EntryDate],DATE(2026,11,9),tblDaily[WardCode],"FAE")),"")</f>
        <v/>
      </c>
      <c r="N416" s="25">
        <f>IFERROR(IF(SUMIFS(tblDaily[TransfersOut],tblDaily[EntryDate],DATE(2026,11,9),tblDaily[WardCode],"FAE")=0,"",SUMIFS(tblDaily[TransfersOut],tblDaily[EntryDate],DATE(2026,11,9),tblDaily[WardCode],"FAE")),"")</f>
        <v/>
      </c>
      <c r="O416" s="25">
        <f>IFERROR(IF(SUMIFS(tblDaily[Remaining],tblDaily[EntryDate],DATE(2026,11,9),tblDaily[WardCode],"FAE")=0,"",SUMIFS(tblDaily[Remaining],tblDaily[EntryDate],DATE(2026,11,9),tblDaily[WardCode],"FAE")),"")</f>
        <v/>
      </c>
      <c r="P416" s="26">
        <f>IF(AND(H416="", O416=""), "", N(H416) + N(O416))</f>
        <v/>
      </c>
    </row>
    <row r="417">
      <c r="A417" s="25" t="n">
        <v>10</v>
      </c>
      <c r="B417" s="25">
        <f>IFERROR(IF(SUMIFS(tblDaily[Admissions],tblDaily[EntryDate],DATE(2026,11,10),tblDaily[WardCode],"MAE")=0,"",SUMIFS(tblDaily[Admissions],tblDaily[EntryDate],DATE(2026,11,10),tblDaily[WardCode],"MAE")),"")</f>
        <v/>
      </c>
      <c r="C417" s="25">
        <f>IFERROR(IF(SUMIFS(tblDaily[Discharges],tblDaily[EntryDate],DATE(2026,11,10),tblDaily[WardCode],"MAE")=0,"",SUMIFS(tblDaily[Discharges],tblDaily[EntryDate],DATE(2026,11,10),tblDaily[WardCode],"MAE")),"")</f>
        <v/>
      </c>
      <c r="D417" s="25">
        <f>IFERROR(IF(SUMIFS(tblDaily[Deaths],tblDaily[EntryDate],DATE(2026,11,10),tblDaily[WardCode],"MAE")=0,"",SUMIFS(tblDaily[Deaths],tblDaily[EntryDate],DATE(2026,11,10),tblDaily[WardCode],"MAE")),"")</f>
        <v/>
      </c>
      <c r="E417" s="25">
        <f>IFERROR(IF(SUMIFS(tblDaily[DeathsUnder24Hrs],tblDaily[EntryDate],DATE(2026,11,10),tblDaily[WardCode],"MAE")=0,"",SUMIFS(tblDaily[DeathsUnder24Hrs],tblDaily[EntryDate],DATE(2026,11,10),tblDaily[WardCode],"MAE")),"")</f>
        <v/>
      </c>
      <c r="F417" s="25">
        <f>IFERROR(IF(SUMIFS(tblDaily[TransfersIn],tblDaily[EntryDate],DATE(2026,11,10),tblDaily[WardCode],"MAE")=0,"",SUMIFS(tblDaily[TransfersIn],tblDaily[EntryDate],DATE(2026,11,10),tblDaily[WardCode],"MAE")),"")</f>
        <v/>
      </c>
      <c r="G417" s="25">
        <f>IFERROR(IF(SUMIFS(tblDaily[TransfersOut],tblDaily[EntryDate],DATE(2026,11,10),tblDaily[WardCode],"MAE")=0,"",SUMIFS(tblDaily[TransfersOut],tblDaily[EntryDate],DATE(2026,11,10),tblDaily[WardCode],"MAE")),"")</f>
        <v/>
      </c>
      <c r="H417" s="25">
        <f>IFERROR(IF(SUMIFS(tblDaily[Remaining],tblDaily[EntryDate],DATE(2026,11,10),tblDaily[WardCode],"MAE")=0,"",SUMIFS(tblDaily[Remaining],tblDaily[EntryDate],DATE(2026,11,10),tblDaily[WardCode],"MAE")),"")</f>
        <v/>
      </c>
      <c r="I417" s="25">
        <f>IFERROR(IF(SUMIFS(tblDaily[Admissions],tblDaily[EntryDate],DATE(2026,11,10),tblDaily[WardCode],"FAE")=0,"",SUMIFS(tblDaily[Admissions],tblDaily[EntryDate],DATE(2026,11,10),tblDaily[WardCode],"FAE")),"")</f>
        <v/>
      </c>
      <c r="J417" s="25">
        <f>IFERROR(IF(SUMIFS(tblDaily[Discharges],tblDaily[EntryDate],DATE(2026,11,10),tblDaily[WardCode],"FAE")=0,"",SUMIFS(tblDaily[Discharges],tblDaily[EntryDate],DATE(2026,11,10),tblDaily[WardCode],"FAE")),"")</f>
        <v/>
      </c>
      <c r="K417" s="25">
        <f>IFERROR(IF(SUMIFS(tblDaily[Deaths],tblDaily[EntryDate],DATE(2026,11,10),tblDaily[WardCode],"FAE")=0,"",SUMIFS(tblDaily[Deaths],tblDaily[EntryDate],DATE(2026,11,10),tblDaily[WardCode],"FAE")),"")</f>
        <v/>
      </c>
      <c r="L417" s="25">
        <f>IFERROR(IF(SUMIFS(tblDaily[DeathsUnder24Hrs],tblDaily[EntryDate],DATE(2026,11,10),tblDaily[WardCode],"FAE")=0,"",SUMIFS(tblDaily[DeathsUnder24Hrs],tblDaily[EntryDate],DATE(2026,11,10),tblDaily[WardCode],"FAE")),"")</f>
        <v/>
      </c>
      <c r="M417" s="25">
        <f>IFERROR(IF(SUMIFS(tblDaily[TransfersIn],tblDaily[EntryDate],DATE(2026,11,10),tblDaily[WardCode],"FAE")=0,"",SUMIFS(tblDaily[TransfersIn],tblDaily[EntryDate],DATE(2026,11,10),tblDaily[WardCode],"FAE")),"")</f>
        <v/>
      </c>
      <c r="N417" s="25">
        <f>IFERROR(IF(SUMIFS(tblDaily[TransfersOut],tblDaily[EntryDate],DATE(2026,11,10),tblDaily[WardCode],"FAE")=0,"",SUMIFS(tblDaily[TransfersOut],tblDaily[EntryDate],DATE(2026,11,10),tblDaily[WardCode],"FAE")),"")</f>
        <v/>
      </c>
      <c r="O417" s="25">
        <f>IFERROR(IF(SUMIFS(tblDaily[Remaining],tblDaily[EntryDate],DATE(2026,11,10),tblDaily[WardCode],"FAE")=0,"",SUMIFS(tblDaily[Remaining],tblDaily[EntryDate],DATE(2026,11,10),tblDaily[WardCode],"FAE")),"")</f>
        <v/>
      </c>
      <c r="P417" s="26">
        <f>IF(AND(H417="", O417=""), "", N(H417) + N(O417))</f>
        <v/>
      </c>
    </row>
    <row r="418">
      <c r="A418" s="25" t="n">
        <v>11</v>
      </c>
      <c r="B418" s="25">
        <f>IFERROR(IF(SUMIFS(tblDaily[Admissions],tblDaily[EntryDate],DATE(2026,11,11),tblDaily[WardCode],"MAE")=0,"",SUMIFS(tblDaily[Admissions],tblDaily[EntryDate],DATE(2026,11,11),tblDaily[WardCode],"MAE")),"")</f>
        <v/>
      </c>
      <c r="C418" s="25">
        <f>IFERROR(IF(SUMIFS(tblDaily[Discharges],tblDaily[EntryDate],DATE(2026,11,11),tblDaily[WardCode],"MAE")=0,"",SUMIFS(tblDaily[Discharges],tblDaily[EntryDate],DATE(2026,11,11),tblDaily[WardCode],"MAE")),"")</f>
        <v/>
      </c>
      <c r="D418" s="25">
        <f>IFERROR(IF(SUMIFS(tblDaily[Deaths],tblDaily[EntryDate],DATE(2026,11,11),tblDaily[WardCode],"MAE")=0,"",SUMIFS(tblDaily[Deaths],tblDaily[EntryDate],DATE(2026,11,11),tblDaily[WardCode],"MAE")),"")</f>
        <v/>
      </c>
      <c r="E418" s="25">
        <f>IFERROR(IF(SUMIFS(tblDaily[DeathsUnder24Hrs],tblDaily[EntryDate],DATE(2026,11,11),tblDaily[WardCode],"MAE")=0,"",SUMIFS(tblDaily[DeathsUnder24Hrs],tblDaily[EntryDate],DATE(2026,11,11),tblDaily[WardCode],"MAE")),"")</f>
        <v/>
      </c>
      <c r="F418" s="25">
        <f>IFERROR(IF(SUMIFS(tblDaily[TransfersIn],tblDaily[EntryDate],DATE(2026,11,11),tblDaily[WardCode],"MAE")=0,"",SUMIFS(tblDaily[TransfersIn],tblDaily[EntryDate],DATE(2026,11,11),tblDaily[WardCode],"MAE")),"")</f>
        <v/>
      </c>
      <c r="G418" s="25">
        <f>IFERROR(IF(SUMIFS(tblDaily[TransfersOut],tblDaily[EntryDate],DATE(2026,11,11),tblDaily[WardCode],"MAE")=0,"",SUMIFS(tblDaily[TransfersOut],tblDaily[EntryDate],DATE(2026,11,11),tblDaily[WardCode],"MAE")),"")</f>
        <v/>
      </c>
      <c r="H418" s="25">
        <f>IFERROR(IF(SUMIFS(tblDaily[Remaining],tblDaily[EntryDate],DATE(2026,11,11),tblDaily[WardCode],"MAE")=0,"",SUMIFS(tblDaily[Remaining],tblDaily[EntryDate],DATE(2026,11,11),tblDaily[WardCode],"MAE")),"")</f>
        <v/>
      </c>
      <c r="I418" s="25">
        <f>IFERROR(IF(SUMIFS(tblDaily[Admissions],tblDaily[EntryDate],DATE(2026,11,11),tblDaily[WardCode],"FAE")=0,"",SUMIFS(tblDaily[Admissions],tblDaily[EntryDate],DATE(2026,11,11),tblDaily[WardCode],"FAE")),"")</f>
        <v/>
      </c>
      <c r="J418" s="25">
        <f>IFERROR(IF(SUMIFS(tblDaily[Discharges],tblDaily[EntryDate],DATE(2026,11,11),tblDaily[WardCode],"FAE")=0,"",SUMIFS(tblDaily[Discharges],tblDaily[EntryDate],DATE(2026,11,11),tblDaily[WardCode],"FAE")),"")</f>
        <v/>
      </c>
      <c r="K418" s="25">
        <f>IFERROR(IF(SUMIFS(tblDaily[Deaths],tblDaily[EntryDate],DATE(2026,11,11),tblDaily[WardCode],"FAE")=0,"",SUMIFS(tblDaily[Deaths],tblDaily[EntryDate],DATE(2026,11,11),tblDaily[WardCode],"FAE")),"")</f>
        <v/>
      </c>
      <c r="L418" s="25">
        <f>IFERROR(IF(SUMIFS(tblDaily[DeathsUnder24Hrs],tblDaily[EntryDate],DATE(2026,11,11),tblDaily[WardCode],"FAE")=0,"",SUMIFS(tblDaily[DeathsUnder24Hrs],tblDaily[EntryDate],DATE(2026,11,11),tblDaily[WardCode],"FAE")),"")</f>
        <v/>
      </c>
      <c r="M418" s="25">
        <f>IFERROR(IF(SUMIFS(tblDaily[TransfersIn],tblDaily[EntryDate],DATE(2026,11,11),tblDaily[WardCode],"FAE")=0,"",SUMIFS(tblDaily[TransfersIn],tblDaily[EntryDate],DATE(2026,11,11),tblDaily[WardCode],"FAE")),"")</f>
        <v/>
      </c>
      <c r="N418" s="25">
        <f>IFERROR(IF(SUMIFS(tblDaily[TransfersOut],tblDaily[EntryDate],DATE(2026,11,11),tblDaily[WardCode],"FAE")=0,"",SUMIFS(tblDaily[TransfersOut],tblDaily[EntryDate],DATE(2026,11,11),tblDaily[WardCode],"FAE")),"")</f>
        <v/>
      </c>
      <c r="O418" s="25">
        <f>IFERROR(IF(SUMIFS(tblDaily[Remaining],tblDaily[EntryDate],DATE(2026,11,11),tblDaily[WardCode],"FAE")=0,"",SUMIFS(tblDaily[Remaining],tblDaily[EntryDate],DATE(2026,11,11),tblDaily[WardCode],"FAE")),"")</f>
        <v/>
      </c>
      <c r="P418" s="26">
        <f>IF(AND(H418="", O418=""), "", N(H418) + N(O418))</f>
        <v/>
      </c>
    </row>
    <row r="419">
      <c r="A419" s="25" t="n">
        <v>12</v>
      </c>
      <c r="B419" s="25">
        <f>IFERROR(IF(SUMIFS(tblDaily[Admissions],tblDaily[EntryDate],DATE(2026,11,12),tblDaily[WardCode],"MAE")=0,"",SUMIFS(tblDaily[Admissions],tblDaily[EntryDate],DATE(2026,11,12),tblDaily[WardCode],"MAE")),"")</f>
        <v/>
      </c>
      <c r="C419" s="25">
        <f>IFERROR(IF(SUMIFS(tblDaily[Discharges],tblDaily[EntryDate],DATE(2026,11,12),tblDaily[WardCode],"MAE")=0,"",SUMIFS(tblDaily[Discharges],tblDaily[EntryDate],DATE(2026,11,12),tblDaily[WardCode],"MAE")),"")</f>
        <v/>
      </c>
      <c r="D419" s="25">
        <f>IFERROR(IF(SUMIFS(tblDaily[Deaths],tblDaily[EntryDate],DATE(2026,11,12),tblDaily[WardCode],"MAE")=0,"",SUMIFS(tblDaily[Deaths],tblDaily[EntryDate],DATE(2026,11,12),tblDaily[WardCode],"MAE")),"")</f>
        <v/>
      </c>
      <c r="E419" s="25">
        <f>IFERROR(IF(SUMIFS(tblDaily[DeathsUnder24Hrs],tblDaily[EntryDate],DATE(2026,11,12),tblDaily[WardCode],"MAE")=0,"",SUMIFS(tblDaily[DeathsUnder24Hrs],tblDaily[EntryDate],DATE(2026,11,12),tblDaily[WardCode],"MAE")),"")</f>
        <v/>
      </c>
      <c r="F419" s="25">
        <f>IFERROR(IF(SUMIFS(tblDaily[TransfersIn],tblDaily[EntryDate],DATE(2026,11,12),tblDaily[WardCode],"MAE")=0,"",SUMIFS(tblDaily[TransfersIn],tblDaily[EntryDate],DATE(2026,11,12),tblDaily[WardCode],"MAE")),"")</f>
        <v/>
      </c>
      <c r="G419" s="25">
        <f>IFERROR(IF(SUMIFS(tblDaily[TransfersOut],tblDaily[EntryDate],DATE(2026,11,12),tblDaily[WardCode],"MAE")=0,"",SUMIFS(tblDaily[TransfersOut],tblDaily[EntryDate],DATE(2026,11,12),tblDaily[WardCode],"MAE")),"")</f>
        <v/>
      </c>
      <c r="H419" s="25">
        <f>IFERROR(IF(SUMIFS(tblDaily[Remaining],tblDaily[EntryDate],DATE(2026,11,12),tblDaily[WardCode],"MAE")=0,"",SUMIFS(tblDaily[Remaining],tblDaily[EntryDate],DATE(2026,11,12),tblDaily[WardCode],"MAE")),"")</f>
        <v/>
      </c>
      <c r="I419" s="25">
        <f>IFERROR(IF(SUMIFS(tblDaily[Admissions],tblDaily[EntryDate],DATE(2026,11,12),tblDaily[WardCode],"FAE")=0,"",SUMIFS(tblDaily[Admissions],tblDaily[EntryDate],DATE(2026,11,12),tblDaily[WardCode],"FAE")),"")</f>
        <v/>
      </c>
      <c r="J419" s="25">
        <f>IFERROR(IF(SUMIFS(tblDaily[Discharges],tblDaily[EntryDate],DATE(2026,11,12),tblDaily[WardCode],"FAE")=0,"",SUMIFS(tblDaily[Discharges],tblDaily[EntryDate],DATE(2026,11,12),tblDaily[WardCode],"FAE")),"")</f>
        <v/>
      </c>
      <c r="K419" s="25">
        <f>IFERROR(IF(SUMIFS(tblDaily[Deaths],tblDaily[EntryDate],DATE(2026,11,12),tblDaily[WardCode],"FAE")=0,"",SUMIFS(tblDaily[Deaths],tblDaily[EntryDate],DATE(2026,11,12),tblDaily[WardCode],"FAE")),"")</f>
        <v/>
      </c>
      <c r="L419" s="25">
        <f>IFERROR(IF(SUMIFS(tblDaily[DeathsUnder24Hrs],tblDaily[EntryDate],DATE(2026,11,12),tblDaily[WardCode],"FAE")=0,"",SUMIFS(tblDaily[DeathsUnder24Hrs],tblDaily[EntryDate],DATE(2026,11,12),tblDaily[WardCode],"FAE")),"")</f>
        <v/>
      </c>
      <c r="M419" s="25">
        <f>IFERROR(IF(SUMIFS(tblDaily[TransfersIn],tblDaily[EntryDate],DATE(2026,11,12),tblDaily[WardCode],"FAE")=0,"",SUMIFS(tblDaily[TransfersIn],tblDaily[EntryDate],DATE(2026,11,12),tblDaily[WardCode],"FAE")),"")</f>
        <v/>
      </c>
      <c r="N419" s="25">
        <f>IFERROR(IF(SUMIFS(tblDaily[TransfersOut],tblDaily[EntryDate],DATE(2026,11,12),tblDaily[WardCode],"FAE")=0,"",SUMIFS(tblDaily[TransfersOut],tblDaily[EntryDate],DATE(2026,11,12),tblDaily[WardCode],"FAE")),"")</f>
        <v/>
      </c>
      <c r="O419" s="25">
        <f>IFERROR(IF(SUMIFS(tblDaily[Remaining],tblDaily[EntryDate],DATE(2026,11,12),tblDaily[WardCode],"FAE")=0,"",SUMIFS(tblDaily[Remaining],tblDaily[EntryDate],DATE(2026,11,12),tblDaily[WardCode],"FAE")),"")</f>
        <v/>
      </c>
      <c r="P419" s="26">
        <f>IF(AND(H419="", O419=""), "", N(H419) + N(O419))</f>
        <v/>
      </c>
    </row>
    <row r="420">
      <c r="A420" s="25" t="n">
        <v>13</v>
      </c>
      <c r="B420" s="25">
        <f>IFERROR(IF(SUMIFS(tblDaily[Admissions],tblDaily[EntryDate],DATE(2026,11,13),tblDaily[WardCode],"MAE")=0,"",SUMIFS(tblDaily[Admissions],tblDaily[EntryDate],DATE(2026,11,13),tblDaily[WardCode],"MAE")),"")</f>
        <v/>
      </c>
      <c r="C420" s="25">
        <f>IFERROR(IF(SUMIFS(tblDaily[Discharges],tblDaily[EntryDate],DATE(2026,11,13),tblDaily[WardCode],"MAE")=0,"",SUMIFS(tblDaily[Discharges],tblDaily[EntryDate],DATE(2026,11,13),tblDaily[WardCode],"MAE")),"")</f>
        <v/>
      </c>
      <c r="D420" s="25">
        <f>IFERROR(IF(SUMIFS(tblDaily[Deaths],tblDaily[EntryDate],DATE(2026,11,13),tblDaily[WardCode],"MAE")=0,"",SUMIFS(tblDaily[Deaths],tblDaily[EntryDate],DATE(2026,11,13),tblDaily[WardCode],"MAE")),"")</f>
        <v/>
      </c>
      <c r="E420" s="25">
        <f>IFERROR(IF(SUMIFS(tblDaily[DeathsUnder24Hrs],tblDaily[EntryDate],DATE(2026,11,13),tblDaily[WardCode],"MAE")=0,"",SUMIFS(tblDaily[DeathsUnder24Hrs],tblDaily[EntryDate],DATE(2026,11,13),tblDaily[WardCode],"MAE")),"")</f>
        <v/>
      </c>
      <c r="F420" s="25">
        <f>IFERROR(IF(SUMIFS(tblDaily[TransfersIn],tblDaily[EntryDate],DATE(2026,11,13),tblDaily[WardCode],"MAE")=0,"",SUMIFS(tblDaily[TransfersIn],tblDaily[EntryDate],DATE(2026,11,13),tblDaily[WardCode],"MAE")),"")</f>
        <v/>
      </c>
      <c r="G420" s="25">
        <f>IFERROR(IF(SUMIFS(tblDaily[TransfersOut],tblDaily[EntryDate],DATE(2026,11,13),tblDaily[WardCode],"MAE")=0,"",SUMIFS(tblDaily[TransfersOut],tblDaily[EntryDate],DATE(2026,11,13),tblDaily[WardCode],"MAE")),"")</f>
        <v/>
      </c>
      <c r="H420" s="25">
        <f>IFERROR(IF(SUMIFS(tblDaily[Remaining],tblDaily[EntryDate],DATE(2026,11,13),tblDaily[WardCode],"MAE")=0,"",SUMIFS(tblDaily[Remaining],tblDaily[EntryDate],DATE(2026,11,13),tblDaily[WardCode],"MAE")),"")</f>
        <v/>
      </c>
      <c r="I420" s="25">
        <f>IFERROR(IF(SUMIFS(tblDaily[Admissions],tblDaily[EntryDate],DATE(2026,11,13),tblDaily[WardCode],"FAE")=0,"",SUMIFS(tblDaily[Admissions],tblDaily[EntryDate],DATE(2026,11,13),tblDaily[WardCode],"FAE")),"")</f>
        <v/>
      </c>
      <c r="J420" s="25">
        <f>IFERROR(IF(SUMIFS(tblDaily[Discharges],tblDaily[EntryDate],DATE(2026,11,13),tblDaily[WardCode],"FAE")=0,"",SUMIFS(tblDaily[Discharges],tblDaily[EntryDate],DATE(2026,11,13),tblDaily[WardCode],"FAE")),"")</f>
        <v/>
      </c>
      <c r="K420" s="25">
        <f>IFERROR(IF(SUMIFS(tblDaily[Deaths],tblDaily[EntryDate],DATE(2026,11,13),tblDaily[WardCode],"FAE")=0,"",SUMIFS(tblDaily[Deaths],tblDaily[EntryDate],DATE(2026,11,13),tblDaily[WardCode],"FAE")),"")</f>
        <v/>
      </c>
      <c r="L420" s="25">
        <f>IFERROR(IF(SUMIFS(tblDaily[DeathsUnder24Hrs],tblDaily[EntryDate],DATE(2026,11,13),tblDaily[WardCode],"FAE")=0,"",SUMIFS(tblDaily[DeathsUnder24Hrs],tblDaily[EntryDate],DATE(2026,11,13),tblDaily[WardCode],"FAE")),"")</f>
        <v/>
      </c>
      <c r="M420" s="25">
        <f>IFERROR(IF(SUMIFS(tblDaily[TransfersIn],tblDaily[EntryDate],DATE(2026,11,13),tblDaily[WardCode],"FAE")=0,"",SUMIFS(tblDaily[TransfersIn],tblDaily[EntryDate],DATE(2026,11,13),tblDaily[WardCode],"FAE")),"")</f>
        <v/>
      </c>
      <c r="N420" s="25">
        <f>IFERROR(IF(SUMIFS(tblDaily[TransfersOut],tblDaily[EntryDate],DATE(2026,11,13),tblDaily[WardCode],"FAE")=0,"",SUMIFS(tblDaily[TransfersOut],tblDaily[EntryDate],DATE(2026,11,13),tblDaily[WardCode],"FAE")),"")</f>
        <v/>
      </c>
      <c r="O420" s="25">
        <f>IFERROR(IF(SUMIFS(tblDaily[Remaining],tblDaily[EntryDate],DATE(2026,11,13),tblDaily[WardCode],"FAE")=0,"",SUMIFS(tblDaily[Remaining],tblDaily[EntryDate],DATE(2026,11,13),tblDaily[WardCode],"FAE")),"")</f>
        <v/>
      </c>
      <c r="P420" s="26">
        <f>IF(AND(H420="", O420=""), "", N(H420) + N(O420))</f>
        <v/>
      </c>
    </row>
    <row r="421">
      <c r="A421" s="25" t="n">
        <v>14</v>
      </c>
      <c r="B421" s="25">
        <f>IFERROR(IF(SUMIFS(tblDaily[Admissions],tblDaily[EntryDate],DATE(2026,11,14),tblDaily[WardCode],"MAE")=0,"",SUMIFS(tblDaily[Admissions],tblDaily[EntryDate],DATE(2026,11,14),tblDaily[WardCode],"MAE")),"")</f>
        <v/>
      </c>
      <c r="C421" s="25">
        <f>IFERROR(IF(SUMIFS(tblDaily[Discharges],tblDaily[EntryDate],DATE(2026,11,14),tblDaily[WardCode],"MAE")=0,"",SUMIFS(tblDaily[Discharges],tblDaily[EntryDate],DATE(2026,11,14),tblDaily[WardCode],"MAE")),"")</f>
        <v/>
      </c>
      <c r="D421" s="25">
        <f>IFERROR(IF(SUMIFS(tblDaily[Deaths],tblDaily[EntryDate],DATE(2026,11,14),tblDaily[WardCode],"MAE")=0,"",SUMIFS(tblDaily[Deaths],tblDaily[EntryDate],DATE(2026,11,14),tblDaily[WardCode],"MAE")),"")</f>
        <v/>
      </c>
      <c r="E421" s="25">
        <f>IFERROR(IF(SUMIFS(tblDaily[DeathsUnder24Hrs],tblDaily[EntryDate],DATE(2026,11,14),tblDaily[WardCode],"MAE")=0,"",SUMIFS(tblDaily[DeathsUnder24Hrs],tblDaily[EntryDate],DATE(2026,11,14),tblDaily[WardCode],"MAE")),"")</f>
        <v/>
      </c>
      <c r="F421" s="25">
        <f>IFERROR(IF(SUMIFS(tblDaily[TransfersIn],tblDaily[EntryDate],DATE(2026,11,14),tblDaily[WardCode],"MAE")=0,"",SUMIFS(tblDaily[TransfersIn],tblDaily[EntryDate],DATE(2026,11,14),tblDaily[WardCode],"MAE")),"")</f>
        <v/>
      </c>
      <c r="G421" s="25">
        <f>IFERROR(IF(SUMIFS(tblDaily[TransfersOut],tblDaily[EntryDate],DATE(2026,11,14),tblDaily[WardCode],"MAE")=0,"",SUMIFS(tblDaily[TransfersOut],tblDaily[EntryDate],DATE(2026,11,14),tblDaily[WardCode],"MAE")),"")</f>
        <v/>
      </c>
      <c r="H421" s="25">
        <f>IFERROR(IF(SUMIFS(tblDaily[Remaining],tblDaily[EntryDate],DATE(2026,11,14),tblDaily[WardCode],"MAE")=0,"",SUMIFS(tblDaily[Remaining],tblDaily[EntryDate],DATE(2026,11,14),tblDaily[WardCode],"MAE")),"")</f>
        <v/>
      </c>
      <c r="I421" s="25">
        <f>IFERROR(IF(SUMIFS(tblDaily[Admissions],tblDaily[EntryDate],DATE(2026,11,14),tblDaily[WardCode],"FAE")=0,"",SUMIFS(tblDaily[Admissions],tblDaily[EntryDate],DATE(2026,11,14),tblDaily[WardCode],"FAE")),"")</f>
        <v/>
      </c>
      <c r="J421" s="25">
        <f>IFERROR(IF(SUMIFS(tblDaily[Discharges],tblDaily[EntryDate],DATE(2026,11,14),tblDaily[WardCode],"FAE")=0,"",SUMIFS(tblDaily[Discharges],tblDaily[EntryDate],DATE(2026,11,14),tblDaily[WardCode],"FAE")),"")</f>
        <v/>
      </c>
      <c r="K421" s="25">
        <f>IFERROR(IF(SUMIFS(tblDaily[Deaths],tblDaily[EntryDate],DATE(2026,11,14),tblDaily[WardCode],"FAE")=0,"",SUMIFS(tblDaily[Deaths],tblDaily[EntryDate],DATE(2026,11,14),tblDaily[WardCode],"FAE")),"")</f>
        <v/>
      </c>
      <c r="L421" s="25">
        <f>IFERROR(IF(SUMIFS(tblDaily[DeathsUnder24Hrs],tblDaily[EntryDate],DATE(2026,11,14),tblDaily[WardCode],"FAE")=0,"",SUMIFS(tblDaily[DeathsUnder24Hrs],tblDaily[EntryDate],DATE(2026,11,14),tblDaily[WardCode],"FAE")),"")</f>
        <v/>
      </c>
      <c r="M421" s="25">
        <f>IFERROR(IF(SUMIFS(tblDaily[TransfersIn],tblDaily[EntryDate],DATE(2026,11,14),tblDaily[WardCode],"FAE")=0,"",SUMIFS(tblDaily[TransfersIn],tblDaily[EntryDate],DATE(2026,11,14),tblDaily[WardCode],"FAE")),"")</f>
        <v/>
      </c>
      <c r="N421" s="25">
        <f>IFERROR(IF(SUMIFS(tblDaily[TransfersOut],tblDaily[EntryDate],DATE(2026,11,14),tblDaily[WardCode],"FAE")=0,"",SUMIFS(tblDaily[TransfersOut],tblDaily[EntryDate],DATE(2026,11,14),tblDaily[WardCode],"FAE")),"")</f>
        <v/>
      </c>
      <c r="O421" s="25">
        <f>IFERROR(IF(SUMIFS(tblDaily[Remaining],tblDaily[EntryDate],DATE(2026,11,14),tblDaily[WardCode],"FAE")=0,"",SUMIFS(tblDaily[Remaining],tblDaily[EntryDate],DATE(2026,11,14),tblDaily[WardCode],"FAE")),"")</f>
        <v/>
      </c>
      <c r="P421" s="26">
        <f>IF(AND(H421="", O421=""), "", N(H421) + N(O421))</f>
        <v/>
      </c>
    </row>
    <row r="422">
      <c r="A422" s="25" t="n">
        <v>15</v>
      </c>
      <c r="B422" s="25">
        <f>IFERROR(IF(SUMIFS(tblDaily[Admissions],tblDaily[EntryDate],DATE(2026,11,15),tblDaily[WardCode],"MAE")=0,"",SUMIFS(tblDaily[Admissions],tblDaily[EntryDate],DATE(2026,11,15),tblDaily[WardCode],"MAE")),"")</f>
        <v/>
      </c>
      <c r="C422" s="25">
        <f>IFERROR(IF(SUMIFS(tblDaily[Discharges],tblDaily[EntryDate],DATE(2026,11,15),tblDaily[WardCode],"MAE")=0,"",SUMIFS(tblDaily[Discharges],tblDaily[EntryDate],DATE(2026,11,15),tblDaily[WardCode],"MAE")),"")</f>
        <v/>
      </c>
      <c r="D422" s="25">
        <f>IFERROR(IF(SUMIFS(tblDaily[Deaths],tblDaily[EntryDate],DATE(2026,11,15),tblDaily[WardCode],"MAE")=0,"",SUMIFS(tblDaily[Deaths],tblDaily[EntryDate],DATE(2026,11,15),tblDaily[WardCode],"MAE")),"")</f>
        <v/>
      </c>
      <c r="E422" s="25">
        <f>IFERROR(IF(SUMIFS(tblDaily[DeathsUnder24Hrs],tblDaily[EntryDate],DATE(2026,11,15),tblDaily[WardCode],"MAE")=0,"",SUMIFS(tblDaily[DeathsUnder24Hrs],tblDaily[EntryDate],DATE(2026,11,15),tblDaily[WardCode],"MAE")),"")</f>
        <v/>
      </c>
      <c r="F422" s="25">
        <f>IFERROR(IF(SUMIFS(tblDaily[TransfersIn],tblDaily[EntryDate],DATE(2026,11,15),tblDaily[WardCode],"MAE")=0,"",SUMIFS(tblDaily[TransfersIn],tblDaily[EntryDate],DATE(2026,11,15),tblDaily[WardCode],"MAE")),"")</f>
        <v/>
      </c>
      <c r="G422" s="25">
        <f>IFERROR(IF(SUMIFS(tblDaily[TransfersOut],tblDaily[EntryDate],DATE(2026,11,15),tblDaily[WardCode],"MAE")=0,"",SUMIFS(tblDaily[TransfersOut],tblDaily[EntryDate],DATE(2026,11,15),tblDaily[WardCode],"MAE")),"")</f>
        <v/>
      </c>
      <c r="H422" s="25">
        <f>IFERROR(IF(SUMIFS(tblDaily[Remaining],tblDaily[EntryDate],DATE(2026,11,15),tblDaily[WardCode],"MAE")=0,"",SUMIFS(tblDaily[Remaining],tblDaily[EntryDate],DATE(2026,11,15),tblDaily[WardCode],"MAE")),"")</f>
        <v/>
      </c>
      <c r="I422" s="25">
        <f>IFERROR(IF(SUMIFS(tblDaily[Admissions],tblDaily[EntryDate],DATE(2026,11,15),tblDaily[WardCode],"FAE")=0,"",SUMIFS(tblDaily[Admissions],tblDaily[EntryDate],DATE(2026,11,15),tblDaily[WardCode],"FAE")),"")</f>
        <v/>
      </c>
      <c r="J422" s="25">
        <f>IFERROR(IF(SUMIFS(tblDaily[Discharges],tblDaily[EntryDate],DATE(2026,11,15),tblDaily[WardCode],"FAE")=0,"",SUMIFS(tblDaily[Discharges],tblDaily[EntryDate],DATE(2026,11,15),tblDaily[WardCode],"FAE")),"")</f>
        <v/>
      </c>
      <c r="K422" s="25">
        <f>IFERROR(IF(SUMIFS(tblDaily[Deaths],tblDaily[EntryDate],DATE(2026,11,15),tblDaily[WardCode],"FAE")=0,"",SUMIFS(tblDaily[Deaths],tblDaily[EntryDate],DATE(2026,11,15),tblDaily[WardCode],"FAE")),"")</f>
        <v/>
      </c>
      <c r="L422" s="25">
        <f>IFERROR(IF(SUMIFS(tblDaily[DeathsUnder24Hrs],tblDaily[EntryDate],DATE(2026,11,15),tblDaily[WardCode],"FAE")=0,"",SUMIFS(tblDaily[DeathsUnder24Hrs],tblDaily[EntryDate],DATE(2026,11,15),tblDaily[WardCode],"FAE")),"")</f>
        <v/>
      </c>
      <c r="M422" s="25">
        <f>IFERROR(IF(SUMIFS(tblDaily[TransfersIn],tblDaily[EntryDate],DATE(2026,11,15),tblDaily[WardCode],"FAE")=0,"",SUMIFS(tblDaily[TransfersIn],tblDaily[EntryDate],DATE(2026,11,15),tblDaily[WardCode],"FAE")),"")</f>
        <v/>
      </c>
      <c r="N422" s="25">
        <f>IFERROR(IF(SUMIFS(tblDaily[TransfersOut],tblDaily[EntryDate],DATE(2026,11,15),tblDaily[WardCode],"FAE")=0,"",SUMIFS(tblDaily[TransfersOut],tblDaily[EntryDate],DATE(2026,11,15),tblDaily[WardCode],"FAE")),"")</f>
        <v/>
      </c>
      <c r="O422" s="25">
        <f>IFERROR(IF(SUMIFS(tblDaily[Remaining],tblDaily[EntryDate],DATE(2026,11,15),tblDaily[WardCode],"FAE")=0,"",SUMIFS(tblDaily[Remaining],tblDaily[EntryDate],DATE(2026,11,15),tblDaily[WardCode],"FAE")),"")</f>
        <v/>
      </c>
      <c r="P422" s="26">
        <f>IF(AND(H422="", O422=""), "", N(H422) + N(O422))</f>
        <v/>
      </c>
    </row>
    <row r="423">
      <c r="A423" s="25" t="n">
        <v>16</v>
      </c>
      <c r="B423" s="25">
        <f>IFERROR(IF(SUMIFS(tblDaily[Admissions],tblDaily[EntryDate],DATE(2026,11,16),tblDaily[WardCode],"MAE")=0,"",SUMIFS(tblDaily[Admissions],tblDaily[EntryDate],DATE(2026,11,16),tblDaily[WardCode],"MAE")),"")</f>
        <v/>
      </c>
      <c r="C423" s="25">
        <f>IFERROR(IF(SUMIFS(tblDaily[Discharges],tblDaily[EntryDate],DATE(2026,11,16),tblDaily[WardCode],"MAE")=0,"",SUMIFS(tblDaily[Discharges],tblDaily[EntryDate],DATE(2026,11,16),tblDaily[WardCode],"MAE")),"")</f>
        <v/>
      </c>
      <c r="D423" s="25">
        <f>IFERROR(IF(SUMIFS(tblDaily[Deaths],tblDaily[EntryDate],DATE(2026,11,16),tblDaily[WardCode],"MAE")=0,"",SUMIFS(tblDaily[Deaths],tblDaily[EntryDate],DATE(2026,11,16),tblDaily[WardCode],"MAE")),"")</f>
        <v/>
      </c>
      <c r="E423" s="25">
        <f>IFERROR(IF(SUMIFS(tblDaily[DeathsUnder24Hrs],tblDaily[EntryDate],DATE(2026,11,16),tblDaily[WardCode],"MAE")=0,"",SUMIFS(tblDaily[DeathsUnder24Hrs],tblDaily[EntryDate],DATE(2026,11,16),tblDaily[WardCode],"MAE")),"")</f>
        <v/>
      </c>
      <c r="F423" s="25">
        <f>IFERROR(IF(SUMIFS(tblDaily[TransfersIn],tblDaily[EntryDate],DATE(2026,11,16),tblDaily[WardCode],"MAE")=0,"",SUMIFS(tblDaily[TransfersIn],tblDaily[EntryDate],DATE(2026,11,16),tblDaily[WardCode],"MAE")),"")</f>
        <v/>
      </c>
      <c r="G423" s="25">
        <f>IFERROR(IF(SUMIFS(tblDaily[TransfersOut],tblDaily[EntryDate],DATE(2026,11,16),tblDaily[WardCode],"MAE")=0,"",SUMIFS(tblDaily[TransfersOut],tblDaily[EntryDate],DATE(2026,11,16),tblDaily[WardCode],"MAE")),"")</f>
        <v/>
      </c>
      <c r="H423" s="25">
        <f>IFERROR(IF(SUMIFS(tblDaily[Remaining],tblDaily[EntryDate],DATE(2026,11,16),tblDaily[WardCode],"MAE")=0,"",SUMIFS(tblDaily[Remaining],tblDaily[EntryDate],DATE(2026,11,16),tblDaily[WardCode],"MAE")),"")</f>
        <v/>
      </c>
      <c r="I423" s="25">
        <f>IFERROR(IF(SUMIFS(tblDaily[Admissions],tblDaily[EntryDate],DATE(2026,11,16),tblDaily[WardCode],"FAE")=0,"",SUMIFS(tblDaily[Admissions],tblDaily[EntryDate],DATE(2026,11,16),tblDaily[WardCode],"FAE")),"")</f>
        <v/>
      </c>
      <c r="J423" s="25">
        <f>IFERROR(IF(SUMIFS(tblDaily[Discharges],tblDaily[EntryDate],DATE(2026,11,16),tblDaily[WardCode],"FAE")=0,"",SUMIFS(tblDaily[Discharges],tblDaily[EntryDate],DATE(2026,11,16),tblDaily[WardCode],"FAE")),"")</f>
        <v/>
      </c>
      <c r="K423" s="25">
        <f>IFERROR(IF(SUMIFS(tblDaily[Deaths],tblDaily[EntryDate],DATE(2026,11,16),tblDaily[WardCode],"FAE")=0,"",SUMIFS(tblDaily[Deaths],tblDaily[EntryDate],DATE(2026,11,16),tblDaily[WardCode],"FAE")),"")</f>
        <v/>
      </c>
      <c r="L423" s="25">
        <f>IFERROR(IF(SUMIFS(tblDaily[DeathsUnder24Hrs],tblDaily[EntryDate],DATE(2026,11,16),tblDaily[WardCode],"FAE")=0,"",SUMIFS(tblDaily[DeathsUnder24Hrs],tblDaily[EntryDate],DATE(2026,11,16),tblDaily[WardCode],"FAE")),"")</f>
        <v/>
      </c>
      <c r="M423" s="25">
        <f>IFERROR(IF(SUMIFS(tblDaily[TransfersIn],tblDaily[EntryDate],DATE(2026,11,16),tblDaily[WardCode],"FAE")=0,"",SUMIFS(tblDaily[TransfersIn],tblDaily[EntryDate],DATE(2026,11,16),tblDaily[WardCode],"FAE")),"")</f>
        <v/>
      </c>
      <c r="N423" s="25">
        <f>IFERROR(IF(SUMIFS(tblDaily[TransfersOut],tblDaily[EntryDate],DATE(2026,11,16),tblDaily[WardCode],"FAE")=0,"",SUMIFS(tblDaily[TransfersOut],tblDaily[EntryDate],DATE(2026,11,16),tblDaily[WardCode],"FAE")),"")</f>
        <v/>
      </c>
      <c r="O423" s="25">
        <f>IFERROR(IF(SUMIFS(tblDaily[Remaining],tblDaily[EntryDate],DATE(2026,11,16),tblDaily[WardCode],"FAE")=0,"",SUMIFS(tblDaily[Remaining],tblDaily[EntryDate],DATE(2026,11,16),tblDaily[WardCode],"FAE")),"")</f>
        <v/>
      </c>
      <c r="P423" s="26">
        <f>IF(AND(H423="", O423=""), "", N(H423) + N(O423))</f>
        <v/>
      </c>
    </row>
    <row r="424">
      <c r="A424" s="25" t="n">
        <v>17</v>
      </c>
      <c r="B424" s="25">
        <f>IFERROR(IF(SUMIFS(tblDaily[Admissions],tblDaily[EntryDate],DATE(2026,11,17),tblDaily[WardCode],"MAE")=0,"",SUMIFS(tblDaily[Admissions],tblDaily[EntryDate],DATE(2026,11,17),tblDaily[WardCode],"MAE")),"")</f>
        <v/>
      </c>
      <c r="C424" s="25">
        <f>IFERROR(IF(SUMIFS(tblDaily[Discharges],tblDaily[EntryDate],DATE(2026,11,17),tblDaily[WardCode],"MAE")=0,"",SUMIFS(tblDaily[Discharges],tblDaily[EntryDate],DATE(2026,11,17),tblDaily[WardCode],"MAE")),"")</f>
        <v/>
      </c>
      <c r="D424" s="25">
        <f>IFERROR(IF(SUMIFS(tblDaily[Deaths],tblDaily[EntryDate],DATE(2026,11,17),tblDaily[WardCode],"MAE")=0,"",SUMIFS(tblDaily[Deaths],tblDaily[EntryDate],DATE(2026,11,17),tblDaily[WardCode],"MAE")),"")</f>
        <v/>
      </c>
      <c r="E424" s="25">
        <f>IFERROR(IF(SUMIFS(tblDaily[DeathsUnder24Hrs],tblDaily[EntryDate],DATE(2026,11,17),tblDaily[WardCode],"MAE")=0,"",SUMIFS(tblDaily[DeathsUnder24Hrs],tblDaily[EntryDate],DATE(2026,11,17),tblDaily[WardCode],"MAE")),"")</f>
        <v/>
      </c>
      <c r="F424" s="25">
        <f>IFERROR(IF(SUMIFS(tblDaily[TransfersIn],tblDaily[EntryDate],DATE(2026,11,17),tblDaily[WardCode],"MAE")=0,"",SUMIFS(tblDaily[TransfersIn],tblDaily[EntryDate],DATE(2026,11,17),tblDaily[WardCode],"MAE")),"")</f>
        <v/>
      </c>
      <c r="G424" s="25">
        <f>IFERROR(IF(SUMIFS(tblDaily[TransfersOut],tblDaily[EntryDate],DATE(2026,11,17),tblDaily[WardCode],"MAE")=0,"",SUMIFS(tblDaily[TransfersOut],tblDaily[EntryDate],DATE(2026,11,17),tblDaily[WardCode],"MAE")),"")</f>
        <v/>
      </c>
      <c r="H424" s="25">
        <f>IFERROR(IF(SUMIFS(tblDaily[Remaining],tblDaily[EntryDate],DATE(2026,11,17),tblDaily[WardCode],"MAE")=0,"",SUMIFS(tblDaily[Remaining],tblDaily[EntryDate],DATE(2026,11,17),tblDaily[WardCode],"MAE")),"")</f>
        <v/>
      </c>
      <c r="I424" s="25">
        <f>IFERROR(IF(SUMIFS(tblDaily[Admissions],tblDaily[EntryDate],DATE(2026,11,17),tblDaily[WardCode],"FAE")=0,"",SUMIFS(tblDaily[Admissions],tblDaily[EntryDate],DATE(2026,11,17),tblDaily[WardCode],"FAE")),"")</f>
        <v/>
      </c>
      <c r="J424" s="25">
        <f>IFERROR(IF(SUMIFS(tblDaily[Discharges],tblDaily[EntryDate],DATE(2026,11,17),tblDaily[WardCode],"FAE")=0,"",SUMIFS(tblDaily[Discharges],tblDaily[EntryDate],DATE(2026,11,17),tblDaily[WardCode],"FAE")),"")</f>
        <v/>
      </c>
      <c r="K424" s="25">
        <f>IFERROR(IF(SUMIFS(tblDaily[Deaths],tblDaily[EntryDate],DATE(2026,11,17),tblDaily[WardCode],"FAE")=0,"",SUMIFS(tblDaily[Deaths],tblDaily[EntryDate],DATE(2026,11,17),tblDaily[WardCode],"FAE")),"")</f>
        <v/>
      </c>
      <c r="L424" s="25">
        <f>IFERROR(IF(SUMIFS(tblDaily[DeathsUnder24Hrs],tblDaily[EntryDate],DATE(2026,11,17),tblDaily[WardCode],"FAE")=0,"",SUMIFS(tblDaily[DeathsUnder24Hrs],tblDaily[EntryDate],DATE(2026,11,17),tblDaily[WardCode],"FAE")),"")</f>
        <v/>
      </c>
      <c r="M424" s="25">
        <f>IFERROR(IF(SUMIFS(tblDaily[TransfersIn],tblDaily[EntryDate],DATE(2026,11,17),tblDaily[WardCode],"FAE")=0,"",SUMIFS(tblDaily[TransfersIn],tblDaily[EntryDate],DATE(2026,11,17),tblDaily[WardCode],"FAE")),"")</f>
        <v/>
      </c>
      <c r="N424" s="25">
        <f>IFERROR(IF(SUMIFS(tblDaily[TransfersOut],tblDaily[EntryDate],DATE(2026,11,17),tblDaily[WardCode],"FAE")=0,"",SUMIFS(tblDaily[TransfersOut],tblDaily[EntryDate],DATE(2026,11,17),tblDaily[WardCode],"FAE")),"")</f>
        <v/>
      </c>
      <c r="O424" s="25">
        <f>IFERROR(IF(SUMIFS(tblDaily[Remaining],tblDaily[EntryDate],DATE(2026,11,17),tblDaily[WardCode],"FAE")=0,"",SUMIFS(tblDaily[Remaining],tblDaily[EntryDate],DATE(2026,11,17),tblDaily[WardCode],"FAE")),"")</f>
        <v/>
      </c>
      <c r="P424" s="26">
        <f>IF(AND(H424="", O424=""), "", N(H424) + N(O424))</f>
        <v/>
      </c>
    </row>
    <row r="425">
      <c r="A425" s="25" t="n">
        <v>18</v>
      </c>
      <c r="B425" s="25">
        <f>IFERROR(IF(SUMIFS(tblDaily[Admissions],tblDaily[EntryDate],DATE(2026,11,18),tblDaily[WardCode],"MAE")=0,"",SUMIFS(tblDaily[Admissions],tblDaily[EntryDate],DATE(2026,11,18),tblDaily[WardCode],"MAE")),"")</f>
        <v/>
      </c>
      <c r="C425" s="25">
        <f>IFERROR(IF(SUMIFS(tblDaily[Discharges],tblDaily[EntryDate],DATE(2026,11,18),tblDaily[WardCode],"MAE")=0,"",SUMIFS(tblDaily[Discharges],tblDaily[EntryDate],DATE(2026,11,18),tblDaily[WardCode],"MAE")),"")</f>
        <v/>
      </c>
      <c r="D425" s="25">
        <f>IFERROR(IF(SUMIFS(tblDaily[Deaths],tblDaily[EntryDate],DATE(2026,11,18),tblDaily[WardCode],"MAE")=0,"",SUMIFS(tblDaily[Deaths],tblDaily[EntryDate],DATE(2026,11,18),tblDaily[WardCode],"MAE")),"")</f>
        <v/>
      </c>
      <c r="E425" s="25">
        <f>IFERROR(IF(SUMIFS(tblDaily[DeathsUnder24Hrs],tblDaily[EntryDate],DATE(2026,11,18),tblDaily[WardCode],"MAE")=0,"",SUMIFS(tblDaily[DeathsUnder24Hrs],tblDaily[EntryDate],DATE(2026,11,18),tblDaily[WardCode],"MAE")),"")</f>
        <v/>
      </c>
      <c r="F425" s="25">
        <f>IFERROR(IF(SUMIFS(tblDaily[TransfersIn],tblDaily[EntryDate],DATE(2026,11,18),tblDaily[WardCode],"MAE")=0,"",SUMIFS(tblDaily[TransfersIn],tblDaily[EntryDate],DATE(2026,11,18),tblDaily[WardCode],"MAE")),"")</f>
        <v/>
      </c>
      <c r="G425" s="25">
        <f>IFERROR(IF(SUMIFS(tblDaily[TransfersOut],tblDaily[EntryDate],DATE(2026,11,18),tblDaily[WardCode],"MAE")=0,"",SUMIFS(tblDaily[TransfersOut],tblDaily[EntryDate],DATE(2026,11,18),tblDaily[WardCode],"MAE")),"")</f>
        <v/>
      </c>
      <c r="H425" s="25">
        <f>IFERROR(IF(SUMIFS(tblDaily[Remaining],tblDaily[EntryDate],DATE(2026,11,18),tblDaily[WardCode],"MAE")=0,"",SUMIFS(tblDaily[Remaining],tblDaily[EntryDate],DATE(2026,11,18),tblDaily[WardCode],"MAE")),"")</f>
        <v/>
      </c>
      <c r="I425" s="25">
        <f>IFERROR(IF(SUMIFS(tblDaily[Admissions],tblDaily[EntryDate],DATE(2026,11,18),tblDaily[WardCode],"FAE")=0,"",SUMIFS(tblDaily[Admissions],tblDaily[EntryDate],DATE(2026,11,18),tblDaily[WardCode],"FAE")),"")</f>
        <v/>
      </c>
      <c r="J425" s="25">
        <f>IFERROR(IF(SUMIFS(tblDaily[Discharges],tblDaily[EntryDate],DATE(2026,11,18),tblDaily[WardCode],"FAE")=0,"",SUMIFS(tblDaily[Discharges],tblDaily[EntryDate],DATE(2026,11,18),tblDaily[WardCode],"FAE")),"")</f>
        <v/>
      </c>
      <c r="K425" s="25">
        <f>IFERROR(IF(SUMIFS(tblDaily[Deaths],tblDaily[EntryDate],DATE(2026,11,18),tblDaily[WardCode],"FAE")=0,"",SUMIFS(tblDaily[Deaths],tblDaily[EntryDate],DATE(2026,11,18),tblDaily[WardCode],"FAE")),"")</f>
        <v/>
      </c>
      <c r="L425" s="25">
        <f>IFERROR(IF(SUMIFS(tblDaily[DeathsUnder24Hrs],tblDaily[EntryDate],DATE(2026,11,18),tblDaily[WardCode],"FAE")=0,"",SUMIFS(tblDaily[DeathsUnder24Hrs],tblDaily[EntryDate],DATE(2026,11,18),tblDaily[WardCode],"FAE")),"")</f>
        <v/>
      </c>
      <c r="M425" s="25">
        <f>IFERROR(IF(SUMIFS(tblDaily[TransfersIn],tblDaily[EntryDate],DATE(2026,11,18),tblDaily[WardCode],"FAE")=0,"",SUMIFS(tblDaily[TransfersIn],tblDaily[EntryDate],DATE(2026,11,18),tblDaily[WardCode],"FAE")),"")</f>
        <v/>
      </c>
      <c r="N425" s="25">
        <f>IFERROR(IF(SUMIFS(tblDaily[TransfersOut],tblDaily[EntryDate],DATE(2026,11,18),tblDaily[WardCode],"FAE")=0,"",SUMIFS(tblDaily[TransfersOut],tblDaily[EntryDate],DATE(2026,11,18),tblDaily[WardCode],"FAE")),"")</f>
        <v/>
      </c>
      <c r="O425" s="25">
        <f>IFERROR(IF(SUMIFS(tblDaily[Remaining],tblDaily[EntryDate],DATE(2026,11,18),tblDaily[WardCode],"FAE")=0,"",SUMIFS(tblDaily[Remaining],tblDaily[EntryDate],DATE(2026,11,18),tblDaily[WardCode],"FAE")),"")</f>
        <v/>
      </c>
      <c r="P425" s="26">
        <f>IF(AND(H425="", O425=""), "", N(H425) + N(O425))</f>
        <v/>
      </c>
    </row>
    <row r="426">
      <c r="A426" s="25" t="n">
        <v>19</v>
      </c>
      <c r="B426" s="25">
        <f>IFERROR(IF(SUMIFS(tblDaily[Admissions],tblDaily[EntryDate],DATE(2026,11,19),tblDaily[WardCode],"MAE")=0,"",SUMIFS(tblDaily[Admissions],tblDaily[EntryDate],DATE(2026,11,19),tblDaily[WardCode],"MAE")),"")</f>
        <v/>
      </c>
      <c r="C426" s="25">
        <f>IFERROR(IF(SUMIFS(tblDaily[Discharges],tblDaily[EntryDate],DATE(2026,11,19),tblDaily[WardCode],"MAE")=0,"",SUMIFS(tblDaily[Discharges],tblDaily[EntryDate],DATE(2026,11,19),tblDaily[WardCode],"MAE")),"")</f>
        <v/>
      </c>
      <c r="D426" s="25">
        <f>IFERROR(IF(SUMIFS(tblDaily[Deaths],tblDaily[EntryDate],DATE(2026,11,19),tblDaily[WardCode],"MAE")=0,"",SUMIFS(tblDaily[Deaths],tblDaily[EntryDate],DATE(2026,11,19),tblDaily[WardCode],"MAE")),"")</f>
        <v/>
      </c>
      <c r="E426" s="25">
        <f>IFERROR(IF(SUMIFS(tblDaily[DeathsUnder24Hrs],tblDaily[EntryDate],DATE(2026,11,19),tblDaily[WardCode],"MAE")=0,"",SUMIFS(tblDaily[DeathsUnder24Hrs],tblDaily[EntryDate],DATE(2026,11,19),tblDaily[WardCode],"MAE")),"")</f>
        <v/>
      </c>
      <c r="F426" s="25">
        <f>IFERROR(IF(SUMIFS(tblDaily[TransfersIn],tblDaily[EntryDate],DATE(2026,11,19),tblDaily[WardCode],"MAE")=0,"",SUMIFS(tblDaily[TransfersIn],tblDaily[EntryDate],DATE(2026,11,19),tblDaily[WardCode],"MAE")),"")</f>
        <v/>
      </c>
      <c r="G426" s="25">
        <f>IFERROR(IF(SUMIFS(tblDaily[TransfersOut],tblDaily[EntryDate],DATE(2026,11,19),tblDaily[WardCode],"MAE")=0,"",SUMIFS(tblDaily[TransfersOut],tblDaily[EntryDate],DATE(2026,11,19),tblDaily[WardCode],"MAE")),"")</f>
        <v/>
      </c>
      <c r="H426" s="25">
        <f>IFERROR(IF(SUMIFS(tblDaily[Remaining],tblDaily[EntryDate],DATE(2026,11,19),tblDaily[WardCode],"MAE")=0,"",SUMIFS(tblDaily[Remaining],tblDaily[EntryDate],DATE(2026,11,19),tblDaily[WardCode],"MAE")),"")</f>
        <v/>
      </c>
      <c r="I426" s="25">
        <f>IFERROR(IF(SUMIFS(tblDaily[Admissions],tblDaily[EntryDate],DATE(2026,11,19),tblDaily[WardCode],"FAE")=0,"",SUMIFS(tblDaily[Admissions],tblDaily[EntryDate],DATE(2026,11,19),tblDaily[WardCode],"FAE")),"")</f>
        <v/>
      </c>
      <c r="J426" s="25">
        <f>IFERROR(IF(SUMIFS(tblDaily[Discharges],tblDaily[EntryDate],DATE(2026,11,19),tblDaily[WardCode],"FAE")=0,"",SUMIFS(tblDaily[Discharges],tblDaily[EntryDate],DATE(2026,11,19),tblDaily[WardCode],"FAE")),"")</f>
        <v/>
      </c>
      <c r="K426" s="25">
        <f>IFERROR(IF(SUMIFS(tblDaily[Deaths],tblDaily[EntryDate],DATE(2026,11,19),tblDaily[WardCode],"FAE")=0,"",SUMIFS(tblDaily[Deaths],tblDaily[EntryDate],DATE(2026,11,19),tblDaily[WardCode],"FAE")),"")</f>
        <v/>
      </c>
      <c r="L426" s="25">
        <f>IFERROR(IF(SUMIFS(tblDaily[DeathsUnder24Hrs],tblDaily[EntryDate],DATE(2026,11,19),tblDaily[WardCode],"FAE")=0,"",SUMIFS(tblDaily[DeathsUnder24Hrs],tblDaily[EntryDate],DATE(2026,11,19),tblDaily[WardCode],"FAE")),"")</f>
        <v/>
      </c>
      <c r="M426" s="25">
        <f>IFERROR(IF(SUMIFS(tblDaily[TransfersIn],tblDaily[EntryDate],DATE(2026,11,19),tblDaily[WardCode],"FAE")=0,"",SUMIFS(tblDaily[TransfersIn],tblDaily[EntryDate],DATE(2026,11,19),tblDaily[WardCode],"FAE")),"")</f>
        <v/>
      </c>
      <c r="N426" s="25">
        <f>IFERROR(IF(SUMIFS(tblDaily[TransfersOut],tblDaily[EntryDate],DATE(2026,11,19),tblDaily[WardCode],"FAE")=0,"",SUMIFS(tblDaily[TransfersOut],tblDaily[EntryDate],DATE(2026,11,19),tblDaily[WardCode],"FAE")),"")</f>
        <v/>
      </c>
      <c r="O426" s="25">
        <f>IFERROR(IF(SUMIFS(tblDaily[Remaining],tblDaily[EntryDate],DATE(2026,11,19),tblDaily[WardCode],"FAE")=0,"",SUMIFS(tblDaily[Remaining],tblDaily[EntryDate],DATE(2026,11,19),tblDaily[WardCode],"FAE")),"")</f>
        <v/>
      </c>
      <c r="P426" s="26">
        <f>IF(AND(H426="", O426=""), "", N(H426) + N(O426))</f>
        <v/>
      </c>
    </row>
    <row r="427">
      <c r="A427" s="25" t="n">
        <v>20</v>
      </c>
      <c r="B427" s="25">
        <f>IFERROR(IF(SUMIFS(tblDaily[Admissions],tblDaily[EntryDate],DATE(2026,11,20),tblDaily[WardCode],"MAE")=0,"",SUMIFS(tblDaily[Admissions],tblDaily[EntryDate],DATE(2026,11,20),tblDaily[WardCode],"MAE")),"")</f>
        <v/>
      </c>
      <c r="C427" s="25">
        <f>IFERROR(IF(SUMIFS(tblDaily[Discharges],tblDaily[EntryDate],DATE(2026,11,20),tblDaily[WardCode],"MAE")=0,"",SUMIFS(tblDaily[Discharges],tblDaily[EntryDate],DATE(2026,11,20),tblDaily[WardCode],"MAE")),"")</f>
        <v/>
      </c>
      <c r="D427" s="25">
        <f>IFERROR(IF(SUMIFS(tblDaily[Deaths],tblDaily[EntryDate],DATE(2026,11,20),tblDaily[WardCode],"MAE")=0,"",SUMIFS(tblDaily[Deaths],tblDaily[EntryDate],DATE(2026,11,20),tblDaily[WardCode],"MAE")),"")</f>
        <v/>
      </c>
      <c r="E427" s="25">
        <f>IFERROR(IF(SUMIFS(tblDaily[DeathsUnder24Hrs],tblDaily[EntryDate],DATE(2026,11,20),tblDaily[WardCode],"MAE")=0,"",SUMIFS(tblDaily[DeathsUnder24Hrs],tblDaily[EntryDate],DATE(2026,11,20),tblDaily[WardCode],"MAE")),"")</f>
        <v/>
      </c>
      <c r="F427" s="25">
        <f>IFERROR(IF(SUMIFS(tblDaily[TransfersIn],tblDaily[EntryDate],DATE(2026,11,20),tblDaily[WardCode],"MAE")=0,"",SUMIFS(tblDaily[TransfersIn],tblDaily[EntryDate],DATE(2026,11,20),tblDaily[WardCode],"MAE")),"")</f>
        <v/>
      </c>
      <c r="G427" s="25">
        <f>IFERROR(IF(SUMIFS(tblDaily[TransfersOut],tblDaily[EntryDate],DATE(2026,11,20),tblDaily[WardCode],"MAE")=0,"",SUMIFS(tblDaily[TransfersOut],tblDaily[EntryDate],DATE(2026,11,20),tblDaily[WardCode],"MAE")),"")</f>
        <v/>
      </c>
      <c r="H427" s="25">
        <f>IFERROR(IF(SUMIFS(tblDaily[Remaining],tblDaily[EntryDate],DATE(2026,11,20),tblDaily[WardCode],"MAE")=0,"",SUMIFS(tblDaily[Remaining],tblDaily[EntryDate],DATE(2026,11,20),tblDaily[WardCode],"MAE")),"")</f>
        <v/>
      </c>
      <c r="I427" s="25">
        <f>IFERROR(IF(SUMIFS(tblDaily[Admissions],tblDaily[EntryDate],DATE(2026,11,20),tblDaily[WardCode],"FAE")=0,"",SUMIFS(tblDaily[Admissions],tblDaily[EntryDate],DATE(2026,11,20),tblDaily[WardCode],"FAE")),"")</f>
        <v/>
      </c>
      <c r="J427" s="25">
        <f>IFERROR(IF(SUMIFS(tblDaily[Discharges],tblDaily[EntryDate],DATE(2026,11,20),tblDaily[WardCode],"FAE")=0,"",SUMIFS(tblDaily[Discharges],tblDaily[EntryDate],DATE(2026,11,20),tblDaily[WardCode],"FAE")),"")</f>
        <v/>
      </c>
      <c r="K427" s="25">
        <f>IFERROR(IF(SUMIFS(tblDaily[Deaths],tblDaily[EntryDate],DATE(2026,11,20),tblDaily[WardCode],"FAE")=0,"",SUMIFS(tblDaily[Deaths],tblDaily[EntryDate],DATE(2026,11,20),tblDaily[WardCode],"FAE")),"")</f>
        <v/>
      </c>
      <c r="L427" s="25">
        <f>IFERROR(IF(SUMIFS(tblDaily[DeathsUnder24Hrs],tblDaily[EntryDate],DATE(2026,11,20),tblDaily[WardCode],"FAE")=0,"",SUMIFS(tblDaily[DeathsUnder24Hrs],tblDaily[EntryDate],DATE(2026,11,20),tblDaily[WardCode],"FAE")),"")</f>
        <v/>
      </c>
      <c r="M427" s="25">
        <f>IFERROR(IF(SUMIFS(tblDaily[TransfersIn],tblDaily[EntryDate],DATE(2026,11,20),tblDaily[WardCode],"FAE")=0,"",SUMIFS(tblDaily[TransfersIn],tblDaily[EntryDate],DATE(2026,11,20),tblDaily[WardCode],"FAE")),"")</f>
        <v/>
      </c>
      <c r="N427" s="25">
        <f>IFERROR(IF(SUMIFS(tblDaily[TransfersOut],tblDaily[EntryDate],DATE(2026,11,20),tblDaily[WardCode],"FAE")=0,"",SUMIFS(tblDaily[TransfersOut],tblDaily[EntryDate],DATE(2026,11,20),tblDaily[WardCode],"FAE")),"")</f>
        <v/>
      </c>
      <c r="O427" s="25">
        <f>IFERROR(IF(SUMIFS(tblDaily[Remaining],tblDaily[EntryDate],DATE(2026,11,20),tblDaily[WardCode],"FAE")=0,"",SUMIFS(tblDaily[Remaining],tblDaily[EntryDate],DATE(2026,11,20),tblDaily[WardCode],"FAE")),"")</f>
        <v/>
      </c>
      <c r="P427" s="26">
        <f>IF(AND(H427="", O427=""), "", N(H427) + N(O427))</f>
        <v/>
      </c>
    </row>
    <row r="428">
      <c r="A428" s="25" t="n">
        <v>21</v>
      </c>
      <c r="B428" s="25">
        <f>IFERROR(IF(SUMIFS(tblDaily[Admissions],tblDaily[EntryDate],DATE(2026,11,21),tblDaily[WardCode],"MAE")=0,"",SUMIFS(tblDaily[Admissions],tblDaily[EntryDate],DATE(2026,11,21),tblDaily[WardCode],"MAE")),"")</f>
        <v/>
      </c>
      <c r="C428" s="25">
        <f>IFERROR(IF(SUMIFS(tblDaily[Discharges],tblDaily[EntryDate],DATE(2026,11,21),tblDaily[WardCode],"MAE")=0,"",SUMIFS(tblDaily[Discharges],tblDaily[EntryDate],DATE(2026,11,21),tblDaily[WardCode],"MAE")),"")</f>
        <v/>
      </c>
      <c r="D428" s="25">
        <f>IFERROR(IF(SUMIFS(tblDaily[Deaths],tblDaily[EntryDate],DATE(2026,11,21),tblDaily[WardCode],"MAE")=0,"",SUMIFS(tblDaily[Deaths],tblDaily[EntryDate],DATE(2026,11,21),tblDaily[WardCode],"MAE")),"")</f>
        <v/>
      </c>
      <c r="E428" s="25">
        <f>IFERROR(IF(SUMIFS(tblDaily[DeathsUnder24Hrs],tblDaily[EntryDate],DATE(2026,11,21),tblDaily[WardCode],"MAE")=0,"",SUMIFS(tblDaily[DeathsUnder24Hrs],tblDaily[EntryDate],DATE(2026,11,21),tblDaily[WardCode],"MAE")),"")</f>
        <v/>
      </c>
      <c r="F428" s="25">
        <f>IFERROR(IF(SUMIFS(tblDaily[TransfersIn],tblDaily[EntryDate],DATE(2026,11,21),tblDaily[WardCode],"MAE")=0,"",SUMIFS(tblDaily[TransfersIn],tblDaily[EntryDate],DATE(2026,11,21),tblDaily[WardCode],"MAE")),"")</f>
        <v/>
      </c>
      <c r="G428" s="25">
        <f>IFERROR(IF(SUMIFS(tblDaily[TransfersOut],tblDaily[EntryDate],DATE(2026,11,21),tblDaily[WardCode],"MAE")=0,"",SUMIFS(tblDaily[TransfersOut],tblDaily[EntryDate],DATE(2026,11,21),tblDaily[WardCode],"MAE")),"")</f>
        <v/>
      </c>
      <c r="H428" s="25">
        <f>IFERROR(IF(SUMIFS(tblDaily[Remaining],tblDaily[EntryDate],DATE(2026,11,21),tblDaily[WardCode],"MAE")=0,"",SUMIFS(tblDaily[Remaining],tblDaily[EntryDate],DATE(2026,11,21),tblDaily[WardCode],"MAE")),"")</f>
        <v/>
      </c>
      <c r="I428" s="25">
        <f>IFERROR(IF(SUMIFS(tblDaily[Admissions],tblDaily[EntryDate],DATE(2026,11,21),tblDaily[WardCode],"FAE")=0,"",SUMIFS(tblDaily[Admissions],tblDaily[EntryDate],DATE(2026,11,21),tblDaily[WardCode],"FAE")),"")</f>
        <v/>
      </c>
      <c r="J428" s="25">
        <f>IFERROR(IF(SUMIFS(tblDaily[Discharges],tblDaily[EntryDate],DATE(2026,11,21),tblDaily[WardCode],"FAE")=0,"",SUMIFS(tblDaily[Discharges],tblDaily[EntryDate],DATE(2026,11,21),tblDaily[WardCode],"FAE")),"")</f>
        <v/>
      </c>
      <c r="K428" s="25">
        <f>IFERROR(IF(SUMIFS(tblDaily[Deaths],tblDaily[EntryDate],DATE(2026,11,21),tblDaily[WardCode],"FAE")=0,"",SUMIFS(tblDaily[Deaths],tblDaily[EntryDate],DATE(2026,11,21),tblDaily[WardCode],"FAE")),"")</f>
        <v/>
      </c>
      <c r="L428" s="25">
        <f>IFERROR(IF(SUMIFS(tblDaily[DeathsUnder24Hrs],tblDaily[EntryDate],DATE(2026,11,21),tblDaily[WardCode],"FAE")=0,"",SUMIFS(tblDaily[DeathsUnder24Hrs],tblDaily[EntryDate],DATE(2026,11,21),tblDaily[WardCode],"FAE")),"")</f>
        <v/>
      </c>
      <c r="M428" s="25">
        <f>IFERROR(IF(SUMIFS(tblDaily[TransfersIn],tblDaily[EntryDate],DATE(2026,11,21),tblDaily[WardCode],"FAE")=0,"",SUMIFS(tblDaily[TransfersIn],tblDaily[EntryDate],DATE(2026,11,21),tblDaily[WardCode],"FAE")),"")</f>
        <v/>
      </c>
      <c r="N428" s="25">
        <f>IFERROR(IF(SUMIFS(tblDaily[TransfersOut],tblDaily[EntryDate],DATE(2026,11,21),tblDaily[WardCode],"FAE")=0,"",SUMIFS(tblDaily[TransfersOut],tblDaily[EntryDate],DATE(2026,11,21),tblDaily[WardCode],"FAE")),"")</f>
        <v/>
      </c>
      <c r="O428" s="25">
        <f>IFERROR(IF(SUMIFS(tblDaily[Remaining],tblDaily[EntryDate],DATE(2026,11,21),tblDaily[WardCode],"FAE")=0,"",SUMIFS(tblDaily[Remaining],tblDaily[EntryDate],DATE(2026,11,21),tblDaily[WardCode],"FAE")),"")</f>
        <v/>
      </c>
      <c r="P428" s="26">
        <f>IF(AND(H428="", O428=""), "", N(H428) + N(O428))</f>
        <v/>
      </c>
    </row>
    <row r="429">
      <c r="A429" s="25" t="n">
        <v>22</v>
      </c>
      <c r="B429" s="25">
        <f>IFERROR(IF(SUMIFS(tblDaily[Admissions],tblDaily[EntryDate],DATE(2026,11,22),tblDaily[WardCode],"MAE")=0,"",SUMIFS(tblDaily[Admissions],tblDaily[EntryDate],DATE(2026,11,22),tblDaily[WardCode],"MAE")),"")</f>
        <v/>
      </c>
      <c r="C429" s="25">
        <f>IFERROR(IF(SUMIFS(tblDaily[Discharges],tblDaily[EntryDate],DATE(2026,11,22),tblDaily[WardCode],"MAE")=0,"",SUMIFS(tblDaily[Discharges],tblDaily[EntryDate],DATE(2026,11,22),tblDaily[WardCode],"MAE")),"")</f>
        <v/>
      </c>
      <c r="D429" s="25">
        <f>IFERROR(IF(SUMIFS(tblDaily[Deaths],tblDaily[EntryDate],DATE(2026,11,22),tblDaily[WardCode],"MAE")=0,"",SUMIFS(tblDaily[Deaths],tblDaily[EntryDate],DATE(2026,11,22),tblDaily[WardCode],"MAE")),"")</f>
        <v/>
      </c>
      <c r="E429" s="25">
        <f>IFERROR(IF(SUMIFS(tblDaily[DeathsUnder24Hrs],tblDaily[EntryDate],DATE(2026,11,22),tblDaily[WardCode],"MAE")=0,"",SUMIFS(tblDaily[DeathsUnder24Hrs],tblDaily[EntryDate],DATE(2026,11,22),tblDaily[WardCode],"MAE")),"")</f>
        <v/>
      </c>
      <c r="F429" s="25">
        <f>IFERROR(IF(SUMIFS(tblDaily[TransfersIn],tblDaily[EntryDate],DATE(2026,11,22),tblDaily[WardCode],"MAE")=0,"",SUMIFS(tblDaily[TransfersIn],tblDaily[EntryDate],DATE(2026,11,22),tblDaily[WardCode],"MAE")),"")</f>
        <v/>
      </c>
      <c r="G429" s="25">
        <f>IFERROR(IF(SUMIFS(tblDaily[TransfersOut],tblDaily[EntryDate],DATE(2026,11,22),tblDaily[WardCode],"MAE")=0,"",SUMIFS(tblDaily[TransfersOut],tblDaily[EntryDate],DATE(2026,11,22),tblDaily[WardCode],"MAE")),"")</f>
        <v/>
      </c>
      <c r="H429" s="25">
        <f>IFERROR(IF(SUMIFS(tblDaily[Remaining],tblDaily[EntryDate],DATE(2026,11,22),tblDaily[WardCode],"MAE")=0,"",SUMIFS(tblDaily[Remaining],tblDaily[EntryDate],DATE(2026,11,22),tblDaily[WardCode],"MAE")),"")</f>
        <v/>
      </c>
      <c r="I429" s="25">
        <f>IFERROR(IF(SUMIFS(tblDaily[Admissions],tblDaily[EntryDate],DATE(2026,11,22),tblDaily[WardCode],"FAE")=0,"",SUMIFS(tblDaily[Admissions],tblDaily[EntryDate],DATE(2026,11,22),tblDaily[WardCode],"FAE")),"")</f>
        <v/>
      </c>
      <c r="J429" s="25">
        <f>IFERROR(IF(SUMIFS(tblDaily[Discharges],tblDaily[EntryDate],DATE(2026,11,22),tblDaily[WardCode],"FAE")=0,"",SUMIFS(tblDaily[Discharges],tblDaily[EntryDate],DATE(2026,11,22),tblDaily[WardCode],"FAE")),"")</f>
        <v/>
      </c>
      <c r="K429" s="25">
        <f>IFERROR(IF(SUMIFS(tblDaily[Deaths],tblDaily[EntryDate],DATE(2026,11,22),tblDaily[WardCode],"FAE")=0,"",SUMIFS(tblDaily[Deaths],tblDaily[EntryDate],DATE(2026,11,22),tblDaily[WardCode],"FAE")),"")</f>
        <v/>
      </c>
      <c r="L429" s="25">
        <f>IFERROR(IF(SUMIFS(tblDaily[DeathsUnder24Hrs],tblDaily[EntryDate],DATE(2026,11,22),tblDaily[WardCode],"FAE")=0,"",SUMIFS(tblDaily[DeathsUnder24Hrs],tblDaily[EntryDate],DATE(2026,11,22),tblDaily[WardCode],"FAE")),"")</f>
        <v/>
      </c>
      <c r="M429" s="25">
        <f>IFERROR(IF(SUMIFS(tblDaily[TransfersIn],tblDaily[EntryDate],DATE(2026,11,22),tblDaily[WardCode],"FAE")=0,"",SUMIFS(tblDaily[TransfersIn],tblDaily[EntryDate],DATE(2026,11,22),tblDaily[WardCode],"FAE")),"")</f>
        <v/>
      </c>
      <c r="N429" s="25">
        <f>IFERROR(IF(SUMIFS(tblDaily[TransfersOut],tblDaily[EntryDate],DATE(2026,11,22),tblDaily[WardCode],"FAE")=0,"",SUMIFS(tblDaily[TransfersOut],tblDaily[EntryDate],DATE(2026,11,22),tblDaily[WardCode],"FAE")),"")</f>
        <v/>
      </c>
      <c r="O429" s="25">
        <f>IFERROR(IF(SUMIFS(tblDaily[Remaining],tblDaily[EntryDate],DATE(2026,11,22),tblDaily[WardCode],"FAE")=0,"",SUMIFS(tblDaily[Remaining],tblDaily[EntryDate],DATE(2026,11,22),tblDaily[WardCode],"FAE")),"")</f>
        <v/>
      </c>
      <c r="P429" s="26">
        <f>IF(AND(H429="", O429=""), "", N(H429) + N(O429))</f>
        <v/>
      </c>
    </row>
    <row r="430">
      <c r="A430" s="25" t="n">
        <v>23</v>
      </c>
      <c r="B430" s="25">
        <f>IFERROR(IF(SUMIFS(tblDaily[Admissions],tblDaily[EntryDate],DATE(2026,11,23),tblDaily[WardCode],"MAE")=0,"",SUMIFS(tblDaily[Admissions],tblDaily[EntryDate],DATE(2026,11,23),tblDaily[WardCode],"MAE")),"")</f>
        <v/>
      </c>
      <c r="C430" s="25">
        <f>IFERROR(IF(SUMIFS(tblDaily[Discharges],tblDaily[EntryDate],DATE(2026,11,23),tblDaily[WardCode],"MAE")=0,"",SUMIFS(tblDaily[Discharges],tblDaily[EntryDate],DATE(2026,11,23),tblDaily[WardCode],"MAE")),"")</f>
        <v/>
      </c>
      <c r="D430" s="25">
        <f>IFERROR(IF(SUMIFS(tblDaily[Deaths],tblDaily[EntryDate],DATE(2026,11,23),tblDaily[WardCode],"MAE")=0,"",SUMIFS(tblDaily[Deaths],tblDaily[EntryDate],DATE(2026,11,23),tblDaily[WardCode],"MAE")),"")</f>
        <v/>
      </c>
      <c r="E430" s="25">
        <f>IFERROR(IF(SUMIFS(tblDaily[DeathsUnder24Hrs],tblDaily[EntryDate],DATE(2026,11,23),tblDaily[WardCode],"MAE")=0,"",SUMIFS(tblDaily[DeathsUnder24Hrs],tblDaily[EntryDate],DATE(2026,11,23),tblDaily[WardCode],"MAE")),"")</f>
        <v/>
      </c>
      <c r="F430" s="25">
        <f>IFERROR(IF(SUMIFS(tblDaily[TransfersIn],tblDaily[EntryDate],DATE(2026,11,23),tblDaily[WardCode],"MAE")=0,"",SUMIFS(tblDaily[TransfersIn],tblDaily[EntryDate],DATE(2026,11,23),tblDaily[WardCode],"MAE")),"")</f>
        <v/>
      </c>
      <c r="G430" s="25">
        <f>IFERROR(IF(SUMIFS(tblDaily[TransfersOut],tblDaily[EntryDate],DATE(2026,11,23),tblDaily[WardCode],"MAE")=0,"",SUMIFS(tblDaily[TransfersOut],tblDaily[EntryDate],DATE(2026,11,23),tblDaily[WardCode],"MAE")),"")</f>
        <v/>
      </c>
      <c r="H430" s="25">
        <f>IFERROR(IF(SUMIFS(tblDaily[Remaining],tblDaily[EntryDate],DATE(2026,11,23),tblDaily[WardCode],"MAE")=0,"",SUMIFS(tblDaily[Remaining],tblDaily[EntryDate],DATE(2026,11,23),tblDaily[WardCode],"MAE")),"")</f>
        <v/>
      </c>
      <c r="I430" s="25">
        <f>IFERROR(IF(SUMIFS(tblDaily[Admissions],tblDaily[EntryDate],DATE(2026,11,23),tblDaily[WardCode],"FAE")=0,"",SUMIFS(tblDaily[Admissions],tblDaily[EntryDate],DATE(2026,11,23),tblDaily[WardCode],"FAE")),"")</f>
        <v/>
      </c>
      <c r="J430" s="25">
        <f>IFERROR(IF(SUMIFS(tblDaily[Discharges],tblDaily[EntryDate],DATE(2026,11,23),tblDaily[WardCode],"FAE")=0,"",SUMIFS(tblDaily[Discharges],tblDaily[EntryDate],DATE(2026,11,23),tblDaily[WardCode],"FAE")),"")</f>
        <v/>
      </c>
      <c r="K430" s="25">
        <f>IFERROR(IF(SUMIFS(tblDaily[Deaths],tblDaily[EntryDate],DATE(2026,11,23),tblDaily[WardCode],"FAE")=0,"",SUMIFS(tblDaily[Deaths],tblDaily[EntryDate],DATE(2026,11,23),tblDaily[WardCode],"FAE")),"")</f>
        <v/>
      </c>
      <c r="L430" s="25">
        <f>IFERROR(IF(SUMIFS(tblDaily[DeathsUnder24Hrs],tblDaily[EntryDate],DATE(2026,11,23),tblDaily[WardCode],"FAE")=0,"",SUMIFS(tblDaily[DeathsUnder24Hrs],tblDaily[EntryDate],DATE(2026,11,23),tblDaily[WardCode],"FAE")),"")</f>
        <v/>
      </c>
      <c r="M430" s="25">
        <f>IFERROR(IF(SUMIFS(tblDaily[TransfersIn],tblDaily[EntryDate],DATE(2026,11,23),tblDaily[WardCode],"FAE")=0,"",SUMIFS(tblDaily[TransfersIn],tblDaily[EntryDate],DATE(2026,11,23),tblDaily[WardCode],"FAE")),"")</f>
        <v/>
      </c>
      <c r="N430" s="25">
        <f>IFERROR(IF(SUMIFS(tblDaily[TransfersOut],tblDaily[EntryDate],DATE(2026,11,23),tblDaily[WardCode],"FAE")=0,"",SUMIFS(tblDaily[TransfersOut],tblDaily[EntryDate],DATE(2026,11,23),tblDaily[WardCode],"FAE")),"")</f>
        <v/>
      </c>
      <c r="O430" s="25">
        <f>IFERROR(IF(SUMIFS(tblDaily[Remaining],tblDaily[EntryDate],DATE(2026,11,23),tblDaily[WardCode],"FAE")=0,"",SUMIFS(tblDaily[Remaining],tblDaily[EntryDate],DATE(2026,11,23),tblDaily[WardCode],"FAE")),"")</f>
        <v/>
      </c>
      <c r="P430" s="26">
        <f>IF(AND(H430="", O430=""), "", N(H430) + N(O430))</f>
        <v/>
      </c>
    </row>
    <row r="431">
      <c r="A431" s="25" t="n">
        <v>24</v>
      </c>
      <c r="B431" s="25">
        <f>IFERROR(IF(SUMIFS(tblDaily[Admissions],tblDaily[EntryDate],DATE(2026,11,24),tblDaily[WardCode],"MAE")=0,"",SUMIFS(tblDaily[Admissions],tblDaily[EntryDate],DATE(2026,11,24),tblDaily[WardCode],"MAE")),"")</f>
        <v/>
      </c>
      <c r="C431" s="25">
        <f>IFERROR(IF(SUMIFS(tblDaily[Discharges],tblDaily[EntryDate],DATE(2026,11,24),tblDaily[WardCode],"MAE")=0,"",SUMIFS(tblDaily[Discharges],tblDaily[EntryDate],DATE(2026,11,24),tblDaily[WardCode],"MAE")),"")</f>
        <v/>
      </c>
      <c r="D431" s="25">
        <f>IFERROR(IF(SUMIFS(tblDaily[Deaths],tblDaily[EntryDate],DATE(2026,11,24),tblDaily[WardCode],"MAE")=0,"",SUMIFS(tblDaily[Deaths],tblDaily[EntryDate],DATE(2026,11,24),tblDaily[WardCode],"MAE")),"")</f>
        <v/>
      </c>
      <c r="E431" s="25">
        <f>IFERROR(IF(SUMIFS(tblDaily[DeathsUnder24Hrs],tblDaily[EntryDate],DATE(2026,11,24),tblDaily[WardCode],"MAE")=0,"",SUMIFS(tblDaily[DeathsUnder24Hrs],tblDaily[EntryDate],DATE(2026,11,24),tblDaily[WardCode],"MAE")),"")</f>
        <v/>
      </c>
      <c r="F431" s="25">
        <f>IFERROR(IF(SUMIFS(tblDaily[TransfersIn],tblDaily[EntryDate],DATE(2026,11,24),tblDaily[WardCode],"MAE")=0,"",SUMIFS(tblDaily[TransfersIn],tblDaily[EntryDate],DATE(2026,11,24),tblDaily[WardCode],"MAE")),"")</f>
        <v/>
      </c>
      <c r="G431" s="25">
        <f>IFERROR(IF(SUMIFS(tblDaily[TransfersOut],tblDaily[EntryDate],DATE(2026,11,24),tblDaily[WardCode],"MAE")=0,"",SUMIFS(tblDaily[TransfersOut],tblDaily[EntryDate],DATE(2026,11,24),tblDaily[WardCode],"MAE")),"")</f>
        <v/>
      </c>
      <c r="H431" s="25">
        <f>IFERROR(IF(SUMIFS(tblDaily[Remaining],tblDaily[EntryDate],DATE(2026,11,24),tblDaily[WardCode],"MAE")=0,"",SUMIFS(tblDaily[Remaining],tblDaily[EntryDate],DATE(2026,11,24),tblDaily[WardCode],"MAE")),"")</f>
        <v/>
      </c>
      <c r="I431" s="25">
        <f>IFERROR(IF(SUMIFS(tblDaily[Admissions],tblDaily[EntryDate],DATE(2026,11,24),tblDaily[WardCode],"FAE")=0,"",SUMIFS(tblDaily[Admissions],tblDaily[EntryDate],DATE(2026,11,24),tblDaily[WardCode],"FAE")),"")</f>
        <v/>
      </c>
      <c r="J431" s="25">
        <f>IFERROR(IF(SUMIFS(tblDaily[Discharges],tblDaily[EntryDate],DATE(2026,11,24),tblDaily[WardCode],"FAE")=0,"",SUMIFS(tblDaily[Discharges],tblDaily[EntryDate],DATE(2026,11,24),tblDaily[WardCode],"FAE")),"")</f>
        <v/>
      </c>
      <c r="K431" s="25">
        <f>IFERROR(IF(SUMIFS(tblDaily[Deaths],tblDaily[EntryDate],DATE(2026,11,24),tblDaily[WardCode],"FAE")=0,"",SUMIFS(tblDaily[Deaths],tblDaily[EntryDate],DATE(2026,11,24),tblDaily[WardCode],"FAE")),"")</f>
        <v/>
      </c>
      <c r="L431" s="25">
        <f>IFERROR(IF(SUMIFS(tblDaily[DeathsUnder24Hrs],tblDaily[EntryDate],DATE(2026,11,24),tblDaily[WardCode],"FAE")=0,"",SUMIFS(tblDaily[DeathsUnder24Hrs],tblDaily[EntryDate],DATE(2026,11,24),tblDaily[WardCode],"FAE")),"")</f>
        <v/>
      </c>
      <c r="M431" s="25">
        <f>IFERROR(IF(SUMIFS(tblDaily[TransfersIn],tblDaily[EntryDate],DATE(2026,11,24),tblDaily[WardCode],"FAE")=0,"",SUMIFS(tblDaily[TransfersIn],tblDaily[EntryDate],DATE(2026,11,24),tblDaily[WardCode],"FAE")),"")</f>
        <v/>
      </c>
      <c r="N431" s="25">
        <f>IFERROR(IF(SUMIFS(tblDaily[TransfersOut],tblDaily[EntryDate],DATE(2026,11,24),tblDaily[WardCode],"FAE")=0,"",SUMIFS(tblDaily[TransfersOut],tblDaily[EntryDate],DATE(2026,11,24),tblDaily[WardCode],"FAE")),"")</f>
        <v/>
      </c>
      <c r="O431" s="25">
        <f>IFERROR(IF(SUMIFS(tblDaily[Remaining],tblDaily[EntryDate],DATE(2026,11,24),tblDaily[WardCode],"FAE")=0,"",SUMIFS(tblDaily[Remaining],tblDaily[EntryDate],DATE(2026,11,24),tblDaily[WardCode],"FAE")),"")</f>
        <v/>
      </c>
      <c r="P431" s="26">
        <f>IF(AND(H431="", O431=""), "", N(H431) + N(O431))</f>
        <v/>
      </c>
    </row>
    <row r="432">
      <c r="A432" s="25" t="n">
        <v>25</v>
      </c>
      <c r="B432" s="25">
        <f>IFERROR(IF(SUMIFS(tblDaily[Admissions],tblDaily[EntryDate],DATE(2026,11,25),tblDaily[WardCode],"MAE")=0,"",SUMIFS(tblDaily[Admissions],tblDaily[EntryDate],DATE(2026,11,25),tblDaily[WardCode],"MAE")),"")</f>
        <v/>
      </c>
      <c r="C432" s="25">
        <f>IFERROR(IF(SUMIFS(tblDaily[Discharges],tblDaily[EntryDate],DATE(2026,11,25),tblDaily[WardCode],"MAE")=0,"",SUMIFS(tblDaily[Discharges],tblDaily[EntryDate],DATE(2026,11,25),tblDaily[WardCode],"MAE")),"")</f>
        <v/>
      </c>
      <c r="D432" s="25">
        <f>IFERROR(IF(SUMIFS(tblDaily[Deaths],tblDaily[EntryDate],DATE(2026,11,25),tblDaily[WardCode],"MAE")=0,"",SUMIFS(tblDaily[Deaths],tblDaily[EntryDate],DATE(2026,11,25),tblDaily[WardCode],"MAE")),"")</f>
        <v/>
      </c>
      <c r="E432" s="25">
        <f>IFERROR(IF(SUMIFS(tblDaily[DeathsUnder24Hrs],tblDaily[EntryDate],DATE(2026,11,25),tblDaily[WardCode],"MAE")=0,"",SUMIFS(tblDaily[DeathsUnder24Hrs],tblDaily[EntryDate],DATE(2026,11,25),tblDaily[WardCode],"MAE")),"")</f>
        <v/>
      </c>
      <c r="F432" s="25">
        <f>IFERROR(IF(SUMIFS(tblDaily[TransfersIn],tblDaily[EntryDate],DATE(2026,11,25),tblDaily[WardCode],"MAE")=0,"",SUMIFS(tblDaily[TransfersIn],tblDaily[EntryDate],DATE(2026,11,25),tblDaily[WardCode],"MAE")),"")</f>
        <v/>
      </c>
      <c r="G432" s="25">
        <f>IFERROR(IF(SUMIFS(tblDaily[TransfersOut],tblDaily[EntryDate],DATE(2026,11,25),tblDaily[WardCode],"MAE")=0,"",SUMIFS(tblDaily[TransfersOut],tblDaily[EntryDate],DATE(2026,11,25),tblDaily[WardCode],"MAE")),"")</f>
        <v/>
      </c>
      <c r="H432" s="25">
        <f>IFERROR(IF(SUMIFS(tblDaily[Remaining],tblDaily[EntryDate],DATE(2026,11,25),tblDaily[WardCode],"MAE")=0,"",SUMIFS(tblDaily[Remaining],tblDaily[EntryDate],DATE(2026,11,25),tblDaily[WardCode],"MAE")),"")</f>
        <v/>
      </c>
      <c r="I432" s="25">
        <f>IFERROR(IF(SUMIFS(tblDaily[Admissions],tblDaily[EntryDate],DATE(2026,11,25),tblDaily[WardCode],"FAE")=0,"",SUMIFS(tblDaily[Admissions],tblDaily[EntryDate],DATE(2026,11,25),tblDaily[WardCode],"FAE")),"")</f>
        <v/>
      </c>
      <c r="J432" s="25">
        <f>IFERROR(IF(SUMIFS(tblDaily[Discharges],tblDaily[EntryDate],DATE(2026,11,25),tblDaily[WardCode],"FAE")=0,"",SUMIFS(tblDaily[Discharges],tblDaily[EntryDate],DATE(2026,11,25),tblDaily[WardCode],"FAE")),"")</f>
        <v/>
      </c>
      <c r="K432" s="25">
        <f>IFERROR(IF(SUMIFS(tblDaily[Deaths],tblDaily[EntryDate],DATE(2026,11,25),tblDaily[WardCode],"FAE")=0,"",SUMIFS(tblDaily[Deaths],tblDaily[EntryDate],DATE(2026,11,25),tblDaily[WardCode],"FAE")),"")</f>
        <v/>
      </c>
      <c r="L432" s="25">
        <f>IFERROR(IF(SUMIFS(tblDaily[DeathsUnder24Hrs],tblDaily[EntryDate],DATE(2026,11,25),tblDaily[WardCode],"FAE")=0,"",SUMIFS(tblDaily[DeathsUnder24Hrs],tblDaily[EntryDate],DATE(2026,11,25),tblDaily[WardCode],"FAE")),"")</f>
        <v/>
      </c>
      <c r="M432" s="25">
        <f>IFERROR(IF(SUMIFS(tblDaily[TransfersIn],tblDaily[EntryDate],DATE(2026,11,25),tblDaily[WardCode],"FAE")=0,"",SUMIFS(tblDaily[TransfersIn],tblDaily[EntryDate],DATE(2026,11,25),tblDaily[WardCode],"FAE")),"")</f>
        <v/>
      </c>
      <c r="N432" s="25">
        <f>IFERROR(IF(SUMIFS(tblDaily[TransfersOut],tblDaily[EntryDate],DATE(2026,11,25),tblDaily[WardCode],"FAE")=0,"",SUMIFS(tblDaily[TransfersOut],tblDaily[EntryDate],DATE(2026,11,25),tblDaily[WardCode],"FAE")),"")</f>
        <v/>
      </c>
      <c r="O432" s="25">
        <f>IFERROR(IF(SUMIFS(tblDaily[Remaining],tblDaily[EntryDate],DATE(2026,11,25),tblDaily[WardCode],"FAE")=0,"",SUMIFS(tblDaily[Remaining],tblDaily[EntryDate],DATE(2026,11,25),tblDaily[WardCode],"FAE")),"")</f>
        <v/>
      </c>
      <c r="P432" s="26">
        <f>IF(AND(H432="", O432=""), "", N(H432) + N(O432))</f>
        <v/>
      </c>
    </row>
    <row r="433">
      <c r="A433" s="25" t="n">
        <v>26</v>
      </c>
      <c r="B433" s="25">
        <f>IFERROR(IF(SUMIFS(tblDaily[Admissions],tblDaily[EntryDate],DATE(2026,11,26),tblDaily[WardCode],"MAE")=0,"",SUMIFS(tblDaily[Admissions],tblDaily[EntryDate],DATE(2026,11,26),tblDaily[WardCode],"MAE")),"")</f>
        <v/>
      </c>
      <c r="C433" s="25">
        <f>IFERROR(IF(SUMIFS(tblDaily[Discharges],tblDaily[EntryDate],DATE(2026,11,26),tblDaily[WardCode],"MAE")=0,"",SUMIFS(tblDaily[Discharges],tblDaily[EntryDate],DATE(2026,11,26),tblDaily[WardCode],"MAE")),"")</f>
        <v/>
      </c>
      <c r="D433" s="25">
        <f>IFERROR(IF(SUMIFS(tblDaily[Deaths],tblDaily[EntryDate],DATE(2026,11,26),tblDaily[WardCode],"MAE")=0,"",SUMIFS(tblDaily[Deaths],tblDaily[EntryDate],DATE(2026,11,26),tblDaily[WardCode],"MAE")),"")</f>
        <v/>
      </c>
      <c r="E433" s="25">
        <f>IFERROR(IF(SUMIFS(tblDaily[DeathsUnder24Hrs],tblDaily[EntryDate],DATE(2026,11,26),tblDaily[WardCode],"MAE")=0,"",SUMIFS(tblDaily[DeathsUnder24Hrs],tblDaily[EntryDate],DATE(2026,11,26),tblDaily[WardCode],"MAE")),"")</f>
        <v/>
      </c>
      <c r="F433" s="25">
        <f>IFERROR(IF(SUMIFS(tblDaily[TransfersIn],tblDaily[EntryDate],DATE(2026,11,26),tblDaily[WardCode],"MAE")=0,"",SUMIFS(tblDaily[TransfersIn],tblDaily[EntryDate],DATE(2026,11,26),tblDaily[WardCode],"MAE")),"")</f>
        <v/>
      </c>
      <c r="G433" s="25">
        <f>IFERROR(IF(SUMIFS(tblDaily[TransfersOut],tblDaily[EntryDate],DATE(2026,11,26),tblDaily[WardCode],"MAE")=0,"",SUMIFS(tblDaily[TransfersOut],tblDaily[EntryDate],DATE(2026,11,26),tblDaily[WardCode],"MAE")),"")</f>
        <v/>
      </c>
      <c r="H433" s="25">
        <f>IFERROR(IF(SUMIFS(tblDaily[Remaining],tblDaily[EntryDate],DATE(2026,11,26),tblDaily[WardCode],"MAE")=0,"",SUMIFS(tblDaily[Remaining],tblDaily[EntryDate],DATE(2026,11,26),tblDaily[WardCode],"MAE")),"")</f>
        <v/>
      </c>
      <c r="I433" s="25">
        <f>IFERROR(IF(SUMIFS(tblDaily[Admissions],tblDaily[EntryDate],DATE(2026,11,26),tblDaily[WardCode],"FAE")=0,"",SUMIFS(tblDaily[Admissions],tblDaily[EntryDate],DATE(2026,11,26),tblDaily[WardCode],"FAE")),"")</f>
        <v/>
      </c>
      <c r="J433" s="25">
        <f>IFERROR(IF(SUMIFS(tblDaily[Discharges],tblDaily[EntryDate],DATE(2026,11,26),tblDaily[WardCode],"FAE")=0,"",SUMIFS(tblDaily[Discharges],tblDaily[EntryDate],DATE(2026,11,26),tblDaily[WardCode],"FAE")),"")</f>
        <v/>
      </c>
      <c r="K433" s="25">
        <f>IFERROR(IF(SUMIFS(tblDaily[Deaths],tblDaily[EntryDate],DATE(2026,11,26),tblDaily[WardCode],"FAE")=0,"",SUMIFS(tblDaily[Deaths],tblDaily[EntryDate],DATE(2026,11,26),tblDaily[WardCode],"FAE")),"")</f>
        <v/>
      </c>
      <c r="L433" s="25">
        <f>IFERROR(IF(SUMIFS(tblDaily[DeathsUnder24Hrs],tblDaily[EntryDate],DATE(2026,11,26),tblDaily[WardCode],"FAE")=0,"",SUMIFS(tblDaily[DeathsUnder24Hrs],tblDaily[EntryDate],DATE(2026,11,26),tblDaily[WardCode],"FAE")),"")</f>
        <v/>
      </c>
      <c r="M433" s="25">
        <f>IFERROR(IF(SUMIFS(tblDaily[TransfersIn],tblDaily[EntryDate],DATE(2026,11,26),tblDaily[WardCode],"FAE")=0,"",SUMIFS(tblDaily[TransfersIn],tblDaily[EntryDate],DATE(2026,11,26),tblDaily[WardCode],"FAE")),"")</f>
        <v/>
      </c>
      <c r="N433" s="25">
        <f>IFERROR(IF(SUMIFS(tblDaily[TransfersOut],tblDaily[EntryDate],DATE(2026,11,26),tblDaily[WardCode],"FAE")=0,"",SUMIFS(tblDaily[TransfersOut],tblDaily[EntryDate],DATE(2026,11,26),tblDaily[WardCode],"FAE")),"")</f>
        <v/>
      </c>
      <c r="O433" s="25">
        <f>IFERROR(IF(SUMIFS(tblDaily[Remaining],tblDaily[EntryDate],DATE(2026,11,26),tblDaily[WardCode],"FAE")=0,"",SUMIFS(tblDaily[Remaining],tblDaily[EntryDate],DATE(2026,11,26),tblDaily[WardCode],"FAE")),"")</f>
        <v/>
      </c>
      <c r="P433" s="26">
        <f>IF(AND(H433="", O433=""), "", N(H433) + N(O433))</f>
        <v/>
      </c>
    </row>
    <row r="434">
      <c r="A434" s="25" t="n">
        <v>27</v>
      </c>
      <c r="B434" s="25">
        <f>IFERROR(IF(SUMIFS(tblDaily[Admissions],tblDaily[EntryDate],DATE(2026,11,27),tblDaily[WardCode],"MAE")=0,"",SUMIFS(tblDaily[Admissions],tblDaily[EntryDate],DATE(2026,11,27),tblDaily[WardCode],"MAE")),"")</f>
        <v/>
      </c>
      <c r="C434" s="25">
        <f>IFERROR(IF(SUMIFS(tblDaily[Discharges],tblDaily[EntryDate],DATE(2026,11,27),tblDaily[WardCode],"MAE")=0,"",SUMIFS(tblDaily[Discharges],tblDaily[EntryDate],DATE(2026,11,27),tblDaily[WardCode],"MAE")),"")</f>
        <v/>
      </c>
      <c r="D434" s="25">
        <f>IFERROR(IF(SUMIFS(tblDaily[Deaths],tblDaily[EntryDate],DATE(2026,11,27),tblDaily[WardCode],"MAE")=0,"",SUMIFS(tblDaily[Deaths],tblDaily[EntryDate],DATE(2026,11,27),tblDaily[WardCode],"MAE")),"")</f>
        <v/>
      </c>
      <c r="E434" s="25">
        <f>IFERROR(IF(SUMIFS(tblDaily[DeathsUnder24Hrs],tblDaily[EntryDate],DATE(2026,11,27),tblDaily[WardCode],"MAE")=0,"",SUMIFS(tblDaily[DeathsUnder24Hrs],tblDaily[EntryDate],DATE(2026,11,27),tblDaily[WardCode],"MAE")),"")</f>
        <v/>
      </c>
      <c r="F434" s="25">
        <f>IFERROR(IF(SUMIFS(tblDaily[TransfersIn],tblDaily[EntryDate],DATE(2026,11,27),tblDaily[WardCode],"MAE")=0,"",SUMIFS(tblDaily[TransfersIn],tblDaily[EntryDate],DATE(2026,11,27),tblDaily[WardCode],"MAE")),"")</f>
        <v/>
      </c>
      <c r="G434" s="25">
        <f>IFERROR(IF(SUMIFS(tblDaily[TransfersOut],tblDaily[EntryDate],DATE(2026,11,27),tblDaily[WardCode],"MAE")=0,"",SUMIFS(tblDaily[TransfersOut],tblDaily[EntryDate],DATE(2026,11,27),tblDaily[WardCode],"MAE")),"")</f>
        <v/>
      </c>
      <c r="H434" s="25">
        <f>IFERROR(IF(SUMIFS(tblDaily[Remaining],tblDaily[EntryDate],DATE(2026,11,27),tblDaily[WardCode],"MAE")=0,"",SUMIFS(tblDaily[Remaining],tblDaily[EntryDate],DATE(2026,11,27),tblDaily[WardCode],"MAE")),"")</f>
        <v/>
      </c>
      <c r="I434" s="25">
        <f>IFERROR(IF(SUMIFS(tblDaily[Admissions],tblDaily[EntryDate],DATE(2026,11,27),tblDaily[WardCode],"FAE")=0,"",SUMIFS(tblDaily[Admissions],tblDaily[EntryDate],DATE(2026,11,27),tblDaily[WardCode],"FAE")),"")</f>
        <v/>
      </c>
      <c r="J434" s="25">
        <f>IFERROR(IF(SUMIFS(tblDaily[Discharges],tblDaily[EntryDate],DATE(2026,11,27),tblDaily[WardCode],"FAE")=0,"",SUMIFS(tblDaily[Discharges],tblDaily[EntryDate],DATE(2026,11,27),tblDaily[WardCode],"FAE")),"")</f>
        <v/>
      </c>
      <c r="K434" s="25">
        <f>IFERROR(IF(SUMIFS(tblDaily[Deaths],tblDaily[EntryDate],DATE(2026,11,27),tblDaily[WardCode],"FAE")=0,"",SUMIFS(tblDaily[Deaths],tblDaily[EntryDate],DATE(2026,11,27),tblDaily[WardCode],"FAE")),"")</f>
        <v/>
      </c>
      <c r="L434" s="25">
        <f>IFERROR(IF(SUMIFS(tblDaily[DeathsUnder24Hrs],tblDaily[EntryDate],DATE(2026,11,27),tblDaily[WardCode],"FAE")=0,"",SUMIFS(tblDaily[DeathsUnder24Hrs],tblDaily[EntryDate],DATE(2026,11,27),tblDaily[WardCode],"FAE")),"")</f>
        <v/>
      </c>
      <c r="M434" s="25">
        <f>IFERROR(IF(SUMIFS(tblDaily[TransfersIn],tblDaily[EntryDate],DATE(2026,11,27),tblDaily[WardCode],"FAE")=0,"",SUMIFS(tblDaily[TransfersIn],tblDaily[EntryDate],DATE(2026,11,27),tblDaily[WardCode],"FAE")),"")</f>
        <v/>
      </c>
      <c r="N434" s="25">
        <f>IFERROR(IF(SUMIFS(tblDaily[TransfersOut],tblDaily[EntryDate],DATE(2026,11,27),tblDaily[WardCode],"FAE")=0,"",SUMIFS(tblDaily[TransfersOut],tblDaily[EntryDate],DATE(2026,11,27),tblDaily[WardCode],"FAE")),"")</f>
        <v/>
      </c>
      <c r="O434" s="25">
        <f>IFERROR(IF(SUMIFS(tblDaily[Remaining],tblDaily[EntryDate],DATE(2026,11,27),tblDaily[WardCode],"FAE")=0,"",SUMIFS(tblDaily[Remaining],tblDaily[EntryDate],DATE(2026,11,27),tblDaily[WardCode],"FAE")),"")</f>
        <v/>
      </c>
      <c r="P434" s="26">
        <f>IF(AND(H434="", O434=""), "", N(H434) + N(O434))</f>
        <v/>
      </c>
    </row>
    <row r="435">
      <c r="A435" s="25" t="n">
        <v>28</v>
      </c>
      <c r="B435" s="25">
        <f>IFERROR(IF(SUMIFS(tblDaily[Admissions],tblDaily[EntryDate],DATE(2026,11,28),tblDaily[WardCode],"MAE")=0,"",SUMIFS(tblDaily[Admissions],tblDaily[EntryDate],DATE(2026,11,28),tblDaily[WardCode],"MAE")),"")</f>
        <v/>
      </c>
      <c r="C435" s="25">
        <f>IFERROR(IF(SUMIFS(tblDaily[Discharges],tblDaily[EntryDate],DATE(2026,11,28),tblDaily[WardCode],"MAE")=0,"",SUMIFS(tblDaily[Discharges],tblDaily[EntryDate],DATE(2026,11,28),tblDaily[WardCode],"MAE")),"")</f>
        <v/>
      </c>
      <c r="D435" s="25">
        <f>IFERROR(IF(SUMIFS(tblDaily[Deaths],tblDaily[EntryDate],DATE(2026,11,28),tblDaily[WardCode],"MAE")=0,"",SUMIFS(tblDaily[Deaths],tblDaily[EntryDate],DATE(2026,11,28),tblDaily[WardCode],"MAE")),"")</f>
        <v/>
      </c>
      <c r="E435" s="25">
        <f>IFERROR(IF(SUMIFS(tblDaily[DeathsUnder24Hrs],tblDaily[EntryDate],DATE(2026,11,28),tblDaily[WardCode],"MAE")=0,"",SUMIFS(tblDaily[DeathsUnder24Hrs],tblDaily[EntryDate],DATE(2026,11,28),tblDaily[WardCode],"MAE")),"")</f>
        <v/>
      </c>
      <c r="F435" s="25">
        <f>IFERROR(IF(SUMIFS(tblDaily[TransfersIn],tblDaily[EntryDate],DATE(2026,11,28),tblDaily[WardCode],"MAE")=0,"",SUMIFS(tblDaily[TransfersIn],tblDaily[EntryDate],DATE(2026,11,28),tblDaily[WardCode],"MAE")),"")</f>
        <v/>
      </c>
      <c r="G435" s="25">
        <f>IFERROR(IF(SUMIFS(tblDaily[TransfersOut],tblDaily[EntryDate],DATE(2026,11,28),tblDaily[WardCode],"MAE")=0,"",SUMIFS(tblDaily[TransfersOut],tblDaily[EntryDate],DATE(2026,11,28),tblDaily[WardCode],"MAE")),"")</f>
        <v/>
      </c>
      <c r="H435" s="25">
        <f>IFERROR(IF(SUMIFS(tblDaily[Remaining],tblDaily[EntryDate],DATE(2026,11,28),tblDaily[WardCode],"MAE")=0,"",SUMIFS(tblDaily[Remaining],tblDaily[EntryDate],DATE(2026,11,28),tblDaily[WardCode],"MAE")),"")</f>
        <v/>
      </c>
      <c r="I435" s="25">
        <f>IFERROR(IF(SUMIFS(tblDaily[Admissions],tblDaily[EntryDate],DATE(2026,11,28),tblDaily[WardCode],"FAE")=0,"",SUMIFS(tblDaily[Admissions],tblDaily[EntryDate],DATE(2026,11,28),tblDaily[WardCode],"FAE")),"")</f>
        <v/>
      </c>
      <c r="J435" s="25">
        <f>IFERROR(IF(SUMIFS(tblDaily[Discharges],tblDaily[EntryDate],DATE(2026,11,28),tblDaily[WardCode],"FAE")=0,"",SUMIFS(tblDaily[Discharges],tblDaily[EntryDate],DATE(2026,11,28),tblDaily[WardCode],"FAE")),"")</f>
        <v/>
      </c>
      <c r="K435" s="25">
        <f>IFERROR(IF(SUMIFS(tblDaily[Deaths],tblDaily[EntryDate],DATE(2026,11,28),tblDaily[WardCode],"FAE")=0,"",SUMIFS(tblDaily[Deaths],tblDaily[EntryDate],DATE(2026,11,28),tblDaily[WardCode],"FAE")),"")</f>
        <v/>
      </c>
      <c r="L435" s="25">
        <f>IFERROR(IF(SUMIFS(tblDaily[DeathsUnder24Hrs],tblDaily[EntryDate],DATE(2026,11,28),tblDaily[WardCode],"FAE")=0,"",SUMIFS(tblDaily[DeathsUnder24Hrs],tblDaily[EntryDate],DATE(2026,11,28),tblDaily[WardCode],"FAE")),"")</f>
        <v/>
      </c>
      <c r="M435" s="25">
        <f>IFERROR(IF(SUMIFS(tblDaily[TransfersIn],tblDaily[EntryDate],DATE(2026,11,28),tblDaily[WardCode],"FAE")=0,"",SUMIFS(tblDaily[TransfersIn],tblDaily[EntryDate],DATE(2026,11,28),tblDaily[WardCode],"FAE")),"")</f>
        <v/>
      </c>
      <c r="N435" s="25">
        <f>IFERROR(IF(SUMIFS(tblDaily[TransfersOut],tblDaily[EntryDate],DATE(2026,11,28),tblDaily[WardCode],"FAE")=0,"",SUMIFS(tblDaily[TransfersOut],tblDaily[EntryDate],DATE(2026,11,28),tblDaily[WardCode],"FAE")),"")</f>
        <v/>
      </c>
      <c r="O435" s="25">
        <f>IFERROR(IF(SUMIFS(tblDaily[Remaining],tblDaily[EntryDate],DATE(2026,11,28),tblDaily[WardCode],"FAE")=0,"",SUMIFS(tblDaily[Remaining],tblDaily[EntryDate],DATE(2026,11,28),tblDaily[WardCode],"FAE")),"")</f>
        <v/>
      </c>
      <c r="P435" s="26">
        <f>IF(AND(H435="", O435=""), "", N(H435) + N(O435))</f>
        <v/>
      </c>
    </row>
    <row r="436">
      <c r="A436" s="25" t="n">
        <v>29</v>
      </c>
      <c r="B436" s="25">
        <f>IFERROR(IF(SUMIFS(tblDaily[Admissions],tblDaily[EntryDate],DATE(2026,11,29),tblDaily[WardCode],"MAE")=0,"",SUMIFS(tblDaily[Admissions],tblDaily[EntryDate],DATE(2026,11,29),tblDaily[WardCode],"MAE")),"")</f>
        <v/>
      </c>
      <c r="C436" s="25">
        <f>IFERROR(IF(SUMIFS(tblDaily[Discharges],tblDaily[EntryDate],DATE(2026,11,29),tblDaily[WardCode],"MAE")=0,"",SUMIFS(tblDaily[Discharges],tblDaily[EntryDate],DATE(2026,11,29),tblDaily[WardCode],"MAE")),"")</f>
        <v/>
      </c>
      <c r="D436" s="25">
        <f>IFERROR(IF(SUMIFS(tblDaily[Deaths],tblDaily[EntryDate],DATE(2026,11,29),tblDaily[WardCode],"MAE")=0,"",SUMIFS(tblDaily[Deaths],tblDaily[EntryDate],DATE(2026,11,29),tblDaily[WardCode],"MAE")),"")</f>
        <v/>
      </c>
      <c r="E436" s="25">
        <f>IFERROR(IF(SUMIFS(tblDaily[DeathsUnder24Hrs],tblDaily[EntryDate],DATE(2026,11,29),tblDaily[WardCode],"MAE")=0,"",SUMIFS(tblDaily[DeathsUnder24Hrs],tblDaily[EntryDate],DATE(2026,11,29),tblDaily[WardCode],"MAE")),"")</f>
        <v/>
      </c>
      <c r="F436" s="25">
        <f>IFERROR(IF(SUMIFS(tblDaily[TransfersIn],tblDaily[EntryDate],DATE(2026,11,29),tblDaily[WardCode],"MAE")=0,"",SUMIFS(tblDaily[TransfersIn],tblDaily[EntryDate],DATE(2026,11,29),tblDaily[WardCode],"MAE")),"")</f>
        <v/>
      </c>
      <c r="G436" s="25">
        <f>IFERROR(IF(SUMIFS(tblDaily[TransfersOut],tblDaily[EntryDate],DATE(2026,11,29),tblDaily[WardCode],"MAE")=0,"",SUMIFS(tblDaily[TransfersOut],tblDaily[EntryDate],DATE(2026,11,29),tblDaily[WardCode],"MAE")),"")</f>
        <v/>
      </c>
      <c r="H436" s="25">
        <f>IFERROR(IF(SUMIFS(tblDaily[Remaining],tblDaily[EntryDate],DATE(2026,11,29),tblDaily[WardCode],"MAE")=0,"",SUMIFS(tblDaily[Remaining],tblDaily[EntryDate],DATE(2026,11,29),tblDaily[WardCode],"MAE")),"")</f>
        <v/>
      </c>
      <c r="I436" s="25">
        <f>IFERROR(IF(SUMIFS(tblDaily[Admissions],tblDaily[EntryDate],DATE(2026,11,29),tblDaily[WardCode],"FAE")=0,"",SUMIFS(tblDaily[Admissions],tblDaily[EntryDate],DATE(2026,11,29),tblDaily[WardCode],"FAE")),"")</f>
        <v/>
      </c>
      <c r="J436" s="25">
        <f>IFERROR(IF(SUMIFS(tblDaily[Discharges],tblDaily[EntryDate],DATE(2026,11,29),tblDaily[WardCode],"FAE")=0,"",SUMIFS(tblDaily[Discharges],tblDaily[EntryDate],DATE(2026,11,29),tblDaily[WardCode],"FAE")),"")</f>
        <v/>
      </c>
      <c r="K436" s="25">
        <f>IFERROR(IF(SUMIFS(tblDaily[Deaths],tblDaily[EntryDate],DATE(2026,11,29),tblDaily[WardCode],"FAE")=0,"",SUMIFS(tblDaily[Deaths],tblDaily[EntryDate],DATE(2026,11,29),tblDaily[WardCode],"FAE")),"")</f>
        <v/>
      </c>
      <c r="L436" s="25">
        <f>IFERROR(IF(SUMIFS(tblDaily[DeathsUnder24Hrs],tblDaily[EntryDate],DATE(2026,11,29),tblDaily[WardCode],"FAE")=0,"",SUMIFS(tblDaily[DeathsUnder24Hrs],tblDaily[EntryDate],DATE(2026,11,29),tblDaily[WardCode],"FAE")),"")</f>
        <v/>
      </c>
      <c r="M436" s="25">
        <f>IFERROR(IF(SUMIFS(tblDaily[TransfersIn],tblDaily[EntryDate],DATE(2026,11,29),tblDaily[WardCode],"FAE")=0,"",SUMIFS(tblDaily[TransfersIn],tblDaily[EntryDate],DATE(2026,11,29),tblDaily[WardCode],"FAE")),"")</f>
        <v/>
      </c>
      <c r="N436" s="25">
        <f>IFERROR(IF(SUMIFS(tblDaily[TransfersOut],tblDaily[EntryDate],DATE(2026,11,29),tblDaily[WardCode],"FAE")=0,"",SUMIFS(tblDaily[TransfersOut],tblDaily[EntryDate],DATE(2026,11,29),tblDaily[WardCode],"FAE")),"")</f>
        <v/>
      </c>
      <c r="O436" s="25">
        <f>IFERROR(IF(SUMIFS(tblDaily[Remaining],tblDaily[EntryDate],DATE(2026,11,29),tblDaily[WardCode],"FAE")=0,"",SUMIFS(tblDaily[Remaining],tblDaily[EntryDate],DATE(2026,11,29),tblDaily[WardCode],"FAE")),"")</f>
        <v/>
      </c>
      <c r="P436" s="26">
        <f>IF(AND(H436="", O436=""), "", N(H436) + N(O436))</f>
        <v/>
      </c>
    </row>
    <row r="437">
      <c r="A437" s="25" t="n">
        <v>30</v>
      </c>
      <c r="B437" s="25">
        <f>IFERROR(IF(SUMIFS(tblDaily[Admissions],tblDaily[EntryDate],DATE(2026,11,30),tblDaily[WardCode],"MAE")=0,"",SUMIFS(tblDaily[Admissions],tblDaily[EntryDate],DATE(2026,11,30),tblDaily[WardCode],"MAE")),"")</f>
        <v/>
      </c>
      <c r="C437" s="25">
        <f>IFERROR(IF(SUMIFS(tblDaily[Discharges],tblDaily[EntryDate],DATE(2026,11,30),tblDaily[WardCode],"MAE")=0,"",SUMIFS(tblDaily[Discharges],tblDaily[EntryDate],DATE(2026,11,30),tblDaily[WardCode],"MAE")),"")</f>
        <v/>
      </c>
      <c r="D437" s="25">
        <f>IFERROR(IF(SUMIFS(tblDaily[Deaths],tblDaily[EntryDate],DATE(2026,11,30),tblDaily[WardCode],"MAE")=0,"",SUMIFS(tblDaily[Deaths],tblDaily[EntryDate],DATE(2026,11,30),tblDaily[WardCode],"MAE")),"")</f>
        <v/>
      </c>
      <c r="E437" s="25">
        <f>IFERROR(IF(SUMIFS(tblDaily[DeathsUnder24Hrs],tblDaily[EntryDate],DATE(2026,11,30),tblDaily[WardCode],"MAE")=0,"",SUMIFS(tblDaily[DeathsUnder24Hrs],tblDaily[EntryDate],DATE(2026,11,30),tblDaily[WardCode],"MAE")),"")</f>
        <v/>
      </c>
      <c r="F437" s="25">
        <f>IFERROR(IF(SUMIFS(tblDaily[TransfersIn],tblDaily[EntryDate],DATE(2026,11,30),tblDaily[WardCode],"MAE")=0,"",SUMIFS(tblDaily[TransfersIn],tblDaily[EntryDate],DATE(2026,11,30),tblDaily[WardCode],"MAE")),"")</f>
        <v/>
      </c>
      <c r="G437" s="25">
        <f>IFERROR(IF(SUMIFS(tblDaily[TransfersOut],tblDaily[EntryDate],DATE(2026,11,30),tblDaily[WardCode],"MAE")=0,"",SUMIFS(tblDaily[TransfersOut],tblDaily[EntryDate],DATE(2026,11,30),tblDaily[WardCode],"MAE")),"")</f>
        <v/>
      </c>
      <c r="H437" s="25">
        <f>IFERROR(IF(SUMIFS(tblDaily[Remaining],tblDaily[EntryDate],DATE(2026,11,30),tblDaily[WardCode],"MAE")=0,"",SUMIFS(tblDaily[Remaining],tblDaily[EntryDate],DATE(2026,11,30),tblDaily[WardCode],"MAE")),"")</f>
        <v/>
      </c>
      <c r="I437" s="25">
        <f>IFERROR(IF(SUMIFS(tblDaily[Admissions],tblDaily[EntryDate],DATE(2026,11,30),tblDaily[WardCode],"FAE")=0,"",SUMIFS(tblDaily[Admissions],tblDaily[EntryDate],DATE(2026,11,30),tblDaily[WardCode],"FAE")),"")</f>
        <v/>
      </c>
      <c r="J437" s="25">
        <f>IFERROR(IF(SUMIFS(tblDaily[Discharges],tblDaily[EntryDate],DATE(2026,11,30),tblDaily[WardCode],"FAE")=0,"",SUMIFS(tblDaily[Discharges],tblDaily[EntryDate],DATE(2026,11,30),tblDaily[WardCode],"FAE")),"")</f>
        <v/>
      </c>
      <c r="K437" s="25">
        <f>IFERROR(IF(SUMIFS(tblDaily[Deaths],tblDaily[EntryDate],DATE(2026,11,30),tblDaily[WardCode],"FAE")=0,"",SUMIFS(tblDaily[Deaths],tblDaily[EntryDate],DATE(2026,11,30),tblDaily[WardCode],"FAE")),"")</f>
        <v/>
      </c>
      <c r="L437" s="25">
        <f>IFERROR(IF(SUMIFS(tblDaily[DeathsUnder24Hrs],tblDaily[EntryDate],DATE(2026,11,30),tblDaily[WardCode],"FAE")=0,"",SUMIFS(tblDaily[DeathsUnder24Hrs],tblDaily[EntryDate],DATE(2026,11,30),tblDaily[WardCode],"FAE")),"")</f>
        <v/>
      </c>
      <c r="M437" s="25">
        <f>IFERROR(IF(SUMIFS(tblDaily[TransfersIn],tblDaily[EntryDate],DATE(2026,11,30),tblDaily[WardCode],"FAE")=0,"",SUMIFS(tblDaily[TransfersIn],tblDaily[EntryDate],DATE(2026,11,30),tblDaily[WardCode],"FAE")),"")</f>
        <v/>
      </c>
      <c r="N437" s="25">
        <f>IFERROR(IF(SUMIFS(tblDaily[TransfersOut],tblDaily[EntryDate],DATE(2026,11,30),tblDaily[WardCode],"FAE")=0,"",SUMIFS(tblDaily[TransfersOut],tblDaily[EntryDate],DATE(2026,11,30),tblDaily[WardCode],"FAE")),"")</f>
        <v/>
      </c>
      <c r="O437" s="25">
        <f>IFERROR(IF(SUMIFS(tblDaily[Remaining],tblDaily[EntryDate],DATE(2026,11,30),tblDaily[WardCode],"FAE")=0,"",SUMIFS(tblDaily[Remaining],tblDaily[EntryDate],DATE(2026,11,30),tblDaily[WardCode],"FAE")),"")</f>
        <v/>
      </c>
      <c r="P437" s="26">
        <f>IF(AND(H437="", O437=""), "", N(H437) + N(O437))</f>
        <v/>
      </c>
    </row>
    <row r="438">
      <c r="A438" s="25" t="n">
        <v>31</v>
      </c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</row>
    <row r="439">
      <c r="A439" s="17" t="inlineStr">
        <is>
          <t>TOTAL</t>
        </is>
      </c>
      <c r="B439" s="17">
        <f>SUMIFS(tblDaily[Admissions],tblDaily[Month],11,tblDaily[WardCode],"MAE") - SUMIFS(tblDaily[DeathsUnder24Hrs],tblDaily[Month],11,tblDaily[WardCode],"MAE")</f>
        <v/>
      </c>
      <c r="C439" s="17">
        <f>SUMIFS(tblDaily[Discharges],tblDaily[Month],11,tblDaily[WardCode],"MAE")</f>
        <v/>
      </c>
      <c r="D439" s="17">
        <f>SUMIFS(tblDaily[Deaths],tblDaily[Month],11,tblDaily[WardCode],"MAE")</f>
        <v/>
      </c>
      <c r="E439" s="17">
        <f>SUMIFS(tblDaily[DeathsUnder24Hrs],tblDaily[Month],11,tblDaily[WardCode],"MAE")</f>
        <v/>
      </c>
      <c r="F439" s="17">
        <f>SUMIFS(tblDaily[TransfersIn],tblDaily[Month],11,tblDaily[WardCode],"MAE")</f>
        <v/>
      </c>
      <c r="G439" s="17">
        <f>SUMIFS(tblDaily[TransfersOut],tblDaily[Month],11,tblDaily[WardCode],"MAE")</f>
        <v/>
      </c>
      <c r="H439" s="17">
        <f>SUMIFS(tblDaily[Remaining],tblDaily[Month],11,tblDaily[WardCode],"MAE")</f>
        <v/>
      </c>
      <c r="I439" s="17">
        <f>SUMIFS(tblDaily[Admissions],tblDaily[Month],11,tblDaily[WardCode],"FAE") - SUMIFS(tblDaily[DeathsUnder24Hrs],tblDaily[Month],11,tblDaily[WardCode],"FAE")</f>
        <v/>
      </c>
      <c r="J439" s="17">
        <f>SUMIFS(tblDaily[Discharges],tblDaily[Month],11,tblDaily[WardCode],"FAE")</f>
        <v/>
      </c>
      <c r="K439" s="17">
        <f>SUMIFS(tblDaily[Deaths],tblDaily[Month],11,tblDaily[WardCode],"FAE")</f>
        <v/>
      </c>
      <c r="L439" s="17">
        <f>SUMIFS(tblDaily[DeathsUnder24Hrs],tblDaily[Month],11,tblDaily[WardCode],"FAE")</f>
        <v/>
      </c>
      <c r="M439" s="17">
        <f>SUMIFS(tblDaily[TransfersIn],tblDaily[Month],11,tblDaily[WardCode],"FAE")</f>
        <v/>
      </c>
      <c r="N439" s="17">
        <f>SUMIFS(tblDaily[TransfersOut],tblDaily[Month],11,tblDaily[WardCode],"FAE")</f>
        <v/>
      </c>
      <c r="O439" s="17">
        <f>SUMIFS(tblDaily[Remaining],tblDaily[Month],11,tblDaily[WardCode],"FAE")</f>
        <v/>
      </c>
      <c r="P439" s="17">
        <f>H439 + O439</f>
        <v/>
      </c>
    </row>
    <row r="441">
      <c r="A441" s="19" t="inlineStr">
        <is>
          <t>GHANA HEALTH SERVICE</t>
        </is>
      </c>
    </row>
    <row r="442">
      <c r="A442" s="2" t="inlineStr">
        <is>
          <t>DAILY BED UTILIZATION FORM</t>
        </is>
      </c>
    </row>
    <row r="443">
      <c r="A443" s="4" t="inlineStr">
        <is>
          <t>Hospital:</t>
        </is>
      </c>
      <c r="B443" s="5" t="inlineStr">
        <is>
          <t>HOHOE MUNICIPAL HOSPITAL</t>
        </is>
      </c>
      <c r="E443" s="4" t="inlineStr">
        <is>
          <t>Ward:</t>
        </is>
      </c>
      <c r="F443" s="4" t="inlineStr">
        <is>
          <t>EMERGENCY (COMBINED)</t>
        </is>
      </c>
      <c r="M443" s="4" t="inlineStr">
        <is>
          <t>MONTH</t>
        </is>
      </c>
      <c r="N443" s="4" t="inlineStr">
        <is>
          <t>DECEMBER</t>
        </is>
      </c>
    </row>
    <row r="444">
      <c r="A444" s="4" t="inlineStr">
        <is>
          <t>Number of patients remaining as at last day of previous month</t>
        </is>
      </c>
      <c r="B444" s="20">
        <f>IFERROR(SUMIFS(tblDaily[Remaining],tblDaily[EntryDate],DATE(2026,11,30),tblDaily[WardCode],"MAE"),0)</f>
        <v/>
      </c>
      <c r="I444" s="20">
        <f>IFERROR(SUMIFS(tblDaily[Remaining],tblDaily[EntryDate],DATE(2026,11,30),tblDaily[WardCode],"FAE"),0)</f>
        <v/>
      </c>
    </row>
    <row r="445">
      <c r="A445" s="4" t="inlineStr">
        <is>
          <t>Bed complement</t>
        </is>
      </c>
      <c r="B445" s="20">
        <f>IFERROR(INDEX(tblWardConfig[BedComplement],MATCH("MAE",tblWardConfig[WardCode],0)),0)</f>
        <v/>
      </c>
      <c r="I445" s="20">
        <f>IFERROR(INDEX(tblWardConfig[BedComplement],MATCH("FAE",tblWardConfig[WardCode],0)),0)</f>
        <v/>
      </c>
      <c r="O445" s="21">
        <f>B445+I445</f>
        <v/>
      </c>
    </row>
    <row r="446">
      <c r="A446" s="11" t="inlineStr">
        <is>
          <t>Day</t>
        </is>
      </c>
      <c r="B446" s="22" t="inlineStr">
        <is>
          <t>MALE EMERGENCY</t>
        </is>
      </c>
      <c r="I446" s="23" t="inlineStr">
        <is>
          <t>FEMALE EMERGENCY</t>
        </is>
      </c>
      <c r="P446" s="24" t="inlineStr">
        <is>
          <t>TOTAL</t>
        </is>
      </c>
    </row>
    <row r="447">
      <c r="A447" s="11" t="inlineStr">
        <is>
          <t>Day</t>
        </is>
      </c>
      <c r="B447" s="11" t="inlineStr">
        <is>
          <t>Adm</t>
        </is>
      </c>
      <c r="C447" s="11" t="inlineStr">
        <is>
          <t>Dis</t>
        </is>
      </c>
      <c r="D447" s="11" t="inlineStr">
        <is>
          <t>Dth</t>
        </is>
      </c>
      <c r="E447" s="11" t="inlineStr">
        <is>
          <t>D&lt;24</t>
        </is>
      </c>
      <c r="F447" s="11" t="inlineStr">
        <is>
          <t>TrIn</t>
        </is>
      </c>
      <c r="G447" s="11" t="inlineStr">
        <is>
          <t>TrOut</t>
        </is>
      </c>
      <c r="H447" s="11" t="inlineStr">
        <is>
          <t>Rem</t>
        </is>
      </c>
      <c r="I447" s="11" t="inlineStr">
        <is>
          <t>Adm</t>
        </is>
      </c>
      <c r="J447" s="11" t="inlineStr">
        <is>
          <t>Dis</t>
        </is>
      </c>
      <c r="K447" s="11" t="inlineStr">
        <is>
          <t>Dth</t>
        </is>
      </c>
      <c r="L447" s="11" t="inlineStr">
        <is>
          <t>D&lt;24</t>
        </is>
      </c>
      <c r="M447" s="11" t="inlineStr">
        <is>
          <t>TrIn</t>
        </is>
      </c>
      <c r="N447" s="11" t="inlineStr">
        <is>
          <t>TrOut</t>
        </is>
      </c>
      <c r="O447" s="11" t="inlineStr">
        <is>
          <t>Rem</t>
        </is>
      </c>
      <c r="P447" s="11" t="inlineStr">
        <is>
          <t>Tot
Rem</t>
        </is>
      </c>
    </row>
    <row r="448">
      <c r="A448" s="25" t="n">
        <v>1</v>
      </c>
      <c r="B448" s="25">
        <f>IFERROR(IF(SUMIFS(tblDaily[Admissions],tblDaily[EntryDate],DATE(2026,12,1),tblDaily[WardCode],"MAE")=0,"",SUMIFS(tblDaily[Admissions],tblDaily[EntryDate],DATE(2026,12,1),tblDaily[WardCode],"MAE")),"")</f>
        <v/>
      </c>
      <c r="C448" s="25">
        <f>IFERROR(IF(SUMIFS(tblDaily[Discharges],tblDaily[EntryDate],DATE(2026,12,1),tblDaily[WardCode],"MAE")=0,"",SUMIFS(tblDaily[Discharges],tblDaily[EntryDate],DATE(2026,12,1),tblDaily[WardCode],"MAE")),"")</f>
        <v/>
      </c>
      <c r="D448" s="25">
        <f>IFERROR(IF(SUMIFS(tblDaily[Deaths],tblDaily[EntryDate],DATE(2026,12,1),tblDaily[WardCode],"MAE")=0,"",SUMIFS(tblDaily[Deaths],tblDaily[EntryDate],DATE(2026,12,1),tblDaily[WardCode],"MAE")),"")</f>
        <v/>
      </c>
      <c r="E448" s="25">
        <f>IFERROR(IF(SUMIFS(tblDaily[DeathsUnder24Hrs],tblDaily[EntryDate],DATE(2026,12,1),tblDaily[WardCode],"MAE")=0,"",SUMIFS(tblDaily[DeathsUnder24Hrs],tblDaily[EntryDate],DATE(2026,12,1),tblDaily[WardCode],"MAE")),"")</f>
        <v/>
      </c>
      <c r="F448" s="25">
        <f>IFERROR(IF(SUMIFS(tblDaily[TransfersIn],tblDaily[EntryDate],DATE(2026,12,1),tblDaily[WardCode],"MAE")=0,"",SUMIFS(tblDaily[TransfersIn],tblDaily[EntryDate],DATE(2026,12,1),tblDaily[WardCode],"MAE")),"")</f>
        <v/>
      </c>
      <c r="G448" s="25">
        <f>IFERROR(IF(SUMIFS(tblDaily[TransfersOut],tblDaily[EntryDate],DATE(2026,12,1),tblDaily[WardCode],"MAE")=0,"",SUMIFS(tblDaily[TransfersOut],tblDaily[EntryDate],DATE(2026,12,1),tblDaily[WardCode],"MAE")),"")</f>
        <v/>
      </c>
      <c r="H448" s="25">
        <f>IFERROR(IF(SUMIFS(tblDaily[Remaining],tblDaily[EntryDate],DATE(2026,12,1),tblDaily[WardCode],"MAE")=0,"",SUMIFS(tblDaily[Remaining],tblDaily[EntryDate],DATE(2026,12,1),tblDaily[WardCode],"MAE")),"")</f>
        <v/>
      </c>
      <c r="I448" s="25">
        <f>IFERROR(IF(SUMIFS(tblDaily[Admissions],tblDaily[EntryDate],DATE(2026,12,1),tblDaily[WardCode],"FAE")=0,"",SUMIFS(tblDaily[Admissions],tblDaily[EntryDate],DATE(2026,12,1),tblDaily[WardCode],"FAE")),"")</f>
        <v/>
      </c>
      <c r="J448" s="25">
        <f>IFERROR(IF(SUMIFS(tblDaily[Discharges],tblDaily[EntryDate],DATE(2026,12,1),tblDaily[WardCode],"FAE")=0,"",SUMIFS(tblDaily[Discharges],tblDaily[EntryDate],DATE(2026,12,1),tblDaily[WardCode],"FAE")),"")</f>
        <v/>
      </c>
      <c r="K448" s="25">
        <f>IFERROR(IF(SUMIFS(tblDaily[Deaths],tblDaily[EntryDate],DATE(2026,12,1),tblDaily[WardCode],"FAE")=0,"",SUMIFS(tblDaily[Deaths],tblDaily[EntryDate],DATE(2026,12,1),tblDaily[WardCode],"FAE")),"")</f>
        <v/>
      </c>
      <c r="L448" s="25">
        <f>IFERROR(IF(SUMIFS(tblDaily[DeathsUnder24Hrs],tblDaily[EntryDate],DATE(2026,12,1),tblDaily[WardCode],"FAE")=0,"",SUMIFS(tblDaily[DeathsUnder24Hrs],tblDaily[EntryDate],DATE(2026,12,1),tblDaily[WardCode],"FAE")),"")</f>
        <v/>
      </c>
      <c r="M448" s="25">
        <f>IFERROR(IF(SUMIFS(tblDaily[TransfersIn],tblDaily[EntryDate],DATE(2026,12,1),tblDaily[WardCode],"FAE")=0,"",SUMIFS(tblDaily[TransfersIn],tblDaily[EntryDate],DATE(2026,12,1),tblDaily[WardCode],"FAE")),"")</f>
        <v/>
      </c>
      <c r="N448" s="25">
        <f>IFERROR(IF(SUMIFS(tblDaily[TransfersOut],tblDaily[EntryDate],DATE(2026,12,1),tblDaily[WardCode],"FAE")=0,"",SUMIFS(tblDaily[TransfersOut],tblDaily[EntryDate],DATE(2026,12,1),tblDaily[WardCode],"FAE")),"")</f>
        <v/>
      </c>
      <c r="O448" s="25">
        <f>IFERROR(IF(SUMIFS(tblDaily[Remaining],tblDaily[EntryDate],DATE(2026,12,1),tblDaily[WardCode],"FAE")=0,"",SUMIFS(tblDaily[Remaining],tblDaily[EntryDate],DATE(2026,12,1),tblDaily[WardCode],"FAE")),"")</f>
        <v/>
      </c>
      <c r="P448" s="26">
        <f>IF(AND(H448="", O448=""), "", N(H448) + N(O448))</f>
        <v/>
      </c>
    </row>
    <row r="449">
      <c r="A449" s="25" t="n">
        <v>2</v>
      </c>
      <c r="B449" s="25">
        <f>IFERROR(IF(SUMIFS(tblDaily[Admissions],tblDaily[EntryDate],DATE(2026,12,2),tblDaily[WardCode],"MAE")=0,"",SUMIFS(tblDaily[Admissions],tblDaily[EntryDate],DATE(2026,12,2),tblDaily[WardCode],"MAE")),"")</f>
        <v/>
      </c>
      <c r="C449" s="25">
        <f>IFERROR(IF(SUMIFS(tblDaily[Discharges],tblDaily[EntryDate],DATE(2026,12,2),tblDaily[WardCode],"MAE")=0,"",SUMIFS(tblDaily[Discharges],tblDaily[EntryDate],DATE(2026,12,2),tblDaily[WardCode],"MAE")),"")</f>
        <v/>
      </c>
      <c r="D449" s="25">
        <f>IFERROR(IF(SUMIFS(tblDaily[Deaths],tblDaily[EntryDate],DATE(2026,12,2),tblDaily[WardCode],"MAE")=0,"",SUMIFS(tblDaily[Deaths],tblDaily[EntryDate],DATE(2026,12,2),tblDaily[WardCode],"MAE")),"")</f>
        <v/>
      </c>
      <c r="E449" s="25">
        <f>IFERROR(IF(SUMIFS(tblDaily[DeathsUnder24Hrs],tblDaily[EntryDate],DATE(2026,12,2),tblDaily[WardCode],"MAE")=0,"",SUMIFS(tblDaily[DeathsUnder24Hrs],tblDaily[EntryDate],DATE(2026,12,2),tblDaily[WardCode],"MAE")),"")</f>
        <v/>
      </c>
      <c r="F449" s="25">
        <f>IFERROR(IF(SUMIFS(tblDaily[TransfersIn],tblDaily[EntryDate],DATE(2026,12,2),tblDaily[WardCode],"MAE")=0,"",SUMIFS(tblDaily[TransfersIn],tblDaily[EntryDate],DATE(2026,12,2),tblDaily[WardCode],"MAE")),"")</f>
        <v/>
      </c>
      <c r="G449" s="25">
        <f>IFERROR(IF(SUMIFS(tblDaily[TransfersOut],tblDaily[EntryDate],DATE(2026,12,2),tblDaily[WardCode],"MAE")=0,"",SUMIFS(tblDaily[TransfersOut],tblDaily[EntryDate],DATE(2026,12,2),tblDaily[WardCode],"MAE")),"")</f>
        <v/>
      </c>
      <c r="H449" s="25">
        <f>IFERROR(IF(SUMIFS(tblDaily[Remaining],tblDaily[EntryDate],DATE(2026,12,2),tblDaily[WardCode],"MAE")=0,"",SUMIFS(tblDaily[Remaining],tblDaily[EntryDate],DATE(2026,12,2),tblDaily[WardCode],"MAE")),"")</f>
        <v/>
      </c>
      <c r="I449" s="25">
        <f>IFERROR(IF(SUMIFS(tblDaily[Admissions],tblDaily[EntryDate],DATE(2026,12,2),tblDaily[WardCode],"FAE")=0,"",SUMIFS(tblDaily[Admissions],tblDaily[EntryDate],DATE(2026,12,2),tblDaily[WardCode],"FAE")),"")</f>
        <v/>
      </c>
      <c r="J449" s="25">
        <f>IFERROR(IF(SUMIFS(tblDaily[Discharges],tblDaily[EntryDate],DATE(2026,12,2),tblDaily[WardCode],"FAE")=0,"",SUMIFS(tblDaily[Discharges],tblDaily[EntryDate],DATE(2026,12,2),tblDaily[WardCode],"FAE")),"")</f>
        <v/>
      </c>
      <c r="K449" s="25">
        <f>IFERROR(IF(SUMIFS(tblDaily[Deaths],tblDaily[EntryDate],DATE(2026,12,2),tblDaily[WardCode],"FAE")=0,"",SUMIFS(tblDaily[Deaths],tblDaily[EntryDate],DATE(2026,12,2),tblDaily[WardCode],"FAE")),"")</f>
        <v/>
      </c>
      <c r="L449" s="25">
        <f>IFERROR(IF(SUMIFS(tblDaily[DeathsUnder24Hrs],tblDaily[EntryDate],DATE(2026,12,2),tblDaily[WardCode],"FAE")=0,"",SUMIFS(tblDaily[DeathsUnder24Hrs],tblDaily[EntryDate],DATE(2026,12,2),tblDaily[WardCode],"FAE")),"")</f>
        <v/>
      </c>
      <c r="M449" s="25">
        <f>IFERROR(IF(SUMIFS(tblDaily[TransfersIn],tblDaily[EntryDate],DATE(2026,12,2),tblDaily[WardCode],"FAE")=0,"",SUMIFS(tblDaily[TransfersIn],tblDaily[EntryDate],DATE(2026,12,2),tblDaily[WardCode],"FAE")),"")</f>
        <v/>
      </c>
      <c r="N449" s="25">
        <f>IFERROR(IF(SUMIFS(tblDaily[TransfersOut],tblDaily[EntryDate],DATE(2026,12,2),tblDaily[WardCode],"FAE")=0,"",SUMIFS(tblDaily[TransfersOut],tblDaily[EntryDate],DATE(2026,12,2),tblDaily[WardCode],"FAE")),"")</f>
        <v/>
      </c>
      <c r="O449" s="25">
        <f>IFERROR(IF(SUMIFS(tblDaily[Remaining],tblDaily[EntryDate],DATE(2026,12,2),tblDaily[WardCode],"FAE")=0,"",SUMIFS(tblDaily[Remaining],tblDaily[EntryDate],DATE(2026,12,2),tblDaily[WardCode],"FAE")),"")</f>
        <v/>
      </c>
      <c r="P449" s="26">
        <f>IF(AND(H449="", O449=""), "", N(H449) + N(O449))</f>
        <v/>
      </c>
    </row>
    <row r="450">
      <c r="A450" s="25" t="n">
        <v>3</v>
      </c>
      <c r="B450" s="25">
        <f>IFERROR(IF(SUMIFS(tblDaily[Admissions],tblDaily[EntryDate],DATE(2026,12,3),tblDaily[WardCode],"MAE")=0,"",SUMIFS(tblDaily[Admissions],tblDaily[EntryDate],DATE(2026,12,3),tblDaily[WardCode],"MAE")),"")</f>
        <v/>
      </c>
      <c r="C450" s="25">
        <f>IFERROR(IF(SUMIFS(tblDaily[Discharges],tblDaily[EntryDate],DATE(2026,12,3),tblDaily[WardCode],"MAE")=0,"",SUMIFS(tblDaily[Discharges],tblDaily[EntryDate],DATE(2026,12,3),tblDaily[WardCode],"MAE")),"")</f>
        <v/>
      </c>
      <c r="D450" s="25">
        <f>IFERROR(IF(SUMIFS(tblDaily[Deaths],tblDaily[EntryDate],DATE(2026,12,3),tblDaily[WardCode],"MAE")=0,"",SUMIFS(tblDaily[Deaths],tblDaily[EntryDate],DATE(2026,12,3),tblDaily[WardCode],"MAE")),"")</f>
        <v/>
      </c>
      <c r="E450" s="25">
        <f>IFERROR(IF(SUMIFS(tblDaily[DeathsUnder24Hrs],tblDaily[EntryDate],DATE(2026,12,3),tblDaily[WardCode],"MAE")=0,"",SUMIFS(tblDaily[DeathsUnder24Hrs],tblDaily[EntryDate],DATE(2026,12,3),tblDaily[WardCode],"MAE")),"")</f>
        <v/>
      </c>
      <c r="F450" s="25">
        <f>IFERROR(IF(SUMIFS(tblDaily[TransfersIn],tblDaily[EntryDate],DATE(2026,12,3),tblDaily[WardCode],"MAE")=0,"",SUMIFS(tblDaily[TransfersIn],tblDaily[EntryDate],DATE(2026,12,3),tblDaily[WardCode],"MAE")),"")</f>
        <v/>
      </c>
      <c r="G450" s="25">
        <f>IFERROR(IF(SUMIFS(tblDaily[TransfersOut],tblDaily[EntryDate],DATE(2026,12,3),tblDaily[WardCode],"MAE")=0,"",SUMIFS(tblDaily[TransfersOut],tblDaily[EntryDate],DATE(2026,12,3),tblDaily[WardCode],"MAE")),"")</f>
        <v/>
      </c>
      <c r="H450" s="25">
        <f>IFERROR(IF(SUMIFS(tblDaily[Remaining],tblDaily[EntryDate],DATE(2026,12,3),tblDaily[WardCode],"MAE")=0,"",SUMIFS(tblDaily[Remaining],tblDaily[EntryDate],DATE(2026,12,3),tblDaily[WardCode],"MAE")),"")</f>
        <v/>
      </c>
      <c r="I450" s="25">
        <f>IFERROR(IF(SUMIFS(tblDaily[Admissions],tblDaily[EntryDate],DATE(2026,12,3),tblDaily[WardCode],"FAE")=0,"",SUMIFS(tblDaily[Admissions],tblDaily[EntryDate],DATE(2026,12,3),tblDaily[WardCode],"FAE")),"")</f>
        <v/>
      </c>
      <c r="J450" s="25">
        <f>IFERROR(IF(SUMIFS(tblDaily[Discharges],tblDaily[EntryDate],DATE(2026,12,3),tblDaily[WardCode],"FAE")=0,"",SUMIFS(tblDaily[Discharges],tblDaily[EntryDate],DATE(2026,12,3),tblDaily[WardCode],"FAE")),"")</f>
        <v/>
      </c>
      <c r="K450" s="25">
        <f>IFERROR(IF(SUMIFS(tblDaily[Deaths],tblDaily[EntryDate],DATE(2026,12,3),tblDaily[WardCode],"FAE")=0,"",SUMIFS(tblDaily[Deaths],tblDaily[EntryDate],DATE(2026,12,3),tblDaily[WardCode],"FAE")),"")</f>
        <v/>
      </c>
      <c r="L450" s="25">
        <f>IFERROR(IF(SUMIFS(tblDaily[DeathsUnder24Hrs],tblDaily[EntryDate],DATE(2026,12,3),tblDaily[WardCode],"FAE")=0,"",SUMIFS(tblDaily[DeathsUnder24Hrs],tblDaily[EntryDate],DATE(2026,12,3),tblDaily[WardCode],"FAE")),"")</f>
        <v/>
      </c>
      <c r="M450" s="25">
        <f>IFERROR(IF(SUMIFS(tblDaily[TransfersIn],tblDaily[EntryDate],DATE(2026,12,3),tblDaily[WardCode],"FAE")=0,"",SUMIFS(tblDaily[TransfersIn],tblDaily[EntryDate],DATE(2026,12,3),tblDaily[WardCode],"FAE")),"")</f>
        <v/>
      </c>
      <c r="N450" s="25">
        <f>IFERROR(IF(SUMIFS(tblDaily[TransfersOut],tblDaily[EntryDate],DATE(2026,12,3),tblDaily[WardCode],"FAE")=0,"",SUMIFS(tblDaily[TransfersOut],tblDaily[EntryDate],DATE(2026,12,3),tblDaily[WardCode],"FAE")),"")</f>
        <v/>
      </c>
      <c r="O450" s="25">
        <f>IFERROR(IF(SUMIFS(tblDaily[Remaining],tblDaily[EntryDate],DATE(2026,12,3),tblDaily[WardCode],"FAE")=0,"",SUMIFS(tblDaily[Remaining],tblDaily[EntryDate],DATE(2026,12,3),tblDaily[WardCode],"FAE")),"")</f>
        <v/>
      </c>
      <c r="P450" s="26">
        <f>IF(AND(H450="", O450=""), "", N(H450) + N(O450))</f>
        <v/>
      </c>
    </row>
    <row r="451">
      <c r="A451" s="25" t="n">
        <v>4</v>
      </c>
      <c r="B451" s="25">
        <f>IFERROR(IF(SUMIFS(tblDaily[Admissions],tblDaily[EntryDate],DATE(2026,12,4),tblDaily[WardCode],"MAE")=0,"",SUMIFS(tblDaily[Admissions],tblDaily[EntryDate],DATE(2026,12,4),tblDaily[WardCode],"MAE")),"")</f>
        <v/>
      </c>
      <c r="C451" s="25">
        <f>IFERROR(IF(SUMIFS(tblDaily[Discharges],tblDaily[EntryDate],DATE(2026,12,4),tblDaily[WardCode],"MAE")=0,"",SUMIFS(tblDaily[Discharges],tblDaily[EntryDate],DATE(2026,12,4),tblDaily[WardCode],"MAE")),"")</f>
        <v/>
      </c>
      <c r="D451" s="25">
        <f>IFERROR(IF(SUMIFS(tblDaily[Deaths],tblDaily[EntryDate],DATE(2026,12,4),tblDaily[WardCode],"MAE")=0,"",SUMIFS(tblDaily[Deaths],tblDaily[EntryDate],DATE(2026,12,4),tblDaily[WardCode],"MAE")),"")</f>
        <v/>
      </c>
      <c r="E451" s="25">
        <f>IFERROR(IF(SUMIFS(tblDaily[DeathsUnder24Hrs],tblDaily[EntryDate],DATE(2026,12,4),tblDaily[WardCode],"MAE")=0,"",SUMIFS(tblDaily[DeathsUnder24Hrs],tblDaily[EntryDate],DATE(2026,12,4),tblDaily[WardCode],"MAE")),"")</f>
        <v/>
      </c>
      <c r="F451" s="25">
        <f>IFERROR(IF(SUMIFS(tblDaily[TransfersIn],tblDaily[EntryDate],DATE(2026,12,4),tblDaily[WardCode],"MAE")=0,"",SUMIFS(tblDaily[TransfersIn],tblDaily[EntryDate],DATE(2026,12,4),tblDaily[WardCode],"MAE")),"")</f>
        <v/>
      </c>
      <c r="G451" s="25">
        <f>IFERROR(IF(SUMIFS(tblDaily[TransfersOut],tblDaily[EntryDate],DATE(2026,12,4),tblDaily[WardCode],"MAE")=0,"",SUMIFS(tblDaily[TransfersOut],tblDaily[EntryDate],DATE(2026,12,4),tblDaily[WardCode],"MAE")),"")</f>
        <v/>
      </c>
      <c r="H451" s="25">
        <f>IFERROR(IF(SUMIFS(tblDaily[Remaining],tblDaily[EntryDate],DATE(2026,12,4),tblDaily[WardCode],"MAE")=0,"",SUMIFS(tblDaily[Remaining],tblDaily[EntryDate],DATE(2026,12,4),tblDaily[WardCode],"MAE")),"")</f>
        <v/>
      </c>
      <c r="I451" s="25">
        <f>IFERROR(IF(SUMIFS(tblDaily[Admissions],tblDaily[EntryDate],DATE(2026,12,4),tblDaily[WardCode],"FAE")=0,"",SUMIFS(tblDaily[Admissions],tblDaily[EntryDate],DATE(2026,12,4),tblDaily[WardCode],"FAE")),"")</f>
        <v/>
      </c>
      <c r="J451" s="25">
        <f>IFERROR(IF(SUMIFS(tblDaily[Discharges],tblDaily[EntryDate],DATE(2026,12,4),tblDaily[WardCode],"FAE")=0,"",SUMIFS(tblDaily[Discharges],tblDaily[EntryDate],DATE(2026,12,4),tblDaily[WardCode],"FAE")),"")</f>
        <v/>
      </c>
      <c r="K451" s="25">
        <f>IFERROR(IF(SUMIFS(tblDaily[Deaths],tblDaily[EntryDate],DATE(2026,12,4),tblDaily[WardCode],"FAE")=0,"",SUMIFS(tblDaily[Deaths],tblDaily[EntryDate],DATE(2026,12,4),tblDaily[WardCode],"FAE")),"")</f>
        <v/>
      </c>
      <c r="L451" s="25">
        <f>IFERROR(IF(SUMIFS(tblDaily[DeathsUnder24Hrs],tblDaily[EntryDate],DATE(2026,12,4),tblDaily[WardCode],"FAE")=0,"",SUMIFS(tblDaily[DeathsUnder24Hrs],tblDaily[EntryDate],DATE(2026,12,4),tblDaily[WardCode],"FAE")),"")</f>
        <v/>
      </c>
      <c r="M451" s="25">
        <f>IFERROR(IF(SUMIFS(tblDaily[TransfersIn],tblDaily[EntryDate],DATE(2026,12,4),tblDaily[WardCode],"FAE")=0,"",SUMIFS(tblDaily[TransfersIn],tblDaily[EntryDate],DATE(2026,12,4),tblDaily[WardCode],"FAE")),"")</f>
        <v/>
      </c>
      <c r="N451" s="25">
        <f>IFERROR(IF(SUMIFS(tblDaily[TransfersOut],tblDaily[EntryDate],DATE(2026,12,4),tblDaily[WardCode],"FAE")=0,"",SUMIFS(tblDaily[TransfersOut],tblDaily[EntryDate],DATE(2026,12,4),tblDaily[WardCode],"FAE")),"")</f>
        <v/>
      </c>
      <c r="O451" s="25">
        <f>IFERROR(IF(SUMIFS(tblDaily[Remaining],tblDaily[EntryDate],DATE(2026,12,4),tblDaily[WardCode],"FAE")=0,"",SUMIFS(tblDaily[Remaining],tblDaily[EntryDate],DATE(2026,12,4),tblDaily[WardCode],"FAE")),"")</f>
        <v/>
      </c>
      <c r="P451" s="26">
        <f>IF(AND(H451="", O451=""), "", N(H451) + N(O451))</f>
        <v/>
      </c>
    </row>
    <row r="452">
      <c r="A452" s="25" t="n">
        <v>5</v>
      </c>
      <c r="B452" s="25">
        <f>IFERROR(IF(SUMIFS(tblDaily[Admissions],tblDaily[EntryDate],DATE(2026,12,5),tblDaily[WardCode],"MAE")=0,"",SUMIFS(tblDaily[Admissions],tblDaily[EntryDate],DATE(2026,12,5),tblDaily[WardCode],"MAE")),"")</f>
        <v/>
      </c>
      <c r="C452" s="25">
        <f>IFERROR(IF(SUMIFS(tblDaily[Discharges],tblDaily[EntryDate],DATE(2026,12,5),tblDaily[WardCode],"MAE")=0,"",SUMIFS(tblDaily[Discharges],tblDaily[EntryDate],DATE(2026,12,5),tblDaily[WardCode],"MAE")),"")</f>
        <v/>
      </c>
      <c r="D452" s="25">
        <f>IFERROR(IF(SUMIFS(tblDaily[Deaths],tblDaily[EntryDate],DATE(2026,12,5),tblDaily[WardCode],"MAE")=0,"",SUMIFS(tblDaily[Deaths],tblDaily[EntryDate],DATE(2026,12,5),tblDaily[WardCode],"MAE")),"")</f>
        <v/>
      </c>
      <c r="E452" s="25">
        <f>IFERROR(IF(SUMIFS(tblDaily[DeathsUnder24Hrs],tblDaily[EntryDate],DATE(2026,12,5),tblDaily[WardCode],"MAE")=0,"",SUMIFS(tblDaily[DeathsUnder24Hrs],tblDaily[EntryDate],DATE(2026,12,5),tblDaily[WardCode],"MAE")),"")</f>
        <v/>
      </c>
      <c r="F452" s="25">
        <f>IFERROR(IF(SUMIFS(tblDaily[TransfersIn],tblDaily[EntryDate],DATE(2026,12,5),tblDaily[WardCode],"MAE")=0,"",SUMIFS(tblDaily[TransfersIn],tblDaily[EntryDate],DATE(2026,12,5),tblDaily[WardCode],"MAE")),"")</f>
        <v/>
      </c>
      <c r="G452" s="25">
        <f>IFERROR(IF(SUMIFS(tblDaily[TransfersOut],tblDaily[EntryDate],DATE(2026,12,5),tblDaily[WardCode],"MAE")=0,"",SUMIFS(tblDaily[TransfersOut],tblDaily[EntryDate],DATE(2026,12,5),tblDaily[WardCode],"MAE")),"")</f>
        <v/>
      </c>
      <c r="H452" s="25">
        <f>IFERROR(IF(SUMIFS(tblDaily[Remaining],tblDaily[EntryDate],DATE(2026,12,5),tblDaily[WardCode],"MAE")=0,"",SUMIFS(tblDaily[Remaining],tblDaily[EntryDate],DATE(2026,12,5),tblDaily[WardCode],"MAE")),"")</f>
        <v/>
      </c>
      <c r="I452" s="25">
        <f>IFERROR(IF(SUMIFS(tblDaily[Admissions],tblDaily[EntryDate],DATE(2026,12,5),tblDaily[WardCode],"FAE")=0,"",SUMIFS(tblDaily[Admissions],tblDaily[EntryDate],DATE(2026,12,5),tblDaily[WardCode],"FAE")),"")</f>
        <v/>
      </c>
      <c r="J452" s="25">
        <f>IFERROR(IF(SUMIFS(tblDaily[Discharges],tblDaily[EntryDate],DATE(2026,12,5),tblDaily[WardCode],"FAE")=0,"",SUMIFS(tblDaily[Discharges],tblDaily[EntryDate],DATE(2026,12,5),tblDaily[WardCode],"FAE")),"")</f>
        <v/>
      </c>
      <c r="K452" s="25">
        <f>IFERROR(IF(SUMIFS(tblDaily[Deaths],tblDaily[EntryDate],DATE(2026,12,5),tblDaily[WardCode],"FAE")=0,"",SUMIFS(tblDaily[Deaths],tblDaily[EntryDate],DATE(2026,12,5),tblDaily[WardCode],"FAE")),"")</f>
        <v/>
      </c>
      <c r="L452" s="25">
        <f>IFERROR(IF(SUMIFS(tblDaily[DeathsUnder24Hrs],tblDaily[EntryDate],DATE(2026,12,5),tblDaily[WardCode],"FAE")=0,"",SUMIFS(tblDaily[DeathsUnder24Hrs],tblDaily[EntryDate],DATE(2026,12,5),tblDaily[WardCode],"FAE")),"")</f>
        <v/>
      </c>
      <c r="M452" s="25">
        <f>IFERROR(IF(SUMIFS(tblDaily[TransfersIn],tblDaily[EntryDate],DATE(2026,12,5),tblDaily[WardCode],"FAE")=0,"",SUMIFS(tblDaily[TransfersIn],tblDaily[EntryDate],DATE(2026,12,5),tblDaily[WardCode],"FAE")),"")</f>
        <v/>
      </c>
      <c r="N452" s="25">
        <f>IFERROR(IF(SUMIFS(tblDaily[TransfersOut],tblDaily[EntryDate],DATE(2026,12,5),tblDaily[WardCode],"FAE")=0,"",SUMIFS(tblDaily[TransfersOut],tblDaily[EntryDate],DATE(2026,12,5),tblDaily[WardCode],"FAE")),"")</f>
        <v/>
      </c>
      <c r="O452" s="25">
        <f>IFERROR(IF(SUMIFS(tblDaily[Remaining],tblDaily[EntryDate],DATE(2026,12,5),tblDaily[WardCode],"FAE")=0,"",SUMIFS(tblDaily[Remaining],tblDaily[EntryDate],DATE(2026,12,5),tblDaily[WardCode],"FAE")),"")</f>
        <v/>
      </c>
      <c r="P452" s="26">
        <f>IF(AND(H452="", O452=""), "", N(H452) + N(O452))</f>
        <v/>
      </c>
    </row>
    <row r="453">
      <c r="A453" s="25" t="n">
        <v>6</v>
      </c>
      <c r="B453" s="25">
        <f>IFERROR(IF(SUMIFS(tblDaily[Admissions],tblDaily[EntryDate],DATE(2026,12,6),tblDaily[WardCode],"MAE")=0,"",SUMIFS(tblDaily[Admissions],tblDaily[EntryDate],DATE(2026,12,6),tblDaily[WardCode],"MAE")),"")</f>
        <v/>
      </c>
      <c r="C453" s="25">
        <f>IFERROR(IF(SUMIFS(tblDaily[Discharges],tblDaily[EntryDate],DATE(2026,12,6),tblDaily[WardCode],"MAE")=0,"",SUMIFS(tblDaily[Discharges],tblDaily[EntryDate],DATE(2026,12,6),tblDaily[WardCode],"MAE")),"")</f>
        <v/>
      </c>
      <c r="D453" s="25">
        <f>IFERROR(IF(SUMIFS(tblDaily[Deaths],tblDaily[EntryDate],DATE(2026,12,6),tblDaily[WardCode],"MAE")=0,"",SUMIFS(tblDaily[Deaths],tblDaily[EntryDate],DATE(2026,12,6),tblDaily[WardCode],"MAE")),"")</f>
        <v/>
      </c>
      <c r="E453" s="25">
        <f>IFERROR(IF(SUMIFS(tblDaily[DeathsUnder24Hrs],tblDaily[EntryDate],DATE(2026,12,6),tblDaily[WardCode],"MAE")=0,"",SUMIFS(tblDaily[DeathsUnder24Hrs],tblDaily[EntryDate],DATE(2026,12,6),tblDaily[WardCode],"MAE")),"")</f>
        <v/>
      </c>
      <c r="F453" s="25">
        <f>IFERROR(IF(SUMIFS(tblDaily[TransfersIn],tblDaily[EntryDate],DATE(2026,12,6),tblDaily[WardCode],"MAE")=0,"",SUMIFS(tblDaily[TransfersIn],tblDaily[EntryDate],DATE(2026,12,6),tblDaily[WardCode],"MAE")),"")</f>
        <v/>
      </c>
      <c r="G453" s="25">
        <f>IFERROR(IF(SUMIFS(tblDaily[TransfersOut],tblDaily[EntryDate],DATE(2026,12,6),tblDaily[WardCode],"MAE")=0,"",SUMIFS(tblDaily[TransfersOut],tblDaily[EntryDate],DATE(2026,12,6),tblDaily[WardCode],"MAE")),"")</f>
        <v/>
      </c>
      <c r="H453" s="25">
        <f>IFERROR(IF(SUMIFS(tblDaily[Remaining],tblDaily[EntryDate],DATE(2026,12,6),tblDaily[WardCode],"MAE")=0,"",SUMIFS(tblDaily[Remaining],tblDaily[EntryDate],DATE(2026,12,6),tblDaily[WardCode],"MAE")),"")</f>
        <v/>
      </c>
      <c r="I453" s="25">
        <f>IFERROR(IF(SUMIFS(tblDaily[Admissions],tblDaily[EntryDate],DATE(2026,12,6),tblDaily[WardCode],"FAE")=0,"",SUMIFS(tblDaily[Admissions],tblDaily[EntryDate],DATE(2026,12,6),tblDaily[WardCode],"FAE")),"")</f>
        <v/>
      </c>
      <c r="J453" s="25">
        <f>IFERROR(IF(SUMIFS(tblDaily[Discharges],tblDaily[EntryDate],DATE(2026,12,6),tblDaily[WardCode],"FAE")=0,"",SUMIFS(tblDaily[Discharges],tblDaily[EntryDate],DATE(2026,12,6),tblDaily[WardCode],"FAE")),"")</f>
        <v/>
      </c>
      <c r="K453" s="25">
        <f>IFERROR(IF(SUMIFS(tblDaily[Deaths],tblDaily[EntryDate],DATE(2026,12,6),tblDaily[WardCode],"FAE")=0,"",SUMIFS(tblDaily[Deaths],tblDaily[EntryDate],DATE(2026,12,6),tblDaily[WardCode],"FAE")),"")</f>
        <v/>
      </c>
      <c r="L453" s="25">
        <f>IFERROR(IF(SUMIFS(tblDaily[DeathsUnder24Hrs],tblDaily[EntryDate],DATE(2026,12,6),tblDaily[WardCode],"FAE")=0,"",SUMIFS(tblDaily[DeathsUnder24Hrs],tblDaily[EntryDate],DATE(2026,12,6),tblDaily[WardCode],"FAE")),"")</f>
        <v/>
      </c>
      <c r="M453" s="25">
        <f>IFERROR(IF(SUMIFS(tblDaily[TransfersIn],tblDaily[EntryDate],DATE(2026,12,6),tblDaily[WardCode],"FAE")=0,"",SUMIFS(tblDaily[TransfersIn],tblDaily[EntryDate],DATE(2026,12,6),tblDaily[WardCode],"FAE")),"")</f>
        <v/>
      </c>
      <c r="N453" s="25">
        <f>IFERROR(IF(SUMIFS(tblDaily[TransfersOut],tblDaily[EntryDate],DATE(2026,12,6),tblDaily[WardCode],"FAE")=0,"",SUMIFS(tblDaily[TransfersOut],tblDaily[EntryDate],DATE(2026,12,6),tblDaily[WardCode],"FAE")),"")</f>
        <v/>
      </c>
      <c r="O453" s="25">
        <f>IFERROR(IF(SUMIFS(tblDaily[Remaining],tblDaily[EntryDate],DATE(2026,12,6),tblDaily[WardCode],"FAE")=0,"",SUMIFS(tblDaily[Remaining],tblDaily[EntryDate],DATE(2026,12,6),tblDaily[WardCode],"FAE")),"")</f>
        <v/>
      </c>
      <c r="P453" s="26">
        <f>IF(AND(H453="", O453=""), "", N(H453) + N(O453))</f>
        <v/>
      </c>
    </row>
    <row r="454">
      <c r="A454" s="25" t="n">
        <v>7</v>
      </c>
      <c r="B454" s="25">
        <f>IFERROR(IF(SUMIFS(tblDaily[Admissions],tblDaily[EntryDate],DATE(2026,12,7),tblDaily[WardCode],"MAE")=0,"",SUMIFS(tblDaily[Admissions],tblDaily[EntryDate],DATE(2026,12,7),tblDaily[WardCode],"MAE")),"")</f>
        <v/>
      </c>
      <c r="C454" s="25">
        <f>IFERROR(IF(SUMIFS(tblDaily[Discharges],tblDaily[EntryDate],DATE(2026,12,7),tblDaily[WardCode],"MAE")=0,"",SUMIFS(tblDaily[Discharges],tblDaily[EntryDate],DATE(2026,12,7),tblDaily[WardCode],"MAE")),"")</f>
        <v/>
      </c>
      <c r="D454" s="25">
        <f>IFERROR(IF(SUMIFS(tblDaily[Deaths],tblDaily[EntryDate],DATE(2026,12,7),tblDaily[WardCode],"MAE")=0,"",SUMIFS(tblDaily[Deaths],tblDaily[EntryDate],DATE(2026,12,7),tblDaily[WardCode],"MAE")),"")</f>
        <v/>
      </c>
      <c r="E454" s="25">
        <f>IFERROR(IF(SUMIFS(tblDaily[DeathsUnder24Hrs],tblDaily[EntryDate],DATE(2026,12,7),tblDaily[WardCode],"MAE")=0,"",SUMIFS(tblDaily[DeathsUnder24Hrs],tblDaily[EntryDate],DATE(2026,12,7),tblDaily[WardCode],"MAE")),"")</f>
        <v/>
      </c>
      <c r="F454" s="25">
        <f>IFERROR(IF(SUMIFS(tblDaily[TransfersIn],tblDaily[EntryDate],DATE(2026,12,7),tblDaily[WardCode],"MAE")=0,"",SUMIFS(tblDaily[TransfersIn],tblDaily[EntryDate],DATE(2026,12,7),tblDaily[WardCode],"MAE")),"")</f>
        <v/>
      </c>
      <c r="G454" s="25">
        <f>IFERROR(IF(SUMIFS(tblDaily[TransfersOut],tblDaily[EntryDate],DATE(2026,12,7),tblDaily[WardCode],"MAE")=0,"",SUMIFS(tblDaily[TransfersOut],tblDaily[EntryDate],DATE(2026,12,7),tblDaily[WardCode],"MAE")),"")</f>
        <v/>
      </c>
      <c r="H454" s="25">
        <f>IFERROR(IF(SUMIFS(tblDaily[Remaining],tblDaily[EntryDate],DATE(2026,12,7),tblDaily[WardCode],"MAE")=0,"",SUMIFS(tblDaily[Remaining],tblDaily[EntryDate],DATE(2026,12,7),tblDaily[WardCode],"MAE")),"")</f>
        <v/>
      </c>
      <c r="I454" s="25">
        <f>IFERROR(IF(SUMIFS(tblDaily[Admissions],tblDaily[EntryDate],DATE(2026,12,7),tblDaily[WardCode],"FAE")=0,"",SUMIFS(tblDaily[Admissions],tblDaily[EntryDate],DATE(2026,12,7),tblDaily[WardCode],"FAE")),"")</f>
        <v/>
      </c>
      <c r="J454" s="25">
        <f>IFERROR(IF(SUMIFS(tblDaily[Discharges],tblDaily[EntryDate],DATE(2026,12,7),tblDaily[WardCode],"FAE")=0,"",SUMIFS(tblDaily[Discharges],tblDaily[EntryDate],DATE(2026,12,7),tblDaily[WardCode],"FAE")),"")</f>
        <v/>
      </c>
      <c r="K454" s="25">
        <f>IFERROR(IF(SUMIFS(tblDaily[Deaths],tblDaily[EntryDate],DATE(2026,12,7),tblDaily[WardCode],"FAE")=0,"",SUMIFS(tblDaily[Deaths],tblDaily[EntryDate],DATE(2026,12,7),tblDaily[WardCode],"FAE")),"")</f>
        <v/>
      </c>
      <c r="L454" s="25">
        <f>IFERROR(IF(SUMIFS(tblDaily[DeathsUnder24Hrs],tblDaily[EntryDate],DATE(2026,12,7),tblDaily[WardCode],"FAE")=0,"",SUMIFS(tblDaily[DeathsUnder24Hrs],tblDaily[EntryDate],DATE(2026,12,7),tblDaily[WardCode],"FAE")),"")</f>
        <v/>
      </c>
      <c r="M454" s="25">
        <f>IFERROR(IF(SUMIFS(tblDaily[TransfersIn],tblDaily[EntryDate],DATE(2026,12,7),tblDaily[WardCode],"FAE")=0,"",SUMIFS(tblDaily[TransfersIn],tblDaily[EntryDate],DATE(2026,12,7),tblDaily[WardCode],"FAE")),"")</f>
        <v/>
      </c>
      <c r="N454" s="25">
        <f>IFERROR(IF(SUMIFS(tblDaily[TransfersOut],tblDaily[EntryDate],DATE(2026,12,7),tblDaily[WardCode],"FAE")=0,"",SUMIFS(tblDaily[TransfersOut],tblDaily[EntryDate],DATE(2026,12,7),tblDaily[WardCode],"FAE")),"")</f>
        <v/>
      </c>
      <c r="O454" s="25">
        <f>IFERROR(IF(SUMIFS(tblDaily[Remaining],tblDaily[EntryDate],DATE(2026,12,7),tblDaily[WardCode],"FAE")=0,"",SUMIFS(tblDaily[Remaining],tblDaily[EntryDate],DATE(2026,12,7),tblDaily[WardCode],"FAE")),"")</f>
        <v/>
      </c>
      <c r="P454" s="26">
        <f>IF(AND(H454="", O454=""), "", N(H454) + N(O454))</f>
        <v/>
      </c>
    </row>
    <row r="455">
      <c r="A455" s="25" t="n">
        <v>8</v>
      </c>
      <c r="B455" s="25">
        <f>IFERROR(IF(SUMIFS(tblDaily[Admissions],tblDaily[EntryDate],DATE(2026,12,8),tblDaily[WardCode],"MAE")=0,"",SUMIFS(tblDaily[Admissions],tblDaily[EntryDate],DATE(2026,12,8),tblDaily[WardCode],"MAE")),"")</f>
        <v/>
      </c>
      <c r="C455" s="25">
        <f>IFERROR(IF(SUMIFS(tblDaily[Discharges],tblDaily[EntryDate],DATE(2026,12,8),tblDaily[WardCode],"MAE")=0,"",SUMIFS(tblDaily[Discharges],tblDaily[EntryDate],DATE(2026,12,8),tblDaily[WardCode],"MAE")),"")</f>
        <v/>
      </c>
      <c r="D455" s="25">
        <f>IFERROR(IF(SUMIFS(tblDaily[Deaths],tblDaily[EntryDate],DATE(2026,12,8),tblDaily[WardCode],"MAE")=0,"",SUMIFS(tblDaily[Deaths],tblDaily[EntryDate],DATE(2026,12,8),tblDaily[WardCode],"MAE")),"")</f>
        <v/>
      </c>
      <c r="E455" s="25">
        <f>IFERROR(IF(SUMIFS(tblDaily[DeathsUnder24Hrs],tblDaily[EntryDate],DATE(2026,12,8),tblDaily[WardCode],"MAE")=0,"",SUMIFS(tblDaily[DeathsUnder24Hrs],tblDaily[EntryDate],DATE(2026,12,8),tblDaily[WardCode],"MAE")),"")</f>
        <v/>
      </c>
      <c r="F455" s="25">
        <f>IFERROR(IF(SUMIFS(tblDaily[TransfersIn],tblDaily[EntryDate],DATE(2026,12,8),tblDaily[WardCode],"MAE")=0,"",SUMIFS(tblDaily[TransfersIn],tblDaily[EntryDate],DATE(2026,12,8),tblDaily[WardCode],"MAE")),"")</f>
        <v/>
      </c>
      <c r="G455" s="25">
        <f>IFERROR(IF(SUMIFS(tblDaily[TransfersOut],tblDaily[EntryDate],DATE(2026,12,8),tblDaily[WardCode],"MAE")=0,"",SUMIFS(tblDaily[TransfersOut],tblDaily[EntryDate],DATE(2026,12,8),tblDaily[WardCode],"MAE")),"")</f>
        <v/>
      </c>
      <c r="H455" s="25">
        <f>IFERROR(IF(SUMIFS(tblDaily[Remaining],tblDaily[EntryDate],DATE(2026,12,8),tblDaily[WardCode],"MAE")=0,"",SUMIFS(tblDaily[Remaining],tblDaily[EntryDate],DATE(2026,12,8),tblDaily[WardCode],"MAE")),"")</f>
        <v/>
      </c>
      <c r="I455" s="25">
        <f>IFERROR(IF(SUMIFS(tblDaily[Admissions],tblDaily[EntryDate],DATE(2026,12,8),tblDaily[WardCode],"FAE")=0,"",SUMIFS(tblDaily[Admissions],tblDaily[EntryDate],DATE(2026,12,8),tblDaily[WardCode],"FAE")),"")</f>
        <v/>
      </c>
      <c r="J455" s="25">
        <f>IFERROR(IF(SUMIFS(tblDaily[Discharges],tblDaily[EntryDate],DATE(2026,12,8),tblDaily[WardCode],"FAE")=0,"",SUMIFS(tblDaily[Discharges],tblDaily[EntryDate],DATE(2026,12,8),tblDaily[WardCode],"FAE")),"")</f>
        <v/>
      </c>
      <c r="K455" s="25">
        <f>IFERROR(IF(SUMIFS(tblDaily[Deaths],tblDaily[EntryDate],DATE(2026,12,8),tblDaily[WardCode],"FAE")=0,"",SUMIFS(tblDaily[Deaths],tblDaily[EntryDate],DATE(2026,12,8),tblDaily[WardCode],"FAE")),"")</f>
        <v/>
      </c>
      <c r="L455" s="25">
        <f>IFERROR(IF(SUMIFS(tblDaily[DeathsUnder24Hrs],tblDaily[EntryDate],DATE(2026,12,8),tblDaily[WardCode],"FAE")=0,"",SUMIFS(tblDaily[DeathsUnder24Hrs],tblDaily[EntryDate],DATE(2026,12,8),tblDaily[WardCode],"FAE")),"")</f>
        <v/>
      </c>
      <c r="M455" s="25">
        <f>IFERROR(IF(SUMIFS(tblDaily[TransfersIn],tblDaily[EntryDate],DATE(2026,12,8),tblDaily[WardCode],"FAE")=0,"",SUMIFS(tblDaily[TransfersIn],tblDaily[EntryDate],DATE(2026,12,8),tblDaily[WardCode],"FAE")),"")</f>
        <v/>
      </c>
      <c r="N455" s="25">
        <f>IFERROR(IF(SUMIFS(tblDaily[TransfersOut],tblDaily[EntryDate],DATE(2026,12,8),tblDaily[WardCode],"FAE")=0,"",SUMIFS(tblDaily[TransfersOut],tblDaily[EntryDate],DATE(2026,12,8),tblDaily[WardCode],"FAE")),"")</f>
        <v/>
      </c>
      <c r="O455" s="25">
        <f>IFERROR(IF(SUMIFS(tblDaily[Remaining],tblDaily[EntryDate],DATE(2026,12,8),tblDaily[WardCode],"FAE")=0,"",SUMIFS(tblDaily[Remaining],tblDaily[EntryDate],DATE(2026,12,8),tblDaily[WardCode],"FAE")),"")</f>
        <v/>
      </c>
      <c r="P455" s="26">
        <f>IF(AND(H455="", O455=""), "", N(H455) + N(O455))</f>
        <v/>
      </c>
    </row>
    <row r="456">
      <c r="A456" s="25" t="n">
        <v>9</v>
      </c>
      <c r="B456" s="25">
        <f>IFERROR(IF(SUMIFS(tblDaily[Admissions],tblDaily[EntryDate],DATE(2026,12,9),tblDaily[WardCode],"MAE")=0,"",SUMIFS(tblDaily[Admissions],tblDaily[EntryDate],DATE(2026,12,9),tblDaily[WardCode],"MAE")),"")</f>
        <v/>
      </c>
      <c r="C456" s="25">
        <f>IFERROR(IF(SUMIFS(tblDaily[Discharges],tblDaily[EntryDate],DATE(2026,12,9),tblDaily[WardCode],"MAE")=0,"",SUMIFS(tblDaily[Discharges],tblDaily[EntryDate],DATE(2026,12,9),tblDaily[WardCode],"MAE")),"")</f>
        <v/>
      </c>
      <c r="D456" s="25">
        <f>IFERROR(IF(SUMIFS(tblDaily[Deaths],tblDaily[EntryDate],DATE(2026,12,9),tblDaily[WardCode],"MAE")=0,"",SUMIFS(tblDaily[Deaths],tblDaily[EntryDate],DATE(2026,12,9),tblDaily[WardCode],"MAE")),"")</f>
        <v/>
      </c>
      <c r="E456" s="25">
        <f>IFERROR(IF(SUMIFS(tblDaily[DeathsUnder24Hrs],tblDaily[EntryDate],DATE(2026,12,9),tblDaily[WardCode],"MAE")=0,"",SUMIFS(tblDaily[DeathsUnder24Hrs],tblDaily[EntryDate],DATE(2026,12,9),tblDaily[WardCode],"MAE")),"")</f>
        <v/>
      </c>
      <c r="F456" s="25">
        <f>IFERROR(IF(SUMIFS(tblDaily[TransfersIn],tblDaily[EntryDate],DATE(2026,12,9),tblDaily[WardCode],"MAE")=0,"",SUMIFS(tblDaily[TransfersIn],tblDaily[EntryDate],DATE(2026,12,9),tblDaily[WardCode],"MAE")),"")</f>
        <v/>
      </c>
      <c r="G456" s="25">
        <f>IFERROR(IF(SUMIFS(tblDaily[TransfersOut],tblDaily[EntryDate],DATE(2026,12,9),tblDaily[WardCode],"MAE")=0,"",SUMIFS(tblDaily[TransfersOut],tblDaily[EntryDate],DATE(2026,12,9),tblDaily[WardCode],"MAE")),"")</f>
        <v/>
      </c>
      <c r="H456" s="25">
        <f>IFERROR(IF(SUMIFS(tblDaily[Remaining],tblDaily[EntryDate],DATE(2026,12,9),tblDaily[WardCode],"MAE")=0,"",SUMIFS(tblDaily[Remaining],tblDaily[EntryDate],DATE(2026,12,9),tblDaily[WardCode],"MAE")),"")</f>
        <v/>
      </c>
      <c r="I456" s="25">
        <f>IFERROR(IF(SUMIFS(tblDaily[Admissions],tblDaily[EntryDate],DATE(2026,12,9),tblDaily[WardCode],"FAE")=0,"",SUMIFS(tblDaily[Admissions],tblDaily[EntryDate],DATE(2026,12,9),tblDaily[WardCode],"FAE")),"")</f>
        <v/>
      </c>
      <c r="J456" s="25">
        <f>IFERROR(IF(SUMIFS(tblDaily[Discharges],tblDaily[EntryDate],DATE(2026,12,9),tblDaily[WardCode],"FAE")=0,"",SUMIFS(tblDaily[Discharges],tblDaily[EntryDate],DATE(2026,12,9),tblDaily[WardCode],"FAE")),"")</f>
        <v/>
      </c>
      <c r="K456" s="25">
        <f>IFERROR(IF(SUMIFS(tblDaily[Deaths],tblDaily[EntryDate],DATE(2026,12,9),tblDaily[WardCode],"FAE")=0,"",SUMIFS(tblDaily[Deaths],tblDaily[EntryDate],DATE(2026,12,9),tblDaily[WardCode],"FAE")),"")</f>
        <v/>
      </c>
      <c r="L456" s="25">
        <f>IFERROR(IF(SUMIFS(tblDaily[DeathsUnder24Hrs],tblDaily[EntryDate],DATE(2026,12,9),tblDaily[WardCode],"FAE")=0,"",SUMIFS(tblDaily[DeathsUnder24Hrs],tblDaily[EntryDate],DATE(2026,12,9),tblDaily[WardCode],"FAE")),"")</f>
        <v/>
      </c>
      <c r="M456" s="25">
        <f>IFERROR(IF(SUMIFS(tblDaily[TransfersIn],tblDaily[EntryDate],DATE(2026,12,9),tblDaily[WardCode],"FAE")=0,"",SUMIFS(tblDaily[TransfersIn],tblDaily[EntryDate],DATE(2026,12,9),tblDaily[WardCode],"FAE")),"")</f>
        <v/>
      </c>
      <c r="N456" s="25">
        <f>IFERROR(IF(SUMIFS(tblDaily[TransfersOut],tblDaily[EntryDate],DATE(2026,12,9),tblDaily[WardCode],"FAE")=0,"",SUMIFS(tblDaily[TransfersOut],tblDaily[EntryDate],DATE(2026,12,9),tblDaily[WardCode],"FAE")),"")</f>
        <v/>
      </c>
      <c r="O456" s="25">
        <f>IFERROR(IF(SUMIFS(tblDaily[Remaining],tblDaily[EntryDate],DATE(2026,12,9),tblDaily[WardCode],"FAE")=0,"",SUMIFS(tblDaily[Remaining],tblDaily[EntryDate],DATE(2026,12,9),tblDaily[WardCode],"FAE")),"")</f>
        <v/>
      </c>
      <c r="P456" s="26">
        <f>IF(AND(H456="", O456=""), "", N(H456) + N(O456))</f>
        <v/>
      </c>
    </row>
    <row r="457">
      <c r="A457" s="25" t="n">
        <v>10</v>
      </c>
      <c r="B457" s="25">
        <f>IFERROR(IF(SUMIFS(tblDaily[Admissions],tblDaily[EntryDate],DATE(2026,12,10),tblDaily[WardCode],"MAE")=0,"",SUMIFS(tblDaily[Admissions],tblDaily[EntryDate],DATE(2026,12,10),tblDaily[WardCode],"MAE")),"")</f>
        <v/>
      </c>
      <c r="C457" s="25">
        <f>IFERROR(IF(SUMIFS(tblDaily[Discharges],tblDaily[EntryDate],DATE(2026,12,10),tblDaily[WardCode],"MAE")=0,"",SUMIFS(tblDaily[Discharges],tblDaily[EntryDate],DATE(2026,12,10),tblDaily[WardCode],"MAE")),"")</f>
        <v/>
      </c>
      <c r="D457" s="25">
        <f>IFERROR(IF(SUMIFS(tblDaily[Deaths],tblDaily[EntryDate],DATE(2026,12,10),tblDaily[WardCode],"MAE")=0,"",SUMIFS(tblDaily[Deaths],tblDaily[EntryDate],DATE(2026,12,10),tblDaily[WardCode],"MAE")),"")</f>
        <v/>
      </c>
      <c r="E457" s="25">
        <f>IFERROR(IF(SUMIFS(tblDaily[DeathsUnder24Hrs],tblDaily[EntryDate],DATE(2026,12,10),tblDaily[WardCode],"MAE")=0,"",SUMIFS(tblDaily[DeathsUnder24Hrs],tblDaily[EntryDate],DATE(2026,12,10),tblDaily[WardCode],"MAE")),"")</f>
        <v/>
      </c>
      <c r="F457" s="25">
        <f>IFERROR(IF(SUMIFS(tblDaily[TransfersIn],tblDaily[EntryDate],DATE(2026,12,10),tblDaily[WardCode],"MAE")=0,"",SUMIFS(tblDaily[TransfersIn],tblDaily[EntryDate],DATE(2026,12,10),tblDaily[WardCode],"MAE")),"")</f>
        <v/>
      </c>
      <c r="G457" s="25">
        <f>IFERROR(IF(SUMIFS(tblDaily[TransfersOut],tblDaily[EntryDate],DATE(2026,12,10),tblDaily[WardCode],"MAE")=0,"",SUMIFS(tblDaily[TransfersOut],tblDaily[EntryDate],DATE(2026,12,10),tblDaily[WardCode],"MAE")),"")</f>
        <v/>
      </c>
      <c r="H457" s="25">
        <f>IFERROR(IF(SUMIFS(tblDaily[Remaining],tblDaily[EntryDate],DATE(2026,12,10),tblDaily[WardCode],"MAE")=0,"",SUMIFS(tblDaily[Remaining],tblDaily[EntryDate],DATE(2026,12,10),tblDaily[WardCode],"MAE")),"")</f>
        <v/>
      </c>
      <c r="I457" s="25">
        <f>IFERROR(IF(SUMIFS(tblDaily[Admissions],tblDaily[EntryDate],DATE(2026,12,10),tblDaily[WardCode],"FAE")=0,"",SUMIFS(tblDaily[Admissions],tblDaily[EntryDate],DATE(2026,12,10),tblDaily[WardCode],"FAE")),"")</f>
        <v/>
      </c>
      <c r="J457" s="25">
        <f>IFERROR(IF(SUMIFS(tblDaily[Discharges],tblDaily[EntryDate],DATE(2026,12,10),tblDaily[WardCode],"FAE")=0,"",SUMIFS(tblDaily[Discharges],tblDaily[EntryDate],DATE(2026,12,10),tblDaily[WardCode],"FAE")),"")</f>
        <v/>
      </c>
      <c r="K457" s="25">
        <f>IFERROR(IF(SUMIFS(tblDaily[Deaths],tblDaily[EntryDate],DATE(2026,12,10),tblDaily[WardCode],"FAE")=0,"",SUMIFS(tblDaily[Deaths],tblDaily[EntryDate],DATE(2026,12,10),tblDaily[WardCode],"FAE")),"")</f>
        <v/>
      </c>
      <c r="L457" s="25">
        <f>IFERROR(IF(SUMIFS(tblDaily[DeathsUnder24Hrs],tblDaily[EntryDate],DATE(2026,12,10),tblDaily[WardCode],"FAE")=0,"",SUMIFS(tblDaily[DeathsUnder24Hrs],tblDaily[EntryDate],DATE(2026,12,10),tblDaily[WardCode],"FAE")),"")</f>
        <v/>
      </c>
      <c r="M457" s="25">
        <f>IFERROR(IF(SUMIFS(tblDaily[TransfersIn],tblDaily[EntryDate],DATE(2026,12,10),tblDaily[WardCode],"FAE")=0,"",SUMIFS(tblDaily[TransfersIn],tblDaily[EntryDate],DATE(2026,12,10),tblDaily[WardCode],"FAE")),"")</f>
        <v/>
      </c>
      <c r="N457" s="25">
        <f>IFERROR(IF(SUMIFS(tblDaily[TransfersOut],tblDaily[EntryDate],DATE(2026,12,10),tblDaily[WardCode],"FAE")=0,"",SUMIFS(tblDaily[TransfersOut],tblDaily[EntryDate],DATE(2026,12,10),tblDaily[WardCode],"FAE")),"")</f>
        <v/>
      </c>
      <c r="O457" s="25">
        <f>IFERROR(IF(SUMIFS(tblDaily[Remaining],tblDaily[EntryDate],DATE(2026,12,10),tblDaily[WardCode],"FAE")=0,"",SUMIFS(tblDaily[Remaining],tblDaily[EntryDate],DATE(2026,12,10),tblDaily[WardCode],"FAE")),"")</f>
        <v/>
      </c>
      <c r="P457" s="26">
        <f>IF(AND(H457="", O457=""), "", N(H457) + N(O457))</f>
        <v/>
      </c>
    </row>
    <row r="458">
      <c r="A458" s="25" t="n">
        <v>11</v>
      </c>
      <c r="B458" s="25">
        <f>IFERROR(IF(SUMIFS(tblDaily[Admissions],tblDaily[EntryDate],DATE(2026,12,11),tblDaily[WardCode],"MAE")=0,"",SUMIFS(tblDaily[Admissions],tblDaily[EntryDate],DATE(2026,12,11),tblDaily[WardCode],"MAE")),"")</f>
        <v/>
      </c>
      <c r="C458" s="25">
        <f>IFERROR(IF(SUMIFS(tblDaily[Discharges],tblDaily[EntryDate],DATE(2026,12,11),tblDaily[WardCode],"MAE")=0,"",SUMIFS(tblDaily[Discharges],tblDaily[EntryDate],DATE(2026,12,11),tblDaily[WardCode],"MAE")),"")</f>
        <v/>
      </c>
      <c r="D458" s="25">
        <f>IFERROR(IF(SUMIFS(tblDaily[Deaths],tblDaily[EntryDate],DATE(2026,12,11),tblDaily[WardCode],"MAE")=0,"",SUMIFS(tblDaily[Deaths],tblDaily[EntryDate],DATE(2026,12,11),tblDaily[WardCode],"MAE")),"")</f>
        <v/>
      </c>
      <c r="E458" s="25">
        <f>IFERROR(IF(SUMIFS(tblDaily[DeathsUnder24Hrs],tblDaily[EntryDate],DATE(2026,12,11),tblDaily[WardCode],"MAE")=0,"",SUMIFS(tblDaily[DeathsUnder24Hrs],tblDaily[EntryDate],DATE(2026,12,11),tblDaily[WardCode],"MAE")),"")</f>
        <v/>
      </c>
      <c r="F458" s="25">
        <f>IFERROR(IF(SUMIFS(tblDaily[TransfersIn],tblDaily[EntryDate],DATE(2026,12,11),tblDaily[WardCode],"MAE")=0,"",SUMIFS(tblDaily[TransfersIn],tblDaily[EntryDate],DATE(2026,12,11),tblDaily[WardCode],"MAE")),"")</f>
        <v/>
      </c>
      <c r="G458" s="25">
        <f>IFERROR(IF(SUMIFS(tblDaily[TransfersOut],tblDaily[EntryDate],DATE(2026,12,11),tblDaily[WardCode],"MAE")=0,"",SUMIFS(tblDaily[TransfersOut],tblDaily[EntryDate],DATE(2026,12,11),tblDaily[WardCode],"MAE")),"")</f>
        <v/>
      </c>
      <c r="H458" s="25">
        <f>IFERROR(IF(SUMIFS(tblDaily[Remaining],tblDaily[EntryDate],DATE(2026,12,11),tblDaily[WardCode],"MAE")=0,"",SUMIFS(tblDaily[Remaining],tblDaily[EntryDate],DATE(2026,12,11),tblDaily[WardCode],"MAE")),"")</f>
        <v/>
      </c>
      <c r="I458" s="25">
        <f>IFERROR(IF(SUMIFS(tblDaily[Admissions],tblDaily[EntryDate],DATE(2026,12,11),tblDaily[WardCode],"FAE")=0,"",SUMIFS(tblDaily[Admissions],tblDaily[EntryDate],DATE(2026,12,11),tblDaily[WardCode],"FAE")),"")</f>
        <v/>
      </c>
      <c r="J458" s="25">
        <f>IFERROR(IF(SUMIFS(tblDaily[Discharges],tblDaily[EntryDate],DATE(2026,12,11),tblDaily[WardCode],"FAE")=0,"",SUMIFS(tblDaily[Discharges],tblDaily[EntryDate],DATE(2026,12,11),tblDaily[WardCode],"FAE")),"")</f>
        <v/>
      </c>
      <c r="K458" s="25">
        <f>IFERROR(IF(SUMIFS(tblDaily[Deaths],tblDaily[EntryDate],DATE(2026,12,11),tblDaily[WardCode],"FAE")=0,"",SUMIFS(tblDaily[Deaths],tblDaily[EntryDate],DATE(2026,12,11),tblDaily[WardCode],"FAE")),"")</f>
        <v/>
      </c>
      <c r="L458" s="25">
        <f>IFERROR(IF(SUMIFS(tblDaily[DeathsUnder24Hrs],tblDaily[EntryDate],DATE(2026,12,11),tblDaily[WardCode],"FAE")=0,"",SUMIFS(tblDaily[DeathsUnder24Hrs],tblDaily[EntryDate],DATE(2026,12,11),tblDaily[WardCode],"FAE")),"")</f>
        <v/>
      </c>
      <c r="M458" s="25">
        <f>IFERROR(IF(SUMIFS(tblDaily[TransfersIn],tblDaily[EntryDate],DATE(2026,12,11),tblDaily[WardCode],"FAE")=0,"",SUMIFS(tblDaily[TransfersIn],tblDaily[EntryDate],DATE(2026,12,11),tblDaily[WardCode],"FAE")),"")</f>
        <v/>
      </c>
      <c r="N458" s="25">
        <f>IFERROR(IF(SUMIFS(tblDaily[TransfersOut],tblDaily[EntryDate],DATE(2026,12,11),tblDaily[WardCode],"FAE")=0,"",SUMIFS(tblDaily[TransfersOut],tblDaily[EntryDate],DATE(2026,12,11),tblDaily[WardCode],"FAE")),"")</f>
        <v/>
      </c>
      <c r="O458" s="25">
        <f>IFERROR(IF(SUMIFS(tblDaily[Remaining],tblDaily[EntryDate],DATE(2026,12,11),tblDaily[WardCode],"FAE")=0,"",SUMIFS(tblDaily[Remaining],tblDaily[EntryDate],DATE(2026,12,11),tblDaily[WardCode],"FAE")),"")</f>
        <v/>
      </c>
      <c r="P458" s="26">
        <f>IF(AND(H458="", O458=""), "", N(H458) + N(O458))</f>
        <v/>
      </c>
    </row>
    <row r="459">
      <c r="A459" s="25" t="n">
        <v>12</v>
      </c>
      <c r="B459" s="25">
        <f>IFERROR(IF(SUMIFS(tblDaily[Admissions],tblDaily[EntryDate],DATE(2026,12,12),tblDaily[WardCode],"MAE")=0,"",SUMIFS(tblDaily[Admissions],tblDaily[EntryDate],DATE(2026,12,12),tblDaily[WardCode],"MAE")),"")</f>
        <v/>
      </c>
      <c r="C459" s="25">
        <f>IFERROR(IF(SUMIFS(tblDaily[Discharges],tblDaily[EntryDate],DATE(2026,12,12),tblDaily[WardCode],"MAE")=0,"",SUMIFS(tblDaily[Discharges],tblDaily[EntryDate],DATE(2026,12,12),tblDaily[WardCode],"MAE")),"")</f>
        <v/>
      </c>
      <c r="D459" s="25">
        <f>IFERROR(IF(SUMIFS(tblDaily[Deaths],tblDaily[EntryDate],DATE(2026,12,12),tblDaily[WardCode],"MAE")=0,"",SUMIFS(tblDaily[Deaths],tblDaily[EntryDate],DATE(2026,12,12),tblDaily[WardCode],"MAE")),"")</f>
        <v/>
      </c>
      <c r="E459" s="25">
        <f>IFERROR(IF(SUMIFS(tblDaily[DeathsUnder24Hrs],tblDaily[EntryDate],DATE(2026,12,12),tblDaily[WardCode],"MAE")=0,"",SUMIFS(tblDaily[DeathsUnder24Hrs],tblDaily[EntryDate],DATE(2026,12,12),tblDaily[WardCode],"MAE")),"")</f>
        <v/>
      </c>
      <c r="F459" s="25">
        <f>IFERROR(IF(SUMIFS(tblDaily[TransfersIn],tblDaily[EntryDate],DATE(2026,12,12),tblDaily[WardCode],"MAE")=0,"",SUMIFS(tblDaily[TransfersIn],tblDaily[EntryDate],DATE(2026,12,12),tblDaily[WardCode],"MAE")),"")</f>
        <v/>
      </c>
      <c r="G459" s="25">
        <f>IFERROR(IF(SUMIFS(tblDaily[TransfersOut],tblDaily[EntryDate],DATE(2026,12,12),tblDaily[WardCode],"MAE")=0,"",SUMIFS(tblDaily[TransfersOut],tblDaily[EntryDate],DATE(2026,12,12),tblDaily[WardCode],"MAE")),"")</f>
        <v/>
      </c>
      <c r="H459" s="25">
        <f>IFERROR(IF(SUMIFS(tblDaily[Remaining],tblDaily[EntryDate],DATE(2026,12,12),tblDaily[WardCode],"MAE")=0,"",SUMIFS(tblDaily[Remaining],tblDaily[EntryDate],DATE(2026,12,12),tblDaily[WardCode],"MAE")),"")</f>
        <v/>
      </c>
      <c r="I459" s="25">
        <f>IFERROR(IF(SUMIFS(tblDaily[Admissions],tblDaily[EntryDate],DATE(2026,12,12),tblDaily[WardCode],"FAE")=0,"",SUMIFS(tblDaily[Admissions],tblDaily[EntryDate],DATE(2026,12,12),tblDaily[WardCode],"FAE")),"")</f>
        <v/>
      </c>
      <c r="J459" s="25">
        <f>IFERROR(IF(SUMIFS(tblDaily[Discharges],tblDaily[EntryDate],DATE(2026,12,12),tblDaily[WardCode],"FAE")=0,"",SUMIFS(tblDaily[Discharges],tblDaily[EntryDate],DATE(2026,12,12),tblDaily[WardCode],"FAE")),"")</f>
        <v/>
      </c>
      <c r="K459" s="25">
        <f>IFERROR(IF(SUMIFS(tblDaily[Deaths],tblDaily[EntryDate],DATE(2026,12,12),tblDaily[WardCode],"FAE")=0,"",SUMIFS(tblDaily[Deaths],tblDaily[EntryDate],DATE(2026,12,12),tblDaily[WardCode],"FAE")),"")</f>
        <v/>
      </c>
      <c r="L459" s="25">
        <f>IFERROR(IF(SUMIFS(tblDaily[DeathsUnder24Hrs],tblDaily[EntryDate],DATE(2026,12,12),tblDaily[WardCode],"FAE")=0,"",SUMIFS(tblDaily[DeathsUnder24Hrs],tblDaily[EntryDate],DATE(2026,12,12),tblDaily[WardCode],"FAE")),"")</f>
        <v/>
      </c>
      <c r="M459" s="25">
        <f>IFERROR(IF(SUMIFS(tblDaily[TransfersIn],tblDaily[EntryDate],DATE(2026,12,12),tblDaily[WardCode],"FAE")=0,"",SUMIFS(tblDaily[TransfersIn],tblDaily[EntryDate],DATE(2026,12,12),tblDaily[WardCode],"FAE")),"")</f>
        <v/>
      </c>
      <c r="N459" s="25">
        <f>IFERROR(IF(SUMIFS(tblDaily[TransfersOut],tblDaily[EntryDate],DATE(2026,12,12),tblDaily[WardCode],"FAE")=0,"",SUMIFS(tblDaily[TransfersOut],tblDaily[EntryDate],DATE(2026,12,12),tblDaily[WardCode],"FAE")),"")</f>
        <v/>
      </c>
      <c r="O459" s="25">
        <f>IFERROR(IF(SUMIFS(tblDaily[Remaining],tblDaily[EntryDate],DATE(2026,12,12),tblDaily[WardCode],"FAE")=0,"",SUMIFS(tblDaily[Remaining],tblDaily[EntryDate],DATE(2026,12,12),tblDaily[WardCode],"FAE")),"")</f>
        <v/>
      </c>
      <c r="P459" s="26">
        <f>IF(AND(H459="", O459=""), "", N(H459) + N(O459))</f>
        <v/>
      </c>
    </row>
    <row r="460">
      <c r="A460" s="25" t="n">
        <v>13</v>
      </c>
      <c r="B460" s="25">
        <f>IFERROR(IF(SUMIFS(tblDaily[Admissions],tblDaily[EntryDate],DATE(2026,12,13),tblDaily[WardCode],"MAE")=0,"",SUMIFS(tblDaily[Admissions],tblDaily[EntryDate],DATE(2026,12,13),tblDaily[WardCode],"MAE")),"")</f>
        <v/>
      </c>
      <c r="C460" s="25">
        <f>IFERROR(IF(SUMIFS(tblDaily[Discharges],tblDaily[EntryDate],DATE(2026,12,13),tblDaily[WardCode],"MAE")=0,"",SUMIFS(tblDaily[Discharges],tblDaily[EntryDate],DATE(2026,12,13),tblDaily[WardCode],"MAE")),"")</f>
        <v/>
      </c>
      <c r="D460" s="25">
        <f>IFERROR(IF(SUMIFS(tblDaily[Deaths],tblDaily[EntryDate],DATE(2026,12,13),tblDaily[WardCode],"MAE")=0,"",SUMIFS(tblDaily[Deaths],tblDaily[EntryDate],DATE(2026,12,13),tblDaily[WardCode],"MAE")),"")</f>
        <v/>
      </c>
      <c r="E460" s="25">
        <f>IFERROR(IF(SUMIFS(tblDaily[DeathsUnder24Hrs],tblDaily[EntryDate],DATE(2026,12,13),tblDaily[WardCode],"MAE")=0,"",SUMIFS(tblDaily[DeathsUnder24Hrs],tblDaily[EntryDate],DATE(2026,12,13),tblDaily[WardCode],"MAE")),"")</f>
        <v/>
      </c>
      <c r="F460" s="25">
        <f>IFERROR(IF(SUMIFS(tblDaily[TransfersIn],tblDaily[EntryDate],DATE(2026,12,13),tblDaily[WardCode],"MAE")=0,"",SUMIFS(tblDaily[TransfersIn],tblDaily[EntryDate],DATE(2026,12,13),tblDaily[WardCode],"MAE")),"")</f>
        <v/>
      </c>
      <c r="G460" s="25">
        <f>IFERROR(IF(SUMIFS(tblDaily[TransfersOut],tblDaily[EntryDate],DATE(2026,12,13),tblDaily[WardCode],"MAE")=0,"",SUMIFS(tblDaily[TransfersOut],tblDaily[EntryDate],DATE(2026,12,13),tblDaily[WardCode],"MAE")),"")</f>
        <v/>
      </c>
      <c r="H460" s="25">
        <f>IFERROR(IF(SUMIFS(tblDaily[Remaining],tblDaily[EntryDate],DATE(2026,12,13),tblDaily[WardCode],"MAE")=0,"",SUMIFS(tblDaily[Remaining],tblDaily[EntryDate],DATE(2026,12,13),tblDaily[WardCode],"MAE")),"")</f>
        <v/>
      </c>
      <c r="I460" s="25">
        <f>IFERROR(IF(SUMIFS(tblDaily[Admissions],tblDaily[EntryDate],DATE(2026,12,13),tblDaily[WardCode],"FAE")=0,"",SUMIFS(tblDaily[Admissions],tblDaily[EntryDate],DATE(2026,12,13),tblDaily[WardCode],"FAE")),"")</f>
        <v/>
      </c>
      <c r="J460" s="25">
        <f>IFERROR(IF(SUMIFS(tblDaily[Discharges],tblDaily[EntryDate],DATE(2026,12,13),tblDaily[WardCode],"FAE")=0,"",SUMIFS(tblDaily[Discharges],tblDaily[EntryDate],DATE(2026,12,13),tblDaily[WardCode],"FAE")),"")</f>
        <v/>
      </c>
      <c r="K460" s="25">
        <f>IFERROR(IF(SUMIFS(tblDaily[Deaths],tblDaily[EntryDate],DATE(2026,12,13),tblDaily[WardCode],"FAE")=0,"",SUMIFS(tblDaily[Deaths],tblDaily[EntryDate],DATE(2026,12,13),tblDaily[WardCode],"FAE")),"")</f>
        <v/>
      </c>
      <c r="L460" s="25">
        <f>IFERROR(IF(SUMIFS(tblDaily[DeathsUnder24Hrs],tblDaily[EntryDate],DATE(2026,12,13),tblDaily[WardCode],"FAE")=0,"",SUMIFS(tblDaily[DeathsUnder24Hrs],tblDaily[EntryDate],DATE(2026,12,13),tblDaily[WardCode],"FAE")),"")</f>
        <v/>
      </c>
      <c r="M460" s="25">
        <f>IFERROR(IF(SUMIFS(tblDaily[TransfersIn],tblDaily[EntryDate],DATE(2026,12,13),tblDaily[WardCode],"FAE")=0,"",SUMIFS(tblDaily[TransfersIn],tblDaily[EntryDate],DATE(2026,12,13),tblDaily[WardCode],"FAE")),"")</f>
        <v/>
      </c>
      <c r="N460" s="25">
        <f>IFERROR(IF(SUMIFS(tblDaily[TransfersOut],tblDaily[EntryDate],DATE(2026,12,13),tblDaily[WardCode],"FAE")=0,"",SUMIFS(tblDaily[TransfersOut],tblDaily[EntryDate],DATE(2026,12,13),tblDaily[WardCode],"FAE")),"")</f>
        <v/>
      </c>
      <c r="O460" s="25">
        <f>IFERROR(IF(SUMIFS(tblDaily[Remaining],tblDaily[EntryDate],DATE(2026,12,13),tblDaily[WardCode],"FAE")=0,"",SUMIFS(tblDaily[Remaining],tblDaily[EntryDate],DATE(2026,12,13),tblDaily[WardCode],"FAE")),"")</f>
        <v/>
      </c>
      <c r="P460" s="26">
        <f>IF(AND(H460="", O460=""), "", N(H460) + N(O460))</f>
        <v/>
      </c>
    </row>
    <row r="461">
      <c r="A461" s="25" t="n">
        <v>14</v>
      </c>
      <c r="B461" s="25">
        <f>IFERROR(IF(SUMIFS(tblDaily[Admissions],tblDaily[EntryDate],DATE(2026,12,14),tblDaily[WardCode],"MAE")=0,"",SUMIFS(tblDaily[Admissions],tblDaily[EntryDate],DATE(2026,12,14),tblDaily[WardCode],"MAE")),"")</f>
        <v/>
      </c>
      <c r="C461" s="25">
        <f>IFERROR(IF(SUMIFS(tblDaily[Discharges],tblDaily[EntryDate],DATE(2026,12,14),tblDaily[WardCode],"MAE")=0,"",SUMIFS(tblDaily[Discharges],tblDaily[EntryDate],DATE(2026,12,14),tblDaily[WardCode],"MAE")),"")</f>
        <v/>
      </c>
      <c r="D461" s="25">
        <f>IFERROR(IF(SUMIFS(tblDaily[Deaths],tblDaily[EntryDate],DATE(2026,12,14),tblDaily[WardCode],"MAE")=0,"",SUMIFS(tblDaily[Deaths],tblDaily[EntryDate],DATE(2026,12,14),tblDaily[WardCode],"MAE")),"")</f>
        <v/>
      </c>
      <c r="E461" s="25">
        <f>IFERROR(IF(SUMIFS(tblDaily[DeathsUnder24Hrs],tblDaily[EntryDate],DATE(2026,12,14),tblDaily[WardCode],"MAE")=0,"",SUMIFS(tblDaily[DeathsUnder24Hrs],tblDaily[EntryDate],DATE(2026,12,14),tblDaily[WardCode],"MAE")),"")</f>
        <v/>
      </c>
      <c r="F461" s="25">
        <f>IFERROR(IF(SUMIFS(tblDaily[TransfersIn],tblDaily[EntryDate],DATE(2026,12,14),tblDaily[WardCode],"MAE")=0,"",SUMIFS(tblDaily[TransfersIn],tblDaily[EntryDate],DATE(2026,12,14),tblDaily[WardCode],"MAE")),"")</f>
        <v/>
      </c>
      <c r="G461" s="25">
        <f>IFERROR(IF(SUMIFS(tblDaily[TransfersOut],tblDaily[EntryDate],DATE(2026,12,14),tblDaily[WardCode],"MAE")=0,"",SUMIFS(tblDaily[TransfersOut],tblDaily[EntryDate],DATE(2026,12,14),tblDaily[WardCode],"MAE")),"")</f>
        <v/>
      </c>
      <c r="H461" s="25">
        <f>IFERROR(IF(SUMIFS(tblDaily[Remaining],tblDaily[EntryDate],DATE(2026,12,14),tblDaily[WardCode],"MAE")=0,"",SUMIFS(tblDaily[Remaining],tblDaily[EntryDate],DATE(2026,12,14),tblDaily[WardCode],"MAE")),"")</f>
        <v/>
      </c>
      <c r="I461" s="25">
        <f>IFERROR(IF(SUMIFS(tblDaily[Admissions],tblDaily[EntryDate],DATE(2026,12,14),tblDaily[WardCode],"FAE")=0,"",SUMIFS(tblDaily[Admissions],tblDaily[EntryDate],DATE(2026,12,14),tblDaily[WardCode],"FAE")),"")</f>
        <v/>
      </c>
      <c r="J461" s="25">
        <f>IFERROR(IF(SUMIFS(tblDaily[Discharges],tblDaily[EntryDate],DATE(2026,12,14),tblDaily[WardCode],"FAE")=0,"",SUMIFS(tblDaily[Discharges],tblDaily[EntryDate],DATE(2026,12,14),tblDaily[WardCode],"FAE")),"")</f>
        <v/>
      </c>
      <c r="K461" s="25">
        <f>IFERROR(IF(SUMIFS(tblDaily[Deaths],tblDaily[EntryDate],DATE(2026,12,14),tblDaily[WardCode],"FAE")=0,"",SUMIFS(tblDaily[Deaths],tblDaily[EntryDate],DATE(2026,12,14),tblDaily[WardCode],"FAE")),"")</f>
        <v/>
      </c>
      <c r="L461" s="25">
        <f>IFERROR(IF(SUMIFS(tblDaily[DeathsUnder24Hrs],tblDaily[EntryDate],DATE(2026,12,14),tblDaily[WardCode],"FAE")=0,"",SUMIFS(tblDaily[DeathsUnder24Hrs],tblDaily[EntryDate],DATE(2026,12,14),tblDaily[WardCode],"FAE")),"")</f>
        <v/>
      </c>
      <c r="M461" s="25">
        <f>IFERROR(IF(SUMIFS(tblDaily[TransfersIn],tblDaily[EntryDate],DATE(2026,12,14),tblDaily[WardCode],"FAE")=0,"",SUMIFS(tblDaily[TransfersIn],tblDaily[EntryDate],DATE(2026,12,14),tblDaily[WardCode],"FAE")),"")</f>
        <v/>
      </c>
      <c r="N461" s="25">
        <f>IFERROR(IF(SUMIFS(tblDaily[TransfersOut],tblDaily[EntryDate],DATE(2026,12,14),tblDaily[WardCode],"FAE")=0,"",SUMIFS(tblDaily[TransfersOut],tblDaily[EntryDate],DATE(2026,12,14),tblDaily[WardCode],"FAE")),"")</f>
        <v/>
      </c>
      <c r="O461" s="25">
        <f>IFERROR(IF(SUMIFS(tblDaily[Remaining],tblDaily[EntryDate],DATE(2026,12,14),tblDaily[WardCode],"FAE")=0,"",SUMIFS(tblDaily[Remaining],tblDaily[EntryDate],DATE(2026,12,14),tblDaily[WardCode],"FAE")),"")</f>
        <v/>
      </c>
      <c r="P461" s="26">
        <f>IF(AND(H461="", O461=""), "", N(H461) + N(O461))</f>
        <v/>
      </c>
    </row>
    <row r="462">
      <c r="A462" s="25" t="n">
        <v>15</v>
      </c>
      <c r="B462" s="25">
        <f>IFERROR(IF(SUMIFS(tblDaily[Admissions],tblDaily[EntryDate],DATE(2026,12,15),tblDaily[WardCode],"MAE")=0,"",SUMIFS(tblDaily[Admissions],tblDaily[EntryDate],DATE(2026,12,15),tblDaily[WardCode],"MAE")),"")</f>
        <v/>
      </c>
      <c r="C462" s="25">
        <f>IFERROR(IF(SUMIFS(tblDaily[Discharges],tblDaily[EntryDate],DATE(2026,12,15),tblDaily[WardCode],"MAE")=0,"",SUMIFS(tblDaily[Discharges],tblDaily[EntryDate],DATE(2026,12,15),tblDaily[WardCode],"MAE")),"")</f>
        <v/>
      </c>
      <c r="D462" s="25">
        <f>IFERROR(IF(SUMIFS(tblDaily[Deaths],tblDaily[EntryDate],DATE(2026,12,15),tblDaily[WardCode],"MAE")=0,"",SUMIFS(tblDaily[Deaths],tblDaily[EntryDate],DATE(2026,12,15),tblDaily[WardCode],"MAE")),"")</f>
        <v/>
      </c>
      <c r="E462" s="25">
        <f>IFERROR(IF(SUMIFS(tblDaily[DeathsUnder24Hrs],tblDaily[EntryDate],DATE(2026,12,15),tblDaily[WardCode],"MAE")=0,"",SUMIFS(tblDaily[DeathsUnder24Hrs],tblDaily[EntryDate],DATE(2026,12,15),tblDaily[WardCode],"MAE")),"")</f>
        <v/>
      </c>
      <c r="F462" s="25">
        <f>IFERROR(IF(SUMIFS(tblDaily[TransfersIn],tblDaily[EntryDate],DATE(2026,12,15),tblDaily[WardCode],"MAE")=0,"",SUMIFS(tblDaily[TransfersIn],tblDaily[EntryDate],DATE(2026,12,15),tblDaily[WardCode],"MAE")),"")</f>
        <v/>
      </c>
      <c r="G462" s="25">
        <f>IFERROR(IF(SUMIFS(tblDaily[TransfersOut],tblDaily[EntryDate],DATE(2026,12,15),tblDaily[WardCode],"MAE")=0,"",SUMIFS(tblDaily[TransfersOut],tblDaily[EntryDate],DATE(2026,12,15),tblDaily[WardCode],"MAE")),"")</f>
        <v/>
      </c>
      <c r="H462" s="25">
        <f>IFERROR(IF(SUMIFS(tblDaily[Remaining],tblDaily[EntryDate],DATE(2026,12,15),tblDaily[WardCode],"MAE")=0,"",SUMIFS(tblDaily[Remaining],tblDaily[EntryDate],DATE(2026,12,15),tblDaily[WardCode],"MAE")),"")</f>
        <v/>
      </c>
      <c r="I462" s="25">
        <f>IFERROR(IF(SUMIFS(tblDaily[Admissions],tblDaily[EntryDate],DATE(2026,12,15),tblDaily[WardCode],"FAE")=0,"",SUMIFS(tblDaily[Admissions],tblDaily[EntryDate],DATE(2026,12,15),tblDaily[WardCode],"FAE")),"")</f>
        <v/>
      </c>
      <c r="J462" s="25">
        <f>IFERROR(IF(SUMIFS(tblDaily[Discharges],tblDaily[EntryDate],DATE(2026,12,15),tblDaily[WardCode],"FAE")=0,"",SUMIFS(tblDaily[Discharges],tblDaily[EntryDate],DATE(2026,12,15),tblDaily[WardCode],"FAE")),"")</f>
        <v/>
      </c>
      <c r="K462" s="25">
        <f>IFERROR(IF(SUMIFS(tblDaily[Deaths],tblDaily[EntryDate],DATE(2026,12,15),tblDaily[WardCode],"FAE")=0,"",SUMIFS(tblDaily[Deaths],tblDaily[EntryDate],DATE(2026,12,15),tblDaily[WardCode],"FAE")),"")</f>
        <v/>
      </c>
      <c r="L462" s="25">
        <f>IFERROR(IF(SUMIFS(tblDaily[DeathsUnder24Hrs],tblDaily[EntryDate],DATE(2026,12,15),tblDaily[WardCode],"FAE")=0,"",SUMIFS(tblDaily[DeathsUnder24Hrs],tblDaily[EntryDate],DATE(2026,12,15),tblDaily[WardCode],"FAE")),"")</f>
        <v/>
      </c>
      <c r="M462" s="25">
        <f>IFERROR(IF(SUMIFS(tblDaily[TransfersIn],tblDaily[EntryDate],DATE(2026,12,15),tblDaily[WardCode],"FAE")=0,"",SUMIFS(tblDaily[TransfersIn],tblDaily[EntryDate],DATE(2026,12,15),tblDaily[WardCode],"FAE")),"")</f>
        <v/>
      </c>
      <c r="N462" s="25">
        <f>IFERROR(IF(SUMIFS(tblDaily[TransfersOut],tblDaily[EntryDate],DATE(2026,12,15),tblDaily[WardCode],"FAE")=0,"",SUMIFS(tblDaily[TransfersOut],tblDaily[EntryDate],DATE(2026,12,15),tblDaily[WardCode],"FAE")),"")</f>
        <v/>
      </c>
      <c r="O462" s="25">
        <f>IFERROR(IF(SUMIFS(tblDaily[Remaining],tblDaily[EntryDate],DATE(2026,12,15),tblDaily[WardCode],"FAE")=0,"",SUMIFS(tblDaily[Remaining],tblDaily[EntryDate],DATE(2026,12,15),tblDaily[WardCode],"FAE")),"")</f>
        <v/>
      </c>
      <c r="P462" s="26">
        <f>IF(AND(H462="", O462=""), "", N(H462) + N(O462))</f>
        <v/>
      </c>
    </row>
    <row r="463">
      <c r="A463" s="25" t="n">
        <v>16</v>
      </c>
      <c r="B463" s="25">
        <f>IFERROR(IF(SUMIFS(tblDaily[Admissions],tblDaily[EntryDate],DATE(2026,12,16),tblDaily[WardCode],"MAE")=0,"",SUMIFS(tblDaily[Admissions],tblDaily[EntryDate],DATE(2026,12,16),tblDaily[WardCode],"MAE")),"")</f>
        <v/>
      </c>
      <c r="C463" s="25">
        <f>IFERROR(IF(SUMIFS(tblDaily[Discharges],tblDaily[EntryDate],DATE(2026,12,16),tblDaily[WardCode],"MAE")=0,"",SUMIFS(tblDaily[Discharges],tblDaily[EntryDate],DATE(2026,12,16),tblDaily[WardCode],"MAE")),"")</f>
        <v/>
      </c>
      <c r="D463" s="25">
        <f>IFERROR(IF(SUMIFS(tblDaily[Deaths],tblDaily[EntryDate],DATE(2026,12,16),tblDaily[WardCode],"MAE")=0,"",SUMIFS(tblDaily[Deaths],tblDaily[EntryDate],DATE(2026,12,16),tblDaily[WardCode],"MAE")),"")</f>
        <v/>
      </c>
      <c r="E463" s="25">
        <f>IFERROR(IF(SUMIFS(tblDaily[DeathsUnder24Hrs],tblDaily[EntryDate],DATE(2026,12,16),tblDaily[WardCode],"MAE")=0,"",SUMIFS(tblDaily[DeathsUnder24Hrs],tblDaily[EntryDate],DATE(2026,12,16),tblDaily[WardCode],"MAE")),"")</f>
        <v/>
      </c>
      <c r="F463" s="25">
        <f>IFERROR(IF(SUMIFS(tblDaily[TransfersIn],tblDaily[EntryDate],DATE(2026,12,16),tblDaily[WardCode],"MAE")=0,"",SUMIFS(tblDaily[TransfersIn],tblDaily[EntryDate],DATE(2026,12,16),tblDaily[WardCode],"MAE")),"")</f>
        <v/>
      </c>
      <c r="G463" s="25">
        <f>IFERROR(IF(SUMIFS(tblDaily[TransfersOut],tblDaily[EntryDate],DATE(2026,12,16),tblDaily[WardCode],"MAE")=0,"",SUMIFS(tblDaily[TransfersOut],tblDaily[EntryDate],DATE(2026,12,16),tblDaily[WardCode],"MAE")),"")</f>
        <v/>
      </c>
      <c r="H463" s="25">
        <f>IFERROR(IF(SUMIFS(tblDaily[Remaining],tblDaily[EntryDate],DATE(2026,12,16),tblDaily[WardCode],"MAE")=0,"",SUMIFS(tblDaily[Remaining],tblDaily[EntryDate],DATE(2026,12,16),tblDaily[WardCode],"MAE")),"")</f>
        <v/>
      </c>
      <c r="I463" s="25">
        <f>IFERROR(IF(SUMIFS(tblDaily[Admissions],tblDaily[EntryDate],DATE(2026,12,16),tblDaily[WardCode],"FAE")=0,"",SUMIFS(tblDaily[Admissions],tblDaily[EntryDate],DATE(2026,12,16),tblDaily[WardCode],"FAE")),"")</f>
        <v/>
      </c>
      <c r="J463" s="25">
        <f>IFERROR(IF(SUMIFS(tblDaily[Discharges],tblDaily[EntryDate],DATE(2026,12,16),tblDaily[WardCode],"FAE")=0,"",SUMIFS(tblDaily[Discharges],tblDaily[EntryDate],DATE(2026,12,16),tblDaily[WardCode],"FAE")),"")</f>
        <v/>
      </c>
      <c r="K463" s="25">
        <f>IFERROR(IF(SUMIFS(tblDaily[Deaths],tblDaily[EntryDate],DATE(2026,12,16),tblDaily[WardCode],"FAE")=0,"",SUMIFS(tblDaily[Deaths],tblDaily[EntryDate],DATE(2026,12,16),tblDaily[WardCode],"FAE")),"")</f>
        <v/>
      </c>
      <c r="L463" s="25">
        <f>IFERROR(IF(SUMIFS(tblDaily[DeathsUnder24Hrs],tblDaily[EntryDate],DATE(2026,12,16),tblDaily[WardCode],"FAE")=0,"",SUMIFS(tblDaily[DeathsUnder24Hrs],tblDaily[EntryDate],DATE(2026,12,16),tblDaily[WardCode],"FAE")),"")</f>
        <v/>
      </c>
      <c r="M463" s="25">
        <f>IFERROR(IF(SUMIFS(tblDaily[TransfersIn],tblDaily[EntryDate],DATE(2026,12,16),tblDaily[WardCode],"FAE")=0,"",SUMIFS(tblDaily[TransfersIn],tblDaily[EntryDate],DATE(2026,12,16),tblDaily[WardCode],"FAE")),"")</f>
        <v/>
      </c>
      <c r="N463" s="25">
        <f>IFERROR(IF(SUMIFS(tblDaily[TransfersOut],tblDaily[EntryDate],DATE(2026,12,16),tblDaily[WardCode],"FAE")=0,"",SUMIFS(tblDaily[TransfersOut],tblDaily[EntryDate],DATE(2026,12,16),tblDaily[WardCode],"FAE")),"")</f>
        <v/>
      </c>
      <c r="O463" s="25">
        <f>IFERROR(IF(SUMIFS(tblDaily[Remaining],tblDaily[EntryDate],DATE(2026,12,16),tblDaily[WardCode],"FAE")=0,"",SUMIFS(tblDaily[Remaining],tblDaily[EntryDate],DATE(2026,12,16),tblDaily[WardCode],"FAE")),"")</f>
        <v/>
      </c>
      <c r="P463" s="26">
        <f>IF(AND(H463="", O463=""), "", N(H463) + N(O463))</f>
        <v/>
      </c>
    </row>
    <row r="464">
      <c r="A464" s="25" t="n">
        <v>17</v>
      </c>
      <c r="B464" s="25">
        <f>IFERROR(IF(SUMIFS(tblDaily[Admissions],tblDaily[EntryDate],DATE(2026,12,17),tblDaily[WardCode],"MAE")=0,"",SUMIFS(tblDaily[Admissions],tblDaily[EntryDate],DATE(2026,12,17),tblDaily[WardCode],"MAE")),"")</f>
        <v/>
      </c>
      <c r="C464" s="25">
        <f>IFERROR(IF(SUMIFS(tblDaily[Discharges],tblDaily[EntryDate],DATE(2026,12,17),tblDaily[WardCode],"MAE")=0,"",SUMIFS(tblDaily[Discharges],tblDaily[EntryDate],DATE(2026,12,17),tblDaily[WardCode],"MAE")),"")</f>
        <v/>
      </c>
      <c r="D464" s="25">
        <f>IFERROR(IF(SUMIFS(tblDaily[Deaths],tblDaily[EntryDate],DATE(2026,12,17),tblDaily[WardCode],"MAE")=0,"",SUMIFS(tblDaily[Deaths],tblDaily[EntryDate],DATE(2026,12,17),tblDaily[WardCode],"MAE")),"")</f>
        <v/>
      </c>
      <c r="E464" s="25">
        <f>IFERROR(IF(SUMIFS(tblDaily[DeathsUnder24Hrs],tblDaily[EntryDate],DATE(2026,12,17),tblDaily[WardCode],"MAE")=0,"",SUMIFS(tblDaily[DeathsUnder24Hrs],tblDaily[EntryDate],DATE(2026,12,17),tblDaily[WardCode],"MAE")),"")</f>
        <v/>
      </c>
      <c r="F464" s="25">
        <f>IFERROR(IF(SUMIFS(tblDaily[TransfersIn],tblDaily[EntryDate],DATE(2026,12,17),tblDaily[WardCode],"MAE")=0,"",SUMIFS(tblDaily[TransfersIn],tblDaily[EntryDate],DATE(2026,12,17),tblDaily[WardCode],"MAE")),"")</f>
        <v/>
      </c>
      <c r="G464" s="25">
        <f>IFERROR(IF(SUMIFS(tblDaily[TransfersOut],tblDaily[EntryDate],DATE(2026,12,17),tblDaily[WardCode],"MAE")=0,"",SUMIFS(tblDaily[TransfersOut],tblDaily[EntryDate],DATE(2026,12,17),tblDaily[WardCode],"MAE")),"")</f>
        <v/>
      </c>
      <c r="H464" s="25">
        <f>IFERROR(IF(SUMIFS(tblDaily[Remaining],tblDaily[EntryDate],DATE(2026,12,17),tblDaily[WardCode],"MAE")=0,"",SUMIFS(tblDaily[Remaining],tblDaily[EntryDate],DATE(2026,12,17),tblDaily[WardCode],"MAE")),"")</f>
        <v/>
      </c>
      <c r="I464" s="25">
        <f>IFERROR(IF(SUMIFS(tblDaily[Admissions],tblDaily[EntryDate],DATE(2026,12,17),tblDaily[WardCode],"FAE")=0,"",SUMIFS(tblDaily[Admissions],tblDaily[EntryDate],DATE(2026,12,17),tblDaily[WardCode],"FAE")),"")</f>
        <v/>
      </c>
      <c r="J464" s="25">
        <f>IFERROR(IF(SUMIFS(tblDaily[Discharges],tblDaily[EntryDate],DATE(2026,12,17),tblDaily[WardCode],"FAE")=0,"",SUMIFS(tblDaily[Discharges],tblDaily[EntryDate],DATE(2026,12,17),tblDaily[WardCode],"FAE")),"")</f>
        <v/>
      </c>
      <c r="K464" s="25">
        <f>IFERROR(IF(SUMIFS(tblDaily[Deaths],tblDaily[EntryDate],DATE(2026,12,17),tblDaily[WardCode],"FAE")=0,"",SUMIFS(tblDaily[Deaths],tblDaily[EntryDate],DATE(2026,12,17),tblDaily[WardCode],"FAE")),"")</f>
        <v/>
      </c>
      <c r="L464" s="25">
        <f>IFERROR(IF(SUMIFS(tblDaily[DeathsUnder24Hrs],tblDaily[EntryDate],DATE(2026,12,17),tblDaily[WardCode],"FAE")=0,"",SUMIFS(tblDaily[DeathsUnder24Hrs],tblDaily[EntryDate],DATE(2026,12,17),tblDaily[WardCode],"FAE")),"")</f>
        <v/>
      </c>
      <c r="M464" s="25">
        <f>IFERROR(IF(SUMIFS(tblDaily[TransfersIn],tblDaily[EntryDate],DATE(2026,12,17),tblDaily[WardCode],"FAE")=0,"",SUMIFS(tblDaily[TransfersIn],tblDaily[EntryDate],DATE(2026,12,17),tblDaily[WardCode],"FAE")),"")</f>
        <v/>
      </c>
      <c r="N464" s="25">
        <f>IFERROR(IF(SUMIFS(tblDaily[TransfersOut],tblDaily[EntryDate],DATE(2026,12,17),tblDaily[WardCode],"FAE")=0,"",SUMIFS(tblDaily[TransfersOut],tblDaily[EntryDate],DATE(2026,12,17),tblDaily[WardCode],"FAE")),"")</f>
        <v/>
      </c>
      <c r="O464" s="25">
        <f>IFERROR(IF(SUMIFS(tblDaily[Remaining],tblDaily[EntryDate],DATE(2026,12,17),tblDaily[WardCode],"FAE")=0,"",SUMIFS(tblDaily[Remaining],tblDaily[EntryDate],DATE(2026,12,17),tblDaily[WardCode],"FAE")),"")</f>
        <v/>
      </c>
      <c r="P464" s="26">
        <f>IF(AND(H464="", O464=""), "", N(H464) + N(O464))</f>
        <v/>
      </c>
    </row>
    <row r="465">
      <c r="A465" s="25" t="n">
        <v>18</v>
      </c>
      <c r="B465" s="25">
        <f>IFERROR(IF(SUMIFS(tblDaily[Admissions],tblDaily[EntryDate],DATE(2026,12,18),tblDaily[WardCode],"MAE")=0,"",SUMIFS(tblDaily[Admissions],tblDaily[EntryDate],DATE(2026,12,18),tblDaily[WardCode],"MAE")),"")</f>
        <v/>
      </c>
      <c r="C465" s="25">
        <f>IFERROR(IF(SUMIFS(tblDaily[Discharges],tblDaily[EntryDate],DATE(2026,12,18),tblDaily[WardCode],"MAE")=0,"",SUMIFS(tblDaily[Discharges],tblDaily[EntryDate],DATE(2026,12,18),tblDaily[WardCode],"MAE")),"")</f>
        <v/>
      </c>
      <c r="D465" s="25">
        <f>IFERROR(IF(SUMIFS(tblDaily[Deaths],tblDaily[EntryDate],DATE(2026,12,18),tblDaily[WardCode],"MAE")=0,"",SUMIFS(tblDaily[Deaths],tblDaily[EntryDate],DATE(2026,12,18),tblDaily[WardCode],"MAE")),"")</f>
        <v/>
      </c>
      <c r="E465" s="25">
        <f>IFERROR(IF(SUMIFS(tblDaily[DeathsUnder24Hrs],tblDaily[EntryDate],DATE(2026,12,18),tblDaily[WardCode],"MAE")=0,"",SUMIFS(tblDaily[DeathsUnder24Hrs],tblDaily[EntryDate],DATE(2026,12,18),tblDaily[WardCode],"MAE")),"")</f>
        <v/>
      </c>
      <c r="F465" s="25">
        <f>IFERROR(IF(SUMIFS(tblDaily[TransfersIn],tblDaily[EntryDate],DATE(2026,12,18),tblDaily[WardCode],"MAE")=0,"",SUMIFS(tblDaily[TransfersIn],tblDaily[EntryDate],DATE(2026,12,18),tblDaily[WardCode],"MAE")),"")</f>
        <v/>
      </c>
      <c r="G465" s="25">
        <f>IFERROR(IF(SUMIFS(tblDaily[TransfersOut],tblDaily[EntryDate],DATE(2026,12,18),tblDaily[WardCode],"MAE")=0,"",SUMIFS(tblDaily[TransfersOut],tblDaily[EntryDate],DATE(2026,12,18),tblDaily[WardCode],"MAE")),"")</f>
        <v/>
      </c>
      <c r="H465" s="25">
        <f>IFERROR(IF(SUMIFS(tblDaily[Remaining],tblDaily[EntryDate],DATE(2026,12,18),tblDaily[WardCode],"MAE")=0,"",SUMIFS(tblDaily[Remaining],tblDaily[EntryDate],DATE(2026,12,18),tblDaily[WardCode],"MAE")),"")</f>
        <v/>
      </c>
      <c r="I465" s="25">
        <f>IFERROR(IF(SUMIFS(tblDaily[Admissions],tblDaily[EntryDate],DATE(2026,12,18),tblDaily[WardCode],"FAE")=0,"",SUMIFS(tblDaily[Admissions],tblDaily[EntryDate],DATE(2026,12,18),tblDaily[WardCode],"FAE")),"")</f>
        <v/>
      </c>
      <c r="J465" s="25">
        <f>IFERROR(IF(SUMIFS(tblDaily[Discharges],tblDaily[EntryDate],DATE(2026,12,18),tblDaily[WardCode],"FAE")=0,"",SUMIFS(tblDaily[Discharges],tblDaily[EntryDate],DATE(2026,12,18),tblDaily[WardCode],"FAE")),"")</f>
        <v/>
      </c>
      <c r="K465" s="25">
        <f>IFERROR(IF(SUMIFS(tblDaily[Deaths],tblDaily[EntryDate],DATE(2026,12,18),tblDaily[WardCode],"FAE")=0,"",SUMIFS(tblDaily[Deaths],tblDaily[EntryDate],DATE(2026,12,18),tblDaily[WardCode],"FAE")),"")</f>
        <v/>
      </c>
      <c r="L465" s="25">
        <f>IFERROR(IF(SUMIFS(tblDaily[DeathsUnder24Hrs],tblDaily[EntryDate],DATE(2026,12,18),tblDaily[WardCode],"FAE")=0,"",SUMIFS(tblDaily[DeathsUnder24Hrs],tblDaily[EntryDate],DATE(2026,12,18),tblDaily[WardCode],"FAE")),"")</f>
        <v/>
      </c>
      <c r="M465" s="25">
        <f>IFERROR(IF(SUMIFS(tblDaily[TransfersIn],tblDaily[EntryDate],DATE(2026,12,18),tblDaily[WardCode],"FAE")=0,"",SUMIFS(tblDaily[TransfersIn],tblDaily[EntryDate],DATE(2026,12,18),tblDaily[WardCode],"FAE")),"")</f>
        <v/>
      </c>
      <c r="N465" s="25">
        <f>IFERROR(IF(SUMIFS(tblDaily[TransfersOut],tblDaily[EntryDate],DATE(2026,12,18),tblDaily[WardCode],"FAE")=0,"",SUMIFS(tblDaily[TransfersOut],tblDaily[EntryDate],DATE(2026,12,18),tblDaily[WardCode],"FAE")),"")</f>
        <v/>
      </c>
      <c r="O465" s="25">
        <f>IFERROR(IF(SUMIFS(tblDaily[Remaining],tblDaily[EntryDate],DATE(2026,12,18),tblDaily[WardCode],"FAE")=0,"",SUMIFS(tblDaily[Remaining],tblDaily[EntryDate],DATE(2026,12,18),tblDaily[WardCode],"FAE")),"")</f>
        <v/>
      </c>
      <c r="P465" s="26">
        <f>IF(AND(H465="", O465=""), "", N(H465) + N(O465))</f>
        <v/>
      </c>
    </row>
    <row r="466">
      <c r="A466" s="25" t="n">
        <v>19</v>
      </c>
      <c r="B466" s="25">
        <f>IFERROR(IF(SUMIFS(tblDaily[Admissions],tblDaily[EntryDate],DATE(2026,12,19),tblDaily[WardCode],"MAE")=0,"",SUMIFS(tblDaily[Admissions],tblDaily[EntryDate],DATE(2026,12,19),tblDaily[WardCode],"MAE")),"")</f>
        <v/>
      </c>
      <c r="C466" s="25">
        <f>IFERROR(IF(SUMIFS(tblDaily[Discharges],tblDaily[EntryDate],DATE(2026,12,19),tblDaily[WardCode],"MAE")=0,"",SUMIFS(tblDaily[Discharges],tblDaily[EntryDate],DATE(2026,12,19),tblDaily[WardCode],"MAE")),"")</f>
        <v/>
      </c>
      <c r="D466" s="25">
        <f>IFERROR(IF(SUMIFS(tblDaily[Deaths],tblDaily[EntryDate],DATE(2026,12,19),tblDaily[WardCode],"MAE")=0,"",SUMIFS(tblDaily[Deaths],tblDaily[EntryDate],DATE(2026,12,19),tblDaily[WardCode],"MAE")),"")</f>
        <v/>
      </c>
      <c r="E466" s="25">
        <f>IFERROR(IF(SUMIFS(tblDaily[DeathsUnder24Hrs],tblDaily[EntryDate],DATE(2026,12,19),tblDaily[WardCode],"MAE")=0,"",SUMIFS(tblDaily[DeathsUnder24Hrs],tblDaily[EntryDate],DATE(2026,12,19),tblDaily[WardCode],"MAE")),"")</f>
        <v/>
      </c>
      <c r="F466" s="25">
        <f>IFERROR(IF(SUMIFS(tblDaily[TransfersIn],tblDaily[EntryDate],DATE(2026,12,19),tblDaily[WardCode],"MAE")=0,"",SUMIFS(tblDaily[TransfersIn],tblDaily[EntryDate],DATE(2026,12,19),tblDaily[WardCode],"MAE")),"")</f>
        <v/>
      </c>
      <c r="G466" s="25">
        <f>IFERROR(IF(SUMIFS(tblDaily[TransfersOut],tblDaily[EntryDate],DATE(2026,12,19),tblDaily[WardCode],"MAE")=0,"",SUMIFS(tblDaily[TransfersOut],tblDaily[EntryDate],DATE(2026,12,19),tblDaily[WardCode],"MAE")),"")</f>
        <v/>
      </c>
      <c r="H466" s="25">
        <f>IFERROR(IF(SUMIFS(tblDaily[Remaining],tblDaily[EntryDate],DATE(2026,12,19),tblDaily[WardCode],"MAE")=0,"",SUMIFS(tblDaily[Remaining],tblDaily[EntryDate],DATE(2026,12,19),tblDaily[WardCode],"MAE")),"")</f>
        <v/>
      </c>
      <c r="I466" s="25">
        <f>IFERROR(IF(SUMIFS(tblDaily[Admissions],tblDaily[EntryDate],DATE(2026,12,19),tblDaily[WardCode],"FAE")=0,"",SUMIFS(tblDaily[Admissions],tblDaily[EntryDate],DATE(2026,12,19),tblDaily[WardCode],"FAE")),"")</f>
        <v/>
      </c>
      <c r="J466" s="25">
        <f>IFERROR(IF(SUMIFS(tblDaily[Discharges],tblDaily[EntryDate],DATE(2026,12,19),tblDaily[WardCode],"FAE")=0,"",SUMIFS(tblDaily[Discharges],tblDaily[EntryDate],DATE(2026,12,19),tblDaily[WardCode],"FAE")),"")</f>
        <v/>
      </c>
      <c r="K466" s="25">
        <f>IFERROR(IF(SUMIFS(tblDaily[Deaths],tblDaily[EntryDate],DATE(2026,12,19),tblDaily[WardCode],"FAE")=0,"",SUMIFS(tblDaily[Deaths],tblDaily[EntryDate],DATE(2026,12,19),tblDaily[WardCode],"FAE")),"")</f>
        <v/>
      </c>
      <c r="L466" s="25">
        <f>IFERROR(IF(SUMIFS(tblDaily[DeathsUnder24Hrs],tblDaily[EntryDate],DATE(2026,12,19),tblDaily[WardCode],"FAE")=0,"",SUMIFS(tblDaily[DeathsUnder24Hrs],tblDaily[EntryDate],DATE(2026,12,19),tblDaily[WardCode],"FAE")),"")</f>
        <v/>
      </c>
      <c r="M466" s="25">
        <f>IFERROR(IF(SUMIFS(tblDaily[TransfersIn],tblDaily[EntryDate],DATE(2026,12,19),tblDaily[WardCode],"FAE")=0,"",SUMIFS(tblDaily[TransfersIn],tblDaily[EntryDate],DATE(2026,12,19),tblDaily[WardCode],"FAE")),"")</f>
        <v/>
      </c>
      <c r="N466" s="25">
        <f>IFERROR(IF(SUMIFS(tblDaily[TransfersOut],tblDaily[EntryDate],DATE(2026,12,19),tblDaily[WardCode],"FAE")=0,"",SUMIFS(tblDaily[TransfersOut],tblDaily[EntryDate],DATE(2026,12,19),tblDaily[WardCode],"FAE")),"")</f>
        <v/>
      </c>
      <c r="O466" s="25">
        <f>IFERROR(IF(SUMIFS(tblDaily[Remaining],tblDaily[EntryDate],DATE(2026,12,19),tblDaily[WardCode],"FAE")=0,"",SUMIFS(tblDaily[Remaining],tblDaily[EntryDate],DATE(2026,12,19),tblDaily[WardCode],"FAE")),"")</f>
        <v/>
      </c>
      <c r="P466" s="26">
        <f>IF(AND(H466="", O466=""), "", N(H466) + N(O466))</f>
        <v/>
      </c>
    </row>
    <row r="467">
      <c r="A467" s="25" t="n">
        <v>20</v>
      </c>
      <c r="B467" s="25">
        <f>IFERROR(IF(SUMIFS(tblDaily[Admissions],tblDaily[EntryDate],DATE(2026,12,20),tblDaily[WardCode],"MAE")=0,"",SUMIFS(tblDaily[Admissions],tblDaily[EntryDate],DATE(2026,12,20),tblDaily[WardCode],"MAE")),"")</f>
        <v/>
      </c>
      <c r="C467" s="25">
        <f>IFERROR(IF(SUMIFS(tblDaily[Discharges],tblDaily[EntryDate],DATE(2026,12,20),tblDaily[WardCode],"MAE")=0,"",SUMIFS(tblDaily[Discharges],tblDaily[EntryDate],DATE(2026,12,20),tblDaily[WardCode],"MAE")),"")</f>
        <v/>
      </c>
      <c r="D467" s="25">
        <f>IFERROR(IF(SUMIFS(tblDaily[Deaths],tblDaily[EntryDate],DATE(2026,12,20),tblDaily[WardCode],"MAE")=0,"",SUMIFS(tblDaily[Deaths],tblDaily[EntryDate],DATE(2026,12,20),tblDaily[WardCode],"MAE")),"")</f>
        <v/>
      </c>
      <c r="E467" s="25">
        <f>IFERROR(IF(SUMIFS(tblDaily[DeathsUnder24Hrs],tblDaily[EntryDate],DATE(2026,12,20),tblDaily[WardCode],"MAE")=0,"",SUMIFS(tblDaily[DeathsUnder24Hrs],tblDaily[EntryDate],DATE(2026,12,20),tblDaily[WardCode],"MAE")),"")</f>
        <v/>
      </c>
      <c r="F467" s="25">
        <f>IFERROR(IF(SUMIFS(tblDaily[TransfersIn],tblDaily[EntryDate],DATE(2026,12,20),tblDaily[WardCode],"MAE")=0,"",SUMIFS(tblDaily[TransfersIn],tblDaily[EntryDate],DATE(2026,12,20),tblDaily[WardCode],"MAE")),"")</f>
        <v/>
      </c>
      <c r="G467" s="25">
        <f>IFERROR(IF(SUMIFS(tblDaily[TransfersOut],tblDaily[EntryDate],DATE(2026,12,20),tblDaily[WardCode],"MAE")=0,"",SUMIFS(tblDaily[TransfersOut],tblDaily[EntryDate],DATE(2026,12,20),tblDaily[WardCode],"MAE")),"")</f>
        <v/>
      </c>
      <c r="H467" s="25">
        <f>IFERROR(IF(SUMIFS(tblDaily[Remaining],tblDaily[EntryDate],DATE(2026,12,20),tblDaily[WardCode],"MAE")=0,"",SUMIFS(tblDaily[Remaining],tblDaily[EntryDate],DATE(2026,12,20),tblDaily[WardCode],"MAE")),"")</f>
        <v/>
      </c>
      <c r="I467" s="25">
        <f>IFERROR(IF(SUMIFS(tblDaily[Admissions],tblDaily[EntryDate],DATE(2026,12,20),tblDaily[WardCode],"FAE")=0,"",SUMIFS(tblDaily[Admissions],tblDaily[EntryDate],DATE(2026,12,20),tblDaily[WardCode],"FAE")),"")</f>
        <v/>
      </c>
      <c r="J467" s="25">
        <f>IFERROR(IF(SUMIFS(tblDaily[Discharges],tblDaily[EntryDate],DATE(2026,12,20),tblDaily[WardCode],"FAE")=0,"",SUMIFS(tblDaily[Discharges],tblDaily[EntryDate],DATE(2026,12,20),tblDaily[WardCode],"FAE")),"")</f>
        <v/>
      </c>
      <c r="K467" s="25">
        <f>IFERROR(IF(SUMIFS(tblDaily[Deaths],tblDaily[EntryDate],DATE(2026,12,20),tblDaily[WardCode],"FAE")=0,"",SUMIFS(tblDaily[Deaths],tblDaily[EntryDate],DATE(2026,12,20),tblDaily[WardCode],"FAE")),"")</f>
        <v/>
      </c>
      <c r="L467" s="25">
        <f>IFERROR(IF(SUMIFS(tblDaily[DeathsUnder24Hrs],tblDaily[EntryDate],DATE(2026,12,20),tblDaily[WardCode],"FAE")=0,"",SUMIFS(tblDaily[DeathsUnder24Hrs],tblDaily[EntryDate],DATE(2026,12,20),tblDaily[WardCode],"FAE")),"")</f>
        <v/>
      </c>
      <c r="M467" s="25">
        <f>IFERROR(IF(SUMIFS(tblDaily[TransfersIn],tblDaily[EntryDate],DATE(2026,12,20),tblDaily[WardCode],"FAE")=0,"",SUMIFS(tblDaily[TransfersIn],tblDaily[EntryDate],DATE(2026,12,20),tblDaily[WardCode],"FAE")),"")</f>
        <v/>
      </c>
      <c r="N467" s="25">
        <f>IFERROR(IF(SUMIFS(tblDaily[TransfersOut],tblDaily[EntryDate],DATE(2026,12,20),tblDaily[WardCode],"FAE")=0,"",SUMIFS(tblDaily[TransfersOut],tblDaily[EntryDate],DATE(2026,12,20),tblDaily[WardCode],"FAE")),"")</f>
        <v/>
      </c>
      <c r="O467" s="25">
        <f>IFERROR(IF(SUMIFS(tblDaily[Remaining],tblDaily[EntryDate],DATE(2026,12,20),tblDaily[WardCode],"FAE")=0,"",SUMIFS(tblDaily[Remaining],tblDaily[EntryDate],DATE(2026,12,20),tblDaily[WardCode],"FAE")),"")</f>
        <v/>
      </c>
      <c r="P467" s="26">
        <f>IF(AND(H467="", O467=""), "", N(H467) + N(O467))</f>
        <v/>
      </c>
    </row>
    <row r="468">
      <c r="A468" s="25" t="n">
        <v>21</v>
      </c>
      <c r="B468" s="25">
        <f>IFERROR(IF(SUMIFS(tblDaily[Admissions],tblDaily[EntryDate],DATE(2026,12,21),tblDaily[WardCode],"MAE")=0,"",SUMIFS(tblDaily[Admissions],tblDaily[EntryDate],DATE(2026,12,21),tblDaily[WardCode],"MAE")),"")</f>
        <v/>
      </c>
      <c r="C468" s="25">
        <f>IFERROR(IF(SUMIFS(tblDaily[Discharges],tblDaily[EntryDate],DATE(2026,12,21),tblDaily[WardCode],"MAE")=0,"",SUMIFS(tblDaily[Discharges],tblDaily[EntryDate],DATE(2026,12,21),tblDaily[WardCode],"MAE")),"")</f>
        <v/>
      </c>
      <c r="D468" s="25">
        <f>IFERROR(IF(SUMIFS(tblDaily[Deaths],tblDaily[EntryDate],DATE(2026,12,21),tblDaily[WardCode],"MAE")=0,"",SUMIFS(tblDaily[Deaths],tblDaily[EntryDate],DATE(2026,12,21),tblDaily[WardCode],"MAE")),"")</f>
        <v/>
      </c>
      <c r="E468" s="25">
        <f>IFERROR(IF(SUMIFS(tblDaily[DeathsUnder24Hrs],tblDaily[EntryDate],DATE(2026,12,21),tblDaily[WardCode],"MAE")=0,"",SUMIFS(tblDaily[DeathsUnder24Hrs],tblDaily[EntryDate],DATE(2026,12,21),tblDaily[WardCode],"MAE")),"")</f>
        <v/>
      </c>
      <c r="F468" s="25">
        <f>IFERROR(IF(SUMIFS(tblDaily[TransfersIn],tblDaily[EntryDate],DATE(2026,12,21),tblDaily[WardCode],"MAE")=0,"",SUMIFS(tblDaily[TransfersIn],tblDaily[EntryDate],DATE(2026,12,21),tblDaily[WardCode],"MAE")),"")</f>
        <v/>
      </c>
      <c r="G468" s="25">
        <f>IFERROR(IF(SUMIFS(tblDaily[TransfersOut],tblDaily[EntryDate],DATE(2026,12,21),tblDaily[WardCode],"MAE")=0,"",SUMIFS(tblDaily[TransfersOut],tblDaily[EntryDate],DATE(2026,12,21),tblDaily[WardCode],"MAE")),"")</f>
        <v/>
      </c>
      <c r="H468" s="25">
        <f>IFERROR(IF(SUMIFS(tblDaily[Remaining],tblDaily[EntryDate],DATE(2026,12,21),tblDaily[WardCode],"MAE")=0,"",SUMIFS(tblDaily[Remaining],tblDaily[EntryDate],DATE(2026,12,21),tblDaily[WardCode],"MAE")),"")</f>
        <v/>
      </c>
      <c r="I468" s="25">
        <f>IFERROR(IF(SUMIFS(tblDaily[Admissions],tblDaily[EntryDate],DATE(2026,12,21),tblDaily[WardCode],"FAE")=0,"",SUMIFS(tblDaily[Admissions],tblDaily[EntryDate],DATE(2026,12,21),tblDaily[WardCode],"FAE")),"")</f>
        <v/>
      </c>
      <c r="J468" s="25">
        <f>IFERROR(IF(SUMIFS(tblDaily[Discharges],tblDaily[EntryDate],DATE(2026,12,21),tblDaily[WardCode],"FAE")=0,"",SUMIFS(tblDaily[Discharges],tblDaily[EntryDate],DATE(2026,12,21),tblDaily[WardCode],"FAE")),"")</f>
        <v/>
      </c>
      <c r="K468" s="25">
        <f>IFERROR(IF(SUMIFS(tblDaily[Deaths],tblDaily[EntryDate],DATE(2026,12,21),tblDaily[WardCode],"FAE")=0,"",SUMIFS(tblDaily[Deaths],tblDaily[EntryDate],DATE(2026,12,21),tblDaily[WardCode],"FAE")),"")</f>
        <v/>
      </c>
      <c r="L468" s="25">
        <f>IFERROR(IF(SUMIFS(tblDaily[DeathsUnder24Hrs],tblDaily[EntryDate],DATE(2026,12,21),tblDaily[WardCode],"FAE")=0,"",SUMIFS(tblDaily[DeathsUnder24Hrs],tblDaily[EntryDate],DATE(2026,12,21),tblDaily[WardCode],"FAE")),"")</f>
        <v/>
      </c>
      <c r="M468" s="25">
        <f>IFERROR(IF(SUMIFS(tblDaily[TransfersIn],tblDaily[EntryDate],DATE(2026,12,21),tblDaily[WardCode],"FAE")=0,"",SUMIFS(tblDaily[TransfersIn],tblDaily[EntryDate],DATE(2026,12,21),tblDaily[WardCode],"FAE")),"")</f>
        <v/>
      </c>
      <c r="N468" s="25">
        <f>IFERROR(IF(SUMIFS(tblDaily[TransfersOut],tblDaily[EntryDate],DATE(2026,12,21),tblDaily[WardCode],"FAE")=0,"",SUMIFS(tblDaily[TransfersOut],tblDaily[EntryDate],DATE(2026,12,21),tblDaily[WardCode],"FAE")),"")</f>
        <v/>
      </c>
      <c r="O468" s="25">
        <f>IFERROR(IF(SUMIFS(tblDaily[Remaining],tblDaily[EntryDate],DATE(2026,12,21),tblDaily[WardCode],"FAE")=0,"",SUMIFS(tblDaily[Remaining],tblDaily[EntryDate],DATE(2026,12,21),tblDaily[WardCode],"FAE")),"")</f>
        <v/>
      </c>
      <c r="P468" s="26">
        <f>IF(AND(H468="", O468=""), "", N(H468) + N(O468))</f>
        <v/>
      </c>
    </row>
    <row r="469">
      <c r="A469" s="25" t="n">
        <v>22</v>
      </c>
      <c r="B469" s="25">
        <f>IFERROR(IF(SUMIFS(tblDaily[Admissions],tblDaily[EntryDate],DATE(2026,12,22),tblDaily[WardCode],"MAE")=0,"",SUMIFS(tblDaily[Admissions],tblDaily[EntryDate],DATE(2026,12,22),tblDaily[WardCode],"MAE")),"")</f>
        <v/>
      </c>
      <c r="C469" s="25">
        <f>IFERROR(IF(SUMIFS(tblDaily[Discharges],tblDaily[EntryDate],DATE(2026,12,22),tblDaily[WardCode],"MAE")=0,"",SUMIFS(tblDaily[Discharges],tblDaily[EntryDate],DATE(2026,12,22),tblDaily[WardCode],"MAE")),"")</f>
        <v/>
      </c>
      <c r="D469" s="25">
        <f>IFERROR(IF(SUMIFS(tblDaily[Deaths],tblDaily[EntryDate],DATE(2026,12,22),tblDaily[WardCode],"MAE")=0,"",SUMIFS(tblDaily[Deaths],tblDaily[EntryDate],DATE(2026,12,22),tblDaily[WardCode],"MAE")),"")</f>
        <v/>
      </c>
      <c r="E469" s="25">
        <f>IFERROR(IF(SUMIFS(tblDaily[DeathsUnder24Hrs],tblDaily[EntryDate],DATE(2026,12,22),tblDaily[WardCode],"MAE")=0,"",SUMIFS(tblDaily[DeathsUnder24Hrs],tblDaily[EntryDate],DATE(2026,12,22),tblDaily[WardCode],"MAE")),"")</f>
        <v/>
      </c>
      <c r="F469" s="25">
        <f>IFERROR(IF(SUMIFS(tblDaily[TransfersIn],tblDaily[EntryDate],DATE(2026,12,22),tblDaily[WardCode],"MAE")=0,"",SUMIFS(tblDaily[TransfersIn],tblDaily[EntryDate],DATE(2026,12,22),tblDaily[WardCode],"MAE")),"")</f>
        <v/>
      </c>
      <c r="G469" s="25">
        <f>IFERROR(IF(SUMIFS(tblDaily[TransfersOut],tblDaily[EntryDate],DATE(2026,12,22),tblDaily[WardCode],"MAE")=0,"",SUMIFS(tblDaily[TransfersOut],tblDaily[EntryDate],DATE(2026,12,22),tblDaily[WardCode],"MAE")),"")</f>
        <v/>
      </c>
      <c r="H469" s="25">
        <f>IFERROR(IF(SUMIFS(tblDaily[Remaining],tblDaily[EntryDate],DATE(2026,12,22),tblDaily[WardCode],"MAE")=0,"",SUMIFS(tblDaily[Remaining],tblDaily[EntryDate],DATE(2026,12,22),tblDaily[WardCode],"MAE")),"")</f>
        <v/>
      </c>
      <c r="I469" s="25">
        <f>IFERROR(IF(SUMIFS(tblDaily[Admissions],tblDaily[EntryDate],DATE(2026,12,22),tblDaily[WardCode],"FAE")=0,"",SUMIFS(tblDaily[Admissions],tblDaily[EntryDate],DATE(2026,12,22),tblDaily[WardCode],"FAE")),"")</f>
        <v/>
      </c>
      <c r="J469" s="25">
        <f>IFERROR(IF(SUMIFS(tblDaily[Discharges],tblDaily[EntryDate],DATE(2026,12,22),tblDaily[WardCode],"FAE")=0,"",SUMIFS(tblDaily[Discharges],tblDaily[EntryDate],DATE(2026,12,22),tblDaily[WardCode],"FAE")),"")</f>
        <v/>
      </c>
      <c r="K469" s="25">
        <f>IFERROR(IF(SUMIFS(tblDaily[Deaths],tblDaily[EntryDate],DATE(2026,12,22),tblDaily[WardCode],"FAE")=0,"",SUMIFS(tblDaily[Deaths],tblDaily[EntryDate],DATE(2026,12,22),tblDaily[WardCode],"FAE")),"")</f>
        <v/>
      </c>
      <c r="L469" s="25">
        <f>IFERROR(IF(SUMIFS(tblDaily[DeathsUnder24Hrs],tblDaily[EntryDate],DATE(2026,12,22),tblDaily[WardCode],"FAE")=0,"",SUMIFS(tblDaily[DeathsUnder24Hrs],tblDaily[EntryDate],DATE(2026,12,22),tblDaily[WardCode],"FAE")),"")</f>
        <v/>
      </c>
      <c r="M469" s="25">
        <f>IFERROR(IF(SUMIFS(tblDaily[TransfersIn],tblDaily[EntryDate],DATE(2026,12,22),tblDaily[WardCode],"FAE")=0,"",SUMIFS(tblDaily[TransfersIn],tblDaily[EntryDate],DATE(2026,12,22),tblDaily[WardCode],"FAE")),"")</f>
        <v/>
      </c>
      <c r="N469" s="25">
        <f>IFERROR(IF(SUMIFS(tblDaily[TransfersOut],tblDaily[EntryDate],DATE(2026,12,22),tblDaily[WardCode],"FAE")=0,"",SUMIFS(tblDaily[TransfersOut],tblDaily[EntryDate],DATE(2026,12,22),tblDaily[WardCode],"FAE")),"")</f>
        <v/>
      </c>
      <c r="O469" s="25">
        <f>IFERROR(IF(SUMIFS(tblDaily[Remaining],tblDaily[EntryDate],DATE(2026,12,22),tblDaily[WardCode],"FAE")=0,"",SUMIFS(tblDaily[Remaining],tblDaily[EntryDate],DATE(2026,12,22),tblDaily[WardCode],"FAE")),"")</f>
        <v/>
      </c>
      <c r="P469" s="26">
        <f>IF(AND(H469="", O469=""), "", N(H469) + N(O469))</f>
        <v/>
      </c>
    </row>
    <row r="470">
      <c r="A470" s="25" t="n">
        <v>23</v>
      </c>
      <c r="B470" s="25">
        <f>IFERROR(IF(SUMIFS(tblDaily[Admissions],tblDaily[EntryDate],DATE(2026,12,23),tblDaily[WardCode],"MAE")=0,"",SUMIFS(tblDaily[Admissions],tblDaily[EntryDate],DATE(2026,12,23),tblDaily[WardCode],"MAE")),"")</f>
        <v/>
      </c>
      <c r="C470" s="25">
        <f>IFERROR(IF(SUMIFS(tblDaily[Discharges],tblDaily[EntryDate],DATE(2026,12,23),tblDaily[WardCode],"MAE")=0,"",SUMIFS(tblDaily[Discharges],tblDaily[EntryDate],DATE(2026,12,23),tblDaily[WardCode],"MAE")),"")</f>
        <v/>
      </c>
      <c r="D470" s="25">
        <f>IFERROR(IF(SUMIFS(tblDaily[Deaths],tblDaily[EntryDate],DATE(2026,12,23),tblDaily[WardCode],"MAE")=0,"",SUMIFS(tblDaily[Deaths],tblDaily[EntryDate],DATE(2026,12,23),tblDaily[WardCode],"MAE")),"")</f>
        <v/>
      </c>
      <c r="E470" s="25">
        <f>IFERROR(IF(SUMIFS(tblDaily[DeathsUnder24Hrs],tblDaily[EntryDate],DATE(2026,12,23),tblDaily[WardCode],"MAE")=0,"",SUMIFS(tblDaily[DeathsUnder24Hrs],tblDaily[EntryDate],DATE(2026,12,23),tblDaily[WardCode],"MAE")),"")</f>
        <v/>
      </c>
      <c r="F470" s="25">
        <f>IFERROR(IF(SUMIFS(tblDaily[TransfersIn],tblDaily[EntryDate],DATE(2026,12,23),tblDaily[WardCode],"MAE")=0,"",SUMIFS(tblDaily[TransfersIn],tblDaily[EntryDate],DATE(2026,12,23),tblDaily[WardCode],"MAE")),"")</f>
        <v/>
      </c>
      <c r="G470" s="25">
        <f>IFERROR(IF(SUMIFS(tblDaily[TransfersOut],tblDaily[EntryDate],DATE(2026,12,23),tblDaily[WardCode],"MAE")=0,"",SUMIFS(tblDaily[TransfersOut],tblDaily[EntryDate],DATE(2026,12,23),tblDaily[WardCode],"MAE")),"")</f>
        <v/>
      </c>
      <c r="H470" s="25">
        <f>IFERROR(IF(SUMIFS(tblDaily[Remaining],tblDaily[EntryDate],DATE(2026,12,23),tblDaily[WardCode],"MAE")=0,"",SUMIFS(tblDaily[Remaining],tblDaily[EntryDate],DATE(2026,12,23),tblDaily[WardCode],"MAE")),"")</f>
        <v/>
      </c>
      <c r="I470" s="25">
        <f>IFERROR(IF(SUMIFS(tblDaily[Admissions],tblDaily[EntryDate],DATE(2026,12,23),tblDaily[WardCode],"FAE")=0,"",SUMIFS(tblDaily[Admissions],tblDaily[EntryDate],DATE(2026,12,23),tblDaily[WardCode],"FAE")),"")</f>
        <v/>
      </c>
      <c r="J470" s="25">
        <f>IFERROR(IF(SUMIFS(tblDaily[Discharges],tblDaily[EntryDate],DATE(2026,12,23),tblDaily[WardCode],"FAE")=0,"",SUMIFS(tblDaily[Discharges],tblDaily[EntryDate],DATE(2026,12,23),tblDaily[WardCode],"FAE")),"")</f>
        <v/>
      </c>
      <c r="K470" s="25">
        <f>IFERROR(IF(SUMIFS(tblDaily[Deaths],tblDaily[EntryDate],DATE(2026,12,23),tblDaily[WardCode],"FAE")=0,"",SUMIFS(tblDaily[Deaths],tblDaily[EntryDate],DATE(2026,12,23),tblDaily[WardCode],"FAE")),"")</f>
        <v/>
      </c>
      <c r="L470" s="25">
        <f>IFERROR(IF(SUMIFS(tblDaily[DeathsUnder24Hrs],tblDaily[EntryDate],DATE(2026,12,23),tblDaily[WardCode],"FAE")=0,"",SUMIFS(tblDaily[DeathsUnder24Hrs],tblDaily[EntryDate],DATE(2026,12,23),tblDaily[WardCode],"FAE")),"")</f>
        <v/>
      </c>
      <c r="M470" s="25">
        <f>IFERROR(IF(SUMIFS(tblDaily[TransfersIn],tblDaily[EntryDate],DATE(2026,12,23),tblDaily[WardCode],"FAE")=0,"",SUMIFS(tblDaily[TransfersIn],tblDaily[EntryDate],DATE(2026,12,23),tblDaily[WardCode],"FAE")),"")</f>
        <v/>
      </c>
      <c r="N470" s="25">
        <f>IFERROR(IF(SUMIFS(tblDaily[TransfersOut],tblDaily[EntryDate],DATE(2026,12,23),tblDaily[WardCode],"FAE")=0,"",SUMIFS(tblDaily[TransfersOut],tblDaily[EntryDate],DATE(2026,12,23),tblDaily[WardCode],"FAE")),"")</f>
        <v/>
      </c>
      <c r="O470" s="25">
        <f>IFERROR(IF(SUMIFS(tblDaily[Remaining],tblDaily[EntryDate],DATE(2026,12,23),tblDaily[WardCode],"FAE")=0,"",SUMIFS(tblDaily[Remaining],tblDaily[EntryDate],DATE(2026,12,23),tblDaily[WardCode],"FAE")),"")</f>
        <v/>
      </c>
      <c r="P470" s="26">
        <f>IF(AND(H470="", O470=""), "", N(H470) + N(O470))</f>
        <v/>
      </c>
    </row>
    <row r="471">
      <c r="A471" s="25" t="n">
        <v>24</v>
      </c>
      <c r="B471" s="25">
        <f>IFERROR(IF(SUMIFS(tblDaily[Admissions],tblDaily[EntryDate],DATE(2026,12,24),tblDaily[WardCode],"MAE")=0,"",SUMIFS(tblDaily[Admissions],tblDaily[EntryDate],DATE(2026,12,24),tblDaily[WardCode],"MAE")),"")</f>
        <v/>
      </c>
      <c r="C471" s="25">
        <f>IFERROR(IF(SUMIFS(tblDaily[Discharges],tblDaily[EntryDate],DATE(2026,12,24),tblDaily[WardCode],"MAE")=0,"",SUMIFS(tblDaily[Discharges],tblDaily[EntryDate],DATE(2026,12,24),tblDaily[WardCode],"MAE")),"")</f>
        <v/>
      </c>
      <c r="D471" s="25">
        <f>IFERROR(IF(SUMIFS(tblDaily[Deaths],tblDaily[EntryDate],DATE(2026,12,24),tblDaily[WardCode],"MAE")=0,"",SUMIFS(tblDaily[Deaths],tblDaily[EntryDate],DATE(2026,12,24),tblDaily[WardCode],"MAE")),"")</f>
        <v/>
      </c>
      <c r="E471" s="25">
        <f>IFERROR(IF(SUMIFS(tblDaily[DeathsUnder24Hrs],tblDaily[EntryDate],DATE(2026,12,24),tblDaily[WardCode],"MAE")=0,"",SUMIFS(tblDaily[DeathsUnder24Hrs],tblDaily[EntryDate],DATE(2026,12,24),tblDaily[WardCode],"MAE")),"")</f>
        <v/>
      </c>
      <c r="F471" s="25">
        <f>IFERROR(IF(SUMIFS(tblDaily[TransfersIn],tblDaily[EntryDate],DATE(2026,12,24),tblDaily[WardCode],"MAE")=0,"",SUMIFS(tblDaily[TransfersIn],tblDaily[EntryDate],DATE(2026,12,24),tblDaily[WardCode],"MAE")),"")</f>
        <v/>
      </c>
      <c r="G471" s="25">
        <f>IFERROR(IF(SUMIFS(tblDaily[TransfersOut],tblDaily[EntryDate],DATE(2026,12,24),tblDaily[WardCode],"MAE")=0,"",SUMIFS(tblDaily[TransfersOut],tblDaily[EntryDate],DATE(2026,12,24),tblDaily[WardCode],"MAE")),"")</f>
        <v/>
      </c>
      <c r="H471" s="25">
        <f>IFERROR(IF(SUMIFS(tblDaily[Remaining],tblDaily[EntryDate],DATE(2026,12,24),tblDaily[WardCode],"MAE")=0,"",SUMIFS(tblDaily[Remaining],tblDaily[EntryDate],DATE(2026,12,24),tblDaily[WardCode],"MAE")),"")</f>
        <v/>
      </c>
      <c r="I471" s="25">
        <f>IFERROR(IF(SUMIFS(tblDaily[Admissions],tblDaily[EntryDate],DATE(2026,12,24),tblDaily[WardCode],"FAE")=0,"",SUMIFS(tblDaily[Admissions],tblDaily[EntryDate],DATE(2026,12,24),tblDaily[WardCode],"FAE")),"")</f>
        <v/>
      </c>
      <c r="J471" s="25">
        <f>IFERROR(IF(SUMIFS(tblDaily[Discharges],tblDaily[EntryDate],DATE(2026,12,24),tblDaily[WardCode],"FAE")=0,"",SUMIFS(tblDaily[Discharges],tblDaily[EntryDate],DATE(2026,12,24),tblDaily[WardCode],"FAE")),"")</f>
        <v/>
      </c>
      <c r="K471" s="25">
        <f>IFERROR(IF(SUMIFS(tblDaily[Deaths],tblDaily[EntryDate],DATE(2026,12,24),tblDaily[WardCode],"FAE")=0,"",SUMIFS(tblDaily[Deaths],tblDaily[EntryDate],DATE(2026,12,24),tblDaily[WardCode],"FAE")),"")</f>
        <v/>
      </c>
      <c r="L471" s="25">
        <f>IFERROR(IF(SUMIFS(tblDaily[DeathsUnder24Hrs],tblDaily[EntryDate],DATE(2026,12,24),tblDaily[WardCode],"FAE")=0,"",SUMIFS(tblDaily[DeathsUnder24Hrs],tblDaily[EntryDate],DATE(2026,12,24),tblDaily[WardCode],"FAE")),"")</f>
        <v/>
      </c>
      <c r="M471" s="25">
        <f>IFERROR(IF(SUMIFS(tblDaily[TransfersIn],tblDaily[EntryDate],DATE(2026,12,24),tblDaily[WardCode],"FAE")=0,"",SUMIFS(tblDaily[TransfersIn],tblDaily[EntryDate],DATE(2026,12,24),tblDaily[WardCode],"FAE")),"")</f>
        <v/>
      </c>
      <c r="N471" s="25">
        <f>IFERROR(IF(SUMIFS(tblDaily[TransfersOut],tblDaily[EntryDate],DATE(2026,12,24),tblDaily[WardCode],"FAE")=0,"",SUMIFS(tblDaily[TransfersOut],tblDaily[EntryDate],DATE(2026,12,24),tblDaily[WardCode],"FAE")),"")</f>
        <v/>
      </c>
      <c r="O471" s="25">
        <f>IFERROR(IF(SUMIFS(tblDaily[Remaining],tblDaily[EntryDate],DATE(2026,12,24),tblDaily[WardCode],"FAE")=0,"",SUMIFS(tblDaily[Remaining],tblDaily[EntryDate],DATE(2026,12,24),tblDaily[WardCode],"FAE")),"")</f>
        <v/>
      </c>
      <c r="P471" s="26">
        <f>IF(AND(H471="", O471=""), "", N(H471) + N(O471))</f>
        <v/>
      </c>
    </row>
    <row r="472">
      <c r="A472" s="25" t="n">
        <v>25</v>
      </c>
      <c r="B472" s="25">
        <f>IFERROR(IF(SUMIFS(tblDaily[Admissions],tblDaily[EntryDate],DATE(2026,12,25),tblDaily[WardCode],"MAE")=0,"",SUMIFS(tblDaily[Admissions],tblDaily[EntryDate],DATE(2026,12,25),tblDaily[WardCode],"MAE")),"")</f>
        <v/>
      </c>
      <c r="C472" s="25">
        <f>IFERROR(IF(SUMIFS(tblDaily[Discharges],tblDaily[EntryDate],DATE(2026,12,25),tblDaily[WardCode],"MAE")=0,"",SUMIFS(tblDaily[Discharges],tblDaily[EntryDate],DATE(2026,12,25),tblDaily[WardCode],"MAE")),"")</f>
        <v/>
      </c>
      <c r="D472" s="25">
        <f>IFERROR(IF(SUMIFS(tblDaily[Deaths],tblDaily[EntryDate],DATE(2026,12,25),tblDaily[WardCode],"MAE")=0,"",SUMIFS(tblDaily[Deaths],tblDaily[EntryDate],DATE(2026,12,25),tblDaily[WardCode],"MAE")),"")</f>
        <v/>
      </c>
      <c r="E472" s="25">
        <f>IFERROR(IF(SUMIFS(tblDaily[DeathsUnder24Hrs],tblDaily[EntryDate],DATE(2026,12,25),tblDaily[WardCode],"MAE")=0,"",SUMIFS(tblDaily[DeathsUnder24Hrs],tblDaily[EntryDate],DATE(2026,12,25),tblDaily[WardCode],"MAE")),"")</f>
        <v/>
      </c>
      <c r="F472" s="25">
        <f>IFERROR(IF(SUMIFS(tblDaily[TransfersIn],tblDaily[EntryDate],DATE(2026,12,25),tblDaily[WardCode],"MAE")=0,"",SUMIFS(tblDaily[TransfersIn],tblDaily[EntryDate],DATE(2026,12,25),tblDaily[WardCode],"MAE")),"")</f>
        <v/>
      </c>
      <c r="G472" s="25">
        <f>IFERROR(IF(SUMIFS(tblDaily[TransfersOut],tblDaily[EntryDate],DATE(2026,12,25),tblDaily[WardCode],"MAE")=0,"",SUMIFS(tblDaily[TransfersOut],tblDaily[EntryDate],DATE(2026,12,25),tblDaily[WardCode],"MAE")),"")</f>
        <v/>
      </c>
      <c r="H472" s="25">
        <f>IFERROR(IF(SUMIFS(tblDaily[Remaining],tblDaily[EntryDate],DATE(2026,12,25),tblDaily[WardCode],"MAE")=0,"",SUMIFS(tblDaily[Remaining],tblDaily[EntryDate],DATE(2026,12,25),tblDaily[WardCode],"MAE")),"")</f>
        <v/>
      </c>
      <c r="I472" s="25">
        <f>IFERROR(IF(SUMIFS(tblDaily[Admissions],tblDaily[EntryDate],DATE(2026,12,25),tblDaily[WardCode],"FAE")=0,"",SUMIFS(tblDaily[Admissions],tblDaily[EntryDate],DATE(2026,12,25),tblDaily[WardCode],"FAE")),"")</f>
        <v/>
      </c>
      <c r="J472" s="25">
        <f>IFERROR(IF(SUMIFS(tblDaily[Discharges],tblDaily[EntryDate],DATE(2026,12,25),tblDaily[WardCode],"FAE")=0,"",SUMIFS(tblDaily[Discharges],tblDaily[EntryDate],DATE(2026,12,25),tblDaily[WardCode],"FAE")),"")</f>
        <v/>
      </c>
      <c r="K472" s="25">
        <f>IFERROR(IF(SUMIFS(tblDaily[Deaths],tblDaily[EntryDate],DATE(2026,12,25),tblDaily[WardCode],"FAE")=0,"",SUMIFS(tblDaily[Deaths],tblDaily[EntryDate],DATE(2026,12,25),tblDaily[WardCode],"FAE")),"")</f>
        <v/>
      </c>
      <c r="L472" s="25">
        <f>IFERROR(IF(SUMIFS(tblDaily[DeathsUnder24Hrs],tblDaily[EntryDate],DATE(2026,12,25),tblDaily[WardCode],"FAE")=0,"",SUMIFS(tblDaily[DeathsUnder24Hrs],tblDaily[EntryDate],DATE(2026,12,25),tblDaily[WardCode],"FAE")),"")</f>
        <v/>
      </c>
      <c r="M472" s="25">
        <f>IFERROR(IF(SUMIFS(tblDaily[TransfersIn],tblDaily[EntryDate],DATE(2026,12,25),tblDaily[WardCode],"FAE")=0,"",SUMIFS(tblDaily[TransfersIn],tblDaily[EntryDate],DATE(2026,12,25),tblDaily[WardCode],"FAE")),"")</f>
        <v/>
      </c>
      <c r="N472" s="25">
        <f>IFERROR(IF(SUMIFS(tblDaily[TransfersOut],tblDaily[EntryDate],DATE(2026,12,25),tblDaily[WardCode],"FAE")=0,"",SUMIFS(tblDaily[TransfersOut],tblDaily[EntryDate],DATE(2026,12,25),tblDaily[WardCode],"FAE")),"")</f>
        <v/>
      </c>
      <c r="O472" s="25">
        <f>IFERROR(IF(SUMIFS(tblDaily[Remaining],tblDaily[EntryDate],DATE(2026,12,25),tblDaily[WardCode],"FAE")=0,"",SUMIFS(tblDaily[Remaining],tblDaily[EntryDate],DATE(2026,12,25),tblDaily[WardCode],"FAE")),"")</f>
        <v/>
      </c>
      <c r="P472" s="26">
        <f>IF(AND(H472="", O472=""), "", N(H472) + N(O472))</f>
        <v/>
      </c>
    </row>
    <row r="473">
      <c r="A473" s="25" t="n">
        <v>26</v>
      </c>
      <c r="B473" s="25">
        <f>IFERROR(IF(SUMIFS(tblDaily[Admissions],tblDaily[EntryDate],DATE(2026,12,26),tblDaily[WardCode],"MAE")=0,"",SUMIFS(tblDaily[Admissions],tblDaily[EntryDate],DATE(2026,12,26),tblDaily[WardCode],"MAE")),"")</f>
        <v/>
      </c>
      <c r="C473" s="25">
        <f>IFERROR(IF(SUMIFS(tblDaily[Discharges],tblDaily[EntryDate],DATE(2026,12,26),tblDaily[WardCode],"MAE")=0,"",SUMIFS(tblDaily[Discharges],tblDaily[EntryDate],DATE(2026,12,26),tblDaily[WardCode],"MAE")),"")</f>
        <v/>
      </c>
      <c r="D473" s="25">
        <f>IFERROR(IF(SUMIFS(tblDaily[Deaths],tblDaily[EntryDate],DATE(2026,12,26),tblDaily[WardCode],"MAE")=0,"",SUMIFS(tblDaily[Deaths],tblDaily[EntryDate],DATE(2026,12,26),tblDaily[WardCode],"MAE")),"")</f>
        <v/>
      </c>
      <c r="E473" s="25">
        <f>IFERROR(IF(SUMIFS(tblDaily[DeathsUnder24Hrs],tblDaily[EntryDate],DATE(2026,12,26),tblDaily[WardCode],"MAE")=0,"",SUMIFS(tblDaily[DeathsUnder24Hrs],tblDaily[EntryDate],DATE(2026,12,26),tblDaily[WardCode],"MAE")),"")</f>
        <v/>
      </c>
      <c r="F473" s="25">
        <f>IFERROR(IF(SUMIFS(tblDaily[TransfersIn],tblDaily[EntryDate],DATE(2026,12,26),tblDaily[WardCode],"MAE")=0,"",SUMIFS(tblDaily[TransfersIn],tblDaily[EntryDate],DATE(2026,12,26),tblDaily[WardCode],"MAE")),"")</f>
        <v/>
      </c>
      <c r="G473" s="25">
        <f>IFERROR(IF(SUMIFS(tblDaily[TransfersOut],tblDaily[EntryDate],DATE(2026,12,26),tblDaily[WardCode],"MAE")=0,"",SUMIFS(tblDaily[TransfersOut],tblDaily[EntryDate],DATE(2026,12,26),tblDaily[WardCode],"MAE")),"")</f>
        <v/>
      </c>
      <c r="H473" s="25">
        <f>IFERROR(IF(SUMIFS(tblDaily[Remaining],tblDaily[EntryDate],DATE(2026,12,26),tblDaily[WardCode],"MAE")=0,"",SUMIFS(tblDaily[Remaining],tblDaily[EntryDate],DATE(2026,12,26),tblDaily[WardCode],"MAE")),"")</f>
        <v/>
      </c>
      <c r="I473" s="25">
        <f>IFERROR(IF(SUMIFS(tblDaily[Admissions],tblDaily[EntryDate],DATE(2026,12,26),tblDaily[WardCode],"FAE")=0,"",SUMIFS(tblDaily[Admissions],tblDaily[EntryDate],DATE(2026,12,26),tblDaily[WardCode],"FAE")),"")</f>
        <v/>
      </c>
      <c r="J473" s="25">
        <f>IFERROR(IF(SUMIFS(tblDaily[Discharges],tblDaily[EntryDate],DATE(2026,12,26),tblDaily[WardCode],"FAE")=0,"",SUMIFS(tblDaily[Discharges],tblDaily[EntryDate],DATE(2026,12,26),tblDaily[WardCode],"FAE")),"")</f>
        <v/>
      </c>
      <c r="K473" s="25">
        <f>IFERROR(IF(SUMIFS(tblDaily[Deaths],tblDaily[EntryDate],DATE(2026,12,26),tblDaily[WardCode],"FAE")=0,"",SUMIFS(tblDaily[Deaths],tblDaily[EntryDate],DATE(2026,12,26),tblDaily[WardCode],"FAE")),"")</f>
        <v/>
      </c>
      <c r="L473" s="25">
        <f>IFERROR(IF(SUMIFS(tblDaily[DeathsUnder24Hrs],tblDaily[EntryDate],DATE(2026,12,26),tblDaily[WardCode],"FAE")=0,"",SUMIFS(tblDaily[DeathsUnder24Hrs],tblDaily[EntryDate],DATE(2026,12,26),tblDaily[WardCode],"FAE")),"")</f>
        <v/>
      </c>
      <c r="M473" s="25">
        <f>IFERROR(IF(SUMIFS(tblDaily[TransfersIn],tblDaily[EntryDate],DATE(2026,12,26),tblDaily[WardCode],"FAE")=0,"",SUMIFS(tblDaily[TransfersIn],tblDaily[EntryDate],DATE(2026,12,26),tblDaily[WardCode],"FAE")),"")</f>
        <v/>
      </c>
      <c r="N473" s="25">
        <f>IFERROR(IF(SUMIFS(tblDaily[TransfersOut],tblDaily[EntryDate],DATE(2026,12,26),tblDaily[WardCode],"FAE")=0,"",SUMIFS(tblDaily[TransfersOut],tblDaily[EntryDate],DATE(2026,12,26),tblDaily[WardCode],"FAE")),"")</f>
        <v/>
      </c>
      <c r="O473" s="25">
        <f>IFERROR(IF(SUMIFS(tblDaily[Remaining],tblDaily[EntryDate],DATE(2026,12,26),tblDaily[WardCode],"FAE")=0,"",SUMIFS(tblDaily[Remaining],tblDaily[EntryDate],DATE(2026,12,26),tblDaily[WardCode],"FAE")),"")</f>
        <v/>
      </c>
      <c r="P473" s="26">
        <f>IF(AND(H473="", O473=""), "", N(H473) + N(O473))</f>
        <v/>
      </c>
    </row>
    <row r="474">
      <c r="A474" s="25" t="n">
        <v>27</v>
      </c>
      <c r="B474" s="25">
        <f>IFERROR(IF(SUMIFS(tblDaily[Admissions],tblDaily[EntryDate],DATE(2026,12,27),tblDaily[WardCode],"MAE")=0,"",SUMIFS(tblDaily[Admissions],tblDaily[EntryDate],DATE(2026,12,27),tblDaily[WardCode],"MAE")),"")</f>
        <v/>
      </c>
      <c r="C474" s="25">
        <f>IFERROR(IF(SUMIFS(tblDaily[Discharges],tblDaily[EntryDate],DATE(2026,12,27),tblDaily[WardCode],"MAE")=0,"",SUMIFS(tblDaily[Discharges],tblDaily[EntryDate],DATE(2026,12,27),tblDaily[WardCode],"MAE")),"")</f>
        <v/>
      </c>
      <c r="D474" s="25">
        <f>IFERROR(IF(SUMIFS(tblDaily[Deaths],tblDaily[EntryDate],DATE(2026,12,27),tblDaily[WardCode],"MAE")=0,"",SUMIFS(tblDaily[Deaths],tblDaily[EntryDate],DATE(2026,12,27),tblDaily[WardCode],"MAE")),"")</f>
        <v/>
      </c>
      <c r="E474" s="25">
        <f>IFERROR(IF(SUMIFS(tblDaily[DeathsUnder24Hrs],tblDaily[EntryDate],DATE(2026,12,27),tblDaily[WardCode],"MAE")=0,"",SUMIFS(tblDaily[DeathsUnder24Hrs],tblDaily[EntryDate],DATE(2026,12,27),tblDaily[WardCode],"MAE")),"")</f>
        <v/>
      </c>
      <c r="F474" s="25">
        <f>IFERROR(IF(SUMIFS(tblDaily[TransfersIn],tblDaily[EntryDate],DATE(2026,12,27),tblDaily[WardCode],"MAE")=0,"",SUMIFS(tblDaily[TransfersIn],tblDaily[EntryDate],DATE(2026,12,27),tblDaily[WardCode],"MAE")),"")</f>
        <v/>
      </c>
      <c r="G474" s="25">
        <f>IFERROR(IF(SUMIFS(tblDaily[TransfersOut],tblDaily[EntryDate],DATE(2026,12,27),tblDaily[WardCode],"MAE")=0,"",SUMIFS(tblDaily[TransfersOut],tblDaily[EntryDate],DATE(2026,12,27),tblDaily[WardCode],"MAE")),"")</f>
        <v/>
      </c>
      <c r="H474" s="25">
        <f>IFERROR(IF(SUMIFS(tblDaily[Remaining],tblDaily[EntryDate],DATE(2026,12,27),tblDaily[WardCode],"MAE")=0,"",SUMIFS(tblDaily[Remaining],tblDaily[EntryDate],DATE(2026,12,27),tblDaily[WardCode],"MAE")),"")</f>
        <v/>
      </c>
      <c r="I474" s="25">
        <f>IFERROR(IF(SUMIFS(tblDaily[Admissions],tblDaily[EntryDate],DATE(2026,12,27),tblDaily[WardCode],"FAE")=0,"",SUMIFS(tblDaily[Admissions],tblDaily[EntryDate],DATE(2026,12,27),tblDaily[WardCode],"FAE")),"")</f>
        <v/>
      </c>
      <c r="J474" s="25">
        <f>IFERROR(IF(SUMIFS(tblDaily[Discharges],tblDaily[EntryDate],DATE(2026,12,27),tblDaily[WardCode],"FAE")=0,"",SUMIFS(tblDaily[Discharges],tblDaily[EntryDate],DATE(2026,12,27),tblDaily[WardCode],"FAE")),"")</f>
        <v/>
      </c>
      <c r="K474" s="25">
        <f>IFERROR(IF(SUMIFS(tblDaily[Deaths],tblDaily[EntryDate],DATE(2026,12,27),tblDaily[WardCode],"FAE")=0,"",SUMIFS(tblDaily[Deaths],tblDaily[EntryDate],DATE(2026,12,27),tblDaily[WardCode],"FAE")),"")</f>
        <v/>
      </c>
      <c r="L474" s="25">
        <f>IFERROR(IF(SUMIFS(tblDaily[DeathsUnder24Hrs],tblDaily[EntryDate],DATE(2026,12,27),tblDaily[WardCode],"FAE")=0,"",SUMIFS(tblDaily[DeathsUnder24Hrs],tblDaily[EntryDate],DATE(2026,12,27),tblDaily[WardCode],"FAE")),"")</f>
        <v/>
      </c>
      <c r="M474" s="25">
        <f>IFERROR(IF(SUMIFS(tblDaily[TransfersIn],tblDaily[EntryDate],DATE(2026,12,27),tblDaily[WardCode],"FAE")=0,"",SUMIFS(tblDaily[TransfersIn],tblDaily[EntryDate],DATE(2026,12,27),tblDaily[WardCode],"FAE")),"")</f>
        <v/>
      </c>
      <c r="N474" s="25">
        <f>IFERROR(IF(SUMIFS(tblDaily[TransfersOut],tblDaily[EntryDate],DATE(2026,12,27),tblDaily[WardCode],"FAE")=0,"",SUMIFS(tblDaily[TransfersOut],tblDaily[EntryDate],DATE(2026,12,27),tblDaily[WardCode],"FAE")),"")</f>
        <v/>
      </c>
      <c r="O474" s="25">
        <f>IFERROR(IF(SUMIFS(tblDaily[Remaining],tblDaily[EntryDate],DATE(2026,12,27),tblDaily[WardCode],"FAE")=0,"",SUMIFS(tblDaily[Remaining],tblDaily[EntryDate],DATE(2026,12,27),tblDaily[WardCode],"FAE")),"")</f>
        <v/>
      </c>
      <c r="P474" s="26">
        <f>IF(AND(H474="", O474=""), "", N(H474) + N(O474))</f>
        <v/>
      </c>
    </row>
    <row r="475">
      <c r="A475" s="25" t="n">
        <v>28</v>
      </c>
      <c r="B475" s="25">
        <f>IFERROR(IF(SUMIFS(tblDaily[Admissions],tblDaily[EntryDate],DATE(2026,12,28),tblDaily[WardCode],"MAE")=0,"",SUMIFS(tblDaily[Admissions],tblDaily[EntryDate],DATE(2026,12,28),tblDaily[WardCode],"MAE")),"")</f>
        <v/>
      </c>
      <c r="C475" s="25">
        <f>IFERROR(IF(SUMIFS(tblDaily[Discharges],tblDaily[EntryDate],DATE(2026,12,28),tblDaily[WardCode],"MAE")=0,"",SUMIFS(tblDaily[Discharges],tblDaily[EntryDate],DATE(2026,12,28),tblDaily[WardCode],"MAE")),"")</f>
        <v/>
      </c>
      <c r="D475" s="25">
        <f>IFERROR(IF(SUMIFS(tblDaily[Deaths],tblDaily[EntryDate],DATE(2026,12,28),tblDaily[WardCode],"MAE")=0,"",SUMIFS(tblDaily[Deaths],tblDaily[EntryDate],DATE(2026,12,28),tblDaily[WardCode],"MAE")),"")</f>
        <v/>
      </c>
      <c r="E475" s="25">
        <f>IFERROR(IF(SUMIFS(tblDaily[DeathsUnder24Hrs],tblDaily[EntryDate],DATE(2026,12,28),tblDaily[WardCode],"MAE")=0,"",SUMIFS(tblDaily[DeathsUnder24Hrs],tblDaily[EntryDate],DATE(2026,12,28),tblDaily[WardCode],"MAE")),"")</f>
        <v/>
      </c>
      <c r="F475" s="25">
        <f>IFERROR(IF(SUMIFS(tblDaily[TransfersIn],tblDaily[EntryDate],DATE(2026,12,28),tblDaily[WardCode],"MAE")=0,"",SUMIFS(tblDaily[TransfersIn],tblDaily[EntryDate],DATE(2026,12,28),tblDaily[WardCode],"MAE")),"")</f>
        <v/>
      </c>
      <c r="G475" s="25">
        <f>IFERROR(IF(SUMIFS(tblDaily[TransfersOut],tblDaily[EntryDate],DATE(2026,12,28),tblDaily[WardCode],"MAE")=0,"",SUMIFS(tblDaily[TransfersOut],tblDaily[EntryDate],DATE(2026,12,28),tblDaily[WardCode],"MAE")),"")</f>
        <v/>
      </c>
      <c r="H475" s="25">
        <f>IFERROR(IF(SUMIFS(tblDaily[Remaining],tblDaily[EntryDate],DATE(2026,12,28),tblDaily[WardCode],"MAE")=0,"",SUMIFS(tblDaily[Remaining],tblDaily[EntryDate],DATE(2026,12,28),tblDaily[WardCode],"MAE")),"")</f>
        <v/>
      </c>
      <c r="I475" s="25">
        <f>IFERROR(IF(SUMIFS(tblDaily[Admissions],tblDaily[EntryDate],DATE(2026,12,28),tblDaily[WardCode],"FAE")=0,"",SUMIFS(tblDaily[Admissions],tblDaily[EntryDate],DATE(2026,12,28),tblDaily[WardCode],"FAE")),"")</f>
        <v/>
      </c>
      <c r="J475" s="25">
        <f>IFERROR(IF(SUMIFS(tblDaily[Discharges],tblDaily[EntryDate],DATE(2026,12,28),tblDaily[WardCode],"FAE")=0,"",SUMIFS(tblDaily[Discharges],tblDaily[EntryDate],DATE(2026,12,28),tblDaily[WardCode],"FAE")),"")</f>
        <v/>
      </c>
      <c r="K475" s="25">
        <f>IFERROR(IF(SUMIFS(tblDaily[Deaths],tblDaily[EntryDate],DATE(2026,12,28),tblDaily[WardCode],"FAE")=0,"",SUMIFS(tblDaily[Deaths],tblDaily[EntryDate],DATE(2026,12,28),tblDaily[WardCode],"FAE")),"")</f>
        <v/>
      </c>
      <c r="L475" s="25">
        <f>IFERROR(IF(SUMIFS(tblDaily[DeathsUnder24Hrs],tblDaily[EntryDate],DATE(2026,12,28),tblDaily[WardCode],"FAE")=0,"",SUMIFS(tblDaily[DeathsUnder24Hrs],tblDaily[EntryDate],DATE(2026,12,28),tblDaily[WardCode],"FAE")),"")</f>
        <v/>
      </c>
      <c r="M475" s="25">
        <f>IFERROR(IF(SUMIFS(tblDaily[TransfersIn],tblDaily[EntryDate],DATE(2026,12,28),tblDaily[WardCode],"FAE")=0,"",SUMIFS(tblDaily[TransfersIn],tblDaily[EntryDate],DATE(2026,12,28),tblDaily[WardCode],"FAE")),"")</f>
        <v/>
      </c>
      <c r="N475" s="25">
        <f>IFERROR(IF(SUMIFS(tblDaily[TransfersOut],tblDaily[EntryDate],DATE(2026,12,28),tblDaily[WardCode],"FAE")=0,"",SUMIFS(tblDaily[TransfersOut],tblDaily[EntryDate],DATE(2026,12,28),tblDaily[WardCode],"FAE")),"")</f>
        <v/>
      </c>
      <c r="O475" s="25">
        <f>IFERROR(IF(SUMIFS(tblDaily[Remaining],tblDaily[EntryDate],DATE(2026,12,28),tblDaily[WardCode],"FAE")=0,"",SUMIFS(tblDaily[Remaining],tblDaily[EntryDate],DATE(2026,12,28),tblDaily[WardCode],"FAE")),"")</f>
        <v/>
      </c>
      <c r="P475" s="26">
        <f>IF(AND(H475="", O475=""), "", N(H475) + N(O475))</f>
        <v/>
      </c>
    </row>
    <row r="476">
      <c r="A476" s="25" t="n">
        <v>29</v>
      </c>
      <c r="B476" s="25">
        <f>IFERROR(IF(SUMIFS(tblDaily[Admissions],tblDaily[EntryDate],DATE(2026,12,29),tblDaily[WardCode],"MAE")=0,"",SUMIFS(tblDaily[Admissions],tblDaily[EntryDate],DATE(2026,12,29),tblDaily[WardCode],"MAE")),"")</f>
        <v/>
      </c>
      <c r="C476" s="25">
        <f>IFERROR(IF(SUMIFS(tblDaily[Discharges],tblDaily[EntryDate],DATE(2026,12,29),tblDaily[WardCode],"MAE")=0,"",SUMIFS(tblDaily[Discharges],tblDaily[EntryDate],DATE(2026,12,29),tblDaily[WardCode],"MAE")),"")</f>
        <v/>
      </c>
      <c r="D476" s="25">
        <f>IFERROR(IF(SUMIFS(tblDaily[Deaths],tblDaily[EntryDate],DATE(2026,12,29),tblDaily[WardCode],"MAE")=0,"",SUMIFS(tblDaily[Deaths],tblDaily[EntryDate],DATE(2026,12,29),tblDaily[WardCode],"MAE")),"")</f>
        <v/>
      </c>
      <c r="E476" s="25">
        <f>IFERROR(IF(SUMIFS(tblDaily[DeathsUnder24Hrs],tblDaily[EntryDate],DATE(2026,12,29),tblDaily[WardCode],"MAE")=0,"",SUMIFS(tblDaily[DeathsUnder24Hrs],tblDaily[EntryDate],DATE(2026,12,29),tblDaily[WardCode],"MAE")),"")</f>
        <v/>
      </c>
      <c r="F476" s="25">
        <f>IFERROR(IF(SUMIFS(tblDaily[TransfersIn],tblDaily[EntryDate],DATE(2026,12,29),tblDaily[WardCode],"MAE")=0,"",SUMIFS(tblDaily[TransfersIn],tblDaily[EntryDate],DATE(2026,12,29),tblDaily[WardCode],"MAE")),"")</f>
        <v/>
      </c>
      <c r="G476" s="25">
        <f>IFERROR(IF(SUMIFS(tblDaily[TransfersOut],tblDaily[EntryDate],DATE(2026,12,29),tblDaily[WardCode],"MAE")=0,"",SUMIFS(tblDaily[TransfersOut],tblDaily[EntryDate],DATE(2026,12,29),tblDaily[WardCode],"MAE")),"")</f>
        <v/>
      </c>
      <c r="H476" s="25">
        <f>IFERROR(IF(SUMIFS(tblDaily[Remaining],tblDaily[EntryDate],DATE(2026,12,29),tblDaily[WardCode],"MAE")=0,"",SUMIFS(tblDaily[Remaining],tblDaily[EntryDate],DATE(2026,12,29),tblDaily[WardCode],"MAE")),"")</f>
        <v/>
      </c>
      <c r="I476" s="25">
        <f>IFERROR(IF(SUMIFS(tblDaily[Admissions],tblDaily[EntryDate],DATE(2026,12,29),tblDaily[WardCode],"FAE")=0,"",SUMIFS(tblDaily[Admissions],tblDaily[EntryDate],DATE(2026,12,29),tblDaily[WardCode],"FAE")),"")</f>
        <v/>
      </c>
      <c r="J476" s="25">
        <f>IFERROR(IF(SUMIFS(tblDaily[Discharges],tblDaily[EntryDate],DATE(2026,12,29),tblDaily[WardCode],"FAE")=0,"",SUMIFS(tblDaily[Discharges],tblDaily[EntryDate],DATE(2026,12,29),tblDaily[WardCode],"FAE")),"")</f>
        <v/>
      </c>
      <c r="K476" s="25">
        <f>IFERROR(IF(SUMIFS(tblDaily[Deaths],tblDaily[EntryDate],DATE(2026,12,29),tblDaily[WardCode],"FAE")=0,"",SUMIFS(tblDaily[Deaths],tblDaily[EntryDate],DATE(2026,12,29),tblDaily[WardCode],"FAE")),"")</f>
        <v/>
      </c>
      <c r="L476" s="25">
        <f>IFERROR(IF(SUMIFS(tblDaily[DeathsUnder24Hrs],tblDaily[EntryDate],DATE(2026,12,29),tblDaily[WardCode],"FAE")=0,"",SUMIFS(tblDaily[DeathsUnder24Hrs],tblDaily[EntryDate],DATE(2026,12,29),tblDaily[WardCode],"FAE")),"")</f>
        <v/>
      </c>
      <c r="M476" s="25">
        <f>IFERROR(IF(SUMIFS(tblDaily[TransfersIn],tblDaily[EntryDate],DATE(2026,12,29),tblDaily[WardCode],"FAE")=0,"",SUMIFS(tblDaily[TransfersIn],tblDaily[EntryDate],DATE(2026,12,29),tblDaily[WardCode],"FAE")),"")</f>
        <v/>
      </c>
      <c r="N476" s="25">
        <f>IFERROR(IF(SUMIFS(tblDaily[TransfersOut],tblDaily[EntryDate],DATE(2026,12,29),tblDaily[WardCode],"FAE")=0,"",SUMIFS(tblDaily[TransfersOut],tblDaily[EntryDate],DATE(2026,12,29),tblDaily[WardCode],"FAE")),"")</f>
        <v/>
      </c>
      <c r="O476" s="25">
        <f>IFERROR(IF(SUMIFS(tblDaily[Remaining],tblDaily[EntryDate],DATE(2026,12,29),tblDaily[WardCode],"FAE")=0,"",SUMIFS(tblDaily[Remaining],tblDaily[EntryDate],DATE(2026,12,29),tblDaily[WardCode],"FAE")),"")</f>
        <v/>
      </c>
      <c r="P476" s="26">
        <f>IF(AND(H476="", O476=""), "", N(H476) + N(O476))</f>
        <v/>
      </c>
    </row>
    <row r="477">
      <c r="A477" s="25" t="n">
        <v>30</v>
      </c>
      <c r="B477" s="25">
        <f>IFERROR(IF(SUMIFS(tblDaily[Admissions],tblDaily[EntryDate],DATE(2026,12,30),tblDaily[WardCode],"MAE")=0,"",SUMIFS(tblDaily[Admissions],tblDaily[EntryDate],DATE(2026,12,30),tblDaily[WardCode],"MAE")),"")</f>
        <v/>
      </c>
      <c r="C477" s="25">
        <f>IFERROR(IF(SUMIFS(tblDaily[Discharges],tblDaily[EntryDate],DATE(2026,12,30),tblDaily[WardCode],"MAE")=0,"",SUMIFS(tblDaily[Discharges],tblDaily[EntryDate],DATE(2026,12,30),tblDaily[WardCode],"MAE")),"")</f>
        <v/>
      </c>
      <c r="D477" s="25">
        <f>IFERROR(IF(SUMIFS(tblDaily[Deaths],tblDaily[EntryDate],DATE(2026,12,30),tblDaily[WardCode],"MAE")=0,"",SUMIFS(tblDaily[Deaths],tblDaily[EntryDate],DATE(2026,12,30),tblDaily[WardCode],"MAE")),"")</f>
        <v/>
      </c>
      <c r="E477" s="25">
        <f>IFERROR(IF(SUMIFS(tblDaily[DeathsUnder24Hrs],tblDaily[EntryDate],DATE(2026,12,30),tblDaily[WardCode],"MAE")=0,"",SUMIFS(tblDaily[DeathsUnder24Hrs],tblDaily[EntryDate],DATE(2026,12,30),tblDaily[WardCode],"MAE")),"")</f>
        <v/>
      </c>
      <c r="F477" s="25">
        <f>IFERROR(IF(SUMIFS(tblDaily[TransfersIn],tblDaily[EntryDate],DATE(2026,12,30),tblDaily[WardCode],"MAE")=0,"",SUMIFS(tblDaily[TransfersIn],tblDaily[EntryDate],DATE(2026,12,30),tblDaily[WardCode],"MAE")),"")</f>
        <v/>
      </c>
      <c r="G477" s="25">
        <f>IFERROR(IF(SUMIFS(tblDaily[TransfersOut],tblDaily[EntryDate],DATE(2026,12,30),tblDaily[WardCode],"MAE")=0,"",SUMIFS(tblDaily[TransfersOut],tblDaily[EntryDate],DATE(2026,12,30),tblDaily[WardCode],"MAE")),"")</f>
        <v/>
      </c>
      <c r="H477" s="25">
        <f>IFERROR(IF(SUMIFS(tblDaily[Remaining],tblDaily[EntryDate],DATE(2026,12,30),tblDaily[WardCode],"MAE")=0,"",SUMIFS(tblDaily[Remaining],tblDaily[EntryDate],DATE(2026,12,30),tblDaily[WardCode],"MAE")),"")</f>
        <v/>
      </c>
      <c r="I477" s="25">
        <f>IFERROR(IF(SUMIFS(tblDaily[Admissions],tblDaily[EntryDate],DATE(2026,12,30),tblDaily[WardCode],"FAE")=0,"",SUMIFS(tblDaily[Admissions],tblDaily[EntryDate],DATE(2026,12,30),tblDaily[WardCode],"FAE")),"")</f>
        <v/>
      </c>
      <c r="J477" s="25">
        <f>IFERROR(IF(SUMIFS(tblDaily[Discharges],tblDaily[EntryDate],DATE(2026,12,30),tblDaily[WardCode],"FAE")=0,"",SUMIFS(tblDaily[Discharges],tblDaily[EntryDate],DATE(2026,12,30),tblDaily[WardCode],"FAE")),"")</f>
        <v/>
      </c>
      <c r="K477" s="25">
        <f>IFERROR(IF(SUMIFS(tblDaily[Deaths],tblDaily[EntryDate],DATE(2026,12,30),tblDaily[WardCode],"FAE")=0,"",SUMIFS(tblDaily[Deaths],tblDaily[EntryDate],DATE(2026,12,30),tblDaily[WardCode],"FAE")),"")</f>
        <v/>
      </c>
      <c r="L477" s="25">
        <f>IFERROR(IF(SUMIFS(tblDaily[DeathsUnder24Hrs],tblDaily[EntryDate],DATE(2026,12,30),tblDaily[WardCode],"FAE")=0,"",SUMIFS(tblDaily[DeathsUnder24Hrs],tblDaily[EntryDate],DATE(2026,12,30),tblDaily[WardCode],"FAE")),"")</f>
        <v/>
      </c>
      <c r="M477" s="25">
        <f>IFERROR(IF(SUMIFS(tblDaily[TransfersIn],tblDaily[EntryDate],DATE(2026,12,30),tblDaily[WardCode],"FAE")=0,"",SUMIFS(tblDaily[TransfersIn],tblDaily[EntryDate],DATE(2026,12,30),tblDaily[WardCode],"FAE")),"")</f>
        <v/>
      </c>
      <c r="N477" s="25">
        <f>IFERROR(IF(SUMIFS(tblDaily[TransfersOut],tblDaily[EntryDate],DATE(2026,12,30),tblDaily[WardCode],"FAE")=0,"",SUMIFS(tblDaily[TransfersOut],tblDaily[EntryDate],DATE(2026,12,30),tblDaily[WardCode],"FAE")),"")</f>
        <v/>
      </c>
      <c r="O477" s="25">
        <f>IFERROR(IF(SUMIFS(tblDaily[Remaining],tblDaily[EntryDate],DATE(2026,12,30),tblDaily[WardCode],"FAE")=0,"",SUMIFS(tblDaily[Remaining],tblDaily[EntryDate],DATE(2026,12,30),tblDaily[WardCode],"FAE")),"")</f>
        <v/>
      </c>
      <c r="P477" s="26">
        <f>IF(AND(H477="", O477=""), "", N(H477) + N(O477))</f>
        <v/>
      </c>
    </row>
    <row r="478">
      <c r="A478" s="25" t="n">
        <v>31</v>
      </c>
      <c r="B478" s="25">
        <f>IFERROR(IF(SUMIFS(tblDaily[Admissions],tblDaily[EntryDate],DATE(2026,12,31),tblDaily[WardCode],"MAE")=0,"",SUMIFS(tblDaily[Admissions],tblDaily[EntryDate],DATE(2026,12,31),tblDaily[WardCode],"MAE")),"")</f>
        <v/>
      </c>
      <c r="C478" s="25">
        <f>IFERROR(IF(SUMIFS(tblDaily[Discharges],tblDaily[EntryDate],DATE(2026,12,31),tblDaily[WardCode],"MAE")=0,"",SUMIFS(tblDaily[Discharges],tblDaily[EntryDate],DATE(2026,12,31),tblDaily[WardCode],"MAE")),"")</f>
        <v/>
      </c>
      <c r="D478" s="25">
        <f>IFERROR(IF(SUMIFS(tblDaily[Deaths],tblDaily[EntryDate],DATE(2026,12,31),tblDaily[WardCode],"MAE")=0,"",SUMIFS(tblDaily[Deaths],tblDaily[EntryDate],DATE(2026,12,31),tblDaily[WardCode],"MAE")),"")</f>
        <v/>
      </c>
      <c r="E478" s="25">
        <f>IFERROR(IF(SUMIFS(tblDaily[DeathsUnder24Hrs],tblDaily[EntryDate],DATE(2026,12,31),tblDaily[WardCode],"MAE")=0,"",SUMIFS(tblDaily[DeathsUnder24Hrs],tblDaily[EntryDate],DATE(2026,12,31),tblDaily[WardCode],"MAE")),"")</f>
        <v/>
      </c>
      <c r="F478" s="25">
        <f>IFERROR(IF(SUMIFS(tblDaily[TransfersIn],tblDaily[EntryDate],DATE(2026,12,31),tblDaily[WardCode],"MAE")=0,"",SUMIFS(tblDaily[TransfersIn],tblDaily[EntryDate],DATE(2026,12,31),tblDaily[WardCode],"MAE")),"")</f>
        <v/>
      </c>
      <c r="G478" s="25">
        <f>IFERROR(IF(SUMIFS(tblDaily[TransfersOut],tblDaily[EntryDate],DATE(2026,12,31),tblDaily[WardCode],"MAE")=0,"",SUMIFS(tblDaily[TransfersOut],tblDaily[EntryDate],DATE(2026,12,31),tblDaily[WardCode],"MAE")),"")</f>
        <v/>
      </c>
      <c r="H478" s="25">
        <f>IFERROR(IF(SUMIFS(tblDaily[Remaining],tblDaily[EntryDate],DATE(2026,12,31),tblDaily[WardCode],"MAE")=0,"",SUMIFS(tblDaily[Remaining],tblDaily[EntryDate],DATE(2026,12,31),tblDaily[WardCode],"MAE")),"")</f>
        <v/>
      </c>
      <c r="I478" s="25">
        <f>IFERROR(IF(SUMIFS(tblDaily[Admissions],tblDaily[EntryDate],DATE(2026,12,31),tblDaily[WardCode],"FAE")=0,"",SUMIFS(tblDaily[Admissions],tblDaily[EntryDate],DATE(2026,12,31),tblDaily[WardCode],"FAE")),"")</f>
        <v/>
      </c>
      <c r="J478" s="25">
        <f>IFERROR(IF(SUMIFS(tblDaily[Discharges],tblDaily[EntryDate],DATE(2026,12,31),tblDaily[WardCode],"FAE")=0,"",SUMIFS(tblDaily[Discharges],tblDaily[EntryDate],DATE(2026,12,31),tblDaily[WardCode],"FAE")),"")</f>
        <v/>
      </c>
      <c r="K478" s="25">
        <f>IFERROR(IF(SUMIFS(tblDaily[Deaths],tblDaily[EntryDate],DATE(2026,12,31),tblDaily[WardCode],"FAE")=0,"",SUMIFS(tblDaily[Deaths],tblDaily[EntryDate],DATE(2026,12,31),tblDaily[WardCode],"FAE")),"")</f>
        <v/>
      </c>
      <c r="L478" s="25">
        <f>IFERROR(IF(SUMIFS(tblDaily[DeathsUnder24Hrs],tblDaily[EntryDate],DATE(2026,12,31),tblDaily[WardCode],"FAE")=0,"",SUMIFS(tblDaily[DeathsUnder24Hrs],tblDaily[EntryDate],DATE(2026,12,31),tblDaily[WardCode],"FAE")),"")</f>
        <v/>
      </c>
      <c r="M478" s="25">
        <f>IFERROR(IF(SUMIFS(tblDaily[TransfersIn],tblDaily[EntryDate],DATE(2026,12,31),tblDaily[WardCode],"FAE")=0,"",SUMIFS(tblDaily[TransfersIn],tblDaily[EntryDate],DATE(2026,12,31),tblDaily[WardCode],"FAE")),"")</f>
        <v/>
      </c>
      <c r="N478" s="25">
        <f>IFERROR(IF(SUMIFS(tblDaily[TransfersOut],tblDaily[EntryDate],DATE(2026,12,31),tblDaily[WardCode],"FAE")=0,"",SUMIFS(tblDaily[TransfersOut],tblDaily[EntryDate],DATE(2026,12,31),tblDaily[WardCode],"FAE")),"")</f>
        <v/>
      </c>
      <c r="O478" s="25">
        <f>IFERROR(IF(SUMIFS(tblDaily[Remaining],tblDaily[EntryDate],DATE(2026,12,31),tblDaily[WardCode],"FAE")=0,"",SUMIFS(tblDaily[Remaining],tblDaily[EntryDate],DATE(2026,12,31),tblDaily[WardCode],"FAE")),"")</f>
        <v/>
      </c>
      <c r="P478" s="26">
        <f>IF(AND(H478="", O478=""), "", N(H478) + N(O478))</f>
        <v/>
      </c>
    </row>
    <row r="479">
      <c r="A479" s="17" t="inlineStr">
        <is>
          <t>TOTAL</t>
        </is>
      </c>
      <c r="B479" s="17">
        <f>SUMIFS(tblDaily[Admissions],tblDaily[Month],12,tblDaily[WardCode],"MAE") - SUMIFS(tblDaily[DeathsUnder24Hrs],tblDaily[Month],12,tblDaily[WardCode],"MAE")</f>
        <v/>
      </c>
      <c r="C479" s="17">
        <f>SUMIFS(tblDaily[Discharges],tblDaily[Month],12,tblDaily[WardCode],"MAE")</f>
        <v/>
      </c>
      <c r="D479" s="17">
        <f>SUMIFS(tblDaily[Deaths],tblDaily[Month],12,tblDaily[WardCode],"MAE")</f>
        <v/>
      </c>
      <c r="E479" s="17">
        <f>SUMIFS(tblDaily[DeathsUnder24Hrs],tblDaily[Month],12,tblDaily[WardCode],"MAE")</f>
        <v/>
      </c>
      <c r="F479" s="17">
        <f>SUMIFS(tblDaily[TransfersIn],tblDaily[Month],12,tblDaily[WardCode],"MAE")</f>
        <v/>
      </c>
      <c r="G479" s="17">
        <f>SUMIFS(tblDaily[TransfersOut],tblDaily[Month],12,tblDaily[WardCode],"MAE")</f>
        <v/>
      </c>
      <c r="H479" s="17">
        <f>SUMIFS(tblDaily[Remaining],tblDaily[Month],12,tblDaily[WardCode],"MAE")</f>
        <v/>
      </c>
      <c r="I479" s="17">
        <f>SUMIFS(tblDaily[Admissions],tblDaily[Month],12,tblDaily[WardCode],"FAE") - SUMIFS(tblDaily[DeathsUnder24Hrs],tblDaily[Month],12,tblDaily[WardCode],"FAE")</f>
        <v/>
      </c>
      <c r="J479" s="17">
        <f>SUMIFS(tblDaily[Discharges],tblDaily[Month],12,tblDaily[WardCode],"FAE")</f>
        <v/>
      </c>
      <c r="K479" s="17">
        <f>SUMIFS(tblDaily[Deaths],tblDaily[Month],12,tblDaily[WardCode],"FAE")</f>
        <v/>
      </c>
      <c r="L479" s="17">
        <f>SUMIFS(tblDaily[DeathsUnder24Hrs],tblDaily[Month],12,tblDaily[WardCode],"FAE")</f>
        <v/>
      </c>
      <c r="M479" s="17">
        <f>SUMIFS(tblDaily[TransfersIn],tblDaily[Month],12,tblDaily[WardCode],"FAE")</f>
        <v/>
      </c>
      <c r="N479" s="17">
        <f>SUMIFS(tblDaily[TransfersOut],tblDaily[Month],12,tblDaily[WardCode],"FAE")</f>
        <v/>
      </c>
      <c r="O479" s="17">
        <f>SUMIFS(tblDaily[Remaining],tblDaily[Month],12,tblDaily[WardCode],"FAE")</f>
        <v/>
      </c>
      <c r="P479" s="17">
        <f>H479 + O479</f>
        <v/>
      </c>
    </row>
  </sheetData>
  <mergeCells count="48">
    <mergeCell ref="B246:H246"/>
    <mergeCell ref="A442:O442"/>
    <mergeCell ref="A41:O41"/>
    <mergeCell ref="I166:O166"/>
    <mergeCell ref="B6:H6"/>
    <mergeCell ref="I446:O446"/>
    <mergeCell ref="B406:H406"/>
    <mergeCell ref="A282:O282"/>
    <mergeCell ref="B206:H206"/>
    <mergeCell ref="A2:O2"/>
    <mergeCell ref="A242:O242"/>
    <mergeCell ref="I246:O246"/>
    <mergeCell ref="B286:H286"/>
    <mergeCell ref="A42:O42"/>
    <mergeCell ref="B126:H126"/>
    <mergeCell ref="A322:O322"/>
    <mergeCell ref="A321:O321"/>
    <mergeCell ref="I6:O6"/>
    <mergeCell ref="A361:O361"/>
    <mergeCell ref="I46:O46"/>
    <mergeCell ref="I406:O406"/>
    <mergeCell ref="I86:O86"/>
    <mergeCell ref="B366:H366"/>
    <mergeCell ref="A122:O122"/>
    <mergeCell ref="B46:H46"/>
    <mergeCell ref="I366:O366"/>
    <mergeCell ref="A81:O81"/>
    <mergeCell ref="B326:H326"/>
    <mergeCell ref="A121:O121"/>
    <mergeCell ref="A161:O161"/>
    <mergeCell ref="A401:O401"/>
    <mergeCell ref="I286:O286"/>
    <mergeCell ref="I126:O126"/>
    <mergeCell ref="B86:H86"/>
    <mergeCell ref="A362:O362"/>
    <mergeCell ref="A202:O202"/>
    <mergeCell ref="A441:O441"/>
    <mergeCell ref="A201:O201"/>
    <mergeCell ref="I326:O326"/>
    <mergeCell ref="I206:O206"/>
    <mergeCell ref="A402:O402"/>
    <mergeCell ref="A82:O82"/>
    <mergeCell ref="B166:H166"/>
    <mergeCell ref="B446:H446"/>
    <mergeCell ref="A1:O1"/>
    <mergeCell ref="A241:O241"/>
    <mergeCell ref="A281:O281"/>
    <mergeCell ref="A162:O162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P17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GHANA HEALTH SERVICE</t>
        </is>
      </c>
    </row>
    <row r="2">
      <c r="A2" s="2" t="inlineStr">
        <is>
          <t>MONTHLY BED UTILIZATION FORM - JANUARY, 2026</t>
        </is>
      </c>
    </row>
    <row r="3">
      <c r="A3" s="16" t="inlineStr">
        <is>
          <t>WARD</t>
        </is>
      </c>
      <c r="B3" s="16" t="inlineStr">
        <is>
          <t>Patients on bed
at the beginning
of the month</t>
        </is>
      </c>
      <c r="C3" s="16" t="inlineStr">
        <is>
          <t>Bed Complement</t>
        </is>
      </c>
      <c r="D3" s="16" t="inlineStr">
        <is>
          <t>Admissions</t>
        </is>
      </c>
      <c r="E3" s="16" t="inlineStr">
        <is>
          <t>Discharges</t>
        </is>
      </c>
      <c r="F3" s="16" t="inlineStr">
        <is>
          <t>Deaths</t>
        </is>
      </c>
      <c r="G3" s="16" t="inlineStr">
        <is>
          <t>Deaths
&lt;24Hrs</t>
        </is>
      </c>
      <c r="H3" s="16" t="inlineStr">
        <is>
          <t>Patient
Days</t>
        </is>
      </c>
      <c r="I3" s="16" t="inlineStr">
        <is>
          <t>Transfer In</t>
        </is>
      </c>
      <c r="J3" s="16" t="inlineStr">
        <is>
          <t>Transfer
Out</t>
        </is>
      </c>
      <c r="K3" s="16" t="inlineStr">
        <is>
          <t>Average
Daily Bed
Occupancy</t>
        </is>
      </c>
      <c r="L3" s="16" t="inlineStr">
        <is>
          <t>Average
Length
of Stay</t>
        </is>
      </c>
      <c r="M3" s="16" t="inlineStr">
        <is>
          <t>Bed
Turnover
Interval</t>
        </is>
      </c>
      <c r="N3" s="16" t="inlineStr">
        <is>
          <t>Bed
Turnover
Rate</t>
        </is>
      </c>
      <c r="O3" s="16" t="inlineStr">
        <is>
          <t>Percentage
of
Occupancy</t>
        </is>
      </c>
      <c r="P3" s="16" t="inlineStr">
        <is>
          <t>Death
Rate</t>
        </is>
      </c>
    </row>
    <row r="4">
      <c r="A4" s="26" t="inlineStr">
        <is>
          <t>Male Medical</t>
        </is>
      </c>
      <c r="B4" s="12">
        <f>IFERROR(INDEX(tblWardConfig[PrevYearRemaining],MATCH("MW",tblWardConfig[WardCode],0)),0)</f>
        <v/>
      </c>
      <c r="C4" s="12">
        <f>IFERROR(INDEX(tblWardConfig[BedComplement],MATCH("MW",tblWardConfig[WardCode],0)),0)</f>
        <v/>
      </c>
      <c r="D4" s="12">
        <f>SUMIFS(tblDaily[Admissions],tblDaily[Month],1,tblDaily[WardCode],"MW") - SUMIFS(tblDaily[DeathsUnder24Hrs],tblDaily[Month],1,tblDaily[WardCode],"MW")</f>
        <v/>
      </c>
      <c r="E4" s="12">
        <f>SUMIFS(tblDaily[Discharges],tblDaily[Month],1,tblDaily[WardCode],"MW")</f>
        <v/>
      </c>
      <c r="F4" s="12">
        <f>SUMIFS(tblDaily[Deaths],tblDaily[Month],1,tblDaily[WardCode],"MW")</f>
        <v/>
      </c>
      <c r="G4" s="12">
        <f>SUMIFS(tblDaily[DeathsUnder24Hrs],tblDaily[Month],1,tblDaily[WardCode],"MW")</f>
        <v/>
      </c>
      <c r="H4" s="12">
        <f>SUMIFS(tblDaily[Remaining],tblDaily[Month],1,tblDaily[WardCode],"MW")</f>
        <v/>
      </c>
      <c r="I4" s="12">
        <f>SUMIFS(tblDaily[TransfersIn],tblDaily[Month],1,tblDaily[WardCode],"MW")</f>
        <v/>
      </c>
      <c r="J4" s="12">
        <f>SUMIFS(tblDaily[TransfersOut],tblDaily[Month],1,tblDaily[WardCode],"MW")</f>
        <v/>
      </c>
      <c r="K4" s="27">
        <f>IFERROR(H4/31,0)</f>
        <v/>
      </c>
      <c r="L4" s="27">
        <f>IFERROR(H4/(E4+F4),0)</f>
        <v/>
      </c>
      <c r="M4" s="27">
        <f>IFERROR((C4*31-H4)/(E4+F4),0)</f>
        <v/>
      </c>
      <c r="N4" s="27">
        <f>IFERROR((E4+F4)/C4,0)</f>
        <v/>
      </c>
      <c r="O4" s="27">
        <f>IFERROR((H4/(C4*31))*100,0)</f>
        <v/>
      </c>
      <c r="P4" s="27">
        <f>IFERROR((F4/(D4+B4))*100,0)</f>
        <v/>
      </c>
    </row>
    <row r="5">
      <c r="A5" s="26" t="inlineStr">
        <is>
          <t>Female Medical</t>
        </is>
      </c>
      <c r="B5" s="12">
        <f>IFERROR(INDEX(tblWardConfig[PrevYearRemaining],MATCH("FW",tblWardConfig[WardCode],0)),0)</f>
        <v/>
      </c>
      <c r="C5" s="12">
        <f>IFERROR(INDEX(tblWardConfig[BedComplement],MATCH("FW",tblWardConfig[WardCode],0)),0)</f>
        <v/>
      </c>
      <c r="D5" s="12">
        <f>SUMIFS(tblDaily[Admissions],tblDaily[Month],1,tblDaily[WardCode],"FW") - SUMIFS(tblDaily[DeathsUnder24Hrs],tblDaily[Month],1,tblDaily[WardCode],"FW")</f>
        <v/>
      </c>
      <c r="E5" s="12">
        <f>SUMIFS(tblDaily[Discharges],tblDaily[Month],1,tblDaily[WardCode],"FW")</f>
        <v/>
      </c>
      <c r="F5" s="12">
        <f>SUMIFS(tblDaily[Deaths],tblDaily[Month],1,tblDaily[WardCode],"FW")</f>
        <v/>
      </c>
      <c r="G5" s="12">
        <f>SUMIFS(tblDaily[DeathsUnder24Hrs],tblDaily[Month],1,tblDaily[WardCode],"FW")</f>
        <v/>
      </c>
      <c r="H5" s="12">
        <f>SUMIFS(tblDaily[Remaining],tblDaily[Month],1,tblDaily[WardCode],"FW")</f>
        <v/>
      </c>
      <c r="I5" s="12">
        <f>SUMIFS(tblDaily[TransfersIn],tblDaily[Month],1,tblDaily[WardCode],"FW")</f>
        <v/>
      </c>
      <c r="J5" s="12">
        <f>SUMIFS(tblDaily[TransfersOut],tblDaily[Month],1,tblDaily[WardCode],"FW")</f>
        <v/>
      </c>
      <c r="K5" s="27">
        <f>IFERROR(H5/31,0)</f>
        <v/>
      </c>
      <c r="L5" s="27">
        <f>IFERROR(H5/(E5+F5),0)</f>
        <v/>
      </c>
      <c r="M5" s="27">
        <f>IFERROR((C5*31-H5)/(E5+F5),0)</f>
        <v/>
      </c>
      <c r="N5" s="27">
        <f>IFERROR((E5+F5)/C5,0)</f>
        <v/>
      </c>
      <c r="O5" s="27">
        <f>IFERROR((H5/(C5*31))*100,0)</f>
        <v/>
      </c>
      <c r="P5" s="27">
        <f>IFERROR((F5/(D5+B5))*100,0)</f>
        <v/>
      </c>
    </row>
    <row r="6">
      <c r="A6" s="26" t="inlineStr">
        <is>
          <t>Paediatric</t>
        </is>
      </c>
      <c r="B6" s="12">
        <f>IFERROR(INDEX(tblWardConfig[PrevYearRemaining],MATCH("CW",tblWardConfig[WardCode],0)),0)</f>
        <v/>
      </c>
      <c r="C6" s="12">
        <f>IFERROR(INDEX(tblWardConfig[BedComplement],MATCH("CW",tblWardConfig[WardCode],0)),0)</f>
        <v/>
      </c>
      <c r="D6" s="12">
        <f>SUMIFS(tblDaily[Admissions],tblDaily[Month],1,tblDaily[WardCode],"CW") - SUMIFS(tblDaily[DeathsUnder24Hrs],tblDaily[Month],1,tblDaily[WardCode],"CW")</f>
        <v/>
      </c>
      <c r="E6" s="12">
        <f>SUMIFS(tblDaily[Discharges],tblDaily[Month],1,tblDaily[WardCode],"CW")</f>
        <v/>
      </c>
      <c r="F6" s="12">
        <f>SUMIFS(tblDaily[Deaths],tblDaily[Month],1,tblDaily[WardCode],"CW")</f>
        <v/>
      </c>
      <c r="G6" s="12">
        <f>SUMIFS(tblDaily[DeathsUnder24Hrs],tblDaily[Month],1,tblDaily[WardCode],"CW")</f>
        <v/>
      </c>
      <c r="H6" s="12">
        <f>SUMIFS(tblDaily[Remaining],tblDaily[Month],1,tblDaily[WardCode],"CW")</f>
        <v/>
      </c>
      <c r="I6" s="12">
        <f>SUMIFS(tblDaily[TransfersIn],tblDaily[Month],1,tblDaily[WardCode],"CW")</f>
        <v/>
      </c>
      <c r="J6" s="12">
        <f>SUMIFS(tblDaily[TransfersOut],tblDaily[Month],1,tblDaily[WardCode],"CW")</f>
        <v/>
      </c>
      <c r="K6" s="27">
        <f>IFERROR(H6/31,0)</f>
        <v/>
      </c>
      <c r="L6" s="27">
        <f>IFERROR(H6/(E6+F6),0)</f>
        <v/>
      </c>
      <c r="M6" s="27">
        <f>IFERROR((C6*31-H6)/(E6+F6),0)</f>
        <v/>
      </c>
      <c r="N6" s="27">
        <f>IFERROR((E6+F6)/C6,0)</f>
        <v/>
      </c>
      <c r="O6" s="27">
        <f>IFERROR((H6/(C6*31))*100,0)</f>
        <v/>
      </c>
      <c r="P6" s="27">
        <f>IFERROR((F6/(D6+B6))*100,0)</f>
        <v/>
      </c>
    </row>
    <row r="7">
      <c r="A7" s="26" t="inlineStr">
        <is>
          <t>Block F</t>
        </is>
      </c>
      <c r="B7" s="12">
        <f>IFERROR(INDEX(tblWardConfig[PrevYearRemaining],MATCH("BF",tblWardConfig[WardCode],0)),0)</f>
        <v/>
      </c>
      <c r="C7" s="12">
        <f>IFERROR(INDEX(tblWardConfig[BedComplement],MATCH("BF",tblWardConfig[WardCode],0)),0)</f>
        <v/>
      </c>
      <c r="D7" s="12">
        <f>SUMIFS(tblDaily[Admissions],tblDaily[Month],1,tblDaily[WardCode],"BF") - SUMIFS(tblDaily[DeathsUnder24Hrs],tblDaily[Month],1,tblDaily[WardCode],"BF")</f>
        <v/>
      </c>
      <c r="E7" s="12">
        <f>SUMIFS(tblDaily[Discharges],tblDaily[Month],1,tblDaily[WardCode],"BF")</f>
        <v/>
      </c>
      <c r="F7" s="12">
        <f>SUMIFS(tblDaily[Deaths],tblDaily[Month],1,tblDaily[WardCode],"BF")</f>
        <v/>
      </c>
      <c r="G7" s="12">
        <f>SUMIFS(tblDaily[DeathsUnder24Hrs],tblDaily[Month],1,tblDaily[WardCode],"BF")</f>
        <v/>
      </c>
      <c r="H7" s="12">
        <f>SUMIFS(tblDaily[Remaining],tblDaily[Month],1,tblDaily[WardCode],"BF")</f>
        <v/>
      </c>
      <c r="I7" s="12">
        <f>SUMIFS(tblDaily[TransfersIn],tblDaily[Month],1,tblDaily[WardCode],"BF")</f>
        <v/>
      </c>
      <c r="J7" s="12">
        <f>SUMIFS(tblDaily[TransfersOut],tblDaily[Month],1,tblDaily[WardCode],"BF")</f>
        <v/>
      </c>
      <c r="K7" s="27">
        <f>IFERROR(H7/31,0)</f>
        <v/>
      </c>
      <c r="L7" s="27">
        <f>IFERROR(H7/(E7+F7),0)</f>
        <v/>
      </c>
      <c r="M7" s="27">
        <f>IFERROR((C7*31-H7)/(E7+F7),0)</f>
        <v/>
      </c>
      <c r="N7" s="27">
        <f>IFERROR((E7+F7)/C7,0)</f>
        <v/>
      </c>
      <c r="O7" s="27">
        <f>IFERROR((H7/(C7*31))*100,0)</f>
        <v/>
      </c>
      <c r="P7" s="27">
        <f>IFERROR((F7/(D7+B7))*100,0)</f>
        <v/>
      </c>
    </row>
    <row r="8">
      <c r="A8" s="26" t="inlineStr">
        <is>
          <t>Block G</t>
        </is>
      </c>
      <c r="B8" s="12">
        <f>IFERROR(INDEX(tblWardConfig[PrevYearRemaining],MATCH("BG",tblWardConfig[WardCode],0)),0)</f>
        <v/>
      </c>
      <c r="C8" s="12">
        <f>IFERROR(INDEX(tblWardConfig[BedComplement],MATCH("BG",tblWardConfig[WardCode],0)),0)</f>
        <v/>
      </c>
      <c r="D8" s="12">
        <f>SUMIFS(tblDaily[Admissions],tblDaily[Month],1,tblDaily[WardCode],"BG") - SUMIFS(tblDaily[DeathsUnder24Hrs],tblDaily[Month],1,tblDaily[WardCode],"BG")</f>
        <v/>
      </c>
      <c r="E8" s="12">
        <f>SUMIFS(tblDaily[Discharges],tblDaily[Month],1,tblDaily[WardCode],"BG")</f>
        <v/>
      </c>
      <c r="F8" s="12">
        <f>SUMIFS(tblDaily[Deaths],tblDaily[Month],1,tblDaily[WardCode],"BG")</f>
        <v/>
      </c>
      <c r="G8" s="12">
        <f>SUMIFS(tblDaily[DeathsUnder24Hrs],tblDaily[Month],1,tblDaily[WardCode],"BG")</f>
        <v/>
      </c>
      <c r="H8" s="12">
        <f>SUMIFS(tblDaily[Remaining],tblDaily[Month],1,tblDaily[WardCode],"BG")</f>
        <v/>
      </c>
      <c r="I8" s="12">
        <f>SUMIFS(tblDaily[TransfersIn],tblDaily[Month],1,tblDaily[WardCode],"BG")</f>
        <v/>
      </c>
      <c r="J8" s="12">
        <f>SUMIFS(tblDaily[TransfersOut],tblDaily[Month],1,tblDaily[WardCode],"BG")</f>
        <v/>
      </c>
      <c r="K8" s="27">
        <f>IFERROR(H8/31,0)</f>
        <v/>
      </c>
      <c r="L8" s="27">
        <f>IFERROR(H8/(E8+F8),0)</f>
        <v/>
      </c>
      <c r="M8" s="27">
        <f>IFERROR((C8*31-H8)/(E8+F8),0)</f>
        <v/>
      </c>
      <c r="N8" s="27">
        <f>IFERROR((E8+F8)/C8,0)</f>
        <v/>
      </c>
      <c r="O8" s="27">
        <f>IFERROR((H8/(C8*31))*100,0)</f>
        <v/>
      </c>
      <c r="P8" s="27">
        <f>IFERROR((F8/(D8+B8))*100,0)</f>
        <v/>
      </c>
    </row>
    <row r="9">
      <c r="A9" s="26" t="inlineStr">
        <is>
          <t>Block H</t>
        </is>
      </c>
      <c r="B9" s="12">
        <f>IFERROR(INDEX(tblWardConfig[PrevYearRemaining],MATCH("BH",tblWardConfig[WardCode],0)),0)</f>
        <v/>
      </c>
      <c r="C9" s="12">
        <f>IFERROR(INDEX(tblWardConfig[BedComplement],MATCH("BH",tblWardConfig[WardCode],0)),0)</f>
        <v/>
      </c>
      <c r="D9" s="12">
        <f>SUMIFS(tblDaily[Admissions],tblDaily[Month],1,tblDaily[WardCode],"BH") - SUMIFS(tblDaily[DeathsUnder24Hrs],tblDaily[Month],1,tblDaily[WardCode],"BH")</f>
        <v/>
      </c>
      <c r="E9" s="12">
        <f>SUMIFS(tblDaily[Discharges],tblDaily[Month],1,tblDaily[WardCode],"BH")</f>
        <v/>
      </c>
      <c r="F9" s="12">
        <f>SUMIFS(tblDaily[Deaths],tblDaily[Month],1,tblDaily[WardCode],"BH")</f>
        <v/>
      </c>
      <c r="G9" s="12">
        <f>SUMIFS(tblDaily[DeathsUnder24Hrs],tblDaily[Month],1,tblDaily[WardCode],"BH")</f>
        <v/>
      </c>
      <c r="H9" s="12">
        <f>SUMIFS(tblDaily[Remaining],tblDaily[Month],1,tblDaily[WardCode],"BH")</f>
        <v/>
      </c>
      <c r="I9" s="12">
        <f>SUMIFS(tblDaily[TransfersIn],tblDaily[Month],1,tblDaily[WardCode],"BH")</f>
        <v/>
      </c>
      <c r="J9" s="12">
        <f>SUMIFS(tblDaily[TransfersOut],tblDaily[Month],1,tblDaily[WardCode],"BH")</f>
        <v/>
      </c>
      <c r="K9" s="27">
        <f>IFERROR(H9/31,0)</f>
        <v/>
      </c>
      <c r="L9" s="27">
        <f>IFERROR(H9/(E9+F9),0)</f>
        <v/>
      </c>
      <c r="M9" s="27">
        <f>IFERROR((C9*31-H9)/(E9+F9),0)</f>
        <v/>
      </c>
      <c r="N9" s="27">
        <f>IFERROR((E9+F9)/C9,0)</f>
        <v/>
      </c>
      <c r="O9" s="27">
        <f>IFERROR((H9/(C9*31))*100,0)</f>
        <v/>
      </c>
      <c r="P9" s="27">
        <f>IFERROR((F9/(D9+B9))*100,0)</f>
        <v/>
      </c>
    </row>
    <row r="10">
      <c r="A10" s="26" t="inlineStr">
        <is>
          <t>Neonatal</t>
        </is>
      </c>
      <c r="B10" s="12">
        <f>IFERROR(INDEX(tblWardConfig[PrevYearRemaining],MATCH("NICU",tblWardConfig[WardCode],0)),0)</f>
        <v/>
      </c>
      <c r="C10" s="12">
        <f>IFERROR(INDEX(tblWardConfig[BedComplement],MATCH("NICU",tblWardConfig[WardCode],0)),0)</f>
        <v/>
      </c>
      <c r="D10" s="12">
        <f>SUMIFS(tblDaily[Admissions],tblDaily[Month],1,tblDaily[WardCode],"NICU") - SUMIFS(tblDaily[DeathsUnder24Hrs],tblDaily[Month],1,tblDaily[WardCode],"NICU")</f>
        <v/>
      </c>
      <c r="E10" s="12">
        <f>SUMIFS(tblDaily[Discharges],tblDaily[Month],1,tblDaily[WardCode],"NICU")</f>
        <v/>
      </c>
      <c r="F10" s="12">
        <f>SUMIFS(tblDaily[Deaths],tblDaily[Month],1,tblDaily[WardCode],"NICU")</f>
        <v/>
      </c>
      <c r="G10" s="12">
        <f>SUMIFS(tblDaily[DeathsUnder24Hrs],tblDaily[Month],1,tblDaily[WardCode],"NICU")</f>
        <v/>
      </c>
      <c r="H10" s="12">
        <f>SUMIFS(tblDaily[Remaining],tblDaily[Month],1,tblDaily[WardCode],"NICU")</f>
        <v/>
      </c>
      <c r="I10" s="12">
        <f>SUMIFS(tblDaily[TransfersIn],tblDaily[Month],1,tblDaily[WardCode],"NICU")</f>
        <v/>
      </c>
      <c r="J10" s="12">
        <f>SUMIFS(tblDaily[TransfersOut],tblDaily[Month],1,tblDaily[WardCode],"NICU")</f>
        <v/>
      </c>
      <c r="K10" s="27">
        <f>IFERROR(H10/31,0)</f>
        <v/>
      </c>
      <c r="L10" s="27">
        <f>IFERROR(H10/(E10+F10),0)</f>
        <v/>
      </c>
      <c r="M10" s="27">
        <f>IFERROR((C10*31-H10)/(E10+F10),0)</f>
        <v/>
      </c>
      <c r="N10" s="27">
        <f>IFERROR((E10+F10)/C10,0)</f>
        <v/>
      </c>
      <c r="O10" s="27">
        <f>IFERROR((H10/(C10*31))*100,0)</f>
        <v/>
      </c>
      <c r="P10" s="27">
        <f>IFERROR((F10/(D10+B10))*100,0)</f>
        <v/>
      </c>
    </row>
    <row r="11">
      <c r="A11" s="26" t="inlineStr">
        <is>
          <t>Male Emergency</t>
        </is>
      </c>
      <c r="B11" s="12">
        <f>IFERROR(INDEX(tblWardConfig[PrevYearRemaining],MATCH("MAE",tblWardConfig[WardCode],0)),0)</f>
        <v/>
      </c>
      <c r="C11" s="12">
        <f>IFERROR(INDEX(tblWardConfig[BedComplement],MATCH("MAE",tblWardConfig[WardCode],0)),0)</f>
        <v/>
      </c>
      <c r="D11" s="12">
        <f>SUMIFS(tblDaily[Admissions],tblDaily[Month],1,tblDaily[WardCode],"MAE") - SUMIFS(tblDaily[DeathsUnder24Hrs],tblDaily[Month],1,tblDaily[WardCode],"MAE")</f>
        <v/>
      </c>
      <c r="E11" s="12">
        <f>SUMIFS(tblDaily[Discharges],tblDaily[Month],1,tblDaily[WardCode],"MAE")</f>
        <v/>
      </c>
      <c r="F11" s="12">
        <f>SUMIFS(tblDaily[Deaths],tblDaily[Month],1,tblDaily[WardCode],"MAE")</f>
        <v/>
      </c>
      <c r="G11" s="12">
        <f>SUMIFS(tblDaily[DeathsUnder24Hrs],tblDaily[Month],1,tblDaily[WardCode],"MAE")</f>
        <v/>
      </c>
      <c r="H11" s="12">
        <f>SUMIFS(tblDaily[Remaining],tblDaily[Month],1,tblDaily[WardCode],"MAE")</f>
        <v/>
      </c>
      <c r="I11" s="12">
        <f>SUMIFS(tblDaily[TransfersIn],tblDaily[Month],1,tblDaily[WardCode],"MAE")</f>
        <v/>
      </c>
      <c r="J11" s="12">
        <f>SUMIFS(tblDaily[TransfersOut],tblDaily[Month],1,tblDaily[WardCode],"MAE")</f>
        <v/>
      </c>
      <c r="K11" s="27">
        <f>IFERROR(H11/31,0)</f>
        <v/>
      </c>
      <c r="L11" s="27">
        <f>IFERROR(H11/(E11+F11),0)</f>
        <v/>
      </c>
      <c r="M11" s="27">
        <f>IFERROR((C11*31-H11)/(E11+F11),0)</f>
        <v/>
      </c>
      <c r="N11" s="27">
        <f>IFERROR((E11+F11)/C11,0)</f>
        <v/>
      </c>
      <c r="O11" s="27">
        <f>IFERROR((H11/(C11*31))*100,0)</f>
        <v/>
      </c>
      <c r="P11" s="27">
        <f>IFERROR((F11/(D11+B11))*100,0)</f>
        <v/>
      </c>
    </row>
    <row r="12">
      <c r="A12" s="26" t="inlineStr">
        <is>
          <t>Female Emergency</t>
        </is>
      </c>
      <c r="B12" s="12">
        <f>IFERROR(INDEX(tblWardConfig[PrevYearRemaining],MATCH("FAE",tblWardConfig[WardCode],0)),0)</f>
        <v/>
      </c>
      <c r="C12" s="12">
        <f>IFERROR(INDEX(tblWardConfig[BedComplement],MATCH("FAE",tblWardConfig[WardCode],0)),0)</f>
        <v/>
      </c>
      <c r="D12" s="12">
        <f>SUMIFS(tblDaily[Admissions],tblDaily[Month],1,tblDaily[WardCode],"FAE") - SUMIFS(tblDaily[DeathsUnder24Hrs],tblDaily[Month],1,tblDaily[WardCode],"FAE")</f>
        <v/>
      </c>
      <c r="E12" s="12">
        <f>SUMIFS(tblDaily[Discharges],tblDaily[Month],1,tblDaily[WardCode],"FAE")</f>
        <v/>
      </c>
      <c r="F12" s="12">
        <f>SUMIFS(tblDaily[Deaths],tblDaily[Month],1,tblDaily[WardCode],"FAE")</f>
        <v/>
      </c>
      <c r="G12" s="12">
        <f>SUMIFS(tblDaily[DeathsUnder24Hrs],tblDaily[Month],1,tblDaily[WardCode],"FAE")</f>
        <v/>
      </c>
      <c r="H12" s="12">
        <f>SUMIFS(tblDaily[Remaining],tblDaily[Month],1,tblDaily[WardCode],"FAE")</f>
        <v/>
      </c>
      <c r="I12" s="12">
        <f>SUMIFS(tblDaily[TransfersIn],tblDaily[Month],1,tblDaily[WardCode],"FAE")</f>
        <v/>
      </c>
      <c r="J12" s="12">
        <f>SUMIFS(tblDaily[TransfersOut],tblDaily[Month],1,tblDaily[WardCode],"FAE")</f>
        <v/>
      </c>
      <c r="K12" s="27">
        <f>IFERROR(H12/31,0)</f>
        <v/>
      </c>
      <c r="L12" s="27">
        <f>IFERROR(H12/(E12+F12),0)</f>
        <v/>
      </c>
      <c r="M12" s="27">
        <f>IFERROR((C12*31-H12)/(E12+F12),0)</f>
        <v/>
      </c>
      <c r="N12" s="27">
        <f>IFERROR((E12+F12)/C12,0)</f>
        <v/>
      </c>
      <c r="O12" s="27">
        <f>IFERROR((H12/(C12*31))*100,0)</f>
        <v/>
      </c>
      <c r="P12" s="27">
        <f>IFERROR((F12/(D12+B12))*100,0)</f>
        <v/>
      </c>
    </row>
    <row r="13">
      <c r="A13" s="17" t="inlineStr">
        <is>
          <t>TOTAL</t>
        </is>
      </c>
      <c r="B13" s="17">
        <f>SUM(B4:B12)</f>
        <v/>
      </c>
      <c r="C13" s="17">
        <f>SUM(C4:C12)</f>
        <v/>
      </c>
      <c r="D13" s="17">
        <f>SUM(D4:D12)</f>
        <v/>
      </c>
      <c r="E13" s="17">
        <f>SUM(E4:E12)</f>
        <v/>
      </c>
      <c r="F13" s="17">
        <f>SUM(F4:F12)</f>
        <v/>
      </c>
      <c r="G13" s="17">
        <f>SUM(G4:G12)</f>
        <v/>
      </c>
      <c r="H13" s="17">
        <f>SUM(H4:H12)</f>
        <v/>
      </c>
      <c r="I13" s="17">
        <f>SUM(I4:I12)</f>
        <v/>
      </c>
      <c r="J13" s="17">
        <f>SUM(J4:J12)</f>
        <v/>
      </c>
      <c r="K13" s="28">
        <f>IFERROR(H13/31,0)</f>
        <v/>
      </c>
      <c r="L13" s="28">
        <f>IFERROR(H13/(E13+F13),0)</f>
        <v/>
      </c>
      <c r="M13" s="28">
        <f>IFERROR((C13*31-H13)/(E13+F13),0)</f>
        <v/>
      </c>
      <c r="N13" s="28">
        <f>IFERROR((E13+F13)/C13,0)</f>
        <v/>
      </c>
      <c r="O13" s="28">
        <f>IFERROR((H13/(C13*31))*100,0)</f>
        <v/>
      </c>
      <c r="P13" s="28">
        <f>IFERROR((F13/(D13+B13))*100,0)</f>
        <v/>
      </c>
    </row>
    <row r="14">
      <c r="A14" s="29" t="inlineStr">
        <is>
          <t>Emergency</t>
        </is>
      </c>
      <c r="B14" s="29">
        <f>B11+B12</f>
        <v/>
      </c>
      <c r="C14" s="29">
        <f>C11+C12</f>
        <v/>
      </c>
      <c r="D14" s="29">
        <f>D11+D12</f>
        <v/>
      </c>
      <c r="E14" s="29">
        <f>E11+E12</f>
        <v/>
      </c>
      <c r="F14" s="29">
        <f>F11+F12</f>
        <v/>
      </c>
      <c r="G14" s="29">
        <f>G11+G12</f>
        <v/>
      </c>
      <c r="H14" s="29">
        <f>H11+H12</f>
        <v/>
      </c>
      <c r="I14" s="29">
        <f>I11+I12</f>
        <v/>
      </c>
      <c r="J14" s="29">
        <f>J11+J12</f>
        <v/>
      </c>
      <c r="K14" s="30">
        <f>IFERROR(H14/31,0)</f>
        <v/>
      </c>
      <c r="L14" s="30">
        <f>IFERROR(H14/(E14+F14),0)</f>
        <v/>
      </c>
      <c r="M14" s="30">
        <f>IFERROR((C14*31-H14)/(E14+F14),0)</f>
        <v/>
      </c>
      <c r="N14" s="30">
        <f>IFERROR((E14+F14)/C14,0)</f>
        <v/>
      </c>
      <c r="O14" s="30">
        <f>IFERROR((H14/(C14*31))*100,0)</f>
        <v/>
      </c>
      <c r="P14" s="30">
        <f>IFERROR((F14/(D14+B14))*100,0)</f>
        <v/>
      </c>
    </row>
    <row r="16">
      <c r="A16" s="1" t="inlineStr">
        <is>
          <t>GHANA HEALTH SERVICE</t>
        </is>
      </c>
    </row>
    <row r="17">
      <c r="A17" s="2" t="inlineStr">
        <is>
          <t>MONTHLY BED UTILIZATION FORM - FEBRUARY, 2026</t>
        </is>
      </c>
    </row>
    <row r="18">
      <c r="A18" s="16" t="inlineStr">
        <is>
          <t>WARD</t>
        </is>
      </c>
      <c r="B18" s="16" t="inlineStr">
        <is>
          <t>Patients on bed
at the beginning
of the month</t>
        </is>
      </c>
      <c r="C18" s="16" t="inlineStr">
        <is>
          <t>Bed Complement</t>
        </is>
      </c>
      <c r="D18" s="16" t="inlineStr">
        <is>
          <t>Admissions</t>
        </is>
      </c>
      <c r="E18" s="16" t="inlineStr">
        <is>
          <t>Discharges</t>
        </is>
      </c>
      <c r="F18" s="16" t="inlineStr">
        <is>
          <t>Deaths</t>
        </is>
      </c>
      <c r="G18" s="16" t="inlineStr">
        <is>
          <t>Deaths
&lt;24Hrs</t>
        </is>
      </c>
      <c r="H18" s="16" t="inlineStr">
        <is>
          <t>Patient
Days</t>
        </is>
      </c>
      <c r="I18" s="16" t="inlineStr">
        <is>
          <t>Transfer In</t>
        </is>
      </c>
      <c r="J18" s="16" t="inlineStr">
        <is>
          <t>Transfer
Out</t>
        </is>
      </c>
      <c r="K18" s="16" t="inlineStr">
        <is>
          <t>Average
Daily Bed
Occupancy</t>
        </is>
      </c>
      <c r="L18" s="16" t="inlineStr">
        <is>
          <t>Average
Length
of Stay</t>
        </is>
      </c>
      <c r="M18" s="16" t="inlineStr">
        <is>
          <t>Bed
Turnover
Interval</t>
        </is>
      </c>
      <c r="N18" s="16" t="inlineStr">
        <is>
          <t>Bed
Turnover
Rate</t>
        </is>
      </c>
      <c r="O18" s="16" t="inlineStr">
        <is>
          <t>Percentage
of
Occupancy</t>
        </is>
      </c>
      <c r="P18" s="16" t="inlineStr">
        <is>
          <t>Death
Rate</t>
        </is>
      </c>
    </row>
    <row r="19">
      <c r="A19" s="26" t="inlineStr">
        <is>
          <t>Male Medical</t>
        </is>
      </c>
      <c r="B19" s="12">
        <f>IFERROR(SUMIFS(tblDaily[Remaining],tblDaily[EntryDate],DATE(2026,1,31),tblDaily[WardCode],"MW"),0)</f>
        <v/>
      </c>
      <c r="C19" s="12">
        <f>IFERROR(INDEX(tblWardConfig[BedComplement],MATCH("MW",tblWardConfig[WardCode],0)),0)</f>
        <v/>
      </c>
      <c r="D19" s="12">
        <f>SUMIFS(tblDaily[Admissions],tblDaily[Month],2,tblDaily[WardCode],"MW") - SUMIFS(tblDaily[DeathsUnder24Hrs],tblDaily[Month],2,tblDaily[WardCode],"MW")</f>
        <v/>
      </c>
      <c r="E19" s="12">
        <f>SUMIFS(tblDaily[Discharges],tblDaily[Month],2,tblDaily[WardCode],"MW")</f>
        <v/>
      </c>
      <c r="F19" s="12">
        <f>SUMIFS(tblDaily[Deaths],tblDaily[Month],2,tblDaily[WardCode],"MW")</f>
        <v/>
      </c>
      <c r="G19" s="12">
        <f>SUMIFS(tblDaily[DeathsUnder24Hrs],tblDaily[Month],2,tblDaily[WardCode],"MW")</f>
        <v/>
      </c>
      <c r="H19" s="12">
        <f>SUMIFS(tblDaily[Remaining],tblDaily[Month],2,tblDaily[WardCode],"MW")</f>
        <v/>
      </c>
      <c r="I19" s="12">
        <f>SUMIFS(tblDaily[TransfersIn],tblDaily[Month],2,tblDaily[WardCode],"MW")</f>
        <v/>
      </c>
      <c r="J19" s="12">
        <f>SUMIFS(tblDaily[TransfersOut],tblDaily[Month],2,tblDaily[WardCode],"MW")</f>
        <v/>
      </c>
      <c r="K19" s="27">
        <f>IFERROR(H19/28,0)</f>
        <v/>
      </c>
      <c r="L19" s="27">
        <f>IFERROR(H19/(E19+F19),0)</f>
        <v/>
      </c>
      <c r="M19" s="27">
        <f>IFERROR((C19*28-H19)/(E19+F19),0)</f>
        <v/>
      </c>
      <c r="N19" s="27">
        <f>IFERROR((E19+F19)/C19,0)</f>
        <v/>
      </c>
      <c r="O19" s="27">
        <f>IFERROR((H19/(C19*28))*100,0)</f>
        <v/>
      </c>
      <c r="P19" s="27">
        <f>IFERROR((F19/(D19+B19))*100,0)</f>
        <v/>
      </c>
    </row>
    <row r="20">
      <c r="A20" s="26" t="inlineStr">
        <is>
          <t>Female Medical</t>
        </is>
      </c>
      <c r="B20" s="12">
        <f>IFERROR(SUMIFS(tblDaily[Remaining],tblDaily[EntryDate],DATE(2026,1,31),tblDaily[WardCode],"FW"),0)</f>
        <v/>
      </c>
      <c r="C20" s="12">
        <f>IFERROR(INDEX(tblWardConfig[BedComplement],MATCH("FW",tblWardConfig[WardCode],0)),0)</f>
        <v/>
      </c>
      <c r="D20" s="12">
        <f>SUMIFS(tblDaily[Admissions],tblDaily[Month],2,tblDaily[WardCode],"FW") - SUMIFS(tblDaily[DeathsUnder24Hrs],tblDaily[Month],2,tblDaily[WardCode],"FW")</f>
        <v/>
      </c>
      <c r="E20" s="12">
        <f>SUMIFS(tblDaily[Discharges],tblDaily[Month],2,tblDaily[WardCode],"FW")</f>
        <v/>
      </c>
      <c r="F20" s="12">
        <f>SUMIFS(tblDaily[Deaths],tblDaily[Month],2,tblDaily[WardCode],"FW")</f>
        <v/>
      </c>
      <c r="G20" s="12">
        <f>SUMIFS(tblDaily[DeathsUnder24Hrs],tblDaily[Month],2,tblDaily[WardCode],"FW")</f>
        <v/>
      </c>
      <c r="H20" s="12">
        <f>SUMIFS(tblDaily[Remaining],tblDaily[Month],2,tblDaily[WardCode],"FW")</f>
        <v/>
      </c>
      <c r="I20" s="12">
        <f>SUMIFS(tblDaily[TransfersIn],tblDaily[Month],2,tblDaily[WardCode],"FW")</f>
        <v/>
      </c>
      <c r="J20" s="12">
        <f>SUMIFS(tblDaily[TransfersOut],tblDaily[Month],2,tblDaily[WardCode],"FW")</f>
        <v/>
      </c>
      <c r="K20" s="27">
        <f>IFERROR(H20/28,0)</f>
        <v/>
      </c>
      <c r="L20" s="27">
        <f>IFERROR(H20/(E20+F20),0)</f>
        <v/>
      </c>
      <c r="M20" s="27">
        <f>IFERROR((C20*28-H20)/(E20+F20),0)</f>
        <v/>
      </c>
      <c r="N20" s="27">
        <f>IFERROR((E20+F20)/C20,0)</f>
        <v/>
      </c>
      <c r="O20" s="27">
        <f>IFERROR((H20/(C20*28))*100,0)</f>
        <v/>
      </c>
      <c r="P20" s="27">
        <f>IFERROR((F20/(D20+B20))*100,0)</f>
        <v/>
      </c>
    </row>
    <row r="21">
      <c r="A21" s="26" t="inlineStr">
        <is>
          <t>Paediatric</t>
        </is>
      </c>
      <c r="B21" s="12">
        <f>IFERROR(SUMIFS(tblDaily[Remaining],tblDaily[EntryDate],DATE(2026,1,31),tblDaily[WardCode],"CW"),0)</f>
        <v/>
      </c>
      <c r="C21" s="12">
        <f>IFERROR(INDEX(tblWardConfig[BedComplement],MATCH("CW",tblWardConfig[WardCode],0)),0)</f>
        <v/>
      </c>
      <c r="D21" s="12">
        <f>SUMIFS(tblDaily[Admissions],tblDaily[Month],2,tblDaily[WardCode],"CW") - SUMIFS(tblDaily[DeathsUnder24Hrs],tblDaily[Month],2,tblDaily[WardCode],"CW")</f>
        <v/>
      </c>
      <c r="E21" s="12">
        <f>SUMIFS(tblDaily[Discharges],tblDaily[Month],2,tblDaily[WardCode],"CW")</f>
        <v/>
      </c>
      <c r="F21" s="12">
        <f>SUMIFS(tblDaily[Deaths],tblDaily[Month],2,tblDaily[WardCode],"CW")</f>
        <v/>
      </c>
      <c r="G21" s="12">
        <f>SUMIFS(tblDaily[DeathsUnder24Hrs],tblDaily[Month],2,tblDaily[WardCode],"CW")</f>
        <v/>
      </c>
      <c r="H21" s="12">
        <f>SUMIFS(tblDaily[Remaining],tblDaily[Month],2,tblDaily[WardCode],"CW")</f>
        <v/>
      </c>
      <c r="I21" s="12">
        <f>SUMIFS(tblDaily[TransfersIn],tblDaily[Month],2,tblDaily[WardCode],"CW")</f>
        <v/>
      </c>
      <c r="J21" s="12">
        <f>SUMIFS(tblDaily[TransfersOut],tblDaily[Month],2,tblDaily[WardCode],"CW")</f>
        <v/>
      </c>
      <c r="K21" s="27">
        <f>IFERROR(H21/28,0)</f>
        <v/>
      </c>
      <c r="L21" s="27">
        <f>IFERROR(H21/(E21+F21),0)</f>
        <v/>
      </c>
      <c r="M21" s="27">
        <f>IFERROR((C21*28-H21)/(E21+F21),0)</f>
        <v/>
      </c>
      <c r="N21" s="27">
        <f>IFERROR((E21+F21)/C21,0)</f>
        <v/>
      </c>
      <c r="O21" s="27">
        <f>IFERROR((H21/(C21*28))*100,0)</f>
        <v/>
      </c>
      <c r="P21" s="27">
        <f>IFERROR((F21/(D21+B21))*100,0)</f>
        <v/>
      </c>
    </row>
    <row r="22">
      <c r="A22" s="26" t="inlineStr">
        <is>
          <t>Block F</t>
        </is>
      </c>
      <c r="B22" s="12">
        <f>IFERROR(SUMIFS(tblDaily[Remaining],tblDaily[EntryDate],DATE(2026,1,31),tblDaily[WardCode],"BF"),0)</f>
        <v/>
      </c>
      <c r="C22" s="12">
        <f>IFERROR(INDEX(tblWardConfig[BedComplement],MATCH("BF",tblWardConfig[WardCode],0)),0)</f>
        <v/>
      </c>
      <c r="D22" s="12">
        <f>SUMIFS(tblDaily[Admissions],tblDaily[Month],2,tblDaily[WardCode],"BF") - SUMIFS(tblDaily[DeathsUnder24Hrs],tblDaily[Month],2,tblDaily[WardCode],"BF")</f>
        <v/>
      </c>
      <c r="E22" s="12">
        <f>SUMIFS(tblDaily[Discharges],tblDaily[Month],2,tblDaily[WardCode],"BF")</f>
        <v/>
      </c>
      <c r="F22" s="12">
        <f>SUMIFS(tblDaily[Deaths],tblDaily[Month],2,tblDaily[WardCode],"BF")</f>
        <v/>
      </c>
      <c r="G22" s="12">
        <f>SUMIFS(tblDaily[DeathsUnder24Hrs],tblDaily[Month],2,tblDaily[WardCode],"BF")</f>
        <v/>
      </c>
      <c r="H22" s="12">
        <f>SUMIFS(tblDaily[Remaining],tblDaily[Month],2,tblDaily[WardCode],"BF")</f>
        <v/>
      </c>
      <c r="I22" s="12">
        <f>SUMIFS(tblDaily[TransfersIn],tblDaily[Month],2,tblDaily[WardCode],"BF")</f>
        <v/>
      </c>
      <c r="J22" s="12">
        <f>SUMIFS(tblDaily[TransfersOut],tblDaily[Month],2,tblDaily[WardCode],"BF")</f>
        <v/>
      </c>
      <c r="K22" s="27">
        <f>IFERROR(H22/28,0)</f>
        <v/>
      </c>
      <c r="L22" s="27">
        <f>IFERROR(H22/(E22+F22),0)</f>
        <v/>
      </c>
      <c r="M22" s="27">
        <f>IFERROR((C22*28-H22)/(E22+F22),0)</f>
        <v/>
      </c>
      <c r="N22" s="27">
        <f>IFERROR((E22+F22)/C22,0)</f>
        <v/>
      </c>
      <c r="O22" s="27">
        <f>IFERROR((H22/(C22*28))*100,0)</f>
        <v/>
      </c>
      <c r="P22" s="27">
        <f>IFERROR((F22/(D22+B22))*100,0)</f>
        <v/>
      </c>
    </row>
    <row r="23">
      <c r="A23" s="26" t="inlineStr">
        <is>
          <t>Block G</t>
        </is>
      </c>
      <c r="B23" s="12">
        <f>IFERROR(SUMIFS(tblDaily[Remaining],tblDaily[EntryDate],DATE(2026,1,31),tblDaily[WardCode],"BG"),0)</f>
        <v/>
      </c>
      <c r="C23" s="12">
        <f>IFERROR(INDEX(tblWardConfig[BedComplement],MATCH("BG",tblWardConfig[WardCode],0)),0)</f>
        <v/>
      </c>
      <c r="D23" s="12">
        <f>SUMIFS(tblDaily[Admissions],tblDaily[Month],2,tblDaily[WardCode],"BG") - SUMIFS(tblDaily[DeathsUnder24Hrs],tblDaily[Month],2,tblDaily[WardCode],"BG")</f>
        <v/>
      </c>
      <c r="E23" s="12">
        <f>SUMIFS(tblDaily[Discharges],tblDaily[Month],2,tblDaily[WardCode],"BG")</f>
        <v/>
      </c>
      <c r="F23" s="12">
        <f>SUMIFS(tblDaily[Deaths],tblDaily[Month],2,tblDaily[WardCode],"BG")</f>
        <v/>
      </c>
      <c r="G23" s="12">
        <f>SUMIFS(tblDaily[DeathsUnder24Hrs],tblDaily[Month],2,tblDaily[WardCode],"BG")</f>
        <v/>
      </c>
      <c r="H23" s="12">
        <f>SUMIFS(tblDaily[Remaining],tblDaily[Month],2,tblDaily[WardCode],"BG")</f>
        <v/>
      </c>
      <c r="I23" s="12">
        <f>SUMIFS(tblDaily[TransfersIn],tblDaily[Month],2,tblDaily[WardCode],"BG")</f>
        <v/>
      </c>
      <c r="J23" s="12">
        <f>SUMIFS(tblDaily[TransfersOut],tblDaily[Month],2,tblDaily[WardCode],"BG")</f>
        <v/>
      </c>
      <c r="K23" s="27">
        <f>IFERROR(H23/28,0)</f>
        <v/>
      </c>
      <c r="L23" s="27">
        <f>IFERROR(H23/(E23+F23),0)</f>
        <v/>
      </c>
      <c r="M23" s="27">
        <f>IFERROR((C23*28-H23)/(E23+F23),0)</f>
        <v/>
      </c>
      <c r="N23" s="27">
        <f>IFERROR((E23+F23)/C23,0)</f>
        <v/>
      </c>
      <c r="O23" s="27">
        <f>IFERROR((H23/(C23*28))*100,0)</f>
        <v/>
      </c>
      <c r="P23" s="27">
        <f>IFERROR((F23/(D23+B23))*100,0)</f>
        <v/>
      </c>
    </row>
    <row r="24">
      <c r="A24" s="26" t="inlineStr">
        <is>
          <t>Block H</t>
        </is>
      </c>
      <c r="B24" s="12">
        <f>IFERROR(SUMIFS(tblDaily[Remaining],tblDaily[EntryDate],DATE(2026,1,31),tblDaily[WardCode],"BH"),0)</f>
        <v/>
      </c>
      <c r="C24" s="12">
        <f>IFERROR(INDEX(tblWardConfig[BedComplement],MATCH("BH",tblWardConfig[WardCode],0)),0)</f>
        <v/>
      </c>
      <c r="D24" s="12">
        <f>SUMIFS(tblDaily[Admissions],tblDaily[Month],2,tblDaily[WardCode],"BH") - SUMIFS(tblDaily[DeathsUnder24Hrs],tblDaily[Month],2,tblDaily[WardCode],"BH")</f>
        <v/>
      </c>
      <c r="E24" s="12">
        <f>SUMIFS(tblDaily[Discharges],tblDaily[Month],2,tblDaily[WardCode],"BH")</f>
        <v/>
      </c>
      <c r="F24" s="12">
        <f>SUMIFS(tblDaily[Deaths],tblDaily[Month],2,tblDaily[WardCode],"BH")</f>
        <v/>
      </c>
      <c r="G24" s="12">
        <f>SUMIFS(tblDaily[DeathsUnder24Hrs],tblDaily[Month],2,tblDaily[WardCode],"BH")</f>
        <v/>
      </c>
      <c r="H24" s="12">
        <f>SUMIFS(tblDaily[Remaining],tblDaily[Month],2,tblDaily[WardCode],"BH")</f>
        <v/>
      </c>
      <c r="I24" s="12">
        <f>SUMIFS(tblDaily[TransfersIn],tblDaily[Month],2,tblDaily[WardCode],"BH")</f>
        <v/>
      </c>
      <c r="J24" s="12">
        <f>SUMIFS(tblDaily[TransfersOut],tblDaily[Month],2,tblDaily[WardCode],"BH")</f>
        <v/>
      </c>
      <c r="K24" s="27">
        <f>IFERROR(H24/28,0)</f>
        <v/>
      </c>
      <c r="L24" s="27">
        <f>IFERROR(H24/(E24+F24),0)</f>
        <v/>
      </c>
      <c r="M24" s="27">
        <f>IFERROR((C24*28-H24)/(E24+F24),0)</f>
        <v/>
      </c>
      <c r="N24" s="27">
        <f>IFERROR((E24+F24)/C24,0)</f>
        <v/>
      </c>
      <c r="O24" s="27">
        <f>IFERROR((H24/(C24*28))*100,0)</f>
        <v/>
      </c>
      <c r="P24" s="27">
        <f>IFERROR((F24/(D24+B24))*100,0)</f>
        <v/>
      </c>
    </row>
    <row r="25">
      <c r="A25" s="26" t="inlineStr">
        <is>
          <t>Neonatal</t>
        </is>
      </c>
      <c r="B25" s="12">
        <f>IFERROR(SUMIFS(tblDaily[Remaining],tblDaily[EntryDate],DATE(2026,1,31),tblDaily[WardCode],"NICU"),0)</f>
        <v/>
      </c>
      <c r="C25" s="12">
        <f>IFERROR(INDEX(tblWardConfig[BedComplement],MATCH("NICU",tblWardConfig[WardCode],0)),0)</f>
        <v/>
      </c>
      <c r="D25" s="12">
        <f>SUMIFS(tblDaily[Admissions],tblDaily[Month],2,tblDaily[WardCode],"NICU") - SUMIFS(tblDaily[DeathsUnder24Hrs],tblDaily[Month],2,tblDaily[WardCode],"NICU")</f>
        <v/>
      </c>
      <c r="E25" s="12">
        <f>SUMIFS(tblDaily[Discharges],tblDaily[Month],2,tblDaily[WardCode],"NICU")</f>
        <v/>
      </c>
      <c r="F25" s="12">
        <f>SUMIFS(tblDaily[Deaths],tblDaily[Month],2,tblDaily[WardCode],"NICU")</f>
        <v/>
      </c>
      <c r="G25" s="12">
        <f>SUMIFS(tblDaily[DeathsUnder24Hrs],tblDaily[Month],2,tblDaily[WardCode],"NICU")</f>
        <v/>
      </c>
      <c r="H25" s="12">
        <f>SUMIFS(tblDaily[Remaining],tblDaily[Month],2,tblDaily[WardCode],"NICU")</f>
        <v/>
      </c>
      <c r="I25" s="12">
        <f>SUMIFS(tblDaily[TransfersIn],tblDaily[Month],2,tblDaily[WardCode],"NICU")</f>
        <v/>
      </c>
      <c r="J25" s="12">
        <f>SUMIFS(tblDaily[TransfersOut],tblDaily[Month],2,tblDaily[WardCode],"NICU")</f>
        <v/>
      </c>
      <c r="K25" s="27">
        <f>IFERROR(H25/28,0)</f>
        <v/>
      </c>
      <c r="L25" s="27">
        <f>IFERROR(H25/(E25+F25),0)</f>
        <v/>
      </c>
      <c r="M25" s="27">
        <f>IFERROR((C25*28-H25)/(E25+F25),0)</f>
        <v/>
      </c>
      <c r="N25" s="27">
        <f>IFERROR((E25+F25)/C25,0)</f>
        <v/>
      </c>
      <c r="O25" s="27">
        <f>IFERROR((H25/(C25*28))*100,0)</f>
        <v/>
      </c>
      <c r="P25" s="27">
        <f>IFERROR((F25/(D25+B25))*100,0)</f>
        <v/>
      </c>
    </row>
    <row r="26">
      <c r="A26" s="26" t="inlineStr">
        <is>
          <t>Male Emergency</t>
        </is>
      </c>
      <c r="B26" s="12">
        <f>IFERROR(SUMIFS(tblDaily[Remaining],tblDaily[EntryDate],DATE(2026,1,31),tblDaily[WardCode],"MAE"),0)</f>
        <v/>
      </c>
      <c r="C26" s="12">
        <f>IFERROR(INDEX(tblWardConfig[BedComplement],MATCH("MAE",tblWardConfig[WardCode],0)),0)</f>
        <v/>
      </c>
      <c r="D26" s="12">
        <f>SUMIFS(tblDaily[Admissions],tblDaily[Month],2,tblDaily[WardCode],"MAE") - SUMIFS(tblDaily[DeathsUnder24Hrs],tblDaily[Month],2,tblDaily[WardCode],"MAE")</f>
        <v/>
      </c>
      <c r="E26" s="12">
        <f>SUMIFS(tblDaily[Discharges],tblDaily[Month],2,tblDaily[WardCode],"MAE")</f>
        <v/>
      </c>
      <c r="F26" s="12">
        <f>SUMIFS(tblDaily[Deaths],tblDaily[Month],2,tblDaily[WardCode],"MAE")</f>
        <v/>
      </c>
      <c r="G26" s="12">
        <f>SUMIFS(tblDaily[DeathsUnder24Hrs],tblDaily[Month],2,tblDaily[WardCode],"MAE")</f>
        <v/>
      </c>
      <c r="H26" s="12">
        <f>SUMIFS(tblDaily[Remaining],tblDaily[Month],2,tblDaily[WardCode],"MAE")</f>
        <v/>
      </c>
      <c r="I26" s="12">
        <f>SUMIFS(tblDaily[TransfersIn],tblDaily[Month],2,tblDaily[WardCode],"MAE")</f>
        <v/>
      </c>
      <c r="J26" s="12">
        <f>SUMIFS(tblDaily[TransfersOut],tblDaily[Month],2,tblDaily[WardCode],"MAE")</f>
        <v/>
      </c>
      <c r="K26" s="27">
        <f>IFERROR(H26/28,0)</f>
        <v/>
      </c>
      <c r="L26" s="27">
        <f>IFERROR(H26/(E26+F26),0)</f>
        <v/>
      </c>
      <c r="M26" s="27">
        <f>IFERROR((C26*28-H26)/(E26+F26),0)</f>
        <v/>
      </c>
      <c r="N26" s="27">
        <f>IFERROR((E26+F26)/C26,0)</f>
        <v/>
      </c>
      <c r="O26" s="27">
        <f>IFERROR((H26/(C26*28))*100,0)</f>
        <v/>
      </c>
      <c r="P26" s="27">
        <f>IFERROR((F26/(D26+B26))*100,0)</f>
        <v/>
      </c>
    </row>
    <row r="27">
      <c r="A27" s="26" t="inlineStr">
        <is>
          <t>Female Emergency</t>
        </is>
      </c>
      <c r="B27" s="12">
        <f>IFERROR(SUMIFS(tblDaily[Remaining],tblDaily[EntryDate],DATE(2026,1,31),tblDaily[WardCode],"FAE"),0)</f>
        <v/>
      </c>
      <c r="C27" s="12">
        <f>IFERROR(INDEX(tblWardConfig[BedComplement],MATCH("FAE",tblWardConfig[WardCode],0)),0)</f>
        <v/>
      </c>
      <c r="D27" s="12">
        <f>SUMIFS(tblDaily[Admissions],tblDaily[Month],2,tblDaily[WardCode],"FAE") - SUMIFS(tblDaily[DeathsUnder24Hrs],tblDaily[Month],2,tblDaily[WardCode],"FAE")</f>
        <v/>
      </c>
      <c r="E27" s="12">
        <f>SUMIFS(tblDaily[Discharges],tblDaily[Month],2,tblDaily[WardCode],"FAE")</f>
        <v/>
      </c>
      <c r="F27" s="12">
        <f>SUMIFS(tblDaily[Deaths],tblDaily[Month],2,tblDaily[WardCode],"FAE")</f>
        <v/>
      </c>
      <c r="G27" s="12">
        <f>SUMIFS(tblDaily[DeathsUnder24Hrs],tblDaily[Month],2,tblDaily[WardCode],"FAE")</f>
        <v/>
      </c>
      <c r="H27" s="12">
        <f>SUMIFS(tblDaily[Remaining],tblDaily[Month],2,tblDaily[WardCode],"FAE")</f>
        <v/>
      </c>
      <c r="I27" s="12">
        <f>SUMIFS(tblDaily[TransfersIn],tblDaily[Month],2,tblDaily[WardCode],"FAE")</f>
        <v/>
      </c>
      <c r="J27" s="12">
        <f>SUMIFS(tblDaily[TransfersOut],tblDaily[Month],2,tblDaily[WardCode],"FAE")</f>
        <v/>
      </c>
      <c r="K27" s="27">
        <f>IFERROR(H27/28,0)</f>
        <v/>
      </c>
      <c r="L27" s="27">
        <f>IFERROR(H27/(E27+F27),0)</f>
        <v/>
      </c>
      <c r="M27" s="27">
        <f>IFERROR((C27*28-H27)/(E27+F27),0)</f>
        <v/>
      </c>
      <c r="N27" s="27">
        <f>IFERROR((E27+F27)/C27,0)</f>
        <v/>
      </c>
      <c r="O27" s="27">
        <f>IFERROR((H27/(C27*28))*100,0)</f>
        <v/>
      </c>
      <c r="P27" s="27">
        <f>IFERROR((F27/(D27+B27))*100,0)</f>
        <v/>
      </c>
    </row>
    <row r="28">
      <c r="A28" s="17" t="inlineStr">
        <is>
          <t>TOTAL</t>
        </is>
      </c>
      <c r="B28" s="17">
        <f>SUM(B19:B27)</f>
        <v/>
      </c>
      <c r="C28" s="17">
        <f>SUM(C19:C27)</f>
        <v/>
      </c>
      <c r="D28" s="17">
        <f>SUM(D19:D27)</f>
        <v/>
      </c>
      <c r="E28" s="17">
        <f>SUM(E19:E27)</f>
        <v/>
      </c>
      <c r="F28" s="17">
        <f>SUM(F19:F27)</f>
        <v/>
      </c>
      <c r="G28" s="17">
        <f>SUM(G19:G27)</f>
        <v/>
      </c>
      <c r="H28" s="17">
        <f>SUM(H19:H27)</f>
        <v/>
      </c>
      <c r="I28" s="17">
        <f>SUM(I19:I27)</f>
        <v/>
      </c>
      <c r="J28" s="17">
        <f>SUM(J19:J27)</f>
        <v/>
      </c>
      <c r="K28" s="28">
        <f>IFERROR(H28/28,0)</f>
        <v/>
      </c>
      <c r="L28" s="28">
        <f>IFERROR(H28/(E28+F28),0)</f>
        <v/>
      </c>
      <c r="M28" s="28">
        <f>IFERROR((C28*28-H28)/(E28+F28),0)</f>
        <v/>
      </c>
      <c r="N28" s="28">
        <f>IFERROR((E28+F28)/C28,0)</f>
        <v/>
      </c>
      <c r="O28" s="28">
        <f>IFERROR((H28/(C28*28))*100,0)</f>
        <v/>
      </c>
      <c r="P28" s="28">
        <f>IFERROR((F28/(D28+B28))*100,0)</f>
        <v/>
      </c>
    </row>
    <row r="29">
      <c r="A29" s="29" t="inlineStr">
        <is>
          <t>Emergency</t>
        </is>
      </c>
      <c r="B29" s="29">
        <f>B26+B27</f>
        <v/>
      </c>
      <c r="C29" s="29">
        <f>C26+C27</f>
        <v/>
      </c>
      <c r="D29" s="29">
        <f>D26+D27</f>
        <v/>
      </c>
      <c r="E29" s="29">
        <f>E26+E27</f>
        <v/>
      </c>
      <c r="F29" s="29">
        <f>F26+F27</f>
        <v/>
      </c>
      <c r="G29" s="29">
        <f>G26+G27</f>
        <v/>
      </c>
      <c r="H29" s="29">
        <f>H26+H27</f>
        <v/>
      </c>
      <c r="I29" s="29">
        <f>I26+I27</f>
        <v/>
      </c>
      <c r="J29" s="29">
        <f>J26+J27</f>
        <v/>
      </c>
      <c r="K29" s="30">
        <f>IFERROR(H29/28,0)</f>
        <v/>
      </c>
      <c r="L29" s="30">
        <f>IFERROR(H29/(E29+F29),0)</f>
        <v/>
      </c>
      <c r="M29" s="30">
        <f>IFERROR((C29*28-H29)/(E29+F29),0)</f>
        <v/>
      </c>
      <c r="N29" s="30">
        <f>IFERROR((E29+F29)/C29,0)</f>
        <v/>
      </c>
      <c r="O29" s="30">
        <f>IFERROR((H29/(C29*28))*100,0)</f>
        <v/>
      </c>
      <c r="P29" s="30">
        <f>IFERROR((F29/(D29+B29))*100,0)</f>
        <v/>
      </c>
    </row>
    <row r="31">
      <c r="A31" s="1" t="inlineStr">
        <is>
          <t>GHANA HEALTH SERVICE</t>
        </is>
      </c>
    </row>
    <row r="32">
      <c r="A32" s="2" t="inlineStr">
        <is>
          <t>MONTHLY BED UTILIZATION FORM - MARCH, 2026</t>
        </is>
      </c>
    </row>
    <row r="33">
      <c r="A33" s="16" t="inlineStr">
        <is>
          <t>WARD</t>
        </is>
      </c>
      <c r="B33" s="16" t="inlineStr">
        <is>
          <t>Patients on bed
at the beginning
of the month</t>
        </is>
      </c>
      <c r="C33" s="16" t="inlineStr">
        <is>
          <t>Bed Complement</t>
        </is>
      </c>
      <c r="D33" s="16" t="inlineStr">
        <is>
          <t>Admissions</t>
        </is>
      </c>
      <c r="E33" s="16" t="inlineStr">
        <is>
          <t>Discharges</t>
        </is>
      </c>
      <c r="F33" s="16" t="inlineStr">
        <is>
          <t>Deaths</t>
        </is>
      </c>
      <c r="G33" s="16" t="inlineStr">
        <is>
          <t>Deaths
&lt;24Hrs</t>
        </is>
      </c>
      <c r="H33" s="16" t="inlineStr">
        <is>
          <t>Patient
Days</t>
        </is>
      </c>
      <c r="I33" s="16" t="inlineStr">
        <is>
          <t>Transfer In</t>
        </is>
      </c>
      <c r="J33" s="16" t="inlineStr">
        <is>
          <t>Transfer
Out</t>
        </is>
      </c>
      <c r="K33" s="16" t="inlineStr">
        <is>
          <t>Average
Daily Bed
Occupancy</t>
        </is>
      </c>
      <c r="L33" s="16" t="inlineStr">
        <is>
          <t>Average
Length
of Stay</t>
        </is>
      </c>
      <c r="M33" s="16" t="inlineStr">
        <is>
          <t>Bed
Turnover
Interval</t>
        </is>
      </c>
      <c r="N33" s="16" t="inlineStr">
        <is>
          <t>Bed
Turnover
Rate</t>
        </is>
      </c>
      <c r="O33" s="16" t="inlineStr">
        <is>
          <t>Percentage
of
Occupancy</t>
        </is>
      </c>
      <c r="P33" s="16" t="inlineStr">
        <is>
          <t>Death
Rate</t>
        </is>
      </c>
    </row>
    <row r="34">
      <c r="A34" s="26" t="inlineStr">
        <is>
          <t>Male Medical</t>
        </is>
      </c>
      <c r="B34" s="12">
        <f>IFERROR(SUMIFS(tblDaily[Remaining],tblDaily[EntryDate],DATE(2026,2,28),tblDaily[WardCode],"MW"),0)</f>
        <v/>
      </c>
      <c r="C34" s="12">
        <f>IFERROR(INDEX(tblWardConfig[BedComplement],MATCH("MW",tblWardConfig[WardCode],0)),0)</f>
        <v/>
      </c>
      <c r="D34" s="12">
        <f>SUMIFS(tblDaily[Admissions],tblDaily[Month],3,tblDaily[WardCode],"MW") - SUMIFS(tblDaily[DeathsUnder24Hrs],tblDaily[Month],3,tblDaily[WardCode],"MW")</f>
        <v/>
      </c>
      <c r="E34" s="12">
        <f>SUMIFS(tblDaily[Discharges],tblDaily[Month],3,tblDaily[WardCode],"MW")</f>
        <v/>
      </c>
      <c r="F34" s="12">
        <f>SUMIFS(tblDaily[Deaths],tblDaily[Month],3,tblDaily[WardCode],"MW")</f>
        <v/>
      </c>
      <c r="G34" s="12">
        <f>SUMIFS(tblDaily[DeathsUnder24Hrs],tblDaily[Month],3,tblDaily[WardCode],"MW")</f>
        <v/>
      </c>
      <c r="H34" s="12">
        <f>SUMIFS(tblDaily[Remaining],tblDaily[Month],3,tblDaily[WardCode],"MW")</f>
        <v/>
      </c>
      <c r="I34" s="12">
        <f>SUMIFS(tblDaily[TransfersIn],tblDaily[Month],3,tblDaily[WardCode],"MW")</f>
        <v/>
      </c>
      <c r="J34" s="12">
        <f>SUMIFS(tblDaily[TransfersOut],tblDaily[Month],3,tblDaily[WardCode],"MW")</f>
        <v/>
      </c>
      <c r="K34" s="27">
        <f>IFERROR(H34/31,0)</f>
        <v/>
      </c>
      <c r="L34" s="27">
        <f>IFERROR(H34/(E34+F34),0)</f>
        <v/>
      </c>
      <c r="M34" s="27">
        <f>IFERROR((C34*31-H34)/(E34+F34),0)</f>
        <v/>
      </c>
      <c r="N34" s="27">
        <f>IFERROR((E34+F34)/C34,0)</f>
        <v/>
      </c>
      <c r="O34" s="27">
        <f>IFERROR((H34/(C34*31))*100,0)</f>
        <v/>
      </c>
      <c r="P34" s="27">
        <f>IFERROR((F34/(D34+B34))*100,0)</f>
        <v/>
      </c>
    </row>
    <row r="35">
      <c r="A35" s="26" t="inlineStr">
        <is>
          <t>Female Medical</t>
        </is>
      </c>
      <c r="B35" s="12">
        <f>IFERROR(SUMIFS(tblDaily[Remaining],tblDaily[EntryDate],DATE(2026,2,28),tblDaily[WardCode],"FW"),0)</f>
        <v/>
      </c>
      <c r="C35" s="12">
        <f>IFERROR(INDEX(tblWardConfig[BedComplement],MATCH("FW",tblWardConfig[WardCode],0)),0)</f>
        <v/>
      </c>
      <c r="D35" s="12">
        <f>SUMIFS(tblDaily[Admissions],tblDaily[Month],3,tblDaily[WardCode],"FW") - SUMIFS(tblDaily[DeathsUnder24Hrs],tblDaily[Month],3,tblDaily[WardCode],"FW")</f>
        <v/>
      </c>
      <c r="E35" s="12">
        <f>SUMIFS(tblDaily[Discharges],tblDaily[Month],3,tblDaily[WardCode],"FW")</f>
        <v/>
      </c>
      <c r="F35" s="12">
        <f>SUMIFS(tblDaily[Deaths],tblDaily[Month],3,tblDaily[WardCode],"FW")</f>
        <v/>
      </c>
      <c r="G35" s="12">
        <f>SUMIFS(tblDaily[DeathsUnder24Hrs],tblDaily[Month],3,tblDaily[WardCode],"FW")</f>
        <v/>
      </c>
      <c r="H35" s="12">
        <f>SUMIFS(tblDaily[Remaining],tblDaily[Month],3,tblDaily[WardCode],"FW")</f>
        <v/>
      </c>
      <c r="I35" s="12">
        <f>SUMIFS(tblDaily[TransfersIn],tblDaily[Month],3,tblDaily[WardCode],"FW")</f>
        <v/>
      </c>
      <c r="J35" s="12">
        <f>SUMIFS(tblDaily[TransfersOut],tblDaily[Month],3,tblDaily[WardCode],"FW")</f>
        <v/>
      </c>
      <c r="K35" s="27">
        <f>IFERROR(H35/31,0)</f>
        <v/>
      </c>
      <c r="L35" s="27">
        <f>IFERROR(H35/(E35+F35),0)</f>
        <v/>
      </c>
      <c r="M35" s="27">
        <f>IFERROR((C35*31-H35)/(E35+F35),0)</f>
        <v/>
      </c>
      <c r="N35" s="27">
        <f>IFERROR((E35+F35)/C35,0)</f>
        <v/>
      </c>
      <c r="O35" s="27">
        <f>IFERROR((H35/(C35*31))*100,0)</f>
        <v/>
      </c>
      <c r="P35" s="27">
        <f>IFERROR((F35/(D35+B35))*100,0)</f>
        <v/>
      </c>
    </row>
    <row r="36">
      <c r="A36" s="26" t="inlineStr">
        <is>
          <t>Paediatric</t>
        </is>
      </c>
      <c r="B36" s="12">
        <f>IFERROR(SUMIFS(tblDaily[Remaining],tblDaily[EntryDate],DATE(2026,2,28),tblDaily[WardCode],"CW"),0)</f>
        <v/>
      </c>
      <c r="C36" s="12">
        <f>IFERROR(INDEX(tblWardConfig[BedComplement],MATCH("CW",tblWardConfig[WardCode],0)),0)</f>
        <v/>
      </c>
      <c r="D36" s="12">
        <f>SUMIFS(tblDaily[Admissions],tblDaily[Month],3,tblDaily[WardCode],"CW") - SUMIFS(tblDaily[DeathsUnder24Hrs],tblDaily[Month],3,tblDaily[WardCode],"CW")</f>
        <v/>
      </c>
      <c r="E36" s="12">
        <f>SUMIFS(tblDaily[Discharges],tblDaily[Month],3,tblDaily[WardCode],"CW")</f>
        <v/>
      </c>
      <c r="F36" s="12">
        <f>SUMIFS(tblDaily[Deaths],tblDaily[Month],3,tblDaily[WardCode],"CW")</f>
        <v/>
      </c>
      <c r="G36" s="12">
        <f>SUMIFS(tblDaily[DeathsUnder24Hrs],tblDaily[Month],3,tblDaily[WardCode],"CW")</f>
        <v/>
      </c>
      <c r="H36" s="12">
        <f>SUMIFS(tblDaily[Remaining],tblDaily[Month],3,tblDaily[WardCode],"CW")</f>
        <v/>
      </c>
      <c r="I36" s="12">
        <f>SUMIFS(tblDaily[TransfersIn],tblDaily[Month],3,tblDaily[WardCode],"CW")</f>
        <v/>
      </c>
      <c r="J36" s="12">
        <f>SUMIFS(tblDaily[TransfersOut],tblDaily[Month],3,tblDaily[WardCode],"CW")</f>
        <v/>
      </c>
      <c r="K36" s="27">
        <f>IFERROR(H36/31,0)</f>
        <v/>
      </c>
      <c r="L36" s="27">
        <f>IFERROR(H36/(E36+F36),0)</f>
        <v/>
      </c>
      <c r="M36" s="27">
        <f>IFERROR((C36*31-H36)/(E36+F36),0)</f>
        <v/>
      </c>
      <c r="N36" s="27">
        <f>IFERROR((E36+F36)/C36,0)</f>
        <v/>
      </c>
      <c r="O36" s="27">
        <f>IFERROR((H36/(C36*31))*100,0)</f>
        <v/>
      </c>
      <c r="P36" s="27">
        <f>IFERROR((F36/(D36+B36))*100,0)</f>
        <v/>
      </c>
    </row>
    <row r="37">
      <c r="A37" s="26" t="inlineStr">
        <is>
          <t>Block F</t>
        </is>
      </c>
      <c r="B37" s="12">
        <f>IFERROR(SUMIFS(tblDaily[Remaining],tblDaily[EntryDate],DATE(2026,2,28),tblDaily[WardCode],"BF"),0)</f>
        <v/>
      </c>
      <c r="C37" s="12">
        <f>IFERROR(INDEX(tblWardConfig[BedComplement],MATCH("BF",tblWardConfig[WardCode],0)),0)</f>
        <v/>
      </c>
      <c r="D37" s="12">
        <f>SUMIFS(tblDaily[Admissions],tblDaily[Month],3,tblDaily[WardCode],"BF") - SUMIFS(tblDaily[DeathsUnder24Hrs],tblDaily[Month],3,tblDaily[WardCode],"BF")</f>
        <v/>
      </c>
      <c r="E37" s="12">
        <f>SUMIFS(tblDaily[Discharges],tblDaily[Month],3,tblDaily[WardCode],"BF")</f>
        <v/>
      </c>
      <c r="F37" s="12">
        <f>SUMIFS(tblDaily[Deaths],tblDaily[Month],3,tblDaily[WardCode],"BF")</f>
        <v/>
      </c>
      <c r="G37" s="12">
        <f>SUMIFS(tblDaily[DeathsUnder24Hrs],tblDaily[Month],3,tblDaily[WardCode],"BF")</f>
        <v/>
      </c>
      <c r="H37" s="12">
        <f>SUMIFS(tblDaily[Remaining],tblDaily[Month],3,tblDaily[WardCode],"BF")</f>
        <v/>
      </c>
      <c r="I37" s="12">
        <f>SUMIFS(tblDaily[TransfersIn],tblDaily[Month],3,tblDaily[WardCode],"BF")</f>
        <v/>
      </c>
      <c r="J37" s="12">
        <f>SUMIFS(tblDaily[TransfersOut],tblDaily[Month],3,tblDaily[WardCode],"BF")</f>
        <v/>
      </c>
      <c r="K37" s="27">
        <f>IFERROR(H37/31,0)</f>
        <v/>
      </c>
      <c r="L37" s="27">
        <f>IFERROR(H37/(E37+F37),0)</f>
        <v/>
      </c>
      <c r="M37" s="27">
        <f>IFERROR((C37*31-H37)/(E37+F37),0)</f>
        <v/>
      </c>
      <c r="N37" s="27">
        <f>IFERROR((E37+F37)/C37,0)</f>
        <v/>
      </c>
      <c r="O37" s="27">
        <f>IFERROR((H37/(C37*31))*100,0)</f>
        <v/>
      </c>
      <c r="P37" s="27">
        <f>IFERROR((F37/(D37+B37))*100,0)</f>
        <v/>
      </c>
    </row>
    <row r="38">
      <c r="A38" s="26" t="inlineStr">
        <is>
          <t>Block G</t>
        </is>
      </c>
      <c r="B38" s="12">
        <f>IFERROR(SUMIFS(tblDaily[Remaining],tblDaily[EntryDate],DATE(2026,2,28),tblDaily[WardCode],"BG"),0)</f>
        <v/>
      </c>
      <c r="C38" s="12">
        <f>IFERROR(INDEX(tblWardConfig[BedComplement],MATCH("BG",tblWardConfig[WardCode],0)),0)</f>
        <v/>
      </c>
      <c r="D38" s="12">
        <f>SUMIFS(tblDaily[Admissions],tblDaily[Month],3,tblDaily[WardCode],"BG") - SUMIFS(tblDaily[DeathsUnder24Hrs],tblDaily[Month],3,tblDaily[WardCode],"BG")</f>
        <v/>
      </c>
      <c r="E38" s="12">
        <f>SUMIFS(tblDaily[Discharges],tblDaily[Month],3,tblDaily[WardCode],"BG")</f>
        <v/>
      </c>
      <c r="F38" s="12">
        <f>SUMIFS(tblDaily[Deaths],tblDaily[Month],3,tblDaily[WardCode],"BG")</f>
        <v/>
      </c>
      <c r="G38" s="12">
        <f>SUMIFS(tblDaily[DeathsUnder24Hrs],tblDaily[Month],3,tblDaily[WardCode],"BG")</f>
        <v/>
      </c>
      <c r="H38" s="12">
        <f>SUMIFS(tblDaily[Remaining],tblDaily[Month],3,tblDaily[WardCode],"BG")</f>
        <v/>
      </c>
      <c r="I38" s="12">
        <f>SUMIFS(tblDaily[TransfersIn],tblDaily[Month],3,tblDaily[WardCode],"BG")</f>
        <v/>
      </c>
      <c r="J38" s="12">
        <f>SUMIFS(tblDaily[TransfersOut],tblDaily[Month],3,tblDaily[WardCode],"BG")</f>
        <v/>
      </c>
      <c r="K38" s="27">
        <f>IFERROR(H38/31,0)</f>
        <v/>
      </c>
      <c r="L38" s="27">
        <f>IFERROR(H38/(E38+F38),0)</f>
        <v/>
      </c>
      <c r="M38" s="27">
        <f>IFERROR((C38*31-H38)/(E38+F38),0)</f>
        <v/>
      </c>
      <c r="N38" s="27">
        <f>IFERROR((E38+F38)/C38,0)</f>
        <v/>
      </c>
      <c r="O38" s="27">
        <f>IFERROR((H38/(C38*31))*100,0)</f>
        <v/>
      </c>
      <c r="P38" s="27">
        <f>IFERROR((F38/(D38+B38))*100,0)</f>
        <v/>
      </c>
    </row>
    <row r="39">
      <c r="A39" s="26" t="inlineStr">
        <is>
          <t>Block H</t>
        </is>
      </c>
      <c r="B39" s="12">
        <f>IFERROR(SUMIFS(tblDaily[Remaining],tblDaily[EntryDate],DATE(2026,2,28),tblDaily[WardCode],"BH"),0)</f>
        <v/>
      </c>
      <c r="C39" s="12">
        <f>IFERROR(INDEX(tblWardConfig[BedComplement],MATCH("BH",tblWardConfig[WardCode],0)),0)</f>
        <v/>
      </c>
      <c r="D39" s="12">
        <f>SUMIFS(tblDaily[Admissions],tblDaily[Month],3,tblDaily[WardCode],"BH") - SUMIFS(tblDaily[DeathsUnder24Hrs],tblDaily[Month],3,tblDaily[WardCode],"BH")</f>
        <v/>
      </c>
      <c r="E39" s="12">
        <f>SUMIFS(tblDaily[Discharges],tblDaily[Month],3,tblDaily[WardCode],"BH")</f>
        <v/>
      </c>
      <c r="F39" s="12">
        <f>SUMIFS(tblDaily[Deaths],tblDaily[Month],3,tblDaily[WardCode],"BH")</f>
        <v/>
      </c>
      <c r="G39" s="12">
        <f>SUMIFS(tblDaily[DeathsUnder24Hrs],tblDaily[Month],3,tblDaily[WardCode],"BH")</f>
        <v/>
      </c>
      <c r="H39" s="12">
        <f>SUMIFS(tblDaily[Remaining],tblDaily[Month],3,tblDaily[WardCode],"BH")</f>
        <v/>
      </c>
      <c r="I39" s="12">
        <f>SUMIFS(tblDaily[TransfersIn],tblDaily[Month],3,tblDaily[WardCode],"BH")</f>
        <v/>
      </c>
      <c r="J39" s="12">
        <f>SUMIFS(tblDaily[TransfersOut],tblDaily[Month],3,tblDaily[WardCode],"BH")</f>
        <v/>
      </c>
      <c r="K39" s="27">
        <f>IFERROR(H39/31,0)</f>
        <v/>
      </c>
      <c r="L39" s="27">
        <f>IFERROR(H39/(E39+F39),0)</f>
        <v/>
      </c>
      <c r="M39" s="27">
        <f>IFERROR((C39*31-H39)/(E39+F39),0)</f>
        <v/>
      </c>
      <c r="N39" s="27">
        <f>IFERROR((E39+F39)/C39,0)</f>
        <v/>
      </c>
      <c r="O39" s="27">
        <f>IFERROR((H39/(C39*31))*100,0)</f>
        <v/>
      </c>
      <c r="P39" s="27">
        <f>IFERROR((F39/(D39+B39))*100,0)</f>
        <v/>
      </c>
    </row>
    <row r="40">
      <c r="A40" s="26" t="inlineStr">
        <is>
          <t>Neonatal</t>
        </is>
      </c>
      <c r="B40" s="12">
        <f>IFERROR(SUMIFS(tblDaily[Remaining],tblDaily[EntryDate],DATE(2026,2,28),tblDaily[WardCode],"NICU"),0)</f>
        <v/>
      </c>
      <c r="C40" s="12">
        <f>IFERROR(INDEX(tblWardConfig[BedComplement],MATCH("NICU",tblWardConfig[WardCode],0)),0)</f>
        <v/>
      </c>
      <c r="D40" s="12">
        <f>SUMIFS(tblDaily[Admissions],tblDaily[Month],3,tblDaily[WardCode],"NICU") - SUMIFS(tblDaily[DeathsUnder24Hrs],tblDaily[Month],3,tblDaily[WardCode],"NICU")</f>
        <v/>
      </c>
      <c r="E40" s="12">
        <f>SUMIFS(tblDaily[Discharges],tblDaily[Month],3,tblDaily[WardCode],"NICU")</f>
        <v/>
      </c>
      <c r="F40" s="12">
        <f>SUMIFS(tblDaily[Deaths],tblDaily[Month],3,tblDaily[WardCode],"NICU")</f>
        <v/>
      </c>
      <c r="G40" s="12">
        <f>SUMIFS(tblDaily[DeathsUnder24Hrs],tblDaily[Month],3,tblDaily[WardCode],"NICU")</f>
        <v/>
      </c>
      <c r="H40" s="12">
        <f>SUMIFS(tblDaily[Remaining],tblDaily[Month],3,tblDaily[WardCode],"NICU")</f>
        <v/>
      </c>
      <c r="I40" s="12">
        <f>SUMIFS(tblDaily[TransfersIn],tblDaily[Month],3,tblDaily[WardCode],"NICU")</f>
        <v/>
      </c>
      <c r="J40" s="12">
        <f>SUMIFS(tblDaily[TransfersOut],tblDaily[Month],3,tblDaily[WardCode],"NICU")</f>
        <v/>
      </c>
      <c r="K40" s="27">
        <f>IFERROR(H40/31,0)</f>
        <v/>
      </c>
      <c r="L40" s="27">
        <f>IFERROR(H40/(E40+F40),0)</f>
        <v/>
      </c>
      <c r="M40" s="27">
        <f>IFERROR((C40*31-H40)/(E40+F40),0)</f>
        <v/>
      </c>
      <c r="N40" s="27">
        <f>IFERROR((E40+F40)/C40,0)</f>
        <v/>
      </c>
      <c r="O40" s="27">
        <f>IFERROR((H40/(C40*31))*100,0)</f>
        <v/>
      </c>
      <c r="P40" s="27">
        <f>IFERROR((F40/(D40+B40))*100,0)</f>
        <v/>
      </c>
    </row>
    <row r="41">
      <c r="A41" s="26" t="inlineStr">
        <is>
          <t>Male Emergency</t>
        </is>
      </c>
      <c r="B41" s="12">
        <f>IFERROR(SUMIFS(tblDaily[Remaining],tblDaily[EntryDate],DATE(2026,2,28),tblDaily[WardCode],"MAE"),0)</f>
        <v/>
      </c>
      <c r="C41" s="12">
        <f>IFERROR(INDEX(tblWardConfig[BedComplement],MATCH("MAE",tblWardConfig[WardCode],0)),0)</f>
        <v/>
      </c>
      <c r="D41" s="12">
        <f>SUMIFS(tblDaily[Admissions],tblDaily[Month],3,tblDaily[WardCode],"MAE") - SUMIFS(tblDaily[DeathsUnder24Hrs],tblDaily[Month],3,tblDaily[WardCode],"MAE")</f>
        <v/>
      </c>
      <c r="E41" s="12">
        <f>SUMIFS(tblDaily[Discharges],tblDaily[Month],3,tblDaily[WardCode],"MAE")</f>
        <v/>
      </c>
      <c r="F41" s="12">
        <f>SUMIFS(tblDaily[Deaths],tblDaily[Month],3,tblDaily[WardCode],"MAE")</f>
        <v/>
      </c>
      <c r="G41" s="12">
        <f>SUMIFS(tblDaily[DeathsUnder24Hrs],tblDaily[Month],3,tblDaily[WardCode],"MAE")</f>
        <v/>
      </c>
      <c r="H41" s="12">
        <f>SUMIFS(tblDaily[Remaining],tblDaily[Month],3,tblDaily[WardCode],"MAE")</f>
        <v/>
      </c>
      <c r="I41" s="12">
        <f>SUMIFS(tblDaily[TransfersIn],tblDaily[Month],3,tblDaily[WardCode],"MAE")</f>
        <v/>
      </c>
      <c r="J41" s="12">
        <f>SUMIFS(tblDaily[TransfersOut],tblDaily[Month],3,tblDaily[WardCode],"MAE")</f>
        <v/>
      </c>
      <c r="K41" s="27">
        <f>IFERROR(H41/31,0)</f>
        <v/>
      </c>
      <c r="L41" s="27">
        <f>IFERROR(H41/(E41+F41),0)</f>
        <v/>
      </c>
      <c r="M41" s="27">
        <f>IFERROR((C41*31-H41)/(E41+F41),0)</f>
        <v/>
      </c>
      <c r="N41" s="27">
        <f>IFERROR((E41+F41)/C41,0)</f>
        <v/>
      </c>
      <c r="O41" s="27">
        <f>IFERROR((H41/(C41*31))*100,0)</f>
        <v/>
      </c>
      <c r="P41" s="27">
        <f>IFERROR((F41/(D41+B41))*100,0)</f>
        <v/>
      </c>
    </row>
    <row r="42">
      <c r="A42" s="26" t="inlineStr">
        <is>
          <t>Female Emergency</t>
        </is>
      </c>
      <c r="B42" s="12">
        <f>IFERROR(SUMIFS(tblDaily[Remaining],tblDaily[EntryDate],DATE(2026,2,28),tblDaily[WardCode],"FAE"),0)</f>
        <v/>
      </c>
      <c r="C42" s="12">
        <f>IFERROR(INDEX(tblWardConfig[BedComplement],MATCH("FAE",tblWardConfig[WardCode],0)),0)</f>
        <v/>
      </c>
      <c r="D42" s="12">
        <f>SUMIFS(tblDaily[Admissions],tblDaily[Month],3,tblDaily[WardCode],"FAE") - SUMIFS(tblDaily[DeathsUnder24Hrs],tblDaily[Month],3,tblDaily[WardCode],"FAE")</f>
        <v/>
      </c>
      <c r="E42" s="12">
        <f>SUMIFS(tblDaily[Discharges],tblDaily[Month],3,tblDaily[WardCode],"FAE")</f>
        <v/>
      </c>
      <c r="F42" s="12">
        <f>SUMIFS(tblDaily[Deaths],tblDaily[Month],3,tblDaily[WardCode],"FAE")</f>
        <v/>
      </c>
      <c r="G42" s="12">
        <f>SUMIFS(tblDaily[DeathsUnder24Hrs],tblDaily[Month],3,tblDaily[WardCode],"FAE")</f>
        <v/>
      </c>
      <c r="H42" s="12">
        <f>SUMIFS(tblDaily[Remaining],tblDaily[Month],3,tblDaily[WardCode],"FAE")</f>
        <v/>
      </c>
      <c r="I42" s="12">
        <f>SUMIFS(tblDaily[TransfersIn],tblDaily[Month],3,tblDaily[WardCode],"FAE")</f>
        <v/>
      </c>
      <c r="J42" s="12">
        <f>SUMIFS(tblDaily[TransfersOut],tblDaily[Month],3,tblDaily[WardCode],"FAE")</f>
        <v/>
      </c>
      <c r="K42" s="27">
        <f>IFERROR(H42/31,0)</f>
        <v/>
      </c>
      <c r="L42" s="27">
        <f>IFERROR(H42/(E42+F42),0)</f>
        <v/>
      </c>
      <c r="M42" s="27">
        <f>IFERROR((C42*31-H42)/(E42+F42),0)</f>
        <v/>
      </c>
      <c r="N42" s="27">
        <f>IFERROR((E42+F42)/C42,0)</f>
        <v/>
      </c>
      <c r="O42" s="27">
        <f>IFERROR((H42/(C42*31))*100,0)</f>
        <v/>
      </c>
      <c r="P42" s="27">
        <f>IFERROR((F42/(D42+B42))*100,0)</f>
        <v/>
      </c>
    </row>
    <row r="43">
      <c r="A43" s="17" t="inlineStr">
        <is>
          <t>TOTAL</t>
        </is>
      </c>
      <c r="B43" s="17">
        <f>SUM(B34:B42)</f>
        <v/>
      </c>
      <c r="C43" s="17">
        <f>SUM(C34:C42)</f>
        <v/>
      </c>
      <c r="D43" s="17">
        <f>SUM(D34:D42)</f>
        <v/>
      </c>
      <c r="E43" s="17">
        <f>SUM(E34:E42)</f>
        <v/>
      </c>
      <c r="F43" s="17">
        <f>SUM(F34:F42)</f>
        <v/>
      </c>
      <c r="G43" s="17">
        <f>SUM(G34:G42)</f>
        <v/>
      </c>
      <c r="H43" s="17">
        <f>SUM(H34:H42)</f>
        <v/>
      </c>
      <c r="I43" s="17">
        <f>SUM(I34:I42)</f>
        <v/>
      </c>
      <c r="J43" s="17">
        <f>SUM(J34:J42)</f>
        <v/>
      </c>
      <c r="K43" s="28">
        <f>IFERROR(H43/31,0)</f>
        <v/>
      </c>
      <c r="L43" s="28">
        <f>IFERROR(H43/(E43+F43),0)</f>
        <v/>
      </c>
      <c r="M43" s="28">
        <f>IFERROR((C43*31-H43)/(E43+F43),0)</f>
        <v/>
      </c>
      <c r="N43" s="28">
        <f>IFERROR((E43+F43)/C43,0)</f>
        <v/>
      </c>
      <c r="O43" s="28">
        <f>IFERROR((H43/(C43*31))*100,0)</f>
        <v/>
      </c>
      <c r="P43" s="28">
        <f>IFERROR((F43/(D43+B43))*100,0)</f>
        <v/>
      </c>
    </row>
    <row r="44">
      <c r="A44" s="29" t="inlineStr">
        <is>
          <t>Emergency</t>
        </is>
      </c>
      <c r="B44" s="29">
        <f>B41+B42</f>
        <v/>
      </c>
      <c r="C44" s="29">
        <f>C41+C42</f>
        <v/>
      </c>
      <c r="D44" s="29">
        <f>D41+D42</f>
        <v/>
      </c>
      <c r="E44" s="29">
        <f>E41+E42</f>
        <v/>
      </c>
      <c r="F44" s="29">
        <f>F41+F42</f>
        <v/>
      </c>
      <c r="G44" s="29">
        <f>G41+G42</f>
        <v/>
      </c>
      <c r="H44" s="29">
        <f>H41+H42</f>
        <v/>
      </c>
      <c r="I44" s="29">
        <f>I41+I42</f>
        <v/>
      </c>
      <c r="J44" s="29">
        <f>J41+J42</f>
        <v/>
      </c>
      <c r="K44" s="30">
        <f>IFERROR(H44/31,0)</f>
        <v/>
      </c>
      <c r="L44" s="30">
        <f>IFERROR(H44/(E44+F44),0)</f>
        <v/>
      </c>
      <c r="M44" s="30">
        <f>IFERROR((C44*31-H44)/(E44+F44),0)</f>
        <v/>
      </c>
      <c r="N44" s="30">
        <f>IFERROR((E44+F44)/C44,0)</f>
        <v/>
      </c>
      <c r="O44" s="30">
        <f>IFERROR((H44/(C44*31))*100,0)</f>
        <v/>
      </c>
      <c r="P44" s="30">
        <f>IFERROR((F44/(D44+B44))*100,0)</f>
        <v/>
      </c>
    </row>
    <row r="46">
      <c r="A46" s="1" t="inlineStr">
        <is>
          <t>GHANA HEALTH SERVICE</t>
        </is>
      </c>
    </row>
    <row r="47">
      <c r="A47" s="2" t="inlineStr">
        <is>
          <t>MONTHLY BED UTILIZATION FORM - APRIL, 2026</t>
        </is>
      </c>
    </row>
    <row r="48">
      <c r="A48" s="16" t="inlineStr">
        <is>
          <t>WARD</t>
        </is>
      </c>
      <c r="B48" s="16" t="inlineStr">
        <is>
          <t>Patients on bed
at the beginning
of the month</t>
        </is>
      </c>
      <c r="C48" s="16" t="inlineStr">
        <is>
          <t>Bed Complement</t>
        </is>
      </c>
      <c r="D48" s="16" t="inlineStr">
        <is>
          <t>Admissions</t>
        </is>
      </c>
      <c r="E48" s="16" t="inlineStr">
        <is>
          <t>Discharges</t>
        </is>
      </c>
      <c r="F48" s="16" t="inlineStr">
        <is>
          <t>Deaths</t>
        </is>
      </c>
      <c r="G48" s="16" t="inlineStr">
        <is>
          <t>Deaths
&lt;24Hrs</t>
        </is>
      </c>
      <c r="H48" s="16" t="inlineStr">
        <is>
          <t>Patient
Days</t>
        </is>
      </c>
      <c r="I48" s="16" t="inlineStr">
        <is>
          <t>Transfer In</t>
        </is>
      </c>
      <c r="J48" s="16" t="inlineStr">
        <is>
          <t>Transfer
Out</t>
        </is>
      </c>
      <c r="K48" s="16" t="inlineStr">
        <is>
          <t>Average
Daily Bed
Occupancy</t>
        </is>
      </c>
      <c r="L48" s="16" t="inlineStr">
        <is>
          <t>Average
Length
of Stay</t>
        </is>
      </c>
      <c r="M48" s="16" t="inlineStr">
        <is>
          <t>Bed
Turnover
Interval</t>
        </is>
      </c>
      <c r="N48" s="16" t="inlineStr">
        <is>
          <t>Bed
Turnover
Rate</t>
        </is>
      </c>
      <c r="O48" s="16" t="inlineStr">
        <is>
          <t>Percentage
of
Occupancy</t>
        </is>
      </c>
      <c r="P48" s="16" t="inlineStr">
        <is>
          <t>Death
Rate</t>
        </is>
      </c>
    </row>
    <row r="49">
      <c r="A49" s="26" t="inlineStr">
        <is>
          <t>Male Medical</t>
        </is>
      </c>
      <c r="B49" s="12">
        <f>IFERROR(SUMIFS(tblDaily[Remaining],tblDaily[EntryDate],DATE(2026,3,31),tblDaily[WardCode],"MW"),0)</f>
        <v/>
      </c>
      <c r="C49" s="12">
        <f>IFERROR(INDEX(tblWardConfig[BedComplement],MATCH("MW",tblWardConfig[WardCode],0)),0)</f>
        <v/>
      </c>
      <c r="D49" s="12">
        <f>SUMIFS(tblDaily[Admissions],tblDaily[Month],4,tblDaily[WardCode],"MW") - SUMIFS(tblDaily[DeathsUnder24Hrs],tblDaily[Month],4,tblDaily[WardCode],"MW")</f>
        <v/>
      </c>
      <c r="E49" s="12">
        <f>SUMIFS(tblDaily[Discharges],tblDaily[Month],4,tblDaily[WardCode],"MW")</f>
        <v/>
      </c>
      <c r="F49" s="12">
        <f>SUMIFS(tblDaily[Deaths],tblDaily[Month],4,tblDaily[WardCode],"MW")</f>
        <v/>
      </c>
      <c r="G49" s="12">
        <f>SUMIFS(tblDaily[DeathsUnder24Hrs],tblDaily[Month],4,tblDaily[WardCode],"MW")</f>
        <v/>
      </c>
      <c r="H49" s="12">
        <f>SUMIFS(tblDaily[Remaining],tblDaily[Month],4,tblDaily[WardCode],"MW")</f>
        <v/>
      </c>
      <c r="I49" s="12">
        <f>SUMIFS(tblDaily[TransfersIn],tblDaily[Month],4,tblDaily[WardCode],"MW")</f>
        <v/>
      </c>
      <c r="J49" s="12">
        <f>SUMIFS(tblDaily[TransfersOut],tblDaily[Month],4,tblDaily[WardCode],"MW")</f>
        <v/>
      </c>
      <c r="K49" s="27">
        <f>IFERROR(H49/30,0)</f>
        <v/>
      </c>
      <c r="L49" s="27">
        <f>IFERROR(H49/(E49+F49),0)</f>
        <v/>
      </c>
      <c r="M49" s="27">
        <f>IFERROR((C49*30-H49)/(E49+F49),0)</f>
        <v/>
      </c>
      <c r="N49" s="27">
        <f>IFERROR((E49+F49)/C49,0)</f>
        <v/>
      </c>
      <c r="O49" s="27">
        <f>IFERROR((H49/(C49*30))*100,0)</f>
        <v/>
      </c>
      <c r="P49" s="27">
        <f>IFERROR((F49/(D49+B49))*100,0)</f>
        <v/>
      </c>
    </row>
    <row r="50">
      <c r="A50" s="26" t="inlineStr">
        <is>
          <t>Female Medical</t>
        </is>
      </c>
      <c r="B50" s="12">
        <f>IFERROR(SUMIFS(tblDaily[Remaining],tblDaily[EntryDate],DATE(2026,3,31),tblDaily[WardCode],"FW"),0)</f>
        <v/>
      </c>
      <c r="C50" s="12">
        <f>IFERROR(INDEX(tblWardConfig[BedComplement],MATCH("FW",tblWardConfig[WardCode],0)),0)</f>
        <v/>
      </c>
      <c r="D50" s="12">
        <f>SUMIFS(tblDaily[Admissions],tblDaily[Month],4,tblDaily[WardCode],"FW") - SUMIFS(tblDaily[DeathsUnder24Hrs],tblDaily[Month],4,tblDaily[WardCode],"FW")</f>
        <v/>
      </c>
      <c r="E50" s="12">
        <f>SUMIFS(tblDaily[Discharges],tblDaily[Month],4,tblDaily[WardCode],"FW")</f>
        <v/>
      </c>
      <c r="F50" s="12">
        <f>SUMIFS(tblDaily[Deaths],tblDaily[Month],4,tblDaily[WardCode],"FW")</f>
        <v/>
      </c>
      <c r="G50" s="12">
        <f>SUMIFS(tblDaily[DeathsUnder24Hrs],tblDaily[Month],4,tblDaily[WardCode],"FW")</f>
        <v/>
      </c>
      <c r="H50" s="12">
        <f>SUMIFS(tblDaily[Remaining],tblDaily[Month],4,tblDaily[WardCode],"FW")</f>
        <v/>
      </c>
      <c r="I50" s="12">
        <f>SUMIFS(tblDaily[TransfersIn],tblDaily[Month],4,tblDaily[WardCode],"FW")</f>
        <v/>
      </c>
      <c r="J50" s="12">
        <f>SUMIFS(tblDaily[TransfersOut],tblDaily[Month],4,tblDaily[WardCode],"FW")</f>
        <v/>
      </c>
      <c r="K50" s="27">
        <f>IFERROR(H50/30,0)</f>
        <v/>
      </c>
      <c r="L50" s="27">
        <f>IFERROR(H50/(E50+F50),0)</f>
        <v/>
      </c>
      <c r="M50" s="27">
        <f>IFERROR((C50*30-H50)/(E50+F50),0)</f>
        <v/>
      </c>
      <c r="N50" s="27">
        <f>IFERROR((E50+F50)/C50,0)</f>
        <v/>
      </c>
      <c r="O50" s="27">
        <f>IFERROR((H50/(C50*30))*100,0)</f>
        <v/>
      </c>
      <c r="P50" s="27">
        <f>IFERROR((F50/(D50+B50))*100,0)</f>
        <v/>
      </c>
    </row>
    <row r="51">
      <c r="A51" s="26" t="inlineStr">
        <is>
          <t>Paediatric</t>
        </is>
      </c>
      <c r="B51" s="12">
        <f>IFERROR(SUMIFS(tblDaily[Remaining],tblDaily[EntryDate],DATE(2026,3,31),tblDaily[WardCode],"CW"),0)</f>
        <v/>
      </c>
      <c r="C51" s="12">
        <f>IFERROR(INDEX(tblWardConfig[BedComplement],MATCH("CW",tblWardConfig[WardCode],0)),0)</f>
        <v/>
      </c>
      <c r="D51" s="12">
        <f>SUMIFS(tblDaily[Admissions],tblDaily[Month],4,tblDaily[WardCode],"CW") - SUMIFS(tblDaily[DeathsUnder24Hrs],tblDaily[Month],4,tblDaily[WardCode],"CW")</f>
        <v/>
      </c>
      <c r="E51" s="12">
        <f>SUMIFS(tblDaily[Discharges],tblDaily[Month],4,tblDaily[WardCode],"CW")</f>
        <v/>
      </c>
      <c r="F51" s="12">
        <f>SUMIFS(tblDaily[Deaths],tblDaily[Month],4,tblDaily[WardCode],"CW")</f>
        <v/>
      </c>
      <c r="G51" s="12">
        <f>SUMIFS(tblDaily[DeathsUnder24Hrs],tblDaily[Month],4,tblDaily[WardCode],"CW")</f>
        <v/>
      </c>
      <c r="H51" s="12">
        <f>SUMIFS(tblDaily[Remaining],tblDaily[Month],4,tblDaily[WardCode],"CW")</f>
        <v/>
      </c>
      <c r="I51" s="12">
        <f>SUMIFS(tblDaily[TransfersIn],tblDaily[Month],4,tblDaily[WardCode],"CW")</f>
        <v/>
      </c>
      <c r="J51" s="12">
        <f>SUMIFS(tblDaily[TransfersOut],tblDaily[Month],4,tblDaily[WardCode],"CW")</f>
        <v/>
      </c>
      <c r="K51" s="27">
        <f>IFERROR(H51/30,0)</f>
        <v/>
      </c>
      <c r="L51" s="27">
        <f>IFERROR(H51/(E51+F51),0)</f>
        <v/>
      </c>
      <c r="M51" s="27">
        <f>IFERROR((C51*30-H51)/(E51+F51),0)</f>
        <v/>
      </c>
      <c r="N51" s="27">
        <f>IFERROR((E51+F51)/C51,0)</f>
        <v/>
      </c>
      <c r="O51" s="27">
        <f>IFERROR((H51/(C51*30))*100,0)</f>
        <v/>
      </c>
      <c r="P51" s="27">
        <f>IFERROR((F51/(D51+B51))*100,0)</f>
        <v/>
      </c>
    </row>
    <row r="52">
      <c r="A52" s="26" t="inlineStr">
        <is>
          <t>Block F</t>
        </is>
      </c>
      <c r="B52" s="12">
        <f>IFERROR(SUMIFS(tblDaily[Remaining],tblDaily[EntryDate],DATE(2026,3,31),tblDaily[WardCode],"BF"),0)</f>
        <v/>
      </c>
      <c r="C52" s="12">
        <f>IFERROR(INDEX(tblWardConfig[BedComplement],MATCH("BF",tblWardConfig[WardCode],0)),0)</f>
        <v/>
      </c>
      <c r="D52" s="12">
        <f>SUMIFS(tblDaily[Admissions],tblDaily[Month],4,tblDaily[WardCode],"BF") - SUMIFS(tblDaily[DeathsUnder24Hrs],tblDaily[Month],4,tblDaily[WardCode],"BF")</f>
        <v/>
      </c>
      <c r="E52" s="12">
        <f>SUMIFS(tblDaily[Discharges],tblDaily[Month],4,tblDaily[WardCode],"BF")</f>
        <v/>
      </c>
      <c r="F52" s="12">
        <f>SUMIFS(tblDaily[Deaths],tblDaily[Month],4,tblDaily[WardCode],"BF")</f>
        <v/>
      </c>
      <c r="G52" s="12">
        <f>SUMIFS(tblDaily[DeathsUnder24Hrs],tblDaily[Month],4,tblDaily[WardCode],"BF")</f>
        <v/>
      </c>
      <c r="H52" s="12">
        <f>SUMIFS(tblDaily[Remaining],tblDaily[Month],4,tblDaily[WardCode],"BF")</f>
        <v/>
      </c>
      <c r="I52" s="12">
        <f>SUMIFS(tblDaily[TransfersIn],tblDaily[Month],4,tblDaily[WardCode],"BF")</f>
        <v/>
      </c>
      <c r="J52" s="12">
        <f>SUMIFS(tblDaily[TransfersOut],tblDaily[Month],4,tblDaily[WardCode],"BF")</f>
        <v/>
      </c>
      <c r="K52" s="27">
        <f>IFERROR(H52/30,0)</f>
        <v/>
      </c>
      <c r="L52" s="27">
        <f>IFERROR(H52/(E52+F52),0)</f>
        <v/>
      </c>
      <c r="M52" s="27">
        <f>IFERROR((C52*30-H52)/(E52+F52),0)</f>
        <v/>
      </c>
      <c r="N52" s="27">
        <f>IFERROR((E52+F52)/C52,0)</f>
        <v/>
      </c>
      <c r="O52" s="27">
        <f>IFERROR((H52/(C52*30))*100,0)</f>
        <v/>
      </c>
      <c r="P52" s="27">
        <f>IFERROR((F52/(D52+B52))*100,0)</f>
        <v/>
      </c>
    </row>
    <row r="53">
      <c r="A53" s="26" t="inlineStr">
        <is>
          <t>Block G</t>
        </is>
      </c>
      <c r="B53" s="12">
        <f>IFERROR(SUMIFS(tblDaily[Remaining],tblDaily[EntryDate],DATE(2026,3,31),tblDaily[WardCode],"BG"),0)</f>
        <v/>
      </c>
      <c r="C53" s="12">
        <f>IFERROR(INDEX(tblWardConfig[BedComplement],MATCH("BG",tblWardConfig[WardCode],0)),0)</f>
        <v/>
      </c>
      <c r="D53" s="12">
        <f>SUMIFS(tblDaily[Admissions],tblDaily[Month],4,tblDaily[WardCode],"BG") - SUMIFS(tblDaily[DeathsUnder24Hrs],tblDaily[Month],4,tblDaily[WardCode],"BG")</f>
        <v/>
      </c>
      <c r="E53" s="12">
        <f>SUMIFS(tblDaily[Discharges],tblDaily[Month],4,tblDaily[WardCode],"BG")</f>
        <v/>
      </c>
      <c r="F53" s="12">
        <f>SUMIFS(tblDaily[Deaths],tblDaily[Month],4,tblDaily[WardCode],"BG")</f>
        <v/>
      </c>
      <c r="G53" s="12">
        <f>SUMIFS(tblDaily[DeathsUnder24Hrs],tblDaily[Month],4,tblDaily[WardCode],"BG")</f>
        <v/>
      </c>
      <c r="H53" s="12">
        <f>SUMIFS(tblDaily[Remaining],tblDaily[Month],4,tblDaily[WardCode],"BG")</f>
        <v/>
      </c>
      <c r="I53" s="12">
        <f>SUMIFS(tblDaily[TransfersIn],tblDaily[Month],4,tblDaily[WardCode],"BG")</f>
        <v/>
      </c>
      <c r="J53" s="12">
        <f>SUMIFS(tblDaily[TransfersOut],tblDaily[Month],4,tblDaily[WardCode],"BG")</f>
        <v/>
      </c>
      <c r="K53" s="27">
        <f>IFERROR(H53/30,0)</f>
        <v/>
      </c>
      <c r="L53" s="27">
        <f>IFERROR(H53/(E53+F53),0)</f>
        <v/>
      </c>
      <c r="M53" s="27">
        <f>IFERROR((C53*30-H53)/(E53+F53),0)</f>
        <v/>
      </c>
      <c r="N53" s="27">
        <f>IFERROR((E53+F53)/C53,0)</f>
        <v/>
      </c>
      <c r="O53" s="27">
        <f>IFERROR((H53/(C53*30))*100,0)</f>
        <v/>
      </c>
      <c r="P53" s="27">
        <f>IFERROR((F53/(D53+B53))*100,0)</f>
        <v/>
      </c>
    </row>
    <row r="54">
      <c r="A54" s="26" t="inlineStr">
        <is>
          <t>Block H</t>
        </is>
      </c>
      <c r="B54" s="12">
        <f>IFERROR(SUMIFS(tblDaily[Remaining],tblDaily[EntryDate],DATE(2026,3,31),tblDaily[WardCode],"BH"),0)</f>
        <v/>
      </c>
      <c r="C54" s="12">
        <f>IFERROR(INDEX(tblWardConfig[BedComplement],MATCH("BH",tblWardConfig[WardCode],0)),0)</f>
        <v/>
      </c>
      <c r="D54" s="12">
        <f>SUMIFS(tblDaily[Admissions],tblDaily[Month],4,tblDaily[WardCode],"BH") - SUMIFS(tblDaily[DeathsUnder24Hrs],tblDaily[Month],4,tblDaily[WardCode],"BH")</f>
        <v/>
      </c>
      <c r="E54" s="12">
        <f>SUMIFS(tblDaily[Discharges],tblDaily[Month],4,tblDaily[WardCode],"BH")</f>
        <v/>
      </c>
      <c r="F54" s="12">
        <f>SUMIFS(tblDaily[Deaths],tblDaily[Month],4,tblDaily[WardCode],"BH")</f>
        <v/>
      </c>
      <c r="G54" s="12">
        <f>SUMIFS(tblDaily[DeathsUnder24Hrs],tblDaily[Month],4,tblDaily[WardCode],"BH")</f>
        <v/>
      </c>
      <c r="H54" s="12">
        <f>SUMIFS(tblDaily[Remaining],tblDaily[Month],4,tblDaily[WardCode],"BH")</f>
        <v/>
      </c>
      <c r="I54" s="12">
        <f>SUMIFS(tblDaily[TransfersIn],tblDaily[Month],4,tblDaily[WardCode],"BH")</f>
        <v/>
      </c>
      <c r="J54" s="12">
        <f>SUMIFS(tblDaily[TransfersOut],tblDaily[Month],4,tblDaily[WardCode],"BH")</f>
        <v/>
      </c>
      <c r="K54" s="27">
        <f>IFERROR(H54/30,0)</f>
        <v/>
      </c>
      <c r="L54" s="27">
        <f>IFERROR(H54/(E54+F54),0)</f>
        <v/>
      </c>
      <c r="M54" s="27">
        <f>IFERROR((C54*30-H54)/(E54+F54),0)</f>
        <v/>
      </c>
      <c r="N54" s="27">
        <f>IFERROR((E54+F54)/C54,0)</f>
        <v/>
      </c>
      <c r="O54" s="27">
        <f>IFERROR((H54/(C54*30))*100,0)</f>
        <v/>
      </c>
      <c r="P54" s="27">
        <f>IFERROR((F54/(D54+B54))*100,0)</f>
        <v/>
      </c>
    </row>
    <row r="55">
      <c r="A55" s="26" t="inlineStr">
        <is>
          <t>Neonatal</t>
        </is>
      </c>
      <c r="B55" s="12">
        <f>IFERROR(SUMIFS(tblDaily[Remaining],tblDaily[EntryDate],DATE(2026,3,31),tblDaily[WardCode],"NICU"),0)</f>
        <v/>
      </c>
      <c r="C55" s="12">
        <f>IFERROR(INDEX(tblWardConfig[BedComplement],MATCH("NICU",tblWardConfig[WardCode],0)),0)</f>
        <v/>
      </c>
      <c r="D55" s="12">
        <f>SUMIFS(tblDaily[Admissions],tblDaily[Month],4,tblDaily[WardCode],"NICU") - SUMIFS(tblDaily[DeathsUnder24Hrs],tblDaily[Month],4,tblDaily[WardCode],"NICU")</f>
        <v/>
      </c>
      <c r="E55" s="12">
        <f>SUMIFS(tblDaily[Discharges],tblDaily[Month],4,tblDaily[WardCode],"NICU")</f>
        <v/>
      </c>
      <c r="F55" s="12">
        <f>SUMIFS(tblDaily[Deaths],tblDaily[Month],4,tblDaily[WardCode],"NICU")</f>
        <v/>
      </c>
      <c r="G55" s="12">
        <f>SUMIFS(tblDaily[DeathsUnder24Hrs],tblDaily[Month],4,tblDaily[WardCode],"NICU")</f>
        <v/>
      </c>
      <c r="H55" s="12">
        <f>SUMIFS(tblDaily[Remaining],tblDaily[Month],4,tblDaily[WardCode],"NICU")</f>
        <v/>
      </c>
      <c r="I55" s="12">
        <f>SUMIFS(tblDaily[TransfersIn],tblDaily[Month],4,tblDaily[WardCode],"NICU")</f>
        <v/>
      </c>
      <c r="J55" s="12">
        <f>SUMIFS(tblDaily[TransfersOut],tblDaily[Month],4,tblDaily[WardCode],"NICU")</f>
        <v/>
      </c>
      <c r="K55" s="27">
        <f>IFERROR(H55/30,0)</f>
        <v/>
      </c>
      <c r="L55" s="27">
        <f>IFERROR(H55/(E55+F55),0)</f>
        <v/>
      </c>
      <c r="M55" s="27">
        <f>IFERROR((C55*30-H55)/(E55+F55),0)</f>
        <v/>
      </c>
      <c r="N55" s="27">
        <f>IFERROR((E55+F55)/C55,0)</f>
        <v/>
      </c>
      <c r="O55" s="27">
        <f>IFERROR((H55/(C55*30))*100,0)</f>
        <v/>
      </c>
      <c r="P55" s="27">
        <f>IFERROR((F55/(D55+B55))*100,0)</f>
        <v/>
      </c>
    </row>
    <row r="56">
      <c r="A56" s="26" t="inlineStr">
        <is>
          <t>Male Emergency</t>
        </is>
      </c>
      <c r="B56" s="12">
        <f>IFERROR(SUMIFS(tblDaily[Remaining],tblDaily[EntryDate],DATE(2026,3,31),tblDaily[WardCode],"MAE"),0)</f>
        <v/>
      </c>
      <c r="C56" s="12">
        <f>IFERROR(INDEX(tblWardConfig[BedComplement],MATCH("MAE",tblWardConfig[WardCode],0)),0)</f>
        <v/>
      </c>
      <c r="D56" s="12">
        <f>SUMIFS(tblDaily[Admissions],tblDaily[Month],4,tblDaily[WardCode],"MAE") - SUMIFS(tblDaily[DeathsUnder24Hrs],tblDaily[Month],4,tblDaily[WardCode],"MAE")</f>
        <v/>
      </c>
      <c r="E56" s="12">
        <f>SUMIFS(tblDaily[Discharges],tblDaily[Month],4,tblDaily[WardCode],"MAE")</f>
        <v/>
      </c>
      <c r="F56" s="12">
        <f>SUMIFS(tblDaily[Deaths],tblDaily[Month],4,tblDaily[WardCode],"MAE")</f>
        <v/>
      </c>
      <c r="G56" s="12">
        <f>SUMIFS(tblDaily[DeathsUnder24Hrs],tblDaily[Month],4,tblDaily[WardCode],"MAE")</f>
        <v/>
      </c>
      <c r="H56" s="12">
        <f>SUMIFS(tblDaily[Remaining],tblDaily[Month],4,tblDaily[WardCode],"MAE")</f>
        <v/>
      </c>
      <c r="I56" s="12">
        <f>SUMIFS(tblDaily[TransfersIn],tblDaily[Month],4,tblDaily[WardCode],"MAE")</f>
        <v/>
      </c>
      <c r="J56" s="12">
        <f>SUMIFS(tblDaily[TransfersOut],tblDaily[Month],4,tblDaily[WardCode],"MAE")</f>
        <v/>
      </c>
      <c r="K56" s="27">
        <f>IFERROR(H56/30,0)</f>
        <v/>
      </c>
      <c r="L56" s="27">
        <f>IFERROR(H56/(E56+F56),0)</f>
        <v/>
      </c>
      <c r="M56" s="27">
        <f>IFERROR((C56*30-H56)/(E56+F56),0)</f>
        <v/>
      </c>
      <c r="N56" s="27">
        <f>IFERROR((E56+F56)/C56,0)</f>
        <v/>
      </c>
      <c r="O56" s="27">
        <f>IFERROR((H56/(C56*30))*100,0)</f>
        <v/>
      </c>
      <c r="P56" s="27">
        <f>IFERROR((F56/(D56+B56))*100,0)</f>
        <v/>
      </c>
    </row>
    <row r="57">
      <c r="A57" s="26" t="inlineStr">
        <is>
          <t>Female Emergency</t>
        </is>
      </c>
      <c r="B57" s="12">
        <f>IFERROR(SUMIFS(tblDaily[Remaining],tblDaily[EntryDate],DATE(2026,3,31),tblDaily[WardCode],"FAE"),0)</f>
        <v/>
      </c>
      <c r="C57" s="12">
        <f>IFERROR(INDEX(tblWardConfig[BedComplement],MATCH("FAE",tblWardConfig[WardCode],0)),0)</f>
        <v/>
      </c>
      <c r="D57" s="12">
        <f>SUMIFS(tblDaily[Admissions],tblDaily[Month],4,tblDaily[WardCode],"FAE") - SUMIFS(tblDaily[DeathsUnder24Hrs],tblDaily[Month],4,tblDaily[WardCode],"FAE")</f>
        <v/>
      </c>
      <c r="E57" s="12">
        <f>SUMIFS(tblDaily[Discharges],tblDaily[Month],4,tblDaily[WardCode],"FAE")</f>
        <v/>
      </c>
      <c r="F57" s="12">
        <f>SUMIFS(tblDaily[Deaths],tblDaily[Month],4,tblDaily[WardCode],"FAE")</f>
        <v/>
      </c>
      <c r="G57" s="12">
        <f>SUMIFS(tblDaily[DeathsUnder24Hrs],tblDaily[Month],4,tblDaily[WardCode],"FAE")</f>
        <v/>
      </c>
      <c r="H57" s="12">
        <f>SUMIFS(tblDaily[Remaining],tblDaily[Month],4,tblDaily[WardCode],"FAE")</f>
        <v/>
      </c>
      <c r="I57" s="12">
        <f>SUMIFS(tblDaily[TransfersIn],tblDaily[Month],4,tblDaily[WardCode],"FAE")</f>
        <v/>
      </c>
      <c r="J57" s="12">
        <f>SUMIFS(tblDaily[TransfersOut],tblDaily[Month],4,tblDaily[WardCode],"FAE")</f>
        <v/>
      </c>
      <c r="K57" s="27">
        <f>IFERROR(H57/30,0)</f>
        <v/>
      </c>
      <c r="L57" s="27">
        <f>IFERROR(H57/(E57+F57),0)</f>
        <v/>
      </c>
      <c r="M57" s="27">
        <f>IFERROR((C57*30-H57)/(E57+F57),0)</f>
        <v/>
      </c>
      <c r="N57" s="27">
        <f>IFERROR((E57+F57)/C57,0)</f>
        <v/>
      </c>
      <c r="O57" s="27">
        <f>IFERROR((H57/(C57*30))*100,0)</f>
        <v/>
      </c>
      <c r="P57" s="27">
        <f>IFERROR((F57/(D57+B57))*100,0)</f>
        <v/>
      </c>
    </row>
    <row r="58">
      <c r="A58" s="17" t="inlineStr">
        <is>
          <t>TOTAL</t>
        </is>
      </c>
      <c r="B58" s="17">
        <f>SUM(B49:B57)</f>
        <v/>
      </c>
      <c r="C58" s="17">
        <f>SUM(C49:C57)</f>
        <v/>
      </c>
      <c r="D58" s="17">
        <f>SUM(D49:D57)</f>
        <v/>
      </c>
      <c r="E58" s="17">
        <f>SUM(E49:E57)</f>
        <v/>
      </c>
      <c r="F58" s="17">
        <f>SUM(F49:F57)</f>
        <v/>
      </c>
      <c r="G58" s="17">
        <f>SUM(G49:G57)</f>
        <v/>
      </c>
      <c r="H58" s="17">
        <f>SUM(H49:H57)</f>
        <v/>
      </c>
      <c r="I58" s="17">
        <f>SUM(I49:I57)</f>
        <v/>
      </c>
      <c r="J58" s="17">
        <f>SUM(J49:J57)</f>
        <v/>
      </c>
      <c r="K58" s="28">
        <f>IFERROR(H58/30,0)</f>
        <v/>
      </c>
      <c r="L58" s="28">
        <f>IFERROR(H58/(E58+F58),0)</f>
        <v/>
      </c>
      <c r="M58" s="28">
        <f>IFERROR((C58*30-H58)/(E58+F58),0)</f>
        <v/>
      </c>
      <c r="N58" s="28">
        <f>IFERROR((E58+F58)/C58,0)</f>
        <v/>
      </c>
      <c r="O58" s="28">
        <f>IFERROR((H58/(C58*30))*100,0)</f>
        <v/>
      </c>
      <c r="P58" s="28">
        <f>IFERROR((F58/(D58+B58))*100,0)</f>
        <v/>
      </c>
    </row>
    <row r="59">
      <c r="A59" s="29" t="inlineStr">
        <is>
          <t>Emergency</t>
        </is>
      </c>
      <c r="B59" s="29">
        <f>B56+B57</f>
        <v/>
      </c>
      <c r="C59" s="29">
        <f>C56+C57</f>
        <v/>
      </c>
      <c r="D59" s="29">
        <f>D56+D57</f>
        <v/>
      </c>
      <c r="E59" s="29">
        <f>E56+E57</f>
        <v/>
      </c>
      <c r="F59" s="29">
        <f>F56+F57</f>
        <v/>
      </c>
      <c r="G59" s="29">
        <f>G56+G57</f>
        <v/>
      </c>
      <c r="H59" s="29">
        <f>H56+H57</f>
        <v/>
      </c>
      <c r="I59" s="29">
        <f>I56+I57</f>
        <v/>
      </c>
      <c r="J59" s="29">
        <f>J56+J57</f>
        <v/>
      </c>
      <c r="K59" s="30">
        <f>IFERROR(H59/30,0)</f>
        <v/>
      </c>
      <c r="L59" s="30">
        <f>IFERROR(H59/(E59+F59),0)</f>
        <v/>
      </c>
      <c r="M59" s="30">
        <f>IFERROR((C59*30-H59)/(E59+F59),0)</f>
        <v/>
      </c>
      <c r="N59" s="30">
        <f>IFERROR((E59+F59)/C59,0)</f>
        <v/>
      </c>
      <c r="O59" s="30">
        <f>IFERROR((H59/(C59*30))*100,0)</f>
        <v/>
      </c>
      <c r="P59" s="30">
        <f>IFERROR((F59/(D59+B59))*100,0)</f>
        <v/>
      </c>
    </row>
    <row r="61">
      <c r="A61" s="1" t="inlineStr">
        <is>
          <t>GHANA HEALTH SERVICE</t>
        </is>
      </c>
    </row>
    <row r="62">
      <c r="A62" s="2" t="inlineStr">
        <is>
          <t>MONTHLY BED UTILIZATION FORM - MAY, 2026</t>
        </is>
      </c>
    </row>
    <row r="63">
      <c r="A63" s="16" t="inlineStr">
        <is>
          <t>WARD</t>
        </is>
      </c>
      <c r="B63" s="16" t="inlineStr">
        <is>
          <t>Patients on bed
at the beginning
of the month</t>
        </is>
      </c>
      <c r="C63" s="16" t="inlineStr">
        <is>
          <t>Bed Complement</t>
        </is>
      </c>
      <c r="D63" s="16" t="inlineStr">
        <is>
          <t>Admissions</t>
        </is>
      </c>
      <c r="E63" s="16" t="inlineStr">
        <is>
          <t>Discharges</t>
        </is>
      </c>
      <c r="F63" s="16" t="inlineStr">
        <is>
          <t>Deaths</t>
        </is>
      </c>
      <c r="G63" s="16" t="inlineStr">
        <is>
          <t>Deaths
&lt;24Hrs</t>
        </is>
      </c>
      <c r="H63" s="16" t="inlineStr">
        <is>
          <t>Patient
Days</t>
        </is>
      </c>
      <c r="I63" s="16" t="inlineStr">
        <is>
          <t>Transfer In</t>
        </is>
      </c>
      <c r="J63" s="16" t="inlineStr">
        <is>
          <t>Transfer
Out</t>
        </is>
      </c>
      <c r="K63" s="16" t="inlineStr">
        <is>
          <t>Average
Daily Bed
Occupancy</t>
        </is>
      </c>
      <c r="L63" s="16" t="inlineStr">
        <is>
          <t>Average
Length
of Stay</t>
        </is>
      </c>
      <c r="M63" s="16" t="inlineStr">
        <is>
          <t>Bed
Turnover
Interval</t>
        </is>
      </c>
      <c r="N63" s="16" t="inlineStr">
        <is>
          <t>Bed
Turnover
Rate</t>
        </is>
      </c>
      <c r="O63" s="16" t="inlineStr">
        <is>
          <t>Percentage
of
Occupancy</t>
        </is>
      </c>
      <c r="P63" s="16" t="inlineStr">
        <is>
          <t>Death
Rate</t>
        </is>
      </c>
    </row>
    <row r="64">
      <c r="A64" s="26" t="inlineStr">
        <is>
          <t>Male Medical</t>
        </is>
      </c>
      <c r="B64" s="12">
        <f>IFERROR(SUMIFS(tblDaily[Remaining],tblDaily[EntryDate],DATE(2026,4,30),tblDaily[WardCode],"MW"),0)</f>
        <v/>
      </c>
      <c r="C64" s="12">
        <f>IFERROR(INDEX(tblWardConfig[BedComplement],MATCH("MW",tblWardConfig[WardCode],0)),0)</f>
        <v/>
      </c>
      <c r="D64" s="12">
        <f>SUMIFS(tblDaily[Admissions],tblDaily[Month],5,tblDaily[WardCode],"MW") - SUMIFS(tblDaily[DeathsUnder24Hrs],tblDaily[Month],5,tblDaily[WardCode],"MW")</f>
        <v/>
      </c>
      <c r="E64" s="12">
        <f>SUMIFS(tblDaily[Discharges],tblDaily[Month],5,tblDaily[WardCode],"MW")</f>
        <v/>
      </c>
      <c r="F64" s="12">
        <f>SUMIFS(tblDaily[Deaths],tblDaily[Month],5,tblDaily[WardCode],"MW")</f>
        <v/>
      </c>
      <c r="G64" s="12">
        <f>SUMIFS(tblDaily[DeathsUnder24Hrs],tblDaily[Month],5,tblDaily[WardCode],"MW")</f>
        <v/>
      </c>
      <c r="H64" s="12">
        <f>SUMIFS(tblDaily[Remaining],tblDaily[Month],5,tblDaily[WardCode],"MW")</f>
        <v/>
      </c>
      <c r="I64" s="12">
        <f>SUMIFS(tblDaily[TransfersIn],tblDaily[Month],5,tblDaily[WardCode],"MW")</f>
        <v/>
      </c>
      <c r="J64" s="12">
        <f>SUMIFS(tblDaily[TransfersOut],tblDaily[Month],5,tblDaily[WardCode],"MW")</f>
        <v/>
      </c>
      <c r="K64" s="27">
        <f>IFERROR(H64/31,0)</f>
        <v/>
      </c>
      <c r="L64" s="27">
        <f>IFERROR(H64/(E64+F64),0)</f>
        <v/>
      </c>
      <c r="M64" s="27">
        <f>IFERROR((C64*31-H64)/(E64+F64),0)</f>
        <v/>
      </c>
      <c r="N64" s="27">
        <f>IFERROR((E64+F64)/C64,0)</f>
        <v/>
      </c>
      <c r="O64" s="27">
        <f>IFERROR((H64/(C64*31))*100,0)</f>
        <v/>
      </c>
      <c r="P64" s="27">
        <f>IFERROR((F64/(D64+B64))*100,0)</f>
        <v/>
      </c>
    </row>
    <row r="65">
      <c r="A65" s="26" t="inlineStr">
        <is>
          <t>Female Medical</t>
        </is>
      </c>
      <c r="B65" s="12">
        <f>IFERROR(SUMIFS(tblDaily[Remaining],tblDaily[EntryDate],DATE(2026,4,30),tblDaily[WardCode],"FW"),0)</f>
        <v/>
      </c>
      <c r="C65" s="12">
        <f>IFERROR(INDEX(tblWardConfig[BedComplement],MATCH("FW",tblWardConfig[WardCode],0)),0)</f>
        <v/>
      </c>
      <c r="D65" s="12">
        <f>SUMIFS(tblDaily[Admissions],tblDaily[Month],5,tblDaily[WardCode],"FW") - SUMIFS(tblDaily[DeathsUnder24Hrs],tblDaily[Month],5,tblDaily[WardCode],"FW")</f>
        <v/>
      </c>
      <c r="E65" s="12">
        <f>SUMIFS(tblDaily[Discharges],tblDaily[Month],5,tblDaily[WardCode],"FW")</f>
        <v/>
      </c>
      <c r="F65" s="12">
        <f>SUMIFS(tblDaily[Deaths],tblDaily[Month],5,tblDaily[WardCode],"FW")</f>
        <v/>
      </c>
      <c r="G65" s="12">
        <f>SUMIFS(tblDaily[DeathsUnder24Hrs],tblDaily[Month],5,tblDaily[WardCode],"FW")</f>
        <v/>
      </c>
      <c r="H65" s="12">
        <f>SUMIFS(tblDaily[Remaining],tblDaily[Month],5,tblDaily[WardCode],"FW")</f>
        <v/>
      </c>
      <c r="I65" s="12">
        <f>SUMIFS(tblDaily[TransfersIn],tblDaily[Month],5,tblDaily[WardCode],"FW")</f>
        <v/>
      </c>
      <c r="J65" s="12">
        <f>SUMIFS(tblDaily[TransfersOut],tblDaily[Month],5,tblDaily[WardCode],"FW")</f>
        <v/>
      </c>
      <c r="K65" s="27">
        <f>IFERROR(H65/31,0)</f>
        <v/>
      </c>
      <c r="L65" s="27">
        <f>IFERROR(H65/(E65+F65),0)</f>
        <v/>
      </c>
      <c r="M65" s="27">
        <f>IFERROR((C65*31-H65)/(E65+F65),0)</f>
        <v/>
      </c>
      <c r="N65" s="27">
        <f>IFERROR((E65+F65)/C65,0)</f>
        <v/>
      </c>
      <c r="O65" s="27">
        <f>IFERROR((H65/(C65*31))*100,0)</f>
        <v/>
      </c>
      <c r="P65" s="27">
        <f>IFERROR((F65/(D65+B65))*100,0)</f>
        <v/>
      </c>
    </row>
    <row r="66">
      <c r="A66" s="26" t="inlineStr">
        <is>
          <t>Paediatric</t>
        </is>
      </c>
      <c r="B66" s="12">
        <f>IFERROR(SUMIFS(tblDaily[Remaining],tblDaily[EntryDate],DATE(2026,4,30),tblDaily[WardCode],"CW"),0)</f>
        <v/>
      </c>
      <c r="C66" s="12">
        <f>IFERROR(INDEX(tblWardConfig[BedComplement],MATCH("CW",tblWardConfig[WardCode],0)),0)</f>
        <v/>
      </c>
      <c r="D66" s="12">
        <f>SUMIFS(tblDaily[Admissions],tblDaily[Month],5,tblDaily[WardCode],"CW") - SUMIFS(tblDaily[DeathsUnder24Hrs],tblDaily[Month],5,tblDaily[WardCode],"CW")</f>
        <v/>
      </c>
      <c r="E66" s="12">
        <f>SUMIFS(tblDaily[Discharges],tblDaily[Month],5,tblDaily[WardCode],"CW")</f>
        <v/>
      </c>
      <c r="F66" s="12">
        <f>SUMIFS(tblDaily[Deaths],tblDaily[Month],5,tblDaily[WardCode],"CW")</f>
        <v/>
      </c>
      <c r="G66" s="12">
        <f>SUMIFS(tblDaily[DeathsUnder24Hrs],tblDaily[Month],5,tblDaily[WardCode],"CW")</f>
        <v/>
      </c>
      <c r="H66" s="12">
        <f>SUMIFS(tblDaily[Remaining],tblDaily[Month],5,tblDaily[WardCode],"CW")</f>
        <v/>
      </c>
      <c r="I66" s="12">
        <f>SUMIFS(tblDaily[TransfersIn],tblDaily[Month],5,tblDaily[WardCode],"CW")</f>
        <v/>
      </c>
      <c r="J66" s="12">
        <f>SUMIFS(tblDaily[TransfersOut],tblDaily[Month],5,tblDaily[WardCode],"CW")</f>
        <v/>
      </c>
      <c r="K66" s="27">
        <f>IFERROR(H66/31,0)</f>
        <v/>
      </c>
      <c r="L66" s="27">
        <f>IFERROR(H66/(E66+F66),0)</f>
        <v/>
      </c>
      <c r="M66" s="27">
        <f>IFERROR((C66*31-H66)/(E66+F66),0)</f>
        <v/>
      </c>
      <c r="N66" s="27">
        <f>IFERROR((E66+F66)/C66,0)</f>
        <v/>
      </c>
      <c r="O66" s="27">
        <f>IFERROR((H66/(C66*31))*100,0)</f>
        <v/>
      </c>
      <c r="P66" s="27">
        <f>IFERROR((F66/(D66+B66))*100,0)</f>
        <v/>
      </c>
    </row>
    <row r="67">
      <c r="A67" s="26" t="inlineStr">
        <is>
          <t>Block F</t>
        </is>
      </c>
      <c r="B67" s="12">
        <f>IFERROR(SUMIFS(tblDaily[Remaining],tblDaily[EntryDate],DATE(2026,4,30),tblDaily[WardCode],"BF"),0)</f>
        <v/>
      </c>
      <c r="C67" s="12">
        <f>IFERROR(INDEX(tblWardConfig[BedComplement],MATCH("BF",tblWardConfig[WardCode],0)),0)</f>
        <v/>
      </c>
      <c r="D67" s="12">
        <f>SUMIFS(tblDaily[Admissions],tblDaily[Month],5,tblDaily[WardCode],"BF") - SUMIFS(tblDaily[DeathsUnder24Hrs],tblDaily[Month],5,tblDaily[WardCode],"BF")</f>
        <v/>
      </c>
      <c r="E67" s="12">
        <f>SUMIFS(tblDaily[Discharges],tblDaily[Month],5,tblDaily[WardCode],"BF")</f>
        <v/>
      </c>
      <c r="F67" s="12">
        <f>SUMIFS(tblDaily[Deaths],tblDaily[Month],5,tblDaily[WardCode],"BF")</f>
        <v/>
      </c>
      <c r="G67" s="12">
        <f>SUMIFS(tblDaily[DeathsUnder24Hrs],tblDaily[Month],5,tblDaily[WardCode],"BF")</f>
        <v/>
      </c>
      <c r="H67" s="12">
        <f>SUMIFS(tblDaily[Remaining],tblDaily[Month],5,tblDaily[WardCode],"BF")</f>
        <v/>
      </c>
      <c r="I67" s="12">
        <f>SUMIFS(tblDaily[TransfersIn],tblDaily[Month],5,tblDaily[WardCode],"BF")</f>
        <v/>
      </c>
      <c r="J67" s="12">
        <f>SUMIFS(tblDaily[TransfersOut],tblDaily[Month],5,tblDaily[WardCode],"BF")</f>
        <v/>
      </c>
      <c r="K67" s="27">
        <f>IFERROR(H67/31,0)</f>
        <v/>
      </c>
      <c r="L67" s="27">
        <f>IFERROR(H67/(E67+F67),0)</f>
        <v/>
      </c>
      <c r="M67" s="27">
        <f>IFERROR((C67*31-H67)/(E67+F67),0)</f>
        <v/>
      </c>
      <c r="N67" s="27">
        <f>IFERROR((E67+F67)/C67,0)</f>
        <v/>
      </c>
      <c r="O67" s="27">
        <f>IFERROR((H67/(C67*31))*100,0)</f>
        <v/>
      </c>
      <c r="P67" s="27">
        <f>IFERROR((F67/(D67+B67))*100,0)</f>
        <v/>
      </c>
    </row>
    <row r="68">
      <c r="A68" s="26" t="inlineStr">
        <is>
          <t>Block G</t>
        </is>
      </c>
      <c r="B68" s="12">
        <f>IFERROR(SUMIFS(tblDaily[Remaining],tblDaily[EntryDate],DATE(2026,4,30),tblDaily[WardCode],"BG"),0)</f>
        <v/>
      </c>
      <c r="C68" s="12">
        <f>IFERROR(INDEX(tblWardConfig[BedComplement],MATCH("BG",tblWardConfig[WardCode],0)),0)</f>
        <v/>
      </c>
      <c r="D68" s="12">
        <f>SUMIFS(tblDaily[Admissions],tblDaily[Month],5,tblDaily[WardCode],"BG") - SUMIFS(tblDaily[DeathsUnder24Hrs],tblDaily[Month],5,tblDaily[WardCode],"BG")</f>
        <v/>
      </c>
      <c r="E68" s="12">
        <f>SUMIFS(tblDaily[Discharges],tblDaily[Month],5,tblDaily[WardCode],"BG")</f>
        <v/>
      </c>
      <c r="F68" s="12">
        <f>SUMIFS(tblDaily[Deaths],tblDaily[Month],5,tblDaily[WardCode],"BG")</f>
        <v/>
      </c>
      <c r="G68" s="12">
        <f>SUMIFS(tblDaily[DeathsUnder24Hrs],tblDaily[Month],5,tblDaily[WardCode],"BG")</f>
        <v/>
      </c>
      <c r="H68" s="12">
        <f>SUMIFS(tblDaily[Remaining],tblDaily[Month],5,tblDaily[WardCode],"BG")</f>
        <v/>
      </c>
      <c r="I68" s="12">
        <f>SUMIFS(tblDaily[TransfersIn],tblDaily[Month],5,tblDaily[WardCode],"BG")</f>
        <v/>
      </c>
      <c r="J68" s="12">
        <f>SUMIFS(tblDaily[TransfersOut],tblDaily[Month],5,tblDaily[WardCode],"BG")</f>
        <v/>
      </c>
      <c r="K68" s="27">
        <f>IFERROR(H68/31,0)</f>
        <v/>
      </c>
      <c r="L68" s="27">
        <f>IFERROR(H68/(E68+F68),0)</f>
        <v/>
      </c>
      <c r="M68" s="27">
        <f>IFERROR((C68*31-H68)/(E68+F68),0)</f>
        <v/>
      </c>
      <c r="N68" s="27">
        <f>IFERROR((E68+F68)/C68,0)</f>
        <v/>
      </c>
      <c r="O68" s="27">
        <f>IFERROR((H68/(C68*31))*100,0)</f>
        <v/>
      </c>
      <c r="P68" s="27">
        <f>IFERROR((F68/(D68+B68))*100,0)</f>
        <v/>
      </c>
    </row>
    <row r="69">
      <c r="A69" s="26" t="inlineStr">
        <is>
          <t>Block H</t>
        </is>
      </c>
      <c r="B69" s="12">
        <f>IFERROR(SUMIFS(tblDaily[Remaining],tblDaily[EntryDate],DATE(2026,4,30),tblDaily[WardCode],"BH"),0)</f>
        <v/>
      </c>
      <c r="C69" s="12">
        <f>IFERROR(INDEX(tblWardConfig[BedComplement],MATCH("BH",tblWardConfig[WardCode],0)),0)</f>
        <v/>
      </c>
      <c r="D69" s="12">
        <f>SUMIFS(tblDaily[Admissions],tblDaily[Month],5,tblDaily[WardCode],"BH") - SUMIFS(tblDaily[DeathsUnder24Hrs],tblDaily[Month],5,tblDaily[WardCode],"BH")</f>
        <v/>
      </c>
      <c r="E69" s="12">
        <f>SUMIFS(tblDaily[Discharges],tblDaily[Month],5,tblDaily[WardCode],"BH")</f>
        <v/>
      </c>
      <c r="F69" s="12">
        <f>SUMIFS(tblDaily[Deaths],tblDaily[Month],5,tblDaily[WardCode],"BH")</f>
        <v/>
      </c>
      <c r="G69" s="12">
        <f>SUMIFS(tblDaily[DeathsUnder24Hrs],tblDaily[Month],5,tblDaily[WardCode],"BH")</f>
        <v/>
      </c>
      <c r="H69" s="12">
        <f>SUMIFS(tblDaily[Remaining],tblDaily[Month],5,tblDaily[WardCode],"BH")</f>
        <v/>
      </c>
      <c r="I69" s="12">
        <f>SUMIFS(tblDaily[TransfersIn],tblDaily[Month],5,tblDaily[WardCode],"BH")</f>
        <v/>
      </c>
      <c r="J69" s="12">
        <f>SUMIFS(tblDaily[TransfersOut],tblDaily[Month],5,tblDaily[WardCode],"BH")</f>
        <v/>
      </c>
      <c r="K69" s="27">
        <f>IFERROR(H69/31,0)</f>
        <v/>
      </c>
      <c r="L69" s="27">
        <f>IFERROR(H69/(E69+F69),0)</f>
        <v/>
      </c>
      <c r="M69" s="27">
        <f>IFERROR((C69*31-H69)/(E69+F69),0)</f>
        <v/>
      </c>
      <c r="N69" s="27">
        <f>IFERROR((E69+F69)/C69,0)</f>
        <v/>
      </c>
      <c r="O69" s="27">
        <f>IFERROR((H69/(C69*31))*100,0)</f>
        <v/>
      </c>
      <c r="P69" s="27">
        <f>IFERROR((F69/(D69+B69))*100,0)</f>
        <v/>
      </c>
    </row>
    <row r="70">
      <c r="A70" s="26" t="inlineStr">
        <is>
          <t>Neonatal</t>
        </is>
      </c>
      <c r="B70" s="12">
        <f>IFERROR(SUMIFS(tblDaily[Remaining],tblDaily[EntryDate],DATE(2026,4,30),tblDaily[WardCode],"NICU"),0)</f>
        <v/>
      </c>
      <c r="C70" s="12">
        <f>IFERROR(INDEX(tblWardConfig[BedComplement],MATCH("NICU",tblWardConfig[WardCode],0)),0)</f>
        <v/>
      </c>
      <c r="D70" s="12">
        <f>SUMIFS(tblDaily[Admissions],tblDaily[Month],5,tblDaily[WardCode],"NICU") - SUMIFS(tblDaily[DeathsUnder24Hrs],tblDaily[Month],5,tblDaily[WardCode],"NICU")</f>
        <v/>
      </c>
      <c r="E70" s="12">
        <f>SUMIFS(tblDaily[Discharges],tblDaily[Month],5,tblDaily[WardCode],"NICU")</f>
        <v/>
      </c>
      <c r="F70" s="12">
        <f>SUMIFS(tblDaily[Deaths],tblDaily[Month],5,tblDaily[WardCode],"NICU")</f>
        <v/>
      </c>
      <c r="G70" s="12">
        <f>SUMIFS(tblDaily[DeathsUnder24Hrs],tblDaily[Month],5,tblDaily[WardCode],"NICU")</f>
        <v/>
      </c>
      <c r="H70" s="12">
        <f>SUMIFS(tblDaily[Remaining],tblDaily[Month],5,tblDaily[WardCode],"NICU")</f>
        <v/>
      </c>
      <c r="I70" s="12">
        <f>SUMIFS(tblDaily[TransfersIn],tblDaily[Month],5,tblDaily[WardCode],"NICU")</f>
        <v/>
      </c>
      <c r="J70" s="12">
        <f>SUMIFS(tblDaily[TransfersOut],tblDaily[Month],5,tblDaily[WardCode],"NICU")</f>
        <v/>
      </c>
      <c r="K70" s="27">
        <f>IFERROR(H70/31,0)</f>
        <v/>
      </c>
      <c r="L70" s="27">
        <f>IFERROR(H70/(E70+F70),0)</f>
        <v/>
      </c>
      <c r="M70" s="27">
        <f>IFERROR((C70*31-H70)/(E70+F70),0)</f>
        <v/>
      </c>
      <c r="N70" s="27">
        <f>IFERROR((E70+F70)/C70,0)</f>
        <v/>
      </c>
      <c r="O70" s="27">
        <f>IFERROR((H70/(C70*31))*100,0)</f>
        <v/>
      </c>
      <c r="P70" s="27">
        <f>IFERROR((F70/(D70+B70))*100,0)</f>
        <v/>
      </c>
    </row>
    <row r="71">
      <c r="A71" s="26" t="inlineStr">
        <is>
          <t>Male Emergency</t>
        </is>
      </c>
      <c r="B71" s="12">
        <f>IFERROR(SUMIFS(tblDaily[Remaining],tblDaily[EntryDate],DATE(2026,4,30),tblDaily[WardCode],"MAE"),0)</f>
        <v/>
      </c>
      <c r="C71" s="12">
        <f>IFERROR(INDEX(tblWardConfig[BedComplement],MATCH("MAE",tblWardConfig[WardCode],0)),0)</f>
        <v/>
      </c>
      <c r="D71" s="12">
        <f>SUMIFS(tblDaily[Admissions],tblDaily[Month],5,tblDaily[WardCode],"MAE") - SUMIFS(tblDaily[DeathsUnder24Hrs],tblDaily[Month],5,tblDaily[WardCode],"MAE")</f>
        <v/>
      </c>
      <c r="E71" s="12">
        <f>SUMIFS(tblDaily[Discharges],tblDaily[Month],5,tblDaily[WardCode],"MAE")</f>
        <v/>
      </c>
      <c r="F71" s="12">
        <f>SUMIFS(tblDaily[Deaths],tblDaily[Month],5,tblDaily[WardCode],"MAE")</f>
        <v/>
      </c>
      <c r="G71" s="12">
        <f>SUMIFS(tblDaily[DeathsUnder24Hrs],tblDaily[Month],5,tblDaily[WardCode],"MAE")</f>
        <v/>
      </c>
      <c r="H71" s="12">
        <f>SUMIFS(tblDaily[Remaining],tblDaily[Month],5,tblDaily[WardCode],"MAE")</f>
        <v/>
      </c>
      <c r="I71" s="12">
        <f>SUMIFS(tblDaily[TransfersIn],tblDaily[Month],5,tblDaily[WardCode],"MAE")</f>
        <v/>
      </c>
      <c r="J71" s="12">
        <f>SUMIFS(tblDaily[TransfersOut],tblDaily[Month],5,tblDaily[WardCode],"MAE")</f>
        <v/>
      </c>
      <c r="K71" s="27">
        <f>IFERROR(H71/31,0)</f>
        <v/>
      </c>
      <c r="L71" s="27">
        <f>IFERROR(H71/(E71+F71),0)</f>
        <v/>
      </c>
      <c r="M71" s="27">
        <f>IFERROR((C71*31-H71)/(E71+F71),0)</f>
        <v/>
      </c>
      <c r="N71" s="27">
        <f>IFERROR((E71+F71)/C71,0)</f>
        <v/>
      </c>
      <c r="O71" s="27">
        <f>IFERROR((H71/(C71*31))*100,0)</f>
        <v/>
      </c>
      <c r="P71" s="27">
        <f>IFERROR((F71/(D71+B71))*100,0)</f>
        <v/>
      </c>
    </row>
    <row r="72">
      <c r="A72" s="26" t="inlineStr">
        <is>
          <t>Female Emergency</t>
        </is>
      </c>
      <c r="B72" s="12">
        <f>IFERROR(SUMIFS(tblDaily[Remaining],tblDaily[EntryDate],DATE(2026,4,30),tblDaily[WardCode],"FAE"),0)</f>
        <v/>
      </c>
      <c r="C72" s="12">
        <f>IFERROR(INDEX(tblWardConfig[BedComplement],MATCH("FAE",tblWardConfig[WardCode],0)),0)</f>
        <v/>
      </c>
      <c r="D72" s="12">
        <f>SUMIFS(tblDaily[Admissions],tblDaily[Month],5,tblDaily[WardCode],"FAE") - SUMIFS(tblDaily[DeathsUnder24Hrs],tblDaily[Month],5,tblDaily[WardCode],"FAE")</f>
        <v/>
      </c>
      <c r="E72" s="12">
        <f>SUMIFS(tblDaily[Discharges],tblDaily[Month],5,tblDaily[WardCode],"FAE")</f>
        <v/>
      </c>
      <c r="F72" s="12">
        <f>SUMIFS(tblDaily[Deaths],tblDaily[Month],5,tblDaily[WardCode],"FAE")</f>
        <v/>
      </c>
      <c r="G72" s="12">
        <f>SUMIFS(tblDaily[DeathsUnder24Hrs],tblDaily[Month],5,tblDaily[WardCode],"FAE")</f>
        <v/>
      </c>
      <c r="H72" s="12">
        <f>SUMIFS(tblDaily[Remaining],tblDaily[Month],5,tblDaily[WardCode],"FAE")</f>
        <v/>
      </c>
      <c r="I72" s="12">
        <f>SUMIFS(tblDaily[TransfersIn],tblDaily[Month],5,tblDaily[WardCode],"FAE")</f>
        <v/>
      </c>
      <c r="J72" s="12">
        <f>SUMIFS(tblDaily[TransfersOut],tblDaily[Month],5,tblDaily[WardCode],"FAE")</f>
        <v/>
      </c>
      <c r="K72" s="27">
        <f>IFERROR(H72/31,0)</f>
        <v/>
      </c>
      <c r="L72" s="27">
        <f>IFERROR(H72/(E72+F72),0)</f>
        <v/>
      </c>
      <c r="M72" s="27">
        <f>IFERROR((C72*31-H72)/(E72+F72),0)</f>
        <v/>
      </c>
      <c r="N72" s="27">
        <f>IFERROR((E72+F72)/C72,0)</f>
        <v/>
      </c>
      <c r="O72" s="27">
        <f>IFERROR((H72/(C72*31))*100,0)</f>
        <v/>
      </c>
      <c r="P72" s="27">
        <f>IFERROR((F72/(D72+B72))*100,0)</f>
        <v/>
      </c>
    </row>
    <row r="73">
      <c r="A73" s="17" t="inlineStr">
        <is>
          <t>TOTAL</t>
        </is>
      </c>
      <c r="B73" s="17">
        <f>SUM(B64:B72)</f>
        <v/>
      </c>
      <c r="C73" s="17">
        <f>SUM(C64:C72)</f>
        <v/>
      </c>
      <c r="D73" s="17">
        <f>SUM(D64:D72)</f>
        <v/>
      </c>
      <c r="E73" s="17">
        <f>SUM(E64:E72)</f>
        <v/>
      </c>
      <c r="F73" s="17">
        <f>SUM(F64:F72)</f>
        <v/>
      </c>
      <c r="G73" s="17">
        <f>SUM(G64:G72)</f>
        <v/>
      </c>
      <c r="H73" s="17">
        <f>SUM(H64:H72)</f>
        <v/>
      </c>
      <c r="I73" s="17">
        <f>SUM(I64:I72)</f>
        <v/>
      </c>
      <c r="J73" s="17">
        <f>SUM(J64:J72)</f>
        <v/>
      </c>
      <c r="K73" s="28">
        <f>IFERROR(H73/31,0)</f>
        <v/>
      </c>
      <c r="L73" s="28">
        <f>IFERROR(H73/(E73+F73),0)</f>
        <v/>
      </c>
      <c r="M73" s="28">
        <f>IFERROR((C73*31-H73)/(E73+F73),0)</f>
        <v/>
      </c>
      <c r="N73" s="28">
        <f>IFERROR((E73+F73)/C73,0)</f>
        <v/>
      </c>
      <c r="O73" s="28">
        <f>IFERROR((H73/(C73*31))*100,0)</f>
        <v/>
      </c>
      <c r="P73" s="28">
        <f>IFERROR((F73/(D73+B73))*100,0)</f>
        <v/>
      </c>
    </row>
    <row r="74">
      <c r="A74" s="29" t="inlineStr">
        <is>
          <t>Emergency</t>
        </is>
      </c>
      <c r="B74" s="29">
        <f>B71+B72</f>
        <v/>
      </c>
      <c r="C74" s="29">
        <f>C71+C72</f>
        <v/>
      </c>
      <c r="D74" s="29">
        <f>D71+D72</f>
        <v/>
      </c>
      <c r="E74" s="29">
        <f>E71+E72</f>
        <v/>
      </c>
      <c r="F74" s="29">
        <f>F71+F72</f>
        <v/>
      </c>
      <c r="G74" s="29">
        <f>G71+G72</f>
        <v/>
      </c>
      <c r="H74" s="29">
        <f>H71+H72</f>
        <v/>
      </c>
      <c r="I74" s="29">
        <f>I71+I72</f>
        <v/>
      </c>
      <c r="J74" s="29">
        <f>J71+J72</f>
        <v/>
      </c>
      <c r="K74" s="30">
        <f>IFERROR(H74/31,0)</f>
        <v/>
      </c>
      <c r="L74" s="30">
        <f>IFERROR(H74/(E74+F74),0)</f>
        <v/>
      </c>
      <c r="M74" s="30">
        <f>IFERROR((C74*31-H74)/(E74+F74),0)</f>
        <v/>
      </c>
      <c r="N74" s="30">
        <f>IFERROR((E74+F74)/C74,0)</f>
        <v/>
      </c>
      <c r="O74" s="30">
        <f>IFERROR((H74/(C74*31))*100,0)</f>
        <v/>
      </c>
      <c r="P74" s="30">
        <f>IFERROR((F74/(D74+B74))*100,0)</f>
        <v/>
      </c>
    </row>
    <row r="76">
      <c r="A76" s="1" t="inlineStr">
        <is>
          <t>GHANA HEALTH SERVICE</t>
        </is>
      </c>
    </row>
    <row r="77">
      <c r="A77" s="2" t="inlineStr">
        <is>
          <t>MONTHLY BED UTILIZATION FORM - JUNE, 2026</t>
        </is>
      </c>
    </row>
    <row r="78">
      <c r="A78" s="16" t="inlineStr">
        <is>
          <t>WARD</t>
        </is>
      </c>
      <c r="B78" s="16" t="inlineStr">
        <is>
          <t>Patients on bed
at the beginning
of the month</t>
        </is>
      </c>
      <c r="C78" s="16" t="inlineStr">
        <is>
          <t>Bed Complement</t>
        </is>
      </c>
      <c r="D78" s="16" t="inlineStr">
        <is>
          <t>Admissions</t>
        </is>
      </c>
      <c r="E78" s="16" t="inlineStr">
        <is>
          <t>Discharges</t>
        </is>
      </c>
      <c r="F78" s="16" t="inlineStr">
        <is>
          <t>Deaths</t>
        </is>
      </c>
      <c r="G78" s="16" t="inlineStr">
        <is>
          <t>Deaths
&lt;24Hrs</t>
        </is>
      </c>
      <c r="H78" s="16" t="inlineStr">
        <is>
          <t>Patient
Days</t>
        </is>
      </c>
      <c r="I78" s="16" t="inlineStr">
        <is>
          <t>Transfer In</t>
        </is>
      </c>
      <c r="J78" s="16" t="inlineStr">
        <is>
          <t>Transfer
Out</t>
        </is>
      </c>
      <c r="K78" s="16" t="inlineStr">
        <is>
          <t>Average
Daily Bed
Occupancy</t>
        </is>
      </c>
      <c r="L78" s="16" t="inlineStr">
        <is>
          <t>Average
Length
of Stay</t>
        </is>
      </c>
      <c r="M78" s="16" t="inlineStr">
        <is>
          <t>Bed
Turnover
Interval</t>
        </is>
      </c>
      <c r="N78" s="16" t="inlineStr">
        <is>
          <t>Bed
Turnover
Rate</t>
        </is>
      </c>
      <c r="O78" s="16" t="inlineStr">
        <is>
          <t>Percentage
of
Occupancy</t>
        </is>
      </c>
      <c r="P78" s="16" t="inlineStr">
        <is>
          <t>Death
Rate</t>
        </is>
      </c>
    </row>
    <row r="79">
      <c r="A79" s="26" t="inlineStr">
        <is>
          <t>Male Medical</t>
        </is>
      </c>
      <c r="B79" s="12">
        <f>IFERROR(SUMIFS(tblDaily[Remaining],tblDaily[EntryDate],DATE(2026,5,31),tblDaily[WardCode],"MW"),0)</f>
        <v/>
      </c>
      <c r="C79" s="12">
        <f>IFERROR(INDEX(tblWardConfig[BedComplement],MATCH("MW",tblWardConfig[WardCode],0)),0)</f>
        <v/>
      </c>
      <c r="D79" s="12">
        <f>SUMIFS(tblDaily[Admissions],tblDaily[Month],6,tblDaily[WardCode],"MW") - SUMIFS(tblDaily[DeathsUnder24Hrs],tblDaily[Month],6,tblDaily[WardCode],"MW")</f>
        <v/>
      </c>
      <c r="E79" s="12">
        <f>SUMIFS(tblDaily[Discharges],tblDaily[Month],6,tblDaily[WardCode],"MW")</f>
        <v/>
      </c>
      <c r="F79" s="12">
        <f>SUMIFS(tblDaily[Deaths],tblDaily[Month],6,tblDaily[WardCode],"MW")</f>
        <v/>
      </c>
      <c r="G79" s="12">
        <f>SUMIFS(tblDaily[DeathsUnder24Hrs],tblDaily[Month],6,tblDaily[WardCode],"MW")</f>
        <v/>
      </c>
      <c r="H79" s="12">
        <f>SUMIFS(tblDaily[Remaining],tblDaily[Month],6,tblDaily[WardCode],"MW")</f>
        <v/>
      </c>
      <c r="I79" s="12">
        <f>SUMIFS(tblDaily[TransfersIn],tblDaily[Month],6,tblDaily[WardCode],"MW")</f>
        <v/>
      </c>
      <c r="J79" s="12">
        <f>SUMIFS(tblDaily[TransfersOut],tblDaily[Month],6,tblDaily[WardCode],"MW")</f>
        <v/>
      </c>
      <c r="K79" s="27">
        <f>IFERROR(H79/30,0)</f>
        <v/>
      </c>
      <c r="L79" s="27">
        <f>IFERROR(H79/(E79+F79),0)</f>
        <v/>
      </c>
      <c r="M79" s="27">
        <f>IFERROR((C79*30-H79)/(E79+F79),0)</f>
        <v/>
      </c>
      <c r="N79" s="27">
        <f>IFERROR((E79+F79)/C79,0)</f>
        <v/>
      </c>
      <c r="O79" s="27">
        <f>IFERROR((H79/(C79*30))*100,0)</f>
        <v/>
      </c>
      <c r="P79" s="27">
        <f>IFERROR((F79/(D79+B79))*100,0)</f>
        <v/>
      </c>
    </row>
    <row r="80">
      <c r="A80" s="26" t="inlineStr">
        <is>
          <t>Female Medical</t>
        </is>
      </c>
      <c r="B80" s="12">
        <f>IFERROR(SUMIFS(tblDaily[Remaining],tblDaily[EntryDate],DATE(2026,5,31),tblDaily[WardCode],"FW"),0)</f>
        <v/>
      </c>
      <c r="C80" s="12">
        <f>IFERROR(INDEX(tblWardConfig[BedComplement],MATCH("FW",tblWardConfig[WardCode],0)),0)</f>
        <v/>
      </c>
      <c r="D80" s="12">
        <f>SUMIFS(tblDaily[Admissions],tblDaily[Month],6,tblDaily[WardCode],"FW") - SUMIFS(tblDaily[DeathsUnder24Hrs],tblDaily[Month],6,tblDaily[WardCode],"FW")</f>
        <v/>
      </c>
      <c r="E80" s="12">
        <f>SUMIFS(tblDaily[Discharges],tblDaily[Month],6,tblDaily[WardCode],"FW")</f>
        <v/>
      </c>
      <c r="F80" s="12">
        <f>SUMIFS(tblDaily[Deaths],tblDaily[Month],6,tblDaily[WardCode],"FW")</f>
        <v/>
      </c>
      <c r="G80" s="12">
        <f>SUMIFS(tblDaily[DeathsUnder24Hrs],tblDaily[Month],6,tblDaily[WardCode],"FW")</f>
        <v/>
      </c>
      <c r="H80" s="12">
        <f>SUMIFS(tblDaily[Remaining],tblDaily[Month],6,tblDaily[WardCode],"FW")</f>
        <v/>
      </c>
      <c r="I80" s="12">
        <f>SUMIFS(tblDaily[TransfersIn],tblDaily[Month],6,tblDaily[WardCode],"FW")</f>
        <v/>
      </c>
      <c r="J80" s="12">
        <f>SUMIFS(tblDaily[TransfersOut],tblDaily[Month],6,tblDaily[WardCode],"FW")</f>
        <v/>
      </c>
      <c r="K80" s="27">
        <f>IFERROR(H80/30,0)</f>
        <v/>
      </c>
      <c r="L80" s="27">
        <f>IFERROR(H80/(E80+F80),0)</f>
        <v/>
      </c>
      <c r="M80" s="27">
        <f>IFERROR((C80*30-H80)/(E80+F80),0)</f>
        <v/>
      </c>
      <c r="N80" s="27">
        <f>IFERROR((E80+F80)/C80,0)</f>
        <v/>
      </c>
      <c r="O80" s="27">
        <f>IFERROR((H80/(C80*30))*100,0)</f>
        <v/>
      </c>
      <c r="P80" s="27">
        <f>IFERROR((F80/(D80+B80))*100,0)</f>
        <v/>
      </c>
    </row>
    <row r="81">
      <c r="A81" s="26" t="inlineStr">
        <is>
          <t>Paediatric</t>
        </is>
      </c>
      <c r="B81" s="12">
        <f>IFERROR(SUMIFS(tblDaily[Remaining],tblDaily[EntryDate],DATE(2026,5,31),tblDaily[WardCode],"CW"),0)</f>
        <v/>
      </c>
      <c r="C81" s="12">
        <f>IFERROR(INDEX(tblWardConfig[BedComplement],MATCH("CW",tblWardConfig[WardCode],0)),0)</f>
        <v/>
      </c>
      <c r="D81" s="12">
        <f>SUMIFS(tblDaily[Admissions],tblDaily[Month],6,tblDaily[WardCode],"CW") - SUMIFS(tblDaily[DeathsUnder24Hrs],tblDaily[Month],6,tblDaily[WardCode],"CW")</f>
        <v/>
      </c>
      <c r="E81" s="12">
        <f>SUMIFS(tblDaily[Discharges],tblDaily[Month],6,tblDaily[WardCode],"CW")</f>
        <v/>
      </c>
      <c r="F81" s="12">
        <f>SUMIFS(tblDaily[Deaths],tblDaily[Month],6,tblDaily[WardCode],"CW")</f>
        <v/>
      </c>
      <c r="G81" s="12">
        <f>SUMIFS(tblDaily[DeathsUnder24Hrs],tblDaily[Month],6,tblDaily[WardCode],"CW")</f>
        <v/>
      </c>
      <c r="H81" s="12">
        <f>SUMIFS(tblDaily[Remaining],tblDaily[Month],6,tblDaily[WardCode],"CW")</f>
        <v/>
      </c>
      <c r="I81" s="12">
        <f>SUMIFS(tblDaily[TransfersIn],tblDaily[Month],6,tblDaily[WardCode],"CW")</f>
        <v/>
      </c>
      <c r="J81" s="12">
        <f>SUMIFS(tblDaily[TransfersOut],tblDaily[Month],6,tblDaily[WardCode],"CW")</f>
        <v/>
      </c>
      <c r="K81" s="27">
        <f>IFERROR(H81/30,0)</f>
        <v/>
      </c>
      <c r="L81" s="27">
        <f>IFERROR(H81/(E81+F81),0)</f>
        <v/>
      </c>
      <c r="M81" s="27">
        <f>IFERROR((C81*30-H81)/(E81+F81),0)</f>
        <v/>
      </c>
      <c r="N81" s="27">
        <f>IFERROR((E81+F81)/C81,0)</f>
        <v/>
      </c>
      <c r="O81" s="27">
        <f>IFERROR((H81/(C81*30))*100,0)</f>
        <v/>
      </c>
      <c r="P81" s="27">
        <f>IFERROR((F81/(D81+B81))*100,0)</f>
        <v/>
      </c>
    </row>
    <row r="82">
      <c r="A82" s="26" t="inlineStr">
        <is>
          <t>Block F</t>
        </is>
      </c>
      <c r="B82" s="12">
        <f>IFERROR(SUMIFS(tblDaily[Remaining],tblDaily[EntryDate],DATE(2026,5,31),tblDaily[WardCode],"BF"),0)</f>
        <v/>
      </c>
      <c r="C82" s="12">
        <f>IFERROR(INDEX(tblWardConfig[BedComplement],MATCH("BF",tblWardConfig[WardCode],0)),0)</f>
        <v/>
      </c>
      <c r="D82" s="12">
        <f>SUMIFS(tblDaily[Admissions],tblDaily[Month],6,tblDaily[WardCode],"BF") - SUMIFS(tblDaily[DeathsUnder24Hrs],tblDaily[Month],6,tblDaily[WardCode],"BF")</f>
        <v/>
      </c>
      <c r="E82" s="12">
        <f>SUMIFS(tblDaily[Discharges],tblDaily[Month],6,tblDaily[WardCode],"BF")</f>
        <v/>
      </c>
      <c r="F82" s="12">
        <f>SUMIFS(tblDaily[Deaths],tblDaily[Month],6,tblDaily[WardCode],"BF")</f>
        <v/>
      </c>
      <c r="G82" s="12">
        <f>SUMIFS(tblDaily[DeathsUnder24Hrs],tblDaily[Month],6,tblDaily[WardCode],"BF")</f>
        <v/>
      </c>
      <c r="H82" s="12">
        <f>SUMIFS(tblDaily[Remaining],tblDaily[Month],6,tblDaily[WardCode],"BF")</f>
        <v/>
      </c>
      <c r="I82" s="12">
        <f>SUMIFS(tblDaily[TransfersIn],tblDaily[Month],6,tblDaily[WardCode],"BF")</f>
        <v/>
      </c>
      <c r="J82" s="12">
        <f>SUMIFS(tblDaily[TransfersOut],tblDaily[Month],6,tblDaily[WardCode],"BF")</f>
        <v/>
      </c>
      <c r="K82" s="27">
        <f>IFERROR(H82/30,0)</f>
        <v/>
      </c>
      <c r="L82" s="27">
        <f>IFERROR(H82/(E82+F82),0)</f>
        <v/>
      </c>
      <c r="M82" s="27">
        <f>IFERROR((C82*30-H82)/(E82+F82),0)</f>
        <v/>
      </c>
      <c r="N82" s="27">
        <f>IFERROR((E82+F82)/C82,0)</f>
        <v/>
      </c>
      <c r="O82" s="27">
        <f>IFERROR((H82/(C82*30))*100,0)</f>
        <v/>
      </c>
      <c r="P82" s="27">
        <f>IFERROR((F82/(D82+B82))*100,0)</f>
        <v/>
      </c>
    </row>
    <row r="83">
      <c r="A83" s="26" t="inlineStr">
        <is>
          <t>Block G</t>
        </is>
      </c>
      <c r="B83" s="12">
        <f>IFERROR(SUMIFS(tblDaily[Remaining],tblDaily[EntryDate],DATE(2026,5,31),tblDaily[WardCode],"BG"),0)</f>
        <v/>
      </c>
      <c r="C83" s="12">
        <f>IFERROR(INDEX(tblWardConfig[BedComplement],MATCH("BG",tblWardConfig[WardCode],0)),0)</f>
        <v/>
      </c>
      <c r="D83" s="12">
        <f>SUMIFS(tblDaily[Admissions],tblDaily[Month],6,tblDaily[WardCode],"BG") - SUMIFS(tblDaily[DeathsUnder24Hrs],tblDaily[Month],6,tblDaily[WardCode],"BG")</f>
        <v/>
      </c>
      <c r="E83" s="12">
        <f>SUMIFS(tblDaily[Discharges],tblDaily[Month],6,tblDaily[WardCode],"BG")</f>
        <v/>
      </c>
      <c r="F83" s="12">
        <f>SUMIFS(tblDaily[Deaths],tblDaily[Month],6,tblDaily[WardCode],"BG")</f>
        <v/>
      </c>
      <c r="G83" s="12">
        <f>SUMIFS(tblDaily[DeathsUnder24Hrs],tblDaily[Month],6,tblDaily[WardCode],"BG")</f>
        <v/>
      </c>
      <c r="H83" s="12">
        <f>SUMIFS(tblDaily[Remaining],tblDaily[Month],6,tblDaily[WardCode],"BG")</f>
        <v/>
      </c>
      <c r="I83" s="12">
        <f>SUMIFS(tblDaily[TransfersIn],tblDaily[Month],6,tblDaily[WardCode],"BG")</f>
        <v/>
      </c>
      <c r="J83" s="12">
        <f>SUMIFS(tblDaily[TransfersOut],tblDaily[Month],6,tblDaily[WardCode],"BG")</f>
        <v/>
      </c>
      <c r="K83" s="27">
        <f>IFERROR(H83/30,0)</f>
        <v/>
      </c>
      <c r="L83" s="27">
        <f>IFERROR(H83/(E83+F83),0)</f>
        <v/>
      </c>
      <c r="M83" s="27">
        <f>IFERROR((C83*30-H83)/(E83+F83),0)</f>
        <v/>
      </c>
      <c r="N83" s="27">
        <f>IFERROR((E83+F83)/C83,0)</f>
        <v/>
      </c>
      <c r="O83" s="27">
        <f>IFERROR((H83/(C83*30))*100,0)</f>
        <v/>
      </c>
      <c r="P83" s="27">
        <f>IFERROR((F83/(D83+B83))*100,0)</f>
        <v/>
      </c>
    </row>
    <row r="84">
      <c r="A84" s="26" t="inlineStr">
        <is>
          <t>Block H</t>
        </is>
      </c>
      <c r="B84" s="12">
        <f>IFERROR(SUMIFS(tblDaily[Remaining],tblDaily[EntryDate],DATE(2026,5,31),tblDaily[WardCode],"BH"),0)</f>
        <v/>
      </c>
      <c r="C84" s="12">
        <f>IFERROR(INDEX(tblWardConfig[BedComplement],MATCH("BH",tblWardConfig[WardCode],0)),0)</f>
        <v/>
      </c>
      <c r="D84" s="12">
        <f>SUMIFS(tblDaily[Admissions],tblDaily[Month],6,tblDaily[WardCode],"BH") - SUMIFS(tblDaily[DeathsUnder24Hrs],tblDaily[Month],6,tblDaily[WardCode],"BH")</f>
        <v/>
      </c>
      <c r="E84" s="12">
        <f>SUMIFS(tblDaily[Discharges],tblDaily[Month],6,tblDaily[WardCode],"BH")</f>
        <v/>
      </c>
      <c r="F84" s="12">
        <f>SUMIFS(tblDaily[Deaths],tblDaily[Month],6,tblDaily[WardCode],"BH")</f>
        <v/>
      </c>
      <c r="G84" s="12">
        <f>SUMIFS(tblDaily[DeathsUnder24Hrs],tblDaily[Month],6,tblDaily[WardCode],"BH")</f>
        <v/>
      </c>
      <c r="H84" s="12">
        <f>SUMIFS(tblDaily[Remaining],tblDaily[Month],6,tblDaily[WardCode],"BH")</f>
        <v/>
      </c>
      <c r="I84" s="12">
        <f>SUMIFS(tblDaily[TransfersIn],tblDaily[Month],6,tblDaily[WardCode],"BH")</f>
        <v/>
      </c>
      <c r="J84" s="12">
        <f>SUMIFS(tblDaily[TransfersOut],tblDaily[Month],6,tblDaily[WardCode],"BH")</f>
        <v/>
      </c>
      <c r="K84" s="27">
        <f>IFERROR(H84/30,0)</f>
        <v/>
      </c>
      <c r="L84" s="27">
        <f>IFERROR(H84/(E84+F84),0)</f>
        <v/>
      </c>
      <c r="M84" s="27">
        <f>IFERROR((C84*30-H84)/(E84+F84),0)</f>
        <v/>
      </c>
      <c r="N84" s="27">
        <f>IFERROR((E84+F84)/C84,0)</f>
        <v/>
      </c>
      <c r="O84" s="27">
        <f>IFERROR((H84/(C84*30))*100,0)</f>
        <v/>
      </c>
      <c r="P84" s="27">
        <f>IFERROR((F84/(D84+B84))*100,0)</f>
        <v/>
      </c>
    </row>
    <row r="85">
      <c r="A85" s="26" t="inlineStr">
        <is>
          <t>Neonatal</t>
        </is>
      </c>
      <c r="B85" s="12">
        <f>IFERROR(SUMIFS(tblDaily[Remaining],tblDaily[EntryDate],DATE(2026,5,31),tblDaily[WardCode],"NICU"),0)</f>
        <v/>
      </c>
      <c r="C85" s="12">
        <f>IFERROR(INDEX(tblWardConfig[BedComplement],MATCH("NICU",tblWardConfig[WardCode],0)),0)</f>
        <v/>
      </c>
      <c r="D85" s="12">
        <f>SUMIFS(tblDaily[Admissions],tblDaily[Month],6,tblDaily[WardCode],"NICU") - SUMIFS(tblDaily[DeathsUnder24Hrs],tblDaily[Month],6,tblDaily[WardCode],"NICU")</f>
        <v/>
      </c>
      <c r="E85" s="12">
        <f>SUMIFS(tblDaily[Discharges],tblDaily[Month],6,tblDaily[WardCode],"NICU")</f>
        <v/>
      </c>
      <c r="F85" s="12">
        <f>SUMIFS(tblDaily[Deaths],tblDaily[Month],6,tblDaily[WardCode],"NICU")</f>
        <v/>
      </c>
      <c r="G85" s="12">
        <f>SUMIFS(tblDaily[DeathsUnder24Hrs],tblDaily[Month],6,tblDaily[WardCode],"NICU")</f>
        <v/>
      </c>
      <c r="H85" s="12">
        <f>SUMIFS(tblDaily[Remaining],tblDaily[Month],6,tblDaily[WardCode],"NICU")</f>
        <v/>
      </c>
      <c r="I85" s="12">
        <f>SUMIFS(tblDaily[TransfersIn],tblDaily[Month],6,tblDaily[WardCode],"NICU")</f>
        <v/>
      </c>
      <c r="J85" s="12">
        <f>SUMIFS(tblDaily[TransfersOut],tblDaily[Month],6,tblDaily[WardCode],"NICU")</f>
        <v/>
      </c>
      <c r="K85" s="27">
        <f>IFERROR(H85/30,0)</f>
        <v/>
      </c>
      <c r="L85" s="27">
        <f>IFERROR(H85/(E85+F85),0)</f>
        <v/>
      </c>
      <c r="M85" s="27">
        <f>IFERROR((C85*30-H85)/(E85+F85),0)</f>
        <v/>
      </c>
      <c r="N85" s="27">
        <f>IFERROR((E85+F85)/C85,0)</f>
        <v/>
      </c>
      <c r="O85" s="27">
        <f>IFERROR((H85/(C85*30))*100,0)</f>
        <v/>
      </c>
      <c r="P85" s="27">
        <f>IFERROR((F85/(D85+B85))*100,0)</f>
        <v/>
      </c>
    </row>
    <row r="86">
      <c r="A86" s="26" t="inlineStr">
        <is>
          <t>Male Emergency</t>
        </is>
      </c>
      <c r="B86" s="12">
        <f>IFERROR(SUMIFS(tblDaily[Remaining],tblDaily[EntryDate],DATE(2026,5,31),tblDaily[WardCode],"MAE"),0)</f>
        <v/>
      </c>
      <c r="C86" s="12">
        <f>IFERROR(INDEX(tblWardConfig[BedComplement],MATCH("MAE",tblWardConfig[WardCode],0)),0)</f>
        <v/>
      </c>
      <c r="D86" s="12">
        <f>SUMIFS(tblDaily[Admissions],tblDaily[Month],6,tblDaily[WardCode],"MAE") - SUMIFS(tblDaily[DeathsUnder24Hrs],tblDaily[Month],6,tblDaily[WardCode],"MAE")</f>
        <v/>
      </c>
      <c r="E86" s="12">
        <f>SUMIFS(tblDaily[Discharges],tblDaily[Month],6,tblDaily[WardCode],"MAE")</f>
        <v/>
      </c>
      <c r="F86" s="12">
        <f>SUMIFS(tblDaily[Deaths],tblDaily[Month],6,tblDaily[WardCode],"MAE")</f>
        <v/>
      </c>
      <c r="G86" s="12">
        <f>SUMIFS(tblDaily[DeathsUnder24Hrs],tblDaily[Month],6,tblDaily[WardCode],"MAE")</f>
        <v/>
      </c>
      <c r="H86" s="12">
        <f>SUMIFS(tblDaily[Remaining],tblDaily[Month],6,tblDaily[WardCode],"MAE")</f>
        <v/>
      </c>
      <c r="I86" s="12">
        <f>SUMIFS(tblDaily[TransfersIn],tblDaily[Month],6,tblDaily[WardCode],"MAE")</f>
        <v/>
      </c>
      <c r="J86" s="12">
        <f>SUMIFS(tblDaily[TransfersOut],tblDaily[Month],6,tblDaily[WardCode],"MAE")</f>
        <v/>
      </c>
      <c r="K86" s="27">
        <f>IFERROR(H86/30,0)</f>
        <v/>
      </c>
      <c r="L86" s="27">
        <f>IFERROR(H86/(E86+F86),0)</f>
        <v/>
      </c>
      <c r="M86" s="27">
        <f>IFERROR((C86*30-H86)/(E86+F86),0)</f>
        <v/>
      </c>
      <c r="N86" s="27">
        <f>IFERROR((E86+F86)/C86,0)</f>
        <v/>
      </c>
      <c r="O86" s="27">
        <f>IFERROR((H86/(C86*30))*100,0)</f>
        <v/>
      </c>
      <c r="P86" s="27">
        <f>IFERROR((F86/(D86+B86))*100,0)</f>
        <v/>
      </c>
    </row>
    <row r="87">
      <c r="A87" s="26" t="inlineStr">
        <is>
          <t>Female Emergency</t>
        </is>
      </c>
      <c r="B87" s="12">
        <f>IFERROR(SUMIFS(tblDaily[Remaining],tblDaily[EntryDate],DATE(2026,5,31),tblDaily[WardCode],"FAE"),0)</f>
        <v/>
      </c>
      <c r="C87" s="12">
        <f>IFERROR(INDEX(tblWardConfig[BedComplement],MATCH("FAE",tblWardConfig[WardCode],0)),0)</f>
        <v/>
      </c>
      <c r="D87" s="12">
        <f>SUMIFS(tblDaily[Admissions],tblDaily[Month],6,tblDaily[WardCode],"FAE") - SUMIFS(tblDaily[DeathsUnder24Hrs],tblDaily[Month],6,tblDaily[WardCode],"FAE")</f>
        <v/>
      </c>
      <c r="E87" s="12">
        <f>SUMIFS(tblDaily[Discharges],tblDaily[Month],6,tblDaily[WardCode],"FAE")</f>
        <v/>
      </c>
      <c r="F87" s="12">
        <f>SUMIFS(tblDaily[Deaths],tblDaily[Month],6,tblDaily[WardCode],"FAE")</f>
        <v/>
      </c>
      <c r="G87" s="12">
        <f>SUMIFS(tblDaily[DeathsUnder24Hrs],tblDaily[Month],6,tblDaily[WardCode],"FAE")</f>
        <v/>
      </c>
      <c r="H87" s="12">
        <f>SUMIFS(tblDaily[Remaining],tblDaily[Month],6,tblDaily[WardCode],"FAE")</f>
        <v/>
      </c>
      <c r="I87" s="12">
        <f>SUMIFS(tblDaily[TransfersIn],tblDaily[Month],6,tblDaily[WardCode],"FAE")</f>
        <v/>
      </c>
      <c r="J87" s="12">
        <f>SUMIFS(tblDaily[TransfersOut],tblDaily[Month],6,tblDaily[WardCode],"FAE")</f>
        <v/>
      </c>
      <c r="K87" s="27">
        <f>IFERROR(H87/30,0)</f>
        <v/>
      </c>
      <c r="L87" s="27">
        <f>IFERROR(H87/(E87+F87),0)</f>
        <v/>
      </c>
      <c r="M87" s="27">
        <f>IFERROR((C87*30-H87)/(E87+F87),0)</f>
        <v/>
      </c>
      <c r="N87" s="27">
        <f>IFERROR((E87+F87)/C87,0)</f>
        <v/>
      </c>
      <c r="O87" s="27">
        <f>IFERROR((H87/(C87*30))*100,0)</f>
        <v/>
      </c>
      <c r="P87" s="27">
        <f>IFERROR((F87/(D87+B87))*100,0)</f>
        <v/>
      </c>
    </row>
    <row r="88">
      <c r="A88" s="17" t="inlineStr">
        <is>
          <t>TOTAL</t>
        </is>
      </c>
      <c r="B88" s="17">
        <f>SUM(B79:B87)</f>
        <v/>
      </c>
      <c r="C88" s="17">
        <f>SUM(C79:C87)</f>
        <v/>
      </c>
      <c r="D88" s="17">
        <f>SUM(D79:D87)</f>
        <v/>
      </c>
      <c r="E88" s="17">
        <f>SUM(E79:E87)</f>
        <v/>
      </c>
      <c r="F88" s="17">
        <f>SUM(F79:F87)</f>
        <v/>
      </c>
      <c r="G88" s="17">
        <f>SUM(G79:G87)</f>
        <v/>
      </c>
      <c r="H88" s="17">
        <f>SUM(H79:H87)</f>
        <v/>
      </c>
      <c r="I88" s="17">
        <f>SUM(I79:I87)</f>
        <v/>
      </c>
      <c r="J88" s="17">
        <f>SUM(J79:J87)</f>
        <v/>
      </c>
      <c r="K88" s="28">
        <f>IFERROR(H88/30,0)</f>
        <v/>
      </c>
      <c r="L88" s="28">
        <f>IFERROR(H88/(E88+F88),0)</f>
        <v/>
      </c>
      <c r="M88" s="28">
        <f>IFERROR((C88*30-H88)/(E88+F88),0)</f>
        <v/>
      </c>
      <c r="N88" s="28">
        <f>IFERROR((E88+F88)/C88,0)</f>
        <v/>
      </c>
      <c r="O88" s="28">
        <f>IFERROR((H88/(C88*30))*100,0)</f>
        <v/>
      </c>
      <c r="P88" s="28">
        <f>IFERROR((F88/(D88+B88))*100,0)</f>
        <v/>
      </c>
    </row>
    <row r="89">
      <c r="A89" s="29" t="inlineStr">
        <is>
          <t>Emergency</t>
        </is>
      </c>
      <c r="B89" s="29">
        <f>B86+B87</f>
        <v/>
      </c>
      <c r="C89" s="29">
        <f>C86+C87</f>
        <v/>
      </c>
      <c r="D89" s="29">
        <f>D86+D87</f>
        <v/>
      </c>
      <c r="E89" s="29">
        <f>E86+E87</f>
        <v/>
      </c>
      <c r="F89" s="29">
        <f>F86+F87</f>
        <v/>
      </c>
      <c r="G89" s="29">
        <f>G86+G87</f>
        <v/>
      </c>
      <c r="H89" s="29">
        <f>H86+H87</f>
        <v/>
      </c>
      <c r="I89" s="29">
        <f>I86+I87</f>
        <v/>
      </c>
      <c r="J89" s="29">
        <f>J86+J87</f>
        <v/>
      </c>
      <c r="K89" s="30">
        <f>IFERROR(H89/30,0)</f>
        <v/>
      </c>
      <c r="L89" s="30">
        <f>IFERROR(H89/(E89+F89),0)</f>
        <v/>
      </c>
      <c r="M89" s="30">
        <f>IFERROR((C89*30-H89)/(E89+F89),0)</f>
        <v/>
      </c>
      <c r="N89" s="30">
        <f>IFERROR((E89+F89)/C89,0)</f>
        <v/>
      </c>
      <c r="O89" s="30">
        <f>IFERROR((H89/(C89*30))*100,0)</f>
        <v/>
      </c>
      <c r="P89" s="30">
        <f>IFERROR((F89/(D89+B89))*100,0)</f>
        <v/>
      </c>
    </row>
    <row r="91">
      <c r="A91" s="1" t="inlineStr">
        <is>
          <t>GHANA HEALTH SERVICE</t>
        </is>
      </c>
    </row>
    <row r="92">
      <c r="A92" s="2" t="inlineStr">
        <is>
          <t>MONTHLY BED UTILIZATION FORM - JULY, 2026</t>
        </is>
      </c>
    </row>
    <row r="93">
      <c r="A93" s="16" t="inlineStr">
        <is>
          <t>WARD</t>
        </is>
      </c>
      <c r="B93" s="16" t="inlineStr">
        <is>
          <t>Patients on bed
at the beginning
of the month</t>
        </is>
      </c>
      <c r="C93" s="16" t="inlineStr">
        <is>
          <t>Bed Complement</t>
        </is>
      </c>
      <c r="D93" s="16" t="inlineStr">
        <is>
          <t>Admissions</t>
        </is>
      </c>
      <c r="E93" s="16" t="inlineStr">
        <is>
          <t>Discharges</t>
        </is>
      </c>
      <c r="F93" s="16" t="inlineStr">
        <is>
          <t>Deaths</t>
        </is>
      </c>
      <c r="G93" s="16" t="inlineStr">
        <is>
          <t>Deaths
&lt;24Hrs</t>
        </is>
      </c>
      <c r="H93" s="16" t="inlineStr">
        <is>
          <t>Patient
Days</t>
        </is>
      </c>
      <c r="I93" s="16" t="inlineStr">
        <is>
          <t>Transfer In</t>
        </is>
      </c>
      <c r="J93" s="16" t="inlineStr">
        <is>
          <t>Transfer
Out</t>
        </is>
      </c>
      <c r="K93" s="16" t="inlineStr">
        <is>
          <t>Average
Daily Bed
Occupancy</t>
        </is>
      </c>
      <c r="L93" s="16" t="inlineStr">
        <is>
          <t>Average
Length
of Stay</t>
        </is>
      </c>
      <c r="M93" s="16" t="inlineStr">
        <is>
          <t>Bed
Turnover
Interval</t>
        </is>
      </c>
      <c r="N93" s="16" t="inlineStr">
        <is>
          <t>Bed
Turnover
Rate</t>
        </is>
      </c>
      <c r="O93" s="16" t="inlineStr">
        <is>
          <t>Percentage
of
Occupancy</t>
        </is>
      </c>
      <c r="P93" s="16" t="inlineStr">
        <is>
          <t>Death
Rate</t>
        </is>
      </c>
    </row>
    <row r="94">
      <c r="A94" s="26" t="inlineStr">
        <is>
          <t>Male Medical</t>
        </is>
      </c>
      <c r="B94" s="12">
        <f>IFERROR(SUMIFS(tblDaily[Remaining],tblDaily[EntryDate],DATE(2026,6,30),tblDaily[WardCode],"MW"),0)</f>
        <v/>
      </c>
      <c r="C94" s="12">
        <f>IFERROR(INDEX(tblWardConfig[BedComplement],MATCH("MW",tblWardConfig[WardCode],0)),0)</f>
        <v/>
      </c>
      <c r="D94" s="12">
        <f>SUMIFS(tblDaily[Admissions],tblDaily[Month],7,tblDaily[WardCode],"MW") - SUMIFS(tblDaily[DeathsUnder24Hrs],tblDaily[Month],7,tblDaily[WardCode],"MW")</f>
        <v/>
      </c>
      <c r="E94" s="12">
        <f>SUMIFS(tblDaily[Discharges],tblDaily[Month],7,tblDaily[WardCode],"MW")</f>
        <v/>
      </c>
      <c r="F94" s="12">
        <f>SUMIFS(tblDaily[Deaths],tblDaily[Month],7,tblDaily[WardCode],"MW")</f>
        <v/>
      </c>
      <c r="G94" s="12">
        <f>SUMIFS(tblDaily[DeathsUnder24Hrs],tblDaily[Month],7,tblDaily[WardCode],"MW")</f>
        <v/>
      </c>
      <c r="H94" s="12">
        <f>SUMIFS(tblDaily[Remaining],tblDaily[Month],7,tblDaily[WardCode],"MW")</f>
        <v/>
      </c>
      <c r="I94" s="12">
        <f>SUMIFS(tblDaily[TransfersIn],tblDaily[Month],7,tblDaily[WardCode],"MW")</f>
        <v/>
      </c>
      <c r="J94" s="12">
        <f>SUMIFS(tblDaily[TransfersOut],tblDaily[Month],7,tblDaily[WardCode],"MW")</f>
        <v/>
      </c>
      <c r="K94" s="27">
        <f>IFERROR(H94/31,0)</f>
        <v/>
      </c>
      <c r="L94" s="27">
        <f>IFERROR(H94/(E94+F94),0)</f>
        <v/>
      </c>
      <c r="M94" s="27">
        <f>IFERROR((C94*31-H94)/(E94+F94),0)</f>
        <v/>
      </c>
      <c r="N94" s="27">
        <f>IFERROR((E94+F94)/C94,0)</f>
        <v/>
      </c>
      <c r="O94" s="27">
        <f>IFERROR((H94/(C94*31))*100,0)</f>
        <v/>
      </c>
      <c r="P94" s="27">
        <f>IFERROR((F94/(D94+B94))*100,0)</f>
        <v/>
      </c>
    </row>
    <row r="95">
      <c r="A95" s="26" t="inlineStr">
        <is>
          <t>Female Medical</t>
        </is>
      </c>
      <c r="B95" s="12">
        <f>IFERROR(SUMIFS(tblDaily[Remaining],tblDaily[EntryDate],DATE(2026,6,30),tblDaily[WardCode],"FW"),0)</f>
        <v/>
      </c>
      <c r="C95" s="12">
        <f>IFERROR(INDEX(tblWardConfig[BedComplement],MATCH("FW",tblWardConfig[WardCode],0)),0)</f>
        <v/>
      </c>
      <c r="D95" s="12">
        <f>SUMIFS(tblDaily[Admissions],tblDaily[Month],7,tblDaily[WardCode],"FW") - SUMIFS(tblDaily[DeathsUnder24Hrs],tblDaily[Month],7,tblDaily[WardCode],"FW")</f>
        <v/>
      </c>
      <c r="E95" s="12">
        <f>SUMIFS(tblDaily[Discharges],tblDaily[Month],7,tblDaily[WardCode],"FW")</f>
        <v/>
      </c>
      <c r="F95" s="12">
        <f>SUMIFS(tblDaily[Deaths],tblDaily[Month],7,tblDaily[WardCode],"FW")</f>
        <v/>
      </c>
      <c r="G95" s="12">
        <f>SUMIFS(tblDaily[DeathsUnder24Hrs],tblDaily[Month],7,tblDaily[WardCode],"FW")</f>
        <v/>
      </c>
      <c r="H95" s="12">
        <f>SUMIFS(tblDaily[Remaining],tblDaily[Month],7,tblDaily[WardCode],"FW")</f>
        <v/>
      </c>
      <c r="I95" s="12">
        <f>SUMIFS(tblDaily[TransfersIn],tblDaily[Month],7,tblDaily[WardCode],"FW")</f>
        <v/>
      </c>
      <c r="J95" s="12">
        <f>SUMIFS(tblDaily[TransfersOut],tblDaily[Month],7,tblDaily[WardCode],"FW")</f>
        <v/>
      </c>
      <c r="K95" s="27">
        <f>IFERROR(H95/31,0)</f>
        <v/>
      </c>
      <c r="L95" s="27">
        <f>IFERROR(H95/(E95+F95),0)</f>
        <v/>
      </c>
      <c r="M95" s="27">
        <f>IFERROR((C95*31-H95)/(E95+F95),0)</f>
        <v/>
      </c>
      <c r="N95" s="27">
        <f>IFERROR((E95+F95)/C95,0)</f>
        <v/>
      </c>
      <c r="O95" s="27">
        <f>IFERROR((H95/(C95*31))*100,0)</f>
        <v/>
      </c>
      <c r="P95" s="27">
        <f>IFERROR((F95/(D95+B95))*100,0)</f>
        <v/>
      </c>
    </row>
    <row r="96">
      <c r="A96" s="26" t="inlineStr">
        <is>
          <t>Paediatric</t>
        </is>
      </c>
      <c r="B96" s="12">
        <f>IFERROR(SUMIFS(tblDaily[Remaining],tblDaily[EntryDate],DATE(2026,6,30),tblDaily[WardCode],"CW"),0)</f>
        <v/>
      </c>
      <c r="C96" s="12">
        <f>IFERROR(INDEX(tblWardConfig[BedComplement],MATCH("CW",tblWardConfig[WardCode],0)),0)</f>
        <v/>
      </c>
      <c r="D96" s="12">
        <f>SUMIFS(tblDaily[Admissions],tblDaily[Month],7,tblDaily[WardCode],"CW") - SUMIFS(tblDaily[DeathsUnder24Hrs],tblDaily[Month],7,tblDaily[WardCode],"CW")</f>
        <v/>
      </c>
      <c r="E96" s="12">
        <f>SUMIFS(tblDaily[Discharges],tblDaily[Month],7,tblDaily[WardCode],"CW")</f>
        <v/>
      </c>
      <c r="F96" s="12">
        <f>SUMIFS(tblDaily[Deaths],tblDaily[Month],7,tblDaily[WardCode],"CW")</f>
        <v/>
      </c>
      <c r="G96" s="12">
        <f>SUMIFS(tblDaily[DeathsUnder24Hrs],tblDaily[Month],7,tblDaily[WardCode],"CW")</f>
        <v/>
      </c>
      <c r="H96" s="12">
        <f>SUMIFS(tblDaily[Remaining],tblDaily[Month],7,tblDaily[WardCode],"CW")</f>
        <v/>
      </c>
      <c r="I96" s="12">
        <f>SUMIFS(tblDaily[TransfersIn],tblDaily[Month],7,tblDaily[WardCode],"CW")</f>
        <v/>
      </c>
      <c r="J96" s="12">
        <f>SUMIFS(tblDaily[TransfersOut],tblDaily[Month],7,tblDaily[WardCode],"CW")</f>
        <v/>
      </c>
      <c r="K96" s="27">
        <f>IFERROR(H96/31,0)</f>
        <v/>
      </c>
      <c r="L96" s="27">
        <f>IFERROR(H96/(E96+F96),0)</f>
        <v/>
      </c>
      <c r="M96" s="27">
        <f>IFERROR((C96*31-H96)/(E96+F96),0)</f>
        <v/>
      </c>
      <c r="N96" s="27">
        <f>IFERROR((E96+F96)/C96,0)</f>
        <v/>
      </c>
      <c r="O96" s="27">
        <f>IFERROR((H96/(C96*31))*100,0)</f>
        <v/>
      </c>
      <c r="P96" s="27">
        <f>IFERROR((F96/(D96+B96))*100,0)</f>
        <v/>
      </c>
    </row>
    <row r="97">
      <c r="A97" s="26" t="inlineStr">
        <is>
          <t>Block F</t>
        </is>
      </c>
      <c r="B97" s="12">
        <f>IFERROR(SUMIFS(tblDaily[Remaining],tblDaily[EntryDate],DATE(2026,6,30),tblDaily[WardCode],"BF"),0)</f>
        <v/>
      </c>
      <c r="C97" s="12">
        <f>IFERROR(INDEX(tblWardConfig[BedComplement],MATCH("BF",tblWardConfig[WardCode],0)),0)</f>
        <v/>
      </c>
      <c r="D97" s="12">
        <f>SUMIFS(tblDaily[Admissions],tblDaily[Month],7,tblDaily[WardCode],"BF") - SUMIFS(tblDaily[DeathsUnder24Hrs],tblDaily[Month],7,tblDaily[WardCode],"BF")</f>
        <v/>
      </c>
      <c r="E97" s="12">
        <f>SUMIFS(tblDaily[Discharges],tblDaily[Month],7,tblDaily[WardCode],"BF")</f>
        <v/>
      </c>
      <c r="F97" s="12">
        <f>SUMIFS(tblDaily[Deaths],tblDaily[Month],7,tblDaily[WardCode],"BF")</f>
        <v/>
      </c>
      <c r="G97" s="12">
        <f>SUMIFS(tblDaily[DeathsUnder24Hrs],tblDaily[Month],7,tblDaily[WardCode],"BF")</f>
        <v/>
      </c>
      <c r="H97" s="12">
        <f>SUMIFS(tblDaily[Remaining],tblDaily[Month],7,tblDaily[WardCode],"BF")</f>
        <v/>
      </c>
      <c r="I97" s="12">
        <f>SUMIFS(tblDaily[TransfersIn],tblDaily[Month],7,tblDaily[WardCode],"BF")</f>
        <v/>
      </c>
      <c r="J97" s="12">
        <f>SUMIFS(tblDaily[TransfersOut],tblDaily[Month],7,tblDaily[WardCode],"BF")</f>
        <v/>
      </c>
      <c r="K97" s="27">
        <f>IFERROR(H97/31,0)</f>
        <v/>
      </c>
      <c r="L97" s="27">
        <f>IFERROR(H97/(E97+F97),0)</f>
        <v/>
      </c>
      <c r="M97" s="27">
        <f>IFERROR((C97*31-H97)/(E97+F97),0)</f>
        <v/>
      </c>
      <c r="N97" s="27">
        <f>IFERROR((E97+F97)/C97,0)</f>
        <v/>
      </c>
      <c r="O97" s="27">
        <f>IFERROR((H97/(C97*31))*100,0)</f>
        <v/>
      </c>
      <c r="P97" s="27">
        <f>IFERROR((F97/(D97+B97))*100,0)</f>
        <v/>
      </c>
    </row>
    <row r="98">
      <c r="A98" s="26" t="inlineStr">
        <is>
          <t>Block G</t>
        </is>
      </c>
      <c r="B98" s="12">
        <f>IFERROR(SUMIFS(tblDaily[Remaining],tblDaily[EntryDate],DATE(2026,6,30),tblDaily[WardCode],"BG"),0)</f>
        <v/>
      </c>
      <c r="C98" s="12">
        <f>IFERROR(INDEX(tblWardConfig[BedComplement],MATCH("BG",tblWardConfig[WardCode],0)),0)</f>
        <v/>
      </c>
      <c r="D98" s="12">
        <f>SUMIFS(tblDaily[Admissions],tblDaily[Month],7,tblDaily[WardCode],"BG") - SUMIFS(tblDaily[DeathsUnder24Hrs],tblDaily[Month],7,tblDaily[WardCode],"BG")</f>
        <v/>
      </c>
      <c r="E98" s="12">
        <f>SUMIFS(tblDaily[Discharges],tblDaily[Month],7,tblDaily[WardCode],"BG")</f>
        <v/>
      </c>
      <c r="F98" s="12">
        <f>SUMIFS(tblDaily[Deaths],tblDaily[Month],7,tblDaily[WardCode],"BG")</f>
        <v/>
      </c>
      <c r="G98" s="12">
        <f>SUMIFS(tblDaily[DeathsUnder24Hrs],tblDaily[Month],7,tblDaily[WardCode],"BG")</f>
        <v/>
      </c>
      <c r="H98" s="12">
        <f>SUMIFS(tblDaily[Remaining],tblDaily[Month],7,tblDaily[WardCode],"BG")</f>
        <v/>
      </c>
      <c r="I98" s="12">
        <f>SUMIFS(tblDaily[TransfersIn],tblDaily[Month],7,tblDaily[WardCode],"BG")</f>
        <v/>
      </c>
      <c r="J98" s="12">
        <f>SUMIFS(tblDaily[TransfersOut],tblDaily[Month],7,tblDaily[WardCode],"BG")</f>
        <v/>
      </c>
      <c r="K98" s="27">
        <f>IFERROR(H98/31,0)</f>
        <v/>
      </c>
      <c r="L98" s="27">
        <f>IFERROR(H98/(E98+F98),0)</f>
        <v/>
      </c>
      <c r="M98" s="27">
        <f>IFERROR((C98*31-H98)/(E98+F98),0)</f>
        <v/>
      </c>
      <c r="N98" s="27">
        <f>IFERROR((E98+F98)/C98,0)</f>
        <v/>
      </c>
      <c r="O98" s="27">
        <f>IFERROR((H98/(C98*31))*100,0)</f>
        <v/>
      </c>
      <c r="P98" s="27">
        <f>IFERROR((F98/(D98+B98))*100,0)</f>
        <v/>
      </c>
    </row>
    <row r="99">
      <c r="A99" s="26" t="inlineStr">
        <is>
          <t>Block H</t>
        </is>
      </c>
      <c r="B99" s="12">
        <f>IFERROR(SUMIFS(tblDaily[Remaining],tblDaily[EntryDate],DATE(2026,6,30),tblDaily[WardCode],"BH"),0)</f>
        <v/>
      </c>
      <c r="C99" s="12">
        <f>IFERROR(INDEX(tblWardConfig[BedComplement],MATCH("BH",tblWardConfig[WardCode],0)),0)</f>
        <v/>
      </c>
      <c r="D99" s="12">
        <f>SUMIFS(tblDaily[Admissions],tblDaily[Month],7,tblDaily[WardCode],"BH") - SUMIFS(tblDaily[DeathsUnder24Hrs],tblDaily[Month],7,tblDaily[WardCode],"BH")</f>
        <v/>
      </c>
      <c r="E99" s="12">
        <f>SUMIFS(tblDaily[Discharges],tblDaily[Month],7,tblDaily[WardCode],"BH")</f>
        <v/>
      </c>
      <c r="F99" s="12">
        <f>SUMIFS(tblDaily[Deaths],tblDaily[Month],7,tblDaily[WardCode],"BH")</f>
        <v/>
      </c>
      <c r="G99" s="12">
        <f>SUMIFS(tblDaily[DeathsUnder24Hrs],tblDaily[Month],7,tblDaily[WardCode],"BH")</f>
        <v/>
      </c>
      <c r="H99" s="12">
        <f>SUMIFS(tblDaily[Remaining],tblDaily[Month],7,tblDaily[WardCode],"BH")</f>
        <v/>
      </c>
      <c r="I99" s="12">
        <f>SUMIFS(tblDaily[TransfersIn],tblDaily[Month],7,tblDaily[WardCode],"BH")</f>
        <v/>
      </c>
      <c r="J99" s="12">
        <f>SUMIFS(tblDaily[TransfersOut],tblDaily[Month],7,tblDaily[WardCode],"BH")</f>
        <v/>
      </c>
      <c r="K99" s="27">
        <f>IFERROR(H99/31,0)</f>
        <v/>
      </c>
      <c r="L99" s="27">
        <f>IFERROR(H99/(E99+F99),0)</f>
        <v/>
      </c>
      <c r="M99" s="27">
        <f>IFERROR((C99*31-H99)/(E99+F99),0)</f>
        <v/>
      </c>
      <c r="N99" s="27">
        <f>IFERROR((E99+F99)/C99,0)</f>
        <v/>
      </c>
      <c r="O99" s="27">
        <f>IFERROR((H99/(C99*31))*100,0)</f>
        <v/>
      </c>
      <c r="P99" s="27">
        <f>IFERROR((F99/(D99+B99))*100,0)</f>
        <v/>
      </c>
    </row>
    <row r="100">
      <c r="A100" s="26" t="inlineStr">
        <is>
          <t>Neonatal</t>
        </is>
      </c>
      <c r="B100" s="12">
        <f>IFERROR(SUMIFS(tblDaily[Remaining],tblDaily[EntryDate],DATE(2026,6,30),tblDaily[WardCode],"NICU"),0)</f>
        <v/>
      </c>
      <c r="C100" s="12">
        <f>IFERROR(INDEX(tblWardConfig[BedComplement],MATCH("NICU",tblWardConfig[WardCode],0)),0)</f>
        <v/>
      </c>
      <c r="D100" s="12">
        <f>SUMIFS(tblDaily[Admissions],tblDaily[Month],7,tblDaily[WardCode],"NICU") - SUMIFS(tblDaily[DeathsUnder24Hrs],tblDaily[Month],7,tblDaily[WardCode],"NICU")</f>
        <v/>
      </c>
      <c r="E100" s="12">
        <f>SUMIFS(tblDaily[Discharges],tblDaily[Month],7,tblDaily[WardCode],"NICU")</f>
        <v/>
      </c>
      <c r="F100" s="12">
        <f>SUMIFS(tblDaily[Deaths],tblDaily[Month],7,tblDaily[WardCode],"NICU")</f>
        <v/>
      </c>
      <c r="G100" s="12">
        <f>SUMIFS(tblDaily[DeathsUnder24Hrs],tblDaily[Month],7,tblDaily[WardCode],"NICU")</f>
        <v/>
      </c>
      <c r="H100" s="12">
        <f>SUMIFS(tblDaily[Remaining],tblDaily[Month],7,tblDaily[WardCode],"NICU")</f>
        <v/>
      </c>
      <c r="I100" s="12">
        <f>SUMIFS(tblDaily[TransfersIn],tblDaily[Month],7,tblDaily[WardCode],"NICU")</f>
        <v/>
      </c>
      <c r="J100" s="12">
        <f>SUMIFS(tblDaily[TransfersOut],tblDaily[Month],7,tblDaily[WardCode],"NICU")</f>
        <v/>
      </c>
      <c r="K100" s="27">
        <f>IFERROR(H100/31,0)</f>
        <v/>
      </c>
      <c r="L100" s="27">
        <f>IFERROR(H100/(E100+F100),0)</f>
        <v/>
      </c>
      <c r="M100" s="27">
        <f>IFERROR((C100*31-H100)/(E100+F100),0)</f>
        <v/>
      </c>
      <c r="N100" s="27">
        <f>IFERROR((E100+F100)/C100,0)</f>
        <v/>
      </c>
      <c r="O100" s="27">
        <f>IFERROR((H100/(C100*31))*100,0)</f>
        <v/>
      </c>
      <c r="P100" s="27">
        <f>IFERROR((F100/(D100+B100))*100,0)</f>
        <v/>
      </c>
    </row>
    <row r="101">
      <c r="A101" s="26" t="inlineStr">
        <is>
          <t>Male Emergency</t>
        </is>
      </c>
      <c r="B101" s="12">
        <f>IFERROR(SUMIFS(tblDaily[Remaining],tblDaily[EntryDate],DATE(2026,6,30),tblDaily[WardCode],"MAE"),0)</f>
        <v/>
      </c>
      <c r="C101" s="12">
        <f>IFERROR(INDEX(tblWardConfig[BedComplement],MATCH("MAE",tblWardConfig[WardCode],0)),0)</f>
        <v/>
      </c>
      <c r="D101" s="12">
        <f>SUMIFS(tblDaily[Admissions],tblDaily[Month],7,tblDaily[WardCode],"MAE") - SUMIFS(tblDaily[DeathsUnder24Hrs],tblDaily[Month],7,tblDaily[WardCode],"MAE")</f>
        <v/>
      </c>
      <c r="E101" s="12">
        <f>SUMIFS(tblDaily[Discharges],tblDaily[Month],7,tblDaily[WardCode],"MAE")</f>
        <v/>
      </c>
      <c r="F101" s="12">
        <f>SUMIFS(tblDaily[Deaths],tblDaily[Month],7,tblDaily[WardCode],"MAE")</f>
        <v/>
      </c>
      <c r="G101" s="12">
        <f>SUMIFS(tblDaily[DeathsUnder24Hrs],tblDaily[Month],7,tblDaily[WardCode],"MAE")</f>
        <v/>
      </c>
      <c r="H101" s="12">
        <f>SUMIFS(tblDaily[Remaining],tblDaily[Month],7,tblDaily[WardCode],"MAE")</f>
        <v/>
      </c>
      <c r="I101" s="12">
        <f>SUMIFS(tblDaily[TransfersIn],tblDaily[Month],7,tblDaily[WardCode],"MAE")</f>
        <v/>
      </c>
      <c r="J101" s="12">
        <f>SUMIFS(tblDaily[TransfersOut],tblDaily[Month],7,tblDaily[WardCode],"MAE")</f>
        <v/>
      </c>
      <c r="K101" s="27">
        <f>IFERROR(H101/31,0)</f>
        <v/>
      </c>
      <c r="L101" s="27">
        <f>IFERROR(H101/(E101+F101),0)</f>
        <v/>
      </c>
      <c r="M101" s="27">
        <f>IFERROR((C101*31-H101)/(E101+F101),0)</f>
        <v/>
      </c>
      <c r="N101" s="27">
        <f>IFERROR((E101+F101)/C101,0)</f>
        <v/>
      </c>
      <c r="O101" s="27">
        <f>IFERROR((H101/(C101*31))*100,0)</f>
        <v/>
      </c>
      <c r="P101" s="27">
        <f>IFERROR((F101/(D101+B101))*100,0)</f>
        <v/>
      </c>
    </row>
    <row r="102">
      <c r="A102" s="26" t="inlineStr">
        <is>
          <t>Female Emergency</t>
        </is>
      </c>
      <c r="B102" s="12">
        <f>IFERROR(SUMIFS(tblDaily[Remaining],tblDaily[EntryDate],DATE(2026,6,30),tblDaily[WardCode],"FAE"),0)</f>
        <v/>
      </c>
      <c r="C102" s="12">
        <f>IFERROR(INDEX(tblWardConfig[BedComplement],MATCH("FAE",tblWardConfig[WardCode],0)),0)</f>
        <v/>
      </c>
      <c r="D102" s="12">
        <f>SUMIFS(tblDaily[Admissions],tblDaily[Month],7,tblDaily[WardCode],"FAE") - SUMIFS(tblDaily[DeathsUnder24Hrs],tblDaily[Month],7,tblDaily[WardCode],"FAE")</f>
        <v/>
      </c>
      <c r="E102" s="12">
        <f>SUMIFS(tblDaily[Discharges],tblDaily[Month],7,tblDaily[WardCode],"FAE")</f>
        <v/>
      </c>
      <c r="F102" s="12">
        <f>SUMIFS(tblDaily[Deaths],tblDaily[Month],7,tblDaily[WardCode],"FAE")</f>
        <v/>
      </c>
      <c r="G102" s="12">
        <f>SUMIFS(tblDaily[DeathsUnder24Hrs],tblDaily[Month],7,tblDaily[WardCode],"FAE")</f>
        <v/>
      </c>
      <c r="H102" s="12">
        <f>SUMIFS(tblDaily[Remaining],tblDaily[Month],7,tblDaily[WardCode],"FAE")</f>
        <v/>
      </c>
      <c r="I102" s="12">
        <f>SUMIFS(tblDaily[TransfersIn],tblDaily[Month],7,tblDaily[WardCode],"FAE")</f>
        <v/>
      </c>
      <c r="J102" s="12">
        <f>SUMIFS(tblDaily[TransfersOut],tblDaily[Month],7,tblDaily[WardCode],"FAE")</f>
        <v/>
      </c>
      <c r="K102" s="27">
        <f>IFERROR(H102/31,0)</f>
        <v/>
      </c>
      <c r="L102" s="27">
        <f>IFERROR(H102/(E102+F102),0)</f>
        <v/>
      </c>
      <c r="M102" s="27">
        <f>IFERROR((C102*31-H102)/(E102+F102),0)</f>
        <v/>
      </c>
      <c r="N102" s="27">
        <f>IFERROR((E102+F102)/C102,0)</f>
        <v/>
      </c>
      <c r="O102" s="27">
        <f>IFERROR((H102/(C102*31))*100,0)</f>
        <v/>
      </c>
      <c r="P102" s="27">
        <f>IFERROR((F102/(D102+B102))*100,0)</f>
        <v/>
      </c>
    </row>
    <row r="103">
      <c r="A103" s="17" t="inlineStr">
        <is>
          <t>TOTAL</t>
        </is>
      </c>
      <c r="B103" s="17">
        <f>SUM(B94:B102)</f>
        <v/>
      </c>
      <c r="C103" s="17">
        <f>SUM(C94:C102)</f>
        <v/>
      </c>
      <c r="D103" s="17">
        <f>SUM(D94:D102)</f>
        <v/>
      </c>
      <c r="E103" s="17">
        <f>SUM(E94:E102)</f>
        <v/>
      </c>
      <c r="F103" s="17">
        <f>SUM(F94:F102)</f>
        <v/>
      </c>
      <c r="G103" s="17">
        <f>SUM(G94:G102)</f>
        <v/>
      </c>
      <c r="H103" s="17">
        <f>SUM(H94:H102)</f>
        <v/>
      </c>
      <c r="I103" s="17">
        <f>SUM(I94:I102)</f>
        <v/>
      </c>
      <c r="J103" s="17">
        <f>SUM(J94:J102)</f>
        <v/>
      </c>
      <c r="K103" s="28">
        <f>IFERROR(H103/31,0)</f>
        <v/>
      </c>
      <c r="L103" s="28">
        <f>IFERROR(H103/(E103+F103),0)</f>
        <v/>
      </c>
      <c r="M103" s="28">
        <f>IFERROR((C103*31-H103)/(E103+F103),0)</f>
        <v/>
      </c>
      <c r="N103" s="28">
        <f>IFERROR((E103+F103)/C103,0)</f>
        <v/>
      </c>
      <c r="O103" s="28">
        <f>IFERROR((H103/(C103*31))*100,0)</f>
        <v/>
      </c>
      <c r="P103" s="28">
        <f>IFERROR((F103/(D103+B103))*100,0)</f>
        <v/>
      </c>
    </row>
    <row r="104">
      <c r="A104" s="29" t="inlineStr">
        <is>
          <t>Emergency</t>
        </is>
      </c>
      <c r="B104" s="29">
        <f>B101+B102</f>
        <v/>
      </c>
      <c r="C104" s="29">
        <f>C101+C102</f>
        <v/>
      </c>
      <c r="D104" s="29">
        <f>D101+D102</f>
        <v/>
      </c>
      <c r="E104" s="29">
        <f>E101+E102</f>
        <v/>
      </c>
      <c r="F104" s="29">
        <f>F101+F102</f>
        <v/>
      </c>
      <c r="G104" s="29">
        <f>G101+G102</f>
        <v/>
      </c>
      <c r="H104" s="29">
        <f>H101+H102</f>
        <v/>
      </c>
      <c r="I104" s="29">
        <f>I101+I102</f>
        <v/>
      </c>
      <c r="J104" s="29">
        <f>J101+J102</f>
        <v/>
      </c>
      <c r="K104" s="30">
        <f>IFERROR(H104/31,0)</f>
        <v/>
      </c>
      <c r="L104" s="30">
        <f>IFERROR(H104/(E104+F104),0)</f>
        <v/>
      </c>
      <c r="M104" s="30">
        <f>IFERROR((C104*31-H104)/(E104+F104),0)</f>
        <v/>
      </c>
      <c r="N104" s="30">
        <f>IFERROR((E104+F104)/C104,0)</f>
        <v/>
      </c>
      <c r="O104" s="30">
        <f>IFERROR((H104/(C104*31))*100,0)</f>
        <v/>
      </c>
      <c r="P104" s="30">
        <f>IFERROR((F104/(D104+B104))*100,0)</f>
        <v/>
      </c>
    </row>
    <row r="106">
      <c r="A106" s="1" t="inlineStr">
        <is>
          <t>GHANA HEALTH SERVICE</t>
        </is>
      </c>
    </row>
    <row r="107">
      <c r="A107" s="2" t="inlineStr">
        <is>
          <t>MONTHLY BED UTILIZATION FORM - AUGUST, 2026</t>
        </is>
      </c>
    </row>
    <row r="108">
      <c r="A108" s="16" t="inlineStr">
        <is>
          <t>WARD</t>
        </is>
      </c>
      <c r="B108" s="16" t="inlineStr">
        <is>
          <t>Patients on bed
at the beginning
of the month</t>
        </is>
      </c>
      <c r="C108" s="16" t="inlineStr">
        <is>
          <t>Bed Complement</t>
        </is>
      </c>
      <c r="D108" s="16" t="inlineStr">
        <is>
          <t>Admissions</t>
        </is>
      </c>
      <c r="E108" s="16" t="inlineStr">
        <is>
          <t>Discharges</t>
        </is>
      </c>
      <c r="F108" s="16" t="inlineStr">
        <is>
          <t>Deaths</t>
        </is>
      </c>
      <c r="G108" s="16" t="inlineStr">
        <is>
          <t>Deaths
&lt;24Hrs</t>
        </is>
      </c>
      <c r="H108" s="16" t="inlineStr">
        <is>
          <t>Patient
Days</t>
        </is>
      </c>
      <c r="I108" s="16" t="inlineStr">
        <is>
          <t>Transfer In</t>
        </is>
      </c>
      <c r="J108" s="16" t="inlineStr">
        <is>
          <t>Transfer
Out</t>
        </is>
      </c>
      <c r="K108" s="16" t="inlineStr">
        <is>
          <t>Average
Daily Bed
Occupancy</t>
        </is>
      </c>
      <c r="L108" s="16" t="inlineStr">
        <is>
          <t>Average
Length
of Stay</t>
        </is>
      </c>
      <c r="M108" s="16" t="inlineStr">
        <is>
          <t>Bed
Turnover
Interval</t>
        </is>
      </c>
      <c r="N108" s="16" t="inlineStr">
        <is>
          <t>Bed
Turnover
Rate</t>
        </is>
      </c>
      <c r="O108" s="16" t="inlineStr">
        <is>
          <t>Percentage
of
Occupancy</t>
        </is>
      </c>
      <c r="P108" s="16" t="inlineStr">
        <is>
          <t>Death
Rate</t>
        </is>
      </c>
    </row>
    <row r="109">
      <c r="A109" s="26" t="inlineStr">
        <is>
          <t>Male Medical</t>
        </is>
      </c>
      <c r="B109" s="12">
        <f>IFERROR(SUMIFS(tblDaily[Remaining],tblDaily[EntryDate],DATE(2026,7,31),tblDaily[WardCode],"MW"),0)</f>
        <v/>
      </c>
      <c r="C109" s="12">
        <f>IFERROR(INDEX(tblWardConfig[BedComplement],MATCH("MW",tblWardConfig[WardCode],0)),0)</f>
        <v/>
      </c>
      <c r="D109" s="12">
        <f>SUMIFS(tblDaily[Admissions],tblDaily[Month],8,tblDaily[WardCode],"MW") - SUMIFS(tblDaily[DeathsUnder24Hrs],tblDaily[Month],8,tblDaily[WardCode],"MW")</f>
        <v/>
      </c>
      <c r="E109" s="12">
        <f>SUMIFS(tblDaily[Discharges],tblDaily[Month],8,tblDaily[WardCode],"MW")</f>
        <v/>
      </c>
      <c r="F109" s="12">
        <f>SUMIFS(tblDaily[Deaths],tblDaily[Month],8,tblDaily[WardCode],"MW")</f>
        <v/>
      </c>
      <c r="G109" s="12">
        <f>SUMIFS(tblDaily[DeathsUnder24Hrs],tblDaily[Month],8,tblDaily[WardCode],"MW")</f>
        <v/>
      </c>
      <c r="H109" s="12">
        <f>SUMIFS(tblDaily[Remaining],tblDaily[Month],8,tblDaily[WardCode],"MW")</f>
        <v/>
      </c>
      <c r="I109" s="12">
        <f>SUMIFS(tblDaily[TransfersIn],tblDaily[Month],8,tblDaily[WardCode],"MW")</f>
        <v/>
      </c>
      <c r="J109" s="12">
        <f>SUMIFS(tblDaily[TransfersOut],tblDaily[Month],8,tblDaily[WardCode],"MW")</f>
        <v/>
      </c>
      <c r="K109" s="27">
        <f>IFERROR(H109/31,0)</f>
        <v/>
      </c>
      <c r="L109" s="27">
        <f>IFERROR(H109/(E109+F109),0)</f>
        <v/>
      </c>
      <c r="M109" s="27">
        <f>IFERROR((C109*31-H109)/(E109+F109),0)</f>
        <v/>
      </c>
      <c r="N109" s="27">
        <f>IFERROR((E109+F109)/C109,0)</f>
        <v/>
      </c>
      <c r="O109" s="27">
        <f>IFERROR((H109/(C109*31))*100,0)</f>
        <v/>
      </c>
      <c r="P109" s="27">
        <f>IFERROR((F109/(D109+B109))*100,0)</f>
        <v/>
      </c>
    </row>
    <row r="110">
      <c r="A110" s="26" t="inlineStr">
        <is>
          <t>Female Medical</t>
        </is>
      </c>
      <c r="B110" s="12">
        <f>IFERROR(SUMIFS(tblDaily[Remaining],tblDaily[EntryDate],DATE(2026,7,31),tblDaily[WardCode],"FW"),0)</f>
        <v/>
      </c>
      <c r="C110" s="12">
        <f>IFERROR(INDEX(tblWardConfig[BedComplement],MATCH("FW",tblWardConfig[WardCode],0)),0)</f>
        <v/>
      </c>
      <c r="D110" s="12">
        <f>SUMIFS(tblDaily[Admissions],tblDaily[Month],8,tblDaily[WardCode],"FW") - SUMIFS(tblDaily[DeathsUnder24Hrs],tblDaily[Month],8,tblDaily[WardCode],"FW")</f>
        <v/>
      </c>
      <c r="E110" s="12">
        <f>SUMIFS(tblDaily[Discharges],tblDaily[Month],8,tblDaily[WardCode],"FW")</f>
        <v/>
      </c>
      <c r="F110" s="12">
        <f>SUMIFS(tblDaily[Deaths],tblDaily[Month],8,tblDaily[WardCode],"FW")</f>
        <v/>
      </c>
      <c r="G110" s="12">
        <f>SUMIFS(tblDaily[DeathsUnder24Hrs],tblDaily[Month],8,tblDaily[WardCode],"FW")</f>
        <v/>
      </c>
      <c r="H110" s="12">
        <f>SUMIFS(tblDaily[Remaining],tblDaily[Month],8,tblDaily[WardCode],"FW")</f>
        <v/>
      </c>
      <c r="I110" s="12">
        <f>SUMIFS(tblDaily[TransfersIn],tblDaily[Month],8,tblDaily[WardCode],"FW")</f>
        <v/>
      </c>
      <c r="J110" s="12">
        <f>SUMIFS(tblDaily[TransfersOut],tblDaily[Month],8,tblDaily[WardCode],"FW")</f>
        <v/>
      </c>
      <c r="K110" s="27">
        <f>IFERROR(H110/31,0)</f>
        <v/>
      </c>
      <c r="L110" s="27">
        <f>IFERROR(H110/(E110+F110),0)</f>
        <v/>
      </c>
      <c r="M110" s="27">
        <f>IFERROR((C110*31-H110)/(E110+F110),0)</f>
        <v/>
      </c>
      <c r="N110" s="27">
        <f>IFERROR((E110+F110)/C110,0)</f>
        <v/>
      </c>
      <c r="O110" s="27">
        <f>IFERROR((H110/(C110*31))*100,0)</f>
        <v/>
      </c>
      <c r="P110" s="27">
        <f>IFERROR((F110/(D110+B110))*100,0)</f>
        <v/>
      </c>
    </row>
    <row r="111">
      <c r="A111" s="26" t="inlineStr">
        <is>
          <t>Paediatric</t>
        </is>
      </c>
      <c r="B111" s="12">
        <f>IFERROR(SUMIFS(tblDaily[Remaining],tblDaily[EntryDate],DATE(2026,7,31),tblDaily[WardCode],"CW"),0)</f>
        <v/>
      </c>
      <c r="C111" s="12">
        <f>IFERROR(INDEX(tblWardConfig[BedComplement],MATCH("CW",tblWardConfig[WardCode],0)),0)</f>
        <v/>
      </c>
      <c r="D111" s="12">
        <f>SUMIFS(tblDaily[Admissions],tblDaily[Month],8,tblDaily[WardCode],"CW") - SUMIFS(tblDaily[DeathsUnder24Hrs],tblDaily[Month],8,tblDaily[WardCode],"CW")</f>
        <v/>
      </c>
      <c r="E111" s="12">
        <f>SUMIFS(tblDaily[Discharges],tblDaily[Month],8,tblDaily[WardCode],"CW")</f>
        <v/>
      </c>
      <c r="F111" s="12">
        <f>SUMIFS(tblDaily[Deaths],tblDaily[Month],8,tblDaily[WardCode],"CW")</f>
        <v/>
      </c>
      <c r="G111" s="12">
        <f>SUMIFS(tblDaily[DeathsUnder24Hrs],tblDaily[Month],8,tblDaily[WardCode],"CW")</f>
        <v/>
      </c>
      <c r="H111" s="12">
        <f>SUMIFS(tblDaily[Remaining],tblDaily[Month],8,tblDaily[WardCode],"CW")</f>
        <v/>
      </c>
      <c r="I111" s="12">
        <f>SUMIFS(tblDaily[TransfersIn],tblDaily[Month],8,tblDaily[WardCode],"CW")</f>
        <v/>
      </c>
      <c r="J111" s="12">
        <f>SUMIFS(tblDaily[TransfersOut],tblDaily[Month],8,tblDaily[WardCode],"CW")</f>
        <v/>
      </c>
      <c r="K111" s="27">
        <f>IFERROR(H111/31,0)</f>
        <v/>
      </c>
      <c r="L111" s="27">
        <f>IFERROR(H111/(E111+F111),0)</f>
        <v/>
      </c>
      <c r="M111" s="27">
        <f>IFERROR((C111*31-H111)/(E111+F111),0)</f>
        <v/>
      </c>
      <c r="N111" s="27">
        <f>IFERROR((E111+F111)/C111,0)</f>
        <v/>
      </c>
      <c r="O111" s="27">
        <f>IFERROR((H111/(C111*31))*100,0)</f>
        <v/>
      </c>
      <c r="P111" s="27">
        <f>IFERROR((F111/(D111+B111))*100,0)</f>
        <v/>
      </c>
    </row>
    <row r="112">
      <c r="A112" s="26" t="inlineStr">
        <is>
          <t>Block F</t>
        </is>
      </c>
      <c r="B112" s="12">
        <f>IFERROR(SUMIFS(tblDaily[Remaining],tblDaily[EntryDate],DATE(2026,7,31),tblDaily[WardCode],"BF"),0)</f>
        <v/>
      </c>
      <c r="C112" s="12">
        <f>IFERROR(INDEX(tblWardConfig[BedComplement],MATCH("BF",tblWardConfig[WardCode],0)),0)</f>
        <v/>
      </c>
      <c r="D112" s="12">
        <f>SUMIFS(tblDaily[Admissions],tblDaily[Month],8,tblDaily[WardCode],"BF") - SUMIFS(tblDaily[DeathsUnder24Hrs],tblDaily[Month],8,tblDaily[WardCode],"BF")</f>
        <v/>
      </c>
      <c r="E112" s="12">
        <f>SUMIFS(tblDaily[Discharges],tblDaily[Month],8,tblDaily[WardCode],"BF")</f>
        <v/>
      </c>
      <c r="F112" s="12">
        <f>SUMIFS(tblDaily[Deaths],tblDaily[Month],8,tblDaily[WardCode],"BF")</f>
        <v/>
      </c>
      <c r="G112" s="12">
        <f>SUMIFS(tblDaily[DeathsUnder24Hrs],tblDaily[Month],8,tblDaily[WardCode],"BF")</f>
        <v/>
      </c>
      <c r="H112" s="12">
        <f>SUMIFS(tblDaily[Remaining],tblDaily[Month],8,tblDaily[WardCode],"BF")</f>
        <v/>
      </c>
      <c r="I112" s="12">
        <f>SUMIFS(tblDaily[TransfersIn],tblDaily[Month],8,tblDaily[WardCode],"BF")</f>
        <v/>
      </c>
      <c r="J112" s="12">
        <f>SUMIFS(tblDaily[TransfersOut],tblDaily[Month],8,tblDaily[WardCode],"BF")</f>
        <v/>
      </c>
      <c r="K112" s="27">
        <f>IFERROR(H112/31,0)</f>
        <v/>
      </c>
      <c r="L112" s="27">
        <f>IFERROR(H112/(E112+F112),0)</f>
        <v/>
      </c>
      <c r="M112" s="27">
        <f>IFERROR((C112*31-H112)/(E112+F112),0)</f>
        <v/>
      </c>
      <c r="N112" s="27">
        <f>IFERROR((E112+F112)/C112,0)</f>
        <v/>
      </c>
      <c r="O112" s="27">
        <f>IFERROR((H112/(C112*31))*100,0)</f>
        <v/>
      </c>
      <c r="P112" s="27">
        <f>IFERROR((F112/(D112+B112))*100,0)</f>
        <v/>
      </c>
    </row>
    <row r="113">
      <c r="A113" s="26" t="inlineStr">
        <is>
          <t>Block G</t>
        </is>
      </c>
      <c r="B113" s="12">
        <f>IFERROR(SUMIFS(tblDaily[Remaining],tblDaily[EntryDate],DATE(2026,7,31),tblDaily[WardCode],"BG"),0)</f>
        <v/>
      </c>
      <c r="C113" s="12">
        <f>IFERROR(INDEX(tblWardConfig[BedComplement],MATCH("BG",tblWardConfig[WardCode],0)),0)</f>
        <v/>
      </c>
      <c r="D113" s="12">
        <f>SUMIFS(tblDaily[Admissions],tblDaily[Month],8,tblDaily[WardCode],"BG") - SUMIFS(tblDaily[DeathsUnder24Hrs],tblDaily[Month],8,tblDaily[WardCode],"BG")</f>
        <v/>
      </c>
      <c r="E113" s="12">
        <f>SUMIFS(tblDaily[Discharges],tblDaily[Month],8,tblDaily[WardCode],"BG")</f>
        <v/>
      </c>
      <c r="F113" s="12">
        <f>SUMIFS(tblDaily[Deaths],tblDaily[Month],8,tblDaily[WardCode],"BG")</f>
        <v/>
      </c>
      <c r="G113" s="12">
        <f>SUMIFS(tblDaily[DeathsUnder24Hrs],tblDaily[Month],8,tblDaily[WardCode],"BG")</f>
        <v/>
      </c>
      <c r="H113" s="12">
        <f>SUMIFS(tblDaily[Remaining],tblDaily[Month],8,tblDaily[WardCode],"BG")</f>
        <v/>
      </c>
      <c r="I113" s="12">
        <f>SUMIFS(tblDaily[TransfersIn],tblDaily[Month],8,tblDaily[WardCode],"BG")</f>
        <v/>
      </c>
      <c r="J113" s="12">
        <f>SUMIFS(tblDaily[TransfersOut],tblDaily[Month],8,tblDaily[WardCode],"BG")</f>
        <v/>
      </c>
      <c r="K113" s="27">
        <f>IFERROR(H113/31,0)</f>
        <v/>
      </c>
      <c r="L113" s="27">
        <f>IFERROR(H113/(E113+F113),0)</f>
        <v/>
      </c>
      <c r="M113" s="27">
        <f>IFERROR((C113*31-H113)/(E113+F113),0)</f>
        <v/>
      </c>
      <c r="N113" s="27">
        <f>IFERROR((E113+F113)/C113,0)</f>
        <v/>
      </c>
      <c r="O113" s="27">
        <f>IFERROR((H113/(C113*31))*100,0)</f>
        <v/>
      </c>
      <c r="P113" s="27">
        <f>IFERROR((F113/(D113+B113))*100,0)</f>
        <v/>
      </c>
    </row>
    <row r="114">
      <c r="A114" s="26" t="inlineStr">
        <is>
          <t>Block H</t>
        </is>
      </c>
      <c r="B114" s="12">
        <f>IFERROR(SUMIFS(tblDaily[Remaining],tblDaily[EntryDate],DATE(2026,7,31),tblDaily[WardCode],"BH"),0)</f>
        <v/>
      </c>
      <c r="C114" s="12">
        <f>IFERROR(INDEX(tblWardConfig[BedComplement],MATCH("BH",tblWardConfig[WardCode],0)),0)</f>
        <v/>
      </c>
      <c r="D114" s="12">
        <f>SUMIFS(tblDaily[Admissions],tblDaily[Month],8,tblDaily[WardCode],"BH") - SUMIFS(tblDaily[DeathsUnder24Hrs],tblDaily[Month],8,tblDaily[WardCode],"BH")</f>
        <v/>
      </c>
      <c r="E114" s="12">
        <f>SUMIFS(tblDaily[Discharges],tblDaily[Month],8,tblDaily[WardCode],"BH")</f>
        <v/>
      </c>
      <c r="F114" s="12">
        <f>SUMIFS(tblDaily[Deaths],tblDaily[Month],8,tblDaily[WardCode],"BH")</f>
        <v/>
      </c>
      <c r="G114" s="12">
        <f>SUMIFS(tblDaily[DeathsUnder24Hrs],tblDaily[Month],8,tblDaily[WardCode],"BH")</f>
        <v/>
      </c>
      <c r="H114" s="12">
        <f>SUMIFS(tblDaily[Remaining],tblDaily[Month],8,tblDaily[WardCode],"BH")</f>
        <v/>
      </c>
      <c r="I114" s="12">
        <f>SUMIFS(tblDaily[TransfersIn],tblDaily[Month],8,tblDaily[WardCode],"BH")</f>
        <v/>
      </c>
      <c r="J114" s="12">
        <f>SUMIFS(tblDaily[TransfersOut],tblDaily[Month],8,tblDaily[WardCode],"BH")</f>
        <v/>
      </c>
      <c r="K114" s="27">
        <f>IFERROR(H114/31,0)</f>
        <v/>
      </c>
      <c r="L114" s="27">
        <f>IFERROR(H114/(E114+F114),0)</f>
        <v/>
      </c>
      <c r="M114" s="27">
        <f>IFERROR((C114*31-H114)/(E114+F114),0)</f>
        <v/>
      </c>
      <c r="N114" s="27">
        <f>IFERROR((E114+F114)/C114,0)</f>
        <v/>
      </c>
      <c r="O114" s="27">
        <f>IFERROR((H114/(C114*31))*100,0)</f>
        <v/>
      </c>
      <c r="P114" s="27">
        <f>IFERROR((F114/(D114+B114))*100,0)</f>
        <v/>
      </c>
    </row>
    <row r="115">
      <c r="A115" s="26" t="inlineStr">
        <is>
          <t>Neonatal</t>
        </is>
      </c>
      <c r="B115" s="12">
        <f>IFERROR(SUMIFS(tblDaily[Remaining],tblDaily[EntryDate],DATE(2026,7,31),tblDaily[WardCode],"NICU"),0)</f>
        <v/>
      </c>
      <c r="C115" s="12">
        <f>IFERROR(INDEX(tblWardConfig[BedComplement],MATCH("NICU",tblWardConfig[WardCode],0)),0)</f>
        <v/>
      </c>
      <c r="D115" s="12">
        <f>SUMIFS(tblDaily[Admissions],tblDaily[Month],8,tblDaily[WardCode],"NICU") - SUMIFS(tblDaily[DeathsUnder24Hrs],tblDaily[Month],8,tblDaily[WardCode],"NICU")</f>
        <v/>
      </c>
      <c r="E115" s="12">
        <f>SUMIFS(tblDaily[Discharges],tblDaily[Month],8,tblDaily[WardCode],"NICU")</f>
        <v/>
      </c>
      <c r="F115" s="12">
        <f>SUMIFS(tblDaily[Deaths],tblDaily[Month],8,tblDaily[WardCode],"NICU")</f>
        <v/>
      </c>
      <c r="G115" s="12">
        <f>SUMIFS(tblDaily[DeathsUnder24Hrs],tblDaily[Month],8,tblDaily[WardCode],"NICU")</f>
        <v/>
      </c>
      <c r="H115" s="12">
        <f>SUMIFS(tblDaily[Remaining],tblDaily[Month],8,tblDaily[WardCode],"NICU")</f>
        <v/>
      </c>
      <c r="I115" s="12">
        <f>SUMIFS(tblDaily[TransfersIn],tblDaily[Month],8,tblDaily[WardCode],"NICU")</f>
        <v/>
      </c>
      <c r="J115" s="12">
        <f>SUMIFS(tblDaily[TransfersOut],tblDaily[Month],8,tblDaily[WardCode],"NICU")</f>
        <v/>
      </c>
      <c r="K115" s="27">
        <f>IFERROR(H115/31,0)</f>
        <v/>
      </c>
      <c r="L115" s="27">
        <f>IFERROR(H115/(E115+F115),0)</f>
        <v/>
      </c>
      <c r="M115" s="27">
        <f>IFERROR((C115*31-H115)/(E115+F115),0)</f>
        <v/>
      </c>
      <c r="N115" s="27">
        <f>IFERROR((E115+F115)/C115,0)</f>
        <v/>
      </c>
      <c r="O115" s="27">
        <f>IFERROR((H115/(C115*31))*100,0)</f>
        <v/>
      </c>
      <c r="P115" s="27">
        <f>IFERROR((F115/(D115+B115))*100,0)</f>
        <v/>
      </c>
    </row>
    <row r="116">
      <c r="A116" s="26" t="inlineStr">
        <is>
          <t>Male Emergency</t>
        </is>
      </c>
      <c r="B116" s="12">
        <f>IFERROR(SUMIFS(tblDaily[Remaining],tblDaily[EntryDate],DATE(2026,7,31),tblDaily[WardCode],"MAE"),0)</f>
        <v/>
      </c>
      <c r="C116" s="12">
        <f>IFERROR(INDEX(tblWardConfig[BedComplement],MATCH("MAE",tblWardConfig[WardCode],0)),0)</f>
        <v/>
      </c>
      <c r="D116" s="12">
        <f>SUMIFS(tblDaily[Admissions],tblDaily[Month],8,tblDaily[WardCode],"MAE") - SUMIFS(tblDaily[DeathsUnder24Hrs],tblDaily[Month],8,tblDaily[WardCode],"MAE")</f>
        <v/>
      </c>
      <c r="E116" s="12">
        <f>SUMIFS(tblDaily[Discharges],tblDaily[Month],8,tblDaily[WardCode],"MAE")</f>
        <v/>
      </c>
      <c r="F116" s="12">
        <f>SUMIFS(tblDaily[Deaths],tblDaily[Month],8,tblDaily[WardCode],"MAE")</f>
        <v/>
      </c>
      <c r="G116" s="12">
        <f>SUMIFS(tblDaily[DeathsUnder24Hrs],tblDaily[Month],8,tblDaily[WardCode],"MAE")</f>
        <v/>
      </c>
      <c r="H116" s="12">
        <f>SUMIFS(tblDaily[Remaining],tblDaily[Month],8,tblDaily[WardCode],"MAE")</f>
        <v/>
      </c>
      <c r="I116" s="12">
        <f>SUMIFS(tblDaily[TransfersIn],tblDaily[Month],8,tblDaily[WardCode],"MAE")</f>
        <v/>
      </c>
      <c r="J116" s="12">
        <f>SUMIFS(tblDaily[TransfersOut],tblDaily[Month],8,tblDaily[WardCode],"MAE")</f>
        <v/>
      </c>
      <c r="K116" s="27">
        <f>IFERROR(H116/31,0)</f>
        <v/>
      </c>
      <c r="L116" s="27">
        <f>IFERROR(H116/(E116+F116),0)</f>
        <v/>
      </c>
      <c r="M116" s="27">
        <f>IFERROR((C116*31-H116)/(E116+F116),0)</f>
        <v/>
      </c>
      <c r="N116" s="27">
        <f>IFERROR((E116+F116)/C116,0)</f>
        <v/>
      </c>
      <c r="O116" s="27">
        <f>IFERROR((H116/(C116*31))*100,0)</f>
        <v/>
      </c>
      <c r="P116" s="27">
        <f>IFERROR((F116/(D116+B116))*100,0)</f>
        <v/>
      </c>
    </row>
    <row r="117">
      <c r="A117" s="26" t="inlineStr">
        <is>
          <t>Female Emergency</t>
        </is>
      </c>
      <c r="B117" s="12">
        <f>IFERROR(SUMIFS(tblDaily[Remaining],tblDaily[EntryDate],DATE(2026,7,31),tblDaily[WardCode],"FAE"),0)</f>
        <v/>
      </c>
      <c r="C117" s="12">
        <f>IFERROR(INDEX(tblWardConfig[BedComplement],MATCH("FAE",tblWardConfig[WardCode],0)),0)</f>
        <v/>
      </c>
      <c r="D117" s="12">
        <f>SUMIFS(tblDaily[Admissions],tblDaily[Month],8,tblDaily[WardCode],"FAE") - SUMIFS(tblDaily[DeathsUnder24Hrs],tblDaily[Month],8,tblDaily[WardCode],"FAE")</f>
        <v/>
      </c>
      <c r="E117" s="12">
        <f>SUMIFS(tblDaily[Discharges],tblDaily[Month],8,tblDaily[WardCode],"FAE")</f>
        <v/>
      </c>
      <c r="F117" s="12">
        <f>SUMIFS(tblDaily[Deaths],tblDaily[Month],8,tblDaily[WardCode],"FAE")</f>
        <v/>
      </c>
      <c r="G117" s="12">
        <f>SUMIFS(tblDaily[DeathsUnder24Hrs],tblDaily[Month],8,tblDaily[WardCode],"FAE")</f>
        <v/>
      </c>
      <c r="H117" s="12">
        <f>SUMIFS(tblDaily[Remaining],tblDaily[Month],8,tblDaily[WardCode],"FAE")</f>
        <v/>
      </c>
      <c r="I117" s="12">
        <f>SUMIFS(tblDaily[TransfersIn],tblDaily[Month],8,tblDaily[WardCode],"FAE")</f>
        <v/>
      </c>
      <c r="J117" s="12">
        <f>SUMIFS(tblDaily[TransfersOut],tblDaily[Month],8,tblDaily[WardCode],"FAE")</f>
        <v/>
      </c>
      <c r="K117" s="27">
        <f>IFERROR(H117/31,0)</f>
        <v/>
      </c>
      <c r="L117" s="27">
        <f>IFERROR(H117/(E117+F117),0)</f>
        <v/>
      </c>
      <c r="M117" s="27">
        <f>IFERROR((C117*31-H117)/(E117+F117),0)</f>
        <v/>
      </c>
      <c r="N117" s="27">
        <f>IFERROR((E117+F117)/C117,0)</f>
        <v/>
      </c>
      <c r="O117" s="27">
        <f>IFERROR((H117/(C117*31))*100,0)</f>
        <v/>
      </c>
      <c r="P117" s="27">
        <f>IFERROR((F117/(D117+B117))*100,0)</f>
        <v/>
      </c>
    </row>
    <row r="118">
      <c r="A118" s="17" t="inlineStr">
        <is>
          <t>TOTAL</t>
        </is>
      </c>
      <c r="B118" s="17">
        <f>SUM(B109:B117)</f>
        <v/>
      </c>
      <c r="C118" s="17">
        <f>SUM(C109:C117)</f>
        <v/>
      </c>
      <c r="D118" s="17">
        <f>SUM(D109:D117)</f>
        <v/>
      </c>
      <c r="E118" s="17">
        <f>SUM(E109:E117)</f>
        <v/>
      </c>
      <c r="F118" s="17">
        <f>SUM(F109:F117)</f>
        <v/>
      </c>
      <c r="G118" s="17">
        <f>SUM(G109:G117)</f>
        <v/>
      </c>
      <c r="H118" s="17">
        <f>SUM(H109:H117)</f>
        <v/>
      </c>
      <c r="I118" s="17">
        <f>SUM(I109:I117)</f>
        <v/>
      </c>
      <c r="J118" s="17">
        <f>SUM(J109:J117)</f>
        <v/>
      </c>
      <c r="K118" s="28">
        <f>IFERROR(H118/31,0)</f>
        <v/>
      </c>
      <c r="L118" s="28">
        <f>IFERROR(H118/(E118+F118),0)</f>
        <v/>
      </c>
      <c r="M118" s="28">
        <f>IFERROR((C118*31-H118)/(E118+F118),0)</f>
        <v/>
      </c>
      <c r="N118" s="28">
        <f>IFERROR((E118+F118)/C118,0)</f>
        <v/>
      </c>
      <c r="O118" s="28">
        <f>IFERROR((H118/(C118*31))*100,0)</f>
        <v/>
      </c>
      <c r="P118" s="28">
        <f>IFERROR((F118/(D118+B118))*100,0)</f>
        <v/>
      </c>
    </row>
    <row r="119">
      <c r="A119" s="29" t="inlineStr">
        <is>
          <t>Emergency</t>
        </is>
      </c>
      <c r="B119" s="29">
        <f>B116+B117</f>
        <v/>
      </c>
      <c r="C119" s="29">
        <f>C116+C117</f>
        <v/>
      </c>
      <c r="D119" s="29">
        <f>D116+D117</f>
        <v/>
      </c>
      <c r="E119" s="29">
        <f>E116+E117</f>
        <v/>
      </c>
      <c r="F119" s="29">
        <f>F116+F117</f>
        <v/>
      </c>
      <c r="G119" s="29">
        <f>G116+G117</f>
        <v/>
      </c>
      <c r="H119" s="29">
        <f>H116+H117</f>
        <v/>
      </c>
      <c r="I119" s="29">
        <f>I116+I117</f>
        <v/>
      </c>
      <c r="J119" s="29">
        <f>J116+J117</f>
        <v/>
      </c>
      <c r="K119" s="30">
        <f>IFERROR(H119/31,0)</f>
        <v/>
      </c>
      <c r="L119" s="30">
        <f>IFERROR(H119/(E119+F119),0)</f>
        <v/>
      </c>
      <c r="M119" s="30">
        <f>IFERROR((C119*31-H119)/(E119+F119),0)</f>
        <v/>
      </c>
      <c r="N119" s="30">
        <f>IFERROR((E119+F119)/C119,0)</f>
        <v/>
      </c>
      <c r="O119" s="30">
        <f>IFERROR((H119/(C119*31))*100,0)</f>
        <v/>
      </c>
      <c r="P119" s="30">
        <f>IFERROR((F119/(D119+B119))*100,0)</f>
        <v/>
      </c>
    </row>
    <row r="121">
      <c r="A121" s="1" t="inlineStr">
        <is>
          <t>GHANA HEALTH SERVICE</t>
        </is>
      </c>
    </row>
    <row r="122">
      <c r="A122" s="2" t="inlineStr">
        <is>
          <t>MONTHLY BED UTILIZATION FORM - SEPTEMBER, 2026</t>
        </is>
      </c>
    </row>
    <row r="123">
      <c r="A123" s="16" t="inlineStr">
        <is>
          <t>WARD</t>
        </is>
      </c>
      <c r="B123" s="16" t="inlineStr">
        <is>
          <t>Patients on bed
at the beginning
of the month</t>
        </is>
      </c>
      <c r="C123" s="16" t="inlineStr">
        <is>
          <t>Bed Complement</t>
        </is>
      </c>
      <c r="D123" s="16" t="inlineStr">
        <is>
          <t>Admissions</t>
        </is>
      </c>
      <c r="E123" s="16" t="inlineStr">
        <is>
          <t>Discharges</t>
        </is>
      </c>
      <c r="F123" s="16" t="inlineStr">
        <is>
          <t>Deaths</t>
        </is>
      </c>
      <c r="G123" s="16" t="inlineStr">
        <is>
          <t>Deaths
&lt;24Hrs</t>
        </is>
      </c>
      <c r="H123" s="16" t="inlineStr">
        <is>
          <t>Patient
Days</t>
        </is>
      </c>
      <c r="I123" s="16" t="inlineStr">
        <is>
          <t>Transfer In</t>
        </is>
      </c>
      <c r="J123" s="16" t="inlineStr">
        <is>
          <t>Transfer
Out</t>
        </is>
      </c>
      <c r="K123" s="16" t="inlineStr">
        <is>
          <t>Average
Daily Bed
Occupancy</t>
        </is>
      </c>
      <c r="L123" s="16" t="inlineStr">
        <is>
          <t>Average
Length
of Stay</t>
        </is>
      </c>
      <c r="M123" s="16" t="inlineStr">
        <is>
          <t>Bed
Turnover
Interval</t>
        </is>
      </c>
      <c r="N123" s="16" t="inlineStr">
        <is>
          <t>Bed
Turnover
Rate</t>
        </is>
      </c>
      <c r="O123" s="16" t="inlineStr">
        <is>
          <t>Percentage
of
Occupancy</t>
        </is>
      </c>
      <c r="P123" s="16" t="inlineStr">
        <is>
          <t>Death
Rate</t>
        </is>
      </c>
    </row>
    <row r="124">
      <c r="A124" s="26" t="inlineStr">
        <is>
          <t>Male Medical</t>
        </is>
      </c>
      <c r="B124" s="12">
        <f>IFERROR(SUMIFS(tblDaily[Remaining],tblDaily[EntryDate],DATE(2026,8,31),tblDaily[WardCode],"MW"),0)</f>
        <v/>
      </c>
      <c r="C124" s="12">
        <f>IFERROR(INDEX(tblWardConfig[BedComplement],MATCH("MW",tblWardConfig[WardCode],0)),0)</f>
        <v/>
      </c>
      <c r="D124" s="12">
        <f>SUMIFS(tblDaily[Admissions],tblDaily[Month],9,tblDaily[WardCode],"MW") - SUMIFS(tblDaily[DeathsUnder24Hrs],tblDaily[Month],9,tblDaily[WardCode],"MW")</f>
        <v/>
      </c>
      <c r="E124" s="12">
        <f>SUMIFS(tblDaily[Discharges],tblDaily[Month],9,tblDaily[WardCode],"MW")</f>
        <v/>
      </c>
      <c r="F124" s="12">
        <f>SUMIFS(tblDaily[Deaths],tblDaily[Month],9,tblDaily[WardCode],"MW")</f>
        <v/>
      </c>
      <c r="G124" s="12">
        <f>SUMIFS(tblDaily[DeathsUnder24Hrs],tblDaily[Month],9,tblDaily[WardCode],"MW")</f>
        <v/>
      </c>
      <c r="H124" s="12">
        <f>SUMIFS(tblDaily[Remaining],tblDaily[Month],9,tblDaily[WardCode],"MW")</f>
        <v/>
      </c>
      <c r="I124" s="12">
        <f>SUMIFS(tblDaily[TransfersIn],tblDaily[Month],9,tblDaily[WardCode],"MW")</f>
        <v/>
      </c>
      <c r="J124" s="12">
        <f>SUMIFS(tblDaily[TransfersOut],tblDaily[Month],9,tblDaily[WardCode],"MW")</f>
        <v/>
      </c>
      <c r="K124" s="27">
        <f>IFERROR(H124/30,0)</f>
        <v/>
      </c>
      <c r="L124" s="27">
        <f>IFERROR(H124/(E124+F124),0)</f>
        <v/>
      </c>
      <c r="M124" s="27">
        <f>IFERROR((C124*30-H124)/(E124+F124),0)</f>
        <v/>
      </c>
      <c r="N124" s="27">
        <f>IFERROR((E124+F124)/C124,0)</f>
        <v/>
      </c>
      <c r="O124" s="27">
        <f>IFERROR((H124/(C124*30))*100,0)</f>
        <v/>
      </c>
      <c r="P124" s="27">
        <f>IFERROR((F124/(D124+B124))*100,0)</f>
        <v/>
      </c>
    </row>
    <row r="125">
      <c r="A125" s="26" t="inlineStr">
        <is>
          <t>Female Medical</t>
        </is>
      </c>
      <c r="B125" s="12">
        <f>IFERROR(SUMIFS(tblDaily[Remaining],tblDaily[EntryDate],DATE(2026,8,31),tblDaily[WardCode],"FW"),0)</f>
        <v/>
      </c>
      <c r="C125" s="12">
        <f>IFERROR(INDEX(tblWardConfig[BedComplement],MATCH("FW",tblWardConfig[WardCode],0)),0)</f>
        <v/>
      </c>
      <c r="D125" s="12">
        <f>SUMIFS(tblDaily[Admissions],tblDaily[Month],9,tblDaily[WardCode],"FW") - SUMIFS(tblDaily[DeathsUnder24Hrs],tblDaily[Month],9,tblDaily[WardCode],"FW")</f>
        <v/>
      </c>
      <c r="E125" s="12">
        <f>SUMIFS(tblDaily[Discharges],tblDaily[Month],9,tblDaily[WardCode],"FW")</f>
        <v/>
      </c>
      <c r="F125" s="12">
        <f>SUMIFS(tblDaily[Deaths],tblDaily[Month],9,tblDaily[WardCode],"FW")</f>
        <v/>
      </c>
      <c r="G125" s="12">
        <f>SUMIFS(tblDaily[DeathsUnder24Hrs],tblDaily[Month],9,tblDaily[WardCode],"FW")</f>
        <v/>
      </c>
      <c r="H125" s="12">
        <f>SUMIFS(tblDaily[Remaining],tblDaily[Month],9,tblDaily[WardCode],"FW")</f>
        <v/>
      </c>
      <c r="I125" s="12">
        <f>SUMIFS(tblDaily[TransfersIn],tblDaily[Month],9,tblDaily[WardCode],"FW")</f>
        <v/>
      </c>
      <c r="J125" s="12">
        <f>SUMIFS(tblDaily[TransfersOut],tblDaily[Month],9,tblDaily[WardCode],"FW")</f>
        <v/>
      </c>
      <c r="K125" s="27">
        <f>IFERROR(H125/30,0)</f>
        <v/>
      </c>
      <c r="L125" s="27">
        <f>IFERROR(H125/(E125+F125),0)</f>
        <v/>
      </c>
      <c r="M125" s="27">
        <f>IFERROR((C125*30-H125)/(E125+F125),0)</f>
        <v/>
      </c>
      <c r="N125" s="27">
        <f>IFERROR((E125+F125)/C125,0)</f>
        <v/>
      </c>
      <c r="O125" s="27">
        <f>IFERROR((H125/(C125*30))*100,0)</f>
        <v/>
      </c>
      <c r="P125" s="27">
        <f>IFERROR((F125/(D125+B125))*100,0)</f>
        <v/>
      </c>
    </row>
    <row r="126">
      <c r="A126" s="26" t="inlineStr">
        <is>
          <t>Paediatric</t>
        </is>
      </c>
      <c r="B126" s="12">
        <f>IFERROR(SUMIFS(tblDaily[Remaining],tblDaily[EntryDate],DATE(2026,8,31),tblDaily[WardCode],"CW"),0)</f>
        <v/>
      </c>
      <c r="C126" s="12">
        <f>IFERROR(INDEX(tblWardConfig[BedComplement],MATCH("CW",tblWardConfig[WardCode],0)),0)</f>
        <v/>
      </c>
      <c r="D126" s="12">
        <f>SUMIFS(tblDaily[Admissions],tblDaily[Month],9,tblDaily[WardCode],"CW") - SUMIFS(tblDaily[DeathsUnder24Hrs],tblDaily[Month],9,tblDaily[WardCode],"CW")</f>
        <v/>
      </c>
      <c r="E126" s="12">
        <f>SUMIFS(tblDaily[Discharges],tblDaily[Month],9,tblDaily[WardCode],"CW")</f>
        <v/>
      </c>
      <c r="F126" s="12">
        <f>SUMIFS(tblDaily[Deaths],tblDaily[Month],9,tblDaily[WardCode],"CW")</f>
        <v/>
      </c>
      <c r="G126" s="12">
        <f>SUMIFS(tblDaily[DeathsUnder24Hrs],tblDaily[Month],9,tblDaily[WardCode],"CW")</f>
        <v/>
      </c>
      <c r="H126" s="12">
        <f>SUMIFS(tblDaily[Remaining],tblDaily[Month],9,tblDaily[WardCode],"CW")</f>
        <v/>
      </c>
      <c r="I126" s="12">
        <f>SUMIFS(tblDaily[TransfersIn],tblDaily[Month],9,tblDaily[WardCode],"CW")</f>
        <v/>
      </c>
      <c r="J126" s="12">
        <f>SUMIFS(tblDaily[TransfersOut],tblDaily[Month],9,tblDaily[WardCode],"CW")</f>
        <v/>
      </c>
      <c r="K126" s="27">
        <f>IFERROR(H126/30,0)</f>
        <v/>
      </c>
      <c r="L126" s="27">
        <f>IFERROR(H126/(E126+F126),0)</f>
        <v/>
      </c>
      <c r="M126" s="27">
        <f>IFERROR((C126*30-H126)/(E126+F126),0)</f>
        <v/>
      </c>
      <c r="N126" s="27">
        <f>IFERROR((E126+F126)/C126,0)</f>
        <v/>
      </c>
      <c r="O126" s="27">
        <f>IFERROR((H126/(C126*30))*100,0)</f>
        <v/>
      </c>
      <c r="P126" s="27">
        <f>IFERROR((F126/(D126+B126))*100,0)</f>
        <v/>
      </c>
    </row>
    <row r="127">
      <c r="A127" s="26" t="inlineStr">
        <is>
          <t>Block F</t>
        </is>
      </c>
      <c r="B127" s="12">
        <f>IFERROR(SUMIFS(tblDaily[Remaining],tblDaily[EntryDate],DATE(2026,8,31),tblDaily[WardCode],"BF"),0)</f>
        <v/>
      </c>
      <c r="C127" s="12">
        <f>IFERROR(INDEX(tblWardConfig[BedComplement],MATCH("BF",tblWardConfig[WardCode],0)),0)</f>
        <v/>
      </c>
      <c r="D127" s="12">
        <f>SUMIFS(tblDaily[Admissions],tblDaily[Month],9,tblDaily[WardCode],"BF") - SUMIFS(tblDaily[DeathsUnder24Hrs],tblDaily[Month],9,tblDaily[WardCode],"BF")</f>
        <v/>
      </c>
      <c r="E127" s="12">
        <f>SUMIFS(tblDaily[Discharges],tblDaily[Month],9,tblDaily[WardCode],"BF")</f>
        <v/>
      </c>
      <c r="F127" s="12">
        <f>SUMIFS(tblDaily[Deaths],tblDaily[Month],9,tblDaily[WardCode],"BF")</f>
        <v/>
      </c>
      <c r="G127" s="12">
        <f>SUMIFS(tblDaily[DeathsUnder24Hrs],tblDaily[Month],9,tblDaily[WardCode],"BF")</f>
        <v/>
      </c>
      <c r="H127" s="12">
        <f>SUMIFS(tblDaily[Remaining],tblDaily[Month],9,tblDaily[WardCode],"BF")</f>
        <v/>
      </c>
      <c r="I127" s="12">
        <f>SUMIFS(tblDaily[TransfersIn],tblDaily[Month],9,tblDaily[WardCode],"BF")</f>
        <v/>
      </c>
      <c r="J127" s="12">
        <f>SUMIFS(tblDaily[TransfersOut],tblDaily[Month],9,tblDaily[WardCode],"BF")</f>
        <v/>
      </c>
      <c r="K127" s="27">
        <f>IFERROR(H127/30,0)</f>
        <v/>
      </c>
      <c r="L127" s="27">
        <f>IFERROR(H127/(E127+F127),0)</f>
        <v/>
      </c>
      <c r="M127" s="27">
        <f>IFERROR((C127*30-H127)/(E127+F127),0)</f>
        <v/>
      </c>
      <c r="N127" s="27">
        <f>IFERROR((E127+F127)/C127,0)</f>
        <v/>
      </c>
      <c r="O127" s="27">
        <f>IFERROR((H127/(C127*30))*100,0)</f>
        <v/>
      </c>
      <c r="P127" s="27">
        <f>IFERROR((F127/(D127+B127))*100,0)</f>
        <v/>
      </c>
    </row>
    <row r="128">
      <c r="A128" s="26" t="inlineStr">
        <is>
          <t>Block G</t>
        </is>
      </c>
      <c r="B128" s="12">
        <f>IFERROR(SUMIFS(tblDaily[Remaining],tblDaily[EntryDate],DATE(2026,8,31),tblDaily[WardCode],"BG"),0)</f>
        <v/>
      </c>
      <c r="C128" s="12">
        <f>IFERROR(INDEX(tblWardConfig[BedComplement],MATCH("BG",tblWardConfig[WardCode],0)),0)</f>
        <v/>
      </c>
      <c r="D128" s="12">
        <f>SUMIFS(tblDaily[Admissions],tblDaily[Month],9,tblDaily[WardCode],"BG") - SUMIFS(tblDaily[DeathsUnder24Hrs],tblDaily[Month],9,tblDaily[WardCode],"BG")</f>
        <v/>
      </c>
      <c r="E128" s="12">
        <f>SUMIFS(tblDaily[Discharges],tblDaily[Month],9,tblDaily[WardCode],"BG")</f>
        <v/>
      </c>
      <c r="F128" s="12">
        <f>SUMIFS(tblDaily[Deaths],tblDaily[Month],9,tblDaily[WardCode],"BG")</f>
        <v/>
      </c>
      <c r="G128" s="12">
        <f>SUMIFS(tblDaily[DeathsUnder24Hrs],tblDaily[Month],9,tblDaily[WardCode],"BG")</f>
        <v/>
      </c>
      <c r="H128" s="12">
        <f>SUMIFS(tblDaily[Remaining],tblDaily[Month],9,tblDaily[WardCode],"BG")</f>
        <v/>
      </c>
      <c r="I128" s="12">
        <f>SUMIFS(tblDaily[TransfersIn],tblDaily[Month],9,tblDaily[WardCode],"BG")</f>
        <v/>
      </c>
      <c r="J128" s="12">
        <f>SUMIFS(tblDaily[TransfersOut],tblDaily[Month],9,tblDaily[WardCode],"BG")</f>
        <v/>
      </c>
      <c r="K128" s="27">
        <f>IFERROR(H128/30,0)</f>
        <v/>
      </c>
      <c r="L128" s="27">
        <f>IFERROR(H128/(E128+F128),0)</f>
        <v/>
      </c>
      <c r="M128" s="27">
        <f>IFERROR((C128*30-H128)/(E128+F128),0)</f>
        <v/>
      </c>
      <c r="N128" s="27">
        <f>IFERROR((E128+F128)/C128,0)</f>
        <v/>
      </c>
      <c r="O128" s="27">
        <f>IFERROR((H128/(C128*30))*100,0)</f>
        <v/>
      </c>
      <c r="P128" s="27">
        <f>IFERROR((F128/(D128+B128))*100,0)</f>
        <v/>
      </c>
    </row>
    <row r="129">
      <c r="A129" s="26" t="inlineStr">
        <is>
          <t>Block H</t>
        </is>
      </c>
      <c r="B129" s="12">
        <f>IFERROR(SUMIFS(tblDaily[Remaining],tblDaily[EntryDate],DATE(2026,8,31),tblDaily[WardCode],"BH"),0)</f>
        <v/>
      </c>
      <c r="C129" s="12">
        <f>IFERROR(INDEX(tblWardConfig[BedComplement],MATCH("BH",tblWardConfig[WardCode],0)),0)</f>
        <v/>
      </c>
      <c r="D129" s="12">
        <f>SUMIFS(tblDaily[Admissions],tblDaily[Month],9,tblDaily[WardCode],"BH") - SUMIFS(tblDaily[DeathsUnder24Hrs],tblDaily[Month],9,tblDaily[WardCode],"BH")</f>
        <v/>
      </c>
      <c r="E129" s="12">
        <f>SUMIFS(tblDaily[Discharges],tblDaily[Month],9,tblDaily[WardCode],"BH")</f>
        <v/>
      </c>
      <c r="F129" s="12">
        <f>SUMIFS(tblDaily[Deaths],tblDaily[Month],9,tblDaily[WardCode],"BH")</f>
        <v/>
      </c>
      <c r="G129" s="12">
        <f>SUMIFS(tblDaily[DeathsUnder24Hrs],tblDaily[Month],9,tblDaily[WardCode],"BH")</f>
        <v/>
      </c>
      <c r="H129" s="12">
        <f>SUMIFS(tblDaily[Remaining],tblDaily[Month],9,tblDaily[WardCode],"BH")</f>
        <v/>
      </c>
      <c r="I129" s="12">
        <f>SUMIFS(tblDaily[TransfersIn],tblDaily[Month],9,tblDaily[WardCode],"BH")</f>
        <v/>
      </c>
      <c r="J129" s="12">
        <f>SUMIFS(tblDaily[TransfersOut],tblDaily[Month],9,tblDaily[WardCode],"BH")</f>
        <v/>
      </c>
      <c r="K129" s="27">
        <f>IFERROR(H129/30,0)</f>
        <v/>
      </c>
      <c r="L129" s="27">
        <f>IFERROR(H129/(E129+F129),0)</f>
        <v/>
      </c>
      <c r="M129" s="27">
        <f>IFERROR((C129*30-H129)/(E129+F129),0)</f>
        <v/>
      </c>
      <c r="N129" s="27">
        <f>IFERROR((E129+F129)/C129,0)</f>
        <v/>
      </c>
      <c r="O129" s="27">
        <f>IFERROR((H129/(C129*30))*100,0)</f>
        <v/>
      </c>
      <c r="P129" s="27">
        <f>IFERROR((F129/(D129+B129))*100,0)</f>
        <v/>
      </c>
    </row>
    <row r="130">
      <c r="A130" s="26" t="inlineStr">
        <is>
          <t>Neonatal</t>
        </is>
      </c>
      <c r="B130" s="12">
        <f>IFERROR(SUMIFS(tblDaily[Remaining],tblDaily[EntryDate],DATE(2026,8,31),tblDaily[WardCode],"NICU"),0)</f>
        <v/>
      </c>
      <c r="C130" s="12">
        <f>IFERROR(INDEX(tblWardConfig[BedComplement],MATCH("NICU",tblWardConfig[WardCode],0)),0)</f>
        <v/>
      </c>
      <c r="D130" s="12">
        <f>SUMIFS(tblDaily[Admissions],tblDaily[Month],9,tblDaily[WardCode],"NICU") - SUMIFS(tblDaily[DeathsUnder24Hrs],tblDaily[Month],9,tblDaily[WardCode],"NICU")</f>
        <v/>
      </c>
      <c r="E130" s="12">
        <f>SUMIFS(tblDaily[Discharges],tblDaily[Month],9,tblDaily[WardCode],"NICU")</f>
        <v/>
      </c>
      <c r="F130" s="12">
        <f>SUMIFS(tblDaily[Deaths],tblDaily[Month],9,tblDaily[WardCode],"NICU")</f>
        <v/>
      </c>
      <c r="G130" s="12">
        <f>SUMIFS(tblDaily[DeathsUnder24Hrs],tblDaily[Month],9,tblDaily[WardCode],"NICU")</f>
        <v/>
      </c>
      <c r="H130" s="12">
        <f>SUMIFS(tblDaily[Remaining],tblDaily[Month],9,tblDaily[WardCode],"NICU")</f>
        <v/>
      </c>
      <c r="I130" s="12">
        <f>SUMIFS(tblDaily[TransfersIn],tblDaily[Month],9,tblDaily[WardCode],"NICU")</f>
        <v/>
      </c>
      <c r="J130" s="12">
        <f>SUMIFS(tblDaily[TransfersOut],tblDaily[Month],9,tblDaily[WardCode],"NICU")</f>
        <v/>
      </c>
      <c r="K130" s="27">
        <f>IFERROR(H130/30,0)</f>
        <v/>
      </c>
      <c r="L130" s="27">
        <f>IFERROR(H130/(E130+F130),0)</f>
        <v/>
      </c>
      <c r="M130" s="27">
        <f>IFERROR((C130*30-H130)/(E130+F130),0)</f>
        <v/>
      </c>
      <c r="N130" s="27">
        <f>IFERROR((E130+F130)/C130,0)</f>
        <v/>
      </c>
      <c r="O130" s="27">
        <f>IFERROR((H130/(C130*30))*100,0)</f>
        <v/>
      </c>
      <c r="P130" s="27">
        <f>IFERROR((F130/(D130+B130))*100,0)</f>
        <v/>
      </c>
    </row>
    <row r="131">
      <c r="A131" s="26" t="inlineStr">
        <is>
          <t>Male Emergency</t>
        </is>
      </c>
      <c r="B131" s="12">
        <f>IFERROR(SUMIFS(tblDaily[Remaining],tblDaily[EntryDate],DATE(2026,8,31),tblDaily[WardCode],"MAE"),0)</f>
        <v/>
      </c>
      <c r="C131" s="12">
        <f>IFERROR(INDEX(tblWardConfig[BedComplement],MATCH("MAE",tblWardConfig[WardCode],0)),0)</f>
        <v/>
      </c>
      <c r="D131" s="12">
        <f>SUMIFS(tblDaily[Admissions],tblDaily[Month],9,tblDaily[WardCode],"MAE") - SUMIFS(tblDaily[DeathsUnder24Hrs],tblDaily[Month],9,tblDaily[WardCode],"MAE")</f>
        <v/>
      </c>
      <c r="E131" s="12">
        <f>SUMIFS(tblDaily[Discharges],tblDaily[Month],9,tblDaily[WardCode],"MAE")</f>
        <v/>
      </c>
      <c r="F131" s="12">
        <f>SUMIFS(tblDaily[Deaths],tblDaily[Month],9,tblDaily[WardCode],"MAE")</f>
        <v/>
      </c>
      <c r="G131" s="12">
        <f>SUMIFS(tblDaily[DeathsUnder24Hrs],tblDaily[Month],9,tblDaily[WardCode],"MAE")</f>
        <v/>
      </c>
      <c r="H131" s="12">
        <f>SUMIFS(tblDaily[Remaining],tblDaily[Month],9,tblDaily[WardCode],"MAE")</f>
        <v/>
      </c>
      <c r="I131" s="12">
        <f>SUMIFS(tblDaily[TransfersIn],tblDaily[Month],9,tblDaily[WardCode],"MAE")</f>
        <v/>
      </c>
      <c r="J131" s="12">
        <f>SUMIFS(tblDaily[TransfersOut],tblDaily[Month],9,tblDaily[WardCode],"MAE")</f>
        <v/>
      </c>
      <c r="K131" s="27">
        <f>IFERROR(H131/30,0)</f>
        <v/>
      </c>
      <c r="L131" s="27">
        <f>IFERROR(H131/(E131+F131),0)</f>
        <v/>
      </c>
      <c r="M131" s="27">
        <f>IFERROR((C131*30-H131)/(E131+F131),0)</f>
        <v/>
      </c>
      <c r="N131" s="27">
        <f>IFERROR((E131+F131)/C131,0)</f>
        <v/>
      </c>
      <c r="O131" s="27">
        <f>IFERROR((H131/(C131*30))*100,0)</f>
        <v/>
      </c>
      <c r="P131" s="27">
        <f>IFERROR((F131/(D131+B131))*100,0)</f>
        <v/>
      </c>
    </row>
    <row r="132">
      <c r="A132" s="26" t="inlineStr">
        <is>
          <t>Female Emergency</t>
        </is>
      </c>
      <c r="B132" s="12">
        <f>IFERROR(SUMIFS(tblDaily[Remaining],tblDaily[EntryDate],DATE(2026,8,31),tblDaily[WardCode],"FAE"),0)</f>
        <v/>
      </c>
      <c r="C132" s="12">
        <f>IFERROR(INDEX(tblWardConfig[BedComplement],MATCH("FAE",tblWardConfig[WardCode],0)),0)</f>
        <v/>
      </c>
      <c r="D132" s="12">
        <f>SUMIFS(tblDaily[Admissions],tblDaily[Month],9,tblDaily[WardCode],"FAE") - SUMIFS(tblDaily[DeathsUnder24Hrs],tblDaily[Month],9,tblDaily[WardCode],"FAE")</f>
        <v/>
      </c>
      <c r="E132" s="12">
        <f>SUMIFS(tblDaily[Discharges],tblDaily[Month],9,tblDaily[WardCode],"FAE")</f>
        <v/>
      </c>
      <c r="F132" s="12">
        <f>SUMIFS(tblDaily[Deaths],tblDaily[Month],9,tblDaily[WardCode],"FAE")</f>
        <v/>
      </c>
      <c r="G132" s="12">
        <f>SUMIFS(tblDaily[DeathsUnder24Hrs],tblDaily[Month],9,tblDaily[WardCode],"FAE")</f>
        <v/>
      </c>
      <c r="H132" s="12">
        <f>SUMIFS(tblDaily[Remaining],tblDaily[Month],9,tblDaily[WardCode],"FAE")</f>
        <v/>
      </c>
      <c r="I132" s="12">
        <f>SUMIFS(tblDaily[TransfersIn],tblDaily[Month],9,tblDaily[WardCode],"FAE")</f>
        <v/>
      </c>
      <c r="J132" s="12">
        <f>SUMIFS(tblDaily[TransfersOut],tblDaily[Month],9,tblDaily[WardCode],"FAE")</f>
        <v/>
      </c>
      <c r="K132" s="27">
        <f>IFERROR(H132/30,0)</f>
        <v/>
      </c>
      <c r="L132" s="27">
        <f>IFERROR(H132/(E132+F132),0)</f>
        <v/>
      </c>
      <c r="M132" s="27">
        <f>IFERROR((C132*30-H132)/(E132+F132),0)</f>
        <v/>
      </c>
      <c r="N132" s="27">
        <f>IFERROR((E132+F132)/C132,0)</f>
        <v/>
      </c>
      <c r="O132" s="27">
        <f>IFERROR((H132/(C132*30))*100,0)</f>
        <v/>
      </c>
      <c r="P132" s="27">
        <f>IFERROR((F132/(D132+B132))*100,0)</f>
        <v/>
      </c>
    </row>
    <row r="133">
      <c r="A133" s="17" t="inlineStr">
        <is>
          <t>TOTAL</t>
        </is>
      </c>
      <c r="B133" s="17">
        <f>SUM(B124:B132)</f>
        <v/>
      </c>
      <c r="C133" s="17">
        <f>SUM(C124:C132)</f>
        <v/>
      </c>
      <c r="D133" s="17">
        <f>SUM(D124:D132)</f>
        <v/>
      </c>
      <c r="E133" s="17">
        <f>SUM(E124:E132)</f>
        <v/>
      </c>
      <c r="F133" s="17">
        <f>SUM(F124:F132)</f>
        <v/>
      </c>
      <c r="G133" s="17">
        <f>SUM(G124:G132)</f>
        <v/>
      </c>
      <c r="H133" s="17">
        <f>SUM(H124:H132)</f>
        <v/>
      </c>
      <c r="I133" s="17">
        <f>SUM(I124:I132)</f>
        <v/>
      </c>
      <c r="J133" s="17">
        <f>SUM(J124:J132)</f>
        <v/>
      </c>
      <c r="K133" s="28">
        <f>IFERROR(H133/30,0)</f>
        <v/>
      </c>
      <c r="L133" s="28">
        <f>IFERROR(H133/(E133+F133),0)</f>
        <v/>
      </c>
      <c r="M133" s="28">
        <f>IFERROR((C133*30-H133)/(E133+F133),0)</f>
        <v/>
      </c>
      <c r="N133" s="28">
        <f>IFERROR((E133+F133)/C133,0)</f>
        <v/>
      </c>
      <c r="O133" s="28">
        <f>IFERROR((H133/(C133*30))*100,0)</f>
        <v/>
      </c>
      <c r="P133" s="28">
        <f>IFERROR((F133/(D133+B133))*100,0)</f>
        <v/>
      </c>
    </row>
    <row r="134">
      <c r="A134" s="29" t="inlineStr">
        <is>
          <t>Emergency</t>
        </is>
      </c>
      <c r="B134" s="29">
        <f>B131+B132</f>
        <v/>
      </c>
      <c r="C134" s="29">
        <f>C131+C132</f>
        <v/>
      </c>
      <c r="D134" s="29">
        <f>D131+D132</f>
        <v/>
      </c>
      <c r="E134" s="29">
        <f>E131+E132</f>
        <v/>
      </c>
      <c r="F134" s="29">
        <f>F131+F132</f>
        <v/>
      </c>
      <c r="G134" s="29">
        <f>G131+G132</f>
        <v/>
      </c>
      <c r="H134" s="29">
        <f>H131+H132</f>
        <v/>
      </c>
      <c r="I134" s="29">
        <f>I131+I132</f>
        <v/>
      </c>
      <c r="J134" s="29">
        <f>J131+J132</f>
        <v/>
      </c>
      <c r="K134" s="30">
        <f>IFERROR(H134/30,0)</f>
        <v/>
      </c>
      <c r="L134" s="30">
        <f>IFERROR(H134/(E134+F134),0)</f>
        <v/>
      </c>
      <c r="M134" s="30">
        <f>IFERROR((C134*30-H134)/(E134+F134),0)</f>
        <v/>
      </c>
      <c r="N134" s="30">
        <f>IFERROR((E134+F134)/C134,0)</f>
        <v/>
      </c>
      <c r="O134" s="30">
        <f>IFERROR((H134/(C134*30))*100,0)</f>
        <v/>
      </c>
      <c r="P134" s="30">
        <f>IFERROR((F134/(D134+B134))*100,0)</f>
        <v/>
      </c>
    </row>
    <row r="136">
      <c r="A136" s="1" t="inlineStr">
        <is>
          <t>GHANA HEALTH SERVICE</t>
        </is>
      </c>
    </row>
    <row r="137">
      <c r="A137" s="2" t="inlineStr">
        <is>
          <t>MONTHLY BED UTILIZATION FORM - OCTOBER, 2026</t>
        </is>
      </c>
    </row>
    <row r="138">
      <c r="A138" s="16" t="inlineStr">
        <is>
          <t>WARD</t>
        </is>
      </c>
      <c r="B138" s="16" t="inlineStr">
        <is>
          <t>Patients on bed
at the beginning
of the month</t>
        </is>
      </c>
      <c r="C138" s="16" t="inlineStr">
        <is>
          <t>Bed Complement</t>
        </is>
      </c>
      <c r="D138" s="16" t="inlineStr">
        <is>
          <t>Admissions</t>
        </is>
      </c>
      <c r="E138" s="16" t="inlineStr">
        <is>
          <t>Discharges</t>
        </is>
      </c>
      <c r="F138" s="16" t="inlineStr">
        <is>
          <t>Deaths</t>
        </is>
      </c>
      <c r="G138" s="16" t="inlineStr">
        <is>
          <t>Deaths
&lt;24Hrs</t>
        </is>
      </c>
      <c r="H138" s="16" t="inlineStr">
        <is>
          <t>Patient
Days</t>
        </is>
      </c>
      <c r="I138" s="16" t="inlineStr">
        <is>
          <t>Transfer In</t>
        </is>
      </c>
      <c r="J138" s="16" t="inlineStr">
        <is>
          <t>Transfer
Out</t>
        </is>
      </c>
      <c r="K138" s="16" t="inlineStr">
        <is>
          <t>Average
Daily Bed
Occupancy</t>
        </is>
      </c>
      <c r="L138" s="16" t="inlineStr">
        <is>
          <t>Average
Length
of Stay</t>
        </is>
      </c>
      <c r="M138" s="16" t="inlineStr">
        <is>
          <t>Bed
Turnover
Interval</t>
        </is>
      </c>
      <c r="N138" s="16" t="inlineStr">
        <is>
          <t>Bed
Turnover
Rate</t>
        </is>
      </c>
      <c r="O138" s="16" t="inlineStr">
        <is>
          <t>Percentage
of
Occupancy</t>
        </is>
      </c>
      <c r="P138" s="16" t="inlineStr">
        <is>
          <t>Death
Rate</t>
        </is>
      </c>
    </row>
    <row r="139">
      <c r="A139" s="26" t="inlineStr">
        <is>
          <t>Male Medical</t>
        </is>
      </c>
      <c r="B139" s="12">
        <f>IFERROR(SUMIFS(tblDaily[Remaining],tblDaily[EntryDate],DATE(2026,9,30),tblDaily[WardCode],"MW"),0)</f>
        <v/>
      </c>
      <c r="C139" s="12">
        <f>IFERROR(INDEX(tblWardConfig[BedComplement],MATCH("MW",tblWardConfig[WardCode],0)),0)</f>
        <v/>
      </c>
      <c r="D139" s="12">
        <f>SUMIFS(tblDaily[Admissions],tblDaily[Month],10,tblDaily[WardCode],"MW") - SUMIFS(tblDaily[DeathsUnder24Hrs],tblDaily[Month],10,tblDaily[WardCode],"MW")</f>
        <v/>
      </c>
      <c r="E139" s="12">
        <f>SUMIFS(tblDaily[Discharges],tblDaily[Month],10,tblDaily[WardCode],"MW")</f>
        <v/>
      </c>
      <c r="F139" s="12">
        <f>SUMIFS(tblDaily[Deaths],tblDaily[Month],10,tblDaily[WardCode],"MW")</f>
        <v/>
      </c>
      <c r="G139" s="12">
        <f>SUMIFS(tblDaily[DeathsUnder24Hrs],tblDaily[Month],10,tblDaily[WardCode],"MW")</f>
        <v/>
      </c>
      <c r="H139" s="12">
        <f>SUMIFS(tblDaily[Remaining],tblDaily[Month],10,tblDaily[WardCode],"MW")</f>
        <v/>
      </c>
      <c r="I139" s="12">
        <f>SUMIFS(tblDaily[TransfersIn],tblDaily[Month],10,tblDaily[WardCode],"MW")</f>
        <v/>
      </c>
      <c r="J139" s="12">
        <f>SUMIFS(tblDaily[TransfersOut],tblDaily[Month],10,tblDaily[WardCode],"MW")</f>
        <v/>
      </c>
      <c r="K139" s="27">
        <f>IFERROR(H139/31,0)</f>
        <v/>
      </c>
      <c r="L139" s="27">
        <f>IFERROR(H139/(E139+F139),0)</f>
        <v/>
      </c>
      <c r="M139" s="27">
        <f>IFERROR((C139*31-H139)/(E139+F139),0)</f>
        <v/>
      </c>
      <c r="N139" s="27">
        <f>IFERROR((E139+F139)/C139,0)</f>
        <v/>
      </c>
      <c r="O139" s="27">
        <f>IFERROR((H139/(C139*31))*100,0)</f>
        <v/>
      </c>
      <c r="P139" s="27">
        <f>IFERROR((F139/(D139+B139))*100,0)</f>
        <v/>
      </c>
    </row>
    <row r="140">
      <c r="A140" s="26" t="inlineStr">
        <is>
          <t>Female Medical</t>
        </is>
      </c>
      <c r="B140" s="12">
        <f>IFERROR(SUMIFS(tblDaily[Remaining],tblDaily[EntryDate],DATE(2026,9,30),tblDaily[WardCode],"FW"),0)</f>
        <v/>
      </c>
      <c r="C140" s="12">
        <f>IFERROR(INDEX(tblWardConfig[BedComplement],MATCH("FW",tblWardConfig[WardCode],0)),0)</f>
        <v/>
      </c>
      <c r="D140" s="12">
        <f>SUMIFS(tblDaily[Admissions],tblDaily[Month],10,tblDaily[WardCode],"FW") - SUMIFS(tblDaily[DeathsUnder24Hrs],tblDaily[Month],10,tblDaily[WardCode],"FW")</f>
        <v/>
      </c>
      <c r="E140" s="12">
        <f>SUMIFS(tblDaily[Discharges],tblDaily[Month],10,tblDaily[WardCode],"FW")</f>
        <v/>
      </c>
      <c r="F140" s="12">
        <f>SUMIFS(tblDaily[Deaths],tblDaily[Month],10,tblDaily[WardCode],"FW")</f>
        <v/>
      </c>
      <c r="G140" s="12">
        <f>SUMIFS(tblDaily[DeathsUnder24Hrs],tblDaily[Month],10,tblDaily[WardCode],"FW")</f>
        <v/>
      </c>
      <c r="H140" s="12">
        <f>SUMIFS(tblDaily[Remaining],tblDaily[Month],10,tblDaily[WardCode],"FW")</f>
        <v/>
      </c>
      <c r="I140" s="12">
        <f>SUMIFS(tblDaily[TransfersIn],tblDaily[Month],10,tblDaily[WardCode],"FW")</f>
        <v/>
      </c>
      <c r="J140" s="12">
        <f>SUMIFS(tblDaily[TransfersOut],tblDaily[Month],10,tblDaily[WardCode],"FW")</f>
        <v/>
      </c>
      <c r="K140" s="27">
        <f>IFERROR(H140/31,0)</f>
        <v/>
      </c>
      <c r="L140" s="27">
        <f>IFERROR(H140/(E140+F140),0)</f>
        <v/>
      </c>
      <c r="M140" s="27">
        <f>IFERROR((C140*31-H140)/(E140+F140),0)</f>
        <v/>
      </c>
      <c r="N140" s="27">
        <f>IFERROR((E140+F140)/C140,0)</f>
        <v/>
      </c>
      <c r="O140" s="27">
        <f>IFERROR((H140/(C140*31))*100,0)</f>
        <v/>
      </c>
      <c r="P140" s="27">
        <f>IFERROR((F140/(D140+B140))*100,0)</f>
        <v/>
      </c>
    </row>
    <row r="141">
      <c r="A141" s="26" t="inlineStr">
        <is>
          <t>Paediatric</t>
        </is>
      </c>
      <c r="B141" s="12">
        <f>IFERROR(SUMIFS(tblDaily[Remaining],tblDaily[EntryDate],DATE(2026,9,30),tblDaily[WardCode],"CW"),0)</f>
        <v/>
      </c>
      <c r="C141" s="12">
        <f>IFERROR(INDEX(tblWardConfig[BedComplement],MATCH("CW",tblWardConfig[WardCode],0)),0)</f>
        <v/>
      </c>
      <c r="D141" s="12">
        <f>SUMIFS(tblDaily[Admissions],tblDaily[Month],10,tblDaily[WardCode],"CW") - SUMIFS(tblDaily[DeathsUnder24Hrs],tblDaily[Month],10,tblDaily[WardCode],"CW")</f>
        <v/>
      </c>
      <c r="E141" s="12">
        <f>SUMIFS(tblDaily[Discharges],tblDaily[Month],10,tblDaily[WardCode],"CW")</f>
        <v/>
      </c>
      <c r="F141" s="12">
        <f>SUMIFS(tblDaily[Deaths],tblDaily[Month],10,tblDaily[WardCode],"CW")</f>
        <v/>
      </c>
      <c r="G141" s="12">
        <f>SUMIFS(tblDaily[DeathsUnder24Hrs],tblDaily[Month],10,tblDaily[WardCode],"CW")</f>
        <v/>
      </c>
      <c r="H141" s="12">
        <f>SUMIFS(tblDaily[Remaining],tblDaily[Month],10,tblDaily[WardCode],"CW")</f>
        <v/>
      </c>
      <c r="I141" s="12">
        <f>SUMIFS(tblDaily[TransfersIn],tblDaily[Month],10,tblDaily[WardCode],"CW")</f>
        <v/>
      </c>
      <c r="J141" s="12">
        <f>SUMIFS(tblDaily[TransfersOut],tblDaily[Month],10,tblDaily[WardCode],"CW")</f>
        <v/>
      </c>
      <c r="K141" s="27">
        <f>IFERROR(H141/31,0)</f>
        <v/>
      </c>
      <c r="L141" s="27">
        <f>IFERROR(H141/(E141+F141),0)</f>
        <v/>
      </c>
      <c r="M141" s="27">
        <f>IFERROR((C141*31-H141)/(E141+F141),0)</f>
        <v/>
      </c>
      <c r="N141" s="27">
        <f>IFERROR((E141+F141)/C141,0)</f>
        <v/>
      </c>
      <c r="O141" s="27">
        <f>IFERROR((H141/(C141*31))*100,0)</f>
        <v/>
      </c>
      <c r="P141" s="27">
        <f>IFERROR((F141/(D141+B141))*100,0)</f>
        <v/>
      </c>
    </row>
    <row r="142">
      <c r="A142" s="26" t="inlineStr">
        <is>
          <t>Block F</t>
        </is>
      </c>
      <c r="B142" s="12">
        <f>IFERROR(SUMIFS(tblDaily[Remaining],tblDaily[EntryDate],DATE(2026,9,30),tblDaily[WardCode],"BF"),0)</f>
        <v/>
      </c>
      <c r="C142" s="12">
        <f>IFERROR(INDEX(tblWardConfig[BedComplement],MATCH("BF",tblWardConfig[WardCode],0)),0)</f>
        <v/>
      </c>
      <c r="D142" s="12">
        <f>SUMIFS(tblDaily[Admissions],tblDaily[Month],10,tblDaily[WardCode],"BF") - SUMIFS(tblDaily[DeathsUnder24Hrs],tblDaily[Month],10,tblDaily[WardCode],"BF")</f>
        <v/>
      </c>
      <c r="E142" s="12">
        <f>SUMIFS(tblDaily[Discharges],tblDaily[Month],10,tblDaily[WardCode],"BF")</f>
        <v/>
      </c>
      <c r="F142" s="12">
        <f>SUMIFS(tblDaily[Deaths],tblDaily[Month],10,tblDaily[WardCode],"BF")</f>
        <v/>
      </c>
      <c r="G142" s="12">
        <f>SUMIFS(tblDaily[DeathsUnder24Hrs],tblDaily[Month],10,tblDaily[WardCode],"BF")</f>
        <v/>
      </c>
      <c r="H142" s="12">
        <f>SUMIFS(tblDaily[Remaining],tblDaily[Month],10,tblDaily[WardCode],"BF")</f>
        <v/>
      </c>
      <c r="I142" s="12">
        <f>SUMIFS(tblDaily[TransfersIn],tblDaily[Month],10,tblDaily[WardCode],"BF")</f>
        <v/>
      </c>
      <c r="J142" s="12">
        <f>SUMIFS(tblDaily[TransfersOut],tblDaily[Month],10,tblDaily[WardCode],"BF")</f>
        <v/>
      </c>
      <c r="K142" s="27">
        <f>IFERROR(H142/31,0)</f>
        <v/>
      </c>
      <c r="L142" s="27">
        <f>IFERROR(H142/(E142+F142),0)</f>
        <v/>
      </c>
      <c r="M142" s="27">
        <f>IFERROR((C142*31-H142)/(E142+F142),0)</f>
        <v/>
      </c>
      <c r="N142" s="27">
        <f>IFERROR((E142+F142)/C142,0)</f>
        <v/>
      </c>
      <c r="O142" s="27">
        <f>IFERROR((H142/(C142*31))*100,0)</f>
        <v/>
      </c>
      <c r="P142" s="27">
        <f>IFERROR((F142/(D142+B142))*100,0)</f>
        <v/>
      </c>
    </row>
    <row r="143">
      <c r="A143" s="26" t="inlineStr">
        <is>
          <t>Block G</t>
        </is>
      </c>
      <c r="B143" s="12">
        <f>IFERROR(SUMIFS(tblDaily[Remaining],tblDaily[EntryDate],DATE(2026,9,30),tblDaily[WardCode],"BG"),0)</f>
        <v/>
      </c>
      <c r="C143" s="12">
        <f>IFERROR(INDEX(tblWardConfig[BedComplement],MATCH("BG",tblWardConfig[WardCode],0)),0)</f>
        <v/>
      </c>
      <c r="D143" s="12">
        <f>SUMIFS(tblDaily[Admissions],tblDaily[Month],10,tblDaily[WardCode],"BG") - SUMIFS(tblDaily[DeathsUnder24Hrs],tblDaily[Month],10,tblDaily[WardCode],"BG")</f>
        <v/>
      </c>
      <c r="E143" s="12">
        <f>SUMIFS(tblDaily[Discharges],tblDaily[Month],10,tblDaily[WardCode],"BG")</f>
        <v/>
      </c>
      <c r="F143" s="12">
        <f>SUMIFS(tblDaily[Deaths],tblDaily[Month],10,tblDaily[WardCode],"BG")</f>
        <v/>
      </c>
      <c r="G143" s="12">
        <f>SUMIFS(tblDaily[DeathsUnder24Hrs],tblDaily[Month],10,tblDaily[WardCode],"BG")</f>
        <v/>
      </c>
      <c r="H143" s="12">
        <f>SUMIFS(tblDaily[Remaining],tblDaily[Month],10,tblDaily[WardCode],"BG")</f>
        <v/>
      </c>
      <c r="I143" s="12">
        <f>SUMIFS(tblDaily[TransfersIn],tblDaily[Month],10,tblDaily[WardCode],"BG")</f>
        <v/>
      </c>
      <c r="J143" s="12">
        <f>SUMIFS(tblDaily[TransfersOut],tblDaily[Month],10,tblDaily[WardCode],"BG")</f>
        <v/>
      </c>
      <c r="K143" s="27">
        <f>IFERROR(H143/31,0)</f>
        <v/>
      </c>
      <c r="L143" s="27">
        <f>IFERROR(H143/(E143+F143),0)</f>
        <v/>
      </c>
      <c r="M143" s="27">
        <f>IFERROR((C143*31-H143)/(E143+F143),0)</f>
        <v/>
      </c>
      <c r="N143" s="27">
        <f>IFERROR((E143+F143)/C143,0)</f>
        <v/>
      </c>
      <c r="O143" s="27">
        <f>IFERROR((H143/(C143*31))*100,0)</f>
        <v/>
      </c>
      <c r="P143" s="27">
        <f>IFERROR((F143/(D143+B143))*100,0)</f>
        <v/>
      </c>
    </row>
    <row r="144">
      <c r="A144" s="26" t="inlineStr">
        <is>
          <t>Block H</t>
        </is>
      </c>
      <c r="B144" s="12">
        <f>IFERROR(SUMIFS(tblDaily[Remaining],tblDaily[EntryDate],DATE(2026,9,30),tblDaily[WardCode],"BH"),0)</f>
        <v/>
      </c>
      <c r="C144" s="12">
        <f>IFERROR(INDEX(tblWardConfig[BedComplement],MATCH("BH",tblWardConfig[WardCode],0)),0)</f>
        <v/>
      </c>
      <c r="D144" s="12">
        <f>SUMIFS(tblDaily[Admissions],tblDaily[Month],10,tblDaily[WardCode],"BH") - SUMIFS(tblDaily[DeathsUnder24Hrs],tblDaily[Month],10,tblDaily[WardCode],"BH")</f>
        <v/>
      </c>
      <c r="E144" s="12">
        <f>SUMIFS(tblDaily[Discharges],tblDaily[Month],10,tblDaily[WardCode],"BH")</f>
        <v/>
      </c>
      <c r="F144" s="12">
        <f>SUMIFS(tblDaily[Deaths],tblDaily[Month],10,tblDaily[WardCode],"BH")</f>
        <v/>
      </c>
      <c r="G144" s="12">
        <f>SUMIFS(tblDaily[DeathsUnder24Hrs],tblDaily[Month],10,tblDaily[WardCode],"BH")</f>
        <v/>
      </c>
      <c r="H144" s="12">
        <f>SUMIFS(tblDaily[Remaining],tblDaily[Month],10,tblDaily[WardCode],"BH")</f>
        <v/>
      </c>
      <c r="I144" s="12">
        <f>SUMIFS(tblDaily[TransfersIn],tblDaily[Month],10,tblDaily[WardCode],"BH")</f>
        <v/>
      </c>
      <c r="J144" s="12">
        <f>SUMIFS(tblDaily[TransfersOut],tblDaily[Month],10,tblDaily[WardCode],"BH")</f>
        <v/>
      </c>
      <c r="K144" s="27">
        <f>IFERROR(H144/31,0)</f>
        <v/>
      </c>
      <c r="L144" s="27">
        <f>IFERROR(H144/(E144+F144),0)</f>
        <v/>
      </c>
      <c r="M144" s="27">
        <f>IFERROR((C144*31-H144)/(E144+F144),0)</f>
        <v/>
      </c>
      <c r="N144" s="27">
        <f>IFERROR((E144+F144)/C144,0)</f>
        <v/>
      </c>
      <c r="O144" s="27">
        <f>IFERROR((H144/(C144*31))*100,0)</f>
        <v/>
      </c>
      <c r="P144" s="27">
        <f>IFERROR((F144/(D144+B144))*100,0)</f>
        <v/>
      </c>
    </row>
    <row r="145">
      <c r="A145" s="26" t="inlineStr">
        <is>
          <t>Neonatal</t>
        </is>
      </c>
      <c r="B145" s="12">
        <f>IFERROR(SUMIFS(tblDaily[Remaining],tblDaily[EntryDate],DATE(2026,9,30),tblDaily[WardCode],"NICU"),0)</f>
        <v/>
      </c>
      <c r="C145" s="12">
        <f>IFERROR(INDEX(tblWardConfig[BedComplement],MATCH("NICU",tblWardConfig[WardCode],0)),0)</f>
        <v/>
      </c>
      <c r="D145" s="12">
        <f>SUMIFS(tblDaily[Admissions],tblDaily[Month],10,tblDaily[WardCode],"NICU") - SUMIFS(tblDaily[DeathsUnder24Hrs],tblDaily[Month],10,tblDaily[WardCode],"NICU")</f>
        <v/>
      </c>
      <c r="E145" s="12">
        <f>SUMIFS(tblDaily[Discharges],tblDaily[Month],10,tblDaily[WardCode],"NICU")</f>
        <v/>
      </c>
      <c r="F145" s="12">
        <f>SUMIFS(tblDaily[Deaths],tblDaily[Month],10,tblDaily[WardCode],"NICU")</f>
        <v/>
      </c>
      <c r="G145" s="12">
        <f>SUMIFS(tblDaily[DeathsUnder24Hrs],tblDaily[Month],10,tblDaily[WardCode],"NICU")</f>
        <v/>
      </c>
      <c r="H145" s="12">
        <f>SUMIFS(tblDaily[Remaining],tblDaily[Month],10,tblDaily[WardCode],"NICU")</f>
        <v/>
      </c>
      <c r="I145" s="12">
        <f>SUMIFS(tblDaily[TransfersIn],tblDaily[Month],10,tblDaily[WardCode],"NICU")</f>
        <v/>
      </c>
      <c r="J145" s="12">
        <f>SUMIFS(tblDaily[TransfersOut],tblDaily[Month],10,tblDaily[WardCode],"NICU")</f>
        <v/>
      </c>
      <c r="K145" s="27">
        <f>IFERROR(H145/31,0)</f>
        <v/>
      </c>
      <c r="L145" s="27">
        <f>IFERROR(H145/(E145+F145),0)</f>
        <v/>
      </c>
      <c r="M145" s="27">
        <f>IFERROR((C145*31-H145)/(E145+F145),0)</f>
        <v/>
      </c>
      <c r="N145" s="27">
        <f>IFERROR((E145+F145)/C145,0)</f>
        <v/>
      </c>
      <c r="O145" s="27">
        <f>IFERROR((H145/(C145*31))*100,0)</f>
        <v/>
      </c>
      <c r="P145" s="27">
        <f>IFERROR((F145/(D145+B145))*100,0)</f>
        <v/>
      </c>
    </row>
    <row r="146">
      <c r="A146" s="26" t="inlineStr">
        <is>
          <t>Male Emergency</t>
        </is>
      </c>
      <c r="B146" s="12">
        <f>IFERROR(SUMIFS(tblDaily[Remaining],tblDaily[EntryDate],DATE(2026,9,30),tblDaily[WardCode],"MAE"),0)</f>
        <v/>
      </c>
      <c r="C146" s="12">
        <f>IFERROR(INDEX(tblWardConfig[BedComplement],MATCH("MAE",tblWardConfig[WardCode],0)),0)</f>
        <v/>
      </c>
      <c r="D146" s="12">
        <f>SUMIFS(tblDaily[Admissions],tblDaily[Month],10,tblDaily[WardCode],"MAE") - SUMIFS(tblDaily[DeathsUnder24Hrs],tblDaily[Month],10,tblDaily[WardCode],"MAE")</f>
        <v/>
      </c>
      <c r="E146" s="12">
        <f>SUMIFS(tblDaily[Discharges],tblDaily[Month],10,tblDaily[WardCode],"MAE")</f>
        <v/>
      </c>
      <c r="F146" s="12">
        <f>SUMIFS(tblDaily[Deaths],tblDaily[Month],10,tblDaily[WardCode],"MAE")</f>
        <v/>
      </c>
      <c r="G146" s="12">
        <f>SUMIFS(tblDaily[DeathsUnder24Hrs],tblDaily[Month],10,tblDaily[WardCode],"MAE")</f>
        <v/>
      </c>
      <c r="H146" s="12">
        <f>SUMIFS(tblDaily[Remaining],tblDaily[Month],10,tblDaily[WardCode],"MAE")</f>
        <v/>
      </c>
      <c r="I146" s="12">
        <f>SUMIFS(tblDaily[TransfersIn],tblDaily[Month],10,tblDaily[WardCode],"MAE")</f>
        <v/>
      </c>
      <c r="J146" s="12">
        <f>SUMIFS(tblDaily[TransfersOut],tblDaily[Month],10,tblDaily[WardCode],"MAE")</f>
        <v/>
      </c>
      <c r="K146" s="27">
        <f>IFERROR(H146/31,0)</f>
        <v/>
      </c>
      <c r="L146" s="27">
        <f>IFERROR(H146/(E146+F146),0)</f>
        <v/>
      </c>
      <c r="M146" s="27">
        <f>IFERROR((C146*31-H146)/(E146+F146),0)</f>
        <v/>
      </c>
      <c r="N146" s="27">
        <f>IFERROR((E146+F146)/C146,0)</f>
        <v/>
      </c>
      <c r="O146" s="27">
        <f>IFERROR((H146/(C146*31))*100,0)</f>
        <v/>
      </c>
      <c r="P146" s="27">
        <f>IFERROR((F146/(D146+B146))*100,0)</f>
        <v/>
      </c>
    </row>
    <row r="147">
      <c r="A147" s="26" t="inlineStr">
        <is>
          <t>Female Emergency</t>
        </is>
      </c>
      <c r="B147" s="12">
        <f>IFERROR(SUMIFS(tblDaily[Remaining],tblDaily[EntryDate],DATE(2026,9,30),tblDaily[WardCode],"FAE"),0)</f>
        <v/>
      </c>
      <c r="C147" s="12">
        <f>IFERROR(INDEX(tblWardConfig[BedComplement],MATCH("FAE",tblWardConfig[WardCode],0)),0)</f>
        <v/>
      </c>
      <c r="D147" s="12">
        <f>SUMIFS(tblDaily[Admissions],tblDaily[Month],10,tblDaily[WardCode],"FAE") - SUMIFS(tblDaily[DeathsUnder24Hrs],tblDaily[Month],10,tblDaily[WardCode],"FAE")</f>
        <v/>
      </c>
      <c r="E147" s="12">
        <f>SUMIFS(tblDaily[Discharges],tblDaily[Month],10,tblDaily[WardCode],"FAE")</f>
        <v/>
      </c>
      <c r="F147" s="12">
        <f>SUMIFS(tblDaily[Deaths],tblDaily[Month],10,tblDaily[WardCode],"FAE")</f>
        <v/>
      </c>
      <c r="G147" s="12">
        <f>SUMIFS(tblDaily[DeathsUnder24Hrs],tblDaily[Month],10,tblDaily[WardCode],"FAE")</f>
        <v/>
      </c>
      <c r="H147" s="12">
        <f>SUMIFS(tblDaily[Remaining],tblDaily[Month],10,tblDaily[WardCode],"FAE")</f>
        <v/>
      </c>
      <c r="I147" s="12">
        <f>SUMIFS(tblDaily[TransfersIn],tblDaily[Month],10,tblDaily[WardCode],"FAE")</f>
        <v/>
      </c>
      <c r="J147" s="12">
        <f>SUMIFS(tblDaily[TransfersOut],tblDaily[Month],10,tblDaily[WardCode],"FAE")</f>
        <v/>
      </c>
      <c r="K147" s="27">
        <f>IFERROR(H147/31,0)</f>
        <v/>
      </c>
      <c r="L147" s="27">
        <f>IFERROR(H147/(E147+F147),0)</f>
        <v/>
      </c>
      <c r="M147" s="27">
        <f>IFERROR((C147*31-H147)/(E147+F147),0)</f>
        <v/>
      </c>
      <c r="N147" s="27">
        <f>IFERROR((E147+F147)/C147,0)</f>
        <v/>
      </c>
      <c r="O147" s="27">
        <f>IFERROR((H147/(C147*31))*100,0)</f>
        <v/>
      </c>
      <c r="P147" s="27">
        <f>IFERROR((F147/(D147+B147))*100,0)</f>
        <v/>
      </c>
    </row>
    <row r="148">
      <c r="A148" s="17" t="inlineStr">
        <is>
          <t>TOTAL</t>
        </is>
      </c>
      <c r="B148" s="17">
        <f>SUM(B139:B147)</f>
        <v/>
      </c>
      <c r="C148" s="17">
        <f>SUM(C139:C147)</f>
        <v/>
      </c>
      <c r="D148" s="17">
        <f>SUM(D139:D147)</f>
        <v/>
      </c>
      <c r="E148" s="17">
        <f>SUM(E139:E147)</f>
        <v/>
      </c>
      <c r="F148" s="17">
        <f>SUM(F139:F147)</f>
        <v/>
      </c>
      <c r="G148" s="17">
        <f>SUM(G139:G147)</f>
        <v/>
      </c>
      <c r="H148" s="17">
        <f>SUM(H139:H147)</f>
        <v/>
      </c>
      <c r="I148" s="17">
        <f>SUM(I139:I147)</f>
        <v/>
      </c>
      <c r="J148" s="17">
        <f>SUM(J139:J147)</f>
        <v/>
      </c>
      <c r="K148" s="28">
        <f>IFERROR(H148/31,0)</f>
        <v/>
      </c>
      <c r="L148" s="28">
        <f>IFERROR(H148/(E148+F148),0)</f>
        <v/>
      </c>
      <c r="M148" s="28">
        <f>IFERROR((C148*31-H148)/(E148+F148),0)</f>
        <v/>
      </c>
      <c r="N148" s="28">
        <f>IFERROR((E148+F148)/C148,0)</f>
        <v/>
      </c>
      <c r="O148" s="28">
        <f>IFERROR((H148/(C148*31))*100,0)</f>
        <v/>
      </c>
      <c r="P148" s="28">
        <f>IFERROR((F148/(D148+B148))*100,0)</f>
        <v/>
      </c>
    </row>
    <row r="149">
      <c r="A149" s="29" t="inlineStr">
        <is>
          <t>Emergency</t>
        </is>
      </c>
      <c r="B149" s="29">
        <f>B146+B147</f>
        <v/>
      </c>
      <c r="C149" s="29">
        <f>C146+C147</f>
        <v/>
      </c>
      <c r="D149" s="29">
        <f>D146+D147</f>
        <v/>
      </c>
      <c r="E149" s="29">
        <f>E146+E147</f>
        <v/>
      </c>
      <c r="F149" s="29">
        <f>F146+F147</f>
        <v/>
      </c>
      <c r="G149" s="29">
        <f>G146+G147</f>
        <v/>
      </c>
      <c r="H149" s="29">
        <f>H146+H147</f>
        <v/>
      </c>
      <c r="I149" s="29">
        <f>I146+I147</f>
        <v/>
      </c>
      <c r="J149" s="29">
        <f>J146+J147</f>
        <v/>
      </c>
      <c r="K149" s="30">
        <f>IFERROR(H149/31,0)</f>
        <v/>
      </c>
      <c r="L149" s="30">
        <f>IFERROR(H149/(E149+F149),0)</f>
        <v/>
      </c>
      <c r="M149" s="30">
        <f>IFERROR((C149*31-H149)/(E149+F149),0)</f>
        <v/>
      </c>
      <c r="N149" s="30">
        <f>IFERROR((E149+F149)/C149,0)</f>
        <v/>
      </c>
      <c r="O149" s="30">
        <f>IFERROR((H149/(C149*31))*100,0)</f>
        <v/>
      </c>
      <c r="P149" s="30">
        <f>IFERROR((F149/(D149+B149))*100,0)</f>
        <v/>
      </c>
    </row>
    <row r="151">
      <c r="A151" s="1" t="inlineStr">
        <is>
          <t>GHANA HEALTH SERVICE</t>
        </is>
      </c>
    </row>
    <row r="152">
      <c r="A152" s="2" t="inlineStr">
        <is>
          <t>MONTHLY BED UTILIZATION FORM - NOVEMBER, 2026</t>
        </is>
      </c>
    </row>
    <row r="153">
      <c r="A153" s="16" t="inlineStr">
        <is>
          <t>WARD</t>
        </is>
      </c>
      <c r="B153" s="16" t="inlineStr">
        <is>
          <t>Patients on bed
at the beginning
of the month</t>
        </is>
      </c>
      <c r="C153" s="16" t="inlineStr">
        <is>
          <t>Bed Complement</t>
        </is>
      </c>
      <c r="D153" s="16" t="inlineStr">
        <is>
          <t>Admissions</t>
        </is>
      </c>
      <c r="E153" s="16" t="inlineStr">
        <is>
          <t>Discharges</t>
        </is>
      </c>
      <c r="F153" s="16" t="inlineStr">
        <is>
          <t>Deaths</t>
        </is>
      </c>
      <c r="G153" s="16" t="inlineStr">
        <is>
          <t>Deaths
&lt;24Hrs</t>
        </is>
      </c>
      <c r="H153" s="16" t="inlineStr">
        <is>
          <t>Patient
Days</t>
        </is>
      </c>
      <c r="I153" s="16" t="inlineStr">
        <is>
          <t>Transfer In</t>
        </is>
      </c>
      <c r="J153" s="16" t="inlineStr">
        <is>
          <t>Transfer
Out</t>
        </is>
      </c>
      <c r="K153" s="16" t="inlineStr">
        <is>
          <t>Average
Daily Bed
Occupancy</t>
        </is>
      </c>
      <c r="L153" s="16" t="inlineStr">
        <is>
          <t>Average
Length
of Stay</t>
        </is>
      </c>
      <c r="M153" s="16" t="inlineStr">
        <is>
          <t>Bed
Turnover
Interval</t>
        </is>
      </c>
      <c r="N153" s="16" t="inlineStr">
        <is>
          <t>Bed
Turnover
Rate</t>
        </is>
      </c>
      <c r="O153" s="16" t="inlineStr">
        <is>
          <t>Percentage
of
Occupancy</t>
        </is>
      </c>
      <c r="P153" s="16" t="inlineStr">
        <is>
          <t>Death
Rate</t>
        </is>
      </c>
    </row>
    <row r="154">
      <c r="A154" s="26" t="inlineStr">
        <is>
          <t>Male Medical</t>
        </is>
      </c>
      <c r="B154" s="12">
        <f>IFERROR(SUMIFS(tblDaily[Remaining],tblDaily[EntryDate],DATE(2026,10,31),tblDaily[WardCode],"MW"),0)</f>
        <v/>
      </c>
      <c r="C154" s="12">
        <f>IFERROR(INDEX(tblWardConfig[BedComplement],MATCH("MW",tblWardConfig[WardCode],0)),0)</f>
        <v/>
      </c>
      <c r="D154" s="12">
        <f>SUMIFS(tblDaily[Admissions],tblDaily[Month],11,tblDaily[WardCode],"MW") - SUMIFS(tblDaily[DeathsUnder24Hrs],tblDaily[Month],11,tblDaily[WardCode],"MW")</f>
        <v/>
      </c>
      <c r="E154" s="12">
        <f>SUMIFS(tblDaily[Discharges],tblDaily[Month],11,tblDaily[WardCode],"MW")</f>
        <v/>
      </c>
      <c r="F154" s="12">
        <f>SUMIFS(tblDaily[Deaths],tblDaily[Month],11,tblDaily[WardCode],"MW")</f>
        <v/>
      </c>
      <c r="G154" s="12">
        <f>SUMIFS(tblDaily[DeathsUnder24Hrs],tblDaily[Month],11,tblDaily[WardCode],"MW")</f>
        <v/>
      </c>
      <c r="H154" s="12">
        <f>SUMIFS(tblDaily[Remaining],tblDaily[Month],11,tblDaily[WardCode],"MW")</f>
        <v/>
      </c>
      <c r="I154" s="12">
        <f>SUMIFS(tblDaily[TransfersIn],tblDaily[Month],11,tblDaily[WardCode],"MW")</f>
        <v/>
      </c>
      <c r="J154" s="12">
        <f>SUMIFS(tblDaily[TransfersOut],tblDaily[Month],11,tblDaily[WardCode],"MW")</f>
        <v/>
      </c>
      <c r="K154" s="27">
        <f>IFERROR(H154/30,0)</f>
        <v/>
      </c>
      <c r="L154" s="27">
        <f>IFERROR(H154/(E154+F154),0)</f>
        <v/>
      </c>
      <c r="M154" s="27">
        <f>IFERROR((C154*30-H154)/(E154+F154),0)</f>
        <v/>
      </c>
      <c r="N154" s="27">
        <f>IFERROR((E154+F154)/C154,0)</f>
        <v/>
      </c>
      <c r="O154" s="27">
        <f>IFERROR((H154/(C154*30))*100,0)</f>
        <v/>
      </c>
      <c r="P154" s="27">
        <f>IFERROR((F154/(D154+B154))*100,0)</f>
        <v/>
      </c>
    </row>
    <row r="155">
      <c r="A155" s="26" t="inlineStr">
        <is>
          <t>Female Medical</t>
        </is>
      </c>
      <c r="B155" s="12">
        <f>IFERROR(SUMIFS(tblDaily[Remaining],tblDaily[EntryDate],DATE(2026,10,31),tblDaily[WardCode],"FW"),0)</f>
        <v/>
      </c>
      <c r="C155" s="12">
        <f>IFERROR(INDEX(tblWardConfig[BedComplement],MATCH("FW",tblWardConfig[WardCode],0)),0)</f>
        <v/>
      </c>
      <c r="D155" s="12">
        <f>SUMIFS(tblDaily[Admissions],tblDaily[Month],11,tblDaily[WardCode],"FW") - SUMIFS(tblDaily[DeathsUnder24Hrs],tblDaily[Month],11,tblDaily[WardCode],"FW")</f>
        <v/>
      </c>
      <c r="E155" s="12">
        <f>SUMIFS(tblDaily[Discharges],tblDaily[Month],11,tblDaily[WardCode],"FW")</f>
        <v/>
      </c>
      <c r="F155" s="12">
        <f>SUMIFS(tblDaily[Deaths],tblDaily[Month],11,tblDaily[WardCode],"FW")</f>
        <v/>
      </c>
      <c r="G155" s="12">
        <f>SUMIFS(tblDaily[DeathsUnder24Hrs],tblDaily[Month],11,tblDaily[WardCode],"FW")</f>
        <v/>
      </c>
      <c r="H155" s="12">
        <f>SUMIFS(tblDaily[Remaining],tblDaily[Month],11,tblDaily[WardCode],"FW")</f>
        <v/>
      </c>
      <c r="I155" s="12">
        <f>SUMIFS(tblDaily[TransfersIn],tblDaily[Month],11,tblDaily[WardCode],"FW")</f>
        <v/>
      </c>
      <c r="J155" s="12">
        <f>SUMIFS(tblDaily[TransfersOut],tblDaily[Month],11,tblDaily[WardCode],"FW")</f>
        <v/>
      </c>
      <c r="K155" s="27">
        <f>IFERROR(H155/30,0)</f>
        <v/>
      </c>
      <c r="L155" s="27">
        <f>IFERROR(H155/(E155+F155),0)</f>
        <v/>
      </c>
      <c r="M155" s="27">
        <f>IFERROR((C155*30-H155)/(E155+F155),0)</f>
        <v/>
      </c>
      <c r="N155" s="27">
        <f>IFERROR((E155+F155)/C155,0)</f>
        <v/>
      </c>
      <c r="O155" s="27">
        <f>IFERROR((H155/(C155*30))*100,0)</f>
        <v/>
      </c>
      <c r="P155" s="27">
        <f>IFERROR((F155/(D155+B155))*100,0)</f>
        <v/>
      </c>
    </row>
    <row r="156">
      <c r="A156" s="26" t="inlineStr">
        <is>
          <t>Paediatric</t>
        </is>
      </c>
      <c r="B156" s="12">
        <f>IFERROR(SUMIFS(tblDaily[Remaining],tblDaily[EntryDate],DATE(2026,10,31),tblDaily[WardCode],"CW"),0)</f>
        <v/>
      </c>
      <c r="C156" s="12">
        <f>IFERROR(INDEX(tblWardConfig[BedComplement],MATCH("CW",tblWardConfig[WardCode],0)),0)</f>
        <v/>
      </c>
      <c r="D156" s="12">
        <f>SUMIFS(tblDaily[Admissions],tblDaily[Month],11,tblDaily[WardCode],"CW") - SUMIFS(tblDaily[DeathsUnder24Hrs],tblDaily[Month],11,tblDaily[WardCode],"CW")</f>
        <v/>
      </c>
      <c r="E156" s="12">
        <f>SUMIFS(tblDaily[Discharges],tblDaily[Month],11,tblDaily[WardCode],"CW")</f>
        <v/>
      </c>
      <c r="F156" s="12">
        <f>SUMIFS(tblDaily[Deaths],tblDaily[Month],11,tblDaily[WardCode],"CW")</f>
        <v/>
      </c>
      <c r="G156" s="12">
        <f>SUMIFS(tblDaily[DeathsUnder24Hrs],tblDaily[Month],11,tblDaily[WardCode],"CW")</f>
        <v/>
      </c>
      <c r="H156" s="12">
        <f>SUMIFS(tblDaily[Remaining],tblDaily[Month],11,tblDaily[WardCode],"CW")</f>
        <v/>
      </c>
      <c r="I156" s="12">
        <f>SUMIFS(tblDaily[TransfersIn],tblDaily[Month],11,tblDaily[WardCode],"CW")</f>
        <v/>
      </c>
      <c r="J156" s="12">
        <f>SUMIFS(tblDaily[TransfersOut],tblDaily[Month],11,tblDaily[WardCode],"CW")</f>
        <v/>
      </c>
      <c r="K156" s="27">
        <f>IFERROR(H156/30,0)</f>
        <v/>
      </c>
      <c r="L156" s="27">
        <f>IFERROR(H156/(E156+F156),0)</f>
        <v/>
      </c>
      <c r="M156" s="27">
        <f>IFERROR((C156*30-H156)/(E156+F156),0)</f>
        <v/>
      </c>
      <c r="N156" s="27">
        <f>IFERROR((E156+F156)/C156,0)</f>
        <v/>
      </c>
      <c r="O156" s="27">
        <f>IFERROR((H156/(C156*30))*100,0)</f>
        <v/>
      </c>
      <c r="P156" s="27">
        <f>IFERROR((F156/(D156+B156))*100,0)</f>
        <v/>
      </c>
    </row>
    <row r="157">
      <c r="A157" s="26" t="inlineStr">
        <is>
          <t>Block F</t>
        </is>
      </c>
      <c r="B157" s="12">
        <f>IFERROR(SUMIFS(tblDaily[Remaining],tblDaily[EntryDate],DATE(2026,10,31),tblDaily[WardCode],"BF"),0)</f>
        <v/>
      </c>
      <c r="C157" s="12">
        <f>IFERROR(INDEX(tblWardConfig[BedComplement],MATCH("BF",tblWardConfig[WardCode],0)),0)</f>
        <v/>
      </c>
      <c r="D157" s="12">
        <f>SUMIFS(tblDaily[Admissions],tblDaily[Month],11,tblDaily[WardCode],"BF") - SUMIFS(tblDaily[DeathsUnder24Hrs],tblDaily[Month],11,tblDaily[WardCode],"BF")</f>
        <v/>
      </c>
      <c r="E157" s="12">
        <f>SUMIFS(tblDaily[Discharges],tblDaily[Month],11,tblDaily[WardCode],"BF")</f>
        <v/>
      </c>
      <c r="F157" s="12">
        <f>SUMIFS(tblDaily[Deaths],tblDaily[Month],11,tblDaily[WardCode],"BF")</f>
        <v/>
      </c>
      <c r="G157" s="12">
        <f>SUMIFS(tblDaily[DeathsUnder24Hrs],tblDaily[Month],11,tblDaily[WardCode],"BF")</f>
        <v/>
      </c>
      <c r="H157" s="12">
        <f>SUMIFS(tblDaily[Remaining],tblDaily[Month],11,tblDaily[WardCode],"BF")</f>
        <v/>
      </c>
      <c r="I157" s="12">
        <f>SUMIFS(tblDaily[TransfersIn],tblDaily[Month],11,tblDaily[WardCode],"BF")</f>
        <v/>
      </c>
      <c r="J157" s="12">
        <f>SUMIFS(tblDaily[TransfersOut],tblDaily[Month],11,tblDaily[WardCode],"BF")</f>
        <v/>
      </c>
      <c r="K157" s="27">
        <f>IFERROR(H157/30,0)</f>
        <v/>
      </c>
      <c r="L157" s="27">
        <f>IFERROR(H157/(E157+F157),0)</f>
        <v/>
      </c>
      <c r="M157" s="27">
        <f>IFERROR((C157*30-H157)/(E157+F157),0)</f>
        <v/>
      </c>
      <c r="N157" s="27">
        <f>IFERROR((E157+F157)/C157,0)</f>
        <v/>
      </c>
      <c r="O157" s="27">
        <f>IFERROR((H157/(C157*30))*100,0)</f>
        <v/>
      </c>
      <c r="P157" s="27">
        <f>IFERROR((F157/(D157+B157))*100,0)</f>
        <v/>
      </c>
    </row>
    <row r="158">
      <c r="A158" s="26" t="inlineStr">
        <is>
          <t>Block G</t>
        </is>
      </c>
      <c r="B158" s="12">
        <f>IFERROR(SUMIFS(tblDaily[Remaining],tblDaily[EntryDate],DATE(2026,10,31),tblDaily[WardCode],"BG"),0)</f>
        <v/>
      </c>
      <c r="C158" s="12">
        <f>IFERROR(INDEX(tblWardConfig[BedComplement],MATCH("BG",tblWardConfig[WardCode],0)),0)</f>
        <v/>
      </c>
      <c r="D158" s="12">
        <f>SUMIFS(tblDaily[Admissions],tblDaily[Month],11,tblDaily[WardCode],"BG") - SUMIFS(tblDaily[DeathsUnder24Hrs],tblDaily[Month],11,tblDaily[WardCode],"BG")</f>
        <v/>
      </c>
      <c r="E158" s="12">
        <f>SUMIFS(tblDaily[Discharges],tblDaily[Month],11,tblDaily[WardCode],"BG")</f>
        <v/>
      </c>
      <c r="F158" s="12">
        <f>SUMIFS(tblDaily[Deaths],tblDaily[Month],11,tblDaily[WardCode],"BG")</f>
        <v/>
      </c>
      <c r="G158" s="12">
        <f>SUMIFS(tblDaily[DeathsUnder24Hrs],tblDaily[Month],11,tblDaily[WardCode],"BG")</f>
        <v/>
      </c>
      <c r="H158" s="12">
        <f>SUMIFS(tblDaily[Remaining],tblDaily[Month],11,tblDaily[WardCode],"BG")</f>
        <v/>
      </c>
      <c r="I158" s="12">
        <f>SUMIFS(tblDaily[TransfersIn],tblDaily[Month],11,tblDaily[WardCode],"BG")</f>
        <v/>
      </c>
      <c r="J158" s="12">
        <f>SUMIFS(tblDaily[TransfersOut],tblDaily[Month],11,tblDaily[WardCode],"BG")</f>
        <v/>
      </c>
      <c r="K158" s="27">
        <f>IFERROR(H158/30,0)</f>
        <v/>
      </c>
      <c r="L158" s="27">
        <f>IFERROR(H158/(E158+F158),0)</f>
        <v/>
      </c>
      <c r="M158" s="27">
        <f>IFERROR((C158*30-H158)/(E158+F158),0)</f>
        <v/>
      </c>
      <c r="N158" s="27">
        <f>IFERROR((E158+F158)/C158,0)</f>
        <v/>
      </c>
      <c r="O158" s="27">
        <f>IFERROR((H158/(C158*30))*100,0)</f>
        <v/>
      </c>
      <c r="P158" s="27">
        <f>IFERROR((F158/(D158+B158))*100,0)</f>
        <v/>
      </c>
    </row>
    <row r="159">
      <c r="A159" s="26" t="inlineStr">
        <is>
          <t>Block H</t>
        </is>
      </c>
      <c r="B159" s="12">
        <f>IFERROR(SUMIFS(tblDaily[Remaining],tblDaily[EntryDate],DATE(2026,10,31),tblDaily[WardCode],"BH"),0)</f>
        <v/>
      </c>
      <c r="C159" s="12">
        <f>IFERROR(INDEX(tblWardConfig[BedComplement],MATCH("BH",tblWardConfig[WardCode],0)),0)</f>
        <v/>
      </c>
      <c r="D159" s="12">
        <f>SUMIFS(tblDaily[Admissions],tblDaily[Month],11,tblDaily[WardCode],"BH") - SUMIFS(tblDaily[DeathsUnder24Hrs],tblDaily[Month],11,tblDaily[WardCode],"BH")</f>
        <v/>
      </c>
      <c r="E159" s="12">
        <f>SUMIFS(tblDaily[Discharges],tblDaily[Month],11,tblDaily[WardCode],"BH")</f>
        <v/>
      </c>
      <c r="F159" s="12">
        <f>SUMIFS(tblDaily[Deaths],tblDaily[Month],11,tblDaily[WardCode],"BH")</f>
        <v/>
      </c>
      <c r="G159" s="12">
        <f>SUMIFS(tblDaily[DeathsUnder24Hrs],tblDaily[Month],11,tblDaily[WardCode],"BH")</f>
        <v/>
      </c>
      <c r="H159" s="12">
        <f>SUMIFS(tblDaily[Remaining],tblDaily[Month],11,tblDaily[WardCode],"BH")</f>
        <v/>
      </c>
      <c r="I159" s="12">
        <f>SUMIFS(tblDaily[TransfersIn],tblDaily[Month],11,tblDaily[WardCode],"BH")</f>
        <v/>
      </c>
      <c r="J159" s="12">
        <f>SUMIFS(tblDaily[TransfersOut],tblDaily[Month],11,tblDaily[WardCode],"BH")</f>
        <v/>
      </c>
      <c r="K159" s="27">
        <f>IFERROR(H159/30,0)</f>
        <v/>
      </c>
      <c r="L159" s="27">
        <f>IFERROR(H159/(E159+F159),0)</f>
        <v/>
      </c>
      <c r="M159" s="27">
        <f>IFERROR((C159*30-H159)/(E159+F159),0)</f>
        <v/>
      </c>
      <c r="N159" s="27">
        <f>IFERROR((E159+F159)/C159,0)</f>
        <v/>
      </c>
      <c r="O159" s="27">
        <f>IFERROR((H159/(C159*30))*100,0)</f>
        <v/>
      </c>
      <c r="P159" s="27">
        <f>IFERROR((F159/(D159+B159))*100,0)</f>
        <v/>
      </c>
    </row>
    <row r="160">
      <c r="A160" s="26" t="inlineStr">
        <is>
          <t>Neonatal</t>
        </is>
      </c>
      <c r="B160" s="12">
        <f>IFERROR(SUMIFS(tblDaily[Remaining],tblDaily[EntryDate],DATE(2026,10,31),tblDaily[WardCode],"NICU"),0)</f>
        <v/>
      </c>
      <c r="C160" s="12">
        <f>IFERROR(INDEX(tblWardConfig[BedComplement],MATCH("NICU",tblWardConfig[WardCode],0)),0)</f>
        <v/>
      </c>
      <c r="D160" s="12">
        <f>SUMIFS(tblDaily[Admissions],tblDaily[Month],11,tblDaily[WardCode],"NICU") - SUMIFS(tblDaily[DeathsUnder24Hrs],tblDaily[Month],11,tblDaily[WardCode],"NICU")</f>
        <v/>
      </c>
      <c r="E160" s="12">
        <f>SUMIFS(tblDaily[Discharges],tblDaily[Month],11,tblDaily[WardCode],"NICU")</f>
        <v/>
      </c>
      <c r="F160" s="12">
        <f>SUMIFS(tblDaily[Deaths],tblDaily[Month],11,tblDaily[WardCode],"NICU")</f>
        <v/>
      </c>
      <c r="G160" s="12">
        <f>SUMIFS(tblDaily[DeathsUnder24Hrs],tblDaily[Month],11,tblDaily[WardCode],"NICU")</f>
        <v/>
      </c>
      <c r="H160" s="12">
        <f>SUMIFS(tblDaily[Remaining],tblDaily[Month],11,tblDaily[WardCode],"NICU")</f>
        <v/>
      </c>
      <c r="I160" s="12">
        <f>SUMIFS(tblDaily[TransfersIn],tblDaily[Month],11,tblDaily[WardCode],"NICU")</f>
        <v/>
      </c>
      <c r="J160" s="12">
        <f>SUMIFS(tblDaily[TransfersOut],tblDaily[Month],11,tblDaily[WardCode],"NICU")</f>
        <v/>
      </c>
      <c r="K160" s="27">
        <f>IFERROR(H160/30,0)</f>
        <v/>
      </c>
      <c r="L160" s="27">
        <f>IFERROR(H160/(E160+F160),0)</f>
        <v/>
      </c>
      <c r="M160" s="27">
        <f>IFERROR((C160*30-H160)/(E160+F160),0)</f>
        <v/>
      </c>
      <c r="N160" s="27">
        <f>IFERROR((E160+F160)/C160,0)</f>
        <v/>
      </c>
      <c r="O160" s="27">
        <f>IFERROR((H160/(C160*30))*100,0)</f>
        <v/>
      </c>
      <c r="P160" s="27">
        <f>IFERROR((F160/(D160+B160))*100,0)</f>
        <v/>
      </c>
    </row>
    <row r="161">
      <c r="A161" s="26" t="inlineStr">
        <is>
          <t>Male Emergency</t>
        </is>
      </c>
      <c r="B161" s="12">
        <f>IFERROR(SUMIFS(tblDaily[Remaining],tblDaily[EntryDate],DATE(2026,10,31),tblDaily[WardCode],"MAE"),0)</f>
        <v/>
      </c>
      <c r="C161" s="12">
        <f>IFERROR(INDEX(tblWardConfig[BedComplement],MATCH("MAE",tblWardConfig[WardCode],0)),0)</f>
        <v/>
      </c>
      <c r="D161" s="12">
        <f>SUMIFS(tblDaily[Admissions],tblDaily[Month],11,tblDaily[WardCode],"MAE") - SUMIFS(tblDaily[DeathsUnder24Hrs],tblDaily[Month],11,tblDaily[WardCode],"MAE")</f>
        <v/>
      </c>
      <c r="E161" s="12">
        <f>SUMIFS(tblDaily[Discharges],tblDaily[Month],11,tblDaily[WardCode],"MAE")</f>
        <v/>
      </c>
      <c r="F161" s="12">
        <f>SUMIFS(tblDaily[Deaths],tblDaily[Month],11,tblDaily[WardCode],"MAE")</f>
        <v/>
      </c>
      <c r="G161" s="12">
        <f>SUMIFS(tblDaily[DeathsUnder24Hrs],tblDaily[Month],11,tblDaily[WardCode],"MAE")</f>
        <v/>
      </c>
      <c r="H161" s="12">
        <f>SUMIFS(tblDaily[Remaining],tblDaily[Month],11,tblDaily[WardCode],"MAE")</f>
        <v/>
      </c>
      <c r="I161" s="12">
        <f>SUMIFS(tblDaily[TransfersIn],tblDaily[Month],11,tblDaily[WardCode],"MAE")</f>
        <v/>
      </c>
      <c r="J161" s="12">
        <f>SUMIFS(tblDaily[TransfersOut],tblDaily[Month],11,tblDaily[WardCode],"MAE")</f>
        <v/>
      </c>
      <c r="K161" s="27">
        <f>IFERROR(H161/30,0)</f>
        <v/>
      </c>
      <c r="L161" s="27">
        <f>IFERROR(H161/(E161+F161),0)</f>
        <v/>
      </c>
      <c r="M161" s="27">
        <f>IFERROR((C161*30-H161)/(E161+F161),0)</f>
        <v/>
      </c>
      <c r="N161" s="27">
        <f>IFERROR((E161+F161)/C161,0)</f>
        <v/>
      </c>
      <c r="O161" s="27">
        <f>IFERROR((H161/(C161*30))*100,0)</f>
        <v/>
      </c>
      <c r="P161" s="27">
        <f>IFERROR((F161/(D161+B161))*100,0)</f>
        <v/>
      </c>
    </row>
    <row r="162">
      <c r="A162" s="26" t="inlineStr">
        <is>
          <t>Female Emergency</t>
        </is>
      </c>
      <c r="B162" s="12">
        <f>IFERROR(SUMIFS(tblDaily[Remaining],tblDaily[EntryDate],DATE(2026,10,31),tblDaily[WardCode],"FAE"),0)</f>
        <v/>
      </c>
      <c r="C162" s="12">
        <f>IFERROR(INDEX(tblWardConfig[BedComplement],MATCH("FAE",tblWardConfig[WardCode],0)),0)</f>
        <v/>
      </c>
      <c r="D162" s="12">
        <f>SUMIFS(tblDaily[Admissions],tblDaily[Month],11,tblDaily[WardCode],"FAE") - SUMIFS(tblDaily[DeathsUnder24Hrs],tblDaily[Month],11,tblDaily[WardCode],"FAE")</f>
        <v/>
      </c>
      <c r="E162" s="12">
        <f>SUMIFS(tblDaily[Discharges],tblDaily[Month],11,tblDaily[WardCode],"FAE")</f>
        <v/>
      </c>
      <c r="F162" s="12">
        <f>SUMIFS(tblDaily[Deaths],tblDaily[Month],11,tblDaily[WardCode],"FAE")</f>
        <v/>
      </c>
      <c r="G162" s="12">
        <f>SUMIFS(tblDaily[DeathsUnder24Hrs],tblDaily[Month],11,tblDaily[WardCode],"FAE")</f>
        <v/>
      </c>
      <c r="H162" s="12">
        <f>SUMIFS(tblDaily[Remaining],tblDaily[Month],11,tblDaily[WardCode],"FAE")</f>
        <v/>
      </c>
      <c r="I162" s="12">
        <f>SUMIFS(tblDaily[TransfersIn],tblDaily[Month],11,tblDaily[WardCode],"FAE")</f>
        <v/>
      </c>
      <c r="J162" s="12">
        <f>SUMIFS(tblDaily[TransfersOut],tblDaily[Month],11,tblDaily[WardCode],"FAE")</f>
        <v/>
      </c>
      <c r="K162" s="27">
        <f>IFERROR(H162/30,0)</f>
        <v/>
      </c>
      <c r="L162" s="27">
        <f>IFERROR(H162/(E162+F162),0)</f>
        <v/>
      </c>
      <c r="M162" s="27">
        <f>IFERROR((C162*30-H162)/(E162+F162),0)</f>
        <v/>
      </c>
      <c r="N162" s="27">
        <f>IFERROR((E162+F162)/C162,0)</f>
        <v/>
      </c>
      <c r="O162" s="27">
        <f>IFERROR((H162/(C162*30))*100,0)</f>
        <v/>
      </c>
      <c r="P162" s="27">
        <f>IFERROR((F162/(D162+B162))*100,0)</f>
        <v/>
      </c>
    </row>
    <row r="163">
      <c r="A163" s="17" t="inlineStr">
        <is>
          <t>TOTAL</t>
        </is>
      </c>
      <c r="B163" s="17">
        <f>SUM(B154:B162)</f>
        <v/>
      </c>
      <c r="C163" s="17">
        <f>SUM(C154:C162)</f>
        <v/>
      </c>
      <c r="D163" s="17">
        <f>SUM(D154:D162)</f>
        <v/>
      </c>
      <c r="E163" s="17">
        <f>SUM(E154:E162)</f>
        <v/>
      </c>
      <c r="F163" s="17">
        <f>SUM(F154:F162)</f>
        <v/>
      </c>
      <c r="G163" s="17">
        <f>SUM(G154:G162)</f>
        <v/>
      </c>
      <c r="H163" s="17">
        <f>SUM(H154:H162)</f>
        <v/>
      </c>
      <c r="I163" s="17">
        <f>SUM(I154:I162)</f>
        <v/>
      </c>
      <c r="J163" s="17">
        <f>SUM(J154:J162)</f>
        <v/>
      </c>
      <c r="K163" s="28">
        <f>IFERROR(H163/30,0)</f>
        <v/>
      </c>
      <c r="L163" s="28">
        <f>IFERROR(H163/(E163+F163),0)</f>
        <v/>
      </c>
      <c r="M163" s="28">
        <f>IFERROR((C163*30-H163)/(E163+F163),0)</f>
        <v/>
      </c>
      <c r="N163" s="28">
        <f>IFERROR((E163+F163)/C163,0)</f>
        <v/>
      </c>
      <c r="O163" s="28">
        <f>IFERROR((H163/(C163*30))*100,0)</f>
        <v/>
      </c>
      <c r="P163" s="28">
        <f>IFERROR((F163/(D163+B163))*100,0)</f>
        <v/>
      </c>
    </row>
    <row r="164">
      <c r="A164" s="29" t="inlineStr">
        <is>
          <t>Emergency</t>
        </is>
      </c>
      <c r="B164" s="29">
        <f>B161+B162</f>
        <v/>
      </c>
      <c r="C164" s="29">
        <f>C161+C162</f>
        <v/>
      </c>
      <c r="D164" s="29">
        <f>D161+D162</f>
        <v/>
      </c>
      <c r="E164" s="29">
        <f>E161+E162</f>
        <v/>
      </c>
      <c r="F164" s="29">
        <f>F161+F162</f>
        <v/>
      </c>
      <c r="G164" s="29">
        <f>G161+G162</f>
        <v/>
      </c>
      <c r="H164" s="29">
        <f>H161+H162</f>
        <v/>
      </c>
      <c r="I164" s="29">
        <f>I161+I162</f>
        <v/>
      </c>
      <c r="J164" s="29">
        <f>J161+J162</f>
        <v/>
      </c>
      <c r="K164" s="30">
        <f>IFERROR(H164/30,0)</f>
        <v/>
      </c>
      <c r="L164" s="30">
        <f>IFERROR(H164/(E164+F164),0)</f>
        <v/>
      </c>
      <c r="M164" s="30">
        <f>IFERROR((C164*30-H164)/(E164+F164),0)</f>
        <v/>
      </c>
      <c r="N164" s="30">
        <f>IFERROR((E164+F164)/C164,0)</f>
        <v/>
      </c>
      <c r="O164" s="30">
        <f>IFERROR((H164/(C164*30))*100,0)</f>
        <v/>
      </c>
      <c r="P164" s="30">
        <f>IFERROR((F164/(D164+B164))*100,0)</f>
        <v/>
      </c>
    </row>
    <row r="166">
      <c r="A166" s="1" t="inlineStr">
        <is>
          <t>GHANA HEALTH SERVICE</t>
        </is>
      </c>
    </row>
    <row r="167">
      <c r="A167" s="2" t="inlineStr">
        <is>
          <t>MONTHLY BED UTILIZATION FORM - DECEMBER, 2026</t>
        </is>
      </c>
    </row>
    <row r="168">
      <c r="A168" s="16" t="inlineStr">
        <is>
          <t>WARD</t>
        </is>
      </c>
      <c r="B168" s="16" t="inlineStr">
        <is>
          <t>Patients on bed
at the beginning
of the month</t>
        </is>
      </c>
      <c r="C168" s="16" t="inlineStr">
        <is>
          <t>Bed Complement</t>
        </is>
      </c>
      <c r="D168" s="16" t="inlineStr">
        <is>
          <t>Admissions</t>
        </is>
      </c>
      <c r="E168" s="16" t="inlineStr">
        <is>
          <t>Discharges</t>
        </is>
      </c>
      <c r="F168" s="16" t="inlineStr">
        <is>
          <t>Deaths</t>
        </is>
      </c>
      <c r="G168" s="16" t="inlineStr">
        <is>
          <t>Deaths
&lt;24Hrs</t>
        </is>
      </c>
      <c r="H168" s="16" t="inlineStr">
        <is>
          <t>Patient
Days</t>
        </is>
      </c>
      <c r="I168" s="16" t="inlineStr">
        <is>
          <t>Transfer In</t>
        </is>
      </c>
      <c r="J168" s="16" t="inlineStr">
        <is>
          <t>Transfer
Out</t>
        </is>
      </c>
      <c r="K168" s="16" t="inlineStr">
        <is>
          <t>Average
Daily Bed
Occupancy</t>
        </is>
      </c>
      <c r="L168" s="16" t="inlineStr">
        <is>
          <t>Average
Length
of Stay</t>
        </is>
      </c>
      <c r="M168" s="16" t="inlineStr">
        <is>
          <t>Bed
Turnover
Interval</t>
        </is>
      </c>
      <c r="N168" s="16" t="inlineStr">
        <is>
          <t>Bed
Turnover
Rate</t>
        </is>
      </c>
      <c r="O168" s="16" t="inlineStr">
        <is>
          <t>Percentage
of
Occupancy</t>
        </is>
      </c>
      <c r="P168" s="16" t="inlineStr">
        <is>
          <t>Death
Rate</t>
        </is>
      </c>
    </row>
    <row r="169">
      <c r="A169" s="26" t="inlineStr">
        <is>
          <t>Male Medical</t>
        </is>
      </c>
      <c r="B169" s="12">
        <f>IFERROR(SUMIFS(tblDaily[Remaining],tblDaily[EntryDate],DATE(2026,11,30),tblDaily[WardCode],"MW"),0)</f>
        <v/>
      </c>
      <c r="C169" s="12">
        <f>IFERROR(INDEX(tblWardConfig[BedComplement],MATCH("MW",tblWardConfig[WardCode],0)),0)</f>
        <v/>
      </c>
      <c r="D169" s="12">
        <f>SUMIFS(tblDaily[Admissions],tblDaily[Month],12,tblDaily[WardCode],"MW") - SUMIFS(tblDaily[DeathsUnder24Hrs],tblDaily[Month],12,tblDaily[WardCode],"MW")</f>
        <v/>
      </c>
      <c r="E169" s="12">
        <f>SUMIFS(tblDaily[Discharges],tblDaily[Month],12,tblDaily[WardCode],"MW")</f>
        <v/>
      </c>
      <c r="F169" s="12">
        <f>SUMIFS(tblDaily[Deaths],tblDaily[Month],12,tblDaily[WardCode],"MW")</f>
        <v/>
      </c>
      <c r="G169" s="12">
        <f>SUMIFS(tblDaily[DeathsUnder24Hrs],tblDaily[Month],12,tblDaily[WardCode],"MW")</f>
        <v/>
      </c>
      <c r="H169" s="12">
        <f>SUMIFS(tblDaily[Remaining],tblDaily[Month],12,tblDaily[WardCode],"MW")</f>
        <v/>
      </c>
      <c r="I169" s="12">
        <f>SUMIFS(tblDaily[TransfersIn],tblDaily[Month],12,tblDaily[WardCode],"MW")</f>
        <v/>
      </c>
      <c r="J169" s="12">
        <f>SUMIFS(tblDaily[TransfersOut],tblDaily[Month],12,tblDaily[WardCode],"MW")</f>
        <v/>
      </c>
      <c r="K169" s="27">
        <f>IFERROR(H169/31,0)</f>
        <v/>
      </c>
      <c r="L169" s="27">
        <f>IFERROR(H169/(E169+F169),0)</f>
        <v/>
      </c>
      <c r="M169" s="27">
        <f>IFERROR((C169*31-H169)/(E169+F169),0)</f>
        <v/>
      </c>
      <c r="N169" s="27">
        <f>IFERROR((E169+F169)/C169,0)</f>
        <v/>
      </c>
      <c r="O169" s="27">
        <f>IFERROR((H169/(C169*31))*100,0)</f>
        <v/>
      </c>
      <c r="P169" s="27">
        <f>IFERROR((F169/(D169+B169))*100,0)</f>
        <v/>
      </c>
    </row>
    <row r="170">
      <c r="A170" s="26" t="inlineStr">
        <is>
          <t>Female Medical</t>
        </is>
      </c>
      <c r="B170" s="12">
        <f>IFERROR(SUMIFS(tblDaily[Remaining],tblDaily[EntryDate],DATE(2026,11,30),tblDaily[WardCode],"FW"),0)</f>
        <v/>
      </c>
      <c r="C170" s="12">
        <f>IFERROR(INDEX(tblWardConfig[BedComplement],MATCH("FW",tblWardConfig[WardCode],0)),0)</f>
        <v/>
      </c>
      <c r="D170" s="12">
        <f>SUMIFS(tblDaily[Admissions],tblDaily[Month],12,tblDaily[WardCode],"FW") - SUMIFS(tblDaily[DeathsUnder24Hrs],tblDaily[Month],12,tblDaily[WardCode],"FW")</f>
        <v/>
      </c>
      <c r="E170" s="12">
        <f>SUMIFS(tblDaily[Discharges],tblDaily[Month],12,tblDaily[WardCode],"FW")</f>
        <v/>
      </c>
      <c r="F170" s="12">
        <f>SUMIFS(tblDaily[Deaths],tblDaily[Month],12,tblDaily[WardCode],"FW")</f>
        <v/>
      </c>
      <c r="G170" s="12">
        <f>SUMIFS(tblDaily[DeathsUnder24Hrs],tblDaily[Month],12,tblDaily[WardCode],"FW")</f>
        <v/>
      </c>
      <c r="H170" s="12">
        <f>SUMIFS(tblDaily[Remaining],tblDaily[Month],12,tblDaily[WardCode],"FW")</f>
        <v/>
      </c>
      <c r="I170" s="12">
        <f>SUMIFS(tblDaily[TransfersIn],tblDaily[Month],12,tblDaily[WardCode],"FW")</f>
        <v/>
      </c>
      <c r="J170" s="12">
        <f>SUMIFS(tblDaily[TransfersOut],tblDaily[Month],12,tblDaily[WardCode],"FW")</f>
        <v/>
      </c>
      <c r="K170" s="27">
        <f>IFERROR(H170/31,0)</f>
        <v/>
      </c>
      <c r="L170" s="27">
        <f>IFERROR(H170/(E170+F170),0)</f>
        <v/>
      </c>
      <c r="M170" s="27">
        <f>IFERROR((C170*31-H170)/(E170+F170),0)</f>
        <v/>
      </c>
      <c r="N170" s="27">
        <f>IFERROR((E170+F170)/C170,0)</f>
        <v/>
      </c>
      <c r="O170" s="27">
        <f>IFERROR((H170/(C170*31))*100,0)</f>
        <v/>
      </c>
      <c r="P170" s="27">
        <f>IFERROR((F170/(D170+B170))*100,0)</f>
        <v/>
      </c>
    </row>
    <row r="171">
      <c r="A171" s="26" t="inlineStr">
        <is>
          <t>Paediatric</t>
        </is>
      </c>
      <c r="B171" s="12">
        <f>IFERROR(SUMIFS(tblDaily[Remaining],tblDaily[EntryDate],DATE(2026,11,30),tblDaily[WardCode],"CW"),0)</f>
        <v/>
      </c>
      <c r="C171" s="12">
        <f>IFERROR(INDEX(tblWardConfig[BedComplement],MATCH("CW",tblWardConfig[WardCode],0)),0)</f>
        <v/>
      </c>
      <c r="D171" s="12">
        <f>SUMIFS(tblDaily[Admissions],tblDaily[Month],12,tblDaily[WardCode],"CW") - SUMIFS(tblDaily[DeathsUnder24Hrs],tblDaily[Month],12,tblDaily[WardCode],"CW")</f>
        <v/>
      </c>
      <c r="E171" s="12">
        <f>SUMIFS(tblDaily[Discharges],tblDaily[Month],12,tblDaily[WardCode],"CW")</f>
        <v/>
      </c>
      <c r="F171" s="12">
        <f>SUMIFS(tblDaily[Deaths],tblDaily[Month],12,tblDaily[WardCode],"CW")</f>
        <v/>
      </c>
      <c r="G171" s="12">
        <f>SUMIFS(tblDaily[DeathsUnder24Hrs],tblDaily[Month],12,tblDaily[WardCode],"CW")</f>
        <v/>
      </c>
      <c r="H171" s="12">
        <f>SUMIFS(tblDaily[Remaining],tblDaily[Month],12,tblDaily[WardCode],"CW")</f>
        <v/>
      </c>
      <c r="I171" s="12">
        <f>SUMIFS(tblDaily[TransfersIn],tblDaily[Month],12,tblDaily[WardCode],"CW")</f>
        <v/>
      </c>
      <c r="J171" s="12">
        <f>SUMIFS(tblDaily[TransfersOut],tblDaily[Month],12,tblDaily[WardCode],"CW")</f>
        <v/>
      </c>
      <c r="K171" s="27">
        <f>IFERROR(H171/31,0)</f>
        <v/>
      </c>
      <c r="L171" s="27">
        <f>IFERROR(H171/(E171+F171),0)</f>
        <v/>
      </c>
      <c r="M171" s="27">
        <f>IFERROR((C171*31-H171)/(E171+F171),0)</f>
        <v/>
      </c>
      <c r="N171" s="27">
        <f>IFERROR((E171+F171)/C171,0)</f>
        <v/>
      </c>
      <c r="O171" s="27">
        <f>IFERROR((H171/(C171*31))*100,0)</f>
        <v/>
      </c>
      <c r="P171" s="27">
        <f>IFERROR((F171/(D171+B171))*100,0)</f>
        <v/>
      </c>
    </row>
    <row r="172">
      <c r="A172" s="26" t="inlineStr">
        <is>
          <t>Block F</t>
        </is>
      </c>
      <c r="B172" s="12">
        <f>IFERROR(SUMIFS(tblDaily[Remaining],tblDaily[EntryDate],DATE(2026,11,30),tblDaily[WardCode],"BF"),0)</f>
        <v/>
      </c>
      <c r="C172" s="12">
        <f>IFERROR(INDEX(tblWardConfig[BedComplement],MATCH("BF",tblWardConfig[WardCode],0)),0)</f>
        <v/>
      </c>
      <c r="D172" s="12">
        <f>SUMIFS(tblDaily[Admissions],tblDaily[Month],12,tblDaily[WardCode],"BF") - SUMIFS(tblDaily[DeathsUnder24Hrs],tblDaily[Month],12,tblDaily[WardCode],"BF")</f>
        <v/>
      </c>
      <c r="E172" s="12">
        <f>SUMIFS(tblDaily[Discharges],tblDaily[Month],12,tblDaily[WardCode],"BF")</f>
        <v/>
      </c>
      <c r="F172" s="12">
        <f>SUMIFS(tblDaily[Deaths],tblDaily[Month],12,tblDaily[WardCode],"BF")</f>
        <v/>
      </c>
      <c r="G172" s="12">
        <f>SUMIFS(tblDaily[DeathsUnder24Hrs],tblDaily[Month],12,tblDaily[WardCode],"BF")</f>
        <v/>
      </c>
      <c r="H172" s="12">
        <f>SUMIFS(tblDaily[Remaining],tblDaily[Month],12,tblDaily[WardCode],"BF")</f>
        <v/>
      </c>
      <c r="I172" s="12">
        <f>SUMIFS(tblDaily[TransfersIn],tblDaily[Month],12,tblDaily[WardCode],"BF")</f>
        <v/>
      </c>
      <c r="J172" s="12">
        <f>SUMIFS(tblDaily[TransfersOut],tblDaily[Month],12,tblDaily[WardCode],"BF")</f>
        <v/>
      </c>
      <c r="K172" s="27">
        <f>IFERROR(H172/31,0)</f>
        <v/>
      </c>
      <c r="L172" s="27">
        <f>IFERROR(H172/(E172+F172),0)</f>
        <v/>
      </c>
      <c r="M172" s="27">
        <f>IFERROR((C172*31-H172)/(E172+F172),0)</f>
        <v/>
      </c>
      <c r="N172" s="27">
        <f>IFERROR((E172+F172)/C172,0)</f>
        <v/>
      </c>
      <c r="O172" s="27">
        <f>IFERROR((H172/(C172*31))*100,0)</f>
        <v/>
      </c>
      <c r="P172" s="27">
        <f>IFERROR((F172/(D172+B172))*100,0)</f>
        <v/>
      </c>
    </row>
    <row r="173">
      <c r="A173" s="26" t="inlineStr">
        <is>
          <t>Block G</t>
        </is>
      </c>
      <c r="B173" s="12">
        <f>IFERROR(SUMIFS(tblDaily[Remaining],tblDaily[EntryDate],DATE(2026,11,30),tblDaily[WardCode],"BG"),0)</f>
        <v/>
      </c>
      <c r="C173" s="12">
        <f>IFERROR(INDEX(tblWardConfig[BedComplement],MATCH("BG",tblWardConfig[WardCode],0)),0)</f>
        <v/>
      </c>
      <c r="D173" s="12">
        <f>SUMIFS(tblDaily[Admissions],tblDaily[Month],12,tblDaily[WardCode],"BG") - SUMIFS(tblDaily[DeathsUnder24Hrs],tblDaily[Month],12,tblDaily[WardCode],"BG")</f>
        <v/>
      </c>
      <c r="E173" s="12">
        <f>SUMIFS(tblDaily[Discharges],tblDaily[Month],12,tblDaily[WardCode],"BG")</f>
        <v/>
      </c>
      <c r="F173" s="12">
        <f>SUMIFS(tblDaily[Deaths],tblDaily[Month],12,tblDaily[WardCode],"BG")</f>
        <v/>
      </c>
      <c r="G173" s="12">
        <f>SUMIFS(tblDaily[DeathsUnder24Hrs],tblDaily[Month],12,tblDaily[WardCode],"BG")</f>
        <v/>
      </c>
      <c r="H173" s="12">
        <f>SUMIFS(tblDaily[Remaining],tblDaily[Month],12,tblDaily[WardCode],"BG")</f>
        <v/>
      </c>
      <c r="I173" s="12">
        <f>SUMIFS(tblDaily[TransfersIn],tblDaily[Month],12,tblDaily[WardCode],"BG")</f>
        <v/>
      </c>
      <c r="J173" s="12">
        <f>SUMIFS(tblDaily[TransfersOut],tblDaily[Month],12,tblDaily[WardCode],"BG")</f>
        <v/>
      </c>
      <c r="K173" s="27">
        <f>IFERROR(H173/31,0)</f>
        <v/>
      </c>
      <c r="L173" s="27">
        <f>IFERROR(H173/(E173+F173),0)</f>
        <v/>
      </c>
      <c r="M173" s="27">
        <f>IFERROR((C173*31-H173)/(E173+F173),0)</f>
        <v/>
      </c>
      <c r="N173" s="27">
        <f>IFERROR((E173+F173)/C173,0)</f>
        <v/>
      </c>
      <c r="O173" s="27">
        <f>IFERROR((H173/(C173*31))*100,0)</f>
        <v/>
      </c>
      <c r="P173" s="27">
        <f>IFERROR((F173/(D173+B173))*100,0)</f>
        <v/>
      </c>
    </row>
    <row r="174">
      <c r="A174" s="26" t="inlineStr">
        <is>
          <t>Block H</t>
        </is>
      </c>
      <c r="B174" s="12">
        <f>IFERROR(SUMIFS(tblDaily[Remaining],tblDaily[EntryDate],DATE(2026,11,30),tblDaily[WardCode],"BH"),0)</f>
        <v/>
      </c>
      <c r="C174" s="12">
        <f>IFERROR(INDEX(tblWardConfig[BedComplement],MATCH("BH",tblWardConfig[WardCode],0)),0)</f>
        <v/>
      </c>
      <c r="D174" s="12">
        <f>SUMIFS(tblDaily[Admissions],tblDaily[Month],12,tblDaily[WardCode],"BH") - SUMIFS(tblDaily[DeathsUnder24Hrs],tblDaily[Month],12,tblDaily[WardCode],"BH")</f>
        <v/>
      </c>
      <c r="E174" s="12">
        <f>SUMIFS(tblDaily[Discharges],tblDaily[Month],12,tblDaily[WardCode],"BH")</f>
        <v/>
      </c>
      <c r="F174" s="12">
        <f>SUMIFS(tblDaily[Deaths],tblDaily[Month],12,tblDaily[WardCode],"BH")</f>
        <v/>
      </c>
      <c r="G174" s="12">
        <f>SUMIFS(tblDaily[DeathsUnder24Hrs],tblDaily[Month],12,tblDaily[WardCode],"BH")</f>
        <v/>
      </c>
      <c r="H174" s="12">
        <f>SUMIFS(tblDaily[Remaining],tblDaily[Month],12,tblDaily[WardCode],"BH")</f>
        <v/>
      </c>
      <c r="I174" s="12">
        <f>SUMIFS(tblDaily[TransfersIn],tblDaily[Month],12,tblDaily[WardCode],"BH")</f>
        <v/>
      </c>
      <c r="J174" s="12">
        <f>SUMIFS(tblDaily[TransfersOut],tblDaily[Month],12,tblDaily[WardCode],"BH")</f>
        <v/>
      </c>
      <c r="K174" s="27">
        <f>IFERROR(H174/31,0)</f>
        <v/>
      </c>
      <c r="L174" s="27">
        <f>IFERROR(H174/(E174+F174),0)</f>
        <v/>
      </c>
      <c r="M174" s="27">
        <f>IFERROR((C174*31-H174)/(E174+F174),0)</f>
        <v/>
      </c>
      <c r="N174" s="27">
        <f>IFERROR((E174+F174)/C174,0)</f>
        <v/>
      </c>
      <c r="O174" s="27">
        <f>IFERROR((H174/(C174*31))*100,0)</f>
        <v/>
      </c>
      <c r="P174" s="27">
        <f>IFERROR((F174/(D174+B174))*100,0)</f>
        <v/>
      </c>
    </row>
    <row r="175">
      <c r="A175" s="26" t="inlineStr">
        <is>
          <t>Neonatal</t>
        </is>
      </c>
      <c r="B175" s="12">
        <f>IFERROR(SUMIFS(tblDaily[Remaining],tblDaily[EntryDate],DATE(2026,11,30),tblDaily[WardCode],"NICU"),0)</f>
        <v/>
      </c>
      <c r="C175" s="12">
        <f>IFERROR(INDEX(tblWardConfig[BedComplement],MATCH("NICU",tblWardConfig[WardCode],0)),0)</f>
        <v/>
      </c>
      <c r="D175" s="12">
        <f>SUMIFS(tblDaily[Admissions],tblDaily[Month],12,tblDaily[WardCode],"NICU") - SUMIFS(tblDaily[DeathsUnder24Hrs],tblDaily[Month],12,tblDaily[WardCode],"NICU")</f>
        <v/>
      </c>
      <c r="E175" s="12">
        <f>SUMIFS(tblDaily[Discharges],tblDaily[Month],12,tblDaily[WardCode],"NICU")</f>
        <v/>
      </c>
      <c r="F175" s="12">
        <f>SUMIFS(tblDaily[Deaths],tblDaily[Month],12,tblDaily[WardCode],"NICU")</f>
        <v/>
      </c>
      <c r="G175" s="12">
        <f>SUMIFS(tblDaily[DeathsUnder24Hrs],tblDaily[Month],12,tblDaily[WardCode],"NICU")</f>
        <v/>
      </c>
      <c r="H175" s="12">
        <f>SUMIFS(tblDaily[Remaining],tblDaily[Month],12,tblDaily[WardCode],"NICU")</f>
        <v/>
      </c>
      <c r="I175" s="12">
        <f>SUMIFS(tblDaily[TransfersIn],tblDaily[Month],12,tblDaily[WardCode],"NICU")</f>
        <v/>
      </c>
      <c r="J175" s="12">
        <f>SUMIFS(tblDaily[TransfersOut],tblDaily[Month],12,tblDaily[WardCode],"NICU")</f>
        <v/>
      </c>
      <c r="K175" s="27">
        <f>IFERROR(H175/31,0)</f>
        <v/>
      </c>
      <c r="L175" s="27">
        <f>IFERROR(H175/(E175+F175),0)</f>
        <v/>
      </c>
      <c r="M175" s="27">
        <f>IFERROR((C175*31-H175)/(E175+F175),0)</f>
        <v/>
      </c>
      <c r="N175" s="27">
        <f>IFERROR((E175+F175)/C175,0)</f>
        <v/>
      </c>
      <c r="O175" s="27">
        <f>IFERROR((H175/(C175*31))*100,0)</f>
        <v/>
      </c>
      <c r="P175" s="27">
        <f>IFERROR((F175/(D175+B175))*100,0)</f>
        <v/>
      </c>
    </row>
    <row r="176">
      <c r="A176" s="26" t="inlineStr">
        <is>
          <t>Male Emergency</t>
        </is>
      </c>
      <c r="B176" s="12">
        <f>IFERROR(SUMIFS(tblDaily[Remaining],tblDaily[EntryDate],DATE(2026,11,30),tblDaily[WardCode],"MAE"),0)</f>
        <v/>
      </c>
      <c r="C176" s="12">
        <f>IFERROR(INDEX(tblWardConfig[BedComplement],MATCH("MAE",tblWardConfig[WardCode],0)),0)</f>
        <v/>
      </c>
      <c r="D176" s="12">
        <f>SUMIFS(tblDaily[Admissions],tblDaily[Month],12,tblDaily[WardCode],"MAE") - SUMIFS(tblDaily[DeathsUnder24Hrs],tblDaily[Month],12,tblDaily[WardCode],"MAE")</f>
        <v/>
      </c>
      <c r="E176" s="12">
        <f>SUMIFS(tblDaily[Discharges],tblDaily[Month],12,tblDaily[WardCode],"MAE")</f>
        <v/>
      </c>
      <c r="F176" s="12">
        <f>SUMIFS(tblDaily[Deaths],tblDaily[Month],12,tblDaily[WardCode],"MAE")</f>
        <v/>
      </c>
      <c r="G176" s="12">
        <f>SUMIFS(tblDaily[DeathsUnder24Hrs],tblDaily[Month],12,tblDaily[WardCode],"MAE")</f>
        <v/>
      </c>
      <c r="H176" s="12">
        <f>SUMIFS(tblDaily[Remaining],tblDaily[Month],12,tblDaily[WardCode],"MAE")</f>
        <v/>
      </c>
      <c r="I176" s="12">
        <f>SUMIFS(tblDaily[TransfersIn],tblDaily[Month],12,tblDaily[WardCode],"MAE")</f>
        <v/>
      </c>
      <c r="J176" s="12">
        <f>SUMIFS(tblDaily[TransfersOut],tblDaily[Month],12,tblDaily[WardCode],"MAE")</f>
        <v/>
      </c>
      <c r="K176" s="27">
        <f>IFERROR(H176/31,0)</f>
        <v/>
      </c>
      <c r="L176" s="27">
        <f>IFERROR(H176/(E176+F176),0)</f>
        <v/>
      </c>
      <c r="M176" s="27">
        <f>IFERROR((C176*31-H176)/(E176+F176),0)</f>
        <v/>
      </c>
      <c r="N176" s="27">
        <f>IFERROR((E176+F176)/C176,0)</f>
        <v/>
      </c>
      <c r="O176" s="27">
        <f>IFERROR((H176/(C176*31))*100,0)</f>
        <v/>
      </c>
      <c r="P176" s="27">
        <f>IFERROR((F176/(D176+B176))*100,0)</f>
        <v/>
      </c>
    </row>
    <row r="177">
      <c r="A177" s="26" t="inlineStr">
        <is>
          <t>Female Emergency</t>
        </is>
      </c>
      <c r="B177" s="12">
        <f>IFERROR(SUMIFS(tblDaily[Remaining],tblDaily[EntryDate],DATE(2026,11,30),tblDaily[WardCode],"FAE"),0)</f>
        <v/>
      </c>
      <c r="C177" s="12">
        <f>IFERROR(INDEX(tblWardConfig[BedComplement],MATCH("FAE",tblWardConfig[WardCode],0)),0)</f>
        <v/>
      </c>
      <c r="D177" s="12">
        <f>SUMIFS(tblDaily[Admissions],tblDaily[Month],12,tblDaily[WardCode],"FAE") - SUMIFS(tblDaily[DeathsUnder24Hrs],tblDaily[Month],12,tblDaily[WardCode],"FAE")</f>
        <v/>
      </c>
      <c r="E177" s="12">
        <f>SUMIFS(tblDaily[Discharges],tblDaily[Month],12,tblDaily[WardCode],"FAE")</f>
        <v/>
      </c>
      <c r="F177" s="12">
        <f>SUMIFS(tblDaily[Deaths],tblDaily[Month],12,tblDaily[WardCode],"FAE")</f>
        <v/>
      </c>
      <c r="G177" s="12">
        <f>SUMIFS(tblDaily[DeathsUnder24Hrs],tblDaily[Month],12,tblDaily[WardCode],"FAE")</f>
        <v/>
      </c>
      <c r="H177" s="12">
        <f>SUMIFS(tblDaily[Remaining],tblDaily[Month],12,tblDaily[WardCode],"FAE")</f>
        <v/>
      </c>
      <c r="I177" s="12">
        <f>SUMIFS(tblDaily[TransfersIn],tblDaily[Month],12,tblDaily[WardCode],"FAE")</f>
        <v/>
      </c>
      <c r="J177" s="12">
        <f>SUMIFS(tblDaily[TransfersOut],tblDaily[Month],12,tblDaily[WardCode],"FAE")</f>
        <v/>
      </c>
      <c r="K177" s="27">
        <f>IFERROR(H177/31,0)</f>
        <v/>
      </c>
      <c r="L177" s="27">
        <f>IFERROR(H177/(E177+F177),0)</f>
        <v/>
      </c>
      <c r="M177" s="27">
        <f>IFERROR((C177*31-H177)/(E177+F177),0)</f>
        <v/>
      </c>
      <c r="N177" s="27">
        <f>IFERROR((E177+F177)/C177,0)</f>
        <v/>
      </c>
      <c r="O177" s="27">
        <f>IFERROR((H177/(C177*31))*100,0)</f>
        <v/>
      </c>
      <c r="P177" s="27">
        <f>IFERROR((F177/(D177+B177))*100,0)</f>
        <v/>
      </c>
    </row>
    <row r="178">
      <c r="A178" s="17" t="inlineStr">
        <is>
          <t>TOTAL</t>
        </is>
      </c>
      <c r="B178" s="17">
        <f>SUM(B169:B177)</f>
        <v/>
      </c>
      <c r="C178" s="17">
        <f>SUM(C169:C177)</f>
        <v/>
      </c>
      <c r="D178" s="17">
        <f>SUM(D169:D177)</f>
        <v/>
      </c>
      <c r="E178" s="17">
        <f>SUM(E169:E177)</f>
        <v/>
      </c>
      <c r="F178" s="17">
        <f>SUM(F169:F177)</f>
        <v/>
      </c>
      <c r="G178" s="17">
        <f>SUM(G169:G177)</f>
        <v/>
      </c>
      <c r="H178" s="17">
        <f>SUM(H169:H177)</f>
        <v/>
      </c>
      <c r="I178" s="17">
        <f>SUM(I169:I177)</f>
        <v/>
      </c>
      <c r="J178" s="17">
        <f>SUM(J169:J177)</f>
        <v/>
      </c>
      <c r="K178" s="28">
        <f>IFERROR(H178/31,0)</f>
        <v/>
      </c>
      <c r="L178" s="28">
        <f>IFERROR(H178/(E178+F178),0)</f>
        <v/>
      </c>
      <c r="M178" s="28">
        <f>IFERROR((C178*31-H178)/(E178+F178),0)</f>
        <v/>
      </c>
      <c r="N178" s="28">
        <f>IFERROR((E178+F178)/C178,0)</f>
        <v/>
      </c>
      <c r="O178" s="28">
        <f>IFERROR((H178/(C178*31))*100,0)</f>
        <v/>
      </c>
      <c r="P178" s="28">
        <f>IFERROR((F178/(D178+B178))*100,0)</f>
        <v/>
      </c>
    </row>
    <row r="179">
      <c r="A179" s="29" t="inlineStr">
        <is>
          <t>Emergency</t>
        </is>
      </c>
      <c r="B179" s="29">
        <f>B176+B177</f>
        <v/>
      </c>
      <c r="C179" s="29">
        <f>C176+C177</f>
        <v/>
      </c>
      <c r="D179" s="29">
        <f>D176+D177</f>
        <v/>
      </c>
      <c r="E179" s="29">
        <f>E176+E177</f>
        <v/>
      </c>
      <c r="F179" s="29">
        <f>F176+F177</f>
        <v/>
      </c>
      <c r="G179" s="29">
        <f>G176+G177</f>
        <v/>
      </c>
      <c r="H179" s="29">
        <f>H176+H177</f>
        <v/>
      </c>
      <c r="I179" s="29">
        <f>I176+I177</f>
        <v/>
      </c>
      <c r="J179" s="29">
        <f>J176+J177</f>
        <v/>
      </c>
      <c r="K179" s="30">
        <f>IFERROR(H179/31,0)</f>
        <v/>
      </c>
      <c r="L179" s="30">
        <f>IFERROR(H179/(E179+F179),0)</f>
        <v/>
      </c>
      <c r="M179" s="30">
        <f>IFERROR((C179*31-H179)/(E179+F179),0)</f>
        <v/>
      </c>
      <c r="N179" s="30">
        <f>IFERROR((E179+F179)/C179,0)</f>
        <v/>
      </c>
      <c r="O179" s="30">
        <f>IFERROR((H179/(C179*31))*100,0)</f>
        <v/>
      </c>
      <c r="P179" s="30">
        <f>IFERROR((F179/(D179+B179))*100,0)</f>
        <v/>
      </c>
    </row>
  </sheetData>
  <mergeCells count="24">
    <mergeCell ref="A47:P47"/>
    <mergeCell ref="A32:P32"/>
    <mergeCell ref="A76:P76"/>
    <mergeCell ref="A17:P17"/>
    <mergeCell ref="A106:P106"/>
    <mergeCell ref="A122:P122"/>
    <mergeCell ref="A91:P91"/>
    <mergeCell ref="A62:P62"/>
    <mergeCell ref="A152:P152"/>
    <mergeCell ref="A121:P121"/>
    <mergeCell ref="A31:P31"/>
    <mergeCell ref="A77:P77"/>
    <mergeCell ref="A167:P167"/>
    <mergeCell ref="A92:P92"/>
    <mergeCell ref="A166:P166"/>
    <mergeCell ref="A107:P107"/>
    <mergeCell ref="A1:P1"/>
    <mergeCell ref="A61:P61"/>
    <mergeCell ref="A16:P16"/>
    <mergeCell ref="A137:P137"/>
    <mergeCell ref="A46:P46"/>
    <mergeCell ref="A136:P136"/>
    <mergeCell ref="A151:P151"/>
    <mergeCell ref="A2:P2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P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GHANA HEALTH SERVICE</t>
        </is>
      </c>
    </row>
    <row r="2">
      <c r="A2" s="2" t="inlineStr">
        <is>
          <t>PERIOD BED UTILIZATION FORM - Q1 (Jan-Mar), 2026</t>
        </is>
      </c>
    </row>
    <row r="3">
      <c r="A3" s="16" t="inlineStr">
        <is>
          <t>WARD</t>
        </is>
      </c>
      <c r="B3" s="16" t="inlineStr">
        <is>
          <t>Patients on bed
at the beginning
of the period</t>
        </is>
      </c>
      <c r="C3" s="16" t="inlineStr">
        <is>
          <t>Bed Complement</t>
        </is>
      </c>
      <c r="D3" s="16" t="inlineStr">
        <is>
          <t>Admissions</t>
        </is>
      </c>
      <c r="E3" s="16" t="inlineStr">
        <is>
          <t>Discharges</t>
        </is>
      </c>
      <c r="F3" s="16" t="inlineStr">
        <is>
          <t>Deaths</t>
        </is>
      </c>
      <c r="G3" s="16" t="inlineStr">
        <is>
          <t>Deaths
&lt;24Hrs</t>
        </is>
      </c>
      <c r="H3" s="16" t="inlineStr">
        <is>
          <t>Patient
Days</t>
        </is>
      </c>
      <c r="I3" s="16" t="inlineStr">
        <is>
          <t>Transfer In</t>
        </is>
      </c>
      <c r="J3" s="16" t="inlineStr">
        <is>
          <t>Transfer
Out</t>
        </is>
      </c>
      <c r="K3" s="16" t="inlineStr">
        <is>
          <t>Average
Daily Bed
Occupancy</t>
        </is>
      </c>
      <c r="L3" s="16" t="inlineStr">
        <is>
          <t>Average
Length
of Stay</t>
        </is>
      </c>
      <c r="M3" s="16" t="inlineStr">
        <is>
          <t>Bed
Turnover
Interval</t>
        </is>
      </c>
      <c r="N3" s="16" t="inlineStr">
        <is>
          <t>Bed
Turnover
Rate</t>
        </is>
      </c>
      <c r="O3" s="16" t="inlineStr">
        <is>
          <t>Percentage
of
Occupancy</t>
        </is>
      </c>
      <c r="P3" s="16" t="inlineStr">
        <is>
          <t>Death
Rate</t>
        </is>
      </c>
    </row>
    <row r="4">
      <c r="A4" s="26" t="inlineStr">
        <is>
          <t>Male Medical</t>
        </is>
      </c>
      <c r="B4" s="12">
        <f>IFERROR(INDEX(tblWardConfig[PrevYearRemaining],MATCH("MW",tblWardConfig[WardCode],0)),0)</f>
        <v/>
      </c>
      <c r="C4" s="12">
        <f>IFERROR(INDEX(tblWardConfig[BedComplement],MATCH("MW",tblWardConfig[WardCode],0)),0)</f>
        <v/>
      </c>
      <c r="D4" s="12">
        <f>SUMIFS(tblDaily[Admissions],tblDaily[Month],"&gt;="&amp;1,tblDaily[Month],"&lt;="&amp;3,tblDaily[WardCode],"MW") - SUMIFS(tblDaily[DeathsUnder24Hrs],tblDaily[Month],"&gt;="&amp;1,tblDaily[Month],"&lt;="&amp;3,tblDaily[WardCode],"MW")</f>
        <v/>
      </c>
      <c r="E4" s="12">
        <f>SUMIFS(tblDaily[Discharges],tblDaily[Month],"&gt;="&amp;1,tblDaily[Month],"&lt;="&amp;3,tblDaily[WardCode],"MW")</f>
        <v/>
      </c>
      <c r="F4" s="12">
        <f>SUMIFS(tblDaily[Deaths],tblDaily[Month],"&gt;="&amp;1,tblDaily[Month],"&lt;="&amp;3,tblDaily[WardCode],"MW")</f>
        <v/>
      </c>
      <c r="G4" s="12">
        <f>SUMIFS(tblDaily[DeathsUnder24Hrs],tblDaily[Month],"&gt;="&amp;1,tblDaily[Month],"&lt;="&amp;3,tblDaily[WardCode],"MW")</f>
        <v/>
      </c>
      <c r="H4" s="12">
        <f>SUMIFS(tblDaily[Remaining],tblDaily[Month],"&gt;="&amp;1,tblDaily[Month],"&lt;="&amp;3,tblDaily[WardCode],"MW")</f>
        <v/>
      </c>
      <c r="I4" s="12">
        <f>SUMIFS(tblDaily[TransfersIn],tblDaily[Month],"&gt;="&amp;1,tblDaily[Month],"&lt;="&amp;3,tblDaily[WardCode],"MW")</f>
        <v/>
      </c>
      <c r="J4" s="12">
        <f>SUMIFS(tblDaily[TransfersOut],tblDaily[Month],"&gt;="&amp;1,tblDaily[Month],"&lt;="&amp;3,tblDaily[WardCode],"MW")</f>
        <v/>
      </c>
      <c r="K4" s="27">
        <f>IFERROR(H4/90,0)</f>
        <v/>
      </c>
      <c r="L4" s="27">
        <f>IFERROR(H4/(E4+F4),0)</f>
        <v/>
      </c>
      <c r="M4" s="27">
        <f>IFERROR((C4*90-H4)/(E4+F4),0)</f>
        <v/>
      </c>
      <c r="N4" s="27">
        <f>IFERROR((E4+F4)/C4,0)</f>
        <v/>
      </c>
      <c r="O4" s="27">
        <f>IFERROR((H4/(C4*90))*100,0)</f>
        <v/>
      </c>
      <c r="P4" s="27">
        <f>IFERROR((F4/(D4+B4))*100,0)</f>
        <v/>
      </c>
    </row>
    <row r="5">
      <c r="A5" s="26" t="inlineStr">
        <is>
          <t>Female Medical</t>
        </is>
      </c>
      <c r="B5" s="12">
        <f>IFERROR(INDEX(tblWardConfig[PrevYearRemaining],MATCH("FW",tblWardConfig[WardCode],0)),0)</f>
        <v/>
      </c>
      <c r="C5" s="12">
        <f>IFERROR(INDEX(tblWardConfig[BedComplement],MATCH("FW",tblWardConfig[WardCode],0)),0)</f>
        <v/>
      </c>
      <c r="D5" s="12">
        <f>SUMIFS(tblDaily[Admissions],tblDaily[Month],"&gt;="&amp;1,tblDaily[Month],"&lt;="&amp;3,tblDaily[WardCode],"FW") - SUMIFS(tblDaily[DeathsUnder24Hrs],tblDaily[Month],"&gt;="&amp;1,tblDaily[Month],"&lt;="&amp;3,tblDaily[WardCode],"FW")</f>
        <v/>
      </c>
      <c r="E5" s="12">
        <f>SUMIFS(tblDaily[Discharges],tblDaily[Month],"&gt;="&amp;1,tblDaily[Month],"&lt;="&amp;3,tblDaily[WardCode],"FW")</f>
        <v/>
      </c>
      <c r="F5" s="12">
        <f>SUMIFS(tblDaily[Deaths],tblDaily[Month],"&gt;="&amp;1,tblDaily[Month],"&lt;="&amp;3,tblDaily[WardCode],"FW")</f>
        <v/>
      </c>
      <c r="G5" s="12">
        <f>SUMIFS(tblDaily[DeathsUnder24Hrs],tblDaily[Month],"&gt;="&amp;1,tblDaily[Month],"&lt;="&amp;3,tblDaily[WardCode],"FW")</f>
        <v/>
      </c>
      <c r="H5" s="12">
        <f>SUMIFS(tblDaily[Remaining],tblDaily[Month],"&gt;="&amp;1,tblDaily[Month],"&lt;="&amp;3,tblDaily[WardCode],"FW")</f>
        <v/>
      </c>
      <c r="I5" s="12">
        <f>SUMIFS(tblDaily[TransfersIn],tblDaily[Month],"&gt;="&amp;1,tblDaily[Month],"&lt;="&amp;3,tblDaily[WardCode],"FW")</f>
        <v/>
      </c>
      <c r="J5" s="12">
        <f>SUMIFS(tblDaily[TransfersOut],tblDaily[Month],"&gt;="&amp;1,tblDaily[Month],"&lt;="&amp;3,tblDaily[WardCode],"FW")</f>
        <v/>
      </c>
      <c r="K5" s="27">
        <f>IFERROR(H5/90,0)</f>
        <v/>
      </c>
      <c r="L5" s="27">
        <f>IFERROR(H5/(E5+F5),0)</f>
        <v/>
      </c>
      <c r="M5" s="27">
        <f>IFERROR((C5*90-H5)/(E5+F5),0)</f>
        <v/>
      </c>
      <c r="N5" s="27">
        <f>IFERROR((E5+F5)/C5,0)</f>
        <v/>
      </c>
      <c r="O5" s="27">
        <f>IFERROR((H5/(C5*90))*100,0)</f>
        <v/>
      </c>
      <c r="P5" s="27">
        <f>IFERROR((F5/(D5+B5))*100,0)</f>
        <v/>
      </c>
    </row>
    <row r="6">
      <c r="A6" s="26" t="inlineStr">
        <is>
          <t>Paediatric</t>
        </is>
      </c>
      <c r="B6" s="12">
        <f>IFERROR(INDEX(tblWardConfig[PrevYearRemaining],MATCH("CW",tblWardConfig[WardCode],0)),0)</f>
        <v/>
      </c>
      <c r="C6" s="12">
        <f>IFERROR(INDEX(tblWardConfig[BedComplement],MATCH("CW",tblWardConfig[WardCode],0)),0)</f>
        <v/>
      </c>
      <c r="D6" s="12">
        <f>SUMIFS(tblDaily[Admissions],tblDaily[Month],"&gt;="&amp;1,tblDaily[Month],"&lt;="&amp;3,tblDaily[WardCode],"CW") - SUMIFS(tblDaily[DeathsUnder24Hrs],tblDaily[Month],"&gt;="&amp;1,tblDaily[Month],"&lt;="&amp;3,tblDaily[WardCode],"CW")</f>
        <v/>
      </c>
      <c r="E6" s="12">
        <f>SUMIFS(tblDaily[Discharges],tblDaily[Month],"&gt;="&amp;1,tblDaily[Month],"&lt;="&amp;3,tblDaily[WardCode],"CW")</f>
        <v/>
      </c>
      <c r="F6" s="12">
        <f>SUMIFS(tblDaily[Deaths],tblDaily[Month],"&gt;="&amp;1,tblDaily[Month],"&lt;="&amp;3,tblDaily[WardCode],"CW")</f>
        <v/>
      </c>
      <c r="G6" s="12">
        <f>SUMIFS(tblDaily[DeathsUnder24Hrs],tblDaily[Month],"&gt;="&amp;1,tblDaily[Month],"&lt;="&amp;3,tblDaily[WardCode],"CW")</f>
        <v/>
      </c>
      <c r="H6" s="12">
        <f>SUMIFS(tblDaily[Remaining],tblDaily[Month],"&gt;="&amp;1,tblDaily[Month],"&lt;="&amp;3,tblDaily[WardCode],"CW")</f>
        <v/>
      </c>
      <c r="I6" s="12">
        <f>SUMIFS(tblDaily[TransfersIn],tblDaily[Month],"&gt;="&amp;1,tblDaily[Month],"&lt;="&amp;3,tblDaily[WardCode],"CW")</f>
        <v/>
      </c>
      <c r="J6" s="12">
        <f>SUMIFS(tblDaily[TransfersOut],tblDaily[Month],"&gt;="&amp;1,tblDaily[Month],"&lt;="&amp;3,tblDaily[WardCode],"CW")</f>
        <v/>
      </c>
      <c r="K6" s="27">
        <f>IFERROR(H6/90,0)</f>
        <v/>
      </c>
      <c r="L6" s="27">
        <f>IFERROR(H6/(E6+F6),0)</f>
        <v/>
      </c>
      <c r="M6" s="27">
        <f>IFERROR((C6*90-H6)/(E6+F6),0)</f>
        <v/>
      </c>
      <c r="N6" s="27">
        <f>IFERROR((E6+F6)/C6,0)</f>
        <v/>
      </c>
      <c r="O6" s="27">
        <f>IFERROR((H6/(C6*90))*100,0)</f>
        <v/>
      </c>
      <c r="P6" s="27">
        <f>IFERROR((F6/(D6+B6))*100,0)</f>
        <v/>
      </c>
    </row>
    <row r="7">
      <c r="A7" s="26" t="inlineStr">
        <is>
          <t>Block F</t>
        </is>
      </c>
      <c r="B7" s="12">
        <f>IFERROR(INDEX(tblWardConfig[PrevYearRemaining],MATCH("BF",tblWardConfig[WardCode],0)),0)</f>
        <v/>
      </c>
      <c r="C7" s="12">
        <f>IFERROR(INDEX(tblWardConfig[BedComplement],MATCH("BF",tblWardConfig[WardCode],0)),0)</f>
        <v/>
      </c>
      <c r="D7" s="12">
        <f>SUMIFS(tblDaily[Admissions],tblDaily[Month],"&gt;="&amp;1,tblDaily[Month],"&lt;="&amp;3,tblDaily[WardCode],"BF") - SUMIFS(tblDaily[DeathsUnder24Hrs],tblDaily[Month],"&gt;="&amp;1,tblDaily[Month],"&lt;="&amp;3,tblDaily[WardCode],"BF")</f>
        <v/>
      </c>
      <c r="E7" s="12">
        <f>SUMIFS(tblDaily[Discharges],tblDaily[Month],"&gt;="&amp;1,tblDaily[Month],"&lt;="&amp;3,tblDaily[WardCode],"BF")</f>
        <v/>
      </c>
      <c r="F7" s="12">
        <f>SUMIFS(tblDaily[Deaths],tblDaily[Month],"&gt;="&amp;1,tblDaily[Month],"&lt;="&amp;3,tblDaily[WardCode],"BF")</f>
        <v/>
      </c>
      <c r="G7" s="12">
        <f>SUMIFS(tblDaily[DeathsUnder24Hrs],tblDaily[Month],"&gt;="&amp;1,tblDaily[Month],"&lt;="&amp;3,tblDaily[WardCode],"BF")</f>
        <v/>
      </c>
      <c r="H7" s="12">
        <f>SUMIFS(tblDaily[Remaining],tblDaily[Month],"&gt;="&amp;1,tblDaily[Month],"&lt;="&amp;3,tblDaily[WardCode],"BF")</f>
        <v/>
      </c>
      <c r="I7" s="12">
        <f>SUMIFS(tblDaily[TransfersIn],tblDaily[Month],"&gt;="&amp;1,tblDaily[Month],"&lt;="&amp;3,tblDaily[WardCode],"BF")</f>
        <v/>
      </c>
      <c r="J7" s="12">
        <f>SUMIFS(tblDaily[TransfersOut],tblDaily[Month],"&gt;="&amp;1,tblDaily[Month],"&lt;="&amp;3,tblDaily[WardCode],"BF")</f>
        <v/>
      </c>
      <c r="K7" s="27">
        <f>IFERROR(H7/90,0)</f>
        <v/>
      </c>
      <c r="L7" s="27">
        <f>IFERROR(H7/(E7+F7),0)</f>
        <v/>
      </c>
      <c r="M7" s="27">
        <f>IFERROR((C7*90-H7)/(E7+F7),0)</f>
        <v/>
      </c>
      <c r="N7" s="27">
        <f>IFERROR((E7+F7)/C7,0)</f>
        <v/>
      </c>
      <c r="O7" s="27">
        <f>IFERROR((H7/(C7*90))*100,0)</f>
        <v/>
      </c>
      <c r="P7" s="27">
        <f>IFERROR((F7/(D7+B7))*100,0)</f>
        <v/>
      </c>
    </row>
    <row r="8">
      <c r="A8" s="26" t="inlineStr">
        <is>
          <t>Block G</t>
        </is>
      </c>
      <c r="B8" s="12">
        <f>IFERROR(INDEX(tblWardConfig[PrevYearRemaining],MATCH("BG",tblWardConfig[WardCode],0)),0)</f>
        <v/>
      </c>
      <c r="C8" s="12">
        <f>IFERROR(INDEX(tblWardConfig[BedComplement],MATCH("BG",tblWardConfig[WardCode],0)),0)</f>
        <v/>
      </c>
      <c r="D8" s="12">
        <f>SUMIFS(tblDaily[Admissions],tblDaily[Month],"&gt;="&amp;1,tblDaily[Month],"&lt;="&amp;3,tblDaily[WardCode],"BG") - SUMIFS(tblDaily[DeathsUnder24Hrs],tblDaily[Month],"&gt;="&amp;1,tblDaily[Month],"&lt;="&amp;3,tblDaily[WardCode],"BG")</f>
        <v/>
      </c>
      <c r="E8" s="12">
        <f>SUMIFS(tblDaily[Discharges],tblDaily[Month],"&gt;="&amp;1,tblDaily[Month],"&lt;="&amp;3,tblDaily[WardCode],"BG")</f>
        <v/>
      </c>
      <c r="F8" s="12">
        <f>SUMIFS(tblDaily[Deaths],tblDaily[Month],"&gt;="&amp;1,tblDaily[Month],"&lt;="&amp;3,tblDaily[WardCode],"BG")</f>
        <v/>
      </c>
      <c r="G8" s="12">
        <f>SUMIFS(tblDaily[DeathsUnder24Hrs],tblDaily[Month],"&gt;="&amp;1,tblDaily[Month],"&lt;="&amp;3,tblDaily[WardCode],"BG")</f>
        <v/>
      </c>
      <c r="H8" s="12">
        <f>SUMIFS(tblDaily[Remaining],tblDaily[Month],"&gt;="&amp;1,tblDaily[Month],"&lt;="&amp;3,tblDaily[WardCode],"BG")</f>
        <v/>
      </c>
      <c r="I8" s="12">
        <f>SUMIFS(tblDaily[TransfersIn],tblDaily[Month],"&gt;="&amp;1,tblDaily[Month],"&lt;="&amp;3,tblDaily[WardCode],"BG")</f>
        <v/>
      </c>
      <c r="J8" s="12">
        <f>SUMIFS(tblDaily[TransfersOut],tblDaily[Month],"&gt;="&amp;1,tblDaily[Month],"&lt;="&amp;3,tblDaily[WardCode],"BG")</f>
        <v/>
      </c>
      <c r="K8" s="27">
        <f>IFERROR(H8/90,0)</f>
        <v/>
      </c>
      <c r="L8" s="27">
        <f>IFERROR(H8/(E8+F8),0)</f>
        <v/>
      </c>
      <c r="M8" s="27">
        <f>IFERROR((C8*90-H8)/(E8+F8),0)</f>
        <v/>
      </c>
      <c r="N8" s="27">
        <f>IFERROR((E8+F8)/C8,0)</f>
        <v/>
      </c>
      <c r="O8" s="27">
        <f>IFERROR((H8/(C8*90))*100,0)</f>
        <v/>
      </c>
      <c r="P8" s="27">
        <f>IFERROR((F8/(D8+B8))*100,0)</f>
        <v/>
      </c>
    </row>
    <row r="9">
      <c r="A9" s="26" t="inlineStr">
        <is>
          <t>Block H</t>
        </is>
      </c>
      <c r="B9" s="12">
        <f>IFERROR(INDEX(tblWardConfig[PrevYearRemaining],MATCH("BH",tblWardConfig[WardCode],0)),0)</f>
        <v/>
      </c>
      <c r="C9" s="12">
        <f>IFERROR(INDEX(tblWardConfig[BedComplement],MATCH("BH",tblWardConfig[WardCode],0)),0)</f>
        <v/>
      </c>
      <c r="D9" s="12">
        <f>SUMIFS(tblDaily[Admissions],tblDaily[Month],"&gt;="&amp;1,tblDaily[Month],"&lt;="&amp;3,tblDaily[WardCode],"BH") - SUMIFS(tblDaily[DeathsUnder24Hrs],tblDaily[Month],"&gt;="&amp;1,tblDaily[Month],"&lt;="&amp;3,tblDaily[WardCode],"BH")</f>
        <v/>
      </c>
      <c r="E9" s="12">
        <f>SUMIFS(tblDaily[Discharges],tblDaily[Month],"&gt;="&amp;1,tblDaily[Month],"&lt;="&amp;3,tblDaily[WardCode],"BH")</f>
        <v/>
      </c>
      <c r="F9" s="12">
        <f>SUMIFS(tblDaily[Deaths],tblDaily[Month],"&gt;="&amp;1,tblDaily[Month],"&lt;="&amp;3,tblDaily[WardCode],"BH")</f>
        <v/>
      </c>
      <c r="G9" s="12">
        <f>SUMIFS(tblDaily[DeathsUnder24Hrs],tblDaily[Month],"&gt;="&amp;1,tblDaily[Month],"&lt;="&amp;3,tblDaily[WardCode],"BH")</f>
        <v/>
      </c>
      <c r="H9" s="12">
        <f>SUMIFS(tblDaily[Remaining],tblDaily[Month],"&gt;="&amp;1,tblDaily[Month],"&lt;="&amp;3,tblDaily[WardCode],"BH")</f>
        <v/>
      </c>
      <c r="I9" s="12">
        <f>SUMIFS(tblDaily[TransfersIn],tblDaily[Month],"&gt;="&amp;1,tblDaily[Month],"&lt;="&amp;3,tblDaily[WardCode],"BH")</f>
        <v/>
      </c>
      <c r="J9" s="12">
        <f>SUMIFS(tblDaily[TransfersOut],tblDaily[Month],"&gt;="&amp;1,tblDaily[Month],"&lt;="&amp;3,tblDaily[WardCode],"BH")</f>
        <v/>
      </c>
      <c r="K9" s="27">
        <f>IFERROR(H9/90,0)</f>
        <v/>
      </c>
      <c r="L9" s="27">
        <f>IFERROR(H9/(E9+F9),0)</f>
        <v/>
      </c>
      <c r="M9" s="27">
        <f>IFERROR((C9*90-H9)/(E9+F9),0)</f>
        <v/>
      </c>
      <c r="N9" s="27">
        <f>IFERROR((E9+F9)/C9,0)</f>
        <v/>
      </c>
      <c r="O9" s="27">
        <f>IFERROR((H9/(C9*90))*100,0)</f>
        <v/>
      </c>
      <c r="P9" s="27">
        <f>IFERROR((F9/(D9+B9))*100,0)</f>
        <v/>
      </c>
    </row>
    <row r="10">
      <c r="A10" s="26" t="inlineStr">
        <is>
          <t>Neonatal</t>
        </is>
      </c>
      <c r="B10" s="12">
        <f>IFERROR(INDEX(tblWardConfig[PrevYearRemaining],MATCH("NICU",tblWardConfig[WardCode],0)),0)</f>
        <v/>
      </c>
      <c r="C10" s="12">
        <f>IFERROR(INDEX(tblWardConfig[BedComplement],MATCH("NICU",tblWardConfig[WardCode],0)),0)</f>
        <v/>
      </c>
      <c r="D10" s="12">
        <f>SUMIFS(tblDaily[Admissions],tblDaily[Month],"&gt;="&amp;1,tblDaily[Month],"&lt;="&amp;3,tblDaily[WardCode],"NICU") - SUMIFS(tblDaily[DeathsUnder24Hrs],tblDaily[Month],"&gt;="&amp;1,tblDaily[Month],"&lt;="&amp;3,tblDaily[WardCode],"NICU")</f>
        <v/>
      </c>
      <c r="E10" s="12">
        <f>SUMIFS(tblDaily[Discharges],tblDaily[Month],"&gt;="&amp;1,tblDaily[Month],"&lt;="&amp;3,tblDaily[WardCode],"NICU")</f>
        <v/>
      </c>
      <c r="F10" s="12">
        <f>SUMIFS(tblDaily[Deaths],tblDaily[Month],"&gt;="&amp;1,tblDaily[Month],"&lt;="&amp;3,tblDaily[WardCode],"NICU")</f>
        <v/>
      </c>
      <c r="G10" s="12">
        <f>SUMIFS(tblDaily[DeathsUnder24Hrs],tblDaily[Month],"&gt;="&amp;1,tblDaily[Month],"&lt;="&amp;3,tblDaily[WardCode],"NICU")</f>
        <v/>
      </c>
      <c r="H10" s="12">
        <f>SUMIFS(tblDaily[Remaining],tblDaily[Month],"&gt;="&amp;1,tblDaily[Month],"&lt;="&amp;3,tblDaily[WardCode],"NICU")</f>
        <v/>
      </c>
      <c r="I10" s="12">
        <f>SUMIFS(tblDaily[TransfersIn],tblDaily[Month],"&gt;="&amp;1,tblDaily[Month],"&lt;="&amp;3,tblDaily[WardCode],"NICU")</f>
        <v/>
      </c>
      <c r="J10" s="12">
        <f>SUMIFS(tblDaily[TransfersOut],tblDaily[Month],"&gt;="&amp;1,tblDaily[Month],"&lt;="&amp;3,tblDaily[WardCode],"NICU")</f>
        <v/>
      </c>
      <c r="K10" s="27">
        <f>IFERROR(H10/90,0)</f>
        <v/>
      </c>
      <c r="L10" s="27">
        <f>IFERROR(H10/(E10+F10),0)</f>
        <v/>
      </c>
      <c r="M10" s="27">
        <f>IFERROR((C10*90-H10)/(E10+F10),0)</f>
        <v/>
      </c>
      <c r="N10" s="27">
        <f>IFERROR((E10+F10)/C10,0)</f>
        <v/>
      </c>
      <c r="O10" s="27">
        <f>IFERROR((H10/(C10*90))*100,0)</f>
        <v/>
      </c>
      <c r="P10" s="27">
        <f>IFERROR((F10/(D10+B10))*100,0)</f>
        <v/>
      </c>
    </row>
    <row r="11">
      <c r="A11" s="26" t="inlineStr">
        <is>
          <t>Male Emergency</t>
        </is>
      </c>
      <c r="B11" s="12">
        <f>IFERROR(INDEX(tblWardConfig[PrevYearRemaining],MATCH("MAE",tblWardConfig[WardCode],0)),0)</f>
        <v/>
      </c>
      <c r="C11" s="12">
        <f>IFERROR(INDEX(tblWardConfig[BedComplement],MATCH("MAE",tblWardConfig[WardCode],0)),0)</f>
        <v/>
      </c>
      <c r="D11" s="12">
        <f>SUMIFS(tblDaily[Admissions],tblDaily[Month],"&gt;="&amp;1,tblDaily[Month],"&lt;="&amp;3,tblDaily[WardCode],"MAE") - SUMIFS(tblDaily[DeathsUnder24Hrs],tblDaily[Month],"&gt;="&amp;1,tblDaily[Month],"&lt;="&amp;3,tblDaily[WardCode],"MAE")</f>
        <v/>
      </c>
      <c r="E11" s="12">
        <f>SUMIFS(tblDaily[Discharges],tblDaily[Month],"&gt;="&amp;1,tblDaily[Month],"&lt;="&amp;3,tblDaily[WardCode],"MAE")</f>
        <v/>
      </c>
      <c r="F11" s="12">
        <f>SUMIFS(tblDaily[Deaths],tblDaily[Month],"&gt;="&amp;1,tblDaily[Month],"&lt;="&amp;3,tblDaily[WardCode],"MAE")</f>
        <v/>
      </c>
      <c r="G11" s="12">
        <f>SUMIFS(tblDaily[DeathsUnder24Hrs],tblDaily[Month],"&gt;="&amp;1,tblDaily[Month],"&lt;="&amp;3,tblDaily[WardCode],"MAE")</f>
        <v/>
      </c>
      <c r="H11" s="12">
        <f>SUMIFS(tblDaily[Remaining],tblDaily[Month],"&gt;="&amp;1,tblDaily[Month],"&lt;="&amp;3,tblDaily[WardCode],"MAE")</f>
        <v/>
      </c>
      <c r="I11" s="12">
        <f>SUMIFS(tblDaily[TransfersIn],tblDaily[Month],"&gt;="&amp;1,tblDaily[Month],"&lt;="&amp;3,tblDaily[WardCode],"MAE")</f>
        <v/>
      </c>
      <c r="J11" s="12">
        <f>SUMIFS(tblDaily[TransfersOut],tblDaily[Month],"&gt;="&amp;1,tblDaily[Month],"&lt;="&amp;3,tblDaily[WardCode],"MAE")</f>
        <v/>
      </c>
      <c r="K11" s="27">
        <f>IFERROR(H11/90,0)</f>
        <v/>
      </c>
      <c r="L11" s="27">
        <f>IFERROR(H11/(E11+F11),0)</f>
        <v/>
      </c>
      <c r="M11" s="27">
        <f>IFERROR((C11*90-H11)/(E11+F11),0)</f>
        <v/>
      </c>
      <c r="N11" s="27">
        <f>IFERROR((E11+F11)/C11,0)</f>
        <v/>
      </c>
      <c r="O11" s="27">
        <f>IFERROR((H11/(C11*90))*100,0)</f>
        <v/>
      </c>
      <c r="P11" s="27">
        <f>IFERROR((F11/(D11+B11))*100,0)</f>
        <v/>
      </c>
    </row>
    <row r="12">
      <c r="A12" s="26" t="inlineStr">
        <is>
          <t>Female Emergency</t>
        </is>
      </c>
      <c r="B12" s="12">
        <f>IFERROR(INDEX(tblWardConfig[PrevYearRemaining],MATCH("FAE",tblWardConfig[WardCode],0)),0)</f>
        <v/>
      </c>
      <c r="C12" s="12">
        <f>IFERROR(INDEX(tblWardConfig[BedComplement],MATCH("FAE",tblWardConfig[WardCode],0)),0)</f>
        <v/>
      </c>
      <c r="D12" s="12">
        <f>SUMIFS(tblDaily[Admissions],tblDaily[Month],"&gt;="&amp;1,tblDaily[Month],"&lt;="&amp;3,tblDaily[WardCode],"FAE") - SUMIFS(tblDaily[DeathsUnder24Hrs],tblDaily[Month],"&gt;="&amp;1,tblDaily[Month],"&lt;="&amp;3,tblDaily[WardCode],"FAE")</f>
        <v/>
      </c>
      <c r="E12" s="12">
        <f>SUMIFS(tblDaily[Discharges],tblDaily[Month],"&gt;="&amp;1,tblDaily[Month],"&lt;="&amp;3,tblDaily[WardCode],"FAE")</f>
        <v/>
      </c>
      <c r="F12" s="12">
        <f>SUMIFS(tblDaily[Deaths],tblDaily[Month],"&gt;="&amp;1,tblDaily[Month],"&lt;="&amp;3,tblDaily[WardCode],"FAE")</f>
        <v/>
      </c>
      <c r="G12" s="12">
        <f>SUMIFS(tblDaily[DeathsUnder24Hrs],tblDaily[Month],"&gt;="&amp;1,tblDaily[Month],"&lt;="&amp;3,tblDaily[WardCode],"FAE")</f>
        <v/>
      </c>
      <c r="H12" s="12">
        <f>SUMIFS(tblDaily[Remaining],tblDaily[Month],"&gt;="&amp;1,tblDaily[Month],"&lt;="&amp;3,tblDaily[WardCode],"FAE")</f>
        <v/>
      </c>
      <c r="I12" s="12">
        <f>SUMIFS(tblDaily[TransfersIn],tblDaily[Month],"&gt;="&amp;1,tblDaily[Month],"&lt;="&amp;3,tblDaily[WardCode],"FAE")</f>
        <v/>
      </c>
      <c r="J12" s="12">
        <f>SUMIFS(tblDaily[TransfersOut],tblDaily[Month],"&gt;="&amp;1,tblDaily[Month],"&lt;="&amp;3,tblDaily[WardCode],"FAE")</f>
        <v/>
      </c>
      <c r="K12" s="27">
        <f>IFERROR(H12/90,0)</f>
        <v/>
      </c>
      <c r="L12" s="27">
        <f>IFERROR(H12/(E12+F12),0)</f>
        <v/>
      </c>
      <c r="M12" s="27">
        <f>IFERROR((C12*90-H12)/(E12+F12),0)</f>
        <v/>
      </c>
      <c r="N12" s="27">
        <f>IFERROR((E12+F12)/C12,0)</f>
        <v/>
      </c>
      <c r="O12" s="27">
        <f>IFERROR((H12/(C12*90))*100,0)</f>
        <v/>
      </c>
      <c r="P12" s="27">
        <f>IFERROR((F12/(D12+B12))*100,0)</f>
        <v/>
      </c>
    </row>
    <row r="13">
      <c r="A13" s="17" t="inlineStr">
        <is>
          <t>TOTAL</t>
        </is>
      </c>
      <c r="B13" s="17">
        <f>SUM(B4:B12)</f>
        <v/>
      </c>
      <c r="C13" s="17">
        <f>SUM(C4:C12)</f>
        <v/>
      </c>
      <c r="D13" s="17">
        <f>SUM(D4:D12)</f>
        <v/>
      </c>
      <c r="E13" s="17">
        <f>SUM(E4:E12)</f>
        <v/>
      </c>
      <c r="F13" s="17">
        <f>SUM(F4:F12)</f>
        <v/>
      </c>
      <c r="G13" s="17">
        <f>SUM(G4:G12)</f>
        <v/>
      </c>
      <c r="H13" s="17">
        <f>SUM(H4:H12)</f>
        <v/>
      </c>
      <c r="I13" s="17">
        <f>SUM(I4:I12)</f>
        <v/>
      </c>
      <c r="J13" s="17">
        <f>SUM(J4:J12)</f>
        <v/>
      </c>
      <c r="K13" s="28">
        <f>IFERROR(H13/90,0)</f>
        <v/>
      </c>
      <c r="L13" s="28">
        <f>IFERROR(H13/(E13+F13),0)</f>
        <v/>
      </c>
      <c r="M13" s="28">
        <f>IFERROR((C13*90-H13)/(E13+F13),0)</f>
        <v/>
      </c>
      <c r="N13" s="28">
        <f>IFERROR((E13+F13)/C13,0)</f>
        <v/>
      </c>
      <c r="O13" s="28">
        <f>IFERROR((H13/(C13*90))*100,0)</f>
        <v/>
      </c>
      <c r="P13" s="28">
        <f>IFERROR((F13/(D13+B13))*100,0)</f>
        <v/>
      </c>
    </row>
    <row r="14">
      <c r="A14" s="29" t="inlineStr">
        <is>
          <t>Emergency</t>
        </is>
      </c>
      <c r="B14" s="29">
        <f>B11+B12</f>
        <v/>
      </c>
      <c r="C14" s="29">
        <f>C11+C12</f>
        <v/>
      </c>
      <c r="D14" s="29">
        <f>D11+D12</f>
        <v/>
      </c>
      <c r="E14" s="29">
        <f>E11+E12</f>
        <v/>
      </c>
      <c r="F14" s="29">
        <f>F11+F12</f>
        <v/>
      </c>
      <c r="G14" s="29">
        <f>G11+G12</f>
        <v/>
      </c>
      <c r="H14" s="29">
        <f>H11+H12</f>
        <v/>
      </c>
      <c r="I14" s="29">
        <f>I11+I12</f>
        <v/>
      </c>
      <c r="J14" s="29">
        <f>J11+J12</f>
        <v/>
      </c>
      <c r="K14" s="30">
        <f>IFERROR(H14/90,0)</f>
        <v/>
      </c>
      <c r="L14" s="30">
        <f>IFERROR(H14/(E14+F14),0)</f>
        <v/>
      </c>
      <c r="M14" s="30">
        <f>IFERROR((C14*90-H14)/(E14+F14),0)</f>
        <v/>
      </c>
      <c r="N14" s="30">
        <f>IFERROR((E14+F14)/C14,0)</f>
        <v/>
      </c>
      <c r="O14" s="30">
        <f>IFERROR((H14/(C14*90))*100,0)</f>
        <v/>
      </c>
      <c r="P14" s="30">
        <f>IFERROR((F14/(D14+B14))*100,0)</f>
        <v/>
      </c>
    </row>
    <row r="16">
      <c r="A16" s="1" t="inlineStr">
        <is>
          <t>GHANA HEALTH SERVICE</t>
        </is>
      </c>
    </row>
    <row r="17">
      <c r="A17" s="2" t="inlineStr">
        <is>
          <t>PERIOD BED UTILIZATION FORM - Q2 (Apr-Jun), 2026</t>
        </is>
      </c>
    </row>
    <row r="18">
      <c r="A18" s="16" t="inlineStr">
        <is>
          <t>WARD</t>
        </is>
      </c>
      <c r="B18" s="16" t="inlineStr">
        <is>
          <t>Patients on bed
at the beginning
of the period</t>
        </is>
      </c>
      <c r="C18" s="16" t="inlineStr">
        <is>
          <t>Bed Complement</t>
        </is>
      </c>
      <c r="D18" s="16" t="inlineStr">
        <is>
          <t>Admissions</t>
        </is>
      </c>
      <c r="E18" s="16" t="inlineStr">
        <is>
          <t>Discharges</t>
        </is>
      </c>
      <c r="F18" s="16" t="inlineStr">
        <is>
          <t>Deaths</t>
        </is>
      </c>
      <c r="G18" s="16" t="inlineStr">
        <is>
          <t>Deaths
&lt;24Hrs</t>
        </is>
      </c>
      <c r="H18" s="16" t="inlineStr">
        <is>
          <t>Patient
Days</t>
        </is>
      </c>
      <c r="I18" s="16" t="inlineStr">
        <is>
          <t>Transfer In</t>
        </is>
      </c>
      <c r="J18" s="16" t="inlineStr">
        <is>
          <t>Transfer
Out</t>
        </is>
      </c>
      <c r="K18" s="16" t="inlineStr">
        <is>
          <t>Average
Daily Bed
Occupancy</t>
        </is>
      </c>
      <c r="L18" s="16" t="inlineStr">
        <is>
          <t>Average
Length
of Stay</t>
        </is>
      </c>
      <c r="M18" s="16" t="inlineStr">
        <is>
          <t>Bed
Turnover
Interval</t>
        </is>
      </c>
      <c r="N18" s="16" t="inlineStr">
        <is>
          <t>Bed
Turnover
Rate</t>
        </is>
      </c>
      <c r="O18" s="16" t="inlineStr">
        <is>
          <t>Percentage
of
Occupancy</t>
        </is>
      </c>
      <c r="P18" s="16" t="inlineStr">
        <is>
          <t>Death
Rate</t>
        </is>
      </c>
    </row>
    <row r="19">
      <c r="A19" s="26" t="inlineStr">
        <is>
          <t>Male Medical</t>
        </is>
      </c>
      <c r="B19" s="12">
        <f>IFERROR(SUMIFS(tblDaily[Remaining],tblDaily[EntryDate],DATE(2026,3,31),tblDaily[WardCode],"MW"),0)</f>
        <v/>
      </c>
      <c r="C19" s="12">
        <f>IFERROR(INDEX(tblWardConfig[BedComplement],MATCH("MW",tblWardConfig[WardCode],0)),0)</f>
        <v/>
      </c>
      <c r="D19" s="12">
        <f>SUMIFS(tblDaily[Admissions],tblDaily[Month],"&gt;="&amp;4,tblDaily[Month],"&lt;="&amp;6,tblDaily[WardCode],"MW") - SUMIFS(tblDaily[DeathsUnder24Hrs],tblDaily[Month],"&gt;="&amp;4,tblDaily[Month],"&lt;="&amp;6,tblDaily[WardCode],"MW")</f>
        <v/>
      </c>
      <c r="E19" s="12">
        <f>SUMIFS(tblDaily[Discharges],tblDaily[Month],"&gt;="&amp;4,tblDaily[Month],"&lt;="&amp;6,tblDaily[WardCode],"MW")</f>
        <v/>
      </c>
      <c r="F19" s="12">
        <f>SUMIFS(tblDaily[Deaths],tblDaily[Month],"&gt;="&amp;4,tblDaily[Month],"&lt;="&amp;6,tblDaily[WardCode],"MW")</f>
        <v/>
      </c>
      <c r="G19" s="12">
        <f>SUMIFS(tblDaily[DeathsUnder24Hrs],tblDaily[Month],"&gt;="&amp;4,tblDaily[Month],"&lt;="&amp;6,tblDaily[WardCode],"MW")</f>
        <v/>
      </c>
      <c r="H19" s="12">
        <f>SUMIFS(tblDaily[Remaining],tblDaily[Month],"&gt;="&amp;4,tblDaily[Month],"&lt;="&amp;6,tblDaily[WardCode],"MW")</f>
        <v/>
      </c>
      <c r="I19" s="12">
        <f>SUMIFS(tblDaily[TransfersIn],tblDaily[Month],"&gt;="&amp;4,tblDaily[Month],"&lt;="&amp;6,tblDaily[WardCode],"MW")</f>
        <v/>
      </c>
      <c r="J19" s="12">
        <f>SUMIFS(tblDaily[TransfersOut],tblDaily[Month],"&gt;="&amp;4,tblDaily[Month],"&lt;="&amp;6,tblDaily[WardCode],"MW")</f>
        <v/>
      </c>
      <c r="K19" s="27">
        <f>IFERROR(H19/91,0)</f>
        <v/>
      </c>
      <c r="L19" s="27">
        <f>IFERROR(H19/(E19+F19),0)</f>
        <v/>
      </c>
      <c r="M19" s="27">
        <f>IFERROR((C19*91-H19)/(E19+F19),0)</f>
        <v/>
      </c>
      <c r="N19" s="27">
        <f>IFERROR((E19+F19)/C19,0)</f>
        <v/>
      </c>
      <c r="O19" s="27">
        <f>IFERROR((H19/(C19*91))*100,0)</f>
        <v/>
      </c>
      <c r="P19" s="27">
        <f>IFERROR((F19/(D19+B19))*100,0)</f>
        <v/>
      </c>
    </row>
    <row r="20">
      <c r="A20" s="26" t="inlineStr">
        <is>
          <t>Female Medical</t>
        </is>
      </c>
      <c r="B20" s="12">
        <f>IFERROR(SUMIFS(tblDaily[Remaining],tblDaily[EntryDate],DATE(2026,3,31),tblDaily[WardCode],"FW"),0)</f>
        <v/>
      </c>
      <c r="C20" s="12">
        <f>IFERROR(INDEX(tblWardConfig[BedComplement],MATCH("FW",tblWardConfig[WardCode],0)),0)</f>
        <v/>
      </c>
      <c r="D20" s="12">
        <f>SUMIFS(tblDaily[Admissions],tblDaily[Month],"&gt;="&amp;4,tblDaily[Month],"&lt;="&amp;6,tblDaily[WardCode],"FW") - SUMIFS(tblDaily[DeathsUnder24Hrs],tblDaily[Month],"&gt;="&amp;4,tblDaily[Month],"&lt;="&amp;6,tblDaily[WardCode],"FW")</f>
        <v/>
      </c>
      <c r="E20" s="12">
        <f>SUMIFS(tblDaily[Discharges],tblDaily[Month],"&gt;="&amp;4,tblDaily[Month],"&lt;="&amp;6,tblDaily[WardCode],"FW")</f>
        <v/>
      </c>
      <c r="F20" s="12">
        <f>SUMIFS(tblDaily[Deaths],tblDaily[Month],"&gt;="&amp;4,tblDaily[Month],"&lt;="&amp;6,tblDaily[WardCode],"FW")</f>
        <v/>
      </c>
      <c r="G20" s="12">
        <f>SUMIFS(tblDaily[DeathsUnder24Hrs],tblDaily[Month],"&gt;="&amp;4,tblDaily[Month],"&lt;="&amp;6,tblDaily[WardCode],"FW")</f>
        <v/>
      </c>
      <c r="H20" s="12">
        <f>SUMIFS(tblDaily[Remaining],tblDaily[Month],"&gt;="&amp;4,tblDaily[Month],"&lt;="&amp;6,tblDaily[WardCode],"FW")</f>
        <v/>
      </c>
      <c r="I20" s="12">
        <f>SUMIFS(tblDaily[TransfersIn],tblDaily[Month],"&gt;="&amp;4,tblDaily[Month],"&lt;="&amp;6,tblDaily[WardCode],"FW")</f>
        <v/>
      </c>
      <c r="J20" s="12">
        <f>SUMIFS(tblDaily[TransfersOut],tblDaily[Month],"&gt;="&amp;4,tblDaily[Month],"&lt;="&amp;6,tblDaily[WardCode],"FW")</f>
        <v/>
      </c>
      <c r="K20" s="27">
        <f>IFERROR(H20/91,0)</f>
        <v/>
      </c>
      <c r="L20" s="27">
        <f>IFERROR(H20/(E20+F20),0)</f>
        <v/>
      </c>
      <c r="M20" s="27">
        <f>IFERROR((C20*91-H20)/(E20+F20),0)</f>
        <v/>
      </c>
      <c r="N20" s="27">
        <f>IFERROR((E20+F20)/C20,0)</f>
        <v/>
      </c>
      <c r="O20" s="27">
        <f>IFERROR((H20/(C20*91))*100,0)</f>
        <v/>
      </c>
      <c r="P20" s="27">
        <f>IFERROR((F20/(D20+B20))*100,0)</f>
        <v/>
      </c>
    </row>
    <row r="21">
      <c r="A21" s="26" t="inlineStr">
        <is>
          <t>Paediatric</t>
        </is>
      </c>
      <c r="B21" s="12">
        <f>IFERROR(SUMIFS(tblDaily[Remaining],tblDaily[EntryDate],DATE(2026,3,31),tblDaily[WardCode],"CW"),0)</f>
        <v/>
      </c>
      <c r="C21" s="12">
        <f>IFERROR(INDEX(tblWardConfig[BedComplement],MATCH("CW",tblWardConfig[WardCode],0)),0)</f>
        <v/>
      </c>
      <c r="D21" s="12">
        <f>SUMIFS(tblDaily[Admissions],tblDaily[Month],"&gt;="&amp;4,tblDaily[Month],"&lt;="&amp;6,tblDaily[WardCode],"CW") - SUMIFS(tblDaily[DeathsUnder24Hrs],tblDaily[Month],"&gt;="&amp;4,tblDaily[Month],"&lt;="&amp;6,tblDaily[WardCode],"CW")</f>
        <v/>
      </c>
      <c r="E21" s="12">
        <f>SUMIFS(tblDaily[Discharges],tblDaily[Month],"&gt;="&amp;4,tblDaily[Month],"&lt;="&amp;6,tblDaily[WardCode],"CW")</f>
        <v/>
      </c>
      <c r="F21" s="12">
        <f>SUMIFS(tblDaily[Deaths],tblDaily[Month],"&gt;="&amp;4,tblDaily[Month],"&lt;="&amp;6,tblDaily[WardCode],"CW")</f>
        <v/>
      </c>
      <c r="G21" s="12">
        <f>SUMIFS(tblDaily[DeathsUnder24Hrs],tblDaily[Month],"&gt;="&amp;4,tblDaily[Month],"&lt;="&amp;6,tblDaily[WardCode],"CW")</f>
        <v/>
      </c>
      <c r="H21" s="12">
        <f>SUMIFS(tblDaily[Remaining],tblDaily[Month],"&gt;="&amp;4,tblDaily[Month],"&lt;="&amp;6,tblDaily[WardCode],"CW")</f>
        <v/>
      </c>
      <c r="I21" s="12">
        <f>SUMIFS(tblDaily[TransfersIn],tblDaily[Month],"&gt;="&amp;4,tblDaily[Month],"&lt;="&amp;6,tblDaily[WardCode],"CW")</f>
        <v/>
      </c>
      <c r="J21" s="12">
        <f>SUMIFS(tblDaily[TransfersOut],tblDaily[Month],"&gt;="&amp;4,tblDaily[Month],"&lt;="&amp;6,tblDaily[WardCode],"CW")</f>
        <v/>
      </c>
      <c r="K21" s="27">
        <f>IFERROR(H21/91,0)</f>
        <v/>
      </c>
      <c r="L21" s="27">
        <f>IFERROR(H21/(E21+F21),0)</f>
        <v/>
      </c>
      <c r="M21" s="27">
        <f>IFERROR((C21*91-H21)/(E21+F21),0)</f>
        <v/>
      </c>
      <c r="N21" s="27">
        <f>IFERROR((E21+F21)/C21,0)</f>
        <v/>
      </c>
      <c r="O21" s="27">
        <f>IFERROR((H21/(C21*91))*100,0)</f>
        <v/>
      </c>
      <c r="P21" s="27">
        <f>IFERROR((F21/(D21+B21))*100,0)</f>
        <v/>
      </c>
    </row>
    <row r="22">
      <c r="A22" s="26" t="inlineStr">
        <is>
          <t>Block F</t>
        </is>
      </c>
      <c r="B22" s="12">
        <f>IFERROR(SUMIFS(tblDaily[Remaining],tblDaily[EntryDate],DATE(2026,3,31),tblDaily[WardCode],"BF"),0)</f>
        <v/>
      </c>
      <c r="C22" s="12">
        <f>IFERROR(INDEX(tblWardConfig[BedComplement],MATCH("BF",tblWardConfig[WardCode],0)),0)</f>
        <v/>
      </c>
      <c r="D22" s="12">
        <f>SUMIFS(tblDaily[Admissions],tblDaily[Month],"&gt;="&amp;4,tblDaily[Month],"&lt;="&amp;6,tblDaily[WardCode],"BF") - SUMIFS(tblDaily[DeathsUnder24Hrs],tblDaily[Month],"&gt;="&amp;4,tblDaily[Month],"&lt;="&amp;6,tblDaily[WardCode],"BF")</f>
        <v/>
      </c>
      <c r="E22" s="12">
        <f>SUMIFS(tblDaily[Discharges],tblDaily[Month],"&gt;="&amp;4,tblDaily[Month],"&lt;="&amp;6,tblDaily[WardCode],"BF")</f>
        <v/>
      </c>
      <c r="F22" s="12">
        <f>SUMIFS(tblDaily[Deaths],tblDaily[Month],"&gt;="&amp;4,tblDaily[Month],"&lt;="&amp;6,tblDaily[WardCode],"BF")</f>
        <v/>
      </c>
      <c r="G22" s="12">
        <f>SUMIFS(tblDaily[DeathsUnder24Hrs],tblDaily[Month],"&gt;="&amp;4,tblDaily[Month],"&lt;="&amp;6,tblDaily[WardCode],"BF")</f>
        <v/>
      </c>
      <c r="H22" s="12">
        <f>SUMIFS(tblDaily[Remaining],tblDaily[Month],"&gt;="&amp;4,tblDaily[Month],"&lt;="&amp;6,tblDaily[WardCode],"BF")</f>
        <v/>
      </c>
      <c r="I22" s="12">
        <f>SUMIFS(tblDaily[TransfersIn],tblDaily[Month],"&gt;="&amp;4,tblDaily[Month],"&lt;="&amp;6,tblDaily[WardCode],"BF")</f>
        <v/>
      </c>
      <c r="J22" s="12">
        <f>SUMIFS(tblDaily[TransfersOut],tblDaily[Month],"&gt;="&amp;4,tblDaily[Month],"&lt;="&amp;6,tblDaily[WardCode],"BF")</f>
        <v/>
      </c>
      <c r="K22" s="27">
        <f>IFERROR(H22/91,0)</f>
        <v/>
      </c>
      <c r="L22" s="27">
        <f>IFERROR(H22/(E22+F22),0)</f>
        <v/>
      </c>
      <c r="M22" s="27">
        <f>IFERROR((C22*91-H22)/(E22+F22),0)</f>
        <v/>
      </c>
      <c r="N22" s="27">
        <f>IFERROR((E22+F22)/C22,0)</f>
        <v/>
      </c>
      <c r="O22" s="27">
        <f>IFERROR((H22/(C22*91))*100,0)</f>
        <v/>
      </c>
      <c r="P22" s="27">
        <f>IFERROR((F22/(D22+B22))*100,0)</f>
        <v/>
      </c>
    </row>
    <row r="23">
      <c r="A23" s="26" t="inlineStr">
        <is>
          <t>Block G</t>
        </is>
      </c>
      <c r="B23" s="12">
        <f>IFERROR(SUMIFS(tblDaily[Remaining],tblDaily[EntryDate],DATE(2026,3,31),tblDaily[WardCode],"BG"),0)</f>
        <v/>
      </c>
      <c r="C23" s="12">
        <f>IFERROR(INDEX(tblWardConfig[BedComplement],MATCH("BG",tblWardConfig[WardCode],0)),0)</f>
        <v/>
      </c>
      <c r="D23" s="12">
        <f>SUMIFS(tblDaily[Admissions],tblDaily[Month],"&gt;="&amp;4,tblDaily[Month],"&lt;="&amp;6,tblDaily[WardCode],"BG") - SUMIFS(tblDaily[DeathsUnder24Hrs],tblDaily[Month],"&gt;="&amp;4,tblDaily[Month],"&lt;="&amp;6,tblDaily[WardCode],"BG")</f>
        <v/>
      </c>
      <c r="E23" s="12">
        <f>SUMIFS(tblDaily[Discharges],tblDaily[Month],"&gt;="&amp;4,tblDaily[Month],"&lt;="&amp;6,tblDaily[WardCode],"BG")</f>
        <v/>
      </c>
      <c r="F23" s="12">
        <f>SUMIFS(tblDaily[Deaths],tblDaily[Month],"&gt;="&amp;4,tblDaily[Month],"&lt;="&amp;6,tblDaily[WardCode],"BG")</f>
        <v/>
      </c>
      <c r="G23" s="12">
        <f>SUMIFS(tblDaily[DeathsUnder24Hrs],tblDaily[Month],"&gt;="&amp;4,tblDaily[Month],"&lt;="&amp;6,tblDaily[WardCode],"BG")</f>
        <v/>
      </c>
      <c r="H23" s="12">
        <f>SUMIFS(tblDaily[Remaining],tblDaily[Month],"&gt;="&amp;4,tblDaily[Month],"&lt;="&amp;6,tblDaily[WardCode],"BG")</f>
        <v/>
      </c>
      <c r="I23" s="12">
        <f>SUMIFS(tblDaily[TransfersIn],tblDaily[Month],"&gt;="&amp;4,tblDaily[Month],"&lt;="&amp;6,tblDaily[WardCode],"BG")</f>
        <v/>
      </c>
      <c r="J23" s="12">
        <f>SUMIFS(tblDaily[TransfersOut],tblDaily[Month],"&gt;="&amp;4,tblDaily[Month],"&lt;="&amp;6,tblDaily[WardCode],"BG")</f>
        <v/>
      </c>
      <c r="K23" s="27">
        <f>IFERROR(H23/91,0)</f>
        <v/>
      </c>
      <c r="L23" s="27">
        <f>IFERROR(H23/(E23+F23),0)</f>
        <v/>
      </c>
      <c r="M23" s="27">
        <f>IFERROR((C23*91-H23)/(E23+F23),0)</f>
        <v/>
      </c>
      <c r="N23" s="27">
        <f>IFERROR((E23+F23)/C23,0)</f>
        <v/>
      </c>
      <c r="O23" s="27">
        <f>IFERROR((H23/(C23*91))*100,0)</f>
        <v/>
      </c>
      <c r="P23" s="27">
        <f>IFERROR((F23/(D23+B23))*100,0)</f>
        <v/>
      </c>
    </row>
    <row r="24">
      <c r="A24" s="26" t="inlineStr">
        <is>
          <t>Block H</t>
        </is>
      </c>
      <c r="B24" s="12">
        <f>IFERROR(SUMIFS(tblDaily[Remaining],tblDaily[EntryDate],DATE(2026,3,31),tblDaily[WardCode],"BH"),0)</f>
        <v/>
      </c>
      <c r="C24" s="12">
        <f>IFERROR(INDEX(tblWardConfig[BedComplement],MATCH("BH",tblWardConfig[WardCode],0)),0)</f>
        <v/>
      </c>
      <c r="D24" s="12">
        <f>SUMIFS(tblDaily[Admissions],tblDaily[Month],"&gt;="&amp;4,tblDaily[Month],"&lt;="&amp;6,tblDaily[WardCode],"BH") - SUMIFS(tblDaily[DeathsUnder24Hrs],tblDaily[Month],"&gt;="&amp;4,tblDaily[Month],"&lt;="&amp;6,tblDaily[WardCode],"BH")</f>
        <v/>
      </c>
      <c r="E24" s="12">
        <f>SUMIFS(tblDaily[Discharges],tblDaily[Month],"&gt;="&amp;4,tblDaily[Month],"&lt;="&amp;6,tblDaily[WardCode],"BH")</f>
        <v/>
      </c>
      <c r="F24" s="12">
        <f>SUMIFS(tblDaily[Deaths],tblDaily[Month],"&gt;="&amp;4,tblDaily[Month],"&lt;="&amp;6,tblDaily[WardCode],"BH")</f>
        <v/>
      </c>
      <c r="G24" s="12">
        <f>SUMIFS(tblDaily[DeathsUnder24Hrs],tblDaily[Month],"&gt;="&amp;4,tblDaily[Month],"&lt;="&amp;6,tblDaily[WardCode],"BH")</f>
        <v/>
      </c>
      <c r="H24" s="12">
        <f>SUMIFS(tblDaily[Remaining],tblDaily[Month],"&gt;="&amp;4,tblDaily[Month],"&lt;="&amp;6,tblDaily[WardCode],"BH")</f>
        <v/>
      </c>
      <c r="I24" s="12">
        <f>SUMIFS(tblDaily[TransfersIn],tblDaily[Month],"&gt;="&amp;4,tblDaily[Month],"&lt;="&amp;6,tblDaily[WardCode],"BH")</f>
        <v/>
      </c>
      <c r="J24" s="12">
        <f>SUMIFS(tblDaily[TransfersOut],tblDaily[Month],"&gt;="&amp;4,tblDaily[Month],"&lt;="&amp;6,tblDaily[WardCode],"BH")</f>
        <v/>
      </c>
      <c r="K24" s="27">
        <f>IFERROR(H24/91,0)</f>
        <v/>
      </c>
      <c r="L24" s="27">
        <f>IFERROR(H24/(E24+F24),0)</f>
        <v/>
      </c>
      <c r="M24" s="27">
        <f>IFERROR((C24*91-H24)/(E24+F24),0)</f>
        <v/>
      </c>
      <c r="N24" s="27">
        <f>IFERROR((E24+F24)/C24,0)</f>
        <v/>
      </c>
      <c r="O24" s="27">
        <f>IFERROR((H24/(C24*91))*100,0)</f>
        <v/>
      </c>
      <c r="P24" s="27">
        <f>IFERROR((F24/(D24+B24))*100,0)</f>
        <v/>
      </c>
    </row>
    <row r="25">
      <c r="A25" s="26" t="inlineStr">
        <is>
          <t>Neonatal</t>
        </is>
      </c>
      <c r="B25" s="12">
        <f>IFERROR(SUMIFS(tblDaily[Remaining],tblDaily[EntryDate],DATE(2026,3,31),tblDaily[WardCode],"NICU"),0)</f>
        <v/>
      </c>
      <c r="C25" s="12">
        <f>IFERROR(INDEX(tblWardConfig[BedComplement],MATCH("NICU",tblWardConfig[WardCode],0)),0)</f>
        <v/>
      </c>
      <c r="D25" s="12">
        <f>SUMIFS(tblDaily[Admissions],tblDaily[Month],"&gt;="&amp;4,tblDaily[Month],"&lt;="&amp;6,tblDaily[WardCode],"NICU") - SUMIFS(tblDaily[DeathsUnder24Hrs],tblDaily[Month],"&gt;="&amp;4,tblDaily[Month],"&lt;="&amp;6,tblDaily[WardCode],"NICU")</f>
        <v/>
      </c>
      <c r="E25" s="12">
        <f>SUMIFS(tblDaily[Discharges],tblDaily[Month],"&gt;="&amp;4,tblDaily[Month],"&lt;="&amp;6,tblDaily[WardCode],"NICU")</f>
        <v/>
      </c>
      <c r="F25" s="12">
        <f>SUMIFS(tblDaily[Deaths],tblDaily[Month],"&gt;="&amp;4,tblDaily[Month],"&lt;="&amp;6,tblDaily[WardCode],"NICU")</f>
        <v/>
      </c>
      <c r="G25" s="12">
        <f>SUMIFS(tblDaily[DeathsUnder24Hrs],tblDaily[Month],"&gt;="&amp;4,tblDaily[Month],"&lt;="&amp;6,tblDaily[WardCode],"NICU")</f>
        <v/>
      </c>
      <c r="H25" s="12">
        <f>SUMIFS(tblDaily[Remaining],tblDaily[Month],"&gt;="&amp;4,tblDaily[Month],"&lt;="&amp;6,tblDaily[WardCode],"NICU")</f>
        <v/>
      </c>
      <c r="I25" s="12">
        <f>SUMIFS(tblDaily[TransfersIn],tblDaily[Month],"&gt;="&amp;4,tblDaily[Month],"&lt;="&amp;6,tblDaily[WardCode],"NICU")</f>
        <v/>
      </c>
      <c r="J25" s="12">
        <f>SUMIFS(tblDaily[TransfersOut],tblDaily[Month],"&gt;="&amp;4,tblDaily[Month],"&lt;="&amp;6,tblDaily[WardCode],"NICU")</f>
        <v/>
      </c>
      <c r="K25" s="27">
        <f>IFERROR(H25/91,0)</f>
        <v/>
      </c>
      <c r="L25" s="27">
        <f>IFERROR(H25/(E25+F25),0)</f>
        <v/>
      </c>
      <c r="M25" s="27">
        <f>IFERROR((C25*91-H25)/(E25+F25),0)</f>
        <v/>
      </c>
      <c r="N25" s="27">
        <f>IFERROR((E25+F25)/C25,0)</f>
        <v/>
      </c>
      <c r="O25" s="27">
        <f>IFERROR((H25/(C25*91))*100,0)</f>
        <v/>
      </c>
      <c r="P25" s="27">
        <f>IFERROR((F25/(D25+B25))*100,0)</f>
        <v/>
      </c>
    </row>
    <row r="26">
      <c r="A26" s="26" t="inlineStr">
        <is>
          <t>Male Emergency</t>
        </is>
      </c>
      <c r="B26" s="12">
        <f>IFERROR(SUMIFS(tblDaily[Remaining],tblDaily[EntryDate],DATE(2026,3,31),tblDaily[WardCode],"MAE"),0)</f>
        <v/>
      </c>
      <c r="C26" s="12">
        <f>IFERROR(INDEX(tblWardConfig[BedComplement],MATCH("MAE",tblWardConfig[WardCode],0)),0)</f>
        <v/>
      </c>
      <c r="D26" s="12">
        <f>SUMIFS(tblDaily[Admissions],tblDaily[Month],"&gt;="&amp;4,tblDaily[Month],"&lt;="&amp;6,tblDaily[WardCode],"MAE") - SUMIFS(tblDaily[DeathsUnder24Hrs],tblDaily[Month],"&gt;="&amp;4,tblDaily[Month],"&lt;="&amp;6,tblDaily[WardCode],"MAE")</f>
        <v/>
      </c>
      <c r="E26" s="12">
        <f>SUMIFS(tblDaily[Discharges],tblDaily[Month],"&gt;="&amp;4,tblDaily[Month],"&lt;="&amp;6,tblDaily[WardCode],"MAE")</f>
        <v/>
      </c>
      <c r="F26" s="12">
        <f>SUMIFS(tblDaily[Deaths],tblDaily[Month],"&gt;="&amp;4,tblDaily[Month],"&lt;="&amp;6,tblDaily[WardCode],"MAE")</f>
        <v/>
      </c>
      <c r="G26" s="12">
        <f>SUMIFS(tblDaily[DeathsUnder24Hrs],tblDaily[Month],"&gt;="&amp;4,tblDaily[Month],"&lt;="&amp;6,tblDaily[WardCode],"MAE")</f>
        <v/>
      </c>
      <c r="H26" s="12">
        <f>SUMIFS(tblDaily[Remaining],tblDaily[Month],"&gt;="&amp;4,tblDaily[Month],"&lt;="&amp;6,tblDaily[WardCode],"MAE")</f>
        <v/>
      </c>
      <c r="I26" s="12">
        <f>SUMIFS(tblDaily[TransfersIn],tblDaily[Month],"&gt;="&amp;4,tblDaily[Month],"&lt;="&amp;6,tblDaily[WardCode],"MAE")</f>
        <v/>
      </c>
      <c r="J26" s="12">
        <f>SUMIFS(tblDaily[TransfersOut],tblDaily[Month],"&gt;="&amp;4,tblDaily[Month],"&lt;="&amp;6,tblDaily[WardCode],"MAE")</f>
        <v/>
      </c>
      <c r="K26" s="27">
        <f>IFERROR(H26/91,0)</f>
        <v/>
      </c>
      <c r="L26" s="27">
        <f>IFERROR(H26/(E26+F26),0)</f>
        <v/>
      </c>
      <c r="M26" s="27">
        <f>IFERROR((C26*91-H26)/(E26+F26),0)</f>
        <v/>
      </c>
      <c r="N26" s="27">
        <f>IFERROR((E26+F26)/C26,0)</f>
        <v/>
      </c>
      <c r="O26" s="27">
        <f>IFERROR((H26/(C26*91))*100,0)</f>
        <v/>
      </c>
      <c r="P26" s="27">
        <f>IFERROR((F26/(D26+B26))*100,0)</f>
        <v/>
      </c>
    </row>
    <row r="27">
      <c r="A27" s="26" t="inlineStr">
        <is>
          <t>Female Emergency</t>
        </is>
      </c>
      <c r="B27" s="12">
        <f>IFERROR(SUMIFS(tblDaily[Remaining],tblDaily[EntryDate],DATE(2026,3,31),tblDaily[WardCode],"FAE"),0)</f>
        <v/>
      </c>
      <c r="C27" s="12">
        <f>IFERROR(INDEX(tblWardConfig[BedComplement],MATCH("FAE",tblWardConfig[WardCode],0)),0)</f>
        <v/>
      </c>
      <c r="D27" s="12">
        <f>SUMIFS(tblDaily[Admissions],tblDaily[Month],"&gt;="&amp;4,tblDaily[Month],"&lt;="&amp;6,tblDaily[WardCode],"FAE") - SUMIFS(tblDaily[DeathsUnder24Hrs],tblDaily[Month],"&gt;="&amp;4,tblDaily[Month],"&lt;="&amp;6,tblDaily[WardCode],"FAE")</f>
        <v/>
      </c>
      <c r="E27" s="12">
        <f>SUMIFS(tblDaily[Discharges],tblDaily[Month],"&gt;="&amp;4,tblDaily[Month],"&lt;="&amp;6,tblDaily[WardCode],"FAE")</f>
        <v/>
      </c>
      <c r="F27" s="12">
        <f>SUMIFS(tblDaily[Deaths],tblDaily[Month],"&gt;="&amp;4,tblDaily[Month],"&lt;="&amp;6,tblDaily[WardCode],"FAE")</f>
        <v/>
      </c>
      <c r="G27" s="12">
        <f>SUMIFS(tblDaily[DeathsUnder24Hrs],tblDaily[Month],"&gt;="&amp;4,tblDaily[Month],"&lt;="&amp;6,tblDaily[WardCode],"FAE")</f>
        <v/>
      </c>
      <c r="H27" s="12">
        <f>SUMIFS(tblDaily[Remaining],tblDaily[Month],"&gt;="&amp;4,tblDaily[Month],"&lt;="&amp;6,tblDaily[WardCode],"FAE")</f>
        <v/>
      </c>
      <c r="I27" s="12">
        <f>SUMIFS(tblDaily[TransfersIn],tblDaily[Month],"&gt;="&amp;4,tblDaily[Month],"&lt;="&amp;6,tblDaily[WardCode],"FAE")</f>
        <v/>
      </c>
      <c r="J27" s="12">
        <f>SUMIFS(tblDaily[TransfersOut],tblDaily[Month],"&gt;="&amp;4,tblDaily[Month],"&lt;="&amp;6,tblDaily[WardCode],"FAE")</f>
        <v/>
      </c>
      <c r="K27" s="27">
        <f>IFERROR(H27/91,0)</f>
        <v/>
      </c>
      <c r="L27" s="27">
        <f>IFERROR(H27/(E27+F27),0)</f>
        <v/>
      </c>
      <c r="M27" s="27">
        <f>IFERROR((C27*91-H27)/(E27+F27),0)</f>
        <v/>
      </c>
      <c r="N27" s="27">
        <f>IFERROR((E27+F27)/C27,0)</f>
        <v/>
      </c>
      <c r="O27" s="27">
        <f>IFERROR((H27/(C27*91))*100,0)</f>
        <v/>
      </c>
      <c r="P27" s="27">
        <f>IFERROR((F27/(D27+B27))*100,0)</f>
        <v/>
      </c>
    </row>
    <row r="28">
      <c r="A28" s="17" t="inlineStr">
        <is>
          <t>TOTAL</t>
        </is>
      </c>
      <c r="B28" s="17">
        <f>SUM(B19:B27)</f>
        <v/>
      </c>
      <c r="C28" s="17">
        <f>SUM(C19:C27)</f>
        <v/>
      </c>
      <c r="D28" s="17">
        <f>SUM(D19:D27)</f>
        <v/>
      </c>
      <c r="E28" s="17">
        <f>SUM(E19:E27)</f>
        <v/>
      </c>
      <c r="F28" s="17">
        <f>SUM(F19:F27)</f>
        <v/>
      </c>
      <c r="G28" s="17">
        <f>SUM(G19:G27)</f>
        <v/>
      </c>
      <c r="H28" s="17">
        <f>SUM(H19:H27)</f>
        <v/>
      </c>
      <c r="I28" s="17">
        <f>SUM(I19:I27)</f>
        <v/>
      </c>
      <c r="J28" s="17">
        <f>SUM(J19:J27)</f>
        <v/>
      </c>
      <c r="K28" s="28">
        <f>IFERROR(H28/91,0)</f>
        <v/>
      </c>
      <c r="L28" s="28">
        <f>IFERROR(H28/(E28+F28),0)</f>
        <v/>
      </c>
      <c r="M28" s="28">
        <f>IFERROR((C28*91-H28)/(E28+F28),0)</f>
        <v/>
      </c>
      <c r="N28" s="28">
        <f>IFERROR((E28+F28)/C28,0)</f>
        <v/>
      </c>
      <c r="O28" s="28">
        <f>IFERROR((H28/(C28*91))*100,0)</f>
        <v/>
      </c>
      <c r="P28" s="28">
        <f>IFERROR((F28/(D28+B28))*100,0)</f>
        <v/>
      </c>
    </row>
    <row r="29">
      <c r="A29" s="29" t="inlineStr">
        <is>
          <t>Emergency</t>
        </is>
      </c>
      <c r="B29" s="29">
        <f>B26+B27</f>
        <v/>
      </c>
      <c r="C29" s="29">
        <f>C26+C27</f>
        <v/>
      </c>
      <c r="D29" s="29">
        <f>D26+D27</f>
        <v/>
      </c>
      <c r="E29" s="29">
        <f>E26+E27</f>
        <v/>
      </c>
      <c r="F29" s="29">
        <f>F26+F27</f>
        <v/>
      </c>
      <c r="G29" s="29">
        <f>G26+G27</f>
        <v/>
      </c>
      <c r="H29" s="29">
        <f>H26+H27</f>
        <v/>
      </c>
      <c r="I29" s="29">
        <f>I26+I27</f>
        <v/>
      </c>
      <c r="J29" s="29">
        <f>J26+J27</f>
        <v/>
      </c>
      <c r="K29" s="30">
        <f>IFERROR(H29/91,0)</f>
        <v/>
      </c>
      <c r="L29" s="30">
        <f>IFERROR(H29/(E29+F29),0)</f>
        <v/>
      </c>
      <c r="M29" s="30">
        <f>IFERROR((C29*91-H29)/(E29+F29),0)</f>
        <v/>
      </c>
      <c r="N29" s="30">
        <f>IFERROR((E29+F29)/C29,0)</f>
        <v/>
      </c>
      <c r="O29" s="30">
        <f>IFERROR((H29/(C29*91))*100,0)</f>
        <v/>
      </c>
      <c r="P29" s="30">
        <f>IFERROR((F29/(D29+B29))*100,0)</f>
        <v/>
      </c>
    </row>
    <row r="31">
      <c r="A31" s="1" t="inlineStr">
        <is>
          <t>GHANA HEALTH SERVICE</t>
        </is>
      </c>
    </row>
    <row r="32">
      <c r="A32" s="2" t="inlineStr">
        <is>
          <t>PERIOD BED UTILIZATION FORM - Q3 (Jul-Sep), 2026</t>
        </is>
      </c>
    </row>
    <row r="33">
      <c r="A33" s="16" t="inlineStr">
        <is>
          <t>WARD</t>
        </is>
      </c>
      <c r="B33" s="16" t="inlineStr">
        <is>
          <t>Patients on bed
at the beginning
of the period</t>
        </is>
      </c>
      <c r="C33" s="16" t="inlineStr">
        <is>
          <t>Bed Complement</t>
        </is>
      </c>
      <c r="D33" s="16" t="inlineStr">
        <is>
          <t>Admissions</t>
        </is>
      </c>
      <c r="E33" s="16" t="inlineStr">
        <is>
          <t>Discharges</t>
        </is>
      </c>
      <c r="F33" s="16" t="inlineStr">
        <is>
          <t>Deaths</t>
        </is>
      </c>
      <c r="G33" s="16" t="inlineStr">
        <is>
          <t>Deaths
&lt;24Hrs</t>
        </is>
      </c>
      <c r="H33" s="16" t="inlineStr">
        <is>
          <t>Patient
Days</t>
        </is>
      </c>
      <c r="I33" s="16" t="inlineStr">
        <is>
          <t>Transfer In</t>
        </is>
      </c>
      <c r="J33" s="16" t="inlineStr">
        <is>
          <t>Transfer
Out</t>
        </is>
      </c>
      <c r="K33" s="16" t="inlineStr">
        <is>
          <t>Average
Daily Bed
Occupancy</t>
        </is>
      </c>
      <c r="L33" s="16" t="inlineStr">
        <is>
          <t>Average
Length
of Stay</t>
        </is>
      </c>
      <c r="M33" s="16" t="inlineStr">
        <is>
          <t>Bed
Turnover
Interval</t>
        </is>
      </c>
      <c r="N33" s="16" t="inlineStr">
        <is>
          <t>Bed
Turnover
Rate</t>
        </is>
      </c>
      <c r="O33" s="16" t="inlineStr">
        <is>
          <t>Percentage
of
Occupancy</t>
        </is>
      </c>
      <c r="P33" s="16" t="inlineStr">
        <is>
          <t>Death
Rate</t>
        </is>
      </c>
    </row>
    <row r="34">
      <c r="A34" s="26" t="inlineStr">
        <is>
          <t>Male Medical</t>
        </is>
      </c>
      <c r="B34" s="12">
        <f>IFERROR(SUMIFS(tblDaily[Remaining],tblDaily[EntryDate],DATE(2026,6,30),tblDaily[WardCode],"MW"),0)</f>
        <v/>
      </c>
      <c r="C34" s="12">
        <f>IFERROR(INDEX(tblWardConfig[BedComplement],MATCH("MW",tblWardConfig[WardCode],0)),0)</f>
        <v/>
      </c>
      <c r="D34" s="12">
        <f>SUMIFS(tblDaily[Admissions],tblDaily[Month],"&gt;="&amp;7,tblDaily[Month],"&lt;="&amp;9,tblDaily[WardCode],"MW") - SUMIFS(tblDaily[DeathsUnder24Hrs],tblDaily[Month],"&gt;="&amp;7,tblDaily[Month],"&lt;="&amp;9,tblDaily[WardCode],"MW")</f>
        <v/>
      </c>
      <c r="E34" s="12">
        <f>SUMIFS(tblDaily[Discharges],tblDaily[Month],"&gt;="&amp;7,tblDaily[Month],"&lt;="&amp;9,tblDaily[WardCode],"MW")</f>
        <v/>
      </c>
      <c r="F34" s="12">
        <f>SUMIFS(tblDaily[Deaths],tblDaily[Month],"&gt;="&amp;7,tblDaily[Month],"&lt;="&amp;9,tblDaily[WardCode],"MW")</f>
        <v/>
      </c>
      <c r="G34" s="12">
        <f>SUMIFS(tblDaily[DeathsUnder24Hrs],tblDaily[Month],"&gt;="&amp;7,tblDaily[Month],"&lt;="&amp;9,tblDaily[WardCode],"MW")</f>
        <v/>
      </c>
      <c r="H34" s="12">
        <f>SUMIFS(tblDaily[Remaining],tblDaily[Month],"&gt;="&amp;7,tblDaily[Month],"&lt;="&amp;9,tblDaily[WardCode],"MW")</f>
        <v/>
      </c>
      <c r="I34" s="12">
        <f>SUMIFS(tblDaily[TransfersIn],tblDaily[Month],"&gt;="&amp;7,tblDaily[Month],"&lt;="&amp;9,tblDaily[WardCode],"MW")</f>
        <v/>
      </c>
      <c r="J34" s="12">
        <f>SUMIFS(tblDaily[TransfersOut],tblDaily[Month],"&gt;="&amp;7,tblDaily[Month],"&lt;="&amp;9,tblDaily[WardCode],"MW")</f>
        <v/>
      </c>
      <c r="K34" s="27">
        <f>IFERROR(H34/92,0)</f>
        <v/>
      </c>
      <c r="L34" s="27">
        <f>IFERROR(H34/(E34+F34),0)</f>
        <v/>
      </c>
      <c r="M34" s="27">
        <f>IFERROR((C34*92-H34)/(E34+F34),0)</f>
        <v/>
      </c>
      <c r="N34" s="27">
        <f>IFERROR((E34+F34)/C34,0)</f>
        <v/>
      </c>
      <c r="O34" s="27">
        <f>IFERROR((H34/(C34*92))*100,0)</f>
        <v/>
      </c>
      <c r="P34" s="27">
        <f>IFERROR((F34/(D34+B34))*100,0)</f>
        <v/>
      </c>
    </row>
    <row r="35">
      <c r="A35" s="26" t="inlineStr">
        <is>
          <t>Female Medical</t>
        </is>
      </c>
      <c r="B35" s="12">
        <f>IFERROR(SUMIFS(tblDaily[Remaining],tblDaily[EntryDate],DATE(2026,6,30),tblDaily[WardCode],"FW"),0)</f>
        <v/>
      </c>
      <c r="C35" s="12">
        <f>IFERROR(INDEX(tblWardConfig[BedComplement],MATCH("FW",tblWardConfig[WardCode],0)),0)</f>
        <v/>
      </c>
      <c r="D35" s="12">
        <f>SUMIFS(tblDaily[Admissions],tblDaily[Month],"&gt;="&amp;7,tblDaily[Month],"&lt;="&amp;9,tblDaily[WardCode],"FW") - SUMIFS(tblDaily[DeathsUnder24Hrs],tblDaily[Month],"&gt;="&amp;7,tblDaily[Month],"&lt;="&amp;9,tblDaily[WardCode],"FW")</f>
        <v/>
      </c>
      <c r="E35" s="12">
        <f>SUMIFS(tblDaily[Discharges],tblDaily[Month],"&gt;="&amp;7,tblDaily[Month],"&lt;="&amp;9,tblDaily[WardCode],"FW")</f>
        <v/>
      </c>
      <c r="F35" s="12">
        <f>SUMIFS(tblDaily[Deaths],tblDaily[Month],"&gt;="&amp;7,tblDaily[Month],"&lt;="&amp;9,tblDaily[WardCode],"FW")</f>
        <v/>
      </c>
      <c r="G35" s="12">
        <f>SUMIFS(tblDaily[DeathsUnder24Hrs],tblDaily[Month],"&gt;="&amp;7,tblDaily[Month],"&lt;="&amp;9,tblDaily[WardCode],"FW")</f>
        <v/>
      </c>
      <c r="H35" s="12">
        <f>SUMIFS(tblDaily[Remaining],tblDaily[Month],"&gt;="&amp;7,tblDaily[Month],"&lt;="&amp;9,tblDaily[WardCode],"FW")</f>
        <v/>
      </c>
      <c r="I35" s="12">
        <f>SUMIFS(tblDaily[TransfersIn],tblDaily[Month],"&gt;="&amp;7,tblDaily[Month],"&lt;="&amp;9,tblDaily[WardCode],"FW")</f>
        <v/>
      </c>
      <c r="J35" s="12">
        <f>SUMIFS(tblDaily[TransfersOut],tblDaily[Month],"&gt;="&amp;7,tblDaily[Month],"&lt;="&amp;9,tblDaily[WardCode],"FW")</f>
        <v/>
      </c>
      <c r="K35" s="27">
        <f>IFERROR(H35/92,0)</f>
        <v/>
      </c>
      <c r="L35" s="27">
        <f>IFERROR(H35/(E35+F35),0)</f>
        <v/>
      </c>
      <c r="M35" s="27">
        <f>IFERROR((C35*92-H35)/(E35+F35),0)</f>
        <v/>
      </c>
      <c r="N35" s="27">
        <f>IFERROR((E35+F35)/C35,0)</f>
        <v/>
      </c>
      <c r="O35" s="27">
        <f>IFERROR((H35/(C35*92))*100,0)</f>
        <v/>
      </c>
      <c r="P35" s="27">
        <f>IFERROR((F35/(D35+B35))*100,0)</f>
        <v/>
      </c>
    </row>
    <row r="36">
      <c r="A36" s="26" t="inlineStr">
        <is>
          <t>Paediatric</t>
        </is>
      </c>
      <c r="B36" s="12">
        <f>IFERROR(SUMIFS(tblDaily[Remaining],tblDaily[EntryDate],DATE(2026,6,30),tblDaily[WardCode],"CW"),0)</f>
        <v/>
      </c>
      <c r="C36" s="12">
        <f>IFERROR(INDEX(tblWardConfig[BedComplement],MATCH("CW",tblWardConfig[WardCode],0)),0)</f>
        <v/>
      </c>
      <c r="D36" s="12">
        <f>SUMIFS(tblDaily[Admissions],tblDaily[Month],"&gt;="&amp;7,tblDaily[Month],"&lt;="&amp;9,tblDaily[WardCode],"CW") - SUMIFS(tblDaily[DeathsUnder24Hrs],tblDaily[Month],"&gt;="&amp;7,tblDaily[Month],"&lt;="&amp;9,tblDaily[WardCode],"CW")</f>
        <v/>
      </c>
      <c r="E36" s="12">
        <f>SUMIFS(tblDaily[Discharges],tblDaily[Month],"&gt;="&amp;7,tblDaily[Month],"&lt;="&amp;9,tblDaily[WardCode],"CW")</f>
        <v/>
      </c>
      <c r="F36" s="12">
        <f>SUMIFS(tblDaily[Deaths],tblDaily[Month],"&gt;="&amp;7,tblDaily[Month],"&lt;="&amp;9,tblDaily[WardCode],"CW")</f>
        <v/>
      </c>
      <c r="G36" s="12">
        <f>SUMIFS(tblDaily[DeathsUnder24Hrs],tblDaily[Month],"&gt;="&amp;7,tblDaily[Month],"&lt;="&amp;9,tblDaily[WardCode],"CW")</f>
        <v/>
      </c>
      <c r="H36" s="12">
        <f>SUMIFS(tblDaily[Remaining],tblDaily[Month],"&gt;="&amp;7,tblDaily[Month],"&lt;="&amp;9,tblDaily[WardCode],"CW")</f>
        <v/>
      </c>
      <c r="I36" s="12">
        <f>SUMIFS(tblDaily[TransfersIn],tblDaily[Month],"&gt;="&amp;7,tblDaily[Month],"&lt;="&amp;9,tblDaily[WardCode],"CW")</f>
        <v/>
      </c>
      <c r="J36" s="12">
        <f>SUMIFS(tblDaily[TransfersOut],tblDaily[Month],"&gt;="&amp;7,tblDaily[Month],"&lt;="&amp;9,tblDaily[WardCode],"CW")</f>
        <v/>
      </c>
      <c r="K36" s="27">
        <f>IFERROR(H36/92,0)</f>
        <v/>
      </c>
      <c r="L36" s="27">
        <f>IFERROR(H36/(E36+F36),0)</f>
        <v/>
      </c>
      <c r="M36" s="27">
        <f>IFERROR((C36*92-H36)/(E36+F36),0)</f>
        <v/>
      </c>
      <c r="N36" s="27">
        <f>IFERROR((E36+F36)/C36,0)</f>
        <v/>
      </c>
      <c r="O36" s="27">
        <f>IFERROR((H36/(C36*92))*100,0)</f>
        <v/>
      </c>
      <c r="P36" s="27">
        <f>IFERROR((F36/(D36+B36))*100,0)</f>
        <v/>
      </c>
    </row>
    <row r="37">
      <c r="A37" s="26" t="inlineStr">
        <is>
          <t>Block F</t>
        </is>
      </c>
      <c r="B37" s="12">
        <f>IFERROR(SUMIFS(tblDaily[Remaining],tblDaily[EntryDate],DATE(2026,6,30),tblDaily[WardCode],"BF"),0)</f>
        <v/>
      </c>
      <c r="C37" s="12">
        <f>IFERROR(INDEX(tblWardConfig[BedComplement],MATCH("BF",tblWardConfig[WardCode],0)),0)</f>
        <v/>
      </c>
      <c r="D37" s="12">
        <f>SUMIFS(tblDaily[Admissions],tblDaily[Month],"&gt;="&amp;7,tblDaily[Month],"&lt;="&amp;9,tblDaily[WardCode],"BF") - SUMIFS(tblDaily[DeathsUnder24Hrs],tblDaily[Month],"&gt;="&amp;7,tblDaily[Month],"&lt;="&amp;9,tblDaily[WardCode],"BF")</f>
        <v/>
      </c>
      <c r="E37" s="12">
        <f>SUMIFS(tblDaily[Discharges],tblDaily[Month],"&gt;="&amp;7,tblDaily[Month],"&lt;="&amp;9,tblDaily[WardCode],"BF")</f>
        <v/>
      </c>
      <c r="F37" s="12">
        <f>SUMIFS(tblDaily[Deaths],tblDaily[Month],"&gt;="&amp;7,tblDaily[Month],"&lt;="&amp;9,tblDaily[WardCode],"BF")</f>
        <v/>
      </c>
      <c r="G37" s="12">
        <f>SUMIFS(tblDaily[DeathsUnder24Hrs],tblDaily[Month],"&gt;="&amp;7,tblDaily[Month],"&lt;="&amp;9,tblDaily[WardCode],"BF")</f>
        <v/>
      </c>
      <c r="H37" s="12">
        <f>SUMIFS(tblDaily[Remaining],tblDaily[Month],"&gt;="&amp;7,tblDaily[Month],"&lt;="&amp;9,tblDaily[WardCode],"BF")</f>
        <v/>
      </c>
      <c r="I37" s="12">
        <f>SUMIFS(tblDaily[TransfersIn],tblDaily[Month],"&gt;="&amp;7,tblDaily[Month],"&lt;="&amp;9,tblDaily[WardCode],"BF")</f>
        <v/>
      </c>
      <c r="J37" s="12">
        <f>SUMIFS(tblDaily[TransfersOut],tblDaily[Month],"&gt;="&amp;7,tblDaily[Month],"&lt;="&amp;9,tblDaily[WardCode],"BF")</f>
        <v/>
      </c>
      <c r="K37" s="27">
        <f>IFERROR(H37/92,0)</f>
        <v/>
      </c>
      <c r="L37" s="27">
        <f>IFERROR(H37/(E37+F37),0)</f>
        <v/>
      </c>
      <c r="M37" s="27">
        <f>IFERROR((C37*92-H37)/(E37+F37),0)</f>
        <v/>
      </c>
      <c r="N37" s="27">
        <f>IFERROR((E37+F37)/C37,0)</f>
        <v/>
      </c>
      <c r="O37" s="27">
        <f>IFERROR((H37/(C37*92))*100,0)</f>
        <v/>
      </c>
      <c r="P37" s="27">
        <f>IFERROR((F37/(D37+B37))*100,0)</f>
        <v/>
      </c>
    </row>
    <row r="38">
      <c r="A38" s="26" t="inlineStr">
        <is>
          <t>Block G</t>
        </is>
      </c>
      <c r="B38" s="12">
        <f>IFERROR(SUMIFS(tblDaily[Remaining],tblDaily[EntryDate],DATE(2026,6,30),tblDaily[WardCode],"BG"),0)</f>
        <v/>
      </c>
      <c r="C38" s="12">
        <f>IFERROR(INDEX(tblWardConfig[BedComplement],MATCH("BG",tblWardConfig[WardCode],0)),0)</f>
        <v/>
      </c>
      <c r="D38" s="12">
        <f>SUMIFS(tblDaily[Admissions],tblDaily[Month],"&gt;="&amp;7,tblDaily[Month],"&lt;="&amp;9,tblDaily[WardCode],"BG") - SUMIFS(tblDaily[DeathsUnder24Hrs],tblDaily[Month],"&gt;="&amp;7,tblDaily[Month],"&lt;="&amp;9,tblDaily[WardCode],"BG")</f>
        <v/>
      </c>
      <c r="E38" s="12">
        <f>SUMIFS(tblDaily[Discharges],tblDaily[Month],"&gt;="&amp;7,tblDaily[Month],"&lt;="&amp;9,tblDaily[WardCode],"BG")</f>
        <v/>
      </c>
      <c r="F38" s="12">
        <f>SUMIFS(tblDaily[Deaths],tblDaily[Month],"&gt;="&amp;7,tblDaily[Month],"&lt;="&amp;9,tblDaily[WardCode],"BG")</f>
        <v/>
      </c>
      <c r="G38" s="12">
        <f>SUMIFS(tblDaily[DeathsUnder24Hrs],tblDaily[Month],"&gt;="&amp;7,tblDaily[Month],"&lt;="&amp;9,tblDaily[WardCode],"BG")</f>
        <v/>
      </c>
      <c r="H38" s="12">
        <f>SUMIFS(tblDaily[Remaining],tblDaily[Month],"&gt;="&amp;7,tblDaily[Month],"&lt;="&amp;9,tblDaily[WardCode],"BG")</f>
        <v/>
      </c>
      <c r="I38" s="12">
        <f>SUMIFS(tblDaily[TransfersIn],tblDaily[Month],"&gt;="&amp;7,tblDaily[Month],"&lt;="&amp;9,tblDaily[WardCode],"BG")</f>
        <v/>
      </c>
      <c r="J38" s="12">
        <f>SUMIFS(tblDaily[TransfersOut],tblDaily[Month],"&gt;="&amp;7,tblDaily[Month],"&lt;="&amp;9,tblDaily[WardCode],"BG")</f>
        <v/>
      </c>
      <c r="K38" s="27">
        <f>IFERROR(H38/92,0)</f>
        <v/>
      </c>
      <c r="L38" s="27">
        <f>IFERROR(H38/(E38+F38),0)</f>
        <v/>
      </c>
      <c r="M38" s="27">
        <f>IFERROR((C38*92-H38)/(E38+F38),0)</f>
        <v/>
      </c>
      <c r="N38" s="27">
        <f>IFERROR((E38+F38)/C38,0)</f>
        <v/>
      </c>
      <c r="O38" s="27">
        <f>IFERROR((H38/(C38*92))*100,0)</f>
        <v/>
      </c>
      <c r="P38" s="27">
        <f>IFERROR((F38/(D38+B38))*100,0)</f>
        <v/>
      </c>
    </row>
    <row r="39">
      <c r="A39" s="26" t="inlineStr">
        <is>
          <t>Block H</t>
        </is>
      </c>
      <c r="B39" s="12">
        <f>IFERROR(SUMIFS(tblDaily[Remaining],tblDaily[EntryDate],DATE(2026,6,30),tblDaily[WardCode],"BH"),0)</f>
        <v/>
      </c>
      <c r="C39" s="12">
        <f>IFERROR(INDEX(tblWardConfig[BedComplement],MATCH("BH",tblWardConfig[WardCode],0)),0)</f>
        <v/>
      </c>
      <c r="D39" s="12">
        <f>SUMIFS(tblDaily[Admissions],tblDaily[Month],"&gt;="&amp;7,tblDaily[Month],"&lt;="&amp;9,tblDaily[WardCode],"BH") - SUMIFS(tblDaily[DeathsUnder24Hrs],tblDaily[Month],"&gt;="&amp;7,tblDaily[Month],"&lt;="&amp;9,tblDaily[WardCode],"BH")</f>
        <v/>
      </c>
      <c r="E39" s="12">
        <f>SUMIFS(tblDaily[Discharges],tblDaily[Month],"&gt;="&amp;7,tblDaily[Month],"&lt;="&amp;9,tblDaily[WardCode],"BH")</f>
        <v/>
      </c>
      <c r="F39" s="12">
        <f>SUMIFS(tblDaily[Deaths],tblDaily[Month],"&gt;="&amp;7,tblDaily[Month],"&lt;="&amp;9,tblDaily[WardCode],"BH")</f>
        <v/>
      </c>
      <c r="G39" s="12">
        <f>SUMIFS(tblDaily[DeathsUnder24Hrs],tblDaily[Month],"&gt;="&amp;7,tblDaily[Month],"&lt;="&amp;9,tblDaily[WardCode],"BH")</f>
        <v/>
      </c>
      <c r="H39" s="12">
        <f>SUMIFS(tblDaily[Remaining],tblDaily[Month],"&gt;="&amp;7,tblDaily[Month],"&lt;="&amp;9,tblDaily[WardCode],"BH")</f>
        <v/>
      </c>
      <c r="I39" s="12">
        <f>SUMIFS(tblDaily[TransfersIn],tblDaily[Month],"&gt;="&amp;7,tblDaily[Month],"&lt;="&amp;9,tblDaily[WardCode],"BH")</f>
        <v/>
      </c>
      <c r="J39" s="12">
        <f>SUMIFS(tblDaily[TransfersOut],tblDaily[Month],"&gt;="&amp;7,tblDaily[Month],"&lt;="&amp;9,tblDaily[WardCode],"BH")</f>
        <v/>
      </c>
      <c r="K39" s="27">
        <f>IFERROR(H39/92,0)</f>
        <v/>
      </c>
      <c r="L39" s="27">
        <f>IFERROR(H39/(E39+F39),0)</f>
        <v/>
      </c>
      <c r="M39" s="27">
        <f>IFERROR((C39*92-H39)/(E39+F39),0)</f>
        <v/>
      </c>
      <c r="N39" s="27">
        <f>IFERROR((E39+F39)/C39,0)</f>
        <v/>
      </c>
      <c r="O39" s="27">
        <f>IFERROR((H39/(C39*92))*100,0)</f>
        <v/>
      </c>
      <c r="P39" s="27">
        <f>IFERROR((F39/(D39+B39))*100,0)</f>
        <v/>
      </c>
    </row>
    <row r="40">
      <c r="A40" s="26" t="inlineStr">
        <is>
          <t>Neonatal</t>
        </is>
      </c>
      <c r="B40" s="12">
        <f>IFERROR(SUMIFS(tblDaily[Remaining],tblDaily[EntryDate],DATE(2026,6,30),tblDaily[WardCode],"NICU"),0)</f>
        <v/>
      </c>
      <c r="C40" s="12">
        <f>IFERROR(INDEX(tblWardConfig[BedComplement],MATCH("NICU",tblWardConfig[WardCode],0)),0)</f>
        <v/>
      </c>
      <c r="D40" s="12">
        <f>SUMIFS(tblDaily[Admissions],tblDaily[Month],"&gt;="&amp;7,tblDaily[Month],"&lt;="&amp;9,tblDaily[WardCode],"NICU") - SUMIFS(tblDaily[DeathsUnder24Hrs],tblDaily[Month],"&gt;="&amp;7,tblDaily[Month],"&lt;="&amp;9,tblDaily[WardCode],"NICU")</f>
        <v/>
      </c>
      <c r="E40" s="12">
        <f>SUMIFS(tblDaily[Discharges],tblDaily[Month],"&gt;="&amp;7,tblDaily[Month],"&lt;="&amp;9,tblDaily[WardCode],"NICU")</f>
        <v/>
      </c>
      <c r="F40" s="12">
        <f>SUMIFS(tblDaily[Deaths],tblDaily[Month],"&gt;="&amp;7,tblDaily[Month],"&lt;="&amp;9,tblDaily[WardCode],"NICU")</f>
        <v/>
      </c>
      <c r="G40" s="12">
        <f>SUMIFS(tblDaily[DeathsUnder24Hrs],tblDaily[Month],"&gt;="&amp;7,tblDaily[Month],"&lt;="&amp;9,tblDaily[WardCode],"NICU")</f>
        <v/>
      </c>
      <c r="H40" s="12">
        <f>SUMIFS(tblDaily[Remaining],tblDaily[Month],"&gt;="&amp;7,tblDaily[Month],"&lt;="&amp;9,tblDaily[WardCode],"NICU")</f>
        <v/>
      </c>
      <c r="I40" s="12">
        <f>SUMIFS(tblDaily[TransfersIn],tblDaily[Month],"&gt;="&amp;7,tblDaily[Month],"&lt;="&amp;9,tblDaily[WardCode],"NICU")</f>
        <v/>
      </c>
      <c r="J40" s="12">
        <f>SUMIFS(tblDaily[TransfersOut],tblDaily[Month],"&gt;="&amp;7,tblDaily[Month],"&lt;="&amp;9,tblDaily[WardCode],"NICU")</f>
        <v/>
      </c>
      <c r="K40" s="27">
        <f>IFERROR(H40/92,0)</f>
        <v/>
      </c>
      <c r="L40" s="27">
        <f>IFERROR(H40/(E40+F40),0)</f>
        <v/>
      </c>
      <c r="M40" s="27">
        <f>IFERROR((C40*92-H40)/(E40+F40),0)</f>
        <v/>
      </c>
      <c r="N40" s="27">
        <f>IFERROR((E40+F40)/C40,0)</f>
        <v/>
      </c>
      <c r="O40" s="27">
        <f>IFERROR((H40/(C40*92))*100,0)</f>
        <v/>
      </c>
      <c r="P40" s="27">
        <f>IFERROR((F40/(D40+B40))*100,0)</f>
        <v/>
      </c>
    </row>
    <row r="41">
      <c r="A41" s="26" t="inlineStr">
        <is>
          <t>Male Emergency</t>
        </is>
      </c>
      <c r="B41" s="12">
        <f>IFERROR(SUMIFS(tblDaily[Remaining],tblDaily[EntryDate],DATE(2026,6,30),tblDaily[WardCode],"MAE"),0)</f>
        <v/>
      </c>
      <c r="C41" s="12">
        <f>IFERROR(INDEX(tblWardConfig[BedComplement],MATCH("MAE",tblWardConfig[WardCode],0)),0)</f>
        <v/>
      </c>
      <c r="D41" s="12">
        <f>SUMIFS(tblDaily[Admissions],tblDaily[Month],"&gt;="&amp;7,tblDaily[Month],"&lt;="&amp;9,tblDaily[WardCode],"MAE") - SUMIFS(tblDaily[DeathsUnder24Hrs],tblDaily[Month],"&gt;="&amp;7,tblDaily[Month],"&lt;="&amp;9,tblDaily[WardCode],"MAE")</f>
        <v/>
      </c>
      <c r="E41" s="12">
        <f>SUMIFS(tblDaily[Discharges],tblDaily[Month],"&gt;="&amp;7,tblDaily[Month],"&lt;="&amp;9,tblDaily[WardCode],"MAE")</f>
        <v/>
      </c>
      <c r="F41" s="12">
        <f>SUMIFS(tblDaily[Deaths],tblDaily[Month],"&gt;="&amp;7,tblDaily[Month],"&lt;="&amp;9,tblDaily[WardCode],"MAE")</f>
        <v/>
      </c>
      <c r="G41" s="12">
        <f>SUMIFS(tblDaily[DeathsUnder24Hrs],tblDaily[Month],"&gt;="&amp;7,tblDaily[Month],"&lt;="&amp;9,tblDaily[WardCode],"MAE")</f>
        <v/>
      </c>
      <c r="H41" s="12">
        <f>SUMIFS(tblDaily[Remaining],tblDaily[Month],"&gt;="&amp;7,tblDaily[Month],"&lt;="&amp;9,tblDaily[WardCode],"MAE")</f>
        <v/>
      </c>
      <c r="I41" s="12">
        <f>SUMIFS(tblDaily[TransfersIn],tblDaily[Month],"&gt;="&amp;7,tblDaily[Month],"&lt;="&amp;9,tblDaily[WardCode],"MAE")</f>
        <v/>
      </c>
      <c r="J41" s="12">
        <f>SUMIFS(tblDaily[TransfersOut],tblDaily[Month],"&gt;="&amp;7,tblDaily[Month],"&lt;="&amp;9,tblDaily[WardCode],"MAE")</f>
        <v/>
      </c>
      <c r="K41" s="27">
        <f>IFERROR(H41/92,0)</f>
        <v/>
      </c>
      <c r="L41" s="27">
        <f>IFERROR(H41/(E41+F41),0)</f>
        <v/>
      </c>
      <c r="M41" s="27">
        <f>IFERROR((C41*92-H41)/(E41+F41),0)</f>
        <v/>
      </c>
      <c r="N41" s="27">
        <f>IFERROR((E41+F41)/C41,0)</f>
        <v/>
      </c>
      <c r="O41" s="27">
        <f>IFERROR((H41/(C41*92))*100,0)</f>
        <v/>
      </c>
      <c r="P41" s="27">
        <f>IFERROR((F41/(D41+B41))*100,0)</f>
        <v/>
      </c>
    </row>
    <row r="42">
      <c r="A42" s="26" t="inlineStr">
        <is>
          <t>Female Emergency</t>
        </is>
      </c>
      <c r="B42" s="12">
        <f>IFERROR(SUMIFS(tblDaily[Remaining],tblDaily[EntryDate],DATE(2026,6,30),tblDaily[WardCode],"FAE"),0)</f>
        <v/>
      </c>
      <c r="C42" s="12">
        <f>IFERROR(INDEX(tblWardConfig[BedComplement],MATCH("FAE",tblWardConfig[WardCode],0)),0)</f>
        <v/>
      </c>
      <c r="D42" s="12">
        <f>SUMIFS(tblDaily[Admissions],tblDaily[Month],"&gt;="&amp;7,tblDaily[Month],"&lt;="&amp;9,tblDaily[WardCode],"FAE") - SUMIFS(tblDaily[DeathsUnder24Hrs],tblDaily[Month],"&gt;="&amp;7,tblDaily[Month],"&lt;="&amp;9,tblDaily[WardCode],"FAE")</f>
        <v/>
      </c>
      <c r="E42" s="12">
        <f>SUMIFS(tblDaily[Discharges],tblDaily[Month],"&gt;="&amp;7,tblDaily[Month],"&lt;="&amp;9,tblDaily[WardCode],"FAE")</f>
        <v/>
      </c>
      <c r="F42" s="12">
        <f>SUMIFS(tblDaily[Deaths],tblDaily[Month],"&gt;="&amp;7,tblDaily[Month],"&lt;="&amp;9,tblDaily[WardCode],"FAE")</f>
        <v/>
      </c>
      <c r="G42" s="12">
        <f>SUMIFS(tblDaily[DeathsUnder24Hrs],tblDaily[Month],"&gt;="&amp;7,tblDaily[Month],"&lt;="&amp;9,tblDaily[WardCode],"FAE")</f>
        <v/>
      </c>
      <c r="H42" s="12">
        <f>SUMIFS(tblDaily[Remaining],tblDaily[Month],"&gt;="&amp;7,tblDaily[Month],"&lt;="&amp;9,tblDaily[WardCode],"FAE")</f>
        <v/>
      </c>
      <c r="I42" s="12">
        <f>SUMIFS(tblDaily[TransfersIn],tblDaily[Month],"&gt;="&amp;7,tblDaily[Month],"&lt;="&amp;9,tblDaily[WardCode],"FAE")</f>
        <v/>
      </c>
      <c r="J42" s="12">
        <f>SUMIFS(tblDaily[TransfersOut],tblDaily[Month],"&gt;="&amp;7,tblDaily[Month],"&lt;="&amp;9,tblDaily[WardCode],"FAE")</f>
        <v/>
      </c>
      <c r="K42" s="27">
        <f>IFERROR(H42/92,0)</f>
        <v/>
      </c>
      <c r="L42" s="27">
        <f>IFERROR(H42/(E42+F42),0)</f>
        <v/>
      </c>
      <c r="M42" s="27">
        <f>IFERROR((C42*92-H42)/(E42+F42),0)</f>
        <v/>
      </c>
      <c r="N42" s="27">
        <f>IFERROR((E42+F42)/C42,0)</f>
        <v/>
      </c>
      <c r="O42" s="27">
        <f>IFERROR((H42/(C42*92))*100,0)</f>
        <v/>
      </c>
      <c r="P42" s="27">
        <f>IFERROR((F42/(D42+B42))*100,0)</f>
        <v/>
      </c>
    </row>
    <row r="43">
      <c r="A43" s="17" t="inlineStr">
        <is>
          <t>TOTAL</t>
        </is>
      </c>
      <c r="B43" s="17">
        <f>SUM(B34:B42)</f>
        <v/>
      </c>
      <c r="C43" s="17">
        <f>SUM(C34:C42)</f>
        <v/>
      </c>
      <c r="D43" s="17">
        <f>SUM(D34:D42)</f>
        <v/>
      </c>
      <c r="E43" s="17">
        <f>SUM(E34:E42)</f>
        <v/>
      </c>
      <c r="F43" s="17">
        <f>SUM(F34:F42)</f>
        <v/>
      </c>
      <c r="G43" s="17">
        <f>SUM(G34:G42)</f>
        <v/>
      </c>
      <c r="H43" s="17">
        <f>SUM(H34:H42)</f>
        <v/>
      </c>
      <c r="I43" s="17">
        <f>SUM(I34:I42)</f>
        <v/>
      </c>
      <c r="J43" s="17">
        <f>SUM(J34:J42)</f>
        <v/>
      </c>
      <c r="K43" s="28">
        <f>IFERROR(H43/92,0)</f>
        <v/>
      </c>
      <c r="L43" s="28">
        <f>IFERROR(H43/(E43+F43),0)</f>
        <v/>
      </c>
      <c r="M43" s="28">
        <f>IFERROR((C43*92-H43)/(E43+F43),0)</f>
        <v/>
      </c>
      <c r="N43" s="28">
        <f>IFERROR((E43+F43)/C43,0)</f>
        <v/>
      </c>
      <c r="O43" s="28">
        <f>IFERROR((H43/(C43*92))*100,0)</f>
        <v/>
      </c>
      <c r="P43" s="28">
        <f>IFERROR((F43/(D43+B43))*100,0)</f>
        <v/>
      </c>
    </row>
    <row r="44">
      <c r="A44" s="29" t="inlineStr">
        <is>
          <t>Emergency</t>
        </is>
      </c>
      <c r="B44" s="29">
        <f>B41+B42</f>
        <v/>
      </c>
      <c r="C44" s="29">
        <f>C41+C42</f>
        <v/>
      </c>
      <c r="D44" s="29">
        <f>D41+D42</f>
        <v/>
      </c>
      <c r="E44" s="29">
        <f>E41+E42</f>
        <v/>
      </c>
      <c r="F44" s="29">
        <f>F41+F42</f>
        <v/>
      </c>
      <c r="G44" s="29">
        <f>G41+G42</f>
        <v/>
      </c>
      <c r="H44" s="29">
        <f>H41+H42</f>
        <v/>
      </c>
      <c r="I44" s="29">
        <f>I41+I42</f>
        <v/>
      </c>
      <c r="J44" s="29">
        <f>J41+J42</f>
        <v/>
      </c>
      <c r="K44" s="30">
        <f>IFERROR(H44/92,0)</f>
        <v/>
      </c>
      <c r="L44" s="30">
        <f>IFERROR(H44/(E44+F44),0)</f>
        <v/>
      </c>
      <c r="M44" s="30">
        <f>IFERROR((C44*92-H44)/(E44+F44),0)</f>
        <v/>
      </c>
      <c r="N44" s="30">
        <f>IFERROR((E44+F44)/C44,0)</f>
        <v/>
      </c>
      <c r="O44" s="30">
        <f>IFERROR((H44/(C44*92))*100,0)</f>
        <v/>
      </c>
      <c r="P44" s="30">
        <f>IFERROR((F44/(D44+B44))*100,0)</f>
        <v/>
      </c>
    </row>
    <row r="46">
      <c r="A46" s="1" t="inlineStr">
        <is>
          <t>GHANA HEALTH SERVICE</t>
        </is>
      </c>
    </row>
    <row r="47">
      <c r="A47" s="2" t="inlineStr">
        <is>
          <t>PERIOD BED UTILIZATION FORM - Q4 (Oct-Dec), 2026</t>
        </is>
      </c>
    </row>
    <row r="48">
      <c r="A48" s="16" t="inlineStr">
        <is>
          <t>WARD</t>
        </is>
      </c>
      <c r="B48" s="16" t="inlineStr">
        <is>
          <t>Patients on bed
at the beginning
of the period</t>
        </is>
      </c>
      <c r="C48" s="16" t="inlineStr">
        <is>
          <t>Bed Complement</t>
        </is>
      </c>
      <c r="D48" s="16" t="inlineStr">
        <is>
          <t>Admissions</t>
        </is>
      </c>
      <c r="E48" s="16" t="inlineStr">
        <is>
          <t>Discharges</t>
        </is>
      </c>
      <c r="F48" s="16" t="inlineStr">
        <is>
          <t>Deaths</t>
        </is>
      </c>
      <c r="G48" s="16" t="inlineStr">
        <is>
          <t>Deaths
&lt;24Hrs</t>
        </is>
      </c>
      <c r="H48" s="16" t="inlineStr">
        <is>
          <t>Patient
Days</t>
        </is>
      </c>
      <c r="I48" s="16" t="inlineStr">
        <is>
          <t>Transfer In</t>
        </is>
      </c>
      <c r="J48" s="16" t="inlineStr">
        <is>
          <t>Transfer
Out</t>
        </is>
      </c>
      <c r="K48" s="16" t="inlineStr">
        <is>
          <t>Average
Daily Bed
Occupancy</t>
        </is>
      </c>
      <c r="L48" s="16" t="inlineStr">
        <is>
          <t>Average
Length
of Stay</t>
        </is>
      </c>
      <c r="M48" s="16" t="inlineStr">
        <is>
          <t>Bed
Turnover
Interval</t>
        </is>
      </c>
      <c r="N48" s="16" t="inlineStr">
        <is>
          <t>Bed
Turnover
Rate</t>
        </is>
      </c>
      <c r="O48" s="16" t="inlineStr">
        <is>
          <t>Percentage
of
Occupancy</t>
        </is>
      </c>
      <c r="P48" s="16" t="inlineStr">
        <is>
          <t>Death
Rate</t>
        </is>
      </c>
    </row>
    <row r="49">
      <c r="A49" s="26" t="inlineStr">
        <is>
          <t>Male Medical</t>
        </is>
      </c>
      <c r="B49" s="12">
        <f>IFERROR(SUMIFS(tblDaily[Remaining],tblDaily[EntryDate],DATE(2026,9,30),tblDaily[WardCode],"MW"),0)</f>
        <v/>
      </c>
      <c r="C49" s="12">
        <f>IFERROR(INDEX(tblWardConfig[BedComplement],MATCH("MW",tblWardConfig[WardCode],0)),0)</f>
        <v/>
      </c>
      <c r="D49" s="12">
        <f>SUMIFS(tblDaily[Admissions],tblDaily[Month],"&gt;="&amp;10,tblDaily[Month],"&lt;="&amp;12,tblDaily[WardCode],"MW") - SUMIFS(tblDaily[DeathsUnder24Hrs],tblDaily[Month],"&gt;="&amp;10,tblDaily[Month],"&lt;="&amp;12,tblDaily[WardCode],"MW")</f>
        <v/>
      </c>
      <c r="E49" s="12">
        <f>SUMIFS(tblDaily[Discharges],tblDaily[Month],"&gt;="&amp;10,tblDaily[Month],"&lt;="&amp;12,tblDaily[WardCode],"MW")</f>
        <v/>
      </c>
      <c r="F49" s="12">
        <f>SUMIFS(tblDaily[Deaths],tblDaily[Month],"&gt;="&amp;10,tblDaily[Month],"&lt;="&amp;12,tblDaily[WardCode],"MW")</f>
        <v/>
      </c>
      <c r="G49" s="12">
        <f>SUMIFS(tblDaily[DeathsUnder24Hrs],tblDaily[Month],"&gt;="&amp;10,tblDaily[Month],"&lt;="&amp;12,tblDaily[WardCode],"MW")</f>
        <v/>
      </c>
      <c r="H49" s="12">
        <f>SUMIFS(tblDaily[Remaining],tblDaily[Month],"&gt;="&amp;10,tblDaily[Month],"&lt;="&amp;12,tblDaily[WardCode],"MW")</f>
        <v/>
      </c>
      <c r="I49" s="12">
        <f>SUMIFS(tblDaily[TransfersIn],tblDaily[Month],"&gt;="&amp;10,tblDaily[Month],"&lt;="&amp;12,tblDaily[WardCode],"MW")</f>
        <v/>
      </c>
      <c r="J49" s="12">
        <f>SUMIFS(tblDaily[TransfersOut],tblDaily[Month],"&gt;="&amp;10,tblDaily[Month],"&lt;="&amp;12,tblDaily[WardCode],"MW")</f>
        <v/>
      </c>
      <c r="K49" s="27">
        <f>IFERROR(H49/92,0)</f>
        <v/>
      </c>
      <c r="L49" s="27">
        <f>IFERROR(H49/(E49+F49),0)</f>
        <v/>
      </c>
      <c r="M49" s="27">
        <f>IFERROR((C49*92-H49)/(E49+F49),0)</f>
        <v/>
      </c>
      <c r="N49" s="27">
        <f>IFERROR((E49+F49)/C49,0)</f>
        <v/>
      </c>
      <c r="O49" s="27">
        <f>IFERROR((H49/(C49*92))*100,0)</f>
        <v/>
      </c>
      <c r="P49" s="27">
        <f>IFERROR((F49/(D49+B49))*100,0)</f>
        <v/>
      </c>
    </row>
    <row r="50">
      <c r="A50" s="26" t="inlineStr">
        <is>
          <t>Female Medical</t>
        </is>
      </c>
      <c r="B50" s="12">
        <f>IFERROR(SUMIFS(tblDaily[Remaining],tblDaily[EntryDate],DATE(2026,9,30),tblDaily[WardCode],"FW"),0)</f>
        <v/>
      </c>
      <c r="C50" s="12">
        <f>IFERROR(INDEX(tblWardConfig[BedComplement],MATCH("FW",tblWardConfig[WardCode],0)),0)</f>
        <v/>
      </c>
      <c r="D50" s="12">
        <f>SUMIFS(tblDaily[Admissions],tblDaily[Month],"&gt;="&amp;10,tblDaily[Month],"&lt;="&amp;12,tblDaily[WardCode],"FW") - SUMIFS(tblDaily[DeathsUnder24Hrs],tblDaily[Month],"&gt;="&amp;10,tblDaily[Month],"&lt;="&amp;12,tblDaily[WardCode],"FW")</f>
        <v/>
      </c>
      <c r="E50" s="12">
        <f>SUMIFS(tblDaily[Discharges],tblDaily[Month],"&gt;="&amp;10,tblDaily[Month],"&lt;="&amp;12,tblDaily[WardCode],"FW")</f>
        <v/>
      </c>
      <c r="F50" s="12">
        <f>SUMIFS(tblDaily[Deaths],tblDaily[Month],"&gt;="&amp;10,tblDaily[Month],"&lt;="&amp;12,tblDaily[WardCode],"FW")</f>
        <v/>
      </c>
      <c r="G50" s="12">
        <f>SUMIFS(tblDaily[DeathsUnder24Hrs],tblDaily[Month],"&gt;="&amp;10,tblDaily[Month],"&lt;="&amp;12,tblDaily[WardCode],"FW")</f>
        <v/>
      </c>
      <c r="H50" s="12">
        <f>SUMIFS(tblDaily[Remaining],tblDaily[Month],"&gt;="&amp;10,tblDaily[Month],"&lt;="&amp;12,tblDaily[WardCode],"FW")</f>
        <v/>
      </c>
      <c r="I50" s="12">
        <f>SUMIFS(tblDaily[TransfersIn],tblDaily[Month],"&gt;="&amp;10,tblDaily[Month],"&lt;="&amp;12,tblDaily[WardCode],"FW")</f>
        <v/>
      </c>
      <c r="J50" s="12">
        <f>SUMIFS(tblDaily[TransfersOut],tblDaily[Month],"&gt;="&amp;10,tblDaily[Month],"&lt;="&amp;12,tblDaily[WardCode],"FW")</f>
        <v/>
      </c>
      <c r="K50" s="27">
        <f>IFERROR(H50/92,0)</f>
        <v/>
      </c>
      <c r="L50" s="27">
        <f>IFERROR(H50/(E50+F50),0)</f>
        <v/>
      </c>
      <c r="M50" s="27">
        <f>IFERROR((C50*92-H50)/(E50+F50),0)</f>
        <v/>
      </c>
      <c r="N50" s="27">
        <f>IFERROR((E50+F50)/C50,0)</f>
        <v/>
      </c>
      <c r="O50" s="27">
        <f>IFERROR((H50/(C50*92))*100,0)</f>
        <v/>
      </c>
      <c r="P50" s="27">
        <f>IFERROR((F50/(D50+B50))*100,0)</f>
        <v/>
      </c>
    </row>
    <row r="51">
      <c r="A51" s="26" t="inlineStr">
        <is>
          <t>Paediatric</t>
        </is>
      </c>
      <c r="B51" s="12">
        <f>IFERROR(SUMIFS(tblDaily[Remaining],tblDaily[EntryDate],DATE(2026,9,30),tblDaily[WardCode],"CW"),0)</f>
        <v/>
      </c>
      <c r="C51" s="12">
        <f>IFERROR(INDEX(tblWardConfig[BedComplement],MATCH("CW",tblWardConfig[WardCode],0)),0)</f>
        <v/>
      </c>
      <c r="D51" s="12">
        <f>SUMIFS(tblDaily[Admissions],tblDaily[Month],"&gt;="&amp;10,tblDaily[Month],"&lt;="&amp;12,tblDaily[WardCode],"CW") - SUMIFS(tblDaily[DeathsUnder24Hrs],tblDaily[Month],"&gt;="&amp;10,tblDaily[Month],"&lt;="&amp;12,tblDaily[WardCode],"CW")</f>
        <v/>
      </c>
      <c r="E51" s="12">
        <f>SUMIFS(tblDaily[Discharges],tblDaily[Month],"&gt;="&amp;10,tblDaily[Month],"&lt;="&amp;12,tblDaily[WardCode],"CW")</f>
        <v/>
      </c>
      <c r="F51" s="12">
        <f>SUMIFS(tblDaily[Deaths],tblDaily[Month],"&gt;="&amp;10,tblDaily[Month],"&lt;="&amp;12,tblDaily[WardCode],"CW")</f>
        <v/>
      </c>
      <c r="G51" s="12">
        <f>SUMIFS(tblDaily[DeathsUnder24Hrs],tblDaily[Month],"&gt;="&amp;10,tblDaily[Month],"&lt;="&amp;12,tblDaily[WardCode],"CW")</f>
        <v/>
      </c>
      <c r="H51" s="12">
        <f>SUMIFS(tblDaily[Remaining],tblDaily[Month],"&gt;="&amp;10,tblDaily[Month],"&lt;="&amp;12,tblDaily[WardCode],"CW")</f>
        <v/>
      </c>
      <c r="I51" s="12">
        <f>SUMIFS(tblDaily[TransfersIn],tblDaily[Month],"&gt;="&amp;10,tblDaily[Month],"&lt;="&amp;12,tblDaily[WardCode],"CW")</f>
        <v/>
      </c>
      <c r="J51" s="12">
        <f>SUMIFS(tblDaily[TransfersOut],tblDaily[Month],"&gt;="&amp;10,tblDaily[Month],"&lt;="&amp;12,tblDaily[WardCode],"CW")</f>
        <v/>
      </c>
      <c r="K51" s="27">
        <f>IFERROR(H51/92,0)</f>
        <v/>
      </c>
      <c r="L51" s="27">
        <f>IFERROR(H51/(E51+F51),0)</f>
        <v/>
      </c>
      <c r="M51" s="27">
        <f>IFERROR((C51*92-H51)/(E51+F51),0)</f>
        <v/>
      </c>
      <c r="N51" s="27">
        <f>IFERROR((E51+F51)/C51,0)</f>
        <v/>
      </c>
      <c r="O51" s="27">
        <f>IFERROR((H51/(C51*92))*100,0)</f>
        <v/>
      </c>
      <c r="P51" s="27">
        <f>IFERROR((F51/(D51+B51))*100,0)</f>
        <v/>
      </c>
    </row>
    <row r="52">
      <c r="A52" s="26" t="inlineStr">
        <is>
          <t>Block F</t>
        </is>
      </c>
      <c r="B52" s="12">
        <f>IFERROR(SUMIFS(tblDaily[Remaining],tblDaily[EntryDate],DATE(2026,9,30),tblDaily[WardCode],"BF"),0)</f>
        <v/>
      </c>
      <c r="C52" s="12">
        <f>IFERROR(INDEX(tblWardConfig[BedComplement],MATCH("BF",tblWardConfig[WardCode],0)),0)</f>
        <v/>
      </c>
      <c r="D52" s="12">
        <f>SUMIFS(tblDaily[Admissions],tblDaily[Month],"&gt;="&amp;10,tblDaily[Month],"&lt;="&amp;12,tblDaily[WardCode],"BF") - SUMIFS(tblDaily[DeathsUnder24Hrs],tblDaily[Month],"&gt;="&amp;10,tblDaily[Month],"&lt;="&amp;12,tblDaily[WardCode],"BF")</f>
        <v/>
      </c>
      <c r="E52" s="12">
        <f>SUMIFS(tblDaily[Discharges],tblDaily[Month],"&gt;="&amp;10,tblDaily[Month],"&lt;="&amp;12,tblDaily[WardCode],"BF")</f>
        <v/>
      </c>
      <c r="F52" s="12">
        <f>SUMIFS(tblDaily[Deaths],tblDaily[Month],"&gt;="&amp;10,tblDaily[Month],"&lt;="&amp;12,tblDaily[WardCode],"BF")</f>
        <v/>
      </c>
      <c r="G52" s="12">
        <f>SUMIFS(tblDaily[DeathsUnder24Hrs],tblDaily[Month],"&gt;="&amp;10,tblDaily[Month],"&lt;="&amp;12,tblDaily[WardCode],"BF")</f>
        <v/>
      </c>
      <c r="H52" s="12">
        <f>SUMIFS(tblDaily[Remaining],tblDaily[Month],"&gt;="&amp;10,tblDaily[Month],"&lt;="&amp;12,tblDaily[WardCode],"BF")</f>
        <v/>
      </c>
      <c r="I52" s="12">
        <f>SUMIFS(tblDaily[TransfersIn],tblDaily[Month],"&gt;="&amp;10,tblDaily[Month],"&lt;="&amp;12,tblDaily[WardCode],"BF")</f>
        <v/>
      </c>
      <c r="J52" s="12">
        <f>SUMIFS(tblDaily[TransfersOut],tblDaily[Month],"&gt;="&amp;10,tblDaily[Month],"&lt;="&amp;12,tblDaily[WardCode],"BF")</f>
        <v/>
      </c>
      <c r="K52" s="27">
        <f>IFERROR(H52/92,0)</f>
        <v/>
      </c>
      <c r="L52" s="27">
        <f>IFERROR(H52/(E52+F52),0)</f>
        <v/>
      </c>
      <c r="M52" s="27">
        <f>IFERROR((C52*92-H52)/(E52+F52),0)</f>
        <v/>
      </c>
      <c r="N52" s="27">
        <f>IFERROR((E52+F52)/C52,0)</f>
        <v/>
      </c>
      <c r="O52" s="27">
        <f>IFERROR((H52/(C52*92))*100,0)</f>
        <v/>
      </c>
      <c r="P52" s="27">
        <f>IFERROR((F52/(D52+B52))*100,0)</f>
        <v/>
      </c>
    </row>
    <row r="53">
      <c r="A53" s="26" t="inlineStr">
        <is>
          <t>Block G</t>
        </is>
      </c>
      <c r="B53" s="12">
        <f>IFERROR(SUMIFS(tblDaily[Remaining],tblDaily[EntryDate],DATE(2026,9,30),tblDaily[WardCode],"BG"),0)</f>
        <v/>
      </c>
      <c r="C53" s="12">
        <f>IFERROR(INDEX(tblWardConfig[BedComplement],MATCH("BG",tblWardConfig[WardCode],0)),0)</f>
        <v/>
      </c>
      <c r="D53" s="12">
        <f>SUMIFS(tblDaily[Admissions],tblDaily[Month],"&gt;="&amp;10,tblDaily[Month],"&lt;="&amp;12,tblDaily[WardCode],"BG") - SUMIFS(tblDaily[DeathsUnder24Hrs],tblDaily[Month],"&gt;="&amp;10,tblDaily[Month],"&lt;="&amp;12,tblDaily[WardCode],"BG")</f>
        <v/>
      </c>
      <c r="E53" s="12">
        <f>SUMIFS(tblDaily[Discharges],tblDaily[Month],"&gt;="&amp;10,tblDaily[Month],"&lt;="&amp;12,tblDaily[WardCode],"BG")</f>
        <v/>
      </c>
      <c r="F53" s="12">
        <f>SUMIFS(tblDaily[Deaths],tblDaily[Month],"&gt;="&amp;10,tblDaily[Month],"&lt;="&amp;12,tblDaily[WardCode],"BG")</f>
        <v/>
      </c>
      <c r="G53" s="12">
        <f>SUMIFS(tblDaily[DeathsUnder24Hrs],tblDaily[Month],"&gt;="&amp;10,tblDaily[Month],"&lt;="&amp;12,tblDaily[WardCode],"BG")</f>
        <v/>
      </c>
      <c r="H53" s="12">
        <f>SUMIFS(tblDaily[Remaining],tblDaily[Month],"&gt;="&amp;10,tblDaily[Month],"&lt;="&amp;12,tblDaily[WardCode],"BG")</f>
        <v/>
      </c>
      <c r="I53" s="12">
        <f>SUMIFS(tblDaily[TransfersIn],tblDaily[Month],"&gt;="&amp;10,tblDaily[Month],"&lt;="&amp;12,tblDaily[WardCode],"BG")</f>
        <v/>
      </c>
      <c r="J53" s="12">
        <f>SUMIFS(tblDaily[TransfersOut],tblDaily[Month],"&gt;="&amp;10,tblDaily[Month],"&lt;="&amp;12,tblDaily[WardCode],"BG")</f>
        <v/>
      </c>
      <c r="K53" s="27">
        <f>IFERROR(H53/92,0)</f>
        <v/>
      </c>
      <c r="L53" s="27">
        <f>IFERROR(H53/(E53+F53),0)</f>
        <v/>
      </c>
      <c r="M53" s="27">
        <f>IFERROR((C53*92-H53)/(E53+F53),0)</f>
        <v/>
      </c>
      <c r="N53" s="27">
        <f>IFERROR((E53+F53)/C53,0)</f>
        <v/>
      </c>
      <c r="O53" s="27">
        <f>IFERROR((H53/(C53*92))*100,0)</f>
        <v/>
      </c>
      <c r="P53" s="27">
        <f>IFERROR((F53/(D53+B53))*100,0)</f>
        <v/>
      </c>
    </row>
    <row r="54">
      <c r="A54" s="26" t="inlineStr">
        <is>
          <t>Block H</t>
        </is>
      </c>
      <c r="B54" s="12">
        <f>IFERROR(SUMIFS(tblDaily[Remaining],tblDaily[EntryDate],DATE(2026,9,30),tblDaily[WardCode],"BH"),0)</f>
        <v/>
      </c>
      <c r="C54" s="12">
        <f>IFERROR(INDEX(tblWardConfig[BedComplement],MATCH("BH",tblWardConfig[WardCode],0)),0)</f>
        <v/>
      </c>
      <c r="D54" s="12">
        <f>SUMIFS(tblDaily[Admissions],tblDaily[Month],"&gt;="&amp;10,tblDaily[Month],"&lt;="&amp;12,tblDaily[WardCode],"BH") - SUMIFS(tblDaily[DeathsUnder24Hrs],tblDaily[Month],"&gt;="&amp;10,tblDaily[Month],"&lt;="&amp;12,tblDaily[WardCode],"BH")</f>
        <v/>
      </c>
      <c r="E54" s="12">
        <f>SUMIFS(tblDaily[Discharges],tblDaily[Month],"&gt;="&amp;10,tblDaily[Month],"&lt;="&amp;12,tblDaily[WardCode],"BH")</f>
        <v/>
      </c>
      <c r="F54" s="12">
        <f>SUMIFS(tblDaily[Deaths],tblDaily[Month],"&gt;="&amp;10,tblDaily[Month],"&lt;="&amp;12,tblDaily[WardCode],"BH")</f>
        <v/>
      </c>
      <c r="G54" s="12">
        <f>SUMIFS(tblDaily[DeathsUnder24Hrs],tblDaily[Month],"&gt;="&amp;10,tblDaily[Month],"&lt;="&amp;12,tblDaily[WardCode],"BH")</f>
        <v/>
      </c>
      <c r="H54" s="12">
        <f>SUMIFS(tblDaily[Remaining],tblDaily[Month],"&gt;="&amp;10,tblDaily[Month],"&lt;="&amp;12,tblDaily[WardCode],"BH")</f>
        <v/>
      </c>
      <c r="I54" s="12">
        <f>SUMIFS(tblDaily[TransfersIn],tblDaily[Month],"&gt;="&amp;10,tblDaily[Month],"&lt;="&amp;12,tblDaily[WardCode],"BH")</f>
        <v/>
      </c>
      <c r="J54" s="12">
        <f>SUMIFS(tblDaily[TransfersOut],tblDaily[Month],"&gt;="&amp;10,tblDaily[Month],"&lt;="&amp;12,tblDaily[WardCode],"BH")</f>
        <v/>
      </c>
      <c r="K54" s="27">
        <f>IFERROR(H54/92,0)</f>
        <v/>
      </c>
      <c r="L54" s="27">
        <f>IFERROR(H54/(E54+F54),0)</f>
        <v/>
      </c>
      <c r="M54" s="27">
        <f>IFERROR((C54*92-H54)/(E54+F54),0)</f>
        <v/>
      </c>
      <c r="N54" s="27">
        <f>IFERROR((E54+F54)/C54,0)</f>
        <v/>
      </c>
      <c r="O54" s="27">
        <f>IFERROR((H54/(C54*92))*100,0)</f>
        <v/>
      </c>
      <c r="P54" s="27">
        <f>IFERROR((F54/(D54+B54))*100,0)</f>
        <v/>
      </c>
    </row>
    <row r="55">
      <c r="A55" s="26" t="inlineStr">
        <is>
          <t>Neonatal</t>
        </is>
      </c>
      <c r="B55" s="12">
        <f>IFERROR(SUMIFS(tblDaily[Remaining],tblDaily[EntryDate],DATE(2026,9,30),tblDaily[WardCode],"NICU"),0)</f>
        <v/>
      </c>
      <c r="C55" s="12">
        <f>IFERROR(INDEX(tblWardConfig[BedComplement],MATCH("NICU",tblWardConfig[WardCode],0)),0)</f>
        <v/>
      </c>
      <c r="D55" s="12">
        <f>SUMIFS(tblDaily[Admissions],tblDaily[Month],"&gt;="&amp;10,tblDaily[Month],"&lt;="&amp;12,tblDaily[WardCode],"NICU") - SUMIFS(tblDaily[DeathsUnder24Hrs],tblDaily[Month],"&gt;="&amp;10,tblDaily[Month],"&lt;="&amp;12,tblDaily[WardCode],"NICU")</f>
        <v/>
      </c>
      <c r="E55" s="12">
        <f>SUMIFS(tblDaily[Discharges],tblDaily[Month],"&gt;="&amp;10,tblDaily[Month],"&lt;="&amp;12,tblDaily[WardCode],"NICU")</f>
        <v/>
      </c>
      <c r="F55" s="12">
        <f>SUMIFS(tblDaily[Deaths],tblDaily[Month],"&gt;="&amp;10,tblDaily[Month],"&lt;="&amp;12,tblDaily[WardCode],"NICU")</f>
        <v/>
      </c>
      <c r="G55" s="12">
        <f>SUMIFS(tblDaily[DeathsUnder24Hrs],tblDaily[Month],"&gt;="&amp;10,tblDaily[Month],"&lt;="&amp;12,tblDaily[WardCode],"NICU")</f>
        <v/>
      </c>
      <c r="H55" s="12">
        <f>SUMIFS(tblDaily[Remaining],tblDaily[Month],"&gt;="&amp;10,tblDaily[Month],"&lt;="&amp;12,tblDaily[WardCode],"NICU")</f>
        <v/>
      </c>
      <c r="I55" s="12">
        <f>SUMIFS(tblDaily[TransfersIn],tblDaily[Month],"&gt;="&amp;10,tblDaily[Month],"&lt;="&amp;12,tblDaily[WardCode],"NICU")</f>
        <v/>
      </c>
      <c r="J55" s="12">
        <f>SUMIFS(tblDaily[TransfersOut],tblDaily[Month],"&gt;="&amp;10,tblDaily[Month],"&lt;="&amp;12,tblDaily[WardCode],"NICU")</f>
        <v/>
      </c>
      <c r="K55" s="27">
        <f>IFERROR(H55/92,0)</f>
        <v/>
      </c>
      <c r="L55" s="27">
        <f>IFERROR(H55/(E55+F55),0)</f>
        <v/>
      </c>
      <c r="M55" s="27">
        <f>IFERROR((C55*92-H55)/(E55+F55),0)</f>
        <v/>
      </c>
      <c r="N55" s="27">
        <f>IFERROR((E55+F55)/C55,0)</f>
        <v/>
      </c>
      <c r="O55" s="27">
        <f>IFERROR((H55/(C55*92))*100,0)</f>
        <v/>
      </c>
      <c r="P55" s="27">
        <f>IFERROR((F55/(D55+B55))*100,0)</f>
        <v/>
      </c>
    </row>
    <row r="56">
      <c r="A56" s="26" t="inlineStr">
        <is>
          <t>Male Emergency</t>
        </is>
      </c>
      <c r="B56" s="12">
        <f>IFERROR(SUMIFS(tblDaily[Remaining],tblDaily[EntryDate],DATE(2026,9,30),tblDaily[WardCode],"MAE"),0)</f>
        <v/>
      </c>
      <c r="C56" s="12">
        <f>IFERROR(INDEX(tblWardConfig[BedComplement],MATCH("MAE",tblWardConfig[WardCode],0)),0)</f>
        <v/>
      </c>
      <c r="D56" s="12">
        <f>SUMIFS(tblDaily[Admissions],tblDaily[Month],"&gt;="&amp;10,tblDaily[Month],"&lt;="&amp;12,tblDaily[WardCode],"MAE") - SUMIFS(tblDaily[DeathsUnder24Hrs],tblDaily[Month],"&gt;="&amp;10,tblDaily[Month],"&lt;="&amp;12,tblDaily[WardCode],"MAE")</f>
        <v/>
      </c>
      <c r="E56" s="12">
        <f>SUMIFS(tblDaily[Discharges],tblDaily[Month],"&gt;="&amp;10,tblDaily[Month],"&lt;="&amp;12,tblDaily[WardCode],"MAE")</f>
        <v/>
      </c>
      <c r="F56" s="12">
        <f>SUMIFS(tblDaily[Deaths],tblDaily[Month],"&gt;="&amp;10,tblDaily[Month],"&lt;="&amp;12,tblDaily[WardCode],"MAE")</f>
        <v/>
      </c>
      <c r="G56" s="12">
        <f>SUMIFS(tblDaily[DeathsUnder24Hrs],tblDaily[Month],"&gt;="&amp;10,tblDaily[Month],"&lt;="&amp;12,tblDaily[WardCode],"MAE")</f>
        <v/>
      </c>
      <c r="H56" s="12">
        <f>SUMIFS(tblDaily[Remaining],tblDaily[Month],"&gt;="&amp;10,tblDaily[Month],"&lt;="&amp;12,tblDaily[WardCode],"MAE")</f>
        <v/>
      </c>
      <c r="I56" s="12">
        <f>SUMIFS(tblDaily[TransfersIn],tblDaily[Month],"&gt;="&amp;10,tblDaily[Month],"&lt;="&amp;12,tblDaily[WardCode],"MAE")</f>
        <v/>
      </c>
      <c r="J56" s="12">
        <f>SUMIFS(tblDaily[TransfersOut],tblDaily[Month],"&gt;="&amp;10,tblDaily[Month],"&lt;="&amp;12,tblDaily[WardCode],"MAE")</f>
        <v/>
      </c>
      <c r="K56" s="27">
        <f>IFERROR(H56/92,0)</f>
        <v/>
      </c>
      <c r="L56" s="27">
        <f>IFERROR(H56/(E56+F56),0)</f>
        <v/>
      </c>
      <c r="M56" s="27">
        <f>IFERROR((C56*92-H56)/(E56+F56),0)</f>
        <v/>
      </c>
      <c r="N56" s="27">
        <f>IFERROR((E56+F56)/C56,0)</f>
        <v/>
      </c>
      <c r="O56" s="27">
        <f>IFERROR((H56/(C56*92))*100,0)</f>
        <v/>
      </c>
      <c r="P56" s="27">
        <f>IFERROR((F56/(D56+B56))*100,0)</f>
        <v/>
      </c>
    </row>
    <row r="57">
      <c r="A57" s="26" t="inlineStr">
        <is>
          <t>Female Emergency</t>
        </is>
      </c>
      <c r="B57" s="12">
        <f>IFERROR(SUMIFS(tblDaily[Remaining],tblDaily[EntryDate],DATE(2026,9,30),tblDaily[WardCode],"FAE"),0)</f>
        <v/>
      </c>
      <c r="C57" s="12">
        <f>IFERROR(INDEX(tblWardConfig[BedComplement],MATCH("FAE",tblWardConfig[WardCode],0)),0)</f>
        <v/>
      </c>
      <c r="D57" s="12">
        <f>SUMIFS(tblDaily[Admissions],tblDaily[Month],"&gt;="&amp;10,tblDaily[Month],"&lt;="&amp;12,tblDaily[WardCode],"FAE") - SUMIFS(tblDaily[DeathsUnder24Hrs],tblDaily[Month],"&gt;="&amp;10,tblDaily[Month],"&lt;="&amp;12,tblDaily[WardCode],"FAE")</f>
        <v/>
      </c>
      <c r="E57" s="12">
        <f>SUMIFS(tblDaily[Discharges],tblDaily[Month],"&gt;="&amp;10,tblDaily[Month],"&lt;="&amp;12,tblDaily[WardCode],"FAE")</f>
        <v/>
      </c>
      <c r="F57" s="12">
        <f>SUMIFS(tblDaily[Deaths],tblDaily[Month],"&gt;="&amp;10,tblDaily[Month],"&lt;="&amp;12,tblDaily[WardCode],"FAE")</f>
        <v/>
      </c>
      <c r="G57" s="12">
        <f>SUMIFS(tblDaily[DeathsUnder24Hrs],tblDaily[Month],"&gt;="&amp;10,tblDaily[Month],"&lt;="&amp;12,tblDaily[WardCode],"FAE")</f>
        <v/>
      </c>
      <c r="H57" s="12">
        <f>SUMIFS(tblDaily[Remaining],tblDaily[Month],"&gt;="&amp;10,tblDaily[Month],"&lt;="&amp;12,tblDaily[WardCode],"FAE")</f>
        <v/>
      </c>
      <c r="I57" s="12">
        <f>SUMIFS(tblDaily[TransfersIn],tblDaily[Month],"&gt;="&amp;10,tblDaily[Month],"&lt;="&amp;12,tblDaily[WardCode],"FAE")</f>
        <v/>
      </c>
      <c r="J57" s="12">
        <f>SUMIFS(tblDaily[TransfersOut],tblDaily[Month],"&gt;="&amp;10,tblDaily[Month],"&lt;="&amp;12,tblDaily[WardCode],"FAE")</f>
        <v/>
      </c>
      <c r="K57" s="27">
        <f>IFERROR(H57/92,0)</f>
        <v/>
      </c>
      <c r="L57" s="27">
        <f>IFERROR(H57/(E57+F57),0)</f>
        <v/>
      </c>
      <c r="M57" s="27">
        <f>IFERROR((C57*92-H57)/(E57+F57),0)</f>
        <v/>
      </c>
      <c r="N57" s="27">
        <f>IFERROR((E57+F57)/C57,0)</f>
        <v/>
      </c>
      <c r="O57" s="27">
        <f>IFERROR((H57/(C57*92))*100,0)</f>
        <v/>
      </c>
      <c r="P57" s="27">
        <f>IFERROR((F57/(D57+B57))*100,0)</f>
        <v/>
      </c>
    </row>
    <row r="58">
      <c r="A58" s="17" t="inlineStr">
        <is>
          <t>TOTAL</t>
        </is>
      </c>
      <c r="B58" s="17">
        <f>SUM(B49:B57)</f>
        <v/>
      </c>
      <c r="C58" s="17">
        <f>SUM(C49:C57)</f>
        <v/>
      </c>
      <c r="D58" s="17">
        <f>SUM(D49:D57)</f>
        <v/>
      </c>
      <c r="E58" s="17">
        <f>SUM(E49:E57)</f>
        <v/>
      </c>
      <c r="F58" s="17">
        <f>SUM(F49:F57)</f>
        <v/>
      </c>
      <c r="G58" s="17">
        <f>SUM(G49:G57)</f>
        <v/>
      </c>
      <c r="H58" s="17">
        <f>SUM(H49:H57)</f>
        <v/>
      </c>
      <c r="I58" s="17">
        <f>SUM(I49:I57)</f>
        <v/>
      </c>
      <c r="J58" s="17">
        <f>SUM(J49:J57)</f>
        <v/>
      </c>
      <c r="K58" s="28">
        <f>IFERROR(H58/92,0)</f>
        <v/>
      </c>
      <c r="L58" s="28">
        <f>IFERROR(H58/(E58+F58),0)</f>
        <v/>
      </c>
      <c r="M58" s="28">
        <f>IFERROR((C58*92-H58)/(E58+F58),0)</f>
        <v/>
      </c>
      <c r="N58" s="28">
        <f>IFERROR((E58+F58)/C58,0)</f>
        <v/>
      </c>
      <c r="O58" s="28">
        <f>IFERROR((H58/(C58*92))*100,0)</f>
        <v/>
      </c>
      <c r="P58" s="28">
        <f>IFERROR((F58/(D58+B58))*100,0)</f>
        <v/>
      </c>
    </row>
    <row r="59">
      <c r="A59" s="29" t="inlineStr">
        <is>
          <t>Emergency</t>
        </is>
      </c>
      <c r="B59" s="29">
        <f>B56+B57</f>
        <v/>
      </c>
      <c r="C59" s="29">
        <f>C56+C57</f>
        <v/>
      </c>
      <c r="D59" s="29">
        <f>D56+D57</f>
        <v/>
      </c>
      <c r="E59" s="29">
        <f>E56+E57</f>
        <v/>
      </c>
      <c r="F59" s="29">
        <f>F56+F57</f>
        <v/>
      </c>
      <c r="G59" s="29">
        <f>G56+G57</f>
        <v/>
      </c>
      <c r="H59" s="29">
        <f>H56+H57</f>
        <v/>
      </c>
      <c r="I59" s="29">
        <f>I56+I57</f>
        <v/>
      </c>
      <c r="J59" s="29">
        <f>J56+J57</f>
        <v/>
      </c>
      <c r="K59" s="30">
        <f>IFERROR(H59/92,0)</f>
        <v/>
      </c>
      <c r="L59" s="30">
        <f>IFERROR(H59/(E59+F59),0)</f>
        <v/>
      </c>
      <c r="M59" s="30">
        <f>IFERROR((C59*92-H59)/(E59+F59),0)</f>
        <v/>
      </c>
      <c r="N59" s="30">
        <f>IFERROR((E59+F59)/C59,0)</f>
        <v/>
      </c>
      <c r="O59" s="30">
        <f>IFERROR((H59/(C59*92))*100,0)</f>
        <v/>
      </c>
      <c r="P59" s="30">
        <f>IFERROR((F59/(D59+B59))*100,0)</f>
        <v/>
      </c>
    </row>
  </sheetData>
  <mergeCells count="8">
    <mergeCell ref="A47:P47"/>
    <mergeCell ref="A46:P46"/>
    <mergeCell ref="A32:P32"/>
    <mergeCell ref="A1:P1"/>
    <mergeCell ref="A17:P17"/>
    <mergeCell ref="A31:P31"/>
    <mergeCell ref="A16:P16"/>
    <mergeCell ref="A2:P2"/>
  </mergeCell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GHANA HEALTH SERVICE</t>
        </is>
      </c>
    </row>
    <row r="2">
      <c r="A2" s="2" t="inlineStr">
        <is>
          <t>PERIOD BED UTILIZATION FORM - H1 (Jan-Jun), 2026</t>
        </is>
      </c>
    </row>
    <row r="3">
      <c r="A3" s="16" t="inlineStr">
        <is>
          <t>WARD</t>
        </is>
      </c>
      <c r="B3" s="16" t="inlineStr">
        <is>
          <t>Patients on bed
at the beginning
of the period</t>
        </is>
      </c>
      <c r="C3" s="16" t="inlineStr">
        <is>
          <t>Bed Complement</t>
        </is>
      </c>
      <c r="D3" s="16" t="inlineStr">
        <is>
          <t>Admissions</t>
        </is>
      </c>
      <c r="E3" s="16" t="inlineStr">
        <is>
          <t>Discharges</t>
        </is>
      </c>
      <c r="F3" s="16" t="inlineStr">
        <is>
          <t>Deaths</t>
        </is>
      </c>
      <c r="G3" s="16" t="inlineStr">
        <is>
          <t>Deaths
&lt;24Hrs</t>
        </is>
      </c>
      <c r="H3" s="16" t="inlineStr">
        <is>
          <t>Patient
Days</t>
        </is>
      </c>
      <c r="I3" s="16" t="inlineStr">
        <is>
          <t>Transfer In</t>
        </is>
      </c>
      <c r="J3" s="16" t="inlineStr">
        <is>
          <t>Transfer
Out</t>
        </is>
      </c>
      <c r="K3" s="16" t="inlineStr">
        <is>
          <t>Average
Daily Bed
Occupancy</t>
        </is>
      </c>
      <c r="L3" s="16" t="inlineStr">
        <is>
          <t>Average
Length
of Stay</t>
        </is>
      </c>
      <c r="M3" s="16" t="inlineStr">
        <is>
          <t>Bed
Turnover
Interval</t>
        </is>
      </c>
      <c r="N3" s="16" t="inlineStr">
        <is>
          <t>Bed
Turnover
Rate</t>
        </is>
      </c>
      <c r="O3" s="16" t="inlineStr">
        <is>
          <t>Percentage
of
Occupancy</t>
        </is>
      </c>
      <c r="P3" s="16" t="inlineStr">
        <is>
          <t>Death
Rate</t>
        </is>
      </c>
    </row>
    <row r="4">
      <c r="A4" s="26" t="inlineStr">
        <is>
          <t>Male Medical</t>
        </is>
      </c>
      <c r="B4" s="12">
        <f>IFERROR(INDEX(tblWardConfig[PrevYearRemaining],MATCH("MW",tblWardConfig[WardCode],0)),0)</f>
        <v/>
      </c>
      <c r="C4" s="12">
        <f>IFERROR(INDEX(tblWardConfig[BedComplement],MATCH("MW",tblWardConfig[WardCode],0)),0)</f>
        <v/>
      </c>
      <c r="D4" s="12">
        <f>SUMIFS(tblDaily[Admissions],tblDaily[Month],"&gt;="&amp;1,tblDaily[Month],"&lt;="&amp;6,tblDaily[WardCode],"MW") - SUMIFS(tblDaily[DeathsUnder24Hrs],tblDaily[Month],"&gt;="&amp;1,tblDaily[Month],"&lt;="&amp;6,tblDaily[WardCode],"MW")</f>
        <v/>
      </c>
      <c r="E4" s="12">
        <f>SUMIFS(tblDaily[Discharges],tblDaily[Month],"&gt;="&amp;1,tblDaily[Month],"&lt;="&amp;6,tblDaily[WardCode],"MW")</f>
        <v/>
      </c>
      <c r="F4" s="12">
        <f>SUMIFS(tblDaily[Deaths],tblDaily[Month],"&gt;="&amp;1,tblDaily[Month],"&lt;="&amp;6,tblDaily[WardCode],"MW")</f>
        <v/>
      </c>
      <c r="G4" s="12">
        <f>SUMIFS(tblDaily[DeathsUnder24Hrs],tblDaily[Month],"&gt;="&amp;1,tblDaily[Month],"&lt;="&amp;6,tblDaily[WardCode],"MW")</f>
        <v/>
      </c>
      <c r="H4" s="12">
        <f>SUMIFS(tblDaily[Remaining],tblDaily[Month],"&gt;="&amp;1,tblDaily[Month],"&lt;="&amp;6,tblDaily[WardCode],"MW")</f>
        <v/>
      </c>
      <c r="I4" s="12">
        <f>SUMIFS(tblDaily[TransfersIn],tblDaily[Month],"&gt;="&amp;1,tblDaily[Month],"&lt;="&amp;6,tblDaily[WardCode],"MW")</f>
        <v/>
      </c>
      <c r="J4" s="12">
        <f>SUMIFS(tblDaily[TransfersOut],tblDaily[Month],"&gt;="&amp;1,tblDaily[Month],"&lt;="&amp;6,tblDaily[WardCode],"MW")</f>
        <v/>
      </c>
      <c r="K4" s="27">
        <f>IFERROR(H4/181,0)</f>
        <v/>
      </c>
      <c r="L4" s="27">
        <f>IFERROR(H4/(E4+F4),0)</f>
        <v/>
      </c>
      <c r="M4" s="27">
        <f>IFERROR((C4*181-H4)/(E4+F4),0)</f>
        <v/>
      </c>
      <c r="N4" s="27">
        <f>IFERROR((E4+F4)/C4,0)</f>
        <v/>
      </c>
      <c r="O4" s="27">
        <f>IFERROR((H4/(C4*181))*100,0)</f>
        <v/>
      </c>
      <c r="P4" s="27">
        <f>IFERROR((F4/(D4+B4))*100,0)</f>
        <v/>
      </c>
    </row>
    <row r="5">
      <c r="A5" s="26" t="inlineStr">
        <is>
          <t>Female Medical</t>
        </is>
      </c>
      <c r="B5" s="12">
        <f>IFERROR(INDEX(tblWardConfig[PrevYearRemaining],MATCH("FW",tblWardConfig[WardCode],0)),0)</f>
        <v/>
      </c>
      <c r="C5" s="12">
        <f>IFERROR(INDEX(tblWardConfig[BedComplement],MATCH("FW",tblWardConfig[WardCode],0)),0)</f>
        <v/>
      </c>
      <c r="D5" s="12">
        <f>SUMIFS(tblDaily[Admissions],tblDaily[Month],"&gt;="&amp;1,tblDaily[Month],"&lt;="&amp;6,tblDaily[WardCode],"FW") - SUMIFS(tblDaily[DeathsUnder24Hrs],tblDaily[Month],"&gt;="&amp;1,tblDaily[Month],"&lt;="&amp;6,tblDaily[WardCode],"FW")</f>
        <v/>
      </c>
      <c r="E5" s="12">
        <f>SUMIFS(tblDaily[Discharges],tblDaily[Month],"&gt;="&amp;1,tblDaily[Month],"&lt;="&amp;6,tblDaily[WardCode],"FW")</f>
        <v/>
      </c>
      <c r="F5" s="12">
        <f>SUMIFS(tblDaily[Deaths],tblDaily[Month],"&gt;="&amp;1,tblDaily[Month],"&lt;="&amp;6,tblDaily[WardCode],"FW")</f>
        <v/>
      </c>
      <c r="G5" s="12">
        <f>SUMIFS(tblDaily[DeathsUnder24Hrs],tblDaily[Month],"&gt;="&amp;1,tblDaily[Month],"&lt;="&amp;6,tblDaily[WardCode],"FW")</f>
        <v/>
      </c>
      <c r="H5" s="12">
        <f>SUMIFS(tblDaily[Remaining],tblDaily[Month],"&gt;="&amp;1,tblDaily[Month],"&lt;="&amp;6,tblDaily[WardCode],"FW")</f>
        <v/>
      </c>
      <c r="I5" s="12">
        <f>SUMIFS(tblDaily[TransfersIn],tblDaily[Month],"&gt;="&amp;1,tblDaily[Month],"&lt;="&amp;6,tblDaily[WardCode],"FW")</f>
        <v/>
      </c>
      <c r="J5" s="12">
        <f>SUMIFS(tblDaily[TransfersOut],tblDaily[Month],"&gt;="&amp;1,tblDaily[Month],"&lt;="&amp;6,tblDaily[WardCode],"FW")</f>
        <v/>
      </c>
      <c r="K5" s="27">
        <f>IFERROR(H5/181,0)</f>
        <v/>
      </c>
      <c r="L5" s="27">
        <f>IFERROR(H5/(E5+F5),0)</f>
        <v/>
      </c>
      <c r="M5" s="27">
        <f>IFERROR((C5*181-H5)/(E5+F5),0)</f>
        <v/>
      </c>
      <c r="N5" s="27">
        <f>IFERROR((E5+F5)/C5,0)</f>
        <v/>
      </c>
      <c r="O5" s="27">
        <f>IFERROR((H5/(C5*181))*100,0)</f>
        <v/>
      </c>
      <c r="P5" s="27">
        <f>IFERROR((F5/(D5+B5))*100,0)</f>
        <v/>
      </c>
    </row>
    <row r="6">
      <c r="A6" s="26" t="inlineStr">
        <is>
          <t>Paediatric</t>
        </is>
      </c>
      <c r="B6" s="12">
        <f>IFERROR(INDEX(tblWardConfig[PrevYearRemaining],MATCH("CW",tblWardConfig[WardCode],0)),0)</f>
        <v/>
      </c>
      <c r="C6" s="12">
        <f>IFERROR(INDEX(tblWardConfig[BedComplement],MATCH("CW",tblWardConfig[WardCode],0)),0)</f>
        <v/>
      </c>
      <c r="D6" s="12">
        <f>SUMIFS(tblDaily[Admissions],tblDaily[Month],"&gt;="&amp;1,tblDaily[Month],"&lt;="&amp;6,tblDaily[WardCode],"CW") - SUMIFS(tblDaily[DeathsUnder24Hrs],tblDaily[Month],"&gt;="&amp;1,tblDaily[Month],"&lt;="&amp;6,tblDaily[WardCode],"CW")</f>
        <v/>
      </c>
      <c r="E6" s="12">
        <f>SUMIFS(tblDaily[Discharges],tblDaily[Month],"&gt;="&amp;1,tblDaily[Month],"&lt;="&amp;6,tblDaily[WardCode],"CW")</f>
        <v/>
      </c>
      <c r="F6" s="12">
        <f>SUMIFS(tblDaily[Deaths],tblDaily[Month],"&gt;="&amp;1,tblDaily[Month],"&lt;="&amp;6,tblDaily[WardCode],"CW")</f>
        <v/>
      </c>
      <c r="G6" s="12">
        <f>SUMIFS(tblDaily[DeathsUnder24Hrs],tblDaily[Month],"&gt;="&amp;1,tblDaily[Month],"&lt;="&amp;6,tblDaily[WardCode],"CW")</f>
        <v/>
      </c>
      <c r="H6" s="12">
        <f>SUMIFS(tblDaily[Remaining],tblDaily[Month],"&gt;="&amp;1,tblDaily[Month],"&lt;="&amp;6,tblDaily[WardCode],"CW")</f>
        <v/>
      </c>
      <c r="I6" s="12">
        <f>SUMIFS(tblDaily[TransfersIn],tblDaily[Month],"&gt;="&amp;1,tblDaily[Month],"&lt;="&amp;6,tblDaily[WardCode],"CW")</f>
        <v/>
      </c>
      <c r="J6" s="12">
        <f>SUMIFS(tblDaily[TransfersOut],tblDaily[Month],"&gt;="&amp;1,tblDaily[Month],"&lt;="&amp;6,tblDaily[WardCode],"CW")</f>
        <v/>
      </c>
      <c r="K6" s="27">
        <f>IFERROR(H6/181,0)</f>
        <v/>
      </c>
      <c r="L6" s="27">
        <f>IFERROR(H6/(E6+F6),0)</f>
        <v/>
      </c>
      <c r="M6" s="27">
        <f>IFERROR((C6*181-H6)/(E6+F6),0)</f>
        <v/>
      </c>
      <c r="N6" s="27">
        <f>IFERROR((E6+F6)/C6,0)</f>
        <v/>
      </c>
      <c r="O6" s="27">
        <f>IFERROR((H6/(C6*181))*100,0)</f>
        <v/>
      </c>
      <c r="P6" s="27">
        <f>IFERROR((F6/(D6+B6))*100,0)</f>
        <v/>
      </c>
    </row>
    <row r="7">
      <c r="A7" s="26" t="inlineStr">
        <is>
          <t>Block F</t>
        </is>
      </c>
      <c r="B7" s="12">
        <f>IFERROR(INDEX(tblWardConfig[PrevYearRemaining],MATCH("BF",tblWardConfig[WardCode],0)),0)</f>
        <v/>
      </c>
      <c r="C7" s="12">
        <f>IFERROR(INDEX(tblWardConfig[BedComplement],MATCH("BF",tblWardConfig[WardCode],0)),0)</f>
        <v/>
      </c>
      <c r="D7" s="12">
        <f>SUMIFS(tblDaily[Admissions],tblDaily[Month],"&gt;="&amp;1,tblDaily[Month],"&lt;="&amp;6,tblDaily[WardCode],"BF") - SUMIFS(tblDaily[DeathsUnder24Hrs],tblDaily[Month],"&gt;="&amp;1,tblDaily[Month],"&lt;="&amp;6,tblDaily[WardCode],"BF")</f>
        <v/>
      </c>
      <c r="E7" s="12">
        <f>SUMIFS(tblDaily[Discharges],tblDaily[Month],"&gt;="&amp;1,tblDaily[Month],"&lt;="&amp;6,tblDaily[WardCode],"BF")</f>
        <v/>
      </c>
      <c r="F7" s="12">
        <f>SUMIFS(tblDaily[Deaths],tblDaily[Month],"&gt;="&amp;1,tblDaily[Month],"&lt;="&amp;6,tblDaily[WardCode],"BF")</f>
        <v/>
      </c>
      <c r="G7" s="12">
        <f>SUMIFS(tblDaily[DeathsUnder24Hrs],tblDaily[Month],"&gt;="&amp;1,tblDaily[Month],"&lt;="&amp;6,tblDaily[WardCode],"BF")</f>
        <v/>
      </c>
      <c r="H7" s="12">
        <f>SUMIFS(tblDaily[Remaining],tblDaily[Month],"&gt;="&amp;1,tblDaily[Month],"&lt;="&amp;6,tblDaily[WardCode],"BF")</f>
        <v/>
      </c>
      <c r="I7" s="12">
        <f>SUMIFS(tblDaily[TransfersIn],tblDaily[Month],"&gt;="&amp;1,tblDaily[Month],"&lt;="&amp;6,tblDaily[WardCode],"BF")</f>
        <v/>
      </c>
      <c r="J7" s="12">
        <f>SUMIFS(tblDaily[TransfersOut],tblDaily[Month],"&gt;="&amp;1,tblDaily[Month],"&lt;="&amp;6,tblDaily[WardCode],"BF")</f>
        <v/>
      </c>
      <c r="K7" s="27">
        <f>IFERROR(H7/181,0)</f>
        <v/>
      </c>
      <c r="L7" s="27">
        <f>IFERROR(H7/(E7+F7),0)</f>
        <v/>
      </c>
      <c r="M7" s="27">
        <f>IFERROR((C7*181-H7)/(E7+F7),0)</f>
        <v/>
      </c>
      <c r="N7" s="27">
        <f>IFERROR((E7+F7)/C7,0)</f>
        <v/>
      </c>
      <c r="O7" s="27">
        <f>IFERROR((H7/(C7*181))*100,0)</f>
        <v/>
      </c>
      <c r="P7" s="27">
        <f>IFERROR((F7/(D7+B7))*100,0)</f>
        <v/>
      </c>
    </row>
    <row r="8">
      <c r="A8" s="26" t="inlineStr">
        <is>
          <t>Block G</t>
        </is>
      </c>
      <c r="B8" s="12">
        <f>IFERROR(INDEX(tblWardConfig[PrevYearRemaining],MATCH("BG",tblWardConfig[WardCode],0)),0)</f>
        <v/>
      </c>
      <c r="C8" s="12">
        <f>IFERROR(INDEX(tblWardConfig[BedComplement],MATCH("BG",tblWardConfig[WardCode],0)),0)</f>
        <v/>
      </c>
      <c r="D8" s="12">
        <f>SUMIFS(tblDaily[Admissions],tblDaily[Month],"&gt;="&amp;1,tblDaily[Month],"&lt;="&amp;6,tblDaily[WardCode],"BG") - SUMIFS(tblDaily[DeathsUnder24Hrs],tblDaily[Month],"&gt;="&amp;1,tblDaily[Month],"&lt;="&amp;6,tblDaily[WardCode],"BG")</f>
        <v/>
      </c>
      <c r="E8" s="12">
        <f>SUMIFS(tblDaily[Discharges],tblDaily[Month],"&gt;="&amp;1,tblDaily[Month],"&lt;="&amp;6,tblDaily[WardCode],"BG")</f>
        <v/>
      </c>
      <c r="F8" s="12">
        <f>SUMIFS(tblDaily[Deaths],tblDaily[Month],"&gt;="&amp;1,tblDaily[Month],"&lt;="&amp;6,tblDaily[WardCode],"BG")</f>
        <v/>
      </c>
      <c r="G8" s="12">
        <f>SUMIFS(tblDaily[DeathsUnder24Hrs],tblDaily[Month],"&gt;="&amp;1,tblDaily[Month],"&lt;="&amp;6,tblDaily[WardCode],"BG")</f>
        <v/>
      </c>
      <c r="H8" s="12">
        <f>SUMIFS(tblDaily[Remaining],tblDaily[Month],"&gt;="&amp;1,tblDaily[Month],"&lt;="&amp;6,tblDaily[WardCode],"BG")</f>
        <v/>
      </c>
      <c r="I8" s="12">
        <f>SUMIFS(tblDaily[TransfersIn],tblDaily[Month],"&gt;="&amp;1,tblDaily[Month],"&lt;="&amp;6,tblDaily[WardCode],"BG")</f>
        <v/>
      </c>
      <c r="J8" s="12">
        <f>SUMIFS(tblDaily[TransfersOut],tblDaily[Month],"&gt;="&amp;1,tblDaily[Month],"&lt;="&amp;6,tblDaily[WardCode],"BG")</f>
        <v/>
      </c>
      <c r="K8" s="27">
        <f>IFERROR(H8/181,0)</f>
        <v/>
      </c>
      <c r="L8" s="27">
        <f>IFERROR(H8/(E8+F8),0)</f>
        <v/>
      </c>
      <c r="M8" s="27">
        <f>IFERROR((C8*181-H8)/(E8+F8),0)</f>
        <v/>
      </c>
      <c r="N8" s="27">
        <f>IFERROR((E8+F8)/C8,0)</f>
        <v/>
      </c>
      <c r="O8" s="27">
        <f>IFERROR((H8/(C8*181))*100,0)</f>
        <v/>
      </c>
      <c r="P8" s="27">
        <f>IFERROR((F8/(D8+B8))*100,0)</f>
        <v/>
      </c>
    </row>
    <row r="9">
      <c r="A9" s="26" t="inlineStr">
        <is>
          <t>Block H</t>
        </is>
      </c>
      <c r="B9" s="12">
        <f>IFERROR(INDEX(tblWardConfig[PrevYearRemaining],MATCH("BH",tblWardConfig[WardCode],0)),0)</f>
        <v/>
      </c>
      <c r="C9" s="12">
        <f>IFERROR(INDEX(tblWardConfig[BedComplement],MATCH("BH",tblWardConfig[WardCode],0)),0)</f>
        <v/>
      </c>
      <c r="D9" s="12">
        <f>SUMIFS(tblDaily[Admissions],tblDaily[Month],"&gt;="&amp;1,tblDaily[Month],"&lt;="&amp;6,tblDaily[WardCode],"BH") - SUMIFS(tblDaily[DeathsUnder24Hrs],tblDaily[Month],"&gt;="&amp;1,tblDaily[Month],"&lt;="&amp;6,tblDaily[WardCode],"BH")</f>
        <v/>
      </c>
      <c r="E9" s="12">
        <f>SUMIFS(tblDaily[Discharges],tblDaily[Month],"&gt;="&amp;1,tblDaily[Month],"&lt;="&amp;6,tblDaily[WardCode],"BH")</f>
        <v/>
      </c>
      <c r="F9" s="12">
        <f>SUMIFS(tblDaily[Deaths],tblDaily[Month],"&gt;="&amp;1,tblDaily[Month],"&lt;="&amp;6,tblDaily[WardCode],"BH")</f>
        <v/>
      </c>
      <c r="G9" s="12">
        <f>SUMIFS(tblDaily[DeathsUnder24Hrs],tblDaily[Month],"&gt;="&amp;1,tblDaily[Month],"&lt;="&amp;6,tblDaily[WardCode],"BH")</f>
        <v/>
      </c>
      <c r="H9" s="12">
        <f>SUMIFS(tblDaily[Remaining],tblDaily[Month],"&gt;="&amp;1,tblDaily[Month],"&lt;="&amp;6,tblDaily[WardCode],"BH")</f>
        <v/>
      </c>
      <c r="I9" s="12">
        <f>SUMIFS(tblDaily[TransfersIn],tblDaily[Month],"&gt;="&amp;1,tblDaily[Month],"&lt;="&amp;6,tblDaily[WardCode],"BH")</f>
        <v/>
      </c>
      <c r="J9" s="12">
        <f>SUMIFS(tblDaily[TransfersOut],tblDaily[Month],"&gt;="&amp;1,tblDaily[Month],"&lt;="&amp;6,tblDaily[WardCode],"BH")</f>
        <v/>
      </c>
      <c r="K9" s="27">
        <f>IFERROR(H9/181,0)</f>
        <v/>
      </c>
      <c r="L9" s="27">
        <f>IFERROR(H9/(E9+F9),0)</f>
        <v/>
      </c>
      <c r="M9" s="27">
        <f>IFERROR((C9*181-H9)/(E9+F9),0)</f>
        <v/>
      </c>
      <c r="N9" s="27">
        <f>IFERROR((E9+F9)/C9,0)</f>
        <v/>
      </c>
      <c r="O9" s="27">
        <f>IFERROR((H9/(C9*181))*100,0)</f>
        <v/>
      </c>
      <c r="P9" s="27">
        <f>IFERROR((F9/(D9+B9))*100,0)</f>
        <v/>
      </c>
    </row>
    <row r="10">
      <c r="A10" s="26" t="inlineStr">
        <is>
          <t>Neonatal</t>
        </is>
      </c>
      <c r="B10" s="12">
        <f>IFERROR(INDEX(tblWardConfig[PrevYearRemaining],MATCH("NICU",tblWardConfig[WardCode],0)),0)</f>
        <v/>
      </c>
      <c r="C10" s="12">
        <f>IFERROR(INDEX(tblWardConfig[BedComplement],MATCH("NICU",tblWardConfig[WardCode],0)),0)</f>
        <v/>
      </c>
      <c r="D10" s="12">
        <f>SUMIFS(tblDaily[Admissions],tblDaily[Month],"&gt;="&amp;1,tblDaily[Month],"&lt;="&amp;6,tblDaily[WardCode],"NICU") - SUMIFS(tblDaily[DeathsUnder24Hrs],tblDaily[Month],"&gt;="&amp;1,tblDaily[Month],"&lt;="&amp;6,tblDaily[WardCode],"NICU")</f>
        <v/>
      </c>
      <c r="E10" s="12">
        <f>SUMIFS(tblDaily[Discharges],tblDaily[Month],"&gt;="&amp;1,tblDaily[Month],"&lt;="&amp;6,tblDaily[WardCode],"NICU")</f>
        <v/>
      </c>
      <c r="F10" s="12">
        <f>SUMIFS(tblDaily[Deaths],tblDaily[Month],"&gt;="&amp;1,tblDaily[Month],"&lt;="&amp;6,tblDaily[WardCode],"NICU")</f>
        <v/>
      </c>
      <c r="G10" s="12">
        <f>SUMIFS(tblDaily[DeathsUnder24Hrs],tblDaily[Month],"&gt;="&amp;1,tblDaily[Month],"&lt;="&amp;6,tblDaily[WardCode],"NICU")</f>
        <v/>
      </c>
      <c r="H10" s="12">
        <f>SUMIFS(tblDaily[Remaining],tblDaily[Month],"&gt;="&amp;1,tblDaily[Month],"&lt;="&amp;6,tblDaily[WardCode],"NICU")</f>
        <v/>
      </c>
      <c r="I10" s="12">
        <f>SUMIFS(tblDaily[TransfersIn],tblDaily[Month],"&gt;="&amp;1,tblDaily[Month],"&lt;="&amp;6,tblDaily[WardCode],"NICU")</f>
        <v/>
      </c>
      <c r="J10" s="12">
        <f>SUMIFS(tblDaily[TransfersOut],tblDaily[Month],"&gt;="&amp;1,tblDaily[Month],"&lt;="&amp;6,tblDaily[WardCode],"NICU")</f>
        <v/>
      </c>
      <c r="K10" s="27">
        <f>IFERROR(H10/181,0)</f>
        <v/>
      </c>
      <c r="L10" s="27">
        <f>IFERROR(H10/(E10+F10),0)</f>
        <v/>
      </c>
      <c r="M10" s="27">
        <f>IFERROR((C10*181-H10)/(E10+F10),0)</f>
        <v/>
      </c>
      <c r="N10" s="27">
        <f>IFERROR((E10+F10)/C10,0)</f>
        <v/>
      </c>
      <c r="O10" s="27">
        <f>IFERROR((H10/(C10*181))*100,0)</f>
        <v/>
      </c>
      <c r="P10" s="27">
        <f>IFERROR((F10/(D10+B10))*100,0)</f>
        <v/>
      </c>
    </row>
    <row r="11">
      <c r="A11" s="26" t="inlineStr">
        <is>
          <t>Male Emergency</t>
        </is>
      </c>
      <c r="B11" s="12">
        <f>IFERROR(INDEX(tblWardConfig[PrevYearRemaining],MATCH("MAE",tblWardConfig[WardCode],0)),0)</f>
        <v/>
      </c>
      <c r="C11" s="12">
        <f>IFERROR(INDEX(tblWardConfig[BedComplement],MATCH("MAE",tblWardConfig[WardCode],0)),0)</f>
        <v/>
      </c>
      <c r="D11" s="12">
        <f>SUMIFS(tblDaily[Admissions],tblDaily[Month],"&gt;="&amp;1,tblDaily[Month],"&lt;="&amp;6,tblDaily[WardCode],"MAE") - SUMIFS(tblDaily[DeathsUnder24Hrs],tblDaily[Month],"&gt;="&amp;1,tblDaily[Month],"&lt;="&amp;6,tblDaily[WardCode],"MAE")</f>
        <v/>
      </c>
      <c r="E11" s="12">
        <f>SUMIFS(tblDaily[Discharges],tblDaily[Month],"&gt;="&amp;1,tblDaily[Month],"&lt;="&amp;6,tblDaily[WardCode],"MAE")</f>
        <v/>
      </c>
      <c r="F11" s="12">
        <f>SUMIFS(tblDaily[Deaths],tblDaily[Month],"&gt;="&amp;1,tblDaily[Month],"&lt;="&amp;6,tblDaily[WardCode],"MAE")</f>
        <v/>
      </c>
      <c r="G11" s="12">
        <f>SUMIFS(tblDaily[DeathsUnder24Hrs],tblDaily[Month],"&gt;="&amp;1,tblDaily[Month],"&lt;="&amp;6,tblDaily[WardCode],"MAE")</f>
        <v/>
      </c>
      <c r="H11" s="12">
        <f>SUMIFS(tblDaily[Remaining],tblDaily[Month],"&gt;="&amp;1,tblDaily[Month],"&lt;="&amp;6,tblDaily[WardCode],"MAE")</f>
        <v/>
      </c>
      <c r="I11" s="12">
        <f>SUMIFS(tblDaily[TransfersIn],tblDaily[Month],"&gt;="&amp;1,tblDaily[Month],"&lt;="&amp;6,tblDaily[WardCode],"MAE")</f>
        <v/>
      </c>
      <c r="J11" s="12">
        <f>SUMIFS(tblDaily[TransfersOut],tblDaily[Month],"&gt;="&amp;1,tblDaily[Month],"&lt;="&amp;6,tblDaily[WardCode],"MAE")</f>
        <v/>
      </c>
      <c r="K11" s="27">
        <f>IFERROR(H11/181,0)</f>
        <v/>
      </c>
      <c r="L11" s="27">
        <f>IFERROR(H11/(E11+F11),0)</f>
        <v/>
      </c>
      <c r="M11" s="27">
        <f>IFERROR((C11*181-H11)/(E11+F11),0)</f>
        <v/>
      </c>
      <c r="N11" s="27">
        <f>IFERROR((E11+F11)/C11,0)</f>
        <v/>
      </c>
      <c r="O11" s="27">
        <f>IFERROR((H11/(C11*181))*100,0)</f>
        <v/>
      </c>
      <c r="P11" s="27">
        <f>IFERROR((F11/(D11+B11))*100,0)</f>
        <v/>
      </c>
    </row>
    <row r="12">
      <c r="A12" s="26" t="inlineStr">
        <is>
          <t>Female Emergency</t>
        </is>
      </c>
      <c r="B12" s="12">
        <f>IFERROR(INDEX(tblWardConfig[PrevYearRemaining],MATCH("FAE",tblWardConfig[WardCode],0)),0)</f>
        <v/>
      </c>
      <c r="C12" s="12">
        <f>IFERROR(INDEX(tblWardConfig[BedComplement],MATCH("FAE",tblWardConfig[WardCode],0)),0)</f>
        <v/>
      </c>
      <c r="D12" s="12">
        <f>SUMIFS(tblDaily[Admissions],tblDaily[Month],"&gt;="&amp;1,tblDaily[Month],"&lt;="&amp;6,tblDaily[WardCode],"FAE") - SUMIFS(tblDaily[DeathsUnder24Hrs],tblDaily[Month],"&gt;="&amp;1,tblDaily[Month],"&lt;="&amp;6,tblDaily[WardCode],"FAE")</f>
        <v/>
      </c>
      <c r="E12" s="12">
        <f>SUMIFS(tblDaily[Discharges],tblDaily[Month],"&gt;="&amp;1,tblDaily[Month],"&lt;="&amp;6,tblDaily[WardCode],"FAE")</f>
        <v/>
      </c>
      <c r="F12" s="12">
        <f>SUMIFS(tblDaily[Deaths],tblDaily[Month],"&gt;="&amp;1,tblDaily[Month],"&lt;="&amp;6,tblDaily[WardCode],"FAE")</f>
        <v/>
      </c>
      <c r="G12" s="12">
        <f>SUMIFS(tblDaily[DeathsUnder24Hrs],tblDaily[Month],"&gt;="&amp;1,tblDaily[Month],"&lt;="&amp;6,tblDaily[WardCode],"FAE")</f>
        <v/>
      </c>
      <c r="H12" s="12">
        <f>SUMIFS(tblDaily[Remaining],tblDaily[Month],"&gt;="&amp;1,tblDaily[Month],"&lt;="&amp;6,tblDaily[WardCode],"FAE")</f>
        <v/>
      </c>
      <c r="I12" s="12">
        <f>SUMIFS(tblDaily[TransfersIn],tblDaily[Month],"&gt;="&amp;1,tblDaily[Month],"&lt;="&amp;6,tblDaily[WardCode],"FAE")</f>
        <v/>
      </c>
      <c r="J12" s="12">
        <f>SUMIFS(tblDaily[TransfersOut],tblDaily[Month],"&gt;="&amp;1,tblDaily[Month],"&lt;="&amp;6,tblDaily[WardCode],"FAE")</f>
        <v/>
      </c>
      <c r="K12" s="27">
        <f>IFERROR(H12/181,0)</f>
        <v/>
      </c>
      <c r="L12" s="27">
        <f>IFERROR(H12/(E12+F12),0)</f>
        <v/>
      </c>
      <c r="M12" s="27">
        <f>IFERROR((C12*181-H12)/(E12+F12),0)</f>
        <v/>
      </c>
      <c r="N12" s="27">
        <f>IFERROR((E12+F12)/C12,0)</f>
        <v/>
      </c>
      <c r="O12" s="27">
        <f>IFERROR((H12/(C12*181))*100,0)</f>
        <v/>
      </c>
      <c r="P12" s="27">
        <f>IFERROR((F12/(D12+B12))*100,0)</f>
        <v/>
      </c>
    </row>
    <row r="13">
      <c r="A13" s="17" t="inlineStr">
        <is>
          <t>TOTAL</t>
        </is>
      </c>
      <c r="B13" s="17">
        <f>SUM(B4:B12)</f>
        <v/>
      </c>
      <c r="C13" s="17">
        <f>SUM(C4:C12)</f>
        <v/>
      </c>
      <c r="D13" s="17">
        <f>SUM(D4:D12)</f>
        <v/>
      </c>
      <c r="E13" s="17">
        <f>SUM(E4:E12)</f>
        <v/>
      </c>
      <c r="F13" s="17">
        <f>SUM(F4:F12)</f>
        <v/>
      </c>
      <c r="G13" s="17">
        <f>SUM(G4:G12)</f>
        <v/>
      </c>
      <c r="H13" s="17">
        <f>SUM(H4:H12)</f>
        <v/>
      </c>
      <c r="I13" s="17">
        <f>SUM(I4:I12)</f>
        <v/>
      </c>
      <c r="J13" s="17">
        <f>SUM(J4:J12)</f>
        <v/>
      </c>
      <c r="K13" s="28">
        <f>IFERROR(H13/181,0)</f>
        <v/>
      </c>
      <c r="L13" s="28">
        <f>IFERROR(H13/(E13+F13),0)</f>
        <v/>
      </c>
      <c r="M13" s="28">
        <f>IFERROR((C13*181-H13)/(E13+F13),0)</f>
        <v/>
      </c>
      <c r="N13" s="28">
        <f>IFERROR((E13+F13)/C13,0)</f>
        <v/>
      </c>
      <c r="O13" s="28">
        <f>IFERROR((H13/(C13*181))*100,0)</f>
        <v/>
      </c>
      <c r="P13" s="28">
        <f>IFERROR((F13/(D13+B13))*100,0)</f>
        <v/>
      </c>
    </row>
    <row r="14">
      <c r="A14" s="29" t="inlineStr">
        <is>
          <t>Emergency</t>
        </is>
      </c>
      <c r="B14" s="29">
        <f>B11+B12</f>
        <v/>
      </c>
      <c r="C14" s="29">
        <f>C11+C12</f>
        <v/>
      </c>
      <c r="D14" s="29">
        <f>D11+D12</f>
        <v/>
      </c>
      <c r="E14" s="29">
        <f>E11+E12</f>
        <v/>
      </c>
      <c r="F14" s="29">
        <f>F11+F12</f>
        <v/>
      </c>
      <c r="G14" s="29">
        <f>G11+G12</f>
        <v/>
      </c>
      <c r="H14" s="29">
        <f>H11+H12</f>
        <v/>
      </c>
      <c r="I14" s="29">
        <f>I11+I12</f>
        <v/>
      </c>
      <c r="J14" s="29">
        <f>J11+J12</f>
        <v/>
      </c>
      <c r="K14" s="30">
        <f>IFERROR(H14/181,0)</f>
        <v/>
      </c>
      <c r="L14" s="30">
        <f>IFERROR(H14/(E14+F14),0)</f>
        <v/>
      </c>
      <c r="M14" s="30">
        <f>IFERROR((C14*181-H14)/(E14+F14),0)</f>
        <v/>
      </c>
      <c r="N14" s="30">
        <f>IFERROR((E14+F14)/C14,0)</f>
        <v/>
      </c>
      <c r="O14" s="30">
        <f>IFERROR((H14/(C14*181))*100,0)</f>
        <v/>
      </c>
      <c r="P14" s="30">
        <f>IFERROR((F14/(D14+B14))*100,0)</f>
        <v/>
      </c>
    </row>
    <row r="16">
      <c r="A16" s="1" t="inlineStr">
        <is>
          <t>GHANA HEALTH SERVICE</t>
        </is>
      </c>
    </row>
    <row r="17">
      <c r="A17" s="2" t="inlineStr">
        <is>
          <t>PERIOD BED UTILIZATION FORM - H2 (Jul-Dec), 2026</t>
        </is>
      </c>
    </row>
    <row r="18">
      <c r="A18" s="16" t="inlineStr">
        <is>
          <t>WARD</t>
        </is>
      </c>
      <c r="B18" s="16" t="inlineStr">
        <is>
          <t>Patients on bed
at the beginning
of the period</t>
        </is>
      </c>
      <c r="C18" s="16" t="inlineStr">
        <is>
          <t>Bed Complement</t>
        </is>
      </c>
      <c r="D18" s="16" t="inlineStr">
        <is>
          <t>Admissions</t>
        </is>
      </c>
      <c r="E18" s="16" t="inlineStr">
        <is>
          <t>Discharges</t>
        </is>
      </c>
      <c r="F18" s="16" t="inlineStr">
        <is>
          <t>Deaths</t>
        </is>
      </c>
      <c r="G18" s="16" t="inlineStr">
        <is>
          <t>Deaths
&lt;24Hrs</t>
        </is>
      </c>
      <c r="H18" s="16" t="inlineStr">
        <is>
          <t>Patient
Days</t>
        </is>
      </c>
      <c r="I18" s="16" t="inlineStr">
        <is>
          <t>Transfer In</t>
        </is>
      </c>
      <c r="J18" s="16" t="inlineStr">
        <is>
          <t>Transfer
Out</t>
        </is>
      </c>
      <c r="K18" s="16" t="inlineStr">
        <is>
          <t>Average
Daily Bed
Occupancy</t>
        </is>
      </c>
      <c r="L18" s="16" t="inlineStr">
        <is>
          <t>Average
Length
of Stay</t>
        </is>
      </c>
      <c r="M18" s="16" t="inlineStr">
        <is>
          <t>Bed
Turnover
Interval</t>
        </is>
      </c>
      <c r="N18" s="16" t="inlineStr">
        <is>
          <t>Bed
Turnover
Rate</t>
        </is>
      </c>
      <c r="O18" s="16" t="inlineStr">
        <is>
          <t>Percentage
of
Occupancy</t>
        </is>
      </c>
      <c r="P18" s="16" t="inlineStr">
        <is>
          <t>Death
Rate</t>
        </is>
      </c>
    </row>
    <row r="19">
      <c r="A19" s="26" t="inlineStr">
        <is>
          <t>Male Medical</t>
        </is>
      </c>
      <c r="B19" s="12">
        <f>IFERROR(SUMIFS(tblDaily[Remaining],tblDaily[EntryDate],DATE(2026,6,30),tblDaily[WardCode],"MW"),0)</f>
        <v/>
      </c>
      <c r="C19" s="12">
        <f>IFERROR(INDEX(tblWardConfig[BedComplement],MATCH("MW",tblWardConfig[WardCode],0)),0)</f>
        <v/>
      </c>
      <c r="D19" s="12">
        <f>SUMIFS(tblDaily[Admissions],tblDaily[Month],"&gt;="&amp;7,tblDaily[Month],"&lt;="&amp;12,tblDaily[WardCode],"MW") - SUMIFS(tblDaily[DeathsUnder24Hrs],tblDaily[Month],"&gt;="&amp;7,tblDaily[Month],"&lt;="&amp;12,tblDaily[WardCode],"MW")</f>
        <v/>
      </c>
      <c r="E19" s="12">
        <f>SUMIFS(tblDaily[Discharges],tblDaily[Month],"&gt;="&amp;7,tblDaily[Month],"&lt;="&amp;12,tblDaily[WardCode],"MW")</f>
        <v/>
      </c>
      <c r="F19" s="12">
        <f>SUMIFS(tblDaily[Deaths],tblDaily[Month],"&gt;="&amp;7,tblDaily[Month],"&lt;="&amp;12,tblDaily[WardCode],"MW")</f>
        <v/>
      </c>
      <c r="G19" s="12">
        <f>SUMIFS(tblDaily[DeathsUnder24Hrs],tblDaily[Month],"&gt;="&amp;7,tblDaily[Month],"&lt;="&amp;12,tblDaily[WardCode],"MW")</f>
        <v/>
      </c>
      <c r="H19" s="12">
        <f>SUMIFS(tblDaily[Remaining],tblDaily[Month],"&gt;="&amp;7,tblDaily[Month],"&lt;="&amp;12,tblDaily[WardCode],"MW")</f>
        <v/>
      </c>
      <c r="I19" s="12">
        <f>SUMIFS(tblDaily[TransfersIn],tblDaily[Month],"&gt;="&amp;7,tblDaily[Month],"&lt;="&amp;12,tblDaily[WardCode],"MW")</f>
        <v/>
      </c>
      <c r="J19" s="12">
        <f>SUMIFS(tblDaily[TransfersOut],tblDaily[Month],"&gt;="&amp;7,tblDaily[Month],"&lt;="&amp;12,tblDaily[WardCode],"MW")</f>
        <v/>
      </c>
      <c r="K19" s="27">
        <f>IFERROR(H19/184,0)</f>
        <v/>
      </c>
      <c r="L19" s="27">
        <f>IFERROR(H19/(E19+F19),0)</f>
        <v/>
      </c>
      <c r="M19" s="27">
        <f>IFERROR((C19*184-H19)/(E19+F19),0)</f>
        <v/>
      </c>
      <c r="N19" s="27">
        <f>IFERROR((E19+F19)/C19,0)</f>
        <v/>
      </c>
      <c r="O19" s="27">
        <f>IFERROR((H19/(C19*184))*100,0)</f>
        <v/>
      </c>
      <c r="P19" s="27">
        <f>IFERROR((F19/(D19+B19))*100,0)</f>
        <v/>
      </c>
    </row>
    <row r="20">
      <c r="A20" s="26" t="inlineStr">
        <is>
          <t>Female Medical</t>
        </is>
      </c>
      <c r="B20" s="12">
        <f>IFERROR(SUMIFS(tblDaily[Remaining],tblDaily[EntryDate],DATE(2026,6,30),tblDaily[WardCode],"FW"),0)</f>
        <v/>
      </c>
      <c r="C20" s="12">
        <f>IFERROR(INDEX(tblWardConfig[BedComplement],MATCH("FW",tblWardConfig[WardCode],0)),0)</f>
        <v/>
      </c>
      <c r="D20" s="12">
        <f>SUMIFS(tblDaily[Admissions],tblDaily[Month],"&gt;="&amp;7,tblDaily[Month],"&lt;="&amp;12,tblDaily[WardCode],"FW") - SUMIFS(tblDaily[DeathsUnder24Hrs],tblDaily[Month],"&gt;="&amp;7,tblDaily[Month],"&lt;="&amp;12,tblDaily[WardCode],"FW")</f>
        <v/>
      </c>
      <c r="E20" s="12">
        <f>SUMIFS(tblDaily[Discharges],tblDaily[Month],"&gt;="&amp;7,tblDaily[Month],"&lt;="&amp;12,tblDaily[WardCode],"FW")</f>
        <v/>
      </c>
      <c r="F20" s="12">
        <f>SUMIFS(tblDaily[Deaths],tblDaily[Month],"&gt;="&amp;7,tblDaily[Month],"&lt;="&amp;12,tblDaily[WardCode],"FW")</f>
        <v/>
      </c>
      <c r="G20" s="12">
        <f>SUMIFS(tblDaily[DeathsUnder24Hrs],tblDaily[Month],"&gt;="&amp;7,tblDaily[Month],"&lt;="&amp;12,tblDaily[WardCode],"FW")</f>
        <v/>
      </c>
      <c r="H20" s="12">
        <f>SUMIFS(tblDaily[Remaining],tblDaily[Month],"&gt;="&amp;7,tblDaily[Month],"&lt;="&amp;12,tblDaily[WardCode],"FW")</f>
        <v/>
      </c>
      <c r="I20" s="12">
        <f>SUMIFS(tblDaily[TransfersIn],tblDaily[Month],"&gt;="&amp;7,tblDaily[Month],"&lt;="&amp;12,tblDaily[WardCode],"FW")</f>
        <v/>
      </c>
      <c r="J20" s="12">
        <f>SUMIFS(tblDaily[TransfersOut],tblDaily[Month],"&gt;="&amp;7,tblDaily[Month],"&lt;="&amp;12,tblDaily[WardCode],"FW")</f>
        <v/>
      </c>
      <c r="K20" s="27">
        <f>IFERROR(H20/184,0)</f>
        <v/>
      </c>
      <c r="L20" s="27">
        <f>IFERROR(H20/(E20+F20),0)</f>
        <v/>
      </c>
      <c r="M20" s="27">
        <f>IFERROR((C20*184-H20)/(E20+F20),0)</f>
        <v/>
      </c>
      <c r="N20" s="27">
        <f>IFERROR((E20+F20)/C20,0)</f>
        <v/>
      </c>
      <c r="O20" s="27">
        <f>IFERROR((H20/(C20*184))*100,0)</f>
        <v/>
      </c>
      <c r="P20" s="27">
        <f>IFERROR((F20/(D20+B20))*100,0)</f>
        <v/>
      </c>
    </row>
    <row r="21">
      <c r="A21" s="26" t="inlineStr">
        <is>
          <t>Paediatric</t>
        </is>
      </c>
      <c r="B21" s="12">
        <f>IFERROR(SUMIFS(tblDaily[Remaining],tblDaily[EntryDate],DATE(2026,6,30),tblDaily[WardCode],"CW"),0)</f>
        <v/>
      </c>
      <c r="C21" s="12">
        <f>IFERROR(INDEX(tblWardConfig[BedComplement],MATCH("CW",tblWardConfig[WardCode],0)),0)</f>
        <v/>
      </c>
      <c r="D21" s="12">
        <f>SUMIFS(tblDaily[Admissions],tblDaily[Month],"&gt;="&amp;7,tblDaily[Month],"&lt;="&amp;12,tblDaily[WardCode],"CW") - SUMIFS(tblDaily[DeathsUnder24Hrs],tblDaily[Month],"&gt;="&amp;7,tblDaily[Month],"&lt;="&amp;12,tblDaily[WardCode],"CW")</f>
        <v/>
      </c>
      <c r="E21" s="12">
        <f>SUMIFS(tblDaily[Discharges],tblDaily[Month],"&gt;="&amp;7,tblDaily[Month],"&lt;="&amp;12,tblDaily[WardCode],"CW")</f>
        <v/>
      </c>
      <c r="F21" s="12">
        <f>SUMIFS(tblDaily[Deaths],tblDaily[Month],"&gt;="&amp;7,tblDaily[Month],"&lt;="&amp;12,tblDaily[WardCode],"CW")</f>
        <v/>
      </c>
      <c r="G21" s="12">
        <f>SUMIFS(tblDaily[DeathsUnder24Hrs],tblDaily[Month],"&gt;="&amp;7,tblDaily[Month],"&lt;="&amp;12,tblDaily[WardCode],"CW")</f>
        <v/>
      </c>
      <c r="H21" s="12">
        <f>SUMIFS(tblDaily[Remaining],tblDaily[Month],"&gt;="&amp;7,tblDaily[Month],"&lt;="&amp;12,tblDaily[WardCode],"CW")</f>
        <v/>
      </c>
      <c r="I21" s="12">
        <f>SUMIFS(tblDaily[TransfersIn],tblDaily[Month],"&gt;="&amp;7,tblDaily[Month],"&lt;="&amp;12,tblDaily[WardCode],"CW")</f>
        <v/>
      </c>
      <c r="J21" s="12">
        <f>SUMIFS(tblDaily[TransfersOut],tblDaily[Month],"&gt;="&amp;7,tblDaily[Month],"&lt;="&amp;12,tblDaily[WardCode],"CW")</f>
        <v/>
      </c>
      <c r="K21" s="27">
        <f>IFERROR(H21/184,0)</f>
        <v/>
      </c>
      <c r="L21" s="27">
        <f>IFERROR(H21/(E21+F21),0)</f>
        <v/>
      </c>
      <c r="M21" s="27">
        <f>IFERROR((C21*184-H21)/(E21+F21),0)</f>
        <v/>
      </c>
      <c r="N21" s="27">
        <f>IFERROR((E21+F21)/C21,0)</f>
        <v/>
      </c>
      <c r="O21" s="27">
        <f>IFERROR((H21/(C21*184))*100,0)</f>
        <v/>
      </c>
      <c r="P21" s="27">
        <f>IFERROR((F21/(D21+B21))*100,0)</f>
        <v/>
      </c>
    </row>
    <row r="22">
      <c r="A22" s="26" t="inlineStr">
        <is>
          <t>Block F</t>
        </is>
      </c>
      <c r="B22" s="12">
        <f>IFERROR(SUMIFS(tblDaily[Remaining],tblDaily[EntryDate],DATE(2026,6,30),tblDaily[WardCode],"BF"),0)</f>
        <v/>
      </c>
      <c r="C22" s="12">
        <f>IFERROR(INDEX(tblWardConfig[BedComplement],MATCH("BF",tblWardConfig[WardCode],0)),0)</f>
        <v/>
      </c>
      <c r="D22" s="12">
        <f>SUMIFS(tblDaily[Admissions],tblDaily[Month],"&gt;="&amp;7,tblDaily[Month],"&lt;="&amp;12,tblDaily[WardCode],"BF") - SUMIFS(tblDaily[DeathsUnder24Hrs],tblDaily[Month],"&gt;="&amp;7,tblDaily[Month],"&lt;="&amp;12,tblDaily[WardCode],"BF")</f>
        <v/>
      </c>
      <c r="E22" s="12">
        <f>SUMIFS(tblDaily[Discharges],tblDaily[Month],"&gt;="&amp;7,tblDaily[Month],"&lt;="&amp;12,tblDaily[WardCode],"BF")</f>
        <v/>
      </c>
      <c r="F22" s="12">
        <f>SUMIFS(tblDaily[Deaths],tblDaily[Month],"&gt;="&amp;7,tblDaily[Month],"&lt;="&amp;12,tblDaily[WardCode],"BF")</f>
        <v/>
      </c>
      <c r="G22" s="12">
        <f>SUMIFS(tblDaily[DeathsUnder24Hrs],tblDaily[Month],"&gt;="&amp;7,tblDaily[Month],"&lt;="&amp;12,tblDaily[WardCode],"BF")</f>
        <v/>
      </c>
      <c r="H22" s="12">
        <f>SUMIFS(tblDaily[Remaining],tblDaily[Month],"&gt;="&amp;7,tblDaily[Month],"&lt;="&amp;12,tblDaily[WardCode],"BF")</f>
        <v/>
      </c>
      <c r="I22" s="12">
        <f>SUMIFS(tblDaily[TransfersIn],tblDaily[Month],"&gt;="&amp;7,tblDaily[Month],"&lt;="&amp;12,tblDaily[WardCode],"BF")</f>
        <v/>
      </c>
      <c r="J22" s="12">
        <f>SUMIFS(tblDaily[TransfersOut],tblDaily[Month],"&gt;="&amp;7,tblDaily[Month],"&lt;="&amp;12,tblDaily[WardCode],"BF")</f>
        <v/>
      </c>
      <c r="K22" s="27">
        <f>IFERROR(H22/184,0)</f>
        <v/>
      </c>
      <c r="L22" s="27">
        <f>IFERROR(H22/(E22+F22),0)</f>
        <v/>
      </c>
      <c r="M22" s="27">
        <f>IFERROR((C22*184-H22)/(E22+F22),0)</f>
        <v/>
      </c>
      <c r="N22" s="27">
        <f>IFERROR((E22+F22)/C22,0)</f>
        <v/>
      </c>
      <c r="O22" s="27">
        <f>IFERROR((H22/(C22*184))*100,0)</f>
        <v/>
      </c>
      <c r="P22" s="27">
        <f>IFERROR((F22/(D22+B22))*100,0)</f>
        <v/>
      </c>
    </row>
    <row r="23">
      <c r="A23" s="26" t="inlineStr">
        <is>
          <t>Block G</t>
        </is>
      </c>
      <c r="B23" s="12">
        <f>IFERROR(SUMIFS(tblDaily[Remaining],tblDaily[EntryDate],DATE(2026,6,30),tblDaily[WardCode],"BG"),0)</f>
        <v/>
      </c>
      <c r="C23" s="12">
        <f>IFERROR(INDEX(tblWardConfig[BedComplement],MATCH("BG",tblWardConfig[WardCode],0)),0)</f>
        <v/>
      </c>
      <c r="D23" s="12">
        <f>SUMIFS(tblDaily[Admissions],tblDaily[Month],"&gt;="&amp;7,tblDaily[Month],"&lt;="&amp;12,tblDaily[WardCode],"BG") - SUMIFS(tblDaily[DeathsUnder24Hrs],tblDaily[Month],"&gt;="&amp;7,tblDaily[Month],"&lt;="&amp;12,tblDaily[WardCode],"BG")</f>
        <v/>
      </c>
      <c r="E23" s="12">
        <f>SUMIFS(tblDaily[Discharges],tblDaily[Month],"&gt;="&amp;7,tblDaily[Month],"&lt;="&amp;12,tblDaily[WardCode],"BG")</f>
        <v/>
      </c>
      <c r="F23" s="12">
        <f>SUMIFS(tblDaily[Deaths],tblDaily[Month],"&gt;="&amp;7,tblDaily[Month],"&lt;="&amp;12,tblDaily[WardCode],"BG")</f>
        <v/>
      </c>
      <c r="G23" s="12">
        <f>SUMIFS(tblDaily[DeathsUnder24Hrs],tblDaily[Month],"&gt;="&amp;7,tblDaily[Month],"&lt;="&amp;12,tblDaily[WardCode],"BG")</f>
        <v/>
      </c>
      <c r="H23" s="12">
        <f>SUMIFS(tblDaily[Remaining],tblDaily[Month],"&gt;="&amp;7,tblDaily[Month],"&lt;="&amp;12,tblDaily[WardCode],"BG")</f>
        <v/>
      </c>
      <c r="I23" s="12">
        <f>SUMIFS(tblDaily[TransfersIn],tblDaily[Month],"&gt;="&amp;7,tblDaily[Month],"&lt;="&amp;12,tblDaily[WardCode],"BG")</f>
        <v/>
      </c>
      <c r="J23" s="12">
        <f>SUMIFS(tblDaily[TransfersOut],tblDaily[Month],"&gt;="&amp;7,tblDaily[Month],"&lt;="&amp;12,tblDaily[WardCode],"BG")</f>
        <v/>
      </c>
      <c r="K23" s="27">
        <f>IFERROR(H23/184,0)</f>
        <v/>
      </c>
      <c r="L23" s="27">
        <f>IFERROR(H23/(E23+F23),0)</f>
        <v/>
      </c>
      <c r="M23" s="27">
        <f>IFERROR((C23*184-H23)/(E23+F23),0)</f>
        <v/>
      </c>
      <c r="N23" s="27">
        <f>IFERROR((E23+F23)/C23,0)</f>
        <v/>
      </c>
      <c r="O23" s="27">
        <f>IFERROR((H23/(C23*184))*100,0)</f>
        <v/>
      </c>
      <c r="P23" s="27">
        <f>IFERROR((F23/(D23+B23))*100,0)</f>
        <v/>
      </c>
    </row>
    <row r="24">
      <c r="A24" s="26" t="inlineStr">
        <is>
          <t>Block H</t>
        </is>
      </c>
      <c r="B24" s="12">
        <f>IFERROR(SUMIFS(tblDaily[Remaining],tblDaily[EntryDate],DATE(2026,6,30),tblDaily[WardCode],"BH"),0)</f>
        <v/>
      </c>
      <c r="C24" s="12">
        <f>IFERROR(INDEX(tblWardConfig[BedComplement],MATCH("BH",tblWardConfig[WardCode],0)),0)</f>
        <v/>
      </c>
      <c r="D24" s="12">
        <f>SUMIFS(tblDaily[Admissions],tblDaily[Month],"&gt;="&amp;7,tblDaily[Month],"&lt;="&amp;12,tblDaily[WardCode],"BH") - SUMIFS(tblDaily[DeathsUnder24Hrs],tblDaily[Month],"&gt;="&amp;7,tblDaily[Month],"&lt;="&amp;12,tblDaily[WardCode],"BH")</f>
        <v/>
      </c>
      <c r="E24" s="12">
        <f>SUMIFS(tblDaily[Discharges],tblDaily[Month],"&gt;="&amp;7,tblDaily[Month],"&lt;="&amp;12,tblDaily[WardCode],"BH")</f>
        <v/>
      </c>
      <c r="F24" s="12">
        <f>SUMIFS(tblDaily[Deaths],tblDaily[Month],"&gt;="&amp;7,tblDaily[Month],"&lt;="&amp;12,tblDaily[WardCode],"BH")</f>
        <v/>
      </c>
      <c r="G24" s="12">
        <f>SUMIFS(tblDaily[DeathsUnder24Hrs],tblDaily[Month],"&gt;="&amp;7,tblDaily[Month],"&lt;="&amp;12,tblDaily[WardCode],"BH")</f>
        <v/>
      </c>
      <c r="H24" s="12">
        <f>SUMIFS(tblDaily[Remaining],tblDaily[Month],"&gt;="&amp;7,tblDaily[Month],"&lt;="&amp;12,tblDaily[WardCode],"BH")</f>
        <v/>
      </c>
      <c r="I24" s="12">
        <f>SUMIFS(tblDaily[TransfersIn],tblDaily[Month],"&gt;="&amp;7,tblDaily[Month],"&lt;="&amp;12,tblDaily[WardCode],"BH")</f>
        <v/>
      </c>
      <c r="J24" s="12">
        <f>SUMIFS(tblDaily[TransfersOut],tblDaily[Month],"&gt;="&amp;7,tblDaily[Month],"&lt;="&amp;12,tblDaily[WardCode],"BH")</f>
        <v/>
      </c>
      <c r="K24" s="27">
        <f>IFERROR(H24/184,0)</f>
        <v/>
      </c>
      <c r="L24" s="27">
        <f>IFERROR(H24/(E24+F24),0)</f>
        <v/>
      </c>
      <c r="M24" s="27">
        <f>IFERROR((C24*184-H24)/(E24+F24),0)</f>
        <v/>
      </c>
      <c r="N24" s="27">
        <f>IFERROR((E24+F24)/C24,0)</f>
        <v/>
      </c>
      <c r="O24" s="27">
        <f>IFERROR((H24/(C24*184))*100,0)</f>
        <v/>
      </c>
      <c r="P24" s="27">
        <f>IFERROR((F24/(D24+B24))*100,0)</f>
        <v/>
      </c>
    </row>
    <row r="25">
      <c r="A25" s="26" t="inlineStr">
        <is>
          <t>Neonatal</t>
        </is>
      </c>
      <c r="B25" s="12">
        <f>IFERROR(SUMIFS(tblDaily[Remaining],tblDaily[EntryDate],DATE(2026,6,30),tblDaily[WardCode],"NICU"),0)</f>
        <v/>
      </c>
      <c r="C25" s="12">
        <f>IFERROR(INDEX(tblWardConfig[BedComplement],MATCH("NICU",tblWardConfig[WardCode],0)),0)</f>
        <v/>
      </c>
      <c r="D25" s="12">
        <f>SUMIFS(tblDaily[Admissions],tblDaily[Month],"&gt;="&amp;7,tblDaily[Month],"&lt;="&amp;12,tblDaily[WardCode],"NICU") - SUMIFS(tblDaily[DeathsUnder24Hrs],tblDaily[Month],"&gt;="&amp;7,tblDaily[Month],"&lt;="&amp;12,tblDaily[WardCode],"NICU")</f>
        <v/>
      </c>
      <c r="E25" s="12">
        <f>SUMIFS(tblDaily[Discharges],tblDaily[Month],"&gt;="&amp;7,tblDaily[Month],"&lt;="&amp;12,tblDaily[WardCode],"NICU")</f>
        <v/>
      </c>
      <c r="F25" s="12">
        <f>SUMIFS(tblDaily[Deaths],tblDaily[Month],"&gt;="&amp;7,tblDaily[Month],"&lt;="&amp;12,tblDaily[WardCode],"NICU")</f>
        <v/>
      </c>
      <c r="G25" s="12">
        <f>SUMIFS(tblDaily[DeathsUnder24Hrs],tblDaily[Month],"&gt;="&amp;7,tblDaily[Month],"&lt;="&amp;12,tblDaily[WardCode],"NICU")</f>
        <v/>
      </c>
      <c r="H25" s="12">
        <f>SUMIFS(tblDaily[Remaining],tblDaily[Month],"&gt;="&amp;7,tblDaily[Month],"&lt;="&amp;12,tblDaily[WardCode],"NICU")</f>
        <v/>
      </c>
      <c r="I25" s="12">
        <f>SUMIFS(tblDaily[TransfersIn],tblDaily[Month],"&gt;="&amp;7,tblDaily[Month],"&lt;="&amp;12,tblDaily[WardCode],"NICU")</f>
        <v/>
      </c>
      <c r="J25" s="12">
        <f>SUMIFS(tblDaily[TransfersOut],tblDaily[Month],"&gt;="&amp;7,tblDaily[Month],"&lt;="&amp;12,tblDaily[WardCode],"NICU")</f>
        <v/>
      </c>
      <c r="K25" s="27">
        <f>IFERROR(H25/184,0)</f>
        <v/>
      </c>
      <c r="L25" s="27">
        <f>IFERROR(H25/(E25+F25),0)</f>
        <v/>
      </c>
      <c r="M25" s="27">
        <f>IFERROR((C25*184-H25)/(E25+F25),0)</f>
        <v/>
      </c>
      <c r="N25" s="27">
        <f>IFERROR((E25+F25)/C25,0)</f>
        <v/>
      </c>
      <c r="O25" s="27">
        <f>IFERROR((H25/(C25*184))*100,0)</f>
        <v/>
      </c>
      <c r="P25" s="27">
        <f>IFERROR((F25/(D25+B25))*100,0)</f>
        <v/>
      </c>
    </row>
    <row r="26">
      <c r="A26" s="26" t="inlineStr">
        <is>
          <t>Male Emergency</t>
        </is>
      </c>
      <c r="B26" s="12">
        <f>IFERROR(SUMIFS(tblDaily[Remaining],tblDaily[EntryDate],DATE(2026,6,30),tblDaily[WardCode],"MAE"),0)</f>
        <v/>
      </c>
      <c r="C26" s="12">
        <f>IFERROR(INDEX(tblWardConfig[BedComplement],MATCH("MAE",tblWardConfig[WardCode],0)),0)</f>
        <v/>
      </c>
      <c r="D26" s="12">
        <f>SUMIFS(tblDaily[Admissions],tblDaily[Month],"&gt;="&amp;7,tblDaily[Month],"&lt;="&amp;12,tblDaily[WardCode],"MAE") - SUMIFS(tblDaily[DeathsUnder24Hrs],tblDaily[Month],"&gt;="&amp;7,tblDaily[Month],"&lt;="&amp;12,tblDaily[WardCode],"MAE")</f>
        <v/>
      </c>
      <c r="E26" s="12">
        <f>SUMIFS(tblDaily[Discharges],tblDaily[Month],"&gt;="&amp;7,tblDaily[Month],"&lt;="&amp;12,tblDaily[WardCode],"MAE")</f>
        <v/>
      </c>
      <c r="F26" s="12">
        <f>SUMIFS(tblDaily[Deaths],tblDaily[Month],"&gt;="&amp;7,tblDaily[Month],"&lt;="&amp;12,tblDaily[WardCode],"MAE")</f>
        <v/>
      </c>
      <c r="G26" s="12">
        <f>SUMIFS(tblDaily[DeathsUnder24Hrs],tblDaily[Month],"&gt;="&amp;7,tblDaily[Month],"&lt;="&amp;12,tblDaily[WardCode],"MAE")</f>
        <v/>
      </c>
      <c r="H26" s="12">
        <f>SUMIFS(tblDaily[Remaining],tblDaily[Month],"&gt;="&amp;7,tblDaily[Month],"&lt;="&amp;12,tblDaily[WardCode],"MAE")</f>
        <v/>
      </c>
      <c r="I26" s="12">
        <f>SUMIFS(tblDaily[TransfersIn],tblDaily[Month],"&gt;="&amp;7,tblDaily[Month],"&lt;="&amp;12,tblDaily[WardCode],"MAE")</f>
        <v/>
      </c>
      <c r="J26" s="12">
        <f>SUMIFS(tblDaily[TransfersOut],tblDaily[Month],"&gt;="&amp;7,tblDaily[Month],"&lt;="&amp;12,tblDaily[WardCode],"MAE")</f>
        <v/>
      </c>
      <c r="K26" s="27">
        <f>IFERROR(H26/184,0)</f>
        <v/>
      </c>
      <c r="L26" s="27">
        <f>IFERROR(H26/(E26+F26),0)</f>
        <v/>
      </c>
      <c r="M26" s="27">
        <f>IFERROR((C26*184-H26)/(E26+F26),0)</f>
        <v/>
      </c>
      <c r="N26" s="27">
        <f>IFERROR((E26+F26)/C26,0)</f>
        <v/>
      </c>
      <c r="O26" s="27">
        <f>IFERROR((H26/(C26*184))*100,0)</f>
        <v/>
      </c>
      <c r="P26" s="27">
        <f>IFERROR((F26/(D26+B26))*100,0)</f>
        <v/>
      </c>
    </row>
    <row r="27">
      <c r="A27" s="26" t="inlineStr">
        <is>
          <t>Female Emergency</t>
        </is>
      </c>
      <c r="B27" s="12">
        <f>IFERROR(SUMIFS(tblDaily[Remaining],tblDaily[EntryDate],DATE(2026,6,30),tblDaily[WardCode],"FAE"),0)</f>
        <v/>
      </c>
      <c r="C27" s="12">
        <f>IFERROR(INDEX(tblWardConfig[BedComplement],MATCH("FAE",tblWardConfig[WardCode],0)),0)</f>
        <v/>
      </c>
      <c r="D27" s="12">
        <f>SUMIFS(tblDaily[Admissions],tblDaily[Month],"&gt;="&amp;7,tblDaily[Month],"&lt;="&amp;12,tblDaily[WardCode],"FAE") - SUMIFS(tblDaily[DeathsUnder24Hrs],tblDaily[Month],"&gt;="&amp;7,tblDaily[Month],"&lt;="&amp;12,tblDaily[WardCode],"FAE")</f>
        <v/>
      </c>
      <c r="E27" s="12">
        <f>SUMIFS(tblDaily[Discharges],tblDaily[Month],"&gt;="&amp;7,tblDaily[Month],"&lt;="&amp;12,tblDaily[WardCode],"FAE")</f>
        <v/>
      </c>
      <c r="F27" s="12">
        <f>SUMIFS(tblDaily[Deaths],tblDaily[Month],"&gt;="&amp;7,tblDaily[Month],"&lt;="&amp;12,tblDaily[WardCode],"FAE")</f>
        <v/>
      </c>
      <c r="G27" s="12">
        <f>SUMIFS(tblDaily[DeathsUnder24Hrs],tblDaily[Month],"&gt;="&amp;7,tblDaily[Month],"&lt;="&amp;12,tblDaily[WardCode],"FAE")</f>
        <v/>
      </c>
      <c r="H27" s="12">
        <f>SUMIFS(tblDaily[Remaining],tblDaily[Month],"&gt;="&amp;7,tblDaily[Month],"&lt;="&amp;12,tblDaily[WardCode],"FAE")</f>
        <v/>
      </c>
      <c r="I27" s="12">
        <f>SUMIFS(tblDaily[TransfersIn],tblDaily[Month],"&gt;="&amp;7,tblDaily[Month],"&lt;="&amp;12,tblDaily[WardCode],"FAE")</f>
        <v/>
      </c>
      <c r="J27" s="12">
        <f>SUMIFS(tblDaily[TransfersOut],tblDaily[Month],"&gt;="&amp;7,tblDaily[Month],"&lt;="&amp;12,tblDaily[WardCode],"FAE")</f>
        <v/>
      </c>
      <c r="K27" s="27">
        <f>IFERROR(H27/184,0)</f>
        <v/>
      </c>
      <c r="L27" s="27">
        <f>IFERROR(H27/(E27+F27),0)</f>
        <v/>
      </c>
      <c r="M27" s="27">
        <f>IFERROR((C27*184-H27)/(E27+F27),0)</f>
        <v/>
      </c>
      <c r="N27" s="27">
        <f>IFERROR((E27+F27)/C27,0)</f>
        <v/>
      </c>
      <c r="O27" s="27">
        <f>IFERROR((H27/(C27*184))*100,0)</f>
        <v/>
      </c>
      <c r="P27" s="27">
        <f>IFERROR((F27/(D27+B27))*100,0)</f>
        <v/>
      </c>
    </row>
    <row r="28">
      <c r="A28" s="17" t="inlineStr">
        <is>
          <t>TOTAL</t>
        </is>
      </c>
      <c r="B28" s="17">
        <f>SUM(B19:B27)</f>
        <v/>
      </c>
      <c r="C28" s="17">
        <f>SUM(C19:C27)</f>
        <v/>
      </c>
      <c r="D28" s="17">
        <f>SUM(D19:D27)</f>
        <v/>
      </c>
      <c r="E28" s="17">
        <f>SUM(E19:E27)</f>
        <v/>
      </c>
      <c r="F28" s="17">
        <f>SUM(F19:F27)</f>
        <v/>
      </c>
      <c r="G28" s="17">
        <f>SUM(G19:G27)</f>
        <v/>
      </c>
      <c r="H28" s="17">
        <f>SUM(H19:H27)</f>
        <v/>
      </c>
      <c r="I28" s="17">
        <f>SUM(I19:I27)</f>
        <v/>
      </c>
      <c r="J28" s="17">
        <f>SUM(J19:J27)</f>
        <v/>
      </c>
      <c r="K28" s="28">
        <f>IFERROR(H28/184,0)</f>
        <v/>
      </c>
      <c r="L28" s="28">
        <f>IFERROR(H28/(E28+F28),0)</f>
        <v/>
      </c>
      <c r="M28" s="28">
        <f>IFERROR((C28*184-H28)/(E28+F28),0)</f>
        <v/>
      </c>
      <c r="N28" s="28">
        <f>IFERROR((E28+F28)/C28,0)</f>
        <v/>
      </c>
      <c r="O28" s="28">
        <f>IFERROR((H28/(C28*184))*100,0)</f>
        <v/>
      </c>
      <c r="P28" s="28">
        <f>IFERROR((F28/(D28+B28))*100,0)</f>
        <v/>
      </c>
    </row>
    <row r="29">
      <c r="A29" s="29" t="inlineStr">
        <is>
          <t>Emergency</t>
        </is>
      </c>
      <c r="B29" s="29">
        <f>B26+B27</f>
        <v/>
      </c>
      <c r="C29" s="29">
        <f>C26+C27</f>
        <v/>
      </c>
      <c r="D29" s="29">
        <f>D26+D27</f>
        <v/>
      </c>
      <c r="E29" s="29">
        <f>E26+E27</f>
        <v/>
      </c>
      <c r="F29" s="29">
        <f>F26+F27</f>
        <v/>
      </c>
      <c r="G29" s="29">
        <f>G26+G27</f>
        <v/>
      </c>
      <c r="H29" s="29">
        <f>H26+H27</f>
        <v/>
      </c>
      <c r="I29" s="29">
        <f>I26+I27</f>
        <v/>
      </c>
      <c r="J29" s="29">
        <f>J26+J27</f>
        <v/>
      </c>
      <c r="K29" s="30">
        <f>IFERROR(H29/184,0)</f>
        <v/>
      </c>
      <c r="L29" s="30">
        <f>IFERROR(H29/(E29+F29),0)</f>
        <v/>
      </c>
      <c r="M29" s="30">
        <f>IFERROR((C29*184-H29)/(E29+F29),0)</f>
        <v/>
      </c>
      <c r="N29" s="30">
        <f>IFERROR((E29+F29)/C29,0)</f>
        <v/>
      </c>
      <c r="O29" s="30">
        <f>IFERROR((H29/(C29*184))*100,0)</f>
        <v/>
      </c>
      <c r="P29" s="30">
        <f>IFERROR((F29/(D29+B29))*100,0)</f>
        <v/>
      </c>
    </row>
  </sheetData>
  <mergeCells count="4">
    <mergeCell ref="A16:P16"/>
    <mergeCell ref="A1:P1"/>
    <mergeCell ref="A17:P17"/>
    <mergeCell ref="A2:P2"/>
  </mergeCells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tabColor rgb="007030A0"/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8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8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8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8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8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8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8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</cols>
  <sheetData>
    <row r="1">
      <c r="A1" s="31" t="inlineStr">
        <is>
          <t>JANUARY</t>
        </is>
      </c>
      <c r="H1" s="31" t="inlineStr">
        <is>
          <t>FEBRUARY</t>
        </is>
      </c>
      <c r="O1" s="31" t="inlineStr">
        <is>
          <t>MARCH</t>
        </is>
      </c>
      <c r="V1" s="31" t="inlineStr">
        <is>
          <t>APRIL</t>
        </is>
      </c>
      <c r="AC1" s="31" t="inlineStr">
        <is>
          <t>MAY</t>
        </is>
      </c>
      <c r="AJ1" s="31" t="inlineStr">
        <is>
          <t>JUNE</t>
        </is>
      </c>
      <c r="AQ1" s="31" t="inlineStr">
        <is>
          <t>JULY</t>
        </is>
      </c>
      <c r="AX1" s="31" t="inlineStr">
        <is>
          <t>AUGUST</t>
        </is>
      </c>
      <c r="BE1" s="31" t="inlineStr">
        <is>
          <t>SEPTEMBER</t>
        </is>
      </c>
      <c r="BL1" s="31" t="inlineStr">
        <is>
          <t>OCTOBER</t>
        </is>
      </c>
      <c r="BS1" s="31" t="inlineStr">
        <is>
          <t>NOVEMBER</t>
        </is>
      </c>
      <c r="BZ1" s="31" t="inlineStr">
        <is>
          <t>DECEMBER</t>
        </is>
      </c>
    </row>
    <row r="2">
      <c r="B2" s="32" t="inlineStr">
        <is>
          <t>both ins and non ins</t>
        </is>
      </c>
      <c r="D2" s="33" t="inlineStr">
        <is>
          <t>NON INS</t>
        </is>
      </c>
      <c r="F2" s="34" t="inlineStr">
        <is>
          <t>INS</t>
        </is>
      </c>
      <c r="I2" s="32" t="inlineStr">
        <is>
          <t>both ins and non ins</t>
        </is>
      </c>
      <c r="K2" s="33" t="inlineStr">
        <is>
          <t>NON INS</t>
        </is>
      </c>
      <c r="M2" s="34" t="inlineStr">
        <is>
          <t>INS</t>
        </is>
      </c>
      <c r="P2" s="32" t="inlineStr">
        <is>
          <t>both ins and non ins</t>
        </is>
      </c>
      <c r="R2" s="33" t="inlineStr">
        <is>
          <t>NON INS</t>
        </is>
      </c>
      <c r="T2" s="34" t="inlineStr">
        <is>
          <t>INS</t>
        </is>
      </c>
      <c r="W2" s="32" t="inlineStr">
        <is>
          <t>both ins and non ins</t>
        </is>
      </c>
      <c r="Y2" s="33" t="inlineStr">
        <is>
          <t>NON INS</t>
        </is>
      </c>
      <c r="AA2" s="34" t="inlineStr">
        <is>
          <t>INS</t>
        </is>
      </c>
      <c r="AD2" s="32" t="inlineStr">
        <is>
          <t>both ins and non ins</t>
        </is>
      </c>
      <c r="AF2" s="33" t="inlineStr">
        <is>
          <t>NON INS</t>
        </is>
      </c>
      <c r="AH2" s="34" t="inlineStr">
        <is>
          <t>INS</t>
        </is>
      </c>
      <c r="AK2" s="32" t="inlineStr">
        <is>
          <t>both ins and non ins</t>
        </is>
      </c>
      <c r="AM2" s="33" t="inlineStr">
        <is>
          <t>NON INS</t>
        </is>
      </c>
      <c r="AO2" s="34" t="inlineStr">
        <is>
          <t>INS</t>
        </is>
      </c>
      <c r="AR2" s="32" t="inlineStr">
        <is>
          <t>both ins and non ins</t>
        </is>
      </c>
      <c r="AT2" s="33" t="inlineStr">
        <is>
          <t>NON INS</t>
        </is>
      </c>
      <c r="AV2" s="34" t="inlineStr">
        <is>
          <t>INS</t>
        </is>
      </c>
      <c r="AY2" s="32" t="inlineStr">
        <is>
          <t>both ins and non ins</t>
        </is>
      </c>
      <c r="BA2" s="33" t="inlineStr">
        <is>
          <t>NON INS</t>
        </is>
      </c>
      <c r="BC2" s="34" t="inlineStr">
        <is>
          <t>INS</t>
        </is>
      </c>
      <c r="BF2" s="32" t="inlineStr">
        <is>
          <t>both ins and non ins</t>
        </is>
      </c>
      <c r="BH2" s="33" t="inlineStr">
        <is>
          <t>NON INS</t>
        </is>
      </c>
      <c r="BJ2" s="34" t="inlineStr">
        <is>
          <t>INS</t>
        </is>
      </c>
      <c r="BM2" s="32" t="inlineStr">
        <is>
          <t>both ins and non ins</t>
        </is>
      </c>
      <c r="BO2" s="33" t="inlineStr">
        <is>
          <t>NON INS</t>
        </is>
      </c>
      <c r="BQ2" s="34" t="inlineStr">
        <is>
          <t>INS</t>
        </is>
      </c>
      <c r="BT2" s="32" t="inlineStr">
        <is>
          <t>both ins and non ins</t>
        </is>
      </c>
      <c r="BV2" s="33" t="inlineStr">
        <is>
          <t>NON INS</t>
        </is>
      </c>
      <c r="BX2" s="34" t="inlineStr">
        <is>
          <t>INS</t>
        </is>
      </c>
      <c r="CA2" s="32" t="inlineStr">
        <is>
          <t>both ins and non ins</t>
        </is>
      </c>
      <c r="CC2" s="33" t="inlineStr">
        <is>
          <t>NON INS</t>
        </is>
      </c>
      <c r="CE2" s="34" t="inlineStr">
        <is>
          <t>INS</t>
        </is>
      </c>
    </row>
    <row r="3">
      <c r="A3" s="26" t="inlineStr">
        <is>
          <t>Age Group</t>
        </is>
      </c>
      <c r="B3" s="26" t="inlineStr">
        <is>
          <t>Male</t>
        </is>
      </c>
      <c r="C3" s="26" t="inlineStr">
        <is>
          <t>FEMALE</t>
        </is>
      </c>
      <c r="D3" s="26" t="inlineStr">
        <is>
          <t>MALE</t>
        </is>
      </c>
      <c r="E3" s="26" t="inlineStr">
        <is>
          <t>FRMALE</t>
        </is>
      </c>
      <c r="F3" s="26" t="inlineStr">
        <is>
          <t>MALE</t>
        </is>
      </c>
      <c r="G3" s="26" t="inlineStr">
        <is>
          <t>FRMALE</t>
        </is>
      </c>
      <c r="H3" s="26" t="inlineStr">
        <is>
          <t>Age Group</t>
        </is>
      </c>
      <c r="I3" s="26" t="inlineStr">
        <is>
          <t>Male</t>
        </is>
      </c>
      <c r="J3" s="26" t="inlineStr">
        <is>
          <t>FEMALE</t>
        </is>
      </c>
      <c r="K3" s="26" t="inlineStr">
        <is>
          <t>MALE</t>
        </is>
      </c>
      <c r="L3" s="26" t="inlineStr">
        <is>
          <t>FRMALE</t>
        </is>
      </c>
      <c r="M3" s="26" t="inlineStr">
        <is>
          <t>MALE</t>
        </is>
      </c>
      <c r="N3" s="26" t="inlineStr">
        <is>
          <t>FRMALE</t>
        </is>
      </c>
      <c r="O3" s="26" t="inlineStr">
        <is>
          <t>Age Group</t>
        </is>
      </c>
      <c r="P3" s="26" t="inlineStr">
        <is>
          <t>Male</t>
        </is>
      </c>
      <c r="Q3" s="26" t="inlineStr">
        <is>
          <t>FEMALE</t>
        </is>
      </c>
      <c r="R3" s="26" t="inlineStr">
        <is>
          <t>MALE</t>
        </is>
      </c>
      <c r="S3" s="26" t="inlineStr">
        <is>
          <t>FRMALE</t>
        </is>
      </c>
      <c r="T3" s="26" t="inlineStr">
        <is>
          <t>MALE</t>
        </is>
      </c>
      <c r="U3" s="26" t="inlineStr">
        <is>
          <t>FRMALE</t>
        </is>
      </c>
      <c r="V3" s="26" t="inlineStr">
        <is>
          <t>Age Group</t>
        </is>
      </c>
      <c r="W3" s="26" t="inlineStr">
        <is>
          <t>Male</t>
        </is>
      </c>
      <c r="X3" s="26" t="inlineStr">
        <is>
          <t>FEMALE</t>
        </is>
      </c>
      <c r="Y3" s="26" t="inlineStr">
        <is>
          <t>MALE</t>
        </is>
      </c>
      <c r="Z3" s="26" t="inlineStr">
        <is>
          <t>FRMALE</t>
        </is>
      </c>
      <c r="AA3" s="26" t="inlineStr">
        <is>
          <t>MALE</t>
        </is>
      </c>
      <c r="AB3" s="26" t="inlineStr">
        <is>
          <t>FRMALE</t>
        </is>
      </c>
      <c r="AC3" s="26" t="inlineStr">
        <is>
          <t>Age Group</t>
        </is>
      </c>
      <c r="AD3" s="26" t="inlineStr">
        <is>
          <t>Male</t>
        </is>
      </c>
      <c r="AE3" s="26" t="inlineStr">
        <is>
          <t>FEMALE</t>
        </is>
      </c>
      <c r="AF3" s="26" t="inlineStr">
        <is>
          <t>MALE</t>
        </is>
      </c>
      <c r="AG3" s="26" t="inlineStr">
        <is>
          <t>FRMALE</t>
        </is>
      </c>
      <c r="AH3" s="26" t="inlineStr">
        <is>
          <t>MALE</t>
        </is>
      </c>
      <c r="AI3" s="26" t="inlineStr">
        <is>
          <t>FRMALE</t>
        </is>
      </c>
      <c r="AJ3" s="26" t="inlineStr">
        <is>
          <t>Age Group</t>
        </is>
      </c>
      <c r="AK3" s="26" t="inlineStr">
        <is>
          <t>Male</t>
        </is>
      </c>
      <c r="AL3" s="26" t="inlineStr">
        <is>
          <t>FEMALE</t>
        </is>
      </c>
      <c r="AM3" s="26" t="inlineStr">
        <is>
          <t>MALE</t>
        </is>
      </c>
      <c r="AN3" s="26" t="inlineStr">
        <is>
          <t>FRMALE</t>
        </is>
      </c>
      <c r="AO3" s="26" t="inlineStr">
        <is>
          <t>MALE</t>
        </is>
      </c>
      <c r="AP3" s="26" t="inlineStr">
        <is>
          <t>FRMALE</t>
        </is>
      </c>
      <c r="AQ3" s="26" t="inlineStr">
        <is>
          <t>Age Group</t>
        </is>
      </c>
      <c r="AR3" s="26" t="inlineStr">
        <is>
          <t>Male</t>
        </is>
      </c>
      <c r="AS3" s="26" t="inlineStr">
        <is>
          <t>FEMALE</t>
        </is>
      </c>
      <c r="AT3" s="26" t="inlineStr">
        <is>
          <t>MALE</t>
        </is>
      </c>
      <c r="AU3" s="26" t="inlineStr">
        <is>
          <t>FRMALE</t>
        </is>
      </c>
      <c r="AV3" s="26" t="inlineStr">
        <is>
          <t>MALE</t>
        </is>
      </c>
      <c r="AW3" s="26" t="inlineStr">
        <is>
          <t>FRMALE</t>
        </is>
      </c>
      <c r="AX3" s="26" t="inlineStr">
        <is>
          <t>Age Group</t>
        </is>
      </c>
      <c r="AY3" s="26" t="inlineStr">
        <is>
          <t>Male</t>
        </is>
      </c>
      <c r="AZ3" s="26" t="inlineStr">
        <is>
          <t>FEMALE</t>
        </is>
      </c>
      <c r="BA3" s="26" t="inlineStr">
        <is>
          <t>MALE</t>
        </is>
      </c>
      <c r="BB3" s="26" t="inlineStr">
        <is>
          <t>FRMALE</t>
        </is>
      </c>
      <c r="BC3" s="26" t="inlineStr">
        <is>
          <t>MALE</t>
        </is>
      </c>
      <c r="BD3" s="26" t="inlineStr">
        <is>
          <t>FRMALE</t>
        </is>
      </c>
      <c r="BE3" s="26" t="inlineStr">
        <is>
          <t>Age Group</t>
        </is>
      </c>
      <c r="BF3" s="26" t="inlineStr">
        <is>
          <t>Male</t>
        </is>
      </c>
      <c r="BG3" s="26" t="inlineStr">
        <is>
          <t>FEMALE</t>
        </is>
      </c>
      <c r="BH3" s="26" t="inlineStr">
        <is>
          <t>MALE</t>
        </is>
      </c>
      <c r="BI3" s="26" t="inlineStr">
        <is>
          <t>FRMALE</t>
        </is>
      </c>
      <c r="BJ3" s="26" t="inlineStr">
        <is>
          <t>MALE</t>
        </is>
      </c>
      <c r="BK3" s="26" t="inlineStr">
        <is>
          <t>FRMALE</t>
        </is>
      </c>
      <c r="BL3" s="26" t="inlineStr">
        <is>
          <t>Age Group</t>
        </is>
      </c>
      <c r="BM3" s="26" t="inlineStr">
        <is>
          <t>Male</t>
        </is>
      </c>
      <c r="BN3" s="26" t="inlineStr">
        <is>
          <t>FEMALE</t>
        </is>
      </c>
      <c r="BO3" s="26" t="inlineStr">
        <is>
          <t>MALE</t>
        </is>
      </c>
      <c r="BP3" s="26" t="inlineStr">
        <is>
          <t>FRMALE</t>
        </is>
      </c>
      <c r="BQ3" s="26" t="inlineStr">
        <is>
          <t>MALE</t>
        </is>
      </c>
      <c r="BR3" s="26" t="inlineStr">
        <is>
          <t>FRMALE</t>
        </is>
      </c>
      <c r="BS3" s="26" t="inlineStr">
        <is>
          <t>Age Group</t>
        </is>
      </c>
      <c r="BT3" s="26" t="inlineStr">
        <is>
          <t>Male</t>
        </is>
      </c>
      <c r="BU3" s="26" t="inlineStr">
        <is>
          <t>FEMALE</t>
        </is>
      </c>
      <c r="BV3" s="26" t="inlineStr">
        <is>
          <t>MALE</t>
        </is>
      </c>
      <c r="BW3" s="26" t="inlineStr">
        <is>
          <t>FRMALE</t>
        </is>
      </c>
      <c r="BX3" s="26" t="inlineStr">
        <is>
          <t>MALE</t>
        </is>
      </c>
      <c r="BY3" s="26" t="inlineStr">
        <is>
          <t>FRMALE</t>
        </is>
      </c>
      <c r="BZ3" s="26" t="inlineStr">
        <is>
          <t>Age Group</t>
        </is>
      </c>
      <c r="CA3" s="26" t="inlineStr">
        <is>
          <t>Male</t>
        </is>
      </c>
      <c r="CB3" s="26" t="inlineStr">
        <is>
          <t>FEMALE</t>
        </is>
      </c>
      <c r="CC3" s="26" t="inlineStr">
        <is>
          <t>MALE</t>
        </is>
      </c>
      <c r="CD3" s="26" t="inlineStr">
        <is>
          <t>FRMALE</t>
        </is>
      </c>
      <c r="CE3" s="26" t="inlineStr">
        <is>
          <t>MALE</t>
        </is>
      </c>
      <c r="CF3" s="26" t="inlineStr">
        <is>
          <t>FRMALE</t>
        </is>
      </c>
    </row>
    <row r="4">
      <c r="A4" s="12" t="inlineStr">
        <is>
          <t>0-28</t>
        </is>
      </c>
      <c r="B4" s="12">
        <f>COUNTIFS(tblAdmissions[Month],1,tblAdmissions[AgeUnit],"Days",tblAdmissions[Age],"&gt;="&amp;0,tblAdmissions[Age],"&lt;="&amp;28,tblAdmissions[Sex],"M")</f>
        <v/>
      </c>
      <c r="C4" s="12">
        <f>COUNTIFS(tblAdmissions[Month],1,tblAdmissions[AgeUnit],"Days",tblAdmissions[Age],"&gt;="&amp;0,tblAdmissions[Age],"&lt;="&amp;28,tblAdmissions[Sex],"F")</f>
        <v/>
      </c>
      <c r="D4" s="12">
        <f>COUNTIFS(tblAdmissions[Month],1,tblAdmissions[AgeUnit],"Days",tblAdmissions[Age],"&gt;="&amp;0,tblAdmissions[Age],"&lt;="&amp;28,tblAdmissions[Sex],"M",tblAdmissions[NHIS],"Non-Insured")</f>
        <v/>
      </c>
      <c r="E4" s="12">
        <f>COUNTIFS(tblAdmissions[Month],1,tblAdmissions[AgeUnit],"Days",tblAdmissions[Age],"&gt;="&amp;0,tblAdmissions[Age],"&lt;="&amp;28,tblAdmissions[Sex],"F",tblAdmissions[NHIS],"Non-Insured")</f>
        <v/>
      </c>
      <c r="F4" s="12">
        <f>COUNTIFS(tblAdmissions[Month],1,tblAdmissions[AgeUnit],"Days",tblAdmissions[Age],"&gt;="&amp;0,tblAdmissions[Age],"&lt;="&amp;28,tblAdmissions[Sex],"M",tblAdmissions[NHIS],"Insured")</f>
        <v/>
      </c>
      <c r="G4" s="12">
        <f>COUNTIFS(tblAdmissions[Month],1,tblAdmissions[AgeUnit],"Days",tblAdmissions[Age],"&gt;="&amp;0,tblAdmissions[Age],"&lt;="&amp;28,tblAdmissions[Sex],"F",tblAdmissions[NHIS],"Insured")</f>
        <v/>
      </c>
      <c r="H4" s="12" t="inlineStr">
        <is>
          <t>0-28</t>
        </is>
      </c>
      <c r="I4" s="12">
        <f>COUNTIFS(tblAdmissions[Month],2,tblAdmissions[AgeUnit],"Days",tblAdmissions[Age],"&gt;="&amp;0,tblAdmissions[Age],"&lt;="&amp;28,tblAdmissions[Sex],"M")</f>
        <v/>
      </c>
      <c r="J4" s="12">
        <f>COUNTIFS(tblAdmissions[Month],2,tblAdmissions[AgeUnit],"Days",tblAdmissions[Age],"&gt;="&amp;0,tblAdmissions[Age],"&lt;="&amp;28,tblAdmissions[Sex],"F")</f>
        <v/>
      </c>
      <c r="K4" s="12">
        <f>COUNTIFS(tblAdmissions[Month],2,tblAdmissions[AgeUnit],"Days",tblAdmissions[Age],"&gt;="&amp;0,tblAdmissions[Age],"&lt;="&amp;28,tblAdmissions[Sex],"M",tblAdmissions[NHIS],"Non-Insured")</f>
        <v/>
      </c>
      <c r="L4" s="12">
        <f>COUNTIFS(tblAdmissions[Month],2,tblAdmissions[AgeUnit],"Days",tblAdmissions[Age],"&gt;="&amp;0,tblAdmissions[Age],"&lt;="&amp;28,tblAdmissions[Sex],"F",tblAdmissions[NHIS],"Non-Insured")</f>
        <v/>
      </c>
      <c r="M4" s="12">
        <f>COUNTIFS(tblAdmissions[Month],2,tblAdmissions[AgeUnit],"Days",tblAdmissions[Age],"&gt;="&amp;0,tblAdmissions[Age],"&lt;="&amp;28,tblAdmissions[Sex],"M",tblAdmissions[NHIS],"Insured")</f>
        <v/>
      </c>
      <c r="N4" s="12">
        <f>COUNTIFS(tblAdmissions[Month],2,tblAdmissions[AgeUnit],"Days",tblAdmissions[Age],"&gt;="&amp;0,tblAdmissions[Age],"&lt;="&amp;28,tblAdmissions[Sex],"F",tblAdmissions[NHIS],"Insured")</f>
        <v/>
      </c>
      <c r="O4" s="12" t="inlineStr">
        <is>
          <t>0-28</t>
        </is>
      </c>
      <c r="P4" s="12">
        <f>COUNTIFS(tblAdmissions[Month],3,tblAdmissions[AgeUnit],"Days",tblAdmissions[Age],"&gt;="&amp;0,tblAdmissions[Age],"&lt;="&amp;28,tblAdmissions[Sex],"M")</f>
        <v/>
      </c>
      <c r="Q4" s="12">
        <f>COUNTIFS(tblAdmissions[Month],3,tblAdmissions[AgeUnit],"Days",tblAdmissions[Age],"&gt;="&amp;0,tblAdmissions[Age],"&lt;="&amp;28,tblAdmissions[Sex],"F")</f>
        <v/>
      </c>
      <c r="R4" s="12">
        <f>COUNTIFS(tblAdmissions[Month],3,tblAdmissions[AgeUnit],"Days",tblAdmissions[Age],"&gt;="&amp;0,tblAdmissions[Age],"&lt;="&amp;28,tblAdmissions[Sex],"M",tblAdmissions[NHIS],"Non-Insured")</f>
        <v/>
      </c>
      <c r="S4" s="12">
        <f>COUNTIFS(tblAdmissions[Month],3,tblAdmissions[AgeUnit],"Days",tblAdmissions[Age],"&gt;="&amp;0,tblAdmissions[Age],"&lt;="&amp;28,tblAdmissions[Sex],"F",tblAdmissions[NHIS],"Non-Insured")</f>
        <v/>
      </c>
      <c r="T4" s="12">
        <f>COUNTIFS(tblAdmissions[Month],3,tblAdmissions[AgeUnit],"Days",tblAdmissions[Age],"&gt;="&amp;0,tblAdmissions[Age],"&lt;="&amp;28,tblAdmissions[Sex],"M",tblAdmissions[NHIS],"Insured")</f>
        <v/>
      </c>
      <c r="U4" s="12">
        <f>COUNTIFS(tblAdmissions[Month],3,tblAdmissions[AgeUnit],"Days",tblAdmissions[Age],"&gt;="&amp;0,tblAdmissions[Age],"&lt;="&amp;28,tblAdmissions[Sex],"F",tblAdmissions[NHIS],"Insured")</f>
        <v/>
      </c>
      <c r="V4" s="12" t="inlineStr">
        <is>
          <t>0-28</t>
        </is>
      </c>
      <c r="W4" s="12">
        <f>COUNTIFS(tblAdmissions[Month],4,tblAdmissions[AgeUnit],"Days",tblAdmissions[Age],"&gt;="&amp;0,tblAdmissions[Age],"&lt;="&amp;28,tblAdmissions[Sex],"M")</f>
        <v/>
      </c>
      <c r="X4" s="12">
        <f>COUNTIFS(tblAdmissions[Month],4,tblAdmissions[AgeUnit],"Days",tblAdmissions[Age],"&gt;="&amp;0,tblAdmissions[Age],"&lt;="&amp;28,tblAdmissions[Sex],"F")</f>
        <v/>
      </c>
      <c r="Y4" s="12">
        <f>COUNTIFS(tblAdmissions[Month],4,tblAdmissions[AgeUnit],"Days",tblAdmissions[Age],"&gt;="&amp;0,tblAdmissions[Age],"&lt;="&amp;28,tblAdmissions[Sex],"M",tblAdmissions[NHIS],"Non-Insured")</f>
        <v/>
      </c>
      <c r="Z4" s="12">
        <f>COUNTIFS(tblAdmissions[Month],4,tblAdmissions[AgeUnit],"Days",tblAdmissions[Age],"&gt;="&amp;0,tblAdmissions[Age],"&lt;="&amp;28,tblAdmissions[Sex],"F",tblAdmissions[NHIS],"Non-Insured")</f>
        <v/>
      </c>
      <c r="AA4" s="12">
        <f>COUNTIFS(tblAdmissions[Month],4,tblAdmissions[AgeUnit],"Days",tblAdmissions[Age],"&gt;="&amp;0,tblAdmissions[Age],"&lt;="&amp;28,tblAdmissions[Sex],"M",tblAdmissions[NHIS],"Insured")</f>
        <v/>
      </c>
      <c r="AB4" s="12">
        <f>COUNTIFS(tblAdmissions[Month],4,tblAdmissions[AgeUnit],"Days",tblAdmissions[Age],"&gt;="&amp;0,tblAdmissions[Age],"&lt;="&amp;28,tblAdmissions[Sex],"F",tblAdmissions[NHIS],"Insured")</f>
        <v/>
      </c>
      <c r="AC4" s="12" t="inlineStr">
        <is>
          <t>0-28</t>
        </is>
      </c>
      <c r="AD4" s="12">
        <f>COUNTIFS(tblAdmissions[Month],5,tblAdmissions[AgeUnit],"Days",tblAdmissions[Age],"&gt;="&amp;0,tblAdmissions[Age],"&lt;="&amp;28,tblAdmissions[Sex],"M")</f>
        <v/>
      </c>
      <c r="AE4" s="12">
        <f>COUNTIFS(tblAdmissions[Month],5,tblAdmissions[AgeUnit],"Days",tblAdmissions[Age],"&gt;="&amp;0,tblAdmissions[Age],"&lt;="&amp;28,tblAdmissions[Sex],"F")</f>
        <v/>
      </c>
      <c r="AF4" s="12">
        <f>COUNTIFS(tblAdmissions[Month],5,tblAdmissions[AgeUnit],"Days",tblAdmissions[Age],"&gt;="&amp;0,tblAdmissions[Age],"&lt;="&amp;28,tblAdmissions[Sex],"M",tblAdmissions[NHIS],"Non-Insured")</f>
        <v/>
      </c>
      <c r="AG4" s="12">
        <f>COUNTIFS(tblAdmissions[Month],5,tblAdmissions[AgeUnit],"Days",tblAdmissions[Age],"&gt;="&amp;0,tblAdmissions[Age],"&lt;="&amp;28,tblAdmissions[Sex],"F",tblAdmissions[NHIS],"Non-Insured")</f>
        <v/>
      </c>
      <c r="AH4" s="12">
        <f>COUNTIFS(tblAdmissions[Month],5,tblAdmissions[AgeUnit],"Days",tblAdmissions[Age],"&gt;="&amp;0,tblAdmissions[Age],"&lt;="&amp;28,tblAdmissions[Sex],"M",tblAdmissions[NHIS],"Insured")</f>
        <v/>
      </c>
      <c r="AI4" s="12">
        <f>COUNTIFS(tblAdmissions[Month],5,tblAdmissions[AgeUnit],"Days",tblAdmissions[Age],"&gt;="&amp;0,tblAdmissions[Age],"&lt;="&amp;28,tblAdmissions[Sex],"F",tblAdmissions[NHIS],"Insured")</f>
        <v/>
      </c>
      <c r="AJ4" s="12" t="inlineStr">
        <is>
          <t>0-28</t>
        </is>
      </c>
      <c r="AK4" s="12">
        <f>COUNTIFS(tblAdmissions[Month],6,tblAdmissions[AgeUnit],"Days",tblAdmissions[Age],"&gt;="&amp;0,tblAdmissions[Age],"&lt;="&amp;28,tblAdmissions[Sex],"M")</f>
        <v/>
      </c>
      <c r="AL4" s="12">
        <f>COUNTIFS(tblAdmissions[Month],6,tblAdmissions[AgeUnit],"Days",tblAdmissions[Age],"&gt;="&amp;0,tblAdmissions[Age],"&lt;="&amp;28,tblAdmissions[Sex],"F")</f>
        <v/>
      </c>
      <c r="AM4" s="12">
        <f>COUNTIFS(tblAdmissions[Month],6,tblAdmissions[AgeUnit],"Days",tblAdmissions[Age],"&gt;="&amp;0,tblAdmissions[Age],"&lt;="&amp;28,tblAdmissions[Sex],"M",tblAdmissions[NHIS],"Non-Insured")</f>
        <v/>
      </c>
      <c r="AN4" s="12">
        <f>COUNTIFS(tblAdmissions[Month],6,tblAdmissions[AgeUnit],"Days",tblAdmissions[Age],"&gt;="&amp;0,tblAdmissions[Age],"&lt;="&amp;28,tblAdmissions[Sex],"F",tblAdmissions[NHIS],"Non-Insured")</f>
        <v/>
      </c>
      <c r="AO4" s="12">
        <f>COUNTIFS(tblAdmissions[Month],6,tblAdmissions[AgeUnit],"Days",tblAdmissions[Age],"&gt;="&amp;0,tblAdmissions[Age],"&lt;="&amp;28,tblAdmissions[Sex],"M",tblAdmissions[NHIS],"Insured")</f>
        <v/>
      </c>
      <c r="AP4" s="12">
        <f>COUNTIFS(tblAdmissions[Month],6,tblAdmissions[AgeUnit],"Days",tblAdmissions[Age],"&gt;="&amp;0,tblAdmissions[Age],"&lt;="&amp;28,tblAdmissions[Sex],"F",tblAdmissions[NHIS],"Insured")</f>
        <v/>
      </c>
      <c r="AQ4" s="12" t="inlineStr">
        <is>
          <t>0-28</t>
        </is>
      </c>
      <c r="AR4" s="12">
        <f>COUNTIFS(tblAdmissions[Month],7,tblAdmissions[AgeUnit],"Days",tblAdmissions[Age],"&gt;="&amp;0,tblAdmissions[Age],"&lt;="&amp;28,tblAdmissions[Sex],"M")</f>
        <v/>
      </c>
      <c r="AS4" s="12">
        <f>COUNTIFS(tblAdmissions[Month],7,tblAdmissions[AgeUnit],"Days",tblAdmissions[Age],"&gt;="&amp;0,tblAdmissions[Age],"&lt;="&amp;28,tblAdmissions[Sex],"F")</f>
        <v/>
      </c>
      <c r="AT4" s="12">
        <f>COUNTIFS(tblAdmissions[Month],7,tblAdmissions[AgeUnit],"Days",tblAdmissions[Age],"&gt;="&amp;0,tblAdmissions[Age],"&lt;="&amp;28,tblAdmissions[Sex],"M",tblAdmissions[NHIS],"Non-Insured")</f>
        <v/>
      </c>
      <c r="AU4" s="12">
        <f>COUNTIFS(tblAdmissions[Month],7,tblAdmissions[AgeUnit],"Days",tblAdmissions[Age],"&gt;="&amp;0,tblAdmissions[Age],"&lt;="&amp;28,tblAdmissions[Sex],"F",tblAdmissions[NHIS],"Non-Insured")</f>
        <v/>
      </c>
      <c r="AV4" s="12">
        <f>COUNTIFS(tblAdmissions[Month],7,tblAdmissions[AgeUnit],"Days",tblAdmissions[Age],"&gt;="&amp;0,tblAdmissions[Age],"&lt;="&amp;28,tblAdmissions[Sex],"M",tblAdmissions[NHIS],"Insured")</f>
        <v/>
      </c>
      <c r="AW4" s="12">
        <f>COUNTIFS(tblAdmissions[Month],7,tblAdmissions[AgeUnit],"Days",tblAdmissions[Age],"&gt;="&amp;0,tblAdmissions[Age],"&lt;="&amp;28,tblAdmissions[Sex],"F",tblAdmissions[NHIS],"Insured")</f>
        <v/>
      </c>
      <c r="AX4" s="12" t="inlineStr">
        <is>
          <t>0-28</t>
        </is>
      </c>
      <c r="AY4" s="12">
        <f>COUNTIFS(tblAdmissions[Month],8,tblAdmissions[AgeUnit],"Days",tblAdmissions[Age],"&gt;="&amp;0,tblAdmissions[Age],"&lt;="&amp;28,tblAdmissions[Sex],"M")</f>
        <v/>
      </c>
      <c r="AZ4" s="12">
        <f>COUNTIFS(tblAdmissions[Month],8,tblAdmissions[AgeUnit],"Days",tblAdmissions[Age],"&gt;="&amp;0,tblAdmissions[Age],"&lt;="&amp;28,tblAdmissions[Sex],"F")</f>
        <v/>
      </c>
      <c r="BA4" s="12">
        <f>COUNTIFS(tblAdmissions[Month],8,tblAdmissions[AgeUnit],"Days",tblAdmissions[Age],"&gt;="&amp;0,tblAdmissions[Age],"&lt;="&amp;28,tblAdmissions[Sex],"M",tblAdmissions[NHIS],"Non-Insured")</f>
        <v/>
      </c>
      <c r="BB4" s="12">
        <f>COUNTIFS(tblAdmissions[Month],8,tblAdmissions[AgeUnit],"Days",tblAdmissions[Age],"&gt;="&amp;0,tblAdmissions[Age],"&lt;="&amp;28,tblAdmissions[Sex],"F",tblAdmissions[NHIS],"Non-Insured")</f>
        <v/>
      </c>
      <c r="BC4" s="12">
        <f>COUNTIFS(tblAdmissions[Month],8,tblAdmissions[AgeUnit],"Days",tblAdmissions[Age],"&gt;="&amp;0,tblAdmissions[Age],"&lt;="&amp;28,tblAdmissions[Sex],"M",tblAdmissions[NHIS],"Insured")</f>
        <v/>
      </c>
      <c r="BD4" s="12">
        <f>COUNTIFS(tblAdmissions[Month],8,tblAdmissions[AgeUnit],"Days",tblAdmissions[Age],"&gt;="&amp;0,tblAdmissions[Age],"&lt;="&amp;28,tblAdmissions[Sex],"F",tblAdmissions[NHIS],"Insured")</f>
        <v/>
      </c>
      <c r="BE4" s="12" t="inlineStr">
        <is>
          <t>0-28</t>
        </is>
      </c>
      <c r="BF4" s="12">
        <f>COUNTIFS(tblAdmissions[Month],9,tblAdmissions[AgeUnit],"Days",tblAdmissions[Age],"&gt;="&amp;0,tblAdmissions[Age],"&lt;="&amp;28,tblAdmissions[Sex],"M")</f>
        <v/>
      </c>
      <c r="BG4" s="12">
        <f>COUNTIFS(tblAdmissions[Month],9,tblAdmissions[AgeUnit],"Days",tblAdmissions[Age],"&gt;="&amp;0,tblAdmissions[Age],"&lt;="&amp;28,tblAdmissions[Sex],"F")</f>
        <v/>
      </c>
      <c r="BH4" s="12">
        <f>COUNTIFS(tblAdmissions[Month],9,tblAdmissions[AgeUnit],"Days",tblAdmissions[Age],"&gt;="&amp;0,tblAdmissions[Age],"&lt;="&amp;28,tblAdmissions[Sex],"M",tblAdmissions[NHIS],"Non-Insured")</f>
        <v/>
      </c>
      <c r="BI4" s="12">
        <f>COUNTIFS(tblAdmissions[Month],9,tblAdmissions[AgeUnit],"Days",tblAdmissions[Age],"&gt;="&amp;0,tblAdmissions[Age],"&lt;="&amp;28,tblAdmissions[Sex],"F",tblAdmissions[NHIS],"Non-Insured")</f>
        <v/>
      </c>
      <c r="BJ4" s="12">
        <f>COUNTIFS(tblAdmissions[Month],9,tblAdmissions[AgeUnit],"Days",tblAdmissions[Age],"&gt;="&amp;0,tblAdmissions[Age],"&lt;="&amp;28,tblAdmissions[Sex],"M",tblAdmissions[NHIS],"Insured")</f>
        <v/>
      </c>
      <c r="BK4" s="12">
        <f>COUNTIFS(tblAdmissions[Month],9,tblAdmissions[AgeUnit],"Days",tblAdmissions[Age],"&gt;="&amp;0,tblAdmissions[Age],"&lt;="&amp;28,tblAdmissions[Sex],"F",tblAdmissions[NHIS],"Insured")</f>
        <v/>
      </c>
      <c r="BL4" s="12" t="inlineStr">
        <is>
          <t>0-28</t>
        </is>
      </c>
      <c r="BM4" s="12">
        <f>COUNTIFS(tblAdmissions[Month],10,tblAdmissions[AgeUnit],"Days",tblAdmissions[Age],"&gt;="&amp;0,tblAdmissions[Age],"&lt;="&amp;28,tblAdmissions[Sex],"M")</f>
        <v/>
      </c>
      <c r="BN4" s="12">
        <f>COUNTIFS(tblAdmissions[Month],10,tblAdmissions[AgeUnit],"Days",tblAdmissions[Age],"&gt;="&amp;0,tblAdmissions[Age],"&lt;="&amp;28,tblAdmissions[Sex],"F")</f>
        <v/>
      </c>
      <c r="BO4" s="12">
        <f>COUNTIFS(tblAdmissions[Month],10,tblAdmissions[AgeUnit],"Days",tblAdmissions[Age],"&gt;="&amp;0,tblAdmissions[Age],"&lt;="&amp;28,tblAdmissions[Sex],"M",tblAdmissions[NHIS],"Non-Insured")</f>
        <v/>
      </c>
      <c r="BP4" s="12">
        <f>COUNTIFS(tblAdmissions[Month],10,tblAdmissions[AgeUnit],"Days",tblAdmissions[Age],"&gt;="&amp;0,tblAdmissions[Age],"&lt;="&amp;28,tblAdmissions[Sex],"F",tblAdmissions[NHIS],"Non-Insured")</f>
        <v/>
      </c>
      <c r="BQ4" s="12">
        <f>COUNTIFS(tblAdmissions[Month],10,tblAdmissions[AgeUnit],"Days",tblAdmissions[Age],"&gt;="&amp;0,tblAdmissions[Age],"&lt;="&amp;28,tblAdmissions[Sex],"M",tblAdmissions[NHIS],"Insured")</f>
        <v/>
      </c>
      <c r="BR4" s="12">
        <f>COUNTIFS(tblAdmissions[Month],10,tblAdmissions[AgeUnit],"Days",tblAdmissions[Age],"&gt;="&amp;0,tblAdmissions[Age],"&lt;="&amp;28,tblAdmissions[Sex],"F",tblAdmissions[NHIS],"Insured")</f>
        <v/>
      </c>
      <c r="BS4" s="12" t="inlineStr">
        <is>
          <t>0-28</t>
        </is>
      </c>
      <c r="BT4" s="12">
        <f>COUNTIFS(tblAdmissions[Month],11,tblAdmissions[AgeUnit],"Days",tblAdmissions[Age],"&gt;="&amp;0,tblAdmissions[Age],"&lt;="&amp;28,tblAdmissions[Sex],"M")</f>
        <v/>
      </c>
      <c r="BU4" s="12">
        <f>COUNTIFS(tblAdmissions[Month],11,tblAdmissions[AgeUnit],"Days",tblAdmissions[Age],"&gt;="&amp;0,tblAdmissions[Age],"&lt;="&amp;28,tblAdmissions[Sex],"F")</f>
        <v/>
      </c>
      <c r="BV4" s="12">
        <f>COUNTIFS(tblAdmissions[Month],11,tblAdmissions[AgeUnit],"Days",tblAdmissions[Age],"&gt;="&amp;0,tblAdmissions[Age],"&lt;="&amp;28,tblAdmissions[Sex],"M",tblAdmissions[NHIS],"Non-Insured")</f>
        <v/>
      </c>
      <c r="BW4" s="12">
        <f>COUNTIFS(tblAdmissions[Month],11,tblAdmissions[AgeUnit],"Days",tblAdmissions[Age],"&gt;="&amp;0,tblAdmissions[Age],"&lt;="&amp;28,tblAdmissions[Sex],"F",tblAdmissions[NHIS],"Non-Insured")</f>
        <v/>
      </c>
      <c r="BX4" s="12">
        <f>COUNTIFS(tblAdmissions[Month],11,tblAdmissions[AgeUnit],"Days",tblAdmissions[Age],"&gt;="&amp;0,tblAdmissions[Age],"&lt;="&amp;28,tblAdmissions[Sex],"M",tblAdmissions[NHIS],"Insured")</f>
        <v/>
      </c>
      <c r="BY4" s="12">
        <f>COUNTIFS(tblAdmissions[Month],11,tblAdmissions[AgeUnit],"Days",tblAdmissions[Age],"&gt;="&amp;0,tblAdmissions[Age],"&lt;="&amp;28,tblAdmissions[Sex],"F",tblAdmissions[NHIS],"Insured")</f>
        <v/>
      </c>
      <c r="BZ4" s="12" t="inlineStr">
        <is>
          <t>0-28</t>
        </is>
      </c>
      <c r="CA4" s="12">
        <f>COUNTIFS(tblAdmissions[Month],12,tblAdmissions[AgeUnit],"Days",tblAdmissions[Age],"&gt;="&amp;0,tblAdmissions[Age],"&lt;="&amp;28,tblAdmissions[Sex],"M")</f>
        <v/>
      </c>
      <c r="CB4" s="12">
        <f>COUNTIFS(tblAdmissions[Month],12,tblAdmissions[AgeUnit],"Days",tblAdmissions[Age],"&gt;="&amp;0,tblAdmissions[Age],"&lt;="&amp;28,tblAdmissions[Sex],"F")</f>
        <v/>
      </c>
      <c r="CC4" s="12">
        <f>COUNTIFS(tblAdmissions[Month],12,tblAdmissions[AgeUnit],"Days",tblAdmissions[Age],"&gt;="&amp;0,tblAdmissions[Age],"&lt;="&amp;28,tblAdmissions[Sex],"M",tblAdmissions[NHIS],"Non-Insured")</f>
        <v/>
      </c>
      <c r="CD4" s="12">
        <f>COUNTIFS(tblAdmissions[Month],12,tblAdmissions[AgeUnit],"Days",tblAdmissions[Age],"&gt;="&amp;0,tblAdmissions[Age],"&lt;="&amp;28,tblAdmissions[Sex],"F",tblAdmissions[NHIS],"Non-Insured")</f>
        <v/>
      </c>
      <c r="CE4" s="12">
        <f>COUNTIFS(tblAdmissions[Month],12,tblAdmissions[AgeUnit],"Days",tblAdmissions[Age],"&gt;="&amp;0,tblAdmissions[Age],"&lt;="&amp;28,tblAdmissions[Sex],"M",tblAdmissions[NHIS],"Insured")</f>
        <v/>
      </c>
      <c r="CF4" s="12">
        <f>COUNTIFS(tblAdmissions[Month],12,tblAdmissions[AgeUnit],"Days",tblAdmissions[Age],"&gt;="&amp;0,tblAdmissions[Age],"&lt;="&amp;28,tblAdmissions[Sex],"F",tblAdmissions[NHIS],"Insured")</f>
        <v/>
      </c>
    </row>
    <row r="5">
      <c r="A5" s="12" t="inlineStr">
        <is>
          <t>1-11</t>
        </is>
      </c>
      <c r="B5" s="12">
        <f>COUNTIFS(tblAdmissions[Month],1,tblAdmissions[AgeUnit],"Months",tblAdmissions[Age],"&gt;="&amp;1,tblAdmissions[Age],"&lt;="&amp;11,tblAdmissions[Sex],"M")</f>
        <v/>
      </c>
      <c r="C5" s="12">
        <f>COUNTIFS(tblAdmissions[Month],1,tblAdmissions[AgeUnit],"Months",tblAdmissions[Age],"&gt;="&amp;1,tblAdmissions[Age],"&lt;="&amp;11,tblAdmissions[Sex],"F")</f>
        <v/>
      </c>
      <c r="D5" s="12">
        <f>COUNTIFS(tblAdmissions[Month],1,tblAdmissions[AgeUnit],"Months",tblAdmissions[Age],"&gt;="&amp;1,tblAdmissions[Age],"&lt;="&amp;11,tblAdmissions[Sex],"M",tblAdmissions[NHIS],"Non-Insured")</f>
        <v/>
      </c>
      <c r="E5" s="12">
        <f>COUNTIFS(tblAdmissions[Month],1,tblAdmissions[AgeUnit],"Months",tblAdmissions[Age],"&gt;="&amp;1,tblAdmissions[Age],"&lt;="&amp;11,tblAdmissions[Sex],"F",tblAdmissions[NHIS],"Non-Insured")</f>
        <v/>
      </c>
      <c r="F5" s="12">
        <f>COUNTIFS(tblAdmissions[Month],1,tblAdmissions[AgeUnit],"Months",tblAdmissions[Age],"&gt;="&amp;1,tblAdmissions[Age],"&lt;="&amp;11,tblAdmissions[Sex],"M",tblAdmissions[NHIS],"Insured")</f>
        <v/>
      </c>
      <c r="G5" s="12">
        <f>COUNTIFS(tblAdmissions[Month],1,tblAdmissions[AgeUnit],"Months",tblAdmissions[Age],"&gt;="&amp;1,tblAdmissions[Age],"&lt;="&amp;11,tblAdmissions[Sex],"F",tblAdmissions[NHIS],"Insured")</f>
        <v/>
      </c>
      <c r="H5" s="12" t="inlineStr">
        <is>
          <t>1-11</t>
        </is>
      </c>
      <c r="I5" s="12">
        <f>COUNTIFS(tblAdmissions[Month],2,tblAdmissions[AgeUnit],"Months",tblAdmissions[Age],"&gt;="&amp;1,tblAdmissions[Age],"&lt;="&amp;11,tblAdmissions[Sex],"M")</f>
        <v/>
      </c>
      <c r="J5" s="12">
        <f>COUNTIFS(tblAdmissions[Month],2,tblAdmissions[AgeUnit],"Months",tblAdmissions[Age],"&gt;="&amp;1,tblAdmissions[Age],"&lt;="&amp;11,tblAdmissions[Sex],"F")</f>
        <v/>
      </c>
      <c r="K5" s="12">
        <f>COUNTIFS(tblAdmissions[Month],2,tblAdmissions[AgeUnit],"Months",tblAdmissions[Age],"&gt;="&amp;1,tblAdmissions[Age],"&lt;="&amp;11,tblAdmissions[Sex],"M",tblAdmissions[NHIS],"Non-Insured")</f>
        <v/>
      </c>
      <c r="L5" s="12">
        <f>COUNTIFS(tblAdmissions[Month],2,tblAdmissions[AgeUnit],"Months",tblAdmissions[Age],"&gt;="&amp;1,tblAdmissions[Age],"&lt;="&amp;11,tblAdmissions[Sex],"F",tblAdmissions[NHIS],"Non-Insured")</f>
        <v/>
      </c>
      <c r="M5" s="12">
        <f>COUNTIFS(tblAdmissions[Month],2,tblAdmissions[AgeUnit],"Months",tblAdmissions[Age],"&gt;="&amp;1,tblAdmissions[Age],"&lt;="&amp;11,tblAdmissions[Sex],"M",tblAdmissions[NHIS],"Insured")</f>
        <v/>
      </c>
      <c r="N5" s="12">
        <f>COUNTIFS(tblAdmissions[Month],2,tblAdmissions[AgeUnit],"Months",tblAdmissions[Age],"&gt;="&amp;1,tblAdmissions[Age],"&lt;="&amp;11,tblAdmissions[Sex],"F",tblAdmissions[NHIS],"Insured")</f>
        <v/>
      </c>
      <c r="O5" s="12" t="inlineStr">
        <is>
          <t>1-11</t>
        </is>
      </c>
      <c r="P5" s="12">
        <f>COUNTIFS(tblAdmissions[Month],3,tblAdmissions[AgeUnit],"Months",tblAdmissions[Age],"&gt;="&amp;1,tblAdmissions[Age],"&lt;="&amp;11,tblAdmissions[Sex],"M")</f>
        <v/>
      </c>
      <c r="Q5" s="12">
        <f>COUNTIFS(tblAdmissions[Month],3,tblAdmissions[AgeUnit],"Months",tblAdmissions[Age],"&gt;="&amp;1,tblAdmissions[Age],"&lt;="&amp;11,tblAdmissions[Sex],"F")</f>
        <v/>
      </c>
      <c r="R5" s="12">
        <f>COUNTIFS(tblAdmissions[Month],3,tblAdmissions[AgeUnit],"Months",tblAdmissions[Age],"&gt;="&amp;1,tblAdmissions[Age],"&lt;="&amp;11,tblAdmissions[Sex],"M",tblAdmissions[NHIS],"Non-Insured")</f>
        <v/>
      </c>
      <c r="S5" s="12">
        <f>COUNTIFS(tblAdmissions[Month],3,tblAdmissions[AgeUnit],"Months",tblAdmissions[Age],"&gt;="&amp;1,tblAdmissions[Age],"&lt;="&amp;11,tblAdmissions[Sex],"F",tblAdmissions[NHIS],"Non-Insured")</f>
        <v/>
      </c>
      <c r="T5" s="12">
        <f>COUNTIFS(tblAdmissions[Month],3,tblAdmissions[AgeUnit],"Months",tblAdmissions[Age],"&gt;="&amp;1,tblAdmissions[Age],"&lt;="&amp;11,tblAdmissions[Sex],"M",tblAdmissions[NHIS],"Insured")</f>
        <v/>
      </c>
      <c r="U5" s="12">
        <f>COUNTIFS(tblAdmissions[Month],3,tblAdmissions[AgeUnit],"Months",tblAdmissions[Age],"&gt;="&amp;1,tblAdmissions[Age],"&lt;="&amp;11,tblAdmissions[Sex],"F",tblAdmissions[NHIS],"Insured")</f>
        <v/>
      </c>
      <c r="V5" s="12" t="inlineStr">
        <is>
          <t>1-11</t>
        </is>
      </c>
      <c r="W5" s="12">
        <f>COUNTIFS(tblAdmissions[Month],4,tblAdmissions[AgeUnit],"Months",tblAdmissions[Age],"&gt;="&amp;1,tblAdmissions[Age],"&lt;="&amp;11,tblAdmissions[Sex],"M")</f>
        <v/>
      </c>
      <c r="X5" s="12">
        <f>COUNTIFS(tblAdmissions[Month],4,tblAdmissions[AgeUnit],"Months",tblAdmissions[Age],"&gt;="&amp;1,tblAdmissions[Age],"&lt;="&amp;11,tblAdmissions[Sex],"F")</f>
        <v/>
      </c>
      <c r="Y5" s="12">
        <f>COUNTIFS(tblAdmissions[Month],4,tblAdmissions[AgeUnit],"Months",tblAdmissions[Age],"&gt;="&amp;1,tblAdmissions[Age],"&lt;="&amp;11,tblAdmissions[Sex],"M",tblAdmissions[NHIS],"Non-Insured")</f>
        <v/>
      </c>
      <c r="Z5" s="12">
        <f>COUNTIFS(tblAdmissions[Month],4,tblAdmissions[AgeUnit],"Months",tblAdmissions[Age],"&gt;="&amp;1,tblAdmissions[Age],"&lt;="&amp;11,tblAdmissions[Sex],"F",tblAdmissions[NHIS],"Non-Insured")</f>
        <v/>
      </c>
      <c r="AA5" s="12">
        <f>COUNTIFS(tblAdmissions[Month],4,tblAdmissions[AgeUnit],"Months",tblAdmissions[Age],"&gt;="&amp;1,tblAdmissions[Age],"&lt;="&amp;11,tblAdmissions[Sex],"M",tblAdmissions[NHIS],"Insured")</f>
        <v/>
      </c>
      <c r="AB5" s="12">
        <f>COUNTIFS(tblAdmissions[Month],4,tblAdmissions[AgeUnit],"Months",tblAdmissions[Age],"&gt;="&amp;1,tblAdmissions[Age],"&lt;="&amp;11,tblAdmissions[Sex],"F",tblAdmissions[NHIS],"Insured")</f>
        <v/>
      </c>
      <c r="AC5" s="12" t="inlineStr">
        <is>
          <t>1-11</t>
        </is>
      </c>
      <c r="AD5" s="12">
        <f>COUNTIFS(tblAdmissions[Month],5,tblAdmissions[AgeUnit],"Months",tblAdmissions[Age],"&gt;="&amp;1,tblAdmissions[Age],"&lt;="&amp;11,tblAdmissions[Sex],"M")</f>
        <v/>
      </c>
      <c r="AE5" s="12">
        <f>COUNTIFS(tblAdmissions[Month],5,tblAdmissions[AgeUnit],"Months",tblAdmissions[Age],"&gt;="&amp;1,tblAdmissions[Age],"&lt;="&amp;11,tblAdmissions[Sex],"F")</f>
        <v/>
      </c>
      <c r="AF5" s="12">
        <f>COUNTIFS(tblAdmissions[Month],5,tblAdmissions[AgeUnit],"Months",tblAdmissions[Age],"&gt;="&amp;1,tblAdmissions[Age],"&lt;="&amp;11,tblAdmissions[Sex],"M",tblAdmissions[NHIS],"Non-Insured")</f>
        <v/>
      </c>
      <c r="AG5" s="12">
        <f>COUNTIFS(tblAdmissions[Month],5,tblAdmissions[AgeUnit],"Months",tblAdmissions[Age],"&gt;="&amp;1,tblAdmissions[Age],"&lt;="&amp;11,tblAdmissions[Sex],"F",tblAdmissions[NHIS],"Non-Insured")</f>
        <v/>
      </c>
      <c r="AH5" s="12">
        <f>COUNTIFS(tblAdmissions[Month],5,tblAdmissions[AgeUnit],"Months",tblAdmissions[Age],"&gt;="&amp;1,tblAdmissions[Age],"&lt;="&amp;11,tblAdmissions[Sex],"M",tblAdmissions[NHIS],"Insured")</f>
        <v/>
      </c>
      <c r="AI5" s="12">
        <f>COUNTIFS(tblAdmissions[Month],5,tblAdmissions[AgeUnit],"Months",tblAdmissions[Age],"&gt;="&amp;1,tblAdmissions[Age],"&lt;="&amp;11,tblAdmissions[Sex],"F",tblAdmissions[NHIS],"Insured")</f>
        <v/>
      </c>
      <c r="AJ5" s="12" t="inlineStr">
        <is>
          <t>1-11</t>
        </is>
      </c>
      <c r="AK5" s="12">
        <f>COUNTIFS(tblAdmissions[Month],6,tblAdmissions[AgeUnit],"Months",tblAdmissions[Age],"&gt;="&amp;1,tblAdmissions[Age],"&lt;="&amp;11,tblAdmissions[Sex],"M")</f>
        <v/>
      </c>
      <c r="AL5" s="12">
        <f>COUNTIFS(tblAdmissions[Month],6,tblAdmissions[AgeUnit],"Months",tblAdmissions[Age],"&gt;="&amp;1,tblAdmissions[Age],"&lt;="&amp;11,tblAdmissions[Sex],"F")</f>
        <v/>
      </c>
      <c r="AM5" s="12">
        <f>COUNTIFS(tblAdmissions[Month],6,tblAdmissions[AgeUnit],"Months",tblAdmissions[Age],"&gt;="&amp;1,tblAdmissions[Age],"&lt;="&amp;11,tblAdmissions[Sex],"M",tblAdmissions[NHIS],"Non-Insured")</f>
        <v/>
      </c>
      <c r="AN5" s="12">
        <f>COUNTIFS(tblAdmissions[Month],6,tblAdmissions[AgeUnit],"Months",tblAdmissions[Age],"&gt;="&amp;1,tblAdmissions[Age],"&lt;="&amp;11,tblAdmissions[Sex],"F",tblAdmissions[NHIS],"Non-Insured")</f>
        <v/>
      </c>
      <c r="AO5" s="12">
        <f>COUNTIFS(tblAdmissions[Month],6,tblAdmissions[AgeUnit],"Months",tblAdmissions[Age],"&gt;="&amp;1,tblAdmissions[Age],"&lt;="&amp;11,tblAdmissions[Sex],"M",tblAdmissions[NHIS],"Insured")</f>
        <v/>
      </c>
      <c r="AP5" s="12">
        <f>COUNTIFS(tblAdmissions[Month],6,tblAdmissions[AgeUnit],"Months",tblAdmissions[Age],"&gt;="&amp;1,tblAdmissions[Age],"&lt;="&amp;11,tblAdmissions[Sex],"F",tblAdmissions[NHIS],"Insured")</f>
        <v/>
      </c>
      <c r="AQ5" s="12" t="inlineStr">
        <is>
          <t>1-11</t>
        </is>
      </c>
      <c r="AR5" s="12">
        <f>COUNTIFS(tblAdmissions[Month],7,tblAdmissions[AgeUnit],"Months",tblAdmissions[Age],"&gt;="&amp;1,tblAdmissions[Age],"&lt;="&amp;11,tblAdmissions[Sex],"M")</f>
        <v/>
      </c>
      <c r="AS5" s="12">
        <f>COUNTIFS(tblAdmissions[Month],7,tblAdmissions[AgeUnit],"Months",tblAdmissions[Age],"&gt;="&amp;1,tblAdmissions[Age],"&lt;="&amp;11,tblAdmissions[Sex],"F")</f>
        <v/>
      </c>
      <c r="AT5" s="12">
        <f>COUNTIFS(tblAdmissions[Month],7,tblAdmissions[AgeUnit],"Months",tblAdmissions[Age],"&gt;="&amp;1,tblAdmissions[Age],"&lt;="&amp;11,tblAdmissions[Sex],"M",tblAdmissions[NHIS],"Non-Insured")</f>
        <v/>
      </c>
      <c r="AU5" s="12">
        <f>COUNTIFS(tblAdmissions[Month],7,tblAdmissions[AgeUnit],"Months",tblAdmissions[Age],"&gt;="&amp;1,tblAdmissions[Age],"&lt;="&amp;11,tblAdmissions[Sex],"F",tblAdmissions[NHIS],"Non-Insured")</f>
        <v/>
      </c>
      <c r="AV5" s="12">
        <f>COUNTIFS(tblAdmissions[Month],7,tblAdmissions[AgeUnit],"Months",tblAdmissions[Age],"&gt;="&amp;1,tblAdmissions[Age],"&lt;="&amp;11,tblAdmissions[Sex],"M",tblAdmissions[NHIS],"Insured")</f>
        <v/>
      </c>
      <c r="AW5" s="12">
        <f>COUNTIFS(tblAdmissions[Month],7,tblAdmissions[AgeUnit],"Months",tblAdmissions[Age],"&gt;="&amp;1,tblAdmissions[Age],"&lt;="&amp;11,tblAdmissions[Sex],"F",tblAdmissions[NHIS],"Insured")</f>
        <v/>
      </c>
      <c r="AX5" s="12" t="inlineStr">
        <is>
          <t>1-11</t>
        </is>
      </c>
      <c r="AY5" s="12">
        <f>COUNTIFS(tblAdmissions[Month],8,tblAdmissions[AgeUnit],"Months",tblAdmissions[Age],"&gt;="&amp;1,tblAdmissions[Age],"&lt;="&amp;11,tblAdmissions[Sex],"M")</f>
        <v/>
      </c>
      <c r="AZ5" s="12">
        <f>COUNTIFS(tblAdmissions[Month],8,tblAdmissions[AgeUnit],"Months",tblAdmissions[Age],"&gt;="&amp;1,tblAdmissions[Age],"&lt;="&amp;11,tblAdmissions[Sex],"F")</f>
        <v/>
      </c>
      <c r="BA5" s="12">
        <f>COUNTIFS(tblAdmissions[Month],8,tblAdmissions[AgeUnit],"Months",tblAdmissions[Age],"&gt;="&amp;1,tblAdmissions[Age],"&lt;="&amp;11,tblAdmissions[Sex],"M",tblAdmissions[NHIS],"Non-Insured")</f>
        <v/>
      </c>
      <c r="BB5" s="12">
        <f>COUNTIFS(tblAdmissions[Month],8,tblAdmissions[AgeUnit],"Months",tblAdmissions[Age],"&gt;="&amp;1,tblAdmissions[Age],"&lt;="&amp;11,tblAdmissions[Sex],"F",tblAdmissions[NHIS],"Non-Insured")</f>
        <v/>
      </c>
      <c r="BC5" s="12">
        <f>COUNTIFS(tblAdmissions[Month],8,tblAdmissions[AgeUnit],"Months",tblAdmissions[Age],"&gt;="&amp;1,tblAdmissions[Age],"&lt;="&amp;11,tblAdmissions[Sex],"M",tblAdmissions[NHIS],"Insured")</f>
        <v/>
      </c>
      <c r="BD5" s="12">
        <f>COUNTIFS(tblAdmissions[Month],8,tblAdmissions[AgeUnit],"Months",tblAdmissions[Age],"&gt;="&amp;1,tblAdmissions[Age],"&lt;="&amp;11,tblAdmissions[Sex],"F",tblAdmissions[NHIS],"Insured")</f>
        <v/>
      </c>
      <c r="BE5" s="12" t="inlineStr">
        <is>
          <t>1-11</t>
        </is>
      </c>
      <c r="BF5" s="12">
        <f>COUNTIFS(tblAdmissions[Month],9,tblAdmissions[AgeUnit],"Months",tblAdmissions[Age],"&gt;="&amp;1,tblAdmissions[Age],"&lt;="&amp;11,tblAdmissions[Sex],"M")</f>
        <v/>
      </c>
      <c r="BG5" s="12">
        <f>COUNTIFS(tblAdmissions[Month],9,tblAdmissions[AgeUnit],"Months",tblAdmissions[Age],"&gt;="&amp;1,tblAdmissions[Age],"&lt;="&amp;11,tblAdmissions[Sex],"F")</f>
        <v/>
      </c>
      <c r="BH5" s="12">
        <f>COUNTIFS(tblAdmissions[Month],9,tblAdmissions[AgeUnit],"Months",tblAdmissions[Age],"&gt;="&amp;1,tblAdmissions[Age],"&lt;="&amp;11,tblAdmissions[Sex],"M",tblAdmissions[NHIS],"Non-Insured")</f>
        <v/>
      </c>
      <c r="BI5" s="12">
        <f>COUNTIFS(tblAdmissions[Month],9,tblAdmissions[AgeUnit],"Months",tblAdmissions[Age],"&gt;="&amp;1,tblAdmissions[Age],"&lt;="&amp;11,tblAdmissions[Sex],"F",tblAdmissions[NHIS],"Non-Insured")</f>
        <v/>
      </c>
      <c r="BJ5" s="12">
        <f>COUNTIFS(tblAdmissions[Month],9,tblAdmissions[AgeUnit],"Months",tblAdmissions[Age],"&gt;="&amp;1,tblAdmissions[Age],"&lt;="&amp;11,tblAdmissions[Sex],"M",tblAdmissions[NHIS],"Insured")</f>
        <v/>
      </c>
      <c r="BK5" s="12">
        <f>COUNTIFS(tblAdmissions[Month],9,tblAdmissions[AgeUnit],"Months",tblAdmissions[Age],"&gt;="&amp;1,tblAdmissions[Age],"&lt;="&amp;11,tblAdmissions[Sex],"F",tblAdmissions[NHIS],"Insured")</f>
        <v/>
      </c>
      <c r="BL5" s="12" t="inlineStr">
        <is>
          <t>1-11</t>
        </is>
      </c>
      <c r="BM5" s="12">
        <f>COUNTIFS(tblAdmissions[Month],10,tblAdmissions[AgeUnit],"Months",tblAdmissions[Age],"&gt;="&amp;1,tblAdmissions[Age],"&lt;="&amp;11,tblAdmissions[Sex],"M")</f>
        <v/>
      </c>
      <c r="BN5" s="12">
        <f>COUNTIFS(tblAdmissions[Month],10,tblAdmissions[AgeUnit],"Months",tblAdmissions[Age],"&gt;="&amp;1,tblAdmissions[Age],"&lt;="&amp;11,tblAdmissions[Sex],"F")</f>
        <v/>
      </c>
      <c r="BO5" s="12">
        <f>COUNTIFS(tblAdmissions[Month],10,tblAdmissions[AgeUnit],"Months",tblAdmissions[Age],"&gt;="&amp;1,tblAdmissions[Age],"&lt;="&amp;11,tblAdmissions[Sex],"M",tblAdmissions[NHIS],"Non-Insured")</f>
        <v/>
      </c>
      <c r="BP5" s="12">
        <f>COUNTIFS(tblAdmissions[Month],10,tblAdmissions[AgeUnit],"Months",tblAdmissions[Age],"&gt;="&amp;1,tblAdmissions[Age],"&lt;="&amp;11,tblAdmissions[Sex],"F",tblAdmissions[NHIS],"Non-Insured")</f>
        <v/>
      </c>
      <c r="BQ5" s="12">
        <f>COUNTIFS(tblAdmissions[Month],10,tblAdmissions[AgeUnit],"Months",tblAdmissions[Age],"&gt;="&amp;1,tblAdmissions[Age],"&lt;="&amp;11,tblAdmissions[Sex],"M",tblAdmissions[NHIS],"Insured")</f>
        <v/>
      </c>
      <c r="BR5" s="12">
        <f>COUNTIFS(tblAdmissions[Month],10,tblAdmissions[AgeUnit],"Months",tblAdmissions[Age],"&gt;="&amp;1,tblAdmissions[Age],"&lt;="&amp;11,tblAdmissions[Sex],"F",tblAdmissions[NHIS],"Insured")</f>
        <v/>
      </c>
      <c r="BS5" s="12" t="inlineStr">
        <is>
          <t>1-11</t>
        </is>
      </c>
      <c r="BT5" s="12">
        <f>COUNTIFS(tblAdmissions[Month],11,tblAdmissions[AgeUnit],"Months",tblAdmissions[Age],"&gt;="&amp;1,tblAdmissions[Age],"&lt;="&amp;11,tblAdmissions[Sex],"M")</f>
        <v/>
      </c>
      <c r="BU5" s="12">
        <f>COUNTIFS(tblAdmissions[Month],11,tblAdmissions[AgeUnit],"Months",tblAdmissions[Age],"&gt;="&amp;1,tblAdmissions[Age],"&lt;="&amp;11,tblAdmissions[Sex],"F")</f>
        <v/>
      </c>
      <c r="BV5" s="12">
        <f>COUNTIFS(tblAdmissions[Month],11,tblAdmissions[AgeUnit],"Months",tblAdmissions[Age],"&gt;="&amp;1,tblAdmissions[Age],"&lt;="&amp;11,tblAdmissions[Sex],"M",tblAdmissions[NHIS],"Non-Insured")</f>
        <v/>
      </c>
      <c r="BW5" s="12">
        <f>COUNTIFS(tblAdmissions[Month],11,tblAdmissions[AgeUnit],"Months",tblAdmissions[Age],"&gt;="&amp;1,tblAdmissions[Age],"&lt;="&amp;11,tblAdmissions[Sex],"F",tblAdmissions[NHIS],"Non-Insured")</f>
        <v/>
      </c>
      <c r="BX5" s="12">
        <f>COUNTIFS(tblAdmissions[Month],11,tblAdmissions[AgeUnit],"Months",tblAdmissions[Age],"&gt;="&amp;1,tblAdmissions[Age],"&lt;="&amp;11,tblAdmissions[Sex],"M",tblAdmissions[NHIS],"Insured")</f>
        <v/>
      </c>
      <c r="BY5" s="12">
        <f>COUNTIFS(tblAdmissions[Month],11,tblAdmissions[AgeUnit],"Months",tblAdmissions[Age],"&gt;="&amp;1,tblAdmissions[Age],"&lt;="&amp;11,tblAdmissions[Sex],"F",tblAdmissions[NHIS],"Insured")</f>
        <v/>
      </c>
      <c r="BZ5" s="12" t="inlineStr">
        <is>
          <t>1-11</t>
        </is>
      </c>
      <c r="CA5" s="12">
        <f>COUNTIFS(tblAdmissions[Month],12,tblAdmissions[AgeUnit],"Months",tblAdmissions[Age],"&gt;="&amp;1,tblAdmissions[Age],"&lt;="&amp;11,tblAdmissions[Sex],"M")</f>
        <v/>
      </c>
      <c r="CB5" s="12">
        <f>COUNTIFS(tblAdmissions[Month],12,tblAdmissions[AgeUnit],"Months",tblAdmissions[Age],"&gt;="&amp;1,tblAdmissions[Age],"&lt;="&amp;11,tblAdmissions[Sex],"F")</f>
        <v/>
      </c>
      <c r="CC5" s="12">
        <f>COUNTIFS(tblAdmissions[Month],12,tblAdmissions[AgeUnit],"Months",tblAdmissions[Age],"&gt;="&amp;1,tblAdmissions[Age],"&lt;="&amp;11,tblAdmissions[Sex],"M",tblAdmissions[NHIS],"Non-Insured")</f>
        <v/>
      </c>
      <c r="CD5" s="12">
        <f>COUNTIFS(tblAdmissions[Month],12,tblAdmissions[AgeUnit],"Months",tblAdmissions[Age],"&gt;="&amp;1,tblAdmissions[Age],"&lt;="&amp;11,tblAdmissions[Sex],"F",tblAdmissions[NHIS],"Non-Insured")</f>
        <v/>
      </c>
      <c r="CE5" s="12">
        <f>COUNTIFS(tblAdmissions[Month],12,tblAdmissions[AgeUnit],"Months",tblAdmissions[Age],"&gt;="&amp;1,tblAdmissions[Age],"&lt;="&amp;11,tblAdmissions[Sex],"M",tblAdmissions[NHIS],"Insured")</f>
        <v/>
      </c>
      <c r="CF5" s="12">
        <f>COUNTIFS(tblAdmissions[Month],12,tblAdmissions[AgeUnit],"Months",tblAdmissions[Age],"&gt;="&amp;1,tblAdmissions[Age],"&lt;="&amp;11,tblAdmissions[Sex],"F",tblAdmissions[NHIS],"Insured")</f>
        <v/>
      </c>
    </row>
    <row r="6">
      <c r="A6" s="12" t="inlineStr">
        <is>
          <t>1-4</t>
        </is>
      </c>
      <c r="B6" s="12">
        <f>COUNTIFS(tblAdmissions[Month],1,tblAdmissions[AgeUnit],"Years",tblAdmissions[Age],"&gt;="&amp;1,tblAdmissions[Age],"&lt;="&amp;4,tblAdmissions[Sex],"M")</f>
        <v/>
      </c>
      <c r="C6" s="12">
        <f>COUNTIFS(tblAdmissions[Month],1,tblAdmissions[AgeUnit],"Years",tblAdmissions[Age],"&gt;="&amp;1,tblAdmissions[Age],"&lt;="&amp;4,tblAdmissions[Sex],"F")</f>
        <v/>
      </c>
      <c r="D6" s="12">
        <f>COUNTIFS(tblAdmissions[Month],1,tblAdmissions[AgeUnit],"Years",tblAdmissions[Age],"&gt;="&amp;1,tblAdmissions[Age],"&lt;="&amp;4,tblAdmissions[Sex],"M",tblAdmissions[NHIS],"Non-Insured")</f>
        <v/>
      </c>
      <c r="E6" s="12">
        <f>COUNTIFS(tblAdmissions[Month],1,tblAdmissions[AgeUnit],"Years",tblAdmissions[Age],"&gt;="&amp;1,tblAdmissions[Age],"&lt;="&amp;4,tblAdmissions[Sex],"F",tblAdmissions[NHIS],"Non-Insured")</f>
        <v/>
      </c>
      <c r="F6" s="12">
        <f>COUNTIFS(tblAdmissions[Month],1,tblAdmissions[AgeUnit],"Years",tblAdmissions[Age],"&gt;="&amp;1,tblAdmissions[Age],"&lt;="&amp;4,tblAdmissions[Sex],"M",tblAdmissions[NHIS],"Insured")</f>
        <v/>
      </c>
      <c r="G6" s="12">
        <f>COUNTIFS(tblAdmissions[Month],1,tblAdmissions[AgeUnit],"Years",tblAdmissions[Age],"&gt;="&amp;1,tblAdmissions[Age],"&lt;="&amp;4,tblAdmissions[Sex],"F",tblAdmissions[NHIS],"Insured")</f>
        <v/>
      </c>
      <c r="H6" s="12" t="inlineStr">
        <is>
          <t>1-4</t>
        </is>
      </c>
      <c r="I6" s="12">
        <f>COUNTIFS(tblAdmissions[Month],2,tblAdmissions[AgeUnit],"Years",tblAdmissions[Age],"&gt;="&amp;1,tblAdmissions[Age],"&lt;="&amp;4,tblAdmissions[Sex],"M")</f>
        <v/>
      </c>
      <c r="J6" s="12">
        <f>COUNTIFS(tblAdmissions[Month],2,tblAdmissions[AgeUnit],"Years",tblAdmissions[Age],"&gt;="&amp;1,tblAdmissions[Age],"&lt;="&amp;4,tblAdmissions[Sex],"F")</f>
        <v/>
      </c>
      <c r="K6" s="12">
        <f>COUNTIFS(tblAdmissions[Month],2,tblAdmissions[AgeUnit],"Years",tblAdmissions[Age],"&gt;="&amp;1,tblAdmissions[Age],"&lt;="&amp;4,tblAdmissions[Sex],"M",tblAdmissions[NHIS],"Non-Insured")</f>
        <v/>
      </c>
      <c r="L6" s="12">
        <f>COUNTIFS(tblAdmissions[Month],2,tblAdmissions[AgeUnit],"Years",tblAdmissions[Age],"&gt;="&amp;1,tblAdmissions[Age],"&lt;="&amp;4,tblAdmissions[Sex],"F",tblAdmissions[NHIS],"Non-Insured")</f>
        <v/>
      </c>
      <c r="M6" s="12">
        <f>COUNTIFS(tblAdmissions[Month],2,tblAdmissions[AgeUnit],"Years",tblAdmissions[Age],"&gt;="&amp;1,tblAdmissions[Age],"&lt;="&amp;4,tblAdmissions[Sex],"M",tblAdmissions[NHIS],"Insured")</f>
        <v/>
      </c>
      <c r="N6" s="12">
        <f>COUNTIFS(tblAdmissions[Month],2,tblAdmissions[AgeUnit],"Years",tblAdmissions[Age],"&gt;="&amp;1,tblAdmissions[Age],"&lt;="&amp;4,tblAdmissions[Sex],"F",tblAdmissions[NHIS],"Insured")</f>
        <v/>
      </c>
      <c r="O6" s="12" t="inlineStr">
        <is>
          <t>1-4</t>
        </is>
      </c>
      <c r="P6" s="12">
        <f>COUNTIFS(tblAdmissions[Month],3,tblAdmissions[AgeUnit],"Years",tblAdmissions[Age],"&gt;="&amp;1,tblAdmissions[Age],"&lt;="&amp;4,tblAdmissions[Sex],"M")</f>
        <v/>
      </c>
      <c r="Q6" s="12">
        <f>COUNTIFS(tblAdmissions[Month],3,tblAdmissions[AgeUnit],"Years",tblAdmissions[Age],"&gt;="&amp;1,tblAdmissions[Age],"&lt;="&amp;4,tblAdmissions[Sex],"F")</f>
        <v/>
      </c>
      <c r="R6" s="12">
        <f>COUNTIFS(tblAdmissions[Month],3,tblAdmissions[AgeUnit],"Years",tblAdmissions[Age],"&gt;="&amp;1,tblAdmissions[Age],"&lt;="&amp;4,tblAdmissions[Sex],"M",tblAdmissions[NHIS],"Non-Insured")</f>
        <v/>
      </c>
      <c r="S6" s="12">
        <f>COUNTIFS(tblAdmissions[Month],3,tblAdmissions[AgeUnit],"Years",tblAdmissions[Age],"&gt;="&amp;1,tblAdmissions[Age],"&lt;="&amp;4,tblAdmissions[Sex],"F",tblAdmissions[NHIS],"Non-Insured")</f>
        <v/>
      </c>
      <c r="T6" s="12">
        <f>COUNTIFS(tblAdmissions[Month],3,tblAdmissions[AgeUnit],"Years",tblAdmissions[Age],"&gt;="&amp;1,tblAdmissions[Age],"&lt;="&amp;4,tblAdmissions[Sex],"M",tblAdmissions[NHIS],"Insured")</f>
        <v/>
      </c>
      <c r="U6" s="12">
        <f>COUNTIFS(tblAdmissions[Month],3,tblAdmissions[AgeUnit],"Years",tblAdmissions[Age],"&gt;="&amp;1,tblAdmissions[Age],"&lt;="&amp;4,tblAdmissions[Sex],"F",tblAdmissions[NHIS],"Insured")</f>
        <v/>
      </c>
      <c r="V6" s="12" t="inlineStr">
        <is>
          <t>1-4</t>
        </is>
      </c>
      <c r="W6" s="12">
        <f>COUNTIFS(tblAdmissions[Month],4,tblAdmissions[AgeUnit],"Years",tblAdmissions[Age],"&gt;="&amp;1,tblAdmissions[Age],"&lt;="&amp;4,tblAdmissions[Sex],"M")</f>
        <v/>
      </c>
      <c r="X6" s="12">
        <f>COUNTIFS(tblAdmissions[Month],4,tblAdmissions[AgeUnit],"Years",tblAdmissions[Age],"&gt;="&amp;1,tblAdmissions[Age],"&lt;="&amp;4,tblAdmissions[Sex],"F")</f>
        <v/>
      </c>
      <c r="Y6" s="12">
        <f>COUNTIFS(tblAdmissions[Month],4,tblAdmissions[AgeUnit],"Years",tblAdmissions[Age],"&gt;="&amp;1,tblAdmissions[Age],"&lt;="&amp;4,tblAdmissions[Sex],"M",tblAdmissions[NHIS],"Non-Insured")</f>
        <v/>
      </c>
      <c r="Z6" s="12">
        <f>COUNTIFS(tblAdmissions[Month],4,tblAdmissions[AgeUnit],"Years",tblAdmissions[Age],"&gt;="&amp;1,tblAdmissions[Age],"&lt;="&amp;4,tblAdmissions[Sex],"F",tblAdmissions[NHIS],"Non-Insured")</f>
        <v/>
      </c>
      <c r="AA6" s="12">
        <f>COUNTIFS(tblAdmissions[Month],4,tblAdmissions[AgeUnit],"Years",tblAdmissions[Age],"&gt;="&amp;1,tblAdmissions[Age],"&lt;="&amp;4,tblAdmissions[Sex],"M",tblAdmissions[NHIS],"Insured")</f>
        <v/>
      </c>
      <c r="AB6" s="12">
        <f>COUNTIFS(tblAdmissions[Month],4,tblAdmissions[AgeUnit],"Years",tblAdmissions[Age],"&gt;="&amp;1,tblAdmissions[Age],"&lt;="&amp;4,tblAdmissions[Sex],"F",tblAdmissions[NHIS],"Insured")</f>
        <v/>
      </c>
      <c r="AC6" s="12" t="inlineStr">
        <is>
          <t>1-4</t>
        </is>
      </c>
      <c r="AD6" s="12">
        <f>COUNTIFS(tblAdmissions[Month],5,tblAdmissions[AgeUnit],"Years",tblAdmissions[Age],"&gt;="&amp;1,tblAdmissions[Age],"&lt;="&amp;4,tblAdmissions[Sex],"M")</f>
        <v/>
      </c>
      <c r="AE6" s="12">
        <f>COUNTIFS(tblAdmissions[Month],5,tblAdmissions[AgeUnit],"Years",tblAdmissions[Age],"&gt;="&amp;1,tblAdmissions[Age],"&lt;="&amp;4,tblAdmissions[Sex],"F")</f>
        <v/>
      </c>
      <c r="AF6" s="12">
        <f>COUNTIFS(tblAdmissions[Month],5,tblAdmissions[AgeUnit],"Years",tblAdmissions[Age],"&gt;="&amp;1,tblAdmissions[Age],"&lt;="&amp;4,tblAdmissions[Sex],"M",tblAdmissions[NHIS],"Non-Insured")</f>
        <v/>
      </c>
      <c r="AG6" s="12">
        <f>COUNTIFS(tblAdmissions[Month],5,tblAdmissions[AgeUnit],"Years",tblAdmissions[Age],"&gt;="&amp;1,tblAdmissions[Age],"&lt;="&amp;4,tblAdmissions[Sex],"F",tblAdmissions[NHIS],"Non-Insured")</f>
        <v/>
      </c>
      <c r="AH6" s="12">
        <f>COUNTIFS(tblAdmissions[Month],5,tblAdmissions[AgeUnit],"Years",tblAdmissions[Age],"&gt;="&amp;1,tblAdmissions[Age],"&lt;="&amp;4,tblAdmissions[Sex],"M",tblAdmissions[NHIS],"Insured")</f>
        <v/>
      </c>
      <c r="AI6" s="12">
        <f>COUNTIFS(tblAdmissions[Month],5,tblAdmissions[AgeUnit],"Years",tblAdmissions[Age],"&gt;="&amp;1,tblAdmissions[Age],"&lt;="&amp;4,tblAdmissions[Sex],"F",tblAdmissions[NHIS],"Insured")</f>
        <v/>
      </c>
      <c r="AJ6" s="12" t="inlineStr">
        <is>
          <t>1-4</t>
        </is>
      </c>
      <c r="AK6" s="12">
        <f>COUNTIFS(tblAdmissions[Month],6,tblAdmissions[AgeUnit],"Years",tblAdmissions[Age],"&gt;="&amp;1,tblAdmissions[Age],"&lt;="&amp;4,tblAdmissions[Sex],"M")</f>
        <v/>
      </c>
      <c r="AL6" s="12">
        <f>COUNTIFS(tblAdmissions[Month],6,tblAdmissions[AgeUnit],"Years",tblAdmissions[Age],"&gt;="&amp;1,tblAdmissions[Age],"&lt;="&amp;4,tblAdmissions[Sex],"F")</f>
        <v/>
      </c>
      <c r="AM6" s="12">
        <f>COUNTIFS(tblAdmissions[Month],6,tblAdmissions[AgeUnit],"Years",tblAdmissions[Age],"&gt;="&amp;1,tblAdmissions[Age],"&lt;="&amp;4,tblAdmissions[Sex],"M",tblAdmissions[NHIS],"Non-Insured")</f>
        <v/>
      </c>
      <c r="AN6" s="12">
        <f>COUNTIFS(tblAdmissions[Month],6,tblAdmissions[AgeUnit],"Years",tblAdmissions[Age],"&gt;="&amp;1,tblAdmissions[Age],"&lt;="&amp;4,tblAdmissions[Sex],"F",tblAdmissions[NHIS],"Non-Insured")</f>
        <v/>
      </c>
      <c r="AO6" s="12">
        <f>COUNTIFS(tblAdmissions[Month],6,tblAdmissions[AgeUnit],"Years",tblAdmissions[Age],"&gt;="&amp;1,tblAdmissions[Age],"&lt;="&amp;4,tblAdmissions[Sex],"M",tblAdmissions[NHIS],"Insured")</f>
        <v/>
      </c>
      <c r="AP6" s="12">
        <f>COUNTIFS(tblAdmissions[Month],6,tblAdmissions[AgeUnit],"Years",tblAdmissions[Age],"&gt;="&amp;1,tblAdmissions[Age],"&lt;="&amp;4,tblAdmissions[Sex],"F",tblAdmissions[NHIS],"Insured")</f>
        <v/>
      </c>
      <c r="AQ6" s="12" t="inlineStr">
        <is>
          <t>1-4</t>
        </is>
      </c>
      <c r="AR6" s="12">
        <f>COUNTIFS(tblAdmissions[Month],7,tblAdmissions[AgeUnit],"Years",tblAdmissions[Age],"&gt;="&amp;1,tblAdmissions[Age],"&lt;="&amp;4,tblAdmissions[Sex],"M")</f>
        <v/>
      </c>
      <c r="AS6" s="12">
        <f>COUNTIFS(tblAdmissions[Month],7,tblAdmissions[AgeUnit],"Years",tblAdmissions[Age],"&gt;="&amp;1,tblAdmissions[Age],"&lt;="&amp;4,tblAdmissions[Sex],"F")</f>
        <v/>
      </c>
      <c r="AT6" s="12">
        <f>COUNTIFS(tblAdmissions[Month],7,tblAdmissions[AgeUnit],"Years",tblAdmissions[Age],"&gt;="&amp;1,tblAdmissions[Age],"&lt;="&amp;4,tblAdmissions[Sex],"M",tblAdmissions[NHIS],"Non-Insured")</f>
        <v/>
      </c>
      <c r="AU6" s="12">
        <f>COUNTIFS(tblAdmissions[Month],7,tblAdmissions[AgeUnit],"Years",tblAdmissions[Age],"&gt;="&amp;1,tblAdmissions[Age],"&lt;="&amp;4,tblAdmissions[Sex],"F",tblAdmissions[NHIS],"Non-Insured")</f>
        <v/>
      </c>
      <c r="AV6" s="12">
        <f>COUNTIFS(tblAdmissions[Month],7,tblAdmissions[AgeUnit],"Years",tblAdmissions[Age],"&gt;="&amp;1,tblAdmissions[Age],"&lt;="&amp;4,tblAdmissions[Sex],"M",tblAdmissions[NHIS],"Insured")</f>
        <v/>
      </c>
      <c r="AW6" s="12">
        <f>COUNTIFS(tblAdmissions[Month],7,tblAdmissions[AgeUnit],"Years",tblAdmissions[Age],"&gt;="&amp;1,tblAdmissions[Age],"&lt;="&amp;4,tblAdmissions[Sex],"F",tblAdmissions[NHIS],"Insured")</f>
        <v/>
      </c>
      <c r="AX6" s="12" t="inlineStr">
        <is>
          <t>1-4</t>
        </is>
      </c>
      <c r="AY6" s="12">
        <f>COUNTIFS(tblAdmissions[Month],8,tblAdmissions[AgeUnit],"Years",tblAdmissions[Age],"&gt;="&amp;1,tblAdmissions[Age],"&lt;="&amp;4,tblAdmissions[Sex],"M")</f>
        <v/>
      </c>
      <c r="AZ6" s="12">
        <f>COUNTIFS(tblAdmissions[Month],8,tblAdmissions[AgeUnit],"Years",tblAdmissions[Age],"&gt;="&amp;1,tblAdmissions[Age],"&lt;="&amp;4,tblAdmissions[Sex],"F")</f>
        <v/>
      </c>
      <c r="BA6" s="12">
        <f>COUNTIFS(tblAdmissions[Month],8,tblAdmissions[AgeUnit],"Years",tblAdmissions[Age],"&gt;="&amp;1,tblAdmissions[Age],"&lt;="&amp;4,tblAdmissions[Sex],"M",tblAdmissions[NHIS],"Non-Insured")</f>
        <v/>
      </c>
      <c r="BB6" s="12">
        <f>COUNTIFS(tblAdmissions[Month],8,tblAdmissions[AgeUnit],"Years",tblAdmissions[Age],"&gt;="&amp;1,tblAdmissions[Age],"&lt;="&amp;4,tblAdmissions[Sex],"F",tblAdmissions[NHIS],"Non-Insured")</f>
        <v/>
      </c>
      <c r="BC6" s="12">
        <f>COUNTIFS(tblAdmissions[Month],8,tblAdmissions[AgeUnit],"Years",tblAdmissions[Age],"&gt;="&amp;1,tblAdmissions[Age],"&lt;="&amp;4,tblAdmissions[Sex],"M",tblAdmissions[NHIS],"Insured")</f>
        <v/>
      </c>
      <c r="BD6" s="12">
        <f>COUNTIFS(tblAdmissions[Month],8,tblAdmissions[AgeUnit],"Years",tblAdmissions[Age],"&gt;="&amp;1,tblAdmissions[Age],"&lt;="&amp;4,tblAdmissions[Sex],"F",tblAdmissions[NHIS],"Insured")</f>
        <v/>
      </c>
      <c r="BE6" s="12" t="inlineStr">
        <is>
          <t>1-4</t>
        </is>
      </c>
      <c r="BF6" s="12">
        <f>COUNTIFS(tblAdmissions[Month],9,tblAdmissions[AgeUnit],"Years",tblAdmissions[Age],"&gt;="&amp;1,tblAdmissions[Age],"&lt;="&amp;4,tblAdmissions[Sex],"M")</f>
        <v/>
      </c>
      <c r="BG6" s="12">
        <f>COUNTIFS(tblAdmissions[Month],9,tblAdmissions[AgeUnit],"Years",tblAdmissions[Age],"&gt;="&amp;1,tblAdmissions[Age],"&lt;="&amp;4,tblAdmissions[Sex],"F")</f>
        <v/>
      </c>
      <c r="BH6" s="12">
        <f>COUNTIFS(tblAdmissions[Month],9,tblAdmissions[AgeUnit],"Years",tblAdmissions[Age],"&gt;="&amp;1,tblAdmissions[Age],"&lt;="&amp;4,tblAdmissions[Sex],"M",tblAdmissions[NHIS],"Non-Insured")</f>
        <v/>
      </c>
      <c r="BI6" s="12">
        <f>COUNTIFS(tblAdmissions[Month],9,tblAdmissions[AgeUnit],"Years",tblAdmissions[Age],"&gt;="&amp;1,tblAdmissions[Age],"&lt;="&amp;4,tblAdmissions[Sex],"F",tblAdmissions[NHIS],"Non-Insured")</f>
        <v/>
      </c>
      <c r="BJ6" s="12">
        <f>COUNTIFS(tblAdmissions[Month],9,tblAdmissions[AgeUnit],"Years",tblAdmissions[Age],"&gt;="&amp;1,tblAdmissions[Age],"&lt;="&amp;4,tblAdmissions[Sex],"M",tblAdmissions[NHIS],"Insured")</f>
        <v/>
      </c>
      <c r="BK6" s="12">
        <f>COUNTIFS(tblAdmissions[Month],9,tblAdmissions[AgeUnit],"Years",tblAdmissions[Age],"&gt;="&amp;1,tblAdmissions[Age],"&lt;="&amp;4,tblAdmissions[Sex],"F",tblAdmissions[NHIS],"Insured")</f>
        <v/>
      </c>
      <c r="BL6" s="12" t="inlineStr">
        <is>
          <t>1-4</t>
        </is>
      </c>
      <c r="BM6" s="12">
        <f>COUNTIFS(tblAdmissions[Month],10,tblAdmissions[AgeUnit],"Years",tblAdmissions[Age],"&gt;="&amp;1,tblAdmissions[Age],"&lt;="&amp;4,tblAdmissions[Sex],"M")</f>
        <v/>
      </c>
      <c r="BN6" s="12">
        <f>COUNTIFS(tblAdmissions[Month],10,tblAdmissions[AgeUnit],"Years",tblAdmissions[Age],"&gt;="&amp;1,tblAdmissions[Age],"&lt;="&amp;4,tblAdmissions[Sex],"F")</f>
        <v/>
      </c>
      <c r="BO6" s="12">
        <f>COUNTIFS(tblAdmissions[Month],10,tblAdmissions[AgeUnit],"Years",tblAdmissions[Age],"&gt;="&amp;1,tblAdmissions[Age],"&lt;="&amp;4,tblAdmissions[Sex],"M",tblAdmissions[NHIS],"Non-Insured")</f>
        <v/>
      </c>
      <c r="BP6" s="12">
        <f>COUNTIFS(tblAdmissions[Month],10,tblAdmissions[AgeUnit],"Years",tblAdmissions[Age],"&gt;="&amp;1,tblAdmissions[Age],"&lt;="&amp;4,tblAdmissions[Sex],"F",tblAdmissions[NHIS],"Non-Insured")</f>
        <v/>
      </c>
      <c r="BQ6" s="12">
        <f>COUNTIFS(tblAdmissions[Month],10,tblAdmissions[AgeUnit],"Years",tblAdmissions[Age],"&gt;="&amp;1,tblAdmissions[Age],"&lt;="&amp;4,tblAdmissions[Sex],"M",tblAdmissions[NHIS],"Insured")</f>
        <v/>
      </c>
      <c r="BR6" s="12">
        <f>COUNTIFS(tblAdmissions[Month],10,tblAdmissions[AgeUnit],"Years",tblAdmissions[Age],"&gt;="&amp;1,tblAdmissions[Age],"&lt;="&amp;4,tblAdmissions[Sex],"F",tblAdmissions[NHIS],"Insured")</f>
        <v/>
      </c>
      <c r="BS6" s="12" t="inlineStr">
        <is>
          <t>1-4</t>
        </is>
      </c>
      <c r="BT6" s="12">
        <f>COUNTIFS(tblAdmissions[Month],11,tblAdmissions[AgeUnit],"Years",tblAdmissions[Age],"&gt;="&amp;1,tblAdmissions[Age],"&lt;="&amp;4,tblAdmissions[Sex],"M")</f>
        <v/>
      </c>
      <c r="BU6" s="12">
        <f>COUNTIFS(tblAdmissions[Month],11,tblAdmissions[AgeUnit],"Years",tblAdmissions[Age],"&gt;="&amp;1,tblAdmissions[Age],"&lt;="&amp;4,tblAdmissions[Sex],"F")</f>
        <v/>
      </c>
      <c r="BV6" s="12">
        <f>COUNTIFS(tblAdmissions[Month],11,tblAdmissions[AgeUnit],"Years",tblAdmissions[Age],"&gt;="&amp;1,tblAdmissions[Age],"&lt;="&amp;4,tblAdmissions[Sex],"M",tblAdmissions[NHIS],"Non-Insured")</f>
        <v/>
      </c>
      <c r="BW6" s="12">
        <f>COUNTIFS(tblAdmissions[Month],11,tblAdmissions[AgeUnit],"Years",tblAdmissions[Age],"&gt;="&amp;1,tblAdmissions[Age],"&lt;="&amp;4,tblAdmissions[Sex],"F",tblAdmissions[NHIS],"Non-Insured")</f>
        <v/>
      </c>
      <c r="BX6" s="12">
        <f>COUNTIFS(tblAdmissions[Month],11,tblAdmissions[AgeUnit],"Years",tblAdmissions[Age],"&gt;="&amp;1,tblAdmissions[Age],"&lt;="&amp;4,tblAdmissions[Sex],"M",tblAdmissions[NHIS],"Insured")</f>
        <v/>
      </c>
      <c r="BY6" s="12">
        <f>COUNTIFS(tblAdmissions[Month],11,tblAdmissions[AgeUnit],"Years",tblAdmissions[Age],"&gt;="&amp;1,tblAdmissions[Age],"&lt;="&amp;4,tblAdmissions[Sex],"F",tblAdmissions[NHIS],"Insured")</f>
        <v/>
      </c>
      <c r="BZ6" s="12" t="inlineStr">
        <is>
          <t>1-4</t>
        </is>
      </c>
      <c r="CA6" s="12">
        <f>COUNTIFS(tblAdmissions[Month],12,tblAdmissions[AgeUnit],"Years",tblAdmissions[Age],"&gt;="&amp;1,tblAdmissions[Age],"&lt;="&amp;4,tblAdmissions[Sex],"M")</f>
        <v/>
      </c>
      <c r="CB6" s="12">
        <f>COUNTIFS(tblAdmissions[Month],12,tblAdmissions[AgeUnit],"Years",tblAdmissions[Age],"&gt;="&amp;1,tblAdmissions[Age],"&lt;="&amp;4,tblAdmissions[Sex],"F")</f>
        <v/>
      </c>
      <c r="CC6" s="12">
        <f>COUNTIFS(tblAdmissions[Month],12,tblAdmissions[AgeUnit],"Years",tblAdmissions[Age],"&gt;="&amp;1,tblAdmissions[Age],"&lt;="&amp;4,tblAdmissions[Sex],"M",tblAdmissions[NHIS],"Non-Insured")</f>
        <v/>
      </c>
      <c r="CD6" s="12">
        <f>COUNTIFS(tblAdmissions[Month],12,tblAdmissions[AgeUnit],"Years",tblAdmissions[Age],"&gt;="&amp;1,tblAdmissions[Age],"&lt;="&amp;4,tblAdmissions[Sex],"F",tblAdmissions[NHIS],"Non-Insured")</f>
        <v/>
      </c>
      <c r="CE6" s="12">
        <f>COUNTIFS(tblAdmissions[Month],12,tblAdmissions[AgeUnit],"Years",tblAdmissions[Age],"&gt;="&amp;1,tblAdmissions[Age],"&lt;="&amp;4,tblAdmissions[Sex],"M",tblAdmissions[NHIS],"Insured")</f>
        <v/>
      </c>
      <c r="CF6" s="12">
        <f>COUNTIFS(tblAdmissions[Month],12,tblAdmissions[AgeUnit],"Years",tblAdmissions[Age],"&gt;="&amp;1,tblAdmissions[Age],"&lt;="&amp;4,tblAdmissions[Sex],"F",tblAdmissions[NHIS],"Insured")</f>
        <v/>
      </c>
    </row>
    <row r="7">
      <c r="A7" s="12" t="inlineStr">
        <is>
          <t>5-9</t>
        </is>
      </c>
      <c r="B7" s="12">
        <f>COUNTIFS(tblAdmissions[Month],1,tblAdmissions[AgeUnit],"Years",tblAdmissions[Age],"&gt;="&amp;5,tblAdmissions[Age],"&lt;="&amp;9,tblAdmissions[Sex],"M")</f>
        <v/>
      </c>
      <c r="C7" s="12">
        <f>COUNTIFS(tblAdmissions[Month],1,tblAdmissions[AgeUnit],"Years",tblAdmissions[Age],"&gt;="&amp;5,tblAdmissions[Age],"&lt;="&amp;9,tblAdmissions[Sex],"F")</f>
        <v/>
      </c>
      <c r="D7" s="12">
        <f>COUNTIFS(tblAdmissions[Month],1,tblAdmissions[AgeUnit],"Years",tblAdmissions[Age],"&gt;="&amp;5,tblAdmissions[Age],"&lt;="&amp;9,tblAdmissions[Sex],"M",tblAdmissions[NHIS],"Non-Insured")</f>
        <v/>
      </c>
      <c r="E7" s="12">
        <f>COUNTIFS(tblAdmissions[Month],1,tblAdmissions[AgeUnit],"Years",tblAdmissions[Age],"&gt;="&amp;5,tblAdmissions[Age],"&lt;="&amp;9,tblAdmissions[Sex],"F",tblAdmissions[NHIS],"Non-Insured")</f>
        <v/>
      </c>
      <c r="F7" s="12">
        <f>COUNTIFS(tblAdmissions[Month],1,tblAdmissions[AgeUnit],"Years",tblAdmissions[Age],"&gt;="&amp;5,tblAdmissions[Age],"&lt;="&amp;9,tblAdmissions[Sex],"M",tblAdmissions[NHIS],"Insured")</f>
        <v/>
      </c>
      <c r="G7" s="12">
        <f>COUNTIFS(tblAdmissions[Month],1,tblAdmissions[AgeUnit],"Years",tblAdmissions[Age],"&gt;="&amp;5,tblAdmissions[Age],"&lt;="&amp;9,tblAdmissions[Sex],"F",tblAdmissions[NHIS],"Insured")</f>
        <v/>
      </c>
      <c r="H7" s="12" t="inlineStr">
        <is>
          <t>5-9</t>
        </is>
      </c>
      <c r="I7" s="12">
        <f>COUNTIFS(tblAdmissions[Month],2,tblAdmissions[AgeUnit],"Years",tblAdmissions[Age],"&gt;="&amp;5,tblAdmissions[Age],"&lt;="&amp;9,tblAdmissions[Sex],"M")</f>
        <v/>
      </c>
      <c r="J7" s="12">
        <f>COUNTIFS(tblAdmissions[Month],2,tblAdmissions[AgeUnit],"Years",tblAdmissions[Age],"&gt;="&amp;5,tblAdmissions[Age],"&lt;="&amp;9,tblAdmissions[Sex],"F")</f>
        <v/>
      </c>
      <c r="K7" s="12">
        <f>COUNTIFS(tblAdmissions[Month],2,tblAdmissions[AgeUnit],"Years",tblAdmissions[Age],"&gt;="&amp;5,tblAdmissions[Age],"&lt;="&amp;9,tblAdmissions[Sex],"M",tblAdmissions[NHIS],"Non-Insured")</f>
        <v/>
      </c>
      <c r="L7" s="12">
        <f>COUNTIFS(tblAdmissions[Month],2,tblAdmissions[AgeUnit],"Years",tblAdmissions[Age],"&gt;="&amp;5,tblAdmissions[Age],"&lt;="&amp;9,tblAdmissions[Sex],"F",tblAdmissions[NHIS],"Non-Insured")</f>
        <v/>
      </c>
      <c r="M7" s="12">
        <f>COUNTIFS(tblAdmissions[Month],2,tblAdmissions[AgeUnit],"Years",tblAdmissions[Age],"&gt;="&amp;5,tblAdmissions[Age],"&lt;="&amp;9,tblAdmissions[Sex],"M",tblAdmissions[NHIS],"Insured")</f>
        <v/>
      </c>
      <c r="N7" s="12">
        <f>COUNTIFS(tblAdmissions[Month],2,tblAdmissions[AgeUnit],"Years",tblAdmissions[Age],"&gt;="&amp;5,tblAdmissions[Age],"&lt;="&amp;9,tblAdmissions[Sex],"F",tblAdmissions[NHIS],"Insured")</f>
        <v/>
      </c>
      <c r="O7" s="12" t="inlineStr">
        <is>
          <t>5-9</t>
        </is>
      </c>
      <c r="P7" s="12">
        <f>COUNTIFS(tblAdmissions[Month],3,tblAdmissions[AgeUnit],"Years",tblAdmissions[Age],"&gt;="&amp;5,tblAdmissions[Age],"&lt;="&amp;9,tblAdmissions[Sex],"M")</f>
        <v/>
      </c>
      <c r="Q7" s="12">
        <f>COUNTIFS(tblAdmissions[Month],3,tblAdmissions[AgeUnit],"Years",tblAdmissions[Age],"&gt;="&amp;5,tblAdmissions[Age],"&lt;="&amp;9,tblAdmissions[Sex],"F")</f>
        <v/>
      </c>
      <c r="R7" s="12">
        <f>COUNTIFS(tblAdmissions[Month],3,tblAdmissions[AgeUnit],"Years",tblAdmissions[Age],"&gt;="&amp;5,tblAdmissions[Age],"&lt;="&amp;9,tblAdmissions[Sex],"M",tblAdmissions[NHIS],"Non-Insured")</f>
        <v/>
      </c>
      <c r="S7" s="12">
        <f>COUNTIFS(tblAdmissions[Month],3,tblAdmissions[AgeUnit],"Years",tblAdmissions[Age],"&gt;="&amp;5,tblAdmissions[Age],"&lt;="&amp;9,tblAdmissions[Sex],"F",tblAdmissions[NHIS],"Non-Insured")</f>
        <v/>
      </c>
      <c r="T7" s="12">
        <f>COUNTIFS(tblAdmissions[Month],3,tblAdmissions[AgeUnit],"Years",tblAdmissions[Age],"&gt;="&amp;5,tblAdmissions[Age],"&lt;="&amp;9,tblAdmissions[Sex],"M",tblAdmissions[NHIS],"Insured")</f>
        <v/>
      </c>
      <c r="U7" s="12">
        <f>COUNTIFS(tblAdmissions[Month],3,tblAdmissions[AgeUnit],"Years",tblAdmissions[Age],"&gt;="&amp;5,tblAdmissions[Age],"&lt;="&amp;9,tblAdmissions[Sex],"F",tblAdmissions[NHIS],"Insured")</f>
        <v/>
      </c>
      <c r="V7" s="12" t="inlineStr">
        <is>
          <t>5-9</t>
        </is>
      </c>
      <c r="W7" s="12">
        <f>COUNTIFS(tblAdmissions[Month],4,tblAdmissions[AgeUnit],"Years",tblAdmissions[Age],"&gt;="&amp;5,tblAdmissions[Age],"&lt;="&amp;9,tblAdmissions[Sex],"M")</f>
        <v/>
      </c>
      <c r="X7" s="12">
        <f>COUNTIFS(tblAdmissions[Month],4,tblAdmissions[AgeUnit],"Years",tblAdmissions[Age],"&gt;="&amp;5,tblAdmissions[Age],"&lt;="&amp;9,tblAdmissions[Sex],"F")</f>
        <v/>
      </c>
      <c r="Y7" s="12">
        <f>COUNTIFS(tblAdmissions[Month],4,tblAdmissions[AgeUnit],"Years",tblAdmissions[Age],"&gt;="&amp;5,tblAdmissions[Age],"&lt;="&amp;9,tblAdmissions[Sex],"M",tblAdmissions[NHIS],"Non-Insured")</f>
        <v/>
      </c>
      <c r="Z7" s="12">
        <f>COUNTIFS(tblAdmissions[Month],4,tblAdmissions[AgeUnit],"Years",tblAdmissions[Age],"&gt;="&amp;5,tblAdmissions[Age],"&lt;="&amp;9,tblAdmissions[Sex],"F",tblAdmissions[NHIS],"Non-Insured")</f>
        <v/>
      </c>
      <c r="AA7" s="12">
        <f>COUNTIFS(tblAdmissions[Month],4,tblAdmissions[AgeUnit],"Years",tblAdmissions[Age],"&gt;="&amp;5,tblAdmissions[Age],"&lt;="&amp;9,tblAdmissions[Sex],"M",tblAdmissions[NHIS],"Insured")</f>
        <v/>
      </c>
      <c r="AB7" s="12">
        <f>COUNTIFS(tblAdmissions[Month],4,tblAdmissions[AgeUnit],"Years",tblAdmissions[Age],"&gt;="&amp;5,tblAdmissions[Age],"&lt;="&amp;9,tblAdmissions[Sex],"F",tblAdmissions[NHIS],"Insured")</f>
        <v/>
      </c>
      <c r="AC7" s="12" t="inlineStr">
        <is>
          <t>5-9</t>
        </is>
      </c>
      <c r="AD7" s="12">
        <f>COUNTIFS(tblAdmissions[Month],5,tblAdmissions[AgeUnit],"Years",tblAdmissions[Age],"&gt;="&amp;5,tblAdmissions[Age],"&lt;="&amp;9,tblAdmissions[Sex],"M")</f>
        <v/>
      </c>
      <c r="AE7" s="12">
        <f>COUNTIFS(tblAdmissions[Month],5,tblAdmissions[AgeUnit],"Years",tblAdmissions[Age],"&gt;="&amp;5,tblAdmissions[Age],"&lt;="&amp;9,tblAdmissions[Sex],"F")</f>
        <v/>
      </c>
      <c r="AF7" s="12">
        <f>COUNTIFS(tblAdmissions[Month],5,tblAdmissions[AgeUnit],"Years",tblAdmissions[Age],"&gt;="&amp;5,tblAdmissions[Age],"&lt;="&amp;9,tblAdmissions[Sex],"M",tblAdmissions[NHIS],"Non-Insured")</f>
        <v/>
      </c>
      <c r="AG7" s="12">
        <f>COUNTIFS(tblAdmissions[Month],5,tblAdmissions[AgeUnit],"Years",tblAdmissions[Age],"&gt;="&amp;5,tblAdmissions[Age],"&lt;="&amp;9,tblAdmissions[Sex],"F",tblAdmissions[NHIS],"Non-Insured")</f>
        <v/>
      </c>
      <c r="AH7" s="12">
        <f>COUNTIFS(tblAdmissions[Month],5,tblAdmissions[AgeUnit],"Years",tblAdmissions[Age],"&gt;="&amp;5,tblAdmissions[Age],"&lt;="&amp;9,tblAdmissions[Sex],"M",tblAdmissions[NHIS],"Insured")</f>
        <v/>
      </c>
      <c r="AI7" s="12">
        <f>COUNTIFS(tblAdmissions[Month],5,tblAdmissions[AgeUnit],"Years",tblAdmissions[Age],"&gt;="&amp;5,tblAdmissions[Age],"&lt;="&amp;9,tblAdmissions[Sex],"F",tblAdmissions[NHIS],"Insured")</f>
        <v/>
      </c>
      <c r="AJ7" s="12" t="inlineStr">
        <is>
          <t>5-9</t>
        </is>
      </c>
      <c r="AK7" s="12">
        <f>COUNTIFS(tblAdmissions[Month],6,tblAdmissions[AgeUnit],"Years",tblAdmissions[Age],"&gt;="&amp;5,tblAdmissions[Age],"&lt;="&amp;9,tblAdmissions[Sex],"M")</f>
        <v/>
      </c>
      <c r="AL7" s="12">
        <f>COUNTIFS(tblAdmissions[Month],6,tblAdmissions[AgeUnit],"Years",tblAdmissions[Age],"&gt;="&amp;5,tblAdmissions[Age],"&lt;="&amp;9,tblAdmissions[Sex],"F")</f>
        <v/>
      </c>
      <c r="AM7" s="12">
        <f>COUNTIFS(tblAdmissions[Month],6,tblAdmissions[AgeUnit],"Years",tblAdmissions[Age],"&gt;="&amp;5,tblAdmissions[Age],"&lt;="&amp;9,tblAdmissions[Sex],"M",tblAdmissions[NHIS],"Non-Insured")</f>
        <v/>
      </c>
      <c r="AN7" s="12">
        <f>COUNTIFS(tblAdmissions[Month],6,tblAdmissions[AgeUnit],"Years",tblAdmissions[Age],"&gt;="&amp;5,tblAdmissions[Age],"&lt;="&amp;9,tblAdmissions[Sex],"F",tblAdmissions[NHIS],"Non-Insured")</f>
        <v/>
      </c>
      <c r="AO7" s="12">
        <f>COUNTIFS(tblAdmissions[Month],6,tblAdmissions[AgeUnit],"Years",tblAdmissions[Age],"&gt;="&amp;5,tblAdmissions[Age],"&lt;="&amp;9,tblAdmissions[Sex],"M",tblAdmissions[NHIS],"Insured")</f>
        <v/>
      </c>
      <c r="AP7" s="12">
        <f>COUNTIFS(tblAdmissions[Month],6,tblAdmissions[AgeUnit],"Years",tblAdmissions[Age],"&gt;="&amp;5,tblAdmissions[Age],"&lt;="&amp;9,tblAdmissions[Sex],"F",tblAdmissions[NHIS],"Insured")</f>
        <v/>
      </c>
      <c r="AQ7" s="12" t="inlineStr">
        <is>
          <t>5-9</t>
        </is>
      </c>
      <c r="AR7" s="12">
        <f>COUNTIFS(tblAdmissions[Month],7,tblAdmissions[AgeUnit],"Years",tblAdmissions[Age],"&gt;="&amp;5,tblAdmissions[Age],"&lt;="&amp;9,tblAdmissions[Sex],"M")</f>
        <v/>
      </c>
      <c r="AS7" s="12">
        <f>COUNTIFS(tblAdmissions[Month],7,tblAdmissions[AgeUnit],"Years",tblAdmissions[Age],"&gt;="&amp;5,tblAdmissions[Age],"&lt;="&amp;9,tblAdmissions[Sex],"F")</f>
        <v/>
      </c>
      <c r="AT7" s="12">
        <f>COUNTIFS(tblAdmissions[Month],7,tblAdmissions[AgeUnit],"Years",tblAdmissions[Age],"&gt;="&amp;5,tblAdmissions[Age],"&lt;="&amp;9,tblAdmissions[Sex],"M",tblAdmissions[NHIS],"Non-Insured")</f>
        <v/>
      </c>
      <c r="AU7" s="12">
        <f>COUNTIFS(tblAdmissions[Month],7,tblAdmissions[AgeUnit],"Years",tblAdmissions[Age],"&gt;="&amp;5,tblAdmissions[Age],"&lt;="&amp;9,tblAdmissions[Sex],"F",tblAdmissions[NHIS],"Non-Insured")</f>
        <v/>
      </c>
      <c r="AV7" s="12">
        <f>COUNTIFS(tblAdmissions[Month],7,tblAdmissions[AgeUnit],"Years",tblAdmissions[Age],"&gt;="&amp;5,tblAdmissions[Age],"&lt;="&amp;9,tblAdmissions[Sex],"M",tblAdmissions[NHIS],"Insured")</f>
        <v/>
      </c>
      <c r="AW7" s="12">
        <f>COUNTIFS(tblAdmissions[Month],7,tblAdmissions[AgeUnit],"Years",tblAdmissions[Age],"&gt;="&amp;5,tblAdmissions[Age],"&lt;="&amp;9,tblAdmissions[Sex],"F",tblAdmissions[NHIS],"Insured")</f>
        <v/>
      </c>
      <c r="AX7" s="12" t="inlineStr">
        <is>
          <t>5-9</t>
        </is>
      </c>
      <c r="AY7" s="12">
        <f>COUNTIFS(tblAdmissions[Month],8,tblAdmissions[AgeUnit],"Years",tblAdmissions[Age],"&gt;="&amp;5,tblAdmissions[Age],"&lt;="&amp;9,tblAdmissions[Sex],"M")</f>
        <v/>
      </c>
      <c r="AZ7" s="12">
        <f>COUNTIFS(tblAdmissions[Month],8,tblAdmissions[AgeUnit],"Years",tblAdmissions[Age],"&gt;="&amp;5,tblAdmissions[Age],"&lt;="&amp;9,tblAdmissions[Sex],"F")</f>
        <v/>
      </c>
      <c r="BA7" s="12">
        <f>COUNTIFS(tblAdmissions[Month],8,tblAdmissions[AgeUnit],"Years",tblAdmissions[Age],"&gt;="&amp;5,tblAdmissions[Age],"&lt;="&amp;9,tblAdmissions[Sex],"M",tblAdmissions[NHIS],"Non-Insured")</f>
        <v/>
      </c>
      <c r="BB7" s="12">
        <f>COUNTIFS(tblAdmissions[Month],8,tblAdmissions[AgeUnit],"Years",tblAdmissions[Age],"&gt;="&amp;5,tblAdmissions[Age],"&lt;="&amp;9,tblAdmissions[Sex],"F",tblAdmissions[NHIS],"Non-Insured")</f>
        <v/>
      </c>
      <c r="BC7" s="12">
        <f>COUNTIFS(tblAdmissions[Month],8,tblAdmissions[AgeUnit],"Years",tblAdmissions[Age],"&gt;="&amp;5,tblAdmissions[Age],"&lt;="&amp;9,tblAdmissions[Sex],"M",tblAdmissions[NHIS],"Insured")</f>
        <v/>
      </c>
      <c r="BD7" s="12">
        <f>COUNTIFS(tblAdmissions[Month],8,tblAdmissions[AgeUnit],"Years",tblAdmissions[Age],"&gt;="&amp;5,tblAdmissions[Age],"&lt;="&amp;9,tblAdmissions[Sex],"F",tblAdmissions[NHIS],"Insured")</f>
        <v/>
      </c>
      <c r="BE7" s="12" t="inlineStr">
        <is>
          <t>5-9</t>
        </is>
      </c>
      <c r="BF7" s="12">
        <f>COUNTIFS(tblAdmissions[Month],9,tblAdmissions[AgeUnit],"Years",tblAdmissions[Age],"&gt;="&amp;5,tblAdmissions[Age],"&lt;="&amp;9,tblAdmissions[Sex],"M")</f>
        <v/>
      </c>
      <c r="BG7" s="12">
        <f>COUNTIFS(tblAdmissions[Month],9,tblAdmissions[AgeUnit],"Years",tblAdmissions[Age],"&gt;="&amp;5,tblAdmissions[Age],"&lt;="&amp;9,tblAdmissions[Sex],"F")</f>
        <v/>
      </c>
      <c r="BH7" s="12">
        <f>COUNTIFS(tblAdmissions[Month],9,tblAdmissions[AgeUnit],"Years",tblAdmissions[Age],"&gt;="&amp;5,tblAdmissions[Age],"&lt;="&amp;9,tblAdmissions[Sex],"M",tblAdmissions[NHIS],"Non-Insured")</f>
        <v/>
      </c>
      <c r="BI7" s="12">
        <f>COUNTIFS(tblAdmissions[Month],9,tblAdmissions[AgeUnit],"Years",tblAdmissions[Age],"&gt;="&amp;5,tblAdmissions[Age],"&lt;="&amp;9,tblAdmissions[Sex],"F",tblAdmissions[NHIS],"Non-Insured")</f>
        <v/>
      </c>
      <c r="BJ7" s="12">
        <f>COUNTIFS(tblAdmissions[Month],9,tblAdmissions[AgeUnit],"Years",tblAdmissions[Age],"&gt;="&amp;5,tblAdmissions[Age],"&lt;="&amp;9,tblAdmissions[Sex],"M",tblAdmissions[NHIS],"Insured")</f>
        <v/>
      </c>
      <c r="BK7" s="12">
        <f>COUNTIFS(tblAdmissions[Month],9,tblAdmissions[AgeUnit],"Years",tblAdmissions[Age],"&gt;="&amp;5,tblAdmissions[Age],"&lt;="&amp;9,tblAdmissions[Sex],"F",tblAdmissions[NHIS],"Insured")</f>
        <v/>
      </c>
      <c r="BL7" s="12" t="inlineStr">
        <is>
          <t>5-9</t>
        </is>
      </c>
      <c r="BM7" s="12">
        <f>COUNTIFS(tblAdmissions[Month],10,tblAdmissions[AgeUnit],"Years",tblAdmissions[Age],"&gt;="&amp;5,tblAdmissions[Age],"&lt;="&amp;9,tblAdmissions[Sex],"M")</f>
        <v/>
      </c>
      <c r="BN7" s="12">
        <f>COUNTIFS(tblAdmissions[Month],10,tblAdmissions[AgeUnit],"Years",tblAdmissions[Age],"&gt;="&amp;5,tblAdmissions[Age],"&lt;="&amp;9,tblAdmissions[Sex],"F")</f>
        <v/>
      </c>
      <c r="BO7" s="12">
        <f>COUNTIFS(tblAdmissions[Month],10,tblAdmissions[AgeUnit],"Years",tblAdmissions[Age],"&gt;="&amp;5,tblAdmissions[Age],"&lt;="&amp;9,tblAdmissions[Sex],"M",tblAdmissions[NHIS],"Non-Insured")</f>
        <v/>
      </c>
      <c r="BP7" s="12">
        <f>COUNTIFS(tblAdmissions[Month],10,tblAdmissions[AgeUnit],"Years",tblAdmissions[Age],"&gt;="&amp;5,tblAdmissions[Age],"&lt;="&amp;9,tblAdmissions[Sex],"F",tblAdmissions[NHIS],"Non-Insured")</f>
        <v/>
      </c>
      <c r="BQ7" s="12">
        <f>COUNTIFS(tblAdmissions[Month],10,tblAdmissions[AgeUnit],"Years",tblAdmissions[Age],"&gt;="&amp;5,tblAdmissions[Age],"&lt;="&amp;9,tblAdmissions[Sex],"M",tblAdmissions[NHIS],"Insured")</f>
        <v/>
      </c>
      <c r="BR7" s="12">
        <f>COUNTIFS(tblAdmissions[Month],10,tblAdmissions[AgeUnit],"Years",tblAdmissions[Age],"&gt;="&amp;5,tblAdmissions[Age],"&lt;="&amp;9,tblAdmissions[Sex],"F",tblAdmissions[NHIS],"Insured")</f>
        <v/>
      </c>
      <c r="BS7" s="12" t="inlineStr">
        <is>
          <t>5-9</t>
        </is>
      </c>
      <c r="BT7" s="12">
        <f>COUNTIFS(tblAdmissions[Month],11,tblAdmissions[AgeUnit],"Years",tblAdmissions[Age],"&gt;="&amp;5,tblAdmissions[Age],"&lt;="&amp;9,tblAdmissions[Sex],"M")</f>
        <v/>
      </c>
      <c r="BU7" s="12">
        <f>COUNTIFS(tblAdmissions[Month],11,tblAdmissions[AgeUnit],"Years",tblAdmissions[Age],"&gt;="&amp;5,tblAdmissions[Age],"&lt;="&amp;9,tblAdmissions[Sex],"F")</f>
        <v/>
      </c>
      <c r="BV7" s="12">
        <f>COUNTIFS(tblAdmissions[Month],11,tblAdmissions[AgeUnit],"Years",tblAdmissions[Age],"&gt;="&amp;5,tblAdmissions[Age],"&lt;="&amp;9,tblAdmissions[Sex],"M",tblAdmissions[NHIS],"Non-Insured")</f>
        <v/>
      </c>
      <c r="BW7" s="12">
        <f>COUNTIFS(tblAdmissions[Month],11,tblAdmissions[AgeUnit],"Years",tblAdmissions[Age],"&gt;="&amp;5,tblAdmissions[Age],"&lt;="&amp;9,tblAdmissions[Sex],"F",tblAdmissions[NHIS],"Non-Insured")</f>
        <v/>
      </c>
      <c r="BX7" s="12">
        <f>COUNTIFS(tblAdmissions[Month],11,tblAdmissions[AgeUnit],"Years",tblAdmissions[Age],"&gt;="&amp;5,tblAdmissions[Age],"&lt;="&amp;9,tblAdmissions[Sex],"M",tblAdmissions[NHIS],"Insured")</f>
        <v/>
      </c>
      <c r="BY7" s="12">
        <f>COUNTIFS(tblAdmissions[Month],11,tblAdmissions[AgeUnit],"Years",tblAdmissions[Age],"&gt;="&amp;5,tblAdmissions[Age],"&lt;="&amp;9,tblAdmissions[Sex],"F",tblAdmissions[NHIS],"Insured")</f>
        <v/>
      </c>
      <c r="BZ7" s="12" t="inlineStr">
        <is>
          <t>5-9</t>
        </is>
      </c>
      <c r="CA7" s="12">
        <f>COUNTIFS(tblAdmissions[Month],12,tblAdmissions[AgeUnit],"Years",tblAdmissions[Age],"&gt;="&amp;5,tblAdmissions[Age],"&lt;="&amp;9,tblAdmissions[Sex],"M")</f>
        <v/>
      </c>
      <c r="CB7" s="12">
        <f>COUNTIFS(tblAdmissions[Month],12,tblAdmissions[AgeUnit],"Years",tblAdmissions[Age],"&gt;="&amp;5,tblAdmissions[Age],"&lt;="&amp;9,tblAdmissions[Sex],"F")</f>
        <v/>
      </c>
      <c r="CC7" s="12">
        <f>COUNTIFS(tblAdmissions[Month],12,tblAdmissions[AgeUnit],"Years",tblAdmissions[Age],"&gt;="&amp;5,tblAdmissions[Age],"&lt;="&amp;9,tblAdmissions[Sex],"M",tblAdmissions[NHIS],"Non-Insured")</f>
        <v/>
      </c>
      <c r="CD7" s="12">
        <f>COUNTIFS(tblAdmissions[Month],12,tblAdmissions[AgeUnit],"Years",tblAdmissions[Age],"&gt;="&amp;5,tblAdmissions[Age],"&lt;="&amp;9,tblAdmissions[Sex],"F",tblAdmissions[NHIS],"Non-Insured")</f>
        <v/>
      </c>
      <c r="CE7" s="12">
        <f>COUNTIFS(tblAdmissions[Month],12,tblAdmissions[AgeUnit],"Years",tblAdmissions[Age],"&gt;="&amp;5,tblAdmissions[Age],"&lt;="&amp;9,tblAdmissions[Sex],"M",tblAdmissions[NHIS],"Insured")</f>
        <v/>
      </c>
      <c r="CF7" s="12">
        <f>COUNTIFS(tblAdmissions[Month],12,tblAdmissions[AgeUnit],"Years",tblAdmissions[Age],"&gt;="&amp;5,tblAdmissions[Age],"&lt;="&amp;9,tblAdmissions[Sex],"F",tblAdmissions[NHIS],"Insured")</f>
        <v/>
      </c>
    </row>
    <row r="8">
      <c r="A8" s="12" t="inlineStr">
        <is>
          <t>10-14</t>
        </is>
      </c>
      <c r="B8" s="12">
        <f>COUNTIFS(tblAdmissions[Month],1,tblAdmissions[AgeUnit],"Years",tblAdmissions[Age],"&gt;="&amp;10,tblAdmissions[Age],"&lt;="&amp;14,tblAdmissions[Sex],"M")</f>
        <v/>
      </c>
      <c r="C8" s="12">
        <f>COUNTIFS(tblAdmissions[Month],1,tblAdmissions[AgeUnit],"Years",tblAdmissions[Age],"&gt;="&amp;10,tblAdmissions[Age],"&lt;="&amp;14,tblAdmissions[Sex],"F")</f>
        <v/>
      </c>
      <c r="D8" s="12">
        <f>COUNTIFS(tblAdmissions[Month],1,tblAdmissions[AgeUnit],"Years",tblAdmissions[Age],"&gt;="&amp;10,tblAdmissions[Age],"&lt;="&amp;14,tblAdmissions[Sex],"M",tblAdmissions[NHIS],"Non-Insured")</f>
        <v/>
      </c>
      <c r="E8" s="12">
        <f>COUNTIFS(tblAdmissions[Month],1,tblAdmissions[AgeUnit],"Years",tblAdmissions[Age],"&gt;="&amp;10,tblAdmissions[Age],"&lt;="&amp;14,tblAdmissions[Sex],"F",tblAdmissions[NHIS],"Non-Insured")</f>
        <v/>
      </c>
      <c r="F8" s="12">
        <f>COUNTIFS(tblAdmissions[Month],1,tblAdmissions[AgeUnit],"Years",tblAdmissions[Age],"&gt;="&amp;10,tblAdmissions[Age],"&lt;="&amp;14,tblAdmissions[Sex],"M",tblAdmissions[NHIS],"Insured")</f>
        <v/>
      </c>
      <c r="G8" s="12">
        <f>COUNTIFS(tblAdmissions[Month],1,tblAdmissions[AgeUnit],"Years",tblAdmissions[Age],"&gt;="&amp;10,tblAdmissions[Age],"&lt;="&amp;14,tblAdmissions[Sex],"F",tblAdmissions[NHIS],"Insured")</f>
        <v/>
      </c>
      <c r="H8" s="12" t="inlineStr">
        <is>
          <t>10-14</t>
        </is>
      </c>
      <c r="I8" s="12">
        <f>COUNTIFS(tblAdmissions[Month],2,tblAdmissions[AgeUnit],"Years",tblAdmissions[Age],"&gt;="&amp;10,tblAdmissions[Age],"&lt;="&amp;14,tblAdmissions[Sex],"M")</f>
        <v/>
      </c>
      <c r="J8" s="12">
        <f>COUNTIFS(tblAdmissions[Month],2,tblAdmissions[AgeUnit],"Years",tblAdmissions[Age],"&gt;="&amp;10,tblAdmissions[Age],"&lt;="&amp;14,tblAdmissions[Sex],"F")</f>
        <v/>
      </c>
      <c r="K8" s="12">
        <f>COUNTIFS(tblAdmissions[Month],2,tblAdmissions[AgeUnit],"Years",tblAdmissions[Age],"&gt;="&amp;10,tblAdmissions[Age],"&lt;="&amp;14,tblAdmissions[Sex],"M",tblAdmissions[NHIS],"Non-Insured")</f>
        <v/>
      </c>
      <c r="L8" s="12">
        <f>COUNTIFS(tblAdmissions[Month],2,tblAdmissions[AgeUnit],"Years",tblAdmissions[Age],"&gt;="&amp;10,tblAdmissions[Age],"&lt;="&amp;14,tblAdmissions[Sex],"F",tblAdmissions[NHIS],"Non-Insured")</f>
        <v/>
      </c>
      <c r="M8" s="12">
        <f>COUNTIFS(tblAdmissions[Month],2,tblAdmissions[AgeUnit],"Years",tblAdmissions[Age],"&gt;="&amp;10,tblAdmissions[Age],"&lt;="&amp;14,tblAdmissions[Sex],"M",tblAdmissions[NHIS],"Insured")</f>
        <v/>
      </c>
      <c r="N8" s="12">
        <f>COUNTIFS(tblAdmissions[Month],2,tblAdmissions[AgeUnit],"Years",tblAdmissions[Age],"&gt;="&amp;10,tblAdmissions[Age],"&lt;="&amp;14,tblAdmissions[Sex],"F",tblAdmissions[NHIS],"Insured")</f>
        <v/>
      </c>
      <c r="O8" s="12" t="inlineStr">
        <is>
          <t>10-14</t>
        </is>
      </c>
      <c r="P8" s="12">
        <f>COUNTIFS(tblAdmissions[Month],3,tblAdmissions[AgeUnit],"Years",tblAdmissions[Age],"&gt;="&amp;10,tblAdmissions[Age],"&lt;="&amp;14,tblAdmissions[Sex],"M")</f>
        <v/>
      </c>
      <c r="Q8" s="12">
        <f>COUNTIFS(tblAdmissions[Month],3,tblAdmissions[AgeUnit],"Years",tblAdmissions[Age],"&gt;="&amp;10,tblAdmissions[Age],"&lt;="&amp;14,tblAdmissions[Sex],"F")</f>
        <v/>
      </c>
      <c r="R8" s="12">
        <f>COUNTIFS(tblAdmissions[Month],3,tblAdmissions[AgeUnit],"Years",tblAdmissions[Age],"&gt;="&amp;10,tblAdmissions[Age],"&lt;="&amp;14,tblAdmissions[Sex],"M",tblAdmissions[NHIS],"Non-Insured")</f>
        <v/>
      </c>
      <c r="S8" s="12">
        <f>COUNTIFS(tblAdmissions[Month],3,tblAdmissions[AgeUnit],"Years",tblAdmissions[Age],"&gt;="&amp;10,tblAdmissions[Age],"&lt;="&amp;14,tblAdmissions[Sex],"F",tblAdmissions[NHIS],"Non-Insured")</f>
        <v/>
      </c>
      <c r="T8" s="12">
        <f>COUNTIFS(tblAdmissions[Month],3,tblAdmissions[AgeUnit],"Years",tblAdmissions[Age],"&gt;="&amp;10,tblAdmissions[Age],"&lt;="&amp;14,tblAdmissions[Sex],"M",tblAdmissions[NHIS],"Insured")</f>
        <v/>
      </c>
      <c r="U8" s="12">
        <f>COUNTIFS(tblAdmissions[Month],3,tblAdmissions[AgeUnit],"Years",tblAdmissions[Age],"&gt;="&amp;10,tblAdmissions[Age],"&lt;="&amp;14,tblAdmissions[Sex],"F",tblAdmissions[NHIS],"Insured")</f>
        <v/>
      </c>
      <c r="V8" s="12" t="inlineStr">
        <is>
          <t>10-14</t>
        </is>
      </c>
      <c r="W8" s="12">
        <f>COUNTIFS(tblAdmissions[Month],4,tblAdmissions[AgeUnit],"Years",tblAdmissions[Age],"&gt;="&amp;10,tblAdmissions[Age],"&lt;="&amp;14,tblAdmissions[Sex],"M")</f>
        <v/>
      </c>
      <c r="X8" s="12">
        <f>COUNTIFS(tblAdmissions[Month],4,tblAdmissions[AgeUnit],"Years",tblAdmissions[Age],"&gt;="&amp;10,tblAdmissions[Age],"&lt;="&amp;14,tblAdmissions[Sex],"F")</f>
        <v/>
      </c>
      <c r="Y8" s="12">
        <f>COUNTIFS(tblAdmissions[Month],4,tblAdmissions[AgeUnit],"Years",tblAdmissions[Age],"&gt;="&amp;10,tblAdmissions[Age],"&lt;="&amp;14,tblAdmissions[Sex],"M",tblAdmissions[NHIS],"Non-Insured")</f>
        <v/>
      </c>
      <c r="Z8" s="12">
        <f>COUNTIFS(tblAdmissions[Month],4,tblAdmissions[AgeUnit],"Years",tblAdmissions[Age],"&gt;="&amp;10,tblAdmissions[Age],"&lt;="&amp;14,tblAdmissions[Sex],"F",tblAdmissions[NHIS],"Non-Insured")</f>
        <v/>
      </c>
      <c r="AA8" s="12">
        <f>COUNTIFS(tblAdmissions[Month],4,tblAdmissions[AgeUnit],"Years",tblAdmissions[Age],"&gt;="&amp;10,tblAdmissions[Age],"&lt;="&amp;14,tblAdmissions[Sex],"M",tblAdmissions[NHIS],"Insured")</f>
        <v/>
      </c>
      <c r="AB8" s="12">
        <f>COUNTIFS(tblAdmissions[Month],4,tblAdmissions[AgeUnit],"Years",tblAdmissions[Age],"&gt;="&amp;10,tblAdmissions[Age],"&lt;="&amp;14,tblAdmissions[Sex],"F",tblAdmissions[NHIS],"Insured")</f>
        <v/>
      </c>
      <c r="AC8" s="12" t="inlineStr">
        <is>
          <t>10-14</t>
        </is>
      </c>
      <c r="AD8" s="12">
        <f>COUNTIFS(tblAdmissions[Month],5,tblAdmissions[AgeUnit],"Years",tblAdmissions[Age],"&gt;="&amp;10,tblAdmissions[Age],"&lt;="&amp;14,tblAdmissions[Sex],"M")</f>
        <v/>
      </c>
      <c r="AE8" s="12">
        <f>COUNTIFS(tblAdmissions[Month],5,tblAdmissions[AgeUnit],"Years",tblAdmissions[Age],"&gt;="&amp;10,tblAdmissions[Age],"&lt;="&amp;14,tblAdmissions[Sex],"F")</f>
        <v/>
      </c>
      <c r="AF8" s="12">
        <f>COUNTIFS(tblAdmissions[Month],5,tblAdmissions[AgeUnit],"Years",tblAdmissions[Age],"&gt;="&amp;10,tblAdmissions[Age],"&lt;="&amp;14,tblAdmissions[Sex],"M",tblAdmissions[NHIS],"Non-Insured")</f>
        <v/>
      </c>
      <c r="AG8" s="12">
        <f>COUNTIFS(tblAdmissions[Month],5,tblAdmissions[AgeUnit],"Years",tblAdmissions[Age],"&gt;="&amp;10,tblAdmissions[Age],"&lt;="&amp;14,tblAdmissions[Sex],"F",tblAdmissions[NHIS],"Non-Insured")</f>
        <v/>
      </c>
      <c r="AH8" s="12">
        <f>COUNTIFS(tblAdmissions[Month],5,tblAdmissions[AgeUnit],"Years",tblAdmissions[Age],"&gt;="&amp;10,tblAdmissions[Age],"&lt;="&amp;14,tblAdmissions[Sex],"M",tblAdmissions[NHIS],"Insured")</f>
        <v/>
      </c>
      <c r="AI8" s="12">
        <f>COUNTIFS(tblAdmissions[Month],5,tblAdmissions[AgeUnit],"Years",tblAdmissions[Age],"&gt;="&amp;10,tblAdmissions[Age],"&lt;="&amp;14,tblAdmissions[Sex],"F",tblAdmissions[NHIS],"Insured")</f>
        <v/>
      </c>
      <c r="AJ8" s="12" t="inlineStr">
        <is>
          <t>10-14</t>
        </is>
      </c>
      <c r="AK8" s="12">
        <f>COUNTIFS(tblAdmissions[Month],6,tblAdmissions[AgeUnit],"Years",tblAdmissions[Age],"&gt;="&amp;10,tblAdmissions[Age],"&lt;="&amp;14,tblAdmissions[Sex],"M")</f>
        <v/>
      </c>
      <c r="AL8" s="12">
        <f>COUNTIFS(tblAdmissions[Month],6,tblAdmissions[AgeUnit],"Years",tblAdmissions[Age],"&gt;="&amp;10,tblAdmissions[Age],"&lt;="&amp;14,tblAdmissions[Sex],"F")</f>
        <v/>
      </c>
      <c r="AM8" s="12">
        <f>COUNTIFS(tblAdmissions[Month],6,tblAdmissions[AgeUnit],"Years",tblAdmissions[Age],"&gt;="&amp;10,tblAdmissions[Age],"&lt;="&amp;14,tblAdmissions[Sex],"M",tblAdmissions[NHIS],"Non-Insured")</f>
        <v/>
      </c>
      <c r="AN8" s="12">
        <f>COUNTIFS(tblAdmissions[Month],6,tblAdmissions[AgeUnit],"Years",tblAdmissions[Age],"&gt;="&amp;10,tblAdmissions[Age],"&lt;="&amp;14,tblAdmissions[Sex],"F",tblAdmissions[NHIS],"Non-Insured")</f>
        <v/>
      </c>
      <c r="AO8" s="12">
        <f>COUNTIFS(tblAdmissions[Month],6,tblAdmissions[AgeUnit],"Years",tblAdmissions[Age],"&gt;="&amp;10,tblAdmissions[Age],"&lt;="&amp;14,tblAdmissions[Sex],"M",tblAdmissions[NHIS],"Insured")</f>
        <v/>
      </c>
      <c r="AP8" s="12">
        <f>COUNTIFS(tblAdmissions[Month],6,tblAdmissions[AgeUnit],"Years",tblAdmissions[Age],"&gt;="&amp;10,tblAdmissions[Age],"&lt;="&amp;14,tblAdmissions[Sex],"F",tblAdmissions[NHIS],"Insured")</f>
        <v/>
      </c>
      <c r="AQ8" s="12" t="inlineStr">
        <is>
          <t>10-14</t>
        </is>
      </c>
      <c r="AR8" s="12">
        <f>COUNTIFS(tblAdmissions[Month],7,tblAdmissions[AgeUnit],"Years",tblAdmissions[Age],"&gt;="&amp;10,tblAdmissions[Age],"&lt;="&amp;14,tblAdmissions[Sex],"M")</f>
        <v/>
      </c>
      <c r="AS8" s="12">
        <f>COUNTIFS(tblAdmissions[Month],7,tblAdmissions[AgeUnit],"Years",tblAdmissions[Age],"&gt;="&amp;10,tblAdmissions[Age],"&lt;="&amp;14,tblAdmissions[Sex],"F")</f>
        <v/>
      </c>
      <c r="AT8" s="12">
        <f>COUNTIFS(tblAdmissions[Month],7,tblAdmissions[AgeUnit],"Years",tblAdmissions[Age],"&gt;="&amp;10,tblAdmissions[Age],"&lt;="&amp;14,tblAdmissions[Sex],"M",tblAdmissions[NHIS],"Non-Insured")</f>
        <v/>
      </c>
      <c r="AU8" s="12">
        <f>COUNTIFS(tblAdmissions[Month],7,tblAdmissions[AgeUnit],"Years",tblAdmissions[Age],"&gt;="&amp;10,tblAdmissions[Age],"&lt;="&amp;14,tblAdmissions[Sex],"F",tblAdmissions[NHIS],"Non-Insured")</f>
        <v/>
      </c>
      <c r="AV8" s="12">
        <f>COUNTIFS(tblAdmissions[Month],7,tblAdmissions[AgeUnit],"Years",tblAdmissions[Age],"&gt;="&amp;10,tblAdmissions[Age],"&lt;="&amp;14,tblAdmissions[Sex],"M",tblAdmissions[NHIS],"Insured")</f>
        <v/>
      </c>
      <c r="AW8" s="12">
        <f>COUNTIFS(tblAdmissions[Month],7,tblAdmissions[AgeUnit],"Years",tblAdmissions[Age],"&gt;="&amp;10,tblAdmissions[Age],"&lt;="&amp;14,tblAdmissions[Sex],"F",tblAdmissions[NHIS],"Insured")</f>
        <v/>
      </c>
      <c r="AX8" s="12" t="inlineStr">
        <is>
          <t>10-14</t>
        </is>
      </c>
      <c r="AY8" s="12">
        <f>COUNTIFS(tblAdmissions[Month],8,tblAdmissions[AgeUnit],"Years",tblAdmissions[Age],"&gt;="&amp;10,tblAdmissions[Age],"&lt;="&amp;14,tblAdmissions[Sex],"M")</f>
        <v/>
      </c>
      <c r="AZ8" s="12">
        <f>COUNTIFS(tblAdmissions[Month],8,tblAdmissions[AgeUnit],"Years",tblAdmissions[Age],"&gt;="&amp;10,tblAdmissions[Age],"&lt;="&amp;14,tblAdmissions[Sex],"F")</f>
        <v/>
      </c>
      <c r="BA8" s="12">
        <f>COUNTIFS(tblAdmissions[Month],8,tblAdmissions[AgeUnit],"Years",tblAdmissions[Age],"&gt;="&amp;10,tblAdmissions[Age],"&lt;="&amp;14,tblAdmissions[Sex],"M",tblAdmissions[NHIS],"Non-Insured")</f>
        <v/>
      </c>
      <c r="BB8" s="12">
        <f>COUNTIFS(tblAdmissions[Month],8,tblAdmissions[AgeUnit],"Years",tblAdmissions[Age],"&gt;="&amp;10,tblAdmissions[Age],"&lt;="&amp;14,tblAdmissions[Sex],"F",tblAdmissions[NHIS],"Non-Insured")</f>
        <v/>
      </c>
      <c r="BC8" s="12">
        <f>COUNTIFS(tblAdmissions[Month],8,tblAdmissions[AgeUnit],"Years",tblAdmissions[Age],"&gt;="&amp;10,tblAdmissions[Age],"&lt;="&amp;14,tblAdmissions[Sex],"M",tblAdmissions[NHIS],"Insured")</f>
        <v/>
      </c>
      <c r="BD8" s="12">
        <f>COUNTIFS(tblAdmissions[Month],8,tblAdmissions[AgeUnit],"Years",tblAdmissions[Age],"&gt;="&amp;10,tblAdmissions[Age],"&lt;="&amp;14,tblAdmissions[Sex],"F",tblAdmissions[NHIS],"Insured")</f>
        <v/>
      </c>
      <c r="BE8" s="12" t="inlineStr">
        <is>
          <t>10-14</t>
        </is>
      </c>
      <c r="BF8" s="12">
        <f>COUNTIFS(tblAdmissions[Month],9,tblAdmissions[AgeUnit],"Years",tblAdmissions[Age],"&gt;="&amp;10,tblAdmissions[Age],"&lt;="&amp;14,tblAdmissions[Sex],"M")</f>
        <v/>
      </c>
      <c r="BG8" s="12">
        <f>COUNTIFS(tblAdmissions[Month],9,tblAdmissions[AgeUnit],"Years",tblAdmissions[Age],"&gt;="&amp;10,tblAdmissions[Age],"&lt;="&amp;14,tblAdmissions[Sex],"F")</f>
        <v/>
      </c>
      <c r="BH8" s="12">
        <f>COUNTIFS(tblAdmissions[Month],9,tblAdmissions[AgeUnit],"Years",tblAdmissions[Age],"&gt;="&amp;10,tblAdmissions[Age],"&lt;="&amp;14,tblAdmissions[Sex],"M",tblAdmissions[NHIS],"Non-Insured")</f>
        <v/>
      </c>
      <c r="BI8" s="12">
        <f>COUNTIFS(tblAdmissions[Month],9,tblAdmissions[AgeUnit],"Years",tblAdmissions[Age],"&gt;="&amp;10,tblAdmissions[Age],"&lt;="&amp;14,tblAdmissions[Sex],"F",tblAdmissions[NHIS],"Non-Insured")</f>
        <v/>
      </c>
      <c r="BJ8" s="12">
        <f>COUNTIFS(tblAdmissions[Month],9,tblAdmissions[AgeUnit],"Years",tblAdmissions[Age],"&gt;="&amp;10,tblAdmissions[Age],"&lt;="&amp;14,tblAdmissions[Sex],"M",tblAdmissions[NHIS],"Insured")</f>
        <v/>
      </c>
      <c r="BK8" s="12">
        <f>COUNTIFS(tblAdmissions[Month],9,tblAdmissions[AgeUnit],"Years",tblAdmissions[Age],"&gt;="&amp;10,tblAdmissions[Age],"&lt;="&amp;14,tblAdmissions[Sex],"F",tblAdmissions[NHIS],"Insured")</f>
        <v/>
      </c>
      <c r="BL8" s="12" t="inlineStr">
        <is>
          <t>10-14</t>
        </is>
      </c>
      <c r="BM8" s="12">
        <f>COUNTIFS(tblAdmissions[Month],10,tblAdmissions[AgeUnit],"Years",tblAdmissions[Age],"&gt;="&amp;10,tblAdmissions[Age],"&lt;="&amp;14,tblAdmissions[Sex],"M")</f>
        <v/>
      </c>
      <c r="BN8" s="12">
        <f>COUNTIFS(tblAdmissions[Month],10,tblAdmissions[AgeUnit],"Years",tblAdmissions[Age],"&gt;="&amp;10,tblAdmissions[Age],"&lt;="&amp;14,tblAdmissions[Sex],"F")</f>
        <v/>
      </c>
      <c r="BO8" s="12">
        <f>COUNTIFS(tblAdmissions[Month],10,tblAdmissions[AgeUnit],"Years",tblAdmissions[Age],"&gt;="&amp;10,tblAdmissions[Age],"&lt;="&amp;14,tblAdmissions[Sex],"M",tblAdmissions[NHIS],"Non-Insured")</f>
        <v/>
      </c>
      <c r="BP8" s="12">
        <f>COUNTIFS(tblAdmissions[Month],10,tblAdmissions[AgeUnit],"Years",tblAdmissions[Age],"&gt;="&amp;10,tblAdmissions[Age],"&lt;="&amp;14,tblAdmissions[Sex],"F",tblAdmissions[NHIS],"Non-Insured")</f>
        <v/>
      </c>
      <c r="BQ8" s="12">
        <f>COUNTIFS(tblAdmissions[Month],10,tblAdmissions[AgeUnit],"Years",tblAdmissions[Age],"&gt;="&amp;10,tblAdmissions[Age],"&lt;="&amp;14,tblAdmissions[Sex],"M",tblAdmissions[NHIS],"Insured")</f>
        <v/>
      </c>
      <c r="BR8" s="12">
        <f>COUNTIFS(tblAdmissions[Month],10,tblAdmissions[AgeUnit],"Years",tblAdmissions[Age],"&gt;="&amp;10,tblAdmissions[Age],"&lt;="&amp;14,tblAdmissions[Sex],"F",tblAdmissions[NHIS],"Insured")</f>
        <v/>
      </c>
      <c r="BS8" s="12" t="inlineStr">
        <is>
          <t>10-14</t>
        </is>
      </c>
      <c r="BT8" s="12">
        <f>COUNTIFS(tblAdmissions[Month],11,tblAdmissions[AgeUnit],"Years",tblAdmissions[Age],"&gt;="&amp;10,tblAdmissions[Age],"&lt;="&amp;14,tblAdmissions[Sex],"M")</f>
        <v/>
      </c>
      <c r="BU8" s="12">
        <f>COUNTIFS(tblAdmissions[Month],11,tblAdmissions[AgeUnit],"Years",tblAdmissions[Age],"&gt;="&amp;10,tblAdmissions[Age],"&lt;="&amp;14,tblAdmissions[Sex],"F")</f>
        <v/>
      </c>
      <c r="BV8" s="12">
        <f>COUNTIFS(tblAdmissions[Month],11,tblAdmissions[AgeUnit],"Years",tblAdmissions[Age],"&gt;="&amp;10,tblAdmissions[Age],"&lt;="&amp;14,tblAdmissions[Sex],"M",tblAdmissions[NHIS],"Non-Insured")</f>
        <v/>
      </c>
      <c r="BW8" s="12">
        <f>COUNTIFS(tblAdmissions[Month],11,tblAdmissions[AgeUnit],"Years",tblAdmissions[Age],"&gt;="&amp;10,tblAdmissions[Age],"&lt;="&amp;14,tblAdmissions[Sex],"F",tblAdmissions[NHIS],"Non-Insured")</f>
        <v/>
      </c>
      <c r="BX8" s="12">
        <f>COUNTIFS(tblAdmissions[Month],11,tblAdmissions[AgeUnit],"Years",tblAdmissions[Age],"&gt;="&amp;10,tblAdmissions[Age],"&lt;="&amp;14,tblAdmissions[Sex],"M",tblAdmissions[NHIS],"Insured")</f>
        <v/>
      </c>
      <c r="BY8" s="12">
        <f>COUNTIFS(tblAdmissions[Month],11,tblAdmissions[AgeUnit],"Years",tblAdmissions[Age],"&gt;="&amp;10,tblAdmissions[Age],"&lt;="&amp;14,tblAdmissions[Sex],"F",tblAdmissions[NHIS],"Insured")</f>
        <v/>
      </c>
      <c r="BZ8" s="12" t="inlineStr">
        <is>
          <t>10-14</t>
        </is>
      </c>
      <c r="CA8" s="12">
        <f>COUNTIFS(tblAdmissions[Month],12,tblAdmissions[AgeUnit],"Years",tblAdmissions[Age],"&gt;="&amp;10,tblAdmissions[Age],"&lt;="&amp;14,tblAdmissions[Sex],"M")</f>
        <v/>
      </c>
      <c r="CB8" s="12">
        <f>COUNTIFS(tblAdmissions[Month],12,tblAdmissions[AgeUnit],"Years",tblAdmissions[Age],"&gt;="&amp;10,tblAdmissions[Age],"&lt;="&amp;14,tblAdmissions[Sex],"F")</f>
        <v/>
      </c>
      <c r="CC8" s="12">
        <f>COUNTIFS(tblAdmissions[Month],12,tblAdmissions[AgeUnit],"Years",tblAdmissions[Age],"&gt;="&amp;10,tblAdmissions[Age],"&lt;="&amp;14,tblAdmissions[Sex],"M",tblAdmissions[NHIS],"Non-Insured")</f>
        <v/>
      </c>
      <c r="CD8" s="12">
        <f>COUNTIFS(tblAdmissions[Month],12,tblAdmissions[AgeUnit],"Years",tblAdmissions[Age],"&gt;="&amp;10,tblAdmissions[Age],"&lt;="&amp;14,tblAdmissions[Sex],"F",tblAdmissions[NHIS],"Non-Insured")</f>
        <v/>
      </c>
      <c r="CE8" s="12">
        <f>COUNTIFS(tblAdmissions[Month],12,tblAdmissions[AgeUnit],"Years",tblAdmissions[Age],"&gt;="&amp;10,tblAdmissions[Age],"&lt;="&amp;14,tblAdmissions[Sex],"M",tblAdmissions[NHIS],"Insured")</f>
        <v/>
      </c>
      <c r="CF8" s="12">
        <f>COUNTIFS(tblAdmissions[Month],12,tblAdmissions[AgeUnit],"Years",tblAdmissions[Age],"&gt;="&amp;10,tblAdmissions[Age],"&lt;="&amp;14,tblAdmissions[Sex],"F",tblAdmissions[NHIS],"Insured")</f>
        <v/>
      </c>
    </row>
    <row r="9">
      <c r="A9" s="12" t="inlineStr">
        <is>
          <t>15-17</t>
        </is>
      </c>
      <c r="B9" s="12">
        <f>COUNTIFS(tblAdmissions[Month],1,tblAdmissions[AgeUnit],"Years",tblAdmissions[Age],"&gt;="&amp;15,tblAdmissions[Age],"&lt;="&amp;17,tblAdmissions[Sex],"M")</f>
        <v/>
      </c>
      <c r="C9" s="12">
        <f>COUNTIFS(tblAdmissions[Month],1,tblAdmissions[AgeUnit],"Years",tblAdmissions[Age],"&gt;="&amp;15,tblAdmissions[Age],"&lt;="&amp;17,tblAdmissions[Sex],"F")</f>
        <v/>
      </c>
      <c r="D9" s="12">
        <f>COUNTIFS(tblAdmissions[Month],1,tblAdmissions[AgeUnit],"Years",tblAdmissions[Age],"&gt;="&amp;15,tblAdmissions[Age],"&lt;="&amp;17,tblAdmissions[Sex],"M",tblAdmissions[NHIS],"Non-Insured")</f>
        <v/>
      </c>
      <c r="E9" s="12">
        <f>COUNTIFS(tblAdmissions[Month],1,tblAdmissions[AgeUnit],"Years",tblAdmissions[Age],"&gt;="&amp;15,tblAdmissions[Age],"&lt;="&amp;17,tblAdmissions[Sex],"F",tblAdmissions[NHIS],"Non-Insured")</f>
        <v/>
      </c>
      <c r="F9" s="12">
        <f>COUNTIFS(tblAdmissions[Month],1,tblAdmissions[AgeUnit],"Years",tblAdmissions[Age],"&gt;="&amp;15,tblAdmissions[Age],"&lt;="&amp;17,tblAdmissions[Sex],"M",tblAdmissions[NHIS],"Insured")</f>
        <v/>
      </c>
      <c r="G9" s="12">
        <f>COUNTIFS(tblAdmissions[Month],1,tblAdmissions[AgeUnit],"Years",tblAdmissions[Age],"&gt;="&amp;15,tblAdmissions[Age],"&lt;="&amp;17,tblAdmissions[Sex],"F",tblAdmissions[NHIS],"Insured")</f>
        <v/>
      </c>
      <c r="H9" s="12" t="inlineStr">
        <is>
          <t>15-17</t>
        </is>
      </c>
      <c r="I9" s="12">
        <f>COUNTIFS(tblAdmissions[Month],2,tblAdmissions[AgeUnit],"Years",tblAdmissions[Age],"&gt;="&amp;15,tblAdmissions[Age],"&lt;="&amp;17,tblAdmissions[Sex],"M")</f>
        <v/>
      </c>
      <c r="J9" s="12">
        <f>COUNTIFS(tblAdmissions[Month],2,tblAdmissions[AgeUnit],"Years",tblAdmissions[Age],"&gt;="&amp;15,tblAdmissions[Age],"&lt;="&amp;17,tblAdmissions[Sex],"F")</f>
        <v/>
      </c>
      <c r="K9" s="12">
        <f>COUNTIFS(tblAdmissions[Month],2,tblAdmissions[AgeUnit],"Years",tblAdmissions[Age],"&gt;="&amp;15,tblAdmissions[Age],"&lt;="&amp;17,tblAdmissions[Sex],"M",tblAdmissions[NHIS],"Non-Insured")</f>
        <v/>
      </c>
      <c r="L9" s="12">
        <f>COUNTIFS(tblAdmissions[Month],2,tblAdmissions[AgeUnit],"Years",tblAdmissions[Age],"&gt;="&amp;15,tblAdmissions[Age],"&lt;="&amp;17,tblAdmissions[Sex],"F",tblAdmissions[NHIS],"Non-Insured")</f>
        <v/>
      </c>
      <c r="M9" s="12">
        <f>COUNTIFS(tblAdmissions[Month],2,tblAdmissions[AgeUnit],"Years",tblAdmissions[Age],"&gt;="&amp;15,tblAdmissions[Age],"&lt;="&amp;17,tblAdmissions[Sex],"M",tblAdmissions[NHIS],"Insured")</f>
        <v/>
      </c>
      <c r="N9" s="12">
        <f>COUNTIFS(tblAdmissions[Month],2,tblAdmissions[AgeUnit],"Years",tblAdmissions[Age],"&gt;="&amp;15,tblAdmissions[Age],"&lt;="&amp;17,tblAdmissions[Sex],"F",tblAdmissions[NHIS],"Insured")</f>
        <v/>
      </c>
      <c r="O9" s="12" t="inlineStr">
        <is>
          <t>15-17</t>
        </is>
      </c>
      <c r="P9" s="12">
        <f>COUNTIFS(tblAdmissions[Month],3,tblAdmissions[AgeUnit],"Years",tblAdmissions[Age],"&gt;="&amp;15,tblAdmissions[Age],"&lt;="&amp;17,tblAdmissions[Sex],"M")</f>
        <v/>
      </c>
      <c r="Q9" s="12">
        <f>COUNTIFS(tblAdmissions[Month],3,tblAdmissions[AgeUnit],"Years",tblAdmissions[Age],"&gt;="&amp;15,tblAdmissions[Age],"&lt;="&amp;17,tblAdmissions[Sex],"F")</f>
        <v/>
      </c>
      <c r="R9" s="12">
        <f>COUNTIFS(tblAdmissions[Month],3,tblAdmissions[AgeUnit],"Years",tblAdmissions[Age],"&gt;="&amp;15,tblAdmissions[Age],"&lt;="&amp;17,tblAdmissions[Sex],"M",tblAdmissions[NHIS],"Non-Insured")</f>
        <v/>
      </c>
      <c r="S9" s="12">
        <f>COUNTIFS(tblAdmissions[Month],3,tblAdmissions[AgeUnit],"Years",tblAdmissions[Age],"&gt;="&amp;15,tblAdmissions[Age],"&lt;="&amp;17,tblAdmissions[Sex],"F",tblAdmissions[NHIS],"Non-Insured")</f>
        <v/>
      </c>
      <c r="T9" s="12">
        <f>COUNTIFS(tblAdmissions[Month],3,tblAdmissions[AgeUnit],"Years",tblAdmissions[Age],"&gt;="&amp;15,tblAdmissions[Age],"&lt;="&amp;17,tblAdmissions[Sex],"M",tblAdmissions[NHIS],"Insured")</f>
        <v/>
      </c>
      <c r="U9" s="12">
        <f>COUNTIFS(tblAdmissions[Month],3,tblAdmissions[AgeUnit],"Years",tblAdmissions[Age],"&gt;="&amp;15,tblAdmissions[Age],"&lt;="&amp;17,tblAdmissions[Sex],"F",tblAdmissions[NHIS],"Insured")</f>
        <v/>
      </c>
      <c r="V9" s="12" t="inlineStr">
        <is>
          <t>15-17</t>
        </is>
      </c>
      <c r="W9" s="12">
        <f>COUNTIFS(tblAdmissions[Month],4,tblAdmissions[AgeUnit],"Years",tblAdmissions[Age],"&gt;="&amp;15,tblAdmissions[Age],"&lt;="&amp;17,tblAdmissions[Sex],"M")</f>
        <v/>
      </c>
      <c r="X9" s="12">
        <f>COUNTIFS(tblAdmissions[Month],4,tblAdmissions[AgeUnit],"Years",tblAdmissions[Age],"&gt;="&amp;15,tblAdmissions[Age],"&lt;="&amp;17,tblAdmissions[Sex],"F")</f>
        <v/>
      </c>
      <c r="Y9" s="12">
        <f>COUNTIFS(tblAdmissions[Month],4,tblAdmissions[AgeUnit],"Years",tblAdmissions[Age],"&gt;="&amp;15,tblAdmissions[Age],"&lt;="&amp;17,tblAdmissions[Sex],"M",tblAdmissions[NHIS],"Non-Insured")</f>
        <v/>
      </c>
      <c r="Z9" s="12">
        <f>COUNTIFS(tblAdmissions[Month],4,tblAdmissions[AgeUnit],"Years",tblAdmissions[Age],"&gt;="&amp;15,tblAdmissions[Age],"&lt;="&amp;17,tblAdmissions[Sex],"F",tblAdmissions[NHIS],"Non-Insured")</f>
        <v/>
      </c>
      <c r="AA9" s="12">
        <f>COUNTIFS(tblAdmissions[Month],4,tblAdmissions[AgeUnit],"Years",tblAdmissions[Age],"&gt;="&amp;15,tblAdmissions[Age],"&lt;="&amp;17,tblAdmissions[Sex],"M",tblAdmissions[NHIS],"Insured")</f>
        <v/>
      </c>
      <c r="AB9" s="12">
        <f>COUNTIFS(tblAdmissions[Month],4,tblAdmissions[AgeUnit],"Years",tblAdmissions[Age],"&gt;="&amp;15,tblAdmissions[Age],"&lt;="&amp;17,tblAdmissions[Sex],"F",tblAdmissions[NHIS],"Insured")</f>
        <v/>
      </c>
      <c r="AC9" s="12" t="inlineStr">
        <is>
          <t>15-17</t>
        </is>
      </c>
      <c r="AD9" s="12">
        <f>COUNTIFS(tblAdmissions[Month],5,tblAdmissions[AgeUnit],"Years",tblAdmissions[Age],"&gt;="&amp;15,tblAdmissions[Age],"&lt;="&amp;17,tblAdmissions[Sex],"M")</f>
        <v/>
      </c>
      <c r="AE9" s="12">
        <f>COUNTIFS(tblAdmissions[Month],5,tblAdmissions[AgeUnit],"Years",tblAdmissions[Age],"&gt;="&amp;15,tblAdmissions[Age],"&lt;="&amp;17,tblAdmissions[Sex],"F")</f>
        <v/>
      </c>
      <c r="AF9" s="12">
        <f>COUNTIFS(tblAdmissions[Month],5,tblAdmissions[AgeUnit],"Years",tblAdmissions[Age],"&gt;="&amp;15,tblAdmissions[Age],"&lt;="&amp;17,tblAdmissions[Sex],"M",tblAdmissions[NHIS],"Non-Insured")</f>
        <v/>
      </c>
      <c r="AG9" s="12">
        <f>COUNTIFS(tblAdmissions[Month],5,tblAdmissions[AgeUnit],"Years",tblAdmissions[Age],"&gt;="&amp;15,tblAdmissions[Age],"&lt;="&amp;17,tblAdmissions[Sex],"F",tblAdmissions[NHIS],"Non-Insured")</f>
        <v/>
      </c>
      <c r="AH9" s="12">
        <f>COUNTIFS(tblAdmissions[Month],5,tblAdmissions[AgeUnit],"Years",tblAdmissions[Age],"&gt;="&amp;15,tblAdmissions[Age],"&lt;="&amp;17,tblAdmissions[Sex],"M",tblAdmissions[NHIS],"Insured")</f>
        <v/>
      </c>
      <c r="AI9" s="12">
        <f>COUNTIFS(tblAdmissions[Month],5,tblAdmissions[AgeUnit],"Years",tblAdmissions[Age],"&gt;="&amp;15,tblAdmissions[Age],"&lt;="&amp;17,tblAdmissions[Sex],"F",tblAdmissions[NHIS],"Insured")</f>
        <v/>
      </c>
      <c r="AJ9" s="12" t="inlineStr">
        <is>
          <t>15-17</t>
        </is>
      </c>
      <c r="AK9" s="12">
        <f>COUNTIFS(tblAdmissions[Month],6,tblAdmissions[AgeUnit],"Years",tblAdmissions[Age],"&gt;="&amp;15,tblAdmissions[Age],"&lt;="&amp;17,tblAdmissions[Sex],"M")</f>
        <v/>
      </c>
      <c r="AL9" s="12">
        <f>COUNTIFS(tblAdmissions[Month],6,tblAdmissions[AgeUnit],"Years",tblAdmissions[Age],"&gt;="&amp;15,tblAdmissions[Age],"&lt;="&amp;17,tblAdmissions[Sex],"F")</f>
        <v/>
      </c>
      <c r="AM9" s="12">
        <f>COUNTIFS(tblAdmissions[Month],6,tblAdmissions[AgeUnit],"Years",tblAdmissions[Age],"&gt;="&amp;15,tblAdmissions[Age],"&lt;="&amp;17,tblAdmissions[Sex],"M",tblAdmissions[NHIS],"Non-Insured")</f>
        <v/>
      </c>
      <c r="AN9" s="12">
        <f>COUNTIFS(tblAdmissions[Month],6,tblAdmissions[AgeUnit],"Years",tblAdmissions[Age],"&gt;="&amp;15,tblAdmissions[Age],"&lt;="&amp;17,tblAdmissions[Sex],"F",tblAdmissions[NHIS],"Non-Insured")</f>
        <v/>
      </c>
      <c r="AO9" s="12">
        <f>COUNTIFS(tblAdmissions[Month],6,tblAdmissions[AgeUnit],"Years",tblAdmissions[Age],"&gt;="&amp;15,tblAdmissions[Age],"&lt;="&amp;17,tblAdmissions[Sex],"M",tblAdmissions[NHIS],"Insured")</f>
        <v/>
      </c>
      <c r="AP9" s="12">
        <f>COUNTIFS(tblAdmissions[Month],6,tblAdmissions[AgeUnit],"Years",tblAdmissions[Age],"&gt;="&amp;15,tblAdmissions[Age],"&lt;="&amp;17,tblAdmissions[Sex],"F",tblAdmissions[NHIS],"Insured")</f>
        <v/>
      </c>
      <c r="AQ9" s="12" t="inlineStr">
        <is>
          <t>15-17</t>
        </is>
      </c>
      <c r="AR9" s="12">
        <f>COUNTIFS(tblAdmissions[Month],7,tblAdmissions[AgeUnit],"Years",tblAdmissions[Age],"&gt;="&amp;15,tblAdmissions[Age],"&lt;="&amp;17,tblAdmissions[Sex],"M")</f>
        <v/>
      </c>
      <c r="AS9" s="12">
        <f>COUNTIFS(tblAdmissions[Month],7,tblAdmissions[AgeUnit],"Years",tblAdmissions[Age],"&gt;="&amp;15,tblAdmissions[Age],"&lt;="&amp;17,tblAdmissions[Sex],"F")</f>
        <v/>
      </c>
      <c r="AT9" s="12">
        <f>COUNTIFS(tblAdmissions[Month],7,tblAdmissions[AgeUnit],"Years",tblAdmissions[Age],"&gt;="&amp;15,tblAdmissions[Age],"&lt;="&amp;17,tblAdmissions[Sex],"M",tblAdmissions[NHIS],"Non-Insured")</f>
        <v/>
      </c>
      <c r="AU9" s="12">
        <f>COUNTIFS(tblAdmissions[Month],7,tblAdmissions[AgeUnit],"Years",tblAdmissions[Age],"&gt;="&amp;15,tblAdmissions[Age],"&lt;="&amp;17,tblAdmissions[Sex],"F",tblAdmissions[NHIS],"Non-Insured")</f>
        <v/>
      </c>
      <c r="AV9" s="12">
        <f>COUNTIFS(tblAdmissions[Month],7,tblAdmissions[AgeUnit],"Years",tblAdmissions[Age],"&gt;="&amp;15,tblAdmissions[Age],"&lt;="&amp;17,tblAdmissions[Sex],"M",tblAdmissions[NHIS],"Insured")</f>
        <v/>
      </c>
      <c r="AW9" s="12">
        <f>COUNTIFS(tblAdmissions[Month],7,tblAdmissions[AgeUnit],"Years",tblAdmissions[Age],"&gt;="&amp;15,tblAdmissions[Age],"&lt;="&amp;17,tblAdmissions[Sex],"F",tblAdmissions[NHIS],"Insured")</f>
        <v/>
      </c>
      <c r="AX9" s="12" t="inlineStr">
        <is>
          <t>15-17</t>
        </is>
      </c>
      <c r="AY9" s="12">
        <f>COUNTIFS(tblAdmissions[Month],8,tblAdmissions[AgeUnit],"Years",tblAdmissions[Age],"&gt;="&amp;15,tblAdmissions[Age],"&lt;="&amp;17,tblAdmissions[Sex],"M")</f>
        <v/>
      </c>
      <c r="AZ9" s="12">
        <f>COUNTIFS(tblAdmissions[Month],8,tblAdmissions[AgeUnit],"Years",tblAdmissions[Age],"&gt;="&amp;15,tblAdmissions[Age],"&lt;="&amp;17,tblAdmissions[Sex],"F")</f>
        <v/>
      </c>
      <c r="BA9" s="12">
        <f>COUNTIFS(tblAdmissions[Month],8,tblAdmissions[AgeUnit],"Years",tblAdmissions[Age],"&gt;="&amp;15,tblAdmissions[Age],"&lt;="&amp;17,tblAdmissions[Sex],"M",tblAdmissions[NHIS],"Non-Insured")</f>
        <v/>
      </c>
      <c r="BB9" s="12">
        <f>COUNTIFS(tblAdmissions[Month],8,tblAdmissions[AgeUnit],"Years",tblAdmissions[Age],"&gt;="&amp;15,tblAdmissions[Age],"&lt;="&amp;17,tblAdmissions[Sex],"F",tblAdmissions[NHIS],"Non-Insured")</f>
        <v/>
      </c>
      <c r="BC9" s="12">
        <f>COUNTIFS(tblAdmissions[Month],8,tblAdmissions[AgeUnit],"Years",tblAdmissions[Age],"&gt;="&amp;15,tblAdmissions[Age],"&lt;="&amp;17,tblAdmissions[Sex],"M",tblAdmissions[NHIS],"Insured")</f>
        <v/>
      </c>
      <c r="BD9" s="12">
        <f>COUNTIFS(tblAdmissions[Month],8,tblAdmissions[AgeUnit],"Years",tblAdmissions[Age],"&gt;="&amp;15,tblAdmissions[Age],"&lt;="&amp;17,tblAdmissions[Sex],"F",tblAdmissions[NHIS],"Insured")</f>
        <v/>
      </c>
      <c r="BE9" s="12" t="inlineStr">
        <is>
          <t>15-17</t>
        </is>
      </c>
      <c r="BF9" s="12">
        <f>COUNTIFS(tblAdmissions[Month],9,tblAdmissions[AgeUnit],"Years",tblAdmissions[Age],"&gt;="&amp;15,tblAdmissions[Age],"&lt;="&amp;17,tblAdmissions[Sex],"M")</f>
        <v/>
      </c>
      <c r="BG9" s="12">
        <f>COUNTIFS(tblAdmissions[Month],9,tblAdmissions[AgeUnit],"Years",tblAdmissions[Age],"&gt;="&amp;15,tblAdmissions[Age],"&lt;="&amp;17,tblAdmissions[Sex],"F")</f>
        <v/>
      </c>
      <c r="BH9" s="12">
        <f>COUNTIFS(tblAdmissions[Month],9,tblAdmissions[AgeUnit],"Years",tblAdmissions[Age],"&gt;="&amp;15,tblAdmissions[Age],"&lt;="&amp;17,tblAdmissions[Sex],"M",tblAdmissions[NHIS],"Non-Insured")</f>
        <v/>
      </c>
      <c r="BI9" s="12">
        <f>COUNTIFS(tblAdmissions[Month],9,tblAdmissions[AgeUnit],"Years",tblAdmissions[Age],"&gt;="&amp;15,tblAdmissions[Age],"&lt;="&amp;17,tblAdmissions[Sex],"F",tblAdmissions[NHIS],"Non-Insured")</f>
        <v/>
      </c>
      <c r="BJ9" s="12">
        <f>COUNTIFS(tblAdmissions[Month],9,tblAdmissions[AgeUnit],"Years",tblAdmissions[Age],"&gt;="&amp;15,tblAdmissions[Age],"&lt;="&amp;17,tblAdmissions[Sex],"M",tblAdmissions[NHIS],"Insured")</f>
        <v/>
      </c>
      <c r="BK9" s="12">
        <f>COUNTIFS(tblAdmissions[Month],9,tblAdmissions[AgeUnit],"Years",tblAdmissions[Age],"&gt;="&amp;15,tblAdmissions[Age],"&lt;="&amp;17,tblAdmissions[Sex],"F",tblAdmissions[NHIS],"Insured")</f>
        <v/>
      </c>
      <c r="BL9" s="12" t="inlineStr">
        <is>
          <t>15-17</t>
        </is>
      </c>
      <c r="BM9" s="12">
        <f>COUNTIFS(tblAdmissions[Month],10,tblAdmissions[AgeUnit],"Years",tblAdmissions[Age],"&gt;="&amp;15,tblAdmissions[Age],"&lt;="&amp;17,tblAdmissions[Sex],"M")</f>
        <v/>
      </c>
      <c r="BN9" s="12">
        <f>COUNTIFS(tblAdmissions[Month],10,tblAdmissions[AgeUnit],"Years",tblAdmissions[Age],"&gt;="&amp;15,tblAdmissions[Age],"&lt;="&amp;17,tblAdmissions[Sex],"F")</f>
        <v/>
      </c>
      <c r="BO9" s="12">
        <f>COUNTIFS(tblAdmissions[Month],10,tblAdmissions[AgeUnit],"Years",tblAdmissions[Age],"&gt;="&amp;15,tblAdmissions[Age],"&lt;="&amp;17,tblAdmissions[Sex],"M",tblAdmissions[NHIS],"Non-Insured")</f>
        <v/>
      </c>
      <c r="BP9" s="12">
        <f>COUNTIFS(tblAdmissions[Month],10,tblAdmissions[AgeUnit],"Years",tblAdmissions[Age],"&gt;="&amp;15,tblAdmissions[Age],"&lt;="&amp;17,tblAdmissions[Sex],"F",tblAdmissions[NHIS],"Non-Insured")</f>
        <v/>
      </c>
      <c r="BQ9" s="12">
        <f>COUNTIFS(tblAdmissions[Month],10,tblAdmissions[AgeUnit],"Years",tblAdmissions[Age],"&gt;="&amp;15,tblAdmissions[Age],"&lt;="&amp;17,tblAdmissions[Sex],"M",tblAdmissions[NHIS],"Insured")</f>
        <v/>
      </c>
      <c r="BR9" s="12">
        <f>COUNTIFS(tblAdmissions[Month],10,tblAdmissions[AgeUnit],"Years",tblAdmissions[Age],"&gt;="&amp;15,tblAdmissions[Age],"&lt;="&amp;17,tblAdmissions[Sex],"F",tblAdmissions[NHIS],"Insured")</f>
        <v/>
      </c>
      <c r="BS9" s="12" t="inlineStr">
        <is>
          <t>15-17</t>
        </is>
      </c>
      <c r="BT9" s="12">
        <f>COUNTIFS(tblAdmissions[Month],11,tblAdmissions[AgeUnit],"Years",tblAdmissions[Age],"&gt;="&amp;15,tblAdmissions[Age],"&lt;="&amp;17,tblAdmissions[Sex],"M")</f>
        <v/>
      </c>
      <c r="BU9" s="12">
        <f>COUNTIFS(tblAdmissions[Month],11,tblAdmissions[AgeUnit],"Years",tblAdmissions[Age],"&gt;="&amp;15,tblAdmissions[Age],"&lt;="&amp;17,tblAdmissions[Sex],"F")</f>
        <v/>
      </c>
      <c r="BV9" s="12">
        <f>COUNTIFS(tblAdmissions[Month],11,tblAdmissions[AgeUnit],"Years",tblAdmissions[Age],"&gt;="&amp;15,tblAdmissions[Age],"&lt;="&amp;17,tblAdmissions[Sex],"M",tblAdmissions[NHIS],"Non-Insured")</f>
        <v/>
      </c>
      <c r="BW9" s="12">
        <f>COUNTIFS(tblAdmissions[Month],11,tblAdmissions[AgeUnit],"Years",tblAdmissions[Age],"&gt;="&amp;15,tblAdmissions[Age],"&lt;="&amp;17,tblAdmissions[Sex],"F",tblAdmissions[NHIS],"Non-Insured")</f>
        <v/>
      </c>
      <c r="BX9" s="12">
        <f>COUNTIFS(tblAdmissions[Month],11,tblAdmissions[AgeUnit],"Years",tblAdmissions[Age],"&gt;="&amp;15,tblAdmissions[Age],"&lt;="&amp;17,tblAdmissions[Sex],"M",tblAdmissions[NHIS],"Insured")</f>
        <v/>
      </c>
      <c r="BY9" s="12">
        <f>COUNTIFS(tblAdmissions[Month],11,tblAdmissions[AgeUnit],"Years",tblAdmissions[Age],"&gt;="&amp;15,tblAdmissions[Age],"&lt;="&amp;17,tblAdmissions[Sex],"F",tblAdmissions[NHIS],"Insured")</f>
        <v/>
      </c>
      <c r="BZ9" s="12" t="inlineStr">
        <is>
          <t>15-17</t>
        </is>
      </c>
      <c r="CA9" s="12">
        <f>COUNTIFS(tblAdmissions[Month],12,tblAdmissions[AgeUnit],"Years",tblAdmissions[Age],"&gt;="&amp;15,tblAdmissions[Age],"&lt;="&amp;17,tblAdmissions[Sex],"M")</f>
        <v/>
      </c>
      <c r="CB9" s="12">
        <f>COUNTIFS(tblAdmissions[Month],12,tblAdmissions[AgeUnit],"Years",tblAdmissions[Age],"&gt;="&amp;15,tblAdmissions[Age],"&lt;="&amp;17,tblAdmissions[Sex],"F")</f>
        <v/>
      </c>
      <c r="CC9" s="12">
        <f>COUNTIFS(tblAdmissions[Month],12,tblAdmissions[AgeUnit],"Years",tblAdmissions[Age],"&gt;="&amp;15,tblAdmissions[Age],"&lt;="&amp;17,tblAdmissions[Sex],"M",tblAdmissions[NHIS],"Non-Insured")</f>
        <v/>
      </c>
      <c r="CD9" s="12">
        <f>COUNTIFS(tblAdmissions[Month],12,tblAdmissions[AgeUnit],"Years",tblAdmissions[Age],"&gt;="&amp;15,tblAdmissions[Age],"&lt;="&amp;17,tblAdmissions[Sex],"F",tblAdmissions[NHIS],"Non-Insured")</f>
        <v/>
      </c>
      <c r="CE9" s="12">
        <f>COUNTIFS(tblAdmissions[Month],12,tblAdmissions[AgeUnit],"Years",tblAdmissions[Age],"&gt;="&amp;15,tblAdmissions[Age],"&lt;="&amp;17,tblAdmissions[Sex],"M",tblAdmissions[NHIS],"Insured")</f>
        <v/>
      </c>
      <c r="CF9" s="12">
        <f>COUNTIFS(tblAdmissions[Month],12,tblAdmissions[AgeUnit],"Years",tblAdmissions[Age],"&gt;="&amp;15,tblAdmissions[Age],"&lt;="&amp;17,tblAdmissions[Sex],"F",tblAdmissions[NHIS],"Insured")</f>
        <v/>
      </c>
    </row>
    <row r="10">
      <c r="A10" s="12" t="inlineStr">
        <is>
          <t>18-19</t>
        </is>
      </c>
      <c r="B10" s="12">
        <f>COUNTIFS(tblAdmissions[Month],1,tblAdmissions[AgeUnit],"Years",tblAdmissions[Age],"&gt;="&amp;18,tblAdmissions[Age],"&lt;="&amp;19,tblAdmissions[Sex],"M")</f>
        <v/>
      </c>
      <c r="C10" s="12">
        <f>COUNTIFS(tblAdmissions[Month],1,tblAdmissions[AgeUnit],"Years",tblAdmissions[Age],"&gt;="&amp;18,tblAdmissions[Age],"&lt;="&amp;19,tblAdmissions[Sex],"F")</f>
        <v/>
      </c>
      <c r="D10" s="12">
        <f>COUNTIFS(tblAdmissions[Month],1,tblAdmissions[AgeUnit],"Years",tblAdmissions[Age],"&gt;="&amp;18,tblAdmissions[Age],"&lt;="&amp;19,tblAdmissions[Sex],"M",tblAdmissions[NHIS],"Non-Insured")</f>
        <v/>
      </c>
      <c r="E10" s="12">
        <f>COUNTIFS(tblAdmissions[Month],1,tblAdmissions[AgeUnit],"Years",tblAdmissions[Age],"&gt;="&amp;18,tblAdmissions[Age],"&lt;="&amp;19,tblAdmissions[Sex],"F",tblAdmissions[NHIS],"Non-Insured")</f>
        <v/>
      </c>
      <c r="F10" s="12">
        <f>COUNTIFS(tblAdmissions[Month],1,tblAdmissions[AgeUnit],"Years",tblAdmissions[Age],"&gt;="&amp;18,tblAdmissions[Age],"&lt;="&amp;19,tblAdmissions[Sex],"M",tblAdmissions[NHIS],"Insured")</f>
        <v/>
      </c>
      <c r="G10" s="12">
        <f>COUNTIFS(tblAdmissions[Month],1,tblAdmissions[AgeUnit],"Years",tblAdmissions[Age],"&gt;="&amp;18,tblAdmissions[Age],"&lt;="&amp;19,tblAdmissions[Sex],"F",tblAdmissions[NHIS],"Insured")</f>
        <v/>
      </c>
      <c r="H10" s="12" t="inlineStr">
        <is>
          <t>18-19</t>
        </is>
      </c>
      <c r="I10" s="12">
        <f>COUNTIFS(tblAdmissions[Month],2,tblAdmissions[AgeUnit],"Years",tblAdmissions[Age],"&gt;="&amp;18,tblAdmissions[Age],"&lt;="&amp;19,tblAdmissions[Sex],"M")</f>
        <v/>
      </c>
      <c r="J10" s="12">
        <f>COUNTIFS(tblAdmissions[Month],2,tblAdmissions[AgeUnit],"Years",tblAdmissions[Age],"&gt;="&amp;18,tblAdmissions[Age],"&lt;="&amp;19,tblAdmissions[Sex],"F")</f>
        <v/>
      </c>
      <c r="K10" s="12">
        <f>COUNTIFS(tblAdmissions[Month],2,tblAdmissions[AgeUnit],"Years",tblAdmissions[Age],"&gt;="&amp;18,tblAdmissions[Age],"&lt;="&amp;19,tblAdmissions[Sex],"M",tblAdmissions[NHIS],"Non-Insured")</f>
        <v/>
      </c>
      <c r="L10" s="12">
        <f>COUNTIFS(tblAdmissions[Month],2,tblAdmissions[AgeUnit],"Years",tblAdmissions[Age],"&gt;="&amp;18,tblAdmissions[Age],"&lt;="&amp;19,tblAdmissions[Sex],"F",tblAdmissions[NHIS],"Non-Insured")</f>
        <v/>
      </c>
      <c r="M10" s="12">
        <f>COUNTIFS(tblAdmissions[Month],2,tblAdmissions[AgeUnit],"Years",tblAdmissions[Age],"&gt;="&amp;18,tblAdmissions[Age],"&lt;="&amp;19,tblAdmissions[Sex],"M",tblAdmissions[NHIS],"Insured")</f>
        <v/>
      </c>
      <c r="N10" s="12">
        <f>COUNTIFS(tblAdmissions[Month],2,tblAdmissions[AgeUnit],"Years",tblAdmissions[Age],"&gt;="&amp;18,tblAdmissions[Age],"&lt;="&amp;19,tblAdmissions[Sex],"F",tblAdmissions[NHIS],"Insured")</f>
        <v/>
      </c>
      <c r="O10" s="12" t="inlineStr">
        <is>
          <t>18-19</t>
        </is>
      </c>
      <c r="P10" s="12">
        <f>COUNTIFS(tblAdmissions[Month],3,tblAdmissions[AgeUnit],"Years",tblAdmissions[Age],"&gt;="&amp;18,tblAdmissions[Age],"&lt;="&amp;19,tblAdmissions[Sex],"M")</f>
        <v/>
      </c>
      <c r="Q10" s="12">
        <f>COUNTIFS(tblAdmissions[Month],3,tblAdmissions[AgeUnit],"Years",tblAdmissions[Age],"&gt;="&amp;18,tblAdmissions[Age],"&lt;="&amp;19,tblAdmissions[Sex],"F")</f>
        <v/>
      </c>
      <c r="R10" s="12">
        <f>COUNTIFS(tblAdmissions[Month],3,tblAdmissions[AgeUnit],"Years",tblAdmissions[Age],"&gt;="&amp;18,tblAdmissions[Age],"&lt;="&amp;19,tblAdmissions[Sex],"M",tblAdmissions[NHIS],"Non-Insured")</f>
        <v/>
      </c>
      <c r="S10" s="12">
        <f>COUNTIFS(tblAdmissions[Month],3,tblAdmissions[AgeUnit],"Years",tblAdmissions[Age],"&gt;="&amp;18,tblAdmissions[Age],"&lt;="&amp;19,tblAdmissions[Sex],"F",tblAdmissions[NHIS],"Non-Insured")</f>
        <v/>
      </c>
      <c r="T10" s="12">
        <f>COUNTIFS(tblAdmissions[Month],3,tblAdmissions[AgeUnit],"Years",tblAdmissions[Age],"&gt;="&amp;18,tblAdmissions[Age],"&lt;="&amp;19,tblAdmissions[Sex],"M",tblAdmissions[NHIS],"Insured")</f>
        <v/>
      </c>
      <c r="U10" s="12">
        <f>COUNTIFS(tblAdmissions[Month],3,tblAdmissions[AgeUnit],"Years",tblAdmissions[Age],"&gt;="&amp;18,tblAdmissions[Age],"&lt;="&amp;19,tblAdmissions[Sex],"F",tblAdmissions[NHIS],"Insured")</f>
        <v/>
      </c>
      <c r="V10" s="12" t="inlineStr">
        <is>
          <t>18-19</t>
        </is>
      </c>
      <c r="W10" s="12">
        <f>COUNTIFS(tblAdmissions[Month],4,tblAdmissions[AgeUnit],"Years",tblAdmissions[Age],"&gt;="&amp;18,tblAdmissions[Age],"&lt;="&amp;19,tblAdmissions[Sex],"M")</f>
        <v/>
      </c>
      <c r="X10" s="12">
        <f>COUNTIFS(tblAdmissions[Month],4,tblAdmissions[AgeUnit],"Years",tblAdmissions[Age],"&gt;="&amp;18,tblAdmissions[Age],"&lt;="&amp;19,tblAdmissions[Sex],"F")</f>
        <v/>
      </c>
      <c r="Y10" s="12">
        <f>COUNTIFS(tblAdmissions[Month],4,tblAdmissions[AgeUnit],"Years",tblAdmissions[Age],"&gt;="&amp;18,tblAdmissions[Age],"&lt;="&amp;19,tblAdmissions[Sex],"M",tblAdmissions[NHIS],"Non-Insured")</f>
        <v/>
      </c>
      <c r="Z10" s="12">
        <f>COUNTIFS(tblAdmissions[Month],4,tblAdmissions[AgeUnit],"Years",tblAdmissions[Age],"&gt;="&amp;18,tblAdmissions[Age],"&lt;="&amp;19,tblAdmissions[Sex],"F",tblAdmissions[NHIS],"Non-Insured")</f>
        <v/>
      </c>
      <c r="AA10" s="12">
        <f>COUNTIFS(tblAdmissions[Month],4,tblAdmissions[AgeUnit],"Years",tblAdmissions[Age],"&gt;="&amp;18,tblAdmissions[Age],"&lt;="&amp;19,tblAdmissions[Sex],"M",tblAdmissions[NHIS],"Insured")</f>
        <v/>
      </c>
      <c r="AB10" s="12">
        <f>COUNTIFS(tblAdmissions[Month],4,tblAdmissions[AgeUnit],"Years",tblAdmissions[Age],"&gt;="&amp;18,tblAdmissions[Age],"&lt;="&amp;19,tblAdmissions[Sex],"F",tblAdmissions[NHIS],"Insured")</f>
        <v/>
      </c>
      <c r="AC10" s="12" t="inlineStr">
        <is>
          <t>18-19</t>
        </is>
      </c>
      <c r="AD10" s="12">
        <f>COUNTIFS(tblAdmissions[Month],5,tblAdmissions[AgeUnit],"Years",tblAdmissions[Age],"&gt;="&amp;18,tblAdmissions[Age],"&lt;="&amp;19,tblAdmissions[Sex],"M")</f>
        <v/>
      </c>
      <c r="AE10" s="12">
        <f>COUNTIFS(tblAdmissions[Month],5,tblAdmissions[AgeUnit],"Years",tblAdmissions[Age],"&gt;="&amp;18,tblAdmissions[Age],"&lt;="&amp;19,tblAdmissions[Sex],"F")</f>
        <v/>
      </c>
      <c r="AF10" s="12">
        <f>COUNTIFS(tblAdmissions[Month],5,tblAdmissions[AgeUnit],"Years",tblAdmissions[Age],"&gt;="&amp;18,tblAdmissions[Age],"&lt;="&amp;19,tblAdmissions[Sex],"M",tblAdmissions[NHIS],"Non-Insured")</f>
        <v/>
      </c>
      <c r="AG10" s="12">
        <f>COUNTIFS(tblAdmissions[Month],5,tblAdmissions[AgeUnit],"Years",tblAdmissions[Age],"&gt;="&amp;18,tblAdmissions[Age],"&lt;="&amp;19,tblAdmissions[Sex],"F",tblAdmissions[NHIS],"Non-Insured")</f>
        <v/>
      </c>
      <c r="AH10" s="12">
        <f>COUNTIFS(tblAdmissions[Month],5,tblAdmissions[AgeUnit],"Years",tblAdmissions[Age],"&gt;="&amp;18,tblAdmissions[Age],"&lt;="&amp;19,tblAdmissions[Sex],"M",tblAdmissions[NHIS],"Insured")</f>
        <v/>
      </c>
      <c r="AI10" s="12">
        <f>COUNTIFS(tblAdmissions[Month],5,tblAdmissions[AgeUnit],"Years",tblAdmissions[Age],"&gt;="&amp;18,tblAdmissions[Age],"&lt;="&amp;19,tblAdmissions[Sex],"F",tblAdmissions[NHIS],"Insured")</f>
        <v/>
      </c>
      <c r="AJ10" s="12" t="inlineStr">
        <is>
          <t>18-19</t>
        </is>
      </c>
      <c r="AK10" s="12">
        <f>COUNTIFS(tblAdmissions[Month],6,tblAdmissions[AgeUnit],"Years",tblAdmissions[Age],"&gt;="&amp;18,tblAdmissions[Age],"&lt;="&amp;19,tblAdmissions[Sex],"M")</f>
        <v/>
      </c>
      <c r="AL10" s="12">
        <f>COUNTIFS(tblAdmissions[Month],6,tblAdmissions[AgeUnit],"Years",tblAdmissions[Age],"&gt;="&amp;18,tblAdmissions[Age],"&lt;="&amp;19,tblAdmissions[Sex],"F")</f>
        <v/>
      </c>
      <c r="AM10" s="12">
        <f>COUNTIFS(tblAdmissions[Month],6,tblAdmissions[AgeUnit],"Years",tblAdmissions[Age],"&gt;="&amp;18,tblAdmissions[Age],"&lt;="&amp;19,tblAdmissions[Sex],"M",tblAdmissions[NHIS],"Non-Insured")</f>
        <v/>
      </c>
      <c r="AN10" s="12">
        <f>COUNTIFS(tblAdmissions[Month],6,tblAdmissions[AgeUnit],"Years",tblAdmissions[Age],"&gt;="&amp;18,tblAdmissions[Age],"&lt;="&amp;19,tblAdmissions[Sex],"F",tblAdmissions[NHIS],"Non-Insured")</f>
        <v/>
      </c>
      <c r="AO10" s="12">
        <f>COUNTIFS(tblAdmissions[Month],6,tblAdmissions[AgeUnit],"Years",tblAdmissions[Age],"&gt;="&amp;18,tblAdmissions[Age],"&lt;="&amp;19,tblAdmissions[Sex],"M",tblAdmissions[NHIS],"Insured")</f>
        <v/>
      </c>
      <c r="AP10" s="12">
        <f>COUNTIFS(tblAdmissions[Month],6,tblAdmissions[AgeUnit],"Years",tblAdmissions[Age],"&gt;="&amp;18,tblAdmissions[Age],"&lt;="&amp;19,tblAdmissions[Sex],"F",tblAdmissions[NHIS],"Insured")</f>
        <v/>
      </c>
      <c r="AQ10" s="12" t="inlineStr">
        <is>
          <t>18-19</t>
        </is>
      </c>
      <c r="AR10" s="12">
        <f>COUNTIFS(tblAdmissions[Month],7,tblAdmissions[AgeUnit],"Years",tblAdmissions[Age],"&gt;="&amp;18,tblAdmissions[Age],"&lt;="&amp;19,tblAdmissions[Sex],"M")</f>
        <v/>
      </c>
      <c r="AS10" s="12">
        <f>COUNTIFS(tblAdmissions[Month],7,tblAdmissions[AgeUnit],"Years",tblAdmissions[Age],"&gt;="&amp;18,tblAdmissions[Age],"&lt;="&amp;19,tblAdmissions[Sex],"F")</f>
        <v/>
      </c>
      <c r="AT10" s="12">
        <f>COUNTIFS(tblAdmissions[Month],7,tblAdmissions[AgeUnit],"Years",tblAdmissions[Age],"&gt;="&amp;18,tblAdmissions[Age],"&lt;="&amp;19,tblAdmissions[Sex],"M",tblAdmissions[NHIS],"Non-Insured")</f>
        <v/>
      </c>
      <c r="AU10" s="12">
        <f>COUNTIFS(tblAdmissions[Month],7,tblAdmissions[AgeUnit],"Years",tblAdmissions[Age],"&gt;="&amp;18,tblAdmissions[Age],"&lt;="&amp;19,tblAdmissions[Sex],"F",tblAdmissions[NHIS],"Non-Insured")</f>
        <v/>
      </c>
      <c r="AV10" s="12">
        <f>COUNTIFS(tblAdmissions[Month],7,tblAdmissions[AgeUnit],"Years",tblAdmissions[Age],"&gt;="&amp;18,tblAdmissions[Age],"&lt;="&amp;19,tblAdmissions[Sex],"M",tblAdmissions[NHIS],"Insured")</f>
        <v/>
      </c>
      <c r="AW10" s="12">
        <f>COUNTIFS(tblAdmissions[Month],7,tblAdmissions[AgeUnit],"Years",tblAdmissions[Age],"&gt;="&amp;18,tblAdmissions[Age],"&lt;="&amp;19,tblAdmissions[Sex],"F",tblAdmissions[NHIS],"Insured")</f>
        <v/>
      </c>
      <c r="AX10" s="12" t="inlineStr">
        <is>
          <t>18-19</t>
        </is>
      </c>
      <c r="AY10" s="12">
        <f>COUNTIFS(tblAdmissions[Month],8,tblAdmissions[AgeUnit],"Years",tblAdmissions[Age],"&gt;="&amp;18,tblAdmissions[Age],"&lt;="&amp;19,tblAdmissions[Sex],"M")</f>
        <v/>
      </c>
      <c r="AZ10" s="12">
        <f>COUNTIFS(tblAdmissions[Month],8,tblAdmissions[AgeUnit],"Years",tblAdmissions[Age],"&gt;="&amp;18,tblAdmissions[Age],"&lt;="&amp;19,tblAdmissions[Sex],"F")</f>
        <v/>
      </c>
      <c r="BA10" s="12">
        <f>COUNTIFS(tblAdmissions[Month],8,tblAdmissions[AgeUnit],"Years",tblAdmissions[Age],"&gt;="&amp;18,tblAdmissions[Age],"&lt;="&amp;19,tblAdmissions[Sex],"M",tblAdmissions[NHIS],"Non-Insured")</f>
        <v/>
      </c>
      <c r="BB10" s="12">
        <f>COUNTIFS(tblAdmissions[Month],8,tblAdmissions[AgeUnit],"Years",tblAdmissions[Age],"&gt;="&amp;18,tblAdmissions[Age],"&lt;="&amp;19,tblAdmissions[Sex],"F",tblAdmissions[NHIS],"Non-Insured")</f>
        <v/>
      </c>
      <c r="BC10" s="12">
        <f>COUNTIFS(tblAdmissions[Month],8,tblAdmissions[AgeUnit],"Years",tblAdmissions[Age],"&gt;="&amp;18,tblAdmissions[Age],"&lt;="&amp;19,tblAdmissions[Sex],"M",tblAdmissions[NHIS],"Insured")</f>
        <v/>
      </c>
      <c r="BD10" s="12">
        <f>COUNTIFS(tblAdmissions[Month],8,tblAdmissions[AgeUnit],"Years",tblAdmissions[Age],"&gt;="&amp;18,tblAdmissions[Age],"&lt;="&amp;19,tblAdmissions[Sex],"F",tblAdmissions[NHIS],"Insured")</f>
        <v/>
      </c>
      <c r="BE10" s="12" t="inlineStr">
        <is>
          <t>18-19</t>
        </is>
      </c>
      <c r="BF10" s="12">
        <f>COUNTIFS(tblAdmissions[Month],9,tblAdmissions[AgeUnit],"Years",tblAdmissions[Age],"&gt;="&amp;18,tblAdmissions[Age],"&lt;="&amp;19,tblAdmissions[Sex],"M")</f>
        <v/>
      </c>
      <c r="BG10" s="12">
        <f>COUNTIFS(tblAdmissions[Month],9,tblAdmissions[AgeUnit],"Years",tblAdmissions[Age],"&gt;="&amp;18,tblAdmissions[Age],"&lt;="&amp;19,tblAdmissions[Sex],"F")</f>
        <v/>
      </c>
      <c r="BH10" s="12">
        <f>COUNTIFS(tblAdmissions[Month],9,tblAdmissions[AgeUnit],"Years",tblAdmissions[Age],"&gt;="&amp;18,tblAdmissions[Age],"&lt;="&amp;19,tblAdmissions[Sex],"M",tblAdmissions[NHIS],"Non-Insured")</f>
        <v/>
      </c>
      <c r="BI10" s="12">
        <f>COUNTIFS(tblAdmissions[Month],9,tblAdmissions[AgeUnit],"Years",tblAdmissions[Age],"&gt;="&amp;18,tblAdmissions[Age],"&lt;="&amp;19,tblAdmissions[Sex],"F",tblAdmissions[NHIS],"Non-Insured")</f>
        <v/>
      </c>
      <c r="BJ10" s="12">
        <f>COUNTIFS(tblAdmissions[Month],9,tblAdmissions[AgeUnit],"Years",tblAdmissions[Age],"&gt;="&amp;18,tblAdmissions[Age],"&lt;="&amp;19,tblAdmissions[Sex],"M",tblAdmissions[NHIS],"Insured")</f>
        <v/>
      </c>
      <c r="BK10" s="12">
        <f>COUNTIFS(tblAdmissions[Month],9,tblAdmissions[AgeUnit],"Years",tblAdmissions[Age],"&gt;="&amp;18,tblAdmissions[Age],"&lt;="&amp;19,tblAdmissions[Sex],"F",tblAdmissions[NHIS],"Insured")</f>
        <v/>
      </c>
      <c r="BL10" s="12" t="inlineStr">
        <is>
          <t>18-19</t>
        </is>
      </c>
      <c r="BM10" s="12">
        <f>COUNTIFS(tblAdmissions[Month],10,tblAdmissions[AgeUnit],"Years",tblAdmissions[Age],"&gt;="&amp;18,tblAdmissions[Age],"&lt;="&amp;19,tblAdmissions[Sex],"M")</f>
        <v/>
      </c>
      <c r="BN10" s="12">
        <f>COUNTIFS(tblAdmissions[Month],10,tblAdmissions[AgeUnit],"Years",tblAdmissions[Age],"&gt;="&amp;18,tblAdmissions[Age],"&lt;="&amp;19,tblAdmissions[Sex],"F")</f>
        <v/>
      </c>
      <c r="BO10" s="12">
        <f>COUNTIFS(tblAdmissions[Month],10,tblAdmissions[AgeUnit],"Years",tblAdmissions[Age],"&gt;="&amp;18,tblAdmissions[Age],"&lt;="&amp;19,tblAdmissions[Sex],"M",tblAdmissions[NHIS],"Non-Insured")</f>
        <v/>
      </c>
      <c r="BP10" s="12">
        <f>COUNTIFS(tblAdmissions[Month],10,tblAdmissions[AgeUnit],"Years",tblAdmissions[Age],"&gt;="&amp;18,tblAdmissions[Age],"&lt;="&amp;19,tblAdmissions[Sex],"F",tblAdmissions[NHIS],"Non-Insured")</f>
        <v/>
      </c>
      <c r="BQ10" s="12">
        <f>COUNTIFS(tblAdmissions[Month],10,tblAdmissions[AgeUnit],"Years",tblAdmissions[Age],"&gt;="&amp;18,tblAdmissions[Age],"&lt;="&amp;19,tblAdmissions[Sex],"M",tblAdmissions[NHIS],"Insured")</f>
        <v/>
      </c>
      <c r="BR10" s="12">
        <f>COUNTIFS(tblAdmissions[Month],10,tblAdmissions[AgeUnit],"Years",tblAdmissions[Age],"&gt;="&amp;18,tblAdmissions[Age],"&lt;="&amp;19,tblAdmissions[Sex],"F",tblAdmissions[NHIS],"Insured")</f>
        <v/>
      </c>
      <c r="BS10" s="12" t="inlineStr">
        <is>
          <t>18-19</t>
        </is>
      </c>
      <c r="BT10" s="12">
        <f>COUNTIFS(tblAdmissions[Month],11,tblAdmissions[AgeUnit],"Years",tblAdmissions[Age],"&gt;="&amp;18,tblAdmissions[Age],"&lt;="&amp;19,tblAdmissions[Sex],"M")</f>
        <v/>
      </c>
      <c r="BU10" s="12">
        <f>COUNTIFS(tblAdmissions[Month],11,tblAdmissions[AgeUnit],"Years",tblAdmissions[Age],"&gt;="&amp;18,tblAdmissions[Age],"&lt;="&amp;19,tblAdmissions[Sex],"F")</f>
        <v/>
      </c>
      <c r="BV10" s="12">
        <f>COUNTIFS(tblAdmissions[Month],11,tblAdmissions[AgeUnit],"Years",tblAdmissions[Age],"&gt;="&amp;18,tblAdmissions[Age],"&lt;="&amp;19,tblAdmissions[Sex],"M",tblAdmissions[NHIS],"Non-Insured")</f>
        <v/>
      </c>
      <c r="BW10" s="12">
        <f>COUNTIFS(tblAdmissions[Month],11,tblAdmissions[AgeUnit],"Years",tblAdmissions[Age],"&gt;="&amp;18,tblAdmissions[Age],"&lt;="&amp;19,tblAdmissions[Sex],"F",tblAdmissions[NHIS],"Non-Insured")</f>
        <v/>
      </c>
      <c r="BX10" s="12">
        <f>COUNTIFS(tblAdmissions[Month],11,tblAdmissions[AgeUnit],"Years",tblAdmissions[Age],"&gt;="&amp;18,tblAdmissions[Age],"&lt;="&amp;19,tblAdmissions[Sex],"M",tblAdmissions[NHIS],"Insured")</f>
        <v/>
      </c>
      <c r="BY10" s="12">
        <f>COUNTIFS(tblAdmissions[Month],11,tblAdmissions[AgeUnit],"Years",tblAdmissions[Age],"&gt;="&amp;18,tblAdmissions[Age],"&lt;="&amp;19,tblAdmissions[Sex],"F",tblAdmissions[NHIS],"Insured")</f>
        <v/>
      </c>
      <c r="BZ10" s="12" t="inlineStr">
        <is>
          <t>18-19</t>
        </is>
      </c>
      <c r="CA10" s="12">
        <f>COUNTIFS(tblAdmissions[Month],12,tblAdmissions[AgeUnit],"Years",tblAdmissions[Age],"&gt;="&amp;18,tblAdmissions[Age],"&lt;="&amp;19,tblAdmissions[Sex],"M")</f>
        <v/>
      </c>
      <c r="CB10" s="12">
        <f>COUNTIFS(tblAdmissions[Month],12,tblAdmissions[AgeUnit],"Years",tblAdmissions[Age],"&gt;="&amp;18,tblAdmissions[Age],"&lt;="&amp;19,tblAdmissions[Sex],"F")</f>
        <v/>
      </c>
      <c r="CC10" s="12">
        <f>COUNTIFS(tblAdmissions[Month],12,tblAdmissions[AgeUnit],"Years",tblAdmissions[Age],"&gt;="&amp;18,tblAdmissions[Age],"&lt;="&amp;19,tblAdmissions[Sex],"M",tblAdmissions[NHIS],"Non-Insured")</f>
        <v/>
      </c>
      <c r="CD10" s="12">
        <f>COUNTIFS(tblAdmissions[Month],12,tblAdmissions[AgeUnit],"Years",tblAdmissions[Age],"&gt;="&amp;18,tblAdmissions[Age],"&lt;="&amp;19,tblAdmissions[Sex],"F",tblAdmissions[NHIS],"Non-Insured")</f>
        <v/>
      </c>
      <c r="CE10" s="12">
        <f>COUNTIFS(tblAdmissions[Month],12,tblAdmissions[AgeUnit],"Years",tblAdmissions[Age],"&gt;="&amp;18,tblAdmissions[Age],"&lt;="&amp;19,tblAdmissions[Sex],"M",tblAdmissions[NHIS],"Insured")</f>
        <v/>
      </c>
      <c r="CF10" s="12">
        <f>COUNTIFS(tblAdmissions[Month],12,tblAdmissions[AgeUnit],"Years",tblAdmissions[Age],"&gt;="&amp;18,tblAdmissions[Age],"&lt;="&amp;19,tblAdmissions[Sex],"F",tblAdmissions[NHIS],"Insured")</f>
        <v/>
      </c>
    </row>
    <row r="11">
      <c r="A11" s="12" t="inlineStr">
        <is>
          <t>20-34</t>
        </is>
      </c>
      <c r="B11" s="12">
        <f>COUNTIFS(tblAdmissions[Month],1,tblAdmissions[AgeUnit],"Years",tblAdmissions[Age],"&gt;="&amp;20,tblAdmissions[Age],"&lt;="&amp;34,tblAdmissions[Sex],"M")</f>
        <v/>
      </c>
      <c r="C11" s="12">
        <f>COUNTIFS(tblAdmissions[Month],1,tblAdmissions[AgeUnit],"Years",tblAdmissions[Age],"&gt;="&amp;20,tblAdmissions[Age],"&lt;="&amp;34,tblAdmissions[Sex],"F")</f>
        <v/>
      </c>
      <c r="D11" s="12">
        <f>COUNTIFS(tblAdmissions[Month],1,tblAdmissions[AgeUnit],"Years",tblAdmissions[Age],"&gt;="&amp;20,tblAdmissions[Age],"&lt;="&amp;34,tblAdmissions[Sex],"M",tblAdmissions[NHIS],"Non-Insured")</f>
        <v/>
      </c>
      <c r="E11" s="12">
        <f>COUNTIFS(tblAdmissions[Month],1,tblAdmissions[AgeUnit],"Years",tblAdmissions[Age],"&gt;="&amp;20,tblAdmissions[Age],"&lt;="&amp;34,tblAdmissions[Sex],"F",tblAdmissions[NHIS],"Non-Insured")</f>
        <v/>
      </c>
      <c r="F11" s="12">
        <f>COUNTIFS(tblAdmissions[Month],1,tblAdmissions[AgeUnit],"Years",tblAdmissions[Age],"&gt;="&amp;20,tblAdmissions[Age],"&lt;="&amp;34,tblAdmissions[Sex],"M",tblAdmissions[NHIS],"Insured")</f>
        <v/>
      </c>
      <c r="G11" s="12">
        <f>COUNTIFS(tblAdmissions[Month],1,tblAdmissions[AgeUnit],"Years",tblAdmissions[Age],"&gt;="&amp;20,tblAdmissions[Age],"&lt;="&amp;34,tblAdmissions[Sex],"F",tblAdmissions[NHIS],"Insured")</f>
        <v/>
      </c>
      <c r="H11" s="12" t="inlineStr">
        <is>
          <t>20-34</t>
        </is>
      </c>
      <c r="I11" s="12">
        <f>COUNTIFS(tblAdmissions[Month],2,tblAdmissions[AgeUnit],"Years",tblAdmissions[Age],"&gt;="&amp;20,tblAdmissions[Age],"&lt;="&amp;34,tblAdmissions[Sex],"M")</f>
        <v/>
      </c>
      <c r="J11" s="12">
        <f>COUNTIFS(tblAdmissions[Month],2,tblAdmissions[AgeUnit],"Years",tblAdmissions[Age],"&gt;="&amp;20,tblAdmissions[Age],"&lt;="&amp;34,tblAdmissions[Sex],"F")</f>
        <v/>
      </c>
      <c r="K11" s="12">
        <f>COUNTIFS(tblAdmissions[Month],2,tblAdmissions[AgeUnit],"Years",tblAdmissions[Age],"&gt;="&amp;20,tblAdmissions[Age],"&lt;="&amp;34,tblAdmissions[Sex],"M",tblAdmissions[NHIS],"Non-Insured")</f>
        <v/>
      </c>
      <c r="L11" s="12">
        <f>COUNTIFS(tblAdmissions[Month],2,tblAdmissions[AgeUnit],"Years",tblAdmissions[Age],"&gt;="&amp;20,tblAdmissions[Age],"&lt;="&amp;34,tblAdmissions[Sex],"F",tblAdmissions[NHIS],"Non-Insured")</f>
        <v/>
      </c>
      <c r="M11" s="12">
        <f>COUNTIFS(tblAdmissions[Month],2,tblAdmissions[AgeUnit],"Years",tblAdmissions[Age],"&gt;="&amp;20,tblAdmissions[Age],"&lt;="&amp;34,tblAdmissions[Sex],"M",tblAdmissions[NHIS],"Insured")</f>
        <v/>
      </c>
      <c r="N11" s="12">
        <f>COUNTIFS(tblAdmissions[Month],2,tblAdmissions[AgeUnit],"Years",tblAdmissions[Age],"&gt;="&amp;20,tblAdmissions[Age],"&lt;="&amp;34,tblAdmissions[Sex],"F",tblAdmissions[NHIS],"Insured")</f>
        <v/>
      </c>
      <c r="O11" s="12" t="inlineStr">
        <is>
          <t>20-34</t>
        </is>
      </c>
      <c r="P11" s="12">
        <f>COUNTIFS(tblAdmissions[Month],3,tblAdmissions[AgeUnit],"Years",tblAdmissions[Age],"&gt;="&amp;20,tblAdmissions[Age],"&lt;="&amp;34,tblAdmissions[Sex],"M")</f>
        <v/>
      </c>
      <c r="Q11" s="12">
        <f>COUNTIFS(tblAdmissions[Month],3,tblAdmissions[AgeUnit],"Years",tblAdmissions[Age],"&gt;="&amp;20,tblAdmissions[Age],"&lt;="&amp;34,tblAdmissions[Sex],"F")</f>
        <v/>
      </c>
      <c r="R11" s="12">
        <f>COUNTIFS(tblAdmissions[Month],3,tblAdmissions[AgeUnit],"Years",tblAdmissions[Age],"&gt;="&amp;20,tblAdmissions[Age],"&lt;="&amp;34,tblAdmissions[Sex],"M",tblAdmissions[NHIS],"Non-Insured")</f>
        <v/>
      </c>
      <c r="S11" s="12">
        <f>COUNTIFS(tblAdmissions[Month],3,tblAdmissions[AgeUnit],"Years",tblAdmissions[Age],"&gt;="&amp;20,tblAdmissions[Age],"&lt;="&amp;34,tblAdmissions[Sex],"F",tblAdmissions[NHIS],"Non-Insured")</f>
        <v/>
      </c>
      <c r="T11" s="12">
        <f>COUNTIFS(tblAdmissions[Month],3,tblAdmissions[AgeUnit],"Years",tblAdmissions[Age],"&gt;="&amp;20,tblAdmissions[Age],"&lt;="&amp;34,tblAdmissions[Sex],"M",tblAdmissions[NHIS],"Insured")</f>
        <v/>
      </c>
      <c r="U11" s="12">
        <f>COUNTIFS(tblAdmissions[Month],3,tblAdmissions[AgeUnit],"Years",tblAdmissions[Age],"&gt;="&amp;20,tblAdmissions[Age],"&lt;="&amp;34,tblAdmissions[Sex],"F",tblAdmissions[NHIS],"Insured")</f>
        <v/>
      </c>
      <c r="V11" s="12" t="inlineStr">
        <is>
          <t>20-34</t>
        </is>
      </c>
      <c r="W11" s="12">
        <f>COUNTIFS(tblAdmissions[Month],4,tblAdmissions[AgeUnit],"Years",tblAdmissions[Age],"&gt;="&amp;20,tblAdmissions[Age],"&lt;="&amp;34,tblAdmissions[Sex],"M")</f>
        <v/>
      </c>
      <c r="X11" s="12">
        <f>COUNTIFS(tblAdmissions[Month],4,tblAdmissions[AgeUnit],"Years",tblAdmissions[Age],"&gt;="&amp;20,tblAdmissions[Age],"&lt;="&amp;34,tblAdmissions[Sex],"F")</f>
        <v/>
      </c>
      <c r="Y11" s="12">
        <f>COUNTIFS(tblAdmissions[Month],4,tblAdmissions[AgeUnit],"Years",tblAdmissions[Age],"&gt;="&amp;20,tblAdmissions[Age],"&lt;="&amp;34,tblAdmissions[Sex],"M",tblAdmissions[NHIS],"Non-Insured")</f>
        <v/>
      </c>
      <c r="Z11" s="12">
        <f>COUNTIFS(tblAdmissions[Month],4,tblAdmissions[AgeUnit],"Years",tblAdmissions[Age],"&gt;="&amp;20,tblAdmissions[Age],"&lt;="&amp;34,tblAdmissions[Sex],"F",tblAdmissions[NHIS],"Non-Insured")</f>
        <v/>
      </c>
      <c r="AA11" s="12">
        <f>COUNTIFS(tblAdmissions[Month],4,tblAdmissions[AgeUnit],"Years",tblAdmissions[Age],"&gt;="&amp;20,tblAdmissions[Age],"&lt;="&amp;34,tblAdmissions[Sex],"M",tblAdmissions[NHIS],"Insured")</f>
        <v/>
      </c>
      <c r="AB11" s="12">
        <f>COUNTIFS(tblAdmissions[Month],4,tblAdmissions[AgeUnit],"Years",tblAdmissions[Age],"&gt;="&amp;20,tblAdmissions[Age],"&lt;="&amp;34,tblAdmissions[Sex],"F",tblAdmissions[NHIS],"Insured")</f>
        <v/>
      </c>
      <c r="AC11" s="12" t="inlineStr">
        <is>
          <t>20-34</t>
        </is>
      </c>
      <c r="AD11" s="12">
        <f>COUNTIFS(tblAdmissions[Month],5,tblAdmissions[AgeUnit],"Years",tblAdmissions[Age],"&gt;="&amp;20,tblAdmissions[Age],"&lt;="&amp;34,tblAdmissions[Sex],"M")</f>
        <v/>
      </c>
      <c r="AE11" s="12">
        <f>COUNTIFS(tblAdmissions[Month],5,tblAdmissions[AgeUnit],"Years",tblAdmissions[Age],"&gt;="&amp;20,tblAdmissions[Age],"&lt;="&amp;34,tblAdmissions[Sex],"F")</f>
        <v/>
      </c>
      <c r="AF11" s="12">
        <f>COUNTIFS(tblAdmissions[Month],5,tblAdmissions[AgeUnit],"Years",tblAdmissions[Age],"&gt;="&amp;20,tblAdmissions[Age],"&lt;="&amp;34,tblAdmissions[Sex],"M",tblAdmissions[NHIS],"Non-Insured")</f>
        <v/>
      </c>
      <c r="AG11" s="12">
        <f>COUNTIFS(tblAdmissions[Month],5,tblAdmissions[AgeUnit],"Years",tblAdmissions[Age],"&gt;="&amp;20,tblAdmissions[Age],"&lt;="&amp;34,tblAdmissions[Sex],"F",tblAdmissions[NHIS],"Non-Insured")</f>
        <v/>
      </c>
      <c r="AH11" s="12">
        <f>COUNTIFS(tblAdmissions[Month],5,tblAdmissions[AgeUnit],"Years",tblAdmissions[Age],"&gt;="&amp;20,tblAdmissions[Age],"&lt;="&amp;34,tblAdmissions[Sex],"M",tblAdmissions[NHIS],"Insured")</f>
        <v/>
      </c>
      <c r="AI11" s="12">
        <f>COUNTIFS(tblAdmissions[Month],5,tblAdmissions[AgeUnit],"Years",tblAdmissions[Age],"&gt;="&amp;20,tblAdmissions[Age],"&lt;="&amp;34,tblAdmissions[Sex],"F",tblAdmissions[NHIS],"Insured")</f>
        <v/>
      </c>
      <c r="AJ11" s="12" t="inlineStr">
        <is>
          <t>20-34</t>
        </is>
      </c>
      <c r="AK11" s="12">
        <f>COUNTIFS(tblAdmissions[Month],6,tblAdmissions[AgeUnit],"Years",tblAdmissions[Age],"&gt;="&amp;20,tblAdmissions[Age],"&lt;="&amp;34,tblAdmissions[Sex],"M")</f>
        <v/>
      </c>
      <c r="AL11" s="12">
        <f>COUNTIFS(tblAdmissions[Month],6,tblAdmissions[AgeUnit],"Years",tblAdmissions[Age],"&gt;="&amp;20,tblAdmissions[Age],"&lt;="&amp;34,tblAdmissions[Sex],"F")</f>
        <v/>
      </c>
      <c r="AM11" s="12">
        <f>COUNTIFS(tblAdmissions[Month],6,tblAdmissions[AgeUnit],"Years",tblAdmissions[Age],"&gt;="&amp;20,tblAdmissions[Age],"&lt;="&amp;34,tblAdmissions[Sex],"M",tblAdmissions[NHIS],"Non-Insured")</f>
        <v/>
      </c>
      <c r="AN11" s="12">
        <f>COUNTIFS(tblAdmissions[Month],6,tblAdmissions[AgeUnit],"Years",tblAdmissions[Age],"&gt;="&amp;20,tblAdmissions[Age],"&lt;="&amp;34,tblAdmissions[Sex],"F",tblAdmissions[NHIS],"Non-Insured")</f>
        <v/>
      </c>
      <c r="AO11" s="12">
        <f>COUNTIFS(tblAdmissions[Month],6,tblAdmissions[AgeUnit],"Years",tblAdmissions[Age],"&gt;="&amp;20,tblAdmissions[Age],"&lt;="&amp;34,tblAdmissions[Sex],"M",tblAdmissions[NHIS],"Insured")</f>
        <v/>
      </c>
      <c r="AP11" s="12">
        <f>COUNTIFS(tblAdmissions[Month],6,tblAdmissions[AgeUnit],"Years",tblAdmissions[Age],"&gt;="&amp;20,tblAdmissions[Age],"&lt;="&amp;34,tblAdmissions[Sex],"F",tblAdmissions[NHIS],"Insured")</f>
        <v/>
      </c>
      <c r="AQ11" s="12" t="inlineStr">
        <is>
          <t>20-34</t>
        </is>
      </c>
      <c r="AR11" s="12">
        <f>COUNTIFS(tblAdmissions[Month],7,tblAdmissions[AgeUnit],"Years",tblAdmissions[Age],"&gt;="&amp;20,tblAdmissions[Age],"&lt;="&amp;34,tblAdmissions[Sex],"M")</f>
        <v/>
      </c>
      <c r="AS11" s="12">
        <f>COUNTIFS(tblAdmissions[Month],7,tblAdmissions[AgeUnit],"Years",tblAdmissions[Age],"&gt;="&amp;20,tblAdmissions[Age],"&lt;="&amp;34,tblAdmissions[Sex],"F")</f>
        <v/>
      </c>
      <c r="AT11" s="12">
        <f>COUNTIFS(tblAdmissions[Month],7,tblAdmissions[AgeUnit],"Years",tblAdmissions[Age],"&gt;="&amp;20,tblAdmissions[Age],"&lt;="&amp;34,tblAdmissions[Sex],"M",tblAdmissions[NHIS],"Non-Insured")</f>
        <v/>
      </c>
      <c r="AU11" s="12">
        <f>COUNTIFS(tblAdmissions[Month],7,tblAdmissions[AgeUnit],"Years",tblAdmissions[Age],"&gt;="&amp;20,tblAdmissions[Age],"&lt;="&amp;34,tblAdmissions[Sex],"F",tblAdmissions[NHIS],"Non-Insured")</f>
        <v/>
      </c>
      <c r="AV11" s="12">
        <f>COUNTIFS(tblAdmissions[Month],7,tblAdmissions[AgeUnit],"Years",tblAdmissions[Age],"&gt;="&amp;20,tblAdmissions[Age],"&lt;="&amp;34,tblAdmissions[Sex],"M",tblAdmissions[NHIS],"Insured")</f>
        <v/>
      </c>
      <c r="AW11" s="12">
        <f>COUNTIFS(tblAdmissions[Month],7,tblAdmissions[AgeUnit],"Years",tblAdmissions[Age],"&gt;="&amp;20,tblAdmissions[Age],"&lt;="&amp;34,tblAdmissions[Sex],"F",tblAdmissions[NHIS],"Insured")</f>
        <v/>
      </c>
      <c r="AX11" s="12" t="inlineStr">
        <is>
          <t>20-34</t>
        </is>
      </c>
      <c r="AY11" s="12">
        <f>COUNTIFS(tblAdmissions[Month],8,tblAdmissions[AgeUnit],"Years",tblAdmissions[Age],"&gt;="&amp;20,tblAdmissions[Age],"&lt;="&amp;34,tblAdmissions[Sex],"M")</f>
        <v/>
      </c>
      <c r="AZ11" s="12">
        <f>COUNTIFS(tblAdmissions[Month],8,tblAdmissions[AgeUnit],"Years",tblAdmissions[Age],"&gt;="&amp;20,tblAdmissions[Age],"&lt;="&amp;34,tblAdmissions[Sex],"F")</f>
        <v/>
      </c>
      <c r="BA11" s="12">
        <f>COUNTIFS(tblAdmissions[Month],8,tblAdmissions[AgeUnit],"Years",tblAdmissions[Age],"&gt;="&amp;20,tblAdmissions[Age],"&lt;="&amp;34,tblAdmissions[Sex],"M",tblAdmissions[NHIS],"Non-Insured")</f>
        <v/>
      </c>
      <c r="BB11" s="12">
        <f>COUNTIFS(tblAdmissions[Month],8,tblAdmissions[AgeUnit],"Years",tblAdmissions[Age],"&gt;="&amp;20,tblAdmissions[Age],"&lt;="&amp;34,tblAdmissions[Sex],"F",tblAdmissions[NHIS],"Non-Insured")</f>
        <v/>
      </c>
      <c r="BC11" s="12">
        <f>COUNTIFS(tblAdmissions[Month],8,tblAdmissions[AgeUnit],"Years",tblAdmissions[Age],"&gt;="&amp;20,tblAdmissions[Age],"&lt;="&amp;34,tblAdmissions[Sex],"M",tblAdmissions[NHIS],"Insured")</f>
        <v/>
      </c>
      <c r="BD11" s="12">
        <f>COUNTIFS(tblAdmissions[Month],8,tblAdmissions[AgeUnit],"Years",tblAdmissions[Age],"&gt;="&amp;20,tblAdmissions[Age],"&lt;="&amp;34,tblAdmissions[Sex],"F",tblAdmissions[NHIS],"Insured")</f>
        <v/>
      </c>
      <c r="BE11" s="12" t="inlineStr">
        <is>
          <t>20-34</t>
        </is>
      </c>
      <c r="BF11" s="12">
        <f>COUNTIFS(tblAdmissions[Month],9,tblAdmissions[AgeUnit],"Years",tblAdmissions[Age],"&gt;="&amp;20,tblAdmissions[Age],"&lt;="&amp;34,tblAdmissions[Sex],"M")</f>
        <v/>
      </c>
      <c r="BG11" s="12">
        <f>COUNTIFS(tblAdmissions[Month],9,tblAdmissions[AgeUnit],"Years",tblAdmissions[Age],"&gt;="&amp;20,tblAdmissions[Age],"&lt;="&amp;34,tblAdmissions[Sex],"F")</f>
        <v/>
      </c>
      <c r="BH11" s="12">
        <f>COUNTIFS(tblAdmissions[Month],9,tblAdmissions[AgeUnit],"Years",tblAdmissions[Age],"&gt;="&amp;20,tblAdmissions[Age],"&lt;="&amp;34,tblAdmissions[Sex],"M",tblAdmissions[NHIS],"Non-Insured")</f>
        <v/>
      </c>
      <c r="BI11" s="12">
        <f>COUNTIFS(tblAdmissions[Month],9,tblAdmissions[AgeUnit],"Years",tblAdmissions[Age],"&gt;="&amp;20,tblAdmissions[Age],"&lt;="&amp;34,tblAdmissions[Sex],"F",tblAdmissions[NHIS],"Non-Insured")</f>
        <v/>
      </c>
      <c r="BJ11" s="12">
        <f>COUNTIFS(tblAdmissions[Month],9,tblAdmissions[AgeUnit],"Years",tblAdmissions[Age],"&gt;="&amp;20,tblAdmissions[Age],"&lt;="&amp;34,tblAdmissions[Sex],"M",tblAdmissions[NHIS],"Insured")</f>
        <v/>
      </c>
      <c r="BK11" s="12">
        <f>COUNTIFS(tblAdmissions[Month],9,tblAdmissions[AgeUnit],"Years",tblAdmissions[Age],"&gt;="&amp;20,tblAdmissions[Age],"&lt;="&amp;34,tblAdmissions[Sex],"F",tblAdmissions[NHIS],"Insured")</f>
        <v/>
      </c>
      <c r="BL11" s="12" t="inlineStr">
        <is>
          <t>20-34</t>
        </is>
      </c>
      <c r="BM11" s="12">
        <f>COUNTIFS(tblAdmissions[Month],10,tblAdmissions[AgeUnit],"Years",tblAdmissions[Age],"&gt;="&amp;20,tblAdmissions[Age],"&lt;="&amp;34,tblAdmissions[Sex],"M")</f>
        <v/>
      </c>
      <c r="BN11" s="12">
        <f>COUNTIFS(tblAdmissions[Month],10,tblAdmissions[AgeUnit],"Years",tblAdmissions[Age],"&gt;="&amp;20,tblAdmissions[Age],"&lt;="&amp;34,tblAdmissions[Sex],"F")</f>
        <v/>
      </c>
      <c r="BO11" s="12">
        <f>COUNTIFS(tblAdmissions[Month],10,tblAdmissions[AgeUnit],"Years",tblAdmissions[Age],"&gt;="&amp;20,tblAdmissions[Age],"&lt;="&amp;34,tblAdmissions[Sex],"M",tblAdmissions[NHIS],"Non-Insured")</f>
        <v/>
      </c>
      <c r="BP11" s="12">
        <f>COUNTIFS(tblAdmissions[Month],10,tblAdmissions[AgeUnit],"Years",tblAdmissions[Age],"&gt;="&amp;20,tblAdmissions[Age],"&lt;="&amp;34,tblAdmissions[Sex],"F",tblAdmissions[NHIS],"Non-Insured")</f>
        <v/>
      </c>
      <c r="BQ11" s="12">
        <f>COUNTIFS(tblAdmissions[Month],10,tblAdmissions[AgeUnit],"Years",tblAdmissions[Age],"&gt;="&amp;20,tblAdmissions[Age],"&lt;="&amp;34,tblAdmissions[Sex],"M",tblAdmissions[NHIS],"Insured")</f>
        <v/>
      </c>
      <c r="BR11" s="12">
        <f>COUNTIFS(tblAdmissions[Month],10,tblAdmissions[AgeUnit],"Years",tblAdmissions[Age],"&gt;="&amp;20,tblAdmissions[Age],"&lt;="&amp;34,tblAdmissions[Sex],"F",tblAdmissions[NHIS],"Insured")</f>
        <v/>
      </c>
      <c r="BS11" s="12" t="inlineStr">
        <is>
          <t>20-34</t>
        </is>
      </c>
      <c r="BT11" s="12">
        <f>COUNTIFS(tblAdmissions[Month],11,tblAdmissions[AgeUnit],"Years",tblAdmissions[Age],"&gt;="&amp;20,tblAdmissions[Age],"&lt;="&amp;34,tblAdmissions[Sex],"M")</f>
        <v/>
      </c>
      <c r="BU11" s="12">
        <f>COUNTIFS(tblAdmissions[Month],11,tblAdmissions[AgeUnit],"Years",tblAdmissions[Age],"&gt;="&amp;20,tblAdmissions[Age],"&lt;="&amp;34,tblAdmissions[Sex],"F")</f>
        <v/>
      </c>
      <c r="BV11" s="12">
        <f>COUNTIFS(tblAdmissions[Month],11,tblAdmissions[AgeUnit],"Years",tblAdmissions[Age],"&gt;="&amp;20,tblAdmissions[Age],"&lt;="&amp;34,tblAdmissions[Sex],"M",tblAdmissions[NHIS],"Non-Insured")</f>
        <v/>
      </c>
      <c r="BW11" s="12">
        <f>COUNTIFS(tblAdmissions[Month],11,tblAdmissions[AgeUnit],"Years",tblAdmissions[Age],"&gt;="&amp;20,tblAdmissions[Age],"&lt;="&amp;34,tblAdmissions[Sex],"F",tblAdmissions[NHIS],"Non-Insured")</f>
        <v/>
      </c>
      <c r="BX11" s="12">
        <f>COUNTIFS(tblAdmissions[Month],11,tblAdmissions[AgeUnit],"Years",tblAdmissions[Age],"&gt;="&amp;20,tblAdmissions[Age],"&lt;="&amp;34,tblAdmissions[Sex],"M",tblAdmissions[NHIS],"Insured")</f>
        <v/>
      </c>
      <c r="BY11" s="12">
        <f>COUNTIFS(tblAdmissions[Month],11,tblAdmissions[AgeUnit],"Years",tblAdmissions[Age],"&gt;="&amp;20,tblAdmissions[Age],"&lt;="&amp;34,tblAdmissions[Sex],"F",tblAdmissions[NHIS],"Insured")</f>
        <v/>
      </c>
      <c r="BZ11" s="12" t="inlineStr">
        <is>
          <t>20-34</t>
        </is>
      </c>
      <c r="CA11" s="12">
        <f>COUNTIFS(tblAdmissions[Month],12,tblAdmissions[AgeUnit],"Years",tblAdmissions[Age],"&gt;="&amp;20,tblAdmissions[Age],"&lt;="&amp;34,tblAdmissions[Sex],"M")</f>
        <v/>
      </c>
      <c r="CB11" s="12">
        <f>COUNTIFS(tblAdmissions[Month],12,tblAdmissions[AgeUnit],"Years",tblAdmissions[Age],"&gt;="&amp;20,tblAdmissions[Age],"&lt;="&amp;34,tblAdmissions[Sex],"F")</f>
        <v/>
      </c>
      <c r="CC11" s="12">
        <f>COUNTIFS(tblAdmissions[Month],12,tblAdmissions[AgeUnit],"Years",tblAdmissions[Age],"&gt;="&amp;20,tblAdmissions[Age],"&lt;="&amp;34,tblAdmissions[Sex],"M",tblAdmissions[NHIS],"Non-Insured")</f>
        <v/>
      </c>
      <c r="CD11" s="12">
        <f>COUNTIFS(tblAdmissions[Month],12,tblAdmissions[AgeUnit],"Years",tblAdmissions[Age],"&gt;="&amp;20,tblAdmissions[Age],"&lt;="&amp;34,tblAdmissions[Sex],"F",tblAdmissions[NHIS],"Non-Insured")</f>
        <v/>
      </c>
      <c r="CE11" s="12">
        <f>COUNTIFS(tblAdmissions[Month],12,tblAdmissions[AgeUnit],"Years",tblAdmissions[Age],"&gt;="&amp;20,tblAdmissions[Age],"&lt;="&amp;34,tblAdmissions[Sex],"M",tblAdmissions[NHIS],"Insured")</f>
        <v/>
      </c>
      <c r="CF11" s="12">
        <f>COUNTIFS(tblAdmissions[Month],12,tblAdmissions[AgeUnit],"Years",tblAdmissions[Age],"&gt;="&amp;20,tblAdmissions[Age],"&lt;="&amp;34,tblAdmissions[Sex],"F",tblAdmissions[NHIS],"Insured")</f>
        <v/>
      </c>
    </row>
    <row r="12">
      <c r="A12" s="12" t="inlineStr">
        <is>
          <t>35-49</t>
        </is>
      </c>
      <c r="B12" s="12">
        <f>COUNTIFS(tblAdmissions[Month],1,tblAdmissions[AgeUnit],"Years",tblAdmissions[Age],"&gt;="&amp;35,tblAdmissions[Age],"&lt;="&amp;49,tblAdmissions[Sex],"M")</f>
        <v/>
      </c>
      <c r="C12" s="12">
        <f>COUNTIFS(tblAdmissions[Month],1,tblAdmissions[AgeUnit],"Years",tblAdmissions[Age],"&gt;="&amp;35,tblAdmissions[Age],"&lt;="&amp;49,tblAdmissions[Sex],"F")</f>
        <v/>
      </c>
      <c r="D12" s="12">
        <f>COUNTIFS(tblAdmissions[Month],1,tblAdmissions[AgeUnit],"Years",tblAdmissions[Age],"&gt;="&amp;35,tblAdmissions[Age],"&lt;="&amp;49,tblAdmissions[Sex],"M",tblAdmissions[NHIS],"Non-Insured")</f>
        <v/>
      </c>
      <c r="E12" s="12">
        <f>COUNTIFS(tblAdmissions[Month],1,tblAdmissions[AgeUnit],"Years",tblAdmissions[Age],"&gt;="&amp;35,tblAdmissions[Age],"&lt;="&amp;49,tblAdmissions[Sex],"F",tblAdmissions[NHIS],"Non-Insured")</f>
        <v/>
      </c>
      <c r="F12" s="12">
        <f>COUNTIFS(tblAdmissions[Month],1,tblAdmissions[AgeUnit],"Years",tblAdmissions[Age],"&gt;="&amp;35,tblAdmissions[Age],"&lt;="&amp;49,tblAdmissions[Sex],"M",tblAdmissions[NHIS],"Insured")</f>
        <v/>
      </c>
      <c r="G12" s="12">
        <f>COUNTIFS(tblAdmissions[Month],1,tblAdmissions[AgeUnit],"Years",tblAdmissions[Age],"&gt;="&amp;35,tblAdmissions[Age],"&lt;="&amp;49,tblAdmissions[Sex],"F",tblAdmissions[NHIS],"Insured")</f>
        <v/>
      </c>
      <c r="H12" s="12" t="inlineStr">
        <is>
          <t>35-49</t>
        </is>
      </c>
      <c r="I12" s="12">
        <f>COUNTIFS(tblAdmissions[Month],2,tblAdmissions[AgeUnit],"Years",tblAdmissions[Age],"&gt;="&amp;35,tblAdmissions[Age],"&lt;="&amp;49,tblAdmissions[Sex],"M")</f>
        <v/>
      </c>
      <c r="J12" s="12">
        <f>COUNTIFS(tblAdmissions[Month],2,tblAdmissions[AgeUnit],"Years",tblAdmissions[Age],"&gt;="&amp;35,tblAdmissions[Age],"&lt;="&amp;49,tblAdmissions[Sex],"F")</f>
        <v/>
      </c>
      <c r="K12" s="12">
        <f>COUNTIFS(tblAdmissions[Month],2,tblAdmissions[AgeUnit],"Years",tblAdmissions[Age],"&gt;="&amp;35,tblAdmissions[Age],"&lt;="&amp;49,tblAdmissions[Sex],"M",tblAdmissions[NHIS],"Non-Insured")</f>
        <v/>
      </c>
      <c r="L12" s="12">
        <f>COUNTIFS(tblAdmissions[Month],2,tblAdmissions[AgeUnit],"Years",tblAdmissions[Age],"&gt;="&amp;35,tblAdmissions[Age],"&lt;="&amp;49,tblAdmissions[Sex],"F",tblAdmissions[NHIS],"Non-Insured")</f>
        <v/>
      </c>
      <c r="M12" s="12">
        <f>COUNTIFS(tblAdmissions[Month],2,tblAdmissions[AgeUnit],"Years",tblAdmissions[Age],"&gt;="&amp;35,tblAdmissions[Age],"&lt;="&amp;49,tblAdmissions[Sex],"M",tblAdmissions[NHIS],"Insured")</f>
        <v/>
      </c>
      <c r="N12" s="12">
        <f>COUNTIFS(tblAdmissions[Month],2,tblAdmissions[AgeUnit],"Years",tblAdmissions[Age],"&gt;="&amp;35,tblAdmissions[Age],"&lt;="&amp;49,tblAdmissions[Sex],"F",tblAdmissions[NHIS],"Insured")</f>
        <v/>
      </c>
      <c r="O12" s="12" t="inlineStr">
        <is>
          <t>35-49</t>
        </is>
      </c>
      <c r="P12" s="12">
        <f>COUNTIFS(tblAdmissions[Month],3,tblAdmissions[AgeUnit],"Years",tblAdmissions[Age],"&gt;="&amp;35,tblAdmissions[Age],"&lt;="&amp;49,tblAdmissions[Sex],"M")</f>
        <v/>
      </c>
      <c r="Q12" s="12">
        <f>COUNTIFS(tblAdmissions[Month],3,tblAdmissions[AgeUnit],"Years",tblAdmissions[Age],"&gt;="&amp;35,tblAdmissions[Age],"&lt;="&amp;49,tblAdmissions[Sex],"F")</f>
        <v/>
      </c>
      <c r="R12" s="12">
        <f>COUNTIFS(tblAdmissions[Month],3,tblAdmissions[AgeUnit],"Years",tblAdmissions[Age],"&gt;="&amp;35,tblAdmissions[Age],"&lt;="&amp;49,tblAdmissions[Sex],"M",tblAdmissions[NHIS],"Non-Insured")</f>
        <v/>
      </c>
      <c r="S12" s="12">
        <f>COUNTIFS(tblAdmissions[Month],3,tblAdmissions[AgeUnit],"Years",tblAdmissions[Age],"&gt;="&amp;35,tblAdmissions[Age],"&lt;="&amp;49,tblAdmissions[Sex],"F",tblAdmissions[NHIS],"Non-Insured")</f>
        <v/>
      </c>
      <c r="T12" s="12">
        <f>COUNTIFS(tblAdmissions[Month],3,tblAdmissions[AgeUnit],"Years",tblAdmissions[Age],"&gt;="&amp;35,tblAdmissions[Age],"&lt;="&amp;49,tblAdmissions[Sex],"M",tblAdmissions[NHIS],"Insured")</f>
        <v/>
      </c>
      <c r="U12" s="12">
        <f>COUNTIFS(tblAdmissions[Month],3,tblAdmissions[AgeUnit],"Years",tblAdmissions[Age],"&gt;="&amp;35,tblAdmissions[Age],"&lt;="&amp;49,tblAdmissions[Sex],"F",tblAdmissions[NHIS],"Insured")</f>
        <v/>
      </c>
      <c r="V12" s="12" t="inlineStr">
        <is>
          <t>35-49</t>
        </is>
      </c>
      <c r="W12" s="12">
        <f>COUNTIFS(tblAdmissions[Month],4,tblAdmissions[AgeUnit],"Years",tblAdmissions[Age],"&gt;="&amp;35,tblAdmissions[Age],"&lt;="&amp;49,tblAdmissions[Sex],"M")</f>
        <v/>
      </c>
      <c r="X12" s="12">
        <f>COUNTIFS(tblAdmissions[Month],4,tblAdmissions[AgeUnit],"Years",tblAdmissions[Age],"&gt;="&amp;35,tblAdmissions[Age],"&lt;="&amp;49,tblAdmissions[Sex],"F")</f>
        <v/>
      </c>
      <c r="Y12" s="12">
        <f>COUNTIFS(tblAdmissions[Month],4,tblAdmissions[AgeUnit],"Years",tblAdmissions[Age],"&gt;="&amp;35,tblAdmissions[Age],"&lt;="&amp;49,tblAdmissions[Sex],"M",tblAdmissions[NHIS],"Non-Insured")</f>
        <v/>
      </c>
      <c r="Z12" s="12">
        <f>COUNTIFS(tblAdmissions[Month],4,tblAdmissions[AgeUnit],"Years",tblAdmissions[Age],"&gt;="&amp;35,tblAdmissions[Age],"&lt;="&amp;49,tblAdmissions[Sex],"F",tblAdmissions[NHIS],"Non-Insured")</f>
        <v/>
      </c>
      <c r="AA12" s="12">
        <f>COUNTIFS(tblAdmissions[Month],4,tblAdmissions[AgeUnit],"Years",tblAdmissions[Age],"&gt;="&amp;35,tblAdmissions[Age],"&lt;="&amp;49,tblAdmissions[Sex],"M",tblAdmissions[NHIS],"Insured")</f>
        <v/>
      </c>
      <c r="AB12" s="12">
        <f>COUNTIFS(tblAdmissions[Month],4,tblAdmissions[AgeUnit],"Years",tblAdmissions[Age],"&gt;="&amp;35,tblAdmissions[Age],"&lt;="&amp;49,tblAdmissions[Sex],"F",tblAdmissions[NHIS],"Insured")</f>
        <v/>
      </c>
      <c r="AC12" s="12" t="inlineStr">
        <is>
          <t>35-49</t>
        </is>
      </c>
      <c r="AD12" s="12">
        <f>COUNTIFS(tblAdmissions[Month],5,tblAdmissions[AgeUnit],"Years",tblAdmissions[Age],"&gt;="&amp;35,tblAdmissions[Age],"&lt;="&amp;49,tblAdmissions[Sex],"M")</f>
        <v/>
      </c>
      <c r="AE12" s="12">
        <f>COUNTIFS(tblAdmissions[Month],5,tblAdmissions[AgeUnit],"Years",tblAdmissions[Age],"&gt;="&amp;35,tblAdmissions[Age],"&lt;="&amp;49,tblAdmissions[Sex],"F")</f>
        <v/>
      </c>
      <c r="AF12" s="12">
        <f>COUNTIFS(tblAdmissions[Month],5,tblAdmissions[AgeUnit],"Years",tblAdmissions[Age],"&gt;="&amp;35,tblAdmissions[Age],"&lt;="&amp;49,tblAdmissions[Sex],"M",tblAdmissions[NHIS],"Non-Insured")</f>
        <v/>
      </c>
      <c r="AG12" s="12">
        <f>COUNTIFS(tblAdmissions[Month],5,tblAdmissions[AgeUnit],"Years",tblAdmissions[Age],"&gt;="&amp;35,tblAdmissions[Age],"&lt;="&amp;49,tblAdmissions[Sex],"F",tblAdmissions[NHIS],"Non-Insured")</f>
        <v/>
      </c>
      <c r="AH12" s="12">
        <f>COUNTIFS(tblAdmissions[Month],5,tblAdmissions[AgeUnit],"Years",tblAdmissions[Age],"&gt;="&amp;35,tblAdmissions[Age],"&lt;="&amp;49,tblAdmissions[Sex],"M",tblAdmissions[NHIS],"Insured")</f>
        <v/>
      </c>
      <c r="AI12" s="12">
        <f>COUNTIFS(tblAdmissions[Month],5,tblAdmissions[AgeUnit],"Years",tblAdmissions[Age],"&gt;="&amp;35,tblAdmissions[Age],"&lt;="&amp;49,tblAdmissions[Sex],"F",tblAdmissions[NHIS],"Insured")</f>
        <v/>
      </c>
      <c r="AJ12" s="12" t="inlineStr">
        <is>
          <t>35-49</t>
        </is>
      </c>
      <c r="AK12" s="12">
        <f>COUNTIFS(tblAdmissions[Month],6,tblAdmissions[AgeUnit],"Years",tblAdmissions[Age],"&gt;="&amp;35,tblAdmissions[Age],"&lt;="&amp;49,tblAdmissions[Sex],"M")</f>
        <v/>
      </c>
      <c r="AL12" s="12">
        <f>COUNTIFS(tblAdmissions[Month],6,tblAdmissions[AgeUnit],"Years",tblAdmissions[Age],"&gt;="&amp;35,tblAdmissions[Age],"&lt;="&amp;49,tblAdmissions[Sex],"F")</f>
        <v/>
      </c>
      <c r="AM12" s="12">
        <f>COUNTIFS(tblAdmissions[Month],6,tblAdmissions[AgeUnit],"Years",tblAdmissions[Age],"&gt;="&amp;35,tblAdmissions[Age],"&lt;="&amp;49,tblAdmissions[Sex],"M",tblAdmissions[NHIS],"Non-Insured")</f>
        <v/>
      </c>
      <c r="AN12" s="12">
        <f>COUNTIFS(tblAdmissions[Month],6,tblAdmissions[AgeUnit],"Years",tblAdmissions[Age],"&gt;="&amp;35,tblAdmissions[Age],"&lt;="&amp;49,tblAdmissions[Sex],"F",tblAdmissions[NHIS],"Non-Insured")</f>
        <v/>
      </c>
      <c r="AO12" s="12">
        <f>COUNTIFS(tblAdmissions[Month],6,tblAdmissions[AgeUnit],"Years",tblAdmissions[Age],"&gt;="&amp;35,tblAdmissions[Age],"&lt;="&amp;49,tblAdmissions[Sex],"M",tblAdmissions[NHIS],"Insured")</f>
        <v/>
      </c>
      <c r="AP12" s="12">
        <f>COUNTIFS(tblAdmissions[Month],6,tblAdmissions[AgeUnit],"Years",tblAdmissions[Age],"&gt;="&amp;35,tblAdmissions[Age],"&lt;="&amp;49,tblAdmissions[Sex],"F",tblAdmissions[NHIS],"Insured")</f>
        <v/>
      </c>
      <c r="AQ12" s="12" t="inlineStr">
        <is>
          <t>35-49</t>
        </is>
      </c>
      <c r="AR12" s="12">
        <f>COUNTIFS(tblAdmissions[Month],7,tblAdmissions[AgeUnit],"Years",tblAdmissions[Age],"&gt;="&amp;35,tblAdmissions[Age],"&lt;="&amp;49,tblAdmissions[Sex],"M")</f>
        <v/>
      </c>
      <c r="AS12" s="12">
        <f>COUNTIFS(tblAdmissions[Month],7,tblAdmissions[AgeUnit],"Years",tblAdmissions[Age],"&gt;="&amp;35,tblAdmissions[Age],"&lt;="&amp;49,tblAdmissions[Sex],"F")</f>
        <v/>
      </c>
      <c r="AT12" s="12">
        <f>COUNTIFS(tblAdmissions[Month],7,tblAdmissions[AgeUnit],"Years",tblAdmissions[Age],"&gt;="&amp;35,tblAdmissions[Age],"&lt;="&amp;49,tblAdmissions[Sex],"M",tblAdmissions[NHIS],"Non-Insured")</f>
        <v/>
      </c>
      <c r="AU12" s="12">
        <f>COUNTIFS(tblAdmissions[Month],7,tblAdmissions[AgeUnit],"Years",tblAdmissions[Age],"&gt;="&amp;35,tblAdmissions[Age],"&lt;="&amp;49,tblAdmissions[Sex],"F",tblAdmissions[NHIS],"Non-Insured")</f>
        <v/>
      </c>
      <c r="AV12" s="12">
        <f>COUNTIFS(tblAdmissions[Month],7,tblAdmissions[AgeUnit],"Years",tblAdmissions[Age],"&gt;="&amp;35,tblAdmissions[Age],"&lt;="&amp;49,tblAdmissions[Sex],"M",tblAdmissions[NHIS],"Insured")</f>
        <v/>
      </c>
      <c r="AW12" s="12">
        <f>COUNTIFS(tblAdmissions[Month],7,tblAdmissions[AgeUnit],"Years",tblAdmissions[Age],"&gt;="&amp;35,tblAdmissions[Age],"&lt;="&amp;49,tblAdmissions[Sex],"F",tblAdmissions[NHIS],"Insured")</f>
        <v/>
      </c>
      <c r="AX12" s="12" t="inlineStr">
        <is>
          <t>35-49</t>
        </is>
      </c>
      <c r="AY12" s="12">
        <f>COUNTIFS(tblAdmissions[Month],8,tblAdmissions[AgeUnit],"Years",tblAdmissions[Age],"&gt;="&amp;35,tblAdmissions[Age],"&lt;="&amp;49,tblAdmissions[Sex],"M")</f>
        <v/>
      </c>
      <c r="AZ12" s="12">
        <f>COUNTIFS(tblAdmissions[Month],8,tblAdmissions[AgeUnit],"Years",tblAdmissions[Age],"&gt;="&amp;35,tblAdmissions[Age],"&lt;="&amp;49,tblAdmissions[Sex],"F")</f>
        <v/>
      </c>
      <c r="BA12" s="12">
        <f>COUNTIFS(tblAdmissions[Month],8,tblAdmissions[AgeUnit],"Years",tblAdmissions[Age],"&gt;="&amp;35,tblAdmissions[Age],"&lt;="&amp;49,tblAdmissions[Sex],"M",tblAdmissions[NHIS],"Non-Insured")</f>
        <v/>
      </c>
      <c r="BB12" s="12">
        <f>COUNTIFS(tblAdmissions[Month],8,tblAdmissions[AgeUnit],"Years",tblAdmissions[Age],"&gt;="&amp;35,tblAdmissions[Age],"&lt;="&amp;49,tblAdmissions[Sex],"F",tblAdmissions[NHIS],"Non-Insured")</f>
        <v/>
      </c>
      <c r="BC12" s="12">
        <f>COUNTIFS(tblAdmissions[Month],8,tblAdmissions[AgeUnit],"Years",tblAdmissions[Age],"&gt;="&amp;35,tblAdmissions[Age],"&lt;="&amp;49,tblAdmissions[Sex],"M",tblAdmissions[NHIS],"Insured")</f>
        <v/>
      </c>
      <c r="BD12" s="12">
        <f>COUNTIFS(tblAdmissions[Month],8,tblAdmissions[AgeUnit],"Years",tblAdmissions[Age],"&gt;="&amp;35,tblAdmissions[Age],"&lt;="&amp;49,tblAdmissions[Sex],"F",tblAdmissions[NHIS],"Insured")</f>
        <v/>
      </c>
      <c r="BE12" s="12" t="inlineStr">
        <is>
          <t>35-49</t>
        </is>
      </c>
      <c r="BF12" s="12">
        <f>COUNTIFS(tblAdmissions[Month],9,tblAdmissions[AgeUnit],"Years",tblAdmissions[Age],"&gt;="&amp;35,tblAdmissions[Age],"&lt;="&amp;49,tblAdmissions[Sex],"M")</f>
        <v/>
      </c>
      <c r="BG12" s="12">
        <f>COUNTIFS(tblAdmissions[Month],9,tblAdmissions[AgeUnit],"Years",tblAdmissions[Age],"&gt;="&amp;35,tblAdmissions[Age],"&lt;="&amp;49,tblAdmissions[Sex],"F")</f>
        <v/>
      </c>
      <c r="BH12" s="12">
        <f>COUNTIFS(tblAdmissions[Month],9,tblAdmissions[AgeUnit],"Years",tblAdmissions[Age],"&gt;="&amp;35,tblAdmissions[Age],"&lt;="&amp;49,tblAdmissions[Sex],"M",tblAdmissions[NHIS],"Non-Insured")</f>
        <v/>
      </c>
      <c r="BI12" s="12">
        <f>COUNTIFS(tblAdmissions[Month],9,tblAdmissions[AgeUnit],"Years",tblAdmissions[Age],"&gt;="&amp;35,tblAdmissions[Age],"&lt;="&amp;49,tblAdmissions[Sex],"F",tblAdmissions[NHIS],"Non-Insured")</f>
        <v/>
      </c>
      <c r="BJ12" s="12">
        <f>COUNTIFS(tblAdmissions[Month],9,tblAdmissions[AgeUnit],"Years",tblAdmissions[Age],"&gt;="&amp;35,tblAdmissions[Age],"&lt;="&amp;49,tblAdmissions[Sex],"M",tblAdmissions[NHIS],"Insured")</f>
        <v/>
      </c>
      <c r="BK12" s="12">
        <f>COUNTIFS(tblAdmissions[Month],9,tblAdmissions[AgeUnit],"Years",tblAdmissions[Age],"&gt;="&amp;35,tblAdmissions[Age],"&lt;="&amp;49,tblAdmissions[Sex],"F",tblAdmissions[NHIS],"Insured")</f>
        <v/>
      </c>
      <c r="BL12" s="12" t="inlineStr">
        <is>
          <t>35-49</t>
        </is>
      </c>
      <c r="BM12" s="12">
        <f>COUNTIFS(tblAdmissions[Month],10,tblAdmissions[AgeUnit],"Years",tblAdmissions[Age],"&gt;="&amp;35,tblAdmissions[Age],"&lt;="&amp;49,tblAdmissions[Sex],"M")</f>
        <v/>
      </c>
      <c r="BN12" s="12">
        <f>COUNTIFS(tblAdmissions[Month],10,tblAdmissions[AgeUnit],"Years",tblAdmissions[Age],"&gt;="&amp;35,tblAdmissions[Age],"&lt;="&amp;49,tblAdmissions[Sex],"F")</f>
        <v/>
      </c>
      <c r="BO12" s="12">
        <f>COUNTIFS(tblAdmissions[Month],10,tblAdmissions[AgeUnit],"Years",tblAdmissions[Age],"&gt;="&amp;35,tblAdmissions[Age],"&lt;="&amp;49,tblAdmissions[Sex],"M",tblAdmissions[NHIS],"Non-Insured")</f>
        <v/>
      </c>
      <c r="BP12" s="12">
        <f>COUNTIFS(tblAdmissions[Month],10,tblAdmissions[AgeUnit],"Years",tblAdmissions[Age],"&gt;="&amp;35,tblAdmissions[Age],"&lt;="&amp;49,tblAdmissions[Sex],"F",tblAdmissions[NHIS],"Non-Insured")</f>
        <v/>
      </c>
      <c r="BQ12" s="12">
        <f>COUNTIFS(tblAdmissions[Month],10,tblAdmissions[AgeUnit],"Years",tblAdmissions[Age],"&gt;="&amp;35,tblAdmissions[Age],"&lt;="&amp;49,tblAdmissions[Sex],"M",tblAdmissions[NHIS],"Insured")</f>
        <v/>
      </c>
      <c r="BR12" s="12">
        <f>COUNTIFS(tblAdmissions[Month],10,tblAdmissions[AgeUnit],"Years",tblAdmissions[Age],"&gt;="&amp;35,tblAdmissions[Age],"&lt;="&amp;49,tblAdmissions[Sex],"F",tblAdmissions[NHIS],"Insured")</f>
        <v/>
      </c>
      <c r="BS12" s="12" t="inlineStr">
        <is>
          <t>35-49</t>
        </is>
      </c>
      <c r="BT12" s="12">
        <f>COUNTIFS(tblAdmissions[Month],11,tblAdmissions[AgeUnit],"Years",tblAdmissions[Age],"&gt;="&amp;35,tblAdmissions[Age],"&lt;="&amp;49,tblAdmissions[Sex],"M")</f>
        <v/>
      </c>
      <c r="BU12" s="12">
        <f>COUNTIFS(tblAdmissions[Month],11,tblAdmissions[AgeUnit],"Years",tblAdmissions[Age],"&gt;="&amp;35,tblAdmissions[Age],"&lt;="&amp;49,tblAdmissions[Sex],"F")</f>
        <v/>
      </c>
      <c r="BV12" s="12">
        <f>COUNTIFS(tblAdmissions[Month],11,tblAdmissions[AgeUnit],"Years",tblAdmissions[Age],"&gt;="&amp;35,tblAdmissions[Age],"&lt;="&amp;49,tblAdmissions[Sex],"M",tblAdmissions[NHIS],"Non-Insured")</f>
        <v/>
      </c>
      <c r="BW12" s="12">
        <f>COUNTIFS(tblAdmissions[Month],11,tblAdmissions[AgeUnit],"Years",tblAdmissions[Age],"&gt;="&amp;35,tblAdmissions[Age],"&lt;="&amp;49,tblAdmissions[Sex],"F",tblAdmissions[NHIS],"Non-Insured")</f>
        <v/>
      </c>
      <c r="BX12" s="12">
        <f>COUNTIFS(tblAdmissions[Month],11,tblAdmissions[AgeUnit],"Years",tblAdmissions[Age],"&gt;="&amp;35,tblAdmissions[Age],"&lt;="&amp;49,tblAdmissions[Sex],"M",tblAdmissions[NHIS],"Insured")</f>
        <v/>
      </c>
      <c r="BY12" s="12">
        <f>COUNTIFS(tblAdmissions[Month],11,tblAdmissions[AgeUnit],"Years",tblAdmissions[Age],"&gt;="&amp;35,tblAdmissions[Age],"&lt;="&amp;49,tblAdmissions[Sex],"F",tblAdmissions[NHIS],"Insured")</f>
        <v/>
      </c>
      <c r="BZ12" s="12" t="inlineStr">
        <is>
          <t>35-49</t>
        </is>
      </c>
      <c r="CA12" s="12">
        <f>COUNTIFS(tblAdmissions[Month],12,tblAdmissions[AgeUnit],"Years",tblAdmissions[Age],"&gt;="&amp;35,tblAdmissions[Age],"&lt;="&amp;49,tblAdmissions[Sex],"M")</f>
        <v/>
      </c>
      <c r="CB12" s="12">
        <f>COUNTIFS(tblAdmissions[Month],12,tblAdmissions[AgeUnit],"Years",tblAdmissions[Age],"&gt;="&amp;35,tblAdmissions[Age],"&lt;="&amp;49,tblAdmissions[Sex],"F")</f>
        <v/>
      </c>
      <c r="CC12" s="12">
        <f>COUNTIFS(tblAdmissions[Month],12,tblAdmissions[AgeUnit],"Years",tblAdmissions[Age],"&gt;="&amp;35,tblAdmissions[Age],"&lt;="&amp;49,tblAdmissions[Sex],"M",tblAdmissions[NHIS],"Non-Insured")</f>
        <v/>
      </c>
      <c r="CD12" s="12">
        <f>COUNTIFS(tblAdmissions[Month],12,tblAdmissions[AgeUnit],"Years",tblAdmissions[Age],"&gt;="&amp;35,tblAdmissions[Age],"&lt;="&amp;49,tblAdmissions[Sex],"F",tblAdmissions[NHIS],"Non-Insured")</f>
        <v/>
      </c>
      <c r="CE12" s="12">
        <f>COUNTIFS(tblAdmissions[Month],12,tblAdmissions[AgeUnit],"Years",tblAdmissions[Age],"&gt;="&amp;35,tblAdmissions[Age],"&lt;="&amp;49,tblAdmissions[Sex],"M",tblAdmissions[NHIS],"Insured")</f>
        <v/>
      </c>
      <c r="CF12" s="12">
        <f>COUNTIFS(tblAdmissions[Month],12,tblAdmissions[AgeUnit],"Years",tblAdmissions[Age],"&gt;="&amp;35,tblAdmissions[Age],"&lt;="&amp;49,tblAdmissions[Sex],"F",tblAdmissions[NHIS],"Insured")</f>
        <v/>
      </c>
    </row>
    <row r="13">
      <c r="A13" s="12" t="inlineStr">
        <is>
          <t>50-59</t>
        </is>
      </c>
      <c r="B13" s="12">
        <f>COUNTIFS(tblAdmissions[Month],1,tblAdmissions[AgeUnit],"Years",tblAdmissions[Age],"&gt;="&amp;50,tblAdmissions[Age],"&lt;="&amp;59,tblAdmissions[Sex],"M")</f>
        <v/>
      </c>
      <c r="C13" s="12">
        <f>COUNTIFS(tblAdmissions[Month],1,tblAdmissions[AgeUnit],"Years",tblAdmissions[Age],"&gt;="&amp;50,tblAdmissions[Age],"&lt;="&amp;59,tblAdmissions[Sex],"F")</f>
        <v/>
      </c>
      <c r="D13" s="12">
        <f>COUNTIFS(tblAdmissions[Month],1,tblAdmissions[AgeUnit],"Years",tblAdmissions[Age],"&gt;="&amp;50,tblAdmissions[Age],"&lt;="&amp;59,tblAdmissions[Sex],"M",tblAdmissions[NHIS],"Non-Insured")</f>
        <v/>
      </c>
      <c r="E13" s="12">
        <f>COUNTIFS(tblAdmissions[Month],1,tblAdmissions[AgeUnit],"Years",tblAdmissions[Age],"&gt;="&amp;50,tblAdmissions[Age],"&lt;="&amp;59,tblAdmissions[Sex],"F",tblAdmissions[NHIS],"Non-Insured")</f>
        <v/>
      </c>
      <c r="F13" s="12">
        <f>COUNTIFS(tblAdmissions[Month],1,tblAdmissions[AgeUnit],"Years",tblAdmissions[Age],"&gt;="&amp;50,tblAdmissions[Age],"&lt;="&amp;59,tblAdmissions[Sex],"M",tblAdmissions[NHIS],"Insured")</f>
        <v/>
      </c>
      <c r="G13" s="12">
        <f>COUNTIFS(tblAdmissions[Month],1,tblAdmissions[AgeUnit],"Years",tblAdmissions[Age],"&gt;="&amp;50,tblAdmissions[Age],"&lt;="&amp;59,tblAdmissions[Sex],"F",tblAdmissions[NHIS],"Insured")</f>
        <v/>
      </c>
      <c r="H13" s="12" t="inlineStr">
        <is>
          <t>50-59</t>
        </is>
      </c>
      <c r="I13" s="12">
        <f>COUNTIFS(tblAdmissions[Month],2,tblAdmissions[AgeUnit],"Years",tblAdmissions[Age],"&gt;="&amp;50,tblAdmissions[Age],"&lt;="&amp;59,tblAdmissions[Sex],"M")</f>
        <v/>
      </c>
      <c r="J13" s="12">
        <f>COUNTIFS(tblAdmissions[Month],2,tblAdmissions[AgeUnit],"Years",tblAdmissions[Age],"&gt;="&amp;50,tblAdmissions[Age],"&lt;="&amp;59,tblAdmissions[Sex],"F")</f>
        <v/>
      </c>
      <c r="K13" s="12">
        <f>COUNTIFS(tblAdmissions[Month],2,tblAdmissions[AgeUnit],"Years",tblAdmissions[Age],"&gt;="&amp;50,tblAdmissions[Age],"&lt;="&amp;59,tblAdmissions[Sex],"M",tblAdmissions[NHIS],"Non-Insured")</f>
        <v/>
      </c>
      <c r="L13" s="12">
        <f>COUNTIFS(tblAdmissions[Month],2,tblAdmissions[AgeUnit],"Years",tblAdmissions[Age],"&gt;="&amp;50,tblAdmissions[Age],"&lt;="&amp;59,tblAdmissions[Sex],"F",tblAdmissions[NHIS],"Non-Insured")</f>
        <v/>
      </c>
      <c r="M13" s="12">
        <f>COUNTIFS(tblAdmissions[Month],2,tblAdmissions[AgeUnit],"Years",tblAdmissions[Age],"&gt;="&amp;50,tblAdmissions[Age],"&lt;="&amp;59,tblAdmissions[Sex],"M",tblAdmissions[NHIS],"Insured")</f>
        <v/>
      </c>
      <c r="N13" s="12">
        <f>COUNTIFS(tblAdmissions[Month],2,tblAdmissions[AgeUnit],"Years",tblAdmissions[Age],"&gt;="&amp;50,tblAdmissions[Age],"&lt;="&amp;59,tblAdmissions[Sex],"F",tblAdmissions[NHIS],"Insured")</f>
        <v/>
      </c>
      <c r="O13" s="12" t="inlineStr">
        <is>
          <t>50-59</t>
        </is>
      </c>
      <c r="P13" s="12">
        <f>COUNTIFS(tblAdmissions[Month],3,tblAdmissions[AgeUnit],"Years",tblAdmissions[Age],"&gt;="&amp;50,tblAdmissions[Age],"&lt;="&amp;59,tblAdmissions[Sex],"M")</f>
        <v/>
      </c>
      <c r="Q13" s="12">
        <f>COUNTIFS(tblAdmissions[Month],3,tblAdmissions[AgeUnit],"Years",tblAdmissions[Age],"&gt;="&amp;50,tblAdmissions[Age],"&lt;="&amp;59,tblAdmissions[Sex],"F")</f>
        <v/>
      </c>
      <c r="R13" s="12">
        <f>COUNTIFS(tblAdmissions[Month],3,tblAdmissions[AgeUnit],"Years",tblAdmissions[Age],"&gt;="&amp;50,tblAdmissions[Age],"&lt;="&amp;59,tblAdmissions[Sex],"M",tblAdmissions[NHIS],"Non-Insured")</f>
        <v/>
      </c>
      <c r="S13" s="12">
        <f>COUNTIFS(tblAdmissions[Month],3,tblAdmissions[AgeUnit],"Years",tblAdmissions[Age],"&gt;="&amp;50,tblAdmissions[Age],"&lt;="&amp;59,tblAdmissions[Sex],"F",tblAdmissions[NHIS],"Non-Insured")</f>
        <v/>
      </c>
      <c r="T13" s="12">
        <f>COUNTIFS(tblAdmissions[Month],3,tblAdmissions[AgeUnit],"Years",tblAdmissions[Age],"&gt;="&amp;50,tblAdmissions[Age],"&lt;="&amp;59,tblAdmissions[Sex],"M",tblAdmissions[NHIS],"Insured")</f>
        <v/>
      </c>
      <c r="U13" s="12">
        <f>COUNTIFS(tblAdmissions[Month],3,tblAdmissions[AgeUnit],"Years",tblAdmissions[Age],"&gt;="&amp;50,tblAdmissions[Age],"&lt;="&amp;59,tblAdmissions[Sex],"F",tblAdmissions[NHIS],"Insured")</f>
        <v/>
      </c>
      <c r="V13" s="12" t="inlineStr">
        <is>
          <t>50-59</t>
        </is>
      </c>
      <c r="W13" s="12">
        <f>COUNTIFS(tblAdmissions[Month],4,tblAdmissions[AgeUnit],"Years",tblAdmissions[Age],"&gt;="&amp;50,tblAdmissions[Age],"&lt;="&amp;59,tblAdmissions[Sex],"M")</f>
        <v/>
      </c>
      <c r="X13" s="12">
        <f>COUNTIFS(tblAdmissions[Month],4,tblAdmissions[AgeUnit],"Years",tblAdmissions[Age],"&gt;="&amp;50,tblAdmissions[Age],"&lt;="&amp;59,tblAdmissions[Sex],"F")</f>
        <v/>
      </c>
      <c r="Y13" s="12">
        <f>COUNTIFS(tblAdmissions[Month],4,tblAdmissions[AgeUnit],"Years",tblAdmissions[Age],"&gt;="&amp;50,tblAdmissions[Age],"&lt;="&amp;59,tblAdmissions[Sex],"M",tblAdmissions[NHIS],"Non-Insured")</f>
        <v/>
      </c>
      <c r="Z13" s="12">
        <f>COUNTIFS(tblAdmissions[Month],4,tblAdmissions[AgeUnit],"Years",tblAdmissions[Age],"&gt;="&amp;50,tblAdmissions[Age],"&lt;="&amp;59,tblAdmissions[Sex],"F",tblAdmissions[NHIS],"Non-Insured")</f>
        <v/>
      </c>
      <c r="AA13" s="12">
        <f>COUNTIFS(tblAdmissions[Month],4,tblAdmissions[AgeUnit],"Years",tblAdmissions[Age],"&gt;="&amp;50,tblAdmissions[Age],"&lt;="&amp;59,tblAdmissions[Sex],"M",tblAdmissions[NHIS],"Insured")</f>
        <v/>
      </c>
      <c r="AB13" s="12">
        <f>COUNTIFS(tblAdmissions[Month],4,tblAdmissions[AgeUnit],"Years",tblAdmissions[Age],"&gt;="&amp;50,tblAdmissions[Age],"&lt;="&amp;59,tblAdmissions[Sex],"F",tblAdmissions[NHIS],"Insured")</f>
        <v/>
      </c>
      <c r="AC13" s="12" t="inlineStr">
        <is>
          <t>50-59</t>
        </is>
      </c>
      <c r="AD13" s="12">
        <f>COUNTIFS(tblAdmissions[Month],5,tblAdmissions[AgeUnit],"Years",tblAdmissions[Age],"&gt;="&amp;50,tblAdmissions[Age],"&lt;="&amp;59,tblAdmissions[Sex],"M")</f>
        <v/>
      </c>
      <c r="AE13" s="12">
        <f>COUNTIFS(tblAdmissions[Month],5,tblAdmissions[AgeUnit],"Years",tblAdmissions[Age],"&gt;="&amp;50,tblAdmissions[Age],"&lt;="&amp;59,tblAdmissions[Sex],"F")</f>
        <v/>
      </c>
      <c r="AF13" s="12">
        <f>COUNTIFS(tblAdmissions[Month],5,tblAdmissions[AgeUnit],"Years",tblAdmissions[Age],"&gt;="&amp;50,tblAdmissions[Age],"&lt;="&amp;59,tblAdmissions[Sex],"M",tblAdmissions[NHIS],"Non-Insured")</f>
        <v/>
      </c>
      <c r="AG13" s="12">
        <f>COUNTIFS(tblAdmissions[Month],5,tblAdmissions[AgeUnit],"Years",tblAdmissions[Age],"&gt;="&amp;50,tblAdmissions[Age],"&lt;="&amp;59,tblAdmissions[Sex],"F",tblAdmissions[NHIS],"Non-Insured")</f>
        <v/>
      </c>
      <c r="AH13" s="12">
        <f>COUNTIFS(tblAdmissions[Month],5,tblAdmissions[AgeUnit],"Years",tblAdmissions[Age],"&gt;="&amp;50,tblAdmissions[Age],"&lt;="&amp;59,tblAdmissions[Sex],"M",tblAdmissions[NHIS],"Insured")</f>
        <v/>
      </c>
      <c r="AI13" s="12">
        <f>COUNTIFS(tblAdmissions[Month],5,tblAdmissions[AgeUnit],"Years",tblAdmissions[Age],"&gt;="&amp;50,tblAdmissions[Age],"&lt;="&amp;59,tblAdmissions[Sex],"F",tblAdmissions[NHIS],"Insured")</f>
        <v/>
      </c>
      <c r="AJ13" s="12" t="inlineStr">
        <is>
          <t>50-59</t>
        </is>
      </c>
      <c r="AK13" s="12">
        <f>COUNTIFS(tblAdmissions[Month],6,tblAdmissions[AgeUnit],"Years",tblAdmissions[Age],"&gt;="&amp;50,tblAdmissions[Age],"&lt;="&amp;59,tblAdmissions[Sex],"M")</f>
        <v/>
      </c>
      <c r="AL13" s="12">
        <f>COUNTIFS(tblAdmissions[Month],6,tblAdmissions[AgeUnit],"Years",tblAdmissions[Age],"&gt;="&amp;50,tblAdmissions[Age],"&lt;="&amp;59,tblAdmissions[Sex],"F")</f>
        <v/>
      </c>
      <c r="AM13" s="12">
        <f>COUNTIFS(tblAdmissions[Month],6,tblAdmissions[AgeUnit],"Years",tblAdmissions[Age],"&gt;="&amp;50,tblAdmissions[Age],"&lt;="&amp;59,tblAdmissions[Sex],"M",tblAdmissions[NHIS],"Non-Insured")</f>
        <v/>
      </c>
      <c r="AN13" s="12">
        <f>COUNTIFS(tblAdmissions[Month],6,tblAdmissions[AgeUnit],"Years",tblAdmissions[Age],"&gt;="&amp;50,tblAdmissions[Age],"&lt;="&amp;59,tblAdmissions[Sex],"F",tblAdmissions[NHIS],"Non-Insured")</f>
        <v/>
      </c>
      <c r="AO13" s="12">
        <f>COUNTIFS(tblAdmissions[Month],6,tblAdmissions[AgeUnit],"Years",tblAdmissions[Age],"&gt;="&amp;50,tblAdmissions[Age],"&lt;="&amp;59,tblAdmissions[Sex],"M",tblAdmissions[NHIS],"Insured")</f>
        <v/>
      </c>
      <c r="AP13" s="12">
        <f>COUNTIFS(tblAdmissions[Month],6,tblAdmissions[AgeUnit],"Years",tblAdmissions[Age],"&gt;="&amp;50,tblAdmissions[Age],"&lt;="&amp;59,tblAdmissions[Sex],"F",tblAdmissions[NHIS],"Insured")</f>
        <v/>
      </c>
      <c r="AQ13" s="12" t="inlineStr">
        <is>
          <t>50-59</t>
        </is>
      </c>
      <c r="AR13" s="12">
        <f>COUNTIFS(tblAdmissions[Month],7,tblAdmissions[AgeUnit],"Years",tblAdmissions[Age],"&gt;="&amp;50,tblAdmissions[Age],"&lt;="&amp;59,tblAdmissions[Sex],"M")</f>
        <v/>
      </c>
      <c r="AS13" s="12">
        <f>COUNTIFS(tblAdmissions[Month],7,tblAdmissions[AgeUnit],"Years",tblAdmissions[Age],"&gt;="&amp;50,tblAdmissions[Age],"&lt;="&amp;59,tblAdmissions[Sex],"F")</f>
        <v/>
      </c>
      <c r="AT13" s="12">
        <f>COUNTIFS(tblAdmissions[Month],7,tblAdmissions[AgeUnit],"Years",tblAdmissions[Age],"&gt;="&amp;50,tblAdmissions[Age],"&lt;="&amp;59,tblAdmissions[Sex],"M",tblAdmissions[NHIS],"Non-Insured")</f>
        <v/>
      </c>
      <c r="AU13" s="12">
        <f>COUNTIFS(tblAdmissions[Month],7,tblAdmissions[AgeUnit],"Years",tblAdmissions[Age],"&gt;="&amp;50,tblAdmissions[Age],"&lt;="&amp;59,tblAdmissions[Sex],"F",tblAdmissions[NHIS],"Non-Insured")</f>
        <v/>
      </c>
      <c r="AV13" s="12">
        <f>COUNTIFS(tblAdmissions[Month],7,tblAdmissions[AgeUnit],"Years",tblAdmissions[Age],"&gt;="&amp;50,tblAdmissions[Age],"&lt;="&amp;59,tblAdmissions[Sex],"M",tblAdmissions[NHIS],"Insured")</f>
        <v/>
      </c>
      <c r="AW13" s="12">
        <f>COUNTIFS(tblAdmissions[Month],7,tblAdmissions[AgeUnit],"Years",tblAdmissions[Age],"&gt;="&amp;50,tblAdmissions[Age],"&lt;="&amp;59,tblAdmissions[Sex],"F",tblAdmissions[NHIS],"Insured")</f>
        <v/>
      </c>
      <c r="AX13" s="12" t="inlineStr">
        <is>
          <t>50-59</t>
        </is>
      </c>
      <c r="AY13" s="12">
        <f>COUNTIFS(tblAdmissions[Month],8,tblAdmissions[AgeUnit],"Years",tblAdmissions[Age],"&gt;="&amp;50,tblAdmissions[Age],"&lt;="&amp;59,tblAdmissions[Sex],"M")</f>
        <v/>
      </c>
      <c r="AZ13" s="12">
        <f>COUNTIFS(tblAdmissions[Month],8,tblAdmissions[AgeUnit],"Years",tblAdmissions[Age],"&gt;="&amp;50,tblAdmissions[Age],"&lt;="&amp;59,tblAdmissions[Sex],"F")</f>
        <v/>
      </c>
      <c r="BA13" s="12">
        <f>COUNTIFS(tblAdmissions[Month],8,tblAdmissions[AgeUnit],"Years",tblAdmissions[Age],"&gt;="&amp;50,tblAdmissions[Age],"&lt;="&amp;59,tblAdmissions[Sex],"M",tblAdmissions[NHIS],"Non-Insured")</f>
        <v/>
      </c>
      <c r="BB13" s="12">
        <f>COUNTIFS(tblAdmissions[Month],8,tblAdmissions[AgeUnit],"Years",tblAdmissions[Age],"&gt;="&amp;50,tblAdmissions[Age],"&lt;="&amp;59,tblAdmissions[Sex],"F",tblAdmissions[NHIS],"Non-Insured")</f>
        <v/>
      </c>
      <c r="BC13" s="12">
        <f>COUNTIFS(tblAdmissions[Month],8,tblAdmissions[AgeUnit],"Years",tblAdmissions[Age],"&gt;="&amp;50,tblAdmissions[Age],"&lt;="&amp;59,tblAdmissions[Sex],"M",tblAdmissions[NHIS],"Insured")</f>
        <v/>
      </c>
      <c r="BD13" s="12">
        <f>COUNTIFS(tblAdmissions[Month],8,tblAdmissions[AgeUnit],"Years",tblAdmissions[Age],"&gt;="&amp;50,tblAdmissions[Age],"&lt;="&amp;59,tblAdmissions[Sex],"F",tblAdmissions[NHIS],"Insured")</f>
        <v/>
      </c>
      <c r="BE13" s="12" t="inlineStr">
        <is>
          <t>50-59</t>
        </is>
      </c>
      <c r="BF13" s="12">
        <f>COUNTIFS(tblAdmissions[Month],9,tblAdmissions[AgeUnit],"Years",tblAdmissions[Age],"&gt;="&amp;50,tblAdmissions[Age],"&lt;="&amp;59,tblAdmissions[Sex],"M")</f>
        <v/>
      </c>
      <c r="BG13" s="12">
        <f>COUNTIFS(tblAdmissions[Month],9,tblAdmissions[AgeUnit],"Years",tblAdmissions[Age],"&gt;="&amp;50,tblAdmissions[Age],"&lt;="&amp;59,tblAdmissions[Sex],"F")</f>
        <v/>
      </c>
      <c r="BH13" s="12">
        <f>COUNTIFS(tblAdmissions[Month],9,tblAdmissions[AgeUnit],"Years",tblAdmissions[Age],"&gt;="&amp;50,tblAdmissions[Age],"&lt;="&amp;59,tblAdmissions[Sex],"M",tblAdmissions[NHIS],"Non-Insured")</f>
        <v/>
      </c>
      <c r="BI13" s="12">
        <f>COUNTIFS(tblAdmissions[Month],9,tblAdmissions[AgeUnit],"Years",tblAdmissions[Age],"&gt;="&amp;50,tblAdmissions[Age],"&lt;="&amp;59,tblAdmissions[Sex],"F",tblAdmissions[NHIS],"Non-Insured")</f>
        <v/>
      </c>
      <c r="BJ13" s="12">
        <f>COUNTIFS(tblAdmissions[Month],9,tblAdmissions[AgeUnit],"Years",tblAdmissions[Age],"&gt;="&amp;50,tblAdmissions[Age],"&lt;="&amp;59,tblAdmissions[Sex],"M",tblAdmissions[NHIS],"Insured")</f>
        <v/>
      </c>
      <c r="BK13" s="12">
        <f>COUNTIFS(tblAdmissions[Month],9,tblAdmissions[AgeUnit],"Years",tblAdmissions[Age],"&gt;="&amp;50,tblAdmissions[Age],"&lt;="&amp;59,tblAdmissions[Sex],"F",tblAdmissions[NHIS],"Insured")</f>
        <v/>
      </c>
      <c r="BL13" s="12" t="inlineStr">
        <is>
          <t>50-59</t>
        </is>
      </c>
      <c r="BM13" s="12">
        <f>COUNTIFS(tblAdmissions[Month],10,tblAdmissions[AgeUnit],"Years",tblAdmissions[Age],"&gt;="&amp;50,tblAdmissions[Age],"&lt;="&amp;59,tblAdmissions[Sex],"M")</f>
        <v/>
      </c>
      <c r="BN13" s="12">
        <f>COUNTIFS(tblAdmissions[Month],10,tblAdmissions[AgeUnit],"Years",tblAdmissions[Age],"&gt;="&amp;50,tblAdmissions[Age],"&lt;="&amp;59,tblAdmissions[Sex],"F")</f>
        <v/>
      </c>
      <c r="BO13" s="12">
        <f>COUNTIFS(tblAdmissions[Month],10,tblAdmissions[AgeUnit],"Years",tblAdmissions[Age],"&gt;="&amp;50,tblAdmissions[Age],"&lt;="&amp;59,tblAdmissions[Sex],"M",tblAdmissions[NHIS],"Non-Insured")</f>
        <v/>
      </c>
      <c r="BP13" s="12">
        <f>COUNTIFS(tblAdmissions[Month],10,tblAdmissions[AgeUnit],"Years",tblAdmissions[Age],"&gt;="&amp;50,tblAdmissions[Age],"&lt;="&amp;59,tblAdmissions[Sex],"F",tblAdmissions[NHIS],"Non-Insured")</f>
        <v/>
      </c>
      <c r="BQ13" s="12">
        <f>COUNTIFS(tblAdmissions[Month],10,tblAdmissions[AgeUnit],"Years",tblAdmissions[Age],"&gt;="&amp;50,tblAdmissions[Age],"&lt;="&amp;59,tblAdmissions[Sex],"M",tblAdmissions[NHIS],"Insured")</f>
        <v/>
      </c>
      <c r="BR13" s="12">
        <f>COUNTIFS(tblAdmissions[Month],10,tblAdmissions[AgeUnit],"Years",tblAdmissions[Age],"&gt;="&amp;50,tblAdmissions[Age],"&lt;="&amp;59,tblAdmissions[Sex],"F",tblAdmissions[NHIS],"Insured")</f>
        <v/>
      </c>
      <c r="BS13" s="12" t="inlineStr">
        <is>
          <t>50-59</t>
        </is>
      </c>
      <c r="BT13" s="12">
        <f>COUNTIFS(tblAdmissions[Month],11,tblAdmissions[AgeUnit],"Years",tblAdmissions[Age],"&gt;="&amp;50,tblAdmissions[Age],"&lt;="&amp;59,tblAdmissions[Sex],"M")</f>
        <v/>
      </c>
      <c r="BU13" s="12">
        <f>COUNTIFS(tblAdmissions[Month],11,tblAdmissions[AgeUnit],"Years",tblAdmissions[Age],"&gt;="&amp;50,tblAdmissions[Age],"&lt;="&amp;59,tblAdmissions[Sex],"F")</f>
        <v/>
      </c>
      <c r="BV13" s="12">
        <f>COUNTIFS(tblAdmissions[Month],11,tblAdmissions[AgeUnit],"Years",tblAdmissions[Age],"&gt;="&amp;50,tblAdmissions[Age],"&lt;="&amp;59,tblAdmissions[Sex],"M",tblAdmissions[NHIS],"Non-Insured")</f>
        <v/>
      </c>
      <c r="BW13" s="12">
        <f>COUNTIFS(tblAdmissions[Month],11,tblAdmissions[AgeUnit],"Years",tblAdmissions[Age],"&gt;="&amp;50,tblAdmissions[Age],"&lt;="&amp;59,tblAdmissions[Sex],"F",tblAdmissions[NHIS],"Non-Insured")</f>
        <v/>
      </c>
      <c r="BX13" s="12">
        <f>COUNTIFS(tblAdmissions[Month],11,tblAdmissions[AgeUnit],"Years",tblAdmissions[Age],"&gt;="&amp;50,tblAdmissions[Age],"&lt;="&amp;59,tblAdmissions[Sex],"M",tblAdmissions[NHIS],"Insured")</f>
        <v/>
      </c>
      <c r="BY13" s="12">
        <f>COUNTIFS(tblAdmissions[Month],11,tblAdmissions[AgeUnit],"Years",tblAdmissions[Age],"&gt;="&amp;50,tblAdmissions[Age],"&lt;="&amp;59,tblAdmissions[Sex],"F",tblAdmissions[NHIS],"Insured")</f>
        <v/>
      </c>
      <c r="BZ13" s="12" t="inlineStr">
        <is>
          <t>50-59</t>
        </is>
      </c>
      <c r="CA13" s="12">
        <f>COUNTIFS(tblAdmissions[Month],12,tblAdmissions[AgeUnit],"Years",tblAdmissions[Age],"&gt;="&amp;50,tblAdmissions[Age],"&lt;="&amp;59,tblAdmissions[Sex],"M")</f>
        <v/>
      </c>
      <c r="CB13" s="12">
        <f>COUNTIFS(tblAdmissions[Month],12,tblAdmissions[AgeUnit],"Years",tblAdmissions[Age],"&gt;="&amp;50,tblAdmissions[Age],"&lt;="&amp;59,tblAdmissions[Sex],"F")</f>
        <v/>
      </c>
      <c r="CC13" s="12">
        <f>COUNTIFS(tblAdmissions[Month],12,tblAdmissions[AgeUnit],"Years",tblAdmissions[Age],"&gt;="&amp;50,tblAdmissions[Age],"&lt;="&amp;59,tblAdmissions[Sex],"M",tblAdmissions[NHIS],"Non-Insured")</f>
        <v/>
      </c>
      <c r="CD13" s="12">
        <f>COUNTIFS(tblAdmissions[Month],12,tblAdmissions[AgeUnit],"Years",tblAdmissions[Age],"&gt;="&amp;50,tblAdmissions[Age],"&lt;="&amp;59,tblAdmissions[Sex],"F",tblAdmissions[NHIS],"Non-Insured")</f>
        <v/>
      </c>
      <c r="CE13" s="12">
        <f>COUNTIFS(tblAdmissions[Month],12,tblAdmissions[AgeUnit],"Years",tblAdmissions[Age],"&gt;="&amp;50,tblAdmissions[Age],"&lt;="&amp;59,tblAdmissions[Sex],"M",tblAdmissions[NHIS],"Insured")</f>
        <v/>
      </c>
      <c r="CF13" s="12">
        <f>COUNTIFS(tblAdmissions[Month],12,tblAdmissions[AgeUnit],"Years",tblAdmissions[Age],"&gt;="&amp;50,tblAdmissions[Age],"&lt;="&amp;59,tblAdmissions[Sex],"F",tblAdmissions[NHIS],"Insured")</f>
        <v/>
      </c>
    </row>
    <row r="14">
      <c r="A14" s="12" t="inlineStr">
        <is>
          <t>60-69</t>
        </is>
      </c>
      <c r="B14" s="12">
        <f>COUNTIFS(tblAdmissions[Month],1,tblAdmissions[AgeUnit],"Years",tblAdmissions[Age],"&gt;="&amp;60,tblAdmissions[Age],"&lt;="&amp;69,tblAdmissions[Sex],"M")</f>
        <v/>
      </c>
      <c r="C14" s="12">
        <f>COUNTIFS(tblAdmissions[Month],1,tblAdmissions[AgeUnit],"Years",tblAdmissions[Age],"&gt;="&amp;60,tblAdmissions[Age],"&lt;="&amp;69,tblAdmissions[Sex],"F")</f>
        <v/>
      </c>
      <c r="D14" s="12">
        <f>COUNTIFS(tblAdmissions[Month],1,tblAdmissions[AgeUnit],"Years",tblAdmissions[Age],"&gt;="&amp;60,tblAdmissions[Age],"&lt;="&amp;69,tblAdmissions[Sex],"M",tblAdmissions[NHIS],"Non-Insured")</f>
        <v/>
      </c>
      <c r="E14" s="12">
        <f>COUNTIFS(tblAdmissions[Month],1,tblAdmissions[AgeUnit],"Years",tblAdmissions[Age],"&gt;="&amp;60,tblAdmissions[Age],"&lt;="&amp;69,tblAdmissions[Sex],"F",tblAdmissions[NHIS],"Non-Insured")</f>
        <v/>
      </c>
      <c r="F14" s="12">
        <f>COUNTIFS(tblAdmissions[Month],1,tblAdmissions[AgeUnit],"Years",tblAdmissions[Age],"&gt;="&amp;60,tblAdmissions[Age],"&lt;="&amp;69,tblAdmissions[Sex],"M",tblAdmissions[NHIS],"Insured")</f>
        <v/>
      </c>
      <c r="G14" s="12">
        <f>COUNTIFS(tblAdmissions[Month],1,tblAdmissions[AgeUnit],"Years",tblAdmissions[Age],"&gt;="&amp;60,tblAdmissions[Age],"&lt;="&amp;69,tblAdmissions[Sex],"F",tblAdmissions[NHIS],"Insured")</f>
        <v/>
      </c>
      <c r="H14" s="12" t="inlineStr">
        <is>
          <t>60-69</t>
        </is>
      </c>
      <c r="I14" s="12">
        <f>COUNTIFS(tblAdmissions[Month],2,tblAdmissions[AgeUnit],"Years",tblAdmissions[Age],"&gt;="&amp;60,tblAdmissions[Age],"&lt;="&amp;69,tblAdmissions[Sex],"M")</f>
        <v/>
      </c>
      <c r="J14" s="12">
        <f>COUNTIFS(tblAdmissions[Month],2,tblAdmissions[AgeUnit],"Years",tblAdmissions[Age],"&gt;="&amp;60,tblAdmissions[Age],"&lt;="&amp;69,tblAdmissions[Sex],"F")</f>
        <v/>
      </c>
      <c r="K14" s="12">
        <f>COUNTIFS(tblAdmissions[Month],2,tblAdmissions[AgeUnit],"Years",tblAdmissions[Age],"&gt;="&amp;60,tblAdmissions[Age],"&lt;="&amp;69,tblAdmissions[Sex],"M",tblAdmissions[NHIS],"Non-Insured")</f>
        <v/>
      </c>
      <c r="L14" s="12">
        <f>COUNTIFS(tblAdmissions[Month],2,tblAdmissions[AgeUnit],"Years",tblAdmissions[Age],"&gt;="&amp;60,tblAdmissions[Age],"&lt;="&amp;69,tblAdmissions[Sex],"F",tblAdmissions[NHIS],"Non-Insured")</f>
        <v/>
      </c>
      <c r="M14" s="12">
        <f>COUNTIFS(tblAdmissions[Month],2,tblAdmissions[AgeUnit],"Years",tblAdmissions[Age],"&gt;="&amp;60,tblAdmissions[Age],"&lt;="&amp;69,tblAdmissions[Sex],"M",tblAdmissions[NHIS],"Insured")</f>
        <v/>
      </c>
      <c r="N14" s="12">
        <f>COUNTIFS(tblAdmissions[Month],2,tblAdmissions[AgeUnit],"Years",tblAdmissions[Age],"&gt;="&amp;60,tblAdmissions[Age],"&lt;="&amp;69,tblAdmissions[Sex],"F",tblAdmissions[NHIS],"Insured")</f>
        <v/>
      </c>
      <c r="O14" s="12" t="inlineStr">
        <is>
          <t>60-69</t>
        </is>
      </c>
      <c r="P14" s="12">
        <f>COUNTIFS(tblAdmissions[Month],3,tblAdmissions[AgeUnit],"Years",tblAdmissions[Age],"&gt;="&amp;60,tblAdmissions[Age],"&lt;="&amp;69,tblAdmissions[Sex],"M")</f>
        <v/>
      </c>
      <c r="Q14" s="12">
        <f>COUNTIFS(tblAdmissions[Month],3,tblAdmissions[AgeUnit],"Years",tblAdmissions[Age],"&gt;="&amp;60,tblAdmissions[Age],"&lt;="&amp;69,tblAdmissions[Sex],"F")</f>
        <v/>
      </c>
      <c r="R14" s="12">
        <f>COUNTIFS(tblAdmissions[Month],3,tblAdmissions[AgeUnit],"Years",tblAdmissions[Age],"&gt;="&amp;60,tblAdmissions[Age],"&lt;="&amp;69,tblAdmissions[Sex],"M",tblAdmissions[NHIS],"Non-Insured")</f>
        <v/>
      </c>
      <c r="S14" s="12">
        <f>COUNTIFS(tblAdmissions[Month],3,tblAdmissions[AgeUnit],"Years",tblAdmissions[Age],"&gt;="&amp;60,tblAdmissions[Age],"&lt;="&amp;69,tblAdmissions[Sex],"F",tblAdmissions[NHIS],"Non-Insured")</f>
        <v/>
      </c>
      <c r="T14" s="12">
        <f>COUNTIFS(tblAdmissions[Month],3,tblAdmissions[AgeUnit],"Years",tblAdmissions[Age],"&gt;="&amp;60,tblAdmissions[Age],"&lt;="&amp;69,tblAdmissions[Sex],"M",tblAdmissions[NHIS],"Insured")</f>
        <v/>
      </c>
      <c r="U14" s="12">
        <f>COUNTIFS(tblAdmissions[Month],3,tblAdmissions[AgeUnit],"Years",tblAdmissions[Age],"&gt;="&amp;60,tblAdmissions[Age],"&lt;="&amp;69,tblAdmissions[Sex],"F",tblAdmissions[NHIS],"Insured")</f>
        <v/>
      </c>
      <c r="V14" s="12" t="inlineStr">
        <is>
          <t>60-69</t>
        </is>
      </c>
      <c r="W14" s="12">
        <f>COUNTIFS(tblAdmissions[Month],4,tblAdmissions[AgeUnit],"Years",tblAdmissions[Age],"&gt;="&amp;60,tblAdmissions[Age],"&lt;="&amp;69,tblAdmissions[Sex],"M")</f>
        <v/>
      </c>
      <c r="X14" s="12">
        <f>COUNTIFS(tblAdmissions[Month],4,tblAdmissions[AgeUnit],"Years",tblAdmissions[Age],"&gt;="&amp;60,tblAdmissions[Age],"&lt;="&amp;69,tblAdmissions[Sex],"F")</f>
        <v/>
      </c>
      <c r="Y14" s="12">
        <f>COUNTIFS(tblAdmissions[Month],4,tblAdmissions[AgeUnit],"Years",tblAdmissions[Age],"&gt;="&amp;60,tblAdmissions[Age],"&lt;="&amp;69,tblAdmissions[Sex],"M",tblAdmissions[NHIS],"Non-Insured")</f>
        <v/>
      </c>
      <c r="Z14" s="12">
        <f>COUNTIFS(tblAdmissions[Month],4,tblAdmissions[AgeUnit],"Years",tblAdmissions[Age],"&gt;="&amp;60,tblAdmissions[Age],"&lt;="&amp;69,tblAdmissions[Sex],"F",tblAdmissions[NHIS],"Non-Insured")</f>
        <v/>
      </c>
      <c r="AA14" s="12">
        <f>COUNTIFS(tblAdmissions[Month],4,tblAdmissions[AgeUnit],"Years",tblAdmissions[Age],"&gt;="&amp;60,tblAdmissions[Age],"&lt;="&amp;69,tblAdmissions[Sex],"M",tblAdmissions[NHIS],"Insured")</f>
        <v/>
      </c>
      <c r="AB14" s="12">
        <f>COUNTIFS(tblAdmissions[Month],4,tblAdmissions[AgeUnit],"Years",tblAdmissions[Age],"&gt;="&amp;60,tblAdmissions[Age],"&lt;="&amp;69,tblAdmissions[Sex],"F",tblAdmissions[NHIS],"Insured")</f>
        <v/>
      </c>
      <c r="AC14" s="12" t="inlineStr">
        <is>
          <t>60-69</t>
        </is>
      </c>
      <c r="AD14" s="12">
        <f>COUNTIFS(tblAdmissions[Month],5,tblAdmissions[AgeUnit],"Years",tblAdmissions[Age],"&gt;="&amp;60,tblAdmissions[Age],"&lt;="&amp;69,tblAdmissions[Sex],"M")</f>
        <v/>
      </c>
      <c r="AE14" s="12">
        <f>COUNTIFS(tblAdmissions[Month],5,tblAdmissions[AgeUnit],"Years",tblAdmissions[Age],"&gt;="&amp;60,tblAdmissions[Age],"&lt;="&amp;69,tblAdmissions[Sex],"F")</f>
        <v/>
      </c>
      <c r="AF14" s="12">
        <f>COUNTIFS(tblAdmissions[Month],5,tblAdmissions[AgeUnit],"Years",tblAdmissions[Age],"&gt;="&amp;60,tblAdmissions[Age],"&lt;="&amp;69,tblAdmissions[Sex],"M",tblAdmissions[NHIS],"Non-Insured")</f>
        <v/>
      </c>
      <c r="AG14" s="12">
        <f>COUNTIFS(tblAdmissions[Month],5,tblAdmissions[AgeUnit],"Years",tblAdmissions[Age],"&gt;="&amp;60,tblAdmissions[Age],"&lt;="&amp;69,tblAdmissions[Sex],"F",tblAdmissions[NHIS],"Non-Insured")</f>
        <v/>
      </c>
      <c r="AH14" s="12">
        <f>COUNTIFS(tblAdmissions[Month],5,tblAdmissions[AgeUnit],"Years",tblAdmissions[Age],"&gt;="&amp;60,tblAdmissions[Age],"&lt;="&amp;69,tblAdmissions[Sex],"M",tblAdmissions[NHIS],"Insured")</f>
        <v/>
      </c>
      <c r="AI14" s="12">
        <f>COUNTIFS(tblAdmissions[Month],5,tblAdmissions[AgeUnit],"Years",tblAdmissions[Age],"&gt;="&amp;60,tblAdmissions[Age],"&lt;="&amp;69,tblAdmissions[Sex],"F",tblAdmissions[NHIS],"Insured")</f>
        <v/>
      </c>
      <c r="AJ14" s="12" t="inlineStr">
        <is>
          <t>60-69</t>
        </is>
      </c>
      <c r="AK14" s="12">
        <f>COUNTIFS(tblAdmissions[Month],6,tblAdmissions[AgeUnit],"Years",tblAdmissions[Age],"&gt;="&amp;60,tblAdmissions[Age],"&lt;="&amp;69,tblAdmissions[Sex],"M")</f>
        <v/>
      </c>
      <c r="AL14" s="12">
        <f>COUNTIFS(tblAdmissions[Month],6,tblAdmissions[AgeUnit],"Years",tblAdmissions[Age],"&gt;="&amp;60,tblAdmissions[Age],"&lt;="&amp;69,tblAdmissions[Sex],"F")</f>
        <v/>
      </c>
      <c r="AM14" s="12">
        <f>COUNTIFS(tblAdmissions[Month],6,tblAdmissions[AgeUnit],"Years",tblAdmissions[Age],"&gt;="&amp;60,tblAdmissions[Age],"&lt;="&amp;69,tblAdmissions[Sex],"M",tblAdmissions[NHIS],"Non-Insured")</f>
        <v/>
      </c>
      <c r="AN14" s="12">
        <f>COUNTIFS(tblAdmissions[Month],6,tblAdmissions[AgeUnit],"Years",tblAdmissions[Age],"&gt;="&amp;60,tblAdmissions[Age],"&lt;="&amp;69,tblAdmissions[Sex],"F",tblAdmissions[NHIS],"Non-Insured")</f>
        <v/>
      </c>
      <c r="AO14" s="12">
        <f>COUNTIFS(tblAdmissions[Month],6,tblAdmissions[AgeUnit],"Years",tblAdmissions[Age],"&gt;="&amp;60,tblAdmissions[Age],"&lt;="&amp;69,tblAdmissions[Sex],"M",tblAdmissions[NHIS],"Insured")</f>
        <v/>
      </c>
      <c r="AP14" s="12">
        <f>COUNTIFS(tblAdmissions[Month],6,tblAdmissions[AgeUnit],"Years",tblAdmissions[Age],"&gt;="&amp;60,tblAdmissions[Age],"&lt;="&amp;69,tblAdmissions[Sex],"F",tblAdmissions[NHIS],"Insured")</f>
        <v/>
      </c>
      <c r="AQ14" s="12" t="inlineStr">
        <is>
          <t>60-69</t>
        </is>
      </c>
      <c r="AR14" s="12">
        <f>COUNTIFS(tblAdmissions[Month],7,tblAdmissions[AgeUnit],"Years",tblAdmissions[Age],"&gt;="&amp;60,tblAdmissions[Age],"&lt;="&amp;69,tblAdmissions[Sex],"M")</f>
        <v/>
      </c>
      <c r="AS14" s="12">
        <f>COUNTIFS(tblAdmissions[Month],7,tblAdmissions[AgeUnit],"Years",tblAdmissions[Age],"&gt;="&amp;60,tblAdmissions[Age],"&lt;="&amp;69,tblAdmissions[Sex],"F")</f>
        <v/>
      </c>
      <c r="AT14" s="12">
        <f>COUNTIFS(tblAdmissions[Month],7,tblAdmissions[AgeUnit],"Years",tblAdmissions[Age],"&gt;="&amp;60,tblAdmissions[Age],"&lt;="&amp;69,tblAdmissions[Sex],"M",tblAdmissions[NHIS],"Non-Insured")</f>
        <v/>
      </c>
      <c r="AU14" s="12">
        <f>COUNTIFS(tblAdmissions[Month],7,tblAdmissions[AgeUnit],"Years",tblAdmissions[Age],"&gt;="&amp;60,tblAdmissions[Age],"&lt;="&amp;69,tblAdmissions[Sex],"F",tblAdmissions[NHIS],"Non-Insured")</f>
        <v/>
      </c>
      <c r="AV14" s="12">
        <f>COUNTIFS(tblAdmissions[Month],7,tblAdmissions[AgeUnit],"Years",tblAdmissions[Age],"&gt;="&amp;60,tblAdmissions[Age],"&lt;="&amp;69,tblAdmissions[Sex],"M",tblAdmissions[NHIS],"Insured")</f>
        <v/>
      </c>
      <c r="AW14" s="12">
        <f>COUNTIFS(tblAdmissions[Month],7,tblAdmissions[AgeUnit],"Years",tblAdmissions[Age],"&gt;="&amp;60,tblAdmissions[Age],"&lt;="&amp;69,tblAdmissions[Sex],"F",tblAdmissions[NHIS],"Insured")</f>
        <v/>
      </c>
      <c r="AX14" s="12" t="inlineStr">
        <is>
          <t>60-69</t>
        </is>
      </c>
      <c r="AY14" s="12">
        <f>COUNTIFS(tblAdmissions[Month],8,tblAdmissions[AgeUnit],"Years",tblAdmissions[Age],"&gt;="&amp;60,tblAdmissions[Age],"&lt;="&amp;69,tblAdmissions[Sex],"M")</f>
        <v/>
      </c>
      <c r="AZ14" s="12">
        <f>COUNTIFS(tblAdmissions[Month],8,tblAdmissions[AgeUnit],"Years",tblAdmissions[Age],"&gt;="&amp;60,tblAdmissions[Age],"&lt;="&amp;69,tblAdmissions[Sex],"F")</f>
        <v/>
      </c>
      <c r="BA14" s="12">
        <f>COUNTIFS(tblAdmissions[Month],8,tblAdmissions[AgeUnit],"Years",tblAdmissions[Age],"&gt;="&amp;60,tblAdmissions[Age],"&lt;="&amp;69,tblAdmissions[Sex],"M",tblAdmissions[NHIS],"Non-Insured")</f>
        <v/>
      </c>
      <c r="BB14" s="12">
        <f>COUNTIFS(tblAdmissions[Month],8,tblAdmissions[AgeUnit],"Years",tblAdmissions[Age],"&gt;="&amp;60,tblAdmissions[Age],"&lt;="&amp;69,tblAdmissions[Sex],"F",tblAdmissions[NHIS],"Non-Insured")</f>
        <v/>
      </c>
      <c r="BC14" s="12">
        <f>COUNTIFS(tblAdmissions[Month],8,tblAdmissions[AgeUnit],"Years",tblAdmissions[Age],"&gt;="&amp;60,tblAdmissions[Age],"&lt;="&amp;69,tblAdmissions[Sex],"M",tblAdmissions[NHIS],"Insured")</f>
        <v/>
      </c>
      <c r="BD14" s="12">
        <f>COUNTIFS(tblAdmissions[Month],8,tblAdmissions[AgeUnit],"Years",tblAdmissions[Age],"&gt;="&amp;60,tblAdmissions[Age],"&lt;="&amp;69,tblAdmissions[Sex],"F",tblAdmissions[NHIS],"Insured")</f>
        <v/>
      </c>
      <c r="BE14" s="12" t="inlineStr">
        <is>
          <t>60-69</t>
        </is>
      </c>
      <c r="BF14" s="12">
        <f>COUNTIFS(tblAdmissions[Month],9,tblAdmissions[AgeUnit],"Years",tblAdmissions[Age],"&gt;="&amp;60,tblAdmissions[Age],"&lt;="&amp;69,tblAdmissions[Sex],"M")</f>
        <v/>
      </c>
      <c r="BG14" s="12">
        <f>COUNTIFS(tblAdmissions[Month],9,tblAdmissions[AgeUnit],"Years",tblAdmissions[Age],"&gt;="&amp;60,tblAdmissions[Age],"&lt;="&amp;69,tblAdmissions[Sex],"F")</f>
        <v/>
      </c>
      <c r="BH14" s="12">
        <f>COUNTIFS(tblAdmissions[Month],9,tblAdmissions[AgeUnit],"Years",tblAdmissions[Age],"&gt;="&amp;60,tblAdmissions[Age],"&lt;="&amp;69,tblAdmissions[Sex],"M",tblAdmissions[NHIS],"Non-Insured")</f>
        <v/>
      </c>
      <c r="BI14" s="12">
        <f>COUNTIFS(tblAdmissions[Month],9,tblAdmissions[AgeUnit],"Years",tblAdmissions[Age],"&gt;="&amp;60,tblAdmissions[Age],"&lt;="&amp;69,tblAdmissions[Sex],"F",tblAdmissions[NHIS],"Non-Insured")</f>
        <v/>
      </c>
      <c r="BJ14" s="12">
        <f>COUNTIFS(tblAdmissions[Month],9,tblAdmissions[AgeUnit],"Years",tblAdmissions[Age],"&gt;="&amp;60,tblAdmissions[Age],"&lt;="&amp;69,tblAdmissions[Sex],"M",tblAdmissions[NHIS],"Insured")</f>
        <v/>
      </c>
      <c r="BK14" s="12">
        <f>COUNTIFS(tblAdmissions[Month],9,tblAdmissions[AgeUnit],"Years",tblAdmissions[Age],"&gt;="&amp;60,tblAdmissions[Age],"&lt;="&amp;69,tblAdmissions[Sex],"F",tblAdmissions[NHIS],"Insured")</f>
        <v/>
      </c>
      <c r="BL14" s="12" t="inlineStr">
        <is>
          <t>60-69</t>
        </is>
      </c>
      <c r="BM14" s="12">
        <f>COUNTIFS(tblAdmissions[Month],10,tblAdmissions[AgeUnit],"Years",tblAdmissions[Age],"&gt;="&amp;60,tblAdmissions[Age],"&lt;="&amp;69,tblAdmissions[Sex],"M")</f>
        <v/>
      </c>
      <c r="BN14" s="12">
        <f>COUNTIFS(tblAdmissions[Month],10,tblAdmissions[AgeUnit],"Years",tblAdmissions[Age],"&gt;="&amp;60,tblAdmissions[Age],"&lt;="&amp;69,tblAdmissions[Sex],"F")</f>
        <v/>
      </c>
      <c r="BO14" s="12">
        <f>COUNTIFS(tblAdmissions[Month],10,tblAdmissions[AgeUnit],"Years",tblAdmissions[Age],"&gt;="&amp;60,tblAdmissions[Age],"&lt;="&amp;69,tblAdmissions[Sex],"M",tblAdmissions[NHIS],"Non-Insured")</f>
        <v/>
      </c>
      <c r="BP14" s="12">
        <f>COUNTIFS(tblAdmissions[Month],10,tblAdmissions[AgeUnit],"Years",tblAdmissions[Age],"&gt;="&amp;60,tblAdmissions[Age],"&lt;="&amp;69,tblAdmissions[Sex],"F",tblAdmissions[NHIS],"Non-Insured")</f>
        <v/>
      </c>
      <c r="BQ14" s="12">
        <f>COUNTIFS(tblAdmissions[Month],10,tblAdmissions[AgeUnit],"Years",tblAdmissions[Age],"&gt;="&amp;60,tblAdmissions[Age],"&lt;="&amp;69,tblAdmissions[Sex],"M",tblAdmissions[NHIS],"Insured")</f>
        <v/>
      </c>
      <c r="BR14" s="12">
        <f>COUNTIFS(tblAdmissions[Month],10,tblAdmissions[AgeUnit],"Years",tblAdmissions[Age],"&gt;="&amp;60,tblAdmissions[Age],"&lt;="&amp;69,tblAdmissions[Sex],"F",tblAdmissions[NHIS],"Insured")</f>
        <v/>
      </c>
      <c r="BS14" s="12" t="inlineStr">
        <is>
          <t>60-69</t>
        </is>
      </c>
      <c r="BT14" s="12">
        <f>COUNTIFS(tblAdmissions[Month],11,tblAdmissions[AgeUnit],"Years",tblAdmissions[Age],"&gt;="&amp;60,tblAdmissions[Age],"&lt;="&amp;69,tblAdmissions[Sex],"M")</f>
        <v/>
      </c>
      <c r="BU14" s="12">
        <f>COUNTIFS(tblAdmissions[Month],11,tblAdmissions[AgeUnit],"Years",tblAdmissions[Age],"&gt;="&amp;60,tblAdmissions[Age],"&lt;="&amp;69,tblAdmissions[Sex],"F")</f>
        <v/>
      </c>
      <c r="BV14" s="12">
        <f>COUNTIFS(tblAdmissions[Month],11,tblAdmissions[AgeUnit],"Years",tblAdmissions[Age],"&gt;="&amp;60,tblAdmissions[Age],"&lt;="&amp;69,tblAdmissions[Sex],"M",tblAdmissions[NHIS],"Non-Insured")</f>
        <v/>
      </c>
      <c r="BW14" s="12">
        <f>COUNTIFS(tblAdmissions[Month],11,tblAdmissions[AgeUnit],"Years",tblAdmissions[Age],"&gt;="&amp;60,tblAdmissions[Age],"&lt;="&amp;69,tblAdmissions[Sex],"F",tblAdmissions[NHIS],"Non-Insured")</f>
        <v/>
      </c>
      <c r="BX14" s="12">
        <f>COUNTIFS(tblAdmissions[Month],11,tblAdmissions[AgeUnit],"Years",tblAdmissions[Age],"&gt;="&amp;60,tblAdmissions[Age],"&lt;="&amp;69,tblAdmissions[Sex],"M",tblAdmissions[NHIS],"Insured")</f>
        <v/>
      </c>
      <c r="BY14" s="12">
        <f>COUNTIFS(tblAdmissions[Month],11,tblAdmissions[AgeUnit],"Years",tblAdmissions[Age],"&gt;="&amp;60,tblAdmissions[Age],"&lt;="&amp;69,tblAdmissions[Sex],"F",tblAdmissions[NHIS],"Insured")</f>
        <v/>
      </c>
      <c r="BZ14" s="12" t="inlineStr">
        <is>
          <t>60-69</t>
        </is>
      </c>
      <c r="CA14" s="12">
        <f>COUNTIFS(tblAdmissions[Month],12,tblAdmissions[AgeUnit],"Years",tblAdmissions[Age],"&gt;="&amp;60,tblAdmissions[Age],"&lt;="&amp;69,tblAdmissions[Sex],"M")</f>
        <v/>
      </c>
      <c r="CB14" s="12">
        <f>COUNTIFS(tblAdmissions[Month],12,tblAdmissions[AgeUnit],"Years",tblAdmissions[Age],"&gt;="&amp;60,tblAdmissions[Age],"&lt;="&amp;69,tblAdmissions[Sex],"F")</f>
        <v/>
      </c>
      <c r="CC14" s="12">
        <f>COUNTIFS(tblAdmissions[Month],12,tblAdmissions[AgeUnit],"Years",tblAdmissions[Age],"&gt;="&amp;60,tblAdmissions[Age],"&lt;="&amp;69,tblAdmissions[Sex],"M",tblAdmissions[NHIS],"Non-Insured")</f>
        <v/>
      </c>
      <c r="CD14" s="12">
        <f>COUNTIFS(tblAdmissions[Month],12,tblAdmissions[AgeUnit],"Years",tblAdmissions[Age],"&gt;="&amp;60,tblAdmissions[Age],"&lt;="&amp;69,tblAdmissions[Sex],"F",tblAdmissions[NHIS],"Non-Insured")</f>
        <v/>
      </c>
      <c r="CE14" s="12">
        <f>COUNTIFS(tblAdmissions[Month],12,tblAdmissions[AgeUnit],"Years",tblAdmissions[Age],"&gt;="&amp;60,tblAdmissions[Age],"&lt;="&amp;69,tblAdmissions[Sex],"M",tblAdmissions[NHIS],"Insured")</f>
        <v/>
      </c>
      <c r="CF14" s="12">
        <f>COUNTIFS(tblAdmissions[Month],12,tblAdmissions[AgeUnit],"Years",tblAdmissions[Age],"&gt;="&amp;60,tblAdmissions[Age],"&lt;="&amp;69,tblAdmissions[Sex],"F",tblAdmissions[NHIS],"Insured")</f>
        <v/>
      </c>
    </row>
    <row r="15">
      <c r="A15" s="12" t="inlineStr">
        <is>
          <t>70+</t>
        </is>
      </c>
      <c r="B15" s="12">
        <f>COUNTIFS(tblAdmissions[Month],1,tblAdmissions[AgeUnit],"Years",tblAdmissions[Age],"&gt;="&amp;70,tblAdmissions[Age],"&lt;="&amp;200,tblAdmissions[Sex],"M")</f>
        <v/>
      </c>
      <c r="C15" s="12">
        <f>COUNTIFS(tblAdmissions[Month],1,tblAdmissions[AgeUnit],"Years",tblAdmissions[Age],"&gt;="&amp;70,tblAdmissions[Age],"&lt;="&amp;200,tblAdmissions[Sex],"F")</f>
        <v/>
      </c>
      <c r="D15" s="12">
        <f>COUNTIFS(tblAdmissions[Month],1,tblAdmissions[AgeUnit],"Years",tblAdmissions[Age],"&gt;="&amp;70,tblAdmissions[Age],"&lt;="&amp;200,tblAdmissions[Sex],"M",tblAdmissions[NHIS],"Non-Insured")</f>
        <v/>
      </c>
      <c r="E15" s="12">
        <f>COUNTIFS(tblAdmissions[Month],1,tblAdmissions[AgeUnit],"Years",tblAdmissions[Age],"&gt;="&amp;70,tblAdmissions[Age],"&lt;="&amp;200,tblAdmissions[Sex],"F",tblAdmissions[NHIS],"Non-Insured")</f>
        <v/>
      </c>
      <c r="F15" s="12">
        <f>COUNTIFS(tblAdmissions[Month],1,tblAdmissions[AgeUnit],"Years",tblAdmissions[Age],"&gt;="&amp;70,tblAdmissions[Age],"&lt;="&amp;200,tblAdmissions[Sex],"M",tblAdmissions[NHIS],"Insured")</f>
        <v/>
      </c>
      <c r="G15" s="12">
        <f>COUNTIFS(tblAdmissions[Month],1,tblAdmissions[AgeUnit],"Years",tblAdmissions[Age],"&gt;="&amp;70,tblAdmissions[Age],"&lt;="&amp;200,tblAdmissions[Sex],"F",tblAdmissions[NHIS],"Insured")</f>
        <v/>
      </c>
      <c r="H15" s="12" t="inlineStr">
        <is>
          <t>70+</t>
        </is>
      </c>
      <c r="I15" s="12">
        <f>COUNTIFS(tblAdmissions[Month],2,tblAdmissions[AgeUnit],"Years",tblAdmissions[Age],"&gt;="&amp;70,tblAdmissions[Age],"&lt;="&amp;200,tblAdmissions[Sex],"M")</f>
        <v/>
      </c>
      <c r="J15" s="12">
        <f>COUNTIFS(tblAdmissions[Month],2,tblAdmissions[AgeUnit],"Years",tblAdmissions[Age],"&gt;="&amp;70,tblAdmissions[Age],"&lt;="&amp;200,tblAdmissions[Sex],"F")</f>
        <v/>
      </c>
      <c r="K15" s="12">
        <f>COUNTIFS(tblAdmissions[Month],2,tblAdmissions[AgeUnit],"Years",tblAdmissions[Age],"&gt;="&amp;70,tblAdmissions[Age],"&lt;="&amp;200,tblAdmissions[Sex],"M",tblAdmissions[NHIS],"Non-Insured")</f>
        <v/>
      </c>
      <c r="L15" s="12">
        <f>COUNTIFS(tblAdmissions[Month],2,tblAdmissions[AgeUnit],"Years",tblAdmissions[Age],"&gt;="&amp;70,tblAdmissions[Age],"&lt;="&amp;200,tblAdmissions[Sex],"F",tblAdmissions[NHIS],"Non-Insured")</f>
        <v/>
      </c>
      <c r="M15" s="12">
        <f>COUNTIFS(tblAdmissions[Month],2,tblAdmissions[AgeUnit],"Years",tblAdmissions[Age],"&gt;="&amp;70,tblAdmissions[Age],"&lt;="&amp;200,tblAdmissions[Sex],"M",tblAdmissions[NHIS],"Insured")</f>
        <v/>
      </c>
      <c r="N15" s="12">
        <f>COUNTIFS(tblAdmissions[Month],2,tblAdmissions[AgeUnit],"Years",tblAdmissions[Age],"&gt;="&amp;70,tblAdmissions[Age],"&lt;="&amp;200,tblAdmissions[Sex],"F",tblAdmissions[NHIS],"Insured")</f>
        <v/>
      </c>
      <c r="O15" s="12" t="inlineStr">
        <is>
          <t>70+</t>
        </is>
      </c>
      <c r="P15" s="12">
        <f>COUNTIFS(tblAdmissions[Month],3,tblAdmissions[AgeUnit],"Years",tblAdmissions[Age],"&gt;="&amp;70,tblAdmissions[Age],"&lt;="&amp;200,tblAdmissions[Sex],"M")</f>
        <v/>
      </c>
      <c r="Q15" s="12">
        <f>COUNTIFS(tblAdmissions[Month],3,tblAdmissions[AgeUnit],"Years",tblAdmissions[Age],"&gt;="&amp;70,tblAdmissions[Age],"&lt;="&amp;200,tblAdmissions[Sex],"F")</f>
        <v/>
      </c>
      <c r="R15" s="12">
        <f>COUNTIFS(tblAdmissions[Month],3,tblAdmissions[AgeUnit],"Years",tblAdmissions[Age],"&gt;="&amp;70,tblAdmissions[Age],"&lt;="&amp;200,tblAdmissions[Sex],"M",tblAdmissions[NHIS],"Non-Insured")</f>
        <v/>
      </c>
      <c r="S15" s="12">
        <f>COUNTIFS(tblAdmissions[Month],3,tblAdmissions[AgeUnit],"Years",tblAdmissions[Age],"&gt;="&amp;70,tblAdmissions[Age],"&lt;="&amp;200,tblAdmissions[Sex],"F",tblAdmissions[NHIS],"Non-Insured")</f>
        <v/>
      </c>
      <c r="T15" s="12">
        <f>COUNTIFS(tblAdmissions[Month],3,tblAdmissions[AgeUnit],"Years",tblAdmissions[Age],"&gt;="&amp;70,tblAdmissions[Age],"&lt;="&amp;200,tblAdmissions[Sex],"M",tblAdmissions[NHIS],"Insured")</f>
        <v/>
      </c>
      <c r="U15" s="12">
        <f>COUNTIFS(tblAdmissions[Month],3,tblAdmissions[AgeUnit],"Years",tblAdmissions[Age],"&gt;="&amp;70,tblAdmissions[Age],"&lt;="&amp;200,tblAdmissions[Sex],"F",tblAdmissions[NHIS],"Insured")</f>
        <v/>
      </c>
      <c r="V15" s="12" t="inlineStr">
        <is>
          <t>70+</t>
        </is>
      </c>
      <c r="W15" s="12">
        <f>COUNTIFS(tblAdmissions[Month],4,tblAdmissions[AgeUnit],"Years",tblAdmissions[Age],"&gt;="&amp;70,tblAdmissions[Age],"&lt;="&amp;200,tblAdmissions[Sex],"M")</f>
        <v/>
      </c>
      <c r="X15" s="12">
        <f>COUNTIFS(tblAdmissions[Month],4,tblAdmissions[AgeUnit],"Years",tblAdmissions[Age],"&gt;="&amp;70,tblAdmissions[Age],"&lt;="&amp;200,tblAdmissions[Sex],"F")</f>
        <v/>
      </c>
      <c r="Y15" s="12">
        <f>COUNTIFS(tblAdmissions[Month],4,tblAdmissions[AgeUnit],"Years",tblAdmissions[Age],"&gt;="&amp;70,tblAdmissions[Age],"&lt;="&amp;200,tblAdmissions[Sex],"M",tblAdmissions[NHIS],"Non-Insured")</f>
        <v/>
      </c>
      <c r="Z15" s="12">
        <f>COUNTIFS(tblAdmissions[Month],4,tblAdmissions[AgeUnit],"Years",tblAdmissions[Age],"&gt;="&amp;70,tblAdmissions[Age],"&lt;="&amp;200,tblAdmissions[Sex],"F",tblAdmissions[NHIS],"Non-Insured")</f>
        <v/>
      </c>
      <c r="AA15" s="12">
        <f>COUNTIFS(tblAdmissions[Month],4,tblAdmissions[AgeUnit],"Years",tblAdmissions[Age],"&gt;="&amp;70,tblAdmissions[Age],"&lt;="&amp;200,tblAdmissions[Sex],"M",tblAdmissions[NHIS],"Insured")</f>
        <v/>
      </c>
      <c r="AB15" s="12">
        <f>COUNTIFS(tblAdmissions[Month],4,tblAdmissions[AgeUnit],"Years",tblAdmissions[Age],"&gt;="&amp;70,tblAdmissions[Age],"&lt;="&amp;200,tblAdmissions[Sex],"F",tblAdmissions[NHIS],"Insured")</f>
        <v/>
      </c>
      <c r="AC15" s="12" t="inlineStr">
        <is>
          <t>70+</t>
        </is>
      </c>
      <c r="AD15" s="12">
        <f>COUNTIFS(tblAdmissions[Month],5,tblAdmissions[AgeUnit],"Years",tblAdmissions[Age],"&gt;="&amp;70,tblAdmissions[Age],"&lt;="&amp;200,tblAdmissions[Sex],"M")</f>
        <v/>
      </c>
      <c r="AE15" s="12">
        <f>COUNTIFS(tblAdmissions[Month],5,tblAdmissions[AgeUnit],"Years",tblAdmissions[Age],"&gt;="&amp;70,tblAdmissions[Age],"&lt;="&amp;200,tblAdmissions[Sex],"F")</f>
        <v/>
      </c>
      <c r="AF15" s="12">
        <f>COUNTIFS(tblAdmissions[Month],5,tblAdmissions[AgeUnit],"Years",tblAdmissions[Age],"&gt;="&amp;70,tblAdmissions[Age],"&lt;="&amp;200,tblAdmissions[Sex],"M",tblAdmissions[NHIS],"Non-Insured")</f>
        <v/>
      </c>
      <c r="AG15" s="12">
        <f>COUNTIFS(tblAdmissions[Month],5,tblAdmissions[AgeUnit],"Years",tblAdmissions[Age],"&gt;="&amp;70,tblAdmissions[Age],"&lt;="&amp;200,tblAdmissions[Sex],"F",tblAdmissions[NHIS],"Non-Insured")</f>
        <v/>
      </c>
      <c r="AH15" s="12">
        <f>COUNTIFS(tblAdmissions[Month],5,tblAdmissions[AgeUnit],"Years",tblAdmissions[Age],"&gt;="&amp;70,tblAdmissions[Age],"&lt;="&amp;200,tblAdmissions[Sex],"M",tblAdmissions[NHIS],"Insured")</f>
        <v/>
      </c>
      <c r="AI15" s="12">
        <f>COUNTIFS(tblAdmissions[Month],5,tblAdmissions[AgeUnit],"Years",tblAdmissions[Age],"&gt;="&amp;70,tblAdmissions[Age],"&lt;="&amp;200,tblAdmissions[Sex],"F",tblAdmissions[NHIS],"Insured")</f>
        <v/>
      </c>
      <c r="AJ15" s="12" t="inlineStr">
        <is>
          <t>70+</t>
        </is>
      </c>
      <c r="AK15" s="12">
        <f>COUNTIFS(tblAdmissions[Month],6,tblAdmissions[AgeUnit],"Years",tblAdmissions[Age],"&gt;="&amp;70,tblAdmissions[Age],"&lt;="&amp;200,tblAdmissions[Sex],"M")</f>
        <v/>
      </c>
      <c r="AL15" s="12">
        <f>COUNTIFS(tblAdmissions[Month],6,tblAdmissions[AgeUnit],"Years",tblAdmissions[Age],"&gt;="&amp;70,tblAdmissions[Age],"&lt;="&amp;200,tblAdmissions[Sex],"F")</f>
        <v/>
      </c>
      <c r="AM15" s="12">
        <f>COUNTIFS(tblAdmissions[Month],6,tblAdmissions[AgeUnit],"Years",tblAdmissions[Age],"&gt;="&amp;70,tblAdmissions[Age],"&lt;="&amp;200,tblAdmissions[Sex],"M",tblAdmissions[NHIS],"Non-Insured")</f>
        <v/>
      </c>
      <c r="AN15" s="12">
        <f>COUNTIFS(tblAdmissions[Month],6,tblAdmissions[AgeUnit],"Years",tblAdmissions[Age],"&gt;="&amp;70,tblAdmissions[Age],"&lt;="&amp;200,tblAdmissions[Sex],"F",tblAdmissions[NHIS],"Non-Insured")</f>
        <v/>
      </c>
      <c r="AO15" s="12">
        <f>COUNTIFS(tblAdmissions[Month],6,tblAdmissions[AgeUnit],"Years",tblAdmissions[Age],"&gt;="&amp;70,tblAdmissions[Age],"&lt;="&amp;200,tblAdmissions[Sex],"M",tblAdmissions[NHIS],"Insured")</f>
        <v/>
      </c>
      <c r="AP15" s="12">
        <f>COUNTIFS(tblAdmissions[Month],6,tblAdmissions[AgeUnit],"Years",tblAdmissions[Age],"&gt;="&amp;70,tblAdmissions[Age],"&lt;="&amp;200,tblAdmissions[Sex],"F",tblAdmissions[NHIS],"Insured")</f>
        <v/>
      </c>
      <c r="AQ15" s="12" t="inlineStr">
        <is>
          <t>70+</t>
        </is>
      </c>
      <c r="AR15" s="12">
        <f>COUNTIFS(tblAdmissions[Month],7,tblAdmissions[AgeUnit],"Years",tblAdmissions[Age],"&gt;="&amp;70,tblAdmissions[Age],"&lt;="&amp;200,tblAdmissions[Sex],"M")</f>
        <v/>
      </c>
      <c r="AS15" s="12">
        <f>COUNTIFS(tblAdmissions[Month],7,tblAdmissions[AgeUnit],"Years",tblAdmissions[Age],"&gt;="&amp;70,tblAdmissions[Age],"&lt;="&amp;200,tblAdmissions[Sex],"F")</f>
        <v/>
      </c>
      <c r="AT15" s="12">
        <f>COUNTIFS(tblAdmissions[Month],7,tblAdmissions[AgeUnit],"Years",tblAdmissions[Age],"&gt;="&amp;70,tblAdmissions[Age],"&lt;="&amp;200,tblAdmissions[Sex],"M",tblAdmissions[NHIS],"Non-Insured")</f>
        <v/>
      </c>
      <c r="AU15" s="12">
        <f>COUNTIFS(tblAdmissions[Month],7,tblAdmissions[AgeUnit],"Years",tblAdmissions[Age],"&gt;="&amp;70,tblAdmissions[Age],"&lt;="&amp;200,tblAdmissions[Sex],"F",tblAdmissions[NHIS],"Non-Insured")</f>
        <v/>
      </c>
      <c r="AV15" s="12">
        <f>COUNTIFS(tblAdmissions[Month],7,tblAdmissions[AgeUnit],"Years",tblAdmissions[Age],"&gt;="&amp;70,tblAdmissions[Age],"&lt;="&amp;200,tblAdmissions[Sex],"M",tblAdmissions[NHIS],"Insured")</f>
        <v/>
      </c>
      <c r="AW15" s="12">
        <f>COUNTIFS(tblAdmissions[Month],7,tblAdmissions[AgeUnit],"Years",tblAdmissions[Age],"&gt;="&amp;70,tblAdmissions[Age],"&lt;="&amp;200,tblAdmissions[Sex],"F",tblAdmissions[NHIS],"Insured")</f>
        <v/>
      </c>
      <c r="AX15" s="12" t="inlineStr">
        <is>
          <t>70+</t>
        </is>
      </c>
      <c r="AY15" s="12">
        <f>COUNTIFS(tblAdmissions[Month],8,tblAdmissions[AgeUnit],"Years",tblAdmissions[Age],"&gt;="&amp;70,tblAdmissions[Age],"&lt;="&amp;200,tblAdmissions[Sex],"M")</f>
        <v/>
      </c>
      <c r="AZ15" s="12">
        <f>COUNTIFS(tblAdmissions[Month],8,tblAdmissions[AgeUnit],"Years",tblAdmissions[Age],"&gt;="&amp;70,tblAdmissions[Age],"&lt;="&amp;200,tblAdmissions[Sex],"F")</f>
        <v/>
      </c>
      <c r="BA15" s="12">
        <f>COUNTIFS(tblAdmissions[Month],8,tblAdmissions[AgeUnit],"Years",tblAdmissions[Age],"&gt;="&amp;70,tblAdmissions[Age],"&lt;="&amp;200,tblAdmissions[Sex],"M",tblAdmissions[NHIS],"Non-Insured")</f>
        <v/>
      </c>
      <c r="BB15" s="12">
        <f>COUNTIFS(tblAdmissions[Month],8,tblAdmissions[AgeUnit],"Years",tblAdmissions[Age],"&gt;="&amp;70,tblAdmissions[Age],"&lt;="&amp;200,tblAdmissions[Sex],"F",tblAdmissions[NHIS],"Non-Insured")</f>
        <v/>
      </c>
      <c r="BC15" s="12">
        <f>COUNTIFS(tblAdmissions[Month],8,tblAdmissions[AgeUnit],"Years",tblAdmissions[Age],"&gt;="&amp;70,tblAdmissions[Age],"&lt;="&amp;200,tblAdmissions[Sex],"M",tblAdmissions[NHIS],"Insured")</f>
        <v/>
      </c>
      <c r="BD15" s="12">
        <f>COUNTIFS(tblAdmissions[Month],8,tblAdmissions[AgeUnit],"Years",tblAdmissions[Age],"&gt;="&amp;70,tblAdmissions[Age],"&lt;="&amp;200,tblAdmissions[Sex],"F",tblAdmissions[NHIS],"Insured")</f>
        <v/>
      </c>
      <c r="BE15" s="12" t="inlineStr">
        <is>
          <t>70+</t>
        </is>
      </c>
      <c r="BF15" s="12">
        <f>COUNTIFS(tblAdmissions[Month],9,tblAdmissions[AgeUnit],"Years",tblAdmissions[Age],"&gt;="&amp;70,tblAdmissions[Age],"&lt;="&amp;200,tblAdmissions[Sex],"M")</f>
        <v/>
      </c>
      <c r="BG15" s="12">
        <f>COUNTIFS(tblAdmissions[Month],9,tblAdmissions[AgeUnit],"Years",tblAdmissions[Age],"&gt;="&amp;70,tblAdmissions[Age],"&lt;="&amp;200,tblAdmissions[Sex],"F")</f>
        <v/>
      </c>
      <c r="BH15" s="12">
        <f>COUNTIFS(tblAdmissions[Month],9,tblAdmissions[AgeUnit],"Years",tblAdmissions[Age],"&gt;="&amp;70,tblAdmissions[Age],"&lt;="&amp;200,tblAdmissions[Sex],"M",tblAdmissions[NHIS],"Non-Insured")</f>
        <v/>
      </c>
      <c r="BI15" s="12">
        <f>COUNTIFS(tblAdmissions[Month],9,tblAdmissions[AgeUnit],"Years",tblAdmissions[Age],"&gt;="&amp;70,tblAdmissions[Age],"&lt;="&amp;200,tblAdmissions[Sex],"F",tblAdmissions[NHIS],"Non-Insured")</f>
        <v/>
      </c>
      <c r="BJ15" s="12">
        <f>COUNTIFS(tblAdmissions[Month],9,tblAdmissions[AgeUnit],"Years",tblAdmissions[Age],"&gt;="&amp;70,tblAdmissions[Age],"&lt;="&amp;200,tblAdmissions[Sex],"M",tblAdmissions[NHIS],"Insured")</f>
        <v/>
      </c>
      <c r="BK15" s="12">
        <f>COUNTIFS(tblAdmissions[Month],9,tblAdmissions[AgeUnit],"Years",tblAdmissions[Age],"&gt;="&amp;70,tblAdmissions[Age],"&lt;="&amp;200,tblAdmissions[Sex],"F",tblAdmissions[NHIS],"Insured")</f>
        <v/>
      </c>
      <c r="BL15" s="12" t="inlineStr">
        <is>
          <t>70+</t>
        </is>
      </c>
      <c r="BM15" s="12">
        <f>COUNTIFS(tblAdmissions[Month],10,tblAdmissions[AgeUnit],"Years",tblAdmissions[Age],"&gt;="&amp;70,tblAdmissions[Age],"&lt;="&amp;200,tblAdmissions[Sex],"M")</f>
        <v/>
      </c>
      <c r="BN15" s="12">
        <f>COUNTIFS(tblAdmissions[Month],10,tblAdmissions[AgeUnit],"Years",tblAdmissions[Age],"&gt;="&amp;70,tblAdmissions[Age],"&lt;="&amp;200,tblAdmissions[Sex],"F")</f>
        <v/>
      </c>
      <c r="BO15" s="12">
        <f>COUNTIFS(tblAdmissions[Month],10,tblAdmissions[AgeUnit],"Years",tblAdmissions[Age],"&gt;="&amp;70,tblAdmissions[Age],"&lt;="&amp;200,tblAdmissions[Sex],"M",tblAdmissions[NHIS],"Non-Insured")</f>
        <v/>
      </c>
      <c r="BP15" s="12">
        <f>COUNTIFS(tblAdmissions[Month],10,tblAdmissions[AgeUnit],"Years",tblAdmissions[Age],"&gt;="&amp;70,tblAdmissions[Age],"&lt;="&amp;200,tblAdmissions[Sex],"F",tblAdmissions[NHIS],"Non-Insured")</f>
        <v/>
      </c>
      <c r="BQ15" s="12">
        <f>COUNTIFS(tblAdmissions[Month],10,tblAdmissions[AgeUnit],"Years",tblAdmissions[Age],"&gt;="&amp;70,tblAdmissions[Age],"&lt;="&amp;200,tblAdmissions[Sex],"M",tblAdmissions[NHIS],"Insured")</f>
        <v/>
      </c>
      <c r="BR15" s="12">
        <f>COUNTIFS(tblAdmissions[Month],10,tblAdmissions[AgeUnit],"Years",tblAdmissions[Age],"&gt;="&amp;70,tblAdmissions[Age],"&lt;="&amp;200,tblAdmissions[Sex],"F",tblAdmissions[NHIS],"Insured")</f>
        <v/>
      </c>
      <c r="BS15" s="12" t="inlineStr">
        <is>
          <t>70+</t>
        </is>
      </c>
      <c r="BT15" s="12">
        <f>COUNTIFS(tblAdmissions[Month],11,tblAdmissions[AgeUnit],"Years",tblAdmissions[Age],"&gt;="&amp;70,tblAdmissions[Age],"&lt;="&amp;200,tblAdmissions[Sex],"M")</f>
        <v/>
      </c>
      <c r="BU15" s="12">
        <f>COUNTIFS(tblAdmissions[Month],11,tblAdmissions[AgeUnit],"Years",tblAdmissions[Age],"&gt;="&amp;70,tblAdmissions[Age],"&lt;="&amp;200,tblAdmissions[Sex],"F")</f>
        <v/>
      </c>
      <c r="BV15" s="12">
        <f>COUNTIFS(tblAdmissions[Month],11,tblAdmissions[AgeUnit],"Years",tblAdmissions[Age],"&gt;="&amp;70,tblAdmissions[Age],"&lt;="&amp;200,tblAdmissions[Sex],"M",tblAdmissions[NHIS],"Non-Insured")</f>
        <v/>
      </c>
      <c r="BW15" s="12">
        <f>COUNTIFS(tblAdmissions[Month],11,tblAdmissions[AgeUnit],"Years",tblAdmissions[Age],"&gt;="&amp;70,tblAdmissions[Age],"&lt;="&amp;200,tblAdmissions[Sex],"F",tblAdmissions[NHIS],"Non-Insured")</f>
        <v/>
      </c>
      <c r="BX15" s="12">
        <f>COUNTIFS(tblAdmissions[Month],11,tblAdmissions[AgeUnit],"Years",tblAdmissions[Age],"&gt;="&amp;70,tblAdmissions[Age],"&lt;="&amp;200,tblAdmissions[Sex],"M",tblAdmissions[NHIS],"Insured")</f>
        <v/>
      </c>
      <c r="BY15" s="12">
        <f>COUNTIFS(tblAdmissions[Month],11,tblAdmissions[AgeUnit],"Years",tblAdmissions[Age],"&gt;="&amp;70,tblAdmissions[Age],"&lt;="&amp;200,tblAdmissions[Sex],"F",tblAdmissions[NHIS],"Insured")</f>
        <v/>
      </c>
      <c r="BZ15" s="12" t="inlineStr">
        <is>
          <t>70+</t>
        </is>
      </c>
      <c r="CA15" s="12">
        <f>COUNTIFS(tblAdmissions[Month],12,tblAdmissions[AgeUnit],"Years",tblAdmissions[Age],"&gt;="&amp;70,tblAdmissions[Age],"&lt;="&amp;200,tblAdmissions[Sex],"M")</f>
        <v/>
      </c>
      <c r="CB15" s="12">
        <f>COUNTIFS(tblAdmissions[Month],12,tblAdmissions[AgeUnit],"Years",tblAdmissions[Age],"&gt;="&amp;70,tblAdmissions[Age],"&lt;="&amp;200,tblAdmissions[Sex],"F")</f>
        <v/>
      </c>
      <c r="CC15" s="12">
        <f>COUNTIFS(tblAdmissions[Month],12,tblAdmissions[AgeUnit],"Years",tblAdmissions[Age],"&gt;="&amp;70,tblAdmissions[Age],"&lt;="&amp;200,tblAdmissions[Sex],"M",tblAdmissions[NHIS],"Non-Insured")</f>
        <v/>
      </c>
      <c r="CD15" s="12">
        <f>COUNTIFS(tblAdmissions[Month],12,tblAdmissions[AgeUnit],"Years",tblAdmissions[Age],"&gt;="&amp;70,tblAdmissions[Age],"&lt;="&amp;200,tblAdmissions[Sex],"F",tblAdmissions[NHIS],"Non-Insured")</f>
        <v/>
      </c>
      <c r="CE15" s="12">
        <f>COUNTIFS(tblAdmissions[Month],12,tblAdmissions[AgeUnit],"Years",tblAdmissions[Age],"&gt;="&amp;70,tblAdmissions[Age],"&lt;="&amp;200,tblAdmissions[Sex],"M",tblAdmissions[NHIS],"Insured")</f>
        <v/>
      </c>
      <c r="CF15" s="12">
        <f>COUNTIFS(tblAdmissions[Month],12,tblAdmissions[AgeUnit],"Years",tblAdmissions[Age],"&gt;="&amp;70,tblAdmissions[Age],"&lt;="&amp;200,tblAdmissions[Sex],"F",tblAdmissions[NHIS],"Insured")</f>
        <v/>
      </c>
    </row>
    <row r="16">
      <c r="A16" s="17" t="inlineStr">
        <is>
          <t>Total</t>
        </is>
      </c>
      <c r="B16" s="17">
        <f>SUM(B4:B15)</f>
        <v/>
      </c>
      <c r="C16" s="17">
        <f>SUM(C4:C15)</f>
        <v/>
      </c>
      <c r="D16" s="17">
        <f>SUM(D4:D15)</f>
        <v/>
      </c>
      <c r="E16" s="17">
        <f>SUM(E4:E15)</f>
        <v/>
      </c>
      <c r="F16" s="17">
        <f>SUM(F4:F15)</f>
        <v/>
      </c>
      <c r="G16" s="17">
        <f>SUM(G4:G15)</f>
        <v/>
      </c>
      <c r="H16" s="17" t="inlineStr">
        <is>
          <t>Total</t>
        </is>
      </c>
      <c r="I16" s="17">
        <f>SUM(I4:I15)</f>
        <v/>
      </c>
      <c r="J16" s="17">
        <f>SUM(J4:J15)</f>
        <v/>
      </c>
      <c r="K16" s="17">
        <f>SUM(K4:K15)</f>
        <v/>
      </c>
      <c r="L16" s="17">
        <f>SUM(L4:L15)</f>
        <v/>
      </c>
      <c r="M16" s="17">
        <f>SUM(M4:M15)</f>
        <v/>
      </c>
      <c r="N16" s="17">
        <f>SUM(N4:N15)</f>
        <v/>
      </c>
      <c r="O16" s="17" t="inlineStr">
        <is>
          <t>Total</t>
        </is>
      </c>
      <c r="P16" s="17">
        <f>SUM(P4:P15)</f>
        <v/>
      </c>
      <c r="Q16" s="17">
        <f>SUM(Q4:Q15)</f>
        <v/>
      </c>
      <c r="R16" s="17">
        <f>SUM(R4:R15)</f>
        <v/>
      </c>
      <c r="S16" s="17">
        <f>SUM(S4:S15)</f>
        <v/>
      </c>
      <c r="T16" s="17">
        <f>SUM(T4:T15)</f>
        <v/>
      </c>
      <c r="U16" s="17">
        <f>SUM(U4:U15)</f>
        <v/>
      </c>
      <c r="V16" s="17" t="inlineStr">
        <is>
          <t>Total</t>
        </is>
      </c>
      <c r="W16" s="17">
        <f>SUM(W4:W15)</f>
        <v/>
      </c>
      <c r="X16" s="17">
        <f>SUM(X4:X15)</f>
        <v/>
      </c>
      <c r="Y16" s="17">
        <f>SUM(Y4:Y15)</f>
        <v/>
      </c>
      <c r="Z16" s="17">
        <f>SUM(Z4:Z15)</f>
        <v/>
      </c>
      <c r="AA16" s="17">
        <f>SUM(AA4:AA15)</f>
        <v/>
      </c>
      <c r="AB16" s="17">
        <f>SUM(AB4:AB15)</f>
        <v/>
      </c>
      <c r="AC16" s="17" t="inlineStr">
        <is>
          <t>Total</t>
        </is>
      </c>
      <c r="AD16" s="17">
        <f>SUM(AD4:AD15)</f>
        <v/>
      </c>
      <c r="AE16" s="17">
        <f>SUM(AE4:AE15)</f>
        <v/>
      </c>
      <c r="AF16" s="17">
        <f>SUM(AF4:AF15)</f>
        <v/>
      </c>
      <c r="AG16" s="17">
        <f>SUM(AG4:AG15)</f>
        <v/>
      </c>
      <c r="AH16" s="17">
        <f>SUM(AH4:AH15)</f>
        <v/>
      </c>
      <c r="AI16" s="17">
        <f>SUM(AI4:AI15)</f>
        <v/>
      </c>
      <c r="AJ16" s="17" t="inlineStr">
        <is>
          <t>Total</t>
        </is>
      </c>
      <c r="AK16" s="17">
        <f>SUM(AK4:AK15)</f>
        <v/>
      </c>
      <c r="AL16" s="17">
        <f>SUM(AL4:AL15)</f>
        <v/>
      </c>
      <c r="AM16" s="17">
        <f>SUM(AM4:AM15)</f>
        <v/>
      </c>
      <c r="AN16" s="17">
        <f>SUM(AN4:AN15)</f>
        <v/>
      </c>
      <c r="AO16" s="17">
        <f>SUM(AO4:AO15)</f>
        <v/>
      </c>
      <c r="AP16" s="17">
        <f>SUM(AP4:AP15)</f>
        <v/>
      </c>
      <c r="AQ16" s="17" t="inlineStr">
        <is>
          <t>Total</t>
        </is>
      </c>
      <c r="AR16" s="17">
        <f>SUM(AR4:AR15)</f>
        <v/>
      </c>
      <c r="AS16" s="17">
        <f>SUM(AS4:AS15)</f>
        <v/>
      </c>
      <c r="AT16" s="17">
        <f>SUM(AT4:AT15)</f>
        <v/>
      </c>
      <c r="AU16" s="17">
        <f>SUM(AU4:AU15)</f>
        <v/>
      </c>
      <c r="AV16" s="17">
        <f>SUM(AV4:AV15)</f>
        <v/>
      </c>
      <c r="AW16" s="17">
        <f>SUM(AW4:AW15)</f>
        <v/>
      </c>
      <c r="AX16" s="17" t="inlineStr">
        <is>
          <t>Total</t>
        </is>
      </c>
      <c r="AY16" s="17">
        <f>SUM(AY4:AY15)</f>
        <v/>
      </c>
      <c r="AZ16" s="17">
        <f>SUM(AZ4:AZ15)</f>
        <v/>
      </c>
      <c r="BA16" s="17">
        <f>SUM(BA4:BA15)</f>
        <v/>
      </c>
      <c r="BB16" s="17">
        <f>SUM(BB4:BB15)</f>
        <v/>
      </c>
      <c r="BC16" s="17">
        <f>SUM(BC4:BC15)</f>
        <v/>
      </c>
      <c r="BD16" s="17">
        <f>SUM(BD4:BD15)</f>
        <v/>
      </c>
      <c r="BE16" s="17" t="inlineStr">
        <is>
          <t>Total</t>
        </is>
      </c>
      <c r="BF16" s="17">
        <f>SUM(BF4:BF15)</f>
        <v/>
      </c>
      <c r="BG16" s="17">
        <f>SUM(BG4:BG15)</f>
        <v/>
      </c>
      <c r="BH16" s="17">
        <f>SUM(BH4:BH15)</f>
        <v/>
      </c>
      <c r="BI16" s="17">
        <f>SUM(BI4:BI15)</f>
        <v/>
      </c>
      <c r="BJ16" s="17">
        <f>SUM(BJ4:BJ15)</f>
        <v/>
      </c>
      <c r="BK16" s="17">
        <f>SUM(BK4:BK15)</f>
        <v/>
      </c>
      <c r="BL16" s="17" t="inlineStr">
        <is>
          <t>Total</t>
        </is>
      </c>
      <c r="BM16" s="17">
        <f>SUM(BM4:BM15)</f>
        <v/>
      </c>
      <c r="BN16" s="17">
        <f>SUM(BN4:BN15)</f>
        <v/>
      </c>
      <c r="BO16" s="17">
        <f>SUM(BO4:BO15)</f>
        <v/>
      </c>
      <c r="BP16" s="17">
        <f>SUM(BP4:BP15)</f>
        <v/>
      </c>
      <c r="BQ16" s="17">
        <f>SUM(BQ4:BQ15)</f>
        <v/>
      </c>
      <c r="BR16" s="17">
        <f>SUM(BR4:BR15)</f>
        <v/>
      </c>
      <c r="BS16" s="17" t="inlineStr">
        <is>
          <t>Total</t>
        </is>
      </c>
      <c r="BT16" s="17">
        <f>SUM(BT4:BT15)</f>
        <v/>
      </c>
      <c r="BU16" s="17">
        <f>SUM(BU4:BU15)</f>
        <v/>
      </c>
      <c r="BV16" s="17">
        <f>SUM(BV4:BV15)</f>
        <v/>
      </c>
      <c r="BW16" s="17">
        <f>SUM(BW4:BW15)</f>
        <v/>
      </c>
      <c r="BX16" s="17">
        <f>SUM(BX4:BX15)</f>
        <v/>
      </c>
      <c r="BY16" s="17">
        <f>SUM(BY4:BY15)</f>
        <v/>
      </c>
      <c r="BZ16" s="17" t="inlineStr">
        <is>
          <t>Total</t>
        </is>
      </c>
      <c r="CA16" s="17">
        <f>SUM(CA4:CA15)</f>
        <v/>
      </c>
      <c r="CB16" s="17">
        <f>SUM(CB4:CB15)</f>
        <v/>
      </c>
      <c r="CC16" s="17">
        <f>SUM(CC4:CC15)</f>
        <v/>
      </c>
      <c r="CD16" s="17">
        <f>SUM(CD4:CD15)</f>
        <v/>
      </c>
      <c r="CE16" s="17">
        <f>SUM(CE4:CE15)</f>
        <v/>
      </c>
      <c r="CF16" s="17">
        <f>SUM(CF4:CF15)</f>
        <v/>
      </c>
    </row>
  </sheetData>
  <mergeCells count="48">
    <mergeCell ref="AQ1:AW1"/>
    <mergeCell ref="AM2:AN2"/>
    <mergeCell ref="BZ1:CF1"/>
    <mergeCell ref="AO2:AP2"/>
    <mergeCell ref="I2:J2"/>
    <mergeCell ref="BA2:BB2"/>
    <mergeCell ref="BC2:BD2"/>
    <mergeCell ref="AJ1:AP1"/>
    <mergeCell ref="M2:N2"/>
    <mergeCell ref="B2:C2"/>
    <mergeCell ref="D2:E2"/>
    <mergeCell ref="Y2:Z2"/>
    <mergeCell ref="AV2:AW2"/>
    <mergeCell ref="BM2:BN2"/>
    <mergeCell ref="BH2:BI2"/>
    <mergeCell ref="P2:Q2"/>
    <mergeCell ref="BO2:BP2"/>
    <mergeCell ref="BJ2:BK2"/>
    <mergeCell ref="CA2:CB2"/>
    <mergeCell ref="AX1:BD1"/>
    <mergeCell ref="H1:N1"/>
    <mergeCell ref="F2:G2"/>
    <mergeCell ref="A1:G1"/>
    <mergeCell ref="BL1:BR1"/>
    <mergeCell ref="T2:U2"/>
    <mergeCell ref="BT2:BU2"/>
    <mergeCell ref="K2:L2"/>
    <mergeCell ref="BV2:BW2"/>
    <mergeCell ref="AD2:AE2"/>
    <mergeCell ref="AF2:AG2"/>
    <mergeCell ref="BX2:BY2"/>
    <mergeCell ref="AY2:AZ2"/>
    <mergeCell ref="BQ2:BR2"/>
    <mergeCell ref="O1:U1"/>
    <mergeCell ref="V1:AB1"/>
    <mergeCell ref="BE1:BK1"/>
    <mergeCell ref="AH2:AI2"/>
    <mergeCell ref="W2:X2"/>
    <mergeCell ref="BS1:BY1"/>
    <mergeCell ref="AA2:AB2"/>
    <mergeCell ref="AR2:AS2"/>
    <mergeCell ref="AT2:AU2"/>
    <mergeCell ref="R2:S2"/>
    <mergeCell ref="CC2:CD2"/>
    <mergeCell ref="AK2:AL2"/>
    <mergeCell ref="CE2:CF2"/>
    <mergeCell ref="BF2:BG2"/>
    <mergeCell ref="AC1:A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00000"/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8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8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8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8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8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8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8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</cols>
  <sheetData>
    <row r="1">
      <c r="A1" s="31" t="inlineStr">
        <is>
          <t>JANUARY</t>
        </is>
      </c>
      <c r="H1" s="31" t="inlineStr">
        <is>
          <t>FEBRUARY</t>
        </is>
      </c>
      <c r="O1" s="31" t="inlineStr">
        <is>
          <t>MARCH</t>
        </is>
      </c>
      <c r="V1" s="31" t="inlineStr">
        <is>
          <t>APRIL</t>
        </is>
      </c>
      <c r="AC1" s="31" t="inlineStr">
        <is>
          <t>MAY</t>
        </is>
      </c>
      <c r="AJ1" s="31" t="inlineStr">
        <is>
          <t>JUNE</t>
        </is>
      </c>
      <c r="AQ1" s="31" t="inlineStr">
        <is>
          <t>JULY</t>
        </is>
      </c>
      <c r="AX1" s="31" t="inlineStr">
        <is>
          <t>AUGUST</t>
        </is>
      </c>
      <c r="BE1" s="31" t="inlineStr">
        <is>
          <t>SEPTEMBER</t>
        </is>
      </c>
      <c r="BL1" s="31" t="inlineStr">
        <is>
          <t>OCTOBER</t>
        </is>
      </c>
      <c r="BS1" s="31" t="inlineStr">
        <is>
          <t>NOVEMBER</t>
        </is>
      </c>
      <c r="BZ1" s="31" t="inlineStr">
        <is>
          <t>DECEMBER</t>
        </is>
      </c>
    </row>
    <row r="2">
      <c r="B2" s="32" t="inlineStr">
        <is>
          <t>both ins and non ins</t>
        </is>
      </c>
      <c r="D2" s="33" t="inlineStr">
        <is>
          <t>NON INS</t>
        </is>
      </c>
      <c r="F2" s="34" t="inlineStr">
        <is>
          <t>INS</t>
        </is>
      </c>
      <c r="I2" s="32" t="inlineStr">
        <is>
          <t>both ins and non ins</t>
        </is>
      </c>
      <c r="K2" s="33" t="inlineStr">
        <is>
          <t>NON INS</t>
        </is>
      </c>
      <c r="M2" s="34" t="inlineStr">
        <is>
          <t>INS</t>
        </is>
      </c>
      <c r="P2" s="32" t="inlineStr">
        <is>
          <t>both ins and non ins</t>
        </is>
      </c>
      <c r="R2" s="33" t="inlineStr">
        <is>
          <t>NON INS</t>
        </is>
      </c>
      <c r="T2" s="34" t="inlineStr">
        <is>
          <t>INS</t>
        </is>
      </c>
      <c r="W2" s="32" t="inlineStr">
        <is>
          <t>both ins and non ins</t>
        </is>
      </c>
      <c r="Y2" s="33" t="inlineStr">
        <is>
          <t>NON INS</t>
        </is>
      </c>
      <c r="AA2" s="34" t="inlineStr">
        <is>
          <t>INS</t>
        </is>
      </c>
      <c r="AD2" s="32" t="inlineStr">
        <is>
          <t>both ins and non ins</t>
        </is>
      </c>
      <c r="AF2" s="33" t="inlineStr">
        <is>
          <t>NON INS</t>
        </is>
      </c>
      <c r="AH2" s="34" t="inlineStr">
        <is>
          <t>INS</t>
        </is>
      </c>
      <c r="AK2" s="32" t="inlineStr">
        <is>
          <t>both ins and non ins</t>
        </is>
      </c>
      <c r="AM2" s="33" t="inlineStr">
        <is>
          <t>NON INS</t>
        </is>
      </c>
      <c r="AO2" s="34" t="inlineStr">
        <is>
          <t>INS</t>
        </is>
      </c>
      <c r="AR2" s="32" t="inlineStr">
        <is>
          <t>both ins and non ins</t>
        </is>
      </c>
      <c r="AT2" s="33" t="inlineStr">
        <is>
          <t>NON INS</t>
        </is>
      </c>
      <c r="AV2" s="34" t="inlineStr">
        <is>
          <t>INS</t>
        </is>
      </c>
      <c r="AY2" s="32" t="inlineStr">
        <is>
          <t>both ins and non ins</t>
        </is>
      </c>
      <c r="BA2" s="33" t="inlineStr">
        <is>
          <t>NON INS</t>
        </is>
      </c>
      <c r="BC2" s="34" t="inlineStr">
        <is>
          <t>INS</t>
        </is>
      </c>
      <c r="BF2" s="32" t="inlineStr">
        <is>
          <t>both ins and non ins</t>
        </is>
      </c>
      <c r="BH2" s="33" t="inlineStr">
        <is>
          <t>NON INS</t>
        </is>
      </c>
      <c r="BJ2" s="34" t="inlineStr">
        <is>
          <t>INS</t>
        </is>
      </c>
      <c r="BM2" s="32" t="inlineStr">
        <is>
          <t>both ins and non ins</t>
        </is>
      </c>
      <c r="BO2" s="33" t="inlineStr">
        <is>
          <t>NON INS</t>
        </is>
      </c>
      <c r="BQ2" s="34" t="inlineStr">
        <is>
          <t>INS</t>
        </is>
      </c>
      <c r="BT2" s="32" t="inlineStr">
        <is>
          <t>both ins and non ins</t>
        </is>
      </c>
      <c r="BV2" s="33" t="inlineStr">
        <is>
          <t>NON INS</t>
        </is>
      </c>
      <c r="BX2" s="34" t="inlineStr">
        <is>
          <t>INS</t>
        </is>
      </c>
      <c r="CA2" s="32" t="inlineStr">
        <is>
          <t>both ins and non ins</t>
        </is>
      </c>
      <c r="CC2" s="33" t="inlineStr">
        <is>
          <t>NON INS</t>
        </is>
      </c>
      <c r="CE2" s="34" t="inlineStr">
        <is>
          <t>INS</t>
        </is>
      </c>
    </row>
    <row r="3">
      <c r="A3" s="26" t="inlineStr">
        <is>
          <t>Age Group</t>
        </is>
      </c>
      <c r="B3" s="26" t="inlineStr">
        <is>
          <t>Male</t>
        </is>
      </c>
      <c r="C3" s="26" t="inlineStr">
        <is>
          <t>FEMALE</t>
        </is>
      </c>
      <c r="D3" s="26" t="inlineStr">
        <is>
          <t>MALE</t>
        </is>
      </c>
      <c r="E3" s="26" t="inlineStr">
        <is>
          <t>FRMALE</t>
        </is>
      </c>
      <c r="F3" s="26" t="inlineStr">
        <is>
          <t>MALE</t>
        </is>
      </c>
      <c r="G3" s="26" t="inlineStr">
        <is>
          <t>FRMALE</t>
        </is>
      </c>
      <c r="H3" s="26" t="inlineStr">
        <is>
          <t>Age Group</t>
        </is>
      </c>
      <c r="I3" s="26" t="inlineStr">
        <is>
          <t>Male</t>
        </is>
      </c>
      <c r="J3" s="26" t="inlineStr">
        <is>
          <t>FEMALE</t>
        </is>
      </c>
      <c r="K3" s="26" t="inlineStr">
        <is>
          <t>MALE</t>
        </is>
      </c>
      <c r="L3" s="26" t="inlineStr">
        <is>
          <t>FRMALE</t>
        </is>
      </c>
      <c r="M3" s="26" t="inlineStr">
        <is>
          <t>MALE</t>
        </is>
      </c>
      <c r="N3" s="26" t="inlineStr">
        <is>
          <t>FRMALE</t>
        </is>
      </c>
      <c r="O3" s="26" t="inlineStr">
        <is>
          <t>Age Group</t>
        </is>
      </c>
      <c r="P3" s="26" t="inlineStr">
        <is>
          <t>Male</t>
        </is>
      </c>
      <c r="Q3" s="26" t="inlineStr">
        <is>
          <t>FEMALE</t>
        </is>
      </c>
      <c r="R3" s="26" t="inlineStr">
        <is>
          <t>MALE</t>
        </is>
      </c>
      <c r="S3" s="26" t="inlineStr">
        <is>
          <t>FRMALE</t>
        </is>
      </c>
      <c r="T3" s="26" t="inlineStr">
        <is>
          <t>MALE</t>
        </is>
      </c>
      <c r="U3" s="26" t="inlineStr">
        <is>
          <t>FRMALE</t>
        </is>
      </c>
      <c r="V3" s="26" t="inlineStr">
        <is>
          <t>Age Group</t>
        </is>
      </c>
      <c r="W3" s="26" t="inlineStr">
        <is>
          <t>Male</t>
        </is>
      </c>
      <c r="X3" s="26" t="inlineStr">
        <is>
          <t>FEMALE</t>
        </is>
      </c>
      <c r="Y3" s="26" t="inlineStr">
        <is>
          <t>MALE</t>
        </is>
      </c>
      <c r="Z3" s="26" t="inlineStr">
        <is>
          <t>FRMALE</t>
        </is>
      </c>
      <c r="AA3" s="26" t="inlineStr">
        <is>
          <t>MALE</t>
        </is>
      </c>
      <c r="AB3" s="26" t="inlineStr">
        <is>
          <t>FRMALE</t>
        </is>
      </c>
      <c r="AC3" s="26" t="inlineStr">
        <is>
          <t>Age Group</t>
        </is>
      </c>
      <c r="AD3" s="26" t="inlineStr">
        <is>
          <t>Male</t>
        </is>
      </c>
      <c r="AE3" s="26" t="inlineStr">
        <is>
          <t>FEMALE</t>
        </is>
      </c>
      <c r="AF3" s="26" t="inlineStr">
        <is>
          <t>MALE</t>
        </is>
      </c>
      <c r="AG3" s="26" t="inlineStr">
        <is>
          <t>FRMALE</t>
        </is>
      </c>
      <c r="AH3" s="26" t="inlineStr">
        <is>
          <t>MALE</t>
        </is>
      </c>
      <c r="AI3" s="26" t="inlineStr">
        <is>
          <t>FRMALE</t>
        </is>
      </c>
      <c r="AJ3" s="26" t="inlineStr">
        <is>
          <t>Age Group</t>
        </is>
      </c>
      <c r="AK3" s="26" t="inlineStr">
        <is>
          <t>Male</t>
        </is>
      </c>
      <c r="AL3" s="26" t="inlineStr">
        <is>
          <t>FEMALE</t>
        </is>
      </c>
      <c r="AM3" s="26" t="inlineStr">
        <is>
          <t>MALE</t>
        </is>
      </c>
      <c r="AN3" s="26" t="inlineStr">
        <is>
          <t>FRMALE</t>
        </is>
      </c>
      <c r="AO3" s="26" t="inlineStr">
        <is>
          <t>MALE</t>
        </is>
      </c>
      <c r="AP3" s="26" t="inlineStr">
        <is>
          <t>FRMALE</t>
        </is>
      </c>
      <c r="AQ3" s="26" t="inlineStr">
        <is>
          <t>Age Group</t>
        </is>
      </c>
      <c r="AR3" s="26" t="inlineStr">
        <is>
          <t>Male</t>
        </is>
      </c>
      <c r="AS3" s="26" t="inlineStr">
        <is>
          <t>FEMALE</t>
        </is>
      </c>
      <c r="AT3" s="26" t="inlineStr">
        <is>
          <t>MALE</t>
        </is>
      </c>
      <c r="AU3" s="26" t="inlineStr">
        <is>
          <t>FRMALE</t>
        </is>
      </c>
      <c r="AV3" s="26" t="inlineStr">
        <is>
          <t>MALE</t>
        </is>
      </c>
      <c r="AW3" s="26" t="inlineStr">
        <is>
          <t>FRMALE</t>
        </is>
      </c>
      <c r="AX3" s="26" t="inlineStr">
        <is>
          <t>Age Group</t>
        </is>
      </c>
      <c r="AY3" s="26" t="inlineStr">
        <is>
          <t>Male</t>
        </is>
      </c>
      <c r="AZ3" s="26" t="inlineStr">
        <is>
          <t>FEMALE</t>
        </is>
      </c>
      <c r="BA3" s="26" t="inlineStr">
        <is>
          <t>MALE</t>
        </is>
      </c>
      <c r="BB3" s="26" t="inlineStr">
        <is>
          <t>FRMALE</t>
        </is>
      </c>
      <c r="BC3" s="26" t="inlineStr">
        <is>
          <t>MALE</t>
        </is>
      </c>
      <c r="BD3" s="26" t="inlineStr">
        <is>
          <t>FRMALE</t>
        </is>
      </c>
      <c r="BE3" s="26" t="inlineStr">
        <is>
          <t>Age Group</t>
        </is>
      </c>
      <c r="BF3" s="26" t="inlineStr">
        <is>
          <t>Male</t>
        </is>
      </c>
      <c r="BG3" s="26" t="inlineStr">
        <is>
          <t>FEMALE</t>
        </is>
      </c>
      <c r="BH3" s="26" t="inlineStr">
        <is>
          <t>MALE</t>
        </is>
      </c>
      <c r="BI3" s="26" t="inlineStr">
        <is>
          <t>FRMALE</t>
        </is>
      </c>
      <c r="BJ3" s="26" t="inlineStr">
        <is>
          <t>MALE</t>
        </is>
      </c>
      <c r="BK3" s="26" t="inlineStr">
        <is>
          <t>FRMALE</t>
        </is>
      </c>
      <c r="BL3" s="26" t="inlineStr">
        <is>
          <t>Age Group</t>
        </is>
      </c>
      <c r="BM3" s="26" t="inlineStr">
        <is>
          <t>Male</t>
        </is>
      </c>
      <c r="BN3" s="26" t="inlineStr">
        <is>
          <t>FEMALE</t>
        </is>
      </c>
      <c r="BO3" s="26" t="inlineStr">
        <is>
          <t>MALE</t>
        </is>
      </c>
      <c r="BP3" s="26" t="inlineStr">
        <is>
          <t>FRMALE</t>
        </is>
      </c>
      <c r="BQ3" s="26" t="inlineStr">
        <is>
          <t>MALE</t>
        </is>
      </c>
      <c r="BR3" s="26" t="inlineStr">
        <is>
          <t>FRMALE</t>
        </is>
      </c>
      <c r="BS3" s="26" t="inlineStr">
        <is>
          <t>Age Group</t>
        </is>
      </c>
      <c r="BT3" s="26" t="inlineStr">
        <is>
          <t>Male</t>
        </is>
      </c>
      <c r="BU3" s="26" t="inlineStr">
        <is>
          <t>FEMALE</t>
        </is>
      </c>
      <c r="BV3" s="26" t="inlineStr">
        <is>
          <t>MALE</t>
        </is>
      </c>
      <c r="BW3" s="26" t="inlineStr">
        <is>
          <t>FRMALE</t>
        </is>
      </c>
      <c r="BX3" s="26" t="inlineStr">
        <is>
          <t>MALE</t>
        </is>
      </c>
      <c r="BY3" s="26" t="inlineStr">
        <is>
          <t>FRMALE</t>
        </is>
      </c>
      <c r="BZ3" s="26" t="inlineStr">
        <is>
          <t>Age Group</t>
        </is>
      </c>
      <c r="CA3" s="26" t="inlineStr">
        <is>
          <t>Male</t>
        </is>
      </c>
      <c r="CB3" s="26" t="inlineStr">
        <is>
          <t>FEMALE</t>
        </is>
      </c>
      <c r="CC3" s="26" t="inlineStr">
        <is>
          <t>MALE</t>
        </is>
      </c>
      <c r="CD3" s="26" t="inlineStr">
        <is>
          <t>FRMALE</t>
        </is>
      </c>
      <c r="CE3" s="26" t="inlineStr">
        <is>
          <t>MALE</t>
        </is>
      </c>
      <c r="CF3" s="26" t="inlineStr">
        <is>
          <t>FRMALE</t>
        </is>
      </c>
    </row>
    <row r="4">
      <c r="A4" s="12" t="inlineStr">
        <is>
          <t>0-28</t>
        </is>
      </c>
      <c r="B4" s="12">
        <f>COUNTIFS(tblDeaths[Month],1,tblDeaths[AgeUnit],"Days",tblDeaths[Age],"&gt;="&amp;0,tblDeaths[Age],"&lt;="&amp;28,tblDeaths[Sex],"M")</f>
        <v/>
      </c>
      <c r="C4" s="12">
        <f>COUNTIFS(tblDeaths[Month],1,tblDeaths[AgeUnit],"Days",tblDeaths[Age],"&gt;="&amp;0,tblDeaths[Age],"&lt;="&amp;28,tblDeaths[Sex],"F")</f>
        <v/>
      </c>
      <c r="D4" s="12">
        <f>COUNTIFS(tblDeaths[Month],1,tblDeaths[AgeUnit],"Days",tblDeaths[Age],"&gt;="&amp;0,tblDeaths[Age],"&lt;="&amp;28,tblDeaths[Sex],"M",tblDeaths[NHIS],"Non-Insured")</f>
        <v/>
      </c>
      <c r="E4" s="12">
        <f>COUNTIFS(tblDeaths[Month],1,tblDeaths[AgeUnit],"Days",tblDeaths[Age],"&gt;="&amp;0,tblDeaths[Age],"&lt;="&amp;28,tblDeaths[Sex],"F",tblDeaths[NHIS],"Non-Insured")</f>
        <v/>
      </c>
      <c r="F4" s="12">
        <f>COUNTIFS(tblDeaths[Month],1,tblDeaths[AgeUnit],"Days",tblDeaths[Age],"&gt;="&amp;0,tblDeaths[Age],"&lt;="&amp;28,tblDeaths[Sex],"M",tblDeaths[NHIS],"Insured")</f>
        <v/>
      </c>
      <c r="G4" s="12">
        <f>COUNTIFS(tblDeaths[Month],1,tblDeaths[AgeUnit],"Days",tblDeaths[Age],"&gt;="&amp;0,tblDeaths[Age],"&lt;="&amp;28,tblDeaths[Sex],"F",tblDeaths[NHIS],"Insured")</f>
        <v/>
      </c>
      <c r="H4" s="12" t="inlineStr">
        <is>
          <t>0-28</t>
        </is>
      </c>
      <c r="I4" s="12">
        <f>COUNTIFS(tblDeaths[Month],2,tblDeaths[AgeUnit],"Days",tblDeaths[Age],"&gt;="&amp;0,tblDeaths[Age],"&lt;="&amp;28,tblDeaths[Sex],"M")</f>
        <v/>
      </c>
      <c r="J4" s="12">
        <f>COUNTIFS(tblDeaths[Month],2,tblDeaths[AgeUnit],"Days",tblDeaths[Age],"&gt;="&amp;0,tblDeaths[Age],"&lt;="&amp;28,tblDeaths[Sex],"F")</f>
        <v/>
      </c>
      <c r="K4" s="12">
        <f>COUNTIFS(tblDeaths[Month],2,tblDeaths[AgeUnit],"Days",tblDeaths[Age],"&gt;="&amp;0,tblDeaths[Age],"&lt;="&amp;28,tblDeaths[Sex],"M",tblDeaths[NHIS],"Non-Insured")</f>
        <v/>
      </c>
      <c r="L4" s="12">
        <f>COUNTIFS(tblDeaths[Month],2,tblDeaths[AgeUnit],"Days",tblDeaths[Age],"&gt;="&amp;0,tblDeaths[Age],"&lt;="&amp;28,tblDeaths[Sex],"F",tblDeaths[NHIS],"Non-Insured")</f>
        <v/>
      </c>
      <c r="M4" s="12">
        <f>COUNTIFS(tblDeaths[Month],2,tblDeaths[AgeUnit],"Days",tblDeaths[Age],"&gt;="&amp;0,tblDeaths[Age],"&lt;="&amp;28,tblDeaths[Sex],"M",tblDeaths[NHIS],"Insured")</f>
        <v/>
      </c>
      <c r="N4" s="12">
        <f>COUNTIFS(tblDeaths[Month],2,tblDeaths[AgeUnit],"Days",tblDeaths[Age],"&gt;="&amp;0,tblDeaths[Age],"&lt;="&amp;28,tblDeaths[Sex],"F",tblDeaths[NHIS],"Insured")</f>
        <v/>
      </c>
      <c r="O4" s="12" t="inlineStr">
        <is>
          <t>0-28</t>
        </is>
      </c>
      <c r="P4" s="12">
        <f>COUNTIFS(tblDeaths[Month],3,tblDeaths[AgeUnit],"Days",tblDeaths[Age],"&gt;="&amp;0,tblDeaths[Age],"&lt;="&amp;28,tblDeaths[Sex],"M")</f>
        <v/>
      </c>
      <c r="Q4" s="12">
        <f>COUNTIFS(tblDeaths[Month],3,tblDeaths[AgeUnit],"Days",tblDeaths[Age],"&gt;="&amp;0,tblDeaths[Age],"&lt;="&amp;28,tblDeaths[Sex],"F")</f>
        <v/>
      </c>
      <c r="R4" s="12">
        <f>COUNTIFS(tblDeaths[Month],3,tblDeaths[AgeUnit],"Days",tblDeaths[Age],"&gt;="&amp;0,tblDeaths[Age],"&lt;="&amp;28,tblDeaths[Sex],"M",tblDeaths[NHIS],"Non-Insured")</f>
        <v/>
      </c>
      <c r="S4" s="12">
        <f>COUNTIFS(tblDeaths[Month],3,tblDeaths[AgeUnit],"Days",tblDeaths[Age],"&gt;="&amp;0,tblDeaths[Age],"&lt;="&amp;28,tblDeaths[Sex],"F",tblDeaths[NHIS],"Non-Insured")</f>
        <v/>
      </c>
      <c r="T4" s="12">
        <f>COUNTIFS(tblDeaths[Month],3,tblDeaths[AgeUnit],"Days",tblDeaths[Age],"&gt;="&amp;0,tblDeaths[Age],"&lt;="&amp;28,tblDeaths[Sex],"M",tblDeaths[NHIS],"Insured")</f>
        <v/>
      </c>
      <c r="U4" s="12">
        <f>COUNTIFS(tblDeaths[Month],3,tblDeaths[AgeUnit],"Days",tblDeaths[Age],"&gt;="&amp;0,tblDeaths[Age],"&lt;="&amp;28,tblDeaths[Sex],"F",tblDeaths[NHIS],"Insured")</f>
        <v/>
      </c>
      <c r="V4" s="12" t="inlineStr">
        <is>
          <t>0-28</t>
        </is>
      </c>
      <c r="W4" s="12">
        <f>COUNTIFS(tblDeaths[Month],4,tblDeaths[AgeUnit],"Days",tblDeaths[Age],"&gt;="&amp;0,tblDeaths[Age],"&lt;="&amp;28,tblDeaths[Sex],"M")</f>
        <v/>
      </c>
      <c r="X4" s="12">
        <f>COUNTIFS(tblDeaths[Month],4,tblDeaths[AgeUnit],"Days",tblDeaths[Age],"&gt;="&amp;0,tblDeaths[Age],"&lt;="&amp;28,tblDeaths[Sex],"F")</f>
        <v/>
      </c>
      <c r="Y4" s="12">
        <f>COUNTIFS(tblDeaths[Month],4,tblDeaths[AgeUnit],"Days",tblDeaths[Age],"&gt;="&amp;0,tblDeaths[Age],"&lt;="&amp;28,tblDeaths[Sex],"M",tblDeaths[NHIS],"Non-Insured")</f>
        <v/>
      </c>
      <c r="Z4" s="12">
        <f>COUNTIFS(tblDeaths[Month],4,tblDeaths[AgeUnit],"Days",tblDeaths[Age],"&gt;="&amp;0,tblDeaths[Age],"&lt;="&amp;28,tblDeaths[Sex],"F",tblDeaths[NHIS],"Non-Insured")</f>
        <v/>
      </c>
      <c r="AA4" s="12">
        <f>COUNTIFS(tblDeaths[Month],4,tblDeaths[AgeUnit],"Days",tblDeaths[Age],"&gt;="&amp;0,tblDeaths[Age],"&lt;="&amp;28,tblDeaths[Sex],"M",tblDeaths[NHIS],"Insured")</f>
        <v/>
      </c>
      <c r="AB4" s="12">
        <f>COUNTIFS(tblDeaths[Month],4,tblDeaths[AgeUnit],"Days",tblDeaths[Age],"&gt;="&amp;0,tblDeaths[Age],"&lt;="&amp;28,tblDeaths[Sex],"F",tblDeaths[NHIS],"Insured")</f>
        <v/>
      </c>
      <c r="AC4" s="12" t="inlineStr">
        <is>
          <t>0-28</t>
        </is>
      </c>
      <c r="AD4" s="12">
        <f>COUNTIFS(tblDeaths[Month],5,tblDeaths[AgeUnit],"Days",tblDeaths[Age],"&gt;="&amp;0,tblDeaths[Age],"&lt;="&amp;28,tblDeaths[Sex],"M")</f>
        <v/>
      </c>
      <c r="AE4" s="12">
        <f>COUNTIFS(tblDeaths[Month],5,tblDeaths[AgeUnit],"Days",tblDeaths[Age],"&gt;="&amp;0,tblDeaths[Age],"&lt;="&amp;28,tblDeaths[Sex],"F")</f>
        <v/>
      </c>
      <c r="AF4" s="12">
        <f>COUNTIFS(tblDeaths[Month],5,tblDeaths[AgeUnit],"Days",tblDeaths[Age],"&gt;="&amp;0,tblDeaths[Age],"&lt;="&amp;28,tblDeaths[Sex],"M",tblDeaths[NHIS],"Non-Insured")</f>
        <v/>
      </c>
      <c r="AG4" s="12">
        <f>COUNTIFS(tblDeaths[Month],5,tblDeaths[AgeUnit],"Days",tblDeaths[Age],"&gt;="&amp;0,tblDeaths[Age],"&lt;="&amp;28,tblDeaths[Sex],"F",tblDeaths[NHIS],"Non-Insured")</f>
        <v/>
      </c>
      <c r="AH4" s="12">
        <f>COUNTIFS(tblDeaths[Month],5,tblDeaths[AgeUnit],"Days",tblDeaths[Age],"&gt;="&amp;0,tblDeaths[Age],"&lt;="&amp;28,tblDeaths[Sex],"M",tblDeaths[NHIS],"Insured")</f>
        <v/>
      </c>
      <c r="AI4" s="12">
        <f>COUNTIFS(tblDeaths[Month],5,tblDeaths[AgeUnit],"Days",tblDeaths[Age],"&gt;="&amp;0,tblDeaths[Age],"&lt;="&amp;28,tblDeaths[Sex],"F",tblDeaths[NHIS],"Insured")</f>
        <v/>
      </c>
      <c r="AJ4" s="12" t="inlineStr">
        <is>
          <t>0-28</t>
        </is>
      </c>
      <c r="AK4" s="12">
        <f>COUNTIFS(tblDeaths[Month],6,tblDeaths[AgeUnit],"Days",tblDeaths[Age],"&gt;="&amp;0,tblDeaths[Age],"&lt;="&amp;28,tblDeaths[Sex],"M")</f>
        <v/>
      </c>
      <c r="AL4" s="12">
        <f>COUNTIFS(tblDeaths[Month],6,tblDeaths[AgeUnit],"Days",tblDeaths[Age],"&gt;="&amp;0,tblDeaths[Age],"&lt;="&amp;28,tblDeaths[Sex],"F")</f>
        <v/>
      </c>
      <c r="AM4" s="12">
        <f>COUNTIFS(tblDeaths[Month],6,tblDeaths[AgeUnit],"Days",tblDeaths[Age],"&gt;="&amp;0,tblDeaths[Age],"&lt;="&amp;28,tblDeaths[Sex],"M",tblDeaths[NHIS],"Non-Insured")</f>
        <v/>
      </c>
      <c r="AN4" s="12">
        <f>COUNTIFS(tblDeaths[Month],6,tblDeaths[AgeUnit],"Days",tblDeaths[Age],"&gt;="&amp;0,tblDeaths[Age],"&lt;="&amp;28,tblDeaths[Sex],"F",tblDeaths[NHIS],"Non-Insured")</f>
        <v/>
      </c>
      <c r="AO4" s="12">
        <f>COUNTIFS(tblDeaths[Month],6,tblDeaths[AgeUnit],"Days",tblDeaths[Age],"&gt;="&amp;0,tblDeaths[Age],"&lt;="&amp;28,tblDeaths[Sex],"M",tblDeaths[NHIS],"Insured")</f>
        <v/>
      </c>
      <c r="AP4" s="12">
        <f>COUNTIFS(tblDeaths[Month],6,tblDeaths[AgeUnit],"Days",tblDeaths[Age],"&gt;="&amp;0,tblDeaths[Age],"&lt;="&amp;28,tblDeaths[Sex],"F",tblDeaths[NHIS],"Insured")</f>
        <v/>
      </c>
      <c r="AQ4" s="12" t="inlineStr">
        <is>
          <t>0-28</t>
        </is>
      </c>
      <c r="AR4" s="12">
        <f>COUNTIFS(tblDeaths[Month],7,tblDeaths[AgeUnit],"Days",tblDeaths[Age],"&gt;="&amp;0,tblDeaths[Age],"&lt;="&amp;28,tblDeaths[Sex],"M")</f>
        <v/>
      </c>
      <c r="AS4" s="12">
        <f>COUNTIFS(tblDeaths[Month],7,tblDeaths[AgeUnit],"Days",tblDeaths[Age],"&gt;="&amp;0,tblDeaths[Age],"&lt;="&amp;28,tblDeaths[Sex],"F")</f>
        <v/>
      </c>
      <c r="AT4" s="12">
        <f>COUNTIFS(tblDeaths[Month],7,tblDeaths[AgeUnit],"Days",tblDeaths[Age],"&gt;="&amp;0,tblDeaths[Age],"&lt;="&amp;28,tblDeaths[Sex],"M",tblDeaths[NHIS],"Non-Insured")</f>
        <v/>
      </c>
      <c r="AU4" s="12">
        <f>COUNTIFS(tblDeaths[Month],7,tblDeaths[AgeUnit],"Days",tblDeaths[Age],"&gt;="&amp;0,tblDeaths[Age],"&lt;="&amp;28,tblDeaths[Sex],"F",tblDeaths[NHIS],"Non-Insured")</f>
        <v/>
      </c>
      <c r="AV4" s="12">
        <f>COUNTIFS(tblDeaths[Month],7,tblDeaths[AgeUnit],"Days",tblDeaths[Age],"&gt;="&amp;0,tblDeaths[Age],"&lt;="&amp;28,tblDeaths[Sex],"M",tblDeaths[NHIS],"Insured")</f>
        <v/>
      </c>
      <c r="AW4" s="12">
        <f>COUNTIFS(tblDeaths[Month],7,tblDeaths[AgeUnit],"Days",tblDeaths[Age],"&gt;="&amp;0,tblDeaths[Age],"&lt;="&amp;28,tblDeaths[Sex],"F",tblDeaths[NHIS],"Insured")</f>
        <v/>
      </c>
      <c r="AX4" s="12" t="inlineStr">
        <is>
          <t>0-28</t>
        </is>
      </c>
      <c r="AY4" s="12">
        <f>COUNTIFS(tblDeaths[Month],8,tblDeaths[AgeUnit],"Days",tblDeaths[Age],"&gt;="&amp;0,tblDeaths[Age],"&lt;="&amp;28,tblDeaths[Sex],"M")</f>
        <v/>
      </c>
      <c r="AZ4" s="12">
        <f>COUNTIFS(tblDeaths[Month],8,tblDeaths[AgeUnit],"Days",tblDeaths[Age],"&gt;="&amp;0,tblDeaths[Age],"&lt;="&amp;28,tblDeaths[Sex],"F")</f>
        <v/>
      </c>
      <c r="BA4" s="12">
        <f>COUNTIFS(tblDeaths[Month],8,tblDeaths[AgeUnit],"Days",tblDeaths[Age],"&gt;="&amp;0,tblDeaths[Age],"&lt;="&amp;28,tblDeaths[Sex],"M",tblDeaths[NHIS],"Non-Insured")</f>
        <v/>
      </c>
      <c r="BB4" s="12">
        <f>COUNTIFS(tblDeaths[Month],8,tblDeaths[AgeUnit],"Days",tblDeaths[Age],"&gt;="&amp;0,tblDeaths[Age],"&lt;="&amp;28,tblDeaths[Sex],"F",tblDeaths[NHIS],"Non-Insured")</f>
        <v/>
      </c>
      <c r="BC4" s="12">
        <f>COUNTIFS(tblDeaths[Month],8,tblDeaths[AgeUnit],"Days",tblDeaths[Age],"&gt;="&amp;0,tblDeaths[Age],"&lt;="&amp;28,tblDeaths[Sex],"M",tblDeaths[NHIS],"Insured")</f>
        <v/>
      </c>
      <c r="BD4" s="12">
        <f>COUNTIFS(tblDeaths[Month],8,tblDeaths[AgeUnit],"Days",tblDeaths[Age],"&gt;="&amp;0,tblDeaths[Age],"&lt;="&amp;28,tblDeaths[Sex],"F",tblDeaths[NHIS],"Insured")</f>
        <v/>
      </c>
      <c r="BE4" s="12" t="inlineStr">
        <is>
          <t>0-28</t>
        </is>
      </c>
      <c r="BF4" s="12">
        <f>COUNTIFS(tblDeaths[Month],9,tblDeaths[AgeUnit],"Days",tblDeaths[Age],"&gt;="&amp;0,tblDeaths[Age],"&lt;="&amp;28,tblDeaths[Sex],"M")</f>
        <v/>
      </c>
      <c r="BG4" s="12">
        <f>COUNTIFS(tblDeaths[Month],9,tblDeaths[AgeUnit],"Days",tblDeaths[Age],"&gt;="&amp;0,tblDeaths[Age],"&lt;="&amp;28,tblDeaths[Sex],"F")</f>
        <v/>
      </c>
      <c r="BH4" s="12">
        <f>COUNTIFS(tblDeaths[Month],9,tblDeaths[AgeUnit],"Days",tblDeaths[Age],"&gt;="&amp;0,tblDeaths[Age],"&lt;="&amp;28,tblDeaths[Sex],"M",tblDeaths[NHIS],"Non-Insured")</f>
        <v/>
      </c>
      <c r="BI4" s="12">
        <f>COUNTIFS(tblDeaths[Month],9,tblDeaths[AgeUnit],"Days",tblDeaths[Age],"&gt;="&amp;0,tblDeaths[Age],"&lt;="&amp;28,tblDeaths[Sex],"F",tblDeaths[NHIS],"Non-Insured")</f>
        <v/>
      </c>
      <c r="BJ4" s="12">
        <f>COUNTIFS(tblDeaths[Month],9,tblDeaths[AgeUnit],"Days",tblDeaths[Age],"&gt;="&amp;0,tblDeaths[Age],"&lt;="&amp;28,tblDeaths[Sex],"M",tblDeaths[NHIS],"Insured")</f>
        <v/>
      </c>
      <c r="BK4" s="12">
        <f>COUNTIFS(tblDeaths[Month],9,tblDeaths[AgeUnit],"Days",tblDeaths[Age],"&gt;="&amp;0,tblDeaths[Age],"&lt;="&amp;28,tblDeaths[Sex],"F",tblDeaths[NHIS],"Insured")</f>
        <v/>
      </c>
      <c r="BL4" s="12" t="inlineStr">
        <is>
          <t>0-28</t>
        </is>
      </c>
      <c r="BM4" s="12">
        <f>COUNTIFS(tblDeaths[Month],10,tblDeaths[AgeUnit],"Days",tblDeaths[Age],"&gt;="&amp;0,tblDeaths[Age],"&lt;="&amp;28,tblDeaths[Sex],"M")</f>
        <v/>
      </c>
      <c r="BN4" s="12">
        <f>COUNTIFS(tblDeaths[Month],10,tblDeaths[AgeUnit],"Days",tblDeaths[Age],"&gt;="&amp;0,tblDeaths[Age],"&lt;="&amp;28,tblDeaths[Sex],"F")</f>
        <v/>
      </c>
      <c r="BO4" s="12">
        <f>COUNTIFS(tblDeaths[Month],10,tblDeaths[AgeUnit],"Days",tblDeaths[Age],"&gt;="&amp;0,tblDeaths[Age],"&lt;="&amp;28,tblDeaths[Sex],"M",tblDeaths[NHIS],"Non-Insured")</f>
        <v/>
      </c>
      <c r="BP4" s="12">
        <f>COUNTIFS(tblDeaths[Month],10,tblDeaths[AgeUnit],"Days",tblDeaths[Age],"&gt;="&amp;0,tblDeaths[Age],"&lt;="&amp;28,tblDeaths[Sex],"F",tblDeaths[NHIS],"Non-Insured")</f>
        <v/>
      </c>
      <c r="BQ4" s="12">
        <f>COUNTIFS(tblDeaths[Month],10,tblDeaths[AgeUnit],"Days",tblDeaths[Age],"&gt;="&amp;0,tblDeaths[Age],"&lt;="&amp;28,tblDeaths[Sex],"M",tblDeaths[NHIS],"Insured")</f>
        <v/>
      </c>
      <c r="BR4" s="12">
        <f>COUNTIFS(tblDeaths[Month],10,tblDeaths[AgeUnit],"Days",tblDeaths[Age],"&gt;="&amp;0,tblDeaths[Age],"&lt;="&amp;28,tblDeaths[Sex],"F",tblDeaths[NHIS],"Insured")</f>
        <v/>
      </c>
      <c r="BS4" s="12" t="inlineStr">
        <is>
          <t>0-28</t>
        </is>
      </c>
      <c r="BT4" s="12">
        <f>COUNTIFS(tblDeaths[Month],11,tblDeaths[AgeUnit],"Days",tblDeaths[Age],"&gt;="&amp;0,tblDeaths[Age],"&lt;="&amp;28,tblDeaths[Sex],"M")</f>
        <v/>
      </c>
      <c r="BU4" s="12">
        <f>COUNTIFS(tblDeaths[Month],11,tblDeaths[AgeUnit],"Days",tblDeaths[Age],"&gt;="&amp;0,tblDeaths[Age],"&lt;="&amp;28,tblDeaths[Sex],"F")</f>
        <v/>
      </c>
      <c r="BV4" s="12">
        <f>COUNTIFS(tblDeaths[Month],11,tblDeaths[AgeUnit],"Days",tblDeaths[Age],"&gt;="&amp;0,tblDeaths[Age],"&lt;="&amp;28,tblDeaths[Sex],"M",tblDeaths[NHIS],"Non-Insured")</f>
        <v/>
      </c>
      <c r="BW4" s="12">
        <f>COUNTIFS(tblDeaths[Month],11,tblDeaths[AgeUnit],"Days",tblDeaths[Age],"&gt;="&amp;0,tblDeaths[Age],"&lt;="&amp;28,tblDeaths[Sex],"F",tblDeaths[NHIS],"Non-Insured")</f>
        <v/>
      </c>
      <c r="BX4" s="12">
        <f>COUNTIFS(tblDeaths[Month],11,tblDeaths[AgeUnit],"Days",tblDeaths[Age],"&gt;="&amp;0,tblDeaths[Age],"&lt;="&amp;28,tblDeaths[Sex],"M",tblDeaths[NHIS],"Insured")</f>
        <v/>
      </c>
      <c r="BY4" s="12">
        <f>COUNTIFS(tblDeaths[Month],11,tblDeaths[AgeUnit],"Days",tblDeaths[Age],"&gt;="&amp;0,tblDeaths[Age],"&lt;="&amp;28,tblDeaths[Sex],"F",tblDeaths[NHIS],"Insured")</f>
        <v/>
      </c>
      <c r="BZ4" s="12" t="inlineStr">
        <is>
          <t>0-28</t>
        </is>
      </c>
      <c r="CA4" s="12">
        <f>COUNTIFS(tblDeaths[Month],12,tblDeaths[AgeUnit],"Days",tblDeaths[Age],"&gt;="&amp;0,tblDeaths[Age],"&lt;="&amp;28,tblDeaths[Sex],"M")</f>
        <v/>
      </c>
      <c r="CB4" s="12">
        <f>COUNTIFS(tblDeaths[Month],12,tblDeaths[AgeUnit],"Days",tblDeaths[Age],"&gt;="&amp;0,tblDeaths[Age],"&lt;="&amp;28,tblDeaths[Sex],"F")</f>
        <v/>
      </c>
      <c r="CC4" s="12">
        <f>COUNTIFS(tblDeaths[Month],12,tblDeaths[AgeUnit],"Days",tblDeaths[Age],"&gt;="&amp;0,tblDeaths[Age],"&lt;="&amp;28,tblDeaths[Sex],"M",tblDeaths[NHIS],"Non-Insured")</f>
        <v/>
      </c>
      <c r="CD4" s="12">
        <f>COUNTIFS(tblDeaths[Month],12,tblDeaths[AgeUnit],"Days",tblDeaths[Age],"&gt;="&amp;0,tblDeaths[Age],"&lt;="&amp;28,tblDeaths[Sex],"F",tblDeaths[NHIS],"Non-Insured")</f>
        <v/>
      </c>
      <c r="CE4" s="12">
        <f>COUNTIFS(tblDeaths[Month],12,tblDeaths[AgeUnit],"Days",tblDeaths[Age],"&gt;="&amp;0,tblDeaths[Age],"&lt;="&amp;28,tblDeaths[Sex],"M",tblDeaths[NHIS],"Insured")</f>
        <v/>
      </c>
      <c r="CF4" s="12">
        <f>COUNTIFS(tblDeaths[Month],12,tblDeaths[AgeUnit],"Days",tblDeaths[Age],"&gt;="&amp;0,tblDeaths[Age],"&lt;="&amp;28,tblDeaths[Sex],"F",tblDeaths[NHIS],"Insured")</f>
        <v/>
      </c>
    </row>
    <row r="5">
      <c r="A5" s="12" t="inlineStr">
        <is>
          <t>1-11</t>
        </is>
      </c>
      <c r="B5" s="12">
        <f>COUNTIFS(tblDeaths[Month],1,tblDeaths[AgeUnit],"Months",tblDeaths[Age],"&gt;="&amp;1,tblDeaths[Age],"&lt;="&amp;11,tblDeaths[Sex],"M")</f>
        <v/>
      </c>
      <c r="C5" s="12">
        <f>COUNTIFS(tblDeaths[Month],1,tblDeaths[AgeUnit],"Months",tblDeaths[Age],"&gt;="&amp;1,tblDeaths[Age],"&lt;="&amp;11,tblDeaths[Sex],"F")</f>
        <v/>
      </c>
      <c r="D5" s="12">
        <f>COUNTIFS(tblDeaths[Month],1,tblDeaths[AgeUnit],"Months",tblDeaths[Age],"&gt;="&amp;1,tblDeaths[Age],"&lt;="&amp;11,tblDeaths[Sex],"M",tblDeaths[NHIS],"Non-Insured")</f>
        <v/>
      </c>
      <c r="E5" s="12">
        <f>COUNTIFS(tblDeaths[Month],1,tblDeaths[AgeUnit],"Months",tblDeaths[Age],"&gt;="&amp;1,tblDeaths[Age],"&lt;="&amp;11,tblDeaths[Sex],"F",tblDeaths[NHIS],"Non-Insured")</f>
        <v/>
      </c>
      <c r="F5" s="12">
        <f>COUNTIFS(tblDeaths[Month],1,tblDeaths[AgeUnit],"Months",tblDeaths[Age],"&gt;="&amp;1,tblDeaths[Age],"&lt;="&amp;11,tblDeaths[Sex],"M",tblDeaths[NHIS],"Insured")</f>
        <v/>
      </c>
      <c r="G5" s="12">
        <f>COUNTIFS(tblDeaths[Month],1,tblDeaths[AgeUnit],"Months",tblDeaths[Age],"&gt;="&amp;1,tblDeaths[Age],"&lt;="&amp;11,tblDeaths[Sex],"F",tblDeaths[NHIS],"Insured")</f>
        <v/>
      </c>
      <c r="H5" s="12" t="inlineStr">
        <is>
          <t>1-11</t>
        </is>
      </c>
      <c r="I5" s="12">
        <f>COUNTIFS(tblDeaths[Month],2,tblDeaths[AgeUnit],"Months",tblDeaths[Age],"&gt;="&amp;1,tblDeaths[Age],"&lt;="&amp;11,tblDeaths[Sex],"M")</f>
        <v/>
      </c>
      <c r="J5" s="12">
        <f>COUNTIFS(tblDeaths[Month],2,tblDeaths[AgeUnit],"Months",tblDeaths[Age],"&gt;="&amp;1,tblDeaths[Age],"&lt;="&amp;11,tblDeaths[Sex],"F")</f>
        <v/>
      </c>
      <c r="K5" s="12">
        <f>COUNTIFS(tblDeaths[Month],2,tblDeaths[AgeUnit],"Months",tblDeaths[Age],"&gt;="&amp;1,tblDeaths[Age],"&lt;="&amp;11,tblDeaths[Sex],"M",tblDeaths[NHIS],"Non-Insured")</f>
        <v/>
      </c>
      <c r="L5" s="12">
        <f>COUNTIFS(tblDeaths[Month],2,tblDeaths[AgeUnit],"Months",tblDeaths[Age],"&gt;="&amp;1,tblDeaths[Age],"&lt;="&amp;11,tblDeaths[Sex],"F",tblDeaths[NHIS],"Non-Insured")</f>
        <v/>
      </c>
      <c r="M5" s="12">
        <f>COUNTIFS(tblDeaths[Month],2,tblDeaths[AgeUnit],"Months",tblDeaths[Age],"&gt;="&amp;1,tblDeaths[Age],"&lt;="&amp;11,tblDeaths[Sex],"M",tblDeaths[NHIS],"Insured")</f>
        <v/>
      </c>
      <c r="N5" s="12">
        <f>COUNTIFS(tblDeaths[Month],2,tblDeaths[AgeUnit],"Months",tblDeaths[Age],"&gt;="&amp;1,tblDeaths[Age],"&lt;="&amp;11,tblDeaths[Sex],"F",tblDeaths[NHIS],"Insured")</f>
        <v/>
      </c>
      <c r="O5" s="12" t="inlineStr">
        <is>
          <t>1-11</t>
        </is>
      </c>
      <c r="P5" s="12">
        <f>COUNTIFS(tblDeaths[Month],3,tblDeaths[AgeUnit],"Months",tblDeaths[Age],"&gt;="&amp;1,tblDeaths[Age],"&lt;="&amp;11,tblDeaths[Sex],"M")</f>
        <v/>
      </c>
      <c r="Q5" s="12">
        <f>COUNTIFS(tblDeaths[Month],3,tblDeaths[AgeUnit],"Months",tblDeaths[Age],"&gt;="&amp;1,tblDeaths[Age],"&lt;="&amp;11,tblDeaths[Sex],"F")</f>
        <v/>
      </c>
      <c r="R5" s="12">
        <f>COUNTIFS(tblDeaths[Month],3,tblDeaths[AgeUnit],"Months",tblDeaths[Age],"&gt;="&amp;1,tblDeaths[Age],"&lt;="&amp;11,tblDeaths[Sex],"M",tblDeaths[NHIS],"Non-Insured")</f>
        <v/>
      </c>
      <c r="S5" s="12">
        <f>COUNTIFS(tblDeaths[Month],3,tblDeaths[AgeUnit],"Months",tblDeaths[Age],"&gt;="&amp;1,tblDeaths[Age],"&lt;="&amp;11,tblDeaths[Sex],"F",tblDeaths[NHIS],"Non-Insured")</f>
        <v/>
      </c>
      <c r="T5" s="12">
        <f>COUNTIFS(tblDeaths[Month],3,tblDeaths[AgeUnit],"Months",tblDeaths[Age],"&gt;="&amp;1,tblDeaths[Age],"&lt;="&amp;11,tblDeaths[Sex],"M",tblDeaths[NHIS],"Insured")</f>
        <v/>
      </c>
      <c r="U5" s="12">
        <f>COUNTIFS(tblDeaths[Month],3,tblDeaths[AgeUnit],"Months",tblDeaths[Age],"&gt;="&amp;1,tblDeaths[Age],"&lt;="&amp;11,tblDeaths[Sex],"F",tblDeaths[NHIS],"Insured")</f>
        <v/>
      </c>
      <c r="V5" s="12" t="inlineStr">
        <is>
          <t>1-11</t>
        </is>
      </c>
      <c r="W5" s="12">
        <f>COUNTIFS(tblDeaths[Month],4,tblDeaths[AgeUnit],"Months",tblDeaths[Age],"&gt;="&amp;1,tblDeaths[Age],"&lt;="&amp;11,tblDeaths[Sex],"M")</f>
        <v/>
      </c>
      <c r="X5" s="12">
        <f>COUNTIFS(tblDeaths[Month],4,tblDeaths[AgeUnit],"Months",tblDeaths[Age],"&gt;="&amp;1,tblDeaths[Age],"&lt;="&amp;11,tblDeaths[Sex],"F")</f>
        <v/>
      </c>
      <c r="Y5" s="12">
        <f>COUNTIFS(tblDeaths[Month],4,tblDeaths[AgeUnit],"Months",tblDeaths[Age],"&gt;="&amp;1,tblDeaths[Age],"&lt;="&amp;11,tblDeaths[Sex],"M",tblDeaths[NHIS],"Non-Insured")</f>
        <v/>
      </c>
      <c r="Z5" s="12">
        <f>COUNTIFS(tblDeaths[Month],4,tblDeaths[AgeUnit],"Months",tblDeaths[Age],"&gt;="&amp;1,tblDeaths[Age],"&lt;="&amp;11,tblDeaths[Sex],"F",tblDeaths[NHIS],"Non-Insured")</f>
        <v/>
      </c>
      <c r="AA5" s="12">
        <f>COUNTIFS(tblDeaths[Month],4,tblDeaths[AgeUnit],"Months",tblDeaths[Age],"&gt;="&amp;1,tblDeaths[Age],"&lt;="&amp;11,tblDeaths[Sex],"M",tblDeaths[NHIS],"Insured")</f>
        <v/>
      </c>
      <c r="AB5" s="12">
        <f>COUNTIFS(tblDeaths[Month],4,tblDeaths[AgeUnit],"Months",tblDeaths[Age],"&gt;="&amp;1,tblDeaths[Age],"&lt;="&amp;11,tblDeaths[Sex],"F",tblDeaths[NHIS],"Insured")</f>
        <v/>
      </c>
      <c r="AC5" s="12" t="inlineStr">
        <is>
          <t>1-11</t>
        </is>
      </c>
      <c r="AD5" s="12">
        <f>COUNTIFS(tblDeaths[Month],5,tblDeaths[AgeUnit],"Months",tblDeaths[Age],"&gt;="&amp;1,tblDeaths[Age],"&lt;="&amp;11,tblDeaths[Sex],"M")</f>
        <v/>
      </c>
      <c r="AE5" s="12">
        <f>COUNTIFS(tblDeaths[Month],5,tblDeaths[AgeUnit],"Months",tblDeaths[Age],"&gt;="&amp;1,tblDeaths[Age],"&lt;="&amp;11,tblDeaths[Sex],"F")</f>
        <v/>
      </c>
      <c r="AF5" s="12">
        <f>COUNTIFS(tblDeaths[Month],5,tblDeaths[AgeUnit],"Months",tblDeaths[Age],"&gt;="&amp;1,tblDeaths[Age],"&lt;="&amp;11,tblDeaths[Sex],"M",tblDeaths[NHIS],"Non-Insured")</f>
        <v/>
      </c>
      <c r="AG5" s="12">
        <f>COUNTIFS(tblDeaths[Month],5,tblDeaths[AgeUnit],"Months",tblDeaths[Age],"&gt;="&amp;1,tblDeaths[Age],"&lt;="&amp;11,tblDeaths[Sex],"F",tblDeaths[NHIS],"Non-Insured")</f>
        <v/>
      </c>
      <c r="AH5" s="12">
        <f>COUNTIFS(tblDeaths[Month],5,tblDeaths[AgeUnit],"Months",tblDeaths[Age],"&gt;="&amp;1,tblDeaths[Age],"&lt;="&amp;11,tblDeaths[Sex],"M",tblDeaths[NHIS],"Insured")</f>
        <v/>
      </c>
      <c r="AI5" s="12">
        <f>COUNTIFS(tblDeaths[Month],5,tblDeaths[AgeUnit],"Months",tblDeaths[Age],"&gt;="&amp;1,tblDeaths[Age],"&lt;="&amp;11,tblDeaths[Sex],"F",tblDeaths[NHIS],"Insured")</f>
        <v/>
      </c>
      <c r="AJ5" s="12" t="inlineStr">
        <is>
          <t>1-11</t>
        </is>
      </c>
      <c r="AK5" s="12">
        <f>COUNTIFS(tblDeaths[Month],6,tblDeaths[AgeUnit],"Months",tblDeaths[Age],"&gt;="&amp;1,tblDeaths[Age],"&lt;="&amp;11,tblDeaths[Sex],"M")</f>
        <v/>
      </c>
      <c r="AL5" s="12">
        <f>COUNTIFS(tblDeaths[Month],6,tblDeaths[AgeUnit],"Months",tblDeaths[Age],"&gt;="&amp;1,tblDeaths[Age],"&lt;="&amp;11,tblDeaths[Sex],"F")</f>
        <v/>
      </c>
      <c r="AM5" s="12">
        <f>COUNTIFS(tblDeaths[Month],6,tblDeaths[AgeUnit],"Months",tblDeaths[Age],"&gt;="&amp;1,tblDeaths[Age],"&lt;="&amp;11,tblDeaths[Sex],"M",tblDeaths[NHIS],"Non-Insured")</f>
        <v/>
      </c>
      <c r="AN5" s="12">
        <f>COUNTIFS(tblDeaths[Month],6,tblDeaths[AgeUnit],"Months",tblDeaths[Age],"&gt;="&amp;1,tblDeaths[Age],"&lt;="&amp;11,tblDeaths[Sex],"F",tblDeaths[NHIS],"Non-Insured")</f>
        <v/>
      </c>
      <c r="AO5" s="12">
        <f>COUNTIFS(tblDeaths[Month],6,tblDeaths[AgeUnit],"Months",tblDeaths[Age],"&gt;="&amp;1,tblDeaths[Age],"&lt;="&amp;11,tblDeaths[Sex],"M",tblDeaths[NHIS],"Insured")</f>
        <v/>
      </c>
      <c r="AP5" s="12">
        <f>COUNTIFS(tblDeaths[Month],6,tblDeaths[AgeUnit],"Months",tblDeaths[Age],"&gt;="&amp;1,tblDeaths[Age],"&lt;="&amp;11,tblDeaths[Sex],"F",tblDeaths[NHIS],"Insured")</f>
        <v/>
      </c>
      <c r="AQ5" s="12" t="inlineStr">
        <is>
          <t>1-11</t>
        </is>
      </c>
      <c r="AR5" s="12">
        <f>COUNTIFS(tblDeaths[Month],7,tblDeaths[AgeUnit],"Months",tblDeaths[Age],"&gt;="&amp;1,tblDeaths[Age],"&lt;="&amp;11,tblDeaths[Sex],"M")</f>
        <v/>
      </c>
      <c r="AS5" s="12">
        <f>COUNTIFS(tblDeaths[Month],7,tblDeaths[AgeUnit],"Months",tblDeaths[Age],"&gt;="&amp;1,tblDeaths[Age],"&lt;="&amp;11,tblDeaths[Sex],"F")</f>
        <v/>
      </c>
      <c r="AT5" s="12">
        <f>COUNTIFS(tblDeaths[Month],7,tblDeaths[AgeUnit],"Months",tblDeaths[Age],"&gt;="&amp;1,tblDeaths[Age],"&lt;="&amp;11,tblDeaths[Sex],"M",tblDeaths[NHIS],"Non-Insured")</f>
        <v/>
      </c>
      <c r="AU5" s="12">
        <f>COUNTIFS(tblDeaths[Month],7,tblDeaths[AgeUnit],"Months",tblDeaths[Age],"&gt;="&amp;1,tblDeaths[Age],"&lt;="&amp;11,tblDeaths[Sex],"F",tblDeaths[NHIS],"Non-Insured")</f>
        <v/>
      </c>
      <c r="AV5" s="12">
        <f>COUNTIFS(tblDeaths[Month],7,tblDeaths[AgeUnit],"Months",tblDeaths[Age],"&gt;="&amp;1,tblDeaths[Age],"&lt;="&amp;11,tblDeaths[Sex],"M",tblDeaths[NHIS],"Insured")</f>
        <v/>
      </c>
      <c r="AW5" s="12">
        <f>COUNTIFS(tblDeaths[Month],7,tblDeaths[AgeUnit],"Months",tblDeaths[Age],"&gt;="&amp;1,tblDeaths[Age],"&lt;="&amp;11,tblDeaths[Sex],"F",tblDeaths[NHIS],"Insured")</f>
        <v/>
      </c>
      <c r="AX5" s="12" t="inlineStr">
        <is>
          <t>1-11</t>
        </is>
      </c>
      <c r="AY5" s="12">
        <f>COUNTIFS(tblDeaths[Month],8,tblDeaths[AgeUnit],"Months",tblDeaths[Age],"&gt;="&amp;1,tblDeaths[Age],"&lt;="&amp;11,tblDeaths[Sex],"M")</f>
        <v/>
      </c>
      <c r="AZ5" s="12">
        <f>COUNTIFS(tblDeaths[Month],8,tblDeaths[AgeUnit],"Months",tblDeaths[Age],"&gt;="&amp;1,tblDeaths[Age],"&lt;="&amp;11,tblDeaths[Sex],"F")</f>
        <v/>
      </c>
      <c r="BA5" s="12">
        <f>COUNTIFS(tblDeaths[Month],8,tblDeaths[AgeUnit],"Months",tblDeaths[Age],"&gt;="&amp;1,tblDeaths[Age],"&lt;="&amp;11,tblDeaths[Sex],"M",tblDeaths[NHIS],"Non-Insured")</f>
        <v/>
      </c>
      <c r="BB5" s="12">
        <f>COUNTIFS(tblDeaths[Month],8,tblDeaths[AgeUnit],"Months",tblDeaths[Age],"&gt;="&amp;1,tblDeaths[Age],"&lt;="&amp;11,tblDeaths[Sex],"F",tblDeaths[NHIS],"Non-Insured")</f>
        <v/>
      </c>
      <c r="BC5" s="12">
        <f>COUNTIFS(tblDeaths[Month],8,tblDeaths[AgeUnit],"Months",tblDeaths[Age],"&gt;="&amp;1,tblDeaths[Age],"&lt;="&amp;11,tblDeaths[Sex],"M",tblDeaths[NHIS],"Insured")</f>
        <v/>
      </c>
      <c r="BD5" s="12">
        <f>COUNTIFS(tblDeaths[Month],8,tblDeaths[AgeUnit],"Months",tblDeaths[Age],"&gt;="&amp;1,tblDeaths[Age],"&lt;="&amp;11,tblDeaths[Sex],"F",tblDeaths[NHIS],"Insured")</f>
        <v/>
      </c>
      <c r="BE5" s="12" t="inlineStr">
        <is>
          <t>1-11</t>
        </is>
      </c>
      <c r="BF5" s="12">
        <f>COUNTIFS(tblDeaths[Month],9,tblDeaths[AgeUnit],"Months",tblDeaths[Age],"&gt;="&amp;1,tblDeaths[Age],"&lt;="&amp;11,tblDeaths[Sex],"M")</f>
        <v/>
      </c>
      <c r="BG5" s="12">
        <f>COUNTIFS(tblDeaths[Month],9,tblDeaths[AgeUnit],"Months",tblDeaths[Age],"&gt;="&amp;1,tblDeaths[Age],"&lt;="&amp;11,tblDeaths[Sex],"F")</f>
        <v/>
      </c>
      <c r="BH5" s="12">
        <f>COUNTIFS(tblDeaths[Month],9,tblDeaths[AgeUnit],"Months",tblDeaths[Age],"&gt;="&amp;1,tblDeaths[Age],"&lt;="&amp;11,tblDeaths[Sex],"M",tblDeaths[NHIS],"Non-Insured")</f>
        <v/>
      </c>
      <c r="BI5" s="12">
        <f>COUNTIFS(tblDeaths[Month],9,tblDeaths[AgeUnit],"Months",tblDeaths[Age],"&gt;="&amp;1,tblDeaths[Age],"&lt;="&amp;11,tblDeaths[Sex],"F",tblDeaths[NHIS],"Non-Insured")</f>
        <v/>
      </c>
      <c r="BJ5" s="12">
        <f>COUNTIFS(tblDeaths[Month],9,tblDeaths[AgeUnit],"Months",tblDeaths[Age],"&gt;="&amp;1,tblDeaths[Age],"&lt;="&amp;11,tblDeaths[Sex],"M",tblDeaths[NHIS],"Insured")</f>
        <v/>
      </c>
      <c r="BK5" s="12">
        <f>COUNTIFS(tblDeaths[Month],9,tblDeaths[AgeUnit],"Months",tblDeaths[Age],"&gt;="&amp;1,tblDeaths[Age],"&lt;="&amp;11,tblDeaths[Sex],"F",tblDeaths[NHIS],"Insured")</f>
        <v/>
      </c>
      <c r="BL5" s="12" t="inlineStr">
        <is>
          <t>1-11</t>
        </is>
      </c>
      <c r="BM5" s="12">
        <f>COUNTIFS(tblDeaths[Month],10,tblDeaths[AgeUnit],"Months",tblDeaths[Age],"&gt;="&amp;1,tblDeaths[Age],"&lt;="&amp;11,tblDeaths[Sex],"M")</f>
        <v/>
      </c>
      <c r="BN5" s="12">
        <f>COUNTIFS(tblDeaths[Month],10,tblDeaths[AgeUnit],"Months",tblDeaths[Age],"&gt;="&amp;1,tblDeaths[Age],"&lt;="&amp;11,tblDeaths[Sex],"F")</f>
        <v/>
      </c>
      <c r="BO5" s="12">
        <f>COUNTIFS(tblDeaths[Month],10,tblDeaths[AgeUnit],"Months",tblDeaths[Age],"&gt;="&amp;1,tblDeaths[Age],"&lt;="&amp;11,tblDeaths[Sex],"M",tblDeaths[NHIS],"Non-Insured")</f>
        <v/>
      </c>
      <c r="BP5" s="12">
        <f>COUNTIFS(tblDeaths[Month],10,tblDeaths[AgeUnit],"Months",tblDeaths[Age],"&gt;="&amp;1,tblDeaths[Age],"&lt;="&amp;11,tblDeaths[Sex],"F",tblDeaths[NHIS],"Non-Insured")</f>
        <v/>
      </c>
      <c r="BQ5" s="12">
        <f>COUNTIFS(tblDeaths[Month],10,tblDeaths[AgeUnit],"Months",tblDeaths[Age],"&gt;="&amp;1,tblDeaths[Age],"&lt;="&amp;11,tblDeaths[Sex],"M",tblDeaths[NHIS],"Insured")</f>
        <v/>
      </c>
      <c r="BR5" s="12">
        <f>COUNTIFS(tblDeaths[Month],10,tblDeaths[AgeUnit],"Months",tblDeaths[Age],"&gt;="&amp;1,tblDeaths[Age],"&lt;="&amp;11,tblDeaths[Sex],"F",tblDeaths[NHIS],"Insured")</f>
        <v/>
      </c>
      <c r="BS5" s="12" t="inlineStr">
        <is>
          <t>1-11</t>
        </is>
      </c>
      <c r="BT5" s="12">
        <f>COUNTIFS(tblDeaths[Month],11,tblDeaths[AgeUnit],"Months",tblDeaths[Age],"&gt;="&amp;1,tblDeaths[Age],"&lt;="&amp;11,tblDeaths[Sex],"M")</f>
        <v/>
      </c>
      <c r="BU5" s="12">
        <f>COUNTIFS(tblDeaths[Month],11,tblDeaths[AgeUnit],"Months",tblDeaths[Age],"&gt;="&amp;1,tblDeaths[Age],"&lt;="&amp;11,tblDeaths[Sex],"F")</f>
        <v/>
      </c>
      <c r="BV5" s="12">
        <f>COUNTIFS(tblDeaths[Month],11,tblDeaths[AgeUnit],"Months",tblDeaths[Age],"&gt;="&amp;1,tblDeaths[Age],"&lt;="&amp;11,tblDeaths[Sex],"M",tblDeaths[NHIS],"Non-Insured")</f>
        <v/>
      </c>
      <c r="BW5" s="12">
        <f>COUNTIFS(tblDeaths[Month],11,tblDeaths[AgeUnit],"Months",tblDeaths[Age],"&gt;="&amp;1,tblDeaths[Age],"&lt;="&amp;11,tblDeaths[Sex],"F",tblDeaths[NHIS],"Non-Insured")</f>
        <v/>
      </c>
      <c r="BX5" s="12">
        <f>COUNTIFS(tblDeaths[Month],11,tblDeaths[AgeUnit],"Months",tblDeaths[Age],"&gt;="&amp;1,tblDeaths[Age],"&lt;="&amp;11,tblDeaths[Sex],"M",tblDeaths[NHIS],"Insured")</f>
        <v/>
      </c>
      <c r="BY5" s="12">
        <f>COUNTIFS(tblDeaths[Month],11,tblDeaths[AgeUnit],"Months",tblDeaths[Age],"&gt;="&amp;1,tblDeaths[Age],"&lt;="&amp;11,tblDeaths[Sex],"F",tblDeaths[NHIS],"Insured")</f>
        <v/>
      </c>
      <c r="BZ5" s="12" t="inlineStr">
        <is>
          <t>1-11</t>
        </is>
      </c>
      <c r="CA5" s="12">
        <f>COUNTIFS(tblDeaths[Month],12,tblDeaths[AgeUnit],"Months",tblDeaths[Age],"&gt;="&amp;1,tblDeaths[Age],"&lt;="&amp;11,tblDeaths[Sex],"M")</f>
        <v/>
      </c>
      <c r="CB5" s="12">
        <f>COUNTIFS(tblDeaths[Month],12,tblDeaths[AgeUnit],"Months",tblDeaths[Age],"&gt;="&amp;1,tblDeaths[Age],"&lt;="&amp;11,tblDeaths[Sex],"F")</f>
        <v/>
      </c>
      <c r="CC5" s="12">
        <f>COUNTIFS(tblDeaths[Month],12,tblDeaths[AgeUnit],"Months",tblDeaths[Age],"&gt;="&amp;1,tblDeaths[Age],"&lt;="&amp;11,tblDeaths[Sex],"M",tblDeaths[NHIS],"Non-Insured")</f>
        <v/>
      </c>
      <c r="CD5" s="12">
        <f>COUNTIFS(tblDeaths[Month],12,tblDeaths[AgeUnit],"Months",tblDeaths[Age],"&gt;="&amp;1,tblDeaths[Age],"&lt;="&amp;11,tblDeaths[Sex],"F",tblDeaths[NHIS],"Non-Insured")</f>
        <v/>
      </c>
      <c r="CE5" s="12">
        <f>COUNTIFS(tblDeaths[Month],12,tblDeaths[AgeUnit],"Months",tblDeaths[Age],"&gt;="&amp;1,tblDeaths[Age],"&lt;="&amp;11,tblDeaths[Sex],"M",tblDeaths[NHIS],"Insured")</f>
        <v/>
      </c>
      <c r="CF5" s="12">
        <f>COUNTIFS(tblDeaths[Month],12,tblDeaths[AgeUnit],"Months",tblDeaths[Age],"&gt;="&amp;1,tblDeaths[Age],"&lt;="&amp;11,tblDeaths[Sex],"F",tblDeaths[NHIS],"Insured")</f>
        <v/>
      </c>
    </row>
    <row r="6">
      <c r="A6" s="12" t="inlineStr">
        <is>
          <t>1-4</t>
        </is>
      </c>
      <c r="B6" s="12">
        <f>COUNTIFS(tblDeaths[Month],1,tblDeaths[AgeUnit],"Years",tblDeaths[Age],"&gt;="&amp;1,tblDeaths[Age],"&lt;="&amp;4,tblDeaths[Sex],"M")</f>
        <v/>
      </c>
      <c r="C6" s="12">
        <f>COUNTIFS(tblDeaths[Month],1,tblDeaths[AgeUnit],"Years",tblDeaths[Age],"&gt;="&amp;1,tblDeaths[Age],"&lt;="&amp;4,tblDeaths[Sex],"F")</f>
        <v/>
      </c>
      <c r="D6" s="12">
        <f>COUNTIFS(tblDeaths[Month],1,tblDeaths[AgeUnit],"Years",tblDeaths[Age],"&gt;="&amp;1,tblDeaths[Age],"&lt;="&amp;4,tblDeaths[Sex],"M",tblDeaths[NHIS],"Non-Insured")</f>
        <v/>
      </c>
      <c r="E6" s="12">
        <f>COUNTIFS(tblDeaths[Month],1,tblDeaths[AgeUnit],"Years",tblDeaths[Age],"&gt;="&amp;1,tblDeaths[Age],"&lt;="&amp;4,tblDeaths[Sex],"F",tblDeaths[NHIS],"Non-Insured")</f>
        <v/>
      </c>
      <c r="F6" s="12">
        <f>COUNTIFS(tblDeaths[Month],1,tblDeaths[AgeUnit],"Years",tblDeaths[Age],"&gt;="&amp;1,tblDeaths[Age],"&lt;="&amp;4,tblDeaths[Sex],"M",tblDeaths[NHIS],"Insured")</f>
        <v/>
      </c>
      <c r="G6" s="12">
        <f>COUNTIFS(tblDeaths[Month],1,tblDeaths[AgeUnit],"Years",tblDeaths[Age],"&gt;="&amp;1,tblDeaths[Age],"&lt;="&amp;4,tblDeaths[Sex],"F",tblDeaths[NHIS],"Insured")</f>
        <v/>
      </c>
      <c r="H6" s="12" t="inlineStr">
        <is>
          <t>1-4</t>
        </is>
      </c>
      <c r="I6" s="12">
        <f>COUNTIFS(tblDeaths[Month],2,tblDeaths[AgeUnit],"Years",tblDeaths[Age],"&gt;="&amp;1,tblDeaths[Age],"&lt;="&amp;4,tblDeaths[Sex],"M")</f>
        <v/>
      </c>
      <c r="J6" s="12">
        <f>COUNTIFS(tblDeaths[Month],2,tblDeaths[AgeUnit],"Years",tblDeaths[Age],"&gt;="&amp;1,tblDeaths[Age],"&lt;="&amp;4,tblDeaths[Sex],"F")</f>
        <v/>
      </c>
      <c r="K6" s="12">
        <f>COUNTIFS(tblDeaths[Month],2,tblDeaths[AgeUnit],"Years",tblDeaths[Age],"&gt;="&amp;1,tblDeaths[Age],"&lt;="&amp;4,tblDeaths[Sex],"M",tblDeaths[NHIS],"Non-Insured")</f>
        <v/>
      </c>
      <c r="L6" s="12">
        <f>COUNTIFS(tblDeaths[Month],2,tblDeaths[AgeUnit],"Years",tblDeaths[Age],"&gt;="&amp;1,tblDeaths[Age],"&lt;="&amp;4,tblDeaths[Sex],"F",tblDeaths[NHIS],"Non-Insured")</f>
        <v/>
      </c>
      <c r="M6" s="12">
        <f>COUNTIFS(tblDeaths[Month],2,tblDeaths[AgeUnit],"Years",tblDeaths[Age],"&gt;="&amp;1,tblDeaths[Age],"&lt;="&amp;4,tblDeaths[Sex],"M",tblDeaths[NHIS],"Insured")</f>
        <v/>
      </c>
      <c r="N6" s="12">
        <f>COUNTIFS(tblDeaths[Month],2,tblDeaths[AgeUnit],"Years",tblDeaths[Age],"&gt;="&amp;1,tblDeaths[Age],"&lt;="&amp;4,tblDeaths[Sex],"F",tblDeaths[NHIS],"Insured")</f>
        <v/>
      </c>
      <c r="O6" s="12" t="inlineStr">
        <is>
          <t>1-4</t>
        </is>
      </c>
      <c r="P6" s="12">
        <f>COUNTIFS(tblDeaths[Month],3,tblDeaths[AgeUnit],"Years",tblDeaths[Age],"&gt;="&amp;1,tblDeaths[Age],"&lt;="&amp;4,tblDeaths[Sex],"M")</f>
        <v/>
      </c>
      <c r="Q6" s="12">
        <f>COUNTIFS(tblDeaths[Month],3,tblDeaths[AgeUnit],"Years",tblDeaths[Age],"&gt;="&amp;1,tblDeaths[Age],"&lt;="&amp;4,tblDeaths[Sex],"F")</f>
        <v/>
      </c>
      <c r="R6" s="12">
        <f>COUNTIFS(tblDeaths[Month],3,tblDeaths[AgeUnit],"Years",tblDeaths[Age],"&gt;="&amp;1,tblDeaths[Age],"&lt;="&amp;4,tblDeaths[Sex],"M",tblDeaths[NHIS],"Non-Insured")</f>
        <v/>
      </c>
      <c r="S6" s="12">
        <f>COUNTIFS(tblDeaths[Month],3,tblDeaths[AgeUnit],"Years",tblDeaths[Age],"&gt;="&amp;1,tblDeaths[Age],"&lt;="&amp;4,tblDeaths[Sex],"F",tblDeaths[NHIS],"Non-Insured")</f>
        <v/>
      </c>
      <c r="T6" s="12">
        <f>COUNTIFS(tblDeaths[Month],3,tblDeaths[AgeUnit],"Years",tblDeaths[Age],"&gt;="&amp;1,tblDeaths[Age],"&lt;="&amp;4,tblDeaths[Sex],"M",tblDeaths[NHIS],"Insured")</f>
        <v/>
      </c>
      <c r="U6" s="12">
        <f>COUNTIFS(tblDeaths[Month],3,tblDeaths[AgeUnit],"Years",tblDeaths[Age],"&gt;="&amp;1,tblDeaths[Age],"&lt;="&amp;4,tblDeaths[Sex],"F",tblDeaths[NHIS],"Insured")</f>
        <v/>
      </c>
      <c r="V6" s="12" t="inlineStr">
        <is>
          <t>1-4</t>
        </is>
      </c>
      <c r="W6" s="12">
        <f>COUNTIFS(tblDeaths[Month],4,tblDeaths[AgeUnit],"Years",tblDeaths[Age],"&gt;="&amp;1,tblDeaths[Age],"&lt;="&amp;4,tblDeaths[Sex],"M")</f>
        <v/>
      </c>
      <c r="X6" s="12">
        <f>COUNTIFS(tblDeaths[Month],4,tblDeaths[AgeUnit],"Years",tblDeaths[Age],"&gt;="&amp;1,tblDeaths[Age],"&lt;="&amp;4,tblDeaths[Sex],"F")</f>
        <v/>
      </c>
      <c r="Y6" s="12">
        <f>COUNTIFS(tblDeaths[Month],4,tblDeaths[AgeUnit],"Years",tblDeaths[Age],"&gt;="&amp;1,tblDeaths[Age],"&lt;="&amp;4,tblDeaths[Sex],"M",tblDeaths[NHIS],"Non-Insured")</f>
        <v/>
      </c>
      <c r="Z6" s="12">
        <f>COUNTIFS(tblDeaths[Month],4,tblDeaths[AgeUnit],"Years",tblDeaths[Age],"&gt;="&amp;1,tblDeaths[Age],"&lt;="&amp;4,tblDeaths[Sex],"F",tblDeaths[NHIS],"Non-Insured")</f>
        <v/>
      </c>
      <c r="AA6" s="12">
        <f>COUNTIFS(tblDeaths[Month],4,tblDeaths[AgeUnit],"Years",tblDeaths[Age],"&gt;="&amp;1,tblDeaths[Age],"&lt;="&amp;4,tblDeaths[Sex],"M",tblDeaths[NHIS],"Insured")</f>
        <v/>
      </c>
      <c r="AB6" s="12">
        <f>COUNTIFS(tblDeaths[Month],4,tblDeaths[AgeUnit],"Years",tblDeaths[Age],"&gt;="&amp;1,tblDeaths[Age],"&lt;="&amp;4,tblDeaths[Sex],"F",tblDeaths[NHIS],"Insured")</f>
        <v/>
      </c>
      <c r="AC6" s="12" t="inlineStr">
        <is>
          <t>1-4</t>
        </is>
      </c>
      <c r="AD6" s="12">
        <f>COUNTIFS(tblDeaths[Month],5,tblDeaths[AgeUnit],"Years",tblDeaths[Age],"&gt;="&amp;1,tblDeaths[Age],"&lt;="&amp;4,tblDeaths[Sex],"M")</f>
        <v/>
      </c>
      <c r="AE6" s="12">
        <f>COUNTIFS(tblDeaths[Month],5,tblDeaths[AgeUnit],"Years",tblDeaths[Age],"&gt;="&amp;1,tblDeaths[Age],"&lt;="&amp;4,tblDeaths[Sex],"F")</f>
        <v/>
      </c>
      <c r="AF6" s="12">
        <f>COUNTIFS(tblDeaths[Month],5,tblDeaths[AgeUnit],"Years",tblDeaths[Age],"&gt;="&amp;1,tblDeaths[Age],"&lt;="&amp;4,tblDeaths[Sex],"M",tblDeaths[NHIS],"Non-Insured")</f>
        <v/>
      </c>
      <c r="AG6" s="12">
        <f>COUNTIFS(tblDeaths[Month],5,tblDeaths[AgeUnit],"Years",tblDeaths[Age],"&gt;="&amp;1,tblDeaths[Age],"&lt;="&amp;4,tblDeaths[Sex],"F",tblDeaths[NHIS],"Non-Insured")</f>
        <v/>
      </c>
      <c r="AH6" s="12">
        <f>COUNTIFS(tblDeaths[Month],5,tblDeaths[AgeUnit],"Years",tblDeaths[Age],"&gt;="&amp;1,tblDeaths[Age],"&lt;="&amp;4,tblDeaths[Sex],"M",tblDeaths[NHIS],"Insured")</f>
        <v/>
      </c>
      <c r="AI6" s="12">
        <f>COUNTIFS(tblDeaths[Month],5,tblDeaths[AgeUnit],"Years",tblDeaths[Age],"&gt;="&amp;1,tblDeaths[Age],"&lt;="&amp;4,tblDeaths[Sex],"F",tblDeaths[NHIS],"Insured")</f>
        <v/>
      </c>
      <c r="AJ6" s="12" t="inlineStr">
        <is>
          <t>1-4</t>
        </is>
      </c>
      <c r="AK6" s="12">
        <f>COUNTIFS(tblDeaths[Month],6,tblDeaths[AgeUnit],"Years",tblDeaths[Age],"&gt;="&amp;1,tblDeaths[Age],"&lt;="&amp;4,tblDeaths[Sex],"M")</f>
        <v/>
      </c>
      <c r="AL6" s="12">
        <f>COUNTIFS(tblDeaths[Month],6,tblDeaths[AgeUnit],"Years",tblDeaths[Age],"&gt;="&amp;1,tblDeaths[Age],"&lt;="&amp;4,tblDeaths[Sex],"F")</f>
        <v/>
      </c>
      <c r="AM6" s="12">
        <f>COUNTIFS(tblDeaths[Month],6,tblDeaths[AgeUnit],"Years",tblDeaths[Age],"&gt;="&amp;1,tblDeaths[Age],"&lt;="&amp;4,tblDeaths[Sex],"M",tblDeaths[NHIS],"Non-Insured")</f>
        <v/>
      </c>
      <c r="AN6" s="12">
        <f>COUNTIFS(tblDeaths[Month],6,tblDeaths[AgeUnit],"Years",tblDeaths[Age],"&gt;="&amp;1,tblDeaths[Age],"&lt;="&amp;4,tblDeaths[Sex],"F",tblDeaths[NHIS],"Non-Insured")</f>
        <v/>
      </c>
      <c r="AO6" s="12">
        <f>COUNTIFS(tblDeaths[Month],6,tblDeaths[AgeUnit],"Years",tblDeaths[Age],"&gt;="&amp;1,tblDeaths[Age],"&lt;="&amp;4,tblDeaths[Sex],"M",tblDeaths[NHIS],"Insured")</f>
        <v/>
      </c>
      <c r="AP6" s="12">
        <f>COUNTIFS(tblDeaths[Month],6,tblDeaths[AgeUnit],"Years",tblDeaths[Age],"&gt;="&amp;1,tblDeaths[Age],"&lt;="&amp;4,tblDeaths[Sex],"F",tblDeaths[NHIS],"Insured")</f>
        <v/>
      </c>
      <c r="AQ6" s="12" t="inlineStr">
        <is>
          <t>1-4</t>
        </is>
      </c>
      <c r="AR6" s="12">
        <f>COUNTIFS(tblDeaths[Month],7,tblDeaths[AgeUnit],"Years",tblDeaths[Age],"&gt;="&amp;1,tblDeaths[Age],"&lt;="&amp;4,tblDeaths[Sex],"M")</f>
        <v/>
      </c>
      <c r="AS6" s="12">
        <f>COUNTIFS(tblDeaths[Month],7,tblDeaths[AgeUnit],"Years",tblDeaths[Age],"&gt;="&amp;1,tblDeaths[Age],"&lt;="&amp;4,tblDeaths[Sex],"F")</f>
        <v/>
      </c>
      <c r="AT6" s="12">
        <f>COUNTIFS(tblDeaths[Month],7,tblDeaths[AgeUnit],"Years",tblDeaths[Age],"&gt;="&amp;1,tblDeaths[Age],"&lt;="&amp;4,tblDeaths[Sex],"M",tblDeaths[NHIS],"Non-Insured")</f>
        <v/>
      </c>
      <c r="AU6" s="12">
        <f>COUNTIFS(tblDeaths[Month],7,tblDeaths[AgeUnit],"Years",tblDeaths[Age],"&gt;="&amp;1,tblDeaths[Age],"&lt;="&amp;4,tblDeaths[Sex],"F",tblDeaths[NHIS],"Non-Insured")</f>
        <v/>
      </c>
      <c r="AV6" s="12">
        <f>COUNTIFS(tblDeaths[Month],7,tblDeaths[AgeUnit],"Years",tblDeaths[Age],"&gt;="&amp;1,tblDeaths[Age],"&lt;="&amp;4,tblDeaths[Sex],"M",tblDeaths[NHIS],"Insured")</f>
        <v/>
      </c>
      <c r="AW6" s="12">
        <f>COUNTIFS(tblDeaths[Month],7,tblDeaths[AgeUnit],"Years",tblDeaths[Age],"&gt;="&amp;1,tblDeaths[Age],"&lt;="&amp;4,tblDeaths[Sex],"F",tblDeaths[NHIS],"Insured")</f>
        <v/>
      </c>
      <c r="AX6" s="12" t="inlineStr">
        <is>
          <t>1-4</t>
        </is>
      </c>
      <c r="AY6" s="12">
        <f>COUNTIFS(tblDeaths[Month],8,tblDeaths[AgeUnit],"Years",tblDeaths[Age],"&gt;="&amp;1,tblDeaths[Age],"&lt;="&amp;4,tblDeaths[Sex],"M")</f>
        <v/>
      </c>
      <c r="AZ6" s="12">
        <f>COUNTIFS(tblDeaths[Month],8,tblDeaths[AgeUnit],"Years",tblDeaths[Age],"&gt;="&amp;1,tblDeaths[Age],"&lt;="&amp;4,tblDeaths[Sex],"F")</f>
        <v/>
      </c>
      <c r="BA6" s="12">
        <f>COUNTIFS(tblDeaths[Month],8,tblDeaths[AgeUnit],"Years",tblDeaths[Age],"&gt;="&amp;1,tblDeaths[Age],"&lt;="&amp;4,tblDeaths[Sex],"M",tblDeaths[NHIS],"Non-Insured")</f>
        <v/>
      </c>
      <c r="BB6" s="12">
        <f>COUNTIFS(tblDeaths[Month],8,tblDeaths[AgeUnit],"Years",tblDeaths[Age],"&gt;="&amp;1,tblDeaths[Age],"&lt;="&amp;4,tblDeaths[Sex],"F",tblDeaths[NHIS],"Non-Insured")</f>
        <v/>
      </c>
      <c r="BC6" s="12">
        <f>COUNTIFS(tblDeaths[Month],8,tblDeaths[AgeUnit],"Years",tblDeaths[Age],"&gt;="&amp;1,tblDeaths[Age],"&lt;="&amp;4,tblDeaths[Sex],"M",tblDeaths[NHIS],"Insured")</f>
        <v/>
      </c>
      <c r="BD6" s="12">
        <f>COUNTIFS(tblDeaths[Month],8,tblDeaths[AgeUnit],"Years",tblDeaths[Age],"&gt;="&amp;1,tblDeaths[Age],"&lt;="&amp;4,tblDeaths[Sex],"F",tblDeaths[NHIS],"Insured")</f>
        <v/>
      </c>
      <c r="BE6" s="12" t="inlineStr">
        <is>
          <t>1-4</t>
        </is>
      </c>
      <c r="BF6" s="12">
        <f>COUNTIFS(tblDeaths[Month],9,tblDeaths[AgeUnit],"Years",tblDeaths[Age],"&gt;="&amp;1,tblDeaths[Age],"&lt;="&amp;4,tblDeaths[Sex],"M")</f>
        <v/>
      </c>
      <c r="BG6" s="12">
        <f>COUNTIFS(tblDeaths[Month],9,tblDeaths[AgeUnit],"Years",tblDeaths[Age],"&gt;="&amp;1,tblDeaths[Age],"&lt;="&amp;4,tblDeaths[Sex],"F")</f>
        <v/>
      </c>
      <c r="BH6" s="12">
        <f>COUNTIFS(tblDeaths[Month],9,tblDeaths[AgeUnit],"Years",tblDeaths[Age],"&gt;="&amp;1,tblDeaths[Age],"&lt;="&amp;4,tblDeaths[Sex],"M",tblDeaths[NHIS],"Non-Insured")</f>
        <v/>
      </c>
      <c r="BI6" s="12">
        <f>COUNTIFS(tblDeaths[Month],9,tblDeaths[AgeUnit],"Years",tblDeaths[Age],"&gt;="&amp;1,tblDeaths[Age],"&lt;="&amp;4,tblDeaths[Sex],"F",tblDeaths[NHIS],"Non-Insured")</f>
        <v/>
      </c>
      <c r="BJ6" s="12">
        <f>COUNTIFS(tblDeaths[Month],9,tblDeaths[AgeUnit],"Years",tblDeaths[Age],"&gt;="&amp;1,tblDeaths[Age],"&lt;="&amp;4,tblDeaths[Sex],"M",tblDeaths[NHIS],"Insured")</f>
        <v/>
      </c>
      <c r="BK6" s="12">
        <f>COUNTIFS(tblDeaths[Month],9,tblDeaths[AgeUnit],"Years",tblDeaths[Age],"&gt;="&amp;1,tblDeaths[Age],"&lt;="&amp;4,tblDeaths[Sex],"F",tblDeaths[NHIS],"Insured")</f>
        <v/>
      </c>
      <c r="BL6" s="12" t="inlineStr">
        <is>
          <t>1-4</t>
        </is>
      </c>
      <c r="BM6" s="12">
        <f>COUNTIFS(tblDeaths[Month],10,tblDeaths[AgeUnit],"Years",tblDeaths[Age],"&gt;="&amp;1,tblDeaths[Age],"&lt;="&amp;4,tblDeaths[Sex],"M")</f>
        <v/>
      </c>
      <c r="BN6" s="12">
        <f>COUNTIFS(tblDeaths[Month],10,tblDeaths[AgeUnit],"Years",tblDeaths[Age],"&gt;="&amp;1,tblDeaths[Age],"&lt;="&amp;4,tblDeaths[Sex],"F")</f>
        <v/>
      </c>
      <c r="BO6" s="12">
        <f>COUNTIFS(tblDeaths[Month],10,tblDeaths[AgeUnit],"Years",tblDeaths[Age],"&gt;="&amp;1,tblDeaths[Age],"&lt;="&amp;4,tblDeaths[Sex],"M",tblDeaths[NHIS],"Non-Insured")</f>
        <v/>
      </c>
      <c r="BP6" s="12">
        <f>COUNTIFS(tblDeaths[Month],10,tblDeaths[AgeUnit],"Years",tblDeaths[Age],"&gt;="&amp;1,tblDeaths[Age],"&lt;="&amp;4,tblDeaths[Sex],"F",tblDeaths[NHIS],"Non-Insured")</f>
        <v/>
      </c>
      <c r="BQ6" s="12">
        <f>COUNTIFS(tblDeaths[Month],10,tblDeaths[AgeUnit],"Years",tblDeaths[Age],"&gt;="&amp;1,tblDeaths[Age],"&lt;="&amp;4,tblDeaths[Sex],"M",tblDeaths[NHIS],"Insured")</f>
        <v/>
      </c>
      <c r="BR6" s="12">
        <f>COUNTIFS(tblDeaths[Month],10,tblDeaths[AgeUnit],"Years",tblDeaths[Age],"&gt;="&amp;1,tblDeaths[Age],"&lt;="&amp;4,tblDeaths[Sex],"F",tblDeaths[NHIS],"Insured")</f>
        <v/>
      </c>
      <c r="BS6" s="12" t="inlineStr">
        <is>
          <t>1-4</t>
        </is>
      </c>
      <c r="BT6" s="12">
        <f>COUNTIFS(tblDeaths[Month],11,tblDeaths[AgeUnit],"Years",tblDeaths[Age],"&gt;="&amp;1,tblDeaths[Age],"&lt;="&amp;4,tblDeaths[Sex],"M")</f>
        <v/>
      </c>
      <c r="BU6" s="12">
        <f>COUNTIFS(tblDeaths[Month],11,tblDeaths[AgeUnit],"Years",tblDeaths[Age],"&gt;="&amp;1,tblDeaths[Age],"&lt;="&amp;4,tblDeaths[Sex],"F")</f>
        <v/>
      </c>
      <c r="BV6" s="12">
        <f>COUNTIFS(tblDeaths[Month],11,tblDeaths[AgeUnit],"Years",tblDeaths[Age],"&gt;="&amp;1,tblDeaths[Age],"&lt;="&amp;4,tblDeaths[Sex],"M",tblDeaths[NHIS],"Non-Insured")</f>
        <v/>
      </c>
      <c r="BW6" s="12">
        <f>COUNTIFS(tblDeaths[Month],11,tblDeaths[AgeUnit],"Years",tblDeaths[Age],"&gt;="&amp;1,tblDeaths[Age],"&lt;="&amp;4,tblDeaths[Sex],"F",tblDeaths[NHIS],"Non-Insured")</f>
        <v/>
      </c>
      <c r="BX6" s="12">
        <f>COUNTIFS(tblDeaths[Month],11,tblDeaths[AgeUnit],"Years",tblDeaths[Age],"&gt;="&amp;1,tblDeaths[Age],"&lt;="&amp;4,tblDeaths[Sex],"M",tblDeaths[NHIS],"Insured")</f>
        <v/>
      </c>
      <c r="BY6" s="12">
        <f>COUNTIFS(tblDeaths[Month],11,tblDeaths[AgeUnit],"Years",tblDeaths[Age],"&gt;="&amp;1,tblDeaths[Age],"&lt;="&amp;4,tblDeaths[Sex],"F",tblDeaths[NHIS],"Insured")</f>
        <v/>
      </c>
      <c r="BZ6" s="12" t="inlineStr">
        <is>
          <t>1-4</t>
        </is>
      </c>
      <c r="CA6" s="12">
        <f>COUNTIFS(tblDeaths[Month],12,tblDeaths[AgeUnit],"Years",tblDeaths[Age],"&gt;="&amp;1,tblDeaths[Age],"&lt;="&amp;4,tblDeaths[Sex],"M")</f>
        <v/>
      </c>
      <c r="CB6" s="12">
        <f>COUNTIFS(tblDeaths[Month],12,tblDeaths[AgeUnit],"Years",tblDeaths[Age],"&gt;="&amp;1,tblDeaths[Age],"&lt;="&amp;4,tblDeaths[Sex],"F")</f>
        <v/>
      </c>
      <c r="CC6" s="12">
        <f>COUNTIFS(tblDeaths[Month],12,tblDeaths[AgeUnit],"Years",tblDeaths[Age],"&gt;="&amp;1,tblDeaths[Age],"&lt;="&amp;4,tblDeaths[Sex],"M",tblDeaths[NHIS],"Non-Insured")</f>
        <v/>
      </c>
      <c r="CD6" s="12">
        <f>COUNTIFS(tblDeaths[Month],12,tblDeaths[AgeUnit],"Years",tblDeaths[Age],"&gt;="&amp;1,tblDeaths[Age],"&lt;="&amp;4,tblDeaths[Sex],"F",tblDeaths[NHIS],"Non-Insured")</f>
        <v/>
      </c>
      <c r="CE6" s="12">
        <f>COUNTIFS(tblDeaths[Month],12,tblDeaths[AgeUnit],"Years",tblDeaths[Age],"&gt;="&amp;1,tblDeaths[Age],"&lt;="&amp;4,tblDeaths[Sex],"M",tblDeaths[NHIS],"Insured")</f>
        <v/>
      </c>
      <c r="CF6" s="12">
        <f>COUNTIFS(tblDeaths[Month],12,tblDeaths[AgeUnit],"Years",tblDeaths[Age],"&gt;="&amp;1,tblDeaths[Age],"&lt;="&amp;4,tblDeaths[Sex],"F",tblDeaths[NHIS],"Insured")</f>
        <v/>
      </c>
    </row>
    <row r="7">
      <c r="A7" s="12" t="inlineStr">
        <is>
          <t>5-9</t>
        </is>
      </c>
      <c r="B7" s="12">
        <f>COUNTIFS(tblDeaths[Month],1,tblDeaths[AgeUnit],"Years",tblDeaths[Age],"&gt;="&amp;5,tblDeaths[Age],"&lt;="&amp;9,tblDeaths[Sex],"M")</f>
        <v/>
      </c>
      <c r="C7" s="12">
        <f>COUNTIFS(tblDeaths[Month],1,tblDeaths[AgeUnit],"Years",tblDeaths[Age],"&gt;="&amp;5,tblDeaths[Age],"&lt;="&amp;9,tblDeaths[Sex],"F")</f>
        <v/>
      </c>
      <c r="D7" s="12">
        <f>COUNTIFS(tblDeaths[Month],1,tblDeaths[AgeUnit],"Years",tblDeaths[Age],"&gt;="&amp;5,tblDeaths[Age],"&lt;="&amp;9,tblDeaths[Sex],"M",tblDeaths[NHIS],"Non-Insured")</f>
        <v/>
      </c>
      <c r="E7" s="12">
        <f>COUNTIFS(tblDeaths[Month],1,tblDeaths[AgeUnit],"Years",tblDeaths[Age],"&gt;="&amp;5,tblDeaths[Age],"&lt;="&amp;9,tblDeaths[Sex],"F",tblDeaths[NHIS],"Non-Insured")</f>
        <v/>
      </c>
      <c r="F7" s="12">
        <f>COUNTIFS(tblDeaths[Month],1,tblDeaths[AgeUnit],"Years",tblDeaths[Age],"&gt;="&amp;5,tblDeaths[Age],"&lt;="&amp;9,tblDeaths[Sex],"M",tblDeaths[NHIS],"Insured")</f>
        <v/>
      </c>
      <c r="G7" s="12">
        <f>COUNTIFS(tblDeaths[Month],1,tblDeaths[AgeUnit],"Years",tblDeaths[Age],"&gt;="&amp;5,tblDeaths[Age],"&lt;="&amp;9,tblDeaths[Sex],"F",tblDeaths[NHIS],"Insured")</f>
        <v/>
      </c>
      <c r="H7" s="12" t="inlineStr">
        <is>
          <t>5-9</t>
        </is>
      </c>
      <c r="I7" s="12">
        <f>COUNTIFS(tblDeaths[Month],2,tblDeaths[AgeUnit],"Years",tblDeaths[Age],"&gt;="&amp;5,tblDeaths[Age],"&lt;="&amp;9,tblDeaths[Sex],"M")</f>
        <v/>
      </c>
      <c r="J7" s="12">
        <f>COUNTIFS(tblDeaths[Month],2,tblDeaths[AgeUnit],"Years",tblDeaths[Age],"&gt;="&amp;5,tblDeaths[Age],"&lt;="&amp;9,tblDeaths[Sex],"F")</f>
        <v/>
      </c>
      <c r="K7" s="12">
        <f>COUNTIFS(tblDeaths[Month],2,tblDeaths[AgeUnit],"Years",tblDeaths[Age],"&gt;="&amp;5,tblDeaths[Age],"&lt;="&amp;9,tblDeaths[Sex],"M",tblDeaths[NHIS],"Non-Insured")</f>
        <v/>
      </c>
      <c r="L7" s="12">
        <f>COUNTIFS(tblDeaths[Month],2,tblDeaths[AgeUnit],"Years",tblDeaths[Age],"&gt;="&amp;5,tblDeaths[Age],"&lt;="&amp;9,tblDeaths[Sex],"F",tblDeaths[NHIS],"Non-Insured")</f>
        <v/>
      </c>
      <c r="M7" s="12">
        <f>COUNTIFS(tblDeaths[Month],2,tblDeaths[AgeUnit],"Years",tblDeaths[Age],"&gt;="&amp;5,tblDeaths[Age],"&lt;="&amp;9,tblDeaths[Sex],"M",tblDeaths[NHIS],"Insured")</f>
        <v/>
      </c>
      <c r="N7" s="12">
        <f>COUNTIFS(tblDeaths[Month],2,tblDeaths[AgeUnit],"Years",tblDeaths[Age],"&gt;="&amp;5,tblDeaths[Age],"&lt;="&amp;9,tblDeaths[Sex],"F",tblDeaths[NHIS],"Insured")</f>
        <v/>
      </c>
      <c r="O7" s="12" t="inlineStr">
        <is>
          <t>5-9</t>
        </is>
      </c>
      <c r="P7" s="12">
        <f>COUNTIFS(tblDeaths[Month],3,tblDeaths[AgeUnit],"Years",tblDeaths[Age],"&gt;="&amp;5,tblDeaths[Age],"&lt;="&amp;9,tblDeaths[Sex],"M")</f>
        <v/>
      </c>
      <c r="Q7" s="12">
        <f>COUNTIFS(tblDeaths[Month],3,tblDeaths[AgeUnit],"Years",tblDeaths[Age],"&gt;="&amp;5,tblDeaths[Age],"&lt;="&amp;9,tblDeaths[Sex],"F")</f>
        <v/>
      </c>
      <c r="R7" s="12">
        <f>COUNTIFS(tblDeaths[Month],3,tblDeaths[AgeUnit],"Years",tblDeaths[Age],"&gt;="&amp;5,tblDeaths[Age],"&lt;="&amp;9,tblDeaths[Sex],"M",tblDeaths[NHIS],"Non-Insured")</f>
        <v/>
      </c>
      <c r="S7" s="12">
        <f>COUNTIFS(tblDeaths[Month],3,tblDeaths[AgeUnit],"Years",tblDeaths[Age],"&gt;="&amp;5,tblDeaths[Age],"&lt;="&amp;9,tblDeaths[Sex],"F",tblDeaths[NHIS],"Non-Insured")</f>
        <v/>
      </c>
      <c r="T7" s="12">
        <f>COUNTIFS(tblDeaths[Month],3,tblDeaths[AgeUnit],"Years",tblDeaths[Age],"&gt;="&amp;5,tblDeaths[Age],"&lt;="&amp;9,tblDeaths[Sex],"M",tblDeaths[NHIS],"Insured")</f>
        <v/>
      </c>
      <c r="U7" s="12">
        <f>COUNTIFS(tblDeaths[Month],3,tblDeaths[AgeUnit],"Years",tblDeaths[Age],"&gt;="&amp;5,tblDeaths[Age],"&lt;="&amp;9,tblDeaths[Sex],"F",tblDeaths[NHIS],"Insured")</f>
        <v/>
      </c>
      <c r="V7" s="12" t="inlineStr">
        <is>
          <t>5-9</t>
        </is>
      </c>
      <c r="W7" s="12">
        <f>COUNTIFS(tblDeaths[Month],4,tblDeaths[AgeUnit],"Years",tblDeaths[Age],"&gt;="&amp;5,tblDeaths[Age],"&lt;="&amp;9,tblDeaths[Sex],"M")</f>
        <v/>
      </c>
      <c r="X7" s="12">
        <f>COUNTIFS(tblDeaths[Month],4,tblDeaths[AgeUnit],"Years",tblDeaths[Age],"&gt;="&amp;5,tblDeaths[Age],"&lt;="&amp;9,tblDeaths[Sex],"F")</f>
        <v/>
      </c>
      <c r="Y7" s="12">
        <f>COUNTIFS(tblDeaths[Month],4,tblDeaths[AgeUnit],"Years",tblDeaths[Age],"&gt;="&amp;5,tblDeaths[Age],"&lt;="&amp;9,tblDeaths[Sex],"M",tblDeaths[NHIS],"Non-Insured")</f>
        <v/>
      </c>
      <c r="Z7" s="12">
        <f>COUNTIFS(tblDeaths[Month],4,tblDeaths[AgeUnit],"Years",tblDeaths[Age],"&gt;="&amp;5,tblDeaths[Age],"&lt;="&amp;9,tblDeaths[Sex],"F",tblDeaths[NHIS],"Non-Insured")</f>
        <v/>
      </c>
      <c r="AA7" s="12">
        <f>COUNTIFS(tblDeaths[Month],4,tblDeaths[AgeUnit],"Years",tblDeaths[Age],"&gt;="&amp;5,tblDeaths[Age],"&lt;="&amp;9,tblDeaths[Sex],"M",tblDeaths[NHIS],"Insured")</f>
        <v/>
      </c>
      <c r="AB7" s="12">
        <f>COUNTIFS(tblDeaths[Month],4,tblDeaths[AgeUnit],"Years",tblDeaths[Age],"&gt;="&amp;5,tblDeaths[Age],"&lt;="&amp;9,tblDeaths[Sex],"F",tblDeaths[NHIS],"Insured")</f>
        <v/>
      </c>
      <c r="AC7" s="12" t="inlineStr">
        <is>
          <t>5-9</t>
        </is>
      </c>
      <c r="AD7" s="12">
        <f>COUNTIFS(tblDeaths[Month],5,tblDeaths[AgeUnit],"Years",tblDeaths[Age],"&gt;="&amp;5,tblDeaths[Age],"&lt;="&amp;9,tblDeaths[Sex],"M")</f>
        <v/>
      </c>
      <c r="AE7" s="12">
        <f>COUNTIFS(tblDeaths[Month],5,tblDeaths[AgeUnit],"Years",tblDeaths[Age],"&gt;="&amp;5,tblDeaths[Age],"&lt;="&amp;9,tblDeaths[Sex],"F")</f>
        <v/>
      </c>
      <c r="AF7" s="12">
        <f>COUNTIFS(tblDeaths[Month],5,tblDeaths[AgeUnit],"Years",tblDeaths[Age],"&gt;="&amp;5,tblDeaths[Age],"&lt;="&amp;9,tblDeaths[Sex],"M",tblDeaths[NHIS],"Non-Insured")</f>
        <v/>
      </c>
      <c r="AG7" s="12">
        <f>COUNTIFS(tblDeaths[Month],5,tblDeaths[AgeUnit],"Years",tblDeaths[Age],"&gt;="&amp;5,tblDeaths[Age],"&lt;="&amp;9,tblDeaths[Sex],"F",tblDeaths[NHIS],"Non-Insured")</f>
        <v/>
      </c>
      <c r="AH7" s="12">
        <f>COUNTIFS(tblDeaths[Month],5,tblDeaths[AgeUnit],"Years",tblDeaths[Age],"&gt;="&amp;5,tblDeaths[Age],"&lt;="&amp;9,tblDeaths[Sex],"M",tblDeaths[NHIS],"Insured")</f>
        <v/>
      </c>
      <c r="AI7" s="12">
        <f>COUNTIFS(tblDeaths[Month],5,tblDeaths[AgeUnit],"Years",tblDeaths[Age],"&gt;="&amp;5,tblDeaths[Age],"&lt;="&amp;9,tblDeaths[Sex],"F",tblDeaths[NHIS],"Insured")</f>
        <v/>
      </c>
      <c r="AJ7" s="12" t="inlineStr">
        <is>
          <t>5-9</t>
        </is>
      </c>
      <c r="AK7" s="12">
        <f>COUNTIFS(tblDeaths[Month],6,tblDeaths[AgeUnit],"Years",tblDeaths[Age],"&gt;="&amp;5,tblDeaths[Age],"&lt;="&amp;9,tblDeaths[Sex],"M")</f>
        <v/>
      </c>
      <c r="AL7" s="12">
        <f>COUNTIFS(tblDeaths[Month],6,tblDeaths[AgeUnit],"Years",tblDeaths[Age],"&gt;="&amp;5,tblDeaths[Age],"&lt;="&amp;9,tblDeaths[Sex],"F")</f>
        <v/>
      </c>
      <c r="AM7" s="12">
        <f>COUNTIFS(tblDeaths[Month],6,tblDeaths[AgeUnit],"Years",tblDeaths[Age],"&gt;="&amp;5,tblDeaths[Age],"&lt;="&amp;9,tblDeaths[Sex],"M",tblDeaths[NHIS],"Non-Insured")</f>
        <v/>
      </c>
      <c r="AN7" s="12">
        <f>COUNTIFS(tblDeaths[Month],6,tblDeaths[AgeUnit],"Years",tblDeaths[Age],"&gt;="&amp;5,tblDeaths[Age],"&lt;="&amp;9,tblDeaths[Sex],"F",tblDeaths[NHIS],"Non-Insured")</f>
        <v/>
      </c>
      <c r="AO7" s="12">
        <f>COUNTIFS(tblDeaths[Month],6,tblDeaths[AgeUnit],"Years",tblDeaths[Age],"&gt;="&amp;5,tblDeaths[Age],"&lt;="&amp;9,tblDeaths[Sex],"M",tblDeaths[NHIS],"Insured")</f>
        <v/>
      </c>
      <c r="AP7" s="12">
        <f>COUNTIFS(tblDeaths[Month],6,tblDeaths[AgeUnit],"Years",tblDeaths[Age],"&gt;="&amp;5,tblDeaths[Age],"&lt;="&amp;9,tblDeaths[Sex],"F",tblDeaths[NHIS],"Insured")</f>
        <v/>
      </c>
      <c r="AQ7" s="12" t="inlineStr">
        <is>
          <t>5-9</t>
        </is>
      </c>
      <c r="AR7" s="12">
        <f>COUNTIFS(tblDeaths[Month],7,tblDeaths[AgeUnit],"Years",tblDeaths[Age],"&gt;="&amp;5,tblDeaths[Age],"&lt;="&amp;9,tblDeaths[Sex],"M")</f>
        <v/>
      </c>
      <c r="AS7" s="12">
        <f>COUNTIFS(tblDeaths[Month],7,tblDeaths[AgeUnit],"Years",tblDeaths[Age],"&gt;="&amp;5,tblDeaths[Age],"&lt;="&amp;9,tblDeaths[Sex],"F")</f>
        <v/>
      </c>
      <c r="AT7" s="12">
        <f>COUNTIFS(tblDeaths[Month],7,tblDeaths[AgeUnit],"Years",tblDeaths[Age],"&gt;="&amp;5,tblDeaths[Age],"&lt;="&amp;9,tblDeaths[Sex],"M",tblDeaths[NHIS],"Non-Insured")</f>
        <v/>
      </c>
      <c r="AU7" s="12">
        <f>COUNTIFS(tblDeaths[Month],7,tblDeaths[AgeUnit],"Years",tblDeaths[Age],"&gt;="&amp;5,tblDeaths[Age],"&lt;="&amp;9,tblDeaths[Sex],"F",tblDeaths[NHIS],"Non-Insured")</f>
        <v/>
      </c>
      <c r="AV7" s="12">
        <f>COUNTIFS(tblDeaths[Month],7,tblDeaths[AgeUnit],"Years",tblDeaths[Age],"&gt;="&amp;5,tblDeaths[Age],"&lt;="&amp;9,tblDeaths[Sex],"M",tblDeaths[NHIS],"Insured")</f>
        <v/>
      </c>
      <c r="AW7" s="12">
        <f>COUNTIFS(tblDeaths[Month],7,tblDeaths[AgeUnit],"Years",tblDeaths[Age],"&gt;="&amp;5,tblDeaths[Age],"&lt;="&amp;9,tblDeaths[Sex],"F",tblDeaths[NHIS],"Insured")</f>
        <v/>
      </c>
      <c r="AX7" s="12" t="inlineStr">
        <is>
          <t>5-9</t>
        </is>
      </c>
      <c r="AY7" s="12">
        <f>COUNTIFS(tblDeaths[Month],8,tblDeaths[AgeUnit],"Years",tblDeaths[Age],"&gt;="&amp;5,tblDeaths[Age],"&lt;="&amp;9,tblDeaths[Sex],"M")</f>
        <v/>
      </c>
      <c r="AZ7" s="12">
        <f>COUNTIFS(tblDeaths[Month],8,tblDeaths[AgeUnit],"Years",tblDeaths[Age],"&gt;="&amp;5,tblDeaths[Age],"&lt;="&amp;9,tblDeaths[Sex],"F")</f>
        <v/>
      </c>
      <c r="BA7" s="12">
        <f>COUNTIFS(tblDeaths[Month],8,tblDeaths[AgeUnit],"Years",tblDeaths[Age],"&gt;="&amp;5,tblDeaths[Age],"&lt;="&amp;9,tblDeaths[Sex],"M",tblDeaths[NHIS],"Non-Insured")</f>
        <v/>
      </c>
      <c r="BB7" s="12">
        <f>COUNTIFS(tblDeaths[Month],8,tblDeaths[AgeUnit],"Years",tblDeaths[Age],"&gt;="&amp;5,tblDeaths[Age],"&lt;="&amp;9,tblDeaths[Sex],"F",tblDeaths[NHIS],"Non-Insured")</f>
        <v/>
      </c>
      <c r="BC7" s="12">
        <f>COUNTIFS(tblDeaths[Month],8,tblDeaths[AgeUnit],"Years",tblDeaths[Age],"&gt;="&amp;5,tblDeaths[Age],"&lt;="&amp;9,tblDeaths[Sex],"M",tblDeaths[NHIS],"Insured")</f>
        <v/>
      </c>
      <c r="BD7" s="12">
        <f>COUNTIFS(tblDeaths[Month],8,tblDeaths[AgeUnit],"Years",tblDeaths[Age],"&gt;="&amp;5,tblDeaths[Age],"&lt;="&amp;9,tblDeaths[Sex],"F",tblDeaths[NHIS],"Insured")</f>
        <v/>
      </c>
      <c r="BE7" s="12" t="inlineStr">
        <is>
          <t>5-9</t>
        </is>
      </c>
      <c r="BF7" s="12">
        <f>COUNTIFS(tblDeaths[Month],9,tblDeaths[AgeUnit],"Years",tblDeaths[Age],"&gt;="&amp;5,tblDeaths[Age],"&lt;="&amp;9,tblDeaths[Sex],"M")</f>
        <v/>
      </c>
      <c r="BG7" s="12">
        <f>COUNTIFS(tblDeaths[Month],9,tblDeaths[AgeUnit],"Years",tblDeaths[Age],"&gt;="&amp;5,tblDeaths[Age],"&lt;="&amp;9,tblDeaths[Sex],"F")</f>
        <v/>
      </c>
      <c r="BH7" s="12">
        <f>COUNTIFS(tblDeaths[Month],9,tblDeaths[AgeUnit],"Years",tblDeaths[Age],"&gt;="&amp;5,tblDeaths[Age],"&lt;="&amp;9,tblDeaths[Sex],"M",tblDeaths[NHIS],"Non-Insured")</f>
        <v/>
      </c>
      <c r="BI7" s="12">
        <f>COUNTIFS(tblDeaths[Month],9,tblDeaths[AgeUnit],"Years",tblDeaths[Age],"&gt;="&amp;5,tblDeaths[Age],"&lt;="&amp;9,tblDeaths[Sex],"F",tblDeaths[NHIS],"Non-Insured")</f>
        <v/>
      </c>
      <c r="BJ7" s="12">
        <f>COUNTIFS(tblDeaths[Month],9,tblDeaths[AgeUnit],"Years",tblDeaths[Age],"&gt;="&amp;5,tblDeaths[Age],"&lt;="&amp;9,tblDeaths[Sex],"M",tblDeaths[NHIS],"Insured")</f>
        <v/>
      </c>
      <c r="BK7" s="12">
        <f>COUNTIFS(tblDeaths[Month],9,tblDeaths[AgeUnit],"Years",tblDeaths[Age],"&gt;="&amp;5,tblDeaths[Age],"&lt;="&amp;9,tblDeaths[Sex],"F",tblDeaths[NHIS],"Insured")</f>
        <v/>
      </c>
      <c r="BL7" s="12" t="inlineStr">
        <is>
          <t>5-9</t>
        </is>
      </c>
      <c r="BM7" s="12">
        <f>COUNTIFS(tblDeaths[Month],10,tblDeaths[AgeUnit],"Years",tblDeaths[Age],"&gt;="&amp;5,tblDeaths[Age],"&lt;="&amp;9,tblDeaths[Sex],"M")</f>
        <v/>
      </c>
      <c r="BN7" s="12">
        <f>COUNTIFS(tblDeaths[Month],10,tblDeaths[AgeUnit],"Years",tblDeaths[Age],"&gt;="&amp;5,tblDeaths[Age],"&lt;="&amp;9,tblDeaths[Sex],"F")</f>
        <v/>
      </c>
      <c r="BO7" s="12">
        <f>COUNTIFS(tblDeaths[Month],10,tblDeaths[AgeUnit],"Years",tblDeaths[Age],"&gt;="&amp;5,tblDeaths[Age],"&lt;="&amp;9,tblDeaths[Sex],"M",tblDeaths[NHIS],"Non-Insured")</f>
        <v/>
      </c>
      <c r="BP7" s="12">
        <f>COUNTIFS(tblDeaths[Month],10,tblDeaths[AgeUnit],"Years",tblDeaths[Age],"&gt;="&amp;5,tblDeaths[Age],"&lt;="&amp;9,tblDeaths[Sex],"F",tblDeaths[NHIS],"Non-Insured")</f>
        <v/>
      </c>
      <c r="BQ7" s="12">
        <f>COUNTIFS(tblDeaths[Month],10,tblDeaths[AgeUnit],"Years",tblDeaths[Age],"&gt;="&amp;5,tblDeaths[Age],"&lt;="&amp;9,tblDeaths[Sex],"M",tblDeaths[NHIS],"Insured")</f>
        <v/>
      </c>
      <c r="BR7" s="12">
        <f>COUNTIFS(tblDeaths[Month],10,tblDeaths[AgeUnit],"Years",tblDeaths[Age],"&gt;="&amp;5,tblDeaths[Age],"&lt;="&amp;9,tblDeaths[Sex],"F",tblDeaths[NHIS],"Insured")</f>
        <v/>
      </c>
      <c r="BS7" s="12" t="inlineStr">
        <is>
          <t>5-9</t>
        </is>
      </c>
      <c r="BT7" s="12">
        <f>COUNTIFS(tblDeaths[Month],11,tblDeaths[AgeUnit],"Years",tblDeaths[Age],"&gt;="&amp;5,tblDeaths[Age],"&lt;="&amp;9,tblDeaths[Sex],"M")</f>
        <v/>
      </c>
      <c r="BU7" s="12">
        <f>COUNTIFS(tblDeaths[Month],11,tblDeaths[AgeUnit],"Years",tblDeaths[Age],"&gt;="&amp;5,tblDeaths[Age],"&lt;="&amp;9,tblDeaths[Sex],"F")</f>
        <v/>
      </c>
      <c r="BV7" s="12">
        <f>COUNTIFS(tblDeaths[Month],11,tblDeaths[AgeUnit],"Years",tblDeaths[Age],"&gt;="&amp;5,tblDeaths[Age],"&lt;="&amp;9,tblDeaths[Sex],"M",tblDeaths[NHIS],"Non-Insured")</f>
        <v/>
      </c>
      <c r="BW7" s="12">
        <f>COUNTIFS(tblDeaths[Month],11,tblDeaths[AgeUnit],"Years",tblDeaths[Age],"&gt;="&amp;5,tblDeaths[Age],"&lt;="&amp;9,tblDeaths[Sex],"F",tblDeaths[NHIS],"Non-Insured")</f>
        <v/>
      </c>
      <c r="BX7" s="12">
        <f>COUNTIFS(tblDeaths[Month],11,tblDeaths[AgeUnit],"Years",tblDeaths[Age],"&gt;="&amp;5,tblDeaths[Age],"&lt;="&amp;9,tblDeaths[Sex],"M",tblDeaths[NHIS],"Insured")</f>
        <v/>
      </c>
      <c r="BY7" s="12">
        <f>COUNTIFS(tblDeaths[Month],11,tblDeaths[AgeUnit],"Years",tblDeaths[Age],"&gt;="&amp;5,tblDeaths[Age],"&lt;="&amp;9,tblDeaths[Sex],"F",tblDeaths[NHIS],"Insured")</f>
        <v/>
      </c>
      <c r="BZ7" s="12" t="inlineStr">
        <is>
          <t>5-9</t>
        </is>
      </c>
      <c r="CA7" s="12">
        <f>COUNTIFS(tblDeaths[Month],12,tblDeaths[AgeUnit],"Years",tblDeaths[Age],"&gt;="&amp;5,tblDeaths[Age],"&lt;="&amp;9,tblDeaths[Sex],"M")</f>
        <v/>
      </c>
      <c r="CB7" s="12">
        <f>COUNTIFS(tblDeaths[Month],12,tblDeaths[AgeUnit],"Years",tblDeaths[Age],"&gt;="&amp;5,tblDeaths[Age],"&lt;="&amp;9,tblDeaths[Sex],"F")</f>
        <v/>
      </c>
      <c r="CC7" s="12">
        <f>COUNTIFS(tblDeaths[Month],12,tblDeaths[AgeUnit],"Years",tblDeaths[Age],"&gt;="&amp;5,tblDeaths[Age],"&lt;="&amp;9,tblDeaths[Sex],"M",tblDeaths[NHIS],"Non-Insured")</f>
        <v/>
      </c>
      <c r="CD7" s="12">
        <f>COUNTIFS(tblDeaths[Month],12,tblDeaths[AgeUnit],"Years",tblDeaths[Age],"&gt;="&amp;5,tblDeaths[Age],"&lt;="&amp;9,tblDeaths[Sex],"F",tblDeaths[NHIS],"Non-Insured")</f>
        <v/>
      </c>
      <c r="CE7" s="12">
        <f>COUNTIFS(tblDeaths[Month],12,tblDeaths[AgeUnit],"Years",tblDeaths[Age],"&gt;="&amp;5,tblDeaths[Age],"&lt;="&amp;9,tblDeaths[Sex],"M",tblDeaths[NHIS],"Insured")</f>
        <v/>
      </c>
      <c r="CF7" s="12">
        <f>COUNTIFS(tblDeaths[Month],12,tblDeaths[AgeUnit],"Years",tblDeaths[Age],"&gt;="&amp;5,tblDeaths[Age],"&lt;="&amp;9,tblDeaths[Sex],"F",tblDeaths[NHIS],"Insured")</f>
        <v/>
      </c>
    </row>
    <row r="8">
      <c r="A8" s="12" t="inlineStr">
        <is>
          <t>10-14</t>
        </is>
      </c>
      <c r="B8" s="12">
        <f>COUNTIFS(tblDeaths[Month],1,tblDeaths[AgeUnit],"Years",tblDeaths[Age],"&gt;="&amp;10,tblDeaths[Age],"&lt;="&amp;14,tblDeaths[Sex],"M")</f>
        <v/>
      </c>
      <c r="C8" s="12">
        <f>COUNTIFS(tblDeaths[Month],1,tblDeaths[AgeUnit],"Years",tblDeaths[Age],"&gt;="&amp;10,tblDeaths[Age],"&lt;="&amp;14,tblDeaths[Sex],"F")</f>
        <v/>
      </c>
      <c r="D8" s="12">
        <f>COUNTIFS(tblDeaths[Month],1,tblDeaths[AgeUnit],"Years",tblDeaths[Age],"&gt;="&amp;10,tblDeaths[Age],"&lt;="&amp;14,tblDeaths[Sex],"M",tblDeaths[NHIS],"Non-Insured")</f>
        <v/>
      </c>
      <c r="E8" s="12">
        <f>COUNTIFS(tblDeaths[Month],1,tblDeaths[AgeUnit],"Years",tblDeaths[Age],"&gt;="&amp;10,tblDeaths[Age],"&lt;="&amp;14,tblDeaths[Sex],"F",tblDeaths[NHIS],"Non-Insured")</f>
        <v/>
      </c>
      <c r="F8" s="12">
        <f>COUNTIFS(tblDeaths[Month],1,tblDeaths[AgeUnit],"Years",tblDeaths[Age],"&gt;="&amp;10,tblDeaths[Age],"&lt;="&amp;14,tblDeaths[Sex],"M",tblDeaths[NHIS],"Insured")</f>
        <v/>
      </c>
      <c r="G8" s="12">
        <f>COUNTIFS(tblDeaths[Month],1,tblDeaths[AgeUnit],"Years",tblDeaths[Age],"&gt;="&amp;10,tblDeaths[Age],"&lt;="&amp;14,tblDeaths[Sex],"F",tblDeaths[NHIS],"Insured")</f>
        <v/>
      </c>
      <c r="H8" s="12" t="inlineStr">
        <is>
          <t>10-14</t>
        </is>
      </c>
      <c r="I8" s="12">
        <f>COUNTIFS(tblDeaths[Month],2,tblDeaths[AgeUnit],"Years",tblDeaths[Age],"&gt;="&amp;10,tblDeaths[Age],"&lt;="&amp;14,tblDeaths[Sex],"M")</f>
        <v/>
      </c>
      <c r="J8" s="12">
        <f>COUNTIFS(tblDeaths[Month],2,tblDeaths[AgeUnit],"Years",tblDeaths[Age],"&gt;="&amp;10,tblDeaths[Age],"&lt;="&amp;14,tblDeaths[Sex],"F")</f>
        <v/>
      </c>
      <c r="K8" s="12">
        <f>COUNTIFS(tblDeaths[Month],2,tblDeaths[AgeUnit],"Years",tblDeaths[Age],"&gt;="&amp;10,tblDeaths[Age],"&lt;="&amp;14,tblDeaths[Sex],"M",tblDeaths[NHIS],"Non-Insured")</f>
        <v/>
      </c>
      <c r="L8" s="12">
        <f>COUNTIFS(tblDeaths[Month],2,tblDeaths[AgeUnit],"Years",tblDeaths[Age],"&gt;="&amp;10,tblDeaths[Age],"&lt;="&amp;14,tblDeaths[Sex],"F",tblDeaths[NHIS],"Non-Insured")</f>
        <v/>
      </c>
      <c r="M8" s="12">
        <f>COUNTIFS(tblDeaths[Month],2,tblDeaths[AgeUnit],"Years",tblDeaths[Age],"&gt;="&amp;10,tblDeaths[Age],"&lt;="&amp;14,tblDeaths[Sex],"M",tblDeaths[NHIS],"Insured")</f>
        <v/>
      </c>
      <c r="N8" s="12">
        <f>COUNTIFS(tblDeaths[Month],2,tblDeaths[AgeUnit],"Years",tblDeaths[Age],"&gt;="&amp;10,tblDeaths[Age],"&lt;="&amp;14,tblDeaths[Sex],"F",tblDeaths[NHIS],"Insured")</f>
        <v/>
      </c>
      <c r="O8" s="12" t="inlineStr">
        <is>
          <t>10-14</t>
        </is>
      </c>
      <c r="P8" s="12">
        <f>COUNTIFS(tblDeaths[Month],3,tblDeaths[AgeUnit],"Years",tblDeaths[Age],"&gt;="&amp;10,tblDeaths[Age],"&lt;="&amp;14,tblDeaths[Sex],"M")</f>
        <v/>
      </c>
      <c r="Q8" s="12">
        <f>COUNTIFS(tblDeaths[Month],3,tblDeaths[AgeUnit],"Years",tblDeaths[Age],"&gt;="&amp;10,tblDeaths[Age],"&lt;="&amp;14,tblDeaths[Sex],"F")</f>
        <v/>
      </c>
      <c r="R8" s="12">
        <f>COUNTIFS(tblDeaths[Month],3,tblDeaths[AgeUnit],"Years",tblDeaths[Age],"&gt;="&amp;10,tblDeaths[Age],"&lt;="&amp;14,tblDeaths[Sex],"M",tblDeaths[NHIS],"Non-Insured")</f>
        <v/>
      </c>
      <c r="S8" s="12">
        <f>COUNTIFS(tblDeaths[Month],3,tblDeaths[AgeUnit],"Years",tblDeaths[Age],"&gt;="&amp;10,tblDeaths[Age],"&lt;="&amp;14,tblDeaths[Sex],"F",tblDeaths[NHIS],"Non-Insured")</f>
        <v/>
      </c>
      <c r="T8" s="12">
        <f>COUNTIFS(tblDeaths[Month],3,tblDeaths[AgeUnit],"Years",tblDeaths[Age],"&gt;="&amp;10,tblDeaths[Age],"&lt;="&amp;14,tblDeaths[Sex],"M",tblDeaths[NHIS],"Insured")</f>
        <v/>
      </c>
      <c r="U8" s="12">
        <f>COUNTIFS(tblDeaths[Month],3,tblDeaths[AgeUnit],"Years",tblDeaths[Age],"&gt;="&amp;10,tblDeaths[Age],"&lt;="&amp;14,tblDeaths[Sex],"F",tblDeaths[NHIS],"Insured")</f>
        <v/>
      </c>
      <c r="V8" s="12" t="inlineStr">
        <is>
          <t>10-14</t>
        </is>
      </c>
      <c r="W8" s="12">
        <f>COUNTIFS(tblDeaths[Month],4,tblDeaths[AgeUnit],"Years",tblDeaths[Age],"&gt;="&amp;10,tblDeaths[Age],"&lt;="&amp;14,tblDeaths[Sex],"M")</f>
        <v/>
      </c>
      <c r="X8" s="12">
        <f>COUNTIFS(tblDeaths[Month],4,tblDeaths[AgeUnit],"Years",tblDeaths[Age],"&gt;="&amp;10,tblDeaths[Age],"&lt;="&amp;14,tblDeaths[Sex],"F")</f>
        <v/>
      </c>
      <c r="Y8" s="12">
        <f>COUNTIFS(tblDeaths[Month],4,tblDeaths[AgeUnit],"Years",tblDeaths[Age],"&gt;="&amp;10,tblDeaths[Age],"&lt;="&amp;14,tblDeaths[Sex],"M",tblDeaths[NHIS],"Non-Insured")</f>
        <v/>
      </c>
      <c r="Z8" s="12">
        <f>COUNTIFS(tblDeaths[Month],4,tblDeaths[AgeUnit],"Years",tblDeaths[Age],"&gt;="&amp;10,tblDeaths[Age],"&lt;="&amp;14,tblDeaths[Sex],"F",tblDeaths[NHIS],"Non-Insured")</f>
        <v/>
      </c>
      <c r="AA8" s="12">
        <f>COUNTIFS(tblDeaths[Month],4,tblDeaths[AgeUnit],"Years",tblDeaths[Age],"&gt;="&amp;10,tblDeaths[Age],"&lt;="&amp;14,tblDeaths[Sex],"M",tblDeaths[NHIS],"Insured")</f>
        <v/>
      </c>
      <c r="AB8" s="12">
        <f>COUNTIFS(tblDeaths[Month],4,tblDeaths[AgeUnit],"Years",tblDeaths[Age],"&gt;="&amp;10,tblDeaths[Age],"&lt;="&amp;14,tblDeaths[Sex],"F",tblDeaths[NHIS],"Insured")</f>
        <v/>
      </c>
      <c r="AC8" s="12" t="inlineStr">
        <is>
          <t>10-14</t>
        </is>
      </c>
      <c r="AD8" s="12">
        <f>COUNTIFS(tblDeaths[Month],5,tblDeaths[AgeUnit],"Years",tblDeaths[Age],"&gt;="&amp;10,tblDeaths[Age],"&lt;="&amp;14,tblDeaths[Sex],"M")</f>
        <v/>
      </c>
      <c r="AE8" s="12">
        <f>COUNTIFS(tblDeaths[Month],5,tblDeaths[AgeUnit],"Years",tblDeaths[Age],"&gt;="&amp;10,tblDeaths[Age],"&lt;="&amp;14,tblDeaths[Sex],"F")</f>
        <v/>
      </c>
      <c r="AF8" s="12">
        <f>COUNTIFS(tblDeaths[Month],5,tblDeaths[AgeUnit],"Years",tblDeaths[Age],"&gt;="&amp;10,tblDeaths[Age],"&lt;="&amp;14,tblDeaths[Sex],"M",tblDeaths[NHIS],"Non-Insured")</f>
        <v/>
      </c>
      <c r="AG8" s="12">
        <f>COUNTIFS(tblDeaths[Month],5,tblDeaths[AgeUnit],"Years",tblDeaths[Age],"&gt;="&amp;10,tblDeaths[Age],"&lt;="&amp;14,tblDeaths[Sex],"F",tblDeaths[NHIS],"Non-Insured")</f>
        <v/>
      </c>
      <c r="AH8" s="12">
        <f>COUNTIFS(tblDeaths[Month],5,tblDeaths[AgeUnit],"Years",tblDeaths[Age],"&gt;="&amp;10,tblDeaths[Age],"&lt;="&amp;14,tblDeaths[Sex],"M",tblDeaths[NHIS],"Insured")</f>
        <v/>
      </c>
      <c r="AI8" s="12">
        <f>COUNTIFS(tblDeaths[Month],5,tblDeaths[AgeUnit],"Years",tblDeaths[Age],"&gt;="&amp;10,tblDeaths[Age],"&lt;="&amp;14,tblDeaths[Sex],"F",tblDeaths[NHIS],"Insured")</f>
        <v/>
      </c>
      <c r="AJ8" s="12" t="inlineStr">
        <is>
          <t>10-14</t>
        </is>
      </c>
      <c r="AK8" s="12">
        <f>COUNTIFS(tblDeaths[Month],6,tblDeaths[AgeUnit],"Years",tblDeaths[Age],"&gt;="&amp;10,tblDeaths[Age],"&lt;="&amp;14,tblDeaths[Sex],"M")</f>
        <v/>
      </c>
      <c r="AL8" s="12">
        <f>COUNTIFS(tblDeaths[Month],6,tblDeaths[AgeUnit],"Years",tblDeaths[Age],"&gt;="&amp;10,tblDeaths[Age],"&lt;="&amp;14,tblDeaths[Sex],"F")</f>
        <v/>
      </c>
      <c r="AM8" s="12">
        <f>COUNTIFS(tblDeaths[Month],6,tblDeaths[AgeUnit],"Years",tblDeaths[Age],"&gt;="&amp;10,tblDeaths[Age],"&lt;="&amp;14,tblDeaths[Sex],"M",tblDeaths[NHIS],"Non-Insured")</f>
        <v/>
      </c>
      <c r="AN8" s="12">
        <f>COUNTIFS(tblDeaths[Month],6,tblDeaths[AgeUnit],"Years",tblDeaths[Age],"&gt;="&amp;10,tblDeaths[Age],"&lt;="&amp;14,tblDeaths[Sex],"F",tblDeaths[NHIS],"Non-Insured")</f>
        <v/>
      </c>
      <c r="AO8" s="12">
        <f>COUNTIFS(tblDeaths[Month],6,tblDeaths[AgeUnit],"Years",tblDeaths[Age],"&gt;="&amp;10,tblDeaths[Age],"&lt;="&amp;14,tblDeaths[Sex],"M",tblDeaths[NHIS],"Insured")</f>
        <v/>
      </c>
      <c r="AP8" s="12">
        <f>COUNTIFS(tblDeaths[Month],6,tblDeaths[AgeUnit],"Years",tblDeaths[Age],"&gt;="&amp;10,tblDeaths[Age],"&lt;="&amp;14,tblDeaths[Sex],"F",tblDeaths[NHIS],"Insured")</f>
        <v/>
      </c>
      <c r="AQ8" s="12" t="inlineStr">
        <is>
          <t>10-14</t>
        </is>
      </c>
      <c r="AR8" s="12">
        <f>COUNTIFS(tblDeaths[Month],7,tblDeaths[AgeUnit],"Years",tblDeaths[Age],"&gt;="&amp;10,tblDeaths[Age],"&lt;="&amp;14,tblDeaths[Sex],"M")</f>
        <v/>
      </c>
      <c r="AS8" s="12">
        <f>COUNTIFS(tblDeaths[Month],7,tblDeaths[AgeUnit],"Years",tblDeaths[Age],"&gt;="&amp;10,tblDeaths[Age],"&lt;="&amp;14,tblDeaths[Sex],"F")</f>
        <v/>
      </c>
      <c r="AT8" s="12">
        <f>COUNTIFS(tblDeaths[Month],7,tblDeaths[AgeUnit],"Years",tblDeaths[Age],"&gt;="&amp;10,tblDeaths[Age],"&lt;="&amp;14,tblDeaths[Sex],"M",tblDeaths[NHIS],"Non-Insured")</f>
        <v/>
      </c>
      <c r="AU8" s="12">
        <f>COUNTIFS(tblDeaths[Month],7,tblDeaths[AgeUnit],"Years",tblDeaths[Age],"&gt;="&amp;10,tblDeaths[Age],"&lt;="&amp;14,tblDeaths[Sex],"F",tblDeaths[NHIS],"Non-Insured")</f>
        <v/>
      </c>
      <c r="AV8" s="12">
        <f>COUNTIFS(tblDeaths[Month],7,tblDeaths[AgeUnit],"Years",tblDeaths[Age],"&gt;="&amp;10,tblDeaths[Age],"&lt;="&amp;14,tblDeaths[Sex],"M",tblDeaths[NHIS],"Insured")</f>
        <v/>
      </c>
      <c r="AW8" s="12">
        <f>COUNTIFS(tblDeaths[Month],7,tblDeaths[AgeUnit],"Years",tblDeaths[Age],"&gt;="&amp;10,tblDeaths[Age],"&lt;="&amp;14,tblDeaths[Sex],"F",tblDeaths[NHIS],"Insured")</f>
        <v/>
      </c>
      <c r="AX8" s="12" t="inlineStr">
        <is>
          <t>10-14</t>
        </is>
      </c>
      <c r="AY8" s="12">
        <f>COUNTIFS(tblDeaths[Month],8,tblDeaths[AgeUnit],"Years",tblDeaths[Age],"&gt;="&amp;10,tblDeaths[Age],"&lt;="&amp;14,tblDeaths[Sex],"M")</f>
        <v/>
      </c>
      <c r="AZ8" s="12">
        <f>COUNTIFS(tblDeaths[Month],8,tblDeaths[AgeUnit],"Years",tblDeaths[Age],"&gt;="&amp;10,tblDeaths[Age],"&lt;="&amp;14,tblDeaths[Sex],"F")</f>
        <v/>
      </c>
      <c r="BA8" s="12">
        <f>COUNTIFS(tblDeaths[Month],8,tblDeaths[AgeUnit],"Years",tblDeaths[Age],"&gt;="&amp;10,tblDeaths[Age],"&lt;="&amp;14,tblDeaths[Sex],"M",tblDeaths[NHIS],"Non-Insured")</f>
        <v/>
      </c>
      <c r="BB8" s="12">
        <f>COUNTIFS(tblDeaths[Month],8,tblDeaths[AgeUnit],"Years",tblDeaths[Age],"&gt;="&amp;10,tblDeaths[Age],"&lt;="&amp;14,tblDeaths[Sex],"F",tblDeaths[NHIS],"Non-Insured")</f>
        <v/>
      </c>
      <c r="BC8" s="12">
        <f>COUNTIFS(tblDeaths[Month],8,tblDeaths[AgeUnit],"Years",tblDeaths[Age],"&gt;="&amp;10,tblDeaths[Age],"&lt;="&amp;14,tblDeaths[Sex],"M",tblDeaths[NHIS],"Insured")</f>
        <v/>
      </c>
      <c r="BD8" s="12">
        <f>COUNTIFS(tblDeaths[Month],8,tblDeaths[AgeUnit],"Years",tblDeaths[Age],"&gt;="&amp;10,tblDeaths[Age],"&lt;="&amp;14,tblDeaths[Sex],"F",tblDeaths[NHIS],"Insured")</f>
        <v/>
      </c>
      <c r="BE8" s="12" t="inlineStr">
        <is>
          <t>10-14</t>
        </is>
      </c>
      <c r="BF8" s="12">
        <f>COUNTIFS(tblDeaths[Month],9,tblDeaths[AgeUnit],"Years",tblDeaths[Age],"&gt;="&amp;10,tblDeaths[Age],"&lt;="&amp;14,tblDeaths[Sex],"M")</f>
        <v/>
      </c>
      <c r="BG8" s="12">
        <f>COUNTIFS(tblDeaths[Month],9,tblDeaths[AgeUnit],"Years",tblDeaths[Age],"&gt;="&amp;10,tblDeaths[Age],"&lt;="&amp;14,tblDeaths[Sex],"F")</f>
        <v/>
      </c>
      <c r="BH8" s="12">
        <f>COUNTIFS(tblDeaths[Month],9,tblDeaths[AgeUnit],"Years",tblDeaths[Age],"&gt;="&amp;10,tblDeaths[Age],"&lt;="&amp;14,tblDeaths[Sex],"M",tblDeaths[NHIS],"Non-Insured")</f>
        <v/>
      </c>
      <c r="BI8" s="12">
        <f>COUNTIFS(tblDeaths[Month],9,tblDeaths[AgeUnit],"Years",tblDeaths[Age],"&gt;="&amp;10,tblDeaths[Age],"&lt;="&amp;14,tblDeaths[Sex],"F",tblDeaths[NHIS],"Non-Insured")</f>
        <v/>
      </c>
      <c r="BJ8" s="12">
        <f>COUNTIFS(tblDeaths[Month],9,tblDeaths[AgeUnit],"Years",tblDeaths[Age],"&gt;="&amp;10,tblDeaths[Age],"&lt;="&amp;14,tblDeaths[Sex],"M",tblDeaths[NHIS],"Insured")</f>
        <v/>
      </c>
      <c r="BK8" s="12">
        <f>COUNTIFS(tblDeaths[Month],9,tblDeaths[AgeUnit],"Years",tblDeaths[Age],"&gt;="&amp;10,tblDeaths[Age],"&lt;="&amp;14,tblDeaths[Sex],"F",tblDeaths[NHIS],"Insured")</f>
        <v/>
      </c>
      <c r="BL8" s="12" t="inlineStr">
        <is>
          <t>10-14</t>
        </is>
      </c>
      <c r="BM8" s="12">
        <f>COUNTIFS(tblDeaths[Month],10,tblDeaths[AgeUnit],"Years",tblDeaths[Age],"&gt;="&amp;10,tblDeaths[Age],"&lt;="&amp;14,tblDeaths[Sex],"M")</f>
        <v/>
      </c>
      <c r="BN8" s="12">
        <f>COUNTIFS(tblDeaths[Month],10,tblDeaths[AgeUnit],"Years",tblDeaths[Age],"&gt;="&amp;10,tblDeaths[Age],"&lt;="&amp;14,tblDeaths[Sex],"F")</f>
        <v/>
      </c>
      <c r="BO8" s="12">
        <f>COUNTIFS(tblDeaths[Month],10,tblDeaths[AgeUnit],"Years",tblDeaths[Age],"&gt;="&amp;10,tblDeaths[Age],"&lt;="&amp;14,tblDeaths[Sex],"M",tblDeaths[NHIS],"Non-Insured")</f>
        <v/>
      </c>
      <c r="BP8" s="12">
        <f>COUNTIFS(tblDeaths[Month],10,tblDeaths[AgeUnit],"Years",tblDeaths[Age],"&gt;="&amp;10,tblDeaths[Age],"&lt;="&amp;14,tblDeaths[Sex],"F",tblDeaths[NHIS],"Non-Insured")</f>
        <v/>
      </c>
      <c r="BQ8" s="12">
        <f>COUNTIFS(tblDeaths[Month],10,tblDeaths[AgeUnit],"Years",tblDeaths[Age],"&gt;="&amp;10,tblDeaths[Age],"&lt;="&amp;14,tblDeaths[Sex],"M",tblDeaths[NHIS],"Insured")</f>
        <v/>
      </c>
      <c r="BR8" s="12">
        <f>COUNTIFS(tblDeaths[Month],10,tblDeaths[AgeUnit],"Years",tblDeaths[Age],"&gt;="&amp;10,tblDeaths[Age],"&lt;="&amp;14,tblDeaths[Sex],"F",tblDeaths[NHIS],"Insured")</f>
        <v/>
      </c>
      <c r="BS8" s="12" t="inlineStr">
        <is>
          <t>10-14</t>
        </is>
      </c>
      <c r="BT8" s="12">
        <f>COUNTIFS(tblDeaths[Month],11,tblDeaths[AgeUnit],"Years",tblDeaths[Age],"&gt;="&amp;10,tblDeaths[Age],"&lt;="&amp;14,tblDeaths[Sex],"M")</f>
        <v/>
      </c>
      <c r="BU8" s="12">
        <f>COUNTIFS(tblDeaths[Month],11,tblDeaths[AgeUnit],"Years",tblDeaths[Age],"&gt;="&amp;10,tblDeaths[Age],"&lt;="&amp;14,tblDeaths[Sex],"F")</f>
        <v/>
      </c>
      <c r="BV8" s="12">
        <f>COUNTIFS(tblDeaths[Month],11,tblDeaths[AgeUnit],"Years",tblDeaths[Age],"&gt;="&amp;10,tblDeaths[Age],"&lt;="&amp;14,tblDeaths[Sex],"M",tblDeaths[NHIS],"Non-Insured")</f>
        <v/>
      </c>
      <c r="BW8" s="12">
        <f>COUNTIFS(tblDeaths[Month],11,tblDeaths[AgeUnit],"Years",tblDeaths[Age],"&gt;="&amp;10,tblDeaths[Age],"&lt;="&amp;14,tblDeaths[Sex],"F",tblDeaths[NHIS],"Non-Insured")</f>
        <v/>
      </c>
      <c r="BX8" s="12">
        <f>COUNTIFS(tblDeaths[Month],11,tblDeaths[AgeUnit],"Years",tblDeaths[Age],"&gt;="&amp;10,tblDeaths[Age],"&lt;="&amp;14,tblDeaths[Sex],"M",tblDeaths[NHIS],"Insured")</f>
        <v/>
      </c>
      <c r="BY8" s="12">
        <f>COUNTIFS(tblDeaths[Month],11,tblDeaths[AgeUnit],"Years",tblDeaths[Age],"&gt;="&amp;10,tblDeaths[Age],"&lt;="&amp;14,tblDeaths[Sex],"F",tblDeaths[NHIS],"Insured")</f>
        <v/>
      </c>
      <c r="BZ8" s="12" t="inlineStr">
        <is>
          <t>10-14</t>
        </is>
      </c>
      <c r="CA8" s="12">
        <f>COUNTIFS(tblDeaths[Month],12,tblDeaths[AgeUnit],"Years",tblDeaths[Age],"&gt;="&amp;10,tblDeaths[Age],"&lt;="&amp;14,tblDeaths[Sex],"M")</f>
        <v/>
      </c>
      <c r="CB8" s="12">
        <f>COUNTIFS(tblDeaths[Month],12,tblDeaths[AgeUnit],"Years",tblDeaths[Age],"&gt;="&amp;10,tblDeaths[Age],"&lt;="&amp;14,tblDeaths[Sex],"F")</f>
        <v/>
      </c>
      <c r="CC8" s="12">
        <f>COUNTIFS(tblDeaths[Month],12,tblDeaths[AgeUnit],"Years",tblDeaths[Age],"&gt;="&amp;10,tblDeaths[Age],"&lt;="&amp;14,tblDeaths[Sex],"M",tblDeaths[NHIS],"Non-Insured")</f>
        <v/>
      </c>
      <c r="CD8" s="12">
        <f>COUNTIFS(tblDeaths[Month],12,tblDeaths[AgeUnit],"Years",tblDeaths[Age],"&gt;="&amp;10,tblDeaths[Age],"&lt;="&amp;14,tblDeaths[Sex],"F",tblDeaths[NHIS],"Non-Insured")</f>
        <v/>
      </c>
      <c r="CE8" s="12">
        <f>COUNTIFS(tblDeaths[Month],12,tblDeaths[AgeUnit],"Years",tblDeaths[Age],"&gt;="&amp;10,tblDeaths[Age],"&lt;="&amp;14,tblDeaths[Sex],"M",tblDeaths[NHIS],"Insured")</f>
        <v/>
      </c>
      <c r="CF8" s="12">
        <f>COUNTIFS(tblDeaths[Month],12,tblDeaths[AgeUnit],"Years",tblDeaths[Age],"&gt;="&amp;10,tblDeaths[Age],"&lt;="&amp;14,tblDeaths[Sex],"F",tblDeaths[NHIS],"Insured")</f>
        <v/>
      </c>
    </row>
    <row r="9">
      <c r="A9" s="12" t="inlineStr">
        <is>
          <t>15-17</t>
        </is>
      </c>
      <c r="B9" s="12">
        <f>COUNTIFS(tblDeaths[Month],1,tblDeaths[AgeUnit],"Years",tblDeaths[Age],"&gt;="&amp;15,tblDeaths[Age],"&lt;="&amp;17,tblDeaths[Sex],"M")</f>
        <v/>
      </c>
      <c r="C9" s="12">
        <f>COUNTIFS(tblDeaths[Month],1,tblDeaths[AgeUnit],"Years",tblDeaths[Age],"&gt;="&amp;15,tblDeaths[Age],"&lt;="&amp;17,tblDeaths[Sex],"F")</f>
        <v/>
      </c>
      <c r="D9" s="12">
        <f>COUNTIFS(tblDeaths[Month],1,tblDeaths[AgeUnit],"Years",tblDeaths[Age],"&gt;="&amp;15,tblDeaths[Age],"&lt;="&amp;17,tblDeaths[Sex],"M",tblDeaths[NHIS],"Non-Insured")</f>
        <v/>
      </c>
      <c r="E9" s="12">
        <f>COUNTIFS(tblDeaths[Month],1,tblDeaths[AgeUnit],"Years",tblDeaths[Age],"&gt;="&amp;15,tblDeaths[Age],"&lt;="&amp;17,tblDeaths[Sex],"F",tblDeaths[NHIS],"Non-Insured")</f>
        <v/>
      </c>
      <c r="F9" s="12">
        <f>COUNTIFS(tblDeaths[Month],1,tblDeaths[AgeUnit],"Years",tblDeaths[Age],"&gt;="&amp;15,tblDeaths[Age],"&lt;="&amp;17,tblDeaths[Sex],"M",tblDeaths[NHIS],"Insured")</f>
        <v/>
      </c>
      <c r="G9" s="12">
        <f>COUNTIFS(tblDeaths[Month],1,tblDeaths[AgeUnit],"Years",tblDeaths[Age],"&gt;="&amp;15,tblDeaths[Age],"&lt;="&amp;17,tblDeaths[Sex],"F",tblDeaths[NHIS],"Insured")</f>
        <v/>
      </c>
      <c r="H9" s="12" t="inlineStr">
        <is>
          <t>15-17</t>
        </is>
      </c>
      <c r="I9" s="12">
        <f>COUNTIFS(tblDeaths[Month],2,tblDeaths[AgeUnit],"Years",tblDeaths[Age],"&gt;="&amp;15,tblDeaths[Age],"&lt;="&amp;17,tblDeaths[Sex],"M")</f>
        <v/>
      </c>
      <c r="J9" s="12">
        <f>COUNTIFS(tblDeaths[Month],2,tblDeaths[AgeUnit],"Years",tblDeaths[Age],"&gt;="&amp;15,tblDeaths[Age],"&lt;="&amp;17,tblDeaths[Sex],"F")</f>
        <v/>
      </c>
      <c r="K9" s="12">
        <f>COUNTIFS(tblDeaths[Month],2,tblDeaths[AgeUnit],"Years",tblDeaths[Age],"&gt;="&amp;15,tblDeaths[Age],"&lt;="&amp;17,tblDeaths[Sex],"M",tblDeaths[NHIS],"Non-Insured")</f>
        <v/>
      </c>
      <c r="L9" s="12">
        <f>COUNTIFS(tblDeaths[Month],2,tblDeaths[AgeUnit],"Years",tblDeaths[Age],"&gt;="&amp;15,tblDeaths[Age],"&lt;="&amp;17,tblDeaths[Sex],"F",tblDeaths[NHIS],"Non-Insured")</f>
        <v/>
      </c>
      <c r="M9" s="12">
        <f>COUNTIFS(tblDeaths[Month],2,tblDeaths[AgeUnit],"Years",tblDeaths[Age],"&gt;="&amp;15,tblDeaths[Age],"&lt;="&amp;17,tblDeaths[Sex],"M",tblDeaths[NHIS],"Insured")</f>
        <v/>
      </c>
      <c r="N9" s="12">
        <f>COUNTIFS(tblDeaths[Month],2,tblDeaths[AgeUnit],"Years",tblDeaths[Age],"&gt;="&amp;15,tblDeaths[Age],"&lt;="&amp;17,tblDeaths[Sex],"F",tblDeaths[NHIS],"Insured")</f>
        <v/>
      </c>
      <c r="O9" s="12" t="inlineStr">
        <is>
          <t>15-17</t>
        </is>
      </c>
      <c r="P9" s="12">
        <f>COUNTIFS(tblDeaths[Month],3,tblDeaths[AgeUnit],"Years",tblDeaths[Age],"&gt;="&amp;15,tblDeaths[Age],"&lt;="&amp;17,tblDeaths[Sex],"M")</f>
        <v/>
      </c>
      <c r="Q9" s="12">
        <f>COUNTIFS(tblDeaths[Month],3,tblDeaths[AgeUnit],"Years",tblDeaths[Age],"&gt;="&amp;15,tblDeaths[Age],"&lt;="&amp;17,tblDeaths[Sex],"F")</f>
        <v/>
      </c>
      <c r="R9" s="12">
        <f>COUNTIFS(tblDeaths[Month],3,tblDeaths[AgeUnit],"Years",tblDeaths[Age],"&gt;="&amp;15,tblDeaths[Age],"&lt;="&amp;17,tblDeaths[Sex],"M",tblDeaths[NHIS],"Non-Insured")</f>
        <v/>
      </c>
      <c r="S9" s="12">
        <f>COUNTIFS(tblDeaths[Month],3,tblDeaths[AgeUnit],"Years",tblDeaths[Age],"&gt;="&amp;15,tblDeaths[Age],"&lt;="&amp;17,tblDeaths[Sex],"F",tblDeaths[NHIS],"Non-Insured")</f>
        <v/>
      </c>
      <c r="T9" s="12">
        <f>COUNTIFS(tblDeaths[Month],3,tblDeaths[AgeUnit],"Years",tblDeaths[Age],"&gt;="&amp;15,tblDeaths[Age],"&lt;="&amp;17,tblDeaths[Sex],"M",tblDeaths[NHIS],"Insured")</f>
        <v/>
      </c>
      <c r="U9" s="12">
        <f>COUNTIFS(tblDeaths[Month],3,tblDeaths[AgeUnit],"Years",tblDeaths[Age],"&gt;="&amp;15,tblDeaths[Age],"&lt;="&amp;17,tblDeaths[Sex],"F",tblDeaths[NHIS],"Insured")</f>
        <v/>
      </c>
      <c r="V9" s="12" t="inlineStr">
        <is>
          <t>15-17</t>
        </is>
      </c>
      <c r="W9" s="12">
        <f>COUNTIFS(tblDeaths[Month],4,tblDeaths[AgeUnit],"Years",tblDeaths[Age],"&gt;="&amp;15,tblDeaths[Age],"&lt;="&amp;17,tblDeaths[Sex],"M")</f>
        <v/>
      </c>
      <c r="X9" s="12">
        <f>COUNTIFS(tblDeaths[Month],4,tblDeaths[AgeUnit],"Years",tblDeaths[Age],"&gt;="&amp;15,tblDeaths[Age],"&lt;="&amp;17,tblDeaths[Sex],"F")</f>
        <v/>
      </c>
      <c r="Y9" s="12">
        <f>COUNTIFS(tblDeaths[Month],4,tblDeaths[AgeUnit],"Years",tblDeaths[Age],"&gt;="&amp;15,tblDeaths[Age],"&lt;="&amp;17,tblDeaths[Sex],"M",tblDeaths[NHIS],"Non-Insured")</f>
        <v/>
      </c>
      <c r="Z9" s="12">
        <f>COUNTIFS(tblDeaths[Month],4,tblDeaths[AgeUnit],"Years",tblDeaths[Age],"&gt;="&amp;15,tblDeaths[Age],"&lt;="&amp;17,tblDeaths[Sex],"F",tblDeaths[NHIS],"Non-Insured")</f>
        <v/>
      </c>
      <c r="AA9" s="12">
        <f>COUNTIFS(tblDeaths[Month],4,tblDeaths[AgeUnit],"Years",tblDeaths[Age],"&gt;="&amp;15,tblDeaths[Age],"&lt;="&amp;17,tblDeaths[Sex],"M",tblDeaths[NHIS],"Insured")</f>
        <v/>
      </c>
      <c r="AB9" s="12">
        <f>COUNTIFS(tblDeaths[Month],4,tblDeaths[AgeUnit],"Years",tblDeaths[Age],"&gt;="&amp;15,tblDeaths[Age],"&lt;="&amp;17,tblDeaths[Sex],"F",tblDeaths[NHIS],"Insured")</f>
        <v/>
      </c>
      <c r="AC9" s="12" t="inlineStr">
        <is>
          <t>15-17</t>
        </is>
      </c>
      <c r="AD9" s="12">
        <f>COUNTIFS(tblDeaths[Month],5,tblDeaths[AgeUnit],"Years",tblDeaths[Age],"&gt;="&amp;15,tblDeaths[Age],"&lt;="&amp;17,tblDeaths[Sex],"M")</f>
        <v/>
      </c>
      <c r="AE9" s="12">
        <f>COUNTIFS(tblDeaths[Month],5,tblDeaths[AgeUnit],"Years",tblDeaths[Age],"&gt;="&amp;15,tblDeaths[Age],"&lt;="&amp;17,tblDeaths[Sex],"F")</f>
        <v/>
      </c>
      <c r="AF9" s="12">
        <f>COUNTIFS(tblDeaths[Month],5,tblDeaths[AgeUnit],"Years",tblDeaths[Age],"&gt;="&amp;15,tblDeaths[Age],"&lt;="&amp;17,tblDeaths[Sex],"M",tblDeaths[NHIS],"Non-Insured")</f>
        <v/>
      </c>
      <c r="AG9" s="12">
        <f>COUNTIFS(tblDeaths[Month],5,tblDeaths[AgeUnit],"Years",tblDeaths[Age],"&gt;="&amp;15,tblDeaths[Age],"&lt;="&amp;17,tblDeaths[Sex],"F",tblDeaths[NHIS],"Non-Insured")</f>
        <v/>
      </c>
      <c r="AH9" s="12">
        <f>COUNTIFS(tblDeaths[Month],5,tblDeaths[AgeUnit],"Years",tblDeaths[Age],"&gt;="&amp;15,tblDeaths[Age],"&lt;="&amp;17,tblDeaths[Sex],"M",tblDeaths[NHIS],"Insured")</f>
        <v/>
      </c>
      <c r="AI9" s="12">
        <f>COUNTIFS(tblDeaths[Month],5,tblDeaths[AgeUnit],"Years",tblDeaths[Age],"&gt;="&amp;15,tblDeaths[Age],"&lt;="&amp;17,tblDeaths[Sex],"F",tblDeaths[NHIS],"Insured")</f>
        <v/>
      </c>
      <c r="AJ9" s="12" t="inlineStr">
        <is>
          <t>15-17</t>
        </is>
      </c>
      <c r="AK9" s="12">
        <f>COUNTIFS(tblDeaths[Month],6,tblDeaths[AgeUnit],"Years",tblDeaths[Age],"&gt;="&amp;15,tblDeaths[Age],"&lt;="&amp;17,tblDeaths[Sex],"M")</f>
        <v/>
      </c>
      <c r="AL9" s="12">
        <f>COUNTIFS(tblDeaths[Month],6,tblDeaths[AgeUnit],"Years",tblDeaths[Age],"&gt;="&amp;15,tblDeaths[Age],"&lt;="&amp;17,tblDeaths[Sex],"F")</f>
        <v/>
      </c>
      <c r="AM9" s="12">
        <f>COUNTIFS(tblDeaths[Month],6,tblDeaths[AgeUnit],"Years",tblDeaths[Age],"&gt;="&amp;15,tblDeaths[Age],"&lt;="&amp;17,tblDeaths[Sex],"M",tblDeaths[NHIS],"Non-Insured")</f>
        <v/>
      </c>
      <c r="AN9" s="12">
        <f>COUNTIFS(tblDeaths[Month],6,tblDeaths[AgeUnit],"Years",tblDeaths[Age],"&gt;="&amp;15,tblDeaths[Age],"&lt;="&amp;17,tblDeaths[Sex],"F",tblDeaths[NHIS],"Non-Insured")</f>
        <v/>
      </c>
      <c r="AO9" s="12">
        <f>COUNTIFS(tblDeaths[Month],6,tblDeaths[AgeUnit],"Years",tblDeaths[Age],"&gt;="&amp;15,tblDeaths[Age],"&lt;="&amp;17,tblDeaths[Sex],"M",tblDeaths[NHIS],"Insured")</f>
        <v/>
      </c>
      <c r="AP9" s="12">
        <f>COUNTIFS(tblDeaths[Month],6,tblDeaths[AgeUnit],"Years",tblDeaths[Age],"&gt;="&amp;15,tblDeaths[Age],"&lt;="&amp;17,tblDeaths[Sex],"F",tblDeaths[NHIS],"Insured")</f>
        <v/>
      </c>
      <c r="AQ9" s="12" t="inlineStr">
        <is>
          <t>15-17</t>
        </is>
      </c>
      <c r="AR9" s="12">
        <f>COUNTIFS(tblDeaths[Month],7,tblDeaths[AgeUnit],"Years",tblDeaths[Age],"&gt;="&amp;15,tblDeaths[Age],"&lt;="&amp;17,tblDeaths[Sex],"M")</f>
        <v/>
      </c>
      <c r="AS9" s="12">
        <f>COUNTIFS(tblDeaths[Month],7,tblDeaths[AgeUnit],"Years",tblDeaths[Age],"&gt;="&amp;15,tblDeaths[Age],"&lt;="&amp;17,tblDeaths[Sex],"F")</f>
        <v/>
      </c>
      <c r="AT9" s="12">
        <f>COUNTIFS(tblDeaths[Month],7,tblDeaths[AgeUnit],"Years",tblDeaths[Age],"&gt;="&amp;15,tblDeaths[Age],"&lt;="&amp;17,tblDeaths[Sex],"M",tblDeaths[NHIS],"Non-Insured")</f>
        <v/>
      </c>
      <c r="AU9" s="12">
        <f>COUNTIFS(tblDeaths[Month],7,tblDeaths[AgeUnit],"Years",tblDeaths[Age],"&gt;="&amp;15,tblDeaths[Age],"&lt;="&amp;17,tblDeaths[Sex],"F",tblDeaths[NHIS],"Non-Insured")</f>
        <v/>
      </c>
      <c r="AV9" s="12">
        <f>COUNTIFS(tblDeaths[Month],7,tblDeaths[AgeUnit],"Years",tblDeaths[Age],"&gt;="&amp;15,tblDeaths[Age],"&lt;="&amp;17,tblDeaths[Sex],"M",tblDeaths[NHIS],"Insured")</f>
        <v/>
      </c>
      <c r="AW9" s="12">
        <f>COUNTIFS(tblDeaths[Month],7,tblDeaths[AgeUnit],"Years",tblDeaths[Age],"&gt;="&amp;15,tblDeaths[Age],"&lt;="&amp;17,tblDeaths[Sex],"F",tblDeaths[NHIS],"Insured")</f>
        <v/>
      </c>
      <c r="AX9" s="12" t="inlineStr">
        <is>
          <t>15-17</t>
        </is>
      </c>
      <c r="AY9" s="12">
        <f>COUNTIFS(tblDeaths[Month],8,tblDeaths[AgeUnit],"Years",tblDeaths[Age],"&gt;="&amp;15,tblDeaths[Age],"&lt;="&amp;17,tblDeaths[Sex],"M")</f>
        <v/>
      </c>
      <c r="AZ9" s="12">
        <f>COUNTIFS(tblDeaths[Month],8,tblDeaths[AgeUnit],"Years",tblDeaths[Age],"&gt;="&amp;15,tblDeaths[Age],"&lt;="&amp;17,tblDeaths[Sex],"F")</f>
        <v/>
      </c>
      <c r="BA9" s="12">
        <f>COUNTIFS(tblDeaths[Month],8,tblDeaths[AgeUnit],"Years",tblDeaths[Age],"&gt;="&amp;15,tblDeaths[Age],"&lt;="&amp;17,tblDeaths[Sex],"M",tblDeaths[NHIS],"Non-Insured")</f>
        <v/>
      </c>
      <c r="BB9" s="12">
        <f>COUNTIFS(tblDeaths[Month],8,tblDeaths[AgeUnit],"Years",tblDeaths[Age],"&gt;="&amp;15,tblDeaths[Age],"&lt;="&amp;17,tblDeaths[Sex],"F",tblDeaths[NHIS],"Non-Insured")</f>
        <v/>
      </c>
      <c r="BC9" s="12">
        <f>COUNTIFS(tblDeaths[Month],8,tblDeaths[AgeUnit],"Years",tblDeaths[Age],"&gt;="&amp;15,tblDeaths[Age],"&lt;="&amp;17,tblDeaths[Sex],"M",tblDeaths[NHIS],"Insured")</f>
        <v/>
      </c>
      <c r="BD9" s="12">
        <f>COUNTIFS(tblDeaths[Month],8,tblDeaths[AgeUnit],"Years",tblDeaths[Age],"&gt;="&amp;15,tblDeaths[Age],"&lt;="&amp;17,tblDeaths[Sex],"F",tblDeaths[NHIS],"Insured")</f>
        <v/>
      </c>
      <c r="BE9" s="12" t="inlineStr">
        <is>
          <t>15-17</t>
        </is>
      </c>
      <c r="BF9" s="12">
        <f>COUNTIFS(tblDeaths[Month],9,tblDeaths[AgeUnit],"Years",tblDeaths[Age],"&gt;="&amp;15,tblDeaths[Age],"&lt;="&amp;17,tblDeaths[Sex],"M")</f>
        <v/>
      </c>
      <c r="BG9" s="12">
        <f>COUNTIFS(tblDeaths[Month],9,tblDeaths[AgeUnit],"Years",tblDeaths[Age],"&gt;="&amp;15,tblDeaths[Age],"&lt;="&amp;17,tblDeaths[Sex],"F")</f>
        <v/>
      </c>
      <c r="BH9" s="12">
        <f>COUNTIFS(tblDeaths[Month],9,tblDeaths[AgeUnit],"Years",tblDeaths[Age],"&gt;="&amp;15,tblDeaths[Age],"&lt;="&amp;17,tblDeaths[Sex],"M",tblDeaths[NHIS],"Non-Insured")</f>
        <v/>
      </c>
      <c r="BI9" s="12">
        <f>COUNTIFS(tblDeaths[Month],9,tblDeaths[AgeUnit],"Years",tblDeaths[Age],"&gt;="&amp;15,tblDeaths[Age],"&lt;="&amp;17,tblDeaths[Sex],"F",tblDeaths[NHIS],"Non-Insured")</f>
        <v/>
      </c>
      <c r="BJ9" s="12">
        <f>COUNTIFS(tblDeaths[Month],9,tblDeaths[AgeUnit],"Years",tblDeaths[Age],"&gt;="&amp;15,tblDeaths[Age],"&lt;="&amp;17,tblDeaths[Sex],"M",tblDeaths[NHIS],"Insured")</f>
        <v/>
      </c>
      <c r="BK9" s="12">
        <f>COUNTIFS(tblDeaths[Month],9,tblDeaths[AgeUnit],"Years",tblDeaths[Age],"&gt;="&amp;15,tblDeaths[Age],"&lt;="&amp;17,tblDeaths[Sex],"F",tblDeaths[NHIS],"Insured")</f>
        <v/>
      </c>
      <c r="BL9" s="12" t="inlineStr">
        <is>
          <t>15-17</t>
        </is>
      </c>
      <c r="BM9" s="12">
        <f>COUNTIFS(tblDeaths[Month],10,tblDeaths[AgeUnit],"Years",tblDeaths[Age],"&gt;="&amp;15,tblDeaths[Age],"&lt;="&amp;17,tblDeaths[Sex],"M")</f>
        <v/>
      </c>
      <c r="BN9" s="12">
        <f>COUNTIFS(tblDeaths[Month],10,tblDeaths[AgeUnit],"Years",tblDeaths[Age],"&gt;="&amp;15,tblDeaths[Age],"&lt;="&amp;17,tblDeaths[Sex],"F")</f>
        <v/>
      </c>
      <c r="BO9" s="12">
        <f>COUNTIFS(tblDeaths[Month],10,tblDeaths[AgeUnit],"Years",tblDeaths[Age],"&gt;="&amp;15,tblDeaths[Age],"&lt;="&amp;17,tblDeaths[Sex],"M",tblDeaths[NHIS],"Non-Insured")</f>
        <v/>
      </c>
      <c r="BP9" s="12">
        <f>COUNTIFS(tblDeaths[Month],10,tblDeaths[AgeUnit],"Years",tblDeaths[Age],"&gt;="&amp;15,tblDeaths[Age],"&lt;="&amp;17,tblDeaths[Sex],"F",tblDeaths[NHIS],"Non-Insured")</f>
        <v/>
      </c>
      <c r="BQ9" s="12">
        <f>COUNTIFS(tblDeaths[Month],10,tblDeaths[AgeUnit],"Years",tblDeaths[Age],"&gt;="&amp;15,tblDeaths[Age],"&lt;="&amp;17,tblDeaths[Sex],"M",tblDeaths[NHIS],"Insured")</f>
        <v/>
      </c>
      <c r="BR9" s="12">
        <f>COUNTIFS(tblDeaths[Month],10,tblDeaths[AgeUnit],"Years",tblDeaths[Age],"&gt;="&amp;15,tblDeaths[Age],"&lt;="&amp;17,tblDeaths[Sex],"F",tblDeaths[NHIS],"Insured")</f>
        <v/>
      </c>
      <c r="BS9" s="12" t="inlineStr">
        <is>
          <t>15-17</t>
        </is>
      </c>
      <c r="BT9" s="12">
        <f>COUNTIFS(tblDeaths[Month],11,tblDeaths[AgeUnit],"Years",tblDeaths[Age],"&gt;="&amp;15,tblDeaths[Age],"&lt;="&amp;17,tblDeaths[Sex],"M")</f>
        <v/>
      </c>
      <c r="BU9" s="12">
        <f>COUNTIFS(tblDeaths[Month],11,tblDeaths[AgeUnit],"Years",tblDeaths[Age],"&gt;="&amp;15,tblDeaths[Age],"&lt;="&amp;17,tblDeaths[Sex],"F")</f>
        <v/>
      </c>
      <c r="BV9" s="12">
        <f>COUNTIFS(tblDeaths[Month],11,tblDeaths[AgeUnit],"Years",tblDeaths[Age],"&gt;="&amp;15,tblDeaths[Age],"&lt;="&amp;17,tblDeaths[Sex],"M",tblDeaths[NHIS],"Non-Insured")</f>
        <v/>
      </c>
      <c r="BW9" s="12">
        <f>COUNTIFS(tblDeaths[Month],11,tblDeaths[AgeUnit],"Years",tblDeaths[Age],"&gt;="&amp;15,tblDeaths[Age],"&lt;="&amp;17,tblDeaths[Sex],"F",tblDeaths[NHIS],"Non-Insured")</f>
        <v/>
      </c>
      <c r="BX9" s="12">
        <f>COUNTIFS(tblDeaths[Month],11,tblDeaths[AgeUnit],"Years",tblDeaths[Age],"&gt;="&amp;15,tblDeaths[Age],"&lt;="&amp;17,tblDeaths[Sex],"M",tblDeaths[NHIS],"Insured")</f>
        <v/>
      </c>
      <c r="BY9" s="12">
        <f>COUNTIFS(tblDeaths[Month],11,tblDeaths[AgeUnit],"Years",tblDeaths[Age],"&gt;="&amp;15,tblDeaths[Age],"&lt;="&amp;17,tblDeaths[Sex],"F",tblDeaths[NHIS],"Insured")</f>
        <v/>
      </c>
      <c r="BZ9" s="12" t="inlineStr">
        <is>
          <t>15-17</t>
        </is>
      </c>
      <c r="CA9" s="12">
        <f>COUNTIFS(tblDeaths[Month],12,tblDeaths[AgeUnit],"Years",tblDeaths[Age],"&gt;="&amp;15,tblDeaths[Age],"&lt;="&amp;17,tblDeaths[Sex],"M")</f>
        <v/>
      </c>
      <c r="CB9" s="12">
        <f>COUNTIFS(tblDeaths[Month],12,tblDeaths[AgeUnit],"Years",tblDeaths[Age],"&gt;="&amp;15,tblDeaths[Age],"&lt;="&amp;17,tblDeaths[Sex],"F")</f>
        <v/>
      </c>
      <c r="CC9" s="12">
        <f>COUNTIFS(tblDeaths[Month],12,tblDeaths[AgeUnit],"Years",tblDeaths[Age],"&gt;="&amp;15,tblDeaths[Age],"&lt;="&amp;17,tblDeaths[Sex],"M",tblDeaths[NHIS],"Non-Insured")</f>
        <v/>
      </c>
      <c r="CD9" s="12">
        <f>COUNTIFS(tblDeaths[Month],12,tblDeaths[AgeUnit],"Years",tblDeaths[Age],"&gt;="&amp;15,tblDeaths[Age],"&lt;="&amp;17,tblDeaths[Sex],"F",tblDeaths[NHIS],"Non-Insured")</f>
        <v/>
      </c>
      <c r="CE9" s="12">
        <f>COUNTIFS(tblDeaths[Month],12,tblDeaths[AgeUnit],"Years",tblDeaths[Age],"&gt;="&amp;15,tblDeaths[Age],"&lt;="&amp;17,tblDeaths[Sex],"M",tblDeaths[NHIS],"Insured")</f>
        <v/>
      </c>
      <c r="CF9" s="12">
        <f>COUNTIFS(tblDeaths[Month],12,tblDeaths[AgeUnit],"Years",tblDeaths[Age],"&gt;="&amp;15,tblDeaths[Age],"&lt;="&amp;17,tblDeaths[Sex],"F",tblDeaths[NHIS],"Insured")</f>
        <v/>
      </c>
    </row>
    <row r="10">
      <c r="A10" s="12" t="inlineStr">
        <is>
          <t>18-19</t>
        </is>
      </c>
      <c r="B10" s="12">
        <f>COUNTIFS(tblDeaths[Month],1,tblDeaths[AgeUnit],"Years",tblDeaths[Age],"&gt;="&amp;18,tblDeaths[Age],"&lt;="&amp;19,tblDeaths[Sex],"M")</f>
        <v/>
      </c>
      <c r="C10" s="12">
        <f>COUNTIFS(tblDeaths[Month],1,tblDeaths[AgeUnit],"Years",tblDeaths[Age],"&gt;="&amp;18,tblDeaths[Age],"&lt;="&amp;19,tblDeaths[Sex],"F")</f>
        <v/>
      </c>
      <c r="D10" s="12">
        <f>COUNTIFS(tblDeaths[Month],1,tblDeaths[AgeUnit],"Years",tblDeaths[Age],"&gt;="&amp;18,tblDeaths[Age],"&lt;="&amp;19,tblDeaths[Sex],"M",tblDeaths[NHIS],"Non-Insured")</f>
        <v/>
      </c>
      <c r="E10" s="12">
        <f>COUNTIFS(tblDeaths[Month],1,tblDeaths[AgeUnit],"Years",tblDeaths[Age],"&gt;="&amp;18,tblDeaths[Age],"&lt;="&amp;19,tblDeaths[Sex],"F",tblDeaths[NHIS],"Non-Insured")</f>
        <v/>
      </c>
      <c r="F10" s="12">
        <f>COUNTIFS(tblDeaths[Month],1,tblDeaths[AgeUnit],"Years",tblDeaths[Age],"&gt;="&amp;18,tblDeaths[Age],"&lt;="&amp;19,tblDeaths[Sex],"M",tblDeaths[NHIS],"Insured")</f>
        <v/>
      </c>
      <c r="G10" s="12">
        <f>COUNTIFS(tblDeaths[Month],1,tblDeaths[AgeUnit],"Years",tblDeaths[Age],"&gt;="&amp;18,tblDeaths[Age],"&lt;="&amp;19,tblDeaths[Sex],"F",tblDeaths[NHIS],"Insured")</f>
        <v/>
      </c>
      <c r="H10" s="12" t="inlineStr">
        <is>
          <t>18-19</t>
        </is>
      </c>
      <c r="I10" s="12">
        <f>COUNTIFS(tblDeaths[Month],2,tblDeaths[AgeUnit],"Years",tblDeaths[Age],"&gt;="&amp;18,tblDeaths[Age],"&lt;="&amp;19,tblDeaths[Sex],"M")</f>
        <v/>
      </c>
      <c r="J10" s="12">
        <f>COUNTIFS(tblDeaths[Month],2,tblDeaths[AgeUnit],"Years",tblDeaths[Age],"&gt;="&amp;18,tblDeaths[Age],"&lt;="&amp;19,tblDeaths[Sex],"F")</f>
        <v/>
      </c>
      <c r="K10" s="12">
        <f>COUNTIFS(tblDeaths[Month],2,tblDeaths[AgeUnit],"Years",tblDeaths[Age],"&gt;="&amp;18,tblDeaths[Age],"&lt;="&amp;19,tblDeaths[Sex],"M",tblDeaths[NHIS],"Non-Insured")</f>
        <v/>
      </c>
      <c r="L10" s="12">
        <f>COUNTIFS(tblDeaths[Month],2,tblDeaths[AgeUnit],"Years",tblDeaths[Age],"&gt;="&amp;18,tblDeaths[Age],"&lt;="&amp;19,tblDeaths[Sex],"F",tblDeaths[NHIS],"Non-Insured")</f>
        <v/>
      </c>
      <c r="M10" s="12">
        <f>COUNTIFS(tblDeaths[Month],2,tblDeaths[AgeUnit],"Years",tblDeaths[Age],"&gt;="&amp;18,tblDeaths[Age],"&lt;="&amp;19,tblDeaths[Sex],"M",tblDeaths[NHIS],"Insured")</f>
        <v/>
      </c>
      <c r="N10" s="12">
        <f>COUNTIFS(tblDeaths[Month],2,tblDeaths[AgeUnit],"Years",tblDeaths[Age],"&gt;="&amp;18,tblDeaths[Age],"&lt;="&amp;19,tblDeaths[Sex],"F",tblDeaths[NHIS],"Insured")</f>
        <v/>
      </c>
      <c r="O10" s="12" t="inlineStr">
        <is>
          <t>18-19</t>
        </is>
      </c>
      <c r="P10" s="12">
        <f>COUNTIFS(tblDeaths[Month],3,tblDeaths[AgeUnit],"Years",tblDeaths[Age],"&gt;="&amp;18,tblDeaths[Age],"&lt;="&amp;19,tblDeaths[Sex],"M")</f>
        <v/>
      </c>
      <c r="Q10" s="12">
        <f>COUNTIFS(tblDeaths[Month],3,tblDeaths[AgeUnit],"Years",tblDeaths[Age],"&gt;="&amp;18,tblDeaths[Age],"&lt;="&amp;19,tblDeaths[Sex],"F")</f>
        <v/>
      </c>
      <c r="R10" s="12">
        <f>COUNTIFS(tblDeaths[Month],3,tblDeaths[AgeUnit],"Years",tblDeaths[Age],"&gt;="&amp;18,tblDeaths[Age],"&lt;="&amp;19,tblDeaths[Sex],"M",tblDeaths[NHIS],"Non-Insured")</f>
        <v/>
      </c>
      <c r="S10" s="12">
        <f>COUNTIFS(tblDeaths[Month],3,tblDeaths[AgeUnit],"Years",tblDeaths[Age],"&gt;="&amp;18,tblDeaths[Age],"&lt;="&amp;19,tblDeaths[Sex],"F",tblDeaths[NHIS],"Non-Insured")</f>
        <v/>
      </c>
      <c r="T10" s="12">
        <f>COUNTIFS(tblDeaths[Month],3,tblDeaths[AgeUnit],"Years",tblDeaths[Age],"&gt;="&amp;18,tblDeaths[Age],"&lt;="&amp;19,tblDeaths[Sex],"M",tblDeaths[NHIS],"Insured")</f>
        <v/>
      </c>
      <c r="U10" s="12">
        <f>COUNTIFS(tblDeaths[Month],3,tblDeaths[AgeUnit],"Years",tblDeaths[Age],"&gt;="&amp;18,tblDeaths[Age],"&lt;="&amp;19,tblDeaths[Sex],"F",tblDeaths[NHIS],"Insured")</f>
        <v/>
      </c>
      <c r="V10" s="12" t="inlineStr">
        <is>
          <t>18-19</t>
        </is>
      </c>
      <c r="W10" s="12">
        <f>COUNTIFS(tblDeaths[Month],4,tblDeaths[AgeUnit],"Years",tblDeaths[Age],"&gt;="&amp;18,tblDeaths[Age],"&lt;="&amp;19,tblDeaths[Sex],"M")</f>
        <v/>
      </c>
      <c r="X10" s="12">
        <f>COUNTIFS(tblDeaths[Month],4,tblDeaths[AgeUnit],"Years",tblDeaths[Age],"&gt;="&amp;18,tblDeaths[Age],"&lt;="&amp;19,tblDeaths[Sex],"F")</f>
        <v/>
      </c>
      <c r="Y10" s="12">
        <f>COUNTIFS(tblDeaths[Month],4,tblDeaths[AgeUnit],"Years",tblDeaths[Age],"&gt;="&amp;18,tblDeaths[Age],"&lt;="&amp;19,tblDeaths[Sex],"M",tblDeaths[NHIS],"Non-Insured")</f>
        <v/>
      </c>
      <c r="Z10" s="12">
        <f>COUNTIFS(tblDeaths[Month],4,tblDeaths[AgeUnit],"Years",tblDeaths[Age],"&gt;="&amp;18,tblDeaths[Age],"&lt;="&amp;19,tblDeaths[Sex],"F",tblDeaths[NHIS],"Non-Insured")</f>
        <v/>
      </c>
      <c r="AA10" s="12">
        <f>COUNTIFS(tblDeaths[Month],4,tblDeaths[AgeUnit],"Years",tblDeaths[Age],"&gt;="&amp;18,tblDeaths[Age],"&lt;="&amp;19,tblDeaths[Sex],"M",tblDeaths[NHIS],"Insured")</f>
        <v/>
      </c>
      <c r="AB10" s="12">
        <f>COUNTIFS(tblDeaths[Month],4,tblDeaths[AgeUnit],"Years",tblDeaths[Age],"&gt;="&amp;18,tblDeaths[Age],"&lt;="&amp;19,tblDeaths[Sex],"F",tblDeaths[NHIS],"Insured")</f>
        <v/>
      </c>
      <c r="AC10" s="12" t="inlineStr">
        <is>
          <t>18-19</t>
        </is>
      </c>
      <c r="AD10" s="12">
        <f>COUNTIFS(tblDeaths[Month],5,tblDeaths[AgeUnit],"Years",tblDeaths[Age],"&gt;="&amp;18,tblDeaths[Age],"&lt;="&amp;19,tblDeaths[Sex],"M")</f>
        <v/>
      </c>
      <c r="AE10" s="12">
        <f>COUNTIFS(tblDeaths[Month],5,tblDeaths[AgeUnit],"Years",tblDeaths[Age],"&gt;="&amp;18,tblDeaths[Age],"&lt;="&amp;19,tblDeaths[Sex],"F")</f>
        <v/>
      </c>
      <c r="AF10" s="12">
        <f>COUNTIFS(tblDeaths[Month],5,tblDeaths[AgeUnit],"Years",tblDeaths[Age],"&gt;="&amp;18,tblDeaths[Age],"&lt;="&amp;19,tblDeaths[Sex],"M",tblDeaths[NHIS],"Non-Insured")</f>
        <v/>
      </c>
      <c r="AG10" s="12">
        <f>COUNTIFS(tblDeaths[Month],5,tblDeaths[AgeUnit],"Years",tblDeaths[Age],"&gt;="&amp;18,tblDeaths[Age],"&lt;="&amp;19,tblDeaths[Sex],"F",tblDeaths[NHIS],"Non-Insured")</f>
        <v/>
      </c>
      <c r="AH10" s="12">
        <f>COUNTIFS(tblDeaths[Month],5,tblDeaths[AgeUnit],"Years",tblDeaths[Age],"&gt;="&amp;18,tblDeaths[Age],"&lt;="&amp;19,tblDeaths[Sex],"M",tblDeaths[NHIS],"Insured")</f>
        <v/>
      </c>
      <c r="AI10" s="12">
        <f>COUNTIFS(tblDeaths[Month],5,tblDeaths[AgeUnit],"Years",tblDeaths[Age],"&gt;="&amp;18,tblDeaths[Age],"&lt;="&amp;19,tblDeaths[Sex],"F",tblDeaths[NHIS],"Insured")</f>
        <v/>
      </c>
      <c r="AJ10" s="12" t="inlineStr">
        <is>
          <t>18-19</t>
        </is>
      </c>
      <c r="AK10" s="12">
        <f>COUNTIFS(tblDeaths[Month],6,tblDeaths[AgeUnit],"Years",tblDeaths[Age],"&gt;="&amp;18,tblDeaths[Age],"&lt;="&amp;19,tblDeaths[Sex],"M")</f>
        <v/>
      </c>
      <c r="AL10" s="12">
        <f>COUNTIFS(tblDeaths[Month],6,tblDeaths[AgeUnit],"Years",tblDeaths[Age],"&gt;="&amp;18,tblDeaths[Age],"&lt;="&amp;19,tblDeaths[Sex],"F")</f>
        <v/>
      </c>
      <c r="AM10" s="12">
        <f>COUNTIFS(tblDeaths[Month],6,tblDeaths[AgeUnit],"Years",tblDeaths[Age],"&gt;="&amp;18,tblDeaths[Age],"&lt;="&amp;19,tblDeaths[Sex],"M",tblDeaths[NHIS],"Non-Insured")</f>
        <v/>
      </c>
      <c r="AN10" s="12">
        <f>COUNTIFS(tblDeaths[Month],6,tblDeaths[AgeUnit],"Years",tblDeaths[Age],"&gt;="&amp;18,tblDeaths[Age],"&lt;="&amp;19,tblDeaths[Sex],"F",tblDeaths[NHIS],"Non-Insured")</f>
        <v/>
      </c>
      <c r="AO10" s="12">
        <f>COUNTIFS(tblDeaths[Month],6,tblDeaths[AgeUnit],"Years",tblDeaths[Age],"&gt;="&amp;18,tblDeaths[Age],"&lt;="&amp;19,tblDeaths[Sex],"M",tblDeaths[NHIS],"Insured")</f>
        <v/>
      </c>
      <c r="AP10" s="12">
        <f>COUNTIFS(tblDeaths[Month],6,tblDeaths[AgeUnit],"Years",tblDeaths[Age],"&gt;="&amp;18,tblDeaths[Age],"&lt;="&amp;19,tblDeaths[Sex],"F",tblDeaths[NHIS],"Insured")</f>
        <v/>
      </c>
      <c r="AQ10" s="12" t="inlineStr">
        <is>
          <t>18-19</t>
        </is>
      </c>
      <c r="AR10" s="12">
        <f>COUNTIFS(tblDeaths[Month],7,tblDeaths[AgeUnit],"Years",tblDeaths[Age],"&gt;="&amp;18,tblDeaths[Age],"&lt;="&amp;19,tblDeaths[Sex],"M")</f>
        <v/>
      </c>
      <c r="AS10" s="12">
        <f>COUNTIFS(tblDeaths[Month],7,tblDeaths[AgeUnit],"Years",tblDeaths[Age],"&gt;="&amp;18,tblDeaths[Age],"&lt;="&amp;19,tblDeaths[Sex],"F")</f>
        <v/>
      </c>
      <c r="AT10" s="12">
        <f>COUNTIFS(tblDeaths[Month],7,tblDeaths[AgeUnit],"Years",tblDeaths[Age],"&gt;="&amp;18,tblDeaths[Age],"&lt;="&amp;19,tblDeaths[Sex],"M",tblDeaths[NHIS],"Non-Insured")</f>
        <v/>
      </c>
      <c r="AU10" s="12">
        <f>COUNTIFS(tblDeaths[Month],7,tblDeaths[AgeUnit],"Years",tblDeaths[Age],"&gt;="&amp;18,tblDeaths[Age],"&lt;="&amp;19,tblDeaths[Sex],"F",tblDeaths[NHIS],"Non-Insured")</f>
        <v/>
      </c>
      <c r="AV10" s="12">
        <f>COUNTIFS(tblDeaths[Month],7,tblDeaths[AgeUnit],"Years",tblDeaths[Age],"&gt;="&amp;18,tblDeaths[Age],"&lt;="&amp;19,tblDeaths[Sex],"M",tblDeaths[NHIS],"Insured")</f>
        <v/>
      </c>
      <c r="AW10" s="12">
        <f>COUNTIFS(tblDeaths[Month],7,tblDeaths[AgeUnit],"Years",tblDeaths[Age],"&gt;="&amp;18,tblDeaths[Age],"&lt;="&amp;19,tblDeaths[Sex],"F",tblDeaths[NHIS],"Insured")</f>
        <v/>
      </c>
      <c r="AX10" s="12" t="inlineStr">
        <is>
          <t>18-19</t>
        </is>
      </c>
      <c r="AY10" s="12">
        <f>COUNTIFS(tblDeaths[Month],8,tblDeaths[AgeUnit],"Years",tblDeaths[Age],"&gt;="&amp;18,tblDeaths[Age],"&lt;="&amp;19,tblDeaths[Sex],"M")</f>
        <v/>
      </c>
      <c r="AZ10" s="12">
        <f>COUNTIFS(tblDeaths[Month],8,tblDeaths[AgeUnit],"Years",tblDeaths[Age],"&gt;="&amp;18,tblDeaths[Age],"&lt;="&amp;19,tblDeaths[Sex],"F")</f>
        <v/>
      </c>
      <c r="BA10" s="12">
        <f>COUNTIFS(tblDeaths[Month],8,tblDeaths[AgeUnit],"Years",tblDeaths[Age],"&gt;="&amp;18,tblDeaths[Age],"&lt;="&amp;19,tblDeaths[Sex],"M",tblDeaths[NHIS],"Non-Insured")</f>
        <v/>
      </c>
      <c r="BB10" s="12">
        <f>COUNTIFS(tblDeaths[Month],8,tblDeaths[AgeUnit],"Years",tblDeaths[Age],"&gt;="&amp;18,tblDeaths[Age],"&lt;="&amp;19,tblDeaths[Sex],"F",tblDeaths[NHIS],"Non-Insured")</f>
        <v/>
      </c>
      <c r="BC10" s="12">
        <f>COUNTIFS(tblDeaths[Month],8,tblDeaths[AgeUnit],"Years",tblDeaths[Age],"&gt;="&amp;18,tblDeaths[Age],"&lt;="&amp;19,tblDeaths[Sex],"M",tblDeaths[NHIS],"Insured")</f>
        <v/>
      </c>
      <c r="BD10" s="12">
        <f>COUNTIFS(tblDeaths[Month],8,tblDeaths[AgeUnit],"Years",tblDeaths[Age],"&gt;="&amp;18,tblDeaths[Age],"&lt;="&amp;19,tblDeaths[Sex],"F",tblDeaths[NHIS],"Insured")</f>
        <v/>
      </c>
      <c r="BE10" s="12" t="inlineStr">
        <is>
          <t>18-19</t>
        </is>
      </c>
      <c r="BF10" s="12">
        <f>COUNTIFS(tblDeaths[Month],9,tblDeaths[AgeUnit],"Years",tblDeaths[Age],"&gt;="&amp;18,tblDeaths[Age],"&lt;="&amp;19,tblDeaths[Sex],"M")</f>
        <v/>
      </c>
      <c r="BG10" s="12">
        <f>COUNTIFS(tblDeaths[Month],9,tblDeaths[AgeUnit],"Years",tblDeaths[Age],"&gt;="&amp;18,tblDeaths[Age],"&lt;="&amp;19,tblDeaths[Sex],"F")</f>
        <v/>
      </c>
      <c r="BH10" s="12">
        <f>COUNTIFS(tblDeaths[Month],9,tblDeaths[AgeUnit],"Years",tblDeaths[Age],"&gt;="&amp;18,tblDeaths[Age],"&lt;="&amp;19,tblDeaths[Sex],"M",tblDeaths[NHIS],"Non-Insured")</f>
        <v/>
      </c>
      <c r="BI10" s="12">
        <f>COUNTIFS(tblDeaths[Month],9,tblDeaths[AgeUnit],"Years",tblDeaths[Age],"&gt;="&amp;18,tblDeaths[Age],"&lt;="&amp;19,tblDeaths[Sex],"F",tblDeaths[NHIS],"Non-Insured")</f>
        <v/>
      </c>
      <c r="BJ10" s="12">
        <f>COUNTIFS(tblDeaths[Month],9,tblDeaths[AgeUnit],"Years",tblDeaths[Age],"&gt;="&amp;18,tblDeaths[Age],"&lt;="&amp;19,tblDeaths[Sex],"M",tblDeaths[NHIS],"Insured")</f>
        <v/>
      </c>
      <c r="BK10" s="12">
        <f>COUNTIFS(tblDeaths[Month],9,tblDeaths[AgeUnit],"Years",tblDeaths[Age],"&gt;="&amp;18,tblDeaths[Age],"&lt;="&amp;19,tblDeaths[Sex],"F",tblDeaths[NHIS],"Insured")</f>
        <v/>
      </c>
      <c r="BL10" s="12" t="inlineStr">
        <is>
          <t>18-19</t>
        </is>
      </c>
      <c r="BM10" s="12">
        <f>COUNTIFS(tblDeaths[Month],10,tblDeaths[AgeUnit],"Years",tblDeaths[Age],"&gt;="&amp;18,tblDeaths[Age],"&lt;="&amp;19,tblDeaths[Sex],"M")</f>
        <v/>
      </c>
      <c r="BN10" s="12">
        <f>COUNTIFS(tblDeaths[Month],10,tblDeaths[AgeUnit],"Years",tblDeaths[Age],"&gt;="&amp;18,tblDeaths[Age],"&lt;="&amp;19,tblDeaths[Sex],"F")</f>
        <v/>
      </c>
      <c r="BO10" s="12">
        <f>COUNTIFS(tblDeaths[Month],10,tblDeaths[AgeUnit],"Years",tblDeaths[Age],"&gt;="&amp;18,tblDeaths[Age],"&lt;="&amp;19,tblDeaths[Sex],"M",tblDeaths[NHIS],"Non-Insured")</f>
        <v/>
      </c>
      <c r="BP10" s="12">
        <f>COUNTIFS(tblDeaths[Month],10,tblDeaths[AgeUnit],"Years",tblDeaths[Age],"&gt;="&amp;18,tblDeaths[Age],"&lt;="&amp;19,tblDeaths[Sex],"F",tblDeaths[NHIS],"Non-Insured")</f>
        <v/>
      </c>
      <c r="BQ10" s="12">
        <f>COUNTIFS(tblDeaths[Month],10,tblDeaths[AgeUnit],"Years",tblDeaths[Age],"&gt;="&amp;18,tblDeaths[Age],"&lt;="&amp;19,tblDeaths[Sex],"M",tblDeaths[NHIS],"Insured")</f>
        <v/>
      </c>
      <c r="BR10" s="12">
        <f>COUNTIFS(tblDeaths[Month],10,tblDeaths[AgeUnit],"Years",tblDeaths[Age],"&gt;="&amp;18,tblDeaths[Age],"&lt;="&amp;19,tblDeaths[Sex],"F",tblDeaths[NHIS],"Insured")</f>
        <v/>
      </c>
      <c r="BS10" s="12" t="inlineStr">
        <is>
          <t>18-19</t>
        </is>
      </c>
      <c r="BT10" s="12">
        <f>COUNTIFS(tblDeaths[Month],11,tblDeaths[AgeUnit],"Years",tblDeaths[Age],"&gt;="&amp;18,tblDeaths[Age],"&lt;="&amp;19,tblDeaths[Sex],"M")</f>
        <v/>
      </c>
      <c r="BU10" s="12">
        <f>COUNTIFS(tblDeaths[Month],11,tblDeaths[AgeUnit],"Years",tblDeaths[Age],"&gt;="&amp;18,tblDeaths[Age],"&lt;="&amp;19,tblDeaths[Sex],"F")</f>
        <v/>
      </c>
      <c r="BV10" s="12">
        <f>COUNTIFS(tblDeaths[Month],11,tblDeaths[AgeUnit],"Years",tblDeaths[Age],"&gt;="&amp;18,tblDeaths[Age],"&lt;="&amp;19,tblDeaths[Sex],"M",tblDeaths[NHIS],"Non-Insured")</f>
        <v/>
      </c>
      <c r="BW10" s="12">
        <f>COUNTIFS(tblDeaths[Month],11,tblDeaths[AgeUnit],"Years",tblDeaths[Age],"&gt;="&amp;18,tblDeaths[Age],"&lt;="&amp;19,tblDeaths[Sex],"F",tblDeaths[NHIS],"Non-Insured")</f>
        <v/>
      </c>
      <c r="BX10" s="12">
        <f>COUNTIFS(tblDeaths[Month],11,tblDeaths[AgeUnit],"Years",tblDeaths[Age],"&gt;="&amp;18,tblDeaths[Age],"&lt;="&amp;19,tblDeaths[Sex],"M",tblDeaths[NHIS],"Insured")</f>
        <v/>
      </c>
      <c r="BY10" s="12">
        <f>COUNTIFS(tblDeaths[Month],11,tblDeaths[AgeUnit],"Years",tblDeaths[Age],"&gt;="&amp;18,tblDeaths[Age],"&lt;="&amp;19,tblDeaths[Sex],"F",tblDeaths[NHIS],"Insured")</f>
        <v/>
      </c>
      <c r="BZ10" s="12" t="inlineStr">
        <is>
          <t>18-19</t>
        </is>
      </c>
      <c r="CA10" s="12">
        <f>COUNTIFS(tblDeaths[Month],12,tblDeaths[AgeUnit],"Years",tblDeaths[Age],"&gt;="&amp;18,tblDeaths[Age],"&lt;="&amp;19,tblDeaths[Sex],"M")</f>
        <v/>
      </c>
      <c r="CB10" s="12">
        <f>COUNTIFS(tblDeaths[Month],12,tblDeaths[AgeUnit],"Years",tblDeaths[Age],"&gt;="&amp;18,tblDeaths[Age],"&lt;="&amp;19,tblDeaths[Sex],"F")</f>
        <v/>
      </c>
      <c r="CC10" s="12">
        <f>COUNTIFS(tblDeaths[Month],12,tblDeaths[AgeUnit],"Years",tblDeaths[Age],"&gt;="&amp;18,tblDeaths[Age],"&lt;="&amp;19,tblDeaths[Sex],"M",tblDeaths[NHIS],"Non-Insured")</f>
        <v/>
      </c>
      <c r="CD10" s="12">
        <f>COUNTIFS(tblDeaths[Month],12,tblDeaths[AgeUnit],"Years",tblDeaths[Age],"&gt;="&amp;18,tblDeaths[Age],"&lt;="&amp;19,tblDeaths[Sex],"F",tblDeaths[NHIS],"Non-Insured")</f>
        <v/>
      </c>
      <c r="CE10" s="12">
        <f>COUNTIFS(tblDeaths[Month],12,tblDeaths[AgeUnit],"Years",tblDeaths[Age],"&gt;="&amp;18,tblDeaths[Age],"&lt;="&amp;19,tblDeaths[Sex],"M",tblDeaths[NHIS],"Insured")</f>
        <v/>
      </c>
      <c r="CF10" s="12">
        <f>COUNTIFS(tblDeaths[Month],12,tblDeaths[AgeUnit],"Years",tblDeaths[Age],"&gt;="&amp;18,tblDeaths[Age],"&lt;="&amp;19,tblDeaths[Sex],"F",tblDeaths[NHIS],"Insured")</f>
        <v/>
      </c>
    </row>
    <row r="11">
      <c r="A11" s="12" t="inlineStr">
        <is>
          <t>20-34</t>
        </is>
      </c>
      <c r="B11" s="12">
        <f>COUNTIFS(tblDeaths[Month],1,tblDeaths[AgeUnit],"Years",tblDeaths[Age],"&gt;="&amp;20,tblDeaths[Age],"&lt;="&amp;34,tblDeaths[Sex],"M")</f>
        <v/>
      </c>
      <c r="C11" s="12">
        <f>COUNTIFS(tblDeaths[Month],1,tblDeaths[AgeUnit],"Years",tblDeaths[Age],"&gt;="&amp;20,tblDeaths[Age],"&lt;="&amp;34,tblDeaths[Sex],"F")</f>
        <v/>
      </c>
      <c r="D11" s="12">
        <f>COUNTIFS(tblDeaths[Month],1,tblDeaths[AgeUnit],"Years",tblDeaths[Age],"&gt;="&amp;20,tblDeaths[Age],"&lt;="&amp;34,tblDeaths[Sex],"M",tblDeaths[NHIS],"Non-Insured")</f>
        <v/>
      </c>
      <c r="E11" s="12">
        <f>COUNTIFS(tblDeaths[Month],1,tblDeaths[AgeUnit],"Years",tblDeaths[Age],"&gt;="&amp;20,tblDeaths[Age],"&lt;="&amp;34,tblDeaths[Sex],"F",tblDeaths[NHIS],"Non-Insured")</f>
        <v/>
      </c>
      <c r="F11" s="12">
        <f>COUNTIFS(tblDeaths[Month],1,tblDeaths[AgeUnit],"Years",tblDeaths[Age],"&gt;="&amp;20,tblDeaths[Age],"&lt;="&amp;34,tblDeaths[Sex],"M",tblDeaths[NHIS],"Insured")</f>
        <v/>
      </c>
      <c r="G11" s="12">
        <f>COUNTIFS(tblDeaths[Month],1,tblDeaths[AgeUnit],"Years",tblDeaths[Age],"&gt;="&amp;20,tblDeaths[Age],"&lt;="&amp;34,tblDeaths[Sex],"F",tblDeaths[NHIS],"Insured")</f>
        <v/>
      </c>
      <c r="H11" s="12" t="inlineStr">
        <is>
          <t>20-34</t>
        </is>
      </c>
      <c r="I11" s="12">
        <f>COUNTIFS(tblDeaths[Month],2,tblDeaths[AgeUnit],"Years",tblDeaths[Age],"&gt;="&amp;20,tblDeaths[Age],"&lt;="&amp;34,tblDeaths[Sex],"M")</f>
        <v/>
      </c>
      <c r="J11" s="12">
        <f>COUNTIFS(tblDeaths[Month],2,tblDeaths[AgeUnit],"Years",tblDeaths[Age],"&gt;="&amp;20,tblDeaths[Age],"&lt;="&amp;34,tblDeaths[Sex],"F")</f>
        <v/>
      </c>
      <c r="K11" s="12">
        <f>COUNTIFS(tblDeaths[Month],2,tblDeaths[AgeUnit],"Years",tblDeaths[Age],"&gt;="&amp;20,tblDeaths[Age],"&lt;="&amp;34,tblDeaths[Sex],"M",tblDeaths[NHIS],"Non-Insured")</f>
        <v/>
      </c>
      <c r="L11" s="12">
        <f>COUNTIFS(tblDeaths[Month],2,tblDeaths[AgeUnit],"Years",tblDeaths[Age],"&gt;="&amp;20,tblDeaths[Age],"&lt;="&amp;34,tblDeaths[Sex],"F",tblDeaths[NHIS],"Non-Insured")</f>
        <v/>
      </c>
      <c r="M11" s="12">
        <f>COUNTIFS(tblDeaths[Month],2,tblDeaths[AgeUnit],"Years",tblDeaths[Age],"&gt;="&amp;20,tblDeaths[Age],"&lt;="&amp;34,tblDeaths[Sex],"M",tblDeaths[NHIS],"Insured")</f>
        <v/>
      </c>
      <c r="N11" s="12">
        <f>COUNTIFS(tblDeaths[Month],2,tblDeaths[AgeUnit],"Years",tblDeaths[Age],"&gt;="&amp;20,tblDeaths[Age],"&lt;="&amp;34,tblDeaths[Sex],"F",tblDeaths[NHIS],"Insured")</f>
        <v/>
      </c>
      <c r="O11" s="12" t="inlineStr">
        <is>
          <t>20-34</t>
        </is>
      </c>
      <c r="P11" s="12">
        <f>COUNTIFS(tblDeaths[Month],3,tblDeaths[AgeUnit],"Years",tblDeaths[Age],"&gt;="&amp;20,tblDeaths[Age],"&lt;="&amp;34,tblDeaths[Sex],"M")</f>
        <v/>
      </c>
      <c r="Q11" s="12">
        <f>COUNTIFS(tblDeaths[Month],3,tblDeaths[AgeUnit],"Years",tblDeaths[Age],"&gt;="&amp;20,tblDeaths[Age],"&lt;="&amp;34,tblDeaths[Sex],"F")</f>
        <v/>
      </c>
      <c r="R11" s="12">
        <f>COUNTIFS(tblDeaths[Month],3,tblDeaths[AgeUnit],"Years",tblDeaths[Age],"&gt;="&amp;20,tblDeaths[Age],"&lt;="&amp;34,tblDeaths[Sex],"M",tblDeaths[NHIS],"Non-Insured")</f>
        <v/>
      </c>
      <c r="S11" s="12">
        <f>COUNTIFS(tblDeaths[Month],3,tblDeaths[AgeUnit],"Years",tblDeaths[Age],"&gt;="&amp;20,tblDeaths[Age],"&lt;="&amp;34,tblDeaths[Sex],"F",tblDeaths[NHIS],"Non-Insured")</f>
        <v/>
      </c>
      <c r="T11" s="12">
        <f>COUNTIFS(tblDeaths[Month],3,tblDeaths[AgeUnit],"Years",tblDeaths[Age],"&gt;="&amp;20,tblDeaths[Age],"&lt;="&amp;34,tblDeaths[Sex],"M",tblDeaths[NHIS],"Insured")</f>
        <v/>
      </c>
      <c r="U11" s="12">
        <f>COUNTIFS(tblDeaths[Month],3,tblDeaths[AgeUnit],"Years",tblDeaths[Age],"&gt;="&amp;20,tblDeaths[Age],"&lt;="&amp;34,tblDeaths[Sex],"F",tblDeaths[NHIS],"Insured")</f>
        <v/>
      </c>
      <c r="V11" s="12" t="inlineStr">
        <is>
          <t>20-34</t>
        </is>
      </c>
      <c r="W11" s="12">
        <f>COUNTIFS(tblDeaths[Month],4,tblDeaths[AgeUnit],"Years",tblDeaths[Age],"&gt;="&amp;20,tblDeaths[Age],"&lt;="&amp;34,tblDeaths[Sex],"M")</f>
        <v/>
      </c>
      <c r="X11" s="12">
        <f>COUNTIFS(tblDeaths[Month],4,tblDeaths[AgeUnit],"Years",tblDeaths[Age],"&gt;="&amp;20,tblDeaths[Age],"&lt;="&amp;34,tblDeaths[Sex],"F")</f>
        <v/>
      </c>
      <c r="Y11" s="12">
        <f>COUNTIFS(tblDeaths[Month],4,tblDeaths[AgeUnit],"Years",tblDeaths[Age],"&gt;="&amp;20,tblDeaths[Age],"&lt;="&amp;34,tblDeaths[Sex],"M",tblDeaths[NHIS],"Non-Insured")</f>
        <v/>
      </c>
      <c r="Z11" s="12">
        <f>COUNTIFS(tblDeaths[Month],4,tblDeaths[AgeUnit],"Years",tblDeaths[Age],"&gt;="&amp;20,tblDeaths[Age],"&lt;="&amp;34,tblDeaths[Sex],"F",tblDeaths[NHIS],"Non-Insured")</f>
        <v/>
      </c>
      <c r="AA11" s="12">
        <f>COUNTIFS(tblDeaths[Month],4,tblDeaths[AgeUnit],"Years",tblDeaths[Age],"&gt;="&amp;20,tblDeaths[Age],"&lt;="&amp;34,tblDeaths[Sex],"M",tblDeaths[NHIS],"Insured")</f>
        <v/>
      </c>
      <c r="AB11" s="12">
        <f>COUNTIFS(tblDeaths[Month],4,tblDeaths[AgeUnit],"Years",tblDeaths[Age],"&gt;="&amp;20,tblDeaths[Age],"&lt;="&amp;34,tblDeaths[Sex],"F",tblDeaths[NHIS],"Insured")</f>
        <v/>
      </c>
      <c r="AC11" s="12" t="inlineStr">
        <is>
          <t>20-34</t>
        </is>
      </c>
      <c r="AD11" s="12">
        <f>COUNTIFS(tblDeaths[Month],5,tblDeaths[AgeUnit],"Years",tblDeaths[Age],"&gt;="&amp;20,tblDeaths[Age],"&lt;="&amp;34,tblDeaths[Sex],"M")</f>
        <v/>
      </c>
      <c r="AE11" s="12">
        <f>COUNTIFS(tblDeaths[Month],5,tblDeaths[AgeUnit],"Years",tblDeaths[Age],"&gt;="&amp;20,tblDeaths[Age],"&lt;="&amp;34,tblDeaths[Sex],"F")</f>
        <v/>
      </c>
      <c r="AF11" s="12">
        <f>COUNTIFS(tblDeaths[Month],5,tblDeaths[AgeUnit],"Years",tblDeaths[Age],"&gt;="&amp;20,tblDeaths[Age],"&lt;="&amp;34,tblDeaths[Sex],"M",tblDeaths[NHIS],"Non-Insured")</f>
        <v/>
      </c>
      <c r="AG11" s="12">
        <f>COUNTIFS(tblDeaths[Month],5,tblDeaths[AgeUnit],"Years",tblDeaths[Age],"&gt;="&amp;20,tblDeaths[Age],"&lt;="&amp;34,tblDeaths[Sex],"F",tblDeaths[NHIS],"Non-Insured")</f>
        <v/>
      </c>
      <c r="AH11" s="12">
        <f>COUNTIFS(tblDeaths[Month],5,tblDeaths[AgeUnit],"Years",tblDeaths[Age],"&gt;="&amp;20,tblDeaths[Age],"&lt;="&amp;34,tblDeaths[Sex],"M",tblDeaths[NHIS],"Insured")</f>
        <v/>
      </c>
      <c r="AI11" s="12">
        <f>COUNTIFS(tblDeaths[Month],5,tblDeaths[AgeUnit],"Years",tblDeaths[Age],"&gt;="&amp;20,tblDeaths[Age],"&lt;="&amp;34,tblDeaths[Sex],"F",tblDeaths[NHIS],"Insured")</f>
        <v/>
      </c>
      <c r="AJ11" s="12" t="inlineStr">
        <is>
          <t>20-34</t>
        </is>
      </c>
      <c r="AK11" s="12">
        <f>COUNTIFS(tblDeaths[Month],6,tblDeaths[AgeUnit],"Years",tblDeaths[Age],"&gt;="&amp;20,tblDeaths[Age],"&lt;="&amp;34,tblDeaths[Sex],"M")</f>
        <v/>
      </c>
      <c r="AL11" s="12">
        <f>COUNTIFS(tblDeaths[Month],6,tblDeaths[AgeUnit],"Years",tblDeaths[Age],"&gt;="&amp;20,tblDeaths[Age],"&lt;="&amp;34,tblDeaths[Sex],"F")</f>
        <v/>
      </c>
      <c r="AM11" s="12">
        <f>COUNTIFS(tblDeaths[Month],6,tblDeaths[AgeUnit],"Years",tblDeaths[Age],"&gt;="&amp;20,tblDeaths[Age],"&lt;="&amp;34,tblDeaths[Sex],"M",tblDeaths[NHIS],"Non-Insured")</f>
        <v/>
      </c>
      <c r="AN11" s="12">
        <f>COUNTIFS(tblDeaths[Month],6,tblDeaths[AgeUnit],"Years",tblDeaths[Age],"&gt;="&amp;20,tblDeaths[Age],"&lt;="&amp;34,tblDeaths[Sex],"F",tblDeaths[NHIS],"Non-Insured")</f>
        <v/>
      </c>
      <c r="AO11" s="12">
        <f>COUNTIFS(tblDeaths[Month],6,tblDeaths[AgeUnit],"Years",tblDeaths[Age],"&gt;="&amp;20,tblDeaths[Age],"&lt;="&amp;34,tblDeaths[Sex],"M",tblDeaths[NHIS],"Insured")</f>
        <v/>
      </c>
      <c r="AP11" s="12">
        <f>COUNTIFS(tblDeaths[Month],6,tblDeaths[AgeUnit],"Years",tblDeaths[Age],"&gt;="&amp;20,tblDeaths[Age],"&lt;="&amp;34,tblDeaths[Sex],"F",tblDeaths[NHIS],"Insured")</f>
        <v/>
      </c>
      <c r="AQ11" s="12" t="inlineStr">
        <is>
          <t>20-34</t>
        </is>
      </c>
      <c r="AR11" s="12">
        <f>COUNTIFS(tblDeaths[Month],7,tblDeaths[AgeUnit],"Years",tblDeaths[Age],"&gt;="&amp;20,tblDeaths[Age],"&lt;="&amp;34,tblDeaths[Sex],"M")</f>
        <v/>
      </c>
      <c r="AS11" s="12">
        <f>COUNTIFS(tblDeaths[Month],7,tblDeaths[AgeUnit],"Years",tblDeaths[Age],"&gt;="&amp;20,tblDeaths[Age],"&lt;="&amp;34,tblDeaths[Sex],"F")</f>
        <v/>
      </c>
      <c r="AT11" s="12">
        <f>COUNTIFS(tblDeaths[Month],7,tblDeaths[AgeUnit],"Years",tblDeaths[Age],"&gt;="&amp;20,tblDeaths[Age],"&lt;="&amp;34,tblDeaths[Sex],"M",tblDeaths[NHIS],"Non-Insured")</f>
        <v/>
      </c>
      <c r="AU11" s="12">
        <f>COUNTIFS(tblDeaths[Month],7,tblDeaths[AgeUnit],"Years",tblDeaths[Age],"&gt;="&amp;20,tblDeaths[Age],"&lt;="&amp;34,tblDeaths[Sex],"F",tblDeaths[NHIS],"Non-Insured")</f>
        <v/>
      </c>
      <c r="AV11" s="12">
        <f>COUNTIFS(tblDeaths[Month],7,tblDeaths[AgeUnit],"Years",tblDeaths[Age],"&gt;="&amp;20,tblDeaths[Age],"&lt;="&amp;34,tblDeaths[Sex],"M",tblDeaths[NHIS],"Insured")</f>
        <v/>
      </c>
      <c r="AW11" s="12">
        <f>COUNTIFS(tblDeaths[Month],7,tblDeaths[AgeUnit],"Years",tblDeaths[Age],"&gt;="&amp;20,tblDeaths[Age],"&lt;="&amp;34,tblDeaths[Sex],"F",tblDeaths[NHIS],"Insured")</f>
        <v/>
      </c>
      <c r="AX11" s="12" t="inlineStr">
        <is>
          <t>20-34</t>
        </is>
      </c>
      <c r="AY11" s="12">
        <f>COUNTIFS(tblDeaths[Month],8,tblDeaths[AgeUnit],"Years",tblDeaths[Age],"&gt;="&amp;20,tblDeaths[Age],"&lt;="&amp;34,tblDeaths[Sex],"M")</f>
        <v/>
      </c>
      <c r="AZ11" s="12">
        <f>COUNTIFS(tblDeaths[Month],8,tblDeaths[AgeUnit],"Years",tblDeaths[Age],"&gt;="&amp;20,tblDeaths[Age],"&lt;="&amp;34,tblDeaths[Sex],"F")</f>
        <v/>
      </c>
      <c r="BA11" s="12">
        <f>COUNTIFS(tblDeaths[Month],8,tblDeaths[AgeUnit],"Years",tblDeaths[Age],"&gt;="&amp;20,tblDeaths[Age],"&lt;="&amp;34,tblDeaths[Sex],"M",tblDeaths[NHIS],"Non-Insured")</f>
        <v/>
      </c>
      <c r="BB11" s="12">
        <f>COUNTIFS(tblDeaths[Month],8,tblDeaths[AgeUnit],"Years",tblDeaths[Age],"&gt;="&amp;20,tblDeaths[Age],"&lt;="&amp;34,tblDeaths[Sex],"F",tblDeaths[NHIS],"Non-Insured")</f>
        <v/>
      </c>
      <c r="BC11" s="12">
        <f>COUNTIFS(tblDeaths[Month],8,tblDeaths[AgeUnit],"Years",tblDeaths[Age],"&gt;="&amp;20,tblDeaths[Age],"&lt;="&amp;34,tblDeaths[Sex],"M",tblDeaths[NHIS],"Insured")</f>
        <v/>
      </c>
      <c r="BD11" s="12">
        <f>COUNTIFS(tblDeaths[Month],8,tblDeaths[AgeUnit],"Years",tblDeaths[Age],"&gt;="&amp;20,tblDeaths[Age],"&lt;="&amp;34,tblDeaths[Sex],"F",tblDeaths[NHIS],"Insured")</f>
        <v/>
      </c>
      <c r="BE11" s="12" t="inlineStr">
        <is>
          <t>20-34</t>
        </is>
      </c>
      <c r="BF11" s="12">
        <f>COUNTIFS(tblDeaths[Month],9,tblDeaths[AgeUnit],"Years",tblDeaths[Age],"&gt;="&amp;20,tblDeaths[Age],"&lt;="&amp;34,tblDeaths[Sex],"M")</f>
        <v/>
      </c>
      <c r="BG11" s="12">
        <f>COUNTIFS(tblDeaths[Month],9,tblDeaths[AgeUnit],"Years",tblDeaths[Age],"&gt;="&amp;20,tblDeaths[Age],"&lt;="&amp;34,tblDeaths[Sex],"F")</f>
        <v/>
      </c>
      <c r="BH11" s="12">
        <f>COUNTIFS(tblDeaths[Month],9,tblDeaths[AgeUnit],"Years",tblDeaths[Age],"&gt;="&amp;20,tblDeaths[Age],"&lt;="&amp;34,tblDeaths[Sex],"M",tblDeaths[NHIS],"Non-Insured")</f>
        <v/>
      </c>
      <c r="BI11" s="12">
        <f>COUNTIFS(tblDeaths[Month],9,tblDeaths[AgeUnit],"Years",tblDeaths[Age],"&gt;="&amp;20,tblDeaths[Age],"&lt;="&amp;34,tblDeaths[Sex],"F",tblDeaths[NHIS],"Non-Insured")</f>
        <v/>
      </c>
      <c r="BJ11" s="12">
        <f>COUNTIFS(tblDeaths[Month],9,tblDeaths[AgeUnit],"Years",tblDeaths[Age],"&gt;="&amp;20,tblDeaths[Age],"&lt;="&amp;34,tblDeaths[Sex],"M",tblDeaths[NHIS],"Insured")</f>
        <v/>
      </c>
      <c r="BK11" s="12">
        <f>COUNTIFS(tblDeaths[Month],9,tblDeaths[AgeUnit],"Years",tblDeaths[Age],"&gt;="&amp;20,tblDeaths[Age],"&lt;="&amp;34,tblDeaths[Sex],"F",tblDeaths[NHIS],"Insured")</f>
        <v/>
      </c>
      <c r="BL11" s="12" t="inlineStr">
        <is>
          <t>20-34</t>
        </is>
      </c>
      <c r="BM11" s="12">
        <f>COUNTIFS(tblDeaths[Month],10,tblDeaths[AgeUnit],"Years",tblDeaths[Age],"&gt;="&amp;20,tblDeaths[Age],"&lt;="&amp;34,tblDeaths[Sex],"M")</f>
        <v/>
      </c>
      <c r="BN11" s="12">
        <f>COUNTIFS(tblDeaths[Month],10,tblDeaths[AgeUnit],"Years",tblDeaths[Age],"&gt;="&amp;20,tblDeaths[Age],"&lt;="&amp;34,tblDeaths[Sex],"F")</f>
        <v/>
      </c>
      <c r="BO11" s="12">
        <f>COUNTIFS(tblDeaths[Month],10,tblDeaths[AgeUnit],"Years",tblDeaths[Age],"&gt;="&amp;20,tblDeaths[Age],"&lt;="&amp;34,tblDeaths[Sex],"M",tblDeaths[NHIS],"Non-Insured")</f>
        <v/>
      </c>
      <c r="BP11" s="12">
        <f>COUNTIFS(tblDeaths[Month],10,tblDeaths[AgeUnit],"Years",tblDeaths[Age],"&gt;="&amp;20,tblDeaths[Age],"&lt;="&amp;34,tblDeaths[Sex],"F",tblDeaths[NHIS],"Non-Insured")</f>
        <v/>
      </c>
      <c r="BQ11" s="12">
        <f>COUNTIFS(tblDeaths[Month],10,tblDeaths[AgeUnit],"Years",tblDeaths[Age],"&gt;="&amp;20,tblDeaths[Age],"&lt;="&amp;34,tblDeaths[Sex],"M",tblDeaths[NHIS],"Insured")</f>
        <v/>
      </c>
      <c r="BR11" s="12">
        <f>COUNTIFS(tblDeaths[Month],10,tblDeaths[AgeUnit],"Years",tblDeaths[Age],"&gt;="&amp;20,tblDeaths[Age],"&lt;="&amp;34,tblDeaths[Sex],"F",tblDeaths[NHIS],"Insured")</f>
        <v/>
      </c>
      <c r="BS11" s="12" t="inlineStr">
        <is>
          <t>20-34</t>
        </is>
      </c>
      <c r="BT11" s="12">
        <f>COUNTIFS(tblDeaths[Month],11,tblDeaths[AgeUnit],"Years",tblDeaths[Age],"&gt;="&amp;20,tblDeaths[Age],"&lt;="&amp;34,tblDeaths[Sex],"M")</f>
        <v/>
      </c>
      <c r="BU11" s="12">
        <f>COUNTIFS(tblDeaths[Month],11,tblDeaths[AgeUnit],"Years",tblDeaths[Age],"&gt;="&amp;20,tblDeaths[Age],"&lt;="&amp;34,tblDeaths[Sex],"F")</f>
        <v/>
      </c>
      <c r="BV11" s="12">
        <f>COUNTIFS(tblDeaths[Month],11,tblDeaths[AgeUnit],"Years",tblDeaths[Age],"&gt;="&amp;20,tblDeaths[Age],"&lt;="&amp;34,tblDeaths[Sex],"M",tblDeaths[NHIS],"Non-Insured")</f>
        <v/>
      </c>
      <c r="BW11" s="12">
        <f>COUNTIFS(tblDeaths[Month],11,tblDeaths[AgeUnit],"Years",tblDeaths[Age],"&gt;="&amp;20,tblDeaths[Age],"&lt;="&amp;34,tblDeaths[Sex],"F",tblDeaths[NHIS],"Non-Insured")</f>
        <v/>
      </c>
      <c r="BX11" s="12">
        <f>COUNTIFS(tblDeaths[Month],11,tblDeaths[AgeUnit],"Years",tblDeaths[Age],"&gt;="&amp;20,tblDeaths[Age],"&lt;="&amp;34,tblDeaths[Sex],"M",tblDeaths[NHIS],"Insured")</f>
        <v/>
      </c>
      <c r="BY11" s="12">
        <f>COUNTIFS(tblDeaths[Month],11,tblDeaths[AgeUnit],"Years",tblDeaths[Age],"&gt;="&amp;20,tblDeaths[Age],"&lt;="&amp;34,tblDeaths[Sex],"F",tblDeaths[NHIS],"Insured")</f>
        <v/>
      </c>
      <c r="BZ11" s="12" t="inlineStr">
        <is>
          <t>20-34</t>
        </is>
      </c>
      <c r="CA11" s="12">
        <f>COUNTIFS(tblDeaths[Month],12,tblDeaths[AgeUnit],"Years",tblDeaths[Age],"&gt;="&amp;20,tblDeaths[Age],"&lt;="&amp;34,tblDeaths[Sex],"M")</f>
        <v/>
      </c>
      <c r="CB11" s="12">
        <f>COUNTIFS(tblDeaths[Month],12,tblDeaths[AgeUnit],"Years",tblDeaths[Age],"&gt;="&amp;20,tblDeaths[Age],"&lt;="&amp;34,tblDeaths[Sex],"F")</f>
        <v/>
      </c>
      <c r="CC11" s="12">
        <f>COUNTIFS(tblDeaths[Month],12,tblDeaths[AgeUnit],"Years",tblDeaths[Age],"&gt;="&amp;20,tblDeaths[Age],"&lt;="&amp;34,tblDeaths[Sex],"M",tblDeaths[NHIS],"Non-Insured")</f>
        <v/>
      </c>
      <c r="CD11" s="12">
        <f>COUNTIFS(tblDeaths[Month],12,tblDeaths[AgeUnit],"Years",tblDeaths[Age],"&gt;="&amp;20,tblDeaths[Age],"&lt;="&amp;34,tblDeaths[Sex],"F",tblDeaths[NHIS],"Non-Insured")</f>
        <v/>
      </c>
      <c r="CE11" s="12">
        <f>COUNTIFS(tblDeaths[Month],12,tblDeaths[AgeUnit],"Years",tblDeaths[Age],"&gt;="&amp;20,tblDeaths[Age],"&lt;="&amp;34,tblDeaths[Sex],"M",tblDeaths[NHIS],"Insured")</f>
        <v/>
      </c>
      <c r="CF11" s="12">
        <f>COUNTIFS(tblDeaths[Month],12,tblDeaths[AgeUnit],"Years",tblDeaths[Age],"&gt;="&amp;20,tblDeaths[Age],"&lt;="&amp;34,tblDeaths[Sex],"F",tblDeaths[NHIS],"Insured")</f>
        <v/>
      </c>
    </row>
    <row r="12">
      <c r="A12" s="12" t="inlineStr">
        <is>
          <t>35-49</t>
        </is>
      </c>
      <c r="B12" s="12">
        <f>COUNTIFS(tblDeaths[Month],1,tblDeaths[AgeUnit],"Years",tblDeaths[Age],"&gt;="&amp;35,tblDeaths[Age],"&lt;="&amp;49,tblDeaths[Sex],"M")</f>
        <v/>
      </c>
      <c r="C12" s="12">
        <f>COUNTIFS(tblDeaths[Month],1,tblDeaths[AgeUnit],"Years",tblDeaths[Age],"&gt;="&amp;35,tblDeaths[Age],"&lt;="&amp;49,tblDeaths[Sex],"F")</f>
        <v/>
      </c>
      <c r="D12" s="12">
        <f>COUNTIFS(tblDeaths[Month],1,tblDeaths[AgeUnit],"Years",tblDeaths[Age],"&gt;="&amp;35,tblDeaths[Age],"&lt;="&amp;49,tblDeaths[Sex],"M",tblDeaths[NHIS],"Non-Insured")</f>
        <v/>
      </c>
      <c r="E12" s="12">
        <f>COUNTIFS(tblDeaths[Month],1,tblDeaths[AgeUnit],"Years",tblDeaths[Age],"&gt;="&amp;35,tblDeaths[Age],"&lt;="&amp;49,tblDeaths[Sex],"F",tblDeaths[NHIS],"Non-Insured")</f>
        <v/>
      </c>
      <c r="F12" s="12">
        <f>COUNTIFS(tblDeaths[Month],1,tblDeaths[AgeUnit],"Years",tblDeaths[Age],"&gt;="&amp;35,tblDeaths[Age],"&lt;="&amp;49,tblDeaths[Sex],"M",tblDeaths[NHIS],"Insured")</f>
        <v/>
      </c>
      <c r="G12" s="12">
        <f>COUNTIFS(tblDeaths[Month],1,tblDeaths[AgeUnit],"Years",tblDeaths[Age],"&gt;="&amp;35,tblDeaths[Age],"&lt;="&amp;49,tblDeaths[Sex],"F",tblDeaths[NHIS],"Insured")</f>
        <v/>
      </c>
      <c r="H12" s="12" t="inlineStr">
        <is>
          <t>35-49</t>
        </is>
      </c>
      <c r="I12" s="12">
        <f>COUNTIFS(tblDeaths[Month],2,tblDeaths[AgeUnit],"Years",tblDeaths[Age],"&gt;="&amp;35,tblDeaths[Age],"&lt;="&amp;49,tblDeaths[Sex],"M")</f>
        <v/>
      </c>
      <c r="J12" s="12">
        <f>COUNTIFS(tblDeaths[Month],2,tblDeaths[AgeUnit],"Years",tblDeaths[Age],"&gt;="&amp;35,tblDeaths[Age],"&lt;="&amp;49,tblDeaths[Sex],"F")</f>
        <v/>
      </c>
      <c r="K12" s="12">
        <f>COUNTIFS(tblDeaths[Month],2,tblDeaths[AgeUnit],"Years",tblDeaths[Age],"&gt;="&amp;35,tblDeaths[Age],"&lt;="&amp;49,tblDeaths[Sex],"M",tblDeaths[NHIS],"Non-Insured")</f>
        <v/>
      </c>
      <c r="L12" s="12">
        <f>COUNTIFS(tblDeaths[Month],2,tblDeaths[AgeUnit],"Years",tblDeaths[Age],"&gt;="&amp;35,tblDeaths[Age],"&lt;="&amp;49,tblDeaths[Sex],"F",tblDeaths[NHIS],"Non-Insured")</f>
        <v/>
      </c>
      <c r="M12" s="12">
        <f>COUNTIFS(tblDeaths[Month],2,tblDeaths[AgeUnit],"Years",tblDeaths[Age],"&gt;="&amp;35,tblDeaths[Age],"&lt;="&amp;49,tblDeaths[Sex],"M",tblDeaths[NHIS],"Insured")</f>
        <v/>
      </c>
      <c r="N12" s="12">
        <f>COUNTIFS(tblDeaths[Month],2,tblDeaths[AgeUnit],"Years",tblDeaths[Age],"&gt;="&amp;35,tblDeaths[Age],"&lt;="&amp;49,tblDeaths[Sex],"F",tblDeaths[NHIS],"Insured")</f>
        <v/>
      </c>
      <c r="O12" s="12" t="inlineStr">
        <is>
          <t>35-49</t>
        </is>
      </c>
      <c r="P12" s="12">
        <f>COUNTIFS(tblDeaths[Month],3,tblDeaths[AgeUnit],"Years",tblDeaths[Age],"&gt;="&amp;35,tblDeaths[Age],"&lt;="&amp;49,tblDeaths[Sex],"M")</f>
        <v/>
      </c>
      <c r="Q12" s="12">
        <f>COUNTIFS(tblDeaths[Month],3,tblDeaths[AgeUnit],"Years",tblDeaths[Age],"&gt;="&amp;35,tblDeaths[Age],"&lt;="&amp;49,tblDeaths[Sex],"F")</f>
        <v/>
      </c>
      <c r="R12" s="12">
        <f>COUNTIFS(tblDeaths[Month],3,tblDeaths[AgeUnit],"Years",tblDeaths[Age],"&gt;="&amp;35,tblDeaths[Age],"&lt;="&amp;49,tblDeaths[Sex],"M",tblDeaths[NHIS],"Non-Insured")</f>
        <v/>
      </c>
      <c r="S12" s="12">
        <f>COUNTIFS(tblDeaths[Month],3,tblDeaths[AgeUnit],"Years",tblDeaths[Age],"&gt;="&amp;35,tblDeaths[Age],"&lt;="&amp;49,tblDeaths[Sex],"F",tblDeaths[NHIS],"Non-Insured")</f>
        <v/>
      </c>
      <c r="T12" s="12">
        <f>COUNTIFS(tblDeaths[Month],3,tblDeaths[AgeUnit],"Years",tblDeaths[Age],"&gt;="&amp;35,tblDeaths[Age],"&lt;="&amp;49,tblDeaths[Sex],"M",tblDeaths[NHIS],"Insured")</f>
        <v/>
      </c>
      <c r="U12" s="12">
        <f>COUNTIFS(tblDeaths[Month],3,tblDeaths[AgeUnit],"Years",tblDeaths[Age],"&gt;="&amp;35,tblDeaths[Age],"&lt;="&amp;49,tblDeaths[Sex],"F",tblDeaths[NHIS],"Insured")</f>
        <v/>
      </c>
      <c r="V12" s="12" t="inlineStr">
        <is>
          <t>35-49</t>
        </is>
      </c>
      <c r="W12" s="12">
        <f>COUNTIFS(tblDeaths[Month],4,tblDeaths[AgeUnit],"Years",tblDeaths[Age],"&gt;="&amp;35,tblDeaths[Age],"&lt;="&amp;49,tblDeaths[Sex],"M")</f>
        <v/>
      </c>
      <c r="X12" s="12">
        <f>COUNTIFS(tblDeaths[Month],4,tblDeaths[AgeUnit],"Years",tblDeaths[Age],"&gt;="&amp;35,tblDeaths[Age],"&lt;="&amp;49,tblDeaths[Sex],"F")</f>
        <v/>
      </c>
      <c r="Y12" s="12">
        <f>COUNTIFS(tblDeaths[Month],4,tblDeaths[AgeUnit],"Years",tblDeaths[Age],"&gt;="&amp;35,tblDeaths[Age],"&lt;="&amp;49,tblDeaths[Sex],"M",tblDeaths[NHIS],"Non-Insured")</f>
        <v/>
      </c>
      <c r="Z12" s="12">
        <f>COUNTIFS(tblDeaths[Month],4,tblDeaths[AgeUnit],"Years",tblDeaths[Age],"&gt;="&amp;35,tblDeaths[Age],"&lt;="&amp;49,tblDeaths[Sex],"F",tblDeaths[NHIS],"Non-Insured")</f>
        <v/>
      </c>
      <c r="AA12" s="12">
        <f>COUNTIFS(tblDeaths[Month],4,tblDeaths[AgeUnit],"Years",tblDeaths[Age],"&gt;="&amp;35,tblDeaths[Age],"&lt;="&amp;49,tblDeaths[Sex],"M",tblDeaths[NHIS],"Insured")</f>
        <v/>
      </c>
      <c r="AB12" s="12">
        <f>COUNTIFS(tblDeaths[Month],4,tblDeaths[AgeUnit],"Years",tblDeaths[Age],"&gt;="&amp;35,tblDeaths[Age],"&lt;="&amp;49,tblDeaths[Sex],"F",tblDeaths[NHIS],"Insured")</f>
        <v/>
      </c>
      <c r="AC12" s="12" t="inlineStr">
        <is>
          <t>35-49</t>
        </is>
      </c>
      <c r="AD12" s="12">
        <f>COUNTIFS(tblDeaths[Month],5,tblDeaths[AgeUnit],"Years",tblDeaths[Age],"&gt;="&amp;35,tblDeaths[Age],"&lt;="&amp;49,tblDeaths[Sex],"M")</f>
        <v/>
      </c>
      <c r="AE12" s="12">
        <f>COUNTIFS(tblDeaths[Month],5,tblDeaths[AgeUnit],"Years",tblDeaths[Age],"&gt;="&amp;35,tblDeaths[Age],"&lt;="&amp;49,tblDeaths[Sex],"F")</f>
        <v/>
      </c>
      <c r="AF12" s="12">
        <f>COUNTIFS(tblDeaths[Month],5,tblDeaths[AgeUnit],"Years",tblDeaths[Age],"&gt;="&amp;35,tblDeaths[Age],"&lt;="&amp;49,tblDeaths[Sex],"M",tblDeaths[NHIS],"Non-Insured")</f>
        <v/>
      </c>
      <c r="AG12" s="12">
        <f>COUNTIFS(tblDeaths[Month],5,tblDeaths[AgeUnit],"Years",tblDeaths[Age],"&gt;="&amp;35,tblDeaths[Age],"&lt;="&amp;49,tblDeaths[Sex],"F",tblDeaths[NHIS],"Non-Insured")</f>
        <v/>
      </c>
      <c r="AH12" s="12">
        <f>COUNTIFS(tblDeaths[Month],5,tblDeaths[AgeUnit],"Years",tblDeaths[Age],"&gt;="&amp;35,tblDeaths[Age],"&lt;="&amp;49,tblDeaths[Sex],"M",tblDeaths[NHIS],"Insured")</f>
        <v/>
      </c>
      <c r="AI12" s="12">
        <f>COUNTIFS(tblDeaths[Month],5,tblDeaths[AgeUnit],"Years",tblDeaths[Age],"&gt;="&amp;35,tblDeaths[Age],"&lt;="&amp;49,tblDeaths[Sex],"F",tblDeaths[NHIS],"Insured")</f>
        <v/>
      </c>
      <c r="AJ12" s="12" t="inlineStr">
        <is>
          <t>35-49</t>
        </is>
      </c>
      <c r="AK12" s="12">
        <f>COUNTIFS(tblDeaths[Month],6,tblDeaths[AgeUnit],"Years",tblDeaths[Age],"&gt;="&amp;35,tblDeaths[Age],"&lt;="&amp;49,tblDeaths[Sex],"M")</f>
        <v/>
      </c>
      <c r="AL12" s="12">
        <f>COUNTIFS(tblDeaths[Month],6,tblDeaths[AgeUnit],"Years",tblDeaths[Age],"&gt;="&amp;35,tblDeaths[Age],"&lt;="&amp;49,tblDeaths[Sex],"F")</f>
        <v/>
      </c>
      <c r="AM12" s="12">
        <f>COUNTIFS(tblDeaths[Month],6,tblDeaths[AgeUnit],"Years",tblDeaths[Age],"&gt;="&amp;35,tblDeaths[Age],"&lt;="&amp;49,tblDeaths[Sex],"M",tblDeaths[NHIS],"Non-Insured")</f>
        <v/>
      </c>
      <c r="AN12" s="12">
        <f>COUNTIFS(tblDeaths[Month],6,tblDeaths[AgeUnit],"Years",tblDeaths[Age],"&gt;="&amp;35,tblDeaths[Age],"&lt;="&amp;49,tblDeaths[Sex],"F",tblDeaths[NHIS],"Non-Insured")</f>
        <v/>
      </c>
      <c r="AO12" s="12">
        <f>COUNTIFS(tblDeaths[Month],6,tblDeaths[AgeUnit],"Years",tblDeaths[Age],"&gt;="&amp;35,tblDeaths[Age],"&lt;="&amp;49,tblDeaths[Sex],"M",tblDeaths[NHIS],"Insured")</f>
        <v/>
      </c>
      <c r="AP12" s="12">
        <f>COUNTIFS(tblDeaths[Month],6,tblDeaths[AgeUnit],"Years",tblDeaths[Age],"&gt;="&amp;35,tblDeaths[Age],"&lt;="&amp;49,tblDeaths[Sex],"F",tblDeaths[NHIS],"Insured")</f>
        <v/>
      </c>
      <c r="AQ12" s="12" t="inlineStr">
        <is>
          <t>35-49</t>
        </is>
      </c>
      <c r="AR12" s="12">
        <f>COUNTIFS(tblDeaths[Month],7,tblDeaths[AgeUnit],"Years",tblDeaths[Age],"&gt;="&amp;35,tblDeaths[Age],"&lt;="&amp;49,tblDeaths[Sex],"M")</f>
        <v/>
      </c>
      <c r="AS12" s="12">
        <f>COUNTIFS(tblDeaths[Month],7,tblDeaths[AgeUnit],"Years",tblDeaths[Age],"&gt;="&amp;35,tblDeaths[Age],"&lt;="&amp;49,tblDeaths[Sex],"F")</f>
        <v/>
      </c>
      <c r="AT12" s="12">
        <f>COUNTIFS(tblDeaths[Month],7,tblDeaths[AgeUnit],"Years",tblDeaths[Age],"&gt;="&amp;35,tblDeaths[Age],"&lt;="&amp;49,tblDeaths[Sex],"M",tblDeaths[NHIS],"Non-Insured")</f>
        <v/>
      </c>
      <c r="AU12" s="12">
        <f>COUNTIFS(tblDeaths[Month],7,tblDeaths[AgeUnit],"Years",tblDeaths[Age],"&gt;="&amp;35,tblDeaths[Age],"&lt;="&amp;49,tblDeaths[Sex],"F",tblDeaths[NHIS],"Non-Insured")</f>
        <v/>
      </c>
      <c r="AV12" s="12">
        <f>COUNTIFS(tblDeaths[Month],7,tblDeaths[AgeUnit],"Years",tblDeaths[Age],"&gt;="&amp;35,tblDeaths[Age],"&lt;="&amp;49,tblDeaths[Sex],"M",tblDeaths[NHIS],"Insured")</f>
        <v/>
      </c>
      <c r="AW12" s="12">
        <f>COUNTIFS(tblDeaths[Month],7,tblDeaths[AgeUnit],"Years",tblDeaths[Age],"&gt;="&amp;35,tblDeaths[Age],"&lt;="&amp;49,tblDeaths[Sex],"F",tblDeaths[NHIS],"Insured")</f>
        <v/>
      </c>
      <c r="AX12" s="12" t="inlineStr">
        <is>
          <t>35-49</t>
        </is>
      </c>
      <c r="AY12" s="12">
        <f>COUNTIFS(tblDeaths[Month],8,tblDeaths[AgeUnit],"Years",tblDeaths[Age],"&gt;="&amp;35,tblDeaths[Age],"&lt;="&amp;49,tblDeaths[Sex],"M")</f>
        <v/>
      </c>
      <c r="AZ12" s="12">
        <f>COUNTIFS(tblDeaths[Month],8,tblDeaths[AgeUnit],"Years",tblDeaths[Age],"&gt;="&amp;35,tblDeaths[Age],"&lt;="&amp;49,tblDeaths[Sex],"F")</f>
        <v/>
      </c>
      <c r="BA12" s="12">
        <f>COUNTIFS(tblDeaths[Month],8,tblDeaths[AgeUnit],"Years",tblDeaths[Age],"&gt;="&amp;35,tblDeaths[Age],"&lt;="&amp;49,tblDeaths[Sex],"M",tblDeaths[NHIS],"Non-Insured")</f>
        <v/>
      </c>
      <c r="BB12" s="12">
        <f>COUNTIFS(tblDeaths[Month],8,tblDeaths[AgeUnit],"Years",tblDeaths[Age],"&gt;="&amp;35,tblDeaths[Age],"&lt;="&amp;49,tblDeaths[Sex],"F",tblDeaths[NHIS],"Non-Insured")</f>
        <v/>
      </c>
      <c r="BC12" s="12">
        <f>COUNTIFS(tblDeaths[Month],8,tblDeaths[AgeUnit],"Years",tblDeaths[Age],"&gt;="&amp;35,tblDeaths[Age],"&lt;="&amp;49,tblDeaths[Sex],"M",tblDeaths[NHIS],"Insured")</f>
        <v/>
      </c>
      <c r="BD12" s="12">
        <f>COUNTIFS(tblDeaths[Month],8,tblDeaths[AgeUnit],"Years",tblDeaths[Age],"&gt;="&amp;35,tblDeaths[Age],"&lt;="&amp;49,tblDeaths[Sex],"F",tblDeaths[NHIS],"Insured")</f>
        <v/>
      </c>
      <c r="BE12" s="12" t="inlineStr">
        <is>
          <t>35-49</t>
        </is>
      </c>
      <c r="BF12" s="12">
        <f>COUNTIFS(tblDeaths[Month],9,tblDeaths[AgeUnit],"Years",tblDeaths[Age],"&gt;="&amp;35,tblDeaths[Age],"&lt;="&amp;49,tblDeaths[Sex],"M")</f>
        <v/>
      </c>
      <c r="BG12" s="12">
        <f>COUNTIFS(tblDeaths[Month],9,tblDeaths[AgeUnit],"Years",tblDeaths[Age],"&gt;="&amp;35,tblDeaths[Age],"&lt;="&amp;49,tblDeaths[Sex],"F")</f>
        <v/>
      </c>
      <c r="BH12" s="12">
        <f>COUNTIFS(tblDeaths[Month],9,tblDeaths[AgeUnit],"Years",tblDeaths[Age],"&gt;="&amp;35,tblDeaths[Age],"&lt;="&amp;49,tblDeaths[Sex],"M",tblDeaths[NHIS],"Non-Insured")</f>
        <v/>
      </c>
      <c r="BI12" s="12">
        <f>COUNTIFS(tblDeaths[Month],9,tblDeaths[AgeUnit],"Years",tblDeaths[Age],"&gt;="&amp;35,tblDeaths[Age],"&lt;="&amp;49,tblDeaths[Sex],"F",tblDeaths[NHIS],"Non-Insured")</f>
        <v/>
      </c>
      <c r="BJ12" s="12">
        <f>COUNTIFS(tblDeaths[Month],9,tblDeaths[AgeUnit],"Years",tblDeaths[Age],"&gt;="&amp;35,tblDeaths[Age],"&lt;="&amp;49,tblDeaths[Sex],"M",tblDeaths[NHIS],"Insured")</f>
        <v/>
      </c>
      <c r="BK12" s="12">
        <f>COUNTIFS(tblDeaths[Month],9,tblDeaths[AgeUnit],"Years",tblDeaths[Age],"&gt;="&amp;35,tblDeaths[Age],"&lt;="&amp;49,tblDeaths[Sex],"F",tblDeaths[NHIS],"Insured")</f>
        <v/>
      </c>
      <c r="BL12" s="12" t="inlineStr">
        <is>
          <t>35-49</t>
        </is>
      </c>
      <c r="BM12" s="12">
        <f>COUNTIFS(tblDeaths[Month],10,tblDeaths[AgeUnit],"Years",tblDeaths[Age],"&gt;="&amp;35,tblDeaths[Age],"&lt;="&amp;49,tblDeaths[Sex],"M")</f>
        <v/>
      </c>
      <c r="BN12" s="12">
        <f>COUNTIFS(tblDeaths[Month],10,tblDeaths[AgeUnit],"Years",tblDeaths[Age],"&gt;="&amp;35,tblDeaths[Age],"&lt;="&amp;49,tblDeaths[Sex],"F")</f>
        <v/>
      </c>
      <c r="BO12" s="12">
        <f>COUNTIFS(tblDeaths[Month],10,tblDeaths[AgeUnit],"Years",tblDeaths[Age],"&gt;="&amp;35,tblDeaths[Age],"&lt;="&amp;49,tblDeaths[Sex],"M",tblDeaths[NHIS],"Non-Insured")</f>
        <v/>
      </c>
      <c r="BP12" s="12">
        <f>COUNTIFS(tblDeaths[Month],10,tblDeaths[AgeUnit],"Years",tblDeaths[Age],"&gt;="&amp;35,tblDeaths[Age],"&lt;="&amp;49,tblDeaths[Sex],"F",tblDeaths[NHIS],"Non-Insured")</f>
        <v/>
      </c>
      <c r="BQ12" s="12">
        <f>COUNTIFS(tblDeaths[Month],10,tblDeaths[AgeUnit],"Years",tblDeaths[Age],"&gt;="&amp;35,tblDeaths[Age],"&lt;="&amp;49,tblDeaths[Sex],"M",tblDeaths[NHIS],"Insured")</f>
        <v/>
      </c>
      <c r="BR12" s="12">
        <f>COUNTIFS(tblDeaths[Month],10,tblDeaths[AgeUnit],"Years",tblDeaths[Age],"&gt;="&amp;35,tblDeaths[Age],"&lt;="&amp;49,tblDeaths[Sex],"F",tblDeaths[NHIS],"Insured")</f>
        <v/>
      </c>
      <c r="BS12" s="12" t="inlineStr">
        <is>
          <t>35-49</t>
        </is>
      </c>
      <c r="BT12" s="12">
        <f>COUNTIFS(tblDeaths[Month],11,tblDeaths[AgeUnit],"Years",tblDeaths[Age],"&gt;="&amp;35,tblDeaths[Age],"&lt;="&amp;49,tblDeaths[Sex],"M")</f>
        <v/>
      </c>
      <c r="BU12" s="12">
        <f>COUNTIFS(tblDeaths[Month],11,tblDeaths[AgeUnit],"Years",tblDeaths[Age],"&gt;="&amp;35,tblDeaths[Age],"&lt;="&amp;49,tblDeaths[Sex],"F")</f>
        <v/>
      </c>
      <c r="BV12" s="12">
        <f>COUNTIFS(tblDeaths[Month],11,tblDeaths[AgeUnit],"Years",tblDeaths[Age],"&gt;="&amp;35,tblDeaths[Age],"&lt;="&amp;49,tblDeaths[Sex],"M",tblDeaths[NHIS],"Non-Insured")</f>
        <v/>
      </c>
      <c r="BW12" s="12">
        <f>COUNTIFS(tblDeaths[Month],11,tblDeaths[AgeUnit],"Years",tblDeaths[Age],"&gt;="&amp;35,tblDeaths[Age],"&lt;="&amp;49,tblDeaths[Sex],"F",tblDeaths[NHIS],"Non-Insured")</f>
        <v/>
      </c>
      <c r="BX12" s="12">
        <f>COUNTIFS(tblDeaths[Month],11,tblDeaths[AgeUnit],"Years",tblDeaths[Age],"&gt;="&amp;35,tblDeaths[Age],"&lt;="&amp;49,tblDeaths[Sex],"M",tblDeaths[NHIS],"Insured")</f>
        <v/>
      </c>
      <c r="BY12" s="12">
        <f>COUNTIFS(tblDeaths[Month],11,tblDeaths[AgeUnit],"Years",tblDeaths[Age],"&gt;="&amp;35,tblDeaths[Age],"&lt;="&amp;49,tblDeaths[Sex],"F",tblDeaths[NHIS],"Insured")</f>
        <v/>
      </c>
      <c r="BZ12" s="12" t="inlineStr">
        <is>
          <t>35-49</t>
        </is>
      </c>
      <c r="CA12" s="12">
        <f>COUNTIFS(tblDeaths[Month],12,tblDeaths[AgeUnit],"Years",tblDeaths[Age],"&gt;="&amp;35,tblDeaths[Age],"&lt;="&amp;49,tblDeaths[Sex],"M")</f>
        <v/>
      </c>
      <c r="CB12" s="12">
        <f>COUNTIFS(tblDeaths[Month],12,tblDeaths[AgeUnit],"Years",tblDeaths[Age],"&gt;="&amp;35,tblDeaths[Age],"&lt;="&amp;49,tblDeaths[Sex],"F")</f>
        <v/>
      </c>
      <c r="CC12" s="12">
        <f>COUNTIFS(tblDeaths[Month],12,tblDeaths[AgeUnit],"Years",tblDeaths[Age],"&gt;="&amp;35,tblDeaths[Age],"&lt;="&amp;49,tblDeaths[Sex],"M",tblDeaths[NHIS],"Non-Insured")</f>
        <v/>
      </c>
      <c r="CD12" s="12">
        <f>COUNTIFS(tblDeaths[Month],12,tblDeaths[AgeUnit],"Years",tblDeaths[Age],"&gt;="&amp;35,tblDeaths[Age],"&lt;="&amp;49,tblDeaths[Sex],"F",tblDeaths[NHIS],"Non-Insured")</f>
        <v/>
      </c>
      <c r="CE12" s="12">
        <f>COUNTIFS(tblDeaths[Month],12,tblDeaths[AgeUnit],"Years",tblDeaths[Age],"&gt;="&amp;35,tblDeaths[Age],"&lt;="&amp;49,tblDeaths[Sex],"M",tblDeaths[NHIS],"Insured")</f>
        <v/>
      </c>
      <c r="CF12" s="12">
        <f>COUNTIFS(tblDeaths[Month],12,tblDeaths[AgeUnit],"Years",tblDeaths[Age],"&gt;="&amp;35,tblDeaths[Age],"&lt;="&amp;49,tblDeaths[Sex],"F",tblDeaths[NHIS],"Insured")</f>
        <v/>
      </c>
    </row>
    <row r="13">
      <c r="A13" s="12" t="inlineStr">
        <is>
          <t>50-59</t>
        </is>
      </c>
      <c r="B13" s="12">
        <f>COUNTIFS(tblDeaths[Month],1,tblDeaths[AgeUnit],"Years",tblDeaths[Age],"&gt;="&amp;50,tblDeaths[Age],"&lt;="&amp;59,tblDeaths[Sex],"M")</f>
        <v/>
      </c>
      <c r="C13" s="12">
        <f>COUNTIFS(tblDeaths[Month],1,tblDeaths[AgeUnit],"Years",tblDeaths[Age],"&gt;="&amp;50,tblDeaths[Age],"&lt;="&amp;59,tblDeaths[Sex],"F")</f>
        <v/>
      </c>
      <c r="D13" s="12">
        <f>COUNTIFS(tblDeaths[Month],1,tblDeaths[AgeUnit],"Years",tblDeaths[Age],"&gt;="&amp;50,tblDeaths[Age],"&lt;="&amp;59,tblDeaths[Sex],"M",tblDeaths[NHIS],"Non-Insured")</f>
        <v/>
      </c>
      <c r="E13" s="12">
        <f>COUNTIFS(tblDeaths[Month],1,tblDeaths[AgeUnit],"Years",tblDeaths[Age],"&gt;="&amp;50,tblDeaths[Age],"&lt;="&amp;59,tblDeaths[Sex],"F",tblDeaths[NHIS],"Non-Insured")</f>
        <v/>
      </c>
      <c r="F13" s="12">
        <f>COUNTIFS(tblDeaths[Month],1,tblDeaths[AgeUnit],"Years",tblDeaths[Age],"&gt;="&amp;50,tblDeaths[Age],"&lt;="&amp;59,tblDeaths[Sex],"M",tblDeaths[NHIS],"Insured")</f>
        <v/>
      </c>
      <c r="G13" s="12">
        <f>COUNTIFS(tblDeaths[Month],1,tblDeaths[AgeUnit],"Years",tblDeaths[Age],"&gt;="&amp;50,tblDeaths[Age],"&lt;="&amp;59,tblDeaths[Sex],"F",tblDeaths[NHIS],"Insured")</f>
        <v/>
      </c>
      <c r="H13" s="12" t="inlineStr">
        <is>
          <t>50-59</t>
        </is>
      </c>
      <c r="I13" s="12">
        <f>COUNTIFS(tblDeaths[Month],2,tblDeaths[AgeUnit],"Years",tblDeaths[Age],"&gt;="&amp;50,tblDeaths[Age],"&lt;="&amp;59,tblDeaths[Sex],"M")</f>
        <v/>
      </c>
      <c r="J13" s="12">
        <f>COUNTIFS(tblDeaths[Month],2,tblDeaths[AgeUnit],"Years",tblDeaths[Age],"&gt;="&amp;50,tblDeaths[Age],"&lt;="&amp;59,tblDeaths[Sex],"F")</f>
        <v/>
      </c>
      <c r="K13" s="12">
        <f>COUNTIFS(tblDeaths[Month],2,tblDeaths[AgeUnit],"Years",tblDeaths[Age],"&gt;="&amp;50,tblDeaths[Age],"&lt;="&amp;59,tblDeaths[Sex],"M",tblDeaths[NHIS],"Non-Insured")</f>
        <v/>
      </c>
      <c r="L13" s="12">
        <f>COUNTIFS(tblDeaths[Month],2,tblDeaths[AgeUnit],"Years",tblDeaths[Age],"&gt;="&amp;50,tblDeaths[Age],"&lt;="&amp;59,tblDeaths[Sex],"F",tblDeaths[NHIS],"Non-Insured")</f>
        <v/>
      </c>
      <c r="M13" s="12">
        <f>COUNTIFS(tblDeaths[Month],2,tblDeaths[AgeUnit],"Years",tblDeaths[Age],"&gt;="&amp;50,tblDeaths[Age],"&lt;="&amp;59,tblDeaths[Sex],"M",tblDeaths[NHIS],"Insured")</f>
        <v/>
      </c>
      <c r="N13" s="12">
        <f>COUNTIFS(tblDeaths[Month],2,tblDeaths[AgeUnit],"Years",tblDeaths[Age],"&gt;="&amp;50,tblDeaths[Age],"&lt;="&amp;59,tblDeaths[Sex],"F",tblDeaths[NHIS],"Insured")</f>
        <v/>
      </c>
      <c r="O13" s="12" t="inlineStr">
        <is>
          <t>50-59</t>
        </is>
      </c>
      <c r="P13" s="12">
        <f>COUNTIFS(tblDeaths[Month],3,tblDeaths[AgeUnit],"Years",tblDeaths[Age],"&gt;="&amp;50,tblDeaths[Age],"&lt;="&amp;59,tblDeaths[Sex],"M")</f>
        <v/>
      </c>
      <c r="Q13" s="12">
        <f>COUNTIFS(tblDeaths[Month],3,tblDeaths[AgeUnit],"Years",tblDeaths[Age],"&gt;="&amp;50,tblDeaths[Age],"&lt;="&amp;59,tblDeaths[Sex],"F")</f>
        <v/>
      </c>
      <c r="R13" s="12">
        <f>COUNTIFS(tblDeaths[Month],3,tblDeaths[AgeUnit],"Years",tblDeaths[Age],"&gt;="&amp;50,tblDeaths[Age],"&lt;="&amp;59,tblDeaths[Sex],"M",tblDeaths[NHIS],"Non-Insured")</f>
        <v/>
      </c>
      <c r="S13" s="12">
        <f>COUNTIFS(tblDeaths[Month],3,tblDeaths[AgeUnit],"Years",tblDeaths[Age],"&gt;="&amp;50,tblDeaths[Age],"&lt;="&amp;59,tblDeaths[Sex],"F",tblDeaths[NHIS],"Non-Insured")</f>
        <v/>
      </c>
      <c r="T13" s="12">
        <f>COUNTIFS(tblDeaths[Month],3,tblDeaths[AgeUnit],"Years",tblDeaths[Age],"&gt;="&amp;50,tblDeaths[Age],"&lt;="&amp;59,tblDeaths[Sex],"M",tblDeaths[NHIS],"Insured")</f>
        <v/>
      </c>
      <c r="U13" s="12">
        <f>COUNTIFS(tblDeaths[Month],3,tblDeaths[AgeUnit],"Years",tblDeaths[Age],"&gt;="&amp;50,tblDeaths[Age],"&lt;="&amp;59,tblDeaths[Sex],"F",tblDeaths[NHIS],"Insured")</f>
        <v/>
      </c>
      <c r="V13" s="12" t="inlineStr">
        <is>
          <t>50-59</t>
        </is>
      </c>
      <c r="W13" s="12">
        <f>COUNTIFS(tblDeaths[Month],4,tblDeaths[AgeUnit],"Years",tblDeaths[Age],"&gt;="&amp;50,tblDeaths[Age],"&lt;="&amp;59,tblDeaths[Sex],"M")</f>
        <v/>
      </c>
      <c r="X13" s="12">
        <f>COUNTIFS(tblDeaths[Month],4,tblDeaths[AgeUnit],"Years",tblDeaths[Age],"&gt;="&amp;50,tblDeaths[Age],"&lt;="&amp;59,tblDeaths[Sex],"F")</f>
        <v/>
      </c>
      <c r="Y13" s="12">
        <f>COUNTIFS(tblDeaths[Month],4,tblDeaths[AgeUnit],"Years",tblDeaths[Age],"&gt;="&amp;50,tblDeaths[Age],"&lt;="&amp;59,tblDeaths[Sex],"M",tblDeaths[NHIS],"Non-Insured")</f>
        <v/>
      </c>
      <c r="Z13" s="12">
        <f>COUNTIFS(tblDeaths[Month],4,tblDeaths[AgeUnit],"Years",tblDeaths[Age],"&gt;="&amp;50,tblDeaths[Age],"&lt;="&amp;59,tblDeaths[Sex],"F",tblDeaths[NHIS],"Non-Insured")</f>
        <v/>
      </c>
      <c r="AA13" s="12">
        <f>COUNTIFS(tblDeaths[Month],4,tblDeaths[AgeUnit],"Years",tblDeaths[Age],"&gt;="&amp;50,tblDeaths[Age],"&lt;="&amp;59,tblDeaths[Sex],"M",tblDeaths[NHIS],"Insured")</f>
        <v/>
      </c>
      <c r="AB13" s="12">
        <f>COUNTIFS(tblDeaths[Month],4,tblDeaths[AgeUnit],"Years",tblDeaths[Age],"&gt;="&amp;50,tblDeaths[Age],"&lt;="&amp;59,tblDeaths[Sex],"F",tblDeaths[NHIS],"Insured")</f>
        <v/>
      </c>
      <c r="AC13" s="12" t="inlineStr">
        <is>
          <t>50-59</t>
        </is>
      </c>
      <c r="AD13" s="12">
        <f>COUNTIFS(tblDeaths[Month],5,tblDeaths[AgeUnit],"Years",tblDeaths[Age],"&gt;="&amp;50,tblDeaths[Age],"&lt;="&amp;59,tblDeaths[Sex],"M")</f>
        <v/>
      </c>
      <c r="AE13" s="12">
        <f>COUNTIFS(tblDeaths[Month],5,tblDeaths[AgeUnit],"Years",tblDeaths[Age],"&gt;="&amp;50,tblDeaths[Age],"&lt;="&amp;59,tblDeaths[Sex],"F")</f>
        <v/>
      </c>
      <c r="AF13" s="12">
        <f>COUNTIFS(tblDeaths[Month],5,tblDeaths[AgeUnit],"Years",tblDeaths[Age],"&gt;="&amp;50,tblDeaths[Age],"&lt;="&amp;59,tblDeaths[Sex],"M",tblDeaths[NHIS],"Non-Insured")</f>
        <v/>
      </c>
      <c r="AG13" s="12">
        <f>COUNTIFS(tblDeaths[Month],5,tblDeaths[AgeUnit],"Years",tblDeaths[Age],"&gt;="&amp;50,tblDeaths[Age],"&lt;="&amp;59,tblDeaths[Sex],"F",tblDeaths[NHIS],"Non-Insured")</f>
        <v/>
      </c>
      <c r="AH13" s="12">
        <f>COUNTIFS(tblDeaths[Month],5,tblDeaths[AgeUnit],"Years",tblDeaths[Age],"&gt;="&amp;50,tblDeaths[Age],"&lt;="&amp;59,tblDeaths[Sex],"M",tblDeaths[NHIS],"Insured")</f>
        <v/>
      </c>
      <c r="AI13" s="12">
        <f>COUNTIFS(tblDeaths[Month],5,tblDeaths[AgeUnit],"Years",tblDeaths[Age],"&gt;="&amp;50,tblDeaths[Age],"&lt;="&amp;59,tblDeaths[Sex],"F",tblDeaths[NHIS],"Insured")</f>
        <v/>
      </c>
      <c r="AJ13" s="12" t="inlineStr">
        <is>
          <t>50-59</t>
        </is>
      </c>
      <c r="AK13" s="12">
        <f>COUNTIFS(tblDeaths[Month],6,tblDeaths[AgeUnit],"Years",tblDeaths[Age],"&gt;="&amp;50,tblDeaths[Age],"&lt;="&amp;59,tblDeaths[Sex],"M")</f>
        <v/>
      </c>
      <c r="AL13" s="12">
        <f>COUNTIFS(tblDeaths[Month],6,tblDeaths[AgeUnit],"Years",tblDeaths[Age],"&gt;="&amp;50,tblDeaths[Age],"&lt;="&amp;59,tblDeaths[Sex],"F")</f>
        <v/>
      </c>
      <c r="AM13" s="12">
        <f>COUNTIFS(tblDeaths[Month],6,tblDeaths[AgeUnit],"Years",tblDeaths[Age],"&gt;="&amp;50,tblDeaths[Age],"&lt;="&amp;59,tblDeaths[Sex],"M",tblDeaths[NHIS],"Non-Insured")</f>
        <v/>
      </c>
      <c r="AN13" s="12">
        <f>COUNTIFS(tblDeaths[Month],6,tblDeaths[AgeUnit],"Years",tblDeaths[Age],"&gt;="&amp;50,tblDeaths[Age],"&lt;="&amp;59,tblDeaths[Sex],"F",tblDeaths[NHIS],"Non-Insured")</f>
        <v/>
      </c>
      <c r="AO13" s="12">
        <f>COUNTIFS(tblDeaths[Month],6,tblDeaths[AgeUnit],"Years",tblDeaths[Age],"&gt;="&amp;50,tblDeaths[Age],"&lt;="&amp;59,tblDeaths[Sex],"M",tblDeaths[NHIS],"Insured")</f>
        <v/>
      </c>
      <c r="AP13" s="12">
        <f>COUNTIFS(tblDeaths[Month],6,tblDeaths[AgeUnit],"Years",tblDeaths[Age],"&gt;="&amp;50,tblDeaths[Age],"&lt;="&amp;59,tblDeaths[Sex],"F",tblDeaths[NHIS],"Insured")</f>
        <v/>
      </c>
      <c r="AQ13" s="12" t="inlineStr">
        <is>
          <t>50-59</t>
        </is>
      </c>
      <c r="AR13" s="12">
        <f>COUNTIFS(tblDeaths[Month],7,tblDeaths[AgeUnit],"Years",tblDeaths[Age],"&gt;="&amp;50,tblDeaths[Age],"&lt;="&amp;59,tblDeaths[Sex],"M")</f>
        <v/>
      </c>
      <c r="AS13" s="12">
        <f>COUNTIFS(tblDeaths[Month],7,tblDeaths[AgeUnit],"Years",tblDeaths[Age],"&gt;="&amp;50,tblDeaths[Age],"&lt;="&amp;59,tblDeaths[Sex],"F")</f>
        <v/>
      </c>
      <c r="AT13" s="12">
        <f>COUNTIFS(tblDeaths[Month],7,tblDeaths[AgeUnit],"Years",tblDeaths[Age],"&gt;="&amp;50,tblDeaths[Age],"&lt;="&amp;59,tblDeaths[Sex],"M",tblDeaths[NHIS],"Non-Insured")</f>
        <v/>
      </c>
      <c r="AU13" s="12">
        <f>COUNTIFS(tblDeaths[Month],7,tblDeaths[AgeUnit],"Years",tblDeaths[Age],"&gt;="&amp;50,tblDeaths[Age],"&lt;="&amp;59,tblDeaths[Sex],"F",tblDeaths[NHIS],"Non-Insured")</f>
        <v/>
      </c>
      <c r="AV13" s="12">
        <f>COUNTIFS(tblDeaths[Month],7,tblDeaths[AgeUnit],"Years",tblDeaths[Age],"&gt;="&amp;50,tblDeaths[Age],"&lt;="&amp;59,tblDeaths[Sex],"M",tblDeaths[NHIS],"Insured")</f>
        <v/>
      </c>
      <c r="AW13" s="12">
        <f>COUNTIFS(tblDeaths[Month],7,tblDeaths[AgeUnit],"Years",tblDeaths[Age],"&gt;="&amp;50,tblDeaths[Age],"&lt;="&amp;59,tblDeaths[Sex],"F",tblDeaths[NHIS],"Insured")</f>
        <v/>
      </c>
      <c r="AX13" s="12" t="inlineStr">
        <is>
          <t>50-59</t>
        </is>
      </c>
      <c r="AY13" s="12">
        <f>COUNTIFS(tblDeaths[Month],8,tblDeaths[AgeUnit],"Years",tblDeaths[Age],"&gt;="&amp;50,tblDeaths[Age],"&lt;="&amp;59,tblDeaths[Sex],"M")</f>
        <v/>
      </c>
      <c r="AZ13" s="12">
        <f>COUNTIFS(tblDeaths[Month],8,tblDeaths[AgeUnit],"Years",tblDeaths[Age],"&gt;="&amp;50,tblDeaths[Age],"&lt;="&amp;59,tblDeaths[Sex],"F")</f>
        <v/>
      </c>
      <c r="BA13" s="12">
        <f>COUNTIFS(tblDeaths[Month],8,tblDeaths[AgeUnit],"Years",tblDeaths[Age],"&gt;="&amp;50,tblDeaths[Age],"&lt;="&amp;59,tblDeaths[Sex],"M",tblDeaths[NHIS],"Non-Insured")</f>
        <v/>
      </c>
      <c r="BB13" s="12">
        <f>COUNTIFS(tblDeaths[Month],8,tblDeaths[AgeUnit],"Years",tblDeaths[Age],"&gt;="&amp;50,tblDeaths[Age],"&lt;="&amp;59,tblDeaths[Sex],"F",tblDeaths[NHIS],"Non-Insured")</f>
        <v/>
      </c>
      <c r="BC13" s="12">
        <f>COUNTIFS(tblDeaths[Month],8,tblDeaths[AgeUnit],"Years",tblDeaths[Age],"&gt;="&amp;50,tblDeaths[Age],"&lt;="&amp;59,tblDeaths[Sex],"M",tblDeaths[NHIS],"Insured")</f>
        <v/>
      </c>
      <c r="BD13" s="12">
        <f>COUNTIFS(tblDeaths[Month],8,tblDeaths[AgeUnit],"Years",tblDeaths[Age],"&gt;="&amp;50,tblDeaths[Age],"&lt;="&amp;59,tblDeaths[Sex],"F",tblDeaths[NHIS],"Insured")</f>
        <v/>
      </c>
      <c r="BE13" s="12" t="inlineStr">
        <is>
          <t>50-59</t>
        </is>
      </c>
      <c r="BF13" s="12">
        <f>COUNTIFS(tblDeaths[Month],9,tblDeaths[AgeUnit],"Years",tblDeaths[Age],"&gt;="&amp;50,tblDeaths[Age],"&lt;="&amp;59,tblDeaths[Sex],"M")</f>
        <v/>
      </c>
      <c r="BG13" s="12">
        <f>COUNTIFS(tblDeaths[Month],9,tblDeaths[AgeUnit],"Years",tblDeaths[Age],"&gt;="&amp;50,tblDeaths[Age],"&lt;="&amp;59,tblDeaths[Sex],"F")</f>
        <v/>
      </c>
      <c r="BH13" s="12">
        <f>COUNTIFS(tblDeaths[Month],9,tblDeaths[AgeUnit],"Years",tblDeaths[Age],"&gt;="&amp;50,tblDeaths[Age],"&lt;="&amp;59,tblDeaths[Sex],"M",tblDeaths[NHIS],"Non-Insured")</f>
        <v/>
      </c>
      <c r="BI13" s="12">
        <f>COUNTIFS(tblDeaths[Month],9,tblDeaths[AgeUnit],"Years",tblDeaths[Age],"&gt;="&amp;50,tblDeaths[Age],"&lt;="&amp;59,tblDeaths[Sex],"F",tblDeaths[NHIS],"Non-Insured")</f>
        <v/>
      </c>
      <c r="BJ13" s="12">
        <f>COUNTIFS(tblDeaths[Month],9,tblDeaths[AgeUnit],"Years",tblDeaths[Age],"&gt;="&amp;50,tblDeaths[Age],"&lt;="&amp;59,tblDeaths[Sex],"M",tblDeaths[NHIS],"Insured")</f>
        <v/>
      </c>
      <c r="BK13" s="12">
        <f>COUNTIFS(tblDeaths[Month],9,tblDeaths[AgeUnit],"Years",tblDeaths[Age],"&gt;="&amp;50,tblDeaths[Age],"&lt;="&amp;59,tblDeaths[Sex],"F",tblDeaths[NHIS],"Insured")</f>
        <v/>
      </c>
      <c r="BL13" s="12" t="inlineStr">
        <is>
          <t>50-59</t>
        </is>
      </c>
      <c r="BM13" s="12">
        <f>COUNTIFS(tblDeaths[Month],10,tblDeaths[AgeUnit],"Years",tblDeaths[Age],"&gt;="&amp;50,tblDeaths[Age],"&lt;="&amp;59,tblDeaths[Sex],"M")</f>
        <v/>
      </c>
      <c r="BN13" s="12">
        <f>COUNTIFS(tblDeaths[Month],10,tblDeaths[AgeUnit],"Years",tblDeaths[Age],"&gt;="&amp;50,tblDeaths[Age],"&lt;="&amp;59,tblDeaths[Sex],"F")</f>
        <v/>
      </c>
      <c r="BO13" s="12">
        <f>COUNTIFS(tblDeaths[Month],10,tblDeaths[AgeUnit],"Years",tblDeaths[Age],"&gt;="&amp;50,tblDeaths[Age],"&lt;="&amp;59,tblDeaths[Sex],"M",tblDeaths[NHIS],"Non-Insured")</f>
        <v/>
      </c>
      <c r="BP13" s="12">
        <f>COUNTIFS(tblDeaths[Month],10,tblDeaths[AgeUnit],"Years",tblDeaths[Age],"&gt;="&amp;50,tblDeaths[Age],"&lt;="&amp;59,tblDeaths[Sex],"F",tblDeaths[NHIS],"Non-Insured")</f>
        <v/>
      </c>
      <c r="BQ13" s="12">
        <f>COUNTIFS(tblDeaths[Month],10,tblDeaths[AgeUnit],"Years",tblDeaths[Age],"&gt;="&amp;50,tblDeaths[Age],"&lt;="&amp;59,tblDeaths[Sex],"M",tblDeaths[NHIS],"Insured")</f>
        <v/>
      </c>
      <c r="BR13" s="12">
        <f>COUNTIFS(tblDeaths[Month],10,tblDeaths[AgeUnit],"Years",tblDeaths[Age],"&gt;="&amp;50,tblDeaths[Age],"&lt;="&amp;59,tblDeaths[Sex],"F",tblDeaths[NHIS],"Insured")</f>
        <v/>
      </c>
      <c r="BS13" s="12" t="inlineStr">
        <is>
          <t>50-59</t>
        </is>
      </c>
      <c r="BT13" s="12">
        <f>COUNTIFS(tblDeaths[Month],11,tblDeaths[AgeUnit],"Years",tblDeaths[Age],"&gt;="&amp;50,tblDeaths[Age],"&lt;="&amp;59,tblDeaths[Sex],"M")</f>
        <v/>
      </c>
      <c r="BU13" s="12">
        <f>COUNTIFS(tblDeaths[Month],11,tblDeaths[AgeUnit],"Years",tblDeaths[Age],"&gt;="&amp;50,tblDeaths[Age],"&lt;="&amp;59,tblDeaths[Sex],"F")</f>
        <v/>
      </c>
      <c r="BV13" s="12">
        <f>COUNTIFS(tblDeaths[Month],11,tblDeaths[AgeUnit],"Years",tblDeaths[Age],"&gt;="&amp;50,tblDeaths[Age],"&lt;="&amp;59,tblDeaths[Sex],"M",tblDeaths[NHIS],"Non-Insured")</f>
        <v/>
      </c>
      <c r="BW13" s="12">
        <f>COUNTIFS(tblDeaths[Month],11,tblDeaths[AgeUnit],"Years",tblDeaths[Age],"&gt;="&amp;50,tblDeaths[Age],"&lt;="&amp;59,tblDeaths[Sex],"F",tblDeaths[NHIS],"Non-Insured")</f>
        <v/>
      </c>
      <c r="BX13" s="12">
        <f>COUNTIFS(tblDeaths[Month],11,tblDeaths[AgeUnit],"Years",tblDeaths[Age],"&gt;="&amp;50,tblDeaths[Age],"&lt;="&amp;59,tblDeaths[Sex],"M",tblDeaths[NHIS],"Insured")</f>
        <v/>
      </c>
      <c r="BY13" s="12">
        <f>COUNTIFS(tblDeaths[Month],11,tblDeaths[AgeUnit],"Years",tblDeaths[Age],"&gt;="&amp;50,tblDeaths[Age],"&lt;="&amp;59,tblDeaths[Sex],"F",tblDeaths[NHIS],"Insured")</f>
        <v/>
      </c>
      <c r="BZ13" s="12" t="inlineStr">
        <is>
          <t>50-59</t>
        </is>
      </c>
      <c r="CA13" s="12">
        <f>COUNTIFS(tblDeaths[Month],12,tblDeaths[AgeUnit],"Years",tblDeaths[Age],"&gt;="&amp;50,tblDeaths[Age],"&lt;="&amp;59,tblDeaths[Sex],"M")</f>
        <v/>
      </c>
      <c r="CB13" s="12">
        <f>COUNTIFS(tblDeaths[Month],12,tblDeaths[AgeUnit],"Years",tblDeaths[Age],"&gt;="&amp;50,tblDeaths[Age],"&lt;="&amp;59,tblDeaths[Sex],"F")</f>
        <v/>
      </c>
      <c r="CC13" s="12">
        <f>COUNTIFS(tblDeaths[Month],12,tblDeaths[AgeUnit],"Years",tblDeaths[Age],"&gt;="&amp;50,tblDeaths[Age],"&lt;="&amp;59,tblDeaths[Sex],"M",tblDeaths[NHIS],"Non-Insured")</f>
        <v/>
      </c>
      <c r="CD13" s="12">
        <f>COUNTIFS(tblDeaths[Month],12,tblDeaths[AgeUnit],"Years",tblDeaths[Age],"&gt;="&amp;50,tblDeaths[Age],"&lt;="&amp;59,tblDeaths[Sex],"F",tblDeaths[NHIS],"Non-Insured")</f>
        <v/>
      </c>
      <c r="CE13" s="12">
        <f>COUNTIFS(tblDeaths[Month],12,tblDeaths[AgeUnit],"Years",tblDeaths[Age],"&gt;="&amp;50,tblDeaths[Age],"&lt;="&amp;59,tblDeaths[Sex],"M",tblDeaths[NHIS],"Insured")</f>
        <v/>
      </c>
      <c r="CF13" s="12">
        <f>COUNTIFS(tblDeaths[Month],12,tblDeaths[AgeUnit],"Years",tblDeaths[Age],"&gt;="&amp;50,tblDeaths[Age],"&lt;="&amp;59,tblDeaths[Sex],"F",tblDeaths[NHIS],"Insured")</f>
        <v/>
      </c>
    </row>
    <row r="14">
      <c r="A14" s="12" t="inlineStr">
        <is>
          <t>60-69</t>
        </is>
      </c>
      <c r="B14" s="12">
        <f>COUNTIFS(tblDeaths[Month],1,tblDeaths[AgeUnit],"Years",tblDeaths[Age],"&gt;="&amp;60,tblDeaths[Age],"&lt;="&amp;69,tblDeaths[Sex],"M")</f>
        <v/>
      </c>
      <c r="C14" s="12">
        <f>COUNTIFS(tblDeaths[Month],1,tblDeaths[AgeUnit],"Years",tblDeaths[Age],"&gt;="&amp;60,tblDeaths[Age],"&lt;="&amp;69,tblDeaths[Sex],"F")</f>
        <v/>
      </c>
      <c r="D14" s="12">
        <f>COUNTIFS(tblDeaths[Month],1,tblDeaths[AgeUnit],"Years",tblDeaths[Age],"&gt;="&amp;60,tblDeaths[Age],"&lt;="&amp;69,tblDeaths[Sex],"M",tblDeaths[NHIS],"Non-Insured")</f>
        <v/>
      </c>
      <c r="E14" s="12">
        <f>COUNTIFS(tblDeaths[Month],1,tblDeaths[AgeUnit],"Years",tblDeaths[Age],"&gt;="&amp;60,tblDeaths[Age],"&lt;="&amp;69,tblDeaths[Sex],"F",tblDeaths[NHIS],"Non-Insured")</f>
        <v/>
      </c>
      <c r="F14" s="12">
        <f>COUNTIFS(tblDeaths[Month],1,tblDeaths[AgeUnit],"Years",tblDeaths[Age],"&gt;="&amp;60,tblDeaths[Age],"&lt;="&amp;69,tblDeaths[Sex],"M",tblDeaths[NHIS],"Insured")</f>
        <v/>
      </c>
      <c r="G14" s="12">
        <f>COUNTIFS(tblDeaths[Month],1,tblDeaths[AgeUnit],"Years",tblDeaths[Age],"&gt;="&amp;60,tblDeaths[Age],"&lt;="&amp;69,tblDeaths[Sex],"F",tblDeaths[NHIS],"Insured")</f>
        <v/>
      </c>
      <c r="H14" s="12" t="inlineStr">
        <is>
          <t>60-69</t>
        </is>
      </c>
      <c r="I14" s="12">
        <f>COUNTIFS(tblDeaths[Month],2,tblDeaths[AgeUnit],"Years",tblDeaths[Age],"&gt;="&amp;60,tblDeaths[Age],"&lt;="&amp;69,tblDeaths[Sex],"M")</f>
        <v/>
      </c>
      <c r="J14" s="12">
        <f>COUNTIFS(tblDeaths[Month],2,tblDeaths[AgeUnit],"Years",tblDeaths[Age],"&gt;="&amp;60,tblDeaths[Age],"&lt;="&amp;69,tblDeaths[Sex],"F")</f>
        <v/>
      </c>
      <c r="K14" s="12">
        <f>COUNTIFS(tblDeaths[Month],2,tblDeaths[AgeUnit],"Years",tblDeaths[Age],"&gt;="&amp;60,tblDeaths[Age],"&lt;="&amp;69,tblDeaths[Sex],"M",tblDeaths[NHIS],"Non-Insured")</f>
        <v/>
      </c>
      <c r="L14" s="12">
        <f>COUNTIFS(tblDeaths[Month],2,tblDeaths[AgeUnit],"Years",tblDeaths[Age],"&gt;="&amp;60,tblDeaths[Age],"&lt;="&amp;69,tblDeaths[Sex],"F",tblDeaths[NHIS],"Non-Insured")</f>
        <v/>
      </c>
      <c r="M14" s="12">
        <f>COUNTIFS(tblDeaths[Month],2,tblDeaths[AgeUnit],"Years",tblDeaths[Age],"&gt;="&amp;60,tblDeaths[Age],"&lt;="&amp;69,tblDeaths[Sex],"M",tblDeaths[NHIS],"Insured")</f>
        <v/>
      </c>
      <c r="N14" s="12">
        <f>COUNTIFS(tblDeaths[Month],2,tblDeaths[AgeUnit],"Years",tblDeaths[Age],"&gt;="&amp;60,tblDeaths[Age],"&lt;="&amp;69,tblDeaths[Sex],"F",tblDeaths[NHIS],"Insured")</f>
        <v/>
      </c>
      <c r="O14" s="12" t="inlineStr">
        <is>
          <t>60-69</t>
        </is>
      </c>
      <c r="P14" s="12">
        <f>COUNTIFS(tblDeaths[Month],3,tblDeaths[AgeUnit],"Years",tblDeaths[Age],"&gt;="&amp;60,tblDeaths[Age],"&lt;="&amp;69,tblDeaths[Sex],"M")</f>
        <v/>
      </c>
      <c r="Q14" s="12">
        <f>COUNTIFS(tblDeaths[Month],3,tblDeaths[AgeUnit],"Years",tblDeaths[Age],"&gt;="&amp;60,tblDeaths[Age],"&lt;="&amp;69,tblDeaths[Sex],"F")</f>
        <v/>
      </c>
      <c r="R14" s="12">
        <f>COUNTIFS(tblDeaths[Month],3,tblDeaths[AgeUnit],"Years",tblDeaths[Age],"&gt;="&amp;60,tblDeaths[Age],"&lt;="&amp;69,tblDeaths[Sex],"M",tblDeaths[NHIS],"Non-Insured")</f>
        <v/>
      </c>
      <c r="S14" s="12">
        <f>COUNTIFS(tblDeaths[Month],3,tblDeaths[AgeUnit],"Years",tblDeaths[Age],"&gt;="&amp;60,tblDeaths[Age],"&lt;="&amp;69,tblDeaths[Sex],"F",tblDeaths[NHIS],"Non-Insured")</f>
        <v/>
      </c>
      <c r="T14" s="12">
        <f>COUNTIFS(tblDeaths[Month],3,tblDeaths[AgeUnit],"Years",tblDeaths[Age],"&gt;="&amp;60,tblDeaths[Age],"&lt;="&amp;69,tblDeaths[Sex],"M",tblDeaths[NHIS],"Insured")</f>
        <v/>
      </c>
      <c r="U14" s="12">
        <f>COUNTIFS(tblDeaths[Month],3,tblDeaths[AgeUnit],"Years",tblDeaths[Age],"&gt;="&amp;60,tblDeaths[Age],"&lt;="&amp;69,tblDeaths[Sex],"F",tblDeaths[NHIS],"Insured")</f>
        <v/>
      </c>
      <c r="V14" s="12" t="inlineStr">
        <is>
          <t>60-69</t>
        </is>
      </c>
      <c r="W14" s="12">
        <f>COUNTIFS(tblDeaths[Month],4,tblDeaths[AgeUnit],"Years",tblDeaths[Age],"&gt;="&amp;60,tblDeaths[Age],"&lt;="&amp;69,tblDeaths[Sex],"M")</f>
        <v/>
      </c>
      <c r="X14" s="12">
        <f>COUNTIFS(tblDeaths[Month],4,tblDeaths[AgeUnit],"Years",tblDeaths[Age],"&gt;="&amp;60,tblDeaths[Age],"&lt;="&amp;69,tblDeaths[Sex],"F")</f>
        <v/>
      </c>
      <c r="Y14" s="12">
        <f>COUNTIFS(tblDeaths[Month],4,tblDeaths[AgeUnit],"Years",tblDeaths[Age],"&gt;="&amp;60,tblDeaths[Age],"&lt;="&amp;69,tblDeaths[Sex],"M",tblDeaths[NHIS],"Non-Insured")</f>
        <v/>
      </c>
      <c r="Z14" s="12">
        <f>COUNTIFS(tblDeaths[Month],4,tblDeaths[AgeUnit],"Years",tblDeaths[Age],"&gt;="&amp;60,tblDeaths[Age],"&lt;="&amp;69,tblDeaths[Sex],"F",tblDeaths[NHIS],"Non-Insured")</f>
        <v/>
      </c>
      <c r="AA14" s="12">
        <f>COUNTIFS(tblDeaths[Month],4,tblDeaths[AgeUnit],"Years",tblDeaths[Age],"&gt;="&amp;60,tblDeaths[Age],"&lt;="&amp;69,tblDeaths[Sex],"M",tblDeaths[NHIS],"Insured")</f>
        <v/>
      </c>
      <c r="AB14" s="12">
        <f>COUNTIFS(tblDeaths[Month],4,tblDeaths[AgeUnit],"Years",tblDeaths[Age],"&gt;="&amp;60,tblDeaths[Age],"&lt;="&amp;69,tblDeaths[Sex],"F",tblDeaths[NHIS],"Insured")</f>
        <v/>
      </c>
      <c r="AC14" s="12" t="inlineStr">
        <is>
          <t>60-69</t>
        </is>
      </c>
      <c r="AD14" s="12">
        <f>COUNTIFS(tblDeaths[Month],5,tblDeaths[AgeUnit],"Years",tblDeaths[Age],"&gt;="&amp;60,tblDeaths[Age],"&lt;="&amp;69,tblDeaths[Sex],"M")</f>
        <v/>
      </c>
      <c r="AE14" s="12">
        <f>COUNTIFS(tblDeaths[Month],5,tblDeaths[AgeUnit],"Years",tblDeaths[Age],"&gt;="&amp;60,tblDeaths[Age],"&lt;="&amp;69,tblDeaths[Sex],"F")</f>
        <v/>
      </c>
      <c r="AF14" s="12">
        <f>COUNTIFS(tblDeaths[Month],5,tblDeaths[AgeUnit],"Years",tblDeaths[Age],"&gt;="&amp;60,tblDeaths[Age],"&lt;="&amp;69,tblDeaths[Sex],"M",tblDeaths[NHIS],"Non-Insured")</f>
        <v/>
      </c>
      <c r="AG14" s="12">
        <f>COUNTIFS(tblDeaths[Month],5,tblDeaths[AgeUnit],"Years",tblDeaths[Age],"&gt;="&amp;60,tblDeaths[Age],"&lt;="&amp;69,tblDeaths[Sex],"F",tblDeaths[NHIS],"Non-Insured")</f>
        <v/>
      </c>
      <c r="AH14" s="12">
        <f>COUNTIFS(tblDeaths[Month],5,tblDeaths[AgeUnit],"Years",tblDeaths[Age],"&gt;="&amp;60,tblDeaths[Age],"&lt;="&amp;69,tblDeaths[Sex],"M",tblDeaths[NHIS],"Insured")</f>
        <v/>
      </c>
      <c r="AI14" s="12">
        <f>COUNTIFS(tblDeaths[Month],5,tblDeaths[AgeUnit],"Years",tblDeaths[Age],"&gt;="&amp;60,tblDeaths[Age],"&lt;="&amp;69,tblDeaths[Sex],"F",tblDeaths[NHIS],"Insured")</f>
        <v/>
      </c>
      <c r="AJ14" s="12" t="inlineStr">
        <is>
          <t>60-69</t>
        </is>
      </c>
      <c r="AK14" s="12">
        <f>COUNTIFS(tblDeaths[Month],6,tblDeaths[AgeUnit],"Years",tblDeaths[Age],"&gt;="&amp;60,tblDeaths[Age],"&lt;="&amp;69,tblDeaths[Sex],"M")</f>
        <v/>
      </c>
      <c r="AL14" s="12">
        <f>COUNTIFS(tblDeaths[Month],6,tblDeaths[AgeUnit],"Years",tblDeaths[Age],"&gt;="&amp;60,tblDeaths[Age],"&lt;="&amp;69,tblDeaths[Sex],"F")</f>
        <v/>
      </c>
      <c r="AM14" s="12">
        <f>COUNTIFS(tblDeaths[Month],6,tblDeaths[AgeUnit],"Years",tblDeaths[Age],"&gt;="&amp;60,tblDeaths[Age],"&lt;="&amp;69,tblDeaths[Sex],"M",tblDeaths[NHIS],"Non-Insured")</f>
        <v/>
      </c>
      <c r="AN14" s="12">
        <f>COUNTIFS(tblDeaths[Month],6,tblDeaths[AgeUnit],"Years",tblDeaths[Age],"&gt;="&amp;60,tblDeaths[Age],"&lt;="&amp;69,tblDeaths[Sex],"F",tblDeaths[NHIS],"Non-Insured")</f>
        <v/>
      </c>
      <c r="AO14" s="12">
        <f>COUNTIFS(tblDeaths[Month],6,tblDeaths[AgeUnit],"Years",tblDeaths[Age],"&gt;="&amp;60,tblDeaths[Age],"&lt;="&amp;69,tblDeaths[Sex],"M",tblDeaths[NHIS],"Insured")</f>
        <v/>
      </c>
      <c r="AP14" s="12">
        <f>COUNTIFS(tblDeaths[Month],6,tblDeaths[AgeUnit],"Years",tblDeaths[Age],"&gt;="&amp;60,tblDeaths[Age],"&lt;="&amp;69,tblDeaths[Sex],"F",tblDeaths[NHIS],"Insured")</f>
        <v/>
      </c>
      <c r="AQ14" s="12" t="inlineStr">
        <is>
          <t>60-69</t>
        </is>
      </c>
      <c r="AR14" s="12">
        <f>COUNTIFS(tblDeaths[Month],7,tblDeaths[AgeUnit],"Years",tblDeaths[Age],"&gt;="&amp;60,tblDeaths[Age],"&lt;="&amp;69,tblDeaths[Sex],"M")</f>
        <v/>
      </c>
      <c r="AS14" s="12">
        <f>COUNTIFS(tblDeaths[Month],7,tblDeaths[AgeUnit],"Years",tblDeaths[Age],"&gt;="&amp;60,tblDeaths[Age],"&lt;="&amp;69,tblDeaths[Sex],"F")</f>
        <v/>
      </c>
      <c r="AT14" s="12">
        <f>COUNTIFS(tblDeaths[Month],7,tblDeaths[AgeUnit],"Years",tblDeaths[Age],"&gt;="&amp;60,tblDeaths[Age],"&lt;="&amp;69,tblDeaths[Sex],"M",tblDeaths[NHIS],"Non-Insured")</f>
        <v/>
      </c>
      <c r="AU14" s="12">
        <f>COUNTIFS(tblDeaths[Month],7,tblDeaths[AgeUnit],"Years",tblDeaths[Age],"&gt;="&amp;60,tblDeaths[Age],"&lt;="&amp;69,tblDeaths[Sex],"F",tblDeaths[NHIS],"Non-Insured")</f>
        <v/>
      </c>
      <c r="AV14" s="12">
        <f>COUNTIFS(tblDeaths[Month],7,tblDeaths[AgeUnit],"Years",tblDeaths[Age],"&gt;="&amp;60,tblDeaths[Age],"&lt;="&amp;69,tblDeaths[Sex],"M",tblDeaths[NHIS],"Insured")</f>
        <v/>
      </c>
      <c r="AW14" s="12">
        <f>COUNTIFS(tblDeaths[Month],7,tblDeaths[AgeUnit],"Years",tblDeaths[Age],"&gt;="&amp;60,tblDeaths[Age],"&lt;="&amp;69,tblDeaths[Sex],"F",tblDeaths[NHIS],"Insured")</f>
        <v/>
      </c>
      <c r="AX14" s="12" t="inlineStr">
        <is>
          <t>60-69</t>
        </is>
      </c>
      <c r="AY14" s="12">
        <f>COUNTIFS(tblDeaths[Month],8,tblDeaths[AgeUnit],"Years",tblDeaths[Age],"&gt;="&amp;60,tblDeaths[Age],"&lt;="&amp;69,tblDeaths[Sex],"M")</f>
        <v/>
      </c>
      <c r="AZ14" s="12">
        <f>COUNTIFS(tblDeaths[Month],8,tblDeaths[AgeUnit],"Years",tblDeaths[Age],"&gt;="&amp;60,tblDeaths[Age],"&lt;="&amp;69,tblDeaths[Sex],"F")</f>
        <v/>
      </c>
      <c r="BA14" s="12">
        <f>COUNTIFS(tblDeaths[Month],8,tblDeaths[AgeUnit],"Years",tblDeaths[Age],"&gt;="&amp;60,tblDeaths[Age],"&lt;="&amp;69,tblDeaths[Sex],"M",tblDeaths[NHIS],"Non-Insured")</f>
        <v/>
      </c>
      <c r="BB14" s="12">
        <f>COUNTIFS(tblDeaths[Month],8,tblDeaths[AgeUnit],"Years",tblDeaths[Age],"&gt;="&amp;60,tblDeaths[Age],"&lt;="&amp;69,tblDeaths[Sex],"F",tblDeaths[NHIS],"Non-Insured")</f>
        <v/>
      </c>
      <c r="BC14" s="12">
        <f>COUNTIFS(tblDeaths[Month],8,tblDeaths[AgeUnit],"Years",tblDeaths[Age],"&gt;="&amp;60,tblDeaths[Age],"&lt;="&amp;69,tblDeaths[Sex],"M",tblDeaths[NHIS],"Insured")</f>
        <v/>
      </c>
      <c r="BD14" s="12">
        <f>COUNTIFS(tblDeaths[Month],8,tblDeaths[AgeUnit],"Years",tblDeaths[Age],"&gt;="&amp;60,tblDeaths[Age],"&lt;="&amp;69,tblDeaths[Sex],"F",tblDeaths[NHIS],"Insured")</f>
        <v/>
      </c>
      <c r="BE14" s="12" t="inlineStr">
        <is>
          <t>60-69</t>
        </is>
      </c>
      <c r="BF14" s="12">
        <f>COUNTIFS(tblDeaths[Month],9,tblDeaths[AgeUnit],"Years",tblDeaths[Age],"&gt;="&amp;60,tblDeaths[Age],"&lt;="&amp;69,tblDeaths[Sex],"M")</f>
        <v/>
      </c>
      <c r="BG14" s="12">
        <f>COUNTIFS(tblDeaths[Month],9,tblDeaths[AgeUnit],"Years",tblDeaths[Age],"&gt;="&amp;60,tblDeaths[Age],"&lt;="&amp;69,tblDeaths[Sex],"F")</f>
        <v/>
      </c>
      <c r="BH14" s="12">
        <f>COUNTIFS(tblDeaths[Month],9,tblDeaths[AgeUnit],"Years",tblDeaths[Age],"&gt;="&amp;60,tblDeaths[Age],"&lt;="&amp;69,tblDeaths[Sex],"M",tblDeaths[NHIS],"Non-Insured")</f>
        <v/>
      </c>
      <c r="BI14" s="12">
        <f>COUNTIFS(tblDeaths[Month],9,tblDeaths[AgeUnit],"Years",tblDeaths[Age],"&gt;="&amp;60,tblDeaths[Age],"&lt;="&amp;69,tblDeaths[Sex],"F",tblDeaths[NHIS],"Non-Insured")</f>
        <v/>
      </c>
      <c r="BJ14" s="12">
        <f>COUNTIFS(tblDeaths[Month],9,tblDeaths[AgeUnit],"Years",tblDeaths[Age],"&gt;="&amp;60,tblDeaths[Age],"&lt;="&amp;69,tblDeaths[Sex],"M",tblDeaths[NHIS],"Insured")</f>
        <v/>
      </c>
      <c r="BK14" s="12">
        <f>COUNTIFS(tblDeaths[Month],9,tblDeaths[AgeUnit],"Years",tblDeaths[Age],"&gt;="&amp;60,tblDeaths[Age],"&lt;="&amp;69,tblDeaths[Sex],"F",tblDeaths[NHIS],"Insured")</f>
        <v/>
      </c>
      <c r="BL14" s="12" t="inlineStr">
        <is>
          <t>60-69</t>
        </is>
      </c>
      <c r="BM14" s="12">
        <f>COUNTIFS(tblDeaths[Month],10,tblDeaths[AgeUnit],"Years",tblDeaths[Age],"&gt;="&amp;60,tblDeaths[Age],"&lt;="&amp;69,tblDeaths[Sex],"M")</f>
        <v/>
      </c>
      <c r="BN14" s="12">
        <f>COUNTIFS(tblDeaths[Month],10,tblDeaths[AgeUnit],"Years",tblDeaths[Age],"&gt;="&amp;60,tblDeaths[Age],"&lt;="&amp;69,tblDeaths[Sex],"F")</f>
        <v/>
      </c>
      <c r="BO14" s="12">
        <f>COUNTIFS(tblDeaths[Month],10,tblDeaths[AgeUnit],"Years",tblDeaths[Age],"&gt;="&amp;60,tblDeaths[Age],"&lt;="&amp;69,tblDeaths[Sex],"M",tblDeaths[NHIS],"Non-Insured")</f>
        <v/>
      </c>
      <c r="BP14" s="12">
        <f>COUNTIFS(tblDeaths[Month],10,tblDeaths[AgeUnit],"Years",tblDeaths[Age],"&gt;="&amp;60,tblDeaths[Age],"&lt;="&amp;69,tblDeaths[Sex],"F",tblDeaths[NHIS],"Non-Insured")</f>
        <v/>
      </c>
      <c r="BQ14" s="12">
        <f>COUNTIFS(tblDeaths[Month],10,tblDeaths[AgeUnit],"Years",tblDeaths[Age],"&gt;="&amp;60,tblDeaths[Age],"&lt;="&amp;69,tblDeaths[Sex],"M",tblDeaths[NHIS],"Insured")</f>
        <v/>
      </c>
      <c r="BR14" s="12">
        <f>COUNTIFS(tblDeaths[Month],10,tblDeaths[AgeUnit],"Years",tblDeaths[Age],"&gt;="&amp;60,tblDeaths[Age],"&lt;="&amp;69,tblDeaths[Sex],"F",tblDeaths[NHIS],"Insured")</f>
        <v/>
      </c>
      <c r="BS14" s="12" t="inlineStr">
        <is>
          <t>60-69</t>
        </is>
      </c>
      <c r="BT14" s="12">
        <f>COUNTIFS(tblDeaths[Month],11,tblDeaths[AgeUnit],"Years",tblDeaths[Age],"&gt;="&amp;60,tblDeaths[Age],"&lt;="&amp;69,tblDeaths[Sex],"M")</f>
        <v/>
      </c>
      <c r="BU14" s="12">
        <f>COUNTIFS(tblDeaths[Month],11,tblDeaths[AgeUnit],"Years",tblDeaths[Age],"&gt;="&amp;60,tblDeaths[Age],"&lt;="&amp;69,tblDeaths[Sex],"F")</f>
        <v/>
      </c>
      <c r="BV14" s="12">
        <f>COUNTIFS(tblDeaths[Month],11,tblDeaths[AgeUnit],"Years",tblDeaths[Age],"&gt;="&amp;60,tblDeaths[Age],"&lt;="&amp;69,tblDeaths[Sex],"M",tblDeaths[NHIS],"Non-Insured")</f>
        <v/>
      </c>
      <c r="BW14" s="12">
        <f>COUNTIFS(tblDeaths[Month],11,tblDeaths[AgeUnit],"Years",tblDeaths[Age],"&gt;="&amp;60,tblDeaths[Age],"&lt;="&amp;69,tblDeaths[Sex],"F",tblDeaths[NHIS],"Non-Insured")</f>
        <v/>
      </c>
      <c r="BX14" s="12">
        <f>COUNTIFS(tblDeaths[Month],11,tblDeaths[AgeUnit],"Years",tblDeaths[Age],"&gt;="&amp;60,tblDeaths[Age],"&lt;="&amp;69,tblDeaths[Sex],"M",tblDeaths[NHIS],"Insured")</f>
        <v/>
      </c>
      <c r="BY14" s="12">
        <f>COUNTIFS(tblDeaths[Month],11,tblDeaths[AgeUnit],"Years",tblDeaths[Age],"&gt;="&amp;60,tblDeaths[Age],"&lt;="&amp;69,tblDeaths[Sex],"F",tblDeaths[NHIS],"Insured")</f>
        <v/>
      </c>
      <c r="BZ14" s="12" t="inlineStr">
        <is>
          <t>60-69</t>
        </is>
      </c>
      <c r="CA14" s="12">
        <f>COUNTIFS(tblDeaths[Month],12,tblDeaths[AgeUnit],"Years",tblDeaths[Age],"&gt;="&amp;60,tblDeaths[Age],"&lt;="&amp;69,tblDeaths[Sex],"M")</f>
        <v/>
      </c>
      <c r="CB14" s="12">
        <f>COUNTIFS(tblDeaths[Month],12,tblDeaths[AgeUnit],"Years",tblDeaths[Age],"&gt;="&amp;60,tblDeaths[Age],"&lt;="&amp;69,tblDeaths[Sex],"F")</f>
        <v/>
      </c>
      <c r="CC14" s="12">
        <f>COUNTIFS(tblDeaths[Month],12,tblDeaths[AgeUnit],"Years",tblDeaths[Age],"&gt;="&amp;60,tblDeaths[Age],"&lt;="&amp;69,tblDeaths[Sex],"M",tblDeaths[NHIS],"Non-Insured")</f>
        <v/>
      </c>
      <c r="CD14" s="12">
        <f>COUNTIFS(tblDeaths[Month],12,tblDeaths[AgeUnit],"Years",tblDeaths[Age],"&gt;="&amp;60,tblDeaths[Age],"&lt;="&amp;69,tblDeaths[Sex],"F",tblDeaths[NHIS],"Non-Insured")</f>
        <v/>
      </c>
      <c r="CE14" s="12">
        <f>COUNTIFS(tblDeaths[Month],12,tblDeaths[AgeUnit],"Years",tblDeaths[Age],"&gt;="&amp;60,tblDeaths[Age],"&lt;="&amp;69,tblDeaths[Sex],"M",tblDeaths[NHIS],"Insured")</f>
        <v/>
      </c>
      <c r="CF14" s="12">
        <f>COUNTIFS(tblDeaths[Month],12,tblDeaths[AgeUnit],"Years",tblDeaths[Age],"&gt;="&amp;60,tblDeaths[Age],"&lt;="&amp;69,tblDeaths[Sex],"F",tblDeaths[NHIS],"Insured")</f>
        <v/>
      </c>
    </row>
    <row r="15">
      <c r="A15" s="12" t="inlineStr">
        <is>
          <t>70+</t>
        </is>
      </c>
      <c r="B15" s="12">
        <f>COUNTIFS(tblDeaths[Month],1,tblDeaths[AgeUnit],"Years",tblDeaths[Age],"&gt;="&amp;70,tblDeaths[Age],"&lt;="&amp;200,tblDeaths[Sex],"M")</f>
        <v/>
      </c>
      <c r="C15" s="12">
        <f>COUNTIFS(tblDeaths[Month],1,tblDeaths[AgeUnit],"Years",tblDeaths[Age],"&gt;="&amp;70,tblDeaths[Age],"&lt;="&amp;200,tblDeaths[Sex],"F")</f>
        <v/>
      </c>
      <c r="D15" s="12">
        <f>COUNTIFS(tblDeaths[Month],1,tblDeaths[AgeUnit],"Years",tblDeaths[Age],"&gt;="&amp;70,tblDeaths[Age],"&lt;="&amp;200,tblDeaths[Sex],"M",tblDeaths[NHIS],"Non-Insured")</f>
        <v/>
      </c>
      <c r="E15" s="12">
        <f>COUNTIFS(tblDeaths[Month],1,tblDeaths[AgeUnit],"Years",tblDeaths[Age],"&gt;="&amp;70,tblDeaths[Age],"&lt;="&amp;200,tblDeaths[Sex],"F",tblDeaths[NHIS],"Non-Insured")</f>
        <v/>
      </c>
      <c r="F15" s="12">
        <f>COUNTIFS(tblDeaths[Month],1,tblDeaths[AgeUnit],"Years",tblDeaths[Age],"&gt;="&amp;70,tblDeaths[Age],"&lt;="&amp;200,tblDeaths[Sex],"M",tblDeaths[NHIS],"Insured")</f>
        <v/>
      </c>
      <c r="G15" s="12">
        <f>COUNTIFS(tblDeaths[Month],1,tblDeaths[AgeUnit],"Years",tblDeaths[Age],"&gt;="&amp;70,tblDeaths[Age],"&lt;="&amp;200,tblDeaths[Sex],"F",tblDeaths[NHIS],"Insured")</f>
        <v/>
      </c>
      <c r="H15" s="12" t="inlineStr">
        <is>
          <t>70+</t>
        </is>
      </c>
      <c r="I15" s="12">
        <f>COUNTIFS(tblDeaths[Month],2,tblDeaths[AgeUnit],"Years",tblDeaths[Age],"&gt;="&amp;70,tblDeaths[Age],"&lt;="&amp;200,tblDeaths[Sex],"M")</f>
        <v/>
      </c>
      <c r="J15" s="12">
        <f>COUNTIFS(tblDeaths[Month],2,tblDeaths[AgeUnit],"Years",tblDeaths[Age],"&gt;="&amp;70,tblDeaths[Age],"&lt;="&amp;200,tblDeaths[Sex],"F")</f>
        <v/>
      </c>
      <c r="K15" s="12">
        <f>COUNTIFS(tblDeaths[Month],2,tblDeaths[AgeUnit],"Years",tblDeaths[Age],"&gt;="&amp;70,tblDeaths[Age],"&lt;="&amp;200,tblDeaths[Sex],"M",tblDeaths[NHIS],"Non-Insured")</f>
        <v/>
      </c>
      <c r="L15" s="12">
        <f>COUNTIFS(tblDeaths[Month],2,tblDeaths[AgeUnit],"Years",tblDeaths[Age],"&gt;="&amp;70,tblDeaths[Age],"&lt;="&amp;200,tblDeaths[Sex],"F",tblDeaths[NHIS],"Non-Insured")</f>
        <v/>
      </c>
      <c r="M15" s="12">
        <f>COUNTIFS(tblDeaths[Month],2,tblDeaths[AgeUnit],"Years",tblDeaths[Age],"&gt;="&amp;70,tblDeaths[Age],"&lt;="&amp;200,tblDeaths[Sex],"M",tblDeaths[NHIS],"Insured")</f>
        <v/>
      </c>
      <c r="N15" s="12">
        <f>COUNTIFS(tblDeaths[Month],2,tblDeaths[AgeUnit],"Years",tblDeaths[Age],"&gt;="&amp;70,tblDeaths[Age],"&lt;="&amp;200,tblDeaths[Sex],"F",tblDeaths[NHIS],"Insured")</f>
        <v/>
      </c>
      <c r="O15" s="12" t="inlineStr">
        <is>
          <t>70+</t>
        </is>
      </c>
      <c r="P15" s="12">
        <f>COUNTIFS(tblDeaths[Month],3,tblDeaths[AgeUnit],"Years",tblDeaths[Age],"&gt;="&amp;70,tblDeaths[Age],"&lt;="&amp;200,tblDeaths[Sex],"M")</f>
        <v/>
      </c>
      <c r="Q15" s="12">
        <f>COUNTIFS(tblDeaths[Month],3,tblDeaths[AgeUnit],"Years",tblDeaths[Age],"&gt;="&amp;70,tblDeaths[Age],"&lt;="&amp;200,tblDeaths[Sex],"F")</f>
        <v/>
      </c>
      <c r="R15" s="12">
        <f>COUNTIFS(tblDeaths[Month],3,tblDeaths[AgeUnit],"Years",tblDeaths[Age],"&gt;="&amp;70,tblDeaths[Age],"&lt;="&amp;200,tblDeaths[Sex],"M",tblDeaths[NHIS],"Non-Insured")</f>
        <v/>
      </c>
      <c r="S15" s="12">
        <f>COUNTIFS(tblDeaths[Month],3,tblDeaths[AgeUnit],"Years",tblDeaths[Age],"&gt;="&amp;70,tblDeaths[Age],"&lt;="&amp;200,tblDeaths[Sex],"F",tblDeaths[NHIS],"Non-Insured")</f>
        <v/>
      </c>
      <c r="T15" s="12">
        <f>COUNTIFS(tblDeaths[Month],3,tblDeaths[AgeUnit],"Years",tblDeaths[Age],"&gt;="&amp;70,tblDeaths[Age],"&lt;="&amp;200,tblDeaths[Sex],"M",tblDeaths[NHIS],"Insured")</f>
        <v/>
      </c>
      <c r="U15" s="12">
        <f>COUNTIFS(tblDeaths[Month],3,tblDeaths[AgeUnit],"Years",tblDeaths[Age],"&gt;="&amp;70,tblDeaths[Age],"&lt;="&amp;200,tblDeaths[Sex],"F",tblDeaths[NHIS],"Insured")</f>
        <v/>
      </c>
      <c r="V15" s="12" t="inlineStr">
        <is>
          <t>70+</t>
        </is>
      </c>
      <c r="W15" s="12">
        <f>COUNTIFS(tblDeaths[Month],4,tblDeaths[AgeUnit],"Years",tblDeaths[Age],"&gt;="&amp;70,tblDeaths[Age],"&lt;="&amp;200,tblDeaths[Sex],"M")</f>
        <v/>
      </c>
      <c r="X15" s="12">
        <f>COUNTIFS(tblDeaths[Month],4,tblDeaths[AgeUnit],"Years",tblDeaths[Age],"&gt;="&amp;70,tblDeaths[Age],"&lt;="&amp;200,tblDeaths[Sex],"F")</f>
        <v/>
      </c>
      <c r="Y15" s="12">
        <f>COUNTIFS(tblDeaths[Month],4,tblDeaths[AgeUnit],"Years",tblDeaths[Age],"&gt;="&amp;70,tblDeaths[Age],"&lt;="&amp;200,tblDeaths[Sex],"M",tblDeaths[NHIS],"Non-Insured")</f>
        <v/>
      </c>
      <c r="Z15" s="12">
        <f>COUNTIFS(tblDeaths[Month],4,tblDeaths[AgeUnit],"Years",tblDeaths[Age],"&gt;="&amp;70,tblDeaths[Age],"&lt;="&amp;200,tblDeaths[Sex],"F",tblDeaths[NHIS],"Non-Insured")</f>
        <v/>
      </c>
      <c r="AA15" s="12">
        <f>COUNTIFS(tblDeaths[Month],4,tblDeaths[AgeUnit],"Years",tblDeaths[Age],"&gt;="&amp;70,tblDeaths[Age],"&lt;="&amp;200,tblDeaths[Sex],"M",tblDeaths[NHIS],"Insured")</f>
        <v/>
      </c>
      <c r="AB15" s="12">
        <f>COUNTIFS(tblDeaths[Month],4,tblDeaths[AgeUnit],"Years",tblDeaths[Age],"&gt;="&amp;70,tblDeaths[Age],"&lt;="&amp;200,tblDeaths[Sex],"F",tblDeaths[NHIS],"Insured")</f>
        <v/>
      </c>
      <c r="AC15" s="12" t="inlineStr">
        <is>
          <t>70+</t>
        </is>
      </c>
      <c r="AD15" s="12">
        <f>COUNTIFS(tblDeaths[Month],5,tblDeaths[AgeUnit],"Years",tblDeaths[Age],"&gt;="&amp;70,tblDeaths[Age],"&lt;="&amp;200,tblDeaths[Sex],"M")</f>
        <v/>
      </c>
      <c r="AE15" s="12">
        <f>COUNTIFS(tblDeaths[Month],5,tblDeaths[AgeUnit],"Years",tblDeaths[Age],"&gt;="&amp;70,tblDeaths[Age],"&lt;="&amp;200,tblDeaths[Sex],"F")</f>
        <v/>
      </c>
      <c r="AF15" s="12">
        <f>COUNTIFS(tblDeaths[Month],5,tblDeaths[AgeUnit],"Years",tblDeaths[Age],"&gt;="&amp;70,tblDeaths[Age],"&lt;="&amp;200,tblDeaths[Sex],"M",tblDeaths[NHIS],"Non-Insured")</f>
        <v/>
      </c>
      <c r="AG15" s="12">
        <f>COUNTIFS(tblDeaths[Month],5,tblDeaths[AgeUnit],"Years",tblDeaths[Age],"&gt;="&amp;70,tblDeaths[Age],"&lt;="&amp;200,tblDeaths[Sex],"F",tblDeaths[NHIS],"Non-Insured")</f>
        <v/>
      </c>
      <c r="AH15" s="12">
        <f>COUNTIFS(tblDeaths[Month],5,tblDeaths[AgeUnit],"Years",tblDeaths[Age],"&gt;="&amp;70,tblDeaths[Age],"&lt;="&amp;200,tblDeaths[Sex],"M",tblDeaths[NHIS],"Insured")</f>
        <v/>
      </c>
      <c r="AI15" s="12">
        <f>COUNTIFS(tblDeaths[Month],5,tblDeaths[AgeUnit],"Years",tblDeaths[Age],"&gt;="&amp;70,tblDeaths[Age],"&lt;="&amp;200,tblDeaths[Sex],"F",tblDeaths[NHIS],"Insured")</f>
        <v/>
      </c>
      <c r="AJ15" s="12" t="inlineStr">
        <is>
          <t>70+</t>
        </is>
      </c>
      <c r="AK15" s="12">
        <f>COUNTIFS(tblDeaths[Month],6,tblDeaths[AgeUnit],"Years",tblDeaths[Age],"&gt;="&amp;70,tblDeaths[Age],"&lt;="&amp;200,tblDeaths[Sex],"M")</f>
        <v/>
      </c>
      <c r="AL15" s="12">
        <f>COUNTIFS(tblDeaths[Month],6,tblDeaths[AgeUnit],"Years",tblDeaths[Age],"&gt;="&amp;70,tblDeaths[Age],"&lt;="&amp;200,tblDeaths[Sex],"F")</f>
        <v/>
      </c>
      <c r="AM15" s="12">
        <f>COUNTIFS(tblDeaths[Month],6,tblDeaths[AgeUnit],"Years",tblDeaths[Age],"&gt;="&amp;70,tblDeaths[Age],"&lt;="&amp;200,tblDeaths[Sex],"M",tblDeaths[NHIS],"Non-Insured")</f>
        <v/>
      </c>
      <c r="AN15" s="12">
        <f>COUNTIFS(tblDeaths[Month],6,tblDeaths[AgeUnit],"Years",tblDeaths[Age],"&gt;="&amp;70,tblDeaths[Age],"&lt;="&amp;200,tblDeaths[Sex],"F",tblDeaths[NHIS],"Non-Insured")</f>
        <v/>
      </c>
      <c r="AO15" s="12">
        <f>COUNTIFS(tblDeaths[Month],6,tblDeaths[AgeUnit],"Years",tblDeaths[Age],"&gt;="&amp;70,tblDeaths[Age],"&lt;="&amp;200,tblDeaths[Sex],"M",tblDeaths[NHIS],"Insured")</f>
        <v/>
      </c>
      <c r="AP15" s="12">
        <f>COUNTIFS(tblDeaths[Month],6,tblDeaths[AgeUnit],"Years",tblDeaths[Age],"&gt;="&amp;70,tblDeaths[Age],"&lt;="&amp;200,tblDeaths[Sex],"F",tblDeaths[NHIS],"Insured")</f>
        <v/>
      </c>
      <c r="AQ15" s="12" t="inlineStr">
        <is>
          <t>70+</t>
        </is>
      </c>
      <c r="AR15" s="12">
        <f>COUNTIFS(tblDeaths[Month],7,tblDeaths[AgeUnit],"Years",tblDeaths[Age],"&gt;="&amp;70,tblDeaths[Age],"&lt;="&amp;200,tblDeaths[Sex],"M")</f>
        <v/>
      </c>
      <c r="AS15" s="12">
        <f>COUNTIFS(tblDeaths[Month],7,tblDeaths[AgeUnit],"Years",tblDeaths[Age],"&gt;="&amp;70,tblDeaths[Age],"&lt;="&amp;200,tblDeaths[Sex],"F")</f>
        <v/>
      </c>
      <c r="AT15" s="12">
        <f>COUNTIFS(tblDeaths[Month],7,tblDeaths[AgeUnit],"Years",tblDeaths[Age],"&gt;="&amp;70,tblDeaths[Age],"&lt;="&amp;200,tblDeaths[Sex],"M",tblDeaths[NHIS],"Non-Insured")</f>
        <v/>
      </c>
      <c r="AU15" s="12">
        <f>COUNTIFS(tblDeaths[Month],7,tblDeaths[AgeUnit],"Years",tblDeaths[Age],"&gt;="&amp;70,tblDeaths[Age],"&lt;="&amp;200,tblDeaths[Sex],"F",tblDeaths[NHIS],"Non-Insured")</f>
        <v/>
      </c>
      <c r="AV15" s="12">
        <f>COUNTIFS(tblDeaths[Month],7,tblDeaths[AgeUnit],"Years",tblDeaths[Age],"&gt;="&amp;70,tblDeaths[Age],"&lt;="&amp;200,tblDeaths[Sex],"M",tblDeaths[NHIS],"Insured")</f>
        <v/>
      </c>
      <c r="AW15" s="12">
        <f>COUNTIFS(tblDeaths[Month],7,tblDeaths[AgeUnit],"Years",tblDeaths[Age],"&gt;="&amp;70,tblDeaths[Age],"&lt;="&amp;200,tblDeaths[Sex],"F",tblDeaths[NHIS],"Insured")</f>
        <v/>
      </c>
      <c r="AX15" s="12" t="inlineStr">
        <is>
          <t>70+</t>
        </is>
      </c>
      <c r="AY15" s="12">
        <f>COUNTIFS(tblDeaths[Month],8,tblDeaths[AgeUnit],"Years",tblDeaths[Age],"&gt;="&amp;70,tblDeaths[Age],"&lt;="&amp;200,tblDeaths[Sex],"M")</f>
        <v/>
      </c>
      <c r="AZ15" s="12">
        <f>COUNTIFS(tblDeaths[Month],8,tblDeaths[AgeUnit],"Years",tblDeaths[Age],"&gt;="&amp;70,tblDeaths[Age],"&lt;="&amp;200,tblDeaths[Sex],"F")</f>
        <v/>
      </c>
      <c r="BA15" s="12">
        <f>COUNTIFS(tblDeaths[Month],8,tblDeaths[AgeUnit],"Years",tblDeaths[Age],"&gt;="&amp;70,tblDeaths[Age],"&lt;="&amp;200,tblDeaths[Sex],"M",tblDeaths[NHIS],"Non-Insured")</f>
        <v/>
      </c>
      <c r="BB15" s="12">
        <f>COUNTIFS(tblDeaths[Month],8,tblDeaths[AgeUnit],"Years",tblDeaths[Age],"&gt;="&amp;70,tblDeaths[Age],"&lt;="&amp;200,tblDeaths[Sex],"F",tblDeaths[NHIS],"Non-Insured")</f>
        <v/>
      </c>
      <c r="BC15" s="12">
        <f>COUNTIFS(tblDeaths[Month],8,tblDeaths[AgeUnit],"Years",tblDeaths[Age],"&gt;="&amp;70,tblDeaths[Age],"&lt;="&amp;200,tblDeaths[Sex],"M",tblDeaths[NHIS],"Insured")</f>
        <v/>
      </c>
      <c r="BD15" s="12">
        <f>COUNTIFS(tblDeaths[Month],8,tblDeaths[AgeUnit],"Years",tblDeaths[Age],"&gt;="&amp;70,tblDeaths[Age],"&lt;="&amp;200,tblDeaths[Sex],"F",tblDeaths[NHIS],"Insured")</f>
        <v/>
      </c>
      <c r="BE15" s="12" t="inlineStr">
        <is>
          <t>70+</t>
        </is>
      </c>
      <c r="BF15" s="12">
        <f>COUNTIFS(tblDeaths[Month],9,tblDeaths[AgeUnit],"Years",tblDeaths[Age],"&gt;="&amp;70,tblDeaths[Age],"&lt;="&amp;200,tblDeaths[Sex],"M")</f>
        <v/>
      </c>
      <c r="BG15" s="12">
        <f>COUNTIFS(tblDeaths[Month],9,tblDeaths[AgeUnit],"Years",tblDeaths[Age],"&gt;="&amp;70,tblDeaths[Age],"&lt;="&amp;200,tblDeaths[Sex],"F")</f>
        <v/>
      </c>
      <c r="BH15" s="12">
        <f>COUNTIFS(tblDeaths[Month],9,tblDeaths[AgeUnit],"Years",tblDeaths[Age],"&gt;="&amp;70,tblDeaths[Age],"&lt;="&amp;200,tblDeaths[Sex],"M",tblDeaths[NHIS],"Non-Insured")</f>
        <v/>
      </c>
      <c r="BI15" s="12">
        <f>COUNTIFS(tblDeaths[Month],9,tblDeaths[AgeUnit],"Years",tblDeaths[Age],"&gt;="&amp;70,tblDeaths[Age],"&lt;="&amp;200,tblDeaths[Sex],"F",tblDeaths[NHIS],"Non-Insured")</f>
        <v/>
      </c>
      <c r="BJ15" s="12">
        <f>COUNTIFS(tblDeaths[Month],9,tblDeaths[AgeUnit],"Years",tblDeaths[Age],"&gt;="&amp;70,tblDeaths[Age],"&lt;="&amp;200,tblDeaths[Sex],"M",tblDeaths[NHIS],"Insured")</f>
        <v/>
      </c>
      <c r="BK15" s="12">
        <f>COUNTIFS(tblDeaths[Month],9,tblDeaths[AgeUnit],"Years",tblDeaths[Age],"&gt;="&amp;70,tblDeaths[Age],"&lt;="&amp;200,tblDeaths[Sex],"F",tblDeaths[NHIS],"Insured")</f>
        <v/>
      </c>
      <c r="BL15" s="12" t="inlineStr">
        <is>
          <t>70+</t>
        </is>
      </c>
      <c r="BM15" s="12">
        <f>COUNTIFS(tblDeaths[Month],10,tblDeaths[AgeUnit],"Years",tblDeaths[Age],"&gt;="&amp;70,tblDeaths[Age],"&lt;="&amp;200,tblDeaths[Sex],"M")</f>
        <v/>
      </c>
      <c r="BN15" s="12">
        <f>COUNTIFS(tblDeaths[Month],10,tblDeaths[AgeUnit],"Years",tblDeaths[Age],"&gt;="&amp;70,tblDeaths[Age],"&lt;="&amp;200,tblDeaths[Sex],"F")</f>
        <v/>
      </c>
      <c r="BO15" s="12">
        <f>COUNTIFS(tblDeaths[Month],10,tblDeaths[AgeUnit],"Years",tblDeaths[Age],"&gt;="&amp;70,tblDeaths[Age],"&lt;="&amp;200,tblDeaths[Sex],"M",tblDeaths[NHIS],"Non-Insured")</f>
        <v/>
      </c>
      <c r="BP15" s="12">
        <f>COUNTIFS(tblDeaths[Month],10,tblDeaths[AgeUnit],"Years",tblDeaths[Age],"&gt;="&amp;70,tblDeaths[Age],"&lt;="&amp;200,tblDeaths[Sex],"F",tblDeaths[NHIS],"Non-Insured")</f>
        <v/>
      </c>
      <c r="BQ15" s="12">
        <f>COUNTIFS(tblDeaths[Month],10,tblDeaths[AgeUnit],"Years",tblDeaths[Age],"&gt;="&amp;70,tblDeaths[Age],"&lt;="&amp;200,tblDeaths[Sex],"M",tblDeaths[NHIS],"Insured")</f>
        <v/>
      </c>
      <c r="BR15" s="12">
        <f>COUNTIFS(tblDeaths[Month],10,tblDeaths[AgeUnit],"Years",tblDeaths[Age],"&gt;="&amp;70,tblDeaths[Age],"&lt;="&amp;200,tblDeaths[Sex],"F",tblDeaths[NHIS],"Insured")</f>
        <v/>
      </c>
      <c r="BS15" s="12" t="inlineStr">
        <is>
          <t>70+</t>
        </is>
      </c>
      <c r="BT15" s="12">
        <f>COUNTIFS(tblDeaths[Month],11,tblDeaths[AgeUnit],"Years",tblDeaths[Age],"&gt;="&amp;70,tblDeaths[Age],"&lt;="&amp;200,tblDeaths[Sex],"M")</f>
        <v/>
      </c>
      <c r="BU15" s="12">
        <f>COUNTIFS(tblDeaths[Month],11,tblDeaths[AgeUnit],"Years",tblDeaths[Age],"&gt;="&amp;70,tblDeaths[Age],"&lt;="&amp;200,tblDeaths[Sex],"F")</f>
        <v/>
      </c>
      <c r="BV15" s="12">
        <f>COUNTIFS(tblDeaths[Month],11,tblDeaths[AgeUnit],"Years",tblDeaths[Age],"&gt;="&amp;70,tblDeaths[Age],"&lt;="&amp;200,tblDeaths[Sex],"M",tblDeaths[NHIS],"Non-Insured")</f>
        <v/>
      </c>
      <c r="BW15" s="12">
        <f>COUNTIFS(tblDeaths[Month],11,tblDeaths[AgeUnit],"Years",tblDeaths[Age],"&gt;="&amp;70,tblDeaths[Age],"&lt;="&amp;200,tblDeaths[Sex],"F",tblDeaths[NHIS],"Non-Insured")</f>
        <v/>
      </c>
      <c r="BX15" s="12">
        <f>COUNTIFS(tblDeaths[Month],11,tblDeaths[AgeUnit],"Years",tblDeaths[Age],"&gt;="&amp;70,tblDeaths[Age],"&lt;="&amp;200,tblDeaths[Sex],"M",tblDeaths[NHIS],"Insured")</f>
        <v/>
      </c>
      <c r="BY15" s="12">
        <f>COUNTIFS(tblDeaths[Month],11,tblDeaths[AgeUnit],"Years",tblDeaths[Age],"&gt;="&amp;70,tblDeaths[Age],"&lt;="&amp;200,tblDeaths[Sex],"F",tblDeaths[NHIS],"Insured")</f>
        <v/>
      </c>
      <c r="BZ15" s="12" t="inlineStr">
        <is>
          <t>70+</t>
        </is>
      </c>
      <c r="CA15" s="12">
        <f>COUNTIFS(tblDeaths[Month],12,tblDeaths[AgeUnit],"Years",tblDeaths[Age],"&gt;="&amp;70,tblDeaths[Age],"&lt;="&amp;200,tblDeaths[Sex],"M")</f>
        <v/>
      </c>
      <c r="CB15" s="12">
        <f>COUNTIFS(tblDeaths[Month],12,tblDeaths[AgeUnit],"Years",tblDeaths[Age],"&gt;="&amp;70,tblDeaths[Age],"&lt;="&amp;200,tblDeaths[Sex],"F")</f>
        <v/>
      </c>
      <c r="CC15" s="12">
        <f>COUNTIFS(tblDeaths[Month],12,tblDeaths[AgeUnit],"Years",tblDeaths[Age],"&gt;="&amp;70,tblDeaths[Age],"&lt;="&amp;200,tblDeaths[Sex],"M",tblDeaths[NHIS],"Non-Insured")</f>
        <v/>
      </c>
      <c r="CD15" s="12">
        <f>COUNTIFS(tblDeaths[Month],12,tblDeaths[AgeUnit],"Years",tblDeaths[Age],"&gt;="&amp;70,tblDeaths[Age],"&lt;="&amp;200,tblDeaths[Sex],"F",tblDeaths[NHIS],"Non-Insured")</f>
        <v/>
      </c>
      <c r="CE15" s="12">
        <f>COUNTIFS(tblDeaths[Month],12,tblDeaths[AgeUnit],"Years",tblDeaths[Age],"&gt;="&amp;70,tblDeaths[Age],"&lt;="&amp;200,tblDeaths[Sex],"M",tblDeaths[NHIS],"Insured")</f>
        <v/>
      </c>
      <c r="CF15" s="12">
        <f>COUNTIFS(tblDeaths[Month],12,tblDeaths[AgeUnit],"Years",tblDeaths[Age],"&gt;="&amp;70,tblDeaths[Age],"&lt;="&amp;200,tblDeaths[Sex],"F",tblDeaths[NHIS],"Insured")</f>
        <v/>
      </c>
    </row>
    <row r="16">
      <c r="A16" s="17" t="inlineStr">
        <is>
          <t>Total</t>
        </is>
      </c>
      <c r="B16" s="17">
        <f>SUM(B4:B15)</f>
        <v/>
      </c>
      <c r="C16" s="17">
        <f>SUM(C4:C15)</f>
        <v/>
      </c>
      <c r="D16" s="17">
        <f>SUM(D4:D15)</f>
        <v/>
      </c>
      <c r="E16" s="17">
        <f>SUM(E4:E15)</f>
        <v/>
      </c>
      <c r="F16" s="17">
        <f>SUM(F4:F15)</f>
        <v/>
      </c>
      <c r="G16" s="17">
        <f>SUM(G4:G15)</f>
        <v/>
      </c>
      <c r="H16" s="17" t="inlineStr">
        <is>
          <t>Total</t>
        </is>
      </c>
      <c r="I16" s="17">
        <f>SUM(I4:I15)</f>
        <v/>
      </c>
      <c r="J16" s="17">
        <f>SUM(J4:J15)</f>
        <v/>
      </c>
      <c r="K16" s="17">
        <f>SUM(K4:K15)</f>
        <v/>
      </c>
      <c r="L16" s="17">
        <f>SUM(L4:L15)</f>
        <v/>
      </c>
      <c r="M16" s="17">
        <f>SUM(M4:M15)</f>
        <v/>
      </c>
      <c r="N16" s="17">
        <f>SUM(N4:N15)</f>
        <v/>
      </c>
      <c r="O16" s="17" t="inlineStr">
        <is>
          <t>Total</t>
        </is>
      </c>
      <c r="P16" s="17">
        <f>SUM(P4:P15)</f>
        <v/>
      </c>
      <c r="Q16" s="17">
        <f>SUM(Q4:Q15)</f>
        <v/>
      </c>
      <c r="R16" s="17">
        <f>SUM(R4:R15)</f>
        <v/>
      </c>
      <c r="S16" s="17">
        <f>SUM(S4:S15)</f>
        <v/>
      </c>
      <c r="T16" s="17">
        <f>SUM(T4:T15)</f>
        <v/>
      </c>
      <c r="U16" s="17">
        <f>SUM(U4:U15)</f>
        <v/>
      </c>
      <c r="V16" s="17" t="inlineStr">
        <is>
          <t>Total</t>
        </is>
      </c>
      <c r="W16" s="17">
        <f>SUM(W4:W15)</f>
        <v/>
      </c>
      <c r="X16" s="17">
        <f>SUM(X4:X15)</f>
        <v/>
      </c>
      <c r="Y16" s="17">
        <f>SUM(Y4:Y15)</f>
        <v/>
      </c>
      <c r="Z16" s="17">
        <f>SUM(Z4:Z15)</f>
        <v/>
      </c>
      <c r="AA16" s="17">
        <f>SUM(AA4:AA15)</f>
        <v/>
      </c>
      <c r="AB16" s="17">
        <f>SUM(AB4:AB15)</f>
        <v/>
      </c>
      <c r="AC16" s="17" t="inlineStr">
        <is>
          <t>Total</t>
        </is>
      </c>
      <c r="AD16" s="17">
        <f>SUM(AD4:AD15)</f>
        <v/>
      </c>
      <c r="AE16" s="17">
        <f>SUM(AE4:AE15)</f>
        <v/>
      </c>
      <c r="AF16" s="17">
        <f>SUM(AF4:AF15)</f>
        <v/>
      </c>
      <c r="AG16" s="17">
        <f>SUM(AG4:AG15)</f>
        <v/>
      </c>
      <c r="AH16" s="17">
        <f>SUM(AH4:AH15)</f>
        <v/>
      </c>
      <c r="AI16" s="17">
        <f>SUM(AI4:AI15)</f>
        <v/>
      </c>
      <c r="AJ16" s="17" t="inlineStr">
        <is>
          <t>Total</t>
        </is>
      </c>
      <c r="AK16" s="17">
        <f>SUM(AK4:AK15)</f>
        <v/>
      </c>
      <c r="AL16" s="17">
        <f>SUM(AL4:AL15)</f>
        <v/>
      </c>
      <c r="AM16" s="17">
        <f>SUM(AM4:AM15)</f>
        <v/>
      </c>
      <c r="AN16" s="17">
        <f>SUM(AN4:AN15)</f>
        <v/>
      </c>
      <c r="AO16" s="17">
        <f>SUM(AO4:AO15)</f>
        <v/>
      </c>
      <c r="AP16" s="17">
        <f>SUM(AP4:AP15)</f>
        <v/>
      </c>
      <c r="AQ16" s="17" t="inlineStr">
        <is>
          <t>Total</t>
        </is>
      </c>
      <c r="AR16" s="17">
        <f>SUM(AR4:AR15)</f>
        <v/>
      </c>
      <c r="AS16" s="17">
        <f>SUM(AS4:AS15)</f>
        <v/>
      </c>
      <c r="AT16" s="17">
        <f>SUM(AT4:AT15)</f>
        <v/>
      </c>
      <c r="AU16" s="17">
        <f>SUM(AU4:AU15)</f>
        <v/>
      </c>
      <c r="AV16" s="17">
        <f>SUM(AV4:AV15)</f>
        <v/>
      </c>
      <c r="AW16" s="17">
        <f>SUM(AW4:AW15)</f>
        <v/>
      </c>
      <c r="AX16" s="17" t="inlineStr">
        <is>
          <t>Total</t>
        </is>
      </c>
      <c r="AY16" s="17">
        <f>SUM(AY4:AY15)</f>
        <v/>
      </c>
      <c r="AZ16" s="17">
        <f>SUM(AZ4:AZ15)</f>
        <v/>
      </c>
      <c r="BA16" s="17">
        <f>SUM(BA4:BA15)</f>
        <v/>
      </c>
      <c r="BB16" s="17">
        <f>SUM(BB4:BB15)</f>
        <v/>
      </c>
      <c r="BC16" s="17">
        <f>SUM(BC4:BC15)</f>
        <v/>
      </c>
      <c r="BD16" s="17">
        <f>SUM(BD4:BD15)</f>
        <v/>
      </c>
      <c r="BE16" s="17" t="inlineStr">
        <is>
          <t>Total</t>
        </is>
      </c>
      <c r="BF16" s="17">
        <f>SUM(BF4:BF15)</f>
        <v/>
      </c>
      <c r="BG16" s="17">
        <f>SUM(BG4:BG15)</f>
        <v/>
      </c>
      <c r="BH16" s="17">
        <f>SUM(BH4:BH15)</f>
        <v/>
      </c>
      <c r="BI16" s="17">
        <f>SUM(BI4:BI15)</f>
        <v/>
      </c>
      <c r="BJ16" s="17">
        <f>SUM(BJ4:BJ15)</f>
        <v/>
      </c>
      <c r="BK16" s="17">
        <f>SUM(BK4:BK15)</f>
        <v/>
      </c>
      <c r="BL16" s="17" t="inlineStr">
        <is>
          <t>Total</t>
        </is>
      </c>
      <c r="BM16" s="17">
        <f>SUM(BM4:BM15)</f>
        <v/>
      </c>
      <c r="BN16" s="17">
        <f>SUM(BN4:BN15)</f>
        <v/>
      </c>
      <c r="BO16" s="17">
        <f>SUM(BO4:BO15)</f>
        <v/>
      </c>
      <c r="BP16" s="17">
        <f>SUM(BP4:BP15)</f>
        <v/>
      </c>
      <c r="BQ16" s="17">
        <f>SUM(BQ4:BQ15)</f>
        <v/>
      </c>
      <c r="BR16" s="17">
        <f>SUM(BR4:BR15)</f>
        <v/>
      </c>
      <c r="BS16" s="17" t="inlineStr">
        <is>
          <t>Total</t>
        </is>
      </c>
      <c r="BT16" s="17">
        <f>SUM(BT4:BT15)</f>
        <v/>
      </c>
      <c r="BU16" s="17">
        <f>SUM(BU4:BU15)</f>
        <v/>
      </c>
      <c r="BV16" s="17">
        <f>SUM(BV4:BV15)</f>
        <v/>
      </c>
      <c r="BW16" s="17">
        <f>SUM(BW4:BW15)</f>
        <v/>
      </c>
      <c r="BX16" s="17">
        <f>SUM(BX4:BX15)</f>
        <v/>
      </c>
      <c r="BY16" s="17">
        <f>SUM(BY4:BY15)</f>
        <v/>
      </c>
      <c r="BZ16" s="17" t="inlineStr">
        <is>
          <t>Total</t>
        </is>
      </c>
      <c r="CA16" s="17">
        <f>SUM(CA4:CA15)</f>
        <v/>
      </c>
      <c r="CB16" s="17">
        <f>SUM(CB4:CB15)</f>
        <v/>
      </c>
      <c r="CC16" s="17">
        <f>SUM(CC4:CC15)</f>
        <v/>
      </c>
      <c r="CD16" s="17">
        <f>SUM(CD4:CD15)</f>
        <v/>
      </c>
      <c r="CE16" s="17">
        <f>SUM(CE4:CE15)</f>
        <v/>
      </c>
      <c r="CF16" s="17">
        <f>SUM(CF4:CF15)</f>
        <v/>
      </c>
    </row>
  </sheetData>
  <mergeCells count="48">
    <mergeCell ref="AQ1:AW1"/>
    <mergeCell ref="AM2:AN2"/>
    <mergeCell ref="BZ1:CF1"/>
    <mergeCell ref="AO2:AP2"/>
    <mergeCell ref="I2:J2"/>
    <mergeCell ref="BA2:BB2"/>
    <mergeCell ref="BC2:BD2"/>
    <mergeCell ref="AJ1:AP1"/>
    <mergeCell ref="M2:N2"/>
    <mergeCell ref="B2:C2"/>
    <mergeCell ref="D2:E2"/>
    <mergeCell ref="Y2:Z2"/>
    <mergeCell ref="AV2:AW2"/>
    <mergeCell ref="BM2:BN2"/>
    <mergeCell ref="BH2:BI2"/>
    <mergeCell ref="P2:Q2"/>
    <mergeCell ref="BO2:BP2"/>
    <mergeCell ref="BJ2:BK2"/>
    <mergeCell ref="CA2:CB2"/>
    <mergeCell ref="AX1:BD1"/>
    <mergeCell ref="H1:N1"/>
    <mergeCell ref="F2:G2"/>
    <mergeCell ref="A1:G1"/>
    <mergeCell ref="BL1:BR1"/>
    <mergeCell ref="T2:U2"/>
    <mergeCell ref="BT2:BU2"/>
    <mergeCell ref="K2:L2"/>
    <mergeCell ref="BV2:BW2"/>
    <mergeCell ref="AD2:AE2"/>
    <mergeCell ref="AF2:AG2"/>
    <mergeCell ref="BX2:BY2"/>
    <mergeCell ref="AY2:AZ2"/>
    <mergeCell ref="BQ2:BR2"/>
    <mergeCell ref="O1:U1"/>
    <mergeCell ref="V1:AB1"/>
    <mergeCell ref="BE1:BK1"/>
    <mergeCell ref="AH2:AI2"/>
    <mergeCell ref="W2:X2"/>
    <mergeCell ref="BS1:BY1"/>
    <mergeCell ref="AA2:AB2"/>
    <mergeCell ref="AR2:AS2"/>
    <mergeCell ref="AT2:AU2"/>
    <mergeCell ref="R2:S2"/>
    <mergeCell ref="CC2:CD2"/>
    <mergeCell ref="AK2:AL2"/>
    <mergeCell ref="CE2:CF2"/>
    <mergeCell ref="BF2:BG2"/>
    <mergeCell ref="AC1:A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CAUSE OF DEATH SUMMARY</t>
        </is>
      </c>
    </row>
    <row r="2">
      <c r="A2" s="11" t="inlineStr">
        <is>
          <t>Cause of Death</t>
        </is>
      </c>
      <c r="B2" s="11" t="inlineStr">
        <is>
          <t>JANUARY</t>
        </is>
      </c>
      <c r="C2" s="11" t="inlineStr">
        <is>
          <t>FEBRUARY</t>
        </is>
      </c>
      <c r="D2" s="11" t="inlineStr">
        <is>
          <t>MARCH</t>
        </is>
      </c>
      <c r="E2" s="11" t="inlineStr">
        <is>
          <t>APRIL</t>
        </is>
      </c>
      <c r="F2" s="11" t="inlineStr">
        <is>
          <t>MAY</t>
        </is>
      </c>
      <c r="G2" s="11" t="inlineStr">
        <is>
          <t>JUNE</t>
        </is>
      </c>
      <c r="H2" s="11" t="inlineStr">
        <is>
          <t>JULY</t>
        </is>
      </c>
      <c r="I2" s="11" t="inlineStr">
        <is>
          <t>AUGUST</t>
        </is>
      </c>
      <c r="J2" s="11" t="inlineStr">
        <is>
          <t>SEPTEMBER</t>
        </is>
      </c>
      <c r="K2" s="11" t="inlineStr">
        <is>
          <t>OCTOBER</t>
        </is>
      </c>
      <c r="L2" s="11" t="inlineStr">
        <is>
          <t>NOVEMBER</t>
        </is>
      </c>
      <c r="M2" s="11" t="inlineStr">
        <is>
          <t>DECEMBER</t>
        </is>
      </c>
      <c r="N2" s="11" t="inlineStr">
        <is>
          <t>TOTAL</t>
        </is>
      </c>
    </row>
    <row r="3">
      <c r="A3" s="5" t="inlineStr">
        <is>
          <t>(Click 'Refresh Reports' to populate)</t>
        </is>
      </c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00FF"/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GHANA HEALTH SERVICE - STATEMENT OF INPATIENT (YEARLY SUMMARY)</t>
        </is>
      </c>
    </row>
    <row r="3">
      <c r="A3" s="16" t="inlineStr">
        <is>
          <t>WARD</t>
        </is>
      </c>
      <c r="B3" s="16" t="inlineStr">
        <is>
          <t>Patients on bed
at start of year</t>
        </is>
      </c>
      <c r="C3" s="16" t="inlineStr">
        <is>
          <t>Bed Complement</t>
        </is>
      </c>
      <c r="D3" s="16" t="inlineStr">
        <is>
          <t>Admissions</t>
        </is>
      </c>
      <c r="E3" s="16" t="inlineStr">
        <is>
          <t>Discharges</t>
        </is>
      </c>
      <c r="F3" s="16" t="inlineStr">
        <is>
          <t>Deaths</t>
        </is>
      </c>
      <c r="G3" s="16" t="inlineStr">
        <is>
          <t>Deaths
&lt;24Hrs</t>
        </is>
      </c>
      <c r="H3" s="16" t="inlineStr">
        <is>
          <t>Patient
Days</t>
        </is>
      </c>
      <c r="I3" s="16" t="inlineStr">
        <is>
          <t>Transfer In</t>
        </is>
      </c>
      <c r="J3" s="16" t="inlineStr">
        <is>
          <t>Transfer
Out</t>
        </is>
      </c>
      <c r="K3" s="16" t="inlineStr">
        <is>
          <t>Average
Daily Bed
Occupancy</t>
        </is>
      </c>
      <c r="L3" s="16" t="inlineStr">
        <is>
          <t>Average
Length
of Stay</t>
        </is>
      </c>
      <c r="M3" s="16" t="inlineStr">
        <is>
          <t>Bed
Turnover
Interval</t>
        </is>
      </c>
      <c r="N3" s="16" t="inlineStr">
        <is>
          <t>Bed
Turnover
Rate</t>
        </is>
      </c>
      <c r="O3" s="16" t="inlineStr">
        <is>
          <t>Percentage
of
Occupancy</t>
        </is>
      </c>
      <c r="P3" s="16" t="inlineStr">
        <is>
          <t>Death
Rate</t>
        </is>
      </c>
    </row>
    <row r="4">
      <c r="A4" s="35" t="inlineStr">
        <is>
          <t>Male Medical</t>
        </is>
      </c>
      <c r="B4" s="36">
        <f>IFERROR(INDEX(tblWardConfig[PrevYearRemaining],MATCH("MW",tblWardConfig[WardCode],0)),0)</f>
        <v/>
      </c>
      <c r="C4" s="36">
        <f>IFERROR(INDEX(tblWardConfig[BedComplement],MATCH("MW",tblWardConfig[WardCode],0)),0)</f>
        <v/>
      </c>
      <c r="D4" s="37">
        <f>SUMIFS(tblDaily[Admissions],tblDaily[WardCode],"MW") - SUMIFS(tblDaily[DeathsUnder24Hrs],tblDaily[WardCode],"MW")</f>
        <v/>
      </c>
      <c r="E4" s="37">
        <f>SUMIFS(tblDaily[Discharges],tblDaily[WardCode],"MW")</f>
        <v/>
      </c>
      <c r="F4" s="37">
        <f>SUMIFS(tblDaily[Deaths],tblDaily[WardCode],"MW")</f>
        <v/>
      </c>
      <c r="G4" s="37">
        <f>SUMIFS(tblDaily[DeathsUnder24Hrs],tblDaily[WardCode],"MW")</f>
        <v/>
      </c>
      <c r="H4" s="37">
        <f>SUMIFS(tblDaily[Remaining],tblDaily[WardCode],"MW")</f>
        <v/>
      </c>
      <c r="I4" s="37">
        <f>SUMIFS(tblDaily[TransfersIn],tblDaily[WardCode],"MW")</f>
        <v/>
      </c>
      <c r="J4" s="37">
        <f>SUMIFS(tblDaily[TransfersOut],tblDaily[WardCode],"MW")</f>
        <v/>
      </c>
      <c r="K4" s="38">
        <f>IFERROR(H4/365,0)</f>
        <v/>
      </c>
      <c r="L4" s="38">
        <f>IFERROR(H4/(E4+F4),0)</f>
        <v/>
      </c>
      <c r="M4" s="38">
        <f>IFERROR((C4*365-H4)/(E4+F4),0)</f>
        <v/>
      </c>
      <c r="N4" s="38">
        <f>IFERROR((E4+F4)/C4,0)</f>
        <v/>
      </c>
      <c r="O4" s="38">
        <f>IFERROR((H4/(C4*365))*100,0)</f>
        <v/>
      </c>
      <c r="P4" s="38">
        <f>IFERROR((F4/(D4+B4))*100,0)</f>
        <v/>
      </c>
    </row>
    <row r="5">
      <c r="A5" s="35" t="inlineStr">
        <is>
          <t>Female Medical</t>
        </is>
      </c>
      <c r="B5" s="36">
        <f>IFERROR(INDEX(tblWardConfig[PrevYearRemaining],MATCH("FW",tblWardConfig[WardCode],0)),0)</f>
        <v/>
      </c>
      <c r="C5" s="36">
        <f>IFERROR(INDEX(tblWardConfig[BedComplement],MATCH("FW",tblWardConfig[WardCode],0)),0)</f>
        <v/>
      </c>
      <c r="D5" s="37">
        <f>SUMIFS(tblDaily[Admissions],tblDaily[WardCode],"FW") - SUMIFS(tblDaily[DeathsUnder24Hrs],tblDaily[WardCode],"FW")</f>
        <v/>
      </c>
      <c r="E5" s="37">
        <f>SUMIFS(tblDaily[Discharges],tblDaily[WardCode],"FW")</f>
        <v/>
      </c>
      <c r="F5" s="37">
        <f>SUMIFS(tblDaily[Deaths],tblDaily[WardCode],"FW")</f>
        <v/>
      </c>
      <c r="G5" s="37">
        <f>SUMIFS(tblDaily[DeathsUnder24Hrs],tblDaily[WardCode],"FW")</f>
        <v/>
      </c>
      <c r="H5" s="37">
        <f>SUMIFS(tblDaily[Remaining],tblDaily[WardCode],"FW")</f>
        <v/>
      </c>
      <c r="I5" s="37">
        <f>SUMIFS(tblDaily[TransfersIn],tblDaily[WardCode],"FW")</f>
        <v/>
      </c>
      <c r="J5" s="37">
        <f>SUMIFS(tblDaily[TransfersOut],tblDaily[WardCode],"FW")</f>
        <v/>
      </c>
      <c r="K5" s="38">
        <f>IFERROR(H5/365,0)</f>
        <v/>
      </c>
      <c r="L5" s="38">
        <f>IFERROR(H5/(E5+F5),0)</f>
        <v/>
      </c>
      <c r="M5" s="38">
        <f>IFERROR((C5*365-H5)/(E5+F5),0)</f>
        <v/>
      </c>
      <c r="N5" s="38">
        <f>IFERROR((E5+F5)/C5,0)</f>
        <v/>
      </c>
      <c r="O5" s="38">
        <f>IFERROR((H5/(C5*365))*100,0)</f>
        <v/>
      </c>
      <c r="P5" s="38">
        <f>IFERROR((F5/(D5+B5))*100,0)</f>
        <v/>
      </c>
    </row>
    <row r="6">
      <c r="A6" s="35" t="inlineStr">
        <is>
          <t>Paediatric</t>
        </is>
      </c>
      <c r="B6" s="36">
        <f>IFERROR(INDEX(tblWardConfig[PrevYearRemaining],MATCH("CW",tblWardConfig[WardCode],0)),0)</f>
        <v/>
      </c>
      <c r="C6" s="36">
        <f>IFERROR(INDEX(tblWardConfig[BedComplement],MATCH("CW",tblWardConfig[WardCode],0)),0)</f>
        <v/>
      </c>
      <c r="D6" s="37">
        <f>SUMIFS(tblDaily[Admissions],tblDaily[WardCode],"CW") - SUMIFS(tblDaily[DeathsUnder24Hrs],tblDaily[WardCode],"CW")</f>
        <v/>
      </c>
      <c r="E6" s="37">
        <f>SUMIFS(tblDaily[Discharges],tblDaily[WardCode],"CW")</f>
        <v/>
      </c>
      <c r="F6" s="37">
        <f>SUMIFS(tblDaily[Deaths],tblDaily[WardCode],"CW")</f>
        <v/>
      </c>
      <c r="G6" s="37">
        <f>SUMIFS(tblDaily[DeathsUnder24Hrs],tblDaily[WardCode],"CW")</f>
        <v/>
      </c>
      <c r="H6" s="37">
        <f>SUMIFS(tblDaily[Remaining],tblDaily[WardCode],"CW")</f>
        <v/>
      </c>
      <c r="I6" s="37">
        <f>SUMIFS(tblDaily[TransfersIn],tblDaily[WardCode],"CW")</f>
        <v/>
      </c>
      <c r="J6" s="37">
        <f>SUMIFS(tblDaily[TransfersOut],tblDaily[WardCode],"CW")</f>
        <v/>
      </c>
      <c r="K6" s="38">
        <f>IFERROR(H6/365,0)</f>
        <v/>
      </c>
      <c r="L6" s="38">
        <f>IFERROR(H6/(E6+F6),0)</f>
        <v/>
      </c>
      <c r="M6" s="38">
        <f>IFERROR((C6*365-H6)/(E6+F6),0)</f>
        <v/>
      </c>
      <c r="N6" s="38">
        <f>IFERROR((E6+F6)/C6,0)</f>
        <v/>
      </c>
      <c r="O6" s="38">
        <f>IFERROR((H6/(C6*365))*100,0)</f>
        <v/>
      </c>
      <c r="P6" s="38">
        <f>IFERROR((F6/(D6+B6))*100,0)</f>
        <v/>
      </c>
    </row>
    <row r="7">
      <c r="A7" s="35" t="inlineStr">
        <is>
          <t>Block F</t>
        </is>
      </c>
      <c r="B7" s="36">
        <f>IFERROR(INDEX(tblWardConfig[PrevYearRemaining],MATCH("BF",tblWardConfig[WardCode],0)),0)</f>
        <v/>
      </c>
      <c r="C7" s="36">
        <f>IFERROR(INDEX(tblWardConfig[BedComplement],MATCH("BF",tblWardConfig[WardCode],0)),0)</f>
        <v/>
      </c>
      <c r="D7" s="37">
        <f>SUMIFS(tblDaily[Admissions],tblDaily[WardCode],"BF") - SUMIFS(tblDaily[DeathsUnder24Hrs],tblDaily[WardCode],"BF")</f>
        <v/>
      </c>
      <c r="E7" s="37">
        <f>SUMIFS(tblDaily[Discharges],tblDaily[WardCode],"BF")</f>
        <v/>
      </c>
      <c r="F7" s="37">
        <f>SUMIFS(tblDaily[Deaths],tblDaily[WardCode],"BF")</f>
        <v/>
      </c>
      <c r="G7" s="37">
        <f>SUMIFS(tblDaily[DeathsUnder24Hrs],tblDaily[WardCode],"BF")</f>
        <v/>
      </c>
      <c r="H7" s="37">
        <f>SUMIFS(tblDaily[Remaining],tblDaily[WardCode],"BF")</f>
        <v/>
      </c>
      <c r="I7" s="37">
        <f>SUMIFS(tblDaily[TransfersIn],tblDaily[WardCode],"BF")</f>
        <v/>
      </c>
      <c r="J7" s="37">
        <f>SUMIFS(tblDaily[TransfersOut],tblDaily[WardCode],"BF")</f>
        <v/>
      </c>
      <c r="K7" s="38">
        <f>IFERROR(H7/365,0)</f>
        <v/>
      </c>
      <c r="L7" s="38">
        <f>IFERROR(H7/(E7+F7),0)</f>
        <v/>
      </c>
      <c r="M7" s="38">
        <f>IFERROR((C7*365-H7)/(E7+F7),0)</f>
        <v/>
      </c>
      <c r="N7" s="38">
        <f>IFERROR((E7+F7)/C7,0)</f>
        <v/>
      </c>
      <c r="O7" s="38">
        <f>IFERROR((H7/(C7*365))*100,0)</f>
        <v/>
      </c>
      <c r="P7" s="38">
        <f>IFERROR((F7/(D7+B7))*100,0)</f>
        <v/>
      </c>
    </row>
    <row r="8">
      <c r="A8" s="35" t="inlineStr">
        <is>
          <t>Block G</t>
        </is>
      </c>
      <c r="B8" s="36">
        <f>IFERROR(INDEX(tblWardConfig[PrevYearRemaining],MATCH("BG",tblWardConfig[WardCode],0)),0)</f>
        <v/>
      </c>
      <c r="C8" s="36">
        <f>IFERROR(INDEX(tblWardConfig[BedComplement],MATCH("BG",tblWardConfig[WardCode],0)),0)</f>
        <v/>
      </c>
      <c r="D8" s="37">
        <f>SUMIFS(tblDaily[Admissions],tblDaily[WardCode],"BG") - SUMIFS(tblDaily[DeathsUnder24Hrs],tblDaily[WardCode],"BG")</f>
        <v/>
      </c>
      <c r="E8" s="37">
        <f>SUMIFS(tblDaily[Discharges],tblDaily[WardCode],"BG")</f>
        <v/>
      </c>
      <c r="F8" s="37">
        <f>SUMIFS(tblDaily[Deaths],tblDaily[WardCode],"BG")</f>
        <v/>
      </c>
      <c r="G8" s="37">
        <f>SUMIFS(tblDaily[DeathsUnder24Hrs],tblDaily[WardCode],"BG")</f>
        <v/>
      </c>
      <c r="H8" s="37">
        <f>SUMIFS(tblDaily[Remaining],tblDaily[WardCode],"BG")</f>
        <v/>
      </c>
      <c r="I8" s="37">
        <f>SUMIFS(tblDaily[TransfersIn],tblDaily[WardCode],"BG")</f>
        <v/>
      </c>
      <c r="J8" s="37">
        <f>SUMIFS(tblDaily[TransfersOut],tblDaily[WardCode],"BG")</f>
        <v/>
      </c>
      <c r="K8" s="38">
        <f>IFERROR(H8/365,0)</f>
        <v/>
      </c>
      <c r="L8" s="38">
        <f>IFERROR(H8/(E8+F8),0)</f>
        <v/>
      </c>
      <c r="M8" s="38">
        <f>IFERROR((C8*365-H8)/(E8+F8),0)</f>
        <v/>
      </c>
      <c r="N8" s="38">
        <f>IFERROR((E8+F8)/C8,0)</f>
        <v/>
      </c>
      <c r="O8" s="38">
        <f>IFERROR((H8/(C8*365))*100,0)</f>
        <v/>
      </c>
      <c r="P8" s="38">
        <f>IFERROR((F8/(D8+B8))*100,0)</f>
        <v/>
      </c>
    </row>
    <row r="9">
      <c r="A9" s="35" t="inlineStr">
        <is>
          <t>Block H</t>
        </is>
      </c>
      <c r="B9" s="36">
        <f>IFERROR(INDEX(tblWardConfig[PrevYearRemaining],MATCH("BH",tblWardConfig[WardCode],0)),0)</f>
        <v/>
      </c>
      <c r="C9" s="36">
        <f>IFERROR(INDEX(tblWardConfig[BedComplement],MATCH("BH",tblWardConfig[WardCode],0)),0)</f>
        <v/>
      </c>
      <c r="D9" s="37">
        <f>SUMIFS(tblDaily[Admissions],tblDaily[WardCode],"BH") - SUMIFS(tblDaily[DeathsUnder24Hrs],tblDaily[WardCode],"BH")</f>
        <v/>
      </c>
      <c r="E9" s="37">
        <f>SUMIFS(tblDaily[Discharges],tblDaily[WardCode],"BH")</f>
        <v/>
      </c>
      <c r="F9" s="37">
        <f>SUMIFS(tblDaily[Deaths],tblDaily[WardCode],"BH")</f>
        <v/>
      </c>
      <c r="G9" s="37">
        <f>SUMIFS(tblDaily[DeathsUnder24Hrs],tblDaily[WardCode],"BH")</f>
        <v/>
      </c>
      <c r="H9" s="37">
        <f>SUMIFS(tblDaily[Remaining],tblDaily[WardCode],"BH")</f>
        <v/>
      </c>
      <c r="I9" s="37">
        <f>SUMIFS(tblDaily[TransfersIn],tblDaily[WardCode],"BH")</f>
        <v/>
      </c>
      <c r="J9" s="37">
        <f>SUMIFS(tblDaily[TransfersOut],tblDaily[WardCode],"BH")</f>
        <v/>
      </c>
      <c r="K9" s="38">
        <f>IFERROR(H9/365,0)</f>
        <v/>
      </c>
      <c r="L9" s="38">
        <f>IFERROR(H9/(E9+F9),0)</f>
        <v/>
      </c>
      <c r="M9" s="38">
        <f>IFERROR((C9*365-H9)/(E9+F9),0)</f>
        <v/>
      </c>
      <c r="N9" s="38">
        <f>IFERROR((E9+F9)/C9,0)</f>
        <v/>
      </c>
      <c r="O9" s="38">
        <f>IFERROR((H9/(C9*365))*100,0)</f>
        <v/>
      </c>
      <c r="P9" s="38">
        <f>IFERROR((F9/(D9+B9))*100,0)</f>
        <v/>
      </c>
    </row>
    <row r="10">
      <c r="A10" s="35" t="inlineStr">
        <is>
          <t>Neonatal</t>
        </is>
      </c>
      <c r="B10" s="36">
        <f>IFERROR(INDEX(tblWardConfig[PrevYearRemaining],MATCH("NICU",tblWardConfig[WardCode],0)),0)</f>
        <v/>
      </c>
      <c r="C10" s="36">
        <f>IFERROR(INDEX(tblWardConfig[BedComplement],MATCH("NICU",tblWardConfig[WardCode],0)),0)</f>
        <v/>
      </c>
      <c r="D10" s="37">
        <f>SUMIFS(tblDaily[Admissions],tblDaily[WardCode],"NICU") - SUMIFS(tblDaily[DeathsUnder24Hrs],tblDaily[WardCode],"NICU")</f>
        <v/>
      </c>
      <c r="E10" s="37">
        <f>SUMIFS(tblDaily[Discharges],tblDaily[WardCode],"NICU")</f>
        <v/>
      </c>
      <c r="F10" s="37">
        <f>SUMIFS(tblDaily[Deaths],tblDaily[WardCode],"NICU")</f>
        <v/>
      </c>
      <c r="G10" s="37">
        <f>SUMIFS(tblDaily[DeathsUnder24Hrs],tblDaily[WardCode],"NICU")</f>
        <v/>
      </c>
      <c r="H10" s="37">
        <f>SUMIFS(tblDaily[Remaining],tblDaily[WardCode],"NICU")</f>
        <v/>
      </c>
      <c r="I10" s="37">
        <f>SUMIFS(tblDaily[TransfersIn],tblDaily[WardCode],"NICU")</f>
        <v/>
      </c>
      <c r="J10" s="37">
        <f>SUMIFS(tblDaily[TransfersOut],tblDaily[WardCode],"NICU")</f>
        <v/>
      </c>
      <c r="K10" s="38">
        <f>IFERROR(H10/365,0)</f>
        <v/>
      </c>
      <c r="L10" s="38">
        <f>IFERROR(H10/(E10+F10),0)</f>
        <v/>
      </c>
      <c r="M10" s="38">
        <f>IFERROR((C10*365-H10)/(E10+F10),0)</f>
        <v/>
      </c>
      <c r="N10" s="38">
        <f>IFERROR((E10+F10)/C10,0)</f>
        <v/>
      </c>
      <c r="O10" s="38">
        <f>IFERROR((H10/(C10*365))*100,0)</f>
        <v/>
      </c>
      <c r="P10" s="38">
        <f>IFERROR((F10/(D10+B10))*100,0)</f>
        <v/>
      </c>
    </row>
    <row r="11">
      <c r="A11" s="35" t="inlineStr">
        <is>
          <t>Male Emergency</t>
        </is>
      </c>
      <c r="B11" s="36">
        <f>IFERROR(INDEX(tblWardConfig[PrevYearRemaining],MATCH("MAE",tblWardConfig[WardCode],0)),0)</f>
        <v/>
      </c>
      <c r="C11" s="36">
        <f>IFERROR(INDEX(tblWardConfig[BedComplement],MATCH("MAE",tblWardConfig[WardCode],0)),0)</f>
        <v/>
      </c>
      <c r="D11" s="37">
        <f>SUMIFS(tblDaily[Admissions],tblDaily[WardCode],"MAE") - SUMIFS(tblDaily[DeathsUnder24Hrs],tblDaily[WardCode],"MAE")</f>
        <v/>
      </c>
      <c r="E11" s="37">
        <f>SUMIFS(tblDaily[Discharges],tblDaily[WardCode],"MAE")</f>
        <v/>
      </c>
      <c r="F11" s="37">
        <f>SUMIFS(tblDaily[Deaths],tblDaily[WardCode],"MAE")</f>
        <v/>
      </c>
      <c r="G11" s="37">
        <f>SUMIFS(tblDaily[DeathsUnder24Hrs],tblDaily[WardCode],"MAE")</f>
        <v/>
      </c>
      <c r="H11" s="37">
        <f>SUMIFS(tblDaily[Remaining],tblDaily[WardCode],"MAE")</f>
        <v/>
      </c>
      <c r="I11" s="37">
        <f>SUMIFS(tblDaily[TransfersIn],tblDaily[WardCode],"MAE")</f>
        <v/>
      </c>
      <c r="J11" s="37">
        <f>SUMIFS(tblDaily[TransfersOut],tblDaily[WardCode],"MAE")</f>
        <v/>
      </c>
      <c r="K11" s="38">
        <f>IFERROR(H11/365,0)</f>
        <v/>
      </c>
      <c r="L11" s="38">
        <f>IFERROR(H11/(E11+F11),0)</f>
        <v/>
      </c>
      <c r="M11" s="38">
        <f>IFERROR((C11*365-H11)/(E11+F11),0)</f>
        <v/>
      </c>
      <c r="N11" s="38">
        <f>IFERROR((E11+F11)/C11,0)</f>
        <v/>
      </c>
      <c r="O11" s="38">
        <f>IFERROR((H11/(C11*365))*100,0)</f>
        <v/>
      </c>
      <c r="P11" s="38">
        <f>IFERROR((F11/(D11+B11))*100,0)</f>
        <v/>
      </c>
    </row>
    <row r="12">
      <c r="A12" s="35" t="inlineStr">
        <is>
          <t>Female Emergency</t>
        </is>
      </c>
      <c r="B12" s="36">
        <f>IFERROR(INDEX(tblWardConfig[PrevYearRemaining],MATCH("FAE",tblWardConfig[WardCode],0)),0)</f>
        <v/>
      </c>
      <c r="C12" s="36">
        <f>IFERROR(INDEX(tblWardConfig[BedComplement],MATCH("FAE",tblWardConfig[WardCode],0)),0)</f>
        <v/>
      </c>
      <c r="D12" s="37">
        <f>SUMIFS(tblDaily[Admissions],tblDaily[WardCode],"FAE") - SUMIFS(tblDaily[DeathsUnder24Hrs],tblDaily[WardCode],"FAE")</f>
        <v/>
      </c>
      <c r="E12" s="37">
        <f>SUMIFS(tblDaily[Discharges],tblDaily[WardCode],"FAE")</f>
        <v/>
      </c>
      <c r="F12" s="37">
        <f>SUMIFS(tblDaily[Deaths],tblDaily[WardCode],"FAE")</f>
        <v/>
      </c>
      <c r="G12" s="37">
        <f>SUMIFS(tblDaily[DeathsUnder24Hrs],tblDaily[WardCode],"FAE")</f>
        <v/>
      </c>
      <c r="H12" s="37">
        <f>SUMIFS(tblDaily[Remaining],tblDaily[WardCode],"FAE")</f>
        <v/>
      </c>
      <c r="I12" s="37">
        <f>SUMIFS(tblDaily[TransfersIn],tblDaily[WardCode],"FAE")</f>
        <v/>
      </c>
      <c r="J12" s="37">
        <f>SUMIFS(tblDaily[TransfersOut],tblDaily[WardCode],"FAE")</f>
        <v/>
      </c>
      <c r="K12" s="38">
        <f>IFERROR(H12/365,0)</f>
        <v/>
      </c>
      <c r="L12" s="38">
        <f>IFERROR(H12/(E12+F12),0)</f>
        <v/>
      </c>
      <c r="M12" s="38">
        <f>IFERROR((C12*365-H12)/(E12+F12),0)</f>
        <v/>
      </c>
      <c r="N12" s="38">
        <f>IFERROR((E12+F12)/C12,0)</f>
        <v/>
      </c>
      <c r="O12" s="38">
        <f>IFERROR((H12/(C12*365))*100,0)</f>
        <v/>
      </c>
      <c r="P12" s="38">
        <f>IFERROR((F12/(D12+B12))*100,0)</f>
        <v/>
      </c>
    </row>
  </sheetData>
  <mergeCells count="1">
    <mergeCell ref="A1:P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A500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5" customWidth="1" min="5" max="5"/>
    <col width="25" customWidth="1" min="6" max="6"/>
    <col width="8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NON-INSURED ATTENDANTS REPORT</t>
        </is>
      </c>
    </row>
    <row r="2">
      <c r="A2" s="11" t="inlineStr">
        <is>
          <t>S/N</t>
        </is>
      </c>
      <c r="B2" s="11" t="inlineStr">
        <is>
          <t>Date</t>
        </is>
      </c>
      <c r="C2" s="11" t="inlineStr">
        <is>
          <t>Month</t>
        </is>
      </c>
      <c r="D2" s="11" t="inlineStr">
        <is>
          <t>Ward</t>
        </is>
      </c>
      <c r="E2" s="11" t="inlineStr">
        <is>
          <t>Patient ID</t>
        </is>
      </c>
      <c r="F2" s="11" t="inlineStr">
        <is>
          <t>Name</t>
        </is>
      </c>
      <c r="G2" s="11" t="inlineStr">
        <is>
          <t>Age</t>
        </is>
      </c>
      <c r="H2" s="11" t="inlineStr">
        <is>
          <t>Sex</t>
        </is>
      </c>
      <c r="I2" s="11" t="inlineStr">
        <is>
          <t>Amount</t>
        </is>
      </c>
      <c r="J2" s="11" t="inlineStr">
        <is>
          <t>Status</t>
        </is>
      </c>
    </row>
    <row r="3">
      <c r="A3" s="5" t="inlineStr">
        <is>
          <t>(Click 'Refresh Reports' to populate)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2026-06-06T17:29:58Z</dcterms:created>
  <dcterms:modified xsi:type="dcterms:W3CDTF">2026-06-06T17:29:59Z</dcterms:modified>
</cp:coreProperties>
</file>