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A852599E-8B84-4420-93B1-4A525B349EA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  <sheet name="Statement of Inpatient" sheetId="19" r:id="rId19"/>
    <sheet name="Non-Insured Report" sheetId="20" r:id="rId20"/>
  </sheets>
  <functionGroups builtInGroupCount="19"/>
  <calcPr calcId="181029"/>
</workbook>
</file>

<file path=xl/calcChain.xml><?xml version="1.0" encoding="utf-8"?>
<calcChain xmlns="http://schemas.openxmlformats.org/spreadsheetml/2006/main">
  <c r="J12" i="19" l="1"/>
  <c r="I12" i="19"/>
  <c r="H12" i="19"/>
  <c r="G12" i="19"/>
  <c r="F12" i="19"/>
  <c r="E12" i="19"/>
  <c r="D12" i="19"/>
  <c r="C12" i="19"/>
  <c r="B12" i="19"/>
  <c r="J11" i="19"/>
  <c r="I11" i="19"/>
  <c r="H11" i="19"/>
  <c r="G11" i="19"/>
  <c r="F11" i="19"/>
  <c r="E11" i="19"/>
  <c r="D11" i="19"/>
  <c r="C11" i="19"/>
  <c r="B11" i="19"/>
  <c r="J10" i="19"/>
  <c r="I10" i="19"/>
  <c r="H10" i="19"/>
  <c r="G10" i="19"/>
  <c r="F10" i="19"/>
  <c r="E10" i="19"/>
  <c r="N10" i="19" s="1"/>
  <c r="D10" i="19"/>
  <c r="C10" i="19"/>
  <c r="B10" i="19"/>
  <c r="P10" i="19" s="1"/>
  <c r="J9" i="19"/>
  <c r="I9" i="19"/>
  <c r="H9" i="19"/>
  <c r="L9" i="19" s="1"/>
  <c r="G9" i="19"/>
  <c r="F9" i="19"/>
  <c r="E9" i="19"/>
  <c r="D9" i="19"/>
  <c r="P9" i="19" s="1"/>
  <c r="C9" i="19"/>
  <c r="B9" i="19"/>
  <c r="J8" i="19"/>
  <c r="I8" i="19"/>
  <c r="H8" i="19"/>
  <c r="G8" i="19"/>
  <c r="F8" i="19"/>
  <c r="N8" i="19" s="1"/>
  <c r="E8" i="19"/>
  <c r="D8" i="19"/>
  <c r="C8" i="19"/>
  <c r="M8" i="19" s="1"/>
  <c r="B8" i="19"/>
  <c r="P8" i="19" s="1"/>
  <c r="J7" i="19"/>
  <c r="I7" i="19"/>
  <c r="H7" i="19"/>
  <c r="K7" i="19" s="1"/>
  <c r="G7" i="19"/>
  <c r="F7" i="19"/>
  <c r="E7" i="19"/>
  <c r="D7" i="19"/>
  <c r="C7" i="19"/>
  <c r="O7" i="19" s="1"/>
  <c r="B7" i="19"/>
  <c r="J6" i="19"/>
  <c r="I6" i="19"/>
  <c r="H6" i="19"/>
  <c r="K6" i="19" s="1"/>
  <c r="G6" i="19"/>
  <c r="F6" i="19"/>
  <c r="E6" i="19"/>
  <c r="D6" i="19"/>
  <c r="C6" i="19"/>
  <c r="B6" i="19"/>
  <c r="J5" i="19"/>
  <c r="I5" i="19"/>
  <c r="H5" i="19"/>
  <c r="G5" i="19"/>
  <c r="F5" i="19"/>
  <c r="E5" i="19"/>
  <c r="D5" i="19"/>
  <c r="C5" i="19"/>
  <c r="B5" i="19"/>
  <c r="K4" i="19"/>
  <c r="J4" i="19"/>
  <c r="I4" i="19"/>
  <c r="H4" i="19"/>
  <c r="G4" i="19"/>
  <c r="F4" i="19"/>
  <c r="E4" i="19"/>
  <c r="D4" i="19"/>
  <c r="C4" i="19"/>
  <c r="O4" i="19" s="1"/>
  <c r="B4" i="19"/>
  <c r="CF15" i="16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G179" i="15"/>
  <c r="J177" i="15"/>
  <c r="I177" i="15"/>
  <c r="H177" i="15"/>
  <c r="O177" i="15" s="1"/>
  <c r="G177" i="15"/>
  <c r="F177" i="15"/>
  <c r="E177" i="15"/>
  <c r="D177" i="15"/>
  <c r="C177" i="15"/>
  <c r="M177" i="15" s="1"/>
  <c r="B177" i="15"/>
  <c r="J176" i="15"/>
  <c r="I176" i="15"/>
  <c r="H176" i="15"/>
  <c r="G176" i="15"/>
  <c r="F176" i="15"/>
  <c r="E176" i="15"/>
  <c r="D176" i="15"/>
  <c r="D179" i="15" s="1"/>
  <c r="C176" i="15"/>
  <c r="C179" i="15" s="1"/>
  <c r="B176" i="15"/>
  <c r="P176" i="15" s="1"/>
  <c r="J175" i="15"/>
  <c r="I175" i="15"/>
  <c r="H175" i="15"/>
  <c r="L175" i="15" s="1"/>
  <c r="G175" i="15"/>
  <c r="F175" i="15"/>
  <c r="P175" i="15" s="1"/>
  <c r="E175" i="15"/>
  <c r="D175" i="15"/>
  <c r="C175" i="15"/>
  <c r="O175" i="15" s="1"/>
  <c r="B175" i="15"/>
  <c r="J174" i="15"/>
  <c r="I174" i="15"/>
  <c r="H174" i="15"/>
  <c r="G174" i="15"/>
  <c r="F174" i="15"/>
  <c r="E174" i="15"/>
  <c r="D174" i="15"/>
  <c r="C174" i="15"/>
  <c r="B174" i="15"/>
  <c r="J173" i="15"/>
  <c r="I173" i="15"/>
  <c r="H173" i="15"/>
  <c r="G173" i="15"/>
  <c r="F173" i="15"/>
  <c r="E173" i="15"/>
  <c r="M173" i="15" s="1"/>
  <c r="D173" i="15"/>
  <c r="C173" i="15"/>
  <c r="B173" i="15"/>
  <c r="J172" i="15"/>
  <c r="I172" i="15"/>
  <c r="H172" i="15"/>
  <c r="G172" i="15"/>
  <c r="F172" i="15"/>
  <c r="P172" i="15" s="1"/>
  <c r="E172" i="15"/>
  <c r="D172" i="15"/>
  <c r="C172" i="15"/>
  <c r="B172" i="15"/>
  <c r="J171" i="15"/>
  <c r="I171" i="15"/>
  <c r="H171" i="15"/>
  <c r="L171" i="15" s="1"/>
  <c r="G171" i="15"/>
  <c r="F171" i="15"/>
  <c r="P171" i="15" s="1"/>
  <c r="E171" i="15"/>
  <c r="D171" i="15"/>
  <c r="C171" i="15"/>
  <c r="B171" i="15"/>
  <c r="K170" i="15"/>
  <c r="J170" i="15"/>
  <c r="I170" i="15"/>
  <c r="H170" i="15"/>
  <c r="G170" i="15"/>
  <c r="F170" i="15"/>
  <c r="E170" i="15"/>
  <c r="D170" i="15"/>
  <c r="C170" i="15"/>
  <c r="B170" i="15"/>
  <c r="K169" i="15"/>
  <c r="J169" i="15"/>
  <c r="I169" i="15"/>
  <c r="H169" i="15"/>
  <c r="G169" i="15"/>
  <c r="F169" i="15"/>
  <c r="E169" i="15"/>
  <c r="D169" i="15"/>
  <c r="C169" i="15"/>
  <c r="O169" i="15" s="1"/>
  <c r="B169" i="15"/>
  <c r="K162" i="15"/>
  <c r="J162" i="15"/>
  <c r="I162" i="15"/>
  <c r="H162" i="15"/>
  <c r="G162" i="15"/>
  <c r="F162" i="15"/>
  <c r="E162" i="15"/>
  <c r="D162" i="15"/>
  <c r="C162" i="15"/>
  <c r="B162" i="15"/>
  <c r="J161" i="15"/>
  <c r="I161" i="15"/>
  <c r="H161" i="15"/>
  <c r="G161" i="15"/>
  <c r="G164" i="15" s="1"/>
  <c r="F161" i="15"/>
  <c r="E161" i="15"/>
  <c r="D161" i="15"/>
  <c r="D164" i="15" s="1"/>
  <c r="C161" i="15"/>
  <c r="M161" i="15" s="1"/>
  <c r="B161" i="15"/>
  <c r="J160" i="15"/>
  <c r="I160" i="15"/>
  <c r="H160" i="15"/>
  <c r="G160" i="15"/>
  <c r="F160" i="15"/>
  <c r="E160" i="15"/>
  <c r="D160" i="15"/>
  <c r="C160" i="15"/>
  <c r="B160" i="15"/>
  <c r="L159" i="15"/>
  <c r="J159" i="15"/>
  <c r="I159" i="15"/>
  <c r="H159" i="15"/>
  <c r="G159" i="15"/>
  <c r="F159" i="15"/>
  <c r="E159" i="15"/>
  <c r="D159" i="15"/>
  <c r="P159" i="15" s="1"/>
  <c r="C159" i="15"/>
  <c r="B159" i="15"/>
  <c r="J158" i="15"/>
  <c r="I158" i="15"/>
  <c r="H158" i="15"/>
  <c r="K158" i="15" s="1"/>
  <c r="G158" i="15"/>
  <c r="F158" i="15"/>
  <c r="E158" i="15"/>
  <c r="D158" i="15"/>
  <c r="C158" i="15"/>
  <c r="O158" i="15" s="1"/>
  <c r="B158" i="15"/>
  <c r="J157" i="15"/>
  <c r="I157" i="15"/>
  <c r="H157" i="15"/>
  <c r="O157" i="15" s="1"/>
  <c r="G157" i="15"/>
  <c r="F157" i="15"/>
  <c r="E157" i="15"/>
  <c r="L157" i="15" s="1"/>
  <c r="D157" i="15"/>
  <c r="C157" i="15"/>
  <c r="B157" i="15"/>
  <c r="J156" i="15"/>
  <c r="I156" i="15"/>
  <c r="H156" i="15"/>
  <c r="G156" i="15"/>
  <c r="F156" i="15"/>
  <c r="P156" i="15" s="1"/>
  <c r="E156" i="15"/>
  <c r="D156" i="15"/>
  <c r="C156" i="15"/>
  <c r="B156" i="15"/>
  <c r="L155" i="15"/>
  <c r="J155" i="15"/>
  <c r="I155" i="15"/>
  <c r="H155" i="15"/>
  <c r="O155" i="15" s="1"/>
  <c r="G155" i="15"/>
  <c r="F155" i="15"/>
  <c r="P155" i="15" s="1"/>
  <c r="E155" i="15"/>
  <c r="D155" i="15"/>
  <c r="D163" i="15" s="1"/>
  <c r="C155" i="15"/>
  <c r="B155" i="15"/>
  <c r="K154" i="15"/>
  <c r="J154" i="15"/>
  <c r="I154" i="15"/>
  <c r="H154" i="15"/>
  <c r="G154" i="15"/>
  <c r="G163" i="15" s="1"/>
  <c r="F154" i="15"/>
  <c r="E154" i="15"/>
  <c r="D154" i="15"/>
  <c r="C154" i="15"/>
  <c r="O154" i="15" s="1"/>
  <c r="B154" i="15"/>
  <c r="J149" i="15"/>
  <c r="E149" i="15"/>
  <c r="J147" i="15"/>
  <c r="I147" i="15"/>
  <c r="H147" i="15"/>
  <c r="H149" i="15" s="1"/>
  <c r="G147" i="15"/>
  <c r="F147" i="15"/>
  <c r="E147" i="15"/>
  <c r="D147" i="15"/>
  <c r="P147" i="15" s="1"/>
  <c r="C147" i="15"/>
  <c r="B147" i="15"/>
  <c r="K146" i="15"/>
  <c r="J146" i="15"/>
  <c r="I146" i="15"/>
  <c r="I149" i="15" s="1"/>
  <c r="H146" i="15"/>
  <c r="G146" i="15"/>
  <c r="G149" i="15" s="1"/>
  <c r="F146" i="15"/>
  <c r="E146" i="15"/>
  <c r="D146" i="15"/>
  <c r="C146" i="15"/>
  <c r="O146" i="15" s="1"/>
  <c r="B146" i="15"/>
  <c r="B149" i="15" s="1"/>
  <c r="J145" i="15"/>
  <c r="I145" i="15"/>
  <c r="H145" i="15"/>
  <c r="O145" i="15" s="1"/>
  <c r="G145" i="15"/>
  <c r="F145" i="15"/>
  <c r="E145" i="15"/>
  <c r="D145" i="15"/>
  <c r="C145" i="15"/>
  <c r="B145" i="15"/>
  <c r="J144" i="15"/>
  <c r="I144" i="15"/>
  <c r="H144" i="15"/>
  <c r="G144" i="15"/>
  <c r="F144" i="15"/>
  <c r="E144" i="15"/>
  <c r="D144" i="15"/>
  <c r="P144" i="15" s="1"/>
  <c r="C144" i="15"/>
  <c r="B144" i="15"/>
  <c r="J143" i="15"/>
  <c r="I143" i="15"/>
  <c r="H143" i="15"/>
  <c r="K143" i="15" s="1"/>
  <c r="G143" i="15"/>
  <c r="F143" i="15"/>
  <c r="P143" i="15" s="1"/>
  <c r="E143" i="15"/>
  <c r="D143" i="15"/>
  <c r="C143" i="15"/>
  <c r="O143" i="15" s="1"/>
  <c r="B143" i="15"/>
  <c r="J142" i="15"/>
  <c r="I142" i="15"/>
  <c r="H142" i="15"/>
  <c r="K142" i="15" s="1"/>
  <c r="G142" i="15"/>
  <c r="F142" i="15"/>
  <c r="E142" i="15"/>
  <c r="D142" i="15"/>
  <c r="C142" i="15"/>
  <c r="O142" i="15" s="1"/>
  <c r="B142" i="15"/>
  <c r="J141" i="15"/>
  <c r="I141" i="15"/>
  <c r="H141" i="15"/>
  <c r="O141" i="15" s="1"/>
  <c r="G141" i="15"/>
  <c r="F141" i="15"/>
  <c r="E141" i="15"/>
  <c r="D141" i="15"/>
  <c r="C141" i="15"/>
  <c r="B141" i="15"/>
  <c r="J140" i="15"/>
  <c r="I140" i="15"/>
  <c r="H140" i="15"/>
  <c r="G140" i="15"/>
  <c r="F140" i="15"/>
  <c r="E140" i="15"/>
  <c r="D140" i="15"/>
  <c r="P140" i="15" s="1"/>
  <c r="C140" i="15"/>
  <c r="B140" i="15"/>
  <c r="L139" i="15"/>
  <c r="J139" i="15"/>
  <c r="I139" i="15"/>
  <c r="H139" i="15"/>
  <c r="K139" i="15" s="1"/>
  <c r="G139" i="15"/>
  <c r="F139" i="15"/>
  <c r="E139" i="15"/>
  <c r="D139" i="15"/>
  <c r="D148" i="15" s="1"/>
  <c r="C139" i="15"/>
  <c r="B139" i="15"/>
  <c r="G134" i="15"/>
  <c r="J132" i="15"/>
  <c r="I132" i="15"/>
  <c r="H132" i="15"/>
  <c r="G132" i="15"/>
  <c r="F132" i="15"/>
  <c r="P132" i="15" s="1"/>
  <c r="E132" i="15"/>
  <c r="D132" i="15"/>
  <c r="C132" i="15"/>
  <c r="B132" i="15"/>
  <c r="O131" i="15"/>
  <c r="K131" i="15"/>
  <c r="J131" i="15"/>
  <c r="J134" i="15" s="1"/>
  <c r="I131" i="15"/>
  <c r="H131" i="15"/>
  <c r="G131" i="15"/>
  <c r="F131" i="15"/>
  <c r="F134" i="15" s="1"/>
  <c r="E131" i="15"/>
  <c r="L131" i="15" s="1"/>
  <c r="D131" i="15"/>
  <c r="C131" i="15"/>
  <c r="B131" i="15"/>
  <c r="J130" i="15"/>
  <c r="I130" i="15"/>
  <c r="H130" i="15"/>
  <c r="G130" i="15"/>
  <c r="F130" i="15"/>
  <c r="E130" i="15"/>
  <c r="D130" i="15"/>
  <c r="C130" i="15"/>
  <c r="B130" i="15"/>
  <c r="J129" i="15"/>
  <c r="I129" i="15"/>
  <c r="H129" i="15"/>
  <c r="O129" i="15" s="1"/>
  <c r="G129" i="15"/>
  <c r="F129" i="15"/>
  <c r="E129" i="15"/>
  <c r="D129" i="15"/>
  <c r="C129" i="15"/>
  <c r="B129" i="15"/>
  <c r="J128" i="15"/>
  <c r="I128" i="15"/>
  <c r="H128" i="15"/>
  <c r="K128" i="15" s="1"/>
  <c r="G128" i="15"/>
  <c r="F128" i="15"/>
  <c r="E128" i="15"/>
  <c r="D128" i="15"/>
  <c r="C128" i="15"/>
  <c r="N128" i="15" s="1"/>
  <c r="B128" i="15"/>
  <c r="J127" i="15"/>
  <c r="I127" i="15"/>
  <c r="H127" i="15"/>
  <c r="G127" i="15"/>
  <c r="F127" i="15"/>
  <c r="E127" i="15"/>
  <c r="L127" i="15" s="1"/>
  <c r="D127" i="15"/>
  <c r="C127" i="15"/>
  <c r="B127" i="15"/>
  <c r="J126" i="15"/>
  <c r="I126" i="15"/>
  <c r="H126" i="15"/>
  <c r="K126" i="15" s="1"/>
  <c r="G126" i="15"/>
  <c r="F126" i="15"/>
  <c r="E126" i="15"/>
  <c r="D126" i="15"/>
  <c r="C126" i="15"/>
  <c r="O126" i="15" s="1"/>
  <c r="B126" i="15"/>
  <c r="K125" i="15"/>
  <c r="J125" i="15"/>
  <c r="I125" i="15"/>
  <c r="H125" i="15"/>
  <c r="G125" i="15"/>
  <c r="F125" i="15"/>
  <c r="E125" i="15"/>
  <c r="D125" i="15"/>
  <c r="C125" i="15"/>
  <c r="B125" i="15"/>
  <c r="J124" i="15"/>
  <c r="I124" i="15"/>
  <c r="H124" i="15"/>
  <c r="K124" i="15" s="1"/>
  <c r="G124" i="15"/>
  <c r="F124" i="15"/>
  <c r="F133" i="15" s="1"/>
  <c r="E124" i="15"/>
  <c r="D124" i="15"/>
  <c r="C124" i="15"/>
  <c r="B124" i="15"/>
  <c r="J117" i="15"/>
  <c r="I117" i="15"/>
  <c r="H117" i="15"/>
  <c r="H119" i="15" s="1"/>
  <c r="G117" i="15"/>
  <c r="G119" i="15" s="1"/>
  <c r="F117" i="15"/>
  <c r="E117" i="15"/>
  <c r="D117" i="15"/>
  <c r="C117" i="15"/>
  <c r="B117" i="15"/>
  <c r="J116" i="15"/>
  <c r="J119" i="15" s="1"/>
  <c r="I116" i="15"/>
  <c r="I119" i="15" s="1"/>
  <c r="H116" i="15"/>
  <c r="K116" i="15" s="1"/>
  <c r="G116" i="15"/>
  <c r="F116" i="15"/>
  <c r="F119" i="15" s="1"/>
  <c r="E116" i="15"/>
  <c r="D116" i="15"/>
  <c r="D119" i="15" s="1"/>
  <c r="C116" i="15"/>
  <c r="O116" i="15" s="1"/>
  <c r="B116" i="15"/>
  <c r="J115" i="15"/>
  <c r="I115" i="15"/>
  <c r="H115" i="15"/>
  <c r="O115" i="15" s="1"/>
  <c r="G115" i="15"/>
  <c r="F115" i="15"/>
  <c r="E115" i="15"/>
  <c r="D115" i="15"/>
  <c r="P115" i="15" s="1"/>
  <c r="C115" i="15"/>
  <c r="B115" i="15"/>
  <c r="K114" i="15"/>
  <c r="J114" i="15"/>
  <c r="I114" i="15"/>
  <c r="H114" i="15"/>
  <c r="G114" i="15"/>
  <c r="F114" i="15"/>
  <c r="L114" i="15" s="1"/>
  <c r="E114" i="15"/>
  <c r="D114" i="15"/>
  <c r="C114" i="15"/>
  <c r="M114" i="15" s="1"/>
  <c r="B114" i="15"/>
  <c r="K113" i="15"/>
  <c r="J113" i="15"/>
  <c r="I113" i="15"/>
  <c r="H113" i="15"/>
  <c r="G113" i="15"/>
  <c r="F113" i="15"/>
  <c r="E113" i="15"/>
  <c r="L113" i="15" s="1"/>
  <c r="D113" i="15"/>
  <c r="C113" i="15"/>
  <c r="B113" i="15"/>
  <c r="J112" i="15"/>
  <c r="I112" i="15"/>
  <c r="H112" i="15"/>
  <c r="G112" i="15"/>
  <c r="F112" i="15"/>
  <c r="E112" i="15"/>
  <c r="D112" i="15"/>
  <c r="P112" i="15" s="1"/>
  <c r="C112" i="15"/>
  <c r="B112" i="15"/>
  <c r="J111" i="15"/>
  <c r="I111" i="15"/>
  <c r="H111" i="15"/>
  <c r="L111" i="15" s="1"/>
  <c r="G111" i="15"/>
  <c r="F111" i="15"/>
  <c r="E111" i="15"/>
  <c r="D111" i="15"/>
  <c r="P111" i="15" s="1"/>
  <c r="C111" i="15"/>
  <c r="B111" i="15"/>
  <c r="K110" i="15"/>
  <c r="J110" i="15"/>
  <c r="I110" i="15"/>
  <c r="H110" i="15"/>
  <c r="G110" i="15"/>
  <c r="F110" i="15"/>
  <c r="P110" i="15" s="1"/>
  <c r="E110" i="15"/>
  <c r="D110" i="15"/>
  <c r="C110" i="15"/>
  <c r="B110" i="15"/>
  <c r="J109" i="15"/>
  <c r="I109" i="15"/>
  <c r="H109" i="15"/>
  <c r="G109" i="15"/>
  <c r="F109" i="15"/>
  <c r="E109" i="15"/>
  <c r="N109" i="15" s="1"/>
  <c r="D109" i="15"/>
  <c r="C109" i="15"/>
  <c r="B109" i="15"/>
  <c r="J102" i="15"/>
  <c r="I102" i="15"/>
  <c r="I104" i="15" s="1"/>
  <c r="H102" i="15"/>
  <c r="K102" i="15" s="1"/>
  <c r="G102" i="15"/>
  <c r="F102" i="15"/>
  <c r="E102" i="15"/>
  <c r="L102" i="15" s="1"/>
  <c r="D102" i="15"/>
  <c r="D104" i="15" s="1"/>
  <c r="C102" i="15"/>
  <c r="B102" i="15"/>
  <c r="K101" i="15"/>
  <c r="J101" i="15"/>
  <c r="J104" i="15" s="1"/>
  <c r="I101" i="15"/>
  <c r="H101" i="15"/>
  <c r="H104" i="15" s="1"/>
  <c r="O104" i="15" s="1"/>
  <c r="G101" i="15"/>
  <c r="F101" i="15"/>
  <c r="E101" i="15"/>
  <c r="D101" i="15"/>
  <c r="C101" i="15"/>
  <c r="C104" i="15" s="1"/>
  <c r="B101" i="15"/>
  <c r="B104" i="15" s="1"/>
  <c r="J100" i="15"/>
  <c r="I100" i="15"/>
  <c r="H100" i="15"/>
  <c r="G100" i="15"/>
  <c r="F100" i="15"/>
  <c r="E100" i="15"/>
  <c r="D100" i="15"/>
  <c r="C100" i="15"/>
  <c r="B100" i="15"/>
  <c r="L99" i="15"/>
  <c r="J99" i="15"/>
  <c r="I99" i="15"/>
  <c r="H99" i="15"/>
  <c r="K99" i="15" s="1"/>
  <c r="G99" i="15"/>
  <c r="F99" i="15"/>
  <c r="E99" i="15"/>
  <c r="D99" i="15"/>
  <c r="C99" i="15"/>
  <c r="B99" i="15"/>
  <c r="J98" i="15"/>
  <c r="I98" i="15"/>
  <c r="H98" i="15"/>
  <c r="G98" i="15"/>
  <c r="F98" i="15"/>
  <c r="E98" i="15"/>
  <c r="D98" i="15"/>
  <c r="C98" i="15"/>
  <c r="B98" i="15"/>
  <c r="J97" i="15"/>
  <c r="I97" i="15"/>
  <c r="H97" i="15"/>
  <c r="O97" i="15" s="1"/>
  <c r="G97" i="15"/>
  <c r="F97" i="15"/>
  <c r="E97" i="15"/>
  <c r="N97" i="15" s="1"/>
  <c r="D97" i="15"/>
  <c r="P97" i="15" s="1"/>
  <c r="C97" i="15"/>
  <c r="B97" i="15"/>
  <c r="J96" i="15"/>
  <c r="I96" i="15"/>
  <c r="H96" i="15"/>
  <c r="K96" i="15" s="1"/>
  <c r="G96" i="15"/>
  <c r="F96" i="15"/>
  <c r="E96" i="15"/>
  <c r="D96" i="15"/>
  <c r="P96" i="15" s="1"/>
  <c r="C96" i="15"/>
  <c r="M96" i="15" s="1"/>
  <c r="B96" i="15"/>
  <c r="J95" i="15"/>
  <c r="I95" i="15"/>
  <c r="H95" i="15"/>
  <c r="L95" i="15" s="1"/>
  <c r="G95" i="15"/>
  <c r="F95" i="15"/>
  <c r="E95" i="15"/>
  <c r="D95" i="15"/>
  <c r="C95" i="15"/>
  <c r="B95" i="15"/>
  <c r="K94" i="15"/>
  <c r="J94" i="15"/>
  <c r="I94" i="15"/>
  <c r="H94" i="15"/>
  <c r="H103" i="15" s="1"/>
  <c r="G94" i="15"/>
  <c r="F94" i="15"/>
  <c r="E94" i="15"/>
  <c r="D94" i="15"/>
  <c r="C94" i="15"/>
  <c r="O94" i="15" s="1"/>
  <c r="B94" i="15"/>
  <c r="J87" i="15"/>
  <c r="I87" i="15"/>
  <c r="H87" i="15"/>
  <c r="K87" i="15" s="1"/>
  <c r="G87" i="15"/>
  <c r="F87" i="15"/>
  <c r="E87" i="15"/>
  <c r="D87" i="15"/>
  <c r="P87" i="15" s="1"/>
  <c r="C87" i="15"/>
  <c r="B87" i="15"/>
  <c r="J86" i="15"/>
  <c r="J89" i="15" s="1"/>
  <c r="I86" i="15"/>
  <c r="I89" i="15" s="1"/>
  <c r="H86" i="15"/>
  <c r="K86" i="15" s="1"/>
  <c r="G86" i="15"/>
  <c r="F86" i="15"/>
  <c r="P86" i="15" s="1"/>
  <c r="E86" i="15"/>
  <c r="E89" i="15" s="1"/>
  <c r="D86" i="15"/>
  <c r="C86" i="15"/>
  <c r="N86" i="15" s="1"/>
  <c r="B86" i="15"/>
  <c r="B89" i="15" s="1"/>
  <c r="J85" i="15"/>
  <c r="I85" i="15"/>
  <c r="H85" i="15"/>
  <c r="O85" i="15" s="1"/>
  <c r="G85" i="15"/>
  <c r="F85" i="15"/>
  <c r="E85" i="15"/>
  <c r="D85" i="15"/>
  <c r="C85" i="15"/>
  <c r="B85" i="15"/>
  <c r="J84" i="15"/>
  <c r="I84" i="15"/>
  <c r="H84" i="15"/>
  <c r="K84" i="15" s="1"/>
  <c r="G84" i="15"/>
  <c r="F84" i="15"/>
  <c r="N84" i="15" s="1"/>
  <c r="E84" i="15"/>
  <c r="D84" i="15"/>
  <c r="C84" i="15"/>
  <c r="B84" i="15"/>
  <c r="J83" i="15"/>
  <c r="I83" i="15"/>
  <c r="H83" i="15"/>
  <c r="K83" i="15" s="1"/>
  <c r="G83" i="15"/>
  <c r="F83" i="15"/>
  <c r="E83" i="15"/>
  <c r="D83" i="15"/>
  <c r="C83" i="15"/>
  <c r="B83" i="15"/>
  <c r="L82" i="15"/>
  <c r="J82" i="15"/>
  <c r="I82" i="15"/>
  <c r="H82" i="15"/>
  <c r="G82" i="15"/>
  <c r="F82" i="15"/>
  <c r="E82" i="15"/>
  <c r="D82" i="15"/>
  <c r="C82" i="15"/>
  <c r="B82" i="15"/>
  <c r="J81" i="15"/>
  <c r="I81" i="15"/>
  <c r="H81" i="15"/>
  <c r="O81" i="15" s="1"/>
  <c r="G81" i="15"/>
  <c r="F81" i="15"/>
  <c r="E81" i="15"/>
  <c r="N81" i="15" s="1"/>
  <c r="D81" i="15"/>
  <c r="P81" i="15" s="1"/>
  <c r="C81" i="15"/>
  <c r="B81" i="15"/>
  <c r="J80" i="15"/>
  <c r="I80" i="15"/>
  <c r="H80" i="15"/>
  <c r="G80" i="15"/>
  <c r="F80" i="15"/>
  <c r="E80" i="15"/>
  <c r="D80" i="15"/>
  <c r="C80" i="15"/>
  <c r="B80" i="15"/>
  <c r="B88" i="15" s="1"/>
  <c r="J79" i="15"/>
  <c r="I79" i="15"/>
  <c r="I88" i="15" s="1"/>
  <c r="H79" i="15"/>
  <c r="K79" i="15" s="1"/>
  <c r="G79" i="15"/>
  <c r="F79" i="15"/>
  <c r="E79" i="15"/>
  <c r="D79" i="15"/>
  <c r="C79" i="15"/>
  <c r="O79" i="15" s="1"/>
  <c r="B79" i="15"/>
  <c r="I74" i="15"/>
  <c r="J72" i="15"/>
  <c r="I72" i="15"/>
  <c r="H72" i="15"/>
  <c r="L72" i="15" s="1"/>
  <c r="G72" i="15"/>
  <c r="F72" i="15"/>
  <c r="E72" i="15"/>
  <c r="N72" i="15" s="1"/>
  <c r="D72" i="15"/>
  <c r="D74" i="15" s="1"/>
  <c r="C72" i="15"/>
  <c r="B72" i="15"/>
  <c r="K71" i="15"/>
  <c r="J71" i="15"/>
  <c r="J74" i="15" s="1"/>
  <c r="I71" i="15"/>
  <c r="H71" i="15"/>
  <c r="G71" i="15"/>
  <c r="F71" i="15"/>
  <c r="E71" i="15"/>
  <c r="E74" i="15" s="1"/>
  <c r="D71" i="15"/>
  <c r="C71" i="15"/>
  <c r="B71" i="15"/>
  <c r="B74" i="15" s="1"/>
  <c r="J70" i="15"/>
  <c r="I70" i="15"/>
  <c r="H70" i="15"/>
  <c r="O70" i="15" s="1"/>
  <c r="G70" i="15"/>
  <c r="F70" i="15"/>
  <c r="E70" i="15"/>
  <c r="N70" i="15" s="1"/>
  <c r="D70" i="15"/>
  <c r="P70" i="15" s="1"/>
  <c r="C70" i="15"/>
  <c r="B70" i="15"/>
  <c r="J69" i="15"/>
  <c r="I69" i="15"/>
  <c r="H69" i="15"/>
  <c r="G69" i="15"/>
  <c r="F69" i="15"/>
  <c r="E69" i="15"/>
  <c r="D69" i="15"/>
  <c r="P69" i="15" s="1"/>
  <c r="C69" i="15"/>
  <c r="B69" i="15"/>
  <c r="K68" i="15"/>
  <c r="J68" i="15"/>
  <c r="I68" i="15"/>
  <c r="H68" i="15"/>
  <c r="G68" i="15"/>
  <c r="F68" i="15"/>
  <c r="E68" i="15"/>
  <c r="D68" i="15"/>
  <c r="C68" i="15"/>
  <c r="B68" i="15"/>
  <c r="J67" i="15"/>
  <c r="I67" i="15"/>
  <c r="H67" i="15"/>
  <c r="G67" i="15"/>
  <c r="F67" i="15"/>
  <c r="E67" i="15"/>
  <c r="D67" i="15"/>
  <c r="C67" i="15"/>
  <c r="B67" i="15"/>
  <c r="J66" i="15"/>
  <c r="I66" i="15"/>
  <c r="H66" i="15"/>
  <c r="K66" i="15" s="1"/>
  <c r="G66" i="15"/>
  <c r="F66" i="15"/>
  <c r="E66" i="15"/>
  <c r="N66" i="15" s="1"/>
  <c r="D66" i="15"/>
  <c r="C66" i="15"/>
  <c r="B66" i="15"/>
  <c r="J65" i="15"/>
  <c r="I65" i="15"/>
  <c r="H65" i="15"/>
  <c r="K65" i="15" s="1"/>
  <c r="G65" i="15"/>
  <c r="F65" i="15"/>
  <c r="E65" i="15"/>
  <c r="D65" i="15"/>
  <c r="C65" i="15"/>
  <c r="B65" i="15"/>
  <c r="K64" i="15"/>
  <c r="J64" i="15"/>
  <c r="J73" i="15" s="1"/>
  <c r="I64" i="15"/>
  <c r="H64" i="15"/>
  <c r="H73" i="15" s="1"/>
  <c r="K73" i="15" s="1"/>
  <c r="G64" i="15"/>
  <c r="F64" i="15"/>
  <c r="E64" i="15"/>
  <c r="D64" i="15"/>
  <c r="C64" i="15"/>
  <c r="O64" i="15" s="1"/>
  <c r="B64" i="15"/>
  <c r="B73" i="15" s="1"/>
  <c r="J57" i="15"/>
  <c r="I57" i="15"/>
  <c r="I59" i="15" s="1"/>
  <c r="H57" i="15"/>
  <c r="G57" i="15"/>
  <c r="F57" i="15"/>
  <c r="E57" i="15"/>
  <c r="D57" i="15"/>
  <c r="D59" i="15" s="1"/>
  <c r="C57" i="15"/>
  <c r="B57" i="15"/>
  <c r="J56" i="15"/>
  <c r="J59" i="15" s="1"/>
  <c r="I56" i="15"/>
  <c r="H56" i="15"/>
  <c r="G56" i="15"/>
  <c r="F56" i="15"/>
  <c r="P56" i="15" s="1"/>
  <c r="E56" i="15"/>
  <c r="E59" i="15" s="1"/>
  <c r="D56" i="15"/>
  <c r="C56" i="15"/>
  <c r="O56" i="15" s="1"/>
  <c r="B56" i="15"/>
  <c r="B59" i="15" s="1"/>
  <c r="J55" i="15"/>
  <c r="I55" i="15"/>
  <c r="H55" i="15"/>
  <c r="G55" i="15"/>
  <c r="F55" i="15"/>
  <c r="E55" i="15"/>
  <c r="N55" i="15" s="1"/>
  <c r="D55" i="15"/>
  <c r="C55" i="15"/>
  <c r="B55" i="15"/>
  <c r="J54" i="15"/>
  <c r="I54" i="15"/>
  <c r="H54" i="15"/>
  <c r="K54" i="15" s="1"/>
  <c r="G54" i="15"/>
  <c r="F54" i="15"/>
  <c r="P54" i="15" s="1"/>
  <c r="E54" i="15"/>
  <c r="D54" i="15"/>
  <c r="C54" i="15"/>
  <c r="B54" i="15"/>
  <c r="J53" i="15"/>
  <c r="I53" i="15"/>
  <c r="H53" i="15"/>
  <c r="K53" i="15" s="1"/>
  <c r="G53" i="15"/>
  <c r="F53" i="15"/>
  <c r="E53" i="15"/>
  <c r="D53" i="15"/>
  <c r="C53" i="15"/>
  <c r="O53" i="15" s="1"/>
  <c r="B53" i="15"/>
  <c r="K52" i="15"/>
  <c r="J52" i="15"/>
  <c r="I52" i="15"/>
  <c r="H52" i="15"/>
  <c r="G52" i="15"/>
  <c r="F52" i="15"/>
  <c r="E52" i="15"/>
  <c r="D52" i="15"/>
  <c r="C52" i="15"/>
  <c r="O52" i="15" s="1"/>
  <c r="B52" i="15"/>
  <c r="J51" i="15"/>
  <c r="I51" i="15"/>
  <c r="H51" i="15"/>
  <c r="K51" i="15" s="1"/>
  <c r="G51" i="15"/>
  <c r="F51" i="15"/>
  <c r="E51" i="15"/>
  <c r="D51" i="15"/>
  <c r="C51" i="15"/>
  <c r="B51" i="15"/>
  <c r="L50" i="15"/>
  <c r="J50" i="15"/>
  <c r="I50" i="15"/>
  <c r="H50" i="15"/>
  <c r="G50" i="15"/>
  <c r="F50" i="15"/>
  <c r="E50" i="15"/>
  <c r="D50" i="15"/>
  <c r="C50" i="15"/>
  <c r="B50" i="15"/>
  <c r="K49" i="15"/>
  <c r="J49" i="15"/>
  <c r="I49" i="15"/>
  <c r="H49" i="15"/>
  <c r="G49" i="15"/>
  <c r="F49" i="15"/>
  <c r="E49" i="15"/>
  <c r="L49" i="15" s="1"/>
  <c r="D49" i="15"/>
  <c r="C49" i="15"/>
  <c r="B49" i="15"/>
  <c r="B58" i="15" s="1"/>
  <c r="J42" i="15"/>
  <c r="I42" i="15"/>
  <c r="H42" i="15"/>
  <c r="K42" i="15" s="1"/>
  <c r="G42" i="15"/>
  <c r="F42" i="15"/>
  <c r="P42" i="15" s="1"/>
  <c r="E42" i="15"/>
  <c r="D42" i="15"/>
  <c r="C42" i="15"/>
  <c r="B42" i="15"/>
  <c r="J41" i="15"/>
  <c r="J44" i="15" s="1"/>
  <c r="I41" i="15"/>
  <c r="I44" i="15" s="1"/>
  <c r="H41" i="15"/>
  <c r="K41" i="15" s="1"/>
  <c r="G41" i="15"/>
  <c r="F41" i="15"/>
  <c r="E41" i="15"/>
  <c r="L41" i="15" s="1"/>
  <c r="D41" i="15"/>
  <c r="C41" i="15"/>
  <c r="B41" i="15"/>
  <c r="B44" i="15" s="1"/>
  <c r="J40" i="15"/>
  <c r="I40" i="15"/>
  <c r="H40" i="15"/>
  <c r="K40" i="15" s="1"/>
  <c r="G40" i="15"/>
  <c r="F40" i="15"/>
  <c r="E40" i="15"/>
  <c r="D40" i="15"/>
  <c r="C40" i="15"/>
  <c r="B40" i="15"/>
  <c r="J39" i="15"/>
  <c r="I39" i="15"/>
  <c r="H39" i="15"/>
  <c r="G39" i="15"/>
  <c r="F39" i="15"/>
  <c r="E39" i="15"/>
  <c r="D39" i="15"/>
  <c r="C39" i="15"/>
  <c r="B39" i="15"/>
  <c r="J38" i="15"/>
  <c r="I38" i="15"/>
  <c r="H38" i="15"/>
  <c r="G38" i="15"/>
  <c r="F38" i="15"/>
  <c r="P38" i="15" s="1"/>
  <c r="E38" i="15"/>
  <c r="D38" i="15"/>
  <c r="C38" i="15"/>
  <c r="B38" i="15"/>
  <c r="J37" i="15"/>
  <c r="I37" i="15"/>
  <c r="H37" i="15"/>
  <c r="G37" i="15"/>
  <c r="F37" i="15"/>
  <c r="E37" i="15"/>
  <c r="D37" i="15"/>
  <c r="P37" i="15" s="1"/>
  <c r="C37" i="15"/>
  <c r="B37" i="15"/>
  <c r="J36" i="15"/>
  <c r="I36" i="15"/>
  <c r="H36" i="15"/>
  <c r="K36" i="15" s="1"/>
  <c r="G36" i="15"/>
  <c r="F36" i="15"/>
  <c r="N36" i="15" s="1"/>
  <c r="E36" i="15"/>
  <c r="D36" i="15"/>
  <c r="C36" i="15"/>
  <c r="B36" i="15"/>
  <c r="K35" i="15"/>
  <c r="J35" i="15"/>
  <c r="I35" i="15"/>
  <c r="H35" i="15"/>
  <c r="G35" i="15"/>
  <c r="F35" i="15"/>
  <c r="P35" i="15" s="1"/>
  <c r="E35" i="15"/>
  <c r="D35" i="15"/>
  <c r="C35" i="15"/>
  <c r="O35" i="15" s="1"/>
  <c r="B35" i="15"/>
  <c r="J34" i="15"/>
  <c r="I34" i="15"/>
  <c r="H34" i="15"/>
  <c r="K34" i="15" s="1"/>
  <c r="G34" i="15"/>
  <c r="F34" i="15"/>
  <c r="E34" i="15"/>
  <c r="D34" i="15"/>
  <c r="P34" i="15" s="1"/>
  <c r="C34" i="15"/>
  <c r="B34" i="15"/>
  <c r="J27" i="15"/>
  <c r="I27" i="15"/>
  <c r="H27" i="15"/>
  <c r="G27" i="15"/>
  <c r="F27" i="15"/>
  <c r="P27" i="15" s="1"/>
  <c r="E27" i="15"/>
  <c r="D27" i="15"/>
  <c r="C27" i="15"/>
  <c r="B27" i="15"/>
  <c r="J26" i="15"/>
  <c r="I26" i="15"/>
  <c r="H26" i="15"/>
  <c r="L26" i="15" s="1"/>
  <c r="G26" i="15"/>
  <c r="G29" i="15" s="1"/>
  <c r="F26" i="15"/>
  <c r="E26" i="15"/>
  <c r="D26" i="15"/>
  <c r="D29" i="15" s="1"/>
  <c r="C26" i="15"/>
  <c r="B26" i="15"/>
  <c r="J25" i="15"/>
  <c r="I25" i="15"/>
  <c r="H25" i="15"/>
  <c r="K25" i="15" s="1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P24" i="15" s="1"/>
  <c r="C24" i="15"/>
  <c r="B24" i="15"/>
  <c r="L23" i="15"/>
  <c r="J23" i="15"/>
  <c r="I23" i="15"/>
  <c r="H23" i="15"/>
  <c r="K23" i="15" s="1"/>
  <c r="G23" i="15"/>
  <c r="F23" i="15"/>
  <c r="E23" i="15"/>
  <c r="D23" i="15"/>
  <c r="C23" i="15"/>
  <c r="O23" i="15" s="1"/>
  <c r="B23" i="15"/>
  <c r="J22" i="15"/>
  <c r="I22" i="15"/>
  <c r="H22" i="15"/>
  <c r="O22" i="15" s="1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B28" i="15" s="1"/>
  <c r="J20" i="15"/>
  <c r="I20" i="15"/>
  <c r="H20" i="15"/>
  <c r="L20" i="15" s="1"/>
  <c r="G20" i="15"/>
  <c r="F20" i="15"/>
  <c r="P20" i="15" s="1"/>
  <c r="E20" i="15"/>
  <c r="D20" i="15"/>
  <c r="C20" i="15"/>
  <c r="O20" i="15" s="1"/>
  <c r="B20" i="15"/>
  <c r="J19" i="15"/>
  <c r="I19" i="15"/>
  <c r="H19" i="15"/>
  <c r="K19" i="15" s="1"/>
  <c r="G19" i="15"/>
  <c r="F19" i="15"/>
  <c r="E19" i="15"/>
  <c r="D19" i="15"/>
  <c r="P19" i="15" s="1"/>
  <c r="C19" i="15"/>
  <c r="B19" i="15"/>
  <c r="G14" i="15"/>
  <c r="J12" i="15"/>
  <c r="I12" i="15"/>
  <c r="H12" i="15"/>
  <c r="G12" i="15"/>
  <c r="F12" i="15"/>
  <c r="E12" i="15"/>
  <c r="D12" i="15"/>
  <c r="C12" i="15"/>
  <c r="B12" i="15"/>
  <c r="J11" i="15"/>
  <c r="J14" i="15" s="1"/>
  <c r="I11" i="15"/>
  <c r="I14" i="15" s="1"/>
  <c r="H11" i="15"/>
  <c r="K11" i="15" s="1"/>
  <c r="G11" i="15"/>
  <c r="F11" i="15"/>
  <c r="E11" i="15"/>
  <c r="D11" i="15"/>
  <c r="D14" i="15" s="1"/>
  <c r="C11" i="15"/>
  <c r="C14" i="15" s="1"/>
  <c r="B11" i="15"/>
  <c r="B14" i="15" s="1"/>
  <c r="K10" i="15"/>
  <c r="J10" i="15"/>
  <c r="I10" i="15"/>
  <c r="H10" i="15"/>
  <c r="G10" i="15"/>
  <c r="F10" i="15"/>
  <c r="E10" i="15"/>
  <c r="D10" i="15"/>
  <c r="C10" i="15"/>
  <c r="M10" i="15" s="1"/>
  <c r="B10" i="15"/>
  <c r="J9" i="15"/>
  <c r="I9" i="15"/>
  <c r="H9" i="15"/>
  <c r="L9" i="15" s="1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K7" i="15" s="1"/>
  <c r="G7" i="15"/>
  <c r="F7" i="15"/>
  <c r="N7" i="15" s="1"/>
  <c r="E7" i="15"/>
  <c r="D7" i="15"/>
  <c r="C7" i="15"/>
  <c r="B7" i="15"/>
  <c r="J6" i="15"/>
  <c r="I6" i="15"/>
  <c r="H6" i="15"/>
  <c r="L6" i="15" s="1"/>
  <c r="G6" i="15"/>
  <c r="F6" i="15"/>
  <c r="E6" i="15"/>
  <c r="D6" i="15"/>
  <c r="C6" i="15"/>
  <c r="B6" i="15"/>
  <c r="J5" i="15"/>
  <c r="I5" i="15"/>
  <c r="H5" i="15"/>
  <c r="K5" i="15" s="1"/>
  <c r="G5" i="15"/>
  <c r="F5" i="15"/>
  <c r="E5" i="15"/>
  <c r="D5" i="15"/>
  <c r="C5" i="15"/>
  <c r="B5" i="15"/>
  <c r="J4" i="15"/>
  <c r="I4" i="15"/>
  <c r="H4" i="15"/>
  <c r="H13" i="15" s="1"/>
  <c r="G4" i="15"/>
  <c r="F4" i="15"/>
  <c r="E4" i="15"/>
  <c r="D4" i="15"/>
  <c r="C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4" i="19" l="1"/>
  <c r="P4" i="15"/>
  <c r="P5" i="15"/>
  <c r="B13" i="15"/>
  <c r="O12" i="15"/>
  <c r="N98" i="15"/>
  <c r="C119" i="15"/>
  <c r="O128" i="15"/>
  <c r="O161" i="15"/>
  <c r="C13" i="15"/>
  <c r="O13" i="15" s="1"/>
  <c r="O11" i="15"/>
  <c r="N51" i="15"/>
  <c r="N57" i="15"/>
  <c r="O67" i="15"/>
  <c r="O114" i="15"/>
  <c r="N143" i="15"/>
  <c r="N175" i="15"/>
  <c r="P5" i="19"/>
  <c r="P11" i="19"/>
  <c r="N12" i="19"/>
  <c r="O8" i="15"/>
  <c r="N10" i="15"/>
  <c r="O24" i="15"/>
  <c r="O37" i="15"/>
  <c r="O162" i="15"/>
  <c r="P6" i="19"/>
  <c r="N4" i="15"/>
  <c r="N11" i="15"/>
  <c r="N96" i="15"/>
  <c r="N161" i="15"/>
  <c r="O174" i="15"/>
  <c r="O5" i="19"/>
  <c r="P7" i="19"/>
  <c r="O11" i="19"/>
  <c r="O10" i="15"/>
  <c r="M35" i="15"/>
  <c r="O39" i="15"/>
  <c r="N53" i="15"/>
  <c r="O69" i="15"/>
  <c r="N95" i="15"/>
  <c r="N124" i="15"/>
  <c r="N129" i="15"/>
  <c r="M160" i="15"/>
  <c r="O12" i="19"/>
  <c r="C58" i="15"/>
  <c r="M145" i="15"/>
  <c r="P12" i="15"/>
  <c r="O112" i="15"/>
  <c r="N141" i="15"/>
  <c r="O170" i="15"/>
  <c r="N9" i="19"/>
  <c r="O6" i="15"/>
  <c r="N12" i="15"/>
  <c r="G28" i="15"/>
  <c r="P23" i="15"/>
  <c r="I43" i="15"/>
  <c r="M40" i="15"/>
  <c r="I58" i="15"/>
  <c r="J58" i="15"/>
  <c r="N54" i="15"/>
  <c r="L57" i="15"/>
  <c r="M70" i="15"/>
  <c r="H74" i="15"/>
  <c r="G103" i="15"/>
  <c r="O102" i="15"/>
  <c r="L112" i="15"/>
  <c r="L115" i="15"/>
  <c r="I148" i="15"/>
  <c r="L143" i="15"/>
  <c r="L145" i="15"/>
  <c r="L158" i="15"/>
  <c r="N172" i="15"/>
  <c r="N173" i="15"/>
  <c r="L6" i="19"/>
  <c r="N11" i="19"/>
  <c r="M12" i="19"/>
  <c r="C103" i="15"/>
  <c r="I133" i="15"/>
  <c r="P131" i="15"/>
  <c r="C163" i="15"/>
  <c r="G13" i="15"/>
  <c r="N6" i="15"/>
  <c r="M7" i="15"/>
  <c r="P7" i="15"/>
  <c r="M9" i="15"/>
  <c r="N24" i="15"/>
  <c r="M25" i="15"/>
  <c r="O25" i="15"/>
  <c r="I29" i="15"/>
  <c r="N34" i="15"/>
  <c r="N37" i="15"/>
  <c r="C44" i="15"/>
  <c r="M49" i="15"/>
  <c r="O50" i="15"/>
  <c r="P55" i="15"/>
  <c r="P66" i="15"/>
  <c r="N67" i="15"/>
  <c r="M68" i="15"/>
  <c r="J88" i="15"/>
  <c r="P85" i="15"/>
  <c r="O86" i="15"/>
  <c r="L94" i="15"/>
  <c r="P99" i="15"/>
  <c r="O99" i="15"/>
  <c r="P102" i="15"/>
  <c r="P109" i="15"/>
  <c r="I118" i="15"/>
  <c r="N112" i="15"/>
  <c r="N115" i="15"/>
  <c r="B133" i="15"/>
  <c r="O125" i="15"/>
  <c r="L126" i="15"/>
  <c r="P129" i="15"/>
  <c r="M131" i="15"/>
  <c r="I164" i="15"/>
  <c r="M171" i="15"/>
  <c r="K171" i="15"/>
  <c r="K174" i="15"/>
  <c r="L4" i="19"/>
  <c r="L10" i="19"/>
  <c r="J13" i="15"/>
  <c r="L11" i="15"/>
  <c r="J28" i="15"/>
  <c r="M22" i="15"/>
  <c r="K22" i="15"/>
  <c r="B29" i="15"/>
  <c r="J29" i="15"/>
  <c r="H29" i="15"/>
  <c r="K29" i="15" s="1"/>
  <c r="F43" i="15"/>
  <c r="N40" i="15"/>
  <c r="D44" i="15"/>
  <c r="O41" i="15"/>
  <c r="P49" i="15"/>
  <c r="M52" i="15"/>
  <c r="L53" i="15"/>
  <c r="O57" i="15"/>
  <c r="D73" i="15"/>
  <c r="N82" i="15"/>
  <c r="L98" i="15"/>
  <c r="N99" i="15"/>
  <c r="P100" i="15"/>
  <c r="G104" i="15"/>
  <c r="B119" i="15"/>
  <c r="P119" i="15" s="1"/>
  <c r="L124" i="15"/>
  <c r="P127" i="15"/>
  <c r="N156" i="15"/>
  <c r="K157" i="15"/>
  <c r="N159" i="15"/>
  <c r="H164" i="15"/>
  <c r="G178" i="15"/>
  <c r="N4" i="19"/>
  <c r="M9" i="19"/>
  <c r="P12" i="19"/>
  <c r="I13" i="15"/>
  <c r="M8" i="15"/>
  <c r="K8" i="15"/>
  <c r="C28" i="15"/>
  <c r="M28" i="15" s="1"/>
  <c r="E28" i="15"/>
  <c r="O26" i="15"/>
  <c r="G43" i="15"/>
  <c r="N35" i="15"/>
  <c r="N38" i="15"/>
  <c r="M39" i="15"/>
  <c r="K39" i="15"/>
  <c r="M55" i="15"/>
  <c r="P57" i="15"/>
  <c r="M64" i="15"/>
  <c r="L65" i="15"/>
  <c r="L69" i="15"/>
  <c r="M72" i="15"/>
  <c r="K72" i="15"/>
  <c r="L87" i="15"/>
  <c r="K95" i="15"/>
  <c r="M100" i="15"/>
  <c r="F118" i="15"/>
  <c r="M111" i="15"/>
  <c r="K111" i="15"/>
  <c r="N113" i="15"/>
  <c r="B118" i="15"/>
  <c r="J118" i="15"/>
  <c r="N116" i="15"/>
  <c r="O117" i="15"/>
  <c r="N127" i="15"/>
  <c r="N131" i="15"/>
  <c r="O139" i="15"/>
  <c r="M141" i="15"/>
  <c r="L147" i="15"/>
  <c r="M155" i="15"/>
  <c r="K155" i="15"/>
  <c r="M157" i="15"/>
  <c r="P160" i="15"/>
  <c r="L162" i="15"/>
  <c r="J178" i="15"/>
  <c r="K177" i="15"/>
  <c r="K5" i="19"/>
  <c r="L8" i="15"/>
  <c r="P25" i="15"/>
  <c r="L39" i="15"/>
  <c r="P41" i="15"/>
  <c r="O65" i="15"/>
  <c r="P68" i="15"/>
  <c r="P71" i="15"/>
  <c r="O87" i="15"/>
  <c r="O111" i="15"/>
  <c r="O173" i="15"/>
  <c r="M175" i="15"/>
  <c r="K175" i="15"/>
  <c r="M10" i="19"/>
  <c r="M5" i="15"/>
  <c r="O5" i="15"/>
  <c r="F14" i="15"/>
  <c r="M20" i="15"/>
  <c r="K20" i="15"/>
  <c r="N22" i="15"/>
  <c r="N26" i="15"/>
  <c r="C29" i="15"/>
  <c r="E29" i="15"/>
  <c r="M29" i="15" s="1"/>
  <c r="M36" i="15"/>
  <c r="N39" i="15"/>
  <c r="G44" i="15"/>
  <c r="F44" i="15"/>
  <c r="P44" i="15" s="1"/>
  <c r="P50" i="15"/>
  <c r="P53" i="15"/>
  <c r="G73" i="15"/>
  <c r="N65" i="15"/>
  <c r="G74" i="15"/>
  <c r="N79" i="15"/>
  <c r="O82" i="15"/>
  <c r="P83" i="15"/>
  <c r="P84" i="15"/>
  <c r="N87" i="15"/>
  <c r="O110" i="15"/>
  <c r="N111" i="15"/>
  <c r="N117" i="15"/>
  <c r="M128" i="15"/>
  <c r="P139" i="15"/>
  <c r="N144" i="15"/>
  <c r="K145" i="15"/>
  <c r="N147" i="15"/>
  <c r="N155" i="15"/>
  <c r="O159" i="15"/>
  <c r="E164" i="15"/>
  <c r="L164" i="15" s="1"/>
  <c r="L177" i="15"/>
  <c r="N5" i="19"/>
  <c r="O6" i="19"/>
  <c r="L8" i="19"/>
  <c r="M11" i="19"/>
  <c r="L11" i="19"/>
  <c r="D13" i="15"/>
  <c r="P6" i="15"/>
  <c r="P8" i="15"/>
  <c r="P9" i="15"/>
  <c r="N19" i="15"/>
  <c r="D28" i="15"/>
  <c r="L21" i="15"/>
  <c r="N23" i="15"/>
  <c r="B43" i="15"/>
  <c r="J43" i="15"/>
  <c r="O38" i="15"/>
  <c r="N42" i="15"/>
  <c r="N50" i="15"/>
  <c r="O51" i="15"/>
  <c r="O55" i="15"/>
  <c r="F59" i="15"/>
  <c r="P65" i="15"/>
  <c r="L70" i="15"/>
  <c r="L81" i="15"/>
  <c r="M84" i="15"/>
  <c r="O98" i="15"/>
  <c r="E104" i="15"/>
  <c r="O113" i="15"/>
  <c r="P117" i="15"/>
  <c r="N125" i="15"/>
  <c r="M126" i="15"/>
  <c r="O127" i="15"/>
  <c r="P128" i="15"/>
  <c r="M143" i="15"/>
  <c r="I163" i="15"/>
  <c r="N169" i="15"/>
  <c r="K13" i="15"/>
  <c r="O29" i="15"/>
  <c r="P14" i="15"/>
  <c r="K6" i="15"/>
  <c r="L7" i="15"/>
  <c r="N9" i="15"/>
  <c r="P11" i="15"/>
  <c r="L19" i="15"/>
  <c r="N21" i="15"/>
  <c r="K26" i="15"/>
  <c r="L27" i="15"/>
  <c r="F28" i="15"/>
  <c r="L34" i="15"/>
  <c r="P36" i="15"/>
  <c r="K38" i="15"/>
  <c r="O40" i="15"/>
  <c r="E43" i="15"/>
  <c r="N49" i="15"/>
  <c r="O49" i="15"/>
  <c r="P52" i="15"/>
  <c r="N52" i="15"/>
  <c r="D58" i="15"/>
  <c r="P64" i="15"/>
  <c r="F73" i="15"/>
  <c r="N64" i="15"/>
  <c r="M67" i="15"/>
  <c r="P72" i="15"/>
  <c r="O72" i="15"/>
  <c r="N80" i="15"/>
  <c r="L83" i="15"/>
  <c r="B134" i="15"/>
  <c r="N139" i="15"/>
  <c r="O140" i="15"/>
  <c r="K140" i="15"/>
  <c r="M140" i="15"/>
  <c r="L140" i="15"/>
  <c r="H148" i="15"/>
  <c r="P158" i="15"/>
  <c r="N158" i="15"/>
  <c r="N171" i="15"/>
  <c r="O171" i="15"/>
  <c r="O172" i="15"/>
  <c r="K172" i="15"/>
  <c r="M172" i="15"/>
  <c r="L172" i="15"/>
  <c r="N8" i="15"/>
  <c r="O9" i="15"/>
  <c r="P10" i="15"/>
  <c r="M19" i="15"/>
  <c r="N20" i="15"/>
  <c r="O21" i="15"/>
  <c r="P22" i="15"/>
  <c r="M27" i="15"/>
  <c r="D43" i="15"/>
  <c r="P43" i="15" s="1"/>
  <c r="M34" i="15"/>
  <c r="L38" i="15"/>
  <c r="P39" i="15"/>
  <c r="P40" i="15"/>
  <c r="L51" i="15"/>
  <c r="G59" i="15"/>
  <c r="E58" i="15"/>
  <c r="I73" i="15"/>
  <c r="L68" i="15"/>
  <c r="M69" i="15"/>
  <c r="K69" i="15"/>
  <c r="C74" i="15"/>
  <c r="O74" i="15" s="1"/>
  <c r="O71" i="15"/>
  <c r="M81" i="15"/>
  <c r="K81" i="15"/>
  <c r="N83" i="15"/>
  <c r="N85" i="15"/>
  <c r="D103" i="15"/>
  <c r="P98" i="15"/>
  <c r="O100" i="15"/>
  <c r="L100" i="15"/>
  <c r="K100" i="15"/>
  <c r="M102" i="15"/>
  <c r="F104" i="15"/>
  <c r="P104" i="15" s="1"/>
  <c r="L125" i="15"/>
  <c r="L128" i="15"/>
  <c r="C134" i="15"/>
  <c r="E179" i="15"/>
  <c r="N176" i="15"/>
  <c r="K4" i="15"/>
  <c r="L5" i="15"/>
  <c r="M6" i="15"/>
  <c r="K12" i="15"/>
  <c r="E14" i="15"/>
  <c r="N14" i="15" s="1"/>
  <c r="P21" i="15"/>
  <c r="K24" i="15"/>
  <c r="L25" i="15"/>
  <c r="M26" i="15"/>
  <c r="N27" i="15"/>
  <c r="H28" i="15"/>
  <c r="K37" i="15"/>
  <c r="M38" i="15"/>
  <c r="L42" i="15"/>
  <c r="G58" i="15"/>
  <c r="M51" i="15"/>
  <c r="L54" i="15"/>
  <c r="H59" i="15"/>
  <c r="L56" i="15"/>
  <c r="M57" i="15"/>
  <c r="K57" i="15"/>
  <c r="H58" i="15"/>
  <c r="C59" i="15"/>
  <c r="L66" i="15"/>
  <c r="M71" i="15"/>
  <c r="E73" i="15"/>
  <c r="L73" i="15" s="1"/>
  <c r="F74" i="15"/>
  <c r="P74" i="15" s="1"/>
  <c r="H88" i="15"/>
  <c r="L80" i="15"/>
  <c r="E103" i="15"/>
  <c r="N102" i="15"/>
  <c r="K104" i="15"/>
  <c r="M110" i="15"/>
  <c r="C118" i="15"/>
  <c r="M125" i="15"/>
  <c r="K132" i="15"/>
  <c r="O132" i="15"/>
  <c r="M132" i="15"/>
  <c r="L132" i="15"/>
  <c r="P142" i="15"/>
  <c r="N142" i="15"/>
  <c r="E178" i="15"/>
  <c r="L169" i="15"/>
  <c r="M169" i="15"/>
  <c r="P174" i="15"/>
  <c r="N174" i="15"/>
  <c r="L4" i="15"/>
  <c r="O7" i="15"/>
  <c r="L12" i="15"/>
  <c r="E13" i="15"/>
  <c r="O19" i="15"/>
  <c r="L24" i="15"/>
  <c r="O27" i="15"/>
  <c r="O34" i="15"/>
  <c r="L35" i="15"/>
  <c r="L37" i="15"/>
  <c r="M42" i="15"/>
  <c r="H43" i="15"/>
  <c r="K50" i="15"/>
  <c r="P51" i="15"/>
  <c r="M54" i="15"/>
  <c r="M66" i="15"/>
  <c r="P67" i="15"/>
  <c r="N69" i="15"/>
  <c r="L71" i="15"/>
  <c r="N71" i="15"/>
  <c r="K74" i="15"/>
  <c r="M79" i="15"/>
  <c r="D89" i="15"/>
  <c r="O95" i="15"/>
  <c r="M95" i="15"/>
  <c r="G118" i="15"/>
  <c r="N110" i="15"/>
  <c r="P130" i="15"/>
  <c r="P154" i="15"/>
  <c r="F163" i="15"/>
  <c r="N154" i="15"/>
  <c r="P162" i="15"/>
  <c r="N162" i="15"/>
  <c r="M4" i="15"/>
  <c r="N5" i="15"/>
  <c r="M12" i="15"/>
  <c r="F13" i="15"/>
  <c r="P13" i="15" s="1"/>
  <c r="M24" i="15"/>
  <c r="N25" i="15"/>
  <c r="M37" i="15"/>
  <c r="F88" i="15"/>
  <c r="P79" i="15"/>
  <c r="L109" i="15"/>
  <c r="K109" i="15"/>
  <c r="H118" i="15"/>
  <c r="O109" i="15"/>
  <c r="K144" i="15"/>
  <c r="O144" i="15"/>
  <c r="M144" i="15"/>
  <c r="L144" i="15"/>
  <c r="N160" i="15"/>
  <c r="L160" i="15"/>
  <c r="K176" i="15"/>
  <c r="O176" i="15"/>
  <c r="M176" i="15"/>
  <c r="L176" i="15"/>
  <c r="H179" i="15"/>
  <c r="K9" i="15"/>
  <c r="L10" i="15"/>
  <c r="M11" i="15"/>
  <c r="H14" i="15"/>
  <c r="M14" i="15" s="1"/>
  <c r="I28" i="15"/>
  <c r="K21" i="15"/>
  <c r="L22" i="15"/>
  <c r="M23" i="15"/>
  <c r="P26" i="15"/>
  <c r="F29" i="15"/>
  <c r="P29" i="15" s="1"/>
  <c r="L36" i="15"/>
  <c r="L40" i="15"/>
  <c r="E44" i="15"/>
  <c r="N44" i="15" s="1"/>
  <c r="M41" i="15"/>
  <c r="O42" i="15"/>
  <c r="M50" i="15"/>
  <c r="M53" i="15"/>
  <c r="O54" i="15"/>
  <c r="L55" i="15"/>
  <c r="K55" i="15"/>
  <c r="M56" i="15"/>
  <c r="K56" i="15"/>
  <c r="P59" i="15"/>
  <c r="C73" i="15"/>
  <c r="M73" i="15" s="1"/>
  <c r="M65" i="15"/>
  <c r="O66" i="15"/>
  <c r="L67" i="15"/>
  <c r="N68" i="15"/>
  <c r="G88" i="15"/>
  <c r="M80" i="15"/>
  <c r="C88" i="15"/>
  <c r="K80" i="15"/>
  <c r="O103" i="15"/>
  <c r="L116" i="15"/>
  <c r="J133" i="15"/>
  <c r="L130" i="15"/>
  <c r="O130" i="15"/>
  <c r="K130" i="15"/>
  <c r="B148" i="15"/>
  <c r="J148" i="15"/>
  <c r="N140" i="15"/>
  <c r="E148" i="15"/>
  <c r="K156" i="15"/>
  <c r="O156" i="15"/>
  <c r="M156" i="15"/>
  <c r="L156" i="15"/>
  <c r="H163" i="15"/>
  <c r="O4" i="15"/>
  <c r="C43" i="15"/>
  <c r="N41" i="15"/>
  <c r="H44" i="15"/>
  <c r="F58" i="15"/>
  <c r="L52" i="15"/>
  <c r="N56" i="15"/>
  <c r="L64" i="15"/>
  <c r="O68" i="15"/>
  <c r="L79" i="15"/>
  <c r="D88" i="15"/>
  <c r="O80" i="15"/>
  <c r="I103" i="15"/>
  <c r="P95" i="15"/>
  <c r="M101" i="15"/>
  <c r="K103" i="15"/>
  <c r="M113" i="15"/>
  <c r="O119" i="15"/>
  <c r="K119" i="15"/>
  <c r="M139" i="15"/>
  <c r="C148" i="15"/>
  <c r="L146" i="15"/>
  <c r="K164" i="15"/>
  <c r="P170" i="15"/>
  <c r="N170" i="15"/>
  <c r="M21" i="15"/>
  <c r="K27" i="15"/>
  <c r="O36" i="15"/>
  <c r="P80" i="15"/>
  <c r="O83" i="15"/>
  <c r="M83" i="15"/>
  <c r="B103" i="15"/>
  <c r="J103" i="15"/>
  <c r="N101" i="15"/>
  <c r="L101" i="15"/>
  <c r="M109" i="15"/>
  <c r="E119" i="15"/>
  <c r="N119" i="15" s="1"/>
  <c r="M116" i="15"/>
  <c r="D133" i="15"/>
  <c r="P133" i="15" s="1"/>
  <c r="P124" i="15"/>
  <c r="E134" i="15"/>
  <c r="N134" i="15" s="1"/>
  <c r="N132" i="15"/>
  <c r="P146" i="15"/>
  <c r="F149" i="15"/>
  <c r="N146" i="15"/>
  <c r="B178" i="15"/>
  <c r="K70" i="15"/>
  <c r="K82" i="15"/>
  <c r="O84" i="15"/>
  <c r="L85" i="15"/>
  <c r="K85" i="15"/>
  <c r="M86" i="15"/>
  <c r="F89" i="15"/>
  <c r="P89" i="15" s="1"/>
  <c r="O96" i="15"/>
  <c r="L97" i="15"/>
  <c r="K97" i="15"/>
  <c r="M98" i="15"/>
  <c r="K98" i="15"/>
  <c r="K112" i="15"/>
  <c r="P113" i="15"/>
  <c r="K115" i="15"/>
  <c r="C133" i="15"/>
  <c r="P125" i="15"/>
  <c r="K127" i="15"/>
  <c r="D134" i="15"/>
  <c r="E133" i="15"/>
  <c r="L142" i="15"/>
  <c r="M147" i="15"/>
  <c r="K147" i="15"/>
  <c r="L154" i="15"/>
  <c r="M159" i="15"/>
  <c r="K159" i="15"/>
  <c r="B164" i="15"/>
  <c r="J164" i="15"/>
  <c r="D178" i="15"/>
  <c r="L174" i="15"/>
  <c r="M82" i="15"/>
  <c r="M94" i="15"/>
  <c r="P101" i="15"/>
  <c r="D118" i="15"/>
  <c r="P118" i="15" s="1"/>
  <c r="M112" i="15"/>
  <c r="M115" i="15"/>
  <c r="L117" i="15"/>
  <c r="K117" i="15"/>
  <c r="M124" i="15"/>
  <c r="M127" i="15"/>
  <c r="L129" i="15"/>
  <c r="K129" i="15"/>
  <c r="M130" i="15"/>
  <c r="F148" i="15"/>
  <c r="N145" i="15"/>
  <c r="O147" i="15"/>
  <c r="B163" i="15"/>
  <c r="J163" i="15"/>
  <c r="N157" i="15"/>
  <c r="O160" i="15"/>
  <c r="K160" i="15"/>
  <c r="P169" i="15"/>
  <c r="I179" i="15"/>
  <c r="N177" i="15"/>
  <c r="K67" i="15"/>
  <c r="P82" i="15"/>
  <c r="M85" i="15"/>
  <c r="P94" i="15"/>
  <c r="N94" i="15"/>
  <c r="M97" i="15"/>
  <c r="E118" i="15"/>
  <c r="L110" i="15"/>
  <c r="P116" i="15"/>
  <c r="N130" i="15"/>
  <c r="G148" i="15"/>
  <c r="P141" i="15"/>
  <c r="M142" i="15"/>
  <c r="P145" i="15"/>
  <c r="M154" i="15"/>
  <c r="P157" i="15"/>
  <c r="M170" i="15"/>
  <c r="C178" i="15"/>
  <c r="M178" i="15" s="1"/>
  <c r="P173" i="15"/>
  <c r="M174" i="15"/>
  <c r="B179" i="15"/>
  <c r="J179" i="15"/>
  <c r="F179" i="15"/>
  <c r="P177" i="15"/>
  <c r="G89" i="15"/>
  <c r="E88" i="15"/>
  <c r="N100" i="15"/>
  <c r="O101" i="15"/>
  <c r="F103" i="15"/>
  <c r="P103" i="15" s="1"/>
  <c r="G133" i="15"/>
  <c r="H134" i="15"/>
  <c r="M146" i="15"/>
  <c r="C149" i="15"/>
  <c r="M149" i="15" s="1"/>
  <c r="M158" i="15"/>
  <c r="P161" i="15"/>
  <c r="F164" i="15"/>
  <c r="C164" i="15"/>
  <c r="M164" i="15" s="1"/>
  <c r="M162" i="15"/>
  <c r="H178" i="15"/>
  <c r="F178" i="15"/>
  <c r="L84" i="15"/>
  <c r="H89" i="15"/>
  <c r="L86" i="15"/>
  <c r="M87" i="15"/>
  <c r="C89" i="15"/>
  <c r="L96" i="15"/>
  <c r="M99" i="15"/>
  <c r="P114" i="15"/>
  <c r="N114" i="15"/>
  <c r="M117" i="15"/>
  <c r="H133" i="15"/>
  <c r="O124" i="15"/>
  <c r="P126" i="15"/>
  <c r="N126" i="15"/>
  <c r="M129" i="15"/>
  <c r="I134" i="15"/>
  <c r="D149" i="15"/>
  <c r="K149" i="15"/>
  <c r="E163" i="15"/>
  <c r="N163" i="15" s="1"/>
  <c r="I178" i="15"/>
  <c r="L170" i="15"/>
  <c r="L7" i="19"/>
  <c r="O10" i="19"/>
  <c r="K141" i="15"/>
  <c r="K161" i="15"/>
  <c r="K173" i="15"/>
  <c r="M7" i="19"/>
  <c r="O9" i="19"/>
  <c r="L141" i="15"/>
  <c r="L161" i="15"/>
  <c r="L173" i="15"/>
  <c r="L5" i="19"/>
  <c r="M6" i="19"/>
  <c r="N7" i="19"/>
  <c r="O8" i="19"/>
  <c r="K12" i="19"/>
  <c r="M5" i="19"/>
  <c r="N6" i="19"/>
  <c r="K11" i="19"/>
  <c r="L12" i="19"/>
  <c r="M4" i="19"/>
  <c r="K10" i="19"/>
  <c r="K9" i="19"/>
  <c r="K8" i="19"/>
  <c r="N88" i="15" l="1"/>
  <c r="N13" i="15"/>
  <c r="M133" i="15"/>
  <c r="P28" i="15"/>
  <c r="M59" i="15"/>
  <c r="M74" i="15"/>
  <c r="P88" i="15"/>
  <c r="O73" i="15"/>
  <c r="N118" i="15"/>
  <c r="P58" i="15"/>
  <c r="P134" i="15"/>
  <c r="P148" i="15"/>
  <c r="P73" i="15"/>
  <c r="L44" i="15"/>
  <c r="O44" i="15"/>
  <c r="K44" i="15"/>
  <c r="M88" i="15"/>
  <c r="L179" i="15"/>
  <c r="O179" i="15"/>
  <c r="K179" i="15"/>
  <c r="M163" i="15"/>
  <c r="M118" i="15"/>
  <c r="L28" i="15"/>
  <c r="K28" i="15"/>
  <c r="O28" i="15"/>
  <c r="L29" i="15"/>
  <c r="P178" i="15"/>
  <c r="N164" i="15"/>
  <c r="L119" i="15"/>
  <c r="N73" i="15"/>
  <c r="O59" i="15"/>
  <c r="L59" i="15"/>
  <c r="K59" i="15"/>
  <c r="N58" i="15"/>
  <c r="O148" i="15"/>
  <c r="K148" i="15"/>
  <c r="L148" i="15"/>
  <c r="M58" i="15"/>
  <c r="O89" i="15"/>
  <c r="L89" i="15"/>
  <c r="K89" i="15"/>
  <c r="N178" i="15"/>
  <c r="L178" i="15"/>
  <c r="K178" i="15"/>
  <c r="O178" i="15"/>
  <c r="L134" i="15"/>
  <c r="O134" i="15"/>
  <c r="K134" i="15"/>
  <c r="P179" i="15"/>
  <c r="M43" i="15"/>
  <c r="N148" i="15"/>
  <c r="L104" i="15"/>
  <c r="N74" i="15"/>
  <c r="P149" i="15"/>
  <c r="N149" i="15"/>
  <c r="O164" i="15"/>
  <c r="P163" i="15"/>
  <c r="N104" i="15"/>
  <c r="N28" i="15"/>
  <c r="M44" i="15"/>
  <c r="L43" i="15"/>
  <c r="K43" i="15"/>
  <c r="O43" i="15"/>
  <c r="O88" i="15"/>
  <c r="K88" i="15"/>
  <c r="L88" i="15"/>
  <c r="M89" i="15"/>
  <c r="N133" i="15"/>
  <c r="L103" i="15"/>
  <c r="N179" i="15"/>
  <c r="L149" i="15"/>
  <c r="L133" i="15"/>
  <c r="K133" i="15"/>
  <c r="O133" i="15"/>
  <c r="P164" i="15"/>
  <c r="O163" i="15"/>
  <c r="L163" i="15"/>
  <c r="K163" i="15"/>
  <c r="N103" i="15"/>
  <c r="O58" i="15"/>
  <c r="L58" i="15"/>
  <c r="K58" i="15"/>
  <c r="M134" i="15"/>
  <c r="N43" i="15"/>
  <c r="N59" i="15"/>
  <c r="M13" i="15"/>
  <c r="M179" i="15"/>
  <c r="O14" i="15"/>
  <c r="L14" i="15"/>
  <c r="K14" i="15"/>
  <c r="L118" i="15"/>
  <c r="O118" i="15"/>
  <c r="K118" i="15"/>
  <c r="N89" i="15"/>
  <c r="M103" i="15"/>
  <c r="O149" i="15"/>
  <c r="M119" i="15"/>
  <c r="M148" i="15"/>
  <c r="M104" i="15"/>
  <c r="L74" i="15"/>
  <c r="N29" i="15"/>
  <c r="L13" i="15"/>
</calcChain>
</file>

<file path=xl/sharedStrings.xml><?xml version="1.0" encoding="utf-8"?>
<sst xmlns="http://schemas.openxmlformats.org/spreadsheetml/2006/main" count="3267" uniqueCount="192">
  <si>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</si>
  <si>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</si>
  <si>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</si>
  <si>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</si>
  <si>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</si>
  <si>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</si>
  <si>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</si>
  <si>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</si>
  <si>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</si>
  <si>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</si>
  <si>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</si>
  <si>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</si>
  <si>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</si>
  <si>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</si>
  <si>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Import data from previous workbook format</t>
  </si>
  <si>
    <t>Recalculate all remaining values</t>
  </si>
  <si>
    <t>Verify calculation accuracy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</si>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</sst>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0"/>
      <color rgb="FF808080"/>
      <name val="Calibri"/>
    </font>
    <font>
      <b/>
      <sz val="10"/>
      <color rgb="FFFFFFFF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0" xfId="0" applyFont="1"/>
    <xf numFmtId="0" fontId="5" fillId="0" borderId="0" xfId="0" applyFont="1"/>
    <xf numFmtId="0" fontId="9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6" borderId="1" xfId="0" applyFont="1" applyFill="1" applyBorder="1"/>
    <xf numFmtId="0" fontId="4" fillId="7" borderId="1" xfId="0" applyFont="1" applyFill="1" applyBorder="1"/>
    <xf numFmtId="0" fontId="9" fillId="5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8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4" fontId="0" fillId="0" borderId="0" xfId="0" applyNumberFormat="1"/>
    <xf numFmtId="22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A14DD3E5-8432-A8F0-91E6-4E80B6C9929C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4C49643D-9C83-3DBD-A86E-688B9A35528F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620D9C2C-17C7-B8BF-64D3-FF674AB627DF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7F6C5145-5D90-2DAD-F725-CAB887DFD4FE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7AB22630-FC04-25F7-8F8C-709E3C230F55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10B56702-0256-788B-7136-461E614614AE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8D6944B9-A907-66B6-578C-9F201D834934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BAAA9E3E-DB8F-C3CA-AC2D-CE3217ED8CA9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3</xdr:col>
      <xdr:colOff>0</xdr:colOff>
      <xdr:row>26</xdr:row>
      <xdr:rowOff>0</xdr:rowOff>
    </xdr:to>
    <xdr:sp macro="ImportFromOldWorkbook" textlink="">
      <xdr:nvSpPr>
        <xdr:cNvPr id="10" name="btnImport">
          <a:extLst>
            <a:ext uri="{FF2B5EF4-FFF2-40B4-BE49-F238E27FC236}">
              <a16:creationId xmlns:a16="http://schemas.microsoft.com/office/drawing/2014/main" id="{921BAEAE-8336-C6AB-0E4A-4149B11CEFE1}"/>
            </a:ext>
          </a:extLst>
        </xdr:cNvPr>
        <xdr:cNvSpPr/>
      </xdr:nvSpPr>
      <xdr:spPr>
        <a:xfrm>
          <a:off x="0" y="4829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RecalculateAllRows" textlink="">
      <xdr:nvSpPr>
        <xdr:cNvPr id="11" name="btnRecalcAll">
          <a:extLst>
            <a:ext uri="{FF2B5EF4-FFF2-40B4-BE49-F238E27FC236}">
              <a16:creationId xmlns:a16="http://schemas.microsoft.com/office/drawing/2014/main" id="{C0B6ABBB-052B-090E-FAE9-06D012E0562A}"/>
            </a:ext>
          </a:extLst>
        </xdr:cNvPr>
        <xdr:cNvSpPr/>
      </xdr:nvSpPr>
      <xdr:spPr>
        <a:xfrm>
          <a:off x="0" y="5210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0</xdr:colOff>
      <xdr:row>30</xdr:row>
      <xdr:rowOff>0</xdr:rowOff>
    </xdr:to>
    <xdr:sp macro="VerifyCalculations" textlink="">
      <xdr:nvSpPr>
        <xdr:cNvPr id="12" name="btnVerify">
          <a:extLst>
            <a:ext uri="{FF2B5EF4-FFF2-40B4-BE49-F238E27FC236}">
              <a16:creationId xmlns:a16="http://schemas.microsoft.com/office/drawing/2014/main" id="{D76D3E0B-F3AD-BA9A-3035-7367A6FF5C52}"/>
            </a:ext>
          </a:extLst>
        </xdr:cNvPr>
        <xdr:cNvSpPr/>
      </xdr:nvSpPr>
      <xdr:spPr>
        <a:xfrm>
          <a:off x="0" y="5591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3:F45">
  <autoFilter ref="A33:F45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 dataDxfId="0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47:C59">
  <autoFilter ref="A47:C59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304">
  <autoFilter ref="A1:L304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59"/>
  <sheetViews>
    <sheetView tabSelected="1" topLeftCell="A13" workbookViewId="0">
      <selection activeCell="D34" sqref="D34:D42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  <c r="H1" s="23"/>
    </row>
    <row r="2" spans="1:8" ht="15.75" x14ac:dyDescent="0.25">
      <c r="A2" s="27" t="s">
        <v>1</v>
      </c>
      <c r="B2" s="23"/>
      <c r="C2" s="23"/>
      <c r="D2" s="23"/>
      <c r="E2" s="23"/>
      <c r="F2" s="23"/>
      <c r="G2" s="23"/>
      <c r="H2" s="23"/>
    </row>
    <row r="3" spans="1:8" x14ac:dyDescent="0.25">
      <c r="A3" s="28" t="s">
        <v>2</v>
      </c>
      <c r="B3" s="23"/>
      <c r="C3" s="23"/>
      <c r="D3" s="23"/>
      <c r="E3" s="23"/>
      <c r="F3" s="23"/>
      <c r="G3" s="23"/>
      <c r="H3" s="23"/>
    </row>
    <row r="5" spans="1:8" x14ac:dyDescent="0.25">
      <c r="A5" s="1" t="s">
        <v>3</v>
      </c>
      <c r="B5" s="1">
        <v>2026</v>
      </c>
      <c r="D5" s="1" t="s">
        <v>4</v>
      </c>
      <c r="E5" s="26" t="s">
        <v>2</v>
      </c>
      <c r="F5" s="23"/>
      <c r="G5" s="23"/>
      <c r="H5" s="23"/>
    </row>
    <row r="7" spans="1:8" ht="15.75" x14ac:dyDescent="0.25">
      <c r="A7" s="29" t="s">
        <v>5</v>
      </c>
      <c r="B7" s="23"/>
      <c r="C7" s="23"/>
      <c r="D7" s="23"/>
      <c r="E7" s="23"/>
      <c r="F7" s="23"/>
      <c r="G7" s="23"/>
      <c r="H7" s="23"/>
    </row>
    <row r="9" spans="1:8" x14ac:dyDescent="0.25">
      <c r="A9" s="24" t="s">
        <v>181</v>
      </c>
      <c r="B9" s="23"/>
      <c r="C9" s="23"/>
      <c r="D9" s="2" t="s">
        <v>6</v>
      </c>
    </row>
    <row r="11" spans="1:8" x14ac:dyDescent="0.25">
      <c r="A11" s="24" t="s">
        <v>182</v>
      </c>
      <c r="B11" s="23"/>
      <c r="C11" s="23"/>
      <c r="D11" s="2" t="s">
        <v>7</v>
      </c>
    </row>
    <row r="13" spans="1:8" x14ac:dyDescent="0.25">
      <c r="A13" s="24" t="s">
        <v>183</v>
      </c>
      <c r="B13" s="23"/>
      <c r="C13" s="23"/>
      <c r="D13" s="2" t="s">
        <v>8</v>
      </c>
    </row>
    <row r="15" spans="1:8" x14ac:dyDescent="0.25">
      <c r="A15" s="24" t="s">
        <v>184</v>
      </c>
      <c r="B15" s="23"/>
      <c r="C15" s="23"/>
      <c r="D15" s="2" t="s">
        <v>9</v>
      </c>
    </row>
    <row r="17" spans="1:6" x14ac:dyDescent="0.25">
      <c r="A17" s="24" t="s">
        <v>185</v>
      </c>
      <c r="B17" s="23"/>
      <c r="C17" s="23"/>
      <c r="D17" s="2" t="s">
        <v>10</v>
      </c>
    </row>
    <row r="19" spans="1:6" x14ac:dyDescent="0.25">
      <c r="A19" s="24" t="s">
        <v>186</v>
      </c>
      <c r="B19" s="23"/>
      <c r="C19" s="23"/>
      <c r="D19" s="2" t="s">
        <v>11</v>
      </c>
    </row>
    <row r="21" spans="1:6" x14ac:dyDescent="0.25">
      <c r="A21" s="24" t="s">
        <v>187</v>
      </c>
      <c r="B21" s="23"/>
      <c r="C21" s="23"/>
      <c r="D21" s="2" t="s">
        <v>12</v>
      </c>
    </row>
    <row r="23" spans="1:6" x14ac:dyDescent="0.25">
      <c r="A23" s="24" t="s">
        <v>188</v>
      </c>
      <c r="B23" s="23"/>
      <c r="C23" s="23"/>
      <c r="D23" s="2" t="s">
        <v>13</v>
      </c>
    </row>
    <row r="26" spans="1:6" x14ac:dyDescent="0.25">
      <c r="A26" s="25" t="s">
        <v>189</v>
      </c>
      <c r="B26" s="23"/>
      <c r="C26" s="23"/>
      <c r="D26" s="2" t="s">
        <v>14</v>
      </c>
    </row>
    <row r="28" spans="1:6" x14ac:dyDescent="0.25">
      <c r="A28" s="25" t="s">
        <v>190</v>
      </c>
      <c r="B28" s="23"/>
      <c r="C28" s="23"/>
      <c r="D28" s="2" t="s">
        <v>15</v>
      </c>
    </row>
    <row r="30" spans="1:6" x14ac:dyDescent="0.25">
      <c r="A30" s="25" t="s">
        <v>191</v>
      </c>
      <c r="B30" s="23"/>
      <c r="C30" s="23"/>
      <c r="D30" s="2" t="s">
        <v>16</v>
      </c>
    </row>
    <row r="32" spans="1:6" ht="15.75" x14ac:dyDescent="0.25">
      <c r="A32" s="30" t="s">
        <v>17</v>
      </c>
      <c r="B32" s="23"/>
      <c r="C32" s="23"/>
      <c r="D32" s="23"/>
      <c r="E32" s="23"/>
      <c r="F32" s="23"/>
    </row>
    <row r="33" spans="1:6" x14ac:dyDescent="0.25">
      <c r="A33" s="3" t="s">
        <v>18</v>
      </c>
      <c r="B33" s="3" t="s">
        <v>19</v>
      </c>
      <c r="C33" s="3" t="s">
        <v>20</v>
      </c>
      <c r="D33" s="3" t="s">
        <v>21</v>
      </c>
      <c r="E33" s="3" t="s">
        <v>22</v>
      </c>
      <c r="F33" s="3" t="s">
        <v>23</v>
      </c>
    </row>
    <row r="34" spans="1:6" x14ac:dyDescent="0.25">
      <c r="A34" s="4" t="s">
        <v>24</v>
      </c>
      <c r="B34" s="4" t="s">
        <v>25</v>
      </c>
      <c r="C34" s="4">
        <v>32</v>
      </c>
      <c r="D34" s="4">
        <v>25</v>
      </c>
      <c r="E34" s="4" t="b">
        <v>0</v>
      </c>
      <c r="F34" s="4">
        <v>1</v>
      </c>
    </row>
    <row r="35" spans="1:6" x14ac:dyDescent="0.25">
      <c r="A35" s="4" t="s">
        <v>26</v>
      </c>
      <c r="B35" s="4" t="s">
        <v>27</v>
      </c>
      <c r="C35" s="4">
        <v>28</v>
      </c>
      <c r="D35" s="4">
        <v>16</v>
      </c>
      <c r="E35" s="4" t="b">
        <v>0</v>
      </c>
      <c r="F35" s="4">
        <v>2</v>
      </c>
    </row>
    <row r="36" spans="1:6" x14ac:dyDescent="0.25">
      <c r="A36" s="4" t="s">
        <v>28</v>
      </c>
      <c r="B36" s="4" t="s">
        <v>29</v>
      </c>
      <c r="C36" s="4">
        <v>27</v>
      </c>
      <c r="D36" s="4">
        <v>7</v>
      </c>
      <c r="E36" s="4" t="b">
        <v>0</v>
      </c>
      <c r="F36" s="4">
        <v>3</v>
      </c>
    </row>
    <row r="37" spans="1:6" x14ac:dyDescent="0.25">
      <c r="A37" s="4" t="s">
        <v>30</v>
      </c>
      <c r="B37" s="4" t="s">
        <v>31</v>
      </c>
      <c r="C37" s="4">
        <v>20</v>
      </c>
      <c r="D37" s="4">
        <v>9</v>
      </c>
      <c r="E37" s="4" t="b">
        <v>0</v>
      </c>
      <c r="F37" s="4">
        <v>4</v>
      </c>
    </row>
    <row r="38" spans="1:6" x14ac:dyDescent="0.25">
      <c r="A38" s="4" t="s">
        <v>32</v>
      </c>
      <c r="B38" s="4" t="s">
        <v>33</v>
      </c>
      <c r="C38" s="4">
        <v>14</v>
      </c>
      <c r="D38" s="4">
        <v>9</v>
      </c>
      <c r="E38" s="4" t="b">
        <v>0</v>
      </c>
      <c r="F38" s="4">
        <v>5</v>
      </c>
    </row>
    <row r="39" spans="1:6" x14ac:dyDescent="0.25">
      <c r="A39" s="4" t="s">
        <v>34</v>
      </c>
      <c r="B39" s="4" t="s">
        <v>35</v>
      </c>
      <c r="C39" s="4">
        <v>22</v>
      </c>
      <c r="D39" s="4">
        <v>12</v>
      </c>
      <c r="E39" s="4" t="b">
        <v>0</v>
      </c>
      <c r="F39" s="4">
        <v>6</v>
      </c>
    </row>
    <row r="40" spans="1:6" x14ac:dyDescent="0.25">
      <c r="A40" s="4" t="s">
        <v>36</v>
      </c>
      <c r="B40" s="4" t="s">
        <v>37</v>
      </c>
      <c r="C40" s="4">
        <v>15</v>
      </c>
      <c r="D40" s="4">
        <v>14</v>
      </c>
      <c r="E40" s="4" t="b">
        <v>0</v>
      </c>
      <c r="F40" s="4">
        <v>7</v>
      </c>
    </row>
    <row r="41" spans="1:6" x14ac:dyDescent="0.25">
      <c r="A41" s="4" t="s">
        <v>38</v>
      </c>
      <c r="B41" s="4" t="s">
        <v>39</v>
      </c>
      <c r="C41" s="4">
        <v>10</v>
      </c>
      <c r="D41" s="4">
        <v>9</v>
      </c>
      <c r="E41" s="4" t="b">
        <v>1</v>
      </c>
      <c r="F41" s="4">
        <v>8</v>
      </c>
    </row>
    <row r="42" spans="1:6" x14ac:dyDescent="0.25">
      <c r="A42" s="4" t="s">
        <v>40</v>
      </c>
      <c r="B42" s="4" t="s">
        <v>41</v>
      </c>
      <c r="C42" s="4">
        <v>10</v>
      </c>
      <c r="D42" s="4">
        <v>1</v>
      </c>
      <c r="E42" s="4" t="b">
        <v>1</v>
      </c>
      <c r="F42" s="4">
        <v>9</v>
      </c>
    </row>
    <row r="43" spans="1:6" x14ac:dyDescent="0.25">
      <c r="D43" s="4"/>
    </row>
    <row r="44" spans="1:6" x14ac:dyDescent="0.25">
      <c r="D44" s="4"/>
    </row>
    <row r="45" spans="1:6" x14ac:dyDescent="0.25">
      <c r="D45" s="4"/>
    </row>
    <row r="46" spans="1:6" ht="15.75" x14ac:dyDescent="0.25">
      <c r="A46" s="5" t="s">
        <v>42</v>
      </c>
    </row>
    <row r="47" spans="1:6" x14ac:dyDescent="0.25">
      <c r="A47" s="3" t="s">
        <v>43</v>
      </c>
      <c r="B47" s="3" t="s">
        <v>44</v>
      </c>
      <c r="C47" s="3" t="s">
        <v>45</v>
      </c>
    </row>
    <row r="48" spans="1:6" x14ac:dyDescent="0.25">
      <c r="A48" s="4">
        <v>1</v>
      </c>
      <c r="B48" s="4" t="s">
        <v>46</v>
      </c>
      <c r="C48" s="4">
        <v>31</v>
      </c>
    </row>
    <row r="49" spans="1:3" x14ac:dyDescent="0.25">
      <c r="A49" s="4">
        <v>2</v>
      </c>
      <c r="B49" s="4" t="s">
        <v>47</v>
      </c>
      <c r="C49" s="4">
        <v>28</v>
      </c>
    </row>
    <row r="50" spans="1:3" x14ac:dyDescent="0.25">
      <c r="A50" s="4">
        <v>3</v>
      </c>
      <c r="B50" s="4" t="s">
        <v>48</v>
      </c>
      <c r="C50" s="4">
        <v>31</v>
      </c>
    </row>
    <row r="51" spans="1:3" x14ac:dyDescent="0.25">
      <c r="A51" s="4">
        <v>4</v>
      </c>
      <c r="B51" s="4" t="s">
        <v>49</v>
      </c>
      <c r="C51" s="4">
        <v>30</v>
      </c>
    </row>
    <row r="52" spans="1:3" x14ac:dyDescent="0.25">
      <c r="A52" s="4">
        <v>5</v>
      </c>
      <c r="B52" s="4" t="s">
        <v>50</v>
      </c>
      <c r="C52" s="4">
        <v>31</v>
      </c>
    </row>
    <row r="53" spans="1:3" x14ac:dyDescent="0.25">
      <c r="A53" s="4">
        <v>6</v>
      </c>
      <c r="B53" s="4" t="s">
        <v>51</v>
      </c>
      <c r="C53" s="4">
        <v>30</v>
      </c>
    </row>
    <row r="54" spans="1:3" x14ac:dyDescent="0.25">
      <c r="A54" s="4">
        <v>7</v>
      </c>
      <c r="B54" s="4" t="s">
        <v>52</v>
      </c>
      <c r="C54" s="4">
        <v>31</v>
      </c>
    </row>
    <row r="55" spans="1:3" x14ac:dyDescent="0.25">
      <c r="A55" s="4">
        <v>8</v>
      </c>
      <c r="B55" s="4" t="s">
        <v>53</v>
      </c>
      <c r="C55" s="4">
        <v>31</v>
      </c>
    </row>
    <row r="56" spans="1:3" x14ac:dyDescent="0.25">
      <c r="A56" s="4">
        <v>9</v>
      </c>
      <c r="B56" s="4" t="s">
        <v>54</v>
      </c>
      <c r="C56" s="4">
        <v>30</v>
      </c>
    </row>
    <row r="57" spans="1:3" x14ac:dyDescent="0.25">
      <c r="A57" s="4">
        <v>10</v>
      </c>
      <c r="B57" s="4" t="s">
        <v>55</v>
      </c>
      <c r="C57" s="4">
        <v>31</v>
      </c>
    </row>
    <row r="58" spans="1:3" x14ac:dyDescent="0.25">
      <c r="A58" s="4">
        <v>11</v>
      </c>
      <c r="B58" s="4" t="s">
        <v>56</v>
      </c>
      <c r="C58" s="4">
        <v>30</v>
      </c>
    </row>
    <row r="59" spans="1:3" x14ac:dyDescent="0.25">
      <c r="A59" s="4">
        <v>12</v>
      </c>
      <c r="B59" s="4" t="s">
        <v>57</v>
      </c>
      <c r="C59" s="4">
        <v>31</v>
      </c>
    </row>
  </sheetData>
  <mergeCells count="17">
    <mergeCell ref="A32:F32"/>
    <mergeCell ref="A17:C17"/>
    <mergeCell ref="A9:C9"/>
    <mergeCell ref="A21:C21"/>
    <mergeCell ref="A30:C30"/>
    <mergeCell ref="A28:C28"/>
    <mergeCell ref="A13:C13"/>
    <mergeCell ref="A11:C11"/>
    <mergeCell ref="A19:C19"/>
    <mergeCell ref="A23:C23"/>
    <mergeCell ref="A1:H1"/>
    <mergeCell ref="A15:C15"/>
    <mergeCell ref="A26:C26"/>
    <mergeCell ref="E5:H5"/>
    <mergeCell ref="A2:H2"/>
    <mergeCell ref="A3:H3"/>
    <mergeCell ref="A7:H7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58</v>
      </c>
      <c r="B1" t="s">
        <v>59</v>
      </c>
      <c r="C1" t="s">
        <v>18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</row>
    <row r="2" spans="1:12" x14ac:dyDescent="0.25">
      <c r="A2" s="20">
        <v>46023</v>
      </c>
      <c r="B2">
        <v>1</v>
      </c>
      <c r="C2" t="s">
        <v>30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21">
        <v>46061.629421296297</v>
      </c>
    </row>
    <row r="3" spans="1:12" x14ac:dyDescent="0.25">
      <c r="A3" s="20">
        <v>46024</v>
      </c>
      <c r="B3">
        <v>1</v>
      </c>
      <c r="C3" t="s">
        <v>30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 s="21">
        <v>46061.629421296297</v>
      </c>
    </row>
    <row r="4" spans="1:12" x14ac:dyDescent="0.25">
      <c r="A4" s="20">
        <v>46025</v>
      </c>
      <c r="B4">
        <v>1</v>
      </c>
      <c r="C4" t="s">
        <v>30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</v>
      </c>
      <c r="K4">
        <v>2</v>
      </c>
      <c r="L4" s="21">
        <v>46061.629432870373</v>
      </c>
    </row>
    <row r="5" spans="1:12" x14ac:dyDescent="0.25">
      <c r="A5" s="20">
        <v>46026</v>
      </c>
      <c r="B5">
        <v>1</v>
      </c>
      <c r="C5" t="s">
        <v>30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2</v>
      </c>
      <c r="K5">
        <v>4</v>
      </c>
      <c r="L5" s="21">
        <v>46061.62945601852</v>
      </c>
    </row>
    <row r="6" spans="1:12" x14ac:dyDescent="0.25">
      <c r="A6" s="20">
        <v>46027</v>
      </c>
      <c r="B6">
        <v>1</v>
      </c>
      <c r="C6" t="s">
        <v>30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4</v>
      </c>
      <c r="K6">
        <v>-1</v>
      </c>
      <c r="L6" s="21">
        <v>46061.629479166666</v>
      </c>
    </row>
    <row r="7" spans="1:12" x14ac:dyDescent="0.25">
      <c r="A7" s="20">
        <v>46028</v>
      </c>
      <c r="B7">
        <v>1</v>
      </c>
      <c r="C7" t="s">
        <v>30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-1</v>
      </c>
      <c r="K7">
        <v>-3</v>
      </c>
      <c r="L7" s="21">
        <v>46061.629490740743</v>
      </c>
    </row>
    <row r="8" spans="1:12" x14ac:dyDescent="0.25">
      <c r="A8" s="20">
        <v>46029</v>
      </c>
      <c r="B8">
        <v>1</v>
      </c>
      <c r="C8" t="s">
        <v>30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-3</v>
      </c>
      <c r="K8">
        <v>-4</v>
      </c>
      <c r="L8" s="21">
        <v>46061.629502314812</v>
      </c>
    </row>
    <row r="9" spans="1:12" x14ac:dyDescent="0.25">
      <c r="A9" s="20">
        <v>46030</v>
      </c>
      <c r="B9">
        <v>1</v>
      </c>
      <c r="C9" t="s">
        <v>30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-4</v>
      </c>
      <c r="K9">
        <v>-3</v>
      </c>
      <c r="L9" s="21">
        <v>46061.629525462966</v>
      </c>
    </row>
    <row r="10" spans="1:12" x14ac:dyDescent="0.25">
      <c r="A10" s="20">
        <v>46031</v>
      </c>
      <c r="B10">
        <v>1</v>
      </c>
      <c r="C10" t="s">
        <v>30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-3</v>
      </c>
      <c r="K10">
        <v>-5</v>
      </c>
      <c r="L10" s="21">
        <v>46061.629537037035</v>
      </c>
    </row>
    <row r="11" spans="1:12" x14ac:dyDescent="0.25">
      <c r="A11" s="20">
        <v>46032</v>
      </c>
      <c r="B11">
        <v>1</v>
      </c>
      <c r="C11" t="s">
        <v>30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-5</v>
      </c>
      <c r="K11">
        <v>-3</v>
      </c>
      <c r="L11" s="21">
        <v>46061.629537037035</v>
      </c>
    </row>
    <row r="12" spans="1:12" x14ac:dyDescent="0.25">
      <c r="A12" s="20">
        <v>46033</v>
      </c>
      <c r="B12">
        <v>1</v>
      </c>
      <c r="C12" t="s">
        <v>30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-3</v>
      </c>
      <c r="K12">
        <v>-5</v>
      </c>
      <c r="L12" s="21">
        <v>46061.629548611112</v>
      </c>
    </row>
    <row r="13" spans="1:12" x14ac:dyDescent="0.25">
      <c r="A13" s="20">
        <v>46034</v>
      </c>
      <c r="B13">
        <v>1</v>
      </c>
      <c r="C13" t="s">
        <v>30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-5</v>
      </c>
      <c r="K13">
        <v>-3</v>
      </c>
      <c r="L13" s="21">
        <v>46061.629583333335</v>
      </c>
    </row>
    <row r="14" spans="1:12" x14ac:dyDescent="0.25">
      <c r="A14" s="20">
        <v>46035</v>
      </c>
      <c r="B14">
        <v>1</v>
      </c>
      <c r="C14" t="s">
        <v>30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-3</v>
      </c>
      <c r="K14">
        <v>0</v>
      </c>
      <c r="L14" s="21">
        <v>46061.629583333335</v>
      </c>
    </row>
    <row r="15" spans="1:12" x14ac:dyDescent="0.25">
      <c r="A15" s="20">
        <v>46036</v>
      </c>
      <c r="B15">
        <v>1</v>
      </c>
      <c r="C15" t="s">
        <v>30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0</v>
      </c>
      <c r="K15">
        <v>-2</v>
      </c>
      <c r="L15" s="21">
        <v>46061.629594907405</v>
      </c>
    </row>
    <row r="16" spans="1:12" x14ac:dyDescent="0.25">
      <c r="A16" s="20">
        <v>46037</v>
      </c>
      <c r="B16">
        <v>1</v>
      </c>
      <c r="C16" t="s">
        <v>30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-2</v>
      </c>
      <c r="K16">
        <v>-2</v>
      </c>
      <c r="L16" s="21">
        <v>46061.629606481481</v>
      </c>
    </row>
    <row r="17" spans="1:12" x14ac:dyDescent="0.25">
      <c r="A17" s="20">
        <v>46038</v>
      </c>
      <c r="B17">
        <v>1</v>
      </c>
      <c r="C17" t="s">
        <v>30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-2</v>
      </c>
      <c r="K17">
        <v>-5</v>
      </c>
      <c r="L17" s="21">
        <v>46061.629618055558</v>
      </c>
    </row>
    <row r="18" spans="1:12" x14ac:dyDescent="0.25">
      <c r="A18" s="20">
        <v>46039</v>
      </c>
      <c r="B18">
        <v>1</v>
      </c>
      <c r="C18" t="s">
        <v>30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-5</v>
      </c>
      <c r="K18">
        <v>-3</v>
      </c>
      <c r="L18" s="21">
        <v>46061.629629629628</v>
      </c>
    </row>
    <row r="19" spans="1:12" x14ac:dyDescent="0.25">
      <c r="A19" s="20">
        <v>46040</v>
      </c>
      <c r="B19">
        <v>1</v>
      </c>
      <c r="C19" t="s">
        <v>30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-3</v>
      </c>
      <c r="K19">
        <v>-2</v>
      </c>
      <c r="L19" s="21">
        <v>46061.629629629628</v>
      </c>
    </row>
    <row r="20" spans="1:12" x14ac:dyDescent="0.25">
      <c r="A20" s="20">
        <v>46041</v>
      </c>
      <c r="B20">
        <v>1</v>
      </c>
      <c r="C20" t="s">
        <v>30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-2</v>
      </c>
      <c r="K20">
        <v>-4</v>
      </c>
      <c r="L20" s="21">
        <v>46061.629652777781</v>
      </c>
    </row>
    <row r="21" spans="1:12" x14ac:dyDescent="0.25">
      <c r="A21" s="20">
        <v>46042</v>
      </c>
      <c r="B21">
        <v>1</v>
      </c>
      <c r="C21" t="s">
        <v>30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-4</v>
      </c>
      <c r="K21">
        <v>-6</v>
      </c>
      <c r="L21" s="21">
        <v>46061.629664351851</v>
      </c>
    </row>
    <row r="22" spans="1:12" x14ac:dyDescent="0.25">
      <c r="A22" s="20">
        <v>46043</v>
      </c>
      <c r="B22">
        <v>1</v>
      </c>
      <c r="C22" t="s">
        <v>30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-6</v>
      </c>
      <c r="K22">
        <v>-2</v>
      </c>
      <c r="L22" s="21">
        <v>46061.629664351851</v>
      </c>
    </row>
    <row r="23" spans="1:12" x14ac:dyDescent="0.25">
      <c r="A23" s="20">
        <v>46044</v>
      </c>
      <c r="B23">
        <v>1</v>
      </c>
      <c r="C23" t="s">
        <v>30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-2</v>
      </c>
      <c r="K23">
        <v>-5</v>
      </c>
      <c r="L23" s="21">
        <v>46061.629687499997</v>
      </c>
    </row>
    <row r="24" spans="1:12" x14ac:dyDescent="0.25">
      <c r="A24" s="20">
        <v>46045</v>
      </c>
      <c r="B24">
        <v>1</v>
      </c>
      <c r="C24" t="s">
        <v>30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-5</v>
      </c>
      <c r="K24">
        <v>-7</v>
      </c>
      <c r="L24" s="21">
        <v>46061.629699074074</v>
      </c>
    </row>
    <row r="25" spans="1:12" x14ac:dyDescent="0.25">
      <c r="A25" s="20">
        <v>46046</v>
      </c>
      <c r="B25">
        <v>1</v>
      </c>
      <c r="C25" t="s">
        <v>30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-7</v>
      </c>
      <c r="K25">
        <v>-3</v>
      </c>
      <c r="L25" s="21">
        <v>46061.629699074074</v>
      </c>
    </row>
    <row r="26" spans="1:12" x14ac:dyDescent="0.25">
      <c r="A26" s="20">
        <v>46047</v>
      </c>
      <c r="B26">
        <v>1</v>
      </c>
      <c r="C26" t="s">
        <v>30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-3</v>
      </c>
      <c r="K26">
        <v>-3</v>
      </c>
      <c r="L26" s="21">
        <v>46061.62972222222</v>
      </c>
    </row>
    <row r="27" spans="1:12" x14ac:dyDescent="0.25">
      <c r="A27" s="20">
        <v>46048</v>
      </c>
      <c r="B27">
        <v>1</v>
      </c>
      <c r="C27" t="s">
        <v>30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-3</v>
      </c>
      <c r="K27">
        <v>-1</v>
      </c>
      <c r="L27" s="21">
        <v>46061.629745370374</v>
      </c>
    </row>
    <row r="28" spans="1:12" x14ac:dyDescent="0.25">
      <c r="A28" s="20">
        <v>46049</v>
      </c>
      <c r="B28">
        <v>1</v>
      </c>
      <c r="C28" t="s">
        <v>30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-1</v>
      </c>
      <c r="K28">
        <v>-1</v>
      </c>
      <c r="L28" s="21">
        <v>46061.629756944443</v>
      </c>
    </row>
    <row r="29" spans="1:12" x14ac:dyDescent="0.25">
      <c r="A29" s="20">
        <v>46050</v>
      </c>
      <c r="B29">
        <v>1</v>
      </c>
      <c r="C29" t="s">
        <v>30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-1</v>
      </c>
      <c r="K29">
        <v>-1</v>
      </c>
      <c r="L29" s="21">
        <v>46061.629756944443</v>
      </c>
    </row>
    <row r="30" spans="1:12" x14ac:dyDescent="0.25">
      <c r="A30" s="20">
        <v>46051</v>
      </c>
      <c r="B30">
        <v>1</v>
      </c>
      <c r="C30" t="s">
        <v>30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-1</v>
      </c>
      <c r="K30">
        <v>-4</v>
      </c>
      <c r="L30" s="21">
        <v>46061.629780092589</v>
      </c>
    </row>
    <row r="31" spans="1:12" x14ac:dyDescent="0.25">
      <c r="A31" s="20">
        <v>46052</v>
      </c>
      <c r="B31">
        <v>1</v>
      </c>
      <c r="C31" t="s">
        <v>30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-4</v>
      </c>
      <c r="K31">
        <v>-4</v>
      </c>
      <c r="L31" s="21">
        <v>46061.629803240743</v>
      </c>
    </row>
    <row r="32" spans="1:12" x14ac:dyDescent="0.25">
      <c r="A32" s="20">
        <v>46053</v>
      </c>
      <c r="B32">
        <v>1</v>
      </c>
      <c r="C32" t="s">
        <v>30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-4</v>
      </c>
      <c r="K32">
        <v>-3</v>
      </c>
      <c r="L32" s="21">
        <v>46061.629814814813</v>
      </c>
    </row>
    <row r="33" spans="1:12" x14ac:dyDescent="0.25">
      <c r="A33" s="20">
        <v>46056</v>
      </c>
      <c r="B33">
        <v>2</v>
      </c>
      <c r="C33" t="s">
        <v>30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-3</v>
      </c>
      <c r="K33">
        <v>-1</v>
      </c>
      <c r="L33" s="21">
        <v>46061.629814814813</v>
      </c>
    </row>
    <row r="34" spans="1:12" x14ac:dyDescent="0.25">
      <c r="A34" s="20">
        <v>46023</v>
      </c>
      <c r="B34">
        <v>1</v>
      </c>
      <c r="C34" t="s">
        <v>32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0</v>
      </c>
      <c r="K34">
        <v>-3</v>
      </c>
      <c r="L34" s="21">
        <v>46061.629849537036</v>
      </c>
    </row>
    <row r="35" spans="1:12" x14ac:dyDescent="0.25">
      <c r="A35" s="20">
        <v>46024</v>
      </c>
      <c r="B35">
        <v>1</v>
      </c>
      <c r="C35" t="s">
        <v>32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-3</v>
      </c>
      <c r="K35">
        <v>0</v>
      </c>
      <c r="L35" s="21">
        <v>46061.629861111112</v>
      </c>
    </row>
    <row r="36" spans="1:12" x14ac:dyDescent="0.25">
      <c r="A36" s="20">
        <v>46025</v>
      </c>
      <c r="B36">
        <v>1</v>
      </c>
      <c r="C36" t="s">
        <v>32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0</v>
      </c>
      <c r="K36">
        <v>0</v>
      </c>
      <c r="L36" s="21">
        <v>46061.631805555553</v>
      </c>
    </row>
    <row r="37" spans="1:12" x14ac:dyDescent="0.25">
      <c r="A37" s="20">
        <v>46026</v>
      </c>
      <c r="B37">
        <v>1</v>
      </c>
      <c r="C37" t="s">
        <v>32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0</v>
      </c>
      <c r="K37">
        <v>6</v>
      </c>
      <c r="L37" s="21">
        <v>46061.629872685182</v>
      </c>
    </row>
    <row r="38" spans="1:12" x14ac:dyDescent="0.25">
      <c r="A38" s="20">
        <v>46027</v>
      </c>
      <c r="B38">
        <v>1</v>
      </c>
      <c r="C38" t="s">
        <v>32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6</v>
      </c>
      <c r="K38">
        <v>5</v>
      </c>
      <c r="L38" s="21">
        <v>46061.629884259259</v>
      </c>
    </row>
    <row r="39" spans="1:12" x14ac:dyDescent="0.25">
      <c r="A39" s="20">
        <v>46028</v>
      </c>
      <c r="B39">
        <v>1</v>
      </c>
      <c r="C39" t="s">
        <v>32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5</v>
      </c>
      <c r="K39">
        <v>3</v>
      </c>
      <c r="L39" s="21">
        <v>46061.629907407405</v>
      </c>
    </row>
    <row r="40" spans="1:12" x14ac:dyDescent="0.25">
      <c r="A40" s="20">
        <v>46029</v>
      </c>
      <c r="B40">
        <v>1</v>
      </c>
      <c r="C40" t="s">
        <v>32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3</v>
      </c>
      <c r="K40">
        <v>-1</v>
      </c>
      <c r="L40" s="21">
        <v>46061.629918981482</v>
      </c>
    </row>
    <row r="41" spans="1:12" x14ac:dyDescent="0.25">
      <c r="A41" s="20">
        <v>46030</v>
      </c>
      <c r="B41">
        <v>1</v>
      </c>
      <c r="C41" t="s">
        <v>32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-1</v>
      </c>
      <c r="K41">
        <v>3</v>
      </c>
      <c r="L41" s="21">
        <v>46061.629918981482</v>
      </c>
    </row>
    <row r="42" spans="1:12" x14ac:dyDescent="0.25">
      <c r="A42" s="20">
        <v>46031</v>
      </c>
      <c r="B42">
        <v>1</v>
      </c>
      <c r="C42" t="s">
        <v>32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3</v>
      </c>
      <c r="K42">
        <v>0</v>
      </c>
      <c r="L42" s="21">
        <v>46061.629942129628</v>
      </c>
    </row>
    <row r="43" spans="1:12" x14ac:dyDescent="0.25">
      <c r="A43" s="20">
        <v>46032</v>
      </c>
      <c r="B43">
        <v>1</v>
      </c>
      <c r="C43" t="s">
        <v>32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0</v>
      </c>
      <c r="K43">
        <v>1</v>
      </c>
      <c r="L43" s="21">
        <v>46061.629965277774</v>
      </c>
    </row>
    <row r="44" spans="1:12" x14ac:dyDescent="0.25">
      <c r="A44" s="20">
        <v>46033</v>
      </c>
      <c r="B44">
        <v>1</v>
      </c>
      <c r="C44" t="s">
        <v>32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</v>
      </c>
      <c r="K44">
        <v>3</v>
      </c>
      <c r="L44" s="21">
        <v>46061.629965277774</v>
      </c>
    </row>
    <row r="45" spans="1:12" x14ac:dyDescent="0.25">
      <c r="A45" s="20">
        <v>46034</v>
      </c>
      <c r="B45">
        <v>1</v>
      </c>
      <c r="C45" t="s">
        <v>32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3</v>
      </c>
      <c r="K45">
        <v>6</v>
      </c>
      <c r="L45" s="21">
        <v>46061.629976851851</v>
      </c>
    </row>
    <row r="46" spans="1:12" x14ac:dyDescent="0.25">
      <c r="A46" s="20">
        <v>46035</v>
      </c>
      <c r="B46">
        <v>1</v>
      </c>
      <c r="C46" t="s">
        <v>32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6</v>
      </c>
      <c r="K46">
        <v>7</v>
      </c>
      <c r="L46" s="21">
        <v>46061.629988425928</v>
      </c>
    </row>
    <row r="47" spans="1:12" x14ac:dyDescent="0.25">
      <c r="A47" s="20">
        <v>46036</v>
      </c>
      <c r="B47">
        <v>1</v>
      </c>
      <c r="C47" t="s">
        <v>32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7</v>
      </c>
      <c r="K47">
        <v>8</v>
      </c>
      <c r="L47" s="21">
        <v>46061.63</v>
      </c>
    </row>
    <row r="48" spans="1:12" x14ac:dyDescent="0.25">
      <c r="A48" s="20">
        <v>46037</v>
      </c>
      <c r="B48">
        <v>1</v>
      </c>
      <c r="C48" t="s">
        <v>32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8</v>
      </c>
      <c r="K48">
        <v>0</v>
      </c>
      <c r="L48" s="21">
        <v>46061.630011574074</v>
      </c>
    </row>
    <row r="49" spans="1:12" x14ac:dyDescent="0.25">
      <c r="A49" s="20">
        <v>46038</v>
      </c>
      <c r="B49">
        <v>1</v>
      </c>
      <c r="C49" t="s">
        <v>32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 s="21">
        <v>46061.630011574074</v>
      </c>
    </row>
    <row r="50" spans="1:12" x14ac:dyDescent="0.25">
      <c r="A50" s="20">
        <v>46039</v>
      </c>
      <c r="B50">
        <v>1</v>
      </c>
      <c r="C50" t="s">
        <v>32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</v>
      </c>
      <c r="K50">
        <v>2</v>
      </c>
      <c r="L50" s="21">
        <v>46061.63003472222</v>
      </c>
    </row>
    <row r="51" spans="1:12" x14ac:dyDescent="0.25">
      <c r="A51" s="20">
        <v>46040</v>
      </c>
      <c r="B51">
        <v>1</v>
      </c>
      <c r="C51" t="s">
        <v>32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2</v>
      </c>
      <c r="K51">
        <v>1</v>
      </c>
      <c r="L51" s="21">
        <v>46061.630046296297</v>
      </c>
    </row>
    <row r="52" spans="1:12" x14ac:dyDescent="0.25">
      <c r="A52" s="20">
        <v>46041</v>
      </c>
      <c r="B52">
        <v>1</v>
      </c>
      <c r="C52" t="s">
        <v>32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</v>
      </c>
      <c r="K52">
        <v>4</v>
      </c>
      <c r="L52" s="21">
        <v>46061.630046296297</v>
      </c>
    </row>
    <row r="53" spans="1:12" x14ac:dyDescent="0.25">
      <c r="A53" s="20">
        <v>46042</v>
      </c>
      <c r="B53">
        <v>1</v>
      </c>
      <c r="C53" t="s">
        <v>32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4</v>
      </c>
      <c r="K53">
        <v>7</v>
      </c>
      <c r="L53" s="21">
        <v>46061.630069444444</v>
      </c>
    </row>
    <row r="54" spans="1:12" x14ac:dyDescent="0.25">
      <c r="A54" s="20">
        <v>46043</v>
      </c>
      <c r="B54">
        <v>1</v>
      </c>
      <c r="C54" t="s">
        <v>32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7</v>
      </c>
      <c r="K54">
        <v>4</v>
      </c>
      <c r="L54" s="21">
        <v>46061.63009259259</v>
      </c>
    </row>
    <row r="55" spans="1:12" x14ac:dyDescent="0.25">
      <c r="A55" s="20">
        <v>46044</v>
      </c>
      <c r="B55">
        <v>1</v>
      </c>
      <c r="C55" t="s">
        <v>32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4</v>
      </c>
      <c r="K55">
        <v>4</v>
      </c>
      <c r="L55" s="21">
        <v>46061.63009259259</v>
      </c>
    </row>
    <row r="56" spans="1:12" x14ac:dyDescent="0.25">
      <c r="A56" s="20">
        <v>46045</v>
      </c>
      <c r="B56">
        <v>1</v>
      </c>
      <c r="C56" t="s">
        <v>32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4</v>
      </c>
      <c r="K56">
        <v>0</v>
      </c>
      <c r="L56" s="21">
        <v>46061.630104166667</v>
      </c>
    </row>
    <row r="57" spans="1:12" x14ac:dyDescent="0.25">
      <c r="A57" s="20">
        <v>46046</v>
      </c>
      <c r="B57">
        <v>1</v>
      </c>
      <c r="C57" t="s">
        <v>32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  <c r="K57">
        <v>-2</v>
      </c>
      <c r="L57" s="21">
        <v>46061.630127314813</v>
      </c>
    </row>
    <row r="58" spans="1:12" x14ac:dyDescent="0.25">
      <c r="A58" s="20">
        <v>46047</v>
      </c>
      <c r="B58">
        <v>1</v>
      </c>
      <c r="C58" t="s">
        <v>32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-2</v>
      </c>
      <c r="K58">
        <v>1</v>
      </c>
      <c r="L58" s="21">
        <v>46061.630127314813</v>
      </c>
    </row>
    <row r="59" spans="1:12" x14ac:dyDescent="0.25">
      <c r="A59" s="20">
        <v>46048</v>
      </c>
      <c r="B59">
        <v>1</v>
      </c>
      <c r="C59" t="s">
        <v>32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</v>
      </c>
      <c r="K59">
        <v>-1</v>
      </c>
      <c r="L59" s="21">
        <v>46061.63013888889</v>
      </c>
    </row>
    <row r="60" spans="1:12" x14ac:dyDescent="0.25">
      <c r="A60" s="20">
        <v>46049</v>
      </c>
      <c r="B60">
        <v>1</v>
      </c>
      <c r="C60" t="s">
        <v>32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-1</v>
      </c>
      <c r="K60">
        <v>-1</v>
      </c>
      <c r="L60" s="21">
        <v>46061.630162037036</v>
      </c>
    </row>
    <row r="61" spans="1:12" x14ac:dyDescent="0.25">
      <c r="A61" s="20">
        <v>46050</v>
      </c>
      <c r="B61">
        <v>1</v>
      </c>
      <c r="C61" t="s">
        <v>32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-1</v>
      </c>
      <c r="K61">
        <v>0</v>
      </c>
      <c r="L61" s="21">
        <v>46061.630162037036</v>
      </c>
    </row>
    <row r="62" spans="1:12" x14ac:dyDescent="0.25">
      <c r="A62" s="20">
        <v>46051</v>
      </c>
      <c r="B62">
        <v>1</v>
      </c>
      <c r="C62" t="s">
        <v>32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0</v>
      </c>
      <c r="K62">
        <v>2</v>
      </c>
      <c r="L62" s="21">
        <v>46061.630173611113</v>
      </c>
    </row>
    <row r="63" spans="1:12" x14ac:dyDescent="0.25">
      <c r="A63" s="20">
        <v>46052</v>
      </c>
      <c r="B63">
        <v>1</v>
      </c>
      <c r="C63" t="s">
        <v>32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2</v>
      </c>
      <c r="K63">
        <v>0</v>
      </c>
      <c r="L63" s="21">
        <v>46061.630185185182</v>
      </c>
    </row>
    <row r="64" spans="1:12" x14ac:dyDescent="0.25">
      <c r="A64" s="20">
        <v>46053</v>
      </c>
      <c r="B64">
        <v>1</v>
      </c>
      <c r="C64" t="s">
        <v>32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0</v>
      </c>
      <c r="K64">
        <v>3</v>
      </c>
      <c r="L64" s="21">
        <v>46061.630196759259</v>
      </c>
    </row>
    <row r="65" spans="1:12" x14ac:dyDescent="0.25">
      <c r="A65" s="20">
        <v>46054</v>
      </c>
      <c r="B65">
        <v>2</v>
      </c>
      <c r="C65" t="s">
        <v>32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3</v>
      </c>
      <c r="K65">
        <v>3</v>
      </c>
      <c r="L65" s="21">
        <v>46061.630208333336</v>
      </c>
    </row>
    <row r="66" spans="1:12" x14ac:dyDescent="0.25">
      <c r="A66" s="20">
        <v>46023</v>
      </c>
      <c r="B66">
        <v>1</v>
      </c>
      <c r="C66" t="s">
        <v>34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0</v>
      </c>
      <c r="K66">
        <v>2</v>
      </c>
      <c r="L66" s="21">
        <v>46061.630219907405</v>
      </c>
    </row>
    <row r="67" spans="1:12" x14ac:dyDescent="0.25">
      <c r="A67" s="20">
        <v>46024</v>
      </c>
      <c r="B67">
        <v>1</v>
      </c>
      <c r="C67" t="s">
        <v>34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2</v>
      </c>
      <c r="K67">
        <v>1</v>
      </c>
      <c r="L67" s="21">
        <v>46061.630243055559</v>
      </c>
    </row>
    <row r="68" spans="1:12" x14ac:dyDescent="0.25">
      <c r="A68" s="20">
        <v>46025</v>
      </c>
      <c r="B68">
        <v>1</v>
      </c>
      <c r="C68" t="s">
        <v>34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</v>
      </c>
      <c r="K68">
        <v>2</v>
      </c>
      <c r="L68" s="21">
        <v>46061.630254629628</v>
      </c>
    </row>
    <row r="69" spans="1:12" x14ac:dyDescent="0.25">
      <c r="A69" s="20">
        <v>46026</v>
      </c>
      <c r="B69">
        <v>1</v>
      </c>
      <c r="C69" t="s">
        <v>34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2</v>
      </c>
      <c r="K69">
        <v>-2</v>
      </c>
      <c r="L69" s="21">
        <v>46061.630266203705</v>
      </c>
    </row>
    <row r="70" spans="1:12" x14ac:dyDescent="0.25">
      <c r="A70" s="20">
        <v>46027</v>
      </c>
      <c r="B70">
        <v>1</v>
      </c>
      <c r="C70" t="s">
        <v>34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-2</v>
      </c>
      <c r="K70">
        <v>2</v>
      </c>
      <c r="L70" s="21">
        <v>46061.630277777775</v>
      </c>
    </row>
    <row r="71" spans="1:12" x14ac:dyDescent="0.25">
      <c r="A71" s="20">
        <v>46028</v>
      </c>
      <c r="B71">
        <v>1</v>
      </c>
      <c r="C71" t="s">
        <v>34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2</v>
      </c>
      <c r="K71">
        <v>6</v>
      </c>
      <c r="L71" s="21">
        <v>46061.630300925928</v>
      </c>
    </row>
    <row r="72" spans="1:12" x14ac:dyDescent="0.25">
      <c r="A72" s="20">
        <v>46029</v>
      </c>
      <c r="B72">
        <v>1</v>
      </c>
      <c r="C72" t="s">
        <v>34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6</v>
      </c>
      <c r="K72">
        <v>8</v>
      </c>
      <c r="L72" s="21">
        <v>46061.630312499998</v>
      </c>
    </row>
    <row r="73" spans="1:12" x14ac:dyDescent="0.25">
      <c r="A73" s="20">
        <v>46030</v>
      </c>
      <c r="B73">
        <v>1</v>
      </c>
      <c r="C73" t="s">
        <v>34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8</v>
      </c>
      <c r="K73">
        <v>7</v>
      </c>
      <c r="L73" s="21">
        <v>46061.630312499998</v>
      </c>
    </row>
    <row r="74" spans="1:12" x14ac:dyDescent="0.25">
      <c r="A74" s="20">
        <v>46031</v>
      </c>
      <c r="B74">
        <v>1</v>
      </c>
      <c r="C74" t="s">
        <v>34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7</v>
      </c>
      <c r="K74">
        <v>6</v>
      </c>
      <c r="L74" s="21">
        <v>46061.630324074074</v>
      </c>
    </row>
    <row r="75" spans="1:12" x14ac:dyDescent="0.25">
      <c r="A75" s="20">
        <v>46032</v>
      </c>
      <c r="B75">
        <v>1</v>
      </c>
      <c r="C75" t="s">
        <v>34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6</v>
      </c>
      <c r="K75">
        <v>8</v>
      </c>
      <c r="L75" s="21">
        <v>46061.630347222221</v>
      </c>
    </row>
    <row r="76" spans="1:12" x14ac:dyDescent="0.25">
      <c r="A76" s="20">
        <v>46033</v>
      </c>
      <c r="B76">
        <v>1</v>
      </c>
      <c r="C76" t="s">
        <v>34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8</v>
      </c>
      <c r="K76">
        <v>6</v>
      </c>
      <c r="L76" s="21">
        <v>46061.630347222221</v>
      </c>
    </row>
    <row r="77" spans="1:12" x14ac:dyDescent="0.25">
      <c r="A77" s="20">
        <v>46034</v>
      </c>
      <c r="B77">
        <v>1</v>
      </c>
      <c r="C77" t="s">
        <v>34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6</v>
      </c>
      <c r="K77">
        <v>7</v>
      </c>
      <c r="L77" s="21">
        <v>46061.630358796298</v>
      </c>
    </row>
    <row r="78" spans="1:12" x14ac:dyDescent="0.25">
      <c r="A78" s="20">
        <v>46035</v>
      </c>
      <c r="B78">
        <v>1</v>
      </c>
      <c r="C78" t="s">
        <v>34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7</v>
      </c>
      <c r="K78">
        <v>5</v>
      </c>
      <c r="L78" s="21">
        <v>46061.630381944444</v>
      </c>
    </row>
    <row r="79" spans="1:12" x14ac:dyDescent="0.25">
      <c r="A79" s="20">
        <v>46036</v>
      </c>
      <c r="B79">
        <v>1</v>
      </c>
      <c r="C79" t="s">
        <v>34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5</v>
      </c>
      <c r="K79">
        <v>-1</v>
      </c>
      <c r="L79" s="21">
        <v>46061.630393518521</v>
      </c>
    </row>
    <row r="80" spans="1:12" x14ac:dyDescent="0.25">
      <c r="A80" s="20">
        <v>46037</v>
      </c>
      <c r="B80">
        <v>1</v>
      </c>
      <c r="C80" t="s">
        <v>34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-1</v>
      </c>
      <c r="K80">
        <v>-1</v>
      </c>
      <c r="L80" s="21">
        <v>46061.63040509259</v>
      </c>
    </row>
    <row r="81" spans="1:12" x14ac:dyDescent="0.25">
      <c r="A81" s="20">
        <v>46038</v>
      </c>
      <c r="B81">
        <v>1</v>
      </c>
      <c r="C81" t="s">
        <v>34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-1</v>
      </c>
      <c r="K81">
        <v>-1</v>
      </c>
      <c r="L81" s="21">
        <v>46061.630416666667</v>
      </c>
    </row>
    <row r="82" spans="1:12" x14ac:dyDescent="0.25">
      <c r="A82" s="20">
        <v>46039</v>
      </c>
      <c r="B82">
        <v>1</v>
      </c>
      <c r="C82" t="s">
        <v>34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-1</v>
      </c>
      <c r="K82">
        <v>-4</v>
      </c>
      <c r="L82" s="21">
        <v>46061.630439814813</v>
      </c>
    </row>
    <row r="83" spans="1:12" x14ac:dyDescent="0.25">
      <c r="A83" s="20">
        <v>46040</v>
      </c>
      <c r="B83">
        <v>1</v>
      </c>
      <c r="C83" t="s">
        <v>34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-4</v>
      </c>
      <c r="K83">
        <v>-4</v>
      </c>
      <c r="L83" s="21">
        <v>46061.630439814813</v>
      </c>
    </row>
    <row r="84" spans="1:12" x14ac:dyDescent="0.25">
      <c r="A84" s="20">
        <v>46041</v>
      </c>
      <c r="B84">
        <v>1</v>
      </c>
      <c r="C84" t="s">
        <v>34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-4</v>
      </c>
      <c r="K84">
        <v>-4</v>
      </c>
      <c r="L84" s="21">
        <v>46061.63045138889</v>
      </c>
    </row>
    <row r="85" spans="1:12" x14ac:dyDescent="0.25">
      <c r="A85" s="20">
        <v>46042</v>
      </c>
      <c r="B85">
        <v>1</v>
      </c>
      <c r="C85" t="s">
        <v>34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-4</v>
      </c>
      <c r="K85">
        <v>-5</v>
      </c>
      <c r="L85" s="21">
        <v>46061.630474537036</v>
      </c>
    </row>
    <row r="86" spans="1:12" x14ac:dyDescent="0.25">
      <c r="A86" s="20">
        <v>46043</v>
      </c>
      <c r="B86">
        <v>1</v>
      </c>
      <c r="C86" t="s">
        <v>34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-5</v>
      </c>
      <c r="K86">
        <v>-7</v>
      </c>
      <c r="L86" s="21">
        <v>46061.630486111113</v>
      </c>
    </row>
    <row r="87" spans="1:12" x14ac:dyDescent="0.25">
      <c r="A87" s="20">
        <v>46044</v>
      </c>
      <c r="B87">
        <v>1</v>
      </c>
      <c r="C87" t="s">
        <v>34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-7</v>
      </c>
      <c r="K87">
        <v>-6</v>
      </c>
      <c r="L87" s="21">
        <v>46061.630497685182</v>
      </c>
    </row>
    <row r="88" spans="1:12" x14ac:dyDescent="0.25">
      <c r="A88" s="20">
        <v>46045</v>
      </c>
      <c r="B88">
        <v>1</v>
      </c>
      <c r="C88" t="s">
        <v>34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-6</v>
      </c>
      <c r="K88">
        <v>-6</v>
      </c>
      <c r="L88" s="21">
        <v>46061.630509259259</v>
      </c>
    </row>
    <row r="89" spans="1:12" x14ac:dyDescent="0.25">
      <c r="A89" s="20">
        <v>46046</v>
      </c>
      <c r="B89">
        <v>1</v>
      </c>
      <c r="C89" t="s">
        <v>34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-6</v>
      </c>
      <c r="K89">
        <v>-6</v>
      </c>
      <c r="L89" s="21">
        <v>46061.630520833336</v>
      </c>
    </row>
    <row r="90" spans="1:12" x14ac:dyDescent="0.25">
      <c r="A90" s="20">
        <v>46047</v>
      </c>
      <c r="B90">
        <v>1</v>
      </c>
      <c r="C90" t="s">
        <v>34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-6</v>
      </c>
      <c r="K90">
        <v>-9</v>
      </c>
      <c r="L90" s="21">
        <v>46061.630532407406</v>
      </c>
    </row>
    <row r="91" spans="1:12" x14ac:dyDescent="0.25">
      <c r="A91" s="20">
        <v>46048</v>
      </c>
      <c r="B91">
        <v>1</v>
      </c>
      <c r="C91" t="s">
        <v>34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-9</v>
      </c>
      <c r="K91">
        <v>-6</v>
      </c>
      <c r="L91" s="21">
        <v>46061.630543981482</v>
      </c>
    </row>
    <row r="92" spans="1:12" x14ac:dyDescent="0.25">
      <c r="A92" s="20">
        <v>46049</v>
      </c>
      <c r="B92">
        <v>1</v>
      </c>
      <c r="C92" t="s">
        <v>34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-6</v>
      </c>
      <c r="K92">
        <v>-2</v>
      </c>
      <c r="L92" s="21">
        <v>46061.630543981482</v>
      </c>
    </row>
    <row r="93" spans="1:12" x14ac:dyDescent="0.25">
      <c r="A93" s="20">
        <v>46050</v>
      </c>
      <c r="B93">
        <v>1</v>
      </c>
      <c r="C93" t="s">
        <v>34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-2</v>
      </c>
      <c r="K93">
        <v>2</v>
      </c>
      <c r="L93" s="21">
        <v>46061.630555555559</v>
      </c>
    </row>
    <row r="94" spans="1:12" x14ac:dyDescent="0.25">
      <c r="A94" s="20">
        <v>46051</v>
      </c>
      <c r="B94">
        <v>1</v>
      </c>
      <c r="C94" t="s">
        <v>34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2</v>
      </c>
      <c r="K94">
        <v>1</v>
      </c>
      <c r="L94" s="21">
        <v>46061.630555555559</v>
      </c>
    </row>
    <row r="95" spans="1:12" x14ac:dyDescent="0.25">
      <c r="A95" s="20">
        <v>46052</v>
      </c>
      <c r="B95">
        <v>1</v>
      </c>
      <c r="C95" t="s">
        <v>34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</v>
      </c>
      <c r="K95">
        <v>3</v>
      </c>
      <c r="L95" s="21">
        <v>46061.630578703705</v>
      </c>
    </row>
    <row r="96" spans="1:12" x14ac:dyDescent="0.25">
      <c r="A96" s="20">
        <v>46053</v>
      </c>
      <c r="B96">
        <v>1</v>
      </c>
      <c r="C96" t="s">
        <v>34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3</v>
      </c>
      <c r="K96">
        <v>-5</v>
      </c>
      <c r="L96" s="21">
        <v>46061.630601851852</v>
      </c>
    </row>
    <row r="97" spans="1:12" x14ac:dyDescent="0.25">
      <c r="A97" s="20">
        <v>46054</v>
      </c>
      <c r="B97">
        <v>2</v>
      </c>
      <c r="C97" t="s">
        <v>34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-5</v>
      </c>
      <c r="K97">
        <v>-5</v>
      </c>
      <c r="L97" s="21">
        <v>46061.630601851852</v>
      </c>
    </row>
    <row r="98" spans="1:12" x14ac:dyDescent="0.25">
      <c r="A98" s="20">
        <v>46023</v>
      </c>
      <c r="B98">
        <v>1</v>
      </c>
      <c r="C98" t="s">
        <v>28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0</v>
      </c>
      <c r="K98">
        <v>-2</v>
      </c>
      <c r="L98" s="21">
        <v>46061.630613425928</v>
      </c>
    </row>
    <row r="99" spans="1:12" x14ac:dyDescent="0.25">
      <c r="A99" s="20">
        <v>46024</v>
      </c>
      <c r="B99">
        <v>1</v>
      </c>
      <c r="C99" t="s">
        <v>28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-2</v>
      </c>
      <c r="K99">
        <v>-2</v>
      </c>
      <c r="L99" s="21">
        <v>46061.630636574075</v>
      </c>
    </row>
    <row r="100" spans="1:12" x14ac:dyDescent="0.25">
      <c r="A100" s="20">
        <v>46025</v>
      </c>
      <c r="B100">
        <v>1</v>
      </c>
      <c r="C100" t="s">
        <v>28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-2</v>
      </c>
      <c r="K100">
        <v>1</v>
      </c>
      <c r="L100" s="21">
        <v>46061.630636574075</v>
      </c>
    </row>
    <row r="101" spans="1:12" x14ac:dyDescent="0.25">
      <c r="A101" s="20">
        <v>46026</v>
      </c>
      <c r="B101">
        <v>1</v>
      </c>
      <c r="C101" t="s">
        <v>28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3</v>
      </c>
      <c r="L101" s="21">
        <v>46061.630648148152</v>
      </c>
    </row>
    <row r="102" spans="1:12" x14ac:dyDescent="0.25">
      <c r="A102" s="20">
        <v>46027</v>
      </c>
      <c r="B102">
        <v>1</v>
      </c>
      <c r="C102" t="s">
        <v>28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3</v>
      </c>
      <c r="K102">
        <v>3</v>
      </c>
      <c r="L102" s="21">
        <v>46061.630671296298</v>
      </c>
    </row>
    <row r="103" spans="1:12" x14ac:dyDescent="0.25">
      <c r="A103" s="20">
        <v>46028</v>
      </c>
      <c r="B103">
        <v>1</v>
      </c>
      <c r="C103" t="s">
        <v>28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3</v>
      </c>
      <c r="K103">
        <v>2</v>
      </c>
      <c r="L103" s="21">
        <v>46061.630671296298</v>
      </c>
    </row>
    <row r="104" spans="1:12" x14ac:dyDescent="0.25">
      <c r="A104" s="20">
        <v>46029</v>
      </c>
      <c r="B104">
        <v>1</v>
      </c>
      <c r="C104" t="s">
        <v>28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2</v>
      </c>
      <c r="K104">
        <v>2</v>
      </c>
      <c r="L104" s="21">
        <v>46061.630682870367</v>
      </c>
    </row>
    <row r="105" spans="1:12" x14ac:dyDescent="0.25">
      <c r="A105" s="20">
        <v>46030</v>
      </c>
      <c r="B105">
        <v>1</v>
      </c>
      <c r="C105" t="s">
        <v>28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2</v>
      </c>
      <c r="K105">
        <v>0</v>
      </c>
      <c r="L105" s="21">
        <v>46061.630694444444</v>
      </c>
    </row>
    <row r="106" spans="1:12" x14ac:dyDescent="0.25">
      <c r="A106" s="20">
        <v>46031</v>
      </c>
      <c r="B106">
        <v>1</v>
      </c>
      <c r="C106" t="s">
        <v>28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2</v>
      </c>
      <c r="L106" s="21">
        <v>46061.630706018521</v>
      </c>
    </row>
    <row r="107" spans="1:12" x14ac:dyDescent="0.25">
      <c r="A107" s="20">
        <v>46032</v>
      </c>
      <c r="B107">
        <v>1</v>
      </c>
      <c r="C107" t="s">
        <v>28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2</v>
      </c>
      <c r="K107">
        <v>2</v>
      </c>
      <c r="L107" s="21">
        <v>46061.63071759259</v>
      </c>
    </row>
    <row r="108" spans="1:12" x14ac:dyDescent="0.25">
      <c r="A108" s="20">
        <v>46033</v>
      </c>
      <c r="B108">
        <v>1</v>
      </c>
      <c r="C108" t="s">
        <v>28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2</v>
      </c>
      <c r="K108">
        <v>5</v>
      </c>
      <c r="L108" s="21">
        <v>46061.63071759259</v>
      </c>
    </row>
    <row r="109" spans="1:12" x14ac:dyDescent="0.25">
      <c r="A109" s="20">
        <v>46034</v>
      </c>
      <c r="B109">
        <v>1</v>
      </c>
      <c r="C109" t="s">
        <v>28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5</v>
      </c>
      <c r="K109">
        <v>5</v>
      </c>
      <c r="L109" s="21">
        <v>46061.630729166667</v>
      </c>
    </row>
    <row r="110" spans="1:12" x14ac:dyDescent="0.25">
      <c r="A110" s="20">
        <v>46035</v>
      </c>
      <c r="B110">
        <v>1</v>
      </c>
      <c r="C110" t="s">
        <v>28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5</v>
      </c>
      <c r="K110">
        <v>5</v>
      </c>
      <c r="L110" s="21">
        <v>46061.630740740744</v>
      </c>
    </row>
    <row r="111" spans="1:12" x14ac:dyDescent="0.25">
      <c r="A111" s="20">
        <v>46036</v>
      </c>
      <c r="B111">
        <v>1</v>
      </c>
      <c r="C111" t="s">
        <v>28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5</v>
      </c>
      <c r="K111">
        <v>10</v>
      </c>
      <c r="L111" s="21">
        <v>46061.630752314813</v>
      </c>
    </row>
    <row r="112" spans="1:12" x14ac:dyDescent="0.25">
      <c r="A112" s="20">
        <v>46037</v>
      </c>
      <c r="B112">
        <v>1</v>
      </c>
      <c r="C112" t="s">
        <v>28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10</v>
      </c>
      <c r="K112">
        <v>9</v>
      </c>
      <c r="L112" s="21">
        <v>46061.63077546296</v>
      </c>
    </row>
    <row r="113" spans="1:12" x14ac:dyDescent="0.25">
      <c r="A113" s="20">
        <v>46038</v>
      </c>
      <c r="B113">
        <v>1</v>
      </c>
      <c r="C113" t="s">
        <v>28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9</v>
      </c>
      <c r="K113">
        <v>9</v>
      </c>
      <c r="L113" s="21">
        <v>46061.630787037036</v>
      </c>
    </row>
    <row r="114" spans="1:12" x14ac:dyDescent="0.25">
      <c r="A114" s="20">
        <v>46039</v>
      </c>
      <c r="B114">
        <v>1</v>
      </c>
      <c r="C114" t="s">
        <v>28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9</v>
      </c>
      <c r="K114">
        <v>10</v>
      </c>
      <c r="L114" s="21">
        <v>46061.630787037036</v>
      </c>
    </row>
    <row r="115" spans="1:12" x14ac:dyDescent="0.25">
      <c r="A115" s="20">
        <v>46040</v>
      </c>
      <c r="B115">
        <v>1</v>
      </c>
      <c r="C115" t="s">
        <v>28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10</v>
      </c>
      <c r="K115">
        <v>12</v>
      </c>
      <c r="L115" s="21">
        <v>46061.630810185183</v>
      </c>
    </row>
    <row r="116" spans="1:12" x14ac:dyDescent="0.25">
      <c r="A116" s="20">
        <v>46041</v>
      </c>
      <c r="B116">
        <v>1</v>
      </c>
      <c r="C116" t="s">
        <v>28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12</v>
      </c>
      <c r="K116">
        <v>2</v>
      </c>
      <c r="L116" s="21">
        <v>46061.630833333336</v>
      </c>
    </row>
    <row r="117" spans="1:12" x14ac:dyDescent="0.25">
      <c r="A117" s="20">
        <v>46042</v>
      </c>
      <c r="B117">
        <v>1</v>
      </c>
      <c r="C117" t="s">
        <v>28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2</v>
      </c>
      <c r="K117">
        <v>-1</v>
      </c>
      <c r="L117" s="21">
        <v>46061.630833333336</v>
      </c>
    </row>
    <row r="118" spans="1:12" x14ac:dyDescent="0.25">
      <c r="A118" s="20">
        <v>46043</v>
      </c>
      <c r="B118">
        <v>1</v>
      </c>
      <c r="C118" t="s">
        <v>28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-1</v>
      </c>
      <c r="K118">
        <v>-1</v>
      </c>
      <c r="L118" s="21">
        <v>46061.630844907406</v>
      </c>
    </row>
    <row r="119" spans="1:12" x14ac:dyDescent="0.25">
      <c r="A119" s="20">
        <v>46044</v>
      </c>
      <c r="B119">
        <v>1</v>
      </c>
      <c r="C119" t="s">
        <v>28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-1</v>
      </c>
      <c r="K119">
        <v>2</v>
      </c>
      <c r="L119" s="21">
        <v>46061.630856481483</v>
      </c>
    </row>
    <row r="120" spans="1:12" x14ac:dyDescent="0.25">
      <c r="A120" s="20">
        <v>46045</v>
      </c>
      <c r="B120">
        <v>1</v>
      </c>
      <c r="C120" t="s">
        <v>28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2</v>
      </c>
      <c r="K120">
        <v>-2</v>
      </c>
      <c r="L120" s="21">
        <v>46061.630868055552</v>
      </c>
    </row>
    <row r="121" spans="1:12" x14ac:dyDescent="0.25">
      <c r="A121" s="20">
        <v>46046</v>
      </c>
      <c r="B121">
        <v>1</v>
      </c>
      <c r="C121" t="s">
        <v>28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-2</v>
      </c>
      <c r="K121">
        <v>-1</v>
      </c>
      <c r="L121" s="21">
        <v>46061.630879629629</v>
      </c>
    </row>
    <row r="122" spans="1:12" x14ac:dyDescent="0.25">
      <c r="A122" s="20">
        <v>46047</v>
      </c>
      <c r="B122">
        <v>1</v>
      </c>
      <c r="C122" t="s">
        <v>28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-1</v>
      </c>
      <c r="K122">
        <v>0</v>
      </c>
      <c r="L122" s="21">
        <v>46061.630879629629</v>
      </c>
    </row>
    <row r="123" spans="1:12" x14ac:dyDescent="0.25">
      <c r="A123" s="20">
        <v>46048</v>
      </c>
      <c r="B123">
        <v>1</v>
      </c>
      <c r="C123" t="s">
        <v>28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 s="21">
        <v>46061.630891203706</v>
      </c>
    </row>
    <row r="124" spans="1:12" x14ac:dyDescent="0.25">
      <c r="A124" s="20">
        <v>46049</v>
      </c>
      <c r="B124">
        <v>1</v>
      </c>
      <c r="C124" t="s">
        <v>28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-1</v>
      </c>
      <c r="L124" s="21">
        <v>46061.630902777775</v>
      </c>
    </row>
    <row r="125" spans="1:12" x14ac:dyDescent="0.25">
      <c r="A125" s="20">
        <v>46050</v>
      </c>
      <c r="B125">
        <v>1</v>
      </c>
      <c r="C125" t="s">
        <v>28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-1</v>
      </c>
      <c r="K125">
        <v>0</v>
      </c>
      <c r="L125" s="21">
        <v>46061.630914351852</v>
      </c>
    </row>
    <row r="126" spans="1:12" x14ac:dyDescent="0.25">
      <c r="A126" s="20">
        <v>46051</v>
      </c>
      <c r="B126">
        <v>1</v>
      </c>
      <c r="C126" t="s">
        <v>28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21">
        <v>46061.630937499998</v>
      </c>
    </row>
    <row r="127" spans="1:12" x14ac:dyDescent="0.25">
      <c r="A127" s="20">
        <v>46052</v>
      </c>
      <c r="B127">
        <v>1</v>
      </c>
      <c r="C127" t="s">
        <v>28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 s="21">
        <v>46061.630949074075</v>
      </c>
    </row>
    <row r="128" spans="1:12" x14ac:dyDescent="0.25">
      <c r="A128" s="20">
        <v>46053</v>
      </c>
      <c r="B128">
        <v>1</v>
      </c>
      <c r="C128" t="s">
        <v>28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5</v>
      </c>
      <c r="L128" s="21">
        <v>46061.630949074075</v>
      </c>
    </row>
    <row r="129" spans="1:12" x14ac:dyDescent="0.25">
      <c r="A129" s="20">
        <v>46054</v>
      </c>
      <c r="B129">
        <v>2</v>
      </c>
      <c r="C129" t="s">
        <v>28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5</v>
      </c>
      <c r="K129">
        <v>5</v>
      </c>
      <c r="L129" s="21">
        <v>46061.630960648145</v>
      </c>
    </row>
    <row r="130" spans="1:12" x14ac:dyDescent="0.25">
      <c r="A130" s="20">
        <v>46023</v>
      </c>
      <c r="B130">
        <v>1</v>
      </c>
      <c r="C130" t="s">
        <v>40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  <c r="K130">
        <v>-1</v>
      </c>
      <c r="L130" s="21">
        <v>46061.630972222221</v>
      </c>
    </row>
    <row r="131" spans="1:12" x14ac:dyDescent="0.25">
      <c r="A131" s="20">
        <v>46024</v>
      </c>
      <c r="B131">
        <v>1</v>
      </c>
      <c r="C131" t="s">
        <v>40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-1</v>
      </c>
      <c r="K131">
        <v>0</v>
      </c>
      <c r="L131" s="21">
        <v>46061.630983796298</v>
      </c>
    </row>
    <row r="132" spans="1:12" x14ac:dyDescent="0.25">
      <c r="A132" s="20">
        <v>46025</v>
      </c>
      <c r="B132">
        <v>1</v>
      </c>
      <c r="C132" t="s">
        <v>40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-1</v>
      </c>
      <c r="L132" s="21">
        <v>46061.630995370368</v>
      </c>
    </row>
    <row r="133" spans="1:12" x14ac:dyDescent="0.25">
      <c r="A133" s="20">
        <v>46027</v>
      </c>
      <c r="B133">
        <v>1</v>
      </c>
      <c r="C133" t="s">
        <v>40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-1</v>
      </c>
      <c r="K133">
        <v>0</v>
      </c>
      <c r="L133" s="21">
        <v>46061.631006944444</v>
      </c>
    </row>
    <row r="134" spans="1:12" x14ac:dyDescent="0.25">
      <c r="A134" s="20">
        <v>46028</v>
      </c>
      <c r="B134">
        <v>1</v>
      </c>
      <c r="C134" t="s">
        <v>40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</v>
      </c>
      <c r="L134" s="21">
        <v>46061.631018518521</v>
      </c>
    </row>
    <row r="135" spans="1:12" x14ac:dyDescent="0.25">
      <c r="A135" s="20">
        <v>46029</v>
      </c>
      <c r="B135">
        <v>1</v>
      </c>
      <c r="C135" t="s">
        <v>40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1</v>
      </c>
      <c r="L135" s="21">
        <v>46061.63181712963</v>
      </c>
    </row>
    <row r="136" spans="1:12" x14ac:dyDescent="0.25">
      <c r="A136" s="20">
        <v>46030</v>
      </c>
      <c r="B136">
        <v>1</v>
      </c>
      <c r="C136" t="s">
        <v>40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1</v>
      </c>
      <c r="K136">
        <v>-1</v>
      </c>
      <c r="L136" s="21">
        <v>46061.631018518521</v>
      </c>
    </row>
    <row r="137" spans="1:12" x14ac:dyDescent="0.25">
      <c r="A137" s="20">
        <v>46031</v>
      </c>
      <c r="B137">
        <v>1</v>
      </c>
      <c r="C137" t="s">
        <v>40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-1</v>
      </c>
      <c r="K137">
        <v>0</v>
      </c>
      <c r="L137" s="21">
        <v>46061.631041666667</v>
      </c>
    </row>
    <row r="138" spans="1:12" x14ac:dyDescent="0.25">
      <c r="A138" s="20">
        <v>46032</v>
      </c>
      <c r="B138">
        <v>1</v>
      </c>
      <c r="C138" t="s">
        <v>40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3</v>
      </c>
      <c r="L138" s="21">
        <v>46061.631053240744</v>
      </c>
    </row>
    <row r="139" spans="1:12" x14ac:dyDescent="0.25">
      <c r="A139" s="20">
        <v>46033</v>
      </c>
      <c r="B139">
        <v>1</v>
      </c>
      <c r="C139" t="s">
        <v>40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3</v>
      </c>
      <c r="K139">
        <v>1</v>
      </c>
      <c r="L139" s="21">
        <v>46061.631053240744</v>
      </c>
    </row>
    <row r="140" spans="1:12" x14ac:dyDescent="0.25">
      <c r="A140" s="20">
        <v>46034</v>
      </c>
      <c r="B140">
        <v>1</v>
      </c>
      <c r="C140" t="s">
        <v>40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-1</v>
      </c>
      <c r="L140" s="21">
        <v>46061.631064814814</v>
      </c>
    </row>
    <row r="141" spans="1:12" x14ac:dyDescent="0.25">
      <c r="A141" s="20">
        <v>46035</v>
      </c>
      <c r="B141">
        <v>1</v>
      </c>
      <c r="C141" t="s">
        <v>40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-1</v>
      </c>
      <c r="K141">
        <v>0</v>
      </c>
      <c r="L141" s="21">
        <v>46061.63108796296</v>
      </c>
    </row>
    <row r="142" spans="1:12" x14ac:dyDescent="0.25">
      <c r="A142" s="20">
        <v>46036</v>
      </c>
      <c r="B142">
        <v>1</v>
      </c>
      <c r="C142" t="s">
        <v>40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0</v>
      </c>
      <c r="K142">
        <v>1</v>
      </c>
      <c r="L142" s="21">
        <v>46061.63108796296</v>
      </c>
    </row>
    <row r="143" spans="1:12" x14ac:dyDescent="0.25">
      <c r="A143" s="20">
        <v>46037</v>
      </c>
      <c r="B143">
        <v>1</v>
      </c>
      <c r="C143" t="s">
        <v>40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1</v>
      </c>
      <c r="K143">
        <v>0</v>
      </c>
      <c r="L143" s="21">
        <v>46061.631099537037</v>
      </c>
    </row>
    <row r="144" spans="1:12" x14ac:dyDescent="0.25">
      <c r="A144" s="20">
        <v>46038</v>
      </c>
      <c r="B144">
        <v>1</v>
      </c>
      <c r="C144" t="s">
        <v>40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0</v>
      </c>
      <c r="K144">
        <v>-1</v>
      </c>
      <c r="L144" s="21">
        <v>46061.631122685183</v>
      </c>
    </row>
    <row r="145" spans="1:12" x14ac:dyDescent="0.25">
      <c r="A145" s="20">
        <v>46039</v>
      </c>
      <c r="B145">
        <v>1</v>
      </c>
      <c r="C145" t="s">
        <v>40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-1</v>
      </c>
      <c r="K145">
        <v>0</v>
      </c>
      <c r="L145" s="21">
        <v>46061.631145833337</v>
      </c>
    </row>
    <row r="146" spans="1:12" x14ac:dyDescent="0.25">
      <c r="A146" s="20">
        <v>46040</v>
      </c>
      <c r="B146">
        <v>1</v>
      </c>
      <c r="C146" t="s">
        <v>40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0</v>
      </c>
      <c r="K146">
        <v>3</v>
      </c>
      <c r="L146" s="21">
        <v>46061.631145833337</v>
      </c>
    </row>
    <row r="147" spans="1:12" x14ac:dyDescent="0.25">
      <c r="A147" s="20">
        <v>46041</v>
      </c>
      <c r="B147">
        <v>1</v>
      </c>
      <c r="C147" t="s">
        <v>40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3</v>
      </c>
      <c r="K147">
        <v>2</v>
      </c>
      <c r="L147" s="21">
        <v>46061.631157407406</v>
      </c>
    </row>
    <row r="148" spans="1:12" x14ac:dyDescent="0.25">
      <c r="A148" s="20">
        <v>46042</v>
      </c>
      <c r="B148">
        <v>1</v>
      </c>
      <c r="C148" t="s">
        <v>40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2</v>
      </c>
      <c r="K148">
        <v>2</v>
      </c>
      <c r="L148" s="21">
        <v>46061.631168981483</v>
      </c>
    </row>
    <row r="149" spans="1:12" x14ac:dyDescent="0.25">
      <c r="A149" s="20">
        <v>46043</v>
      </c>
      <c r="B149">
        <v>1</v>
      </c>
      <c r="C149" t="s">
        <v>40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2</v>
      </c>
      <c r="K149">
        <v>2</v>
      </c>
      <c r="L149" s="21">
        <v>46061.631180555552</v>
      </c>
    </row>
    <row r="150" spans="1:12" x14ac:dyDescent="0.25">
      <c r="A150" s="20">
        <v>46044</v>
      </c>
      <c r="B150">
        <v>1</v>
      </c>
      <c r="C150" t="s">
        <v>40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2</v>
      </c>
      <c r="K150">
        <v>2</v>
      </c>
      <c r="L150" s="21">
        <v>46061.631192129629</v>
      </c>
    </row>
    <row r="151" spans="1:12" x14ac:dyDescent="0.25">
      <c r="A151" s="20">
        <v>46045</v>
      </c>
      <c r="B151">
        <v>1</v>
      </c>
      <c r="C151" t="s">
        <v>40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2</v>
      </c>
      <c r="K151">
        <v>1</v>
      </c>
      <c r="L151" s="21">
        <v>46061.631203703706</v>
      </c>
    </row>
    <row r="152" spans="1:12" x14ac:dyDescent="0.25">
      <c r="A152" s="20">
        <v>46046</v>
      </c>
      <c r="B152">
        <v>1</v>
      </c>
      <c r="C152" t="s">
        <v>40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1</v>
      </c>
      <c r="K152">
        <v>-1</v>
      </c>
      <c r="L152" s="21">
        <v>46061.631215277775</v>
      </c>
    </row>
    <row r="153" spans="1:12" x14ac:dyDescent="0.25">
      <c r="A153" s="20">
        <v>46047</v>
      </c>
      <c r="B153">
        <v>1</v>
      </c>
      <c r="C153" t="s">
        <v>40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-1</v>
      </c>
      <c r="K153">
        <v>1</v>
      </c>
      <c r="L153" s="21">
        <v>46061.631226851852</v>
      </c>
    </row>
    <row r="154" spans="1:12" x14ac:dyDescent="0.25">
      <c r="A154" s="20">
        <v>46048</v>
      </c>
      <c r="B154">
        <v>1</v>
      </c>
      <c r="C154" t="s">
        <v>40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1</v>
      </c>
      <c r="K154">
        <v>0</v>
      </c>
      <c r="L154" s="21">
        <v>46061.631238425929</v>
      </c>
    </row>
    <row r="155" spans="1:12" x14ac:dyDescent="0.25">
      <c r="A155" s="20">
        <v>46049</v>
      </c>
      <c r="B155">
        <v>1</v>
      </c>
      <c r="C155" t="s">
        <v>40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  <c r="K155">
        <v>-1</v>
      </c>
      <c r="L155" s="21">
        <v>46061.631249999999</v>
      </c>
    </row>
    <row r="156" spans="1:12" x14ac:dyDescent="0.25">
      <c r="A156" s="20">
        <v>46050</v>
      </c>
      <c r="B156">
        <v>1</v>
      </c>
      <c r="C156" t="s">
        <v>40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-1</v>
      </c>
      <c r="K156">
        <v>2</v>
      </c>
      <c r="L156" s="21">
        <v>46061.631249999999</v>
      </c>
    </row>
    <row r="157" spans="1:12" x14ac:dyDescent="0.25">
      <c r="A157" s="20">
        <v>46051</v>
      </c>
      <c r="B157">
        <v>1</v>
      </c>
      <c r="C157" t="s">
        <v>40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2</v>
      </c>
      <c r="K157">
        <v>2</v>
      </c>
      <c r="L157" s="21">
        <v>46061.631261574075</v>
      </c>
    </row>
    <row r="158" spans="1:12" x14ac:dyDescent="0.25">
      <c r="A158" s="20">
        <v>46052</v>
      </c>
      <c r="B158">
        <v>1</v>
      </c>
      <c r="C158" t="s">
        <v>40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2</v>
      </c>
      <c r="K158">
        <v>5</v>
      </c>
      <c r="L158" s="21">
        <v>46061.631284722222</v>
      </c>
    </row>
    <row r="159" spans="1:12" x14ac:dyDescent="0.25">
      <c r="A159" s="20">
        <v>46053</v>
      </c>
      <c r="B159">
        <v>1</v>
      </c>
      <c r="C159" t="s">
        <v>40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5</v>
      </c>
      <c r="K159">
        <v>3</v>
      </c>
      <c r="L159" s="21">
        <v>46061.631284722222</v>
      </c>
    </row>
    <row r="160" spans="1:12" x14ac:dyDescent="0.25">
      <c r="A160" s="20">
        <v>46023</v>
      </c>
      <c r="B160">
        <v>1</v>
      </c>
      <c r="C160" t="s">
        <v>26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3</v>
      </c>
      <c r="L160" s="21">
        <v>46061.631296296298</v>
      </c>
    </row>
    <row r="161" spans="1:12" x14ac:dyDescent="0.25">
      <c r="A161" s="20">
        <v>46024</v>
      </c>
      <c r="B161">
        <v>1</v>
      </c>
      <c r="C161" t="s">
        <v>26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3</v>
      </c>
      <c r="K161">
        <v>0</v>
      </c>
      <c r="L161" s="21">
        <v>46061.631319444445</v>
      </c>
    </row>
    <row r="162" spans="1:12" x14ac:dyDescent="0.25">
      <c r="A162" s="20">
        <v>46025</v>
      </c>
      <c r="B162">
        <v>1</v>
      </c>
      <c r="C162" t="s">
        <v>26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2</v>
      </c>
      <c r="L162" s="21">
        <v>46061.631319444445</v>
      </c>
    </row>
    <row r="163" spans="1:12" x14ac:dyDescent="0.25">
      <c r="A163" s="20">
        <v>46026</v>
      </c>
      <c r="B163">
        <v>1</v>
      </c>
      <c r="C163" t="s">
        <v>26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2</v>
      </c>
      <c r="K163">
        <v>7</v>
      </c>
      <c r="L163" s="21">
        <v>46061.631331018521</v>
      </c>
    </row>
    <row r="164" spans="1:12" x14ac:dyDescent="0.25">
      <c r="A164" s="20">
        <v>46027</v>
      </c>
      <c r="B164">
        <v>1</v>
      </c>
      <c r="C164" t="s">
        <v>26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7</v>
      </c>
      <c r="K164">
        <v>7</v>
      </c>
      <c r="L164" s="21">
        <v>46061.631342592591</v>
      </c>
    </row>
    <row r="165" spans="1:12" x14ac:dyDescent="0.25">
      <c r="A165" s="20">
        <v>46028</v>
      </c>
      <c r="B165">
        <v>1</v>
      </c>
      <c r="C165" t="s">
        <v>26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7</v>
      </c>
      <c r="K165">
        <v>4</v>
      </c>
      <c r="L165" s="21">
        <v>46061.631354166668</v>
      </c>
    </row>
    <row r="166" spans="1:12" x14ac:dyDescent="0.25">
      <c r="A166" s="20">
        <v>46029</v>
      </c>
      <c r="B166">
        <v>1</v>
      </c>
      <c r="C166" t="s">
        <v>26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4</v>
      </c>
      <c r="K166">
        <v>7</v>
      </c>
      <c r="L166" s="21">
        <v>46061.631365740737</v>
      </c>
    </row>
    <row r="167" spans="1:12" x14ac:dyDescent="0.25">
      <c r="A167" s="20">
        <v>46030</v>
      </c>
      <c r="B167">
        <v>1</v>
      </c>
      <c r="C167" t="s">
        <v>26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7</v>
      </c>
      <c r="K167">
        <v>3</v>
      </c>
      <c r="L167" s="21">
        <v>46061.631365740737</v>
      </c>
    </row>
    <row r="168" spans="1:12" x14ac:dyDescent="0.25">
      <c r="A168" s="20">
        <v>46031</v>
      </c>
      <c r="B168">
        <v>1</v>
      </c>
      <c r="C168" t="s">
        <v>26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3</v>
      </c>
      <c r="K168">
        <v>4</v>
      </c>
      <c r="L168" s="21">
        <v>46061.631388888891</v>
      </c>
    </row>
    <row r="169" spans="1:12" x14ac:dyDescent="0.25">
      <c r="A169" s="20">
        <v>46032</v>
      </c>
      <c r="B169">
        <v>1</v>
      </c>
      <c r="C169" t="s">
        <v>26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4</v>
      </c>
      <c r="K169">
        <v>0</v>
      </c>
      <c r="L169" s="21">
        <v>46061.63140046296</v>
      </c>
    </row>
    <row r="170" spans="1:12" x14ac:dyDescent="0.25">
      <c r="A170" s="20">
        <v>46033</v>
      </c>
      <c r="B170">
        <v>1</v>
      </c>
      <c r="C170" t="s">
        <v>26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 s="21">
        <v>46061.631412037037</v>
      </c>
    </row>
    <row r="171" spans="1:12" x14ac:dyDescent="0.25">
      <c r="A171" s="20">
        <v>46034</v>
      </c>
      <c r="B171">
        <v>1</v>
      </c>
      <c r="C171" t="s">
        <v>26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 s="21">
        <v>46061.63144675926</v>
      </c>
    </row>
    <row r="172" spans="1:12" x14ac:dyDescent="0.25">
      <c r="A172" s="20">
        <v>46035</v>
      </c>
      <c r="B172">
        <v>1</v>
      </c>
      <c r="C172" t="s">
        <v>26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 s="21">
        <v>46061.631458333337</v>
      </c>
    </row>
    <row r="173" spans="1:12" x14ac:dyDescent="0.25">
      <c r="A173" s="20">
        <v>46036</v>
      </c>
      <c r="B173">
        <v>1</v>
      </c>
      <c r="C173" t="s">
        <v>26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</v>
      </c>
      <c r="K173">
        <v>0</v>
      </c>
      <c r="L173" s="21">
        <v>46061.631469907406</v>
      </c>
    </row>
    <row r="174" spans="1:12" x14ac:dyDescent="0.25">
      <c r="A174" s="20">
        <v>46037</v>
      </c>
      <c r="B174">
        <v>1</v>
      </c>
      <c r="C174" t="s">
        <v>26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 s="21">
        <v>46061.631493055553</v>
      </c>
    </row>
    <row r="175" spans="1:12" x14ac:dyDescent="0.25">
      <c r="A175" s="20">
        <v>46038</v>
      </c>
      <c r="B175">
        <v>1</v>
      </c>
      <c r="C175" t="s">
        <v>26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</v>
      </c>
      <c r="K175">
        <v>0</v>
      </c>
      <c r="L175" s="21">
        <v>46061.631504629629</v>
      </c>
    </row>
    <row r="176" spans="1:12" x14ac:dyDescent="0.25">
      <c r="A176" s="20">
        <v>46039</v>
      </c>
      <c r="B176">
        <v>1</v>
      </c>
      <c r="C176" t="s">
        <v>26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0</v>
      </c>
      <c r="K176">
        <v>2</v>
      </c>
      <c r="L176" s="21">
        <v>46061.631539351853</v>
      </c>
    </row>
    <row r="177" spans="1:12" x14ac:dyDescent="0.25">
      <c r="A177" s="20">
        <v>46040</v>
      </c>
      <c r="B177">
        <v>1</v>
      </c>
      <c r="C177" t="s">
        <v>26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2</v>
      </c>
      <c r="K177">
        <v>4</v>
      </c>
      <c r="L177" s="21">
        <v>46061.631539351853</v>
      </c>
    </row>
    <row r="178" spans="1:12" x14ac:dyDescent="0.25">
      <c r="A178" s="20">
        <v>46041</v>
      </c>
      <c r="B178">
        <v>1</v>
      </c>
      <c r="C178" t="s">
        <v>26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4</v>
      </c>
      <c r="K178">
        <v>7</v>
      </c>
      <c r="L178" s="21">
        <v>46061.631550925929</v>
      </c>
    </row>
    <row r="179" spans="1:12" x14ac:dyDescent="0.25">
      <c r="A179" s="20">
        <v>46042</v>
      </c>
      <c r="B179">
        <v>1</v>
      </c>
      <c r="C179" t="s">
        <v>26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7</v>
      </c>
      <c r="K179">
        <v>0</v>
      </c>
      <c r="L179" s="21">
        <v>46061.631574074076</v>
      </c>
    </row>
    <row r="180" spans="1:12" x14ac:dyDescent="0.25">
      <c r="A180" s="20">
        <v>46043</v>
      </c>
      <c r="B180">
        <v>1</v>
      </c>
      <c r="C180" t="s">
        <v>26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0</v>
      </c>
      <c r="K180">
        <v>-2</v>
      </c>
      <c r="L180" s="21">
        <v>46061.631585648145</v>
      </c>
    </row>
    <row r="181" spans="1:12" x14ac:dyDescent="0.25">
      <c r="A181" s="20">
        <v>46044</v>
      </c>
      <c r="B181">
        <v>1</v>
      </c>
      <c r="C181" t="s">
        <v>26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-2</v>
      </c>
      <c r="K181">
        <v>-1</v>
      </c>
      <c r="L181" s="21">
        <v>46061.631585648145</v>
      </c>
    </row>
    <row r="182" spans="1:12" x14ac:dyDescent="0.25">
      <c r="A182" s="20">
        <v>46045</v>
      </c>
      <c r="B182">
        <v>1</v>
      </c>
      <c r="C182" t="s">
        <v>26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-1</v>
      </c>
      <c r="K182">
        <v>-1</v>
      </c>
      <c r="L182" s="21">
        <v>46061.631608796299</v>
      </c>
    </row>
    <row r="183" spans="1:12" x14ac:dyDescent="0.25">
      <c r="A183" s="20">
        <v>46046</v>
      </c>
      <c r="B183">
        <v>1</v>
      </c>
      <c r="C183" t="s">
        <v>26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-1</v>
      </c>
      <c r="K183">
        <v>1</v>
      </c>
      <c r="L183" s="21">
        <v>46061.631620370368</v>
      </c>
    </row>
    <row r="184" spans="1:12" x14ac:dyDescent="0.25">
      <c r="A184" s="20">
        <v>46047</v>
      </c>
      <c r="B184">
        <v>1</v>
      </c>
      <c r="C184" t="s">
        <v>26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-3</v>
      </c>
      <c r="L184" s="21">
        <v>46061.631655092591</v>
      </c>
    </row>
    <row r="185" spans="1:12" x14ac:dyDescent="0.25">
      <c r="A185" s="20">
        <v>46048</v>
      </c>
      <c r="B185">
        <v>1</v>
      </c>
      <c r="C185" t="s">
        <v>26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-3</v>
      </c>
      <c r="K185">
        <v>-2</v>
      </c>
      <c r="L185" s="21">
        <v>46061.631666666668</v>
      </c>
    </row>
    <row r="186" spans="1:12" x14ac:dyDescent="0.25">
      <c r="A186" s="20">
        <v>46049</v>
      </c>
      <c r="B186">
        <v>1</v>
      </c>
      <c r="C186" t="s">
        <v>26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-2</v>
      </c>
      <c r="K186">
        <v>-6</v>
      </c>
      <c r="L186" s="21">
        <v>46061.631678240738</v>
      </c>
    </row>
    <row r="187" spans="1:12" x14ac:dyDescent="0.25">
      <c r="A187" s="20">
        <v>46050</v>
      </c>
      <c r="B187">
        <v>1</v>
      </c>
      <c r="C187" t="s">
        <v>26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-6</v>
      </c>
      <c r="K187">
        <v>-5</v>
      </c>
      <c r="L187" s="21">
        <v>46061.631701388891</v>
      </c>
    </row>
    <row r="188" spans="1:12" x14ac:dyDescent="0.25">
      <c r="A188" s="20">
        <v>46051</v>
      </c>
      <c r="B188">
        <v>1</v>
      </c>
      <c r="C188" t="s">
        <v>26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-5</v>
      </c>
      <c r="K188">
        <v>-2</v>
      </c>
      <c r="L188" s="21">
        <v>46061.631712962961</v>
      </c>
    </row>
    <row r="189" spans="1:12" x14ac:dyDescent="0.25">
      <c r="A189" s="20">
        <v>46052</v>
      </c>
      <c r="B189">
        <v>1</v>
      </c>
      <c r="C189" t="s">
        <v>26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-2</v>
      </c>
      <c r="K189">
        <v>1</v>
      </c>
      <c r="L189" s="21">
        <v>46061.631724537037</v>
      </c>
    </row>
    <row r="190" spans="1:12" x14ac:dyDescent="0.25">
      <c r="A190" s="20">
        <v>46053</v>
      </c>
      <c r="B190">
        <v>1</v>
      </c>
      <c r="C190" t="s">
        <v>26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</v>
      </c>
      <c r="K190">
        <v>-4</v>
      </c>
      <c r="L190" s="21">
        <v>46061.63175925926</v>
      </c>
    </row>
    <row r="191" spans="1:12" x14ac:dyDescent="0.25">
      <c r="A191" s="20">
        <v>46056</v>
      </c>
      <c r="B191">
        <v>2</v>
      </c>
      <c r="C191" t="s">
        <v>26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-4</v>
      </c>
      <c r="K191">
        <v>-1</v>
      </c>
      <c r="L191" s="21">
        <v>46061.63175925926</v>
      </c>
    </row>
    <row r="192" spans="1:12" x14ac:dyDescent="0.25">
      <c r="A192" s="20">
        <v>46066</v>
      </c>
      <c r="B192">
        <v>2</v>
      </c>
      <c r="C192" t="s">
        <v>26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-1</v>
      </c>
      <c r="K192">
        <v>-1</v>
      </c>
      <c r="L192" s="21">
        <v>46061.63177083333</v>
      </c>
    </row>
    <row r="193" spans="1:12" x14ac:dyDescent="0.25">
      <c r="A193" s="20">
        <v>46023</v>
      </c>
      <c r="B193">
        <v>1</v>
      </c>
      <c r="C193" t="s">
        <v>38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0</v>
      </c>
      <c r="K193">
        <v>-1</v>
      </c>
      <c r="L193" s="21">
        <v>46061.631828703707</v>
      </c>
    </row>
    <row r="194" spans="1:12" x14ac:dyDescent="0.25">
      <c r="A194" s="20">
        <v>46024</v>
      </c>
      <c r="B194">
        <v>1</v>
      </c>
      <c r="C194" t="s">
        <v>38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-1</v>
      </c>
      <c r="K194">
        <v>0</v>
      </c>
      <c r="L194" s="21">
        <v>46061.631851851853</v>
      </c>
    </row>
    <row r="195" spans="1:12" x14ac:dyDescent="0.25">
      <c r="A195" s="20">
        <v>46025</v>
      </c>
      <c r="B195">
        <v>1</v>
      </c>
      <c r="C195" t="s">
        <v>38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0</v>
      </c>
      <c r="K195">
        <v>1</v>
      </c>
      <c r="L195" s="21">
        <v>46061.631851851853</v>
      </c>
    </row>
    <row r="196" spans="1:12" x14ac:dyDescent="0.25">
      <c r="A196" s="20">
        <v>46026</v>
      </c>
      <c r="B196">
        <v>1</v>
      </c>
      <c r="C196" t="s">
        <v>38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</v>
      </c>
      <c r="K196">
        <v>0</v>
      </c>
      <c r="L196" s="21">
        <v>46061.631863425922</v>
      </c>
    </row>
    <row r="197" spans="1:12" x14ac:dyDescent="0.25">
      <c r="A197" s="20">
        <v>46027</v>
      </c>
      <c r="B197">
        <v>1</v>
      </c>
      <c r="C197" t="s">
        <v>38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-7</v>
      </c>
      <c r="L197" s="21">
        <v>46061.631898148145</v>
      </c>
    </row>
    <row r="198" spans="1:12" x14ac:dyDescent="0.25">
      <c r="A198" s="20">
        <v>46028</v>
      </c>
      <c r="B198">
        <v>1</v>
      </c>
      <c r="C198" t="s">
        <v>38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-7</v>
      </c>
      <c r="K198">
        <v>-8</v>
      </c>
      <c r="L198" s="21">
        <v>46061.631909722222</v>
      </c>
    </row>
    <row r="199" spans="1:12" x14ac:dyDescent="0.25">
      <c r="A199" s="20">
        <v>46029</v>
      </c>
      <c r="B199">
        <v>1</v>
      </c>
      <c r="C199" t="s">
        <v>38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-8</v>
      </c>
      <c r="K199">
        <v>-7</v>
      </c>
      <c r="L199" s="21">
        <v>46061.631932870368</v>
      </c>
    </row>
    <row r="200" spans="1:12" x14ac:dyDescent="0.25">
      <c r="A200" s="20">
        <v>46030</v>
      </c>
      <c r="B200">
        <v>1</v>
      </c>
      <c r="C200" t="s">
        <v>38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-7</v>
      </c>
      <c r="K200">
        <v>-3</v>
      </c>
      <c r="L200" s="21">
        <v>46061.631956018522</v>
      </c>
    </row>
    <row r="201" spans="1:12" x14ac:dyDescent="0.25">
      <c r="A201" s="20">
        <v>46031</v>
      </c>
      <c r="B201">
        <v>1</v>
      </c>
      <c r="C201" t="s">
        <v>38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-3</v>
      </c>
      <c r="K201">
        <v>-7</v>
      </c>
      <c r="L201" s="21">
        <v>46061.631967592592</v>
      </c>
    </row>
    <row r="202" spans="1:12" x14ac:dyDescent="0.25">
      <c r="A202" s="20">
        <v>46032</v>
      </c>
      <c r="B202">
        <v>1</v>
      </c>
      <c r="C202" t="s">
        <v>38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-7</v>
      </c>
      <c r="K202">
        <v>-5</v>
      </c>
      <c r="L202" s="21">
        <v>46061.631979166668</v>
      </c>
    </row>
    <row r="203" spans="1:12" x14ac:dyDescent="0.25">
      <c r="A203" s="20">
        <v>46033</v>
      </c>
      <c r="B203">
        <v>1</v>
      </c>
      <c r="C203" t="s">
        <v>38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-5</v>
      </c>
      <c r="K203">
        <v>-6</v>
      </c>
      <c r="L203" s="21">
        <v>46061.632002314815</v>
      </c>
    </row>
    <row r="204" spans="1:12" x14ac:dyDescent="0.25">
      <c r="A204" s="20">
        <v>46034</v>
      </c>
      <c r="B204">
        <v>1</v>
      </c>
      <c r="C204" t="s">
        <v>38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-6</v>
      </c>
      <c r="K204">
        <v>-8</v>
      </c>
      <c r="L204" s="21">
        <v>46061.632013888891</v>
      </c>
    </row>
    <row r="205" spans="1:12" x14ac:dyDescent="0.25">
      <c r="A205" s="20">
        <v>46035</v>
      </c>
      <c r="B205">
        <v>1</v>
      </c>
      <c r="C205" t="s">
        <v>38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-8</v>
      </c>
      <c r="K205">
        <v>-6</v>
      </c>
      <c r="L205" s="21">
        <v>46061.632025462961</v>
      </c>
    </row>
    <row r="206" spans="1:12" x14ac:dyDescent="0.25">
      <c r="A206" s="20">
        <v>46036</v>
      </c>
      <c r="B206">
        <v>1</v>
      </c>
      <c r="C206" t="s">
        <v>38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-6</v>
      </c>
      <c r="K206">
        <v>-3</v>
      </c>
      <c r="L206" s="21">
        <v>46061.632048611114</v>
      </c>
    </row>
    <row r="207" spans="1:12" x14ac:dyDescent="0.25">
      <c r="A207" s="20">
        <v>46037</v>
      </c>
      <c r="B207">
        <v>1</v>
      </c>
      <c r="C207" t="s">
        <v>38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-3</v>
      </c>
      <c r="K207">
        <v>-4</v>
      </c>
      <c r="L207" s="21">
        <v>46061.632060185184</v>
      </c>
    </row>
    <row r="208" spans="1:12" x14ac:dyDescent="0.25">
      <c r="A208" s="20">
        <v>46038</v>
      </c>
      <c r="B208">
        <v>1</v>
      </c>
      <c r="C208" t="s">
        <v>38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-4</v>
      </c>
      <c r="K208">
        <v>0</v>
      </c>
      <c r="L208" s="21">
        <v>46061.632071759261</v>
      </c>
    </row>
    <row r="209" spans="1:12" x14ac:dyDescent="0.25">
      <c r="A209" s="20">
        <v>46039</v>
      </c>
      <c r="B209">
        <v>1</v>
      </c>
      <c r="C209" t="s">
        <v>38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0</v>
      </c>
      <c r="K209">
        <v>0</v>
      </c>
      <c r="L209" s="21">
        <v>46061.63208333333</v>
      </c>
    </row>
    <row r="210" spans="1:12" x14ac:dyDescent="0.25">
      <c r="A210" s="20">
        <v>46040</v>
      </c>
      <c r="B210">
        <v>1</v>
      </c>
      <c r="C210" t="s">
        <v>38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0</v>
      </c>
      <c r="K210">
        <v>-3</v>
      </c>
      <c r="L210" s="21">
        <v>46061.632118055553</v>
      </c>
    </row>
    <row r="211" spans="1:12" x14ac:dyDescent="0.25">
      <c r="A211" s="20">
        <v>46041</v>
      </c>
      <c r="B211">
        <v>1</v>
      </c>
      <c r="C211" t="s">
        <v>38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-3</v>
      </c>
      <c r="K211">
        <v>-6</v>
      </c>
      <c r="L211" s="21">
        <v>46061.632118055553</v>
      </c>
    </row>
    <row r="212" spans="1:12" x14ac:dyDescent="0.25">
      <c r="A212" s="20">
        <v>46042</v>
      </c>
      <c r="B212">
        <v>1</v>
      </c>
      <c r="C212" t="s">
        <v>38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-6</v>
      </c>
      <c r="K212">
        <v>-3</v>
      </c>
      <c r="L212" s="21">
        <v>46061.63212962963</v>
      </c>
    </row>
    <row r="213" spans="1:12" x14ac:dyDescent="0.25">
      <c r="A213" s="20">
        <v>46043</v>
      </c>
      <c r="B213">
        <v>1</v>
      </c>
      <c r="C213" t="s">
        <v>38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-3</v>
      </c>
      <c r="K213">
        <v>-5</v>
      </c>
      <c r="L213" s="21">
        <v>46061.632152777776</v>
      </c>
    </row>
    <row r="214" spans="1:12" x14ac:dyDescent="0.25">
      <c r="A214" s="20">
        <v>46044</v>
      </c>
      <c r="B214">
        <v>1</v>
      </c>
      <c r="C214" t="s">
        <v>38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-5</v>
      </c>
      <c r="K214">
        <v>-3</v>
      </c>
      <c r="L214" s="21">
        <v>46061.632175925923</v>
      </c>
    </row>
    <row r="215" spans="1:12" x14ac:dyDescent="0.25">
      <c r="A215" s="20">
        <v>46045</v>
      </c>
      <c r="B215">
        <v>1</v>
      </c>
      <c r="C215" t="s">
        <v>38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-3</v>
      </c>
      <c r="K215">
        <v>-3</v>
      </c>
      <c r="L215" s="21">
        <v>46061.632199074076</v>
      </c>
    </row>
    <row r="216" spans="1:12" x14ac:dyDescent="0.25">
      <c r="A216" s="20">
        <v>46046</v>
      </c>
      <c r="B216">
        <v>1</v>
      </c>
      <c r="C216" t="s">
        <v>38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-3</v>
      </c>
      <c r="K216">
        <v>-4</v>
      </c>
      <c r="L216" s="21">
        <v>46061.632222222222</v>
      </c>
    </row>
    <row r="217" spans="1:12" x14ac:dyDescent="0.25">
      <c r="A217" s="20">
        <v>46047</v>
      </c>
      <c r="B217">
        <v>1</v>
      </c>
      <c r="C217" t="s">
        <v>38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-4</v>
      </c>
      <c r="K217">
        <v>-7</v>
      </c>
      <c r="L217" s="21">
        <v>46061.632233796299</v>
      </c>
    </row>
    <row r="218" spans="1:12" x14ac:dyDescent="0.25">
      <c r="A218" s="20">
        <v>46048</v>
      </c>
      <c r="B218">
        <v>1</v>
      </c>
      <c r="C218" t="s">
        <v>38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-7</v>
      </c>
      <c r="K218">
        <v>-5</v>
      </c>
      <c r="L218" s="21">
        <v>46061.632245370369</v>
      </c>
    </row>
    <row r="219" spans="1:12" x14ac:dyDescent="0.25">
      <c r="A219" s="20">
        <v>46049</v>
      </c>
      <c r="B219">
        <v>1</v>
      </c>
      <c r="C219" t="s">
        <v>38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-5</v>
      </c>
      <c r="K219">
        <v>-3</v>
      </c>
      <c r="L219" s="21">
        <v>46061.632280092592</v>
      </c>
    </row>
    <row r="220" spans="1:12" x14ac:dyDescent="0.25">
      <c r="A220" s="20">
        <v>46050</v>
      </c>
      <c r="B220">
        <v>1</v>
      </c>
      <c r="C220" t="s">
        <v>38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-3</v>
      </c>
      <c r="K220">
        <v>-6</v>
      </c>
      <c r="L220" s="21">
        <v>46061.632291666669</v>
      </c>
    </row>
    <row r="221" spans="1:12" x14ac:dyDescent="0.25">
      <c r="A221" s="20">
        <v>46051</v>
      </c>
      <c r="B221">
        <v>1</v>
      </c>
      <c r="C221" t="s">
        <v>38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-6</v>
      </c>
      <c r="K221">
        <v>-5</v>
      </c>
      <c r="L221" s="21">
        <v>46061.632314814815</v>
      </c>
    </row>
    <row r="222" spans="1:12" x14ac:dyDescent="0.25">
      <c r="A222" s="20">
        <v>46052</v>
      </c>
      <c r="B222">
        <v>1</v>
      </c>
      <c r="C222" t="s">
        <v>38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-5</v>
      </c>
      <c r="K222">
        <v>-6</v>
      </c>
      <c r="L222" s="21">
        <v>46061.632337962961</v>
      </c>
    </row>
    <row r="223" spans="1:12" x14ac:dyDescent="0.25">
      <c r="A223" s="20">
        <v>46053</v>
      </c>
      <c r="B223">
        <v>1</v>
      </c>
      <c r="C223" t="s">
        <v>38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-6</v>
      </c>
      <c r="K223">
        <v>-8</v>
      </c>
      <c r="L223" s="21">
        <v>46061.633645833332</v>
      </c>
    </row>
    <row r="224" spans="1:12" x14ac:dyDescent="0.25">
      <c r="A224" s="20">
        <v>46056</v>
      </c>
      <c r="B224">
        <v>2</v>
      </c>
      <c r="C224" t="s">
        <v>38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-8</v>
      </c>
      <c r="K224">
        <v>-6</v>
      </c>
      <c r="L224" s="21">
        <v>46061.633657407408</v>
      </c>
    </row>
    <row r="225" spans="1:12" x14ac:dyDescent="0.25">
      <c r="A225" s="20">
        <v>46023</v>
      </c>
      <c r="B225">
        <v>1</v>
      </c>
      <c r="C225" t="s">
        <v>24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0</v>
      </c>
      <c r="K225">
        <v>0</v>
      </c>
      <c r="L225" s="21">
        <v>46061.632337962961</v>
      </c>
    </row>
    <row r="226" spans="1:12" x14ac:dyDescent="0.25">
      <c r="A226" s="20">
        <v>46024</v>
      </c>
      <c r="B226">
        <v>1</v>
      </c>
      <c r="C226" t="s">
        <v>24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-2</v>
      </c>
      <c r="L226" s="21">
        <v>46061.632349537038</v>
      </c>
    </row>
    <row r="227" spans="1:12" x14ac:dyDescent="0.25">
      <c r="A227" s="20">
        <v>46025</v>
      </c>
      <c r="B227">
        <v>1</v>
      </c>
      <c r="C227" t="s">
        <v>24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-2</v>
      </c>
      <c r="K227">
        <v>-2</v>
      </c>
      <c r="L227" s="21">
        <v>46061.632372685184</v>
      </c>
    </row>
    <row r="228" spans="1:12" x14ac:dyDescent="0.25">
      <c r="A228" s="20">
        <v>46026</v>
      </c>
      <c r="B228">
        <v>1</v>
      </c>
      <c r="C228" t="s">
        <v>24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-2</v>
      </c>
      <c r="K228">
        <v>-1</v>
      </c>
      <c r="L228" s="21">
        <v>46061.632384259261</v>
      </c>
    </row>
    <row r="229" spans="1:12" x14ac:dyDescent="0.25">
      <c r="A229" s="20">
        <v>46027</v>
      </c>
      <c r="B229">
        <v>1</v>
      </c>
      <c r="C229" t="s">
        <v>24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-1</v>
      </c>
      <c r="K229">
        <v>-3</v>
      </c>
      <c r="L229" s="21">
        <v>46061.632395833331</v>
      </c>
    </row>
    <row r="230" spans="1:12" x14ac:dyDescent="0.25">
      <c r="A230" s="20">
        <v>46028</v>
      </c>
      <c r="B230">
        <v>1</v>
      </c>
      <c r="C230" t="s">
        <v>24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-3</v>
      </c>
      <c r="K230">
        <v>-10</v>
      </c>
      <c r="L230" s="21">
        <v>46061.632407407407</v>
      </c>
    </row>
    <row r="231" spans="1:12" x14ac:dyDescent="0.25">
      <c r="A231" s="20">
        <v>46029</v>
      </c>
      <c r="B231">
        <v>1</v>
      </c>
      <c r="C231" t="s">
        <v>24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-10</v>
      </c>
      <c r="K231">
        <v>-11</v>
      </c>
      <c r="L231" s="21">
        <v>46061.632418981484</v>
      </c>
    </row>
    <row r="232" spans="1:12" x14ac:dyDescent="0.25">
      <c r="A232" s="20">
        <v>46030</v>
      </c>
      <c r="B232">
        <v>1</v>
      </c>
      <c r="C232" t="s">
        <v>24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-11</v>
      </c>
      <c r="K232">
        <v>-8</v>
      </c>
      <c r="L232" s="21">
        <v>46061.632430555554</v>
      </c>
    </row>
    <row r="233" spans="1:12" x14ac:dyDescent="0.25">
      <c r="A233" s="20">
        <v>46031</v>
      </c>
      <c r="B233">
        <v>1</v>
      </c>
      <c r="C233" t="s">
        <v>24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-8</v>
      </c>
      <c r="K233">
        <v>-8</v>
      </c>
      <c r="L233" s="21">
        <v>46061.63244212963</v>
      </c>
    </row>
    <row r="234" spans="1:12" x14ac:dyDescent="0.25">
      <c r="A234" s="20">
        <v>46032</v>
      </c>
      <c r="B234">
        <v>1</v>
      </c>
      <c r="C234" t="s">
        <v>24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-8</v>
      </c>
      <c r="K234">
        <v>-10</v>
      </c>
      <c r="L234" s="21">
        <v>46061.632453703707</v>
      </c>
    </row>
    <row r="235" spans="1:12" x14ac:dyDescent="0.25">
      <c r="A235" s="20">
        <v>46033</v>
      </c>
      <c r="B235">
        <v>1</v>
      </c>
      <c r="C235" t="s">
        <v>24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-10</v>
      </c>
      <c r="K235">
        <v>-8</v>
      </c>
      <c r="L235" s="21">
        <v>46061.632465277777</v>
      </c>
    </row>
    <row r="236" spans="1:12" x14ac:dyDescent="0.25">
      <c r="A236" s="20">
        <v>46034</v>
      </c>
      <c r="B236">
        <v>1</v>
      </c>
      <c r="C236" t="s">
        <v>24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-8</v>
      </c>
      <c r="K236">
        <v>-4</v>
      </c>
      <c r="L236" s="21">
        <v>46061.632476851853</v>
      </c>
    </row>
    <row r="237" spans="1:12" x14ac:dyDescent="0.25">
      <c r="A237" s="20">
        <v>46035</v>
      </c>
      <c r="B237">
        <v>1</v>
      </c>
      <c r="C237" t="s">
        <v>24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-4</v>
      </c>
      <c r="K237">
        <v>-2</v>
      </c>
      <c r="L237" s="21">
        <v>46061.632488425923</v>
      </c>
    </row>
    <row r="238" spans="1:12" x14ac:dyDescent="0.25">
      <c r="A238" s="20">
        <v>46036</v>
      </c>
      <c r="B238">
        <v>1</v>
      </c>
      <c r="C238" t="s">
        <v>24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-2</v>
      </c>
      <c r="K238">
        <v>-1</v>
      </c>
      <c r="L238" s="21">
        <v>46061.6325</v>
      </c>
    </row>
    <row r="239" spans="1:12" x14ac:dyDescent="0.25">
      <c r="A239" s="20">
        <v>46037</v>
      </c>
      <c r="B239">
        <v>1</v>
      </c>
      <c r="C239" t="s">
        <v>24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-1</v>
      </c>
      <c r="K239">
        <v>-1</v>
      </c>
      <c r="L239" s="21">
        <v>46061.632511574076</v>
      </c>
    </row>
    <row r="240" spans="1:12" x14ac:dyDescent="0.25">
      <c r="A240" s="20">
        <v>46038</v>
      </c>
      <c r="B240">
        <v>1</v>
      </c>
      <c r="C240" t="s">
        <v>24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-1</v>
      </c>
      <c r="K240">
        <v>-1</v>
      </c>
      <c r="L240" s="21">
        <v>46061.632534722223</v>
      </c>
    </row>
    <row r="241" spans="1:12" x14ac:dyDescent="0.25">
      <c r="A241" s="20">
        <v>46039</v>
      </c>
      <c r="B241">
        <v>1</v>
      </c>
      <c r="C241" t="s">
        <v>24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-1</v>
      </c>
      <c r="K241">
        <v>-1</v>
      </c>
      <c r="L241" s="21">
        <v>46061.632557870369</v>
      </c>
    </row>
    <row r="242" spans="1:12" x14ac:dyDescent="0.25">
      <c r="A242" s="20">
        <v>46040</v>
      </c>
      <c r="B242">
        <v>1</v>
      </c>
      <c r="C242" t="s">
        <v>24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-1</v>
      </c>
      <c r="K242">
        <v>-2</v>
      </c>
      <c r="L242" s="21">
        <v>46061.632557870369</v>
      </c>
    </row>
    <row r="243" spans="1:12" x14ac:dyDescent="0.25">
      <c r="A243" s="20">
        <v>46041</v>
      </c>
      <c r="B243">
        <v>1</v>
      </c>
      <c r="C243" t="s">
        <v>24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-2</v>
      </c>
      <c r="K243">
        <v>-6</v>
      </c>
      <c r="L243" s="21">
        <v>46061.632581018515</v>
      </c>
    </row>
    <row r="244" spans="1:12" x14ac:dyDescent="0.25">
      <c r="A244" s="20">
        <v>46042</v>
      </c>
      <c r="B244">
        <v>1</v>
      </c>
      <c r="C244" t="s">
        <v>24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-6</v>
      </c>
      <c r="K244">
        <v>-5</v>
      </c>
      <c r="L244" s="21">
        <v>46061.632604166669</v>
      </c>
    </row>
    <row r="245" spans="1:12" x14ac:dyDescent="0.25">
      <c r="A245" s="20">
        <v>46043</v>
      </c>
      <c r="B245">
        <v>1</v>
      </c>
      <c r="C245" t="s">
        <v>24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-5</v>
      </c>
      <c r="K245">
        <v>-3</v>
      </c>
      <c r="L245" s="21">
        <v>46061.632615740738</v>
      </c>
    </row>
    <row r="246" spans="1:12" x14ac:dyDescent="0.25">
      <c r="A246" s="20">
        <v>46044</v>
      </c>
      <c r="B246">
        <v>1</v>
      </c>
      <c r="C246" t="s">
        <v>24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-3</v>
      </c>
      <c r="K246">
        <v>-2</v>
      </c>
      <c r="L246" s="21">
        <v>46061.632627314815</v>
      </c>
    </row>
    <row r="247" spans="1:12" x14ac:dyDescent="0.25">
      <c r="A247" s="20">
        <v>46045</v>
      </c>
      <c r="B247">
        <v>1</v>
      </c>
      <c r="C247" t="s">
        <v>24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-2</v>
      </c>
      <c r="K247">
        <v>-2</v>
      </c>
      <c r="L247" s="21">
        <v>46061.632662037038</v>
      </c>
    </row>
    <row r="248" spans="1:12" x14ac:dyDescent="0.25">
      <c r="A248" s="20">
        <v>46046</v>
      </c>
      <c r="B248">
        <v>1</v>
      </c>
      <c r="C248" t="s">
        <v>24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-2</v>
      </c>
      <c r="K248">
        <v>1</v>
      </c>
      <c r="L248" s="21">
        <v>46061.632673611108</v>
      </c>
    </row>
    <row r="249" spans="1:12" x14ac:dyDescent="0.25">
      <c r="A249" s="20">
        <v>46047</v>
      </c>
      <c r="B249">
        <v>1</v>
      </c>
      <c r="C249" t="s">
        <v>24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1</v>
      </c>
      <c r="K249">
        <v>0</v>
      </c>
      <c r="L249" s="21">
        <v>46061.632719907408</v>
      </c>
    </row>
    <row r="250" spans="1:12" x14ac:dyDescent="0.25">
      <c r="A250" s="20">
        <v>46048</v>
      </c>
      <c r="B250">
        <v>1</v>
      </c>
      <c r="C250" t="s">
        <v>24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-3</v>
      </c>
      <c r="L250" s="21">
        <v>46061.632719907408</v>
      </c>
    </row>
    <row r="251" spans="1:12" x14ac:dyDescent="0.25">
      <c r="A251" s="20">
        <v>46049</v>
      </c>
      <c r="B251">
        <v>1</v>
      </c>
      <c r="C251" t="s">
        <v>24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-3</v>
      </c>
      <c r="K251">
        <v>-5</v>
      </c>
      <c r="L251" s="21">
        <v>46061.632743055554</v>
      </c>
    </row>
    <row r="252" spans="1:12" x14ac:dyDescent="0.25">
      <c r="A252" s="20">
        <v>46050</v>
      </c>
      <c r="B252">
        <v>1</v>
      </c>
      <c r="C252" t="s">
        <v>24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-5</v>
      </c>
      <c r="K252">
        <v>0</v>
      </c>
      <c r="L252" s="21">
        <v>46061.6327662037</v>
      </c>
    </row>
    <row r="253" spans="1:12" x14ac:dyDescent="0.25">
      <c r="A253" s="20">
        <v>46051</v>
      </c>
      <c r="B253">
        <v>1</v>
      </c>
      <c r="C253" t="s">
        <v>24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-5</v>
      </c>
      <c r="L253" s="21">
        <v>46061.632777777777</v>
      </c>
    </row>
    <row r="254" spans="1:12" x14ac:dyDescent="0.25">
      <c r="A254" s="20">
        <v>46052</v>
      </c>
      <c r="B254">
        <v>1</v>
      </c>
      <c r="C254" t="s">
        <v>24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-5</v>
      </c>
      <c r="K254">
        <v>-11</v>
      </c>
      <c r="L254" s="21">
        <v>46061.632789351854</v>
      </c>
    </row>
    <row r="255" spans="1:12" x14ac:dyDescent="0.25">
      <c r="A255" s="20">
        <v>46053</v>
      </c>
      <c r="B255">
        <v>1</v>
      </c>
      <c r="C255" t="s">
        <v>24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-11</v>
      </c>
      <c r="K255">
        <v>-6</v>
      </c>
      <c r="L255" s="21">
        <v>46061.6328125</v>
      </c>
    </row>
    <row r="256" spans="1:12" x14ac:dyDescent="0.25">
      <c r="A256" s="20">
        <v>46054</v>
      </c>
      <c r="B256">
        <v>2</v>
      </c>
      <c r="C256" t="s">
        <v>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-6</v>
      </c>
      <c r="K256">
        <v>-6</v>
      </c>
      <c r="L256" s="21">
        <v>46061.6328125</v>
      </c>
    </row>
    <row r="257" spans="1:12" x14ac:dyDescent="0.25">
      <c r="A257" s="20">
        <v>46056</v>
      </c>
      <c r="B257">
        <v>2</v>
      </c>
      <c r="C257" t="s">
        <v>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-6</v>
      </c>
      <c r="K257">
        <v>-6</v>
      </c>
      <c r="L257" s="21">
        <v>46061.632835648146</v>
      </c>
    </row>
    <row r="258" spans="1:12" x14ac:dyDescent="0.25">
      <c r="A258" s="20">
        <v>46057</v>
      </c>
      <c r="B258">
        <v>2</v>
      </c>
      <c r="C258" t="s">
        <v>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-6</v>
      </c>
      <c r="K258">
        <v>-6</v>
      </c>
      <c r="L258" s="21">
        <v>46061.632847222223</v>
      </c>
    </row>
    <row r="259" spans="1:12" x14ac:dyDescent="0.25">
      <c r="A259" s="20">
        <v>46058</v>
      </c>
      <c r="B259">
        <v>2</v>
      </c>
      <c r="C259" t="s">
        <v>24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-6</v>
      </c>
      <c r="K259">
        <v>-8</v>
      </c>
      <c r="L259" s="21">
        <v>46061.6328587963</v>
      </c>
    </row>
    <row r="260" spans="1:12" x14ac:dyDescent="0.25">
      <c r="A260" s="20">
        <v>46059</v>
      </c>
      <c r="B260">
        <v>2</v>
      </c>
      <c r="C260" t="s">
        <v>24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-8</v>
      </c>
      <c r="K260">
        <v>-15</v>
      </c>
      <c r="L260" s="21">
        <v>46061.632893518516</v>
      </c>
    </row>
    <row r="261" spans="1:12" x14ac:dyDescent="0.25">
      <c r="A261" s="20">
        <v>46060</v>
      </c>
      <c r="B261">
        <v>2</v>
      </c>
      <c r="C261" t="s">
        <v>24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-15</v>
      </c>
      <c r="K261">
        <v>-16</v>
      </c>
      <c r="L261" s="21">
        <v>46061.632905092592</v>
      </c>
    </row>
    <row r="262" spans="1:12" x14ac:dyDescent="0.25">
      <c r="A262" s="20">
        <v>46061</v>
      </c>
      <c r="B262">
        <v>2</v>
      </c>
      <c r="C262" t="s">
        <v>24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-16</v>
      </c>
      <c r="K262">
        <v>-13</v>
      </c>
      <c r="L262" s="21">
        <v>46061.632928240739</v>
      </c>
    </row>
    <row r="263" spans="1:12" x14ac:dyDescent="0.25">
      <c r="A263" s="20">
        <v>46062</v>
      </c>
      <c r="B263">
        <v>2</v>
      </c>
      <c r="C263" t="s">
        <v>24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-13</v>
      </c>
      <c r="K263">
        <v>-13</v>
      </c>
      <c r="L263" s="21">
        <v>46061.632951388892</v>
      </c>
    </row>
    <row r="264" spans="1:12" x14ac:dyDescent="0.25">
      <c r="A264" s="20">
        <v>46063</v>
      </c>
      <c r="B264">
        <v>2</v>
      </c>
      <c r="C264" t="s">
        <v>24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-13</v>
      </c>
      <c r="K264">
        <v>-15</v>
      </c>
      <c r="L264" s="21">
        <v>46061.632962962962</v>
      </c>
    </row>
    <row r="265" spans="1:12" x14ac:dyDescent="0.25">
      <c r="A265" s="20">
        <v>46064</v>
      </c>
      <c r="B265">
        <v>2</v>
      </c>
      <c r="C265" t="s">
        <v>24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-15</v>
      </c>
      <c r="K265">
        <v>-13</v>
      </c>
      <c r="L265" s="21">
        <v>46061.632974537039</v>
      </c>
    </row>
    <row r="266" spans="1:12" x14ac:dyDescent="0.25">
      <c r="A266" s="20">
        <v>46065</v>
      </c>
      <c r="B266">
        <v>2</v>
      </c>
      <c r="C266" t="s">
        <v>24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-13</v>
      </c>
      <c r="K266">
        <v>-9</v>
      </c>
      <c r="L266" s="21">
        <v>46061.632997685185</v>
      </c>
    </row>
    <row r="267" spans="1:12" x14ac:dyDescent="0.25">
      <c r="A267" s="20">
        <v>46066</v>
      </c>
      <c r="B267">
        <v>2</v>
      </c>
      <c r="C267" t="s">
        <v>24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-9</v>
      </c>
      <c r="K267">
        <v>-7</v>
      </c>
      <c r="L267" s="21">
        <v>46061.633009259262</v>
      </c>
    </row>
    <row r="268" spans="1:12" x14ac:dyDescent="0.25">
      <c r="A268" s="20">
        <v>46067</v>
      </c>
      <c r="B268">
        <v>2</v>
      </c>
      <c r="C268" t="s">
        <v>24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-7</v>
      </c>
      <c r="K268">
        <v>-6</v>
      </c>
      <c r="L268" s="21">
        <v>46061.633020833331</v>
      </c>
    </row>
    <row r="269" spans="1:12" x14ac:dyDescent="0.25">
      <c r="A269" s="20">
        <v>46068</v>
      </c>
      <c r="B269">
        <v>2</v>
      </c>
      <c r="C269" t="s">
        <v>24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-6</v>
      </c>
      <c r="K269">
        <v>-6</v>
      </c>
      <c r="L269" s="21">
        <v>46061.633055555554</v>
      </c>
    </row>
    <row r="270" spans="1:12" x14ac:dyDescent="0.25">
      <c r="A270" s="20">
        <v>46069</v>
      </c>
      <c r="B270">
        <v>2</v>
      </c>
      <c r="C270" t="s">
        <v>24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-6</v>
      </c>
      <c r="K270">
        <v>-6</v>
      </c>
      <c r="L270" s="21">
        <v>46061.633067129631</v>
      </c>
    </row>
    <row r="271" spans="1:12" x14ac:dyDescent="0.25">
      <c r="A271" s="20">
        <v>46070</v>
      </c>
      <c r="B271">
        <v>2</v>
      </c>
      <c r="C271" t="s">
        <v>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-6</v>
      </c>
      <c r="K271">
        <v>-6</v>
      </c>
      <c r="L271" s="21">
        <v>46061.6330787037</v>
      </c>
    </row>
    <row r="272" spans="1:12" x14ac:dyDescent="0.25">
      <c r="A272" s="20">
        <v>46023</v>
      </c>
      <c r="B272">
        <v>1</v>
      </c>
      <c r="C272" t="s">
        <v>36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-2</v>
      </c>
      <c r="L272" s="21">
        <v>46061.633101851854</v>
      </c>
    </row>
    <row r="273" spans="1:12" x14ac:dyDescent="0.25">
      <c r="A273" s="20">
        <v>46024</v>
      </c>
      <c r="B273">
        <v>1</v>
      </c>
      <c r="C273" t="s">
        <v>36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-2</v>
      </c>
      <c r="K273">
        <v>-4</v>
      </c>
      <c r="L273" s="21">
        <v>46061.633101851854</v>
      </c>
    </row>
    <row r="274" spans="1:12" x14ac:dyDescent="0.25">
      <c r="A274" s="20">
        <v>46025</v>
      </c>
      <c r="B274">
        <v>1</v>
      </c>
      <c r="C274" t="s">
        <v>36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-4</v>
      </c>
      <c r="K274">
        <v>-5</v>
      </c>
      <c r="L274" s="21">
        <v>46061.633136574077</v>
      </c>
    </row>
    <row r="275" spans="1:12" x14ac:dyDescent="0.25">
      <c r="A275" s="20">
        <v>46026</v>
      </c>
      <c r="B275">
        <v>1</v>
      </c>
      <c r="C275" t="s">
        <v>36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-5</v>
      </c>
      <c r="K275">
        <v>-6</v>
      </c>
      <c r="L275" s="21">
        <v>46061.633148148147</v>
      </c>
    </row>
    <row r="276" spans="1:12" x14ac:dyDescent="0.25">
      <c r="A276" s="20">
        <v>46027</v>
      </c>
      <c r="B276">
        <v>1</v>
      </c>
      <c r="C276" t="s">
        <v>36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-6</v>
      </c>
      <c r="K276">
        <v>-5</v>
      </c>
      <c r="L276" s="21">
        <v>46061.633159722223</v>
      </c>
    </row>
    <row r="277" spans="1:12" x14ac:dyDescent="0.25">
      <c r="A277" s="20">
        <v>46028</v>
      </c>
      <c r="B277">
        <v>1</v>
      </c>
      <c r="C277" t="s">
        <v>36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-5</v>
      </c>
      <c r="K277">
        <v>-1</v>
      </c>
      <c r="L277" s="21">
        <v>46061.633171296293</v>
      </c>
    </row>
    <row r="278" spans="1:12" x14ac:dyDescent="0.25">
      <c r="A278" s="20">
        <v>46029</v>
      </c>
      <c r="B278">
        <v>1</v>
      </c>
      <c r="C278" t="s">
        <v>36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-1</v>
      </c>
      <c r="K278">
        <v>1</v>
      </c>
      <c r="L278" s="21">
        <v>46061.633206018516</v>
      </c>
    </row>
    <row r="279" spans="1:12" x14ac:dyDescent="0.25">
      <c r="A279" s="20">
        <v>46030</v>
      </c>
      <c r="B279">
        <v>1</v>
      </c>
      <c r="C279" t="s">
        <v>36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2</v>
      </c>
      <c r="L279" s="21">
        <v>46061.633217592593</v>
      </c>
    </row>
    <row r="280" spans="1:12" x14ac:dyDescent="0.25">
      <c r="A280" s="20">
        <v>46031</v>
      </c>
      <c r="B280">
        <v>1</v>
      </c>
      <c r="C280" t="s">
        <v>36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2</v>
      </c>
      <c r="K280">
        <v>4</v>
      </c>
      <c r="L280" s="21">
        <v>46061.633229166669</v>
      </c>
    </row>
    <row r="281" spans="1:12" x14ac:dyDescent="0.25">
      <c r="A281" s="20">
        <v>46032</v>
      </c>
      <c r="B281">
        <v>1</v>
      </c>
      <c r="C281" t="s">
        <v>36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4</v>
      </c>
      <c r="K281">
        <v>4</v>
      </c>
      <c r="L281" s="21">
        <v>46061.633252314816</v>
      </c>
    </row>
    <row r="282" spans="1:12" x14ac:dyDescent="0.25">
      <c r="A282" s="20">
        <v>46033</v>
      </c>
      <c r="B282">
        <v>1</v>
      </c>
      <c r="C282" t="s">
        <v>36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4</v>
      </c>
      <c r="K282">
        <v>4</v>
      </c>
      <c r="L282" s="21">
        <v>46061.633263888885</v>
      </c>
    </row>
    <row r="283" spans="1:12" x14ac:dyDescent="0.25">
      <c r="A283" s="20">
        <v>46034</v>
      </c>
      <c r="B283">
        <v>1</v>
      </c>
      <c r="C283" t="s">
        <v>36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4</v>
      </c>
      <c r="K283">
        <v>8</v>
      </c>
      <c r="L283" s="21">
        <v>46061.633287037039</v>
      </c>
    </row>
    <row r="284" spans="1:12" x14ac:dyDescent="0.25">
      <c r="A284" s="20">
        <v>46035</v>
      </c>
      <c r="B284">
        <v>1</v>
      </c>
      <c r="C284" t="s">
        <v>36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8</v>
      </c>
      <c r="K284">
        <v>8</v>
      </c>
      <c r="L284" s="21">
        <v>46061.633298611108</v>
      </c>
    </row>
    <row r="285" spans="1:12" x14ac:dyDescent="0.25">
      <c r="A285" s="20">
        <v>46036</v>
      </c>
      <c r="B285">
        <v>1</v>
      </c>
      <c r="C285" t="s">
        <v>36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8</v>
      </c>
      <c r="K285">
        <v>6</v>
      </c>
      <c r="L285" s="21">
        <v>46061.633310185185</v>
      </c>
    </row>
    <row r="286" spans="1:12" x14ac:dyDescent="0.25">
      <c r="A286" s="20">
        <v>46037</v>
      </c>
      <c r="B286">
        <v>1</v>
      </c>
      <c r="C286" t="s">
        <v>36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6</v>
      </c>
      <c r="K286">
        <v>3</v>
      </c>
      <c r="L286" s="21">
        <v>46061.633333333331</v>
      </c>
    </row>
    <row r="287" spans="1:12" x14ac:dyDescent="0.25">
      <c r="A287" s="20">
        <v>46038</v>
      </c>
      <c r="B287">
        <v>1</v>
      </c>
      <c r="C287" t="s">
        <v>36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3</v>
      </c>
      <c r="K287">
        <v>-1</v>
      </c>
      <c r="L287" s="21">
        <v>46061.633356481485</v>
      </c>
    </row>
    <row r="288" spans="1:12" x14ac:dyDescent="0.25">
      <c r="A288" s="20">
        <v>46039</v>
      </c>
      <c r="B288">
        <v>1</v>
      </c>
      <c r="C288" t="s">
        <v>36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-1</v>
      </c>
      <c r="K288">
        <v>0</v>
      </c>
      <c r="L288" s="21">
        <v>46061.633368055554</v>
      </c>
    </row>
    <row r="289" spans="1:12" x14ac:dyDescent="0.25">
      <c r="A289" s="20">
        <v>46040</v>
      </c>
      <c r="B289">
        <v>1</v>
      </c>
      <c r="C289" t="s">
        <v>36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1</v>
      </c>
      <c r="L289" s="21">
        <v>46061.633391203701</v>
      </c>
    </row>
    <row r="290" spans="1:12" x14ac:dyDescent="0.25">
      <c r="A290" s="20">
        <v>46041</v>
      </c>
      <c r="B290">
        <v>1</v>
      </c>
      <c r="C290" t="s">
        <v>36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2</v>
      </c>
      <c r="L290" s="21">
        <v>46061.633402777778</v>
      </c>
    </row>
    <row r="291" spans="1:12" x14ac:dyDescent="0.25">
      <c r="A291" s="20">
        <v>46042</v>
      </c>
      <c r="B291">
        <v>1</v>
      </c>
      <c r="C291" t="s">
        <v>36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2</v>
      </c>
      <c r="K291">
        <v>0</v>
      </c>
      <c r="L291" s="21">
        <v>46061.633414351854</v>
      </c>
    </row>
    <row r="292" spans="1:12" x14ac:dyDescent="0.25">
      <c r="A292" s="20">
        <v>46043</v>
      </c>
      <c r="B292">
        <v>1</v>
      </c>
      <c r="C292" t="s">
        <v>36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-2</v>
      </c>
      <c r="L292" s="21">
        <v>46061.633437500001</v>
      </c>
    </row>
    <row r="293" spans="1:12" x14ac:dyDescent="0.25">
      <c r="A293" s="20">
        <v>46044</v>
      </c>
      <c r="B293">
        <v>1</v>
      </c>
      <c r="C293" t="s">
        <v>36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-2</v>
      </c>
      <c r="K293">
        <v>1</v>
      </c>
      <c r="L293" s="21">
        <v>46061.633460648147</v>
      </c>
    </row>
    <row r="294" spans="1:12" x14ac:dyDescent="0.25">
      <c r="A294" s="20">
        <v>46045</v>
      </c>
      <c r="B294">
        <v>1</v>
      </c>
      <c r="C294" t="s">
        <v>36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 s="21">
        <v>46061.633460648147</v>
      </c>
    </row>
    <row r="295" spans="1:12" x14ac:dyDescent="0.25">
      <c r="A295" s="20">
        <v>46046</v>
      </c>
      <c r="B295">
        <v>1</v>
      </c>
      <c r="C295" t="s">
        <v>36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-3</v>
      </c>
      <c r="L295" s="21">
        <v>46061.633472222224</v>
      </c>
    </row>
    <row r="296" spans="1:12" x14ac:dyDescent="0.25">
      <c r="A296" s="20">
        <v>46047</v>
      </c>
      <c r="B296">
        <v>1</v>
      </c>
      <c r="C296" t="s">
        <v>36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-3</v>
      </c>
      <c r="K296">
        <v>-4</v>
      </c>
      <c r="L296" s="21">
        <v>46061.63349537037</v>
      </c>
    </row>
    <row r="297" spans="1:12" x14ac:dyDescent="0.25">
      <c r="A297" s="20">
        <v>46048</v>
      </c>
      <c r="B297">
        <v>1</v>
      </c>
      <c r="C297" t="s">
        <v>36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-4</v>
      </c>
      <c r="K297">
        <v>-4</v>
      </c>
      <c r="L297" s="21">
        <v>46061.633506944447</v>
      </c>
    </row>
    <row r="298" spans="1:12" x14ac:dyDescent="0.25">
      <c r="A298" s="20">
        <v>46049</v>
      </c>
      <c r="B298">
        <v>1</v>
      </c>
      <c r="C298" t="s">
        <v>36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-4</v>
      </c>
      <c r="K298">
        <v>-4</v>
      </c>
      <c r="L298" s="21">
        <v>46061.633506944447</v>
      </c>
    </row>
    <row r="299" spans="1:12" x14ac:dyDescent="0.25">
      <c r="A299" s="20">
        <v>46050</v>
      </c>
      <c r="B299">
        <v>1</v>
      </c>
      <c r="C299" t="s">
        <v>36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-4</v>
      </c>
      <c r="K299">
        <v>-5</v>
      </c>
      <c r="L299" s="21">
        <v>46061.63354166667</v>
      </c>
    </row>
    <row r="300" spans="1:12" x14ac:dyDescent="0.25">
      <c r="A300" s="20">
        <v>46051</v>
      </c>
      <c r="B300">
        <v>1</v>
      </c>
      <c r="C300" t="s">
        <v>36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-5</v>
      </c>
      <c r="K300">
        <v>-8</v>
      </c>
      <c r="L300" s="21">
        <v>46061.633553240739</v>
      </c>
    </row>
    <row r="301" spans="1:12" x14ac:dyDescent="0.25">
      <c r="A301" s="20">
        <v>46052</v>
      </c>
      <c r="B301">
        <v>1</v>
      </c>
      <c r="C301" t="s">
        <v>36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-8</v>
      </c>
      <c r="K301">
        <v>-7</v>
      </c>
      <c r="L301" s="21">
        <v>46061.633564814816</v>
      </c>
    </row>
    <row r="302" spans="1:12" x14ac:dyDescent="0.25">
      <c r="A302" s="20">
        <v>46053</v>
      </c>
      <c r="B302">
        <v>1</v>
      </c>
      <c r="C302" t="s">
        <v>36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-7</v>
      </c>
      <c r="K302">
        <v>-7</v>
      </c>
      <c r="L302" s="21">
        <v>46061.633599537039</v>
      </c>
    </row>
    <row r="303" spans="1:12" x14ac:dyDescent="0.25">
      <c r="A303" s="20">
        <v>46056</v>
      </c>
      <c r="B303">
        <v>2</v>
      </c>
      <c r="C303" t="s">
        <v>36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-7</v>
      </c>
      <c r="K303">
        <v>-9</v>
      </c>
      <c r="L303" s="21">
        <v>46061.633611111109</v>
      </c>
    </row>
    <row r="304" spans="1:12" x14ac:dyDescent="0.25">
      <c r="A304" s="20">
        <v>46057</v>
      </c>
      <c r="B304">
        <v>2</v>
      </c>
      <c r="C304" t="s">
        <v>36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-9</v>
      </c>
      <c r="K304">
        <v>-11</v>
      </c>
      <c r="L304" s="21">
        <v>46061.633611111109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69</v>
      </c>
      <c r="B1" t="s">
        <v>70</v>
      </c>
      <c r="C1" t="s">
        <v>59</v>
      </c>
      <c r="D1" t="s">
        <v>18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68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77</v>
      </c>
      <c r="B1" t="s">
        <v>78</v>
      </c>
      <c r="C1" t="s">
        <v>59</v>
      </c>
      <c r="D1" t="s">
        <v>18</v>
      </c>
      <c r="E1" t="s">
        <v>79</v>
      </c>
      <c r="F1" t="s">
        <v>80</v>
      </c>
      <c r="G1" t="s">
        <v>73</v>
      </c>
      <c r="H1" t="s">
        <v>74</v>
      </c>
      <c r="I1" t="s">
        <v>75</v>
      </c>
      <c r="J1" t="s">
        <v>76</v>
      </c>
      <c r="K1" t="s">
        <v>81</v>
      </c>
      <c r="L1" t="s">
        <v>82</v>
      </c>
      <c r="M1" t="s">
        <v>68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83</v>
      </c>
      <c r="B1" t="s">
        <v>84</v>
      </c>
      <c r="C1" t="s">
        <v>59</v>
      </c>
      <c r="D1" t="s">
        <v>85</v>
      </c>
      <c r="E1" t="s">
        <v>86</v>
      </c>
      <c r="F1" t="s">
        <v>71</v>
      </c>
      <c r="G1" t="s">
        <v>72</v>
      </c>
      <c r="H1" t="s">
        <v>68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89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IFERROR(INDEX(tblWardConfig[PrevYearRemaining],MATCH("MW",tblWardConfig[WardCode],0)),0)</f>
        <v>25</v>
      </c>
    </row>
    <row r="5" spans="1:8" x14ac:dyDescent="0.25">
      <c r="A5" s="1" t="s">
        <v>92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-2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-2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-1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-3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-10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-11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-8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-8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-10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-8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-4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-2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-1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-1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-2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-3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-2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1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-3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-5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-5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-11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-6</v>
      </c>
    </row>
    <row r="38" spans="1:8" x14ac:dyDescent="0.25">
      <c r="A38" s="9" t="s">
        <v>98</v>
      </c>
      <c r="B38" s="9">
        <f>SUMIFS(tblDaily[Admissions],tblDaily[Month],1,tblDaily[WardCode],"MW")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-122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89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IFERROR(SUMIFS(tblDaily[Remaining],tblDaily[EntryDate],DATE(2026,1,31),tblDaily[WardCode],"MW"),0)</f>
        <v>-6</v>
      </c>
    </row>
    <row r="44" spans="1:8" x14ac:dyDescent="0.25">
      <c r="A44" s="1" t="s">
        <v>92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-6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-6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-8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-15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-16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-13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-13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-15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-13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-9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-7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-6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-6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-6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-6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-151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89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92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98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89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92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89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92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98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89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92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89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92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98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89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92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98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89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92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89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92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98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89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92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89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92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98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99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IFERROR(INDEX(tblWardConfig[PrevYearRemaining],MATCH("FW",tblWardConfig[WardCode],0)),0)</f>
        <v>16</v>
      </c>
    </row>
    <row r="5" spans="1:8" x14ac:dyDescent="0.25">
      <c r="A5" s="1" t="s">
        <v>92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3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7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7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4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7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7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-1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-1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-2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-6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-5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-2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-4</v>
      </c>
    </row>
    <row r="38" spans="1:8" x14ac:dyDescent="0.25">
      <c r="A38" s="9" t="s">
        <v>98</v>
      </c>
      <c r="B38" s="9">
        <f>SUMIFS(tblDaily[Admissions],tblDaily[Month],1,tblDaily[WardCode],"FW")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29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99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IFERROR(SUMIFS(tblDaily[Remaining],tblDaily[EntryDate],DATE(2026,1,31),tblDaily[WardCode],"FW"),0)</f>
        <v>-4</v>
      </c>
    </row>
    <row r="44" spans="1:8" x14ac:dyDescent="0.25">
      <c r="A44" s="1" t="s">
        <v>92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-1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-2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99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92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98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99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92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99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92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98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99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92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99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92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98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99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92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98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99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92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99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92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98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99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92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99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92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98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100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IFERROR(INDEX(tblWardConfig[PrevYearRemaining],MATCH("CW",tblWardConfig[WardCode],0)),0)</f>
        <v>7</v>
      </c>
    </row>
    <row r="5" spans="1:8" x14ac:dyDescent="0.25">
      <c r="A5" s="1" t="s">
        <v>92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-2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3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3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2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2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5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5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10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10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12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2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-1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-1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1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5</v>
      </c>
    </row>
    <row r="38" spans="1:8" x14ac:dyDescent="0.25">
      <c r="A38" s="9" t="s">
        <v>98</v>
      </c>
      <c r="B38" s="9">
        <f>SUMIFS(tblDaily[Admissions],tblDaily[Month],1,tblDaily[WardCode],"CW")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80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100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IFERROR(SUMIFS(tblDaily[Remaining],tblDaily[EntryDate],DATE(2026,1,31),tblDaily[WardCode],"CW"),0)</f>
        <v>5</v>
      </c>
    </row>
    <row r="44" spans="1:8" x14ac:dyDescent="0.25">
      <c r="A44" s="1" t="s">
        <v>92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5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5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100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92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98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100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92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100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92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98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100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92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100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92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98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100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92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98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100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92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100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92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98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100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92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100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92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98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101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IFERROR(INDEX(tblWardConfig[PrevYearRemaining],MATCH("BF",tblWardConfig[WardCode],0)),0)</f>
        <v>9</v>
      </c>
    </row>
    <row r="5" spans="1:8" x14ac:dyDescent="0.25">
      <c r="A5" s="1" t="s">
        <v>92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4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-1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-3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-4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-3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-5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-3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-5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-3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-2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-2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-5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-3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-2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-4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-6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-2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-5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-7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-3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-1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-4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-4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-3</v>
      </c>
    </row>
    <row r="38" spans="1:8" x14ac:dyDescent="0.25">
      <c r="A38" s="9" t="s">
        <v>98</v>
      </c>
      <c r="B38" s="9">
        <f>SUMIFS(tblDaily[Admissions],tblDaily[Month],1,tblDaily[WardCode],"BF")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-78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101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IFERROR(SUMIFS(tblDaily[Remaining],tblDaily[EntryDate],DATE(2026,1,31),tblDaily[WardCode],"BF"),0)</f>
        <v>-3</v>
      </c>
    </row>
    <row r="44" spans="1:8" x14ac:dyDescent="0.25">
      <c r="A44" s="1" t="s">
        <v>92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-1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101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92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98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101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92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101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92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98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101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92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101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92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98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101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92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98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101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92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101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92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98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101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92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101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92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98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102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IFERROR(INDEX(tblWardConfig[PrevYearRemaining],MATCH("BG",tblWardConfig[WardCode],0)),0)</f>
        <v>9</v>
      </c>
    </row>
    <row r="5" spans="1:8" x14ac:dyDescent="0.25">
      <c r="A5" s="1" t="s">
        <v>92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-3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6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5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3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-1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7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8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4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-2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3</v>
      </c>
    </row>
    <row r="38" spans="1:8" x14ac:dyDescent="0.25">
      <c r="A38" s="9" t="s">
        <v>98</v>
      </c>
      <c r="B38" s="9">
        <f>SUMIFS(tblDaily[Admissions],tblDaily[Month],1,tblDaily[WardCode],"BG")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63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102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IFERROR(SUMIFS(tblDaily[Remaining],tblDaily[EntryDate],DATE(2026,1,31),tblDaily[WardCode],"BG"),0)</f>
        <v>3</v>
      </c>
    </row>
    <row r="44" spans="1:8" x14ac:dyDescent="0.25">
      <c r="A44" s="1" t="s">
        <v>92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3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3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102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92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98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102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92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102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92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98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102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92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102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92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98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102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92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98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102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92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102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92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98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102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92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102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92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98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103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IFERROR(INDEX(tblWardConfig[PrevYearRemaining],MATCH("BH",tblWardConfig[WardCode],0)),0)</f>
        <v>12</v>
      </c>
    </row>
    <row r="5" spans="1:8" x14ac:dyDescent="0.25">
      <c r="A5" s="1" t="s">
        <v>92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2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-2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6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8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6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7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-4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-4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-4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-7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-6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-6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-6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-9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-6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-2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3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-5</v>
      </c>
    </row>
    <row r="38" spans="1:8" x14ac:dyDescent="0.25">
      <c r="A38" s="9" t="s">
        <v>98</v>
      </c>
      <c r="B38" s="9">
        <f>SUMIFS(tblDaily[Admissions],tblDaily[Month],1,tblDaily[WardCode],"BH")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-3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103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IFERROR(SUMIFS(tblDaily[Remaining],tblDaily[EntryDate],DATE(2026,1,31),tblDaily[WardCode],"BH"),0)</f>
        <v>-5</v>
      </c>
    </row>
    <row r="44" spans="1:8" x14ac:dyDescent="0.25">
      <c r="A44" s="1" t="s">
        <v>92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-5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-5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103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92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98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103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92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103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92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98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103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92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103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92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98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103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92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98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103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92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103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92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98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103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92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103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92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98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104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IFERROR(INDEX(tblWardConfig[PrevYearRemaining],MATCH("NICU",tblWardConfig[WardCode],0)),0)</f>
        <v>14</v>
      </c>
    </row>
    <row r="5" spans="1:8" x14ac:dyDescent="0.25">
      <c r="A5" s="1" t="s">
        <v>92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-4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-5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-6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-5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-1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2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8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8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6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3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-3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-4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-4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-4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-5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-8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-7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-7</v>
      </c>
    </row>
    <row r="38" spans="1:8" x14ac:dyDescent="0.25">
      <c r="A38" s="9" t="s">
        <v>98</v>
      </c>
      <c r="B38" s="9">
        <f>SUMIFS(tblDaily[Admissions],tblDaily[Month],1,tblDaily[WardCode],"NICU")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-24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104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IFERROR(SUMIFS(tblDaily[Remaining],tblDaily[EntryDate],DATE(2026,1,31),tblDaily[WardCode],"NICU"),0)</f>
        <v>-7</v>
      </c>
    </row>
    <row r="44" spans="1:8" x14ac:dyDescent="0.25">
      <c r="A44" s="1" t="s">
        <v>92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-9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-11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-20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104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92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98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104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92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104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92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98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104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92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104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92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98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104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92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98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104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92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104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92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98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104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92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104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92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98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105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IFERROR(INDEX(tblWardConfig[PrevYearRemaining],MATCH("MAE",tblWardConfig[WardCode],0)),0)</f>
        <v>9</v>
      </c>
    </row>
    <row r="5" spans="1:8" x14ac:dyDescent="0.25">
      <c r="A5" s="1" t="s">
        <v>92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-7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-8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-7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-3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-7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-5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-6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-8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-6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-3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-4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-3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-3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-5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-3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-3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-4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-7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-5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-3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-6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-5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-6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-8</v>
      </c>
    </row>
    <row r="38" spans="1:8" x14ac:dyDescent="0.25">
      <c r="A38" s="9" t="s">
        <v>98</v>
      </c>
      <c r="B38" s="9">
        <f>SUMIFS(tblDaily[Admissions],tblDaily[Month],1,tblDaily[WardCode],"MAE")</f>
        <v>91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-131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105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IFERROR(SUMIFS(tblDaily[Remaining],tblDaily[EntryDate],DATE(2026,1,31),tblDaily[WardCode],"MAE"),0)</f>
        <v>-8</v>
      </c>
    </row>
    <row r="44" spans="1:8" x14ac:dyDescent="0.25">
      <c r="A44" s="1" t="s">
        <v>92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-6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105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92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98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105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92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105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92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98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105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92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105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92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98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105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92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98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105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92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105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92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98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105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92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105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92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98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7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106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IFERROR(INDEX(tblWardConfig[PrevYearRemaining],MATCH("FAE",tblWardConfig[WardCode],0)),0)</f>
        <v>1</v>
      </c>
    </row>
    <row r="5" spans="1:8" x14ac:dyDescent="0.25">
      <c r="A5" s="1" t="s">
        <v>92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>
        <f>IFERROR(IF(SUMIFS(tblDaily[Remaining],tblDaily[EntryDate],DATE(2026,1,1),tblDaily[WardCode],"FAE")=0,"",SUMIFS(tblDaily[Remaining],tblDaily[EntryDate],DATE(2026,1,1),tblDaily[WardCode],"FAE")),"")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>
        <f>IFERROR(IF(SUMIFS(tblDaily[Remaining],tblDaily[EntryDate],DATE(2026,1,3),tblDaily[WardCode],"FAE")=0,"",SUMIFS(tblDaily[Remaining],tblDaily[EntryDate],DATE(2026,1,3),tblDaily[WardCode],"FAE")),"")</f>
        <v>-1</v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1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1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>
        <f>IFERROR(IF(SUMIFS(tblDaily[Remaining],tblDaily[EntryDate],DATE(2026,1,8),tblDaily[WardCode],"FAE")=0,"",SUMIFS(tblDaily[Remaining],tblDaily[EntryDate],DATE(2026,1,8),tblDaily[WardCode],"FAE")),"")</f>
        <v>-1</v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3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1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>
        <f>IFERROR(IF(SUMIFS(tblDaily[Remaining],tblDaily[EntryDate],DATE(2026,1,12),tblDaily[WardCode],"FAE")=0,"",SUMIFS(tblDaily[Remaining],tblDaily[EntryDate],DATE(2026,1,12),tblDaily[WardCode],"FAE")),"")</f>
        <v>-1</v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1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>
        <f>IFERROR(IF(SUMIFS(tblDaily[Remaining],tblDaily[EntryDate],DATE(2026,1,16),tblDaily[WardCode],"FAE")=0,"",SUMIFS(tblDaily[Remaining],tblDaily[EntryDate],DATE(2026,1,16),tblDaily[WardCode],"FAE")),"")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3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2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2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1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>
        <f>IFERROR(IF(SUMIFS(tblDaily[Remaining],tblDaily[EntryDate],DATE(2026,1,24),tblDaily[WardCode],"FAE")=0,"",SUMIFS(tblDaily[Remaining],tblDaily[EntryDate],DATE(2026,1,24),tblDaily[WardCode],"FAE")),"")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1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>
        <f>IFERROR(IF(SUMIFS(tblDaily[Remaining],tblDaily[EntryDate],DATE(2026,1,27),tblDaily[WardCode],"FAE")=0,"",SUMIFS(tblDaily[Remaining],tblDaily[EntryDate],DATE(2026,1,27),tblDaily[WardCode],"FAE")),"")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3</v>
      </c>
    </row>
    <row r="38" spans="1:8" x14ac:dyDescent="0.25">
      <c r="A38" s="9" t="s">
        <v>98</v>
      </c>
      <c r="B38" s="9">
        <f>SUMIFS(tblDaily[Admissions],tblDaily[Month],1,tblDaily[WardCode],"FAE")</f>
        <v>47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25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7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106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IFERROR(SUMIFS(tblDaily[Remaining],tblDaily[EntryDate],DATE(2026,1,31),tblDaily[WardCode],"FAE"),0)</f>
        <v>3</v>
      </c>
    </row>
    <row r="44" spans="1:8" x14ac:dyDescent="0.25">
      <c r="A44" s="1" t="s">
        <v>92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7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106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92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98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7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106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92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7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106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92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98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7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106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92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7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106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92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98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7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106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92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98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7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106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92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7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106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92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98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7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106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92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7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106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92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98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7" t="s">
        <v>107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8" t="s">
        <v>108</v>
      </c>
      <c r="B3" s="8" t="s">
        <v>109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1" t="s">
        <v>25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-122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2">
        <f t="shared" ref="K4:K14" si="0">IFERROR(H4/31,0)</f>
        <v>-3.935483870967742</v>
      </c>
      <c r="L4" s="12">
        <f t="shared" ref="L4:L14" si="1">IFERROR(H4/(E4+F4),0)</f>
        <v>-1.0701754385964912</v>
      </c>
      <c r="M4" s="12">
        <f t="shared" ref="M4:M14" si="2">IFERROR((C4*31-H4)/(E4+F4),0)</f>
        <v>9.7719298245614041</v>
      </c>
      <c r="N4" s="12">
        <f t="shared" ref="N4:N14" si="3">IFERROR((E4+F4)/C4,0)</f>
        <v>3.5625</v>
      </c>
      <c r="O4" s="12">
        <f t="shared" ref="O4:O14" si="4">IFERROR((H4/(C4*31))*100,0)</f>
        <v>-12.298387096774194</v>
      </c>
      <c r="P4" s="12">
        <f t="shared" ref="P4:P14" si="5">IFERROR((F4/(D4+B4))*100,0)</f>
        <v>12.222222222222221</v>
      </c>
    </row>
    <row r="5" spans="1:16" x14ac:dyDescent="0.25">
      <c r="A5" s="11" t="s">
        <v>27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29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2">
        <f t="shared" si="0"/>
        <v>0.93548387096774188</v>
      </c>
      <c r="L5" s="12">
        <f t="shared" si="1"/>
        <v>0.26363636363636361</v>
      </c>
      <c r="M5" s="12">
        <f t="shared" si="2"/>
        <v>7.627272727272727</v>
      </c>
      <c r="N5" s="12">
        <f t="shared" si="3"/>
        <v>3.9285714285714284</v>
      </c>
      <c r="O5" s="12">
        <f t="shared" si="4"/>
        <v>3.3410138248847927</v>
      </c>
      <c r="P5" s="12">
        <f t="shared" si="5"/>
        <v>10.526315789473683</v>
      </c>
    </row>
    <row r="6" spans="1:16" x14ac:dyDescent="0.25">
      <c r="A6" s="11" t="s">
        <v>29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80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2">
        <f t="shared" si="0"/>
        <v>2.5806451612903225</v>
      </c>
      <c r="L6" s="12">
        <f t="shared" si="1"/>
        <v>1.0256410256410255</v>
      </c>
      <c r="M6" s="12">
        <f t="shared" si="2"/>
        <v>9.7051282051282044</v>
      </c>
      <c r="N6" s="12">
        <f t="shared" si="3"/>
        <v>2.8888888888888888</v>
      </c>
      <c r="O6" s="12">
        <f t="shared" si="4"/>
        <v>9.5579450418160103</v>
      </c>
      <c r="P6" s="12">
        <f t="shared" si="5"/>
        <v>0</v>
      </c>
    </row>
    <row r="7" spans="1:16" x14ac:dyDescent="0.25">
      <c r="A7" s="11" t="s">
        <v>31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-78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2">
        <f t="shared" si="0"/>
        <v>-2.5161290322580645</v>
      </c>
      <c r="L7" s="12">
        <f t="shared" si="1"/>
        <v>-1.2</v>
      </c>
      <c r="M7" s="12">
        <f t="shared" si="2"/>
        <v>10.738461538461538</v>
      </c>
      <c r="N7" s="12">
        <f t="shared" si="3"/>
        <v>3.25</v>
      </c>
      <c r="O7" s="12">
        <f t="shared" si="4"/>
        <v>-12.580645161290322</v>
      </c>
      <c r="P7" s="12">
        <f t="shared" si="5"/>
        <v>0</v>
      </c>
    </row>
    <row r="8" spans="1:16" x14ac:dyDescent="0.25">
      <c r="A8" s="11" t="s">
        <v>33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63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2">
        <f t="shared" si="0"/>
        <v>2.032258064516129</v>
      </c>
      <c r="L8" s="12">
        <f t="shared" si="1"/>
        <v>0.51639344262295084</v>
      </c>
      <c r="M8" s="12">
        <f t="shared" si="2"/>
        <v>3.040983606557377</v>
      </c>
      <c r="N8" s="12">
        <f t="shared" si="3"/>
        <v>8.7142857142857135</v>
      </c>
      <c r="O8" s="12">
        <f t="shared" si="4"/>
        <v>14.516129032258066</v>
      </c>
      <c r="P8" s="12">
        <f t="shared" si="5"/>
        <v>0</v>
      </c>
    </row>
    <row r="9" spans="1:16" x14ac:dyDescent="0.25">
      <c r="A9" s="11" t="s">
        <v>35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-3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2">
        <f t="shared" si="0"/>
        <v>-9.6774193548387094E-2</v>
      </c>
      <c r="L9" s="12">
        <f t="shared" si="1"/>
        <v>-3.7037037037037035E-2</v>
      </c>
      <c r="M9" s="12">
        <f t="shared" si="2"/>
        <v>8.4567901234567895</v>
      </c>
      <c r="N9" s="12">
        <f t="shared" si="3"/>
        <v>3.6818181818181817</v>
      </c>
      <c r="O9" s="12">
        <f t="shared" si="4"/>
        <v>-0.43988269794721413</v>
      </c>
      <c r="P9" s="12">
        <f t="shared" si="5"/>
        <v>0</v>
      </c>
    </row>
    <row r="10" spans="1:16" x14ac:dyDescent="0.25">
      <c r="A10" s="11" t="s">
        <v>37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-24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2">
        <f t="shared" si="0"/>
        <v>-0.77419354838709675</v>
      </c>
      <c r="L10" s="12">
        <f t="shared" si="1"/>
        <v>-0.44444444444444442</v>
      </c>
      <c r="M10" s="12">
        <f t="shared" si="2"/>
        <v>9.0555555555555554</v>
      </c>
      <c r="N10" s="12">
        <f t="shared" si="3"/>
        <v>3.6</v>
      </c>
      <c r="O10" s="12">
        <f t="shared" si="4"/>
        <v>-5.161290322580645</v>
      </c>
      <c r="P10" s="12">
        <f t="shared" si="5"/>
        <v>13.114754098360656</v>
      </c>
    </row>
    <row r="11" spans="1:16" x14ac:dyDescent="0.25">
      <c r="A11" s="11" t="s">
        <v>39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</f>
        <v>91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-131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2">
        <f t="shared" si="0"/>
        <v>-4.225806451612903</v>
      </c>
      <c r="L11" s="12">
        <f t="shared" si="1"/>
        <v>-2.7872340425531914</v>
      </c>
      <c r="M11" s="12">
        <f t="shared" si="2"/>
        <v>9.3829787234042552</v>
      </c>
      <c r="N11" s="12">
        <f t="shared" si="3"/>
        <v>4.7</v>
      </c>
      <c r="O11" s="12">
        <f t="shared" si="4"/>
        <v>-42.258064516129032</v>
      </c>
      <c r="P11" s="12">
        <f t="shared" si="5"/>
        <v>4</v>
      </c>
    </row>
    <row r="12" spans="1:16" x14ac:dyDescent="0.25">
      <c r="A12" s="11" t="s">
        <v>41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</f>
        <v>47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25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2">
        <f t="shared" si="0"/>
        <v>0.80645161290322576</v>
      </c>
      <c r="L12" s="12">
        <f t="shared" si="1"/>
        <v>1.9230769230769231</v>
      </c>
      <c r="M12" s="12">
        <f t="shared" si="2"/>
        <v>21.923076923076923</v>
      </c>
      <c r="N12" s="12">
        <f t="shared" si="3"/>
        <v>1.3</v>
      </c>
      <c r="O12" s="12">
        <f t="shared" si="4"/>
        <v>8.064516129032258</v>
      </c>
      <c r="P12" s="12">
        <f t="shared" si="5"/>
        <v>0</v>
      </c>
    </row>
    <row r="13" spans="1:16" x14ac:dyDescent="0.25">
      <c r="A13" s="9" t="s">
        <v>98</v>
      </c>
      <c r="B13" s="9">
        <f t="shared" ref="B13:J13" si="6">SUM(B4:B12)</f>
        <v>102</v>
      </c>
      <c r="C13" s="9">
        <f t="shared" si="6"/>
        <v>178</v>
      </c>
      <c r="D13" s="9">
        <f t="shared" si="6"/>
        <v>668</v>
      </c>
      <c r="E13" s="9">
        <f t="shared" si="6"/>
        <v>651</v>
      </c>
      <c r="F13" s="9">
        <f t="shared" si="6"/>
        <v>33</v>
      </c>
      <c r="G13" s="9">
        <f t="shared" si="6"/>
        <v>6</v>
      </c>
      <c r="H13" s="9">
        <f t="shared" si="6"/>
        <v>-161</v>
      </c>
      <c r="I13" s="9">
        <f t="shared" si="6"/>
        <v>131</v>
      </c>
      <c r="J13" s="9">
        <f t="shared" si="6"/>
        <v>131</v>
      </c>
      <c r="K13" s="13">
        <f t="shared" si="0"/>
        <v>-5.193548387096774</v>
      </c>
      <c r="L13" s="13">
        <f t="shared" si="1"/>
        <v>-0.23538011695906433</v>
      </c>
      <c r="M13" s="13">
        <f t="shared" si="2"/>
        <v>8.3026315789473681</v>
      </c>
      <c r="N13" s="13">
        <f t="shared" si="3"/>
        <v>3.8426966292134832</v>
      </c>
      <c r="O13" s="13">
        <f t="shared" si="4"/>
        <v>-2.9177238129757157</v>
      </c>
      <c r="P13" s="13">
        <f t="shared" si="5"/>
        <v>4.2857142857142856</v>
      </c>
    </row>
    <row r="14" spans="1:16" x14ac:dyDescent="0.25">
      <c r="A14" s="14" t="s">
        <v>120</v>
      </c>
      <c r="B14" s="14">
        <f t="shared" ref="B14:J14" si="7">B11+B12</f>
        <v>10</v>
      </c>
      <c r="C14" s="14">
        <f t="shared" si="7"/>
        <v>20</v>
      </c>
      <c r="D14" s="14">
        <f t="shared" si="7"/>
        <v>138</v>
      </c>
      <c r="E14" s="14">
        <f t="shared" si="7"/>
        <v>56</v>
      </c>
      <c r="F14" s="14">
        <f t="shared" si="7"/>
        <v>4</v>
      </c>
      <c r="G14" s="14">
        <f t="shared" si="7"/>
        <v>6</v>
      </c>
      <c r="H14" s="14">
        <f t="shared" si="7"/>
        <v>-106</v>
      </c>
      <c r="I14" s="14">
        <f t="shared" si="7"/>
        <v>0</v>
      </c>
      <c r="J14" s="14">
        <f t="shared" si="7"/>
        <v>77</v>
      </c>
      <c r="K14" s="15">
        <f t="shared" si="0"/>
        <v>-3.4193548387096775</v>
      </c>
      <c r="L14" s="15">
        <f t="shared" si="1"/>
        <v>-1.7666666666666666</v>
      </c>
      <c r="M14" s="15">
        <f t="shared" si="2"/>
        <v>12.1</v>
      </c>
      <c r="N14" s="15">
        <f t="shared" si="3"/>
        <v>3</v>
      </c>
      <c r="O14" s="15">
        <f t="shared" si="4"/>
        <v>-17.096774193548388</v>
      </c>
      <c r="P14" s="15">
        <f t="shared" si="5"/>
        <v>2.7027027027027026</v>
      </c>
    </row>
    <row r="16" spans="1:16" ht="18.75" x14ac:dyDescent="0.25">
      <c r="A16" s="22" t="s">
        <v>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1:16" ht="15.75" x14ac:dyDescent="0.25">
      <c r="A17" s="27" t="s">
        <v>121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38.25" x14ac:dyDescent="0.25">
      <c r="A18" s="8" t="s">
        <v>108</v>
      </c>
      <c r="B18" s="8" t="s">
        <v>109</v>
      </c>
      <c r="C18" s="8" t="s">
        <v>110</v>
      </c>
      <c r="D18" s="8" t="s">
        <v>60</v>
      </c>
      <c r="E18" s="8" t="s">
        <v>61</v>
      </c>
      <c r="F18" s="8" t="s">
        <v>62</v>
      </c>
      <c r="G18" s="8" t="s">
        <v>94</v>
      </c>
      <c r="H18" s="8" t="s">
        <v>111</v>
      </c>
      <c r="I18" s="8" t="s">
        <v>112</v>
      </c>
      <c r="J18" s="8" t="s">
        <v>113</v>
      </c>
      <c r="K18" s="8" t="s">
        <v>114</v>
      </c>
      <c r="L18" s="8" t="s">
        <v>115</v>
      </c>
      <c r="M18" s="8" t="s">
        <v>116</v>
      </c>
      <c r="N18" s="8" t="s">
        <v>117</v>
      </c>
      <c r="O18" s="8" t="s">
        <v>118</v>
      </c>
      <c r="P18" s="8" t="s">
        <v>119</v>
      </c>
    </row>
    <row r="19" spans="1:16" x14ac:dyDescent="0.25">
      <c r="A19" s="11" t="s">
        <v>25</v>
      </c>
      <c r="B19" s="4">
        <f>IFERROR(SUMIFS(tblDaily[Remaining],tblDaily[EntryDate],DATE(2026,1,31),tblDaily[WardCode],"MW"),0)</f>
        <v>-6</v>
      </c>
      <c r="C19" s="4">
        <f>IFERROR(INDEX(tblWardConfig[BedComplement],MATCH("MW",tblWardConfig[WardCode],0)),0)</f>
        <v>32</v>
      </c>
      <c r="D19" s="4">
        <f>SUMIFS(tblDaily[Admissions],tblDaily[Month],2,tblDaily[WardCode],"MW")</f>
        <v>32</v>
      </c>
      <c r="E19" s="4">
        <f>SUMIFS(tblDaily[Discharges],tblDaily[Month],2,tblDaily[WardCode],"MW")</f>
        <v>38</v>
      </c>
      <c r="F19" s="4">
        <f>SUMIFS(tblDaily[Deaths],tblDaily[Month],2,tblDaily[WardCode],"MW")</f>
        <v>8</v>
      </c>
      <c r="G19" s="4">
        <f>SUMIFS(tblDaily[DeathsUnder24Hrs],tblDaily[Month],2,tblDaily[WardCode],"MW")</f>
        <v>0</v>
      </c>
      <c r="H19" s="4">
        <f>SUMIFS(tblDaily[Remaining],tblDaily[Month],2,tblDaily[WardCode],"MW")</f>
        <v>-151</v>
      </c>
      <c r="I19" s="4">
        <f>SUMIFS(tblDaily[TransfersIn],tblDaily[Month],2,tblDaily[WardCode],"MW")</f>
        <v>14</v>
      </c>
      <c r="J19" s="4">
        <f>SUMIFS(tblDaily[TransfersOut],tblDaily[Month],2,tblDaily[WardCode],"MW")</f>
        <v>0</v>
      </c>
      <c r="K19" s="12">
        <f t="shared" ref="K19:K29" si="8">IFERROR(H19/28,0)</f>
        <v>-5.3928571428571432</v>
      </c>
      <c r="L19" s="12">
        <f t="shared" ref="L19:L29" si="9">IFERROR(H19/(E19+F19),0)</f>
        <v>-3.2826086956521738</v>
      </c>
      <c r="M19" s="12">
        <f t="shared" ref="M19:M29" si="10">IFERROR((C19*28-H19)/(E19+F19),0)</f>
        <v>22.760869565217391</v>
      </c>
      <c r="N19" s="12">
        <f t="shared" ref="N19:N29" si="11">IFERROR((E19+F19)/C19,0)</f>
        <v>1.4375</v>
      </c>
      <c r="O19" s="12">
        <f t="shared" ref="O19:O29" si="12">IFERROR((H19/(C19*28))*100,0)</f>
        <v>-16.852678571428573</v>
      </c>
      <c r="P19" s="12">
        <f t="shared" ref="P19:P29" si="13">IFERROR((F19/(D19+B19))*100,0)</f>
        <v>30.76923076923077</v>
      </c>
    </row>
    <row r="20" spans="1:16" x14ac:dyDescent="0.25">
      <c r="A20" s="11" t="s">
        <v>27</v>
      </c>
      <c r="B20" s="4">
        <f>IFERROR(SUMIFS(tblDaily[Remaining],tblDaily[EntryDate],DATE(2026,1,31),tblDaily[WardCode],"FW"),0)</f>
        <v>-4</v>
      </c>
      <c r="C20" s="4">
        <f>IFERROR(INDEX(tblWardConfig[BedComplement],MATCH("FW",tblWardConfig[WardCode],0)),0)</f>
        <v>28</v>
      </c>
      <c r="D20" s="4">
        <f>SUMIFS(tblDaily[Admissions],tblDaily[Month],2,tblDaily[WardCode],"FW")</f>
        <v>4</v>
      </c>
      <c r="E20" s="4">
        <f>SUMIFS(tblDaily[Discharges],tblDaily[Month],2,tblDaily[WardCode],"FW")</f>
        <v>2</v>
      </c>
      <c r="F20" s="4">
        <f>SUMIFS(tblDaily[Deaths],tblDaily[Month],2,tblDaily[WardCode],"FW")</f>
        <v>0</v>
      </c>
      <c r="G20" s="4">
        <f>SUMIFS(tblDaily[DeathsUnder24Hrs],tblDaily[Month],2,tblDaily[WardCode],"FW")</f>
        <v>0</v>
      </c>
      <c r="H20" s="4">
        <f>SUMIFS(tblDaily[Remaining],tblDaily[Month],2,tblDaily[WardCode],"FW")</f>
        <v>-2</v>
      </c>
      <c r="I20" s="4">
        <f>SUMIFS(tblDaily[TransfersIn],tblDaily[Month],2,tblDaily[WardCode],"FW")</f>
        <v>1</v>
      </c>
      <c r="J20" s="4">
        <f>SUMIFS(tblDaily[TransfersOut],tblDaily[Month],2,tblDaily[WardCode],"FW")</f>
        <v>0</v>
      </c>
      <c r="K20" s="12">
        <f t="shared" si="8"/>
        <v>-7.1428571428571425E-2</v>
      </c>
      <c r="L20" s="12">
        <f t="shared" si="9"/>
        <v>-1</v>
      </c>
      <c r="M20" s="12">
        <f t="shared" si="10"/>
        <v>393</v>
      </c>
      <c r="N20" s="12">
        <f t="shared" si="11"/>
        <v>7.1428571428571425E-2</v>
      </c>
      <c r="O20" s="12">
        <f t="shared" si="12"/>
        <v>-0.25510204081632654</v>
      </c>
      <c r="P20" s="12">
        <f t="shared" si="13"/>
        <v>0</v>
      </c>
    </row>
    <row r="21" spans="1:16" x14ac:dyDescent="0.25">
      <c r="A21" s="11" t="s">
        <v>29</v>
      </c>
      <c r="B21" s="4">
        <f>IFERROR(SUMIFS(tblDaily[Remaining],tblDaily[EntryDate],DATE(2026,1,31),tblDaily[WardCode],"CW"),0)</f>
        <v>5</v>
      </c>
      <c r="C21" s="4">
        <f>IFERROR(INDEX(tblWardConfig[BedComplement],MATCH("CW",tblWardConfig[WardCode],0)),0)</f>
        <v>27</v>
      </c>
      <c r="D21" s="4">
        <f>SUMIFS(tblDaily[Admissions],tblDaily[Month],2,tblDaily[WardCode],"CW")</f>
        <v>2</v>
      </c>
      <c r="E21" s="4">
        <f>SUMIFS(tblDaily[Discharges],tblDaily[Month],2,tblDaily[WardCode],"CW")</f>
        <v>2</v>
      </c>
      <c r="F21" s="4">
        <f>SUMIFS(tblDaily[Deaths],tblDaily[Month],2,tblDaily[WardCode],"CW")</f>
        <v>0</v>
      </c>
      <c r="G21" s="4">
        <f>SUMIFS(tblDaily[DeathsUnder24Hrs],tblDaily[Month],2,tblDaily[WardCode],"CW")</f>
        <v>0</v>
      </c>
      <c r="H21" s="4">
        <f>SUMIFS(tblDaily[Remaining],tblDaily[Month],2,tblDaily[WardCode],"CW")</f>
        <v>5</v>
      </c>
      <c r="I21" s="4">
        <f>SUMIFS(tblDaily[TransfersIn],tblDaily[Month],2,tblDaily[WardCode],"CW")</f>
        <v>0</v>
      </c>
      <c r="J21" s="4">
        <f>SUMIFS(tblDaily[TransfersOut],tblDaily[Month],2,tblDaily[WardCode],"CW")</f>
        <v>0</v>
      </c>
      <c r="K21" s="12">
        <f t="shared" si="8"/>
        <v>0.17857142857142858</v>
      </c>
      <c r="L21" s="12">
        <f t="shared" si="9"/>
        <v>2.5</v>
      </c>
      <c r="M21" s="12">
        <f t="shared" si="10"/>
        <v>375.5</v>
      </c>
      <c r="N21" s="12">
        <f t="shared" si="11"/>
        <v>7.407407407407407E-2</v>
      </c>
      <c r="O21" s="12">
        <f t="shared" si="12"/>
        <v>0.66137566137566139</v>
      </c>
      <c r="P21" s="12">
        <f t="shared" si="13"/>
        <v>0</v>
      </c>
    </row>
    <row r="22" spans="1:16" x14ac:dyDescent="0.25">
      <c r="A22" s="11" t="s">
        <v>31</v>
      </c>
      <c r="B22" s="4">
        <f>IFERROR(SUMIFS(tblDaily[Remaining],tblDaily[EntryDate],DATE(2026,1,31),tblDaily[WardCode],"BF"),0)</f>
        <v>-3</v>
      </c>
      <c r="C22" s="4">
        <f>IFERROR(INDEX(tblWardConfig[BedComplement],MATCH("BF",tblWardConfig[WardCode],0)),0)</f>
        <v>20</v>
      </c>
      <c r="D22" s="4">
        <f>SUMIFS(tblDaily[Admissions],tblDaily[Month],2,tblDaily[WardCode],"BF")</f>
        <v>3</v>
      </c>
      <c r="E22" s="4">
        <f>SUMIFS(tblDaily[Discharges],tblDaily[Month],2,tblDaily[WardCode],"BF")</f>
        <v>1</v>
      </c>
      <c r="F22" s="4">
        <f>SUMIFS(tblDaily[Deaths],tblDaily[Month],2,tblDaily[WardCode],"BF")</f>
        <v>0</v>
      </c>
      <c r="G22" s="4">
        <f>SUMIFS(tblDaily[DeathsUnder24Hrs],tblDaily[Month],2,tblDaily[WardCode],"BF")</f>
        <v>0</v>
      </c>
      <c r="H22" s="4">
        <f>SUMIFS(tblDaily[Remaining],tblDaily[Month],2,tblDaily[WardCode],"BF")</f>
        <v>-1</v>
      </c>
      <c r="I22" s="4">
        <f>SUMIFS(tblDaily[TransfersIn],tblDaily[Month],2,tblDaily[WardCode],"BF")</f>
        <v>0</v>
      </c>
      <c r="J22" s="4">
        <f>SUMIFS(tblDaily[TransfersOut],tblDaily[Month],2,tblDaily[WardCode],"BF")</f>
        <v>0</v>
      </c>
      <c r="K22" s="12">
        <f t="shared" si="8"/>
        <v>-3.5714285714285712E-2</v>
      </c>
      <c r="L22" s="12">
        <f t="shared" si="9"/>
        <v>-1</v>
      </c>
      <c r="M22" s="12">
        <f t="shared" si="10"/>
        <v>561</v>
      </c>
      <c r="N22" s="12">
        <f t="shared" si="11"/>
        <v>0.05</v>
      </c>
      <c r="O22" s="12">
        <f t="shared" si="12"/>
        <v>-0.17857142857142858</v>
      </c>
      <c r="P22" s="12">
        <f t="shared" si="13"/>
        <v>0</v>
      </c>
    </row>
    <row r="23" spans="1:16" x14ac:dyDescent="0.25">
      <c r="A23" s="11" t="s">
        <v>33</v>
      </c>
      <c r="B23" s="4">
        <f>IFERROR(SUMIFS(tblDaily[Remaining],tblDaily[EntryDate],DATE(2026,1,31),tblDaily[WardCode],"BG"),0)</f>
        <v>3</v>
      </c>
      <c r="C23" s="4">
        <f>IFERROR(INDEX(tblWardConfig[BedComplement],MATCH("BG",tblWardConfig[WardCode],0)),0)</f>
        <v>14</v>
      </c>
      <c r="D23" s="4">
        <f>SUMIFS(tblDaily[Admissions],tblDaily[Month],2,tblDaily[WardCode],"BG")</f>
        <v>0</v>
      </c>
      <c r="E23" s="4">
        <f>SUMIFS(tblDaily[Discharges],tblDaily[Month],2,tblDaily[WardCode],"BG")</f>
        <v>0</v>
      </c>
      <c r="F23" s="4">
        <f>SUMIFS(tblDaily[Deaths],tblDaily[Month],2,tblDaily[WardCode],"BG")</f>
        <v>0</v>
      </c>
      <c r="G23" s="4">
        <f>SUMIFS(tblDaily[DeathsUnder24Hrs],tblDaily[Month],2,tblDaily[WardCode],"BG")</f>
        <v>0</v>
      </c>
      <c r="H23" s="4">
        <f>SUMIFS(tblDaily[Remaining],tblDaily[Month],2,tblDaily[WardCode],"BG")</f>
        <v>3</v>
      </c>
      <c r="I23" s="4">
        <f>SUMIFS(tblDaily[TransfersIn],tblDaily[Month],2,tblDaily[WardCode],"BG")</f>
        <v>0</v>
      </c>
      <c r="J23" s="4">
        <f>SUMIFS(tblDaily[TransfersOut],tblDaily[Month],2,tblDaily[WardCode],"BG")</f>
        <v>0</v>
      </c>
      <c r="K23" s="12">
        <f t="shared" si="8"/>
        <v>0.10714285714285714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0.76530612244897955</v>
      </c>
      <c r="P23" s="12">
        <f t="shared" si="13"/>
        <v>0</v>
      </c>
    </row>
    <row r="24" spans="1:16" x14ac:dyDescent="0.25">
      <c r="A24" s="11" t="s">
        <v>35</v>
      </c>
      <c r="B24" s="4">
        <f>IFERROR(SUMIFS(tblDaily[Remaining],tblDaily[EntryDate],DATE(2026,1,31),tblDaily[WardCode],"BH"),0)</f>
        <v>-5</v>
      </c>
      <c r="C24" s="4">
        <f>IFERROR(INDEX(tblWardConfig[BedComplement],MATCH("BH",tblWardConfig[WardCode],0)),0)</f>
        <v>22</v>
      </c>
      <c r="D24" s="4">
        <f>SUMIFS(tblDaily[Admissions],tblDaily[Month],2,tblDaily[WardCode],"BH")</f>
        <v>0</v>
      </c>
      <c r="E24" s="4">
        <f>SUMIFS(tblDaily[Discharges],tblDaily[Month],2,tblDaily[WardCode],"BH")</f>
        <v>0</v>
      </c>
      <c r="F24" s="4">
        <f>SUMIFS(tblDaily[Deaths],tblDaily[Month],2,tblDaily[WardCode],"BH")</f>
        <v>0</v>
      </c>
      <c r="G24" s="4">
        <f>SUMIFS(tblDaily[DeathsUnder24Hrs],tblDaily[Month],2,tblDaily[WardCode],"BH")</f>
        <v>0</v>
      </c>
      <c r="H24" s="4">
        <f>SUMIFS(tblDaily[Remaining],tblDaily[Month],2,tblDaily[WardCode],"BH")</f>
        <v>-5</v>
      </c>
      <c r="I24" s="4">
        <f>SUMIFS(tblDaily[TransfersIn],tblDaily[Month],2,tblDaily[WardCode],"BH")</f>
        <v>0</v>
      </c>
      <c r="J24" s="4">
        <f>SUMIFS(tblDaily[TransfersOut],tblDaily[Month],2,tblDaily[WardCode],"BH")</f>
        <v>0</v>
      </c>
      <c r="K24" s="12">
        <f t="shared" si="8"/>
        <v>-0.17857142857142858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-0.81168831168831157</v>
      </c>
      <c r="P24" s="12">
        <f t="shared" si="13"/>
        <v>0</v>
      </c>
    </row>
    <row r="25" spans="1:16" x14ac:dyDescent="0.25">
      <c r="A25" s="11" t="s">
        <v>37</v>
      </c>
      <c r="B25" s="4">
        <f>IFERROR(SUMIFS(tblDaily[Remaining],tblDaily[EntryDate],DATE(2026,1,31),tblDaily[WardCode],"NICU"),0)</f>
        <v>-7</v>
      </c>
      <c r="C25" s="4">
        <f>IFERROR(INDEX(tblWardConfig[BedComplement],MATCH("NICU",tblWardConfig[WardCode],0)),0)</f>
        <v>15</v>
      </c>
      <c r="D25" s="4">
        <f>SUMIFS(tblDaily[Admissions],tblDaily[Month],2,tblDaily[WardCode],"NICU")</f>
        <v>0</v>
      </c>
      <c r="E25" s="4">
        <f>SUMIFS(tblDaily[Discharges],tblDaily[Month],2,tblDaily[WardCode],"NICU")</f>
        <v>4</v>
      </c>
      <c r="F25" s="4">
        <f>SUMIFS(tblDaily[Deaths],tblDaily[Month],2,tblDaily[WardCode],"NICU")</f>
        <v>0</v>
      </c>
      <c r="G25" s="4">
        <f>SUMIFS(tblDaily[DeathsUnder24Hrs],tblDaily[Month],2,tblDaily[WardCode],"NICU")</f>
        <v>0</v>
      </c>
      <c r="H25" s="4">
        <f>SUMIFS(tblDaily[Remaining],tblDaily[Month],2,tblDaily[WardCode],"NICU")</f>
        <v>-20</v>
      </c>
      <c r="I25" s="4">
        <f>SUMIFS(tblDaily[TransfersIn],tblDaily[Month],2,tblDaily[WardCode],"NICU")</f>
        <v>0</v>
      </c>
      <c r="J25" s="4">
        <f>SUMIFS(tblDaily[TransfersOut],tblDaily[Month],2,tblDaily[WardCode],"NICU")</f>
        <v>0</v>
      </c>
      <c r="K25" s="12">
        <f t="shared" si="8"/>
        <v>-0.7142857142857143</v>
      </c>
      <c r="L25" s="12">
        <f t="shared" si="9"/>
        <v>-5</v>
      </c>
      <c r="M25" s="12">
        <f t="shared" si="10"/>
        <v>110</v>
      </c>
      <c r="N25" s="12">
        <f t="shared" si="11"/>
        <v>0.26666666666666666</v>
      </c>
      <c r="O25" s="12">
        <f t="shared" si="12"/>
        <v>-4.7619047619047619</v>
      </c>
      <c r="P25" s="12">
        <f t="shared" si="13"/>
        <v>0</v>
      </c>
    </row>
    <row r="26" spans="1:16" x14ac:dyDescent="0.25">
      <c r="A26" s="11" t="s">
        <v>39</v>
      </c>
      <c r="B26" s="4">
        <f>IFERROR(SUMIFS(tblDaily[Remaining],tblDaily[EntryDate],DATE(2026,1,31),tblDaily[WardCode],"MAE"),0)</f>
        <v>-8</v>
      </c>
      <c r="C26" s="4">
        <f>IFERROR(INDEX(tblWardConfig[BedComplement],MATCH("MAE",tblWardConfig[WardCode],0)),0)</f>
        <v>10</v>
      </c>
      <c r="D26" s="4">
        <f>SUMIFS(tblDaily[Admissions],tblDaily[Month],2,tblDaily[WardCode],"MAE")</f>
        <v>3</v>
      </c>
      <c r="E26" s="4">
        <f>SUMIFS(tblDaily[Discharges],tblDaily[Month],2,tblDaily[WardCode],"MAE")</f>
        <v>3</v>
      </c>
      <c r="F26" s="4">
        <f>SUMIFS(tblDaily[Deaths],tblDaily[Month],2,tblDaily[WardCode],"MAE")</f>
        <v>0</v>
      </c>
      <c r="G26" s="4">
        <f>SUMIFS(tblDaily[DeathsUnder24Hrs],tblDaily[Month],2,tblDaily[WardCode],"MAE")</f>
        <v>0</v>
      </c>
      <c r="H26" s="4">
        <f>SUMIFS(tblDaily[Remaining],tblDaily[Month],2,tblDaily[WardCode],"MAE")</f>
        <v>-6</v>
      </c>
      <c r="I26" s="4">
        <f>SUMIFS(tblDaily[TransfersIn],tblDaily[Month],2,tblDaily[WardCode],"MAE")</f>
        <v>2</v>
      </c>
      <c r="J26" s="4">
        <f>SUMIFS(tblDaily[TransfersOut],tblDaily[Month],2,tblDaily[WardCode],"MAE")</f>
        <v>0</v>
      </c>
      <c r="K26" s="12">
        <f t="shared" si="8"/>
        <v>-0.21428571428571427</v>
      </c>
      <c r="L26" s="12">
        <f t="shared" si="9"/>
        <v>-2</v>
      </c>
      <c r="M26" s="12">
        <f t="shared" si="10"/>
        <v>95.333333333333329</v>
      </c>
      <c r="N26" s="12">
        <f t="shared" si="11"/>
        <v>0.3</v>
      </c>
      <c r="O26" s="12">
        <f t="shared" si="12"/>
        <v>-2.1428571428571428</v>
      </c>
      <c r="P26" s="12">
        <f t="shared" si="13"/>
        <v>0</v>
      </c>
    </row>
    <row r="27" spans="1:16" x14ac:dyDescent="0.25">
      <c r="A27" s="11" t="s">
        <v>41</v>
      </c>
      <c r="B27" s="4">
        <f>IFERROR(SUMIFS(tblDaily[Remaining],tblDaily[EntryDate],DATE(2026,1,31),tblDaily[WardCode],"FAE"),0)</f>
        <v>3</v>
      </c>
      <c r="C27" s="4">
        <f>IFERROR(INDEX(tblWardConfig[BedComplement],MATCH("FAE",tblWardConfig[WardCode],0)),0)</f>
        <v>10</v>
      </c>
      <c r="D27" s="4">
        <f>SUMIFS(tblDaily[Admissions],tblDaily[Month],2,tblDaily[WardCode],"FAE")</f>
        <v>0</v>
      </c>
      <c r="E27" s="4">
        <f>SUMIFS(tblDaily[Discharges],tblDaily[Month],2,tblDaily[WardCode],"FAE")</f>
        <v>0</v>
      </c>
      <c r="F27" s="4">
        <f>SUMIFS(tblDaily[Deaths],tblDaily[Month],2,tblDaily[WardCode],"FAE")</f>
        <v>0</v>
      </c>
      <c r="G27" s="4">
        <f>SUMIFS(tblDaily[DeathsUnder24Hrs],tblDaily[Month],2,tblDaily[WardCode],"FAE")</f>
        <v>0</v>
      </c>
      <c r="H27" s="4">
        <f>SUMIFS(tblDaily[Remaining],tblDaily[Month],2,tblDaily[WardCode],"FAE")</f>
        <v>0</v>
      </c>
      <c r="I27" s="4">
        <f>SUMIFS(tblDaily[TransfersIn],tblDaily[Month],2,tblDaily[WardCode],"FAE")</f>
        <v>0</v>
      </c>
      <c r="J27" s="4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98</v>
      </c>
      <c r="B28" s="9">
        <f t="shared" ref="B28:J28" si="14">SUM(B19:B27)</f>
        <v>-22</v>
      </c>
      <c r="C28" s="9">
        <f t="shared" si="14"/>
        <v>178</v>
      </c>
      <c r="D28" s="9">
        <f t="shared" si="14"/>
        <v>44</v>
      </c>
      <c r="E28" s="9">
        <f t="shared" si="14"/>
        <v>50</v>
      </c>
      <c r="F28" s="9">
        <f t="shared" si="14"/>
        <v>8</v>
      </c>
      <c r="G28" s="9">
        <f t="shared" si="14"/>
        <v>0</v>
      </c>
      <c r="H28" s="9">
        <f t="shared" si="14"/>
        <v>-177</v>
      </c>
      <c r="I28" s="9">
        <f t="shared" si="14"/>
        <v>17</v>
      </c>
      <c r="J28" s="9">
        <f t="shared" si="14"/>
        <v>0</v>
      </c>
      <c r="K28" s="13">
        <f t="shared" si="8"/>
        <v>-6.3214285714285712</v>
      </c>
      <c r="L28" s="13">
        <f t="shared" si="9"/>
        <v>-3.0517241379310347</v>
      </c>
      <c r="M28" s="13">
        <f t="shared" si="10"/>
        <v>88.982758620689651</v>
      </c>
      <c r="N28" s="13">
        <f t="shared" si="11"/>
        <v>0.3258426966292135</v>
      </c>
      <c r="O28" s="13">
        <f t="shared" si="12"/>
        <v>-3.5513643659711076</v>
      </c>
      <c r="P28" s="13">
        <f t="shared" si="13"/>
        <v>36.363636363636367</v>
      </c>
    </row>
    <row r="29" spans="1:16" x14ac:dyDescent="0.25">
      <c r="A29" s="14" t="s">
        <v>120</v>
      </c>
      <c r="B29" s="14">
        <f t="shared" ref="B29:J29" si="15">B26+B27</f>
        <v>-5</v>
      </c>
      <c r="C29" s="14">
        <f t="shared" si="15"/>
        <v>20</v>
      </c>
      <c r="D29" s="14">
        <f t="shared" si="15"/>
        <v>3</v>
      </c>
      <c r="E29" s="14">
        <f t="shared" si="15"/>
        <v>3</v>
      </c>
      <c r="F29" s="14">
        <f t="shared" si="15"/>
        <v>0</v>
      </c>
      <c r="G29" s="14">
        <f t="shared" si="15"/>
        <v>0</v>
      </c>
      <c r="H29" s="14">
        <f t="shared" si="15"/>
        <v>-6</v>
      </c>
      <c r="I29" s="14">
        <f t="shared" si="15"/>
        <v>2</v>
      </c>
      <c r="J29" s="14">
        <f t="shared" si="15"/>
        <v>0</v>
      </c>
      <c r="K29" s="15">
        <f t="shared" si="8"/>
        <v>-0.21428571428571427</v>
      </c>
      <c r="L29" s="15">
        <f t="shared" si="9"/>
        <v>-2</v>
      </c>
      <c r="M29" s="15">
        <f t="shared" si="10"/>
        <v>188.66666666666666</v>
      </c>
      <c r="N29" s="15">
        <f t="shared" si="11"/>
        <v>0.15</v>
      </c>
      <c r="O29" s="15">
        <f t="shared" si="12"/>
        <v>-1.0714285714285714</v>
      </c>
      <c r="P29" s="15">
        <f t="shared" si="13"/>
        <v>0</v>
      </c>
    </row>
    <row r="31" spans="1:16" ht="18.75" x14ac:dyDescent="0.25">
      <c r="A31" s="22" t="s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</row>
    <row r="32" spans="1:16" ht="15.75" x14ac:dyDescent="0.25">
      <c r="A32" s="27" t="s">
        <v>122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</row>
    <row r="33" spans="1:16" ht="38.25" x14ac:dyDescent="0.25">
      <c r="A33" s="8" t="s">
        <v>108</v>
      </c>
      <c r="B33" s="8" t="s">
        <v>109</v>
      </c>
      <c r="C33" s="8" t="s">
        <v>110</v>
      </c>
      <c r="D33" s="8" t="s">
        <v>60</v>
      </c>
      <c r="E33" s="8" t="s">
        <v>61</v>
      </c>
      <c r="F33" s="8" t="s">
        <v>62</v>
      </c>
      <c r="G33" s="8" t="s">
        <v>94</v>
      </c>
      <c r="H33" s="8" t="s">
        <v>111</v>
      </c>
      <c r="I33" s="8" t="s">
        <v>112</v>
      </c>
      <c r="J33" s="8" t="s">
        <v>113</v>
      </c>
      <c r="K33" s="8" t="s">
        <v>114</v>
      </c>
      <c r="L33" s="8" t="s">
        <v>115</v>
      </c>
      <c r="M33" s="8" t="s">
        <v>116</v>
      </c>
      <c r="N33" s="8" t="s">
        <v>117</v>
      </c>
      <c r="O33" s="8" t="s">
        <v>118</v>
      </c>
      <c r="P33" s="8" t="s">
        <v>119</v>
      </c>
    </row>
    <row r="34" spans="1:16" x14ac:dyDescent="0.25">
      <c r="A34" s="11" t="s">
        <v>25</v>
      </c>
      <c r="B34" s="4">
        <f>IFERROR(SUMIFS(tblDaily[Remaining],tblDaily[EntryDate],DATE(2026,2,28),tblDaily[WardCode],"MW"),0)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SUMIFS(tblDaily[Admissions],tblDaily[Month],3,tblDaily[WardCode],"MW")</f>
        <v>0</v>
      </c>
      <c r="E34" s="4">
        <f>SUMIFS(tblDaily[Discharges],tblDaily[Month],3,tblDaily[WardCode],"MW")</f>
        <v>0</v>
      </c>
      <c r="F34" s="4">
        <f>SUMIFS(tblDaily[Deaths],tblDaily[Month],3,tblDaily[WardCode],"MW")</f>
        <v>0</v>
      </c>
      <c r="G34" s="4">
        <f>SUMIFS(tblDaily[DeathsUnder24Hrs],tblDaily[Month],3,tblDaily[WardCode],"MW")</f>
        <v>0</v>
      </c>
      <c r="H34" s="4">
        <f>SUMIFS(tblDaily[Remaining],tblDaily[Month],3,tblDaily[WardCode],"MW")</f>
        <v>0</v>
      </c>
      <c r="I34" s="4">
        <f>SUMIFS(tblDaily[TransfersIn],tblDaily[Month],3,tblDaily[WardCode],"MW")</f>
        <v>0</v>
      </c>
      <c r="J34" s="4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27</v>
      </c>
      <c r="B35" s="4">
        <f>IFERROR(SUMIFS(tblDaily[Remaining],tblDaily[EntryDate],DATE(2026,2,28),tblDaily[WardCode],"FW"),0)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SUMIFS(tblDaily[Admissions],tblDaily[Month],3,tblDaily[WardCode],"FW")</f>
        <v>0</v>
      </c>
      <c r="E35" s="4">
        <f>SUMIFS(tblDaily[Discharges],tblDaily[Month],3,tblDaily[WardCode],"FW")</f>
        <v>0</v>
      </c>
      <c r="F35" s="4">
        <f>SUMIFS(tblDaily[Deaths],tblDaily[Month],3,tblDaily[WardCode],"FW")</f>
        <v>0</v>
      </c>
      <c r="G35" s="4">
        <f>SUMIFS(tblDaily[DeathsUnder24Hrs],tblDaily[Month],3,tblDaily[WardCode],"FW")</f>
        <v>0</v>
      </c>
      <c r="H35" s="4">
        <f>SUMIFS(tblDaily[Remaining],tblDaily[Month],3,tblDaily[WardCode],"FW")</f>
        <v>0</v>
      </c>
      <c r="I35" s="4">
        <f>SUMIFS(tblDaily[TransfersIn],tblDaily[Month],3,tblDaily[WardCode],"FW")</f>
        <v>0</v>
      </c>
      <c r="J35" s="4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29</v>
      </c>
      <c r="B36" s="4">
        <f>IFERROR(SUMIFS(tblDaily[Remaining],tblDaily[EntryDate],DATE(2026,2,28),tblDaily[WardCode],"CW"),0)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SUMIFS(tblDaily[Admissions],tblDaily[Month],3,tblDaily[WardCode],"CW")</f>
        <v>0</v>
      </c>
      <c r="E36" s="4">
        <f>SUMIFS(tblDaily[Discharges],tblDaily[Month],3,tblDaily[WardCode],"CW")</f>
        <v>0</v>
      </c>
      <c r="F36" s="4">
        <f>SUMIFS(tblDaily[Deaths],tblDaily[Month],3,tblDaily[WardCode],"CW")</f>
        <v>0</v>
      </c>
      <c r="G36" s="4">
        <f>SUMIFS(tblDaily[DeathsUnder24Hrs],tblDaily[Month],3,tblDaily[WardCode],"CW")</f>
        <v>0</v>
      </c>
      <c r="H36" s="4">
        <f>SUMIFS(tblDaily[Remaining],tblDaily[Month],3,tblDaily[WardCode],"CW")</f>
        <v>0</v>
      </c>
      <c r="I36" s="4">
        <f>SUMIFS(tblDaily[TransfersIn],tblDaily[Month],3,tblDaily[WardCode],"CW")</f>
        <v>0</v>
      </c>
      <c r="J36" s="4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31</v>
      </c>
      <c r="B37" s="4">
        <f>IFERROR(SUMIFS(tblDaily[Remaining],tblDaily[EntryDate],DATE(2026,2,28),tblDaily[WardCode],"BF"),0)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SUMIFS(tblDaily[Admissions],tblDaily[Month],3,tblDaily[WardCode],"BF")</f>
        <v>0</v>
      </c>
      <c r="E37" s="4">
        <f>SUMIFS(tblDaily[Discharges],tblDaily[Month],3,tblDaily[WardCode],"BF")</f>
        <v>0</v>
      </c>
      <c r="F37" s="4">
        <f>SUMIFS(tblDaily[Deaths],tblDaily[Month],3,tblDaily[WardCode],"BF")</f>
        <v>0</v>
      </c>
      <c r="G37" s="4">
        <f>SUMIFS(tblDaily[DeathsUnder24Hrs],tblDaily[Month],3,tblDaily[WardCode],"BF")</f>
        <v>0</v>
      </c>
      <c r="H37" s="4">
        <f>SUMIFS(tblDaily[Remaining],tblDaily[Month],3,tblDaily[WardCode],"BF")</f>
        <v>0</v>
      </c>
      <c r="I37" s="4">
        <f>SUMIFS(tblDaily[TransfersIn],tblDaily[Month],3,tblDaily[WardCode],"BF")</f>
        <v>0</v>
      </c>
      <c r="J37" s="4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33</v>
      </c>
      <c r="B38" s="4">
        <f>IFERROR(SUMIFS(tblDaily[Remaining],tblDaily[EntryDate],DATE(2026,2,28),tblDaily[WardCode],"BG"),0)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SUMIFS(tblDaily[Admissions],tblDaily[Month],3,tblDaily[WardCode],"BG")</f>
        <v>0</v>
      </c>
      <c r="E38" s="4">
        <f>SUMIFS(tblDaily[Discharges],tblDaily[Month],3,tblDaily[WardCode],"BG")</f>
        <v>0</v>
      </c>
      <c r="F38" s="4">
        <f>SUMIFS(tblDaily[Deaths],tblDaily[Month],3,tblDaily[WardCode],"BG")</f>
        <v>0</v>
      </c>
      <c r="G38" s="4">
        <f>SUMIFS(tblDaily[DeathsUnder24Hrs],tblDaily[Month],3,tblDaily[WardCode],"BG")</f>
        <v>0</v>
      </c>
      <c r="H38" s="4">
        <f>SUMIFS(tblDaily[Remaining],tblDaily[Month],3,tblDaily[WardCode],"BG")</f>
        <v>0</v>
      </c>
      <c r="I38" s="4">
        <f>SUMIFS(tblDaily[TransfersIn],tblDaily[Month],3,tblDaily[WardCode],"BG")</f>
        <v>0</v>
      </c>
      <c r="J38" s="4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35</v>
      </c>
      <c r="B39" s="4">
        <f>IFERROR(SUMIFS(tblDaily[Remaining],tblDaily[EntryDate],DATE(2026,2,28),tblDaily[WardCode],"BH"),0)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SUMIFS(tblDaily[Admissions],tblDaily[Month],3,tblDaily[WardCode],"BH")</f>
        <v>0</v>
      </c>
      <c r="E39" s="4">
        <f>SUMIFS(tblDaily[Discharges],tblDaily[Month],3,tblDaily[WardCode],"BH")</f>
        <v>0</v>
      </c>
      <c r="F39" s="4">
        <f>SUMIFS(tblDaily[Deaths],tblDaily[Month],3,tblDaily[WardCode],"BH")</f>
        <v>0</v>
      </c>
      <c r="G39" s="4">
        <f>SUMIFS(tblDaily[DeathsUnder24Hrs],tblDaily[Month],3,tblDaily[WardCode],"BH")</f>
        <v>0</v>
      </c>
      <c r="H39" s="4">
        <f>SUMIFS(tblDaily[Remaining],tblDaily[Month],3,tblDaily[WardCode],"BH")</f>
        <v>0</v>
      </c>
      <c r="I39" s="4">
        <f>SUMIFS(tblDaily[TransfersIn],tblDaily[Month],3,tblDaily[WardCode],"BH")</f>
        <v>0</v>
      </c>
      <c r="J39" s="4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37</v>
      </c>
      <c r="B40" s="4">
        <f>IFERROR(SUMIFS(tblDaily[Remaining],tblDaily[EntryDate],DATE(2026,2,28),tblDaily[WardCode],"NICU"),0)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SUMIFS(tblDaily[Admissions],tblDaily[Month],3,tblDaily[WardCode],"NICU")</f>
        <v>0</v>
      </c>
      <c r="E40" s="4">
        <f>SUMIFS(tblDaily[Discharges],tblDaily[Month],3,tblDaily[WardCode],"NICU")</f>
        <v>0</v>
      </c>
      <c r="F40" s="4">
        <f>SUMIFS(tblDaily[Deaths],tblDaily[Month],3,tblDaily[WardCode],"NICU")</f>
        <v>0</v>
      </c>
      <c r="G40" s="4">
        <f>SUMIFS(tblDaily[DeathsUnder24Hrs],tblDaily[Month],3,tblDaily[WardCode],"NICU")</f>
        <v>0</v>
      </c>
      <c r="H40" s="4">
        <f>SUMIFS(tblDaily[Remaining],tblDaily[Month],3,tblDaily[WardCode],"NICU")</f>
        <v>0</v>
      </c>
      <c r="I40" s="4">
        <f>SUMIFS(tblDaily[TransfersIn],tblDaily[Month],3,tblDaily[WardCode],"NICU")</f>
        <v>0</v>
      </c>
      <c r="J40" s="4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39</v>
      </c>
      <c r="B41" s="4">
        <f>IFERROR(SUMIFS(tblDaily[Remaining],tblDaily[EntryDate],DATE(2026,2,28),tblDaily[WardCode],"MAE"),0)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SUMIFS(tblDaily[Admissions],tblDaily[Month],3,tblDaily[WardCode],"MAE")</f>
        <v>0</v>
      </c>
      <c r="E41" s="4">
        <f>SUMIFS(tblDaily[Discharges],tblDaily[Month],3,tblDaily[WardCode],"MAE")</f>
        <v>0</v>
      </c>
      <c r="F41" s="4">
        <f>SUMIFS(tblDaily[Deaths],tblDaily[Month],3,tblDaily[WardCode],"MAE")</f>
        <v>0</v>
      </c>
      <c r="G41" s="4">
        <f>SUMIFS(tblDaily[DeathsUnder24Hrs],tblDaily[Month],3,tblDaily[WardCode],"MAE")</f>
        <v>0</v>
      </c>
      <c r="H41" s="4">
        <f>SUMIFS(tblDaily[Remaining],tblDaily[Month],3,tblDaily[WardCode],"MAE")</f>
        <v>0</v>
      </c>
      <c r="I41" s="4">
        <f>SUMIFS(tblDaily[TransfersIn],tblDaily[Month],3,tblDaily[WardCode],"MAE")</f>
        <v>0</v>
      </c>
      <c r="J41" s="4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41</v>
      </c>
      <c r="B42" s="4">
        <f>IFERROR(SUMIFS(tblDaily[Remaining],tblDaily[EntryDate],DATE(2026,2,28),tblDaily[WardCode],"FAE"),0)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SUMIFS(tblDaily[Admissions],tblDaily[Month],3,tblDaily[WardCode],"FAE")</f>
        <v>0</v>
      </c>
      <c r="E42" s="4">
        <f>SUMIFS(tblDaily[Discharges],tblDaily[Month],3,tblDaily[WardCode],"FAE")</f>
        <v>0</v>
      </c>
      <c r="F42" s="4">
        <f>SUMIFS(tblDaily[Deaths],tblDaily[Month],3,tblDaily[WardCode],"FAE")</f>
        <v>0</v>
      </c>
      <c r="G42" s="4">
        <f>SUMIFS(tblDaily[DeathsUnder24Hrs],tblDaily[Month],3,tblDaily[WardCode],"FAE")</f>
        <v>0</v>
      </c>
      <c r="H42" s="4">
        <f>SUMIFS(tblDaily[Remaining],tblDaily[Month],3,tblDaily[WardCode],"FAE")</f>
        <v>0</v>
      </c>
      <c r="I42" s="4">
        <f>SUMIFS(tblDaily[TransfersIn],tblDaily[Month],3,tblDaily[WardCode],"FAE")</f>
        <v>0</v>
      </c>
      <c r="J42" s="4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98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120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22" t="s">
        <v>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6" ht="15.75" x14ac:dyDescent="0.25">
      <c r="A47" s="27" t="s">
        <v>123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6" ht="38.25" x14ac:dyDescent="0.25">
      <c r="A48" s="8" t="s">
        <v>108</v>
      </c>
      <c r="B48" s="8" t="s">
        <v>109</v>
      </c>
      <c r="C48" s="8" t="s">
        <v>110</v>
      </c>
      <c r="D48" s="8" t="s">
        <v>60</v>
      </c>
      <c r="E48" s="8" t="s">
        <v>61</v>
      </c>
      <c r="F48" s="8" t="s">
        <v>62</v>
      </c>
      <c r="G48" s="8" t="s">
        <v>94</v>
      </c>
      <c r="H48" s="8" t="s">
        <v>111</v>
      </c>
      <c r="I48" s="8" t="s">
        <v>112</v>
      </c>
      <c r="J48" s="8" t="s">
        <v>113</v>
      </c>
      <c r="K48" s="8" t="s">
        <v>114</v>
      </c>
      <c r="L48" s="8" t="s">
        <v>115</v>
      </c>
      <c r="M48" s="8" t="s">
        <v>116</v>
      </c>
      <c r="N48" s="8" t="s">
        <v>117</v>
      </c>
      <c r="O48" s="8" t="s">
        <v>118</v>
      </c>
      <c r="P48" s="8" t="s">
        <v>119</v>
      </c>
    </row>
    <row r="49" spans="1:16" x14ac:dyDescent="0.25">
      <c r="A49" s="11" t="s">
        <v>25</v>
      </c>
      <c r="B49" s="4">
        <f>IFERROR(SUMIFS(tblDaily[Remaining],tblDaily[EntryDate],DATE(2026,3,31),tblDaily[WardCode],"MW"),0)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SUMIFS(tblDaily[Admissions],tblDaily[Month],4,tblDaily[WardCode],"MW")</f>
        <v>0</v>
      </c>
      <c r="E49" s="4">
        <f>SUMIFS(tblDaily[Discharges],tblDaily[Month],4,tblDaily[WardCode],"MW")</f>
        <v>0</v>
      </c>
      <c r="F49" s="4">
        <f>SUMIFS(tblDaily[Deaths],tblDaily[Month],4,tblDaily[WardCode],"MW")</f>
        <v>0</v>
      </c>
      <c r="G49" s="4">
        <f>SUMIFS(tblDaily[DeathsUnder24Hrs],tblDaily[Month],4,tblDaily[WardCode],"MW")</f>
        <v>0</v>
      </c>
      <c r="H49" s="4">
        <f>SUMIFS(tblDaily[Remaining],tblDaily[Month],4,tblDaily[WardCode],"MW")</f>
        <v>0</v>
      </c>
      <c r="I49" s="4">
        <f>SUMIFS(tblDaily[TransfersIn],tblDaily[Month],4,tblDaily[WardCode],"MW")</f>
        <v>0</v>
      </c>
      <c r="J49" s="4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27</v>
      </c>
      <c r="B50" s="4">
        <f>IFERROR(SUMIFS(tblDaily[Remaining],tblDaily[EntryDate],DATE(2026,3,31),tblDaily[WardCode],"FW"),0)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SUMIFS(tblDaily[Admissions],tblDaily[Month],4,tblDaily[WardCode],"FW")</f>
        <v>0</v>
      </c>
      <c r="E50" s="4">
        <f>SUMIFS(tblDaily[Discharges],tblDaily[Month],4,tblDaily[WardCode],"FW")</f>
        <v>0</v>
      </c>
      <c r="F50" s="4">
        <f>SUMIFS(tblDaily[Deaths],tblDaily[Month],4,tblDaily[WardCode],"FW")</f>
        <v>0</v>
      </c>
      <c r="G50" s="4">
        <f>SUMIFS(tblDaily[DeathsUnder24Hrs],tblDaily[Month],4,tblDaily[WardCode],"FW")</f>
        <v>0</v>
      </c>
      <c r="H50" s="4">
        <f>SUMIFS(tblDaily[Remaining],tblDaily[Month],4,tblDaily[WardCode],"FW")</f>
        <v>0</v>
      </c>
      <c r="I50" s="4">
        <f>SUMIFS(tblDaily[TransfersIn],tblDaily[Month],4,tblDaily[WardCode],"FW")</f>
        <v>0</v>
      </c>
      <c r="J50" s="4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29</v>
      </c>
      <c r="B51" s="4">
        <f>IFERROR(SUMIFS(tblDaily[Remaining],tblDaily[EntryDate],DATE(2026,3,31),tblDaily[WardCode],"CW"),0)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SUMIFS(tblDaily[Admissions],tblDaily[Month],4,tblDaily[WardCode],"CW")</f>
        <v>0</v>
      </c>
      <c r="E51" s="4">
        <f>SUMIFS(tblDaily[Discharges],tblDaily[Month],4,tblDaily[WardCode],"CW")</f>
        <v>0</v>
      </c>
      <c r="F51" s="4">
        <f>SUMIFS(tblDaily[Deaths],tblDaily[Month],4,tblDaily[WardCode],"CW")</f>
        <v>0</v>
      </c>
      <c r="G51" s="4">
        <f>SUMIFS(tblDaily[DeathsUnder24Hrs],tblDaily[Month],4,tblDaily[WardCode],"CW")</f>
        <v>0</v>
      </c>
      <c r="H51" s="4">
        <f>SUMIFS(tblDaily[Remaining],tblDaily[Month],4,tblDaily[WardCode],"CW")</f>
        <v>0</v>
      </c>
      <c r="I51" s="4">
        <f>SUMIFS(tblDaily[TransfersIn],tblDaily[Month],4,tblDaily[WardCode],"CW")</f>
        <v>0</v>
      </c>
      <c r="J51" s="4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31</v>
      </c>
      <c r="B52" s="4">
        <f>IFERROR(SUMIFS(tblDaily[Remaining],tblDaily[EntryDate],DATE(2026,3,31),tblDaily[WardCode],"BF"),0)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SUMIFS(tblDaily[Admissions],tblDaily[Month],4,tblDaily[WardCode],"BF")</f>
        <v>0</v>
      </c>
      <c r="E52" s="4">
        <f>SUMIFS(tblDaily[Discharges],tblDaily[Month],4,tblDaily[WardCode],"BF")</f>
        <v>0</v>
      </c>
      <c r="F52" s="4">
        <f>SUMIFS(tblDaily[Deaths],tblDaily[Month],4,tblDaily[WardCode],"BF")</f>
        <v>0</v>
      </c>
      <c r="G52" s="4">
        <f>SUMIFS(tblDaily[DeathsUnder24Hrs],tblDaily[Month],4,tblDaily[WardCode],"BF")</f>
        <v>0</v>
      </c>
      <c r="H52" s="4">
        <f>SUMIFS(tblDaily[Remaining],tblDaily[Month],4,tblDaily[WardCode],"BF")</f>
        <v>0</v>
      </c>
      <c r="I52" s="4">
        <f>SUMIFS(tblDaily[TransfersIn],tblDaily[Month],4,tblDaily[WardCode],"BF")</f>
        <v>0</v>
      </c>
      <c r="J52" s="4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33</v>
      </c>
      <c r="B53" s="4">
        <f>IFERROR(SUMIFS(tblDaily[Remaining],tblDaily[EntryDate],DATE(2026,3,31),tblDaily[WardCode],"BG"),0)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SUMIFS(tblDaily[Admissions],tblDaily[Month],4,tblDaily[WardCode],"BG")</f>
        <v>0</v>
      </c>
      <c r="E53" s="4">
        <f>SUMIFS(tblDaily[Discharges],tblDaily[Month],4,tblDaily[WardCode],"BG")</f>
        <v>0</v>
      </c>
      <c r="F53" s="4">
        <f>SUMIFS(tblDaily[Deaths],tblDaily[Month],4,tblDaily[WardCode],"BG")</f>
        <v>0</v>
      </c>
      <c r="G53" s="4">
        <f>SUMIFS(tblDaily[DeathsUnder24Hrs],tblDaily[Month],4,tblDaily[WardCode],"BG")</f>
        <v>0</v>
      </c>
      <c r="H53" s="4">
        <f>SUMIFS(tblDaily[Remaining],tblDaily[Month],4,tblDaily[WardCode],"BG")</f>
        <v>0</v>
      </c>
      <c r="I53" s="4">
        <f>SUMIFS(tblDaily[TransfersIn],tblDaily[Month],4,tblDaily[WardCode],"BG")</f>
        <v>0</v>
      </c>
      <c r="J53" s="4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35</v>
      </c>
      <c r="B54" s="4">
        <f>IFERROR(SUMIFS(tblDaily[Remaining],tblDaily[EntryDate],DATE(2026,3,31),tblDaily[WardCode],"BH"),0)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SUMIFS(tblDaily[Admissions],tblDaily[Month],4,tblDaily[WardCode],"BH")</f>
        <v>0</v>
      </c>
      <c r="E54" s="4">
        <f>SUMIFS(tblDaily[Discharges],tblDaily[Month],4,tblDaily[WardCode],"BH")</f>
        <v>0</v>
      </c>
      <c r="F54" s="4">
        <f>SUMIFS(tblDaily[Deaths],tblDaily[Month],4,tblDaily[WardCode],"BH")</f>
        <v>0</v>
      </c>
      <c r="G54" s="4">
        <f>SUMIFS(tblDaily[DeathsUnder24Hrs],tblDaily[Month],4,tblDaily[WardCode],"BH")</f>
        <v>0</v>
      </c>
      <c r="H54" s="4">
        <f>SUMIFS(tblDaily[Remaining],tblDaily[Month],4,tblDaily[WardCode],"BH")</f>
        <v>0</v>
      </c>
      <c r="I54" s="4">
        <f>SUMIFS(tblDaily[TransfersIn],tblDaily[Month],4,tblDaily[WardCode],"BH")</f>
        <v>0</v>
      </c>
      <c r="J54" s="4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37</v>
      </c>
      <c r="B55" s="4">
        <f>IFERROR(SUMIFS(tblDaily[Remaining],tblDaily[EntryDate],DATE(2026,3,31),tblDaily[WardCode],"NICU"),0)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SUMIFS(tblDaily[Admissions],tblDaily[Month],4,tblDaily[WardCode],"NICU")</f>
        <v>0</v>
      </c>
      <c r="E55" s="4">
        <f>SUMIFS(tblDaily[Discharges],tblDaily[Month],4,tblDaily[WardCode],"NICU")</f>
        <v>0</v>
      </c>
      <c r="F55" s="4">
        <f>SUMIFS(tblDaily[Deaths],tblDaily[Month],4,tblDaily[WardCode],"NICU")</f>
        <v>0</v>
      </c>
      <c r="G55" s="4">
        <f>SUMIFS(tblDaily[DeathsUnder24Hrs],tblDaily[Month],4,tblDaily[WardCode],"NICU")</f>
        <v>0</v>
      </c>
      <c r="H55" s="4">
        <f>SUMIFS(tblDaily[Remaining],tblDaily[Month],4,tblDaily[WardCode],"NICU")</f>
        <v>0</v>
      </c>
      <c r="I55" s="4">
        <f>SUMIFS(tblDaily[TransfersIn],tblDaily[Month],4,tblDaily[WardCode],"NICU")</f>
        <v>0</v>
      </c>
      <c r="J55" s="4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39</v>
      </c>
      <c r="B56" s="4">
        <f>IFERROR(SUMIFS(tblDaily[Remaining],tblDaily[EntryDate],DATE(2026,3,31),tblDaily[WardCode],"MAE"),0)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SUMIFS(tblDaily[Admissions],tblDaily[Month],4,tblDaily[WardCode],"MAE")</f>
        <v>0</v>
      </c>
      <c r="E56" s="4">
        <f>SUMIFS(tblDaily[Discharges],tblDaily[Month],4,tblDaily[WardCode],"MAE")</f>
        <v>0</v>
      </c>
      <c r="F56" s="4">
        <f>SUMIFS(tblDaily[Deaths],tblDaily[Month],4,tblDaily[WardCode],"MAE")</f>
        <v>0</v>
      </c>
      <c r="G56" s="4">
        <f>SUMIFS(tblDaily[DeathsUnder24Hrs],tblDaily[Month],4,tblDaily[WardCode],"MAE")</f>
        <v>0</v>
      </c>
      <c r="H56" s="4">
        <f>SUMIFS(tblDaily[Remaining],tblDaily[Month],4,tblDaily[WardCode],"MAE")</f>
        <v>0</v>
      </c>
      <c r="I56" s="4">
        <f>SUMIFS(tblDaily[TransfersIn],tblDaily[Month],4,tblDaily[WardCode],"MAE")</f>
        <v>0</v>
      </c>
      <c r="J56" s="4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41</v>
      </c>
      <c r="B57" s="4">
        <f>IFERROR(SUMIFS(tblDaily[Remaining],tblDaily[EntryDate],DATE(2026,3,31),tblDaily[WardCode],"FAE"),0)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SUMIFS(tblDaily[Admissions],tblDaily[Month],4,tblDaily[WardCode],"FAE")</f>
        <v>0</v>
      </c>
      <c r="E57" s="4">
        <f>SUMIFS(tblDaily[Discharges],tblDaily[Month],4,tblDaily[WardCode],"FAE")</f>
        <v>0</v>
      </c>
      <c r="F57" s="4">
        <f>SUMIFS(tblDaily[Deaths],tblDaily[Month],4,tblDaily[WardCode],"FAE")</f>
        <v>0</v>
      </c>
      <c r="G57" s="4">
        <f>SUMIFS(tblDaily[DeathsUnder24Hrs],tblDaily[Month],4,tblDaily[WardCode],"FAE")</f>
        <v>0</v>
      </c>
      <c r="H57" s="4">
        <f>SUMIFS(tblDaily[Remaining],tblDaily[Month],4,tblDaily[WardCode],"FAE")</f>
        <v>0</v>
      </c>
      <c r="I57" s="4">
        <f>SUMIFS(tblDaily[TransfersIn],tblDaily[Month],4,tblDaily[WardCode],"FAE")</f>
        <v>0</v>
      </c>
      <c r="J57" s="4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98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120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22" t="s">
        <v>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</row>
    <row r="62" spans="1:16" ht="15.75" x14ac:dyDescent="0.25">
      <c r="A62" s="27" t="s">
        <v>124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</row>
    <row r="63" spans="1:16" ht="38.25" x14ac:dyDescent="0.25">
      <c r="A63" s="8" t="s">
        <v>108</v>
      </c>
      <c r="B63" s="8" t="s">
        <v>109</v>
      </c>
      <c r="C63" s="8" t="s">
        <v>110</v>
      </c>
      <c r="D63" s="8" t="s">
        <v>60</v>
      </c>
      <c r="E63" s="8" t="s">
        <v>61</v>
      </c>
      <c r="F63" s="8" t="s">
        <v>62</v>
      </c>
      <c r="G63" s="8" t="s">
        <v>94</v>
      </c>
      <c r="H63" s="8" t="s">
        <v>111</v>
      </c>
      <c r="I63" s="8" t="s">
        <v>112</v>
      </c>
      <c r="J63" s="8" t="s">
        <v>113</v>
      </c>
      <c r="K63" s="8" t="s">
        <v>114</v>
      </c>
      <c r="L63" s="8" t="s">
        <v>115</v>
      </c>
      <c r="M63" s="8" t="s">
        <v>116</v>
      </c>
      <c r="N63" s="8" t="s">
        <v>117</v>
      </c>
      <c r="O63" s="8" t="s">
        <v>118</v>
      </c>
      <c r="P63" s="8" t="s">
        <v>119</v>
      </c>
    </row>
    <row r="64" spans="1:16" x14ac:dyDescent="0.25">
      <c r="A64" s="11" t="s">
        <v>25</v>
      </c>
      <c r="B64" s="4">
        <f>IFERROR(SUMIFS(tblDaily[Remaining],tblDaily[EntryDate],DATE(2026,4,30),tblDaily[WardCode],"MW"),0)</f>
        <v>0</v>
      </c>
      <c r="C64" s="4">
        <f>IFERROR(INDEX(tblWardConfig[BedComplement],MATCH("MW",tblWardConfig[WardCode],0)),0)</f>
        <v>32</v>
      </c>
      <c r="D64" s="4">
        <f>SUMIFS(tblDaily[Admissions],tblDaily[Month],5,tblDaily[WardCode],"MW")</f>
        <v>0</v>
      </c>
      <c r="E64" s="4">
        <f>SUMIFS(tblDaily[Discharges],tblDaily[Month],5,tblDaily[WardCode],"MW")</f>
        <v>0</v>
      </c>
      <c r="F64" s="4">
        <f>SUMIFS(tblDaily[Deaths],tblDaily[Month],5,tblDaily[WardCode],"MW")</f>
        <v>0</v>
      </c>
      <c r="G64" s="4">
        <f>SUMIFS(tblDaily[DeathsUnder24Hrs],tblDaily[Month],5,tblDaily[WardCode],"MW")</f>
        <v>0</v>
      </c>
      <c r="H64" s="4">
        <f>SUMIFS(tblDaily[Remaining],tblDaily[Month],5,tblDaily[WardCode],"MW")</f>
        <v>0</v>
      </c>
      <c r="I64" s="4">
        <f>SUMIFS(tblDaily[TransfersIn],tblDaily[Month],5,tblDaily[WardCode],"MW")</f>
        <v>0</v>
      </c>
      <c r="J64" s="4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27</v>
      </c>
      <c r="B65" s="4">
        <f>IFERROR(SUMIFS(tblDaily[Remaining],tblDaily[EntryDate],DATE(2026,4,30),tblDaily[WardCode],"FW"),0)</f>
        <v>0</v>
      </c>
      <c r="C65" s="4">
        <f>IFERROR(INDEX(tblWardConfig[BedComplement],MATCH("FW",tblWardConfig[WardCode],0)),0)</f>
        <v>28</v>
      </c>
      <c r="D65" s="4">
        <f>SUMIFS(tblDaily[Admissions],tblDaily[Month],5,tblDaily[WardCode],"FW")</f>
        <v>0</v>
      </c>
      <c r="E65" s="4">
        <f>SUMIFS(tblDaily[Discharges],tblDaily[Month],5,tblDaily[WardCode],"FW")</f>
        <v>0</v>
      </c>
      <c r="F65" s="4">
        <f>SUMIFS(tblDaily[Deaths],tblDaily[Month],5,tblDaily[WardCode],"FW")</f>
        <v>0</v>
      </c>
      <c r="G65" s="4">
        <f>SUMIFS(tblDaily[DeathsUnder24Hrs],tblDaily[Month],5,tblDaily[WardCode],"FW")</f>
        <v>0</v>
      </c>
      <c r="H65" s="4">
        <f>SUMIFS(tblDaily[Remaining],tblDaily[Month],5,tblDaily[WardCode],"FW")</f>
        <v>0</v>
      </c>
      <c r="I65" s="4">
        <f>SUMIFS(tblDaily[TransfersIn],tblDaily[Month],5,tblDaily[WardCode],"FW")</f>
        <v>0</v>
      </c>
      <c r="J65" s="4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29</v>
      </c>
      <c r="B66" s="4">
        <f>IFERROR(SUMIFS(tblDaily[Remaining],tblDaily[EntryDate],DATE(2026,4,30),tblDaily[WardCode],"CW"),0)</f>
        <v>0</v>
      </c>
      <c r="C66" s="4">
        <f>IFERROR(INDEX(tblWardConfig[BedComplement],MATCH("CW",tblWardConfig[WardCode],0)),0)</f>
        <v>27</v>
      </c>
      <c r="D66" s="4">
        <f>SUMIFS(tblDaily[Admissions],tblDaily[Month],5,tblDaily[WardCode],"CW")</f>
        <v>0</v>
      </c>
      <c r="E66" s="4">
        <f>SUMIFS(tblDaily[Discharges],tblDaily[Month],5,tblDaily[WardCode],"CW")</f>
        <v>0</v>
      </c>
      <c r="F66" s="4">
        <f>SUMIFS(tblDaily[Deaths],tblDaily[Month],5,tblDaily[WardCode],"CW")</f>
        <v>0</v>
      </c>
      <c r="G66" s="4">
        <f>SUMIFS(tblDaily[DeathsUnder24Hrs],tblDaily[Month],5,tblDaily[WardCode],"CW")</f>
        <v>0</v>
      </c>
      <c r="H66" s="4">
        <f>SUMIFS(tblDaily[Remaining],tblDaily[Month],5,tblDaily[WardCode],"CW")</f>
        <v>0</v>
      </c>
      <c r="I66" s="4">
        <f>SUMIFS(tblDaily[TransfersIn],tblDaily[Month],5,tblDaily[WardCode],"CW")</f>
        <v>0</v>
      </c>
      <c r="J66" s="4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31</v>
      </c>
      <c r="B67" s="4">
        <f>IFERROR(SUMIFS(tblDaily[Remaining],tblDaily[EntryDate],DATE(2026,4,30),tblDaily[WardCode],"BF"),0)</f>
        <v>0</v>
      </c>
      <c r="C67" s="4">
        <f>IFERROR(INDEX(tblWardConfig[BedComplement],MATCH("BF",tblWardConfig[WardCode],0)),0)</f>
        <v>20</v>
      </c>
      <c r="D67" s="4">
        <f>SUMIFS(tblDaily[Admissions],tblDaily[Month],5,tblDaily[WardCode],"BF")</f>
        <v>0</v>
      </c>
      <c r="E67" s="4">
        <f>SUMIFS(tblDaily[Discharges],tblDaily[Month],5,tblDaily[WardCode],"BF")</f>
        <v>0</v>
      </c>
      <c r="F67" s="4">
        <f>SUMIFS(tblDaily[Deaths],tblDaily[Month],5,tblDaily[WardCode],"BF")</f>
        <v>0</v>
      </c>
      <c r="G67" s="4">
        <f>SUMIFS(tblDaily[DeathsUnder24Hrs],tblDaily[Month],5,tblDaily[WardCode],"BF")</f>
        <v>0</v>
      </c>
      <c r="H67" s="4">
        <f>SUMIFS(tblDaily[Remaining],tblDaily[Month],5,tblDaily[WardCode],"BF")</f>
        <v>0</v>
      </c>
      <c r="I67" s="4">
        <f>SUMIFS(tblDaily[TransfersIn],tblDaily[Month],5,tblDaily[WardCode],"BF")</f>
        <v>0</v>
      </c>
      <c r="J67" s="4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33</v>
      </c>
      <c r="B68" s="4">
        <f>IFERROR(SUMIFS(tblDaily[Remaining],tblDaily[EntryDate],DATE(2026,4,30),tblDaily[WardCode],"BG"),0)</f>
        <v>0</v>
      </c>
      <c r="C68" s="4">
        <f>IFERROR(INDEX(tblWardConfig[BedComplement],MATCH("BG",tblWardConfig[WardCode],0)),0)</f>
        <v>14</v>
      </c>
      <c r="D68" s="4">
        <f>SUMIFS(tblDaily[Admissions],tblDaily[Month],5,tblDaily[WardCode],"BG")</f>
        <v>0</v>
      </c>
      <c r="E68" s="4">
        <f>SUMIFS(tblDaily[Discharges],tblDaily[Month],5,tblDaily[WardCode],"BG")</f>
        <v>0</v>
      </c>
      <c r="F68" s="4">
        <f>SUMIFS(tblDaily[Deaths],tblDaily[Month],5,tblDaily[WardCode],"BG")</f>
        <v>0</v>
      </c>
      <c r="G68" s="4">
        <f>SUMIFS(tblDaily[DeathsUnder24Hrs],tblDaily[Month],5,tblDaily[WardCode],"BG")</f>
        <v>0</v>
      </c>
      <c r="H68" s="4">
        <f>SUMIFS(tblDaily[Remaining],tblDaily[Month],5,tblDaily[WardCode],"BG")</f>
        <v>0</v>
      </c>
      <c r="I68" s="4">
        <f>SUMIFS(tblDaily[TransfersIn],tblDaily[Month],5,tblDaily[WardCode],"BG")</f>
        <v>0</v>
      </c>
      <c r="J68" s="4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35</v>
      </c>
      <c r="B69" s="4">
        <f>IFERROR(SUMIFS(tblDaily[Remaining],tblDaily[EntryDate],DATE(2026,4,30),tblDaily[WardCode],"BH"),0)</f>
        <v>0</v>
      </c>
      <c r="C69" s="4">
        <f>IFERROR(INDEX(tblWardConfig[BedComplement],MATCH("BH",tblWardConfig[WardCode],0)),0)</f>
        <v>22</v>
      </c>
      <c r="D69" s="4">
        <f>SUMIFS(tblDaily[Admissions],tblDaily[Month],5,tblDaily[WardCode],"BH")</f>
        <v>0</v>
      </c>
      <c r="E69" s="4">
        <f>SUMIFS(tblDaily[Discharges],tblDaily[Month],5,tblDaily[WardCode],"BH")</f>
        <v>0</v>
      </c>
      <c r="F69" s="4">
        <f>SUMIFS(tblDaily[Deaths],tblDaily[Month],5,tblDaily[WardCode],"BH")</f>
        <v>0</v>
      </c>
      <c r="G69" s="4">
        <f>SUMIFS(tblDaily[DeathsUnder24Hrs],tblDaily[Month],5,tblDaily[WardCode],"BH")</f>
        <v>0</v>
      </c>
      <c r="H69" s="4">
        <f>SUMIFS(tblDaily[Remaining],tblDaily[Month],5,tblDaily[WardCode],"BH")</f>
        <v>0</v>
      </c>
      <c r="I69" s="4">
        <f>SUMIFS(tblDaily[TransfersIn],tblDaily[Month],5,tblDaily[WardCode],"BH")</f>
        <v>0</v>
      </c>
      <c r="J69" s="4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37</v>
      </c>
      <c r="B70" s="4">
        <f>IFERROR(SUMIFS(tblDaily[Remaining],tblDaily[EntryDate],DATE(2026,4,30),tblDaily[WardCode],"NICU"),0)</f>
        <v>0</v>
      </c>
      <c r="C70" s="4">
        <f>IFERROR(INDEX(tblWardConfig[BedComplement],MATCH("NICU",tblWardConfig[WardCode],0)),0)</f>
        <v>15</v>
      </c>
      <c r="D70" s="4">
        <f>SUMIFS(tblDaily[Admissions],tblDaily[Month],5,tblDaily[WardCode],"NICU")</f>
        <v>0</v>
      </c>
      <c r="E70" s="4">
        <f>SUMIFS(tblDaily[Discharges],tblDaily[Month],5,tblDaily[WardCode],"NICU")</f>
        <v>0</v>
      </c>
      <c r="F70" s="4">
        <f>SUMIFS(tblDaily[Deaths],tblDaily[Month],5,tblDaily[WardCode],"NICU")</f>
        <v>0</v>
      </c>
      <c r="G70" s="4">
        <f>SUMIFS(tblDaily[DeathsUnder24Hrs],tblDaily[Month],5,tblDaily[WardCode],"NICU")</f>
        <v>0</v>
      </c>
      <c r="H70" s="4">
        <f>SUMIFS(tblDaily[Remaining],tblDaily[Month],5,tblDaily[WardCode],"NICU")</f>
        <v>0</v>
      </c>
      <c r="I70" s="4">
        <f>SUMIFS(tblDaily[TransfersIn],tblDaily[Month],5,tblDaily[WardCode],"NICU")</f>
        <v>0</v>
      </c>
      <c r="J70" s="4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39</v>
      </c>
      <c r="B71" s="4">
        <f>IFERROR(SUMIFS(tblDaily[Remaining],tblDaily[EntryDate],DATE(2026,4,30),tblDaily[WardCode],"MAE"),0)</f>
        <v>0</v>
      </c>
      <c r="C71" s="4">
        <f>IFERROR(INDEX(tblWardConfig[BedComplement],MATCH("MAE",tblWardConfig[WardCode],0)),0)</f>
        <v>10</v>
      </c>
      <c r="D71" s="4">
        <f>SUMIFS(tblDaily[Admissions],tblDaily[Month],5,tblDaily[WardCode],"MAE")</f>
        <v>0</v>
      </c>
      <c r="E71" s="4">
        <f>SUMIFS(tblDaily[Discharges],tblDaily[Month],5,tblDaily[WardCode],"MAE")</f>
        <v>0</v>
      </c>
      <c r="F71" s="4">
        <f>SUMIFS(tblDaily[Deaths],tblDaily[Month],5,tblDaily[WardCode],"MAE")</f>
        <v>0</v>
      </c>
      <c r="G71" s="4">
        <f>SUMIFS(tblDaily[DeathsUnder24Hrs],tblDaily[Month],5,tblDaily[WardCode],"MAE")</f>
        <v>0</v>
      </c>
      <c r="H71" s="4">
        <f>SUMIFS(tblDaily[Remaining],tblDaily[Month],5,tblDaily[WardCode],"MAE")</f>
        <v>0</v>
      </c>
      <c r="I71" s="4">
        <f>SUMIFS(tblDaily[TransfersIn],tblDaily[Month],5,tblDaily[WardCode],"MAE")</f>
        <v>0</v>
      </c>
      <c r="J71" s="4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41</v>
      </c>
      <c r="B72" s="4">
        <f>IFERROR(SUMIFS(tblDaily[Remaining],tblDaily[EntryDate],DATE(2026,4,30),tblDaily[WardCode],"FAE"),0)</f>
        <v>0</v>
      </c>
      <c r="C72" s="4">
        <f>IFERROR(INDEX(tblWardConfig[BedComplement],MATCH("FAE",tblWardConfig[WardCode],0)),0)</f>
        <v>10</v>
      </c>
      <c r="D72" s="4">
        <f>SUMIFS(tblDaily[Admissions],tblDaily[Month],5,tblDaily[WardCode],"FAE")</f>
        <v>0</v>
      </c>
      <c r="E72" s="4">
        <f>SUMIFS(tblDaily[Discharges],tblDaily[Month],5,tblDaily[WardCode],"FAE")</f>
        <v>0</v>
      </c>
      <c r="F72" s="4">
        <f>SUMIFS(tblDaily[Deaths],tblDaily[Month],5,tblDaily[WardCode],"FAE")</f>
        <v>0</v>
      </c>
      <c r="G72" s="4">
        <f>SUMIFS(tblDaily[DeathsUnder24Hrs],tblDaily[Month],5,tblDaily[WardCode],"FAE")</f>
        <v>0</v>
      </c>
      <c r="H72" s="4">
        <f>SUMIFS(tblDaily[Remaining],tblDaily[Month],5,tblDaily[WardCode],"FAE")</f>
        <v>0</v>
      </c>
      <c r="I72" s="4">
        <f>SUMIFS(tblDaily[TransfersIn],tblDaily[Month],5,tblDaily[WardCode],"FAE")</f>
        <v>0</v>
      </c>
      <c r="J72" s="4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98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120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22" t="s">
        <v>0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5.75" x14ac:dyDescent="0.25">
      <c r="A77" s="27" t="s">
        <v>125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38.25" x14ac:dyDescent="0.25">
      <c r="A78" s="8" t="s">
        <v>108</v>
      </c>
      <c r="B78" s="8" t="s">
        <v>109</v>
      </c>
      <c r="C78" s="8" t="s">
        <v>110</v>
      </c>
      <c r="D78" s="8" t="s">
        <v>60</v>
      </c>
      <c r="E78" s="8" t="s">
        <v>61</v>
      </c>
      <c r="F78" s="8" t="s">
        <v>62</v>
      </c>
      <c r="G78" s="8" t="s">
        <v>94</v>
      </c>
      <c r="H78" s="8" t="s">
        <v>111</v>
      </c>
      <c r="I78" s="8" t="s">
        <v>112</v>
      </c>
      <c r="J78" s="8" t="s">
        <v>113</v>
      </c>
      <c r="K78" s="8" t="s">
        <v>114</v>
      </c>
      <c r="L78" s="8" t="s">
        <v>115</v>
      </c>
      <c r="M78" s="8" t="s">
        <v>116</v>
      </c>
      <c r="N78" s="8" t="s">
        <v>117</v>
      </c>
      <c r="O78" s="8" t="s">
        <v>118</v>
      </c>
      <c r="P78" s="8" t="s">
        <v>119</v>
      </c>
    </row>
    <row r="79" spans="1:16" x14ac:dyDescent="0.25">
      <c r="A79" s="11" t="s">
        <v>25</v>
      </c>
      <c r="B79" s="4">
        <f>IFERROR(SUMIFS(tblDaily[Remaining],tblDaily[EntryDate],DATE(2026,5,31),tblDaily[WardCode],"MW"),0)</f>
        <v>0</v>
      </c>
      <c r="C79" s="4">
        <f>IFERROR(INDEX(tblWardConfig[BedComplement],MATCH("MW",tblWardConfig[WardCode],0)),0)</f>
        <v>32</v>
      </c>
      <c r="D79" s="4">
        <f>SUMIFS(tblDaily[Admissions],tblDaily[Month],6,tblDaily[WardCode],"MW")</f>
        <v>0</v>
      </c>
      <c r="E79" s="4">
        <f>SUMIFS(tblDaily[Discharges],tblDaily[Month],6,tblDaily[WardCode],"MW")</f>
        <v>0</v>
      </c>
      <c r="F79" s="4">
        <f>SUMIFS(tblDaily[Deaths],tblDaily[Month],6,tblDaily[WardCode],"MW")</f>
        <v>0</v>
      </c>
      <c r="G79" s="4">
        <f>SUMIFS(tblDaily[DeathsUnder24Hrs],tblDaily[Month],6,tblDaily[WardCode],"MW")</f>
        <v>0</v>
      </c>
      <c r="H79" s="4">
        <f>SUMIFS(tblDaily[Remaining],tblDaily[Month],6,tblDaily[WardCode],"MW")</f>
        <v>0</v>
      </c>
      <c r="I79" s="4">
        <f>SUMIFS(tblDaily[TransfersIn],tblDaily[Month],6,tblDaily[WardCode],"MW")</f>
        <v>0</v>
      </c>
      <c r="J79" s="4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27</v>
      </c>
      <c r="B80" s="4">
        <f>IFERROR(SUMIFS(tblDaily[Remaining],tblDaily[EntryDate],DATE(2026,5,31),tblDaily[WardCode],"FW"),0)</f>
        <v>0</v>
      </c>
      <c r="C80" s="4">
        <f>IFERROR(INDEX(tblWardConfig[BedComplement],MATCH("FW",tblWardConfig[WardCode],0)),0)</f>
        <v>28</v>
      </c>
      <c r="D80" s="4">
        <f>SUMIFS(tblDaily[Admissions],tblDaily[Month],6,tblDaily[WardCode],"FW")</f>
        <v>0</v>
      </c>
      <c r="E80" s="4">
        <f>SUMIFS(tblDaily[Discharges],tblDaily[Month],6,tblDaily[WardCode],"FW")</f>
        <v>0</v>
      </c>
      <c r="F80" s="4">
        <f>SUMIFS(tblDaily[Deaths],tblDaily[Month],6,tblDaily[WardCode],"FW")</f>
        <v>0</v>
      </c>
      <c r="G80" s="4">
        <f>SUMIFS(tblDaily[DeathsUnder24Hrs],tblDaily[Month],6,tblDaily[WardCode],"FW")</f>
        <v>0</v>
      </c>
      <c r="H80" s="4">
        <f>SUMIFS(tblDaily[Remaining],tblDaily[Month],6,tblDaily[WardCode],"FW")</f>
        <v>0</v>
      </c>
      <c r="I80" s="4">
        <f>SUMIFS(tblDaily[TransfersIn],tblDaily[Month],6,tblDaily[WardCode],"FW")</f>
        <v>0</v>
      </c>
      <c r="J80" s="4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29</v>
      </c>
      <c r="B81" s="4">
        <f>IFERROR(SUMIFS(tblDaily[Remaining],tblDaily[EntryDate],DATE(2026,5,31),tblDaily[WardCode],"CW"),0)</f>
        <v>0</v>
      </c>
      <c r="C81" s="4">
        <f>IFERROR(INDEX(tblWardConfig[BedComplement],MATCH("CW",tblWardConfig[WardCode],0)),0)</f>
        <v>27</v>
      </c>
      <c r="D81" s="4">
        <f>SUMIFS(tblDaily[Admissions],tblDaily[Month],6,tblDaily[WardCode],"CW")</f>
        <v>0</v>
      </c>
      <c r="E81" s="4">
        <f>SUMIFS(tblDaily[Discharges],tblDaily[Month],6,tblDaily[WardCode],"CW")</f>
        <v>0</v>
      </c>
      <c r="F81" s="4">
        <f>SUMIFS(tblDaily[Deaths],tblDaily[Month],6,tblDaily[WardCode],"CW")</f>
        <v>0</v>
      </c>
      <c r="G81" s="4">
        <f>SUMIFS(tblDaily[DeathsUnder24Hrs],tblDaily[Month],6,tblDaily[WardCode],"CW")</f>
        <v>0</v>
      </c>
      <c r="H81" s="4">
        <f>SUMIFS(tblDaily[Remaining],tblDaily[Month],6,tblDaily[WardCode],"CW")</f>
        <v>0</v>
      </c>
      <c r="I81" s="4">
        <f>SUMIFS(tblDaily[TransfersIn],tblDaily[Month],6,tblDaily[WardCode],"CW")</f>
        <v>0</v>
      </c>
      <c r="J81" s="4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31</v>
      </c>
      <c r="B82" s="4">
        <f>IFERROR(SUMIFS(tblDaily[Remaining],tblDaily[EntryDate],DATE(2026,5,31),tblDaily[WardCode],"BF"),0)</f>
        <v>0</v>
      </c>
      <c r="C82" s="4">
        <f>IFERROR(INDEX(tblWardConfig[BedComplement],MATCH("BF",tblWardConfig[WardCode],0)),0)</f>
        <v>20</v>
      </c>
      <c r="D82" s="4">
        <f>SUMIFS(tblDaily[Admissions],tblDaily[Month],6,tblDaily[WardCode],"BF")</f>
        <v>0</v>
      </c>
      <c r="E82" s="4">
        <f>SUMIFS(tblDaily[Discharges],tblDaily[Month],6,tblDaily[WardCode],"BF")</f>
        <v>0</v>
      </c>
      <c r="F82" s="4">
        <f>SUMIFS(tblDaily[Deaths],tblDaily[Month],6,tblDaily[WardCode],"BF")</f>
        <v>0</v>
      </c>
      <c r="G82" s="4">
        <f>SUMIFS(tblDaily[DeathsUnder24Hrs],tblDaily[Month],6,tblDaily[WardCode],"BF")</f>
        <v>0</v>
      </c>
      <c r="H82" s="4">
        <f>SUMIFS(tblDaily[Remaining],tblDaily[Month],6,tblDaily[WardCode],"BF")</f>
        <v>0</v>
      </c>
      <c r="I82" s="4">
        <f>SUMIFS(tblDaily[TransfersIn],tblDaily[Month],6,tblDaily[WardCode],"BF")</f>
        <v>0</v>
      </c>
      <c r="J82" s="4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33</v>
      </c>
      <c r="B83" s="4">
        <f>IFERROR(SUMIFS(tblDaily[Remaining],tblDaily[EntryDate],DATE(2026,5,31),tblDaily[WardCode],"BG"),0)</f>
        <v>0</v>
      </c>
      <c r="C83" s="4">
        <f>IFERROR(INDEX(tblWardConfig[BedComplement],MATCH("BG",tblWardConfig[WardCode],0)),0)</f>
        <v>14</v>
      </c>
      <c r="D83" s="4">
        <f>SUMIFS(tblDaily[Admissions],tblDaily[Month],6,tblDaily[WardCode],"BG")</f>
        <v>0</v>
      </c>
      <c r="E83" s="4">
        <f>SUMIFS(tblDaily[Discharges],tblDaily[Month],6,tblDaily[WardCode],"BG")</f>
        <v>0</v>
      </c>
      <c r="F83" s="4">
        <f>SUMIFS(tblDaily[Deaths],tblDaily[Month],6,tblDaily[WardCode],"BG")</f>
        <v>0</v>
      </c>
      <c r="G83" s="4">
        <f>SUMIFS(tblDaily[DeathsUnder24Hrs],tblDaily[Month],6,tblDaily[WardCode],"BG")</f>
        <v>0</v>
      </c>
      <c r="H83" s="4">
        <f>SUMIFS(tblDaily[Remaining],tblDaily[Month],6,tblDaily[WardCode],"BG")</f>
        <v>0</v>
      </c>
      <c r="I83" s="4">
        <f>SUMIFS(tblDaily[TransfersIn],tblDaily[Month],6,tblDaily[WardCode],"BG")</f>
        <v>0</v>
      </c>
      <c r="J83" s="4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35</v>
      </c>
      <c r="B84" s="4">
        <f>IFERROR(SUMIFS(tblDaily[Remaining],tblDaily[EntryDate],DATE(2026,5,31),tblDaily[WardCode],"BH"),0)</f>
        <v>0</v>
      </c>
      <c r="C84" s="4">
        <f>IFERROR(INDEX(tblWardConfig[BedComplement],MATCH("BH",tblWardConfig[WardCode],0)),0)</f>
        <v>22</v>
      </c>
      <c r="D84" s="4">
        <f>SUMIFS(tblDaily[Admissions],tblDaily[Month],6,tblDaily[WardCode],"BH")</f>
        <v>0</v>
      </c>
      <c r="E84" s="4">
        <f>SUMIFS(tblDaily[Discharges],tblDaily[Month],6,tblDaily[WardCode],"BH")</f>
        <v>0</v>
      </c>
      <c r="F84" s="4">
        <f>SUMIFS(tblDaily[Deaths],tblDaily[Month],6,tblDaily[WardCode],"BH")</f>
        <v>0</v>
      </c>
      <c r="G84" s="4">
        <f>SUMIFS(tblDaily[DeathsUnder24Hrs],tblDaily[Month],6,tblDaily[WardCode],"BH")</f>
        <v>0</v>
      </c>
      <c r="H84" s="4">
        <f>SUMIFS(tblDaily[Remaining],tblDaily[Month],6,tblDaily[WardCode],"BH")</f>
        <v>0</v>
      </c>
      <c r="I84" s="4">
        <f>SUMIFS(tblDaily[TransfersIn],tblDaily[Month],6,tblDaily[WardCode],"BH")</f>
        <v>0</v>
      </c>
      <c r="J84" s="4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37</v>
      </c>
      <c r="B85" s="4">
        <f>IFERROR(SUMIFS(tblDaily[Remaining],tblDaily[EntryDate],DATE(2026,5,31),tblDaily[WardCode],"NICU"),0)</f>
        <v>0</v>
      </c>
      <c r="C85" s="4">
        <f>IFERROR(INDEX(tblWardConfig[BedComplement],MATCH("NICU",tblWardConfig[WardCode],0)),0)</f>
        <v>15</v>
      </c>
      <c r="D85" s="4">
        <f>SUMIFS(tblDaily[Admissions],tblDaily[Month],6,tblDaily[WardCode],"NICU")</f>
        <v>0</v>
      </c>
      <c r="E85" s="4">
        <f>SUMIFS(tblDaily[Discharges],tblDaily[Month],6,tblDaily[WardCode],"NICU")</f>
        <v>0</v>
      </c>
      <c r="F85" s="4">
        <f>SUMIFS(tblDaily[Deaths],tblDaily[Month],6,tblDaily[WardCode],"NICU")</f>
        <v>0</v>
      </c>
      <c r="G85" s="4">
        <f>SUMIFS(tblDaily[DeathsUnder24Hrs],tblDaily[Month],6,tblDaily[WardCode],"NICU")</f>
        <v>0</v>
      </c>
      <c r="H85" s="4">
        <f>SUMIFS(tblDaily[Remaining],tblDaily[Month],6,tblDaily[WardCode],"NICU")</f>
        <v>0</v>
      </c>
      <c r="I85" s="4">
        <f>SUMIFS(tblDaily[TransfersIn],tblDaily[Month],6,tblDaily[WardCode],"NICU")</f>
        <v>0</v>
      </c>
      <c r="J85" s="4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39</v>
      </c>
      <c r="B86" s="4">
        <f>IFERROR(SUMIFS(tblDaily[Remaining],tblDaily[EntryDate],DATE(2026,5,31),tblDaily[WardCode],"MAE"),0)</f>
        <v>0</v>
      </c>
      <c r="C86" s="4">
        <f>IFERROR(INDEX(tblWardConfig[BedComplement],MATCH("MAE",tblWardConfig[WardCode],0)),0)</f>
        <v>10</v>
      </c>
      <c r="D86" s="4">
        <f>SUMIFS(tblDaily[Admissions],tblDaily[Month],6,tblDaily[WardCode],"MAE")</f>
        <v>0</v>
      </c>
      <c r="E86" s="4">
        <f>SUMIFS(tblDaily[Discharges],tblDaily[Month],6,tblDaily[WardCode],"MAE")</f>
        <v>0</v>
      </c>
      <c r="F86" s="4">
        <f>SUMIFS(tblDaily[Deaths],tblDaily[Month],6,tblDaily[WardCode],"MAE")</f>
        <v>0</v>
      </c>
      <c r="G86" s="4">
        <f>SUMIFS(tblDaily[DeathsUnder24Hrs],tblDaily[Month],6,tblDaily[WardCode],"MAE")</f>
        <v>0</v>
      </c>
      <c r="H86" s="4">
        <f>SUMIFS(tblDaily[Remaining],tblDaily[Month],6,tblDaily[WardCode],"MAE")</f>
        <v>0</v>
      </c>
      <c r="I86" s="4">
        <f>SUMIFS(tblDaily[TransfersIn],tblDaily[Month],6,tblDaily[WardCode],"MAE")</f>
        <v>0</v>
      </c>
      <c r="J86" s="4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41</v>
      </c>
      <c r="B87" s="4">
        <f>IFERROR(SUMIFS(tblDaily[Remaining],tblDaily[EntryDate],DATE(2026,5,31),tblDaily[WardCode],"FAE"),0)</f>
        <v>0</v>
      </c>
      <c r="C87" s="4">
        <f>IFERROR(INDEX(tblWardConfig[BedComplement],MATCH("FAE",tblWardConfig[WardCode],0)),0)</f>
        <v>10</v>
      </c>
      <c r="D87" s="4">
        <f>SUMIFS(tblDaily[Admissions],tblDaily[Month],6,tblDaily[WardCode],"FAE")</f>
        <v>0</v>
      </c>
      <c r="E87" s="4">
        <f>SUMIFS(tblDaily[Discharges],tblDaily[Month],6,tblDaily[WardCode],"FAE")</f>
        <v>0</v>
      </c>
      <c r="F87" s="4">
        <f>SUMIFS(tblDaily[Deaths],tblDaily[Month],6,tblDaily[WardCode],"FAE")</f>
        <v>0</v>
      </c>
      <c r="G87" s="4">
        <f>SUMIFS(tblDaily[DeathsUnder24Hrs],tblDaily[Month],6,tblDaily[WardCode],"FAE")</f>
        <v>0</v>
      </c>
      <c r="H87" s="4">
        <f>SUMIFS(tblDaily[Remaining],tblDaily[Month],6,tblDaily[WardCode],"FAE")</f>
        <v>0</v>
      </c>
      <c r="I87" s="4">
        <f>SUMIFS(tblDaily[TransfersIn],tblDaily[Month],6,tblDaily[WardCode],"FAE")</f>
        <v>0</v>
      </c>
      <c r="J87" s="4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98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120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22" t="s">
        <v>0</v>
      </c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</row>
    <row r="92" spans="1:16" ht="15.75" x14ac:dyDescent="0.25">
      <c r="A92" s="27" t="s">
        <v>126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</row>
    <row r="93" spans="1:16" ht="38.25" x14ac:dyDescent="0.25">
      <c r="A93" s="8" t="s">
        <v>108</v>
      </c>
      <c r="B93" s="8" t="s">
        <v>109</v>
      </c>
      <c r="C93" s="8" t="s">
        <v>110</v>
      </c>
      <c r="D93" s="8" t="s">
        <v>60</v>
      </c>
      <c r="E93" s="8" t="s">
        <v>61</v>
      </c>
      <c r="F93" s="8" t="s">
        <v>62</v>
      </c>
      <c r="G93" s="8" t="s">
        <v>94</v>
      </c>
      <c r="H93" s="8" t="s">
        <v>111</v>
      </c>
      <c r="I93" s="8" t="s">
        <v>112</v>
      </c>
      <c r="J93" s="8" t="s">
        <v>113</v>
      </c>
      <c r="K93" s="8" t="s">
        <v>114</v>
      </c>
      <c r="L93" s="8" t="s">
        <v>115</v>
      </c>
      <c r="M93" s="8" t="s">
        <v>116</v>
      </c>
      <c r="N93" s="8" t="s">
        <v>117</v>
      </c>
      <c r="O93" s="8" t="s">
        <v>118</v>
      </c>
      <c r="P93" s="8" t="s">
        <v>119</v>
      </c>
    </row>
    <row r="94" spans="1:16" x14ac:dyDescent="0.25">
      <c r="A94" s="11" t="s">
        <v>25</v>
      </c>
      <c r="B94" s="4">
        <f>IFERROR(SUMIFS(tblDaily[Remaining],tblDaily[EntryDate],DATE(2026,6,30),tblDaily[WardCode],"MW"),0)</f>
        <v>0</v>
      </c>
      <c r="C94" s="4">
        <f>IFERROR(INDEX(tblWardConfig[BedComplement],MATCH("MW",tblWardConfig[WardCode],0)),0)</f>
        <v>32</v>
      </c>
      <c r="D94" s="4">
        <f>SUMIFS(tblDaily[Admissions],tblDaily[Month],7,tblDaily[WardCode],"MW")</f>
        <v>0</v>
      </c>
      <c r="E94" s="4">
        <f>SUMIFS(tblDaily[Discharges],tblDaily[Month],7,tblDaily[WardCode],"MW")</f>
        <v>0</v>
      </c>
      <c r="F94" s="4">
        <f>SUMIFS(tblDaily[Deaths],tblDaily[Month],7,tblDaily[WardCode],"MW")</f>
        <v>0</v>
      </c>
      <c r="G94" s="4">
        <f>SUMIFS(tblDaily[DeathsUnder24Hrs],tblDaily[Month],7,tblDaily[WardCode],"MW")</f>
        <v>0</v>
      </c>
      <c r="H94" s="4">
        <f>SUMIFS(tblDaily[Remaining],tblDaily[Month],7,tblDaily[WardCode],"MW")</f>
        <v>0</v>
      </c>
      <c r="I94" s="4">
        <f>SUMIFS(tblDaily[TransfersIn],tblDaily[Month],7,tblDaily[WardCode],"MW")</f>
        <v>0</v>
      </c>
      <c r="J94" s="4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27</v>
      </c>
      <c r="B95" s="4">
        <f>IFERROR(SUMIFS(tblDaily[Remaining],tblDaily[EntryDate],DATE(2026,6,30),tblDaily[WardCode],"FW"),0)</f>
        <v>0</v>
      </c>
      <c r="C95" s="4">
        <f>IFERROR(INDEX(tblWardConfig[BedComplement],MATCH("FW",tblWardConfig[WardCode],0)),0)</f>
        <v>28</v>
      </c>
      <c r="D95" s="4">
        <f>SUMIFS(tblDaily[Admissions],tblDaily[Month],7,tblDaily[WardCode],"FW")</f>
        <v>0</v>
      </c>
      <c r="E95" s="4">
        <f>SUMIFS(tblDaily[Discharges],tblDaily[Month],7,tblDaily[WardCode],"FW")</f>
        <v>0</v>
      </c>
      <c r="F95" s="4">
        <f>SUMIFS(tblDaily[Deaths],tblDaily[Month],7,tblDaily[WardCode],"FW")</f>
        <v>0</v>
      </c>
      <c r="G95" s="4">
        <f>SUMIFS(tblDaily[DeathsUnder24Hrs],tblDaily[Month],7,tblDaily[WardCode],"FW")</f>
        <v>0</v>
      </c>
      <c r="H95" s="4">
        <f>SUMIFS(tblDaily[Remaining],tblDaily[Month],7,tblDaily[WardCode],"FW")</f>
        <v>0</v>
      </c>
      <c r="I95" s="4">
        <f>SUMIFS(tblDaily[TransfersIn],tblDaily[Month],7,tblDaily[WardCode],"FW")</f>
        <v>0</v>
      </c>
      <c r="J95" s="4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29</v>
      </c>
      <c r="B96" s="4">
        <f>IFERROR(SUMIFS(tblDaily[Remaining],tblDaily[EntryDate],DATE(2026,6,30),tblDaily[WardCode],"CW"),0)</f>
        <v>0</v>
      </c>
      <c r="C96" s="4">
        <f>IFERROR(INDEX(tblWardConfig[BedComplement],MATCH("CW",tblWardConfig[WardCode],0)),0)</f>
        <v>27</v>
      </c>
      <c r="D96" s="4">
        <f>SUMIFS(tblDaily[Admissions],tblDaily[Month],7,tblDaily[WardCode],"CW")</f>
        <v>0</v>
      </c>
      <c r="E96" s="4">
        <f>SUMIFS(tblDaily[Discharges],tblDaily[Month],7,tblDaily[WardCode],"CW")</f>
        <v>0</v>
      </c>
      <c r="F96" s="4">
        <f>SUMIFS(tblDaily[Deaths],tblDaily[Month],7,tblDaily[WardCode],"CW")</f>
        <v>0</v>
      </c>
      <c r="G96" s="4">
        <f>SUMIFS(tblDaily[DeathsUnder24Hrs],tblDaily[Month],7,tblDaily[WardCode],"CW")</f>
        <v>0</v>
      </c>
      <c r="H96" s="4">
        <f>SUMIFS(tblDaily[Remaining],tblDaily[Month],7,tblDaily[WardCode],"CW")</f>
        <v>0</v>
      </c>
      <c r="I96" s="4">
        <f>SUMIFS(tblDaily[TransfersIn],tblDaily[Month],7,tblDaily[WardCode],"CW")</f>
        <v>0</v>
      </c>
      <c r="J96" s="4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31</v>
      </c>
      <c r="B97" s="4">
        <f>IFERROR(SUMIFS(tblDaily[Remaining],tblDaily[EntryDate],DATE(2026,6,30),tblDaily[WardCode],"BF"),0)</f>
        <v>0</v>
      </c>
      <c r="C97" s="4">
        <f>IFERROR(INDEX(tblWardConfig[BedComplement],MATCH("BF",tblWardConfig[WardCode],0)),0)</f>
        <v>20</v>
      </c>
      <c r="D97" s="4">
        <f>SUMIFS(tblDaily[Admissions],tblDaily[Month],7,tblDaily[WardCode],"BF")</f>
        <v>0</v>
      </c>
      <c r="E97" s="4">
        <f>SUMIFS(tblDaily[Discharges],tblDaily[Month],7,tblDaily[WardCode],"BF")</f>
        <v>0</v>
      </c>
      <c r="F97" s="4">
        <f>SUMIFS(tblDaily[Deaths],tblDaily[Month],7,tblDaily[WardCode],"BF")</f>
        <v>0</v>
      </c>
      <c r="G97" s="4">
        <f>SUMIFS(tblDaily[DeathsUnder24Hrs],tblDaily[Month],7,tblDaily[WardCode],"BF")</f>
        <v>0</v>
      </c>
      <c r="H97" s="4">
        <f>SUMIFS(tblDaily[Remaining],tblDaily[Month],7,tblDaily[WardCode],"BF")</f>
        <v>0</v>
      </c>
      <c r="I97" s="4">
        <f>SUMIFS(tblDaily[TransfersIn],tblDaily[Month],7,tblDaily[WardCode],"BF")</f>
        <v>0</v>
      </c>
      <c r="J97" s="4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33</v>
      </c>
      <c r="B98" s="4">
        <f>IFERROR(SUMIFS(tblDaily[Remaining],tblDaily[EntryDate],DATE(2026,6,30),tblDaily[WardCode],"BG"),0)</f>
        <v>0</v>
      </c>
      <c r="C98" s="4">
        <f>IFERROR(INDEX(tblWardConfig[BedComplement],MATCH("BG",tblWardConfig[WardCode],0)),0)</f>
        <v>14</v>
      </c>
      <c r="D98" s="4">
        <f>SUMIFS(tblDaily[Admissions],tblDaily[Month],7,tblDaily[WardCode],"BG")</f>
        <v>0</v>
      </c>
      <c r="E98" s="4">
        <f>SUMIFS(tblDaily[Discharges],tblDaily[Month],7,tblDaily[WardCode],"BG")</f>
        <v>0</v>
      </c>
      <c r="F98" s="4">
        <f>SUMIFS(tblDaily[Deaths],tblDaily[Month],7,tblDaily[WardCode],"BG")</f>
        <v>0</v>
      </c>
      <c r="G98" s="4">
        <f>SUMIFS(tblDaily[DeathsUnder24Hrs],tblDaily[Month],7,tblDaily[WardCode],"BG")</f>
        <v>0</v>
      </c>
      <c r="H98" s="4">
        <f>SUMIFS(tblDaily[Remaining],tblDaily[Month],7,tblDaily[WardCode],"BG")</f>
        <v>0</v>
      </c>
      <c r="I98" s="4">
        <f>SUMIFS(tblDaily[TransfersIn],tblDaily[Month],7,tblDaily[WardCode],"BG")</f>
        <v>0</v>
      </c>
      <c r="J98" s="4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35</v>
      </c>
      <c r="B99" s="4">
        <f>IFERROR(SUMIFS(tblDaily[Remaining],tblDaily[EntryDate],DATE(2026,6,30),tblDaily[WardCode],"BH"),0)</f>
        <v>0</v>
      </c>
      <c r="C99" s="4">
        <f>IFERROR(INDEX(tblWardConfig[BedComplement],MATCH("BH",tblWardConfig[WardCode],0)),0)</f>
        <v>22</v>
      </c>
      <c r="D99" s="4">
        <f>SUMIFS(tblDaily[Admissions],tblDaily[Month],7,tblDaily[WardCode],"BH")</f>
        <v>0</v>
      </c>
      <c r="E99" s="4">
        <f>SUMIFS(tblDaily[Discharges],tblDaily[Month],7,tblDaily[WardCode],"BH")</f>
        <v>0</v>
      </c>
      <c r="F99" s="4">
        <f>SUMIFS(tblDaily[Deaths],tblDaily[Month],7,tblDaily[WardCode],"BH")</f>
        <v>0</v>
      </c>
      <c r="G99" s="4">
        <f>SUMIFS(tblDaily[DeathsUnder24Hrs],tblDaily[Month],7,tblDaily[WardCode],"BH")</f>
        <v>0</v>
      </c>
      <c r="H99" s="4">
        <f>SUMIFS(tblDaily[Remaining],tblDaily[Month],7,tblDaily[WardCode],"BH")</f>
        <v>0</v>
      </c>
      <c r="I99" s="4">
        <f>SUMIFS(tblDaily[TransfersIn],tblDaily[Month],7,tblDaily[WardCode],"BH")</f>
        <v>0</v>
      </c>
      <c r="J99" s="4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37</v>
      </c>
      <c r="B100" s="4">
        <f>IFERROR(SUMIFS(tblDaily[Remaining],tblDaily[EntryDate],DATE(2026,6,30),tblDaily[WardCode],"NICU"),0)</f>
        <v>0</v>
      </c>
      <c r="C100" s="4">
        <f>IFERROR(INDEX(tblWardConfig[BedComplement],MATCH("NICU",tblWardConfig[WardCode],0)),0)</f>
        <v>15</v>
      </c>
      <c r="D100" s="4">
        <f>SUMIFS(tblDaily[Admissions],tblDaily[Month],7,tblDaily[WardCode],"NICU")</f>
        <v>0</v>
      </c>
      <c r="E100" s="4">
        <f>SUMIFS(tblDaily[Discharges],tblDaily[Month],7,tblDaily[WardCode],"NICU")</f>
        <v>0</v>
      </c>
      <c r="F100" s="4">
        <f>SUMIFS(tblDaily[Deaths],tblDaily[Month],7,tblDaily[WardCode],"NICU")</f>
        <v>0</v>
      </c>
      <c r="G100" s="4">
        <f>SUMIFS(tblDaily[DeathsUnder24Hrs],tblDaily[Month],7,tblDaily[WardCode],"NICU")</f>
        <v>0</v>
      </c>
      <c r="H100" s="4">
        <f>SUMIFS(tblDaily[Remaining],tblDaily[Month],7,tblDaily[WardCode],"NICU")</f>
        <v>0</v>
      </c>
      <c r="I100" s="4">
        <f>SUMIFS(tblDaily[TransfersIn],tblDaily[Month],7,tblDaily[WardCode],"NICU")</f>
        <v>0</v>
      </c>
      <c r="J100" s="4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39</v>
      </c>
      <c r="B101" s="4">
        <f>IFERROR(SUMIFS(tblDaily[Remaining],tblDaily[EntryDate],DATE(2026,6,30),tblDaily[WardCode],"MAE"),0)</f>
        <v>0</v>
      </c>
      <c r="C101" s="4">
        <f>IFERROR(INDEX(tblWardConfig[BedComplement],MATCH("MAE",tblWardConfig[WardCode],0)),0)</f>
        <v>10</v>
      </c>
      <c r="D101" s="4">
        <f>SUMIFS(tblDaily[Admissions],tblDaily[Month],7,tblDaily[WardCode],"MAE")</f>
        <v>0</v>
      </c>
      <c r="E101" s="4">
        <f>SUMIFS(tblDaily[Discharges],tblDaily[Month],7,tblDaily[WardCode],"MAE")</f>
        <v>0</v>
      </c>
      <c r="F101" s="4">
        <f>SUMIFS(tblDaily[Deaths],tblDaily[Month],7,tblDaily[WardCode],"MAE")</f>
        <v>0</v>
      </c>
      <c r="G101" s="4">
        <f>SUMIFS(tblDaily[DeathsUnder24Hrs],tblDaily[Month],7,tblDaily[WardCode],"MAE")</f>
        <v>0</v>
      </c>
      <c r="H101" s="4">
        <f>SUMIFS(tblDaily[Remaining],tblDaily[Month],7,tblDaily[WardCode],"MAE")</f>
        <v>0</v>
      </c>
      <c r="I101" s="4">
        <f>SUMIFS(tblDaily[TransfersIn],tblDaily[Month],7,tblDaily[WardCode],"MAE")</f>
        <v>0</v>
      </c>
      <c r="J101" s="4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41</v>
      </c>
      <c r="B102" s="4">
        <f>IFERROR(SUMIFS(tblDaily[Remaining],tblDaily[EntryDate],DATE(2026,6,30),tblDaily[WardCode],"FAE"),0)</f>
        <v>0</v>
      </c>
      <c r="C102" s="4">
        <f>IFERROR(INDEX(tblWardConfig[BedComplement],MATCH("FAE",tblWardConfig[WardCode],0)),0)</f>
        <v>10</v>
      </c>
      <c r="D102" s="4">
        <f>SUMIFS(tblDaily[Admissions],tblDaily[Month],7,tblDaily[WardCode],"FAE")</f>
        <v>0</v>
      </c>
      <c r="E102" s="4">
        <f>SUMIFS(tblDaily[Discharges],tblDaily[Month],7,tblDaily[WardCode],"FAE")</f>
        <v>0</v>
      </c>
      <c r="F102" s="4">
        <f>SUMIFS(tblDaily[Deaths],tblDaily[Month],7,tblDaily[WardCode],"FAE")</f>
        <v>0</v>
      </c>
      <c r="G102" s="4">
        <f>SUMIFS(tblDaily[DeathsUnder24Hrs],tblDaily[Month],7,tblDaily[WardCode],"FAE")</f>
        <v>0</v>
      </c>
      <c r="H102" s="4">
        <f>SUMIFS(tblDaily[Remaining],tblDaily[Month],7,tblDaily[WardCode],"FAE")</f>
        <v>0</v>
      </c>
      <c r="I102" s="4">
        <f>SUMIFS(tblDaily[TransfersIn],tblDaily[Month],7,tblDaily[WardCode],"FAE")</f>
        <v>0</v>
      </c>
      <c r="J102" s="4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98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120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22" t="s">
        <v>0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</row>
    <row r="107" spans="1:16" ht="15.75" x14ac:dyDescent="0.25">
      <c r="A107" s="27" t="s">
        <v>127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</row>
    <row r="108" spans="1:16" ht="38.25" x14ac:dyDescent="0.25">
      <c r="A108" s="8" t="s">
        <v>108</v>
      </c>
      <c r="B108" s="8" t="s">
        <v>109</v>
      </c>
      <c r="C108" s="8" t="s">
        <v>110</v>
      </c>
      <c r="D108" s="8" t="s">
        <v>60</v>
      </c>
      <c r="E108" s="8" t="s">
        <v>61</v>
      </c>
      <c r="F108" s="8" t="s">
        <v>62</v>
      </c>
      <c r="G108" s="8" t="s">
        <v>94</v>
      </c>
      <c r="H108" s="8" t="s">
        <v>111</v>
      </c>
      <c r="I108" s="8" t="s">
        <v>112</v>
      </c>
      <c r="J108" s="8" t="s">
        <v>113</v>
      </c>
      <c r="K108" s="8" t="s">
        <v>114</v>
      </c>
      <c r="L108" s="8" t="s">
        <v>115</v>
      </c>
      <c r="M108" s="8" t="s">
        <v>116</v>
      </c>
      <c r="N108" s="8" t="s">
        <v>117</v>
      </c>
      <c r="O108" s="8" t="s">
        <v>118</v>
      </c>
      <c r="P108" s="8" t="s">
        <v>119</v>
      </c>
    </row>
    <row r="109" spans="1:16" x14ac:dyDescent="0.25">
      <c r="A109" s="11" t="s">
        <v>25</v>
      </c>
      <c r="B109" s="4">
        <f>IFERROR(SUMIFS(tblDaily[Remaining],tblDaily[EntryDate],DATE(2026,7,31),tblDaily[WardCode],"MW"),0)</f>
        <v>0</v>
      </c>
      <c r="C109" s="4">
        <f>IFERROR(INDEX(tblWardConfig[BedComplement],MATCH("MW",tblWardConfig[WardCode],0)),0)</f>
        <v>32</v>
      </c>
      <c r="D109" s="4">
        <f>SUMIFS(tblDaily[Admissions],tblDaily[Month],8,tblDaily[WardCode],"MW")</f>
        <v>0</v>
      </c>
      <c r="E109" s="4">
        <f>SUMIFS(tblDaily[Discharges],tblDaily[Month],8,tblDaily[WardCode],"MW")</f>
        <v>0</v>
      </c>
      <c r="F109" s="4">
        <f>SUMIFS(tblDaily[Deaths],tblDaily[Month],8,tblDaily[WardCode],"MW")</f>
        <v>0</v>
      </c>
      <c r="G109" s="4">
        <f>SUMIFS(tblDaily[DeathsUnder24Hrs],tblDaily[Month],8,tblDaily[WardCode],"MW")</f>
        <v>0</v>
      </c>
      <c r="H109" s="4">
        <f>SUMIFS(tblDaily[Remaining],tblDaily[Month],8,tblDaily[WardCode],"MW")</f>
        <v>0</v>
      </c>
      <c r="I109" s="4">
        <f>SUMIFS(tblDaily[TransfersIn],tblDaily[Month],8,tblDaily[WardCode],"MW")</f>
        <v>0</v>
      </c>
      <c r="J109" s="4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27</v>
      </c>
      <c r="B110" s="4">
        <f>IFERROR(SUMIFS(tblDaily[Remaining],tblDaily[EntryDate],DATE(2026,7,31),tblDaily[WardCode],"FW"),0)</f>
        <v>0</v>
      </c>
      <c r="C110" s="4">
        <f>IFERROR(INDEX(tblWardConfig[BedComplement],MATCH("FW",tblWardConfig[WardCode],0)),0)</f>
        <v>28</v>
      </c>
      <c r="D110" s="4">
        <f>SUMIFS(tblDaily[Admissions],tblDaily[Month],8,tblDaily[WardCode],"FW")</f>
        <v>0</v>
      </c>
      <c r="E110" s="4">
        <f>SUMIFS(tblDaily[Discharges],tblDaily[Month],8,tblDaily[WardCode],"FW")</f>
        <v>0</v>
      </c>
      <c r="F110" s="4">
        <f>SUMIFS(tblDaily[Deaths],tblDaily[Month],8,tblDaily[WardCode],"FW")</f>
        <v>0</v>
      </c>
      <c r="G110" s="4">
        <f>SUMIFS(tblDaily[DeathsUnder24Hrs],tblDaily[Month],8,tblDaily[WardCode],"FW")</f>
        <v>0</v>
      </c>
      <c r="H110" s="4">
        <f>SUMIFS(tblDaily[Remaining],tblDaily[Month],8,tblDaily[WardCode],"FW")</f>
        <v>0</v>
      </c>
      <c r="I110" s="4">
        <f>SUMIFS(tblDaily[TransfersIn],tblDaily[Month],8,tblDaily[WardCode],"FW")</f>
        <v>0</v>
      </c>
      <c r="J110" s="4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29</v>
      </c>
      <c r="B111" s="4">
        <f>IFERROR(SUMIFS(tblDaily[Remaining],tblDaily[EntryDate],DATE(2026,7,31),tblDaily[WardCode],"CW"),0)</f>
        <v>0</v>
      </c>
      <c r="C111" s="4">
        <f>IFERROR(INDEX(tblWardConfig[BedComplement],MATCH("CW",tblWardConfig[WardCode],0)),0)</f>
        <v>27</v>
      </c>
      <c r="D111" s="4">
        <f>SUMIFS(tblDaily[Admissions],tblDaily[Month],8,tblDaily[WardCode],"CW")</f>
        <v>0</v>
      </c>
      <c r="E111" s="4">
        <f>SUMIFS(tblDaily[Discharges],tblDaily[Month],8,tblDaily[WardCode],"CW")</f>
        <v>0</v>
      </c>
      <c r="F111" s="4">
        <f>SUMIFS(tblDaily[Deaths],tblDaily[Month],8,tblDaily[WardCode],"CW")</f>
        <v>0</v>
      </c>
      <c r="G111" s="4">
        <f>SUMIFS(tblDaily[DeathsUnder24Hrs],tblDaily[Month],8,tblDaily[WardCode],"CW")</f>
        <v>0</v>
      </c>
      <c r="H111" s="4">
        <f>SUMIFS(tblDaily[Remaining],tblDaily[Month],8,tblDaily[WardCode],"CW")</f>
        <v>0</v>
      </c>
      <c r="I111" s="4">
        <f>SUMIFS(tblDaily[TransfersIn],tblDaily[Month],8,tblDaily[WardCode],"CW")</f>
        <v>0</v>
      </c>
      <c r="J111" s="4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31</v>
      </c>
      <c r="B112" s="4">
        <f>IFERROR(SUMIFS(tblDaily[Remaining],tblDaily[EntryDate],DATE(2026,7,31),tblDaily[WardCode],"BF"),0)</f>
        <v>0</v>
      </c>
      <c r="C112" s="4">
        <f>IFERROR(INDEX(tblWardConfig[BedComplement],MATCH("BF",tblWardConfig[WardCode],0)),0)</f>
        <v>20</v>
      </c>
      <c r="D112" s="4">
        <f>SUMIFS(tblDaily[Admissions],tblDaily[Month],8,tblDaily[WardCode],"BF")</f>
        <v>0</v>
      </c>
      <c r="E112" s="4">
        <f>SUMIFS(tblDaily[Discharges],tblDaily[Month],8,tblDaily[WardCode],"BF")</f>
        <v>0</v>
      </c>
      <c r="F112" s="4">
        <f>SUMIFS(tblDaily[Deaths],tblDaily[Month],8,tblDaily[WardCode],"BF")</f>
        <v>0</v>
      </c>
      <c r="G112" s="4">
        <f>SUMIFS(tblDaily[DeathsUnder24Hrs],tblDaily[Month],8,tblDaily[WardCode],"BF")</f>
        <v>0</v>
      </c>
      <c r="H112" s="4">
        <f>SUMIFS(tblDaily[Remaining],tblDaily[Month],8,tblDaily[WardCode],"BF")</f>
        <v>0</v>
      </c>
      <c r="I112" s="4">
        <f>SUMIFS(tblDaily[TransfersIn],tblDaily[Month],8,tblDaily[WardCode],"BF")</f>
        <v>0</v>
      </c>
      <c r="J112" s="4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33</v>
      </c>
      <c r="B113" s="4">
        <f>IFERROR(SUMIFS(tblDaily[Remaining],tblDaily[EntryDate],DATE(2026,7,31),tblDaily[WardCode],"BG"),0)</f>
        <v>0</v>
      </c>
      <c r="C113" s="4">
        <f>IFERROR(INDEX(tblWardConfig[BedComplement],MATCH("BG",tblWardConfig[WardCode],0)),0)</f>
        <v>14</v>
      </c>
      <c r="D113" s="4">
        <f>SUMIFS(tblDaily[Admissions],tblDaily[Month],8,tblDaily[WardCode],"BG")</f>
        <v>0</v>
      </c>
      <c r="E113" s="4">
        <f>SUMIFS(tblDaily[Discharges],tblDaily[Month],8,tblDaily[WardCode],"BG")</f>
        <v>0</v>
      </c>
      <c r="F113" s="4">
        <f>SUMIFS(tblDaily[Deaths],tblDaily[Month],8,tblDaily[WardCode],"BG")</f>
        <v>0</v>
      </c>
      <c r="G113" s="4">
        <f>SUMIFS(tblDaily[DeathsUnder24Hrs],tblDaily[Month],8,tblDaily[WardCode],"BG")</f>
        <v>0</v>
      </c>
      <c r="H113" s="4">
        <f>SUMIFS(tblDaily[Remaining],tblDaily[Month],8,tblDaily[WardCode],"BG")</f>
        <v>0</v>
      </c>
      <c r="I113" s="4">
        <f>SUMIFS(tblDaily[TransfersIn],tblDaily[Month],8,tblDaily[WardCode],"BG")</f>
        <v>0</v>
      </c>
      <c r="J113" s="4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35</v>
      </c>
      <c r="B114" s="4">
        <f>IFERROR(SUMIFS(tblDaily[Remaining],tblDaily[EntryDate],DATE(2026,7,31),tblDaily[WardCode],"BH"),0)</f>
        <v>0</v>
      </c>
      <c r="C114" s="4">
        <f>IFERROR(INDEX(tblWardConfig[BedComplement],MATCH("BH",tblWardConfig[WardCode],0)),0)</f>
        <v>22</v>
      </c>
      <c r="D114" s="4">
        <f>SUMIFS(tblDaily[Admissions],tblDaily[Month],8,tblDaily[WardCode],"BH")</f>
        <v>0</v>
      </c>
      <c r="E114" s="4">
        <f>SUMIFS(tblDaily[Discharges],tblDaily[Month],8,tblDaily[WardCode],"BH")</f>
        <v>0</v>
      </c>
      <c r="F114" s="4">
        <f>SUMIFS(tblDaily[Deaths],tblDaily[Month],8,tblDaily[WardCode],"BH")</f>
        <v>0</v>
      </c>
      <c r="G114" s="4">
        <f>SUMIFS(tblDaily[DeathsUnder24Hrs],tblDaily[Month],8,tblDaily[WardCode],"BH")</f>
        <v>0</v>
      </c>
      <c r="H114" s="4">
        <f>SUMIFS(tblDaily[Remaining],tblDaily[Month],8,tblDaily[WardCode],"BH")</f>
        <v>0</v>
      </c>
      <c r="I114" s="4">
        <f>SUMIFS(tblDaily[TransfersIn],tblDaily[Month],8,tblDaily[WardCode],"BH")</f>
        <v>0</v>
      </c>
      <c r="J114" s="4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37</v>
      </c>
      <c r="B115" s="4">
        <f>IFERROR(SUMIFS(tblDaily[Remaining],tblDaily[EntryDate],DATE(2026,7,31),tblDaily[WardCode],"NICU"),0)</f>
        <v>0</v>
      </c>
      <c r="C115" s="4">
        <f>IFERROR(INDEX(tblWardConfig[BedComplement],MATCH("NICU",tblWardConfig[WardCode],0)),0)</f>
        <v>15</v>
      </c>
      <c r="D115" s="4">
        <f>SUMIFS(tblDaily[Admissions],tblDaily[Month],8,tblDaily[WardCode],"NICU")</f>
        <v>0</v>
      </c>
      <c r="E115" s="4">
        <f>SUMIFS(tblDaily[Discharges],tblDaily[Month],8,tblDaily[WardCode],"NICU")</f>
        <v>0</v>
      </c>
      <c r="F115" s="4">
        <f>SUMIFS(tblDaily[Deaths],tblDaily[Month],8,tblDaily[WardCode],"NICU")</f>
        <v>0</v>
      </c>
      <c r="G115" s="4">
        <f>SUMIFS(tblDaily[DeathsUnder24Hrs],tblDaily[Month],8,tblDaily[WardCode],"NICU")</f>
        <v>0</v>
      </c>
      <c r="H115" s="4">
        <f>SUMIFS(tblDaily[Remaining],tblDaily[Month],8,tblDaily[WardCode],"NICU")</f>
        <v>0</v>
      </c>
      <c r="I115" s="4">
        <f>SUMIFS(tblDaily[TransfersIn],tblDaily[Month],8,tblDaily[WardCode],"NICU")</f>
        <v>0</v>
      </c>
      <c r="J115" s="4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39</v>
      </c>
      <c r="B116" s="4">
        <f>IFERROR(SUMIFS(tblDaily[Remaining],tblDaily[EntryDate],DATE(2026,7,31),tblDaily[WardCode],"MAE"),0)</f>
        <v>0</v>
      </c>
      <c r="C116" s="4">
        <f>IFERROR(INDEX(tblWardConfig[BedComplement],MATCH("MAE",tblWardConfig[WardCode],0)),0)</f>
        <v>10</v>
      </c>
      <c r="D116" s="4">
        <f>SUMIFS(tblDaily[Admissions],tblDaily[Month],8,tblDaily[WardCode],"MAE")</f>
        <v>0</v>
      </c>
      <c r="E116" s="4">
        <f>SUMIFS(tblDaily[Discharges],tblDaily[Month],8,tblDaily[WardCode],"MAE")</f>
        <v>0</v>
      </c>
      <c r="F116" s="4">
        <f>SUMIFS(tblDaily[Deaths],tblDaily[Month],8,tblDaily[WardCode],"MAE")</f>
        <v>0</v>
      </c>
      <c r="G116" s="4">
        <f>SUMIFS(tblDaily[DeathsUnder24Hrs],tblDaily[Month],8,tblDaily[WardCode],"MAE")</f>
        <v>0</v>
      </c>
      <c r="H116" s="4">
        <f>SUMIFS(tblDaily[Remaining],tblDaily[Month],8,tblDaily[WardCode],"MAE")</f>
        <v>0</v>
      </c>
      <c r="I116" s="4">
        <f>SUMIFS(tblDaily[TransfersIn],tblDaily[Month],8,tblDaily[WardCode],"MAE")</f>
        <v>0</v>
      </c>
      <c r="J116" s="4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41</v>
      </c>
      <c r="B117" s="4">
        <f>IFERROR(SUMIFS(tblDaily[Remaining],tblDaily[EntryDate],DATE(2026,7,31),tblDaily[WardCode],"FAE"),0)</f>
        <v>0</v>
      </c>
      <c r="C117" s="4">
        <f>IFERROR(INDEX(tblWardConfig[BedComplement],MATCH("FAE",tblWardConfig[WardCode],0)),0)</f>
        <v>10</v>
      </c>
      <c r="D117" s="4">
        <f>SUMIFS(tblDaily[Admissions],tblDaily[Month],8,tblDaily[WardCode],"FAE")</f>
        <v>0</v>
      </c>
      <c r="E117" s="4">
        <f>SUMIFS(tblDaily[Discharges],tblDaily[Month],8,tblDaily[WardCode],"FAE")</f>
        <v>0</v>
      </c>
      <c r="F117" s="4">
        <f>SUMIFS(tblDaily[Deaths],tblDaily[Month],8,tblDaily[WardCode],"FAE")</f>
        <v>0</v>
      </c>
      <c r="G117" s="4">
        <f>SUMIFS(tblDaily[DeathsUnder24Hrs],tblDaily[Month],8,tblDaily[WardCode],"FAE")</f>
        <v>0</v>
      </c>
      <c r="H117" s="4">
        <f>SUMIFS(tblDaily[Remaining],tblDaily[Month],8,tblDaily[WardCode],"FAE")</f>
        <v>0</v>
      </c>
      <c r="I117" s="4">
        <f>SUMIFS(tblDaily[TransfersIn],tblDaily[Month],8,tblDaily[WardCode],"FAE")</f>
        <v>0</v>
      </c>
      <c r="J117" s="4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98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120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22" t="s">
        <v>0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</row>
    <row r="122" spans="1:16" ht="15.75" x14ac:dyDescent="0.25">
      <c r="A122" s="27" t="s">
        <v>128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</row>
    <row r="123" spans="1:16" ht="38.25" x14ac:dyDescent="0.25">
      <c r="A123" s="8" t="s">
        <v>108</v>
      </c>
      <c r="B123" s="8" t="s">
        <v>109</v>
      </c>
      <c r="C123" s="8" t="s">
        <v>110</v>
      </c>
      <c r="D123" s="8" t="s">
        <v>60</v>
      </c>
      <c r="E123" s="8" t="s">
        <v>61</v>
      </c>
      <c r="F123" s="8" t="s">
        <v>62</v>
      </c>
      <c r="G123" s="8" t="s">
        <v>94</v>
      </c>
      <c r="H123" s="8" t="s">
        <v>111</v>
      </c>
      <c r="I123" s="8" t="s">
        <v>112</v>
      </c>
      <c r="J123" s="8" t="s">
        <v>113</v>
      </c>
      <c r="K123" s="8" t="s">
        <v>114</v>
      </c>
      <c r="L123" s="8" t="s">
        <v>115</v>
      </c>
      <c r="M123" s="8" t="s">
        <v>116</v>
      </c>
      <c r="N123" s="8" t="s">
        <v>117</v>
      </c>
      <c r="O123" s="8" t="s">
        <v>118</v>
      </c>
      <c r="P123" s="8" t="s">
        <v>119</v>
      </c>
    </row>
    <row r="124" spans="1:16" x14ac:dyDescent="0.25">
      <c r="A124" s="11" t="s">
        <v>25</v>
      </c>
      <c r="B124" s="4">
        <f>IFERROR(SUMIFS(tblDaily[Remaining],tblDaily[EntryDate],DATE(2026,8,31),tblDaily[WardCode],"MW"),0)</f>
        <v>0</v>
      </c>
      <c r="C124" s="4">
        <f>IFERROR(INDEX(tblWardConfig[BedComplement],MATCH("MW",tblWardConfig[WardCode],0)),0)</f>
        <v>32</v>
      </c>
      <c r="D124" s="4">
        <f>SUMIFS(tblDaily[Admissions],tblDaily[Month],9,tblDaily[WardCode],"MW")</f>
        <v>0</v>
      </c>
      <c r="E124" s="4">
        <f>SUMIFS(tblDaily[Discharges],tblDaily[Month],9,tblDaily[WardCode],"MW")</f>
        <v>0</v>
      </c>
      <c r="F124" s="4">
        <f>SUMIFS(tblDaily[Deaths],tblDaily[Month],9,tblDaily[WardCode],"MW")</f>
        <v>0</v>
      </c>
      <c r="G124" s="4">
        <f>SUMIFS(tblDaily[DeathsUnder24Hrs],tblDaily[Month],9,tblDaily[WardCode],"MW")</f>
        <v>0</v>
      </c>
      <c r="H124" s="4">
        <f>SUMIFS(tblDaily[Remaining],tblDaily[Month],9,tblDaily[WardCode],"MW")</f>
        <v>0</v>
      </c>
      <c r="I124" s="4">
        <f>SUMIFS(tblDaily[TransfersIn],tblDaily[Month],9,tblDaily[WardCode],"MW")</f>
        <v>0</v>
      </c>
      <c r="J124" s="4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27</v>
      </c>
      <c r="B125" s="4">
        <f>IFERROR(SUMIFS(tblDaily[Remaining],tblDaily[EntryDate],DATE(2026,8,31),tblDaily[WardCode],"FW"),0)</f>
        <v>0</v>
      </c>
      <c r="C125" s="4">
        <f>IFERROR(INDEX(tblWardConfig[BedComplement],MATCH("FW",tblWardConfig[WardCode],0)),0)</f>
        <v>28</v>
      </c>
      <c r="D125" s="4">
        <f>SUMIFS(tblDaily[Admissions],tblDaily[Month],9,tblDaily[WardCode],"FW")</f>
        <v>0</v>
      </c>
      <c r="E125" s="4">
        <f>SUMIFS(tblDaily[Discharges],tblDaily[Month],9,tblDaily[WardCode],"FW")</f>
        <v>0</v>
      </c>
      <c r="F125" s="4">
        <f>SUMIFS(tblDaily[Deaths],tblDaily[Month],9,tblDaily[WardCode],"FW")</f>
        <v>0</v>
      </c>
      <c r="G125" s="4">
        <f>SUMIFS(tblDaily[DeathsUnder24Hrs],tblDaily[Month],9,tblDaily[WardCode],"FW")</f>
        <v>0</v>
      </c>
      <c r="H125" s="4">
        <f>SUMIFS(tblDaily[Remaining],tblDaily[Month],9,tblDaily[WardCode],"FW")</f>
        <v>0</v>
      </c>
      <c r="I125" s="4">
        <f>SUMIFS(tblDaily[TransfersIn],tblDaily[Month],9,tblDaily[WardCode],"FW")</f>
        <v>0</v>
      </c>
      <c r="J125" s="4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29</v>
      </c>
      <c r="B126" s="4">
        <f>IFERROR(SUMIFS(tblDaily[Remaining],tblDaily[EntryDate],DATE(2026,8,31),tblDaily[WardCode],"CW"),0)</f>
        <v>0</v>
      </c>
      <c r="C126" s="4">
        <f>IFERROR(INDEX(tblWardConfig[BedComplement],MATCH("CW",tblWardConfig[WardCode],0)),0)</f>
        <v>27</v>
      </c>
      <c r="D126" s="4">
        <f>SUMIFS(tblDaily[Admissions],tblDaily[Month],9,tblDaily[WardCode],"CW")</f>
        <v>0</v>
      </c>
      <c r="E126" s="4">
        <f>SUMIFS(tblDaily[Discharges],tblDaily[Month],9,tblDaily[WardCode],"CW")</f>
        <v>0</v>
      </c>
      <c r="F126" s="4">
        <f>SUMIFS(tblDaily[Deaths],tblDaily[Month],9,tblDaily[WardCode],"CW")</f>
        <v>0</v>
      </c>
      <c r="G126" s="4">
        <f>SUMIFS(tblDaily[DeathsUnder24Hrs],tblDaily[Month],9,tblDaily[WardCode],"CW")</f>
        <v>0</v>
      </c>
      <c r="H126" s="4">
        <f>SUMIFS(tblDaily[Remaining],tblDaily[Month],9,tblDaily[WardCode],"CW")</f>
        <v>0</v>
      </c>
      <c r="I126" s="4">
        <f>SUMIFS(tblDaily[TransfersIn],tblDaily[Month],9,tblDaily[WardCode],"CW")</f>
        <v>0</v>
      </c>
      <c r="J126" s="4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31</v>
      </c>
      <c r="B127" s="4">
        <f>IFERROR(SUMIFS(tblDaily[Remaining],tblDaily[EntryDate],DATE(2026,8,31),tblDaily[WardCode],"BF"),0)</f>
        <v>0</v>
      </c>
      <c r="C127" s="4">
        <f>IFERROR(INDEX(tblWardConfig[BedComplement],MATCH("BF",tblWardConfig[WardCode],0)),0)</f>
        <v>20</v>
      </c>
      <c r="D127" s="4">
        <f>SUMIFS(tblDaily[Admissions],tblDaily[Month],9,tblDaily[WardCode],"BF")</f>
        <v>0</v>
      </c>
      <c r="E127" s="4">
        <f>SUMIFS(tblDaily[Discharges],tblDaily[Month],9,tblDaily[WardCode],"BF")</f>
        <v>0</v>
      </c>
      <c r="F127" s="4">
        <f>SUMIFS(tblDaily[Deaths],tblDaily[Month],9,tblDaily[WardCode],"BF")</f>
        <v>0</v>
      </c>
      <c r="G127" s="4">
        <f>SUMIFS(tblDaily[DeathsUnder24Hrs],tblDaily[Month],9,tblDaily[WardCode],"BF")</f>
        <v>0</v>
      </c>
      <c r="H127" s="4">
        <f>SUMIFS(tblDaily[Remaining],tblDaily[Month],9,tblDaily[WardCode],"BF")</f>
        <v>0</v>
      </c>
      <c r="I127" s="4">
        <f>SUMIFS(tblDaily[TransfersIn],tblDaily[Month],9,tblDaily[WardCode],"BF")</f>
        <v>0</v>
      </c>
      <c r="J127" s="4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33</v>
      </c>
      <c r="B128" s="4">
        <f>IFERROR(SUMIFS(tblDaily[Remaining],tblDaily[EntryDate],DATE(2026,8,31),tblDaily[WardCode],"BG"),0)</f>
        <v>0</v>
      </c>
      <c r="C128" s="4">
        <f>IFERROR(INDEX(tblWardConfig[BedComplement],MATCH("BG",tblWardConfig[WardCode],0)),0)</f>
        <v>14</v>
      </c>
      <c r="D128" s="4">
        <f>SUMIFS(tblDaily[Admissions],tblDaily[Month],9,tblDaily[WardCode],"BG")</f>
        <v>0</v>
      </c>
      <c r="E128" s="4">
        <f>SUMIFS(tblDaily[Discharges],tblDaily[Month],9,tblDaily[WardCode],"BG")</f>
        <v>0</v>
      </c>
      <c r="F128" s="4">
        <f>SUMIFS(tblDaily[Deaths],tblDaily[Month],9,tblDaily[WardCode],"BG")</f>
        <v>0</v>
      </c>
      <c r="G128" s="4">
        <f>SUMIFS(tblDaily[DeathsUnder24Hrs],tblDaily[Month],9,tblDaily[WardCode],"BG")</f>
        <v>0</v>
      </c>
      <c r="H128" s="4">
        <f>SUMIFS(tblDaily[Remaining],tblDaily[Month],9,tblDaily[WardCode],"BG")</f>
        <v>0</v>
      </c>
      <c r="I128" s="4">
        <f>SUMIFS(tblDaily[TransfersIn],tblDaily[Month],9,tblDaily[WardCode],"BG")</f>
        <v>0</v>
      </c>
      <c r="J128" s="4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35</v>
      </c>
      <c r="B129" s="4">
        <f>IFERROR(SUMIFS(tblDaily[Remaining],tblDaily[EntryDate],DATE(2026,8,31),tblDaily[WardCode],"BH"),0)</f>
        <v>0</v>
      </c>
      <c r="C129" s="4">
        <f>IFERROR(INDEX(tblWardConfig[BedComplement],MATCH("BH",tblWardConfig[WardCode],0)),0)</f>
        <v>22</v>
      </c>
      <c r="D129" s="4">
        <f>SUMIFS(tblDaily[Admissions],tblDaily[Month],9,tblDaily[WardCode],"BH")</f>
        <v>0</v>
      </c>
      <c r="E129" s="4">
        <f>SUMIFS(tblDaily[Discharges],tblDaily[Month],9,tblDaily[WardCode],"BH")</f>
        <v>0</v>
      </c>
      <c r="F129" s="4">
        <f>SUMIFS(tblDaily[Deaths],tblDaily[Month],9,tblDaily[WardCode],"BH")</f>
        <v>0</v>
      </c>
      <c r="G129" s="4">
        <f>SUMIFS(tblDaily[DeathsUnder24Hrs],tblDaily[Month],9,tblDaily[WardCode],"BH")</f>
        <v>0</v>
      </c>
      <c r="H129" s="4">
        <f>SUMIFS(tblDaily[Remaining],tblDaily[Month],9,tblDaily[WardCode],"BH")</f>
        <v>0</v>
      </c>
      <c r="I129" s="4">
        <f>SUMIFS(tblDaily[TransfersIn],tblDaily[Month],9,tblDaily[WardCode],"BH")</f>
        <v>0</v>
      </c>
      <c r="J129" s="4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37</v>
      </c>
      <c r="B130" s="4">
        <f>IFERROR(SUMIFS(tblDaily[Remaining],tblDaily[EntryDate],DATE(2026,8,31),tblDaily[WardCode],"NICU"),0)</f>
        <v>0</v>
      </c>
      <c r="C130" s="4">
        <f>IFERROR(INDEX(tblWardConfig[BedComplement],MATCH("NICU",tblWardConfig[WardCode],0)),0)</f>
        <v>15</v>
      </c>
      <c r="D130" s="4">
        <f>SUMIFS(tblDaily[Admissions],tblDaily[Month],9,tblDaily[WardCode],"NICU")</f>
        <v>0</v>
      </c>
      <c r="E130" s="4">
        <f>SUMIFS(tblDaily[Discharges],tblDaily[Month],9,tblDaily[WardCode],"NICU")</f>
        <v>0</v>
      </c>
      <c r="F130" s="4">
        <f>SUMIFS(tblDaily[Deaths],tblDaily[Month],9,tblDaily[WardCode],"NICU")</f>
        <v>0</v>
      </c>
      <c r="G130" s="4">
        <f>SUMIFS(tblDaily[DeathsUnder24Hrs],tblDaily[Month],9,tblDaily[WardCode],"NICU")</f>
        <v>0</v>
      </c>
      <c r="H130" s="4">
        <f>SUMIFS(tblDaily[Remaining],tblDaily[Month],9,tblDaily[WardCode],"NICU")</f>
        <v>0</v>
      </c>
      <c r="I130" s="4">
        <f>SUMIFS(tblDaily[TransfersIn],tblDaily[Month],9,tblDaily[WardCode],"NICU")</f>
        <v>0</v>
      </c>
      <c r="J130" s="4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39</v>
      </c>
      <c r="B131" s="4">
        <f>IFERROR(SUMIFS(tblDaily[Remaining],tblDaily[EntryDate],DATE(2026,8,31),tblDaily[WardCode],"MAE"),0)</f>
        <v>0</v>
      </c>
      <c r="C131" s="4">
        <f>IFERROR(INDEX(tblWardConfig[BedComplement],MATCH("MAE",tblWardConfig[WardCode],0)),0)</f>
        <v>10</v>
      </c>
      <c r="D131" s="4">
        <f>SUMIFS(tblDaily[Admissions],tblDaily[Month],9,tblDaily[WardCode],"MAE")</f>
        <v>0</v>
      </c>
      <c r="E131" s="4">
        <f>SUMIFS(tblDaily[Discharges],tblDaily[Month],9,tblDaily[WardCode],"MAE")</f>
        <v>0</v>
      </c>
      <c r="F131" s="4">
        <f>SUMIFS(tblDaily[Deaths],tblDaily[Month],9,tblDaily[WardCode],"MAE")</f>
        <v>0</v>
      </c>
      <c r="G131" s="4">
        <f>SUMIFS(tblDaily[DeathsUnder24Hrs],tblDaily[Month],9,tblDaily[WardCode],"MAE")</f>
        <v>0</v>
      </c>
      <c r="H131" s="4">
        <f>SUMIFS(tblDaily[Remaining],tblDaily[Month],9,tblDaily[WardCode],"MAE")</f>
        <v>0</v>
      </c>
      <c r="I131" s="4">
        <f>SUMIFS(tblDaily[TransfersIn],tblDaily[Month],9,tblDaily[WardCode],"MAE")</f>
        <v>0</v>
      </c>
      <c r="J131" s="4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41</v>
      </c>
      <c r="B132" s="4">
        <f>IFERROR(SUMIFS(tblDaily[Remaining],tblDaily[EntryDate],DATE(2026,8,31),tblDaily[WardCode],"FAE"),0)</f>
        <v>0</v>
      </c>
      <c r="C132" s="4">
        <f>IFERROR(INDEX(tblWardConfig[BedComplement],MATCH("FAE",tblWardConfig[WardCode],0)),0)</f>
        <v>10</v>
      </c>
      <c r="D132" s="4">
        <f>SUMIFS(tblDaily[Admissions],tblDaily[Month],9,tblDaily[WardCode],"FAE")</f>
        <v>0</v>
      </c>
      <c r="E132" s="4">
        <f>SUMIFS(tblDaily[Discharges],tblDaily[Month],9,tblDaily[WardCode],"FAE")</f>
        <v>0</v>
      </c>
      <c r="F132" s="4">
        <f>SUMIFS(tblDaily[Deaths],tblDaily[Month],9,tblDaily[WardCode],"FAE")</f>
        <v>0</v>
      </c>
      <c r="G132" s="4">
        <f>SUMIFS(tblDaily[DeathsUnder24Hrs],tblDaily[Month],9,tblDaily[WardCode],"FAE")</f>
        <v>0</v>
      </c>
      <c r="H132" s="4">
        <f>SUMIFS(tblDaily[Remaining],tblDaily[Month],9,tblDaily[WardCode],"FAE")</f>
        <v>0</v>
      </c>
      <c r="I132" s="4">
        <f>SUMIFS(tblDaily[TransfersIn],tblDaily[Month],9,tblDaily[WardCode],"FAE")</f>
        <v>0</v>
      </c>
      <c r="J132" s="4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98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120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22" t="s">
        <v>0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</row>
    <row r="137" spans="1:16" ht="15.75" x14ac:dyDescent="0.25">
      <c r="A137" s="27" t="s">
        <v>129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</row>
    <row r="138" spans="1:16" ht="38.25" x14ac:dyDescent="0.25">
      <c r="A138" s="8" t="s">
        <v>108</v>
      </c>
      <c r="B138" s="8" t="s">
        <v>109</v>
      </c>
      <c r="C138" s="8" t="s">
        <v>110</v>
      </c>
      <c r="D138" s="8" t="s">
        <v>60</v>
      </c>
      <c r="E138" s="8" t="s">
        <v>61</v>
      </c>
      <c r="F138" s="8" t="s">
        <v>62</v>
      </c>
      <c r="G138" s="8" t="s">
        <v>94</v>
      </c>
      <c r="H138" s="8" t="s">
        <v>111</v>
      </c>
      <c r="I138" s="8" t="s">
        <v>112</v>
      </c>
      <c r="J138" s="8" t="s">
        <v>113</v>
      </c>
      <c r="K138" s="8" t="s">
        <v>114</v>
      </c>
      <c r="L138" s="8" t="s">
        <v>115</v>
      </c>
      <c r="M138" s="8" t="s">
        <v>116</v>
      </c>
      <c r="N138" s="8" t="s">
        <v>117</v>
      </c>
      <c r="O138" s="8" t="s">
        <v>118</v>
      </c>
      <c r="P138" s="8" t="s">
        <v>119</v>
      </c>
    </row>
    <row r="139" spans="1:16" x14ac:dyDescent="0.25">
      <c r="A139" s="11" t="s">
        <v>25</v>
      </c>
      <c r="B139" s="4">
        <f>IFERROR(SUMIFS(tblDaily[Remaining],tblDaily[EntryDate],DATE(2026,9,30),tblDaily[WardCode],"MW"),0)</f>
        <v>0</v>
      </c>
      <c r="C139" s="4">
        <f>IFERROR(INDEX(tblWardConfig[BedComplement],MATCH("MW",tblWardConfig[WardCode],0)),0)</f>
        <v>32</v>
      </c>
      <c r="D139" s="4">
        <f>SUMIFS(tblDaily[Admissions],tblDaily[Month],10,tblDaily[WardCode],"MW")</f>
        <v>0</v>
      </c>
      <c r="E139" s="4">
        <f>SUMIFS(tblDaily[Discharges],tblDaily[Month],10,tblDaily[WardCode],"MW")</f>
        <v>0</v>
      </c>
      <c r="F139" s="4">
        <f>SUMIFS(tblDaily[Deaths],tblDaily[Month],10,tblDaily[WardCode],"MW")</f>
        <v>0</v>
      </c>
      <c r="G139" s="4">
        <f>SUMIFS(tblDaily[DeathsUnder24Hrs],tblDaily[Month],10,tblDaily[WardCode],"MW")</f>
        <v>0</v>
      </c>
      <c r="H139" s="4">
        <f>SUMIFS(tblDaily[Remaining],tblDaily[Month],10,tblDaily[WardCode],"MW")</f>
        <v>0</v>
      </c>
      <c r="I139" s="4">
        <f>SUMIFS(tblDaily[TransfersIn],tblDaily[Month],10,tblDaily[WardCode],"MW")</f>
        <v>0</v>
      </c>
      <c r="J139" s="4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27</v>
      </c>
      <c r="B140" s="4">
        <f>IFERROR(SUMIFS(tblDaily[Remaining],tblDaily[EntryDate],DATE(2026,9,30),tblDaily[WardCode],"FW"),0)</f>
        <v>0</v>
      </c>
      <c r="C140" s="4">
        <f>IFERROR(INDEX(tblWardConfig[BedComplement],MATCH("FW",tblWardConfig[WardCode],0)),0)</f>
        <v>28</v>
      </c>
      <c r="D140" s="4">
        <f>SUMIFS(tblDaily[Admissions],tblDaily[Month],10,tblDaily[WardCode],"FW")</f>
        <v>0</v>
      </c>
      <c r="E140" s="4">
        <f>SUMIFS(tblDaily[Discharges],tblDaily[Month],10,tblDaily[WardCode],"FW")</f>
        <v>0</v>
      </c>
      <c r="F140" s="4">
        <f>SUMIFS(tblDaily[Deaths],tblDaily[Month],10,tblDaily[WardCode],"FW")</f>
        <v>0</v>
      </c>
      <c r="G140" s="4">
        <f>SUMIFS(tblDaily[DeathsUnder24Hrs],tblDaily[Month],10,tblDaily[WardCode],"FW")</f>
        <v>0</v>
      </c>
      <c r="H140" s="4">
        <f>SUMIFS(tblDaily[Remaining],tblDaily[Month],10,tblDaily[WardCode],"FW")</f>
        <v>0</v>
      </c>
      <c r="I140" s="4">
        <f>SUMIFS(tblDaily[TransfersIn],tblDaily[Month],10,tblDaily[WardCode],"FW")</f>
        <v>0</v>
      </c>
      <c r="J140" s="4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29</v>
      </c>
      <c r="B141" s="4">
        <f>IFERROR(SUMIFS(tblDaily[Remaining],tblDaily[EntryDate],DATE(2026,9,30),tblDaily[WardCode],"CW"),0)</f>
        <v>0</v>
      </c>
      <c r="C141" s="4">
        <f>IFERROR(INDEX(tblWardConfig[BedComplement],MATCH("CW",tblWardConfig[WardCode],0)),0)</f>
        <v>27</v>
      </c>
      <c r="D141" s="4">
        <f>SUMIFS(tblDaily[Admissions],tblDaily[Month],10,tblDaily[WardCode],"CW")</f>
        <v>0</v>
      </c>
      <c r="E141" s="4">
        <f>SUMIFS(tblDaily[Discharges],tblDaily[Month],10,tblDaily[WardCode],"CW")</f>
        <v>0</v>
      </c>
      <c r="F141" s="4">
        <f>SUMIFS(tblDaily[Deaths],tblDaily[Month],10,tblDaily[WardCode],"CW")</f>
        <v>0</v>
      </c>
      <c r="G141" s="4">
        <f>SUMIFS(tblDaily[DeathsUnder24Hrs],tblDaily[Month],10,tblDaily[WardCode],"CW")</f>
        <v>0</v>
      </c>
      <c r="H141" s="4">
        <f>SUMIFS(tblDaily[Remaining],tblDaily[Month],10,tblDaily[WardCode],"CW")</f>
        <v>0</v>
      </c>
      <c r="I141" s="4">
        <f>SUMIFS(tblDaily[TransfersIn],tblDaily[Month],10,tblDaily[WardCode],"CW")</f>
        <v>0</v>
      </c>
      <c r="J141" s="4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31</v>
      </c>
      <c r="B142" s="4">
        <f>IFERROR(SUMIFS(tblDaily[Remaining],tblDaily[EntryDate],DATE(2026,9,30),tblDaily[WardCode],"BF"),0)</f>
        <v>0</v>
      </c>
      <c r="C142" s="4">
        <f>IFERROR(INDEX(tblWardConfig[BedComplement],MATCH("BF",tblWardConfig[WardCode],0)),0)</f>
        <v>20</v>
      </c>
      <c r="D142" s="4">
        <f>SUMIFS(tblDaily[Admissions],tblDaily[Month],10,tblDaily[WardCode],"BF")</f>
        <v>0</v>
      </c>
      <c r="E142" s="4">
        <f>SUMIFS(tblDaily[Discharges],tblDaily[Month],10,tblDaily[WardCode],"BF")</f>
        <v>0</v>
      </c>
      <c r="F142" s="4">
        <f>SUMIFS(tblDaily[Deaths],tblDaily[Month],10,tblDaily[WardCode],"BF")</f>
        <v>0</v>
      </c>
      <c r="G142" s="4">
        <f>SUMIFS(tblDaily[DeathsUnder24Hrs],tblDaily[Month],10,tblDaily[WardCode],"BF")</f>
        <v>0</v>
      </c>
      <c r="H142" s="4">
        <f>SUMIFS(tblDaily[Remaining],tblDaily[Month],10,tblDaily[WardCode],"BF")</f>
        <v>0</v>
      </c>
      <c r="I142" s="4">
        <f>SUMIFS(tblDaily[TransfersIn],tblDaily[Month],10,tblDaily[WardCode],"BF")</f>
        <v>0</v>
      </c>
      <c r="J142" s="4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33</v>
      </c>
      <c r="B143" s="4">
        <f>IFERROR(SUMIFS(tblDaily[Remaining],tblDaily[EntryDate],DATE(2026,9,30),tblDaily[WardCode],"BG"),0)</f>
        <v>0</v>
      </c>
      <c r="C143" s="4">
        <f>IFERROR(INDEX(tblWardConfig[BedComplement],MATCH("BG",tblWardConfig[WardCode],0)),0)</f>
        <v>14</v>
      </c>
      <c r="D143" s="4">
        <f>SUMIFS(tblDaily[Admissions],tblDaily[Month],10,tblDaily[WardCode],"BG")</f>
        <v>0</v>
      </c>
      <c r="E143" s="4">
        <f>SUMIFS(tblDaily[Discharges],tblDaily[Month],10,tblDaily[WardCode],"BG")</f>
        <v>0</v>
      </c>
      <c r="F143" s="4">
        <f>SUMIFS(tblDaily[Deaths],tblDaily[Month],10,tblDaily[WardCode],"BG")</f>
        <v>0</v>
      </c>
      <c r="G143" s="4">
        <f>SUMIFS(tblDaily[DeathsUnder24Hrs],tblDaily[Month],10,tblDaily[WardCode],"BG")</f>
        <v>0</v>
      </c>
      <c r="H143" s="4">
        <f>SUMIFS(tblDaily[Remaining],tblDaily[Month],10,tblDaily[WardCode],"BG")</f>
        <v>0</v>
      </c>
      <c r="I143" s="4">
        <f>SUMIFS(tblDaily[TransfersIn],tblDaily[Month],10,tblDaily[WardCode],"BG")</f>
        <v>0</v>
      </c>
      <c r="J143" s="4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35</v>
      </c>
      <c r="B144" s="4">
        <f>IFERROR(SUMIFS(tblDaily[Remaining],tblDaily[EntryDate],DATE(2026,9,30),tblDaily[WardCode],"BH"),0)</f>
        <v>0</v>
      </c>
      <c r="C144" s="4">
        <f>IFERROR(INDEX(tblWardConfig[BedComplement],MATCH("BH",tblWardConfig[WardCode],0)),0)</f>
        <v>22</v>
      </c>
      <c r="D144" s="4">
        <f>SUMIFS(tblDaily[Admissions],tblDaily[Month],10,tblDaily[WardCode],"BH")</f>
        <v>0</v>
      </c>
      <c r="E144" s="4">
        <f>SUMIFS(tblDaily[Discharges],tblDaily[Month],10,tblDaily[WardCode],"BH")</f>
        <v>0</v>
      </c>
      <c r="F144" s="4">
        <f>SUMIFS(tblDaily[Deaths],tblDaily[Month],10,tblDaily[WardCode],"BH")</f>
        <v>0</v>
      </c>
      <c r="G144" s="4">
        <f>SUMIFS(tblDaily[DeathsUnder24Hrs],tblDaily[Month],10,tblDaily[WardCode],"BH")</f>
        <v>0</v>
      </c>
      <c r="H144" s="4">
        <f>SUMIFS(tblDaily[Remaining],tblDaily[Month],10,tblDaily[WardCode],"BH")</f>
        <v>0</v>
      </c>
      <c r="I144" s="4">
        <f>SUMIFS(tblDaily[TransfersIn],tblDaily[Month],10,tblDaily[WardCode],"BH")</f>
        <v>0</v>
      </c>
      <c r="J144" s="4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37</v>
      </c>
      <c r="B145" s="4">
        <f>IFERROR(SUMIFS(tblDaily[Remaining],tblDaily[EntryDate],DATE(2026,9,30),tblDaily[WardCode],"NICU"),0)</f>
        <v>0</v>
      </c>
      <c r="C145" s="4">
        <f>IFERROR(INDEX(tblWardConfig[BedComplement],MATCH("NICU",tblWardConfig[WardCode],0)),0)</f>
        <v>15</v>
      </c>
      <c r="D145" s="4">
        <f>SUMIFS(tblDaily[Admissions],tblDaily[Month],10,tblDaily[WardCode],"NICU")</f>
        <v>0</v>
      </c>
      <c r="E145" s="4">
        <f>SUMIFS(tblDaily[Discharges],tblDaily[Month],10,tblDaily[WardCode],"NICU")</f>
        <v>0</v>
      </c>
      <c r="F145" s="4">
        <f>SUMIFS(tblDaily[Deaths],tblDaily[Month],10,tblDaily[WardCode],"NICU")</f>
        <v>0</v>
      </c>
      <c r="G145" s="4">
        <f>SUMIFS(tblDaily[DeathsUnder24Hrs],tblDaily[Month],10,tblDaily[WardCode],"NICU")</f>
        <v>0</v>
      </c>
      <c r="H145" s="4">
        <f>SUMIFS(tblDaily[Remaining],tblDaily[Month],10,tblDaily[WardCode],"NICU")</f>
        <v>0</v>
      </c>
      <c r="I145" s="4">
        <f>SUMIFS(tblDaily[TransfersIn],tblDaily[Month],10,tblDaily[WardCode],"NICU")</f>
        <v>0</v>
      </c>
      <c r="J145" s="4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39</v>
      </c>
      <c r="B146" s="4">
        <f>IFERROR(SUMIFS(tblDaily[Remaining],tblDaily[EntryDate],DATE(2026,9,30),tblDaily[WardCode],"MAE"),0)</f>
        <v>0</v>
      </c>
      <c r="C146" s="4">
        <f>IFERROR(INDEX(tblWardConfig[BedComplement],MATCH("MAE",tblWardConfig[WardCode],0)),0)</f>
        <v>10</v>
      </c>
      <c r="D146" s="4">
        <f>SUMIFS(tblDaily[Admissions],tblDaily[Month],10,tblDaily[WardCode],"MAE")</f>
        <v>0</v>
      </c>
      <c r="E146" s="4">
        <f>SUMIFS(tblDaily[Discharges],tblDaily[Month],10,tblDaily[WardCode],"MAE")</f>
        <v>0</v>
      </c>
      <c r="F146" s="4">
        <f>SUMIFS(tblDaily[Deaths],tblDaily[Month],10,tblDaily[WardCode],"MAE")</f>
        <v>0</v>
      </c>
      <c r="G146" s="4">
        <f>SUMIFS(tblDaily[DeathsUnder24Hrs],tblDaily[Month],10,tblDaily[WardCode],"MAE")</f>
        <v>0</v>
      </c>
      <c r="H146" s="4">
        <f>SUMIFS(tblDaily[Remaining],tblDaily[Month],10,tblDaily[WardCode],"MAE")</f>
        <v>0</v>
      </c>
      <c r="I146" s="4">
        <f>SUMIFS(tblDaily[TransfersIn],tblDaily[Month],10,tblDaily[WardCode],"MAE")</f>
        <v>0</v>
      </c>
      <c r="J146" s="4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41</v>
      </c>
      <c r="B147" s="4">
        <f>IFERROR(SUMIFS(tblDaily[Remaining],tblDaily[EntryDate],DATE(2026,9,30),tblDaily[WardCode],"FAE"),0)</f>
        <v>0</v>
      </c>
      <c r="C147" s="4">
        <f>IFERROR(INDEX(tblWardConfig[BedComplement],MATCH("FAE",tblWardConfig[WardCode],0)),0)</f>
        <v>10</v>
      </c>
      <c r="D147" s="4">
        <f>SUMIFS(tblDaily[Admissions],tblDaily[Month],10,tblDaily[WardCode],"FAE")</f>
        <v>0</v>
      </c>
      <c r="E147" s="4">
        <f>SUMIFS(tblDaily[Discharges],tblDaily[Month],10,tblDaily[WardCode],"FAE")</f>
        <v>0</v>
      </c>
      <c r="F147" s="4">
        <f>SUMIFS(tblDaily[Deaths],tblDaily[Month],10,tblDaily[WardCode],"FAE")</f>
        <v>0</v>
      </c>
      <c r="G147" s="4">
        <f>SUMIFS(tblDaily[DeathsUnder24Hrs],tblDaily[Month],10,tblDaily[WardCode],"FAE")</f>
        <v>0</v>
      </c>
      <c r="H147" s="4">
        <f>SUMIFS(tblDaily[Remaining],tblDaily[Month],10,tblDaily[WardCode],"FAE")</f>
        <v>0</v>
      </c>
      <c r="I147" s="4">
        <f>SUMIFS(tblDaily[TransfersIn],tblDaily[Month],10,tblDaily[WardCode],"FAE")</f>
        <v>0</v>
      </c>
      <c r="J147" s="4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98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120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22" t="s">
        <v>0</v>
      </c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</row>
    <row r="152" spans="1:16" ht="15.75" x14ac:dyDescent="0.25">
      <c r="A152" s="27" t="s">
        <v>130</v>
      </c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</row>
    <row r="153" spans="1:16" ht="38.25" x14ac:dyDescent="0.25">
      <c r="A153" s="8" t="s">
        <v>108</v>
      </c>
      <c r="B153" s="8" t="s">
        <v>109</v>
      </c>
      <c r="C153" s="8" t="s">
        <v>110</v>
      </c>
      <c r="D153" s="8" t="s">
        <v>60</v>
      </c>
      <c r="E153" s="8" t="s">
        <v>61</v>
      </c>
      <c r="F153" s="8" t="s">
        <v>62</v>
      </c>
      <c r="G153" s="8" t="s">
        <v>94</v>
      </c>
      <c r="H153" s="8" t="s">
        <v>111</v>
      </c>
      <c r="I153" s="8" t="s">
        <v>112</v>
      </c>
      <c r="J153" s="8" t="s">
        <v>113</v>
      </c>
      <c r="K153" s="8" t="s">
        <v>114</v>
      </c>
      <c r="L153" s="8" t="s">
        <v>115</v>
      </c>
      <c r="M153" s="8" t="s">
        <v>116</v>
      </c>
      <c r="N153" s="8" t="s">
        <v>117</v>
      </c>
      <c r="O153" s="8" t="s">
        <v>118</v>
      </c>
      <c r="P153" s="8" t="s">
        <v>119</v>
      </c>
    </row>
    <row r="154" spans="1:16" x14ac:dyDescent="0.25">
      <c r="A154" s="11" t="s">
        <v>25</v>
      </c>
      <c r="B154" s="4">
        <f>IFERROR(SUMIFS(tblDaily[Remaining],tblDaily[EntryDate],DATE(2026,10,31),tblDaily[WardCode],"MW"),0)</f>
        <v>0</v>
      </c>
      <c r="C154" s="4">
        <f>IFERROR(INDEX(tblWardConfig[BedComplement],MATCH("MW",tblWardConfig[WardCode],0)),0)</f>
        <v>32</v>
      </c>
      <c r="D154" s="4">
        <f>SUMIFS(tblDaily[Admissions],tblDaily[Month],11,tblDaily[WardCode],"MW")</f>
        <v>0</v>
      </c>
      <c r="E154" s="4">
        <f>SUMIFS(tblDaily[Discharges],tblDaily[Month],11,tblDaily[WardCode],"MW")</f>
        <v>0</v>
      </c>
      <c r="F154" s="4">
        <f>SUMIFS(tblDaily[Deaths],tblDaily[Month],11,tblDaily[WardCode],"MW")</f>
        <v>0</v>
      </c>
      <c r="G154" s="4">
        <f>SUMIFS(tblDaily[DeathsUnder24Hrs],tblDaily[Month],11,tblDaily[WardCode],"MW")</f>
        <v>0</v>
      </c>
      <c r="H154" s="4">
        <f>SUMIFS(tblDaily[Remaining],tblDaily[Month],11,tblDaily[WardCode],"MW")</f>
        <v>0</v>
      </c>
      <c r="I154" s="4">
        <f>SUMIFS(tblDaily[TransfersIn],tblDaily[Month],11,tblDaily[WardCode],"MW")</f>
        <v>0</v>
      </c>
      <c r="J154" s="4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27</v>
      </c>
      <c r="B155" s="4">
        <f>IFERROR(SUMIFS(tblDaily[Remaining],tblDaily[EntryDate],DATE(2026,10,31),tblDaily[WardCode],"FW"),0)</f>
        <v>0</v>
      </c>
      <c r="C155" s="4">
        <f>IFERROR(INDEX(tblWardConfig[BedComplement],MATCH("FW",tblWardConfig[WardCode],0)),0)</f>
        <v>28</v>
      </c>
      <c r="D155" s="4">
        <f>SUMIFS(tblDaily[Admissions],tblDaily[Month],11,tblDaily[WardCode],"FW")</f>
        <v>0</v>
      </c>
      <c r="E155" s="4">
        <f>SUMIFS(tblDaily[Discharges],tblDaily[Month],11,tblDaily[WardCode],"FW")</f>
        <v>0</v>
      </c>
      <c r="F155" s="4">
        <f>SUMIFS(tblDaily[Deaths],tblDaily[Month],11,tblDaily[WardCode],"FW")</f>
        <v>0</v>
      </c>
      <c r="G155" s="4">
        <f>SUMIFS(tblDaily[DeathsUnder24Hrs],tblDaily[Month],11,tblDaily[WardCode],"FW")</f>
        <v>0</v>
      </c>
      <c r="H155" s="4">
        <f>SUMIFS(tblDaily[Remaining],tblDaily[Month],11,tblDaily[WardCode],"FW")</f>
        <v>0</v>
      </c>
      <c r="I155" s="4">
        <f>SUMIFS(tblDaily[TransfersIn],tblDaily[Month],11,tblDaily[WardCode],"FW")</f>
        <v>0</v>
      </c>
      <c r="J155" s="4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29</v>
      </c>
      <c r="B156" s="4">
        <f>IFERROR(SUMIFS(tblDaily[Remaining],tblDaily[EntryDate],DATE(2026,10,31),tblDaily[WardCode],"CW"),0)</f>
        <v>0</v>
      </c>
      <c r="C156" s="4">
        <f>IFERROR(INDEX(tblWardConfig[BedComplement],MATCH("CW",tblWardConfig[WardCode],0)),0)</f>
        <v>27</v>
      </c>
      <c r="D156" s="4">
        <f>SUMIFS(tblDaily[Admissions],tblDaily[Month],11,tblDaily[WardCode],"CW")</f>
        <v>0</v>
      </c>
      <c r="E156" s="4">
        <f>SUMIFS(tblDaily[Discharges],tblDaily[Month],11,tblDaily[WardCode],"CW")</f>
        <v>0</v>
      </c>
      <c r="F156" s="4">
        <f>SUMIFS(tblDaily[Deaths],tblDaily[Month],11,tblDaily[WardCode],"CW")</f>
        <v>0</v>
      </c>
      <c r="G156" s="4">
        <f>SUMIFS(tblDaily[DeathsUnder24Hrs],tblDaily[Month],11,tblDaily[WardCode],"CW")</f>
        <v>0</v>
      </c>
      <c r="H156" s="4">
        <f>SUMIFS(tblDaily[Remaining],tblDaily[Month],11,tblDaily[WardCode],"CW")</f>
        <v>0</v>
      </c>
      <c r="I156" s="4">
        <f>SUMIFS(tblDaily[TransfersIn],tblDaily[Month],11,tblDaily[WardCode],"CW")</f>
        <v>0</v>
      </c>
      <c r="J156" s="4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31</v>
      </c>
      <c r="B157" s="4">
        <f>IFERROR(SUMIFS(tblDaily[Remaining],tblDaily[EntryDate],DATE(2026,10,31),tblDaily[WardCode],"BF"),0)</f>
        <v>0</v>
      </c>
      <c r="C157" s="4">
        <f>IFERROR(INDEX(tblWardConfig[BedComplement],MATCH("BF",tblWardConfig[WardCode],0)),0)</f>
        <v>20</v>
      </c>
      <c r="D157" s="4">
        <f>SUMIFS(tblDaily[Admissions],tblDaily[Month],11,tblDaily[WardCode],"BF")</f>
        <v>0</v>
      </c>
      <c r="E157" s="4">
        <f>SUMIFS(tblDaily[Discharges],tblDaily[Month],11,tblDaily[WardCode],"BF")</f>
        <v>0</v>
      </c>
      <c r="F157" s="4">
        <f>SUMIFS(tblDaily[Deaths],tblDaily[Month],11,tblDaily[WardCode],"BF")</f>
        <v>0</v>
      </c>
      <c r="G157" s="4">
        <f>SUMIFS(tblDaily[DeathsUnder24Hrs],tblDaily[Month],11,tblDaily[WardCode],"BF")</f>
        <v>0</v>
      </c>
      <c r="H157" s="4">
        <f>SUMIFS(tblDaily[Remaining],tblDaily[Month],11,tblDaily[WardCode],"BF")</f>
        <v>0</v>
      </c>
      <c r="I157" s="4">
        <f>SUMIFS(tblDaily[TransfersIn],tblDaily[Month],11,tblDaily[WardCode],"BF")</f>
        <v>0</v>
      </c>
      <c r="J157" s="4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33</v>
      </c>
      <c r="B158" s="4">
        <f>IFERROR(SUMIFS(tblDaily[Remaining],tblDaily[EntryDate],DATE(2026,10,31),tblDaily[WardCode],"BG"),0)</f>
        <v>0</v>
      </c>
      <c r="C158" s="4">
        <f>IFERROR(INDEX(tblWardConfig[BedComplement],MATCH("BG",tblWardConfig[WardCode],0)),0)</f>
        <v>14</v>
      </c>
      <c r="D158" s="4">
        <f>SUMIFS(tblDaily[Admissions],tblDaily[Month],11,tblDaily[WardCode],"BG")</f>
        <v>0</v>
      </c>
      <c r="E158" s="4">
        <f>SUMIFS(tblDaily[Discharges],tblDaily[Month],11,tblDaily[WardCode],"BG")</f>
        <v>0</v>
      </c>
      <c r="F158" s="4">
        <f>SUMIFS(tblDaily[Deaths],tblDaily[Month],11,tblDaily[WardCode],"BG")</f>
        <v>0</v>
      </c>
      <c r="G158" s="4">
        <f>SUMIFS(tblDaily[DeathsUnder24Hrs],tblDaily[Month],11,tblDaily[WardCode],"BG")</f>
        <v>0</v>
      </c>
      <c r="H158" s="4">
        <f>SUMIFS(tblDaily[Remaining],tblDaily[Month],11,tblDaily[WardCode],"BG")</f>
        <v>0</v>
      </c>
      <c r="I158" s="4">
        <f>SUMIFS(tblDaily[TransfersIn],tblDaily[Month],11,tblDaily[WardCode],"BG")</f>
        <v>0</v>
      </c>
      <c r="J158" s="4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35</v>
      </c>
      <c r="B159" s="4">
        <f>IFERROR(SUMIFS(tblDaily[Remaining],tblDaily[EntryDate],DATE(2026,10,31),tblDaily[WardCode],"BH"),0)</f>
        <v>0</v>
      </c>
      <c r="C159" s="4">
        <f>IFERROR(INDEX(tblWardConfig[BedComplement],MATCH("BH",tblWardConfig[WardCode],0)),0)</f>
        <v>22</v>
      </c>
      <c r="D159" s="4">
        <f>SUMIFS(tblDaily[Admissions],tblDaily[Month],11,tblDaily[WardCode],"BH")</f>
        <v>0</v>
      </c>
      <c r="E159" s="4">
        <f>SUMIFS(tblDaily[Discharges],tblDaily[Month],11,tblDaily[WardCode],"BH")</f>
        <v>0</v>
      </c>
      <c r="F159" s="4">
        <f>SUMIFS(tblDaily[Deaths],tblDaily[Month],11,tblDaily[WardCode],"BH")</f>
        <v>0</v>
      </c>
      <c r="G159" s="4">
        <f>SUMIFS(tblDaily[DeathsUnder24Hrs],tblDaily[Month],11,tblDaily[WardCode],"BH")</f>
        <v>0</v>
      </c>
      <c r="H159" s="4">
        <f>SUMIFS(tblDaily[Remaining],tblDaily[Month],11,tblDaily[WardCode],"BH")</f>
        <v>0</v>
      </c>
      <c r="I159" s="4">
        <f>SUMIFS(tblDaily[TransfersIn],tblDaily[Month],11,tblDaily[WardCode],"BH")</f>
        <v>0</v>
      </c>
      <c r="J159" s="4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37</v>
      </c>
      <c r="B160" s="4">
        <f>IFERROR(SUMIFS(tblDaily[Remaining],tblDaily[EntryDate],DATE(2026,10,31),tblDaily[WardCode],"NICU"),0)</f>
        <v>0</v>
      </c>
      <c r="C160" s="4">
        <f>IFERROR(INDEX(tblWardConfig[BedComplement],MATCH("NICU",tblWardConfig[WardCode],0)),0)</f>
        <v>15</v>
      </c>
      <c r="D160" s="4">
        <f>SUMIFS(tblDaily[Admissions],tblDaily[Month],11,tblDaily[WardCode],"NICU")</f>
        <v>0</v>
      </c>
      <c r="E160" s="4">
        <f>SUMIFS(tblDaily[Discharges],tblDaily[Month],11,tblDaily[WardCode],"NICU")</f>
        <v>0</v>
      </c>
      <c r="F160" s="4">
        <f>SUMIFS(tblDaily[Deaths],tblDaily[Month],11,tblDaily[WardCode],"NICU")</f>
        <v>0</v>
      </c>
      <c r="G160" s="4">
        <f>SUMIFS(tblDaily[DeathsUnder24Hrs],tblDaily[Month],11,tblDaily[WardCode],"NICU")</f>
        <v>0</v>
      </c>
      <c r="H160" s="4">
        <f>SUMIFS(tblDaily[Remaining],tblDaily[Month],11,tblDaily[WardCode],"NICU")</f>
        <v>0</v>
      </c>
      <c r="I160" s="4">
        <f>SUMIFS(tblDaily[TransfersIn],tblDaily[Month],11,tblDaily[WardCode],"NICU")</f>
        <v>0</v>
      </c>
      <c r="J160" s="4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39</v>
      </c>
      <c r="B161" s="4">
        <f>IFERROR(SUMIFS(tblDaily[Remaining],tblDaily[EntryDate],DATE(2026,10,31),tblDaily[WardCode],"MAE"),0)</f>
        <v>0</v>
      </c>
      <c r="C161" s="4">
        <f>IFERROR(INDEX(tblWardConfig[BedComplement],MATCH("MAE",tblWardConfig[WardCode],0)),0)</f>
        <v>10</v>
      </c>
      <c r="D161" s="4">
        <f>SUMIFS(tblDaily[Admissions],tblDaily[Month],11,tblDaily[WardCode],"MAE")</f>
        <v>0</v>
      </c>
      <c r="E161" s="4">
        <f>SUMIFS(tblDaily[Discharges],tblDaily[Month],11,tblDaily[WardCode],"MAE")</f>
        <v>0</v>
      </c>
      <c r="F161" s="4">
        <f>SUMIFS(tblDaily[Deaths],tblDaily[Month],11,tblDaily[WardCode],"MAE")</f>
        <v>0</v>
      </c>
      <c r="G161" s="4">
        <f>SUMIFS(tblDaily[DeathsUnder24Hrs],tblDaily[Month],11,tblDaily[WardCode],"MAE")</f>
        <v>0</v>
      </c>
      <c r="H161" s="4">
        <f>SUMIFS(tblDaily[Remaining],tblDaily[Month],11,tblDaily[WardCode],"MAE")</f>
        <v>0</v>
      </c>
      <c r="I161" s="4">
        <f>SUMIFS(tblDaily[TransfersIn],tblDaily[Month],11,tblDaily[WardCode],"MAE")</f>
        <v>0</v>
      </c>
      <c r="J161" s="4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41</v>
      </c>
      <c r="B162" s="4">
        <f>IFERROR(SUMIFS(tblDaily[Remaining],tblDaily[EntryDate],DATE(2026,10,31),tblDaily[WardCode],"FAE"),0)</f>
        <v>0</v>
      </c>
      <c r="C162" s="4">
        <f>IFERROR(INDEX(tblWardConfig[BedComplement],MATCH("FAE",tblWardConfig[WardCode],0)),0)</f>
        <v>10</v>
      </c>
      <c r="D162" s="4">
        <f>SUMIFS(tblDaily[Admissions],tblDaily[Month],11,tblDaily[WardCode],"FAE")</f>
        <v>0</v>
      </c>
      <c r="E162" s="4">
        <f>SUMIFS(tblDaily[Discharges],tblDaily[Month],11,tblDaily[WardCode],"FAE")</f>
        <v>0</v>
      </c>
      <c r="F162" s="4">
        <f>SUMIFS(tblDaily[Deaths],tblDaily[Month],11,tblDaily[WardCode],"FAE")</f>
        <v>0</v>
      </c>
      <c r="G162" s="4">
        <f>SUMIFS(tblDaily[DeathsUnder24Hrs],tblDaily[Month],11,tblDaily[WardCode],"FAE")</f>
        <v>0</v>
      </c>
      <c r="H162" s="4">
        <f>SUMIFS(tblDaily[Remaining],tblDaily[Month],11,tblDaily[WardCode],"FAE")</f>
        <v>0</v>
      </c>
      <c r="I162" s="4">
        <f>SUMIFS(tblDaily[TransfersIn],tblDaily[Month],11,tblDaily[WardCode],"FAE")</f>
        <v>0</v>
      </c>
      <c r="J162" s="4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98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120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22" t="s">
        <v>0</v>
      </c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</row>
    <row r="167" spans="1:16" ht="15.75" x14ac:dyDescent="0.25">
      <c r="A167" s="27" t="s">
        <v>131</v>
      </c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</row>
    <row r="168" spans="1:16" ht="38.25" x14ac:dyDescent="0.25">
      <c r="A168" s="8" t="s">
        <v>108</v>
      </c>
      <c r="B168" s="8" t="s">
        <v>109</v>
      </c>
      <c r="C168" s="8" t="s">
        <v>110</v>
      </c>
      <c r="D168" s="8" t="s">
        <v>60</v>
      </c>
      <c r="E168" s="8" t="s">
        <v>61</v>
      </c>
      <c r="F168" s="8" t="s">
        <v>62</v>
      </c>
      <c r="G168" s="8" t="s">
        <v>94</v>
      </c>
      <c r="H168" s="8" t="s">
        <v>111</v>
      </c>
      <c r="I168" s="8" t="s">
        <v>112</v>
      </c>
      <c r="J168" s="8" t="s">
        <v>113</v>
      </c>
      <c r="K168" s="8" t="s">
        <v>114</v>
      </c>
      <c r="L168" s="8" t="s">
        <v>115</v>
      </c>
      <c r="M168" s="8" t="s">
        <v>116</v>
      </c>
      <c r="N168" s="8" t="s">
        <v>117</v>
      </c>
      <c r="O168" s="8" t="s">
        <v>118</v>
      </c>
      <c r="P168" s="8" t="s">
        <v>119</v>
      </c>
    </row>
    <row r="169" spans="1:16" x14ac:dyDescent="0.25">
      <c r="A169" s="11" t="s">
        <v>25</v>
      </c>
      <c r="B169" s="4">
        <f>IFERROR(SUMIFS(tblDaily[Remaining],tblDaily[EntryDate],DATE(2026,11,30),tblDaily[WardCode],"MW"),0)</f>
        <v>0</v>
      </c>
      <c r="C169" s="4">
        <f>IFERROR(INDEX(tblWardConfig[BedComplement],MATCH("MW",tblWardConfig[WardCode],0)),0)</f>
        <v>32</v>
      </c>
      <c r="D169" s="4">
        <f>SUMIFS(tblDaily[Admissions],tblDaily[Month],12,tblDaily[WardCode],"MW")</f>
        <v>0</v>
      </c>
      <c r="E169" s="4">
        <f>SUMIFS(tblDaily[Discharges],tblDaily[Month],12,tblDaily[WardCode],"MW")</f>
        <v>0</v>
      </c>
      <c r="F169" s="4">
        <f>SUMIFS(tblDaily[Deaths],tblDaily[Month],12,tblDaily[WardCode],"MW")</f>
        <v>0</v>
      </c>
      <c r="G169" s="4">
        <f>SUMIFS(tblDaily[DeathsUnder24Hrs],tblDaily[Month],12,tblDaily[WardCode],"MW")</f>
        <v>0</v>
      </c>
      <c r="H169" s="4">
        <f>SUMIFS(tblDaily[Remaining],tblDaily[Month],12,tblDaily[WardCode],"MW")</f>
        <v>0</v>
      </c>
      <c r="I169" s="4">
        <f>SUMIFS(tblDaily[TransfersIn],tblDaily[Month],12,tblDaily[WardCode],"MW")</f>
        <v>0</v>
      </c>
      <c r="J169" s="4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27</v>
      </c>
      <c r="B170" s="4">
        <f>IFERROR(SUMIFS(tblDaily[Remaining],tblDaily[EntryDate],DATE(2026,11,30),tblDaily[WardCode],"FW"),0)</f>
        <v>0</v>
      </c>
      <c r="C170" s="4">
        <f>IFERROR(INDEX(tblWardConfig[BedComplement],MATCH("FW",tblWardConfig[WardCode],0)),0)</f>
        <v>28</v>
      </c>
      <c r="D170" s="4">
        <f>SUMIFS(tblDaily[Admissions],tblDaily[Month],12,tblDaily[WardCode],"FW")</f>
        <v>0</v>
      </c>
      <c r="E170" s="4">
        <f>SUMIFS(tblDaily[Discharges],tblDaily[Month],12,tblDaily[WardCode],"FW")</f>
        <v>0</v>
      </c>
      <c r="F170" s="4">
        <f>SUMIFS(tblDaily[Deaths],tblDaily[Month],12,tblDaily[WardCode],"FW")</f>
        <v>0</v>
      </c>
      <c r="G170" s="4">
        <f>SUMIFS(tblDaily[DeathsUnder24Hrs],tblDaily[Month],12,tblDaily[WardCode],"FW")</f>
        <v>0</v>
      </c>
      <c r="H170" s="4">
        <f>SUMIFS(tblDaily[Remaining],tblDaily[Month],12,tblDaily[WardCode],"FW")</f>
        <v>0</v>
      </c>
      <c r="I170" s="4">
        <f>SUMIFS(tblDaily[TransfersIn],tblDaily[Month],12,tblDaily[WardCode],"FW")</f>
        <v>0</v>
      </c>
      <c r="J170" s="4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29</v>
      </c>
      <c r="B171" s="4">
        <f>IFERROR(SUMIFS(tblDaily[Remaining],tblDaily[EntryDate],DATE(2026,11,30),tblDaily[WardCode],"CW"),0)</f>
        <v>0</v>
      </c>
      <c r="C171" s="4">
        <f>IFERROR(INDEX(tblWardConfig[BedComplement],MATCH("CW",tblWardConfig[WardCode],0)),0)</f>
        <v>27</v>
      </c>
      <c r="D171" s="4">
        <f>SUMIFS(tblDaily[Admissions],tblDaily[Month],12,tblDaily[WardCode],"CW")</f>
        <v>0</v>
      </c>
      <c r="E171" s="4">
        <f>SUMIFS(tblDaily[Discharges],tblDaily[Month],12,tblDaily[WardCode],"CW")</f>
        <v>0</v>
      </c>
      <c r="F171" s="4">
        <f>SUMIFS(tblDaily[Deaths],tblDaily[Month],12,tblDaily[WardCode],"CW")</f>
        <v>0</v>
      </c>
      <c r="G171" s="4">
        <f>SUMIFS(tblDaily[DeathsUnder24Hrs],tblDaily[Month],12,tblDaily[WardCode],"CW")</f>
        <v>0</v>
      </c>
      <c r="H171" s="4">
        <f>SUMIFS(tblDaily[Remaining],tblDaily[Month],12,tblDaily[WardCode],"CW")</f>
        <v>0</v>
      </c>
      <c r="I171" s="4">
        <f>SUMIFS(tblDaily[TransfersIn],tblDaily[Month],12,tblDaily[WardCode],"CW")</f>
        <v>0</v>
      </c>
      <c r="J171" s="4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31</v>
      </c>
      <c r="B172" s="4">
        <f>IFERROR(SUMIFS(tblDaily[Remaining],tblDaily[EntryDate],DATE(2026,11,30),tblDaily[WardCode],"BF"),0)</f>
        <v>0</v>
      </c>
      <c r="C172" s="4">
        <f>IFERROR(INDEX(tblWardConfig[BedComplement],MATCH("BF",tblWardConfig[WardCode],0)),0)</f>
        <v>20</v>
      </c>
      <c r="D172" s="4">
        <f>SUMIFS(tblDaily[Admissions],tblDaily[Month],12,tblDaily[WardCode],"BF")</f>
        <v>0</v>
      </c>
      <c r="E172" s="4">
        <f>SUMIFS(tblDaily[Discharges],tblDaily[Month],12,tblDaily[WardCode],"BF")</f>
        <v>0</v>
      </c>
      <c r="F172" s="4">
        <f>SUMIFS(tblDaily[Deaths],tblDaily[Month],12,tblDaily[WardCode],"BF")</f>
        <v>0</v>
      </c>
      <c r="G172" s="4">
        <f>SUMIFS(tblDaily[DeathsUnder24Hrs],tblDaily[Month],12,tblDaily[WardCode],"BF")</f>
        <v>0</v>
      </c>
      <c r="H172" s="4">
        <f>SUMIFS(tblDaily[Remaining],tblDaily[Month],12,tblDaily[WardCode],"BF")</f>
        <v>0</v>
      </c>
      <c r="I172" s="4">
        <f>SUMIFS(tblDaily[TransfersIn],tblDaily[Month],12,tblDaily[WardCode],"BF")</f>
        <v>0</v>
      </c>
      <c r="J172" s="4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33</v>
      </c>
      <c r="B173" s="4">
        <f>IFERROR(SUMIFS(tblDaily[Remaining],tblDaily[EntryDate],DATE(2026,11,30),tblDaily[WardCode],"BG"),0)</f>
        <v>0</v>
      </c>
      <c r="C173" s="4">
        <f>IFERROR(INDEX(tblWardConfig[BedComplement],MATCH("BG",tblWardConfig[WardCode],0)),0)</f>
        <v>14</v>
      </c>
      <c r="D173" s="4">
        <f>SUMIFS(tblDaily[Admissions],tblDaily[Month],12,tblDaily[WardCode],"BG")</f>
        <v>0</v>
      </c>
      <c r="E173" s="4">
        <f>SUMIFS(tblDaily[Discharges],tblDaily[Month],12,tblDaily[WardCode],"BG")</f>
        <v>0</v>
      </c>
      <c r="F173" s="4">
        <f>SUMIFS(tblDaily[Deaths],tblDaily[Month],12,tblDaily[WardCode],"BG")</f>
        <v>0</v>
      </c>
      <c r="G173" s="4">
        <f>SUMIFS(tblDaily[DeathsUnder24Hrs],tblDaily[Month],12,tblDaily[WardCode],"BG")</f>
        <v>0</v>
      </c>
      <c r="H173" s="4">
        <f>SUMIFS(tblDaily[Remaining],tblDaily[Month],12,tblDaily[WardCode],"BG")</f>
        <v>0</v>
      </c>
      <c r="I173" s="4">
        <f>SUMIFS(tblDaily[TransfersIn],tblDaily[Month],12,tblDaily[WardCode],"BG")</f>
        <v>0</v>
      </c>
      <c r="J173" s="4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35</v>
      </c>
      <c r="B174" s="4">
        <f>IFERROR(SUMIFS(tblDaily[Remaining],tblDaily[EntryDate],DATE(2026,11,30),tblDaily[WardCode],"BH"),0)</f>
        <v>0</v>
      </c>
      <c r="C174" s="4">
        <f>IFERROR(INDEX(tblWardConfig[BedComplement],MATCH("BH",tblWardConfig[WardCode],0)),0)</f>
        <v>22</v>
      </c>
      <c r="D174" s="4">
        <f>SUMIFS(tblDaily[Admissions],tblDaily[Month],12,tblDaily[WardCode],"BH")</f>
        <v>0</v>
      </c>
      <c r="E174" s="4">
        <f>SUMIFS(tblDaily[Discharges],tblDaily[Month],12,tblDaily[WardCode],"BH")</f>
        <v>0</v>
      </c>
      <c r="F174" s="4">
        <f>SUMIFS(tblDaily[Deaths],tblDaily[Month],12,tblDaily[WardCode],"BH")</f>
        <v>0</v>
      </c>
      <c r="G174" s="4">
        <f>SUMIFS(tblDaily[DeathsUnder24Hrs],tblDaily[Month],12,tblDaily[WardCode],"BH")</f>
        <v>0</v>
      </c>
      <c r="H174" s="4">
        <f>SUMIFS(tblDaily[Remaining],tblDaily[Month],12,tblDaily[WardCode],"BH")</f>
        <v>0</v>
      </c>
      <c r="I174" s="4">
        <f>SUMIFS(tblDaily[TransfersIn],tblDaily[Month],12,tblDaily[WardCode],"BH")</f>
        <v>0</v>
      </c>
      <c r="J174" s="4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37</v>
      </c>
      <c r="B175" s="4">
        <f>IFERROR(SUMIFS(tblDaily[Remaining],tblDaily[EntryDate],DATE(2026,11,30),tblDaily[WardCode],"NICU"),0)</f>
        <v>0</v>
      </c>
      <c r="C175" s="4">
        <f>IFERROR(INDEX(tblWardConfig[BedComplement],MATCH("NICU",tblWardConfig[WardCode],0)),0)</f>
        <v>15</v>
      </c>
      <c r="D175" s="4">
        <f>SUMIFS(tblDaily[Admissions],tblDaily[Month],12,tblDaily[WardCode],"NICU")</f>
        <v>0</v>
      </c>
      <c r="E175" s="4">
        <f>SUMIFS(tblDaily[Discharges],tblDaily[Month],12,tblDaily[WardCode],"NICU")</f>
        <v>0</v>
      </c>
      <c r="F175" s="4">
        <f>SUMIFS(tblDaily[Deaths],tblDaily[Month],12,tblDaily[WardCode],"NICU")</f>
        <v>0</v>
      </c>
      <c r="G175" s="4">
        <f>SUMIFS(tblDaily[DeathsUnder24Hrs],tblDaily[Month],12,tblDaily[WardCode],"NICU")</f>
        <v>0</v>
      </c>
      <c r="H175" s="4">
        <f>SUMIFS(tblDaily[Remaining],tblDaily[Month],12,tblDaily[WardCode],"NICU")</f>
        <v>0</v>
      </c>
      <c r="I175" s="4">
        <f>SUMIFS(tblDaily[TransfersIn],tblDaily[Month],12,tblDaily[WardCode],"NICU")</f>
        <v>0</v>
      </c>
      <c r="J175" s="4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39</v>
      </c>
      <c r="B176" s="4">
        <f>IFERROR(SUMIFS(tblDaily[Remaining],tblDaily[EntryDate],DATE(2026,11,30),tblDaily[WardCode],"MAE"),0)</f>
        <v>0</v>
      </c>
      <c r="C176" s="4">
        <f>IFERROR(INDEX(tblWardConfig[BedComplement],MATCH("MAE",tblWardConfig[WardCode],0)),0)</f>
        <v>10</v>
      </c>
      <c r="D176" s="4">
        <f>SUMIFS(tblDaily[Admissions],tblDaily[Month],12,tblDaily[WardCode],"MAE")</f>
        <v>0</v>
      </c>
      <c r="E176" s="4">
        <f>SUMIFS(tblDaily[Discharges],tblDaily[Month],12,tblDaily[WardCode],"MAE")</f>
        <v>0</v>
      </c>
      <c r="F176" s="4">
        <f>SUMIFS(tblDaily[Deaths],tblDaily[Month],12,tblDaily[WardCode],"MAE")</f>
        <v>0</v>
      </c>
      <c r="G176" s="4">
        <f>SUMIFS(tblDaily[DeathsUnder24Hrs],tblDaily[Month],12,tblDaily[WardCode],"MAE")</f>
        <v>0</v>
      </c>
      <c r="H176" s="4">
        <f>SUMIFS(tblDaily[Remaining],tblDaily[Month],12,tblDaily[WardCode],"MAE")</f>
        <v>0</v>
      </c>
      <c r="I176" s="4">
        <f>SUMIFS(tblDaily[TransfersIn],tblDaily[Month],12,tblDaily[WardCode],"MAE")</f>
        <v>0</v>
      </c>
      <c r="J176" s="4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41</v>
      </c>
      <c r="B177" s="4">
        <f>IFERROR(SUMIFS(tblDaily[Remaining],tblDaily[EntryDate],DATE(2026,11,30),tblDaily[WardCode],"FAE"),0)</f>
        <v>0</v>
      </c>
      <c r="C177" s="4">
        <f>IFERROR(INDEX(tblWardConfig[BedComplement],MATCH("FAE",tblWardConfig[WardCode],0)),0)</f>
        <v>10</v>
      </c>
      <c r="D177" s="4">
        <f>SUMIFS(tblDaily[Admissions],tblDaily[Month],12,tblDaily[WardCode],"FAE")</f>
        <v>0</v>
      </c>
      <c r="E177" s="4">
        <f>SUMIFS(tblDaily[Discharges],tblDaily[Month],12,tblDaily[WardCode],"FAE")</f>
        <v>0</v>
      </c>
      <c r="F177" s="4">
        <f>SUMIFS(tblDaily[Deaths],tblDaily[Month],12,tblDaily[WardCode],"FAE")</f>
        <v>0</v>
      </c>
      <c r="G177" s="4">
        <f>SUMIFS(tblDaily[DeathsUnder24Hrs],tblDaily[Month],12,tblDaily[WardCode],"FAE")</f>
        <v>0</v>
      </c>
      <c r="H177" s="4">
        <f>SUMIFS(tblDaily[Remaining],tblDaily[Month],12,tblDaily[WardCode],"FAE")</f>
        <v>0</v>
      </c>
      <c r="I177" s="4">
        <f>SUMIFS(tblDaily[TransfersIn],tblDaily[Month],12,tblDaily[WardCode],"FAE")</f>
        <v>0</v>
      </c>
      <c r="J177" s="4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98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120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33" t="s">
        <v>46</v>
      </c>
      <c r="B1" s="23"/>
      <c r="C1" s="23"/>
      <c r="D1" s="23"/>
      <c r="E1" s="23"/>
      <c r="F1" s="23"/>
      <c r="G1" s="23"/>
      <c r="H1" s="33" t="s">
        <v>47</v>
      </c>
      <c r="I1" s="23"/>
      <c r="J1" s="23"/>
      <c r="K1" s="23"/>
      <c r="L1" s="23"/>
      <c r="M1" s="23"/>
      <c r="N1" s="23"/>
      <c r="O1" s="33" t="s">
        <v>48</v>
      </c>
      <c r="P1" s="23"/>
      <c r="Q1" s="23"/>
      <c r="R1" s="23"/>
      <c r="S1" s="23"/>
      <c r="T1" s="23"/>
      <c r="U1" s="23"/>
      <c r="V1" s="33" t="s">
        <v>49</v>
      </c>
      <c r="W1" s="23"/>
      <c r="X1" s="23"/>
      <c r="Y1" s="23"/>
      <c r="Z1" s="23"/>
      <c r="AA1" s="23"/>
      <c r="AB1" s="23"/>
      <c r="AC1" s="33" t="s">
        <v>50</v>
      </c>
      <c r="AD1" s="23"/>
      <c r="AE1" s="23"/>
      <c r="AF1" s="23"/>
      <c r="AG1" s="23"/>
      <c r="AH1" s="23"/>
      <c r="AI1" s="23"/>
      <c r="AJ1" s="33" t="s">
        <v>51</v>
      </c>
      <c r="AK1" s="23"/>
      <c r="AL1" s="23"/>
      <c r="AM1" s="23"/>
      <c r="AN1" s="23"/>
      <c r="AO1" s="23"/>
      <c r="AP1" s="23"/>
      <c r="AQ1" s="33" t="s">
        <v>52</v>
      </c>
      <c r="AR1" s="23"/>
      <c r="AS1" s="23"/>
      <c r="AT1" s="23"/>
      <c r="AU1" s="23"/>
      <c r="AV1" s="23"/>
      <c r="AW1" s="23"/>
      <c r="AX1" s="33" t="s">
        <v>53</v>
      </c>
      <c r="AY1" s="23"/>
      <c r="AZ1" s="23"/>
      <c r="BA1" s="23"/>
      <c r="BB1" s="23"/>
      <c r="BC1" s="23"/>
      <c r="BD1" s="23"/>
      <c r="BE1" s="33" t="s">
        <v>54</v>
      </c>
      <c r="BF1" s="23"/>
      <c r="BG1" s="23"/>
      <c r="BH1" s="23"/>
      <c r="BI1" s="23"/>
      <c r="BJ1" s="23"/>
      <c r="BK1" s="23"/>
      <c r="BL1" s="33" t="s">
        <v>55</v>
      </c>
      <c r="BM1" s="23"/>
      <c r="BN1" s="23"/>
      <c r="BO1" s="23"/>
      <c r="BP1" s="23"/>
      <c r="BQ1" s="23"/>
      <c r="BR1" s="23"/>
      <c r="BS1" s="33" t="s">
        <v>56</v>
      </c>
      <c r="BT1" s="23"/>
      <c r="BU1" s="23"/>
      <c r="BV1" s="23"/>
      <c r="BW1" s="23"/>
      <c r="BX1" s="23"/>
      <c r="BY1" s="23"/>
      <c r="BZ1" s="33" t="s">
        <v>57</v>
      </c>
      <c r="CA1" s="23"/>
      <c r="CB1" s="23"/>
      <c r="CC1" s="23"/>
      <c r="CD1" s="23"/>
      <c r="CE1" s="23"/>
      <c r="CF1" s="23"/>
    </row>
    <row r="2" spans="1:84" x14ac:dyDescent="0.25">
      <c r="B2" s="32" t="s">
        <v>132</v>
      </c>
      <c r="C2" s="23"/>
      <c r="D2" s="34" t="s">
        <v>133</v>
      </c>
      <c r="E2" s="23"/>
      <c r="F2" s="31" t="s">
        <v>134</v>
      </c>
      <c r="G2" s="23"/>
      <c r="I2" s="32" t="s">
        <v>132</v>
      </c>
      <c r="J2" s="23"/>
      <c r="K2" s="34" t="s">
        <v>133</v>
      </c>
      <c r="L2" s="23"/>
      <c r="M2" s="31" t="s">
        <v>134</v>
      </c>
      <c r="N2" s="23"/>
      <c r="P2" s="32" t="s">
        <v>132</v>
      </c>
      <c r="Q2" s="23"/>
      <c r="R2" s="34" t="s">
        <v>133</v>
      </c>
      <c r="S2" s="23"/>
      <c r="T2" s="31" t="s">
        <v>134</v>
      </c>
      <c r="U2" s="23"/>
      <c r="W2" s="32" t="s">
        <v>132</v>
      </c>
      <c r="X2" s="23"/>
      <c r="Y2" s="34" t="s">
        <v>133</v>
      </c>
      <c r="Z2" s="23"/>
      <c r="AA2" s="31" t="s">
        <v>134</v>
      </c>
      <c r="AB2" s="23"/>
      <c r="AD2" s="32" t="s">
        <v>132</v>
      </c>
      <c r="AE2" s="23"/>
      <c r="AF2" s="34" t="s">
        <v>133</v>
      </c>
      <c r="AG2" s="23"/>
      <c r="AH2" s="31" t="s">
        <v>134</v>
      </c>
      <c r="AI2" s="23"/>
      <c r="AK2" s="32" t="s">
        <v>132</v>
      </c>
      <c r="AL2" s="23"/>
      <c r="AM2" s="34" t="s">
        <v>133</v>
      </c>
      <c r="AN2" s="23"/>
      <c r="AO2" s="31" t="s">
        <v>134</v>
      </c>
      <c r="AP2" s="23"/>
      <c r="AR2" s="32" t="s">
        <v>132</v>
      </c>
      <c r="AS2" s="23"/>
      <c r="AT2" s="34" t="s">
        <v>133</v>
      </c>
      <c r="AU2" s="23"/>
      <c r="AV2" s="31" t="s">
        <v>134</v>
      </c>
      <c r="AW2" s="23"/>
      <c r="AY2" s="32" t="s">
        <v>132</v>
      </c>
      <c r="AZ2" s="23"/>
      <c r="BA2" s="34" t="s">
        <v>133</v>
      </c>
      <c r="BB2" s="23"/>
      <c r="BC2" s="31" t="s">
        <v>134</v>
      </c>
      <c r="BD2" s="23"/>
      <c r="BF2" s="32" t="s">
        <v>132</v>
      </c>
      <c r="BG2" s="23"/>
      <c r="BH2" s="34" t="s">
        <v>133</v>
      </c>
      <c r="BI2" s="23"/>
      <c r="BJ2" s="31" t="s">
        <v>134</v>
      </c>
      <c r="BK2" s="23"/>
      <c r="BM2" s="32" t="s">
        <v>132</v>
      </c>
      <c r="BN2" s="23"/>
      <c r="BO2" s="34" t="s">
        <v>133</v>
      </c>
      <c r="BP2" s="23"/>
      <c r="BQ2" s="31" t="s">
        <v>134</v>
      </c>
      <c r="BR2" s="23"/>
      <c r="BT2" s="32" t="s">
        <v>132</v>
      </c>
      <c r="BU2" s="23"/>
      <c r="BV2" s="34" t="s">
        <v>133</v>
      </c>
      <c r="BW2" s="23"/>
      <c r="BX2" s="31" t="s">
        <v>134</v>
      </c>
      <c r="BY2" s="23"/>
      <c r="CA2" s="32" t="s">
        <v>132</v>
      </c>
      <c r="CB2" s="23"/>
      <c r="CC2" s="34" t="s">
        <v>133</v>
      </c>
      <c r="CD2" s="23"/>
      <c r="CE2" s="31" t="s">
        <v>134</v>
      </c>
      <c r="CF2" s="23"/>
    </row>
    <row r="3" spans="1:84" x14ac:dyDescent="0.25">
      <c r="A3" s="11" t="s">
        <v>135</v>
      </c>
      <c r="B3" s="11" t="s">
        <v>136</v>
      </c>
      <c r="C3" s="11" t="s">
        <v>137</v>
      </c>
      <c r="D3" s="11" t="s">
        <v>138</v>
      </c>
      <c r="E3" s="11" t="s">
        <v>139</v>
      </c>
      <c r="F3" s="11" t="s">
        <v>138</v>
      </c>
      <c r="G3" s="11" t="s">
        <v>139</v>
      </c>
      <c r="H3" s="11" t="s">
        <v>135</v>
      </c>
      <c r="I3" s="11" t="s">
        <v>136</v>
      </c>
      <c r="J3" s="11" t="s">
        <v>137</v>
      </c>
      <c r="K3" s="11" t="s">
        <v>138</v>
      </c>
      <c r="L3" s="11" t="s">
        <v>139</v>
      </c>
      <c r="M3" s="11" t="s">
        <v>138</v>
      </c>
      <c r="N3" s="11" t="s">
        <v>139</v>
      </c>
      <c r="O3" s="11" t="s">
        <v>135</v>
      </c>
      <c r="P3" s="11" t="s">
        <v>136</v>
      </c>
      <c r="Q3" s="11" t="s">
        <v>137</v>
      </c>
      <c r="R3" s="11" t="s">
        <v>138</v>
      </c>
      <c r="S3" s="11" t="s">
        <v>139</v>
      </c>
      <c r="T3" s="11" t="s">
        <v>138</v>
      </c>
      <c r="U3" s="11" t="s">
        <v>139</v>
      </c>
      <c r="V3" s="11" t="s">
        <v>135</v>
      </c>
      <c r="W3" s="11" t="s">
        <v>136</v>
      </c>
      <c r="X3" s="11" t="s">
        <v>137</v>
      </c>
      <c r="Y3" s="11" t="s">
        <v>138</v>
      </c>
      <c r="Z3" s="11" t="s">
        <v>139</v>
      </c>
      <c r="AA3" s="11" t="s">
        <v>138</v>
      </c>
      <c r="AB3" s="11" t="s">
        <v>139</v>
      </c>
      <c r="AC3" s="11" t="s">
        <v>135</v>
      </c>
      <c r="AD3" s="11" t="s">
        <v>136</v>
      </c>
      <c r="AE3" s="11" t="s">
        <v>137</v>
      </c>
      <c r="AF3" s="11" t="s">
        <v>138</v>
      </c>
      <c r="AG3" s="11" t="s">
        <v>139</v>
      </c>
      <c r="AH3" s="11" t="s">
        <v>138</v>
      </c>
      <c r="AI3" s="11" t="s">
        <v>139</v>
      </c>
      <c r="AJ3" s="11" t="s">
        <v>135</v>
      </c>
      <c r="AK3" s="11" t="s">
        <v>136</v>
      </c>
      <c r="AL3" s="11" t="s">
        <v>137</v>
      </c>
      <c r="AM3" s="11" t="s">
        <v>138</v>
      </c>
      <c r="AN3" s="11" t="s">
        <v>139</v>
      </c>
      <c r="AO3" s="11" t="s">
        <v>138</v>
      </c>
      <c r="AP3" s="11" t="s">
        <v>139</v>
      </c>
      <c r="AQ3" s="11" t="s">
        <v>135</v>
      </c>
      <c r="AR3" s="11" t="s">
        <v>136</v>
      </c>
      <c r="AS3" s="11" t="s">
        <v>137</v>
      </c>
      <c r="AT3" s="11" t="s">
        <v>138</v>
      </c>
      <c r="AU3" s="11" t="s">
        <v>139</v>
      </c>
      <c r="AV3" s="11" t="s">
        <v>138</v>
      </c>
      <c r="AW3" s="11" t="s">
        <v>139</v>
      </c>
      <c r="AX3" s="11" t="s">
        <v>135</v>
      </c>
      <c r="AY3" s="11" t="s">
        <v>136</v>
      </c>
      <c r="AZ3" s="11" t="s">
        <v>137</v>
      </c>
      <c r="BA3" s="11" t="s">
        <v>138</v>
      </c>
      <c r="BB3" s="11" t="s">
        <v>139</v>
      </c>
      <c r="BC3" s="11" t="s">
        <v>138</v>
      </c>
      <c r="BD3" s="11" t="s">
        <v>139</v>
      </c>
      <c r="BE3" s="11" t="s">
        <v>135</v>
      </c>
      <c r="BF3" s="11" t="s">
        <v>136</v>
      </c>
      <c r="BG3" s="11" t="s">
        <v>137</v>
      </c>
      <c r="BH3" s="11" t="s">
        <v>138</v>
      </c>
      <c r="BI3" s="11" t="s">
        <v>139</v>
      </c>
      <c r="BJ3" s="11" t="s">
        <v>138</v>
      </c>
      <c r="BK3" s="11" t="s">
        <v>139</v>
      </c>
      <c r="BL3" s="11" t="s">
        <v>135</v>
      </c>
      <c r="BM3" s="11" t="s">
        <v>136</v>
      </c>
      <c r="BN3" s="11" t="s">
        <v>137</v>
      </c>
      <c r="BO3" s="11" t="s">
        <v>138</v>
      </c>
      <c r="BP3" s="11" t="s">
        <v>139</v>
      </c>
      <c r="BQ3" s="11" t="s">
        <v>138</v>
      </c>
      <c r="BR3" s="11" t="s">
        <v>139</v>
      </c>
      <c r="BS3" s="11" t="s">
        <v>135</v>
      </c>
      <c r="BT3" s="11" t="s">
        <v>136</v>
      </c>
      <c r="BU3" s="11" t="s">
        <v>137</v>
      </c>
      <c r="BV3" s="11" t="s">
        <v>138</v>
      </c>
      <c r="BW3" s="11" t="s">
        <v>139</v>
      </c>
      <c r="BX3" s="11" t="s">
        <v>138</v>
      </c>
      <c r="BY3" s="11" t="s">
        <v>139</v>
      </c>
      <c r="BZ3" s="11" t="s">
        <v>135</v>
      </c>
      <c r="CA3" s="11" t="s">
        <v>136</v>
      </c>
      <c r="CB3" s="11" t="s">
        <v>137</v>
      </c>
      <c r="CC3" s="11" t="s">
        <v>138</v>
      </c>
      <c r="CD3" s="11" t="s">
        <v>139</v>
      </c>
      <c r="CE3" s="11" t="s">
        <v>138</v>
      </c>
      <c r="CF3" s="11" t="s">
        <v>139</v>
      </c>
    </row>
    <row r="4" spans="1:84" x14ac:dyDescent="0.25">
      <c r="A4" s="4" t="s">
        <v>140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140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140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140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140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140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140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140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140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140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140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140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141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141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141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141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141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141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141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141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141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141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141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141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142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142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142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142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142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142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142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142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142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142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142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142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143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143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143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143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143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143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143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143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143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143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143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143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144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144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144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144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144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144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144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144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144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144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144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144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145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145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145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145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145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145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145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145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145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145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145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145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146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146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146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146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146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146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146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146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146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146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146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146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147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147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147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147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147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147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147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147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147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147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147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147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148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148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148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148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148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148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148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148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148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148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148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148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149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149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149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149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149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149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149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149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149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149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149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149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150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150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150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150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150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150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150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150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150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150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150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150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151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151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151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151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151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151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151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151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151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151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151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151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152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152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152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152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152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152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152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152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152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152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152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152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7" t="s">
        <v>153</v>
      </c>
      <c r="B1" s="23"/>
      <c r="C1" s="23"/>
      <c r="D1" s="23"/>
      <c r="E1" s="23"/>
      <c r="F1" s="23"/>
      <c r="G1" s="23"/>
      <c r="H1" s="23"/>
    </row>
    <row r="2" spans="1:8" x14ac:dyDescent="0.25">
      <c r="A2" s="3" t="s">
        <v>154</v>
      </c>
      <c r="B2" s="3" t="s">
        <v>155</v>
      </c>
      <c r="C2" s="3" t="s">
        <v>156</v>
      </c>
      <c r="D2" s="3" t="s">
        <v>157</v>
      </c>
      <c r="E2" s="3" t="s">
        <v>73</v>
      </c>
      <c r="F2" s="3" t="s">
        <v>75</v>
      </c>
      <c r="G2" s="3" t="s">
        <v>158</v>
      </c>
      <c r="H2" s="3" t="s">
        <v>76</v>
      </c>
    </row>
    <row r="43" spans="1:8" ht="15.75" x14ac:dyDescent="0.25">
      <c r="A43" s="27" t="s">
        <v>159</v>
      </c>
      <c r="B43" s="23"/>
      <c r="C43" s="23"/>
      <c r="D43" s="23"/>
      <c r="E43" s="23"/>
      <c r="F43" s="23"/>
      <c r="G43" s="23"/>
      <c r="H43" s="23"/>
    </row>
    <row r="44" spans="1:8" x14ac:dyDescent="0.25">
      <c r="A44" s="3" t="s">
        <v>154</v>
      </c>
      <c r="B44" s="3" t="s">
        <v>155</v>
      </c>
      <c r="C44" s="3" t="s">
        <v>156</v>
      </c>
      <c r="D44" s="3" t="s">
        <v>157</v>
      </c>
      <c r="E44" s="3" t="s">
        <v>73</v>
      </c>
      <c r="F44" s="3" t="s">
        <v>75</v>
      </c>
      <c r="G44" s="3" t="s">
        <v>158</v>
      </c>
      <c r="H44" s="3" t="s">
        <v>76</v>
      </c>
    </row>
    <row r="85" spans="1:8" ht="15.75" x14ac:dyDescent="0.25">
      <c r="A85" s="27" t="s">
        <v>160</v>
      </c>
      <c r="B85" s="23"/>
      <c r="C85" s="23"/>
      <c r="D85" s="23"/>
      <c r="E85" s="23"/>
      <c r="F85" s="23"/>
      <c r="G85" s="23"/>
      <c r="H85" s="23"/>
    </row>
    <row r="86" spans="1:8" x14ac:dyDescent="0.25">
      <c r="A86" s="3" t="s">
        <v>154</v>
      </c>
      <c r="B86" s="3" t="s">
        <v>155</v>
      </c>
      <c r="C86" s="3" t="s">
        <v>156</v>
      </c>
      <c r="D86" s="3" t="s">
        <v>157</v>
      </c>
      <c r="E86" s="3" t="s">
        <v>73</v>
      </c>
      <c r="F86" s="3" t="s">
        <v>75</v>
      </c>
      <c r="G86" s="3" t="s">
        <v>158</v>
      </c>
      <c r="H86" s="3" t="s">
        <v>76</v>
      </c>
    </row>
    <row r="127" spans="1:8" ht="15.75" x14ac:dyDescent="0.25">
      <c r="A127" s="27" t="s">
        <v>161</v>
      </c>
      <c r="B127" s="23"/>
      <c r="C127" s="23"/>
      <c r="D127" s="23"/>
      <c r="E127" s="23"/>
      <c r="F127" s="23"/>
      <c r="G127" s="23"/>
      <c r="H127" s="23"/>
    </row>
    <row r="128" spans="1:8" x14ac:dyDescent="0.25">
      <c r="A128" s="3" t="s">
        <v>154</v>
      </c>
      <c r="B128" s="3" t="s">
        <v>155</v>
      </c>
      <c r="C128" s="3" t="s">
        <v>156</v>
      </c>
      <c r="D128" s="3" t="s">
        <v>157</v>
      </c>
      <c r="E128" s="3" t="s">
        <v>73</v>
      </c>
      <c r="F128" s="3" t="s">
        <v>75</v>
      </c>
      <c r="G128" s="3" t="s">
        <v>158</v>
      </c>
      <c r="H128" s="3" t="s">
        <v>76</v>
      </c>
    </row>
    <row r="169" spans="1:8" ht="15.75" x14ac:dyDescent="0.25">
      <c r="A169" s="27" t="s">
        <v>162</v>
      </c>
      <c r="B169" s="23"/>
      <c r="C169" s="23"/>
      <c r="D169" s="23"/>
      <c r="E169" s="23"/>
      <c r="F169" s="23"/>
      <c r="G169" s="23"/>
      <c r="H169" s="23"/>
    </row>
    <row r="170" spans="1:8" x14ac:dyDescent="0.25">
      <c r="A170" s="3" t="s">
        <v>154</v>
      </c>
      <c r="B170" s="3" t="s">
        <v>155</v>
      </c>
      <c r="C170" s="3" t="s">
        <v>156</v>
      </c>
      <c r="D170" s="3" t="s">
        <v>157</v>
      </c>
      <c r="E170" s="3" t="s">
        <v>73</v>
      </c>
      <c r="F170" s="3" t="s">
        <v>75</v>
      </c>
      <c r="G170" s="3" t="s">
        <v>158</v>
      </c>
      <c r="H170" s="3" t="s">
        <v>76</v>
      </c>
    </row>
    <row r="211" spans="1:8" ht="15.75" x14ac:dyDescent="0.25">
      <c r="A211" s="27" t="s">
        <v>163</v>
      </c>
      <c r="B211" s="23"/>
      <c r="C211" s="23"/>
      <c r="D211" s="23"/>
      <c r="E211" s="23"/>
      <c r="F211" s="23"/>
      <c r="G211" s="23"/>
      <c r="H211" s="23"/>
    </row>
    <row r="212" spans="1:8" x14ac:dyDescent="0.25">
      <c r="A212" s="3" t="s">
        <v>154</v>
      </c>
      <c r="B212" s="3" t="s">
        <v>155</v>
      </c>
      <c r="C212" s="3" t="s">
        <v>156</v>
      </c>
      <c r="D212" s="3" t="s">
        <v>157</v>
      </c>
      <c r="E212" s="3" t="s">
        <v>73</v>
      </c>
      <c r="F212" s="3" t="s">
        <v>75</v>
      </c>
      <c r="G212" s="3" t="s">
        <v>158</v>
      </c>
      <c r="H212" s="3" t="s">
        <v>76</v>
      </c>
    </row>
    <row r="253" spans="1:8" ht="15.75" x14ac:dyDescent="0.25">
      <c r="A253" s="27" t="s">
        <v>164</v>
      </c>
      <c r="B253" s="23"/>
      <c r="C253" s="23"/>
      <c r="D253" s="23"/>
      <c r="E253" s="23"/>
      <c r="F253" s="23"/>
      <c r="G253" s="23"/>
      <c r="H253" s="23"/>
    </row>
    <row r="254" spans="1:8" x14ac:dyDescent="0.25">
      <c r="A254" s="3" t="s">
        <v>154</v>
      </c>
      <c r="B254" s="3" t="s">
        <v>155</v>
      </c>
      <c r="C254" s="3" t="s">
        <v>156</v>
      </c>
      <c r="D254" s="3" t="s">
        <v>157</v>
      </c>
      <c r="E254" s="3" t="s">
        <v>73</v>
      </c>
      <c r="F254" s="3" t="s">
        <v>75</v>
      </c>
      <c r="G254" s="3" t="s">
        <v>158</v>
      </c>
      <c r="H254" s="3" t="s">
        <v>76</v>
      </c>
    </row>
    <row r="295" spans="1:8" ht="15.75" x14ac:dyDescent="0.25">
      <c r="A295" s="27" t="s">
        <v>165</v>
      </c>
      <c r="B295" s="23"/>
      <c r="C295" s="23"/>
      <c r="D295" s="23"/>
      <c r="E295" s="23"/>
      <c r="F295" s="23"/>
      <c r="G295" s="23"/>
      <c r="H295" s="23"/>
    </row>
    <row r="296" spans="1:8" x14ac:dyDescent="0.25">
      <c r="A296" s="3" t="s">
        <v>154</v>
      </c>
      <c r="B296" s="3" t="s">
        <v>155</v>
      </c>
      <c r="C296" s="3" t="s">
        <v>156</v>
      </c>
      <c r="D296" s="3" t="s">
        <v>157</v>
      </c>
      <c r="E296" s="3" t="s">
        <v>73</v>
      </c>
      <c r="F296" s="3" t="s">
        <v>75</v>
      </c>
      <c r="G296" s="3" t="s">
        <v>158</v>
      </c>
      <c r="H296" s="3" t="s">
        <v>76</v>
      </c>
    </row>
    <row r="337" spans="1:8" ht="15.75" x14ac:dyDescent="0.25">
      <c r="A337" s="27" t="s">
        <v>166</v>
      </c>
      <c r="B337" s="23"/>
      <c r="C337" s="23"/>
      <c r="D337" s="23"/>
      <c r="E337" s="23"/>
      <c r="F337" s="23"/>
      <c r="G337" s="23"/>
      <c r="H337" s="23"/>
    </row>
    <row r="338" spans="1:8" x14ac:dyDescent="0.25">
      <c r="A338" s="3" t="s">
        <v>154</v>
      </c>
      <c r="B338" s="3" t="s">
        <v>155</v>
      </c>
      <c r="C338" s="3" t="s">
        <v>156</v>
      </c>
      <c r="D338" s="3" t="s">
        <v>157</v>
      </c>
      <c r="E338" s="3" t="s">
        <v>73</v>
      </c>
      <c r="F338" s="3" t="s">
        <v>75</v>
      </c>
      <c r="G338" s="3" t="s">
        <v>158</v>
      </c>
      <c r="H338" s="3" t="s">
        <v>76</v>
      </c>
    </row>
    <row r="379" spans="1:8" ht="15.75" x14ac:dyDescent="0.25">
      <c r="A379" s="27" t="s">
        <v>167</v>
      </c>
      <c r="B379" s="23"/>
      <c r="C379" s="23"/>
      <c r="D379" s="23"/>
      <c r="E379" s="23"/>
      <c r="F379" s="23"/>
      <c r="G379" s="23"/>
      <c r="H379" s="23"/>
    </row>
    <row r="380" spans="1:8" x14ac:dyDescent="0.25">
      <c r="A380" s="3" t="s">
        <v>154</v>
      </c>
      <c r="B380" s="3" t="s">
        <v>155</v>
      </c>
      <c r="C380" s="3" t="s">
        <v>156</v>
      </c>
      <c r="D380" s="3" t="s">
        <v>157</v>
      </c>
      <c r="E380" s="3" t="s">
        <v>73</v>
      </c>
      <c r="F380" s="3" t="s">
        <v>75</v>
      </c>
      <c r="G380" s="3" t="s">
        <v>158</v>
      </c>
      <c r="H380" s="3" t="s">
        <v>76</v>
      </c>
    </row>
    <row r="421" spans="1:8" ht="15.75" x14ac:dyDescent="0.25">
      <c r="A421" s="27" t="s">
        <v>168</v>
      </c>
      <c r="B421" s="23"/>
      <c r="C421" s="23"/>
      <c r="D421" s="23"/>
      <c r="E421" s="23"/>
      <c r="F421" s="23"/>
      <c r="G421" s="23"/>
      <c r="H421" s="23"/>
    </row>
    <row r="422" spans="1:8" x14ac:dyDescent="0.25">
      <c r="A422" s="3" t="s">
        <v>154</v>
      </c>
      <c r="B422" s="3" t="s">
        <v>155</v>
      </c>
      <c r="C422" s="3" t="s">
        <v>156</v>
      </c>
      <c r="D422" s="3" t="s">
        <v>157</v>
      </c>
      <c r="E422" s="3" t="s">
        <v>73</v>
      </c>
      <c r="F422" s="3" t="s">
        <v>75</v>
      </c>
      <c r="G422" s="3" t="s">
        <v>158</v>
      </c>
      <c r="H422" s="3" t="s">
        <v>76</v>
      </c>
    </row>
    <row r="463" spans="1:8" ht="15.75" x14ac:dyDescent="0.25">
      <c r="A463" s="27" t="s">
        <v>169</v>
      </c>
      <c r="B463" s="23"/>
      <c r="C463" s="23"/>
      <c r="D463" s="23"/>
      <c r="E463" s="23"/>
      <c r="F463" s="23"/>
      <c r="G463" s="23"/>
      <c r="H463" s="23"/>
    </row>
    <row r="464" spans="1:8" x14ac:dyDescent="0.25">
      <c r="A464" s="3" t="s">
        <v>154</v>
      </c>
      <c r="B464" s="3" t="s">
        <v>155</v>
      </c>
      <c r="C464" s="3" t="s">
        <v>156</v>
      </c>
      <c r="D464" s="3" t="s">
        <v>157</v>
      </c>
      <c r="E464" s="3" t="s">
        <v>73</v>
      </c>
      <c r="F464" s="3" t="s">
        <v>75</v>
      </c>
      <c r="G464" s="3" t="s">
        <v>158</v>
      </c>
      <c r="H464" s="3" t="s">
        <v>76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2" t="s">
        <v>170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x14ac:dyDescent="0.25">
      <c r="A2" s="3" t="s">
        <v>171</v>
      </c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  <c r="G2" s="3" t="s">
        <v>51</v>
      </c>
      <c r="H2" s="3" t="s">
        <v>52</v>
      </c>
      <c r="I2" s="3" t="s">
        <v>53</v>
      </c>
      <c r="J2" s="3" t="s">
        <v>54</v>
      </c>
      <c r="K2" s="3" t="s">
        <v>55</v>
      </c>
      <c r="L2" s="3" t="s">
        <v>56</v>
      </c>
      <c r="M2" s="3" t="s">
        <v>57</v>
      </c>
      <c r="N2" s="3" t="s">
        <v>98</v>
      </c>
    </row>
    <row r="3" spans="1:14" x14ac:dyDescent="0.25">
      <c r="A3" s="2" t="s">
        <v>172</v>
      </c>
    </row>
  </sheetData>
  <mergeCells count="1">
    <mergeCell ref="A1:N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2" t="s">
        <v>173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3" spans="1:16" ht="51" x14ac:dyDescent="0.25">
      <c r="A3" s="8" t="s">
        <v>108</v>
      </c>
      <c r="B3" s="8" t="s">
        <v>174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6" t="s">
        <v>25</v>
      </c>
      <c r="B4" s="17">
        <f>IFERROR(INDEX(tblWardConfig[PrevYearRemaining],MATCH("MW",tblWardConfig[WardCode],0)),0)</f>
        <v>25</v>
      </c>
      <c r="C4" s="17">
        <f>IFERROR(INDEX(tblWardConfig[BedComplement],MATCH("MW",tblWardConfig[WardCode],0)),0)</f>
        <v>32</v>
      </c>
      <c r="D4" s="18">
        <f>SUMIFS(tblDaily[Admissions],tblDaily[WardCode],"MW")</f>
        <v>97</v>
      </c>
      <c r="E4" s="18">
        <f>SUMIFS(tblDaily[Discharges],tblDaily[WardCode],"MW")</f>
        <v>141</v>
      </c>
      <c r="F4" s="18">
        <f>SUMIFS(tblDaily[Deaths],tblDaily[WardCode],"MW")</f>
        <v>19</v>
      </c>
      <c r="G4" s="18">
        <f>SUMIFS(tblDaily[DeathsUnder24Hrs],tblDaily[WardCode],"MW")</f>
        <v>0</v>
      </c>
      <c r="H4" s="18">
        <f>SUMIFS(tblDaily[Remaining],tblDaily[WardCode],"MW")</f>
        <v>-273</v>
      </c>
      <c r="I4" s="18">
        <f>SUMIFS(tblDaily[TransfersIn],tblDaily[WardCode],"MW")</f>
        <v>57</v>
      </c>
      <c r="J4" s="18">
        <f>SUMIFS(tblDaily[TransfersOut],tblDaily[WardCode],"MW")</f>
        <v>0</v>
      </c>
      <c r="K4" s="19">
        <f t="shared" ref="K4:K12" si="0">IFERROR(H4/365,0)</f>
        <v>-0.74794520547945209</v>
      </c>
      <c r="L4" s="19">
        <f t="shared" ref="L4:L12" si="1">IFERROR(H4/(E4+F4),0)</f>
        <v>-1.70625</v>
      </c>
      <c r="M4" s="19">
        <f t="shared" ref="M4:M12" si="2">IFERROR((C4*365-H4)/(E4+F4),0)</f>
        <v>74.706249999999997</v>
      </c>
      <c r="N4" s="19">
        <f t="shared" ref="N4:N12" si="3">IFERROR((E4+F4)/C4,0)</f>
        <v>5</v>
      </c>
      <c r="O4" s="19">
        <f t="shared" ref="O4:O12" si="4">IFERROR((H4/(C4*365))*100,0)</f>
        <v>-2.3373287671232879</v>
      </c>
      <c r="P4" s="19">
        <f t="shared" ref="P4:P12" si="5">IFERROR((F4/(D4+B4))*100,0)</f>
        <v>15.573770491803279</v>
      </c>
    </row>
    <row r="5" spans="1:16" x14ac:dyDescent="0.25">
      <c r="A5" s="16" t="s">
        <v>27</v>
      </c>
      <c r="B5" s="17">
        <f>IFERROR(INDEX(tblWardConfig[PrevYearRemaining],MATCH("FW",tblWardConfig[WardCode],0)),0)</f>
        <v>16</v>
      </c>
      <c r="C5" s="17">
        <f>IFERROR(INDEX(tblWardConfig[BedComplement],MATCH("FW",tblWardConfig[WardCode],0)),0)</f>
        <v>28</v>
      </c>
      <c r="D5" s="18">
        <f>SUMIFS(tblDaily[Admissions],tblDaily[WardCode],"FW")</f>
        <v>83</v>
      </c>
      <c r="E5" s="18">
        <f>SUMIFS(tblDaily[Discharges],tblDaily[WardCode],"FW")</f>
        <v>102</v>
      </c>
      <c r="F5" s="18">
        <f>SUMIFS(tblDaily[Deaths],tblDaily[WardCode],"FW")</f>
        <v>10</v>
      </c>
      <c r="G5" s="18">
        <f>SUMIFS(tblDaily[DeathsUnder24Hrs],tblDaily[WardCode],"FW")</f>
        <v>0</v>
      </c>
      <c r="H5" s="18">
        <f>SUMIFS(tblDaily[Remaining],tblDaily[WardCode],"FW")</f>
        <v>27</v>
      </c>
      <c r="I5" s="18">
        <f>SUMIFS(tblDaily[TransfersIn],tblDaily[WardCode],"FW")</f>
        <v>28</v>
      </c>
      <c r="J5" s="18">
        <f>SUMIFS(tblDaily[TransfersOut],tblDaily[WardCode],"FW")</f>
        <v>0</v>
      </c>
      <c r="K5" s="19">
        <f t="shared" si="0"/>
        <v>7.3972602739726029E-2</v>
      </c>
      <c r="L5" s="19">
        <f t="shared" si="1"/>
        <v>0.24107142857142858</v>
      </c>
      <c r="M5" s="19">
        <f t="shared" si="2"/>
        <v>91.008928571428569</v>
      </c>
      <c r="N5" s="19">
        <f t="shared" si="3"/>
        <v>4</v>
      </c>
      <c r="O5" s="19">
        <f t="shared" si="4"/>
        <v>0.26418786692759294</v>
      </c>
      <c r="P5" s="19">
        <f t="shared" si="5"/>
        <v>10.1010101010101</v>
      </c>
    </row>
    <row r="6" spans="1:16" x14ac:dyDescent="0.25">
      <c r="A6" s="16" t="s">
        <v>29</v>
      </c>
      <c r="B6" s="17">
        <f>IFERROR(INDEX(tblWardConfig[PrevYearRemaining],MATCH("CW",tblWardConfig[WardCode],0)),0)</f>
        <v>7</v>
      </c>
      <c r="C6" s="17">
        <f>IFERROR(INDEX(tblWardConfig[BedComplement],MATCH("CW",tblWardConfig[WardCode],0)),0)</f>
        <v>27</v>
      </c>
      <c r="D6" s="18">
        <f>SUMIFS(tblDaily[Admissions],tblDaily[WardCode],"CW")</f>
        <v>80</v>
      </c>
      <c r="E6" s="18">
        <f>SUMIFS(tblDaily[Discharges],tblDaily[WardCode],"CW")</f>
        <v>80</v>
      </c>
      <c r="F6" s="18">
        <f>SUMIFS(tblDaily[Deaths],tblDaily[WardCode],"CW")</f>
        <v>0</v>
      </c>
      <c r="G6" s="18">
        <f>SUMIFS(tblDaily[DeathsUnder24Hrs],tblDaily[WardCode],"CW")</f>
        <v>0</v>
      </c>
      <c r="H6" s="18">
        <f>SUMIFS(tblDaily[Remaining],tblDaily[WardCode],"CW")</f>
        <v>85</v>
      </c>
      <c r="I6" s="18">
        <f>SUMIFS(tblDaily[TransfersIn],tblDaily[WardCode],"CW")</f>
        <v>5</v>
      </c>
      <c r="J6" s="18">
        <f>SUMIFS(tblDaily[TransfersOut],tblDaily[WardCode],"CW")</f>
        <v>0</v>
      </c>
      <c r="K6" s="19">
        <f t="shared" si="0"/>
        <v>0.23287671232876711</v>
      </c>
      <c r="L6" s="19">
        <f t="shared" si="1"/>
        <v>1.0625</v>
      </c>
      <c r="M6" s="19">
        <f t="shared" si="2"/>
        <v>122.125</v>
      </c>
      <c r="N6" s="19">
        <f t="shared" si="3"/>
        <v>2.9629629629629628</v>
      </c>
      <c r="O6" s="19">
        <f t="shared" si="4"/>
        <v>0.86250634195839671</v>
      </c>
      <c r="P6" s="19">
        <f t="shared" si="5"/>
        <v>0</v>
      </c>
    </row>
    <row r="7" spans="1:16" x14ac:dyDescent="0.25">
      <c r="A7" s="16" t="s">
        <v>31</v>
      </c>
      <c r="B7" s="17">
        <f>IFERROR(INDEX(tblWardConfig[PrevYearRemaining],MATCH("BF",tblWardConfig[WardCode],0)),0)</f>
        <v>9</v>
      </c>
      <c r="C7" s="17">
        <f>IFERROR(INDEX(tblWardConfig[BedComplement],MATCH("BF",tblWardConfig[WardCode],0)),0)</f>
        <v>20</v>
      </c>
      <c r="D7" s="18">
        <f>SUMIFS(tblDaily[Admissions],tblDaily[WardCode],"BF")</f>
        <v>65</v>
      </c>
      <c r="E7" s="18">
        <f>SUMIFS(tblDaily[Discharges],tblDaily[WardCode],"BF")</f>
        <v>66</v>
      </c>
      <c r="F7" s="18">
        <f>SUMIFS(tblDaily[Deaths],tblDaily[WardCode],"BF")</f>
        <v>0</v>
      </c>
      <c r="G7" s="18">
        <f>SUMIFS(tblDaily[DeathsUnder24Hrs],tblDaily[WardCode],"BF")</f>
        <v>0</v>
      </c>
      <c r="H7" s="18">
        <f>SUMIFS(tblDaily[Remaining],tblDaily[WardCode],"BF")</f>
        <v>-79</v>
      </c>
      <c r="I7" s="18">
        <f>SUMIFS(tblDaily[TransfersIn],tblDaily[WardCode],"BF")</f>
        <v>1</v>
      </c>
      <c r="J7" s="18">
        <f>SUMIFS(tblDaily[TransfersOut],tblDaily[WardCode],"BF")</f>
        <v>1</v>
      </c>
      <c r="K7" s="19">
        <f t="shared" si="0"/>
        <v>-0.21643835616438356</v>
      </c>
      <c r="L7" s="19">
        <f t="shared" si="1"/>
        <v>-1.196969696969697</v>
      </c>
      <c r="M7" s="19">
        <f t="shared" si="2"/>
        <v>111.8030303030303</v>
      </c>
      <c r="N7" s="19">
        <f t="shared" si="3"/>
        <v>3.3</v>
      </c>
      <c r="O7" s="19">
        <f t="shared" si="4"/>
        <v>-1.0821917808219177</v>
      </c>
      <c r="P7" s="19">
        <f t="shared" si="5"/>
        <v>0</v>
      </c>
    </row>
    <row r="8" spans="1:16" x14ac:dyDescent="0.25">
      <c r="A8" s="16" t="s">
        <v>33</v>
      </c>
      <c r="B8" s="17">
        <f>IFERROR(INDEX(tblWardConfig[PrevYearRemaining],MATCH("BG",tblWardConfig[WardCode],0)),0)</f>
        <v>9</v>
      </c>
      <c r="C8" s="17">
        <f>IFERROR(INDEX(tblWardConfig[BedComplement],MATCH("BG",tblWardConfig[WardCode],0)),0)</f>
        <v>14</v>
      </c>
      <c r="D8" s="18">
        <f>SUMIFS(tblDaily[Admissions],tblDaily[WardCode],"BG")</f>
        <v>125</v>
      </c>
      <c r="E8" s="18">
        <f>SUMIFS(tblDaily[Discharges],tblDaily[WardCode],"BG")</f>
        <v>122</v>
      </c>
      <c r="F8" s="18">
        <f>SUMIFS(tblDaily[Deaths],tblDaily[WardCode],"BG")</f>
        <v>0</v>
      </c>
      <c r="G8" s="18">
        <f>SUMIFS(tblDaily[DeathsUnder24Hrs],tblDaily[WardCode],"BG")</f>
        <v>0</v>
      </c>
      <c r="H8" s="18">
        <f>SUMIFS(tblDaily[Remaining],tblDaily[WardCode],"BG")</f>
        <v>66</v>
      </c>
      <c r="I8" s="18">
        <f>SUMIFS(tblDaily[TransfersIn],tblDaily[WardCode],"BG")</f>
        <v>27</v>
      </c>
      <c r="J8" s="18">
        <f>SUMIFS(tblDaily[TransfersOut],tblDaily[WardCode],"BG")</f>
        <v>27</v>
      </c>
      <c r="K8" s="19">
        <f t="shared" si="0"/>
        <v>0.18082191780821918</v>
      </c>
      <c r="L8" s="19">
        <f t="shared" si="1"/>
        <v>0.54098360655737709</v>
      </c>
      <c r="M8" s="19">
        <f t="shared" si="2"/>
        <v>41.344262295081968</v>
      </c>
      <c r="N8" s="19">
        <f t="shared" si="3"/>
        <v>8.7142857142857135</v>
      </c>
      <c r="O8" s="19">
        <f t="shared" si="4"/>
        <v>1.2915851272015655</v>
      </c>
      <c r="P8" s="19">
        <f t="shared" si="5"/>
        <v>0</v>
      </c>
    </row>
    <row r="9" spans="1:16" x14ac:dyDescent="0.25">
      <c r="A9" s="16" t="s">
        <v>35</v>
      </c>
      <c r="B9" s="17">
        <f>IFERROR(INDEX(tblWardConfig[PrevYearRemaining],MATCH("BH",tblWardConfig[WardCode],0)),0)</f>
        <v>12</v>
      </c>
      <c r="C9" s="17">
        <f>IFERROR(INDEX(tblWardConfig[BedComplement],MATCH("BH",tblWardConfig[WardCode],0)),0)</f>
        <v>22</v>
      </c>
      <c r="D9" s="18">
        <f>SUMIFS(tblDaily[Admissions],tblDaily[WardCode],"BH")</f>
        <v>74</v>
      </c>
      <c r="E9" s="18">
        <f>SUMIFS(tblDaily[Discharges],tblDaily[WardCode],"BH")</f>
        <v>81</v>
      </c>
      <c r="F9" s="18">
        <f>SUMIFS(tblDaily[Deaths],tblDaily[WardCode],"BH")</f>
        <v>0</v>
      </c>
      <c r="G9" s="18">
        <f>SUMIFS(tblDaily[DeathsUnder24Hrs],tblDaily[WardCode],"BH")</f>
        <v>0</v>
      </c>
      <c r="H9" s="18">
        <f>SUMIFS(tblDaily[Remaining],tblDaily[WardCode],"BH")</f>
        <v>-8</v>
      </c>
      <c r="I9" s="18">
        <f>SUMIFS(tblDaily[TransfersIn],tblDaily[WardCode],"BH")</f>
        <v>28</v>
      </c>
      <c r="J9" s="18">
        <f>SUMIFS(tblDaily[TransfersOut],tblDaily[WardCode],"BH")</f>
        <v>26</v>
      </c>
      <c r="K9" s="19">
        <f t="shared" si="0"/>
        <v>-2.1917808219178082E-2</v>
      </c>
      <c r="L9" s="19">
        <f t="shared" si="1"/>
        <v>-9.8765432098765427E-2</v>
      </c>
      <c r="M9" s="19">
        <f t="shared" si="2"/>
        <v>99.23456790123457</v>
      </c>
      <c r="N9" s="19">
        <f t="shared" si="3"/>
        <v>3.6818181818181817</v>
      </c>
      <c r="O9" s="19">
        <f t="shared" si="4"/>
        <v>-9.9626400996264006E-2</v>
      </c>
      <c r="P9" s="19">
        <f t="shared" si="5"/>
        <v>0</v>
      </c>
    </row>
    <row r="10" spans="1:16" x14ac:dyDescent="0.25">
      <c r="A10" s="16" t="s">
        <v>37</v>
      </c>
      <c r="B10" s="17">
        <f>IFERROR(INDEX(tblWardConfig[PrevYearRemaining],MATCH("NICU",tblWardConfig[WardCode],0)),0)</f>
        <v>14</v>
      </c>
      <c r="C10" s="17">
        <f>IFERROR(INDEX(tblWardConfig[BedComplement],MATCH("NICU",tblWardConfig[WardCode],0)),0)</f>
        <v>15</v>
      </c>
      <c r="D10" s="18">
        <f>SUMIFS(tblDaily[Admissions],tblDaily[WardCode],"NICU")</f>
        <v>47</v>
      </c>
      <c r="E10" s="18">
        <f>SUMIFS(tblDaily[Discharges],tblDaily[WardCode],"NICU")</f>
        <v>50</v>
      </c>
      <c r="F10" s="18">
        <f>SUMIFS(tblDaily[Deaths],tblDaily[WardCode],"NICU")</f>
        <v>8</v>
      </c>
      <c r="G10" s="18">
        <f>SUMIFS(tblDaily[DeathsUnder24Hrs],tblDaily[WardCode],"NICU")</f>
        <v>0</v>
      </c>
      <c r="H10" s="18">
        <f>SUMIFS(tblDaily[Remaining],tblDaily[WardCode],"NICU")</f>
        <v>-44</v>
      </c>
      <c r="I10" s="18">
        <f>SUMIFS(tblDaily[TransfersIn],tblDaily[WardCode],"NICU")</f>
        <v>0</v>
      </c>
      <c r="J10" s="18">
        <f>SUMIFS(tblDaily[TransfersOut],tblDaily[WardCode],"NICU")</f>
        <v>0</v>
      </c>
      <c r="K10" s="19">
        <f t="shared" si="0"/>
        <v>-0.12054794520547946</v>
      </c>
      <c r="L10" s="19">
        <f t="shared" si="1"/>
        <v>-0.75862068965517238</v>
      </c>
      <c r="M10" s="19">
        <f t="shared" si="2"/>
        <v>95.15517241379311</v>
      </c>
      <c r="N10" s="19">
        <f t="shared" si="3"/>
        <v>3.8666666666666667</v>
      </c>
      <c r="O10" s="19">
        <f t="shared" si="4"/>
        <v>-0.80365296803652964</v>
      </c>
      <c r="P10" s="19">
        <f t="shared" si="5"/>
        <v>13.114754098360656</v>
      </c>
    </row>
    <row r="11" spans="1:16" x14ac:dyDescent="0.25">
      <c r="A11" s="16" t="s">
        <v>39</v>
      </c>
      <c r="B11" s="17">
        <f>IFERROR(INDEX(tblWardConfig[PrevYearRemaining],MATCH("MAE",tblWardConfig[WardCode],0)),0)</f>
        <v>9</v>
      </c>
      <c r="C11" s="17">
        <f>IFERROR(INDEX(tblWardConfig[BedComplement],MATCH("MAE",tblWardConfig[WardCode],0)),0)</f>
        <v>10</v>
      </c>
      <c r="D11" s="18">
        <f>SUMIFS(tblDaily[Admissions],tblDaily[WardCode],"MAE")</f>
        <v>94</v>
      </c>
      <c r="E11" s="18">
        <f>SUMIFS(tblDaily[Discharges],tblDaily[WardCode],"MAE")</f>
        <v>46</v>
      </c>
      <c r="F11" s="18">
        <f>SUMIFS(tblDaily[Deaths],tblDaily[WardCode],"MAE")</f>
        <v>4</v>
      </c>
      <c r="G11" s="18">
        <f>SUMIFS(tblDaily[DeathsUnder24Hrs],tblDaily[WardCode],"MAE")</f>
        <v>5</v>
      </c>
      <c r="H11" s="18">
        <f>SUMIFS(tblDaily[Remaining],tblDaily[WardCode],"MAE")</f>
        <v>-137</v>
      </c>
      <c r="I11" s="18">
        <f>SUMIFS(tblDaily[TransfersIn],tblDaily[WardCode],"MAE")</f>
        <v>2</v>
      </c>
      <c r="J11" s="18">
        <f>SUMIFS(tblDaily[TransfersOut],tblDaily[WardCode],"MAE")</f>
        <v>47</v>
      </c>
      <c r="K11" s="19">
        <f t="shared" si="0"/>
        <v>-0.37534246575342467</v>
      </c>
      <c r="L11" s="19">
        <f t="shared" si="1"/>
        <v>-2.74</v>
      </c>
      <c r="M11" s="19">
        <f t="shared" si="2"/>
        <v>75.739999999999995</v>
      </c>
      <c r="N11" s="19">
        <f t="shared" si="3"/>
        <v>5</v>
      </c>
      <c r="O11" s="19">
        <f t="shared" si="4"/>
        <v>-3.7534246575342469</v>
      </c>
      <c r="P11" s="19">
        <f t="shared" si="5"/>
        <v>3.8834951456310676</v>
      </c>
    </row>
    <row r="12" spans="1:16" x14ac:dyDescent="0.25">
      <c r="A12" s="16" t="s">
        <v>41</v>
      </c>
      <c r="B12" s="17">
        <f>IFERROR(INDEX(tblWardConfig[PrevYearRemaining],MATCH("FAE",tblWardConfig[WardCode],0)),0)</f>
        <v>1</v>
      </c>
      <c r="C12" s="17">
        <f>IFERROR(INDEX(tblWardConfig[BedComplement],MATCH("FAE",tblWardConfig[WardCode],0)),0)</f>
        <v>10</v>
      </c>
      <c r="D12" s="18">
        <f>SUMIFS(tblDaily[Admissions],tblDaily[WardCode],"FAE")</f>
        <v>47</v>
      </c>
      <c r="E12" s="18">
        <f>SUMIFS(tblDaily[Discharges],tblDaily[WardCode],"FAE")</f>
        <v>13</v>
      </c>
      <c r="F12" s="18">
        <f>SUMIFS(tblDaily[Deaths],tblDaily[WardCode],"FAE")</f>
        <v>0</v>
      </c>
      <c r="G12" s="18">
        <f>SUMIFS(tblDaily[DeathsUnder24Hrs],tblDaily[WardCode],"FAE")</f>
        <v>1</v>
      </c>
      <c r="H12" s="18">
        <f>SUMIFS(tblDaily[Remaining],tblDaily[WardCode],"FAE")</f>
        <v>25</v>
      </c>
      <c r="I12" s="18">
        <f>SUMIFS(tblDaily[TransfersIn],tblDaily[WardCode],"FAE")</f>
        <v>0</v>
      </c>
      <c r="J12" s="18">
        <f>SUMIFS(tblDaily[TransfersOut],tblDaily[WardCode],"FAE")</f>
        <v>30</v>
      </c>
      <c r="K12" s="19">
        <f t="shared" si="0"/>
        <v>6.8493150684931503E-2</v>
      </c>
      <c r="L12" s="19">
        <f t="shared" si="1"/>
        <v>1.9230769230769231</v>
      </c>
      <c r="M12" s="19">
        <f t="shared" si="2"/>
        <v>278.84615384615387</v>
      </c>
      <c r="N12" s="19">
        <f t="shared" si="3"/>
        <v>1.3</v>
      </c>
      <c r="O12" s="19">
        <f t="shared" si="4"/>
        <v>0.68493150684931503</v>
      </c>
      <c r="P12" s="19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2" t="s">
        <v>175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x14ac:dyDescent="0.25">
      <c r="A2" s="3" t="s">
        <v>154</v>
      </c>
      <c r="B2" s="3" t="s">
        <v>176</v>
      </c>
      <c r="C2" s="3" t="s">
        <v>59</v>
      </c>
      <c r="D2" s="3" t="s">
        <v>158</v>
      </c>
      <c r="E2" s="3" t="s">
        <v>177</v>
      </c>
      <c r="F2" s="3" t="s">
        <v>178</v>
      </c>
      <c r="G2" s="3" t="s">
        <v>73</v>
      </c>
      <c r="H2" s="3" t="s">
        <v>75</v>
      </c>
      <c r="I2" s="3" t="s">
        <v>179</v>
      </c>
      <c r="J2" s="3" t="s">
        <v>180</v>
      </c>
    </row>
    <row r="3" spans="1:10" x14ac:dyDescent="0.25">
      <c r="A3" s="2" t="s">
        <v>172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2026-02-08T15:02:05Z</dcterms:created>
  <dcterms:modified xsi:type="dcterms:W3CDTF">2026-02-12T07:24:46Z</dcterms:modified>
</cp:coreProperties>
</file>